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ivot_Marca_Modelo" sheetId="2" state="visible" r:id="rId4"/>
    <sheet name="Pivot_Subestacion" sheetId="3" state="visible" r:id="rId5"/>
    <sheet name="Pivot_Mod_Subest" sheetId="4" state="visible" r:id="rId6"/>
    <sheet name="Datos" sheetId="5" state="visible" r:id="rId7"/>
    <sheet name="Catalogos" sheetId="6" state="visible" r:id="rId8"/>
    <sheet name="Calidad_Datos" sheetId="7" state="visible" r:id="rId9"/>
    <sheet name="Calc" sheetId="8" state="visible" r:id="rId10"/>
    <sheet name="Origen" sheetId="9" state="visible" r:id="rId11"/>
  </sheets>
  <definedNames>
    <definedName function="false" hidden="true" localSheetId="4" name="_xlnm._FilterDatabase" vbProcedure="false">Datos!$A$1:$W$1961</definedName>
    <definedName function="false" hidden="true" localSheetId="8" name="_xlnm._FilterDatabase" vbProcedure="false">Origen!$A$1:$AG$1961</definedName>
    <definedName function="false" hidden="true" localSheetId="3" name="_xlnm._FilterDatabase" vbProcedure="false">Pivot_Mod_Subest!$A$6:$AZ$72</definedName>
    <definedName function="false" hidden="false" name="cat_FunN" vbProcedure="false">Catalogos!$I$5:$I$15</definedName>
    <definedName function="false" hidden="false" name="cat_FunO" vbProcedure="false">Catalogos!$H$5:$H$15</definedName>
    <definedName function="false" hidden="false" name="cat_MarcaN" vbProcedure="false">Catalogos!$B$5:$B$15</definedName>
    <definedName function="false" hidden="false" name="cat_MarcaO" vbProcedure="false">Catalogos!$A$5:$A$15</definedName>
    <definedName function="false" hidden="false" name="cat_ModG" vbProcedure="false">Catalogos!$F$5:$F$59</definedName>
    <definedName function="false" hidden="false" name="cat_ModN" vbProcedure="false">Catalogos!$E$5:$E$59</definedName>
    <definedName function="false" hidden="false" name="cat_ModO" vbProcedure="false">Catalogos!$D$5:$D$59</definedName>
    <definedName function="false" hidden="false" name="cat_SubK" vbProcedure="false">Catalogos!$K$5:$K$44</definedName>
    <definedName function="false" hidden="false" name="cat_SubN" vbProcedure="false">Catalogos!$N$5:$N$44</definedName>
    <definedName function="false" hidden="false" name="crit_sector" vbProcedure="false">Calc!$I$1</definedName>
    <definedName function="false" hidden="false" name="d_Clase" vbProcedure="false">Datos!$K$2:$K$1961</definedName>
    <definedName function="false" hidden="false" name="d_Clave" vbProcedure="false">Datos!$Q$2:$Q$1961</definedName>
    <definedName function="false" hidden="false" name="d_Completo" vbProcedure="false">Datos!$W$2:$W$1961</definedName>
    <definedName function="false" hidden="false" name="d_Funcion" vbProcedure="false">Datos!$V$2:$V$1961</definedName>
    <definedName function="false" hidden="false" name="d_Gen" vbProcedure="false">Datos!$U$2:$U$1961</definedName>
    <definedName function="false" hidden="false" name="d_Ident" vbProcedure="false">Datos!$B$2:$B$1961</definedName>
    <definedName function="false" hidden="false" name="d_Local" vbProcedure="false">Datos!$G$2:$G$1961</definedName>
    <definedName function="false" hidden="false" name="d_Marca" vbProcedure="false">Datos!$S$2:$S$1961</definedName>
    <definedName function="false" hidden="false" name="d_MarcaO" vbProcedure="false">Datos!$H$2:$H$1961</definedName>
    <definedName function="false" hidden="false" name="d_Modelo" vbProcedure="false">Datos!$T$2:$T$1961</definedName>
    <definedName function="false" hidden="false" name="d_ModeloO" vbProcedure="false">Datos!$I$2:$I$1961</definedName>
    <definedName function="false" hidden="false" name="d_Sector" vbProcedure="false">Datos!$O$2:$O$1961</definedName>
    <definedName function="false" hidden="false" name="d_SectorUT" vbProcedure="false">Datos!$N$2:$N$1961</definedName>
    <definedName function="false" hidden="false" name="d_Subest" vbProcedure="false">Datos!$R$2:$R$1961</definedName>
    <definedName function="false" hidden="false" name="d_Tipo" vbProcedure="false">Datos!$P$2:$P$1961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<sst xmlns="http://schemas.openxmlformats.org/spreadsheetml/2006/main" count="84736" uniqueCount="8608">
  <si>
    <t xml:space="preserve">TABLERO DE RELEVADORES DE PROTECCIÓN Y MEDICIÓN</t>
  </si>
  <si>
    <t xml:space="preserve">Refinería Olmeca · SICM Eléctrico · Fuente: PM_RELEVADOR.xlsx (SAP PM, 1,960 equipos, perfil ZPM000263)</t>
  </si>
  <si>
    <t xml:space="preserve">Sector (filtro)</t>
  </si>
  <si>
    <t xml:space="preserve">(Todos)</t>
  </si>
  <si>
    <t xml:space="preserve">Celdas amarillas = seleccione de la lista. El sector filtra KPIs, marcas, modelos, subestaciones y funciones; la gráfica por sector y la de marca × sector muestran siempre todos.</t>
  </si>
  <si>
    <t xml:space="preserve">Criterio de sector</t>
  </si>
  <si>
    <t xml:space="preserve">Ubicación técnica</t>
  </si>
  <si>
    <t xml:space="preserve">Criterio de sector: "Ubicación técnica" toma el sector del código de la ubicación técnica; "Local SAP" usa la columna Local. Difieren en 27 equipos de PRA1 (SE-02), ver hoja Calidad_Datos.</t>
  </si>
  <si>
    <t xml:space="preserve">RELEVADORES (filtro)</t>
  </si>
  <si>
    <t xml:space="preserve">MARCAS DISTINTAS</t>
  </si>
  <si>
    <t xml:space="preserve">MODELOS DISTINTOS (normalizados)</t>
  </si>
  <si>
    <t xml:space="preserve">SUBESTACIONES CON RELEVADORES</t>
  </si>
  <si>
    <t xml:space="preserve">MARCA LÍDER</t>
  </si>
  <si>
    <t xml:space="preserve">SIN MARCA O MODELO</t>
  </si>
  <si>
    <t xml:space="preserve">MODELOS GENÉRICOS / INCOMPLETOS</t>
  </si>
  <si>
    <t xml:space="preserve">EN ÁREA CLASE I DIV. II</t>
  </si>
  <si>
    <t xml:space="preserve">TABLA DINÁMICA · RELEVADORES POR MARCA Y MODELO, CLASIFICADOS POR SECTOR</t>
  </si>
  <si>
    <t xml:space="preserve">Fórmulas COUNTIFS sobre la hoja Datos: se recalculan al cambiar los filtros o los datos. Cada marca lleva su total y debajo sus modelos.</t>
  </si>
  <si>
    <t xml:space="preserve">Subestación</t>
  </si>
  <si>
    <t xml:space="preserve">(Todas)</t>
  </si>
  <si>
    <t xml:space="preserve">criterio:</t>
  </si>
  <si>
    <t xml:space="preserve">Tipo de ubicación</t>
  </si>
  <si>
    <t xml:space="preserve">Marca</t>
  </si>
  <si>
    <t xml:space="preserve">Modelo</t>
  </si>
  <si>
    <t xml:space="preserve">Sector 1</t>
  </si>
  <si>
    <t xml:space="preserve">Sector 2</t>
  </si>
  <si>
    <t xml:space="preserve">Sector 3</t>
  </si>
  <si>
    <t xml:space="preserve">Sector 4</t>
  </si>
  <si>
    <t xml:space="preserve">Sector 5</t>
  </si>
  <si>
    <t xml:space="preserve">Sector 6</t>
  </si>
  <si>
    <t xml:space="preserve">Sector 7</t>
  </si>
  <si>
    <t xml:space="preserve">Sector 8</t>
  </si>
  <si>
    <t xml:space="preserve">Total</t>
  </si>
  <si>
    <t xml:space="preserve">% del total</t>
  </si>
  <si>
    <t xml:space="preserve">ABB</t>
  </si>
  <si>
    <t xml:space="preserve">Total ABB</t>
  </si>
  <si>
    <t xml:space="preserve">1AFFAEAGNEC5BNA11G</t>
  </si>
  <si>
    <t xml:space="preserve">REF615A_1G</t>
  </si>
  <si>
    <t xml:space="preserve">1AMEBCADNEC5BNN11G</t>
  </si>
  <si>
    <t xml:space="preserve">REF</t>
  </si>
  <si>
    <t xml:space="preserve">REA 101</t>
  </si>
  <si>
    <t xml:space="preserve">REM615A_1G</t>
  </si>
  <si>
    <t xml:space="preserve">1AFPAKAKNGC5BNN11G</t>
  </si>
  <si>
    <t xml:space="preserve">RET615A_1G</t>
  </si>
  <si>
    <t xml:space="preserve">REM</t>
  </si>
  <si>
    <t xml:space="preserve">REF615_1G</t>
  </si>
  <si>
    <t xml:space="preserve">1ATBBABBNEC5BNN11G</t>
  </si>
  <si>
    <t xml:space="preserve">REA</t>
  </si>
  <si>
    <t xml:space="preserve">1AFNAEAGNEC5BNA11G</t>
  </si>
  <si>
    <t xml:space="preserve">REF620E_1G</t>
  </si>
  <si>
    <t xml:space="preserve">REB670</t>
  </si>
  <si>
    <t xml:space="preserve">PROTECCION ARCO</t>
  </si>
  <si>
    <t xml:space="preserve">RET</t>
  </si>
  <si>
    <t xml:space="preserve">REM615_1G</t>
  </si>
  <si>
    <t xml:space="preserve">REM620A_F</t>
  </si>
  <si>
    <t xml:space="preserve">SEL</t>
  </si>
  <si>
    <t xml:space="preserve">Total SEL</t>
  </si>
  <si>
    <t xml:space="preserve">SEL-735</t>
  </si>
  <si>
    <t xml:space="preserve">MEDICION</t>
  </si>
  <si>
    <t xml:space="preserve">SEL-751</t>
  </si>
  <si>
    <t xml:space="preserve">SEL-411L</t>
  </si>
  <si>
    <t xml:space="preserve">GENERAL ELECTRIC</t>
  </si>
  <si>
    <t xml:space="preserve">Total GENERAL ELECTRIC</t>
  </si>
  <si>
    <t xml:space="preserve">MULTILIN</t>
  </si>
  <si>
    <t xml:space="preserve">MULTILIN 350</t>
  </si>
  <si>
    <t xml:space="preserve">MULTILIN T60</t>
  </si>
  <si>
    <t xml:space="preserve">MULTILIN C30</t>
  </si>
  <si>
    <t xml:space="preserve">MULTILIN F60</t>
  </si>
  <si>
    <t xml:space="preserve">MULTILIN B90</t>
  </si>
  <si>
    <t xml:space="preserve">MULTILIN G60</t>
  </si>
  <si>
    <t xml:space="preserve">MULTILIN L90</t>
  </si>
  <si>
    <t xml:space="preserve">MULTILIN T35</t>
  </si>
  <si>
    <t xml:space="preserve">MULTILIN 845</t>
  </si>
  <si>
    <t xml:space="preserve">SIEMENS</t>
  </si>
  <si>
    <t xml:space="preserve">Total SIEMENS</t>
  </si>
  <si>
    <t xml:space="preserve">REYROLLE</t>
  </si>
  <si>
    <t xml:space="preserve">7SR5111</t>
  </si>
  <si>
    <t xml:space="preserve">7SR5711</t>
  </si>
  <si>
    <t xml:space="preserve">SENTRON</t>
  </si>
  <si>
    <t xml:space="preserve">7SR5421</t>
  </si>
  <si>
    <t xml:space="preserve">7SR5420</t>
  </si>
  <si>
    <t xml:space="preserve">ARGUS</t>
  </si>
  <si>
    <t xml:space="preserve">SIPROTEC 7SS85</t>
  </si>
  <si>
    <t xml:space="preserve">SEPAM</t>
  </si>
  <si>
    <t xml:space="preserve">SIPROTEC 7SJ85</t>
  </si>
  <si>
    <t xml:space="preserve">SIPROTEC 7VU68</t>
  </si>
  <si>
    <t xml:space="preserve">SCHNEIDER ELECTRIC</t>
  </si>
  <si>
    <t xml:space="preserve">Total SCHNEIDER ELECTRIC</t>
  </si>
  <si>
    <t xml:space="preserve">P5F30</t>
  </si>
  <si>
    <t xml:space="preserve">POWERLOGIC</t>
  </si>
  <si>
    <t xml:space="preserve">ALLEN-BRADLEY</t>
  </si>
  <si>
    <t xml:space="preserve">Total ALLEN-BRADLEY</t>
  </si>
  <si>
    <t xml:space="preserve">857</t>
  </si>
  <si>
    <t xml:space="preserve">BASLER ELECTRIC</t>
  </si>
  <si>
    <t xml:space="preserve">Total BASLER ELECTRIC</t>
  </si>
  <si>
    <t xml:space="preserve">BE1</t>
  </si>
  <si>
    <t xml:space="preserve">EIG</t>
  </si>
  <si>
    <t xml:space="preserve">Total EIG</t>
  </si>
  <si>
    <t xml:space="preserve">SHARK</t>
  </si>
  <si>
    <t xml:space="preserve">GAUGETECH</t>
  </si>
  <si>
    <t xml:space="preserve">Total GAUGETECH</t>
  </si>
  <si>
    <t xml:space="preserve">SIN DATO</t>
  </si>
  <si>
    <t xml:space="preserve">Total SIN DATO</t>
  </si>
  <si>
    <t xml:space="preserve">TOTAL GENERAL</t>
  </si>
  <si>
    <t xml:space="preserve">TABLA DINÁMICA · RELEVADORES POR SUBESTACIÓN Y MARCA</t>
  </si>
  <si>
    <t xml:space="preserve">Subestaciones eléctricas (ubicaciones técnicas "SEL") ordenadas por sector. Los relevadores en áreas de proceso se agrupan en la última fila.</t>
  </si>
  <si>
    <t xml:space="preserve">Sector</t>
  </si>
  <si>
    <t xml:space="preserve">Planta / descripción</t>
  </si>
  <si>
    <t xml:space="preserve">SE-12</t>
  </si>
  <si>
    <t xml:space="preserve">U-DE DESTILACIÓN COMBINADA (UDC2) TREN 2</t>
  </si>
  <si>
    <t xml:space="preserve">SE-12-1</t>
  </si>
  <si>
    <t xml:space="preserve">U-DE DESTILACIÓN COMBINADA (UDC1) TREN 1</t>
  </si>
  <si>
    <t xml:space="preserve">SE-15</t>
  </si>
  <si>
    <t xml:space="preserve">U-DE COQUIZACIÓN RETARDADA</t>
  </si>
  <si>
    <t xml:space="preserve">SE-15-1</t>
  </si>
  <si>
    <t xml:space="preserve">SE-07</t>
  </si>
  <si>
    <t xml:space="preserve">PLANTA DESINTEGRACIÓN CATALÍTICA (FCC1)</t>
  </si>
  <si>
    <t xml:space="preserve">SE-14</t>
  </si>
  <si>
    <t xml:space="preserve">U-DE ALQUILACIÓN (ALKY1)</t>
  </si>
  <si>
    <t xml:space="preserve">SE-23</t>
  </si>
  <si>
    <t xml:space="preserve">U-GENERADORA DE HIDRÓGENO (PH21) TREN 1</t>
  </si>
  <si>
    <t xml:space="preserve">SE-24</t>
  </si>
  <si>
    <t xml:space="preserve">U-HIDROTRAT DE GASÓLEOS (HDTGO) NÚM. 1</t>
  </si>
  <si>
    <t xml:space="preserve">SE-26</t>
  </si>
  <si>
    <t xml:space="preserve">U-HIDROTRAT DESTILADOS INTER (HDDI1) T-1</t>
  </si>
  <si>
    <t xml:space="preserve">SE-27</t>
  </si>
  <si>
    <t xml:space="preserve">U-HIDROTRAT DESTILADOS INTER (HDDI2) T-2</t>
  </si>
  <si>
    <t xml:space="preserve">SE-03</t>
  </si>
  <si>
    <t xml:space="preserve">U-HIDROTRAT DE NAFTAS (HDN1) TREN 1</t>
  </si>
  <si>
    <t xml:space="preserve">SE-04</t>
  </si>
  <si>
    <t xml:space="preserve">U-HIDROTRAT DE NAFTAS (HDN2) TREN 2</t>
  </si>
  <si>
    <t xml:space="preserve">SE-05</t>
  </si>
  <si>
    <t xml:space="preserve">U-TRATAMIENTO/RECUPERACIÓN GAS (PTRG1)</t>
  </si>
  <si>
    <t xml:space="preserve">SE-06</t>
  </si>
  <si>
    <t xml:space="preserve">U-ISOMERIZADORA PENTANOS/HEXANOS (PNX1)</t>
  </si>
  <si>
    <t xml:space="preserve">SE-11</t>
  </si>
  <si>
    <t xml:space="preserve">U-REFORMADORA CATALÍTICA NAFTAS (REF1)</t>
  </si>
  <si>
    <t xml:space="preserve">SE-02</t>
  </si>
  <si>
    <t xml:space="preserve">U-RECUPERADORA DE AZUFRE (PRA1) TREN 1</t>
  </si>
  <si>
    <t xml:space="preserve">SE-08</t>
  </si>
  <si>
    <t xml:space="preserve">PLANTA DE TTO DE AGUAS AMARGAS COMUN</t>
  </si>
  <si>
    <t xml:space="preserve">SE-09</t>
  </si>
  <si>
    <t xml:space="preserve">U-DE TRATAMIENTO DE AMINA AREA COMUN</t>
  </si>
  <si>
    <t xml:space="preserve">SE-28</t>
  </si>
  <si>
    <t xml:space="preserve">EDIFICIO ADMINISTRATIVO NORTE</t>
  </si>
  <si>
    <t xml:space="preserve">SE-29</t>
  </si>
  <si>
    <t xml:space="preserve">EDIFICIO ADMINISTRATIVO SUR</t>
  </si>
  <si>
    <t xml:space="preserve">CE-19-1</t>
  </si>
  <si>
    <t xml:space="preserve">DESFOGUE DE QUEMADOR DE GASES</t>
  </si>
  <si>
    <t xml:space="preserve">SE-10</t>
  </si>
  <si>
    <t xml:space="preserve">PLANTA DE TRATAMIENTO DE EFLUENTES</t>
  </si>
  <si>
    <t xml:space="preserve">SE-13</t>
  </si>
  <si>
    <t xml:space="preserve">CARCAMO NORTE</t>
  </si>
  <si>
    <t xml:space="preserve">SE-19-1</t>
  </si>
  <si>
    <t xml:space="preserve">CASA DE BOMBAS 5</t>
  </si>
  <si>
    <t xml:space="preserve">SE-20</t>
  </si>
  <si>
    <t xml:space="preserve">CASA DE BOMBAS 1</t>
  </si>
  <si>
    <t xml:space="preserve">SE-20-1</t>
  </si>
  <si>
    <t xml:space="preserve">CARCAMO OCCIDENTE</t>
  </si>
  <si>
    <t xml:space="preserve">SE-21</t>
  </si>
  <si>
    <t xml:space="preserve">CASA DE BOMBAS 2</t>
  </si>
  <si>
    <t xml:space="preserve">SE-21-1</t>
  </si>
  <si>
    <t xml:space="preserve">CASA DE BOMBAS 3</t>
  </si>
  <si>
    <t xml:space="preserve">SE-22</t>
  </si>
  <si>
    <t xml:space="preserve">CASA DE BOMBAS 4</t>
  </si>
  <si>
    <t xml:space="preserve">SE-33</t>
  </si>
  <si>
    <t xml:space="preserve">CARCAMO SUR</t>
  </si>
  <si>
    <t xml:space="preserve">SE-01</t>
  </si>
  <si>
    <t xml:space="preserve">UNIDAD DESMINERALIZADORA DE AGUA</t>
  </si>
  <si>
    <t xml:space="preserve">SE-16</t>
  </si>
  <si>
    <t xml:space="preserve">SECCION TORRE DE ENFRIAMIENTO CT-00201</t>
  </si>
  <si>
    <t xml:space="preserve">SE-17</t>
  </si>
  <si>
    <t xml:space="preserve">SERVICIOS COMPLEMENTARIOS</t>
  </si>
  <si>
    <t xml:space="preserve">SE-18</t>
  </si>
  <si>
    <t xml:space="preserve">SECCION DE CONTRAINCENDIO</t>
  </si>
  <si>
    <t xml:space="preserve">SE-18-1</t>
  </si>
  <si>
    <t xml:space="preserve">PRETRATAMIENTO DE AGUA</t>
  </si>
  <si>
    <t xml:space="preserve">SE-19</t>
  </si>
  <si>
    <t xml:space="preserve">SECCION TORRE DE ENFRIAMIENTO CT-00202</t>
  </si>
  <si>
    <t xml:space="preserve">SE-25</t>
  </si>
  <si>
    <t xml:space="preserve">SECCION TORRE DE ENFRIAMIENTO CT-00203</t>
  </si>
  <si>
    <t xml:space="preserve">SE-30</t>
  </si>
  <si>
    <t xml:space="preserve">SUMINISTRO DE AGUA CRUDA</t>
  </si>
  <si>
    <t xml:space="preserve">SEP-01</t>
  </si>
  <si>
    <t xml:space="preserve">PLANTA DE COGENERACIÓN</t>
  </si>
  <si>
    <t xml:space="preserve">SEP-02</t>
  </si>
  <si>
    <t xml:space="preserve">—</t>
  </si>
  <si>
    <t xml:space="preserve">ÁREA DE PROCESO</t>
  </si>
  <si>
    <t xml:space="preserve">Relevadores en áreas de proceso (sin subestación asignada)</t>
  </si>
  <si>
    <t xml:space="preserve">TOTAL</t>
  </si>
  <si>
    <t xml:space="preserve">TABLA DINÁMICA · RELEVADORES POR MARCA Y MODELO × SUBESTACIÓN (AGRUPADO POR SECTOR)</t>
  </si>
  <si>
    <t xml:space="preserve">Cada columna es una subestación; al final de cada sector va su subtotal. Use el filtro de la columna A para ver una sola marca.</t>
  </si>
  <si>
    <t xml:space="preserve">Sin subestación</t>
  </si>
  <si>
    <t xml:space="preserve">Sector →</t>
  </si>
  <si>
    <t xml:space="preserve">Total Sector 1</t>
  </si>
  <si>
    <t xml:space="preserve">Total Sector 2</t>
  </si>
  <si>
    <t xml:space="preserve">Total Sector 3</t>
  </si>
  <si>
    <t xml:space="preserve">Total Sector 4</t>
  </si>
  <si>
    <t xml:space="preserve">Total Sector 5</t>
  </si>
  <si>
    <t xml:space="preserve">Total Sector 6</t>
  </si>
  <si>
    <t xml:space="preserve">Total Sector 7</t>
  </si>
  <si>
    <t xml:space="preserve">Total Sector 8</t>
  </si>
  <si>
    <t xml:space="preserve">Subestación →</t>
  </si>
  <si>
    <t xml:space="preserve">Equipo (SAP)</t>
  </si>
  <si>
    <t xml:space="preserve">N° Identif. técn.</t>
  </si>
  <si>
    <t xml:space="preserve">Denominación</t>
  </si>
  <si>
    <t xml:space="preserve">Planta</t>
  </si>
  <si>
    <t xml:space="preserve">Emplazamiento</t>
  </si>
  <si>
    <t xml:space="preserve">Local (SAP)</t>
  </si>
  <si>
    <t xml:space="preserve">Marca (origen)</t>
  </si>
  <si>
    <t xml:space="preserve">Modelo (origen)</t>
  </si>
  <si>
    <t xml:space="preserve">Función (origen)</t>
  </si>
  <si>
    <t xml:space="preserve">Clasificación de área</t>
  </si>
  <si>
    <t xml:space="preserve">Tensión nominal</t>
  </si>
  <si>
    <t xml:space="preserve">Puerto de comunicación</t>
  </si>
  <si>
    <t xml:space="preserve">Sector (ubic. técnica)</t>
  </si>
  <si>
    <t xml:space="preserve">Sector (análisis)</t>
  </si>
  <si>
    <t xml:space="preserve">Clave área|código</t>
  </si>
  <si>
    <t xml:space="preserve">¿Modelo genérico?</t>
  </si>
  <si>
    <t xml:space="preserve">Función</t>
  </si>
  <si>
    <t xml:space="preserve">¿Registro completo?</t>
  </si>
  <si>
    <t xml:space="preserve">20964739</t>
  </si>
  <si>
    <t xml:space="preserve">7SR5711-ME-004001A</t>
  </si>
  <si>
    <t xml:space="preserve">RELEVADOR 7SR5711-ME-004001A</t>
  </si>
  <si>
    <t xml:space="preserve">TRI-REF-DBP-08ACD-SSAGU-GA004001A</t>
  </si>
  <si>
    <t xml:space="preserve">ACUEDUCTO</t>
  </si>
  <si>
    <t xml:space="preserve">DBACD</t>
  </si>
  <si>
    <t xml:space="preserve">SECTOR08</t>
  </si>
  <si>
    <t xml:space="preserve">MEDICION Y PROTECCION</t>
  </si>
  <si>
    <t xml:space="preserve">AREAS NO CLASIFICADAS</t>
  </si>
  <si>
    <t xml:space="preserve">125.0 V</t>
  </si>
  <si>
    <t xml:space="preserve">ETHERNET</t>
  </si>
  <si>
    <t xml:space="preserve">20964740</t>
  </si>
  <si>
    <t xml:space="preserve">7SR5711-ME-004002A</t>
  </si>
  <si>
    <t xml:space="preserve">RELEVADOR 7SR5711-ME-004002A</t>
  </si>
  <si>
    <t xml:space="preserve">TRI-REF-DBP-08ACD-SSAGU-GA004002A</t>
  </si>
  <si>
    <t xml:space="preserve">CLASE I DIVISION II</t>
  </si>
  <si>
    <t xml:space="preserve">PC03</t>
  </si>
  <si>
    <t xml:space="preserve">20964741</t>
  </si>
  <si>
    <t xml:space="preserve">7SR5711-ME-004003A</t>
  </si>
  <si>
    <t xml:space="preserve">RELEVADOR 7SR5711-ME-004003A</t>
  </si>
  <si>
    <t xml:space="preserve">TRI-REF-DBP-08ACD-SSAGU-GA004003A</t>
  </si>
  <si>
    <t xml:space="preserve">20964742</t>
  </si>
  <si>
    <t xml:space="preserve">7SR5711-ME-004004A</t>
  </si>
  <si>
    <t xml:space="preserve">RELEVADOR 7SR5711-ME-004004A</t>
  </si>
  <si>
    <t xml:space="preserve">TRI-REF-DBP-08ACD-SSAGU-GA004004A</t>
  </si>
  <si>
    <t xml:space="preserve">20964743</t>
  </si>
  <si>
    <t xml:space="preserve">7SR5711-ME-004005A</t>
  </si>
  <si>
    <t xml:space="preserve">RELEVADOR 7SR5711-ME-004005A</t>
  </si>
  <si>
    <t xml:space="preserve">TRI-REF-DBP-08ACD-SSAGU-GA004005A</t>
  </si>
  <si>
    <t xml:space="preserve">20964744</t>
  </si>
  <si>
    <t xml:space="preserve">7SR5711-ME-004006A</t>
  </si>
  <si>
    <t xml:space="preserve">RELEVADOR 7SR5711-ME-004006A</t>
  </si>
  <si>
    <t xml:space="preserve">TRI-REF-DBP-08ACD-SSAGU-GA004006A</t>
  </si>
  <si>
    <t xml:space="preserve">20957898</t>
  </si>
  <si>
    <t xml:space="preserve">REM-620 GAM-22115 A</t>
  </si>
  <si>
    <t xml:space="preserve">RELEVADOR REM-620 GAM-22115 A</t>
  </si>
  <si>
    <t xml:space="preserve">TRI-REF-DBP-03ALA-SFRAC-GA22115A</t>
  </si>
  <si>
    <t xml:space="preserve">DBALA</t>
  </si>
  <si>
    <t xml:space="preserve">SECTOR03</t>
  </si>
  <si>
    <t xml:space="preserve">PROTECCION Y MEDICION</t>
  </si>
  <si>
    <t xml:space="preserve">100.0 V</t>
  </si>
  <si>
    <t xml:space="preserve">RJ-45</t>
  </si>
  <si>
    <t xml:space="preserve">20957899</t>
  </si>
  <si>
    <t xml:space="preserve">REM-620 GAM-22001 A</t>
  </si>
  <si>
    <t xml:space="preserve">RELEVADOR REM-620 GAM-22001 A</t>
  </si>
  <si>
    <t xml:space="preserve">TRI-REF-DBP-03ALA-SSHP1-GA22001A</t>
  </si>
  <si>
    <t xml:space="preserve">20957900</t>
  </si>
  <si>
    <t xml:space="preserve">REM-620 GAM-22114 A</t>
  </si>
  <si>
    <t xml:space="preserve">RELEVADOR REM-620 GAM-22114 A</t>
  </si>
  <si>
    <t xml:space="preserve">TRI-REF-DBP-03ALA-SFRAC-GA22114A</t>
  </si>
  <si>
    <t xml:space="preserve">20957901</t>
  </si>
  <si>
    <t xml:space="preserve">REM-620 GAM-22102 B</t>
  </si>
  <si>
    <t xml:space="preserve">RELEVADOR REM-620 GAM-22102 B</t>
  </si>
  <si>
    <t xml:space="preserve">TRI-REF-DBP-03ALA-SZACI-GA22102B</t>
  </si>
  <si>
    <t xml:space="preserve">20957922</t>
  </si>
  <si>
    <t xml:space="preserve">REM-620 GAM-22102A</t>
  </si>
  <si>
    <t xml:space="preserve">RELEVADOR REM-620 GAM-22102A</t>
  </si>
  <si>
    <t xml:space="preserve">TRI-REF-DBP-03ALA-SZACI-GA22102A</t>
  </si>
  <si>
    <t xml:space="preserve">20957923</t>
  </si>
  <si>
    <t xml:space="preserve">REM-620 GAM-22114B</t>
  </si>
  <si>
    <t xml:space="preserve">RELEVADOR REM-620 GAM-22114B</t>
  </si>
  <si>
    <t xml:space="preserve">TRI-REF-DBP-03ALA-SFRAC-GA22114B</t>
  </si>
  <si>
    <t xml:space="preserve">20957924</t>
  </si>
  <si>
    <t xml:space="preserve">REM-620 GAM-22001B</t>
  </si>
  <si>
    <t xml:space="preserve">RELEVADOR REM-620 GAM-22001B</t>
  </si>
  <si>
    <t xml:space="preserve">TRI-REF-DBP-03ALA-SSHP1-GA22001B</t>
  </si>
  <si>
    <t xml:space="preserve">20957925</t>
  </si>
  <si>
    <t xml:space="preserve">REM-620 GAM-22115B</t>
  </si>
  <si>
    <t xml:space="preserve">RELEVADOR REM-620 GAM-22115B</t>
  </si>
  <si>
    <t xml:space="preserve">TRI-REF-DBP-03ALA-SFRAC-GA22115B</t>
  </si>
  <si>
    <t xml:space="preserve">20957926</t>
  </si>
  <si>
    <t xml:space="preserve">REM-620 GAM-22114C</t>
  </si>
  <si>
    <t xml:space="preserve">RELEVADOR REM-620 GAM-22114C</t>
  </si>
  <si>
    <t xml:space="preserve">TRI-REF-DBP-03ALA-SFRAC-GA22114C</t>
  </si>
  <si>
    <t xml:space="preserve">20989834</t>
  </si>
  <si>
    <t xml:space="preserve">REM615-BVM-81002B</t>
  </si>
  <si>
    <t xml:space="preserve">RELEVADOR REM-615 BVM-81002B</t>
  </si>
  <si>
    <t xml:space="preserve">TRI-REF-DBP-06AZA-SSERV-BV81002B</t>
  </si>
  <si>
    <t xml:space="preserve">DBAZA</t>
  </si>
  <si>
    <t xml:space="preserve">SECTOR06</t>
  </si>
  <si>
    <t xml:space="preserve">REM-615A_1G</t>
  </si>
  <si>
    <t xml:space="preserve">PROTECCION DE MOTOR</t>
  </si>
  <si>
    <t xml:space="preserve">20989833</t>
  </si>
  <si>
    <t xml:space="preserve">REM615-BVM-81002A</t>
  </si>
  <si>
    <t xml:space="preserve">RELEVADOR REM-615 BVM-81002A</t>
  </si>
  <si>
    <t xml:space="preserve">20989832</t>
  </si>
  <si>
    <t xml:space="preserve">REM615-87BVM-81001A</t>
  </si>
  <si>
    <t xml:space="preserve">RELEVADOR REM-615-87 BVM-81001A</t>
  </si>
  <si>
    <t xml:space="preserve">TRI-REF-DBP-06AZA-SSERV-BV81001A</t>
  </si>
  <si>
    <t xml:space="preserve">20989831</t>
  </si>
  <si>
    <t xml:space="preserve">REM615-BVM-81001A</t>
  </si>
  <si>
    <t xml:space="preserve">RELEVADOR REM-615 BVM-81001A</t>
  </si>
  <si>
    <t xml:space="preserve">20984351</t>
  </si>
  <si>
    <t xml:space="preserve">REM615-87-BVM-81001B</t>
  </si>
  <si>
    <t xml:space="preserve">RELEVADOR REM-615-87 BVM-81001B</t>
  </si>
  <si>
    <t xml:space="preserve">TRI-REF-DBP-06AZA-SSERV-BV81001B</t>
  </si>
  <si>
    <t xml:space="preserve">20984350</t>
  </si>
  <si>
    <t xml:space="preserve">REM615-BVM-81001B</t>
  </si>
  <si>
    <t xml:space="preserve">RELEVADOR REM-615 BVM-81001B</t>
  </si>
  <si>
    <t xml:space="preserve">20989835</t>
  </si>
  <si>
    <t xml:space="preserve">REM615-BVM-82001A</t>
  </si>
  <si>
    <t xml:space="preserve">RELEVADOR REM-615 BVM-82001A</t>
  </si>
  <si>
    <t xml:space="preserve">TRI-REF-DBP-06AZB-SSERV-BV82001A</t>
  </si>
  <si>
    <t xml:space="preserve">U-RECUPERADORA DE AZUFRE (PRA2) TREN 2</t>
  </si>
  <si>
    <t xml:space="preserve">DBAZB</t>
  </si>
  <si>
    <t xml:space="preserve">20989836</t>
  </si>
  <si>
    <t xml:space="preserve">REM615-87BVM-82001A</t>
  </si>
  <si>
    <t xml:space="preserve">RELEVADOR REM-615-87 BVM-82001A</t>
  </si>
  <si>
    <t xml:space="preserve">20989837</t>
  </si>
  <si>
    <t xml:space="preserve">REM615-BVM-82002A</t>
  </si>
  <si>
    <t xml:space="preserve">RELEVADOR REM-615 BVM-82002A</t>
  </si>
  <si>
    <t xml:space="preserve">TRI-REF-DBP-06AZB-SSERV-BV82002A</t>
  </si>
  <si>
    <t xml:space="preserve">20989838</t>
  </si>
  <si>
    <t xml:space="preserve">REM615-BVM-82002B</t>
  </si>
  <si>
    <t xml:space="preserve">RELEVADOR REM-615 BVM-82002B</t>
  </si>
  <si>
    <t xml:space="preserve">TRI-REF-DBP-06AZB-SSERV-BV82002B</t>
  </si>
  <si>
    <t xml:space="preserve">20958117</t>
  </si>
  <si>
    <t xml:space="preserve">7SR57-MGA-90012 C</t>
  </si>
  <si>
    <t xml:space="preserve">RELEVADOR 7SR57-MGA-90012 C</t>
  </si>
  <si>
    <t xml:space="preserve">TRI-REF-DBP-07BAA-SCB92-GA90012C</t>
  </si>
  <si>
    <t xml:space="preserve">DISTRIBUCIÓN, BOMBEO Y ALMACENAMIENTO</t>
  </si>
  <si>
    <t xml:space="preserve">DBBAA</t>
  </si>
  <si>
    <t xml:space="preserve">SECTOR07</t>
  </si>
  <si>
    <t xml:space="preserve">USB</t>
  </si>
  <si>
    <t xml:space="preserve">20958118</t>
  </si>
  <si>
    <t xml:space="preserve">7SR57-MGA-90013 B</t>
  </si>
  <si>
    <t xml:space="preserve">RELEVADOR 7SR57-MGA-90013 B</t>
  </si>
  <si>
    <t xml:space="preserve">TRI-REF-DBP-07BAA-SCB92-GA90013B</t>
  </si>
  <si>
    <t xml:space="preserve">20958119</t>
  </si>
  <si>
    <t xml:space="preserve">7SR57-MGA-90015 A</t>
  </si>
  <si>
    <t xml:space="preserve">RELEVADOR 7SR57-MGA-90015 A</t>
  </si>
  <si>
    <t xml:space="preserve">TRI-REF-DBP-07BAA-SCB92-GA90015A</t>
  </si>
  <si>
    <t xml:space="preserve">20958120</t>
  </si>
  <si>
    <t xml:space="preserve">7SR57-MGA-90016 B</t>
  </si>
  <si>
    <t xml:space="preserve">RELEVADOR 7SR57-MGA-90016 B</t>
  </si>
  <si>
    <t xml:space="preserve">TRI-REF-DBP-07BAA-SCB92-GA90016B</t>
  </si>
  <si>
    <t xml:space="preserve">20958130</t>
  </si>
  <si>
    <t xml:space="preserve">7SR57-ME-GA-90011 A</t>
  </si>
  <si>
    <t xml:space="preserve">RELEVADOR 7SR57-ME-GA-90011 A</t>
  </si>
  <si>
    <t xml:space="preserve">TRI-REF-DBP-07BAA-SCB93-GA90011A</t>
  </si>
  <si>
    <t xml:space="preserve">20958131</t>
  </si>
  <si>
    <t xml:space="preserve">7SR57-ME-GA-90019 A</t>
  </si>
  <si>
    <t xml:space="preserve">RELEVADOR 7SR57-ME-GA-90019 A</t>
  </si>
  <si>
    <t xml:space="preserve">TRI-REF-DBP-07BAA-SCB93-GA90019A</t>
  </si>
  <si>
    <t xml:space="preserve">20958132</t>
  </si>
  <si>
    <t xml:space="preserve">7SR57-ME-GA-90019 C</t>
  </si>
  <si>
    <t xml:space="preserve">RELEVADOR 7SR57-ME-GA-90019 C</t>
  </si>
  <si>
    <t xml:space="preserve">TRI-REF-DBP-07BAA-SCB93-GA90019C</t>
  </si>
  <si>
    <t xml:space="preserve">20958133</t>
  </si>
  <si>
    <t xml:space="preserve">7SR57-ME-GA-90018 A</t>
  </si>
  <si>
    <t xml:space="preserve">RELEVADOR 7SR57-ME-GA-90018 A</t>
  </si>
  <si>
    <t xml:space="preserve">TRI-REF-DBP-07BAA-SCB93-GA90018A</t>
  </si>
  <si>
    <t xml:space="preserve">20958134</t>
  </si>
  <si>
    <t xml:space="preserve">7SR57-ME-GA-90018 C</t>
  </si>
  <si>
    <t xml:space="preserve">RELEVADOR 7SR57-ME-GA-90018 C</t>
  </si>
  <si>
    <t xml:space="preserve">TRI-REF-DBP-07BAA-SCB93-GA90018C</t>
  </si>
  <si>
    <t xml:space="preserve">20958135</t>
  </si>
  <si>
    <t xml:space="preserve">7SR57-ME-GA-90018 B</t>
  </si>
  <si>
    <t xml:space="preserve">RELEVADOR 7SR57-ME-GA-90018 B</t>
  </si>
  <si>
    <t xml:space="preserve">TRI-REF-DBP-07BAA-SCB93-GA90018B</t>
  </si>
  <si>
    <t xml:space="preserve">20958136</t>
  </si>
  <si>
    <t xml:space="preserve">7SR57-ME-GA-90019 B</t>
  </si>
  <si>
    <t xml:space="preserve">RELEVADOR 7SR57-ME-GA-90019 B</t>
  </si>
  <si>
    <t xml:space="preserve">TRI-REF-DBP-07BAA-SCB93-GA90019B</t>
  </si>
  <si>
    <t xml:space="preserve">20958137</t>
  </si>
  <si>
    <t xml:space="preserve">7SR57-ME-GA-90011 C</t>
  </si>
  <si>
    <t xml:space="preserve">RELEVADOR 7SR57-ME-GA-90011 C</t>
  </si>
  <si>
    <t xml:space="preserve">TRI-REF-DBP-07BAA-SCB93-GA90011C</t>
  </si>
  <si>
    <t xml:space="preserve">20958138</t>
  </si>
  <si>
    <t xml:space="preserve">7SR57-ME-GA-90011 B</t>
  </si>
  <si>
    <t xml:space="preserve">RELEVADOR 7SR57-ME-GA-90011 B</t>
  </si>
  <si>
    <t xml:space="preserve">TRI-REF-DBP-07BAA-SCB93-GA90011B</t>
  </si>
  <si>
    <t xml:space="preserve">20958154</t>
  </si>
  <si>
    <t xml:space="preserve">REM615-GAM-90300 C</t>
  </si>
  <si>
    <t xml:space="preserve">RELEVADOR REM615-GAM-90300 C</t>
  </si>
  <si>
    <t xml:space="preserve">TRI-REF-DBP-07BAA-SCB95-GA90300C</t>
  </si>
  <si>
    <t xml:space="preserve">20958155</t>
  </si>
  <si>
    <t xml:space="preserve">REM615-GAM-90300 A</t>
  </si>
  <si>
    <t xml:space="preserve">RELEVADOR REM615-GAM-90300 A</t>
  </si>
  <si>
    <t xml:space="preserve">TRI-REF-DBP-07BAA-SCB95-GA90300A</t>
  </si>
  <si>
    <t xml:space="preserve">20958156</t>
  </si>
  <si>
    <t xml:space="preserve">REM615-GAM-90300 B</t>
  </si>
  <si>
    <t xml:space="preserve">RELEVADOR REM615-GAM-90300 B</t>
  </si>
  <si>
    <t xml:space="preserve">TRI-REF-DBP-07BAA-SCB95-GA90300B</t>
  </si>
  <si>
    <t xml:space="preserve">20958157</t>
  </si>
  <si>
    <t xml:space="preserve">REM615-GAM-90300 D</t>
  </si>
  <si>
    <t xml:space="preserve">RELEVADOR REM615-GAM-90300 D</t>
  </si>
  <si>
    <t xml:space="preserve">TRI-REF-DBP-07BAA-SCB95-GA90300D</t>
  </si>
  <si>
    <t xml:space="preserve">20958083</t>
  </si>
  <si>
    <t xml:space="preserve">7SR57-MGA-90001 A</t>
  </si>
  <si>
    <t xml:space="preserve">RELEVADOR 7SR57-MGA-90001 A</t>
  </si>
  <si>
    <t xml:space="preserve">TRI-REF-DBP-07BAA-SCB91-GA90001A</t>
  </si>
  <si>
    <t xml:space="preserve">20958084</t>
  </si>
  <si>
    <t xml:space="preserve">7SR57-MGA-90001 B</t>
  </si>
  <si>
    <t xml:space="preserve">RELEVADOR 7SR57-MGA-90001 B</t>
  </si>
  <si>
    <t xml:space="preserve">TRI-REF-DBP-07BAA-SCB91-GA90001B</t>
  </si>
  <si>
    <t xml:space="preserve">20958085</t>
  </si>
  <si>
    <t xml:space="preserve">7SR57-MGA-90001 C</t>
  </si>
  <si>
    <t xml:space="preserve">RELEVADOR 7SR57-MGA-90001 C</t>
  </si>
  <si>
    <t xml:space="preserve">TRI-REF-DBP-07BAA-SCB91-GA90001C</t>
  </si>
  <si>
    <t xml:space="preserve">20958086</t>
  </si>
  <si>
    <t xml:space="preserve">7SR57-MGA-90005 A</t>
  </si>
  <si>
    <t xml:space="preserve">RELEVADOR 7SR57-MGA-90005 A</t>
  </si>
  <si>
    <t xml:space="preserve">TRI-REF-DBP-07BAA-SCB91-GA90005A</t>
  </si>
  <si>
    <t xml:space="preserve">20958087</t>
  </si>
  <si>
    <t xml:space="preserve">7SR57-MGA-90005 B</t>
  </si>
  <si>
    <t xml:space="preserve">RELEVADOR 7SR57-MGA-90005 B</t>
  </si>
  <si>
    <t xml:space="preserve">TRI-REF-DBP-07BAA-SCB91-GA90005B</t>
  </si>
  <si>
    <t xml:space="preserve">20958088</t>
  </si>
  <si>
    <t xml:space="preserve">7SR57-MGA-90005 C</t>
  </si>
  <si>
    <t xml:space="preserve">RELEVADOR 7SR57-MGA-90005 C</t>
  </si>
  <si>
    <t xml:space="preserve">TRI-REF-DBP-07BAA-SCB91-GA90005C</t>
  </si>
  <si>
    <t xml:space="preserve">20958089</t>
  </si>
  <si>
    <t xml:space="preserve">7SR57-MGA-90006 A</t>
  </si>
  <si>
    <t xml:space="preserve">RELEVADOR 7SR57-MGA-90006 A</t>
  </si>
  <si>
    <t xml:space="preserve">TRI-REF-DBP-07BAA-SCB91-GA90006A</t>
  </si>
  <si>
    <t xml:space="preserve">20958090</t>
  </si>
  <si>
    <t xml:space="preserve">7SR57-MGA-90006 B</t>
  </si>
  <si>
    <t xml:space="preserve">RELEVADOR 7SR57-MGA-90006 B</t>
  </si>
  <si>
    <t xml:space="preserve">TRI-REF-DBP-07BAA-SCB91-GA90006B</t>
  </si>
  <si>
    <t xml:space="preserve">20958091</t>
  </si>
  <si>
    <t xml:space="preserve">7SR57-MGA-90029 A</t>
  </si>
  <si>
    <t xml:space="preserve">RELEVADOR 7SR57-MGA-90029 A</t>
  </si>
  <si>
    <t xml:space="preserve">TRI-REF-DBP-07BAA-SCB91-GA90029A</t>
  </si>
  <si>
    <t xml:space="preserve">20958116</t>
  </si>
  <si>
    <t xml:space="preserve">7SR57-MGA-90012 B</t>
  </si>
  <si>
    <t xml:space="preserve">RELEVADOR 7SR57-MGA-90012 B</t>
  </si>
  <si>
    <t xml:space="preserve">TRI-REF-DBP-07BAA-SCB92-GA90012B</t>
  </si>
  <si>
    <t xml:space="preserve">20958115</t>
  </si>
  <si>
    <t xml:space="preserve">7SR57-MGA-90012 A</t>
  </si>
  <si>
    <t xml:space="preserve">RELEVADOR 7SR57-MGA-90012 A</t>
  </si>
  <si>
    <t xml:space="preserve">TRI-REF-DBP-07BAA-SCB92-GA90012A</t>
  </si>
  <si>
    <t xml:space="preserve">20958114</t>
  </si>
  <si>
    <t xml:space="preserve">7SR57-MGA-90013 A</t>
  </si>
  <si>
    <t xml:space="preserve">RELEVADOR 7SR57-MGA-90013 A</t>
  </si>
  <si>
    <t xml:space="preserve">TRI-REF-DBP-07BAA-SCB92-GA90013A</t>
  </si>
  <si>
    <t xml:space="preserve">20958113</t>
  </si>
  <si>
    <t xml:space="preserve">7SR57-MGA-90013 C</t>
  </si>
  <si>
    <t xml:space="preserve">RELEVADOR 7SR57-MGA-90013 C</t>
  </si>
  <si>
    <t xml:space="preserve">TRI-REF-DBP-07BAA-SCB92-GA90013C</t>
  </si>
  <si>
    <t xml:space="preserve">20958092</t>
  </si>
  <si>
    <t xml:space="preserve">7SR57-MGA-90029 B</t>
  </si>
  <si>
    <t xml:space="preserve">RELEVADOR 7SR57-MGA-90029 B</t>
  </si>
  <si>
    <t xml:space="preserve">TRI-REF-DBP-07BAA-SCB91-GA90029B</t>
  </si>
  <si>
    <t xml:space="preserve">20958093</t>
  </si>
  <si>
    <t xml:space="preserve">7SR57-MGA-90029 C</t>
  </si>
  <si>
    <t xml:space="preserve">RELEVADOR 7SR57-MGA-90029 C</t>
  </si>
  <si>
    <t xml:space="preserve">TRI-REF-DBP-07BAA-SCB91-GA90029C</t>
  </si>
  <si>
    <t xml:space="preserve">20958112</t>
  </si>
  <si>
    <t xml:space="preserve">7SR57-MGA-90015 B</t>
  </si>
  <si>
    <t xml:space="preserve">RELEVADOR 7SR57-MGA-90015 B</t>
  </si>
  <si>
    <t xml:space="preserve">TRI-REF-DBP-07BAA-SCB92-GA90015B</t>
  </si>
  <si>
    <t xml:space="preserve">20958111</t>
  </si>
  <si>
    <t xml:space="preserve">7SR57-MGA-90016 A</t>
  </si>
  <si>
    <t xml:space="preserve">RELEVADOR 7SR57-MGA-90016 A</t>
  </si>
  <si>
    <t xml:space="preserve">TRI-REF-DBP-07BAA-SCB92-GA90016A</t>
  </si>
  <si>
    <t xml:space="preserve">20957867</t>
  </si>
  <si>
    <t xml:space="preserve">GE-869 MGA-21105 A</t>
  </si>
  <si>
    <t xml:space="preserve">RELEVADOR GE-869 MGA-21105 A</t>
  </si>
  <si>
    <t xml:space="preserve">TRI-REF-DBP-03CAA-SPCCP-GA21105A</t>
  </si>
  <si>
    <t xml:space="preserve">DBCAA</t>
  </si>
  <si>
    <t xml:space="preserve">20957868</t>
  </si>
  <si>
    <t xml:space="preserve">GE-869 MGA-21110 A</t>
  </si>
  <si>
    <t xml:space="preserve">RELEVADOR GE-869 MGA-21110 A</t>
  </si>
  <si>
    <t xml:space="preserve">TRI-REF-DBP-03CAA-SPCCP-GA21110A</t>
  </si>
  <si>
    <t xml:space="preserve">20957866</t>
  </si>
  <si>
    <t xml:space="preserve">GE-869 MGA-21104 A</t>
  </si>
  <si>
    <t xml:space="preserve">RELEVADOR GE-869 MGA-21104 A</t>
  </si>
  <si>
    <t xml:space="preserve">TRI-REF-DBP-03CAA-SPCCP-GA21104A</t>
  </si>
  <si>
    <t xml:space="preserve">20957865</t>
  </si>
  <si>
    <t xml:space="preserve">GE-869 MGA-21101 B</t>
  </si>
  <si>
    <t xml:space="preserve">RELEVADOR GE-869 MGA-21101 B</t>
  </si>
  <si>
    <t xml:space="preserve">TRI-REF-DBP-03CAA-SPCCP-GA21101B</t>
  </si>
  <si>
    <t xml:space="preserve">20957846</t>
  </si>
  <si>
    <t xml:space="preserve">GE-869 MGA-21101 A</t>
  </si>
  <si>
    <t xml:space="preserve">RELEVADOR GE-869 MGA-21101 A</t>
  </si>
  <si>
    <t xml:space="preserve">TRI-REF-DBP-03CAA-SPCCP-GA21101A</t>
  </si>
  <si>
    <t xml:space="preserve">20957869</t>
  </si>
  <si>
    <t xml:space="preserve">GE-869 MGA-21203 A</t>
  </si>
  <si>
    <t xml:space="preserve">RELEVADOR GE-869 MGA-21203 A</t>
  </si>
  <si>
    <t xml:space="preserve">TRI-REF-DBP-03CAA-SURVA-GA21203A</t>
  </si>
  <si>
    <t xml:space="preserve">20957870</t>
  </si>
  <si>
    <t xml:space="preserve">GE-869 MGA-21204 B</t>
  </si>
  <si>
    <t xml:space="preserve">RELEVADOR GE-869 MGA-21204 B</t>
  </si>
  <si>
    <t xml:space="preserve">TRI-REF-DBP-03CAA-SURVA-GA21204A</t>
  </si>
  <si>
    <t xml:space="preserve">20957871</t>
  </si>
  <si>
    <t xml:space="preserve">GE-869 MGA-21208 B</t>
  </si>
  <si>
    <t xml:space="preserve">RELEVADOR GE-869 MGA-21208 B</t>
  </si>
  <si>
    <t xml:space="preserve">TRI-REF-DBP-03CAA-SURVA-GA21208B</t>
  </si>
  <si>
    <t xml:space="preserve">20957872</t>
  </si>
  <si>
    <t xml:space="preserve">GE-869 MGA-21103 B</t>
  </si>
  <si>
    <t xml:space="preserve">RELEVADOR GE-869 MGA-21103 B</t>
  </si>
  <si>
    <t xml:space="preserve">TRI-REF-DBP-03CAA-SPCCP-GA21103B</t>
  </si>
  <si>
    <t xml:space="preserve">20957873</t>
  </si>
  <si>
    <t xml:space="preserve">GE-869 MGA-21305 B</t>
  </si>
  <si>
    <t xml:space="preserve">RELEVADOR GE-869 MGA-21305 B</t>
  </si>
  <si>
    <t xml:space="preserve">TRI-REF-DBP-03CAA-SUTAM-GA21305B</t>
  </si>
  <si>
    <t xml:space="preserve">20957845</t>
  </si>
  <si>
    <t xml:space="preserve">GE-869 MGA-21104 B</t>
  </si>
  <si>
    <t xml:space="preserve">RELEVADOR GE-869 MGA-21104 B</t>
  </si>
  <si>
    <t xml:space="preserve">TRI-REF-DBP-03CAA-SPCCP-GA21104B</t>
  </si>
  <si>
    <t xml:space="preserve">20957844</t>
  </si>
  <si>
    <t xml:space="preserve">GE-869 MGA-21105 B</t>
  </si>
  <si>
    <t xml:space="preserve">RELEVADOR GE-869 MGA-21105 B</t>
  </si>
  <si>
    <t xml:space="preserve">TRI-REF-DBP-03CAA-SPCCP-GA21105B</t>
  </si>
  <si>
    <t xml:space="preserve">20957843</t>
  </si>
  <si>
    <t xml:space="preserve">GE-869 MGA-21110 B</t>
  </si>
  <si>
    <t xml:space="preserve">RELEVADOR GE-869 MGA-21110 B</t>
  </si>
  <si>
    <t xml:space="preserve">TRI-REF-DBP-03CAA-SPCCP-GA21110B</t>
  </si>
  <si>
    <t xml:space="preserve">20957842</t>
  </si>
  <si>
    <t xml:space="preserve">GE-869 MGA-21203 B</t>
  </si>
  <si>
    <t xml:space="preserve">RELEVADOR GE-869 MGA-21203 B</t>
  </si>
  <si>
    <t xml:space="preserve">TRI-REF-DBP-03CAA-SURVA-GA21203B</t>
  </si>
  <si>
    <t xml:space="preserve">20957841</t>
  </si>
  <si>
    <t xml:space="preserve">GE-869 MGA-21204 A</t>
  </si>
  <si>
    <t xml:space="preserve">RELEVADOR GE-869 MGA-21204 A</t>
  </si>
  <si>
    <t xml:space="preserve">20957840</t>
  </si>
  <si>
    <t xml:space="preserve">GE-869 MGA-21208 A</t>
  </si>
  <si>
    <t xml:space="preserve">RELEVADOR GE-869 MGA-21208 A</t>
  </si>
  <si>
    <t xml:space="preserve">TRI-REF-DBP-03CAA-SURVA-GA21208A</t>
  </si>
  <si>
    <t xml:space="preserve">20957839</t>
  </si>
  <si>
    <t xml:space="preserve">GE-869 MGA-21103 A</t>
  </si>
  <si>
    <t xml:space="preserve">RELEVADOR GE-869 MGA-21103 A</t>
  </si>
  <si>
    <t xml:space="preserve">TRI-REF-DBP-03CAA-SPCCP-GA21103A</t>
  </si>
  <si>
    <t xml:space="preserve">20957838</t>
  </si>
  <si>
    <t xml:space="preserve">GE-869 MGA-21305 A</t>
  </si>
  <si>
    <t xml:space="preserve">RELEVADOR GE-869 MGA-21305 A</t>
  </si>
  <si>
    <t xml:space="preserve">TRI-REF-DBP-03CAA-SUTAM-GA21305A</t>
  </si>
  <si>
    <t xml:space="preserve">20957837</t>
  </si>
  <si>
    <t xml:space="preserve">GE-869-87M MGB-21002</t>
  </si>
  <si>
    <t xml:space="preserve">RELEVADOR GE-869-87M MGB-21002</t>
  </si>
  <si>
    <t xml:space="preserve">TRI-REF-DBP-03CAA-SRRCC-GB21002</t>
  </si>
  <si>
    <t xml:space="preserve">20957836</t>
  </si>
  <si>
    <t xml:space="preserve">GE-869 MGB-21002</t>
  </si>
  <si>
    <t xml:space="preserve">RELEVADOR GE-869 MGB-21002</t>
  </si>
  <si>
    <t xml:space="preserve">20957826</t>
  </si>
  <si>
    <t xml:space="preserve">GE-850 21-MVSS-21401</t>
  </si>
  <si>
    <t xml:space="preserve">RELEVADOR GE-850 21-MVSS-21401</t>
  </si>
  <si>
    <t xml:space="preserve">TRI-REF-DBP-03CAA-SURPR-GB21401</t>
  </si>
  <si>
    <t xml:space="preserve">20968561</t>
  </si>
  <si>
    <t xml:space="preserve">7SR57-MGA-89019 R</t>
  </si>
  <si>
    <t xml:space="preserve">RELEVADOR 7SR57-MGA-89019 R</t>
  </si>
  <si>
    <t xml:space="preserve">TRI-REF-DBP-07TDE-SCARC-GA89019R</t>
  </si>
  <si>
    <t xml:space="preserve">DBCCM</t>
  </si>
  <si>
    <t xml:space="preserve">20968560</t>
  </si>
  <si>
    <t xml:space="preserve">7SR57-MGA-89018</t>
  </si>
  <si>
    <t xml:space="preserve">RELEVADOR 7SR57-MGA-89018</t>
  </si>
  <si>
    <t xml:space="preserve">TRI-REF-DBP-07TDE-SCARC-GA89018</t>
  </si>
  <si>
    <t xml:space="preserve">20968559</t>
  </si>
  <si>
    <t xml:space="preserve">7SR57-MGA-89017</t>
  </si>
  <si>
    <t xml:space="preserve">RELEVADOR 7SR57-MGA-89017 R</t>
  </si>
  <si>
    <t xml:space="preserve">TRI-REF-DBP-07TDE-SCARC-GA89017</t>
  </si>
  <si>
    <t xml:space="preserve">20968558</t>
  </si>
  <si>
    <t xml:space="preserve">7SR57-MGA-89016</t>
  </si>
  <si>
    <t xml:space="preserve">RELEVADOR 7SR57-MGA-89016</t>
  </si>
  <si>
    <t xml:space="preserve">TRI-REF-DBP-07TDE-SCARC-GA89016</t>
  </si>
  <si>
    <t xml:space="preserve">20968557</t>
  </si>
  <si>
    <t xml:space="preserve">7SR57-MGA-89006 R</t>
  </si>
  <si>
    <t xml:space="preserve">RELEVADOR 7SR57-MGA-89006 R</t>
  </si>
  <si>
    <t xml:space="preserve">TRI-REF-DBP-07TDE-SCARC-GA89006R</t>
  </si>
  <si>
    <t xml:space="preserve">20968556</t>
  </si>
  <si>
    <t xml:space="preserve">7SR57-MGA-89005</t>
  </si>
  <si>
    <t xml:space="preserve">RELEVADOR 7SR57-MGA-89005</t>
  </si>
  <si>
    <t xml:space="preserve">TRI-REF-DBP-07TDE-SCARC-GA89005</t>
  </si>
  <si>
    <t xml:space="preserve">20968555</t>
  </si>
  <si>
    <t xml:space="preserve">7SR57-MGA-89004</t>
  </si>
  <si>
    <t xml:space="preserve">RELEVADOR 7SR57-MGA-89004</t>
  </si>
  <si>
    <t xml:space="preserve">TRI-REF-DBP-07TDE-SCARC-GA89004</t>
  </si>
  <si>
    <t xml:space="preserve">20968554</t>
  </si>
  <si>
    <t xml:space="preserve">7SR57-MGA-89003 R</t>
  </si>
  <si>
    <t xml:space="preserve">RELEVADOR 7SR57-MGA-89003 R</t>
  </si>
  <si>
    <t xml:space="preserve">TRI-REF-DBP-07TDE-SCARC-GA89003R</t>
  </si>
  <si>
    <t xml:space="preserve">20968553</t>
  </si>
  <si>
    <t xml:space="preserve">7SR57-MGA-89002</t>
  </si>
  <si>
    <t xml:space="preserve">RELEVADOR 7SR57-MGA-89002</t>
  </si>
  <si>
    <t xml:space="preserve">TRI-REF-DBP-07TDE-SCARC-GA89002</t>
  </si>
  <si>
    <t xml:space="preserve">20968552</t>
  </si>
  <si>
    <t xml:space="preserve">7SR57-MGA-89001</t>
  </si>
  <si>
    <t xml:space="preserve">RELEVADOR 7SR57-MGA-89001</t>
  </si>
  <si>
    <t xml:space="preserve">TRI-REF-DBP-07TDE-SCARC-GA89001</t>
  </si>
  <si>
    <t xml:space="preserve">20958214</t>
  </si>
  <si>
    <t xml:space="preserve">7SR57-MGA-89022 R</t>
  </si>
  <si>
    <t xml:space="preserve">RELEVADOR 7SR57-MGA-89022 R</t>
  </si>
  <si>
    <t xml:space="preserve">TRI-REF-DBP-07TDE-SCARC-GA89022R</t>
  </si>
  <si>
    <t xml:space="preserve">20958213</t>
  </si>
  <si>
    <t xml:space="preserve">7SR57-MGA-89021</t>
  </si>
  <si>
    <t xml:space="preserve">RELEVADOR 7SR57-MGA-89021</t>
  </si>
  <si>
    <t xml:space="preserve">TRI-REF-DBP-07TDE-SCARC-GA89021</t>
  </si>
  <si>
    <t xml:space="preserve">20958212</t>
  </si>
  <si>
    <t xml:space="preserve">7SR57-MGA-89008</t>
  </si>
  <si>
    <t xml:space="preserve">RELEVADOR 7SR57-MGA-89008</t>
  </si>
  <si>
    <t xml:space="preserve">TRI-REF-DBP-07TDE-SCARC-GA89008</t>
  </si>
  <si>
    <t xml:space="preserve">20958204</t>
  </si>
  <si>
    <t xml:space="preserve">7SR57-MGA-89007</t>
  </si>
  <si>
    <t xml:space="preserve">RELEVADOR 7SR57-MGA-89007</t>
  </si>
  <si>
    <t xml:space="preserve">TRI-REF-DBP-07TDE-SCARC-GA89007</t>
  </si>
  <si>
    <t xml:space="preserve">20958203</t>
  </si>
  <si>
    <t xml:space="preserve">7SR57-MGA-89009 R</t>
  </si>
  <si>
    <t xml:space="preserve">RELEVADOR 7SR57-MGA-89009 R</t>
  </si>
  <si>
    <t xml:space="preserve">TRI-REF-DBP-07TDE-SCARC-GA89009R</t>
  </si>
  <si>
    <t xml:space="preserve">20958202</t>
  </si>
  <si>
    <t xml:space="preserve">7SR57-MGA-89020</t>
  </si>
  <si>
    <t xml:space="preserve">RELEVADOR 7SR57-MGA-89020</t>
  </si>
  <si>
    <t xml:space="preserve">TRI-REF-DBP-07TDE-SCARC-GA89020</t>
  </si>
  <si>
    <t xml:space="preserve">20958061</t>
  </si>
  <si>
    <t xml:space="preserve">7SR57-MGA-89025 R</t>
  </si>
  <si>
    <t xml:space="preserve">RELEVADOR 7SR57-MGA-89025 R</t>
  </si>
  <si>
    <t xml:space="preserve">TRI-REF-DBP-07TDE-SCARC-GA89025R</t>
  </si>
  <si>
    <t xml:space="preserve">20958060</t>
  </si>
  <si>
    <t xml:space="preserve">7SR57-MGA-89011</t>
  </si>
  <si>
    <t xml:space="preserve">RELEVADOR 7SR57-MGA-89011</t>
  </si>
  <si>
    <t xml:space="preserve">TRI-REF-DBP-07TDE-SCARC-GA89011</t>
  </si>
  <si>
    <t xml:space="preserve">20958059</t>
  </si>
  <si>
    <t xml:space="preserve">7SR57-MGA-89010</t>
  </si>
  <si>
    <t xml:space="preserve">RELEVADOR 7SR57-MGA-89010</t>
  </si>
  <si>
    <t xml:space="preserve">TRI-REF-DBP-07TDE-SCARC-GA89010</t>
  </si>
  <si>
    <t xml:space="preserve">20958058</t>
  </si>
  <si>
    <t xml:space="preserve">7SR57-MGA-89012 R</t>
  </si>
  <si>
    <t xml:space="preserve">RELEVADOR 7SR57-MGA-89012 R</t>
  </si>
  <si>
    <t xml:space="preserve">TRI-REF-DBP-07TDE-SCARC-GA89012R</t>
  </si>
  <si>
    <t xml:space="preserve">20958057</t>
  </si>
  <si>
    <t xml:space="preserve">7SR57-MGA-89024</t>
  </si>
  <si>
    <t xml:space="preserve">RELEVADOR 7SR57-MGA-89024</t>
  </si>
  <si>
    <t xml:space="preserve">TRI-REF-DBP-07TDE-SCARC-GA89024</t>
  </si>
  <si>
    <t xml:space="preserve">20958056</t>
  </si>
  <si>
    <t xml:space="preserve">7SR57-MGA-89023</t>
  </si>
  <si>
    <t xml:space="preserve">RELEVADOR 7SR57-MGA-89023</t>
  </si>
  <si>
    <t xml:space="preserve">TRI-REF-DBP-07TDE-SCARC-GA89023</t>
  </si>
  <si>
    <t xml:space="preserve">20965583</t>
  </si>
  <si>
    <t xml:space="preserve">7SR5711-GAM-07003E</t>
  </si>
  <si>
    <t xml:space="preserve">RELEVADOR 7SR5711-GAM-07003E</t>
  </si>
  <si>
    <t xml:space="preserve">TRI-REF-DBP-08CND-SALMD-GA_07003E</t>
  </si>
  <si>
    <t xml:space="preserve">RECUPERACION DE CONDENSADOS LIMP. Y AC.</t>
  </si>
  <si>
    <t xml:space="preserve">DBCND</t>
  </si>
  <si>
    <t xml:space="preserve">20965582</t>
  </si>
  <si>
    <t xml:space="preserve">7SR5711-GAM-07003D</t>
  </si>
  <si>
    <t xml:space="preserve">RELEVADOR 7SR5711-GAM-07003D</t>
  </si>
  <si>
    <t xml:space="preserve">TRI-REF-DBP-08CND-SALMD-GA_07003D</t>
  </si>
  <si>
    <t xml:space="preserve">20965581</t>
  </si>
  <si>
    <t xml:space="preserve">7SR5711-GAM-07003C</t>
  </si>
  <si>
    <t xml:space="preserve">RELEVADOR 7SR5711-GAM-07003C</t>
  </si>
  <si>
    <t xml:space="preserve">TRI-REF-DBP-08CND-SALMD-GA_07003C</t>
  </si>
  <si>
    <t xml:space="preserve">20965580</t>
  </si>
  <si>
    <t xml:space="preserve">7SR5711-GAM-07003B</t>
  </si>
  <si>
    <t xml:space="preserve">RELEVADOR 7SR5711-GAM-07003B</t>
  </si>
  <si>
    <t xml:space="preserve">TRI-REF-DBP-08CND-SALMD-GA_07003B</t>
  </si>
  <si>
    <t xml:space="preserve">20965579</t>
  </si>
  <si>
    <t xml:space="preserve">7SR5711-GAM-07003A</t>
  </si>
  <si>
    <t xml:space="preserve">RELEVADOR 7SR5711-GAM-07003A</t>
  </si>
  <si>
    <t xml:space="preserve">TRI-REF-DBP-08CND-SALMD-GA_07003A</t>
  </si>
  <si>
    <t xml:space="preserve">20983067</t>
  </si>
  <si>
    <t xml:space="preserve">SEL-735 TDA-151-01 B</t>
  </si>
  <si>
    <t xml:space="preserve">RELEVADOR SEL-735 TDA-151-01-BUS-B</t>
  </si>
  <si>
    <t xml:space="preserve">TRI-REF-DBP-02SEL-S15_1-TDA151_01B_S151</t>
  </si>
  <si>
    <t xml:space="preserve">DBCOA</t>
  </si>
  <si>
    <t xml:space="preserve">SECTOR02</t>
  </si>
  <si>
    <t xml:space="preserve">20983068</t>
  </si>
  <si>
    <t xml:space="preserve">REF615A-1G TR-151-02</t>
  </si>
  <si>
    <t xml:space="preserve">RELEVADOR REF615A-1G TR-151-02</t>
  </si>
  <si>
    <t xml:space="preserve">TRI-REF-DBP-02SEL-S15_1-TR_151_02_S151</t>
  </si>
  <si>
    <t xml:space="preserve">PROTECCION</t>
  </si>
  <si>
    <t xml:space="preserve">NO APLICA</t>
  </si>
  <si>
    <t xml:space="preserve">20983069</t>
  </si>
  <si>
    <t xml:space="preserve">RET615A_1G TR-151-02</t>
  </si>
  <si>
    <t xml:space="preserve">RELEVADOR RET615A_1G TR-151-02</t>
  </si>
  <si>
    <t xml:space="preserve">20983070</t>
  </si>
  <si>
    <t xml:space="preserve">REF615A-1G ASA-151-02</t>
  </si>
  <si>
    <t xml:space="preserve">RELEVADOR REF615A-1G ASA-151-02</t>
  </si>
  <si>
    <t xml:space="preserve">TRI-REF-DBP-02COR-SBOCA-GA31014B</t>
  </si>
  <si>
    <t xml:space="preserve">20983071</t>
  </si>
  <si>
    <t xml:space="preserve">REA 101 ASA-151-02</t>
  </si>
  <si>
    <t xml:space="preserve">RELEVADOR REA 101 ASA-151-02</t>
  </si>
  <si>
    <t xml:space="preserve">20983072</t>
  </si>
  <si>
    <t xml:space="preserve">REM615A_1G BVM-31112</t>
  </si>
  <si>
    <t xml:space="preserve">RELEVADOR REM615A_1G BVM-31112</t>
  </si>
  <si>
    <t xml:space="preserve">TRI-REF-DBP-02COR-SREAC-BA31002</t>
  </si>
  <si>
    <t xml:space="preserve">20983073</t>
  </si>
  <si>
    <t xml:space="preserve">REM615A_1G GAM-31013C</t>
  </si>
  <si>
    <t xml:space="preserve">RELEVADOR REM615A_1G GAM-31013C</t>
  </si>
  <si>
    <t xml:space="preserve">TRI-REF-DBP-02COR-SBOCA-GA31013C</t>
  </si>
  <si>
    <t xml:space="preserve">20983074</t>
  </si>
  <si>
    <t xml:space="preserve">REM615A_1G GAM-31013A</t>
  </si>
  <si>
    <t xml:space="preserve">RELEVADOR REM615A_1G GAM-31013A</t>
  </si>
  <si>
    <t xml:space="preserve">TRI-REF-DBP-02COR-SBOCA-GA31013A</t>
  </si>
  <si>
    <t xml:space="preserve">20983075</t>
  </si>
  <si>
    <t xml:space="preserve">REM615A_1G GAM-31010A</t>
  </si>
  <si>
    <t xml:space="preserve">RELEVADOR REM615A_1G GAM-31010A</t>
  </si>
  <si>
    <t xml:space="preserve">TRI-REF-DBP-02COR-SBLOW-GA31010A</t>
  </si>
  <si>
    <t xml:space="preserve">20983076</t>
  </si>
  <si>
    <t xml:space="preserve">REM615A_1G GAM-31011A</t>
  </si>
  <si>
    <t xml:space="preserve">RELEVADOR REM615A_1G GAM-31011A</t>
  </si>
  <si>
    <t xml:space="preserve">TRI-REF-DBP-02COR-SBLOW-GA31011A</t>
  </si>
  <si>
    <t xml:space="preserve">20983077</t>
  </si>
  <si>
    <t xml:space="preserve">REF615A-1G SPE-31003AM1</t>
  </si>
  <si>
    <t xml:space="preserve">RELEVADOR REF615A-1G SPE-31003AM1</t>
  </si>
  <si>
    <t xml:space="preserve">TRI-REF-DBP-02SEL-S15_1-TDM151_01A_S151</t>
  </si>
  <si>
    <t xml:space="preserve">20983078</t>
  </si>
  <si>
    <t xml:space="preserve">REF615A-1G BVM-31123B</t>
  </si>
  <si>
    <t xml:space="preserve">RELEVADOR REF615A-1G BVM-31123B</t>
  </si>
  <si>
    <t xml:space="preserve">TRI-REF-DBP-02COR-SREAC-BA31003</t>
  </si>
  <si>
    <t xml:space="preserve">20983079</t>
  </si>
  <si>
    <t xml:space="preserve">REF615A-1G BVM-31122A</t>
  </si>
  <si>
    <t xml:space="preserve">RELEVADOR REF615A-1G BVM-31122A</t>
  </si>
  <si>
    <t xml:space="preserve">20983080</t>
  </si>
  <si>
    <t xml:space="preserve">REF615A-1G BVM-31121A</t>
  </si>
  <si>
    <t xml:space="preserve">RELEVADOR REF615A-1G BVM-31121A</t>
  </si>
  <si>
    <t xml:space="preserve">TRI-REF-DBP-02COR-SREAC-BA31001</t>
  </si>
  <si>
    <t xml:space="preserve">20983081</t>
  </si>
  <si>
    <t xml:space="preserve">REF615A-1G SPE-31002A</t>
  </si>
  <si>
    <t xml:space="preserve">RELEVADOR REF615A-1G SPE-31002A</t>
  </si>
  <si>
    <t xml:space="preserve">20983082</t>
  </si>
  <si>
    <t xml:space="preserve">REF615A-1G TR-151-09</t>
  </si>
  <si>
    <t xml:space="preserve">RELEVADOR REF615A-1G TR-151-09</t>
  </si>
  <si>
    <t xml:space="preserve">TRI-REF-DBP-02SEL-S15_1-TR_151_09_S151</t>
  </si>
  <si>
    <t xml:space="preserve">20983083</t>
  </si>
  <si>
    <t xml:space="preserve">REF615A-1G TR-151-07</t>
  </si>
  <si>
    <t xml:space="preserve">RELEVADOR REF615A-1G TR-151-07</t>
  </si>
  <si>
    <t xml:space="preserve">TRI-REF-DBP-02SEL-S15_1-TR_151_07_S151</t>
  </si>
  <si>
    <t xml:space="preserve">20983066</t>
  </si>
  <si>
    <t xml:space="preserve">REA 101 TDA151-01IV2</t>
  </si>
  <si>
    <t xml:space="preserve">RELEVADOR REA 101 TDA-151-01-IV-2-BUS-B</t>
  </si>
  <si>
    <t xml:space="preserve">20983065</t>
  </si>
  <si>
    <t xml:space="preserve">REF615A-1G TDA151-01IV2</t>
  </si>
  <si>
    <t xml:space="preserve">RELEVADOR REF615A-1G TDA151-01IV2-BUS-B</t>
  </si>
  <si>
    <t xml:space="preserve">20983064</t>
  </si>
  <si>
    <t xml:space="preserve">REF615A-1G TDA151-01IV3</t>
  </si>
  <si>
    <t xml:space="preserve">RELEVADOR REF615A-1G TDA-151-01-IV-3</t>
  </si>
  <si>
    <t xml:space="preserve">TRI-REF-DBP-02SEL-S15_1-TDA151_01A_S151</t>
  </si>
  <si>
    <t xml:space="preserve">20983063</t>
  </si>
  <si>
    <t xml:space="preserve">SEL-735 TDA-151-01 A</t>
  </si>
  <si>
    <t xml:space="preserve">RELEVADOR SEL-735 TDA-151-01-BUS-A</t>
  </si>
  <si>
    <t xml:space="preserve">20983062</t>
  </si>
  <si>
    <t xml:space="preserve">REA 101 TDA151-01IV1</t>
  </si>
  <si>
    <t xml:space="preserve">RELEVADOR REA 101 TDA-151-01-IV-1-BUS-A</t>
  </si>
  <si>
    <t xml:space="preserve">20983061</t>
  </si>
  <si>
    <t xml:space="preserve">REF615A-1G TDA151-01IV1</t>
  </si>
  <si>
    <t xml:space="preserve">RELEVADOR REF615A-1G TDA151-01IV1-BUS-A</t>
  </si>
  <si>
    <t xml:space="preserve">20983060</t>
  </si>
  <si>
    <t xml:space="preserve">RET615A_1G TR -151-01</t>
  </si>
  <si>
    <t xml:space="preserve">RELEVADOR RET615A_1G TR -151-01</t>
  </si>
  <si>
    <t xml:space="preserve">TRI-REF-DBP-02SEL-S15_1-TR_151_01_S151</t>
  </si>
  <si>
    <t xml:space="preserve">20983059</t>
  </si>
  <si>
    <t xml:space="preserve">REF615A-1G TR -151-01</t>
  </si>
  <si>
    <t xml:space="preserve">RELEVADOR REF615A-1G TR -151-01</t>
  </si>
  <si>
    <t xml:space="preserve">20983058</t>
  </si>
  <si>
    <t xml:space="preserve">REA 101 ASA-151-01</t>
  </si>
  <si>
    <t xml:space="preserve">RELEVADOR REA 101 ASA-151-01</t>
  </si>
  <si>
    <t xml:space="preserve">TRI-REF-DBP-02COR-SBOCA-GA31014A</t>
  </si>
  <si>
    <t xml:space="preserve">20983057</t>
  </si>
  <si>
    <t xml:space="preserve">REF615A-1G ASA-151-01</t>
  </si>
  <si>
    <t xml:space="preserve">RELEVADOR REF615A-1G ASA-151-01</t>
  </si>
  <si>
    <t xml:space="preserve">20983055</t>
  </si>
  <si>
    <t xml:space="preserve">REA 101 TDA15-01IV2</t>
  </si>
  <si>
    <t xml:space="preserve">RELEVADOR REA 101 TDA-15-01-IV-2-BUS-B</t>
  </si>
  <si>
    <t xml:space="preserve">TRI-REF-DBP-02SEL-S_015-TDA15_01_B_SE15</t>
  </si>
  <si>
    <t xml:space="preserve">20983054</t>
  </si>
  <si>
    <t xml:space="preserve">REF615A-1G TDA15-01IV2</t>
  </si>
  <si>
    <t xml:space="preserve">RELEVADOR REF615A-1G TDA15-01IV2-BUS-B</t>
  </si>
  <si>
    <t xml:space="preserve">20983053</t>
  </si>
  <si>
    <t xml:space="preserve">REF615A-1G TDA15-01IV3</t>
  </si>
  <si>
    <t xml:space="preserve">RELEVADOR REF615A-1G TDA-15-01-IV-3</t>
  </si>
  <si>
    <t xml:space="preserve">TRI-REF-DBP-02SEL-S_015-TDA15_01_A_SE15</t>
  </si>
  <si>
    <t xml:space="preserve">20983051</t>
  </si>
  <si>
    <t xml:space="preserve">REA 101 TDA15-01IV1</t>
  </si>
  <si>
    <t xml:space="preserve">RELEVADOR REA 101 TDA-15-01-IV-1-BUS-A</t>
  </si>
  <si>
    <t xml:space="preserve">20983050</t>
  </si>
  <si>
    <t xml:space="preserve">REF615A-1G TDA15-01IV1</t>
  </si>
  <si>
    <t xml:space="preserve">RELEVADOR REF615A-1G TDA15-01IV1-BUS-A</t>
  </si>
  <si>
    <t xml:space="preserve">20983049</t>
  </si>
  <si>
    <t xml:space="preserve">REF615A-1G CCM15-03 B</t>
  </si>
  <si>
    <t xml:space="preserve">RELEVADOR REF615A-1G CCM-15-03-BUS-B</t>
  </si>
  <si>
    <t xml:space="preserve">TRI-REF-DBP-02SEL-S_015-CCM15_03_B_SE15</t>
  </si>
  <si>
    <t xml:space="preserve">20983048</t>
  </si>
  <si>
    <t xml:space="preserve">REF615A-1G CCM-15-03</t>
  </si>
  <si>
    <t xml:space="preserve">RELEVADOR REF615A-1G CCM-15-03-ENLACE</t>
  </si>
  <si>
    <t xml:space="preserve">TRI-REF-DBP-02SEL-S_015-CCM15_03_A_SE15</t>
  </si>
  <si>
    <t xml:space="preserve">20983047</t>
  </si>
  <si>
    <t xml:space="preserve">REF615A-1G CCM15-03 A</t>
  </si>
  <si>
    <t xml:space="preserve">RELEVADOR REF615A-1G CCM-15-03-BUS-A</t>
  </si>
  <si>
    <t xml:space="preserve">20983084</t>
  </si>
  <si>
    <t xml:space="preserve">REF615A-1G TR-151-05</t>
  </si>
  <si>
    <t xml:space="preserve">RELEVADOR REF615A-1G TR-151-05</t>
  </si>
  <si>
    <t xml:space="preserve">TRI-REF-DBP-02SEL-S15_1-TR_151_05_S151</t>
  </si>
  <si>
    <t xml:space="preserve">20995184</t>
  </si>
  <si>
    <t xml:space="preserve">SEL-710 GBM-31001</t>
  </si>
  <si>
    <t xml:space="preserve">RELEVADOR SEL-710 GBM-31001</t>
  </si>
  <si>
    <t xml:space="preserve">TRI-REF-DBP-02COR-SGASE-GB31001</t>
  </si>
  <si>
    <t xml:space="preserve">20995183</t>
  </si>
  <si>
    <t xml:space="preserve">REF-615 TR-15-11</t>
  </si>
  <si>
    <t xml:space="preserve">RELEVADOR REF615A-1G TR-15-11</t>
  </si>
  <si>
    <t xml:space="preserve">TRI-REF-DBP-02SEL-S_015-TR_15_11_SE15</t>
  </si>
  <si>
    <t xml:space="preserve">20983117</t>
  </si>
  <si>
    <t xml:space="preserve">857 BVM-31122B</t>
  </si>
  <si>
    <t xml:space="preserve">RELEVADOR 857 BVM-31122B</t>
  </si>
  <si>
    <t xml:space="preserve">20983116</t>
  </si>
  <si>
    <t xml:space="preserve">857 BVM-31122A</t>
  </si>
  <si>
    <t xml:space="preserve">RELEVADOR 857 BVM-31122A</t>
  </si>
  <si>
    <t xml:space="preserve">20983115</t>
  </si>
  <si>
    <t xml:space="preserve">857 BVM-31121B</t>
  </si>
  <si>
    <t xml:space="preserve">RELEVADOR 857 BVM-31121B</t>
  </si>
  <si>
    <t xml:space="preserve">20983114</t>
  </si>
  <si>
    <t xml:space="preserve">857 BVM-31121A</t>
  </si>
  <si>
    <t xml:space="preserve">RELEVADOR 857 BVM-31121A</t>
  </si>
  <si>
    <t xml:space="preserve">20983113</t>
  </si>
  <si>
    <t xml:space="preserve">857 SPE-31003 BM1</t>
  </si>
  <si>
    <t xml:space="preserve">RELEVADOR 857 SPE-31003 BM1</t>
  </si>
  <si>
    <t xml:space="preserve">TRI-REF-DBP-02SEL-S15_1-TDM151_01B_S151</t>
  </si>
  <si>
    <t xml:space="preserve">20983112</t>
  </si>
  <si>
    <t xml:space="preserve">857 SPE-31003AM1</t>
  </si>
  <si>
    <t xml:space="preserve">RELEVADOR 857 SPE-31003AM1</t>
  </si>
  <si>
    <t xml:space="preserve">20983111</t>
  </si>
  <si>
    <t xml:space="preserve">857 BVM-31123B</t>
  </si>
  <si>
    <t xml:space="preserve">RELEVADOR 857 BVM-31123B</t>
  </si>
  <si>
    <t xml:space="preserve">20983110</t>
  </si>
  <si>
    <t xml:space="preserve">857 BVM-31123A</t>
  </si>
  <si>
    <t xml:space="preserve">RELEVADOR 857 BVM-31123A</t>
  </si>
  <si>
    <t xml:space="preserve">20983109</t>
  </si>
  <si>
    <t xml:space="preserve">SEL-735 TDB-151-02 B</t>
  </si>
  <si>
    <t xml:space="preserve">RELEVADOR SEL-735 TDB-151-02-BUS-B</t>
  </si>
  <si>
    <t xml:space="preserve">20983108</t>
  </si>
  <si>
    <t xml:space="preserve">SEL-735 TDB-151-02 A</t>
  </si>
  <si>
    <t xml:space="preserve">RELEVADOR SEL-735 TDB-151-02-BUS-A</t>
  </si>
  <si>
    <t xml:space="preserve">20983107</t>
  </si>
  <si>
    <t xml:space="preserve">SEL-735 TDB-151-01 B</t>
  </si>
  <si>
    <t xml:space="preserve">RELEVADOR SEL-735 TDB-151-01-BUS-B</t>
  </si>
  <si>
    <t xml:space="preserve">TRI-REF-DBP-02SEL-S15_1-TR_151_14_S151</t>
  </si>
  <si>
    <t xml:space="preserve">20983106</t>
  </si>
  <si>
    <t xml:space="preserve">SEL-735 TDB-151-01 A</t>
  </si>
  <si>
    <t xml:space="preserve">RELEVADOR SEL-735 TDB-151-01-BUS-A</t>
  </si>
  <si>
    <t xml:space="preserve">TRI-REF-DBP-02SEL-S15_1-TR_151_13_S151</t>
  </si>
  <si>
    <t xml:space="preserve">20983105</t>
  </si>
  <si>
    <t xml:space="preserve">REM615A_1G BVM-31113</t>
  </si>
  <si>
    <t xml:space="preserve">RELEVADOR REM615A_1G BVM-31113</t>
  </si>
  <si>
    <t xml:space="preserve">20983104</t>
  </si>
  <si>
    <t xml:space="preserve">REM615A_1G BVM-31111</t>
  </si>
  <si>
    <t xml:space="preserve">RELEVADOR REM615A_1G BVM-31111</t>
  </si>
  <si>
    <t xml:space="preserve">20983103</t>
  </si>
  <si>
    <t xml:space="preserve">REM615A_1G GAM-31013B</t>
  </si>
  <si>
    <t xml:space="preserve">RELEVADOR REM615A_1G GAM-31013B</t>
  </si>
  <si>
    <t xml:space="preserve">TRI-REF-DBP-02COR-SBOCA-GA31013B</t>
  </si>
  <si>
    <t xml:space="preserve">20983102</t>
  </si>
  <si>
    <t xml:space="preserve">REM615A_1G GAM-31010B</t>
  </si>
  <si>
    <t xml:space="preserve">RELEVADOR REM615A_1G GAM-31010B</t>
  </si>
  <si>
    <t xml:space="preserve">TRI-REF-DBP-02COR-SBLOW-GA31010B</t>
  </si>
  <si>
    <t xml:space="preserve">20983101</t>
  </si>
  <si>
    <t xml:space="preserve">REM615A_1G GAM-31011B</t>
  </si>
  <si>
    <t xml:space="preserve">RELEVADOR REM615A_1G GAM-31011B</t>
  </si>
  <si>
    <t xml:space="preserve">TRI-REF-DBP-02COR-SBLOW-GA31011B</t>
  </si>
  <si>
    <t xml:space="preserve">20983100</t>
  </si>
  <si>
    <t xml:space="preserve">REF615A-1G SPE-31003BM1</t>
  </si>
  <si>
    <t xml:space="preserve">RELEVADOR REF615A-1G SPE-31003BM1</t>
  </si>
  <si>
    <t xml:space="preserve">20983099</t>
  </si>
  <si>
    <t xml:space="preserve">REF615A-1G BVM-31123A</t>
  </si>
  <si>
    <t xml:space="preserve">RELEVADOR REF615A-1G BVM-31123A</t>
  </si>
  <si>
    <t xml:space="preserve">20983098</t>
  </si>
  <si>
    <t xml:space="preserve">REF615A-1G BVM-31121B</t>
  </si>
  <si>
    <t xml:space="preserve">RELEVADOR REF615A-1G BVM-31121B</t>
  </si>
  <si>
    <t xml:space="preserve">20983097</t>
  </si>
  <si>
    <t xml:space="preserve">REF615A-1G BVM-31122B</t>
  </si>
  <si>
    <t xml:space="preserve">RELEVADOR REF615A-1G BVM-31122B</t>
  </si>
  <si>
    <t xml:space="preserve">20983096</t>
  </si>
  <si>
    <t xml:space="preserve">REF615A-1G SPE-31002C</t>
  </si>
  <si>
    <t xml:space="preserve">RELEVADOR REF615A-1G SPE-31002C</t>
  </si>
  <si>
    <t xml:space="preserve">20983095</t>
  </si>
  <si>
    <t xml:space="preserve">REF615A-1G -SPE-31002B</t>
  </si>
  <si>
    <t xml:space="preserve">RELEVADOR REF615A-1G -SPE-31002B</t>
  </si>
  <si>
    <t xml:space="preserve">20983094</t>
  </si>
  <si>
    <t xml:space="preserve">REF615A-1G TR-151-08</t>
  </si>
  <si>
    <t xml:space="preserve">RELEVADOR REF615A-1G TR-151-08</t>
  </si>
  <si>
    <t xml:space="preserve">TRI-REF-DBP-02SEL-S15_1-TR_151_08_S151</t>
  </si>
  <si>
    <t xml:space="preserve">20983093</t>
  </si>
  <si>
    <t xml:space="preserve">REF615A-1G TR-151-06</t>
  </si>
  <si>
    <t xml:space="preserve">RELEVADOR REF615A-1G TR-151-06</t>
  </si>
  <si>
    <t xml:space="preserve">TRI-REF-DBP-02SEL-S15_1-TR_151_06_S151</t>
  </si>
  <si>
    <t xml:space="preserve">20983092</t>
  </si>
  <si>
    <t xml:space="preserve">REF615A-1G TR-151-04</t>
  </si>
  <si>
    <t xml:space="preserve">RELEVADOR REF615A-1G TR-151-04</t>
  </si>
  <si>
    <t xml:space="preserve">TRI-REF-DBP-02SEL-S15_1-TR_151_04_S151</t>
  </si>
  <si>
    <t xml:space="preserve">20983091</t>
  </si>
  <si>
    <t xml:space="preserve">REA 101 TDM151-01IV2</t>
  </si>
  <si>
    <t xml:space="preserve">RELEVADOR REA 101 TDM-151-01-IV-2-BUS-B</t>
  </si>
  <si>
    <t xml:space="preserve">20983090</t>
  </si>
  <si>
    <t xml:space="preserve">REF615A-1G TDM151-01IV2</t>
  </si>
  <si>
    <t xml:space="preserve">RELEVADOR REF615A-1G TDM151-01IV2-BUS-B</t>
  </si>
  <si>
    <t xml:space="preserve">20983089</t>
  </si>
  <si>
    <t xml:space="preserve">REF615A-1G TDM151-01IV3</t>
  </si>
  <si>
    <t xml:space="preserve">RELEVADOR REF615A-1G TDM151-01IV3ENLACE</t>
  </si>
  <si>
    <t xml:space="preserve">20983088</t>
  </si>
  <si>
    <t xml:space="preserve">REA 101 TDM151-01IV1</t>
  </si>
  <si>
    <t xml:space="preserve">RELEVADOR REA 101 TDM-151-01-IV-1-BUS-A</t>
  </si>
  <si>
    <t xml:space="preserve">20983087</t>
  </si>
  <si>
    <t xml:space="preserve">REF615A-1G TDM151-01IV1</t>
  </si>
  <si>
    <t xml:space="preserve">RELEVADOR REF615A-1G TDM151-01IV1-BUS-A</t>
  </si>
  <si>
    <t xml:space="preserve">20983086</t>
  </si>
  <si>
    <t xml:space="preserve">REF615A-1G TR-151-03</t>
  </si>
  <si>
    <t xml:space="preserve">RELEVADOR REF615A-1G TR-151-03</t>
  </si>
  <si>
    <t xml:space="preserve">TRI-REF-DBP-02SEL-S15_1-TR_151_03_S151</t>
  </si>
  <si>
    <t xml:space="preserve">20983085</t>
  </si>
  <si>
    <t xml:space="preserve">REA 101 TR-151-05</t>
  </si>
  <si>
    <t xml:space="preserve">RELEVADOR REA 101 TR-151-05</t>
  </si>
  <si>
    <t xml:space="preserve">20983046</t>
  </si>
  <si>
    <t xml:space="preserve">REF615A-1G CCM15-04 B</t>
  </si>
  <si>
    <t xml:space="preserve">RELEVADOR REF615A-1G CCM-15-04-BUS-B</t>
  </si>
  <si>
    <t xml:space="preserve">TRI-REF-DBP-02SEL-S15_1-CCM151_04B_S151</t>
  </si>
  <si>
    <t xml:space="preserve">20983007</t>
  </si>
  <si>
    <t xml:space="preserve">REM615A_1G TR-15-05</t>
  </si>
  <si>
    <t xml:space="preserve">RELEVADOR REM615A_1G TR-15-05</t>
  </si>
  <si>
    <t xml:space="preserve">TRI-REF-DBP-02SEL-S_015-TR_15_05_SE15</t>
  </si>
  <si>
    <t xml:space="preserve">20983006</t>
  </si>
  <si>
    <t xml:space="preserve">REM615A_1G TR-15-07</t>
  </si>
  <si>
    <t xml:space="preserve">RELEVADOR REM615A_1G TR-15-07</t>
  </si>
  <si>
    <t xml:space="preserve">TRI-REF-DBP-02SEL-S_015-TR_15_07_SE15</t>
  </si>
  <si>
    <t xml:space="preserve">20983005</t>
  </si>
  <si>
    <t xml:space="preserve">20983004</t>
  </si>
  <si>
    <t xml:space="preserve">REM615A_1G GAM-31007A</t>
  </si>
  <si>
    <t xml:space="preserve">RELEVADOR REM615A_1G GAM-31007A</t>
  </si>
  <si>
    <t xml:space="preserve">TRI-REF-DBP-02COR-SFRAC-GA31007A</t>
  </si>
  <si>
    <t xml:space="preserve">20983003</t>
  </si>
  <si>
    <t xml:space="preserve">REM615A_1G GAM-31030B</t>
  </si>
  <si>
    <t xml:space="preserve">RELEVADOR REM615A_1G GAM-31030B</t>
  </si>
  <si>
    <t xml:space="preserve">TRI-REF-DBP-02COR-STRAM-GA31030B</t>
  </si>
  <si>
    <t xml:space="preserve">20983002</t>
  </si>
  <si>
    <t xml:space="preserve">REM615A_1G GAM-31025A</t>
  </si>
  <si>
    <t xml:space="preserve">RELEVADOR REM615A_1G GAM-31025A</t>
  </si>
  <si>
    <t xml:space="preserve">TRI-REF-DBP-02COR-SGASE-GA31025A</t>
  </si>
  <si>
    <t xml:space="preserve">20983001</t>
  </si>
  <si>
    <t xml:space="preserve">REM615A_1G GAM-31017B</t>
  </si>
  <si>
    <t xml:space="preserve">RELEVADOR REM615A_1G GAM-31017B</t>
  </si>
  <si>
    <t xml:space="preserve">TRI-REF-DBP-02COR-SFRAC-GA31017B</t>
  </si>
  <si>
    <t xml:space="preserve">20983000</t>
  </si>
  <si>
    <t xml:space="preserve">REM615A_1G GAM-31006A</t>
  </si>
  <si>
    <t xml:space="preserve">RELEVADOR REM615A_1G GAM-31006A</t>
  </si>
  <si>
    <t xml:space="preserve">TRI-REF-DBP-02COR-SFRAC-GA31006A</t>
  </si>
  <si>
    <t xml:space="preserve">20982999</t>
  </si>
  <si>
    <t xml:space="preserve">REM615A_1G GAM-31004B</t>
  </si>
  <si>
    <t xml:space="preserve">RELEVADOR REM615A_1G GAM-31004B</t>
  </si>
  <si>
    <t xml:space="preserve">TRI-REF-DBP-02COR-SFRAC-GA31004B</t>
  </si>
  <si>
    <t xml:space="preserve">20982998</t>
  </si>
  <si>
    <t xml:space="preserve">REM615A_1G GAM-31001A</t>
  </si>
  <si>
    <t xml:space="preserve">RELEVADOR REM615A_1G GAM-31001A</t>
  </si>
  <si>
    <t xml:space="preserve">TRI-REF-DBP-02COR-SFRAC-GA31001A</t>
  </si>
  <si>
    <t xml:space="preserve">20982997</t>
  </si>
  <si>
    <t xml:space="preserve">REM615A_1G GAM-31005A</t>
  </si>
  <si>
    <t xml:space="preserve">RELEVADOR REM615A_1G GAM-31005A</t>
  </si>
  <si>
    <t xml:space="preserve">TRI-REF-DBP-02COR-SFRAC-GA31005A</t>
  </si>
  <si>
    <t xml:space="preserve">20982996</t>
  </si>
  <si>
    <t xml:space="preserve">REM615A_1G GAM-31002B</t>
  </si>
  <si>
    <t xml:space="preserve">RELEVADOR REM615A_1G GAM-31002B</t>
  </si>
  <si>
    <t xml:space="preserve">TRI-REF-DBP-02COR-SFRAC-GA31002B</t>
  </si>
  <si>
    <t xml:space="preserve">20982995</t>
  </si>
  <si>
    <t xml:space="preserve">REM615A_1G GAM-31026B</t>
  </si>
  <si>
    <t xml:space="preserve">RELEVADOR REM615A_1G GAM-31026B</t>
  </si>
  <si>
    <t xml:space="preserve">TRI-REF-DBP-02COR-SGASE-GA31026B</t>
  </si>
  <si>
    <t xml:space="preserve">20982994</t>
  </si>
  <si>
    <t xml:space="preserve">REM615A_1G GAM-31044A</t>
  </si>
  <si>
    <t xml:space="preserve">RELEVADOR REM615A_1G GAM-31044A</t>
  </si>
  <si>
    <t xml:space="preserve">TRI-REF-DBP-02COR-SCARG-GA31044A</t>
  </si>
  <si>
    <t xml:space="preserve">20982993</t>
  </si>
  <si>
    <t xml:space="preserve">REF615A-1G GAM-31028A</t>
  </si>
  <si>
    <t xml:space="preserve">RELEVADOR REF615A-1G GAM-31028A</t>
  </si>
  <si>
    <t xml:space="preserve">TRI-REF-DBP-02COR-STRAM-GA31028A</t>
  </si>
  <si>
    <t xml:space="preserve">20982992</t>
  </si>
  <si>
    <t xml:space="preserve">REM615A_1G GAM-31033A</t>
  </si>
  <si>
    <t xml:space="preserve">RELEVADOR REM615A_1G GAM-31033A</t>
  </si>
  <si>
    <t xml:space="preserve">TRI-REF-DBP-02COR-SGASE-GA31033A</t>
  </si>
  <si>
    <t xml:space="preserve">20982991</t>
  </si>
  <si>
    <t xml:space="preserve">REF615A-1G TR-15-14</t>
  </si>
  <si>
    <t xml:space="preserve">RELEVADOR REF615A-1G TR-15-14</t>
  </si>
  <si>
    <t xml:space="preserve">TRI-REF-DBP-02SEL-S_015-TR_15_14_SE15</t>
  </si>
  <si>
    <t xml:space="preserve">20982990</t>
  </si>
  <si>
    <t xml:space="preserve">REF615A-1G TR-15-12</t>
  </si>
  <si>
    <t xml:space="preserve">RELEVADOR REF615A-1G TR-15-12</t>
  </si>
  <si>
    <t xml:space="preserve">TRI-REF-DBP-02SEL-S_015-TR_15_12_SE15</t>
  </si>
  <si>
    <t xml:space="preserve">20982989</t>
  </si>
  <si>
    <t xml:space="preserve">REA 101 TR-15-12</t>
  </si>
  <si>
    <t xml:space="preserve">RELEVADOR REA 101 TR-15-12</t>
  </si>
  <si>
    <t xml:space="preserve">20982988</t>
  </si>
  <si>
    <t xml:space="preserve">REF615A-1G TR-15-10</t>
  </si>
  <si>
    <t xml:space="preserve">RELEVADOR REF615A-1G TR-15-10</t>
  </si>
  <si>
    <t xml:space="preserve">TRI-REF-DBP-02SEL-S_015-TR_15_10_SE15</t>
  </si>
  <si>
    <t xml:space="preserve">20982987</t>
  </si>
  <si>
    <t xml:space="preserve">SEL-735 TR-15-04</t>
  </si>
  <si>
    <t xml:space="preserve">RELEVADOR SEL-735 TR-15-04</t>
  </si>
  <si>
    <t xml:space="preserve">TRI-REF-DBP-02SEL-S_015-TR_15_04_SE15</t>
  </si>
  <si>
    <t xml:space="preserve">20982986</t>
  </si>
  <si>
    <t xml:space="preserve">REF615A-1G TR-15-04</t>
  </si>
  <si>
    <t xml:space="preserve">RELEVADOR REF615A-1G TR-15-04</t>
  </si>
  <si>
    <t xml:space="preserve">20982985</t>
  </si>
  <si>
    <t xml:space="preserve">REA 101 TR-15-04</t>
  </si>
  <si>
    <t xml:space="preserve">RELEVADOR REA 101 TR-15-04</t>
  </si>
  <si>
    <t xml:space="preserve">20982984</t>
  </si>
  <si>
    <t xml:space="preserve">REF615A-1G TR-15-03</t>
  </si>
  <si>
    <t xml:space="preserve">RELEVADOR REF615A-1G TR-15-03</t>
  </si>
  <si>
    <t xml:space="preserve">TRI-REF-DBP-02SEL-S_015-TR_15_03_SE15</t>
  </si>
  <si>
    <t xml:space="preserve">20982983</t>
  </si>
  <si>
    <t xml:space="preserve">SEL-735 TR-15-03</t>
  </si>
  <si>
    <t xml:space="preserve">RELEVADOR SEL-735 TR-15-03</t>
  </si>
  <si>
    <t xml:space="preserve">20982982</t>
  </si>
  <si>
    <t xml:space="preserve">REA 101 TR-15-03</t>
  </si>
  <si>
    <t xml:space="preserve">RELEVADOR REA 101 TR-15-03</t>
  </si>
  <si>
    <t xml:space="preserve">20982981</t>
  </si>
  <si>
    <t xml:space="preserve">REF-615 TR-15-09</t>
  </si>
  <si>
    <t xml:space="preserve">RELEVADOR REF615A-1G TR-15-09</t>
  </si>
  <si>
    <t xml:space="preserve">TRI-REF-DBP-02SEL-S_015-TR_15_09_SE15</t>
  </si>
  <si>
    <t xml:space="preserve">20982980</t>
  </si>
  <si>
    <t xml:space="preserve">REA-101 TR-15-11</t>
  </si>
  <si>
    <t xml:space="preserve">RELEVADOR REA 101 TR-15-11</t>
  </si>
  <si>
    <t xml:space="preserve">20982979</t>
  </si>
  <si>
    <t xml:space="preserve">20982977</t>
  </si>
  <si>
    <t xml:space="preserve">REM-615 GAM-31033B</t>
  </si>
  <si>
    <t xml:space="preserve">RELEVADOR REM615A_1G GAM-31033B</t>
  </si>
  <si>
    <t xml:space="preserve">TRI-REF-DBP-02COR-SGASE-GA31033B</t>
  </si>
  <si>
    <t xml:space="preserve">20982976</t>
  </si>
  <si>
    <t xml:space="preserve">REM-615 GAM-31028B</t>
  </si>
  <si>
    <t xml:space="preserve">RELEVADOR REM615A_1G GAM-31028B</t>
  </si>
  <si>
    <t xml:space="preserve">TRI-REF-DBP-02COR-STRAM-GA31028B</t>
  </si>
  <si>
    <t xml:space="preserve">20982975</t>
  </si>
  <si>
    <t xml:space="preserve">REM-615 GAM-31044B</t>
  </si>
  <si>
    <t xml:space="preserve">RELEVADOR REM615A_1G GAM-31044B</t>
  </si>
  <si>
    <t xml:space="preserve">TRI-REF-DBP-02COR-SCARG-GA31044B</t>
  </si>
  <si>
    <t xml:space="preserve">20982974</t>
  </si>
  <si>
    <t xml:space="preserve">REM-615 GAM-31026A</t>
  </si>
  <si>
    <t xml:space="preserve">RELEVADOR REM615A_1G GAM-31026A</t>
  </si>
  <si>
    <t xml:space="preserve">TRI-REF-DBP-02COR-SGASE-GA31026A</t>
  </si>
  <si>
    <t xml:space="preserve">20982973</t>
  </si>
  <si>
    <t xml:space="preserve">REM-615 GAM-31002A</t>
  </si>
  <si>
    <t xml:space="preserve">RELEVADOR REM615A_1G GAM-31002A</t>
  </si>
  <si>
    <t xml:space="preserve">TRI-REF-DBP-02COR-SFRAC-GA31002A</t>
  </si>
  <si>
    <t xml:space="preserve">20982972</t>
  </si>
  <si>
    <t xml:space="preserve">REM-615 GAM-31005B</t>
  </si>
  <si>
    <t xml:space="preserve">RELEVADOR REM615A_1G GAM-31005B</t>
  </si>
  <si>
    <t xml:space="preserve">TRI-REF-DBP-02COR-SFRAC-GA31005B</t>
  </si>
  <si>
    <t xml:space="preserve">20983008</t>
  </si>
  <si>
    <t xml:space="preserve">REM615A_1G TR-15-01</t>
  </si>
  <si>
    <t xml:space="preserve">RELEVADOR REM615A_1G TR-15-01</t>
  </si>
  <si>
    <t xml:space="preserve">TRI-REF-DBP-02SEL-S_015-TR_15_01_SE15</t>
  </si>
  <si>
    <t xml:space="preserve">20983045</t>
  </si>
  <si>
    <t xml:space="preserve">REF615A-1G CCM-15-04</t>
  </si>
  <si>
    <t xml:space="preserve">RELEVADOR REF615A-1G CCM-15-04-ENLACE</t>
  </si>
  <si>
    <t xml:space="preserve">TRI-REF-DBP-02SEL-S15_1-CCM151_04A_S151</t>
  </si>
  <si>
    <t xml:space="preserve">20983044</t>
  </si>
  <si>
    <t xml:space="preserve">REF615A-1G CCM15-04 A</t>
  </si>
  <si>
    <t xml:space="preserve">RELEVADOR REF615A-1G CCM-15-04-BUS-A</t>
  </si>
  <si>
    <t xml:space="preserve">20983043</t>
  </si>
  <si>
    <t xml:space="preserve">REF615A-1G CCM15-05 B</t>
  </si>
  <si>
    <t xml:space="preserve">RELEVADOR REF615A-1G CCM-15-05-BUS-B</t>
  </si>
  <si>
    <t xml:space="preserve">TRI-REF-DBP-02SEL-S_015-CCM15_04_B_SE15</t>
  </si>
  <si>
    <t xml:space="preserve">20983042</t>
  </si>
  <si>
    <t xml:space="preserve">REF615A-1G CCM15-05</t>
  </si>
  <si>
    <t xml:space="preserve">RELEVADOR REF615A-1G CCM15-05BUS-ENLACE</t>
  </si>
  <si>
    <t xml:space="preserve">TRI-REF-DBP-02SEL-S_015-CCM15_05_A_SE15</t>
  </si>
  <si>
    <t xml:space="preserve">20983041</t>
  </si>
  <si>
    <t xml:space="preserve">REF615A-1G CCM15-05 A</t>
  </si>
  <si>
    <t xml:space="preserve">RELEVADOR REF615A-1G CCM-15-05-BUS-A</t>
  </si>
  <si>
    <t xml:space="preserve">20983040</t>
  </si>
  <si>
    <t xml:space="preserve">REF615A-1G CCM15-01 B</t>
  </si>
  <si>
    <t xml:space="preserve">RELEVADOR REF615A-1G CCM-15-01-BUS-B</t>
  </si>
  <si>
    <t xml:space="preserve">TRI-REF-DBP-02SEL-S_015-CCM15_01_B_SE15</t>
  </si>
  <si>
    <t xml:space="preserve">20983039</t>
  </si>
  <si>
    <t xml:space="preserve">REF615A-1G CCM-15-01</t>
  </si>
  <si>
    <t xml:space="preserve">RELEVADOR REF615A-1G CCM-15-01-ENLACE</t>
  </si>
  <si>
    <t xml:space="preserve">TRI-REF-DBP-02SEL-S_015-CCM15_01_A_SE15</t>
  </si>
  <si>
    <t xml:space="preserve">20983038</t>
  </si>
  <si>
    <t xml:space="preserve">REF615A-1G CCM15-01 A</t>
  </si>
  <si>
    <t xml:space="preserve">RELEVADOR REF615A-1G CCM-15-01-BUS-A</t>
  </si>
  <si>
    <t xml:space="preserve">20983037</t>
  </si>
  <si>
    <t xml:space="preserve">REF615A-1G CCM15-02 B</t>
  </si>
  <si>
    <t xml:space="preserve">RELEVADOR REF615A-1G CCM-15-02-BUS-B</t>
  </si>
  <si>
    <t xml:space="preserve">TRI-REF-DBP-02SEL-S_015-CCM15_02_B_SE15</t>
  </si>
  <si>
    <t xml:space="preserve">20983036</t>
  </si>
  <si>
    <t xml:space="preserve">REF615A-1G CCM-15-02</t>
  </si>
  <si>
    <t xml:space="preserve">RELEVADOR REF615A-1G CCM-15-02-ENLACE</t>
  </si>
  <si>
    <t xml:space="preserve">TRI-REF-DBP-02SEL-S_015-CCM15_02_A_SE15</t>
  </si>
  <si>
    <t xml:space="preserve">20983035</t>
  </si>
  <si>
    <t xml:space="preserve">REF615A-1G CCM15-02 A</t>
  </si>
  <si>
    <t xml:space="preserve">RELEVADOR REF615A-1G CCM-15-02-BUS-A</t>
  </si>
  <si>
    <t xml:space="preserve">20983034</t>
  </si>
  <si>
    <t xml:space="preserve">20983033</t>
  </si>
  <si>
    <t xml:space="preserve">SEL-735 GBM-31001</t>
  </si>
  <si>
    <t xml:space="preserve">RELEVADOR SEL-735 GBM-31001</t>
  </si>
  <si>
    <t xml:space="preserve">20983032</t>
  </si>
  <si>
    <t xml:space="preserve">RET615A_1G IP-15-01</t>
  </si>
  <si>
    <t xml:space="preserve">RELEVADOR RET615A_1G IP-15-01</t>
  </si>
  <si>
    <t xml:space="preserve">20983031</t>
  </si>
  <si>
    <t xml:space="preserve">REF615A-1G IP-15-01</t>
  </si>
  <si>
    <t xml:space="preserve">RELEVADOR REF615A-1G IP-15-01</t>
  </si>
  <si>
    <t xml:space="preserve">20983030</t>
  </si>
  <si>
    <t xml:space="preserve">SEL-735 IP-15-01</t>
  </si>
  <si>
    <t xml:space="preserve">RELEVADOR SEL-735 IP-15-01</t>
  </si>
  <si>
    <t xml:space="preserve">20983028</t>
  </si>
  <si>
    <t xml:space="preserve">REA 101 BC-15-02</t>
  </si>
  <si>
    <t xml:space="preserve">RELEVADOR REA 101 BC-15-02</t>
  </si>
  <si>
    <t xml:space="preserve">TRI-REF-DBP-02SEL-S_015-BC_15_01_SE15</t>
  </si>
  <si>
    <t xml:space="preserve">20983027</t>
  </si>
  <si>
    <t xml:space="preserve">REF615A-1G BC-15-01</t>
  </si>
  <si>
    <t xml:space="preserve">RELEVADOR REF615A-1G BC-15-01</t>
  </si>
  <si>
    <t xml:space="preserve">20983009</t>
  </si>
  <si>
    <t xml:space="preserve">REF615A-1G TR-15-01</t>
  </si>
  <si>
    <t xml:space="preserve">RELEVADOR REF615A-1G TR-15-01</t>
  </si>
  <si>
    <t xml:space="preserve">20983010</t>
  </si>
  <si>
    <t xml:space="preserve">REA 101 TR-15-01</t>
  </si>
  <si>
    <t xml:space="preserve">RELEVADOR REA 101 TR-15-01</t>
  </si>
  <si>
    <t xml:space="preserve">20983011</t>
  </si>
  <si>
    <t xml:space="preserve">REF615A-1G TR-15-02</t>
  </si>
  <si>
    <t xml:space="preserve">RELEVADOR REF615A-1G TR-15-02</t>
  </si>
  <si>
    <t xml:space="preserve">TRI-REF-DBP-02SEL-S_015-TR_15_02_SE15</t>
  </si>
  <si>
    <t xml:space="preserve">20983012</t>
  </si>
  <si>
    <t xml:space="preserve">REA 101 TR-15-02</t>
  </si>
  <si>
    <t xml:space="preserve">RELEVADOR REA 101 TR-15-02</t>
  </si>
  <si>
    <t xml:space="preserve">20983013</t>
  </si>
  <si>
    <t xml:space="preserve">SEL-735 TR-15-02</t>
  </si>
  <si>
    <t xml:space="preserve">RELEVADOR SEL-735 TR-15-02</t>
  </si>
  <si>
    <t xml:space="preserve">20983014</t>
  </si>
  <si>
    <t xml:space="preserve">REF615A-1G TR-15-06</t>
  </si>
  <si>
    <t xml:space="preserve">RELEVADOR REF615A-1G TR-15-06</t>
  </si>
  <si>
    <t xml:space="preserve">TRI-REF-DBP-02SEL-S_015-TR_15_06_SE15</t>
  </si>
  <si>
    <t xml:space="preserve">20983015</t>
  </si>
  <si>
    <t xml:space="preserve">REF615A-1G TR-15-08</t>
  </si>
  <si>
    <t xml:space="preserve">RELEVADOR REF615A-1G TR-15-08</t>
  </si>
  <si>
    <t xml:space="preserve">TRI-REF-DBP-02SEL-S_015-TR_15_08_SE15</t>
  </si>
  <si>
    <t xml:space="preserve">20983016</t>
  </si>
  <si>
    <t xml:space="preserve">REA 101 TR-15-08</t>
  </si>
  <si>
    <t xml:space="preserve">RELEVADOR REA 101 TR-15-08</t>
  </si>
  <si>
    <t xml:space="preserve">20983017</t>
  </si>
  <si>
    <t xml:space="preserve">REM615A_1G GAM-31007B</t>
  </si>
  <si>
    <t xml:space="preserve">RELEVADOR REM615A_1G GAM-31007B</t>
  </si>
  <si>
    <t xml:space="preserve">TRI-REF-DBP-02COR-SFRAC-GA31007B</t>
  </si>
  <si>
    <t xml:space="preserve">20983018</t>
  </si>
  <si>
    <t xml:space="preserve">REF615A-1G GAM-31030A</t>
  </si>
  <si>
    <t xml:space="preserve">RELEVADOR REF615A-1G GAM-31030A</t>
  </si>
  <si>
    <t xml:space="preserve">TRI-REF-DBP-02COR-STRAM-GA31030A</t>
  </si>
  <si>
    <t xml:space="preserve">20983019</t>
  </si>
  <si>
    <t xml:space="preserve">REF615A-1G GAM-31025B</t>
  </si>
  <si>
    <t xml:space="preserve">RELEVADOR REF615A-1G GAM-31025B</t>
  </si>
  <si>
    <t xml:space="preserve">TRI-REF-DBP-02COR-SGASE-GA31025B</t>
  </si>
  <si>
    <t xml:space="preserve">20983020</t>
  </si>
  <si>
    <t xml:space="preserve">REF615A-1G GAM-31017A</t>
  </si>
  <si>
    <t xml:space="preserve">RELEVADOR REF615A-1G GAM-31017A</t>
  </si>
  <si>
    <t xml:space="preserve">TRI-REF-DBP-02COR-SFRAC-GA31017A</t>
  </si>
  <si>
    <t xml:space="preserve">20983021</t>
  </si>
  <si>
    <t xml:space="preserve">REM615A_1G GAM-31006B</t>
  </si>
  <si>
    <t xml:space="preserve">RELEVADOR REM615A_1G GAM-31006B</t>
  </si>
  <si>
    <t xml:space="preserve">TRI-REF-DBP-02COR-SFRAC-GA31006B</t>
  </si>
  <si>
    <t xml:space="preserve">20983022</t>
  </si>
  <si>
    <t xml:space="preserve">REM615A_1G GAM-31004A</t>
  </si>
  <si>
    <t xml:space="preserve">RELEVADOR REM615A_1G GAM-31004A</t>
  </si>
  <si>
    <t xml:space="preserve">TRI-REF-DBP-02COR-SFRAC-GA31004A</t>
  </si>
  <si>
    <t xml:space="preserve">20983023</t>
  </si>
  <si>
    <t xml:space="preserve">REM615A_1G GAM-31001B</t>
  </si>
  <si>
    <t xml:space="preserve">RELEVADOR REM615A_1G GAM-31001B</t>
  </si>
  <si>
    <t xml:space="preserve">TRI-REF-DBP-02COR-SFRAC-GA31001B</t>
  </si>
  <si>
    <t xml:space="preserve">20983024</t>
  </si>
  <si>
    <t xml:space="preserve">REM615A_1G GAM-31001C</t>
  </si>
  <si>
    <t xml:space="preserve">RELEVADOR REM615A_1G GAM-31001C</t>
  </si>
  <si>
    <t xml:space="preserve">TRI-REF-DBP-02COR-SFRAC-GA31001C</t>
  </si>
  <si>
    <t xml:space="preserve">20983025</t>
  </si>
  <si>
    <t xml:space="preserve">RET615A_1G TR-15-03</t>
  </si>
  <si>
    <t xml:space="preserve">RELEVADOR RET615A_1G TR-15-03</t>
  </si>
  <si>
    <t xml:space="preserve">20960984</t>
  </si>
  <si>
    <t xml:space="preserve">GE-869 MGA-51008 A</t>
  </si>
  <si>
    <t xml:space="preserve">RELEVADOR GE-869 MGA-51008 A</t>
  </si>
  <si>
    <t xml:space="preserve">TRI-REF-DBP-04DIA-SREAC-GA51008A</t>
  </si>
  <si>
    <t xml:space="preserve">DBDIA</t>
  </si>
  <si>
    <t xml:space="preserve">SECTOR04</t>
  </si>
  <si>
    <t xml:space="preserve">20960983</t>
  </si>
  <si>
    <t xml:space="preserve">GE-869 MGA-51002 B</t>
  </si>
  <si>
    <t xml:space="preserve">RELEVADOR GE-869 MGA-51002 B</t>
  </si>
  <si>
    <t xml:space="preserve">TRI-REF-DBP-04DIA-SAMIN-GA51002B</t>
  </si>
  <si>
    <t xml:space="preserve">20960982</t>
  </si>
  <si>
    <t xml:space="preserve">GE-869 MGA-51005 B</t>
  </si>
  <si>
    <t xml:space="preserve">RELEVADOR GE-869 MGA-51005 B</t>
  </si>
  <si>
    <t xml:space="preserve">TRI-REF-DBP-04DIA-SFRAC-GA51005B</t>
  </si>
  <si>
    <t xml:space="preserve">20960981</t>
  </si>
  <si>
    <t xml:space="preserve">GE-869 MGA-51005 A</t>
  </si>
  <si>
    <t xml:space="preserve">RELEVADOR GE-869 MGA-51005 A</t>
  </si>
  <si>
    <t xml:space="preserve">TRI-REF-DBP-04DIA-SFRAC-GA51005A</t>
  </si>
  <si>
    <t xml:space="preserve">20960980</t>
  </si>
  <si>
    <t xml:space="preserve">GE-869 MGA-51004 A</t>
  </si>
  <si>
    <t xml:space="preserve">RELEVADOR GE-869 MGA-51004 A</t>
  </si>
  <si>
    <t xml:space="preserve">TRI-REF-DBP-04DIA-SFRAC-GA51004A</t>
  </si>
  <si>
    <t xml:space="preserve">20960968</t>
  </si>
  <si>
    <t xml:space="preserve">GE-869 MGA-51004 B</t>
  </si>
  <si>
    <t xml:space="preserve">RELEVADOR GE-869 MGA-51004 B</t>
  </si>
  <si>
    <t xml:space="preserve">TRI-REF-DBP-04DIA-SFRAC-GA51004B</t>
  </si>
  <si>
    <t xml:space="preserve">20960967</t>
  </si>
  <si>
    <t xml:space="preserve">GE-869 MGA-51005 C</t>
  </si>
  <si>
    <t xml:space="preserve">RELEVADOR GE-869 MGA-51005 C</t>
  </si>
  <si>
    <t xml:space="preserve">TRI-REF-DBP-04DIA-SFRAC-GA51005C</t>
  </si>
  <si>
    <t xml:space="preserve">20960966</t>
  </si>
  <si>
    <t xml:space="preserve">GE-869 MGA-51002 A</t>
  </si>
  <si>
    <t xml:space="preserve">RELEVADOR GE-869 MGA-51002 A</t>
  </si>
  <si>
    <t xml:space="preserve">TRI-REF-DBP-04DIA-SAMIN-GA51002A</t>
  </si>
  <si>
    <t xml:space="preserve">20960965</t>
  </si>
  <si>
    <t xml:space="preserve">GE-869 MGA-51005 D</t>
  </si>
  <si>
    <t xml:space="preserve">RELEVADOR GE-869 MGA-51005 D</t>
  </si>
  <si>
    <t xml:space="preserve">TRI-REF-DBP-04DIA-SFRAC-GA51005D</t>
  </si>
  <si>
    <t xml:space="preserve">20960964</t>
  </si>
  <si>
    <t xml:space="preserve">GE-869 MGA-51008 B</t>
  </si>
  <si>
    <t xml:space="preserve">RELEVADOR GE-869 MGA-51008 B</t>
  </si>
  <si>
    <t xml:space="preserve">TRI-REF-DBP-04DIA-SREAC-GA51008B</t>
  </si>
  <si>
    <t xml:space="preserve">20960963</t>
  </si>
  <si>
    <t xml:space="preserve">GE-869-87M MGA-51001 B</t>
  </si>
  <si>
    <t xml:space="preserve">RELEVADOR GE-869-87M MGA-51001 B</t>
  </si>
  <si>
    <t xml:space="preserve">TRI-REF-DBP-04DIA-SREAC-GA51001B</t>
  </si>
  <si>
    <t xml:space="preserve">20960962</t>
  </si>
  <si>
    <t xml:space="preserve">GE-869 MGA-51001 B</t>
  </si>
  <si>
    <t xml:space="preserve">RELEVADOR GE-869 MGA-51001 B</t>
  </si>
  <si>
    <t xml:space="preserve">20960961</t>
  </si>
  <si>
    <t xml:space="preserve">GE-869-87M MBC-51001 C</t>
  </si>
  <si>
    <t xml:space="preserve">RELEVADOR GE-869-87M MBC-51001 C</t>
  </si>
  <si>
    <t xml:space="preserve">TRI-REF-DBP-04DIA-SCOMP-BC51001C</t>
  </si>
  <si>
    <t xml:space="preserve">20960960</t>
  </si>
  <si>
    <t xml:space="preserve">GE-869 MBC-51001 C</t>
  </si>
  <si>
    <t xml:space="preserve">RELEVADOR GE-869 MBC-51001 C</t>
  </si>
  <si>
    <t xml:space="preserve">20960959</t>
  </si>
  <si>
    <t xml:space="preserve">GE-869-87M MBC-51001 B</t>
  </si>
  <si>
    <t xml:space="preserve">RELEVADOR GE-869-87M MBC-51001 B</t>
  </si>
  <si>
    <t xml:space="preserve">TRI-REF-DBP-04DIA-SCOMP-BC51001B</t>
  </si>
  <si>
    <t xml:space="preserve">20960958</t>
  </si>
  <si>
    <t xml:space="preserve">GE-869 MBC-51001 B</t>
  </si>
  <si>
    <t xml:space="preserve">RELEVADOR GE-869 MBC-51001 B</t>
  </si>
  <si>
    <t xml:space="preserve">20960948</t>
  </si>
  <si>
    <t xml:space="preserve">GE-869-87M MBC-51001 A</t>
  </si>
  <si>
    <t xml:space="preserve">RELEVADOR GE-869-87M MBC-51001 A</t>
  </si>
  <si>
    <t xml:space="preserve">TRI-REF-DBP-04DIA-SCOMP-BC51001A</t>
  </si>
  <si>
    <t xml:space="preserve">20960947</t>
  </si>
  <si>
    <t xml:space="preserve">GE-869 MBC-51001 A</t>
  </si>
  <si>
    <t xml:space="preserve">RELEVADOR GE-869 MBC-51001 A</t>
  </si>
  <si>
    <t xml:space="preserve">20960946</t>
  </si>
  <si>
    <t xml:space="preserve">GE-869-87M MGA-51001 A</t>
  </si>
  <si>
    <t xml:space="preserve">RELEVADOR GE-869-87M MGA-51001 A</t>
  </si>
  <si>
    <t xml:space="preserve">TRI-REF-DBP-04DIA-SREAC-GA51001A</t>
  </si>
  <si>
    <t xml:space="preserve">20960945</t>
  </si>
  <si>
    <t xml:space="preserve">GE-869 MGA-51001 A</t>
  </si>
  <si>
    <t xml:space="preserve">RELEVADOR GE-869 MGA-51001 A</t>
  </si>
  <si>
    <t xml:space="preserve">20961036</t>
  </si>
  <si>
    <t xml:space="preserve">GE-869 MGA-52008 A</t>
  </si>
  <si>
    <t xml:space="preserve">RELEVADOR GE-869 MGA-52008 A</t>
  </si>
  <si>
    <t xml:space="preserve">TRI-REF-DBP-04DIB-SREAC-GA52008A</t>
  </si>
  <si>
    <t xml:space="preserve">DBDIB</t>
  </si>
  <si>
    <t xml:space="preserve">20961035</t>
  </si>
  <si>
    <t xml:space="preserve">GE-869 MGA-52002 B</t>
  </si>
  <si>
    <t xml:space="preserve">RELEVADOR GE-869 MGA-52002 B</t>
  </si>
  <si>
    <t xml:space="preserve">TRI-REF-DBP-04DIB-SAMIN-GA52002B</t>
  </si>
  <si>
    <t xml:space="preserve">20961034</t>
  </si>
  <si>
    <t xml:space="preserve">GE-869 MGA-52005 B</t>
  </si>
  <si>
    <t xml:space="preserve">RELEVADOR GE-869 MGA-52005 B</t>
  </si>
  <si>
    <t xml:space="preserve">TRI-REF-DBP-04DIB-SFRAC-GA52005B</t>
  </si>
  <si>
    <t xml:space="preserve">20961033</t>
  </si>
  <si>
    <t xml:space="preserve">GE-869 MGA-52005 A</t>
  </si>
  <si>
    <t xml:space="preserve">RELEVADOR GE-869 MGA-52005 A</t>
  </si>
  <si>
    <t xml:space="preserve">TRI-REF-DBP-04DIB-SFRAC-GA52005A</t>
  </si>
  <si>
    <t xml:space="preserve">20961032</t>
  </si>
  <si>
    <t xml:space="preserve">GE-869 MGA-52004 A</t>
  </si>
  <si>
    <t xml:space="preserve">RELEVADOR GE-869 MGA-52004 A</t>
  </si>
  <si>
    <t xml:space="preserve">TRI-REF-DBP-04DIB-SFRAC-GA52004A</t>
  </si>
  <si>
    <t xml:space="preserve">20961020</t>
  </si>
  <si>
    <t xml:space="preserve">GE-869 MGA-52004 B</t>
  </si>
  <si>
    <t xml:space="preserve">RELEVADOR GE-869 MGA-52004 B</t>
  </si>
  <si>
    <t xml:space="preserve">TRI-REF-DBP-04DIB-SFRAC-GA52004B</t>
  </si>
  <si>
    <t xml:space="preserve">20961019</t>
  </si>
  <si>
    <t xml:space="preserve">GE-869 MGA-52005 C</t>
  </si>
  <si>
    <t xml:space="preserve">RELEVADOR GE-869 MGA-52005 C</t>
  </si>
  <si>
    <t xml:space="preserve">TRI-REF-DBP-04DIB-SFRAC-GA52005C</t>
  </si>
  <si>
    <t xml:space="preserve">20961018</t>
  </si>
  <si>
    <t xml:space="preserve">GE-869 MGA-52002 A</t>
  </si>
  <si>
    <t xml:space="preserve">RELEVADOR GE-869 MGA-52002 A</t>
  </si>
  <si>
    <t xml:space="preserve">TRI-REF-DBP-04DIB-SAMIN-GA52002A</t>
  </si>
  <si>
    <t xml:space="preserve">20961017</t>
  </si>
  <si>
    <t xml:space="preserve">GE-869 MGA-52005 D</t>
  </si>
  <si>
    <t xml:space="preserve">RELEVADOR GE-869 MGA-52005 D</t>
  </si>
  <si>
    <t xml:space="preserve">TRI-REF-DBP-04DIB-SFRAC-GA52005D</t>
  </si>
  <si>
    <t xml:space="preserve">20961016</t>
  </si>
  <si>
    <t xml:space="preserve">GE-869 MGA-52008 B</t>
  </si>
  <si>
    <t xml:space="preserve">RELEVADOR GE-869 MGA-52008 B</t>
  </si>
  <si>
    <t xml:space="preserve">TRI-REF-DBP-04DIB-SREAC-GA52008B</t>
  </si>
  <si>
    <t xml:space="preserve">20961015</t>
  </si>
  <si>
    <t xml:space="preserve">GE-869-87M MGA-52001 B</t>
  </si>
  <si>
    <t xml:space="preserve">RELEVADOR GE-869-87M MGA-52001 B</t>
  </si>
  <si>
    <t xml:space="preserve">TRI-REF-DBP-04DIB-SREAC-GA52001B</t>
  </si>
  <si>
    <t xml:space="preserve">20961014</t>
  </si>
  <si>
    <t xml:space="preserve">GE-869 MGA-52001 B</t>
  </si>
  <si>
    <t xml:space="preserve">RELEVADOR GE-869 MGA-52001 B</t>
  </si>
  <si>
    <t xml:space="preserve">20961013</t>
  </si>
  <si>
    <t xml:space="preserve">GE-869-87M MBC-52001 C</t>
  </si>
  <si>
    <t xml:space="preserve">RELEVADOR GE-869-87M MBC-52001 C</t>
  </si>
  <si>
    <t xml:space="preserve">TRI-REF-DBP-04DIB-SCOMP-BC52001C</t>
  </si>
  <si>
    <t xml:space="preserve">20961012</t>
  </si>
  <si>
    <t xml:space="preserve">GE-869 MBC-52001 C</t>
  </si>
  <si>
    <t xml:space="preserve">RELEVADOR GE-869 MBC-52001 C</t>
  </si>
  <si>
    <t xml:space="preserve">20961011</t>
  </si>
  <si>
    <t xml:space="preserve">GE-869-87M MBC-52001 B</t>
  </si>
  <si>
    <t xml:space="preserve">RELEVADOR GE-869-87M MBC-52001 B</t>
  </si>
  <si>
    <t xml:space="preserve">TRI-REF-DBP-04DIB-SCOMP-BC52001B</t>
  </si>
  <si>
    <t xml:space="preserve">20961010</t>
  </si>
  <si>
    <t xml:space="preserve">GE-869 MBC-52001 B</t>
  </si>
  <si>
    <t xml:space="preserve">RELEVADOR GE-869 MBC-52001 B</t>
  </si>
  <si>
    <t xml:space="preserve">20961000</t>
  </si>
  <si>
    <t xml:space="preserve">GE-869-87M MBC-52001 A</t>
  </si>
  <si>
    <t xml:space="preserve">RELEVADOR GE-869-87M MBC-52001 A</t>
  </si>
  <si>
    <t xml:space="preserve">TRI-REF-DBP-04DIB-SCOMP-BC52001A</t>
  </si>
  <si>
    <t xml:space="preserve">20960999</t>
  </si>
  <si>
    <t xml:space="preserve">GE-869 MBC-52001 A</t>
  </si>
  <si>
    <t xml:space="preserve">RELEVADOR GE-869 MBC-52001 A</t>
  </si>
  <si>
    <t xml:space="preserve">20960998</t>
  </si>
  <si>
    <t xml:space="preserve">GE-869-87M MGA-52001 A</t>
  </si>
  <si>
    <t xml:space="preserve">RELEVADOR GE-869-87M MGA-52001 A</t>
  </si>
  <si>
    <t xml:space="preserve">TRI-REF-DBP-04DIB-SREAC-GA52001A</t>
  </si>
  <si>
    <t xml:space="preserve">20960997</t>
  </si>
  <si>
    <t xml:space="preserve">GE-869 MGA-52001 A</t>
  </si>
  <si>
    <t xml:space="preserve">RELEVADOR GE-869 MGA-52001 A</t>
  </si>
  <si>
    <t xml:space="preserve">21005018</t>
  </si>
  <si>
    <t xml:space="preserve">REF-615 IV-8 TR-29-05</t>
  </si>
  <si>
    <t xml:space="preserve">RELEVADOR IV-8 TR-29-05 PROTEC. ALIMENT</t>
  </si>
  <si>
    <t xml:space="preserve">TRI-REF-DBP-06SEL-S_029-TDM29_01_A_SE29</t>
  </si>
  <si>
    <t xml:space="preserve">DBEDI</t>
  </si>
  <si>
    <t xml:space="preserve">21005017</t>
  </si>
  <si>
    <t xml:space="preserve">REA-101 IV-7 TR-29-04</t>
  </si>
  <si>
    <t xml:space="preserve">RELEVADOR IV-7 TR-29-04 PROTEC. ALIMENT</t>
  </si>
  <si>
    <t xml:space="preserve">TRI-REF-DBP-06SEL-S_029-TDM29_01_B_SE29</t>
  </si>
  <si>
    <t xml:space="preserve">REA-101</t>
  </si>
  <si>
    <t xml:space="preserve">21005016</t>
  </si>
  <si>
    <t xml:space="preserve">REF-615 IV-7 TR-29-04</t>
  </si>
  <si>
    <t xml:space="preserve">21005015</t>
  </si>
  <si>
    <t xml:space="preserve">REA-101 IV-6 TR-29-03</t>
  </si>
  <si>
    <t xml:space="preserve">RELEVADOR IV-6 TR-29-03 PROTEC. ALIMENT</t>
  </si>
  <si>
    <t xml:space="preserve">21005014</t>
  </si>
  <si>
    <t xml:space="preserve">REF-615 IV-6 TR-29-03</t>
  </si>
  <si>
    <t xml:space="preserve">21005013</t>
  </si>
  <si>
    <t xml:space="preserve">REF-615 IV-4 BC-29-02</t>
  </si>
  <si>
    <t xml:space="preserve">RELEVADOR IV-5 BC-29-02 PROTEC. ALIMENT</t>
  </si>
  <si>
    <t xml:space="preserve">21005012</t>
  </si>
  <si>
    <t xml:space="preserve">REF-615 IV-4 BC-29-01</t>
  </si>
  <si>
    <t xml:space="preserve">RELEVADOR IV-4 BC-29-01 PROT ALIMENT</t>
  </si>
  <si>
    <t xml:space="preserve">21005011</t>
  </si>
  <si>
    <t xml:space="preserve">GE 350 IV-3 TDM-29-01</t>
  </si>
  <si>
    <t xml:space="preserve">RELEVADOR IV-3 ENLACE</t>
  </si>
  <si>
    <t xml:space="preserve">GE</t>
  </si>
  <si>
    <t xml:space="preserve">21005010</t>
  </si>
  <si>
    <t xml:space="preserve">GE 350 IV-2 TDM-29-01</t>
  </si>
  <si>
    <t xml:space="preserve">RELEVADOR IV-2 ENLACE</t>
  </si>
  <si>
    <t xml:space="preserve">21005009</t>
  </si>
  <si>
    <t xml:space="preserve">REA-101 IV-2 TDM-29-01</t>
  </si>
  <si>
    <t xml:space="preserve">RELEVADOR IV-2 BUS B PROTEC. FALLA ARCO</t>
  </si>
  <si>
    <t xml:space="preserve">21005008</t>
  </si>
  <si>
    <t xml:space="preserve">SEL-735 IV-2 TDM-29-01</t>
  </si>
  <si>
    <t xml:space="preserve">RELEVADOR IV-2 BUS B MEDICION</t>
  </si>
  <si>
    <t xml:space="preserve">21005007</t>
  </si>
  <si>
    <t xml:space="preserve">REF-615 IV-2 TDM-29-01</t>
  </si>
  <si>
    <t xml:space="preserve">RELEVADOR IV-2 BUS B PROTEC.</t>
  </si>
  <si>
    <t xml:space="preserve">21005006</t>
  </si>
  <si>
    <t xml:space="preserve">REA-101 IV-1 TDM-29-01</t>
  </si>
  <si>
    <t xml:space="preserve">RELEVADOR IV-1 BUS A PROTEC. FALLA ARCO</t>
  </si>
  <si>
    <t xml:space="preserve">21005005</t>
  </si>
  <si>
    <t xml:space="preserve">SEL-735 IV-1 TDM-29-01</t>
  </si>
  <si>
    <t xml:space="preserve">RELEVADOR IV-1 BUS A MEDICION</t>
  </si>
  <si>
    <t xml:space="preserve">21005004</t>
  </si>
  <si>
    <t xml:space="preserve">REF-615 IV-1 TDM-29-01</t>
  </si>
  <si>
    <t xml:space="preserve">RELEVADOR IV-1 BUS A PROTEC.</t>
  </si>
  <si>
    <t xml:space="preserve">21005003</t>
  </si>
  <si>
    <t xml:space="preserve">REA-101 IP-2-02</t>
  </si>
  <si>
    <t xml:space="preserve">RELEVADOR IP-29-02 BUS B</t>
  </si>
  <si>
    <t xml:space="preserve">TRI-REF-DBP-06SEL-S_029-TR_29_02_SE29</t>
  </si>
  <si>
    <t xml:space="preserve">21005002</t>
  </si>
  <si>
    <t xml:space="preserve">SEL-735 IP-29-02</t>
  </si>
  <si>
    <t xml:space="preserve">21005001</t>
  </si>
  <si>
    <t xml:space="preserve">RET-615 IP-29-02</t>
  </si>
  <si>
    <t xml:space="preserve">21005000</t>
  </si>
  <si>
    <t xml:space="preserve">REF-615 IP-29-02</t>
  </si>
  <si>
    <t xml:space="preserve">21004999</t>
  </si>
  <si>
    <t xml:space="preserve">REA-101 IP-29-01</t>
  </si>
  <si>
    <t xml:space="preserve">RELEVADOR IP-29-01 BUS A</t>
  </si>
  <si>
    <t xml:space="preserve">TRI-REF-DBP-06SEL-S_029-TR_29_01_SE29</t>
  </si>
  <si>
    <t xml:space="preserve">21004998</t>
  </si>
  <si>
    <t xml:space="preserve">SEL-735 IP-29-01</t>
  </si>
  <si>
    <t xml:space="preserve">21005019</t>
  </si>
  <si>
    <t xml:space="preserve">REF-615 IV-9 TR-29-06</t>
  </si>
  <si>
    <t xml:space="preserve">RELEVADOR IV-9 TR-29-06 PROTEC. ALIMENT</t>
  </si>
  <si>
    <t xml:space="preserve">21005020</t>
  </si>
  <si>
    <t xml:space="preserve">REF-615 IV-10 TR-29-07</t>
  </si>
  <si>
    <t xml:space="preserve">RELEVADOR IV-10 TR-29-07 PROTEC. ALIMENT</t>
  </si>
  <si>
    <t xml:space="preserve">21005021</t>
  </si>
  <si>
    <t xml:space="preserve">REF-615 IV-11 TR-29-08</t>
  </si>
  <si>
    <t xml:space="preserve">RELEVADOR IV-11 TR-29-08 PROTEC. ALIMENT</t>
  </si>
  <si>
    <t xml:space="preserve">21005022</t>
  </si>
  <si>
    <t xml:space="preserve">REF-615 IV-12 TR-29-09</t>
  </si>
  <si>
    <t xml:space="preserve">RELEVADOR IV-12 TR-29-09 PROTEC. ALIMENT</t>
  </si>
  <si>
    <t xml:space="preserve">21005023</t>
  </si>
  <si>
    <t xml:space="preserve">REF-615 IV-13 TR-29-10</t>
  </si>
  <si>
    <t xml:space="preserve">RELEVADOR IV-13 TR-29-10 PROTEC. ALIMENT</t>
  </si>
  <si>
    <t xml:space="preserve">21005024</t>
  </si>
  <si>
    <t xml:space="preserve">REF-615 IV-14 TR-29-11</t>
  </si>
  <si>
    <t xml:space="preserve">RELEVADOR IV-14 TR-29-11 PROTEC. ALIMENT</t>
  </si>
  <si>
    <t xml:space="preserve">21005025</t>
  </si>
  <si>
    <t xml:space="preserve">REF-615 IV-15 TR-29-12</t>
  </si>
  <si>
    <t xml:space="preserve">RELEVADOR IV-15 TR-29-12 PROTEC. ALIMENT</t>
  </si>
  <si>
    <t xml:space="preserve">21005026</t>
  </si>
  <si>
    <t xml:space="preserve">GE 350 IE-1 CCM-29-01</t>
  </si>
  <si>
    <t xml:space="preserve">RELEVADOR IE-1 CCM-29-01 BUS A PROTEC.</t>
  </si>
  <si>
    <t xml:space="preserve">TRI-REF-DBP-06SEL-S_029-CCM29_01_A_SE29</t>
  </si>
  <si>
    <t xml:space="preserve">21005027</t>
  </si>
  <si>
    <t xml:space="preserve">GE 350 IE-2 CCM-29-01</t>
  </si>
  <si>
    <t xml:space="preserve">RELEVADOR IE-2 CCM-29-01 BUS B PROTEC.</t>
  </si>
  <si>
    <t xml:space="preserve">TRI-REF-DBP-06SEL-S_029-CCM29_01_B_SE29</t>
  </si>
  <si>
    <t xml:space="preserve">21005028</t>
  </si>
  <si>
    <t xml:space="preserve">GE 350 IE-1 CCM-29-02</t>
  </si>
  <si>
    <t xml:space="preserve">RELEVADOR IE-1 CCM-29-02 BUS A PROTEC.</t>
  </si>
  <si>
    <t xml:space="preserve">TRI-REF-DBP-06SEL-S_029-CCM29_02_A_SE29</t>
  </si>
  <si>
    <t xml:space="preserve">21005029</t>
  </si>
  <si>
    <t xml:space="preserve">GE 350 IE-2 CCM-29-02</t>
  </si>
  <si>
    <t xml:space="preserve">RELEVADOR IE-2 CCM-29-02 BUS B PROTEC.</t>
  </si>
  <si>
    <t xml:space="preserve">TRI-REF-DBP-06SEL-S_029-CCM29_02_B_SE29</t>
  </si>
  <si>
    <t xml:space="preserve">21005030</t>
  </si>
  <si>
    <t xml:space="preserve">GE 350 IE-1 CCM-29-03</t>
  </si>
  <si>
    <t xml:space="preserve">RELEVADOR IE-1 CCM-29-03 BUS A PROTEC.</t>
  </si>
  <si>
    <t xml:space="preserve">TRI-REF-DBP-06SEL-S_029-CCM29_03_A_SE29</t>
  </si>
  <si>
    <t xml:space="preserve">21005031</t>
  </si>
  <si>
    <t xml:space="preserve">GE 350 IE-2 CCM-29-03</t>
  </si>
  <si>
    <t xml:space="preserve">RELEVADOR IE-2 CCM-29-03 BUS B PROTEC.</t>
  </si>
  <si>
    <t xml:space="preserve">TRI-REF-DBP-06SEL-S_029-CCM29_03_B_SE29</t>
  </si>
  <si>
    <t xml:space="preserve">21005032</t>
  </si>
  <si>
    <t xml:space="preserve">GE 350 IE-1 CCM-29-04</t>
  </si>
  <si>
    <t xml:space="preserve">RELEVADOR IE-1 CCM-29-04 BUS A PROTEC.</t>
  </si>
  <si>
    <t xml:space="preserve">TRI-REF-DBP-06SEL-S_029-CCM29_04_A_SE29</t>
  </si>
  <si>
    <t xml:space="preserve">21005033</t>
  </si>
  <si>
    <t xml:space="preserve">GE 350 IE-2 CCM-29-04</t>
  </si>
  <si>
    <t xml:space="preserve">RELEVADOR IE-2 CCM-29-04 BUS B PROTEC.</t>
  </si>
  <si>
    <t xml:space="preserve">TRI-REF-DBP-06SEL-S_029-CCM29_04_B_SE29</t>
  </si>
  <si>
    <t xml:space="preserve">21005034</t>
  </si>
  <si>
    <t xml:space="preserve">GE 350 IE-1 CCM-29-05</t>
  </si>
  <si>
    <t xml:space="preserve">RELEVADOR IE-1 CCM-29-05 BUS A PROTEC.</t>
  </si>
  <si>
    <t xml:space="preserve">TRI-REF-DBP-06SEL-S_029-CCM29_05_A_SE29</t>
  </si>
  <si>
    <t xml:space="preserve">21005035</t>
  </si>
  <si>
    <t xml:space="preserve">GE 350 IE-2 CCM-29-05</t>
  </si>
  <si>
    <t xml:space="preserve">RELEVADOR IE-2 CCM-29-05 BUS B PROTEC.</t>
  </si>
  <si>
    <t xml:space="preserve">TRI-REF-DBP-06SEL-S_029-CCM29_05_B_SE29</t>
  </si>
  <si>
    <t xml:space="preserve">21005036</t>
  </si>
  <si>
    <t xml:space="preserve">SEL-735 IE-01 TDB-29-01</t>
  </si>
  <si>
    <t xml:space="preserve">RELEVADOR IE-01 TDB-29-01 BUS A MEDICION</t>
  </si>
  <si>
    <t xml:space="preserve">TRI-REF-DBP-06SEL-S_029-TR_29_21_SE29</t>
  </si>
  <si>
    <t xml:space="preserve">21005037</t>
  </si>
  <si>
    <t xml:space="preserve">GE 350 IE-01 TDB-29-01</t>
  </si>
  <si>
    <t xml:space="preserve">RELEVADOR IE-01 TDB-28-01 BUS A PROTEC.</t>
  </si>
  <si>
    <t xml:space="preserve">21005038</t>
  </si>
  <si>
    <t xml:space="preserve">SEL-735 IE-02 TDB-29-01</t>
  </si>
  <si>
    <t xml:space="preserve">RELEVADOR IE-02 TDB-28-01 BUS B MEDICION</t>
  </si>
  <si>
    <t xml:space="preserve">TRI-REF-DBP-06SEL-S_029-TR_29_22_SE29</t>
  </si>
  <si>
    <t xml:space="preserve">21005039</t>
  </si>
  <si>
    <t xml:space="preserve">GE 350 IE-02 TDB-29-01</t>
  </si>
  <si>
    <t xml:space="preserve">RELEVADOR IE-02 TDB-28-01 BUS B PROTEC.</t>
  </si>
  <si>
    <t xml:space="preserve">21004953</t>
  </si>
  <si>
    <t xml:space="preserve">REF-615 IP-28-01</t>
  </si>
  <si>
    <t xml:space="preserve">RELEVADOR IP-28-01 BUS A</t>
  </si>
  <si>
    <t xml:space="preserve">TRI-REF-DBP-06SEL-S_028-TR_28_01_SE28</t>
  </si>
  <si>
    <t xml:space="preserve">21004957</t>
  </si>
  <si>
    <t xml:space="preserve">RET-615 IP-28-01</t>
  </si>
  <si>
    <t xml:space="preserve">21004958</t>
  </si>
  <si>
    <t xml:space="preserve">SEL-735 IP-28-01</t>
  </si>
  <si>
    <t xml:space="preserve">21004959</t>
  </si>
  <si>
    <t xml:space="preserve">REA-101 IP-28-01</t>
  </si>
  <si>
    <t xml:space="preserve">21004960</t>
  </si>
  <si>
    <t xml:space="preserve">REF-615 IP-28-02</t>
  </si>
  <si>
    <t xml:space="preserve">RELEVADOR IP-28-02 BUS B</t>
  </si>
  <si>
    <t xml:space="preserve">TRI-REF-DBP-06SEL-S_028-TR_28_02_SE28</t>
  </si>
  <si>
    <t xml:space="preserve">21004961</t>
  </si>
  <si>
    <t xml:space="preserve">RET-615 IP-28-02</t>
  </si>
  <si>
    <t xml:space="preserve">21004962</t>
  </si>
  <si>
    <t xml:space="preserve">SEL-735 IP-28-02</t>
  </si>
  <si>
    <t xml:space="preserve">21004963</t>
  </si>
  <si>
    <t xml:space="preserve">REA-101 IP-28-02</t>
  </si>
  <si>
    <t xml:space="preserve">21004964</t>
  </si>
  <si>
    <t xml:space="preserve">REF-615 IV-1 TDM-28-01</t>
  </si>
  <si>
    <t xml:space="preserve">RELEVADOR IV-1 BUS A PROT ALIMENTADOR</t>
  </si>
  <si>
    <t xml:space="preserve">TRI-REF-DBP-06SEL-S_028-TDM28_01_A_SE28</t>
  </si>
  <si>
    <t xml:space="preserve">21004965</t>
  </si>
  <si>
    <t xml:space="preserve">SEL-735 IV-1 TDM-28-01</t>
  </si>
  <si>
    <t xml:space="preserve">21004966</t>
  </si>
  <si>
    <t xml:space="preserve">REA-101 IV-1 TDM-28-01</t>
  </si>
  <si>
    <t xml:space="preserve">21004967</t>
  </si>
  <si>
    <t xml:space="preserve">REF-615 IV-4 BC-28-01</t>
  </si>
  <si>
    <t xml:space="preserve">RELEVADOR IV-4 BC-28-01 PROT ALIMENTADOR</t>
  </si>
  <si>
    <t xml:space="preserve">21004968</t>
  </si>
  <si>
    <t xml:space="preserve">REF615 IV-6 TDM-28-01</t>
  </si>
  <si>
    <t xml:space="preserve">RELEVADOR IV-6 BUS A PROT ALIMENTADOR</t>
  </si>
  <si>
    <t xml:space="preserve">21004969</t>
  </si>
  <si>
    <t xml:space="preserve">REA-101 IV-6 TDM-28-01</t>
  </si>
  <si>
    <t xml:space="preserve">RELEVADOR IV-6 BUS A PROT FALLA ARCO</t>
  </si>
  <si>
    <t xml:space="preserve">21004970</t>
  </si>
  <si>
    <t xml:space="preserve">REF615 IV-8 TR-28-05</t>
  </si>
  <si>
    <t xml:space="preserve">RELEVADOR IV-8 BUS A TR-28-05 PROT ALIM</t>
  </si>
  <si>
    <t xml:space="preserve">21004971</t>
  </si>
  <si>
    <t xml:space="preserve">REF615 IV-10 TR-28-07</t>
  </si>
  <si>
    <t xml:space="preserve">RELEVADOR IV-10 BUS A TR-28-07 PROT ALIM</t>
  </si>
  <si>
    <t xml:space="preserve">21004972</t>
  </si>
  <si>
    <t xml:space="preserve">REF615 IV-12 TR-28-09</t>
  </si>
  <si>
    <t xml:space="preserve">RELEVADOR IV-12 BUS A TR-28-09 PROT ALIM</t>
  </si>
  <si>
    <t xml:space="preserve">21004973</t>
  </si>
  <si>
    <t xml:space="preserve">REF615 IV-2 TDM-28-01</t>
  </si>
  <si>
    <t xml:space="preserve">RELEVADOR IV-2 BUS B PROT ALIMENTADOR</t>
  </si>
  <si>
    <t xml:space="preserve">TRI-REF-DBP-06SEL-S_028-TDM28_01_B_SE28</t>
  </si>
  <si>
    <t xml:space="preserve">21004974</t>
  </si>
  <si>
    <t xml:space="preserve">SEL-735 IV-2 TDM-28-01</t>
  </si>
  <si>
    <t xml:space="preserve">21004975</t>
  </si>
  <si>
    <t xml:space="preserve">REA-101 IV-2 TDM-28-01</t>
  </si>
  <si>
    <t xml:space="preserve">RELEVADOR IV-2 BUS B PROT FALLA ARCO</t>
  </si>
  <si>
    <t xml:space="preserve">21004976</t>
  </si>
  <si>
    <t xml:space="preserve">REF-615 IV-5 BC-28-02</t>
  </si>
  <si>
    <t xml:space="preserve">RELEVADOR IV-5 BC-28-02 PROT ALIMENTADOR</t>
  </si>
  <si>
    <t xml:space="preserve">21004997</t>
  </si>
  <si>
    <t xml:space="preserve">RET-615 IP-29-01</t>
  </si>
  <si>
    <t xml:space="preserve">21004996</t>
  </si>
  <si>
    <t xml:space="preserve">REF-615 IP-29-01</t>
  </si>
  <si>
    <t xml:space="preserve">21004995</t>
  </si>
  <si>
    <t xml:space="preserve">GE 350 IE-02 TDB-28-01</t>
  </si>
  <si>
    <t xml:space="preserve">RELEVADOR IE-02 TDB-28-01 BUS B PROT</t>
  </si>
  <si>
    <t xml:space="preserve">TRI-REF-DBP-06SEL-S_028-TR_28_22_SE28</t>
  </si>
  <si>
    <t xml:space="preserve">21004994</t>
  </si>
  <si>
    <t xml:space="preserve">SEL-735 IE-02 TDB-28-01</t>
  </si>
  <si>
    <t xml:space="preserve">21004993</t>
  </si>
  <si>
    <t xml:space="preserve">GE 350 IE-01 TDB-28-01</t>
  </si>
  <si>
    <t xml:space="preserve">RELEVADOR IE-01 TDB-28-01 BUS A PROT</t>
  </si>
  <si>
    <t xml:space="preserve">TRI-REF-DBP-06SEL-S_028-TR_28_21_SE28</t>
  </si>
  <si>
    <t xml:space="preserve">21004992</t>
  </si>
  <si>
    <t xml:space="preserve">SEL-735 IE-01 TDB-28-01</t>
  </si>
  <si>
    <t xml:space="preserve">RELEVADOR IE-01 TDB-28-01 BUS A MEDICION</t>
  </si>
  <si>
    <t xml:space="preserve">21004991</t>
  </si>
  <si>
    <t xml:space="preserve">GE 350 IE-2 CCM-28-04</t>
  </si>
  <si>
    <t xml:space="preserve">RELEVADOR IE-2 CCM-28-04 BUS B PROT</t>
  </si>
  <si>
    <t xml:space="preserve">TRI-REF-DBP-06SEL-S_028-CCM28_04_B_SE28</t>
  </si>
  <si>
    <t xml:space="preserve">21004990</t>
  </si>
  <si>
    <t xml:space="preserve">GE 350 IE-1 CCM-28-04</t>
  </si>
  <si>
    <t xml:space="preserve">RELEVADOR IE-1 CCM-28-04 BUS A PROT</t>
  </si>
  <si>
    <t xml:space="preserve">TRI-REF-DBP-06SEL-S_028-CCM28_04_A_SE28</t>
  </si>
  <si>
    <t xml:space="preserve">21004989</t>
  </si>
  <si>
    <t xml:space="preserve">GE 350 IE-2 CCM-28-03</t>
  </si>
  <si>
    <t xml:space="preserve">RELEVADOR  IE-2 CCM-28-03 BUS B PROT</t>
  </si>
  <si>
    <t xml:space="preserve">TRI-REF-DBP-06SEL-S_028-CCM28_03_B_SE28</t>
  </si>
  <si>
    <t xml:space="preserve">21004988</t>
  </si>
  <si>
    <t xml:space="preserve">GE 350 IE-1 CCM-28-03</t>
  </si>
  <si>
    <t xml:space="preserve">RELEVADOR IE-1 CCM-28-03 BUS A PROT</t>
  </si>
  <si>
    <t xml:space="preserve">TRI-REF-DBP-06SEL-S_028-CCM28_03_A_SE28</t>
  </si>
  <si>
    <t xml:space="preserve">21004987</t>
  </si>
  <si>
    <t xml:space="preserve">GE 350 IE-2 CCM-28-02</t>
  </si>
  <si>
    <t xml:space="preserve">RELEVADOR IE-2 CCM-28-02 BUS B PROT</t>
  </si>
  <si>
    <t xml:space="preserve">TRI-REF-DBP-06SEL-S_028-CCM28_02_B_SE28</t>
  </si>
  <si>
    <t xml:space="preserve">21004977</t>
  </si>
  <si>
    <t xml:space="preserve">REF615 IV-7 TR-28-04</t>
  </si>
  <si>
    <t xml:space="preserve">RELEVADOR IV-7 BUS B TR-28-04 PROT ALIM</t>
  </si>
  <si>
    <t xml:space="preserve">21004978</t>
  </si>
  <si>
    <t xml:space="preserve">REA-101 IV-7 TDM-28-01</t>
  </si>
  <si>
    <t xml:space="preserve">RELEVADOR IV-7 BUS B PROT FALLA ARCO</t>
  </si>
  <si>
    <t xml:space="preserve">21004979</t>
  </si>
  <si>
    <t xml:space="preserve">REF615 IV-7 TR-28-06</t>
  </si>
  <si>
    <t xml:space="preserve">RELEVADOR IV-7 BUS B TR-28-06 PROT ALIM</t>
  </si>
  <si>
    <t xml:space="preserve">21004980</t>
  </si>
  <si>
    <t xml:space="preserve">REF615 IV-11 TR-28-0</t>
  </si>
  <si>
    <t xml:space="preserve">RELEVADOR IV-11 BUS B TR-28-08 PROT ALIM</t>
  </si>
  <si>
    <t xml:space="preserve">21004981</t>
  </si>
  <si>
    <t xml:space="preserve">REF615 IV-13 TR-28-10</t>
  </si>
  <si>
    <t xml:space="preserve">RELEVADOR IV-13 BUS B TR-28-10 PROT ALIM</t>
  </si>
  <si>
    <t xml:space="preserve">21004986</t>
  </si>
  <si>
    <t xml:space="preserve">GE 350 IE-1 CCM-28-02</t>
  </si>
  <si>
    <t xml:space="preserve">RELEVADOR IE-1 CCM-28-02 BUS A PROT</t>
  </si>
  <si>
    <t xml:space="preserve">TRI-REF-DBP-06SEL-S_028-CCM28_02_A_SE28</t>
  </si>
  <si>
    <t xml:space="preserve">21004985</t>
  </si>
  <si>
    <t xml:space="preserve">GE 350 IE-2 CCM-28-01</t>
  </si>
  <si>
    <t xml:space="preserve">RELEVADOR IE-2 CCM-28-01 BUS B PROT</t>
  </si>
  <si>
    <t xml:space="preserve">TRI-REF-DBP-06SEL-S_028-CCM28_01_A_SE28</t>
  </si>
  <si>
    <t xml:space="preserve">21004984</t>
  </si>
  <si>
    <t xml:space="preserve">GE 350 IE-1 CCM-28-01</t>
  </si>
  <si>
    <t xml:space="preserve">RELEVADOR IE-1 CCM-28-01 BUS A PROT</t>
  </si>
  <si>
    <t xml:space="preserve">TRI-REF-DBP-06SEL-S_028-CCM28_01_B_SE28</t>
  </si>
  <si>
    <t xml:space="preserve">21004982</t>
  </si>
  <si>
    <t xml:space="preserve">GE 350 IV-3 A TDM-28-01</t>
  </si>
  <si>
    <t xml:space="preserve">RELEVADOR IV-3 PROT. 27 ENLACE</t>
  </si>
  <si>
    <t xml:space="preserve">21004983</t>
  </si>
  <si>
    <t xml:space="preserve">GE 350 IV-3 B TDM-28-01</t>
  </si>
  <si>
    <t xml:space="preserve">20971818</t>
  </si>
  <si>
    <t xml:space="preserve">P5F30-IV-08 T-SEP0102</t>
  </si>
  <si>
    <t xml:space="preserve">RELEVADOR P5F30-IV-08 T-SEP0102</t>
  </si>
  <si>
    <t xml:space="preserve">TRI-REF-DBP-08SEL-SEP01-TDMT_SEP01_02_A</t>
  </si>
  <si>
    <t xml:space="preserve">DBGEA</t>
  </si>
  <si>
    <t xml:space="preserve">20971819</t>
  </si>
  <si>
    <t xml:space="preserve">P5F30-IV-09 T-SEP0102</t>
  </si>
  <si>
    <t xml:space="preserve">RELEVADOR P5F30-IV-09 T-SEP0102</t>
  </si>
  <si>
    <t xml:space="preserve">20971817</t>
  </si>
  <si>
    <t xml:space="preserve">P5F30-IV-07 T-SEP0102</t>
  </si>
  <si>
    <t xml:space="preserve">RELEVADOR P5F30-IV-07 T-SEP0102</t>
  </si>
  <si>
    <t xml:space="preserve">20971816</t>
  </si>
  <si>
    <t xml:space="preserve">P5F30-IV-06 T-SEP0102</t>
  </si>
  <si>
    <t xml:space="preserve">RELEVADOR P5F30-IV-06 T-SEP0102</t>
  </si>
  <si>
    <t xml:space="preserve">20971815</t>
  </si>
  <si>
    <t xml:space="preserve">P5F30-IV-05 T-SEP0102</t>
  </si>
  <si>
    <t xml:space="preserve">RELEVADOR P5F30-IV-05 T-SEP0102</t>
  </si>
  <si>
    <t xml:space="preserve">20971820</t>
  </si>
  <si>
    <t xml:space="preserve">P5F30-IV-10 T-SEP0102</t>
  </si>
  <si>
    <t xml:space="preserve">RELEVADOR P5F30-IV-10 T-SEP0102</t>
  </si>
  <si>
    <t xml:space="preserve">20971821</t>
  </si>
  <si>
    <t xml:space="preserve">P5F30-IV-14 T-SEP0102</t>
  </si>
  <si>
    <t xml:space="preserve">RELEVADOR P5F30-IV-14 T-SEP0102</t>
  </si>
  <si>
    <t xml:space="preserve">TRI-REF-DBP-08SEL-SEP01-TDMT_SEP01_02_B</t>
  </si>
  <si>
    <t xml:space="preserve">20971822</t>
  </si>
  <si>
    <t xml:space="preserve">P5F30-IV-15 T-SEP0102</t>
  </si>
  <si>
    <t xml:space="preserve">RELEVADOR P5F30-IV-15 T-SEP0102</t>
  </si>
  <si>
    <t xml:space="preserve">20971823</t>
  </si>
  <si>
    <t xml:space="preserve">P5F30-IV-16 T-SEP0102</t>
  </si>
  <si>
    <t xml:space="preserve">RELEVADOR P5F30-IV-16 T-SEP0102</t>
  </si>
  <si>
    <t xml:space="preserve">20971824</t>
  </si>
  <si>
    <t xml:space="preserve">P5F30-IV-17 T-SEP0102</t>
  </si>
  <si>
    <t xml:space="preserve">RELEVADOR P5F30-IV-17 T-SEP0102</t>
  </si>
  <si>
    <t xml:space="preserve">20971814</t>
  </si>
  <si>
    <t xml:space="preserve">P5F30-IV-04 T-SEP0102</t>
  </si>
  <si>
    <t xml:space="preserve">RELEVADOR P5F30-IV-04 T-SEP0102</t>
  </si>
  <si>
    <t xml:space="preserve">20971813</t>
  </si>
  <si>
    <t xml:space="preserve">P5F30-IV-03 T-SEP0102</t>
  </si>
  <si>
    <t xml:space="preserve">RELEVADOR P5F30-IV-03 T-SEP0102</t>
  </si>
  <si>
    <t xml:space="preserve">20971812</t>
  </si>
  <si>
    <t xml:space="preserve">MB90-IV-02C T-SEP0102</t>
  </si>
  <si>
    <t xml:space="preserve">RELEVADOR MB90-IV-02C T-SEP0102</t>
  </si>
  <si>
    <t xml:space="preserve">PC05</t>
  </si>
  <si>
    <t xml:space="preserve">20971811</t>
  </si>
  <si>
    <t xml:space="preserve">MB90-IV-02AB T-SEP0102</t>
  </si>
  <si>
    <t xml:space="preserve">RELEVADOR MB90-IV-02AB T-SEP0102</t>
  </si>
  <si>
    <t xml:space="preserve">20971810</t>
  </si>
  <si>
    <t xml:space="preserve">P5F30-IV-02 T-SEP0102</t>
  </si>
  <si>
    <t xml:space="preserve">RELEVADOR P5F30-IV-02 T-SEP0102</t>
  </si>
  <si>
    <t xml:space="preserve">20971809</t>
  </si>
  <si>
    <t xml:space="preserve">MB90-IV-01C T-SEP0102</t>
  </si>
  <si>
    <t xml:space="preserve">RELEVADOR MB90-IV-01C T-SEP0102</t>
  </si>
  <si>
    <t xml:space="preserve">20971808</t>
  </si>
  <si>
    <t xml:space="preserve">MB90-IV-01AB T-SEP0102</t>
  </si>
  <si>
    <t xml:space="preserve">RELEVADOR MB90-IV-01AB T-SEP0102</t>
  </si>
  <si>
    <t xml:space="preserve">20971807</t>
  </si>
  <si>
    <t xml:space="preserve">P5F30-IV-01 T-SEP0102</t>
  </si>
  <si>
    <t xml:space="preserve">RELEVADOR P5F30-IV-01 T-SEP0102</t>
  </si>
  <si>
    <t xml:space="preserve">20971806</t>
  </si>
  <si>
    <t xml:space="preserve">SEL735-SE-01(TDMT216-03B)</t>
  </si>
  <si>
    <t xml:space="preserve">RELEVADOR SEL735-SE-01(TDMT216-03B)</t>
  </si>
  <si>
    <t xml:space="preserve">TRI-REF-DBP-08SEL-SEP01-TDMT_SEP01_05_B</t>
  </si>
  <si>
    <t xml:space="preserve">20971805</t>
  </si>
  <si>
    <t xml:space="preserve">REF615-SE-01(TDMT216-03B)</t>
  </si>
  <si>
    <t xml:space="preserve">RELEVADOR REF615-SE-01(TDMT216-03B)</t>
  </si>
  <si>
    <t xml:space="preserve">PC02</t>
  </si>
  <si>
    <t xml:space="preserve">20971825</t>
  </si>
  <si>
    <t xml:space="preserve">P5F30-IV-18 T-SEP0102</t>
  </si>
  <si>
    <t xml:space="preserve">RELEVADOR P5F30-IV-18 T-SEP0102</t>
  </si>
  <si>
    <t xml:space="preserve">20971826</t>
  </si>
  <si>
    <t xml:space="preserve">P5F30-IV-19 T-SEP0102</t>
  </si>
  <si>
    <t xml:space="preserve">RELEVADOR P5F30-IV-19 T-SEP0102</t>
  </si>
  <si>
    <t xml:space="preserve">20971827</t>
  </si>
  <si>
    <t xml:space="preserve">P5F30-IV-20 T-SEP0102</t>
  </si>
  <si>
    <t xml:space="preserve">RELEVADOR P5F30-IV-20 T-SEP0102</t>
  </si>
  <si>
    <t xml:space="preserve">20971828</t>
  </si>
  <si>
    <t xml:space="preserve">P5F30-03-IV-01 T-SEP0103</t>
  </si>
  <si>
    <t xml:space="preserve">RELEVADOR P5F30-03-IV-01 T-SEP0103</t>
  </si>
  <si>
    <t xml:space="preserve">TRI-REF-DBP-08SEL-SEP01-TDMT_SEP01_03_A</t>
  </si>
  <si>
    <t xml:space="preserve">20971829</t>
  </si>
  <si>
    <t xml:space="preserve">MB90-03-IV-01AB T-SEP0103</t>
  </si>
  <si>
    <t xml:space="preserve">RELEVADOR MB90-03-IV-01AB T-SEP0103</t>
  </si>
  <si>
    <t xml:space="preserve">20971830</t>
  </si>
  <si>
    <t xml:space="preserve">MB90-03-IV-01C T-SEP0103</t>
  </si>
  <si>
    <t xml:space="preserve">RELEVADOR MB90-03-IV-01C T-SEP0103</t>
  </si>
  <si>
    <t xml:space="preserve">20971831</t>
  </si>
  <si>
    <t xml:space="preserve">P5F30-03-IV-02 T-SEP0103</t>
  </si>
  <si>
    <t xml:space="preserve">RELEVADOR P5F30-03-IV-02 T-SEP0103</t>
  </si>
  <si>
    <t xml:space="preserve">TRI-REF-DBP-08SEL-SEP01-TDMT_SEP01_03_B</t>
  </si>
  <si>
    <t xml:space="preserve">20971832</t>
  </si>
  <si>
    <t xml:space="preserve">MB90-03-IV-02AB T-SEP0103</t>
  </si>
  <si>
    <t xml:space="preserve">RELEVADOR MB90-03-IV-02AB T-SEP0103</t>
  </si>
  <si>
    <t xml:space="preserve">20971833</t>
  </si>
  <si>
    <t xml:space="preserve">MB90-03-IV-02C T-SEP0103</t>
  </si>
  <si>
    <t xml:space="preserve">RELEVADOR MB90-03-IV-02C T-SEP0103</t>
  </si>
  <si>
    <t xml:space="preserve">20971834</t>
  </si>
  <si>
    <t xml:space="preserve">P5F30-03-IV-03 T-SEP0103</t>
  </si>
  <si>
    <t xml:space="preserve">RELEVADOR P5F30-03-IV-03 T-SEP0103</t>
  </si>
  <si>
    <t xml:space="preserve">20971835</t>
  </si>
  <si>
    <t xml:space="preserve">P5F30-03-IV-04 T-SEP0103</t>
  </si>
  <si>
    <t xml:space="preserve">RELEVADOR P5F30-03-IV-04 T-SEP0103</t>
  </si>
  <si>
    <t xml:space="preserve">20971836</t>
  </si>
  <si>
    <t xml:space="preserve">P5F30-03-IV-05 T-SEP0103</t>
  </si>
  <si>
    <t xml:space="preserve">RELEVADOR P5F30-03-IV-05 T-SEP0103</t>
  </si>
  <si>
    <t xml:space="preserve">20971837</t>
  </si>
  <si>
    <t xml:space="preserve">P5F30-03-IV-06 T-SEP0103</t>
  </si>
  <si>
    <t xml:space="preserve">RELEVADOR P5F30-03-IV-06 T-SEP0103</t>
  </si>
  <si>
    <t xml:space="preserve">20971838</t>
  </si>
  <si>
    <t xml:space="preserve">P5F30-03-IV-07 T-SEP0103</t>
  </si>
  <si>
    <t xml:space="preserve">RELEVADOR P5F30-03-IV-07 T-SEP0103</t>
  </si>
  <si>
    <t xml:space="preserve">20971839</t>
  </si>
  <si>
    <t xml:space="preserve">P5F30-03-IV-09 T-SEP0103</t>
  </si>
  <si>
    <t xml:space="preserve">RELEVADOR P5F30-03-IV-09 T-SEP0103</t>
  </si>
  <si>
    <t xml:space="preserve">20971840</t>
  </si>
  <si>
    <t xml:space="preserve">P5F30-03-IV-12 T-SEP0103</t>
  </si>
  <si>
    <t xml:space="preserve">RELEVADOR P5F30-03-IV-12 T-SEP0103</t>
  </si>
  <si>
    <t xml:space="preserve">20971841</t>
  </si>
  <si>
    <t xml:space="preserve">P5F30-03-IV-13 T-SEP0103</t>
  </si>
  <si>
    <t xml:space="preserve">RELEVADOR P5F30-03-IV-13 T-SEP0103</t>
  </si>
  <si>
    <t xml:space="preserve">20971842</t>
  </si>
  <si>
    <t xml:space="preserve">P5F30-03-IV-14 T-SEP0103</t>
  </si>
  <si>
    <t xml:space="preserve">RELEVADOR P5F30-03-IV-14 T-SEP0103</t>
  </si>
  <si>
    <t xml:space="preserve">20971843</t>
  </si>
  <si>
    <t xml:space="preserve">P5F30-03-IV-15 T-SEP0103</t>
  </si>
  <si>
    <t xml:space="preserve">RELEVADOR P5F30-03-IV-15 T-SEP0103</t>
  </si>
  <si>
    <t xml:space="preserve">20971844</t>
  </si>
  <si>
    <t xml:space="preserve">P5F30-03-IV-17 T-SEP0103</t>
  </si>
  <si>
    <t xml:space="preserve">RELEVADOR P5F30-03-IV-17 T-SEP0103</t>
  </si>
  <si>
    <t xml:space="preserve">20971804</t>
  </si>
  <si>
    <t xml:space="preserve">SEL735-SE-10 B</t>
  </si>
  <si>
    <t xml:space="preserve">RELEVADOR SEL735-SE-10 B</t>
  </si>
  <si>
    <t xml:space="preserve">20971764</t>
  </si>
  <si>
    <t xml:space="preserve">REF615-H09(TDMT-SEP01-01)</t>
  </si>
  <si>
    <t xml:space="preserve">RELEVADOR REF615-H09(TDMT-SEP01-01)</t>
  </si>
  <si>
    <t xml:space="preserve">TRI-REF-DBP-08SEL-SEP01-TDMT_SEP01_01_A</t>
  </si>
  <si>
    <t xml:space="preserve">20971765</t>
  </si>
  <si>
    <t xml:space="preserve">REF620-H10(TDMT-SEP01-01)</t>
  </si>
  <si>
    <t xml:space="preserve">RELEVADOR REF620-H10(TDMT-SEP01-01)</t>
  </si>
  <si>
    <t xml:space="preserve">20971766</t>
  </si>
  <si>
    <t xml:space="preserve">REF615-H11(TDMT-SEP01-01)</t>
  </si>
  <si>
    <t xml:space="preserve">RELEVADOR REF615-H11(TDMT-SEP01-01)</t>
  </si>
  <si>
    <t xml:space="preserve">TRI-REF-DBP-08SEL-SEP01-TDMT_SEP01_01_B</t>
  </si>
  <si>
    <t xml:space="preserve">20971767</t>
  </si>
  <si>
    <t xml:space="preserve">RET615-H12(TR-SEP01-02)</t>
  </si>
  <si>
    <t xml:space="preserve">RELEVADOR RET615-H12(TR-SEP01-02)</t>
  </si>
  <si>
    <t xml:space="preserve">TRI-REF-DBP-08SEL-SEP01-TR_SEP01_02B</t>
  </si>
  <si>
    <t xml:space="preserve">20971768</t>
  </si>
  <si>
    <t xml:space="preserve">REF620-H12(TR-SEP01-02)</t>
  </si>
  <si>
    <t xml:space="preserve">RELEVADOR REF620-H12(TR-SEP01-02)</t>
  </si>
  <si>
    <t xml:space="preserve">20971769</t>
  </si>
  <si>
    <t xml:space="preserve">SEL735-H12(TR-SEP01-02)</t>
  </si>
  <si>
    <t xml:space="preserve">RELEVADOR SEL735-H12(TR-SEP01-02)</t>
  </si>
  <si>
    <t xml:space="preserve">20971770</t>
  </si>
  <si>
    <t xml:space="preserve">RET615-H13(TR-SEP01-03)</t>
  </si>
  <si>
    <t xml:space="preserve">RELEVADOR RET615-H13(TR-SEP01-03)</t>
  </si>
  <si>
    <t xml:space="preserve">TRI-REF-DBP-08SEL-SEP01-TR_SEP01_03B</t>
  </si>
  <si>
    <t xml:space="preserve">20971771</t>
  </si>
  <si>
    <t xml:space="preserve">REF620-H13(TR-SEP01-03)</t>
  </si>
  <si>
    <t xml:space="preserve">RELEVADOR REF620-H13(TR-SEP01-03)</t>
  </si>
  <si>
    <t xml:space="preserve">20971772</t>
  </si>
  <si>
    <t xml:space="preserve">SEL735-H13(TR-SEP01-03)</t>
  </si>
  <si>
    <t xml:space="preserve">RELEVADOR SEL735-H13(TR-SEP01-03)</t>
  </si>
  <si>
    <t xml:space="preserve">20971773</t>
  </si>
  <si>
    <t xml:space="preserve">RET615-H14(TR-SEP01-04)</t>
  </si>
  <si>
    <t xml:space="preserve">RELEVADOR RET615-H14(TR-SEP01-04)</t>
  </si>
  <si>
    <t xml:space="preserve">TRI-REF-DBP-08SEL-SEP01-TR_SEP01_04B</t>
  </si>
  <si>
    <t xml:space="preserve">20971774</t>
  </si>
  <si>
    <t xml:space="preserve">REF620-H14(TR-SEP01-04)</t>
  </si>
  <si>
    <t xml:space="preserve">RELEVADOR REF620-H14(TR-SEP01-04)</t>
  </si>
  <si>
    <t xml:space="preserve">20971775</t>
  </si>
  <si>
    <t xml:space="preserve">SEL735-H14(TR-SEP01-04)</t>
  </si>
  <si>
    <t xml:space="preserve">RELEVADOR SEL735-H14(TR-SEP01-04)</t>
  </si>
  <si>
    <t xml:space="preserve">20971776</t>
  </si>
  <si>
    <t xml:space="preserve">RET615-H15(TR-SEP01-05)</t>
  </si>
  <si>
    <t xml:space="preserve">RELEVADOR RET615-H15(TR-SEP01-05)</t>
  </si>
  <si>
    <t xml:space="preserve">TRI-REF-DBP-08SEL-SEP01-TR_SEP01_05B</t>
  </si>
  <si>
    <t xml:space="preserve">20971777</t>
  </si>
  <si>
    <t xml:space="preserve">REF620-H15(TR-SEP01-05)</t>
  </si>
  <si>
    <t xml:space="preserve">RELEVADOR REF620-H15(TR-SEP01-05)</t>
  </si>
  <si>
    <t xml:space="preserve">20971778</t>
  </si>
  <si>
    <t xml:space="preserve">SEL735-H15(TR-SEP01-05)</t>
  </si>
  <si>
    <t xml:space="preserve">RELEVADOR SEL735-H15(TR-SEP01-05)</t>
  </si>
  <si>
    <t xml:space="preserve">20971779</t>
  </si>
  <si>
    <t xml:space="preserve">REF620-H17(TR-SEP01-01)</t>
  </si>
  <si>
    <t xml:space="preserve">RELEVADOR REF620-H17(TR-SEP01-01)</t>
  </si>
  <si>
    <t xml:space="preserve">TRI-REF-DBP-08SEL-SEP01-TR_SEP01_01B</t>
  </si>
  <si>
    <t xml:space="preserve">20971780</t>
  </si>
  <si>
    <t xml:space="preserve">SEL735-H17(TR-SEP01-01)</t>
  </si>
  <si>
    <t xml:space="preserve">RELEVADOR SEL735-H17(TR-SEP01-01)</t>
  </si>
  <si>
    <t xml:space="preserve">20971781</t>
  </si>
  <si>
    <t xml:space="preserve">REB670-H19(TDMT-SEP01-01)</t>
  </si>
  <si>
    <t xml:space="preserve">RELEVADOR REB670-H19(TDMT-SEP01-01)</t>
  </si>
  <si>
    <t xml:space="preserve">20971782</t>
  </si>
  <si>
    <t xml:space="preserve">REF615-SE-10 A</t>
  </si>
  <si>
    <t xml:space="preserve">RELEVADOR REF615-SE-10 A</t>
  </si>
  <si>
    <t xml:space="preserve">TRI-REF-DBP-08SEL-SEP01-TDMT_SEP01_05_A</t>
  </si>
  <si>
    <t xml:space="preserve">20971783</t>
  </si>
  <si>
    <t xml:space="preserve">SEL735-SE-10 A</t>
  </si>
  <si>
    <t xml:space="preserve">RELEVADOR SEL735-SE-10 A</t>
  </si>
  <si>
    <t xml:space="preserve">20971784</t>
  </si>
  <si>
    <t xml:space="preserve">REF615-SE-13 A</t>
  </si>
  <si>
    <t xml:space="preserve">RELEVADOR REF615-SE-13 A</t>
  </si>
  <si>
    <t xml:space="preserve">20971785</t>
  </si>
  <si>
    <t xml:space="preserve">SEL735-SE-13 A</t>
  </si>
  <si>
    <t xml:space="preserve">RELEVADOR SEL735-SE-13 A</t>
  </si>
  <si>
    <t xml:space="preserve">20971786</t>
  </si>
  <si>
    <t xml:space="preserve">REF615-SE-22 A</t>
  </si>
  <si>
    <t xml:space="preserve">RELEVADOR REF615-SE-22 A</t>
  </si>
  <si>
    <t xml:space="preserve">20971787</t>
  </si>
  <si>
    <t xml:space="preserve">SEL735-SE-22 A</t>
  </si>
  <si>
    <t xml:space="preserve">RELEVADOR SEL735-SE-22 A</t>
  </si>
  <si>
    <t xml:space="preserve">20971788</t>
  </si>
  <si>
    <t xml:space="preserve">RET615-TR-SEP01-06 A</t>
  </si>
  <si>
    <t xml:space="preserve">RELEVADOR RET615-TR-SEP01-06 A</t>
  </si>
  <si>
    <t xml:space="preserve">TRI-REF-DBP-08SEL-SEP01-TR_SEP01_06A</t>
  </si>
  <si>
    <t xml:space="preserve">20971789</t>
  </si>
  <si>
    <t xml:space="preserve">SEL735-TR-SEP01-06 A</t>
  </si>
  <si>
    <t xml:space="preserve">RELEVADOR SEL735-TR-SEP01-06 A</t>
  </si>
  <si>
    <t xml:space="preserve">20971790</t>
  </si>
  <si>
    <t xml:space="preserve">RET615-TDMT-SEP01-05 A</t>
  </si>
  <si>
    <t xml:space="preserve">RELEVADOR RET615-TDMT-SEP01-05 A</t>
  </si>
  <si>
    <t xml:space="preserve">20971791</t>
  </si>
  <si>
    <t xml:space="preserve">SEL735-TDMT-SEP01-05 A</t>
  </si>
  <si>
    <t xml:space="preserve">RELEVADOR SEL735-TDMT-SEP01-05 A</t>
  </si>
  <si>
    <t xml:space="preserve">20971792</t>
  </si>
  <si>
    <t xml:space="preserve">REA101-TDMT-SEP01 -05 A</t>
  </si>
  <si>
    <t xml:space="preserve">RELEVADOR REA101-TDMT-SEP01 -05 A</t>
  </si>
  <si>
    <t xml:space="preserve">NO</t>
  </si>
  <si>
    <t xml:space="preserve">20971793</t>
  </si>
  <si>
    <t xml:space="preserve">REF615-TDMT-SEP01-05 E</t>
  </si>
  <si>
    <t xml:space="preserve">RELEVADOR REF615-TDMT-SEP01-05 E</t>
  </si>
  <si>
    <t xml:space="preserve">20971794</t>
  </si>
  <si>
    <t xml:space="preserve">RET615-TDMT-SEP01-05 B</t>
  </si>
  <si>
    <t xml:space="preserve">RELEVADOR RET615-TDMT-SEP01-05 B</t>
  </si>
  <si>
    <t xml:space="preserve">20971795</t>
  </si>
  <si>
    <t xml:space="preserve">SEL735-TDMT-SEP01-05 B</t>
  </si>
  <si>
    <t xml:space="preserve">RELEVADOR SEL735-TDMT-SEP01-05 B</t>
  </si>
  <si>
    <t xml:space="preserve">20971796</t>
  </si>
  <si>
    <t xml:space="preserve">REA101-TDMT-SEP01 -05 B</t>
  </si>
  <si>
    <t xml:space="preserve">RELEVADOR REA101-TDMT-SEP01 -05 B</t>
  </si>
  <si>
    <t xml:space="preserve">20971797</t>
  </si>
  <si>
    <t xml:space="preserve">RET615-TR-SEP01-06 B</t>
  </si>
  <si>
    <t xml:space="preserve">RELEVADOR RET615-TR-SEP01-06 B</t>
  </si>
  <si>
    <t xml:space="preserve">TRI-REF-DBP-08SEL-SEP01-TR_SEP01_06B</t>
  </si>
  <si>
    <t xml:space="preserve">20971798</t>
  </si>
  <si>
    <t xml:space="preserve">SEL735-TR-SEP01-06 B</t>
  </si>
  <si>
    <t xml:space="preserve">RELEVADOR SEL735-TR-SEP01-06 B</t>
  </si>
  <si>
    <t xml:space="preserve">20971799</t>
  </si>
  <si>
    <t xml:space="preserve">REF615-SE-22 B</t>
  </si>
  <si>
    <t xml:space="preserve">RELEVADOR REF615-SE-22 B</t>
  </si>
  <si>
    <t xml:space="preserve">20971800</t>
  </si>
  <si>
    <t xml:space="preserve">SEL735-SE-22-B</t>
  </si>
  <si>
    <t xml:space="preserve">RELEVADOR SEL735-SE-22-B</t>
  </si>
  <si>
    <t xml:space="preserve">20971801</t>
  </si>
  <si>
    <t xml:space="preserve">REF615-SE-13 B</t>
  </si>
  <si>
    <t xml:space="preserve">RELEVADOR REF615-SE-13 B</t>
  </si>
  <si>
    <t xml:space="preserve">20971802</t>
  </si>
  <si>
    <t xml:space="preserve">SEL735-SE-13 B</t>
  </si>
  <si>
    <t xml:space="preserve">RELEVADOR SEL735-SE-13 B</t>
  </si>
  <si>
    <t xml:space="preserve">20971803</t>
  </si>
  <si>
    <t xml:space="preserve">REF615-SE-10 B</t>
  </si>
  <si>
    <t xml:space="preserve">RELEVADOR REF615-SE-10 B</t>
  </si>
  <si>
    <t xml:space="preserve">20971886</t>
  </si>
  <si>
    <t xml:space="preserve">SEL735-TR-216-07 B SEP01</t>
  </si>
  <si>
    <t xml:space="preserve">RELEVADOR SEL735-TR-216-07 B SEP01</t>
  </si>
  <si>
    <t xml:space="preserve">TRI-REF-DBP-08SEL-SEP01-TR216_07B_SEP01</t>
  </si>
  <si>
    <t xml:space="preserve">20971887</t>
  </si>
  <si>
    <t xml:space="preserve">REM615-ME-BC-10501</t>
  </si>
  <si>
    <t xml:space="preserve">RELEVADOR REM615-ME-BC-10501</t>
  </si>
  <si>
    <t xml:space="preserve">TRI-REF-DBP-08COG-SAICO-BC10501</t>
  </si>
  <si>
    <t xml:space="preserve">20971888</t>
  </si>
  <si>
    <t xml:space="preserve">SEL735-ME-BC-10501</t>
  </si>
  <si>
    <t xml:space="preserve">RELEVADOR SEL735-ME-BC-10501</t>
  </si>
  <si>
    <t xml:space="preserve">20971889</t>
  </si>
  <si>
    <t xml:space="preserve">REM615-ME-GA-10501 B</t>
  </si>
  <si>
    <t xml:space="preserve">RELEVADOR REM615-ME-GA-10501 B</t>
  </si>
  <si>
    <t xml:space="preserve">TRI-REF-DBP-08COG-SECCW-GA10501B</t>
  </si>
  <si>
    <t xml:space="preserve">20971890</t>
  </si>
  <si>
    <t xml:space="preserve">SEL735-ME-GA-10501 B</t>
  </si>
  <si>
    <t xml:space="preserve">RELEVADOR SEL735-ME-GA-10501 B</t>
  </si>
  <si>
    <t xml:space="preserve">20971891</t>
  </si>
  <si>
    <t xml:space="preserve">REM615-ME-GA-10002 C</t>
  </si>
  <si>
    <t xml:space="preserve">RELEVADOR REM615-ME-GA-10002 C</t>
  </si>
  <si>
    <t xml:space="preserve">TRI-REF-DBP-08COG-SAGAL-GA10002C</t>
  </si>
  <si>
    <t xml:space="preserve">20971892</t>
  </si>
  <si>
    <t xml:space="preserve">SEL735-ME-GA-10002 C</t>
  </si>
  <si>
    <t xml:space="preserve">RELEVADOR SEL735-ME-GA-10002 C</t>
  </si>
  <si>
    <t xml:space="preserve">20971893</t>
  </si>
  <si>
    <t xml:space="preserve">REM615-ME-BV-10001 D</t>
  </si>
  <si>
    <t xml:space="preserve">RELEVADOR REM615-ME-BV-10001 D</t>
  </si>
  <si>
    <t xml:space="preserve">TRI-REF-DBP-08COG-SCOND-BV10001D</t>
  </si>
  <si>
    <t xml:space="preserve">20971894</t>
  </si>
  <si>
    <t xml:space="preserve">SEL735-ME-BV-10001 D</t>
  </si>
  <si>
    <t xml:space="preserve">RELEVADOR SEL735-ME-BV-10001 D</t>
  </si>
  <si>
    <t xml:space="preserve">20971895</t>
  </si>
  <si>
    <t xml:space="preserve">REM615-ME-BV-10001 E</t>
  </si>
  <si>
    <t xml:space="preserve">RELEVADOR REM615-ME-BV-10001 E</t>
  </si>
  <si>
    <t xml:space="preserve">TRI-REF-DBP-08COG-SCOND-BV10001E</t>
  </si>
  <si>
    <t xml:space="preserve">20971896</t>
  </si>
  <si>
    <t xml:space="preserve">SEL735-ME-BV-10001 E</t>
  </si>
  <si>
    <t xml:space="preserve">RELEVADOR SEL735-ME-BV-10001 E</t>
  </si>
  <si>
    <t xml:space="preserve">20971897</t>
  </si>
  <si>
    <t xml:space="preserve">REM615-ME-BV-10001 F</t>
  </si>
  <si>
    <t xml:space="preserve">RELEVADOR REM615-ME-BV-10001 F</t>
  </si>
  <si>
    <t xml:space="preserve">TRI-REF-DBP-08COG-SCOND-BV10001F</t>
  </si>
  <si>
    <t xml:space="preserve">20971898</t>
  </si>
  <si>
    <t xml:space="preserve">SEL735-ME-BV-10001 F</t>
  </si>
  <si>
    <t xml:space="preserve">RELEVADOR SEL735-ME-BV-10001 F</t>
  </si>
  <si>
    <t xml:space="preserve">20971899</t>
  </si>
  <si>
    <t xml:space="preserve">REM615-88-CR3</t>
  </si>
  <si>
    <t xml:space="preserve">RELEVADOR REM615-88-CR3</t>
  </si>
  <si>
    <t xml:space="preserve">TRI-REF-DBP-08COG-SGELE-TG_10300</t>
  </si>
  <si>
    <t xml:space="preserve">20971900</t>
  </si>
  <si>
    <t xml:space="preserve">REF615-TDMT-216-03 (UDA)</t>
  </si>
  <si>
    <t xml:space="preserve">RELEVADOR REF615-TDMT-216-03 (UDA)</t>
  </si>
  <si>
    <t xml:space="preserve">TRI-REF-DBP-08SEL-SEP01-TDMT_216_01_A</t>
  </si>
  <si>
    <t xml:space="preserve">20971901</t>
  </si>
  <si>
    <t xml:space="preserve">REF615-GTG3-EXCITACIÓN</t>
  </si>
  <si>
    <t xml:space="preserve">RELEVADOR REF615-GTG3-EXCITACIÓN</t>
  </si>
  <si>
    <t xml:space="preserve">TRI-REF-DBP-08SEL-SEP01-TG_10300_TURBO3</t>
  </si>
  <si>
    <t xml:space="preserve">20971902</t>
  </si>
  <si>
    <t xml:space="preserve">REF615-TR-AUX-GTG3</t>
  </si>
  <si>
    <t xml:space="preserve">RELEVADOR REF615-TR-AUX-GTG3</t>
  </si>
  <si>
    <t xml:space="preserve">20971903</t>
  </si>
  <si>
    <t xml:space="preserve">REF615-TDMT-216-04A(ANR)</t>
  </si>
  <si>
    <t xml:space="preserve">RELEVADOR REF615-TDMT-216-04A(ANR)</t>
  </si>
  <si>
    <t xml:space="preserve">20971904</t>
  </si>
  <si>
    <t xml:space="preserve">RET615-TR-216-03</t>
  </si>
  <si>
    <t xml:space="preserve">RELEVADOR RET615-TR-216-03</t>
  </si>
  <si>
    <t xml:space="preserve">20971905</t>
  </si>
  <si>
    <t xml:space="preserve">RET615-TDMT-216-01 AB</t>
  </si>
  <si>
    <t xml:space="preserve">RELEVADOR RET615-TDMT-216-01 AB</t>
  </si>
  <si>
    <t xml:space="preserve">20971906</t>
  </si>
  <si>
    <t xml:space="preserve">REM615-88-CR2</t>
  </si>
  <si>
    <t xml:space="preserve">RELEVADOR REM615-88-CR2</t>
  </si>
  <si>
    <t xml:space="preserve">TRI-REF-DBP-08COG-SGELE-TG_10200</t>
  </si>
  <si>
    <t xml:space="preserve">20971907</t>
  </si>
  <si>
    <t xml:space="preserve">REF615-GTG2-EXCITACIÓN</t>
  </si>
  <si>
    <t xml:space="preserve">RELEVADOR REF615-GTG2-EXCITACIÓN</t>
  </si>
  <si>
    <t xml:space="preserve">TRI-REF-DBP-08SEL-SEP01-TG_10200_TURBO2</t>
  </si>
  <si>
    <t xml:space="preserve">20971908</t>
  </si>
  <si>
    <t xml:space="preserve">REF615-TR-AUX-GTG2</t>
  </si>
  <si>
    <t xml:space="preserve">RELEVADOR REF615-TR-AUX-GTG2</t>
  </si>
  <si>
    <t xml:space="preserve">TRI-REF-DBP-08SEL-SEP01-TDMT_216_01_B</t>
  </si>
  <si>
    <t xml:space="preserve">20971909</t>
  </si>
  <si>
    <t xml:space="preserve">REF615-TDMT-216-04B (ANR)</t>
  </si>
  <si>
    <t xml:space="preserve">RELEVADOR REF615-TDMT-216-04B (ANR)</t>
  </si>
  <si>
    <t xml:space="preserve">20971910</t>
  </si>
  <si>
    <t xml:space="preserve">RET615-TR-216-02</t>
  </si>
  <si>
    <t xml:space="preserve">RELEVADOR RET615-TR-216-02</t>
  </si>
  <si>
    <t xml:space="preserve">20971911</t>
  </si>
  <si>
    <t xml:space="preserve">RET615-TDMT-216-01 BC</t>
  </si>
  <si>
    <t xml:space="preserve">RELEVADOR RET615-TDMT-216-01 BC</t>
  </si>
  <si>
    <t xml:space="preserve">20971912</t>
  </si>
  <si>
    <t xml:space="preserve">REM615-88-CR1</t>
  </si>
  <si>
    <t xml:space="preserve">RELEVADOR REM615-88-CR1</t>
  </si>
  <si>
    <t xml:space="preserve">TRI-REF-DBP-08COG-SGELE-TG_10100</t>
  </si>
  <si>
    <t xml:space="preserve">20971913</t>
  </si>
  <si>
    <t xml:space="preserve">REF615-GTG1-EXCITACIÓN</t>
  </si>
  <si>
    <t xml:space="preserve">RELEVADOR REF615-GTG1-EXCITACIÓN</t>
  </si>
  <si>
    <t xml:space="preserve">TRI-REF-DBP-08SEL-SEP01-TG_10100_TURBO1</t>
  </si>
  <si>
    <t xml:space="preserve">20971914</t>
  </si>
  <si>
    <t xml:space="preserve">REF615-TR-AUX-GTG1</t>
  </si>
  <si>
    <t xml:space="preserve">RELEVADOR REF615-TR-AUX-GTG1</t>
  </si>
  <si>
    <t xml:space="preserve">TRI-REF-DBP-08SEL-SEP01-TDMT_216_01_C</t>
  </si>
  <si>
    <t xml:space="preserve">20971915</t>
  </si>
  <si>
    <t xml:space="preserve">REF615-TDMT-216-04C (ANR)</t>
  </si>
  <si>
    <t xml:space="preserve">RELEVADOR REF615-TDMT-216-04C (ANR)</t>
  </si>
  <si>
    <t xml:space="preserve">20971916</t>
  </si>
  <si>
    <t xml:space="preserve">RET615-TR-216-01</t>
  </si>
  <si>
    <t xml:space="preserve">RELEVADOR RET615-TR-216-01</t>
  </si>
  <si>
    <t xml:space="preserve">20977779</t>
  </si>
  <si>
    <t xml:space="preserve">PT1-72010-T60</t>
  </si>
  <si>
    <t xml:space="preserve">RELEVADOR PT1-72010-T60</t>
  </si>
  <si>
    <t xml:space="preserve">TRI-REF-DBP-08SEL-SEP01-GIS_BARRA_1</t>
  </si>
  <si>
    <t xml:space="preserve">20977780</t>
  </si>
  <si>
    <t xml:space="preserve">PT2-72010-T35</t>
  </si>
  <si>
    <t xml:space="preserve">RELEVADOR PT2-72010-T35</t>
  </si>
  <si>
    <t xml:space="preserve">20977781</t>
  </si>
  <si>
    <t xml:space="preserve">MCAD-72010-C30</t>
  </si>
  <si>
    <t xml:space="preserve">RELEVADOR MCAD-72010-C30</t>
  </si>
  <si>
    <t xml:space="preserve">CONTROL Y PROTECCION</t>
  </si>
  <si>
    <t xml:space="preserve">20977782</t>
  </si>
  <si>
    <t xml:space="preserve">PBF-72010-F60</t>
  </si>
  <si>
    <t xml:space="preserve">RELEVADOR PBF-72010-F60</t>
  </si>
  <si>
    <t xml:space="preserve">20977783</t>
  </si>
  <si>
    <t xml:space="preserve">SEL735-MM-TR-SEP01-1A</t>
  </si>
  <si>
    <t xml:space="preserve">RELEVADOR SEL735-MM-TR-SEP01-1A</t>
  </si>
  <si>
    <t xml:space="preserve">20977784</t>
  </si>
  <si>
    <t xml:space="preserve">PT1-72040-T60</t>
  </si>
  <si>
    <t xml:space="preserve">RELEVADOR PT1-72040-T60</t>
  </si>
  <si>
    <t xml:space="preserve">TRI-REF-DBP-08SEL-SEP01-GIS_BARRA_2</t>
  </si>
  <si>
    <t xml:space="preserve">20977785</t>
  </si>
  <si>
    <t xml:space="preserve">PT2-72040-T35</t>
  </si>
  <si>
    <t xml:space="preserve">RELEVADOR PT2-72040-T35</t>
  </si>
  <si>
    <t xml:space="preserve">20977786</t>
  </si>
  <si>
    <t xml:space="preserve">MCAD-72040-C30</t>
  </si>
  <si>
    <t xml:space="preserve">RELEVADOR MCAD-72040-C30</t>
  </si>
  <si>
    <t xml:space="preserve">20977787</t>
  </si>
  <si>
    <t xml:space="preserve">PBF-72040-F60</t>
  </si>
  <si>
    <t xml:space="preserve">RELEVADOR PBF-72040-F60</t>
  </si>
  <si>
    <t xml:space="preserve">20971885</t>
  </si>
  <si>
    <t xml:space="preserve">RET615-TR-216-07 B SEP01</t>
  </si>
  <si>
    <t xml:space="preserve">RELEVADOR RET615-TR-216-07 B SEP01</t>
  </si>
  <si>
    <t xml:space="preserve">20971845</t>
  </si>
  <si>
    <t xml:space="preserve">MB90-04-IV-01 T-SEP0104</t>
  </si>
  <si>
    <t xml:space="preserve">RELEVADOR MB90-04-IV-01 T-SEP0104</t>
  </si>
  <si>
    <t xml:space="preserve">TRI-REF-DBP-08SEL-SEP01-TDMT_SEP01_04_A</t>
  </si>
  <si>
    <t xml:space="preserve">20971846</t>
  </si>
  <si>
    <t xml:space="preserve">P5F30-04-IV-01 T-SEP0104</t>
  </si>
  <si>
    <t xml:space="preserve">RELEVADOR P5F30-04-IV-01 T-SEP0104</t>
  </si>
  <si>
    <t xml:space="preserve">20971847</t>
  </si>
  <si>
    <t xml:space="preserve">MB90-04-IV-02 T-SEP0104</t>
  </si>
  <si>
    <t xml:space="preserve">RELEVADOR MB90-04-IV-02 T-SEP0104</t>
  </si>
  <si>
    <t xml:space="preserve">TRI-REF-DBP-08SEL-SEP01-TDMT_SEP01_04_B</t>
  </si>
  <si>
    <t xml:space="preserve">20971848</t>
  </si>
  <si>
    <t xml:space="preserve">P5F30-04-IV-02 T-SEP0104</t>
  </si>
  <si>
    <t xml:space="preserve">RELEVADOR P5F30-04-IV-02 T-SEP0104</t>
  </si>
  <si>
    <t xml:space="preserve">20971849</t>
  </si>
  <si>
    <t xml:space="preserve">P5F30-04-IV-03 T-SEP0104</t>
  </si>
  <si>
    <t xml:space="preserve">RELEVADOR P5F30-04-IV-03 T-SEP0104</t>
  </si>
  <si>
    <t xml:space="preserve">20971850</t>
  </si>
  <si>
    <t xml:space="preserve">P5F30-04-IV-04 T-SEP0104</t>
  </si>
  <si>
    <t xml:space="preserve">RELEVADOR P5F30-04-IV-04 T-SEP0104</t>
  </si>
  <si>
    <t xml:space="preserve">20971851</t>
  </si>
  <si>
    <t xml:space="preserve">P5F30-04-IV-05 T-SEP0104</t>
  </si>
  <si>
    <t xml:space="preserve">RELEVADOR P5F30-04-IV-05 T-SEP0104</t>
  </si>
  <si>
    <t xml:space="preserve">20971852</t>
  </si>
  <si>
    <t xml:space="preserve">P5F30-04-IV-06 T-SEP0104</t>
  </si>
  <si>
    <t xml:space="preserve">RELEVADOR P5F30-04-IV-06 T-SEP0104</t>
  </si>
  <si>
    <t xml:space="preserve">TRI-REF-DBP-08SEL-SEP01-TR_216_04_SEP01</t>
  </si>
  <si>
    <t xml:space="preserve">20971853</t>
  </si>
  <si>
    <t xml:space="preserve">M845-04-IV-06 T-SEP0104</t>
  </si>
  <si>
    <t xml:space="preserve">RELEVADOR M845-04-IV-06 T-SEP0104</t>
  </si>
  <si>
    <t xml:space="preserve">20971854</t>
  </si>
  <si>
    <t xml:space="preserve">P5F30-04-IV-08 T-SEP0104</t>
  </si>
  <si>
    <t xml:space="preserve">RELEVADOR P5F30-04-IV-08 T-SEP0104</t>
  </si>
  <si>
    <t xml:space="preserve">20971855</t>
  </si>
  <si>
    <t xml:space="preserve">P5F30-04-IV-09 T-SEP0104</t>
  </si>
  <si>
    <t xml:space="preserve">RELEVADOR P5F30-04-IV-09 T-SEP0104</t>
  </si>
  <si>
    <t xml:space="preserve">20971856</t>
  </si>
  <si>
    <t xml:space="preserve">REM615-ME-BV-10001 A</t>
  </si>
  <si>
    <t xml:space="preserve">RELEVADOR REM615-ME-BV-10001 A</t>
  </si>
  <si>
    <t xml:space="preserve">TRI-REF-DBP-08COG-SCOND-BV10001A</t>
  </si>
  <si>
    <t xml:space="preserve">20971857</t>
  </si>
  <si>
    <t xml:space="preserve">SEL735-ME-BV-10001 A</t>
  </si>
  <si>
    <t xml:space="preserve">RELEVADOR SEL735-ME-BV-10001 A</t>
  </si>
  <si>
    <t xml:space="preserve">20971858</t>
  </si>
  <si>
    <t xml:space="preserve">REM615-ME-BV-10001 B</t>
  </si>
  <si>
    <t xml:space="preserve">RELEVADOR REM615-ME-BV-10001 B</t>
  </si>
  <si>
    <t xml:space="preserve">TRI-REF-DBP-08COG-SCOND-BV10001B</t>
  </si>
  <si>
    <t xml:space="preserve">20971859</t>
  </si>
  <si>
    <t xml:space="preserve">SEL735-ME-BV-10001 B</t>
  </si>
  <si>
    <t xml:space="preserve">RELEVADOR SEL735-ME-BV-10001 B</t>
  </si>
  <si>
    <t xml:space="preserve">20971860</t>
  </si>
  <si>
    <t xml:space="preserve">REM615-ME-BV-10001 C</t>
  </si>
  <si>
    <t xml:space="preserve">RELEVADOR REM615-ME-BV-10001 C</t>
  </si>
  <si>
    <t xml:space="preserve">TRI-REF-DBP-08COG-SCOND-BV10001C</t>
  </si>
  <si>
    <t xml:space="preserve">20971861</t>
  </si>
  <si>
    <t xml:space="preserve">SEL735-ME-BV-10001 C</t>
  </si>
  <si>
    <t xml:space="preserve">RELEVADOR SEL735-ME-BV-10001 C</t>
  </si>
  <si>
    <t xml:space="preserve">20971862</t>
  </si>
  <si>
    <t xml:space="preserve">REM615-ME-GA-10002 A</t>
  </si>
  <si>
    <t xml:space="preserve">RELEVADOR REM615-ME-GA-10002 A</t>
  </si>
  <si>
    <t xml:space="preserve">TRI-REF-DBP-08COG-SAGAL-GA10002A</t>
  </si>
  <si>
    <t xml:space="preserve">20971863</t>
  </si>
  <si>
    <t xml:space="preserve">SEL735-ME-GA-10002 A</t>
  </si>
  <si>
    <t xml:space="preserve">RELEVADOR SEL735-ME-GA-10002 A</t>
  </si>
  <si>
    <t xml:space="preserve">20971864</t>
  </si>
  <si>
    <t xml:space="preserve">REM615-ME-GA-10002 B</t>
  </si>
  <si>
    <t xml:space="preserve">RELEVADOR REM615-ME-GA-10002 B</t>
  </si>
  <si>
    <t xml:space="preserve">TRI-REF-DBP-08COG-SAGAL-GA10002B</t>
  </si>
  <si>
    <t xml:space="preserve">20971865</t>
  </si>
  <si>
    <t xml:space="preserve">SEL735-ME-GA-10002 B</t>
  </si>
  <si>
    <t xml:space="preserve">RELEVADOR SEL735-ME-GA-10002 B</t>
  </si>
  <si>
    <t xml:space="preserve">20971866</t>
  </si>
  <si>
    <t xml:space="preserve">REM615-ME-01202</t>
  </si>
  <si>
    <t xml:space="preserve">RELEVADOR REM615-ME-01202</t>
  </si>
  <si>
    <t xml:space="preserve">TRI-REF-DBP-08COG-SGVAP-CB01500</t>
  </si>
  <si>
    <t xml:space="preserve">20971867</t>
  </si>
  <si>
    <t xml:space="preserve">SEL735-ME-01202</t>
  </si>
  <si>
    <t xml:space="preserve">RELEVADOR SEL735-ME-01202</t>
  </si>
  <si>
    <t xml:space="preserve">20971868</t>
  </si>
  <si>
    <t xml:space="preserve">REM615-ME-GA-10501 A</t>
  </si>
  <si>
    <t xml:space="preserve">RELEVADOR REM615-ME-GA-10501 A</t>
  </si>
  <si>
    <t xml:space="preserve">TRI-REF-DBP-08COG-SECCW-GA10501A</t>
  </si>
  <si>
    <t xml:space="preserve">20971869</t>
  </si>
  <si>
    <t xml:space="preserve">SEL735-ME-GA-10501 A</t>
  </si>
  <si>
    <t xml:space="preserve">RELEVADOR SEL735-ME-GA-10501 A</t>
  </si>
  <si>
    <t xml:space="preserve">20971870</t>
  </si>
  <si>
    <t xml:space="preserve">RET615-TR-216-08 SEP01</t>
  </si>
  <si>
    <t xml:space="preserve">RELEVADOR RET615-TR-216-08 SEP01</t>
  </si>
  <si>
    <t xml:space="preserve">TRI-REF-DBP-08SEL-SEP01-TR216_08_SEP01</t>
  </si>
  <si>
    <t xml:space="preserve">20971871</t>
  </si>
  <si>
    <t xml:space="preserve">SEL735-TR-216-08 SEP01</t>
  </si>
  <si>
    <t xml:space="preserve">RELEVADOR SEL735-TR-216-08 SEP01</t>
  </si>
  <si>
    <t xml:space="preserve">20971872</t>
  </si>
  <si>
    <t xml:space="preserve">RET615-TR-216-07 A SEP01</t>
  </si>
  <si>
    <t xml:space="preserve">RELEVADOR RET615-TR-216-07 A SEP01</t>
  </si>
  <si>
    <t xml:space="preserve">TRI-REF-DBP-08SEL-SEP01-TR216_07A_SEP01</t>
  </si>
  <si>
    <t xml:space="preserve">20971873</t>
  </si>
  <si>
    <t xml:space="preserve">SEL735-TR-216-07 A SEP01</t>
  </si>
  <si>
    <t xml:space="preserve">RELEVADOR SEL735-TR-216-07 A SEP01</t>
  </si>
  <si>
    <t xml:space="preserve">20971874</t>
  </si>
  <si>
    <t xml:space="preserve">RET615-TR-216-06 A SEP01</t>
  </si>
  <si>
    <t xml:space="preserve">RELEVADOR RET615-TR-216-06 A SEP01</t>
  </si>
  <si>
    <t xml:space="preserve">TRI-REF-DBP-08SEL-SEP01-TR216_06A_SEP01</t>
  </si>
  <si>
    <t xml:space="preserve">20971875</t>
  </si>
  <si>
    <t xml:space="preserve">SEL735-TR-216-06 A SEP01</t>
  </si>
  <si>
    <t xml:space="preserve">RELEVADOR SEL735-TR-216-06 A SEP01</t>
  </si>
  <si>
    <t xml:space="preserve">20971876</t>
  </si>
  <si>
    <t xml:space="preserve">REF615-TDMT-216-02 A</t>
  </si>
  <si>
    <t xml:space="preserve">RELEVADOR REF615-TDMT-216-02 A</t>
  </si>
  <si>
    <t xml:space="preserve">TRI-REF-DBP-08SEL-SEP01-TDMT21602ASEP01</t>
  </si>
  <si>
    <t xml:space="preserve">20971877</t>
  </si>
  <si>
    <t xml:space="preserve">SEL735-TDMT-216-02 A</t>
  </si>
  <si>
    <t xml:space="preserve">RELEVADOR SEL735-TDMT-216-02 A</t>
  </si>
  <si>
    <t xml:space="preserve">20971878</t>
  </si>
  <si>
    <t xml:space="preserve">REA101-TDMT-216-02 A</t>
  </si>
  <si>
    <t xml:space="preserve">RELEVADOR REA101-TDMT-216-02 A</t>
  </si>
  <si>
    <t xml:space="preserve">20971879</t>
  </si>
  <si>
    <t xml:space="preserve">REF615-TDMT-216-02 E</t>
  </si>
  <si>
    <t xml:space="preserve">RELEVADOR REF615-TDMT-216-02 E</t>
  </si>
  <si>
    <t xml:space="preserve">20971880</t>
  </si>
  <si>
    <t xml:space="preserve">REF615-TDMT-216-02 B</t>
  </si>
  <si>
    <t xml:space="preserve">RELEVADOR REF615-TDMT-216-02 B</t>
  </si>
  <si>
    <t xml:space="preserve">TRI-REF-DBP-08SEL-SEP01-TDMT21602BSEP01</t>
  </si>
  <si>
    <t xml:space="preserve">20971881</t>
  </si>
  <si>
    <t xml:space="preserve">SEL735-TDMT-216-02 B</t>
  </si>
  <si>
    <t xml:space="preserve">RELEVADOR SEL735-TDMT-216-02 B</t>
  </si>
  <si>
    <t xml:space="preserve">20971882</t>
  </si>
  <si>
    <t xml:space="preserve">REA101-TDMT-216-02 B</t>
  </si>
  <si>
    <t xml:space="preserve">RELEVADOR REA101-TDMT-216-02 B</t>
  </si>
  <si>
    <t xml:space="preserve">20971883</t>
  </si>
  <si>
    <t xml:space="preserve">RET615-TR-216-06 B SEP01</t>
  </si>
  <si>
    <t xml:space="preserve">RELEVADOR RET615-TR-216-06 B SEP01</t>
  </si>
  <si>
    <t xml:space="preserve">TRI-REF-DBP-08SEL-SEP01-TR216_06B_SEP01</t>
  </si>
  <si>
    <t xml:space="preserve">20971884</t>
  </si>
  <si>
    <t xml:space="preserve">SEL735-TR-216-06 B SEP01</t>
  </si>
  <si>
    <t xml:space="preserve">RELEVADOR SEL735-TR-216-06 B SEP01</t>
  </si>
  <si>
    <t xml:space="preserve">20971763</t>
  </si>
  <si>
    <t xml:space="preserve">SEL735-H08(TR-SEP01-02)</t>
  </si>
  <si>
    <t xml:space="preserve">RELEVADOR SEL735-H08(TR-SEP01-02)</t>
  </si>
  <si>
    <t xml:space="preserve">TRI-REF-DBP-08SEL-SEP01-TR_SEP01_02A</t>
  </si>
  <si>
    <t xml:space="preserve">20965408</t>
  </si>
  <si>
    <t xml:space="preserve">SEL735-IV-8 TDP-SEP02-05</t>
  </si>
  <si>
    <t xml:space="preserve">RELEVADOR SEL735-IV-8 TDP-SEP02-05</t>
  </si>
  <si>
    <t xml:space="preserve">TRI-REF-DBP-08SEL-SEP02-TDP_SEP02_05_A</t>
  </si>
  <si>
    <t xml:space="preserve">SEL 735</t>
  </si>
  <si>
    <t xml:space="preserve">20965409</t>
  </si>
  <si>
    <t xml:space="preserve">SEL735-IV-9 TDP-SEP02-02</t>
  </si>
  <si>
    <t xml:space="preserve">RELEVADOR SEL735-IV-9 TDP-SEP02-02</t>
  </si>
  <si>
    <t xml:space="preserve">TRI-REF-DBP-08SEL-SEP02-TDP_SEP02_02_B</t>
  </si>
  <si>
    <t xml:space="preserve">20965410</t>
  </si>
  <si>
    <t xml:space="preserve">SEL735-IV-9 TDP-SEP02-03</t>
  </si>
  <si>
    <t xml:space="preserve">RELEVADOR SEL735-IV-9 TDP-SEP02-03</t>
  </si>
  <si>
    <t xml:space="preserve">TRI-REF-DBP-08SEL-SEP02-TDP_SEP02_03_B</t>
  </si>
  <si>
    <t xml:space="preserve">20965411</t>
  </si>
  <si>
    <t xml:space="preserve">SEL735-IV-9 TDP-SEP02-05</t>
  </si>
  <si>
    <t xml:space="preserve">RELEVADOR SEL735-IV-9 TDP-SEP02-05</t>
  </si>
  <si>
    <t xml:space="preserve">TRI-REF-DBP-08SEL-SEP02-TDP_SEP02_05_B</t>
  </si>
  <si>
    <t xml:space="preserve">20965412</t>
  </si>
  <si>
    <t xml:space="preserve">SEL735-TDM-02-02 A</t>
  </si>
  <si>
    <t xml:space="preserve">RELEVADOR SEL735-TDM-02-02 A</t>
  </si>
  <si>
    <t xml:space="preserve">TRI-REF-DBP-06SEL-S_002-TDM_02_02_A_SE2</t>
  </si>
  <si>
    <t xml:space="preserve">20965413</t>
  </si>
  <si>
    <t xml:space="preserve">SEL735-TDM-02-02 B</t>
  </si>
  <si>
    <t xml:space="preserve">RELEVADOR SEL735-TDM-02-02 B</t>
  </si>
  <si>
    <t xml:space="preserve">TRI-REF-DBP-06SEL-S_002-TDM_02_02_B_SE2</t>
  </si>
  <si>
    <t xml:space="preserve">20965414</t>
  </si>
  <si>
    <t xml:space="preserve">SEL735-TDM-16-01 A</t>
  </si>
  <si>
    <t xml:space="preserve">RELEVADOR SEL735-TDM-16-01 A</t>
  </si>
  <si>
    <t xml:space="preserve">TRI-REF-DBP-08SEL-S_016-TDM16_01_A_SE16</t>
  </si>
  <si>
    <t xml:space="preserve">MEDICIÓN</t>
  </si>
  <si>
    <t xml:space="preserve">20965415</t>
  </si>
  <si>
    <t xml:space="preserve">SEL735-TDM-16-01 B</t>
  </si>
  <si>
    <t xml:space="preserve">RELEVADOR SEL735-TDM-16-01 B</t>
  </si>
  <si>
    <t xml:space="preserve">TRI-REF-DBP-08SEL-S_016-TDM16_01_B_SE16</t>
  </si>
  <si>
    <t xml:space="preserve">20965416</t>
  </si>
  <si>
    <t xml:space="preserve">SEL735-TDM-19-01 A</t>
  </si>
  <si>
    <t xml:space="preserve">RELEVADOR SEL735-TDM-19-01 A</t>
  </si>
  <si>
    <t xml:space="preserve">TRI-REF-DBP-08SEL-S_019-TDM19_01_A_SE19</t>
  </si>
  <si>
    <t xml:space="preserve">20965417</t>
  </si>
  <si>
    <t xml:space="preserve">SEL735-TDM-19-01 B</t>
  </si>
  <si>
    <t xml:space="preserve">RELEVADOR SEL735-TDM-19-01 B</t>
  </si>
  <si>
    <t xml:space="preserve">TRI-REF-DBP-08SEL-S_019-TDM19_01_B_SE19</t>
  </si>
  <si>
    <t xml:space="preserve">20965418</t>
  </si>
  <si>
    <t xml:space="preserve">SEL735-TDP-SEP02-01</t>
  </si>
  <si>
    <t xml:space="preserve">RELEVADOR SEL735-TDP-SEP02-01</t>
  </si>
  <si>
    <t xml:space="preserve">TRI-REF-DBP-08SEL-SEP02-TDP_SEP02_01_A</t>
  </si>
  <si>
    <t xml:space="preserve">20965419</t>
  </si>
  <si>
    <t xml:space="preserve">SEL735-TDP-SEP02-01 A</t>
  </si>
  <si>
    <t xml:space="preserve">RELEVADOR SEL735-TDP-SEP02-01 A</t>
  </si>
  <si>
    <t xml:space="preserve">20965420</t>
  </si>
  <si>
    <t xml:space="preserve">SEL735-TDP-SEP02-01 B</t>
  </si>
  <si>
    <t xml:space="preserve">RELEVADOR SEL735-TDP-SEP02-01 B</t>
  </si>
  <si>
    <t xml:space="preserve">TRI-REF-DBP-08SEL-SEP02-TDP_SEP02_01_B</t>
  </si>
  <si>
    <t xml:space="preserve">20965421</t>
  </si>
  <si>
    <t xml:space="preserve">SEL735-TR-SEP02-03</t>
  </si>
  <si>
    <t xml:space="preserve">RELEVADOR SEL735-TR-SEP02-03</t>
  </si>
  <si>
    <t xml:space="preserve">20965422</t>
  </si>
  <si>
    <t xml:space="preserve">SEL735-TR-SEP02-04</t>
  </si>
  <si>
    <t xml:space="preserve">RELEVADOR SEL735-TR-SEP02-04</t>
  </si>
  <si>
    <t xml:space="preserve">20965423</t>
  </si>
  <si>
    <t xml:space="preserve">SEL735-TR-SEP02-05</t>
  </si>
  <si>
    <t xml:space="preserve">RELEVADOR SEL735-TR-SEP02-05</t>
  </si>
  <si>
    <t xml:space="preserve">20965424</t>
  </si>
  <si>
    <t xml:space="preserve">SEL735-TR-SEP02-06</t>
  </si>
  <si>
    <t xml:space="preserve">RELEVADOR SEL735-TR-SEP02-06</t>
  </si>
  <si>
    <t xml:space="preserve">20965425</t>
  </si>
  <si>
    <t xml:space="preserve">SEL735-TR-SEP02-07</t>
  </si>
  <si>
    <t xml:space="preserve">RELEVADOR SEL735-TR-SEP02-07</t>
  </si>
  <si>
    <t xml:space="preserve">20965426</t>
  </si>
  <si>
    <t xml:space="preserve">SEL735-TR-SEP02-08</t>
  </si>
  <si>
    <t xml:space="preserve">RELEVADOR SEL735-TR-SEP02-08</t>
  </si>
  <si>
    <t xml:space="preserve">20965427</t>
  </si>
  <si>
    <t xml:space="preserve">SEL735-TR-SEP02-09</t>
  </si>
  <si>
    <t xml:space="preserve">RELEVADOR SEL735-TR-SEP02-09</t>
  </si>
  <si>
    <t xml:space="preserve">20965428</t>
  </si>
  <si>
    <t xml:space="preserve">SEL735-TR-SEP02-10</t>
  </si>
  <si>
    <t xml:space="preserve">RELEVADOR SEL735-TR-SEP02-10</t>
  </si>
  <si>
    <t xml:space="preserve">20965429</t>
  </si>
  <si>
    <t xml:space="preserve">SEL751-IE-1-CCM-02-03 A</t>
  </si>
  <si>
    <t xml:space="preserve">RELEVADOR SEL751-IE-1-CCM-02-03 A</t>
  </si>
  <si>
    <t xml:space="preserve">TRI-REF-DBP-06SEL-S_002-CCM_02_03_A_SE2</t>
  </si>
  <si>
    <t xml:space="preserve">20965430</t>
  </si>
  <si>
    <t xml:space="preserve">SEL751-IE-2-CCM-02-03 B</t>
  </si>
  <si>
    <t xml:space="preserve">RELEVADOR SEL751-IE-2-CCM-02-03 B</t>
  </si>
  <si>
    <t xml:space="preserve">TRI-REF-DBP-06SEL-S_002-CCM_02_03_B_SE2</t>
  </si>
  <si>
    <t xml:space="preserve">20965431</t>
  </si>
  <si>
    <t xml:space="preserve">SEL751-IE-CCM-UDA-01E</t>
  </si>
  <si>
    <t xml:space="preserve">RELEVADOR SEL751-IE-CCM-UDA-01E</t>
  </si>
  <si>
    <t xml:space="preserve">TRI-REF-DBP-08SEL-S_001-CCMUDA_01_A_S01</t>
  </si>
  <si>
    <t xml:space="preserve">PROTECCIÓN</t>
  </si>
  <si>
    <t xml:space="preserve">20965432</t>
  </si>
  <si>
    <t xml:space="preserve">SEL751-IE-CCM-UDA-02E</t>
  </si>
  <si>
    <t xml:space="preserve">RELEVADOR SEL751-IE-CCM-UDA-02E</t>
  </si>
  <si>
    <t xml:space="preserve">TRI-REF-DBP-08SEL-S_001-CCMUDA_02_A_S01</t>
  </si>
  <si>
    <t xml:space="preserve">20965433</t>
  </si>
  <si>
    <t xml:space="preserve">SEL751-IE-CCM-UDA-03E</t>
  </si>
  <si>
    <t xml:space="preserve">RELEVADOR SEL751-IE-CCM-UDA-03E</t>
  </si>
  <si>
    <t xml:space="preserve">TRI-REF-DBP-08SEL-S_001-CCMUDA_03_A_S01</t>
  </si>
  <si>
    <t xml:space="preserve">20965434</t>
  </si>
  <si>
    <t xml:space="preserve">SEL751-IE-CCM-UDA-04E</t>
  </si>
  <si>
    <t xml:space="preserve">RELEVADOR SEL751-IE-CCM-UDA-04E</t>
  </si>
  <si>
    <t xml:space="preserve">TRI-REF-DBP-08SEL-S_001-CCMUDA_04_A_S01</t>
  </si>
  <si>
    <t xml:space="preserve">20965435</t>
  </si>
  <si>
    <t xml:space="preserve">SEL751-IP1-CCM-UDA-01A</t>
  </si>
  <si>
    <t xml:space="preserve">RELEVADOR SEL751-IP1-CCM-UDA-01A</t>
  </si>
  <si>
    <t xml:space="preserve">20965436</t>
  </si>
  <si>
    <t xml:space="preserve">SEL751-IP1-CCM-UDA-02A</t>
  </si>
  <si>
    <t xml:space="preserve">RELEVADOR SEL751-IP1-CCM-UDA-02A</t>
  </si>
  <si>
    <t xml:space="preserve">20965437</t>
  </si>
  <si>
    <t xml:space="preserve">SEL751-IP1-CCM-UDA-03A</t>
  </si>
  <si>
    <t xml:space="preserve">RELEVADOR SEL751-IP1-CCM-UDA-03A</t>
  </si>
  <si>
    <t xml:space="preserve">20965438</t>
  </si>
  <si>
    <t xml:space="preserve">SEL751-IP1-CCM-UDA-04A</t>
  </si>
  <si>
    <t xml:space="preserve">RELEVADOR SEL751-IP1-CCM-UDA-04A</t>
  </si>
  <si>
    <t xml:space="preserve">20965439</t>
  </si>
  <si>
    <t xml:space="preserve">SEL751-IP2-CCM-UDA-01B</t>
  </si>
  <si>
    <t xml:space="preserve">RELEVADOR SEL751-IP2-CCM-UDA-01B</t>
  </si>
  <si>
    <t xml:space="preserve">TRI-REF-DBP-08SEL-S_001-CCMUDA_01_B_S01</t>
  </si>
  <si>
    <t xml:space="preserve">20965440</t>
  </si>
  <si>
    <t xml:space="preserve">SEL751-IP2-CCM-UDA-02B</t>
  </si>
  <si>
    <t xml:space="preserve">RELEVADOR SEL751-IP2-CCM-UDA-02B</t>
  </si>
  <si>
    <t xml:space="preserve">TRI-REF-DBP-08SEL-S_001-CCMUDA_02_B_S01</t>
  </si>
  <si>
    <t xml:space="preserve">20965441</t>
  </si>
  <si>
    <t xml:space="preserve">SEL751-IP2-CCM-UDA-03B</t>
  </si>
  <si>
    <t xml:space="preserve">RELEVADOR SEL751-IP2-CCM-UDA-03B</t>
  </si>
  <si>
    <t xml:space="preserve">TRI-REF-DBP-08SEL-S_001-CCMUDA_03_B_S01</t>
  </si>
  <si>
    <t xml:space="preserve">20965442</t>
  </si>
  <si>
    <t xml:space="preserve">SEL751-IP2-CCM-UDA-04B</t>
  </si>
  <si>
    <t xml:space="preserve">RELEVADOR SEL751-IP2-CCM-UDA-04B</t>
  </si>
  <si>
    <t xml:space="preserve">TRI-REF-DBP-08SEL-S_001-CCMUDA_04_B_S01</t>
  </si>
  <si>
    <t xml:space="preserve">20965443</t>
  </si>
  <si>
    <t xml:space="preserve">SEPAM-IP-30-01</t>
  </si>
  <si>
    <t xml:space="preserve">RELEVADOR SEPAM-IP-30-01</t>
  </si>
  <si>
    <t xml:space="preserve">TRI-REF-DBP-08SEL-S_030-TR_30_01_SE_30</t>
  </si>
  <si>
    <t xml:space="preserve">20965444</t>
  </si>
  <si>
    <t xml:space="preserve">SIPROTEC1-TDP-SEP02-01 A</t>
  </si>
  <si>
    <t xml:space="preserve">RELEVADOR SIPROTEC1-TDP-SEP02-01 A</t>
  </si>
  <si>
    <t xml:space="preserve">20965445</t>
  </si>
  <si>
    <t xml:space="preserve">SIPROTEC2-TDP-SEP02-01 A</t>
  </si>
  <si>
    <t xml:space="preserve">RELEVADOR SIPROTEC2-TDP-SEP02-01 A</t>
  </si>
  <si>
    <t xml:space="preserve">20965446</t>
  </si>
  <si>
    <t xml:space="preserve">SIPROTEC3-TDP-SEP02-01 A</t>
  </si>
  <si>
    <t xml:space="preserve">RELEVADOR SIPROTEC3-TDP-SEP02-01 A</t>
  </si>
  <si>
    <t xml:space="preserve">20965447</t>
  </si>
  <si>
    <t xml:space="preserve">SIPROTEC7SJ85-TDMT216-03E</t>
  </si>
  <si>
    <t xml:space="preserve">RELEVADOR SIPROTEC7SJ85-TDMT216-03E</t>
  </si>
  <si>
    <t xml:space="preserve">TRI-REF-DBP-08SEL-S_001-TDMT216_03A_S01</t>
  </si>
  <si>
    <t xml:space="preserve">SIPROTEC7SJ85</t>
  </si>
  <si>
    <t xml:space="preserve">20965407</t>
  </si>
  <si>
    <t xml:space="preserve">SEL735-IV-8 TDP-SEP02-03</t>
  </si>
  <si>
    <t xml:space="preserve">RELEVADOR SEL735-IV-8 TDP-SEP02-03</t>
  </si>
  <si>
    <t xml:space="preserve">TRI-REF-DBP-08SEL-SEP02-TDP_SEP02_03_A</t>
  </si>
  <si>
    <t xml:space="preserve">20965367</t>
  </si>
  <si>
    <t xml:space="preserve">SEL735-IE-2-TDB-16-01 B</t>
  </si>
  <si>
    <t xml:space="preserve">RELEVADOR SEL735-IE-2-TDB-16-01 B</t>
  </si>
  <si>
    <t xml:space="preserve">TRI-REF-DBP-08SEL-S_016-TDB16_01_B_SE16</t>
  </si>
  <si>
    <t xml:space="preserve">20965368</t>
  </si>
  <si>
    <t xml:space="preserve">SEL735-IE-2-TDB-16-02 B</t>
  </si>
  <si>
    <t xml:space="preserve">RELEVADOR SEL735-IE-2-TDB-16-02 B</t>
  </si>
  <si>
    <t xml:space="preserve">TRI-REF-DBP-08SEL-S_016-TR_16_08_SE16</t>
  </si>
  <si>
    <t xml:space="preserve">20965369</t>
  </si>
  <si>
    <t xml:space="preserve">SEL735-IE-2-TDB-19-01</t>
  </si>
  <si>
    <t xml:space="preserve">RELEVADOR SEL735-IE-2-TDB-19-01</t>
  </si>
  <si>
    <t xml:space="preserve">TRI-REF-DBP-08SEL-S_019-TDB19_01_B_SE19</t>
  </si>
  <si>
    <t xml:space="preserve">20965370</t>
  </si>
  <si>
    <t xml:space="preserve">SEL735-IE-2-TDB-19-02</t>
  </si>
  <si>
    <t xml:space="preserve">RELEVADOR SEL735-IE-2-TDB-19-02</t>
  </si>
  <si>
    <t xml:space="preserve">TRI-REF-DBP-08SEL-S_019-TR_19_22_SE19</t>
  </si>
  <si>
    <t xml:space="preserve">20965371</t>
  </si>
  <si>
    <t xml:space="preserve">SEL735-IP-02-01(TR-02-11)</t>
  </si>
  <si>
    <t xml:space="preserve">RELEVADOR SEL735-IP-02-01(TR-02-11)</t>
  </si>
  <si>
    <t xml:space="preserve">TRI-REF-DBP-06SEL-S_002-TR_02_11_SE2</t>
  </si>
  <si>
    <t xml:space="preserve">20965372</t>
  </si>
  <si>
    <t xml:space="preserve">SEL735-IP-02-02(TR-02-12)</t>
  </si>
  <si>
    <t xml:space="preserve">RELEVADOR SEL735-IP-02-02(TR-02-12)</t>
  </si>
  <si>
    <t xml:space="preserve">TRI-REF-DBP-06SEL-S_002-TR_02_12_SE2</t>
  </si>
  <si>
    <t xml:space="preserve">20965373</t>
  </si>
  <si>
    <t xml:space="preserve">SEL735-IP-16-01(TR-16-01)</t>
  </si>
  <si>
    <t xml:space="preserve">RELEVADOR SEL735-IP-16-01(TR-16-01)</t>
  </si>
  <si>
    <t xml:space="preserve">TRI-REF-DBP-08SEL-S_016-TR_16_01_SE16</t>
  </si>
  <si>
    <t xml:space="preserve">20965374</t>
  </si>
  <si>
    <t xml:space="preserve">SEL735-IP-16-02(TR-16-02)</t>
  </si>
  <si>
    <t xml:space="preserve">RELEVADOR SEL735-IP-16-02(TR-16-02)</t>
  </si>
  <si>
    <t xml:space="preserve">TRI-REF-DBP-08SEL-S_016-TR_16_02_SE16</t>
  </si>
  <si>
    <t xml:space="preserve">20965375</t>
  </si>
  <si>
    <t xml:space="preserve">SEL735-IP-19-01A.TR-19-01</t>
  </si>
  <si>
    <t xml:space="preserve">RELEVADOR SEL735-IP-19-01A.TR-19-01</t>
  </si>
  <si>
    <t xml:space="preserve">TRI-REF-DBP-08SEL-S_019-TR_19_01_SE19</t>
  </si>
  <si>
    <t xml:space="preserve">20965376</t>
  </si>
  <si>
    <t xml:space="preserve">SEL735-IP-19-01B</t>
  </si>
  <si>
    <t xml:space="preserve">RELEVADOR SEL735-IP-19-01B</t>
  </si>
  <si>
    <t xml:space="preserve">TRI-REF-DBP-08SEL-S_019-TR_19_02_SE19</t>
  </si>
  <si>
    <t xml:space="preserve">20965377</t>
  </si>
  <si>
    <t xml:space="preserve">SEL735-IV-1 TDP-SEP02-02</t>
  </si>
  <si>
    <t xml:space="preserve">RELEVADOR SEL735-IV-1 TDP-SEP02-02</t>
  </si>
  <si>
    <t xml:space="preserve">TRI-REF-DBP-08SEL-SEP02-TDP_SEP02_02_A</t>
  </si>
  <si>
    <t xml:space="preserve">20965378</t>
  </si>
  <si>
    <t xml:space="preserve">SEL735-IV-1 TDP-SEP02-03</t>
  </si>
  <si>
    <t xml:space="preserve">RELEVADOR SEL735-IV-1 TDP-SEP02-03</t>
  </si>
  <si>
    <t xml:space="preserve">20965379</t>
  </si>
  <si>
    <t xml:space="preserve">SEL735-IV-1 TDP-SEP02-04</t>
  </si>
  <si>
    <t xml:space="preserve">RELEVADOR SEL735-IV-1 TDP-SEP02-04</t>
  </si>
  <si>
    <t xml:space="preserve">TRI-REF-DBP-08SEL-SEP02-TDP_SEP02_04_A</t>
  </si>
  <si>
    <t xml:space="preserve">20965380</t>
  </si>
  <si>
    <t xml:space="preserve">SEL735-IV-1 TDP-SEP02-05</t>
  </si>
  <si>
    <t xml:space="preserve">RELEVADOR SEL735-IV-1 TDP-SEP02-05</t>
  </si>
  <si>
    <t xml:space="preserve">20965381</t>
  </si>
  <si>
    <t xml:space="preserve">SEL735-IV-10 TDP-SEP02-02</t>
  </si>
  <si>
    <t xml:space="preserve">RELEVADOR SEL735-IV-10 TDP-SEP02-02</t>
  </si>
  <si>
    <t xml:space="preserve">20965382</t>
  </si>
  <si>
    <t xml:space="preserve">SEL735-IV-11 TDP-SEP02-02</t>
  </si>
  <si>
    <t xml:space="preserve">RELEVADOR SEL735-IV-11 TDP-SEP02-02</t>
  </si>
  <si>
    <t xml:space="preserve">20965383</t>
  </si>
  <si>
    <t xml:space="preserve">SEL735-IV-11 TDP-SEP02-03</t>
  </si>
  <si>
    <t xml:space="preserve">RELEVADOR SEL735-IV-11 TDP-SEP02-03</t>
  </si>
  <si>
    <t xml:space="preserve">20965384</t>
  </si>
  <si>
    <t xml:space="preserve">SEL735-IV-12 TDP-SEP02-02</t>
  </si>
  <si>
    <t xml:space="preserve">RELEVADOR SEL735-IV-12 TDP-SEP02-02</t>
  </si>
  <si>
    <t xml:space="preserve">20965385</t>
  </si>
  <si>
    <t xml:space="preserve">SEL735-IV-13 TDP-SEP02-03</t>
  </si>
  <si>
    <t xml:space="preserve">RELEVADOR SEL735-IV-13 TDP-SEP02-03</t>
  </si>
  <si>
    <t xml:space="preserve">20965386</t>
  </si>
  <si>
    <t xml:space="preserve">SEL735-IV-2 TDP-SEP02-02</t>
  </si>
  <si>
    <t xml:space="preserve">RELEVADOR SEL735-IV-2 TDP-SEP02-02</t>
  </si>
  <si>
    <t xml:space="preserve">20965387</t>
  </si>
  <si>
    <t xml:space="preserve">SEL735-IV-2 TDP-SEP02-03</t>
  </si>
  <si>
    <t xml:space="preserve">RELEVADOR SEL735-IV-2 TDP-SEP02-03</t>
  </si>
  <si>
    <t xml:space="preserve">20965388</t>
  </si>
  <si>
    <t xml:space="preserve">SEL735-IV-2 TDP-SEP02-04</t>
  </si>
  <si>
    <t xml:space="preserve">RELEVADOR SEL735-IV-2 TDP-SEP02-04</t>
  </si>
  <si>
    <t xml:space="preserve">TRI-REF-DBP-08SEL-SEP02-TDP_SEP02_04_B</t>
  </si>
  <si>
    <t xml:space="preserve">20965389</t>
  </si>
  <si>
    <t xml:space="preserve">SEL735-IV-2 TDP-SEP02-05</t>
  </si>
  <si>
    <t xml:space="preserve">RELEVADOR SEL735-IV-2 TDP-SEP02-05</t>
  </si>
  <si>
    <t xml:space="preserve">20965390</t>
  </si>
  <si>
    <t xml:space="preserve">SEL735-IV-4 TDP-SEP02-02</t>
  </si>
  <si>
    <t xml:space="preserve">RELEVADOR SEL735-IV-4 TDP-SEP02-02</t>
  </si>
  <si>
    <t xml:space="preserve">20965391</t>
  </si>
  <si>
    <t xml:space="preserve">SEL735-IV-4 TDP-SEP02-03</t>
  </si>
  <si>
    <t xml:space="preserve">RELEVADOR SEL735-IV-4 TDP-SEP02-03</t>
  </si>
  <si>
    <t xml:space="preserve">20965392</t>
  </si>
  <si>
    <t xml:space="preserve">SEL735-IV-4 TDP-SEP02-04</t>
  </si>
  <si>
    <t xml:space="preserve">RELEVADOR SEL735-IV-4 TDP-SEP02-04</t>
  </si>
  <si>
    <t xml:space="preserve">20965393</t>
  </si>
  <si>
    <t xml:space="preserve">SEL735-IV-4 TDP-SEP02-05</t>
  </si>
  <si>
    <t xml:space="preserve">RELEVADOR SEL735-IV-4 TDP-SEP02-05</t>
  </si>
  <si>
    <t xml:space="preserve">20965394</t>
  </si>
  <si>
    <t xml:space="preserve">SEL735-IV-5 TDP-SEP02-02</t>
  </si>
  <si>
    <t xml:space="preserve">RELEVADOR SEL735-IV-5 TDP-SEP02-02</t>
  </si>
  <si>
    <t xml:space="preserve">20965395</t>
  </si>
  <si>
    <t xml:space="preserve">SEL735-IV-5 TDP-SEP02-03</t>
  </si>
  <si>
    <t xml:space="preserve">RELEVADOR SEL735-IV-5 TDP-SEP02-03</t>
  </si>
  <si>
    <t xml:space="preserve">20965396</t>
  </si>
  <si>
    <t xml:space="preserve">SEL735-IV-5 TDP-SEP02-04</t>
  </si>
  <si>
    <t xml:space="preserve">RELEVADOR SEL735-IV-5 TDP-SEP02-04</t>
  </si>
  <si>
    <t xml:space="preserve">20965397</t>
  </si>
  <si>
    <t xml:space="preserve">SEL735-IV-5 TDP-SEP02-05</t>
  </si>
  <si>
    <t xml:space="preserve">RELEVADOR SEL735-IV-5 TDP-SEP02-05</t>
  </si>
  <si>
    <t xml:space="preserve">20965398</t>
  </si>
  <si>
    <t xml:space="preserve">SEL735-IV-6 TDP-SEP02-02</t>
  </si>
  <si>
    <t xml:space="preserve">RELEVADOR SEL735-IV-6 TDP-SEP02-02</t>
  </si>
  <si>
    <t xml:space="preserve">20965399</t>
  </si>
  <si>
    <t xml:space="preserve">SEL735-IV-6 TDP-SEP02-03</t>
  </si>
  <si>
    <t xml:space="preserve">RELEVADOR SEL735-IV-6 TDP-SEP02-03</t>
  </si>
  <si>
    <t xml:space="preserve">20965400</t>
  </si>
  <si>
    <t xml:space="preserve">SEL735-IV-6 TDP-SEP02-04</t>
  </si>
  <si>
    <t xml:space="preserve">RELEVADOR SEL735-IV-6 TDP-SEP02-04</t>
  </si>
  <si>
    <t xml:space="preserve">20965401</t>
  </si>
  <si>
    <t xml:space="preserve">SEL735-IV-6 TDP-SEP02-05</t>
  </si>
  <si>
    <t xml:space="preserve">RELEVADOR SEL735-IV-6 TDP-SEP02-05</t>
  </si>
  <si>
    <t xml:space="preserve">20965402</t>
  </si>
  <si>
    <t xml:space="preserve">SEL735-IV-7 TDP-SEP02-02</t>
  </si>
  <si>
    <t xml:space="preserve">RELEVADOR SEL735-IV-7 TDP-SEP02-02</t>
  </si>
  <si>
    <t xml:space="preserve">20965403</t>
  </si>
  <si>
    <t xml:space="preserve">SEL735-IV-7 TDP-SEP02-03</t>
  </si>
  <si>
    <t xml:space="preserve">RELEVADOR SEL735-IV-7 TDP-SEP02-03</t>
  </si>
  <si>
    <t xml:space="preserve">20965404</t>
  </si>
  <si>
    <t xml:space="preserve">SEL735-IV-7 TDP-SEP02-04</t>
  </si>
  <si>
    <t xml:space="preserve">RELEVADOR SEL735-IV-7 TDP-SEP02-04</t>
  </si>
  <si>
    <t xml:space="preserve">20965405</t>
  </si>
  <si>
    <t xml:space="preserve">SEL735-IV-7 TDP-SEP02-05</t>
  </si>
  <si>
    <t xml:space="preserve">RELEVADOR SEL735-IV-7 TDP-SEP02-05</t>
  </si>
  <si>
    <t xml:space="preserve">20965406</t>
  </si>
  <si>
    <t xml:space="preserve">SEL735-IV-8 TDP-SEP02-02</t>
  </si>
  <si>
    <t xml:space="preserve">RELEVADOR SEL735-IV-8 TDP-SEP02-02</t>
  </si>
  <si>
    <t xml:space="preserve">20971693</t>
  </si>
  <si>
    <t xml:space="preserve">REA 105-TR-121-06</t>
  </si>
  <si>
    <t xml:space="preserve">RELEVADOR REA 105-TR-121-06</t>
  </si>
  <si>
    <t xml:space="preserve">TRI-REF-DBP-01SEL-S12_1-TR_121_06_S121</t>
  </si>
  <si>
    <t xml:space="preserve">SECTOR01</t>
  </si>
  <si>
    <t xml:space="preserve">20971694</t>
  </si>
  <si>
    <t xml:space="preserve">REF-615-TR-121-06</t>
  </si>
  <si>
    <t xml:space="preserve">RELEVADOR REF-615-TR-121-06</t>
  </si>
  <si>
    <t xml:space="preserve">20971695</t>
  </si>
  <si>
    <t xml:space="preserve">REA 105-TR-121-08</t>
  </si>
  <si>
    <t xml:space="preserve">RELEVADOR REA 105-TR-121-08</t>
  </si>
  <si>
    <t xml:space="preserve">TRI-REF-DBP-01SEL-S12_1-TR_121_08_S121</t>
  </si>
  <si>
    <t xml:space="preserve">20971696</t>
  </si>
  <si>
    <t xml:space="preserve">REF-615-TR-121-08</t>
  </si>
  <si>
    <t xml:space="preserve">RELEVADOR REF-615-TR-121-08</t>
  </si>
  <si>
    <t xml:space="preserve">20971727</t>
  </si>
  <si>
    <t xml:space="preserve">REA-101-IP-121-01A</t>
  </si>
  <si>
    <t xml:space="preserve">RELEVADOR REA-101-IP-121-01A</t>
  </si>
  <si>
    <t xml:space="preserve">TRI-REF-DBP-01SEL-S12_1-TR_121_01_S121</t>
  </si>
  <si>
    <t xml:space="preserve">20971728</t>
  </si>
  <si>
    <t xml:space="preserve">REA-107-IP-121-01A</t>
  </si>
  <si>
    <t xml:space="preserve">RELEVADOR REA-107-IP-121-01A</t>
  </si>
  <si>
    <t xml:space="preserve">20971729</t>
  </si>
  <si>
    <t xml:space="preserve">RET-615-IP-121-01A</t>
  </si>
  <si>
    <t xml:space="preserve">RELEVADOR RET-615-IP-121-01A</t>
  </si>
  <si>
    <t xml:space="preserve">20971730</t>
  </si>
  <si>
    <t xml:space="preserve">REF-615-IP-121-01A T</t>
  </si>
  <si>
    <t xml:space="preserve">RELEVADOR REF-615-IP-121-01A T</t>
  </si>
  <si>
    <t xml:space="preserve">20971731</t>
  </si>
  <si>
    <t xml:space="preserve">SEL-735-IP-121-01A</t>
  </si>
  <si>
    <t xml:space="preserve">RELEVADOR SEL-735-IP-121-01A</t>
  </si>
  <si>
    <t xml:space="preserve">20971732</t>
  </si>
  <si>
    <t xml:space="preserve">REA-101-IP-121-01B</t>
  </si>
  <si>
    <t xml:space="preserve">RELEVADOR REA-101-IP-121-01B</t>
  </si>
  <si>
    <t xml:space="preserve">TRI-REF-DBP-01SEL-S12_1-TR_121_02_S121</t>
  </si>
  <si>
    <t xml:space="preserve">20971733</t>
  </si>
  <si>
    <t xml:space="preserve">REA-107-IP-121-01B</t>
  </si>
  <si>
    <t xml:space="preserve">RELEVADOR REA-107-IP-121-01B</t>
  </si>
  <si>
    <t xml:space="preserve">20971734</t>
  </si>
  <si>
    <t xml:space="preserve">RET-615-IP-121-01B</t>
  </si>
  <si>
    <t xml:space="preserve">RELEVADOR RET-615-IP-121-01B</t>
  </si>
  <si>
    <t xml:space="preserve">20971735</t>
  </si>
  <si>
    <t xml:space="preserve">REF-615-IP-121-01B T</t>
  </si>
  <si>
    <t xml:space="preserve">RELEVADOR REF-615-IP-121-01B T</t>
  </si>
  <si>
    <t xml:space="preserve">20971736</t>
  </si>
  <si>
    <t xml:space="preserve">SEL-735-IP-121-01B</t>
  </si>
  <si>
    <t xml:space="preserve">RELEVADOR SEL-735-IP-121-01B</t>
  </si>
  <si>
    <t xml:space="preserve">20971737</t>
  </si>
  <si>
    <t xml:space="preserve">REF-615-CCM-121-01A</t>
  </si>
  <si>
    <t xml:space="preserve">RELEVADOR REF-615-IE-1 CCM-121-01</t>
  </si>
  <si>
    <t xml:space="preserve">TRI-REF-DBP-01SEL-S12_1-CCM12101_A_S121</t>
  </si>
  <si>
    <t xml:space="preserve">20971738</t>
  </si>
  <si>
    <t xml:space="preserve">REF-615-CCM-121-01B</t>
  </si>
  <si>
    <t xml:space="preserve">RELEVADOR REF-615-IE-2 CCM-121-01</t>
  </si>
  <si>
    <t xml:space="preserve">TRI-REF-DBP-01SEL-S12_1-CCM12101_B_S121</t>
  </si>
  <si>
    <t xml:space="preserve">20971739</t>
  </si>
  <si>
    <t xml:space="preserve">REF-615-CCM-121-01E</t>
  </si>
  <si>
    <t xml:space="preserve">RELEVADOR REF-615-IE-3 CCM-121-01</t>
  </si>
  <si>
    <t xml:space="preserve">20971740</t>
  </si>
  <si>
    <t xml:space="preserve">REF-615-CCM-121-02A</t>
  </si>
  <si>
    <t xml:space="preserve">RELEVADOR REF-615-IE-1 CCM-121-02</t>
  </si>
  <si>
    <t xml:space="preserve">TRI-REF-DBP-01SEL-S12_1-CCM12102_A_S121</t>
  </si>
  <si>
    <t xml:space="preserve">20971741</t>
  </si>
  <si>
    <t xml:space="preserve">REF-615-CCM-121-02B</t>
  </si>
  <si>
    <t xml:space="preserve">RELEVADOR REF-615-IE-2 CCM-121-02</t>
  </si>
  <si>
    <t xml:space="preserve">TRI-REF-DBP-01SEL-S12_1-CCM12102_B_S121</t>
  </si>
  <si>
    <t xml:space="preserve">20971742</t>
  </si>
  <si>
    <t xml:space="preserve">REF-615-CCM-121-02E</t>
  </si>
  <si>
    <t xml:space="preserve">RELEVADOR REF-615-IE-3 CCM-121-02</t>
  </si>
  <si>
    <t xml:space="preserve">20971743</t>
  </si>
  <si>
    <t xml:space="preserve">REF-615-CCM-121-03A</t>
  </si>
  <si>
    <t xml:space="preserve">RELEVADOR REF-615-IE-1 CCM-121-03</t>
  </si>
  <si>
    <t xml:space="preserve">TRI-REF-DBP-01SEL-S12_1-CCM12103_A_S121</t>
  </si>
  <si>
    <t xml:space="preserve">20971744</t>
  </si>
  <si>
    <t xml:space="preserve">REF-615-CCM-121-03B</t>
  </si>
  <si>
    <t xml:space="preserve">RELEVADOR REF-615-IE-2 CCM-121-03</t>
  </si>
  <si>
    <t xml:space="preserve">TRI-REF-DBP-01SEL-S12_1-CCM12103_B_S121</t>
  </si>
  <si>
    <t xml:space="preserve">20971745</t>
  </si>
  <si>
    <t xml:space="preserve">REF-615-CCM-121-03E</t>
  </si>
  <si>
    <t xml:space="preserve">RELEVADOR REF-615-IE-3 CCM-121-03</t>
  </si>
  <si>
    <t xml:space="preserve">20971746</t>
  </si>
  <si>
    <t xml:space="preserve">REF-615-TDB-121-01A</t>
  </si>
  <si>
    <t xml:space="preserve">RELEVADOR REF-615-IE-1 TDB-121-01</t>
  </si>
  <si>
    <t xml:space="preserve">TRI-REF-DBP-01SEL-S12_1-TR_121_21_S121</t>
  </si>
  <si>
    <t xml:space="preserve">20971747</t>
  </si>
  <si>
    <t xml:space="preserve">REF-615-TDB-121-01B</t>
  </si>
  <si>
    <t xml:space="preserve">RELEVADOR REF-615-IE-2 TDB-121-01</t>
  </si>
  <si>
    <t xml:space="preserve">TRI-REF-DBP-01SEL-S12_1-TR_121_22_S121</t>
  </si>
  <si>
    <t xml:space="preserve">20971748</t>
  </si>
  <si>
    <t xml:space="preserve">REF-615-TDB-121-01E</t>
  </si>
  <si>
    <t xml:space="preserve">RELEVADOR REF-615-IE-3 TDB-121-01</t>
  </si>
  <si>
    <t xml:space="preserve">20971749</t>
  </si>
  <si>
    <t xml:space="preserve">REB670-H01(TDMT-SEP01-01)</t>
  </si>
  <si>
    <t xml:space="preserve">RELEVADOR REB670-H01(TDMT-SEP01-01)</t>
  </si>
  <si>
    <t xml:space="preserve">20971750</t>
  </si>
  <si>
    <t xml:space="preserve">REF620-H03(TR-SEP01-01)</t>
  </si>
  <si>
    <t xml:space="preserve">RELEVADOR REF620-H03(TR-SEP01-01)</t>
  </si>
  <si>
    <t xml:space="preserve">TRI-REF-DBP-08SEL-SEP01-TR_SEP01_01A</t>
  </si>
  <si>
    <t xml:space="preserve">20971751</t>
  </si>
  <si>
    <t xml:space="preserve">SEL735-H03(TR-SEP01-01)</t>
  </si>
  <si>
    <t xml:space="preserve">RELEVADOR SEL735-H03(TR-SEP01-01)</t>
  </si>
  <si>
    <t xml:space="preserve">20971752</t>
  </si>
  <si>
    <t xml:space="preserve">RET615-H05(TR-SEP01-05)</t>
  </si>
  <si>
    <t xml:space="preserve">RELEVADOR RET615-H05(TR-SEP01-05)</t>
  </si>
  <si>
    <t xml:space="preserve">TRI-REF-DBP-08SEL-SEP01-TR_SEP01_05A</t>
  </si>
  <si>
    <t xml:space="preserve">20971753</t>
  </si>
  <si>
    <t xml:space="preserve">REF620-H05(TR-SEP01-05)</t>
  </si>
  <si>
    <t xml:space="preserve">RELEVADOR REF620-H05(TR-SEP01-05)</t>
  </si>
  <si>
    <t xml:space="preserve">20971754</t>
  </si>
  <si>
    <t xml:space="preserve">SEL735-H05(TR-SEP01-05)</t>
  </si>
  <si>
    <t xml:space="preserve">RELEVADOR SEL735-H05(TR-SEP01-05)</t>
  </si>
  <si>
    <t xml:space="preserve">20971755</t>
  </si>
  <si>
    <t xml:space="preserve">RET615-H06(TR-SEP01-04)</t>
  </si>
  <si>
    <t xml:space="preserve">RELEVADOR RET615-H06(TR-SEP01-04)</t>
  </si>
  <si>
    <t xml:space="preserve">TRI-REF-DBP-08SEL-SEP01-TR_SEP01_04A</t>
  </si>
  <si>
    <t xml:space="preserve">20971756</t>
  </si>
  <si>
    <t xml:space="preserve">REF620-H06(TR-SEP01-04)</t>
  </si>
  <si>
    <t xml:space="preserve">RELEVADOR REF620-H06(TR-SEP01-04)</t>
  </si>
  <si>
    <t xml:space="preserve">20971757</t>
  </si>
  <si>
    <t xml:space="preserve">SEL735-H06(TR-SEP01-04)</t>
  </si>
  <si>
    <t xml:space="preserve">RELEVADOR SEL735-H06(TR-SEP01-04)</t>
  </si>
  <si>
    <t xml:space="preserve">20971758</t>
  </si>
  <si>
    <t xml:space="preserve">RET615-H07(TR-SEP01-03)</t>
  </si>
  <si>
    <t xml:space="preserve">RELEVADOR RET615-H07(TR-SEP01-03)</t>
  </si>
  <si>
    <t xml:space="preserve">TRI-REF-DBP-08SEL-SEP01-TR_SEP01_03A</t>
  </si>
  <si>
    <t xml:space="preserve">20971759</t>
  </si>
  <si>
    <t xml:space="preserve">REF620-H07(TR-SEP01-03)</t>
  </si>
  <si>
    <t xml:space="preserve">RELEVADOR REF620-H07(TR-SEP01-03)</t>
  </si>
  <si>
    <t xml:space="preserve">20971760</t>
  </si>
  <si>
    <t xml:space="preserve">SEL735-H07(TR-SEP01-03)</t>
  </si>
  <si>
    <t xml:space="preserve">RELEVADOR SEL735-H07(TR-SEP01-03)</t>
  </si>
  <si>
    <t xml:space="preserve">20971761</t>
  </si>
  <si>
    <t xml:space="preserve">RET615-H08(TR-SEP01-02)</t>
  </si>
  <si>
    <t xml:space="preserve">RELEVADOR RET615-H08(TR-SEP01-02)</t>
  </si>
  <si>
    <t xml:space="preserve">20971762</t>
  </si>
  <si>
    <t xml:space="preserve">REF620-H08(TR-SEP01-02)</t>
  </si>
  <si>
    <t xml:space="preserve">RELEVADOR REF620-H08(TR-SEP01-02)</t>
  </si>
  <si>
    <t xml:space="preserve">20971692</t>
  </si>
  <si>
    <t xml:space="preserve">REA 103-TR-121-06</t>
  </si>
  <si>
    <t xml:space="preserve">RELEVADOR REA 103-TR-121-06</t>
  </si>
  <si>
    <t xml:space="preserve">20965568</t>
  </si>
  <si>
    <t xml:space="preserve">7SR5111-BC-17-01</t>
  </si>
  <si>
    <t xml:space="preserve">RELEVADOR 7SR5111-BC-17-01</t>
  </si>
  <si>
    <t xml:space="preserve">TRI-REF-DBP-08SEL-S_017-CCM17_01_A_SE17</t>
  </si>
  <si>
    <t xml:space="preserve">20965569</t>
  </si>
  <si>
    <t xml:space="preserve">7SR5111-BC-17-02</t>
  </si>
  <si>
    <t xml:space="preserve">RELEVADOR 7SR5111-BC-17-02</t>
  </si>
  <si>
    <t xml:space="preserve">TRI-REF-DBP-08SEL-S_017-CCM17_01_B_SE17</t>
  </si>
  <si>
    <t xml:space="preserve">20965570</t>
  </si>
  <si>
    <t xml:space="preserve">7SR5111-CCM1701-10A</t>
  </si>
  <si>
    <t xml:space="preserve">RELEVADOR 7SR5111-CCM1701-10A</t>
  </si>
  <si>
    <t xml:space="preserve">20965571</t>
  </si>
  <si>
    <t xml:space="preserve">7SR5111-CCM1701-11E</t>
  </si>
  <si>
    <t xml:space="preserve">RELEVADOR 7SR5111-CCM1701-11E</t>
  </si>
  <si>
    <t xml:space="preserve">20965572</t>
  </si>
  <si>
    <t xml:space="preserve">7SR5111-CCM1701-12B</t>
  </si>
  <si>
    <t xml:space="preserve">RELEVADOR 7SR5111-CCM1701-12B</t>
  </si>
  <si>
    <t xml:space="preserve">20965573</t>
  </si>
  <si>
    <t xml:space="preserve">7SR5111-IP-17-01(TR-1701)</t>
  </si>
  <si>
    <t xml:space="preserve">RELEVADOR 7SR5111-IP-17-01(TR-1701)</t>
  </si>
  <si>
    <t xml:space="preserve">TRI-REF-DBP-08SEL-S_017-TR_17_01_SE17</t>
  </si>
  <si>
    <t xml:space="preserve">20965574</t>
  </si>
  <si>
    <t xml:space="preserve">7SR5111-IP-17-02(TR-1702)</t>
  </si>
  <si>
    <t xml:space="preserve">RELEVADOR 7SR5111-IP-17-02(TR-1702)</t>
  </si>
  <si>
    <t xml:space="preserve">TRI-REF-DBP-08SEL-S_017-TR_17_02_SE17</t>
  </si>
  <si>
    <t xml:space="preserve">20965575</t>
  </si>
  <si>
    <t xml:space="preserve">7SR5111-TR-17-03</t>
  </si>
  <si>
    <t xml:space="preserve">RELEVADOR 7SR5111-TR-17-03</t>
  </si>
  <si>
    <t xml:space="preserve">20965576</t>
  </si>
  <si>
    <t xml:space="preserve">7SR5111-TR-17-04</t>
  </si>
  <si>
    <t xml:space="preserve">RELEVADOR 7SR5111-TR-17-04</t>
  </si>
  <si>
    <t xml:space="preserve">20965577</t>
  </si>
  <si>
    <t xml:space="preserve">7SR5420-IP-17-01(TR-1701)</t>
  </si>
  <si>
    <t xml:space="preserve">RELEVADOR 7SR5420-IP-17-01(TR-1701)</t>
  </si>
  <si>
    <t xml:space="preserve">20965578</t>
  </si>
  <si>
    <t xml:space="preserve">7SR5420-IP-17-02(TR-1702)</t>
  </si>
  <si>
    <t xml:space="preserve">RELEVADOR 7SR5420-IP-17-02(TR-1702)</t>
  </si>
  <si>
    <t xml:space="preserve">20965584</t>
  </si>
  <si>
    <t xml:space="preserve">7SR5711-MGB-00601A</t>
  </si>
  <si>
    <t xml:space="preserve">RELEVADOR 7SR5711-MGB-00601A</t>
  </si>
  <si>
    <t xml:space="preserve">TRI-REF-DBP-08COG-SACAP-GB_00601A</t>
  </si>
  <si>
    <t xml:space="preserve">20965585</t>
  </si>
  <si>
    <t xml:space="preserve">7SR5711-MGB-00601B</t>
  </si>
  <si>
    <t xml:space="preserve">RELEVADOR 7SR5711-MGB-00601B</t>
  </si>
  <si>
    <t xml:space="preserve">TRI-REF-DBP-08COG-SACAP-GB_00601B</t>
  </si>
  <si>
    <t xml:space="preserve">20965586</t>
  </si>
  <si>
    <t xml:space="preserve">7SR5711-MGB-00601C</t>
  </si>
  <si>
    <t xml:space="preserve">RELEVADOR 7SR5711-MGB-00601C</t>
  </si>
  <si>
    <t xml:space="preserve">TRI-REF-DBP-08COG-SACAP-GB_00601C</t>
  </si>
  <si>
    <t xml:space="preserve">20965587</t>
  </si>
  <si>
    <t xml:space="preserve">7SR5711-MGB-00601D</t>
  </si>
  <si>
    <t xml:space="preserve">RELEVADOR 7SR5711-MGB-00601D</t>
  </si>
  <si>
    <t xml:space="preserve">TRI-REF-DBP-08COG-SACAP-GB_00601D</t>
  </si>
  <si>
    <t xml:space="preserve">20965588</t>
  </si>
  <si>
    <t xml:space="preserve">7SR5711-MGB-00602A</t>
  </si>
  <si>
    <t xml:space="preserve">RELEVADOR 7SR5711-MGB-00602A</t>
  </si>
  <si>
    <t xml:space="preserve">TRI-REF-DBP-08COG-SACAP-GB_00602A</t>
  </si>
  <si>
    <t xml:space="preserve">20965589</t>
  </si>
  <si>
    <t xml:space="preserve">7SR5711-MGB-00602B</t>
  </si>
  <si>
    <t xml:space="preserve">RELEVADOR 7SR5711-MGB-00602B</t>
  </si>
  <si>
    <t xml:space="preserve">20971663</t>
  </si>
  <si>
    <t xml:space="preserve">REA 105-IV-14</t>
  </si>
  <si>
    <t xml:space="preserve">RELEVADOR REA 105-IV-14</t>
  </si>
  <si>
    <t xml:space="preserve">TRI-REF-DBP-01SEL-S12_1-TDM12101_A_S121</t>
  </si>
  <si>
    <t xml:space="preserve">20971664</t>
  </si>
  <si>
    <t xml:space="preserve">REM-615-IV14</t>
  </si>
  <si>
    <t xml:space="preserve">RELEVADOR REM-615-IV14</t>
  </si>
  <si>
    <t xml:space="preserve">20971671</t>
  </si>
  <si>
    <t xml:space="preserve">REA 105-TR-121-07</t>
  </si>
  <si>
    <t xml:space="preserve">RELEVADOR REA 105-TR-121-07</t>
  </si>
  <si>
    <t xml:space="preserve">TRI-REF-DBP-01SEL-S12_1-TR_121_07_S121</t>
  </si>
  <si>
    <t xml:space="preserve">20971672</t>
  </si>
  <si>
    <t xml:space="preserve">REA 103-TR-121-07</t>
  </si>
  <si>
    <t xml:space="preserve">RELEVADOR REA 103-TR-121-07</t>
  </si>
  <si>
    <t xml:space="preserve">20971673</t>
  </si>
  <si>
    <t xml:space="preserve">REF-615-TR-121-07</t>
  </si>
  <si>
    <t xml:space="preserve">RELEVADOR REF-615-TR-121-07</t>
  </si>
  <si>
    <t xml:space="preserve">20971674</t>
  </si>
  <si>
    <t xml:space="preserve">REA 101-IV-2 BUS B</t>
  </si>
  <si>
    <t xml:space="preserve">RELEVADOR REA 101-IV-2 BUS B</t>
  </si>
  <si>
    <t xml:space="preserve">TRI-REF-DBP-01SEL-S12_1-TDM12101_B_S121</t>
  </si>
  <si>
    <t xml:space="preserve">20971675</t>
  </si>
  <si>
    <t xml:space="preserve">REA 107-IV-2 BUS B</t>
  </si>
  <si>
    <t xml:space="preserve">RELEVADOR REA 107-IV-2 BUS B</t>
  </si>
  <si>
    <t xml:space="preserve">20971676</t>
  </si>
  <si>
    <t xml:space="preserve">REF-615-IV-2 BUS B TDM121</t>
  </si>
  <si>
    <t xml:space="preserve">RELEVADOR REF-615-IV-2 BUS B TDM121</t>
  </si>
  <si>
    <t xml:space="preserve">20971677</t>
  </si>
  <si>
    <t xml:space="preserve">SEL-735-IV-2 BUS B TDM121</t>
  </si>
  <si>
    <t xml:space="preserve">RELEVADOR SEL-735-IV-2 BUS B TDM121</t>
  </si>
  <si>
    <t xml:space="preserve">20971678</t>
  </si>
  <si>
    <t xml:space="preserve">REA 105-IV-3 ENLACE</t>
  </si>
  <si>
    <t xml:space="preserve">RELEVADOR REA 105-IV-3 ENLACE</t>
  </si>
  <si>
    <t xml:space="preserve">20971679</t>
  </si>
  <si>
    <t xml:space="preserve">REF-615-IV-3 ENLAC TDM121</t>
  </si>
  <si>
    <t xml:space="preserve">RELEVADOR REF-615-IV-3 ENLACE TDM121</t>
  </si>
  <si>
    <t xml:space="preserve">20971680</t>
  </si>
  <si>
    <t xml:space="preserve">REA 101-IV-1 BUS A</t>
  </si>
  <si>
    <t xml:space="preserve">RELEVADOR REA 101-IV-1 BUS A</t>
  </si>
  <si>
    <t xml:space="preserve">20971681</t>
  </si>
  <si>
    <t xml:space="preserve">REA 107-IV-1 BUS A</t>
  </si>
  <si>
    <t xml:space="preserve">RELEVADOR REA 107-IV-1 BUS A</t>
  </si>
  <si>
    <t xml:space="preserve">20971682</t>
  </si>
  <si>
    <t xml:space="preserve">REF-615-IV-1 BUS A TDM121</t>
  </si>
  <si>
    <t xml:space="preserve">RELEVADOR REF-615-IV-1 BUS A TDM121</t>
  </si>
  <si>
    <t xml:space="preserve">20971683</t>
  </si>
  <si>
    <t xml:space="preserve">SEL-735-IV-1 BUS A TDM121</t>
  </si>
  <si>
    <t xml:space="preserve">RELEVADOR SEL-735-IV-1 BUS A TDM121</t>
  </si>
  <si>
    <t xml:space="preserve">20971684</t>
  </si>
  <si>
    <t xml:space="preserve">REA 105-TR-121-05</t>
  </si>
  <si>
    <t xml:space="preserve">RELEVADOR REA 105-TR-121-05</t>
  </si>
  <si>
    <t xml:space="preserve">TRI-REF-DBP-01SEL-S12_1-TR_121_05_S121</t>
  </si>
  <si>
    <t xml:space="preserve">20971685</t>
  </si>
  <si>
    <t xml:space="preserve">REF-615-TR-121-05</t>
  </si>
  <si>
    <t xml:space="preserve">RELEVADOR REF-615-TR-121-05</t>
  </si>
  <si>
    <t xml:space="preserve">20971686</t>
  </si>
  <si>
    <t xml:space="preserve">REA 105-TR-121-03</t>
  </si>
  <si>
    <t xml:space="preserve">RELEVADOR REA 105-TR-121-03</t>
  </si>
  <si>
    <t xml:space="preserve">TRI-REF-DBP-01SEL-S12_1-TR_121_03_S121</t>
  </si>
  <si>
    <t xml:space="preserve">20971687</t>
  </si>
  <si>
    <t xml:space="preserve">REA 101-TR-121-03</t>
  </si>
  <si>
    <t xml:space="preserve">RELEVADOR REA 101-TR-121-03</t>
  </si>
  <si>
    <t xml:space="preserve">20971688</t>
  </si>
  <si>
    <t xml:space="preserve">REF-615-TR-121-03</t>
  </si>
  <si>
    <t xml:space="preserve">RELEVADOR REF-615-TR-121-03</t>
  </si>
  <si>
    <t xml:space="preserve">20971689</t>
  </si>
  <si>
    <t xml:space="preserve">REA 105-TR-121-04</t>
  </si>
  <si>
    <t xml:space="preserve">RELEVADOR REA 105-TR-121-04</t>
  </si>
  <si>
    <t xml:space="preserve">TRI-REF-DBP-01SEL-S12_1-TR_121_04_S121</t>
  </si>
  <si>
    <t xml:space="preserve">20971690</t>
  </si>
  <si>
    <t xml:space="preserve">REA 101-TR-121-04</t>
  </si>
  <si>
    <t xml:space="preserve">RELEVADOR REA 101-TR-121-04</t>
  </si>
  <si>
    <t xml:space="preserve">20971691</t>
  </si>
  <si>
    <t xml:space="preserve">REF-615-TR-121-04</t>
  </si>
  <si>
    <t xml:space="preserve">RELEVADOR REF-615-TR-121-04</t>
  </si>
  <si>
    <t xml:space="preserve">20977788</t>
  </si>
  <si>
    <t xml:space="preserve">SEL735-MM-TR-SEP01-1B</t>
  </si>
  <si>
    <t xml:space="preserve">RELEVADOR SEL735-MM-TR-SEP01-1B</t>
  </si>
  <si>
    <t xml:space="preserve">20987485</t>
  </si>
  <si>
    <t xml:space="preserve">REA 105-TR-12-08</t>
  </si>
  <si>
    <t xml:space="preserve">RELEVADOR REA 105-TR-12-08</t>
  </si>
  <si>
    <t xml:space="preserve">TRI-REF-DBP-01SEL-S_012-TR_12_08_SE_12</t>
  </si>
  <si>
    <t xml:space="preserve">20987486</t>
  </si>
  <si>
    <t xml:space="preserve">REF-615-TR-12-08</t>
  </si>
  <si>
    <t xml:space="preserve">RELEVADOR REF-615-TR-12-08</t>
  </si>
  <si>
    <t xml:space="preserve">20987484</t>
  </si>
  <si>
    <t xml:space="preserve">REF-615-TR-12-06</t>
  </si>
  <si>
    <t xml:space="preserve">RELEVADOR REF-615-TR-12-06</t>
  </si>
  <si>
    <t xml:space="preserve">TRI-REF-DBP-01SEL-S_012-TR_12_06_SE_12</t>
  </si>
  <si>
    <t xml:space="preserve">20987483</t>
  </si>
  <si>
    <t xml:space="preserve">REA 105-TR-12-06</t>
  </si>
  <si>
    <t xml:space="preserve">RELEVADOR REA 105-TR-12-06</t>
  </si>
  <si>
    <t xml:space="preserve">20987482</t>
  </si>
  <si>
    <t xml:space="preserve">REA 103-TR-12-06</t>
  </si>
  <si>
    <t xml:space="preserve">RELEVADOR REA 103-TR-12-06</t>
  </si>
  <si>
    <t xml:space="preserve">20987517</t>
  </si>
  <si>
    <t xml:space="preserve">REA-103-IP-121-01A</t>
  </si>
  <si>
    <t xml:space="preserve">RELEVADOR REA-103-IP-121-01A</t>
  </si>
  <si>
    <t xml:space="preserve">TRI-REF-DBP-01SEL-S_012-TDA12_01_A_SE12</t>
  </si>
  <si>
    <t xml:space="preserve">20987518</t>
  </si>
  <si>
    <t xml:space="preserve">REA-105-IP-121-01A</t>
  </si>
  <si>
    <t xml:space="preserve">RELEVADOR REA-105-IP-121-01A</t>
  </si>
  <si>
    <t xml:space="preserve">20987519</t>
  </si>
  <si>
    <t xml:space="preserve">REF-615-IP-121-01A</t>
  </si>
  <si>
    <t xml:space="preserve">RELEVADOR REF-615-IP-121-01A</t>
  </si>
  <si>
    <t xml:space="preserve">20987520</t>
  </si>
  <si>
    <t xml:space="preserve">RET-615-TR-12-01</t>
  </si>
  <si>
    <t xml:space="preserve">RELEVADOR RET-615-TR-12-01</t>
  </si>
  <si>
    <t xml:space="preserve">TRI-REF-DBP-01SEL-S_012-TR_12_01_SE12</t>
  </si>
  <si>
    <t xml:space="preserve">20987521</t>
  </si>
  <si>
    <t xml:space="preserve">REA-101-TR-12-01</t>
  </si>
  <si>
    <t xml:space="preserve">RELEVADOR REA-101-TR-12-01</t>
  </si>
  <si>
    <t xml:space="preserve">20987481</t>
  </si>
  <si>
    <t xml:space="preserve">REF-615-TR-12-04</t>
  </si>
  <si>
    <t xml:space="preserve">RELEVADOR REF-615-TR-12-04</t>
  </si>
  <si>
    <t xml:space="preserve">TRI-REF-DBP-01SEL-S_012-TR_12_04_SE_12</t>
  </si>
  <si>
    <t xml:space="preserve">20987480</t>
  </si>
  <si>
    <t xml:space="preserve">REA 101-TR-12-04</t>
  </si>
  <si>
    <t xml:space="preserve">RELEVADOR REA 101-TR-12-04</t>
  </si>
  <si>
    <t xml:space="preserve">20987479</t>
  </si>
  <si>
    <t xml:space="preserve">REA 105-TR-12-04</t>
  </si>
  <si>
    <t xml:space="preserve">RELEVADOR REA 105-TR-12-04</t>
  </si>
  <si>
    <t xml:space="preserve">20987478</t>
  </si>
  <si>
    <t xml:space="preserve">REF-615-TR-12-03</t>
  </si>
  <si>
    <t xml:space="preserve">RELEVADOR REF-615-TR-12-03</t>
  </si>
  <si>
    <t xml:space="preserve">TRI-REF-DBP-01SEL-S_012-TR_12_03_SE_12</t>
  </si>
  <si>
    <t xml:space="preserve">20987477</t>
  </si>
  <si>
    <t xml:space="preserve">REA 101-TR-12-03</t>
  </si>
  <si>
    <t xml:space="preserve">RELEVADOR REA 101-TR-12-03</t>
  </si>
  <si>
    <t xml:space="preserve">20987476</t>
  </si>
  <si>
    <t xml:space="preserve">REA 105-TR-12-03</t>
  </si>
  <si>
    <t xml:space="preserve">RELEVADOR REA 105-TR-12-03</t>
  </si>
  <si>
    <t xml:space="preserve">20987475</t>
  </si>
  <si>
    <t xml:space="preserve">REF-615-TR-12-05</t>
  </si>
  <si>
    <t xml:space="preserve">RELEVADOR REF-615-TR-12-05</t>
  </si>
  <si>
    <t xml:space="preserve">TRI-REF-DBP-01SEL-S_012-TR_12_05_SE_12</t>
  </si>
  <si>
    <t xml:space="preserve">20987474</t>
  </si>
  <si>
    <t xml:space="preserve">REA 105-TR-12-05</t>
  </si>
  <si>
    <t xml:space="preserve">RELEVADOR REA 105-TR-12-05</t>
  </si>
  <si>
    <t xml:space="preserve">20987473</t>
  </si>
  <si>
    <t xml:space="preserve">SEL-735-IV-1 BUS A TDM12</t>
  </si>
  <si>
    <t xml:space="preserve">RELEVADOR SEL-735-IV-1 BUS A TDM12</t>
  </si>
  <si>
    <t xml:space="preserve">TRI-REF-DBP-01SEL-S_012-TDM12_01_A_SE12</t>
  </si>
  <si>
    <t xml:space="preserve">20987472</t>
  </si>
  <si>
    <t xml:space="preserve">REF-615-IV-1 BUS A TDM12</t>
  </si>
  <si>
    <t xml:space="preserve">RELEVADOR REF-615-IV-1 BUS A TDM12</t>
  </si>
  <si>
    <t xml:space="preserve">20987522</t>
  </si>
  <si>
    <t xml:space="preserve">REA-105-TR-12-01</t>
  </si>
  <si>
    <t xml:space="preserve">RELEVADOR REA-105-TR-12-01</t>
  </si>
  <si>
    <t xml:space="preserve">20987523</t>
  </si>
  <si>
    <t xml:space="preserve">REF-615-TR-12-01</t>
  </si>
  <si>
    <t xml:space="preserve">RELEVADOR REF-615-TR-12-01</t>
  </si>
  <si>
    <t xml:space="preserve">20987524</t>
  </si>
  <si>
    <t xml:space="preserve">REA-105-BC-12-01</t>
  </si>
  <si>
    <t xml:space="preserve">RELEVADOR REA-105-BC-12-01</t>
  </si>
  <si>
    <t xml:space="preserve">TRI-REF-DBP-01SEL-S_012-BC_12_01_SE12</t>
  </si>
  <si>
    <t xml:space="preserve">20987525</t>
  </si>
  <si>
    <t xml:space="preserve">REF-615-BC-12-01</t>
  </si>
  <si>
    <t xml:space="preserve">RELEVADOR REF-615-BC-12-01</t>
  </si>
  <si>
    <t xml:space="preserve">20987526</t>
  </si>
  <si>
    <t xml:space="preserve">REA-101-IV-1</t>
  </si>
  <si>
    <t xml:space="preserve">RELEVADOR REA-101-IV-1</t>
  </si>
  <si>
    <t xml:space="preserve">20987527</t>
  </si>
  <si>
    <t xml:space="preserve">REA-107-IV-1</t>
  </si>
  <si>
    <t xml:space="preserve">RELEVADOR REA-107-IV-1</t>
  </si>
  <si>
    <t xml:space="preserve">20987528</t>
  </si>
  <si>
    <t xml:space="preserve">REF-615-IV-1</t>
  </si>
  <si>
    <t xml:space="preserve">RELEVADOR REF-615-IV-1</t>
  </si>
  <si>
    <t xml:space="preserve">20987529</t>
  </si>
  <si>
    <t xml:space="preserve">SEL-735-IV-1</t>
  </si>
  <si>
    <t xml:space="preserve">RELEVADOR SEL-735-IV-1</t>
  </si>
  <si>
    <t xml:space="preserve">20987530</t>
  </si>
  <si>
    <t xml:space="preserve">REA-105-IV-3</t>
  </si>
  <si>
    <t xml:space="preserve">RELEVADOR REA-105-IV-3</t>
  </si>
  <si>
    <t xml:space="preserve">20987531</t>
  </si>
  <si>
    <t xml:space="preserve">REF-615-IV-3</t>
  </si>
  <si>
    <t xml:space="preserve">RELEVADOR REF-615-IV-3</t>
  </si>
  <si>
    <t xml:space="preserve">20987532</t>
  </si>
  <si>
    <t xml:space="preserve">REA-101-IV-2</t>
  </si>
  <si>
    <t xml:space="preserve">RELEVADOR REA-101-IV-2</t>
  </si>
  <si>
    <t xml:space="preserve">TRI-REF-DBP-01SEL-S_012-TDA12_01_B_SE12</t>
  </si>
  <si>
    <t xml:space="preserve">20987533</t>
  </si>
  <si>
    <t xml:space="preserve">REA-107-IV-2</t>
  </si>
  <si>
    <t xml:space="preserve">RELEVADOR REA-107-IV-2</t>
  </si>
  <si>
    <t xml:space="preserve">20987534</t>
  </si>
  <si>
    <t xml:space="preserve">REF-615-IV-2</t>
  </si>
  <si>
    <t xml:space="preserve">RELEVADOR REF-615-IV-2</t>
  </si>
  <si>
    <t xml:space="preserve">20987535</t>
  </si>
  <si>
    <t xml:space="preserve">SEL-735-IV-2</t>
  </si>
  <si>
    <t xml:space="preserve">RELEVADOR SEL-735-IV-2</t>
  </si>
  <si>
    <t xml:space="preserve">20987536</t>
  </si>
  <si>
    <t xml:space="preserve">REA-105-BC-12-02</t>
  </si>
  <si>
    <t xml:space="preserve">RELEVADOR REA-105-BC-12-02</t>
  </si>
  <si>
    <t xml:space="preserve">TRI-REF-DBP-01SEL-S_012-BC_12_02_SE12</t>
  </si>
  <si>
    <t xml:space="preserve">20987537</t>
  </si>
  <si>
    <t xml:space="preserve">REF-615-BC-12-02</t>
  </si>
  <si>
    <t xml:space="preserve">RELEVADOR REF-615-BC-12-02</t>
  </si>
  <si>
    <t xml:space="preserve">20987538</t>
  </si>
  <si>
    <t xml:space="preserve">RET-615-TR-12-02</t>
  </si>
  <si>
    <t xml:space="preserve">RELEVADOR RET-615-TR-12-02</t>
  </si>
  <si>
    <t xml:space="preserve">TRI-REF-DBP-01SEL-S_012-TR_12_02_SE12</t>
  </si>
  <si>
    <t xml:space="preserve">20987539</t>
  </si>
  <si>
    <t xml:space="preserve">REA-101-TR-12-02</t>
  </si>
  <si>
    <t xml:space="preserve">RELEVADOR REA-101-TR-12-02</t>
  </si>
  <si>
    <t xml:space="preserve">20987540</t>
  </si>
  <si>
    <t xml:space="preserve">REA-105-TR-12-02</t>
  </si>
  <si>
    <t xml:space="preserve">RELEVADOR REA-105-TR-12-02</t>
  </si>
  <si>
    <t xml:space="preserve">20987541</t>
  </si>
  <si>
    <t xml:space="preserve">REF-615-TR-12-02</t>
  </si>
  <si>
    <t xml:space="preserve">RELEVADOR REF-615-TR-12-02</t>
  </si>
  <si>
    <t xml:space="preserve">20987471</t>
  </si>
  <si>
    <t xml:space="preserve">20984358</t>
  </si>
  <si>
    <t xml:space="preserve">SEL735-CCM-02-02A</t>
  </si>
  <si>
    <t xml:space="preserve">RELEVADOR SEL-735 CCM-02-02 A</t>
  </si>
  <si>
    <t xml:space="preserve">TRI-REF-DBP-06SEL-S_002-CCM02_02_A_SE2</t>
  </si>
  <si>
    <t xml:space="preserve">MULTIMEDIDOR</t>
  </si>
  <si>
    <t xml:space="preserve">20984359</t>
  </si>
  <si>
    <t xml:space="preserve">SEL735-CCM-02-02B</t>
  </si>
  <si>
    <t xml:space="preserve">RELEVADOR SEL-735 CCM-02-02 B</t>
  </si>
  <si>
    <t xml:space="preserve">TRI-REF-DBP-06SEL-S_002-CCM02_02_B_SE2</t>
  </si>
  <si>
    <t xml:space="preserve">20984360</t>
  </si>
  <si>
    <t xml:space="preserve">SEL735-CCM-09-04A</t>
  </si>
  <si>
    <t xml:space="preserve">RELEVADOR SEL-735 CCM-09-04 A</t>
  </si>
  <si>
    <t xml:space="preserve">TRI-REF-DBP-06SEL-S_009-TR_09_04A_SE09</t>
  </si>
  <si>
    <t xml:space="preserve">20984361</t>
  </si>
  <si>
    <t xml:space="preserve">SEL735-CCM-09-04B</t>
  </si>
  <si>
    <t xml:space="preserve">RELEVADOR SEL-735 CCM-09-04 B</t>
  </si>
  <si>
    <t xml:space="preserve">TRI-REF-DBP-06SEL-S_009-TR_09_04B_SE09</t>
  </si>
  <si>
    <t xml:space="preserve">20984366</t>
  </si>
  <si>
    <t xml:space="preserve">SEL735-TDA-02-01A</t>
  </si>
  <si>
    <t xml:space="preserve">RELEVADOR SEL-735 TDA-02-01 A</t>
  </si>
  <si>
    <t xml:space="preserve">TRI-REF-DBP-06SEL-S_002-TDA_02_01_A_SE2</t>
  </si>
  <si>
    <t xml:space="preserve">20984367</t>
  </si>
  <si>
    <t xml:space="preserve">SEL735-TDA-02-01B</t>
  </si>
  <si>
    <t xml:space="preserve">RELEVADOR SEL-735 TDA-02-01 B</t>
  </si>
  <si>
    <t xml:space="preserve">TRI-REF-DBP-06SEL-S_002-TDA_02_01_B_SE2</t>
  </si>
  <si>
    <t xml:space="preserve">20984368</t>
  </si>
  <si>
    <t xml:space="preserve">SEL735-TDB-02-01A</t>
  </si>
  <si>
    <t xml:space="preserve">RELEVADOR SEL-735 TDB-02-01 A</t>
  </si>
  <si>
    <t xml:space="preserve">TRI-REF-DBP-06SEL-S_002-TR_02_21_SE2</t>
  </si>
  <si>
    <t xml:space="preserve">20984369</t>
  </si>
  <si>
    <t xml:space="preserve">SEL735-TDB-02-01B</t>
  </si>
  <si>
    <t xml:space="preserve">RELEVADOR SEL-735 TDB-02-01 B</t>
  </si>
  <si>
    <t xml:space="preserve">TRI-REF-DBP-06SEL-S_002-TR_02_22_SE2</t>
  </si>
  <si>
    <t xml:space="preserve">20984370</t>
  </si>
  <si>
    <t xml:space="preserve">SEL735-TDB-08-04A</t>
  </si>
  <si>
    <t xml:space="preserve">RELEVADOR SEL-735 TDB-08-04 A</t>
  </si>
  <si>
    <t xml:space="preserve">TRI-REF-DBP-06SEL-S_008-TR_08_04A_SE08</t>
  </si>
  <si>
    <t xml:space="preserve">20984371</t>
  </si>
  <si>
    <t xml:space="preserve">SEL735-TDB-08-04B</t>
  </si>
  <si>
    <t xml:space="preserve">RELEVADOR SEL-735 TDB-08-04 B</t>
  </si>
  <si>
    <t xml:space="preserve">TRI-REF-DBP-06SEL-S_008-TR_08_04B_SE08</t>
  </si>
  <si>
    <t xml:space="preserve">20984372</t>
  </si>
  <si>
    <t xml:space="preserve">SEL735-TDM-02-01A</t>
  </si>
  <si>
    <t xml:space="preserve">RELEVADOR SEL-735 TDM-02-01 A</t>
  </si>
  <si>
    <t xml:space="preserve">TRI-REF-DBP-06SEL-S_002-TDM02_01_A_SE2</t>
  </si>
  <si>
    <t xml:space="preserve">20984373</t>
  </si>
  <si>
    <t xml:space="preserve">SEL735-TDM-02-01B</t>
  </si>
  <si>
    <t xml:space="preserve">RELEVADOR SEL-735 TDM-02-01 B</t>
  </si>
  <si>
    <t xml:space="preserve">TRI-REF-DBP-06SEL-S_002-TDM02_01_B_SE2</t>
  </si>
  <si>
    <t xml:space="preserve">20984374</t>
  </si>
  <si>
    <t xml:space="preserve">SEL735-TDMT-08-01A</t>
  </si>
  <si>
    <t xml:space="preserve">RELEVADOR SEL-735 TDMT-08-01 A</t>
  </si>
  <si>
    <t xml:space="preserve">TRI-REF-DBP-06SEL-S_008-TDMT0801_A_SE08</t>
  </si>
  <si>
    <t xml:space="preserve">20984375</t>
  </si>
  <si>
    <t xml:space="preserve">SEL735-TDMT-08-01B</t>
  </si>
  <si>
    <t xml:space="preserve">RELEVADOR SEL-735 TDMT-08-01 B</t>
  </si>
  <si>
    <t xml:space="preserve">TRI-REF-DBP-06SEL-S_008-TDMT0801_B_SE08</t>
  </si>
  <si>
    <t xml:space="preserve">20984376</t>
  </si>
  <si>
    <t xml:space="preserve">SEL735-TDMT-09-01A</t>
  </si>
  <si>
    <t xml:space="preserve">RELEVADOR SEL-735 TDMT-09-01 A</t>
  </si>
  <si>
    <t xml:space="preserve">TRI-REF-DBP-06SEL-S_009-TDMT0901_A_SE09</t>
  </si>
  <si>
    <t xml:space="preserve">20984377</t>
  </si>
  <si>
    <t xml:space="preserve">SEL735-TDMT-09-01B</t>
  </si>
  <si>
    <t xml:space="preserve">RELEVADOR SEL-735 TDMT-09-01 B</t>
  </si>
  <si>
    <t xml:space="preserve">TRI-REF-DBP-06SEL-S_009-TDMT0901_B_SE09</t>
  </si>
  <si>
    <t xml:space="preserve">20984378</t>
  </si>
  <si>
    <t xml:space="preserve">SEL735-TR-08-01A</t>
  </si>
  <si>
    <t xml:space="preserve">RELEVADOR SEL-735 TR-08-01 A</t>
  </si>
  <si>
    <t xml:space="preserve">TRI-REF-DBP-06SEL-S_008-TR_08_01A_SE08</t>
  </si>
  <si>
    <t xml:space="preserve">20984379</t>
  </si>
  <si>
    <t xml:space="preserve">SEL735-TR-08-01B</t>
  </si>
  <si>
    <t xml:space="preserve">RELEVADOR SEL-735 TR-08-01 B</t>
  </si>
  <si>
    <t xml:space="preserve">TRI-REF-DBP-06SEL-S_008-TR_08_01B_SE08</t>
  </si>
  <si>
    <t xml:space="preserve">20984380</t>
  </si>
  <si>
    <t xml:space="preserve">SEL735-TR-08-02A</t>
  </si>
  <si>
    <t xml:space="preserve">RELEVADOR SEL-735 TR-08-02 A</t>
  </si>
  <si>
    <t xml:space="preserve">TRI-REF-DBP-06SEL-S_008-TR_08_02A_SE08</t>
  </si>
  <si>
    <t xml:space="preserve">20984381</t>
  </si>
  <si>
    <t xml:space="preserve">SEL-735-TR-08-02B</t>
  </si>
  <si>
    <t xml:space="preserve">RELEVADOR SEL-735 TR-08-02 B</t>
  </si>
  <si>
    <t xml:space="preserve">TRI-REF-DBP-06SEL-S_008-TR_08_02B_SE08</t>
  </si>
  <si>
    <t xml:space="preserve">20984382</t>
  </si>
  <si>
    <t xml:space="preserve">SEL735-TR-08-03A</t>
  </si>
  <si>
    <t xml:space="preserve">RELEVADOR SEL-735 TR-08-03 A</t>
  </si>
  <si>
    <t xml:space="preserve">TRI-REF-DBP-06SEL-S_008-TR_08_03A_SE08</t>
  </si>
  <si>
    <t xml:space="preserve">20984383</t>
  </si>
  <si>
    <t xml:space="preserve">SEL735-TR-08-03B</t>
  </si>
  <si>
    <t xml:space="preserve">RELEVADOR SEL-735 TR-08-03 B</t>
  </si>
  <si>
    <t xml:space="preserve">TRI-REF-DBP-06SEL-S_008-TR_08_03B_SE08</t>
  </si>
  <si>
    <t xml:space="preserve">20984384</t>
  </si>
  <si>
    <t xml:space="preserve">SEL735-TR-09-01A</t>
  </si>
  <si>
    <t xml:space="preserve">RELEVADOR SEL-735 TR-09-01 A</t>
  </si>
  <si>
    <t xml:space="preserve">TRI-REF-DBP-06SEL-S_009-TR_09_01A_SE09</t>
  </si>
  <si>
    <t xml:space="preserve">20984385</t>
  </si>
  <si>
    <t xml:space="preserve">SEL735-TR-09-02A</t>
  </si>
  <si>
    <t xml:space="preserve">RELEVADOR SEL-735 TR-09-02 A</t>
  </si>
  <si>
    <t xml:space="preserve">TRI-REF-DBP-06SEL-S_009-TR_09_02A_SE09</t>
  </si>
  <si>
    <t xml:space="preserve">20984386</t>
  </si>
  <si>
    <t xml:space="preserve">SEL735-TR-09-02B</t>
  </si>
  <si>
    <t xml:space="preserve">RELEVADOR SEL-735 TR-09-02 B</t>
  </si>
  <si>
    <t xml:space="preserve">TRI-REF-DBP-06SEL-S_009-TR_09_02B_SE09</t>
  </si>
  <si>
    <t xml:space="preserve">20984387</t>
  </si>
  <si>
    <t xml:space="preserve">SEL735-TR-09-03A</t>
  </si>
  <si>
    <t xml:space="preserve">RELEVADOR SEL-735 TR-09-03 A</t>
  </si>
  <si>
    <t xml:space="preserve">TRI-REF-DBP-06SEL-S_009-TR_09_03A_SE09</t>
  </si>
  <si>
    <t xml:space="preserve">20984388</t>
  </si>
  <si>
    <t xml:space="preserve">SEL735-TR-09-03B</t>
  </si>
  <si>
    <t xml:space="preserve">RELEVADOR SEL-735 TR-09-03 B</t>
  </si>
  <si>
    <t xml:space="preserve">TRI-REF-DBP-06SEL-S_009-TR_09_03B_SE09</t>
  </si>
  <si>
    <t xml:space="preserve">20984389</t>
  </si>
  <si>
    <t xml:space="preserve">SEL735-TR-09-01B</t>
  </si>
  <si>
    <t xml:space="preserve">RELEVADOR SEL-735 TTR-09-01 B</t>
  </si>
  <si>
    <t xml:space="preserve">TRI-REF-DBP-06SEL-S_009-TR_09_01B_SE09</t>
  </si>
  <si>
    <t xml:space="preserve">20987453</t>
  </si>
  <si>
    <t xml:space="preserve">20987454</t>
  </si>
  <si>
    <t xml:space="preserve">REF-615-IV14</t>
  </si>
  <si>
    <t xml:space="preserve">RELEVADOR REF-615-IV14</t>
  </si>
  <si>
    <t xml:space="preserve">20987461</t>
  </si>
  <si>
    <t xml:space="preserve">REA 105-TR-12-07</t>
  </si>
  <si>
    <t xml:space="preserve">RELEVADOR REA 105-TR-12-07</t>
  </si>
  <si>
    <t xml:space="preserve">TRI-REF-DBP-01SEL-S_012-TR_12_07_SE_12</t>
  </si>
  <si>
    <t xml:space="preserve">20987462</t>
  </si>
  <si>
    <t xml:space="preserve">REA 103-TR-12-07</t>
  </si>
  <si>
    <t xml:space="preserve">RELEVADOR REA 103-TR-12-07</t>
  </si>
  <si>
    <t xml:space="preserve">20987463</t>
  </si>
  <si>
    <t xml:space="preserve">REF-615-TR-12-07</t>
  </si>
  <si>
    <t xml:space="preserve">RELEVADOR REF-615-TR-12-07</t>
  </si>
  <si>
    <t xml:space="preserve">20987464</t>
  </si>
  <si>
    <t xml:space="preserve">TRI-REF-DBP-01SEL-S_012-TDM12_01_B_SE12</t>
  </si>
  <si>
    <t xml:space="preserve">20987465</t>
  </si>
  <si>
    <t xml:space="preserve">20987466</t>
  </si>
  <si>
    <t xml:space="preserve">REF-615-IV-2 BUS B TDM12</t>
  </si>
  <si>
    <t xml:space="preserve">RELEVADOR REF-615-IV-2 BUS B TDM12</t>
  </si>
  <si>
    <t xml:space="preserve">20987467</t>
  </si>
  <si>
    <t xml:space="preserve">SEL-735-IV-2 BUS B TDM12</t>
  </si>
  <si>
    <t xml:space="preserve">RELEVADOR SEL-735-IV-2 BUS B TDM12</t>
  </si>
  <si>
    <t xml:space="preserve">20987468</t>
  </si>
  <si>
    <t xml:space="preserve">20987469</t>
  </si>
  <si>
    <t xml:space="preserve">REF-615-IV-3 ENLACE TDM12</t>
  </si>
  <si>
    <t xml:space="preserve">RELEVADOR REF-615-IV-3 ENLACE TDM12</t>
  </si>
  <si>
    <t xml:space="preserve">20987470</t>
  </si>
  <si>
    <t xml:space="preserve">20990583</t>
  </si>
  <si>
    <t xml:space="preserve">REF615 CCM-06-01 A</t>
  </si>
  <si>
    <t xml:space="preserve">RELEVADOR REF-615 CCM-06-01 A</t>
  </si>
  <si>
    <t xml:space="preserve">TRI-REF-DBP-05SEL-S_006-CCM06_01_A_SE06</t>
  </si>
  <si>
    <t xml:space="preserve">SECTOR05</t>
  </si>
  <si>
    <t xml:space="preserve">20990584</t>
  </si>
  <si>
    <t xml:space="preserve">SHAR-K250 CCM-06-01 A</t>
  </si>
  <si>
    <t xml:space="preserve">RELEVADOR SHARK-250 CCM-06-01 A</t>
  </si>
  <si>
    <t xml:space="preserve">PC06</t>
  </si>
  <si>
    <t xml:space="preserve">20990585</t>
  </si>
  <si>
    <t xml:space="preserve">REF-615 CCM-06-01 B</t>
  </si>
  <si>
    <t xml:space="preserve">RELEVADOR REF-615 CCM-06-01 B</t>
  </si>
  <si>
    <t xml:space="preserve">TRI-REF-DBP-05SEL-S_006-CCM06_01_B_SE06</t>
  </si>
  <si>
    <t xml:space="preserve">20990586</t>
  </si>
  <si>
    <t xml:space="preserve">SHAR-K250 CCM-06-01 B</t>
  </si>
  <si>
    <t xml:space="preserve">RELEVADOR SHARK-250 CCM-06-01 B</t>
  </si>
  <si>
    <t xml:space="preserve">20990587</t>
  </si>
  <si>
    <t xml:space="preserve">REF-615 61 CCM-06-02 A</t>
  </si>
  <si>
    <t xml:space="preserve">RELEVADOR REF-615 61 CCM-06-02 A</t>
  </si>
  <si>
    <t xml:space="preserve">TRI-REF-DBP-05SEL-S_006-CCM06_02_A_SE06</t>
  </si>
  <si>
    <t xml:space="preserve">20990588</t>
  </si>
  <si>
    <t xml:space="preserve">REF-615 CCM-06-02 AB</t>
  </si>
  <si>
    <t xml:space="preserve">RELEVADOR REF-615 CCM-06-02 AB</t>
  </si>
  <si>
    <t xml:space="preserve">20990589</t>
  </si>
  <si>
    <t xml:space="preserve">SHARK-250 CCM-06-02 A</t>
  </si>
  <si>
    <t xml:space="preserve">RELEVADOR SHARK-250 CCM-06-02 A</t>
  </si>
  <si>
    <t xml:space="preserve">20990590</t>
  </si>
  <si>
    <t xml:space="preserve">REF-615 CCM-06-02 B</t>
  </si>
  <si>
    <t xml:space="preserve">RELEVADOR REF-615 CCM-06-02 B</t>
  </si>
  <si>
    <t xml:space="preserve">TRI-REF-DBP-05SEL-S_006-CCM06_02_B_SE06</t>
  </si>
  <si>
    <t xml:space="preserve">20990591</t>
  </si>
  <si>
    <t xml:space="preserve">SHARK-250 CCM-06-02 B</t>
  </si>
  <si>
    <t xml:space="preserve">RELEVADOR SHARK-250 CCM-06-02 B</t>
  </si>
  <si>
    <t xml:space="preserve">20990592</t>
  </si>
  <si>
    <t xml:space="preserve">REF-615 CCM-06-03 A</t>
  </si>
  <si>
    <t xml:space="preserve">RELEVADOR REF-615 CCM-06-03 A</t>
  </si>
  <si>
    <t xml:space="preserve">TRI-REF-DBP-05SEL-S_006-CCM06_03_A_SE06</t>
  </si>
  <si>
    <t xml:space="preserve">20990593</t>
  </si>
  <si>
    <t xml:space="preserve">REF-615 CCM-06-03 AB</t>
  </si>
  <si>
    <t xml:space="preserve">RELEVADOR REF-615 CCM-06-03 AB</t>
  </si>
  <si>
    <t xml:space="preserve">20990594</t>
  </si>
  <si>
    <t xml:space="preserve">SHARK-250 CCM-06-03 A</t>
  </si>
  <si>
    <t xml:space="preserve">RELEVADOR SHAR-K250 CCM-06-03 A</t>
  </si>
  <si>
    <t xml:space="preserve">20990595</t>
  </si>
  <si>
    <t xml:space="preserve">REF-615 CCM-06-03 B</t>
  </si>
  <si>
    <t xml:space="preserve">RELEVADOR REF-615 CCM-06-03 B</t>
  </si>
  <si>
    <t xml:space="preserve">TRI-REF-DBP-05SEL-S_006-CCM06_03_B_SE06</t>
  </si>
  <si>
    <t xml:space="preserve">20990596</t>
  </si>
  <si>
    <t xml:space="preserve">SHARK-250 CCM-06-03 B</t>
  </si>
  <si>
    <t xml:space="preserve">RELEVADOR SHARK-250 CCM-06-03 B</t>
  </si>
  <si>
    <t xml:space="preserve">20990619</t>
  </si>
  <si>
    <t xml:space="preserve">REA-101 TDM-06-01 A</t>
  </si>
  <si>
    <t xml:space="preserve">RELEVADOR  REA-101 TDM-06-01 A</t>
  </si>
  <si>
    <t xml:space="preserve">TRI-REF-DBP-05SEL-S_006-TDM06_01_A_SE06</t>
  </si>
  <si>
    <t xml:space="preserve">20990620</t>
  </si>
  <si>
    <t xml:space="preserve">REF-615 TDM-06-01 A</t>
  </si>
  <si>
    <t xml:space="preserve">RELEVADOR  REF-615 TDM-06-01 A</t>
  </si>
  <si>
    <t xml:space="preserve">20990621</t>
  </si>
  <si>
    <t xml:space="preserve">REF-615 TDM-06-01 AB</t>
  </si>
  <si>
    <t xml:space="preserve">RELEVADOR  REF-615 TDM-06-01 AB</t>
  </si>
  <si>
    <t xml:space="preserve">20990622</t>
  </si>
  <si>
    <t xml:space="preserve">SEL-735 TDM-06-01 A</t>
  </si>
  <si>
    <t xml:space="preserve">RELEVADOR SEL-735 TDM-06-01 A</t>
  </si>
  <si>
    <t xml:space="preserve">20990623</t>
  </si>
  <si>
    <t xml:space="preserve">REA-101 TDM-06-01 B</t>
  </si>
  <si>
    <t xml:space="preserve">RELEVADOR  REA-101 TDM-06-01 B</t>
  </si>
  <si>
    <t xml:space="preserve">TRI-REF-DBP-05SEL-S_006-TDM06_01_B_SE06</t>
  </si>
  <si>
    <t xml:space="preserve">20990624</t>
  </si>
  <si>
    <t xml:space="preserve">REF-615 TDM-06-01 B</t>
  </si>
  <si>
    <t xml:space="preserve">RELEVADOR  REF-615 TDM-06-01 B</t>
  </si>
  <si>
    <t xml:space="preserve">20990625</t>
  </si>
  <si>
    <t xml:space="preserve">SEL-735 TDM-06-01 B</t>
  </si>
  <si>
    <t xml:space="preserve">RELEVADOR SEL-735 TDM-06-01 B</t>
  </si>
  <si>
    <t xml:space="preserve">20990628</t>
  </si>
  <si>
    <t xml:space="preserve">REA-101 IP-06-01 A</t>
  </si>
  <si>
    <t xml:space="preserve">RELEVADOR  REA101 IP-06-01 A</t>
  </si>
  <si>
    <t xml:space="preserve">TRI-REF-DBP-05SEL-S_006-TR_06_01_SE06</t>
  </si>
  <si>
    <t xml:space="preserve">20990629</t>
  </si>
  <si>
    <t xml:space="preserve">REF-615 IP-06-01 A</t>
  </si>
  <si>
    <t xml:space="preserve">RELEVADOR  REF615 IP-06-01 A</t>
  </si>
  <si>
    <t xml:space="preserve">20990630</t>
  </si>
  <si>
    <t xml:space="preserve">RET-615 TR-06-01</t>
  </si>
  <si>
    <t xml:space="preserve">RELEVADOR  RET615 TR-06-01</t>
  </si>
  <si>
    <t xml:space="preserve">20990631</t>
  </si>
  <si>
    <t xml:space="preserve">SEL-735 IP-06-01 A</t>
  </si>
  <si>
    <t xml:space="preserve">RELEVADOR SEL735 IP-06-01 A</t>
  </si>
  <si>
    <t xml:space="preserve">20990632</t>
  </si>
  <si>
    <t xml:space="preserve">REA-101 IP-06-01 B</t>
  </si>
  <si>
    <t xml:space="preserve">RELEVADOR  REA-101 IP-06-01 B</t>
  </si>
  <si>
    <t xml:space="preserve">TRI-REF-DBP-05SEL-S_006-TR_06_02_SE06</t>
  </si>
  <si>
    <t xml:space="preserve">20990633</t>
  </si>
  <si>
    <t xml:space="preserve">REF-615 IP-06-01 B</t>
  </si>
  <si>
    <t xml:space="preserve">RELEVADOR  REF-615 IP-06-01 B</t>
  </si>
  <si>
    <t xml:space="preserve">20990634</t>
  </si>
  <si>
    <t xml:space="preserve">RET-615 TR-06-02</t>
  </si>
  <si>
    <t xml:space="preserve">RELEVADOR  RET-615 TR-06-02</t>
  </si>
  <si>
    <t xml:space="preserve">20990635</t>
  </si>
  <si>
    <t xml:space="preserve">SEL-735 IP-06-01 B</t>
  </si>
  <si>
    <t xml:space="preserve">RELEVADOR SEL-735 IP-06-01 B</t>
  </si>
  <si>
    <t xml:space="preserve">20990636</t>
  </si>
  <si>
    <t xml:space="preserve">REF-615 TR-06-03</t>
  </si>
  <si>
    <t xml:space="preserve">RELEVADOR  REF-615 TR-06-03</t>
  </si>
  <si>
    <t xml:space="preserve">TRI-REF-DBP-05SEL-S_006-TR_06_03_SE06</t>
  </si>
  <si>
    <t xml:space="preserve">20990637</t>
  </si>
  <si>
    <t xml:space="preserve">REF-615 TR-06-04</t>
  </si>
  <si>
    <t xml:space="preserve">RELEVADOR  REF-615 TR-06-04</t>
  </si>
  <si>
    <t xml:space="preserve">TRI-REF-DBP-05SEL-S_006-TR_06_04_SE06</t>
  </si>
  <si>
    <t xml:space="preserve">20990638</t>
  </si>
  <si>
    <t xml:space="preserve">REF-615 TR-06-05</t>
  </si>
  <si>
    <t xml:space="preserve">RELEVADOR  REF-615 TR-06-05</t>
  </si>
  <si>
    <t xml:space="preserve">TRI-REF-DBP-05SEL-S_006-TR_06_05_SE06</t>
  </si>
  <si>
    <t xml:space="preserve">20990639</t>
  </si>
  <si>
    <t xml:space="preserve">REA-101 TR-06-06</t>
  </si>
  <si>
    <t xml:space="preserve">RELEVADOR  REA-101 TR-06-06</t>
  </si>
  <si>
    <t xml:space="preserve">TRI-REF-DBP-05SEL-S_006-TR_06_06_SE06</t>
  </si>
  <si>
    <t xml:space="preserve">20990640</t>
  </si>
  <si>
    <t xml:space="preserve">REF-615 TR-06-06</t>
  </si>
  <si>
    <t xml:space="preserve">RELEVADOR  REF-615 TR-06-06</t>
  </si>
  <si>
    <t xml:space="preserve">20990641</t>
  </si>
  <si>
    <t xml:space="preserve">REF-615 TR-06-07</t>
  </si>
  <si>
    <t xml:space="preserve">RELEVADOR  REF-615 TR-06-07</t>
  </si>
  <si>
    <t xml:space="preserve">TRI-REF-DBP-05SEL-S_006-TR_06_07_SE06</t>
  </si>
  <si>
    <t xml:space="preserve">20990642</t>
  </si>
  <si>
    <t xml:space="preserve">REF-615 TR-06-08</t>
  </si>
  <si>
    <t xml:space="preserve">RELEVADOR  REF-615 TR-06-08</t>
  </si>
  <si>
    <t xml:space="preserve">TRI-REF-DBP-05SEL-S_006-TR_06_08_SE06</t>
  </si>
  <si>
    <t xml:space="preserve">20990643</t>
  </si>
  <si>
    <t xml:space="preserve">SEL-735 TDB-06-01 A</t>
  </si>
  <si>
    <t xml:space="preserve">RELEVADOR SEL-735 TDB-06-01 A</t>
  </si>
  <si>
    <t xml:space="preserve">TRI-REF-DBP-05SEL-S_006-TR_06_09_SE06</t>
  </si>
  <si>
    <t xml:space="preserve">20990644</t>
  </si>
  <si>
    <t xml:space="preserve">SEL-735 TDB-06-01 B</t>
  </si>
  <si>
    <t xml:space="preserve">RELEVADOR SEL-735 TDB-06-01 B</t>
  </si>
  <si>
    <t xml:space="preserve">TRI-REF-DBP-05SEL-S_006-TR_06_10_SE06</t>
  </si>
  <si>
    <t xml:space="preserve">20990645</t>
  </si>
  <si>
    <t xml:space="preserve">REF-615 TR-06-13</t>
  </si>
  <si>
    <t xml:space="preserve">RELEVADOR  REF-615 TR-06-13</t>
  </si>
  <si>
    <t xml:space="preserve">TRI-REF-DBP-05SEL-S_006-TR_06_13_SE06</t>
  </si>
  <si>
    <t xml:space="preserve">20990646</t>
  </si>
  <si>
    <t xml:space="preserve">SEL-735 TDB-06-02</t>
  </si>
  <si>
    <t xml:space="preserve">RELEVADOR SEL-735 TDB-06-02</t>
  </si>
  <si>
    <t xml:space="preserve">20990582</t>
  </si>
  <si>
    <t xml:space="preserve">REF-615 CCM-06-01 AB</t>
  </si>
  <si>
    <t xml:space="preserve">RELEVADOR REF-615 CCM-06-01</t>
  </si>
  <si>
    <t xml:space="preserve">20987542</t>
  </si>
  <si>
    <t xml:space="preserve">REA-103-IP-121-01B</t>
  </si>
  <si>
    <t xml:space="preserve">RELEVADOR REA-103-IP-121-01B</t>
  </si>
  <si>
    <t xml:space="preserve">20987543</t>
  </si>
  <si>
    <t xml:space="preserve">REA-105-IP-121-01B</t>
  </si>
  <si>
    <t xml:space="preserve">RELEVADOR REA-105-IP-121-01B</t>
  </si>
  <si>
    <t xml:space="preserve">20987544</t>
  </si>
  <si>
    <t xml:space="preserve">REF-615-IP-121-01B</t>
  </si>
  <si>
    <t xml:space="preserve">RELEVADOR REF-615-IP-121-01B</t>
  </si>
  <si>
    <t xml:space="preserve">20987545</t>
  </si>
  <si>
    <t xml:space="preserve">REF-615-CCM-12-01A</t>
  </si>
  <si>
    <t xml:space="preserve">RELEVADOR REF-615-IE-1 CCM-12-01 A</t>
  </si>
  <si>
    <t xml:space="preserve">TRI-REF-DBP-01SEL-S_012-CCM12_01_A_SE12</t>
  </si>
  <si>
    <t xml:space="preserve">20987546</t>
  </si>
  <si>
    <t xml:space="preserve">REF-615-CCM-12-01B</t>
  </si>
  <si>
    <t xml:space="preserve">RELEVADOR REF-615-IE-2 CCM-12-01 B</t>
  </si>
  <si>
    <t xml:space="preserve">TRI-REF-DBP-01SEL-S_012-CCM12_01_B_SE12</t>
  </si>
  <si>
    <t xml:space="preserve">20987547</t>
  </si>
  <si>
    <t xml:space="preserve">REF-615-CCM-12-01E</t>
  </si>
  <si>
    <t xml:space="preserve">RELEVADOR REF-615-IE-3 CCM-12-01 E</t>
  </si>
  <si>
    <t xml:space="preserve">20987548</t>
  </si>
  <si>
    <t xml:space="preserve">REF-615-CCM-12-02A</t>
  </si>
  <si>
    <t xml:space="preserve">RELEVADOR REF-615-IE-1 CCM-12-02 A</t>
  </si>
  <si>
    <t xml:space="preserve">TRI-REF-DBP-01SEL-S_012-CCM12_02_A_SE12</t>
  </si>
  <si>
    <t xml:space="preserve">20987549</t>
  </si>
  <si>
    <t xml:space="preserve">REF-615-CCM-12-02B</t>
  </si>
  <si>
    <t xml:space="preserve">RELEVADOR REF-615-IE-2 CCM-12-02 B</t>
  </si>
  <si>
    <t xml:space="preserve">TRI-REF-DBP-01SEL-S_012-CCM12_02_B_SE12</t>
  </si>
  <si>
    <t xml:space="preserve">20987550</t>
  </si>
  <si>
    <t xml:space="preserve">REF-615-CCM-12-02E</t>
  </si>
  <si>
    <t xml:space="preserve">RELEVADOR REF-615-IE-3 CCM-12-02 E</t>
  </si>
  <si>
    <t xml:space="preserve">20987551</t>
  </si>
  <si>
    <t xml:space="preserve">REF-615-CCM-12-03A</t>
  </si>
  <si>
    <t xml:space="preserve">RELEVADOR REF-615-IE-1 CCM-12-03 A</t>
  </si>
  <si>
    <t xml:space="preserve">TRI-REF-DBP-01SEL-S_012-CCM12_03_A_SE12</t>
  </si>
  <si>
    <t xml:space="preserve">20987552</t>
  </si>
  <si>
    <t xml:space="preserve">REF-615-CCM-12-03B</t>
  </si>
  <si>
    <t xml:space="preserve">RELEVADOR REF-615-IE-2 CCM-12-03 B</t>
  </si>
  <si>
    <t xml:space="preserve">TRI-REF-DBP-01SEL-S_012-CCM12_03_B_SE12</t>
  </si>
  <si>
    <t xml:space="preserve">20987553</t>
  </si>
  <si>
    <t xml:space="preserve">REF-615-CCM-12-03E</t>
  </si>
  <si>
    <t xml:space="preserve">RELEVADOR REF-615-IE-3 CCM-12-03 E</t>
  </si>
  <si>
    <t xml:space="preserve">20987554</t>
  </si>
  <si>
    <t xml:space="preserve">SEL-375-TDB-12-01A</t>
  </si>
  <si>
    <t xml:space="preserve">RELEVADOR SEL-735-IE-1 TDB-12-01 A</t>
  </si>
  <si>
    <t xml:space="preserve">TRI-REF-DBP-01SEL-S_012-TR_12_21_SE12</t>
  </si>
  <si>
    <t xml:space="preserve">20987555</t>
  </si>
  <si>
    <t xml:space="preserve">SEL-375-TDB-12-01B</t>
  </si>
  <si>
    <t xml:space="preserve">RELEVADOR SEL-735-IE-2 TDB-12-01 B</t>
  </si>
  <si>
    <t xml:space="preserve">TRI-REF-DBP-01SEL-S_012-TR_12_22_SE12</t>
  </si>
  <si>
    <t xml:space="preserve">20987556</t>
  </si>
  <si>
    <t xml:space="preserve">SEL-375-TDB-12-01E</t>
  </si>
  <si>
    <t xml:space="preserve">RELEVADOR SEL-735-IE-3 TDB-12-01 E</t>
  </si>
  <si>
    <t xml:space="preserve">20987557</t>
  </si>
  <si>
    <t xml:space="preserve">SEL-375-TDB-121-01A</t>
  </si>
  <si>
    <t xml:space="preserve">RELEVADOR SEL-735-IE-1 TDB-121-01 A</t>
  </si>
  <si>
    <t xml:space="preserve">20987558</t>
  </si>
  <si>
    <t xml:space="preserve">SEL-375-TDB-121-01B</t>
  </si>
  <si>
    <t xml:space="preserve">RELEVADOR SEL-735-IE-2 TDB-121-01 B</t>
  </si>
  <si>
    <t xml:space="preserve">20987559</t>
  </si>
  <si>
    <t xml:space="preserve">SEL-375-TDB-121-01E</t>
  </si>
  <si>
    <t xml:space="preserve">RELEVADOR SEL-735-IE-3 TDB-121-01 E</t>
  </si>
  <si>
    <t xml:space="preserve">20989822</t>
  </si>
  <si>
    <t xml:space="preserve">7SR1502  21-BC-201 A</t>
  </si>
  <si>
    <t xml:space="preserve">RELEVADOR SIEMENS-7SR1502   21-BC-201 A</t>
  </si>
  <si>
    <t xml:space="preserve">TRI-REF-DBP-03SEL-S_007-21_BC_201A_SE07</t>
  </si>
  <si>
    <t xml:space="preserve">115.0 V</t>
  </si>
  <si>
    <t xml:space="preserve">20989823</t>
  </si>
  <si>
    <t xml:space="preserve">7SR1502  21-BC-201 B</t>
  </si>
  <si>
    <t xml:space="preserve">RELEVADOR SIEMENS-7SR1502   21-BC-201 B</t>
  </si>
  <si>
    <t xml:space="preserve">TRI-REF-DBP-03SEL-S_007-21_BC_201B_SE07</t>
  </si>
  <si>
    <t xml:space="preserve">20989824</t>
  </si>
  <si>
    <t xml:space="preserve">SEL-735 BC-14-01</t>
  </si>
  <si>
    <t xml:space="preserve">RELEVADOR SEL-735 BC-14-01</t>
  </si>
  <si>
    <t xml:space="preserve">TRI-REF-DBP-03SEL-S_014-BC_14_01_SE_14</t>
  </si>
  <si>
    <t xml:space="preserve">110.0 V</t>
  </si>
  <si>
    <t xml:space="preserve">20989825</t>
  </si>
  <si>
    <t xml:space="preserve">SEL-751A BC-14-01</t>
  </si>
  <si>
    <t xml:space="preserve">RELEVADOR SEL-751A BC-14-01</t>
  </si>
  <si>
    <t xml:space="preserve">20989826</t>
  </si>
  <si>
    <t xml:space="preserve">SEL-735 BC-14-02</t>
  </si>
  <si>
    <t xml:space="preserve">RELEVADOR SEL-735 BC-14-02</t>
  </si>
  <si>
    <t xml:space="preserve">TRI-REF-DBP-03SEL-S_014-BC_14_02_SE_14</t>
  </si>
  <si>
    <t xml:space="preserve">20989827</t>
  </si>
  <si>
    <t xml:space="preserve">SEL-751A BC-14-02</t>
  </si>
  <si>
    <t xml:space="preserve">RELEVADOR SEL-751A BC-14-02</t>
  </si>
  <si>
    <t xml:space="preserve">20989839</t>
  </si>
  <si>
    <t xml:space="preserve">REF615-BC-02-01</t>
  </si>
  <si>
    <t xml:space="preserve">RELEVADOR REF-615 BC-02-01</t>
  </si>
  <si>
    <t xml:space="preserve">TRI-REF-DBP-06SEL-S_002-BC_02_01_SE2</t>
  </si>
  <si>
    <t xml:space="preserve">20989840</t>
  </si>
  <si>
    <t xml:space="preserve">REF615-BC-02-02</t>
  </si>
  <si>
    <t xml:space="preserve">RELEVADOR REF-615 BC-02-02</t>
  </si>
  <si>
    <t xml:space="preserve">TRI-REF-DBP-06SEL-S_002-BC_02_02_SE2</t>
  </si>
  <si>
    <t xml:space="preserve">20989864</t>
  </si>
  <si>
    <t xml:space="preserve">REF615-BC-09-01A</t>
  </si>
  <si>
    <t xml:space="preserve">RELEVADOR REF-615 BC-09-01 A</t>
  </si>
  <si>
    <t xml:space="preserve">TRI-REF-DBP-06SEL-S_009-BC_09_01A_SE09</t>
  </si>
  <si>
    <t xml:space="preserve">20989865</t>
  </si>
  <si>
    <t xml:space="preserve">SEL735-BC-09-01A</t>
  </si>
  <si>
    <t xml:space="preserve">RELEVADOR SEL-735 BC-09-01 A</t>
  </si>
  <si>
    <t xml:space="preserve">20990479</t>
  </si>
  <si>
    <t xml:space="preserve">SEL-735 BC-23-01-SE23</t>
  </si>
  <si>
    <t xml:space="preserve">RELEVADOR SEL-735 BC-23-01-SE23</t>
  </si>
  <si>
    <t xml:space="preserve">TRI-REF-DBP-04SEL-S_023-BC_23_01_SE23</t>
  </si>
  <si>
    <t xml:space="preserve">20990480</t>
  </si>
  <si>
    <t xml:space="preserve">SEL-751A BC-23-01-SE23</t>
  </si>
  <si>
    <t xml:space="preserve">RELEVADOR SEL-751A BC-23-01-SE23</t>
  </si>
  <si>
    <t xml:space="preserve">20990481</t>
  </si>
  <si>
    <t xml:space="preserve">SEL-735 BC-23-02-SE23</t>
  </si>
  <si>
    <t xml:space="preserve">RELEVADOR SEL-735 BC-23-02-SE23</t>
  </si>
  <si>
    <t xml:space="preserve">TRI-REF-DBP-04SEL-S_023-BC_23_02_SE23</t>
  </si>
  <si>
    <t xml:space="preserve">20990482</t>
  </si>
  <si>
    <t xml:space="preserve">SEL-751A BC-23-02-SE23</t>
  </si>
  <si>
    <t xml:space="preserve">RELEVADOR SEL-751A BC-23-02-SE23</t>
  </si>
  <si>
    <t xml:space="preserve">20990483</t>
  </si>
  <si>
    <t xml:space="preserve">7SR1205 40-BC-201A-SE24</t>
  </si>
  <si>
    <t xml:space="preserve">RELEVADOR 7SR1205 40-BC-201A-SE24</t>
  </si>
  <si>
    <t xml:space="preserve">TRI-REF-DBP-04SEL-S_024-40_BC_201A_SE24</t>
  </si>
  <si>
    <t xml:space="preserve">20990484</t>
  </si>
  <si>
    <t xml:space="preserve">7SR1205 40-BC-201B-SE24</t>
  </si>
  <si>
    <t xml:space="preserve">RELEVADOR 7SR1205 40-BC-201B-SE24</t>
  </si>
  <si>
    <t xml:space="preserve">TRI-REF-DBP-04SEL-S_024-40_BC_201B_SE24</t>
  </si>
  <si>
    <t xml:space="preserve">20990485</t>
  </si>
  <si>
    <t xml:space="preserve">7SR1205 51-BC-201A-SE26</t>
  </si>
  <si>
    <t xml:space="preserve">RELEVADOR 7SR1205 51-BC-201A-SE26</t>
  </si>
  <si>
    <t xml:space="preserve">TRI-REF-DBP-04SEL-S_026-51_BC_201A_SE26</t>
  </si>
  <si>
    <t xml:space="preserve">20990486</t>
  </si>
  <si>
    <t xml:space="preserve">7SR1205 51-BC-201B-SE26</t>
  </si>
  <si>
    <t xml:space="preserve">RELEVADOR 7SR1205 51-BC-201B-SE26</t>
  </si>
  <si>
    <t xml:space="preserve">TRI-REF-DBP-04SEL-S_026-51_BC_201B_SE26</t>
  </si>
  <si>
    <t xml:space="preserve">20990487</t>
  </si>
  <si>
    <t xml:space="preserve">7SR1205 52-BC-201A-SE27</t>
  </si>
  <si>
    <t xml:space="preserve">RELEVADOR 7SR1205 52-BC-201A-SE27</t>
  </si>
  <si>
    <t xml:space="preserve">TRI-REF-DBP-04SEL-S_027-52_BC_201A_SE27</t>
  </si>
  <si>
    <t xml:space="preserve">20990488</t>
  </si>
  <si>
    <t xml:space="preserve">7SR1205 52-BC-201B-SE27</t>
  </si>
  <si>
    <t xml:space="preserve">RELEVADOR 7SR1205 52-BC-201B-SE27</t>
  </si>
  <si>
    <t xml:space="preserve">TRI-REF-DBP-04SEL-S_027-52_BC_201B_SE27</t>
  </si>
  <si>
    <t xml:space="preserve">20990580</t>
  </si>
  <si>
    <t xml:space="preserve">REF-615 BC-06-01</t>
  </si>
  <si>
    <t xml:space="preserve">RELEVADOR  REF-615 BC-06-01</t>
  </si>
  <si>
    <t xml:space="preserve">TRI-REF-DBP-05SEL-S_006-BC_06_01_SE06</t>
  </si>
  <si>
    <t xml:space="preserve">20990581</t>
  </si>
  <si>
    <t xml:space="preserve">REF-615 BC-06-02</t>
  </si>
  <si>
    <t xml:space="preserve">RELEVADOR  REF-615 BC-06-02</t>
  </si>
  <si>
    <t xml:space="preserve">TRI-REF-DBP-05SEL-S_006-BC_06_02_SE06</t>
  </si>
  <si>
    <t xml:space="preserve">20984357</t>
  </si>
  <si>
    <t xml:space="preserve">SEL735-CCM-02-01B</t>
  </si>
  <si>
    <t xml:space="preserve">RELEVADOR SEL-735 CCM-02-01 B</t>
  </si>
  <si>
    <t xml:space="preserve">TRI-REF-DBP-06SEL-S_002-CCM02_01_B_SE2</t>
  </si>
  <si>
    <t xml:space="preserve">20977830</t>
  </si>
  <si>
    <t xml:space="preserve">T60T-TR-GTG1</t>
  </si>
  <si>
    <t xml:space="preserve">RELEVADOR T60T-TR-GTG1</t>
  </si>
  <si>
    <t xml:space="preserve">20977831</t>
  </si>
  <si>
    <t xml:space="preserve">T60ET-11-MKC10</t>
  </si>
  <si>
    <t xml:space="preserve">RELEVADOR T60ET-11-MKC10</t>
  </si>
  <si>
    <t xml:space="preserve">20977832</t>
  </si>
  <si>
    <t xml:space="preserve">G60B-TG10200</t>
  </si>
  <si>
    <t xml:space="preserve">RELEVADOR G60B-TG10200</t>
  </si>
  <si>
    <t xml:space="preserve">20977833</t>
  </si>
  <si>
    <t xml:space="preserve">T60AT-TR-AUX-GTG2</t>
  </si>
  <si>
    <t xml:space="preserve">RELEVADOR T60AT-TR-AUX-GTG2</t>
  </si>
  <si>
    <t xml:space="preserve">20977834</t>
  </si>
  <si>
    <t xml:space="preserve">T60U-TG10200</t>
  </si>
  <si>
    <t xml:space="preserve">RELEVADOR T60U-TG10200</t>
  </si>
  <si>
    <t xml:space="preserve">20977835</t>
  </si>
  <si>
    <t xml:space="preserve">G60A-TG10200</t>
  </si>
  <si>
    <t xml:space="preserve">RELEVADOR G60A-TG10200</t>
  </si>
  <si>
    <t xml:space="preserve">20977836</t>
  </si>
  <si>
    <t xml:space="preserve">T60T-TR-GTG2</t>
  </si>
  <si>
    <t xml:space="preserve">RELEVADOR T60T-TR-GTG2</t>
  </si>
  <si>
    <t xml:space="preserve">20977837</t>
  </si>
  <si>
    <t xml:space="preserve">T60ET-12MKC10</t>
  </si>
  <si>
    <t xml:space="preserve">RELEVADOR T60ET-12MKC10</t>
  </si>
  <si>
    <t xml:space="preserve">20977838</t>
  </si>
  <si>
    <t xml:space="preserve">G60B-TG10300</t>
  </si>
  <si>
    <t xml:space="preserve">RELEVADOR G60B-TG10300</t>
  </si>
  <si>
    <t xml:space="preserve">20977839</t>
  </si>
  <si>
    <t xml:space="preserve">T60AT-TR-AUX-GTG3</t>
  </si>
  <si>
    <t xml:space="preserve">RELEVADOR T60AT-TR-AUX-GTG3</t>
  </si>
  <si>
    <t xml:space="preserve">20977840</t>
  </si>
  <si>
    <t xml:space="preserve">T60U-TG10300</t>
  </si>
  <si>
    <t xml:space="preserve">RELEVADOR T60U-TG10300</t>
  </si>
  <si>
    <t xml:space="preserve">20977841</t>
  </si>
  <si>
    <t xml:space="preserve">G60A-TG10300</t>
  </si>
  <si>
    <t xml:space="preserve">RELEVADOR G60A-TG10300</t>
  </si>
  <si>
    <t xml:space="preserve">20977842</t>
  </si>
  <si>
    <t xml:space="preserve">T60T-TR-GTG3</t>
  </si>
  <si>
    <t xml:space="preserve">RELEVADOR T60T-TR-GTG3</t>
  </si>
  <si>
    <t xml:space="preserve">20977843</t>
  </si>
  <si>
    <t xml:space="preserve">T60ET-13MKC10</t>
  </si>
  <si>
    <t xml:space="preserve">RELEVADOR T60ET-13MKC10</t>
  </si>
  <si>
    <t xml:space="preserve">20977844</t>
  </si>
  <si>
    <t xml:space="preserve">G60B-STG1</t>
  </si>
  <si>
    <t xml:space="preserve">RELEVADOR G60B-STG1</t>
  </si>
  <si>
    <t xml:space="preserve">TRI-REF-DBP-08COG-SGELE-TG_10400</t>
  </si>
  <si>
    <t xml:space="preserve">20977845</t>
  </si>
  <si>
    <t xml:space="preserve">G60A-STG1</t>
  </si>
  <si>
    <t xml:space="preserve">RELEVADOR G60A-STG1</t>
  </si>
  <si>
    <t xml:space="preserve">20977846</t>
  </si>
  <si>
    <t xml:space="preserve">7SR5111-IP-18-01</t>
  </si>
  <si>
    <t xml:space="preserve">RELEVADOR 7SR5111-IP-18-01</t>
  </si>
  <si>
    <t xml:space="preserve">TRI-REF-DBP-08SEL-S_018-TR_18_01_SE18</t>
  </si>
  <si>
    <t xml:space="preserve">20977847</t>
  </si>
  <si>
    <t xml:space="preserve">7SR5420-TR-18-01</t>
  </si>
  <si>
    <t xml:space="preserve">RELEVADOR 7SR5420-TR-18-01</t>
  </si>
  <si>
    <t xml:space="preserve">20977848</t>
  </si>
  <si>
    <t xml:space="preserve">7SR5111-IP-18-02</t>
  </si>
  <si>
    <t xml:space="preserve">RELEVADOR 7SR5111-IP-18-02</t>
  </si>
  <si>
    <t xml:space="preserve">TRI-REF-DBP-08SEL-S_018-TR_18_02_SE18</t>
  </si>
  <si>
    <t xml:space="preserve">20977849</t>
  </si>
  <si>
    <t xml:space="preserve">7SR5420-TR-18-02</t>
  </si>
  <si>
    <t xml:space="preserve">RELEVADOR 7SR5420-TR-18-02</t>
  </si>
  <si>
    <t xml:space="preserve">20977853</t>
  </si>
  <si>
    <t xml:space="preserve">7SR5111-TDM18-IP-05 A</t>
  </si>
  <si>
    <t xml:space="preserve">RELEVADOR 7SR5111-TDM18-IP-05 A</t>
  </si>
  <si>
    <t xml:space="preserve">TRI-REF-DBP-08SEL-S_018-TDM18_01_A_SE18</t>
  </si>
  <si>
    <t xml:space="preserve">20977854</t>
  </si>
  <si>
    <t xml:space="preserve">7SR5111-TDM18-IP-06 A</t>
  </si>
  <si>
    <t xml:space="preserve">RELEVADOR 7SR5111-TDM18-IP-06 A</t>
  </si>
  <si>
    <t xml:space="preserve">20977855</t>
  </si>
  <si>
    <t xml:space="preserve">7SR5111-TDM18-IP-07 A</t>
  </si>
  <si>
    <t xml:space="preserve">RELEVADOR 7SR5111-TDM18-IP-07 A</t>
  </si>
  <si>
    <t xml:space="preserve">TRI-REF-DBP-08SEL-S_018-TR_18_03_SE18</t>
  </si>
  <si>
    <t xml:space="preserve">20977856</t>
  </si>
  <si>
    <t xml:space="preserve">7SR5111-TDM18-IP-08 A</t>
  </si>
  <si>
    <t xml:space="preserve">RELEVADOR 7SR5111-TDM18-IP-08 A</t>
  </si>
  <si>
    <t xml:space="preserve">TRI-REF-DBP-08SEL-S_018-BC_18_01_SE18</t>
  </si>
  <si>
    <t xml:space="preserve">20977857</t>
  </si>
  <si>
    <t xml:space="preserve">7SR5111-TDM18-IPA-09</t>
  </si>
  <si>
    <t xml:space="preserve">RELEVADOR 7SR5111-TDM18-IPA-09</t>
  </si>
  <si>
    <t xml:space="preserve">20977858</t>
  </si>
  <si>
    <t xml:space="preserve">7SR5111-TDM18-IPE-10</t>
  </si>
  <si>
    <t xml:space="preserve">RELEVADOR 7SR5111-TDM18-IPE-10</t>
  </si>
  <si>
    <t xml:space="preserve">20977859</t>
  </si>
  <si>
    <t xml:space="preserve">7SR5111-TDM18-IPB-11</t>
  </si>
  <si>
    <t xml:space="preserve">RELEVADOR 7SR5111-TDM18-IPB-11</t>
  </si>
  <si>
    <t xml:space="preserve">TRI-REF-DBP-08SEL-S_018-TDM18_01_B_SE18</t>
  </si>
  <si>
    <t xml:space="preserve">20977860</t>
  </si>
  <si>
    <t xml:space="preserve">7SR5111-TDM18-IP-12 B</t>
  </si>
  <si>
    <t xml:space="preserve">RELEVADOR 7SR5111-TDM18-IP-12 B</t>
  </si>
  <si>
    <t xml:space="preserve">TRI-REF-DBP-08SEL-S_018-BC_18_02_SE18</t>
  </si>
  <si>
    <t xml:space="preserve">20977861</t>
  </si>
  <si>
    <t xml:space="preserve">7SR5111-TDM18-IP-13 B</t>
  </si>
  <si>
    <t xml:space="preserve">RELEVADOR 7SR5111-TDM18-IP-13 B</t>
  </si>
  <si>
    <t xml:space="preserve">TRI-REF-DBP-08SEL-S_018-TR_18_04_SE18</t>
  </si>
  <si>
    <t xml:space="preserve">20977862</t>
  </si>
  <si>
    <t xml:space="preserve">7SR5111-TDM18-IP-14 B</t>
  </si>
  <si>
    <t xml:space="preserve">RELEVADOR 7SR5111-TDM18-IP-14 B</t>
  </si>
  <si>
    <t xml:space="preserve">20977863</t>
  </si>
  <si>
    <t xml:space="preserve">7SR5111-TDM18-IP-15 B</t>
  </si>
  <si>
    <t xml:space="preserve">RELEVADOR 7SR5111-TDM18-IP-15 B</t>
  </si>
  <si>
    <t xml:space="preserve">20981055</t>
  </si>
  <si>
    <t xml:space="preserve">PP1-IP-SEP02-01-L90</t>
  </si>
  <si>
    <t xml:space="preserve">RELEVADOR PP1-IP-SEP02-01-L90</t>
  </si>
  <si>
    <t xml:space="preserve">TRI-REF-DBP-08SEL-SEP02-TR_SEP02_01</t>
  </si>
  <si>
    <t xml:space="preserve">20981056</t>
  </si>
  <si>
    <t xml:space="preserve">SEL411-PP2-IP-SEP02-01</t>
  </si>
  <si>
    <t xml:space="preserve">RELEVADOR SEL411-PP2-IP-SEP02-01</t>
  </si>
  <si>
    <t xml:space="preserve">20981057</t>
  </si>
  <si>
    <t xml:space="preserve">BCU-IP-SEP02-01-C30</t>
  </si>
  <si>
    <t xml:space="preserve">RELEVADOR BCU-IP-SEP02-01-C30</t>
  </si>
  <si>
    <t xml:space="preserve">20981058</t>
  </si>
  <si>
    <t xml:space="preserve">F60-IP-SEP02-01</t>
  </si>
  <si>
    <t xml:space="preserve">RELEVADOR F60-IP-SEP02-01</t>
  </si>
  <si>
    <t xml:space="preserve">20981059</t>
  </si>
  <si>
    <t xml:space="preserve">SEL735-MM-IP-SEP02-01</t>
  </si>
  <si>
    <t xml:space="preserve">RELEVADOR SEL735-MM-IP-SEP02-01</t>
  </si>
  <si>
    <t xml:space="preserve">20981060</t>
  </si>
  <si>
    <t xml:space="preserve">PT1-IP-SEP02-01</t>
  </si>
  <si>
    <t xml:space="preserve">RELEVADOR PT1-IP-SEP02-01</t>
  </si>
  <si>
    <t xml:space="preserve">20981061</t>
  </si>
  <si>
    <t xml:space="preserve">PT2-IP-SEP02-01-T35</t>
  </si>
  <si>
    <t xml:space="preserve">RELEVADOR PT2-IP-SEP02-01-T35</t>
  </si>
  <si>
    <t xml:space="preserve">20981062</t>
  </si>
  <si>
    <t xml:space="preserve">BCU-IP-SEP02-01-BAJA-C30</t>
  </si>
  <si>
    <t xml:space="preserve">RELEVADOR BCU-IP-SEP02-01-BAJA-C30</t>
  </si>
  <si>
    <t xml:space="preserve">20981063</t>
  </si>
  <si>
    <t xml:space="preserve">BCU1-IP-SEP02-01-C30</t>
  </si>
  <si>
    <t xml:space="preserve">RELEVADOR BCU1-IP-SEP02-01-C30</t>
  </si>
  <si>
    <t xml:space="preserve">20977829</t>
  </si>
  <si>
    <t xml:space="preserve">G60A-TG10100</t>
  </si>
  <si>
    <t xml:space="preserve">RELEVADOR G60A-TG10100</t>
  </si>
  <si>
    <t xml:space="preserve">20977789</t>
  </si>
  <si>
    <t xml:space="preserve">PT1-71020-T60</t>
  </si>
  <si>
    <t xml:space="preserve">RELEVADOR PT1-71020-T60</t>
  </si>
  <si>
    <t xml:space="preserve">20977790</t>
  </si>
  <si>
    <t xml:space="preserve">MCA-71020-C30</t>
  </si>
  <si>
    <t xml:space="preserve">RELEVADOR MCA-71020-C30</t>
  </si>
  <si>
    <t xml:space="preserve">20977791</t>
  </si>
  <si>
    <t xml:space="preserve">MCAD-78120-C30</t>
  </si>
  <si>
    <t xml:space="preserve">RELEVADOR MCAD-78120-C30</t>
  </si>
  <si>
    <t xml:space="preserve">20977792</t>
  </si>
  <si>
    <t xml:space="preserve">PBF-71020-F60</t>
  </si>
  <si>
    <t xml:space="preserve">RELEVADOR PBF-71020-F60</t>
  </si>
  <si>
    <t xml:space="preserve">20977793</t>
  </si>
  <si>
    <t xml:space="preserve">PBF-78120-F60</t>
  </si>
  <si>
    <t xml:space="preserve">RELEVADOR PBF-78120-F60</t>
  </si>
  <si>
    <t xml:space="preserve">20977794</t>
  </si>
  <si>
    <t xml:space="preserve">SEL735-MM-GTG-01</t>
  </si>
  <si>
    <t xml:space="preserve">RELEVADOR SEL735-MM-GTG-01</t>
  </si>
  <si>
    <t xml:space="preserve">20977795</t>
  </si>
  <si>
    <t xml:space="preserve">PT1-71030-T60</t>
  </si>
  <si>
    <t xml:space="preserve">RELEVADOR PT1-71030-T60</t>
  </si>
  <si>
    <t xml:space="preserve">20977796</t>
  </si>
  <si>
    <t xml:space="preserve">MCA-71030-C30</t>
  </si>
  <si>
    <t xml:space="preserve">RELEVADOR MCA-71030-C30</t>
  </si>
  <si>
    <t xml:space="preserve">20977797</t>
  </si>
  <si>
    <t xml:space="preserve">MCAD-78340-C30</t>
  </si>
  <si>
    <t xml:space="preserve">RELEVADOR MCAD-78340-C30</t>
  </si>
  <si>
    <t xml:space="preserve">20977798</t>
  </si>
  <si>
    <t xml:space="preserve">PBF-71030-F60</t>
  </si>
  <si>
    <t xml:space="preserve">RELEVADOR PBF-71030-F60</t>
  </si>
  <si>
    <t xml:space="preserve">20977799</t>
  </si>
  <si>
    <t xml:space="preserve">PBF-78340-F60</t>
  </si>
  <si>
    <t xml:space="preserve">RELEVADOR PBF-78340-F60</t>
  </si>
  <si>
    <t xml:space="preserve">20977800</t>
  </si>
  <si>
    <t xml:space="preserve">SEL735-MM-GTG-02</t>
  </si>
  <si>
    <t xml:space="preserve">RELEVADOR SEL735-MM-GTG-02</t>
  </si>
  <si>
    <t xml:space="preserve">20977801</t>
  </si>
  <si>
    <t xml:space="preserve">PT1-71060-T60</t>
  </si>
  <si>
    <t xml:space="preserve">RELEVADOR PT1-71060-T60</t>
  </si>
  <si>
    <t xml:space="preserve">20977802</t>
  </si>
  <si>
    <t xml:space="preserve">MCA-71060-C30</t>
  </si>
  <si>
    <t xml:space="preserve">RELEVADOR MCA-71060-C30</t>
  </si>
  <si>
    <t xml:space="preserve">20977803</t>
  </si>
  <si>
    <t xml:space="preserve">MCAD-78560-C30</t>
  </si>
  <si>
    <t xml:space="preserve">RELEVADOR MCAD-78560-C30</t>
  </si>
  <si>
    <t xml:space="preserve">20977804</t>
  </si>
  <si>
    <t xml:space="preserve">RE- PBF-71060-F60</t>
  </si>
  <si>
    <t xml:space="preserve">RELEVADOR PBF-71060-F60</t>
  </si>
  <si>
    <t xml:space="preserve">20977805</t>
  </si>
  <si>
    <t xml:space="preserve">PBF-78560-F60</t>
  </si>
  <si>
    <t xml:space="preserve">RELEVADOR PBF-78560-F60</t>
  </si>
  <si>
    <t xml:space="preserve">20977806</t>
  </si>
  <si>
    <t xml:space="preserve">SEL735-MM-GTG-03</t>
  </si>
  <si>
    <t xml:space="preserve">RELEVADOR SEL735-MM-GTG-03</t>
  </si>
  <si>
    <t xml:space="preserve">20977807</t>
  </si>
  <si>
    <t xml:space="preserve">PT1-71070-T60</t>
  </si>
  <si>
    <t xml:space="preserve">RELEVADOR PT1-71070-T60</t>
  </si>
  <si>
    <t xml:space="preserve">20977808</t>
  </si>
  <si>
    <t xml:space="preserve">MCA-71070-C30</t>
  </si>
  <si>
    <t xml:space="preserve">RELEVADOR MCA-71070-C30</t>
  </si>
  <si>
    <t xml:space="preserve">20977809</t>
  </si>
  <si>
    <t xml:space="preserve">MCAD-78780-C30</t>
  </si>
  <si>
    <t xml:space="preserve">RELEVADOR MCAD-78780-C30</t>
  </si>
  <si>
    <t xml:space="preserve">20977810</t>
  </si>
  <si>
    <t xml:space="preserve">PBF-71070-F60</t>
  </si>
  <si>
    <t xml:space="preserve">RELEVADOR PBF-71070-F60</t>
  </si>
  <si>
    <t xml:space="preserve">20977811</t>
  </si>
  <si>
    <t xml:space="preserve">PBF-78780-F60</t>
  </si>
  <si>
    <t xml:space="preserve">RELEVADOR PBF-78780-F60</t>
  </si>
  <si>
    <t xml:space="preserve">20977812</t>
  </si>
  <si>
    <t xml:space="preserve">MCAD-52-STG1-C30</t>
  </si>
  <si>
    <t xml:space="preserve">RELEVADOR MCAD-52-STG1-C30</t>
  </si>
  <si>
    <t xml:space="preserve">20977813</t>
  </si>
  <si>
    <t xml:space="preserve">PTP52-STG1-T60</t>
  </si>
  <si>
    <t xml:space="preserve">RELEVADOR PTP52-STG1-T60</t>
  </si>
  <si>
    <t xml:space="preserve">20977814</t>
  </si>
  <si>
    <t xml:space="preserve">PGT52-STG1-T60</t>
  </si>
  <si>
    <t xml:space="preserve">RELEVADOR PGT52-STG1-T60</t>
  </si>
  <si>
    <t xml:space="preserve">20977815</t>
  </si>
  <si>
    <t xml:space="preserve">SEL735-MM-STG-01</t>
  </si>
  <si>
    <t xml:space="preserve">RELEVADOR SEL735-MM-STG-01</t>
  </si>
  <si>
    <t xml:space="preserve">20977816</t>
  </si>
  <si>
    <t xml:space="preserve">MCA-73050-C30</t>
  </si>
  <si>
    <t xml:space="preserve">RELEVADOR MCA-73050-C30</t>
  </si>
  <si>
    <t xml:space="preserve">20977817</t>
  </si>
  <si>
    <t xml:space="preserve">PBF-73050-F60</t>
  </si>
  <si>
    <t xml:space="preserve">RELEVADOR PBF-73050-F60</t>
  </si>
  <si>
    <t xml:space="preserve">20977818</t>
  </si>
  <si>
    <t xml:space="preserve">PP1-73050-L90</t>
  </si>
  <si>
    <t xml:space="preserve">RELEVADOR PP1-73050-L90</t>
  </si>
  <si>
    <t xml:space="preserve">20977819</t>
  </si>
  <si>
    <t xml:space="preserve">PP2-73050-SEL411</t>
  </si>
  <si>
    <t xml:space="preserve">RELEVADOR PP2-73050-SEL411</t>
  </si>
  <si>
    <t xml:space="preserve">20977820</t>
  </si>
  <si>
    <t xml:space="preserve">SEL735-MM-LT-SEP02-2A</t>
  </si>
  <si>
    <t xml:space="preserve">RELEVADOR SEL735-MM-LT-SEP02-2A</t>
  </si>
  <si>
    <t xml:space="preserve">20977821</t>
  </si>
  <si>
    <t xml:space="preserve">MCA-73080-C30</t>
  </si>
  <si>
    <t xml:space="preserve">RELEVADOR MCA-73080-C30</t>
  </si>
  <si>
    <t xml:space="preserve">20977822</t>
  </si>
  <si>
    <t xml:space="preserve">PBF-73080-F60</t>
  </si>
  <si>
    <t xml:space="preserve">RELEVADOR PBF-73080-F60</t>
  </si>
  <si>
    <t xml:space="preserve">20977823</t>
  </si>
  <si>
    <t xml:space="preserve">PP1-73080-L90</t>
  </si>
  <si>
    <t xml:space="preserve">RELEVADOR PP1-73080-L90</t>
  </si>
  <si>
    <t xml:space="preserve">20977824</t>
  </si>
  <si>
    <t xml:space="preserve">PP2-73080-SEL411</t>
  </si>
  <si>
    <t xml:space="preserve">RELEVADOR PP2-73080-SEL411</t>
  </si>
  <si>
    <t xml:space="preserve">20977825</t>
  </si>
  <si>
    <t xml:space="preserve">SEL735-MM-LT-SEP02-2B</t>
  </si>
  <si>
    <t xml:space="preserve">RELEVADOR SEL735-MM-LT-SEP02-2B</t>
  </si>
  <si>
    <t xml:space="preserve">20977826</t>
  </si>
  <si>
    <t xml:space="preserve">G60B-TG10100</t>
  </si>
  <si>
    <t xml:space="preserve">RELEVADOR G60B-TG10100</t>
  </si>
  <si>
    <t xml:space="preserve">20977827</t>
  </si>
  <si>
    <t xml:space="preserve">T60AT-TR-AUX-GTG1</t>
  </si>
  <si>
    <t xml:space="preserve">RELEVADOR T60AT-TR-AUX-GTG1</t>
  </si>
  <si>
    <t xml:space="preserve">20977828</t>
  </si>
  <si>
    <t xml:space="preserve">T60U-TG10100</t>
  </si>
  <si>
    <t xml:space="preserve">RELEVADOR T60U-TG10100</t>
  </si>
  <si>
    <t xml:space="preserve">20984315</t>
  </si>
  <si>
    <t xml:space="preserve">REF615-TDA-02-01A</t>
  </si>
  <si>
    <t xml:space="preserve">RELEVADOR REF-615 TDA-02-01 A</t>
  </si>
  <si>
    <t xml:space="preserve">20984316</t>
  </si>
  <si>
    <t xml:space="preserve">REF615-TDA-02-01B</t>
  </si>
  <si>
    <t xml:space="preserve">RELEVADOR REF-615 TDA-02-01 B</t>
  </si>
  <si>
    <t xml:space="preserve">20984317</t>
  </si>
  <si>
    <t xml:space="preserve">REF615-TDA-02-01ENL</t>
  </si>
  <si>
    <t xml:space="preserve">RELEVADOR REF-615 TDA-02-01 ENLACE</t>
  </si>
  <si>
    <t xml:space="preserve">20984318</t>
  </si>
  <si>
    <t xml:space="preserve">REF615-TDB-08-05A</t>
  </si>
  <si>
    <t xml:space="preserve">RELEVADOR REF-615 TDB-08-05 A</t>
  </si>
  <si>
    <t xml:space="preserve">TRI-REF-DBP-06SEL-S_008-TDB08_05_A_SE08</t>
  </si>
  <si>
    <t xml:space="preserve">20984319</t>
  </si>
  <si>
    <t xml:space="preserve">REF615-TDB-08-05B</t>
  </si>
  <si>
    <t xml:space="preserve">RELEVADOR REF-615 TDB-08-05 B</t>
  </si>
  <si>
    <t xml:space="preserve">TRI-REF-DBP-06SEL-S_008-TDB08_05_B_SE08</t>
  </si>
  <si>
    <t xml:space="preserve">20984320</t>
  </si>
  <si>
    <t xml:space="preserve">REF615-TDB-08-05ENL</t>
  </si>
  <si>
    <t xml:space="preserve">RELEVADOR REF-615 TDB-08-05 ENLACE</t>
  </si>
  <si>
    <t xml:space="preserve">20984321</t>
  </si>
  <si>
    <t xml:space="preserve">REF615-TDM-02-01A</t>
  </si>
  <si>
    <t xml:space="preserve">RELEVADOR REF-615 TDM-02-01 A</t>
  </si>
  <si>
    <t xml:space="preserve">20984322</t>
  </si>
  <si>
    <t xml:space="preserve">REF615-TDM-02-01B</t>
  </si>
  <si>
    <t xml:space="preserve">RELEVADOR REF-615 TDM-02-01 B</t>
  </si>
  <si>
    <t xml:space="preserve">20984323</t>
  </si>
  <si>
    <t xml:space="preserve">REF615-TDM-02-01ENL</t>
  </si>
  <si>
    <t xml:space="preserve">RELEVADOR REF-615 TDM-02-01 ENLACE</t>
  </si>
  <si>
    <t xml:space="preserve">20984324</t>
  </si>
  <si>
    <t xml:space="preserve">REF615-TDMT-08-01A</t>
  </si>
  <si>
    <t xml:space="preserve">RELEVADOR REF-615 TDMT-08-01 A</t>
  </si>
  <si>
    <t xml:space="preserve">20984325</t>
  </si>
  <si>
    <t xml:space="preserve">REF615-TDMT-08-01B</t>
  </si>
  <si>
    <t xml:space="preserve">RELEVADOR REF-615 TDMT-08-01 B</t>
  </si>
  <si>
    <t xml:space="preserve">20984326</t>
  </si>
  <si>
    <t xml:space="preserve">REF615-TDMT-08-01ENL</t>
  </si>
  <si>
    <t xml:space="preserve">RELEVADOR REF-615 TDMT-08-01 ENLACE</t>
  </si>
  <si>
    <t xml:space="preserve">20984327</t>
  </si>
  <si>
    <t xml:space="preserve">REF615-TDMT-09-01A</t>
  </si>
  <si>
    <t xml:space="preserve">RELEVADOR REF-615 TDMT-09-01 A</t>
  </si>
  <si>
    <t xml:space="preserve">20984328</t>
  </si>
  <si>
    <t xml:space="preserve">REF615-TDMT-09-01B</t>
  </si>
  <si>
    <t xml:space="preserve">RELEVADOR REF-615 TDMT-09-01 B</t>
  </si>
  <si>
    <t xml:space="preserve">20984329</t>
  </si>
  <si>
    <t xml:space="preserve">REF615-TDMT-09-01ENL</t>
  </si>
  <si>
    <t xml:space="preserve">RELEVADOR REF-615 TDMT-09-01 ENLACE</t>
  </si>
  <si>
    <t xml:space="preserve">20984330</t>
  </si>
  <si>
    <t xml:space="preserve">REF615-TR-02-01</t>
  </si>
  <si>
    <t xml:space="preserve">RELEVADOR REF-615 TR-02-01</t>
  </si>
  <si>
    <t xml:space="preserve">TRI-REF-DBP-06SEL-S_002-TR_02_01_SE2</t>
  </si>
  <si>
    <t xml:space="preserve">20984331</t>
  </si>
  <si>
    <t xml:space="preserve">REF615-TR-02-02</t>
  </si>
  <si>
    <t xml:space="preserve">RELEVADOR REF-615 TR-02-02</t>
  </si>
  <si>
    <t xml:space="preserve">20984332</t>
  </si>
  <si>
    <t xml:space="preserve">REF615-TR-02-03</t>
  </si>
  <si>
    <t xml:space="preserve">RELEVADOR REF-615 TR-02-03</t>
  </si>
  <si>
    <t xml:space="preserve">TRI-REF-DBP-06SEL-S_002-TR_02_03_SE2</t>
  </si>
  <si>
    <t xml:space="preserve">20984333</t>
  </si>
  <si>
    <t xml:space="preserve">REF615-TR-02-04</t>
  </si>
  <si>
    <t xml:space="preserve">RELEVADOR REF-615 TR-02-04</t>
  </si>
  <si>
    <t xml:space="preserve">TRI-REF-DBP-06SEL-S_002-TR_02_04_SE2</t>
  </si>
  <si>
    <t xml:space="preserve">20984334</t>
  </si>
  <si>
    <t xml:space="preserve">REF615-TR-02-05</t>
  </si>
  <si>
    <t xml:space="preserve">RELEVADOR REF-615 TR-02-05</t>
  </si>
  <si>
    <t xml:space="preserve">TRI-REF-DBP-06SEL-S_002-TR_02_05_SE2</t>
  </si>
  <si>
    <t xml:space="preserve">20984335</t>
  </si>
  <si>
    <t xml:space="preserve">REF615-TR-02-06</t>
  </si>
  <si>
    <t xml:space="preserve">RELEVADOR REF-615 TR-02-06</t>
  </si>
  <si>
    <t xml:space="preserve">TRI-REF-DBP-06SEL-S_002-TR_02_06_SE2</t>
  </si>
  <si>
    <t xml:space="preserve">20984336</t>
  </si>
  <si>
    <t xml:space="preserve">REF615-TR-08-01A</t>
  </si>
  <si>
    <t xml:space="preserve">RELEVADOR REF-615 TR-08-01 A</t>
  </si>
  <si>
    <t xml:space="preserve">20984337</t>
  </si>
  <si>
    <t xml:space="preserve">REF615-TR-08-01B</t>
  </si>
  <si>
    <t xml:space="preserve">RELEVADOR REF-615 TR-08-01 B</t>
  </si>
  <si>
    <t xml:space="preserve">20984338</t>
  </si>
  <si>
    <t xml:space="preserve">REF615-TR-08-02A</t>
  </si>
  <si>
    <t xml:space="preserve">RELEVADOR REF-615 TR-08-02 A</t>
  </si>
  <si>
    <t xml:space="preserve">20984339</t>
  </si>
  <si>
    <t xml:space="preserve">REF615-TR-08-02B</t>
  </si>
  <si>
    <t xml:space="preserve">RELEVADOR REF-615 TR-08-02 B</t>
  </si>
  <si>
    <t xml:space="preserve">20984340</t>
  </si>
  <si>
    <t xml:space="preserve">REF615-TR-08-03A</t>
  </si>
  <si>
    <t xml:space="preserve">RELEVADOR REF-615 TR-08-03 A</t>
  </si>
  <si>
    <t xml:space="preserve">20984341</t>
  </si>
  <si>
    <t xml:space="preserve">REF615-TR-08-03B</t>
  </si>
  <si>
    <t xml:space="preserve">RELEVADOR REF-615 TR-08-03 B</t>
  </si>
  <si>
    <t xml:space="preserve">20984342</t>
  </si>
  <si>
    <t xml:space="preserve">REF615-TR-09-01A</t>
  </si>
  <si>
    <t xml:space="preserve">RELEVADOR REF-615 TR-09-01 A</t>
  </si>
  <si>
    <t xml:space="preserve">20984343</t>
  </si>
  <si>
    <t xml:space="preserve">REF615-TR-09-01B</t>
  </si>
  <si>
    <t xml:space="preserve">RELEVADOR REF-615 TR-09-01 B</t>
  </si>
  <si>
    <t xml:space="preserve">20984344</t>
  </si>
  <si>
    <t xml:space="preserve">REF615-TR-09-02A</t>
  </si>
  <si>
    <t xml:space="preserve">RELEVADOR REF-615 TR-09-02 A</t>
  </si>
  <si>
    <t xml:space="preserve">20984345</t>
  </si>
  <si>
    <t xml:space="preserve">REF615-TR-09-02B</t>
  </si>
  <si>
    <t xml:space="preserve">RELEVADOR REF-615 TR-09-02 B</t>
  </si>
  <si>
    <t xml:space="preserve">20984346</t>
  </si>
  <si>
    <t xml:space="preserve">REF615-TR-09-03A</t>
  </si>
  <si>
    <t xml:space="preserve">RELEVADOR REF-615 TR-09-03 A</t>
  </si>
  <si>
    <t xml:space="preserve">20984347</t>
  </si>
  <si>
    <t xml:space="preserve">REF615-TR-09-03B</t>
  </si>
  <si>
    <t xml:space="preserve">RELEVADOR REF-615 TR-09-03 B</t>
  </si>
  <si>
    <t xml:space="preserve">20984348</t>
  </si>
  <si>
    <t xml:space="preserve">REF615-87TDA-02-01A</t>
  </si>
  <si>
    <t xml:space="preserve">RELEVADOR REF-615-87 TDA-02-01 A</t>
  </si>
  <si>
    <t xml:space="preserve">20984349</t>
  </si>
  <si>
    <t xml:space="preserve">REF615-87-TDA-02-01B</t>
  </si>
  <si>
    <t xml:space="preserve">RELEVADOR REF-615-87 TDA-02-01 B</t>
  </si>
  <si>
    <t xml:space="preserve">20984352</t>
  </si>
  <si>
    <t xml:space="preserve">RET615-TR-02-01</t>
  </si>
  <si>
    <t xml:space="preserve">RELEVADOR RET-615 TR-02-01</t>
  </si>
  <si>
    <t xml:space="preserve">PROTECCION DE TRANSFORMADOR</t>
  </si>
  <si>
    <t xml:space="preserve">20984353</t>
  </si>
  <si>
    <t xml:space="preserve">RET615-TR-02-02</t>
  </si>
  <si>
    <t xml:space="preserve">RELEVADOR RET-615 TR-02-02</t>
  </si>
  <si>
    <t xml:space="preserve">20984354</t>
  </si>
  <si>
    <t xml:space="preserve">SEL735-BC-08-01A</t>
  </si>
  <si>
    <t xml:space="preserve">RELEVADOR SEL-735 BC-08-01 A</t>
  </si>
  <si>
    <t xml:space="preserve">TRI-REF-DBP-06SEL-S_008-BC_08_01A_SE08</t>
  </si>
  <si>
    <t xml:space="preserve">20984355</t>
  </si>
  <si>
    <t xml:space="preserve">SEL735-BC-08-02B</t>
  </si>
  <si>
    <t xml:space="preserve">RELEVADOR SEL-735 BC-08-02 B</t>
  </si>
  <si>
    <t xml:space="preserve">TRI-REF-DBP-06SEL-S_008-BC_08_02B_SE08</t>
  </si>
  <si>
    <t xml:space="preserve">20984356</t>
  </si>
  <si>
    <t xml:space="preserve">SEL735-CCM-02-01A</t>
  </si>
  <si>
    <t xml:space="preserve">RELEVADOR SEL-735 CCM-02-01 A</t>
  </si>
  <si>
    <t xml:space="preserve">TRI-REF-DBP-06SEL-S_002-CCM02_01_A_SE2</t>
  </si>
  <si>
    <t xml:space="preserve">20984310</t>
  </si>
  <si>
    <t xml:space="preserve">REF615-CCM-09-03ENL</t>
  </si>
  <si>
    <t xml:space="preserve">RELEVADOR REF-615 CCM-09-03 ENLACE</t>
  </si>
  <si>
    <t xml:space="preserve">TRI-REF-DBP-06SEL-S_009-CCM09_03_A_SE09</t>
  </si>
  <si>
    <t xml:space="preserve">20981064</t>
  </si>
  <si>
    <t xml:space="preserve">BCU2-IP-SEP02-01-C30</t>
  </si>
  <si>
    <t xml:space="preserve">RELEVADOR BCU2-IP-SEP02-01-C30</t>
  </si>
  <si>
    <t xml:space="preserve">20981065</t>
  </si>
  <si>
    <t xml:space="preserve">PP1-IP-SEP02-02-L90</t>
  </si>
  <si>
    <t xml:space="preserve">RELEVADOR PP1-IP-SEP02-02-L90</t>
  </si>
  <si>
    <t xml:space="preserve">TRI-REF-DBP-08SEL-SEP02-TR_SEP02_02</t>
  </si>
  <si>
    <t xml:space="preserve">20981066</t>
  </si>
  <si>
    <t xml:space="preserve">SEL411-PP2-IP-SEP02-02</t>
  </si>
  <si>
    <t xml:space="preserve">RELEVADOR SEL411-PP2-IP-SEP02-02</t>
  </si>
  <si>
    <t xml:space="preserve">20981067</t>
  </si>
  <si>
    <t xml:space="preserve">BCU-IP-SEP02-02-C30</t>
  </si>
  <si>
    <t xml:space="preserve">RELEVADOR BCU-IP-SEP02-02-C30</t>
  </si>
  <si>
    <t xml:space="preserve">20981068</t>
  </si>
  <si>
    <t xml:space="preserve">F60-IP-SEP02-02</t>
  </si>
  <si>
    <t xml:space="preserve">RELEVADOR F60-IP-SEP02-02</t>
  </si>
  <si>
    <t xml:space="preserve">20981069</t>
  </si>
  <si>
    <t xml:space="preserve">SEL735-MM-IP-SEP02-02</t>
  </si>
  <si>
    <t xml:space="preserve">RELEVADOR SEL735-MM-IP-SEP02-02</t>
  </si>
  <si>
    <t xml:space="preserve">20981070</t>
  </si>
  <si>
    <t xml:space="preserve">PT1-IP-SEP02-02</t>
  </si>
  <si>
    <t xml:space="preserve">RELEVADOR PT1-IP-SEP02-02</t>
  </si>
  <si>
    <t xml:space="preserve">20981071</t>
  </si>
  <si>
    <t xml:space="preserve">PT2-IP-SEP02-02-T35</t>
  </si>
  <si>
    <t xml:space="preserve">RELEVADOR PT2-IP-SEP02-02-T35</t>
  </si>
  <si>
    <t xml:space="preserve">20981072</t>
  </si>
  <si>
    <t xml:space="preserve">BCU-IP-SEP02-02-BAJA-C30</t>
  </si>
  <si>
    <t xml:space="preserve">RELEVADOR BCU-IP-SEP02-02-BAJA-C30</t>
  </si>
  <si>
    <t xml:space="preserve">20981073</t>
  </si>
  <si>
    <t xml:space="preserve">BCU1-IP-SEP02-02-C30</t>
  </si>
  <si>
    <t xml:space="preserve">RELEVADOR BCU1-IP-SEP02-02-C30</t>
  </si>
  <si>
    <t xml:space="preserve">20981074</t>
  </si>
  <si>
    <t xml:space="preserve">BCU2-IP-SEP02-02-C30</t>
  </si>
  <si>
    <t xml:space="preserve">RELEVADOR BCU2-IP-SEP02-02-C30</t>
  </si>
  <si>
    <t xml:space="preserve">20984281</t>
  </si>
  <si>
    <t xml:space="preserve">REA101-TDA-02-01A</t>
  </si>
  <si>
    <t xml:space="preserve">RELEVADOR REA-101 TDA-02-01 A</t>
  </si>
  <si>
    <t xml:space="preserve">PROTECCION FALLA CONTRA ARCO</t>
  </si>
  <si>
    <t xml:space="preserve">20984282</t>
  </si>
  <si>
    <t xml:space="preserve">REA101-TDA-02-01B</t>
  </si>
  <si>
    <t xml:space="preserve">RELEVADOR REA-101 TDA-02-01 B</t>
  </si>
  <si>
    <t xml:space="preserve">20984283</t>
  </si>
  <si>
    <t xml:space="preserve">REA101-TDM-02-01A</t>
  </si>
  <si>
    <t xml:space="preserve">RELEVADOR REA-101 TDM-02-01 A</t>
  </si>
  <si>
    <t xml:space="preserve">20984284</t>
  </si>
  <si>
    <t xml:space="preserve">REA101-TDM-02-01B</t>
  </si>
  <si>
    <t xml:space="preserve">RELEVADOR REA-101 TDM-02-01 B</t>
  </si>
  <si>
    <t xml:space="preserve">20984285</t>
  </si>
  <si>
    <t xml:space="preserve">REA101-TDMT-08-01A</t>
  </si>
  <si>
    <t xml:space="preserve">RELEVADOR REA-101 TDMT-08-01 A</t>
  </si>
  <si>
    <t xml:space="preserve">20984286</t>
  </si>
  <si>
    <t xml:space="preserve">REA101-TDMT-08-01B</t>
  </si>
  <si>
    <t xml:space="preserve">RELEVADOR REA-101 TDMT-08-01 B</t>
  </si>
  <si>
    <t xml:space="preserve">20984287</t>
  </si>
  <si>
    <t xml:space="preserve">REA101-TDMT-09-01A</t>
  </si>
  <si>
    <t xml:space="preserve">RELEVADOR REA-101 TDMT-09-01 A</t>
  </si>
  <si>
    <t xml:space="preserve">REA101</t>
  </si>
  <si>
    <t xml:space="preserve">20984288</t>
  </si>
  <si>
    <t xml:space="preserve">REA101-TDMT-09-01B</t>
  </si>
  <si>
    <t xml:space="preserve">RELEVADOR REA-101 TDMT-09-01 B</t>
  </si>
  <si>
    <t xml:space="preserve">20984289</t>
  </si>
  <si>
    <t xml:space="preserve">REA101-TR-02-03</t>
  </si>
  <si>
    <t xml:space="preserve">RELEVADOR REA-101 TR-02-03</t>
  </si>
  <si>
    <t xml:space="preserve">20984290</t>
  </si>
  <si>
    <t xml:space="preserve">REA101-TR-02-04</t>
  </si>
  <si>
    <t xml:space="preserve">RELEVADOR REA-101 TR-02-04</t>
  </si>
  <si>
    <t xml:space="preserve">20984291</t>
  </si>
  <si>
    <t xml:space="preserve">REF615-BC-08-01A</t>
  </si>
  <si>
    <t xml:space="preserve">RELEVADOR REF-615 BC-08-01 A</t>
  </si>
  <si>
    <t xml:space="preserve">20984292</t>
  </si>
  <si>
    <t xml:space="preserve">REF615-BC-08-02B</t>
  </si>
  <si>
    <t xml:space="preserve">RELEVADOR REF-615 BC-08-02 B</t>
  </si>
  <si>
    <t xml:space="preserve">20984293</t>
  </si>
  <si>
    <t xml:space="preserve">REF615-CCM-08-01A</t>
  </si>
  <si>
    <t xml:space="preserve">RELEVADOR REF-615 CCM-08-01 A</t>
  </si>
  <si>
    <t xml:space="preserve">TRI-REF-DBP-06SEL-S_008-CCM08_01_A_SE08</t>
  </si>
  <si>
    <t xml:space="preserve">20984294</t>
  </si>
  <si>
    <t xml:space="preserve">REF615-CCM-08-01B</t>
  </si>
  <si>
    <t xml:space="preserve">RELEVADOR REF-615 CCM-08-01 B</t>
  </si>
  <si>
    <t xml:space="preserve">TRI-REF-DBP-06SEL-S_008-CCM08_01_B_SE08</t>
  </si>
  <si>
    <t xml:space="preserve">20984295</t>
  </si>
  <si>
    <t xml:space="preserve">REF615-CCM-08-01ENL</t>
  </si>
  <si>
    <t xml:space="preserve">RELEVADOR REF-615 CCM-08-01 ENLACE</t>
  </si>
  <si>
    <t xml:space="preserve">20984296</t>
  </si>
  <si>
    <t xml:space="preserve">REF615-CCM-08-02A</t>
  </si>
  <si>
    <t xml:space="preserve">RELEVADOR REF-615 CCM-08-02 A</t>
  </si>
  <si>
    <t xml:space="preserve">TRI-REF-DBP-06SEL-S_008-CCM08_02_A_SE08</t>
  </si>
  <si>
    <t xml:space="preserve">20984297</t>
  </si>
  <si>
    <t xml:space="preserve">REF615-CCM-08-02B</t>
  </si>
  <si>
    <t xml:space="preserve">RELEVADOR REF-615 CCM-08-02 B</t>
  </si>
  <si>
    <t xml:space="preserve">TRI-REF-DBP-06SEL-S_008-CCM08_02_B_SE08</t>
  </si>
  <si>
    <t xml:space="preserve">20984298</t>
  </si>
  <si>
    <t xml:space="preserve">REF615-CCM-08-02ENL</t>
  </si>
  <si>
    <t xml:space="preserve">RELEVADOR REF-615 CCM-08-02 ENLACE</t>
  </si>
  <si>
    <t xml:space="preserve">20984299</t>
  </si>
  <si>
    <t xml:space="preserve">REF615-CCM-08-03A</t>
  </si>
  <si>
    <t xml:space="preserve">RELEVADOR REF-615 CCM-08-03 A</t>
  </si>
  <si>
    <t xml:space="preserve">TRI-REF-DBP-06SEL-S_008-CCM08_03_A_SE08</t>
  </si>
  <si>
    <t xml:space="preserve">20984300</t>
  </si>
  <si>
    <t xml:space="preserve">REF615-CCM-08-03B</t>
  </si>
  <si>
    <t xml:space="preserve">RELEVADOR REF-615 CCM-08-03 B</t>
  </si>
  <si>
    <t xml:space="preserve">TRI-REF-DBP-06SEL-S_008-CCM08_03_B_SE08</t>
  </si>
  <si>
    <t xml:space="preserve">20984301</t>
  </si>
  <si>
    <t xml:space="preserve">REF615-CCM-08-03ENL</t>
  </si>
  <si>
    <t xml:space="preserve">RELEVADOR REF-615 CCM-08-03 ENLACE</t>
  </si>
  <si>
    <t xml:space="preserve">20984302</t>
  </si>
  <si>
    <t xml:space="preserve">REF615-CCM-09-01A</t>
  </si>
  <si>
    <t xml:space="preserve">RELEVADOR REF-615 CCM-09-01 A</t>
  </si>
  <si>
    <t xml:space="preserve">TRI-REF-DBP-06SEL-S_009-CCM09_01_A_SE09</t>
  </si>
  <si>
    <t xml:space="preserve">20984303</t>
  </si>
  <si>
    <t xml:space="preserve">REF615-CCM-09-01B</t>
  </si>
  <si>
    <t xml:space="preserve">RELEVADOR REF-615 CCM-09-01 B</t>
  </si>
  <si>
    <t xml:space="preserve">TRI-REF-DBP-06SEL-S_009-CCM09_01_B_SE09</t>
  </si>
  <si>
    <t xml:space="preserve">20984304</t>
  </si>
  <si>
    <t xml:space="preserve">REF615-CCM-09-01ENL</t>
  </si>
  <si>
    <t xml:space="preserve">RELEVADOR REF-615 CCM-09-01 ENLACE</t>
  </si>
  <si>
    <t xml:space="preserve">20984305</t>
  </si>
  <si>
    <t xml:space="preserve">REF615-CCM-09-02A</t>
  </si>
  <si>
    <t xml:space="preserve">RELEVADOR REF-615 CCM-09-02 A</t>
  </si>
  <si>
    <t xml:space="preserve">TRI-REF-DBP-06SEL-S_009-CCM09_02_A_SE09</t>
  </si>
  <si>
    <t xml:space="preserve">20984306</t>
  </si>
  <si>
    <t xml:space="preserve">REF615-CCM-09-02B</t>
  </si>
  <si>
    <t xml:space="preserve">RELEVADOR REF-615 CCM-09-02 B</t>
  </si>
  <si>
    <t xml:space="preserve">TRI-REF-DBP-06SEL-S_009-CCM09_02_B_SE09</t>
  </si>
  <si>
    <t xml:space="preserve">20984307</t>
  </si>
  <si>
    <t xml:space="preserve">REF615-CCM-09-02ENL</t>
  </si>
  <si>
    <t xml:space="preserve">RELEVADOR REF-615 CCM-09-02 ENLACE</t>
  </si>
  <si>
    <t xml:space="preserve">20984308</t>
  </si>
  <si>
    <t xml:space="preserve">REF615-CCM-09-03A</t>
  </si>
  <si>
    <t xml:space="preserve">RELEVADOR REF-615 CCM-09-03 A</t>
  </si>
  <si>
    <t xml:space="preserve">20984309</t>
  </si>
  <si>
    <t xml:space="preserve">REF615-CCM-09-03B</t>
  </si>
  <si>
    <t xml:space="preserve">RELEVADOR REF-615 CCM-09-03 B</t>
  </si>
  <si>
    <t xml:space="preserve">TRI-REF-DBP-06SEL-S_009-CCM09_03_B_SE09</t>
  </si>
  <si>
    <t xml:space="preserve">20965366</t>
  </si>
  <si>
    <t xml:space="preserve">SEL735-IE-2-TDB-02-02 B</t>
  </si>
  <si>
    <t xml:space="preserve">RELEVADOR SEL735-IE-2-TDB-02-02 B</t>
  </si>
  <si>
    <t xml:space="preserve">TRI-REF-DBP-06SEL-S_002-TR_02_24_SE2</t>
  </si>
  <si>
    <t xml:space="preserve">20958072</t>
  </si>
  <si>
    <t xml:space="preserve">7SR51-BC-20-01</t>
  </si>
  <si>
    <t xml:space="preserve">RELEVADOR 7SR51-BC-20-01</t>
  </si>
  <si>
    <t xml:space="preserve">TRI-REF-DBP-07SEL-S_020-BC_20_01_SE20</t>
  </si>
  <si>
    <t xml:space="preserve">20958073</t>
  </si>
  <si>
    <t xml:space="preserve">7SR51-BC-20-02</t>
  </si>
  <si>
    <t xml:space="preserve">RELEVADOR 7SR51-BC-20-02</t>
  </si>
  <si>
    <t xml:space="preserve">TRI-REF-DBP-07SEL-S_020-BC_20_02_SE20</t>
  </si>
  <si>
    <t xml:space="preserve">20958071</t>
  </si>
  <si>
    <t xml:space="preserve">7SR51-TR-20-04</t>
  </si>
  <si>
    <t xml:space="preserve">RELEVADOR 7SR51-TR-20-04</t>
  </si>
  <si>
    <t xml:space="preserve">TRI-REF-DBP-07SEL-S_020-TR_20_04_SE20</t>
  </si>
  <si>
    <t xml:space="preserve">20958070</t>
  </si>
  <si>
    <t xml:space="preserve">7SR51-TR-20-03</t>
  </si>
  <si>
    <t xml:space="preserve">RELEVADOR 7SR51-TR-20-03</t>
  </si>
  <si>
    <t xml:space="preserve">TRI-REF-DBP-07SEL-S_020-TR_20_03_SE20</t>
  </si>
  <si>
    <t xml:space="preserve">20958069</t>
  </si>
  <si>
    <t xml:space="preserve">7SR51-ALI-SE-20-1 A</t>
  </si>
  <si>
    <t xml:space="preserve">RELEVADOR 7SR51-ALI-SE-20-1 A</t>
  </si>
  <si>
    <t xml:space="preserve">TRI-REF-DBP-07SEL-S_020-CCM20_01_A_SE20</t>
  </si>
  <si>
    <t xml:space="preserve">20958074</t>
  </si>
  <si>
    <t xml:space="preserve">7SR51-TR-20-05</t>
  </si>
  <si>
    <t xml:space="preserve">RELEVADOR 7SR51-TR-20-05</t>
  </si>
  <si>
    <t xml:space="preserve">TRI-REF-DBP-07SEL-S_020-TR_20_05_SE20</t>
  </si>
  <si>
    <t xml:space="preserve">20958075</t>
  </si>
  <si>
    <t xml:space="preserve">7SR51-TR-20-06</t>
  </si>
  <si>
    <t xml:space="preserve">RELEVADOR 7SR51-TR-20-06</t>
  </si>
  <si>
    <t xml:space="preserve">TRI-REF-DBP-07SEL-S_020-TR_20_06_SE20</t>
  </si>
  <si>
    <t xml:space="preserve">20958076</t>
  </si>
  <si>
    <t xml:space="preserve">7SR51-ALI-SE-20-1 B</t>
  </si>
  <si>
    <t xml:space="preserve">RELEVADOR 7SR51-ALI-SE-20-1 B</t>
  </si>
  <si>
    <t xml:space="preserve">TRI-REF-DBP-07SEL-S_020-CCM20_01_B_SE20</t>
  </si>
  <si>
    <t xml:space="preserve">20958077</t>
  </si>
  <si>
    <t xml:space="preserve">7KM5412-CCM-20-02 A</t>
  </si>
  <si>
    <t xml:space="preserve">RELEVADOR 7KM5412-CCM-20-02 A</t>
  </si>
  <si>
    <t xml:space="preserve">TRI-REF-DBP-07SEL-S_020-CCM20_02_A_SE20</t>
  </si>
  <si>
    <t xml:space="preserve">20958078</t>
  </si>
  <si>
    <t xml:space="preserve">7KM5412-CCM-20-02 B</t>
  </si>
  <si>
    <t xml:space="preserve">RELEVADOR 7KM5412-CCM-20-02 B</t>
  </si>
  <si>
    <t xml:space="preserve">TRI-REF-DBP-07SEL-S_020-CCM20_02_B_SE20</t>
  </si>
  <si>
    <t xml:space="preserve">20958068</t>
  </si>
  <si>
    <t xml:space="preserve">7SR51-CCM-20-01 B</t>
  </si>
  <si>
    <t xml:space="preserve">RELEVADOR 7SR51-CCM-20-01 B</t>
  </si>
  <si>
    <t xml:space="preserve">20958067</t>
  </si>
  <si>
    <t xml:space="preserve">7SR51-CCM-20-01 E</t>
  </si>
  <si>
    <t xml:space="preserve">RELEVADOR 7SR51-CCM-20-01 E</t>
  </si>
  <si>
    <t xml:space="preserve">20958066</t>
  </si>
  <si>
    <t xml:space="preserve">7SR51-CCM-20-01 A</t>
  </si>
  <si>
    <t xml:space="preserve">RELEVADOR 7SR51-CCM-20-01 A</t>
  </si>
  <si>
    <t xml:space="preserve">20958065</t>
  </si>
  <si>
    <t xml:space="preserve">7SR54-IP-20-02</t>
  </si>
  <si>
    <t xml:space="preserve">RELEVADOR 7SR54-IP-20-02</t>
  </si>
  <si>
    <t xml:space="preserve">TRI-REF-DBP-07SEL-S_020-TR_20_02_SE20</t>
  </si>
  <si>
    <t xml:space="preserve">20958064</t>
  </si>
  <si>
    <t xml:space="preserve">7SR51-IP-20-02</t>
  </si>
  <si>
    <t xml:space="preserve">RELEVADOR 7SR51-IP-20-02</t>
  </si>
  <si>
    <t xml:space="preserve">20958063</t>
  </si>
  <si>
    <t xml:space="preserve">7SR54-IP-20-01</t>
  </si>
  <si>
    <t xml:space="preserve">RELEVADOR 7SR54-IP-20-01</t>
  </si>
  <si>
    <t xml:space="preserve">TRI-REF-DBP-07SEL-S_020-TR_20_01_SE20</t>
  </si>
  <si>
    <t xml:space="preserve">20958062</t>
  </si>
  <si>
    <t xml:space="preserve">7SR51-IP-20-01</t>
  </si>
  <si>
    <t xml:space="preserve">RELEVADOR 7SR51-IP-20-01</t>
  </si>
  <si>
    <t xml:space="preserve">20958055</t>
  </si>
  <si>
    <t xml:space="preserve">7KM5412-TDB-33-01 B</t>
  </si>
  <si>
    <t xml:space="preserve">RELEVADOR 7KM5412-TDB-33-01 B</t>
  </si>
  <si>
    <t xml:space="preserve">TRI-REF-DBP-07SEL-S_033-TR_33_06_SE33</t>
  </si>
  <si>
    <t xml:space="preserve">20958054</t>
  </si>
  <si>
    <t xml:space="preserve">7KM5412-TDB-33-01 A</t>
  </si>
  <si>
    <t xml:space="preserve">RELEVADOR 7KM5412-TDB-33-01 A</t>
  </si>
  <si>
    <t xml:space="preserve">TRI-REF-DBP-07SEL-S_033-TR_33_05_SE33</t>
  </si>
  <si>
    <t xml:space="preserve">20958053</t>
  </si>
  <si>
    <t xml:space="preserve">7KM5412-CCM-33-02 B</t>
  </si>
  <si>
    <t xml:space="preserve">RELEVADOR 7KM5412-CCM-33-02 B</t>
  </si>
  <si>
    <t xml:space="preserve">TRI-REF-DBP-07SEL-S_033-CCM33_02_B_SE33</t>
  </si>
  <si>
    <t xml:space="preserve">20958079</t>
  </si>
  <si>
    <t xml:space="preserve">7KM5412-CCM-20-03 A</t>
  </si>
  <si>
    <t xml:space="preserve">RELEVADOR 7KM5412-CCM-20-03 A</t>
  </si>
  <si>
    <t xml:space="preserve">TRI-REF-DBP-07SEL-S_020-CCM20_03_A_SE20</t>
  </si>
  <si>
    <t xml:space="preserve">20958080</t>
  </si>
  <si>
    <t xml:space="preserve">7KM5412-CCM-20-03 B</t>
  </si>
  <si>
    <t xml:space="preserve">RELEVADOR 7KM5412-CCM-20-03 B</t>
  </si>
  <si>
    <t xml:space="preserve">TRI-REF-DBP-07SEL-S_020-CCM20_03_B_SE20</t>
  </si>
  <si>
    <t xml:space="preserve">20958081</t>
  </si>
  <si>
    <t xml:space="preserve">7KM5412-TDB-20-01 A</t>
  </si>
  <si>
    <t xml:space="preserve">RELEVADOR 7KM5412-TDB-20-01 A</t>
  </si>
  <si>
    <t xml:space="preserve">TRI-REF-DBP-07SEL-S_020-TR_20_07_SE20</t>
  </si>
  <si>
    <t xml:space="preserve">20958082</t>
  </si>
  <si>
    <t xml:space="preserve">7KM5412-TDB-20-01 B</t>
  </si>
  <si>
    <t xml:space="preserve">RELEVADOR 7KM5412-TDB-20-01 B</t>
  </si>
  <si>
    <t xml:space="preserve">TRI-REF-DBP-07SEL-S_020-TR_20_08_SE20</t>
  </si>
  <si>
    <t xml:space="preserve">20958094</t>
  </si>
  <si>
    <t xml:space="preserve">7SR51-IP-21-01</t>
  </si>
  <si>
    <t xml:space="preserve">RELEVADOR 7SR51-IP-21-01</t>
  </si>
  <si>
    <t xml:space="preserve">TRI-REF-DBP-07SEL-S_021-TR_21_01_SE21</t>
  </si>
  <si>
    <t xml:space="preserve">20958095</t>
  </si>
  <si>
    <t xml:space="preserve">7SR54-IP-21-01</t>
  </si>
  <si>
    <t xml:space="preserve">RELEVADOR 7SR54-IP-21-01</t>
  </si>
  <si>
    <t xml:space="preserve">20958096</t>
  </si>
  <si>
    <t xml:space="preserve">7SR51-IP-21-02</t>
  </si>
  <si>
    <t xml:space="preserve">RELEVADOR 7SR51-IP-21-02</t>
  </si>
  <si>
    <t xml:space="preserve">TRI-REF-DBP-07SEL-S_021-TR_21_02_SE21</t>
  </si>
  <si>
    <t xml:space="preserve">20958097</t>
  </si>
  <si>
    <t xml:space="preserve">7SR54-IP-21-02</t>
  </si>
  <si>
    <t xml:space="preserve">RELEVADOR 7SR54-IP-21-02</t>
  </si>
  <si>
    <t xml:space="preserve">20958098</t>
  </si>
  <si>
    <t xml:space="preserve">7SR51-CCM-21-01 A</t>
  </si>
  <si>
    <t xml:space="preserve">RELEVADOR 7SR51-CCM-21-01 A</t>
  </si>
  <si>
    <t xml:space="preserve">TRI-REF-DBP-07SEL-S_021-CCM21_01_A_SE21</t>
  </si>
  <si>
    <t xml:space="preserve">20958099</t>
  </si>
  <si>
    <t xml:space="preserve">7SR51-CCM-21-01 E</t>
  </si>
  <si>
    <t xml:space="preserve">RELEVADOR 7SR51-CCM-21-01 E</t>
  </si>
  <si>
    <t xml:space="preserve">20958100</t>
  </si>
  <si>
    <t xml:space="preserve">7SR51-CCM-21-01 B</t>
  </si>
  <si>
    <t xml:space="preserve">RELEVADOR 7SR51-CCM-21-01 B</t>
  </si>
  <si>
    <t xml:space="preserve">TRI-REF-DBP-07SEL-S_021-CCM21_01_B_SE21</t>
  </si>
  <si>
    <t xml:space="preserve">20958101</t>
  </si>
  <si>
    <t xml:space="preserve">7SR51-ALI-SE-21-1 A</t>
  </si>
  <si>
    <t xml:space="preserve">RELEVADOR 7SR51-ALI-SE-21-1 A</t>
  </si>
  <si>
    <t xml:space="preserve">20958102</t>
  </si>
  <si>
    <t xml:space="preserve">7SR51-TR-21-03</t>
  </si>
  <si>
    <t xml:space="preserve">RELEVADOR 7SR51-TR-21-03</t>
  </si>
  <si>
    <t xml:space="preserve">TRI-REF-DBP-07SEL-S_021-TR_21_03_SE21</t>
  </si>
  <si>
    <t xml:space="preserve">20958103</t>
  </si>
  <si>
    <t xml:space="preserve">7SR51-BC-21-01</t>
  </si>
  <si>
    <t xml:space="preserve">RELEVADOR 7SR51-BC-21-01</t>
  </si>
  <si>
    <t xml:space="preserve">TRI-REF-DBP-07SEL-S_021-BC_21_01_SE21</t>
  </si>
  <si>
    <t xml:space="preserve">20958104</t>
  </si>
  <si>
    <t xml:space="preserve">7SR51-BC-21-02</t>
  </si>
  <si>
    <t xml:space="preserve">RELEVADOR 7SR51-BC-21-02</t>
  </si>
  <si>
    <t xml:space="preserve">TRI-REF-DBP-07SEL-S_021-BC_21_02_SE21</t>
  </si>
  <si>
    <t xml:space="preserve">20958105</t>
  </si>
  <si>
    <t xml:space="preserve">7SR51-TR-21-04</t>
  </si>
  <si>
    <t xml:space="preserve">RELEVADOR 7SR51-TR-21-04</t>
  </si>
  <si>
    <t xml:space="preserve">TRI-REF-DBP-07SEL-S_021-TR_21_04_SE21</t>
  </si>
  <si>
    <t xml:space="preserve">20958106</t>
  </si>
  <si>
    <t xml:space="preserve">7SR51-ALI-SE-21-1 B</t>
  </si>
  <si>
    <t xml:space="preserve">RELEVADOR 7SR51-ALI-SE-21-1 B</t>
  </si>
  <si>
    <t xml:space="preserve">20958107</t>
  </si>
  <si>
    <t xml:space="preserve">7KM5412-CCM-21-01 A</t>
  </si>
  <si>
    <t xml:space="preserve">RELEVADOR 7KM5412-CCM-21-01 A</t>
  </si>
  <si>
    <t xml:space="preserve">20958108</t>
  </si>
  <si>
    <t xml:space="preserve">7KM5412-CCM-21-01 B</t>
  </si>
  <si>
    <t xml:space="preserve">RELEVADOR 7KM5412-CCM-21-01 B</t>
  </si>
  <si>
    <t xml:space="preserve">20958109</t>
  </si>
  <si>
    <t xml:space="preserve">7KM5412-TDB-21-01 A</t>
  </si>
  <si>
    <t xml:space="preserve">RELEVADOR 7KM5412-TDB-21-01 A</t>
  </si>
  <si>
    <t xml:space="preserve">TRI-REF-DBP-07SEL-S_021-TR_21_05_SE21</t>
  </si>
  <si>
    <t xml:space="preserve">20958052</t>
  </si>
  <si>
    <t xml:space="preserve">7KM5412-CCM-33-02 A</t>
  </si>
  <si>
    <t xml:space="preserve">RELEVADOR 7KM5412-CCM-33-02 A</t>
  </si>
  <si>
    <t xml:space="preserve">TRI-REF-DBP-07SEL-S_033-CCM33_02_A_SE33</t>
  </si>
  <si>
    <t xml:space="preserve">20957908</t>
  </si>
  <si>
    <t xml:space="preserve">REA-101 TDMT-14-01 A</t>
  </si>
  <si>
    <t xml:space="preserve">RELEVADOR REA-101 TDMT-14-01 A</t>
  </si>
  <si>
    <t xml:space="preserve">TRI-REF-DBP-03SEL-S_014-TDMT14_01A_SE14</t>
  </si>
  <si>
    <t xml:space="preserve">20957909</t>
  </si>
  <si>
    <t xml:space="preserve">REF-615 TDMT-14-01 A</t>
  </si>
  <si>
    <t xml:space="preserve">RELEVADOR REF-615 TDMT-14-01 A</t>
  </si>
  <si>
    <t xml:space="preserve">20957910</t>
  </si>
  <si>
    <t xml:space="preserve">SEL-735 TDMT-14-01 A</t>
  </si>
  <si>
    <t xml:space="preserve">RELEVADOR SEL-735 TDMT-14-01 A</t>
  </si>
  <si>
    <t xml:space="preserve">20957911</t>
  </si>
  <si>
    <t xml:space="preserve">REF-615 TDMT-14-01 AB</t>
  </si>
  <si>
    <t xml:space="preserve">RELEVADOR REF-615 TDMT-14-01 AB</t>
  </si>
  <si>
    <t xml:space="preserve">20957912</t>
  </si>
  <si>
    <t xml:space="preserve">REA-101 TDMT-14-01 B</t>
  </si>
  <si>
    <t xml:space="preserve">RELEVADOR REA-101 TDMT-14-01 B</t>
  </si>
  <si>
    <t xml:space="preserve">TRI-REF-DBP-03SEL-S_014-TDMT14_01B_SE14</t>
  </si>
  <si>
    <t xml:space="preserve">20957913</t>
  </si>
  <si>
    <t xml:space="preserve">REF-615 TDMT-14-01 B</t>
  </si>
  <si>
    <t xml:space="preserve">RELEVADOR REF-615 TDMT-14-01 B</t>
  </si>
  <si>
    <t xml:space="preserve">20957914</t>
  </si>
  <si>
    <t xml:space="preserve">SEL-735 TDMT-14-01 B</t>
  </si>
  <si>
    <t xml:space="preserve">RELEVADOR SEL-735 TDMT-14-01 B</t>
  </si>
  <si>
    <t xml:space="preserve">20957915</t>
  </si>
  <si>
    <t xml:space="preserve">REA-101 TR-14-04</t>
  </si>
  <si>
    <t xml:space="preserve">RELEVADOR REA-101 TR-14-04</t>
  </si>
  <si>
    <t xml:space="preserve">TRI-REF-DBP-03SEL-S_014-TR_14_04_SE_14</t>
  </si>
  <si>
    <t xml:space="preserve">20957916</t>
  </si>
  <si>
    <t xml:space="preserve">REF-615 TR-14-06</t>
  </si>
  <si>
    <t xml:space="preserve">RELEVADOR REF-615 TR-14-06</t>
  </si>
  <si>
    <t xml:space="preserve">TRI-REF-DBP-03SEL-S_014-TR_14_06_SE_14</t>
  </si>
  <si>
    <t xml:space="preserve">20957917</t>
  </si>
  <si>
    <t xml:space="preserve">REA-101 TR-14-06</t>
  </si>
  <si>
    <t xml:space="preserve">RELEVADOR REA-101 TR-14-06</t>
  </si>
  <si>
    <t xml:space="preserve">20957918</t>
  </si>
  <si>
    <t xml:space="preserve">REF-615 TR-14-08</t>
  </si>
  <si>
    <t xml:space="preserve">RELEVADOR REF-615 TR-14-08</t>
  </si>
  <si>
    <t xml:space="preserve">TRI-REF-DBP-03SEL-S_014-TR_14_08_SE_14</t>
  </si>
  <si>
    <t xml:space="preserve">20957919</t>
  </si>
  <si>
    <t xml:space="preserve">REF-615 BC-14-02</t>
  </si>
  <si>
    <t xml:space="preserve">RELEVADOR REF-615 BC-14-02</t>
  </si>
  <si>
    <t xml:space="preserve">20957920</t>
  </si>
  <si>
    <t xml:space="preserve">REF-615 TR-14-16</t>
  </si>
  <si>
    <t xml:space="preserve">RELEVADOR REF-615 TR-14-16</t>
  </si>
  <si>
    <t xml:space="preserve">TRI-REF-DBP-03SEL-S_014-TR_14_16_SE_14</t>
  </si>
  <si>
    <t xml:space="preserve">20957921</t>
  </si>
  <si>
    <t xml:space="preserve">REF-615 TR-14-18</t>
  </si>
  <si>
    <t xml:space="preserve">RELEVADOR REF-615 TR-14-18</t>
  </si>
  <si>
    <t xml:space="preserve">TRI-REF-DBP-03SEL-S_014-TR_14_18_SE_14</t>
  </si>
  <si>
    <t xml:space="preserve">20957927</t>
  </si>
  <si>
    <t xml:space="preserve">REF-615 CCM-14-01 A</t>
  </si>
  <si>
    <t xml:space="preserve">RELEVADOR REF-615 CCM-14-01 A</t>
  </si>
  <si>
    <t xml:space="preserve">TRI-REF-DBP-03SEL-S_014-CCM14_01_A_SE14</t>
  </si>
  <si>
    <t xml:space="preserve">20957928</t>
  </si>
  <si>
    <t xml:space="preserve">REF-615 CCM-14-01 AB</t>
  </si>
  <si>
    <t xml:space="preserve">RELEVADOR REF-615 CCM-14-01 AB</t>
  </si>
  <si>
    <t xml:space="preserve">20957929</t>
  </si>
  <si>
    <t xml:space="preserve">REF-615 CCM-14-01 B</t>
  </si>
  <si>
    <t xml:space="preserve">RELEVADOR REF-615 CCM-14-01 B</t>
  </si>
  <si>
    <t xml:space="preserve">TRI-REF-DBP-03SEL-S_014-CCM14_01_B_SE14</t>
  </si>
  <si>
    <t xml:space="preserve">20957930</t>
  </si>
  <si>
    <t xml:space="preserve">REF-615 CCM-14-02 A</t>
  </si>
  <si>
    <t xml:space="preserve">RELEVADOR REF-615 CCM-14-02 A</t>
  </si>
  <si>
    <t xml:space="preserve">TRI-REF-DBP-03SEL-S_014-CCM14_02_A_SE14</t>
  </si>
  <si>
    <t xml:space="preserve">20957931</t>
  </si>
  <si>
    <t xml:space="preserve">REF-615 CCM-14-02 AB</t>
  </si>
  <si>
    <t xml:space="preserve">RELEVADOR REF-615 CCM-14-02 AB</t>
  </si>
  <si>
    <t xml:space="preserve">20957932</t>
  </si>
  <si>
    <t xml:space="preserve">REF-615 CCM-14-02 B</t>
  </si>
  <si>
    <t xml:space="preserve">RELEVADOR REF-615 CCM-14-02 B</t>
  </si>
  <si>
    <t xml:space="preserve">TRI-REF-DBP-03SEL-S_014-CCM14_02_B_SE14</t>
  </si>
  <si>
    <t xml:space="preserve">20957933</t>
  </si>
  <si>
    <t xml:space="preserve">REF-615 CCM-14-03 A</t>
  </si>
  <si>
    <t xml:space="preserve">RELEVADOR REF-615 CCM-14-03 A</t>
  </si>
  <si>
    <t xml:space="preserve">TRI-REF-DBP-03SEL-S_014-CCM14_03_A_SE14</t>
  </si>
  <si>
    <t xml:space="preserve">20957934</t>
  </si>
  <si>
    <t xml:space="preserve">REF-615 CCM-14-03 AB</t>
  </si>
  <si>
    <t xml:space="preserve">RELEVADOR REF-615 CCM-14-03 AB</t>
  </si>
  <si>
    <t xml:space="preserve">20957935</t>
  </si>
  <si>
    <t xml:space="preserve">REF-615 CCM-14-03 B</t>
  </si>
  <si>
    <t xml:space="preserve">RELEVADOR REF-615 CCM-14-03 B</t>
  </si>
  <si>
    <t xml:space="preserve">TRI-REF-DBP-03SEL-S_014-CCM14_03_B_SE14</t>
  </si>
  <si>
    <t xml:space="preserve">20957936</t>
  </si>
  <si>
    <t xml:space="preserve">REF-615 CCM-14-10 A</t>
  </si>
  <si>
    <t xml:space="preserve">RELEVADOR REF-615 CCM-14-10 A</t>
  </si>
  <si>
    <t xml:space="preserve">TRI-REF-DBP-03SEL-S_014-CCM14_10_A_SE14</t>
  </si>
  <si>
    <t xml:space="preserve">20957937</t>
  </si>
  <si>
    <t xml:space="preserve">REF-615 CCM-14-10 AB</t>
  </si>
  <si>
    <t xml:space="preserve">RELEVADOR REF-615 CCM-14-10 AB</t>
  </si>
  <si>
    <t xml:space="preserve">20957938</t>
  </si>
  <si>
    <t xml:space="preserve">REF-615 CCM-14-10 B</t>
  </si>
  <si>
    <t xml:space="preserve">RELEVADOR REF-615 CCM-14-10 B</t>
  </si>
  <si>
    <t xml:space="preserve">TRI-REF-DBP-03SEL-S_014-CCM14_10_B_SE14</t>
  </si>
  <si>
    <t xml:space="preserve">20957939</t>
  </si>
  <si>
    <t xml:space="preserve">REF-615 CCM-14-11 A</t>
  </si>
  <si>
    <t xml:space="preserve">RELEVADOR REF-615 CCM-14-11 A</t>
  </si>
  <si>
    <t xml:space="preserve">TRI-REF-DBP-03SEL-S_014-CCM14_11_A_SE14</t>
  </si>
  <si>
    <t xml:space="preserve">20957940</t>
  </si>
  <si>
    <t xml:space="preserve">REF-615 CCM-14-11 AB</t>
  </si>
  <si>
    <t xml:space="preserve">RELEVADOR REF-615 CCM-14-11 AB</t>
  </si>
  <si>
    <t xml:space="preserve">20957941</t>
  </si>
  <si>
    <t xml:space="preserve">REF-615 CCM-14-11 B</t>
  </si>
  <si>
    <t xml:space="preserve">RELEVADOR REF-615 CCM-14-11 B</t>
  </si>
  <si>
    <t xml:space="preserve">TRI-REF-DBP-03SEL-S_014-CCM14_11_B_SE14</t>
  </si>
  <si>
    <t xml:space="preserve">20957942</t>
  </si>
  <si>
    <t xml:space="preserve">SEL-735 TDB-14-01 A</t>
  </si>
  <si>
    <t xml:space="preserve">RELEVADOR SEL-735 TDB-14-01 A</t>
  </si>
  <si>
    <t xml:space="preserve">TRI-REF-DBP-03SEL-S_014-TR_14_09_SE14</t>
  </si>
  <si>
    <t xml:space="preserve">20957943</t>
  </si>
  <si>
    <t xml:space="preserve">SEL-735 TDB-14-01 B</t>
  </si>
  <si>
    <t xml:space="preserve">RELEVADOR SEL-735 TDB-14-01 B</t>
  </si>
  <si>
    <t xml:space="preserve">TRI-REF-DBP-03SEL-S_014-TR_14_10_SE14</t>
  </si>
  <si>
    <t xml:space="preserve">20958043</t>
  </si>
  <si>
    <t xml:space="preserve">7SR51-IP-33-01</t>
  </si>
  <si>
    <t xml:space="preserve">RELEVADOR 7SR51-IP-33-01</t>
  </si>
  <si>
    <t xml:space="preserve">TRI-REF-DBP-07SEL-S_033-TR_33_01_SE33</t>
  </si>
  <si>
    <t xml:space="preserve">20958044</t>
  </si>
  <si>
    <t xml:space="preserve">7SR51-IP-33-02</t>
  </si>
  <si>
    <t xml:space="preserve">RELEVADOR 7SR51-IP-33-02</t>
  </si>
  <si>
    <t xml:space="preserve">TRI-REF-DBP-07SEL-S_033-TR_33_02_SE33</t>
  </si>
  <si>
    <t xml:space="preserve">20958045</t>
  </si>
  <si>
    <t xml:space="preserve">7SR51-CCM-33-01 A</t>
  </si>
  <si>
    <t xml:space="preserve">RELEVADOR 7SR51-CCM-33-01 A</t>
  </si>
  <si>
    <t xml:space="preserve">TRI-REF-DBP-07SEL-S_033-CCM33_01_A_SE33</t>
  </si>
  <si>
    <t xml:space="preserve">20958046</t>
  </si>
  <si>
    <t xml:space="preserve">7SR51-CCM-33-01 E</t>
  </si>
  <si>
    <t xml:space="preserve">RELEVADOR 7SR51-CCM-33-01 E</t>
  </si>
  <si>
    <t xml:space="preserve">20958047</t>
  </si>
  <si>
    <t xml:space="preserve">7SR51-CCM-33-01 B</t>
  </si>
  <si>
    <t xml:space="preserve">RELEVADOR 7SR51-CCM-33-01 B</t>
  </si>
  <si>
    <t xml:space="preserve">TRI-REF-DBP-07SEL-S_033-CCM33_01_B_SE33</t>
  </si>
  <si>
    <t xml:space="preserve">20958048</t>
  </si>
  <si>
    <t xml:space="preserve">7SR51-TR-33-03</t>
  </si>
  <si>
    <t xml:space="preserve">RELEVADOR 7SR51-TR-33-03</t>
  </si>
  <si>
    <t xml:space="preserve">TRI-REF-DBP-07SEL-S_033-TR_33_03_SE33</t>
  </si>
  <si>
    <t xml:space="preserve">20958049</t>
  </si>
  <si>
    <t xml:space="preserve">7SR51-BC-33-01</t>
  </si>
  <si>
    <t xml:space="preserve">RELEVADOR 7SR51-BC-33-01</t>
  </si>
  <si>
    <t xml:space="preserve">TRI-REF-DBP-07SEL-S_033-BC_33_01_SE33</t>
  </si>
  <si>
    <t xml:space="preserve">20958050</t>
  </si>
  <si>
    <t xml:space="preserve">7SR51-BC-33-02</t>
  </si>
  <si>
    <t xml:space="preserve">RELEVADOR 7SR51-BC-33-02</t>
  </si>
  <si>
    <t xml:space="preserve">TRI-REF-DBP-07SEL-S_033-BC_33_02_SE33</t>
  </si>
  <si>
    <t xml:space="preserve">20958051</t>
  </si>
  <si>
    <t xml:space="preserve">7SR51-TR-33-04</t>
  </si>
  <si>
    <t xml:space="preserve">RELEVADOR 7SR51-TR-33-04</t>
  </si>
  <si>
    <t xml:space="preserve">20958175</t>
  </si>
  <si>
    <t xml:space="preserve">SEL735-TDB-10-05 A</t>
  </si>
  <si>
    <t xml:space="preserve">RELEVADOR SEL735-TDB-10-05 A</t>
  </si>
  <si>
    <t xml:space="preserve">TRI-REF-DBP-07SEL-S_010-TR_10_05A_SE10</t>
  </si>
  <si>
    <t xml:space="preserve">20958176</t>
  </si>
  <si>
    <t xml:space="preserve">SEL735-TDB-10-05 B</t>
  </si>
  <si>
    <t xml:space="preserve">RELEVADOR SEL735-TDB-10-05 B</t>
  </si>
  <si>
    <t xml:space="preserve">TRI-REF-DBP-07SEL-S_010-TR_10_05B_SE10</t>
  </si>
  <si>
    <t xml:space="preserve">20958187</t>
  </si>
  <si>
    <t xml:space="preserve">7SR51-CCM-201-01 A</t>
  </si>
  <si>
    <t xml:space="preserve">RELEVADOR 7SR51-CCM-201-01 A</t>
  </si>
  <si>
    <t xml:space="preserve">TRI-REF-DBP-07SEL-S20_1-CCM201_01A_S201</t>
  </si>
  <si>
    <t xml:space="preserve">20958188</t>
  </si>
  <si>
    <t xml:space="preserve">7SR51-CCM-201-01 E</t>
  </si>
  <si>
    <t xml:space="preserve">RELEVADOR 7SR51-CCM-201-01 E</t>
  </si>
  <si>
    <t xml:space="preserve">20958189</t>
  </si>
  <si>
    <t xml:space="preserve">7SR51-CCM-201-01 B</t>
  </si>
  <si>
    <t xml:space="preserve">RELEVADOR 7SR51-CCM-201-01 B</t>
  </si>
  <si>
    <t xml:space="preserve">TRI-REF-DBP-07SEL-S20_1-CCM201_01B_S201</t>
  </si>
  <si>
    <t xml:space="preserve">20958190</t>
  </si>
  <si>
    <t xml:space="preserve">7SR51-TR-201-01</t>
  </si>
  <si>
    <t xml:space="preserve">RELEVADOR 7SR51-TR-201-01</t>
  </si>
  <si>
    <t xml:space="preserve">TRI-REF-DBP-07SEL-S20_1-TR201_01_SE20_1</t>
  </si>
  <si>
    <t xml:space="preserve">20958191</t>
  </si>
  <si>
    <t xml:space="preserve">7SR51-TR-201-02</t>
  </si>
  <si>
    <t xml:space="preserve">RELEVADOR 7SR51-TR-201-02</t>
  </si>
  <si>
    <t xml:space="preserve">TRI-REF-DBP-07SEL-S20_1-TR201_02_SE20_1</t>
  </si>
  <si>
    <t xml:space="preserve">20958192</t>
  </si>
  <si>
    <t xml:space="preserve">7KM5412-CCM-201-02 A</t>
  </si>
  <si>
    <t xml:space="preserve">RELEVADOR 7KM5412-CCM-201-02 A</t>
  </si>
  <si>
    <t xml:space="preserve">TRI-REF-DBP-07SEL-S20_1-CCM201_02A_S201</t>
  </si>
  <si>
    <t xml:space="preserve">20958193</t>
  </si>
  <si>
    <t xml:space="preserve">7KM5412-CCM-201-02 B</t>
  </si>
  <si>
    <t xml:space="preserve">RELEVADOR 7KM5412-CCM-201-02 B</t>
  </si>
  <si>
    <t xml:space="preserve">TRI-REF-DBP-07SEL-S20_1-CCM201_02B_S201</t>
  </si>
  <si>
    <t xml:space="preserve">20958194</t>
  </si>
  <si>
    <t xml:space="preserve">7KM5412-CCM-201-01 A</t>
  </si>
  <si>
    <t xml:space="preserve">RELEVADOR 7KM5412-CCM-201-01 A</t>
  </si>
  <si>
    <t xml:space="preserve">20958195</t>
  </si>
  <si>
    <t xml:space="preserve">7KM5412-CCM-201-01 B</t>
  </si>
  <si>
    <t xml:space="preserve">RELEVADOR 7KM5412-CCM-201-01 B</t>
  </si>
  <si>
    <t xml:space="preserve">20958196</t>
  </si>
  <si>
    <t xml:space="preserve">IP-CE191-01A</t>
  </si>
  <si>
    <t xml:space="preserve">RELEVADOR IP-CE191-01A</t>
  </si>
  <si>
    <t xml:space="preserve">TRI-REF-DBP-07SEL-CE191-TR_CE191_01</t>
  </si>
  <si>
    <t xml:space="preserve">SHNEIDER ELECTRIC</t>
  </si>
  <si>
    <t xml:space="preserve">20958197</t>
  </si>
  <si>
    <t xml:space="preserve">IP-CE191-01B</t>
  </si>
  <si>
    <t xml:space="preserve">RELEVADOR IP-CE191-01B</t>
  </si>
  <si>
    <t xml:space="preserve">TRI-REF-DBP-07SEL-CE191-TR_CE191_02</t>
  </si>
  <si>
    <t xml:space="preserve">20958198</t>
  </si>
  <si>
    <t xml:space="preserve">SHARK_250-CCM-CE191-01 A</t>
  </si>
  <si>
    <t xml:space="preserve">RELEVADOR SHARK_250-CCM-CE191-01 A</t>
  </si>
  <si>
    <t xml:space="preserve">TRI-REF-DBP-07SEL-CE191-CCM_CE191_01_A</t>
  </si>
  <si>
    <t xml:space="preserve">20958199</t>
  </si>
  <si>
    <t xml:space="preserve">SHARK_250-CCM-CE191-01 B</t>
  </si>
  <si>
    <t xml:space="preserve">RELEVADOR SHARK_250-CCM-CE191-01 B</t>
  </si>
  <si>
    <t xml:space="preserve">TRI-REF-DBP-07SEL-CE191-CCM_CE191_01_B</t>
  </si>
  <si>
    <t xml:space="preserve">20958200</t>
  </si>
  <si>
    <t xml:space="preserve">SEL735-TDB-CE191-01 A</t>
  </si>
  <si>
    <t xml:space="preserve">RELEVADOR SEL735-TDB-CE191-01 A</t>
  </si>
  <si>
    <t xml:space="preserve">TRI-REF-DBP-07SEL-CE191-TR_CE191_03</t>
  </si>
  <si>
    <t xml:space="preserve">20958201</t>
  </si>
  <si>
    <t xml:space="preserve">SEL735-TDB-CE191-01 B</t>
  </si>
  <si>
    <t xml:space="preserve">RELEVADOR SEL735-TDB-CE191-01 B</t>
  </si>
  <si>
    <t xml:space="preserve">TRI-REF-DBP-07SEL-CE191-TR_CE191_04</t>
  </si>
  <si>
    <t xml:space="preserve">20958205</t>
  </si>
  <si>
    <t xml:space="preserve">7SR51-BC-13-01</t>
  </si>
  <si>
    <t xml:space="preserve">RELEVADOR 7SR51-BC-13-01</t>
  </si>
  <si>
    <t xml:space="preserve">TRI-REF-DBP-07SEL-S_013-BC_13_01_SE_13</t>
  </si>
  <si>
    <t xml:space="preserve">20958206</t>
  </si>
  <si>
    <t xml:space="preserve">7SR51-TR-13-01</t>
  </si>
  <si>
    <t xml:space="preserve">RELEVADOR 7SR51-TR-13-01</t>
  </si>
  <si>
    <t xml:space="preserve">TRI-REF-DBP-07SEL-S_013-TR_13_01_SE_13</t>
  </si>
  <si>
    <t xml:space="preserve">20958207</t>
  </si>
  <si>
    <t xml:space="preserve">7SR51-CCM-13-01 A</t>
  </si>
  <si>
    <t xml:space="preserve">RELEVADOR 7SR51-CCM-13-01 A</t>
  </si>
  <si>
    <t xml:space="preserve">TRI-REF-DBP-07SEL-S_013-CCM_13_01_A_S13</t>
  </si>
  <si>
    <t xml:space="preserve">20958208</t>
  </si>
  <si>
    <t xml:space="preserve">7SR51-CCM-13-01 E</t>
  </si>
  <si>
    <t xml:space="preserve">RELEVADOR 7SR51-CCM-13-01 E</t>
  </si>
  <si>
    <t xml:space="preserve">20958209</t>
  </si>
  <si>
    <t xml:space="preserve">7SR51-CCM-13-01 B</t>
  </si>
  <si>
    <t xml:space="preserve">RELEVADOR 7SR51-CCM-13-01 B</t>
  </si>
  <si>
    <t xml:space="preserve">TRI-REF-DBP-07SEL-S_013-CCM_13_01_B_S13</t>
  </si>
  <si>
    <t xml:space="preserve">20958210</t>
  </si>
  <si>
    <t xml:space="preserve">7SR51-TR-13-02</t>
  </si>
  <si>
    <t xml:space="preserve">RELEVADOR 7SR51-TR-13-02</t>
  </si>
  <si>
    <t xml:space="preserve">TRI-REF-DBP-07SEL-S_013-TR_13_02_SE_13</t>
  </si>
  <si>
    <t xml:space="preserve">20958211</t>
  </si>
  <si>
    <t xml:space="preserve">7SR51-BC-13-02</t>
  </si>
  <si>
    <t xml:space="preserve">RELEVADOR 7SR51-BC-13-02</t>
  </si>
  <si>
    <t xml:space="preserve">TRI-REF-DBP-07SEL-S_013-BC_13_02_SE_13</t>
  </si>
  <si>
    <t xml:space="preserve">20958215</t>
  </si>
  <si>
    <t xml:space="preserve">7KM5412-CCM-13-02 A</t>
  </si>
  <si>
    <t xml:space="preserve">RELEVADOR 7KM5412-CCM-13-02 A</t>
  </si>
  <si>
    <t xml:space="preserve">TRI-REF-DBP-07SEL-S_013-CCM13_02_A_SE13</t>
  </si>
  <si>
    <t xml:space="preserve">20958216</t>
  </si>
  <si>
    <t xml:space="preserve">7KM5412-CCM-13-02 B</t>
  </si>
  <si>
    <t xml:space="preserve">RELEVADOR 7KM5412-CCM-13-02 B</t>
  </si>
  <si>
    <t xml:space="preserve">TRI-REF-DBP-07SEL-S_013-CCM13_02_B_SE13</t>
  </si>
  <si>
    <t xml:space="preserve">20958217</t>
  </si>
  <si>
    <t xml:space="preserve">7KM5412-TDB-13-01 A</t>
  </si>
  <si>
    <t xml:space="preserve">RELEVADOR 7KM5412-TDB-13-01 A</t>
  </si>
  <si>
    <t xml:space="preserve">TRI-REF-DBP-07SEL-S_013-TR_13_03_SE_13</t>
  </si>
  <si>
    <t xml:space="preserve">20958218</t>
  </si>
  <si>
    <t xml:space="preserve">7KM5412-TDB-13-01 B</t>
  </si>
  <si>
    <t xml:space="preserve">RELEVADOR 7KM5412-TDB-13-01 B</t>
  </si>
  <si>
    <t xml:space="preserve">TRI-REF-DBP-07SEL-S_013-TR_13_04_SE_13</t>
  </si>
  <si>
    <t xml:space="preserve">20960949</t>
  </si>
  <si>
    <t xml:space="preserve">GE-850 51-TR-101 A</t>
  </si>
  <si>
    <t xml:space="preserve">RELEVADOR GE-850 51-TR-101 A</t>
  </si>
  <si>
    <t xml:space="preserve">TRI-REF-DBP-04SEL-S_026-51TR_101A_SE26</t>
  </si>
  <si>
    <t xml:space="preserve">20960950</t>
  </si>
  <si>
    <t xml:space="preserve">GE-845-87T 51-TR-101 A</t>
  </si>
  <si>
    <t xml:space="preserve">RELEVADOR GE-845-87T 51-TR-101 A</t>
  </si>
  <si>
    <t xml:space="preserve">20960951</t>
  </si>
  <si>
    <t xml:space="preserve">GE-850 51-TDP-101 A</t>
  </si>
  <si>
    <t xml:space="preserve">RELEVADOR GE-850 51-TDP-101 A</t>
  </si>
  <si>
    <t xml:space="preserve">TRI-REF-DBP-04SEL-S_026-51TDP101_A_SE26</t>
  </si>
  <si>
    <t xml:space="preserve">20960952</t>
  </si>
  <si>
    <t xml:space="preserve">GE-B90-87B 51-TDP-101 A</t>
  </si>
  <si>
    <t xml:space="preserve">RELEVADOR GE-B90-87B 51-TDP-101 A</t>
  </si>
  <si>
    <t xml:space="preserve">RS-422</t>
  </si>
  <si>
    <t xml:space="preserve">20960953</t>
  </si>
  <si>
    <t xml:space="preserve">GE-850 51-TDP-101 AB</t>
  </si>
  <si>
    <t xml:space="preserve">RELEVADOR GE-850 51-TDP-101 AB</t>
  </si>
  <si>
    <t xml:space="preserve">20960954</t>
  </si>
  <si>
    <t xml:space="preserve">GE-850 51-TDP-101 B</t>
  </si>
  <si>
    <t xml:space="preserve">RELEVADOR GE-850 51-TDP-101 B</t>
  </si>
  <si>
    <t xml:space="preserve">TRI-REF-DBP-04SEL-S_026-51TDP101_B_SE26</t>
  </si>
  <si>
    <t xml:space="preserve">20960955</t>
  </si>
  <si>
    <t xml:space="preserve">GE-B90-87B 51-TDP-101 B</t>
  </si>
  <si>
    <t xml:space="preserve">RELEVADOR GE-B90-87B 51-TDP-101 B</t>
  </si>
  <si>
    <t xml:space="preserve">20960956</t>
  </si>
  <si>
    <t xml:space="preserve">GE-850 51-TR-101 B</t>
  </si>
  <si>
    <t xml:space="preserve">RELEVADOR GE-850 51-TR-101 B</t>
  </si>
  <si>
    <t xml:space="preserve">TRI-REF-DBP-04SEL-S_026-51TR_101B_SE26</t>
  </si>
  <si>
    <t xml:space="preserve">20960957</t>
  </si>
  <si>
    <t xml:space="preserve">GE-845-87T 51-TR-101 B</t>
  </si>
  <si>
    <t xml:space="preserve">RELEVADOR GE-845-87T 51-TR-101 B</t>
  </si>
  <si>
    <t xml:space="preserve">20960969</t>
  </si>
  <si>
    <t xml:space="preserve">GE-850 51-BC-201 A</t>
  </si>
  <si>
    <t xml:space="preserve">RELEVADOR GE-850 51-BC-201 A</t>
  </si>
  <si>
    <t xml:space="preserve">20960970</t>
  </si>
  <si>
    <t xml:space="preserve">GE-850 51-TR-203 A</t>
  </si>
  <si>
    <t xml:space="preserve">RELEVADOR GE-850 51-TR-203 A</t>
  </si>
  <si>
    <t xml:space="preserve">TRI-REF-DBP-04SEL-S_026-51_TR_203A_SE26</t>
  </si>
  <si>
    <t xml:space="preserve">20960971</t>
  </si>
  <si>
    <t xml:space="preserve">GE-850 51-TR-202 A</t>
  </si>
  <si>
    <t xml:space="preserve">RELEVADOR GE-850 51-TR-202 A</t>
  </si>
  <si>
    <t xml:space="preserve">TRI-REF-DBP-04SEL-S_026-51_TR_202A_SE26</t>
  </si>
  <si>
    <t xml:space="preserve">20958174</t>
  </si>
  <si>
    <t xml:space="preserve">BE1_700-CCM-10-03 B</t>
  </si>
  <si>
    <t xml:space="preserve">RELEVADOR BE1_700-CCM-10-03 B</t>
  </si>
  <si>
    <t xml:space="preserve">TRI-REF-DBP-07SEL-S_010-CCM10_03_B_SE10</t>
  </si>
  <si>
    <t xml:space="preserve">RS-232</t>
  </si>
  <si>
    <t xml:space="preserve">20958110</t>
  </si>
  <si>
    <t xml:space="preserve">7KM5412-TDB-21-01 B</t>
  </si>
  <si>
    <t xml:space="preserve">RELEVADOR 7KM5412-TDB-21-01 B</t>
  </si>
  <si>
    <t xml:space="preserve">20958121</t>
  </si>
  <si>
    <t xml:space="preserve">7SR51-CCM-211-01 A</t>
  </si>
  <si>
    <t xml:space="preserve">RELEVADOR 7SR51-CCM-211-01 A</t>
  </si>
  <si>
    <t xml:space="preserve">TRI-REF-DBP-07SEL-S_021-TR_21_02_SE24</t>
  </si>
  <si>
    <t xml:space="preserve">20958122</t>
  </si>
  <si>
    <t xml:space="preserve">7SR51-CCM-211-01 E</t>
  </si>
  <si>
    <t xml:space="preserve">RELEVADOR 7SR51-CCM-211-01 E</t>
  </si>
  <si>
    <t xml:space="preserve">20958123</t>
  </si>
  <si>
    <t xml:space="preserve">7SR51-CCM-211-01 B</t>
  </si>
  <si>
    <t xml:space="preserve">RELEVADOR 7SR51-CCM-211-01 B</t>
  </si>
  <si>
    <t xml:space="preserve">TRI-REF-DBP-07SEL-S21_1-CCM211_01B_S211</t>
  </si>
  <si>
    <t xml:space="preserve">20958124</t>
  </si>
  <si>
    <t xml:space="preserve">7SR51-TR-211-01</t>
  </si>
  <si>
    <t xml:space="preserve">RELEVADOR 7SR51-TR-211-01</t>
  </si>
  <si>
    <t xml:space="preserve">TRI-REF-DBP-07SEL-S21_1-TR_211_01_SE211</t>
  </si>
  <si>
    <t xml:space="preserve">20958125</t>
  </si>
  <si>
    <t xml:space="preserve">7SR51-TR-211-02</t>
  </si>
  <si>
    <t xml:space="preserve">RELEVADOR 7SR51-TR-211-02</t>
  </si>
  <si>
    <t xml:space="preserve">TRI-REF-DBP-07SEL-S21_1-TR_211_02_SE211</t>
  </si>
  <si>
    <t xml:space="preserve">20958126</t>
  </si>
  <si>
    <t xml:space="preserve">7KM5412-CCM-211-01 A</t>
  </si>
  <si>
    <t xml:space="preserve">RELEVADOR 7KM5412-CCM-211-01 A</t>
  </si>
  <si>
    <t xml:space="preserve">20958127</t>
  </si>
  <si>
    <t xml:space="preserve">7KM5412-CCM-211-01 B</t>
  </si>
  <si>
    <t xml:space="preserve">RELEVADOR 7KM5412-CCM-211-01 B</t>
  </si>
  <si>
    <t xml:space="preserve">20958128</t>
  </si>
  <si>
    <t xml:space="preserve">7KM5412-TDB-211-01 A</t>
  </si>
  <si>
    <t xml:space="preserve">RELEVADOR 7KM5412-TDB-211-01 A</t>
  </si>
  <si>
    <t xml:space="preserve">TRI-REF-DBP-07SEL-S21_1-TR211_03_SE21_1</t>
  </si>
  <si>
    <t xml:space="preserve">20958129</t>
  </si>
  <si>
    <t xml:space="preserve">7KM5412-TDB-211-01 B</t>
  </si>
  <si>
    <t xml:space="preserve">RELEVADOR 7KM5412-TDB-211-01 B</t>
  </si>
  <si>
    <t xml:space="preserve">TRI-REF-DBP-07SEL-S21_1-TR211_04_SE21_1</t>
  </si>
  <si>
    <t xml:space="preserve">20958139</t>
  </si>
  <si>
    <t xml:space="preserve">7SR51-IP-22-01</t>
  </si>
  <si>
    <t xml:space="preserve">RELEVADOR 7SR51-IP-22-01</t>
  </si>
  <si>
    <t xml:space="preserve">TRI-REF-DBP-07SEL-S_022-TR_22_01_SE22</t>
  </si>
  <si>
    <t xml:space="preserve">20958140</t>
  </si>
  <si>
    <t xml:space="preserve">7SR51-IP-22-02</t>
  </si>
  <si>
    <t xml:space="preserve">RELEVADOR 7SR51-IP-22-02</t>
  </si>
  <si>
    <t xml:space="preserve">TRI-REF-DBP-07SEL-S_022-TR_22_02_SE22</t>
  </si>
  <si>
    <t xml:space="preserve">20958141</t>
  </si>
  <si>
    <t xml:space="preserve">7KM5412-CCM-22-01 A</t>
  </si>
  <si>
    <t xml:space="preserve">RELEVADOR 7KM5412-CCM-22-01 A</t>
  </si>
  <si>
    <t xml:space="preserve">TRI-REF-DBP-07SEL-S_022-CCM22_01_A_SE22</t>
  </si>
  <si>
    <t xml:space="preserve">20958142</t>
  </si>
  <si>
    <t xml:space="preserve">7KM5412-CCM-22-01 B</t>
  </si>
  <si>
    <t xml:space="preserve">RELEVADOR 7KM5412-CCM-22-01 B</t>
  </si>
  <si>
    <t xml:space="preserve">TRI-REF-DBP-07SEL-S_022-CCM22_01_B_SE22</t>
  </si>
  <si>
    <t xml:space="preserve">20958143</t>
  </si>
  <si>
    <t xml:space="preserve">7KM5412-TDB-22-01 A</t>
  </si>
  <si>
    <t xml:space="preserve">RELEVADOR 7KM5412-TDB-22-01 A</t>
  </si>
  <si>
    <t xml:space="preserve">TRI-REF-DBP-07SEL-S_022-TR_22_03_SE22</t>
  </si>
  <si>
    <t xml:space="preserve">20958144</t>
  </si>
  <si>
    <t xml:space="preserve">7KM5412-TDB-22-01 B</t>
  </si>
  <si>
    <t xml:space="preserve">RELEVADOR 7KM5412-TDB-22-01 B</t>
  </si>
  <si>
    <t xml:space="preserve">TRI-REF-DBP-07SEL-S_022-TR_22_04_SE22</t>
  </si>
  <si>
    <t xml:space="preserve">20958145</t>
  </si>
  <si>
    <t xml:space="preserve">REF615-TDM-191-01 A</t>
  </si>
  <si>
    <t xml:space="preserve">RELEVADOR REF615-TDM-191-01 A</t>
  </si>
  <si>
    <t xml:space="preserve">TRI-REF-DBP-07SEL-S19_1-TDM191_01A_S191</t>
  </si>
  <si>
    <t xml:space="preserve">20958147</t>
  </si>
  <si>
    <t xml:space="preserve">REF615-TDM-191-01 B</t>
  </si>
  <si>
    <t xml:space="preserve">RELEVADOR REF615-TDM-191-01 B</t>
  </si>
  <si>
    <t xml:space="preserve">TRI-REF-DBP-07SEL-S19_1-TDM191_01B_S191</t>
  </si>
  <si>
    <t xml:space="preserve">20958148</t>
  </si>
  <si>
    <t xml:space="preserve">REF615-TR-191-01</t>
  </si>
  <si>
    <t xml:space="preserve">RELEVADOR REF615-TR-191-01</t>
  </si>
  <si>
    <t xml:space="preserve">TRI-REF-DBP-07SEL-S19_1-TR_191-01_S191</t>
  </si>
  <si>
    <t xml:space="preserve">20958149</t>
  </si>
  <si>
    <t xml:space="preserve">REF615-TR-191-02</t>
  </si>
  <si>
    <t xml:space="preserve">RELEVADOR REF615-TR-191-02</t>
  </si>
  <si>
    <t xml:space="preserve">TRI-REF-DBP-07SEL-S19_1-TR_191-02_S191</t>
  </si>
  <si>
    <t xml:space="preserve">20958150</t>
  </si>
  <si>
    <t xml:space="preserve">GE350-CCM-191-01 A</t>
  </si>
  <si>
    <t xml:space="preserve">RELEVADOR GE350-CCM-191-01 A</t>
  </si>
  <si>
    <t xml:space="preserve">TRI-REF-DBP-07SEL-S19_1-CCM191_01A_S191</t>
  </si>
  <si>
    <t xml:space="preserve">20958151</t>
  </si>
  <si>
    <t xml:space="preserve">GE350-CCM-191-01 B</t>
  </si>
  <si>
    <t xml:space="preserve">RELEVADOR GE350-CCM-191-01 B</t>
  </si>
  <si>
    <t xml:space="preserve">TRI-REF-DBP-07SEL-S19_1-CCM191_01B_S191</t>
  </si>
  <si>
    <t xml:space="preserve">20958152</t>
  </si>
  <si>
    <t xml:space="preserve">SEL735-TDB-191-01 A</t>
  </si>
  <si>
    <t xml:space="preserve">RELEVADOR SEL735-TDB-191-01 A</t>
  </si>
  <si>
    <t xml:space="preserve">TRI-REF-DBP-07SEL-S19_1-TR_191_21_S191</t>
  </si>
  <si>
    <t xml:space="preserve">OPTICO</t>
  </si>
  <si>
    <t xml:space="preserve">20958153</t>
  </si>
  <si>
    <t xml:space="preserve">SEL735-TDB-191-01 B</t>
  </si>
  <si>
    <t xml:space="preserve">RELEVADOR SEL735-TDB-191-01 B</t>
  </si>
  <si>
    <t xml:space="preserve">TRI-REF-DBP-07SEL-S19_1-TR_191_22_S191</t>
  </si>
  <si>
    <t xml:space="preserve">20958158</t>
  </si>
  <si>
    <t xml:space="preserve">7SR51-TDMT-10-01 A</t>
  </si>
  <si>
    <t xml:space="preserve">RELEVADOR 7SR51-TDMT-10-01 A</t>
  </si>
  <si>
    <t xml:space="preserve">TRI-REF-DBP-07SEL-S_010-TDMT10_01_A_S10</t>
  </si>
  <si>
    <t xml:space="preserve">20958159</t>
  </si>
  <si>
    <t xml:space="preserve">7SR51-TDMT-10-01 E</t>
  </si>
  <si>
    <t xml:space="preserve">RELEVADOR 7SR51-TDMT-10-01 E</t>
  </si>
  <si>
    <t xml:space="preserve">20958160</t>
  </si>
  <si>
    <t xml:space="preserve">7SR51-TDMT-10-01 B</t>
  </si>
  <si>
    <t xml:space="preserve">RELEVADOR 7SR51-TDMT-10-01 B</t>
  </si>
  <si>
    <t xml:space="preserve">TRI-REF-DBP-07SEL-S_010-TDMT10_01_B_S10</t>
  </si>
  <si>
    <t xml:space="preserve">20958161</t>
  </si>
  <si>
    <t xml:space="preserve">7SR51-BC-10-01 A</t>
  </si>
  <si>
    <t xml:space="preserve">RELEVADOR 7SR51-BC-10-01 A</t>
  </si>
  <si>
    <t xml:space="preserve">TRI-REF-DBP-07SEL-S_010-BC_10_01A_SE_10</t>
  </si>
  <si>
    <t xml:space="preserve">20958162</t>
  </si>
  <si>
    <t xml:space="preserve">7SR51-TR-10-03 A</t>
  </si>
  <si>
    <t xml:space="preserve">RELEVADOR 7SR51-TR-10-03 A</t>
  </si>
  <si>
    <t xml:space="preserve">TRI-REF-DBP-07SEL-S_010-TR_10_03A_SE_10</t>
  </si>
  <si>
    <t xml:space="preserve">20958163</t>
  </si>
  <si>
    <t xml:space="preserve">7SR51-TR-10-02 A</t>
  </si>
  <si>
    <t xml:space="preserve">RELEVADOR 7SR51-TR-10-02 A</t>
  </si>
  <si>
    <t xml:space="preserve">TRI-REF-DBP-07SEL-S_010-TR_10_02A_SE_10</t>
  </si>
  <si>
    <t xml:space="preserve">20958164</t>
  </si>
  <si>
    <t xml:space="preserve">7SR51-TR-10-01 A</t>
  </si>
  <si>
    <t xml:space="preserve">RELEVADOR 7SR51-TR-10-01 A</t>
  </si>
  <si>
    <t xml:space="preserve">TRI-REF-DBP-07SEL-S_010-TR_10_01A_SE_10</t>
  </si>
  <si>
    <t xml:space="preserve">20958165</t>
  </si>
  <si>
    <t xml:space="preserve">7SR51-TR-10-01 B</t>
  </si>
  <si>
    <t xml:space="preserve">RELEVADOR 7SR51-TR-10-01 B</t>
  </si>
  <si>
    <t xml:space="preserve">TRI-REF-DBP-07SEL-S_010-TR_10_01B_SE_10</t>
  </si>
  <si>
    <t xml:space="preserve">20958166</t>
  </si>
  <si>
    <t xml:space="preserve">7SR51-TR-10-02 B</t>
  </si>
  <si>
    <t xml:space="preserve">RELEVADOR 7SR51-TR-10-02 B</t>
  </si>
  <si>
    <t xml:space="preserve">TRI-REF-DBP-07SEL-S_010-TR_10_02B_SE_10</t>
  </si>
  <si>
    <t xml:space="preserve">20958167</t>
  </si>
  <si>
    <t xml:space="preserve">7SR51-TR-10-03 B</t>
  </si>
  <si>
    <t xml:space="preserve">RELEVADOR 7SR51-TR-10-03 B</t>
  </si>
  <si>
    <t xml:space="preserve">TRI-REF-DBP-07SEL-S_010-TR_10_03B_SE_10</t>
  </si>
  <si>
    <t xml:space="preserve">20958168</t>
  </si>
  <si>
    <t xml:space="preserve">7SR51-BC-10-01 B</t>
  </si>
  <si>
    <t xml:space="preserve">RELEVADOR 7SR51-BC-10-01 B</t>
  </si>
  <si>
    <t xml:space="preserve">TRI-REF-DBP-07SEL-S_010-BC_10_01B_SE_10</t>
  </si>
  <si>
    <t xml:space="preserve">20958169</t>
  </si>
  <si>
    <t xml:space="preserve">BE1_700-CCM-10-01 A</t>
  </si>
  <si>
    <t xml:space="preserve">RELEVADOR BE1_700-CCM-10-01 A</t>
  </si>
  <si>
    <t xml:space="preserve">TRI-REF-DBP-07SEL-S_010-CCM10_01_A_SE10</t>
  </si>
  <si>
    <t xml:space="preserve">20958170</t>
  </si>
  <si>
    <t xml:space="preserve">BE1_700-CCM-10-01 B</t>
  </si>
  <si>
    <t xml:space="preserve">RELEVADOR BE1_700-CCM-10-01 B</t>
  </si>
  <si>
    <t xml:space="preserve">TRI-REF-DBP-07SEL-S_010-CCM10_01_B_SE10</t>
  </si>
  <si>
    <t xml:space="preserve">20958171</t>
  </si>
  <si>
    <t xml:space="preserve">BE1_700-CCM-10-02 A</t>
  </si>
  <si>
    <t xml:space="preserve">RELEVADOR BE1_700-CCM-10-02 A</t>
  </si>
  <si>
    <t xml:space="preserve">TRI-REF-DBP-07SEL-S_010-CCM10_02_A_SE10</t>
  </si>
  <si>
    <t xml:space="preserve">20958172</t>
  </si>
  <si>
    <t xml:space="preserve">BE1_700-CCM-10-02 B</t>
  </si>
  <si>
    <t xml:space="preserve">RELEVADOR BE1_700-CCM-10-02 B</t>
  </si>
  <si>
    <t xml:space="preserve">TRI-REF-DBP-07SEL-S_010-CCM10_02_B_SE10</t>
  </si>
  <si>
    <t xml:space="preserve">20958173</t>
  </si>
  <si>
    <t xml:space="preserve">BE1_700-CCM-10-03 A</t>
  </si>
  <si>
    <t xml:space="preserve">RELEVADOR BE1_700-CCM-10-03 A</t>
  </si>
  <si>
    <t xml:space="preserve">TRI-REF-DBP-07SEL-S_010-CCM10_03_A_SE10</t>
  </si>
  <si>
    <t xml:space="preserve">20957907</t>
  </si>
  <si>
    <t xml:space="preserve">REF-615 TR-14-03</t>
  </si>
  <si>
    <t xml:space="preserve">RELEVADOR REF-615 TR-14-03</t>
  </si>
  <si>
    <t xml:space="preserve">TRI-REF-DBP-03SEL-S_014-TR_14_03_SE_14</t>
  </si>
  <si>
    <t xml:space="preserve">20957745</t>
  </si>
  <si>
    <t xml:space="preserve">GE-850 62-TDMT-201 AB</t>
  </si>
  <si>
    <t xml:space="preserve">RELEVADOR GE-850 62-TDMT-201 AB</t>
  </si>
  <si>
    <t xml:space="preserve">TRI-REF-DBP-05SEL-S_004-62TDMT_201A_SE4</t>
  </si>
  <si>
    <t xml:space="preserve">20957746</t>
  </si>
  <si>
    <t xml:space="preserve">GE-850 62-TDMT-201 A</t>
  </si>
  <si>
    <t xml:space="preserve">RELEVADOR GE-850 62-TDMT-201 A</t>
  </si>
  <si>
    <t xml:space="preserve">20957747</t>
  </si>
  <si>
    <t xml:space="preserve">GE-850 62-TDMT-201 B</t>
  </si>
  <si>
    <t xml:space="preserve">RELEVADOR GE-850 62-TDMT-201 B</t>
  </si>
  <si>
    <t xml:space="preserve">TRI-REF-DBP-05SEL-S_004-62TDMT_201B_SE4</t>
  </si>
  <si>
    <t xml:space="preserve">20957748</t>
  </si>
  <si>
    <t xml:space="preserve">GE-850 62-TR-201 A</t>
  </si>
  <si>
    <t xml:space="preserve">RELEVADOR GE-850 62-TR-201 A</t>
  </si>
  <si>
    <t xml:space="preserve">TRI-REF-DBP-05SEL-S_004-62_TR_201A_SE4</t>
  </si>
  <si>
    <t xml:space="preserve">20957749</t>
  </si>
  <si>
    <t xml:space="preserve">GE-850 62-TR-201 B</t>
  </si>
  <si>
    <t xml:space="preserve">RELEVADOR GE-850 62-TR-201 B</t>
  </si>
  <si>
    <t xml:space="preserve">TRI-REF-DBP-05SEL-S_004-62_TR_201B_SE4</t>
  </si>
  <si>
    <t xml:space="preserve">20957750</t>
  </si>
  <si>
    <t xml:space="preserve">GE-850 62-TR-202 A</t>
  </si>
  <si>
    <t xml:space="preserve">RELEVADOR GE-850 62-TR-202 A</t>
  </si>
  <si>
    <t xml:space="preserve">TRI-REF-DBP-05SEL-S_004-62_TR_202A_SE4</t>
  </si>
  <si>
    <t xml:space="preserve">20957751</t>
  </si>
  <si>
    <t xml:space="preserve">GE-850 62-TR-202 B</t>
  </si>
  <si>
    <t xml:space="preserve">RELEVADOR GE-850 62-TR-202 B</t>
  </si>
  <si>
    <t xml:space="preserve">TRI-REF-DBP-05SEL-S_004-62_TR_202B_SE4</t>
  </si>
  <si>
    <t xml:space="preserve">20957752</t>
  </si>
  <si>
    <t xml:space="preserve">GE-850 62-TR-203 A</t>
  </si>
  <si>
    <t xml:space="preserve">RELEVADOR GE-850 62-TR-203 A</t>
  </si>
  <si>
    <t xml:space="preserve">TRI-REF-DBP-05SEL-S_004-62_TR_203A_SE4</t>
  </si>
  <si>
    <t xml:space="preserve">20957753</t>
  </si>
  <si>
    <t xml:space="preserve">GE-850 62-TR-203 B</t>
  </si>
  <si>
    <t xml:space="preserve">RELEVADOR GE-850 62-TR-203 B</t>
  </si>
  <si>
    <t xml:space="preserve">TRI-REF-DBP-05SEL-S_004-62_TR_203B_SE4</t>
  </si>
  <si>
    <t xml:space="preserve">20957754</t>
  </si>
  <si>
    <t xml:space="preserve">GE-850 62-BC-201 A</t>
  </si>
  <si>
    <t xml:space="preserve">RELEVADOR GE-850 62-BC-201 A</t>
  </si>
  <si>
    <t xml:space="preserve">TRI-REF-DBP-05SEL-S_004-62_BC_201A_SE4</t>
  </si>
  <si>
    <t xml:space="preserve">20957755</t>
  </si>
  <si>
    <t xml:space="preserve">GE-850 62-BC-201 B</t>
  </si>
  <si>
    <t xml:space="preserve">RELEVADOR GE-850 62-BC-201 B</t>
  </si>
  <si>
    <t xml:space="preserve">TRI-REF-DBP-05SEL-S_004-62_BC_201B_SE4</t>
  </si>
  <si>
    <t xml:space="preserve">20957756</t>
  </si>
  <si>
    <t xml:space="preserve">SEL-735 62-CCM-301 A</t>
  </si>
  <si>
    <t xml:space="preserve">RELEVADOR SEL-735 62-CCM-301 A</t>
  </si>
  <si>
    <t xml:space="preserve">TRI-REF-DBP-05SEL-S_004-62CCM_301_A_SE4</t>
  </si>
  <si>
    <t xml:space="preserve">20957757</t>
  </si>
  <si>
    <t xml:space="preserve">SEL-735 62-CCM-301 B</t>
  </si>
  <si>
    <t xml:space="preserve">RELEVADOR SEL-735 62-CCM-301 B</t>
  </si>
  <si>
    <t xml:space="preserve">TRI-REF-DBP-05SEL-S_004-62CCM_301_B_SE4</t>
  </si>
  <si>
    <t xml:space="preserve">20957758</t>
  </si>
  <si>
    <t xml:space="preserve">SEL-735 62-CCM-302 A</t>
  </si>
  <si>
    <t xml:space="preserve">RELEVADOR SEL-735 62-CCM-302 A</t>
  </si>
  <si>
    <t xml:space="preserve">TRI-REF-DBP-05SEL-S_004-62CCM_302_A_SE4</t>
  </si>
  <si>
    <t xml:space="preserve">20957759</t>
  </si>
  <si>
    <t xml:space="preserve">SEL-735 62-CCM-302 B</t>
  </si>
  <si>
    <t xml:space="preserve">RELEVADOR SEL-735 62-CCM-302 B</t>
  </si>
  <si>
    <t xml:space="preserve">TRI-REF-DBP-05SEL-S_004-62CCM_302_B_SE4</t>
  </si>
  <si>
    <t xml:space="preserve">20957760</t>
  </si>
  <si>
    <t xml:space="preserve">SEL-735 62-CCM-303 A</t>
  </si>
  <si>
    <t xml:space="preserve">RELEVADOR SEL-735 62-CCM-303 A</t>
  </si>
  <si>
    <t xml:space="preserve">TRI-REF-DBP-05SEL-S_004-62CCM_303_A_SE4</t>
  </si>
  <si>
    <t xml:space="preserve">20957761</t>
  </si>
  <si>
    <t xml:space="preserve">SEL-735 62-CCM-303 B</t>
  </si>
  <si>
    <t xml:space="preserve">RELEVADOR SEL-735 62-CCM-303 B</t>
  </si>
  <si>
    <t xml:space="preserve">TRI-REF-DBP-05SEL-S_004-62CCM_303_B_SE4</t>
  </si>
  <si>
    <t xml:space="preserve">20957762</t>
  </si>
  <si>
    <t xml:space="preserve">SEL-735 62-TD-401 A</t>
  </si>
  <si>
    <t xml:space="preserve">RELEVADOR SEL-735 62-TD-401 A</t>
  </si>
  <si>
    <t xml:space="preserve">TRI-REF-DBP-05SEL-S_004-62_TR_301A_SE4</t>
  </si>
  <si>
    <t xml:space="preserve">20957763</t>
  </si>
  <si>
    <t xml:space="preserve">SEL-735 62-TD-401 B</t>
  </si>
  <si>
    <t xml:space="preserve">RELEVADOR SEL-735 62-TD-401 B</t>
  </si>
  <si>
    <t xml:space="preserve">TRI-REF-DBP-05SEL-S_004-62_TR_301B_SE4</t>
  </si>
  <si>
    <t xml:space="preserve">20957764</t>
  </si>
  <si>
    <t xml:space="preserve">SEL-735 62-TD-402 A</t>
  </si>
  <si>
    <t xml:space="preserve">RELEVADOR SEL-735 62-TD-402 A</t>
  </si>
  <si>
    <t xml:space="preserve">TRI-REF-DBP-05SEL-S_004-62_TR_302A_SE4</t>
  </si>
  <si>
    <t xml:space="preserve">20957765</t>
  </si>
  <si>
    <t xml:space="preserve">SEL-735 62-TD-402 B</t>
  </si>
  <si>
    <t xml:space="preserve">RELEVADOR SEL-735 62-TD-402 B</t>
  </si>
  <si>
    <t xml:space="preserve">TRI-REF-DBP-05SEL-S_004-62_TR_302B_SE4</t>
  </si>
  <si>
    <t xml:space="preserve">20957766</t>
  </si>
  <si>
    <t xml:space="preserve">SEL-735 62-TD-403 A</t>
  </si>
  <si>
    <t xml:space="preserve">RELEVADOR SEL-735 62-TD-403 A</t>
  </si>
  <si>
    <t xml:space="preserve">TRI-REF-DBP-05SEL-S_004-62_TR_303A_SE4</t>
  </si>
  <si>
    <t xml:space="preserve">20957767</t>
  </si>
  <si>
    <t xml:space="preserve">SEL-735 62-TD-403 B</t>
  </si>
  <si>
    <t xml:space="preserve">RELEVADOR SEL-735 62-TD-403 B</t>
  </si>
  <si>
    <t xml:space="preserve">TRI-REF-DBP-05SEL-S_004-62_TR_303B_SE4</t>
  </si>
  <si>
    <t xml:space="preserve">20957768</t>
  </si>
  <si>
    <t xml:space="preserve">GE-B90-87B 71-TDP-101 A</t>
  </si>
  <si>
    <t xml:space="preserve">RELEVADOR GE-B90-87B 71-TDP-101 A</t>
  </si>
  <si>
    <t xml:space="preserve">TRI-REF-DBP-05SEL-S_011-71TDP_101_A_SE11</t>
  </si>
  <si>
    <t xml:space="preserve">RS-485</t>
  </si>
  <si>
    <t xml:space="preserve">20957769</t>
  </si>
  <si>
    <t xml:space="preserve">GE-B90-87B 71-TDP-101 B</t>
  </si>
  <si>
    <t xml:space="preserve">RELEVADOR GE-B90-87B 71-TDP-101 B</t>
  </si>
  <si>
    <t xml:space="preserve">TRI-REF-DBP-05SEL-S_011-71TDP_101_B_SE11</t>
  </si>
  <si>
    <t xml:space="preserve">20957770</t>
  </si>
  <si>
    <t xml:space="preserve">GE-850 71-TDP-101 A</t>
  </si>
  <si>
    <t xml:space="preserve">RELEVADOR GE-850 71-TDP-101 A</t>
  </si>
  <si>
    <t xml:space="preserve">20957771</t>
  </si>
  <si>
    <t xml:space="preserve">GE-850 71-TDP-101 B</t>
  </si>
  <si>
    <t xml:space="preserve">RELEVADOR GE-850 71-TDP-101 B</t>
  </si>
  <si>
    <t xml:space="preserve">20957772</t>
  </si>
  <si>
    <t xml:space="preserve">GE-850 71-TDP-101 AB</t>
  </si>
  <si>
    <t xml:space="preserve">RELEVADOR GE-850 71-TDP-101 AB</t>
  </si>
  <si>
    <t xml:space="preserve">20957773</t>
  </si>
  <si>
    <t xml:space="preserve">GE-850 71-TR-101 A</t>
  </si>
  <si>
    <t xml:space="preserve">RELEVADOR GE-850 71-TR-101 A</t>
  </si>
  <si>
    <t xml:space="preserve">TRI-REF-DBP-05SEL-S_011-71TR_101A_SE11</t>
  </si>
  <si>
    <t xml:space="preserve">20957774</t>
  </si>
  <si>
    <t xml:space="preserve">GE-845-87T 71-TR-101 A</t>
  </si>
  <si>
    <t xml:space="preserve">RELEVADOR GE-845-87T 71-TR-101 A</t>
  </si>
  <si>
    <t xml:space="preserve">20957775</t>
  </si>
  <si>
    <t xml:space="preserve">GE-850 71-TR-101 B</t>
  </si>
  <si>
    <t xml:space="preserve">RELEVADOR GE-850 71-TR-101 B</t>
  </si>
  <si>
    <t xml:space="preserve">TRI-REF-DBP-05SEL-S_011-71TR_101B_SE11</t>
  </si>
  <si>
    <t xml:space="preserve">20957776</t>
  </si>
  <si>
    <t xml:space="preserve">GE-845-87T 71-TR-101 B</t>
  </si>
  <si>
    <t xml:space="preserve">RELEVADOR GE-845-87T 71-TR-101 B</t>
  </si>
  <si>
    <t xml:space="preserve">20957777</t>
  </si>
  <si>
    <t xml:space="preserve">GE-850 71-BC-201 A</t>
  </si>
  <si>
    <t xml:space="preserve">RELEVADOR GE-850 71-BC-201 A</t>
  </si>
  <si>
    <t xml:space="preserve">TRI-REF-DBP-05SEL-S_011-71_BC_101A_SE11</t>
  </si>
  <si>
    <t xml:space="preserve">20957778</t>
  </si>
  <si>
    <t xml:space="preserve">GE-850 71-BC-201 B</t>
  </si>
  <si>
    <t xml:space="preserve">RELEVADOR GE-850 71-BC-201 B</t>
  </si>
  <si>
    <t xml:space="preserve">TRI-REF-DBP-05SEL-S_011-71_BC_101B_SE11</t>
  </si>
  <si>
    <t xml:space="preserve">20957779</t>
  </si>
  <si>
    <t xml:space="preserve">GE-850 71-TDMT-201 AB</t>
  </si>
  <si>
    <t xml:space="preserve">RELEVADOR GE-850 71-TDMT-201 AB</t>
  </si>
  <si>
    <t xml:space="preserve">TRI-REF-DBP-05SEL-S_011-71TDMT201A_SE11</t>
  </si>
  <si>
    <t xml:space="preserve">20957780</t>
  </si>
  <si>
    <t xml:space="preserve">GE-850 71-TDMT-201 A</t>
  </si>
  <si>
    <t xml:space="preserve">RELEVADOR GE-850 71-TDMT-201 A</t>
  </si>
  <si>
    <t xml:space="preserve">20957781</t>
  </si>
  <si>
    <t xml:space="preserve">GE-850 71-TDMT-201 B</t>
  </si>
  <si>
    <t xml:space="preserve">RELEVADOR GE-850 71-TDMT-201 B</t>
  </si>
  <si>
    <t xml:space="preserve">TRI-REF-DBP-05SEL-S_011-71TDMT201B-SE11</t>
  </si>
  <si>
    <t xml:space="preserve">20957782</t>
  </si>
  <si>
    <t xml:space="preserve">GE-850 71-TR-201 A</t>
  </si>
  <si>
    <t xml:space="preserve">RELEVADOR GE-850 71-TR-201 A</t>
  </si>
  <si>
    <t xml:space="preserve">TRI-REF-DBP-05SEL-S_011-71TR_201A_SE11</t>
  </si>
  <si>
    <t xml:space="preserve">20957783</t>
  </si>
  <si>
    <t xml:space="preserve">GE-850 71-TR-201 B</t>
  </si>
  <si>
    <t xml:space="preserve">RELEVADOR GE-850 71-TR-201 B</t>
  </si>
  <si>
    <t xml:space="preserve">TRI-REF-DBP-05SEL-S_011-71TR_201B_SE11</t>
  </si>
  <si>
    <t xml:space="preserve">20957784</t>
  </si>
  <si>
    <t xml:space="preserve">GE-850 71-TR-202 A</t>
  </si>
  <si>
    <t xml:space="preserve">RELEVADOR GE-850 71-TR-202 A</t>
  </si>
  <si>
    <t xml:space="preserve">TRI-REF-DBP-05SEL-S_011-71TR_202A_SE11</t>
  </si>
  <si>
    <t xml:space="preserve">20957744</t>
  </si>
  <si>
    <t xml:space="preserve">GE-845-87T 62-TR-101 B</t>
  </si>
  <si>
    <t xml:space="preserve">RELEVADOR GE-845-87T 62-TR-101 B</t>
  </si>
  <si>
    <t xml:space="preserve">TRI-REF-DBP-05SEL-S_004-62_TR_101B_SE4</t>
  </si>
  <si>
    <t xml:space="preserve">20957692</t>
  </si>
  <si>
    <t xml:space="preserve">GE-B90-87B 61-TDP-101 A</t>
  </si>
  <si>
    <t xml:space="preserve">RELEVADOR GE-B90-87B 61-TDP-101 A</t>
  </si>
  <si>
    <t xml:space="preserve">TRI-REF-DBP-05SEL-S_003-61TDP_101_A_SE3</t>
  </si>
  <si>
    <t xml:space="preserve">20957693</t>
  </si>
  <si>
    <t xml:space="preserve">GE-B90-87B 61-TDP-101 B</t>
  </si>
  <si>
    <t xml:space="preserve">RELEVADOR GE-B90-87B 61-TDP-101 B</t>
  </si>
  <si>
    <t xml:space="preserve">TRI-REF-DBP-05SEL-S_003-61TDP_101_B_SE3</t>
  </si>
  <si>
    <t xml:space="preserve">20957694</t>
  </si>
  <si>
    <t xml:space="preserve">GE-850 61-TDP-101 A</t>
  </si>
  <si>
    <t xml:space="preserve">RELEVADOR GE-850 61-TDP-101 A</t>
  </si>
  <si>
    <t xml:space="preserve">20957695</t>
  </si>
  <si>
    <t xml:space="preserve">GE-850 61-TDP-101 B</t>
  </si>
  <si>
    <t xml:space="preserve">RELEVADOR GE-850 61-TDP-101 B</t>
  </si>
  <si>
    <t xml:space="preserve">20957696</t>
  </si>
  <si>
    <t xml:space="preserve">GE-850 61-TDP-101 AB</t>
  </si>
  <si>
    <t xml:space="preserve">RELEVADOR GE-850 61-TDP-101 AB</t>
  </si>
  <si>
    <t xml:space="preserve">20957697</t>
  </si>
  <si>
    <t xml:space="preserve">GE-850 61-TR-101 A</t>
  </si>
  <si>
    <t xml:space="preserve">RELEVADOR GE-850 61-TR-101 A</t>
  </si>
  <si>
    <t xml:space="preserve">TRI-REF-DBP-05SEL-S_003-61_TR_101A_SE3</t>
  </si>
  <si>
    <t xml:space="preserve">20957698</t>
  </si>
  <si>
    <t xml:space="preserve">GE-845-87T 61-TR-101 A</t>
  </si>
  <si>
    <t xml:space="preserve">RELEVADOR GE-845-87T 61-TR-101 A</t>
  </si>
  <si>
    <t xml:space="preserve">20957699</t>
  </si>
  <si>
    <t xml:space="preserve">GE-850 61-TR-101 B</t>
  </si>
  <si>
    <t xml:space="preserve">RELEVADOR GE-850 61-TR-101 B</t>
  </si>
  <si>
    <t xml:space="preserve">TRI-REF-DBP-05SEL-S_003-61_TR_101B_SE3</t>
  </si>
  <si>
    <t xml:space="preserve">20957700</t>
  </si>
  <si>
    <t xml:space="preserve">GE-845-87T 61-TR-101 B</t>
  </si>
  <si>
    <t xml:space="preserve">RELEVADOR GE-845-87T 61-TR-101 B</t>
  </si>
  <si>
    <t xml:space="preserve">20957705</t>
  </si>
  <si>
    <t xml:space="preserve">GE-850 61-TDMT-201 AB</t>
  </si>
  <si>
    <t xml:space="preserve">RELEVADOR GE-850 61-TDMT-201 AB</t>
  </si>
  <si>
    <t xml:space="preserve">TRI-REF-DBP-05SEL-S_003-61TDMT_201A_SE3</t>
  </si>
  <si>
    <t xml:space="preserve">20957706</t>
  </si>
  <si>
    <t xml:space="preserve">GE-850 61-TDMT-201 A</t>
  </si>
  <si>
    <t xml:space="preserve">RELEVADOR GE-850 61-TDMT-201 A</t>
  </si>
  <si>
    <t xml:space="preserve">20957707</t>
  </si>
  <si>
    <t xml:space="preserve">GE-850 61-TDMT-201 B</t>
  </si>
  <si>
    <t xml:space="preserve">RELEVADOR GE-850 61-TDMT-201 B</t>
  </si>
  <si>
    <t xml:space="preserve">TRI-REF-DBP-05SEL-S_003-61TDMT_201B_SE3</t>
  </si>
  <si>
    <t xml:space="preserve">20957708</t>
  </si>
  <si>
    <t xml:space="preserve">GE-850 61-TR-201 A</t>
  </si>
  <si>
    <t xml:space="preserve">RELEVADOR GE-850 61-TR-201 A</t>
  </si>
  <si>
    <t xml:space="preserve">TRI-REF-DBP-05SEL-S_003-61_TR_201A_SE3</t>
  </si>
  <si>
    <t xml:space="preserve">20957709</t>
  </si>
  <si>
    <t xml:space="preserve">GE-850 61-TR-201 B</t>
  </si>
  <si>
    <t xml:space="preserve">RELEVADOR GE-850 61-TR-201 B</t>
  </si>
  <si>
    <t xml:space="preserve">TRI-REF-DBP-05SEL-S_003-61_TR_201B_SE3</t>
  </si>
  <si>
    <t xml:space="preserve">20957710</t>
  </si>
  <si>
    <t xml:space="preserve">GE-850 61-TR-202 A</t>
  </si>
  <si>
    <t xml:space="preserve">RELEVADOR GE-850 61-TR-202 A</t>
  </si>
  <si>
    <t xml:space="preserve">TRI-REF-DBP-05SEL-S_003-61_TR_202A_SE3</t>
  </si>
  <si>
    <t xml:space="preserve">20957711</t>
  </si>
  <si>
    <t xml:space="preserve">GE-850 61-TR-202 B</t>
  </si>
  <si>
    <t xml:space="preserve">RELEVADOR GE-850 61-TR-202 B</t>
  </si>
  <si>
    <t xml:space="preserve">TRI-REF-DBP-05SEL-S_003-61_TR_202B_SE3</t>
  </si>
  <si>
    <t xml:space="preserve">20957712</t>
  </si>
  <si>
    <t xml:space="preserve">GE-850 61-TR-203 A</t>
  </si>
  <si>
    <t xml:space="preserve">RELEVADOR GE-850 61-TR-203 A</t>
  </si>
  <si>
    <t xml:space="preserve">TRI-REF-DBP-05SEL-S_003-61_TR_203A_SE3</t>
  </si>
  <si>
    <t xml:space="preserve">20957713</t>
  </si>
  <si>
    <t xml:space="preserve">GE-850 61-TR-203 B</t>
  </si>
  <si>
    <t xml:space="preserve">RELEVADOR GE-850 61-TR-203 B</t>
  </si>
  <si>
    <t xml:space="preserve">TRI-REF-DBP-05SEL-S_003-61_TR_203B_SE3</t>
  </si>
  <si>
    <t xml:space="preserve">20957714</t>
  </si>
  <si>
    <t xml:space="preserve">GE-850 61-BC-201 A</t>
  </si>
  <si>
    <t xml:space="preserve">RELEVADOR GE-850 61-BC-201 A</t>
  </si>
  <si>
    <t xml:space="preserve">TRI-REF-DBP-05SEL-S_003-61_BC_201A_SE3</t>
  </si>
  <si>
    <t xml:space="preserve">20957715</t>
  </si>
  <si>
    <t xml:space="preserve">GE-850 61-BC-201 B</t>
  </si>
  <si>
    <t xml:space="preserve">RELEVADOR GE-850 61-BC-201 B</t>
  </si>
  <si>
    <t xml:space="preserve">TRI-REF-DBP-05SEL-S_003-61_BC_201B_SE3</t>
  </si>
  <si>
    <t xml:space="preserve">20957724</t>
  </si>
  <si>
    <t xml:space="preserve">SEL-735 61-CCM-301 A</t>
  </si>
  <si>
    <t xml:space="preserve">RELEVADOR SEL-735 61-CCM-301 A</t>
  </si>
  <si>
    <t xml:space="preserve">TRI-REF-DBP-05SEL-S_003-61CCM_301A_SE3</t>
  </si>
  <si>
    <t xml:space="preserve">20957725</t>
  </si>
  <si>
    <t xml:space="preserve">SEL-735 61-CCM-301 B</t>
  </si>
  <si>
    <t xml:space="preserve">RELEVADOR SEL-735 61-CCM-301 B</t>
  </si>
  <si>
    <t xml:space="preserve">TRI-REF-DBP-05SEL-S_003-61CCM_301B_SE3</t>
  </si>
  <si>
    <t xml:space="preserve">20957726</t>
  </si>
  <si>
    <t xml:space="preserve">SEL-735 61-CCM-302 A</t>
  </si>
  <si>
    <t xml:space="preserve">RELEVADOR SEL-735 61-CCM-302 A</t>
  </si>
  <si>
    <t xml:space="preserve">TRI-REF-DBP-05SEL-S_003-61CCM_302A_SE3</t>
  </si>
  <si>
    <t xml:space="preserve">20957727</t>
  </si>
  <si>
    <t xml:space="preserve">SEL-735 61-CCM-302 B</t>
  </si>
  <si>
    <t xml:space="preserve">RELEVADOR SEL-735 61-CCM-302 B</t>
  </si>
  <si>
    <t xml:space="preserve">TRI-REF-DBP-05SEL-S_003-61CCM_302B_SE3</t>
  </si>
  <si>
    <t xml:space="preserve">20957728</t>
  </si>
  <si>
    <t xml:space="preserve">SEL-735 61-CCM-303 A</t>
  </si>
  <si>
    <t xml:space="preserve">RELEVADOR SEL-735 61-CCM-303 A</t>
  </si>
  <si>
    <t xml:space="preserve">TRI-REF-DBP-05SEL-S_003-61CCM_303A_SE3</t>
  </si>
  <si>
    <t xml:space="preserve">20957729</t>
  </si>
  <si>
    <t xml:space="preserve">SEL-735 61-CCM-303 B</t>
  </si>
  <si>
    <t xml:space="preserve">RELEVADOR SEL-735 61-CCM-303 B</t>
  </si>
  <si>
    <t xml:space="preserve">TRI-REF-DBP-05SEL-S_003-61CCM_303B_SE3</t>
  </si>
  <si>
    <t xml:space="preserve">20957730</t>
  </si>
  <si>
    <t xml:space="preserve">SEL-735 61-TD-401 A</t>
  </si>
  <si>
    <t xml:space="preserve">RELEVADOR SEL-735 61-TD-401 A</t>
  </si>
  <si>
    <t xml:space="preserve">TRI-REF-DBP-05SEL-S_003-61_TR_301A_SE3</t>
  </si>
  <si>
    <t xml:space="preserve">20957731</t>
  </si>
  <si>
    <t xml:space="preserve">SEL-735 61-TD-401 B</t>
  </si>
  <si>
    <t xml:space="preserve">RELEVADOR SEL-735 61-TD-401 B</t>
  </si>
  <si>
    <t xml:space="preserve">TRI-REF-DBP-05SEL-S_003-61_TR_301B_SE3</t>
  </si>
  <si>
    <t xml:space="preserve">20957732</t>
  </si>
  <si>
    <t xml:space="preserve">SEL-735 61-TD-402 A</t>
  </si>
  <si>
    <t xml:space="preserve">RELEVADOR SEL-735 61-TD-402 A</t>
  </si>
  <si>
    <t xml:space="preserve">20957733</t>
  </si>
  <si>
    <t xml:space="preserve">SEL-735 61-TD-402 B</t>
  </si>
  <si>
    <t xml:space="preserve">RELEVADOR SEL-735 61-TD-402 B</t>
  </si>
  <si>
    <t xml:space="preserve">20957734</t>
  </si>
  <si>
    <t xml:space="preserve">SEL-735 61-TD-403 A</t>
  </si>
  <si>
    <t xml:space="preserve">RELEVADOR SEL-735 61-TD-403 A</t>
  </si>
  <si>
    <t xml:space="preserve">20957735</t>
  </si>
  <si>
    <t xml:space="preserve">SEL-735 61-TD-403 B</t>
  </si>
  <si>
    <t xml:space="preserve">RELEVADOR SEL-735 61-TD-403 B</t>
  </si>
  <si>
    <t xml:space="preserve">20957736</t>
  </si>
  <si>
    <t xml:space="preserve">GE-B90-87B 62-TDP-101 A</t>
  </si>
  <si>
    <t xml:space="preserve">RELEVADOR GE-B90-87B 62-TDP-101 A</t>
  </si>
  <si>
    <t xml:space="preserve">TRI-REF-DBP-05SEL-S_004-62TDP_101_A_SE4</t>
  </si>
  <si>
    <t xml:space="preserve">20957737</t>
  </si>
  <si>
    <t xml:space="preserve">GE-B90-87B 62-TDP-101 B</t>
  </si>
  <si>
    <t xml:space="preserve">RELEVADOR GE-B90-87B 62-TDP-101 B</t>
  </si>
  <si>
    <t xml:space="preserve">TRI-REF-DBP-05SEL-S_004-62TDP_101_B_SE4</t>
  </si>
  <si>
    <t xml:space="preserve">20957738</t>
  </si>
  <si>
    <t xml:space="preserve">GE-850 62-TDP-101 A</t>
  </si>
  <si>
    <t xml:space="preserve">RELEVADOR GE-850 62-TDP-101 A</t>
  </si>
  <si>
    <t xml:space="preserve">20957739</t>
  </si>
  <si>
    <t xml:space="preserve">GE-850 62-TDP-101 B</t>
  </si>
  <si>
    <t xml:space="preserve">RELEVADOR GE-850 62-TDP-101 B</t>
  </si>
  <si>
    <t xml:space="preserve">20957740</t>
  </si>
  <si>
    <t xml:space="preserve">GE-850 62-TDP-101 AB</t>
  </si>
  <si>
    <t xml:space="preserve">RELEVADOR GE-850 62-TDP-101 AB</t>
  </si>
  <si>
    <t xml:space="preserve">20957741</t>
  </si>
  <si>
    <t xml:space="preserve">GE-850 62-TR-101 A</t>
  </si>
  <si>
    <t xml:space="preserve">RELEVADOR GE-850 62-TR-101 A</t>
  </si>
  <si>
    <t xml:space="preserve">TRI-REF-DBP-05SEL-S_004-62_TR_101A_SE4</t>
  </si>
  <si>
    <t xml:space="preserve">20957742</t>
  </si>
  <si>
    <t xml:space="preserve">GE-845-87T 62-TR-101A</t>
  </si>
  <si>
    <t xml:space="preserve">RELEVADOR GE-845-87T 62-TR-101A</t>
  </si>
  <si>
    <t xml:space="preserve">20957743</t>
  </si>
  <si>
    <t xml:space="preserve">GE-850 62-TR-101 B</t>
  </si>
  <si>
    <t xml:space="preserve">RELEVADOR GE-850 62-TR-101 B</t>
  </si>
  <si>
    <t xml:space="preserve">20957854</t>
  </si>
  <si>
    <t xml:space="preserve">GE-850 21-TDMT-201 A</t>
  </si>
  <si>
    <t xml:space="preserve">RELEVADOR GE-850 21-TDMT-201 A</t>
  </si>
  <si>
    <t xml:space="preserve">TRI-REF-DBP-03SEL-S_007-21TDMT201A_SE07</t>
  </si>
  <si>
    <t xml:space="preserve">20957855</t>
  </si>
  <si>
    <t xml:space="preserve">GE-850 21-TDMT-201 AB</t>
  </si>
  <si>
    <t xml:space="preserve">RELEVADOR GE-850 21-TDMT-201 AB</t>
  </si>
  <si>
    <t xml:space="preserve">20957856</t>
  </si>
  <si>
    <t xml:space="preserve">GE-850 21-TDMT-201 B</t>
  </si>
  <si>
    <t xml:space="preserve">RELEVADOR GE-850 21-TDMT-201 B</t>
  </si>
  <si>
    <t xml:space="preserve">TRI-REF-DBP-03SEL-S_007-21TDMT201B_SE07</t>
  </si>
  <si>
    <t xml:space="preserve">20957857</t>
  </si>
  <si>
    <t xml:space="preserve">GE-850 21-TR-201 B</t>
  </si>
  <si>
    <t xml:space="preserve">RELEVADOR GE-850 21-TR-201 B</t>
  </si>
  <si>
    <t xml:space="preserve">TRI-REF-DBP-03SEL-S_007-21_TR_201B_SE07</t>
  </si>
  <si>
    <t xml:space="preserve">20957858</t>
  </si>
  <si>
    <t xml:space="preserve">GE-850 21-TR-202 B</t>
  </si>
  <si>
    <t xml:space="preserve">RELEVADOR GE-850 21-TR-202 B</t>
  </si>
  <si>
    <t xml:space="preserve">TRI-REF-DBP-03SEL-S_007-21_TR_202B_SE07</t>
  </si>
  <si>
    <t xml:space="preserve">20957859</t>
  </si>
  <si>
    <t xml:space="preserve">GE-850 21-TR-203 B</t>
  </si>
  <si>
    <t xml:space="preserve">RELEVADOR GE-850 21-TR-203 B</t>
  </si>
  <si>
    <t xml:space="preserve">TRI-REF-DBP-03SEL-S_007-21_TR_203B_SE07</t>
  </si>
  <si>
    <t xml:space="preserve">20957860</t>
  </si>
  <si>
    <t xml:space="preserve">GE-850 21-TR-204 B</t>
  </si>
  <si>
    <t xml:space="preserve">RELEVADOR GE-850 21-TR-204 B</t>
  </si>
  <si>
    <t xml:space="preserve">TRI-REF-DBP-03SEL-S_007-21_TR_204B_SE07</t>
  </si>
  <si>
    <t xml:space="preserve">20957861</t>
  </si>
  <si>
    <t xml:space="preserve">GE-850 21-TR-205 B</t>
  </si>
  <si>
    <t xml:space="preserve">RELEVADOR GE-850 21-TR-205 B</t>
  </si>
  <si>
    <t xml:space="preserve">TRI-REF-DBP-03SEL-S_007-21_TR_205B_SE07</t>
  </si>
  <si>
    <t xml:space="preserve">20957862</t>
  </si>
  <si>
    <t xml:space="preserve">GE-850 21-TR-206 B</t>
  </si>
  <si>
    <t xml:space="preserve">RELEVADOR GE-850 21-TR-206 B</t>
  </si>
  <si>
    <t xml:space="preserve">TRI-REF-DBP-03SEL-S_007-21_TR_206B_SE07</t>
  </si>
  <si>
    <t xml:space="preserve">20957863</t>
  </si>
  <si>
    <t xml:space="preserve">GE-850 21-TR-291</t>
  </si>
  <si>
    <t xml:space="preserve">RELEVADOR GE-850 21-TR-291</t>
  </si>
  <si>
    <t xml:space="preserve">TRI-REF-DBP-03SEL-S_007-21_TR_291_SE07</t>
  </si>
  <si>
    <t xml:space="preserve">20957864</t>
  </si>
  <si>
    <t xml:space="preserve">GE-850 21-BC-201 B</t>
  </si>
  <si>
    <t xml:space="preserve">RELEVADOR GE-850 21-BC-201 B</t>
  </si>
  <si>
    <t xml:space="preserve">20957874</t>
  </si>
  <si>
    <t xml:space="preserve">SEL-735 21-CCM-301 A</t>
  </si>
  <si>
    <t xml:space="preserve">RELEVADOR SEL-735 21-CCM-301 A</t>
  </si>
  <si>
    <t xml:space="preserve">TRI-REF-DBP-03SEL-S_007-21CCM301_A_SE07</t>
  </si>
  <si>
    <t xml:space="preserve">20957875</t>
  </si>
  <si>
    <t xml:space="preserve">SEL-735 21-CCM-301 B</t>
  </si>
  <si>
    <t xml:space="preserve">RELEVADOR SEL-735 21-CCM-301 B</t>
  </si>
  <si>
    <t xml:space="preserve">TRI-REF-DBP-03SEL-S_007-21CCM301_B_SE07</t>
  </si>
  <si>
    <t xml:space="preserve">20957876</t>
  </si>
  <si>
    <t xml:space="preserve">SEL-735 21-CCM-302 A</t>
  </si>
  <si>
    <t xml:space="preserve">RELEVADOR SEL-735 21-CCM-302 A</t>
  </si>
  <si>
    <t xml:space="preserve">TRI-REF-DBP-03SEL-S_007-21CCM302_A_SE07</t>
  </si>
  <si>
    <t xml:space="preserve">20957877</t>
  </si>
  <si>
    <t xml:space="preserve">SEL-735 21-CCM-302 B</t>
  </si>
  <si>
    <t xml:space="preserve">RELEVADOR SEL-735 21-CCM-302 B</t>
  </si>
  <si>
    <t xml:space="preserve">TRI-REF-DBP-03SEL-S_007-21CCM302_B_SE07</t>
  </si>
  <si>
    <t xml:space="preserve">20957878</t>
  </si>
  <si>
    <t xml:space="preserve">SEL-735 21-CCM-303 A</t>
  </si>
  <si>
    <t xml:space="preserve">RELEVADOR SEL-735 21-CCM-303 A</t>
  </si>
  <si>
    <t xml:space="preserve">TRI-REF-DBP-03SEL-S_007-21CCM303_A_SE07</t>
  </si>
  <si>
    <t xml:space="preserve">20957879</t>
  </si>
  <si>
    <t xml:space="preserve">SEL-735 21-CCM-303 B</t>
  </si>
  <si>
    <t xml:space="preserve">RELEVADOR SEL-735 21-CCM-303 B</t>
  </si>
  <si>
    <t xml:space="preserve">TRI-REF-DBP-03SEL-S_007-21CCM303_B_SE07</t>
  </si>
  <si>
    <t xml:space="preserve">20957880</t>
  </si>
  <si>
    <t xml:space="preserve">SEL-735 21-CCM-304 A</t>
  </si>
  <si>
    <t xml:space="preserve">RELEVADOR SEL-735 21-CCM-304 A</t>
  </si>
  <si>
    <t xml:space="preserve">TRI-REF-DBP-03SEL-S_007-21CCM304_A_SE07</t>
  </si>
  <si>
    <t xml:space="preserve">20957881</t>
  </si>
  <si>
    <t xml:space="preserve">SEL-735 21-CCM-304 B</t>
  </si>
  <si>
    <t xml:space="preserve">RELEVADOR SEL-735 21-CCM-304 B</t>
  </si>
  <si>
    <t xml:space="preserve">TRI-REF-DBP-03SEL-S_007-21CCM304_B_SE07</t>
  </si>
  <si>
    <t xml:space="preserve">20957882</t>
  </si>
  <si>
    <t xml:space="preserve">SEL-735 21-CCM-305 A</t>
  </si>
  <si>
    <t xml:space="preserve">RELEVADOR SEL-735 21-CCM-305 A</t>
  </si>
  <si>
    <t xml:space="preserve">TRI-REF-DBP-03SEL-S_007-21CCM305_A_SE07</t>
  </si>
  <si>
    <t xml:space="preserve">20957883</t>
  </si>
  <si>
    <t xml:space="preserve">SEL-735 21-CCM-305 B</t>
  </si>
  <si>
    <t xml:space="preserve">RELEVADOR SEL-735 21-CCM-305 B</t>
  </si>
  <si>
    <t xml:space="preserve">TRI-REF-DBP-03SEL-S_007-21CCM305_B_SE07</t>
  </si>
  <si>
    <t xml:space="preserve">20957884</t>
  </si>
  <si>
    <t xml:space="preserve">SEL-735 21-CCM-306 A</t>
  </si>
  <si>
    <t xml:space="preserve">RELEVADOR SEL-735 21-CCM-306 A</t>
  </si>
  <si>
    <t xml:space="preserve">TRI-REF-DBP-03SEL-S_007-21CCM306_A_SE07</t>
  </si>
  <si>
    <t xml:space="preserve">20957885</t>
  </si>
  <si>
    <t xml:space="preserve">SEL-735 21-CCM-306 B</t>
  </si>
  <si>
    <t xml:space="preserve">RELEVADOR SEL-735 21-CCM-306 B</t>
  </si>
  <si>
    <t xml:space="preserve">TRI-REF-DBP-03SEL-S_007-21CCM306_B_SE07</t>
  </si>
  <si>
    <t xml:space="preserve">20957886</t>
  </si>
  <si>
    <t xml:space="preserve">SEL-735 21-TD-401 A</t>
  </si>
  <si>
    <t xml:space="preserve">RELEVADOR SEL-735 21-TD-401 A</t>
  </si>
  <si>
    <t xml:space="preserve">TRI-REF-DBP-03SEL-S_007-21_TR_301A_SE07</t>
  </si>
  <si>
    <t xml:space="preserve">20957887</t>
  </si>
  <si>
    <t xml:space="preserve">SEL-735 21-TD-401 B</t>
  </si>
  <si>
    <t xml:space="preserve">RELEVADOR SEL-735 21-TD-401 B</t>
  </si>
  <si>
    <t xml:space="preserve">TRI-REF-DBP-03SEL-S_007-21_TR_301B_SE07</t>
  </si>
  <si>
    <t xml:space="preserve">20957888</t>
  </si>
  <si>
    <t xml:space="preserve">SEL-735 21-TD-402 A</t>
  </si>
  <si>
    <t xml:space="preserve">RELEVADOR SEL-735 21-TD-402 A</t>
  </si>
  <si>
    <t xml:space="preserve">TRI-REF-DBP-03SEL-S_007-21_TR_302A_SE07</t>
  </si>
  <si>
    <t xml:space="preserve">20957889</t>
  </si>
  <si>
    <t xml:space="preserve">SEL-735 21-TD-402 B</t>
  </si>
  <si>
    <t xml:space="preserve">RELEVADOR SEL-735 21-TD-402 B</t>
  </si>
  <si>
    <t xml:space="preserve">TRI-REF-DBP-03SEL-S_007-21_TR_302B_SE07</t>
  </si>
  <si>
    <t xml:space="preserve">20957890</t>
  </si>
  <si>
    <t xml:space="preserve">RET-615 TR-14-01</t>
  </si>
  <si>
    <t xml:space="preserve">RELEVADOR RET-615 TR-14-01</t>
  </si>
  <si>
    <t xml:space="preserve">TRI-REF-DBP-03SEL-S_014-TR_14_01_SE14</t>
  </si>
  <si>
    <t xml:space="preserve">20957891</t>
  </si>
  <si>
    <t xml:space="preserve">RET-615 IP-14-01</t>
  </si>
  <si>
    <t xml:space="preserve">RELEVADOR RET-615 IP-14-01</t>
  </si>
  <si>
    <t xml:space="preserve">20957892</t>
  </si>
  <si>
    <t xml:space="preserve">REA-101 IP-14-01</t>
  </si>
  <si>
    <t xml:space="preserve">RELEVADOR REA-101 IP-14-01</t>
  </si>
  <si>
    <t xml:space="preserve">20957893</t>
  </si>
  <si>
    <t xml:space="preserve">SEL-735 IP-14-01</t>
  </si>
  <si>
    <t xml:space="preserve">RELEVADOR SEL-735 IP-14-01</t>
  </si>
  <si>
    <t xml:space="preserve">20957894</t>
  </si>
  <si>
    <t xml:space="preserve">RET-615 TR-14-02</t>
  </si>
  <si>
    <t xml:space="preserve">RELEVADOR RET-615 TR-14-02</t>
  </si>
  <si>
    <t xml:space="preserve">TRI-REF-DBP-03SEL-S_014-TR_14_02_SE14</t>
  </si>
  <si>
    <t xml:space="preserve">20957895</t>
  </si>
  <si>
    <t xml:space="preserve">RET-615 IP-14-02</t>
  </si>
  <si>
    <t xml:space="preserve">RELEVADOR RET-615 IP-14-02</t>
  </si>
  <si>
    <t xml:space="preserve">20957896</t>
  </si>
  <si>
    <t xml:space="preserve">REA-101 IP-14-02</t>
  </si>
  <si>
    <t xml:space="preserve">RELEVADOR REA-101 IP-14-02</t>
  </si>
  <si>
    <t xml:space="preserve">20957897</t>
  </si>
  <si>
    <t xml:space="preserve">SEL-735 IP-14-02</t>
  </si>
  <si>
    <t xml:space="preserve">RELEVADOR SEL-735 IP-14-02</t>
  </si>
  <si>
    <t xml:space="preserve">20957902</t>
  </si>
  <si>
    <t xml:space="preserve">REF-615 TR-14-17</t>
  </si>
  <si>
    <t xml:space="preserve">RELEVADOR REF-615 TR-14-17</t>
  </si>
  <si>
    <t xml:space="preserve">TRI-REF-DBP-03SEL-S_014-TR_14_17_SE_14</t>
  </si>
  <si>
    <t xml:space="preserve">20957903</t>
  </si>
  <si>
    <t xml:space="preserve">REF-615 TR-14-15</t>
  </si>
  <si>
    <t xml:space="preserve">RELEVADOR REF-615 TR-14-15</t>
  </si>
  <si>
    <t xml:space="preserve">TRI-REF-DBP-03SEL-S_014-TR_14_15_SE_14</t>
  </si>
  <si>
    <t xml:space="preserve">20957904</t>
  </si>
  <si>
    <t xml:space="preserve">REF-615 BC-14-01</t>
  </si>
  <si>
    <t xml:space="preserve">RELEVADOR REF-615 BC-14-01</t>
  </si>
  <si>
    <t xml:space="preserve">20957905</t>
  </si>
  <si>
    <t xml:space="preserve">REF-615 TR-14-07</t>
  </si>
  <si>
    <t xml:space="preserve">RELEVADOR REF-615 TR-14-07</t>
  </si>
  <si>
    <t xml:space="preserve">TRI-REF-DBP-03SEL-S_014-TR_14_07_SE_14</t>
  </si>
  <si>
    <t xml:space="preserve">20957906</t>
  </si>
  <si>
    <t xml:space="preserve">REF-615 TR-14-05</t>
  </si>
  <si>
    <t xml:space="preserve">RELEVADOR REF-615 TR-14-05</t>
  </si>
  <si>
    <t xml:space="preserve">TRI-REF-DBP-03SEL-S_014-TR_14_05_SE_14</t>
  </si>
  <si>
    <t xml:space="preserve">20957853</t>
  </si>
  <si>
    <t xml:space="preserve">GE-850 21-TR-201 A</t>
  </si>
  <si>
    <t xml:space="preserve">RELEVADOR GE-850 21-TR-201 A</t>
  </si>
  <si>
    <t xml:space="preserve">TRI-REF-DBP-03SEL-S_007-21_TR_201A_SE07</t>
  </si>
  <si>
    <t xml:space="preserve">20957785</t>
  </si>
  <si>
    <t xml:space="preserve">GE-850 71-TR-202 B</t>
  </si>
  <si>
    <t xml:space="preserve">RELEVADOR GE-850 71-TR-202 B</t>
  </si>
  <si>
    <t xml:space="preserve">TRI-REF-DBP-05SEL-S_011-71TR_202B_SE11</t>
  </si>
  <si>
    <t xml:space="preserve">20957786</t>
  </si>
  <si>
    <t xml:space="preserve">GE-850 71-TR-203 A</t>
  </si>
  <si>
    <t xml:space="preserve">RELEVADOR GE-850 71-TR-203 A</t>
  </si>
  <si>
    <t xml:space="preserve">TRI-REF-DBP-05SEL-S_011-71TR_203A_SE11</t>
  </si>
  <si>
    <t xml:space="preserve">20957787</t>
  </si>
  <si>
    <t xml:space="preserve">GE-850 71-TR-203 B</t>
  </si>
  <si>
    <t xml:space="preserve">RELEVADOR GE-850 71-TR-203 B</t>
  </si>
  <si>
    <t xml:space="preserve">TRI-REF-DBP-05SEL-S_011-71TR_203B_SE11</t>
  </si>
  <si>
    <t xml:space="preserve">20957788</t>
  </si>
  <si>
    <t xml:space="preserve">GE-850 71-TR-204 A</t>
  </si>
  <si>
    <t xml:space="preserve">RELEVADOR GE-850 71-TR-204 A</t>
  </si>
  <si>
    <t xml:space="preserve">TRI-REF-DBP-05SEL-S_011-71TR_204A_SE11</t>
  </si>
  <si>
    <t xml:space="preserve">20957789</t>
  </si>
  <si>
    <t xml:space="preserve">GE-850 71-TR-204 B</t>
  </si>
  <si>
    <t xml:space="preserve">RELEVADOR GE-850 71-TR-204 B</t>
  </si>
  <si>
    <t xml:space="preserve">TRI-REF-DBP-05SEL-S_011-71TR_204B_SE11</t>
  </si>
  <si>
    <t xml:space="preserve">20957790</t>
  </si>
  <si>
    <t xml:space="preserve">GE-850 71-TR-205 A</t>
  </si>
  <si>
    <t xml:space="preserve">RELEVADOR GE-850 71-TR-205 A</t>
  </si>
  <si>
    <t xml:space="preserve">TRI-REF-DBP-05SEL-S_011-71TR_205A_SE11</t>
  </si>
  <si>
    <t xml:space="preserve">20957791</t>
  </si>
  <si>
    <t xml:space="preserve">GE-850 71-TR-205 B</t>
  </si>
  <si>
    <t xml:space="preserve">RELEVADOR GE-850 71-TR-205 B</t>
  </si>
  <si>
    <t xml:space="preserve">TRI-REF-DBP-05SEL-S_011-71TR_205B_SE11</t>
  </si>
  <si>
    <t xml:space="preserve">20957792</t>
  </si>
  <si>
    <t xml:space="preserve">GE-850 71-TR-206 A</t>
  </si>
  <si>
    <t xml:space="preserve">RELEVADOR GE-850 71-TR-206 A</t>
  </si>
  <si>
    <t xml:space="preserve">TRI-REF-DBP-05SEL-S_011-71TR_206A_SE11</t>
  </si>
  <si>
    <t xml:space="preserve">20957793</t>
  </si>
  <si>
    <t xml:space="preserve">GE-850 71-TR-206 B</t>
  </si>
  <si>
    <t xml:space="preserve">RELEVADOR GE-850 71-TR-206 B</t>
  </si>
  <si>
    <t xml:space="preserve">TRI-REF-DBP-05SEL-S_011-71TR_206B_SE11</t>
  </si>
  <si>
    <t xml:space="preserve">20957800</t>
  </si>
  <si>
    <t xml:space="preserve">SEL-735 71-CCM-301 A</t>
  </si>
  <si>
    <t xml:space="preserve">RELEVADOR SEL-735 71-CCM-301 A</t>
  </si>
  <si>
    <t xml:space="preserve">TRI-REF-DBP-05SEL-S_011-71CCM301_A_SE11</t>
  </si>
  <si>
    <t xml:space="preserve">20957801</t>
  </si>
  <si>
    <t xml:space="preserve">SEL-735 71-CCM-301 B</t>
  </si>
  <si>
    <t xml:space="preserve">RELEVADOR SEL-735 71-CCM-301 B</t>
  </si>
  <si>
    <t xml:space="preserve">TRI-REF-DBP-05SEL-S_011-71CCM301_B_SE11</t>
  </si>
  <si>
    <t xml:space="preserve">20957802</t>
  </si>
  <si>
    <t xml:space="preserve">SEL-735 71-CCM-302 A</t>
  </si>
  <si>
    <t xml:space="preserve">RELEVADOR SEL-735 71-CCM-302 A</t>
  </si>
  <si>
    <t xml:space="preserve">TRI-REF-DBP-05SEL-S_011-71CCM302_A_SE11</t>
  </si>
  <si>
    <t xml:space="preserve">20957803</t>
  </si>
  <si>
    <t xml:space="preserve">SEL-735 71-CCM-302 B</t>
  </si>
  <si>
    <t xml:space="preserve">RELEVADOR SEL-735 71-CCM-302 B</t>
  </si>
  <si>
    <t xml:space="preserve">TRI-REF-DBP-05SEL-S_011-71CCM302_B_SE11</t>
  </si>
  <si>
    <t xml:space="preserve">20957804</t>
  </si>
  <si>
    <t xml:space="preserve">SEL-735 71-CCM-303 A</t>
  </si>
  <si>
    <t xml:space="preserve">RELEVADOR SEL-735 71-CCM-303 A</t>
  </si>
  <si>
    <t xml:space="preserve">TRI-REF-DBP-05SEL-S_011-71CCM303_A_SE11</t>
  </si>
  <si>
    <t xml:space="preserve">20957805</t>
  </si>
  <si>
    <t xml:space="preserve">SEL-735 71-CCM-303 B</t>
  </si>
  <si>
    <t xml:space="preserve">RELEVADOR SEL-735 71-CCM-303 B</t>
  </si>
  <si>
    <t xml:space="preserve">TRI-REF-DBP-05SEL-S_011-71CCM303_B_SE11</t>
  </si>
  <si>
    <t xml:space="preserve">20957807</t>
  </si>
  <si>
    <t xml:space="preserve">SEL-735 71-CCM-304 A</t>
  </si>
  <si>
    <t xml:space="preserve">RELEVADOR SEL-735 71-CCM-304 A</t>
  </si>
  <si>
    <t xml:space="preserve">TRI-REF-DBP-05SEL-S_011-71CCM304_A_SE11</t>
  </si>
  <si>
    <t xml:space="preserve">20957809</t>
  </si>
  <si>
    <t xml:space="preserve">SEL-735 71-CCM-304 B</t>
  </si>
  <si>
    <t xml:space="preserve">RELEVADOR SEL-735 71-CCM-304 B</t>
  </si>
  <si>
    <t xml:space="preserve">TRI-REF-DBP-05SEL-S_011-71CCM304_B_SE11</t>
  </si>
  <si>
    <t xml:space="preserve">20957811</t>
  </si>
  <si>
    <t xml:space="preserve">SEL-735 71-CCM-305 A</t>
  </si>
  <si>
    <t xml:space="preserve">RELEVADOR SEL-735 71-CCM-305 A</t>
  </si>
  <si>
    <t xml:space="preserve">TRI-REF-DBP-05SEL-S_011-71CCM305_A_SE11</t>
  </si>
  <si>
    <t xml:space="preserve">20957813</t>
  </si>
  <si>
    <t xml:space="preserve">SEL-735 71-CCM-305 B</t>
  </si>
  <si>
    <t xml:space="preserve">RELEVADOR SEL-735 71-CCM-305 B</t>
  </si>
  <si>
    <t xml:space="preserve">TRI-REF-DBP-05SEL-S_011-71CCM305_B_SE11</t>
  </si>
  <si>
    <t xml:space="preserve">20957815</t>
  </si>
  <si>
    <t xml:space="preserve">SEL-735 71-CCM-306 A</t>
  </si>
  <si>
    <t xml:space="preserve">RELEVADOR SEL-735 71-CCM-306 A</t>
  </si>
  <si>
    <t xml:space="preserve">TRI-REF-DBP-05SEL-S_011-71CCM306_A_SE11</t>
  </si>
  <si>
    <t xml:space="preserve">20957817</t>
  </si>
  <si>
    <t xml:space="preserve">SEL-735 71-CCM-306 B</t>
  </si>
  <si>
    <t xml:space="preserve">RELEVADOR SEL-735 71-CCM-306 B</t>
  </si>
  <si>
    <t xml:space="preserve">TRI-REF-DBP-05SEL-S_011-71CCM306_B_SE11</t>
  </si>
  <si>
    <t xml:space="preserve">20957819</t>
  </si>
  <si>
    <t xml:space="preserve">SEL-735 71-TD-401 A</t>
  </si>
  <si>
    <t xml:space="preserve">RELEVADOR SEL-735 71-TD-401 A</t>
  </si>
  <si>
    <t xml:space="preserve">TRI-REF-DBP-05SEL-S_011-71_TR_301A_SE11</t>
  </si>
  <si>
    <t xml:space="preserve">20957821</t>
  </si>
  <si>
    <t xml:space="preserve">SEL-735 71-TD-401 B</t>
  </si>
  <si>
    <t xml:space="preserve">RELEVADOR SEL-735 71-TD-401 B</t>
  </si>
  <si>
    <t xml:space="preserve">TRI-REF-DBP-05SEL-S_011-71_TR_301B_SE11</t>
  </si>
  <si>
    <t xml:space="preserve">20957823</t>
  </si>
  <si>
    <t xml:space="preserve">SEL-735 71-TD-402 A</t>
  </si>
  <si>
    <t xml:space="preserve">RELEVADOR SEL-735 71-TD-402 A</t>
  </si>
  <si>
    <t xml:space="preserve">TRI-REF-DBP-05SEL-S_011-71_TR_302A_SE11</t>
  </si>
  <si>
    <t xml:space="preserve">20957825</t>
  </si>
  <si>
    <t xml:space="preserve">SEL-735 71-TD-402 B</t>
  </si>
  <si>
    <t xml:space="preserve">RELEVADOR SEL-735 71-TD-402 B</t>
  </si>
  <si>
    <t xml:space="preserve">TRI-REF-DBP-05SEL-S_011-71_TR_302B_SE11</t>
  </si>
  <si>
    <t xml:space="preserve">20957827</t>
  </si>
  <si>
    <t xml:space="preserve">GE-850 21-TR-101 A</t>
  </si>
  <si>
    <t xml:space="preserve">RELEVADOR GE-850 21-TR-101 A</t>
  </si>
  <si>
    <t xml:space="preserve">TRI-REF-DBP-03SEL-S_007-21_TR_101A_SE07</t>
  </si>
  <si>
    <t xml:space="preserve">20957828</t>
  </si>
  <si>
    <t xml:space="preserve">GE-845 21-TR-101 A</t>
  </si>
  <si>
    <t xml:space="preserve">RELEVADOR GE-845 21-TR-101 A</t>
  </si>
  <si>
    <t xml:space="preserve">20957829</t>
  </si>
  <si>
    <t xml:space="preserve">GE-B90 21-TDP-101 A</t>
  </si>
  <si>
    <t xml:space="preserve">RELEVADOR GE-B90 21-TDP-101 A</t>
  </si>
  <si>
    <t xml:space="preserve">20957830</t>
  </si>
  <si>
    <t xml:space="preserve">GE-B90 21-TDP-101 B</t>
  </si>
  <si>
    <t xml:space="preserve">RELEVADOR GE-B90 21-TDP-101 B</t>
  </si>
  <si>
    <t xml:space="preserve">20957831</t>
  </si>
  <si>
    <t xml:space="preserve">GE-850 21-TDP-101 A</t>
  </si>
  <si>
    <t xml:space="preserve">RELEVADOR GE-850 21-TDP-101 A</t>
  </si>
  <si>
    <t xml:space="preserve">TRI-REF-DBP-03SEL-S_007-21TDP101_A_SE07</t>
  </si>
  <si>
    <t xml:space="preserve">20957832</t>
  </si>
  <si>
    <t xml:space="preserve">GE-850 21-TDP-101 AB</t>
  </si>
  <si>
    <t xml:space="preserve">RELEVADOR GE-850 21-TDP-101 AB</t>
  </si>
  <si>
    <t xml:space="preserve">20957833</t>
  </si>
  <si>
    <t xml:space="preserve">GE-850 21-TDP-101 B</t>
  </si>
  <si>
    <t xml:space="preserve">RELEVADOR GE-850 21-TDP-101 B</t>
  </si>
  <si>
    <t xml:space="preserve">TRI-REF-DBP-03SEL-S_007-21TDP101_B_SE07</t>
  </si>
  <si>
    <t xml:space="preserve">20957834</t>
  </si>
  <si>
    <t xml:space="preserve">GE-850 21-TR-101 B</t>
  </si>
  <si>
    <t xml:space="preserve">RELEVADOR GE-850 21-TR-101 B</t>
  </si>
  <si>
    <t xml:space="preserve">TRI-REF-DBP-03SEL-S_007-21_TR_101B_SE07</t>
  </si>
  <si>
    <t xml:space="preserve">20957835</t>
  </si>
  <si>
    <t xml:space="preserve">GE-845 21-TR-101 B</t>
  </si>
  <si>
    <t xml:space="preserve">RELEVADOR GE-845 21-TR-101 B</t>
  </si>
  <si>
    <t xml:space="preserve">20957847</t>
  </si>
  <si>
    <t xml:space="preserve">GE-850 21-BC-201 A</t>
  </si>
  <si>
    <t xml:space="preserve">RELEVADOR GE-850 21-BC-201 A</t>
  </si>
  <si>
    <t xml:space="preserve">20957848</t>
  </si>
  <si>
    <t xml:space="preserve">GE-850 21-TR-206 A</t>
  </si>
  <si>
    <t xml:space="preserve">RELEVADOR GE-850 21-TR-206 A</t>
  </si>
  <si>
    <t xml:space="preserve">TRI-REF-DBP-03SEL-S_007-21_TR_206A_SE07</t>
  </si>
  <si>
    <t xml:space="preserve">20957849</t>
  </si>
  <si>
    <t xml:space="preserve">GE-850 21-TR-205 A</t>
  </si>
  <si>
    <t xml:space="preserve">RELEVADOR GE-850 21-TR-205 A</t>
  </si>
  <si>
    <t xml:space="preserve">TRI-REF-DBP-03SEL-S_007-21_TR_205A_SE07</t>
  </si>
  <si>
    <t xml:space="preserve">20957850</t>
  </si>
  <si>
    <t xml:space="preserve">GE-850 21-TR-204 A</t>
  </si>
  <si>
    <t xml:space="preserve">RELEVADOR GE-850 21-TR-204 A</t>
  </si>
  <si>
    <t xml:space="preserve">TRI-REF-DBP-03SEL-S_007-21_TR_204A_SE07</t>
  </si>
  <si>
    <t xml:space="preserve">20957851</t>
  </si>
  <si>
    <t xml:space="preserve">GE-850 21-TR-203 A</t>
  </si>
  <si>
    <t xml:space="preserve">RELEVADOR GE-850 21-TR-203 A</t>
  </si>
  <si>
    <t xml:space="preserve">TRI-REF-DBP-03SEL-S_007-21_TR_203A_SE07</t>
  </si>
  <si>
    <t xml:space="preserve">20957852</t>
  </si>
  <si>
    <t xml:space="preserve">GE-850 21-TR-202 A</t>
  </si>
  <si>
    <t xml:space="preserve">RELEVADOR GE-850 21-TR-202 A</t>
  </si>
  <si>
    <t xml:space="preserve">TRI-REF-DBP-03SEL-S_007-21_TR_202A_SE07</t>
  </si>
  <si>
    <t xml:space="preserve">20960972</t>
  </si>
  <si>
    <t xml:space="preserve">GE-850 51-TR-201 A</t>
  </si>
  <si>
    <t xml:space="preserve">RELEVADOR GE-850 51-TR-201 A</t>
  </si>
  <si>
    <t xml:space="preserve">TRI-REF-DBP-04SEL-S_026-51_TR_201A_SE26</t>
  </si>
  <si>
    <t xml:space="preserve">20965198</t>
  </si>
  <si>
    <t xml:space="preserve">REA101-TDM-19-01 B</t>
  </si>
  <si>
    <t xml:space="preserve">RELEVADOR REA101-TDM-19-01 B</t>
  </si>
  <si>
    <t xml:space="preserve">20965199</t>
  </si>
  <si>
    <t xml:space="preserve">REA101-TR-02-09</t>
  </si>
  <si>
    <t xml:space="preserve">RELEVADOR REA101-TR-02-09</t>
  </si>
  <si>
    <t xml:space="preserve">20965200</t>
  </si>
  <si>
    <t xml:space="preserve">REA101-TR-02-10</t>
  </si>
  <si>
    <t xml:space="preserve">RELEVADOR REA101-TR-02-10</t>
  </si>
  <si>
    <t xml:space="preserve">20965201</t>
  </si>
  <si>
    <t xml:space="preserve">REA101-TR-16-05</t>
  </si>
  <si>
    <t xml:space="preserve">RELEVADOR REA101-TR-16-05</t>
  </si>
  <si>
    <t xml:space="preserve">20965202</t>
  </si>
  <si>
    <t xml:space="preserve">REA101-TR-16-06</t>
  </si>
  <si>
    <t xml:space="preserve">RELEVADOR REA101-TR-16-06</t>
  </si>
  <si>
    <t xml:space="preserve">20965203</t>
  </si>
  <si>
    <t xml:space="preserve">REA101-TR-19-03</t>
  </si>
  <si>
    <t xml:space="preserve">RELEVADOR REA101-TR-19-03</t>
  </si>
  <si>
    <t xml:space="preserve">20965204</t>
  </si>
  <si>
    <t xml:space="preserve">REA101-TR-19-04</t>
  </si>
  <si>
    <t xml:space="preserve">RELEVADOR REA101-TR-19-04</t>
  </si>
  <si>
    <t xml:space="preserve">20965205</t>
  </si>
  <si>
    <t xml:space="preserve">REB670-IV-3 TDP-SEP02-02A</t>
  </si>
  <si>
    <t xml:space="preserve">RELEVADOR REB670-IV-3 TDP-SEP02-02A</t>
  </si>
  <si>
    <t xml:space="preserve">20965206</t>
  </si>
  <si>
    <t xml:space="preserve">REB670-IV-3 TDP-SEP02-02B</t>
  </si>
  <si>
    <t xml:space="preserve">RELEVADOR REB670-IV-3 TDP-SEP02-02B</t>
  </si>
  <si>
    <t xml:space="preserve">20965207</t>
  </si>
  <si>
    <t xml:space="preserve">REB670-IV-3 TDP-SEP02-03A</t>
  </si>
  <si>
    <t xml:space="preserve">RELEVADOR REB670-IV-3 TDP-SEP02-03A</t>
  </si>
  <si>
    <t xml:space="preserve">20965208</t>
  </si>
  <si>
    <t xml:space="preserve">REB670-IV-3 TDP-SEP02-03B</t>
  </si>
  <si>
    <t xml:space="preserve">RELEVADOR REB670-IV-3 TDP-SEP02-03B</t>
  </si>
  <si>
    <t xml:space="preserve">20965209</t>
  </si>
  <si>
    <t xml:space="preserve">REB670-IV-3 TDP-SEP02-04A</t>
  </si>
  <si>
    <t xml:space="preserve">RELEVADOR REB670-IV-3 TDP-SEP02-04A</t>
  </si>
  <si>
    <t xml:space="preserve">20965210</t>
  </si>
  <si>
    <t xml:space="preserve">REB670-IV-3 TDP-SEP02-04B</t>
  </si>
  <si>
    <t xml:space="preserve">RELEVADOR REB670-IV-3 TDP-SEP02-04B</t>
  </si>
  <si>
    <t xml:space="preserve">20965211</t>
  </si>
  <si>
    <t xml:space="preserve">REB670-IV-3 TDP-SEP02-05A</t>
  </si>
  <si>
    <t xml:space="preserve">RELEVADOR REB670-IV-3 TDP-SEP02-05A</t>
  </si>
  <si>
    <t xml:space="preserve">20965212</t>
  </si>
  <si>
    <t xml:space="preserve">REB670-IV-3 TDP-SEP02-05B</t>
  </si>
  <si>
    <t xml:space="preserve">RELEVADOR REB670-IV-3 TDP-SEP02-05B</t>
  </si>
  <si>
    <t xml:space="preserve">20965213</t>
  </si>
  <si>
    <t xml:space="preserve">REF615 IV-11 TDP-SEP02-02</t>
  </si>
  <si>
    <t xml:space="preserve">RELEVADOR REF615 IV-11 TDP-SEP02-02</t>
  </si>
  <si>
    <t xml:space="preserve">20965214</t>
  </si>
  <si>
    <t xml:space="preserve">REF615 IV-7 TDP-SEP02-02</t>
  </si>
  <si>
    <t xml:space="preserve">RELEVADOR REF615 IV-7 TDP-SEP02-02</t>
  </si>
  <si>
    <t xml:space="preserve">20965215</t>
  </si>
  <si>
    <t xml:space="preserve">REF615 IV-9 TDP-SEP02-02</t>
  </si>
  <si>
    <t xml:space="preserve">RELEVADOR REF615 IV-9 TDP-SEP02-02</t>
  </si>
  <si>
    <t xml:space="preserve">20965216</t>
  </si>
  <si>
    <t xml:space="preserve">REF615-BC-02-03</t>
  </si>
  <si>
    <t xml:space="preserve">RELEVADOR REF615-BC-02-03</t>
  </si>
  <si>
    <t xml:space="preserve">20965217</t>
  </si>
  <si>
    <t xml:space="preserve">REF615-BC-02-04</t>
  </si>
  <si>
    <t xml:space="preserve">RELEVADOR REF615-BC-02-04</t>
  </si>
  <si>
    <t xml:space="preserve">20965218</t>
  </si>
  <si>
    <t xml:space="preserve">REF615-BC-16-01</t>
  </si>
  <si>
    <t xml:space="preserve">RELEVADOR REF615-BC-16-01</t>
  </si>
  <si>
    <t xml:space="preserve">20965219</t>
  </si>
  <si>
    <t xml:space="preserve">REF615-BC-16-02</t>
  </si>
  <si>
    <t xml:space="preserve">RELEVADOR REF615-BC-16-02</t>
  </si>
  <si>
    <t xml:space="preserve">20965220</t>
  </si>
  <si>
    <t xml:space="preserve">REF615-BC-19-01</t>
  </si>
  <si>
    <t xml:space="preserve">RELEVADOR REF615-BC-19-01</t>
  </si>
  <si>
    <t xml:space="preserve">20965221</t>
  </si>
  <si>
    <t xml:space="preserve">REF615-BC-19-02</t>
  </si>
  <si>
    <t xml:space="preserve">RELEVADOR REF615-BC-19-02</t>
  </si>
  <si>
    <t xml:space="preserve">20965222</t>
  </si>
  <si>
    <t xml:space="preserve">REF615-IE-1-CCM-16-01 A</t>
  </si>
  <si>
    <t xml:space="preserve">RELEVADOR REF615-IE-1-CCM-16-01 A</t>
  </si>
  <si>
    <t xml:space="preserve">TRI-REF-DBP-08SEL-S_016-CCM16_01_A_SE16</t>
  </si>
  <si>
    <t xml:space="preserve">20965223</t>
  </si>
  <si>
    <t xml:space="preserve">REF615-IE-1-CCM-19-01</t>
  </si>
  <si>
    <t xml:space="preserve">RELEVADOR REF615-IE-1-CCM-19-01</t>
  </si>
  <si>
    <t xml:space="preserve">TRI-REF-DBP-08SEL-S_019-CCM19_01_A_SE19</t>
  </si>
  <si>
    <t xml:space="preserve">20965224</t>
  </si>
  <si>
    <t xml:space="preserve">REF615-IE-2-CCM-16-01 B</t>
  </si>
  <si>
    <t xml:space="preserve">RELEVADOR REF615-IE-2-CCM-16-01 B</t>
  </si>
  <si>
    <t xml:space="preserve">TRI-REF-DBP-08SEL-S_016-CCM16_01_B_SE16</t>
  </si>
  <si>
    <t xml:space="preserve">20965225</t>
  </si>
  <si>
    <t xml:space="preserve">REF615-IE-2-CCM-19-01</t>
  </si>
  <si>
    <t xml:space="preserve">RELEVADOR REF615-IE-2-CCM-19-01</t>
  </si>
  <si>
    <t xml:space="preserve">TRI-REF-DBP-08SEL-S_019-CCM19_01_B_SE19</t>
  </si>
  <si>
    <t xml:space="preserve">20965226</t>
  </si>
  <si>
    <t xml:space="preserve">REF615-IE-3-CCM-16-01 E</t>
  </si>
  <si>
    <t xml:space="preserve">RELEVADOR REF615-IE-3-CCM-16-01 E</t>
  </si>
  <si>
    <t xml:space="preserve">20965227</t>
  </si>
  <si>
    <t xml:space="preserve">REF615-IE-3-CCM-19-01</t>
  </si>
  <si>
    <t xml:space="preserve">RELEVADOR REF615-IE-3-CCM-19-01</t>
  </si>
  <si>
    <t xml:space="preserve">20965228</t>
  </si>
  <si>
    <t xml:space="preserve">REF615-IP-02-01(TR-02-11)</t>
  </si>
  <si>
    <t xml:space="preserve">RELEVADOR REF615-IP-02-01(TR-02-11)</t>
  </si>
  <si>
    <t xml:space="preserve">20965229</t>
  </si>
  <si>
    <t xml:space="preserve">REF615-IP-02-02(TR-02-12)</t>
  </si>
  <si>
    <t xml:space="preserve">RELEVADOR REF615-IP-02-02(TR-02-12)</t>
  </si>
  <si>
    <t xml:space="preserve">20965230</t>
  </si>
  <si>
    <t xml:space="preserve">REF615-IP-16-01(TR-16-01)</t>
  </si>
  <si>
    <t xml:space="preserve">RELEVADOR REF615-IP-16-01(TR-16-01)</t>
  </si>
  <si>
    <t xml:space="preserve">20965231</t>
  </si>
  <si>
    <t xml:space="preserve">REF615-IP-16-02(TR-16-02)</t>
  </si>
  <si>
    <t xml:space="preserve">RELEVADOR REF615-IP-16-02(TR-16-02)</t>
  </si>
  <si>
    <t xml:space="preserve">20965232</t>
  </si>
  <si>
    <t xml:space="preserve">REF615-IP-19-01A</t>
  </si>
  <si>
    <t xml:space="preserve">RELEVADOR REF615-IP-19-01A</t>
  </si>
  <si>
    <t xml:space="preserve">20965233</t>
  </si>
  <si>
    <t xml:space="preserve">REF615-IP-19-01B</t>
  </si>
  <si>
    <t xml:space="preserve">RELEVADOR REF615-IP-19-01B</t>
  </si>
  <si>
    <t xml:space="preserve">20965234</t>
  </si>
  <si>
    <t xml:space="preserve">REF615-IP-CE191-01 A</t>
  </si>
  <si>
    <t xml:space="preserve">RELEVADOR REF615-IP-CE191-01 A</t>
  </si>
  <si>
    <t xml:space="preserve">20965235</t>
  </si>
  <si>
    <t xml:space="preserve">REF615-IP-CE191-01 B</t>
  </si>
  <si>
    <t xml:space="preserve">RELEVADOR REF615-IP-CE191-01 B</t>
  </si>
  <si>
    <t xml:space="preserve">20965236</t>
  </si>
  <si>
    <t xml:space="preserve">REF615-IV-1 TDP-SEP02-02</t>
  </si>
  <si>
    <t xml:space="preserve">RELEVADOR REF615-IV-1 TDP-SEP02-02</t>
  </si>
  <si>
    <t xml:space="preserve">20965237</t>
  </si>
  <si>
    <t xml:space="preserve">REF615-IV-1 TDP-SEP02-03</t>
  </si>
  <si>
    <t xml:space="preserve">RELEVADOR REF615-IV-1 TDP-SEP02-03</t>
  </si>
  <si>
    <t xml:space="preserve">20965197</t>
  </si>
  <si>
    <t xml:space="preserve">REA101-TDM-19-01 A</t>
  </si>
  <si>
    <t xml:space="preserve">RELEVADOR REA101-TDM-19-01 A</t>
  </si>
  <si>
    <t xml:space="preserve">20965136</t>
  </si>
  <si>
    <t xml:space="preserve">7SR5711-IP-CCM30-01</t>
  </si>
  <si>
    <t xml:space="preserve">RELEVADOR 7SR5711-IP-CCM30-01</t>
  </si>
  <si>
    <t xml:space="preserve">TRI-REF-DBP-08SEL-S_030-CCM_30_01_SE_30</t>
  </si>
  <si>
    <t xml:space="preserve">20965154</t>
  </si>
  <si>
    <t xml:space="preserve">7SR5711-TR-30-02</t>
  </si>
  <si>
    <t xml:space="preserve">RELEVADOR 7SR5711-TR-30-02</t>
  </si>
  <si>
    <t xml:space="preserve">20965155</t>
  </si>
  <si>
    <t xml:space="preserve">M350-IV-3 TDP-SEP02-02A</t>
  </si>
  <si>
    <t xml:space="preserve">RELEVADOR M350-IV-3 TDP-SEP02-02A</t>
  </si>
  <si>
    <t xml:space="preserve">20965156</t>
  </si>
  <si>
    <t xml:space="preserve">M350-IV-3 TDP-SEP02-02B</t>
  </si>
  <si>
    <t xml:space="preserve">RELEVADOR M350-IV-3 TDP-SEP02-02B</t>
  </si>
  <si>
    <t xml:space="preserve">20965157</t>
  </si>
  <si>
    <t xml:space="preserve">M350-IV-3 TDP-SEP02-03A</t>
  </si>
  <si>
    <t xml:space="preserve">RELEVADOR M350-IV-3 TDP-SEP02-03A</t>
  </si>
  <si>
    <t xml:space="preserve">20965158</t>
  </si>
  <si>
    <t xml:space="preserve">M350-IV-3 TDP-SEP02-03B</t>
  </si>
  <si>
    <t xml:space="preserve">RELEVADOR M350-IV-3 TDP-SEP02-03B</t>
  </si>
  <si>
    <t xml:space="preserve">20965159</t>
  </si>
  <si>
    <t xml:space="preserve">M350-IV-3 TDP-SEP02-04A</t>
  </si>
  <si>
    <t xml:space="preserve">RELEVADOR M350-IV-3 TDP-SEP02-04A</t>
  </si>
  <si>
    <t xml:space="preserve">20965160</t>
  </si>
  <si>
    <t xml:space="preserve">M350-IV-3 TDP-SEP02-04B</t>
  </si>
  <si>
    <t xml:space="preserve">RELEVADOR M350-IV-3 TDP-SEP02-04B</t>
  </si>
  <si>
    <t xml:space="preserve">20965161</t>
  </si>
  <si>
    <t xml:space="preserve">M350-IV-3 TDP-SEP02-05A</t>
  </si>
  <si>
    <t xml:space="preserve">RELEVADOR M350-IV-3 TDP-SEP02-05A</t>
  </si>
  <si>
    <t xml:space="preserve">20965162</t>
  </si>
  <si>
    <t xml:space="preserve">M350-IV-3 TDP-SEP02-05B</t>
  </si>
  <si>
    <t xml:space="preserve">RELEVADOR M350-IV-3 TDP-SEP02-05B</t>
  </si>
  <si>
    <t xml:space="preserve">20965163</t>
  </si>
  <si>
    <t xml:space="preserve">REA101-52-18-1-012</t>
  </si>
  <si>
    <t xml:space="preserve">RELEVADOR REA101-52-18-1-012</t>
  </si>
  <si>
    <t xml:space="preserve">TRI-REF-DBP-08SEL-S18_1-TDMT18101A_S181</t>
  </si>
  <si>
    <t xml:space="preserve">20965164</t>
  </si>
  <si>
    <t xml:space="preserve">REA101-52-18-1-014</t>
  </si>
  <si>
    <t xml:space="preserve">RELEVADOR REA101-52-18-1-014</t>
  </si>
  <si>
    <t xml:space="preserve">TRI-REF-DBP-08SEL-S18_1-TDMT18101B_S181</t>
  </si>
  <si>
    <t xml:space="preserve">20965167</t>
  </si>
  <si>
    <t xml:space="preserve">REA101-IP-02-01(TR-02-11)</t>
  </si>
  <si>
    <t xml:space="preserve">RELEVADOR REA101-IP-02-01(TR-02-11)</t>
  </si>
  <si>
    <t xml:space="preserve">20965168</t>
  </si>
  <si>
    <t xml:space="preserve">REA101-IP-02-02(TR-02-12)</t>
  </si>
  <si>
    <t xml:space="preserve">RELEVADOR REA101-IP-02-02(TR-02-12)</t>
  </si>
  <si>
    <t xml:space="preserve">20965169</t>
  </si>
  <si>
    <t xml:space="preserve">REA101-IP-16-01(TR-16-01)</t>
  </si>
  <si>
    <t xml:space="preserve">RELEVADOR REA101-IP-16-01(TR-16-01)</t>
  </si>
  <si>
    <t xml:space="preserve">20965170</t>
  </si>
  <si>
    <t xml:space="preserve">REA101-IP-16-02(TR-16-02)</t>
  </si>
  <si>
    <t xml:space="preserve">RELEVADOR REA101-IP-16-02(TR-16-02)</t>
  </si>
  <si>
    <t xml:space="preserve">20965171</t>
  </si>
  <si>
    <t xml:space="preserve">REA101-IP-19-01A</t>
  </si>
  <si>
    <t xml:space="preserve">RELEVADOR REA101-IP-19-01A</t>
  </si>
  <si>
    <t xml:space="preserve">20965172</t>
  </si>
  <si>
    <t xml:space="preserve">REA101-IP-19-01B</t>
  </si>
  <si>
    <t xml:space="preserve">RELEVADOR REA101-IP-19-01B</t>
  </si>
  <si>
    <t xml:space="preserve">20965173</t>
  </si>
  <si>
    <t xml:space="preserve">REA101-IV-1 TDP-SEP02-02</t>
  </si>
  <si>
    <t xml:space="preserve">RELEVADOR REA101-IV-1 TDP-SEP02-02</t>
  </si>
  <si>
    <t xml:space="preserve">20965174</t>
  </si>
  <si>
    <t xml:space="preserve">REA101-IV-1 TDP-SEP02-03</t>
  </si>
  <si>
    <t xml:space="preserve">RELEVADOR REA101-IV-1 TDP-SEP02-03</t>
  </si>
  <si>
    <t xml:space="preserve">20965175</t>
  </si>
  <si>
    <t xml:space="preserve">REA101-IV-1 TDP-SEP02-04</t>
  </si>
  <si>
    <t xml:space="preserve">RELEVADOR REA101-IV-1 TDP-SEP02-04</t>
  </si>
  <si>
    <t xml:space="preserve">20965176</t>
  </si>
  <si>
    <t xml:space="preserve">REA101-IV-1 TDP-SEP02-05</t>
  </si>
  <si>
    <t xml:space="preserve">RELEVADOR REA101-IV-1 TDP-SEP02-05</t>
  </si>
  <si>
    <t xml:space="preserve">20965177</t>
  </si>
  <si>
    <t xml:space="preserve">REA101-IV-2 TDP-SEP02-02</t>
  </si>
  <si>
    <t xml:space="preserve">RELEVADOR REA101-IV-2 TDP-SEP02-02</t>
  </si>
  <si>
    <t xml:space="preserve">20965178</t>
  </si>
  <si>
    <t xml:space="preserve">REA101-IV-2 TDP-SEP02-03</t>
  </si>
  <si>
    <t xml:space="preserve">RELEVADOR REA101-IV-2 TDP-SEP02-03</t>
  </si>
  <si>
    <t xml:space="preserve">20965179</t>
  </si>
  <si>
    <t xml:space="preserve">REA101-IV-2 TDP-SEP02-04</t>
  </si>
  <si>
    <t xml:space="preserve">RELEVADOR REA101-IV-2 TDP-SEP02-04</t>
  </si>
  <si>
    <t xml:space="preserve">20965180</t>
  </si>
  <si>
    <t xml:space="preserve">REA101-IV-2 TDP-SEP02-05</t>
  </si>
  <si>
    <t xml:space="preserve">RELEVADOR REA101-IV-2 TDP-SEP02-05</t>
  </si>
  <si>
    <t xml:space="preserve">20965181</t>
  </si>
  <si>
    <t xml:space="preserve">REA101-IV-4 TDP-SEP02-04</t>
  </si>
  <si>
    <t xml:space="preserve">RELEVADOR REA101-IV-4 TDP-SEP02-04</t>
  </si>
  <si>
    <t xml:space="preserve">20965182</t>
  </si>
  <si>
    <t xml:space="preserve">REA101-IV-5 TDP-SEP02-04</t>
  </si>
  <si>
    <t xml:space="preserve">RELEVADOR REA101-IV-5 TDP-SEP02-04</t>
  </si>
  <si>
    <t xml:space="preserve">20965183</t>
  </si>
  <si>
    <t xml:space="preserve">REA101-IV-6 TDP-SEP02-02</t>
  </si>
  <si>
    <t xml:space="preserve">RELEVADOR REA101-IV-6 TDP-SEP02-02</t>
  </si>
  <si>
    <t xml:space="preserve">20965184</t>
  </si>
  <si>
    <t xml:space="preserve">REA101-IV-6 TDP-SEP02-03</t>
  </si>
  <si>
    <t xml:space="preserve">RELEVADOR REA101-IV-6 TDP-SEP02-03</t>
  </si>
  <si>
    <t xml:space="preserve">20965185</t>
  </si>
  <si>
    <t xml:space="preserve">REA101-IV-6 TDP-SEP02-05</t>
  </si>
  <si>
    <t xml:space="preserve">RELEVADOR REA101-IV-6 TDP-SEP02-05</t>
  </si>
  <si>
    <t xml:space="preserve">20965186</t>
  </si>
  <si>
    <t xml:space="preserve">REA101-IV-7 TDP-SEP02-02</t>
  </si>
  <si>
    <t xml:space="preserve">RELEVADOR REA101-IV-7 TDP-SEP02-02</t>
  </si>
  <si>
    <t xml:space="preserve">20965187</t>
  </si>
  <si>
    <t xml:space="preserve">REA101-IV-7 TDP-SEP02-03</t>
  </si>
  <si>
    <t xml:space="preserve">RELEVADOR REA101-IV-7 TDP-SEP02-03</t>
  </si>
  <si>
    <t xml:space="preserve">20965188</t>
  </si>
  <si>
    <t xml:space="preserve">REA101-IV-7 TDP-SEP02-05</t>
  </si>
  <si>
    <t xml:space="preserve">RELEVADOR REA101-IV-7 TDP-SEP02-05</t>
  </si>
  <si>
    <t xml:space="preserve">20965191</t>
  </si>
  <si>
    <t xml:space="preserve">REA101-PARO-SEG</t>
  </si>
  <si>
    <t xml:space="preserve">RELEVADOR REA101-PARO-SEG</t>
  </si>
  <si>
    <t xml:space="preserve">20965192</t>
  </si>
  <si>
    <t xml:space="preserve">REA101-PARO-SEG-SE-02</t>
  </si>
  <si>
    <t xml:space="preserve">RELEVADOR REA101-PARO-SEG-SE-02</t>
  </si>
  <si>
    <t xml:space="preserve">20965193</t>
  </si>
  <si>
    <t xml:space="preserve">REA101-TDM-02-02 A</t>
  </si>
  <si>
    <t xml:space="preserve">RELEVADOR REA101-TDM-02-02 A</t>
  </si>
  <si>
    <t xml:space="preserve">20965194</t>
  </si>
  <si>
    <t xml:space="preserve">REA101-TDM-02-02 B</t>
  </si>
  <si>
    <t xml:space="preserve">RELEVADOR REA101-TDM-02-02 B</t>
  </si>
  <si>
    <t xml:space="preserve">20965195</t>
  </si>
  <si>
    <t xml:space="preserve">REA101-TDM-16-01 A</t>
  </si>
  <si>
    <t xml:space="preserve">RELEVADOR REA101-TDM-16-01 A</t>
  </si>
  <si>
    <t xml:space="preserve">20965196</t>
  </si>
  <si>
    <t xml:space="preserve">REA101-TDM-16-01 B</t>
  </si>
  <si>
    <t xml:space="preserve">RELEVADOR REA101-TDM-16-01 B</t>
  </si>
  <si>
    <t xml:space="preserve">20965279</t>
  </si>
  <si>
    <t xml:space="preserve">REF615-TDM-16-01 E</t>
  </si>
  <si>
    <t xml:space="preserve">RELEVADOR REF615-TDM-16-01 E</t>
  </si>
  <si>
    <t xml:space="preserve">20965280</t>
  </si>
  <si>
    <t xml:space="preserve">REF615-TDM-19-01 A</t>
  </si>
  <si>
    <t xml:space="preserve">RELEVADOR REF615-TDM-19-01 A</t>
  </si>
  <si>
    <t xml:space="preserve">20965281</t>
  </si>
  <si>
    <t xml:space="preserve">REF615-TDM-19-01 B</t>
  </si>
  <si>
    <t xml:space="preserve">RELEVADOR REF615-TDM-19-01 B</t>
  </si>
  <si>
    <t xml:space="preserve">20965282</t>
  </si>
  <si>
    <t xml:space="preserve">REF615-TDM-19-01 E</t>
  </si>
  <si>
    <t xml:space="preserve">RELEVADOR REF615-TDM-19-01 E</t>
  </si>
  <si>
    <t xml:space="preserve">20965283</t>
  </si>
  <si>
    <t xml:space="preserve">20965284</t>
  </si>
  <si>
    <t xml:space="preserve">20965285</t>
  </si>
  <si>
    <t xml:space="preserve">REF615-TR-02-09</t>
  </si>
  <si>
    <t xml:space="preserve">RELEVADOR REF615-TR-02-09</t>
  </si>
  <si>
    <t xml:space="preserve">20965286</t>
  </si>
  <si>
    <t xml:space="preserve">REF615-TR-02-10</t>
  </si>
  <si>
    <t xml:space="preserve">RELEVADOR REF615-TR-02-10</t>
  </si>
  <si>
    <t xml:space="preserve">20965287</t>
  </si>
  <si>
    <t xml:space="preserve">REF615-TR-16-03</t>
  </si>
  <si>
    <t xml:space="preserve">RELEVADOR REF615-TR-16-03</t>
  </si>
  <si>
    <t xml:space="preserve">20965288</t>
  </si>
  <si>
    <t xml:space="preserve">REF615-TR-16-04</t>
  </si>
  <si>
    <t xml:space="preserve">RELEVADOR REF615-TR-16-04</t>
  </si>
  <si>
    <t xml:space="preserve">20965289</t>
  </si>
  <si>
    <t xml:space="preserve">REF615-TR-16-05</t>
  </si>
  <si>
    <t xml:space="preserve">RELEVADOR REF615-TR-16-05</t>
  </si>
  <si>
    <t xml:space="preserve">20965290</t>
  </si>
  <si>
    <t xml:space="preserve">REF615-TR-16-06</t>
  </si>
  <si>
    <t xml:space="preserve">RELEVADOR REF615-TR-16-06</t>
  </si>
  <si>
    <t xml:space="preserve">20965291</t>
  </si>
  <si>
    <t xml:space="preserve">REF615-TR-19-03</t>
  </si>
  <si>
    <t xml:space="preserve">RELEVADOR REF615-TR-19-03</t>
  </si>
  <si>
    <t xml:space="preserve">20965292</t>
  </si>
  <si>
    <t xml:space="preserve">REF615-TR-19-04</t>
  </si>
  <si>
    <t xml:space="preserve">RELEVADOR REF615-TR-19-04</t>
  </si>
  <si>
    <t xml:space="preserve">20965293</t>
  </si>
  <si>
    <t xml:space="preserve">REF615-TR-19-05</t>
  </si>
  <si>
    <t xml:space="preserve">RELEVADOR REF615-TR-19-05</t>
  </si>
  <si>
    <t xml:space="preserve">20965294</t>
  </si>
  <si>
    <t xml:space="preserve">REF615-TR-19-06</t>
  </si>
  <si>
    <t xml:space="preserve">RELEVADOR REF615-TR-19-06</t>
  </si>
  <si>
    <t xml:space="preserve">20965342</t>
  </si>
  <si>
    <t xml:space="preserve">RET615-52-18-1-008</t>
  </si>
  <si>
    <t xml:space="preserve">RELEVADOR RET615-52-18-1-008</t>
  </si>
  <si>
    <t xml:space="preserve">20965343</t>
  </si>
  <si>
    <t xml:space="preserve">RET615-52-18-1-009</t>
  </si>
  <si>
    <t xml:space="preserve">RELEVADOR RET615-52-18-1-009</t>
  </si>
  <si>
    <t xml:space="preserve">20965344</t>
  </si>
  <si>
    <t xml:space="preserve">RET615-52-18-1-010</t>
  </si>
  <si>
    <t xml:space="preserve">RELEVADOR RET615-52-18-1-010</t>
  </si>
  <si>
    <t xml:space="preserve">20965345</t>
  </si>
  <si>
    <t xml:space="preserve">RET615-52-18-1-011</t>
  </si>
  <si>
    <t xml:space="preserve">RELEVADOR RET615-52-18-1-011</t>
  </si>
  <si>
    <t xml:space="preserve">20965346</t>
  </si>
  <si>
    <t xml:space="preserve">RET615-52-18-1-012</t>
  </si>
  <si>
    <t xml:space="preserve">RELEVADOR RET615-52-18-1-012</t>
  </si>
  <si>
    <t xml:space="preserve">20965347</t>
  </si>
  <si>
    <t xml:space="preserve">RET615-52-18-1-013</t>
  </si>
  <si>
    <t xml:space="preserve">RELEVADOR RET615-52-18-1-013</t>
  </si>
  <si>
    <t xml:space="preserve">20965348</t>
  </si>
  <si>
    <t xml:space="preserve">RET615-52-18-1-014</t>
  </si>
  <si>
    <t xml:space="preserve">RELEVADOR RET615-52-18-1-014</t>
  </si>
  <si>
    <t xml:space="preserve">20965349</t>
  </si>
  <si>
    <t xml:space="preserve">RET615-52-18-1-015</t>
  </si>
  <si>
    <t xml:space="preserve">RELEVADOR RET615-52-18-1-015</t>
  </si>
  <si>
    <t xml:space="preserve">20965350</t>
  </si>
  <si>
    <t xml:space="preserve">RET615-52-18-1-016</t>
  </si>
  <si>
    <t xml:space="preserve">RELEVADOR RET615-52-18-1-016</t>
  </si>
  <si>
    <t xml:space="preserve">20965351</t>
  </si>
  <si>
    <t xml:space="preserve">RET615-52-18-1-017</t>
  </si>
  <si>
    <t xml:space="preserve">RELEVADOR RET615-52-18-1-017</t>
  </si>
  <si>
    <t xml:space="preserve">20965352</t>
  </si>
  <si>
    <t xml:space="preserve">RET615-IP-02-01(TR-02-11)</t>
  </si>
  <si>
    <t xml:space="preserve">RELEVADOR RET615-IP-02-01(TR-02-11)</t>
  </si>
  <si>
    <t xml:space="preserve">20965353</t>
  </si>
  <si>
    <t xml:space="preserve">RET615-IP-02-02(TR-02-12)</t>
  </si>
  <si>
    <t xml:space="preserve">RELEVADOR RET615-IP-02-02(TR-02-12)</t>
  </si>
  <si>
    <t xml:space="preserve">20965354</t>
  </si>
  <si>
    <t xml:space="preserve">RET615-IP-16-01(TR-16-01)</t>
  </si>
  <si>
    <t xml:space="preserve">RELEVADOR RET615-IP-16-01(TR-16-01)</t>
  </si>
  <si>
    <t xml:space="preserve">20965355</t>
  </si>
  <si>
    <t xml:space="preserve">RET615-IP-16-02(TR-16-02)</t>
  </si>
  <si>
    <t xml:space="preserve">RELEVADOR RET615-IP-16-02(TR-16-02)</t>
  </si>
  <si>
    <t xml:space="preserve">20965356</t>
  </si>
  <si>
    <t xml:space="preserve">RET615-IP-19-01A</t>
  </si>
  <si>
    <t xml:space="preserve">RELEVADOR RET615-IP-19-01A</t>
  </si>
  <si>
    <t xml:space="preserve">20965357</t>
  </si>
  <si>
    <t xml:space="preserve">RET615-IP-19-01B</t>
  </si>
  <si>
    <t xml:space="preserve">RELEVADOR RET615-IP-19-01B</t>
  </si>
  <si>
    <t xml:space="preserve">20965358</t>
  </si>
  <si>
    <t xml:space="preserve">SEL437-BC-30-01</t>
  </si>
  <si>
    <t xml:space="preserve">RELEVADOR SEL437-BC-30-01</t>
  </si>
  <si>
    <t xml:space="preserve">TRI-REF-DBP-08SEL-S_030-BC_30_01_SE_30</t>
  </si>
  <si>
    <t xml:space="preserve">20965359</t>
  </si>
  <si>
    <t xml:space="preserve">SEL735-IE-01-TDBT-UDA-01A</t>
  </si>
  <si>
    <t xml:space="preserve">RELEVADOR SEL735-IE-01-TDBT-UDA-01A</t>
  </si>
  <si>
    <t xml:space="preserve">TRI-REF-DBP-08SEL-S_001-TR_UDA_09_S01</t>
  </si>
  <si>
    <t xml:space="preserve">20965360</t>
  </si>
  <si>
    <t xml:space="preserve">SEL735-IE-02-TDBT-UDA-01B</t>
  </si>
  <si>
    <t xml:space="preserve">RELEVADOR SEL735-IE-02-TDBT-UDA-01B</t>
  </si>
  <si>
    <t xml:space="preserve">TRI-REF-DBP-08SEL-S_001-TR_UDA_10_S01</t>
  </si>
  <si>
    <t xml:space="preserve">20965361</t>
  </si>
  <si>
    <t xml:space="preserve">SEL735-IE-1-TDB-02-02 A</t>
  </si>
  <si>
    <t xml:space="preserve">RELEVADOR SEL735-IE-1-TDB-02-02 A</t>
  </si>
  <si>
    <t xml:space="preserve">TRI-REF-DBP-06SEL-S_002-TR_02_23_SE2</t>
  </si>
  <si>
    <t xml:space="preserve">20965362</t>
  </si>
  <si>
    <t xml:space="preserve">SEL735-IE-1-TDB-16-01 A</t>
  </si>
  <si>
    <t xml:space="preserve">RELEVADOR SEL735-IE-1-TDB-16-01 A</t>
  </si>
  <si>
    <t xml:space="preserve">TRI-REF-DBP-08SEL-S_016-TDB16_01_A_SE16</t>
  </si>
  <si>
    <t xml:space="preserve">20965363</t>
  </si>
  <si>
    <t xml:space="preserve">SEL735-IE-1-TDB-16-02 A</t>
  </si>
  <si>
    <t xml:space="preserve">RELEVADOR SEL735-IE-1-TDB-16-02 A</t>
  </si>
  <si>
    <t xml:space="preserve">TRI-REF-DBP-08SEL-S_016-TR_16_07_SE16</t>
  </si>
  <si>
    <t xml:space="preserve">20965364</t>
  </si>
  <si>
    <t xml:space="preserve">SEL735-IE-1-TDB-19-01</t>
  </si>
  <si>
    <t xml:space="preserve">RELEVADOR SEL735-IE-1-TDB-19-01</t>
  </si>
  <si>
    <t xml:space="preserve">TRI-REF-DBP-08SEL-S_019-TDB19_01_A_SE19</t>
  </si>
  <si>
    <t xml:space="preserve">20965365</t>
  </si>
  <si>
    <t xml:space="preserve">SEL735-IE-1-TDB-19-02</t>
  </si>
  <si>
    <t xml:space="preserve">RELEVADOR SEL735-IE-1-TDB-19-02</t>
  </si>
  <si>
    <t xml:space="preserve">TRI-REF-DBP-08SEL-S_019-TR_19_21_SE19</t>
  </si>
  <si>
    <t xml:space="preserve">20965278</t>
  </si>
  <si>
    <t xml:space="preserve">REF615-TDM-16-01 B</t>
  </si>
  <si>
    <t xml:space="preserve">RELEVADOR REF615-TDM-16-01 B</t>
  </si>
  <si>
    <t xml:space="preserve">20965238</t>
  </si>
  <si>
    <t xml:space="preserve">REF615-IV-1 TDP-SEP02-04</t>
  </si>
  <si>
    <t xml:space="preserve">RELEVADOR REF615-IV-1 TDP-SEP02-04</t>
  </si>
  <si>
    <t xml:space="preserve">20965239</t>
  </si>
  <si>
    <t xml:space="preserve">REF615-IV-1 TDP-SEP02-05</t>
  </si>
  <si>
    <t xml:space="preserve">RELEVADOR REF615-IV-1 TDP-SEP02-05</t>
  </si>
  <si>
    <t xml:space="preserve">20965240</t>
  </si>
  <si>
    <t xml:space="preserve">REF615-IV-10 TDP-SEP02-02</t>
  </si>
  <si>
    <t xml:space="preserve">RELEVADOR REF615-IV-10 TDP-SEP02-02</t>
  </si>
  <si>
    <t xml:space="preserve">20965241</t>
  </si>
  <si>
    <t xml:space="preserve">REF615-IV-11 TDP-SEP02-03</t>
  </si>
  <si>
    <t xml:space="preserve">RELEVADOR REF615-IV-11 TDP-SEP02-03</t>
  </si>
  <si>
    <t xml:space="preserve">20965242</t>
  </si>
  <si>
    <t xml:space="preserve">REF615-IV-12 TDP-SEP02-02</t>
  </si>
  <si>
    <t xml:space="preserve">RELEVADOR REF615-IV-12 TDP-SEP02-02</t>
  </si>
  <si>
    <t xml:space="preserve">20965243</t>
  </si>
  <si>
    <t xml:space="preserve">REF615-IV-13 TDP-SEP02-03</t>
  </si>
  <si>
    <t xml:space="preserve">RELEVADOR REF615-IV-13 TDP-SEP02-03</t>
  </si>
  <si>
    <t xml:space="preserve">20965244</t>
  </si>
  <si>
    <t xml:space="preserve">REF615-IV-2 TDP-SEP02-02</t>
  </si>
  <si>
    <t xml:space="preserve">RELEVADOR REF615-IV-2 TDP-SEP02-02</t>
  </si>
  <si>
    <t xml:space="preserve">20965245</t>
  </si>
  <si>
    <t xml:space="preserve">REF615-IV-2 TDP-SEP02-03</t>
  </si>
  <si>
    <t xml:space="preserve">RELEVADOR REF615-IV-2 TDP-SEP02-03</t>
  </si>
  <si>
    <t xml:space="preserve">20965246</t>
  </si>
  <si>
    <t xml:space="preserve">REF615-IV-2 TDP-SEP02-04</t>
  </si>
  <si>
    <t xml:space="preserve">RELEVADOR REF615-IV-2 TDP-SEP02-04</t>
  </si>
  <si>
    <t xml:space="preserve">20965247</t>
  </si>
  <si>
    <t xml:space="preserve">REF615-IV-2 TDP-SEP02-05</t>
  </si>
  <si>
    <t xml:space="preserve">RELEVADOR REF615-IV-2 TDP-SEP02-05</t>
  </si>
  <si>
    <t xml:space="preserve">20965248</t>
  </si>
  <si>
    <t xml:space="preserve">REF615-IV-3 TDP-SEP02-02</t>
  </si>
  <si>
    <t xml:space="preserve">RELEVADOR REF615-IV-3 TDP-SEP02-02</t>
  </si>
  <si>
    <t xml:space="preserve">20965249</t>
  </si>
  <si>
    <t xml:space="preserve">REF615-IV-3 TDP-SEP02-03</t>
  </si>
  <si>
    <t xml:space="preserve">RELEVADOR REF615-IV-3 TDP-SEP02-03</t>
  </si>
  <si>
    <t xml:space="preserve">20965250</t>
  </si>
  <si>
    <t xml:space="preserve">REF615-IV-3 TDP-SEP02-04</t>
  </si>
  <si>
    <t xml:space="preserve">RELEVADOR REF615-IV-3 TDP-SEP02-04</t>
  </si>
  <si>
    <t xml:space="preserve">20965251</t>
  </si>
  <si>
    <t xml:space="preserve">REF615-IV-3 TDP-SEP02-05</t>
  </si>
  <si>
    <t xml:space="preserve">RELEVADOR REF615-IV-3 TDP-SEP02-05</t>
  </si>
  <si>
    <t xml:space="preserve">20965252</t>
  </si>
  <si>
    <t xml:space="preserve">REF615-IV-4 TDP-SEP02-02</t>
  </si>
  <si>
    <t xml:space="preserve">RELEVADOR REF615-IV-4 TDP-SEP02-02</t>
  </si>
  <si>
    <t xml:space="preserve">20965253</t>
  </si>
  <si>
    <t xml:space="preserve">REF615-IV-4 TDP-SEP02-03</t>
  </si>
  <si>
    <t xml:space="preserve">RELEVADOR REF615-IV-4 TDP-SEP02-03</t>
  </si>
  <si>
    <t xml:space="preserve">20965254</t>
  </si>
  <si>
    <t xml:space="preserve">REF615-IV-4 TDP-SEP02-04</t>
  </si>
  <si>
    <t xml:space="preserve">RELEVADOR REF615-IV-4 TDP-SEP02-04</t>
  </si>
  <si>
    <t xml:space="preserve">20965255</t>
  </si>
  <si>
    <t xml:space="preserve">REF615-IV-4 TDP-SEP02-05</t>
  </si>
  <si>
    <t xml:space="preserve">RELEVADOR REF615-IV-4 TDP-SEP02-05</t>
  </si>
  <si>
    <t xml:space="preserve">20965256</t>
  </si>
  <si>
    <t xml:space="preserve">REF615-IV-5 TDP-SEP02-02</t>
  </si>
  <si>
    <t xml:space="preserve">RELEVADOR REF615-IV-5 TDP-SEP02-02</t>
  </si>
  <si>
    <t xml:space="preserve">20965257</t>
  </si>
  <si>
    <t xml:space="preserve">REF615-IV-5 TDP-SEP02-03</t>
  </si>
  <si>
    <t xml:space="preserve">RELEVADOR REF615-IV-5 TDP-SEP02-03</t>
  </si>
  <si>
    <t xml:space="preserve">20965258</t>
  </si>
  <si>
    <t xml:space="preserve">REF615-IV-5 TDP-SEP02-04</t>
  </si>
  <si>
    <t xml:space="preserve">RELEVADOR REF615-IV-5 TDP-SEP02-04</t>
  </si>
  <si>
    <t xml:space="preserve">20965259</t>
  </si>
  <si>
    <t xml:space="preserve">REF615-IV-5 TDP-SEP02-05</t>
  </si>
  <si>
    <t xml:space="preserve">RELEVADOR REF615-IV-5 TDP-SEP02-05</t>
  </si>
  <si>
    <t xml:space="preserve">20965260</t>
  </si>
  <si>
    <t xml:space="preserve">REF615-IV-6 TDP-SEP02-02</t>
  </si>
  <si>
    <t xml:space="preserve">RELEVADOR REF615-IV-6 TDP-SEP02-02</t>
  </si>
  <si>
    <t xml:space="preserve">20965261</t>
  </si>
  <si>
    <t xml:space="preserve">REF615-IV-6 TDP-SEP02-03</t>
  </si>
  <si>
    <t xml:space="preserve">RELEVADOR REF615-IV-6 TDP-SEP02-03</t>
  </si>
  <si>
    <t xml:space="preserve">20965262</t>
  </si>
  <si>
    <t xml:space="preserve">REF615-IV-6 TDP-SEP02-04</t>
  </si>
  <si>
    <t xml:space="preserve">RELEVADOR REF615-IV-6 TDP-SEP02-04</t>
  </si>
  <si>
    <t xml:space="preserve">20965263</t>
  </si>
  <si>
    <t xml:space="preserve">REF615-IV-6 TDP-SEP02-05</t>
  </si>
  <si>
    <t xml:space="preserve">RELEVADOR REF615-IV-6 TDP-SEP02-05</t>
  </si>
  <si>
    <t xml:space="preserve">20965264</t>
  </si>
  <si>
    <t xml:space="preserve">REF615-IV-7 TDP-SEP02-03</t>
  </si>
  <si>
    <t xml:space="preserve">RELEVADOR REF615-IV-7 TDP-SEP02-03</t>
  </si>
  <si>
    <t xml:space="preserve">20965265</t>
  </si>
  <si>
    <t xml:space="preserve">REF615-IV-7 TDP-SEP02-04</t>
  </si>
  <si>
    <t xml:space="preserve">RELEVADOR REF615-IV-7 TDP-SEP02-04</t>
  </si>
  <si>
    <t xml:space="preserve">20965266</t>
  </si>
  <si>
    <t xml:space="preserve">REF615-IV-7 TDP-SEP02-05</t>
  </si>
  <si>
    <t xml:space="preserve">RELEVADOR REF615-IV-7 TDP-SEP02-05</t>
  </si>
  <si>
    <t xml:space="preserve">20965267</t>
  </si>
  <si>
    <t xml:space="preserve">REF615-IV-8 TDP-SEP02-02</t>
  </si>
  <si>
    <t xml:space="preserve">RELEVADOR REF615-IV-8 TDP-SEP02-02</t>
  </si>
  <si>
    <t xml:space="preserve">20965268</t>
  </si>
  <si>
    <t xml:space="preserve">REF615-IV-8 TDP-SEP02-03</t>
  </si>
  <si>
    <t xml:space="preserve">RELEVADOR REF615-IV-8 TDP-SEP02-03</t>
  </si>
  <si>
    <t xml:space="preserve">20965269</t>
  </si>
  <si>
    <t xml:space="preserve">REF615-IV-8 TDP-SEP02-05</t>
  </si>
  <si>
    <t xml:space="preserve">RELEVADOR REF615-IV-8 TDP-SEP02-05</t>
  </si>
  <si>
    <t xml:space="preserve">20965270</t>
  </si>
  <si>
    <t xml:space="preserve">REF615-IV-9 TDP-SEP02-03</t>
  </si>
  <si>
    <t xml:space="preserve">RELEVADOR REF615-IV-9 TDP-SEP02-03</t>
  </si>
  <si>
    <t xml:space="preserve">20965271</t>
  </si>
  <si>
    <t xml:space="preserve">REF615-IV-9 TDP-SEP02-05</t>
  </si>
  <si>
    <t xml:space="preserve">RELEVADOR REF615-IV-9 TDP-SEP02-05</t>
  </si>
  <si>
    <t xml:space="preserve">20965272</t>
  </si>
  <si>
    <t xml:space="preserve">REF615-PARO-SEG</t>
  </si>
  <si>
    <t xml:space="preserve">RELEVADOR REF615-PARO-SEG</t>
  </si>
  <si>
    <t xml:space="preserve">20965273</t>
  </si>
  <si>
    <t xml:space="preserve">REF615-PARO-SEG-SE-02</t>
  </si>
  <si>
    <t xml:space="preserve">RELEVADOR REF615-PARO-SEG-SE-02</t>
  </si>
  <si>
    <t xml:space="preserve">20965274</t>
  </si>
  <si>
    <t xml:space="preserve">REF615-TDM-02-02 A</t>
  </si>
  <si>
    <t xml:space="preserve">RELEVADOR REF615-TDM-02-02 A</t>
  </si>
  <si>
    <t xml:space="preserve">20965275</t>
  </si>
  <si>
    <t xml:space="preserve">REF615-TDM-02-02 B</t>
  </si>
  <si>
    <t xml:space="preserve">RELEVADOR REF615-TDM-02-02 B</t>
  </si>
  <si>
    <t xml:space="preserve">20965276</t>
  </si>
  <si>
    <t xml:space="preserve">REF615-TDM-02-02 E</t>
  </si>
  <si>
    <t xml:space="preserve">RELEVADOR REF615-TDM-02-02 E</t>
  </si>
  <si>
    <t xml:space="preserve">20965277</t>
  </si>
  <si>
    <t xml:space="preserve">REF615-TDM-16-01 A</t>
  </si>
  <si>
    <t xml:space="preserve">RELEVADOR REF615-TDM-16-01 A</t>
  </si>
  <si>
    <t xml:space="preserve">20965135</t>
  </si>
  <si>
    <t xml:space="preserve">7SR5711-BC-30-01</t>
  </si>
  <si>
    <t xml:space="preserve">RELEVADOR 7SR5711-BC-30-01</t>
  </si>
  <si>
    <t xml:space="preserve">20961039</t>
  </si>
  <si>
    <t xml:space="preserve">SEL-735 52-CCM-302 A</t>
  </si>
  <si>
    <t xml:space="preserve">RELEVADOR SEL-735 52-CCM-302 A</t>
  </si>
  <si>
    <t xml:space="preserve">TRI-REF-DBP-04SEL-S_027-52CCM302_A_SE27</t>
  </si>
  <si>
    <t xml:space="preserve">20961040</t>
  </si>
  <si>
    <t xml:space="preserve">SEL-735 52-CCM-302 B</t>
  </si>
  <si>
    <t xml:space="preserve">RELEVADOR SEL-735 52-CCM-302 B</t>
  </si>
  <si>
    <t xml:space="preserve">TRI-REF-DBP-04SEL-S_027-52CCM302_B_SE27</t>
  </si>
  <si>
    <t xml:space="preserve">20961041</t>
  </si>
  <si>
    <t xml:space="preserve">SEL-735 52-CCM-303 A</t>
  </si>
  <si>
    <t xml:space="preserve">RELEVADOR SEL-735 52-CCM-303 A</t>
  </si>
  <si>
    <t xml:space="preserve">TRI-REF-DBP-04SEL-S_027-52CCM303_A_SE27</t>
  </si>
  <si>
    <t xml:space="preserve">20961042</t>
  </si>
  <si>
    <t xml:space="preserve">SEL-735 52-CCM-303 B</t>
  </si>
  <si>
    <t xml:space="preserve">RELEVADOR SEL-735 52-CCM-303 B</t>
  </si>
  <si>
    <t xml:space="preserve">TRI-REF-DBP-04SEL-S_027-52CCM303_B_SE27</t>
  </si>
  <si>
    <t xml:space="preserve">20961043</t>
  </si>
  <si>
    <t xml:space="preserve">SEL-735 52-TD-401 A</t>
  </si>
  <si>
    <t xml:space="preserve">RELEVADOR SEL-735 52-TD-401 A</t>
  </si>
  <si>
    <t xml:space="preserve">TRI-REF-DBP-04SEL-S_027-52_TR_301A_SE27</t>
  </si>
  <si>
    <t xml:space="preserve">20961044</t>
  </si>
  <si>
    <t xml:space="preserve">SEL-735 52-TD-401 B</t>
  </si>
  <si>
    <t xml:space="preserve">RELEVADOR SEL-735 52-TD-401 B</t>
  </si>
  <si>
    <t xml:space="preserve">TRI-REF-DBP-04SEL-S_027-52_TR_301B_SE27</t>
  </si>
  <si>
    <t xml:space="preserve">20961045</t>
  </si>
  <si>
    <t xml:space="preserve">SEL-735 52-TD-402 A</t>
  </si>
  <si>
    <t xml:space="preserve">RELEVADOR SEL-735 52-TD-402 A</t>
  </si>
  <si>
    <t xml:space="preserve">TRI-REF-DBP-04SEL-S_027-52_TR_302A_SE27</t>
  </si>
  <si>
    <t xml:space="preserve">20961046</t>
  </si>
  <si>
    <t xml:space="preserve">SEL-735 52-TD-402 B</t>
  </si>
  <si>
    <t xml:space="preserve">RELEVADOR SEL-735 52-TD-402 B</t>
  </si>
  <si>
    <t xml:space="preserve">TRI-REF-DBP-04SEL-S_027-52_TR_302B_SE27</t>
  </si>
  <si>
    <t xml:space="preserve">20961047</t>
  </si>
  <si>
    <t xml:space="preserve">SEL-735 52-TD-403 A</t>
  </si>
  <si>
    <t xml:space="preserve">RELEVADOR SEL-735 52-TD-403 A</t>
  </si>
  <si>
    <t xml:space="preserve">TRI-REF-DBP-04SEL-S_027-52_TR_303A_SE27</t>
  </si>
  <si>
    <t xml:space="preserve">20961048</t>
  </si>
  <si>
    <t xml:space="preserve">SEL-735 52-TD-403 B</t>
  </si>
  <si>
    <t xml:space="preserve">RELEVADOR SEL-735 52-TD-403 B</t>
  </si>
  <si>
    <t xml:space="preserve">TRI-REF-DBP-04SEL-S_027-52_TR_303B_SE27</t>
  </si>
  <si>
    <t xml:space="preserve">20961059</t>
  </si>
  <si>
    <t xml:space="preserve">GE-845-87T 40-TR-101 A</t>
  </si>
  <si>
    <t xml:space="preserve">RELEVADOR GE-845-87T 40-TR-101 A</t>
  </si>
  <si>
    <t xml:space="preserve">TRI-REF-DBP-04SEL-S_024-40_TR_101A_SE24</t>
  </si>
  <si>
    <t xml:space="preserve">20961060</t>
  </si>
  <si>
    <t xml:space="preserve">GE-850 40-TR-101 A</t>
  </si>
  <si>
    <t xml:space="preserve">RELEVADOR GE-850 40-TR-101 A</t>
  </si>
  <si>
    <t xml:space="preserve">20961061</t>
  </si>
  <si>
    <t xml:space="preserve">GE-850 40-TDP-101 A</t>
  </si>
  <si>
    <t xml:space="preserve">RELEVADOR GE-850 40-TDP-101 A</t>
  </si>
  <si>
    <t xml:space="preserve">TRI-REF-DBP-04SEL-S_024-40TDP_101_A_SE24</t>
  </si>
  <si>
    <t xml:space="preserve">20961062</t>
  </si>
  <si>
    <t xml:space="preserve">GE-B90-01 40-TDP-101 A</t>
  </si>
  <si>
    <t xml:space="preserve">RELEVADOR GE-B90-01 40-TDP-101 A</t>
  </si>
  <si>
    <t xml:space="preserve">20961063</t>
  </si>
  <si>
    <t xml:space="preserve">GE-B90-02 40-TDP-101 A</t>
  </si>
  <si>
    <t xml:space="preserve">RELEVADOR GE-B90-02 40-TDP-101 A</t>
  </si>
  <si>
    <t xml:space="preserve">20961064</t>
  </si>
  <si>
    <t xml:space="preserve">GE-850 40-TDP-101 AB</t>
  </si>
  <si>
    <t xml:space="preserve">RELEVADOR GE-850 40-TDP-101 AB</t>
  </si>
  <si>
    <t xml:space="preserve">20961065</t>
  </si>
  <si>
    <t xml:space="preserve">GE-850 40-TDP-101 B</t>
  </si>
  <si>
    <t xml:space="preserve">RELEVADOR GE-850 40-TDP-101 B</t>
  </si>
  <si>
    <t xml:space="preserve">TRI-REF-DBP-04SEL-S_024-40TDP_101_B_SE24</t>
  </si>
  <si>
    <t xml:space="preserve">20961066</t>
  </si>
  <si>
    <t xml:space="preserve">GE-B90-01 40-TDP-101 B</t>
  </si>
  <si>
    <t xml:space="preserve">RELEVADOR GE-B90-01 40-TDP-101 B</t>
  </si>
  <si>
    <t xml:space="preserve">20961067</t>
  </si>
  <si>
    <t xml:space="preserve">GE-B90-02 40-TDP-101 B</t>
  </si>
  <si>
    <t xml:space="preserve">RELEVADOR GE-B90-02 40-TDP-101 B</t>
  </si>
  <si>
    <t xml:space="preserve">20961068</t>
  </si>
  <si>
    <t xml:space="preserve">GE-845-87T 40-TR-101 B</t>
  </si>
  <si>
    <t xml:space="preserve">RELEVADOR GE-845-87T 40-TR-101 B</t>
  </si>
  <si>
    <t xml:space="preserve">TRI-REF-DBP-04SEL-S_024-40_TR_101B_SE24</t>
  </si>
  <si>
    <t xml:space="preserve">20961069</t>
  </si>
  <si>
    <t xml:space="preserve">GE-850 40-TR-101 B</t>
  </si>
  <si>
    <t xml:space="preserve">RELEVADOR GE-850 40-TR-101 B</t>
  </si>
  <si>
    <t xml:space="preserve">20961084</t>
  </si>
  <si>
    <t xml:space="preserve">GE-850 40-BC-201A</t>
  </si>
  <si>
    <t xml:space="preserve">RELEVADOR GE-850 40-BC-201A</t>
  </si>
  <si>
    <t xml:space="preserve">20961085</t>
  </si>
  <si>
    <t xml:space="preserve">GE-850 40-TR-204 A</t>
  </si>
  <si>
    <t xml:space="preserve">RELEVADOR GE-850 40-TR-204 A</t>
  </si>
  <si>
    <t xml:space="preserve">TRI-REF-DBP-04SEL-S_024-40_TR_204A_SE24</t>
  </si>
  <si>
    <t xml:space="preserve">20961086</t>
  </si>
  <si>
    <t xml:space="preserve">GE-850 40-TR-203 A</t>
  </si>
  <si>
    <t xml:space="preserve">RELEVADOR GE-850 40-TR-203 A</t>
  </si>
  <si>
    <t xml:space="preserve">TRI-REF-DBP-04SEL-S_024-40_TR_203A_SE24</t>
  </si>
  <si>
    <t xml:space="preserve">20961087</t>
  </si>
  <si>
    <t xml:space="preserve">GE-850 40-TR-202 A</t>
  </si>
  <si>
    <t xml:space="preserve">RELEVADOR GE-850 40-TR-202 A</t>
  </si>
  <si>
    <t xml:space="preserve">TRI-REF-DBP-04SEL-S_024-40_TR_202A_SE24</t>
  </si>
  <si>
    <t xml:space="preserve">20961088</t>
  </si>
  <si>
    <t xml:space="preserve">GE-850 40-TR-201 A</t>
  </si>
  <si>
    <t xml:space="preserve">RELEVADOR GE-850 40-TR-201 A</t>
  </si>
  <si>
    <t xml:space="preserve">TRI-REF-DBP-04SEL-S_024-40_TR_201A_SE24</t>
  </si>
  <si>
    <t xml:space="preserve">20961089</t>
  </si>
  <si>
    <t xml:space="preserve">GE-850 40-TDMT-201 A</t>
  </si>
  <si>
    <t xml:space="preserve">RELEVADOR GE-850 40-TDMT-201 A</t>
  </si>
  <si>
    <t xml:space="preserve">TRI-REF-DBP-04SEL-S_024-40TDMT_201A_S24</t>
  </si>
  <si>
    <t xml:space="preserve">20961090</t>
  </si>
  <si>
    <t xml:space="preserve">GE-850 40-TDMT-201 AB</t>
  </si>
  <si>
    <t xml:space="preserve">RELEVADOR GE-850 40-TDMT-201 AB</t>
  </si>
  <si>
    <t xml:space="preserve">20961091</t>
  </si>
  <si>
    <t xml:space="preserve">GE-850 40-TDMT-201 B</t>
  </si>
  <si>
    <t xml:space="preserve">RELEVADOR GE-850 40-TDMT-201 B</t>
  </si>
  <si>
    <t xml:space="preserve">TRI-REF-DBP-04SEL-S_024-40TDMT_201B_S24</t>
  </si>
  <si>
    <t xml:space="preserve">20961092</t>
  </si>
  <si>
    <t xml:space="preserve">GE-850 40-TR-201 B</t>
  </si>
  <si>
    <t xml:space="preserve">RELEVADOR GE-850 40-TR-201 B</t>
  </si>
  <si>
    <t xml:space="preserve">TRI-REF-DBP-04SEL-S_024-40_TR_201B_SE24</t>
  </si>
  <si>
    <t xml:space="preserve">20961093</t>
  </si>
  <si>
    <t xml:space="preserve">GE-850 40-TR-202 B</t>
  </si>
  <si>
    <t xml:space="preserve">RELEVADOR GE-850 40-TR-202 B</t>
  </si>
  <si>
    <t xml:space="preserve">TRI-REF-DBP-04SEL-S_024-40_TR_202B_SE24</t>
  </si>
  <si>
    <t xml:space="preserve">20961094</t>
  </si>
  <si>
    <t xml:space="preserve">GE-850 40-TR-203 B</t>
  </si>
  <si>
    <t xml:space="preserve">RELEVADOR GE-850 40-TR-203 B</t>
  </si>
  <si>
    <t xml:space="preserve">TRI-REF-DBP-04SEL-S_024-40_TR_203B_SE24</t>
  </si>
  <si>
    <t xml:space="preserve">20961095</t>
  </si>
  <si>
    <t xml:space="preserve">GE-850 40-TR-204 B</t>
  </si>
  <si>
    <t xml:space="preserve">RELEVADOR GE-850 40-TR-204 B</t>
  </si>
  <si>
    <t xml:space="preserve">TRI-REF-DBP-04SEL-S_024-40_TR_204B_SE24</t>
  </si>
  <si>
    <t xml:space="preserve">20961096</t>
  </si>
  <si>
    <t xml:space="preserve">GE-850 40-BC-201 B</t>
  </si>
  <si>
    <t xml:space="preserve">RELEVADOR GE-850 40-BC-201 B</t>
  </si>
  <si>
    <t xml:space="preserve">20961101</t>
  </si>
  <si>
    <t xml:space="preserve">SEL-735 40-CCM-301 A</t>
  </si>
  <si>
    <t xml:space="preserve">RELEVADOR SEL-735 40-CCM-301 A</t>
  </si>
  <si>
    <t xml:space="preserve">TRI-REF-DBP-04SEL-S_024-40CCM301_A_SE24</t>
  </si>
  <si>
    <t xml:space="preserve">20961102</t>
  </si>
  <si>
    <t xml:space="preserve">SEL-735 40-CCM-301 B</t>
  </si>
  <si>
    <t xml:space="preserve">RELEVADOR SEL-735 40-CCM-301 B</t>
  </si>
  <si>
    <t xml:space="preserve">TRI-REF-DBP-04SEL-S_024-40CCM301_B_SE24</t>
  </si>
  <si>
    <t xml:space="preserve">20961103</t>
  </si>
  <si>
    <t xml:space="preserve">SEL-735 40-CCM-302 A</t>
  </si>
  <si>
    <t xml:space="preserve">RELEVADOR SEL-735 40-CCM-302 A</t>
  </si>
  <si>
    <t xml:space="preserve">TRI-REF-DBP-04SEL-S_024-40CCM302_A_SE24</t>
  </si>
  <si>
    <t xml:space="preserve">20961104</t>
  </si>
  <si>
    <t xml:space="preserve">SEL-735 40-CCM-302 B</t>
  </si>
  <si>
    <t xml:space="preserve">RELEVADOR SEL-735 40-CCM-302 B</t>
  </si>
  <si>
    <t xml:space="preserve">TRI-REF-DBP-04SEL-S_024-40CCM302_B_SE24</t>
  </si>
  <si>
    <t xml:space="preserve">20961105</t>
  </si>
  <si>
    <t xml:space="preserve">SEL-735 40-CCM-303 A</t>
  </si>
  <si>
    <t xml:space="preserve">RELEVADOR SEL-735 40-CCM-303 A</t>
  </si>
  <si>
    <t xml:space="preserve">TRI-REF-DBP-04SEL-S_024-40CCM303_A_SE24</t>
  </si>
  <si>
    <t xml:space="preserve">20961106</t>
  </si>
  <si>
    <t xml:space="preserve">SEL-735 40-CCM-303 B</t>
  </si>
  <si>
    <t xml:space="preserve">RELEVADOR SEL-735 40-CCM-303 B</t>
  </si>
  <si>
    <t xml:space="preserve">TRI-REF-DBP-04SEL-S_024-40CCM303_B_SE24</t>
  </si>
  <si>
    <t xml:space="preserve">20961038</t>
  </si>
  <si>
    <t xml:space="preserve">SEL-735 52-CCM-301 B</t>
  </si>
  <si>
    <t xml:space="preserve">RELEVADOR SEL-735 52-CCM-301 B</t>
  </si>
  <si>
    <t xml:space="preserve">TRI-REF-DBP-04SEL-S_027-52CCM301_B_SE27</t>
  </si>
  <si>
    <t xml:space="preserve">20960973</t>
  </si>
  <si>
    <t xml:space="preserve">GE-850 51-TDMT-201 A</t>
  </si>
  <si>
    <t xml:space="preserve">RELEVADOR GE-850 51-TDMT-201 A</t>
  </si>
  <si>
    <t xml:space="preserve">TRI-REF-DBP-04SEL-S_026-51TDMT201A_SE26</t>
  </si>
  <si>
    <t xml:space="preserve">20960974</t>
  </si>
  <si>
    <t xml:space="preserve">GE-850 51-TDMT-201 AB</t>
  </si>
  <si>
    <t xml:space="preserve">RELEVADOR GE-850 51-TDMT-201 AB</t>
  </si>
  <si>
    <t xml:space="preserve">20960975</t>
  </si>
  <si>
    <t xml:space="preserve">GE-850 51-TDMT-201 B</t>
  </si>
  <si>
    <t xml:space="preserve">RELEVADOR GE-850 51-TDMT-201 B</t>
  </si>
  <si>
    <t xml:space="preserve">TRI-REF-DBP-04SEL-S_026-51TDMT201B_SE26</t>
  </si>
  <si>
    <t xml:space="preserve">20960976</t>
  </si>
  <si>
    <t xml:space="preserve">GE-850 51-TR-201 B</t>
  </si>
  <si>
    <t xml:space="preserve">RELEVADOR GE-850 51-TR-201 B</t>
  </si>
  <si>
    <t xml:space="preserve">TRI-REF-DBP-04SEL-S_026-51_TR_201B_SE26</t>
  </si>
  <si>
    <t xml:space="preserve">20960977</t>
  </si>
  <si>
    <t xml:space="preserve">GE-850 51-TR-202 B</t>
  </si>
  <si>
    <t xml:space="preserve">RELEVADOR GE-850 51-TR-202 B</t>
  </si>
  <si>
    <t xml:space="preserve">TRI-REF-DBP-04SEL-S_026-51_TR_202B_SE26</t>
  </si>
  <si>
    <t xml:space="preserve">20960978</t>
  </si>
  <si>
    <t xml:space="preserve">GE-850 51-TR-203 B</t>
  </si>
  <si>
    <t xml:space="preserve">RELEVADOR GE-850 51-TR-203 B</t>
  </si>
  <si>
    <t xml:space="preserve">TRI-REF-DBP-04SEL-S_026-51_TR_203B_SE26</t>
  </si>
  <si>
    <t xml:space="preserve">20960979</t>
  </si>
  <si>
    <t xml:space="preserve">GE-850 51-BC-201 B</t>
  </si>
  <si>
    <t xml:space="preserve">RELEVADOR GE-850 51-BC-201 B</t>
  </si>
  <si>
    <t xml:space="preserve">20960985</t>
  </si>
  <si>
    <t xml:space="preserve">SEL-735 51-CCM-301 A</t>
  </si>
  <si>
    <t xml:space="preserve">RELEVADOR SEL-735 51-CCM-301 A</t>
  </si>
  <si>
    <t xml:space="preserve">TRI-REF-DBP-04SEL-S_026-51CCM301_A_SE26</t>
  </si>
  <si>
    <t xml:space="preserve">20960986</t>
  </si>
  <si>
    <t xml:space="preserve">SEL-735 51-CCM-301 B</t>
  </si>
  <si>
    <t xml:space="preserve">RELEVADOR SEL-735 51-CCM-301 B</t>
  </si>
  <si>
    <t xml:space="preserve">TRI-REF-DBP-04SEL-S_026-51CCM301_B_SE26</t>
  </si>
  <si>
    <t xml:space="preserve">20960987</t>
  </si>
  <si>
    <t xml:space="preserve">SEL-735 51-CCM-302 A</t>
  </si>
  <si>
    <t xml:space="preserve">RELEVADOR SEL-735 51-CCM-302 A</t>
  </si>
  <si>
    <t xml:space="preserve">TRI-REF-DBP-04SEL-S_026-51CCM302_A_SE26</t>
  </si>
  <si>
    <t xml:space="preserve">20960988</t>
  </si>
  <si>
    <t xml:space="preserve">SEL-735 51-CCM-302 B</t>
  </si>
  <si>
    <t xml:space="preserve">RELEVADOR SEL-735 51-CCM-302 B</t>
  </si>
  <si>
    <t xml:space="preserve">TRI-REF-DBP-04SEL-S_026-51CCM302_B_SE26</t>
  </si>
  <si>
    <t xml:space="preserve">20960989</t>
  </si>
  <si>
    <t xml:space="preserve">SEL-735 51-CCM-303 A</t>
  </si>
  <si>
    <t xml:space="preserve">RELEVADOR SEL-735 51-CCM-303 A</t>
  </si>
  <si>
    <t xml:space="preserve">TRI-REF-DBP-04SEL-S_026-51CCM303_A_SE26</t>
  </si>
  <si>
    <t xml:space="preserve">20960990</t>
  </si>
  <si>
    <t xml:space="preserve">SEL-735 51-CCM-303 B</t>
  </si>
  <si>
    <t xml:space="preserve">RELEVADOR SEL-735 51-CCM-303 B</t>
  </si>
  <si>
    <t xml:space="preserve">TRI-REF-DBP-04SEL-S_026-51CCM303_B_SE26</t>
  </si>
  <si>
    <t xml:space="preserve">20960991</t>
  </si>
  <si>
    <t xml:space="preserve">SEL-735 51-TD-401 A</t>
  </si>
  <si>
    <t xml:space="preserve">RELEVADOR SEL-735 51-TD-401 A</t>
  </si>
  <si>
    <t xml:space="preserve">TRI-REF-DBP-04SEL-S_026-51_TR_301A_SE26</t>
  </si>
  <si>
    <t xml:space="preserve">20960992</t>
  </si>
  <si>
    <t xml:space="preserve">SEL-735 51-TD-401 B</t>
  </si>
  <si>
    <t xml:space="preserve">RELEVADOR SEL-735 51-TD-401 B</t>
  </si>
  <si>
    <t xml:space="preserve">TRI-REF-DBP-04SEL-S_026-51_TR_301B_SE26</t>
  </si>
  <si>
    <t xml:space="preserve">20960993</t>
  </si>
  <si>
    <t xml:space="preserve">SEL-735 51-TD-402 A</t>
  </si>
  <si>
    <t xml:space="preserve">RELEVADOR SEL-735 51-TD-402 A</t>
  </si>
  <si>
    <t xml:space="preserve">TRI-REF-DBP-04SEL-S_026-51_TR_302A_SE26</t>
  </si>
  <si>
    <t xml:space="preserve">20960994</t>
  </si>
  <si>
    <t xml:space="preserve">SEL-735 51-TD-402 B</t>
  </si>
  <si>
    <t xml:space="preserve">RELEVADOR SEL-735 51-TD-402 B</t>
  </si>
  <si>
    <t xml:space="preserve">TRI-REF-DBP-04SEL-S_026-51_TR_302B_SE26</t>
  </si>
  <si>
    <t xml:space="preserve">20960995</t>
  </si>
  <si>
    <t xml:space="preserve">SEL-735 51-TD-403 A</t>
  </si>
  <si>
    <t xml:space="preserve">RELEVADOR SEL-735 51-TD-403 A</t>
  </si>
  <si>
    <t xml:space="preserve">TRI-REF-DBP-04SEL-S_026-51_TR_303A_SE26</t>
  </si>
  <si>
    <t xml:space="preserve">20960996</t>
  </si>
  <si>
    <t xml:space="preserve">SEL-735 51-TD-403 B</t>
  </si>
  <si>
    <t xml:space="preserve">RELEVADOR SEL-735 51-TD-403 B</t>
  </si>
  <si>
    <t xml:space="preserve">TRI-REF-DBP-04SEL-S_026-51_TR_303B_SE26</t>
  </si>
  <si>
    <t xml:space="preserve">20961001</t>
  </si>
  <si>
    <t xml:space="preserve">GE-850 52-TR-101 A</t>
  </si>
  <si>
    <t xml:space="preserve">RELEVADOR GE-850 52-TR-101 A</t>
  </si>
  <si>
    <t xml:space="preserve">TRI-REF-DBP-04SEL-S_027-52TR_101A_SE27</t>
  </si>
  <si>
    <t xml:space="preserve">20961002</t>
  </si>
  <si>
    <t xml:space="preserve">GE-845-87T 52-TR-101 A</t>
  </si>
  <si>
    <t xml:space="preserve">RELEVADOR GE-845-87T 52-TR-101 A</t>
  </si>
  <si>
    <t xml:space="preserve">20961003</t>
  </si>
  <si>
    <t xml:space="preserve">GE-850 52-TDP-101 A</t>
  </si>
  <si>
    <t xml:space="preserve">RELEVADOR GE-850 52-TDP-101 A</t>
  </si>
  <si>
    <t xml:space="preserve">TRI-REF-DBP-04SEL-S_027-52TDP101_A_SE27</t>
  </si>
  <si>
    <t xml:space="preserve">20961004</t>
  </si>
  <si>
    <t xml:space="preserve">GE-B90-87B 52-TDP-101 A</t>
  </si>
  <si>
    <t xml:space="preserve">RELEVADOR GE-B90-87B 52-TDP-101 A</t>
  </si>
  <si>
    <t xml:space="preserve">20961005</t>
  </si>
  <si>
    <t xml:space="preserve">GE-850 52-TDP-101 AB</t>
  </si>
  <si>
    <t xml:space="preserve">RELEVADOR GE-850 52-TDP-101 AB</t>
  </si>
  <si>
    <t xml:space="preserve">20961006</t>
  </si>
  <si>
    <t xml:space="preserve">GE-850 52-TDP-101 B</t>
  </si>
  <si>
    <t xml:space="preserve">RELEVADOR GE-850 52-TDP-101 B</t>
  </si>
  <si>
    <t xml:space="preserve">TRI-REF-DBP-04SEL-S_027-52TDP101_B_SE27</t>
  </si>
  <si>
    <t xml:space="preserve">20961007</t>
  </si>
  <si>
    <t xml:space="preserve">GE-B90-87B 52-TDP-101 B</t>
  </si>
  <si>
    <t xml:space="preserve">RELEVADOR GE-B90-87B 52-TDP-101 B</t>
  </si>
  <si>
    <t xml:space="preserve">20961008</t>
  </si>
  <si>
    <t xml:space="preserve">GE-850 52-TR-101 B</t>
  </si>
  <si>
    <t xml:space="preserve">RELEVADOR GE-850 52-TR-101 B</t>
  </si>
  <si>
    <t xml:space="preserve">TRI-REF-DBP-04SEL-S_027-52TR_101B_SE27</t>
  </si>
  <si>
    <t xml:space="preserve">20961009</t>
  </si>
  <si>
    <t xml:space="preserve">GE-845-87T 52-TR-101 B</t>
  </si>
  <si>
    <t xml:space="preserve">RELEVADOR GE-845-87T 52-TR-101 B</t>
  </si>
  <si>
    <t xml:space="preserve">20961021</t>
  </si>
  <si>
    <t xml:space="preserve">GE-850 52-BC-201 A</t>
  </si>
  <si>
    <t xml:space="preserve">RELEVADOR GE-850 52-BC-201 A</t>
  </si>
  <si>
    <t xml:space="preserve">20961022</t>
  </si>
  <si>
    <t xml:space="preserve">GE-850 52-TR-203 A</t>
  </si>
  <si>
    <t xml:space="preserve">RELEVADOR GE-850 52-TR-203 A</t>
  </si>
  <si>
    <t xml:space="preserve">TRI-REF-DBP-04SEL-S_027-52_TR_203A_SE27</t>
  </si>
  <si>
    <t xml:space="preserve">20961023</t>
  </si>
  <si>
    <t xml:space="preserve">GE-850 52-TR-202 A</t>
  </si>
  <si>
    <t xml:space="preserve">RELEVADOR GE-850 52-TR-202 A</t>
  </si>
  <si>
    <t xml:space="preserve">TRI-REF-DBP-04SEL-S_027-52_TR_202A_SE27</t>
  </si>
  <si>
    <t xml:space="preserve">20961024</t>
  </si>
  <si>
    <t xml:space="preserve">GE-850 52-TR-201 A</t>
  </si>
  <si>
    <t xml:space="preserve">RELEVADOR GE-850 52-TR-201 A</t>
  </si>
  <si>
    <t xml:space="preserve">TRI-REF-DBP-04SEL-S_027-52_TR_201A_SE27</t>
  </si>
  <si>
    <t xml:space="preserve">20961025</t>
  </si>
  <si>
    <t xml:space="preserve">GE-850 52-TDMT-201 A</t>
  </si>
  <si>
    <t xml:space="preserve">RELEVADOR GE-850 52-TDMT-201 A</t>
  </si>
  <si>
    <t xml:space="preserve">TRI-REF-DBP-04SEL-S_027-52TDMT201A_SE27</t>
  </si>
  <si>
    <t xml:space="preserve">20961026</t>
  </si>
  <si>
    <t xml:space="preserve">GE-850 52-TDMT-201 AB</t>
  </si>
  <si>
    <t xml:space="preserve">RELEVADOR GE-850 52-TDMT-201 AB</t>
  </si>
  <si>
    <t xml:space="preserve">20961027</t>
  </si>
  <si>
    <t xml:space="preserve">GE-850 52-TDMT-201 B</t>
  </si>
  <si>
    <t xml:space="preserve">RELEVADOR GE-850 52-TDMT-201 B</t>
  </si>
  <si>
    <t xml:space="preserve">TRI-REF-DBP-04SEL-S_027-52TDMT201B_SE27</t>
  </si>
  <si>
    <t xml:space="preserve">20961028</t>
  </si>
  <si>
    <t xml:space="preserve">GE-850 52-TR-201 B</t>
  </si>
  <si>
    <t xml:space="preserve">RELEVADOR GE-850 52-TR-201 B</t>
  </si>
  <si>
    <t xml:space="preserve">TRI-REF-DBP-04SEL-S_027-52_TR_201B_SE27</t>
  </si>
  <si>
    <t xml:space="preserve">20961029</t>
  </si>
  <si>
    <t xml:space="preserve">GE-850 52-TR-202 B</t>
  </si>
  <si>
    <t xml:space="preserve">RELEVADOR GE-850 52-TR-202 B</t>
  </si>
  <si>
    <t xml:space="preserve">TRI-REF-DBP-04SEL-S_027-52_TR_202B_SE27</t>
  </si>
  <si>
    <t xml:space="preserve">20961030</t>
  </si>
  <si>
    <t xml:space="preserve">GE-850 52-TR-203 B</t>
  </si>
  <si>
    <t xml:space="preserve">RELEVADOR GE-850 52-TR-203 B</t>
  </si>
  <si>
    <t xml:space="preserve">TRI-REF-DBP-04SEL-S_027-52_TR_203B_SE27</t>
  </si>
  <si>
    <t xml:space="preserve">20961031</t>
  </si>
  <si>
    <t xml:space="preserve">GE-850 52-BC-201 B</t>
  </si>
  <si>
    <t xml:space="preserve">RELEVADOR GE-850 52-BC-201 B</t>
  </si>
  <si>
    <t xml:space="preserve">20961037</t>
  </si>
  <si>
    <t xml:space="preserve">SEL-735 52-CCM-301 A</t>
  </si>
  <si>
    <t xml:space="preserve">RELEVADOR SEL-735 52-CCM-301 A</t>
  </si>
  <si>
    <t xml:space="preserve">TRI-REF-DBP-04SEL-S_027-52CCM301_A_SE27</t>
  </si>
  <si>
    <t xml:space="preserve">20961155</t>
  </si>
  <si>
    <t xml:space="preserve">SEL-751A BC-05-02</t>
  </si>
  <si>
    <t xml:space="preserve">RELEVADOR SEL-751A BC-05-02</t>
  </si>
  <si>
    <t xml:space="preserve">TRI-REF-DBP-05SEL-S_005-BC_05_02_SE5</t>
  </si>
  <si>
    <t xml:space="preserve">20961156</t>
  </si>
  <si>
    <t xml:space="preserve">SEL-751A BC-06-01</t>
  </si>
  <si>
    <t xml:space="preserve">RELEVADOR SEL-751A BC-06-01</t>
  </si>
  <si>
    <t xml:space="preserve">20961157</t>
  </si>
  <si>
    <t xml:space="preserve">SEL-751A BC-06-02</t>
  </si>
  <si>
    <t xml:space="preserve">RELEVADOR SEL-751A BC-06-02</t>
  </si>
  <si>
    <t xml:space="preserve">20965098</t>
  </si>
  <si>
    <t xml:space="preserve">7SR5111-BC-25-02</t>
  </si>
  <si>
    <t xml:space="preserve">RELEVADOR 7SR5111-BC-25-02</t>
  </si>
  <si>
    <t xml:space="preserve">TRI-REF-DBP-08SEL-S_025-TDM25_01_B_SE25</t>
  </si>
  <si>
    <t xml:space="preserve">20965099</t>
  </si>
  <si>
    <t xml:space="preserve">7SR5111-CCM-25-01 B</t>
  </si>
  <si>
    <t xml:space="preserve">RELEVADOR 7SR5111-CCM-25-01 B</t>
  </si>
  <si>
    <t xml:space="preserve">20965100</t>
  </si>
  <si>
    <t xml:space="preserve">7SR5111-IP-25-01(TR-2501)</t>
  </si>
  <si>
    <t xml:space="preserve">RELEVADOR 7SR5111-IP-25-01(TR-2501)</t>
  </si>
  <si>
    <t xml:space="preserve">TRI-REF-DBP-08SEL-S_025-TR_25_01_SE25</t>
  </si>
  <si>
    <t xml:space="preserve">20965101</t>
  </si>
  <si>
    <t xml:space="preserve">7SR5111-IP-25-02(TR-2502)</t>
  </si>
  <si>
    <t xml:space="preserve">RELEVADOR 7SR5111-IP-25-02(TR-2502)</t>
  </si>
  <si>
    <t xml:space="preserve">TRI-REF-DBP-08SEL-S_025-TR_25_02_SE25</t>
  </si>
  <si>
    <t xml:space="preserve">20965102</t>
  </si>
  <si>
    <t xml:space="preserve">7SR5111-TDMT-216-03-A</t>
  </si>
  <si>
    <t xml:space="preserve">RELEVADOR 7SR5111-TDMT-216-03-A</t>
  </si>
  <si>
    <t xml:space="preserve">20965103</t>
  </si>
  <si>
    <t xml:space="preserve">7SR5111-TDMT-216-03-B</t>
  </si>
  <si>
    <t xml:space="preserve">RELEVADOR 7SR5111-TDMT-216-03-B</t>
  </si>
  <si>
    <t xml:space="preserve">TRI-REF-DBP-08SEL-S_001-TDMT216_03B_S01</t>
  </si>
  <si>
    <t xml:space="preserve">20965104</t>
  </si>
  <si>
    <t xml:space="preserve">7SR5111-TDP-SEP02-01</t>
  </si>
  <si>
    <t xml:space="preserve">RELEVADOR 7SR5111-TDP-SEP02-01</t>
  </si>
  <si>
    <t xml:space="preserve">20965105</t>
  </si>
  <si>
    <t xml:space="preserve">7SR5111-TDP-SEP02-01 A</t>
  </si>
  <si>
    <t xml:space="preserve">RELEVADOR 7SR5111-TDP-SEP02-01 A</t>
  </si>
  <si>
    <t xml:space="preserve">20965106</t>
  </si>
  <si>
    <t xml:space="preserve">7SR5111-TDP-SEP02-01 B</t>
  </si>
  <si>
    <t xml:space="preserve">RELEVADOR 7SR5111-TDP-SEP02-01 B</t>
  </si>
  <si>
    <t xml:space="preserve">20965107</t>
  </si>
  <si>
    <t xml:space="preserve">7SR5111-TDP-SEP02-01 E</t>
  </si>
  <si>
    <t xml:space="preserve">RELEVADOR 7SR5111-TDP-SEP02-01 E</t>
  </si>
  <si>
    <t xml:space="preserve">20965108</t>
  </si>
  <si>
    <t xml:space="preserve">7SR5111-TR-25-04</t>
  </si>
  <si>
    <t xml:space="preserve">RELEVADOR 7SR5111-TR-25-04</t>
  </si>
  <si>
    <t xml:space="preserve">20965109</t>
  </si>
  <si>
    <t xml:space="preserve">7SR5111-TR-SEP02-03</t>
  </si>
  <si>
    <t xml:space="preserve">RELEVADOR 7SR5111-TR-SEP02-03</t>
  </si>
  <si>
    <t xml:space="preserve">20965110</t>
  </si>
  <si>
    <t xml:space="preserve">7SR5111-TR-SEP02-04</t>
  </si>
  <si>
    <t xml:space="preserve">RELEVADOR 7SR5111-TR-SEP02-04</t>
  </si>
  <si>
    <t xml:space="preserve">20965111</t>
  </si>
  <si>
    <t xml:space="preserve">7SR5111-TR-SEP02-05</t>
  </si>
  <si>
    <t xml:space="preserve">RELEVADOR 7SR5111-TR-SEP02-05</t>
  </si>
  <si>
    <t xml:space="preserve">20965112</t>
  </si>
  <si>
    <t xml:space="preserve">7SR5111-TR-SEP02-06</t>
  </si>
  <si>
    <t xml:space="preserve">RELEVADOR 7SR5111-TR-SEP02-06</t>
  </si>
  <si>
    <t xml:space="preserve">20965113</t>
  </si>
  <si>
    <t xml:space="preserve">7SR5111-TR-SEP02-07</t>
  </si>
  <si>
    <t xml:space="preserve">RELEVADOR 7SR5111-TR-SEP02-07</t>
  </si>
  <si>
    <t xml:space="preserve">20965114</t>
  </si>
  <si>
    <t xml:space="preserve">7SR5111-TR-SEP02-08</t>
  </si>
  <si>
    <t xml:space="preserve">RELEVADOR 7SR5111-TR-SEP02-08</t>
  </si>
  <si>
    <t xml:space="preserve">20965115</t>
  </si>
  <si>
    <t xml:space="preserve">7SR5111-TR-SEP02-09</t>
  </si>
  <si>
    <t xml:space="preserve">RELEVADOR 7SR5111-TR-SEP02-09</t>
  </si>
  <si>
    <t xml:space="preserve">20965116</t>
  </si>
  <si>
    <t xml:space="preserve">7SR5111-TR-SEP02-10</t>
  </si>
  <si>
    <t xml:space="preserve">RELEVADOR 7SR5111-TR-SEP02-10</t>
  </si>
  <si>
    <t xml:space="preserve">20965117</t>
  </si>
  <si>
    <t xml:space="preserve">7SR5420-IP-25-01(TR-2501)</t>
  </si>
  <si>
    <t xml:space="preserve">RELEVADOR 7SR5420-IP-25-01(TR-2501)</t>
  </si>
  <si>
    <t xml:space="preserve">20965118</t>
  </si>
  <si>
    <t xml:space="preserve">7SR5420-IP-25-02(TR-2502)</t>
  </si>
  <si>
    <t xml:space="preserve">RELEVADOR 7SR5420-IP-25-02(TR-2502)</t>
  </si>
  <si>
    <t xml:space="preserve">20965119</t>
  </si>
  <si>
    <t xml:space="preserve">7SR5420-TR-SEP02-03</t>
  </si>
  <si>
    <t xml:space="preserve">RELEVADOR 7SR5420-TR-SEP02-03</t>
  </si>
  <si>
    <t xml:space="preserve">20965120</t>
  </si>
  <si>
    <t xml:space="preserve">7SR5420-TR-SEP02-04</t>
  </si>
  <si>
    <t xml:space="preserve">RELEVADOR 7SR5420-TR-SEP02-04</t>
  </si>
  <si>
    <t xml:space="preserve">20965121</t>
  </si>
  <si>
    <t xml:space="preserve">7SR5420-TR-SEP02-05</t>
  </si>
  <si>
    <t xml:space="preserve">RELEVADOR 7SR5420-TR-SEP02-05</t>
  </si>
  <si>
    <t xml:space="preserve">20965122</t>
  </si>
  <si>
    <t xml:space="preserve">7SR5420-TR-SEP02-06</t>
  </si>
  <si>
    <t xml:space="preserve">RELEVADOR 7SR5420-TR-SEP02-06</t>
  </si>
  <si>
    <t xml:space="preserve">20965123</t>
  </si>
  <si>
    <t xml:space="preserve">7SR5420-TR-SEP02-07</t>
  </si>
  <si>
    <t xml:space="preserve">RELEVADOR 7SR5420-TR-SEP02-07</t>
  </si>
  <si>
    <t xml:space="preserve">20965124</t>
  </si>
  <si>
    <t xml:space="preserve">7SR5420-TR-SEP02-08</t>
  </si>
  <si>
    <t xml:space="preserve">RELEVADOR 7SR5420-TR-SEP02-08</t>
  </si>
  <si>
    <t xml:space="preserve">20965125</t>
  </si>
  <si>
    <t xml:space="preserve">7SR5420-TR-SEP02-09</t>
  </si>
  <si>
    <t xml:space="preserve">RELEVADOR 7SR5420-TR-SEP02-09</t>
  </si>
  <si>
    <t xml:space="preserve">20965126</t>
  </si>
  <si>
    <t xml:space="preserve">7SR5420-TR-SEP02-10</t>
  </si>
  <si>
    <t xml:space="preserve">RELEVADOR 7SR5420-TR-SEP02-10</t>
  </si>
  <si>
    <t xml:space="preserve">20965127</t>
  </si>
  <si>
    <t xml:space="preserve">7SR5421-TR-UDA-01</t>
  </si>
  <si>
    <t xml:space="preserve">RELEVADOR 7SR5421-TR-UDA-01</t>
  </si>
  <si>
    <t xml:space="preserve">20965128</t>
  </si>
  <si>
    <t xml:space="preserve">7SR5421-TR-UDA-02</t>
  </si>
  <si>
    <t xml:space="preserve">RELEVADOR 7SR5421-TR-UDA-02</t>
  </si>
  <si>
    <t xml:space="preserve">20965129</t>
  </si>
  <si>
    <t xml:space="preserve">7SR5421-TR-UDA-03</t>
  </si>
  <si>
    <t xml:space="preserve">RELEVADOR 7SR5421-TR-UDA-03</t>
  </si>
  <si>
    <t xml:space="preserve">20965130</t>
  </si>
  <si>
    <t xml:space="preserve">7SR5421-TR-UDA-04</t>
  </si>
  <si>
    <t xml:space="preserve">RELEVADOR 7SR5421-TR-UDA-04</t>
  </si>
  <si>
    <t xml:space="preserve">20965131</t>
  </si>
  <si>
    <t xml:space="preserve">7SR5421-TR-UDA-05</t>
  </si>
  <si>
    <t xml:space="preserve">RELEVADOR 7SR5421-TR-UDA-05</t>
  </si>
  <si>
    <t xml:space="preserve">20965132</t>
  </si>
  <si>
    <t xml:space="preserve">7SR5421-TR-UDA-06</t>
  </si>
  <si>
    <t xml:space="preserve">RELEVADOR 7SR5421-TR-UDA-06</t>
  </si>
  <si>
    <t xml:space="preserve">20965133</t>
  </si>
  <si>
    <t xml:space="preserve">7SR5421-TR-UDA-07</t>
  </si>
  <si>
    <t xml:space="preserve">RELEVADOR 7SR5421-TR-UDA-07</t>
  </si>
  <si>
    <t xml:space="preserve">20965134</t>
  </si>
  <si>
    <t xml:space="preserve">7SR5421-TR-UDA-08</t>
  </si>
  <si>
    <t xml:space="preserve">RELEVADOR 7SR5421-TR-UDA-08</t>
  </si>
  <si>
    <t xml:space="preserve">20961154</t>
  </si>
  <si>
    <t xml:space="preserve">SEL-751A BC-05-01</t>
  </si>
  <si>
    <t xml:space="preserve">RELEVADOR SEL-751A BC-05-01</t>
  </si>
  <si>
    <t xml:space="preserve">TRI-REF-DBP-05SEL-S_005-BC_05_01_SE05</t>
  </si>
  <si>
    <t xml:space="preserve">20961107</t>
  </si>
  <si>
    <t xml:space="preserve">SEL-735 40-CCM-304 A</t>
  </si>
  <si>
    <t xml:space="preserve">RELEVADOR SEL-735 40-CCM-304 A</t>
  </si>
  <si>
    <t xml:space="preserve">TRI-REF-DBP-04SEL-S_024-40CCM304_A_SE24</t>
  </si>
  <si>
    <t xml:space="preserve">20961108</t>
  </si>
  <si>
    <t xml:space="preserve">SEL-735 40-CCM-304 B</t>
  </si>
  <si>
    <t xml:space="preserve">RELEVADOR SEL-735 40-CCM-304 B</t>
  </si>
  <si>
    <t xml:space="preserve">TRI-REF-DBP-04SEL-S_024-40CCM304_B_SE24</t>
  </si>
  <si>
    <t xml:space="preserve">20961109</t>
  </si>
  <si>
    <t xml:space="preserve">SEL-735 40-TD-401 A</t>
  </si>
  <si>
    <t xml:space="preserve">RELEVADOR SEL-735 40-TD-401 A</t>
  </si>
  <si>
    <t xml:space="preserve">TRI-REF-DBP-04SEL-S_024-40_TR_301A_SE24</t>
  </si>
  <si>
    <t xml:space="preserve">20961110</t>
  </si>
  <si>
    <t xml:space="preserve">SEL-735 40-TD-401 B</t>
  </si>
  <si>
    <t xml:space="preserve">RELEVADOR SEL-735 40-TD-401 B</t>
  </si>
  <si>
    <t xml:space="preserve">TRI-REF-DBP-04SEL-S_024-40_TR_301B_SE24</t>
  </si>
  <si>
    <t xml:space="preserve">20961111</t>
  </si>
  <si>
    <t xml:space="preserve">SEL-735 40-TD-402 A</t>
  </si>
  <si>
    <t xml:space="preserve">RELEVADOR SEL-735 40-TD-402 A</t>
  </si>
  <si>
    <t xml:space="preserve">TRI-REF-DBP-04SEL-S_024-40_TR_302A_SE24</t>
  </si>
  <si>
    <t xml:space="preserve">20961112</t>
  </si>
  <si>
    <t xml:space="preserve">SEL-735 40-TD-402 B</t>
  </si>
  <si>
    <t xml:space="preserve">RELEVADOR SEL-735 40-TD-402 B</t>
  </si>
  <si>
    <t xml:space="preserve">TRI-REF-DBP-04SEL-S_024-40_TR_302B_SE24</t>
  </si>
  <si>
    <t xml:space="preserve">20961113</t>
  </si>
  <si>
    <t xml:space="preserve">RET-615 TR-23-01</t>
  </si>
  <si>
    <t xml:space="preserve">RELEVADOR RET-615 TR-23-01</t>
  </si>
  <si>
    <t xml:space="preserve">TRI-REF-DBP-04SEL-S_023-TR_23_01_SE23</t>
  </si>
  <si>
    <t xml:space="preserve">20961114</t>
  </si>
  <si>
    <t xml:space="preserve">REF-615 IP-23-01 A</t>
  </si>
  <si>
    <t xml:space="preserve">RELEVADOR REF-615 IP-23-01 A</t>
  </si>
  <si>
    <t xml:space="preserve">20961115</t>
  </si>
  <si>
    <t xml:space="preserve">SEL-735 IP-23-01 A</t>
  </si>
  <si>
    <t xml:space="preserve">RELEVADOR SEL-735 IP-23-01 A</t>
  </si>
  <si>
    <t xml:space="preserve">20961116</t>
  </si>
  <si>
    <t xml:space="preserve">REA-101 IP-23-01 A</t>
  </si>
  <si>
    <t xml:space="preserve">RELEVADOR REA-101 IP-23-01 A</t>
  </si>
  <si>
    <t xml:space="preserve">20961117</t>
  </si>
  <si>
    <t xml:space="preserve">RET-615 TR-23-02</t>
  </si>
  <si>
    <t xml:space="preserve">RELEVADOR RET-615 TR-23-02</t>
  </si>
  <si>
    <t xml:space="preserve">TRI-REF-DBP-04SEL-S_023-TR_23_02_SE23</t>
  </si>
  <si>
    <t xml:space="preserve">20961118</t>
  </si>
  <si>
    <t xml:space="preserve">REF-615 IP-23-01 B</t>
  </si>
  <si>
    <t xml:space="preserve">RELEVADOR REF-615 IP-23-01 B</t>
  </si>
  <si>
    <t xml:space="preserve">20961119</t>
  </si>
  <si>
    <t xml:space="preserve">SEL-735 IP-23-01 B</t>
  </si>
  <si>
    <t xml:space="preserve">RELEVADOR SEL-735 IP-23-01 B</t>
  </si>
  <si>
    <t xml:space="preserve">20961120</t>
  </si>
  <si>
    <t xml:space="preserve">REA-101 IP-23-01 B</t>
  </si>
  <si>
    <t xml:space="preserve">RELEVADOR REA-101 IP-23-01 B</t>
  </si>
  <si>
    <t xml:space="preserve">20961124</t>
  </si>
  <si>
    <t xml:space="preserve">REF-615 TR-23-05</t>
  </si>
  <si>
    <t xml:space="preserve">RELEVADOR REF-615 TR-23-05</t>
  </si>
  <si>
    <t xml:space="preserve">TRI-REF-DBP-04SEL-S_023-TR_23_05_SE23</t>
  </si>
  <si>
    <t xml:space="preserve">20961125</t>
  </si>
  <si>
    <t xml:space="preserve">REF-615 TR-23-03</t>
  </si>
  <si>
    <t xml:space="preserve">RELEVADOR REF-615 TR-23-03</t>
  </si>
  <si>
    <t xml:space="preserve">TRI-REF-DBP-04SEL-S_023-TR_23_03_SE23</t>
  </si>
  <si>
    <t xml:space="preserve">20961126</t>
  </si>
  <si>
    <t xml:space="preserve">REF-615 BC-23-01</t>
  </si>
  <si>
    <t xml:space="preserve">RELEVADOR REF-615 BC-23-01</t>
  </si>
  <si>
    <t xml:space="preserve">20961127</t>
  </si>
  <si>
    <t xml:space="preserve">REF-615 TDM-23-01 A</t>
  </si>
  <si>
    <t xml:space="preserve">RELEVADOR REF-615 TDM-23-01 A</t>
  </si>
  <si>
    <t xml:space="preserve">TRI-REF-DBP-04SEL-S_023-TDM23_01_A_SE23</t>
  </si>
  <si>
    <t xml:space="preserve">20961128</t>
  </si>
  <si>
    <t xml:space="preserve">SEL-735 TDM-23-01 A</t>
  </si>
  <si>
    <t xml:space="preserve">RELEVADOR SEL-735 TDM-23-01 A</t>
  </si>
  <si>
    <t xml:space="preserve">20961129</t>
  </si>
  <si>
    <t xml:space="preserve">REA-101 TDM-23-01 A</t>
  </si>
  <si>
    <t xml:space="preserve">RELEVADOR REA-101 TDM-23-01 A</t>
  </si>
  <si>
    <t xml:space="preserve">20961151</t>
  </si>
  <si>
    <t xml:space="preserve">ARGUS-7SR12 71-BC-101B</t>
  </si>
  <si>
    <t xml:space="preserve">RELEVADOR ARGUS-7SR12 71-BC-101B</t>
  </si>
  <si>
    <t xml:space="preserve">20961150</t>
  </si>
  <si>
    <t xml:space="preserve">ARGUS-7SR12 71-BC-101A</t>
  </si>
  <si>
    <t xml:space="preserve">RELEVADOR ARGUS-7SR12 71-BC-101A</t>
  </si>
  <si>
    <t xml:space="preserve">20961149</t>
  </si>
  <si>
    <t xml:space="preserve">ARGUS-7SR12 62-BC-201B</t>
  </si>
  <si>
    <t xml:space="preserve">RELEVADOR ARGUS-7SR12 62-BC-201B</t>
  </si>
  <si>
    <t xml:space="preserve">20961148</t>
  </si>
  <si>
    <t xml:space="preserve">ARGUS-7SR12 62-BC-201A</t>
  </si>
  <si>
    <t xml:space="preserve">RELEVADOR ARGUS-7SR12 62-BC-201A</t>
  </si>
  <si>
    <t xml:space="preserve">20961147</t>
  </si>
  <si>
    <t xml:space="preserve">ARGUS-7SR12 61-BC-201B</t>
  </si>
  <si>
    <t xml:space="preserve">RELEVADOR ARGUS-7SR12 61-BC-201B</t>
  </si>
  <si>
    <t xml:space="preserve">20961146</t>
  </si>
  <si>
    <t xml:space="preserve">ARGUS-7SR12 61-BC-201A</t>
  </si>
  <si>
    <t xml:space="preserve">RELEVADOR ARGUS-7SR12 61-BC-201A</t>
  </si>
  <si>
    <t xml:space="preserve">20961145</t>
  </si>
  <si>
    <t xml:space="preserve">SEL-735 TDB-23-01 B</t>
  </si>
  <si>
    <t xml:space="preserve">RELEVADOR SEL-735 TDB-23-01 B</t>
  </si>
  <si>
    <t xml:space="preserve">TRI-REF-DBP-04SEL-S_023-TR_23_08_SE23</t>
  </si>
  <si>
    <t xml:space="preserve">20961144</t>
  </si>
  <si>
    <t xml:space="preserve">SEL-735 TDB-23-01 A</t>
  </si>
  <si>
    <t xml:space="preserve">RELEVADOR SEL-735 TDB-23-01 A</t>
  </si>
  <si>
    <t xml:space="preserve">TRI-REF-DBP-04SEL-S_023-TR_23_07_SE23</t>
  </si>
  <si>
    <t xml:space="preserve">20961143</t>
  </si>
  <si>
    <t xml:space="preserve">SEL-735 CCM-23-02 B</t>
  </si>
  <si>
    <t xml:space="preserve">RELEVADOR SEL-735 CCM-23-02 B</t>
  </si>
  <si>
    <t xml:space="preserve">TRI-REF-DBP-04SEL-S_023-CCM23_02_B_SE23</t>
  </si>
  <si>
    <t xml:space="preserve">20961142</t>
  </si>
  <si>
    <t xml:space="preserve">SEL-735 CCM-23-02 A</t>
  </si>
  <si>
    <t xml:space="preserve">RELEVADOR SEL-735 CCM-23-02 A</t>
  </si>
  <si>
    <t xml:space="preserve">TRI-REF-DBP-04SEL-S_023-CCM23_02_A_SE23</t>
  </si>
  <si>
    <t xml:space="preserve">20961141</t>
  </si>
  <si>
    <t xml:space="preserve">SEL-735 CCM-23-01 B</t>
  </si>
  <si>
    <t xml:space="preserve">RELEVADOR SEL-735 CCM-23-01 B</t>
  </si>
  <si>
    <t xml:space="preserve">TRI-REF-DBP-04SEL-S_023-CCM23_01_B_SE23</t>
  </si>
  <si>
    <t xml:space="preserve">20961140</t>
  </si>
  <si>
    <t xml:space="preserve">SEL-735 CCM-23-01 A</t>
  </si>
  <si>
    <t xml:space="preserve">RELEVADOR SEL-735 CCM-23-01 A</t>
  </si>
  <si>
    <t xml:space="preserve">TRI-REF-DBP-04SEL-S_023-CCM23_01_A_SE23</t>
  </si>
  <si>
    <t xml:space="preserve">20961137</t>
  </si>
  <si>
    <t xml:space="preserve">REF-615 TR-23-06</t>
  </si>
  <si>
    <t xml:space="preserve">RELEVADOR REF-615 TR-23-06</t>
  </si>
  <si>
    <t xml:space="preserve">TRI-REF-DBP-04SEL-S_023-TR_23_06_SE23</t>
  </si>
  <si>
    <t xml:space="preserve">20961136</t>
  </si>
  <si>
    <t xml:space="preserve">REA-101 TR-23-04</t>
  </si>
  <si>
    <t xml:space="preserve">RELEVADOR REA-101 TR-23-04</t>
  </si>
  <si>
    <t xml:space="preserve">TRI-REF-DBP-04SEL-S_023-TR_23_04_SE23</t>
  </si>
  <si>
    <t xml:space="preserve">20961135</t>
  </si>
  <si>
    <t xml:space="preserve">REF-615 TR-23-04</t>
  </si>
  <si>
    <t xml:space="preserve">RELEVADOR REF-615 TR-23-04</t>
  </si>
  <si>
    <t xml:space="preserve">20961134</t>
  </si>
  <si>
    <t xml:space="preserve">REF-615 BC-23-02</t>
  </si>
  <si>
    <t xml:space="preserve">RELEVADOR REF-615 BC-23-02</t>
  </si>
  <si>
    <t xml:space="preserve">20961133</t>
  </si>
  <si>
    <t xml:space="preserve">REA-101 TDM-23-01 B</t>
  </si>
  <si>
    <t xml:space="preserve">RELEVADOR REA-101 TDM-23-01 B</t>
  </si>
  <si>
    <t xml:space="preserve">TRI-REF-DBP-04SEL-S_023-TDM23_01_B_SE23</t>
  </si>
  <si>
    <t xml:space="preserve">20961132</t>
  </si>
  <si>
    <t xml:space="preserve">SEL-735 TDM-23-01 B</t>
  </si>
  <si>
    <t xml:space="preserve">RELEVADOR SEL-735 TDM-23-01 B</t>
  </si>
  <si>
    <t xml:space="preserve">20961131</t>
  </si>
  <si>
    <t xml:space="preserve">REF-615 TDM-23-01 B</t>
  </si>
  <si>
    <t xml:space="preserve">RELEVADOR REF-615 TDM-23-01 B</t>
  </si>
  <si>
    <t xml:space="preserve">20961130</t>
  </si>
  <si>
    <t xml:space="preserve">REF-615 TDM-23-01 AB</t>
  </si>
  <si>
    <t xml:space="preserve">RELEVADOR REF-615 TDM-23-01 AB</t>
  </si>
  <si>
    <t xml:space="preserve">20961121</t>
  </si>
  <si>
    <t xml:space="preserve">REM-615 BCM-73002</t>
  </si>
  <si>
    <t xml:space="preserve">RELEVADOR REM-615 BCM-73002</t>
  </si>
  <si>
    <t xml:space="preserve">TRI-REF-DBP-04GHA-SCOMP-BC73002</t>
  </si>
  <si>
    <t xml:space="preserve">DBGHA</t>
  </si>
  <si>
    <t xml:space="preserve">20961122</t>
  </si>
  <si>
    <t xml:space="preserve">REM-615 ME-73003</t>
  </si>
  <si>
    <t xml:space="preserve">RELEVADOR REM-615 ME-73003</t>
  </si>
  <si>
    <t xml:space="preserve">TRI-REF-DBP-04GHA-SDESF-BV73001</t>
  </si>
  <si>
    <t xml:space="preserve">20961123</t>
  </si>
  <si>
    <t xml:space="preserve">REM-615 ME-73004</t>
  </si>
  <si>
    <t xml:space="preserve">RELEVADOR REM-615 ME-73004</t>
  </si>
  <si>
    <t xml:space="preserve">TRI-REF-DBP-04GHA-SDESF-BV73002</t>
  </si>
  <si>
    <t xml:space="preserve">20961139</t>
  </si>
  <si>
    <t xml:space="preserve">REM-615 ME-74003</t>
  </si>
  <si>
    <t xml:space="preserve">RELEVADOR REM-615 ME-74003</t>
  </si>
  <si>
    <t xml:space="preserve">TRI-REF-DBP-04GHB-SDESF-BV74001</t>
  </si>
  <si>
    <t xml:space="preserve">U-GENERADORA DE HIDRÓGENO (PH22) TREN 2</t>
  </si>
  <si>
    <t xml:space="preserve">DBGHB</t>
  </si>
  <si>
    <t xml:space="preserve">20961138</t>
  </si>
  <si>
    <t xml:space="preserve">REM-615 ME-74004</t>
  </si>
  <si>
    <t xml:space="preserve">RELEVADOR REM-615 ME-74004</t>
  </si>
  <si>
    <t xml:space="preserve">TRI-REF-DBP-04GHB-SDESF-BV74002</t>
  </si>
  <si>
    <t xml:space="preserve">20961100</t>
  </si>
  <si>
    <t xml:space="preserve">GE-869 MGA-40001 A</t>
  </si>
  <si>
    <t xml:space="preserve">RELEVADOR GE-869 MGA-40001 A</t>
  </si>
  <si>
    <t xml:space="preserve">TRI-REF-DBP-04HCA-SFRAC-GA40001A</t>
  </si>
  <si>
    <t xml:space="preserve">DBHCA</t>
  </si>
  <si>
    <t xml:space="preserve">20961099</t>
  </si>
  <si>
    <t xml:space="preserve">GE-869 MGA-40009 B</t>
  </si>
  <si>
    <t xml:space="preserve">RELEVADOR GE-869 MGA-40009 B</t>
  </si>
  <si>
    <t xml:space="preserve">TRI-REF-DBP-04HCA-SFRAC-GA40009B</t>
  </si>
  <si>
    <t xml:space="preserve">20961098</t>
  </si>
  <si>
    <t xml:space="preserve">GE-869 MGA-40004 B</t>
  </si>
  <si>
    <t xml:space="preserve">RELEVADOR GE-869 MGA-40004 B</t>
  </si>
  <si>
    <t xml:space="preserve">TRI-REF-DBP-04HCA-SFRAC-GA40004B</t>
  </si>
  <si>
    <t xml:space="preserve">20961097</t>
  </si>
  <si>
    <t xml:space="preserve">GE-869 MGA-40007 B</t>
  </si>
  <si>
    <t xml:space="preserve">RELEVADOR GE-869 MGA-40007 B</t>
  </si>
  <si>
    <t xml:space="preserve">TRI-REF-DBP-04HCA-SFRAC-GA40007B</t>
  </si>
  <si>
    <t xml:space="preserve">20961083</t>
  </si>
  <si>
    <t xml:space="preserve">GE-869 MGA-40007A</t>
  </si>
  <si>
    <t xml:space="preserve">RELEVADOR GE-869 MGA-40007A</t>
  </si>
  <si>
    <t xml:space="preserve">TRI-REF-DBP-04HCA-SFRAC-GA40007A</t>
  </si>
  <si>
    <t xml:space="preserve">20961082</t>
  </si>
  <si>
    <t xml:space="preserve">GE-869 MGA-40004A</t>
  </si>
  <si>
    <t xml:space="preserve">RELEVADOR GE-869 MGA-40004A</t>
  </si>
  <si>
    <t xml:space="preserve">TRI-REF-DBP-04HCA-SFRAC-GA40004A</t>
  </si>
  <si>
    <t xml:space="preserve">20961081</t>
  </si>
  <si>
    <t xml:space="preserve">GE-869 MGA-40009 A</t>
  </si>
  <si>
    <t xml:space="preserve">RELEVADOR GE-869 MGA-40009 A</t>
  </si>
  <si>
    <t xml:space="preserve">TRI-REF-DBP-04HCA-SFRAC-GA40009A</t>
  </si>
  <si>
    <t xml:space="preserve">20961080</t>
  </si>
  <si>
    <t xml:space="preserve">GE-869 MGA-40001 B</t>
  </si>
  <si>
    <t xml:space="preserve">RELEVADOR GE-869 MGA-40001 B</t>
  </si>
  <si>
    <t xml:space="preserve">TRI-REF-DBP-04HCA-SFRAC-GA40001B</t>
  </si>
  <si>
    <t xml:space="preserve">20961079</t>
  </si>
  <si>
    <t xml:space="preserve">GE-869-87M MGA-42001 A</t>
  </si>
  <si>
    <t xml:space="preserve">RELEVADOR GE-869-87M MGA-42001 A</t>
  </si>
  <si>
    <t xml:space="preserve">TRI-REF-DBP-04HCA-SREA2-GA42001A</t>
  </si>
  <si>
    <t xml:space="preserve">20961078</t>
  </si>
  <si>
    <t xml:space="preserve">GE-869 MGA-42001 A</t>
  </si>
  <si>
    <t xml:space="preserve">RELEVADOR GE-869 MGA-42001 A</t>
  </si>
  <si>
    <t xml:space="preserve">20961077</t>
  </si>
  <si>
    <t xml:space="preserve">GE-869-87M MGA-41001 B</t>
  </si>
  <si>
    <t xml:space="preserve">RELEVADOR GE-869-87M MGA-41001 B</t>
  </si>
  <si>
    <t xml:space="preserve">TRI-REF-DBP-04HCA-SREA1-GA41001B</t>
  </si>
  <si>
    <t xml:space="preserve">20961076</t>
  </si>
  <si>
    <t xml:space="preserve">GE-869 MGA-41001 B</t>
  </si>
  <si>
    <t xml:space="preserve">RELEVADOR GE-869 MGA-41001 B</t>
  </si>
  <si>
    <t xml:space="preserve">20961075</t>
  </si>
  <si>
    <t xml:space="preserve">GE-869-87M MBC-42001 B</t>
  </si>
  <si>
    <t xml:space="preserve">RELEVADOR GE-869-87M MBC-42001 B</t>
  </si>
  <si>
    <t xml:space="preserve">TRI-REF-DBP-04HCA-SCOMP-BC42001B</t>
  </si>
  <si>
    <t xml:space="preserve">20961074</t>
  </si>
  <si>
    <t xml:space="preserve">GE-869 MBC-42001 B</t>
  </si>
  <si>
    <t xml:space="preserve">RELEVADOR GE-869 MBC-42001 B</t>
  </si>
  <si>
    <t xml:space="preserve">20961049</t>
  </si>
  <si>
    <t xml:space="preserve">GE-869 MGA-40002 A</t>
  </si>
  <si>
    <t xml:space="preserve">RELEVADOR GE-869 MGA-40002 A</t>
  </si>
  <si>
    <t xml:space="preserve">TRI-REF-DBP-04HCA-SFRAC-GA40002A</t>
  </si>
  <si>
    <t xml:space="preserve">20961050</t>
  </si>
  <si>
    <t xml:space="preserve">GE-869-87M MGA-40002 A</t>
  </si>
  <si>
    <t xml:space="preserve">RELEVADOR GE-869-87M MGA-40002 A</t>
  </si>
  <si>
    <t xml:space="preserve">20961051</t>
  </si>
  <si>
    <t xml:space="preserve">GE-869 MGA-41001 A</t>
  </si>
  <si>
    <t xml:space="preserve">RELEVADOR GE-869 MGA-41001 A</t>
  </si>
  <si>
    <t xml:space="preserve">TRI-REF-DBP-04HCA-SREA1-GA41001A</t>
  </si>
  <si>
    <t xml:space="preserve">20961052</t>
  </si>
  <si>
    <t xml:space="preserve">GE-869-87M MGA-41001 A</t>
  </si>
  <si>
    <t xml:space="preserve">RELEVADOR GE-869-87M MGA-41001 A</t>
  </si>
  <si>
    <t xml:space="preserve">20961053</t>
  </si>
  <si>
    <t xml:space="preserve">GE-869 MBC-41001 A</t>
  </si>
  <si>
    <t xml:space="preserve">RELEVADOR GE-869 MBC-41001 A</t>
  </si>
  <si>
    <t xml:space="preserve">TRI-REF-DBP-04HCA-SCOMP-BC41001A</t>
  </si>
  <si>
    <t xml:space="preserve">20961054</t>
  </si>
  <si>
    <t xml:space="preserve">GE-869-87M MBC-41001 A</t>
  </si>
  <si>
    <t xml:space="preserve">RELEVADOR GE-869-87M MBC-41001 A</t>
  </si>
  <si>
    <t xml:space="preserve">20961055</t>
  </si>
  <si>
    <t xml:space="preserve">GE-869 MBC-42001 A</t>
  </si>
  <si>
    <t xml:space="preserve">RELEVADOR GE-869 MBC-42001 A</t>
  </si>
  <si>
    <t xml:space="preserve">TRI-REF-DBP-04HCA-SCOMP-BC42001A</t>
  </si>
  <si>
    <t xml:space="preserve">20961056</t>
  </si>
  <si>
    <t xml:space="preserve">GE-869-87M MBC-42001 A</t>
  </si>
  <si>
    <t xml:space="preserve">RELEVADOR GE-869-87M MBC-42001 A</t>
  </si>
  <si>
    <t xml:space="preserve">20961057</t>
  </si>
  <si>
    <t xml:space="preserve">GE-869 MGA-42001 B</t>
  </si>
  <si>
    <t xml:space="preserve">RELEVADOR GE-869 MGA-42001 B</t>
  </si>
  <si>
    <t xml:space="preserve">TRI-REF-DBP-04HCA-SREA2-GA42001B</t>
  </si>
  <si>
    <t xml:space="preserve">20961058</t>
  </si>
  <si>
    <t xml:space="preserve">GE-869-87M MGA-42001 B</t>
  </si>
  <si>
    <t xml:space="preserve">RELEVADOR GE-869-87M MGA-42001 B</t>
  </si>
  <si>
    <t xml:space="preserve">20961070</t>
  </si>
  <si>
    <t xml:space="preserve">GE-869 MGA-40002 B</t>
  </si>
  <si>
    <t xml:space="preserve">RELEVADOR GE-869 MGA-40002 B</t>
  </si>
  <si>
    <t xml:space="preserve">TRI-REF-DBP-04HCA-SFRAC-GA40002B</t>
  </si>
  <si>
    <t xml:space="preserve">20961071</t>
  </si>
  <si>
    <t xml:space="preserve">GE-869-87M MGA-40002 B</t>
  </si>
  <si>
    <t xml:space="preserve">RELEVADOR GE-869-87M MGA-40002 B</t>
  </si>
  <si>
    <t xml:space="preserve">20961072</t>
  </si>
  <si>
    <t xml:space="preserve">GE-869 MBC-41001 B</t>
  </si>
  <si>
    <t xml:space="preserve">RELEVADOR GE-869 MBC-41001 B</t>
  </si>
  <si>
    <t xml:space="preserve">TRI-REF-DBP-04HCA-SCOMP-BC41001B</t>
  </si>
  <si>
    <t xml:space="preserve">20961073</t>
  </si>
  <si>
    <t xml:space="preserve">GE-869-87M MBC-41001 B</t>
  </si>
  <si>
    <t xml:space="preserve">RELEVADOR GE-869-87M MBC-41001 B</t>
  </si>
  <si>
    <t xml:space="preserve">20957799</t>
  </si>
  <si>
    <t xml:space="preserve">GE-869 MGA-71201 B</t>
  </si>
  <si>
    <t xml:space="preserve">RELEVADOR GE-869 MGA-71201 B</t>
  </si>
  <si>
    <t xml:space="preserve">TRI-REF-DBP-05HGA-SFRAC-GA61006B</t>
  </si>
  <si>
    <t xml:space="preserve">DBHGA</t>
  </si>
  <si>
    <t xml:space="preserve">20957798</t>
  </si>
  <si>
    <t xml:space="preserve">GE-869 MGA-71201 A</t>
  </si>
  <si>
    <t xml:space="preserve">RELEVADOR GE-869 MGA-71201 A</t>
  </si>
  <si>
    <t xml:space="preserve">TRI-REF-DBP-05HGA-SFRAC-GA61006A</t>
  </si>
  <si>
    <t xml:space="preserve">20957797</t>
  </si>
  <si>
    <t xml:space="preserve">GE-869 MGA-71001 B</t>
  </si>
  <si>
    <t xml:space="preserve">RELEVADOR GE-869 MGA-71001 B</t>
  </si>
  <si>
    <t xml:space="preserve">TRI-REF-DBP-05HGA-SFRAC-GA61008B</t>
  </si>
  <si>
    <t xml:space="preserve">20957796</t>
  </si>
  <si>
    <t xml:space="preserve">GE-869 MGA-71001 A</t>
  </si>
  <si>
    <t xml:space="preserve">RELEVADOR GE-869 MGA-71001 A</t>
  </si>
  <si>
    <t xml:space="preserve">TRI-REF-DBP-05HGA-SFRAC-GA61008A</t>
  </si>
  <si>
    <t xml:space="preserve">20957795</t>
  </si>
  <si>
    <t xml:space="preserve">GE-869 MGA-71004 B</t>
  </si>
  <si>
    <t xml:space="preserve">RELEVADOR GE-869 MGA-71004 B</t>
  </si>
  <si>
    <t xml:space="preserve">TRI-REF-DBP-05HGA-SFRAC-GA61009B</t>
  </si>
  <si>
    <t xml:space="preserve">20957794</t>
  </si>
  <si>
    <t xml:space="preserve">GE-869 71-VFD-71101</t>
  </si>
  <si>
    <t xml:space="preserve">RELEVADOR GE-869 71-VFD-71101</t>
  </si>
  <si>
    <t xml:space="preserve">TRI-REF-DBP-05HGA-SFRAC-GA61009A</t>
  </si>
  <si>
    <t xml:space="preserve">20957723</t>
  </si>
  <si>
    <t xml:space="preserve">GE-869 MBC-61001 B</t>
  </si>
  <si>
    <t xml:space="preserve">RELEVADOR GE-869 MBC-61001 B</t>
  </si>
  <si>
    <t xml:space="preserve">TRI-REF-DBP-05HGA-SCOMP-BC61001B</t>
  </si>
  <si>
    <t xml:space="preserve">20957722</t>
  </si>
  <si>
    <t xml:space="preserve">GE-869 MBC-61001 A</t>
  </si>
  <si>
    <t xml:space="preserve">RELEVADOR GE-869 MBC-61001 A</t>
  </si>
  <si>
    <t xml:space="preserve">TRI-REF-DBP-05HGA-SCOMP-BC61001A</t>
  </si>
  <si>
    <t xml:space="preserve">20957721</t>
  </si>
  <si>
    <t xml:space="preserve">GE-869 MGA-61006 B</t>
  </si>
  <si>
    <t xml:space="preserve">RELEVADOR GE-869 MGA-61006 B</t>
  </si>
  <si>
    <t xml:space="preserve">20957720</t>
  </si>
  <si>
    <t xml:space="preserve">GE-869 MGA-61006 A</t>
  </si>
  <si>
    <t xml:space="preserve">RELEVADOR GE-869 MGA-61006 A</t>
  </si>
  <si>
    <t xml:space="preserve">20957719</t>
  </si>
  <si>
    <t xml:space="preserve">GE-869 MGA-61008 B</t>
  </si>
  <si>
    <t xml:space="preserve">RELEVADOR GE-869 MGA-61008 B</t>
  </si>
  <si>
    <t xml:space="preserve">20957718</t>
  </si>
  <si>
    <t xml:space="preserve">GE-869 MGA-61008 A</t>
  </si>
  <si>
    <t xml:space="preserve">RELEVADOR GE-869 MGA-61008 A</t>
  </si>
  <si>
    <t xml:space="preserve">20957717</t>
  </si>
  <si>
    <t xml:space="preserve">GE-869 MGA-61009 B</t>
  </si>
  <si>
    <t xml:space="preserve">RELEVADOR GE-869 MGA-61009 B</t>
  </si>
  <si>
    <t xml:space="preserve">20957716</t>
  </si>
  <si>
    <t xml:space="preserve">GE-869 MGA-61009 A</t>
  </si>
  <si>
    <t xml:space="preserve">RELEVADOR GE-869 MGA-61009 A</t>
  </si>
  <si>
    <t xml:space="preserve">20957704</t>
  </si>
  <si>
    <t xml:space="preserve">GE-869 MGA-61001 B</t>
  </si>
  <si>
    <t xml:space="preserve">RELEVADOR GE-869 MGA-61001 B</t>
  </si>
  <si>
    <t xml:space="preserve">TRI-REF-DBP-05HGA-SCARG-GA61001B</t>
  </si>
  <si>
    <t xml:space="preserve">20957703</t>
  </si>
  <si>
    <t xml:space="preserve">GE-869-87M MGA-61001 B</t>
  </si>
  <si>
    <t xml:space="preserve">RELEVADOR GE-869-87M MGA-61001 B</t>
  </si>
  <si>
    <t xml:space="preserve">20957702</t>
  </si>
  <si>
    <t xml:space="preserve">GE-869 MGA-61001 A</t>
  </si>
  <si>
    <t xml:space="preserve">RELEVADOR GE-869 MGA-61001 A</t>
  </si>
  <si>
    <t xml:space="preserve">TRI-REF-DBP-05HGA-SCARG-GA61001A</t>
  </si>
  <si>
    <t xml:space="preserve">20957701</t>
  </si>
  <si>
    <t xml:space="preserve">GE-869-87M MGA-61001 A</t>
  </si>
  <si>
    <t xml:space="preserve">RELEVADOR GE-869-87M MGA-61001 A</t>
  </si>
  <si>
    <t xml:space="preserve">20957963</t>
  </si>
  <si>
    <t xml:space="preserve">GE-869 MBV-71102</t>
  </si>
  <si>
    <t xml:space="preserve">RELEVADOR GE-869 MBV-71102</t>
  </si>
  <si>
    <t xml:space="preserve">TRI-REF-DBP-05HGB-SCARG-GA62001A</t>
  </si>
  <si>
    <t xml:space="preserve">DBHGB</t>
  </si>
  <si>
    <t xml:space="preserve">20957957</t>
  </si>
  <si>
    <t xml:space="preserve">GE-869 MBC-62001 B</t>
  </si>
  <si>
    <t xml:space="preserve">RELEVADOR GE-869 MBC-62001 B</t>
  </si>
  <si>
    <t xml:space="preserve">TRI-REF-DBP-05HGB-SCOMP-BC62001B</t>
  </si>
  <si>
    <t xml:space="preserve">20957956</t>
  </si>
  <si>
    <t xml:space="preserve">GE-869 MBC-62001 A</t>
  </si>
  <si>
    <t xml:space="preserve">RELEVADOR GE-869 MBC-62001 A</t>
  </si>
  <si>
    <t xml:space="preserve">TRI-REF-DBP-05HGB-SCOMP-BC62001A</t>
  </si>
  <si>
    <t xml:space="preserve">20957955</t>
  </si>
  <si>
    <t xml:space="preserve">GE-869 MGA-62006 B</t>
  </si>
  <si>
    <t xml:space="preserve">RELEVADOR GE-869 MGA-62006 B</t>
  </si>
  <si>
    <t xml:space="preserve">TRI-REF-DBP-05HGB-SFRAC-GA62006B</t>
  </si>
  <si>
    <t xml:space="preserve">20957954</t>
  </si>
  <si>
    <t xml:space="preserve">GE-869 MGA-62006 A</t>
  </si>
  <si>
    <t xml:space="preserve">RELEVADOR GE-869 MGA-62006 A</t>
  </si>
  <si>
    <t xml:space="preserve">TRI-REF-DBP-05HGB-SFRAC-GA62006A</t>
  </si>
  <si>
    <t xml:space="preserve">20957953</t>
  </si>
  <si>
    <t xml:space="preserve">GE-869 MGA-62008 B</t>
  </si>
  <si>
    <t xml:space="preserve">RELEVADOR GE-869 MGA-62008 B</t>
  </si>
  <si>
    <t xml:space="preserve">TRI-REF-DBP-05HGB-SFRAC-GA62008B</t>
  </si>
  <si>
    <t xml:space="preserve">20957952</t>
  </si>
  <si>
    <t xml:space="preserve">GE-869 MGA-62008 A</t>
  </si>
  <si>
    <t xml:space="preserve">RELEVADOR GE-869 MGA-62008 A</t>
  </si>
  <si>
    <t xml:space="preserve">TRI-REF-DBP-05HGB-SFRAC-GA62008A</t>
  </si>
  <si>
    <t xml:space="preserve">20957951</t>
  </si>
  <si>
    <t xml:space="preserve">GE-869 MGA-62009 B</t>
  </si>
  <si>
    <t xml:space="preserve">RELEVADOR GE-869 MGA-62009 B</t>
  </si>
  <si>
    <t xml:space="preserve">TRI-REF-DBP-05HGB-SFRAC-GA62009B</t>
  </si>
  <si>
    <t xml:space="preserve">20957950</t>
  </si>
  <si>
    <t xml:space="preserve">GE-869 MGA-62009 A</t>
  </si>
  <si>
    <t xml:space="preserve">RELEVADOR GE-869 MGA-62009 A</t>
  </si>
  <si>
    <t xml:space="preserve">TRI-REF-DBP-05HGB-SFRAC-GA62009A</t>
  </si>
  <si>
    <t xml:space="preserve">20957949</t>
  </si>
  <si>
    <t xml:space="preserve">GE-869 MGA-62001 B</t>
  </si>
  <si>
    <t xml:space="preserve">RELEVADOR GE-869 MGA-62001 B</t>
  </si>
  <si>
    <t xml:space="preserve">TRI-REF-DBP-05HGB-SCARG-GA62001B</t>
  </si>
  <si>
    <t xml:space="preserve">20957948</t>
  </si>
  <si>
    <t xml:space="preserve">GE-869-87M MGA-62001 B</t>
  </si>
  <si>
    <t xml:space="preserve">RELEVADOR GE-869-87M MGA-62001 B</t>
  </si>
  <si>
    <t xml:space="preserve">20957947</t>
  </si>
  <si>
    <t xml:space="preserve">GE-869 MGA-62001 A</t>
  </si>
  <si>
    <t xml:space="preserve">RELEVADOR GE-869 MGA-62001 A</t>
  </si>
  <si>
    <t xml:space="preserve">20957946</t>
  </si>
  <si>
    <t xml:space="preserve">GE-869-87M MGA-62001 A</t>
  </si>
  <si>
    <t xml:space="preserve">RELEVADOR GE-869-87M MGA-62001 A</t>
  </si>
  <si>
    <t xml:space="preserve">20990500</t>
  </si>
  <si>
    <t xml:space="preserve">REM-615 GAM-72001A</t>
  </si>
  <si>
    <t xml:space="preserve">RELEVADOR  REM-615 GAM-72001A</t>
  </si>
  <si>
    <t xml:space="preserve">TRI-REF-DBP-05ISA-SCARG-GA72001A</t>
  </si>
  <si>
    <t xml:space="preserve">DBISA</t>
  </si>
  <si>
    <t xml:space="preserve">20990501</t>
  </si>
  <si>
    <t xml:space="preserve">REM-615 GAM-72001B</t>
  </si>
  <si>
    <t xml:space="preserve">RELEVADOR  REM-615 GAM-72001B</t>
  </si>
  <si>
    <t xml:space="preserve">TRI-REF-DBP-05ISA-SCARG-GA72001B</t>
  </si>
  <si>
    <t xml:space="preserve">20990502</t>
  </si>
  <si>
    <t xml:space="preserve">REM-615 BCM-72001A</t>
  </si>
  <si>
    <t xml:space="preserve">RELEVADOR  REM-615 BCM-72001A</t>
  </si>
  <si>
    <t xml:space="preserve">TRI-REF-DBP-05ISA-SCOMP-BC72001A</t>
  </si>
  <si>
    <t xml:space="preserve">20990503</t>
  </si>
  <si>
    <t xml:space="preserve">REM-615 BCM-72001B</t>
  </si>
  <si>
    <t xml:space="preserve">RELEVADOR  REM-615 BCM-72001B</t>
  </si>
  <si>
    <t xml:space="preserve">TRI-REF-DBP-05ISA-SCOMP-BC72001B</t>
  </si>
  <si>
    <t xml:space="preserve">20990505</t>
  </si>
  <si>
    <t xml:space="preserve">REM-615 GAM-72010A</t>
  </si>
  <si>
    <t xml:space="preserve">RELEVADOR  REM-615 GAM-72010A</t>
  </si>
  <si>
    <t xml:space="preserve">TRI-REF-DBP-05ISA-SDIHX-GA72010A</t>
  </si>
  <si>
    <t xml:space="preserve">20990506</t>
  </si>
  <si>
    <t xml:space="preserve">REM-615 GAM-72010B</t>
  </si>
  <si>
    <t xml:space="preserve">RELEVADOR  REM-615 GAM-72010B</t>
  </si>
  <si>
    <t xml:space="preserve">TRI-REF-DBP-05ISA-SDIHX-GA72010B</t>
  </si>
  <si>
    <t xml:space="preserve">25.0 V</t>
  </si>
  <si>
    <t xml:space="preserve">20971713</t>
  </si>
  <si>
    <t xml:space="preserve">REA 105-GAM-11110</t>
  </si>
  <si>
    <t xml:space="preserve">RELEVADOR REA 105-GAM-11110</t>
  </si>
  <si>
    <t xml:space="preserve">TRI-REF-DBP-01PRA-SATMO-GA11110</t>
  </si>
  <si>
    <t xml:space="preserve">DBPRA</t>
  </si>
  <si>
    <t xml:space="preserve">20971712</t>
  </si>
  <si>
    <t xml:space="preserve">REA 103-GAM-11110</t>
  </si>
  <si>
    <t xml:space="preserve">RELEVADOR REA 103-GAM-11110</t>
  </si>
  <si>
    <t xml:space="preserve">20971711</t>
  </si>
  <si>
    <t xml:space="preserve">REM-615-GAM-11108R</t>
  </si>
  <si>
    <t xml:space="preserve">RELEVADOR REM-615-GAM-11108R</t>
  </si>
  <si>
    <t xml:space="preserve">TRI-REF-DBP-01PRA-SATMO-GA11108R</t>
  </si>
  <si>
    <t xml:space="preserve">20971710</t>
  </si>
  <si>
    <t xml:space="preserve">REA 105-GAM-11108R</t>
  </si>
  <si>
    <t xml:space="preserve">RELEVADOR REA 105-GAM-11108R</t>
  </si>
  <si>
    <t xml:space="preserve">20971709</t>
  </si>
  <si>
    <t xml:space="preserve">REM-615-GAM-11107</t>
  </si>
  <si>
    <t xml:space="preserve">RELEVADOR REM-615-GAM-11107</t>
  </si>
  <si>
    <t xml:space="preserve">TRI-REF-DBP-01PRA-SATMO-GA11107</t>
  </si>
  <si>
    <t xml:space="preserve">20971708</t>
  </si>
  <si>
    <t xml:space="preserve">REA 105-GAM-11107</t>
  </si>
  <si>
    <t xml:space="preserve">RELEVADOR REA 105-GAM-11107</t>
  </si>
  <si>
    <t xml:space="preserve">20971707</t>
  </si>
  <si>
    <t xml:space="preserve">REM-615-GAM-11105</t>
  </si>
  <si>
    <t xml:space="preserve">RELEVADOR REM-615-GAM-11105</t>
  </si>
  <si>
    <t xml:space="preserve">TRI-REF-DBP-01PRA-SATMO-GA11105</t>
  </si>
  <si>
    <t xml:space="preserve">20971706</t>
  </si>
  <si>
    <t xml:space="preserve">REA 105-GAM-11105</t>
  </si>
  <si>
    <t xml:space="preserve">RELEVADOR REA 105-GAM-11105</t>
  </si>
  <si>
    <t xml:space="preserve">20971705</t>
  </si>
  <si>
    <t xml:space="preserve">REM-615-GAM-11104R</t>
  </si>
  <si>
    <t xml:space="preserve">RELEVADOR REM-615-GAM-11104R</t>
  </si>
  <si>
    <t xml:space="preserve">TRI-REF-DBP-01PRA-SATMO-GA11104R</t>
  </si>
  <si>
    <t xml:space="preserve">20971704</t>
  </si>
  <si>
    <t xml:space="preserve">REA 105-GAM-11104R</t>
  </si>
  <si>
    <t xml:space="preserve">RELEVADOR REA 105-GAM-11104R</t>
  </si>
  <si>
    <t xml:space="preserve">20971703</t>
  </si>
  <si>
    <t xml:space="preserve">REA 103-GAM-11104R</t>
  </si>
  <si>
    <t xml:space="preserve">RELEVADOR REA 103-GAM-11104R</t>
  </si>
  <si>
    <t xml:space="preserve">20971702</t>
  </si>
  <si>
    <t xml:space="preserve">REM-615-GAM-11103A</t>
  </si>
  <si>
    <t xml:space="preserve">RELEVADOR REF-615-GAM-11103A</t>
  </si>
  <si>
    <t xml:space="preserve">TRI-REF-DBP-01PRA-SCARG-GA11103A</t>
  </si>
  <si>
    <t xml:space="preserve">20971701</t>
  </si>
  <si>
    <t xml:space="preserve">REA 105-GAM-11103A</t>
  </si>
  <si>
    <t xml:space="preserve">RELEVADOR REA 105-GAM-11103A</t>
  </si>
  <si>
    <t xml:space="preserve">20971714</t>
  </si>
  <si>
    <t xml:space="preserve">REM-615-GAM-11110</t>
  </si>
  <si>
    <t xml:space="preserve">RELEVADOR REM-615-GAM-11110</t>
  </si>
  <si>
    <t xml:space="preserve">20971715</t>
  </si>
  <si>
    <t xml:space="preserve">REA 105-GAM-11111R</t>
  </si>
  <si>
    <t xml:space="preserve">RELEVADOR REA 105-GAM-11111R</t>
  </si>
  <si>
    <t xml:space="preserve">TRI-REF-DBP-01PRA-SATMO-GA11111R</t>
  </si>
  <si>
    <t xml:space="preserve">20971716</t>
  </si>
  <si>
    <t xml:space="preserve">REA 101-GAM-11111R</t>
  </si>
  <si>
    <t xml:space="preserve">RELEVADOR REA 101-GAM-11111R</t>
  </si>
  <si>
    <t xml:space="preserve">20971717</t>
  </si>
  <si>
    <t xml:space="preserve">REM-615-GAM-11111R</t>
  </si>
  <si>
    <t xml:space="preserve">RELEVADOR REM-615-GAM-11111R</t>
  </si>
  <si>
    <t xml:space="preserve">20971718</t>
  </si>
  <si>
    <t xml:space="preserve">REA 105-GAM-11116R</t>
  </si>
  <si>
    <t xml:space="preserve">RELEVADOR REA 105-GAM-11116R</t>
  </si>
  <si>
    <t xml:space="preserve">TRI-REF-DBP-01PRA-SVACI-GA11116R</t>
  </si>
  <si>
    <t xml:space="preserve">20971719</t>
  </si>
  <si>
    <t xml:space="preserve">REM-615-GAM-11116R</t>
  </si>
  <si>
    <t xml:space="preserve">RELEVADOR REM-615-GAM-11116R</t>
  </si>
  <si>
    <t xml:space="preserve">20971720</t>
  </si>
  <si>
    <t xml:space="preserve">REA 105-GAM-11118</t>
  </si>
  <si>
    <t xml:space="preserve">RELEVADOR REA 105-GAM-11118</t>
  </si>
  <si>
    <t xml:space="preserve">TRI-REF-DBP-01PRA-SVACI-GA11118</t>
  </si>
  <si>
    <t xml:space="preserve">20971721</t>
  </si>
  <si>
    <t xml:space="preserve">REM-615-GAM-11118</t>
  </si>
  <si>
    <t xml:space="preserve">RELEVADOR REM-615-GAM-11118</t>
  </si>
  <si>
    <t xml:space="preserve">20971722</t>
  </si>
  <si>
    <t xml:space="preserve">REA 103-BVIM-11101B</t>
  </si>
  <si>
    <t xml:space="preserve">RELEVADOR REA 103-BVIM-11101B</t>
  </si>
  <si>
    <t xml:space="preserve">TRI-REF-DBP-01PRA-SATMO-BVI11101B</t>
  </si>
  <si>
    <t xml:space="preserve">20971723</t>
  </si>
  <si>
    <t xml:space="preserve">REA 105-BVIM-11101B</t>
  </si>
  <si>
    <t xml:space="preserve">RELEVADOR REA 105-BVIM-11101B</t>
  </si>
  <si>
    <t xml:space="preserve">20971724</t>
  </si>
  <si>
    <t xml:space="preserve">REM-615-BVIM-11101B</t>
  </si>
  <si>
    <t xml:space="preserve">RELEVADOR REM-615-BVIM-11101B</t>
  </si>
  <si>
    <t xml:space="preserve">20971725</t>
  </si>
  <si>
    <t xml:space="preserve">REA 105-BCM-11101X</t>
  </si>
  <si>
    <t xml:space="preserve">RELEVADOR REA 105-BCM-11101X</t>
  </si>
  <si>
    <t xml:space="preserve">TRI-REF-DBP-01PRA-SCOMP-BC11101X</t>
  </si>
  <si>
    <t xml:space="preserve">20971726</t>
  </si>
  <si>
    <t xml:space="preserve">REM-615-BCM-11101X</t>
  </si>
  <si>
    <t xml:space="preserve">RELEVADOR REM-615-BCM-11101X</t>
  </si>
  <si>
    <t xml:space="preserve">20971700</t>
  </si>
  <si>
    <t xml:space="preserve">RELE 857-GAM-11103 A</t>
  </si>
  <si>
    <t xml:space="preserve">RELEVADOR 857-GAM-11103 A</t>
  </si>
  <si>
    <t xml:space="preserve">20971646</t>
  </si>
  <si>
    <t xml:space="preserve">REA 105-BVIM-11101A</t>
  </si>
  <si>
    <t xml:space="preserve">RELEVADOR REA 105-BVIM-11101A</t>
  </si>
  <si>
    <t xml:space="preserve">TRI-REF-DBP-01PRA-SATMO-BVI11101A</t>
  </si>
  <si>
    <t xml:space="preserve">20971647</t>
  </si>
  <si>
    <t xml:space="preserve">REM-615-BVIM-11101A</t>
  </si>
  <si>
    <t xml:space="preserve">RELEVADOR REM-615-BVIM-11101A</t>
  </si>
  <si>
    <t xml:space="preserve">20971648</t>
  </si>
  <si>
    <t xml:space="preserve">REA 105-GAM-11118R</t>
  </si>
  <si>
    <t xml:space="preserve">RELEVADOR REA 105-GAM-11118R</t>
  </si>
  <si>
    <t xml:space="preserve">TRI-REF-DBP-01PRA-SVACI-GA11118R</t>
  </si>
  <si>
    <t xml:space="preserve">20971649</t>
  </si>
  <si>
    <t xml:space="preserve">REM-615-GAM-11118R</t>
  </si>
  <si>
    <t xml:space="preserve">RELEVADOR REM-615-GAM-11118R</t>
  </si>
  <si>
    <t xml:space="preserve">20971650</t>
  </si>
  <si>
    <t xml:space="preserve">REA 105-GAM-11117</t>
  </si>
  <si>
    <t xml:space="preserve">RELEVADOR REA 105-GAM-11117</t>
  </si>
  <si>
    <t xml:space="preserve">TRI-REF-DBP-01PRA-SVACI-GA11117</t>
  </si>
  <si>
    <t xml:space="preserve">20971651</t>
  </si>
  <si>
    <t xml:space="preserve">REM-615-GAM-11117</t>
  </si>
  <si>
    <t xml:space="preserve">RELEVADOR REM-615-GAM-11117</t>
  </si>
  <si>
    <t xml:space="preserve">20971652</t>
  </si>
  <si>
    <t xml:space="preserve">REA 105-GAM-11111</t>
  </si>
  <si>
    <t xml:space="preserve">RELEVADOR REA 105-GAM-11111</t>
  </si>
  <si>
    <t xml:space="preserve">TRI-REF-DBP-01PRA-SATMO-GA11111</t>
  </si>
  <si>
    <t xml:space="preserve">20971653</t>
  </si>
  <si>
    <t xml:space="preserve">REM-615-GAM-11111</t>
  </si>
  <si>
    <t xml:space="preserve">RELEVADOR REM-615-GAM-11111</t>
  </si>
  <si>
    <t xml:space="preserve">20971654</t>
  </si>
  <si>
    <t xml:space="preserve">REA 105-GAM-11110R</t>
  </si>
  <si>
    <t xml:space="preserve">RELEVADOR REA 105-GAM-11110R</t>
  </si>
  <si>
    <t xml:space="preserve">TRI-REF-DBP-01PRA-SATMO-GA11110R</t>
  </si>
  <si>
    <t xml:space="preserve">20971655</t>
  </si>
  <si>
    <t xml:space="preserve">REM-615-GAM-11110R</t>
  </si>
  <si>
    <t xml:space="preserve">RELEVADOR REM-615-GAM-11110R</t>
  </si>
  <si>
    <t xml:space="preserve">20971656</t>
  </si>
  <si>
    <t xml:space="preserve">REA 105-GAM-11108</t>
  </si>
  <si>
    <t xml:space="preserve">RELEVADOR REA 105-GAM-11108</t>
  </si>
  <si>
    <t xml:space="preserve">TRI-REF-DBP-01PRA-SATMO-GA11108</t>
  </si>
  <si>
    <t xml:space="preserve">20971657</t>
  </si>
  <si>
    <t xml:space="preserve">REM-615-GAM-11108</t>
  </si>
  <si>
    <t xml:space="preserve">RELEVADOR REM-615-GAM-11108</t>
  </si>
  <si>
    <t xml:space="preserve">20971658</t>
  </si>
  <si>
    <t xml:space="preserve">REA 105-GAM-11107R</t>
  </si>
  <si>
    <t xml:space="preserve">RELEVADOR REA 105-GAM-11107R</t>
  </si>
  <si>
    <t xml:space="preserve">TRI-REF-DBP-01PRA-SATMO-GA11107R</t>
  </si>
  <si>
    <t xml:space="preserve">20971659</t>
  </si>
  <si>
    <t xml:space="preserve">REM-615-GAM-11107R</t>
  </si>
  <si>
    <t xml:space="preserve">RELEVADOR REM-615-GAM-11107R</t>
  </si>
  <si>
    <t xml:space="preserve">20971660</t>
  </si>
  <si>
    <t xml:space="preserve">REA 105-GAM-11105R</t>
  </si>
  <si>
    <t xml:space="preserve">RELEVADOR REA 105-GAM-11105R</t>
  </si>
  <si>
    <t xml:space="preserve">TRI-REF-DBP-01PRA-SATMO-GA11105R</t>
  </si>
  <si>
    <t xml:space="preserve">20971661</t>
  </si>
  <si>
    <t xml:space="preserve">REA 103-GAM-11105R</t>
  </si>
  <si>
    <t xml:space="preserve">RELEVADOR REA 103-GAM-11105R</t>
  </si>
  <si>
    <t xml:space="preserve">20971662</t>
  </si>
  <si>
    <t xml:space="preserve">REM-615-GAM-11105R</t>
  </si>
  <si>
    <t xml:space="preserve">RELEVADOR REM-615-GAM-11105R</t>
  </si>
  <si>
    <t xml:space="preserve">20971665</t>
  </si>
  <si>
    <t xml:space="preserve">RELE 857-GAM-11103 B</t>
  </si>
  <si>
    <t xml:space="preserve">RELEVADOR 857-GAM-11103 B</t>
  </si>
  <si>
    <t xml:space="preserve">TRI-REF-DBP-01PRA-SCARG-GA11103B</t>
  </si>
  <si>
    <t xml:space="preserve">20971666</t>
  </si>
  <si>
    <t xml:space="preserve">REA 103-GAM-11103B</t>
  </si>
  <si>
    <t xml:space="preserve">RELEVADOR REA 103-GAM-11103B</t>
  </si>
  <si>
    <t xml:space="preserve">20971667</t>
  </si>
  <si>
    <t xml:space="preserve">REF-615-GAM-11103B</t>
  </si>
  <si>
    <t xml:space="preserve">RELEVADOR REF-615-GAM-11103B</t>
  </si>
  <si>
    <t xml:space="preserve">20971668</t>
  </si>
  <si>
    <t xml:space="preserve">RELE 857-GAM-11102 A</t>
  </si>
  <si>
    <t xml:space="preserve">RELEVADOR 857-GAM-11102 A</t>
  </si>
  <si>
    <t xml:space="preserve">TRI-REF-DBP-01PRA-SCARG-GA11102A</t>
  </si>
  <si>
    <t xml:space="preserve">20971669</t>
  </si>
  <si>
    <t xml:space="preserve">REA 103-GAM-11102A</t>
  </si>
  <si>
    <t xml:space="preserve">RELEVADOR REA 103-GAM-11102A</t>
  </si>
  <si>
    <t xml:space="preserve">20971670</t>
  </si>
  <si>
    <t xml:space="preserve">REF-615-GAM-11102A</t>
  </si>
  <si>
    <t xml:space="preserve">RELEVADOR REF-615-GAM-11102A</t>
  </si>
  <si>
    <t xml:space="preserve">20971697</t>
  </si>
  <si>
    <t xml:space="preserve">RELE 857-GAM-11102 B</t>
  </si>
  <si>
    <t xml:space="preserve">RELEVADOR 857-GAM-11102 B</t>
  </si>
  <si>
    <t xml:space="preserve">TRI-REF-DBP-01PRA-SCARG-GA11102B</t>
  </si>
  <si>
    <t xml:space="preserve">20971698</t>
  </si>
  <si>
    <t xml:space="preserve">REA 105-GAM-11102B</t>
  </si>
  <si>
    <t xml:space="preserve">RELEVADOR REA 105-GAM-11102B</t>
  </si>
  <si>
    <t xml:space="preserve">20971699</t>
  </si>
  <si>
    <t xml:space="preserve">REF-615-GAM-11102B</t>
  </si>
  <si>
    <t xml:space="preserve">RELEVADOR REF-615-GAM-11102B</t>
  </si>
  <si>
    <t xml:space="preserve">20987501</t>
  </si>
  <si>
    <t xml:space="preserve">REM-615-GAM-11208R</t>
  </si>
  <si>
    <t xml:space="preserve">RELEVADOR REM-615-GAM-11208R</t>
  </si>
  <si>
    <t xml:space="preserve">TRI-REF-DBP-01PRB-SATMO-GA11208R</t>
  </si>
  <si>
    <t xml:space="preserve">DBPRB</t>
  </si>
  <si>
    <t xml:space="preserve">20987500</t>
  </si>
  <si>
    <t xml:space="preserve">REA 105-GAM-11208R</t>
  </si>
  <si>
    <t xml:space="preserve">RELEVADOR REA 105-GAM-11208R</t>
  </si>
  <si>
    <t xml:space="preserve">20987499</t>
  </si>
  <si>
    <t xml:space="preserve">REM-615-GAM-11207</t>
  </si>
  <si>
    <t xml:space="preserve">RELEVADOR REM-615-GAM-11207</t>
  </si>
  <si>
    <t xml:space="preserve">TRI-REF-DBP-01PRB-SATMO-GA11207</t>
  </si>
  <si>
    <t xml:space="preserve">20987498</t>
  </si>
  <si>
    <t xml:space="preserve">REA 105-GAM-11207</t>
  </si>
  <si>
    <t xml:space="preserve">RELEVADOR REA 105-GAM-11207</t>
  </si>
  <si>
    <t xml:space="preserve">20987497</t>
  </si>
  <si>
    <t xml:space="preserve">REM-615-GAM-11205</t>
  </si>
  <si>
    <t xml:space="preserve">RELEVADOR REM-615-GAM-11205</t>
  </si>
  <si>
    <t xml:space="preserve">TRI-REF-DBP-01PRB-SATMO-GA11205</t>
  </si>
  <si>
    <t xml:space="preserve">20987496</t>
  </si>
  <si>
    <t xml:space="preserve">REA 105-GAM-11205</t>
  </si>
  <si>
    <t xml:space="preserve">RELEVADOR REA 105-GAM-11205</t>
  </si>
  <si>
    <t xml:space="preserve">20987495</t>
  </si>
  <si>
    <t xml:space="preserve">REM-615-GAM-11204R</t>
  </si>
  <si>
    <t xml:space="preserve">RELEVADOR REM-615-GAM-11204R</t>
  </si>
  <si>
    <t xml:space="preserve">TRI-REF-DBP-01PRB-SATMO-GA11204R</t>
  </si>
  <si>
    <t xml:space="preserve">20987494</t>
  </si>
  <si>
    <t xml:space="preserve">REA 105-GAM-11204R</t>
  </si>
  <si>
    <t xml:space="preserve">RELEVADOR REA 105-GAM-11204R</t>
  </si>
  <si>
    <t xml:space="preserve">20987493</t>
  </si>
  <si>
    <t xml:space="preserve">REA 103-GAM-11204R</t>
  </si>
  <si>
    <t xml:space="preserve">RELEVADOR REA 103-GAM-11204R</t>
  </si>
  <si>
    <t xml:space="preserve">20987492</t>
  </si>
  <si>
    <t xml:space="preserve">REM-615-GAM-11203A</t>
  </si>
  <si>
    <t xml:space="preserve">RELEVADOR REF-615-GAM-11203A</t>
  </si>
  <si>
    <t xml:space="preserve">TRI-REF-DBP-01PRB-SCARG-GA11203A</t>
  </si>
  <si>
    <t xml:space="preserve">20987491</t>
  </si>
  <si>
    <t xml:space="preserve">REA 105-GAM-11203A</t>
  </si>
  <si>
    <t xml:space="preserve">RELEVADOR REA 105-GAM-11203A</t>
  </si>
  <si>
    <t xml:space="preserve">20987490</t>
  </si>
  <si>
    <t xml:space="preserve">RELE 857-GAM-11203 A</t>
  </si>
  <si>
    <t xml:space="preserve">RELEVADOR 857-GAM-11203 A</t>
  </si>
  <si>
    <t xml:space="preserve">20987489</t>
  </si>
  <si>
    <t xml:space="preserve">REF-615-GAM-11202B</t>
  </si>
  <si>
    <t xml:space="preserve">RELEVADOR REF-615-GAM-11202B</t>
  </si>
  <si>
    <t xml:space="preserve">TRI-REF-DBP-01PRB-SCARG-GA11202B</t>
  </si>
  <si>
    <t xml:space="preserve">20987488</t>
  </si>
  <si>
    <t xml:space="preserve">REA 105-GAM-11202B</t>
  </si>
  <si>
    <t xml:space="preserve">RELEVADOR REA 105-GAM-11202B</t>
  </si>
  <si>
    <t xml:space="preserve">20987502</t>
  </si>
  <si>
    <t xml:space="preserve">REA 103-GAM-11210</t>
  </si>
  <si>
    <t xml:space="preserve">RELEVADOR REA 103-GAM-11210</t>
  </si>
  <si>
    <t xml:space="preserve">TRI-REF-DBP-01PRB-SATMO-GA11210</t>
  </si>
  <si>
    <t xml:space="preserve">20987503</t>
  </si>
  <si>
    <t xml:space="preserve">REA 105-GAM-11210</t>
  </si>
  <si>
    <t xml:space="preserve">RELEVADOR REA 105-GAM-11210</t>
  </si>
  <si>
    <t xml:space="preserve">20987504</t>
  </si>
  <si>
    <t xml:space="preserve">REM-615-GAM-11210</t>
  </si>
  <si>
    <t xml:space="preserve">RELEVADOR REM-615-GAM-11210</t>
  </si>
  <si>
    <t xml:space="preserve">20987505</t>
  </si>
  <si>
    <t xml:space="preserve">REA 105-GAM-11211R</t>
  </si>
  <si>
    <t xml:space="preserve">RELEVADOR REA 105-GAM-11211R</t>
  </si>
  <si>
    <t xml:space="preserve">TRI-REF-DBP-01PRB-SATMO-GA11211R</t>
  </si>
  <si>
    <t xml:space="preserve">20987506</t>
  </si>
  <si>
    <t xml:space="preserve">REA 101-GAM-11211R</t>
  </si>
  <si>
    <t xml:space="preserve">RELEVADOR REA 101-GAM-11211R</t>
  </si>
  <si>
    <t xml:space="preserve">20987507</t>
  </si>
  <si>
    <t xml:space="preserve">REM-615-GAM-11211R</t>
  </si>
  <si>
    <t xml:space="preserve">RELEVADOR REM-615-GAM-11211R</t>
  </si>
  <si>
    <t xml:space="preserve">20987508</t>
  </si>
  <si>
    <t xml:space="preserve">REA 105-GAM-11216R</t>
  </si>
  <si>
    <t xml:space="preserve">RELEVADOR REA 105-GAM-11216R</t>
  </si>
  <si>
    <t xml:space="preserve">TRI-REF-DBP-01PRB-SVACI-GA11216R</t>
  </si>
  <si>
    <t xml:space="preserve">20987509</t>
  </si>
  <si>
    <t xml:space="preserve">REM-615-GAM-11216R</t>
  </si>
  <si>
    <t xml:space="preserve">RELEVADOR REM-615-GAM-11216R</t>
  </si>
  <si>
    <t xml:space="preserve">20987510</t>
  </si>
  <si>
    <t xml:space="preserve">REA 105-GAM-11218</t>
  </si>
  <si>
    <t xml:space="preserve">RELEVADOR REA 105-GAM-11218</t>
  </si>
  <si>
    <t xml:space="preserve">TRI-REF-DBP-01PRB-SVACI-GA11218</t>
  </si>
  <si>
    <t xml:space="preserve">20987511</t>
  </si>
  <si>
    <t xml:space="preserve">REM-615-GAM-11218</t>
  </si>
  <si>
    <t xml:space="preserve">RELEVADOR REM-615-GAM-11218</t>
  </si>
  <si>
    <t xml:space="preserve">20987512</t>
  </si>
  <si>
    <t xml:space="preserve">REA 103-BVIM-11201B</t>
  </si>
  <si>
    <t xml:space="preserve">RELEVADOR REA 103-BVIM-11201B</t>
  </si>
  <si>
    <t xml:space="preserve">TRI-REF-DBP-01PRB-SATMO-BVI11201B</t>
  </si>
  <si>
    <t xml:space="preserve">20987513</t>
  </si>
  <si>
    <t xml:space="preserve">REA 105-BVIM-11201B</t>
  </si>
  <si>
    <t xml:space="preserve">RELEVADOR REA 105-BVIM-11201B</t>
  </si>
  <si>
    <t xml:space="preserve">20987514</t>
  </si>
  <si>
    <t xml:space="preserve">REM-615-BVIM-11201B</t>
  </si>
  <si>
    <t xml:space="preserve">20987515</t>
  </si>
  <si>
    <t xml:space="preserve">REA 105-BCM-11201X</t>
  </si>
  <si>
    <t xml:space="preserve">RELEVADOR REA 105-BCM-11201X</t>
  </si>
  <si>
    <t xml:space="preserve">TRI-REF-DBP-01PRB-SCOMP-BC11201X</t>
  </si>
  <si>
    <t xml:space="preserve">20987516</t>
  </si>
  <si>
    <t xml:space="preserve">REM-615-BCM-11201X</t>
  </si>
  <si>
    <t xml:space="preserve">RELEVADOR REM-615-BCM-11201X</t>
  </si>
  <si>
    <t xml:space="preserve">20987431</t>
  </si>
  <si>
    <t xml:space="preserve">REA 105-BVIM-11201A</t>
  </si>
  <si>
    <t xml:space="preserve">RELEVADOR REA 105-BVIM-11201A</t>
  </si>
  <si>
    <t xml:space="preserve">TRI-REF-DBP-01PRB-SATMO-BVI11201A</t>
  </si>
  <si>
    <t xml:space="preserve">20987432</t>
  </si>
  <si>
    <t xml:space="preserve">REM-615-BVIM-11201A</t>
  </si>
  <si>
    <t xml:space="preserve">RELEVADOR REM-615-BVIM-11201A</t>
  </si>
  <si>
    <t xml:space="preserve">20987433</t>
  </si>
  <si>
    <t xml:space="preserve">REA 103-BVIM-11201A</t>
  </si>
  <si>
    <t xml:space="preserve">RELEVADOR REA 103-BVIM-11102A</t>
  </si>
  <si>
    <t xml:space="preserve">20987434</t>
  </si>
  <si>
    <t xml:space="preserve">REA 105-GAM-11014R</t>
  </si>
  <si>
    <t xml:space="preserve">RELEVADOR REA 105-GAM-11014R</t>
  </si>
  <si>
    <t xml:space="preserve">TRI-REF-DBP-01PRB-SSERV-GA11014R</t>
  </si>
  <si>
    <t xml:space="preserve">20987435</t>
  </si>
  <si>
    <t xml:space="preserve">REM-615-GAM-11014R</t>
  </si>
  <si>
    <t xml:space="preserve">RELEVADOR REM-615-GAM-11014R</t>
  </si>
  <si>
    <t xml:space="preserve">20987436</t>
  </si>
  <si>
    <t xml:space="preserve">REA 105-GAM-11218R</t>
  </si>
  <si>
    <t xml:space="preserve">RELEVADOR REA 105-GAM-11218R</t>
  </si>
  <si>
    <t xml:space="preserve">TRI-REF-DBP-01PRB-SVACI-GA11218R</t>
  </si>
  <si>
    <t xml:space="preserve">20987437</t>
  </si>
  <si>
    <t xml:space="preserve">REM-615-GAM-11218R</t>
  </si>
  <si>
    <t xml:space="preserve">RELEVADOR REM-615-GAM-11218R</t>
  </si>
  <si>
    <t xml:space="preserve">20987438</t>
  </si>
  <si>
    <t xml:space="preserve">REA 105-GAM-11217</t>
  </si>
  <si>
    <t xml:space="preserve">RELEVADOR REA 105-GAM-11217</t>
  </si>
  <si>
    <t xml:space="preserve">TRI-REF-DBP-01PRB-SVACI-GA11217</t>
  </si>
  <si>
    <t xml:space="preserve">20987439</t>
  </si>
  <si>
    <t xml:space="preserve">REM-615-GAM-11217</t>
  </si>
  <si>
    <t xml:space="preserve">RELEVADOR REM-615-GAM-11217</t>
  </si>
  <si>
    <t xml:space="preserve">20987440</t>
  </si>
  <si>
    <t xml:space="preserve">REA 101-GAM-11211</t>
  </si>
  <si>
    <t xml:space="preserve">RELEVADOR REA 101-GAM-11211</t>
  </si>
  <si>
    <t xml:space="preserve">TRI-REF-DBP-01PRB-SATMO-GA11211</t>
  </si>
  <si>
    <t xml:space="preserve">20987441</t>
  </si>
  <si>
    <t xml:space="preserve">REA 103-GAM-11211</t>
  </si>
  <si>
    <t xml:space="preserve">RELEVADOR REA 103-GAM-11211</t>
  </si>
  <si>
    <t xml:space="preserve">20987442</t>
  </si>
  <si>
    <t xml:space="preserve">REA 105-GAM-11211</t>
  </si>
  <si>
    <t xml:space="preserve">RELEVADOR REA 105-GAM-11211</t>
  </si>
  <si>
    <t xml:space="preserve">20987443</t>
  </si>
  <si>
    <t xml:space="preserve">REM-615-GAM-11211</t>
  </si>
  <si>
    <t xml:space="preserve">RELEVADOR REM-615-GAM-11211</t>
  </si>
  <si>
    <t xml:space="preserve">20987444</t>
  </si>
  <si>
    <t xml:space="preserve">REA 105-GAM-11210R</t>
  </si>
  <si>
    <t xml:space="preserve">RELEVADOR REA 105-GAM-11210R</t>
  </si>
  <si>
    <t xml:space="preserve">TRI-REF-DBP-01PRB-SATMO-GA11210R</t>
  </si>
  <si>
    <t xml:space="preserve">20987445</t>
  </si>
  <si>
    <t xml:space="preserve">REM-615-GAM-11210R</t>
  </si>
  <si>
    <t xml:space="preserve">RELEVADOR REM-615-GAM-11210R</t>
  </si>
  <si>
    <t xml:space="preserve">20987446</t>
  </si>
  <si>
    <t xml:space="preserve">REA 105-GAM-11208</t>
  </si>
  <si>
    <t xml:space="preserve">RELEVADOR REA 105-GAM-11208</t>
  </si>
  <si>
    <t xml:space="preserve">TRI-REF-DBP-01PRB-SATMO-GA11208</t>
  </si>
  <si>
    <t xml:space="preserve">20987447</t>
  </si>
  <si>
    <t xml:space="preserve">REM-615-GAM-11208</t>
  </si>
  <si>
    <t xml:space="preserve">RELEVADOR REM-615-GAM-11208</t>
  </si>
  <si>
    <t xml:space="preserve">20987448</t>
  </si>
  <si>
    <t xml:space="preserve">REA 105-GAM-11207R</t>
  </si>
  <si>
    <t xml:space="preserve">RELEVADOR REA 105-GAM-11207R</t>
  </si>
  <si>
    <t xml:space="preserve">TRI-REF-DBP-01PRB-SATMO-GA11207R</t>
  </si>
  <si>
    <t xml:space="preserve">20987449</t>
  </si>
  <si>
    <t xml:space="preserve">REM-615-GAM-11207R</t>
  </si>
  <si>
    <t xml:space="preserve">RELEVADOR REM-615-GAM-11207R</t>
  </si>
  <si>
    <t xml:space="preserve">20987450</t>
  </si>
  <si>
    <t xml:space="preserve">REA 105-GAM-11205R</t>
  </si>
  <si>
    <t xml:space="preserve">RELEVADOR REA 105-GAM-11205R</t>
  </si>
  <si>
    <t xml:space="preserve">TRI-REF-DBP-01PRB-SATMO-GA11205R</t>
  </si>
  <si>
    <t xml:space="preserve">20987451</t>
  </si>
  <si>
    <t xml:space="preserve">REA 103-GAM-11205R</t>
  </si>
  <si>
    <t xml:space="preserve">RELEVADOR REA 103-GAM-11205R</t>
  </si>
  <si>
    <t xml:space="preserve">20987452</t>
  </si>
  <si>
    <t xml:space="preserve">REM-615-GAM-11205R</t>
  </si>
  <si>
    <t xml:space="preserve">RELEVADOR REM-615-GAM-11205R</t>
  </si>
  <si>
    <t xml:space="preserve">20987455</t>
  </si>
  <si>
    <t xml:space="preserve">RELE 857-GAM-11203 B</t>
  </si>
  <si>
    <t xml:space="preserve">RELEVADOR 857-GAM-11203 B</t>
  </si>
  <si>
    <t xml:space="preserve">TRI-REF-DBP-01PRB-SCARG-GA11203B</t>
  </si>
  <si>
    <t xml:space="preserve">20987456</t>
  </si>
  <si>
    <t xml:space="preserve">REA 105-GAM-11203B</t>
  </si>
  <si>
    <t xml:space="preserve">RELEVADOR REA 105-GAM-11203B</t>
  </si>
  <si>
    <t xml:space="preserve">20987457</t>
  </si>
  <si>
    <t xml:space="preserve">REF-615-GAM-11203B</t>
  </si>
  <si>
    <t xml:space="preserve">RELEVADOR REF-615-GAM-11203B</t>
  </si>
  <si>
    <t xml:space="preserve">20987458</t>
  </si>
  <si>
    <t xml:space="preserve">RELE 857-GAM-11202 A</t>
  </si>
  <si>
    <t xml:space="preserve">RELEVADOR 857-GAM-11202 A</t>
  </si>
  <si>
    <t xml:space="preserve">TRI-REF-DBP-01PRB-SCARG-GA11202A</t>
  </si>
  <si>
    <t xml:space="preserve">20987459</t>
  </si>
  <si>
    <t xml:space="preserve">REA 105-GAM-11202A</t>
  </si>
  <si>
    <t xml:space="preserve">RELEVADOR REA 105-GAM-11202A</t>
  </si>
  <si>
    <t xml:space="preserve">20987460</t>
  </si>
  <si>
    <t xml:space="preserve">REF-615-GAM-11202A</t>
  </si>
  <si>
    <t xml:space="preserve">RELEVADOR REF-615-GAM-11202A</t>
  </si>
  <si>
    <t xml:space="preserve">20987487</t>
  </si>
  <si>
    <t xml:space="preserve">RELE 857-GAM-11202 B</t>
  </si>
  <si>
    <t xml:space="preserve">RELEVADOR 857-GAM-11202 B</t>
  </si>
  <si>
    <t xml:space="preserve">20965325</t>
  </si>
  <si>
    <t xml:space="preserve">REM615-ME-GA-03013 C</t>
  </si>
  <si>
    <t xml:space="preserve">RELEVADOR REM615-ME-GA-03013 C</t>
  </si>
  <si>
    <t xml:space="preserve">TRI-REF-DBP-08PPA-SALMD-GA03013C</t>
  </si>
  <si>
    <t xml:space="preserve">DBPTA</t>
  </si>
  <si>
    <t xml:space="preserve">20965324</t>
  </si>
  <si>
    <t xml:space="preserve">REM615-ME-GA-03013 B</t>
  </si>
  <si>
    <t xml:space="preserve">RELEVADOR REM615-ME-GA-03013 B</t>
  </si>
  <si>
    <t xml:space="preserve">TRI-REF-DBP-08PPA-SALMD-GA03013B</t>
  </si>
  <si>
    <t xml:space="preserve">20965323</t>
  </si>
  <si>
    <t xml:space="preserve">REM615-ME-GA-03013 A</t>
  </si>
  <si>
    <t xml:space="preserve">RELEVADOR REM615-ME-GA-03013 A</t>
  </si>
  <si>
    <t xml:space="preserve">TRI-REF-DBP-08PPA-SALMD-GA03013A</t>
  </si>
  <si>
    <t xml:space="preserve">20965322</t>
  </si>
  <si>
    <t xml:space="preserve">REM615-ME-GA-03012 C</t>
  </si>
  <si>
    <t xml:space="preserve">RELEVADOR REM615-ME-GA-03012 C</t>
  </si>
  <si>
    <t xml:space="preserve">TRI-REF-DBP-08PPA-SALMD-GA03012C</t>
  </si>
  <si>
    <t xml:space="preserve">20965321</t>
  </si>
  <si>
    <t xml:space="preserve">REM615-ME-GA-03012 B</t>
  </si>
  <si>
    <t xml:space="preserve">RELEVADOR REM615-ME-GA-03012 B</t>
  </si>
  <si>
    <t xml:space="preserve">TRI-REF-DBP-08PPA-SALMD-GA03012B</t>
  </si>
  <si>
    <t xml:space="preserve">20965320</t>
  </si>
  <si>
    <t xml:space="preserve">REM615-ME-GA-03012 A</t>
  </si>
  <si>
    <t xml:space="preserve">RELEVADOR REM615-ME-GA-03012 A</t>
  </si>
  <si>
    <t xml:space="preserve">TRI-REF-DBP-08PPA-SALMD-GA03012A</t>
  </si>
  <si>
    <t xml:space="preserve">20965319</t>
  </si>
  <si>
    <t xml:space="preserve">REM615-ME-GA-02001 E</t>
  </si>
  <si>
    <t xml:space="preserve">RELEVADOR REM615-ME-GA-02001 E</t>
  </si>
  <si>
    <t xml:space="preserve">TRI-REF-DBP-08SUA-SALMD-GA02001E</t>
  </si>
  <si>
    <t xml:space="preserve">20965318</t>
  </si>
  <si>
    <t xml:space="preserve">REM615-ME-GA-02001 D</t>
  </si>
  <si>
    <t xml:space="preserve">RELEVADOR REM615-ME-GA-02001 D</t>
  </si>
  <si>
    <t xml:space="preserve">TRI-REF-DBP-08SUA-SALMD-GA02001D</t>
  </si>
  <si>
    <t xml:space="preserve">20965317</t>
  </si>
  <si>
    <t xml:space="preserve">REM615-ME-GA-02001 C</t>
  </si>
  <si>
    <t xml:space="preserve">RELEVADOR REM615-ME-GA-02001 C</t>
  </si>
  <si>
    <t xml:space="preserve">TRI-REF-DBP-08SUA-SALMD-GA02001C</t>
  </si>
  <si>
    <t xml:space="preserve">20965316</t>
  </si>
  <si>
    <t xml:space="preserve">REM615-ME-GA-02001 B</t>
  </si>
  <si>
    <t xml:space="preserve">RELEVADOR REM615-ME-GA-02001 B</t>
  </si>
  <si>
    <t xml:space="preserve">TRI-REF-DBP-08SUA-SALMD-GA02001B</t>
  </si>
  <si>
    <t xml:space="preserve">20965315</t>
  </si>
  <si>
    <t xml:space="preserve">REM615-ME-GA-02001 A</t>
  </si>
  <si>
    <t xml:space="preserve">RELEVADOR REM615-ME-GA-02001 A</t>
  </si>
  <si>
    <t xml:space="preserve">TRI-REF-DBP-08SUA-SALMD-GA02001A</t>
  </si>
  <si>
    <t xml:space="preserve">20957958</t>
  </si>
  <si>
    <t xml:space="preserve">GE-869-87M MBT-71202 A</t>
  </si>
  <si>
    <t xml:space="preserve">RELEVADOR GE-869-87M MBT-71202 A</t>
  </si>
  <si>
    <t xml:space="preserve">TRI-REF-DBP-05RRA-SRECO-BT71201A</t>
  </si>
  <si>
    <t xml:space="preserve">DBRRA</t>
  </si>
  <si>
    <t xml:space="preserve">20957959</t>
  </si>
  <si>
    <t xml:space="preserve">GE-869 MBT-71202 A</t>
  </si>
  <si>
    <t xml:space="preserve">RELEVADOR GE-869 MBT-71202 A</t>
  </si>
  <si>
    <t xml:space="preserve">20957960</t>
  </si>
  <si>
    <t xml:space="preserve">GE-869-87M MBT-71202 B</t>
  </si>
  <si>
    <t xml:space="preserve">RELEVADOR GE-869-87M MBT-71202 B</t>
  </si>
  <si>
    <t xml:space="preserve">TRI-REF-DBP-05RRA-SRECO-BT71201B</t>
  </si>
  <si>
    <t xml:space="preserve">20957961</t>
  </si>
  <si>
    <t xml:space="preserve">GE-869 MBT-71202 B</t>
  </si>
  <si>
    <t xml:space="preserve">RELEVADOR GE-869 MBT-71202 B</t>
  </si>
  <si>
    <t xml:space="preserve">20957962</t>
  </si>
  <si>
    <t xml:space="preserve">GE-850 71-VFD-71001</t>
  </si>
  <si>
    <t xml:space="preserve">RELEVADOR GE-850 71-VFD-71001</t>
  </si>
  <si>
    <t xml:space="preserve">TRI-REF-DBP-05RRA-SCOMP-GB71001</t>
  </si>
  <si>
    <t xml:space="preserve">20961152</t>
  </si>
  <si>
    <t xml:space="preserve">GE-850 71-VFDTR-71001</t>
  </si>
  <si>
    <t xml:space="preserve">RELEVADOR GE-850 71-VFDTR-71001</t>
  </si>
  <si>
    <t xml:space="preserve">20961153</t>
  </si>
  <si>
    <t xml:space="preserve">GE-869 71-MGB-71001</t>
  </si>
  <si>
    <t xml:space="preserve">RELEVADOR GE-869 71-MGB-71001</t>
  </si>
  <si>
    <t xml:space="preserve">20977865</t>
  </si>
  <si>
    <t xml:space="preserve">7SR5111-TDM18-IP-17 B</t>
  </si>
  <si>
    <t xml:space="preserve">RELEVADOR 7SR5111-TDM18-IP-17 B</t>
  </si>
  <si>
    <t xml:space="preserve">TRI-REF-DBP-08SCI-CBSCI-GA00101E</t>
  </si>
  <si>
    <t xml:space="preserve">DBSCM</t>
  </si>
  <si>
    <t xml:space="preserve">20977864</t>
  </si>
  <si>
    <t xml:space="preserve">7SR5111-TDM18-IP-16 B</t>
  </si>
  <si>
    <t xml:space="preserve">RELEVADOR 7SR5111-TDM18-IP-16 B</t>
  </si>
  <si>
    <t xml:space="preserve">TRI-REF-DBP-08SCI-CBSCI-GA00101D</t>
  </si>
  <si>
    <t xml:space="preserve">20977852</t>
  </si>
  <si>
    <t xml:space="preserve">7SR5111-TDM18-IP-04 A</t>
  </si>
  <si>
    <t xml:space="preserve">RELEVADOR 7SR5111-TDM18-IP-04 A</t>
  </si>
  <si>
    <t xml:space="preserve">TRI-REF-DBP-08SCI-CBSCI-GA00101C</t>
  </si>
  <si>
    <t xml:space="preserve">20977851</t>
  </si>
  <si>
    <t xml:space="preserve">7SR5111-TDM18-IP-03 A</t>
  </si>
  <si>
    <t xml:space="preserve">RELEVADOR 7SR5111-TDM18-IP-03 A</t>
  </si>
  <si>
    <t xml:space="preserve">TRI-REF-DBP-08SCI-CBSCI-GA00101B</t>
  </si>
  <si>
    <t xml:space="preserve">20977850</t>
  </si>
  <si>
    <t xml:space="preserve">7SR5111-TDM18-IP-02 A</t>
  </si>
  <si>
    <t xml:space="preserve">RELEVADOR 7SR5111-TDM18-IP-02 A</t>
  </si>
  <si>
    <t xml:space="preserve">TRI-REF-DBP-08SCI-CBSCI-GA00101A</t>
  </si>
  <si>
    <t xml:space="preserve">20984311</t>
  </si>
  <si>
    <t xml:space="preserve">REF615-MGA-88101</t>
  </si>
  <si>
    <t xml:space="preserve">RELEVADOR REF-615 MGA-88101</t>
  </si>
  <si>
    <t xml:space="preserve">TRI-REF-DBP-06TDA-SCARG-GA88101</t>
  </si>
  <si>
    <t xml:space="preserve">U-DE TRATAMIENTO DE AMINA SIN CO2 TREN-1</t>
  </si>
  <si>
    <t xml:space="preserve">DBTDA</t>
  </si>
  <si>
    <t xml:space="preserve">20984312</t>
  </si>
  <si>
    <t xml:space="preserve">REF615-MGA-88101R</t>
  </si>
  <si>
    <t xml:space="preserve">RELEVADOR REF-615 MGA-88101 R</t>
  </si>
  <si>
    <t xml:space="preserve">TRI-REF-DBP-06TDA-SCARG-GA88101R</t>
  </si>
  <si>
    <t xml:space="preserve">20984362</t>
  </si>
  <si>
    <t xml:space="preserve">SEL735-MGA-88101</t>
  </si>
  <si>
    <t xml:space="preserve">RELEVADOR SEL-735 MGA-88101</t>
  </si>
  <si>
    <t xml:space="preserve">20984363</t>
  </si>
  <si>
    <t xml:space="preserve">SEL735-MGA-88101R</t>
  </si>
  <si>
    <t xml:space="preserve">RELEVADOR SEL-735 MGA-88101 R</t>
  </si>
  <si>
    <t xml:space="preserve">20984313</t>
  </si>
  <si>
    <t xml:space="preserve">REF615-MGA-88201</t>
  </si>
  <si>
    <t xml:space="preserve">RELEVADOR REF-615 MGA-88201</t>
  </si>
  <si>
    <t xml:space="preserve">TRI-REF-DBP-06TDB-SCARG-GA88201</t>
  </si>
  <si>
    <t xml:space="preserve">U-DE TRATAMIENTO DE AMINA SIN CO2 TREN-2</t>
  </si>
  <si>
    <t xml:space="preserve">DBTDB</t>
  </si>
  <si>
    <t xml:space="preserve">20984314</t>
  </si>
  <si>
    <t xml:space="preserve">REF615-MGA-88201R</t>
  </si>
  <si>
    <t xml:space="preserve">RELEVADOR REF-615 MGA-88201 R</t>
  </si>
  <si>
    <t xml:space="preserve">TRI-REF-DBP-06TDB-SCARG-GA88201R</t>
  </si>
  <si>
    <t xml:space="preserve">20984364</t>
  </si>
  <si>
    <t xml:space="preserve">SEL735-MGA-88201</t>
  </si>
  <si>
    <t xml:space="preserve">RELEVADOR SEL-735 MGA-88201</t>
  </si>
  <si>
    <t xml:space="preserve">20984365</t>
  </si>
  <si>
    <t xml:space="preserve">SEL735-MGA-88201R</t>
  </si>
  <si>
    <t xml:space="preserve">RELEVADOR SEL-735 MGA-88201 R</t>
  </si>
  <si>
    <t xml:space="preserve">20958186</t>
  </si>
  <si>
    <t xml:space="preserve">7SR57-M-GA-89029 B</t>
  </si>
  <si>
    <t xml:space="preserve">RELEVADOR 7SR57-M-GA-89029 B</t>
  </si>
  <si>
    <t xml:space="preserve">TRI-REF-DBP-07TDE-SCADB-GA89029B</t>
  </si>
  <si>
    <t xml:space="preserve">DBTDE</t>
  </si>
  <si>
    <t xml:space="preserve">20958185</t>
  </si>
  <si>
    <t xml:space="preserve">7SR57-M-GA-89007 A</t>
  </si>
  <si>
    <t xml:space="preserve">RELEVADOR 7SR57-M-GA-89007 A</t>
  </si>
  <si>
    <t xml:space="preserve">TRI-REF-DBP-07TDE-SCADB-GA89007A</t>
  </si>
  <si>
    <t xml:space="preserve">20958184</t>
  </si>
  <si>
    <t xml:space="preserve">7SR57-M-GA-89010 F</t>
  </si>
  <si>
    <t xml:space="preserve">RELEVADOR 7SR57-M-GA-89010 F</t>
  </si>
  <si>
    <t xml:space="preserve">TRI-REF-DBP-07TDE-SCADB-GA89010F</t>
  </si>
  <si>
    <t xml:space="preserve">20958183</t>
  </si>
  <si>
    <t xml:space="preserve">7SR57-M-GA-89010 B</t>
  </si>
  <si>
    <t xml:space="preserve">RELEVADOR 7SR57-M-GA-89010 B</t>
  </si>
  <si>
    <t xml:space="preserve">TRI-REF-DBP-07TDE-SCADB-GA89010B</t>
  </si>
  <si>
    <t xml:space="preserve">20958182</t>
  </si>
  <si>
    <t xml:space="preserve">7SR57-M-GA-89010 D</t>
  </si>
  <si>
    <t xml:space="preserve">RELEVADOR 7SR57-M-GA-89010 D</t>
  </si>
  <si>
    <t xml:space="preserve">TRI-REF-DBP-07TDE-SCADB-GA89010D</t>
  </si>
  <si>
    <t xml:space="preserve">20958181</t>
  </si>
  <si>
    <t xml:space="preserve">7SR57-M-GA-89007 B</t>
  </si>
  <si>
    <t xml:space="preserve">RELEVADOR 7SR57-M-GA-89007 B</t>
  </si>
  <si>
    <t xml:space="preserve">TRI-REF-DBP-07TDE-SCADB-GA89007B</t>
  </si>
  <si>
    <t xml:space="preserve">20958180</t>
  </si>
  <si>
    <t xml:space="preserve">7SR57-M-GA-89010 A</t>
  </si>
  <si>
    <t xml:space="preserve">RELEVADOR 7SR57-M-GA-89010 A</t>
  </si>
  <si>
    <t xml:space="preserve">TRI-REF-DBP-07TDE-SCADB-GA89010A</t>
  </si>
  <si>
    <t xml:space="preserve">20958179</t>
  </si>
  <si>
    <t xml:space="preserve">7SR57-M-GA-89010 C</t>
  </si>
  <si>
    <t xml:space="preserve">RELEVADOR 7SR57-M-GA-89010 C</t>
  </si>
  <si>
    <t xml:space="preserve">TRI-REF-DBP-07TDE-SCADB-GA89010C</t>
  </si>
  <si>
    <t xml:space="preserve">20958178</t>
  </si>
  <si>
    <t xml:space="preserve">7SR57-M-GA-89010 E</t>
  </si>
  <si>
    <t xml:space="preserve">RELEVADOR 7SR57-M-GA-89010 E</t>
  </si>
  <si>
    <t xml:space="preserve">TRI-REF-DBP-07TDE-SCADB-GA89010E</t>
  </si>
  <si>
    <t xml:space="preserve">20958177</t>
  </si>
  <si>
    <t xml:space="preserve">7SR57-M-GA-89029 A</t>
  </si>
  <si>
    <t xml:space="preserve">RELEVADOR 7SR57-M-GA-89029 A</t>
  </si>
  <si>
    <t xml:space="preserve">TRI-REF-DBP-07TDE-SCADB-GA89029A</t>
  </si>
  <si>
    <t xml:space="preserve">20989877</t>
  </si>
  <si>
    <t xml:space="preserve">SEL735-MGA-88509</t>
  </si>
  <si>
    <t xml:space="preserve">RELEVADOR SEL-735 MGA-88509</t>
  </si>
  <si>
    <t xml:space="preserve">TRI-REF-DBP-06TDF-SALMC-GA88509</t>
  </si>
  <si>
    <t xml:space="preserve">DBTDF</t>
  </si>
  <si>
    <t xml:space="preserve">20989876</t>
  </si>
  <si>
    <t xml:space="preserve">REF615-MGA-88509</t>
  </si>
  <si>
    <t xml:space="preserve">RELEVADOR REF-615 MGA-88509</t>
  </si>
  <si>
    <t xml:space="preserve">20989874</t>
  </si>
  <si>
    <t xml:space="preserve">REF615-MGA-88508</t>
  </si>
  <si>
    <t xml:space="preserve">RELEVADOR REF-615 MGA-88508</t>
  </si>
  <si>
    <t xml:space="preserve">TRI-REF-DBP-06TDF-SALMC-GA88508</t>
  </si>
  <si>
    <t xml:space="preserve">20989875</t>
  </si>
  <si>
    <t xml:space="preserve">SEL735-MGA-88508</t>
  </si>
  <si>
    <t xml:space="preserve">RELEVADOR SEL-735 MGA-88508</t>
  </si>
  <si>
    <t xml:space="preserve">20965312</t>
  </si>
  <si>
    <t xml:space="preserve">REM615-MBV-00205 G</t>
  </si>
  <si>
    <t xml:space="preserve">RELEVADOR REM615-MBV-00205 G</t>
  </si>
  <si>
    <t xml:space="preserve">TRI-REF-DBP-08TEA-CT205-BV00205G</t>
  </si>
  <si>
    <t xml:space="preserve">SECCION TORRE DE ENFRIAMIENTO CT-00205</t>
  </si>
  <si>
    <t xml:space="preserve">DBTEA</t>
  </si>
  <si>
    <t xml:space="preserve">20965311</t>
  </si>
  <si>
    <t xml:space="preserve">REM615-MBV-00205 F</t>
  </si>
  <si>
    <t xml:space="preserve">RELEVADOR REM615-MBV-00205 F</t>
  </si>
  <si>
    <t xml:space="preserve">TRI-REF-DBP-08TEA-CT205-BV00205F</t>
  </si>
  <si>
    <t xml:space="preserve">20965310</t>
  </si>
  <si>
    <t xml:space="preserve">REM615-MBV-00205 E</t>
  </si>
  <si>
    <t xml:space="preserve">RELEVADOR REM615-MBV-00205 E</t>
  </si>
  <si>
    <t xml:space="preserve">TRI-REF-DBP-08TEA-CT205-BV00205E</t>
  </si>
  <si>
    <t xml:space="preserve">20965313</t>
  </si>
  <si>
    <t xml:space="preserve">REM615-MBV-00205 H</t>
  </si>
  <si>
    <t xml:space="preserve">RELEVADOR REM615-MBV-00205 H</t>
  </si>
  <si>
    <t xml:space="preserve">TRI-REF-DBP-08TEA-CT205-BV00205H</t>
  </si>
  <si>
    <t xml:space="preserve">20965314</t>
  </si>
  <si>
    <t xml:space="preserve">REM615-MBV-00205 I</t>
  </si>
  <si>
    <t xml:space="preserve">RELEVADOR REM615-MBV-00205 I</t>
  </si>
  <si>
    <t xml:space="preserve">TRI-REF-DBP-08TEA-CT205-BV00205I</t>
  </si>
  <si>
    <t xml:space="preserve">20965326</t>
  </si>
  <si>
    <t xml:space="preserve">REM615-MGA-00205 A</t>
  </si>
  <si>
    <t xml:space="preserve">RELEVADOR REM615-MGA-00205 A</t>
  </si>
  <si>
    <t xml:space="preserve">TRI-REF-DBP-08TEA-CT205-GA00205A</t>
  </si>
  <si>
    <t xml:space="preserve">20965327</t>
  </si>
  <si>
    <t xml:space="preserve">REM615-MGA-00205 B</t>
  </si>
  <si>
    <t xml:space="preserve">RELEVADOR REM615-MGA-00205 B</t>
  </si>
  <si>
    <t xml:space="preserve">TRI-REF-DBP-08TEA-CT205-GA00205B</t>
  </si>
  <si>
    <t xml:space="preserve">20965309</t>
  </si>
  <si>
    <t xml:space="preserve">REM615-MBV-00205 D</t>
  </si>
  <si>
    <t xml:space="preserve">RELEVADOR REM615-MBV-00205 D</t>
  </si>
  <si>
    <t xml:space="preserve">TRI-REF-DBP-08TEA-CT205-BV00205D</t>
  </si>
  <si>
    <t xml:space="preserve">20965308</t>
  </si>
  <si>
    <t xml:space="preserve">REM615-MBV-00205 C</t>
  </si>
  <si>
    <t xml:space="preserve">RELEVADOR REM615-MBV-00205 C</t>
  </si>
  <si>
    <t xml:space="preserve">TRI-REF-DBP-08TEA-CT205-BV00205C</t>
  </si>
  <si>
    <t xml:space="preserve">20965307</t>
  </si>
  <si>
    <t xml:space="preserve">REM615-MBV-00205 B</t>
  </si>
  <si>
    <t xml:space="preserve">RELEVADOR REM615-MBV-00205 B</t>
  </si>
  <si>
    <t xml:space="preserve">TRI-REF-DBP-08TEA-CT205-BV00205B</t>
  </si>
  <si>
    <t xml:space="preserve">20965306</t>
  </si>
  <si>
    <t xml:space="preserve">REM615-MBV-00205 A</t>
  </si>
  <si>
    <t xml:space="preserve">RELEVADOR REM615-MBV-00205 A</t>
  </si>
  <si>
    <t xml:space="preserve">TRI-REF-DBP-08TEA-CT205-BV00205A</t>
  </si>
  <si>
    <t xml:space="preserve">20965305</t>
  </si>
  <si>
    <t xml:space="preserve">REM615-GAM-11003 D</t>
  </si>
  <si>
    <t xml:space="preserve">RELEVADOR REM615-GAM-11003 D</t>
  </si>
  <si>
    <t xml:space="preserve">TRI-REF-DBP-08TEA-CT202-GA11003D</t>
  </si>
  <si>
    <t xml:space="preserve">20965304</t>
  </si>
  <si>
    <t xml:space="preserve">REM615-GAM-11003 C</t>
  </si>
  <si>
    <t xml:space="preserve">RELEVADOR REM615-GAM-11003 C</t>
  </si>
  <si>
    <t xml:space="preserve">TRI-REF-DBP-08TEA-CT202-GA11003C</t>
  </si>
  <si>
    <t xml:space="preserve">20965303</t>
  </si>
  <si>
    <t xml:space="preserve">REM615-GAM-11003 B</t>
  </si>
  <si>
    <t xml:space="preserve">RELEVADOR REM615-GAM-11003 B</t>
  </si>
  <si>
    <t xml:space="preserve">TRI-REF-DBP-08TEA-CT202-GA11003B</t>
  </si>
  <si>
    <t xml:space="preserve">20965328</t>
  </si>
  <si>
    <t xml:space="preserve">REM615-MGA-00205 C</t>
  </si>
  <si>
    <t xml:space="preserve">RELEVADOR REM615-MGA-00205 C</t>
  </si>
  <si>
    <t xml:space="preserve">TRI-REF-DBP-08TEA-CT205-GA00205C</t>
  </si>
  <si>
    <t xml:space="preserve">20965329</t>
  </si>
  <si>
    <t xml:space="preserve">REM615-MGA-00205 R</t>
  </si>
  <si>
    <t xml:space="preserve">RELEVADOR REM615-MGA-00205 R</t>
  </si>
  <si>
    <t xml:space="preserve">TRI-REF-DBP-08TEA-CT205-GA00205R</t>
  </si>
  <si>
    <t xml:space="preserve">20965330</t>
  </si>
  <si>
    <t xml:space="preserve">REM615-MGA-00215 A</t>
  </si>
  <si>
    <t xml:space="preserve">RELEVADOR REM615-MGA-00215 A</t>
  </si>
  <si>
    <t xml:space="preserve">TRI-REF-DBP-08TEA-CT205-GA00215A</t>
  </si>
  <si>
    <t xml:space="preserve">20965331</t>
  </si>
  <si>
    <t xml:space="preserve">REM615-MGA-00215 B</t>
  </si>
  <si>
    <t xml:space="preserve">RELEVADOR REM615-MGA-00215 B</t>
  </si>
  <si>
    <t xml:space="preserve">TRI-REF-DBP-08TEA-CT205-GA00215B</t>
  </si>
  <si>
    <t xml:space="preserve">20965332</t>
  </si>
  <si>
    <t xml:space="preserve">REM615-MGA-00215 C</t>
  </si>
  <si>
    <t xml:space="preserve">RELEVADOR REM615-MGA-00215 C</t>
  </si>
  <si>
    <t xml:space="preserve">TRI-REF-DBP-08TEA-CT205-GA00215C</t>
  </si>
  <si>
    <t xml:space="preserve">20965333</t>
  </si>
  <si>
    <t xml:space="preserve">REM615-MGA-00215 D</t>
  </si>
  <si>
    <t xml:space="preserve">RELEVADOR REM615-MGA-00215 D</t>
  </si>
  <si>
    <t xml:space="preserve">TRI-REF-DBP-08TEA-CT205-GA00215D</t>
  </si>
  <si>
    <t xml:space="preserve">20965334</t>
  </si>
  <si>
    <t xml:space="preserve">REM615-MGA-00215 R</t>
  </si>
  <si>
    <t xml:space="preserve">RELEVADOR REM615-MGA-00215 R</t>
  </si>
  <si>
    <t xml:space="preserve">TRI-REF-DBP-08TEA-CT205-GA00215R</t>
  </si>
  <si>
    <t xml:space="preserve">20965335</t>
  </si>
  <si>
    <t xml:space="preserve">REM615-MGA-00225 A</t>
  </si>
  <si>
    <t xml:space="preserve">RELEVADOR REM615-MGA-00225 A</t>
  </si>
  <si>
    <t xml:space="preserve">TRI-REF-DBP-08TEA-CT205-GA00225A</t>
  </si>
  <si>
    <t xml:space="preserve">20965336</t>
  </si>
  <si>
    <t xml:space="preserve">REM615-MGA-00225 R</t>
  </si>
  <si>
    <t xml:space="preserve">RELEVADOR REM615-MGA-00225 R</t>
  </si>
  <si>
    <t xml:space="preserve">TRI-REF-DBP-08TEA-CT205-GA00225R</t>
  </si>
  <si>
    <t xml:space="preserve">20965337</t>
  </si>
  <si>
    <t xml:space="preserve">REM620-GAM-00201 A</t>
  </si>
  <si>
    <t xml:space="preserve">RELEVADOR REM620-GAM-00201 A</t>
  </si>
  <si>
    <t xml:space="preserve">TRI-REF-DBP-08TEA-CT201-GA00201A</t>
  </si>
  <si>
    <t xml:space="preserve">20965338</t>
  </si>
  <si>
    <t xml:space="preserve">REM620-GAM-00201 B</t>
  </si>
  <si>
    <t xml:space="preserve">RELEVADOR REM620-GAM-00201 B</t>
  </si>
  <si>
    <t xml:space="preserve">TRI-REF-DBP-08TEA-CT201-GA00201B</t>
  </si>
  <si>
    <t xml:space="preserve">20965339</t>
  </si>
  <si>
    <t xml:space="preserve">REM620-GAM-00201 C</t>
  </si>
  <si>
    <t xml:space="preserve">RELEVADOR REM620-GAM-00201 C</t>
  </si>
  <si>
    <t xml:space="preserve">TRI-REF-DBP-08TEA-CT201-GA00201C</t>
  </si>
  <si>
    <t xml:space="preserve">20965340</t>
  </si>
  <si>
    <t xml:space="preserve">REM620-GAM-00201 D</t>
  </si>
  <si>
    <t xml:space="preserve">RELEVADOR REM620-GAM-00201 D</t>
  </si>
  <si>
    <t xml:space="preserve">TRI-REF-DBP-08TEA-CT201-GA00201D</t>
  </si>
  <si>
    <t xml:space="preserve">20965341</t>
  </si>
  <si>
    <t xml:space="preserve">REM620-GAM-00201 E</t>
  </si>
  <si>
    <t xml:space="preserve">RELEVADOR REM620-GAM-00201 E</t>
  </si>
  <si>
    <t xml:space="preserve">TRI-REF-DBP-08TEA-CT201-GA00201E</t>
  </si>
  <si>
    <t xml:space="preserve">20965302</t>
  </si>
  <si>
    <t xml:space="preserve">REM615-GAM-11003 A</t>
  </si>
  <si>
    <t xml:space="preserve">RELEVADOR REM615-GAM-11003 A</t>
  </si>
  <si>
    <t xml:space="preserve">TRI-REF-DBP-08TEA-CT202-GA11003A</t>
  </si>
  <si>
    <t xml:space="preserve">20965137</t>
  </si>
  <si>
    <t xml:space="preserve">7SR5711-MBV-00203 A</t>
  </si>
  <si>
    <t xml:space="preserve">RELEVADOR 7SR5711-MBV-00203 A</t>
  </si>
  <si>
    <t xml:space="preserve">TRI-REF-DBP-08TEA-CT203-BV00203A</t>
  </si>
  <si>
    <t xml:space="preserve">20965138</t>
  </si>
  <si>
    <t xml:space="preserve">7SR5711-MBV-00203 B</t>
  </si>
  <si>
    <t xml:space="preserve">RELEVADOR 7SR5711-MBV-00203 B</t>
  </si>
  <si>
    <t xml:space="preserve">TRI-REF-DBP-08TEA-CT203-BV00203B</t>
  </si>
  <si>
    <t xml:space="preserve">20965139</t>
  </si>
  <si>
    <t xml:space="preserve">7SR5711-MBV-00203 C</t>
  </si>
  <si>
    <t xml:space="preserve">RELEVADOR 7SR5711-MBV-00203 C</t>
  </si>
  <si>
    <t xml:space="preserve">TRI-REF-DBP-08TEA-CT203-BV00203C</t>
  </si>
  <si>
    <t xml:space="preserve">20965140</t>
  </si>
  <si>
    <t xml:space="preserve">7SR5711-MBV-00203 D</t>
  </si>
  <si>
    <t xml:space="preserve">RELEVADOR 7SR5711-MBV-00203 D</t>
  </si>
  <si>
    <t xml:space="preserve">TRI-REF-DBP-08TEA-CT203-BV00203D</t>
  </si>
  <si>
    <t xml:space="preserve">20965141</t>
  </si>
  <si>
    <t xml:space="preserve">7SR5711-MBV-00203 E</t>
  </si>
  <si>
    <t xml:space="preserve">RELEVADOR 7SR5711-MBV-00203 E</t>
  </si>
  <si>
    <t xml:space="preserve">TRI-REF-DBP-08TEA-CT203-BV00203E</t>
  </si>
  <si>
    <t xml:space="preserve">20965142</t>
  </si>
  <si>
    <t xml:space="preserve">7SR5711-MBV-00203 F</t>
  </si>
  <si>
    <t xml:space="preserve">RELEVADOR 7SR5711-MBV-00203 F</t>
  </si>
  <si>
    <t xml:space="preserve">TRI-REF-DBP-08TEA-CT203-BV00203F</t>
  </si>
  <si>
    <t xml:space="preserve">20965143</t>
  </si>
  <si>
    <t xml:space="preserve">7SR5711-MBV-00203 G</t>
  </si>
  <si>
    <t xml:space="preserve">RELEVADOR 7SR5711-MBV-00203 G</t>
  </si>
  <si>
    <t xml:space="preserve">TRI-REF-DBP-08TEA-CT203-BV00203G</t>
  </si>
  <si>
    <t xml:space="preserve">20965144</t>
  </si>
  <si>
    <t xml:space="preserve">7SR5711-MBV-00203 H</t>
  </si>
  <si>
    <t xml:space="preserve">RELEVADOR 7SR5711-MBV-00203 H</t>
  </si>
  <si>
    <t xml:space="preserve">TRI-REF-DBP-08TEA-CT203-BV00203H</t>
  </si>
  <si>
    <t xml:space="preserve">20965145</t>
  </si>
  <si>
    <t xml:space="preserve">7SR5711-MBV-00203 I</t>
  </si>
  <si>
    <t xml:space="preserve">RELEVADOR 7SR5711-MBV-00203 I</t>
  </si>
  <si>
    <t xml:space="preserve">TRI-REF-DBP-08TEA-CT203-BV00203I</t>
  </si>
  <si>
    <t xml:space="preserve">20965146</t>
  </si>
  <si>
    <t xml:space="preserve">7SR5711-MGA-00203 A</t>
  </si>
  <si>
    <t xml:space="preserve">RELEVADOR 7SR5711-MGA-00203 A</t>
  </si>
  <si>
    <t xml:space="preserve">TRI-REF-DBP-08TEA-CT203-GA00203A</t>
  </si>
  <si>
    <t xml:space="preserve">20965147</t>
  </si>
  <si>
    <t xml:space="preserve">7SR5711-MGA-00203 B</t>
  </si>
  <si>
    <t xml:space="preserve">RELEVADOR 7SR5711-MGA-00203 B</t>
  </si>
  <si>
    <t xml:space="preserve">TRI-REF-DBP-08TEA-CT203-GA00203B</t>
  </si>
  <si>
    <t xml:space="preserve">20965148</t>
  </si>
  <si>
    <t xml:space="preserve">7SR5711-MGA-00203 C</t>
  </si>
  <si>
    <t xml:space="preserve">RELEVADOR 7SR5711-MGA-00203 C</t>
  </si>
  <si>
    <t xml:space="preserve">TRI-REF-DBP-08TEA-CT203-GA00203C</t>
  </si>
  <si>
    <t xml:space="preserve">20965149</t>
  </si>
  <si>
    <t xml:space="preserve">7SR5711-MGA-00203 D</t>
  </si>
  <si>
    <t xml:space="preserve">RELEVADOR 7SR5711-MGA-00203 D</t>
  </si>
  <si>
    <t xml:space="preserve">TRI-REF-DBP-08TEA-CT203-GA00203D</t>
  </si>
  <si>
    <t xml:space="preserve">20965150</t>
  </si>
  <si>
    <t xml:space="preserve">7SR5711-MGA-00203 R</t>
  </si>
  <si>
    <t xml:space="preserve">RELEVADOR 7SR5711-MGA-00203 R</t>
  </si>
  <si>
    <t xml:space="preserve">TRI-REF-DBP-08TEA-CT203-GA00203R</t>
  </si>
  <si>
    <t xml:space="preserve">20965151</t>
  </si>
  <si>
    <t xml:space="preserve">7SR5711-MGA-00213 A</t>
  </si>
  <si>
    <t xml:space="preserve">RELEVADOR 7SR5711-MGA-00213 A</t>
  </si>
  <si>
    <t xml:space="preserve">TRI-REF-DBP-08TEA-CT203-GA00213A</t>
  </si>
  <si>
    <t xml:space="preserve">20965152</t>
  </si>
  <si>
    <t xml:space="preserve">7SR5711-MGA-00213 B</t>
  </si>
  <si>
    <t xml:space="preserve">RELEVADOR 7SR5711-MGA-00213 B</t>
  </si>
  <si>
    <t xml:space="preserve">TRI-REF-DBP-08TEA-CT203-GA00213B</t>
  </si>
  <si>
    <t xml:space="preserve">20965153</t>
  </si>
  <si>
    <t xml:space="preserve">7SR5711-MGA-00213 R</t>
  </si>
  <si>
    <t xml:space="preserve">RELEVADOR 7SR5711-MGA-00213 R</t>
  </si>
  <si>
    <t xml:space="preserve">TRI-REF-DBP-08TEA-CT203-GA00213R</t>
  </si>
  <si>
    <t xml:space="preserve">20965165</t>
  </si>
  <si>
    <t xml:space="preserve">REA101-GAM-11003 C</t>
  </si>
  <si>
    <t xml:space="preserve">RELEVADOR REA101-GAM-11003 C</t>
  </si>
  <si>
    <t xml:space="preserve">20965166</t>
  </si>
  <si>
    <t xml:space="preserve">REA101-GAM-11003 D</t>
  </si>
  <si>
    <t xml:space="preserve">RELEVADOR REA101-GAM-11003 D</t>
  </si>
  <si>
    <t xml:space="preserve">20965189</t>
  </si>
  <si>
    <t xml:space="preserve">REA101-MBV-00205 B</t>
  </si>
  <si>
    <t xml:space="preserve">RELEVADOR REA101-MBV-00205 B</t>
  </si>
  <si>
    <t xml:space="preserve">20965190</t>
  </si>
  <si>
    <t xml:space="preserve">REA101-MBV-00205 C</t>
  </si>
  <si>
    <t xml:space="preserve">RELEVADOR REA101-MBV-00205 C</t>
  </si>
  <si>
    <t xml:space="preserve">20965295</t>
  </si>
  <si>
    <t xml:space="preserve">REM615-GAM-11001 A</t>
  </si>
  <si>
    <t xml:space="preserve">RELEVADOR REM615-GAM-11001 A</t>
  </si>
  <si>
    <t xml:space="preserve">TRI-REF-DBP-08TEA-CT202-GA11001A</t>
  </si>
  <si>
    <t xml:space="preserve">20965296</t>
  </si>
  <si>
    <t xml:space="preserve">REM615-GAM-11001 B</t>
  </si>
  <si>
    <t xml:space="preserve">RELEVADOR REM615-GAM-11001 B</t>
  </si>
  <si>
    <t xml:space="preserve">TRI-REF-DBP-08TEA-CT202-GA11001B</t>
  </si>
  <si>
    <t xml:space="preserve">20965297</t>
  </si>
  <si>
    <t xml:space="preserve">REM615-GAM-11001 C</t>
  </si>
  <si>
    <t xml:space="preserve">RELEVADOR REM615-GAM-11001 C</t>
  </si>
  <si>
    <t xml:space="preserve">TRI-REF-DBP-08TEA-CT202-GA11001C</t>
  </si>
  <si>
    <t xml:space="preserve">20965298</t>
  </si>
  <si>
    <t xml:space="preserve">REM615-GAM-11002 A</t>
  </si>
  <si>
    <t xml:space="preserve">RELEVADOR REM615-GAM-11002 A</t>
  </si>
  <si>
    <t xml:space="preserve">TRI-REF-DBP-08TEA-CT202-GA11002A</t>
  </si>
  <si>
    <t xml:space="preserve">20965299</t>
  </si>
  <si>
    <t xml:space="preserve">REM615-GAM-11002 B</t>
  </si>
  <si>
    <t xml:space="preserve">RELEVADOR REM615-GAM-11002 B</t>
  </si>
  <si>
    <t xml:space="preserve">TRI-REF-DBP-08TEA-CT202-GA11002B</t>
  </si>
  <si>
    <t xml:space="preserve">20965300</t>
  </si>
  <si>
    <t xml:space="preserve">REM615-GAM-11002 C</t>
  </si>
  <si>
    <t xml:space="preserve">RELEVADOR REM615-GAM-11002 C</t>
  </si>
  <si>
    <t xml:space="preserve">TRI-REF-DBP-08TEA-CT202-GA11002C</t>
  </si>
  <si>
    <t xml:space="preserve">20965301</t>
  </si>
  <si>
    <t xml:space="preserve">REM615-GAM-11002 D</t>
  </si>
  <si>
    <t xml:space="preserve">RELEVADOR REM615-GAM-11002 D</t>
  </si>
  <si>
    <t xml:space="preserve">TRI-REF-DBP-08TEA-CT202-GA11002D</t>
  </si>
  <si>
    <t xml:space="preserve">CATÁLOGOS DE NORMALIZACIÓN (editables: texto azul)</t>
  </si>
  <si>
    <t xml:space="preserve">Los datos se normalizan con estos catálogos. Si cambia un valor azul, Datos y todas las tablas se recalculan.</t>
  </si>
  <si>
    <t xml:space="preserve">Marca (origen SAP)</t>
  </si>
  <si>
    <t xml:space="preserve">Marca normalizada</t>
  </si>
  <si>
    <t xml:space="preserve">Modelo (origen SAP)</t>
  </si>
  <si>
    <t xml:space="preserve">Modelo normalizado</t>
  </si>
  <si>
    <t xml:space="preserve">¿Genérico / incompleto?</t>
  </si>
  <si>
    <t xml:space="preserve">Función (origen SAP)</t>
  </si>
  <si>
    <t xml:space="preserve">Función normalizada</t>
  </si>
  <si>
    <t xml:space="preserve">Clave (área|código)</t>
  </si>
  <si>
    <t xml:space="preserve">Código SAP</t>
  </si>
  <si>
    <t xml:space="preserve">Relevadores</t>
  </si>
  <si>
    <t xml:space="preserve">Listas de filtros</t>
  </si>
  <si>
    <t xml:space="preserve">Sectores</t>
  </si>
  <si>
    <t xml:space="preserve">Tipo ubicación</t>
  </si>
  <si>
    <t xml:space="preserve">Criterio sector</t>
  </si>
  <si>
    <t xml:space="preserve">No</t>
  </si>
  <si>
    <t xml:space="preserve">Control y protección</t>
  </si>
  <si>
    <t xml:space="preserve">01SEL|S_012</t>
  </si>
  <si>
    <t xml:space="preserve">S_012</t>
  </si>
  <si>
    <t xml:space="preserve">Local SAP</t>
  </si>
  <si>
    <t xml:space="preserve">Medición</t>
  </si>
  <si>
    <t xml:space="preserve">01SEL|S12_1</t>
  </si>
  <si>
    <t xml:space="preserve">S12_1</t>
  </si>
  <si>
    <t xml:space="preserve">Subestación eléctrica</t>
  </si>
  <si>
    <t xml:space="preserve">Protección y medición</t>
  </si>
  <si>
    <t xml:space="preserve">02SEL|S_015</t>
  </si>
  <si>
    <t xml:space="preserve">S_015</t>
  </si>
  <si>
    <t xml:space="preserve">Área de proceso</t>
  </si>
  <si>
    <t xml:space="preserve">02SEL|S15_1</t>
  </si>
  <si>
    <t xml:space="preserve">S15_1</t>
  </si>
  <si>
    <t xml:space="preserve">Multimedidor</t>
  </si>
  <si>
    <t xml:space="preserve">03SEL|S_007</t>
  </si>
  <si>
    <t xml:space="preserve">S_007</t>
  </si>
  <si>
    <t xml:space="preserve">Protección</t>
  </si>
  <si>
    <t xml:space="preserve">03SEL|S_014</t>
  </si>
  <si>
    <t xml:space="preserve">S_014</t>
  </si>
  <si>
    <t xml:space="preserve">Protección de motor</t>
  </si>
  <si>
    <t xml:space="preserve">04SEL|S_023</t>
  </si>
  <si>
    <t xml:space="preserve">S_023</t>
  </si>
  <si>
    <t xml:space="preserve">Protección de transformador</t>
  </si>
  <si>
    <t xml:space="preserve">04SEL|S_024</t>
  </si>
  <si>
    <t xml:space="preserve">S_024</t>
  </si>
  <si>
    <t xml:space="preserve">Protección falla contra arco</t>
  </si>
  <si>
    <t xml:space="preserve">04SEL|S_026</t>
  </si>
  <si>
    <t xml:space="preserve">S_026</t>
  </si>
  <si>
    <t xml:space="preserve">04SEL|S_027</t>
  </si>
  <si>
    <t xml:space="preserve">S_027</t>
  </si>
  <si>
    <t xml:space="preserve">05SEL|S_003</t>
  </si>
  <si>
    <t xml:space="preserve">S_003</t>
  </si>
  <si>
    <t xml:space="preserve">05SEL|S_004</t>
  </si>
  <si>
    <t xml:space="preserve">S_004</t>
  </si>
  <si>
    <t xml:space="preserve">Sí</t>
  </si>
  <si>
    <t xml:space="preserve">05SEL|S_005</t>
  </si>
  <si>
    <t xml:space="preserve">S_005</t>
  </si>
  <si>
    <t xml:space="preserve">05SEL|S_006</t>
  </si>
  <si>
    <t xml:space="preserve">S_006</t>
  </si>
  <si>
    <t xml:space="preserve">05SEL|S_011</t>
  </si>
  <si>
    <t xml:space="preserve">S_011</t>
  </si>
  <si>
    <t xml:space="preserve">06SEL|S_002</t>
  </si>
  <si>
    <t xml:space="preserve">S_002</t>
  </si>
  <si>
    <t xml:space="preserve">06SEL|S_008</t>
  </si>
  <si>
    <t xml:space="preserve">S_008</t>
  </si>
  <si>
    <t xml:space="preserve">06SEL|S_009</t>
  </si>
  <si>
    <t xml:space="preserve">S_009</t>
  </si>
  <si>
    <t xml:space="preserve">06SEL|S_028</t>
  </si>
  <si>
    <t xml:space="preserve">S_028</t>
  </si>
  <si>
    <t xml:space="preserve">06SEL|S_029</t>
  </si>
  <si>
    <t xml:space="preserve">S_029</t>
  </si>
  <si>
    <t xml:space="preserve">07SEL|CE191</t>
  </si>
  <si>
    <t xml:space="preserve">CE191</t>
  </si>
  <si>
    <t xml:space="preserve">07SEL|S_010</t>
  </si>
  <si>
    <t xml:space="preserve">S_010</t>
  </si>
  <si>
    <t xml:space="preserve">07SEL|S_013</t>
  </si>
  <si>
    <t xml:space="preserve">S_013</t>
  </si>
  <si>
    <t xml:space="preserve">07SEL|S19_1</t>
  </si>
  <si>
    <t xml:space="preserve">S19_1</t>
  </si>
  <si>
    <t xml:space="preserve">07SEL|S_020</t>
  </si>
  <si>
    <t xml:space="preserve">S_020</t>
  </si>
  <si>
    <t xml:space="preserve">07SEL|S20_1</t>
  </si>
  <si>
    <t xml:space="preserve">S20_1</t>
  </si>
  <si>
    <t xml:space="preserve">07SEL|S_021</t>
  </si>
  <si>
    <t xml:space="preserve">S_021</t>
  </si>
  <si>
    <t xml:space="preserve">07SEL|S21_1</t>
  </si>
  <si>
    <t xml:space="preserve">S21_1</t>
  </si>
  <si>
    <t xml:space="preserve">07SEL|S_022</t>
  </si>
  <si>
    <t xml:space="preserve">S_022</t>
  </si>
  <si>
    <t xml:space="preserve">07SEL|S_033</t>
  </si>
  <si>
    <t xml:space="preserve">S_033</t>
  </si>
  <si>
    <t xml:space="preserve">08SEL|S_001</t>
  </si>
  <si>
    <t xml:space="preserve">S_001</t>
  </si>
  <si>
    <t xml:space="preserve">08SEL|S_016</t>
  </si>
  <si>
    <t xml:space="preserve">S_016</t>
  </si>
  <si>
    <t xml:space="preserve">08SEL|S_017</t>
  </si>
  <si>
    <t xml:space="preserve">S_017</t>
  </si>
  <si>
    <t xml:space="preserve">08SEL|S_018</t>
  </si>
  <si>
    <t xml:space="preserve">S_018</t>
  </si>
  <si>
    <t xml:space="preserve">08SEL|S18_1</t>
  </si>
  <si>
    <t xml:space="preserve">S18_1</t>
  </si>
  <si>
    <t xml:space="preserve">08SEL|S_019</t>
  </si>
  <si>
    <t xml:space="preserve">S_019</t>
  </si>
  <si>
    <t xml:space="preserve">08SEL|S_025</t>
  </si>
  <si>
    <t xml:space="preserve">S_025</t>
  </si>
  <si>
    <t xml:space="preserve">08SEL|S_030</t>
  </si>
  <si>
    <t xml:space="preserve">S_030</t>
  </si>
  <si>
    <t xml:space="preserve">08SEL|SEP01</t>
  </si>
  <si>
    <t xml:space="preserve">SEP01</t>
  </si>
  <si>
    <t xml:space="preserve">08SEL|SEP02</t>
  </si>
  <si>
    <t xml:space="preserve">SEP02</t>
  </si>
  <si>
    <t xml:space="preserve">Nota: el nombre de subestación se dedujo del código SAP de la ubicación técnica (S_012→SE-12, S12_1→SE-12-1, SEP01→SEP-01, CE191→CE-19-1). Edite la columna N si el nombre oficial es otro.</t>
  </si>
  <si>
    <t xml:space="preserve">CALIDAD DE DATOS Y SUPUESTOS</t>
  </si>
  <si>
    <t xml:space="preserve">Los conteos son fórmulas sobre la hoja Datos. Las listas de detalle son una fotografía del archivo cargado.</t>
  </si>
  <si>
    <t xml:space="preserve">Verificación</t>
  </si>
  <si>
    <t xml:space="preserve">Registros</t>
  </si>
  <si>
    <t xml:space="preserve">Efecto en el análisis / acción</t>
  </si>
  <si>
    <t xml:space="preserve">Relevadores sin marca, modelo, función ni voltaje (campos de ficha vacíos)</t>
  </si>
  <si>
    <t xml:space="preserve">Aparecen como "SIN DATO": 27 en SE-02 (PRA1), 12 en SE-18-1, 11 en el área SALMD y 1 en SE-30. Capturar la ficha técnica en SAP.</t>
  </si>
  <si>
    <t xml:space="preserve">Sector SAP (columna Local) distinto del sector de la ubicación técnica</t>
  </si>
  <si>
    <t xml:space="preserve">27 equipos de PRA1 / SE-02 figuran en SECTOR08 en SAP y en el sector 06 en su ubicación técnica. El tablero usa la ubicación técnica por defecto; se cambia en Dashboard!C5.</t>
  </si>
  <si>
    <t xml:space="preserve">Marca escrita con variante (GE, SHNEIDER ELECTRIC)</t>
  </si>
  <si>
    <t xml:space="preserve">Se unifican como GENERAL ELECTRIC y SCHNEIDER ELECTRIC. Sin esta unificación GE aparece partida en dos marcas.</t>
  </si>
  <si>
    <t xml:space="preserve">Modelo con variante de escritura (SEL 735, REA-101, REA101, REM-615A_1G, SIPROTEC7SJ85)</t>
  </si>
  <si>
    <t xml:space="preserve">Se unifican en el catálogo (hoja Catalogos, columna E).</t>
  </si>
  <si>
    <t xml:space="preserve">Modelo genérico o incompleto (solo familia o marca: MULTILIN, SEL, REF, REM, REA, RET, REYROLLE…)</t>
  </si>
  <si>
    <t xml:space="preserve">No identifica el modelo exacto; las tablas los muestran tal cual. Completar el modelo en SAP.</t>
  </si>
  <si>
    <t xml:space="preserve">Función con acento o variante de escritura (PROTECCIÓN, MEDICIÓN, PROTECCION Y MEDICION)</t>
  </si>
  <si>
    <t xml:space="preserve">Se unifican en el catálogo de funciones.</t>
  </si>
  <si>
    <t xml:space="preserve">Registros con N° de identificación técnica repetido</t>
  </si>
  <si>
    <t xml:space="preserve">Pares con el mismo N° (p. ej. SEL-710 GBM-31001). Los equipos SAP son distintos; revisar si es duplicado o dos relevadores del mismo tablero.</t>
  </si>
  <si>
    <t xml:space="preserve">Relevadores en áreas de proceso (sin subestación eléctrica)</t>
  </si>
  <si>
    <t xml:space="preserve">Ubicaciones técnicas que no son "SEL". Se agrupan como ÁREA DE PROCESO en las tablas por subestación.</t>
  </si>
  <si>
    <t xml:space="preserve">Supuestos</t>
  </si>
  <si>
    <t xml:space="preserve">• Subestación = ubicación técnica con área "SEL" (4.º segmento, p. ej. 08SEL); su código (5.º segmento) se convierte a nombre en la hoja Catalogos (40 subestaciones).</t>
  </si>
  <si>
    <t xml:space="preserve">• Sector = dos primeros dígitos del área de la ubicación técnica (por defecto) o la columna Local de SAP (selector en Dashboard!C5).</t>
  </si>
  <si>
    <t xml:space="preserve">• Las 3 ubicaciones técnicas con 7 segmentos (TR_191-01, TR_191-02, 71TDMT201B) se leen bien porque el código se toma por posición, no por guiones.</t>
  </si>
  <si>
    <t xml:space="preserve">• No se contó el estado (Status sistema = MONT en los 1,960) ni el indicador ABC (C en todos): no discriminan.</t>
  </si>
  <si>
    <t xml:space="preserve">Detalle: relevadores sin marca/modelo</t>
  </si>
  <si>
    <t xml:space="preserve">Detalle: Local (SAP) ≠ sector de la ubicación técnica</t>
  </si>
  <si>
    <t xml:space="preserve">Local SAP → sector ubicación técnica</t>
  </si>
  <si>
    <t xml:space="preserve">SECTOR08 → Sector 06</t>
  </si>
  <si>
    <t xml:space="preserve">Tablas auxiliares del tablero (no editar)</t>
  </si>
  <si>
    <t xml:space="preserve">Criterio sector:</t>
  </si>
  <si>
    <t xml:space="preserve">SECTOR</t>
  </si>
  <si>
    <t xml:space="preserve">OTRAS MARCAS</t>
  </si>
  <si>
    <t xml:space="preserve">% del filtro</t>
  </si>
  <si>
    <t xml:space="preserve">Marca – Modelo</t>
  </si>
  <si>
    <t xml:space="preserve">Clave orden</t>
  </si>
  <si>
    <t xml:space="preserve">Pos.</t>
  </si>
  <si>
    <t xml:space="preserve">Modelo (Top 10)</t>
  </si>
  <si>
    <t xml:space="preserve">Subestación (Top 10)</t>
  </si>
  <si>
    <t xml:space="preserve">Grupo planif.</t>
  </si>
  <si>
    <t xml:space="preserve">Equipo</t>
  </si>
  <si>
    <t xml:space="preserve">NºIdentif.técn.</t>
  </si>
  <si>
    <t xml:space="preserve">Local</t>
  </si>
  <si>
    <t xml:space="preserve">Ubicac.técnica</t>
  </si>
  <si>
    <t xml:space="preserve">PLANTA</t>
  </si>
  <si>
    <t xml:space="preserve">Denominación.1</t>
  </si>
  <si>
    <t xml:space="preserve">Status sistema</t>
  </si>
  <si>
    <t xml:space="preserve">Perfil catálogo</t>
  </si>
  <si>
    <t xml:space="preserve">Datos equipo</t>
  </si>
  <si>
    <t xml:space="preserve">Centro coste</t>
  </si>
  <si>
    <t xml:space="preserve">Indicador ABC</t>
  </si>
  <si>
    <t xml:space="preserve">CLASE DE RELEVADOR</t>
  </si>
  <si>
    <t xml:space="preserve">CLASIFICACIÓN DE ARE</t>
  </si>
  <si>
    <t xml:space="preserve">CORRIENTE_ALIMENTACI</t>
  </si>
  <si>
    <t xml:space="preserve">CORRIENTE_CONTACTOS</t>
  </si>
  <si>
    <t xml:space="preserve">FRECUENCIA</t>
  </si>
  <si>
    <t xml:space="preserve">FUNCION DEL RELEVADO</t>
  </si>
  <si>
    <t xml:space="preserve">IMPEDANCIA (%)</t>
  </si>
  <si>
    <t xml:space="preserve">MARCA DEL RELEVADOR</t>
  </si>
  <si>
    <t xml:space="preserve">MODELO_RELEVADOR</t>
  </si>
  <si>
    <t xml:space="preserve">NUMERO DE FASES</t>
  </si>
  <si>
    <t xml:space="preserve">NUMERO_DE_CONTACTOS</t>
  </si>
  <si>
    <t xml:space="preserve">NUM_DE_ENTRADAS</t>
  </si>
  <si>
    <t xml:space="preserve">POSICION DE CONTACTO</t>
  </si>
  <si>
    <t xml:space="preserve">PUERTO DE COMUNICACI</t>
  </si>
  <si>
    <t xml:space="preserve">TIPO DE MONTAJE</t>
  </si>
  <si>
    <t xml:space="preserve">TIPO DE OPERACION DE</t>
  </si>
  <si>
    <t xml:space="preserve">TIPO DE RELAVADOR</t>
  </si>
  <si>
    <t xml:space="preserve">TIPO_DE_ENTRADA</t>
  </si>
  <si>
    <t xml:space="preserve">VOLTAJE_NOMINAL</t>
  </si>
  <si>
    <t xml:space="preserve">070</t>
  </si>
  <si>
    <t xml:space="preserve">U_T_MOTOBOMBA GA-004001 A</t>
  </si>
  <si>
    <t xml:space="preserve">MONT</t>
  </si>
  <si>
    <t xml:space="preserve">ZPM000263</t>
  </si>
  <si>
    <t xml:space="preserve">X</t>
  </si>
  <si>
    <t xml:space="preserve">1255308200</t>
  </si>
  <si>
    <t xml:space="preserve">C</t>
  </si>
  <si>
    <t xml:space="preserve">5.0</t>
  </si>
  <si>
    <t xml:space="preserve">60.0 Hz</t>
  </si>
  <si>
    <t xml:space="preserve">1</t>
  </si>
  <si>
    <t xml:space="preserve">28 A</t>
  </si>
  <si>
    <t xml:space="preserve">33</t>
  </si>
  <si>
    <t xml:space="preserve">NA 19 NC 9</t>
  </si>
  <si>
    <t xml:space="preserve">INSERCION</t>
  </si>
  <si>
    <t xml:space="preserve">50G,51,86,27</t>
  </si>
  <si>
    <t xml:space="preserve">REF615A-1G</t>
  </si>
  <si>
    <t xml:space="preserve">DIGITALES Y ANALOGAS</t>
  </si>
  <si>
    <t xml:space="preserve">U_T_MOTOBOMBA GA-004002 A</t>
  </si>
  <si>
    <t xml:space="preserve">5.0 A</t>
  </si>
  <si>
    <t xml:space="preserve">3</t>
  </si>
  <si>
    <t xml:space="preserve">34 A</t>
  </si>
  <si>
    <t xml:space="preserve">30</t>
  </si>
  <si>
    <t xml:space="preserve">14 N.C. Y 3 N.A.</t>
  </si>
  <si>
    <t xml:space="preserve">27,46,49,50,50G,51,50 AFD</t>
  </si>
  <si>
    <t xml:space="preserve">ELECTRONICO</t>
  </si>
  <si>
    <t xml:space="preserve">DIGITAL Y ANALÓGICA</t>
  </si>
  <si>
    <t xml:space="preserve">U_T_MOTOBOMBA GA-004003 A</t>
  </si>
  <si>
    <t xml:space="preserve">U_T_MOTOBOMBA GA-004004 A</t>
  </si>
  <si>
    <t xml:space="preserve">U_T_MOTOBOMBA GA-004005 A</t>
  </si>
  <si>
    <t xml:space="preserve">U_T_MOTOBOMBA GA-004006 A</t>
  </si>
  <si>
    <t xml:space="preserve">U_T_MOTOBOMBA GA-22115 A</t>
  </si>
  <si>
    <t xml:space="preserve">1255103100</t>
  </si>
  <si>
    <t xml:space="preserve">1.0 A</t>
  </si>
  <si>
    <t xml:space="preserve">20.0</t>
  </si>
  <si>
    <t xml:space="preserve">35</t>
  </si>
  <si>
    <t xml:space="preserve">6 N.C / 16N.A</t>
  </si>
  <si>
    <t xml:space="preserve">51P1,67N1,50N1,46,49F,68,50L</t>
  </si>
  <si>
    <t xml:space="preserve">620</t>
  </si>
  <si>
    <t xml:space="preserve">DIGITALES Y ANALOGICAS</t>
  </si>
  <si>
    <t xml:space="preserve">U_T_MOTOBOMBA GA-22001 A</t>
  </si>
  <si>
    <t xml:space="preserve">U_T_MOTOBOMBA GA-22114 A</t>
  </si>
  <si>
    <t xml:space="preserve">U_T_MOTOBOMBA GA-22102 B</t>
  </si>
  <si>
    <t xml:space="preserve">U_T_MOTOBOMBA GA-22102 A</t>
  </si>
  <si>
    <t xml:space="preserve">U_T_MOTOBOMBA GA-22114 B</t>
  </si>
  <si>
    <t xml:space="preserve">U_T_MOTOBOMBA GA-22001 B</t>
  </si>
  <si>
    <t xml:space="preserve">U_T_MOTOBOMBA GA-22115 B</t>
  </si>
  <si>
    <t xml:space="preserve">U_T_MOTOBOMBA GA-22114 C</t>
  </si>
  <si>
    <t xml:space="preserve">U_T_SOPLADOR BV-81002 B</t>
  </si>
  <si>
    <t xml:space="preserve">1255106100</t>
  </si>
  <si>
    <t xml:space="preserve">NA19 / NC09</t>
  </si>
  <si>
    <t xml:space="preserve">U_T_SOPLADOR BV-81001 A</t>
  </si>
  <si>
    <t xml:space="preserve">U_T_SOPLADOR BV-81001 B</t>
  </si>
  <si>
    <t xml:space="preserve">U_T_SOPLADOR BV-82001 A</t>
  </si>
  <si>
    <t xml:space="preserve">1255106200</t>
  </si>
  <si>
    <t xml:space="preserve">U_T_SOPLADOR BV-82002 A</t>
  </si>
  <si>
    <t xml:space="preserve">U_T_SOPLADOR BV-82002 B</t>
  </si>
  <si>
    <t xml:space="preserve">U_T_MOTOBOMBA GA-90012C</t>
  </si>
  <si>
    <t xml:space="preserve">1255307100</t>
  </si>
  <si>
    <t xml:space="preserve">14, 46, 49, 50G, 66</t>
  </si>
  <si>
    <t xml:space="preserve">7SR57</t>
  </si>
  <si>
    <t xml:space="preserve">U_T_MOTOBOMBA GA-90013B</t>
  </si>
  <si>
    <t xml:space="preserve">U_T_MOTOBOMBA GA-90015A</t>
  </si>
  <si>
    <t xml:space="preserve">U_T_MOTOBOMBA GA-90016B</t>
  </si>
  <si>
    <t xml:space="preserve">U_T_MOTOBOMBA GA-90011A</t>
  </si>
  <si>
    <t xml:space="preserve">U_T_MOTOBOMBA GA-90019A</t>
  </si>
  <si>
    <t xml:space="preserve">U_T_MOTOBOMBA GA-90019C</t>
  </si>
  <si>
    <t xml:space="preserve">U_T_MOTOBOMBA GA-90018A</t>
  </si>
  <si>
    <t xml:space="preserve">U_T_MOTOBOMBA GA-90018C</t>
  </si>
  <si>
    <t xml:space="preserve">U_T_MOTOBOMBA GA-90018B</t>
  </si>
  <si>
    <t xml:space="preserve">U_T_MOTOBOMBA GA-90019B</t>
  </si>
  <si>
    <t xml:space="preserve">U_T_MOTOBOMBA GA-90011C</t>
  </si>
  <si>
    <t xml:space="preserve">U_T_MOTOBOMBA GA-90011B</t>
  </si>
  <si>
    <t xml:space="preserve">U_T_MOTOBOMBA GA-90300C</t>
  </si>
  <si>
    <t xml:space="preserve">22 A</t>
  </si>
  <si>
    <t xml:space="preserve">34</t>
  </si>
  <si>
    <t xml:space="preserve">6 N.C. Y 16 N.A.</t>
  </si>
  <si>
    <t xml:space="preserve">615</t>
  </si>
  <si>
    <t xml:space="preserve">U_T_MOTOBOMBA GA-90300A</t>
  </si>
  <si>
    <t xml:space="preserve">U_T_MOTOBOMBA GA-90300B</t>
  </si>
  <si>
    <t xml:space="preserve">U_T_MOTOBOMBA GA-90300D</t>
  </si>
  <si>
    <t xml:space="preserve">U_T_MOTOBOMBA GA-90001A</t>
  </si>
  <si>
    <t xml:space="preserve">U_T_MOTOBOMBA GA-90001B</t>
  </si>
  <si>
    <t xml:space="preserve">U_T_MOTOBOMBA GA-90001C</t>
  </si>
  <si>
    <t xml:space="preserve">U_T_MOTOBOMBA GA-90005 A</t>
  </si>
  <si>
    <t xml:space="preserve">U_T_MOTOBOMBA GA-90005 B</t>
  </si>
  <si>
    <t xml:space="preserve">U_T_MOTOBOMBA GA-90005 C</t>
  </si>
  <si>
    <t xml:space="preserve">U_T_MOTOBOMBA GA-90006A</t>
  </si>
  <si>
    <t xml:space="preserve">U_T_MOTOBOMBA GA-90006B</t>
  </si>
  <si>
    <t xml:space="preserve">U_T_MOTOBOMBA GA-90029A</t>
  </si>
  <si>
    <t xml:space="preserve">U_T_MOTOBOMBA GA-90012B</t>
  </si>
  <si>
    <t xml:space="preserve">U_T_MOTOBOMBA GA-90012A</t>
  </si>
  <si>
    <t xml:space="preserve">U_T_MOTOBOMBA GA-90013A</t>
  </si>
  <si>
    <t xml:space="preserve">U_T_MOTOBOMBA GA-90013C</t>
  </si>
  <si>
    <t xml:space="preserve">U_T_MOTOBOMBA GA-90029B</t>
  </si>
  <si>
    <t xml:space="preserve">U_T_MOTOBOMBA GA-90029C</t>
  </si>
  <si>
    <t xml:space="preserve">U_T_MOTOBOMBA GA-90015B</t>
  </si>
  <si>
    <t xml:space="preserve">U_T_MOTOBOMBA GA-90016A</t>
  </si>
  <si>
    <t xml:space="preserve">U_T_MOTOBOMBA GA-21105 A</t>
  </si>
  <si>
    <t xml:space="preserve">1255103200</t>
  </si>
  <si>
    <t xml:space="preserve">10.0</t>
  </si>
  <si>
    <t xml:space="preserve">38 A</t>
  </si>
  <si>
    <t xml:space="preserve">29</t>
  </si>
  <si>
    <t xml:space="preserve">6 N.C / 10 N.A</t>
  </si>
  <si>
    <t xml:space="preserve">27,37,36,37,48,49,50-51/G,66</t>
  </si>
  <si>
    <t xml:space="preserve">869</t>
  </si>
  <si>
    <t xml:space="preserve">U_T_MOTOBOMBA GA-21110 A</t>
  </si>
  <si>
    <t xml:space="preserve">U_T_MOTOBOMBA GA-21104 A</t>
  </si>
  <si>
    <t xml:space="preserve">U_T_MOTOBOMBA GA-21101 B</t>
  </si>
  <si>
    <t xml:space="preserve">U_T_MOTOBOMBA GA-21101 A</t>
  </si>
  <si>
    <t xml:space="preserve">U_T_MOTOBOMBA GA-21203 A</t>
  </si>
  <si>
    <t xml:space="preserve">U_T_MOTOBOMBA GA-21204 A</t>
  </si>
  <si>
    <t xml:space="preserve">U_T_MOTOBOMBA GA-21208 B</t>
  </si>
  <si>
    <t xml:space="preserve">U_T_MOTOBOMBA GA-21103 B</t>
  </si>
  <si>
    <t xml:space="preserve">U_T_MOTOBOMBA GA-21305 B</t>
  </si>
  <si>
    <t xml:space="preserve">U_T_MOTOBOMBA GA-21104 B</t>
  </si>
  <si>
    <t xml:space="preserve">U_T_MOTOBOMBA GA-21105 B</t>
  </si>
  <si>
    <t xml:space="preserve">U_T_MOTOBOMBA GA-21110 B</t>
  </si>
  <si>
    <t xml:space="preserve">U_T_MOTOBOMBA GA-21203 B</t>
  </si>
  <si>
    <t xml:space="preserve">U_T_MOTOBOMBA GA-21208 A</t>
  </si>
  <si>
    <t xml:space="preserve">U_T_TURBOBOMBA GA-21103 A</t>
  </si>
  <si>
    <t xml:space="preserve">U_T_MOTOBOMBA GA-21305 A</t>
  </si>
  <si>
    <t xml:space="preserve">U_T_COMPRESOR GB-21002</t>
  </si>
  <si>
    <t xml:space="preserve">U_T_COMPRESOR GB-21401</t>
  </si>
  <si>
    <t xml:space="preserve">16 A</t>
  </si>
  <si>
    <t xml:space="preserve">45</t>
  </si>
  <si>
    <t xml:space="preserve">25,27,50,51,51N 50AFD</t>
  </si>
  <si>
    <t xml:space="preserve">850</t>
  </si>
  <si>
    <t xml:space="preserve">U_T_MOTOBOMBA GA89019R</t>
  </si>
  <si>
    <t xml:space="preserve">1255307200</t>
  </si>
  <si>
    <t xml:space="preserve">U_T_MOTOBOMBA GA89018</t>
  </si>
  <si>
    <t xml:space="preserve">U_T_MOTOBOMBA GA89017</t>
  </si>
  <si>
    <t xml:space="preserve">U_T_MOTOBOMBA GA89016</t>
  </si>
  <si>
    <t xml:space="preserve">U_T_MOTOBOMBA GA89006R</t>
  </si>
  <si>
    <t xml:space="preserve">U_T_MOTOBOMBA GA89005</t>
  </si>
  <si>
    <t xml:space="preserve">U_T_MOTOBOMBA GA89004</t>
  </si>
  <si>
    <t xml:space="preserve">U_T_MOTOBOMBA GA89003R</t>
  </si>
  <si>
    <t xml:space="preserve">U_T_MOTOBOMBA GA89002</t>
  </si>
  <si>
    <t xml:space="preserve">U_T_MOTOBOMBA GA89001</t>
  </si>
  <si>
    <t xml:space="preserve">U_T_MOTOBOMBA GA-89022R P2CNA</t>
  </si>
  <si>
    <t xml:space="preserve">U_T_MOTOBOMBA GA-89021 P2CNA</t>
  </si>
  <si>
    <t xml:space="preserve">U_T_MOTOBOMBA GA-89008 P2CNP</t>
  </si>
  <si>
    <t xml:space="preserve">U_T_MOTOBOMBA GA-89007 P2CNP</t>
  </si>
  <si>
    <t xml:space="preserve">U_T_MOTOBOMBA GA-89009R P2CNP</t>
  </si>
  <si>
    <t xml:space="preserve">U_T_MOTOBOMBA GA-89020 P2CNA</t>
  </si>
  <si>
    <t xml:space="preserve">U_T_MOTOBOMBA GA-89025R P2CSA</t>
  </si>
  <si>
    <t xml:space="preserve">U_T_MOTOBOMBA GA-89011 P2CSP</t>
  </si>
  <si>
    <t xml:space="preserve">U_T_MOTOBOMBA GA-89010 P2CSP</t>
  </si>
  <si>
    <t xml:space="preserve">U_T_MOTOBOMBA GA-89012R P2CSP</t>
  </si>
  <si>
    <t xml:space="preserve">U_T_MOTOBOMBA GA-89024 P2CSA</t>
  </si>
  <si>
    <t xml:space="preserve">U_T_MOTOBOMBA GA-89023 P2CSA</t>
  </si>
  <si>
    <t xml:space="preserve">U_T_BOMBA RECUP CONDENSADO GA-07003E</t>
  </si>
  <si>
    <t xml:space="preserve">U_T_BOMBA RECUP CONDENSADO GA-07003D</t>
  </si>
  <si>
    <t xml:space="preserve">U_T_BOMBA RECUP CONDENSADO GA-07003C</t>
  </si>
  <si>
    <t xml:space="preserve">U_T_BOMBA RECUP CONDENSADO GA-07003B</t>
  </si>
  <si>
    <t xml:space="preserve">U_T_BOMBA RECUP CONDENSADO GA-07003A</t>
  </si>
  <si>
    <t xml:space="preserve">U_T_RAMAL 691 TDA151_01B_S15_1</t>
  </si>
  <si>
    <t xml:space="preserve">1255102100</t>
  </si>
  <si>
    <t xml:space="preserve">27</t>
  </si>
  <si>
    <t xml:space="preserve">U_T_RAMAL 693 TR_151_02_S15_1</t>
  </si>
  <si>
    <t xml:space="preserve">5 A</t>
  </si>
  <si>
    <t xml:space="preserve">5</t>
  </si>
  <si>
    <t xml:space="preserve">NA04/NC01</t>
  </si>
  <si>
    <t xml:space="preserve">50AF</t>
  </si>
  <si>
    <t xml:space="preserve">ANALOGICAS</t>
  </si>
  <si>
    <t xml:space="preserve">50G,87</t>
  </si>
  <si>
    <t xml:space="preserve">RET-615A-1G</t>
  </si>
  <si>
    <t xml:space="preserve">U_T_MOTOBOMBA GA-31014 B</t>
  </si>
  <si>
    <t xml:space="preserve">U_T_HORNO DE COQUIZACION BA-31002</t>
  </si>
  <si>
    <t xml:space="preserve">NA16  NC6</t>
  </si>
  <si>
    <t xml:space="preserve">27,46,49T,50G,51G,86</t>
  </si>
  <si>
    <t xml:space="preserve">REM615A-1G</t>
  </si>
  <si>
    <t xml:space="preserve">U_T_MOTOBOMBA GA-31013 C</t>
  </si>
  <si>
    <t xml:space="preserve">U_T_MOTOBOMBA GA-31013 A</t>
  </si>
  <si>
    <t xml:space="preserve">U_T_MOTOBOMBA GA-31010 A</t>
  </si>
  <si>
    <t xml:space="preserve">U_T_MOTOBOMBA GA-31011 A</t>
  </si>
  <si>
    <t xml:space="preserve">U_T_RAMAL 694 TDM151_01A_S15_1</t>
  </si>
  <si>
    <t xml:space="preserve">50G,51,27,86</t>
  </si>
  <si>
    <t xml:space="preserve">U_T_HORNO DE COQUIZACION BA-31003</t>
  </si>
  <si>
    <t xml:space="preserve">25,27,50,51</t>
  </si>
  <si>
    <t xml:space="preserve">U_T_HORNO DE COQUIZACION BA-31001</t>
  </si>
  <si>
    <t xml:space="preserve">27,50,G51,86</t>
  </si>
  <si>
    <t xml:space="preserve">U_T_RAMAL 699 TR_151_09_S15_1</t>
  </si>
  <si>
    <t xml:space="preserve">U_T_RAMAL 698 TR_151_07_S15_1</t>
  </si>
  <si>
    <t xml:space="preserve">U_T_RAMAL 690 TDA151_01A_S15_1</t>
  </si>
  <si>
    <t xml:space="preserve">U_T_RAMAL 692 TR_151_01_S15_1</t>
  </si>
  <si>
    <t xml:space="preserve">U_T_MOTOBOMBA GA-31014 A</t>
  </si>
  <si>
    <t xml:space="preserve">U_T_RAMAL444 TDA15_01_B_SE15</t>
  </si>
  <si>
    <t xml:space="preserve">U_T_RAMAL443 TDA15_01_A_SE15</t>
  </si>
  <si>
    <t xml:space="preserve">U_T_RAMAL472 CCM15_03_B_SE15</t>
  </si>
  <si>
    <t xml:space="preserve">U_T_RAMAL471 CCM15_03_A_SE15</t>
  </si>
  <si>
    <t xml:space="preserve">U_T_RAMAL 697 TR_151_05_S15_1</t>
  </si>
  <si>
    <t xml:space="preserve">U_T_COMPRESOR GB-31001</t>
  </si>
  <si>
    <t xml:space="preserve">SEL-710</t>
  </si>
  <si>
    <t xml:space="preserve">U_T_RAMAL466 TR_15_11_SE15</t>
  </si>
  <si>
    <t xml:space="preserve">U_T_RAMAL 695 TDM151_01B_S15_1</t>
  </si>
  <si>
    <t xml:space="preserve">U_T_RAMAL 707 TR_151_14_S15_1</t>
  </si>
  <si>
    <t xml:space="preserve">U_T_RAMAL 706 TR_151_13_S15_1</t>
  </si>
  <si>
    <t xml:space="preserve">U_T_MOTOBOMBA GA-31013 B</t>
  </si>
  <si>
    <t xml:space="preserve">U_T_MOTOBOMBA GA-31010 B</t>
  </si>
  <si>
    <t xml:space="preserve">U_T_MOTOBOMBA GA-31011 B</t>
  </si>
  <si>
    <t xml:space="preserve">U_T_RAMAL 702 TR_151_08_S15_1</t>
  </si>
  <si>
    <t xml:space="preserve">U_T_RAMAL 701 TR_151_06_S15_1</t>
  </si>
  <si>
    <t xml:space="preserve">U_T_RAMAL 700 TR_151_04_S15_1</t>
  </si>
  <si>
    <t xml:space="preserve">U_T_RAMAL 696 TR_151_03_S15_1</t>
  </si>
  <si>
    <t xml:space="preserve">U_T_RAMAL 715 CCM151_04B_S15_1</t>
  </si>
  <si>
    <t xml:space="preserve">U_T_RAMAL453 TR_15_05_SE15</t>
  </si>
  <si>
    <t xml:space="preserve">U_T_RAMAL454 TR_15_07_SE15</t>
  </si>
  <si>
    <t xml:space="preserve">U_T_MOTOBOMBA GA-31007 A</t>
  </si>
  <si>
    <t xml:space="preserve">U_T_MOTOBOMBA GA-31030 B</t>
  </si>
  <si>
    <t xml:space="preserve">U_T_MOTOBOMBA GA-31025 A</t>
  </si>
  <si>
    <t xml:space="preserve">U_T_MOTOBOMBA GA-31017 B</t>
  </si>
  <si>
    <t xml:space="preserve">U_T_MOTOBOMBA GA-31006 A</t>
  </si>
  <si>
    <t xml:space="preserve">U_T_MOTOBOMBA GA-31004 B</t>
  </si>
  <si>
    <t xml:space="preserve">U_T_MOTOBOMBA GA-31001 A</t>
  </si>
  <si>
    <t xml:space="preserve">U_T_MOTOBOMBA GA-31005 A</t>
  </si>
  <si>
    <t xml:space="preserve">U_T_MOTOBOMBA GA-31002 B</t>
  </si>
  <si>
    <t xml:space="preserve">U_T_MOTOBOMBA GA-31026 B</t>
  </si>
  <si>
    <t xml:space="preserve">U_T_MOTOBOMBA GA-31044 A</t>
  </si>
  <si>
    <t xml:space="preserve">U_T_MOTOBOMBA GA-31028 A</t>
  </si>
  <si>
    <t xml:space="preserve">U_T_MOTOBOMBA GA-31033 A</t>
  </si>
  <si>
    <t xml:space="preserve">U_T_RAMAL470 TR_15_14_SE15</t>
  </si>
  <si>
    <t xml:space="preserve">U_T_RAMAL469 TR_15_12_SE15</t>
  </si>
  <si>
    <t xml:space="preserve">U_T_RAMAL468 TR_15_10_SE15</t>
  </si>
  <si>
    <t xml:space="preserve">U_T_RAMAL450 TR_15_04_SE15</t>
  </si>
  <si>
    <t xml:space="preserve">U_T_RAMAL448 TR_15_03_SE15</t>
  </si>
  <si>
    <t xml:space="preserve">U_T_RAMAL465 TR_15_09_SE15</t>
  </si>
  <si>
    <t xml:space="preserve">U_T_MOTOBOMBA GA-31033 B</t>
  </si>
  <si>
    <t xml:space="preserve">U_T_MOTOBOMBA GA-31028 B</t>
  </si>
  <si>
    <t xml:space="preserve">U_T_MOTOBOMBA GA-31044 B</t>
  </si>
  <si>
    <t xml:space="preserve">U_T_MOTOBOMBA GA-31026 A</t>
  </si>
  <si>
    <t xml:space="preserve">U_T_MOTOBOMBA GA-31002 A</t>
  </si>
  <si>
    <t xml:space="preserve">U_T_MOTOBOMBA GA-31005 B</t>
  </si>
  <si>
    <t xml:space="preserve">U_T_RAMAL447 TR_15_01_SE15</t>
  </si>
  <si>
    <t xml:space="preserve">U_T_RAMAL 714 CCM151_04A_S15_1</t>
  </si>
  <si>
    <t xml:space="preserve">U_T_RAMAL474 CCM15_04_B_SE15</t>
  </si>
  <si>
    <t xml:space="preserve">U_T_RAMAL475 CCM15_05_A_SE15</t>
  </si>
  <si>
    <t xml:space="preserve">U_T_RAMAL458 CCM15_01_B_SE15</t>
  </si>
  <si>
    <t xml:space="preserve">U_T_RAMAL457 CCM15_01_A_SE15</t>
  </si>
  <si>
    <t xml:space="preserve">U_T_RAMAL462 CCM15_02_B_SE15</t>
  </si>
  <si>
    <t xml:space="preserve">U_T_RAMAL461 CCM15_02_A_SE15</t>
  </si>
  <si>
    <t xml:space="preserve">51G,87</t>
  </si>
  <si>
    <t xml:space="preserve">U_T_RAMAL445 BC_15_01_SE15</t>
  </si>
  <si>
    <t xml:space="preserve">U_T_RAMAL449 TR_15_02_SE15</t>
  </si>
  <si>
    <t xml:space="preserve">U_T_RAMAL455 TR_15_06_SE15</t>
  </si>
  <si>
    <t xml:space="preserve">U_T_RAMAL456 TR_15_08_SE15</t>
  </si>
  <si>
    <t xml:space="preserve">U_T_MOTOBOMBA GA-31007 B</t>
  </si>
  <si>
    <t xml:space="preserve">U_T_MOTOBOMBA GA-31030 A</t>
  </si>
  <si>
    <t xml:space="preserve">U_T_MOTOBOMBA GA-31025 B</t>
  </si>
  <si>
    <t xml:space="preserve">U_T_MOTOBOMBA GA-31017 A</t>
  </si>
  <si>
    <t xml:space="preserve">U_T_MOTOBOMBA GA-31006 B</t>
  </si>
  <si>
    <t xml:space="preserve">U_T_MOTOBOMBA GA-31004 A</t>
  </si>
  <si>
    <t xml:space="preserve">U_T_MOTOBOMBA GA-31001 B</t>
  </si>
  <si>
    <t xml:space="preserve">U_T_MOTOBOMBA GA-31001 C</t>
  </si>
  <si>
    <t xml:space="preserve">U_T_MOTOBOMBA GA-51008 A</t>
  </si>
  <si>
    <t xml:space="preserve">1255104100</t>
  </si>
  <si>
    <t xml:space="preserve">38</t>
  </si>
  <si>
    <t xml:space="preserve">NA10/NC06</t>
  </si>
  <si>
    <t xml:space="preserve">27,46,49,50-51/G,66,50AFD</t>
  </si>
  <si>
    <t xml:space="preserve">U_T_MOTOBOMBA GA-51002 B</t>
  </si>
  <si>
    <t xml:space="preserve">U_T_MOTOBOMBA GA-51005 B</t>
  </si>
  <si>
    <t xml:space="preserve">U_T_MOTOBOMBA GA-51005 A</t>
  </si>
  <si>
    <t xml:space="preserve">U_T_MOTOBOMBA GA-51004 A</t>
  </si>
  <si>
    <t xml:space="preserve">U_T_MOTOBOMBA GA-51004 B</t>
  </si>
  <si>
    <t xml:space="preserve">U_T_MOTOBOMBA GA-51005 C</t>
  </si>
  <si>
    <t xml:space="preserve">U_T_MOTOBOMBA GA-51002 A</t>
  </si>
  <si>
    <t xml:space="preserve">U_T_MOTOBOMBA GA-51005 D</t>
  </si>
  <si>
    <t xml:space="preserve">U_T_MOTOBOMBA GA-51008 B</t>
  </si>
  <si>
    <t xml:space="preserve">U_T_MOTOBOMBA GA-51001 B</t>
  </si>
  <si>
    <t xml:space="preserve">87M</t>
  </si>
  <si>
    <t xml:space="preserve">27,37,46,47,48,49,50-51/G,66</t>
  </si>
  <si>
    <t xml:space="preserve">U_T_COMPRESOR BC-51001 C</t>
  </si>
  <si>
    <t xml:space="preserve">U_T_COMPRESOR BC-51001 B</t>
  </si>
  <si>
    <t xml:space="preserve">U_T_COMPRESOR BC-51001 A</t>
  </si>
  <si>
    <t xml:space="preserve">U_T_MOTOBOMBA GA-51001 A</t>
  </si>
  <si>
    <t xml:space="preserve">U_T_MOTOBOMBA GA-52008 A</t>
  </si>
  <si>
    <t xml:space="preserve">1255104200</t>
  </si>
  <si>
    <t xml:space="preserve">U_T_MOTOBOMBA GA-52002 B</t>
  </si>
  <si>
    <t xml:space="preserve">U_T_MOTOBOMBA GA-52005 B</t>
  </si>
  <si>
    <t xml:space="preserve">U_T_MOTOBOMBA GA-52005 A</t>
  </si>
  <si>
    <t xml:space="preserve">U_T_MOTOBOMBA GA-52004 A</t>
  </si>
  <si>
    <t xml:space="preserve">U_T_MOTOBOMBA GA-52004 B</t>
  </si>
  <si>
    <t xml:space="preserve">U_T_MOTOBOMBA GA-52005 C</t>
  </si>
  <si>
    <t xml:space="preserve">U_T_MOTOBOMBA GA-52002 A</t>
  </si>
  <si>
    <t xml:space="preserve">U_T_MOTOBOMBA GA-52005 D</t>
  </si>
  <si>
    <t xml:space="preserve">U_T_MOTOBOMBA GA-52008 B</t>
  </si>
  <si>
    <t xml:space="preserve">U_T_MOTOBOMBA GA-52001 B</t>
  </si>
  <si>
    <t xml:space="preserve">U_T_COMPRESOR BC-52001 C</t>
  </si>
  <si>
    <t xml:space="preserve">U_T_COMPRESOR BC-52001 B</t>
  </si>
  <si>
    <t xml:space="preserve">U_T_COMPRESOR BC-52001 A</t>
  </si>
  <si>
    <t xml:space="preserve">U_T_MOTOBOMBA GA-52001 A</t>
  </si>
  <si>
    <t xml:space="preserve">U_T_RAMAL 547 TDM29_01_A_SE29</t>
  </si>
  <si>
    <t xml:space="preserve">1255110000</t>
  </si>
  <si>
    <t xml:space="preserve">9 N.C / 19N.A</t>
  </si>
  <si>
    <t xml:space="preserve">TM02</t>
  </si>
  <si>
    <t xml:space="preserve">U_T_RAMAL 548 TDM29_01_B_SE29</t>
  </si>
  <si>
    <t xml:space="preserve">1 N.C / 4N.A</t>
  </si>
  <si>
    <t xml:space="preserve">U_T_RAMAL 546 TR_29_02_SE29</t>
  </si>
  <si>
    <t xml:space="preserve">U_T_RAMAL 545 TR_29_01_SE29</t>
  </si>
  <si>
    <t xml:space="preserve">U_T_RAMAL 561 CCM29_01_A_SE29</t>
  </si>
  <si>
    <t xml:space="preserve">U_T_RAMAL 562 CCM29_01_B_SE29</t>
  </si>
  <si>
    <t xml:space="preserve">U_T_RAMAL 563 CCM29_02_A_SE29</t>
  </si>
  <si>
    <t xml:space="preserve">U_T_RAMAL 564 CCM29_02_B_SE29</t>
  </si>
  <si>
    <t xml:space="preserve">U_T_RAMAL 565 CCM29_03_A_SE29</t>
  </si>
  <si>
    <t xml:space="preserve">U_T_RAMAL 566 CCM29_03_B_SE29</t>
  </si>
  <si>
    <t xml:space="preserve">U_T_RAMAL 567 CCM29_04_A_SE29</t>
  </si>
  <si>
    <t xml:space="preserve">U_T_RAMAL 568 CCM29_04_B_SE29</t>
  </si>
  <si>
    <t xml:space="preserve">U_T_RAMAL 569 CCM29_05_A_SE29</t>
  </si>
  <si>
    <t xml:space="preserve">U_T_RAMAL 570 CCM29_05_B_SE29</t>
  </si>
  <si>
    <t xml:space="preserve">U_T_RAMAL 571 TR_29_21_SE29</t>
  </si>
  <si>
    <t xml:space="preserve">U_T_RAMAL 572 TR_29_22_SE29</t>
  </si>
  <si>
    <t xml:space="preserve">U_T_RAMAL 573 TR_28_01_SE28</t>
  </si>
  <si>
    <t xml:space="preserve">U_T_RAMAL 574 TR_28_02_SE28</t>
  </si>
  <si>
    <t xml:space="preserve">U_T_RAMAL 575 TDM28_01_A_SE28</t>
  </si>
  <si>
    <t xml:space="preserve">U_T_RAMAL 576 TDM28_01_B_SE28</t>
  </si>
  <si>
    <t xml:space="preserve">U_T_RAMAL 594 TR_28_22_SE28</t>
  </si>
  <si>
    <t xml:space="preserve">U_T_RAMAL 593 TR_28_21_SE28</t>
  </si>
  <si>
    <t xml:space="preserve">U_T_RAMAL 596 CCM28_04_B_SE28</t>
  </si>
  <si>
    <t xml:space="preserve">U_T_RAMAL 595 CCM28_04_A_SE28</t>
  </si>
  <si>
    <t xml:space="preserve">U_T_RAMAL 592 CCM28_03_B_SE28</t>
  </si>
  <si>
    <t xml:space="preserve">U_T_RAMAL 591 CCM28_03_A_SE28</t>
  </si>
  <si>
    <t xml:space="preserve">U_T_RAMAL 590 CCM28_02_B_SE28</t>
  </si>
  <si>
    <t xml:space="preserve">U_T_RAMAL 589 CCM28_02_A_SE28</t>
  </si>
  <si>
    <t xml:space="preserve">U_T_RAMAL 587 CCM28_01_A_SE28</t>
  </si>
  <si>
    <t xml:space="preserve">U_T_RAMAL 588 CCM28_01_B_SE28</t>
  </si>
  <si>
    <t xml:space="preserve">U_T_RAMAL13 TDMT_SEP01_02_A</t>
  </si>
  <si>
    <t xml:space="preserve">1255308100</t>
  </si>
  <si>
    <t xml:space="preserve">16</t>
  </si>
  <si>
    <t xml:space="preserve">50/51,50G/51G,50FI,86</t>
  </si>
  <si>
    <t xml:space="preserve">U_T_RAMAL14 TDMT_SEP01_02_B</t>
  </si>
  <si>
    <t xml:space="preserve">87B</t>
  </si>
  <si>
    <t xml:space="preserve">U_T_RAMAL20 TDMT_SEP01_05_B</t>
  </si>
  <si>
    <t xml:space="preserve">8 A</t>
  </si>
  <si>
    <t xml:space="preserve">10</t>
  </si>
  <si>
    <t xml:space="preserve">4 N.C. Y 4 N.A.</t>
  </si>
  <si>
    <t xml:space="preserve">8 N.C.Y 20 N.A.</t>
  </si>
  <si>
    <t xml:space="preserve">27/59,50/51,50G/86</t>
  </si>
  <si>
    <t xml:space="preserve">U_T_RAMAL15 TDMT_SEP01_03_A</t>
  </si>
  <si>
    <t xml:space="preserve">U_T_RAMAL16 TDMT_SEP01_03_B</t>
  </si>
  <si>
    <t xml:space="preserve">U_T_RAMAL3 TDMT_SEP01_01_A</t>
  </si>
  <si>
    <t xml:space="preserve">50/51 F,N, 50GS,50FI,27</t>
  </si>
  <si>
    <t xml:space="preserve">U_T_RAMAL4 TDMT_SEP01_01_B</t>
  </si>
  <si>
    <t xml:space="preserve">U_T_RAMAL9 TR_SEP01_02B</t>
  </si>
  <si>
    <t xml:space="preserve">50/51 F,N, 50GS,50FI</t>
  </si>
  <si>
    <t xml:space="preserve">U_T_RAMAL10 TR_SEP01_03B</t>
  </si>
  <si>
    <t xml:space="preserve">U_T_RAMAL11 TR_SEP01_04B</t>
  </si>
  <si>
    <t xml:space="preserve">27/59,50/51,50G/86,87T</t>
  </si>
  <si>
    <t xml:space="preserve">U_T_RAMAL12 TR_SEP01_05B</t>
  </si>
  <si>
    <t xml:space="preserve">U_T_RAMAL2 TR_SEP01_01B</t>
  </si>
  <si>
    <t xml:space="preserve">U_T_RAMAL19 TDMT_SEP01_05_A</t>
  </si>
  <si>
    <t xml:space="preserve">U_T_RAMAL21 TR_SEP01_06A</t>
  </si>
  <si>
    <t xml:space="preserve">4 A</t>
  </si>
  <si>
    <t xml:space="preserve">1 N.C.Y 3 N.A.</t>
  </si>
  <si>
    <t xml:space="preserve">50 AFD</t>
  </si>
  <si>
    <t xml:space="preserve">U_T_RAMAL22 TR_SEP01_06B</t>
  </si>
  <si>
    <t xml:space="preserve">U_T_RAMAL812 TR_216_07B_SEP01</t>
  </si>
  <si>
    <t xml:space="preserve">U_T_MOTOCOMPRESOR BC-10501</t>
  </si>
  <si>
    <t xml:space="preserve">27,46,49,50G,51 RL,66,86</t>
  </si>
  <si>
    <t xml:space="preserve">U_T_MOTOBOMBA GA-10501 B</t>
  </si>
  <si>
    <t xml:space="preserve">U_T_MOTOBOMBA GA-10002 C</t>
  </si>
  <si>
    <t xml:space="preserve">U_T_AEROCONDENSADOR BV_10001D</t>
  </si>
  <si>
    <t xml:space="preserve">U_T_AEROCONDENSADOR BV_10001E</t>
  </si>
  <si>
    <t xml:space="preserve">U_T_AEROCONDENSADOR BV_10001F</t>
  </si>
  <si>
    <t xml:space="preserve">U_T_TURBOGENERADOR TG-10300</t>
  </si>
  <si>
    <t xml:space="preserve">U_T_RAMAL806 TDMT_216_01_A_SEP01</t>
  </si>
  <si>
    <t xml:space="preserve">U_T_RAMAL802 TG_10300_TURBO3_SEP01</t>
  </si>
  <si>
    <t xml:space="preserve">U_T_TURBOGENERADOR TG-10200</t>
  </si>
  <si>
    <t xml:space="preserve">U_T_RAMAL801 TG_10200_TURBO2_SEP01</t>
  </si>
  <si>
    <t xml:space="preserve">U_T_RAMAL807 TDMT_216_01_B_SEP01</t>
  </si>
  <si>
    <t xml:space="preserve">U_T_TURBOGENERADOR TG-10100</t>
  </si>
  <si>
    <t xml:space="preserve">U_T_RAMAL800 TG_10100_TURBO1_SEP01</t>
  </si>
  <si>
    <t xml:space="preserve">U_T_RAMAL808 TDMT_216_01_C_SEP01</t>
  </si>
  <si>
    <t xml:space="preserve">U_T_RAMAL804 GIS_BARRA_1_SEP01</t>
  </si>
  <si>
    <t xml:space="preserve">87T/50/51/50/51NT</t>
  </si>
  <si>
    <t xml:space="preserve">CONTROLADOR</t>
  </si>
  <si>
    <t xml:space="preserve">50FI/25/27</t>
  </si>
  <si>
    <t xml:space="preserve">U_T_RAMAL805 GIS_BARRA_2_SEP01</t>
  </si>
  <si>
    <t xml:space="preserve">U_T_RAMAL17 TDMT_SEP01_04_A</t>
  </si>
  <si>
    <t xml:space="preserve">U_T_RAMAL18 TDMT_SEP01_04_B</t>
  </si>
  <si>
    <t xml:space="preserve">U_T_RAMAL796 TR_216_04_SEP01</t>
  </si>
  <si>
    <t xml:space="preserve">87T</t>
  </si>
  <si>
    <t xml:space="preserve">U_T_AEROCONDENSADOR BV_10001A</t>
  </si>
  <si>
    <t xml:space="preserve">U_T_AEROCONDENSADOR BV_10001B</t>
  </si>
  <si>
    <t xml:space="preserve">U_T_AEROCONDENSADOR BV_10001C</t>
  </si>
  <si>
    <t xml:space="preserve">U_T_MOTOBOMBA GA-10002 A</t>
  </si>
  <si>
    <t xml:space="preserve">U_T_MOTOBOMBA GA-10002 B</t>
  </si>
  <si>
    <t xml:space="preserve">U_T_CALDERA AUXILIAR CB-1500</t>
  </si>
  <si>
    <t xml:space="preserve">U_T_MOTOBOMBA GA-10501 A</t>
  </si>
  <si>
    <t xml:space="preserve">U_T_RAMAL810 TR_216_08_SEP01</t>
  </si>
  <si>
    <t xml:space="preserve">U_T_RAMAL809 TR_216_07A_SEP01</t>
  </si>
  <si>
    <t xml:space="preserve">U_T_RAMAL799 TR_216_06A_SEP01</t>
  </si>
  <si>
    <t xml:space="preserve">U_T_RAMAL797 TDMT_216_02_A_SEP01</t>
  </si>
  <si>
    <t xml:space="preserve">U_T_RAMAL798 TDMT_216_02_B_SEP01</t>
  </si>
  <si>
    <t xml:space="preserve">U_T_RAMAL811  TR_216_06B_SEP01</t>
  </si>
  <si>
    <t xml:space="preserve">U_T_RAMAL5 TR_SEP01_02A</t>
  </si>
  <si>
    <t xml:space="preserve">U_T_RAMAL45 TDP_SEP02_05_A</t>
  </si>
  <si>
    <t xml:space="preserve">0 A</t>
  </si>
  <si>
    <t xml:space="preserve">U_T_RAMAL40 TDP_SEP02_02_B</t>
  </si>
  <si>
    <t xml:space="preserve">U_T_RAMAL42 TDP_SEP02_03_B</t>
  </si>
  <si>
    <t xml:space="preserve">U_T_RAMAL46 TDP_SEP02_05_B</t>
  </si>
  <si>
    <t xml:space="preserve">U_T_RAMAL55 TDM_02_02_A_SE2</t>
  </si>
  <si>
    <t xml:space="preserve">U_T_RAMAL56 TDM_02_02_B_SE2</t>
  </si>
  <si>
    <t xml:space="preserve">U_T_RAMAL137 TDM16_01_A_SE16</t>
  </si>
  <si>
    <t xml:space="preserve">U_T_RAMAL138 TDM16_01_B_SE16</t>
  </si>
  <si>
    <t xml:space="preserve">U_T_RAMAL403 TDM19_01_A_SE19</t>
  </si>
  <si>
    <t xml:space="preserve">U_T_RAMAL404 TDM19_01_B_SE19</t>
  </si>
  <si>
    <t xml:space="preserve">U_T_RAMAL29 TDP_SEP02_01_A</t>
  </si>
  <si>
    <t xml:space="preserve">U_T_RAMAL30 TDP_SEP02_01_B</t>
  </si>
  <si>
    <t xml:space="preserve">U_T_RAMAL61 CCM_02_03_A_SE2</t>
  </si>
  <si>
    <t xml:space="preserve">U_T_RAMAL62 CCM_02_03_B_SE2</t>
  </si>
  <si>
    <t xml:space="preserve">U_T_RAMAL750 CCMUDA_01_A_S01</t>
  </si>
  <si>
    <t xml:space="preserve">25,27</t>
  </si>
  <si>
    <t xml:space="preserve">U_T_RAMAL754 CCMUDA_02_A_S01</t>
  </si>
  <si>
    <t xml:space="preserve">U_T_RAMAL756 CCMUDA_03_A_S01</t>
  </si>
  <si>
    <t xml:space="preserve">U_T_RAMAL758 CCMUDA_04_A_S01</t>
  </si>
  <si>
    <t xml:space="preserve">U_T_RAMAL751 CCMUDA_01_B_S01</t>
  </si>
  <si>
    <t xml:space="preserve">U_T_RAMAL755 CCMUDA_02_B_S01</t>
  </si>
  <si>
    <t xml:space="preserve">U_T_RAMAL757 CCMUDA_03_B_S01</t>
  </si>
  <si>
    <t xml:space="preserve">U_T_RAMAL759 CCMUDA_04_B_S01</t>
  </si>
  <si>
    <t xml:space="preserve">U_T_RAMAL776 TR_30_01_SE_30</t>
  </si>
  <si>
    <t xml:space="preserve">27,46,49,50,51,66 87T,50 AFD</t>
  </si>
  <si>
    <t xml:space="preserve">20 A</t>
  </si>
  <si>
    <t xml:space="preserve">10 NC Y 10 NA</t>
  </si>
  <si>
    <t xml:space="preserve">87 B</t>
  </si>
  <si>
    <t xml:space="preserve">U_T_RAMAL738 TDMT216_03A_S01</t>
  </si>
  <si>
    <t xml:space="preserve">17 A</t>
  </si>
  <si>
    <t xml:space="preserve">27,49,50,50G,51,50 AFD</t>
  </si>
  <si>
    <t xml:space="preserve">U_T_RAMAL41 TDP_SEP02_03_A</t>
  </si>
  <si>
    <t xml:space="preserve">U_T_RAMAL148 TDB16_01_B_SE16</t>
  </si>
  <si>
    <t xml:space="preserve">U_T_RAMAL150 TR_16_08_SE16</t>
  </si>
  <si>
    <t xml:space="preserve">U_T_RAMAL414 TDB19_01_B_SE19</t>
  </si>
  <si>
    <t xml:space="preserve">U_T_RAMAL416 TR_19_22_SE19</t>
  </si>
  <si>
    <t xml:space="preserve">U_T_RAMAL53 TR_02_11_SE2</t>
  </si>
  <si>
    <t xml:space="preserve">U_T_RAMAL54 TR_02_12_SE2</t>
  </si>
  <si>
    <t xml:space="preserve">U_T_RAMAL135 TR_16_01_SE16</t>
  </si>
  <si>
    <t xml:space="preserve">U_T_RAMAL136 TR_16_02_SE16</t>
  </si>
  <si>
    <t xml:space="preserve">U_T_RAMAL401 TR_19_01_SE19</t>
  </si>
  <si>
    <t xml:space="preserve">U_T_RAMAL402 TR_19_02_SE19</t>
  </si>
  <si>
    <t xml:space="preserve">U_T_RAMAL39 TDP_SEP02_02_A</t>
  </si>
  <si>
    <t xml:space="preserve">U_T_RAMAL43 TDP_SEP02_04_A</t>
  </si>
  <si>
    <t xml:space="preserve">U_T_RAMAL44 TDP_SEP02_04_B</t>
  </si>
  <si>
    <t xml:space="preserve">U_T_RAMAL 680 TR_121_06_S12_1</t>
  </si>
  <si>
    <t xml:space="preserve">1255101100</t>
  </si>
  <si>
    <t xml:space="preserve">REA 105</t>
  </si>
  <si>
    <t xml:space="preserve">REF-615A_1G</t>
  </si>
  <si>
    <t xml:space="preserve">U_T_RAMAL 681 TR_121_08_S12_1</t>
  </si>
  <si>
    <t xml:space="preserve">U_T_RAMAL 672 TR_121_01_S12_1</t>
  </si>
  <si>
    <t xml:space="preserve">REA-107</t>
  </si>
  <si>
    <t xml:space="preserve">RET-615</t>
  </si>
  <si>
    <t xml:space="preserve">U_T_RAMAL 673 TR_121_02_S12_1</t>
  </si>
  <si>
    <t xml:space="preserve">U_T_RAMAL 682 CCM12101_A_S12_1</t>
  </si>
  <si>
    <t xml:space="preserve">U_T_RAMAL 683 CCM12101_B_S12_1</t>
  </si>
  <si>
    <t xml:space="preserve">U_T_RAMAL 684 CCM12102_A_S12_1</t>
  </si>
  <si>
    <t xml:space="preserve">U_T_RAMAL 685 CCM12102_B_S12_1</t>
  </si>
  <si>
    <t xml:space="preserve">U_T_RAMAL 686 CCM12103_A_S12_1</t>
  </si>
  <si>
    <t xml:space="preserve">U_T_RAMAL 687 CCM12103_B_S12_1</t>
  </si>
  <si>
    <t xml:space="preserve">U_T_RAMAL 688 TR_121_21_S12_1</t>
  </si>
  <si>
    <t xml:space="preserve">U_T_RAMAL 689 TR_121_22_S12_1</t>
  </si>
  <si>
    <t xml:space="preserve">U_T_RAMAL1 TR_SEP01_01A</t>
  </si>
  <si>
    <t xml:space="preserve">U_T_RAMAL8 TR_SEP01_05A</t>
  </si>
  <si>
    <t xml:space="preserve">U_T_RAMAL7 TR_SEP01_04A</t>
  </si>
  <si>
    <t xml:space="preserve">U_T_RAMAL6 TR_SEP01_03A</t>
  </si>
  <si>
    <t xml:space="preserve">REA 103</t>
  </si>
  <si>
    <t xml:space="preserve">U_T_RAMAL233 CCM17_01_A_SE17</t>
  </si>
  <si>
    <t xml:space="preserve">U_T_RAMAL234 CCM17_01_B_SE17</t>
  </si>
  <si>
    <t xml:space="preserve">U_T_RAMAL231 TR_17_01_SE17</t>
  </si>
  <si>
    <t xml:space="preserve">U_T_RAMAL232 TR_17_02_SE17</t>
  </si>
  <si>
    <t xml:space="preserve">U_T_COMPRESOR DE AIRE GB-00601 A</t>
  </si>
  <si>
    <t xml:space="preserve">U_T_COMPRESOR DE AIRE GB-00601 B</t>
  </si>
  <si>
    <t xml:space="preserve">U_T_COMPRESOR DE AIRE GB-00601 C</t>
  </si>
  <si>
    <t xml:space="preserve">U_T_COMPRESOR DE AIRE GB-00601 D</t>
  </si>
  <si>
    <t xml:space="preserve">U_T_COMPRESOR DE AIRE GB-00602 A</t>
  </si>
  <si>
    <t xml:space="preserve">U_T_RAMAL 674 TDM12101_A_S12_1</t>
  </si>
  <si>
    <t xml:space="preserve">U_T_RAMAL 678 TR_121_07_S12_1</t>
  </si>
  <si>
    <t xml:space="preserve">U_T_RAMAL 675 TDM12101_B_S12_1</t>
  </si>
  <si>
    <t xml:space="preserve">REA 107</t>
  </si>
  <si>
    <t xml:space="preserve">U_T_RAMAL 677 TR_121_05_S12_1</t>
  </si>
  <si>
    <t xml:space="preserve">U_T_RAMAL 676 TR_121_03_S12_1</t>
  </si>
  <si>
    <t xml:space="preserve">U_T_RAMAL 679 TR_121_04_S12_1</t>
  </si>
  <si>
    <t xml:space="preserve">U_T_RAMAL392 TR_12_08_SE_12</t>
  </si>
  <si>
    <t xml:space="preserve">REA-105</t>
  </si>
  <si>
    <t xml:space="preserve">U_T_RAMAL391 TR_12_06_SE_12</t>
  </si>
  <si>
    <t xml:space="preserve">U_T_RAMAL379 TDA12_01_A_SE12</t>
  </si>
  <si>
    <t xml:space="preserve">U_T_RAMAL383 TR_12_01_SE12</t>
  </si>
  <si>
    <t xml:space="preserve">U_T_RAMAL390 TR_12_04_SE_12</t>
  </si>
  <si>
    <t xml:space="preserve">U_T_RAMAL387 TR_12_03_SE_12</t>
  </si>
  <si>
    <t xml:space="preserve">U_T_RAMAL388 TR_12_05_SE_12</t>
  </si>
  <si>
    <t xml:space="preserve">U_T_RAMAL385 TDM12_01_A_SE12</t>
  </si>
  <si>
    <t xml:space="preserve">U_T_RAMAL381 BC_12_01_SE12</t>
  </si>
  <si>
    <t xml:space="preserve">3.0</t>
  </si>
  <si>
    <t xml:space="preserve">24</t>
  </si>
  <si>
    <t xml:space="preserve">735</t>
  </si>
  <si>
    <t xml:space="preserve">U_T_RAMAL380 TDA12_01_B_SE12</t>
  </si>
  <si>
    <t xml:space="preserve">U_T_RAMAL382 BC_12_02_SE12</t>
  </si>
  <si>
    <t xml:space="preserve">U_T_RAMAL384 TR_12_02_SE12</t>
  </si>
  <si>
    <t xml:space="preserve">U_T_RAMAL189 CCM02_02_A_SE2</t>
  </si>
  <si>
    <t xml:space="preserve">NA 4 / NC 4</t>
  </si>
  <si>
    <t xml:space="preserve">U_T_RAMAL190 CCM02_02_B_SE2</t>
  </si>
  <si>
    <t xml:space="preserve">U_T_RAMAL670 TR_09_04A_SE09</t>
  </si>
  <si>
    <t xml:space="preserve">3.0 A</t>
  </si>
  <si>
    <t xml:space="preserve">U_T_RAMAL671 TR_09_04B_SE09</t>
  </si>
  <si>
    <t xml:space="preserve">U_T_RAMAL175 TDA_02_01_A_SE2</t>
  </si>
  <si>
    <t xml:space="preserve">U_T_RAMAL176 TDA_02_01_B_SE2</t>
  </si>
  <si>
    <t xml:space="preserve">U_T_RAMAL191 TR_02_21_SE2</t>
  </si>
  <si>
    <t xml:space="preserve">U_T_RAMAL192 TR_02_22_SE2</t>
  </si>
  <si>
    <t xml:space="preserve">U_T_RAMAL652 TR_08_04A_SE08</t>
  </si>
  <si>
    <t xml:space="preserve">U_T_RAMAL653 TR_08_04B_SE08</t>
  </si>
  <si>
    <t xml:space="preserve">U_T_RAMAL181 TDM02_01_A_SE2</t>
  </si>
  <si>
    <t xml:space="preserve">U_T_RAMAL182 TDM02_01_B_SE2</t>
  </si>
  <si>
    <t xml:space="preserve">U_T_RAMAL636 TDMT0801_A_SE08</t>
  </si>
  <si>
    <t xml:space="preserve">U_T_RAMAL637 TDMT0801_B_SE08</t>
  </si>
  <si>
    <t xml:space="preserve">U_T_RAMAL656 TDMT0901_A_SE09</t>
  </si>
  <si>
    <t xml:space="preserve">U_T_RAMAL657 TDMT0901_B_SE09</t>
  </si>
  <si>
    <t xml:space="preserve">U_T_RAMAL642 TR_08_01A_SE08</t>
  </si>
  <si>
    <t xml:space="preserve">U_T_RAMAL643 TR_08_01B_SE08</t>
  </si>
  <si>
    <t xml:space="preserve">U_T_RAMAL641 TR_08_02A_SE08</t>
  </si>
  <si>
    <t xml:space="preserve">U_T_RAMAL644 TR_08_02B_SE08</t>
  </si>
  <si>
    <t xml:space="preserve">U_T_RAMAL640 TR_08_03A_SE08</t>
  </si>
  <si>
    <t xml:space="preserve">U_T_RAMAL645 TR_08_03B_SE08</t>
  </si>
  <si>
    <t xml:space="preserve">U_T_RAMAL660 TR_09_01A_SE_09</t>
  </si>
  <si>
    <t xml:space="preserve">U_T_RAMAL659 TR_09_02A_SE09</t>
  </si>
  <si>
    <t xml:space="preserve">U_T_RAMAL662 TR_09_02B_SE09</t>
  </si>
  <si>
    <t xml:space="preserve">U_T_RAMAL658 TR_09_03A_SE09</t>
  </si>
  <si>
    <t xml:space="preserve">U_T_RAMAL663 TR_09_03B_SE09</t>
  </si>
  <si>
    <t xml:space="preserve">U_T_RAMAL661 TR_09_01B_SE09</t>
  </si>
  <si>
    <t xml:space="preserve">U_T_RAMAL389 TR_12_07_SE_12</t>
  </si>
  <si>
    <t xml:space="preserve">U_T_RAMAL386 TDM12_01_B_SE12</t>
  </si>
  <si>
    <t xml:space="preserve">U_T_RAMAL729 CCM06_01_A_SE06</t>
  </si>
  <si>
    <t xml:space="preserve">6</t>
  </si>
  <si>
    <t xml:space="preserve">250</t>
  </si>
  <si>
    <t xml:space="preserve">U_T_RAMAL730 CCM06_01_B_SE06</t>
  </si>
  <si>
    <t xml:space="preserve">U_T_RAMAL731 CCM06_02_A_SE06</t>
  </si>
  <si>
    <t xml:space="preserve">U_T_RAMAL732 CCM06_02_B_SE06</t>
  </si>
  <si>
    <t xml:space="preserve">U_T_RAMAL733 CCM06_03_A_SE06</t>
  </si>
  <si>
    <t xml:space="preserve">U_T_RAMAL734 CCM06_03_B_SE06</t>
  </si>
  <si>
    <t xml:space="preserve">U_T_RAMAL718 TDM06_01_A_SE06</t>
  </si>
  <si>
    <t xml:space="preserve">NA 4 N C1</t>
  </si>
  <si>
    <t xml:space="preserve">101</t>
  </si>
  <si>
    <t xml:space="preserve">51P,50P,50G,BF</t>
  </si>
  <si>
    <t xml:space="preserve">U_T_RAMAL719 TDM06_01_B_SE06</t>
  </si>
  <si>
    <t xml:space="preserve">U_T_RAMAL716 TR_06_01_SE06</t>
  </si>
  <si>
    <t xml:space="preserve">51P,27,50G,BF</t>
  </si>
  <si>
    <t xml:space="preserve">50G,87T</t>
  </si>
  <si>
    <t xml:space="preserve">U_T_RAMAL717 TR_06_02_SE06</t>
  </si>
  <si>
    <t xml:space="preserve">U_T_RAMAL722 TR_06_03_SE06</t>
  </si>
  <si>
    <t xml:space="preserve">50P,51P,50G</t>
  </si>
  <si>
    <t xml:space="preserve">U_T_RAMAL725 TR_06_04_SE06</t>
  </si>
  <si>
    <t xml:space="preserve">U_T_RAMAL723 TR_06_05_SE06</t>
  </si>
  <si>
    <t xml:space="preserve">U_T_RAMAL726 TR_06_06_SE06</t>
  </si>
  <si>
    <t xml:space="preserve">U_T_RAMAL724 TR_06_07_SE06</t>
  </si>
  <si>
    <t xml:space="preserve">U_T_RAMAL727 TR_06_08_SE06</t>
  </si>
  <si>
    <t xml:space="preserve">U_T_RAMAL736 TR_06_09_SE06</t>
  </si>
  <si>
    <t xml:space="preserve">U_T_RAMAL737 TR_06_10_SE06</t>
  </si>
  <si>
    <t xml:space="preserve">U_T_RAMAL728 TR_06_13_SE06</t>
  </si>
  <si>
    <t xml:space="preserve">REA-103</t>
  </si>
  <si>
    <t xml:space="preserve">U_T_RAMAL393 CCM12_01_A_SE12</t>
  </si>
  <si>
    <t xml:space="preserve">U_T_RAMAL394 CCM12_01_B_SE12</t>
  </si>
  <si>
    <t xml:space="preserve">U_T_RAMAL395 CCM12_02_A_SE12</t>
  </si>
  <si>
    <t xml:space="preserve">U_T_RAMAL396 CCM12_02_B_SE12</t>
  </si>
  <si>
    <t xml:space="preserve">U_T_RAMAL397 CCM12_03_A_SE12</t>
  </si>
  <si>
    <t xml:space="preserve">U_T_RAMAL398 CCM12_03_B_SE12</t>
  </si>
  <si>
    <t xml:space="preserve">U_T_RAMAL399 TR_12_21_SE12</t>
  </si>
  <si>
    <t xml:space="preserve">U_T_RAMAL400 TR_12_22_SE12</t>
  </si>
  <si>
    <t xml:space="preserve">U_T_RAMAL603 21_BC_201A_SE07</t>
  </si>
  <si>
    <t xml:space="preserve">51P-1, 67N-1, 50N-1, 46,49F, 6</t>
  </si>
  <si>
    <t xml:space="preserve">7SR1502</t>
  </si>
  <si>
    <t xml:space="preserve">U_T_RAMAL604 21_BC_201B_SE07</t>
  </si>
  <si>
    <t xml:space="preserve">U_T_RAMAL 321 BC_14_01_SE_14</t>
  </si>
  <si>
    <t xml:space="preserve">17</t>
  </si>
  <si>
    <t xml:space="preserve">751</t>
  </si>
  <si>
    <t xml:space="preserve">U_T_RAMAL 322 BC_14_02_SE_14</t>
  </si>
  <si>
    <t xml:space="preserve">U_T_RAMAL177 BC_02_01_SE2</t>
  </si>
  <si>
    <t xml:space="preserve">U_T_RAMAL178 BC_02_02_SE2</t>
  </si>
  <si>
    <t xml:space="preserve">U_T_RAMAL821 BC_09_01A_SE09</t>
  </si>
  <si>
    <t xml:space="preserve">U_T_RAMAL 481 BC_23_01_SE23</t>
  </si>
  <si>
    <t xml:space="preserve">1.0</t>
  </si>
  <si>
    <t xml:space="preserve">1 A</t>
  </si>
  <si>
    <t xml:space="preserve">15 A</t>
  </si>
  <si>
    <t xml:space="preserve">50</t>
  </si>
  <si>
    <t xml:space="preserve">NA14/NC01</t>
  </si>
  <si>
    <t xml:space="preserve">25,27,32,50,50N,51,51N,55,59</t>
  </si>
  <si>
    <t xml:space="preserve">751A</t>
  </si>
  <si>
    <t xml:space="preserve">U_T_RAMAL 482 BC_23_02_SE23</t>
  </si>
  <si>
    <t xml:space="preserve">U_T_RAMAL294  40_BC_201A_SE24</t>
  </si>
  <si>
    <t xml:space="preserve">10 A</t>
  </si>
  <si>
    <t xml:space="preserve">11</t>
  </si>
  <si>
    <t xml:space="preserve">NA08/NC02</t>
  </si>
  <si>
    <t xml:space="preserve">49,50,51,50AFD,47,67,46,27,59</t>
  </si>
  <si>
    <t xml:space="preserve">7SR1205</t>
  </si>
  <si>
    <t xml:space="preserve">U_T_RAMAL295  40_BC_201B_SE24</t>
  </si>
  <si>
    <t xml:space="preserve">U_T_RAMAL 499 51_BC_201A_SE26</t>
  </si>
  <si>
    <t xml:space="preserve">U_T_RAMAL 500 51_BC_201B_SE26</t>
  </si>
  <si>
    <t xml:space="preserve">U_T_RAMAL 525 52_BC_201A_SE27</t>
  </si>
  <si>
    <t xml:space="preserve">U_T_RAMAL 526 52_BC_201B_SE27</t>
  </si>
  <si>
    <t xml:space="preserve">U_T_RAMAL720 BC_06_01_SE06</t>
  </si>
  <si>
    <t xml:space="preserve">INTERIOR</t>
  </si>
  <si>
    <t xml:space="preserve">51P,50G,BF,27</t>
  </si>
  <si>
    <t xml:space="preserve">U_T_RAMAL721 BC_06_02_SE06</t>
  </si>
  <si>
    <t xml:space="preserve">U_T_RAMAL188 CCM02_01_B_SE2</t>
  </si>
  <si>
    <t xml:space="preserve">87S,27P,59,64,46,40,24,81,50BF</t>
  </si>
  <si>
    <t xml:space="preserve">26Q, 50/51, 63PT-4, 87ET</t>
  </si>
  <si>
    <t xml:space="preserve">U_T_TURBOGENERADOR TG-10400</t>
  </si>
  <si>
    <t xml:space="preserve">U_T_RAMAL151 TR_18_01_SE18</t>
  </si>
  <si>
    <t xml:space="preserve">50,51,87T</t>
  </si>
  <si>
    <t xml:space="preserve">U_T_RAMAL152 TR_18_02_SE18</t>
  </si>
  <si>
    <t xml:space="preserve">U_T_RAMAL153 TDM18_01_A_SE18</t>
  </si>
  <si>
    <t xml:space="preserve">U_T_RAMAL157 TR_18_03_SE18</t>
  </si>
  <si>
    <t xml:space="preserve">U_T_RAMAL155 BC_18_01_SE18</t>
  </si>
  <si>
    <t xml:space="preserve">U_T_RAMAL154 TDM18_01_B_SE18</t>
  </si>
  <si>
    <t xml:space="preserve">U_T_RAMAL156 BC_18_02_SE18</t>
  </si>
  <si>
    <t xml:space="preserve">U_T_RAMAL158 TR_18_04_SE18</t>
  </si>
  <si>
    <t xml:space="preserve">U_T_RAMAL27 TR_SEP02_01</t>
  </si>
  <si>
    <t xml:space="preserve">87L,21,67</t>
  </si>
  <si>
    <t xml:space="preserve">12</t>
  </si>
  <si>
    <t xml:space="preserve">12 A</t>
  </si>
  <si>
    <t xml:space="preserve">6 NC Y 6 NA</t>
  </si>
  <si>
    <t xml:space="preserve">50FI</t>
  </si>
  <si>
    <t xml:space="preserve">87T, 50, 51, 50G, 51G</t>
  </si>
  <si>
    <t xml:space="preserve">87T, 50, 51, 50G, 51 G</t>
  </si>
  <si>
    <t xml:space="preserve">87TL/50/51</t>
  </si>
  <si>
    <t xml:space="preserve">87T,50/51,24/51NT/86BU</t>
  </si>
  <si>
    <t xml:space="preserve">50FI/86DT/25/27/79</t>
  </si>
  <si>
    <t xml:space="preserve">87L/67/67N21/21N/DTL</t>
  </si>
  <si>
    <t xml:space="preserve">7 N.C. Y 8 N.A.</t>
  </si>
  <si>
    <t xml:space="preserve">87L,67/67N/21/21N/DTL/79/25/27</t>
  </si>
  <si>
    <t xml:space="preserve">U_T_RAMAL654 TDB08_05_A_SE08</t>
  </si>
  <si>
    <t xml:space="preserve">U_T_RAMAL655 TDB08_05_B_SE08</t>
  </si>
  <si>
    <t xml:space="preserve">U_T_RAMAL179 TR_02_01_SE2</t>
  </si>
  <si>
    <t xml:space="preserve">U_T_RAMAL183 TR_02_03_SE2</t>
  </si>
  <si>
    <t xml:space="preserve">U_T_RAMAL185 TR_02_04_SE2</t>
  </si>
  <si>
    <t xml:space="preserve">U_T_RAMAL184 TR_02_05_SE2</t>
  </si>
  <si>
    <t xml:space="preserve">U_T_RAMAL186 TR_02_06_SE2</t>
  </si>
  <si>
    <t xml:space="preserve">U_T_RAMAL638 BC_08_01A_SE08</t>
  </si>
  <si>
    <t xml:space="preserve">U_T_RAMAL639 BC_08_02B_SE08</t>
  </si>
  <si>
    <t xml:space="preserve">U_T_RAMAL187 CCM02_01_A_SE2</t>
  </si>
  <si>
    <t xml:space="preserve">U_T_RAMAL668 CCM09_03_A_SE09</t>
  </si>
  <si>
    <t xml:space="preserve">U_T_RAMAL28 TR_SEP02_02</t>
  </si>
  <si>
    <t xml:space="preserve">U_T_RAMAL646 CCM08_01_A_SE08</t>
  </si>
  <si>
    <t xml:space="preserve">U_T_RAMAL647 CCM08_01_B_SE08</t>
  </si>
  <si>
    <t xml:space="preserve">U_T_RAMAL648 CCM08_02_A_SE08</t>
  </si>
  <si>
    <t xml:space="preserve">U_T_RAMAL649 CCM08_02_B_SE08</t>
  </si>
  <si>
    <t xml:space="preserve">U_T_RAMAL650 CCM08_03_A_SE08</t>
  </si>
  <si>
    <t xml:space="preserve">U_T_RAMAL651 CCM08_03_B_SE08</t>
  </si>
  <si>
    <t xml:space="preserve">U_T_RAMAL664 CCM09_01_A_SE09</t>
  </si>
  <si>
    <t xml:space="preserve">U_T_RAMAL665 CCM09_01_B_SE09</t>
  </si>
  <si>
    <t xml:space="preserve">U_T_RAMAL666 CCM09_02_A_SE09</t>
  </si>
  <si>
    <t xml:space="preserve">U_T_RAMAL667 CCM09_02_B_SE09</t>
  </si>
  <si>
    <t xml:space="preserve">U_T_RAMAL669 CCM09_03_B_SE09</t>
  </si>
  <si>
    <t xml:space="preserve">U_T_RAMAL64 TR_02_24_SE2</t>
  </si>
  <si>
    <t xml:space="preserve">U_T_RAMAL247 BC_20_01_SE20</t>
  </si>
  <si>
    <t xml:space="preserve">27, 50, 50G, 50BF, 51, AFD</t>
  </si>
  <si>
    <t xml:space="preserve">7SR51</t>
  </si>
  <si>
    <t xml:space="preserve">U_T_RAMAL248 BC_20_02_SE20</t>
  </si>
  <si>
    <t xml:space="preserve">U_T_RAMAL251 TR_20_04_SE20</t>
  </si>
  <si>
    <t xml:space="preserve">U_T_RAMAL249 TR_20_03_SE20</t>
  </si>
  <si>
    <t xml:space="preserve">U_T_RAMAL245 CCM20_01_A_SE20</t>
  </si>
  <si>
    <t xml:space="preserve">U_T_RAMAL252 TR_20_05_SE20</t>
  </si>
  <si>
    <t xml:space="preserve">U_T_RAMAL250 TR_20_06_SE20</t>
  </si>
  <si>
    <t xml:space="preserve">U_T_RAMAL246 CCM20_01_B_SE20</t>
  </si>
  <si>
    <t xml:space="preserve">U_T_RAMAL253 CCM20_02_A_SE20</t>
  </si>
  <si>
    <t xml:space="preserve">2 A</t>
  </si>
  <si>
    <t xml:space="preserve">2 N.A.</t>
  </si>
  <si>
    <t xml:space="preserve">7KM54</t>
  </si>
  <si>
    <t xml:space="preserve">U_T_RAMAL254 CCM20_02_B_SE20</t>
  </si>
  <si>
    <t xml:space="preserve">27, 50BF, 51, AFD</t>
  </si>
  <si>
    <t xml:space="preserve">U_T_RAMAL244 TR_20_02_SE20</t>
  </si>
  <si>
    <t xml:space="preserve">3 N.C. Y 12 N.A.</t>
  </si>
  <si>
    <t xml:space="preserve">50G, 87T, 87N</t>
  </si>
  <si>
    <t xml:space="preserve">7SR54</t>
  </si>
  <si>
    <t xml:space="preserve">27, 50G, 50BF, 51, AFD</t>
  </si>
  <si>
    <t xml:space="preserve">U_T_RAMAL243 TR_20_01_SE20</t>
  </si>
  <si>
    <t xml:space="preserve">U_T_RAMAL174 TR_33_06_SE33</t>
  </si>
  <si>
    <t xml:space="preserve">U_T_RAMAL173 TR_33_05_SE33</t>
  </si>
  <si>
    <t xml:space="preserve">U_T_RAMAL172 CCM33_02_B_SE33</t>
  </si>
  <si>
    <t xml:space="preserve">U_T_RAMAL255 CCM20_03_A_SE20</t>
  </si>
  <si>
    <t xml:space="preserve">U_T_RAMAL256 CCM20_03_B_SE20</t>
  </si>
  <si>
    <t xml:space="preserve">U_T_RAMAL257 TR_20_07_SE20</t>
  </si>
  <si>
    <t xml:space="preserve">U_T_RAMAL258 TR_20_08_SE20</t>
  </si>
  <si>
    <t xml:space="preserve">U_T_RAMAL267  TR_21_01_SE21</t>
  </si>
  <si>
    <t xml:space="preserve">U_T_RAMAL268  TR_21_02_SE21</t>
  </si>
  <si>
    <t xml:space="preserve">U_T_RAMAL269  CCM21_01_A_SE21</t>
  </si>
  <si>
    <t xml:space="preserve">U_T_RAMAL270 CCM21_01_B_SE21</t>
  </si>
  <si>
    <t xml:space="preserve">U_T_RAMAL273  TR_21_03_SE21</t>
  </si>
  <si>
    <t xml:space="preserve">U_T_RAMAL271 BC_21_01_SE21</t>
  </si>
  <si>
    <t xml:space="preserve">U_T_RAMAL272  BC_21_02_SE21</t>
  </si>
  <si>
    <t xml:space="preserve">U_T_RAMAL274  TR_21_04_SE21</t>
  </si>
  <si>
    <t xml:space="preserve">U_T_RAMAL278  TR_21_05_SE21</t>
  </si>
  <si>
    <t xml:space="preserve">U_T_RAMAL171 CCM33_02_A_SE33</t>
  </si>
  <si>
    <t xml:space="preserve">U_T_RAMAL319  TDMT14_01A_SE14</t>
  </si>
  <si>
    <t xml:space="preserve">50, A, F,</t>
  </si>
  <si>
    <t xml:space="preserve">U_T_RAMAL320  TDMT14_01B_SE14</t>
  </si>
  <si>
    <t xml:space="preserve">U_T_RAMAL 328 TR_14_04_SE_14</t>
  </si>
  <si>
    <t xml:space="preserve">U_T_RAMAL 329 TR_14_06_SE_14</t>
  </si>
  <si>
    <t xml:space="preserve">U_T_RAMAL 330 TR_14_08_SE_14</t>
  </si>
  <si>
    <t xml:space="preserve">U_T_RAMAL 331 TR_14_16_SE_14</t>
  </si>
  <si>
    <t xml:space="preserve">U_T_RAMAL 332 TR_14_18_SE_14</t>
  </si>
  <si>
    <t xml:space="preserve">U_T_RAMAL 333 CCM14_01_A_SE14</t>
  </si>
  <si>
    <t xml:space="preserve">U_T_RAMAL 334 CCM14_01_B_SE14</t>
  </si>
  <si>
    <t xml:space="preserve">U_T_RAMAL 335 CCM14_02_A_SE14</t>
  </si>
  <si>
    <t xml:space="preserve">U_T_RAMAL 336 CCM14_02_B_SE14</t>
  </si>
  <si>
    <t xml:space="preserve">U_T_RAMAL 337 CCM14_03_A_SE14</t>
  </si>
  <si>
    <t xml:space="preserve">U_T_RAMAL 338 CCM14_03_B_SE14</t>
  </si>
  <si>
    <t xml:space="preserve">U_T_RAMAL 341 CCM14_10_A_SE14</t>
  </si>
  <si>
    <t xml:space="preserve">U_T_RAMAL795  CCM14_10_B_SE14</t>
  </si>
  <si>
    <t xml:space="preserve">U_T_RAMAL 342 CCM14_11_A_SE14</t>
  </si>
  <si>
    <t xml:space="preserve">U_T_RAMAL 343 CCM14_11_B_SE14</t>
  </si>
  <si>
    <t xml:space="preserve">U_T_RAMAL 339 TR_14_09_SE14</t>
  </si>
  <si>
    <t xml:space="preserve">U_T_RAMAL 340 TR_14_10_SE14</t>
  </si>
  <si>
    <t xml:space="preserve">U_T_RAMAL163 TR_33_01_SE33</t>
  </si>
  <si>
    <t xml:space="preserve">U_T_RAMAL164 TR_33_02_SE33</t>
  </si>
  <si>
    <t xml:space="preserve">U_T_RAMAL165 CCM33_01_A_SE33</t>
  </si>
  <si>
    <t xml:space="preserve">U_T_RAMAL166 CCM33_01_B_SE33</t>
  </si>
  <si>
    <t xml:space="preserve">U_T_RAMAL169 TR_33_03_SE33</t>
  </si>
  <si>
    <t xml:space="preserve">U_T_RAMAL167 BC_33_01_SE33</t>
  </si>
  <si>
    <t xml:space="preserve">U_T_RAMAL168 BC_33_02_SE33</t>
  </si>
  <si>
    <t xml:space="preserve">U_T_RAMAL 360 TR_10_05A_SE10</t>
  </si>
  <si>
    <t xml:space="preserve">20.0 A</t>
  </si>
  <si>
    <t xml:space="preserve">4 N.C. T 4 N.A.</t>
  </si>
  <si>
    <t xml:space="preserve">U_T_RAMAL 361 TR_10_05B_SE10</t>
  </si>
  <si>
    <t xml:space="preserve">U_T_RAMAL 259 CCM201_01A_S20-1</t>
  </si>
  <si>
    <t xml:space="preserve">U_T_RAMAL 260 CCM201_01B_S20-1</t>
  </si>
  <si>
    <t xml:space="preserve">U_T_RAMAL261 TR201_01_SE20_1</t>
  </si>
  <si>
    <t xml:space="preserve">U_T_RAMAL 262 TR201_02_SE20_1</t>
  </si>
  <si>
    <t xml:space="preserve">U_T_RAMAL 263 CCM201_02A_S20-1</t>
  </si>
  <si>
    <t xml:space="preserve">U_T_RAMAL 264 CCM201_02B_S20-1</t>
  </si>
  <si>
    <t xml:space="preserve">U_T_RAMAL425 TR_CE191_01</t>
  </si>
  <si>
    <t xml:space="preserve">54 A</t>
  </si>
  <si>
    <t xml:space="preserve">46</t>
  </si>
  <si>
    <t xml:space="preserve">5 N.C. Y 21 N.A.</t>
  </si>
  <si>
    <t xml:space="preserve">50, 50G, 51, 51G, 50BF, AFD</t>
  </si>
  <si>
    <t xml:space="preserve">U_T_RAMAL426 TR_CE191_02</t>
  </si>
  <si>
    <t xml:space="preserve">U_T_RAMAL 427 CCM_CE191_01_A</t>
  </si>
  <si>
    <t xml:space="preserve">6 A</t>
  </si>
  <si>
    <t xml:space="preserve">1 N.C. Y 5 N.A.</t>
  </si>
  <si>
    <t xml:space="preserve">U_T_RAMAL428 CCM_CE191_01_B</t>
  </si>
  <si>
    <t xml:space="preserve">U_T_RAMAL429 TR_CE191_03</t>
  </si>
  <si>
    <t xml:space="preserve">U_T_RAMAL430 TR_CE191_04</t>
  </si>
  <si>
    <t xml:space="preserve">U_T_RAMAL 365 BC_13_01_SE_13</t>
  </si>
  <si>
    <t xml:space="preserve">U_T_RAMAL 367 TR_13_01_SE_13</t>
  </si>
  <si>
    <t xml:space="preserve">U_T_RAMAL 363 CCM_13_01_A_S13</t>
  </si>
  <si>
    <t xml:space="preserve">U_T_RAMAL 364 CCM_13_01_B_S13</t>
  </si>
  <si>
    <t xml:space="preserve">U_T_RAMAL 368 TR_13_02_SE_13</t>
  </si>
  <si>
    <t xml:space="preserve">U_T_RAMAL 366 BC_13_02_SE_13</t>
  </si>
  <si>
    <t xml:space="preserve">U_T_RAMAL 369 CCM13_02_A_SE13</t>
  </si>
  <si>
    <t xml:space="preserve">U_T_RAMAL 370 CCM13_02_B_SE13</t>
  </si>
  <si>
    <t xml:space="preserve">U_T_RAMAL 371 TR_13_03_SE_13</t>
  </si>
  <si>
    <t xml:space="preserve">U_T_RAMAL 372 TR_13_04_SE_13</t>
  </si>
  <si>
    <t xml:space="preserve">U_T_RAMAL 495 51TR_101A_SE26</t>
  </si>
  <si>
    <t xml:space="preserve">41</t>
  </si>
  <si>
    <t xml:space="preserve">49T,50/51,50AFD,50/51G,50/51N</t>
  </si>
  <si>
    <t xml:space="preserve">845</t>
  </si>
  <si>
    <t xml:space="preserve">U_T_RAMAL 493 51TDP101_A_SE26</t>
  </si>
  <si>
    <t xml:space="preserve">25,27,50/51/50N/51N, 50AFD</t>
  </si>
  <si>
    <t xml:space="preserve">100</t>
  </si>
  <si>
    <t xml:space="preserve">NA35/NC03</t>
  </si>
  <si>
    <t xml:space="preserve">87B1, 87B2</t>
  </si>
  <si>
    <t xml:space="preserve">B90</t>
  </si>
  <si>
    <t xml:space="preserve">U_T_RAMAL 494 51TDP101_B_SE26</t>
  </si>
  <si>
    <t xml:space="preserve">U_T_RAMAL 496 51TR_101B_SE26</t>
  </si>
  <si>
    <t xml:space="preserve">50/51,50/51N,59,50AFD</t>
  </si>
  <si>
    <t xml:space="preserve">U_T_RAMAL 503 51_TR_203A_SE26</t>
  </si>
  <si>
    <t xml:space="preserve">49T,50/51,50/51N,50AFD</t>
  </si>
  <si>
    <t xml:space="preserve">U_T_RAMAL 502 51_TR_202A_SE26</t>
  </si>
  <si>
    <t xml:space="preserve">U_T_RAMAL 359 CCM10_03_B_SE10</t>
  </si>
  <si>
    <t xml:space="preserve">11 A</t>
  </si>
  <si>
    <t xml:space="preserve">7</t>
  </si>
  <si>
    <t xml:space="preserve">700V</t>
  </si>
  <si>
    <t xml:space="preserve">U_T_RAMAL280  CCM211_01A_S211</t>
  </si>
  <si>
    <t xml:space="preserve">U_T_RAMAL281  CCM211_01B_S21_1</t>
  </si>
  <si>
    <t xml:space="preserve">U_T_RAMAL282  TR_211_01_SE21_1</t>
  </si>
  <si>
    <t xml:space="preserve">U_T_RAMAL283  TR_211_02_SE21_1</t>
  </si>
  <si>
    <t xml:space="preserve">U_T_RAMAL286  TR211_03_SE21_1</t>
  </si>
  <si>
    <t xml:space="preserve">U_T_RAMAL287  TR211_04_SE21_1</t>
  </si>
  <si>
    <t xml:space="preserve">U_T_RAMAL373 TR_22_01_SE22</t>
  </si>
  <si>
    <t xml:space="preserve">U_T_RAMAL374 TR_22_02_SE22</t>
  </si>
  <si>
    <t xml:space="preserve">U_T_RAMAL375 CCM22_01_A_SE22</t>
  </si>
  <si>
    <t xml:space="preserve">U_T_RAMAL376 CCM22_01_B_SE22</t>
  </si>
  <si>
    <t xml:space="preserve">U_T_RAMAL377 TR_22_03_SE22</t>
  </si>
  <si>
    <t xml:space="preserve">U_T_RAMAL378 TR_22_04_SE22</t>
  </si>
  <si>
    <t xml:space="preserve">U_T_RAMAL 417 TDM191_01A_S19_1</t>
  </si>
  <si>
    <t xml:space="preserve">U_T_RAMAL 418 TDM191_01B_S19_1</t>
  </si>
  <si>
    <t xml:space="preserve">U_T_RAMAL 419 TR_191-01_S19_1</t>
  </si>
  <si>
    <t xml:space="preserve">U_T_RAMAL 420 TR_191-02_S19_1</t>
  </si>
  <si>
    <t xml:space="preserve">U_T_RAMAL 421 CCM191_01A_S19_1</t>
  </si>
  <si>
    <t xml:space="preserve">5 Y 7 N.A</t>
  </si>
  <si>
    <t xml:space="preserve">350</t>
  </si>
  <si>
    <t xml:space="preserve">U_T_RAMAL 422 CCM191_01B_S19_1</t>
  </si>
  <si>
    <t xml:space="preserve">U_T_RAMAL 423 TR_191_21_S19_1</t>
  </si>
  <si>
    <t xml:space="preserve">U_T_RAMAL 424 TR_191_22_S19_1</t>
  </si>
  <si>
    <t xml:space="preserve">U_T_RAMAL 344 TDMT10_01_A_S10</t>
  </si>
  <si>
    <t xml:space="preserve">U_T_RAMAL 345 TDMT10_01_B_S10</t>
  </si>
  <si>
    <t xml:space="preserve">U_T_RAMAL 346 BC_10_01A_SE_10</t>
  </si>
  <si>
    <t xml:space="preserve">U_T_RAMAL 350 TR_10_03A_SE_10</t>
  </si>
  <si>
    <t xml:space="preserve">U_T_RAMAL 349 TR_10_02A_SE_10</t>
  </si>
  <si>
    <t xml:space="preserve">U_T_RAMAL 348 TR_10_01A_SE_10</t>
  </si>
  <si>
    <t xml:space="preserve">U_T_RAMAL 351 TR_10_01B_SE_10</t>
  </si>
  <si>
    <t xml:space="preserve">U_T_RAMAL 352 TR_10-02B_SE_10</t>
  </si>
  <si>
    <t xml:space="preserve">U_T_RAMAL 353 TR_10_03B_SE_10</t>
  </si>
  <si>
    <t xml:space="preserve">U_T_RAMAL 347 BC_10_01B_SE_10</t>
  </si>
  <si>
    <t xml:space="preserve">U_T_RAMAL 354 CCM10_01_A_SE10</t>
  </si>
  <si>
    <t xml:space="preserve">U_T_RAMAL 355 CCM10_01_B_SE10</t>
  </si>
  <si>
    <t xml:space="preserve">U_T_RAMAL 356 CCM10_02_A_SE10</t>
  </si>
  <si>
    <t xml:space="preserve">U_T_RAMAL 357 CCM10_02_B_SE10</t>
  </si>
  <si>
    <t xml:space="preserve">U_T_RAMAL 358 CCM10_03_A_SE10</t>
  </si>
  <si>
    <t xml:space="preserve">U_T_RAMAL 323 TR_14_03_SE_14</t>
  </si>
  <si>
    <t xml:space="preserve">U_T_RAMAL95 62TDMT_201A_SE4</t>
  </si>
  <si>
    <t xml:space="preserve">NA 10 NC 6</t>
  </si>
  <si>
    <t xml:space="preserve">51,51N,27,50AFD</t>
  </si>
  <si>
    <t xml:space="preserve">DIGITALES Y/O ANALOGICAS</t>
  </si>
  <si>
    <t xml:space="preserve">U_T_RAMAL96 62TDMT_201B_SE4</t>
  </si>
  <si>
    <t xml:space="preserve">U_T_RAMAL97 62_TR_201A_SE4</t>
  </si>
  <si>
    <t xml:space="preserve">51,50,51N,49T,50AFD</t>
  </si>
  <si>
    <t xml:space="preserve">U_T_RAMAL101 62_TR_201B_SE4</t>
  </si>
  <si>
    <t xml:space="preserve">U_T_RAMAL98 62_TR_202A_SE4</t>
  </si>
  <si>
    <t xml:space="preserve">U_T_RAMAL102 62_TR_202B_SE4</t>
  </si>
  <si>
    <t xml:space="preserve">U_T_RAMAL99 62_TR_203A_SE4</t>
  </si>
  <si>
    <t xml:space="preserve">U_T_RAMAL103 62_TR_203B_SE4</t>
  </si>
  <si>
    <t xml:space="preserve">U_T_RAMAL100 62_BC_201A_SE4</t>
  </si>
  <si>
    <t xml:space="preserve">51,50N,59,50AFD</t>
  </si>
  <si>
    <t xml:space="preserve">U_T_RAMAL104 62_BC_201B_SE4</t>
  </si>
  <si>
    <t xml:space="preserve">U_T_RAMAL105 62CCM_301_A_SE4</t>
  </si>
  <si>
    <t xml:space="preserve">DIGITAL Y ANALOGICAS</t>
  </si>
  <si>
    <t xml:space="preserve">U_T_RAMAL106 62CCM_301_B_SE4</t>
  </si>
  <si>
    <t xml:space="preserve">375</t>
  </si>
  <si>
    <t xml:space="preserve">U_T_RAMAL107 62CCM_302_A_SE4</t>
  </si>
  <si>
    <t xml:space="preserve">U_T_RAMAL108 62CCM_302_B_SE4</t>
  </si>
  <si>
    <t xml:space="preserve">U_T_RAMAL109 62CCM_303_A_SE4</t>
  </si>
  <si>
    <t xml:space="preserve">U_T_RAMAL110 62CCM_303_B_SE4</t>
  </si>
  <si>
    <t xml:space="preserve">U_T_RAMAL111 62_TR_301A_SE4</t>
  </si>
  <si>
    <t xml:space="preserve">U_T_RAMAL114 62_TR_301B_SE4</t>
  </si>
  <si>
    <t xml:space="preserve">U_T_RAMAL112 62_TR_302A_SE4</t>
  </si>
  <si>
    <t xml:space="preserve">U_T_RAMAL115 62_TR_302B_SE4</t>
  </si>
  <si>
    <t xml:space="preserve">U_T_RAMAL113 62_TR_303A_SE4</t>
  </si>
  <si>
    <t xml:space="preserve">U_T_RAMAL116 62_TR_303B_SE4</t>
  </si>
  <si>
    <t xml:space="preserve">U_T_RAMAL193 71TDP_101_A_SE11</t>
  </si>
  <si>
    <t xml:space="preserve">NA 35 NC 3</t>
  </si>
  <si>
    <t xml:space="preserve">87B1,87B2</t>
  </si>
  <si>
    <t xml:space="preserve">890</t>
  </si>
  <si>
    <t xml:space="preserve">U_T_RAMAL194 71TDP_101_B_SE11</t>
  </si>
  <si>
    <t xml:space="preserve">51,51N,50AFD</t>
  </si>
  <si>
    <t xml:space="preserve">U_T_RAMAL197 71TR_101A_SE11</t>
  </si>
  <si>
    <t xml:space="preserve">50,51,50N,51G,49T,50AFD</t>
  </si>
  <si>
    <t xml:space="preserve">U_T_RAMAL198 71TR_101B_SE11</t>
  </si>
  <si>
    <t xml:space="preserve">U_T_RAMAL195 71_BC_101A_SE11</t>
  </si>
  <si>
    <t xml:space="preserve">U_T_RAMAL196 71_BC_101B_SE11</t>
  </si>
  <si>
    <t xml:space="preserve">U_T_RAMAL199 71TDMT201A_SE11</t>
  </si>
  <si>
    <t xml:space="preserve">U_T_RAMAL200 71TDMT201B-SE11</t>
  </si>
  <si>
    <t xml:space="preserve">U_T_RAMAL201 71TR_201A_SE11</t>
  </si>
  <si>
    <t xml:space="preserve">U_T_RAMAL207 71TR_201B_SE11</t>
  </si>
  <si>
    <t xml:space="preserve">U_T_RAMAL202 71TR_202A_SE11</t>
  </si>
  <si>
    <t xml:space="preserve">U_T_RAMAL94 62_TR_101B_SE4</t>
  </si>
  <si>
    <t xml:space="preserve">U_T_RAMAL65 61_TDP101_A_SE3</t>
  </si>
  <si>
    <t xml:space="preserve">U_T_RAMAL66 61TDP_101_B_SE3</t>
  </si>
  <si>
    <t xml:space="preserve">U_T_RAMAL67 61_TR_101A_SE3</t>
  </si>
  <si>
    <t xml:space="preserve">U_T_RAMAL68 61_TR_101B_SE3</t>
  </si>
  <si>
    <t xml:space="preserve">U_T_RAMAL69 61TDMT_201A_SE3</t>
  </si>
  <si>
    <t xml:space="preserve">U_T_RAMAL70 61TDMT_201B_SE3</t>
  </si>
  <si>
    <t xml:space="preserve">U_T_RAMAL71 61_TR_201A_SE3</t>
  </si>
  <si>
    <t xml:space="preserve">U_T_RAMAL75 61_TR_201B_SE3</t>
  </si>
  <si>
    <t xml:space="preserve">U_T_RAMAL72 61_TR_202A_SE3</t>
  </si>
  <si>
    <t xml:space="preserve">U_T_RAMAL76 61_TR_202B_SE3</t>
  </si>
  <si>
    <t xml:space="preserve">U_T_RAMAL73 61_TR_203A_SE3</t>
  </si>
  <si>
    <t xml:space="preserve">U_T_RAMAL77 61_TR_203B_SE3</t>
  </si>
  <si>
    <t xml:space="preserve">U_T_RAMAL74 61_BC_201A_SE3</t>
  </si>
  <si>
    <t xml:space="preserve">U_T_RAMAL78 61_BC_201B_SE3</t>
  </si>
  <si>
    <t xml:space="preserve">U_T_RAMAL79 61CCM_301A_SE3</t>
  </si>
  <si>
    <t xml:space="preserve">U_T_RAMAL80 61CCM_301B_SE3</t>
  </si>
  <si>
    <t xml:space="preserve">U_T_RAMAL81 61CCM_302A_SE3</t>
  </si>
  <si>
    <t xml:space="preserve">U_T_RAMAL82 61CCM_302B_SE3</t>
  </si>
  <si>
    <t xml:space="preserve">U_T_RAMAL83 61CCM_303A_SE3</t>
  </si>
  <si>
    <t xml:space="preserve">U_T_RAMAL84 61CCM_303B_SE3</t>
  </si>
  <si>
    <t xml:space="preserve">U_T_RAMAL85 61_TR_301A_SE3</t>
  </si>
  <si>
    <t xml:space="preserve">U_T_RAMAL88 61_TR_301B_SE3</t>
  </si>
  <si>
    <t xml:space="preserve">U_T_RAMAL91 62TDP_101_A_SE4</t>
  </si>
  <si>
    <t xml:space="preserve">U_T_RAMAL92 62TDP_101_B_SE4</t>
  </si>
  <si>
    <t xml:space="preserve">U_T_RAMAL93 62_TR_101A_SE4</t>
  </si>
  <si>
    <t xml:space="preserve">U_T_RAMAL601 21TDMT201A_SE07</t>
  </si>
  <si>
    <t xml:space="preserve">U_T_RAMAL602 21TDMT201B_SE07</t>
  </si>
  <si>
    <t xml:space="preserve">U_T_RAMAL611 21_TR_201B_SE07</t>
  </si>
  <si>
    <t xml:space="preserve">U_T_RAMAL612 21_TR_202B_SE07</t>
  </si>
  <si>
    <t xml:space="preserve">U_T_RAMAL613 21_TR_203B_SE07</t>
  </si>
  <si>
    <t xml:space="preserve">U_T_RAMAL614 21_TR_204B_SE07</t>
  </si>
  <si>
    <t xml:space="preserve">U_T_RAMAL615 21_TR_205B_SE07</t>
  </si>
  <si>
    <t xml:space="preserve">U_T_RAMAL616 21_TR_206B_SE07</t>
  </si>
  <si>
    <t xml:space="preserve">U_T_RAMAL617 21_TR_291_SE07</t>
  </si>
  <si>
    <t xml:space="preserve">U_T_RAMAL618 21CCM301_A_SE07</t>
  </si>
  <si>
    <t xml:space="preserve">U_T_RAMAL619 21CCM301_B_SE07</t>
  </si>
  <si>
    <t xml:space="preserve">U_T_RAMAL620 21CCM302_A_SE07</t>
  </si>
  <si>
    <t xml:space="preserve">U_T_RAMAL621 21CCM302_B_SE07</t>
  </si>
  <si>
    <t xml:space="preserve">U_T_RAMAL622 21CCM303_A_SE07</t>
  </si>
  <si>
    <t xml:space="preserve">U_T_RAMAL623 21CCM303_B_SE07</t>
  </si>
  <si>
    <t xml:space="preserve">U_T_RAMAL624 21CCM304_A_SE07</t>
  </si>
  <si>
    <t xml:space="preserve">U_T_RAMAL625 21CCM304_B_SE07</t>
  </si>
  <si>
    <t xml:space="preserve">U_T_RAMAL626 21CCM305_A_SE07</t>
  </si>
  <si>
    <t xml:space="preserve">U_T_RAMAL627 21CCM305_B_SE07</t>
  </si>
  <si>
    <t xml:space="preserve">U_T_RAMAL628 21CCM306_A_SE07</t>
  </si>
  <si>
    <t xml:space="preserve">U_T_RAMAL629 21CCM306_B_SE07</t>
  </si>
  <si>
    <t xml:space="preserve">U_T_RAMAL630 21_TR_301A_SE07</t>
  </si>
  <si>
    <t xml:space="preserve">U_T_RAMAL631 21_TR_301B_SE07</t>
  </si>
  <si>
    <t xml:space="preserve">U_T_RAMAL632 21_TR_302A_SE07</t>
  </si>
  <si>
    <t xml:space="preserve">U_T_RAMAL633 21_TR_302B_SE07</t>
  </si>
  <si>
    <t xml:space="preserve">U_T_RAMAL 317 TR_14_01_SE14</t>
  </si>
  <si>
    <t xml:space="preserve">U_T_RAMAL 318 TR_14_02_SE14</t>
  </si>
  <si>
    <t xml:space="preserve">U_T_RAMAL 327 TR_14_17_SE_14</t>
  </si>
  <si>
    <t xml:space="preserve">U_T_RAMAL 326 TR_14_15_SE_14</t>
  </si>
  <si>
    <t xml:space="preserve">U_T_RAMAL 325 TR_14_07_SE_14</t>
  </si>
  <si>
    <t xml:space="preserve">U_T_RAMAL 324 TR_14_05_SE_14</t>
  </si>
  <si>
    <t xml:space="preserve">U_T_RAMAL605 21_TR_201A_SE07</t>
  </si>
  <si>
    <t xml:space="preserve">U_T_RAMAL208 71TR_202B_SE11</t>
  </si>
  <si>
    <t xml:space="preserve">U_T_RAMAL203 71TR_203A_SE11</t>
  </si>
  <si>
    <t xml:space="preserve">U_T_RAMAL209 71TR_203B_SE11</t>
  </si>
  <si>
    <t xml:space="preserve">U_T_RAMAL204 71TR_204A_SE11</t>
  </si>
  <si>
    <t xml:space="preserve">U_T_RAMAL210 71TR_204B_SE11</t>
  </si>
  <si>
    <t xml:space="preserve">U_T_RAMAL205 71TR_205A_SE11</t>
  </si>
  <si>
    <t xml:space="preserve">U_T_RAMAL211 71TR_205B_SE11</t>
  </si>
  <si>
    <t xml:space="preserve">U_T_RAMAL206 71TR_206A_SE11</t>
  </si>
  <si>
    <t xml:space="preserve">U_T_RAMAL212 71TR_206B_SE11</t>
  </si>
  <si>
    <t xml:space="preserve">U_T_RAMAL213 71CCM301_A_SE11</t>
  </si>
  <si>
    <t xml:space="preserve">U_T_RAMAL214 71CCM301_B_SE11</t>
  </si>
  <si>
    <t xml:space="preserve">U_T_RAMAL215 71CCM302_A_SE11</t>
  </si>
  <si>
    <t xml:space="preserve">U_T_RAMAL216 71CCM302_B_SE11</t>
  </si>
  <si>
    <t xml:space="preserve">U_T_RAMAL219 71CCM303_A_SE11</t>
  </si>
  <si>
    <t xml:space="preserve">U_T_RAMAL220 71CCM303_B_SE11</t>
  </si>
  <si>
    <t xml:space="preserve">U_T_RAMAL221 71CCM304_A_SE11</t>
  </si>
  <si>
    <t xml:space="preserve">DIGITALES ANALOGICAS</t>
  </si>
  <si>
    <t xml:space="preserve">U_T_RAMAL222 71CCM304_B_SE11</t>
  </si>
  <si>
    <t xml:space="preserve">U_T_RAMAL223 71CCM305_A_SE11</t>
  </si>
  <si>
    <t xml:space="preserve">U_T_RAMAL224 71CCM305_B_SE11</t>
  </si>
  <si>
    <t xml:space="preserve">U_T_RAMAL225 71CCM306_A_SE11</t>
  </si>
  <si>
    <t xml:space="preserve">U_T_RAMAL226 71CCM306_B_SE11</t>
  </si>
  <si>
    <t xml:space="preserve">U_T_RAMAL227 71_TR_301A_SE11</t>
  </si>
  <si>
    <t xml:space="preserve">U_T_RAMAL228 71_TR_301B_SE11</t>
  </si>
  <si>
    <t xml:space="preserve">U_T_RAMAL229 71_TR_302A_SE11</t>
  </si>
  <si>
    <t xml:space="preserve">U_T_RAMAL230 71_TR_302B_SE11</t>
  </si>
  <si>
    <t xml:space="preserve">U_T_RAMAL599 21_TR_101A_SE07</t>
  </si>
  <si>
    <t xml:space="preserve">47</t>
  </si>
  <si>
    <t xml:space="preserve">87</t>
  </si>
  <si>
    <t xml:space="preserve">3 N.C / 35 N.A</t>
  </si>
  <si>
    <t xml:space="preserve">87B1,87B1</t>
  </si>
  <si>
    <t xml:space="preserve">U_T_RAMAL597 21TDP101_A_SE07</t>
  </si>
  <si>
    <t xml:space="preserve">U_T_RAMAL598 21TDP101_B_SE07</t>
  </si>
  <si>
    <t xml:space="preserve">U_T_RAMAL600 21_TR_101B_SE07</t>
  </si>
  <si>
    <t xml:space="preserve">U_T_RAMAL610 21_TR_206A_SE07</t>
  </si>
  <si>
    <t xml:space="preserve">U_T_RAMAL609 21_TR_205A_SE07</t>
  </si>
  <si>
    <t xml:space="preserve">U_T_RAMAL608 21_TR_204A_SE07</t>
  </si>
  <si>
    <t xml:space="preserve">U_T_RAMAL607 21_TR_203A_SE07</t>
  </si>
  <si>
    <t xml:space="preserve">U_T_RAMAL606 21_TR_202A_SE07</t>
  </si>
  <si>
    <t xml:space="preserve">U_T_RAMAL 501 51_TR_201A_SE26</t>
  </si>
  <si>
    <t xml:space="preserve">U_T_RAMAL145 CCM16_01_A_SE16</t>
  </si>
  <si>
    <t xml:space="preserve">U_T_RAMAL411 CCM19_01_A_SE19</t>
  </si>
  <si>
    <t xml:space="preserve">U_T_RAMAL146 CCM16_01_B_SE16</t>
  </si>
  <si>
    <t xml:space="preserve">U_T_RAMAL412 CCM19_01_B_SE19</t>
  </si>
  <si>
    <t xml:space="preserve">U_T_RAMAL777 CCM_30_01_SE_30</t>
  </si>
  <si>
    <t xml:space="preserve">5 N.C. Y 12 N.A.</t>
  </si>
  <si>
    <t xml:space="preserve">25</t>
  </si>
  <si>
    <t xml:space="preserve">U_T_RAMAL 760 TDMT18101A_S18_1</t>
  </si>
  <si>
    <t xml:space="preserve">U_T_RAMAL 761 TDMT18101B_S18_1</t>
  </si>
  <si>
    <t xml:space="preserve">U_T_RAMAL275 BC_30_01_SE_30</t>
  </si>
  <si>
    <t xml:space="preserve">U_T_RAMAL752 TR_UDA_09_S01</t>
  </si>
  <si>
    <t xml:space="preserve">U_T_RAMAL753 TR_UDA_10_S01</t>
  </si>
  <si>
    <t xml:space="preserve">U_T_RAMAL63 TR_02_23_SE2</t>
  </si>
  <si>
    <t xml:space="preserve">U_T_RAMAL147 TDB16_01_A_SE16</t>
  </si>
  <si>
    <t xml:space="preserve">U_T_RAMAL149 TR_16_07_SE16</t>
  </si>
  <si>
    <t xml:space="preserve">U_T_RAMAL413 TDB19_01_A_SE19</t>
  </si>
  <si>
    <t xml:space="preserve">U_T_RAMAL415 TR_19_21_SE19</t>
  </si>
  <si>
    <t xml:space="preserve">U_T_RAMAL 535 52CCM302_A_SE27</t>
  </si>
  <si>
    <t xml:space="preserve">U_T_RAMAL 536 52CCM302_B_SE27</t>
  </si>
  <si>
    <t xml:space="preserve">U_T_RAMAL 537 52CCM303_A_SE27</t>
  </si>
  <si>
    <t xml:space="preserve">U_T_RAMAL 538 52CCM303_B_SE27</t>
  </si>
  <si>
    <t xml:space="preserve">U_T_RAMAL 539 52_TR_301A_SE27</t>
  </si>
  <si>
    <t xml:space="preserve">U_T_RAMAL 540 52_TR_301B_SE27</t>
  </si>
  <si>
    <t xml:space="preserve">U_T_RAMAL 541 52_TR_302A_SE27</t>
  </si>
  <si>
    <t xml:space="preserve">U_T_RAMAL 542 52_TR_302B_SE27</t>
  </si>
  <si>
    <t xml:space="preserve">U_T_RAMAL 543 52_TR_303A_SE27</t>
  </si>
  <si>
    <t xml:space="preserve">U_T_RAMAL 544 52_TR_303B_SE27</t>
  </si>
  <si>
    <t xml:space="preserve">U_T_RAMAL290  40_TR_101A_SE24</t>
  </si>
  <si>
    <t xml:space="preserve">49T,50/51,50AFD,51G,50N</t>
  </si>
  <si>
    <t xml:space="preserve">U_T_RAMAL288  40TDP_101_A_SE24</t>
  </si>
  <si>
    <t xml:space="preserve">25,27,50,51,51N,50AFD</t>
  </si>
  <si>
    <t xml:space="preserve">U_T_RAMAL289  40TDP_101_B_SE24</t>
  </si>
  <si>
    <t xml:space="preserve">U_T_RAMAL291  40_TR_101B_SE24</t>
  </si>
  <si>
    <t xml:space="preserve">50/51,50N,50AFD,59</t>
  </si>
  <si>
    <t xml:space="preserve">U_T_RAMAL302  40_TR_204A_SE24</t>
  </si>
  <si>
    <t xml:space="preserve">49T,50/51,50N,50AFD</t>
  </si>
  <si>
    <t xml:space="preserve">U_T_RAMAL300  40_TR_203A_SE24</t>
  </si>
  <si>
    <t xml:space="preserve">U_T_RAMAL298  40_TR_202A_SE24</t>
  </si>
  <si>
    <t xml:space="preserve">U_T_RAMAL296  40_TR_201A_SE24</t>
  </si>
  <si>
    <t xml:space="preserve">U_T_RAMAL292  40TDMT_201A_S24</t>
  </si>
  <si>
    <t xml:space="preserve">25,27,51,51N,50AFD</t>
  </si>
  <si>
    <t xml:space="preserve">U_T_RAMAL293  40TDMT_201B_S24</t>
  </si>
  <si>
    <t xml:space="preserve">U_T_RAMAL297  40_TR_201B_SE24</t>
  </si>
  <si>
    <t xml:space="preserve">U_T_RAMAL299  40_TR_202B_SE24</t>
  </si>
  <si>
    <t xml:space="preserve">U_T_RAMAL301  40_TR_203B_SE24</t>
  </si>
  <si>
    <t xml:space="preserve">U_T_RAMAL303  40_TR_204B_SE24</t>
  </si>
  <si>
    <t xml:space="preserve">U_T_RAMAL304  40CCM301_A_SE24</t>
  </si>
  <si>
    <t xml:space="preserve">U_T_RAMAL305  40CCM301_B_SE24</t>
  </si>
  <si>
    <t xml:space="preserve">U_T_RAMAL306  40CCM302_A_SE24</t>
  </si>
  <si>
    <t xml:space="preserve">U_T_RAMAL307  40CCM302_B_SE24</t>
  </si>
  <si>
    <t xml:space="preserve">U_T_RAMAL308  40CCM303_A_SE24</t>
  </si>
  <si>
    <t xml:space="preserve">U_T_RAMAL309  40CCM303_B_SE24</t>
  </si>
  <si>
    <t xml:space="preserve">U_T_RAMAL 534 52CCM301_B_SE27</t>
  </si>
  <si>
    <t xml:space="preserve">U_T_RAMAL 497 51TDMT201A_SE26</t>
  </si>
  <si>
    <t xml:space="preserve">U_T_RAMAL 498 51TDMT201B_SE26</t>
  </si>
  <si>
    <t xml:space="preserve">U_T_RAMAL 504 51_TR_201B_SE26</t>
  </si>
  <si>
    <t xml:space="preserve">U_T_RAMAL 505 51_TR_202B_SE26</t>
  </si>
  <si>
    <t xml:space="preserve">U_T_RAMAL 506 51_TR_203B_SE26</t>
  </si>
  <si>
    <t xml:space="preserve">U_T_RAMAL 507 51CCM301_A_SE26</t>
  </si>
  <si>
    <t xml:space="preserve">U_T_RAMAL 508 51CCM301_B_SE26</t>
  </si>
  <si>
    <t xml:space="preserve">U_T_RAMAL 509 51CCM302_A_SE26</t>
  </si>
  <si>
    <t xml:space="preserve">U_T_RAMAL 510 51CCM302_B_SE26</t>
  </si>
  <si>
    <t xml:space="preserve">U_T_RAMAL 511 51CCM303_A_SE26</t>
  </si>
  <si>
    <t xml:space="preserve">U_T_RAMAL 512 51CCM303_B_SE26</t>
  </si>
  <si>
    <t xml:space="preserve">U_T_RAMAL 513 51_TR_301A_SE26</t>
  </si>
  <si>
    <t xml:space="preserve">U_T_RAMAL 514 51_TR_301B_SE26</t>
  </si>
  <si>
    <t xml:space="preserve">U_T_RAMAL 515 51_TR_302A_SE26</t>
  </si>
  <si>
    <t xml:space="preserve">U_T_RAMAL 516 51_TR_302B_SE26</t>
  </si>
  <si>
    <t xml:space="preserve">U_T_RAMAL 517 51_TR_303A_SE26</t>
  </si>
  <si>
    <t xml:space="preserve">U_T_RAMAL 518 51_TR_303B_SE26</t>
  </si>
  <si>
    <t xml:space="preserve">U_T_RAMAL 521 52TR_101A_SE27</t>
  </si>
  <si>
    <t xml:space="preserve">U_T_RAMAL 519 52TDP101_A_SE27</t>
  </si>
  <si>
    <t xml:space="preserve">U_T_RAMAL 520 52TDP101_B_SE27</t>
  </si>
  <si>
    <t xml:space="preserve">U_T_RAMAL 522 52TR_101B_SE27</t>
  </si>
  <si>
    <t xml:space="preserve">U_T_RAMAL 529 52_TR_203A_SE27</t>
  </si>
  <si>
    <t xml:space="preserve">U_T_RAMAL 528 52_TR_202A_SE27</t>
  </si>
  <si>
    <t xml:space="preserve">U_T_RAMAL 527 52_TR_201A_SE27</t>
  </si>
  <si>
    <t xml:space="preserve">U_T_RAMAL 523 52TDMT201A_SE27</t>
  </si>
  <si>
    <t xml:space="preserve">U_T_RAMAL 524 52TDMT201B_SE27</t>
  </si>
  <si>
    <t xml:space="preserve">U_T_RAMAL 530 52_TR_201B_SE27</t>
  </si>
  <si>
    <t xml:space="preserve">U_T_RAMAL 531 52_TR_202B_SE27</t>
  </si>
  <si>
    <t xml:space="preserve">U_T_RAMAL 532 52_TR_203B_SE27</t>
  </si>
  <si>
    <t xml:space="preserve">U_T_RAMAL 533 52CCM301_A_SE27</t>
  </si>
  <si>
    <t xml:space="preserve">U_T_RAMAL120 BC_05_02_SE5</t>
  </si>
  <si>
    <t xml:space="preserve">6.0</t>
  </si>
  <si>
    <t xml:space="preserve">NA07/NC01</t>
  </si>
  <si>
    <t xml:space="preserve">51P,50P,50G,27,BF</t>
  </si>
  <si>
    <t xml:space="preserve">50N,51</t>
  </si>
  <si>
    <t xml:space="preserve">U_T_RAMAL434 TDM25_01_B_SE25</t>
  </si>
  <si>
    <t xml:space="preserve">U_T_RAMAL431 TR_25_01_SE25</t>
  </si>
  <si>
    <t xml:space="preserve">U_T_RAMAL432 TR_25_02_SE25</t>
  </si>
  <si>
    <t xml:space="preserve">U_T_RAMAL739 TDMT216_03B_S01</t>
  </si>
  <si>
    <t xml:space="preserve">U_T_RAMAL119 BC_05_01_SE05</t>
  </si>
  <si>
    <t xml:space="preserve">U_T_RAMAL310  40CCM304_A_SE24</t>
  </si>
  <si>
    <t xml:space="preserve">U_T_RAMAL311  40CCM304_B_SE24</t>
  </si>
  <si>
    <t xml:space="preserve">U_T_RAMAL313  40_TR_301A_SE24</t>
  </si>
  <si>
    <t xml:space="preserve">U_T_RAMAL314  40_TR_301B_SE24</t>
  </si>
  <si>
    <t xml:space="preserve">U_T_RAMAL315  40_TR_302A_SE24</t>
  </si>
  <si>
    <t xml:space="preserve">U_T_RAMAL316  40_TR_302B_SE24</t>
  </si>
  <si>
    <t xml:space="preserve">U_T_RAMAL 477 TR_23_01_SE23</t>
  </si>
  <si>
    <t xml:space="preserve">NA19/NC09</t>
  </si>
  <si>
    <t xml:space="preserve">50,51,50G,87T</t>
  </si>
  <si>
    <t xml:space="preserve">50,51</t>
  </si>
  <si>
    <t xml:space="preserve">U_T_RAMAL 478 TR_23_02_SE23</t>
  </si>
  <si>
    <t xml:space="preserve">U_T_RAMAL 484 TR_23_05_SE23</t>
  </si>
  <si>
    <t xml:space="preserve">50,51,50G</t>
  </si>
  <si>
    <t xml:space="preserve">U_T_RAMAL 483 TR_23_03_SE23</t>
  </si>
  <si>
    <t xml:space="preserve">U_T_RAMAL 479 TDM23_01_A_SE23</t>
  </si>
  <si>
    <t xml:space="preserve">7 A</t>
  </si>
  <si>
    <t xml:space="preserve">13</t>
  </si>
  <si>
    <t xml:space="preserve">NA05/NC02</t>
  </si>
  <si>
    <t xml:space="preserve">7SR12</t>
  </si>
  <si>
    <t xml:space="preserve">U_T_RAMAL 492 TR_23_08_SE23</t>
  </si>
  <si>
    <t xml:space="preserve">U_T_RAMAL 491 TR_23_07_SE23</t>
  </si>
  <si>
    <t xml:space="preserve">U_T_RAMAL 490 CCM23_02_B_SE23</t>
  </si>
  <si>
    <t xml:space="preserve">U_T_RAMAL 489 CCM23_02_A_SE23</t>
  </si>
  <si>
    <t xml:space="preserve">U_T_RAMAL 488 CCM23_01_B_SE23</t>
  </si>
  <si>
    <t xml:space="preserve">U_T_RAMAL 487 CCM23_01_A_SE23</t>
  </si>
  <si>
    <t xml:space="preserve">U_T_RAMAL 486 TR_23_06_SE23</t>
  </si>
  <si>
    <t xml:space="preserve">U_T_RAMAL 485 TR_23_04_SE23</t>
  </si>
  <si>
    <t xml:space="preserve">U_T_RAMAL 480 TDM23_01_B_SE23</t>
  </si>
  <si>
    <t xml:space="preserve">U_T_COMPRESOR BC-73002</t>
  </si>
  <si>
    <t xml:space="preserve">1255104500</t>
  </si>
  <si>
    <t xml:space="preserve">NA16/NC06</t>
  </si>
  <si>
    <t xml:space="preserve">27,38T,46,49T/RMS,51LR,50G,66</t>
  </si>
  <si>
    <t xml:space="preserve">U_T_TIRO INDUCIDO BV-73001</t>
  </si>
  <si>
    <t xml:space="preserve">U_T_TIRO FORZADO BV-73002</t>
  </si>
  <si>
    <t xml:space="preserve">U_T_TIRO INDUCIDO BV-74001</t>
  </si>
  <si>
    <t xml:space="preserve">1255104600</t>
  </si>
  <si>
    <t xml:space="preserve">U_T_TIRO FORZADO BV-74002</t>
  </si>
  <si>
    <t xml:space="preserve">U_T_MOTOBOMBA GA-40001 A</t>
  </si>
  <si>
    <t xml:space="preserve">1255104300</t>
  </si>
  <si>
    <t xml:space="preserve">27,46,49,50G,51LR,66,50AFD</t>
  </si>
  <si>
    <t xml:space="preserve">U_T_MOTOBOMBA GA-40009 B</t>
  </si>
  <si>
    <t xml:space="preserve">U_T_MOTOBOMBA GA-40004 B</t>
  </si>
  <si>
    <t xml:space="preserve">U_T_MOTOBOMBA GA-40007 B</t>
  </si>
  <si>
    <t xml:space="preserve">U_T_MOTOBOMBA GA-40007 A</t>
  </si>
  <si>
    <t xml:space="preserve">U_T_MOTOBOMBA GA-40004 A</t>
  </si>
  <si>
    <t xml:space="preserve">U_T_MOTOBOMBA GA-40009 A</t>
  </si>
  <si>
    <t xml:space="preserve">U_T_MOTOBOMBA GA-40001 B</t>
  </si>
  <si>
    <t xml:space="preserve">U_T_MOTOBOMBA GA-42001 A</t>
  </si>
  <si>
    <t xml:space="preserve">27,37,46,47,49,50/G,66,50AFD</t>
  </si>
  <si>
    <t xml:space="preserve">U_T_MOTOBOMBA GA-41001 B</t>
  </si>
  <si>
    <t xml:space="preserve">U_T_COMPRESOR BC-42001 B</t>
  </si>
  <si>
    <t xml:space="preserve">U_T_MOTOBOMBA GA-40002 A</t>
  </si>
  <si>
    <t xml:space="preserve">U_T_MOTOBOMBA GA-41001 A</t>
  </si>
  <si>
    <t xml:space="preserve">U_T_COMPRESOR BC-41001 A</t>
  </si>
  <si>
    <t xml:space="preserve">U_T_COMPRESOR BC-42001 A</t>
  </si>
  <si>
    <t xml:space="preserve">U_T_MOTOBOMBA GA-42001 B</t>
  </si>
  <si>
    <t xml:space="preserve">U_T_MOTOBOMBA GA-40002 B</t>
  </si>
  <si>
    <t xml:space="preserve">U_T_COMPRESOR BC-41001 B</t>
  </si>
  <si>
    <t xml:space="preserve">U_T_MOTOBOMBA GA-61006 B</t>
  </si>
  <si>
    <t xml:space="preserve">1255105100</t>
  </si>
  <si>
    <t xml:space="preserve">49/49T,46,51LR,50G,27,50AFD</t>
  </si>
  <si>
    <t xml:space="preserve">U_T_MOTOBOMBA GA-61006 A</t>
  </si>
  <si>
    <t xml:space="preserve">U_T_MOTOBOMBA GA-61008 B</t>
  </si>
  <si>
    <t xml:space="preserve">U_T_MOTOBOMBA GA-61008 A</t>
  </si>
  <si>
    <t xml:space="preserve">U_T_MOTOBOMBA GA-61009 B</t>
  </si>
  <si>
    <t xml:space="preserve">U_T_MOTOBOMBA GA-61009 A</t>
  </si>
  <si>
    <t xml:space="preserve">U_T_COMPRESOR BC-61001 B</t>
  </si>
  <si>
    <t xml:space="preserve">U_T_COMPRESOR BC-61001 A</t>
  </si>
  <si>
    <t xml:space="preserve">U_T_MOTOBOMBA GA-61001 B</t>
  </si>
  <si>
    <t xml:space="preserve">49/49T,46,51LR,50,50G,27,50AFD</t>
  </si>
  <si>
    <t xml:space="preserve">U_T_MOTOBOMBA GA-61001 A</t>
  </si>
  <si>
    <t xml:space="preserve">U_T_MOTOBOMBA GA-62001 A</t>
  </si>
  <si>
    <t xml:space="preserve">1255105200</t>
  </si>
  <si>
    <t xml:space="preserve">U_T_COMPRESOR BC-62001 B</t>
  </si>
  <si>
    <t xml:space="preserve">U_T_COMPRESOR BC-62001 A</t>
  </si>
  <si>
    <t xml:space="preserve">U_T_MOTOBOMBA GA-62006 B</t>
  </si>
  <si>
    <t xml:space="preserve">U_T_MOTOBOMBA GA-62006 A</t>
  </si>
  <si>
    <t xml:space="preserve">U_T_MOTO BOMBA GA-62008 B</t>
  </si>
  <si>
    <t xml:space="preserve">U_T_MOTOBOMBA GA-62008 A</t>
  </si>
  <si>
    <t xml:space="preserve">U_T_MOTOBOMBA GA-62009 B</t>
  </si>
  <si>
    <t xml:space="preserve">U_T_MOTOBOMBA GA-62009 A</t>
  </si>
  <si>
    <t xml:space="preserve">U_T_MOTOBOMBA GA-62001 B</t>
  </si>
  <si>
    <t xml:space="preserve">U_T_MOTO BOMBA GA-72001 A</t>
  </si>
  <si>
    <t xml:space="preserve">1255105500</t>
  </si>
  <si>
    <t xml:space="preserve">U_T_MOTO BOMBA GA-72001 B</t>
  </si>
  <si>
    <t xml:space="preserve">U_T_COMPRESOR BC-72001 A</t>
  </si>
  <si>
    <t xml:space="preserve">U_T_COMPRESOR BC-72001 B</t>
  </si>
  <si>
    <t xml:space="preserve">U_T_MOTO BOMBA GA-72010 A</t>
  </si>
  <si>
    <t xml:space="preserve">U_T_MOTO BOMBA GA-72010 B</t>
  </si>
  <si>
    <t xml:space="preserve">U_T_MOTOBOMBA GA-11110</t>
  </si>
  <si>
    <t xml:space="preserve">U_T_MOTOBOMBA GA-11108 R</t>
  </si>
  <si>
    <t xml:space="preserve">U_T_MOTOBOMBA GA-11107</t>
  </si>
  <si>
    <t xml:space="preserve">U_T_MOTOBOMBA GA-11105</t>
  </si>
  <si>
    <t xml:space="preserve">U_T_MOTOBOMBA GA-11104 R</t>
  </si>
  <si>
    <t xml:space="preserve">U_T_MOTOBOMBA GA-11103 A</t>
  </si>
  <si>
    <t xml:space="preserve">U_T_MOTOBOMBA GA-11111 R</t>
  </si>
  <si>
    <t xml:space="preserve">U_T_MOTOBOMBA GA-11116 R</t>
  </si>
  <si>
    <t xml:space="preserve">U_T_MOTOBOMBA GA-11118</t>
  </si>
  <si>
    <t xml:space="preserve">U_T_VENTILADOR TIRO INDUCIDO BVI-11101B</t>
  </si>
  <si>
    <t xml:space="preserve">U_T_COMPRESOR BC-11101 X</t>
  </si>
  <si>
    <t xml:space="preserve">32</t>
  </si>
  <si>
    <t xml:space="preserve">20 NA/NC</t>
  </si>
  <si>
    <t xml:space="preserve">DISPARO</t>
  </si>
  <si>
    <t xml:space="preserve">U_T_VENTILADOR TIRO INDUCIDO BVI-11101A</t>
  </si>
  <si>
    <t xml:space="preserve">U_T_MOTOBOMBA GA-11118 R</t>
  </si>
  <si>
    <t xml:space="preserve">U_T_MOTOBOMBA GA-11117</t>
  </si>
  <si>
    <t xml:space="preserve">U_T_MOTOBOMBA GA-11111</t>
  </si>
  <si>
    <t xml:space="preserve">U_T_MOTOBOMBA GA-11110 R</t>
  </si>
  <si>
    <t xml:space="preserve">U_T_MOTOBOMBA GA-11108</t>
  </si>
  <si>
    <t xml:space="preserve">U_T_MOTOBOMBA GA-11107 R</t>
  </si>
  <si>
    <t xml:space="preserve">U_T_MOTOBOMBA GA-11105 R</t>
  </si>
  <si>
    <t xml:space="preserve">U_T_MOTOBOMBA GA-11103 B</t>
  </si>
  <si>
    <t xml:space="preserve">U_T_MOTOBOMBA GA-11102 A</t>
  </si>
  <si>
    <t xml:space="preserve">U_T_MOTOBOMBA GA-11102 B</t>
  </si>
  <si>
    <t xml:space="preserve">U_T_MOTOBOMBA GA-11208 R</t>
  </si>
  <si>
    <t xml:space="preserve">1255101200</t>
  </si>
  <si>
    <t xml:space="preserve">U_T_MOTOBOMBA GA-11207</t>
  </si>
  <si>
    <t xml:space="preserve">U_T_MOTOBOMBA GA-11205</t>
  </si>
  <si>
    <t xml:space="preserve">U_T_MOTOBOMBA GA-11204 R</t>
  </si>
  <si>
    <t xml:space="preserve">U_T_MOTOBOMBA GA-11203 A</t>
  </si>
  <si>
    <t xml:space="preserve">U_T_MOTOBOMBA GA-11202 B</t>
  </si>
  <si>
    <t xml:space="preserve">U_T_MOTOBOMBA GA-11210</t>
  </si>
  <si>
    <t xml:space="preserve">U_T_MOTOBOMBA GA-11211 R</t>
  </si>
  <si>
    <t xml:space="preserve">U_T_MOTOBOMBA GA-11216 R</t>
  </si>
  <si>
    <t xml:space="preserve">U_T_MOTOBOMBA GA-11218</t>
  </si>
  <si>
    <t xml:space="preserve">U_T_VENTILADOR TIRO INDUCIDO BVI-11201B</t>
  </si>
  <si>
    <t xml:space="preserve">U_T_COMPRESOR BC-11201 X</t>
  </si>
  <si>
    <t xml:space="preserve">U_T_VENTILADOR TIRO INDUCIDO BVI-11201A</t>
  </si>
  <si>
    <t xml:space="preserve">U_T_MOTOBOMBA GA-11014R</t>
  </si>
  <si>
    <t xml:space="preserve">U_T_MOTOBOMBA GA-11218 R</t>
  </si>
  <si>
    <t xml:space="preserve">U_T_MOTOBOMBA GA-11217</t>
  </si>
  <si>
    <t xml:space="preserve">U_T_MOTOBOMBA GA-11211</t>
  </si>
  <si>
    <t xml:space="preserve">U_T_MOTOBOMBA GA-11210 R</t>
  </si>
  <si>
    <t xml:space="preserve">U_T_MOTOBOMBA GA-11208</t>
  </si>
  <si>
    <t xml:space="preserve">U_T_MOTOBOMBA GA-11207 R</t>
  </si>
  <si>
    <t xml:space="preserve">U_T_MOTOBOMBA GA-11205 R</t>
  </si>
  <si>
    <t xml:space="preserve">U_T_MOTOBOMBA GA-11203 B</t>
  </si>
  <si>
    <t xml:space="preserve">U_T_MOTOBOMBA GA-11202 A</t>
  </si>
  <si>
    <t xml:space="preserve">U_T_MOTOBOMBA GA-03013 C</t>
  </si>
  <si>
    <t xml:space="preserve">U_T_MOTOBOMBA GA-03013 B</t>
  </si>
  <si>
    <t xml:space="preserve">U_T_MOTOBOMBA GA-03013 A</t>
  </si>
  <si>
    <t xml:space="preserve">U_T_MOTOBOMBA GA-03012 C</t>
  </si>
  <si>
    <t xml:space="preserve">U_T_MOTOBOMBA GA-03012 B</t>
  </si>
  <si>
    <t xml:space="preserve">U_T_MOTOBOMBA GA-03012 A</t>
  </si>
  <si>
    <t xml:space="preserve">U_T_MOTOBOMBA GA-02001 E</t>
  </si>
  <si>
    <t xml:space="preserve">U_T_MOTOBOMBA GA-02001 D</t>
  </si>
  <si>
    <t xml:space="preserve">U_T_MOTOBOMBA GA-02001 C</t>
  </si>
  <si>
    <t xml:space="preserve">U_T_MOTOBOMBA GA-02001 B</t>
  </si>
  <si>
    <t xml:space="preserve">U_T_MOTOBOMBA GA-02001 A</t>
  </si>
  <si>
    <t xml:space="preserve">U_T_COMPRESOR BT-71201 A</t>
  </si>
  <si>
    <t xml:space="preserve">1255105300</t>
  </si>
  <si>
    <t xml:space="preserve">U_T_COMPRESOR BT-71201 B</t>
  </si>
  <si>
    <t xml:space="preserve">U_T_COMPRESOR GB-71001</t>
  </si>
  <si>
    <t xml:space="preserve">50,51,50N,50AFD</t>
  </si>
  <si>
    <t xml:space="preserve">87M,49,49T,46,51LR,50,50G,27</t>
  </si>
  <si>
    <t xml:space="preserve">U_T_BOMBA DE CONTRAINCENDIO GA-00101 E</t>
  </si>
  <si>
    <t xml:space="preserve">U_T_BOMBA DE CONTRAINCENDIO GA-00101D</t>
  </si>
  <si>
    <t xml:space="preserve">U_T_BOMBA DE CONTRAINCENDIO GA-00101 C</t>
  </si>
  <si>
    <t xml:space="preserve">U_T_BOMBA DE CONTRAINCENDIO GA-00101 B</t>
  </si>
  <si>
    <t xml:space="preserve">U_T_BOMBA DE CONTRAINCENDIO GA-00101 A</t>
  </si>
  <si>
    <t xml:space="preserve">U_T_MOTOBOMBA GA-88101</t>
  </si>
  <si>
    <t xml:space="preserve">1255106400</t>
  </si>
  <si>
    <t xml:space="preserve">U_T_MOTOBOMBA GA-88101 R</t>
  </si>
  <si>
    <t xml:space="preserve">U_T_MOTOBOMBA GA-88201</t>
  </si>
  <si>
    <t xml:space="preserve">U_T_MOTOBOMBA GA-88201R</t>
  </si>
  <si>
    <t xml:space="preserve">U_T_MOTOBOMBA GA-89029 B</t>
  </si>
  <si>
    <t xml:space="preserve">14, 46, 49, 50G, 66, AFD</t>
  </si>
  <si>
    <t xml:space="preserve">U_T_MOTOBOMBA GA-89007 A</t>
  </si>
  <si>
    <t xml:space="preserve">U_T_MOTOBOMBA GA-89010 F</t>
  </si>
  <si>
    <t xml:space="preserve">U_T_MOTOBOMBA GA-89010 B</t>
  </si>
  <si>
    <t xml:space="preserve">U_T_MOTOBOMBA GA-89010 D</t>
  </si>
  <si>
    <t xml:space="preserve">U_T_MOTOBOMBA GA-89007 B</t>
  </si>
  <si>
    <t xml:space="preserve">U_T_MOTOBOMBA GA-89010 A</t>
  </si>
  <si>
    <t xml:space="preserve">U_T_MOTOBOMBA GA-89010 C</t>
  </si>
  <si>
    <t xml:space="preserve">U_T_MOTOBOMBA GA-89010 E</t>
  </si>
  <si>
    <t xml:space="preserve">U_T_MOTOBOMBA GA-89029 A</t>
  </si>
  <si>
    <t xml:space="preserve">U_T_MOTOBOMBA GA-88509</t>
  </si>
  <si>
    <t xml:space="preserve">U_T_MOTOBOMBA GA-88508</t>
  </si>
  <si>
    <t xml:space="preserve">U_T_MOTOVENTILADOR  BV-00205 G</t>
  </si>
  <si>
    <t xml:space="preserve">U_T_MOTOVENTILADOR  BV-00205 F</t>
  </si>
  <si>
    <t xml:space="preserve">U_T_MOTOVENTILADOR  BV-00205 E</t>
  </si>
  <si>
    <t xml:space="preserve">U_T_MOTOVENTILADOR  BV-00205 H</t>
  </si>
  <si>
    <t xml:space="preserve">U_T_MOTOVENTILADOR  BV-00205 I</t>
  </si>
  <si>
    <t xml:space="preserve">U_T_MOTOBOMBA GA-00205-A</t>
  </si>
  <si>
    <t xml:space="preserve">U_T_MOTOBOMBA GA-00205-B</t>
  </si>
  <si>
    <t xml:space="preserve">U_T_MOTOVENTILADOR  BV-00205 D</t>
  </si>
  <si>
    <t xml:space="preserve">U_T_MOTOVENTILADOR  BV-00205 C</t>
  </si>
  <si>
    <t xml:space="preserve">U_T_MOTOVENTILADOR  BV-00205 B</t>
  </si>
  <si>
    <t xml:space="preserve">U_T_MOTOVENTILADOR  BV-00205 A</t>
  </si>
  <si>
    <t xml:space="preserve">U_T_MOTO-BOMBA GA-11003-D</t>
  </si>
  <si>
    <t xml:space="preserve">U_T_MOTO-BOMBA GA-11003-C</t>
  </si>
  <si>
    <t xml:space="preserve">U_T_MOTO-BOMBA GA-11003-B</t>
  </si>
  <si>
    <t xml:space="preserve">U_T_MOTOBOMBA GA-00205-C</t>
  </si>
  <si>
    <t xml:space="preserve">U_T_MOTOBOMBA GA-00205-R</t>
  </si>
  <si>
    <t xml:space="preserve">U_T_MOTOBOMBA GA-00215-A</t>
  </si>
  <si>
    <t xml:space="preserve">U_T_MOTOBOMBA GA-00215-B</t>
  </si>
  <si>
    <t xml:space="preserve">U_T_MOTOBOMBA GA-00215-C</t>
  </si>
  <si>
    <t xml:space="preserve">U_T_MOTOBOMBA GA-00215-D</t>
  </si>
  <si>
    <t xml:space="preserve">U_T_MOTOBOMBA GA-00215-R</t>
  </si>
  <si>
    <t xml:space="preserve">U_T_MOTOBOMBA GA-00225-A</t>
  </si>
  <si>
    <t xml:space="preserve">U_T_MOTOBOMBA GA-00225-R</t>
  </si>
  <si>
    <t xml:space="preserve">U_T_MOTOBOMBA GA-00201 A</t>
  </si>
  <si>
    <t xml:space="preserve">U_T_MOTOBOMBA GA-00201 B</t>
  </si>
  <si>
    <t xml:space="preserve">U_T_MOTOBOMBA GA-00201 C</t>
  </si>
  <si>
    <t xml:space="preserve">U_T_MOTOBOMBA GA-00201 D</t>
  </si>
  <si>
    <t xml:space="preserve">U_T_MOTOBOMBA GA-00201 E</t>
  </si>
  <si>
    <t xml:space="preserve">U_T_MOTOBOMBA GA-11003-A</t>
  </si>
  <si>
    <t xml:space="preserve">U_T_MOTOVENTILADOR BV-00203 A</t>
  </si>
  <si>
    <t xml:space="preserve">27,46,49,50,50G,51,66,50 AFD</t>
  </si>
  <si>
    <t xml:space="preserve">U_T_MOTOVENTILADOR BV-00203 B</t>
  </si>
  <si>
    <t xml:space="preserve">U_T_MOTOVENTILADOR BV-00203 C</t>
  </si>
  <si>
    <t xml:space="preserve">U_T_MOTOVENTILADOR BV-00203 D</t>
  </si>
  <si>
    <t xml:space="preserve">U_T_MOTOVENTILADOR BV-00203 E</t>
  </si>
  <si>
    <t xml:space="preserve">U_T_MOTOVENTILADOR BV-00203 F</t>
  </si>
  <si>
    <t xml:space="preserve">U_T_MOTOVENTILADOR BV-00203 G</t>
  </si>
  <si>
    <t xml:space="preserve">U_T_MOTOVENTILADOR BV-00203 H</t>
  </si>
  <si>
    <t xml:space="preserve">U_T_MOTOVENTILADOR BV-00203 I</t>
  </si>
  <si>
    <t xml:space="preserve">U_T_MOTOBOMBA GA-00203-A</t>
  </si>
  <si>
    <t xml:space="preserve">U_T_MOTOBOMBA GA-00203-B</t>
  </si>
  <si>
    <t xml:space="preserve">U_T_MOTOBOMBA GA-00203-C</t>
  </si>
  <si>
    <t xml:space="preserve">U_T_MOTOBOMBA GA-00203-D</t>
  </si>
  <si>
    <t xml:space="preserve">U_T_MOTOBOMBA GA-00203-R</t>
  </si>
  <si>
    <t xml:space="preserve">U_T_MOTOBOMBA GA-00213-A</t>
  </si>
  <si>
    <t xml:space="preserve">U_T_MOTOBOMBA GA-00213-B</t>
  </si>
  <si>
    <t xml:space="preserve">U_T_MOTOBOMBA GA-00213-R</t>
  </si>
  <si>
    <t xml:space="preserve">U_T_MOTOBOMBA GA-11001 A</t>
  </si>
  <si>
    <t xml:space="preserve">U_T_MOTOBOMBA GA-11001 B</t>
  </si>
  <si>
    <t xml:space="preserve">U_T_MOTOBOMBA GA-11001 C</t>
  </si>
  <si>
    <t xml:space="preserve">U_T_MOTOBOMBA GA-11002-A</t>
  </si>
  <si>
    <t xml:space="preserve">U_T_MOTOBOMBA GA-11002-B</t>
  </si>
  <si>
    <t xml:space="preserve">U_T_MOTOBOMBA GA-11002-C</t>
  </si>
  <si>
    <t xml:space="preserve">U_T_MOTOBOMBA GA-11002-D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</si>
</sst>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@"/>
    <numFmt numFmtId="168" formatCode="#,##0;\-#,##0;\–"/>
    <numFmt numFmtId="169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1F3A5F"/>
      <name val="Arial"/>
      <family val="2"/>
    </font>
    <font>
      <sz val="8"/>
      <color rgb="FF404040"/>
      <name val="Arial"/>
      <family val="2"/>
    </font>
    <font>
      <b val="true"/>
      <sz val="8"/>
      <color rgb="FFFFFFFF"/>
      <name val="Arial"/>
      <family val="2"/>
    </font>
    <font>
      <sz val="7"/>
      <color rgb="FF404040"/>
      <name val="Arial"/>
      <family val="2"/>
    </font>
    <font>
      <b val="true"/>
      <sz val="10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name val="Arial"/>
      <family val="0"/>
      <charset val="1"/>
    </font>
    <font>
      <sz val="7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86AB"/>
      </patternFill>
    </fill>
    <fill>
      <patternFill patternType="solid">
        <fgColor rgb="FF1F3A5F"/>
        <bgColor rgb="FF1F4E79"/>
      </patternFill>
    </fill>
    <fill>
      <patternFill patternType="solid">
        <fgColor rgb="FFDCE6F1"/>
        <bgColor rgb="FFD9D9D9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8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4F81BD"/>
      <rgbColor rgb="FFBFBFBF"/>
      <rgbColor rgb="FF808080"/>
      <rgbColor rgb="FF878787"/>
      <rgbColor rgb="FF595959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0B7C3"/>
      <rgbColor rgb="FFFF99CC"/>
      <rgbColor rgb="FFCC99FF"/>
      <rgbColor rgb="FFFFCC99"/>
      <rgbColor rgb="FF2E75B6"/>
      <rgbColor rgb="FF6AB187"/>
      <rgbColor rgb="FF99CC00"/>
      <rgbColor rgb="FFFFCC00"/>
      <rgbColor rgb="FFF2A541"/>
      <rgbColor rgb="FFD9534F"/>
      <rgbColor rgb="FF8E6C8A"/>
      <rgbColor rgb="FF9AA5B1"/>
      <rgbColor rgb="FF1F3A5F"/>
      <rgbColor rgb="FF2E86AB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f3a5f"/>
                </a:solidFill>
                <a:latin typeface="Arial"/>
              </a:defRPr>
            </a:pPr>
            <a:r>
              <a:rPr b="1" sz="1000" spc="-1" strike="noStrike">
                <a:solidFill>
                  <a:srgbClr val="1f3a5f"/>
                </a:solidFill>
                <a:latin typeface="Arial"/>
              </a:rPr>
              <a:t>Relevadores por sector (todos los sectores)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a5f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Calc!$A$4:$A$11</c:f>
              <c:strCache>
                <c:ptCount val="8"/>
                <c:pt idx="0">
                  <c:v>Sector 1</c:v>
                </c:pt>
                <c:pt idx="1">
                  <c:v>Sector 2</c:v>
                </c:pt>
                <c:pt idx="2">
                  <c:v>Sector 3</c:v>
                </c:pt>
                <c:pt idx="3">
                  <c:v>Sector 4</c:v>
                </c:pt>
                <c:pt idx="4">
                  <c:v>Sector 5</c:v>
                </c:pt>
                <c:pt idx="5">
                  <c:v>Sector 6</c:v>
                </c:pt>
                <c:pt idx="6">
                  <c:v>Sector 7</c:v>
                </c:pt>
                <c:pt idx="7">
                  <c:v>Sector 8</c:v>
                </c:pt>
              </c:strCache>
            </c:strRef>
          </c:cat>
          <c:val>
            <c:numRef>
              <c:f>Calc!$B$4:$B$11</c:f>
              <c:numCache>
                <c:formatCode>#,##0;\-#,##0;\–</c:formatCode>
                <c:ptCount val="8"/>
                <c:pt idx="0">
                  <c:v>232</c:v>
                </c:pt>
                <c:pt idx="1">
                  <c:v>143</c:v>
                </c:pt>
                <c:pt idx="2">
                  <c:v>124</c:v>
                </c:pt>
                <c:pt idx="3">
                  <c:v>211</c:v>
                </c:pt>
                <c:pt idx="4">
                  <c:v>203</c:v>
                </c:pt>
                <c:pt idx="5">
                  <c:v>236</c:v>
                </c:pt>
                <c:pt idx="6">
                  <c:v>185</c:v>
                </c:pt>
                <c:pt idx="7">
                  <c:v>626</c:v>
                </c:pt>
              </c:numCache>
            </c:numRef>
          </c:val>
        </c:ser>
        <c:gapWidth val="60"/>
        <c:overlap val="0"/>
        <c:axId val="53209759"/>
        <c:axId val="87842275"/>
      </c:barChart>
      <c:catAx>
        <c:axId val="532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87842275"/>
        <c:crosses val="autoZero"/>
        <c:auto val="1"/>
        <c:lblAlgn val="ctr"/>
        <c:lblOffset val="100"/>
        <c:noMultiLvlLbl val="0"/>
      </c:catAx>
      <c:valAx>
        <c:axId val="87842275"/>
        <c:scaling>
          <c:orientation val="minMax"/>
        </c:scaling>
        <c:delete val="0"/>
        <c:axPos val="l"/>
        <c:numFmt formatCode="#,##0;\-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532097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f3a5f"/>
                </a:solidFill>
                <a:latin typeface="Arial"/>
              </a:defRPr>
            </a:pPr>
            <a:r>
              <a:rPr b="1" sz="1000" spc="-1" strike="noStrike">
                <a:solidFill>
                  <a:srgbClr val="1f3a5f"/>
                </a:solidFill>
                <a:latin typeface="Arial"/>
              </a:rPr>
              <a:t>Participación por marca (filtro de sector)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4e7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6ab187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2a541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e6c8a"/>
              </a:solidFill>
              <a:ln w="0">
                <a:noFill/>
              </a:ln>
            </c:spPr>
          </c:dPt>
          <c:dPt>
            <c:idx val="5"/>
            <c:spPr>
              <a:solidFill>
                <a:srgbClr val="b0b7c3"/>
              </a:solidFill>
              <a:ln w="0">
                <a:noFill/>
              </a:ln>
            </c:spPr>
          </c:dPt>
          <c:dPt>
            <c:idx val="6"/>
            <c:spPr>
              <a:solidFill>
                <a:srgbClr val="b0b7c3"/>
              </a:solidFill>
              <a:ln w="0">
                <a:noFill/>
              </a:ln>
            </c:spPr>
          </c:dPt>
          <c:dPt>
            <c:idx val="7"/>
            <c:spPr>
              <a:solidFill>
                <a:srgbClr val="b0b7c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0b7c3"/>
              </a:solidFill>
              <a:ln w="0">
                <a:noFill/>
              </a:ln>
            </c:spPr>
          </c:dPt>
          <c:dPt>
            <c:idx val="9"/>
            <c:spPr>
              <a:solidFill>
                <a:srgbClr val="d9534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Calc!$M$4:$M$13</c:f>
              <c:strCache>
                <c:ptCount val="10"/>
                <c:pt idx="0">
                  <c:v>ABB</c:v>
                </c:pt>
                <c:pt idx="1">
                  <c:v>SEL</c:v>
                </c:pt>
                <c:pt idx="2">
                  <c:v>GENERAL ELECTRIC</c:v>
                </c:pt>
                <c:pt idx="3">
                  <c:v>SIEMENS</c:v>
                </c:pt>
                <c:pt idx="4">
                  <c:v>SCHNEIDER ELECTRIC</c:v>
                </c:pt>
                <c:pt idx="5">
                  <c:v>ALLEN-BRADLEY</c:v>
                </c:pt>
                <c:pt idx="6">
                  <c:v>BASLER ELECTRIC</c:v>
                </c:pt>
                <c:pt idx="7">
                  <c:v>EIG</c:v>
                </c:pt>
                <c:pt idx="8">
                  <c:v>GAUGETECH</c:v>
                </c:pt>
                <c:pt idx="9">
                  <c:v>SIN DATO</c:v>
                </c:pt>
              </c:strCache>
            </c:strRef>
          </c:cat>
          <c:val>
            <c:numRef>
              <c:f>Calc!$N$4:$N$13</c:f>
              <c:numCache>
                <c:formatCode>#,##0;\-#,##0;\–</c:formatCode>
                <c:ptCount val="10"/>
                <c:pt idx="0">
                  <c:v>816</c:v>
                </c:pt>
                <c:pt idx="1">
                  <c:v>345</c:v>
                </c:pt>
                <c:pt idx="2">
                  <c:v>404</c:v>
                </c:pt>
                <c:pt idx="3">
                  <c:v>282</c:v>
                </c:pt>
                <c:pt idx="4">
                  <c:v>40</c:v>
                </c:pt>
                <c:pt idx="5">
                  <c:v>8</c:v>
                </c:pt>
                <c:pt idx="6">
                  <c:v>6</c:v>
                </c:pt>
                <c:pt idx="7">
                  <c:v>2</c:v>
                </c:pt>
                <c:pt idx="8">
                  <c:v>6</c:v>
                </c:pt>
                <c:pt idx="9">
                  <c:v>51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f3a5f"/>
                </a:solidFill>
                <a:latin typeface="Arial"/>
              </a:defRPr>
            </a:pPr>
            <a:r>
              <a:rPr b="1" sz="1000" spc="-1" strike="noStrike">
                <a:solidFill>
                  <a:srgbClr val="1f3a5f"/>
                </a:solidFill>
                <a:latin typeface="Arial"/>
              </a:rPr>
              <a:t>Top 10 modelos (marca – modelo)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Calc!$X$4:$X$13</c:f>
              <c:strCache>
                <c:ptCount val="10"/>
                <c:pt idx="0">
                  <c:v>GENERAL ELECTRIC – MULTILIN</c:v>
                </c:pt>
                <c:pt idx="1">
                  <c:v>ABB – 1AFFAEAGNEC5BNA11G</c:v>
                </c:pt>
                <c:pt idx="2">
                  <c:v>SEL – SEL-735</c:v>
                </c:pt>
                <c:pt idx="3">
                  <c:v>ABB – REF615A_1G</c:v>
                </c:pt>
                <c:pt idx="4">
                  <c:v>SIEMENS – REYROLLE</c:v>
                </c:pt>
                <c:pt idx="5">
                  <c:v>SEL – SEL</c:v>
                </c:pt>
                <c:pt idx="6">
                  <c:v>ABB – 1AMEBCADNEC5BNN11G</c:v>
                </c:pt>
                <c:pt idx="7">
                  <c:v>ABB – REF</c:v>
                </c:pt>
                <c:pt idx="8">
                  <c:v>ABB – REA 101</c:v>
                </c:pt>
                <c:pt idx="9">
                  <c:v>ABB – REM615A_1G</c:v>
                </c:pt>
              </c:strCache>
            </c:strRef>
          </c:cat>
          <c:val>
            <c:numRef>
              <c:f>Calc!$Y$4:$Y$13</c:f>
              <c:numCache>
                <c:formatCode>#,##0;\-#,##0;\–</c:formatCode>
                <c:ptCount val="10"/>
                <c:pt idx="0">
                  <c:v>286</c:v>
                </c:pt>
                <c:pt idx="1">
                  <c:v>184</c:v>
                </c:pt>
                <c:pt idx="2">
                  <c:v>174</c:v>
                </c:pt>
                <c:pt idx="3">
                  <c:v>167</c:v>
                </c:pt>
                <c:pt idx="4">
                  <c:v>135</c:v>
                </c:pt>
                <c:pt idx="5">
                  <c:v>133</c:v>
                </c:pt>
                <c:pt idx="6">
                  <c:v>85</c:v>
                </c:pt>
                <c:pt idx="7">
                  <c:v>67</c:v>
                </c:pt>
                <c:pt idx="8">
                  <c:v>59</c:v>
                </c:pt>
                <c:pt idx="9">
                  <c:v>57</c:v>
                </c:pt>
              </c:numCache>
            </c:numRef>
          </c:val>
        </c:ser>
        <c:gapWidth val="60"/>
        <c:overlap val="0"/>
        <c:axId val="32944665"/>
        <c:axId val="12435521"/>
      </c:barChart>
      <c:catAx>
        <c:axId val="3294466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12435521"/>
        <c:crosses val="autoZero"/>
        <c:auto val="1"/>
        <c:lblAlgn val="ctr"/>
        <c:lblOffset val="100"/>
        <c:noMultiLvlLbl val="0"/>
      </c:catAx>
      <c:valAx>
        <c:axId val="12435521"/>
        <c:scaling>
          <c:orientation val="minMax"/>
        </c:scaling>
        <c:delete val="1"/>
        <c:axPos val="l"/>
        <c:numFmt formatCode="#,##0;\-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3294466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f3a5f"/>
                </a:solidFill>
                <a:latin typeface="Arial"/>
              </a:defRPr>
            </a:pPr>
            <a:r>
              <a:rPr b="1" sz="1000" spc="-1" strike="noStrike">
                <a:solidFill>
                  <a:srgbClr val="1f3a5f"/>
                </a:solidFill>
                <a:latin typeface="Arial"/>
              </a:rPr>
              <a:t>Top 10 subestaciones por relevadores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86ab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Calc!$AF$4:$AF$13</c:f>
              <c:strCache>
                <c:ptCount val="10"/>
                <c:pt idx="0">
                  <c:v>SEP-01</c:v>
                </c:pt>
                <c:pt idx="1">
                  <c:v>SEP-02</c:v>
                </c:pt>
                <c:pt idx="2">
                  <c:v>SE-12</c:v>
                </c:pt>
                <c:pt idx="3">
                  <c:v>SE-02</c:v>
                </c:pt>
                <c:pt idx="4">
                  <c:v>SE-12-1</c:v>
                </c:pt>
                <c:pt idx="5">
                  <c:v>SE-14</c:v>
                </c:pt>
                <c:pt idx="6">
                  <c:v>SE-15</c:v>
                </c:pt>
                <c:pt idx="7">
                  <c:v>SE-07</c:v>
                </c:pt>
                <c:pt idx="8">
                  <c:v>SE-06</c:v>
                </c:pt>
                <c:pt idx="9">
                  <c:v>SE-11</c:v>
                </c:pt>
              </c:strCache>
            </c:strRef>
          </c:cat>
          <c:val>
            <c:numRef>
              <c:f>Calc!$AG$4:$AG$13</c:f>
              <c:numCache>
                <c:formatCode>#,##0;\-#,##0;\–</c:formatCode>
                <c:ptCount val="10"/>
                <c:pt idx="0">
                  <c:v>186</c:v>
                </c:pt>
                <c:pt idx="1">
                  <c:v>160</c:v>
                </c:pt>
                <c:pt idx="2">
                  <c:v>68</c:v>
                </c:pt>
                <c:pt idx="3">
                  <c:v>61</c:v>
                </c:pt>
                <c:pt idx="4">
                  <c:v>53</c:v>
                </c:pt>
                <c:pt idx="5">
                  <c:v>49</c:v>
                </c:pt>
                <c:pt idx="6">
                  <c:v>46</c:v>
                </c:pt>
                <c:pt idx="7">
                  <c:v>45</c:v>
                </c:pt>
                <c:pt idx="8">
                  <c:v>45</c:v>
                </c:pt>
                <c:pt idx="9">
                  <c:v>44</c:v>
                </c:pt>
              </c:numCache>
            </c:numRef>
          </c:val>
        </c:ser>
        <c:gapWidth val="60"/>
        <c:overlap val="0"/>
        <c:axId val="29958965"/>
        <c:axId val="44142313"/>
      </c:barChart>
      <c:catAx>
        <c:axId val="2995896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44142313"/>
        <c:crosses val="autoZero"/>
        <c:auto val="1"/>
        <c:lblAlgn val="ctr"/>
        <c:lblOffset val="100"/>
        <c:noMultiLvlLbl val="0"/>
      </c:catAx>
      <c:valAx>
        <c:axId val="44142313"/>
        <c:scaling>
          <c:orientation val="minMax"/>
        </c:scaling>
        <c:delete val="1"/>
        <c:axPos val="l"/>
        <c:numFmt formatCode="#,##0;\-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2995896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f3a5f"/>
                </a:solidFill>
                <a:latin typeface="Arial"/>
              </a:defRPr>
            </a:pPr>
            <a:r>
              <a:rPr b="1" sz="1000" spc="-1" strike="noStrike">
                <a:solidFill>
                  <a:srgbClr val="1f3a5f"/>
                </a:solidFill>
                <a:latin typeface="Arial"/>
              </a:rPr>
              <a:t>Marca × sector (todos los sectores)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"ABB"</c:f>
              <c:strCache>
                <c:ptCount val="1"/>
                <c:pt idx="0">
                  <c:v>ABB</c:v>
                </c:pt>
              </c:strCache>
            </c:strRef>
          </c:tx>
          <c:spPr>
            <a:solidFill>
              <a:srgbClr val="1f4e79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Calc!$D$4:$D$11</c:f>
              <c:strCache>
                <c:ptCount val="8"/>
                <c:pt idx="0">
                  <c:v>Sector 1</c:v>
                </c:pt>
                <c:pt idx="1">
                  <c:v>Sector 2</c:v>
                </c:pt>
                <c:pt idx="2">
                  <c:v>Sector 3</c:v>
                </c:pt>
                <c:pt idx="3">
                  <c:v>Sector 4</c:v>
                </c:pt>
                <c:pt idx="4">
                  <c:v>Sector 5</c:v>
                </c:pt>
                <c:pt idx="5">
                  <c:v>Sector 6</c:v>
                </c:pt>
                <c:pt idx="6">
                  <c:v>Sector 7</c:v>
                </c:pt>
                <c:pt idx="7">
                  <c:v>Sector 8</c:v>
                </c:pt>
              </c:strCache>
            </c:strRef>
          </c:cat>
          <c:val>
            <c:numRef>
              <c:f>Calc!$E$4:$E$11</c:f>
              <c:numCache>
                <c:formatCode>#,##0;\-#,##0;\–</c:formatCode>
                <c:ptCount val="8"/>
                <c:pt idx="0">
                  <c:v>214</c:v>
                </c:pt>
                <c:pt idx="1">
                  <c:v>123</c:v>
                </c:pt>
                <c:pt idx="2">
                  <c:v>48</c:v>
                </c:pt>
                <c:pt idx="3">
                  <c:v>23</c:v>
                </c:pt>
                <c:pt idx="4">
                  <c:v>36</c:v>
                </c:pt>
                <c:pt idx="5">
                  <c:v>132</c:v>
                </c:pt>
                <c:pt idx="6">
                  <c:v>8</c:v>
                </c:pt>
                <c:pt idx="7">
                  <c:v>232</c:v>
                </c:pt>
              </c:numCache>
            </c:numRef>
          </c:val>
        </c:ser>
        <c:ser>
          <c:idx val="1"/>
          <c:order val="1"/>
          <c:tx>
            <c:strRef>
              <c:f>"SEL"</c:f>
              <c:strCache>
                <c:ptCount val="1"/>
                <c:pt idx="0">
                  <c:v>SEL</c:v>
                </c:pt>
              </c:strCache>
            </c:strRef>
          </c:tx>
          <c:spPr>
            <a:solidFill>
              <a:srgbClr val="2e86ab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Calc!$D$4:$D$11</c:f>
              <c:strCache>
                <c:ptCount val="8"/>
                <c:pt idx="0">
                  <c:v>Sector 1</c:v>
                </c:pt>
                <c:pt idx="1">
                  <c:v>Sector 2</c:v>
                </c:pt>
                <c:pt idx="2">
                  <c:v>Sector 3</c:v>
                </c:pt>
                <c:pt idx="3">
                  <c:v>Sector 4</c:v>
                </c:pt>
                <c:pt idx="4">
                  <c:v>Sector 5</c:v>
                </c:pt>
                <c:pt idx="5">
                  <c:v>Sector 6</c:v>
                </c:pt>
                <c:pt idx="6">
                  <c:v>Sector 7</c:v>
                </c:pt>
                <c:pt idx="7">
                  <c:v>Sector 8</c:v>
                </c:pt>
              </c:strCache>
            </c:strRef>
          </c:cat>
          <c:val>
            <c:numRef>
              <c:f>Calc!$F$4:$F$11</c:f>
              <c:numCache>
                <c:formatCode>#,##0;\-#,##0;\–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26</c:v>
                </c:pt>
                <c:pt idx="3">
                  <c:v>50</c:v>
                </c:pt>
                <c:pt idx="4">
                  <c:v>51</c:v>
                </c:pt>
                <c:pt idx="5">
                  <c:v>51</c:v>
                </c:pt>
                <c:pt idx="6">
                  <c:v>6</c:v>
                </c:pt>
                <c:pt idx="7">
                  <c:v>131</c:v>
                </c:pt>
              </c:numCache>
            </c:numRef>
          </c:val>
        </c:ser>
        <c:ser>
          <c:idx val="2"/>
          <c:order val="2"/>
          <c:tx>
            <c:strRef>
              <c:f>"GENERAL ELECTRIC"</c:f>
              <c:strCache>
                <c:ptCount val="1"/>
                <c:pt idx="0">
                  <c:v>GENERAL ELECTRIC</c:v>
                </c:pt>
              </c:strCache>
            </c:strRef>
          </c:tx>
          <c:spPr>
            <a:solidFill>
              <a:srgbClr val="6ab187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Calc!$D$4:$D$11</c:f>
              <c:strCache>
                <c:ptCount val="8"/>
                <c:pt idx="0">
                  <c:v>Sector 1</c:v>
                </c:pt>
                <c:pt idx="1">
                  <c:v>Sector 2</c:v>
                </c:pt>
                <c:pt idx="2">
                  <c:v>Sector 3</c:v>
                </c:pt>
                <c:pt idx="3">
                  <c:v>Sector 4</c:v>
                </c:pt>
                <c:pt idx="4">
                  <c:v>Sector 5</c:v>
                </c:pt>
                <c:pt idx="5">
                  <c:v>Sector 6</c:v>
                </c:pt>
                <c:pt idx="6">
                  <c:v>Sector 7</c:v>
                </c:pt>
                <c:pt idx="7">
                  <c:v>Sector 8</c:v>
                </c:pt>
              </c:strCache>
            </c:strRef>
          </c:cat>
          <c:val>
            <c:numRef>
              <c:f>Calc!$G$4:$G$11</c:f>
              <c:numCache>
                <c:formatCode>#,##0;\-#,##0;\–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48</c:v>
                </c:pt>
                <c:pt idx="3">
                  <c:v>132</c:v>
                </c:pt>
                <c:pt idx="4">
                  <c:v>104</c:v>
                </c:pt>
                <c:pt idx="5">
                  <c:v>26</c:v>
                </c:pt>
                <c:pt idx="6">
                  <c:v>2</c:v>
                </c:pt>
                <c:pt idx="7">
                  <c:v>92</c:v>
                </c:pt>
              </c:numCache>
            </c:numRef>
          </c:val>
        </c:ser>
        <c:ser>
          <c:idx val="3"/>
          <c:order val="3"/>
          <c:tx>
            <c:strRef>
              <c:f>"SIEMENS"</c:f>
              <c:strCache>
                <c:ptCount val="1"/>
                <c:pt idx="0">
                  <c:v>SIEMENS</c:v>
                </c:pt>
              </c:strCache>
            </c:strRef>
          </c:tx>
          <c:spPr>
            <a:solidFill>
              <a:srgbClr val="f2a541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Calc!$D$4:$D$11</c:f>
              <c:strCache>
                <c:ptCount val="8"/>
                <c:pt idx="0">
                  <c:v>Sector 1</c:v>
                </c:pt>
                <c:pt idx="1">
                  <c:v>Sector 2</c:v>
                </c:pt>
                <c:pt idx="2">
                  <c:v>Sector 3</c:v>
                </c:pt>
                <c:pt idx="3">
                  <c:v>Sector 4</c:v>
                </c:pt>
                <c:pt idx="4">
                  <c:v>Sector 5</c:v>
                </c:pt>
                <c:pt idx="5">
                  <c:v>Sector 6</c:v>
                </c:pt>
                <c:pt idx="6">
                  <c:v>Sector 7</c:v>
                </c:pt>
                <c:pt idx="7">
                  <c:v>Sector 8</c:v>
                </c:pt>
              </c:strCache>
            </c:strRef>
          </c:cat>
          <c:val>
            <c:numRef>
              <c:f>Calc!$H$4:$H$11</c:f>
              <c:numCache>
                <c:formatCode>#,##0;\-#,##0;\–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6</c:v>
                </c:pt>
                <c:pt idx="5">
                  <c:v>0</c:v>
                </c:pt>
                <c:pt idx="6">
                  <c:v>159</c:v>
                </c:pt>
                <c:pt idx="7">
                  <c:v>109</c:v>
                </c:pt>
              </c:numCache>
            </c:numRef>
          </c:val>
        </c:ser>
        <c:ser>
          <c:idx val="4"/>
          <c:order val="4"/>
          <c:tx>
            <c:strRef>
              <c:f>"SCHNEIDER ELECTRIC"</c:f>
              <c:strCache>
                <c:ptCount val="1"/>
                <c:pt idx="0">
                  <c:v>SCHNEIDER ELECTRIC</c:v>
                </c:pt>
              </c:strCache>
            </c:strRef>
          </c:tx>
          <c:spPr>
            <a:solidFill>
              <a:srgbClr val="8e6c8a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Calc!$D$4:$D$11</c:f>
              <c:strCache>
                <c:ptCount val="8"/>
                <c:pt idx="0">
                  <c:v>Sector 1</c:v>
                </c:pt>
                <c:pt idx="1">
                  <c:v>Sector 2</c:v>
                </c:pt>
                <c:pt idx="2">
                  <c:v>Sector 3</c:v>
                </c:pt>
                <c:pt idx="3">
                  <c:v>Sector 4</c:v>
                </c:pt>
                <c:pt idx="4">
                  <c:v>Sector 5</c:v>
                </c:pt>
                <c:pt idx="5">
                  <c:v>Sector 6</c:v>
                </c:pt>
                <c:pt idx="6">
                  <c:v>Sector 7</c:v>
                </c:pt>
                <c:pt idx="7">
                  <c:v>Sector 8</c:v>
                </c:pt>
              </c:strCache>
            </c:strRef>
          </c:cat>
          <c:val>
            <c:numRef>
              <c:f>Calc!$I$4:$I$11</c:f>
              <c:numCache>
                <c:formatCode>#,##0;\-#,##0;\–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38</c:v>
                </c:pt>
              </c:numCache>
            </c:numRef>
          </c:val>
        </c:ser>
        <c:ser>
          <c:idx val="5"/>
          <c:order val="5"/>
          <c:tx>
            <c:strRef>
              <c:f>"OTRAS MARCAS"</c:f>
              <c:strCache>
                <c:ptCount val="1"/>
                <c:pt idx="0">
                  <c:v>OTRAS MARCAS</c:v>
                </c:pt>
              </c:strCache>
            </c:strRef>
          </c:tx>
          <c:spPr>
            <a:solidFill>
              <a:srgbClr val="9aa5b1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Calc!$D$4:$D$11</c:f>
              <c:strCache>
                <c:ptCount val="8"/>
                <c:pt idx="0">
                  <c:v>Sector 1</c:v>
                </c:pt>
                <c:pt idx="1">
                  <c:v>Sector 2</c:v>
                </c:pt>
                <c:pt idx="2">
                  <c:v>Sector 3</c:v>
                </c:pt>
                <c:pt idx="3">
                  <c:v>Sector 4</c:v>
                </c:pt>
                <c:pt idx="4">
                  <c:v>Sector 5</c:v>
                </c:pt>
                <c:pt idx="5">
                  <c:v>Sector 6</c:v>
                </c:pt>
                <c:pt idx="6">
                  <c:v>Sector 7</c:v>
                </c:pt>
                <c:pt idx="7">
                  <c:v>Sector 8</c:v>
                </c:pt>
              </c:strCache>
            </c:strRef>
          </c:cat>
          <c:val>
            <c:numRef>
              <c:f>Calc!$J$4:$J$11</c:f>
              <c:numCache>
                <c:formatCode>#,##0;\-#,##0;\–</c:formatCode>
                <c:ptCount val="8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"SIN DATO"</c:f>
              <c:strCache>
                <c:ptCount val="1"/>
                <c:pt idx="0">
                  <c:v>SIN DATO</c:v>
                </c:pt>
              </c:strCache>
            </c:strRef>
          </c:tx>
          <c:spPr>
            <a:solidFill>
              <a:srgbClr val="d9534f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Calc!$D$4:$D$11</c:f>
              <c:strCache>
                <c:ptCount val="8"/>
                <c:pt idx="0">
                  <c:v>Sector 1</c:v>
                </c:pt>
                <c:pt idx="1">
                  <c:v>Sector 2</c:v>
                </c:pt>
                <c:pt idx="2">
                  <c:v>Sector 3</c:v>
                </c:pt>
                <c:pt idx="3">
                  <c:v>Sector 4</c:v>
                </c:pt>
                <c:pt idx="4">
                  <c:v>Sector 5</c:v>
                </c:pt>
                <c:pt idx="5">
                  <c:v>Sector 6</c:v>
                </c:pt>
                <c:pt idx="6">
                  <c:v>Sector 7</c:v>
                </c:pt>
                <c:pt idx="7">
                  <c:v>Sector 8</c:v>
                </c:pt>
              </c:strCache>
            </c:strRef>
          </c:cat>
          <c:val>
            <c:numRef>
              <c:f>Calc!$K$4:$K$11</c:f>
              <c:numCache>
                <c:formatCode>#,##0;\-#,##0;\–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</c:v>
                </c:pt>
                <c:pt idx="6">
                  <c:v>0</c:v>
                </c:pt>
                <c:pt idx="7">
                  <c:v>24</c:v>
                </c:pt>
              </c:numCache>
            </c:numRef>
          </c:val>
        </c:ser>
        <c:gapWidth val="50"/>
        <c:overlap val="100"/>
        <c:axId val="82619227"/>
        <c:axId val="49705822"/>
      </c:barChart>
      <c:catAx>
        <c:axId val="826192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49705822"/>
        <c:crosses val="autoZero"/>
        <c:auto val="1"/>
        <c:lblAlgn val="ctr"/>
        <c:lblOffset val="100"/>
        <c:noMultiLvlLbl val="0"/>
      </c:catAx>
      <c:valAx>
        <c:axId val="49705822"/>
        <c:scaling>
          <c:orientation val="minMax"/>
        </c:scaling>
        <c:delete val="0"/>
        <c:axPos val="l"/>
        <c:numFmt formatCode="#,##0;\-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826192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7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f3a5f"/>
                </a:solidFill>
                <a:latin typeface="Arial"/>
              </a:defRPr>
            </a:pPr>
            <a:r>
              <a:rPr b="1" sz="1000" spc="-1" strike="noStrike">
                <a:solidFill>
                  <a:srgbClr val="1f3a5f"/>
                </a:solidFill>
                <a:latin typeface="Arial"/>
              </a:rPr>
              <a:t>Función del relevador (filtro de sector)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6ab187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Calc!$AI$4:$AI$12</c:f>
              <c:strCache>
                <c:ptCount val="9"/>
                <c:pt idx="0">
                  <c:v>Protección y medición</c:v>
                </c:pt>
                <c:pt idx="1">
                  <c:v>Protección</c:v>
                </c:pt>
                <c:pt idx="2">
                  <c:v>Medición</c:v>
                </c:pt>
                <c:pt idx="3">
                  <c:v>Multimedidor</c:v>
                </c:pt>
                <c:pt idx="4">
                  <c:v>Control y protección</c:v>
                </c:pt>
                <c:pt idx="5">
                  <c:v>Protección de motor</c:v>
                </c:pt>
                <c:pt idx="6">
                  <c:v>Protección falla contra arco</c:v>
                </c:pt>
                <c:pt idx="7">
                  <c:v>Protección de transformador</c:v>
                </c:pt>
                <c:pt idx="8">
                  <c:v>SIN DATO</c:v>
                </c:pt>
              </c:strCache>
            </c:strRef>
          </c:cat>
          <c:val>
            <c:numRef>
              <c:f>Calc!$AJ$4:$AJ$12</c:f>
              <c:numCache>
                <c:formatCode>#,##0;\-#,##0;\–</c:formatCode>
                <c:ptCount val="9"/>
                <c:pt idx="0">
                  <c:v>1133</c:v>
                </c:pt>
                <c:pt idx="1">
                  <c:v>420</c:v>
                </c:pt>
                <c:pt idx="2">
                  <c:v>274</c:v>
                </c:pt>
                <c:pt idx="3">
                  <c:v>39</c:v>
                </c:pt>
                <c:pt idx="4">
                  <c:v>21</c:v>
                </c:pt>
                <c:pt idx="5">
                  <c:v>10</c:v>
                </c:pt>
                <c:pt idx="6">
                  <c:v>10</c:v>
                </c:pt>
                <c:pt idx="7">
                  <c:v>2</c:v>
                </c:pt>
                <c:pt idx="8">
                  <c:v>51</c:v>
                </c:pt>
              </c:numCache>
            </c:numRef>
          </c:val>
        </c:ser>
        <c:gapWidth val="60"/>
        <c:overlap val="0"/>
        <c:axId val="73522798"/>
        <c:axId val="11671671"/>
      </c:barChart>
      <c:catAx>
        <c:axId val="7352279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11671671"/>
        <c:crosses val="autoZero"/>
        <c:auto val="1"/>
        <c:lblAlgn val="ctr"/>
        <c:lblOffset val="100"/>
        <c:noMultiLvlLbl val="0"/>
      </c:catAx>
      <c:valAx>
        <c:axId val="11671671"/>
        <c:scaling>
          <c:orientation val="minMax"/>
        </c:scaling>
        <c:delete val="1"/>
        <c:axPos val="l"/>
        <c:numFmt formatCode="#,##0;\-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7352279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37440</xdr:rowOff>
    </xdr:from>
    <xdr:to>
      <xdr:col>6</xdr:col>
      <xdr:colOff>33120</xdr:colOff>
      <xdr:row>26</xdr:row>
      <xdr:rowOff>34200</xdr:rowOff>
    </xdr:to>
    <xdr:graphicFrame>
      <xdr:nvGraphicFramePr>
        <xdr:cNvPr id="0" name="Chart 1"/>
        <xdr:cNvGraphicFramePr/>
      </xdr:nvGraphicFramePr>
      <xdr:xfrm>
        <a:off x="0" y="3238560"/>
        <a:ext cx="367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37440</xdr:rowOff>
    </xdr:from>
    <xdr:to>
      <xdr:col>12</xdr:col>
      <xdr:colOff>33120</xdr:colOff>
      <xdr:row>26</xdr:row>
      <xdr:rowOff>34200</xdr:rowOff>
    </xdr:to>
    <xdr:graphicFrame>
      <xdr:nvGraphicFramePr>
        <xdr:cNvPr id="1" name="Chart 2"/>
        <xdr:cNvGraphicFramePr/>
      </xdr:nvGraphicFramePr>
      <xdr:xfrm>
        <a:off x="3638520" y="3238560"/>
        <a:ext cx="367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12</xdr:row>
      <xdr:rowOff>37440</xdr:rowOff>
    </xdr:from>
    <xdr:to>
      <xdr:col>18</xdr:col>
      <xdr:colOff>33120</xdr:colOff>
      <xdr:row>26</xdr:row>
      <xdr:rowOff>34200</xdr:rowOff>
    </xdr:to>
    <xdr:graphicFrame>
      <xdr:nvGraphicFramePr>
        <xdr:cNvPr id="2" name="Chart 3"/>
        <xdr:cNvGraphicFramePr/>
      </xdr:nvGraphicFramePr>
      <xdr:xfrm>
        <a:off x="7277040" y="3238560"/>
        <a:ext cx="367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28</xdr:row>
      <xdr:rowOff>37800</xdr:rowOff>
    </xdr:from>
    <xdr:to>
      <xdr:col>6</xdr:col>
      <xdr:colOff>33120</xdr:colOff>
      <xdr:row>42</xdr:row>
      <xdr:rowOff>34200</xdr:rowOff>
    </xdr:to>
    <xdr:graphicFrame>
      <xdr:nvGraphicFramePr>
        <xdr:cNvPr id="3" name="Chart 4"/>
        <xdr:cNvGraphicFramePr/>
      </xdr:nvGraphicFramePr>
      <xdr:xfrm>
        <a:off x="0" y="6286680"/>
        <a:ext cx="367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28</xdr:row>
      <xdr:rowOff>37800</xdr:rowOff>
    </xdr:from>
    <xdr:to>
      <xdr:col>12</xdr:col>
      <xdr:colOff>33120</xdr:colOff>
      <xdr:row>42</xdr:row>
      <xdr:rowOff>34200</xdr:rowOff>
    </xdr:to>
    <xdr:graphicFrame>
      <xdr:nvGraphicFramePr>
        <xdr:cNvPr id="4" name="Chart 5"/>
        <xdr:cNvGraphicFramePr/>
      </xdr:nvGraphicFramePr>
      <xdr:xfrm>
        <a:off x="3638520" y="6286680"/>
        <a:ext cx="367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28</xdr:row>
      <xdr:rowOff>37800</xdr:rowOff>
    </xdr:from>
    <xdr:to>
      <xdr:col>18</xdr:col>
      <xdr:colOff>33120</xdr:colOff>
      <xdr:row>42</xdr:row>
      <xdr:rowOff>34200</xdr:rowOff>
    </xdr:to>
    <xdr:graphicFrame>
      <xdr:nvGraphicFramePr>
        <xdr:cNvPr id="5" name="Chart 6"/>
        <xdr:cNvGraphicFramePr/>
      </xdr:nvGraphicFramePr>
      <xdr:xfrm>
        <a:off x="7277040" y="6286680"/>
        <a:ext cx="367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T1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8.6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5.5" hidden="false" customHeight="true" outlineLevel="0" collapsed="false">
      <c r="A4" s="3" t="s">
        <v>2</v>
      </c>
      <c r="B4" s="3"/>
      <c r="C4" s="4" t="s">
        <v>3</v>
      </c>
      <c r="D4" s="4"/>
      <c r="G4" s="5" t="s">
        <v>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25.5" hidden="false" customHeight="true" outlineLevel="0" collapsed="false">
      <c r="A5" s="3" t="s">
        <v>5</v>
      </c>
      <c r="B5" s="3"/>
      <c r="C5" s="4" t="s">
        <v>6</v>
      </c>
      <c r="D5" s="4"/>
      <c r="E5" s="4"/>
      <c r="G5" s="5" t="s">
        <v>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7" customFormat="false" ht="15.75" hidden="false" customHeight="true" outlineLevel="0" collapsed="false">
      <c r="A7" s="6" t="s">
        <v>8</v>
      </c>
      <c r="B7" s="6"/>
      <c r="C7" s="6"/>
      <c r="D7" s="6"/>
      <c r="E7" s="6"/>
      <c r="F7" s="6" t="s">
        <v>9</v>
      </c>
      <c r="G7" s="6"/>
      <c r="H7" s="6"/>
      <c r="I7" s="6"/>
      <c r="J7" s="6"/>
      <c r="K7" s="6" t="s">
        <v>10</v>
      </c>
      <c r="L7" s="6"/>
      <c r="M7" s="6"/>
      <c r="N7" s="6"/>
      <c r="O7" s="6"/>
      <c r="P7" s="6" t="s">
        <v>11</v>
      </c>
      <c r="Q7" s="6"/>
      <c r="R7" s="6"/>
      <c r="S7" s="6"/>
      <c r="T7" s="6"/>
    </row>
    <row r="8" customFormat="false" ht="33.75" hidden="false" customHeight="true" outlineLevel="0" collapsed="false">
      <c r="A8" s="7" t="n">
        <f aca="false">COUNTIFS(d_Sector,crit_sector)</f>
        <v>1960</v>
      </c>
      <c r="B8" s="7"/>
      <c r="C8" s="7"/>
      <c r="D8" s="7"/>
      <c r="E8" s="7"/>
      <c r="F8" s="8" t="n">
        <f aca="false">COUNTIFS(Calc!$N$4:$N$13,"&gt;0",Calc!$M$4:$M$13,"&lt;&gt;SIN DATO")</f>
        <v>9</v>
      </c>
      <c r="G8" s="8"/>
      <c r="H8" s="8"/>
      <c r="I8" s="8"/>
      <c r="J8" s="8"/>
      <c r="K8" s="8" t="n">
        <f aca="false">COUNTIFS(Calc!$T$4:$T$57,"&gt;0",Calc!$R$4:$R$57,"&lt;&gt;SIN DATO")</f>
        <v>53</v>
      </c>
      <c r="L8" s="8"/>
      <c r="M8" s="8"/>
      <c r="N8" s="8"/>
      <c r="O8" s="8"/>
      <c r="P8" s="8" t="n">
        <f aca="false">COUNTIF(Calc!$AB$4:$AB$43,"&gt;0")</f>
        <v>40</v>
      </c>
      <c r="Q8" s="8"/>
      <c r="R8" s="8"/>
      <c r="S8" s="8"/>
      <c r="T8" s="8"/>
    </row>
    <row r="9" customFormat="false" ht="22.35" hidden="false" customHeight="false" outlineLevel="0" collapsed="false">
      <c r="A9" s="9" t="str">
        <f aca="false">IF($A$8=0,"–",TEXT(COUNTIFS(d_Tipo,"Subestación eléctrica",d_Sector,crit_sector),"#,##0")&amp;" en subestaciones · "&amp;TEXT(COUNTIFS(d_Tipo,"Área de proceso",d_Sector,crit_sector),"#,##0")&amp;" en áreas de proceso")</f>
        <v>1,416 en subestaciones · 544 en áreas de proceso</v>
      </c>
      <c r="B9" s="9"/>
      <c r="C9" s="9"/>
      <c r="D9" s="9"/>
      <c r="E9" s="9"/>
      <c r="F9" s="9" t="str">
        <f aca="false">"Marcas normalizadas: GE y GENERAL ELECTRIC unificadas"</f>
        <v>Marcas normalizadas: GE y GENERAL ELECTRIC unificadas</v>
      </c>
      <c r="G9" s="9"/>
      <c r="H9" s="9"/>
      <c r="I9" s="9"/>
      <c r="J9" s="9"/>
      <c r="K9" s="9" t="str">
        <f aca="false">"Modelos con variantes de escritura unificadas"</f>
        <v>Modelos con variantes de escritura unificadas</v>
      </c>
      <c r="L9" s="9"/>
      <c r="M9" s="9"/>
      <c r="N9" s="9"/>
      <c r="O9" s="9"/>
      <c r="P9" s="9" t="str">
        <f aca="false">IF($A$8=0,"–",TEXT(COUNTIFS(d_Tipo,"Subestación eléctrica",d_Sector,crit_sector)/$A$8,"0%")&amp;" en subestaciones eléctricas")</f>
        <v>72% en subestaciones eléctricas</v>
      </c>
      <c r="Q9" s="9"/>
      <c r="R9" s="9"/>
      <c r="S9" s="9"/>
      <c r="T9" s="9"/>
    </row>
    <row r="10" customFormat="false" ht="15.75" hidden="false" customHeight="true" outlineLevel="0" collapsed="false">
      <c r="A10" s="6" t="s">
        <v>12</v>
      </c>
      <c r="B10" s="6"/>
      <c r="C10" s="6"/>
      <c r="D10" s="6"/>
      <c r="E10" s="6"/>
      <c r="F10" s="6" t="s">
        <v>13</v>
      </c>
      <c r="G10" s="6"/>
      <c r="H10" s="6"/>
      <c r="I10" s="6"/>
      <c r="J10" s="6"/>
      <c r="K10" s="6" t="s">
        <v>14</v>
      </c>
      <c r="L10" s="6"/>
      <c r="M10" s="6"/>
      <c r="N10" s="6"/>
      <c r="O10" s="6"/>
      <c r="P10" s="6" t="s">
        <v>15</v>
      </c>
      <c r="Q10" s="6"/>
      <c r="R10" s="6"/>
      <c r="S10" s="6"/>
      <c r="T10" s="6"/>
    </row>
    <row r="11" customFormat="false" ht="33.75" hidden="false" customHeight="true" outlineLevel="0" collapsed="false">
      <c r="A11" s="10" t="str">
        <f aca="false">IF($A$8=0,"–",INDEX(Calc!$M$4:$M$13,MATCH(MAX(Calc!$N$4:$N$13),Calc!$N$4:$N$13,0))&amp;" · "&amp;TEXT(MAX(Calc!$N$4:$N$13)/$A$8,"0%"))</f>
        <v>ABB · 42%</v>
      </c>
      <c r="B11" s="10"/>
      <c r="C11" s="10"/>
      <c r="D11" s="10"/>
      <c r="E11" s="10"/>
      <c r="F11" s="7" t="n">
        <f aca="false">COUNTIFS(d_Completo,"No",d_Sector,crit_sector)</f>
        <v>51</v>
      </c>
      <c r="G11" s="7"/>
      <c r="H11" s="7"/>
      <c r="I11" s="7"/>
      <c r="J11" s="7"/>
      <c r="K11" s="7" t="n">
        <f aca="false">COUNTIFS(d_Gen,"Sí",d_Sector,crit_sector)</f>
        <v>699</v>
      </c>
      <c r="L11" s="7"/>
      <c r="M11" s="7"/>
      <c r="N11" s="7"/>
      <c r="O11" s="7"/>
      <c r="P11" s="7" t="n">
        <f aca="false">COUNTIFS(d_Clase,"CLASE I DIVISION II",d_Sector,crit_sector)</f>
        <v>156</v>
      </c>
      <c r="Q11" s="7"/>
      <c r="R11" s="7"/>
      <c r="S11" s="7"/>
      <c r="T11" s="7"/>
    </row>
    <row r="12" customFormat="false" ht="15" hidden="false" customHeight="false" outlineLevel="0" collapsed="false">
      <c r="A12" s="9" t="str">
        <f aca="false">"Marca con más relevadores en el filtro"</f>
        <v>Marca con más relevadores en el filtro</v>
      </c>
      <c r="B12" s="9"/>
      <c r="C12" s="9"/>
      <c r="D12" s="9"/>
      <c r="E12" s="9"/>
      <c r="F12" s="9" t="str">
        <f aca="false">IF($A$8=0,"–",TEXT(F11/$A$8,"0.0%")&amp;" del total (ver Calidad_Datos)")</f>
        <v>2.6% del total (ver Calidad_Datos)</v>
      </c>
      <c r="G12" s="9"/>
      <c r="H12" s="9"/>
      <c r="I12" s="9"/>
      <c r="J12" s="9"/>
      <c r="K12" s="9" t="str">
        <f aca="false">IF($A$8=0,"–",TEXT(K11/$A$8,"0.0%")&amp;" del total")</f>
        <v>35.7% del total</v>
      </c>
      <c r="L12" s="9"/>
      <c r="M12" s="9"/>
      <c r="N12" s="9"/>
      <c r="O12" s="9"/>
      <c r="P12" s="9" t="str">
        <f aca="false">IF($A$8=0,"–",TEXT(P11/$A$8,"0.0%")&amp;" del total")</f>
        <v>8.0% del total</v>
      </c>
      <c r="Q12" s="9"/>
      <c r="R12" s="9"/>
      <c r="S12" s="9"/>
      <c r="T12" s="9"/>
    </row>
  </sheetData>
  <mergeCells count="32">
    <mergeCell ref="A1:T1"/>
    <mergeCell ref="A2:T2"/>
    <mergeCell ref="A4:B4"/>
    <mergeCell ref="C4:D4"/>
    <mergeCell ref="G4:T4"/>
    <mergeCell ref="A5:B5"/>
    <mergeCell ref="C5:E5"/>
    <mergeCell ref="G5:T5"/>
    <mergeCell ref="A7:E7"/>
    <mergeCell ref="F7:J7"/>
    <mergeCell ref="K7:O7"/>
    <mergeCell ref="P7:T7"/>
    <mergeCell ref="A8:E8"/>
    <mergeCell ref="F8:J8"/>
    <mergeCell ref="K8:O8"/>
    <mergeCell ref="P8:T8"/>
    <mergeCell ref="A9:E9"/>
    <mergeCell ref="F9:J9"/>
    <mergeCell ref="K9:O9"/>
    <mergeCell ref="P9:T9"/>
    <mergeCell ref="A10:E10"/>
    <mergeCell ref="F10:J10"/>
    <mergeCell ref="K10:O10"/>
    <mergeCell ref="P10:T10"/>
    <mergeCell ref="A11:E11"/>
    <mergeCell ref="F11:J11"/>
    <mergeCell ref="K11:O11"/>
    <mergeCell ref="P11:T11"/>
    <mergeCell ref="A12:E12"/>
    <mergeCell ref="F12:J12"/>
    <mergeCell ref="K12:O12"/>
    <mergeCell ref="P12:T12"/>
  </mergeCells>
  <dataValidations count="2">
    <dataValidation allowBlank="false" errorStyle="stop" operator="between" showDropDown="false" showErrorMessage="false" showInputMessage="false" sqref="C4" type="list">
      <formula1>Catalogos!$T$5:$T$13</formula1>
      <formula2>0</formula2>
    </dataValidation>
    <dataValidation allowBlank="false" errorStyle="stop" operator="between" showDropDown="false" showErrorMessage="false" showInputMessage="false" sqref="C5" type="list">
      <formula1>Catalogos!$X$5:$X$6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7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12" min="3" style="0" width="10"/>
  </cols>
  <sheetData>
    <row r="1" customFormat="false" ht="19.7" hidden="false" customHeight="false" outlineLevel="0" collapsed="false">
      <c r="A1" s="11" t="s">
        <v>16</v>
      </c>
    </row>
    <row r="2" customFormat="false" ht="15" hidden="false" customHeight="false" outlineLevel="0" collapsed="false">
      <c r="A2" s="12" t="s">
        <v>17</v>
      </c>
    </row>
    <row r="3" customFormat="false" ht="15" hidden="false" customHeight="false" outlineLevel="0" collapsed="false">
      <c r="A3" s="13" t="s">
        <v>18</v>
      </c>
      <c r="B3" s="14" t="s">
        <v>19</v>
      </c>
      <c r="D3" s="12" t="s">
        <v>20</v>
      </c>
      <c r="E3" s="12" t="str">
        <f aca="false">IF($B$3="(Todas)","*",$B$3)</f>
        <v>*</v>
      </c>
    </row>
    <row r="4" customFormat="false" ht="15" hidden="false" customHeight="false" outlineLevel="0" collapsed="false">
      <c r="A4" s="13" t="s">
        <v>21</v>
      </c>
      <c r="B4" s="14" t="s">
        <v>3</v>
      </c>
      <c r="D4" s="12" t="s">
        <v>20</v>
      </c>
      <c r="E4" s="12" t="str">
        <f aca="false">IF($B$4="(Todos)","*",$B$4)</f>
        <v>*</v>
      </c>
    </row>
    <row r="6" customFormat="false" ht="15" hidden="false" customHeight="false" outlineLevel="0" collapsed="false">
      <c r="A6" s="15" t="s">
        <v>22</v>
      </c>
      <c r="B6" s="15" t="s">
        <v>23</v>
      </c>
      <c r="C6" s="15" t="s">
        <v>24</v>
      </c>
      <c r="D6" s="15" t="s">
        <v>25</v>
      </c>
      <c r="E6" s="15" t="s">
        <v>26</v>
      </c>
      <c r="F6" s="15" t="s">
        <v>27</v>
      </c>
      <c r="G6" s="15" t="s">
        <v>28</v>
      </c>
      <c r="H6" s="15" t="s">
        <v>29</v>
      </c>
      <c r="I6" s="15" t="s">
        <v>30</v>
      </c>
      <c r="J6" s="15" t="s">
        <v>31</v>
      </c>
      <c r="K6" s="15" t="s">
        <v>32</v>
      </c>
      <c r="L6" s="15" t="s">
        <v>33</v>
      </c>
    </row>
    <row r="7" customFormat="false" ht="15" hidden="false" customHeight="false" outlineLevel="0" collapsed="false">
      <c r="A7" s="16" t="s">
        <v>34</v>
      </c>
      <c r="B7" s="16" t="s">
        <v>35</v>
      </c>
      <c r="C7" s="17" t="n">
        <f aca="false">COUNTIFS(d_Marca,$A7,d_Sector,C$6,d_Subest,$E$3,d_Tipo,$E$4)</f>
        <v>214</v>
      </c>
      <c r="D7" s="17" t="n">
        <f aca="false">COUNTIFS(d_Marca,$A7,d_Sector,D$6,d_Subest,$E$3,d_Tipo,$E$4)</f>
        <v>123</v>
      </c>
      <c r="E7" s="17" t="n">
        <f aca="false">COUNTIFS(d_Marca,$A7,d_Sector,E$6,d_Subest,$E$3,d_Tipo,$E$4)</f>
        <v>48</v>
      </c>
      <c r="F7" s="17" t="n">
        <f aca="false">COUNTIFS(d_Marca,$A7,d_Sector,F$6,d_Subest,$E$3,d_Tipo,$E$4)</f>
        <v>23</v>
      </c>
      <c r="G7" s="17" t="n">
        <f aca="false">COUNTIFS(d_Marca,$A7,d_Sector,G$6,d_Subest,$E$3,d_Tipo,$E$4)</f>
        <v>36</v>
      </c>
      <c r="H7" s="17" t="n">
        <f aca="false">COUNTIFS(d_Marca,$A7,d_Sector,H$6,d_Subest,$E$3,d_Tipo,$E$4)</f>
        <v>132</v>
      </c>
      <c r="I7" s="17" t="n">
        <f aca="false">COUNTIFS(d_Marca,$A7,d_Sector,I$6,d_Subest,$E$3,d_Tipo,$E$4)</f>
        <v>8</v>
      </c>
      <c r="J7" s="17" t="n">
        <f aca="false">COUNTIFS(d_Marca,$A7,d_Sector,J$6,d_Subest,$E$3,d_Tipo,$E$4)</f>
        <v>232</v>
      </c>
      <c r="K7" s="17" t="n">
        <f aca="false">SUM(C7:J7)</f>
        <v>816</v>
      </c>
      <c r="L7" s="18" t="n">
        <f aca="false">IF($K$71=0,0,K7/$K$71)</f>
        <v>0.416326530612245</v>
      </c>
    </row>
    <row r="8" customFormat="false" ht="15" hidden="false" customHeight="false" outlineLevel="0" collapsed="false">
      <c r="A8" s="19" t="s">
        <v>34</v>
      </c>
      <c r="B8" s="20" t="s">
        <v>36</v>
      </c>
      <c r="C8" s="21" t="n">
        <f aca="false">COUNTIFS(d_Marca,$A8,d_Modelo,$B8,d_Sector,C$6,d_Subest,$E$3,d_Tipo,$E$4)</f>
        <v>147</v>
      </c>
      <c r="D8" s="21" t="n">
        <f aca="false">COUNTIFS(d_Marca,$A8,d_Modelo,$B8,d_Sector,D$6,d_Subest,$E$3,d_Tipo,$E$4)</f>
        <v>36</v>
      </c>
      <c r="E8" s="21" t="n">
        <f aca="false">COUNTIFS(d_Marca,$A8,d_Modelo,$B8,d_Sector,E$6,d_Subest,$E$3,d_Tipo,$E$4)</f>
        <v>0</v>
      </c>
      <c r="F8" s="21" t="n">
        <f aca="false">COUNTIFS(d_Marca,$A8,d_Modelo,$B8,d_Sector,F$6,d_Subest,$E$3,d_Tipo,$E$4)</f>
        <v>0</v>
      </c>
      <c r="G8" s="21" t="n">
        <f aca="false">COUNTIFS(d_Marca,$A8,d_Modelo,$B8,d_Sector,G$6,d_Subest,$E$3,d_Tipo,$E$4)</f>
        <v>0</v>
      </c>
      <c r="H8" s="21" t="n">
        <f aca="false">COUNTIFS(d_Marca,$A8,d_Modelo,$B8,d_Sector,H$6,d_Subest,$E$3,d_Tipo,$E$4)</f>
        <v>0</v>
      </c>
      <c r="I8" s="21" t="n">
        <f aca="false">COUNTIFS(d_Marca,$A8,d_Modelo,$B8,d_Sector,I$6,d_Subest,$E$3,d_Tipo,$E$4)</f>
        <v>0</v>
      </c>
      <c r="J8" s="21" t="n">
        <f aca="false">COUNTIFS(d_Marca,$A8,d_Modelo,$B8,d_Sector,J$6,d_Subest,$E$3,d_Tipo,$E$4)</f>
        <v>1</v>
      </c>
      <c r="K8" s="22" t="n">
        <f aca="false">SUM(C8:J8)</f>
        <v>184</v>
      </c>
      <c r="L8" s="23" t="n">
        <f aca="false">IF($K$71=0,0,K8/$K$71)</f>
        <v>0.0938775510204082</v>
      </c>
    </row>
    <row r="9" customFormat="false" ht="15" hidden="false" customHeight="false" outlineLevel="0" collapsed="false">
      <c r="A9" s="19" t="s">
        <v>34</v>
      </c>
      <c r="B9" s="20" t="s">
        <v>37</v>
      </c>
      <c r="C9" s="21" t="n">
        <f aca="false">COUNTIFS(d_Marca,$A9,d_Modelo,$B9,d_Sector,C$6,d_Subest,$E$3,d_Tipo,$E$4)</f>
        <v>0</v>
      </c>
      <c r="D9" s="21" t="n">
        <f aca="false">COUNTIFS(d_Marca,$A9,d_Modelo,$B9,d_Sector,D$6,d_Subest,$E$3,d_Tipo,$E$4)</f>
        <v>0</v>
      </c>
      <c r="E9" s="21" t="n">
        <f aca="false">COUNTIFS(d_Marca,$A9,d_Modelo,$B9,d_Sector,E$6,d_Subest,$E$3,d_Tipo,$E$4)</f>
        <v>0</v>
      </c>
      <c r="F9" s="21" t="n">
        <f aca="false">COUNTIFS(d_Marca,$A9,d_Modelo,$B9,d_Sector,F$6,d_Subest,$E$3,d_Tipo,$E$4)</f>
        <v>0</v>
      </c>
      <c r="G9" s="21" t="n">
        <f aca="false">COUNTIFS(d_Marca,$A9,d_Modelo,$B9,d_Sector,G$6,d_Subest,$E$3,d_Tipo,$E$4)</f>
        <v>0</v>
      </c>
      <c r="H9" s="21" t="n">
        <f aca="false">COUNTIFS(d_Marca,$A9,d_Modelo,$B9,d_Sector,H$6,d_Subest,$E$3,d_Tipo,$E$4)</f>
        <v>69</v>
      </c>
      <c r="I9" s="21" t="n">
        <f aca="false">COUNTIFS(d_Marca,$A9,d_Modelo,$B9,d_Sector,I$6,d_Subest,$E$3,d_Tipo,$E$4)</f>
        <v>0</v>
      </c>
      <c r="J9" s="21" t="n">
        <f aca="false">COUNTIFS(d_Marca,$A9,d_Modelo,$B9,d_Sector,J$6,d_Subest,$E$3,d_Tipo,$E$4)</f>
        <v>98</v>
      </c>
      <c r="K9" s="22" t="n">
        <f aca="false">SUM(C9:J9)</f>
        <v>167</v>
      </c>
      <c r="L9" s="23" t="n">
        <f aca="false">IF($K$71=0,0,K9/$K$71)</f>
        <v>0.0852040816326531</v>
      </c>
    </row>
    <row r="10" customFormat="false" ht="15" hidden="false" customHeight="false" outlineLevel="0" collapsed="false">
      <c r="A10" s="19" t="s">
        <v>34</v>
      </c>
      <c r="B10" s="20" t="s">
        <v>38</v>
      </c>
      <c r="C10" s="21" t="n">
        <f aca="false">COUNTIFS(d_Marca,$A10,d_Modelo,$B10,d_Sector,C$6,d_Subest,$E$3,d_Tipo,$E$4)</f>
        <v>38</v>
      </c>
      <c r="D10" s="21" t="n">
        <f aca="false">COUNTIFS(d_Marca,$A10,d_Modelo,$B10,d_Sector,D$6,d_Subest,$E$3,d_Tipo,$E$4)</f>
        <v>47</v>
      </c>
      <c r="E10" s="21" t="n">
        <f aca="false">COUNTIFS(d_Marca,$A10,d_Modelo,$B10,d_Sector,E$6,d_Subest,$E$3,d_Tipo,$E$4)</f>
        <v>0</v>
      </c>
      <c r="F10" s="21" t="n">
        <f aca="false">COUNTIFS(d_Marca,$A10,d_Modelo,$B10,d_Sector,F$6,d_Subest,$E$3,d_Tipo,$E$4)</f>
        <v>0</v>
      </c>
      <c r="G10" s="21" t="n">
        <f aca="false">COUNTIFS(d_Marca,$A10,d_Modelo,$B10,d_Sector,G$6,d_Subest,$E$3,d_Tipo,$E$4)</f>
        <v>0</v>
      </c>
      <c r="H10" s="21" t="n">
        <f aca="false">COUNTIFS(d_Marca,$A10,d_Modelo,$B10,d_Sector,H$6,d_Subest,$E$3,d_Tipo,$E$4)</f>
        <v>0</v>
      </c>
      <c r="I10" s="21" t="n">
        <f aca="false">COUNTIFS(d_Marca,$A10,d_Modelo,$B10,d_Sector,I$6,d_Subest,$E$3,d_Tipo,$E$4)</f>
        <v>0</v>
      </c>
      <c r="J10" s="21" t="n">
        <f aca="false">COUNTIFS(d_Marca,$A10,d_Modelo,$B10,d_Sector,J$6,d_Subest,$E$3,d_Tipo,$E$4)</f>
        <v>0</v>
      </c>
      <c r="K10" s="22" t="n">
        <f aca="false">SUM(C10:J10)</f>
        <v>85</v>
      </c>
      <c r="L10" s="23" t="n">
        <f aca="false">IF($K$71=0,0,K10/$K$71)</f>
        <v>0.0433673469387755</v>
      </c>
    </row>
    <row r="11" customFormat="false" ht="15" hidden="false" customHeight="false" outlineLevel="0" collapsed="false">
      <c r="A11" s="19" t="s">
        <v>34</v>
      </c>
      <c r="B11" s="20" t="s">
        <v>39</v>
      </c>
      <c r="C11" s="21" t="n">
        <f aca="false">COUNTIFS(d_Marca,$A11,d_Modelo,$B11,d_Sector,C$6,d_Subest,$E$3,d_Tipo,$E$4)</f>
        <v>0</v>
      </c>
      <c r="D11" s="21" t="n">
        <f aca="false">COUNTIFS(d_Marca,$A11,d_Modelo,$B11,d_Sector,D$6,d_Subest,$E$3,d_Tipo,$E$4)</f>
        <v>0</v>
      </c>
      <c r="E11" s="21" t="n">
        <f aca="false">COUNTIFS(d_Marca,$A11,d_Modelo,$B11,d_Sector,E$6,d_Subest,$E$3,d_Tipo,$E$4)</f>
        <v>29</v>
      </c>
      <c r="F11" s="21" t="n">
        <f aca="false">COUNTIFS(d_Marca,$A11,d_Modelo,$B11,d_Sector,F$6,d_Subest,$E$3,d_Tipo,$E$4)</f>
        <v>11</v>
      </c>
      <c r="G11" s="21" t="n">
        <f aca="false">COUNTIFS(d_Marca,$A11,d_Modelo,$B11,d_Sector,G$6,d_Subest,$E$3,d_Tipo,$E$4)</f>
        <v>23</v>
      </c>
      <c r="H11" s="21" t="n">
        <f aca="false">COUNTIFS(d_Marca,$A11,d_Modelo,$B11,d_Sector,H$6,d_Subest,$E$3,d_Tipo,$E$4)</f>
        <v>0</v>
      </c>
      <c r="I11" s="21" t="n">
        <f aca="false">COUNTIFS(d_Marca,$A11,d_Modelo,$B11,d_Sector,I$6,d_Subest,$E$3,d_Tipo,$E$4)</f>
        <v>4</v>
      </c>
      <c r="J11" s="21" t="n">
        <f aca="false">COUNTIFS(d_Marca,$A11,d_Modelo,$B11,d_Sector,J$6,d_Subest,$E$3,d_Tipo,$E$4)</f>
        <v>0</v>
      </c>
      <c r="K11" s="22" t="n">
        <f aca="false">SUM(C11:J11)</f>
        <v>67</v>
      </c>
      <c r="L11" s="23" t="n">
        <f aca="false">IF($K$71=0,0,K11/$K$71)</f>
        <v>0.0341836734693878</v>
      </c>
    </row>
    <row r="12" customFormat="false" ht="15" hidden="false" customHeight="false" outlineLevel="0" collapsed="false">
      <c r="A12" s="19" t="s">
        <v>34</v>
      </c>
      <c r="B12" s="20" t="s">
        <v>40</v>
      </c>
      <c r="C12" s="21" t="n">
        <f aca="false">COUNTIFS(d_Marca,$A12,d_Modelo,$B12,d_Sector,C$6,d_Subest,$E$3,d_Tipo,$E$4)</f>
        <v>0</v>
      </c>
      <c r="D12" s="21" t="n">
        <f aca="false">COUNTIFS(d_Marca,$A12,d_Modelo,$B12,d_Sector,D$6,d_Subest,$E$3,d_Tipo,$E$4)</f>
        <v>0</v>
      </c>
      <c r="E12" s="21" t="n">
        <f aca="false">COUNTIFS(d_Marca,$A12,d_Modelo,$B12,d_Sector,E$6,d_Subest,$E$3,d_Tipo,$E$4)</f>
        <v>0</v>
      </c>
      <c r="F12" s="21" t="n">
        <f aca="false">COUNTIFS(d_Marca,$A12,d_Modelo,$B12,d_Sector,F$6,d_Subest,$E$3,d_Tipo,$E$4)</f>
        <v>0</v>
      </c>
      <c r="G12" s="21" t="n">
        <f aca="false">COUNTIFS(d_Marca,$A12,d_Modelo,$B12,d_Sector,G$6,d_Subest,$E$3,d_Tipo,$E$4)</f>
        <v>0</v>
      </c>
      <c r="H12" s="21" t="n">
        <f aca="false">COUNTIFS(d_Marca,$A12,d_Modelo,$B12,d_Sector,H$6,d_Subest,$E$3,d_Tipo,$E$4)</f>
        <v>22</v>
      </c>
      <c r="I12" s="21" t="n">
        <f aca="false">COUNTIFS(d_Marca,$A12,d_Modelo,$B12,d_Sector,I$6,d_Subest,$E$3,d_Tipo,$E$4)</f>
        <v>0</v>
      </c>
      <c r="J12" s="21" t="n">
        <f aca="false">COUNTIFS(d_Marca,$A12,d_Modelo,$B12,d_Sector,J$6,d_Subest,$E$3,d_Tipo,$E$4)</f>
        <v>37</v>
      </c>
      <c r="K12" s="22" t="n">
        <f aca="false">SUM(C12:J12)</f>
        <v>59</v>
      </c>
      <c r="L12" s="23" t="n">
        <f aca="false">IF($K$71=0,0,K12/$K$71)</f>
        <v>0.0301020408163265</v>
      </c>
    </row>
    <row r="13" customFormat="false" ht="15" hidden="false" customHeight="false" outlineLevel="0" collapsed="false">
      <c r="A13" s="19" t="s">
        <v>34</v>
      </c>
      <c r="B13" s="20" t="s">
        <v>41</v>
      </c>
      <c r="C13" s="21" t="n">
        <f aca="false">COUNTIFS(d_Marca,$A13,d_Modelo,$B13,d_Sector,C$6,d_Subest,$E$3,d_Tipo,$E$4)</f>
        <v>0</v>
      </c>
      <c r="D13" s="21" t="n">
        <f aca="false">COUNTIFS(d_Marca,$A13,d_Modelo,$B13,d_Sector,D$6,d_Subest,$E$3,d_Tipo,$E$4)</f>
        <v>0</v>
      </c>
      <c r="E13" s="21" t="n">
        <f aca="false">COUNTIFS(d_Marca,$A13,d_Modelo,$B13,d_Sector,E$6,d_Subest,$E$3,d_Tipo,$E$4)</f>
        <v>0</v>
      </c>
      <c r="F13" s="21" t="n">
        <f aca="false">COUNTIFS(d_Marca,$A13,d_Modelo,$B13,d_Sector,F$6,d_Subest,$E$3,d_Tipo,$E$4)</f>
        <v>0</v>
      </c>
      <c r="G13" s="21" t="n">
        <f aca="false">COUNTIFS(d_Marca,$A13,d_Modelo,$B13,d_Sector,G$6,d_Subest,$E$3,d_Tipo,$E$4)</f>
        <v>0</v>
      </c>
      <c r="H13" s="21" t="n">
        <f aca="false">COUNTIFS(d_Marca,$A13,d_Modelo,$B13,d_Sector,H$6,d_Subest,$E$3,d_Tipo,$E$4)</f>
        <v>10</v>
      </c>
      <c r="I13" s="21" t="n">
        <f aca="false">COUNTIFS(d_Marca,$A13,d_Modelo,$B13,d_Sector,I$6,d_Subest,$E$3,d_Tipo,$E$4)</f>
        <v>0</v>
      </c>
      <c r="J13" s="21" t="n">
        <f aca="false">COUNTIFS(d_Marca,$A13,d_Modelo,$B13,d_Sector,J$6,d_Subest,$E$3,d_Tipo,$E$4)</f>
        <v>47</v>
      </c>
      <c r="K13" s="22" t="n">
        <f aca="false">SUM(C13:J13)</f>
        <v>57</v>
      </c>
      <c r="L13" s="23" t="n">
        <f aca="false">IF($K$71=0,0,K13/$K$71)</f>
        <v>0.0290816326530612</v>
      </c>
    </row>
    <row r="14" customFormat="false" ht="15" hidden="false" customHeight="false" outlineLevel="0" collapsed="false">
      <c r="A14" s="19" t="s">
        <v>34</v>
      </c>
      <c r="B14" s="20" t="s">
        <v>42</v>
      </c>
      <c r="C14" s="21" t="n">
        <f aca="false">COUNTIFS(d_Marca,$A14,d_Modelo,$B14,d_Sector,C$6,d_Subest,$E$3,d_Tipo,$E$4)</f>
        <v>18</v>
      </c>
      <c r="D14" s="21" t="n">
        <f aca="false">COUNTIFS(d_Marca,$A14,d_Modelo,$B14,d_Sector,D$6,d_Subest,$E$3,d_Tipo,$E$4)</f>
        <v>15</v>
      </c>
      <c r="E14" s="21" t="n">
        <f aca="false">COUNTIFS(d_Marca,$A14,d_Modelo,$B14,d_Sector,E$6,d_Subest,$E$3,d_Tipo,$E$4)</f>
        <v>0</v>
      </c>
      <c r="F14" s="21" t="n">
        <f aca="false">COUNTIFS(d_Marca,$A14,d_Modelo,$B14,d_Sector,F$6,d_Subest,$E$3,d_Tipo,$E$4)</f>
        <v>0</v>
      </c>
      <c r="G14" s="21" t="n">
        <f aca="false">COUNTIFS(d_Marca,$A14,d_Modelo,$B14,d_Sector,G$6,d_Subest,$E$3,d_Tipo,$E$4)</f>
        <v>0</v>
      </c>
      <c r="H14" s="21" t="n">
        <f aca="false">COUNTIFS(d_Marca,$A14,d_Modelo,$B14,d_Sector,H$6,d_Subest,$E$3,d_Tipo,$E$4)</f>
        <v>0</v>
      </c>
      <c r="I14" s="21" t="n">
        <f aca="false">COUNTIFS(d_Marca,$A14,d_Modelo,$B14,d_Sector,I$6,d_Subest,$E$3,d_Tipo,$E$4)</f>
        <v>0</v>
      </c>
      <c r="J14" s="21" t="n">
        <f aca="false">COUNTIFS(d_Marca,$A14,d_Modelo,$B14,d_Sector,J$6,d_Subest,$E$3,d_Tipo,$E$4)</f>
        <v>0</v>
      </c>
      <c r="K14" s="22" t="n">
        <f aca="false">SUM(C14:J14)</f>
        <v>33</v>
      </c>
      <c r="L14" s="23" t="n">
        <f aca="false">IF($K$71=0,0,K14/$K$71)</f>
        <v>0.0168367346938776</v>
      </c>
    </row>
    <row r="15" customFormat="false" ht="15" hidden="false" customHeight="false" outlineLevel="0" collapsed="false">
      <c r="A15" s="19" t="s">
        <v>34</v>
      </c>
      <c r="B15" s="20" t="s">
        <v>43</v>
      </c>
      <c r="C15" s="21" t="n">
        <f aca="false">COUNTIFS(d_Marca,$A15,d_Modelo,$B15,d_Sector,C$6,d_Subest,$E$3,d_Tipo,$E$4)</f>
        <v>0</v>
      </c>
      <c r="D15" s="21" t="n">
        <f aca="false">COUNTIFS(d_Marca,$A15,d_Modelo,$B15,d_Sector,D$6,d_Subest,$E$3,d_Tipo,$E$4)</f>
        <v>0</v>
      </c>
      <c r="E15" s="21" t="n">
        <f aca="false">COUNTIFS(d_Marca,$A15,d_Modelo,$B15,d_Sector,E$6,d_Subest,$E$3,d_Tipo,$E$4)</f>
        <v>0</v>
      </c>
      <c r="F15" s="21" t="n">
        <f aca="false">COUNTIFS(d_Marca,$A15,d_Modelo,$B15,d_Sector,F$6,d_Subest,$E$3,d_Tipo,$E$4)</f>
        <v>0</v>
      </c>
      <c r="G15" s="21" t="n">
        <f aca="false">COUNTIFS(d_Marca,$A15,d_Modelo,$B15,d_Sector,G$6,d_Subest,$E$3,d_Tipo,$E$4)</f>
        <v>0</v>
      </c>
      <c r="H15" s="21" t="n">
        <f aca="false">COUNTIFS(d_Marca,$A15,d_Modelo,$B15,d_Sector,H$6,d_Subest,$E$3,d_Tipo,$E$4)</f>
        <v>6</v>
      </c>
      <c r="I15" s="21" t="n">
        <f aca="false">COUNTIFS(d_Marca,$A15,d_Modelo,$B15,d_Sector,I$6,d_Subest,$E$3,d_Tipo,$E$4)</f>
        <v>0</v>
      </c>
      <c r="J15" s="21" t="n">
        <f aca="false">COUNTIFS(d_Marca,$A15,d_Modelo,$B15,d_Sector,J$6,d_Subest,$E$3,d_Tipo,$E$4)</f>
        <v>23</v>
      </c>
      <c r="K15" s="22" t="n">
        <f aca="false">SUM(C15:J15)</f>
        <v>29</v>
      </c>
      <c r="L15" s="23" t="n">
        <f aca="false">IF($K$71=0,0,K15/$K$71)</f>
        <v>0.0147959183673469</v>
      </c>
    </row>
    <row r="16" customFormat="false" ht="15" hidden="false" customHeight="false" outlineLevel="0" collapsed="false">
      <c r="A16" s="19" t="s">
        <v>34</v>
      </c>
      <c r="B16" s="20" t="s">
        <v>44</v>
      </c>
      <c r="C16" s="21" t="n">
        <f aca="false">COUNTIFS(d_Marca,$A16,d_Modelo,$B16,d_Sector,C$6,d_Subest,$E$3,d_Tipo,$E$4)</f>
        <v>0</v>
      </c>
      <c r="D16" s="21" t="n">
        <f aca="false">COUNTIFS(d_Marca,$A16,d_Modelo,$B16,d_Sector,D$6,d_Subest,$E$3,d_Tipo,$E$4)</f>
        <v>0</v>
      </c>
      <c r="E16" s="21" t="n">
        <f aca="false">COUNTIFS(d_Marca,$A16,d_Modelo,$B16,d_Sector,E$6,d_Subest,$E$3,d_Tipo,$E$4)</f>
        <v>9</v>
      </c>
      <c r="F16" s="21" t="n">
        <f aca="false">COUNTIFS(d_Marca,$A16,d_Modelo,$B16,d_Sector,F$6,d_Subest,$E$3,d_Tipo,$E$4)</f>
        <v>5</v>
      </c>
      <c r="G16" s="21" t="n">
        <f aca="false">COUNTIFS(d_Marca,$A16,d_Modelo,$B16,d_Sector,G$6,d_Subest,$E$3,d_Tipo,$E$4)</f>
        <v>6</v>
      </c>
      <c r="H16" s="21" t="n">
        <f aca="false">COUNTIFS(d_Marca,$A16,d_Modelo,$B16,d_Sector,H$6,d_Subest,$E$3,d_Tipo,$E$4)</f>
        <v>0</v>
      </c>
      <c r="I16" s="21" t="n">
        <f aca="false">COUNTIFS(d_Marca,$A16,d_Modelo,$B16,d_Sector,I$6,d_Subest,$E$3,d_Tipo,$E$4)</f>
        <v>4</v>
      </c>
      <c r="J16" s="21" t="n">
        <f aca="false">COUNTIFS(d_Marca,$A16,d_Modelo,$B16,d_Sector,J$6,d_Subest,$E$3,d_Tipo,$E$4)</f>
        <v>0</v>
      </c>
      <c r="K16" s="22" t="n">
        <f aca="false">SUM(C16:J16)</f>
        <v>24</v>
      </c>
      <c r="L16" s="23" t="n">
        <f aca="false">IF($K$71=0,0,K16/$K$71)</f>
        <v>0.0122448979591837</v>
      </c>
    </row>
    <row r="17" customFormat="false" ht="15" hidden="false" customHeight="false" outlineLevel="0" collapsed="false">
      <c r="A17" s="19" t="s">
        <v>34</v>
      </c>
      <c r="B17" s="20" t="s">
        <v>45</v>
      </c>
      <c r="C17" s="21" t="n">
        <f aca="false">COUNTIFS(d_Marca,$A17,d_Modelo,$B17,d_Sector,C$6,d_Subest,$E$3,d_Tipo,$E$4)</f>
        <v>0</v>
      </c>
      <c r="D17" s="21" t="n">
        <f aca="false">COUNTIFS(d_Marca,$A17,d_Modelo,$B17,d_Sector,D$6,d_Subest,$E$3,d_Tipo,$E$4)</f>
        <v>0</v>
      </c>
      <c r="E17" s="21" t="n">
        <f aca="false">COUNTIFS(d_Marca,$A17,d_Modelo,$B17,d_Sector,E$6,d_Subest,$E$3,d_Tipo,$E$4)</f>
        <v>0</v>
      </c>
      <c r="F17" s="21" t="n">
        <f aca="false">COUNTIFS(d_Marca,$A17,d_Modelo,$B17,d_Sector,F$6,d_Subest,$E$3,d_Tipo,$E$4)</f>
        <v>0</v>
      </c>
      <c r="G17" s="21" t="n">
        <f aca="false">COUNTIFS(d_Marca,$A17,d_Modelo,$B17,d_Sector,G$6,d_Subest,$E$3,d_Tipo,$E$4)</f>
        <v>0</v>
      </c>
      <c r="H17" s="21" t="n">
        <f aca="false">COUNTIFS(d_Marca,$A17,d_Modelo,$B17,d_Sector,H$6,d_Subest,$E$3,d_Tipo,$E$4)</f>
        <v>18</v>
      </c>
      <c r="I17" s="21" t="n">
        <f aca="false">COUNTIFS(d_Marca,$A17,d_Modelo,$B17,d_Sector,I$6,d_Subest,$E$3,d_Tipo,$E$4)</f>
        <v>0</v>
      </c>
      <c r="J17" s="21" t="n">
        <f aca="false">COUNTIFS(d_Marca,$A17,d_Modelo,$B17,d_Sector,J$6,d_Subest,$E$3,d_Tipo,$E$4)</f>
        <v>0</v>
      </c>
      <c r="K17" s="22" t="n">
        <f aca="false">SUM(C17:J17)</f>
        <v>18</v>
      </c>
      <c r="L17" s="23" t="n">
        <f aca="false">IF($K$71=0,0,K17/$K$71)</f>
        <v>0.00918367346938776</v>
      </c>
    </row>
    <row r="18" customFormat="false" ht="15" hidden="false" customHeight="false" outlineLevel="0" collapsed="false">
      <c r="A18" s="19" t="s">
        <v>34</v>
      </c>
      <c r="B18" s="20" t="s">
        <v>46</v>
      </c>
      <c r="C18" s="21" t="n">
        <f aca="false">COUNTIFS(d_Marca,$A18,d_Modelo,$B18,d_Sector,C$6,d_Subest,$E$3,d_Tipo,$E$4)</f>
        <v>5</v>
      </c>
      <c r="D18" s="21" t="n">
        <f aca="false">COUNTIFS(d_Marca,$A18,d_Modelo,$B18,d_Sector,D$6,d_Subest,$E$3,d_Tipo,$E$4)</f>
        <v>11</v>
      </c>
      <c r="E18" s="21" t="n">
        <f aca="false">COUNTIFS(d_Marca,$A18,d_Modelo,$B18,d_Sector,E$6,d_Subest,$E$3,d_Tipo,$E$4)</f>
        <v>0</v>
      </c>
      <c r="F18" s="21" t="n">
        <f aca="false">COUNTIFS(d_Marca,$A18,d_Modelo,$B18,d_Sector,F$6,d_Subest,$E$3,d_Tipo,$E$4)</f>
        <v>0</v>
      </c>
      <c r="G18" s="21" t="n">
        <f aca="false">COUNTIFS(d_Marca,$A18,d_Modelo,$B18,d_Sector,G$6,d_Subest,$E$3,d_Tipo,$E$4)</f>
        <v>0</v>
      </c>
      <c r="H18" s="21" t="n">
        <f aca="false">COUNTIFS(d_Marca,$A18,d_Modelo,$B18,d_Sector,H$6,d_Subest,$E$3,d_Tipo,$E$4)</f>
        <v>0</v>
      </c>
      <c r="I18" s="21" t="n">
        <f aca="false">COUNTIFS(d_Marca,$A18,d_Modelo,$B18,d_Sector,I$6,d_Subest,$E$3,d_Tipo,$E$4)</f>
        <v>0</v>
      </c>
      <c r="J18" s="21" t="n">
        <f aca="false">COUNTIFS(d_Marca,$A18,d_Modelo,$B18,d_Sector,J$6,d_Subest,$E$3,d_Tipo,$E$4)</f>
        <v>0</v>
      </c>
      <c r="K18" s="22" t="n">
        <f aca="false">SUM(C18:J18)</f>
        <v>16</v>
      </c>
      <c r="L18" s="23" t="n">
        <f aca="false">IF($K$71=0,0,K18/$K$71)</f>
        <v>0.00816326530612245</v>
      </c>
    </row>
    <row r="19" customFormat="false" ht="15" hidden="false" customHeight="false" outlineLevel="0" collapsed="false">
      <c r="A19" s="19" t="s">
        <v>34</v>
      </c>
      <c r="B19" s="20" t="s">
        <v>47</v>
      </c>
      <c r="C19" s="21" t="n">
        <f aca="false">COUNTIFS(d_Marca,$A19,d_Modelo,$B19,d_Sector,C$6,d_Subest,$E$3,d_Tipo,$E$4)</f>
        <v>0</v>
      </c>
      <c r="D19" s="21" t="n">
        <f aca="false">COUNTIFS(d_Marca,$A19,d_Modelo,$B19,d_Sector,D$6,d_Subest,$E$3,d_Tipo,$E$4)</f>
        <v>0</v>
      </c>
      <c r="E19" s="21" t="n">
        <f aca="false">COUNTIFS(d_Marca,$A19,d_Modelo,$B19,d_Sector,E$6,d_Subest,$E$3,d_Tipo,$E$4)</f>
        <v>6</v>
      </c>
      <c r="F19" s="21" t="n">
        <f aca="false">COUNTIFS(d_Marca,$A19,d_Modelo,$B19,d_Sector,F$6,d_Subest,$E$3,d_Tipo,$E$4)</f>
        <v>5</v>
      </c>
      <c r="G19" s="21" t="n">
        <f aca="false">COUNTIFS(d_Marca,$A19,d_Modelo,$B19,d_Sector,G$6,d_Subest,$E$3,d_Tipo,$E$4)</f>
        <v>5</v>
      </c>
      <c r="H19" s="21" t="n">
        <f aca="false">COUNTIFS(d_Marca,$A19,d_Modelo,$B19,d_Sector,H$6,d_Subest,$E$3,d_Tipo,$E$4)</f>
        <v>0</v>
      </c>
      <c r="I19" s="21" t="n">
        <f aca="false">COUNTIFS(d_Marca,$A19,d_Modelo,$B19,d_Sector,I$6,d_Subest,$E$3,d_Tipo,$E$4)</f>
        <v>0</v>
      </c>
      <c r="J19" s="21" t="n">
        <f aca="false">COUNTIFS(d_Marca,$A19,d_Modelo,$B19,d_Sector,J$6,d_Subest,$E$3,d_Tipo,$E$4)</f>
        <v>0</v>
      </c>
      <c r="K19" s="22" t="n">
        <f aca="false">SUM(C19:J19)</f>
        <v>16</v>
      </c>
      <c r="L19" s="23" t="n">
        <f aca="false">IF($K$71=0,0,K19/$K$71)</f>
        <v>0.00816326530612245</v>
      </c>
    </row>
    <row r="20" customFormat="false" ht="15" hidden="false" customHeight="false" outlineLevel="0" collapsed="false">
      <c r="A20" s="19" t="s">
        <v>34</v>
      </c>
      <c r="B20" s="20" t="s">
        <v>48</v>
      </c>
      <c r="C20" s="21" t="n">
        <f aca="false">COUNTIFS(d_Marca,$A20,d_Modelo,$B20,d_Sector,C$6,d_Subest,$E$3,d_Tipo,$E$4)</f>
        <v>6</v>
      </c>
      <c r="D20" s="21" t="n">
        <f aca="false">COUNTIFS(d_Marca,$A20,d_Modelo,$B20,d_Sector,D$6,d_Subest,$E$3,d_Tipo,$E$4)</f>
        <v>6</v>
      </c>
      <c r="E20" s="21" t="n">
        <f aca="false">COUNTIFS(d_Marca,$A20,d_Modelo,$B20,d_Sector,E$6,d_Subest,$E$3,d_Tipo,$E$4)</f>
        <v>0</v>
      </c>
      <c r="F20" s="21" t="n">
        <f aca="false">COUNTIFS(d_Marca,$A20,d_Modelo,$B20,d_Sector,F$6,d_Subest,$E$3,d_Tipo,$E$4)</f>
        <v>0</v>
      </c>
      <c r="G20" s="21" t="n">
        <f aca="false">COUNTIFS(d_Marca,$A20,d_Modelo,$B20,d_Sector,G$6,d_Subest,$E$3,d_Tipo,$E$4)</f>
        <v>0</v>
      </c>
      <c r="H20" s="21" t="n">
        <f aca="false">COUNTIFS(d_Marca,$A20,d_Modelo,$B20,d_Sector,H$6,d_Subest,$E$3,d_Tipo,$E$4)</f>
        <v>0</v>
      </c>
      <c r="I20" s="21" t="n">
        <f aca="false">COUNTIFS(d_Marca,$A20,d_Modelo,$B20,d_Sector,I$6,d_Subest,$E$3,d_Tipo,$E$4)</f>
        <v>0</v>
      </c>
      <c r="J20" s="21" t="n">
        <f aca="false">COUNTIFS(d_Marca,$A20,d_Modelo,$B20,d_Sector,J$6,d_Subest,$E$3,d_Tipo,$E$4)</f>
        <v>0</v>
      </c>
      <c r="K20" s="22" t="n">
        <f aca="false">SUM(C20:J20)</f>
        <v>12</v>
      </c>
      <c r="L20" s="23" t="n">
        <f aca="false">IF($K$71=0,0,K20/$K$71)</f>
        <v>0.00612244897959184</v>
      </c>
    </row>
    <row r="21" customFormat="false" ht="15" hidden="false" customHeight="false" outlineLevel="0" collapsed="false">
      <c r="A21" s="19" t="s">
        <v>34</v>
      </c>
      <c r="B21" s="20" t="s">
        <v>49</v>
      </c>
      <c r="C21" s="21" t="n">
        <f aca="false">COUNTIFS(d_Marca,$A21,d_Modelo,$B21,d_Sector,C$6,d_Subest,$E$3,d_Tipo,$E$4)</f>
        <v>0</v>
      </c>
      <c r="D21" s="21" t="n">
        <f aca="false">COUNTIFS(d_Marca,$A21,d_Modelo,$B21,d_Sector,D$6,d_Subest,$E$3,d_Tipo,$E$4)</f>
        <v>0</v>
      </c>
      <c r="E21" s="21" t="n">
        <f aca="false">COUNTIFS(d_Marca,$A21,d_Modelo,$B21,d_Sector,E$6,d_Subest,$E$3,d_Tipo,$E$4)</f>
        <v>0</v>
      </c>
      <c r="F21" s="21" t="n">
        <f aca="false">COUNTIFS(d_Marca,$A21,d_Modelo,$B21,d_Sector,F$6,d_Subest,$E$3,d_Tipo,$E$4)</f>
        <v>0</v>
      </c>
      <c r="G21" s="21" t="n">
        <f aca="false">COUNTIFS(d_Marca,$A21,d_Modelo,$B21,d_Sector,G$6,d_Subest,$E$3,d_Tipo,$E$4)</f>
        <v>0</v>
      </c>
      <c r="H21" s="21" t="n">
        <f aca="false">COUNTIFS(d_Marca,$A21,d_Modelo,$B21,d_Sector,H$6,d_Subest,$E$3,d_Tipo,$E$4)</f>
        <v>0</v>
      </c>
      <c r="I21" s="21" t="n">
        <f aca="false">COUNTIFS(d_Marca,$A21,d_Modelo,$B21,d_Sector,I$6,d_Subest,$E$3,d_Tipo,$E$4)</f>
        <v>0</v>
      </c>
      <c r="J21" s="21" t="n">
        <f aca="false">COUNTIFS(d_Marca,$A21,d_Modelo,$B21,d_Sector,J$6,d_Subest,$E$3,d_Tipo,$E$4)</f>
        <v>11</v>
      </c>
      <c r="K21" s="22" t="n">
        <f aca="false">SUM(C21:J21)</f>
        <v>11</v>
      </c>
      <c r="L21" s="23" t="n">
        <f aca="false">IF($K$71=0,0,K21/$K$71)</f>
        <v>0.00561224489795918</v>
      </c>
    </row>
    <row r="22" customFormat="false" ht="15" hidden="false" customHeight="false" outlineLevel="0" collapsed="false">
      <c r="A22" s="19" t="s">
        <v>34</v>
      </c>
      <c r="B22" s="20" t="s">
        <v>50</v>
      </c>
      <c r="C22" s="21" t="n">
        <f aca="false">COUNTIFS(d_Marca,$A22,d_Modelo,$B22,d_Sector,C$6,d_Subest,$E$3,d_Tipo,$E$4)</f>
        <v>0</v>
      </c>
      <c r="D22" s="21" t="n">
        <f aca="false">COUNTIFS(d_Marca,$A22,d_Modelo,$B22,d_Sector,D$6,d_Subest,$E$3,d_Tipo,$E$4)</f>
        <v>0</v>
      </c>
      <c r="E22" s="21" t="n">
        <f aca="false">COUNTIFS(d_Marca,$A22,d_Modelo,$B22,d_Sector,E$6,d_Subest,$E$3,d_Tipo,$E$4)</f>
        <v>0</v>
      </c>
      <c r="F22" s="21" t="n">
        <f aca="false">COUNTIFS(d_Marca,$A22,d_Modelo,$B22,d_Sector,F$6,d_Subest,$E$3,d_Tipo,$E$4)</f>
        <v>0</v>
      </c>
      <c r="G22" s="21" t="n">
        <f aca="false">COUNTIFS(d_Marca,$A22,d_Modelo,$B22,d_Sector,G$6,d_Subest,$E$3,d_Tipo,$E$4)</f>
        <v>0</v>
      </c>
      <c r="H22" s="21" t="n">
        <f aca="false">COUNTIFS(d_Marca,$A22,d_Modelo,$B22,d_Sector,H$6,d_Subest,$E$3,d_Tipo,$E$4)</f>
        <v>0</v>
      </c>
      <c r="I22" s="21" t="n">
        <f aca="false">COUNTIFS(d_Marca,$A22,d_Modelo,$B22,d_Sector,I$6,d_Subest,$E$3,d_Tipo,$E$4)</f>
        <v>0</v>
      </c>
      <c r="J22" s="21" t="n">
        <f aca="false">COUNTIFS(d_Marca,$A22,d_Modelo,$B22,d_Sector,J$6,d_Subest,$E$3,d_Tipo,$E$4)</f>
        <v>10</v>
      </c>
      <c r="K22" s="22" t="n">
        <f aca="false">SUM(C22:J22)</f>
        <v>10</v>
      </c>
      <c r="L22" s="23" t="n">
        <f aca="false">IF($K$71=0,0,K22/$K$71)</f>
        <v>0.00510204081632653</v>
      </c>
    </row>
    <row r="23" customFormat="false" ht="15" hidden="false" customHeight="false" outlineLevel="0" collapsed="false">
      <c r="A23" s="19" t="s">
        <v>34</v>
      </c>
      <c r="B23" s="20" t="s">
        <v>51</v>
      </c>
      <c r="C23" s="21" t="n">
        <f aca="false">COUNTIFS(d_Marca,$A23,d_Modelo,$B23,d_Sector,C$6,d_Subest,$E$3,d_Tipo,$E$4)</f>
        <v>0</v>
      </c>
      <c r="D23" s="21" t="n">
        <f aca="false">COUNTIFS(d_Marca,$A23,d_Modelo,$B23,d_Sector,D$6,d_Subest,$E$3,d_Tipo,$E$4)</f>
        <v>8</v>
      </c>
      <c r="E23" s="21" t="n">
        <f aca="false">COUNTIFS(d_Marca,$A23,d_Modelo,$B23,d_Sector,E$6,d_Subest,$E$3,d_Tipo,$E$4)</f>
        <v>0</v>
      </c>
      <c r="F23" s="21" t="n">
        <f aca="false">COUNTIFS(d_Marca,$A23,d_Modelo,$B23,d_Sector,F$6,d_Subest,$E$3,d_Tipo,$E$4)</f>
        <v>0</v>
      </c>
      <c r="G23" s="21" t="n">
        <f aca="false">COUNTIFS(d_Marca,$A23,d_Modelo,$B23,d_Sector,G$6,d_Subest,$E$3,d_Tipo,$E$4)</f>
        <v>0</v>
      </c>
      <c r="H23" s="21" t="n">
        <f aca="false">COUNTIFS(d_Marca,$A23,d_Modelo,$B23,d_Sector,H$6,d_Subest,$E$3,d_Tipo,$E$4)</f>
        <v>0</v>
      </c>
      <c r="I23" s="21" t="n">
        <f aca="false">COUNTIFS(d_Marca,$A23,d_Modelo,$B23,d_Sector,I$6,d_Subest,$E$3,d_Tipo,$E$4)</f>
        <v>0</v>
      </c>
      <c r="J23" s="21" t="n">
        <f aca="false">COUNTIFS(d_Marca,$A23,d_Modelo,$B23,d_Sector,J$6,d_Subest,$E$3,d_Tipo,$E$4)</f>
        <v>0</v>
      </c>
      <c r="K23" s="22" t="n">
        <f aca="false">SUM(C23:J23)</f>
        <v>8</v>
      </c>
      <c r="L23" s="23" t="n">
        <f aca="false">IF($K$71=0,0,K23/$K$71)</f>
        <v>0.00408163265306123</v>
      </c>
    </row>
    <row r="24" customFormat="false" ht="15" hidden="false" customHeight="false" outlineLevel="0" collapsed="false">
      <c r="A24" s="19" t="s">
        <v>34</v>
      </c>
      <c r="B24" s="20" t="s">
        <v>52</v>
      </c>
      <c r="C24" s="21" t="n">
        <f aca="false">COUNTIFS(d_Marca,$A24,d_Modelo,$B24,d_Sector,C$6,d_Subest,$E$3,d_Tipo,$E$4)</f>
        <v>0</v>
      </c>
      <c r="D24" s="21" t="n">
        <f aca="false">COUNTIFS(d_Marca,$A24,d_Modelo,$B24,d_Sector,D$6,d_Subest,$E$3,d_Tipo,$E$4)</f>
        <v>0</v>
      </c>
      <c r="E24" s="21" t="n">
        <f aca="false">COUNTIFS(d_Marca,$A24,d_Modelo,$B24,d_Sector,E$6,d_Subest,$E$3,d_Tipo,$E$4)</f>
        <v>4</v>
      </c>
      <c r="F24" s="21" t="n">
        <f aca="false">COUNTIFS(d_Marca,$A24,d_Modelo,$B24,d_Sector,F$6,d_Subest,$E$3,d_Tipo,$E$4)</f>
        <v>2</v>
      </c>
      <c r="G24" s="21" t="n">
        <f aca="false">COUNTIFS(d_Marca,$A24,d_Modelo,$B24,d_Sector,G$6,d_Subest,$E$3,d_Tipo,$E$4)</f>
        <v>2</v>
      </c>
      <c r="H24" s="21" t="n">
        <f aca="false">COUNTIFS(d_Marca,$A24,d_Modelo,$B24,d_Sector,H$6,d_Subest,$E$3,d_Tipo,$E$4)</f>
        <v>0</v>
      </c>
      <c r="I24" s="21" t="n">
        <f aca="false">COUNTIFS(d_Marca,$A24,d_Modelo,$B24,d_Sector,I$6,d_Subest,$E$3,d_Tipo,$E$4)</f>
        <v>0</v>
      </c>
      <c r="J24" s="21" t="n">
        <f aca="false">COUNTIFS(d_Marca,$A24,d_Modelo,$B24,d_Sector,J$6,d_Subest,$E$3,d_Tipo,$E$4)</f>
        <v>0</v>
      </c>
      <c r="K24" s="22" t="n">
        <f aca="false">SUM(C24:J24)</f>
        <v>8</v>
      </c>
      <c r="L24" s="23" t="n">
        <f aca="false">IF($K$71=0,0,K24/$K$71)</f>
        <v>0.00408163265306123</v>
      </c>
    </row>
    <row r="25" customFormat="false" ht="15" hidden="false" customHeight="false" outlineLevel="0" collapsed="false">
      <c r="A25" s="19" t="s">
        <v>34</v>
      </c>
      <c r="B25" s="20" t="s">
        <v>53</v>
      </c>
      <c r="C25" s="21" t="n">
        <f aca="false">COUNTIFS(d_Marca,$A25,d_Modelo,$B25,d_Sector,C$6,d_Subest,$E$3,d_Tipo,$E$4)</f>
        <v>0</v>
      </c>
      <c r="D25" s="21" t="n">
        <f aca="false">COUNTIFS(d_Marca,$A25,d_Modelo,$B25,d_Sector,D$6,d_Subest,$E$3,d_Tipo,$E$4)</f>
        <v>0</v>
      </c>
      <c r="E25" s="21" t="n">
        <f aca="false">COUNTIFS(d_Marca,$A25,d_Modelo,$B25,d_Sector,E$6,d_Subest,$E$3,d_Tipo,$E$4)</f>
        <v>0</v>
      </c>
      <c r="F25" s="21" t="n">
        <f aca="false">COUNTIFS(d_Marca,$A25,d_Modelo,$B25,d_Sector,F$6,d_Subest,$E$3,d_Tipo,$E$4)</f>
        <v>0</v>
      </c>
      <c r="G25" s="21" t="n">
        <f aca="false">COUNTIFS(d_Marca,$A25,d_Modelo,$B25,d_Sector,G$6,d_Subest,$E$3,d_Tipo,$E$4)</f>
        <v>0</v>
      </c>
      <c r="H25" s="21" t="n">
        <f aca="false">COUNTIFS(d_Marca,$A25,d_Modelo,$B25,d_Sector,H$6,d_Subest,$E$3,d_Tipo,$E$4)</f>
        <v>7</v>
      </c>
      <c r="I25" s="21" t="n">
        <f aca="false">COUNTIFS(d_Marca,$A25,d_Modelo,$B25,d_Sector,I$6,d_Subest,$E$3,d_Tipo,$E$4)</f>
        <v>0</v>
      </c>
      <c r="J25" s="21" t="n">
        <f aca="false">COUNTIFS(d_Marca,$A25,d_Modelo,$B25,d_Sector,J$6,d_Subest,$E$3,d_Tipo,$E$4)</f>
        <v>0</v>
      </c>
      <c r="K25" s="22" t="n">
        <f aca="false">SUM(C25:J25)</f>
        <v>7</v>
      </c>
      <c r="L25" s="23" t="n">
        <f aca="false">IF($K$71=0,0,K25/$K$71)</f>
        <v>0.00357142857142857</v>
      </c>
    </row>
    <row r="26" customFormat="false" ht="15" hidden="false" customHeight="false" outlineLevel="0" collapsed="false">
      <c r="A26" s="19" t="s">
        <v>34</v>
      </c>
      <c r="B26" s="20" t="s">
        <v>54</v>
      </c>
      <c r="C26" s="21" t="n">
        <f aca="false">COUNTIFS(d_Marca,$A26,d_Modelo,$B26,d_Sector,C$6,d_Subest,$E$3,d_Tipo,$E$4)</f>
        <v>0</v>
      </c>
      <c r="D26" s="21" t="n">
        <f aca="false">COUNTIFS(d_Marca,$A26,d_Modelo,$B26,d_Sector,D$6,d_Subest,$E$3,d_Tipo,$E$4)</f>
        <v>0</v>
      </c>
      <c r="E26" s="21" t="n">
        <f aca="false">COUNTIFS(d_Marca,$A26,d_Modelo,$B26,d_Sector,E$6,d_Subest,$E$3,d_Tipo,$E$4)</f>
        <v>0</v>
      </c>
      <c r="F26" s="21" t="n">
        <f aca="false">COUNTIFS(d_Marca,$A26,d_Modelo,$B26,d_Sector,F$6,d_Subest,$E$3,d_Tipo,$E$4)</f>
        <v>0</v>
      </c>
      <c r="G26" s="21" t="n">
        <f aca="false">COUNTIFS(d_Marca,$A26,d_Modelo,$B26,d_Sector,G$6,d_Subest,$E$3,d_Tipo,$E$4)</f>
        <v>0</v>
      </c>
      <c r="H26" s="21" t="n">
        <f aca="false">COUNTIFS(d_Marca,$A26,d_Modelo,$B26,d_Sector,H$6,d_Subest,$E$3,d_Tipo,$E$4)</f>
        <v>0</v>
      </c>
      <c r="I26" s="21" t="n">
        <f aca="false">COUNTIFS(d_Marca,$A26,d_Modelo,$B26,d_Sector,I$6,d_Subest,$E$3,d_Tipo,$E$4)</f>
        <v>0</v>
      </c>
      <c r="J26" s="21" t="n">
        <f aca="false">COUNTIFS(d_Marca,$A26,d_Modelo,$B26,d_Sector,J$6,d_Subest,$E$3,d_Tipo,$E$4)</f>
        <v>5</v>
      </c>
      <c r="K26" s="22" t="n">
        <f aca="false">SUM(C26:J26)</f>
        <v>5</v>
      </c>
      <c r="L26" s="23" t="n">
        <f aca="false">IF($K$71=0,0,K26/$K$71)</f>
        <v>0.00255102040816327</v>
      </c>
    </row>
    <row r="27" customFormat="false" ht="15" hidden="false" customHeight="false" outlineLevel="0" collapsed="false">
      <c r="A27" s="16" t="s">
        <v>55</v>
      </c>
      <c r="B27" s="16" t="s">
        <v>56</v>
      </c>
      <c r="C27" s="17" t="n">
        <f aca="false">COUNTIFS(d_Marca,$A27,d_Sector,C$6,d_Subest,$E$3,d_Tipo,$E$4)</f>
        <v>10</v>
      </c>
      <c r="D27" s="17" t="n">
        <f aca="false">COUNTIFS(d_Marca,$A27,d_Sector,D$6,d_Subest,$E$3,d_Tipo,$E$4)</f>
        <v>20</v>
      </c>
      <c r="E27" s="17" t="n">
        <f aca="false">COUNTIFS(d_Marca,$A27,d_Sector,E$6,d_Subest,$E$3,d_Tipo,$E$4)</f>
        <v>26</v>
      </c>
      <c r="F27" s="17" t="n">
        <f aca="false">COUNTIFS(d_Marca,$A27,d_Sector,F$6,d_Subest,$E$3,d_Tipo,$E$4)</f>
        <v>50</v>
      </c>
      <c r="G27" s="17" t="n">
        <f aca="false">COUNTIFS(d_Marca,$A27,d_Sector,G$6,d_Subest,$E$3,d_Tipo,$E$4)</f>
        <v>51</v>
      </c>
      <c r="H27" s="17" t="n">
        <f aca="false">COUNTIFS(d_Marca,$A27,d_Sector,H$6,d_Subest,$E$3,d_Tipo,$E$4)</f>
        <v>51</v>
      </c>
      <c r="I27" s="17" t="n">
        <f aca="false">COUNTIFS(d_Marca,$A27,d_Sector,I$6,d_Subest,$E$3,d_Tipo,$E$4)</f>
        <v>6</v>
      </c>
      <c r="J27" s="17" t="n">
        <f aca="false">COUNTIFS(d_Marca,$A27,d_Sector,J$6,d_Subest,$E$3,d_Tipo,$E$4)</f>
        <v>131</v>
      </c>
      <c r="K27" s="17" t="n">
        <f aca="false">SUM(C27:J27)</f>
        <v>345</v>
      </c>
      <c r="L27" s="18" t="n">
        <f aca="false">IF($K$71=0,0,K27/$K$71)</f>
        <v>0.176020408163265</v>
      </c>
    </row>
    <row r="28" customFormat="false" ht="15" hidden="false" customHeight="false" outlineLevel="0" collapsed="false">
      <c r="A28" s="19" t="s">
        <v>55</v>
      </c>
      <c r="B28" s="20" t="s">
        <v>57</v>
      </c>
      <c r="C28" s="21" t="n">
        <f aca="false">COUNTIFS(d_Marca,$A28,d_Modelo,$B28,d_Sector,C$6,d_Subest,$E$3,d_Tipo,$E$4)</f>
        <v>8</v>
      </c>
      <c r="D28" s="21" t="n">
        <f aca="false">COUNTIFS(d_Marca,$A28,d_Modelo,$B28,d_Sector,D$6,d_Subest,$E$3,d_Tipo,$E$4)</f>
        <v>0</v>
      </c>
      <c r="E28" s="21" t="n">
        <f aca="false">COUNTIFS(d_Marca,$A28,d_Modelo,$B28,d_Sector,E$6,d_Subest,$E$3,d_Tipo,$E$4)</f>
        <v>0</v>
      </c>
      <c r="F28" s="21" t="n">
        <f aca="false">COUNTIFS(d_Marca,$A28,d_Modelo,$B28,d_Sector,F$6,d_Subest,$E$3,d_Tipo,$E$4)</f>
        <v>0</v>
      </c>
      <c r="G28" s="21" t="n">
        <f aca="false">COUNTIFS(d_Marca,$A28,d_Modelo,$B28,d_Sector,G$6,d_Subest,$E$3,d_Tipo,$E$4)</f>
        <v>0</v>
      </c>
      <c r="H28" s="21" t="n">
        <f aca="false">COUNTIFS(d_Marca,$A28,d_Modelo,$B28,d_Sector,H$6,d_Subest,$E$3,d_Tipo,$E$4)</f>
        <v>51</v>
      </c>
      <c r="I28" s="21" t="n">
        <f aca="false">COUNTIFS(d_Marca,$A28,d_Modelo,$B28,d_Sector,I$6,d_Subest,$E$3,d_Tipo,$E$4)</f>
        <v>0</v>
      </c>
      <c r="J28" s="21" t="n">
        <f aca="false">COUNTIFS(d_Marca,$A28,d_Modelo,$B28,d_Sector,J$6,d_Subest,$E$3,d_Tipo,$E$4)</f>
        <v>115</v>
      </c>
      <c r="K28" s="22" t="n">
        <f aca="false">SUM(C28:J28)</f>
        <v>174</v>
      </c>
      <c r="L28" s="23" t="n">
        <f aca="false">IF($K$71=0,0,K28/$K$71)</f>
        <v>0.0887755102040816</v>
      </c>
    </row>
    <row r="29" customFormat="false" ht="15" hidden="false" customHeight="false" outlineLevel="0" collapsed="false">
      <c r="A29" s="19" t="s">
        <v>55</v>
      </c>
      <c r="B29" s="20" t="s">
        <v>55</v>
      </c>
      <c r="C29" s="21" t="n">
        <f aca="false">COUNTIFS(d_Marca,$A29,d_Modelo,$B29,d_Sector,C$6,d_Subest,$E$3,d_Tipo,$E$4)</f>
        <v>0</v>
      </c>
      <c r="D29" s="21" t="n">
        <f aca="false">COUNTIFS(d_Marca,$A29,d_Modelo,$B29,d_Sector,D$6,d_Subest,$E$3,d_Tipo,$E$4)</f>
        <v>0</v>
      </c>
      <c r="E29" s="21" t="n">
        <f aca="false">COUNTIFS(d_Marca,$A29,d_Modelo,$B29,d_Sector,E$6,d_Subest,$E$3,d_Tipo,$E$4)</f>
        <v>26</v>
      </c>
      <c r="F29" s="21" t="n">
        <f aca="false">COUNTIFS(d_Marca,$A29,d_Modelo,$B29,d_Sector,F$6,d_Subest,$E$3,d_Tipo,$E$4)</f>
        <v>50</v>
      </c>
      <c r="G29" s="21" t="n">
        <f aca="false">COUNTIFS(d_Marca,$A29,d_Modelo,$B29,d_Sector,G$6,d_Subest,$E$3,d_Tipo,$E$4)</f>
        <v>51</v>
      </c>
      <c r="H29" s="21" t="n">
        <f aca="false">COUNTIFS(d_Marca,$A29,d_Modelo,$B29,d_Sector,H$6,d_Subest,$E$3,d_Tipo,$E$4)</f>
        <v>0</v>
      </c>
      <c r="I29" s="21" t="n">
        <f aca="false">COUNTIFS(d_Marca,$A29,d_Modelo,$B29,d_Sector,I$6,d_Subest,$E$3,d_Tipo,$E$4)</f>
        <v>6</v>
      </c>
      <c r="J29" s="21" t="n">
        <f aca="false">COUNTIFS(d_Marca,$A29,d_Modelo,$B29,d_Sector,J$6,d_Subest,$E$3,d_Tipo,$E$4)</f>
        <v>0</v>
      </c>
      <c r="K29" s="22" t="n">
        <f aca="false">SUM(C29:J29)</f>
        <v>133</v>
      </c>
      <c r="L29" s="23" t="n">
        <f aca="false">IF($K$71=0,0,K29/$K$71)</f>
        <v>0.0678571428571429</v>
      </c>
    </row>
    <row r="30" customFormat="false" ht="15" hidden="false" customHeight="false" outlineLevel="0" collapsed="false">
      <c r="A30" s="19" t="s">
        <v>55</v>
      </c>
      <c r="B30" s="20" t="s">
        <v>58</v>
      </c>
      <c r="C30" s="21" t="n">
        <f aca="false">COUNTIFS(d_Marca,$A30,d_Modelo,$B30,d_Sector,C$6,d_Subest,$E$3,d_Tipo,$E$4)</f>
        <v>0</v>
      </c>
      <c r="D30" s="21" t="n">
        <f aca="false">COUNTIFS(d_Marca,$A30,d_Modelo,$B30,d_Sector,D$6,d_Subest,$E$3,d_Tipo,$E$4)</f>
        <v>20</v>
      </c>
      <c r="E30" s="21" t="n">
        <f aca="false">COUNTIFS(d_Marca,$A30,d_Modelo,$B30,d_Sector,E$6,d_Subest,$E$3,d_Tipo,$E$4)</f>
        <v>0</v>
      </c>
      <c r="F30" s="21" t="n">
        <f aca="false">COUNTIFS(d_Marca,$A30,d_Modelo,$B30,d_Sector,F$6,d_Subest,$E$3,d_Tipo,$E$4)</f>
        <v>0</v>
      </c>
      <c r="G30" s="21" t="n">
        <f aca="false">COUNTIFS(d_Marca,$A30,d_Modelo,$B30,d_Sector,G$6,d_Subest,$E$3,d_Tipo,$E$4)</f>
        <v>0</v>
      </c>
      <c r="H30" s="21" t="n">
        <f aca="false">COUNTIFS(d_Marca,$A30,d_Modelo,$B30,d_Sector,H$6,d_Subest,$E$3,d_Tipo,$E$4)</f>
        <v>0</v>
      </c>
      <c r="I30" s="21" t="n">
        <f aca="false">COUNTIFS(d_Marca,$A30,d_Modelo,$B30,d_Sector,I$6,d_Subest,$E$3,d_Tipo,$E$4)</f>
        <v>0</v>
      </c>
      <c r="J30" s="21" t="n">
        <f aca="false">COUNTIFS(d_Marca,$A30,d_Modelo,$B30,d_Sector,J$6,d_Subest,$E$3,d_Tipo,$E$4)</f>
        <v>0</v>
      </c>
      <c r="K30" s="22" t="n">
        <f aca="false">SUM(C30:J30)</f>
        <v>20</v>
      </c>
      <c r="L30" s="23" t="n">
        <f aca="false">IF($K$71=0,0,K30/$K$71)</f>
        <v>0.0102040816326531</v>
      </c>
    </row>
    <row r="31" customFormat="false" ht="15" hidden="false" customHeight="false" outlineLevel="0" collapsed="false">
      <c r="A31" s="19" t="s">
        <v>55</v>
      </c>
      <c r="B31" s="20" t="s">
        <v>59</v>
      </c>
      <c r="C31" s="21" t="n">
        <f aca="false">COUNTIFS(d_Marca,$A31,d_Modelo,$B31,d_Sector,C$6,d_Subest,$E$3,d_Tipo,$E$4)</f>
        <v>0</v>
      </c>
      <c r="D31" s="21" t="n">
        <f aca="false">COUNTIFS(d_Marca,$A31,d_Modelo,$B31,d_Sector,D$6,d_Subest,$E$3,d_Tipo,$E$4)</f>
        <v>0</v>
      </c>
      <c r="E31" s="21" t="n">
        <f aca="false">COUNTIFS(d_Marca,$A31,d_Modelo,$B31,d_Sector,E$6,d_Subest,$E$3,d_Tipo,$E$4)</f>
        <v>0</v>
      </c>
      <c r="F31" s="21" t="n">
        <f aca="false">COUNTIFS(d_Marca,$A31,d_Modelo,$B31,d_Sector,F$6,d_Subest,$E$3,d_Tipo,$E$4)</f>
        <v>0</v>
      </c>
      <c r="G31" s="21" t="n">
        <f aca="false">COUNTIFS(d_Marca,$A31,d_Modelo,$B31,d_Sector,G$6,d_Subest,$E$3,d_Tipo,$E$4)</f>
        <v>0</v>
      </c>
      <c r="H31" s="21" t="n">
        <f aca="false">COUNTIFS(d_Marca,$A31,d_Modelo,$B31,d_Sector,H$6,d_Subest,$E$3,d_Tipo,$E$4)</f>
        <v>0</v>
      </c>
      <c r="I31" s="21" t="n">
        <f aca="false">COUNTIFS(d_Marca,$A31,d_Modelo,$B31,d_Sector,I$6,d_Subest,$E$3,d_Tipo,$E$4)</f>
        <v>0</v>
      </c>
      <c r="J31" s="21" t="n">
        <f aca="false">COUNTIFS(d_Marca,$A31,d_Modelo,$B31,d_Sector,J$6,d_Subest,$E$3,d_Tipo,$E$4)</f>
        <v>12</v>
      </c>
      <c r="K31" s="22" t="n">
        <f aca="false">SUM(C31:J31)</f>
        <v>12</v>
      </c>
      <c r="L31" s="23" t="n">
        <f aca="false">IF($K$71=0,0,K31/$K$71)</f>
        <v>0.00612244897959184</v>
      </c>
    </row>
    <row r="32" customFormat="false" ht="15" hidden="false" customHeight="false" outlineLevel="0" collapsed="false">
      <c r="A32" s="19" t="s">
        <v>55</v>
      </c>
      <c r="B32" s="20" t="s">
        <v>60</v>
      </c>
      <c r="C32" s="21" t="n">
        <f aca="false">COUNTIFS(d_Marca,$A32,d_Modelo,$B32,d_Sector,C$6,d_Subest,$E$3,d_Tipo,$E$4)</f>
        <v>0</v>
      </c>
      <c r="D32" s="21" t="n">
        <f aca="false">COUNTIFS(d_Marca,$A32,d_Modelo,$B32,d_Sector,D$6,d_Subest,$E$3,d_Tipo,$E$4)</f>
        <v>0</v>
      </c>
      <c r="E32" s="21" t="n">
        <f aca="false">COUNTIFS(d_Marca,$A32,d_Modelo,$B32,d_Sector,E$6,d_Subest,$E$3,d_Tipo,$E$4)</f>
        <v>0</v>
      </c>
      <c r="F32" s="21" t="n">
        <f aca="false">COUNTIFS(d_Marca,$A32,d_Modelo,$B32,d_Sector,F$6,d_Subest,$E$3,d_Tipo,$E$4)</f>
        <v>0</v>
      </c>
      <c r="G32" s="21" t="n">
        <f aca="false">COUNTIFS(d_Marca,$A32,d_Modelo,$B32,d_Sector,G$6,d_Subest,$E$3,d_Tipo,$E$4)</f>
        <v>0</v>
      </c>
      <c r="H32" s="21" t="n">
        <f aca="false">COUNTIFS(d_Marca,$A32,d_Modelo,$B32,d_Sector,H$6,d_Subest,$E$3,d_Tipo,$E$4)</f>
        <v>0</v>
      </c>
      <c r="I32" s="21" t="n">
        <f aca="false">COUNTIFS(d_Marca,$A32,d_Modelo,$B32,d_Sector,I$6,d_Subest,$E$3,d_Tipo,$E$4)</f>
        <v>0</v>
      </c>
      <c r="J32" s="21" t="n">
        <f aca="false">COUNTIFS(d_Marca,$A32,d_Modelo,$B32,d_Sector,J$6,d_Subest,$E$3,d_Tipo,$E$4)</f>
        <v>4</v>
      </c>
      <c r="K32" s="22" t="n">
        <f aca="false">SUM(C32:J32)</f>
        <v>4</v>
      </c>
      <c r="L32" s="23" t="n">
        <f aca="false">IF($K$71=0,0,K32/$K$71)</f>
        <v>0.00204081632653061</v>
      </c>
    </row>
    <row r="33" customFormat="false" ht="15" hidden="false" customHeight="false" outlineLevel="0" collapsed="false">
      <c r="A33" s="19" t="s">
        <v>55</v>
      </c>
      <c r="B33" s="20" t="s">
        <v>36</v>
      </c>
      <c r="C33" s="21" t="n">
        <f aca="false">COUNTIFS(d_Marca,$A33,d_Modelo,$B33,d_Sector,C$6,d_Subest,$E$3,d_Tipo,$E$4)</f>
        <v>2</v>
      </c>
      <c r="D33" s="21" t="n">
        <f aca="false">COUNTIFS(d_Marca,$A33,d_Modelo,$B33,d_Sector,D$6,d_Subest,$E$3,d_Tipo,$E$4)</f>
        <v>0</v>
      </c>
      <c r="E33" s="21" t="n">
        <f aca="false">COUNTIFS(d_Marca,$A33,d_Modelo,$B33,d_Sector,E$6,d_Subest,$E$3,d_Tipo,$E$4)</f>
        <v>0</v>
      </c>
      <c r="F33" s="21" t="n">
        <f aca="false">COUNTIFS(d_Marca,$A33,d_Modelo,$B33,d_Sector,F$6,d_Subest,$E$3,d_Tipo,$E$4)</f>
        <v>0</v>
      </c>
      <c r="G33" s="21" t="n">
        <f aca="false">COUNTIFS(d_Marca,$A33,d_Modelo,$B33,d_Sector,G$6,d_Subest,$E$3,d_Tipo,$E$4)</f>
        <v>0</v>
      </c>
      <c r="H33" s="21" t="n">
        <f aca="false">COUNTIFS(d_Marca,$A33,d_Modelo,$B33,d_Sector,H$6,d_Subest,$E$3,d_Tipo,$E$4)</f>
        <v>0</v>
      </c>
      <c r="I33" s="21" t="n">
        <f aca="false">COUNTIFS(d_Marca,$A33,d_Modelo,$B33,d_Sector,I$6,d_Subest,$E$3,d_Tipo,$E$4)</f>
        <v>0</v>
      </c>
      <c r="J33" s="21" t="n">
        <f aca="false">COUNTIFS(d_Marca,$A33,d_Modelo,$B33,d_Sector,J$6,d_Subest,$E$3,d_Tipo,$E$4)</f>
        <v>0</v>
      </c>
      <c r="K33" s="22" t="n">
        <f aca="false">SUM(C33:J33)</f>
        <v>2</v>
      </c>
      <c r="L33" s="23" t="n">
        <f aca="false">IF($K$71=0,0,K33/$K$71)</f>
        <v>0.00102040816326531</v>
      </c>
    </row>
    <row r="34" customFormat="false" ht="15" hidden="false" customHeight="false" outlineLevel="0" collapsed="false">
      <c r="A34" s="16" t="s">
        <v>61</v>
      </c>
      <c r="B34" s="16" t="s">
        <v>62</v>
      </c>
      <c r="C34" s="17" t="n">
        <f aca="false">COUNTIFS(d_Marca,$A34,d_Sector,C$6,d_Subest,$E$3,d_Tipo,$E$4)</f>
        <v>0</v>
      </c>
      <c r="D34" s="17" t="n">
        <f aca="false">COUNTIFS(d_Marca,$A34,d_Sector,D$6,d_Subest,$E$3,d_Tipo,$E$4)</f>
        <v>0</v>
      </c>
      <c r="E34" s="17" t="n">
        <f aca="false">COUNTIFS(d_Marca,$A34,d_Sector,E$6,d_Subest,$E$3,d_Tipo,$E$4)</f>
        <v>48</v>
      </c>
      <c r="F34" s="17" t="n">
        <f aca="false">COUNTIFS(d_Marca,$A34,d_Sector,F$6,d_Subest,$E$3,d_Tipo,$E$4)</f>
        <v>132</v>
      </c>
      <c r="G34" s="17" t="n">
        <f aca="false">COUNTIFS(d_Marca,$A34,d_Sector,G$6,d_Subest,$E$3,d_Tipo,$E$4)</f>
        <v>104</v>
      </c>
      <c r="H34" s="17" t="n">
        <f aca="false">COUNTIFS(d_Marca,$A34,d_Sector,H$6,d_Subest,$E$3,d_Tipo,$E$4)</f>
        <v>26</v>
      </c>
      <c r="I34" s="17" t="n">
        <f aca="false">COUNTIFS(d_Marca,$A34,d_Sector,I$6,d_Subest,$E$3,d_Tipo,$E$4)</f>
        <v>2</v>
      </c>
      <c r="J34" s="17" t="n">
        <f aca="false">COUNTIFS(d_Marca,$A34,d_Sector,J$6,d_Subest,$E$3,d_Tipo,$E$4)</f>
        <v>92</v>
      </c>
      <c r="K34" s="17" t="n">
        <f aca="false">SUM(C34:J34)</f>
        <v>404</v>
      </c>
      <c r="L34" s="18" t="n">
        <f aca="false">IF($K$71=0,0,K34/$K$71)</f>
        <v>0.206122448979592</v>
      </c>
    </row>
    <row r="35" customFormat="false" ht="15" hidden="false" customHeight="false" outlineLevel="0" collapsed="false">
      <c r="A35" s="19" t="s">
        <v>61</v>
      </c>
      <c r="B35" s="20" t="s">
        <v>63</v>
      </c>
      <c r="C35" s="21" t="n">
        <f aca="false">COUNTIFS(d_Marca,$A35,d_Modelo,$B35,d_Sector,C$6,d_Subest,$E$3,d_Tipo,$E$4)</f>
        <v>0</v>
      </c>
      <c r="D35" s="21" t="n">
        <f aca="false">COUNTIFS(d_Marca,$A35,d_Modelo,$B35,d_Sector,D$6,d_Subest,$E$3,d_Tipo,$E$4)</f>
        <v>0</v>
      </c>
      <c r="E35" s="21" t="n">
        <f aca="false">COUNTIFS(d_Marca,$A35,d_Modelo,$B35,d_Sector,E$6,d_Subest,$E$3,d_Tipo,$E$4)</f>
        <v>48</v>
      </c>
      <c r="F35" s="21" t="n">
        <f aca="false">COUNTIFS(d_Marca,$A35,d_Modelo,$B35,d_Sector,F$6,d_Subest,$E$3,d_Tipo,$E$4)</f>
        <v>132</v>
      </c>
      <c r="G35" s="21" t="n">
        <f aca="false">COUNTIFS(d_Marca,$A35,d_Modelo,$B35,d_Sector,G$6,d_Subest,$E$3,d_Tipo,$E$4)</f>
        <v>104</v>
      </c>
      <c r="H35" s="21" t="n">
        <f aca="false">COUNTIFS(d_Marca,$A35,d_Modelo,$B35,d_Sector,H$6,d_Subest,$E$3,d_Tipo,$E$4)</f>
        <v>0</v>
      </c>
      <c r="I35" s="21" t="n">
        <f aca="false">COUNTIFS(d_Marca,$A35,d_Modelo,$B35,d_Sector,I$6,d_Subest,$E$3,d_Tipo,$E$4)</f>
        <v>2</v>
      </c>
      <c r="J35" s="21" t="n">
        <f aca="false">COUNTIFS(d_Marca,$A35,d_Modelo,$B35,d_Sector,J$6,d_Subest,$E$3,d_Tipo,$E$4)</f>
        <v>0</v>
      </c>
      <c r="K35" s="22" t="n">
        <f aca="false">SUM(C35:J35)</f>
        <v>286</v>
      </c>
      <c r="L35" s="23" t="n">
        <f aca="false">IF($K$71=0,0,K35/$K$71)</f>
        <v>0.145918367346939</v>
      </c>
    </row>
    <row r="36" customFormat="false" ht="15" hidden="false" customHeight="false" outlineLevel="0" collapsed="false">
      <c r="A36" s="19" t="s">
        <v>61</v>
      </c>
      <c r="B36" s="20" t="s">
        <v>64</v>
      </c>
      <c r="C36" s="21" t="n">
        <f aca="false">COUNTIFS(d_Marca,$A36,d_Modelo,$B36,d_Sector,C$6,d_Subest,$E$3,d_Tipo,$E$4)</f>
        <v>0</v>
      </c>
      <c r="D36" s="21" t="n">
        <f aca="false">COUNTIFS(d_Marca,$A36,d_Modelo,$B36,d_Sector,D$6,d_Subest,$E$3,d_Tipo,$E$4)</f>
        <v>0</v>
      </c>
      <c r="E36" s="21" t="n">
        <f aca="false">COUNTIFS(d_Marca,$A36,d_Modelo,$B36,d_Sector,E$6,d_Subest,$E$3,d_Tipo,$E$4)</f>
        <v>0</v>
      </c>
      <c r="F36" s="21" t="n">
        <f aca="false">COUNTIFS(d_Marca,$A36,d_Modelo,$B36,d_Sector,F$6,d_Subest,$E$3,d_Tipo,$E$4)</f>
        <v>0</v>
      </c>
      <c r="G36" s="21" t="n">
        <f aca="false">COUNTIFS(d_Marca,$A36,d_Modelo,$B36,d_Sector,G$6,d_Subest,$E$3,d_Tipo,$E$4)</f>
        <v>0</v>
      </c>
      <c r="H36" s="21" t="n">
        <f aca="false">COUNTIFS(d_Marca,$A36,d_Modelo,$B36,d_Sector,H$6,d_Subest,$E$3,d_Tipo,$E$4)</f>
        <v>26</v>
      </c>
      <c r="I36" s="21" t="n">
        <f aca="false">COUNTIFS(d_Marca,$A36,d_Modelo,$B36,d_Sector,I$6,d_Subest,$E$3,d_Tipo,$E$4)</f>
        <v>0</v>
      </c>
      <c r="J36" s="21" t="n">
        <f aca="false">COUNTIFS(d_Marca,$A36,d_Modelo,$B36,d_Sector,J$6,d_Subest,$E$3,d_Tipo,$E$4)</f>
        <v>8</v>
      </c>
      <c r="K36" s="22" t="n">
        <f aca="false">SUM(C36:J36)</f>
        <v>34</v>
      </c>
      <c r="L36" s="23" t="n">
        <f aca="false">IF($K$71=0,0,K36/$K$71)</f>
        <v>0.0173469387755102</v>
      </c>
    </row>
    <row r="37" customFormat="false" ht="15" hidden="false" customHeight="false" outlineLevel="0" collapsed="false">
      <c r="A37" s="19" t="s">
        <v>61</v>
      </c>
      <c r="B37" s="20" t="s">
        <v>65</v>
      </c>
      <c r="C37" s="21" t="n">
        <f aca="false">COUNTIFS(d_Marca,$A37,d_Modelo,$B37,d_Sector,C$6,d_Subest,$E$3,d_Tipo,$E$4)</f>
        <v>0</v>
      </c>
      <c r="D37" s="21" t="n">
        <f aca="false">COUNTIFS(d_Marca,$A37,d_Modelo,$B37,d_Sector,D$6,d_Subest,$E$3,d_Tipo,$E$4)</f>
        <v>0</v>
      </c>
      <c r="E37" s="21" t="n">
        <f aca="false">COUNTIFS(d_Marca,$A37,d_Modelo,$B37,d_Sector,E$6,d_Subest,$E$3,d_Tipo,$E$4)</f>
        <v>0</v>
      </c>
      <c r="F37" s="21" t="n">
        <f aca="false">COUNTIFS(d_Marca,$A37,d_Modelo,$B37,d_Sector,F$6,d_Subest,$E$3,d_Tipo,$E$4)</f>
        <v>0</v>
      </c>
      <c r="G37" s="21" t="n">
        <f aca="false">COUNTIFS(d_Marca,$A37,d_Modelo,$B37,d_Sector,G$6,d_Subest,$E$3,d_Tipo,$E$4)</f>
        <v>0</v>
      </c>
      <c r="H37" s="21" t="n">
        <f aca="false">COUNTIFS(d_Marca,$A37,d_Modelo,$B37,d_Sector,H$6,d_Subest,$E$3,d_Tipo,$E$4)</f>
        <v>0</v>
      </c>
      <c r="I37" s="21" t="n">
        <f aca="false">COUNTIFS(d_Marca,$A37,d_Modelo,$B37,d_Sector,I$6,d_Subest,$E$3,d_Tipo,$E$4)</f>
        <v>0</v>
      </c>
      <c r="J37" s="21" t="n">
        <f aca="false">COUNTIFS(d_Marca,$A37,d_Modelo,$B37,d_Sector,J$6,d_Subest,$E$3,d_Tipo,$E$4)</f>
        <v>22</v>
      </c>
      <c r="K37" s="22" t="n">
        <f aca="false">SUM(C37:J37)</f>
        <v>22</v>
      </c>
      <c r="L37" s="23" t="n">
        <f aca="false">IF($K$71=0,0,K37/$K$71)</f>
        <v>0.0112244897959184</v>
      </c>
    </row>
    <row r="38" customFormat="false" ht="15" hidden="false" customHeight="false" outlineLevel="0" collapsed="false">
      <c r="A38" s="19" t="s">
        <v>61</v>
      </c>
      <c r="B38" s="20" t="s">
        <v>66</v>
      </c>
      <c r="C38" s="21" t="n">
        <f aca="false">COUNTIFS(d_Marca,$A38,d_Modelo,$B38,d_Sector,C$6,d_Subest,$E$3,d_Tipo,$E$4)</f>
        <v>0</v>
      </c>
      <c r="D38" s="21" t="n">
        <f aca="false">COUNTIFS(d_Marca,$A38,d_Modelo,$B38,d_Sector,D$6,d_Subest,$E$3,d_Tipo,$E$4)</f>
        <v>0</v>
      </c>
      <c r="E38" s="21" t="n">
        <f aca="false">COUNTIFS(d_Marca,$A38,d_Modelo,$B38,d_Sector,E$6,d_Subest,$E$3,d_Tipo,$E$4)</f>
        <v>0</v>
      </c>
      <c r="F38" s="21" t="n">
        <f aca="false">COUNTIFS(d_Marca,$A38,d_Modelo,$B38,d_Sector,F$6,d_Subest,$E$3,d_Tipo,$E$4)</f>
        <v>0</v>
      </c>
      <c r="G38" s="21" t="n">
        <f aca="false">COUNTIFS(d_Marca,$A38,d_Modelo,$B38,d_Sector,G$6,d_Subest,$E$3,d_Tipo,$E$4)</f>
        <v>0</v>
      </c>
      <c r="H38" s="21" t="n">
        <f aca="false">COUNTIFS(d_Marca,$A38,d_Modelo,$B38,d_Sector,H$6,d_Subest,$E$3,d_Tipo,$E$4)</f>
        <v>0</v>
      </c>
      <c r="I38" s="21" t="n">
        <f aca="false">COUNTIFS(d_Marca,$A38,d_Modelo,$B38,d_Sector,I$6,d_Subest,$E$3,d_Tipo,$E$4)</f>
        <v>0</v>
      </c>
      <c r="J38" s="21" t="n">
        <f aca="false">COUNTIFS(d_Marca,$A38,d_Modelo,$B38,d_Sector,J$6,d_Subest,$E$3,d_Tipo,$E$4)</f>
        <v>21</v>
      </c>
      <c r="K38" s="22" t="n">
        <f aca="false">SUM(C38:J38)</f>
        <v>21</v>
      </c>
      <c r="L38" s="23" t="n">
        <f aca="false">IF($K$71=0,0,K38/$K$71)</f>
        <v>0.0107142857142857</v>
      </c>
    </row>
    <row r="39" customFormat="false" ht="15" hidden="false" customHeight="false" outlineLevel="0" collapsed="false">
      <c r="A39" s="19" t="s">
        <v>61</v>
      </c>
      <c r="B39" s="20" t="s">
        <v>67</v>
      </c>
      <c r="C39" s="21" t="n">
        <f aca="false">COUNTIFS(d_Marca,$A39,d_Modelo,$B39,d_Sector,C$6,d_Subest,$E$3,d_Tipo,$E$4)</f>
        <v>0</v>
      </c>
      <c r="D39" s="21" t="n">
        <f aca="false">COUNTIFS(d_Marca,$A39,d_Modelo,$B39,d_Sector,D$6,d_Subest,$E$3,d_Tipo,$E$4)</f>
        <v>0</v>
      </c>
      <c r="E39" s="21" t="n">
        <f aca="false">COUNTIFS(d_Marca,$A39,d_Modelo,$B39,d_Sector,E$6,d_Subest,$E$3,d_Tipo,$E$4)</f>
        <v>0</v>
      </c>
      <c r="F39" s="21" t="n">
        <f aca="false">COUNTIFS(d_Marca,$A39,d_Modelo,$B39,d_Sector,F$6,d_Subest,$E$3,d_Tipo,$E$4)</f>
        <v>0</v>
      </c>
      <c r="G39" s="21" t="n">
        <f aca="false">COUNTIFS(d_Marca,$A39,d_Modelo,$B39,d_Sector,G$6,d_Subest,$E$3,d_Tipo,$E$4)</f>
        <v>0</v>
      </c>
      <c r="H39" s="21" t="n">
        <f aca="false">COUNTIFS(d_Marca,$A39,d_Modelo,$B39,d_Sector,H$6,d_Subest,$E$3,d_Tipo,$E$4)</f>
        <v>0</v>
      </c>
      <c r="I39" s="21" t="n">
        <f aca="false">COUNTIFS(d_Marca,$A39,d_Modelo,$B39,d_Sector,I$6,d_Subest,$E$3,d_Tipo,$E$4)</f>
        <v>0</v>
      </c>
      <c r="J39" s="21" t="n">
        <f aca="false">COUNTIFS(d_Marca,$A39,d_Modelo,$B39,d_Sector,J$6,d_Subest,$E$3,d_Tipo,$E$4)</f>
        <v>14</v>
      </c>
      <c r="K39" s="22" t="n">
        <f aca="false">SUM(C39:J39)</f>
        <v>14</v>
      </c>
      <c r="L39" s="23" t="n">
        <f aca="false">IF($K$71=0,0,K39/$K$71)</f>
        <v>0.00714285714285714</v>
      </c>
    </row>
    <row r="40" customFormat="false" ht="15" hidden="false" customHeight="false" outlineLevel="0" collapsed="false">
      <c r="A40" s="19" t="s">
        <v>61</v>
      </c>
      <c r="B40" s="20" t="s">
        <v>68</v>
      </c>
      <c r="C40" s="21" t="n">
        <f aca="false">COUNTIFS(d_Marca,$A40,d_Modelo,$B40,d_Sector,C$6,d_Subest,$E$3,d_Tipo,$E$4)</f>
        <v>0</v>
      </c>
      <c r="D40" s="21" t="n">
        <f aca="false">COUNTIFS(d_Marca,$A40,d_Modelo,$B40,d_Sector,D$6,d_Subest,$E$3,d_Tipo,$E$4)</f>
        <v>0</v>
      </c>
      <c r="E40" s="21" t="n">
        <f aca="false">COUNTIFS(d_Marca,$A40,d_Modelo,$B40,d_Sector,E$6,d_Subest,$E$3,d_Tipo,$E$4)</f>
        <v>0</v>
      </c>
      <c r="F40" s="21" t="n">
        <f aca="false">COUNTIFS(d_Marca,$A40,d_Modelo,$B40,d_Sector,F$6,d_Subest,$E$3,d_Tipo,$E$4)</f>
        <v>0</v>
      </c>
      <c r="G40" s="21" t="n">
        <f aca="false">COUNTIFS(d_Marca,$A40,d_Modelo,$B40,d_Sector,G$6,d_Subest,$E$3,d_Tipo,$E$4)</f>
        <v>0</v>
      </c>
      <c r="H40" s="21" t="n">
        <f aca="false">COUNTIFS(d_Marca,$A40,d_Modelo,$B40,d_Sector,H$6,d_Subest,$E$3,d_Tipo,$E$4)</f>
        <v>0</v>
      </c>
      <c r="I40" s="21" t="n">
        <f aca="false">COUNTIFS(d_Marca,$A40,d_Modelo,$B40,d_Sector,I$6,d_Subest,$E$3,d_Tipo,$E$4)</f>
        <v>0</v>
      </c>
      <c r="J40" s="21" t="n">
        <f aca="false">COUNTIFS(d_Marca,$A40,d_Modelo,$B40,d_Sector,J$6,d_Subest,$E$3,d_Tipo,$E$4)</f>
        <v>10</v>
      </c>
      <c r="K40" s="22" t="n">
        <f aca="false">SUM(C40:J40)</f>
        <v>10</v>
      </c>
      <c r="L40" s="23" t="n">
        <f aca="false">IF($K$71=0,0,K40/$K$71)</f>
        <v>0.00510204081632653</v>
      </c>
    </row>
    <row r="41" customFormat="false" ht="15" hidden="false" customHeight="false" outlineLevel="0" collapsed="false">
      <c r="A41" s="19" t="s">
        <v>61</v>
      </c>
      <c r="B41" s="20" t="s">
        <v>69</v>
      </c>
      <c r="C41" s="21" t="n">
        <f aca="false">COUNTIFS(d_Marca,$A41,d_Modelo,$B41,d_Sector,C$6,d_Subest,$E$3,d_Tipo,$E$4)</f>
        <v>0</v>
      </c>
      <c r="D41" s="21" t="n">
        <f aca="false">COUNTIFS(d_Marca,$A41,d_Modelo,$B41,d_Sector,D$6,d_Subest,$E$3,d_Tipo,$E$4)</f>
        <v>0</v>
      </c>
      <c r="E41" s="21" t="n">
        <f aca="false">COUNTIFS(d_Marca,$A41,d_Modelo,$B41,d_Sector,E$6,d_Subest,$E$3,d_Tipo,$E$4)</f>
        <v>0</v>
      </c>
      <c r="F41" s="21" t="n">
        <f aca="false">COUNTIFS(d_Marca,$A41,d_Modelo,$B41,d_Sector,F$6,d_Subest,$E$3,d_Tipo,$E$4)</f>
        <v>0</v>
      </c>
      <c r="G41" s="21" t="n">
        <f aca="false">COUNTIFS(d_Marca,$A41,d_Modelo,$B41,d_Sector,G$6,d_Subest,$E$3,d_Tipo,$E$4)</f>
        <v>0</v>
      </c>
      <c r="H41" s="21" t="n">
        <f aca="false">COUNTIFS(d_Marca,$A41,d_Modelo,$B41,d_Sector,H$6,d_Subest,$E$3,d_Tipo,$E$4)</f>
        <v>0</v>
      </c>
      <c r="I41" s="21" t="n">
        <f aca="false">COUNTIFS(d_Marca,$A41,d_Modelo,$B41,d_Sector,I$6,d_Subest,$E$3,d_Tipo,$E$4)</f>
        <v>0</v>
      </c>
      <c r="J41" s="21" t="n">
        <f aca="false">COUNTIFS(d_Marca,$A41,d_Modelo,$B41,d_Sector,J$6,d_Subest,$E$3,d_Tipo,$E$4)</f>
        <v>8</v>
      </c>
      <c r="K41" s="22" t="n">
        <f aca="false">SUM(C41:J41)</f>
        <v>8</v>
      </c>
      <c r="L41" s="23" t="n">
        <f aca="false">IF($K$71=0,0,K41/$K$71)</f>
        <v>0.00408163265306123</v>
      </c>
    </row>
    <row r="42" customFormat="false" ht="15" hidden="false" customHeight="false" outlineLevel="0" collapsed="false">
      <c r="A42" s="19" t="s">
        <v>61</v>
      </c>
      <c r="B42" s="20" t="s">
        <v>70</v>
      </c>
      <c r="C42" s="21" t="n">
        <f aca="false">COUNTIFS(d_Marca,$A42,d_Modelo,$B42,d_Sector,C$6,d_Subest,$E$3,d_Tipo,$E$4)</f>
        <v>0</v>
      </c>
      <c r="D42" s="21" t="n">
        <f aca="false">COUNTIFS(d_Marca,$A42,d_Modelo,$B42,d_Sector,D$6,d_Subest,$E$3,d_Tipo,$E$4)</f>
        <v>0</v>
      </c>
      <c r="E42" s="21" t="n">
        <f aca="false">COUNTIFS(d_Marca,$A42,d_Modelo,$B42,d_Sector,E$6,d_Subest,$E$3,d_Tipo,$E$4)</f>
        <v>0</v>
      </c>
      <c r="F42" s="21" t="n">
        <f aca="false">COUNTIFS(d_Marca,$A42,d_Modelo,$B42,d_Sector,F$6,d_Subest,$E$3,d_Tipo,$E$4)</f>
        <v>0</v>
      </c>
      <c r="G42" s="21" t="n">
        <f aca="false">COUNTIFS(d_Marca,$A42,d_Modelo,$B42,d_Sector,G$6,d_Subest,$E$3,d_Tipo,$E$4)</f>
        <v>0</v>
      </c>
      <c r="H42" s="21" t="n">
        <f aca="false">COUNTIFS(d_Marca,$A42,d_Modelo,$B42,d_Sector,H$6,d_Subest,$E$3,d_Tipo,$E$4)</f>
        <v>0</v>
      </c>
      <c r="I42" s="21" t="n">
        <f aca="false">COUNTIFS(d_Marca,$A42,d_Modelo,$B42,d_Sector,I$6,d_Subest,$E$3,d_Tipo,$E$4)</f>
        <v>0</v>
      </c>
      <c r="J42" s="21" t="n">
        <f aca="false">COUNTIFS(d_Marca,$A42,d_Modelo,$B42,d_Sector,J$6,d_Subest,$E$3,d_Tipo,$E$4)</f>
        <v>4</v>
      </c>
      <c r="K42" s="22" t="n">
        <f aca="false">SUM(C42:J42)</f>
        <v>4</v>
      </c>
      <c r="L42" s="23" t="n">
        <f aca="false">IF($K$71=0,0,K42/$K$71)</f>
        <v>0.00204081632653061</v>
      </c>
    </row>
    <row r="43" customFormat="false" ht="15" hidden="false" customHeight="false" outlineLevel="0" collapsed="false">
      <c r="A43" s="19" t="s">
        <v>61</v>
      </c>
      <c r="B43" s="20" t="s">
        <v>71</v>
      </c>
      <c r="C43" s="21" t="n">
        <f aca="false">COUNTIFS(d_Marca,$A43,d_Modelo,$B43,d_Sector,C$6,d_Subest,$E$3,d_Tipo,$E$4)</f>
        <v>0</v>
      </c>
      <c r="D43" s="21" t="n">
        <f aca="false">COUNTIFS(d_Marca,$A43,d_Modelo,$B43,d_Sector,D$6,d_Subest,$E$3,d_Tipo,$E$4)</f>
        <v>0</v>
      </c>
      <c r="E43" s="21" t="n">
        <f aca="false">COUNTIFS(d_Marca,$A43,d_Modelo,$B43,d_Sector,E$6,d_Subest,$E$3,d_Tipo,$E$4)</f>
        <v>0</v>
      </c>
      <c r="F43" s="21" t="n">
        <f aca="false">COUNTIFS(d_Marca,$A43,d_Modelo,$B43,d_Sector,F$6,d_Subest,$E$3,d_Tipo,$E$4)</f>
        <v>0</v>
      </c>
      <c r="G43" s="21" t="n">
        <f aca="false">COUNTIFS(d_Marca,$A43,d_Modelo,$B43,d_Sector,G$6,d_Subest,$E$3,d_Tipo,$E$4)</f>
        <v>0</v>
      </c>
      <c r="H43" s="21" t="n">
        <f aca="false">COUNTIFS(d_Marca,$A43,d_Modelo,$B43,d_Sector,H$6,d_Subest,$E$3,d_Tipo,$E$4)</f>
        <v>0</v>
      </c>
      <c r="I43" s="21" t="n">
        <f aca="false">COUNTIFS(d_Marca,$A43,d_Modelo,$B43,d_Sector,I$6,d_Subest,$E$3,d_Tipo,$E$4)</f>
        <v>0</v>
      </c>
      <c r="J43" s="21" t="n">
        <f aca="false">COUNTIFS(d_Marca,$A43,d_Modelo,$B43,d_Sector,J$6,d_Subest,$E$3,d_Tipo,$E$4)</f>
        <v>4</v>
      </c>
      <c r="K43" s="22" t="n">
        <f aca="false">SUM(C43:J43)</f>
        <v>4</v>
      </c>
      <c r="L43" s="23" t="n">
        <f aca="false">IF($K$71=0,0,K43/$K$71)</f>
        <v>0.00204081632653061</v>
      </c>
    </row>
    <row r="44" customFormat="false" ht="15" hidden="false" customHeight="false" outlineLevel="0" collapsed="false">
      <c r="A44" s="19" t="s">
        <v>61</v>
      </c>
      <c r="B44" s="20" t="s">
        <v>72</v>
      </c>
      <c r="C44" s="21" t="n">
        <f aca="false">COUNTIFS(d_Marca,$A44,d_Modelo,$B44,d_Sector,C$6,d_Subest,$E$3,d_Tipo,$E$4)</f>
        <v>0</v>
      </c>
      <c r="D44" s="21" t="n">
        <f aca="false">COUNTIFS(d_Marca,$A44,d_Modelo,$B44,d_Sector,D$6,d_Subest,$E$3,d_Tipo,$E$4)</f>
        <v>0</v>
      </c>
      <c r="E44" s="21" t="n">
        <f aca="false">COUNTIFS(d_Marca,$A44,d_Modelo,$B44,d_Sector,E$6,d_Subest,$E$3,d_Tipo,$E$4)</f>
        <v>0</v>
      </c>
      <c r="F44" s="21" t="n">
        <f aca="false">COUNTIFS(d_Marca,$A44,d_Modelo,$B44,d_Sector,F$6,d_Subest,$E$3,d_Tipo,$E$4)</f>
        <v>0</v>
      </c>
      <c r="G44" s="21" t="n">
        <f aca="false">COUNTIFS(d_Marca,$A44,d_Modelo,$B44,d_Sector,G$6,d_Subest,$E$3,d_Tipo,$E$4)</f>
        <v>0</v>
      </c>
      <c r="H44" s="21" t="n">
        <f aca="false">COUNTIFS(d_Marca,$A44,d_Modelo,$B44,d_Sector,H$6,d_Subest,$E$3,d_Tipo,$E$4)</f>
        <v>0</v>
      </c>
      <c r="I44" s="21" t="n">
        <f aca="false">COUNTIFS(d_Marca,$A44,d_Modelo,$B44,d_Sector,I$6,d_Subest,$E$3,d_Tipo,$E$4)</f>
        <v>0</v>
      </c>
      <c r="J44" s="21" t="n">
        <f aca="false">COUNTIFS(d_Marca,$A44,d_Modelo,$B44,d_Sector,J$6,d_Subest,$E$3,d_Tipo,$E$4)</f>
        <v>1</v>
      </c>
      <c r="K44" s="22" t="n">
        <f aca="false">SUM(C44:J44)</f>
        <v>1</v>
      </c>
      <c r="L44" s="23" t="n">
        <f aca="false">IF($K$71=0,0,K44/$K$71)</f>
        <v>0.000510204081632653</v>
      </c>
    </row>
    <row r="45" customFormat="false" ht="15" hidden="false" customHeight="false" outlineLevel="0" collapsed="false">
      <c r="A45" s="16" t="s">
        <v>73</v>
      </c>
      <c r="B45" s="16" t="s">
        <v>74</v>
      </c>
      <c r="C45" s="17" t="n">
        <f aca="false">COUNTIFS(d_Marca,$A45,d_Sector,C$6,d_Subest,$E$3,d_Tipo,$E$4)</f>
        <v>0</v>
      </c>
      <c r="D45" s="17" t="n">
        <f aca="false">COUNTIFS(d_Marca,$A45,d_Sector,D$6,d_Subest,$E$3,d_Tipo,$E$4)</f>
        <v>0</v>
      </c>
      <c r="E45" s="17" t="n">
        <f aca="false">COUNTIFS(d_Marca,$A45,d_Sector,E$6,d_Subest,$E$3,d_Tipo,$E$4)</f>
        <v>2</v>
      </c>
      <c r="F45" s="17" t="n">
        <f aca="false">COUNTIFS(d_Marca,$A45,d_Sector,F$6,d_Subest,$E$3,d_Tipo,$E$4)</f>
        <v>6</v>
      </c>
      <c r="G45" s="17" t="n">
        <f aca="false">COUNTIFS(d_Marca,$A45,d_Sector,G$6,d_Subest,$E$3,d_Tipo,$E$4)</f>
        <v>6</v>
      </c>
      <c r="H45" s="17" t="n">
        <f aca="false">COUNTIFS(d_Marca,$A45,d_Sector,H$6,d_Subest,$E$3,d_Tipo,$E$4)</f>
        <v>0</v>
      </c>
      <c r="I45" s="17" t="n">
        <f aca="false">COUNTIFS(d_Marca,$A45,d_Sector,I$6,d_Subest,$E$3,d_Tipo,$E$4)</f>
        <v>159</v>
      </c>
      <c r="J45" s="17" t="n">
        <f aca="false">COUNTIFS(d_Marca,$A45,d_Sector,J$6,d_Subest,$E$3,d_Tipo,$E$4)</f>
        <v>109</v>
      </c>
      <c r="K45" s="17" t="n">
        <f aca="false">SUM(C45:J45)</f>
        <v>282</v>
      </c>
      <c r="L45" s="18" t="n">
        <f aca="false">IF($K$71=0,0,K45/$K$71)</f>
        <v>0.143877551020408</v>
      </c>
    </row>
    <row r="46" customFormat="false" ht="15" hidden="false" customHeight="false" outlineLevel="0" collapsed="false">
      <c r="A46" s="19" t="s">
        <v>73</v>
      </c>
      <c r="B46" s="20" t="s">
        <v>75</v>
      </c>
      <c r="C46" s="21" t="n">
        <f aca="false">COUNTIFS(d_Marca,$A46,d_Modelo,$B46,d_Sector,C$6,d_Subest,$E$3,d_Tipo,$E$4)</f>
        <v>0</v>
      </c>
      <c r="D46" s="21" t="n">
        <f aca="false">COUNTIFS(d_Marca,$A46,d_Modelo,$B46,d_Sector,D$6,d_Subest,$E$3,d_Tipo,$E$4)</f>
        <v>0</v>
      </c>
      <c r="E46" s="21" t="n">
        <f aca="false">COUNTIFS(d_Marca,$A46,d_Modelo,$B46,d_Sector,E$6,d_Subest,$E$3,d_Tipo,$E$4)</f>
        <v>0</v>
      </c>
      <c r="F46" s="21" t="n">
        <f aca="false">COUNTIFS(d_Marca,$A46,d_Modelo,$B46,d_Sector,F$6,d_Subest,$E$3,d_Tipo,$E$4)</f>
        <v>6</v>
      </c>
      <c r="G46" s="21" t="n">
        <f aca="false">COUNTIFS(d_Marca,$A46,d_Modelo,$B46,d_Sector,G$6,d_Subest,$E$3,d_Tipo,$E$4)</f>
        <v>0</v>
      </c>
      <c r="H46" s="21" t="n">
        <f aca="false">COUNTIFS(d_Marca,$A46,d_Modelo,$B46,d_Sector,H$6,d_Subest,$E$3,d_Tipo,$E$4)</f>
        <v>0</v>
      </c>
      <c r="I46" s="21" t="n">
        <f aca="false">COUNTIFS(d_Marca,$A46,d_Modelo,$B46,d_Sector,I$6,d_Subest,$E$3,d_Tipo,$E$4)</f>
        <v>129</v>
      </c>
      <c r="J46" s="21" t="n">
        <f aca="false">COUNTIFS(d_Marca,$A46,d_Modelo,$B46,d_Sector,J$6,d_Subest,$E$3,d_Tipo,$E$4)</f>
        <v>0</v>
      </c>
      <c r="K46" s="22" t="n">
        <f aca="false">SUM(C46:J46)</f>
        <v>135</v>
      </c>
      <c r="L46" s="23" t="n">
        <f aca="false">IF($K$71=0,0,K46/$K$71)</f>
        <v>0.0688775510204082</v>
      </c>
    </row>
    <row r="47" customFormat="false" ht="15" hidden="false" customHeight="false" outlineLevel="0" collapsed="false">
      <c r="A47" s="19" t="s">
        <v>73</v>
      </c>
      <c r="B47" s="20" t="s">
        <v>76</v>
      </c>
      <c r="C47" s="21" t="n">
        <f aca="false">COUNTIFS(d_Marca,$A47,d_Modelo,$B47,d_Sector,C$6,d_Subest,$E$3,d_Tipo,$E$4)</f>
        <v>0</v>
      </c>
      <c r="D47" s="21" t="n">
        <f aca="false">COUNTIFS(d_Marca,$A47,d_Modelo,$B47,d_Sector,D$6,d_Subest,$E$3,d_Tipo,$E$4)</f>
        <v>0</v>
      </c>
      <c r="E47" s="21" t="n">
        <f aca="false">COUNTIFS(d_Marca,$A47,d_Modelo,$B47,d_Sector,E$6,d_Subest,$E$3,d_Tipo,$E$4)</f>
        <v>0</v>
      </c>
      <c r="F47" s="21" t="n">
        <f aca="false">COUNTIFS(d_Marca,$A47,d_Modelo,$B47,d_Sector,F$6,d_Subest,$E$3,d_Tipo,$E$4)</f>
        <v>0</v>
      </c>
      <c r="G47" s="21" t="n">
        <f aca="false">COUNTIFS(d_Marca,$A47,d_Modelo,$B47,d_Sector,G$6,d_Subest,$E$3,d_Tipo,$E$4)</f>
        <v>0</v>
      </c>
      <c r="H47" s="21" t="n">
        <f aca="false">COUNTIFS(d_Marca,$A47,d_Modelo,$B47,d_Sector,H$6,d_Subest,$E$3,d_Tipo,$E$4)</f>
        <v>0</v>
      </c>
      <c r="I47" s="21" t="n">
        <f aca="false">COUNTIFS(d_Marca,$A47,d_Modelo,$B47,d_Sector,I$6,d_Subest,$E$3,d_Tipo,$E$4)</f>
        <v>0</v>
      </c>
      <c r="J47" s="21" t="n">
        <f aca="false">COUNTIFS(d_Marca,$A47,d_Modelo,$B47,d_Sector,J$6,d_Subest,$E$3,d_Tipo,$E$4)</f>
        <v>45</v>
      </c>
      <c r="K47" s="22" t="n">
        <f aca="false">SUM(C47:J47)</f>
        <v>45</v>
      </c>
      <c r="L47" s="23" t="n">
        <f aca="false">IF($K$71=0,0,K47/$K$71)</f>
        <v>0.0229591836734694</v>
      </c>
    </row>
    <row r="48" customFormat="false" ht="15" hidden="false" customHeight="false" outlineLevel="0" collapsed="false">
      <c r="A48" s="19" t="s">
        <v>73</v>
      </c>
      <c r="B48" s="20" t="s">
        <v>77</v>
      </c>
      <c r="C48" s="21" t="n">
        <f aca="false">COUNTIFS(d_Marca,$A48,d_Modelo,$B48,d_Sector,C$6,d_Subest,$E$3,d_Tipo,$E$4)</f>
        <v>0</v>
      </c>
      <c r="D48" s="21" t="n">
        <f aca="false">COUNTIFS(d_Marca,$A48,d_Modelo,$B48,d_Sector,D$6,d_Subest,$E$3,d_Tipo,$E$4)</f>
        <v>0</v>
      </c>
      <c r="E48" s="21" t="n">
        <f aca="false">COUNTIFS(d_Marca,$A48,d_Modelo,$B48,d_Sector,E$6,d_Subest,$E$3,d_Tipo,$E$4)</f>
        <v>0</v>
      </c>
      <c r="F48" s="21" t="n">
        <f aca="false">COUNTIFS(d_Marca,$A48,d_Modelo,$B48,d_Sector,F$6,d_Subest,$E$3,d_Tipo,$E$4)</f>
        <v>0</v>
      </c>
      <c r="G48" s="21" t="n">
        <f aca="false">COUNTIFS(d_Marca,$A48,d_Modelo,$B48,d_Sector,G$6,d_Subest,$E$3,d_Tipo,$E$4)</f>
        <v>0</v>
      </c>
      <c r="H48" s="21" t="n">
        <f aca="false">COUNTIFS(d_Marca,$A48,d_Modelo,$B48,d_Sector,H$6,d_Subest,$E$3,d_Tipo,$E$4)</f>
        <v>0</v>
      </c>
      <c r="I48" s="21" t="n">
        <f aca="false">COUNTIFS(d_Marca,$A48,d_Modelo,$B48,d_Sector,I$6,d_Subest,$E$3,d_Tipo,$E$4)</f>
        <v>0</v>
      </c>
      <c r="J48" s="21" t="n">
        <f aca="false">COUNTIFS(d_Marca,$A48,d_Modelo,$B48,d_Sector,J$6,d_Subest,$E$3,d_Tipo,$E$4)</f>
        <v>45</v>
      </c>
      <c r="K48" s="22" t="n">
        <f aca="false">SUM(C48:J48)</f>
        <v>45</v>
      </c>
      <c r="L48" s="23" t="n">
        <f aca="false">IF($K$71=0,0,K48/$K$71)</f>
        <v>0.0229591836734694</v>
      </c>
    </row>
    <row r="49" customFormat="false" ht="15" hidden="false" customHeight="false" outlineLevel="0" collapsed="false">
      <c r="A49" s="19" t="s">
        <v>73</v>
      </c>
      <c r="B49" s="20" t="s">
        <v>78</v>
      </c>
      <c r="C49" s="21" t="n">
        <f aca="false">COUNTIFS(d_Marca,$A49,d_Modelo,$B49,d_Sector,C$6,d_Subest,$E$3,d_Tipo,$E$4)</f>
        <v>0</v>
      </c>
      <c r="D49" s="21" t="n">
        <f aca="false">COUNTIFS(d_Marca,$A49,d_Modelo,$B49,d_Sector,D$6,d_Subest,$E$3,d_Tipo,$E$4)</f>
        <v>0</v>
      </c>
      <c r="E49" s="21" t="n">
        <f aca="false">COUNTIFS(d_Marca,$A49,d_Modelo,$B49,d_Sector,E$6,d_Subest,$E$3,d_Tipo,$E$4)</f>
        <v>0</v>
      </c>
      <c r="F49" s="21" t="n">
        <f aca="false">COUNTIFS(d_Marca,$A49,d_Modelo,$B49,d_Sector,F$6,d_Subest,$E$3,d_Tipo,$E$4)</f>
        <v>0</v>
      </c>
      <c r="G49" s="21" t="n">
        <f aca="false">COUNTIFS(d_Marca,$A49,d_Modelo,$B49,d_Sector,G$6,d_Subest,$E$3,d_Tipo,$E$4)</f>
        <v>0</v>
      </c>
      <c r="H49" s="21" t="n">
        <f aca="false">COUNTIFS(d_Marca,$A49,d_Modelo,$B49,d_Sector,H$6,d_Subest,$E$3,d_Tipo,$E$4)</f>
        <v>0</v>
      </c>
      <c r="I49" s="21" t="n">
        <f aca="false">COUNTIFS(d_Marca,$A49,d_Modelo,$B49,d_Sector,I$6,d_Subest,$E$3,d_Tipo,$E$4)</f>
        <v>30</v>
      </c>
      <c r="J49" s="21" t="n">
        <f aca="false">COUNTIFS(d_Marca,$A49,d_Modelo,$B49,d_Sector,J$6,d_Subest,$E$3,d_Tipo,$E$4)</f>
        <v>0</v>
      </c>
      <c r="K49" s="22" t="n">
        <f aca="false">SUM(C49:J49)</f>
        <v>30</v>
      </c>
      <c r="L49" s="23" t="n">
        <f aca="false">IF($K$71=0,0,K49/$K$71)</f>
        <v>0.0153061224489796</v>
      </c>
    </row>
    <row r="50" customFormat="false" ht="15" hidden="false" customHeight="false" outlineLevel="0" collapsed="false">
      <c r="A50" s="19" t="s">
        <v>73</v>
      </c>
      <c r="B50" s="20" t="s">
        <v>79</v>
      </c>
      <c r="C50" s="21" t="n">
        <f aca="false">COUNTIFS(d_Marca,$A50,d_Modelo,$B50,d_Sector,C$6,d_Subest,$E$3,d_Tipo,$E$4)</f>
        <v>0</v>
      </c>
      <c r="D50" s="21" t="n">
        <f aca="false">COUNTIFS(d_Marca,$A50,d_Modelo,$B50,d_Sector,D$6,d_Subest,$E$3,d_Tipo,$E$4)</f>
        <v>0</v>
      </c>
      <c r="E50" s="21" t="n">
        <f aca="false">COUNTIFS(d_Marca,$A50,d_Modelo,$B50,d_Sector,E$6,d_Subest,$E$3,d_Tipo,$E$4)</f>
        <v>0</v>
      </c>
      <c r="F50" s="21" t="n">
        <f aca="false">COUNTIFS(d_Marca,$A50,d_Modelo,$B50,d_Sector,F$6,d_Subest,$E$3,d_Tipo,$E$4)</f>
        <v>0</v>
      </c>
      <c r="G50" s="21" t="n">
        <f aca="false">COUNTIFS(d_Marca,$A50,d_Modelo,$B50,d_Sector,G$6,d_Subest,$E$3,d_Tipo,$E$4)</f>
        <v>0</v>
      </c>
      <c r="H50" s="21" t="n">
        <f aca="false">COUNTIFS(d_Marca,$A50,d_Modelo,$B50,d_Sector,H$6,d_Subest,$E$3,d_Tipo,$E$4)</f>
        <v>0</v>
      </c>
      <c r="I50" s="21" t="n">
        <f aca="false">COUNTIFS(d_Marca,$A50,d_Modelo,$B50,d_Sector,I$6,d_Subest,$E$3,d_Tipo,$E$4)</f>
        <v>0</v>
      </c>
      <c r="J50" s="21" t="n">
        <f aca="false">COUNTIFS(d_Marca,$A50,d_Modelo,$B50,d_Sector,J$6,d_Subest,$E$3,d_Tipo,$E$4)</f>
        <v>8</v>
      </c>
      <c r="K50" s="22" t="n">
        <f aca="false">SUM(C50:J50)</f>
        <v>8</v>
      </c>
      <c r="L50" s="23" t="n">
        <f aca="false">IF($K$71=0,0,K50/$K$71)</f>
        <v>0.00408163265306123</v>
      </c>
    </row>
    <row r="51" customFormat="false" ht="15" hidden="false" customHeight="false" outlineLevel="0" collapsed="false">
      <c r="A51" s="19" t="s">
        <v>73</v>
      </c>
      <c r="B51" s="20" t="s">
        <v>80</v>
      </c>
      <c r="C51" s="21" t="n">
        <f aca="false">COUNTIFS(d_Marca,$A51,d_Modelo,$B51,d_Sector,C$6,d_Subest,$E$3,d_Tipo,$E$4)</f>
        <v>0</v>
      </c>
      <c r="D51" s="21" t="n">
        <f aca="false">COUNTIFS(d_Marca,$A51,d_Modelo,$B51,d_Sector,D$6,d_Subest,$E$3,d_Tipo,$E$4)</f>
        <v>0</v>
      </c>
      <c r="E51" s="21" t="n">
        <f aca="false">COUNTIFS(d_Marca,$A51,d_Modelo,$B51,d_Sector,E$6,d_Subest,$E$3,d_Tipo,$E$4)</f>
        <v>0</v>
      </c>
      <c r="F51" s="21" t="n">
        <f aca="false">COUNTIFS(d_Marca,$A51,d_Modelo,$B51,d_Sector,F$6,d_Subest,$E$3,d_Tipo,$E$4)</f>
        <v>0</v>
      </c>
      <c r="G51" s="21" t="n">
        <f aca="false">COUNTIFS(d_Marca,$A51,d_Modelo,$B51,d_Sector,G$6,d_Subest,$E$3,d_Tipo,$E$4)</f>
        <v>0</v>
      </c>
      <c r="H51" s="21" t="n">
        <f aca="false">COUNTIFS(d_Marca,$A51,d_Modelo,$B51,d_Sector,H$6,d_Subest,$E$3,d_Tipo,$E$4)</f>
        <v>0</v>
      </c>
      <c r="I51" s="21" t="n">
        <f aca="false">COUNTIFS(d_Marca,$A51,d_Modelo,$B51,d_Sector,I$6,d_Subest,$E$3,d_Tipo,$E$4)</f>
        <v>0</v>
      </c>
      <c r="J51" s="21" t="n">
        <f aca="false">COUNTIFS(d_Marca,$A51,d_Modelo,$B51,d_Sector,J$6,d_Subest,$E$3,d_Tipo,$E$4)</f>
        <v>6</v>
      </c>
      <c r="K51" s="22" t="n">
        <f aca="false">SUM(C51:J51)</f>
        <v>6</v>
      </c>
      <c r="L51" s="23" t="n">
        <f aca="false">IF($K$71=0,0,K51/$K$71)</f>
        <v>0.00306122448979592</v>
      </c>
    </row>
    <row r="52" customFormat="false" ht="15" hidden="false" customHeight="false" outlineLevel="0" collapsed="false">
      <c r="A52" s="19" t="s">
        <v>73</v>
      </c>
      <c r="B52" s="20" t="s">
        <v>81</v>
      </c>
      <c r="C52" s="21" t="n">
        <f aca="false">COUNTIFS(d_Marca,$A52,d_Modelo,$B52,d_Sector,C$6,d_Subest,$E$3,d_Tipo,$E$4)</f>
        <v>0</v>
      </c>
      <c r="D52" s="21" t="n">
        <f aca="false">COUNTIFS(d_Marca,$A52,d_Modelo,$B52,d_Sector,D$6,d_Subest,$E$3,d_Tipo,$E$4)</f>
        <v>0</v>
      </c>
      <c r="E52" s="21" t="n">
        <f aca="false">COUNTIFS(d_Marca,$A52,d_Modelo,$B52,d_Sector,E$6,d_Subest,$E$3,d_Tipo,$E$4)</f>
        <v>0</v>
      </c>
      <c r="F52" s="21" t="n">
        <f aca="false">COUNTIFS(d_Marca,$A52,d_Modelo,$B52,d_Sector,F$6,d_Subest,$E$3,d_Tipo,$E$4)</f>
        <v>0</v>
      </c>
      <c r="G52" s="21" t="n">
        <f aca="false">COUNTIFS(d_Marca,$A52,d_Modelo,$B52,d_Sector,G$6,d_Subest,$E$3,d_Tipo,$E$4)</f>
        <v>6</v>
      </c>
      <c r="H52" s="21" t="n">
        <f aca="false">COUNTIFS(d_Marca,$A52,d_Modelo,$B52,d_Sector,H$6,d_Subest,$E$3,d_Tipo,$E$4)</f>
        <v>0</v>
      </c>
      <c r="I52" s="21" t="n">
        <f aca="false">COUNTIFS(d_Marca,$A52,d_Modelo,$B52,d_Sector,I$6,d_Subest,$E$3,d_Tipo,$E$4)</f>
        <v>0</v>
      </c>
      <c r="J52" s="21" t="n">
        <f aca="false">COUNTIFS(d_Marca,$A52,d_Modelo,$B52,d_Sector,J$6,d_Subest,$E$3,d_Tipo,$E$4)</f>
        <v>0</v>
      </c>
      <c r="K52" s="22" t="n">
        <f aca="false">SUM(C52:J52)</f>
        <v>6</v>
      </c>
      <c r="L52" s="23" t="n">
        <f aca="false">IF($K$71=0,0,K52/$K$71)</f>
        <v>0.00306122448979592</v>
      </c>
    </row>
    <row r="53" customFormat="false" ht="15" hidden="false" customHeight="false" outlineLevel="0" collapsed="false">
      <c r="A53" s="19" t="s">
        <v>73</v>
      </c>
      <c r="B53" s="20" t="s">
        <v>73</v>
      </c>
      <c r="C53" s="21" t="n">
        <f aca="false">COUNTIFS(d_Marca,$A53,d_Modelo,$B53,d_Sector,C$6,d_Subest,$E$3,d_Tipo,$E$4)</f>
        <v>0</v>
      </c>
      <c r="D53" s="21" t="n">
        <f aca="false">COUNTIFS(d_Marca,$A53,d_Modelo,$B53,d_Sector,D$6,d_Subest,$E$3,d_Tipo,$E$4)</f>
        <v>0</v>
      </c>
      <c r="E53" s="21" t="n">
        <f aca="false">COUNTIFS(d_Marca,$A53,d_Modelo,$B53,d_Sector,E$6,d_Subest,$E$3,d_Tipo,$E$4)</f>
        <v>2</v>
      </c>
      <c r="F53" s="21" t="n">
        <f aca="false">COUNTIFS(d_Marca,$A53,d_Modelo,$B53,d_Sector,F$6,d_Subest,$E$3,d_Tipo,$E$4)</f>
        <v>0</v>
      </c>
      <c r="G53" s="21" t="n">
        <f aca="false">COUNTIFS(d_Marca,$A53,d_Modelo,$B53,d_Sector,G$6,d_Subest,$E$3,d_Tipo,$E$4)</f>
        <v>0</v>
      </c>
      <c r="H53" s="21" t="n">
        <f aca="false">COUNTIFS(d_Marca,$A53,d_Modelo,$B53,d_Sector,H$6,d_Subest,$E$3,d_Tipo,$E$4)</f>
        <v>0</v>
      </c>
      <c r="I53" s="21" t="n">
        <f aca="false">COUNTIFS(d_Marca,$A53,d_Modelo,$B53,d_Sector,I$6,d_Subest,$E$3,d_Tipo,$E$4)</f>
        <v>0</v>
      </c>
      <c r="J53" s="21" t="n">
        <f aca="false">COUNTIFS(d_Marca,$A53,d_Modelo,$B53,d_Sector,J$6,d_Subest,$E$3,d_Tipo,$E$4)</f>
        <v>0</v>
      </c>
      <c r="K53" s="22" t="n">
        <f aca="false">SUM(C53:J53)</f>
        <v>2</v>
      </c>
      <c r="L53" s="23" t="n">
        <f aca="false">IF($K$71=0,0,K53/$K$71)</f>
        <v>0.00102040816326531</v>
      </c>
    </row>
    <row r="54" customFormat="false" ht="15" hidden="false" customHeight="false" outlineLevel="0" collapsed="false">
      <c r="A54" s="19" t="s">
        <v>73</v>
      </c>
      <c r="B54" s="20" t="s">
        <v>82</v>
      </c>
      <c r="C54" s="21" t="n">
        <f aca="false">COUNTIFS(d_Marca,$A54,d_Modelo,$B54,d_Sector,C$6,d_Subest,$E$3,d_Tipo,$E$4)</f>
        <v>0</v>
      </c>
      <c r="D54" s="21" t="n">
        <f aca="false">COUNTIFS(d_Marca,$A54,d_Modelo,$B54,d_Sector,D$6,d_Subest,$E$3,d_Tipo,$E$4)</f>
        <v>0</v>
      </c>
      <c r="E54" s="21" t="n">
        <f aca="false">COUNTIFS(d_Marca,$A54,d_Modelo,$B54,d_Sector,E$6,d_Subest,$E$3,d_Tipo,$E$4)</f>
        <v>0</v>
      </c>
      <c r="F54" s="21" t="n">
        <f aca="false">COUNTIFS(d_Marca,$A54,d_Modelo,$B54,d_Sector,F$6,d_Subest,$E$3,d_Tipo,$E$4)</f>
        <v>0</v>
      </c>
      <c r="G54" s="21" t="n">
        <f aca="false">COUNTIFS(d_Marca,$A54,d_Modelo,$B54,d_Sector,G$6,d_Subest,$E$3,d_Tipo,$E$4)</f>
        <v>0</v>
      </c>
      <c r="H54" s="21" t="n">
        <f aca="false">COUNTIFS(d_Marca,$A54,d_Modelo,$B54,d_Sector,H$6,d_Subest,$E$3,d_Tipo,$E$4)</f>
        <v>0</v>
      </c>
      <c r="I54" s="21" t="n">
        <f aca="false">COUNTIFS(d_Marca,$A54,d_Modelo,$B54,d_Sector,I$6,d_Subest,$E$3,d_Tipo,$E$4)</f>
        <v>0</v>
      </c>
      <c r="J54" s="21" t="n">
        <f aca="false">COUNTIFS(d_Marca,$A54,d_Modelo,$B54,d_Sector,J$6,d_Subest,$E$3,d_Tipo,$E$4)</f>
        <v>2</v>
      </c>
      <c r="K54" s="22" t="n">
        <f aca="false">SUM(C54:J54)</f>
        <v>2</v>
      </c>
      <c r="L54" s="23" t="n">
        <f aca="false">IF($K$71=0,0,K54/$K$71)</f>
        <v>0.00102040816326531</v>
      </c>
    </row>
    <row r="55" customFormat="false" ht="15" hidden="false" customHeight="false" outlineLevel="0" collapsed="false">
      <c r="A55" s="19" t="s">
        <v>73</v>
      </c>
      <c r="B55" s="20" t="s">
        <v>83</v>
      </c>
      <c r="C55" s="21" t="n">
        <f aca="false">COUNTIFS(d_Marca,$A55,d_Modelo,$B55,d_Sector,C$6,d_Subest,$E$3,d_Tipo,$E$4)</f>
        <v>0</v>
      </c>
      <c r="D55" s="21" t="n">
        <f aca="false">COUNTIFS(d_Marca,$A55,d_Modelo,$B55,d_Sector,D$6,d_Subest,$E$3,d_Tipo,$E$4)</f>
        <v>0</v>
      </c>
      <c r="E55" s="21" t="n">
        <f aca="false">COUNTIFS(d_Marca,$A55,d_Modelo,$B55,d_Sector,E$6,d_Subest,$E$3,d_Tipo,$E$4)</f>
        <v>0</v>
      </c>
      <c r="F55" s="21" t="n">
        <f aca="false">COUNTIFS(d_Marca,$A55,d_Modelo,$B55,d_Sector,F$6,d_Subest,$E$3,d_Tipo,$E$4)</f>
        <v>0</v>
      </c>
      <c r="G55" s="21" t="n">
        <f aca="false">COUNTIFS(d_Marca,$A55,d_Modelo,$B55,d_Sector,G$6,d_Subest,$E$3,d_Tipo,$E$4)</f>
        <v>0</v>
      </c>
      <c r="H55" s="21" t="n">
        <f aca="false">COUNTIFS(d_Marca,$A55,d_Modelo,$B55,d_Sector,H$6,d_Subest,$E$3,d_Tipo,$E$4)</f>
        <v>0</v>
      </c>
      <c r="I55" s="21" t="n">
        <f aca="false">COUNTIFS(d_Marca,$A55,d_Modelo,$B55,d_Sector,I$6,d_Subest,$E$3,d_Tipo,$E$4)</f>
        <v>0</v>
      </c>
      <c r="J55" s="21" t="n">
        <f aca="false">COUNTIFS(d_Marca,$A55,d_Modelo,$B55,d_Sector,J$6,d_Subest,$E$3,d_Tipo,$E$4)</f>
        <v>1</v>
      </c>
      <c r="K55" s="22" t="n">
        <f aca="false">SUM(C55:J55)</f>
        <v>1</v>
      </c>
      <c r="L55" s="23" t="n">
        <f aca="false">IF($K$71=0,0,K55/$K$71)</f>
        <v>0.000510204081632653</v>
      </c>
    </row>
    <row r="56" customFormat="false" ht="15" hidden="false" customHeight="false" outlineLevel="0" collapsed="false">
      <c r="A56" s="19" t="s">
        <v>73</v>
      </c>
      <c r="B56" s="20" t="s">
        <v>84</v>
      </c>
      <c r="C56" s="21" t="n">
        <f aca="false">COUNTIFS(d_Marca,$A56,d_Modelo,$B56,d_Sector,C$6,d_Subest,$E$3,d_Tipo,$E$4)</f>
        <v>0</v>
      </c>
      <c r="D56" s="21" t="n">
        <f aca="false">COUNTIFS(d_Marca,$A56,d_Modelo,$B56,d_Sector,D$6,d_Subest,$E$3,d_Tipo,$E$4)</f>
        <v>0</v>
      </c>
      <c r="E56" s="21" t="n">
        <f aca="false">COUNTIFS(d_Marca,$A56,d_Modelo,$B56,d_Sector,E$6,d_Subest,$E$3,d_Tipo,$E$4)</f>
        <v>0</v>
      </c>
      <c r="F56" s="21" t="n">
        <f aca="false">COUNTIFS(d_Marca,$A56,d_Modelo,$B56,d_Sector,F$6,d_Subest,$E$3,d_Tipo,$E$4)</f>
        <v>0</v>
      </c>
      <c r="G56" s="21" t="n">
        <f aca="false">COUNTIFS(d_Marca,$A56,d_Modelo,$B56,d_Sector,G$6,d_Subest,$E$3,d_Tipo,$E$4)</f>
        <v>0</v>
      </c>
      <c r="H56" s="21" t="n">
        <f aca="false">COUNTIFS(d_Marca,$A56,d_Modelo,$B56,d_Sector,H$6,d_Subest,$E$3,d_Tipo,$E$4)</f>
        <v>0</v>
      </c>
      <c r="I56" s="21" t="n">
        <f aca="false">COUNTIFS(d_Marca,$A56,d_Modelo,$B56,d_Sector,I$6,d_Subest,$E$3,d_Tipo,$E$4)</f>
        <v>0</v>
      </c>
      <c r="J56" s="21" t="n">
        <f aca="false">COUNTIFS(d_Marca,$A56,d_Modelo,$B56,d_Sector,J$6,d_Subest,$E$3,d_Tipo,$E$4)</f>
        <v>1</v>
      </c>
      <c r="K56" s="22" t="n">
        <f aca="false">SUM(C56:J56)</f>
        <v>1</v>
      </c>
      <c r="L56" s="23" t="n">
        <f aca="false">IF($K$71=0,0,K56/$K$71)</f>
        <v>0.000510204081632653</v>
      </c>
    </row>
    <row r="57" customFormat="false" ht="15" hidden="false" customHeight="false" outlineLevel="0" collapsed="false">
      <c r="A57" s="19" t="s">
        <v>73</v>
      </c>
      <c r="B57" s="20" t="s">
        <v>85</v>
      </c>
      <c r="C57" s="21" t="n">
        <f aca="false">COUNTIFS(d_Marca,$A57,d_Modelo,$B57,d_Sector,C$6,d_Subest,$E$3,d_Tipo,$E$4)</f>
        <v>0</v>
      </c>
      <c r="D57" s="21" t="n">
        <f aca="false">COUNTIFS(d_Marca,$A57,d_Modelo,$B57,d_Sector,D$6,d_Subest,$E$3,d_Tipo,$E$4)</f>
        <v>0</v>
      </c>
      <c r="E57" s="21" t="n">
        <f aca="false">COUNTIFS(d_Marca,$A57,d_Modelo,$B57,d_Sector,E$6,d_Subest,$E$3,d_Tipo,$E$4)</f>
        <v>0</v>
      </c>
      <c r="F57" s="21" t="n">
        <f aca="false">COUNTIFS(d_Marca,$A57,d_Modelo,$B57,d_Sector,F$6,d_Subest,$E$3,d_Tipo,$E$4)</f>
        <v>0</v>
      </c>
      <c r="G57" s="21" t="n">
        <f aca="false">COUNTIFS(d_Marca,$A57,d_Modelo,$B57,d_Sector,G$6,d_Subest,$E$3,d_Tipo,$E$4)</f>
        <v>0</v>
      </c>
      <c r="H57" s="21" t="n">
        <f aca="false">COUNTIFS(d_Marca,$A57,d_Modelo,$B57,d_Sector,H$6,d_Subest,$E$3,d_Tipo,$E$4)</f>
        <v>0</v>
      </c>
      <c r="I57" s="21" t="n">
        <f aca="false">COUNTIFS(d_Marca,$A57,d_Modelo,$B57,d_Sector,I$6,d_Subest,$E$3,d_Tipo,$E$4)</f>
        <v>0</v>
      </c>
      <c r="J57" s="21" t="n">
        <f aca="false">COUNTIFS(d_Marca,$A57,d_Modelo,$B57,d_Sector,J$6,d_Subest,$E$3,d_Tipo,$E$4)</f>
        <v>1</v>
      </c>
      <c r="K57" s="22" t="n">
        <f aca="false">SUM(C57:J57)</f>
        <v>1</v>
      </c>
      <c r="L57" s="23" t="n">
        <f aca="false">IF($K$71=0,0,K57/$K$71)</f>
        <v>0.000510204081632653</v>
      </c>
    </row>
    <row r="58" customFormat="false" ht="15" hidden="false" customHeight="false" outlineLevel="0" collapsed="false">
      <c r="A58" s="16" t="s">
        <v>86</v>
      </c>
      <c r="B58" s="16" t="s">
        <v>87</v>
      </c>
      <c r="C58" s="17" t="n">
        <f aca="false">COUNTIFS(d_Marca,$A58,d_Sector,C$6,d_Subest,$E$3,d_Tipo,$E$4)</f>
        <v>0</v>
      </c>
      <c r="D58" s="17" t="n">
        <f aca="false">COUNTIFS(d_Marca,$A58,d_Sector,D$6,d_Subest,$E$3,d_Tipo,$E$4)</f>
        <v>0</v>
      </c>
      <c r="E58" s="17" t="n">
        <f aca="false">COUNTIFS(d_Marca,$A58,d_Sector,E$6,d_Subest,$E$3,d_Tipo,$E$4)</f>
        <v>0</v>
      </c>
      <c r="F58" s="17" t="n">
        <f aca="false">COUNTIFS(d_Marca,$A58,d_Sector,F$6,d_Subest,$E$3,d_Tipo,$E$4)</f>
        <v>0</v>
      </c>
      <c r="G58" s="17" t="n">
        <f aca="false">COUNTIFS(d_Marca,$A58,d_Sector,G$6,d_Subest,$E$3,d_Tipo,$E$4)</f>
        <v>0</v>
      </c>
      <c r="H58" s="17" t="n">
        <f aca="false">COUNTIFS(d_Marca,$A58,d_Sector,H$6,d_Subest,$E$3,d_Tipo,$E$4)</f>
        <v>0</v>
      </c>
      <c r="I58" s="17" t="n">
        <f aca="false">COUNTIFS(d_Marca,$A58,d_Sector,I$6,d_Subest,$E$3,d_Tipo,$E$4)</f>
        <v>2</v>
      </c>
      <c r="J58" s="17" t="n">
        <f aca="false">COUNTIFS(d_Marca,$A58,d_Sector,J$6,d_Subest,$E$3,d_Tipo,$E$4)</f>
        <v>38</v>
      </c>
      <c r="K58" s="17" t="n">
        <f aca="false">SUM(C58:J58)</f>
        <v>40</v>
      </c>
      <c r="L58" s="18" t="n">
        <f aca="false">IF($K$71=0,0,K58/$K$71)</f>
        <v>0.0204081632653061</v>
      </c>
    </row>
    <row r="59" customFormat="false" ht="15" hidden="false" customHeight="false" outlineLevel="0" collapsed="false">
      <c r="A59" s="19" t="s">
        <v>86</v>
      </c>
      <c r="B59" s="20" t="s">
        <v>88</v>
      </c>
      <c r="C59" s="21" t="n">
        <f aca="false">COUNTIFS(d_Marca,$A59,d_Modelo,$B59,d_Sector,C$6,d_Subest,$E$3,d_Tipo,$E$4)</f>
        <v>0</v>
      </c>
      <c r="D59" s="21" t="n">
        <f aca="false">COUNTIFS(d_Marca,$A59,d_Modelo,$B59,d_Sector,D$6,d_Subest,$E$3,d_Tipo,$E$4)</f>
        <v>0</v>
      </c>
      <c r="E59" s="21" t="n">
        <f aca="false">COUNTIFS(d_Marca,$A59,d_Modelo,$B59,d_Sector,E$6,d_Subest,$E$3,d_Tipo,$E$4)</f>
        <v>0</v>
      </c>
      <c r="F59" s="21" t="n">
        <f aca="false">COUNTIFS(d_Marca,$A59,d_Modelo,$B59,d_Sector,F$6,d_Subest,$E$3,d_Tipo,$E$4)</f>
        <v>0</v>
      </c>
      <c r="G59" s="21" t="n">
        <f aca="false">COUNTIFS(d_Marca,$A59,d_Modelo,$B59,d_Sector,G$6,d_Subest,$E$3,d_Tipo,$E$4)</f>
        <v>0</v>
      </c>
      <c r="H59" s="21" t="n">
        <f aca="false">COUNTIFS(d_Marca,$A59,d_Modelo,$B59,d_Sector,H$6,d_Subest,$E$3,d_Tipo,$E$4)</f>
        <v>0</v>
      </c>
      <c r="I59" s="21" t="n">
        <f aca="false">COUNTIFS(d_Marca,$A59,d_Modelo,$B59,d_Sector,I$6,d_Subest,$E$3,d_Tipo,$E$4)</f>
        <v>0</v>
      </c>
      <c r="J59" s="21" t="n">
        <f aca="false">COUNTIFS(d_Marca,$A59,d_Modelo,$B59,d_Sector,J$6,d_Subest,$E$3,d_Tipo,$E$4)</f>
        <v>38</v>
      </c>
      <c r="K59" s="22" t="n">
        <f aca="false">SUM(C59:J59)</f>
        <v>38</v>
      </c>
      <c r="L59" s="23" t="n">
        <f aca="false">IF($K$71=0,0,K59/$K$71)</f>
        <v>0.0193877551020408</v>
      </c>
    </row>
    <row r="60" customFormat="false" ht="15" hidden="false" customHeight="false" outlineLevel="0" collapsed="false">
      <c r="A60" s="19" t="s">
        <v>86</v>
      </c>
      <c r="B60" s="20" t="s">
        <v>89</v>
      </c>
      <c r="C60" s="21" t="n">
        <f aca="false">COUNTIFS(d_Marca,$A60,d_Modelo,$B60,d_Sector,C$6,d_Subest,$E$3,d_Tipo,$E$4)</f>
        <v>0</v>
      </c>
      <c r="D60" s="21" t="n">
        <f aca="false">COUNTIFS(d_Marca,$A60,d_Modelo,$B60,d_Sector,D$6,d_Subest,$E$3,d_Tipo,$E$4)</f>
        <v>0</v>
      </c>
      <c r="E60" s="21" t="n">
        <f aca="false">COUNTIFS(d_Marca,$A60,d_Modelo,$B60,d_Sector,E$6,d_Subest,$E$3,d_Tipo,$E$4)</f>
        <v>0</v>
      </c>
      <c r="F60" s="21" t="n">
        <f aca="false">COUNTIFS(d_Marca,$A60,d_Modelo,$B60,d_Sector,F$6,d_Subest,$E$3,d_Tipo,$E$4)</f>
        <v>0</v>
      </c>
      <c r="G60" s="21" t="n">
        <f aca="false">COUNTIFS(d_Marca,$A60,d_Modelo,$B60,d_Sector,G$6,d_Subest,$E$3,d_Tipo,$E$4)</f>
        <v>0</v>
      </c>
      <c r="H60" s="21" t="n">
        <f aca="false">COUNTIFS(d_Marca,$A60,d_Modelo,$B60,d_Sector,H$6,d_Subest,$E$3,d_Tipo,$E$4)</f>
        <v>0</v>
      </c>
      <c r="I60" s="21" t="n">
        <f aca="false">COUNTIFS(d_Marca,$A60,d_Modelo,$B60,d_Sector,I$6,d_Subest,$E$3,d_Tipo,$E$4)</f>
        <v>2</v>
      </c>
      <c r="J60" s="21" t="n">
        <f aca="false">COUNTIFS(d_Marca,$A60,d_Modelo,$B60,d_Sector,J$6,d_Subest,$E$3,d_Tipo,$E$4)</f>
        <v>0</v>
      </c>
      <c r="K60" s="22" t="n">
        <f aca="false">SUM(C60:J60)</f>
        <v>2</v>
      </c>
      <c r="L60" s="23" t="n">
        <f aca="false">IF($K$71=0,0,K60/$K$71)</f>
        <v>0.00102040816326531</v>
      </c>
    </row>
    <row r="61" customFormat="false" ht="15" hidden="false" customHeight="false" outlineLevel="0" collapsed="false">
      <c r="A61" s="16" t="s">
        <v>90</v>
      </c>
      <c r="B61" s="16" t="s">
        <v>91</v>
      </c>
      <c r="C61" s="17" t="n">
        <f aca="false">COUNTIFS(d_Marca,$A61,d_Sector,C$6,d_Subest,$E$3,d_Tipo,$E$4)</f>
        <v>8</v>
      </c>
      <c r="D61" s="17" t="n">
        <f aca="false">COUNTIFS(d_Marca,$A61,d_Sector,D$6,d_Subest,$E$3,d_Tipo,$E$4)</f>
        <v>0</v>
      </c>
      <c r="E61" s="17" t="n">
        <f aca="false">COUNTIFS(d_Marca,$A61,d_Sector,E$6,d_Subest,$E$3,d_Tipo,$E$4)</f>
        <v>0</v>
      </c>
      <c r="F61" s="17" t="n">
        <f aca="false">COUNTIFS(d_Marca,$A61,d_Sector,F$6,d_Subest,$E$3,d_Tipo,$E$4)</f>
        <v>0</v>
      </c>
      <c r="G61" s="17" t="n">
        <f aca="false">COUNTIFS(d_Marca,$A61,d_Sector,G$6,d_Subest,$E$3,d_Tipo,$E$4)</f>
        <v>0</v>
      </c>
      <c r="H61" s="17" t="n">
        <f aca="false">COUNTIFS(d_Marca,$A61,d_Sector,H$6,d_Subest,$E$3,d_Tipo,$E$4)</f>
        <v>0</v>
      </c>
      <c r="I61" s="17" t="n">
        <f aca="false">COUNTIFS(d_Marca,$A61,d_Sector,I$6,d_Subest,$E$3,d_Tipo,$E$4)</f>
        <v>0</v>
      </c>
      <c r="J61" s="17" t="n">
        <f aca="false">COUNTIFS(d_Marca,$A61,d_Sector,J$6,d_Subest,$E$3,d_Tipo,$E$4)</f>
        <v>0</v>
      </c>
      <c r="K61" s="17" t="n">
        <f aca="false">SUM(C61:J61)</f>
        <v>8</v>
      </c>
      <c r="L61" s="18" t="n">
        <f aca="false">IF($K$71=0,0,K61/$K$71)</f>
        <v>0.00408163265306123</v>
      </c>
    </row>
    <row r="62" customFormat="false" ht="15" hidden="false" customHeight="false" outlineLevel="0" collapsed="false">
      <c r="A62" s="19" t="s">
        <v>90</v>
      </c>
      <c r="B62" s="20" t="s">
        <v>92</v>
      </c>
      <c r="C62" s="21" t="n">
        <f aca="false">COUNTIFS(d_Marca,$A62,d_Modelo,$B62,d_Sector,C$6,d_Subest,$E$3,d_Tipo,$E$4)</f>
        <v>8</v>
      </c>
      <c r="D62" s="21" t="n">
        <f aca="false">COUNTIFS(d_Marca,$A62,d_Modelo,$B62,d_Sector,D$6,d_Subest,$E$3,d_Tipo,$E$4)</f>
        <v>0</v>
      </c>
      <c r="E62" s="21" t="n">
        <f aca="false">COUNTIFS(d_Marca,$A62,d_Modelo,$B62,d_Sector,E$6,d_Subest,$E$3,d_Tipo,$E$4)</f>
        <v>0</v>
      </c>
      <c r="F62" s="21" t="n">
        <f aca="false">COUNTIFS(d_Marca,$A62,d_Modelo,$B62,d_Sector,F$6,d_Subest,$E$3,d_Tipo,$E$4)</f>
        <v>0</v>
      </c>
      <c r="G62" s="21" t="n">
        <f aca="false">COUNTIFS(d_Marca,$A62,d_Modelo,$B62,d_Sector,G$6,d_Subest,$E$3,d_Tipo,$E$4)</f>
        <v>0</v>
      </c>
      <c r="H62" s="21" t="n">
        <f aca="false">COUNTIFS(d_Marca,$A62,d_Modelo,$B62,d_Sector,H$6,d_Subest,$E$3,d_Tipo,$E$4)</f>
        <v>0</v>
      </c>
      <c r="I62" s="21" t="n">
        <f aca="false">COUNTIFS(d_Marca,$A62,d_Modelo,$B62,d_Sector,I$6,d_Subest,$E$3,d_Tipo,$E$4)</f>
        <v>0</v>
      </c>
      <c r="J62" s="21" t="n">
        <f aca="false">COUNTIFS(d_Marca,$A62,d_Modelo,$B62,d_Sector,J$6,d_Subest,$E$3,d_Tipo,$E$4)</f>
        <v>0</v>
      </c>
      <c r="K62" s="22" t="n">
        <f aca="false">SUM(C62:J62)</f>
        <v>8</v>
      </c>
      <c r="L62" s="23" t="n">
        <f aca="false">IF($K$71=0,0,K62/$K$71)</f>
        <v>0.00408163265306123</v>
      </c>
    </row>
    <row r="63" customFormat="false" ht="15" hidden="false" customHeight="false" outlineLevel="0" collapsed="false">
      <c r="A63" s="16" t="s">
        <v>93</v>
      </c>
      <c r="B63" s="16" t="s">
        <v>94</v>
      </c>
      <c r="C63" s="17" t="n">
        <f aca="false">COUNTIFS(d_Marca,$A63,d_Sector,C$6,d_Subest,$E$3,d_Tipo,$E$4)</f>
        <v>0</v>
      </c>
      <c r="D63" s="17" t="n">
        <f aca="false">COUNTIFS(d_Marca,$A63,d_Sector,D$6,d_Subest,$E$3,d_Tipo,$E$4)</f>
        <v>0</v>
      </c>
      <c r="E63" s="17" t="n">
        <f aca="false">COUNTIFS(d_Marca,$A63,d_Sector,E$6,d_Subest,$E$3,d_Tipo,$E$4)</f>
        <v>0</v>
      </c>
      <c r="F63" s="17" t="n">
        <f aca="false">COUNTIFS(d_Marca,$A63,d_Sector,F$6,d_Subest,$E$3,d_Tipo,$E$4)</f>
        <v>0</v>
      </c>
      <c r="G63" s="17" t="n">
        <f aca="false">COUNTIFS(d_Marca,$A63,d_Sector,G$6,d_Subest,$E$3,d_Tipo,$E$4)</f>
        <v>0</v>
      </c>
      <c r="H63" s="17" t="n">
        <f aca="false">COUNTIFS(d_Marca,$A63,d_Sector,H$6,d_Subest,$E$3,d_Tipo,$E$4)</f>
        <v>0</v>
      </c>
      <c r="I63" s="17" t="n">
        <f aca="false">COUNTIFS(d_Marca,$A63,d_Sector,I$6,d_Subest,$E$3,d_Tipo,$E$4)</f>
        <v>6</v>
      </c>
      <c r="J63" s="17" t="n">
        <f aca="false">COUNTIFS(d_Marca,$A63,d_Sector,J$6,d_Subest,$E$3,d_Tipo,$E$4)</f>
        <v>0</v>
      </c>
      <c r="K63" s="17" t="n">
        <f aca="false">SUM(C63:J63)</f>
        <v>6</v>
      </c>
      <c r="L63" s="18" t="n">
        <f aca="false">IF($K$71=0,0,K63/$K$71)</f>
        <v>0.00306122448979592</v>
      </c>
    </row>
    <row r="64" customFormat="false" ht="15" hidden="false" customHeight="false" outlineLevel="0" collapsed="false">
      <c r="A64" s="19" t="s">
        <v>93</v>
      </c>
      <c r="B64" s="20" t="s">
        <v>95</v>
      </c>
      <c r="C64" s="21" t="n">
        <f aca="false">COUNTIFS(d_Marca,$A64,d_Modelo,$B64,d_Sector,C$6,d_Subest,$E$3,d_Tipo,$E$4)</f>
        <v>0</v>
      </c>
      <c r="D64" s="21" t="n">
        <f aca="false">COUNTIFS(d_Marca,$A64,d_Modelo,$B64,d_Sector,D$6,d_Subest,$E$3,d_Tipo,$E$4)</f>
        <v>0</v>
      </c>
      <c r="E64" s="21" t="n">
        <f aca="false">COUNTIFS(d_Marca,$A64,d_Modelo,$B64,d_Sector,E$6,d_Subest,$E$3,d_Tipo,$E$4)</f>
        <v>0</v>
      </c>
      <c r="F64" s="21" t="n">
        <f aca="false">COUNTIFS(d_Marca,$A64,d_Modelo,$B64,d_Sector,F$6,d_Subest,$E$3,d_Tipo,$E$4)</f>
        <v>0</v>
      </c>
      <c r="G64" s="21" t="n">
        <f aca="false">COUNTIFS(d_Marca,$A64,d_Modelo,$B64,d_Sector,G$6,d_Subest,$E$3,d_Tipo,$E$4)</f>
        <v>0</v>
      </c>
      <c r="H64" s="21" t="n">
        <f aca="false">COUNTIFS(d_Marca,$A64,d_Modelo,$B64,d_Sector,H$6,d_Subest,$E$3,d_Tipo,$E$4)</f>
        <v>0</v>
      </c>
      <c r="I64" s="21" t="n">
        <f aca="false">COUNTIFS(d_Marca,$A64,d_Modelo,$B64,d_Sector,I$6,d_Subest,$E$3,d_Tipo,$E$4)</f>
        <v>6</v>
      </c>
      <c r="J64" s="21" t="n">
        <f aca="false">COUNTIFS(d_Marca,$A64,d_Modelo,$B64,d_Sector,J$6,d_Subest,$E$3,d_Tipo,$E$4)</f>
        <v>0</v>
      </c>
      <c r="K64" s="22" t="n">
        <f aca="false">SUM(C64:J64)</f>
        <v>6</v>
      </c>
      <c r="L64" s="23" t="n">
        <f aca="false">IF($K$71=0,0,K64/$K$71)</f>
        <v>0.00306122448979592</v>
      </c>
    </row>
    <row r="65" customFormat="false" ht="15" hidden="false" customHeight="false" outlineLevel="0" collapsed="false">
      <c r="A65" s="16" t="s">
        <v>96</v>
      </c>
      <c r="B65" s="16" t="s">
        <v>97</v>
      </c>
      <c r="C65" s="17" t="n">
        <f aca="false">COUNTIFS(d_Marca,$A65,d_Sector,C$6,d_Subest,$E$3,d_Tipo,$E$4)</f>
        <v>0</v>
      </c>
      <c r="D65" s="17" t="n">
        <f aca="false">COUNTIFS(d_Marca,$A65,d_Sector,D$6,d_Subest,$E$3,d_Tipo,$E$4)</f>
        <v>0</v>
      </c>
      <c r="E65" s="17" t="n">
        <f aca="false">COUNTIFS(d_Marca,$A65,d_Sector,E$6,d_Subest,$E$3,d_Tipo,$E$4)</f>
        <v>0</v>
      </c>
      <c r="F65" s="17" t="n">
        <f aca="false">COUNTIFS(d_Marca,$A65,d_Sector,F$6,d_Subest,$E$3,d_Tipo,$E$4)</f>
        <v>0</v>
      </c>
      <c r="G65" s="17" t="n">
        <f aca="false">COUNTIFS(d_Marca,$A65,d_Sector,G$6,d_Subest,$E$3,d_Tipo,$E$4)</f>
        <v>0</v>
      </c>
      <c r="H65" s="17" t="n">
        <f aca="false">COUNTIFS(d_Marca,$A65,d_Sector,H$6,d_Subest,$E$3,d_Tipo,$E$4)</f>
        <v>0</v>
      </c>
      <c r="I65" s="17" t="n">
        <f aca="false">COUNTIFS(d_Marca,$A65,d_Sector,I$6,d_Subest,$E$3,d_Tipo,$E$4)</f>
        <v>2</v>
      </c>
      <c r="J65" s="17" t="n">
        <f aca="false">COUNTIFS(d_Marca,$A65,d_Sector,J$6,d_Subest,$E$3,d_Tipo,$E$4)</f>
        <v>0</v>
      </c>
      <c r="K65" s="17" t="n">
        <f aca="false">SUM(C65:J65)</f>
        <v>2</v>
      </c>
      <c r="L65" s="18" t="n">
        <f aca="false">IF($K$71=0,0,K65/$K$71)</f>
        <v>0.00102040816326531</v>
      </c>
    </row>
    <row r="66" customFormat="false" ht="15" hidden="false" customHeight="false" outlineLevel="0" collapsed="false">
      <c r="A66" s="19" t="s">
        <v>96</v>
      </c>
      <c r="B66" s="20" t="s">
        <v>98</v>
      </c>
      <c r="C66" s="21" t="n">
        <f aca="false">COUNTIFS(d_Marca,$A66,d_Modelo,$B66,d_Sector,C$6,d_Subest,$E$3,d_Tipo,$E$4)</f>
        <v>0</v>
      </c>
      <c r="D66" s="21" t="n">
        <f aca="false">COUNTIFS(d_Marca,$A66,d_Modelo,$B66,d_Sector,D$6,d_Subest,$E$3,d_Tipo,$E$4)</f>
        <v>0</v>
      </c>
      <c r="E66" s="21" t="n">
        <f aca="false">COUNTIFS(d_Marca,$A66,d_Modelo,$B66,d_Sector,E$6,d_Subest,$E$3,d_Tipo,$E$4)</f>
        <v>0</v>
      </c>
      <c r="F66" s="21" t="n">
        <f aca="false">COUNTIFS(d_Marca,$A66,d_Modelo,$B66,d_Sector,F$6,d_Subest,$E$3,d_Tipo,$E$4)</f>
        <v>0</v>
      </c>
      <c r="G66" s="21" t="n">
        <f aca="false">COUNTIFS(d_Marca,$A66,d_Modelo,$B66,d_Sector,G$6,d_Subest,$E$3,d_Tipo,$E$4)</f>
        <v>0</v>
      </c>
      <c r="H66" s="21" t="n">
        <f aca="false">COUNTIFS(d_Marca,$A66,d_Modelo,$B66,d_Sector,H$6,d_Subest,$E$3,d_Tipo,$E$4)</f>
        <v>0</v>
      </c>
      <c r="I66" s="21" t="n">
        <f aca="false">COUNTIFS(d_Marca,$A66,d_Modelo,$B66,d_Sector,I$6,d_Subest,$E$3,d_Tipo,$E$4)</f>
        <v>2</v>
      </c>
      <c r="J66" s="21" t="n">
        <f aca="false">COUNTIFS(d_Marca,$A66,d_Modelo,$B66,d_Sector,J$6,d_Subest,$E$3,d_Tipo,$E$4)</f>
        <v>0</v>
      </c>
      <c r="K66" s="22" t="n">
        <f aca="false">SUM(C66:J66)</f>
        <v>2</v>
      </c>
      <c r="L66" s="23" t="n">
        <f aca="false">IF($K$71=0,0,K66/$K$71)</f>
        <v>0.00102040816326531</v>
      </c>
    </row>
    <row r="67" customFormat="false" ht="15" hidden="false" customHeight="false" outlineLevel="0" collapsed="false">
      <c r="A67" s="16" t="s">
        <v>99</v>
      </c>
      <c r="B67" s="16" t="s">
        <v>100</v>
      </c>
      <c r="C67" s="17" t="n">
        <f aca="false">COUNTIFS(d_Marca,$A67,d_Sector,C$6,d_Subest,$E$3,d_Tipo,$E$4)</f>
        <v>0</v>
      </c>
      <c r="D67" s="17" t="n">
        <f aca="false">COUNTIFS(d_Marca,$A67,d_Sector,D$6,d_Subest,$E$3,d_Tipo,$E$4)</f>
        <v>0</v>
      </c>
      <c r="E67" s="17" t="n">
        <f aca="false">COUNTIFS(d_Marca,$A67,d_Sector,E$6,d_Subest,$E$3,d_Tipo,$E$4)</f>
        <v>0</v>
      </c>
      <c r="F67" s="17" t="n">
        <f aca="false">COUNTIFS(d_Marca,$A67,d_Sector,F$6,d_Subest,$E$3,d_Tipo,$E$4)</f>
        <v>0</v>
      </c>
      <c r="G67" s="17" t="n">
        <f aca="false">COUNTIFS(d_Marca,$A67,d_Sector,G$6,d_Subest,$E$3,d_Tipo,$E$4)</f>
        <v>6</v>
      </c>
      <c r="H67" s="17" t="n">
        <f aca="false">COUNTIFS(d_Marca,$A67,d_Sector,H$6,d_Subest,$E$3,d_Tipo,$E$4)</f>
        <v>0</v>
      </c>
      <c r="I67" s="17" t="n">
        <f aca="false">COUNTIFS(d_Marca,$A67,d_Sector,I$6,d_Subest,$E$3,d_Tipo,$E$4)</f>
        <v>0</v>
      </c>
      <c r="J67" s="17" t="n">
        <f aca="false">COUNTIFS(d_Marca,$A67,d_Sector,J$6,d_Subest,$E$3,d_Tipo,$E$4)</f>
        <v>0</v>
      </c>
      <c r="K67" s="17" t="n">
        <f aca="false">SUM(C67:J67)</f>
        <v>6</v>
      </c>
      <c r="L67" s="18" t="n">
        <f aca="false">IF($K$71=0,0,K67/$K$71)</f>
        <v>0.00306122448979592</v>
      </c>
    </row>
    <row r="68" customFormat="false" ht="15" hidden="false" customHeight="false" outlineLevel="0" collapsed="false">
      <c r="A68" s="19" t="s">
        <v>99</v>
      </c>
      <c r="B68" s="20" t="s">
        <v>98</v>
      </c>
      <c r="C68" s="21" t="n">
        <f aca="false">COUNTIFS(d_Marca,$A68,d_Modelo,$B68,d_Sector,C$6,d_Subest,$E$3,d_Tipo,$E$4)</f>
        <v>0</v>
      </c>
      <c r="D68" s="21" t="n">
        <f aca="false">COUNTIFS(d_Marca,$A68,d_Modelo,$B68,d_Sector,D$6,d_Subest,$E$3,d_Tipo,$E$4)</f>
        <v>0</v>
      </c>
      <c r="E68" s="21" t="n">
        <f aca="false">COUNTIFS(d_Marca,$A68,d_Modelo,$B68,d_Sector,E$6,d_Subest,$E$3,d_Tipo,$E$4)</f>
        <v>0</v>
      </c>
      <c r="F68" s="21" t="n">
        <f aca="false">COUNTIFS(d_Marca,$A68,d_Modelo,$B68,d_Sector,F$6,d_Subest,$E$3,d_Tipo,$E$4)</f>
        <v>0</v>
      </c>
      <c r="G68" s="21" t="n">
        <f aca="false">COUNTIFS(d_Marca,$A68,d_Modelo,$B68,d_Sector,G$6,d_Subest,$E$3,d_Tipo,$E$4)</f>
        <v>6</v>
      </c>
      <c r="H68" s="21" t="n">
        <f aca="false">COUNTIFS(d_Marca,$A68,d_Modelo,$B68,d_Sector,H$6,d_Subest,$E$3,d_Tipo,$E$4)</f>
        <v>0</v>
      </c>
      <c r="I68" s="21" t="n">
        <f aca="false">COUNTIFS(d_Marca,$A68,d_Modelo,$B68,d_Sector,I$6,d_Subest,$E$3,d_Tipo,$E$4)</f>
        <v>0</v>
      </c>
      <c r="J68" s="21" t="n">
        <f aca="false">COUNTIFS(d_Marca,$A68,d_Modelo,$B68,d_Sector,J$6,d_Subest,$E$3,d_Tipo,$E$4)</f>
        <v>0</v>
      </c>
      <c r="K68" s="22" t="n">
        <f aca="false">SUM(C68:J68)</f>
        <v>6</v>
      </c>
      <c r="L68" s="23" t="n">
        <f aca="false">IF($K$71=0,0,K68/$K$71)</f>
        <v>0.00306122448979592</v>
      </c>
    </row>
    <row r="69" customFormat="false" ht="15" hidden="false" customHeight="false" outlineLevel="0" collapsed="false">
      <c r="A69" s="16" t="s">
        <v>101</v>
      </c>
      <c r="B69" s="16" t="s">
        <v>102</v>
      </c>
      <c r="C69" s="17" t="n">
        <f aca="false">COUNTIFS(d_Marca,$A69,d_Sector,C$6,d_Subest,$E$3,d_Tipo,$E$4)</f>
        <v>0</v>
      </c>
      <c r="D69" s="17" t="n">
        <f aca="false">COUNTIFS(d_Marca,$A69,d_Sector,D$6,d_Subest,$E$3,d_Tipo,$E$4)</f>
        <v>0</v>
      </c>
      <c r="E69" s="17" t="n">
        <f aca="false">COUNTIFS(d_Marca,$A69,d_Sector,E$6,d_Subest,$E$3,d_Tipo,$E$4)</f>
        <v>0</v>
      </c>
      <c r="F69" s="17" t="n">
        <f aca="false">COUNTIFS(d_Marca,$A69,d_Sector,F$6,d_Subest,$E$3,d_Tipo,$E$4)</f>
        <v>0</v>
      </c>
      <c r="G69" s="17" t="n">
        <f aca="false">COUNTIFS(d_Marca,$A69,d_Sector,G$6,d_Subest,$E$3,d_Tipo,$E$4)</f>
        <v>0</v>
      </c>
      <c r="H69" s="17" t="n">
        <f aca="false">COUNTIFS(d_Marca,$A69,d_Sector,H$6,d_Subest,$E$3,d_Tipo,$E$4)</f>
        <v>27</v>
      </c>
      <c r="I69" s="17" t="n">
        <f aca="false">COUNTIFS(d_Marca,$A69,d_Sector,I$6,d_Subest,$E$3,d_Tipo,$E$4)</f>
        <v>0</v>
      </c>
      <c r="J69" s="17" t="n">
        <f aca="false">COUNTIFS(d_Marca,$A69,d_Sector,J$6,d_Subest,$E$3,d_Tipo,$E$4)</f>
        <v>24</v>
      </c>
      <c r="K69" s="17" t="n">
        <f aca="false">SUM(C69:J69)</f>
        <v>51</v>
      </c>
      <c r="L69" s="18" t="n">
        <f aca="false">IF($K$71=0,0,K69/$K$71)</f>
        <v>0.0260204081632653</v>
      </c>
    </row>
    <row r="70" customFormat="false" ht="15" hidden="false" customHeight="false" outlineLevel="0" collapsed="false">
      <c r="A70" s="19" t="s">
        <v>101</v>
      </c>
      <c r="B70" s="20" t="s">
        <v>101</v>
      </c>
      <c r="C70" s="21" t="n">
        <f aca="false">COUNTIFS(d_Marca,$A70,d_Modelo,$B70,d_Sector,C$6,d_Subest,$E$3,d_Tipo,$E$4)</f>
        <v>0</v>
      </c>
      <c r="D70" s="21" t="n">
        <f aca="false">COUNTIFS(d_Marca,$A70,d_Modelo,$B70,d_Sector,D$6,d_Subest,$E$3,d_Tipo,$E$4)</f>
        <v>0</v>
      </c>
      <c r="E70" s="21" t="n">
        <f aca="false">COUNTIFS(d_Marca,$A70,d_Modelo,$B70,d_Sector,E$6,d_Subest,$E$3,d_Tipo,$E$4)</f>
        <v>0</v>
      </c>
      <c r="F70" s="21" t="n">
        <f aca="false">COUNTIFS(d_Marca,$A70,d_Modelo,$B70,d_Sector,F$6,d_Subest,$E$3,d_Tipo,$E$4)</f>
        <v>0</v>
      </c>
      <c r="G70" s="21" t="n">
        <f aca="false">COUNTIFS(d_Marca,$A70,d_Modelo,$B70,d_Sector,G$6,d_Subest,$E$3,d_Tipo,$E$4)</f>
        <v>0</v>
      </c>
      <c r="H70" s="21" t="n">
        <f aca="false">COUNTIFS(d_Marca,$A70,d_Modelo,$B70,d_Sector,H$6,d_Subest,$E$3,d_Tipo,$E$4)</f>
        <v>27</v>
      </c>
      <c r="I70" s="21" t="n">
        <f aca="false">COUNTIFS(d_Marca,$A70,d_Modelo,$B70,d_Sector,I$6,d_Subest,$E$3,d_Tipo,$E$4)</f>
        <v>0</v>
      </c>
      <c r="J70" s="21" t="n">
        <f aca="false">COUNTIFS(d_Marca,$A70,d_Modelo,$B70,d_Sector,J$6,d_Subest,$E$3,d_Tipo,$E$4)</f>
        <v>24</v>
      </c>
      <c r="K70" s="22" t="n">
        <f aca="false">SUM(C70:J70)</f>
        <v>51</v>
      </c>
      <c r="L70" s="23" t="n">
        <f aca="false">IF($K$71=0,0,K70/$K$71)</f>
        <v>0.0260204081632653</v>
      </c>
    </row>
    <row r="71" customFormat="false" ht="15" hidden="false" customHeight="false" outlineLevel="0" collapsed="false">
      <c r="A71" s="24" t="s">
        <v>103</v>
      </c>
      <c r="B71" s="24"/>
      <c r="C71" s="25" t="n">
        <f aca="false">C7+C27+C34+C45+C58+C61+C63+C65+C67+C69</f>
        <v>232</v>
      </c>
      <c r="D71" s="25" t="n">
        <f aca="false">D7+D27+D34+D45+D58+D61+D63+D65+D67+D69</f>
        <v>143</v>
      </c>
      <c r="E71" s="25" t="n">
        <f aca="false">E7+E27+E34+E45+E58+E61+E63+E65+E67+E69</f>
        <v>124</v>
      </c>
      <c r="F71" s="25" t="n">
        <f aca="false">F7+F27+F34+F45+F58+F61+F63+F65+F67+F69</f>
        <v>211</v>
      </c>
      <c r="G71" s="25" t="n">
        <f aca="false">G7+G27+G34+G45+G58+G61+G63+G65+G67+G69</f>
        <v>203</v>
      </c>
      <c r="H71" s="25" t="n">
        <f aca="false">H7+H27+H34+H45+H58+H61+H63+H65+H67+H69</f>
        <v>236</v>
      </c>
      <c r="I71" s="25" t="n">
        <f aca="false">I7+I27+I34+I45+I58+I61+I63+I65+I67+I69</f>
        <v>185</v>
      </c>
      <c r="J71" s="25" t="n">
        <f aca="false">J7+J27+J34+J45+J58+J61+J63+J65+J67+J69</f>
        <v>626</v>
      </c>
      <c r="K71" s="25" t="n">
        <f aca="false">K7+K27+K34+K45+K58+K61+K63+K65+K67+K69</f>
        <v>1960</v>
      </c>
      <c r="L71" s="26" t="n">
        <f aca="false">IF($K$71=0,0,K71/$K$71)</f>
        <v>1</v>
      </c>
    </row>
  </sheetData>
  <dataValidations count="2">
    <dataValidation allowBlank="false" errorStyle="stop" operator="between" showDropDown="false" showErrorMessage="false" showInputMessage="false" sqref="B3" type="list">
      <formula1>Catalogos!$R$5:$R$46</formula1>
      <formula2>0</formula2>
    </dataValidation>
    <dataValidation allowBlank="false" errorStyle="stop" operator="between" showDropDown="false" showErrorMessage="false" showInputMessage="false" sqref="B4" type="list">
      <formula1>Catalogos!$V$5:$V$7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4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13" min="4" style="0" width="13"/>
    <col collapsed="false" customWidth="true" hidden="false" outlineLevel="0" max="15" min="14" style="0" width="10"/>
  </cols>
  <sheetData>
    <row r="1" customFormat="false" ht="19.7" hidden="false" customHeight="false" outlineLevel="0" collapsed="false">
      <c r="A1" s="11" t="s">
        <v>104</v>
      </c>
    </row>
    <row r="2" customFormat="false" ht="15" hidden="false" customHeight="false" outlineLevel="0" collapsed="false">
      <c r="A2" s="12" t="s">
        <v>105</v>
      </c>
    </row>
    <row r="3" customFormat="false" ht="15" hidden="false" customHeight="false" outlineLevel="0" collapsed="false">
      <c r="A3" s="13" t="s">
        <v>2</v>
      </c>
      <c r="B3" s="14" t="s">
        <v>3</v>
      </c>
      <c r="D3" s="12" t="s">
        <v>20</v>
      </c>
      <c r="E3" s="12" t="str">
        <f aca="false">IF($B$3="(Todos)","*",$B$3)</f>
        <v>*</v>
      </c>
    </row>
    <row r="5" customFormat="false" ht="31.5" hidden="false" customHeight="true" outlineLevel="0" collapsed="false">
      <c r="A5" s="15" t="s">
        <v>106</v>
      </c>
      <c r="B5" s="15" t="s">
        <v>18</v>
      </c>
      <c r="C5" s="15" t="s">
        <v>107</v>
      </c>
      <c r="D5" s="15" t="s">
        <v>34</v>
      </c>
      <c r="E5" s="15" t="s">
        <v>55</v>
      </c>
      <c r="F5" s="15" t="s">
        <v>61</v>
      </c>
      <c r="G5" s="15" t="s">
        <v>73</v>
      </c>
      <c r="H5" s="15" t="s">
        <v>86</v>
      </c>
      <c r="I5" s="15" t="s">
        <v>90</v>
      </c>
      <c r="J5" s="15" t="s">
        <v>93</v>
      </c>
      <c r="K5" s="15" t="s">
        <v>96</v>
      </c>
      <c r="L5" s="15" t="s">
        <v>99</v>
      </c>
      <c r="M5" s="15" t="s">
        <v>101</v>
      </c>
      <c r="N5" s="15" t="s">
        <v>32</v>
      </c>
      <c r="O5" s="15" t="s">
        <v>33</v>
      </c>
    </row>
    <row r="6" customFormat="false" ht="15" hidden="false" customHeight="false" outlineLevel="0" collapsed="false">
      <c r="A6" s="27" t="s">
        <v>24</v>
      </c>
      <c r="B6" s="28" t="s">
        <v>108</v>
      </c>
      <c r="C6" s="29" t="s">
        <v>109</v>
      </c>
      <c r="D6" s="21" t="n">
        <f aca="false">COUNTIFS(d_Subest,$B6,d_Marca,D$5,d_Sector,$E$3)</f>
        <v>61</v>
      </c>
      <c r="E6" s="21" t="n">
        <f aca="false">COUNTIFS(d_Subest,$B6,d_Marca,E$5,d_Sector,$E$3)</f>
        <v>7</v>
      </c>
      <c r="F6" s="21" t="n">
        <f aca="false">COUNTIFS(d_Subest,$B6,d_Marca,F$5,d_Sector,$E$3)</f>
        <v>0</v>
      </c>
      <c r="G6" s="21" t="n">
        <f aca="false">COUNTIFS(d_Subest,$B6,d_Marca,G$5,d_Sector,$E$3)</f>
        <v>0</v>
      </c>
      <c r="H6" s="21" t="n">
        <f aca="false">COUNTIFS(d_Subest,$B6,d_Marca,H$5,d_Sector,$E$3)</f>
        <v>0</v>
      </c>
      <c r="I6" s="21" t="n">
        <f aca="false">COUNTIFS(d_Subest,$B6,d_Marca,I$5,d_Sector,$E$3)</f>
        <v>0</v>
      </c>
      <c r="J6" s="21" t="n">
        <f aca="false">COUNTIFS(d_Subest,$B6,d_Marca,J$5,d_Sector,$E$3)</f>
        <v>0</v>
      </c>
      <c r="K6" s="21" t="n">
        <f aca="false">COUNTIFS(d_Subest,$B6,d_Marca,K$5,d_Sector,$E$3)</f>
        <v>0</v>
      </c>
      <c r="L6" s="21" t="n">
        <f aca="false">COUNTIFS(d_Subest,$B6,d_Marca,L$5,d_Sector,$E$3)</f>
        <v>0</v>
      </c>
      <c r="M6" s="21" t="n">
        <f aca="false">COUNTIFS(d_Subest,$B6,d_Marca,M$5,d_Sector,$E$3)</f>
        <v>0</v>
      </c>
      <c r="N6" s="22" t="n">
        <f aca="false">SUM(D6:M6)</f>
        <v>68</v>
      </c>
      <c r="O6" s="23" t="n">
        <f aca="false">IF($N$47=0,0,N6/$N$47)</f>
        <v>0.0346938775510204</v>
      </c>
    </row>
    <row r="7" customFormat="false" ht="15" hidden="false" customHeight="false" outlineLevel="0" collapsed="false">
      <c r="A7" s="27" t="s">
        <v>24</v>
      </c>
      <c r="B7" s="28" t="s">
        <v>110</v>
      </c>
      <c r="C7" s="29" t="s">
        <v>111</v>
      </c>
      <c r="D7" s="21" t="n">
        <f aca="false">COUNTIFS(d_Subest,$B7,d_Marca,D$5,d_Sector,$E$3)</f>
        <v>50</v>
      </c>
      <c r="E7" s="21" t="n">
        <f aca="false">COUNTIFS(d_Subest,$B7,d_Marca,E$5,d_Sector,$E$3)</f>
        <v>3</v>
      </c>
      <c r="F7" s="21" t="n">
        <f aca="false">COUNTIFS(d_Subest,$B7,d_Marca,F$5,d_Sector,$E$3)</f>
        <v>0</v>
      </c>
      <c r="G7" s="21" t="n">
        <f aca="false">COUNTIFS(d_Subest,$B7,d_Marca,G$5,d_Sector,$E$3)</f>
        <v>0</v>
      </c>
      <c r="H7" s="21" t="n">
        <f aca="false">COUNTIFS(d_Subest,$B7,d_Marca,H$5,d_Sector,$E$3)</f>
        <v>0</v>
      </c>
      <c r="I7" s="21" t="n">
        <f aca="false">COUNTIFS(d_Subest,$B7,d_Marca,I$5,d_Sector,$E$3)</f>
        <v>0</v>
      </c>
      <c r="J7" s="21" t="n">
        <f aca="false">COUNTIFS(d_Subest,$B7,d_Marca,J$5,d_Sector,$E$3)</f>
        <v>0</v>
      </c>
      <c r="K7" s="21" t="n">
        <f aca="false">COUNTIFS(d_Subest,$B7,d_Marca,K$5,d_Sector,$E$3)</f>
        <v>0</v>
      </c>
      <c r="L7" s="21" t="n">
        <f aca="false">COUNTIFS(d_Subest,$B7,d_Marca,L$5,d_Sector,$E$3)</f>
        <v>0</v>
      </c>
      <c r="M7" s="21" t="n">
        <f aca="false">COUNTIFS(d_Subest,$B7,d_Marca,M$5,d_Sector,$E$3)</f>
        <v>0</v>
      </c>
      <c r="N7" s="22" t="n">
        <f aca="false">SUM(D7:M7)</f>
        <v>53</v>
      </c>
      <c r="O7" s="23" t="n">
        <f aca="false">IF($N$47=0,0,N7/$N$47)</f>
        <v>0.0270408163265306</v>
      </c>
    </row>
    <row r="8" customFormat="false" ht="15" hidden="false" customHeight="false" outlineLevel="0" collapsed="false">
      <c r="A8" s="27" t="s">
        <v>25</v>
      </c>
      <c r="B8" s="28" t="s">
        <v>112</v>
      </c>
      <c r="C8" s="29" t="s">
        <v>113</v>
      </c>
      <c r="D8" s="21" t="n">
        <f aca="false">COUNTIFS(d_Subest,$B8,d_Marca,D$5,d_Sector,$E$3)</f>
        <v>42</v>
      </c>
      <c r="E8" s="21" t="n">
        <f aca="false">COUNTIFS(d_Subest,$B8,d_Marca,E$5,d_Sector,$E$3)</f>
        <v>4</v>
      </c>
      <c r="F8" s="21" t="n">
        <f aca="false">COUNTIFS(d_Subest,$B8,d_Marca,F$5,d_Sector,$E$3)</f>
        <v>0</v>
      </c>
      <c r="G8" s="21" t="n">
        <f aca="false">COUNTIFS(d_Subest,$B8,d_Marca,G$5,d_Sector,$E$3)</f>
        <v>0</v>
      </c>
      <c r="H8" s="21" t="n">
        <f aca="false">COUNTIFS(d_Subest,$B8,d_Marca,H$5,d_Sector,$E$3)</f>
        <v>0</v>
      </c>
      <c r="I8" s="21" t="n">
        <f aca="false">COUNTIFS(d_Subest,$B8,d_Marca,I$5,d_Sector,$E$3)</f>
        <v>0</v>
      </c>
      <c r="J8" s="21" t="n">
        <f aca="false">COUNTIFS(d_Subest,$B8,d_Marca,J$5,d_Sector,$E$3)</f>
        <v>0</v>
      </c>
      <c r="K8" s="21" t="n">
        <f aca="false">COUNTIFS(d_Subest,$B8,d_Marca,K$5,d_Sector,$E$3)</f>
        <v>0</v>
      </c>
      <c r="L8" s="21" t="n">
        <f aca="false">COUNTIFS(d_Subest,$B8,d_Marca,L$5,d_Sector,$E$3)</f>
        <v>0</v>
      </c>
      <c r="M8" s="21" t="n">
        <f aca="false">COUNTIFS(d_Subest,$B8,d_Marca,M$5,d_Sector,$E$3)</f>
        <v>0</v>
      </c>
      <c r="N8" s="22" t="n">
        <f aca="false">SUM(D8:M8)</f>
        <v>46</v>
      </c>
      <c r="O8" s="23" t="n">
        <f aca="false">IF($N$47=0,0,N8/$N$47)</f>
        <v>0.023469387755102</v>
      </c>
    </row>
    <row r="9" customFormat="false" ht="15" hidden="false" customHeight="false" outlineLevel="0" collapsed="false">
      <c r="A9" s="27" t="s">
        <v>25</v>
      </c>
      <c r="B9" s="28" t="s">
        <v>114</v>
      </c>
      <c r="C9" s="29" t="s">
        <v>113</v>
      </c>
      <c r="D9" s="21" t="n">
        <f aca="false">COUNTIFS(d_Subest,$B9,d_Marca,D$5,d_Sector,$E$3)</f>
        <v>26</v>
      </c>
      <c r="E9" s="21" t="n">
        <f aca="false">COUNTIFS(d_Subest,$B9,d_Marca,E$5,d_Sector,$E$3)</f>
        <v>12</v>
      </c>
      <c r="F9" s="21" t="n">
        <f aca="false">COUNTIFS(d_Subest,$B9,d_Marca,F$5,d_Sector,$E$3)</f>
        <v>0</v>
      </c>
      <c r="G9" s="21" t="n">
        <f aca="false">COUNTIFS(d_Subest,$B9,d_Marca,G$5,d_Sector,$E$3)</f>
        <v>0</v>
      </c>
      <c r="H9" s="21" t="n">
        <f aca="false">COUNTIFS(d_Subest,$B9,d_Marca,H$5,d_Sector,$E$3)</f>
        <v>0</v>
      </c>
      <c r="I9" s="21" t="n">
        <f aca="false">COUNTIFS(d_Subest,$B9,d_Marca,I$5,d_Sector,$E$3)</f>
        <v>0</v>
      </c>
      <c r="J9" s="21" t="n">
        <f aca="false">COUNTIFS(d_Subest,$B9,d_Marca,J$5,d_Sector,$E$3)</f>
        <v>0</v>
      </c>
      <c r="K9" s="21" t="n">
        <f aca="false">COUNTIFS(d_Subest,$B9,d_Marca,K$5,d_Sector,$E$3)</f>
        <v>0</v>
      </c>
      <c r="L9" s="21" t="n">
        <f aca="false">COUNTIFS(d_Subest,$B9,d_Marca,L$5,d_Sector,$E$3)</f>
        <v>0</v>
      </c>
      <c r="M9" s="21" t="n">
        <f aca="false">COUNTIFS(d_Subest,$B9,d_Marca,M$5,d_Sector,$E$3)</f>
        <v>0</v>
      </c>
      <c r="N9" s="22" t="n">
        <f aca="false">SUM(D9:M9)</f>
        <v>38</v>
      </c>
      <c r="O9" s="23" t="n">
        <f aca="false">IF($N$47=0,0,N9/$N$47)</f>
        <v>0.0193877551020408</v>
      </c>
    </row>
    <row r="10" customFormat="false" ht="15" hidden="false" customHeight="false" outlineLevel="0" collapsed="false">
      <c r="A10" s="27" t="s">
        <v>26</v>
      </c>
      <c r="B10" s="28" t="s">
        <v>115</v>
      </c>
      <c r="C10" s="29" t="s">
        <v>116</v>
      </c>
      <c r="D10" s="21" t="n">
        <f aca="false">COUNTIFS(d_Subest,$B10,d_Marca,D$5,d_Sector,$E$3)</f>
        <v>0</v>
      </c>
      <c r="E10" s="21" t="n">
        <f aca="false">COUNTIFS(d_Subest,$B10,d_Marca,E$5,d_Sector,$E$3)</f>
        <v>16</v>
      </c>
      <c r="F10" s="21" t="n">
        <f aca="false">COUNTIFS(d_Subest,$B10,d_Marca,F$5,d_Sector,$E$3)</f>
        <v>27</v>
      </c>
      <c r="G10" s="21" t="n">
        <f aca="false">COUNTIFS(d_Subest,$B10,d_Marca,G$5,d_Sector,$E$3)</f>
        <v>2</v>
      </c>
      <c r="H10" s="21" t="n">
        <f aca="false">COUNTIFS(d_Subest,$B10,d_Marca,H$5,d_Sector,$E$3)</f>
        <v>0</v>
      </c>
      <c r="I10" s="21" t="n">
        <f aca="false">COUNTIFS(d_Subest,$B10,d_Marca,I$5,d_Sector,$E$3)</f>
        <v>0</v>
      </c>
      <c r="J10" s="21" t="n">
        <f aca="false">COUNTIFS(d_Subest,$B10,d_Marca,J$5,d_Sector,$E$3)</f>
        <v>0</v>
      </c>
      <c r="K10" s="21" t="n">
        <f aca="false">COUNTIFS(d_Subest,$B10,d_Marca,K$5,d_Sector,$E$3)</f>
        <v>0</v>
      </c>
      <c r="L10" s="21" t="n">
        <f aca="false">COUNTIFS(d_Subest,$B10,d_Marca,L$5,d_Sector,$E$3)</f>
        <v>0</v>
      </c>
      <c r="M10" s="21" t="n">
        <f aca="false">COUNTIFS(d_Subest,$B10,d_Marca,M$5,d_Sector,$E$3)</f>
        <v>0</v>
      </c>
      <c r="N10" s="22" t="n">
        <f aca="false">SUM(D10:M10)</f>
        <v>45</v>
      </c>
      <c r="O10" s="23" t="n">
        <f aca="false">IF($N$47=0,0,N10/$N$47)</f>
        <v>0.0229591836734694</v>
      </c>
    </row>
    <row r="11" customFormat="false" ht="15" hidden="false" customHeight="false" outlineLevel="0" collapsed="false">
      <c r="A11" s="27" t="s">
        <v>26</v>
      </c>
      <c r="B11" s="28" t="s">
        <v>117</v>
      </c>
      <c r="C11" s="29" t="s">
        <v>118</v>
      </c>
      <c r="D11" s="21" t="n">
        <f aca="false">COUNTIFS(d_Subest,$B11,d_Marca,D$5,d_Sector,$E$3)</f>
        <v>39</v>
      </c>
      <c r="E11" s="21" t="n">
        <f aca="false">COUNTIFS(d_Subest,$B11,d_Marca,E$5,d_Sector,$E$3)</f>
        <v>10</v>
      </c>
      <c r="F11" s="21" t="n">
        <f aca="false">COUNTIFS(d_Subest,$B11,d_Marca,F$5,d_Sector,$E$3)</f>
        <v>0</v>
      </c>
      <c r="G11" s="21" t="n">
        <f aca="false">COUNTIFS(d_Subest,$B11,d_Marca,G$5,d_Sector,$E$3)</f>
        <v>0</v>
      </c>
      <c r="H11" s="21" t="n">
        <f aca="false">COUNTIFS(d_Subest,$B11,d_Marca,H$5,d_Sector,$E$3)</f>
        <v>0</v>
      </c>
      <c r="I11" s="21" t="n">
        <f aca="false">COUNTIFS(d_Subest,$B11,d_Marca,I$5,d_Sector,$E$3)</f>
        <v>0</v>
      </c>
      <c r="J11" s="21" t="n">
        <f aca="false">COUNTIFS(d_Subest,$B11,d_Marca,J$5,d_Sector,$E$3)</f>
        <v>0</v>
      </c>
      <c r="K11" s="21" t="n">
        <f aca="false">COUNTIFS(d_Subest,$B11,d_Marca,K$5,d_Sector,$E$3)</f>
        <v>0</v>
      </c>
      <c r="L11" s="21" t="n">
        <f aca="false">COUNTIFS(d_Subest,$B11,d_Marca,L$5,d_Sector,$E$3)</f>
        <v>0</v>
      </c>
      <c r="M11" s="21" t="n">
        <f aca="false">COUNTIFS(d_Subest,$B11,d_Marca,M$5,d_Sector,$E$3)</f>
        <v>0</v>
      </c>
      <c r="N11" s="22" t="n">
        <f aca="false">SUM(D11:M11)</f>
        <v>49</v>
      </c>
      <c r="O11" s="23" t="n">
        <f aca="false">IF($N$47=0,0,N11/$N$47)</f>
        <v>0.025</v>
      </c>
    </row>
    <row r="12" customFormat="false" ht="15" hidden="false" customHeight="false" outlineLevel="0" collapsed="false">
      <c r="A12" s="27" t="s">
        <v>27</v>
      </c>
      <c r="B12" s="28" t="s">
        <v>119</v>
      </c>
      <c r="C12" s="29" t="s">
        <v>120</v>
      </c>
      <c r="D12" s="21" t="n">
        <f aca="false">COUNTIFS(d_Subest,$B12,d_Marca,D$5,d_Sector,$E$3)</f>
        <v>18</v>
      </c>
      <c r="E12" s="21" t="n">
        <f aca="false">COUNTIFS(d_Subest,$B12,d_Marca,E$5,d_Sector,$E$3)</f>
        <v>14</v>
      </c>
      <c r="F12" s="21" t="n">
        <f aca="false">COUNTIFS(d_Subest,$B12,d_Marca,F$5,d_Sector,$E$3)</f>
        <v>0</v>
      </c>
      <c r="G12" s="21" t="n">
        <f aca="false">COUNTIFS(d_Subest,$B12,d_Marca,G$5,d_Sector,$E$3)</f>
        <v>0</v>
      </c>
      <c r="H12" s="21" t="n">
        <f aca="false">COUNTIFS(d_Subest,$B12,d_Marca,H$5,d_Sector,$E$3)</f>
        <v>0</v>
      </c>
      <c r="I12" s="21" t="n">
        <f aca="false">COUNTIFS(d_Subest,$B12,d_Marca,I$5,d_Sector,$E$3)</f>
        <v>0</v>
      </c>
      <c r="J12" s="21" t="n">
        <f aca="false">COUNTIFS(d_Subest,$B12,d_Marca,J$5,d_Sector,$E$3)</f>
        <v>0</v>
      </c>
      <c r="K12" s="21" t="n">
        <f aca="false">COUNTIFS(d_Subest,$B12,d_Marca,K$5,d_Sector,$E$3)</f>
        <v>0</v>
      </c>
      <c r="L12" s="21" t="n">
        <f aca="false">COUNTIFS(d_Subest,$B12,d_Marca,L$5,d_Sector,$E$3)</f>
        <v>0</v>
      </c>
      <c r="M12" s="21" t="n">
        <f aca="false">COUNTIFS(d_Subest,$B12,d_Marca,M$5,d_Sector,$E$3)</f>
        <v>0</v>
      </c>
      <c r="N12" s="22" t="n">
        <f aca="false">SUM(D12:M12)</f>
        <v>32</v>
      </c>
      <c r="O12" s="23" t="n">
        <f aca="false">IF($N$47=0,0,N12/$N$47)</f>
        <v>0.0163265306122449</v>
      </c>
    </row>
    <row r="13" customFormat="false" ht="15" hidden="false" customHeight="false" outlineLevel="0" collapsed="false">
      <c r="A13" s="27" t="s">
        <v>27</v>
      </c>
      <c r="B13" s="28" t="s">
        <v>121</v>
      </c>
      <c r="C13" s="29" t="s">
        <v>122</v>
      </c>
      <c r="D13" s="21" t="n">
        <f aca="false">COUNTIFS(d_Subest,$B13,d_Marca,D$5,d_Sector,$E$3)</f>
        <v>0</v>
      </c>
      <c r="E13" s="21" t="n">
        <f aca="false">COUNTIFS(d_Subest,$B13,d_Marca,E$5,d_Sector,$E$3)</f>
        <v>12</v>
      </c>
      <c r="F13" s="21" t="n">
        <f aca="false">COUNTIFS(d_Subest,$B13,d_Marca,F$5,d_Sector,$E$3)</f>
        <v>24</v>
      </c>
      <c r="G13" s="21" t="n">
        <f aca="false">COUNTIFS(d_Subest,$B13,d_Marca,G$5,d_Sector,$E$3)</f>
        <v>2</v>
      </c>
      <c r="H13" s="21" t="n">
        <f aca="false">COUNTIFS(d_Subest,$B13,d_Marca,H$5,d_Sector,$E$3)</f>
        <v>0</v>
      </c>
      <c r="I13" s="21" t="n">
        <f aca="false">COUNTIFS(d_Subest,$B13,d_Marca,I$5,d_Sector,$E$3)</f>
        <v>0</v>
      </c>
      <c r="J13" s="21" t="n">
        <f aca="false">COUNTIFS(d_Subest,$B13,d_Marca,J$5,d_Sector,$E$3)</f>
        <v>0</v>
      </c>
      <c r="K13" s="21" t="n">
        <f aca="false">COUNTIFS(d_Subest,$B13,d_Marca,K$5,d_Sector,$E$3)</f>
        <v>0</v>
      </c>
      <c r="L13" s="21" t="n">
        <f aca="false">COUNTIFS(d_Subest,$B13,d_Marca,L$5,d_Sector,$E$3)</f>
        <v>0</v>
      </c>
      <c r="M13" s="21" t="n">
        <f aca="false">COUNTIFS(d_Subest,$B13,d_Marca,M$5,d_Sector,$E$3)</f>
        <v>0</v>
      </c>
      <c r="N13" s="22" t="n">
        <f aca="false">SUM(D13:M13)</f>
        <v>38</v>
      </c>
      <c r="O13" s="23" t="n">
        <f aca="false">IF($N$47=0,0,N13/$N$47)</f>
        <v>0.0193877551020408</v>
      </c>
    </row>
    <row r="14" customFormat="false" ht="15" hidden="false" customHeight="false" outlineLevel="0" collapsed="false">
      <c r="A14" s="27" t="s">
        <v>27</v>
      </c>
      <c r="B14" s="28" t="s">
        <v>123</v>
      </c>
      <c r="C14" s="29" t="s">
        <v>124</v>
      </c>
      <c r="D14" s="21" t="n">
        <f aca="false">COUNTIFS(d_Subest,$B14,d_Marca,D$5,d_Sector,$E$3)</f>
        <v>0</v>
      </c>
      <c r="E14" s="21" t="n">
        <f aca="false">COUNTIFS(d_Subest,$B14,d_Marca,E$5,d_Sector,$E$3)</f>
        <v>12</v>
      </c>
      <c r="F14" s="21" t="n">
        <f aca="false">COUNTIFS(d_Subest,$B14,d_Marca,F$5,d_Sector,$E$3)</f>
        <v>20</v>
      </c>
      <c r="G14" s="21" t="n">
        <f aca="false">COUNTIFS(d_Subest,$B14,d_Marca,G$5,d_Sector,$E$3)</f>
        <v>2</v>
      </c>
      <c r="H14" s="21" t="n">
        <f aca="false">COUNTIFS(d_Subest,$B14,d_Marca,H$5,d_Sector,$E$3)</f>
        <v>0</v>
      </c>
      <c r="I14" s="21" t="n">
        <f aca="false">COUNTIFS(d_Subest,$B14,d_Marca,I$5,d_Sector,$E$3)</f>
        <v>0</v>
      </c>
      <c r="J14" s="21" t="n">
        <f aca="false">COUNTIFS(d_Subest,$B14,d_Marca,J$5,d_Sector,$E$3)</f>
        <v>0</v>
      </c>
      <c r="K14" s="21" t="n">
        <f aca="false">COUNTIFS(d_Subest,$B14,d_Marca,K$5,d_Sector,$E$3)</f>
        <v>0</v>
      </c>
      <c r="L14" s="21" t="n">
        <f aca="false">COUNTIFS(d_Subest,$B14,d_Marca,L$5,d_Sector,$E$3)</f>
        <v>0</v>
      </c>
      <c r="M14" s="21" t="n">
        <f aca="false">COUNTIFS(d_Subest,$B14,d_Marca,M$5,d_Sector,$E$3)</f>
        <v>0</v>
      </c>
      <c r="N14" s="22" t="n">
        <f aca="false">SUM(D14:M14)</f>
        <v>34</v>
      </c>
      <c r="O14" s="23" t="n">
        <f aca="false">IF($N$47=0,0,N14/$N$47)</f>
        <v>0.0173469387755102</v>
      </c>
    </row>
    <row r="15" customFormat="false" ht="15" hidden="false" customHeight="false" outlineLevel="0" collapsed="false">
      <c r="A15" s="27" t="s">
        <v>27</v>
      </c>
      <c r="B15" s="28" t="s">
        <v>125</v>
      </c>
      <c r="C15" s="29" t="s">
        <v>126</v>
      </c>
      <c r="D15" s="21" t="n">
        <f aca="false">COUNTIFS(d_Subest,$B15,d_Marca,D$5,d_Sector,$E$3)</f>
        <v>0</v>
      </c>
      <c r="E15" s="21" t="n">
        <f aca="false">COUNTIFS(d_Subest,$B15,d_Marca,E$5,d_Sector,$E$3)</f>
        <v>12</v>
      </c>
      <c r="F15" s="21" t="n">
        <f aca="false">COUNTIFS(d_Subest,$B15,d_Marca,F$5,d_Sector,$E$3)</f>
        <v>20</v>
      </c>
      <c r="G15" s="21" t="n">
        <f aca="false">COUNTIFS(d_Subest,$B15,d_Marca,G$5,d_Sector,$E$3)</f>
        <v>2</v>
      </c>
      <c r="H15" s="21" t="n">
        <f aca="false">COUNTIFS(d_Subest,$B15,d_Marca,H$5,d_Sector,$E$3)</f>
        <v>0</v>
      </c>
      <c r="I15" s="21" t="n">
        <f aca="false">COUNTIFS(d_Subest,$B15,d_Marca,I$5,d_Sector,$E$3)</f>
        <v>0</v>
      </c>
      <c r="J15" s="21" t="n">
        <f aca="false">COUNTIFS(d_Subest,$B15,d_Marca,J$5,d_Sector,$E$3)</f>
        <v>0</v>
      </c>
      <c r="K15" s="21" t="n">
        <f aca="false">COUNTIFS(d_Subest,$B15,d_Marca,K$5,d_Sector,$E$3)</f>
        <v>0</v>
      </c>
      <c r="L15" s="21" t="n">
        <f aca="false">COUNTIFS(d_Subest,$B15,d_Marca,L$5,d_Sector,$E$3)</f>
        <v>0</v>
      </c>
      <c r="M15" s="21" t="n">
        <f aca="false">COUNTIFS(d_Subest,$B15,d_Marca,M$5,d_Sector,$E$3)</f>
        <v>0</v>
      </c>
      <c r="N15" s="22" t="n">
        <f aca="false">SUM(D15:M15)</f>
        <v>34</v>
      </c>
      <c r="O15" s="23" t="n">
        <f aca="false">IF($N$47=0,0,N15/$N$47)</f>
        <v>0.0173469387755102</v>
      </c>
    </row>
    <row r="16" customFormat="false" ht="15" hidden="false" customHeight="false" outlineLevel="0" collapsed="false">
      <c r="A16" s="27" t="s">
        <v>28</v>
      </c>
      <c r="B16" s="28" t="s">
        <v>127</v>
      </c>
      <c r="C16" s="29" t="s">
        <v>128</v>
      </c>
      <c r="D16" s="21" t="n">
        <f aca="false">COUNTIFS(d_Subest,$B16,d_Marca,D$5,d_Sector,$E$3)</f>
        <v>0</v>
      </c>
      <c r="E16" s="21" t="n">
        <f aca="false">COUNTIFS(d_Subest,$B16,d_Marca,E$5,d_Sector,$E$3)</f>
        <v>12</v>
      </c>
      <c r="F16" s="21" t="n">
        <f aca="false">COUNTIFS(d_Subest,$B16,d_Marca,F$5,d_Sector,$E$3)</f>
        <v>20</v>
      </c>
      <c r="G16" s="21" t="n">
        <f aca="false">COUNTIFS(d_Subest,$B16,d_Marca,G$5,d_Sector,$E$3)</f>
        <v>2</v>
      </c>
      <c r="H16" s="21" t="n">
        <f aca="false">COUNTIFS(d_Subest,$B16,d_Marca,H$5,d_Sector,$E$3)</f>
        <v>0</v>
      </c>
      <c r="I16" s="21" t="n">
        <f aca="false">COUNTIFS(d_Subest,$B16,d_Marca,I$5,d_Sector,$E$3)</f>
        <v>0</v>
      </c>
      <c r="J16" s="21" t="n">
        <f aca="false">COUNTIFS(d_Subest,$B16,d_Marca,J$5,d_Sector,$E$3)</f>
        <v>0</v>
      </c>
      <c r="K16" s="21" t="n">
        <f aca="false">COUNTIFS(d_Subest,$B16,d_Marca,K$5,d_Sector,$E$3)</f>
        <v>0</v>
      </c>
      <c r="L16" s="21" t="n">
        <f aca="false">COUNTIFS(d_Subest,$B16,d_Marca,L$5,d_Sector,$E$3)</f>
        <v>0</v>
      </c>
      <c r="M16" s="21" t="n">
        <f aca="false">COUNTIFS(d_Subest,$B16,d_Marca,M$5,d_Sector,$E$3)</f>
        <v>0</v>
      </c>
      <c r="N16" s="22" t="n">
        <f aca="false">SUM(D16:M16)</f>
        <v>34</v>
      </c>
      <c r="O16" s="23" t="n">
        <f aca="false">IF($N$47=0,0,N16/$N$47)</f>
        <v>0.0173469387755102</v>
      </c>
    </row>
    <row r="17" customFormat="false" ht="15" hidden="false" customHeight="false" outlineLevel="0" collapsed="false">
      <c r="A17" s="27" t="s">
        <v>28</v>
      </c>
      <c r="B17" s="28" t="s">
        <v>129</v>
      </c>
      <c r="C17" s="29" t="s">
        <v>130</v>
      </c>
      <c r="D17" s="21" t="n">
        <f aca="false">COUNTIFS(d_Subest,$B17,d_Marca,D$5,d_Sector,$E$3)</f>
        <v>0</v>
      </c>
      <c r="E17" s="21" t="n">
        <f aca="false">COUNTIFS(d_Subest,$B17,d_Marca,E$5,d_Sector,$E$3)</f>
        <v>12</v>
      </c>
      <c r="F17" s="21" t="n">
        <f aca="false">COUNTIFS(d_Subest,$B17,d_Marca,F$5,d_Sector,$E$3)</f>
        <v>20</v>
      </c>
      <c r="G17" s="21" t="n">
        <f aca="false">COUNTIFS(d_Subest,$B17,d_Marca,G$5,d_Sector,$E$3)</f>
        <v>2</v>
      </c>
      <c r="H17" s="21" t="n">
        <f aca="false">COUNTIFS(d_Subest,$B17,d_Marca,H$5,d_Sector,$E$3)</f>
        <v>0</v>
      </c>
      <c r="I17" s="21" t="n">
        <f aca="false">COUNTIFS(d_Subest,$B17,d_Marca,I$5,d_Sector,$E$3)</f>
        <v>0</v>
      </c>
      <c r="J17" s="21" t="n">
        <f aca="false">COUNTIFS(d_Subest,$B17,d_Marca,J$5,d_Sector,$E$3)</f>
        <v>0</v>
      </c>
      <c r="K17" s="21" t="n">
        <f aca="false">COUNTIFS(d_Subest,$B17,d_Marca,K$5,d_Sector,$E$3)</f>
        <v>0</v>
      </c>
      <c r="L17" s="21" t="n">
        <f aca="false">COUNTIFS(d_Subest,$B17,d_Marca,L$5,d_Sector,$E$3)</f>
        <v>0</v>
      </c>
      <c r="M17" s="21" t="n">
        <f aca="false">COUNTIFS(d_Subest,$B17,d_Marca,M$5,d_Sector,$E$3)</f>
        <v>0</v>
      </c>
      <c r="N17" s="22" t="n">
        <f aca="false">SUM(D17:M17)</f>
        <v>34</v>
      </c>
      <c r="O17" s="23" t="n">
        <f aca="false">IF($N$47=0,0,N17/$N$47)</f>
        <v>0.0173469387755102</v>
      </c>
    </row>
    <row r="18" customFormat="false" ht="15" hidden="false" customHeight="false" outlineLevel="0" collapsed="false">
      <c r="A18" s="27" t="s">
        <v>28</v>
      </c>
      <c r="B18" s="28" t="s">
        <v>131</v>
      </c>
      <c r="C18" s="29" t="s">
        <v>132</v>
      </c>
      <c r="D18" s="21" t="n">
        <f aca="false">COUNTIFS(d_Subest,$B18,d_Marca,D$5,d_Sector,$E$3)</f>
        <v>0</v>
      </c>
      <c r="E18" s="21" t="n">
        <f aca="false">COUNTIFS(d_Subest,$B18,d_Marca,E$5,d_Sector,$E$3)</f>
        <v>2</v>
      </c>
      <c r="F18" s="21" t="n">
        <f aca="false">COUNTIFS(d_Subest,$B18,d_Marca,F$5,d_Sector,$E$3)</f>
        <v>0</v>
      </c>
      <c r="G18" s="21" t="n">
        <f aca="false">COUNTIFS(d_Subest,$B18,d_Marca,G$5,d_Sector,$E$3)</f>
        <v>0</v>
      </c>
      <c r="H18" s="21" t="n">
        <f aca="false">COUNTIFS(d_Subest,$B18,d_Marca,H$5,d_Sector,$E$3)</f>
        <v>0</v>
      </c>
      <c r="I18" s="21" t="n">
        <f aca="false">COUNTIFS(d_Subest,$B18,d_Marca,I$5,d_Sector,$E$3)</f>
        <v>0</v>
      </c>
      <c r="J18" s="21" t="n">
        <f aca="false">COUNTIFS(d_Subest,$B18,d_Marca,J$5,d_Sector,$E$3)</f>
        <v>0</v>
      </c>
      <c r="K18" s="21" t="n">
        <f aca="false">COUNTIFS(d_Subest,$B18,d_Marca,K$5,d_Sector,$E$3)</f>
        <v>0</v>
      </c>
      <c r="L18" s="21" t="n">
        <f aca="false">COUNTIFS(d_Subest,$B18,d_Marca,L$5,d_Sector,$E$3)</f>
        <v>0</v>
      </c>
      <c r="M18" s="21" t="n">
        <f aca="false">COUNTIFS(d_Subest,$B18,d_Marca,M$5,d_Sector,$E$3)</f>
        <v>0</v>
      </c>
      <c r="N18" s="22" t="n">
        <f aca="false">SUM(D18:M18)</f>
        <v>2</v>
      </c>
      <c r="O18" s="23" t="n">
        <f aca="false">IF($N$47=0,0,N18/$N$47)</f>
        <v>0.00102040816326531</v>
      </c>
    </row>
    <row r="19" customFormat="false" ht="15" hidden="false" customHeight="false" outlineLevel="0" collapsed="false">
      <c r="A19" s="27" t="s">
        <v>28</v>
      </c>
      <c r="B19" s="28" t="s">
        <v>133</v>
      </c>
      <c r="C19" s="29" t="s">
        <v>134</v>
      </c>
      <c r="D19" s="21" t="n">
        <f aca="false">COUNTIFS(d_Subest,$B19,d_Marca,D$5,d_Sector,$E$3)</f>
        <v>30</v>
      </c>
      <c r="E19" s="21" t="n">
        <f aca="false">COUNTIFS(d_Subest,$B19,d_Marca,E$5,d_Sector,$E$3)</f>
        <v>9</v>
      </c>
      <c r="F19" s="21" t="n">
        <f aca="false">COUNTIFS(d_Subest,$B19,d_Marca,F$5,d_Sector,$E$3)</f>
        <v>0</v>
      </c>
      <c r="G19" s="21" t="n">
        <f aca="false">COUNTIFS(d_Subest,$B19,d_Marca,G$5,d_Sector,$E$3)</f>
        <v>0</v>
      </c>
      <c r="H19" s="21" t="n">
        <f aca="false">COUNTIFS(d_Subest,$B19,d_Marca,H$5,d_Sector,$E$3)</f>
        <v>0</v>
      </c>
      <c r="I19" s="21" t="n">
        <f aca="false">COUNTIFS(d_Subest,$B19,d_Marca,I$5,d_Sector,$E$3)</f>
        <v>0</v>
      </c>
      <c r="J19" s="21" t="n">
        <f aca="false">COUNTIFS(d_Subest,$B19,d_Marca,J$5,d_Sector,$E$3)</f>
        <v>0</v>
      </c>
      <c r="K19" s="21" t="n">
        <f aca="false">COUNTIFS(d_Subest,$B19,d_Marca,K$5,d_Sector,$E$3)</f>
        <v>0</v>
      </c>
      <c r="L19" s="21" t="n">
        <f aca="false">COUNTIFS(d_Subest,$B19,d_Marca,L$5,d_Sector,$E$3)</f>
        <v>6</v>
      </c>
      <c r="M19" s="21" t="n">
        <f aca="false">COUNTIFS(d_Subest,$B19,d_Marca,M$5,d_Sector,$E$3)</f>
        <v>0</v>
      </c>
      <c r="N19" s="22" t="n">
        <f aca="false">SUM(D19:M19)</f>
        <v>45</v>
      </c>
      <c r="O19" s="23" t="n">
        <f aca="false">IF($N$47=0,0,N19/$N$47)</f>
        <v>0.0229591836734694</v>
      </c>
    </row>
    <row r="20" customFormat="false" ht="15" hidden="false" customHeight="false" outlineLevel="0" collapsed="false">
      <c r="A20" s="27" t="s">
        <v>28</v>
      </c>
      <c r="B20" s="28" t="s">
        <v>135</v>
      </c>
      <c r="C20" s="29" t="s">
        <v>136</v>
      </c>
      <c r="D20" s="21" t="n">
        <f aca="false">COUNTIFS(d_Subest,$B20,d_Marca,D$5,d_Sector,$E$3)</f>
        <v>0</v>
      </c>
      <c r="E20" s="21" t="n">
        <f aca="false">COUNTIFS(d_Subest,$B20,d_Marca,E$5,d_Sector,$E$3)</f>
        <v>16</v>
      </c>
      <c r="F20" s="21" t="n">
        <f aca="false">COUNTIFS(d_Subest,$B20,d_Marca,F$5,d_Sector,$E$3)</f>
        <v>26</v>
      </c>
      <c r="G20" s="21" t="n">
        <f aca="false">COUNTIFS(d_Subest,$B20,d_Marca,G$5,d_Sector,$E$3)</f>
        <v>2</v>
      </c>
      <c r="H20" s="21" t="n">
        <f aca="false">COUNTIFS(d_Subest,$B20,d_Marca,H$5,d_Sector,$E$3)</f>
        <v>0</v>
      </c>
      <c r="I20" s="21" t="n">
        <f aca="false">COUNTIFS(d_Subest,$B20,d_Marca,I$5,d_Sector,$E$3)</f>
        <v>0</v>
      </c>
      <c r="J20" s="21" t="n">
        <f aca="false">COUNTIFS(d_Subest,$B20,d_Marca,J$5,d_Sector,$E$3)</f>
        <v>0</v>
      </c>
      <c r="K20" s="21" t="n">
        <f aca="false">COUNTIFS(d_Subest,$B20,d_Marca,K$5,d_Sector,$E$3)</f>
        <v>0</v>
      </c>
      <c r="L20" s="21" t="n">
        <f aca="false">COUNTIFS(d_Subest,$B20,d_Marca,L$5,d_Sector,$E$3)</f>
        <v>0</v>
      </c>
      <c r="M20" s="21" t="n">
        <f aca="false">COUNTIFS(d_Subest,$B20,d_Marca,M$5,d_Sector,$E$3)</f>
        <v>0</v>
      </c>
      <c r="N20" s="22" t="n">
        <f aca="false">SUM(D20:M20)</f>
        <v>44</v>
      </c>
      <c r="O20" s="23" t="n">
        <f aca="false">IF($N$47=0,0,N20/$N$47)</f>
        <v>0.0224489795918367</v>
      </c>
    </row>
    <row r="21" customFormat="false" ht="15" hidden="false" customHeight="false" outlineLevel="0" collapsed="false">
      <c r="A21" s="27" t="s">
        <v>29</v>
      </c>
      <c r="B21" s="28" t="s">
        <v>137</v>
      </c>
      <c r="C21" s="29" t="s">
        <v>138</v>
      </c>
      <c r="D21" s="21" t="n">
        <f aca="false">COUNTIFS(d_Subest,$B21,d_Marca,D$5,d_Sector,$E$3)</f>
        <v>24</v>
      </c>
      <c r="E21" s="21" t="n">
        <f aca="false">COUNTIFS(d_Subest,$B21,d_Marca,E$5,d_Sector,$E$3)</f>
        <v>10</v>
      </c>
      <c r="F21" s="21" t="n">
        <f aca="false">COUNTIFS(d_Subest,$B21,d_Marca,F$5,d_Sector,$E$3)</f>
        <v>0</v>
      </c>
      <c r="G21" s="21" t="n">
        <f aca="false">COUNTIFS(d_Subest,$B21,d_Marca,G$5,d_Sector,$E$3)</f>
        <v>0</v>
      </c>
      <c r="H21" s="21" t="n">
        <f aca="false">COUNTIFS(d_Subest,$B21,d_Marca,H$5,d_Sector,$E$3)</f>
        <v>0</v>
      </c>
      <c r="I21" s="21" t="n">
        <f aca="false">COUNTIFS(d_Subest,$B21,d_Marca,I$5,d_Sector,$E$3)</f>
        <v>0</v>
      </c>
      <c r="J21" s="21" t="n">
        <f aca="false">COUNTIFS(d_Subest,$B21,d_Marca,J$5,d_Sector,$E$3)</f>
        <v>0</v>
      </c>
      <c r="K21" s="21" t="n">
        <f aca="false">COUNTIFS(d_Subest,$B21,d_Marca,K$5,d_Sector,$E$3)</f>
        <v>0</v>
      </c>
      <c r="L21" s="21" t="n">
        <f aca="false">COUNTIFS(d_Subest,$B21,d_Marca,L$5,d_Sector,$E$3)</f>
        <v>0</v>
      </c>
      <c r="M21" s="21" t="n">
        <f aca="false">COUNTIFS(d_Subest,$B21,d_Marca,M$5,d_Sector,$E$3)</f>
        <v>27</v>
      </c>
      <c r="N21" s="22" t="n">
        <f aca="false">SUM(D21:M21)</f>
        <v>61</v>
      </c>
      <c r="O21" s="23" t="n">
        <f aca="false">IF($N$47=0,0,N21/$N$47)</f>
        <v>0.0311224489795918</v>
      </c>
    </row>
    <row r="22" customFormat="false" ht="15" hidden="false" customHeight="false" outlineLevel="0" collapsed="false">
      <c r="A22" s="27" t="s">
        <v>29</v>
      </c>
      <c r="B22" s="28" t="s">
        <v>139</v>
      </c>
      <c r="C22" s="29" t="s">
        <v>140</v>
      </c>
      <c r="D22" s="21" t="n">
        <f aca="false">COUNTIFS(d_Subest,$B22,d_Marca,D$5,d_Sector,$E$3)</f>
        <v>25</v>
      </c>
      <c r="E22" s="21" t="n">
        <f aca="false">COUNTIFS(d_Subest,$B22,d_Marca,E$5,d_Sector,$E$3)</f>
        <v>12</v>
      </c>
      <c r="F22" s="21" t="n">
        <f aca="false">COUNTIFS(d_Subest,$B22,d_Marca,F$5,d_Sector,$E$3)</f>
        <v>0</v>
      </c>
      <c r="G22" s="21" t="n">
        <f aca="false">COUNTIFS(d_Subest,$B22,d_Marca,G$5,d_Sector,$E$3)</f>
        <v>0</v>
      </c>
      <c r="H22" s="21" t="n">
        <f aca="false">COUNTIFS(d_Subest,$B22,d_Marca,H$5,d_Sector,$E$3)</f>
        <v>0</v>
      </c>
      <c r="I22" s="21" t="n">
        <f aca="false">COUNTIFS(d_Subest,$B22,d_Marca,I$5,d_Sector,$E$3)</f>
        <v>0</v>
      </c>
      <c r="J22" s="21" t="n">
        <f aca="false">COUNTIFS(d_Subest,$B22,d_Marca,J$5,d_Sector,$E$3)</f>
        <v>0</v>
      </c>
      <c r="K22" s="21" t="n">
        <f aca="false">COUNTIFS(d_Subest,$B22,d_Marca,K$5,d_Sector,$E$3)</f>
        <v>0</v>
      </c>
      <c r="L22" s="21" t="n">
        <f aca="false">COUNTIFS(d_Subest,$B22,d_Marca,L$5,d_Sector,$E$3)</f>
        <v>0</v>
      </c>
      <c r="M22" s="21" t="n">
        <f aca="false">COUNTIFS(d_Subest,$B22,d_Marca,M$5,d_Sector,$E$3)</f>
        <v>0</v>
      </c>
      <c r="N22" s="22" t="n">
        <f aca="false">SUM(D22:M22)</f>
        <v>37</v>
      </c>
      <c r="O22" s="23" t="n">
        <f aca="false">IF($N$47=0,0,N22/$N$47)</f>
        <v>0.0188775510204082</v>
      </c>
    </row>
    <row r="23" customFormat="false" ht="15" hidden="false" customHeight="false" outlineLevel="0" collapsed="false">
      <c r="A23" s="27" t="s">
        <v>29</v>
      </c>
      <c r="B23" s="28" t="s">
        <v>141</v>
      </c>
      <c r="C23" s="29" t="s">
        <v>142</v>
      </c>
      <c r="D23" s="21" t="n">
        <f aca="false">COUNTIFS(d_Subest,$B23,d_Marca,D$5,d_Sector,$E$3)</f>
        <v>21</v>
      </c>
      <c r="E23" s="21" t="n">
        <f aca="false">COUNTIFS(d_Subest,$B23,d_Marca,E$5,d_Sector,$E$3)</f>
        <v>11</v>
      </c>
      <c r="F23" s="21" t="n">
        <f aca="false">COUNTIFS(d_Subest,$B23,d_Marca,F$5,d_Sector,$E$3)</f>
        <v>0</v>
      </c>
      <c r="G23" s="21" t="n">
        <f aca="false">COUNTIFS(d_Subest,$B23,d_Marca,G$5,d_Sector,$E$3)</f>
        <v>0</v>
      </c>
      <c r="H23" s="21" t="n">
        <f aca="false">COUNTIFS(d_Subest,$B23,d_Marca,H$5,d_Sector,$E$3)</f>
        <v>0</v>
      </c>
      <c r="I23" s="21" t="n">
        <f aca="false">COUNTIFS(d_Subest,$B23,d_Marca,I$5,d_Sector,$E$3)</f>
        <v>0</v>
      </c>
      <c r="J23" s="21" t="n">
        <f aca="false">COUNTIFS(d_Subest,$B23,d_Marca,J$5,d_Sector,$E$3)</f>
        <v>0</v>
      </c>
      <c r="K23" s="21" t="n">
        <f aca="false">COUNTIFS(d_Subest,$B23,d_Marca,K$5,d_Sector,$E$3)</f>
        <v>0</v>
      </c>
      <c r="L23" s="21" t="n">
        <f aca="false">COUNTIFS(d_Subest,$B23,d_Marca,L$5,d_Sector,$E$3)</f>
        <v>0</v>
      </c>
      <c r="M23" s="21" t="n">
        <f aca="false">COUNTIFS(d_Subest,$B23,d_Marca,M$5,d_Sector,$E$3)</f>
        <v>0</v>
      </c>
      <c r="N23" s="22" t="n">
        <f aca="false">SUM(D23:M23)</f>
        <v>32</v>
      </c>
      <c r="O23" s="23" t="n">
        <f aca="false">IF($N$47=0,0,N23/$N$47)</f>
        <v>0.0163265306122449</v>
      </c>
    </row>
    <row r="24" customFormat="false" ht="15" hidden="false" customHeight="false" outlineLevel="0" collapsed="false">
      <c r="A24" s="27" t="s">
        <v>29</v>
      </c>
      <c r="B24" s="28" t="s">
        <v>143</v>
      </c>
      <c r="C24" s="29" t="s">
        <v>144</v>
      </c>
      <c r="D24" s="21" t="n">
        <f aca="false">COUNTIFS(d_Subest,$B24,d_Marca,D$5,d_Sector,$E$3)</f>
        <v>22</v>
      </c>
      <c r="E24" s="21" t="n">
        <f aca="false">COUNTIFS(d_Subest,$B24,d_Marca,E$5,d_Sector,$E$3)</f>
        <v>6</v>
      </c>
      <c r="F24" s="21" t="n">
        <f aca="false">COUNTIFS(d_Subest,$B24,d_Marca,F$5,d_Sector,$E$3)</f>
        <v>12</v>
      </c>
      <c r="G24" s="21" t="n">
        <f aca="false">COUNTIFS(d_Subest,$B24,d_Marca,G$5,d_Sector,$E$3)</f>
        <v>0</v>
      </c>
      <c r="H24" s="21" t="n">
        <f aca="false">COUNTIFS(d_Subest,$B24,d_Marca,H$5,d_Sector,$E$3)</f>
        <v>0</v>
      </c>
      <c r="I24" s="21" t="n">
        <f aca="false">COUNTIFS(d_Subest,$B24,d_Marca,I$5,d_Sector,$E$3)</f>
        <v>0</v>
      </c>
      <c r="J24" s="21" t="n">
        <f aca="false">COUNTIFS(d_Subest,$B24,d_Marca,J$5,d_Sector,$E$3)</f>
        <v>0</v>
      </c>
      <c r="K24" s="21" t="n">
        <f aca="false">COUNTIFS(d_Subest,$B24,d_Marca,K$5,d_Sector,$E$3)</f>
        <v>0</v>
      </c>
      <c r="L24" s="21" t="n">
        <f aca="false">COUNTIFS(d_Subest,$B24,d_Marca,L$5,d_Sector,$E$3)</f>
        <v>0</v>
      </c>
      <c r="M24" s="21" t="n">
        <f aca="false">COUNTIFS(d_Subest,$B24,d_Marca,M$5,d_Sector,$E$3)</f>
        <v>0</v>
      </c>
      <c r="N24" s="22" t="n">
        <f aca="false">SUM(D24:M24)</f>
        <v>40</v>
      </c>
      <c r="O24" s="23" t="n">
        <f aca="false">IF($N$47=0,0,N24/$N$47)</f>
        <v>0.0204081632653061</v>
      </c>
    </row>
    <row r="25" customFormat="false" ht="15" hidden="false" customHeight="false" outlineLevel="0" collapsed="false">
      <c r="A25" s="27" t="s">
        <v>29</v>
      </c>
      <c r="B25" s="28" t="s">
        <v>145</v>
      </c>
      <c r="C25" s="29" t="s">
        <v>146</v>
      </c>
      <c r="D25" s="21" t="n">
        <f aca="false">COUNTIFS(d_Subest,$B25,d_Marca,D$5,d_Sector,$E$3)</f>
        <v>24</v>
      </c>
      <c r="E25" s="21" t="n">
        <f aca="false">COUNTIFS(d_Subest,$B25,d_Marca,E$5,d_Sector,$E$3)</f>
        <v>6</v>
      </c>
      <c r="F25" s="21" t="n">
        <f aca="false">COUNTIFS(d_Subest,$B25,d_Marca,F$5,d_Sector,$E$3)</f>
        <v>14</v>
      </c>
      <c r="G25" s="21" t="n">
        <f aca="false">COUNTIFS(d_Subest,$B25,d_Marca,G$5,d_Sector,$E$3)</f>
        <v>0</v>
      </c>
      <c r="H25" s="21" t="n">
        <f aca="false">COUNTIFS(d_Subest,$B25,d_Marca,H$5,d_Sector,$E$3)</f>
        <v>0</v>
      </c>
      <c r="I25" s="21" t="n">
        <f aca="false">COUNTIFS(d_Subest,$B25,d_Marca,I$5,d_Sector,$E$3)</f>
        <v>0</v>
      </c>
      <c r="J25" s="21" t="n">
        <f aca="false">COUNTIFS(d_Subest,$B25,d_Marca,J$5,d_Sector,$E$3)</f>
        <v>0</v>
      </c>
      <c r="K25" s="21" t="n">
        <f aca="false">COUNTIFS(d_Subest,$B25,d_Marca,K$5,d_Sector,$E$3)</f>
        <v>0</v>
      </c>
      <c r="L25" s="21" t="n">
        <f aca="false">COUNTIFS(d_Subest,$B25,d_Marca,L$5,d_Sector,$E$3)</f>
        <v>0</v>
      </c>
      <c r="M25" s="21" t="n">
        <f aca="false">COUNTIFS(d_Subest,$B25,d_Marca,M$5,d_Sector,$E$3)</f>
        <v>0</v>
      </c>
      <c r="N25" s="22" t="n">
        <f aca="false">SUM(D25:M25)</f>
        <v>44</v>
      </c>
      <c r="O25" s="23" t="n">
        <f aca="false">IF($N$47=0,0,N25/$N$47)</f>
        <v>0.0224489795918367</v>
      </c>
    </row>
    <row r="26" customFormat="false" ht="15" hidden="false" customHeight="false" outlineLevel="0" collapsed="false">
      <c r="A26" s="27" t="s">
        <v>30</v>
      </c>
      <c r="B26" s="28" t="s">
        <v>147</v>
      </c>
      <c r="C26" s="29" t="s">
        <v>148</v>
      </c>
      <c r="D26" s="21" t="n">
        <f aca="false">COUNTIFS(d_Subest,$B26,d_Marca,D$5,d_Sector,$E$3)</f>
        <v>0</v>
      </c>
      <c r="E26" s="21" t="n">
        <f aca="false">COUNTIFS(d_Subest,$B26,d_Marca,E$5,d_Sector,$E$3)</f>
        <v>2</v>
      </c>
      <c r="F26" s="21" t="n">
        <f aca="false">COUNTIFS(d_Subest,$B26,d_Marca,F$5,d_Sector,$E$3)</f>
        <v>0</v>
      </c>
      <c r="G26" s="21" t="n">
        <f aca="false">COUNTIFS(d_Subest,$B26,d_Marca,G$5,d_Sector,$E$3)</f>
        <v>0</v>
      </c>
      <c r="H26" s="21" t="n">
        <f aca="false">COUNTIFS(d_Subest,$B26,d_Marca,H$5,d_Sector,$E$3)</f>
        <v>2</v>
      </c>
      <c r="I26" s="21" t="n">
        <f aca="false">COUNTIFS(d_Subest,$B26,d_Marca,I$5,d_Sector,$E$3)</f>
        <v>0</v>
      </c>
      <c r="J26" s="21" t="n">
        <f aca="false">COUNTIFS(d_Subest,$B26,d_Marca,J$5,d_Sector,$E$3)</f>
        <v>0</v>
      </c>
      <c r="K26" s="21" t="n">
        <f aca="false">COUNTIFS(d_Subest,$B26,d_Marca,K$5,d_Sector,$E$3)</f>
        <v>2</v>
      </c>
      <c r="L26" s="21" t="n">
        <f aca="false">COUNTIFS(d_Subest,$B26,d_Marca,L$5,d_Sector,$E$3)</f>
        <v>0</v>
      </c>
      <c r="M26" s="21" t="n">
        <f aca="false">COUNTIFS(d_Subest,$B26,d_Marca,M$5,d_Sector,$E$3)</f>
        <v>0</v>
      </c>
      <c r="N26" s="22" t="n">
        <f aca="false">SUM(D26:M26)</f>
        <v>6</v>
      </c>
      <c r="O26" s="23" t="n">
        <f aca="false">IF($N$47=0,0,N26/$N$47)</f>
        <v>0.00306122448979592</v>
      </c>
    </row>
    <row r="27" customFormat="false" ht="15" hidden="false" customHeight="false" outlineLevel="0" collapsed="false">
      <c r="A27" s="27" t="s">
        <v>30</v>
      </c>
      <c r="B27" s="28" t="s">
        <v>149</v>
      </c>
      <c r="C27" s="29" t="s">
        <v>150</v>
      </c>
      <c r="D27" s="21" t="n">
        <f aca="false">COUNTIFS(d_Subest,$B27,d_Marca,D$5,d_Sector,$E$3)</f>
        <v>0</v>
      </c>
      <c r="E27" s="21" t="n">
        <f aca="false">COUNTIFS(d_Subest,$B27,d_Marca,E$5,d_Sector,$E$3)</f>
        <v>2</v>
      </c>
      <c r="F27" s="21" t="n">
        <f aca="false">COUNTIFS(d_Subest,$B27,d_Marca,F$5,d_Sector,$E$3)</f>
        <v>0</v>
      </c>
      <c r="G27" s="21" t="n">
        <f aca="false">COUNTIFS(d_Subest,$B27,d_Marca,G$5,d_Sector,$E$3)</f>
        <v>11</v>
      </c>
      <c r="H27" s="21" t="n">
        <f aca="false">COUNTIFS(d_Subest,$B27,d_Marca,H$5,d_Sector,$E$3)</f>
        <v>0</v>
      </c>
      <c r="I27" s="21" t="n">
        <f aca="false">COUNTIFS(d_Subest,$B27,d_Marca,I$5,d_Sector,$E$3)</f>
        <v>0</v>
      </c>
      <c r="J27" s="21" t="n">
        <f aca="false">COUNTIFS(d_Subest,$B27,d_Marca,J$5,d_Sector,$E$3)</f>
        <v>6</v>
      </c>
      <c r="K27" s="21" t="n">
        <f aca="false">COUNTIFS(d_Subest,$B27,d_Marca,K$5,d_Sector,$E$3)</f>
        <v>0</v>
      </c>
      <c r="L27" s="21" t="n">
        <f aca="false">COUNTIFS(d_Subest,$B27,d_Marca,L$5,d_Sector,$E$3)</f>
        <v>0</v>
      </c>
      <c r="M27" s="21" t="n">
        <f aca="false">COUNTIFS(d_Subest,$B27,d_Marca,M$5,d_Sector,$E$3)</f>
        <v>0</v>
      </c>
      <c r="N27" s="22" t="n">
        <f aca="false">SUM(D27:M27)</f>
        <v>19</v>
      </c>
      <c r="O27" s="23" t="n">
        <f aca="false">IF($N$47=0,0,N27/$N$47)</f>
        <v>0.00969387755102041</v>
      </c>
    </row>
    <row r="28" customFormat="false" ht="15" hidden="false" customHeight="false" outlineLevel="0" collapsed="false">
      <c r="A28" s="27" t="s">
        <v>30</v>
      </c>
      <c r="B28" s="28" t="s">
        <v>151</v>
      </c>
      <c r="C28" s="29" t="s">
        <v>152</v>
      </c>
      <c r="D28" s="21" t="n">
        <f aca="false">COUNTIFS(d_Subest,$B28,d_Marca,D$5,d_Sector,$E$3)</f>
        <v>0</v>
      </c>
      <c r="E28" s="21" t="n">
        <f aca="false">COUNTIFS(d_Subest,$B28,d_Marca,E$5,d_Sector,$E$3)</f>
        <v>0</v>
      </c>
      <c r="F28" s="21" t="n">
        <f aca="false">COUNTIFS(d_Subest,$B28,d_Marca,F$5,d_Sector,$E$3)</f>
        <v>0</v>
      </c>
      <c r="G28" s="21" t="n">
        <f aca="false">COUNTIFS(d_Subest,$B28,d_Marca,G$5,d_Sector,$E$3)</f>
        <v>11</v>
      </c>
      <c r="H28" s="21" t="n">
        <f aca="false">COUNTIFS(d_Subest,$B28,d_Marca,H$5,d_Sector,$E$3)</f>
        <v>0</v>
      </c>
      <c r="I28" s="21" t="n">
        <f aca="false">COUNTIFS(d_Subest,$B28,d_Marca,I$5,d_Sector,$E$3)</f>
        <v>0</v>
      </c>
      <c r="J28" s="21" t="n">
        <f aca="false">COUNTIFS(d_Subest,$B28,d_Marca,J$5,d_Sector,$E$3)</f>
        <v>0</v>
      </c>
      <c r="K28" s="21" t="n">
        <f aca="false">COUNTIFS(d_Subest,$B28,d_Marca,K$5,d_Sector,$E$3)</f>
        <v>0</v>
      </c>
      <c r="L28" s="21" t="n">
        <f aca="false">COUNTIFS(d_Subest,$B28,d_Marca,L$5,d_Sector,$E$3)</f>
        <v>0</v>
      </c>
      <c r="M28" s="21" t="n">
        <f aca="false">COUNTIFS(d_Subest,$B28,d_Marca,M$5,d_Sector,$E$3)</f>
        <v>0</v>
      </c>
      <c r="N28" s="22" t="n">
        <f aca="false">SUM(D28:M28)</f>
        <v>11</v>
      </c>
      <c r="O28" s="23" t="n">
        <f aca="false">IF($N$47=0,0,N28/$N$47)</f>
        <v>0.00561224489795918</v>
      </c>
    </row>
    <row r="29" customFormat="false" ht="15" hidden="false" customHeight="false" outlineLevel="0" collapsed="false">
      <c r="A29" s="27" t="s">
        <v>30</v>
      </c>
      <c r="B29" s="28" t="s">
        <v>153</v>
      </c>
      <c r="C29" s="29" t="s">
        <v>154</v>
      </c>
      <c r="D29" s="21" t="n">
        <f aca="false">COUNTIFS(d_Subest,$B29,d_Marca,D$5,d_Sector,$E$3)</f>
        <v>4</v>
      </c>
      <c r="E29" s="21" t="n">
        <f aca="false">COUNTIFS(d_Subest,$B29,d_Marca,E$5,d_Sector,$E$3)</f>
        <v>2</v>
      </c>
      <c r="F29" s="21" t="n">
        <f aca="false">COUNTIFS(d_Subest,$B29,d_Marca,F$5,d_Sector,$E$3)</f>
        <v>2</v>
      </c>
      <c r="G29" s="21" t="n">
        <f aca="false">COUNTIFS(d_Subest,$B29,d_Marca,G$5,d_Sector,$E$3)</f>
        <v>0</v>
      </c>
      <c r="H29" s="21" t="n">
        <f aca="false">COUNTIFS(d_Subest,$B29,d_Marca,H$5,d_Sector,$E$3)</f>
        <v>0</v>
      </c>
      <c r="I29" s="21" t="n">
        <f aca="false">COUNTIFS(d_Subest,$B29,d_Marca,I$5,d_Sector,$E$3)</f>
        <v>0</v>
      </c>
      <c r="J29" s="21" t="n">
        <f aca="false">COUNTIFS(d_Subest,$B29,d_Marca,J$5,d_Sector,$E$3)</f>
        <v>0</v>
      </c>
      <c r="K29" s="21" t="n">
        <f aca="false">COUNTIFS(d_Subest,$B29,d_Marca,K$5,d_Sector,$E$3)</f>
        <v>0</v>
      </c>
      <c r="L29" s="21" t="n">
        <f aca="false">COUNTIFS(d_Subest,$B29,d_Marca,L$5,d_Sector,$E$3)</f>
        <v>0</v>
      </c>
      <c r="M29" s="21" t="n">
        <f aca="false">COUNTIFS(d_Subest,$B29,d_Marca,M$5,d_Sector,$E$3)</f>
        <v>0</v>
      </c>
      <c r="N29" s="22" t="n">
        <f aca="false">SUM(D29:M29)</f>
        <v>8</v>
      </c>
      <c r="O29" s="23" t="n">
        <f aca="false">IF($N$47=0,0,N29/$N$47)</f>
        <v>0.00408163265306123</v>
      </c>
    </row>
    <row r="30" customFormat="false" ht="15" hidden="false" customHeight="false" outlineLevel="0" collapsed="false">
      <c r="A30" s="27" t="s">
        <v>30</v>
      </c>
      <c r="B30" s="28" t="s">
        <v>155</v>
      </c>
      <c r="C30" s="29" t="s">
        <v>156</v>
      </c>
      <c r="D30" s="21" t="n">
        <f aca="false">COUNTIFS(d_Subest,$B30,d_Marca,D$5,d_Sector,$E$3)</f>
        <v>0</v>
      </c>
      <c r="E30" s="21" t="n">
        <f aca="false">COUNTIFS(d_Subest,$B30,d_Marca,E$5,d_Sector,$E$3)</f>
        <v>0</v>
      </c>
      <c r="F30" s="21" t="n">
        <f aca="false">COUNTIFS(d_Subest,$B30,d_Marca,F$5,d_Sector,$E$3)</f>
        <v>0</v>
      </c>
      <c r="G30" s="21" t="n">
        <f aca="false">COUNTIFS(d_Subest,$B30,d_Marca,G$5,d_Sector,$E$3)</f>
        <v>21</v>
      </c>
      <c r="H30" s="21" t="n">
        <f aca="false">COUNTIFS(d_Subest,$B30,d_Marca,H$5,d_Sector,$E$3)</f>
        <v>0</v>
      </c>
      <c r="I30" s="21" t="n">
        <f aca="false">COUNTIFS(d_Subest,$B30,d_Marca,I$5,d_Sector,$E$3)</f>
        <v>0</v>
      </c>
      <c r="J30" s="21" t="n">
        <f aca="false">COUNTIFS(d_Subest,$B30,d_Marca,J$5,d_Sector,$E$3)</f>
        <v>0</v>
      </c>
      <c r="K30" s="21" t="n">
        <f aca="false">COUNTIFS(d_Subest,$B30,d_Marca,K$5,d_Sector,$E$3)</f>
        <v>0</v>
      </c>
      <c r="L30" s="21" t="n">
        <f aca="false">COUNTIFS(d_Subest,$B30,d_Marca,L$5,d_Sector,$E$3)</f>
        <v>0</v>
      </c>
      <c r="M30" s="21" t="n">
        <f aca="false">COUNTIFS(d_Subest,$B30,d_Marca,M$5,d_Sector,$E$3)</f>
        <v>0</v>
      </c>
      <c r="N30" s="22" t="n">
        <f aca="false">SUM(D30:M30)</f>
        <v>21</v>
      </c>
      <c r="O30" s="23" t="n">
        <f aca="false">IF($N$47=0,0,N30/$N$47)</f>
        <v>0.0107142857142857</v>
      </c>
    </row>
    <row r="31" customFormat="false" ht="15" hidden="false" customHeight="false" outlineLevel="0" collapsed="false">
      <c r="A31" s="27" t="s">
        <v>30</v>
      </c>
      <c r="B31" s="28" t="s">
        <v>157</v>
      </c>
      <c r="C31" s="29" t="s">
        <v>158</v>
      </c>
      <c r="D31" s="21" t="n">
        <f aca="false">COUNTIFS(d_Subest,$B31,d_Marca,D$5,d_Sector,$E$3)</f>
        <v>0</v>
      </c>
      <c r="E31" s="21" t="n">
        <f aca="false">COUNTIFS(d_Subest,$B31,d_Marca,E$5,d_Sector,$E$3)</f>
        <v>0</v>
      </c>
      <c r="F31" s="21" t="n">
        <f aca="false">COUNTIFS(d_Subest,$B31,d_Marca,F$5,d_Sector,$E$3)</f>
        <v>0</v>
      </c>
      <c r="G31" s="21" t="n">
        <f aca="false">COUNTIFS(d_Subest,$B31,d_Marca,G$5,d_Sector,$E$3)</f>
        <v>9</v>
      </c>
      <c r="H31" s="21" t="n">
        <f aca="false">COUNTIFS(d_Subest,$B31,d_Marca,H$5,d_Sector,$E$3)</f>
        <v>0</v>
      </c>
      <c r="I31" s="21" t="n">
        <f aca="false">COUNTIFS(d_Subest,$B31,d_Marca,I$5,d_Sector,$E$3)</f>
        <v>0</v>
      </c>
      <c r="J31" s="21" t="n">
        <f aca="false">COUNTIFS(d_Subest,$B31,d_Marca,J$5,d_Sector,$E$3)</f>
        <v>0</v>
      </c>
      <c r="K31" s="21" t="n">
        <f aca="false">COUNTIFS(d_Subest,$B31,d_Marca,K$5,d_Sector,$E$3)</f>
        <v>0</v>
      </c>
      <c r="L31" s="21" t="n">
        <f aca="false">COUNTIFS(d_Subest,$B31,d_Marca,L$5,d_Sector,$E$3)</f>
        <v>0</v>
      </c>
      <c r="M31" s="21" t="n">
        <f aca="false">COUNTIFS(d_Subest,$B31,d_Marca,M$5,d_Sector,$E$3)</f>
        <v>0</v>
      </c>
      <c r="N31" s="22" t="n">
        <f aca="false">SUM(D31:M31)</f>
        <v>9</v>
      </c>
      <c r="O31" s="23" t="n">
        <f aca="false">IF($N$47=0,0,N31/$N$47)</f>
        <v>0.00459183673469388</v>
      </c>
    </row>
    <row r="32" customFormat="false" ht="15" hidden="false" customHeight="false" outlineLevel="0" collapsed="false">
      <c r="A32" s="27" t="s">
        <v>30</v>
      </c>
      <c r="B32" s="28" t="s">
        <v>159</v>
      </c>
      <c r="C32" s="29" t="s">
        <v>160</v>
      </c>
      <c r="D32" s="21" t="n">
        <f aca="false">COUNTIFS(d_Subest,$B32,d_Marca,D$5,d_Sector,$E$3)</f>
        <v>0</v>
      </c>
      <c r="E32" s="21" t="n">
        <f aca="false">COUNTIFS(d_Subest,$B32,d_Marca,E$5,d_Sector,$E$3)</f>
        <v>0</v>
      </c>
      <c r="F32" s="21" t="n">
        <f aca="false">COUNTIFS(d_Subest,$B32,d_Marca,F$5,d_Sector,$E$3)</f>
        <v>0</v>
      </c>
      <c r="G32" s="21" t="n">
        <f aca="false">COUNTIFS(d_Subest,$B32,d_Marca,G$5,d_Sector,$E$3)</f>
        <v>20</v>
      </c>
      <c r="H32" s="21" t="n">
        <f aca="false">COUNTIFS(d_Subest,$B32,d_Marca,H$5,d_Sector,$E$3)</f>
        <v>0</v>
      </c>
      <c r="I32" s="21" t="n">
        <f aca="false">COUNTIFS(d_Subest,$B32,d_Marca,I$5,d_Sector,$E$3)</f>
        <v>0</v>
      </c>
      <c r="J32" s="21" t="n">
        <f aca="false">COUNTIFS(d_Subest,$B32,d_Marca,J$5,d_Sector,$E$3)</f>
        <v>0</v>
      </c>
      <c r="K32" s="21" t="n">
        <f aca="false">COUNTIFS(d_Subest,$B32,d_Marca,K$5,d_Sector,$E$3)</f>
        <v>0</v>
      </c>
      <c r="L32" s="21" t="n">
        <f aca="false">COUNTIFS(d_Subest,$B32,d_Marca,L$5,d_Sector,$E$3)</f>
        <v>0</v>
      </c>
      <c r="M32" s="21" t="n">
        <f aca="false">COUNTIFS(d_Subest,$B32,d_Marca,M$5,d_Sector,$E$3)</f>
        <v>0</v>
      </c>
      <c r="N32" s="22" t="n">
        <f aca="false">SUM(D32:M32)</f>
        <v>20</v>
      </c>
      <c r="O32" s="23" t="n">
        <f aca="false">IF($N$47=0,0,N32/$N$47)</f>
        <v>0.0102040816326531</v>
      </c>
    </row>
    <row r="33" customFormat="false" ht="15" hidden="false" customHeight="false" outlineLevel="0" collapsed="false">
      <c r="A33" s="27" t="s">
        <v>30</v>
      </c>
      <c r="B33" s="28" t="s">
        <v>161</v>
      </c>
      <c r="C33" s="29" t="s">
        <v>162</v>
      </c>
      <c r="D33" s="21" t="n">
        <f aca="false">COUNTIFS(d_Subest,$B33,d_Marca,D$5,d_Sector,$E$3)</f>
        <v>0</v>
      </c>
      <c r="E33" s="21" t="n">
        <f aca="false">COUNTIFS(d_Subest,$B33,d_Marca,E$5,d_Sector,$E$3)</f>
        <v>0</v>
      </c>
      <c r="F33" s="21" t="n">
        <f aca="false">COUNTIFS(d_Subest,$B33,d_Marca,F$5,d_Sector,$E$3)</f>
        <v>0</v>
      </c>
      <c r="G33" s="21" t="n">
        <f aca="false">COUNTIFS(d_Subest,$B33,d_Marca,G$5,d_Sector,$E$3)</f>
        <v>6</v>
      </c>
      <c r="H33" s="21" t="n">
        <f aca="false">COUNTIFS(d_Subest,$B33,d_Marca,H$5,d_Sector,$E$3)</f>
        <v>0</v>
      </c>
      <c r="I33" s="21" t="n">
        <f aca="false">COUNTIFS(d_Subest,$B33,d_Marca,I$5,d_Sector,$E$3)</f>
        <v>0</v>
      </c>
      <c r="J33" s="21" t="n">
        <f aca="false">COUNTIFS(d_Subest,$B33,d_Marca,J$5,d_Sector,$E$3)</f>
        <v>0</v>
      </c>
      <c r="K33" s="21" t="n">
        <f aca="false">COUNTIFS(d_Subest,$B33,d_Marca,K$5,d_Sector,$E$3)</f>
        <v>0</v>
      </c>
      <c r="L33" s="21" t="n">
        <f aca="false">COUNTIFS(d_Subest,$B33,d_Marca,L$5,d_Sector,$E$3)</f>
        <v>0</v>
      </c>
      <c r="M33" s="21" t="n">
        <f aca="false">COUNTIFS(d_Subest,$B33,d_Marca,M$5,d_Sector,$E$3)</f>
        <v>0</v>
      </c>
      <c r="N33" s="22" t="n">
        <f aca="false">SUM(D33:M33)</f>
        <v>6</v>
      </c>
      <c r="O33" s="23" t="n">
        <f aca="false">IF($N$47=0,0,N33/$N$47)</f>
        <v>0.00306122448979592</v>
      </c>
    </row>
    <row r="34" customFormat="false" ht="15" hidden="false" customHeight="false" outlineLevel="0" collapsed="false">
      <c r="A34" s="27" t="s">
        <v>30</v>
      </c>
      <c r="B34" s="28" t="s">
        <v>163</v>
      </c>
      <c r="C34" s="29" t="s">
        <v>164</v>
      </c>
      <c r="D34" s="21" t="n">
        <f aca="false">COUNTIFS(d_Subest,$B34,d_Marca,D$5,d_Sector,$E$3)</f>
        <v>0</v>
      </c>
      <c r="E34" s="21" t="n">
        <f aca="false">COUNTIFS(d_Subest,$B34,d_Marca,E$5,d_Sector,$E$3)</f>
        <v>0</v>
      </c>
      <c r="F34" s="21" t="n">
        <f aca="false">COUNTIFS(d_Subest,$B34,d_Marca,F$5,d_Sector,$E$3)</f>
        <v>0</v>
      </c>
      <c r="G34" s="21" t="n">
        <f aca="false">COUNTIFS(d_Subest,$B34,d_Marca,G$5,d_Sector,$E$3)</f>
        <v>6</v>
      </c>
      <c r="H34" s="21" t="n">
        <f aca="false">COUNTIFS(d_Subest,$B34,d_Marca,H$5,d_Sector,$E$3)</f>
        <v>0</v>
      </c>
      <c r="I34" s="21" t="n">
        <f aca="false">COUNTIFS(d_Subest,$B34,d_Marca,I$5,d_Sector,$E$3)</f>
        <v>0</v>
      </c>
      <c r="J34" s="21" t="n">
        <f aca="false">COUNTIFS(d_Subest,$B34,d_Marca,J$5,d_Sector,$E$3)</f>
        <v>0</v>
      </c>
      <c r="K34" s="21" t="n">
        <f aca="false">COUNTIFS(d_Subest,$B34,d_Marca,K$5,d_Sector,$E$3)</f>
        <v>0</v>
      </c>
      <c r="L34" s="21" t="n">
        <f aca="false">COUNTIFS(d_Subest,$B34,d_Marca,L$5,d_Sector,$E$3)</f>
        <v>0</v>
      </c>
      <c r="M34" s="21" t="n">
        <f aca="false">COUNTIFS(d_Subest,$B34,d_Marca,M$5,d_Sector,$E$3)</f>
        <v>0</v>
      </c>
      <c r="N34" s="22" t="n">
        <f aca="false">SUM(D34:M34)</f>
        <v>6</v>
      </c>
      <c r="O34" s="23" t="n">
        <f aca="false">IF($N$47=0,0,N34/$N$47)</f>
        <v>0.00306122448979592</v>
      </c>
    </row>
    <row r="35" customFormat="false" ht="15" hidden="false" customHeight="false" outlineLevel="0" collapsed="false">
      <c r="A35" s="27" t="s">
        <v>30</v>
      </c>
      <c r="B35" s="28" t="s">
        <v>165</v>
      </c>
      <c r="C35" s="29" t="s">
        <v>166</v>
      </c>
      <c r="D35" s="21" t="n">
        <f aca="false">COUNTIFS(d_Subest,$B35,d_Marca,D$5,d_Sector,$E$3)</f>
        <v>0</v>
      </c>
      <c r="E35" s="21" t="n">
        <f aca="false">COUNTIFS(d_Subest,$B35,d_Marca,E$5,d_Sector,$E$3)</f>
        <v>0</v>
      </c>
      <c r="F35" s="21" t="n">
        <f aca="false">COUNTIFS(d_Subest,$B35,d_Marca,F$5,d_Sector,$E$3)</f>
        <v>0</v>
      </c>
      <c r="G35" s="21" t="n">
        <f aca="false">COUNTIFS(d_Subest,$B35,d_Marca,G$5,d_Sector,$E$3)</f>
        <v>13</v>
      </c>
      <c r="H35" s="21" t="n">
        <f aca="false">COUNTIFS(d_Subest,$B35,d_Marca,H$5,d_Sector,$E$3)</f>
        <v>0</v>
      </c>
      <c r="I35" s="21" t="n">
        <f aca="false">COUNTIFS(d_Subest,$B35,d_Marca,I$5,d_Sector,$E$3)</f>
        <v>0</v>
      </c>
      <c r="J35" s="21" t="n">
        <f aca="false">COUNTIFS(d_Subest,$B35,d_Marca,J$5,d_Sector,$E$3)</f>
        <v>0</v>
      </c>
      <c r="K35" s="21" t="n">
        <f aca="false">COUNTIFS(d_Subest,$B35,d_Marca,K$5,d_Sector,$E$3)</f>
        <v>0</v>
      </c>
      <c r="L35" s="21" t="n">
        <f aca="false">COUNTIFS(d_Subest,$B35,d_Marca,L$5,d_Sector,$E$3)</f>
        <v>0</v>
      </c>
      <c r="M35" s="21" t="n">
        <f aca="false">COUNTIFS(d_Subest,$B35,d_Marca,M$5,d_Sector,$E$3)</f>
        <v>0</v>
      </c>
      <c r="N35" s="22" t="n">
        <f aca="false">SUM(D35:M35)</f>
        <v>13</v>
      </c>
      <c r="O35" s="23" t="n">
        <f aca="false">IF($N$47=0,0,N35/$N$47)</f>
        <v>0.00663265306122449</v>
      </c>
    </row>
    <row r="36" customFormat="false" ht="15" hidden="false" customHeight="false" outlineLevel="0" collapsed="false">
      <c r="A36" s="27" t="s">
        <v>31</v>
      </c>
      <c r="B36" s="28" t="s">
        <v>167</v>
      </c>
      <c r="C36" s="29" t="s">
        <v>168</v>
      </c>
      <c r="D36" s="21" t="n">
        <f aca="false">COUNTIFS(d_Subest,$B36,d_Marca,D$5,d_Sector,$E$3)</f>
        <v>0</v>
      </c>
      <c r="E36" s="21" t="n">
        <f aca="false">COUNTIFS(d_Subest,$B36,d_Marca,E$5,d_Sector,$E$3)</f>
        <v>14</v>
      </c>
      <c r="F36" s="21" t="n">
        <f aca="false">COUNTIFS(d_Subest,$B36,d_Marca,F$5,d_Sector,$E$3)</f>
        <v>0</v>
      </c>
      <c r="G36" s="21" t="n">
        <f aca="false">COUNTIFS(d_Subest,$B36,d_Marca,G$5,d_Sector,$E$3)</f>
        <v>11</v>
      </c>
      <c r="H36" s="21" t="n">
        <f aca="false">COUNTIFS(d_Subest,$B36,d_Marca,H$5,d_Sector,$E$3)</f>
        <v>0</v>
      </c>
      <c r="I36" s="21" t="n">
        <f aca="false">COUNTIFS(d_Subest,$B36,d_Marca,I$5,d_Sector,$E$3)</f>
        <v>0</v>
      </c>
      <c r="J36" s="21" t="n">
        <f aca="false">COUNTIFS(d_Subest,$B36,d_Marca,J$5,d_Sector,$E$3)</f>
        <v>0</v>
      </c>
      <c r="K36" s="21" t="n">
        <f aca="false">COUNTIFS(d_Subest,$B36,d_Marca,K$5,d_Sector,$E$3)</f>
        <v>0</v>
      </c>
      <c r="L36" s="21" t="n">
        <f aca="false">COUNTIFS(d_Subest,$B36,d_Marca,L$5,d_Sector,$E$3)</f>
        <v>0</v>
      </c>
      <c r="M36" s="21" t="n">
        <f aca="false">COUNTIFS(d_Subest,$B36,d_Marca,M$5,d_Sector,$E$3)</f>
        <v>0</v>
      </c>
      <c r="N36" s="22" t="n">
        <f aca="false">SUM(D36:M36)</f>
        <v>25</v>
      </c>
      <c r="O36" s="23" t="n">
        <f aca="false">IF($N$47=0,0,N36/$N$47)</f>
        <v>0.0127551020408163</v>
      </c>
    </row>
    <row r="37" customFormat="false" ht="15" hidden="false" customHeight="false" outlineLevel="0" collapsed="false">
      <c r="A37" s="27" t="s">
        <v>31</v>
      </c>
      <c r="B37" s="28" t="s">
        <v>169</v>
      </c>
      <c r="C37" s="29" t="s">
        <v>170</v>
      </c>
      <c r="D37" s="21" t="n">
        <f aca="false">COUNTIFS(d_Subest,$B37,d_Marca,D$5,d_Sector,$E$3)</f>
        <v>22</v>
      </c>
      <c r="E37" s="21" t="n">
        <f aca="false">COUNTIFS(d_Subest,$B37,d_Marca,E$5,d_Sector,$E$3)</f>
        <v>8</v>
      </c>
      <c r="F37" s="21" t="n">
        <f aca="false">COUNTIFS(d_Subest,$B37,d_Marca,F$5,d_Sector,$E$3)</f>
        <v>0</v>
      </c>
      <c r="G37" s="21" t="n">
        <f aca="false">COUNTIFS(d_Subest,$B37,d_Marca,G$5,d_Sector,$E$3)</f>
        <v>0</v>
      </c>
      <c r="H37" s="21" t="n">
        <f aca="false">COUNTIFS(d_Subest,$B37,d_Marca,H$5,d_Sector,$E$3)</f>
        <v>0</v>
      </c>
      <c r="I37" s="21" t="n">
        <f aca="false">COUNTIFS(d_Subest,$B37,d_Marca,I$5,d_Sector,$E$3)</f>
        <v>0</v>
      </c>
      <c r="J37" s="21" t="n">
        <f aca="false">COUNTIFS(d_Subest,$B37,d_Marca,J$5,d_Sector,$E$3)</f>
        <v>0</v>
      </c>
      <c r="K37" s="21" t="n">
        <f aca="false">COUNTIFS(d_Subest,$B37,d_Marca,K$5,d_Sector,$E$3)</f>
        <v>0</v>
      </c>
      <c r="L37" s="21" t="n">
        <f aca="false">COUNTIFS(d_Subest,$B37,d_Marca,L$5,d_Sector,$E$3)</f>
        <v>0</v>
      </c>
      <c r="M37" s="21" t="n">
        <f aca="false">COUNTIFS(d_Subest,$B37,d_Marca,M$5,d_Sector,$E$3)</f>
        <v>0</v>
      </c>
      <c r="N37" s="22" t="n">
        <f aca="false">SUM(D37:M37)</f>
        <v>30</v>
      </c>
      <c r="O37" s="23" t="n">
        <f aca="false">IF($N$47=0,0,N37/$N$47)</f>
        <v>0.0153061224489796</v>
      </c>
    </row>
    <row r="38" customFormat="false" ht="15" hidden="false" customHeight="false" outlineLevel="0" collapsed="false">
      <c r="A38" s="27" t="s">
        <v>31</v>
      </c>
      <c r="B38" s="28" t="s">
        <v>171</v>
      </c>
      <c r="C38" s="29" t="s">
        <v>172</v>
      </c>
      <c r="D38" s="21" t="n">
        <f aca="false">COUNTIFS(d_Subest,$B38,d_Marca,D$5,d_Sector,$E$3)</f>
        <v>0</v>
      </c>
      <c r="E38" s="21" t="n">
        <f aca="false">COUNTIFS(d_Subest,$B38,d_Marca,E$5,d_Sector,$E$3)</f>
        <v>0</v>
      </c>
      <c r="F38" s="21" t="n">
        <f aca="false">COUNTIFS(d_Subest,$B38,d_Marca,F$5,d_Sector,$E$3)</f>
        <v>0</v>
      </c>
      <c r="G38" s="21" t="n">
        <f aca="false">COUNTIFS(d_Subest,$B38,d_Marca,G$5,d_Sector,$E$3)</f>
        <v>11</v>
      </c>
      <c r="H38" s="21" t="n">
        <f aca="false">COUNTIFS(d_Subest,$B38,d_Marca,H$5,d_Sector,$E$3)</f>
        <v>0</v>
      </c>
      <c r="I38" s="21" t="n">
        <f aca="false">COUNTIFS(d_Subest,$B38,d_Marca,I$5,d_Sector,$E$3)</f>
        <v>0</v>
      </c>
      <c r="J38" s="21" t="n">
        <f aca="false">COUNTIFS(d_Subest,$B38,d_Marca,J$5,d_Sector,$E$3)</f>
        <v>0</v>
      </c>
      <c r="K38" s="21" t="n">
        <f aca="false">COUNTIFS(d_Subest,$B38,d_Marca,K$5,d_Sector,$E$3)</f>
        <v>0</v>
      </c>
      <c r="L38" s="21" t="n">
        <f aca="false">COUNTIFS(d_Subest,$B38,d_Marca,L$5,d_Sector,$E$3)</f>
        <v>0</v>
      </c>
      <c r="M38" s="21" t="n">
        <f aca="false">COUNTIFS(d_Subest,$B38,d_Marca,M$5,d_Sector,$E$3)</f>
        <v>0</v>
      </c>
      <c r="N38" s="22" t="n">
        <f aca="false">SUM(D38:M38)</f>
        <v>11</v>
      </c>
      <c r="O38" s="23" t="n">
        <f aca="false">IF($N$47=0,0,N38/$N$47)</f>
        <v>0.00561224489795918</v>
      </c>
    </row>
    <row r="39" customFormat="false" ht="15" hidden="false" customHeight="false" outlineLevel="0" collapsed="false">
      <c r="A39" s="27" t="s">
        <v>31</v>
      </c>
      <c r="B39" s="28" t="s">
        <v>173</v>
      </c>
      <c r="C39" s="29" t="s">
        <v>174</v>
      </c>
      <c r="D39" s="21" t="n">
        <f aca="false">COUNTIFS(d_Subest,$B39,d_Marca,D$5,d_Sector,$E$3)</f>
        <v>0</v>
      </c>
      <c r="E39" s="21" t="n">
        <f aca="false">COUNTIFS(d_Subest,$B39,d_Marca,E$5,d_Sector,$E$3)</f>
        <v>0</v>
      </c>
      <c r="F39" s="21" t="n">
        <f aca="false">COUNTIFS(d_Subest,$B39,d_Marca,F$5,d_Sector,$E$3)</f>
        <v>0</v>
      </c>
      <c r="G39" s="21" t="n">
        <f aca="false">COUNTIFS(d_Subest,$B39,d_Marca,G$5,d_Sector,$E$3)</f>
        <v>15</v>
      </c>
      <c r="H39" s="21" t="n">
        <f aca="false">COUNTIFS(d_Subest,$B39,d_Marca,H$5,d_Sector,$E$3)</f>
        <v>0</v>
      </c>
      <c r="I39" s="21" t="n">
        <f aca="false">COUNTIFS(d_Subest,$B39,d_Marca,I$5,d_Sector,$E$3)</f>
        <v>0</v>
      </c>
      <c r="J39" s="21" t="n">
        <f aca="false">COUNTIFS(d_Subest,$B39,d_Marca,J$5,d_Sector,$E$3)</f>
        <v>0</v>
      </c>
      <c r="K39" s="21" t="n">
        <f aca="false">COUNTIFS(d_Subest,$B39,d_Marca,K$5,d_Sector,$E$3)</f>
        <v>0</v>
      </c>
      <c r="L39" s="21" t="n">
        <f aca="false">COUNTIFS(d_Subest,$B39,d_Marca,L$5,d_Sector,$E$3)</f>
        <v>0</v>
      </c>
      <c r="M39" s="21" t="n">
        <f aca="false">COUNTIFS(d_Subest,$B39,d_Marca,M$5,d_Sector,$E$3)</f>
        <v>0</v>
      </c>
      <c r="N39" s="22" t="n">
        <f aca="false">SUM(D39:M39)</f>
        <v>15</v>
      </c>
      <c r="O39" s="23" t="n">
        <f aca="false">IF($N$47=0,0,N39/$N$47)</f>
        <v>0.0076530612244898</v>
      </c>
    </row>
    <row r="40" customFormat="false" ht="15" hidden="false" customHeight="false" outlineLevel="0" collapsed="false">
      <c r="A40" s="27" t="s">
        <v>31</v>
      </c>
      <c r="B40" s="28" t="s">
        <v>175</v>
      </c>
      <c r="C40" s="29" t="s">
        <v>176</v>
      </c>
      <c r="D40" s="21" t="n">
        <f aca="false">COUNTIFS(d_Subest,$B40,d_Marca,D$5,d_Sector,$E$3)</f>
        <v>0</v>
      </c>
      <c r="E40" s="21" t="n">
        <f aca="false">COUNTIFS(d_Subest,$B40,d_Marca,E$5,d_Sector,$E$3)</f>
        <v>0</v>
      </c>
      <c r="F40" s="21" t="n">
        <f aca="false">COUNTIFS(d_Subest,$B40,d_Marca,F$5,d_Sector,$E$3)</f>
        <v>0</v>
      </c>
      <c r="G40" s="21" t="n">
        <f aca="false">COUNTIFS(d_Subest,$B40,d_Marca,G$5,d_Sector,$E$3)</f>
        <v>0</v>
      </c>
      <c r="H40" s="21" t="n">
        <f aca="false">COUNTIFS(d_Subest,$B40,d_Marca,H$5,d_Sector,$E$3)</f>
        <v>0</v>
      </c>
      <c r="I40" s="21" t="n">
        <f aca="false">COUNTIFS(d_Subest,$B40,d_Marca,I$5,d_Sector,$E$3)</f>
        <v>0</v>
      </c>
      <c r="J40" s="21" t="n">
        <f aca="false">COUNTIFS(d_Subest,$B40,d_Marca,J$5,d_Sector,$E$3)</f>
        <v>0</v>
      </c>
      <c r="K40" s="21" t="n">
        <f aca="false">COUNTIFS(d_Subest,$B40,d_Marca,K$5,d_Sector,$E$3)</f>
        <v>0</v>
      </c>
      <c r="L40" s="21" t="n">
        <f aca="false">COUNTIFS(d_Subest,$B40,d_Marca,L$5,d_Sector,$E$3)</f>
        <v>0</v>
      </c>
      <c r="M40" s="21" t="n">
        <f aca="false">COUNTIFS(d_Subest,$B40,d_Marca,M$5,d_Sector,$E$3)</f>
        <v>12</v>
      </c>
      <c r="N40" s="22" t="n">
        <f aca="false">SUM(D40:M40)</f>
        <v>12</v>
      </c>
      <c r="O40" s="23" t="n">
        <f aca="false">IF($N$47=0,0,N40/$N$47)</f>
        <v>0.00612244897959184</v>
      </c>
    </row>
    <row r="41" customFormat="false" ht="15" hidden="false" customHeight="false" outlineLevel="0" collapsed="false">
      <c r="A41" s="27" t="s">
        <v>31</v>
      </c>
      <c r="B41" s="28" t="s">
        <v>177</v>
      </c>
      <c r="C41" s="29" t="s">
        <v>178</v>
      </c>
      <c r="D41" s="21" t="n">
        <f aca="false">COUNTIFS(d_Subest,$B41,d_Marca,D$5,d_Sector,$E$3)</f>
        <v>28</v>
      </c>
      <c r="E41" s="21" t="n">
        <f aca="false">COUNTIFS(d_Subest,$B41,d_Marca,E$5,d_Sector,$E$3)</f>
        <v>8</v>
      </c>
      <c r="F41" s="21" t="n">
        <f aca="false">COUNTIFS(d_Subest,$B41,d_Marca,F$5,d_Sector,$E$3)</f>
        <v>0</v>
      </c>
      <c r="G41" s="21" t="n">
        <f aca="false">COUNTIFS(d_Subest,$B41,d_Marca,G$5,d_Sector,$E$3)</f>
        <v>0</v>
      </c>
      <c r="H41" s="21" t="n">
        <f aca="false">COUNTIFS(d_Subest,$B41,d_Marca,H$5,d_Sector,$E$3)</f>
        <v>0</v>
      </c>
      <c r="I41" s="21" t="n">
        <f aca="false">COUNTIFS(d_Subest,$B41,d_Marca,I$5,d_Sector,$E$3)</f>
        <v>0</v>
      </c>
      <c r="J41" s="21" t="n">
        <f aca="false">COUNTIFS(d_Subest,$B41,d_Marca,J$5,d_Sector,$E$3)</f>
        <v>0</v>
      </c>
      <c r="K41" s="21" t="n">
        <f aca="false">COUNTIFS(d_Subest,$B41,d_Marca,K$5,d_Sector,$E$3)</f>
        <v>0</v>
      </c>
      <c r="L41" s="21" t="n">
        <f aca="false">COUNTIFS(d_Subest,$B41,d_Marca,L$5,d_Sector,$E$3)</f>
        <v>0</v>
      </c>
      <c r="M41" s="21" t="n">
        <f aca="false">COUNTIFS(d_Subest,$B41,d_Marca,M$5,d_Sector,$E$3)</f>
        <v>0</v>
      </c>
      <c r="N41" s="22" t="n">
        <f aca="false">SUM(D41:M41)</f>
        <v>36</v>
      </c>
      <c r="O41" s="23" t="n">
        <f aca="false">IF($N$47=0,0,N41/$N$47)</f>
        <v>0.0183673469387755</v>
      </c>
    </row>
    <row r="42" customFormat="false" ht="15" hidden="false" customHeight="false" outlineLevel="0" collapsed="false">
      <c r="A42" s="27" t="s">
        <v>31</v>
      </c>
      <c r="B42" s="28" t="s">
        <v>179</v>
      </c>
      <c r="C42" s="29" t="s">
        <v>180</v>
      </c>
      <c r="D42" s="21" t="n">
        <f aca="false">COUNTIFS(d_Subest,$B42,d_Marca,D$5,d_Sector,$E$3)</f>
        <v>0</v>
      </c>
      <c r="E42" s="21" t="n">
        <f aca="false">COUNTIFS(d_Subest,$B42,d_Marca,E$5,d_Sector,$E$3)</f>
        <v>0</v>
      </c>
      <c r="F42" s="21" t="n">
        <f aca="false">COUNTIFS(d_Subest,$B42,d_Marca,F$5,d_Sector,$E$3)</f>
        <v>0</v>
      </c>
      <c r="G42" s="21" t="n">
        <f aca="false">COUNTIFS(d_Subest,$B42,d_Marca,G$5,d_Sector,$E$3)</f>
        <v>7</v>
      </c>
      <c r="H42" s="21" t="n">
        <f aca="false">COUNTIFS(d_Subest,$B42,d_Marca,H$5,d_Sector,$E$3)</f>
        <v>0</v>
      </c>
      <c r="I42" s="21" t="n">
        <f aca="false">COUNTIFS(d_Subest,$B42,d_Marca,I$5,d_Sector,$E$3)</f>
        <v>0</v>
      </c>
      <c r="J42" s="21" t="n">
        <f aca="false">COUNTIFS(d_Subest,$B42,d_Marca,J$5,d_Sector,$E$3)</f>
        <v>0</v>
      </c>
      <c r="K42" s="21" t="n">
        <f aca="false">COUNTIFS(d_Subest,$B42,d_Marca,K$5,d_Sector,$E$3)</f>
        <v>0</v>
      </c>
      <c r="L42" s="21" t="n">
        <f aca="false">COUNTIFS(d_Subest,$B42,d_Marca,L$5,d_Sector,$E$3)</f>
        <v>0</v>
      </c>
      <c r="M42" s="21" t="n">
        <f aca="false">COUNTIFS(d_Subest,$B42,d_Marca,M$5,d_Sector,$E$3)</f>
        <v>0</v>
      </c>
      <c r="N42" s="22" t="n">
        <f aca="false">SUM(D42:M42)</f>
        <v>7</v>
      </c>
      <c r="O42" s="23" t="n">
        <f aca="false">IF($N$47=0,0,N42/$N$47)</f>
        <v>0.00357142857142857</v>
      </c>
    </row>
    <row r="43" customFormat="false" ht="15" hidden="false" customHeight="false" outlineLevel="0" collapsed="false">
      <c r="A43" s="27" t="s">
        <v>31</v>
      </c>
      <c r="B43" s="28" t="s">
        <v>181</v>
      </c>
      <c r="C43" s="29" t="s">
        <v>182</v>
      </c>
      <c r="D43" s="21" t="n">
        <f aca="false">COUNTIFS(d_Subest,$B43,d_Marca,D$5,d_Sector,$E$3)</f>
        <v>0</v>
      </c>
      <c r="E43" s="21" t="n">
        <f aca="false">COUNTIFS(d_Subest,$B43,d_Marca,E$5,d_Sector,$E$3)</f>
        <v>0</v>
      </c>
      <c r="F43" s="21" t="n">
        <f aca="false">COUNTIFS(d_Subest,$B43,d_Marca,F$5,d_Sector,$E$3)</f>
        <v>0</v>
      </c>
      <c r="G43" s="21" t="n">
        <f aca="false">COUNTIFS(d_Subest,$B43,d_Marca,G$5,d_Sector,$E$3)</f>
        <v>4</v>
      </c>
      <c r="H43" s="21" t="n">
        <f aca="false">COUNTIFS(d_Subest,$B43,d_Marca,H$5,d_Sector,$E$3)</f>
        <v>0</v>
      </c>
      <c r="I43" s="21" t="n">
        <f aca="false">COUNTIFS(d_Subest,$B43,d_Marca,I$5,d_Sector,$E$3)</f>
        <v>0</v>
      </c>
      <c r="J43" s="21" t="n">
        <f aca="false">COUNTIFS(d_Subest,$B43,d_Marca,J$5,d_Sector,$E$3)</f>
        <v>0</v>
      </c>
      <c r="K43" s="21" t="n">
        <f aca="false">COUNTIFS(d_Subest,$B43,d_Marca,K$5,d_Sector,$E$3)</f>
        <v>0</v>
      </c>
      <c r="L43" s="21" t="n">
        <f aca="false">COUNTIFS(d_Subest,$B43,d_Marca,L$5,d_Sector,$E$3)</f>
        <v>0</v>
      </c>
      <c r="M43" s="21" t="n">
        <f aca="false">COUNTIFS(d_Subest,$B43,d_Marca,M$5,d_Sector,$E$3)</f>
        <v>1</v>
      </c>
      <c r="N43" s="22" t="n">
        <f aca="false">SUM(D43:M43)</f>
        <v>5</v>
      </c>
      <c r="O43" s="23" t="n">
        <f aca="false">IF($N$47=0,0,N43/$N$47)</f>
        <v>0.00255102040816327</v>
      </c>
    </row>
    <row r="44" customFormat="false" ht="15" hidden="false" customHeight="false" outlineLevel="0" collapsed="false">
      <c r="A44" s="27" t="s">
        <v>31</v>
      </c>
      <c r="B44" s="28" t="s">
        <v>183</v>
      </c>
      <c r="C44" s="29" t="s">
        <v>184</v>
      </c>
      <c r="D44" s="21" t="n">
        <f aca="false">COUNTIFS(d_Subest,$B44,d_Marca,D$5,d_Sector,$E$3)</f>
        <v>62</v>
      </c>
      <c r="E44" s="21" t="n">
        <f aca="false">COUNTIFS(d_Subest,$B44,d_Marca,E$5,d_Sector,$E$3)</f>
        <v>38</v>
      </c>
      <c r="F44" s="21" t="n">
        <f aca="false">COUNTIFS(d_Subest,$B44,d_Marca,F$5,d_Sector,$E$3)</f>
        <v>48</v>
      </c>
      <c r="G44" s="21" t="n">
        <f aca="false">COUNTIFS(d_Subest,$B44,d_Marca,G$5,d_Sector,$E$3)</f>
        <v>0</v>
      </c>
      <c r="H44" s="21" t="n">
        <f aca="false">COUNTIFS(d_Subest,$B44,d_Marca,H$5,d_Sector,$E$3)</f>
        <v>38</v>
      </c>
      <c r="I44" s="21" t="n">
        <f aca="false">COUNTIFS(d_Subest,$B44,d_Marca,I$5,d_Sector,$E$3)</f>
        <v>0</v>
      </c>
      <c r="J44" s="21" t="n">
        <f aca="false">COUNTIFS(d_Subest,$B44,d_Marca,J$5,d_Sector,$E$3)</f>
        <v>0</v>
      </c>
      <c r="K44" s="21" t="n">
        <f aca="false">COUNTIFS(d_Subest,$B44,d_Marca,K$5,d_Sector,$E$3)</f>
        <v>0</v>
      </c>
      <c r="L44" s="21" t="n">
        <f aca="false">COUNTIFS(d_Subest,$B44,d_Marca,L$5,d_Sector,$E$3)</f>
        <v>0</v>
      </c>
      <c r="M44" s="21" t="n">
        <f aca="false">COUNTIFS(d_Subest,$B44,d_Marca,M$5,d_Sector,$E$3)</f>
        <v>0</v>
      </c>
      <c r="N44" s="22" t="n">
        <f aca="false">SUM(D44:M44)</f>
        <v>186</v>
      </c>
      <c r="O44" s="23" t="n">
        <f aca="false">IF($N$47=0,0,N44/$N$47)</f>
        <v>0.0948979591836735</v>
      </c>
    </row>
    <row r="45" customFormat="false" ht="15" hidden="false" customHeight="false" outlineLevel="0" collapsed="false">
      <c r="A45" s="27" t="s">
        <v>31</v>
      </c>
      <c r="B45" s="28" t="s">
        <v>185</v>
      </c>
      <c r="C45" s="29" t="s">
        <v>184</v>
      </c>
      <c r="D45" s="21" t="n">
        <f aca="false">COUNTIFS(d_Subest,$B45,d_Marca,D$5,d_Sector,$E$3)</f>
        <v>63</v>
      </c>
      <c r="E45" s="21" t="n">
        <f aca="false">COUNTIFS(d_Subest,$B45,d_Marca,E$5,d_Sector,$E$3)</f>
        <v>50</v>
      </c>
      <c r="F45" s="21" t="n">
        <f aca="false">COUNTIFS(d_Subest,$B45,d_Marca,F$5,d_Sector,$E$3)</f>
        <v>24</v>
      </c>
      <c r="G45" s="21" t="n">
        <f aca="false">COUNTIFS(d_Subest,$B45,d_Marca,G$5,d_Sector,$E$3)</f>
        <v>23</v>
      </c>
      <c r="H45" s="21" t="n">
        <f aca="false">COUNTIFS(d_Subest,$B45,d_Marca,H$5,d_Sector,$E$3)</f>
        <v>0</v>
      </c>
      <c r="I45" s="21" t="n">
        <f aca="false">COUNTIFS(d_Subest,$B45,d_Marca,I$5,d_Sector,$E$3)</f>
        <v>0</v>
      </c>
      <c r="J45" s="21" t="n">
        <f aca="false">COUNTIFS(d_Subest,$B45,d_Marca,J$5,d_Sector,$E$3)</f>
        <v>0</v>
      </c>
      <c r="K45" s="21" t="n">
        <f aca="false">COUNTIFS(d_Subest,$B45,d_Marca,K$5,d_Sector,$E$3)</f>
        <v>0</v>
      </c>
      <c r="L45" s="21" t="n">
        <f aca="false">COUNTIFS(d_Subest,$B45,d_Marca,L$5,d_Sector,$E$3)</f>
        <v>0</v>
      </c>
      <c r="M45" s="21" t="n">
        <f aca="false">COUNTIFS(d_Subest,$B45,d_Marca,M$5,d_Sector,$E$3)</f>
        <v>0</v>
      </c>
      <c r="N45" s="22" t="n">
        <f aca="false">SUM(D45:M45)</f>
        <v>160</v>
      </c>
      <c r="O45" s="23" t="n">
        <f aca="false">IF($N$47=0,0,N45/$N$47)</f>
        <v>0.0816326530612245</v>
      </c>
    </row>
    <row r="46" customFormat="false" ht="15" hidden="false" customHeight="false" outlineLevel="0" collapsed="false">
      <c r="A46" s="27" t="s">
        <v>186</v>
      </c>
      <c r="B46" s="28" t="s">
        <v>187</v>
      </c>
      <c r="C46" s="29" t="s">
        <v>188</v>
      </c>
      <c r="D46" s="21" t="n">
        <f aca="false">COUNTIFS(d_Subest,$B46,d_Marca,D$5,d_Sector,$E$3)</f>
        <v>255</v>
      </c>
      <c r="E46" s="21" t="n">
        <f aca="false">COUNTIFS(d_Subest,$B46,d_Marca,E$5,d_Sector,$E$3)</f>
        <v>23</v>
      </c>
      <c r="F46" s="21" t="n">
        <f aca="false">COUNTIFS(d_Subest,$B46,d_Marca,F$5,d_Sector,$E$3)</f>
        <v>147</v>
      </c>
      <c r="G46" s="21" t="n">
        <f aca="false">COUNTIFS(d_Subest,$B46,d_Marca,G$5,d_Sector,$E$3)</f>
        <v>100</v>
      </c>
      <c r="H46" s="21" t="n">
        <f aca="false">COUNTIFS(d_Subest,$B46,d_Marca,H$5,d_Sector,$E$3)</f>
        <v>0</v>
      </c>
      <c r="I46" s="21" t="n">
        <f aca="false">COUNTIFS(d_Subest,$B46,d_Marca,I$5,d_Sector,$E$3)</f>
        <v>8</v>
      </c>
      <c r="J46" s="21" t="n">
        <f aca="false">COUNTIFS(d_Subest,$B46,d_Marca,J$5,d_Sector,$E$3)</f>
        <v>0</v>
      </c>
      <c r="K46" s="21" t="n">
        <f aca="false">COUNTIFS(d_Subest,$B46,d_Marca,K$5,d_Sector,$E$3)</f>
        <v>0</v>
      </c>
      <c r="L46" s="21" t="n">
        <f aca="false">COUNTIFS(d_Subest,$B46,d_Marca,L$5,d_Sector,$E$3)</f>
        <v>0</v>
      </c>
      <c r="M46" s="21" t="n">
        <f aca="false">COUNTIFS(d_Subest,$B46,d_Marca,M$5,d_Sector,$E$3)</f>
        <v>11</v>
      </c>
      <c r="N46" s="22" t="n">
        <f aca="false">SUM(D46:M46)</f>
        <v>544</v>
      </c>
      <c r="O46" s="23" t="n">
        <f aca="false">IF($N$47=0,0,N46/$N$47)</f>
        <v>0.277551020408163</v>
      </c>
    </row>
    <row r="47" customFormat="false" ht="15" hidden="false" customHeight="false" outlineLevel="0" collapsed="false">
      <c r="A47" s="24" t="s">
        <v>189</v>
      </c>
      <c r="B47" s="24"/>
      <c r="C47" s="24"/>
      <c r="D47" s="25" t="n">
        <f aca="false">SUM(D6:D46)</f>
        <v>816</v>
      </c>
      <c r="E47" s="25" t="n">
        <f aca="false">SUM(E6:E46)</f>
        <v>345</v>
      </c>
      <c r="F47" s="25" t="n">
        <f aca="false">SUM(F6:F46)</f>
        <v>404</v>
      </c>
      <c r="G47" s="25" t="n">
        <f aca="false">SUM(G6:G46)</f>
        <v>282</v>
      </c>
      <c r="H47" s="25" t="n">
        <f aca="false">SUM(H6:H46)</f>
        <v>40</v>
      </c>
      <c r="I47" s="25" t="n">
        <f aca="false">SUM(I6:I46)</f>
        <v>8</v>
      </c>
      <c r="J47" s="25" t="n">
        <f aca="false">SUM(J6:J46)</f>
        <v>6</v>
      </c>
      <c r="K47" s="25" t="n">
        <f aca="false">SUM(K6:K46)</f>
        <v>2</v>
      </c>
      <c r="L47" s="25" t="n">
        <f aca="false">SUM(L6:L46)</f>
        <v>6</v>
      </c>
      <c r="M47" s="25" t="n">
        <f aca="false">SUM(M6:M46)</f>
        <v>51</v>
      </c>
      <c r="N47" s="25" t="n">
        <f aca="false">SUM(N6:N46)</f>
        <v>1960</v>
      </c>
      <c r="O47" s="26" t="n">
        <f aca="false">IF($N$47=0,0,N47/$N$47)</f>
        <v>1</v>
      </c>
    </row>
  </sheetData>
  <conditionalFormatting sqref="D6:M46">
    <cfRule type="dataBar" priority="2">
      <dataBar showValue="1" minLength="10" maxLength="90">
        <cfvo type="num" val="0"/>
        <cfvo type="max" val="0"/>
        <color rgb="FF9DC3E6"/>
      </dataBar>
      <extLst>
        <ext xmlns:x14="http://schemas.microsoft.com/office/spreadsheetml/2009/9/main" uri="{B025F937-C7B1-47D3-B67F-A62EFF666E3E}">
          <x14:id>{387122EB-7A9B-4CFF-A83D-59FAED1A72F2}</x14:id>
        </ext>
      </extLst>
    </cfRule>
  </conditionalFormatting>
  <dataValidations count="1">
    <dataValidation allowBlank="false" errorStyle="stop" operator="between" showDropDown="false" showErrorMessage="false" showInputMessage="false" sqref="B3" type="list">
      <formula1>Catalogos!$T$5:$T$13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7122EB-7A9B-4CFF-A83D-59FAED1A72F2}">
            <x14:dataBar minLength="10" maxLength="90" axisPosition="none" gradient="true">
              <x14:cfvo type="num">
                <xm:f>0</xm:f>
              </x14:cfvo>
              <x14:cfvo type="max"/>
              <x14:negativeFillColor rgb="FF9DC3E6"/>
              <x14:axisColor rgb="FF000000"/>
            </x14:dataBar>
          </x14:cfRule>
          <xm:sqref>D6:M46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Z7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52" min="3" style="0" width="11"/>
  </cols>
  <sheetData>
    <row r="1" customFormat="false" ht="19.7" hidden="false" customHeight="false" outlineLevel="0" collapsed="false">
      <c r="A1" s="11" t="s">
        <v>190</v>
      </c>
    </row>
    <row r="2" customFormat="false" ht="15" hidden="false" customHeight="false" outlineLevel="0" collapsed="false">
      <c r="A2" s="12" t="s">
        <v>191</v>
      </c>
    </row>
    <row r="6" customFormat="false" ht="35.05" hidden="false" customHeight="false" outlineLevel="0" collapsed="false">
      <c r="A6" s="15" t="s">
        <v>22</v>
      </c>
      <c r="B6" s="15" t="s">
        <v>23</v>
      </c>
      <c r="C6" s="15" t="s">
        <v>24</v>
      </c>
      <c r="D6" s="15" t="s">
        <v>24</v>
      </c>
      <c r="E6" s="15" t="s">
        <v>24</v>
      </c>
      <c r="F6" s="15" t="s">
        <v>25</v>
      </c>
      <c r="G6" s="15" t="s">
        <v>25</v>
      </c>
      <c r="H6" s="15" t="s">
        <v>25</v>
      </c>
      <c r="I6" s="15" t="s">
        <v>26</v>
      </c>
      <c r="J6" s="15" t="s">
        <v>26</v>
      </c>
      <c r="K6" s="15" t="s">
        <v>26</v>
      </c>
      <c r="L6" s="15" t="s">
        <v>27</v>
      </c>
      <c r="M6" s="15" t="s">
        <v>27</v>
      </c>
      <c r="N6" s="15" t="s">
        <v>27</v>
      </c>
      <c r="O6" s="15" t="s">
        <v>27</v>
      </c>
      <c r="P6" s="15" t="s">
        <v>27</v>
      </c>
      <c r="Q6" s="15" t="s">
        <v>28</v>
      </c>
      <c r="R6" s="15" t="s">
        <v>28</v>
      </c>
      <c r="S6" s="15" t="s">
        <v>28</v>
      </c>
      <c r="T6" s="15" t="s">
        <v>28</v>
      </c>
      <c r="U6" s="15" t="s">
        <v>28</v>
      </c>
      <c r="V6" s="15" t="s">
        <v>28</v>
      </c>
      <c r="W6" s="15" t="s">
        <v>29</v>
      </c>
      <c r="X6" s="15" t="s">
        <v>29</v>
      </c>
      <c r="Y6" s="15" t="s">
        <v>29</v>
      </c>
      <c r="Z6" s="15" t="s">
        <v>29</v>
      </c>
      <c r="AA6" s="15" t="s">
        <v>29</v>
      </c>
      <c r="AB6" s="15" t="s">
        <v>29</v>
      </c>
      <c r="AC6" s="15" t="s">
        <v>30</v>
      </c>
      <c r="AD6" s="15" t="s">
        <v>30</v>
      </c>
      <c r="AE6" s="15" t="s">
        <v>30</v>
      </c>
      <c r="AF6" s="15" t="s">
        <v>30</v>
      </c>
      <c r="AG6" s="15" t="s">
        <v>30</v>
      </c>
      <c r="AH6" s="15" t="s">
        <v>30</v>
      </c>
      <c r="AI6" s="15" t="s">
        <v>30</v>
      </c>
      <c r="AJ6" s="15" t="s">
        <v>30</v>
      </c>
      <c r="AK6" s="15" t="s">
        <v>30</v>
      </c>
      <c r="AL6" s="15" t="s">
        <v>30</v>
      </c>
      <c r="AM6" s="15" t="s">
        <v>30</v>
      </c>
      <c r="AN6" s="15" t="s">
        <v>31</v>
      </c>
      <c r="AO6" s="15" t="s">
        <v>31</v>
      </c>
      <c r="AP6" s="15" t="s">
        <v>31</v>
      </c>
      <c r="AQ6" s="15" t="s">
        <v>31</v>
      </c>
      <c r="AR6" s="15" t="s">
        <v>31</v>
      </c>
      <c r="AS6" s="15" t="s">
        <v>31</v>
      </c>
      <c r="AT6" s="15" t="s">
        <v>31</v>
      </c>
      <c r="AU6" s="15" t="s">
        <v>31</v>
      </c>
      <c r="AV6" s="15" t="s">
        <v>31</v>
      </c>
      <c r="AW6" s="15" t="s">
        <v>31</v>
      </c>
      <c r="AX6" s="15" t="s">
        <v>31</v>
      </c>
      <c r="AY6" s="15" t="s">
        <v>192</v>
      </c>
      <c r="AZ6" s="15" t="s">
        <v>189</v>
      </c>
    </row>
    <row r="7" customFormat="false" ht="21.75" hidden="false" customHeight="true" outlineLevel="0" collapsed="false">
      <c r="A7" s="12" t="s">
        <v>193</v>
      </c>
      <c r="C7" s="30" t="s">
        <v>108</v>
      </c>
      <c r="D7" s="30" t="s">
        <v>110</v>
      </c>
      <c r="E7" s="31" t="s">
        <v>194</v>
      </c>
      <c r="F7" s="30" t="s">
        <v>112</v>
      </c>
      <c r="G7" s="30" t="s">
        <v>114</v>
      </c>
      <c r="H7" s="31" t="s">
        <v>195</v>
      </c>
      <c r="I7" s="30" t="s">
        <v>115</v>
      </c>
      <c r="J7" s="30" t="s">
        <v>117</v>
      </c>
      <c r="K7" s="31" t="s">
        <v>196</v>
      </c>
      <c r="L7" s="30" t="s">
        <v>119</v>
      </c>
      <c r="M7" s="30" t="s">
        <v>121</v>
      </c>
      <c r="N7" s="30" t="s">
        <v>123</v>
      </c>
      <c r="O7" s="30" t="s">
        <v>125</v>
      </c>
      <c r="P7" s="31" t="s">
        <v>197</v>
      </c>
      <c r="Q7" s="30" t="s">
        <v>127</v>
      </c>
      <c r="R7" s="30" t="s">
        <v>129</v>
      </c>
      <c r="S7" s="30" t="s">
        <v>131</v>
      </c>
      <c r="T7" s="30" t="s">
        <v>133</v>
      </c>
      <c r="U7" s="30" t="s">
        <v>135</v>
      </c>
      <c r="V7" s="31" t="s">
        <v>198</v>
      </c>
      <c r="W7" s="30" t="s">
        <v>137</v>
      </c>
      <c r="X7" s="30" t="s">
        <v>139</v>
      </c>
      <c r="Y7" s="30" t="s">
        <v>141</v>
      </c>
      <c r="Z7" s="30" t="s">
        <v>143</v>
      </c>
      <c r="AA7" s="30" t="s">
        <v>145</v>
      </c>
      <c r="AB7" s="31" t="s">
        <v>199</v>
      </c>
      <c r="AC7" s="30" t="s">
        <v>147</v>
      </c>
      <c r="AD7" s="30" t="s">
        <v>149</v>
      </c>
      <c r="AE7" s="30" t="s">
        <v>151</v>
      </c>
      <c r="AF7" s="30" t="s">
        <v>153</v>
      </c>
      <c r="AG7" s="30" t="s">
        <v>155</v>
      </c>
      <c r="AH7" s="30" t="s">
        <v>157</v>
      </c>
      <c r="AI7" s="30" t="s">
        <v>159</v>
      </c>
      <c r="AJ7" s="30" t="s">
        <v>161</v>
      </c>
      <c r="AK7" s="30" t="s">
        <v>163</v>
      </c>
      <c r="AL7" s="30" t="s">
        <v>165</v>
      </c>
      <c r="AM7" s="31" t="s">
        <v>200</v>
      </c>
      <c r="AN7" s="30" t="s">
        <v>167</v>
      </c>
      <c r="AO7" s="30" t="s">
        <v>169</v>
      </c>
      <c r="AP7" s="30" t="s">
        <v>171</v>
      </c>
      <c r="AQ7" s="30" t="s">
        <v>173</v>
      </c>
      <c r="AR7" s="30" t="s">
        <v>175</v>
      </c>
      <c r="AS7" s="30" t="s">
        <v>177</v>
      </c>
      <c r="AT7" s="30" t="s">
        <v>179</v>
      </c>
      <c r="AU7" s="30" t="s">
        <v>181</v>
      </c>
      <c r="AV7" s="30" t="s">
        <v>183</v>
      </c>
      <c r="AW7" s="30" t="s">
        <v>185</v>
      </c>
      <c r="AX7" s="31" t="s">
        <v>201</v>
      </c>
      <c r="AY7" s="30" t="s">
        <v>187</v>
      </c>
      <c r="AZ7" s="13" t="s">
        <v>103</v>
      </c>
    </row>
    <row r="8" customFormat="false" ht="63.75" hidden="false" customHeight="true" outlineLevel="0" collapsed="false">
      <c r="A8" s="12" t="s">
        <v>202</v>
      </c>
      <c r="C8" s="32" t="s">
        <v>109</v>
      </c>
      <c r="D8" s="32" t="s">
        <v>111</v>
      </c>
      <c r="E8" s="33"/>
      <c r="F8" s="32" t="s">
        <v>113</v>
      </c>
      <c r="G8" s="32" t="s">
        <v>113</v>
      </c>
      <c r="H8" s="33"/>
      <c r="I8" s="32" t="s">
        <v>116</v>
      </c>
      <c r="J8" s="32" t="s">
        <v>118</v>
      </c>
      <c r="K8" s="33"/>
      <c r="L8" s="32" t="s">
        <v>120</v>
      </c>
      <c r="M8" s="32" t="s">
        <v>122</v>
      </c>
      <c r="N8" s="32" t="s">
        <v>124</v>
      </c>
      <c r="O8" s="32" t="s">
        <v>126</v>
      </c>
      <c r="P8" s="33"/>
      <c r="Q8" s="32" t="s">
        <v>128</v>
      </c>
      <c r="R8" s="32" t="s">
        <v>130</v>
      </c>
      <c r="S8" s="32" t="s">
        <v>132</v>
      </c>
      <c r="T8" s="32" t="s">
        <v>134</v>
      </c>
      <c r="U8" s="32" t="s">
        <v>136</v>
      </c>
      <c r="V8" s="33"/>
      <c r="W8" s="32" t="s">
        <v>138</v>
      </c>
      <c r="X8" s="32" t="s">
        <v>140</v>
      </c>
      <c r="Y8" s="32" t="s">
        <v>142</v>
      </c>
      <c r="Z8" s="32" t="s">
        <v>144</v>
      </c>
      <c r="AA8" s="32" t="s">
        <v>146</v>
      </c>
      <c r="AB8" s="33"/>
      <c r="AC8" s="32" t="s">
        <v>148</v>
      </c>
      <c r="AD8" s="32" t="s">
        <v>150</v>
      </c>
      <c r="AE8" s="32" t="s">
        <v>152</v>
      </c>
      <c r="AF8" s="32" t="s">
        <v>154</v>
      </c>
      <c r="AG8" s="32" t="s">
        <v>156</v>
      </c>
      <c r="AH8" s="32" t="s">
        <v>158</v>
      </c>
      <c r="AI8" s="32" t="s">
        <v>160</v>
      </c>
      <c r="AJ8" s="32" t="s">
        <v>162</v>
      </c>
      <c r="AK8" s="32" t="s">
        <v>164</v>
      </c>
      <c r="AL8" s="32" t="s">
        <v>166</v>
      </c>
      <c r="AM8" s="33"/>
      <c r="AN8" s="32" t="s">
        <v>168</v>
      </c>
      <c r="AO8" s="32" t="s">
        <v>170</v>
      </c>
      <c r="AP8" s="32" t="s">
        <v>172</v>
      </c>
      <c r="AQ8" s="32" t="s">
        <v>174</v>
      </c>
      <c r="AR8" s="32" t="s">
        <v>176</v>
      </c>
      <c r="AS8" s="32" t="s">
        <v>178</v>
      </c>
      <c r="AT8" s="32" t="s">
        <v>180</v>
      </c>
      <c r="AU8" s="32" t="s">
        <v>182</v>
      </c>
      <c r="AV8" s="32" t="s">
        <v>184</v>
      </c>
      <c r="AW8" s="32" t="s">
        <v>184</v>
      </c>
      <c r="AX8" s="33"/>
    </row>
    <row r="9" customFormat="false" ht="15" hidden="false" customHeight="false" outlineLevel="0" collapsed="false">
      <c r="A9" s="16" t="s">
        <v>34</v>
      </c>
      <c r="B9" s="16" t="s">
        <v>35</v>
      </c>
      <c r="C9" s="17" t="n">
        <f aca="false">COUNTIFS(d_Marca,$A9,d_Subest,C$7)</f>
        <v>61</v>
      </c>
      <c r="D9" s="17" t="n">
        <f aca="false">COUNTIFS(d_Marca,$A9,d_Subest,D$7)</f>
        <v>50</v>
      </c>
      <c r="E9" s="17" t="n">
        <f aca="false">SUM(C9:D9)</f>
        <v>111</v>
      </c>
      <c r="F9" s="17" t="n">
        <f aca="false">COUNTIFS(d_Marca,$A9,d_Subest,F$7)</f>
        <v>42</v>
      </c>
      <c r="G9" s="17" t="n">
        <f aca="false">COUNTIFS(d_Marca,$A9,d_Subest,G$7)</f>
        <v>26</v>
      </c>
      <c r="H9" s="17" t="n">
        <f aca="false">SUM(F9:G9)</f>
        <v>68</v>
      </c>
      <c r="I9" s="17" t="n">
        <f aca="false">COUNTIFS(d_Marca,$A9,d_Subest,I$7)</f>
        <v>0</v>
      </c>
      <c r="J9" s="17" t="n">
        <f aca="false">COUNTIFS(d_Marca,$A9,d_Subest,J$7)</f>
        <v>39</v>
      </c>
      <c r="K9" s="17" t="n">
        <f aca="false">SUM(I9:J9)</f>
        <v>39</v>
      </c>
      <c r="L9" s="17" t="n">
        <f aca="false">COUNTIFS(d_Marca,$A9,d_Subest,L$7)</f>
        <v>18</v>
      </c>
      <c r="M9" s="17" t="n">
        <f aca="false">COUNTIFS(d_Marca,$A9,d_Subest,M$7)</f>
        <v>0</v>
      </c>
      <c r="N9" s="17" t="n">
        <f aca="false">COUNTIFS(d_Marca,$A9,d_Subest,N$7)</f>
        <v>0</v>
      </c>
      <c r="O9" s="17" t="n">
        <f aca="false">COUNTIFS(d_Marca,$A9,d_Subest,O$7)</f>
        <v>0</v>
      </c>
      <c r="P9" s="17" t="n">
        <f aca="false">SUM(L9:O9)</f>
        <v>18</v>
      </c>
      <c r="Q9" s="17" t="n">
        <f aca="false">COUNTIFS(d_Marca,$A9,d_Subest,Q$7)</f>
        <v>0</v>
      </c>
      <c r="R9" s="17" t="n">
        <f aca="false">COUNTIFS(d_Marca,$A9,d_Subest,R$7)</f>
        <v>0</v>
      </c>
      <c r="S9" s="17" t="n">
        <f aca="false">COUNTIFS(d_Marca,$A9,d_Subest,S$7)</f>
        <v>0</v>
      </c>
      <c r="T9" s="17" t="n">
        <f aca="false">COUNTIFS(d_Marca,$A9,d_Subest,T$7)</f>
        <v>30</v>
      </c>
      <c r="U9" s="17" t="n">
        <f aca="false">COUNTIFS(d_Marca,$A9,d_Subest,U$7)</f>
        <v>0</v>
      </c>
      <c r="V9" s="17" t="n">
        <f aca="false">SUM(Q9:U9)</f>
        <v>30</v>
      </c>
      <c r="W9" s="17" t="n">
        <f aca="false">COUNTIFS(d_Marca,$A9,d_Subest,W$7)</f>
        <v>24</v>
      </c>
      <c r="X9" s="17" t="n">
        <f aca="false">COUNTIFS(d_Marca,$A9,d_Subest,X$7)</f>
        <v>25</v>
      </c>
      <c r="Y9" s="17" t="n">
        <f aca="false">COUNTIFS(d_Marca,$A9,d_Subest,Y$7)</f>
        <v>21</v>
      </c>
      <c r="Z9" s="17" t="n">
        <f aca="false">COUNTIFS(d_Marca,$A9,d_Subest,Z$7)</f>
        <v>22</v>
      </c>
      <c r="AA9" s="17" t="n">
        <f aca="false">COUNTIFS(d_Marca,$A9,d_Subest,AA$7)</f>
        <v>24</v>
      </c>
      <c r="AB9" s="17" t="n">
        <f aca="false">SUM(W9:AA9)</f>
        <v>116</v>
      </c>
      <c r="AC9" s="17" t="n">
        <f aca="false">COUNTIFS(d_Marca,$A9,d_Subest,AC$7)</f>
        <v>0</v>
      </c>
      <c r="AD9" s="17" t="n">
        <f aca="false">COUNTIFS(d_Marca,$A9,d_Subest,AD$7)</f>
        <v>0</v>
      </c>
      <c r="AE9" s="17" t="n">
        <f aca="false">COUNTIFS(d_Marca,$A9,d_Subest,AE$7)</f>
        <v>0</v>
      </c>
      <c r="AF9" s="17" t="n">
        <f aca="false">COUNTIFS(d_Marca,$A9,d_Subest,AF$7)</f>
        <v>4</v>
      </c>
      <c r="AG9" s="17" t="n">
        <f aca="false">COUNTIFS(d_Marca,$A9,d_Subest,AG$7)</f>
        <v>0</v>
      </c>
      <c r="AH9" s="17" t="n">
        <f aca="false">COUNTIFS(d_Marca,$A9,d_Subest,AH$7)</f>
        <v>0</v>
      </c>
      <c r="AI9" s="17" t="n">
        <f aca="false">COUNTIFS(d_Marca,$A9,d_Subest,AI$7)</f>
        <v>0</v>
      </c>
      <c r="AJ9" s="17" t="n">
        <f aca="false">COUNTIFS(d_Marca,$A9,d_Subest,AJ$7)</f>
        <v>0</v>
      </c>
      <c r="AK9" s="17" t="n">
        <f aca="false">COUNTIFS(d_Marca,$A9,d_Subest,AK$7)</f>
        <v>0</v>
      </c>
      <c r="AL9" s="17" t="n">
        <f aca="false">COUNTIFS(d_Marca,$A9,d_Subest,AL$7)</f>
        <v>0</v>
      </c>
      <c r="AM9" s="17" t="n">
        <f aca="false">SUM(AC9:AL9)</f>
        <v>4</v>
      </c>
      <c r="AN9" s="17" t="n">
        <f aca="false">COUNTIFS(d_Marca,$A9,d_Subest,AN$7)</f>
        <v>0</v>
      </c>
      <c r="AO9" s="17" t="n">
        <f aca="false">COUNTIFS(d_Marca,$A9,d_Subest,AO$7)</f>
        <v>22</v>
      </c>
      <c r="AP9" s="17" t="n">
        <f aca="false">COUNTIFS(d_Marca,$A9,d_Subest,AP$7)</f>
        <v>0</v>
      </c>
      <c r="AQ9" s="17" t="n">
        <f aca="false">COUNTIFS(d_Marca,$A9,d_Subest,AQ$7)</f>
        <v>0</v>
      </c>
      <c r="AR9" s="17" t="n">
        <f aca="false">COUNTIFS(d_Marca,$A9,d_Subest,AR$7)</f>
        <v>0</v>
      </c>
      <c r="AS9" s="17" t="n">
        <f aca="false">COUNTIFS(d_Marca,$A9,d_Subest,AS$7)</f>
        <v>28</v>
      </c>
      <c r="AT9" s="17" t="n">
        <f aca="false">COUNTIFS(d_Marca,$A9,d_Subest,AT$7)</f>
        <v>0</v>
      </c>
      <c r="AU9" s="17" t="n">
        <f aca="false">COUNTIFS(d_Marca,$A9,d_Subest,AU$7)</f>
        <v>0</v>
      </c>
      <c r="AV9" s="17" t="n">
        <f aca="false">COUNTIFS(d_Marca,$A9,d_Subest,AV$7)</f>
        <v>62</v>
      </c>
      <c r="AW9" s="17" t="n">
        <f aca="false">COUNTIFS(d_Marca,$A9,d_Subest,AW$7)</f>
        <v>63</v>
      </c>
      <c r="AX9" s="17" t="n">
        <f aca="false">SUM(AN9:AW9)</f>
        <v>175</v>
      </c>
      <c r="AY9" s="17" t="n">
        <f aca="false">COUNTIFS(d_Marca,$A9,d_Subest,AY$7)</f>
        <v>255</v>
      </c>
      <c r="AZ9" s="17" t="n">
        <f aca="false">E9+H9+K9+P9+V9+AB9+AM9+AX9+AY9</f>
        <v>816</v>
      </c>
    </row>
    <row r="10" customFormat="false" ht="15" hidden="false" customHeight="false" outlineLevel="0" collapsed="false">
      <c r="A10" s="19" t="s">
        <v>34</v>
      </c>
      <c r="B10" s="20" t="s">
        <v>36</v>
      </c>
      <c r="C10" s="21" t="n">
        <f aca="false">COUNTIFS(d_Marca,$A10,d_Modelo,$B10,d_Subest,C$7)</f>
        <v>46</v>
      </c>
      <c r="D10" s="21" t="n">
        <f aca="false">COUNTIFS(d_Marca,$A10,d_Modelo,$B10,d_Subest,D$7)</f>
        <v>35</v>
      </c>
      <c r="E10" s="17" t="n">
        <f aca="false">SUM(C10:D10)</f>
        <v>81</v>
      </c>
      <c r="F10" s="21" t="n">
        <f aca="false">COUNTIFS(d_Marca,$A10,d_Modelo,$B10,d_Subest,F$7)</f>
        <v>11</v>
      </c>
      <c r="G10" s="21" t="n">
        <f aca="false">COUNTIFS(d_Marca,$A10,d_Modelo,$B10,d_Subest,G$7)</f>
        <v>13</v>
      </c>
      <c r="H10" s="17" t="n">
        <f aca="false">SUM(F10:G10)</f>
        <v>24</v>
      </c>
      <c r="I10" s="21" t="n">
        <f aca="false">COUNTIFS(d_Marca,$A10,d_Modelo,$B10,d_Subest,I$7)</f>
        <v>0</v>
      </c>
      <c r="J10" s="21" t="n">
        <f aca="false">COUNTIFS(d_Marca,$A10,d_Modelo,$B10,d_Subest,J$7)</f>
        <v>0</v>
      </c>
      <c r="K10" s="17" t="n">
        <f aca="false">SUM(I10:J10)</f>
        <v>0</v>
      </c>
      <c r="L10" s="21" t="n">
        <f aca="false">COUNTIFS(d_Marca,$A10,d_Modelo,$B10,d_Subest,L$7)</f>
        <v>0</v>
      </c>
      <c r="M10" s="21" t="n">
        <f aca="false">COUNTIFS(d_Marca,$A10,d_Modelo,$B10,d_Subest,M$7)</f>
        <v>0</v>
      </c>
      <c r="N10" s="21" t="n">
        <f aca="false">COUNTIFS(d_Marca,$A10,d_Modelo,$B10,d_Subest,N$7)</f>
        <v>0</v>
      </c>
      <c r="O10" s="21" t="n">
        <f aca="false">COUNTIFS(d_Marca,$A10,d_Modelo,$B10,d_Subest,O$7)</f>
        <v>0</v>
      </c>
      <c r="P10" s="17" t="n">
        <f aca="false">SUM(L10:O10)</f>
        <v>0</v>
      </c>
      <c r="Q10" s="21" t="n">
        <f aca="false">COUNTIFS(d_Marca,$A10,d_Modelo,$B10,d_Subest,Q$7)</f>
        <v>0</v>
      </c>
      <c r="R10" s="21" t="n">
        <f aca="false">COUNTIFS(d_Marca,$A10,d_Modelo,$B10,d_Subest,R$7)</f>
        <v>0</v>
      </c>
      <c r="S10" s="21" t="n">
        <f aca="false">COUNTIFS(d_Marca,$A10,d_Modelo,$B10,d_Subest,S$7)</f>
        <v>0</v>
      </c>
      <c r="T10" s="21" t="n">
        <f aca="false">COUNTIFS(d_Marca,$A10,d_Modelo,$B10,d_Subest,T$7)</f>
        <v>0</v>
      </c>
      <c r="U10" s="21" t="n">
        <f aca="false">COUNTIFS(d_Marca,$A10,d_Modelo,$B10,d_Subest,U$7)</f>
        <v>0</v>
      </c>
      <c r="V10" s="17" t="n">
        <f aca="false">SUM(Q10:U10)</f>
        <v>0</v>
      </c>
      <c r="W10" s="21" t="n">
        <f aca="false">COUNTIFS(d_Marca,$A10,d_Modelo,$B10,d_Subest,W$7)</f>
        <v>0</v>
      </c>
      <c r="X10" s="21" t="n">
        <f aca="false">COUNTIFS(d_Marca,$A10,d_Modelo,$B10,d_Subest,X$7)</f>
        <v>0</v>
      </c>
      <c r="Y10" s="21" t="n">
        <f aca="false">COUNTIFS(d_Marca,$A10,d_Modelo,$B10,d_Subest,Y$7)</f>
        <v>0</v>
      </c>
      <c r="Z10" s="21" t="n">
        <f aca="false">COUNTIFS(d_Marca,$A10,d_Modelo,$B10,d_Subest,Z$7)</f>
        <v>0</v>
      </c>
      <c r="AA10" s="21" t="n">
        <f aca="false">COUNTIFS(d_Marca,$A10,d_Modelo,$B10,d_Subest,AA$7)</f>
        <v>0</v>
      </c>
      <c r="AB10" s="17" t="n">
        <f aca="false">SUM(W10:AA10)</f>
        <v>0</v>
      </c>
      <c r="AC10" s="21" t="n">
        <f aca="false">COUNTIFS(d_Marca,$A10,d_Modelo,$B10,d_Subest,AC$7)</f>
        <v>0</v>
      </c>
      <c r="AD10" s="21" t="n">
        <f aca="false">COUNTIFS(d_Marca,$A10,d_Modelo,$B10,d_Subest,AD$7)</f>
        <v>0</v>
      </c>
      <c r="AE10" s="21" t="n">
        <f aca="false">COUNTIFS(d_Marca,$A10,d_Modelo,$B10,d_Subest,AE$7)</f>
        <v>0</v>
      </c>
      <c r="AF10" s="21" t="n">
        <f aca="false">COUNTIFS(d_Marca,$A10,d_Modelo,$B10,d_Subest,AF$7)</f>
        <v>0</v>
      </c>
      <c r="AG10" s="21" t="n">
        <f aca="false">COUNTIFS(d_Marca,$A10,d_Modelo,$B10,d_Subest,AG$7)</f>
        <v>0</v>
      </c>
      <c r="AH10" s="21" t="n">
        <f aca="false">COUNTIFS(d_Marca,$A10,d_Modelo,$B10,d_Subest,AH$7)</f>
        <v>0</v>
      </c>
      <c r="AI10" s="21" t="n">
        <f aca="false">COUNTIFS(d_Marca,$A10,d_Modelo,$B10,d_Subest,AI$7)</f>
        <v>0</v>
      </c>
      <c r="AJ10" s="21" t="n">
        <f aca="false">COUNTIFS(d_Marca,$A10,d_Modelo,$B10,d_Subest,AJ$7)</f>
        <v>0</v>
      </c>
      <c r="AK10" s="21" t="n">
        <f aca="false">COUNTIFS(d_Marca,$A10,d_Modelo,$B10,d_Subest,AK$7)</f>
        <v>0</v>
      </c>
      <c r="AL10" s="21" t="n">
        <f aca="false">COUNTIFS(d_Marca,$A10,d_Modelo,$B10,d_Subest,AL$7)</f>
        <v>0</v>
      </c>
      <c r="AM10" s="17" t="n">
        <f aca="false">SUM(AC10:AL10)</f>
        <v>0</v>
      </c>
      <c r="AN10" s="21" t="n">
        <f aca="false">COUNTIFS(d_Marca,$A10,d_Modelo,$B10,d_Subest,AN$7)</f>
        <v>0</v>
      </c>
      <c r="AO10" s="21" t="n">
        <f aca="false">COUNTIFS(d_Marca,$A10,d_Modelo,$B10,d_Subest,AO$7)</f>
        <v>0</v>
      </c>
      <c r="AP10" s="21" t="n">
        <f aca="false">COUNTIFS(d_Marca,$A10,d_Modelo,$B10,d_Subest,AP$7)</f>
        <v>0</v>
      </c>
      <c r="AQ10" s="21" t="n">
        <f aca="false">COUNTIFS(d_Marca,$A10,d_Modelo,$B10,d_Subest,AQ$7)</f>
        <v>0</v>
      </c>
      <c r="AR10" s="21" t="n">
        <f aca="false">COUNTIFS(d_Marca,$A10,d_Modelo,$B10,d_Subest,AR$7)</f>
        <v>0</v>
      </c>
      <c r="AS10" s="21" t="n">
        <f aca="false">COUNTIFS(d_Marca,$A10,d_Modelo,$B10,d_Subest,AS$7)</f>
        <v>0</v>
      </c>
      <c r="AT10" s="21" t="n">
        <f aca="false">COUNTIFS(d_Marca,$A10,d_Modelo,$B10,d_Subest,AT$7)</f>
        <v>0</v>
      </c>
      <c r="AU10" s="21" t="n">
        <f aca="false">COUNTIFS(d_Marca,$A10,d_Modelo,$B10,d_Subest,AU$7)</f>
        <v>0</v>
      </c>
      <c r="AV10" s="21" t="n">
        <f aca="false">COUNTIFS(d_Marca,$A10,d_Modelo,$B10,d_Subest,AV$7)</f>
        <v>0</v>
      </c>
      <c r="AW10" s="21" t="n">
        <f aca="false">COUNTIFS(d_Marca,$A10,d_Modelo,$B10,d_Subest,AW$7)</f>
        <v>0</v>
      </c>
      <c r="AX10" s="17" t="n">
        <f aca="false">SUM(AN10:AW10)</f>
        <v>0</v>
      </c>
      <c r="AY10" s="21" t="n">
        <f aca="false">COUNTIFS(d_Marca,$A10,d_Modelo,$B10,d_Subest,AY$7)</f>
        <v>79</v>
      </c>
      <c r="AZ10" s="17" t="n">
        <f aca="false">E10+H10+K10+P10+V10+AB10+AM10+AX10+AY10</f>
        <v>184</v>
      </c>
    </row>
    <row r="11" customFormat="false" ht="15" hidden="false" customHeight="false" outlineLevel="0" collapsed="false">
      <c r="A11" s="19" t="s">
        <v>34</v>
      </c>
      <c r="B11" s="20" t="s">
        <v>37</v>
      </c>
      <c r="C11" s="21" t="n">
        <f aca="false">COUNTIFS(d_Marca,$A11,d_Modelo,$B11,d_Subest,C$7)</f>
        <v>0</v>
      </c>
      <c r="D11" s="21" t="n">
        <f aca="false">COUNTIFS(d_Marca,$A11,d_Modelo,$B11,d_Subest,D$7)</f>
        <v>0</v>
      </c>
      <c r="E11" s="17" t="n">
        <f aca="false">SUM(C11:D11)</f>
        <v>0</v>
      </c>
      <c r="F11" s="21" t="n">
        <f aca="false">COUNTIFS(d_Marca,$A11,d_Modelo,$B11,d_Subest,F$7)</f>
        <v>0</v>
      </c>
      <c r="G11" s="21" t="n">
        <f aca="false">COUNTIFS(d_Marca,$A11,d_Modelo,$B11,d_Subest,G$7)</f>
        <v>0</v>
      </c>
      <c r="H11" s="17" t="n">
        <f aca="false">SUM(F11:G11)</f>
        <v>0</v>
      </c>
      <c r="I11" s="21" t="n">
        <f aca="false">COUNTIFS(d_Marca,$A11,d_Modelo,$B11,d_Subest,I$7)</f>
        <v>0</v>
      </c>
      <c r="J11" s="21" t="n">
        <f aca="false">COUNTIFS(d_Marca,$A11,d_Modelo,$B11,d_Subest,J$7)</f>
        <v>0</v>
      </c>
      <c r="K11" s="17" t="n">
        <f aca="false">SUM(I11:J11)</f>
        <v>0</v>
      </c>
      <c r="L11" s="21" t="n">
        <f aca="false">COUNTIFS(d_Marca,$A11,d_Modelo,$B11,d_Subest,L$7)</f>
        <v>0</v>
      </c>
      <c r="M11" s="21" t="n">
        <f aca="false">COUNTIFS(d_Marca,$A11,d_Modelo,$B11,d_Subest,M$7)</f>
        <v>0</v>
      </c>
      <c r="N11" s="21" t="n">
        <f aca="false">COUNTIFS(d_Marca,$A11,d_Modelo,$B11,d_Subest,N$7)</f>
        <v>0</v>
      </c>
      <c r="O11" s="21" t="n">
        <f aca="false">COUNTIFS(d_Marca,$A11,d_Modelo,$B11,d_Subest,O$7)</f>
        <v>0</v>
      </c>
      <c r="P11" s="17" t="n">
        <f aca="false">SUM(L11:O11)</f>
        <v>0</v>
      </c>
      <c r="Q11" s="21" t="n">
        <f aca="false">COUNTIFS(d_Marca,$A11,d_Modelo,$B11,d_Subest,Q$7)</f>
        <v>0</v>
      </c>
      <c r="R11" s="21" t="n">
        <f aca="false">COUNTIFS(d_Marca,$A11,d_Modelo,$B11,d_Subest,R$7)</f>
        <v>0</v>
      </c>
      <c r="S11" s="21" t="n">
        <f aca="false">COUNTIFS(d_Marca,$A11,d_Modelo,$B11,d_Subest,S$7)</f>
        <v>0</v>
      </c>
      <c r="T11" s="21" t="n">
        <f aca="false">COUNTIFS(d_Marca,$A11,d_Modelo,$B11,d_Subest,T$7)</f>
        <v>0</v>
      </c>
      <c r="U11" s="21" t="n">
        <f aca="false">COUNTIFS(d_Marca,$A11,d_Modelo,$B11,d_Subest,U$7)</f>
        <v>0</v>
      </c>
      <c r="V11" s="17" t="n">
        <f aca="false">SUM(Q11:U11)</f>
        <v>0</v>
      </c>
      <c r="W11" s="21" t="n">
        <f aca="false">COUNTIFS(d_Marca,$A11,d_Modelo,$B11,d_Subest,W$7)</f>
        <v>16</v>
      </c>
      <c r="X11" s="21" t="n">
        <f aca="false">COUNTIFS(d_Marca,$A11,d_Modelo,$B11,d_Subest,X$7)</f>
        <v>23</v>
      </c>
      <c r="Y11" s="21" t="n">
        <f aca="false">COUNTIFS(d_Marca,$A11,d_Modelo,$B11,d_Subest,Y$7)</f>
        <v>0</v>
      </c>
      <c r="Z11" s="21" t="n">
        <f aca="false">COUNTIFS(d_Marca,$A11,d_Modelo,$B11,d_Subest,Z$7)</f>
        <v>14</v>
      </c>
      <c r="AA11" s="21" t="n">
        <f aca="false">COUNTIFS(d_Marca,$A11,d_Modelo,$B11,d_Subest,AA$7)</f>
        <v>16</v>
      </c>
      <c r="AB11" s="17" t="n">
        <f aca="false">SUM(W11:AA11)</f>
        <v>69</v>
      </c>
      <c r="AC11" s="21" t="n">
        <f aca="false">COUNTIFS(d_Marca,$A11,d_Modelo,$B11,d_Subest,AC$7)</f>
        <v>0</v>
      </c>
      <c r="AD11" s="21" t="n">
        <f aca="false">COUNTIFS(d_Marca,$A11,d_Modelo,$B11,d_Subest,AD$7)</f>
        <v>0</v>
      </c>
      <c r="AE11" s="21" t="n">
        <f aca="false">COUNTIFS(d_Marca,$A11,d_Modelo,$B11,d_Subest,AE$7)</f>
        <v>0</v>
      </c>
      <c r="AF11" s="21" t="n">
        <f aca="false">COUNTIFS(d_Marca,$A11,d_Modelo,$B11,d_Subest,AF$7)</f>
        <v>0</v>
      </c>
      <c r="AG11" s="21" t="n">
        <f aca="false">COUNTIFS(d_Marca,$A11,d_Modelo,$B11,d_Subest,AG$7)</f>
        <v>0</v>
      </c>
      <c r="AH11" s="21" t="n">
        <f aca="false">COUNTIFS(d_Marca,$A11,d_Modelo,$B11,d_Subest,AH$7)</f>
        <v>0</v>
      </c>
      <c r="AI11" s="21" t="n">
        <f aca="false">COUNTIFS(d_Marca,$A11,d_Modelo,$B11,d_Subest,AI$7)</f>
        <v>0</v>
      </c>
      <c r="AJ11" s="21" t="n">
        <f aca="false">COUNTIFS(d_Marca,$A11,d_Modelo,$B11,d_Subest,AJ$7)</f>
        <v>0</v>
      </c>
      <c r="AK11" s="21" t="n">
        <f aca="false">COUNTIFS(d_Marca,$A11,d_Modelo,$B11,d_Subest,AK$7)</f>
        <v>0</v>
      </c>
      <c r="AL11" s="21" t="n">
        <f aca="false">COUNTIFS(d_Marca,$A11,d_Modelo,$B11,d_Subest,AL$7)</f>
        <v>0</v>
      </c>
      <c r="AM11" s="17" t="n">
        <f aca="false">SUM(AC11:AL11)</f>
        <v>0</v>
      </c>
      <c r="AN11" s="21" t="n">
        <f aca="false">COUNTIFS(d_Marca,$A11,d_Modelo,$B11,d_Subest,AN$7)</f>
        <v>0</v>
      </c>
      <c r="AO11" s="21" t="n">
        <f aca="false">COUNTIFS(d_Marca,$A11,d_Modelo,$B11,d_Subest,AO$7)</f>
        <v>14</v>
      </c>
      <c r="AP11" s="21" t="n">
        <f aca="false">COUNTIFS(d_Marca,$A11,d_Modelo,$B11,d_Subest,AP$7)</f>
        <v>0</v>
      </c>
      <c r="AQ11" s="21" t="n">
        <f aca="false">COUNTIFS(d_Marca,$A11,d_Modelo,$B11,d_Subest,AQ$7)</f>
        <v>0</v>
      </c>
      <c r="AR11" s="21" t="n">
        <f aca="false">COUNTIFS(d_Marca,$A11,d_Modelo,$B11,d_Subest,AR$7)</f>
        <v>0</v>
      </c>
      <c r="AS11" s="21" t="n">
        <f aca="false">COUNTIFS(d_Marca,$A11,d_Modelo,$B11,d_Subest,AS$7)</f>
        <v>19</v>
      </c>
      <c r="AT11" s="21" t="n">
        <f aca="false">COUNTIFS(d_Marca,$A11,d_Modelo,$B11,d_Subest,AT$7)</f>
        <v>0</v>
      </c>
      <c r="AU11" s="21" t="n">
        <f aca="false">COUNTIFS(d_Marca,$A11,d_Modelo,$B11,d_Subest,AU$7)</f>
        <v>0</v>
      </c>
      <c r="AV11" s="21" t="n">
        <f aca="false">COUNTIFS(d_Marca,$A11,d_Modelo,$B11,d_Subest,AV$7)</f>
        <v>26</v>
      </c>
      <c r="AW11" s="21" t="n">
        <f aca="false">COUNTIFS(d_Marca,$A11,d_Modelo,$B11,d_Subest,AW$7)</f>
        <v>39</v>
      </c>
      <c r="AX11" s="17" t="n">
        <f aca="false">SUM(AN11:AW11)</f>
        <v>98</v>
      </c>
      <c r="AY11" s="21" t="n">
        <f aca="false">COUNTIFS(d_Marca,$A11,d_Modelo,$B11,d_Subest,AY$7)</f>
        <v>0</v>
      </c>
      <c r="AZ11" s="17" t="n">
        <f aca="false">E11+H11+K11+P11+V11+AB11+AM11+AX11+AY11</f>
        <v>167</v>
      </c>
    </row>
    <row r="12" customFormat="false" ht="15" hidden="false" customHeight="false" outlineLevel="0" collapsed="false">
      <c r="A12" s="19" t="s">
        <v>34</v>
      </c>
      <c r="B12" s="20" t="s">
        <v>38</v>
      </c>
      <c r="C12" s="21" t="n">
        <f aca="false">COUNTIFS(d_Marca,$A12,d_Modelo,$B12,d_Subest,C$7)</f>
        <v>0</v>
      </c>
      <c r="D12" s="21" t="n">
        <f aca="false">COUNTIFS(d_Marca,$A12,d_Modelo,$B12,d_Subest,D$7)</f>
        <v>1</v>
      </c>
      <c r="E12" s="17" t="n">
        <f aca="false">SUM(C12:D12)</f>
        <v>1</v>
      </c>
      <c r="F12" s="21" t="n">
        <f aca="false">COUNTIFS(d_Marca,$A12,d_Modelo,$B12,d_Subest,F$7)</f>
        <v>9</v>
      </c>
      <c r="G12" s="21" t="n">
        <f aca="false">COUNTIFS(d_Marca,$A12,d_Modelo,$B12,d_Subest,G$7)</f>
        <v>5</v>
      </c>
      <c r="H12" s="17" t="n">
        <f aca="false">SUM(F12:G12)</f>
        <v>14</v>
      </c>
      <c r="I12" s="21" t="n">
        <f aca="false">COUNTIFS(d_Marca,$A12,d_Modelo,$B12,d_Subest,I$7)</f>
        <v>0</v>
      </c>
      <c r="J12" s="21" t="n">
        <f aca="false">COUNTIFS(d_Marca,$A12,d_Modelo,$B12,d_Subest,J$7)</f>
        <v>0</v>
      </c>
      <c r="K12" s="17" t="n">
        <f aca="false">SUM(I12:J12)</f>
        <v>0</v>
      </c>
      <c r="L12" s="21" t="n">
        <f aca="false">COUNTIFS(d_Marca,$A12,d_Modelo,$B12,d_Subest,L$7)</f>
        <v>0</v>
      </c>
      <c r="M12" s="21" t="n">
        <f aca="false">COUNTIFS(d_Marca,$A12,d_Modelo,$B12,d_Subest,M$7)</f>
        <v>0</v>
      </c>
      <c r="N12" s="21" t="n">
        <f aca="false">COUNTIFS(d_Marca,$A12,d_Modelo,$B12,d_Subest,N$7)</f>
        <v>0</v>
      </c>
      <c r="O12" s="21" t="n">
        <f aca="false">COUNTIFS(d_Marca,$A12,d_Modelo,$B12,d_Subest,O$7)</f>
        <v>0</v>
      </c>
      <c r="P12" s="17" t="n">
        <f aca="false">SUM(L12:O12)</f>
        <v>0</v>
      </c>
      <c r="Q12" s="21" t="n">
        <f aca="false">COUNTIFS(d_Marca,$A12,d_Modelo,$B12,d_Subest,Q$7)</f>
        <v>0</v>
      </c>
      <c r="R12" s="21" t="n">
        <f aca="false">COUNTIFS(d_Marca,$A12,d_Modelo,$B12,d_Subest,R$7)</f>
        <v>0</v>
      </c>
      <c r="S12" s="21" t="n">
        <f aca="false">COUNTIFS(d_Marca,$A12,d_Modelo,$B12,d_Subest,S$7)</f>
        <v>0</v>
      </c>
      <c r="T12" s="21" t="n">
        <f aca="false">COUNTIFS(d_Marca,$A12,d_Modelo,$B12,d_Subest,T$7)</f>
        <v>0</v>
      </c>
      <c r="U12" s="21" t="n">
        <f aca="false">COUNTIFS(d_Marca,$A12,d_Modelo,$B12,d_Subest,U$7)</f>
        <v>0</v>
      </c>
      <c r="V12" s="17" t="n">
        <f aca="false">SUM(Q12:U12)</f>
        <v>0</v>
      </c>
      <c r="W12" s="21" t="n">
        <f aca="false">COUNTIFS(d_Marca,$A12,d_Modelo,$B12,d_Subest,W$7)</f>
        <v>0</v>
      </c>
      <c r="X12" s="21" t="n">
        <f aca="false">COUNTIFS(d_Marca,$A12,d_Modelo,$B12,d_Subest,X$7)</f>
        <v>0</v>
      </c>
      <c r="Y12" s="21" t="n">
        <f aca="false">COUNTIFS(d_Marca,$A12,d_Modelo,$B12,d_Subest,Y$7)</f>
        <v>0</v>
      </c>
      <c r="Z12" s="21" t="n">
        <f aca="false">COUNTIFS(d_Marca,$A12,d_Modelo,$B12,d_Subest,Z$7)</f>
        <v>0</v>
      </c>
      <c r="AA12" s="21" t="n">
        <f aca="false">COUNTIFS(d_Marca,$A12,d_Modelo,$B12,d_Subest,AA$7)</f>
        <v>0</v>
      </c>
      <c r="AB12" s="17" t="n">
        <f aca="false">SUM(W12:AA12)</f>
        <v>0</v>
      </c>
      <c r="AC12" s="21" t="n">
        <f aca="false">COUNTIFS(d_Marca,$A12,d_Modelo,$B12,d_Subest,AC$7)</f>
        <v>0</v>
      </c>
      <c r="AD12" s="21" t="n">
        <f aca="false">COUNTIFS(d_Marca,$A12,d_Modelo,$B12,d_Subest,AD$7)</f>
        <v>0</v>
      </c>
      <c r="AE12" s="21" t="n">
        <f aca="false">COUNTIFS(d_Marca,$A12,d_Modelo,$B12,d_Subest,AE$7)</f>
        <v>0</v>
      </c>
      <c r="AF12" s="21" t="n">
        <f aca="false">COUNTIFS(d_Marca,$A12,d_Modelo,$B12,d_Subest,AF$7)</f>
        <v>0</v>
      </c>
      <c r="AG12" s="21" t="n">
        <f aca="false">COUNTIFS(d_Marca,$A12,d_Modelo,$B12,d_Subest,AG$7)</f>
        <v>0</v>
      </c>
      <c r="AH12" s="21" t="n">
        <f aca="false">COUNTIFS(d_Marca,$A12,d_Modelo,$B12,d_Subest,AH$7)</f>
        <v>0</v>
      </c>
      <c r="AI12" s="21" t="n">
        <f aca="false">COUNTIFS(d_Marca,$A12,d_Modelo,$B12,d_Subest,AI$7)</f>
        <v>0</v>
      </c>
      <c r="AJ12" s="21" t="n">
        <f aca="false">COUNTIFS(d_Marca,$A12,d_Modelo,$B12,d_Subest,AJ$7)</f>
        <v>0</v>
      </c>
      <c r="AK12" s="21" t="n">
        <f aca="false">COUNTIFS(d_Marca,$A12,d_Modelo,$B12,d_Subest,AK$7)</f>
        <v>0</v>
      </c>
      <c r="AL12" s="21" t="n">
        <f aca="false">COUNTIFS(d_Marca,$A12,d_Modelo,$B12,d_Subest,AL$7)</f>
        <v>0</v>
      </c>
      <c r="AM12" s="17" t="n">
        <f aca="false">SUM(AC12:AL12)</f>
        <v>0</v>
      </c>
      <c r="AN12" s="21" t="n">
        <f aca="false">COUNTIFS(d_Marca,$A12,d_Modelo,$B12,d_Subest,AN$7)</f>
        <v>0</v>
      </c>
      <c r="AO12" s="21" t="n">
        <f aca="false">COUNTIFS(d_Marca,$A12,d_Modelo,$B12,d_Subest,AO$7)</f>
        <v>0</v>
      </c>
      <c r="AP12" s="21" t="n">
        <f aca="false">COUNTIFS(d_Marca,$A12,d_Modelo,$B12,d_Subest,AP$7)</f>
        <v>0</v>
      </c>
      <c r="AQ12" s="21" t="n">
        <f aca="false">COUNTIFS(d_Marca,$A12,d_Modelo,$B12,d_Subest,AQ$7)</f>
        <v>0</v>
      </c>
      <c r="AR12" s="21" t="n">
        <f aca="false">COUNTIFS(d_Marca,$A12,d_Modelo,$B12,d_Subest,AR$7)</f>
        <v>0</v>
      </c>
      <c r="AS12" s="21" t="n">
        <f aca="false">COUNTIFS(d_Marca,$A12,d_Modelo,$B12,d_Subest,AS$7)</f>
        <v>0</v>
      </c>
      <c r="AT12" s="21" t="n">
        <f aca="false">COUNTIFS(d_Marca,$A12,d_Modelo,$B12,d_Subest,AT$7)</f>
        <v>0</v>
      </c>
      <c r="AU12" s="21" t="n">
        <f aca="false">COUNTIFS(d_Marca,$A12,d_Modelo,$B12,d_Subest,AU$7)</f>
        <v>0</v>
      </c>
      <c r="AV12" s="21" t="n">
        <f aca="false">COUNTIFS(d_Marca,$A12,d_Modelo,$B12,d_Subest,AV$7)</f>
        <v>0</v>
      </c>
      <c r="AW12" s="21" t="n">
        <f aca="false">COUNTIFS(d_Marca,$A12,d_Modelo,$B12,d_Subest,AW$7)</f>
        <v>0</v>
      </c>
      <c r="AX12" s="17" t="n">
        <f aca="false">SUM(AN12:AW12)</f>
        <v>0</v>
      </c>
      <c r="AY12" s="21" t="n">
        <f aca="false">COUNTIFS(d_Marca,$A12,d_Modelo,$B12,d_Subest,AY$7)</f>
        <v>70</v>
      </c>
      <c r="AZ12" s="17" t="n">
        <f aca="false">E12+H12+K12+P12+V12+AB12+AM12+AX12+AY12</f>
        <v>85</v>
      </c>
    </row>
    <row r="13" customFormat="false" ht="15" hidden="false" customHeight="false" outlineLevel="0" collapsed="false">
      <c r="A13" s="19" t="s">
        <v>34</v>
      </c>
      <c r="B13" s="20" t="s">
        <v>39</v>
      </c>
      <c r="C13" s="21" t="n">
        <f aca="false">COUNTIFS(d_Marca,$A13,d_Modelo,$B13,d_Subest,C$7)</f>
        <v>0</v>
      </c>
      <c r="D13" s="21" t="n">
        <f aca="false">COUNTIFS(d_Marca,$A13,d_Modelo,$B13,d_Subest,D$7)</f>
        <v>0</v>
      </c>
      <c r="E13" s="17" t="n">
        <f aca="false">SUM(C13:D13)</f>
        <v>0</v>
      </c>
      <c r="F13" s="21" t="n">
        <f aca="false">COUNTIFS(d_Marca,$A13,d_Modelo,$B13,d_Subest,F$7)</f>
        <v>0</v>
      </c>
      <c r="G13" s="21" t="n">
        <f aca="false">COUNTIFS(d_Marca,$A13,d_Modelo,$B13,d_Subest,G$7)</f>
        <v>0</v>
      </c>
      <c r="H13" s="17" t="n">
        <f aca="false">SUM(F13:G13)</f>
        <v>0</v>
      </c>
      <c r="I13" s="21" t="n">
        <f aca="false">COUNTIFS(d_Marca,$A13,d_Modelo,$B13,d_Subest,I$7)</f>
        <v>0</v>
      </c>
      <c r="J13" s="21" t="n">
        <f aca="false">COUNTIFS(d_Marca,$A13,d_Modelo,$B13,d_Subest,J$7)</f>
        <v>29</v>
      </c>
      <c r="K13" s="17" t="n">
        <f aca="false">SUM(I13:J13)</f>
        <v>29</v>
      </c>
      <c r="L13" s="21" t="n">
        <f aca="false">COUNTIFS(d_Marca,$A13,d_Modelo,$B13,d_Subest,L$7)</f>
        <v>11</v>
      </c>
      <c r="M13" s="21" t="n">
        <f aca="false">COUNTIFS(d_Marca,$A13,d_Modelo,$B13,d_Subest,M$7)</f>
        <v>0</v>
      </c>
      <c r="N13" s="21" t="n">
        <f aca="false">COUNTIFS(d_Marca,$A13,d_Modelo,$B13,d_Subest,N$7)</f>
        <v>0</v>
      </c>
      <c r="O13" s="21" t="n">
        <f aca="false">COUNTIFS(d_Marca,$A13,d_Modelo,$B13,d_Subest,O$7)</f>
        <v>0</v>
      </c>
      <c r="P13" s="17" t="n">
        <f aca="false">SUM(L13:O13)</f>
        <v>11</v>
      </c>
      <c r="Q13" s="21" t="n">
        <f aca="false">COUNTIFS(d_Marca,$A13,d_Modelo,$B13,d_Subest,Q$7)</f>
        <v>0</v>
      </c>
      <c r="R13" s="21" t="n">
        <f aca="false">COUNTIFS(d_Marca,$A13,d_Modelo,$B13,d_Subest,R$7)</f>
        <v>0</v>
      </c>
      <c r="S13" s="21" t="n">
        <f aca="false">COUNTIFS(d_Marca,$A13,d_Modelo,$B13,d_Subest,S$7)</f>
        <v>0</v>
      </c>
      <c r="T13" s="21" t="n">
        <f aca="false">COUNTIFS(d_Marca,$A13,d_Modelo,$B13,d_Subest,T$7)</f>
        <v>23</v>
      </c>
      <c r="U13" s="21" t="n">
        <f aca="false">COUNTIFS(d_Marca,$A13,d_Modelo,$B13,d_Subest,U$7)</f>
        <v>0</v>
      </c>
      <c r="V13" s="17" t="n">
        <f aca="false">SUM(Q13:U13)</f>
        <v>23</v>
      </c>
      <c r="W13" s="21" t="n">
        <f aca="false">COUNTIFS(d_Marca,$A13,d_Modelo,$B13,d_Subest,W$7)</f>
        <v>0</v>
      </c>
      <c r="X13" s="21" t="n">
        <f aca="false">COUNTIFS(d_Marca,$A13,d_Modelo,$B13,d_Subest,X$7)</f>
        <v>0</v>
      </c>
      <c r="Y13" s="21" t="n">
        <f aca="false">COUNTIFS(d_Marca,$A13,d_Modelo,$B13,d_Subest,Y$7)</f>
        <v>0</v>
      </c>
      <c r="Z13" s="21" t="n">
        <f aca="false">COUNTIFS(d_Marca,$A13,d_Modelo,$B13,d_Subest,Z$7)</f>
        <v>0</v>
      </c>
      <c r="AA13" s="21" t="n">
        <f aca="false">COUNTIFS(d_Marca,$A13,d_Modelo,$B13,d_Subest,AA$7)</f>
        <v>0</v>
      </c>
      <c r="AB13" s="17" t="n">
        <f aca="false">SUM(W13:AA13)</f>
        <v>0</v>
      </c>
      <c r="AC13" s="21" t="n">
        <f aca="false">COUNTIFS(d_Marca,$A13,d_Modelo,$B13,d_Subest,AC$7)</f>
        <v>0</v>
      </c>
      <c r="AD13" s="21" t="n">
        <f aca="false">COUNTIFS(d_Marca,$A13,d_Modelo,$B13,d_Subest,AD$7)</f>
        <v>0</v>
      </c>
      <c r="AE13" s="21" t="n">
        <f aca="false">COUNTIFS(d_Marca,$A13,d_Modelo,$B13,d_Subest,AE$7)</f>
        <v>0</v>
      </c>
      <c r="AF13" s="21" t="n">
        <f aca="false">COUNTIFS(d_Marca,$A13,d_Modelo,$B13,d_Subest,AF$7)</f>
        <v>4</v>
      </c>
      <c r="AG13" s="21" t="n">
        <f aca="false">COUNTIFS(d_Marca,$A13,d_Modelo,$B13,d_Subest,AG$7)</f>
        <v>0</v>
      </c>
      <c r="AH13" s="21" t="n">
        <f aca="false">COUNTIFS(d_Marca,$A13,d_Modelo,$B13,d_Subest,AH$7)</f>
        <v>0</v>
      </c>
      <c r="AI13" s="21" t="n">
        <f aca="false">COUNTIFS(d_Marca,$A13,d_Modelo,$B13,d_Subest,AI$7)</f>
        <v>0</v>
      </c>
      <c r="AJ13" s="21" t="n">
        <f aca="false">COUNTIFS(d_Marca,$A13,d_Modelo,$B13,d_Subest,AJ$7)</f>
        <v>0</v>
      </c>
      <c r="AK13" s="21" t="n">
        <f aca="false">COUNTIFS(d_Marca,$A13,d_Modelo,$B13,d_Subest,AK$7)</f>
        <v>0</v>
      </c>
      <c r="AL13" s="21" t="n">
        <f aca="false">COUNTIFS(d_Marca,$A13,d_Modelo,$B13,d_Subest,AL$7)</f>
        <v>0</v>
      </c>
      <c r="AM13" s="17" t="n">
        <f aca="false">SUM(AC13:AL13)</f>
        <v>4</v>
      </c>
      <c r="AN13" s="21" t="n">
        <f aca="false">COUNTIFS(d_Marca,$A13,d_Modelo,$B13,d_Subest,AN$7)</f>
        <v>0</v>
      </c>
      <c r="AO13" s="21" t="n">
        <f aca="false">COUNTIFS(d_Marca,$A13,d_Modelo,$B13,d_Subest,AO$7)</f>
        <v>0</v>
      </c>
      <c r="AP13" s="21" t="n">
        <f aca="false">COUNTIFS(d_Marca,$A13,d_Modelo,$B13,d_Subest,AP$7)</f>
        <v>0</v>
      </c>
      <c r="AQ13" s="21" t="n">
        <f aca="false">COUNTIFS(d_Marca,$A13,d_Modelo,$B13,d_Subest,AQ$7)</f>
        <v>0</v>
      </c>
      <c r="AR13" s="21" t="n">
        <f aca="false">COUNTIFS(d_Marca,$A13,d_Modelo,$B13,d_Subest,AR$7)</f>
        <v>0</v>
      </c>
      <c r="AS13" s="21" t="n">
        <f aca="false">COUNTIFS(d_Marca,$A13,d_Modelo,$B13,d_Subest,AS$7)</f>
        <v>0</v>
      </c>
      <c r="AT13" s="21" t="n">
        <f aca="false">COUNTIFS(d_Marca,$A13,d_Modelo,$B13,d_Subest,AT$7)</f>
        <v>0</v>
      </c>
      <c r="AU13" s="21" t="n">
        <f aca="false">COUNTIFS(d_Marca,$A13,d_Modelo,$B13,d_Subest,AU$7)</f>
        <v>0</v>
      </c>
      <c r="AV13" s="21" t="n">
        <f aca="false">COUNTIFS(d_Marca,$A13,d_Modelo,$B13,d_Subest,AV$7)</f>
        <v>0</v>
      </c>
      <c r="AW13" s="21" t="n">
        <f aca="false">COUNTIFS(d_Marca,$A13,d_Modelo,$B13,d_Subest,AW$7)</f>
        <v>0</v>
      </c>
      <c r="AX13" s="17" t="n">
        <f aca="false">SUM(AN13:AW13)</f>
        <v>0</v>
      </c>
      <c r="AY13" s="21" t="n">
        <f aca="false">COUNTIFS(d_Marca,$A13,d_Modelo,$B13,d_Subest,AY$7)</f>
        <v>0</v>
      </c>
      <c r="AZ13" s="17" t="n">
        <f aca="false">E13+H13+K13+P13+V13+AB13+AM13+AX13+AY13</f>
        <v>67</v>
      </c>
    </row>
    <row r="14" customFormat="false" ht="15" hidden="false" customHeight="false" outlineLevel="0" collapsed="false">
      <c r="A14" s="19" t="s">
        <v>34</v>
      </c>
      <c r="B14" s="20" t="s">
        <v>40</v>
      </c>
      <c r="C14" s="21" t="n">
        <f aca="false">COUNTIFS(d_Marca,$A14,d_Modelo,$B14,d_Subest,C$7)</f>
        <v>0</v>
      </c>
      <c r="D14" s="21" t="n">
        <f aca="false">COUNTIFS(d_Marca,$A14,d_Modelo,$B14,d_Subest,D$7)</f>
        <v>0</v>
      </c>
      <c r="E14" s="17" t="n">
        <f aca="false">SUM(C14:D14)</f>
        <v>0</v>
      </c>
      <c r="F14" s="21" t="n">
        <f aca="false">COUNTIFS(d_Marca,$A14,d_Modelo,$B14,d_Subest,F$7)</f>
        <v>0</v>
      </c>
      <c r="G14" s="21" t="n">
        <f aca="false">COUNTIFS(d_Marca,$A14,d_Modelo,$B14,d_Subest,G$7)</f>
        <v>0</v>
      </c>
      <c r="H14" s="17" t="n">
        <f aca="false">SUM(F14:G14)</f>
        <v>0</v>
      </c>
      <c r="I14" s="21" t="n">
        <f aca="false">COUNTIFS(d_Marca,$A14,d_Modelo,$B14,d_Subest,I$7)</f>
        <v>0</v>
      </c>
      <c r="J14" s="21" t="n">
        <f aca="false">COUNTIFS(d_Marca,$A14,d_Modelo,$B14,d_Subest,J$7)</f>
        <v>0</v>
      </c>
      <c r="K14" s="17" t="n">
        <f aca="false">SUM(I14:J14)</f>
        <v>0</v>
      </c>
      <c r="L14" s="21" t="n">
        <f aca="false">COUNTIFS(d_Marca,$A14,d_Modelo,$B14,d_Subest,L$7)</f>
        <v>0</v>
      </c>
      <c r="M14" s="21" t="n">
        <f aca="false">COUNTIFS(d_Marca,$A14,d_Modelo,$B14,d_Subest,M$7)</f>
        <v>0</v>
      </c>
      <c r="N14" s="21" t="n">
        <f aca="false">COUNTIFS(d_Marca,$A14,d_Modelo,$B14,d_Subest,N$7)</f>
        <v>0</v>
      </c>
      <c r="O14" s="21" t="n">
        <f aca="false">COUNTIFS(d_Marca,$A14,d_Modelo,$B14,d_Subest,O$7)</f>
        <v>0</v>
      </c>
      <c r="P14" s="17" t="n">
        <f aca="false">SUM(L14:O14)</f>
        <v>0</v>
      </c>
      <c r="Q14" s="21" t="n">
        <f aca="false">COUNTIFS(d_Marca,$A14,d_Modelo,$B14,d_Subest,Q$7)</f>
        <v>0</v>
      </c>
      <c r="R14" s="21" t="n">
        <f aca="false">COUNTIFS(d_Marca,$A14,d_Modelo,$B14,d_Subest,R$7)</f>
        <v>0</v>
      </c>
      <c r="S14" s="21" t="n">
        <f aca="false">COUNTIFS(d_Marca,$A14,d_Modelo,$B14,d_Subest,S$7)</f>
        <v>0</v>
      </c>
      <c r="T14" s="21" t="n">
        <f aca="false">COUNTIFS(d_Marca,$A14,d_Modelo,$B14,d_Subest,T$7)</f>
        <v>0</v>
      </c>
      <c r="U14" s="21" t="n">
        <f aca="false">COUNTIFS(d_Marca,$A14,d_Modelo,$B14,d_Subest,U$7)</f>
        <v>0</v>
      </c>
      <c r="V14" s="17" t="n">
        <f aca="false">SUM(Q14:U14)</f>
        <v>0</v>
      </c>
      <c r="W14" s="21" t="n">
        <f aca="false">COUNTIFS(d_Marca,$A14,d_Modelo,$B14,d_Subest,W$7)</f>
        <v>6</v>
      </c>
      <c r="X14" s="21" t="n">
        <f aca="false">COUNTIFS(d_Marca,$A14,d_Modelo,$B14,d_Subest,X$7)</f>
        <v>2</v>
      </c>
      <c r="Y14" s="21" t="n">
        <f aca="false">COUNTIFS(d_Marca,$A14,d_Modelo,$B14,d_Subest,Y$7)</f>
        <v>2</v>
      </c>
      <c r="Z14" s="21" t="n">
        <f aca="false">COUNTIFS(d_Marca,$A14,d_Modelo,$B14,d_Subest,Z$7)</f>
        <v>6</v>
      </c>
      <c r="AA14" s="21" t="n">
        <f aca="false">COUNTIFS(d_Marca,$A14,d_Modelo,$B14,d_Subest,AA$7)</f>
        <v>6</v>
      </c>
      <c r="AB14" s="17" t="n">
        <f aca="false">SUM(W14:AA14)</f>
        <v>22</v>
      </c>
      <c r="AC14" s="21" t="n">
        <f aca="false">COUNTIFS(d_Marca,$A14,d_Modelo,$B14,d_Subest,AC$7)</f>
        <v>0</v>
      </c>
      <c r="AD14" s="21" t="n">
        <f aca="false">COUNTIFS(d_Marca,$A14,d_Modelo,$B14,d_Subest,AD$7)</f>
        <v>0</v>
      </c>
      <c r="AE14" s="21" t="n">
        <f aca="false">COUNTIFS(d_Marca,$A14,d_Modelo,$B14,d_Subest,AE$7)</f>
        <v>0</v>
      </c>
      <c r="AF14" s="21" t="n">
        <f aca="false">COUNTIFS(d_Marca,$A14,d_Modelo,$B14,d_Subest,AF$7)</f>
        <v>0</v>
      </c>
      <c r="AG14" s="21" t="n">
        <f aca="false">COUNTIFS(d_Marca,$A14,d_Modelo,$B14,d_Subest,AG$7)</f>
        <v>0</v>
      </c>
      <c r="AH14" s="21" t="n">
        <f aca="false">COUNTIFS(d_Marca,$A14,d_Modelo,$B14,d_Subest,AH$7)</f>
        <v>0</v>
      </c>
      <c r="AI14" s="21" t="n">
        <f aca="false">COUNTIFS(d_Marca,$A14,d_Modelo,$B14,d_Subest,AI$7)</f>
        <v>0</v>
      </c>
      <c r="AJ14" s="21" t="n">
        <f aca="false">COUNTIFS(d_Marca,$A14,d_Modelo,$B14,d_Subest,AJ$7)</f>
        <v>0</v>
      </c>
      <c r="AK14" s="21" t="n">
        <f aca="false">COUNTIFS(d_Marca,$A14,d_Modelo,$B14,d_Subest,AK$7)</f>
        <v>0</v>
      </c>
      <c r="AL14" s="21" t="n">
        <f aca="false">COUNTIFS(d_Marca,$A14,d_Modelo,$B14,d_Subest,AL$7)</f>
        <v>0</v>
      </c>
      <c r="AM14" s="17" t="n">
        <f aca="false">SUM(AC14:AL14)</f>
        <v>0</v>
      </c>
      <c r="AN14" s="21" t="n">
        <f aca="false">COUNTIFS(d_Marca,$A14,d_Modelo,$B14,d_Subest,AN$7)</f>
        <v>0</v>
      </c>
      <c r="AO14" s="21" t="n">
        <f aca="false">COUNTIFS(d_Marca,$A14,d_Modelo,$B14,d_Subest,AO$7)</f>
        <v>6</v>
      </c>
      <c r="AP14" s="21" t="n">
        <f aca="false">COUNTIFS(d_Marca,$A14,d_Modelo,$B14,d_Subest,AP$7)</f>
        <v>0</v>
      </c>
      <c r="AQ14" s="21" t="n">
        <f aca="false">COUNTIFS(d_Marca,$A14,d_Modelo,$B14,d_Subest,AQ$7)</f>
        <v>0</v>
      </c>
      <c r="AR14" s="21" t="n">
        <f aca="false">COUNTIFS(d_Marca,$A14,d_Modelo,$B14,d_Subest,AR$7)</f>
        <v>0</v>
      </c>
      <c r="AS14" s="21" t="n">
        <f aca="false">COUNTIFS(d_Marca,$A14,d_Modelo,$B14,d_Subest,AS$7)</f>
        <v>7</v>
      </c>
      <c r="AT14" s="21" t="n">
        <f aca="false">COUNTIFS(d_Marca,$A14,d_Modelo,$B14,d_Subest,AT$7)</f>
        <v>0</v>
      </c>
      <c r="AU14" s="21" t="n">
        <f aca="false">COUNTIFS(d_Marca,$A14,d_Modelo,$B14,d_Subest,AU$7)</f>
        <v>0</v>
      </c>
      <c r="AV14" s="21" t="n">
        <f aca="false">COUNTIFS(d_Marca,$A14,d_Modelo,$B14,d_Subest,AV$7)</f>
        <v>4</v>
      </c>
      <c r="AW14" s="21" t="n">
        <f aca="false">COUNTIFS(d_Marca,$A14,d_Modelo,$B14,d_Subest,AW$7)</f>
        <v>16</v>
      </c>
      <c r="AX14" s="17" t="n">
        <f aca="false">SUM(AN14:AW14)</f>
        <v>33</v>
      </c>
      <c r="AY14" s="21" t="n">
        <f aca="false">COUNTIFS(d_Marca,$A14,d_Modelo,$B14,d_Subest,AY$7)</f>
        <v>4</v>
      </c>
      <c r="AZ14" s="17" t="n">
        <f aca="false">E14+H14+K14+P14+V14+AB14+AM14+AX14+AY14</f>
        <v>59</v>
      </c>
    </row>
    <row r="15" customFormat="false" ht="15" hidden="false" customHeight="false" outlineLevel="0" collapsed="false">
      <c r="A15" s="19" t="s">
        <v>34</v>
      </c>
      <c r="B15" s="20" t="s">
        <v>41</v>
      </c>
      <c r="C15" s="21" t="n">
        <f aca="false">COUNTIFS(d_Marca,$A15,d_Modelo,$B15,d_Subest,C$7)</f>
        <v>0</v>
      </c>
      <c r="D15" s="21" t="n">
        <f aca="false">COUNTIFS(d_Marca,$A15,d_Modelo,$B15,d_Subest,D$7)</f>
        <v>0</v>
      </c>
      <c r="E15" s="17" t="n">
        <f aca="false">SUM(C15:D15)</f>
        <v>0</v>
      </c>
      <c r="F15" s="21" t="n">
        <f aca="false">COUNTIFS(d_Marca,$A15,d_Modelo,$B15,d_Subest,F$7)</f>
        <v>0</v>
      </c>
      <c r="G15" s="21" t="n">
        <f aca="false">COUNTIFS(d_Marca,$A15,d_Modelo,$B15,d_Subest,G$7)</f>
        <v>0</v>
      </c>
      <c r="H15" s="17" t="n">
        <f aca="false">SUM(F15:G15)</f>
        <v>0</v>
      </c>
      <c r="I15" s="21" t="n">
        <f aca="false">COUNTIFS(d_Marca,$A15,d_Modelo,$B15,d_Subest,I$7)</f>
        <v>0</v>
      </c>
      <c r="J15" s="21" t="n">
        <f aca="false">COUNTIFS(d_Marca,$A15,d_Modelo,$B15,d_Subest,J$7)</f>
        <v>0</v>
      </c>
      <c r="K15" s="17" t="n">
        <f aca="false">SUM(I15:J15)</f>
        <v>0</v>
      </c>
      <c r="L15" s="21" t="n">
        <f aca="false">COUNTIFS(d_Marca,$A15,d_Modelo,$B15,d_Subest,L$7)</f>
        <v>0</v>
      </c>
      <c r="M15" s="21" t="n">
        <f aca="false">COUNTIFS(d_Marca,$A15,d_Modelo,$B15,d_Subest,M$7)</f>
        <v>0</v>
      </c>
      <c r="N15" s="21" t="n">
        <f aca="false">COUNTIFS(d_Marca,$A15,d_Modelo,$B15,d_Subest,N$7)</f>
        <v>0</v>
      </c>
      <c r="O15" s="21" t="n">
        <f aca="false">COUNTIFS(d_Marca,$A15,d_Modelo,$B15,d_Subest,O$7)</f>
        <v>0</v>
      </c>
      <c r="P15" s="17" t="n">
        <f aca="false">SUM(L15:O15)</f>
        <v>0</v>
      </c>
      <c r="Q15" s="21" t="n">
        <f aca="false">COUNTIFS(d_Marca,$A15,d_Modelo,$B15,d_Subest,Q$7)</f>
        <v>0</v>
      </c>
      <c r="R15" s="21" t="n">
        <f aca="false">COUNTIFS(d_Marca,$A15,d_Modelo,$B15,d_Subest,R$7)</f>
        <v>0</v>
      </c>
      <c r="S15" s="21" t="n">
        <f aca="false">COUNTIFS(d_Marca,$A15,d_Modelo,$B15,d_Subest,S$7)</f>
        <v>0</v>
      </c>
      <c r="T15" s="21" t="n">
        <f aca="false">COUNTIFS(d_Marca,$A15,d_Modelo,$B15,d_Subest,T$7)</f>
        <v>0</v>
      </c>
      <c r="U15" s="21" t="n">
        <f aca="false">COUNTIFS(d_Marca,$A15,d_Modelo,$B15,d_Subest,U$7)</f>
        <v>0</v>
      </c>
      <c r="V15" s="17" t="n">
        <f aca="false">SUM(Q15:U15)</f>
        <v>0</v>
      </c>
      <c r="W15" s="21" t="n">
        <f aca="false">COUNTIFS(d_Marca,$A15,d_Modelo,$B15,d_Subest,W$7)</f>
        <v>0</v>
      </c>
      <c r="X15" s="21" t="n">
        <f aca="false">COUNTIFS(d_Marca,$A15,d_Modelo,$B15,d_Subest,X$7)</f>
        <v>0</v>
      </c>
      <c r="Y15" s="21" t="n">
        <f aca="false">COUNTIFS(d_Marca,$A15,d_Modelo,$B15,d_Subest,Y$7)</f>
        <v>0</v>
      </c>
      <c r="Z15" s="21" t="n">
        <f aca="false">COUNTIFS(d_Marca,$A15,d_Modelo,$B15,d_Subest,Z$7)</f>
        <v>0</v>
      </c>
      <c r="AA15" s="21" t="n">
        <f aca="false">COUNTIFS(d_Marca,$A15,d_Modelo,$B15,d_Subest,AA$7)</f>
        <v>0</v>
      </c>
      <c r="AB15" s="17" t="n">
        <f aca="false">SUM(W15:AA15)</f>
        <v>0</v>
      </c>
      <c r="AC15" s="21" t="n">
        <f aca="false">COUNTIFS(d_Marca,$A15,d_Modelo,$B15,d_Subest,AC$7)</f>
        <v>0</v>
      </c>
      <c r="AD15" s="21" t="n">
        <f aca="false">COUNTIFS(d_Marca,$A15,d_Modelo,$B15,d_Subest,AD$7)</f>
        <v>0</v>
      </c>
      <c r="AE15" s="21" t="n">
        <f aca="false">COUNTIFS(d_Marca,$A15,d_Modelo,$B15,d_Subest,AE$7)</f>
        <v>0</v>
      </c>
      <c r="AF15" s="21" t="n">
        <f aca="false">COUNTIFS(d_Marca,$A15,d_Modelo,$B15,d_Subest,AF$7)</f>
        <v>0</v>
      </c>
      <c r="AG15" s="21" t="n">
        <f aca="false">COUNTIFS(d_Marca,$A15,d_Modelo,$B15,d_Subest,AG$7)</f>
        <v>0</v>
      </c>
      <c r="AH15" s="21" t="n">
        <f aca="false">COUNTIFS(d_Marca,$A15,d_Modelo,$B15,d_Subest,AH$7)</f>
        <v>0</v>
      </c>
      <c r="AI15" s="21" t="n">
        <f aca="false">COUNTIFS(d_Marca,$A15,d_Modelo,$B15,d_Subest,AI$7)</f>
        <v>0</v>
      </c>
      <c r="AJ15" s="21" t="n">
        <f aca="false">COUNTIFS(d_Marca,$A15,d_Modelo,$B15,d_Subest,AJ$7)</f>
        <v>0</v>
      </c>
      <c r="AK15" s="21" t="n">
        <f aca="false">COUNTIFS(d_Marca,$A15,d_Modelo,$B15,d_Subest,AK$7)</f>
        <v>0</v>
      </c>
      <c r="AL15" s="21" t="n">
        <f aca="false">COUNTIFS(d_Marca,$A15,d_Modelo,$B15,d_Subest,AL$7)</f>
        <v>0</v>
      </c>
      <c r="AM15" s="17" t="n">
        <f aca="false">SUM(AC15:AL15)</f>
        <v>0</v>
      </c>
      <c r="AN15" s="21" t="n">
        <f aca="false">COUNTIFS(d_Marca,$A15,d_Modelo,$B15,d_Subest,AN$7)</f>
        <v>0</v>
      </c>
      <c r="AO15" s="21" t="n">
        <f aca="false">COUNTIFS(d_Marca,$A15,d_Modelo,$B15,d_Subest,AO$7)</f>
        <v>0</v>
      </c>
      <c r="AP15" s="21" t="n">
        <f aca="false">COUNTIFS(d_Marca,$A15,d_Modelo,$B15,d_Subest,AP$7)</f>
        <v>0</v>
      </c>
      <c r="AQ15" s="21" t="n">
        <f aca="false">COUNTIFS(d_Marca,$A15,d_Modelo,$B15,d_Subest,AQ$7)</f>
        <v>0</v>
      </c>
      <c r="AR15" s="21" t="n">
        <f aca="false">COUNTIFS(d_Marca,$A15,d_Modelo,$B15,d_Subest,AR$7)</f>
        <v>0</v>
      </c>
      <c r="AS15" s="21" t="n">
        <f aca="false">COUNTIFS(d_Marca,$A15,d_Modelo,$B15,d_Subest,AS$7)</f>
        <v>0</v>
      </c>
      <c r="AT15" s="21" t="n">
        <f aca="false">COUNTIFS(d_Marca,$A15,d_Modelo,$B15,d_Subest,AT$7)</f>
        <v>0</v>
      </c>
      <c r="AU15" s="21" t="n">
        <f aca="false">COUNTIFS(d_Marca,$A15,d_Modelo,$B15,d_Subest,AU$7)</f>
        <v>0</v>
      </c>
      <c r="AV15" s="21" t="n">
        <f aca="false">COUNTIFS(d_Marca,$A15,d_Modelo,$B15,d_Subest,AV$7)</f>
        <v>0</v>
      </c>
      <c r="AW15" s="21" t="n">
        <f aca="false">COUNTIFS(d_Marca,$A15,d_Modelo,$B15,d_Subest,AW$7)</f>
        <v>0</v>
      </c>
      <c r="AX15" s="17" t="n">
        <f aca="false">SUM(AN15:AW15)</f>
        <v>0</v>
      </c>
      <c r="AY15" s="21" t="n">
        <f aca="false">COUNTIFS(d_Marca,$A15,d_Modelo,$B15,d_Subest,AY$7)</f>
        <v>57</v>
      </c>
      <c r="AZ15" s="17" t="n">
        <f aca="false">E15+H15+K15+P15+V15+AB15+AM15+AX15+AY15</f>
        <v>57</v>
      </c>
    </row>
    <row r="16" customFormat="false" ht="15" hidden="false" customHeight="false" outlineLevel="0" collapsed="false">
      <c r="A16" s="19" t="s">
        <v>34</v>
      </c>
      <c r="B16" s="20" t="s">
        <v>42</v>
      </c>
      <c r="C16" s="21" t="n">
        <f aca="false">COUNTIFS(d_Marca,$A16,d_Modelo,$B16,d_Subest,C$7)</f>
        <v>9</v>
      </c>
      <c r="D16" s="21" t="n">
        <f aca="false">COUNTIFS(d_Marca,$A16,d_Modelo,$B16,d_Subest,D$7)</f>
        <v>9</v>
      </c>
      <c r="E16" s="17" t="n">
        <f aca="false">SUM(C16:D16)</f>
        <v>18</v>
      </c>
      <c r="F16" s="21" t="n">
        <f aca="false">COUNTIFS(d_Marca,$A16,d_Modelo,$B16,d_Subest,F$7)</f>
        <v>10</v>
      </c>
      <c r="G16" s="21" t="n">
        <f aca="false">COUNTIFS(d_Marca,$A16,d_Modelo,$B16,d_Subest,G$7)</f>
        <v>3</v>
      </c>
      <c r="H16" s="17" t="n">
        <f aca="false">SUM(F16:G16)</f>
        <v>13</v>
      </c>
      <c r="I16" s="21" t="n">
        <f aca="false">COUNTIFS(d_Marca,$A16,d_Modelo,$B16,d_Subest,I$7)</f>
        <v>0</v>
      </c>
      <c r="J16" s="21" t="n">
        <f aca="false">COUNTIFS(d_Marca,$A16,d_Modelo,$B16,d_Subest,J$7)</f>
        <v>0</v>
      </c>
      <c r="K16" s="17" t="n">
        <f aca="false">SUM(I16:J16)</f>
        <v>0</v>
      </c>
      <c r="L16" s="21" t="n">
        <f aca="false">COUNTIFS(d_Marca,$A16,d_Modelo,$B16,d_Subest,L$7)</f>
        <v>0</v>
      </c>
      <c r="M16" s="21" t="n">
        <f aca="false">COUNTIFS(d_Marca,$A16,d_Modelo,$B16,d_Subest,M$7)</f>
        <v>0</v>
      </c>
      <c r="N16" s="21" t="n">
        <f aca="false">COUNTIFS(d_Marca,$A16,d_Modelo,$B16,d_Subest,N$7)</f>
        <v>0</v>
      </c>
      <c r="O16" s="21" t="n">
        <f aca="false">COUNTIFS(d_Marca,$A16,d_Modelo,$B16,d_Subest,O$7)</f>
        <v>0</v>
      </c>
      <c r="P16" s="17" t="n">
        <f aca="false">SUM(L16:O16)</f>
        <v>0</v>
      </c>
      <c r="Q16" s="21" t="n">
        <f aca="false">COUNTIFS(d_Marca,$A16,d_Modelo,$B16,d_Subest,Q$7)</f>
        <v>0</v>
      </c>
      <c r="R16" s="21" t="n">
        <f aca="false">COUNTIFS(d_Marca,$A16,d_Modelo,$B16,d_Subest,R$7)</f>
        <v>0</v>
      </c>
      <c r="S16" s="21" t="n">
        <f aca="false">COUNTIFS(d_Marca,$A16,d_Modelo,$B16,d_Subest,S$7)</f>
        <v>0</v>
      </c>
      <c r="T16" s="21" t="n">
        <f aca="false">COUNTIFS(d_Marca,$A16,d_Modelo,$B16,d_Subest,T$7)</f>
        <v>0</v>
      </c>
      <c r="U16" s="21" t="n">
        <f aca="false">COUNTIFS(d_Marca,$A16,d_Modelo,$B16,d_Subest,U$7)</f>
        <v>0</v>
      </c>
      <c r="V16" s="17" t="n">
        <f aca="false">SUM(Q16:U16)</f>
        <v>0</v>
      </c>
      <c r="W16" s="21" t="n">
        <f aca="false">COUNTIFS(d_Marca,$A16,d_Modelo,$B16,d_Subest,W$7)</f>
        <v>0</v>
      </c>
      <c r="X16" s="21" t="n">
        <f aca="false">COUNTIFS(d_Marca,$A16,d_Modelo,$B16,d_Subest,X$7)</f>
        <v>0</v>
      </c>
      <c r="Y16" s="21" t="n">
        <f aca="false">COUNTIFS(d_Marca,$A16,d_Modelo,$B16,d_Subest,Y$7)</f>
        <v>0</v>
      </c>
      <c r="Z16" s="21" t="n">
        <f aca="false">COUNTIFS(d_Marca,$A16,d_Modelo,$B16,d_Subest,Z$7)</f>
        <v>0</v>
      </c>
      <c r="AA16" s="21" t="n">
        <f aca="false">COUNTIFS(d_Marca,$A16,d_Modelo,$B16,d_Subest,AA$7)</f>
        <v>0</v>
      </c>
      <c r="AB16" s="17" t="n">
        <f aca="false">SUM(W16:AA16)</f>
        <v>0</v>
      </c>
      <c r="AC16" s="21" t="n">
        <f aca="false">COUNTIFS(d_Marca,$A16,d_Modelo,$B16,d_Subest,AC$7)</f>
        <v>0</v>
      </c>
      <c r="AD16" s="21" t="n">
        <f aca="false">COUNTIFS(d_Marca,$A16,d_Modelo,$B16,d_Subest,AD$7)</f>
        <v>0</v>
      </c>
      <c r="AE16" s="21" t="n">
        <f aca="false">COUNTIFS(d_Marca,$A16,d_Modelo,$B16,d_Subest,AE$7)</f>
        <v>0</v>
      </c>
      <c r="AF16" s="21" t="n">
        <f aca="false">COUNTIFS(d_Marca,$A16,d_Modelo,$B16,d_Subest,AF$7)</f>
        <v>0</v>
      </c>
      <c r="AG16" s="21" t="n">
        <f aca="false">COUNTIFS(d_Marca,$A16,d_Modelo,$B16,d_Subest,AG$7)</f>
        <v>0</v>
      </c>
      <c r="AH16" s="21" t="n">
        <f aca="false">COUNTIFS(d_Marca,$A16,d_Modelo,$B16,d_Subest,AH$7)</f>
        <v>0</v>
      </c>
      <c r="AI16" s="21" t="n">
        <f aca="false">COUNTIFS(d_Marca,$A16,d_Modelo,$B16,d_Subest,AI$7)</f>
        <v>0</v>
      </c>
      <c r="AJ16" s="21" t="n">
        <f aca="false">COUNTIFS(d_Marca,$A16,d_Modelo,$B16,d_Subest,AJ$7)</f>
        <v>0</v>
      </c>
      <c r="AK16" s="21" t="n">
        <f aca="false">COUNTIFS(d_Marca,$A16,d_Modelo,$B16,d_Subest,AK$7)</f>
        <v>0</v>
      </c>
      <c r="AL16" s="21" t="n">
        <f aca="false">COUNTIFS(d_Marca,$A16,d_Modelo,$B16,d_Subest,AL$7)</f>
        <v>0</v>
      </c>
      <c r="AM16" s="17" t="n">
        <f aca="false">SUM(AC16:AL16)</f>
        <v>0</v>
      </c>
      <c r="AN16" s="21" t="n">
        <f aca="false">COUNTIFS(d_Marca,$A16,d_Modelo,$B16,d_Subest,AN$7)</f>
        <v>0</v>
      </c>
      <c r="AO16" s="21" t="n">
        <f aca="false">COUNTIFS(d_Marca,$A16,d_Modelo,$B16,d_Subest,AO$7)</f>
        <v>0</v>
      </c>
      <c r="AP16" s="21" t="n">
        <f aca="false">COUNTIFS(d_Marca,$A16,d_Modelo,$B16,d_Subest,AP$7)</f>
        <v>0</v>
      </c>
      <c r="AQ16" s="21" t="n">
        <f aca="false">COUNTIFS(d_Marca,$A16,d_Modelo,$B16,d_Subest,AQ$7)</f>
        <v>0</v>
      </c>
      <c r="AR16" s="21" t="n">
        <f aca="false">COUNTIFS(d_Marca,$A16,d_Modelo,$B16,d_Subest,AR$7)</f>
        <v>0</v>
      </c>
      <c r="AS16" s="21" t="n">
        <f aca="false">COUNTIFS(d_Marca,$A16,d_Modelo,$B16,d_Subest,AS$7)</f>
        <v>0</v>
      </c>
      <c r="AT16" s="21" t="n">
        <f aca="false">COUNTIFS(d_Marca,$A16,d_Modelo,$B16,d_Subest,AT$7)</f>
        <v>0</v>
      </c>
      <c r="AU16" s="21" t="n">
        <f aca="false">COUNTIFS(d_Marca,$A16,d_Modelo,$B16,d_Subest,AU$7)</f>
        <v>0</v>
      </c>
      <c r="AV16" s="21" t="n">
        <f aca="false">COUNTIFS(d_Marca,$A16,d_Modelo,$B16,d_Subest,AV$7)</f>
        <v>0</v>
      </c>
      <c r="AW16" s="21" t="n">
        <f aca="false">COUNTIFS(d_Marca,$A16,d_Modelo,$B16,d_Subest,AW$7)</f>
        <v>0</v>
      </c>
      <c r="AX16" s="17" t="n">
        <f aca="false">SUM(AN16:AW16)</f>
        <v>0</v>
      </c>
      <c r="AY16" s="21" t="n">
        <f aca="false">COUNTIFS(d_Marca,$A16,d_Modelo,$B16,d_Subest,AY$7)</f>
        <v>2</v>
      </c>
      <c r="AZ16" s="17" t="n">
        <f aca="false">E16+H16+K16+P16+V16+AB16+AM16+AX16+AY16</f>
        <v>33</v>
      </c>
    </row>
    <row r="17" customFormat="false" ht="15" hidden="false" customHeight="false" outlineLevel="0" collapsed="false">
      <c r="A17" s="19" t="s">
        <v>34</v>
      </c>
      <c r="B17" s="20" t="s">
        <v>43</v>
      </c>
      <c r="C17" s="21" t="n">
        <f aca="false">COUNTIFS(d_Marca,$A17,d_Modelo,$B17,d_Subest,C$7)</f>
        <v>0</v>
      </c>
      <c r="D17" s="21" t="n">
        <f aca="false">COUNTIFS(d_Marca,$A17,d_Modelo,$B17,d_Subest,D$7)</f>
        <v>0</v>
      </c>
      <c r="E17" s="17" t="n">
        <f aca="false">SUM(C17:D17)</f>
        <v>0</v>
      </c>
      <c r="F17" s="21" t="n">
        <f aca="false">COUNTIFS(d_Marca,$A17,d_Modelo,$B17,d_Subest,F$7)</f>
        <v>0</v>
      </c>
      <c r="G17" s="21" t="n">
        <f aca="false">COUNTIFS(d_Marca,$A17,d_Modelo,$B17,d_Subest,G$7)</f>
        <v>0</v>
      </c>
      <c r="H17" s="17" t="n">
        <f aca="false">SUM(F17:G17)</f>
        <v>0</v>
      </c>
      <c r="I17" s="21" t="n">
        <f aca="false">COUNTIFS(d_Marca,$A17,d_Modelo,$B17,d_Subest,I$7)</f>
        <v>0</v>
      </c>
      <c r="J17" s="21" t="n">
        <f aca="false">COUNTIFS(d_Marca,$A17,d_Modelo,$B17,d_Subest,J$7)</f>
        <v>0</v>
      </c>
      <c r="K17" s="17" t="n">
        <f aca="false">SUM(I17:J17)</f>
        <v>0</v>
      </c>
      <c r="L17" s="21" t="n">
        <f aca="false">COUNTIFS(d_Marca,$A17,d_Modelo,$B17,d_Subest,L$7)</f>
        <v>0</v>
      </c>
      <c r="M17" s="21" t="n">
        <f aca="false">COUNTIFS(d_Marca,$A17,d_Modelo,$B17,d_Subest,M$7)</f>
        <v>0</v>
      </c>
      <c r="N17" s="21" t="n">
        <f aca="false">COUNTIFS(d_Marca,$A17,d_Modelo,$B17,d_Subest,N$7)</f>
        <v>0</v>
      </c>
      <c r="O17" s="21" t="n">
        <f aca="false">COUNTIFS(d_Marca,$A17,d_Modelo,$B17,d_Subest,O$7)</f>
        <v>0</v>
      </c>
      <c r="P17" s="17" t="n">
        <f aca="false">SUM(L17:O17)</f>
        <v>0</v>
      </c>
      <c r="Q17" s="21" t="n">
        <f aca="false">COUNTIFS(d_Marca,$A17,d_Modelo,$B17,d_Subest,Q$7)</f>
        <v>0</v>
      </c>
      <c r="R17" s="21" t="n">
        <f aca="false">COUNTIFS(d_Marca,$A17,d_Modelo,$B17,d_Subest,R$7)</f>
        <v>0</v>
      </c>
      <c r="S17" s="21" t="n">
        <f aca="false">COUNTIFS(d_Marca,$A17,d_Modelo,$B17,d_Subest,S$7)</f>
        <v>0</v>
      </c>
      <c r="T17" s="21" t="n">
        <f aca="false">COUNTIFS(d_Marca,$A17,d_Modelo,$B17,d_Subest,T$7)</f>
        <v>0</v>
      </c>
      <c r="U17" s="21" t="n">
        <f aca="false">COUNTIFS(d_Marca,$A17,d_Modelo,$B17,d_Subest,U$7)</f>
        <v>0</v>
      </c>
      <c r="V17" s="17" t="n">
        <f aca="false">SUM(Q17:U17)</f>
        <v>0</v>
      </c>
      <c r="W17" s="21" t="n">
        <f aca="false">COUNTIFS(d_Marca,$A17,d_Modelo,$B17,d_Subest,W$7)</f>
        <v>2</v>
      </c>
      <c r="X17" s="21" t="n">
        <f aca="false">COUNTIFS(d_Marca,$A17,d_Modelo,$B17,d_Subest,X$7)</f>
        <v>0</v>
      </c>
      <c r="Y17" s="21" t="n">
        <f aca="false">COUNTIFS(d_Marca,$A17,d_Modelo,$B17,d_Subest,Y$7)</f>
        <v>0</v>
      </c>
      <c r="Z17" s="21" t="n">
        <f aca="false">COUNTIFS(d_Marca,$A17,d_Modelo,$B17,d_Subest,Z$7)</f>
        <v>2</v>
      </c>
      <c r="AA17" s="21" t="n">
        <f aca="false">COUNTIFS(d_Marca,$A17,d_Modelo,$B17,d_Subest,AA$7)</f>
        <v>2</v>
      </c>
      <c r="AB17" s="17" t="n">
        <f aca="false">SUM(W17:AA17)</f>
        <v>6</v>
      </c>
      <c r="AC17" s="21" t="n">
        <f aca="false">COUNTIFS(d_Marca,$A17,d_Modelo,$B17,d_Subest,AC$7)</f>
        <v>0</v>
      </c>
      <c r="AD17" s="21" t="n">
        <f aca="false">COUNTIFS(d_Marca,$A17,d_Modelo,$B17,d_Subest,AD$7)</f>
        <v>0</v>
      </c>
      <c r="AE17" s="21" t="n">
        <f aca="false">COUNTIFS(d_Marca,$A17,d_Modelo,$B17,d_Subest,AE$7)</f>
        <v>0</v>
      </c>
      <c r="AF17" s="21" t="n">
        <f aca="false">COUNTIFS(d_Marca,$A17,d_Modelo,$B17,d_Subest,AF$7)</f>
        <v>0</v>
      </c>
      <c r="AG17" s="21" t="n">
        <f aca="false">COUNTIFS(d_Marca,$A17,d_Modelo,$B17,d_Subest,AG$7)</f>
        <v>0</v>
      </c>
      <c r="AH17" s="21" t="n">
        <f aca="false">COUNTIFS(d_Marca,$A17,d_Modelo,$B17,d_Subest,AH$7)</f>
        <v>0</v>
      </c>
      <c r="AI17" s="21" t="n">
        <f aca="false">COUNTIFS(d_Marca,$A17,d_Modelo,$B17,d_Subest,AI$7)</f>
        <v>0</v>
      </c>
      <c r="AJ17" s="21" t="n">
        <f aca="false">COUNTIFS(d_Marca,$A17,d_Modelo,$B17,d_Subest,AJ$7)</f>
        <v>0</v>
      </c>
      <c r="AK17" s="21" t="n">
        <f aca="false">COUNTIFS(d_Marca,$A17,d_Modelo,$B17,d_Subest,AK$7)</f>
        <v>0</v>
      </c>
      <c r="AL17" s="21" t="n">
        <f aca="false">COUNTIFS(d_Marca,$A17,d_Modelo,$B17,d_Subest,AL$7)</f>
        <v>0</v>
      </c>
      <c r="AM17" s="17" t="n">
        <f aca="false">SUM(AC17:AL17)</f>
        <v>0</v>
      </c>
      <c r="AN17" s="21" t="n">
        <f aca="false">COUNTIFS(d_Marca,$A17,d_Modelo,$B17,d_Subest,AN$7)</f>
        <v>0</v>
      </c>
      <c r="AO17" s="21" t="n">
        <f aca="false">COUNTIFS(d_Marca,$A17,d_Modelo,$B17,d_Subest,AO$7)</f>
        <v>2</v>
      </c>
      <c r="AP17" s="21" t="n">
        <f aca="false">COUNTIFS(d_Marca,$A17,d_Modelo,$B17,d_Subest,AP$7)</f>
        <v>0</v>
      </c>
      <c r="AQ17" s="21" t="n">
        <f aca="false">COUNTIFS(d_Marca,$A17,d_Modelo,$B17,d_Subest,AQ$7)</f>
        <v>0</v>
      </c>
      <c r="AR17" s="21" t="n">
        <f aca="false">COUNTIFS(d_Marca,$A17,d_Modelo,$B17,d_Subest,AR$7)</f>
        <v>0</v>
      </c>
      <c r="AS17" s="21" t="n">
        <f aca="false">COUNTIFS(d_Marca,$A17,d_Modelo,$B17,d_Subest,AS$7)</f>
        <v>2</v>
      </c>
      <c r="AT17" s="21" t="n">
        <f aca="false">COUNTIFS(d_Marca,$A17,d_Modelo,$B17,d_Subest,AT$7)</f>
        <v>0</v>
      </c>
      <c r="AU17" s="21" t="n">
        <f aca="false">COUNTIFS(d_Marca,$A17,d_Modelo,$B17,d_Subest,AU$7)</f>
        <v>0</v>
      </c>
      <c r="AV17" s="21" t="n">
        <f aca="false">COUNTIFS(d_Marca,$A17,d_Modelo,$B17,d_Subest,AV$7)</f>
        <v>19</v>
      </c>
      <c r="AW17" s="21" t="n">
        <f aca="false">COUNTIFS(d_Marca,$A17,d_Modelo,$B17,d_Subest,AW$7)</f>
        <v>0</v>
      </c>
      <c r="AX17" s="17" t="n">
        <f aca="false">SUM(AN17:AW17)</f>
        <v>23</v>
      </c>
      <c r="AY17" s="21" t="n">
        <f aca="false">COUNTIFS(d_Marca,$A17,d_Modelo,$B17,d_Subest,AY$7)</f>
        <v>0</v>
      </c>
      <c r="AZ17" s="17" t="n">
        <f aca="false">E17+H17+K17+P17+V17+AB17+AM17+AX17+AY17</f>
        <v>29</v>
      </c>
    </row>
    <row r="18" customFormat="false" ht="15" hidden="false" customHeight="false" outlineLevel="0" collapsed="false">
      <c r="A18" s="19" t="s">
        <v>34</v>
      </c>
      <c r="B18" s="20" t="s">
        <v>44</v>
      </c>
      <c r="C18" s="21" t="n">
        <f aca="false">COUNTIFS(d_Marca,$A18,d_Modelo,$B18,d_Subest,C$7)</f>
        <v>0</v>
      </c>
      <c r="D18" s="21" t="n">
        <f aca="false">COUNTIFS(d_Marca,$A18,d_Modelo,$B18,d_Subest,D$7)</f>
        <v>0</v>
      </c>
      <c r="E18" s="17" t="n">
        <f aca="false">SUM(C18:D18)</f>
        <v>0</v>
      </c>
      <c r="F18" s="21" t="n">
        <f aca="false">COUNTIFS(d_Marca,$A18,d_Modelo,$B18,d_Subest,F$7)</f>
        <v>0</v>
      </c>
      <c r="G18" s="21" t="n">
        <f aca="false">COUNTIFS(d_Marca,$A18,d_Modelo,$B18,d_Subest,G$7)</f>
        <v>0</v>
      </c>
      <c r="H18" s="17" t="n">
        <f aca="false">SUM(F18:G18)</f>
        <v>0</v>
      </c>
      <c r="I18" s="21" t="n">
        <f aca="false">COUNTIFS(d_Marca,$A18,d_Modelo,$B18,d_Subest,I$7)</f>
        <v>0</v>
      </c>
      <c r="J18" s="21" t="n">
        <f aca="false">COUNTIFS(d_Marca,$A18,d_Modelo,$B18,d_Subest,J$7)</f>
        <v>0</v>
      </c>
      <c r="K18" s="17" t="n">
        <f aca="false">SUM(I18:J18)</f>
        <v>0</v>
      </c>
      <c r="L18" s="21" t="n">
        <f aca="false">COUNTIFS(d_Marca,$A18,d_Modelo,$B18,d_Subest,L$7)</f>
        <v>0</v>
      </c>
      <c r="M18" s="21" t="n">
        <f aca="false">COUNTIFS(d_Marca,$A18,d_Modelo,$B18,d_Subest,M$7)</f>
        <v>0</v>
      </c>
      <c r="N18" s="21" t="n">
        <f aca="false">COUNTIFS(d_Marca,$A18,d_Modelo,$B18,d_Subest,N$7)</f>
        <v>0</v>
      </c>
      <c r="O18" s="21" t="n">
        <f aca="false">COUNTIFS(d_Marca,$A18,d_Modelo,$B18,d_Subest,O$7)</f>
        <v>0</v>
      </c>
      <c r="P18" s="17" t="n">
        <f aca="false">SUM(L18:O18)</f>
        <v>0</v>
      </c>
      <c r="Q18" s="21" t="n">
        <f aca="false">COUNTIFS(d_Marca,$A18,d_Modelo,$B18,d_Subest,Q$7)</f>
        <v>0</v>
      </c>
      <c r="R18" s="21" t="n">
        <f aca="false">COUNTIFS(d_Marca,$A18,d_Modelo,$B18,d_Subest,R$7)</f>
        <v>0</v>
      </c>
      <c r="S18" s="21" t="n">
        <f aca="false">COUNTIFS(d_Marca,$A18,d_Modelo,$B18,d_Subest,S$7)</f>
        <v>0</v>
      </c>
      <c r="T18" s="21" t="n">
        <f aca="false">COUNTIFS(d_Marca,$A18,d_Modelo,$B18,d_Subest,T$7)</f>
        <v>0</v>
      </c>
      <c r="U18" s="21" t="n">
        <f aca="false">COUNTIFS(d_Marca,$A18,d_Modelo,$B18,d_Subest,U$7)</f>
        <v>0</v>
      </c>
      <c r="V18" s="17" t="n">
        <f aca="false">SUM(Q18:U18)</f>
        <v>0</v>
      </c>
      <c r="W18" s="21" t="n">
        <f aca="false">COUNTIFS(d_Marca,$A18,d_Modelo,$B18,d_Subest,W$7)</f>
        <v>0</v>
      </c>
      <c r="X18" s="21" t="n">
        <f aca="false">COUNTIFS(d_Marca,$A18,d_Modelo,$B18,d_Subest,X$7)</f>
        <v>0</v>
      </c>
      <c r="Y18" s="21" t="n">
        <f aca="false">COUNTIFS(d_Marca,$A18,d_Modelo,$B18,d_Subest,Y$7)</f>
        <v>0</v>
      </c>
      <c r="Z18" s="21" t="n">
        <f aca="false">COUNTIFS(d_Marca,$A18,d_Modelo,$B18,d_Subest,Z$7)</f>
        <v>0</v>
      </c>
      <c r="AA18" s="21" t="n">
        <f aca="false">COUNTIFS(d_Marca,$A18,d_Modelo,$B18,d_Subest,AA$7)</f>
        <v>0</v>
      </c>
      <c r="AB18" s="17" t="n">
        <f aca="false">SUM(W18:AA18)</f>
        <v>0</v>
      </c>
      <c r="AC18" s="21" t="n">
        <f aca="false">COUNTIFS(d_Marca,$A18,d_Modelo,$B18,d_Subest,AC$7)</f>
        <v>0</v>
      </c>
      <c r="AD18" s="21" t="n">
        <f aca="false">COUNTIFS(d_Marca,$A18,d_Modelo,$B18,d_Subest,AD$7)</f>
        <v>0</v>
      </c>
      <c r="AE18" s="21" t="n">
        <f aca="false">COUNTIFS(d_Marca,$A18,d_Modelo,$B18,d_Subest,AE$7)</f>
        <v>0</v>
      </c>
      <c r="AF18" s="21" t="n">
        <f aca="false">COUNTIFS(d_Marca,$A18,d_Modelo,$B18,d_Subest,AF$7)</f>
        <v>0</v>
      </c>
      <c r="AG18" s="21" t="n">
        <f aca="false">COUNTIFS(d_Marca,$A18,d_Modelo,$B18,d_Subest,AG$7)</f>
        <v>0</v>
      </c>
      <c r="AH18" s="21" t="n">
        <f aca="false">COUNTIFS(d_Marca,$A18,d_Modelo,$B18,d_Subest,AH$7)</f>
        <v>0</v>
      </c>
      <c r="AI18" s="21" t="n">
        <f aca="false">COUNTIFS(d_Marca,$A18,d_Modelo,$B18,d_Subest,AI$7)</f>
        <v>0</v>
      </c>
      <c r="AJ18" s="21" t="n">
        <f aca="false">COUNTIFS(d_Marca,$A18,d_Modelo,$B18,d_Subest,AJ$7)</f>
        <v>0</v>
      </c>
      <c r="AK18" s="21" t="n">
        <f aca="false">COUNTIFS(d_Marca,$A18,d_Modelo,$B18,d_Subest,AK$7)</f>
        <v>0</v>
      </c>
      <c r="AL18" s="21" t="n">
        <f aca="false">COUNTIFS(d_Marca,$A18,d_Modelo,$B18,d_Subest,AL$7)</f>
        <v>0</v>
      </c>
      <c r="AM18" s="17" t="n">
        <f aca="false">SUM(AC18:AL18)</f>
        <v>0</v>
      </c>
      <c r="AN18" s="21" t="n">
        <f aca="false">COUNTIFS(d_Marca,$A18,d_Modelo,$B18,d_Subest,AN$7)</f>
        <v>0</v>
      </c>
      <c r="AO18" s="21" t="n">
        <f aca="false">COUNTIFS(d_Marca,$A18,d_Modelo,$B18,d_Subest,AO$7)</f>
        <v>0</v>
      </c>
      <c r="AP18" s="21" t="n">
        <f aca="false">COUNTIFS(d_Marca,$A18,d_Modelo,$B18,d_Subest,AP$7)</f>
        <v>0</v>
      </c>
      <c r="AQ18" s="21" t="n">
        <f aca="false">COUNTIFS(d_Marca,$A18,d_Modelo,$B18,d_Subest,AQ$7)</f>
        <v>0</v>
      </c>
      <c r="AR18" s="21" t="n">
        <f aca="false">COUNTIFS(d_Marca,$A18,d_Modelo,$B18,d_Subest,AR$7)</f>
        <v>0</v>
      </c>
      <c r="AS18" s="21" t="n">
        <f aca="false">COUNTIFS(d_Marca,$A18,d_Modelo,$B18,d_Subest,AS$7)</f>
        <v>0</v>
      </c>
      <c r="AT18" s="21" t="n">
        <f aca="false">COUNTIFS(d_Marca,$A18,d_Modelo,$B18,d_Subest,AT$7)</f>
        <v>0</v>
      </c>
      <c r="AU18" s="21" t="n">
        <f aca="false">COUNTIFS(d_Marca,$A18,d_Modelo,$B18,d_Subest,AU$7)</f>
        <v>0</v>
      </c>
      <c r="AV18" s="21" t="n">
        <f aca="false">COUNTIFS(d_Marca,$A18,d_Modelo,$B18,d_Subest,AV$7)</f>
        <v>0</v>
      </c>
      <c r="AW18" s="21" t="n">
        <f aca="false">COUNTIFS(d_Marca,$A18,d_Modelo,$B18,d_Subest,AW$7)</f>
        <v>0</v>
      </c>
      <c r="AX18" s="17" t="n">
        <f aca="false">SUM(AN18:AW18)</f>
        <v>0</v>
      </c>
      <c r="AY18" s="21" t="n">
        <f aca="false">COUNTIFS(d_Marca,$A18,d_Modelo,$B18,d_Subest,AY$7)</f>
        <v>24</v>
      </c>
      <c r="AZ18" s="17" t="n">
        <f aca="false">E18+H18+K18+P18+V18+AB18+AM18+AX18+AY18</f>
        <v>24</v>
      </c>
    </row>
    <row r="19" customFormat="false" ht="15" hidden="false" customHeight="false" outlineLevel="0" collapsed="false">
      <c r="A19" s="19" t="s">
        <v>34</v>
      </c>
      <c r="B19" s="20" t="s">
        <v>45</v>
      </c>
      <c r="C19" s="21" t="n">
        <f aca="false">COUNTIFS(d_Marca,$A19,d_Modelo,$B19,d_Subest,C$7)</f>
        <v>0</v>
      </c>
      <c r="D19" s="21" t="n">
        <f aca="false">COUNTIFS(d_Marca,$A19,d_Modelo,$B19,d_Subest,D$7)</f>
        <v>0</v>
      </c>
      <c r="E19" s="17" t="n">
        <f aca="false">SUM(C19:D19)</f>
        <v>0</v>
      </c>
      <c r="F19" s="21" t="n">
        <f aca="false">COUNTIFS(d_Marca,$A19,d_Modelo,$B19,d_Subest,F$7)</f>
        <v>0</v>
      </c>
      <c r="G19" s="21" t="n">
        <f aca="false">COUNTIFS(d_Marca,$A19,d_Modelo,$B19,d_Subest,G$7)</f>
        <v>0</v>
      </c>
      <c r="H19" s="17" t="n">
        <f aca="false">SUM(F19:G19)</f>
        <v>0</v>
      </c>
      <c r="I19" s="21" t="n">
        <f aca="false">COUNTIFS(d_Marca,$A19,d_Modelo,$B19,d_Subest,I$7)</f>
        <v>0</v>
      </c>
      <c r="J19" s="21" t="n">
        <f aca="false">COUNTIFS(d_Marca,$A19,d_Modelo,$B19,d_Subest,J$7)</f>
        <v>0</v>
      </c>
      <c r="K19" s="17" t="n">
        <f aca="false">SUM(I19:J19)</f>
        <v>0</v>
      </c>
      <c r="L19" s="21" t="n">
        <f aca="false">COUNTIFS(d_Marca,$A19,d_Modelo,$B19,d_Subest,L$7)</f>
        <v>0</v>
      </c>
      <c r="M19" s="21" t="n">
        <f aca="false">COUNTIFS(d_Marca,$A19,d_Modelo,$B19,d_Subest,M$7)</f>
        <v>0</v>
      </c>
      <c r="N19" s="21" t="n">
        <f aca="false">COUNTIFS(d_Marca,$A19,d_Modelo,$B19,d_Subest,N$7)</f>
        <v>0</v>
      </c>
      <c r="O19" s="21" t="n">
        <f aca="false">COUNTIFS(d_Marca,$A19,d_Modelo,$B19,d_Subest,O$7)</f>
        <v>0</v>
      </c>
      <c r="P19" s="17" t="n">
        <f aca="false">SUM(L19:O19)</f>
        <v>0</v>
      </c>
      <c r="Q19" s="21" t="n">
        <f aca="false">COUNTIFS(d_Marca,$A19,d_Modelo,$B19,d_Subest,Q$7)</f>
        <v>0</v>
      </c>
      <c r="R19" s="21" t="n">
        <f aca="false">COUNTIFS(d_Marca,$A19,d_Modelo,$B19,d_Subest,R$7)</f>
        <v>0</v>
      </c>
      <c r="S19" s="21" t="n">
        <f aca="false">COUNTIFS(d_Marca,$A19,d_Modelo,$B19,d_Subest,S$7)</f>
        <v>0</v>
      </c>
      <c r="T19" s="21" t="n">
        <f aca="false">COUNTIFS(d_Marca,$A19,d_Modelo,$B19,d_Subest,T$7)</f>
        <v>0</v>
      </c>
      <c r="U19" s="21" t="n">
        <f aca="false">COUNTIFS(d_Marca,$A19,d_Modelo,$B19,d_Subest,U$7)</f>
        <v>0</v>
      </c>
      <c r="V19" s="17" t="n">
        <f aca="false">SUM(Q19:U19)</f>
        <v>0</v>
      </c>
      <c r="W19" s="21" t="n">
        <f aca="false">COUNTIFS(d_Marca,$A19,d_Modelo,$B19,d_Subest,W$7)</f>
        <v>0</v>
      </c>
      <c r="X19" s="21" t="n">
        <f aca="false">COUNTIFS(d_Marca,$A19,d_Modelo,$B19,d_Subest,X$7)</f>
        <v>0</v>
      </c>
      <c r="Y19" s="21" t="n">
        <f aca="false">COUNTIFS(d_Marca,$A19,d_Modelo,$B19,d_Subest,Y$7)</f>
        <v>18</v>
      </c>
      <c r="Z19" s="21" t="n">
        <f aca="false">COUNTIFS(d_Marca,$A19,d_Modelo,$B19,d_Subest,Z$7)</f>
        <v>0</v>
      </c>
      <c r="AA19" s="21" t="n">
        <f aca="false">COUNTIFS(d_Marca,$A19,d_Modelo,$B19,d_Subest,AA$7)</f>
        <v>0</v>
      </c>
      <c r="AB19" s="17" t="n">
        <f aca="false">SUM(W19:AA19)</f>
        <v>18</v>
      </c>
      <c r="AC19" s="21" t="n">
        <f aca="false">COUNTIFS(d_Marca,$A19,d_Modelo,$B19,d_Subest,AC$7)</f>
        <v>0</v>
      </c>
      <c r="AD19" s="21" t="n">
        <f aca="false">COUNTIFS(d_Marca,$A19,d_Modelo,$B19,d_Subest,AD$7)</f>
        <v>0</v>
      </c>
      <c r="AE19" s="21" t="n">
        <f aca="false">COUNTIFS(d_Marca,$A19,d_Modelo,$B19,d_Subest,AE$7)</f>
        <v>0</v>
      </c>
      <c r="AF19" s="21" t="n">
        <f aca="false">COUNTIFS(d_Marca,$A19,d_Modelo,$B19,d_Subest,AF$7)</f>
        <v>0</v>
      </c>
      <c r="AG19" s="21" t="n">
        <f aca="false">COUNTIFS(d_Marca,$A19,d_Modelo,$B19,d_Subest,AG$7)</f>
        <v>0</v>
      </c>
      <c r="AH19" s="21" t="n">
        <f aca="false">COUNTIFS(d_Marca,$A19,d_Modelo,$B19,d_Subest,AH$7)</f>
        <v>0</v>
      </c>
      <c r="AI19" s="21" t="n">
        <f aca="false">COUNTIFS(d_Marca,$A19,d_Modelo,$B19,d_Subest,AI$7)</f>
        <v>0</v>
      </c>
      <c r="AJ19" s="21" t="n">
        <f aca="false">COUNTIFS(d_Marca,$A19,d_Modelo,$B19,d_Subest,AJ$7)</f>
        <v>0</v>
      </c>
      <c r="AK19" s="21" t="n">
        <f aca="false">COUNTIFS(d_Marca,$A19,d_Modelo,$B19,d_Subest,AK$7)</f>
        <v>0</v>
      </c>
      <c r="AL19" s="21" t="n">
        <f aca="false">COUNTIFS(d_Marca,$A19,d_Modelo,$B19,d_Subest,AL$7)</f>
        <v>0</v>
      </c>
      <c r="AM19" s="17" t="n">
        <f aca="false">SUM(AC19:AL19)</f>
        <v>0</v>
      </c>
      <c r="AN19" s="21" t="n">
        <f aca="false">COUNTIFS(d_Marca,$A19,d_Modelo,$B19,d_Subest,AN$7)</f>
        <v>0</v>
      </c>
      <c r="AO19" s="21" t="n">
        <f aca="false">COUNTIFS(d_Marca,$A19,d_Modelo,$B19,d_Subest,AO$7)</f>
        <v>0</v>
      </c>
      <c r="AP19" s="21" t="n">
        <f aca="false">COUNTIFS(d_Marca,$A19,d_Modelo,$B19,d_Subest,AP$7)</f>
        <v>0</v>
      </c>
      <c r="AQ19" s="21" t="n">
        <f aca="false">COUNTIFS(d_Marca,$A19,d_Modelo,$B19,d_Subest,AQ$7)</f>
        <v>0</v>
      </c>
      <c r="AR19" s="21" t="n">
        <f aca="false">COUNTIFS(d_Marca,$A19,d_Modelo,$B19,d_Subest,AR$7)</f>
        <v>0</v>
      </c>
      <c r="AS19" s="21" t="n">
        <f aca="false">COUNTIFS(d_Marca,$A19,d_Modelo,$B19,d_Subest,AS$7)</f>
        <v>0</v>
      </c>
      <c r="AT19" s="21" t="n">
        <f aca="false">COUNTIFS(d_Marca,$A19,d_Modelo,$B19,d_Subest,AT$7)</f>
        <v>0</v>
      </c>
      <c r="AU19" s="21" t="n">
        <f aca="false">COUNTIFS(d_Marca,$A19,d_Modelo,$B19,d_Subest,AU$7)</f>
        <v>0</v>
      </c>
      <c r="AV19" s="21" t="n">
        <f aca="false">COUNTIFS(d_Marca,$A19,d_Modelo,$B19,d_Subest,AV$7)</f>
        <v>0</v>
      </c>
      <c r="AW19" s="21" t="n">
        <f aca="false">COUNTIFS(d_Marca,$A19,d_Modelo,$B19,d_Subest,AW$7)</f>
        <v>0</v>
      </c>
      <c r="AX19" s="17" t="n">
        <f aca="false">SUM(AN19:AW19)</f>
        <v>0</v>
      </c>
      <c r="AY19" s="21" t="n">
        <f aca="false">COUNTIFS(d_Marca,$A19,d_Modelo,$B19,d_Subest,AY$7)</f>
        <v>0</v>
      </c>
      <c r="AZ19" s="17" t="n">
        <f aca="false">E19+H19+K19+P19+V19+AB19+AM19+AX19+AY19</f>
        <v>18</v>
      </c>
    </row>
    <row r="20" customFormat="false" ht="15" hidden="false" customHeight="false" outlineLevel="0" collapsed="false">
      <c r="A20" s="19" t="s">
        <v>34</v>
      </c>
      <c r="B20" s="20" t="s">
        <v>46</v>
      </c>
      <c r="C20" s="21" t="n">
        <f aca="false">COUNTIFS(d_Marca,$A20,d_Modelo,$B20,d_Subest,C$7)</f>
        <v>3</v>
      </c>
      <c r="D20" s="21" t="n">
        <f aca="false">COUNTIFS(d_Marca,$A20,d_Modelo,$B20,d_Subest,D$7)</f>
        <v>2</v>
      </c>
      <c r="E20" s="17" t="n">
        <f aca="false">SUM(C20:D20)</f>
        <v>5</v>
      </c>
      <c r="F20" s="21" t="n">
        <f aca="false">COUNTIFS(d_Marca,$A20,d_Modelo,$B20,d_Subest,F$7)</f>
        <v>2</v>
      </c>
      <c r="G20" s="21" t="n">
        <f aca="false">COUNTIFS(d_Marca,$A20,d_Modelo,$B20,d_Subest,G$7)</f>
        <v>2</v>
      </c>
      <c r="H20" s="17" t="n">
        <f aca="false">SUM(F20:G20)</f>
        <v>4</v>
      </c>
      <c r="I20" s="21" t="n">
        <f aca="false">COUNTIFS(d_Marca,$A20,d_Modelo,$B20,d_Subest,I$7)</f>
        <v>0</v>
      </c>
      <c r="J20" s="21" t="n">
        <f aca="false">COUNTIFS(d_Marca,$A20,d_Modelo,$B20,d_Subest,J$7)</f>
        <v>0</v>
      </c>
      <c r="K20" s="17" t="n">
        <f aca="false">SUM(I20:J20)</f>
        <v>0</v>
      </c>
      <c r="L20" s="21" t="n">
        <f aca="false">COUNTIFS(d_Marca,$A20,d_Modelo,$B20,d_Subest,L$7)</f>
        <v>0</v>
      </c>
      <c r="M20" s="21" t="n">
        <f aca="false">COUNTIFS(d_Marca,$A20,d_Modelo,$B20,d_Subest,M$7)</f>
        <v>0</v>
      </c>
      <c r="N20" s="21" t="n">
        <f aca="false">COUNTIFS(d_Marca,$A20,d_Modelo,$B20,d_Subest,N$7)</f>
        <v>0</v>
      </c>
      <c r="O20" s="21" t="n">
        <f aca="false">COUNTIFS(d_Marca,$A20,d_Modelo,$B20,d_Subest,O$7)</f>
        <v>0</v>
      </c>
      <c r="P20" s="17" t="n">
        <f aca="false">SUM(L20:O20)</f>
        <v>0</v>
      </c>
      <c r="Q20" s="21" t="n">
        <f aca="false">COUNTIFS(d_Marca,$A20,d_Modelo,$B20,d_Subest,Q$7)</f>
        <v>0</v>
      </c>
      <c r="R20" s="21" t="n">
        <f aca="false">COUNTIFS(d_Marca,$A20,d_Modelo,$B20,d_Subest,R$7)</f>
        <v>0</v>
      </c>
      <c r="S20" s="21" t="n">
        <f aca="false">COUNTIFS(d_Marca,$A20,d_Modelo,$B20,d_Subest,S$7)</f>
        <v>0</v>
      </c>
      <c r="T20" s="21" t="n">
        <f aca="false">COUNTIFS(d_Marca,$A20,d_Modelo,$B20,d_Subest,T$7)</f>
        <v>0</v>
      </c>
      <c r="U20" s="21" t="n">
        <f aca="false">COUNTIFS(d_Marca,$A20,d_Modelo,$B20,d_Subest,U$7)</f>
        <v>0</v>
      </c>
      <c r="V20" s="17" t="n">
        <f aca="false">SUM(Q20:U20)</f>
        <v>0</v>
      </c>
      <c r="W20" s="21" t="n">
        <f aca="false">COUNTIFS(d_Marca,$A20,d_Modelo,$B20,d_Subest,W$7)</f>
        <v>0</v>
      </c>
      <c r="X20" s="21" t="n">
        <f aca="false">COUNTIFS(d_Marca,$A20,d_Modelo,$B20,d_Subest,X$7)</f>
        <v>0</v>
      </c>
      <c r="Y20" s="21" t="n">
        <f aca="false">COUNTIFS(d_Marca,$A20,d_Modelo,$B20,d_Subest,Y$7)</f>
        <v>0</v>
      </c>
      <c r="Z20" s="21" t="n">
        <f aca="false">COUNTIFS(d_Marca,$A20,d_Modelo,$B20,d_Subest,Z$7)</f>
        <v>0</v>
      </c>
      <c r="AA20" s="21" t="n">
        <f aca="false">COUNTIFS(d_Marca,$A20,d_Modelo,$B20,d_Subest,AA$7)</f>
        <v>0</v>
      </c>
      <c r="AB20" s="17" t="n">
        <f aca="false">SUM(W20:AA20)</f>
        <v>0</v>
      </c>
      <c r="AC20" s="21" t="n">
        <f aca="false">COUNTIFS(d_Marca,$A20,d_Modelo,$B20,d_Subest,AC$7)</f>
        <v>0</v>
      </c>
      <c r="AD20" s="21" t="n">
        <f aca="false">COUNTIFS(d_Marca,$A20,d_Modelo,$B20,d_Subest,AD$7)</f>
        <v>0</v>
      </c>
      <c r="AE20" s="21" t="n">
        <f aca="false">COUNTIFS(d_Marca,$A20,d_Modelo,$B20,d_Subest,AE$7)</f>
        <v>0</v>
      </c>
      <c r="AF20" s="21" t="n">
        <f aca="false">COUNTIFS(d_Marca,$A20,d_Modelo,$B20,d_Subest,AF$7)</f>
        <v>0</v>
      </c>
      <c r="AG20" s="21" t="n">
        <f aca="false">COUNTIFS(d_Marca,$A20,d_Modelo,$B20,d_Subest,AG$7)</f>
        <v>0</v>
      </c>
      <c r="AH20" s="21" t="n">
        <f aca="false">COUNTIFS(d_Marca,$A20,d_Modelo,$B20,d_Subest,AH$7)</f>
        <v>0</v>
      </c>
      <c r="AI20" s="21" t="n">
        <f aca="false">COUNTIFS(d_Marca,$A20,d_Modelo,$B20,d_Subest,AI$7)</f>
        <v>0</v>
      </c>
      <c r="AJ20" s="21" t="n">
        <f aca="false">COUNTIFS(d_Marca,$A20,d_Modelo,$B20,d_Subest,AJ$7)</f>
        <v>0</v>
      </c>
      <c r="AK20" s="21" t="n">
        <f aca="false">COUNTIFS(d_Marca,$A20,d_Modelo,$B20,d_Subest,AK$7)</f>
        <v>0</v>
      </c>
      <c r="AL20" s="21" t="n">
        <f aca="false">COUNTIFS(d_Marca,$A20,d_Modelo,$B20,d_Subest,AL$7)</f>
        <v>0</v>
      </c>
      <c r="AM20" s="17" t="n">
        <f aca="false">SUM(AC20:AL20)</f>
        <v>0</v>
      </c>
      <c r="AN20" s="21" t="n">
        <f aca="false">COUNTIFS(d_Marca,$A20,d_Modelo,$B20,d_Subest,AN$7)</f>
        <v>0</v>
      </c>
      <c r="AO20" s="21" t="n">
        <f aca="false">COUNTIFS(d_Marca,$A20,d_Modelo,$B20,d_Subest,AO$7)</f>
        <v>0</v>
      </c>
      <c r="AP20" s="21" t="n">
        <f aca="false">COUNTIFS(d_Marca,$A20,d_Modelo,$B20,d_Subest,AP$7)</f>
        <v>0</v>
      </c>
      <c r="AQ20" s="21" t="n">
        <f aca="false">COUNTIFS(d_Marca,$A20,d_Modelo,$B20,d_Subest,AQ$7)</f>
        <v>0</v>
      </c>
      <c r="AR20" s="21" t="n">
        <f aca="false">COUNTIFS(d_Marca,$A20,d_Modelo,$B20,d_Subest,AR$7)</f>
        <v>0</v>
      </c>
      <c r="AS20" s="21" t="n">
        <f aca="false">COUNTIFS(d_Marca,$A20,d_Modelo,$B20,d_Subest,AS$7)</f>
        <v>0</v>
      </c>
      <c r="AT20" s="21" t="n">
        <f aca="false">COUNTIFS(d_Marca,$A20,d_Modelo,$B20,d_Subest,AT$7)</f>
        <v>0</v>
      </c>
      <c r="AU20" s="21" t="n">
        <f aca="false">COUNTIFS(d_Marca,$A20,d_Modelo,$B20,d_Subest,AU$7)</f>
        <v>0</v>
      </c>
      <c r="AV20" s="21" t="n">
        <f aca="false">COUNTIFS(d_Marca,$A20,d_Modelo,$B20,d_Subest,AV$7)</f>
        <v>0</v>
      </c>
      <c r="AW20" s="21" t="n">
        <f aca="false">COUNTIFS(d_Marca,$A20,d_Modelo,$B20,d_Subest,AW$7)</f>
        <v>0</v>
      </c>
      <c r="AX20" s="17" t="n">
        <f aca="false">SUM(AN20:AW20)</f>
        <v>0</v>
      </c>
      <c r="AY20" s="21" t="n">
        <f aca="false">COUNTIFS(d_Marca,$A20,d_Modelo,$B20,d_Subest,AY$7)</f>
        <v>7</v>
      </c>
      <c r="AZ20" s="17" t="n">
        <f aca="false">E20+H20+K20+P20+V20+AB20+AM20+AX20+AY20</f>
        <v>16</v>
      </c>
    </row>
    <row r="21" customFormat="false" ht="15" hidden="false" customHeight="false" outlineLevel="0" collapsed="false">
      <c r="A21" s="19" t="s">
        <v>34</v>
      </c>
      <c r="B21" s="20" t="s">
        <v>47</v>
      </c>
      <c r="C21" s="21" t="n">
        <f aca="false">COUNTIFS(d_Marca,$A21,d_Modelo,$B21,d_Subest,C$7)</f>
        <v>0</v>
      </c>
      <c r="D21" s="21" t="n">
        <f aca="false">COUNTIFS(d_Marca,$A21,d_Modelo,$B21,d_Subest,D$7)</f>
        <v>0</v>
      </c>
      <c r="E21" s="17" t="n">
        <f aca="false">SUM(C21:D21)</f>
        <v>0</v>
      </c>
      <c r="F21" s="21" t="n">
        <f aca="false">COUNTIFS(d_Marca,$A21,d_Modelo,$B21,d_Subest,F$7)</f>
        <v>0</v>
      </c>
      <c r="G21" s="21" t="n">
        <f aca="false">COUNTIFS(d_Marca,$A21,d_Modelo,$B21,d_Subest,G$7)</f>
        <v>0</v>
      </c>
      <c r="H21" s="17" t="n">
        <f aca="false">SUM(F21:G21)</f>
        <v>0</v>
      </c>
      <c r="I21" s="21" t="n">
        <f aca="false">COUNTIFS(d_Marca,$A21,d_Modelo,$B21,d_Subest,I$7)</f>
        <v>0</v>
      </c>
      <c r="J21" s="21" t="n">
        <f aca="false">COUNTIFS(d_Marca,$A21,d_Modelo,$B21,d_Subest,J$7)</f>
        <v>6</v>
      </c>
      <c r="K21" s="17" t="n">
        <f aca="false">SUM(I21:J21)</f>
        <v>6</v>
      </c>
      <c r="L21" s="21" t="n">
        <f aca="false">COUNTIFS(d_Marca,$A21,d_Modelo,$B21,d_Subest,L$7)</f>
        <v>5</v>
      </c>
      <c r="M21" s="21" t="n">
        <f aca="false">COUNTIFS(d_Marca,$A21,d_Modelo,$B21,d_Subest,M$7)</f>
        <v>0</v>
      </c>
      <c r="N21" s="21" t="n">
        <f aca="false">COUNTIFS(d_Marca,$A21,d_Modelo,$B21,d_Subest,N$7)</f>
        <v>0</v>
      </c>
      <c r="O21" s="21" t="n">
        <f aca="false">COUNTIFS(d_Marca,$A21,d_Modelo,$B21,d_Subest,O$7)</f>
        <v>0</v>
      </c>
      <c r="P21" s="17" t="n">
        <f aca="false">SUM(L21:O21)</f>
        <v>5</v>
      </c>
      <c r="Q21" s="21" t="n">
        <f aca="false">COUNTIFS(d_Marca,$A21,d_Modelo,$B21,d_Subest,Q$7)</f>
        <v>0</v>
      </c>
      <c r="R21" s="21" t="n">
        <f aca="false">COUNTIFS(d_Marca,$A21,d_Modelo,$B21,d_Subest,R$7)</f>
        <v>0</v>
      </c>
      <c r="S21" s="21" t="n">
        <f aca="false">COUNTIFS(d_Marca,$A21,d_Modelo,$B21,d_Subest,S$7)</f>
        <v>0</v>
      </c>
      <c r="T21" s="21" t="n">
        <f aca="false">COUNTIFS(d_Marca,$A21,d_Modelo,$B21,d_Subest,T$7)</f>
        <v>5</v>
      </c>
      <c r="U21" s="21" t="n">
        <f aca="false">COUNTIFS(d_Marca,$A21,d_Modelo,$B21,d_Subest,U$7)</f>
        <v>0</v>
      </c>
      <c r="V21" s="17" t="n">
        <f aca="false">SUM(Q21:U21)</f>
        <v>5</v>
      </c>
      <c r="W21" s="21" t="n">
        <f aca="false">COUNTIFS(d_Marca,$A21,d_Modelo,$B21,d_Subest,W$7)</f>
        <v>0</v>
      </c>
      <c r="X21" s="21" t="n">
        <f aca="false">COUNTIFS(d_Marca,$A21,d_Modelo,$B21,d_Subest,X$7)</f>
        <v>0</v>
      </c>
      <c r="Y21" s="21" t="n">
        <f aca="false">COUNTIFS(d_Marca,$A21,d_Modelo,$B21,d_Subest,Y$7)</f>
        <v>0</v>
      </c>
      <c r="Z21" s="21" t="n">
        <f aca="false">COUNTIFS(d_Marca,$A21,d_Modelo,$B21,d_Subest,Z$7)</f>
        <v>0</v>
      </c>
      <c r="AA21" s="21" t="n">
        <f aca="false">COUNTIFS(d_Marca,$A21,d_Modelo,$B21,d_Subest,AA$7)</f>
        <v>0</v>
      </c>
      <c r="AB21" s="17" t="n">
        <f aca="false">SUM(W21:AA21)</f>
        <v>0</v>
      </c>
      <c r="AC21" s="21" t="n">
        <f aca="false">COUNTIFS(d_Marca,$A21,d_Modelo,$B21,d_Subest,AC$7)</f>
        <v>0</v>
      </c>
      <c r="AD21" s="21" t="n">
        <f aca="false">COUNTIFS(d_Marca,$A21,d_Modelo,$B21,d_Subest,AD$7)</f>
        <v>0</v>
      </c>
      <c r="AE21" s="21" t="n">
        <f aca="false">COUNTIFS(d_Marca,$A21,d_Modelo,$B21,d_Subest,AE$7)</f>
        <v>0</v>
      </c>
      <c r="AF21" s="21" t="n">
        <f aca="false">COUNTIFS(d_Marca,$A21,d_Modelo,$B21,d_Subest,AF$7)</f>
        <v>0</v>
      </c>
      <c r="AG21" s="21" t="n">
        <f aca="false">COUNTIFS(d_Marca,$A21,d_Modelo,$B21,d_Subest,AG$7)</f>
        <v>0</v>
      </c>
      <c r="AH21" s="21" t="n">
        <f aca="false">COUNTIFS(d_Marca,$A21,d_Modelo,$B21,d_Subest,AH$7)</f>
        <v>0</v>
      </c>
      <c r="AI21" s="21" t="n">
        <f aca="false">COUNTIFS(d_Marca,$A21,d_Modelo,$B21,d_Subest,AI$7)</f>
        <v>0</v>
      </c>
      <c r="AJ21" s="21" t="n">
        <f aca="false">COUNTIFS(d_Marca,$A21,d_Modelo,$B21,d_Subest,AJ$7)</f>
        <v>0</v>
      </c>
      <c r="AK21" s="21" t="n">
        <f aca="false">COUNTIFS(d_Marca,$A21,d_Modelo,$B21,d_Subest,AK$7)</f>
        <v>0</v>
      </c>
      <c r="AL21" s="21" t="n">
        <f aca="false">COUNTIFS(d_Marca,$A21,d_Modelo,$B21,d_Subest,AL$7)</f>
        <v>0</v>
      </c>
      <c r="AM21" s="17" t="n">
        <f aca="false">SUM(AC21:AL21)</f>
        <v>0</v>
      </c>
      <c r="AN21" s="21" t="n">
        <f aca="false">COUNTIFS(d_Marca,$A21,d_Modelo,$B21,d_Subest,AN$7)</f>
        <v>0</v>
      </c>
      <c r="AO21" s="21" t="n">
        <f aca="false">COUNTIFS(d_Marca,$A21,d_Modelo,$B21,d_Subest,AO$7)</f>
        <v>0</v>
      </c>
      <c r="AP21" s="21" t="n">
        <f aca="false">COUNTIFS(d_Marca,$A21,d_Modelo,$B21,d_Subest,AP$7)</f>
        <v>0</v>
      </c>
      <c r="AQ21" s="21" t="n">
        <f aca="false">COUNTIFS(d_Marca,$A21,d_Modelo,$B21,d_Subest,AQ$7)</f>
        <v>0</v>
      </c>
      <c r="AR21" s="21" t="n">
        <f aca="false">COUNTIFS(d_Marca,$A21,d_Modelo,$B21,d_Subest,AR$7)</f>
        <v>0</v>
      </c>
      <c r="AS21" s="21" t="n">
        <f aca="false">COUNTIFS(d_Marca,$A21,d_Modelo,$B21,d_Subest,AS$7)</f>
        <v>0</v>
      </c>
      <c r="AT21" s="21" t="n">
        <f aca="false">COUNTIFS(d_Marca,$A21,d_Modelo,$B21,d_Subest,AT$7)</f>
        <v>0</v>
      </c>
      <c r="AU21" s="21" t="n">
        <f aca="false">COUNTIFS(d_Marca,$A21,d_Modelo,$B21,d_Subest,AU$7)</f>
        <v>0</v>
      </c>
      <c r="AV21" s="21" t="n">
        <f aca="false">COUNTIFS(d_Marca,$A21,d_Modelo,$B21,d_Subest,AV$7)</f>
        <v>0</v>
      </c>
      <c r="AW21" s="21" t="n">
        <f aca="false">COUNTIFS(d_Marca,$A21,d_Modelo,$B21,d_Subest,AW$7)</f>
        <v>0</v>
      </c>
      <c r="AX21" s="17" t="n">
        <f aca="false">SUM(AN21:AW21)</f>
        <v>0</v>
      </c>
      <c r="AY21" s="21" t="n">
        <f aca="false">COUNTIFS(d_Marca,$A21,d_Modelo,$B21,d_Subest,AY$7)</f>
        <v>0</v>
      </c>
      <c r="AZ21" s="17" t="n">
        <f aca="false">E21+H21+K21+P21+V21+AB21+AM21+AX21+AY21</f>
        <v>16</v>
      </c>
    </row>
    <row r="22" customFormat="false" ht="15" hidden="false" customHeight="false" outlineLevel="0" collapsed="false">
      <c r="A22" s="19" t="s">
        <v>34</v>
      </c>
      <c r="B22" s="20" t="s">
        <v>48</v>
      </c>
      <c r="C22" s="21" t="n">
        <f aca="false">COUNTIFS(d_Marca,$A22,d_Modelo,$B22,d_Subest,C$7)</f>
        <v>3</v>
      </c>
      <c r="D22" s="21" t="n">
        <f aca="false">COUNTIFS(d_Marca,$A22,d_Modelo,$B22,d_Subest,D$7)</f>
        <v>3</v>
      </c>
      <c r="E22" s="17" t="n">
        <f aca="false">SUM(C22:D22)</f>
        <v>6</v>
      </c>
      <c r="F22" s="21" t="n">
        <f aca="false">COUNTIFS(d_Marca,$A22,d_Modelo,$B22,d_Subest,F$7)</f>
        <v>3</v>
      </c>
      <c r="G22" s="21" t="n">
        <f aca="false">COUNTIFS(d_Marca,$A22,d_Modelo,$B22,d_Subest,G$7)</f>
        <v>2</v>
      </c>
      <c r="H22" s="17" t="n">
        <f aca="false">SUM(F22:G22)</f>
        <v>5</v>
      </c>
      <c r="I22" s="21" t="n">
        <f aca="false">COUNTIFS(d_Marca,$A22,d_Modelo,$B22,d_Subest,I$7)</f>
        <v>0</v>
      </c>
      <c r="J22" s="21" t="n">
        <f aca="false">COUNTIFS(d_Marca,$A22,d_Modelo,$B22,d_Subest,J$7)</f>
        <v>0</v>
      </c>
      <c r="K22" s="17" t="n">
        <f aca="false">SUM(I22:J22)</f>
        <v>0</v>
      </c>
      <c r="L22" s="21" t="n">
        <f aca="false">COUNTIFS(d_Marca,$A22,d_Modelo,$B22,d_Subest,L$7)</f>
        <v>0</v>
      </c>
      <c r="M22" s="21" t="n">
        <f aca="false">COUNTIFS(d_Marca,$A22,d_Modelo,$B22,d_Subest,M$7)</f>
        <v>0</v>
      </c>
      <c r="N22" s="21" t="n">
        <f aca="false">COUNTIFS(d_Marca,$A22,d_Modelo,$B22,d_Subest,N$7)</f>
        <v>0</v>
      </c>
      <c r="O22" s="21" t="n">
        <f aca="false">COUNTIFS(d_Marca,$A22,d_Modelo,$B22,d_Subest,O$7)</f>
        <v>0</v>
      </c>
      <c r="P22" s="17" t="n">
        <f aca="false">SUM(L22:O22)</f>
        <v>0</v>
      </c>
      <c r="Q22" s="21" t="n">
        <f aca="false">COUNTIFS(d_Marca,$A22,d_Modelo,$B22,d_Subest,Q$7)</f>
        <v>0</v>
      </c>
      <c r="R22" s="21" t="n">
        <f aca="false">COUNTIFS(d_Marca,$A22,d_Modelo,$B22,d_Subest,R$7)</f>
        <v>0</v>
      </c>
      <c r="S22" s="21" t="n">
        <f aca="false">COUNTIFS(d_Marca,$A22,d_Modelo,$B22,d_Subest,S$7)</f>
        <v>0</v>
      </c>
      <c r="T22" s="21" t="n">
        <f aca="false">COUNTIFS(d_Marca,$A22,d_Modelo,$B22,d_Subest,T$7)</f>
        <v>0</v>
      </c>
      <c r="U22" s="21" t="n">
        <f aca="false">COUNTIFS(d_Marca,$A22,d_Modelo,$B22,d_Subest,U$7)</f>
        <v>0</v>
      </c>
      <c r="V22" s="17" t="n">
        <f aca="false">SUM(Q22:U22)</f>
        <v>0</v>
      </c>
      <c r="W22" s="21" t="n">
        <f aca="false">COUNTIFS(d_Marca,$A22,d_Modelo,$B22,d_Subest,W$7)</f>
        <v>0</v>
      </c>
      <c r="X22" s="21" t="n">
        <f aca="false">COUNTIFS(d_Marca,$A22,d_Modelo,$B22,d_Subest,X$7)</f>
        <v>0</v>
      </c>
      <c r="Y22" s="21" t="n">
        <f aca="false">COUNTIFS(d_Marca,$A22,d_Modelo,$B22,d_Subest,Y$7)</f>
        <v>0</v>
      </c>
      <c r="Z22" s="21" t="n">
        <f aca="false">COUNTIFS(d_Marca,$A22,d_Modelo,$B22,d_Subest,Z$7)</f>
        <v>0</v>
      </c>
      <c r="AA22" s="21" t="n">
        <f aca="false">COUNTIFS(d_Marca,$A22,d_Modelo,$B22,d_Subest,AA$7)</f>
        <v>0</v>
      </c>
      <c r="AB22" s="17" t="n">
        <f aca="false">SUM(W22:AA22)</f>
        <v>0</v>
      </c>
      <c r="AC22" s="21" t="n">
        <f aca="false">COUNTIFS(d_Marca,$A22,d_Modelo,$B22,d_Subest,AC$7)</f>
        <v>0</v>
      </c>
      <c r="AD22" s="21" t="n">
        <f aca="false">COUNTIFS(d_Marca,$A22,d_Modelo,$B22,d_Subest,AD$7)</f>
        <v>0</v>
      </c>
      <c r="AE22" s="21" t="n">
        <f aca="false">COUNTIFS(d_Marca,$A22,d_Modelo,$B22,d_Subest,AE$7)</f>
        <v>0</v>
      </c>
      <c r="AF22" s="21" t="n">
        <f aca="false">COUNTIFS(d_Marca,$A22,d_Modelo,$B22,d_Subest,AF$7)</f>
        <v>0</v>
      </c>
      <c r="AG22" s="21" t="n">
        <f aca="false">COUNTIFS(d_Marca,$A22,d_Modelo,$B22,d_Subest,AG$7)</f>
        <v>0</v>
      </c>
      <c r="AH22" s="21" t="n">
        <f aca="false">COUNTIFS(d_Marca,$A22,d_Modelo,$B22,d_Subest,AH$7)</f>
        <v>0</v>
      </c>
      <c r="AI22" s="21" t="n">
        <f aca="false">COUNTIFS(d_Marca,$A22,d_Modelo,$B22,d_Subest,AI$7)</f>
        <v>0</v>
      </c>
      <c r="AJ22" s="21" t="n">
        <f aca="false">COUNTIFS(d_Marca,$A22,d_Modelo,$B22,d_Subest,AJ$7)</f>
        <v>0</v>
      </c>
      <c r="AK22" s="21" t="n">
        <f aca="false">COUNTIFS(d_Marca,$A22,d_Modelo,$B22,d_Subest,AK$7)</f>
        <v>0</v>
      </c>
      <c r="AL22" s="21" t="n">
        <f aca="false">COUNTIFS(d_Marca,$A22,d_Modelo,$B22,d_Subest,AL$7)</f>
        <v>0</v>
      </c>
      <c r="AM22" s="17" t="n">
        <f aca="false">SUM(AC22:AL22)</f>
        <v>0</v>
      </c>
      <c r="AN22" s="21" t="n">
        <f aca="false">COUNTIFS(d_Marca,$A22,d_Modelo,$B22,d_Subest,AN$7)</f>
        <v>0</v>
      </c>
      <c r="AO22" s="21" t="n">
        <f aca="false">COUNTIFS(d_Marca,$A22,d_Modelo,$B22,d_Subest,AO$7)</f>
        <v>0</v>
      </c>
      <c r="AP22" s="21" t="n">
        <f aca="false">COUNTIFS(d_Marca,$A22,d_Modelo,$B22,d_Subest,AP$7)</f>
        <v>0</v>
      </c>
      <c r="AQ22" s="21" t="n">
        <f aca="false">COUNTIFS(d_Marca,$A22,d_Modelo,$B22,d_Subest,AQ$7)</f>
        <v>0</v>
      </c>
      <c r="AR22" s="21" t="n">
        <f aca="false">COUNTIFS(d_Marca,$A22,d_Modelo,$B22,d_Subest,AR$7)</f>
        <v>0</v>
      </c>
      <c r="AS22" s="21" t="n">
        <f aca="false">COUNTIFS(d_Marca,$A22,d_Modelo,$B22,d_Subest,AS$7)</f>
        <v>0</v>
      </c>
      <c r="AT22" s="21" t="n">
        <f aca="false">COUNTIFS(d_Marca,$A22,d_Modelo,$B22,d_Subest,AT$7)</f>
        <v>0</v>
      </c>
      <c r="AU22" s="21" t="n">
        <f aca="false">COUNTIFS(d_Marca,$A22,d_Modelo,$B22,d_Subest,AU$7)</f>
        <v>0</v>
      </c>
      <c r="AV22" s="21" t="n">
        <f aca="false">COUNTIFS(d_Marca,$A22,d_Modelo,$B22,d_Subest,AV$7)</f>
        <v>0</v>
      </c>
      <c r="AW22" s="21" t="n">
        <f aca="false">COUNTIFS(d_Marca,$A22,d_Modelo,$B22,d_Subest,AW$7)</f>
        <v>0</v>
      </c>
      <c r="AX22" s="17" t="n">
        <f aca="false">SUM(AN22:AW22)</f>
        <v>0</v>
      </c>
      <c r="AY22" s="21" t="n">
        <f aca="false">COUNTIFS(d_Marca,$A22,d_Modelo,$B22,d_Subest,AY$7)</f>
        <v>1</v>
      </c>
      <c r="AZ22" s="17" t="n">
        <f aca="false">E22+H22+K22+P22+V22+AB22+AM22+AX22+AY22</f>
        <v>12</v>
      </c>
    </row>
    <row r="23" customFormat="false" ht="15" hidden="false" customHeight="false" outlineLevel="0" collapsed="false">
      <c r="A23" s="19" t="s">
        <v>34</v>
      </c>
      <c r="B23" s="20" t="s">
        <v>49</v>
      </c>
      <c r="C23" s="21" t="n">
        <f aca="false">COUNTIFS(d_Marca,$A23,d_Modelo,$B23,d_Subest,C$7)</f>
        <v>0</v>
      </c>
      <c r="D23" s="21" t="n">
        <f aca="false">COUNTIFS(d_Marca,$A23,d_Modelo,$B23,d_Subest,D$7)</f>
        <v>0</v>
      </c>
      <c r="E23" s="17" t="n">
        <f aca="false">SUM(C23:D23)</f>
        <v>0</v>
      </c>
      <c r="F23" s="21" t="n">
        <f aca="false">COUNTIFS(d_Marca,$A23,d_Modelo,$B23,d_Subest,F$7)</f>
        <v>0</v>
      </c>
      <c r="G23" s="21" t="n">
        <f aca="false">COUNTIFS(d_Marca,$A23,d_Modelo,$B23,d_Subest,G$7)</f>
        <v>0</v>
      </c>
      <c r="H23" s="17" t="n">
        <f aca="false">SUM(F23:G23)</f>
        <v>0</v>
      </c>
      <c r="I23" s="21" t="n">
        <f aca="false">COUNTIFS(d_Marca,$A23,d_Modelo,$B23,d_Subest,I$7)</f>
        <v>0</v>
      </c>
      <c r="J23" s="21" t="n">
        <f aca="false">COUNTIFS(d_Marca,$A23,d_Modelo,$B23,d_Subest,J$7)</f>
        <v>0</v>
      </c>
      <c r="K23" s="17" t="n">
        <f aca="false">SUM(I23:J23)</f>
        <v>0</v>
      </c>
      <c r="L23" s="21" t="n">
        <f aca="false">COUNTIFS(d_Marca,$A23,d_Modelo,$B23,d_Subest,L$7)</f>
        <v>0</v>
      </c>
      <c r="M23" s="21" t="n">
        <f aca="false">COUNTIFS(d_Marca,$A23,d_Modelo,$B23,d_Subest,M$7)</f>
        <v>0</v>
      </c>
      <c r="N23" s="21" t="n">
        <f aca="false">COUNTIFS(d_Marca,$A23,d_Modelo,$B23,d_Subest,N$7)</f>
        <v>0</v>
      </c>
      <c r="O23" s="21" t="n">
        <f aca="false">COUNTIFS(d_Marca,$A23,d_Modelo,$B23,d_Subest,O$7)</f>
        <v>0</v>
      </c>
      <c r="P23" s="17" t="n">
        <f aca="false">SUM(L23:O23)</f>
        <v>0</v>
      </c>
      <c r="Q23" s="21" t="n">
        <f aca="false">COUNTIFS(d_Marca,$A23,d_Modelo,$B23,d_Subest,Q$7)</f>
        <v>0</v>
      </c>
      <c r="R23" s="21" t="n">
        <f aca="false">COUNTIFS(d_Marca,$A23,d_Modelo,$B23,d_Subest,R$7)</f>
        <v>0</v>
      </c>
      <c r="S23" s="21" t="n">
        <f aca="false">COUNTIFS(d_Marca,$A23,d_Modelo,$B23,d_Subest,S$7)</f>
        <v>0</v>
      </c>
      <c r="T23" s="21" t="n">
        <f aca="false">COUNTIFS(d_Marca,$A23,d_Modelo,$B23,d_Subest,T$7)</f>
        <v>0</v>
      </c>
      <c r="U23" s="21" t="n">
        <f aca="false">COUNTIFS(d_Marca,$A23,d_Modelo,$B23,d_Subest,U$7)</f>
        <v>0</v>
      </c>
      <c r="V23" s="17" t="n">
        <f aca="false">SUM(Q23:U23)</f>
        <v>0</v>
      </c>
      <c r="W23" s="21" t="n">
        <f aca="false">COUNTIFS(d_Marca,$A23,d_Modelo,$B23,d_Subest,W$7)</f>
        <v>0</v>
      </c>
      <c r="X23" s="21" t="n">
        <f aca="false">COUNTIFS(d_Marca,$A23,d_Modelo,$B23,d_Subest,X$7)</f>
        <v>0</v>
      </c>
      <c r="Y23" s="21" t="n">
        <f aca="false">COUNTIFS(d_Marca,$A23,d_Modelo,$B23,d_Subest,Y$7)</f>
        <v>0</v>
      </c>
      <c r="Z23" s="21" t="n">
        <f aca="false">COUNTIFS(d_Marca,$A23,d_Modelo,$B23,d_Subest,Z$7)</f>
        <v>0</v>
      </c>
      <c r="AA23" s="21" t="n">
        <f aca="false">COUNTIFS(d_Marca,$A23,d_Modelo,$B23,d_Subest,AA$7)</f>
        <v>0</v>
      </c>
      <c r="AB23" s="17" t="n">
        <f aca="false">SUM(W23:AA23)</f>
        <v>0</v>
      </c>
      <c r="AC23" s="21" t="n">
        <f aca="false">COUNTIFS(d_Marca,$A23,d_Modelo,$B23,d_Subest,AC$7)</f>
        <v>0</v>
      </c>
      <c r="AD23" s="21" t="n">
        <f aca="false">COUNTIFS(d_Marca,$A23,d_Modelo,$B23,d_Subest,AD$7)</f>
        <v>0</v>
      </c>
      <c r="AE23" s="21" t="n">
        <f aca="false">COUNTIFS(d_Marca,$A23,d_Modelo,$B23,d_Subest,AE$7)</f>
        <v>0</v>
      </c>
      <c r="AF23" s="21" t="n">
        <f aca="false">COUNTIFS(d_Marca,$A23,d_Modelo,$B23,d_Subest,AF$7)</f>
        <v>0</v>
      </c>
      <c r="AG23" s="21" t="n">
        <f aca="false">COUNTIFS(d_Marca,$A23,d_Modelo,$B23,d_Subest,AG$7)</f>
        <v>0</v>
      </c>
      <c r="AH23" s="21" t="n">
        <f aca="false">COUNTIFS(d_Marca,$A23,d_Modelo,$B23,d_Subest,AH$7)</f>
        <v>0</v>
      </c>
      <c r="AI23" s="21" t="n">
        <f aca="false">COUNTIFS(d_Marca,$A23,d_Modelo,$B23,d_Subest,AI$7)</f>
        <v>0</v>
      </c>
      <c r="AJ23" s="21" t="n">
        <f aca="false">COUNTIFS(d_Marca,$A23,d_Modelo,$B23,d_Subest,AJ$7)</f>
        <v>0</v>
      </c>
      <c r="AK23" s="21" t="n">
        <f aca="false">COUNTIFS(d_Marca,$A23,d_Modelo,$B23,d_Subest,AK$7)</f>
        <v>0</v>
      </c>
      <c r="AL23" s="21" t="n">
        <f aca="false">COUNTIFS(d_Marca,$A23,d_Modelo,$B23,d_Subest,AL$7)</f>
        <v>0</v>
      </c>
      <c r="AM23" s="17" t="n">
        <f aca="false">SUM(AC23:AL23)</f>
        <v>0</v>
      </c>
      <c r="AN23" s="21" t="n">
        <f aca="false">COUNTIFS(d_Marca,$A23,d_Modelo,$B23,d_Subest,AN$7)</f>
        <v>0</v>
      </c>
      <c r="AO23" s="21" t="n">
        <f aca="false">COUNTIFS(d_Marca,$A23,d_Modelo,$B23,d_Subest,AO$7)</f>
        <v>0</v>
      </c>
      <c r="AP23" s="21" t="n">
        <f aca="false">COUNTIFS(d_Marca,$A23,d_Modelo,$B23,d_Subest,AP$7)</f>
        <v>0</v>
      </c>
      <c r="AQ23" s="21" t="n">
        <f aca="false">COUNTIFS(d_Marca,$A23,d_Modelo,$B23,d_Subest,AQ$7)</f>
        <v>0</v>
      </c>
      <c r="AR23" s="21" t="n">
        <f aca="false">COUNTIFS(d_Marca,$A23,d_Modelo,$B23,d_Subest,AR$7)</f>
        <v>0</v>
      </c>
      <c r="AS23" s="21" t="n">
        <f aca="false">COUNTIFS(d_Marca,$A23,d_Modelo,$B23,d_Subest,AS$7)</f>
        <v>0</v>
      </c>
      <c r="AT23" s="21" t="n">
        <f aca="false">COUNTIFS(d_Marca,$A23,d_Modelo,$B23,d_Subest,AT$7)</f>
        <v>0</v>
      </c>
      <c r="AU23" s="21" t="n">
        <f aca="false">COUNTIFS(d_Marca,$A23,d_Modelo,$B23,d_Subest,AU$7)</f>
        <v>0</v>
      </c>
      <c r="AV23" s="21" t="n">
        <f aca="false">COUNTIFS(d_Marca,$A23,d_Modelo,$B23,d_Subest,AV$7)</f>
        <v>11</v>
      </c>
      <c r="AW23" s="21" t="n">
        <f aca="false">COUNTIFS(d_Marca,$A23,d_Modelo,$B23,d_Subest,AW$7)</f>
        <v>0</v>
      </c>
      <c r="AX23" s="17" t="n">
        <f aca="false">SUM(AN23:AW23)</f>
        <v>11</v>
      </c>
      <c r="AY23" s="21" t="n">
        <f aca="false">COUNTIFS(d_Marca,$A23,d_Modelo,$B23,d_Subest,AY$7)</f>
        <v>0</v>
      </c>
      <c r="AZ23" s="17" t="n">
        <f aca="false">E23+H23+K23+P23+V23+AB23+AM23+AX23+AY23</f>
        <v>11</v>
      </c>
    </row>
    <row r="24" customFormat="false" ht="15" hidden="false" customHeight="false" outlineLevel="0" collapsed="false">
      <c r="A24" s="19" t="s">
        <v>34</v>
      </c>
      <c r="B24" s="20" t="s">
        <v>50</v>
      </c>
      <c r="C24" s="21" t="n">
        <f aca="false">COUNTIFS(d_Marca,$A24,d_Modelo,$B24,d_Subest,C$7)</f>
        <v>0</v>
      </c>
      <c r="D24" s="21" t="n">
        <f aca="false">COUNTIFS(d_Marca,$A24,d_Modelo,$B24,d_Subest,D$7)</f>
        <v>0</v>
      </c>
      <c r="E24" s="17" t="n">
        <f aca="false">SUM(C24:D24)</f>
        <v>0</v>
      </c>
      <c r="F24" s="21" t="n">
        <f aca="false">COUNTIFS(d_Marca,$A24,d_Modelo,$B24,d_Subest,F$7)</f>
        <v>0</v>
      </c>
      <c r="G24" s="21" t="n">
        <f aca="false">COUNTIFS(d_Marca,$A24,d_Modelo,$B24,d_Subest,G$7)</f>
        <v>0</v>
      </c>
      <c r="H24" s="17" t="n">
        <f aca="false">SUM(F24:G24)</f>
        <v>0</v>
      </c>
      <c r="I24" s="21" t="n">
        <f aca="false">COUNTIFS(d_Marca,$A24,d_Modelo,$B24,d_Subest,I$7)</f>
        <v>0</v>
      </c>
      <c r="J24" s="21" t="n">
        <f aca="false">COUNTIFS(d_Marca,$A24,d_Modelo,$B24,d_Subest,J$7)</f>
        <v>0</v>
      </c>
      <c r="K24" s="17" t="n">
        <f aca="false">SUM(I24:J24)</f>
        <v>0</v>
      </c>
      <c r="L24" s="21" t="n">
        <f aca="false">COUNTIFS(d_Marca,$A24,d_Modelo,$B24,d_Subest,L$7)</f>
        <v>0</v>
      </c>
      <c r="M24" s="21" t="n">
        <f aca="false">COUNTIFS(d_Marca,$A24,d_Modelo,$B24,d_Subest,M$7)</f>
        <v>0</v>
      </c>
      <c r="N24" s="21" t="n">
        <f aca="false">COUNTIFS(d_Marca,$A24,d_Modelo,$B24,d_Subest,N$7)</f>
        <v>0</v>
      </c>
      <c r="O24" s="21" t="n">
        <f aca="false">COUNTIFS(d_Marca,$A24,d_Modelo,$B24,d_Subest,O$7)</f>
        <v>0</v>
      </c>
      <c r="P24" s="17" t="n">
        <f aca="false">SUM(L24:O24)</f>
        <v>0</v>
      </c>
      <c r="Q24" s="21" t="n">
        <f aca="false">COUNTIFS(d_Marca,$A24,d_Modelo,$B24,d_Subest,Q$7)</f>
        <v>0</v>
      </c>
      <c r="R24" s="21" t="n">
        <f aca="false">COUNTIFS(d_Marca,$A24,d_Modelo,$B24,d_Subest,R$7)</f>
        <v>0</v>
      </c>
      <c r="S24" s="21" t="n">
        <f aca="false">COUNTIFS(d_Marca,$A24,d_Modelo,$B24,d_Subest,S$7)</f>
        <v>0</v>
      </c>
      <c r="T24" s="21" t="n">
        <f aca="false">COUNTIFS(d_Marca,$A24,d_Modelo,$B24,d_Subest,T$7)</f>
        <v>0</v>
      </c>
      <c r="U24" s="21" t="n">
        <f aca="false">COUNTIFS(d_Marca,$A24,d_Modelo,$B24,d_Subest,U$7)</f>
        <v>0</v>
      </c>
      <c r="V24" s="17" t="n">
        <f aca="false">SUM(Q24:U24)</f>
        <v>0</v>
      </c>
      <c r="W24" s="21" t="n">
        <f aca="false">COUNTIFS(d_Marca,$A24,d_Modelo,$B24,d_Subest,W$7)</f>
        <v>0</v>
      </c>
      <c r="X24" s="21" t="n">
        <f aca="false">COUNTIFS(d_Marca,$A24,d_Modelo,$B24,d_Subest,X$7)</f>
        <v>0</v>
      </c>
      <c r="Y24" s="21" t="n">
        <f aca="false">COUNTIFS(d_Marca,$A24,d_Modelo,$B24,d_Subest,Y$7)</f>
        <v>0</v>
      </c>
      <c r="Z24" s="21" t="n">
        <f aca="false">COUNTIFS(d_Marca,$A24,d_Modelo,$B24,d_Subest,Z$7)</f>
        <v>0</v>
      </c>
      <c r="AA24" s="21" t="n">
        <f aca="false">COUNTIFS(d_Marca,$A24,d_Modelo,$B24,d_Subest,AA$7)</f>
        <v>0</v>
      </c>
      <c r="AB24" s="17" t="n">
        <f aca="false">SUM(W24:AA24)</f>
        <v>0</v>
      </c>
      <c r="AC24" s="21" t="n">
        <f aca="false">COUNTIFS(d_Marca,$A24,d_Modelo,$B24,d_Subest,AC$7)</f>
        <v>0</v>
      </c>
      <c r="AD24" s="21" t="n">
        <f aca="false">COUNTIFS(d_Marca,$A24,d_Modelo,$B24,d_Subest,AD$7)</f>
        <v>0</v>
      </c>
      <c r="AE24" s="21" t="n">
        <f aca="false">COUNTIFS(d_Marca,$A24,d_Modelo,$B24,d_Subest,AE$7)</f>
        <v>0</v>
      </c>
      <c r="AF24" s="21" t="n">
        <f aca="false">COUNTIFS(d_Marca,$A24,d_Modelo,$B24,d_Subest,AF$7)</f>
        <v>0</v>
      </c>
      <c r="AG24" s="21" t="n">
        <f aca="false">COUNTIFS(d_Marca,$A24,d_Modelo,$B24,d_Subest,AG$7)</f>
        <v>0</v>
      </c>
      <c r="AH24" s="21" t="n">
        <f aca="false">COUNTIFS(d_Marca,$A24,d_Modelo,$B24,d_Subest,AH$7)</f>
        <v>0</v>
      </c>
      <c r="AI24" s="21" t="n">
        <f aca="false">COUNTIFS(d_Marca,$A24,d_Modelo,$B24,d_Subest,AI$7)</f>
        <v>0</v>
      </c>
      <c r="AJ24" s="21" t="n">
        <f aca="false">COUNTIFS(d_Marca,$A24,d_Modelo,$B24,d_Subest,AJ$7)</f>
        <v>0</v>
      </c>
      <c r="AK24" s="21" t="n">
        <f aca="false">COUNTIFS(d_Marca,$A24,d_Modelo,$B24,d_Subest,AK$7)</f>
        <v>0</v>
      </c>
      <c r="AL24" s="21" t="n">
        <f aca="false">COUNTIFS(d_Marca,$A24,d_Modelo,$B24,d_Subest,AL$7)</f>
        <v>0</v>
      </c>
      <c r="AM24" s="17" t="n">
        <f aca="false">SUM(AC24:AL24)</f>
        <v>0</v>
      </c>
      <c r="AN24" s="21" t="n">
        <f aca="false">COUNTIFS(d_Marca,$A24,d_Modelo,$B24,d_Subest,AN$7)</f>
        <v>0</v>
      </c>
      <c r="AO24" s="21" t="n">
        <f aca="false">COUNTIFS(d_Marca,$A24,d_Modelo,$B24,d_Subest,AO$7)</f>
        <v>0</v>
      </c>
      <c r="AP24" s="21" t="n">
        <f aca="false">COUNTIFS(d_Marca,$A24,d_Modelo,$B24,d_Subest,AP$7)</f>
        <v>0</v>
      </c>
      <c r="AQ24" s="21" t="n">
        <f aca="false">COUNTIFS(d_Marca,$A24,d_Modelo,$B24,d_Subest,AQ$7)</f>
        <v>0</v>
      </c>
      <c r="AR24" s="21" t="n">
        <f aca="false">COUNTIFS(d_Marca,$A24,d_Modelo,$B24,d_Subest,AR$7)</f>
        <v>0</v>
      </c>
      <c r="AS24" s="21" t="n">
        <f aca="false">COUNTIFS(d_Marca,$A24,d_Modelo,$B24,d_Subest,AS$7)</f>
        <v>0</v>
      </c>
      <c r="AT24" s="21" t="n">
        <f aca="false">COUNTIFS(d_Marca,$A24,d_Modelo,$B24,d_Subest,AT$7)</f>
        <v>0</v>
      </c>
      <c r="AU24" s="21" t="n">
        <f aca="false">COUNTIFS(d_Marca,$A24,d_Modelo,$B24,d_Subest,AU$7)</f>
        <v>0</v>
      </c>
      <c r="AV24" s="21" t="n">
        <f aca="false">COUNTIFS(d_Marca,$A24,d_Modelo,$B24,d_Subest,AV$7)</f>
        <v>2</v>
      </c>
      <c r="AW24" s="21" t="n">
        <f aca="false">COUNTIFS(d_Marca,$A24,d_Modelo,$B24,d_Subest,AW$7)</f>
        <v>8</v>
      </c>
      <c r="AX24" s="17" t="n">
        <f aca="false">SUM(AN24:AW24)</f>
        <v>10</v>
      </c>
      <c r="AY24" s="21" t="n">
        <f aca="false">COUNTIFS(d_Marca,$A24,d_Modelo,$B24,d_Subest,AY$7)</f>
        <v>0</v>
      </c>
      <c r="AZ24" s="17" t="n">
        <f aca="false">E24+H24+K24+P24+V24+AB24+AM24+AX24+AY24</f>
        <v>10</v>
      </c>
    </row>
    <row r="25" customFormat="false" ht="15" hidden="false" customHeight="false" outlineLevel="0" collapsed="false">
      <c r="A25" s="19" t="s">
        <v>34</v>
      </c>
      <c r="B25" s="20" t="s">
        <v>51</v>
      </c>
      <c r="C25" s="21" t="n">
        <f aca="false">COUNTIFS(d_Marca,$A25,d_Modelo,$B25,d_Subest,C$7)</f>
        <v>0</v>
      </c>
      <c r="D25" s="21" t="n">
        <f aca="false">COUNTIFS(d_Marca,$A25,d_Modelo,$B25,d_Subest,D$7)</f>
        <v>0</v>
      </c>
      <c r="E25" s="17" t="n">
        <f aca="false">SUM(C25:D25)</f>
        <v>0</v>
      </c>
      <c r="F25" s="21" t="n">
        <f aca="false">COUNTIFS(d_Marca,$A25,d_Modelo,$B25,d_Subest,F$7)</f>
        <v>7</v>
      </c>
      <c r="G25" s="21" t="n">
        <f aca="false">COUNTIFS(d_Marca,$A25,d_Modelo,$B25,d_Subest,G$7)</f>
        <v>1</v>
      </c>
      <c r="H25" s="17" t="n">
        <f aca="false">SUM(F25:G25)</f>
        <v>8</v>
      </c>
      <c r="I25" s="21" t="n">
        <f aca="false">COUNTIFS(d_Marca,$A25,d_Modelo,$B25,d_Subest,I$7)</f>
        <v>0</v>
      </c>
      <c r="J25" s="21" t="n">
        <f aca="false">COUNTIFS(d_Marca,$A25,d_Modelo,$B25,d_Subest,J$7)</f>
        <v>0</v>
      </c>
      <c r="K25" s="17" t="n">
        <f aca="false">SUM(I25:J25)</f>
        <v>0</v>
      </c>
      <c r="L25" s="21" t="n">
        <f aca="false">COUNTIFS(d_Marca,$A25,d_Modelo,$B25,d_Subest,L$7)</f>
        <v>0</v>
      </c>
      <c r="M25" s="21" t="n">
        <f aca="false">COUNTIFS(d_Marca,$A25,d_Modelo,$B25,d_Subest,M$7)</f>
        <v>0</v>
      </c>
      <c r="N25" s="21" t="n">
        <f aca="false">COUNTIFS(d_Marca,$A25,d_Modelo,$B25,d_Subest,N$7)</f>
        <v>0</v>
      </c>
      <c r="O25" s="21" t="n">
        <f aca="false">COUNTIFS(d_Marca,$A25,d_Modelo,$B25,d_Subest,O$7)</f>
        <v>0</v>
      </c>
      <c r="P25" s="17" t="n">
        <f aca="false">SUM(L25:O25)</f>
        <v>0</v>
      </c>
      <c r="Q25" s="21" t="n">
        <f aca="false">COUNTIFS(d_Marca,$A25,d_Modelo,$B25,d_Subest,Q$7)</f>
        <v>0</v>
      </c>
      <c r="R25" s="21" t="n">
        <f aca="false">COUNTIFS(d_Marca,$A25,d_Modelo,$B25,d_Subest,R$7)</f>
        <v>0</v>
      </c>
      <c r="S25" s="21" t="n">
        <f aca="false">COUNTIFS(d_Marca,$A25,d_Modelo,$B25,d_Subest,S$7)</f>
        <v>0</v>
      </c>
      <c r="T25" s="21" t="n">
        <f aca="false">COUNTIFS(d_Marca,$A25,d_Modelo,$B25,d_Subest,T$7)</f>
        <v>0</v>
      </c>
      <c r="U25" s="21" t="n">
        <f aca="false">COUNTIFS(d_Marca,$A25,d_Modelo,$B25,d_Subest,U$7)</f>
        <v>0</v>
      </c>
      <c r="V25" s="17" t="n">
        <f aca="false">SUM(Q25:U25)</f>
        <v>0</v>
      </c>
      <c r="W25" s="21" t="n">
        <f aca="false">COUNTIFS(d_Marca,$A25,d_Modelo,$B25,d_Subest,W$7)</f>
        <v>0</v>
      </c>
      <c r="X25" s="21" t="n">
        <f aca="false">COUNTIFS(d_Marca,$A25,d_Modelo,$B25,d_Subest,X$7)</f>
        <v>0</v>
      </c>
      <c r="Y25" s="21" t="n">
        <f aca="false">COUNTIFS(d_Marca,$A25,d_Modelo,$B25,d_Subest,Y$7)</f>
        <v>0</v>
      </c>
      <c r="Z25" s="21" t="n">
        <f aca="false">COUNTIFS(d_Marca,$A25,d_Modelo,$B25,d_Subest,Z$7)</f>
        <v>0</v>
      </c>
      <c r="AA25" s="21" t="n">
        <f aca="false">COUNTIFS(d_Marca,$A25,d_Modelo,$B25,d_Subest,AA$7)</f>
        <v>0</v>
      </c>
      <c r="AB25" s="17" t="n">
        <f aca="false">SUM(W25:AA25)</f>
        <v>0</v>
      </c>
      <c r="AC25" s="21" t="n">
        <f aca="false">COUNTIFS(d_Marca,$A25,d_Modelo,$B25,d_Subest,AC$7)</f>
        <v>0</v>
      </c>
      <c r="AD25" s="21" t="n">
        <f aca="false">COUNTIFS(d_Marca,$A25,d_Modelo,$B25,d_Subest,AD$7)</f>
        <v>0</v>
      </c>
      <c r="AE25" s="21" t="n">
        <f aca="false">COUNTIFS(d_Marca,$A25,d_Modelo,$B25,d_Subest,AE$7)</f>
        <v>0</v>
      </c>
      <c r="AF25" s="21" t="n">
        <f aca="false">COUNTIFS(d_Marca,$A25,d_Modelo,$B25,d_Subest,AF$7)</f>
        <v>0</v>
      </c>
      <c r="AG25" s="21" t="n">
        <f aca="false">COUNTIFS(d_Marca,$A25,d_Modelo,$B25,d_Subest,AG$7)</f>
        <v>0</v>
      </c>
      <c r="AH25" s="21" t="n">
        <f aca="false">COUNTIFS(d_Marca,$A25,d_Modelo,$B25,d_Subest,AH$7)</f>
        <v>0</v>
      </c>
      <c r="AI25" s="21" t="n">
        <f aca="false">COUNTIFS(d_Marca,$A25,d_Modelo,$B25,d_Subest,AI$7)</f>
        <v>0</v>
      </c>
      <c r="AJ25" s="21" t="n">
        <f aca="false">COUNTIFS(d_Marca,$A25,d_Modelo,$B25,d_Subest,AJ$7)</f>
        <v>0</v>
      </c>
      <c r="AK25" s="21" t="n">
        <f aca="false">COUNTIFS(d_Marca,$A25,d_Modelo,$B25,d_Subest,AK$7)</f>
        <v>0</v>
      </c>
      <c r="AL25" s="21" t="n">
        <f aca="false">COUNTIFS(d_Marca,$A25,d_Modelo,$B25,d_Subest,AL$7)</f>
        <v>0</v>
      </c>
      <c r="AM25" s="17" t="n">
        <f aca="false">SUM(AC25:AL25)</f>
        <v>0</v>
      </c>
      <c r="AN25" s="21" t="n">
        <f aca="false">COUNTIFS(d_Marca,$A25,d_Modelo,$B25,d_Subest,AN$7)</f>
        <v>0</v>
      </c>
      <c r="AO25" s="21" t="n">
        <f aca="false">COUNTIFS(d_Marca,$A25,d_Modelo,$B25,d_Subest,AO$7)</f>
        <v>0</v>
      </c>
      <c r="AP25" s="21" t="n">
        <f aca="false">COUNTIFS(d_Marca,$A25,d_Modelo,$B25,d_Subest,AP$7)</f>
        <v>0</v>
      </c>
      <c r="AQ25" s="21" t="n">
        <f aca="false">COUNTIFS(d_Marca,$A25,d_Modelo,$B25,d_Subest,AQ$7)</f>
        <v>0</v>
      </c>
      <c r="AR25" s="21" t="n">
        <f aca="false">COUNTIFS(d_Marca,$A25,d_Modelo,$B25,d_Subest,AR$7)</f>
        <v>0</v>
      </c>
      <c r="AS25" s="21" t="n">
        <f aca="false">COUNTIFS(d_Marca,$A25,d_Modelo,$B25,d_Subest,AS$7)</f>
        <v>0</v>
      </c>
      <c r="AT25" s="21" t="n">
        <f aca="false">COUNTIFS(d_Marca,$A25,d_Modelo,$B25,d_Subest,AT$7)</f>
        <v>0</v>
      </c>
      <c r="AU25" s="21" t="n">
        <f aca="false">COUNTIFS(d_Marca,$A25,d_Modelo,$B25,d_Subest,AU$7)</f>
        <v>0</v>
      </c>
      <c r="AV25" s="21" t="n">
        <f aca="false">COUNTIFS(d_Marca,$A25,d_Modelo,$B25,d_Subest,AV$7)</f>
        <v>0</v>
      </c>
      <c r="AW25" s="21" t="n">
        <f aca="false">COUNTIFS(d_Marca,$A25,d_Modelo,$B25,d_Subest,AW$7)</f>
        <v>0</v>
      </c>
      <c r="AX25" s="17" t="n">
        <f aca="false">SUM(AN25:AW25)</f>
        <v>0</v>
      </c>
      <c r="AY25" s="21" t="n">
        <f aca="false">COUNTIFS(d_Marca,$A25,d_Modelo,$B25,d_Subest,AY$7)</f>
        <v>0</v>
      </c>
      <c r="AZ25" s="17" t="n">
        <f aca="false">E25+H25+K25+P25+V25+AB25+AM25+AX25+AY25</f>
        <v>8</v>
      </c>
    </row>
    <row r="26" customFormat="false" ht="15" hidden="false" customHeight="false" outlineLevel="0" collapsed="false">
      <c r="A26" s="19" t="s">
        <v>34</v>
      </c>
      <c r="B26" s="20" t="s">
        <v>52</v>
      </c>
      <c r="C26" s="21" t="n">
        <f aca="false">COUNTIFS(d_Marca,$A26,d_Modelo,$B26,d_Subest,C$7)</f>
        <v>0</v>
      </c>
      <c r="D26" s="21" t="n">
        <f aca="false">COUNTIFS(d_Marca,$A26,d_Modelo,$B26,d_Subest,D$7)</f>
        <v>0</v>
      </c>
      <c r="E26" s="17" t="n">
        <f aca="false">SUM(C26:D26)</f>
        <v>0</v>
      </c>
      <c r="F26" s="21" t="n">
        <f aca="false">COUNTIFS(d_Marca,$A26,d_Modelo,$B26,d_Subest,F$7)</f>
        <v>0</v>
      </c>
      <c r="G26" s="21" t="n">
        <f aca="false">COUNTIFS(d_Marca,$A26,d_Modelo,$B26,d_Subest,G$7)</f>
        <v>0</v>
      </c>
      <c r="H26" s="17" t="n">
        <f aca="false">SUM(F26:G26)</f>
        <v>0</v>
      </c>
      <c r="I26" s="21" t="n">
        <f aca="false">COUNTIFS(d_Marca,$A26,d_Modelo,$B26,d_Subest,I$7)</f>
        <v>0</v>
      </c>
      <c r="J26" s="21" t="n">
        <f aca="false">COUNTIFS(d_Marca,$A26,d_Modelo,$B26,d_Subest,J$7)</f>
        <v>4</v>
      </c>
      <c r="K26" s="17" t="n">
        <f aca="false">SUM(I26:J26)</f>
        <v>4</v>
      </c>
      <c r="L26" s="21" t="n">
        <f aca="false">COUNTIFS(d_Marca,$A26,d_Modelo,$B26,d_Subest,L$7)</f>
        <v>2</v>
      </c>
      <c r="M26" s="21" t="n">
        <f aca="false">COUNTIFS(d_Marca,$A26,d_Modelo,$B26,d_Subest,M$7)</f>
        <v>0</v>
      </c>
      <c r="N26" s="21" t="n">
        <f aca="false">COUNTIFS(d_Marca,$A26,d_Modelo,$B26,d_Subest,N$7)</f>
        <v>0</v>
      </c>
      <c r="O26" s="21" t="n">
        <f aca="false">COUNTIFS(d_Marca,$A26,d_Modelo,$B26,d_Subest,O$7)</f>
        <v>0</v>
      </c>
      <c r="P26" s="17" t="n">
        <f aca="false">SUM(L26:O26)</f>
        <v>2</v>
      </c>
      <c r="Q26" s="21" t="n">
        <f aca="false">COUNTIFS(d_Marca,$A26,d_Modelo,$B26,d_Subest,Q$7)</f>
        <v>0</v>
      </c>
      <c r="R26" s="21" t="n">
        <f aca="false">COUNTIFS(d_Marca,$A26,d_Modelo,$B26,d_Subest,R$7)</f>
        <v>0</v>
      </c>
      <c r="S26" s="21" t="n">
        <f aca="false">COUNTIFS(d_Marca,$A26,d_Modelo,$B26,d_Subest,S$7)</f>
        <v>0</v>
      </c>
      <c r="T26" s="21" t="n">
        <f aca="false">COUNTIFS(d_Marca,$A26,d_Modelo,$B26,d_Subest,T$7)</f>
        <v>2</v>
      </c>
      <c r="U26" s="21" t="n">
        <f aca="false">COUNTIFS(d_Marca,$A26,d_Modelo,$B26,d_Subest,U$7)</f>
        <v>0</v>
      </c>
      <c r="V26" s="17" t="n">
        <f aca="false">SUM(Q26:U26)</f>
        <v>2</v>
      </c>
      <c r="W26" s="21" t="n">
        <f aca="false">COUNTIFS(d_Marca,$A26,d_Modelo,$B26,d_Subest,W$7)</f>
        <v>0</v>
      </c>
      <c r="X26" s="21" t="n">
        <f aca="false">COUNTIFS(d_Marca,$A26,d_Modelo,$B26,d_Subest,X$7)</f>
        <v>0</v>
      </c>
      <c r="Y26" s="21" t="n">
        <f aca="false">COUNTIFS(d_Marca,$A26,d_Modelo,$B26,d_Subest,Y$7)</f>
        <v>0</v>
      </c>
      <c r="Z26" s="21" t="n">
        <f aca="false">COUNTIFS(d_Marca,$A26,d_Modelo,$B26,d_Subest,Z$7)</f>
        <v>0</v>
      </c>
      <c r="AA26" s="21" t="n">
        <f aca="false">COUNTIFS(d_Marca,$A26,d_Modelo,$B26,d_Subest,AA$7)</f>
        <v>0</v>
      </c>
      <c r="AB26" s="17" t="n">
        <f aca="false">SUM(W26:AA26)</f>
        <v>0</v>
      </c>
      <c r="AC26" s="21" t="n">
        <f aca="false">COUNTIFS(d_Marca,$A26,d_Modelo,$B26,d_Subest,AC$7)</f>
        <v>0</v>
      </c>
      <c r="AD26" s="21" t="n">
        <f aca="false">COUNTIFS(d_Marca,$A26,d_Modelo,$B26,d_Subest,AD$7)</f>
        <v>0</v>
      </c>
      <c r="AE26" s="21" t="n">
        <f aca="false">COUNTIFS(d_Marca,$A26,d_Modelo,$B26,d_Subest,AE$7)</f>
        <v>0</v>
      </c>
      <c r="AF26" s="21" t="n">
        <f aca="false">COUNTIFS(d_Marca,$A26,d_Modelo,$B26,d_Subest,AF$7)</f>
        <v>0</v>
      </c>
      <c r="AG26" s="21" t="n">
        <f aca="false">COUNTIFS(d_Marca,$A26,d_Modelo,$B26,d_Subest,AG$7)</f>
        <v>0</v>
      </c>
      <c r="AH26" s="21" t="n">
        <f aca="false">COUNTIFS(d_Marca,$A26,d_Modelo,$B26,d_Subest,AH$7)</f>
        <v>0</v>
      </c>
      <c r="AI26" s="21" t="n">
        <f aca="false">COUNTIFS(d_Marca,$A26,d_Modelo,$B26,d_Subest,AI$7)</f>
        <v>0</v>
      </c>
      <c r="AJ26" s="21" t="n">
        <f aca="false">COUNTIFS(d_Marca,$A26,d_Modelo,$B26,d_Subest,AJ$7)</f>
        <v>0</v>
      </c>
      <c r="AK26" s="21" t="n">
        <f aca="false">COUNTIFS(d_Marca,$A26,d_Modelo,$B26,d_Subest,AK$7)</f>
        <v>0</v>
      </c>
      <c r="AL26" s="21" t="n">
        <f aca="false">COUNTIFS(d_Marca,$A26,d_Modelo,$B26,d_Subest,AL$7)</f>
        <v>0</v>
      </c>
      <c r="AM26" s="17" t="n">
        <f aca="false">SUM(AC26:AL26)</f>
        <v>0</v>
      </c>
      <c r="AN26" s="21" t="n">
        <f aca="false">COUNTIFS(d_Marca,$A26,d_Modelo,$B26,d_Subest,AN$7)</f>
        <v>0</v>
      </c>
      <c r="AO26" s="21" t="n">
        <f aca="false">COUNTIFS(d_Marca,$A26,d_Modelo,$B26,d_Subest,AO$7)</f>
        <v>0</v>
      </c>
      <c r="AP26" s="21" t="n">
        <f aca="false">COUNTIFS(d_Marca,$A26,d_Modelo,$B26,d_Subest,AP$7)</f>
        <v>0</v>
      </c>
      <c r="AQ26" s="21" t="n">
        <f aca="false">COUNTIFS(d_Marca,$A26,d_Modelo,$B26,d_Subest,AQ$7)</f>
        <v>0</v>
      </c>
      <c r="AR26" s="21" t="n">
        <f aca="false">COUNTIFS(d_Marca,$A26,d_Modelo,$B26,d_Subest,AR$7)</f>
        <v>0</v>
      </c>
      <c r="AS26" s="21" t="n">
        <f aca="false">COUNTIFS(d_Marca,$A26,d_Modelo,$B26,d_Subest,AS$7)</f>
        <v>0</v>
      </c>
      <c r="AT26" s="21" t="n">
        <f aca="false">COUNTIFS(d_Marca,$A26,d_Modelo,$B26,d_Subest,AT$7)</f>
        <v>0</v>
      </c>
      <c r="AU26" s="21" t="n">
        <f aca="false">COUNTIFS(d_Marca,$A26,d_Modelo,$B26,d_Subest,AU$7)</f>
        <v>0</v>
      </c>
      <c r="AV26" s="21" t="n">
        <f aca="false">COUNTIFS(d_Marca,$A26,d_Modelo,$B26,d_Subest,AV$7)</f>
        <v>0</v>
      </c>
      <c r="AW26" s="21" t="n">
        <f aca="false">COUNTIFS(d_Marca,$A26,d_Modelo,$B26,d_Subest,AW$7)</f>
        <v>0</v>
      </c>
      <c r="AX26" s="17" t="n">
        <f aca="false">SUM(AN26:AW26)</f>
        <v>0</v>
      </c>
      <c r="AY26" s="21" t="n">
        <f aca="false">COUNTIFS(d_Marca,$A26,d_Modelo,$B26,d_Subest,AY$7)</f>
        <v>0</v>
      </c>
      <c r="AZ26" s="17" t="n">
        <f aca="false">E26+H26+K26+P26+V26+AB26+AM26+AX26+AY26</f>
        <v>8</v>
      </c>
    </row>
    <row r="27" customFormat="false" ht="15" hidden="false" customHeight="false" outlineLevel="0" collapsed="false">
      <c r="A27" s="19" t="s">
        <v>34</v>
      </c>
      <c r="B27" s="20" t="s">
        <v>53</v>
      </c>
      <c r="C27" s="21" t="n">
        <f aca="false">COUNTIFS(d_Marca,$A27,d_Modelo,$B27,d_Subest,C$7)</f>
        <v>0</v>
      </c>
      <c r="D27" s="21" t="n">
        <f aca="false">COUNTIFS(d_Marca,$A27,d_Modelo,$B27,d_Subest,D$7)</f>
        <v>0</v>
      </c>
      <c r="E27" s="17" t="n">
        <f aca="false">SUM(C27:D27)</f>
        <v>0</v>
      </c>
      <c r="F27" s="21" t="n">
        <f aca="false">COUNTIFS(d_Marca,$A27,d_Modelo,$B27,d_Subest,F$7)</f>
        <v>0</v>
      </c>
      <c r="G27" s="21" t="n">
        <f aca="false">COUNTIFS(d_Marca,$A27,d_Modelo,$B27,d_Subest,G$7)</f>
        <v>0</v>
      </c>
      <c r="H27" s="17" t="n">
        <f aca="false">SUM(F27:G27)</f>
        <v>0</v>
      </c>
      <c r="I27" s="21" t="n">
        <f aca="false">COUNTIFS(d_Marca,$A27,d_Modelo,$B27,d_Subest,I$7)</f>
        <v>0</v>
      </c>
      <c r="J27" s="21" t="n">
        <f aca="false">COUNTIFS(d_Marca,$A27,d_Modelo,$B27,d_Subest,J$7)</f>
        <v>0</v>
      </c>
      <c r="K27" s="17" t="n">
        <f aca="false">SUM(I27:J27)</f>
        <v>0</v>
      </c>
      <c r="L27" s="21" t="n">
        <f aca="false">COUNTIFS(d_Marca,$A27,d_Modelo,$B27,d_Subest,L$7)</f>
        <v>0</v>
      </c>
      <c r="M27" s="21" t="n">
        <f aca="false">COUNTIFS(d_Marca,$A27,d_Modelo,$B27,d_Subest,M$7)</f>
        <v>0</v>
      </c>
      <c r="N27" s="21" t="n">
        <f aca="false">COUNTIFS(d_Marca,$A27,d_Modelo,$B27,d_Subest,N$7)</f>
        <v>0</v>
      </c>
      <c r="O27" s="21" t="n">
        <f aca="false">COUNTIFS(d_Marca,$A27,d_Modelo,$B27,d_Subest,O$7)</f>
        <v>0</v>
      </c>
      <c r="P27" s="17" t="n">
        <f aca="false">SUM(L27:O27)</f>
        <v>0</v>
      </c>
      <c r="Q27" s="21" t="n">
        <f aca="false">COUNTIFS(d_Marca,$A27,d_Modelo,$B27,d_Subest,Q$7)</f>
        <v>0</v>
      </c>
      <c r="R27" s="21" t="n">
        <f aca="false">COUNTIFS(d_Marca,$A27,d_Modelo,$B27,d_Subest,R$7)</f>
        <v>0</v>
      </c>
      <c r="S27" s="21" t="n">
        <f aca="false">COUNTIFS(d_Marca,$A27,d_Modelo,$B27,d_Subest,S$7)</f>
        <v>0</v>
      </c>
      <c r="T27" s="21" t="n">
        <f aca="false">COUNTIFS(d_Marca,$A27,d_Modelo,$B27,d_Subest,T$7)</f>
        <v>0</v>
      </c>
      <c r="U27" s="21" t="n">
        <f aca="false">COUNTIFS(d_Marca,$A27,d_Modelo,$B27,d_Subest,U$7)</f>
        <v>0</v>
      </c>
      <c r="V27" s="17" t="n">
        <f aca="false">SUM(Q27:U27)</f>
        <v>0</v>
      </c>
      <c r="W27" s="21" t="n">
        <f aca="false">COUNTIFS(d_Marca,$A27,d_Modelo,$B27,d_Subest,W$7)</f>
        <v>0</v>
      </c>
      <c r="X27" s="21" t="n">
        <f aca="false">COUNTIFS(d_Marca,$A27,d_Modelo,$B27,d_Subest,X$7)</f>
        <v>0</v>
      </c>
      <c r="Y27" s="21" t="n">
        <f aca="false">COUNTIFS(d_Marca,$A27,d_Modelo,$B27,d_Subest,Y$7)</f>
        <v>1</v>
      </c>
      <c r="Z27" s="21" t="n">
        <f aca="false">COUNTIFS(d_Marca,$A27,d_Modelo,$B27,d_Subest,Z$7)</f>
        <v>0</v>
      </c>
      <c r="AA27" s="21" t="n">
        <f aca="false">COUNTIFS(d_Marca,$A27,d_Modelo,$B27,d_Subest,AA$7)</f>
        <v>0</v>
      </c>
      <c r="AB27" s="17" t="n">
        <f aca="false">SUM(W27:AA27)</f>
        <v>1</v>
      </c>
      <c r="AC27" s="21" t="n">
        <f aca="false">COUNTIFS(d_Marca,$A27,d_Modelo,$B27,d_Subest,AC$7)</f>
        <v>0</v>
      </c>
      <c r="AD27" s="21" t="n">
        <f aca="false">COUNTIFS(d_Marca,$A27,d_Modelo,$B27,d_Subest,AD$7)</f>
        <v>0</v>
      </c>
      <c r="AE27" s="21" t="n">
        <f aca="false">COUNTIFS(d_Marca,$A27,d_Modelo,$B27,d_Subest,AE$7)</f>
        <v>0</v>
      </c>
      <c r="AF27" s="21" t="n">
        <f aca="false">COUNTIFS(d_Marca,$A27,d_Modelo,$B27,d_Subest,AF$7)</f>
        <v>0</v>
      </c>
      <c r="AG27" s="21" t="n">
        <f aca="false">COUNTIFS(d_Marca,$A27,d_Modelo,$B27,d_Subest,AG$7)</f>
        <v>0</v>
      </c>
      <c r="AH27" s="21" t="n">
        <f aca="false">COUNTIFS(d_Marca,$A27,d_Modelo,$B27,d_Subest,AH$7)</f>
        <v>0</v>
      </c>
      <c r="AI27" s="21" t="n">
        <f aca="false">COUNTIFS(d_Marca,$A27,d_Modelo,$B27,d_Subest,AI$7)</f>
        <v>0</v>
      </c>
      <c r="AJ27" s="21" t="n">
        <f aca="false">COUNTIFS(d_Marca,$A27,d_Modelo,$B27,d_Subest,AJ$7)</f>
        <v>0</v>
      </c>
      <c r="AK27" s="21" t="n">
        <f aca="false">COUNTIFS(d_Marca,$A27,d_Modelo,$B27,d_Subest,AK$7)</f>
        <v>0</v>
      </c>
      <c r="AL27" s="21" t="n">
        <f aca="false">COUNTIFS(d_Marca,$A27,d_Modelo,$B27,d_Subest,AL$7)</f>
        <v>0</v>
      </c>
      <c r="AM27" s="17" t="n">
        <f aca="false">SUM(AC27:AL27)</f>
        <v>0</v>
      </c>
      <c r="AN27" s="21" t="n">
        <f aca="false">COUNTIFS(d_Marca,$A27,d_Modelo,$B27,d_Subest,AN$7)</f>
        <v>0</v>
      </c>
      <c r="AO27" s="21" t="n">
        <f aca="false">COUNTIFS(d_Marca,$A27,d_Modelo,$B27,d_Subest,AO$7)</f>
        <v>0</v>
      </c>
      <c r="AP27" s="21" t="n">
        <f aca="false">COUNTIFS(d_Marca,$A27,d_Modelo,$B27,d_Subest,AP$7)</f>
        <v>0</v>
      </c>
      <c r="AQ27" s="21" t="n">
        <f aca="false">COUNTIFS(d_Marca,$A27,d_Modelo,$B27,d_Subest,AQ$7)</f>
        <v>0</v>
      </c>
      <c r="AR27" s="21" t="n">
        <f aca="false">COUNTIFS(d_Marca,$A27,d_Modelo,$B27,d_Subest,AR$7)</f>
        <v>0</v>
      </c>
      <c r="AS27" s="21" t="n">
        <f aca="false">COUNTIFS(d_Marca,$A27,d_Modelo,$B27,d_Subest,AS$7)</f>
        <v>0</v>
      </c>
      <c r="AT27" s="21" t="n">
        <f aca="false">COUNTIFS(d_Marca,$A27,d_Modelo,$B27,d_Subest,AT$7)</f>
        <v>0</v>
      </c>
      <c r="AU27" s="21" t="n">
        <f aca="false">COUNTIFS(d_Marca,$A27,d_Modelo,$B27,d_Subest,AU$7)</f>
        <v>0</v>
      </c>
      <c r="AV27" s="21" t="n">
        <f aca="false">COUNTIFS(d_Marca,$A27,d_Modelo,$B27,d_Subest,AV$7)</f>
        <v>0</v>
      </c>
      <c r="AW27" s="21" t="n">
        <f aca="false">COUNTIFS(d_Marca,$A27,d_Modelo,$B27,d_Subest,AW$7)</f>
        <v>0</v>
      </c>
      <c r="AX27" s="17" t="n">
        <f aca="false">SUM(AN27:AW27)</f>
        <v>0</v>
      </c>
      <c r="AY27" s="21" t="n">
        <f aca="false">COUNTIFS(d_Marca,$A27,d_Modelo,$B27,d_Subest,AY$7)</f>
        <v>6</v>
      </c>
      <c r="AZ27" s="17" t="n">
        <f aca="false">E27+H27+K27+P27+V27+AB27+AM27+AX27+AY27</f>
        <v>7</v>
      </c>
    </row>
    <row r="28" customFormat="false" ht="15" hidden="false" customHeight="false" outlineLevel="0" collapsed="false">
      <c r="A28" s="19" t="s">
        <v>34</v>
      </c>
      <c r="B28" s="20" t="s">
        <v>54</v>
      </c>
      <c r="C28" s="21" t="n">
        <f aca="false">COUNTIFS(d_Marca,$A28,d_Modelo,$B28,d_Subest,C$7)</f>
        <v>0</v>
      </c>
      <c r="D28" s="21" t="n">
        <f aca="false">COUNTIFS(d_Marca,$A28,d_Modelo,$B28,d_Subest,D$7)</f>
        <v>0</v>
      </c>
      <c r="E28" s="17" t="n">
        <f aca="false">SUM(C28:D28)</f>
        <v>0</v>
      </c>
      <c r="F28" s="21" t="n">
        <f aca="false">COUNTIFS(d_Marca,$A28,d_Modelo,$B28,d_Subest,F$7)</f>
        <v>0</v>
      </c>
      <c r="G28" s="21" t="n">
        <f aca="false">COUNTIFS(d_Marca,$A28,d_Modelo,$B28,d_Subest,G$7)</f>
        <v>0</v>
      </c>
      <c r="H28" s="17" t="n">
        <f aca="false">SUM(F28:G28)</f>
        <v>0</v>
      </c>
      <c r="I28" s="21" t="n">
        <f aca="false">COUNTIFS(d_Marca,$A28,d_Modelo,$B28,d_Subest,I$7)</f>
        <v>0</v>
      </c>
      <c r="J28" s="21" t="n">
        <f aca="false">COUNTIFS(d_Marca,$A28,d_Modelo,$B28,d_Subest,J$7)</f>
        <v>0</v>
      </c>
      <c r="K28" s="17" t="n">
        <f aca="false">SUM(I28:J28)</f>
        <v>0</v>
      </c>
      <c r="L28" s="21" t="n">
        <f aca="false">COUNTIFS(d_Marca,$A28,d_Modelo,$B28,d_Subest,L$7)</f>
        <v>0</v>
      </c>
      <c r="M28" s="21" t="n">
        <f aca="false">COUNTIFS(d_Marca,$A28,d_Modelo,$B28,d_Subest,M$7)</f>
        <v>0</v>
      </c>
      <c r="N28" s="21" t="n">
        <f aca="false">COUNTIFS(d_Marca,$A28,d_Modelo,$B28,d_Subest,N$7)</f>
        <v>0</v>
      </c>
      <c r="O28" s="21" t="n">
        <f aca="false">COUNTIFS(d_Marca,$A28,d_Modelo,$B28,d_Subest,O$7)</f>
        <v>0</v>
      </c>
      <c r="P28" s="17" t="n">
        <f aca="false">SUM(L28:O28)</f>
        <v>0</v>
      </c>
      <c r="Q28" s="21" t="n">
        <f aca="false">COUNTIFS(d_Marca,$A28,d_Modelo,$B28,d_Subest,Q$7)</f>
        <v>0</v>
      </c>
      <c r="R28" s="21" t="n">
        <f aca="false">COUNTIFS(d_Marca,$A28,d_Modelo,$B28,d_Subest,R$7)</f>
        <v>0</v>
      </c>
      <c r="S28" s="21" t="n">
        <f aca="false">COUNTIFS(d_Marca,$A28,d_Modelo,$B28,d_Subest,S$7)</f>
        <v>0</v>
      </c>
      <c r="T28" s="21" t="n">
        <f aca="false">COUNTIFS(d_Marca,$A28,d_Modelo,$B28,d_Subest,T$7)</f>
        <v>0</v>
      </c>
      <c r="U28" s="21" t="n">
        <f aca="false">COUNTIFS(d_Marca,$A28,d_Modelo,$B28,d_Subest,U$7)</f>
        <v>0</v>
      </c>
      <c r="V28" s="17" t="n">
        <f aca="false">SUM(Q28:U28)</f>
        <v>0</v>
      </c>
      <c r="W28" s="21" t="n">
        <f aca="false">COUNTIFS(d_Marca,$A28,d_Modelo,$B28,d_Subest,W$7)</f>
        <v>0</v>
      </c>
      <c r="X28" s="21" t="n">
        <f aca="false">COUNTIFS(d_Marca,$A28,d_Modelo,$B28,d_Subest,X$7)</f>
        <v>0</v>
      </c>
      <c r="Y28" s="21" t="n">
        <f aca="false">COUNTIFS(d_Marca,$A28,d_Modelo,$B28,d_Subest,Y$7)</f>
        <v>0</v>
      </c>
      <c r="Z28" s="21" t="n">
        <f aca="false">COUNTIFS(d_Marca,$A28,d_Modelo,$B28,d_Subest,Z$7)</f>
        <v>0</v>
      </c>
      <c r="AA28" s="21" t="n">
        <f aca="false">COUNTIFS(d_Marca,$A28,d_Modelo,$B28,d_Subest,AA$7)</f>
        <v>0</v>
      </c>
      <c r="AB28" s="17" t="n">
        <f aca="false">SUM(W28:AA28)</f>
        <v>0</v>
      </c>
      <c r="AC28" s="21" t="n">
        <f aca="false">COUNTIFS(d_Marca,$A28,d_Modelo,$B28,d_Subest,AC$7)</f>
        <v>0</v>
      </c>
      <c r="AD28" s="21" t="n">
        <f aca="false">COUNTIFS(d_Marca,$A28,d_Modelo,$B28,d_Subest,AD$7)</f>
        <v>0</v>
      </c>
      <c r="AE28" s="21" t="n">
        <f aca="false">COUNTIFS(d_Marca,$A28,d_Modelo,$B28,d_Subest,AE$7)</f>
        <v>0</v>
      </c>
      <c r="AF28" s="21" t="n">
        <f aca="false">COUNTIFS(d_Marca,$A28,d_Modelo,$B28,d_Subest,AF$7)</f>
        <v>0</v>
      </c>
      <c r="AG28" s="21" t="n">
        <f aca="false">COUNTIFS(d_Marca,$A28,d_Modelo,$B28,d_Subest,AG$7)</f>
        <v>0</v>
      </c>
      <c r="AH28" s="21" t="n">
        <f aca="false">COUNTIFS(d_Marca,$A28,d_Modelo,$B28,d_Subest,AH$7)</f>
        <v>0</v>
      </c>
      <c r="AI28" s="21" t="n">
        <f aca="false">COUNTIFS(d_Marca,$A28,d_Modelo,$B28,d_Subest,AI$7)</f>
        <v>0</v>
      </c>
      <c r="AJ28" s="21" t="n">
        <f aca="false">COUNTIFS(d_Marca,$A28,d_Modelo,$B28,d_Subest,AJ$7)</f>
        <v>0</v>
      </c>
      <c r="AK28" s="21" t="n">
        <f aca="false">COUNTIFS(d_Marca,$A28,d_Modelo,$B28,d_Subest,AK$7)</f>
        <v>0</v>
      </c>
      <c r="AL28" s="21" t="n">
        <f aca="false">COUNTIFS(d_Marca,$A28,d_Modelo,$B28,d_Subest,AL$7)</f>
        <v>0</v>
      </c>
      <c r="AM28" s="17" t="n">
        <f aca="false">SUM(AC28:AL28)</f>
        <v>0</v>
      </c>
      <c r="AN28" s="21" t="n">
        <f aca="false">COUNTIFS(d_Marca,$A28,d_Modelo,$B28,d_Subest,AN$7)</f>
        <v>0</v>
      </c>
      <c r="AO28" s="21" t="n">
        <f aca="false">COUNTIFS(d_Marca,$A28,d_Modelo,$B28,d_Subest,AO$7)</f>
        <v>0</v>
      </c>
      <c r="AP28" s="21" t="n">
        <f aca="false">COUNTIFS(d_Marca,$A28,d_Modelo,$B28,d_Subest,AP$7)</f>
        <v>0</v>
      </c>
      <c r="AQ28" s="21" t="n">
        <f aca="false">COUNTIFS(d_Marca,$A28,d_Modelo,$B28,d_Subest,AQ$7)</f>
        <v>0</v>
      </c>
      <c r="AR28" s="21" t="n">
        <f aca="false">COUNTIFS(d_Marca,$A28,d_Modelo,$B28,d_Subest,AR$7)</f>
        <v>0</v>
      </c>
      <c r="AS28" s="21" t="n">
        <f aca="false">COUNTIFS(d_Marca,$A28,d_Modelo,$B28,d_Subest,AS$7)</f>
        <v>0</v>
      </c>
      <c r="AT28" s="21" t="n">
        <f aca="false">COUNTIFS(d_Marca,$A28,d_Modelo,$B28,d_Subest,AT$7)</f>
        <v>0</v>
      </c>
      <c r="AU28" s="21" t="n">
        <f aca="false">COUNTIFS(d_Marca,$A28,d_Modelo,$B28,d_Subest,AU$7)</f>
        <v>0</v>
      </c>
      <c r="AV28" s="21" t="n">
        <f aca="false">COUNTIFS(d_Marca,$A28,d_Modelo,$B28,d_Subest,AV$7)</f>
        <v>0</v>
      </c>
      <c r="AW28" s="21" t="n">
        <f aca="false">COUNTIFS(d_Marca,$A28,d_Modelo,$B28,d_Subest,AW$7)</f>
        <v>0</v>
      </c>
      <c r="AX28" s="17" t="n">
        <f aca="false">SUM(AN28:AW28)</f>
        <v>0</v>
      </c>
      <c r="AY28" s="21" t="n">
        <f aca="false">COUNTIFS(d_Marca,$A28,d_Modelo,$B28,d_Subest,AY$7)</f>
        <v>5</v>
      </c>
      <c r="AZ28" s="17" t="n">
        <f aca="false">E28+H28+K28+P28+V28+AB28+AM28+AX28+AY28</f>
        <v>5</v>
      </c>
    </row>
    <row r="29" customFormat="false" ht="15" hidden="false" customHeight="false" outlineLevel="0" collapsed="false">
      <c r="A29" s="16" t="s">
        <v>55</v>
      </c>
      <c r="B29" s="16" t="s">
        <v>56</v>
      </c>
      <c r="C29" s="17" t="n">
        <f aca="false">COUNTIFS(d_Marca,$A29,d_Subest,C$7)</f>
        <v>7</v>
      </c>
      <c r="D29" s="17" t="n">
        <f aca="false">COUNTIFS(d_Marca,$A29,d_Subest,D$7)</f>
        <v>3</v>
      </c>
      <c r="E29" s="17" t="n">
        <f aca="false">SUM(C29:D29)</f>
        <v>10</v>
      </c>
      <c r="F29" s="17" t="n">
        <f aca="false">COUNTIFS(d_Marca,$A29,d_Subest,F$7)</f>
        <v>4</v>
      </c>
      <c r="G29" s="17" t="n">
        <f aca="false">COUNTIFS(d_Marca,$A29,d_Subest,G$7)</f>
        <v>12</v>
      </c>
      <c r="H29" s="17" t="n">
        <f aca="false">SUM(F29:G29)</f>
        <v>16</v>
      </c>
      <c r="I29" s="17" t="n">
        <f aca="false">COUNTIFS(d_Marca,$A29,d_Subest,I$7)</f>
        <v>16</v>
      </c>
      <c r="J29" s="17" t="n">
        <f aca="false">COUNTIFS(d_Marca,$A29,d_Subest,J$7)</f>
        <v>10</v>
      </c>
      <c r="K29" s="17" t="n">
        <f aca="false">SUM(I29:J29)</f>
        <v>26</v>
      </c>
      <c r="L29" s="17" t="n">
        <f aca="false">COUNTIFS(d_Marca,$A29,d_Subest,L$7)</f>
        <v>14</v>
      </c>
      <c r="M29" s="17" t="n">
        <f aca="false">COUNTIFS(d_Marca,$A29,d_Subest,M$7)</f>
        <v>12</v>
      </c>
      <c r="N29" s="17" t="n">
        <f aca="false">COUNTIFS(d_Marca,$A29,d_Subest,N$7)</f>
        <v>12</v>
      </c>
      <c r="O29" s="17" t="n">
        <f aca="false">COUNTIFS(d_Marca,$A29,d_Subest,O$7)</f>
        <v>12</v>
      </c>
      <c r="P29" s="17" t="n">
        <f aca="false">SUM(L29:O29)</f>
        <v>50</v>
      </c>
      <c r="Q29" s="17" t="n">
        <f aca="false">COUNTIFS(d_Marca,$A29,d_Subest,Q$7)</f>
        <v>12</v>
      </c>
      <c r="R29" s="17" t="n">
        <f aca="false">COUNTIFS(d_Marca,$A29,d_Subest,R$7)</f>
        <v>12</v>
      </c>
      <c r="S29" s="17" t="n">
        <f aca="false">COUNTIFS(d_Marca,$A29,d_Subest,S$7)</f>
        <v>2</v>
      </c>
      <c r="T29" s="17" t="n">
        <f aca="false">COUNTIFS(d_Marca,$A29,d_Subest,T$7)</f>
        <v>9</v>
      </c>
      <c r="U29" s="17" t="n">
        <f aca="false">COUNTIFS(d_Marca,$A29,d_Subest,U$7)</f>
        <v>16</v>
      </c>
      <c r="V29" s="17" t="n">
        <f aca="false">SUM(Q29:U29)</f>
        <v>51</v>
      </c>
      <c r="W29" s="17" t="n">
        <f aca="false">COUNTIFS(d_Marca,$A29,d_Subest,W$7)</f>
        <v>10</v>
      </c>
      <c r="X29" s="17" t="n">
        <f aca="false">COUNTIFS(d_Marca,$A29,d_Subest,X$7)</f>
        <v>12</v>
      </c>
      <c r="Y29" s="17" t="n">
        <f aca="false">COUNTIFS(d_Marca,$A29,d_Subest,Y$7)</f>
        <v>11</v>
      </c>
      <c r="Z29" s="17" t="n">
        <f aca="false">COUNTIFS(d_Marca,$A29,d_Subest,Z$7)</f>
        <v>6</v>
      </c>
      <c r="AA29" s="17" t="n">
        <f aca="false">COUNTIFS(d_Marca,$A29,d_Subest,AA$7)</f>
        <v>6</v>
      </c>
      <c r="AB29" s="17" t="n">
        <f aca="false">SUM(W29:AA29)</f>
        <v>45</v>
      </c>
      <c r="AC29" s="17" t="n">
        <f aca="false">COUNTIFS(d_Marca,$A29,d_Subest,AC$7)</f>
        <v>2</v>
      </c>
      <c r="AD29" s="17" t="n">
        <f aca="false">COUNTIFS(d_Marca,$A29,d_Subest,AD$7)</f>
        <v>2</v>
      </c>
      <c r="AE29" s="17" t="n">
        <f aca="false">COUNTIFS(d_Marca,$A29,d_Subest,AE$7)</f>
        <v>0</v>
      </c>
      <c r="AF29" s="17" t="n">
        <f aca="false">COUNTIFS(d_Marca,$A29,d_Subest,AF$7)</f>
        <v>2</v>
      </c>
      <c r="AG29" s="17" t="n">
        <f aca="false">COUNTIFS(d_Marca,$A29,d_Subest,AG$7)</f>
        <v>0</v>
      </c>
      <c r="AH29" s="17" t="n">
        <f aca="false">COUNTIFS(d_Marca,$A29,d_Subest,AH$7)</f>
        <v>0</v>
      </c>
      <c r="AI29" s="17" t="n">
        <f aca="false">COUNTIFS(d_Marca,$A29,d_Subest,AI$7)</f>
        <v>0</v>
      </c>
      <c r="AJ29" s="17" t="n">
        <f aca="false">COUNTIFS(d_Marca,$A29,d_Subest,AJ$7)</f>
        <v>0</v>
      </c>
      <c r="AK29" s="17" t="n">
        <f aca="false">COUNTIFS(d_Marca,$A29,d_Subest,AK$7)</f>
        <v>0</v>
      </c>
      <c r="AL29" s="17" t="n">
        <f aca="false">COUNTIFS(d_Marca,$A29,d_Subest,AL$7)</f>
        <v>0</v>
      </c>
      <c r="AM29" s="17" t="n">
        <f aca="false">SUM(AC29:AL29)</f>
        <v>6</v>
      </c>
      <c r="AN29" s="17" t="n">
        <f aca="false">COUNTIFS(d_Marca,$A29,d_Subest,AN$7)</f>
        <v>14</v>
      </c>
      <c r="AO29" s="17" t="n">
        <f aca="false">COUNTIFS(d_Marca,$A29,d_Subest,AO$7)</f>
        <v>8</v>
      </c>
      <c r="AP29" s="17" t="n">
        <f aca="false">COUNTIFS(d_Marca,$A29,d_Subest,AP$7)</f>
        <v>0</v>
      </c>
      <c r="AQ29" s="17" t="n">
        <f aca="false">COUNTIFS(d_Marca,$A29,d_Subest,AQ$7)</f>
        <v>0</v>
      </c>
      <c r="AR29" s="17" t="n">
        <f aca="false">COUNTIFS(d_Marca,$A29,d_Subest,AR$7)</f>
        <v>0</v>
      </c>
      <c r="AS29" s="17" t="n">
        <f aca="false">COUNTIFS(d_Marca,$A29,d_Subest,AS$7)</f>
        <v>8</v>
      </c>
      <c r="AT29" s="17" t="n">
        <f aca="false">COUNTIFS(d_Marca,$A29,d_Subest,AT$7)</f>
        <v>0</v>
      </c>
      <c r="AU29" s="17" t="n">
        <f aca="false">COUNTIFS(d_Marca,$A29,d_Subest,AU$7)</f>
        <v>0</v>
      </c>
      <c r="AV29" s="17" t="n">
        <f aca="false">COUNTIFS(d_Marca,$A29,d_Subest,AV$7)</f>
        <v>38</v>
      </c>
      <c r="AW29" s="17" t="n">
        <f aca="false">COUNTIFS(d_Marca,$A29,d_Subest,AW$7)</f>
        <v>50</v>
      </c>
      <c r="AX29" s="17" t="n">
        <f aca="false">SUM(AN29:AW29)</f>
        <v>118</v>
      </c>
      <c r="AY29" s="17" t="n">
        <f aca="false">COUNTIFS(d_Marca,$A29,d_Subest,AY$7)</f>
        <v>23</v>
      </c>
      <c r="AZ29" s="17" t="n">
        <f aca="false">E29+H29+K29+P29+V29+AB29+AM29+AX29+AY29</f>
        <v>345</v>
      </c>
    </row>
    <row r="30" customFormat="false" ht="15" hidden="false" customHeight="false" outlineLevel="0" collapsed="false">
      <c r="A30" s="19" t="s">
        <v>55</v>
      </c>
      <c r="B30" s="20" t="s">
        <v>57</v>
      </c>
      <c r="C30" s="21" t="n">
        <f aca="false">COUNTIFS(d_Marca,$A30,d_Modelo,$B30,d_Subest,C$7)</f>
        <v>5</v>
      </c>
      <c r="D30" s="21" t="n">
        <f aca="false">COUNTIFS(d_Marca,$A30,d_Modelo,$B30,d_Subest,D$7)</f>
        <v>3</v>
      </c>
      <c r="E30" s="17" t="n">
        <f aca="false">SUM(C30:D30)</f>
        <v>8</v>
      </c>
      <c r="F30" s="21" t="n">
        <f aca="false">COUNTIFS(d_Marca,$A30,d_Modelo,$B30,d_Subest,F$7)</f>
        <v>0</v>
      </c>
      <c r="G30" s="21" t="n">
        <f aca="false">COUNTIFS(d_Marca,$A30,d_Modelo,$B30,d_Subest,G$7)</f>
        <v>0</v>
      </c>
      <c r="H30" s="17" t="n">
        <f aca="false">SUM(F30:G30)</f>
        <v>0</v>
      </c>
      <c r="I30" s="21" t="n">
        <f aca="false">COUNTIFS(d_Marca,$A30,d_Modelo,$B30,d_Subest,I$7)</f>
        <v>0</v>
      </c>
      <c r="J30" s="21" t="n">
        <f aca="false">COUNTIFS(d_Marca,$A30,d_Modelo,$B30,d_Subest,J$7)</f>
        <v>0</v>
      </c>
      <c r="K30" s="17" t="n">
        <f aca="false">SUM(I30:J30)</f>
        <v>0</v>
      </c>
      <c r="L30" s="21" t="n">
        <f aca="false">COUNTIFS(d_Marca,$A30,d_Modelo,$B30,d_Subest,L$7)</f>
        <v>0</v>
      </c>
      <c r="M30" s="21" t="n">
        <f aca="false">COUNTIFS(d_Marca,$A30,d_Modelo,$B30,d_Subest,M$7)</f>
        <v>0</v>
      </c>
      <c r="N30" s="21" t="n">
        <f aca="false">COUNTIFS(d_Marca,$A30,d_Modelo,$B30,d_Subest,N$7)</f>
        <v>0</v>
      </c>
      <c r="O30" s="21" t="n">
        <f aca="false">COUNTIFS(d_Marca,$A30,d_Modelo,$B30,d_Subest,O$7)</f>
        <v>0</v>
      </c>
      <c r="P30" s="17" t="n">
        <f aca="false">SUM(L30:O30)</f>
        <v>0</v>
      </c>
      <c r="Q30" s="21" t="n">
        <f aca="false">COUNTIFS(d_Marca,$A30,d_Modelo,$B30,d_Subest,Q$7)</f>
        <v>0</v>
      </c>
      <c r="R30" s="21" t="n">
        <f aca="false">COUNTIFS(d_Marca,$A30,d_Modelo,$B30,d_Subest,R$7)</f>
        <v>0</v>
      </c>
      <c r="S30" s="21" t="n">
        <f aca="false">COUNTIFS(d_Marca,$A30,d_Modelo,$B30,d_Subest,S$7)</f>
        <v>0</v>
      </c>
      <c r="T30" s="21" t="n">
        <f aca="false">COUNTIFS(d_Marca,$A30,d_Modelo,$B30,d_Subest,T$7)</f>
        <v>0</v>
      </c>
      <c r="U30" s="21" t="n">
        <f aca="false">COUNTIFS(d_Marca,$A30,d_Modelo,$B30,d_Subest,U$7)</f>
        <v>0</v>
      </c>
      <c r="V30" s="17" t="n">
        <f aca="false">SUM(Q30:U30)</f>
        <v>0</v>
      </c>
      <c r="W30" s="21" t="n">
        <f aca="false">COUNTIFS(d_Marca,$A30,d_Modelo,$B30,d_Subest,W$7)</f>
        <v>10</v>
      </c>
      <c r="X30" s="21" t="n">
        <f aca="false">COUNTIFS(d_Marca,$A30,d_Modelo,$B30,d_Subest,X$7)</f>
        <v>12</v>
      </c>
      <c r="Y30" s="21" t="n">
        <f aca="false">COUNTIFS(d_Marca,$A30,d_Modelo,$B30,d_Subest,Y$7)</f>
        <v>11</v>
      </c>
      <c r="Z30" s="21" t="n">
        <f aca="false">COUNTIFS(d_Marca,$A30,d_Modelo,$B30,d_Subest,Z$7)</f>
        <v>6</v>
      </c>
      <c r="AA30" s="21" t="n">
        <f aca="false">COUNTIFS(d_Marca,$A30,d_Modelo,$B30,d_Subest,AA$7)</f>
        <v>6</v>
      </c>
      <c r="AB30" s="17" t="n">
        <f aca="false">SUM(W30:AA30)</f>
        <v>45</v>
      </c>
      <c r="AC30" s="21" t="n">
        <f aca="false">COUNTIFS(d_Marca,$A30,d_Modelo,$B30,d_Subest,AC$7)</f>
        <v>0</v>
      </c>
      <c r="AD30" s="21" t="n">
        <f aca="false">COUNTIFS(d_Marca,$A30,d_Modelo,$B30,d_Subest,AD$7)</f>
        <v>0</v>
      </c>
      <c r="AE30" s="21" t="n">
        <f aca="false">COUNTIFS(d_Marca,$A30,d_Modelo,$B30,d_Subest,AE$7)</f>
        <v>0</v>
      </c>
      <c r="AF30" s="21" t="n">
        <f aca="false">COUNTIFS(d_Marca,$A30,d_Modelo,$B30,d_Subest,AF$7)</f>
        <v>0</v>
      </c>
      <c r="AG30" s="21" t="n">
        <f aca="false">COUNTIFS(d_Marca,$A30,d_Modelo,$B30,d_Subest,AG$7)</f>
        <v>0</v>
      </c>
      <c r="AH30" s="21" t="n">
        <f aca="false">COUNTIFS(d_Marca,$A30,d_Modelo,$B30,d_Subest,AH$7)</f>
        <v>0</v>
      </c>
      <c r="AI30" s="21" t="n">
        <f aca="false">COUNTIFS(d_Marca,$A30,d_Modelo,$B30,d_Subest,AI$7)</f>
        <v>0</v>
      </c>
      <c r="AJ30" s="21" t="n">
        <f aca="false">COUNTIFS(d_Marca,$A30,d_Modelo,$B30,d_Subest,AJ$7)</f>
        <v>0</v>
      </c>
      <c r="AK30" s="21" t="n">
        <f aca="false">COUNTIFS(d_Marca,$A30,d_Modelo,$B30,d_Subest,AK$7)</f>
        <v>0</v>
      </c>
      <c r="AL30" s="21" t="n">
        <f aca="false">COUNTIFS(d_Marca,$A30,d_Modelo,$B30,d_Subest,AL$7)</f>
        <v>0</v>
      </c>
      <c r="AM30" s="17" t="n">
        <f aca="false">SUM(AC30:AL30)</f>
        <v>0</v>
      </c>
      <c r="AN30" s="21" t="n">
        <f aca="false">COUNTIFS(d_Marca,$A30,d_Modelo,$B30,d_Subest,AN$7)</f>
        <v>2</v>
      </c>
      <c r="AO30" s="21" t="n">
        <f aca="false">COUNTIFS(d_Marca,$A30,d_Modelo,$B30,d_Subest,AO$7)</f>
        <v>8</v>
      </c>
      <c r="AP30" s="21" t="n">
        <f aca="false">COUNTIFS(d_Marca,$A30,d_Modelo,$B30,d_Subest,AP$7)</f>
        <v>0</v>
      </c>
      <c r="AQ30" s="21" t="n">
        <f aca="false">COUNTIFS(d_Marca,$A30,d_Modelo,$B30,d_Subest,AQ$7)</f>
        <v>0</v>
      </c>
      <c r="AR30" s="21" t="n">
        <f aca="false">COUNTIFS(d_Marca,$A30,d_Modelo,$B30,d_Subest,AR$7)</f>
        <v>0</v>
      </c>
      <c r="AS30" s="21" t="n">
        <f aca="false">COUNTIFS(d_Marca,$A30,d_Modelo,$B30,d_Subest,AS$7)</f>
        <v>8</v>
      </c>
      <c r="AT30" s="21" t="n">
        <f aca="false">COUNTIFS(d_Marca,$A30,d_Modelo,$B30,d_Subest,AT$7)</f>
        <v>0</v>
      </c>
      <c r="AU30" s="21" t="n">
        <f aca="false">COUNTIFS(d_Marca,$A30,d_Modelo,$B30,d_Subest,AU$7)</f>
        <v>0</v>
      </c>
      <c r="AV30" s="21" t="n">
        <f aca="false">COUNTIFS(d_Marca,$A30,d_Modelo,$B30,d_Subest,AV$7)</f>
        <v>36</v>
      </c>
      <c r="AW30" s="21" t="n">
        <f aca="false">COUNTIFS(d_Marca,$A30,d_Modelo,$B30,d_Subest,AW$7)</f>
        <v>48</v>
      </c>
      <c r="AX30" s="17" t="n">
        <f aca="false">SUM(AN30:AW30)</f>
        <v>102</v>
      </c>
      <c r="AY30" s="21" t="n">
        <f aca="false">COUNTIFS(d_Marca,$A30,d_Modelo,$B30,d_Subest,AY$7)</f>
        <v>19</v>
      </c>
      <c r="AZ30" s="17" t="n">
        <f aca="false">E30+H30+K30+P30+V30+AB30+AM30+AX30+AY30</f>
        <v>174</v>
      </c>
    </row>
    <row r="31" customFormat="false" ht="15" hidden="false" customHeight="false" outlineLevel="0" collapsed="false">
      <c r="A31" s="19" t="s">
        <v>55</v>
      </c>
      <c r="B31" s="20" t="s">
        <v>55</v>
      </c>
      <c r="C31" s="21" t="n">
        <f aca="false">COUNTIFS(d_Marca,$A31,d_Modelo,$B31,d_Subest,C$7)</f>
        <v>0</v>
      </c>
      <c r="D31" s="21" t="n">
        <f aca="false">COUNTIFS(d_Marca,$A31,d_Modelo,$B31,d_Subest,D$7)</f>
        <v>0</v>
      </c>
      <c r="E31" s="17" t="n">
        <f aca="false">SUM(C31:D31)</f>
        <v>0</v>
      </c>
      <c r="F31" s="21" t="n">
        <f aca="false">COUNTIFS(d_Marca,$A31,d_Modelo,$B31,d_Subest,F$7)</f>
        <v>0</v>
      </c>
      <c r="G31" s="21" t="n">
        <f aca="false">COUNTIFS(d_Marca,$A31,d_Modelo,$B31,d_Subest,G$7)</f>
        <v>0</v>
      </c>
      <c r="H31" s="17" t="n">
        <f aca="false">SUM(F31:G31)</f>
        <v>0</v>
      </c>
      <c r="I31" s="21" t="n">
        <f aca="false">COUNTIFS(d_Marca,$A31,d_Modelo,$B31,d_Subest,I$7)</f>
        <v>16</v>
      </c>
      <c r="J31" s="21" t="n">
        <f aca="false">COUNTIFS(d_Marca,$A31,d_Modelo,$B31,d_Subest,J$7)</f>
        <v>10</v>
      </c>
      <c r="K31" s="17" t="n">
        <f aca="false">SUM(I31:J31)</f>
        <v>26</v>
      </c>
      <c r="L31" s="21" t="n">
        <f aca="false">COUNTIFS(d_Marca,$A31,d_Modelo,$B31,d_Subest,L$7)</f>
        <v>14</v>
      </c>
      <c r="M31" s="21" t="n">
        <f aca="false">COUNTIFS(d_Marca,$A31,d_Modelo,$B31,d_Subest,M$7)</f>
        <v>12</v>
      </c>
      <c r="N31" s="21" t="n">
        <f aca="false">COUNTIFS(d_Marca,$A31,d_Modelo,$B31,d_Subest,N$7)</f>
        <v>12</v>
      </c>
      <c r="O31" s="21" t="n">
        <f aca="false">COUNTIFS(d_Marca,$A31,d_Modelo,$B31,d_Subest,O$7)</f>
        <v>12</v>
      </c>
      <c r="P31" s="17" t="n">
        <f aca="false">SUM(L31:O31)</f>
        <v>50</v>
      </c>
      <c r="Q31" s="21" t="n">
        <f aca="false">COUNTIFS(d_Marca,$A31,d_Modelo,$B31,d_Subest,Q$7)</f>
        <v>12</v>
      </c>
      <c r="R31" s="21" t="n">
        <f aca="false">COUNTIFS(d_Marca,$A31,d_Modelo,$B31,d_Subest,R$7)</f>
        <v>12</v>
      </c>
      <c r="S31" s="21" t="n">
        <f aca="false">COUNTIFS(d_Marca,$A31,d_Modelo,$B31,d_Subest,S$7)</f>
        <v>2</v>
      </c>
      <c r="T31" s="21" t="n">
        <f aca="false">COUNTIFS(d_Marca,$A31,d_Modelo,$B31,d_Subest,T$7)</f>
        <v>9</v>
      </c>
      <c r="U31" s="21" t="n">
        <f aca="false">COUNTIFS(d_Marca,$A31,d_Modelo,$B31,d_Subest,U$7)</f>
        <v>16</v>
      </c>
      <c r="V31" s="17" t="n">
        <f aca="false">SUM(Q31:U31)</f>
        <v>51</v>
      </c>
      <c r="W31" s="21" t="n">
        <f aca="false">COUNTIFS(d_Marca,$A31,d_Modelo,$B31,d_Subest,W$7)</f>
        <v>0</v>
      </c>
      <c r="X31" s="21" t="n">
        <f aca="false">COUNTIFS(d_Marca,$A31,d_Modelo,$B31,d_Subest,X$7)</f>
        <v>0</v>
      </c>
      <c r="Y31" s="21" t="n">
        <f aca="false">COUNTIFS(d_Marca,$A31,d_Modelo,$B31,d_Subest,Y$7)</f>
        <v>0</v>
      </c>
      <c r="Z31" s="21" t="n">
        <f aca="false">COUNTIFS(d_Marca,$A31,d_Modelo,$B31,d_Subest,Z$7)</f>
        <v>0</v>
      </c>
      <c r="AA31" s="21" t="n">
        <f aca="false">COUNTIFS(d_Marca,$A31,d_Modelo,$B31,d_Subest,AA$7)</f>
        <v>0</v>
      </c>
      <c r="AB31" s="17" t="n">
        <f aca="false">SUM(W31:AA31)</f>
        <v>0</v>
      </c>
      <c r="AC31" s="21" t="n">
        <f aca="false">COUNTIFS(d_Marca,$A31,d_Modelo,$B31,d_Subest,AC$7)</f>
        <v>2</v>
      </c>
      <c r="AD31" s="21" t="n">
        <f aca="false">COUNTIFS(d_Marca,$A31,d_Modelo,$B31,d_Subest,AD$7)</f>
        <v>2</v>
      </c>
      <c r="AE31" s="21" t="n">
        <f aca="false">COUNTIFS(d_Marca,$A31,d_Modelo,$B31,d_Subest,AE$7)</f>
        <v>0</v>
      </c>
      <c r="AF31" s="21" t="n">
        <f aca="false">COUNTIFS(d_Marca,$A31,d_Modelo,$B31,d_Subest,AF$7)</f>
        <v>2</v>
      </c>
      <c r="AG31" s="21" t="n">
        <f aca="false">COUNTIFS(d_Marca,$A31,d_Modelo,$B31,d_Subest,AG$7)</f>
        <v>0</v>
      </c>
      <c r="AH31" s="21" t="n">
        <f aca="false">COUNTIFS(d_Marca,$A31,d_Modelo,$B31,d_Subest,AH$7)</f>
        <v>0</v>
      </c>
      <c r="AI31" s="21" t="n">
        <f aca="false">COUNTIFS(d_Marca,$A31,d_Modelo,$B31,d_Subest,AI$7)</f>
        <v>0</v>
      </c>
      <c r="AJ31" s="21" t="n">
        <f aca="false">COUNTIFS(d_Marca,$A31,d_Modelo,$B31,d_Subest,AJ$7)</f>
        <v>0</v>
      </c>
      <c r="AK31" s="21" t="n">
        <f aca="false">COUNTIFS(d_Marca,$A31,d_Modelo,$B31,d_Subest,AK$7)</f>
        <v>0</v>
      </c>
      <c r="AL31" s="21" t="n">
        <f aca="false">COUNTIFS(d_Marca,$A31,d_Modelo,$B31,d_Subest,AL$7)</f>
        <v>0</v>
      </c>
      <c r="AM31" s="17" t="n">
        <f aca="false">SUM(AC31:AL31)</f>
        <v>6</v>
      </c>
      <c r="AN31" s="21" t="n">
        <f aca="false">COUNTIFS(d_Marca,$A31,d_Modelo,$B31,d_Subest,AN$7)</f>
        <v>0</v>
      </c>
      <c r="AO31" s="21" t="n">
        <f aca="false">COUNTIFS(d_Marca,$A31,d_Modelo,$B31,d_Subest,AO$7)</f>
        <v>0</v>
      </c>
      <c r="AP31" s="21" t="n">
        <f aca="false">COUNTIFS(d_Marca,$A31,d_Modelo,$B31,d_Subest,AP$7)</f>
        <v>0</v>
      </c>
      <c r="AQ31" s="21" t="n">
        <f aca="false">COUNTIFS(d_Marca,$A31,d_Modelo,$B31,d_Subest,AQ$7)</f>
        <v>0</v>
      </c>
      <c r="AR31" s="21" t="n">
        <f aca="false">COUNTIFS(d_Marca,$A31,d_Modelo,$B31,d_Subest,AR$7)</f>
        <v>0</v>
      </c>
      <c r="AS31" s="21" t="n">
        <f aca="false">COUNTIFS(d_Marca,$A31,d_Modelo,$B31,d_Subest,AS$7)</f>
        <v>0</v>
      </c>
      <c r="AT31" s="21" t="n">
        <f aca="false">COUNTIFS(d_Marca,$A31,d_Modelo,$B31,d_Subest,AT$7)</f>
        <v>0</v>
      </c>
      <c r="AU31" s="21" t="n">
        <f aca="false">COUNTIFS(d_Marca,$A31,d_Modelo,$B31,d_Subest,AU$7)</f>
        <v>0</v>
      </c>
      <c r="AV31" s="21" t="n">
        <f aca="false">COUNTIFS(d_Marca,$A31,d_Modelo,$B31,d_Subest,AV$7)</f>
        <v>0</v>
      </c>
      <c r="AW31" s="21" t="n">
        <f aca="false">COUNTIFS(d_Marca,$A31,d_Modelo,$B31,d_Subest,AW$7)</f>
        <v>0</v>
      </c>
      <c r="AX31" s="17" t="n">
        <f aca="false">SUM(AN31:AW31)</f>
        <v>0</v>
      </c>
      <c r="AY31" s="21" t="n">
        <f aca="false">COUNTIFS(d_Marca,$A31,d_Modelo,$B31,d_Subest,AY$7)</f>
        <v>0</v>
      </c>
      <c r="AZ31" s="17" t="n">
        <f aca="false">E31+H31+K31+P31+V31+AB31+AM31+AX31+AY31</f>
        <v>133</v>
      </c>
    </row>
    <row r="32" customFormat="false" ht="15" hidden="false" customHeight="false" outlineLevel="0" collapsed="false">
      <c r="A32" s="19" t="s">
        <v>55</v>
      </c>
      <c r="B32" s="20" t="s">
        <v>58</v>
      </c>
      <c r="C32" s="21" t="n">
        <f aca="false">COUNTIFS(d_Marca,$A32,d_Modelo,$B32,d_Subest,C$7)</f>
        <v>0</v>
      </c>
      <c r="D32" s="21" t="n">
        <f aca="false">COUNTIFS(d_Marca,$A32,d_Modelo,$B32,d_Subest,D$7)</f>
        <v>0</v>
      </c>
      <c r="E32" s="17" t="n">
        <f aca="false">SUM(C32:D32)</f>
        <v>0</v>
      </c>
      <c r="F32" s="21" t="n">
        <f aca="false">COUNTIFS(d_Marca,$A32,d_Modelo,$B32,d_Subest,F$7)</f>
        <v>4</v>
      </c>
      <c r="G32" s="21" t="n">
        <f aca="false">COUNTIFS(d_Marca,$A32,d_Modelo,$B32,d_Subest,G$7)</f>
        <v>12</v>
      </c>
      <c r="H32" s="17" t="n">
        <f aca="false">SUM(F32:G32)</f>
        <v>16</v>
      </c>
      <c r="I32" s="21" t="n">
        <f aca="false">COUNTIFS(d_Marca,$A32,d_Modelo,$B32,d_Subest,I$7)</f>
        <v>0</v>
      </c>
      <c r="J32" s="21" t="n">
        <f aca="false">COUNTIFS(d_Marca,$A32,d_Modelo,$B32,d_Subest,J$7)</f>
        <v>0</v>
      </c>
      <c r="K32" s="17" t="n">
        <f aca="false">SUM(I32:J32)</f>
        <v>0</v>
      </c>
      <c r="L32" s="21" t="n">
        <f aca="false">COUNTIFS(d_Marca,$A32,d_Modelo,$B32,d_Subest,L$7)</f>
        <v>0</v>
      </c>
      <c r="M32" s="21" t="n">
        <f aca="false">COUNTIFS(d_Marca,$A32,d_Modelo,$B32,d_Subest,M$7)</f>
        <v>0</v>
      </c>
      <c r="N32" s="21" t="n">
        <f aca="false">COUNTIFS(d_Marca,$A32,d_Modelo,$B32,d_Subest,N$7)</f>
        <v>0</v>
      </c>
      <c r="O32" s="21" t="n">
        <f aca="false">COUNTIFS(d_Marca,$A32,d_Modelo,$B32,d_Subest,O$7)</f>
        <v>0</v>
      </c>
      <c r="P32" s="17" t="n">
        <f aca="false">SUM(L32:O32)</f>
        <v>0</v>
      </c>
      <c r="Q32" s="21" t="n">
        <f aca="false">COUNTIFS(d_Marca,$A32,d_Modelo,$B32,d_Subest,Q$7)</f>
        <v>0</v>
      </c>
      <c r="R32" s="21" t="n">
        <f aca="false">COUNTIFS(d_Marca,$A32,d_Modelo,$B32,d_Subest,R$7)</f>
        <v>0</v>
      </c>
      <c r="S32" s="21" t="n">
        <f aca="false">COUNTIFS(d_Marca,$A32,d_Modelo,$B32,d_Subest,S$7)</f>
        <v>0</v>
      </c>
      <c r="T32" s="21" t="n">
        <f aca="false">COUNTIFS(d_Marca,$A32,d_Modelo,$B32,d_Subest,T$7)</f>
        <v>0</v>
      </c>
      <c r="U32" s="21" t="n">
        <f aca="false">COUNTIFS(d_Marca,$A32,d_Modelo,$B32,d_Subest,U$7)</f>
        <v>0</v>
      </c>
      <c r="V32" s="17" t="n">
        <f aca="false">SUM(Q32:U32)</f>
        <v>0</v>
      </c>
      <c r="W32" s="21" t="n">
        <f aca="false">COUNTIFS(d_Marca,$A32,d_Modelo,$B32,d_Subest,W$7)</f>
        <v>0</v>
      </c>
      <c r="X32" s="21" t="n">
        <f aca="false">COUNTIFS(d_Marca,$A32,d_Modelo,$B32,d_Subest,X$7)</f>
        <v>0</v>
      </c>
      <c r="Y32" s="21" t="n">
        <f aca="false">COUNTIFS(d_Marca,$A32,d_Modelo,$B32,d_Subest,Y$7)</f>
        <v>0</v>
      </c>
      <c r="Z32" s="21" t="n">
        <f aca="false">COUNTIFS(d_Marca,$A32,d_Modelo,$B32,d_Subest,Z$7)</f>
        <v>0</v>
      </c>
      <c r="AA32" s="21" t="n">
        <f aca="false">COUNTIFS(d_Marca,$A32,d_Modelo,$B32,d_Subest,AA$7)</f>
        <v>0</v>
      </c>
      <c r="AB32" s="17" t="n">
        <f aca="false">SUM(W32:AA32)</f>
        <v>0</v>
      </c>
      <c r="AC32" s="21" t="n">
        <f aca="false">COUNTIFS(d_Marca,$A32,d_Modelo,$B32,d_Subest,AC$7)</f>
        <v>0</v>
      </c>
      <c r="AD32" s="21" t="n">
        <f aca="false">COUNTIFS(d_Marca,$A32,d_Modelo,$B32,d_Subest,AD$7)</f>
        <v>0</v>
      </c>
      <c r="AE32" s="21" t="n">
        <f aca="false">COUNTIFS(d_Marca,$A32,d_Modelo,$B32,d_Subest,AE$7)</f>
        <v>0</v>
      </c>
      <c r="AF32" s="21" t="n">
        <f aca="false">COUNTIFS(d_Marca,$A32,d_Modelo,$B32,d_Subest,AF$7)</f>
        <v>0</v>
      </c>
      <c r="AG32" s="21" t="n">
        <f aca="false">COUNTIFS(d_Marca,$A32,d_Modelo,$B32,d_Subest,AG$7)</f>
        <v>0</v>
      </c>
      <c r="AH32" s="21" t="n">
        <f aca="false">COUNTIFS(d_Marca,$A32,d_Modelo,$B32,d_Subest,AH$7)</f>
        <v>0</v>
      </c>
      <c r="AI32" s="21" t="n">
        <f aca="false">COUNTIFS(d_Marca,$A32,d_Modelo,$B32,d_Subest,AI$7)</f>
        <v>0</v>
      </c>
      <c r="AJ32" s="21" t="n">
        <f aca="false">COUNTIFS(d_Marca,$A32,d_Modelo,$B32,d_Subest,AJ$7)</f>
        <v>0</v>
      </c>
      <c r="AK32" s="21" t="n">
        <f aca="false">COUNTIFS(d_Marca,$A32,d_Modelo,$B32,d_Subest,AK$7)</f>
        <v>0</v>
      </c>
      <c r="AL32" s="21" t="n">
        <f aca="false">COUNTIFS(d_Marca,$A32,d_Modelo,$B32,d_Subest,AL$7)</f>
        <v>0</v>
      </c>
      <c r="AM32" s="17" t="n">
        <f aca="false">SUM(AC32:AL32)</f>
        <v>0</v>
      </c>
      <c r="AN32" s="21" t="n">
        <f aca="false">COUNTIFS(d_Marca,$A32,d_Modelo,$B32,d_Subest,AN$7)</f>
        <v>0</v>
      </c>
      <c r="AO32" s="21" t="n">
        <f aca="false">COUNTIFS(d_Marca,$A32,d_Modelo,$B32,d_Subest,AO$7)</f>
        <v>0</v>
      </c>
      <c r="AP32" s="21" t="n">
        <f aca="false">COUNTIFS(d_Marca,$A32,d_Modelo,$B32,d_Subest,AP$7)</f>
        <v>0</v>
      </c>
      <c r="AQ32" s="21" t="n">
        <f aca="false">COUNTIFS(d_Marca,$A32,d_Modelo,$B32,d_Subest,AQ$7)</f>
        <v>0</v>
      </c>
      <c r="AR32" s="21" t="n">
        <f aca="false">COUNTIFS(d_Marca,$A32,d_Modelo,$B32,d_Subest,AR$7)</f>
        <v>0</v>
      </c>
      <c r="AS32" s="21" t="n">
        <f aca="false">COUNTIFS(d_Marca,$A32,d_Modelo,$B32,d_Subest,AS$7)</f>
        <v>0</v>
      </c>
      <c r="AT32" s="21" t="n">
        <f aca="false">COUNTIFS(d_Marca,$A32,d_Modelo,$B32,d_Subest,AT$7)</f>
        <v>0</v>
      </c>
      <c r="AU32" s="21" t="n">
        <f aca="false">COUNTIFS(d_Marca,$A32,d_Modelo,$B32,d_Subest,AU$7)</f>
        <v>0</v>
      </c>
      <c r="AV32" s="21" t="n">
        <f aca="false">COUNTIFS(d_Marca,$A32,d_Modelo,$B32,d_Subest,AV$7)</f>
        <v>0</v>
      </c>
      <c r="AW32" s="21" t="n">
        <f aca="false">COUNTIFS(d_Marca,$A32,d_Modelo,$B32,d_Subest,AW$7)</f>
        <v>0</v>
      </c>
      <c r="AX32" s="17" t="n">
        <f aca="false">SUM(AN32:AW32)</f>
        <v>0</v>
      </c>
      <c r="AY32" s="21" t="n">
        <f aca="false">COUNTIFS(d_Marca,$A32,d_Modelo,$B32,d_Subest,AY$7)</f>
        <v>4</v>
      </c>
      <c r="AZ32" s="17" t="n">
        <f aca="false">E32+H32+K32+P32+V32+AB32+AM32+AX32+AY32</f>
        <v>20</v>
      </c>
    </row>
    <row r="33" customFormat="false" ht="15" hidden="false" customHeight="false" outlineLevel="0" collapsed="false">
      <c r="A33" s="19" t="s">
        <v>55</v>
      </c>
      <c r="B33" s="20" t="s">
        <v>59</v>
      </c>
      <c r="C33" s="21" t="n">
        <f aca="false">COUNTIFS(d_Marca,$A33,d_Modelo,$B33,d_Subest,C$7)</f>
        <v>0</v>
      </c>
      <c r="D33" s="21" t="n">
        <f aca="false">COUNTIFS(d_Marca,$A33,d_Modelo,$B33,d_Subest,D$7)</f>
        <v>0</v>
      </c>
      <c r="E33" s="17" t="n">
        <f aca="false">SUM(C33:D33)</f>
        <v>0</v>
      </c>
      <c r="F33" s="21" t="n">
        <f aca="false">COUNTIFS(d_Marca,$A33,d_Modelo,$B33,d_Subest,F$7)</f>
        <v>0</v>
      </c>
      <c r="G33" s="21" t="n">
        <f aca="false">COUNTIFS(d_Marca,$A33,d_Modelo,$B33,d_Subest,G$7)</f>
        <v>0</v>
      </c>
      <c r="H33" s="17" t="n">
        <f aca="false">SUM(F33:G33)</f>
        <v>0</v>
      </c>
      <c r="I33" s="21" t="n">
        <f aca="false">COUNTIFS(d_Marca,$A33,d_Modelo,$B33,d_Subest,I$7)</f>
        <v>0</v>
      </c>
      <c r="J33" s="21" t="n">
        <f aca="false">COUNTIFS(d_Marca,$A33,d_Modelo,$B33,d_Subest,J$7)</f>
        <v>0</v>
      </c>
      <c r="K33" s="17" t="n">
        <f aca="false">SUM(I33:J33)</f>
        <v>0</v>
      </c>
      <c r="L33" s="21" t="n">
        <f aca="false">COUNTIFS(d_Marca,$A33,d_Modelo,$B33,d_Subest,L$7)</f>
        <v>0</v>
      </c>
      <c r="M33" s="21" t="n">
        <f aca="false">COUNTIFS(d_Marca,$A33,d_Modelo,$B33,d_Subest,M$7)</f>
        <v>0</v>
      </c>
      <c r="N33" s="21" t="n">
        <f aca="false">COUNTIFS(d_Marca,$A33,d_Modelo,$B33,d_Subest,N$7)</f>
        <v>0</v>
      </c>
      <c r="O33" s="21" t="n">
        <f aca="false">COUNTIFS(d_Marca,$A33,d_Modelo,$B33,d_Subest,O$7)</f>
        <v>0</v>
      </c>
      <c r="P33" s="17" t="n">
        <f aca="false">SUM(L33:O33)</f>
        <v>0</v>
      </c>
      <c r="Q33" s="21" t="n">
        <f aca="false">COUNTIFS(d_Marca,$A33,d_Modelo,$B33,d_Subest,Q$7)</f>
        <v>0</v>
      </c>
      <c r="R33" s="21" t="n">
        <f aca="false">COUNTIFS(d_Marca,$A33,d_Modelo,$B33,d_Subest,R$7)</f>
        <v>0</v>
      </c>
      <c r="S33" s="21" t="n">
        <f aca="false">COUNTIFS(d_Marca,$A33,d_Modelo,$B33,d_Subest,S$7)</f>
        <v>0</v>
      </c>
      <c r="T33" s="21" t="n">
        <f aca="false">COUNTIFS(d_Marca,$A33,d_Modelo,$B33,d_Subest,T$7)</f>
        <v>0</v>
      </c>
      <c r="U33" s="21" t="n">
        <f aca="false">COUNTIFS(d_Marca,$A33,d_Modelo,$B33,d_Subest,U$7)</f>
        <v>0</v>
      </c>
      <c r="V33" s="17" t="n">
        <f aca="false">SUM(Q33:U33)</f>
        <v>0</v>
      </c>
      <c r="W33" s="21" t="n">
        <f aca="false">COUNTIFS(d_Marca,$A33,d_Modelo,$B33,d_Subest,W$7)</f>
        <v>0</v>
      </c>
      <c r="X33" s="21" t="n">
        <f aca="false">COUNTIFS(d_Marca,$A33,d_Modelo,$B33,d_Subest,X$7)</f>
        <v>0</v>
      </c>
      <c r="Y33" s="21" t="n">
        <f aca="false">COUNTIFS(d_Marca,$A33,d_Modelo,$B33,d_Subest,Y$7)</f>
        <v>0</v>
      </c>
      <c r="Z33" s="21" t="n">
        <f aca="false">COUNTIFS(d_Marca,$A33,d_Modelo,$B33,d_Subest,Z$7)</f>
        <v>0</v>
      </c>
      <c r="AA33" s="21" t="n">
        <f aca="false">COUNTIFS(d_Marca,$A33,d_Modelo,$B33,d_Subest,AA$7)</f>
        <v>0</v>
      </c>
      <c r="AB33" s="17" t="n">
        <f aca="false">SUM(W33:AA33)</f>
        <v>0</v>
      </c>
      <c r="AC33" s="21" t="n">
        <f aca="false">COUNTIFS(d_Marca,$A33,d_Modelo,$B33,d_Subest,AC$7)</f>
        <v>0</v>
      </c>
      <c r="AD33" s="21" t="n">
        <f aca="false">COUNTIFS(d_Marca,$A33,d_Modelo,$B33,d_Subest,AD$7)</f>
        <v>0</v>
      </c>
      <c r="AE33" s="21" t="n">
        <f aca="false">COUNTIFS(d_Marca,$A33,d_Modelo,$B33,d_Subest,AE$7)</f>
        <v>0</v>
      </c>
      <c r="AF33" s="21" t="n">
        <f aca="false">COUNTIFS(d_Marca,$A33,d_Modelo,$B33,d_Subest,AF$7)</f>
        <v>0</v>
      </c>
      <c r="AG33" s="21" t="n">
        <f aca="false">COUNTIFS(d_Marca,$A33,d_Modelo,$B33,d_Subest,AG$7)</f>
        <v>0</v>
      </c>
      <c r="AH33" s="21" t="n">
        <f aca="false">COUNTIFS(d_Marca,$A33,d_Modelo,$B33,d_Subest,AH$7)</f>
        <v>0</v>
      </c>
      <c r="AI33" s="21" t="n">
        <f aca="false">COUNTIFS(d_Marca,$A33,d_Modelo,$B33,d_Subest,AI$7)</f>
        <v>0</v>
      </c>
      <c r="AJ33" s="21" t="n">
        <f aca="false">COUNTIFS(d_Marca,$A33,d_Modelo,$B33,d_Subest,AJ$7)</f>
        <v>0</v>
      </c>
      <c r="AK33" s="21" t="n">
        <f aca="false">COUNTIFS(d_Marca,$A33,d_Modelo,$B33,d_Subest,AK$7)</f>
        <v>0</v>
      </c>
      <c r="AL33" s="21" t="n">
        <f aca="false">COUNTIFS(d_Marca,$A33,d_Modelo,$B33,d_Subest,AL$7)</f>
        <v>0</v>
      </c>
      <c r="AM33" s="17" t="n">
        <f aca="false">SUM(AC33:AL33)</f>
        <v>0</v>
      </c>
      <c r="AN33" s="21" t="n">
        <f aca="false">COUNTIFS(d_Marca,$A33,d_Modelo,$B33,d_Subest,AN$7)</f>
        <v>12</v>
      </c>
      <c r="AO33" s="21" t="n">
        <f aca="false">COUNTIFS(d_Marca,$A33,d_Modelo,$B33,d_Subest,AO$7)</f>
        <v>0</v>
      </c>
      <c r="AP33" s="21" t="n">
        <f aca="false">COUNTIFS(d_Marca,$A33,d_Modelo,$B33,d_Subest,AP$7)</f>
        <v>0</v>
      </c>
      <c r="AQ33" s="21" t="n">
        <f aca="false">COUNTIFS(d_Marca,$A33,d_Modelo,$B33,d_Subest,AQ$7)</f>
        <v>0</v>
      </c>
      <c r="AR33" s="21" t="n">
        <f aca="false">COUNTIFS(d_Marca,$A33,d_Modelo,$B33,d_Subest,AR$7)</f>
        <v>0</v>
      </c>
      <c r="AS33" s="21" t="n">
        <f aca="false">COUNTIFS(d_Marca,$A33,d_Modelo,$B33,d_Subest,AS$7)</f>
        <v>0</v>
      </c>
      <c r="AT33" s="21" t="n">
        <f aca="false">COUNTIFS(d_Marca,$A33,d_Modelo,$B33,d_Subest,AT$7)</f>
        <v>0</v>
      </c>
      <c r="AU33" s="21" t="n">
        <f aca="false">COUNTIFS(d_Marca,$A33,d_Modelo,$B33,d_Subest,AU$7)</f>
        <v>0</v>
      </c>
      <c r="AV33" s="21" t="n">
        <f aca="false">COUNTIFS(d_Marca,$A33,d_Modelo,$B33,d_Subest,AV$7)</f>
        <v>0</v>
      </c>
      <c r="AW33" s="21" t="n">
        <f aca="false">COUNTIFS(d_Marca,$A33,d_Modelo,$B33,d_Subest,AW$7)</f>
        <v>0</v>
      </c>
      <c r="AX33" s="17" t="n">
        <f aca="false">SUM(AN33:AW33)</f>
        <v>12</v>
      </c>
      <c r="AY33" s="21" t="n">
        <f aca="false">COUNTIFS(d_Marca,$A33,d_Modelo,$B33,d_Subest,AY$7)</f>
        <v>0</v>
      </c>
      <c r="AZ33" s="17" t="n">
        <f aca="false">E33+H33+K33+P33+V33+AB33+AM33+AX33+AY33</f>
        <v>12</v>
      </c>
    </row>
    <row r="34" customFormat="false" ht="15" hidden="false" customHeight="false" outlineLevel="0" collapsed="false">
      <c r="A34" s="19" t="s">
        <v>55</v>
      </c>
      <c r="B34" s="20" t="s">
        <v>60</v>
      </c>
      <c r="C34" s="21" t="n">
        <f aca="false">COUNTIFS(d_Marca,$A34,d_Modelo,$B34,d_Subest,C$7)</f>
        <v>0</v>
      </c>
      <c r="D34" s="21" t="n">
        <f aca="false">COUNTIFS(d_Marca,$A34,d_Modelo,$B34,d_Subest,D$7)</f>
        <v>0</v>
      </c>
      <c r="E34" s="17" t="n">
        <f aca="false">SUM(C34:D34)</f>
        <v>0</v>
      </c>
      <c r="F34" s="21" t="n">
        <f aca="false">COUNTIFS(d_Marca,$A34,d_Modelo,$B34,d_Subest,F$7)</f>
        <v>0</v>
      </c>
      <c r="G34" s="21" t="n">
        <f aca="false">COUNTIFS(d_Marca,$A34,d_Modelo,$B34,d_Subest,G$7)</f>
        <v>0</v>
      </c>
      <c r="H34" s="17" t="n">
        <f aca="false">SUM(F34:G34)</f>
        <v>0</v>
      </c>
      <c r="I34" s="21" t="n">
        <f aca="false">COUNTIFS(d_Marca,$A34,d_Modelo,$B34,d_Subest,I$7)</f>
        <v>0</v>
      </c>
      <c r="J34" s="21" t="n">
        <f aca="false">COUNTIFS(d_Marca,$A34,d_Modelo,$B34,d_Subest,J$7)</f>
        <v>0</v>
      </c>
      <c r="K34" s="17" t="n">
        <f aca="false">SUM(I34:J34)</f>
        <v>0</v>
      </c>
      <c r="L34" s="21" t="n">
        <f aca="false">COUNTIFS(d_Marca,$A34,d_Modelo,$B34,d_Subest,L$7)</f>
        <v>0</v>
      </c>
      <c r="M34" s="21" t="n">
        <f aca="false">COUNTIFS(d_Marca,$A34,d_Modelo,$B34,d_Subest,M$7)</f>
        <v>0</v>
      </c>
      <c r="N34" s="21" t="n">
        <f aca="false">COUNTIFS(d_Marca,$A34,d_Modelo,$B34,d_Subest,N$7)</f>
        <v>0</v>
      </c>
      <c r="O34" s="21" t="n">
        <f aca="false">COUNTIFS(d_Marca,$A34,d_Modelo,$B34,d_Subest,O$7)</f>
        <v>0</v>
      </c>
      <c r="P34" s="17" t="n">
        <f aca="false">SUM(L34:O34)</f>
        <v>0</v>
      </c>
      <c r="Q34" s="21" t="n">
        <f aca="false">COUNTIFS(d_Marca,$A34,d_Modelo,$B34,d_Subest,Q$7)</f>
        <v>0</v>
      </c>
      <c r="R34" s="21" t="n">
        <f aca="false">COUNTIFS(d_Marca,$A34,d_Modelo,$B34,d_Subest,R$7)</f>
        <v>0</v>
      </c>
      <c r="S34" s="21" t="n">
        <f aca="false">COUNTIFS(d_Marca,$A34,d_Modelo,$B34,d_Subest,S$7)</f>
        <v>0</v>
      </c>
      <c r="T34" s="21" t="n">
        <f aca="false">COUNTIFS(d_Marca,$A34,d_Modelo,$B34,d_Subest,T$7)</f>
        <v>0</v>
      </c>
      <c r="U34" s="21" t="n">
        <f aca="false">COUNTIFS(d_Marca,$A34,d_Modelo,$B34,d_Subest,U$7)</f>
        <v>0</v>
      </c>
      <c r="V34" s="17" t="n">
        <f aca="false">SUM(Q34:U34)</f>
        <v>0</v>
      </c>
      <c r="W34" s="21" t="n">
        <f aca="false">COUNTIFS(d_Marca,$A34,d_Modelo,$B34,d_Subest,W$7)</f>
        <v>0</v>
      </c>
      <c r="X34" s="21" t="n">
        <f aca="false">COUNTIFS(d_Marca,$A34,d_Modelo,$B34,d_Subest,X$7)</f>
        <v>0</v>
      </c>
      <c r="Y34" s="21" t="n">
        <f aca="false">COUNTIFS(d_Marca,$A34,d_Modelo,$B34,d_Subest,Y$7)</f>
        <v>0</v>
      </c>
      <c r="Z34" s="21" t="n">
        <f aca="false">COUNTIFS(d_Marca,$A34,d_Modelo,$B34,d_Subest,Z$7)</f>
        <v>0</v>
      </c>
      <c r="AA34" s="21" t="n">
        <f aca="false">COUNTIFS(d_Marca,$A34,d_Modelo,$B34,d_Subest,AA$7)</f>
        <v>0</v>
      </c>
      <c r="AB34" s="17" t="n">
        <f aca="false">SUM(W34:AA34)</f>
        <v>0</v>
      </c>
      <c r="AC34" s="21" t="n">
        <f aca="false">COUNTIFS(d_Marca,$A34,d_Modelo,$B34,d_Subest,AC$7)</f>
        <v>0</v>
      </c>
      <c r="AD34" s="21" t="n">
        <f aca="false">COUNTIFS(d_Marca,$A34,d_Modelo,$B34,d_Subest,AD$7)</f>
        <v>0</v>
      </c>
      <c r="AE34" s="21" t="n">
        <f aca="false">COUNTIFS(d_Marca,$A34,d_Modelo,$B34,d_Subest,AE$7)</f>
        <v>0</v>
      </c>
      <c r="AF34" s="21" t="n">
        <f aca="false">COUNTIFS(d_Marca,$A34,d_Modelo,$B34,d_Subest,AF$7)</f>
        <v>0</v>
      </c>
      <c r="AG34" s="21" t="n">
        <f aca="false">COUNTIFS(d_Marca,$A34,d_Modelo,$B34,d_Subest,AG$7)</f>
        <v>0</v>
      </c>
      <c r="AH34" s="21" t="n">
        <f aca="false">COUNTIFS(d_Marca,$A34,d_Modelo,$B34,d_Subest,AH$7)</f>
        <v>0</v>
      </c>
      <c r="AI34" s="21" t="n">
        <f aca="false">COUNTIFS(d_Marca,$A34,d_Modelo,$B34,d_Subest,AI$7)</f>
        <v>0</v>
      </c>
      <c r="AJ34" s="21" t="n">
        <f aca="false">COUNTIFS(d_Marca,$A34,d_Modelo,$B34,d_Subest,AJ$7)</f>
        <v>0</v>
      </c>
      <c r="AK34" s="21" t="n">
        <f aca="false">COUNTIFS(d_Marca,$A34,d_Modelo,$B34,d_Subest,AK$7)</f>
        <v>0</v>
      </c>
      <c r="AL34" s="21" t="n">
        <f aca="false">COUNTIFS(d_Marca,$A34,d_Modelo,$B34,d_Subest,AL$7)</f>
        <v>0</v>
      </c>
      <c r="AM34" s="17" t="n">
        <f aca="false">SUM(AC34:AL34)</f>
        <v>0</v>
      </c>
      <c r="AN34" s="21" t="n">
        <f aca="false">COUNTIFS(d_Marca,$A34,d_Modelo,$B34,d_Subest,AN$7)</f>
        <v>0</v>
      </c>
      <c r="AO34" s="21" t="n">
        <f aca="false">COUNTIFS(d_Marca,$A34,d_Modelo,$B34,d_Subest,AO$7)</f>
        <v>0</v>
      </c>
      <c r="AP34" s="21" t="n">
        <f aca="false">COUNTIFS(d_Marca,$A34,d_Modelo,$B34,d_Subest,AP$7)</f>
        <v>0</v>
      </c>
      <c r="AQ34" s="21" t="n">
        <f aca="false">COUNTIFS(d_Marca,$A34,d_Modelo,$B34,d_Subest,AQ$7)</f>
        <v>0</v>
      </c>
      <c r="AR34" s="21" t="n">
        <f aca="false">COUNTIFS(d_Marca,$A34,d_Modelo,$B34,d_Subest,AR$7)</f>
        <v>0</v>
      </c>
      <c r="AS34" s="21" t="n">
        <f aca="false">COUNTIFS(d_Marca,$A34,d_Modelo,$B34,d_Subest,AS$7)</f>
        <v>0</v>
      </c>
      <c r="AT34" s="21" t="n">
        <f aca="false">COUNTIFS(d_Marca,$A34,d_Modelo,$B34,d_Subest,AT$7)</f>
        <v>0</v>
      </c>
      <c r="AU34" s="21" t="n">
        <f aca="false">COUNTIFS(d_Marca,$A34,d_Modelo,$B34,d_Subest,AU$7)</f>
        <v>0</v>
      </c>
      <c r="AV34" s="21" t="n">
        <f aca="false">COUNTIFS(d_Marca,$A34,d_Modelo,$B34,d_Subest,AV$7)</f>
        <v>2</v>
      </c>
      <c r="AW34" s="21" t="n">
        <f aca="false">COUNTIFS(d_Marca,$A34,d_Modelo,$B34,d_Subest,AW$7)</f>
        <v>2</v>
      </c>
      <c r="AX34" s="17" t="n">
        <f aca="false">SUM(AN34:AW34)</f>
        <v>4</v>
      </c>
      <c r="AY34" s="21" t="n">
        <f aca="false">COUNTIFS(d_Marca,$A34,d_Modelo,$B34,d_Subest,AY$7)</f>
        <v>0</v>
      </c>
      <c r="AZ34" s="17" t="n">
        <f aca="false">E34+H34+K34+P34+V34+AB34+AM34+AX34+AY34</f>
        <v>4</v>
      </c>
    </row>
    <row r="35" customFormat="false" ht="15" hidden="false" customHeight="false" outlineLevel="0" collapsed="false">
      <c r="A35" s="19" t="s">
        <v>55</v>
      </c>
      <c r="B35" s="20" t="s">
        <v>36</v>
      </c>
      <c r="C35" s="21" t="n">
        <f aca="false">COUNTIFS(d_Marca,$A35,d_Modelo,$B35,d_Subest,C$7)</f>
        <v>2</v>
      </c>
      <c r="D35" s="21" t="n">
        <f aca="false">COUNTIFS(d_Marca,$A35,d_Modelo,$B35,d_Subest,D$7)</f>
        <v>0</v>
      </c>
      <c r="E35" s="17" t="n">
        <f aca="false">SUM(C35:D35)</f>
        <v>2</v>
      </c>
      <c r="F35" s="21" t="n">
        <f aca="false">COUNTIFS(d_Marca,$A35,d_Modelo,$B35,d_Subest,F$7)</f>
        <v>0</v>
      </c>
      <c r="G35" s="21" t="n">
        <f aca="false">COUNTIFS(d_Marca,$A35,d_Modelo,$B35,d_Subest,G$7)</f>
        <v>0</v>
      </c>
      <c r="H35" s="17" t="n">
        <f aca="false">SUM(F35:G35)</f>
        <v>0</v>
      </c>
      <c r="I35" s="21" t="n">
        <f aca="false">COUNTIFS(d_Marca,$A35,d_Modelo,$B35,d_Subest,I$7)</f>
        <v>0</v>
      </c>
      <c r="J35" s="21" t="n">
        <f aca="false">COUNTIFS(d_Marca,$A35,d_Modelo,$B35,d_Subest,J$7)</f>
        <v>0</v>
      </c>
      <c r="K35" s="17" t="n">
        <f aca="false">SUM(I35:J35)</f>
        <v>0</v>
      </c>
      <c r="L35" s="21" t="n">
        <f aca="false">COUNTIFS(d_Marca,$A35,d_Modelo,$B35,d_Subest,L$7)</f>
        <v>0</v>
      </c>
      <c r="M35" s="21" t="n">
        <f aca="false">COUNTIFS(d_Marca,$A35,d_Modelo,$B35,d_Subest,M$7)</f>
        <v>0</v>
      </c>
      <c r="N35" s="21" t="n">
        <f aca="false">COUNTIFS(d_Marca,$A35,d_Modelo,$B35,d_Subest,N$7)</f>
        <v>0</v>
      </c>
      <c r="O35" s="21" t="n">
        <f aca="false">COUNTIFS(d_Marca,$A35,d_Modelo,$B35,d_Subest,O$7)</f>
        <v>0</v>
      </c>
      <c r="P35" s="17" t="n">
        <f aca="false">SUM(L35:O35)</f>
        <v>0</v>
      </c>
      <c r="Q35" s="21" t="n">
        <f aca="false">COUNTIFS(d_Marca,$A35,d_Modelo,$B35,d_Subest,Q$7)</f>
        <v>0</v>
      </c>
      <c r="R35" s="21" t="n">
        <f aca="false">COUNTIFS(d_Marca,$A35,d_Modelo,$B35,d_Subest,R$7)</f>
        <v>0</v>
      </c>
      <c r="S35" s="21" t="n">
        <f aca="false">COUNTIFS(d_Marca,$A35,d_Modelo,$B35,d_Subest,S$7)</f>
        <v>0</v>
      </c>
      <c r="T35" s="21" t="n">
        <f aca="false">COUNTIFS(d_Marca,$A35,d_Modelo,$B35,d_Subest,T$7)</f>
        <v>0</v>
      </c>
      <c r="U35" s="21" t="n">
        <f aca="false">COUNTIFS(d_Marca,$A35,d_Modelo,$B35,d_Subest,U$7)</f>
        <v>0</v>
      </c>
      <c r="V35" s="17" t="n">
        <f aca="false">SUM(Q35:U35)</f>
        <v>0</v>
      </c>
      <c r="W35" s="21" t="n">
        <f aca="false">COUNTIFS(d_Marca,$A35,d_Modelo,$B35,d_Subest,W$7)</f>
        <v>0</v>
      </c>
      <c r="X35" s="21" t="n">
        <f aca="false">COUNTIFS(d_Marca,$A35,d_Modelo,$B35,d_Subest,X$7)</f>
        <v>0</v>
      </c>
      <c r="Y35" s="21" t="n">
        <f aca="false">COUNTIFS(d_Marca,$A35,d_Modelo,$B35,d_Subest,Y$7)</f>
        <v>0</v>
      </c>
      <c r="Z35" s="21" t="n">
        <f aca="false">COUNTIFS(d_Marca,$A35,d_Modelo,$B35,d_Subest,Z$7)</f>
        <v>0</v>
      </c>
      <c r="AA35" s="21" t="n">
        <f aca="false">COUNTIFS(d_Marca,$A35,d_Modelo,$B35,d_Subest,AA$7)</f>
        <v>0</v>
      </c>
      <c r="AB35" s="17" t="n">
        <f aca="false">SUM(W35:AA35)</f>
        <v>0</v>
      </c>
      <c r="AC35" s="21" t="n">
        <f aca="false">COUNTIFS(d_Marca,$A35,d_Modelo,$B35,d_Subest,AC$7)</f>
        <v>0</v>
      </c>
      <c r="AD35" s="21" t="n">
        <f aca="false">COUNTIFS(d_Marca,$A35,d_Modelo,$B35,d_Subest,AD$7)</f>
        <v>0</v>
      </c>
      <c r="AE35" s="21" t="n">
        <f aca="false">COUNTIFS(d_Marca,$A35,d_Modelo,$B35,d_Subest,AE$7)</f>
        <v>0</v>
      </c>
      <c r="AF35" s="21" t="n">
        <f aca="false">COUNTIFS(d_Marca,$A35,d_Modelo,$B35,d_Subest,AF$7)</f>
        <v>0</v>
      </c>
      <c r="AG35" s="21" t="n">
        <f aca="false">COUNTIFS(d_Marca,$A35,d_Modelo,$B35,d_Subest,AG$7)</f>
        <v>0</v>
      </c>
      <c r="AH35" s="21" t="n">
        <f aca="false">COUNTIFS(d_Marca,$A35,d_Modelo,$B35,d_Subest,AH$7)</f>
        <v>0</v>
      </c>
      <c r="AI35" s="21" t="n">
        <f aca="false">COUNTIFS(d_Marca,$A35,d_Modelo,$B35,d_Subest,AI$7)</f>
        <v>0</v>
      </c>
      <c r="AJ35" s="21" t="n">
        <f aca="false">COUNTIFS(d_Marca,$A35,d_Modelo,$B35,d_Subest,AJ$7)</f>
        <v>0</v>
      </c>
      <c r="AK35" s="21" t="n">
        <f aca="false">COUNTIFS(d_Marca,$A35,d_Modelo,$B35,d_Subest,AK$7)</f>
        <v>0</v>
      </c>
      <c r="AL35" s="21" t="n">
        <f aca="false">COUNTIFS(d_Marca,$A35,d_Modelo,$B35,d_Subest,AL$7)</f>
        <v>0</v>
      </c>
      <c r="AM35" s="17" t="n">
        <f aca="false">SUM(AC35:AL35)</f>
        <v>0</v>
      </c>
      <c r="AN35" s="21" t="n">
        <f aca="false">COUNTIFS(d_Marca,$A35,d_Modelo,$B35,d_Subest,AN$7)</f>
        <v>0</v>
      </c>
      <c r="AO35" s="21" t="n">
        <f aca="false">COUNTIFS(d_Marca,$A35,d_Modelo,$B35,d_Subest,AO$7)</f>
        <v>0</v>
      </c>
      <c r="AP35" s="21" t="n">
        <f aca="false">COUNTIFS(d_Marca,$A35,d_Modelo,$B35,d_Subest,AP$7)</f>
        <v>0</v>
      </c>
      <c r="AQ35" s="21" t="n">
        <f aca="false">COUNTIFS(d_Marca,$A35,d_Modelo,$B35,d_Subest,AQ$7)</f>
        <v>0</v>
      </c>
      <c r="AR35" s="21" t="n">
        <f aca="false">COUNTIFS(d_Marca,$A35,d_Modelo,$B35,d_Subest,AR$7)</f>
        <v>0</v>
      </c>
      <c r="AS35" s="21" t="n">
        <f aca="false">COUNTIFS(d_Marca,$A35,d_Modelo,$B35,d_Subest,AS$7)</f>
        <v>0</v>
      </c>
      <c r="AT35" s="21" t="n">
        <f aca="false">COUNTIFS(d_Marca,$A35,d_Modelo,$B35,d_Subest,AT$7)</f>
        <v>0</v>
      </c>
      <c r="AU35" s="21" t="n">
        <f aca="false">COUNTIFS(d_Marca,$A35,d_Modelo,$B35,d_Subest,AU$7)</f>
        <v>0</v>
      </c>
      <c r="AV35" s="21" t="n">
        <f aca="false">COUNTIFS(d_Marca,$A35,d_Modelo,$B35,d_Subest,AV$7)</f>
        <v>0</v>
      </c>
      <c r="AW35" s="21" t="n">
        <f aca="false">COUNTIFS(d_Marca,$A35,d_Modelo,$B35,d_Subest,AW$7)</f>
        <v>0</v>
      </c>
      <c r="AX35" s="17" t="n">
        <f aca="false">SUM(AN35:AW35)</f>
        <v>0</v>
      </c>
      <c r="AY35" s="21" t="n">
        <f aca="false">COUNTIFS(d_Marca,$A35,d_Modelo,$B35,d_Subest,AY$7)</f>
        <v>0</v>
      </c>
      <c r="AZ35" s="17" t="n">
        <f aca="false">E35+H35+K35+P35+V35+AB35+AM35+AX35+AY35</f>
        <v>2</v>
      </c>
    </row>
    <row r="36" customFormat="false" ht="15" hidden="false" customHeight="false" outlineLevel="0" collapsed="false">
      <c r="A36" s="16" t="s">
        <v>61</v>
      </c>
      <c r="B36" s="16" t="s">
        <v>62</v>
      </c>
      <c r="C36" s="17" t="n">
        <f aca="false">COUNTIFS(d_Marca,$A36,d_Subest,C$7)</f>
        <v>0</v>
      </c>
      <c r="D36" s="17" t="n">
        <f aca="false">COUNTIFS(d_Marca,$A36,d_Subest,D$7)</f>
        <v>0</v>
      </c>
      <c r="E36" s="17" t="n">
        <f aca="false">SUM(C36:D36)</f>
        <v>0</v>
      </c>
      <c r="F36" s="17" t="n">
        <f aca="false">COUNTIFS(d_Marca,$A36,d_Subest,F$7)</f>
        <v>0</v>
      </c>
      <c r="G36" s="17" t="n">
        <f aca="false">COUNTIFS(d_Marca,$A36,d_Subest,G$7)</f>
        <v>0</v>
      </c>
      <c r="H36" s="17" t="n">
        <f aca="false">SUM(F36:G36)</f>
        <v>0</v>
      </c>
      <c r="I36" s="17" t="n">
        <f aca="false">COUNTIFS(d_Marca,$A36,d_Subest,I$7)</f>
        <v>27</v>
      </c>
      <c r="J36" s="17" t="n">
        <f aca="false">COUNTIFS(d_Marca,$A36,d_Subest,J$7)</f>
        <v>0</v>
      </c>
      <c r="K36" s="17" t="n">
        <f aca="false">SUM(I36:J36)</f>
        <v>27</v>
      </c>
      <c r="L36" s="17" t="n">
        <f aca="false">COUNTIFS(d_Marca,$A36,d_Subest,L$7)</f>
        <v>0</v>
      </c>
      <c r="M36" s="17" t="n">
        <f aca="false">COUNTIFS(d_Marca,$A36,d_Subest,M$7)</f>
        <v>24</v>
      </c>
      <c r="N36" s="17" t="n">
        <f aca="false">COUNTIFS(d_Marca,$A36,d_Subest,N$7)</f>
        <v>20</v>
      </c>
      <c r="O36" s="17" t="n">
        <f aca="false">COUNTIFS(d_Marca,$A36,d_Subest,O$7)</f>
        <v>20</v>
      </c>
      <c r="P36" s="17" t="n">
        <f aca="false">SUM(L36:O36)</f>
        <v>64</v>
      </c>
      <c r="Q36" s="17" t="n">
        <f aca="false">COUNTIFS(d_Marca,$A36,d_Subest,Q$7)</f>
        <v>20</v>
      </c>
      <c r="R36" s="17" t="n">
        <f aca="false">COUNTIFS(d_Marca,$A36,d_Subest,R$7)</f>
        <v>20</v>
      </c>
      <c r="S36" s="17" t="n">
        <f aca="false">COUNTIFS(d_Marca,$A36,d_Subest,S$7)</f>
        <v>0</v>
      </c>
      <c r="T36" s="17" t="n">
        <f aca="false">COUNTIFS(d_Marca,$A36,d_Subest,T$7)</f>
        <v>0</v>
      </c>
      <c r="U36" s="17" t="n">
        <f aca="false">COUNTIFS(d_Marca,$A36,d_Subest,U$7)</f>
        <v>26</v>
      </c>
      <c r="V36" s="17" t="n">
        <f aca="false">SUM(Q36:U36)</f>
        <v>66</v>
      </c>
      <c r="W36" s="17" t="n">
        <f aca="false">COUNTIFS(d_Marca,$A36,d_Subest,W$7)</f>
        <v>0</v>
      </c>
      <c r="X36" s="17" t="n">
        <f aca="false">COUNTIFS(d_Marca,$A36,d_Subest,X$7)</f>
        <v>0</v>
      </c>
      <c r="Y36" s="17" t="n">
        <f aca="false">COUNTIFS(d_Marca,$A36,d_Subest,Y$7)</f>
        <v>0</v>
      </c>
      <c r="Z36" s="17" t="n">
        <f aca="false">COUNTIFS(d_Marca,$A36,d_Subest,Z$7)</f>
        <v>12</v>
      </c>
      <c r="AA36" s="17" t="n">
        <f aca="false">COUNTIFS(d_Marca,$A36,d_Subest,AA$7)</f>
        <v>14</v>
      </c>
      <c r="AB36" s="17" t="n">
        <f aca="false">SUM(W36:AA36)</f>
        <v>26</v>
      </c>
      <c r="AC36" s="17" t="n">
        <f aca="false">COUNTIFS(d_Marca,$A36,d_Subest,AC$7)</f>
        <v>0</v>
      </c>
      <c r="AD36" s="17" t="n">
        <f aca="false">COUNTIFS(d_Marca,$A36,d_Subest,AD$7)</f>
        <v>0</v>
      </c>
      <c r="AE36" s="17" t="n">
        <f aca="false">COUNTIFS(d_Marca,$A36,d_Subest,AE$7)</f>
        <v>0</v>
      </c>
      <c r="AF36" s="17" t="n">
        <f aca="false">COUNTIFS(d_Marca,$A36,d_Subest,AF$7)</f>
        <v>2</v>
      </c>
      <c r="AG36" s="17" t="n">
        <f aca="false">COUNTIFS(d_Marca,$A36,d_Subest,AG$7)</f>
        <v>0</v>
      </c>
      <c r="AH36" s="17" t="n">
        <f aca="false">COUNTIFS(d_Marca,$A36,d_Subest,AH$7)</f>
        <v>0</v>
      </c>
      <c r="AI36" s="17" t="n">
        <f aca="false">COUNTIFS(d_Marca,$A36,d_Subest,AI$7)</f>
        <v>0</v>
      </c>
      <c r="AJ36" s="17" t="n">
        <f aca="false">COUNTIFS(d_Marca,$A36,d_Subest,AJ$7)</f>
        <v>0</v>
      </c>
      <c r="AK36" s="17" t="n">
        <f aca="false">COUNTIFS(d_Marca,$A36,d_Subest,AK$7)</f>
        <v>0</v>
      </c>
      <c r="AL36" s="17" t="n">
        <f aca="false">COUNTIFS(d_Marca,$A36,d_Subest,AL$7)</f>
        <v>0</v>
      </c>
      <c r="AM36" s="17" t="n">
        <f aca="false">SUM(AC36:AL36)</f>
        <v>2</v>
      </c>
      <c r="AN36" s="17" t="n">
        <f aca="false">COUNTIFS(d_Marca,$A36,d_Subest,AN$7)</f>
        <v>0</v>
      </c>
      <c r="AO36" s="17" t="n">
        <f aca="false">COUNTIFS(d_Marca,$A36,d_Subest,AO$7)</f>
        <v>0</v>
      </c>
      <c r="AP36" s="17" t="n">
        <f aca="false">COUNTIFS(d_Marca,$A36,d_Subest,AP$7)</f>
        <v>0</v>
      </c>
      <c r="AQ36" s="17" t="n">
        <f aca="false">COUNTIFS(d_Marca,$A36,d_Subest,AQ$7)</f>
        <v>0</v>
      </c>
      <c r="AR36" s="17" t="n">
        <f aca="false">COUNTIFS(d_Marca,$A36,d_Subest,AR$7)</f>
        <v>0</v>
      </c>
      <c r="AS36" s="17" t="n">
        <f aca="false">COUNTIFS(d_Marca,$A36,d_Subest,AS$7)</f>
        <v>0</v>
      </c>
      <c r="AT36" s="17" t="n">
        <f aca="false">COUNTIFS(d_Marca,$A36,d_Subest,AT$7)</f>
        <v>0</v>
      </c>
      <c r="AU36" s="17" t="n">
        <f aca="false">COUNTIFS(d_Marca,$A36,d_Subest,AU$7)</f>
        <v>0</v>
      </c>
      <c r="AV36" s="17" t="n">
        <f aca="false">COUNTIFS(d_Marca,$A36,d_Subest,AV$7)</f>
        <v>48</v>
      </c>
      <c r="AW36" s="17" t="n">
        <f aca="false">COUNTIFS(d_Marca,$A36,d_Subest,AW$7)</f>
        <v>24</v>
      </c>
      <c r="AX36" s="17" t="n">
        <f aca="false">SUM(AN36:AW36)</f>
        <v>72</v>
      </c>
      <c r="AY36" s="17" t="n">
        <f aca="false">COUNTIFS(d_Marca,$A36,d_Subest,AY$7)</f>
        <v>147</v>
      </c>
      <c r="AZ36" s="17" t="n">
        <f aca="false">E36+H36+K36+P36+V36+AB36+AM36+AX36+AY36</f>
        <v>404</v>
      </c>
    </row>
    <row r="37" customFormat="false" ht="15" hidden="false" customHeight="false" outlineLevel="0" collapsed="false">
      <c r="A37" s="19" t="s">
        <v>61</v>
      </c>
      <c r="B37" s="20" t="s">
        <v>63</v>
      </c>
      <c r="C37" s="21" t="n">
        <f aca="false">COUNTIFS(d_Marca,$A37,d_Modelo,$B37,d_Subest,C$7)</f>
        <v>0</v>
      </c>
      <c r="D37" s="21" t="n">
        <f aca="false">COUNTIFS(d_Marca,$A37,d_Modelo,$B37,d_Subest,D$7)</f>
        <v>0</v>
      </c>
      <c r="E37" s="17" t="n">
        <f aca="false">SUM(C37:D37)</f>
        <v>0</v>
      </c>
      <c r="F37" s="21" t="n">
        <f aca="false">COUNTIFS(d_Marca,$A37,d_Modelo,$B37,d_Subest,F$7)</f>
        <v>0</v>
      </c>
      <c r="G37" s="21" t="n">
        <f aca="false">COUNTIFS(d_Marca,$A37,d_Modelo,$B37,d_Subest,G$7)</f>
        <v>0</v>
      </c>
      <c r="H37" s="17" t="n">
        <f aca="false">SUM(F37:G37)</f>
        <v>0</v>
      </c>
      <c r="I37" s="21" t="n">
        <f aca="false">COUNTIFS(d_Marca,$A37,d_Modelo,$B37,d_Subest,I$7)</f>
        <v>27</v>
      </c>
      <c r="J37" s="21" t="n">
        <f aca="false">COUNTIFS(d_Marca,$A37,d_Modelo,$B37,d_Subest,J$7)</f>
        <v>0</v>
      </c>
      <c r="K37" s="17" t="n">
        <f aca="false">SUM(I37:J37)</f>
        <v>27</v>
      </c>
      <c r="L37" s="21" t="n">
        <f aca="false">COUNTIFS(d_Marca,$A37,d_Modelo,$B37,d_Subest,L$7)</f>
        <v>0</v>
      </c>
      <c r="M37" s="21" t="n">
        <f aca="false">COUNTIFS(d_Marca,$A37,d_Modelo,$B37,d_Subest,M$7)</f>
        <v>24</v>
      </c>
      <c r="N37" s="21" t="n">
        <f aca="false">COUNTIFS(d_Marca,$A37,d_Modelo,$B37,d_Subest,N$7)</f>
        <v>20</v>
      </c>
      <c r="O37" s="21" t="n">
        <f aca="false">COUNTIFS(d_Marca,$A37,d_Modelo,$B37,d_Subest,O$7)</f>
        <v>20</v>
      </c>
      <c r="P37" s="17" t="n">
        <f aca="false">SUM(L37:O37)</f>
        <v>64</v>
      </c>
      <c r="Q37" s="21" t="n">
        <f aca="false">COUNTIFS(d_Marca,$A37,d_Modelo,$B37,d_Subest,Q$7)</f>
        <v>20</v>
      </c>
      <c r="R37" s="21" t="n">
        <f aca="false">COUNTIFS(d_Marca,$A37,d_Modelo,$B37,d_Subest,R$7)</f>
        <v>20</v>
      </c>
      <c r="S37" s="21" t="n">
        <f aca="false">COUNTIFS(d_Marca,$A37,d_Modelo,$B37,d_Subest,S$7)</f>
        <v>0</v>
      </c>
      <c r="T37" s="21" t="n">
        <f aca="false">COUNTIFS(d_Marca,$A37,d_Modelo,$B37,d_Subest,T$7)</f>
        <v>0</v>
      </c>
      <c r="U37" s="21" t="n">
        <f aca="false">COUNTIFS(d_Marca,$A37,d_Modelo,$B37,d_Subest,U$7)</f>
        <v>26</v>
      </c>
      <c r="V37" s="17" t="n">
        <f aca="false">SUM(Q37:U37)</f>
        <v>66</v>
      </c>
      <c r="W37" s="21" t="n">
        <f aca="false">COUNTIFS(d_Marca,$A37,d_Modelo,$B37,d_Subest,W$7)</f>
        <v>0</v>
      </c>
      <c r="X37" s="21" t="n">
        <f aca="false">COUNTIFS(d_Marca,$A37,d_Modelo,$B37,d_Subest,X$7)</f>
        <v>0</v>
      </c>
      <c r="Y37" s="21" t="n">
        <f aca="false">COUNTIFS(d_Marca,$A37,d_Modelo,$B37,d_Subest,Y$7)</f>
        <v>0</v>
      </c>
      <c r="Z37" s="21" t="n">
        <f aca="false">COUNTIFS(d_Marca,$A37,d_Modelo,$B37,d_Subest,Z$7)</f>
        <v>0</v>
      </c>
      <c r="AA37" s="21" t="n">
        <f aca="false">COUNTIFS(d_Marca,$A37,d_Modelo,$B37,d_Subest,AA$7)</f>
        <v>0</v>
      </c>
      <c r="AB37" s="17" t="n">
        <f aca="false">SUM(W37:AA37)</f>
        <v>0</v>
      </c>
      <c r="AC37" s="21" t="n">
        <f aca="false">COUNTIFS(d_Marca,$A37,d_Modelo,$B37,d_Subest,AC$7)</f>
        <v>0</v>
      </c>
      <c r="AD37" s="21" t="n">
        <f aca="false">COUNTIFS(d_Marca,$A37,d_Modelo,$B37,d_Subest,AD$7)</f>
        <v>0</v>
      </c>
      <c r="AE37" s="21" t="n">
        <f aca="false">COUNTIFS(d_Marca,$A37,d_Modelo,$B37,d_Subest,AE$7)</f>
        <v>0</v>
      </c>
      <c r="AF37" s="21" t="n">
        <f aca="false">COUNTIFS(d_Marca,$A37,d_Modelo,$B37,d_Subest,AF$7)</f>
        <v>2</v>
      </c>
      <c r="AG37" s="21" t="n">
        <f aca="false">COUNTIFS(d_Marca,$A37,d_Modelo,$B37,d_Subest,AG$7)</f>
        <v>0</v>
      </c>
      <c r="AH37" s="21" t="n">
        <f aca="false">COUNTIFS(d_Marca,$A37,d_Modelo,$B37,d_Subest,AH$7)</f>
        <v>0</v>
      </c>
      <c r="AI37" s="21" t="n">
        <f aca="false">COUNTIFS(d_Marca,$A37,d_Modelo,$B37,d_Subest,AI$7)</f>
        <v>0</v>
      </c>
      <c r="AJ37" s="21" t="n">
        <f aca="false">COUNTIFS(d_Marca,$A37,d_Modelo,$B37,d_Subest,AJ$7)</f>
        <v>0</v>
      </c>
      <c r="AK37" s="21" t="n">
        <f aca="false">COUNTIFS(d_Marca,$A37,d_Modelo,$B37,d_Subest,AK$7)</f>
        <v>0</v>
      </c>
      <c r="AL37" s="21" t="n">
        <f aca="false">COUNTIFS(d_Marca,$A37,d_Modelo,$B37,d_Subest,AL$7)</f>
        <v>0</v>
      </c>
      <c r="AM37" s="17" t="n">
        <f aca="false">SUM(AC37:AL37)</f>
        <v>2</v>
      </c>
      <c r="AN37" s="21" t="n">
        <f aca="false">COUNTIFS(d_Marca,$A37,d_Modelo,$B37,d_Subest,AN$7)</f>
        <v>0</v>
      </c>
      <c r="AO37" s="21" t="n">
        <f aca="false">COUNTIFS(d_Marca,$A37,d_Modelo,$B37,d_Subest,AO$7)</f>
        <v>0</v>
      </c>
      <c r="AP37" s="21" t="n">
        <f aca="false">COUNTIFS(d_Marca,$A37,d_Modelo,$B37,d_Subest,AP$7)</f>
        <v>0</v>
      </c>
      <c r="AQ37" s="21" t="n">
        <f aca="false">COUNTIFS(d_Marca,$A37,d_Modelo,$B37,d_Subest,AQ$7)</f>
        <v>0</v>
      </c>
      <c r="AR37" s="21" t="n">
        <f aca="false">COUNTIFS(d_Marca,$A37,d_Modelo,$B37,d_Subest,AR$7)</f>
        <v>0</v>
      </c>
      <c r="AS37" s="21" t="n">
        <f aca="false">COUNTIFS(d_Marca,$A37,d_Modelo,$B37,d_Subest,AS$7)</f>
        <v>0</v>
      </c>
      <c r="AT37" s="21" t="n">
        <f aca="false">COUNTIFS(d_Marca,$A37,d_Modelo,$B37,d_Subest,AT$7)</f>
        <v>0</v>
      </c>
      <c r="AU37" s="21" t="n">
        <f aca="false">COUNTIFS(d_Marca,$A37,d_Modelo,$B37,d_Subest,AU$7)</f>
        <v>0</v>
      </c>
      <c r="AV37" s="21" t="n">
        <f aca="false">COUNTIFS(d_Marca,$A37,d_Modelo,$B37,d_Subest,AV$7)</f>
        <v>0</v>
      </c>
      <c r="AW37" s="21" t="n">
        <f aca="false">COUNTIFS(d_Marca,$A37,d_Modelo,$B37,d_Subest,AW$7)</f>
        <v>0</v>
      </c>
      <c r="AX37" s="17" t="n">
        <f aca="false">SUM(AN37:AW37)</f>
        <v>0</v>
      </c>
      <c r="AY37" s="21" t="n">
        <f aca="false">COUNTIFS(d_Marca,$A37,d_Modelo,$B37,d_Subest,AY$7)</f>
        <v>127</v>
      </c>
      <c r="AZ37" s="17" t="n">
        <f aca="false">E37+H37+K37+P37+V37+AB37+AM37+AX37+AY37</f>
        <v>286</v>
      </c>
    </row>
    <row r="38" customFormat="false" ht="15" hidden="false" customHeight="false" outlineLevel="0" collapsed="false">
      <c r="A38" s="19" t="s">
        <v>61</v>
      </c>
      <c r="B38" s="20" t="s">
        <v>64</v>
      </c>
      <c r="C38" s="21" t="n">
        <f aca="false">COUNTIFS(d_Marca,$A38,d_Modelo,$B38,d_Subest,C$7)</f>
        <v>0</v>
      </c>
      <c r="D38" s="21" t="n">
        <f aca="false">COUNTIFS(d_Marca,$A38,d_Modelo,$B38,d_Subest,D$7)</f>
        <v>0</v>
      </c>
      <c r="E38" s="17" t="n">
        <f aca="false">SUM(C38:D38)</f>
        <v>0</v>
      </c>
      <c r="F38" s="21" t="n">
        <f aca="false">COUNTIFS(d_Marca,$A38,d_Modelo,$B38,d_Subest,F$7)</f>
        <v>0</v>
      </c>
      <c r="G38" s="21" t="n">
        <f aca="false">COUNTIFS(d_Marca,$A38,d_Modelo,$B38,d_Subest,G$7)</f>
        <v>0</v>
      </c>
      <c r="H38" s="17" t="n">
        <f aca="false">SUM(F38:G38)</f>
        <v>0</v>
      </c>
      <c r="I38" s="21" t="n">
        <f aca="false">COUNTIFS(d_Marca,$A38,d_Modelo,$B38,d_Subest,I$7)</f>
        <v>0</v>
      </c>
      <c r="J38" s="21" t="n">
        <f aca="false">COUNTIFS(d_Marca,$A38,d_Modelo,$B38,d_Subest,J$7)</f>
        <v>0</v>
      </c>
      <c r="K38" s="17" t="n">
        <f aca="false">SUM(I38:J38)</f>
        <v>0</v>
      </c>
      <c r="L38" s="21" t="n">
        <f aca="false">COUNTIFS(d_Marca,$A38,d_Modelo,$B38,d_Subest,L$7)</f>
        <v>0</v>
      </c>
      <c r="M38" s="21" t="n">
        <f aca="false">COUNTIFS(d_Marca,$A38,d_Modelo,$B38,d_Subest,M$7)</f>
        <v>0</v>
      </c>
      <c r="N38" s="21" t="n">
        <f aca="false">COUNTIFS(d_Marca,$A38,d_Modelo,$B38,d_Subest,N$7)</f>
        <v>0</v>
      </c>
      <c r="O38" s="21" t="n">
        <f aca="false">COUNTIFS(d_Marca,$A38,d_Modelo,$B38,d_Subest,O$7)</f>
        <v>0</v>
      </c>
      <c r="P38" s="17" t="n">
        <f aca="false">SUM(L38:O38)</f>
        <v>0</v>
      </c>
      <c r="Q38" s="21" t="n">
        <f aca="false">COUNTIFS(d_Marca,$A38,d_Modelo,$B38,d_Subest,Q$7)</f>
        <v>0</v>
      </c>
      <c r="R38" s="21" t="n">
        <f aca="false">COUNTIFS(d_Marca,$A38,d_Modelo,$B38,d_Subest,R$7)</f>
        <v>0</v>
      </c>
      <c r="S38" s="21" t="n">
        <f aca="false">COUNTIFS(d_Marca,$A38,d_Modelo,$B38,d_Subest,S$7)</f>
        <v>0</v>
      </c>
      <c r="T38" s="21" t="n">
        <f aca="false">COUNTIFS(d_Marca,$A38,d_Modelo,$B38,d_Subest,T$7)</f>
        <v>0</v>
      </c>
      <c r="U38" s="21" t="n">
        <f aca="false">COUNTIFS(d_Marca,$A38,d_Modelo,$B38,d_Subest,U$7)</f>
        <v>0</v>
      </c>
      <c r="V38" s="17" t="n">
        <f aca="false">SUM(Q38:U38)</f>
        <v>0</v>
      </c>
      <c r="W38" s="21" t="n">
        <f aca="false">COUNTIFS(d_Marca,$A38,d_Modelo,$B38,d_Subest,W$7)</f>
        <v>0</v>
      </c>
      <c r="X38" s="21" t="n">
        <f aca="false">COUNTIFS(d_Marca,$A38,d_Modelo,$B38,d_Subest,X$7)</f>
        <v>0</v>
      </c>
      <c r="Y38" s="21" t="n">
        <f aca="false">COUNTIFS(d_Marca,$A38,d_Modelo,$B38,d_Subest,Y$7)</f>
        <v>0</v>
      </c>
      <c r="Z38" s="21" t="n">
        <f aca="false">COUNTIFS(d_Marca,$A38,d_Modelo,$B38,d_Subest,Z$7)</f>
        <v>12</v>
      </c>
      <c r="AA38" s="21" t="n">
        <f aca="false">COUNTIFS(d_Marca,$A38,d_Modelo,$B38,d_Subest,AA$7)</f>
        <v>14</v>
      </c>
      <c r="AB38" s="17" t="n">
        <f aca="false">SUM(W38:AA38)</f>
        <v>26</v>
      </c>
      <c r="AC38" s="21" t="n">
        <f aca="false">COUNTIFS(d_Marca,$A38,d_Modelo,$B38,d_Subest,AC$7)</f>
        <v>0</v>
      </c>
      <c r="AD38" s="21" t="n">
        <f aca="false">COUNTIFS(d_Marca,$A38,d_Modelo,$B38,d_Subest,AD$7)</f>
        <v>0</v>
      </c>
      <c r="AE38" s="21" t="n">
        <f aca="false">COUNTIFS(d_Marca,$A38,d_Modelo,$B38,d_Subest,AE$7)</f>
        <v>0</v>
      </c>
      <c r="AF38" s="21" t="n">
        <f aca="false">COUNTIFS(d_Marca,$A38,d_Modelo,$B38,d_Subest,AF$7)</f>
        <v>0</v>
      </c>
      <c r="AG38" s="21" t="n">
        <f aca="false">COUNTIFS(d_Marca,$A38,d_Modelo,$B38,d_Subest,AG$7)</f>
        <v>0</v>
      </c>
      <c r="AH38" s="21" t="n">
        <f aca="false">COUNTIFS(d_Marca,$A38,d_Modelo,$B38,d_Subest,AH$7)</f>
        <v>0</v>
      </c>
      <c r="AI38" s="21" t="n">
        <f aca="false">COUNTIFS(d_Marca,$A38,d_Modelo,$B38,d_Subest,AI$7)</f>
        <v>0</v>
      </c>
      <c r="AJ38" s="21" t="n">
        <f aca="false">COUNTIFS(d_Marca,$A38,d_Modelo,$B38,d_Subest,AJ$7)</f>
        <v>0</v>
      </c>
      <c r="AK38" s="21" t="n">
        <f aca="false">COUNTIFS(d_Marca,$A38,d_Modelo,$B38,d_Subest,AK$7)</f>
        <v>0</v>
      </c>
      <c r="AL38" s="21" t="n">
        <f aca="false">COUNTIFS(d_Marca,$A38,d_Modelo,$B38,d_Subest,AL$7)</f>
        <v>0</v>
      </c>
      <c r="AM38" s="17" t="n">
        <f aca="false">SUM(AC38:AL38)</f>
        <v>0</v>
      </c>
      <c r="AN38" s="21" t="n">
        <f aca="false">COUNTIFS(d_Marca,$A38,d_Modelo,$B38,d_Subest,AN$7)</f>
        <v>0</v>
      </c>
      <c r="AO38" s="21" t="n">
        <f aca="false">COUNTIFS(d_Marca,$A38,d_Modelo,$B38,d_Subest,AO$7)</f>
        <v>0</v>
      </c>
      <c r="AP38" s="21" t="n">
        <f aca="false">COUNTIFS(d_Marca,$A38,d_Modelo,$B38,d_Subest,AP$7)</f>
        <v>0</v>
      </c>
      <c r="AQ38" s="21" t="n">
        <f aca="false">COUNTIFS(d_Marca,$A38,d_Modelo,$B38,d_Subest,AQ$7)</f>
        <v>0</v>
      </c>
      <c r="AR38" s="21" t="n">
        <f aca="false">COUNTIFS(d_Marca,$A38,d_Modelo,$B38,d_Subest,AR$7)</f>
        <v>0</v>
      </c>
      <c r="AS38" s="21" t="n">
        <f aca="false">COUNTIFS(d_Marca,$A38,d_Modelo,$B38,d_Subest,AS$7)</f>
        <v>0</v>
      </c>
      <c r="AT38" s="21" t="n">
        <f aca="false">COUNTIFS(d_Marca,$A38,d_Modelo,$B38,d_Subest,AT$7)</f>
        <v>0</v>
      </c>
      <c r="AU38" s="21" t="n">
        <f aca="false">COUNTIFS(d_Marca,$A38,d_Modelo,$B38,d_Subest,AU$7)</f>
        <v>0</v>
      </c>
      <c r="AV38" s="21" t="n">
        <f aca="false">COUNTIFS(d_Marca,$A38,d_Modelo,$B38,d_Subest,AV$7)</f>
        <v>0</v>
      </c>
      <c r="AW38" s="21" t="n">
        <f aca="false">COUNTIFS(d_Marca,$A38,d_Modelo,$B38,d_Subest,AW$7)</f>
        <v>8</v>
      </c>
      <c r="AX38" s="17" t="n">
        <f aca="false">SUM(AN38:AW38)</f>
        <v>8</v>
      </c>
      <c r="AY38" s="21" t="n">
        <f aca="false">COUNTIFS(d_Marca,$A38,d_Modelo,$B38,d_Subest,AY$7)</f>
        <v>0</v>
      </c>
      <c r="AZ38" s="17" t="n">
        <f aca="false">E38+H38+K38+P38+V38+AB38+AM38+AX38+AY38</f>
        <v>34</v>
      </c>
    </row>
    <row r="39" customFormat="false" ht="15" hidden="false" customHeight="false" outlineLevel="0" collapsed="false">
      <c r="A39" s="19" t="s">
        <v>61</v>
      </c>
      <c r="B39" s="20" t="s">
        <v>65</v>
      </c>
      <c r="C39" s="21" t="n">
        <f aca="false">COUNTIFS(d_Marca,$A39,d_Modelo,$B39,d_Subest,C$7)</f>
        <v>0</v>
      </c>
      <c r="D39" s="21" t="n">
        <f aca="false">COUNTIFS(d_Marca,$A39,d_Modelo,$B39,d_Subest,D$7)</f>
        <v>0</v>
      </c>
      <c r="E39" s="17" t="n">
        <f aca="false">SUM(C39:D39)</f>
        <v>0</v>
      </c>
      <c r="F39" s="21" t="n">
        <f aca="false">COUNTIFS(d_Marca,$A39,d_Modelo,$B39,d_Subest,F$7)</f>
        <v>0</v>
      </c>
      <c r="G39" s="21" t="n">
        <f aca="false">COUNTIFS(d_Marca,$A39,d_Modelo,$B39,d_Subest,G$7)</f>
        <v>0</v>
      </c>
      <c r="H39" s="17" t="n">
        <f aca="false">SUM(F39:G39)</f>
        <v>0</v>
      </c>
      <c r="I39" s="21" t="n">
        <f aca="false">COUNTIFS(d_Marca,$A39,d_Modelo,$B39,d_Subest,I$7)</f>
        <v>0</v>
      </c>
      <c r="J39" s="21" t="n">
        <f aca="false">COUNTIFS(d_Marca,$A39,d_Modelo,$B39,d_Subest,J$7)</f>
        <v>0</v>
      </c>
      <c r="K39" s="17" t="n">
        <f aca="false">SUM(I39:J39)</f>
        <v>0</v>
      </c>
      <c r="L39" s="21" t="n">
        <f aca="false">COUNTIFS(d_Marca,$A39,d_Modelo,$B39,d_Subest,L$7)</f>
        <v>0</v>
      </c>
      <c r="M39" s="21" t="n">
        <f aca="false">COUNTIFS(d_Marca,$A39,d_Modelo,$B39,d_Subest,M$7)</f>
        <v>0</v>
      </c>
      <c r="N39" s="21" t="n">
        <f aca="false">COUNTIFS(d_Marca,$A39,d_Modelo,$B39,d_Subest,N$7)</f>
        <v>0</v>
      </c>
      <c r="O39" s="21" t="n">
        <f aca="false">COUNTIFS(d_Marca,$A39,d_Modelo,$B39,d_Subest,O$7)</f>
        <v>0</v>
      </c>
      <c r="P39" s="17" t="n">
        <f aca="false">SUM(L39:O39)</f>
        <v>0</v>
      </c>
      <c r="Q39" s="21" t="n">
        <f aca="false">COUNTIFS(d_Marca,$A39,d_Modelo,$B39,d_Subest,Q$7)</f>
        <v>0</v>
      </c>
      <c r="R39" s="21" t="n">
        <f aca="false">COUNTIFS(d_Marca,$A39,d_Modelo,$B39,d_Subest,R$7)</f>
        <v>0</v>
      </c>
      <c r="S39" s="21" t="n">
        <f aca="false">COUNTIFS(d_Marca,$A39,d_Modelo,$B39,d_Subest,S$7)</f>
        <v>0</v>
      </c>
      <c r="T39" s="21" t="n">
        <f aca="false">COUNTIFS(d_Marca,$A39,d_Modelo,$B39,d_Subest,T$7)</f>
        <v>0</v>
      </c>
      <c r="U39" s="21" t="n">
        <f aca="false">COUNTIFS(d_Marca,$A39,d_Modelo,$B39,d_Subest,U$7)</f>
        <v>0</v>
      </c>
      <c r="V39" s="17" t="n">
        <f aca="false">SUM(Q39:U39)</f>
        <v>0</v>
      </c>
      <c r="W39" s="21" t="n">
        <f aca="false">COUNTIFS(d_Marca,$A39,d_Modelo,$B39,d_Subest,W$7)</f>
        <v>0</v>
      </c>
      <c r="X39" s="21" t="n">
        <f aca="false">COUNTIFS(d_Marca,$A39,d_Modelo,$B39,d_Subest,X$7)</f>
        <v>0</v>
      </c>
      <c r="Y39" s="21" t="n">
        <f aca="false">COUNTIFS(d_Marca,$A39,d_Modelo,$B39,d_Subest,Y$7)</f>
        <v>0</v>
      </c>
      <c r="Z39" s="21" t="n">
        <f aca="false">COUNTIFS(d_Marca,$A39,d_Modelo,$B39,d_Subest,Z$7)</f>
        <v>0</v>
      </c>
      <c r="AA39" s="21" t="n">
        <f aca="false">COUNTIFS(d_Marca,$A39,d_Modelo,$B39,d_Subest,AA$7)</f>
        <v>0</v>
      </c>
      <c r="AB39" s="17" t="n">
        <f aca="false">SUM(W39:AA39)</f>
        <v>0</v>
      </c>
      <c r="AC39" s="21" t="n">
        <f aca="false">COUNTIFS(d_Marca,$A39,d_Modelo,$B39,d_Subest,AC$7)</f>
        <v>0</v>
      </c>
      <c r="AD39" s="21" t="n">
        <f aca="false">COUNTIFS(d_Marca,$A39,d_Modelo,$B39,d_Subest,AD$7)</f>
        <v>0</v>
      </c>
      <c r="AE39" s="21" t="n">
        <f aca="false">COUNTIFS(d_Marca,$A39,d_Modelo,$B39,d_Subest,AE$7)</f>
        <v>0</v>
      </c>
      <c r="AF39" s="21" t="n">
        <f aca="false">COUNTIFS(d_Marca,$A39,d_Modelo,$B39,d_Subest,AF$7)</f>
        <v>0</v>
      </c>
      <c r="AG39" s="21" t="n">
        <f aca="false">COUNTIFS(d_Marca,$A39,d_Modelo,$B39,d_Subest,AG$7)</f>
        <v>0</v>
      </c>
      <c r="AH39" s="21" t="n">
        <f aca="false">COUNTIFS(d_Marca,$A39,d_Modelo,$B39,d_Subest,AH$7)</f>
        <v>0</v>
      </c>
      <c r="AI39" s="21" t="n">
        <f aca="false">COUNTIFS(d_Marca,$A39,d_Modelo,$B39,d_Subest,AI$7)</f>
        <v>0</v>
      </c>
      <c r="AJ39" s="21" t="n">
        <f aca="false">COUNTIFS(d_Marca,$A39,d_Modelo,$B39,d_Subest,AJ$7)</f>
        <v>0</v>
      </c>
      <c r="AK39" s="21" t="n">
        <f aca="false">COUNTIFS(d_Marca,$A39,d_Modelo,$B39,d_Subest,AK$7)</f>
        <v>0</v>
      </c>
      <c r="AL39" s="21" t="n">
        <f aca="false">COUNTIFS(d_Marca,$A39,d_Modelo,$B39,d_Subest,AL$7)</f>
        <v>0</v>
      </c>
      <c r="AM39" s="17" t="n">
        <f aca="false">SUM(AC39:AL39)</f>
        <v>0</v>
      </c>
      <c r="AN39" s="21" t="n">
        <f aca="false">COUNTIFS(d_Marca,$A39,d_Modelo,$B39,d_Subest,AN$7)</f>
        <v>0</v>
      </c>
      <c r="AO39" s="21" t="n">
        <f aca="false">COUNTIFS(d_Marca,$A39,d_Modelo,$B39,d_Subest,AO$7)</f>
        <v>0</v>
      </c>
      <c r="AP39" s="21" t="n">
        <f aca="false">COUNTIFS(d_Marca,$A39,d_Modelo,$B39,d_Subest,AP$7)</f>
        <v>0</v>
      </c>
      <c r="AQ39" s="21" t="n">
        <f aca="false">COUNTIFS(d_Marca,$A39,d_Modelo,$B39,d_Subest,AQ$7)</f>
        <v>0</v>
      </c>
      <c r="AR39" s="21" t="n">
        <f aca="false">COUNTIFS(d_Marca,$A39,d_Modelo,$B39,d_Subest,AR$7)</f>
        <v>0</v>
      </c>
      <c r="AS39" s="21" t="n">
        <f aca="false">COUNTIFS(d_Marca,$A39,d_Modelo,$B39,d_Subest,AS$7)</f>
        <v>0</v>
      </c>
      <c r="AT39" s="21" t="n">
        <f aca="false">COUNTIFS(d_Marca,$A39,d_Modelo,$B39,d_Subest,AT$7)</f>
        <v>0</v>
      </c>
      <c r="AU39" s="21" t="n">
        <f aca="false">COUNTIFS(d_Marca,$A39,d_Modelo,$B39,d_Subest,AU$7)</f>
        <v>0</v>
      </c>
      <c r="AV39" s="21" t="n">
        <f aca="false">COUNTIFS(d_Marca,$A39,d_Modelo,$B39,d_Subest,AV$7)</f>
        <v>8</v>
      </c>
      <c r="AW39" s="21" t="n">
        <f aca="false">COUNTIFS(d_Marca,$A39,d_Modelo,$B39,d_Subest,AW$7)</f>
        <v>2</v>
      </c>
      <c r="AX39" s="17" t="n">
        <f aca="false">SUM(AN39:AW39)</f>
        <v>10</v>
      </c>
      <c r="AY39" s="21" t="n">
        <f aca="false">COUNTIFS(d_Marca,$A39,d_Modelo,$B39,d_Subest,AY$7)</f>
        <v>12</v>
      </c>
      <c r="AZ39" s="17" t="n">
        <f aca="false">E39+H39+K39+P39+V39+AB39+AM39+AX39+AY39</f>
        <v>22</v>
      </c>
    </row>
    <row r="40" customFormat="false" ht="15" hidden="false" customHeight="false" outlineLevel="0" collapsed="false">
      <c r="A40" s="19" t="s">
        <v>61</v>
      </c>
      <c r="B40" s="20" t="s">
        <v>66</v>
      </c>
      <c r="C40" s="21" t="n">
        <f aca="false">COUNTIFS(d_Marca,$A40,d_Modelo,$B40,d_Subest,C$7)</f>
        <v>0</v>
      </c>
      <c r="D40" s="21" t="n">
        <f aca="false">COUNTIFS(d_Marca,$A40,d_Modelo,$B40,d_Subest,D$7)</f>
        <v>0</v>
      </c>
      <c r="E40" s="17" t="n">
        <f aca="false">SUM(C40:D40)</f>
        <v>0</v>
      </c>
      <c r="F40" s="21" t="n">
        <f aca="false">COUNTIFS(d_Marca,$A40,d_Modelo,$B40,d_Subest,F$7)</f>
        <v>0</v>
      </c>
      <c r="G40" s="21" t="n">
        <f aca="false">COUNTIFS(d_Marca,$A40,d_Modelo,$B40,d_Subest,G$7)</f>
        <v>0</v>
      </c>
      <c r="H40" s="17" t="n">
        <f aca="false">SUM(F40:G40)</f>
        <v>0</v>
      </c>
      <c r="I40" s="21" t="n">
        <f aca="false">COUNTIFS(d_Marca,$A40,d_Modelo,$B40,d_Subest,I$7)</f>
        <v>0</v>
      </c>
      <c r="J40" s="21" t="n">
        <f aca="false">COUNTIFS(d_Marca,$A40,d_Modelo,$B40,d_Subest,J$7)</f>
        <v>0</v>
      </c>
      <c r="K40" s="17" t="n">
        <f aca="false">SUM(I40:J40)</f>
        <v>0</v>
      </c>
      <c r="L40" s="21" t="n">
        <f aca="false">COUNTIFS(d_Marca,$A40,d_Modelo,$B40,d_Subest,L$7)</f>
        <v>0</v>
      </c>
      <c r="M40" s="21" t="n">
        <f aca="false">COUNTIFS(d_Marca,$A40,d_Modelo,$B40,d_Subest,M$7)</f>
        <v>0</v>
      </c>
      <c r="N40" s="21" t="n">
        <f aca="false">COUNTIFS(d_Marca,$A40,d_Modelo,$B40,d_Subest,N$7)</f>
        <v>0</v>
      </c>
      <c r="O40" s="21" t="n">
        <f aca="false">COUNTIFS(d_Marca,$A40,d_Modelo,$B40,d_Subest,O$7)</f>
        <v>0</v>
      </c>
      <c r="P40" s="17" t="n">
        <f aca="false">SUM(L40:O40)</f>
        <v>0</v>
      </c>
      <c r="Q40" s="21" t="n">
        <f aca="false">COUNTIFS(d_Marca,$A40,d_Modelo,$B40,d_Subest,Q$7)</f>
        <v>0</v>
      </c>
      <c r="R40" s="21" t="n">
        <f aca="false">COUNTIFS(d_Marca,$A40,d_Modelo,$B40,d_Subest,R$7)</f>
        <v>0</v>
      </c>
      <c r="S40" s="21" t="n">
        <f aca="false">COUNTIFS(d_Marca,$A40,d_Modelo,$B40,d_Subest,S$7)</f>
        <v>0</v>
      </c>
      <c r="T40" s="21" t="n">
        <f aca="false">COUNTIFS(d_Marca,$A40,d_Modelo,$B40,d_Subest,T$7)</f>
        <v>0</v>
      </c>
      <c r="U40" s="21" t="n">
        <f aca="false">COUNTIFS(d_Marca,$A40,d_Modelo,$B40,d_Subest,U$7)</f>
        <v>0</v>
      </c>
      <c r="V40" s="17" t="n">
        <f aca="false">SUM(Q40:U40)</f>
        <v>0</v>
      </c>
      <c r="W40" s="21" t="n">
        <f aca="false">COUNTIFS(d_Marca,$A40,d_Modelo,$B40,d_Subest,W$7)</f>
        <v>0</v>
      </c>
      <c r="X40" s="21" t="n">
        <f aca="false">COUNTIFS(d_Marca,$A40,d_Modelo,$B40,d_Subest,X$7)</f>
        <v>0</v>
      </c>
      <c r="Y40" s="21" t="n">
        <f aca="false">COUNTIFS(d_Marca,$A40,d_Modelo,$B40,d_Subest,Y$7)</f>
        <v>0</v>
      </c>
      <c r="Z40" s="21" t="n">
        <f aca="false">COUNTIFS(d_Marca,$A40,d_Modelo,$B40,d_Subest,Z$7)</f>
        <v>0</v>
      </c>
      <c r="AA40" s="21" t="n">
        <f aca="false">COUNTIFS(d_Marca,$A40,d_Modelo,$B40,d_Subest,AA$7)</f>
        <v>0</v>
      </c>
      <c r="AB40" s="17" t="n">
        <f aca="false">SUM(W40:AA40)</f>
        <v>0</v>
      </c>
      <c r="AC40" s="21" t="n">
        <f aca="false">COUNTIFS(d_Marca,$A40,d_Modelo,$B40,d_Subest,AC$7)</f>
        <v>0</v>
      </c>
      <c r="AD40" s="21" t="n">
        <f aca="false">COUNTIFS(d_Marca,$A40,d_Modelo,$B40,d_Subest,AD$7)</f>
        <v>0</v>
      </c>
      <c r="AE40" s="21" t="n">
        <f aca="false">COUNTIFS(d_Marca,$A40,d_Modelo,$B40,d_Subest,AE$7)</f>
        <v>0</v>
      </c>
      <c r="AF40" s="21" t="n">
        <f aca="false">COUNTIFS(d_Marca,$A40,d_Modelo,$B40,d_Subest,AF$7)</f>
        <v>0</v>
      </c>
      <c r="AG40" s="21" t="n">
        <f aca="false">COUNTIFS(d_Marca,$A40,d_Modelo,$B40,d_Subest,AG$7)</f>
        <v>0</v>
      </c>
      <c r="AH40" s="21" t="n">
        <f aca="false">COUNTIFS(d_Marca,$A40,d_Modelo,$B40,d_Subest,AH$7)</f>
        <v>0</v>
      </c>
      <c r="AI40" s="21" t="n">
        <f aca="false">COUNTIFS(d_Marca,$A40,d_Modelo,$B40,d_Subest,AI$7)</f>
        <v>0</v>
      </c>
      <c r="AJ40" s="21" t="n">
        <f aca="false">COUNTIFS(d_Marca,$A40,d_Modelo,$B40,d_Subest,AJ$7)</f>
        <v>0</v>
      </c>
      <c r="AK40" s="21" t="n">
        <f aca="false">COUNTIFS(d_Marca,$A40,d_Modelo,$B40,d_Subest,AK$7)</f>
        <v>0</v>
      </c>
      <c r="AL40" s="21" t="n">
        <f aca="false">COUNTIFS(d_Marca,$A40,d_Modelo,$B40,d_Subest,AL$7)</f>
        <v>0</v>
      </c>
      <c r="AM40" s="17" t="n">
        <f aca="false">SUM(AC40:AL40)</f>
        <v>0</v>
      </c>
      <c r="AN40" s="21" t="n">
        <f aca="false">COUNTIFS(d_Marca,$A40,d_Modelo,$B40,d_Subest,AN$7)</f>
        <v>0</v>
      </c>
      <c r="AO40" s="21" t="n">
        <f aca="false">COUNTIFS(d_Marca,$A40,d_Modelo,$B40,d_Subest,AO$7)</f>
        <v>0</v>
      </c>
      <c r="AP40" s="21" t="n">
        <f aca="false">COUNTIFS(d_Marca,$A40,d_Modelo,$B40,d_Subest,AP$7)</f>
        <v>0</v>
      </c>
      <c r="AQ40" s="21" t="n">
        <f aca="false">COUNTIFS(d_Marca,$A40,d_Modelo,$B40,d_Subest,AQ$7)</f>
        <v>0</v>
      </c>
      <c r="AR40" s="21" t="n">
        <f aca="false">COUNTIFS(d_Marca,$A40,d_Modelo,$B40,d_Subest,AR$7)</f>
        <v>0</v>
      </c>
      <c r="AS40" s="21" t="n">
        <f aca="false">COUNTIFS(d_Marca,$A40,d_Modelo,$B40,d_Subest,AS$7)</f>
        <v>0</v>
      </c>
      <c r="AT40" s="21" t="n">
        <f aca="false">COUNTIFS(d_Marca,$A40,d_Modelo,$B40,d_Subest,AT$7)</f>
        <v>0</v>
      </c>
      <c r="AU40" s="21" t="n">
        <f aca="false">COUNTIFS(d_Marca,$A40,d_Modelo,$B40,d_Subest,AU$7)</f>
        <v>0</v>
      </c>
      <c r="AV40" s="21" t="n">
        <f aca="false">COUNTIFS(d_Marca,$A40,d_Modelo,$B40,d_Subest,AV$7)</f>
        <v>13</v>
      </c>
      <c r="AW40" s="21" t="n">
        <f aca="false">COUNTIFS(d_Marca,$A40,d_Modelo,$B40,d_Subest,AW$7)</f>
        <v>8</v>
      </c>
      <c r="AX40" s="17" t="n">
        <f aca="false">SUM(AN40:AW40)</f>
        <v>21</v>
      </c>
      <c r="AY40" s="21" t="n">
        <f aca="false">COUNTIFS(d_Marca,$A40,d_Modelo,$B40,d_Subest,AY$7)</f>
        <v>0</v>
      </c>
      <c r="AZ40" s="17" t="n">
        <f aca="false">E40+H40+K40+P40+V40+AB40+AM40+AX40+AY40</f>
        <v>21</v>
      </c>
    </row>
    <row r="41" customFormat="false" ht="15" hidden="false" customHeight="false" outlineLevel="0" collapsed="false">
      <c r="A41" s="19" t="s">
        <v>61</v>
      </c>
      <c r="B41" s="20" t="s">
        <v>67</v>
      </c>
      <c r="C41" s="21" t="n">
        <f aca="false">COUNTIFS(d_Marca,$A41,d_Modelo,$B41,d_Subest,C$7)</f>
        <v>0</v>
      </c>
      <c r="D41" s="21" t="n">
        <f aca="false">COUNTIFS(d_Marca,$A41,d_Modelo,$B41,d_Subest,D$7)</f>
        <v>0</v>
      </c>
      <c r="E41" s="17" t="n">
        <f aca="false">SUM(C41:D41)</f>
        <v>0</v>
      </c>
      <c r="F41" s="21" t="n">
        <f aca="false">COUNTIFS(d_Marca,$A41,d_Modelo,$B41,d_Subest,F$7)</f>
        <v>0</v>
      </c>
      <c r="G41" s="21" t="n">
        <f aca="false">COUNTIFS(d_Marca,$A41,d_Modelo,$B41,d_Subest,G$7)</f>
        <v>0</v>
      </c>
      <c r="H41" s="17" t="n">
        <f aca="false">SUM(F41:G41)</f>
        <v>0</v>
      </c>
      <c r="I41" s="21" t="n">
        <f aca="false">COUNTIFS(d_Marca,$A41,d_Modelo,$B41,d_Subest,I$7)</f>
        <v>0</v>
      </c>
      <c r="J41" s="21" t="n">
        <f aca="false">COUNTIFS(d_Marca,$A41,d_Modelo,$B41,d_Subest,J$7)</f>
        <v>0</v>
      </c>
      <c r="K41" s="17" t="n">
        <f aca="false">SUM(I41:J41)</f>
        <v>0</v>
      </c>
      <c r="L41" s="21" t="n">
        <f aca="false">COUNTIFS(d_Marca,$A41,d_Modelo,$B41,d_Subest,L$7)</f>
        <v>0</v>
      </c>
      <c r="M41" s="21" t="n">
        <f aca="false">COUNTIFS(d_Marca,$A41,d_Modelo,$B41,d_Subest,M$7)</f>
        <v>0</v>
      </c>
      <c r="N41" s="21" t="n">
        <f aca="false">COUNTIFS(d_Marca,$A41,d_Modelo,$B41,d_Subest,N$7)</f>
        <v>0</v>
      </c>
      <c r="O41" s="21" t="n">
        <f aca="false">COUNTIFS(d_Marca,$A41,d_Modelo,$B41,d_Subest,O$7)</f>
        <v>0</v>
      </c>
      <c r="P41" s="17" t="n">
        <f aca="false">SUM(L41:O41)</f>
        <v>0</v>
      </c>
      <c r="Q41" s="21" t="n">
        <f aca="false">COUNTIFS(d_Marca,$A41,d_Modelo,$B41,d_Subest,Q$7)</f>
        <v>0</v>
      </c>
      <c r="R41" s="21" t="n">
        <f aca="false">COUNTIFS(d_Marca,$A41,d_Modelo,$B41,d_Subest,R$7)</f>
        <v>0</v>
      </c>
      <c r="S41" s="21" t="n">
        <f aca="false">COUNTIFS(d_Marca,$A41,d_Modelo,$B41,d_Subest,S$7)</f>
        <v>0</v>
      </c>
      <c r="T41" s="21" t="n">
        <f aca="false">COUNTIFS(d_Marca,$A41,d_Modelo,$B41,d_Subest,T$7)</f>
        <v>0</v>
      </c>
      <c r="U41" s="21" t="n">
        <f aca="false">COUNTIFS(d_Marca,$A41,d_Modelo,$B41,d_Subest,U$7)</f>
        <v>0</v>
      </c>
      <c r="V41" s="17" t="n">
        <f aca="false">SUM(Q41:U41)</f>
        <v>0</v>
      </c>
      <c r="W41" s="21" t="n">
        <f aca="false">COUNTIFS(d_Marca,$A41,d_Modelo,$B41,d_Subest,W$7)</f>
        <v>0</v>
      </c>
      <c r="X41" s="21" t="n">
        <f aca="false">COUNTIFS(d_Marca,$A41,d_Modelo,$B41,d_Subest,X$7)</f>
        <v>0</v>
      </c>
      <c r="Y41" s="21" t="n">
        <f aca="false">COUNTIFS(d_Marca,$A41,d_Modelo,$B41,d_Subest,Y$7)</f>
        <v>0</v>
      </c>
      <c r="Z41" s="21" t="n">
        <f aca="false">COUNTIFS(d_Marca,$A41,d_Modelo,$B41,d_Subest,Z$7)</f>
        <v>0</v>
      </c>
      <c r="AA41" s="21" t="n">
        <f aca="false">COUNTIFS(d_Marca,$A41,d_Modelo,$B41,d_Subest,AA$7)</f>
        <v>0</v>
      </c>
      <c r="AB41" s="17" t="n">
        <f aca="false">SUM(W41:AA41)</f>
        <v>0</v>
      </c>
      <c r="AC41" s="21" t="n">
        <f aca="false">COUNTIFS(d_Marca,$A41,d_Modelo,$B41,d_Subest,AC$7)</f>
        <v>0</v>
      </c>
      <c r="AD41" s="21" t="n">
        <f aca="false">COUNTIFS(d_Marca,$A41,d_Modelo,$B41,d_Subest,AD$7)</f>
        <v>0</v>
      </c>
      <c r="AE41" s="21" t="n">
        <f aca="false">COUNTIFS(d_Marca,$A41,d_Modelo,$B41,d_Subest,AE$7)</f>
        <v>0</v>
      </c>
      <c r="AF41" s="21" t="n">
        <f aca="false">COUNTIFS(d_Marca,$A41,d_Modelo,$B41,d_Subest,AF$7)</f>
        <v>0</v>
      </c>
      <c r="AG41" s="21" t="n">
        <f aca="false">COUNTIFS(d_Marca,$A41,d_Modelo,$B41,d_Subest,AG$7)</f>
        <v>0</v>
      </c>
      <c r="AH41" s="21" t="n">
        <f aca="false">COUNTIFS(d_Marca,$A41,d_Modelo,$B41,d_Subest,AH$7)</f>
        <v>0</v>
      </c>
      <c r="AI41" s="21" t="n">
        <f aca="false">COUNTIFS(d_Marca,$A41,d_Modelo,$B41,d_Subest,AI$7)</f>
        <v>0</v>
      </c>
      <c r="AJ41" s="21" t="n">
        <f aca="false">COUNTIFS(d_Marca,$A41,d_Modelo,$B41,d_Subest,AJ$7)</f>
        <v>0</v>
      </c>
      <c r="AK41" s="21" t="n">
        <f aca="false">COUNTIFS(d_Marca,$A41,d_Modelo,$B41,d_Subest,AK$7)</f>
        <v>0</v>
      </c>
      <c r="AL41" s="21" t="n">
        <f aca="false">COUNTIFS(d_Marca,$A41,d_Modelo,$B41,d_Subest,AL$7)</f>
        <v>0</v>
      </c>
      <c r="AM41" s="17" t="n">
        <f aca="false">SUM(AC41:AL41)</f>
        <v>0</v>
      </c>
      <c r="AN41" s="21" t="n">
        <f aca="false">COUNTIFS(d_Marca,$A41,d_Modelo,$B41,d_Subest,AN$7)</f>
        <v>0</v>
      </c>
      <c r="AO41" s="21" t="n">
        <f aca="false">COUNTIFS(d_Marca,$A41,d_Modelo,$B41,d_Subest,AO$7)</f>
        <v>0</v>
      </c>
      <c r="AP41" s="21" t="n">
        <f aca="false">COUNTIFS(d_Marca,$A41,d_Modelo,$B41,d_Subest,AP$7)</f>
        <v>0</v>
      </c>
      <c r="AQ41" s="21" t="n">
        <f aca="false">COUNTIFS(d_Marca,$A41,d_Modelo,$B41,d_Subest,AQ$7)</f>
        <v>0</v>
      </c>
      <c r="AR41" s="21" t="n">
        <f aca="false">COUNTIFS(d_Marca,$A41,d_Modelo,$B41,d_Subest,AR$7)</f>
        <v>0</v>
      </c>
      <c r="AS41" s="21" t="n">
        <f aca="false">COUNTIFS(d_Marca,$A41,d_Modelo,$B41,d_Subest,AS$7)</f>
        <v>0</v>
      </c>
      <c r="AT41" s="21" t="n">
        <f aca="false">COUNTIFS(d_Marca,$A41,d_Modelo,$B41,d_Subest,AT$7)</f>
        <v>0</v>
      </c>
      <c r="AU41" s="21" t="n">
        <f aca="false">COUNTIFS(d_Marca,$A41,d_Modelo,$B41,d_Subest,AU$7)</f>
        <v>0</v>
      </c>
      <c r="AV41" s="21" t="n">
        <f aca="false">COUNTIFS(d_Marca,$A41,d_Modelo,$B41,d_Subest,AV$7)</f>
        <v>12</v>
      </c>
      <c r="AW41" s="21" t="n">
        <f aca="false">COUNTIFS(d_Marca,$A41,d_Modelo,$B41,d_Subest,AW$7)</f>
        <v>2</v>
      </c>
      <c r="AX41" s="17" t="n">
        <f aca="false">SUM(AN41:AW41)</f>
        <v>14</v>
      </c>
      <c r="AY41" s="21" t="n">
        <f aca="false">COUNTIFS(d_Marca,$A41,d_Modelo,$B41,d_Subest,AY$7)</f>
        <v>0</v>
      </c>
      <c r="AZ41" s="17" t="n">
        <f aca="false">E41+H41+K41+P41+V41+AB41+AM41+AX41+AY41</f>
        <v>14</v>
      </c>
    </row>
    <row r="42" customFormat="false" ht="15" hidden="false" customHeight="false" outlineLevel="0" collapsed="false">
      <c r="A42" s="19" t="s">
        <v>61</v>
      </c>
      <c r="B42" s="20" t="s">
        <v>68</v>
      </c>
      <c r="C42" s="21" t="n">
        <f aca="false">COUNTIFS(d_Marca,$A42,d_Modelo,$B42,d_Subest,C$7)</f>
        <v>0</v>
      </c>
      <c r="D42" s="21" t="n">
        <f aca="false">COUNTIFS(d_Marca,$A42,d_Modelo,$B42,d_Subest,D$7)</f>
        <v>0</v>
      </c>
      <c r="E42" s="17" t="n">
        <f aca="false">SUM(C42:D42)</f>
        <v>0</v>
      </c>
      <c r="F42" s="21" t="n">
        <f aca="false">COUNTIFS(d_Marca,$A42,d_Modelo,$B42,d_Subest,F$7)</f>
        <v>0</v>
      </c>
      <c r="G42" s="21" t="n">
        <f aca="false">COUNTIFS(d_Marca,$A42,d_Modelo,$B42,d_Subest,G$7)</f>
        <v>0</v>
      </c>
      <c r="H42" s="17" t="n">
        <f aca="false">SUM(F42:G42)</f>
        <v>0</v>
      </c>
      <c r="I42" s="21" t="n">
        <f aca="false">COUNTIFS(d_Marca,$A42,d_Modelo,$B42,d_Subest,I$7)</f>
        <v>0</v>
      </c>
      <c r="J42" s="21" t="n">
        <f aca="false">COUNTIFS(d_Marca,$A42,d_Modelo,$B42,d_Subest,J$7)</f>
        <v>0</v>
      </c>
      <c r="K42" s="17" t="n">
        <f aca="false">SUM(I42:J42)</f>
        <v>0</v>
      </c>
      <c r="L42" s="21" t="n">
        <f aca="false">COUNTIFS(d_Marca,$A42,d_Modelo,$B42,d_Subest,L$7)</f>
        <v>0</v>
      </c>
      <c r="M42" s="21" t="n">
        <f aca="false">COUNTIFS(d_Marca,$A42,d_Modelo,$B42,d_Subest,M$7)</f>
        <v>0</v>
      </c>
      <c r="N42" s="21" t="n">
        <f aca="false">COUNTIFS(d_Marca,$A42,d_Modelo,$B42,d_Subest,N$7)</f>
        <v>0</v>
      </c>
      <c r="O42" s="21" t="n">
        <f aca="false">COUNTIFS(d_Marca,$A42,d_Modelo,$B42,d_Subest,O$7)</f>
        <v>0</v>
      </c>
      <c r="P42" s="17" t="n">
        <f aca="false">SUM(L42:O42)</f>
        <v>0</v>
      </c>
      <c r="Q42" s="21" t="n">
        <f aca="false">COUNTIFS(d_Marca,$A42,d_Modelo,$B42,d_Subest,Q$7)</f>
        <v>0</v>
      </c>
      <c r="R42" s="21" t="n">
        <f aca="false">COUNTIFS(d_Marca,$A42,d_Modelo,$B42,d_Subest,R$7)</f>
        <v>0</v>
      </c>
      <c r="S42" s="21" t="n">
        <f aca="false">COUNTIFS(d_Marca,$A42,d_Modelo,$B42,d_Subest,S$7)</f>
        <v>0</v>
      </c>
      <c r="T42" s="21" t="n">
        <f aca="false">COUNTIFS(d_Marca,$A42,d_Modelo,$B42,d_Subest,T$7)</f>
        <v>0</v>
      </c>
      <c r="U42" s="21" t="n">
        <f aca="false">COUNTIFS(d_Marca,$A42,d_Modelo,$B42,d_Subest,U$7)</f>
        <v>0</v>
      </c>
      <c r="V42" s="17" t="n">
        <f aca="false">SUM(Q42:U42)</f>
        <v>0</v>
      </c>
      <c r="W42" s="21" t="n">
        <f aca="false">COUNTIFS(d_Marca,$A42,d_Modelo,$B42,d_Subest,W$7)</f>
        <v>0</v>
      </c>
      <c r="X42" s="21" t="n">
        <f aca="false">COUNTIFS(d_Marca,$A42,d_Modelo,$B42,d_Subest,X$7)</f>
        <v>0</v>
      </c>
      <c r="Y42" s="21" t="n">
        <f aca="false">COUNTIFS(d_Marca,$A42,d_Modelo,$B42,d_Subest,Y$7)</f>
        <v>0</v>
      </c>
      <c r="Z42" s="21" t="n">
        <f aca="false">COUNTIFS(d_Marca,$A42,d_Modelo,$B42,d_Subest,Z$7)</f>
        <v>0</v>
      </c>
      <c r="AA42" s="21" t="n">
        <f aca="false">COUNTIFS(d_Marca,$A42,d_Modelo,$B42,d_Subest,AA$7)</f>
        <v>0</v>
      </c>
      <c r="AB42" s="17" t="n">
        <f aca="false">SUM(W42:AA42)</f>
        <v>0</v>
      </c>
      <c r="AC42" s="21" t="n">
        <f aca="false">COUNTIFS(d_Marca,$A42,d_Modelo,$B42,d_Subest,AC$7)</f>
        <v>0</v>
      </c>
      <c r="AD42" s="21" t="n">
        <f aca="false">COUNTIFS(d_Marca,$A42,d_Modelo,$B42,d_Subest,AD$7)</f>
        <v>0</v>
      </c>
      <c r="AE42" s="21" t="n">
        <f aca="false">COUNTIFS(d_Marca,$A42,d_Modelo,$B42,d_Subest,AE$7)</f>
        <v>0</v>
      </c>
      <c r="AF42" s="21" t="n">
        <f aca="false">COUNTIFS(d_Marca,$A42,d_Modelo,$B42,d_Subest,AF$7)</f>
        <v>0</v>
      </c>
      <c r="AG42" s="21" t="n">
        <f aca="false">COUNTIFS(d_Marca,$A42,d_Modelo,$B42,d_Subest,AG$7)</f>
        <v>0</v>
      </c>
      <c r="AH42" s="21" t="n">
        <f aca="false">COUNTIFS(d_Marca,$A42,d_Modelo,$B42,d_Subest,AH$7)</f>
        <v>0</v>
      </c>
      <c r="AI42" s="21" t="n">
        <f aca="false">COUNTIFS(d_Marca,$A42,d_Modelo,$B42,d_Subest,AI$7)</f>
        <v>0</v>
      </c>
      <c r="AJ42" s="21" t="n">
        <f aca="false">COUNTIFS(d_Marca,$A42,d_Modelo,$B42,d_Subest,AJ$7)</f>
        <v>0</v>
      </c>
      <c r="AK42" s="21" t="n">
        <f aca="false">COUNTIFS(d_Marca,$A42,d_Modelo,$B42,d_Subest,AK$7)</f>
        <v>0</v>
      </c>
      <c r="AL42" s="21" t="n">
        <f aca="false">COUNTIFS(d_Marca,$A42,d_Modelo,$B42,d_Subest,AL$7)</f>
        <v>0</v>
      </c>
      <c r="AM42" s="17" t="n">
        <f aca="false">SUM(AC42:AL42)</f>
        <v>0</v>
      </c>
      <c r="AN42" s="21" t="n">
        <f aca="false">COUNTIFS(d_Marca,$A42,d_Modelo,$B42,d_Subest,AN$7)</f>
        <v>0</v>
      </c>
      <c r="AO42" s="21" t="n">
        <f aca="false">COUNTIFS(d_Marca,$A42,d_Modelo,$B42,d_Subest,AO$7)</f>
        <v>0</v>
      </c>
      <c r="AP42" s="21" t="n">
        <f aca="false">COUNTIFS(d_Marca,$A42,d_Modelo,$B42,d_Subest,AP$7)</f>
        <v>0</v>
      </c>
      <c r="AQ42" s="21" t="n">
        <f aca="false">COUNTIFS(d_Marca,$A42,d_Modelo,$B42,d_Subest,AQ$7)</f>
        <v>0</v>
      </c>
      <c r="AR42" s="21" t="n">
        <f aca="false">COUNTIFS(d_Marca,$A42,d_Modelo,$B42,d_Subest,AR$7)</f>
        <v>0</v>
      </c>
      <c r="AS42" s="21" t="n">
        <f aca="false">COUNTIFS(d_Marca,$A42,d_Modelo,$B42,d_Subest,AS$7)</f>
        <v>0</v>
      </c>
      <c r="AT42" s="21" t="n">
        <f aca="false">COUNTIFS(d_Marca,$A42,d_Modelo,$B42,d_Subest,AT$7)</f>
        <v>0</v>
      </c>
      <c r="AU42" s="21" t="n">
        <f aca="false">COUNTIFS(d_Marca,$A42,d_Modelo,$B42,d_Subest,AU$7)</f>
        <v>0</v>
      </c>
      <c r="AV42" s="21" t="n">
        <f aca="false">COUNTIFS(d_Marca,$A42,d_Modelo,$B42,d_Subest,AV$7)</f>
        <v>10</v>
      </c>
      <c r="AW42" s="21" t="n">
        <f aca="false">COUNTIFS(d_Marca,$A42,d_Modelo,$B42,d_Subest,AW$7)</f>
        <v>0</v>
      </c>
      <c r="AX42" s="17" t="n">
        <f aca="false">SUM(AN42:AW42)</f>
        <v>10</v>
      </c>
      <c r="AY42" s="21" t="n">
        <f aca="false">COUNTIFS(d_Marca,$A42,d_Modelo,$B42,d_Subest,AY$7)</f>
        <v>0</v>
      </c>
      <c r="AZ42" s="17" t="n">
        <f aca="false">E42+H42+K42+P42+V42+AB42+AM42+AX42+AY42</f>
        <v>10</v>
      </c>
    </row>
    <row r="43" customFormat="false" ht="15" hidden="false" customHeight="false" outlineLevel="0" collapsed="false">
      <c r="A43" s="19" t="s">
        <v>61</v>
      </c>
      <c r="B43" s="20" t="s">
        <v>69</v>
      </c>
      <c r="C43" s="21" t="n">
        <f aca="false">COUNTIFS(d_Marca,$A43,d_Modelo,$B43,d_Subest,C$7)</f>
        <v>0</v>
      </c>
      <c r="D43" s="21" t="n">
        <f aca="false">COUNTIFS(d_Marca,$A43,d_Modelo,$B43,d_Subest,D$7)</f>
        <v>0</v>
      </c>
      <c r="E43" s="17" t="n">
        <f aca="false">SUM(C43:D43)</f>
        <v>0</v>
      </c>
      <c r="F43" s="21" t="n">
        <f aca="false">COUNTIFS(d_Marca,$A43,d_Modelo,$B43,d_Subest,F$7)</f>
        <v>0</v>
      </c>
      <c r="G43" s="21" t="n">
        <f aca="false">COUNTIFS(d_Marca,$A43,d_Modelo,$B43,d_Subest,G$7)</f>
        <v>0</v>
      </c>
      <c r="H43" s="17" t="n">
        <f aca="false">SUM(F43:G43)</f>
        <v>0</v>
      </c>
      <c r="I43" s="21" t="n">
        <f aca="false">COUNTIFS(d_Marca,$A43,d_Modelo,$B43,d_Subest,I$7)</f>
        <v>0</v>
      </c>
      <c r="J43" s="21" t="n">
        <f aca="false">COUNTIFS(d_Marca,$A43,d_Modelo,$B43,d_Subest,J$7)</f>
        <v>0</v>
      </c>
      <c r="K43" s="17" t="n">
        <f aca="false">SUM(I43:J43)</f>
        <v>0</v>
      </c>
      <c r="L43" s="21" t="n">
        <f aca="false">COUNTIFS(d_Marca,$A43,d_Modelo,$B43,d_Subest,L$7)</f>
        <v>0</v>
      </c>
      <c r="M43" s="21" t="n">
        <f aca="false">COUNTIFS(d_Marca,$A43,d_Modelo,$B43,d_Subest,M$7)</f>
        <v>0</v>
      </c>
      <c r="N43" s="21" t="n">
        <f aca="false">COUNTIFS(d_Marca,$A43,d_Modelo,$B43,d_Subest,N$7)</f>
        <v>0</v>
      </c>
      <c r="O43" s="21" t="n">
        <f aca="false">COUNTIFS(d_Marca,$A43,d_Modelo,$B43,d_Subest,O$7)</f>
        <v>0</v>
      </c>
      <c r="P43" s="17" t="n">
        <f aca="false">SUM(L43:O43)</f>
        <v>0</v>
      </c>
      <c r="Q43" s="21" t="n">
        <f aca="false">COUNTIFS(d_Marca,$A43,d_Modelo,$B43,d_Subest,Q$7)</f>
        <v>0</v>
      </c>
      <c r="R43" s="21" t="n">
        <f aca="false">COUNTIFS(d_Marca,$A43,d_Modelo,$B43,d_Subest,R$7)</f>
        <v>0</v>
      </c>
      <c r="S43" s="21" t="n">
        <f aca="false">COUNTIFS(d_Marca,$A43,d_Modelo,$B43,d_Subest,S$7)</f>
        <v>0</v>
      </c>
      <c r="T43" s="21" t="n">
        <f aca="false">COUNTIFS(d_Marca,$A43,d_Modelo,$B43,d_Subest,T$7)</f>
        <v>0</v>
      </c>
      <c r="U43" s="21" t="n">
        <f aca="false">COUNTIFS(d_Marca,$A43,d_Modelo,$B43,d_Subest,U$7)</f>
        <v>0</v>
      </c>
      <c r="V43" s="17" t="n">
        <f aca="false">SUM(Q43:U43)</f>
        <v>0</v>
      </c>
      <c r="W43" s="21" t="n">
        <f aca="false">COUNTIFS(d_Marca,$A43,d_Modelo,$B43,d_Subest,W$7)</f>
        <v>0</v>
      </c>
      <c r="X43" s="21" t="n">
        <f aca="false">COUNTIFS(d_Marca,$A43,d_Modelo,$B43,d_Subest,X$7)</f>
        <v>0</v>
      </c>
      <c r="Y43" s="21" t="n">
        <f aca="false">COUNTIFS(d_Marca,$A43,d_Modelo,$B43,d_Subest,Y$7)</f>
        <v>0</v>
      </c>
      <c r="Z43" s="21" t="n">
        <f aca="false">COUNTIFS(d_Marca,$A43,d_Modelo,$B43,d_Subest,Z$7)</f>
        <v>0</v>
      </c>
      <c r="AA43" s="21" t="n">
        <f aca="false">COUNTIFS(d_Marca,$A43,d_Modelo,$B43,d_Subest,AA$7)</f>
        <v>0</v>
      </c>
      <c r="AB43" s="17" t="n">
        <f aca="false">SUM(W43:AA43)</f>
        <v>0</v>
      </c>
      <c r="AC43" s="21" t="n">
        <f aca="false">COUNTIFS(d_Marca,$A43,d_Modelo,$B43,d_Subest,AC$7)</f>
        <v>0</v>
      </c>
      <c r="AD43" s="21" t="n">
        <f aca="false">COUNTIFS(d_Marca,$A43,d_Modelo,$B43,d_Subest,AD$7)</f>
        <v>0</v>
      </c>
      <c r="AE43" s="21" t="n">
        <f aca="false">COUNTIFS(d_Marca,$A43,d_Modelo,$B43,d_Subest,AE$7)</f>
        <v>0</v>
      </c>
      <c r="AF43" s="21" t="n">
        <f aca="false">COUNTIFS(d_Marca,$A43,d_Modelo,$B43,d_Subest,AF$7)</f>
        <v>0</v>
      </c>
      <c r="AG43" s="21" t="n">
        <f aca="false">COUNTIFS(d_Marca,$A43,d_Modelo,$B43,d_Subest,AG$7)</f>
        <v>0</v>
      </c>
      <c r="AH43" s="21" t="n">
        <f aca="false">COUNTIFS(d_Marca,$A43,d_Modelo,$B43,d_Subest,AH$7)</f>
        <v>0</v>
      </c>
      <c r="AI43" s="21" t="n">
        <f aca="false">COUNTIFS(d_Marca,$A43,d_Modelo,$B43,d_Subest,AI$7)</f>
        <v>0</v>
      </c>
      <c r="AJ43" s="21" t="n">
        <f aca="false">COUNTIFS(d_Marca,$A43,d_Modelo,$B43,d_Subest,AJ$7)</f>
        <v>0</v>
      </c>
      <c r="AK43" s="21" t="n">
        <f aca="false">COUNTIFS(d_Marca,$A43,d_Modelo,$B43,d_Subest,AK$7)</f>
        <v>0</v>
      </c>
      <c r="AL43" s="21" t="n">
        <f aca="false">COUNTIFS(d_Marca,$A43,d_Modelo,$B43,d_Subest,AL$7)</f>
        <v>0</v>
      </c>
      <c r="AM43" s="17" t="n">
        <f aca="false">SUM(AC43:AL43)</f>
        <v>0</v>
      </c>
      <c r="AN43" s="21" t="n">
        <f aca="false">COUNTIFS(d_Marca,$A43,d_Modelo,$B43,d_Subest,AN$7)</f>
        <v>0</v>
      </c>
      <c r="AO43" s="21" t="n">
        <f aca="false">COUNTIFS(d_Marca,$A43,d_Modelo,$B43,d_Subest,AO$7)</f>
        <v>0</v>
      </c>
      <c r="AP43" s="21" t="n">
        <f aca="false">COUNTIFS(d_Marca,$A43,d_Modelo,$B43,d_Subest,AP$7)</f>
        <v>0</v>
      </c>
      <c r="AQ43" s="21" t="n">
        <f aca="false">COUNTIFS(d_Marca,$A43,d_Modelo,$B43,d_Subest,AQ$7)</f>
        <v>0</v>
      </c>
      <c r="AR43" s="21" t="n">
        <f aca="false">COUNTIFS(d_Marca,$A43,d_Modelo,$B43,d_Subest,AR$7)</f>
        <v>0</v>
      </c>
      <c r="AS43" s="21" t="n">
        <f aca="false">COUNTIFS(d_Marca,$A43,d_Modelo,$B43,d_Subest,AS$7)</f>
        <v>0</v>
      </c>
      <c r="AT43" s="21" t="n">
        <f aca="false">COUNTIFS(d_Marca,$A43,d_Modelo,$B43,d_Subest,AT$7)</f>
        <v>0</v>
      </c>
      <c r="AU43" s="21" t="n">
        <f aca="false">COUNTIFS(d_Marca,$A43,d_Modelo,$B43,d_Subest,AU$7)</f>
        <v>0</v>
      </c>
      <c r="AV43" s="21" t="n">
        <f aca="false">COUNTIFS(d_Marca,$A43,d_Modelo,$B43,d_Subest,AV$7)</f>
        <v>0</v>
      </c>
      <c r="AW43" s="21" t="n">
        <f aca="false">COUNTIFS(d_Marca,$A43,d_Modelo,$B43,d_Subest,AW$7)</f>
        <v>0</v>
      </c>
      <c r="AX43" s="17" t="n">
        <f aca="false">SUM(AN43:AW43)</f>
        <v>0</v>
      </c>
      <c r="AY43" s="21" t="n">
        <f aca="false">COUNTIFS(d_Marca,$A43,d_Modelo,$B43,d_Subest,AY$7)</f>
        <v>8</v>
      </c>
      <c r="AZ43" s="17" t="n">
        <f aca="false">E43+H43+K43+P43+V43+AB43+AM43+AX43+AY43</f>
        <v>8</v>
      </c>
    </row>
    <row r="44" customFormat="false" ht="15" hidden="false" customHeight="false" outlineLevel="0" collapsed="false">
      <c r="A44" s="19" t="s">
        <v>61</v>
      </c>
      <c r="B44" s="20" t="s">
        <v>70</v>
      </c>
      <c r="C44" s="21" t="n">
        <f aca="false">COUNTIFS(d_Marca,$A44,d_Modelo,$B44,d_Subest,C$7)</f>
        <v>0</v>
      </c>
      <c r="D44" s="21" t="n">
        <f aca="false">COUNTIFS(d_Marca,$A44,d_Modelo,$B44,d_Subest,D$7)</f>
        <v>0</v>
      </c>
      <c r="E44" s="17" t="n">
        <f aca="false">SUM(C44:D44)</f>
        <v>0</v>
      </c>
      <c r="F44" s="21" t="n">
        <f aca="false">COUNTIFS(d_Marca,$A44,d_Modelo,$B44,d_Subest,F$7)</f>
        <v>0</v>
      </c>
      <c r="G44" s="21" t="n">
        <f aca="false">COUNTIFS(d_Marca,$A44,d_Modelo,$B44,d_Subest,G$7)</f>
        <v>0</v>
      </c>
      <c r="H44" s="17" t="n">
        <f aca="false">SUM(F44:G44)</f>
        <v>0</v>
      </c>
      <c r="I44" s="21" t="n">
        <f aca="false">COUNTIFS(d_Marca,$A44,d_Modelo,$B44,d_Subest,I$7)</f>
        <v>0</v>
      </c>
      <c r="J44" s="21" t="n">
        <f aca="false">COUNTIFS(d_Marca,$A44,d_Modelo,$B44,d_Subest,J$7)</f>
        <v>0</v>
      </c>
      <c r="K44" s="17" t="n">
        <f aca="false">SUM(I44:J44)</f>
        <v>0</v>
      </c>
      <c r="L44" s="21" t="n">
        <f aca="false">COUNTIFS(d_Marca,$A44,d_Modelo,$B44,d_Subest,L$7)</f>
        <v>0</v>
      </c>
      <c r="M44" s="21" t="n">
        <f aca="false">COUNTIFS(d_Marca,$A44,d_Modelo,$B44,d_Subest,M$7)</f>
        <v>0</v>
      </c>
      <c r="N44" s="21" t="n">
        <f aca="false">COUNTIFS(d_Marca,$A44,d_Modelo,$B44,d_Subest,N$7)</f>
        <v>0</v>
      </c>
      <c r="O44" s="21" t="n">
        <f aca="false">COUNTIFS(d_Marca,$A44,d_Modelo,$B44,d_Subest,O$7)</f>
        <v>0</v>
      </c>
      <c r="P44" s="17" t="n">
        <f aca="false">SUM(L44:O44)</f>
        <v>0</v>
      </c>
      <c r="Q44" s="21" t="n">
        <f aca="false">COUNTIFS(d_Marca,$A44,d_Modelo,$B44,d_Subest,Q$7)</f>
        <v>0</v>
      </c>
      <c r="R44" s="21" t="n">
        <f aca="false">COUNTIFS(d_Marca,$A44,d_Modelo,$B44,d_Subest,R$7)</f>
        <v>0</v>
      </c>
      <c r="S44" s="21" t="n">
        <f aca="false">COUNTIFS(d_Marca,$A44,d_Modelo,$B44,d_Subest,S$7)</f>
        <v>0</v>
      </c>
      <c r="T44" s="21" t="n">
        <f aca="false">COUNTIFS(d_Marca,$A44,d_Modelo,$B44,d_Subest,T$7)</f>
        <v>0</v>
      </c>
      <c r="U44" s="21" t="n">
        <f aca="false">COUNTIFS(d_Marca,$A44,d_Modelo,$B44,d_Subest,U$7)</f>
        <v>0</v>
      </c>
      <c r="V44" s="17" t="n">
        <f aca="false">SUM(Q44:U44)</f>
        <v>0</v>
      </c>
      <c r="W44" s="21" t="n">
        <f aca="false">COUNTIFS(d_Marca,$A44,d_Modelo,$B44,d_Subest,W$7)</f>
        <v>0</v>
      </c>
      <c r="X44" s="21" t="n">
        <f aca="false">COUNTIFS(d_Marca,$A44,d_Modelo,$B44,d_Subest,X$7)</f>
        <v>0</v>
      </c>
      <c r="Y44" s="21" t="n">
        <f aca="false">COUNTIFS(d_Marca,$A44,d_Modelo,$B44,d_Subest,Y$7)</f>
        <v>0</v>
      </c>
      <c r="Z44" s="21" t="n">
        <f aca="false">COUNTIFS(d_Marca,$A44,d_Modelo,$B44,d_Subest,Z$7)</f>
        <v>0</v>
      </c>
      <c r="AA44" s="21" t="n">
        <f aca="false">COUNTIFS(d_Marca,$A44,d_Modelo,$B44,d_Subest,AA$7)</f>
        <v>0</v>
      </c>
      <c r="AB44" s="17" t="n">
        <f aca="false">SUM(W44:AA44)</f>
        <v>0</v>
      </c>
      <c r="AC44" s="21" t="n">
        <f aca="false">COUNTIFS(d_Marca,$A44,d_Modelo,$B44,d_Subest,AC$7)</f>
        <v>0</v>
      </c>
      <c r="AD44" s="21" t="n">
        <f aca="false">COUNTIFS(d_Marca,$A44,d_Modelo,$B44,d_Subest,AD$7)</f>
        <v>0</v>
      </c>
      <c r="AE44" s="21" t="n">
        <f aca="false">COUNTIFS(d_Marca,$A44,d_Modelo,$B44,d_Subest,AE$7)</f>
        <v>0</v>
      </c>
      <c r="AF44" s="21" t="n">
        <f aca="false">COUNTIFS(d_Marca,$A44,d_Modelo,$B44,d_Subest,AF$7)</f>
        <v>0</v>
      </c>
      <c r="AG44" s="21" t="n">
        <f aca="false">COUNTIFS(d_Marca,$A44,d_Modelo,$B44,d_Subest,AG$7)</f>
        <v>0</v>
      </c>
      <c r="AH44" s="21" t="n">
        <f aca="false">COUNTIFS(d_Marca,$A44,d_Modelo,$B44,d_Subest,AH$7)</f>
        <v>0</v>
      </c>
      <c r="AI44" s="21" t="n">
        <f aca="false">COUNTIFS(d_Marca,$A44,d_Modelo,$B44,d_Subest,AI$7)</f>
        <v>0</v>
      </c>
      <c r="AJ44" s="21" t="n">
        <f aca="false">COUNTIFS(d_Marca,$A44,d_Modelo,$B44,d_Subest,AJ$7)</f>
        <v>0</v>
      </c>
      <c r="AK44" s="21" t="n">
        <f aca="false">COUNTIFS(d_Marca,$A44,d_Modelo,$B44,d_Subest,AK$7)</f>
        <v>0</v>
      </c>
      <c r="AL44" s="21" t="n">
        <f aca="false">COUNTIFS(d_Marca,$A44,d_Modelo,$B44,d_Subest,AL$7)</f>
        <v>0</v>
      </c>
      <c r="AM44" s="17" t="n">
        <f aca="false">SUM(AC44:AL44)</f>
        <v>0</v>
      </c>
      <c r="AN44" s="21" t="n">
        <f aca="false">COUNTIFS(d_Marca,$A44,d_Modelo,$B44,d_Subest,AN$7)</f>
        <v>0</v>
      </c>
      <c r="AO44" s="21" t="n">
        <f aca="false">COUNTIFS(d_Marca,$A44,d_Modelo,$B44,d_Subest,AO$7)</f>
        <v>0</v>
      </c>
      <c r="AP44" s="21" t="n">
        <f aca="false">COUNTIFS(d_Marca,$A44,d_Modelo,$B44,d_Subest,AP$7)</f>
        <v>0</v>
      </c>
      <c r="AQ44" s="21" t="n">
        <f aca="false">COUNTIFS(d_Marca,$A44,d_Modelo,$B44,d_Subest,AQ$7)</f>
        <v>0</v>
      </c>
      <c r="AR44" s="21" t="n">
        <f aca="false">COUNTIFS(d_Marca,$A44,d_Modelo,$B44,d_Subest,AR$7)</f>
        <v>0</v>
      </c>
      <c r="AS44" s="21" t="n">
        <f aca="false">COUNTIFS(d_Marca,$A44,d_Modelo,$B44,d_Subest,AS$7)</f>
        <v>0</v>
      </c>
      <c r="AT44" s="21" t="n">
        <f aca="false">COUNTIFS(d_Marca,$A44,d_Modelo,$B44,d_Subest,AT$7)</f>
        <v>0</v>
      </c>
      <c r="AU44" s="21" t="n">
        <f aca="false">COUNTIFS(d_Marca,$A44,d_Modelo,$B44,d_Subest,AU$7)</f>
        <v>0</v>
      </c>
      <c r="AV44" s="21" t="n">
        <f aca="false">COUNTIFS(d_Marca,$A44,d_Modelo,$B44,d_Subest,AV$7)</f>
        <v>2</v>
      </c>
      <c r="AW44" s="21" t="n">
        <f aca="false">COUNTIFS(d_Marca,$A44,d_Modelo,$B44,d_Subest,AW$7)</f>
        <v>2</v>
      </c>
      <c r="AX44" s="17" t="n">
        <f aca="false">SUM(AN44:AW44)</f>
        <v>4</v>
      </c>
      <c r="AY44" s="21" t="n">
        <f aca="false">COUNTIFS(d_Marca,$A44,d_Modelo,$B44,d_Subest,AY$7)</f>
        <v>0</v>
      </c>
      <c r="AZ44" s="17" t="n">
        <f aca="false">E44+H44+K44+P44+V44+AB44+AM44+AX44+AY44</f>
        <v>4</v>
      </c>
    </row>
    <row r="45" customFormat="false" ht="15" hidden="false" customHeight="false" outlineLevel="0" collapsed="false">
      <c r="A45" s="19" t="s">
        <v>61</v>
      </c>
      <c r="B45" s="20" t="s">
        <v>71</v>
      </c>
      <c r="C45" s="21" t="n">
        <f aca="false">COUNTIFS(d_Marca,$A45,d_Modelo,$B45,d_Subest,C$7)</f>
        <v>0</v>
      </c>
      <c r="D45" s="21" t="n">
        <f aca="false">COUNTIFS(d_Marca,$A45,d_Modelo,$B45,d_Subest,D$7)</f>
        <v>0</v>
      </c>
      <c r="E45" s="17" t="n">
        <f aca="false">SUM(C45:D45)</f>
        <v>0</v>
      </c>
      <c r="F45" s="21" t="n">
        <f aca="false">COUNTIFS(d_Marca,$A45,d_Modelo,$B45,d_Subest,F$7)</f>
        <v>0</v>
      </c>
      <c r="G45" s="21" t="n">
        <f aca="false">COUNTIFS(d_Marca,$A45,d_Modelo,$B45,d_Subest,G$7)</f>
        <v>0</v>
      </c>
      <c r="H45" s="17" t="n">
        <f aca="false">SUM(F45:G45)</f>
        <v>0</v>
      </c>
      <c r="I45" s="21" t="n">
        <f aca="false">COUNTIFS(d_Marca,$A45,d_Modelo,$B45,d_Subest,I$7)</f>
        <v>0</v>
      </c>
      <c r="J45" s="21" t="n">
        <f aca="false">COUNTIFS(d_Marca,$A45,d_Modelo,$B45,d_Subest,J$7)</f>
        <v>0</v>
      </c>
      <c r="K45" s="17" t="n">
        <f aca="false">SUM(I45:J45)</f>
        <v>0</v>
      </c>
      <c r="L45" s="21" t="n">
        <f aca="false">COUNTIFS(d_Marca,$A45,d_Modelo,$B45,d_Subest,L$7)</f>
        <v>0</v>
      </c>
      <c r="M45" s="21" t="n">
        <f aca="false">COUNTIFS(d_Marca,$A45,d_Modelo,$B45,d_Subest,M$7)</f>
        <v>0</v>
      </c>
      <c r="N45" s="21" t="n">
        <f aca="false">COUNTIFS(d_Marca,$A45,d_Modelo,$B45,d_Subest,N$7)</f>
        <v>0</v>
      </c>
      <c r="O45" s="21" t="n">
        <f aca="false">COUNTIFS(d_Marca,$A45,d_Modelo,$B45,d_Subest,O$7)</f>
        <v>0</v>
      </c>
      <c r="P45" s="17" t="n">
        <f aca="false">SUM(L45:O45)</f>
        <v>0</v>
      </c>
      <c r="Q45" s="21" t="n">
        <f aca="false">COUNTIFS(d_Marca,$A45,d_Modelo,$B45,d_Subest,Q$7)</f>
        <v>0</v>
      </c>
      <c r="R45" s="21" t="n">
        <f aca="false">COUNTIFS(d_Marca,$A45,d_Modelo,$B45,d_Subest,R$7)</f>
        <v>0</v>
      </c>
      <c r="S45" s="21" t="n">
        <f aca="false">COUNTIFS(d_Marca,$A45,d_Modelo,$B45,d_Subest,S$7)</f>
        <v>0</v>
      </c>
      <c r="T45" s="21" t="n">
        <f aca="false">COUNTIFS(d_Marca,$A45,d_Modelo,$B45,d_Subest,T$7)</f>
        <v>0</v>
      </c>
      <c r="U45" s="21" t="n">
        <f aca="false">COUNTIFS(d_Marca,$A45,d_Modelo,$B45,d_Subest,U$7)</f>
        <v>0</v>
      </c>
      <c r="V45" s="17" t="n">
        <f aca="false">SUM(Q45:U45)</f>
        <v>0</v>
      </c>
      <c r="W45" s="21" t="n">
        <f aca="false">COUNTIFS(d_Marca,$A45,d_Modelo,$B45,d_Subest,W$7)</f>
        <v>0</v>
      </c>
      <c r="X45" s="21" t="n">
        <f aca="false">COUNTIFS(d_Marca,$A45,d_Modelo,$B45,d_Subest,X$7)</f>
        <v>0</v>
      </c>
      <c r="Y45" s="21" t="n">
        <f aca="false">COUNTIFS(d_Marca,$A45,d_Modelo,$B45,d_Subest,Y$7)</f>
        <v>0</v>
      </c>
      <c r="Z45" s="21" t="n">
        <f aca="false">COUNTIFS(d_Marca,$A45,d_Modelo,$B45,d_Subest,Z$7)</f>
        <v>0</v>
      </c>
      <c r="AA45" s="21" t="n">
        <f aca="false">COUNTIFS(d_Marca,$A45,d_Modelo,$B45,d_Subest,AA$7)</f>
        <v>0</v>
      </c>
      <c r="AB45" s="17" t="n">
        <f aca="false">SUM(W45:AA45)</f>
        <v>0</v>
      </c>
      <c r="AC45" s="21" t="n">
        <f aca="false">COUNTIFS(d_Marca,$A45,d_Modelo,$B45,d_Subest,AC$7)</f>
        <v>0</v>
      </c>
      <c r="AD45" s="21" t="n">
        <f aca="false">COUNTIFS(d_Marca,$A45,d_Modelo,$B45,d_Subest,AD$7)</f>
        <v>0</v>
      </c>
      <c r="AE45" s="21" t="n">
        <f aca="false">COUNTIFS(d_Marca,$A45,d_Modelo,$B45,d_Subest,AE$7)</f>
        <v>0</v>
      </c>
      <c r="AF45" s="21" t="n">
        <f aca="false">COUNTIFS(d_Marca,$A45,d_Modelo,$B45,d_Subest,AF$7)</f>
        <v>0</v>
      </c>
      <c r="AG45" s="21" t="n">
        <f aca="false">COUNTIFS(d_Marca,$A45,d_Modelo,$B45,d_Subest,AG$7)</f>
        <v>0</v>
      </c>
      <c r="AH45" s="21" t="n">
        <f aca="false">COUNTIFS(d_Marca,$A45,d_Modelo,$B45,d_Subest,AH$7)</f>
        <v>0</v>
      </c>
      <c r="AI45" s="21" t="n">
        <f aca="false">COUNTIFS(d_Marca,$A45,d_Modelo,$B45,d_Subest,AI$7)</f>
        <v>0</v>
      </c>
      <c r="AJ45" s="21" t="n">
        <f aca="false">COUNTIFS(d_Marca,$A45,d_Modelo,$B45,d_Subest,AJ$7)</f>
        <v>0</v>
      </c>
      <c r="AK45" s="21" t="n">
        <f aca="false">COUNTIFS(d_Marca,$A45,d_Modelo,$B45,d_Subest,AK$7)</f>
        <v>0</v>
      </c>
      <c r="AL45" s="21" t="n">
        <f aca="false">COUNTIFS(d_Marca,$A45,d_Modelo,$B45,d_Subest,AL$7)</f>
        <v>0</v>
      </c>
      <c r="AM45" s="17" t="n">
        <f aca="false">SUM(AC45:AL45)</f>
        <v>0</v>
      </c>
      <c r="AN45" s="21" t="n">
        <f aca="false">COUNTIFS(d_Marca,$A45,d_Modelo,$B45,d_Subest,AN$7)</f>
        <v>0</v>
      </c>
      <c r="AO45" s="21" t="n">
        <f aca="false">COUNTIFS(d_Marca,$A45,d_Modelo,$B45,d_Subest,AO$7)</f>
        <v>0</v>
      </c>
      <c r="AP45" s="21" t="n">
        <f aca="false">COUNTIFS(d_Marca,$A45,d_Modelo,$B45,d_Subest,AP$7)</f>
        <v>0</v>
      </c>
      <c r="AQ45" s="21" t="n">
        <f aca="false">COUNTIFS(d_Marca,$A45,d_Modelo,$B45,d_Subest,AQ$7)</f>
        <v>0</v>
      </c>
      <c r="AR45" s="21" t="n">
        <f aca="false">COUNTIFS(d_Marca,$A45,d_Modelo,$B45,d_Subest,AR$7)</f>
        <v>0</v>
      </c>
      <c r="AS45" s="21" t="n">
        <f aca="false">COUNTIFS(d_Marca,$A45,d_Modelo,$B45,d_Subest,AS$7)</f>
        <v>0</v>
      </c>
      <c r="AT45" s="21" t="n">
        <f aca="false">COUNTIFS(d_Marca,$A45,d_Modelo,$B45,d_Subest,AT$7)</f>
        <v>0</v>
      </c>
      <c r="AU45" s="21" t="n">
        <f aca="false">COUNTIFS(d_Marca,$A45,d_Modelo,$B45,d_Subest,AU$7)</f>
        <v>0</v>
      </c>
      <c r="AV45" s="21" t="n">
        <f aca="false">COUNTIFS(d_Marca,$A45,d_Modelo,$B45,d_Subest,AV$7)</f>
        <v>2</v>
      </c>
      <c r="AW45" s="21" t="n">
        <f aca="false">COUNTIFS(d_Marca,$A45,d_Modelo,$B45,d_Subest,AW$7)</f>
        <v>2</v>
      </c>
      <c r="AX45" s="17" t="n">
        <f aca="false">SUM(AN45:AW45)</f>
        <v>4</v>
      </c>
      <c r="AY45" s="21" t="n">
        <f aca="false">COUNTIFS(d_Marca,$A45,d_Modelo,$B45,d_Subest,AY$7)</f>
        <v>0</v>
      </c>
      <c r="AZ45" s="17" t="n">
        <f aca="false">E45+H45+K45+P45+V45+AB45+AM45+AX45+AY45</f>
        <v>4</v>
      </c>
    </row>
    <row r="46" customFormat="false" ht="15" hidden="false" customHeight="false" outlineLevel="0" collapsed="false">
      <c r="A46" s="19" t="s">
        <v>61</v>
      </c>
      <c r="B46" s="20" t="s">
        <v>72</v>
      </c>
      <c r="C46" s="21" t="n">
        <f aca="false">COUNTIFS(d_Marca,$A46,d_Modelo,$B46,d_Subest,C$7)</f>
        <v>0</v>
      </c>
      <c r="D46" s="21" t="n">
        <f aca="false">COUNTIFS(d_Marca,$A46,d_Modelo,$B46,d_Subest,D$7)</f>
        <v>0</v>
      </c>
      <c r="E46" s="17" t="n">
        <f aca="false">SUM(C46:D46)</f>
        <v>0</v>
      </c>
      <c r="F46" s="21" t="n">
        <f aca="false">COUNTIFS(d_Marca,$A46,d_Modelo,$B46,d_Subest,F$7)</f>
        <v>0</v>
      </c>
      <c r="G46" s="21" t="n">
        <f aca="false">COUNTIFS(d_Marca,$A46,d_Modelo,$B46,d_Subest,G$7)</f>
        <v>0</v>
      </c>
      <c r="H46" s="17" t="n">
        <f aca="false">SUM(F46:G46)</f>
        <v>0</v>
      </c>
      <c r="I46" s="21" t="n">
        <f aca="false">COUNTIFS(d_Marca,$A46,d_Modelo,$B46,d_Subest,I$7)</f>
        <v>0</v>
      </c>
      <c r="J46" s="21" t="n">
        <f aca="false">COUNTIFS(d_Marca,$A46,d_Modelo,$B46,d_Subest,J$7)</f>
        <v>0</v>
      </c>
      <c r="K46" s="17" t="n">
        <f aca="false">SUM(I46:J46)</f>
        <v>0</v>
      </c>
      <c r="L46" s="21" t="n">
        <f aca="false">COUNTIFS(d_Marca,$A46,d_Modelo,$B46,d_Subest,L$7)</f>
        <v>0</v>
      </c>
      <c r="M46" s="21" t="n">
        <f aca="false">COUNTIFS(d_Marca,$A46,d_Modelo,$B46,d_Subest,M$7)</f>
        <v>0</v>
      </c>
      <c r="N46" s="21" t="n">
        <f aca="false">COUNTIFS(d_Marca,$A46,d_Modelo,$B46,d_Subest,N$7)</f>
        <v>0</v>
      </c>
      <c r="O46" s="21" t="n">
        <f aca="false">COUNTIFS(d_Marca,$A46,d_Modelo,$B46,d_Subest,O$7)</f>
        <v>0</v>
      </c>
      <c r="P46" s="17" t="n">
        <f aca="false">SUM(L46:O46)</f>
        <v>0</v>
      </c>
      <c r="Q46" s="21" t="n">
        <f aca="false">COUNTIFS(d_Marca,$A46,d_Modelo,$B46,d_Subest,Q$7)</f>
        <v>0</v>
      </c>
      <c r="R46" s="21" t="n">
        <f aca="false">COUNTIFS(d_Marca,$A46,d_Modelo,$B46,d_Subest,R$7)</f>
        <v>0</v>
      </c>
      <c r="S46" s="21" t="n">
        <f aca="false">COUNTIFS(d_Marca,$A46,d_Modelo,$B46,d_Subest,S$7)</f>
        <v>0</v>
      </c>
      <c r="T46" s="21" t="n">
        <f aca="false">COUNTIFS(d_Marca,$A46,d_Modelo,$B46,d_Subest,T$7)</f>
        <v>0</v>
      </c>
      <c r="U46" s="21" t="n">
        <f aca="false">COUNTIFS(d_Marca,$A46,d_Modelo,$B46,d_Subest,U$7)</f>
        <v>0</v>
      </c>
      <c r="V46" s="17" t="n">
        <f aca="false">SUM(Q46:U46)</f>
        <v>0</v>
      </c>
      <c r="W46" s="21" t="n">
        <f aca="false">COUNTIFS(d_Marca,$A46,d_Modelo,$B46,d_Subest,W$7)</f>
        <v>0</v>
      </c>
      <c r="X46" s="21" t="n">
        <f aca="false">COUNTIFS(d_Marca,$A46,d_Modelo,$B46,d_Subest,X$7)</f>
        <v>0</v>
      </c>
      <c r="Y46" s="21" t="n">
        <f aca="false">COUNTIFS(d_Marca,$A46,d_Modelo,$B46,d_Subest,Y$7)</f>
        <v>0</v>
      </c>
      <c r="Z46" s="21" t="n">
        <f aca="false">COUNTIFS(d_Marca,$A46,d_Modelo,$B46,d_Subest,Z$7)</f>
        <v>0</v>
      </c>
      <c r="AA46" s="21" t="n">
        <f aca="false">COUNTIFS(d_Marca,$A46,d_Modelo,$B46,d_Subest,AA$7)</f>
        <v>0</v>
      </c>
      <c r="AB46" s="17" t="n">
        <f aca="false">SUM(W46:AA46)</f>
        <v>0</v>
      </c>
      <c r="AC46" s="21" t="n">
        <f aca="false">COUNTIFS(d_Marca,$A46,d_Modelo,$B46,d_Subest,AC$7)</f>
        <v>0</v>
      </c>
      <c r="AD46" s="21" t="n">
        <f aca="false">COUNTIFS(d_Marca,$A46,d_Modelo,$B46,d_Subest,AD$7)</f>
        <v>0</v>
      </c>
      <c r="AE46" s="21" t="n">
        <f aca="false">COUNTIFS(d_Marca,$A46,d_Modelo,$B46,d_Subest,AE$7)</f>
        <v>0</v>
      </c>
      <c r="AF46" s="21" t="n">
        <f aca="false">COUNTIFS(d_Marca,$A46,d_Modelo,$B46,d_Subest,AF$7)</f>
        <v>0</v>
      </c>
      <c r="AG46" s="21" t="n">
        <f aca="false">COUNTIFS(d_Marca,$A46,d_Modelo,$B46,d_Subest,AG$7)</f>
        <v>0</v>
      </c>
      <c r="AH46" s="21" t="n">
        <f aca="false">COUNTIFS(d_Marca,$A46,d_Modelo,$B46,d_Subest,AH$7)</f>
        <v>0</v>
      </c>
      <c r="AI46" s="21" t="n">
        <f aca="false">COUNTIFS(d_Marca,$A46,d_Modelo,$B46,d_Subest,AI$7)</f>
        <v>0</v>
      </c>
      <c r="AJ46" s="21" t="n">
        <f aca="false">COUNTIFS(d_Marca,$A46,d_Modelo,$B46,d_Subest,AJ$7)</f>
        <v>0</v>
      </c>
      <c r="AK46" s="21" t="n">
        <f aca="false">COUNTIFS(d_Marca,$A46,d_Modelo,$B46,d_Subest,AK$7)</f>
        <v>0</v>
      </c>
      <c r="AL46" s="21" t="n">
        <f aca="false">COUNTIFS(d_Marca,$A46,d_Modelo,$B46,d_Subest,AL$7)</f>
        <v>0</v>
      </c>
      <c r="AM46" s="17" t="n">
        <f aca="false">SUM(AC46:AL46)</f>
        <v>0</v>
      </c>
      <c r="AN46" s="21" t="n">
        <f aca="false">COUNTIFS(d_Marca,$A46,d_Modelo,$B46,d_Subest,AN$7)</f>
        <v>0</v>
      </c>
      <c r="AO46" s="21" t="n">
        <f aca="false">COUNTIFS(d_Marca,$A46,d_Modelo,$B46,d_Subest,AO$7)</f>
        <v>0</v>
      </c>
      <c r="AP46" s="21" t="n">
        <f aca="false">COUNTIFS(d_Marca,$A46,d_Modelo,$B46,d_Subest,AP$7)</f>
        <v>0</v>
      </c>
      <c r="AQ46" s="21" t="n">
        <f aca="false">COUNTIFS(d_Marca,$A46,d_Modelo,$B46,d_Subest,AQ$7)</f>
        <v>0</v>
      </c>
      <c r="AR46" s="21" t="n">
        <f aca="false">COUNTIFS(d_Marca,$A46,d_Modelo,$B46,d_Subest,AR$7)</f>
        <v>0</v>
      </c>
      <c r="AS46" s="21" t="n">
        <f aca="false">COUNTIFS(d_Marca,$A46,d_Modelo,$B46,d_Subest,AS$7)</f>
        <v>0</v>
      </c>
      <c r="AT46" s="21" t="n">
        <f aca="false">COUNTIFS(d_Marca,$A46,d_Modelo,$B46,d_Subest,AT$7)</f>
        <v>0</v>
      </c>
      <c r="AU46" s="21" t="n">
        <f aca="false">COUNTIFS(d_Marca,$A46,d_Modelo,$B46,d_Subest,AU$7)</f>
        <v>0</v>
      </c>
      <c r="AV46" s="21" t="n">
        <f aca="false">COUNTIFS(d_Marca,$A46,d_Modelo,$B46,d_Subest,AV$7)</f>
        <v>1</v>
      </c>
      <c r="AW46" s="21" t="n">
        <f aca="false">COUNTIFS(d_Marca,$A46,d_Modelo,$B46,d_Subest,AW$7)</f>
        <v>0</v>
      </c>
      <c r="AX46" s="17" t="n">
        <f aca="false">SUM(AN46:AW46)</f>
        <v>1</v>
      </c>
      <c r="AY46" s="21" t="n">
        <f aca="false">COUNTIFS(d_Marca,$A46,d_Modelo,$B46,d_Subest,AY$7)</f>
        <v>0</v>
      </c>
      <c r="AZ46" s="17" t="n">
        <f aca="false">E46+H46+K46+P46+V46+AB46+AM46+AX46+AY46</f>
        <v>1</v>
      </c>
    </row>
    <row r="47" customFormat="false" ht="15" hidden="false" customHeight="false" outlineLevel="0" collapsed="false">
      <c r="A47" s="16" t="s">
        <v>73</v>
      </c>
      <c r="B47" s="16" t="s">
        <v>74</v>
      </c>
      <c r="C47" s="17" t="n">
        <f aca="false">COUNTIFS(d_Marca,$A47,d_Subest,C$7)</f>
        <v>0</v>
      </c>
      <c r="D47" s="17" t="n">
        <f aca="false">COUNTIFS(d_Marca,$A47,d_Subest,D$7)</f>
        <v>0</v>
      </c>
      <c r="E47" s="17" t="n">
        <f aca="false">SUM(C47:D47)</f>
        <v>0</v>
      </c>
      <c r="F47" s="17" t="n">
        <f aca="false">COUNTIFS(d_Marca,$A47,d_Subest,F$7)</f>
        <v>0</v>
      </c>
      <c r="G47" s="17" t="n">
        <f aca="false">COUNTIFS(d_Marca,$A47,d_Subest,G$7)</f>
        <v>0</v>
      </c>
      <c r="H47" s="17" t="n">
        <f aca="false">SUM(F47:G47)</f>
        <v>0</v>
      </c>
      <c r="I47" s="17" t="n">
        <f aca="false">COUNTIFS(d_Marca,$A47,d_Subest,I$7)</f>
        <v>2</v>
      </c>
      <c r="J47" s="17" t="n">
        <f aca="false">COUNTIFS(d_Marca,$A47,d_Subest,J$7)</f>
        <v>0</v>
      </c>
      <c r="K47" s="17" t="n">
        <f aca="false">SUM(I47:J47)</f>
        <v>2</v>
      </c>
      <c r="L47" s="17" t="n">
        <f aca="false">COUNTIFS(d_Marca,$A47,d_Subest,L$7)</f>
        <v>0</v>
      </c>
      <c r="M47" s="17" t="n">
        <f aca="false">COUNTIFS(d_Marca,$A47,d_Subest,M$7)</f>
        <v>2</v>
      </c>
      <c r="N47" s="17" t="n">
        <f aca="false">COUNTIFS(d_Marca,$A47,d_Subest,N$7)</f>
        <v>2</v>
      </c>
      <c r="O47" s="17" t="n">
        <f aca="false">COUNTIFS(d_Marca,$A47,d_Subest,O$7)</f>
        <v>2</v>
      </c>
      <c r="P47" s="17" t="n">
        <f aca="false">SUM(L47:O47)</f>
        <v>6</v>
      </c>
      <c r="Q47" s="17" t="n">
        <f aca="false">COUNTIFS(d_Marca,$A47,d_Subest,Q$7)</f>
        <v>2</v>
      </c>
      <c r="R47" s="17" t="n">
        <f aca="false">COUNTIFS(d_Marca,$A47,d_Subest,R$7)</f>
        <v>2</v>
      </c>
      <c r="S47" s="17" t="n">
        <f aca="false">COUNTIFS(d_Marca,$A47,d_Subest,S$7)</f>
        <v>0</v>
      </c>
      <c r="T47" s="17" t="n">
        <f aca="false">COUNTIFS(d_Marca,$A47,d_Subest,T$7)</f>
        <v>0</v>
      </c>
      <c r="U47" s="17" t="n">
        <f aca="false">COUNTIFS(d_Marca,$A47,d_Subest,U$7)</f>
        <v>2</v>
      </c>
      <c r="V47" s="17" t="n">
        <f aca="false">SUM(Q47:U47)</f>
        <v>6</v>
      </c>
      <c r="W47" s="17" t="n">
        <f aca="false">COUNTIFS(d_Marca,$A47,d_Subest,W$7)</f>
        <v>0</v>
      </c>
      <c r="X47" s="17" t="n">
        <f aca="false">COUNTIFS(d_Marca,$A47,d_Subest,X$7)</f>
        <v>0</v>
      </c>
      <c r="Y47" s="17" t="n">
        <f aca="false">COUNTIFS(d_Marca,$A47,d_Subest,Y$7)</f>
        <v>0</v>
      </c>
      <c r="Z47" s="17" t="n">
        <f aca="false">COUNTIFS(d_Marca,$A47,d_Subest,Z$7)</f>
        <v>0</v>
      </c>
      <c r="AA47" s="17" t="n">
        <f aca="false">COUNTIFS(d_Marca,$A47,d_Subest,AA$7)</f>
        <v>0</v>
      </c>
      <c r="AB47" s="17" t="n">
        <f aca="false">SUM(W47:AA47)</f>
        <v>0</v>
      </c>
      <c r="AC47" s="17" t="n">
        <f aca="false">COUNTIFS(d_Marca,$A47,d_Subest,AC$7)</f>
        <v>0</v>
      </c>
      <c r="AD47" s="17" t="n">
        <f aca="false">COUNTIFS(d_Marca,$A47,d_Subest,AD$7)</f>
        <v>11</v>
      </c>
      <c r="AE47" s="17" t="n">
        <f aca="false">COUNTIFS(d_Marca,$A47,d_Subest,AE$7)</f>
        <v>11</v>
      </c>
      <c r="AF47" s="17" t="n">
        <f aca="false">COUNTIFS(d_Marca,$A47,d_Subest,AF$7)</f>
        <v>0</v>
      </c>
      <c r="AG47" s="17" t="n">
        <f aca="false">COUNTIFS(d_Marca,$A47,d_Subest,AG$7)</f>
        <v>21</v>
      </c>
      <c r="AH47" s="17" t="n">
        <f aca="false">COUNTIFS(d_Marca,$A47,d_Subest,AH$7)</f>
        <v>9</v>
      </c>
      <c r="AI47" s="17" t="n">
        <f aca="false">COUNTIFS(d_Marca,$A47,d_Subest,AI$7)</f>
        <v>20</v>
      </c>
      <c r="AJ47" s="17" t="n">
        <f aca="false">COUNTIFS(d_Marca,$A47,d_Subest,AJ$7)</f>
        <v>6</v>
      </c>
      <c r="AK47" s="17" t="n">
        <f aca="false">COUNTIFS(d_Marca,$A47,d_Subest,AK$7)</f>
        <v>6</v>
      </c>
      <c r="AL47" s="17" t="n">
        <f aca="false">COUNTIFS(d_Marca,$A47,d_Subest,AL$7)</f>
        <v>13</v>
      </c>
      <c r="AM47" s="17" t="n">
        <f aca="false">SUM(AC47:AL47)</f>
        <v>97</v>
      </c>
      <c r="AN47" s="17" t="n">
        <f aca="false">COUNTIFS(d_Marca,$A47,d_Subest,AN$7)</f>
        <v>11</v>
      </c>
      <c r="AO47" s="17" t="n">
        <f aca="false">COUNTIFS(d_Marca,$A47,d_Subest,AO$7)</f>
        <v>0</v>
      </c>
      <c r="AP47" s="17" t="n">
        <f aca="false">COUNTIFS(d_Marca,$A47,d_Subest,AP$7)</f>
        <v>11</v>
      </c>
      <c r="AQ47" s="17" t="n">
        <f aca="false">COUNTIFS(d_Marca,$A47,d_Subest,AQ$7)</f>
        <v>15</v>
      </c>
      <c r="AR47" s="17" t="n">
        <f aca="false">COUNTIFS(d_Marca,$A47,d_Subest,AR$7)</f>
        <v>0</v>
      </c>
      <c r="AS47" s="17" t="n">
        <f aca="false">COUNTIFS(d_Marca,$A47,d_Subest,AS$7)</f>
        <v>0</v>
      </c>
      <c r="AT47" s="17" t="n">
        <f aca="false">COUNTIFS(d_Marca,$A47,d_Subest,AT$7)</f>
        <v>7</v>
      </c>
      <c r="AU47" s="17" t="n">
        <f aca="false">COUNTIFS(d_Marca,$A47,d_Subest,AU$7)</f>
        <v>4</v>
      </c>
      <c r="AV47" s="17" t="n">
        <f aca="false">COUNTIFS(d_Marca,$A47,d_Subest,AV$7)</f>
        <v>0</v>
      </c>
      <c r="AW47" s="17" t="n">
        <f aca="false">COUNTIFS(d_Marca,$A47,d_Subest,AW$7)</f>
        <v>23</v>
      </c>
      <c r="AX47" s="17" t="n">
        <f aca="false">SUM(AN47:AW47)</f>
        <v>71</v>
      </c>
      <c r="AY47" s="17" t="n">
        <f aca="false">COUNTIFS(d_Marca,$A47,d_Subest,AY$7)</f>
        <v>100</v>
      </c>
      <c r="AZ47" s="17" t="n">
        <f aca="false">E47+H47+K47+P47+V47+AB47+AM47+AX47+AY47</f>
        <v>282</v>
      </c>
    </row>
    <row r="48" customFormat="false" ht="15" hidden="false" customHeight="false" outlineLevel="0" collapsed="false">
      <c r="A48" s="19" t="s">
        <v>73</v>
      </c>
      <c r="B48" s="20" t="s">
        <v>75</v>
      </c>
      <c r="C48" s="21" t="n">
        <f aca="false">COUNTIFS(d_Marca,$A48,d_Modelo,$B48,d_Subest,C$7)</f>
        <v>0</v>
      </c>
      <c r="D48" s="21" t="n">
        <f aca="false">COUNTIFS(d_Marca,$A48,d_Modelo,$B48,d_Subest,D$7)</f>
        <v>0</v>
      </c>
      <c r="E48" s="17" t="n">
        <f aca="false">SUM(C48:D48)</f>
        <v>0</v>
      </c>
      <c r="F48" s="21" t="n">
        <f aca="false">COUNTIFS(d_Marca,$A48,d_Modelo,$B48,d_Subest,F$7)</f>
        <v>0</v>
      </c>
      <c r="G48" s="21" t="n">
        <f aca="false">COUNTIFS(d_Marca,$A48,d_Modelo,$B48,d_Subest,G$7)</f>
        <v>0</v>
      </c>
      <c r="H48" s="17" t="n">
        <f aca="false">SUM(F48:G48)</f>
        <v>0</v>
      </c>
      <c r="I48" s="21" t="n">
        <f aca="false">COUNTIFS(d_Marca,$A48,d_Modelo,$B48,d_Subest,I$7)</f>
        <v>0</v>
      </c>
      <c r="J48" s="21" t="n">
        <f aca="false">COUNTIFS(d_Marca,$A48,d_Modelo,$B48,d_Subest,J$7)</f>
        <v>0</v>
      </c>
      <c r="K48" s="17" t="n">
        <f aca="false">SUM(I48:J48)</f>
        <v>0</v>
      </c>
      <c r="L48" s="21" t="n">
        <f aca="false">COUNTIFS(d_Marca,$A48,d_Modelo,$B48,d_Subest,L$7)</f>
        <v>0</v>
      </c>
      <c r="M48" s="21" t="n">
        <f aca="false">COUNTIFS(d_Marca,$A48,d_Modelo,$B48,d_Subest,M$7)</f>
        <v>2</v>
      </c>
      <c r="N48" s="21" t="n">
        <f aca="false">COUNTIFS(d_Marca,$A48,d_Modelo,$B48,d_Subest,N$7)</f>
        <v>2</v>
      </c>
      <c r="O48" s="21" t="n">
        <f aca="false">COUNTIFS(d_Marca,$A48,d_Modelo,$B48,d_Subest,O$7)</f>
        <v>2</v>
      </c>
      <c r="P48" s="17" t="n">
        <f aca="false">SUM(L48:O48)</f>
        <v>6</v>
      </c>
      <c r="Q48" s="21" t="n">
        <f aca="false">COUNTIFS(d_Marca,$A48,d_Modelo,$B48,d_Subest,Q$7)</f>
        <v>0</v>
      </c>
      <c r="R48" s="21" t="n">
        <f aca="false">COUNTIFS(d_Marca,$A48,d_Modelo,$B48,d_Subest,R$7)</f>
        <v>0</v>
      </c>
      <c r="S48" s="21" t="n">
        <f aca="false">COUNTIFS(d_Marca,$A48,d_Modelo,$B48,d_Subest,S$7)</f>
        <v>0</v>
      </c>
      <c r="T48" s="21" t="n">
        <f aca="false">COUNTIFS(d_Marca,$A48,d_Modelo,$B48,d_Subest,T$7)</f>
        <v>0</v>
      </c>
      <c r="U48" s="21" t="n">
        <f aca="false">COUNTIFS(d_Marca,$A48,d_Modelo,$B48,d_Subest,U$7)</f>
        <v>0</v>
      </c>
      <c r="V48" s="17" t="n">
        <f aca="false">SUM(Q48:U48)</f>
        <v>0</v>
      </c>
      <c r="W48" s="21" t="n">
        <f aca="false">COUNTIFS(d_Marca,$A48,d_Modelo,$B48,d_Subest,W$7)</f>
        <v>0</v>
      </c>
      <c r="X48" s="21" t="n">
        <f aca="false">COUNTIFS(d_Marca,$A48,d_Modelo,$B48,d_Subest,X$7)</f>
        <v>0</v>
      </c>
      <c r="Y48" s="21" t="n">
        <f aca="false">COUNTIFS(d_Marca,$A48,d_Modelo,$B48,d_Subest,Y$7)</f>
        <v>0</v>
      </c>
      <c r="Z48" s="21" t="n">
        <f aca="false">COUNTIFS(d_Marca,$A48,d_Modelo,$B48,d_Subest,Z$7)</f>
        <v>0</v>
      </c>
      <c r="AA48" s="21" t="n">
        <f aca="false">COUNTIFS(d_Marca,$A48,d_Modelo,$B48,d_Subest,AA$7)</f>
        <v>0</v>
      </c>
      <c r="AB48" s="17" t="n">
        <f aca="false">SUM(W48:AA48)</f>
        <v>0</v>
      </c>
      <c r="AC48" s="21" t="n">
        <f aca="false">COUNTIFS(d_Marca,$A48,d_Modelo,$B48,d_Subest,AC$7)</f>
        <v>0</v>
      </c>
      <c r="AD48" s="21" t="n">
        <f aca="false">COUNTIFS(d_Marca,$A48,d_Modelo,$B48,d_Subest,AD$7)</f>
        <v>11</v>
      </c>
      <c r="AE48" s="21" t="n">
        <f aca="false">COUNTIFS(d_Marca,$A48,d_Modelo,$B48,d_Subest,AE$7)</f>
        <v>7</v>
      </c>
      <c r="AF48" s="21" t="n">
        <f aca="false">COUNTIFS(d_Marca,$A48,d_Modelo,$B48,d_Subest,AF$7)</f>
        <v>0</v>
      </c>
      <c r="AG48" s="21" t="n">
        <f aca="false">COUNTIFS(d_Marca,$A48,d_Modelo,$B48,d_Subest,AG$7)</f>
        <v>15</v>
      </c>
      <c r="AH48" s="21" t="n">
        <f aca="false">COUNTIFS(d_Marca,$A48,d_Modelo,$B48,d_Subest,AH$7)</f>
        <v>5</v>
      </c>
      <c r="AI48" s="21" t="n">
        <f aca="false">COUNTIFS(d_Marca,$A48,d_Modelo,$B48,d_Subest,AI$7)</f>
        <v>15</v>
      </c>
      <c r="AJ48" s="21" t="n">
        <f aca="false">COUNTIFS(d_Marca,$A48,d_Modelo,$B48,d_Subest,AJ$7)</f>
        <v>3</v>
      </c>
      <c r="AK48" s="21" t="n">
        <f aca="false">COUNTIFS(d_Marca,$A48,d_Modelo,$B48,d_Subest,AK$7)</f>
        <v>2</v>
      </c>
      <c r="AL48" s="21" t="n">
        <f aca="false">COUNTIFS(d_Marca,$A48,d_Modelo,$B48,d_Subest,AL$7)</f>
        <v>9</v>
      </c>
      <c r="AM48" s="17" t="n">
        <f aca="false">SUM(AC48:AL48)</f>
        <v>67</v>
      </c>
      <c r="AN48" s="21" t="n">
        <f aca="false">COUNTIFS(d_Marca,$A48,d_Modelo,$B48,d_Subest,AN$7)</f>
        <v>0</v>
      </c>
      <c r="AO48" s="21" t="n">
        <f aca="false">COUNTIFS(d_Marca,$A48,d_Modelo,$B48,d_Subest,AO$7)</f>
        <v>0</v>
      </c>
      <c r="AP48" s="21" t="n">
        <f aca="false">COUNTIFS(d_Marca,$A48,d_Modelo,$B48,d_Subest,AP$7)</f>
        <v>0</v>
      </c>
      <c r="AQ48" s="21" t="n">
        <f aca="false">COUNTIFS(d_Marca,$A48,d_Modelo,$B48,d_Subest,AQ$7)</f>
        <v>0</v>
      </c>
      <c r="AR48" s="21" t="n">
        <f aca="false">COUNTIFS(d_Marca,$A48,d_Modelo,$B48,d_Subest,AR$7)</f>
        <v>0</v>
      </c>
      <c r="AS48" s="21" t="n">
        <f aca="false">COUNTIFS(d_Marca,$A48,d_Modelo,$B48,d_Subest,AS$7)</f>
        <v>0</v>
      </c>
      <c r="AT48" s="21" t="n">
        <f aca="false">COUNTIFS(d_Marca,$A48,d_Modelo,$B48,d_Subest,AT$7)</f>
        <v>0</v>
      </c>
      <c r="AU48" s="21" t="n">
        <f aca="false">COUNTIFS(d_Marca,$A48,d_Modelo,$B48,d_Subest,AU$7)</f>
        <v>0</v>
      </c>
      <c r="AV48" s="21" t="n">
        <f aca="false">COUNTIFS(d_Marca,$A48,d_Modelo,$B48,d_Subest,AV$7)</f>
        <v>0</v>
      </c>
      <c r="AW48" s="21" t="n">
        <f aca="false">COUNTIFS(d_Marca,$A48,d_Modelo,$B48,d_Subest,AW$7)</f>
        <v>0</v>
      </c>
      <c r="AX48" s="17" t="n">
        <f aca="false">SUM(AN48:AW48)</f>
        <v>0</v>
      </c>
      <c r="AY48" s="21" t="n">
        <f aca="false">COUNTIFS(d_Marca,$A48,d_Modelo,$B48,d_Subest,AY$7)</f>
        <v>62</v>
      </c>
      <c r="AZ48" s="17" t="n">
        <f aca="false">E48+H48+K48+P48+V48+AB48+AM48+AX48+AY48</f>
        <v>135</v>
      </c>
    </row>
    <row r="49" customFormat="false" ht="15" hidden="false" customHeight="false" outlineLevel="0" collapsed="false">
      <c r="A49" s="19" t="s">
        <v>73</v>
      </c>
      <c r="B49" s="20" t="s">
        <v>76</v>
      </c>
      <c r="C49" s="21" t="n">
        <f aca="false">COUNTIFS(d_Marca,$A49,d_Modelo,$B49,d_Subest,C$7)</f>
        <v>0</v>
      </c>
      <c r="D49" s="21" t="n">
        <f aca="false">COUNTIFS(d_Marca,$A49,d_Modelo,$B49,d_Subest,D$7)</f>
        <v>0</v>
      </c>
      <c r="E49" s="17" t="n">
        <f aca="false">SUM(C49:D49)</f>
        <v>0</v>
      </c>
      <c r="F49" s="21" t="n">
        <f aca="false">COUNTIFS(d_Marca,$A49,d_Modelo,$B49,d_Subest,F$7)</f>
        <v>0</v>
      </c>
      <c r="G49" s="21" t="n">
        <f aca="false">COUNTIFS(d_Marca,$A49,d_Modelo,$B49,d_Subest,G$7)</f>
        <v>0</v>
      </c>
      <c r="H49" s="17" t="n">
        <f aca="false">SUM(F49:G49)</f>
        <v>0</v>
      </c>
      <c r="I49" s="21" t="n">
        <f aca="false">COUNTIFS(d_Marca,$A49,d_Modelo,$B49,d_Subest,I$7)</f>
        <v>0</v>
      </c>
      <c r="J49" s="21" t="n">
        <f aca="false">COUNTIFS(d_Marca,$A49,d_Modelo,$B49,d_Subest,J$7)</f>
        <v>0</v>
      </c>
      <c r="K49" s="17" t="n">
        <f aca="false">SUM(I49:J49)</f>
        <v>0</v>
      </c>
      <c r="L49" s="21" t="n">
        <f aca="false">COUNTIFS(d_Marca,$A49,d_Modelo,$B49,d_Subest,L$7)</f>
        <v>0</v>
      </c>
      <c r="M49" s="21" t="n">
        <f aca="false">COUNTIFS(d_Marca,$A49,d_Modelo,$B49,d_Subest,M$7)</f>
        <v>0</v>
      </c>
      <c r="N49" s="21" t="n">
        <f aca="false">COUNTIFS(d_Marca,$A49,d_Modelo,$B49,d_Subest,N$7)</f>
        <v>0</v>
      </c>
      <c r="O49" s="21" t="n">
        <f aca="false">COUNTIFS(d_Marca,$A49,d_Modelo,$B49,d_Subest,O$7)</f>
        <v>0</v>
      </c>
      <c r="P49" s="17" t="n">
        <f aca="false">SUM(L49:O49)</f>
        <v>0</v>
      </c>
      <c r="Q49" s="21" t="n">
        <f aca="false">COUNTIFS(d_Marca,$A49,d_Modelo,$B49,d_Subest,Q$7)</f>
        <v>0</v>
      </c>
      <c r="R49" s="21" t="n">
        <f aca="false">COUNTIFS(d_Marca,$A49,d_Modelo,$B49,d_Subest,R$7)</f>
        <v>0</v>
      </c>
      <c r="S49" s="21" t="n">
        <f aca="false">COUNTIFS(d_Marca,$A49,d_Modelo,$B49,d_Subest,S$7)</f>
        <v>0</v>
      </c>
      <c r="T49" s="21" t="n">
        <f aca="false">COUNTIFS(d_Marca,$A49,d_Modelo,$B49,d_Subest,T$7)</f>
        <v>0</v>
      </c>
      <c r="U49" s="21" t="n">
        <f aca="false">COUNTIFS(d_Marca,$A49,d_Modelo,$B49,d_Subest,U$7)</f>
        <v>0</v>
      </c>
      <c r="V49" s="17" t="n">
        <f aca="false">SUM(Q49:U49)</f>
        <v>0</v>
      </c>
      <c r="W49" s="21" t="n">
        <f aca="false">COUNTIFS(d_Marca,$A49,d_Modelo,$B49,d_Subest,W$7)</f>
        <v>0</v>
      </c>
      <c r="X49" s="21" t="n">
        <f aca="false">COUNTIFS(d_Marca,$A49,d_Modelo,$B49,d_Subest,X$7)</f>
        <v>0</v>
      </c>
      <c r="Y49" s="21" t="n">
        <f aca="false">COUNTIFS(d_Marca,$A49,d_Modelo,$B49,d_Subest,Y$7)</f>
        <v>0</v>
      </c>
      <c r="Z49" s="21" t="n">
        <f aca="false">COUNTIFS(d_Marca,$A49,d_Modelo,$B49,d_Subest,Z$7)</f>
        <v>0</v>
      </c>
      <c r="AA49" s="21" t="n">
        <f aca="false">COUNTIFS(d_Marca,$A49,d_Modelo,$B49,d_Subest,AA$7)</f>
        <v>0</v>
      </c>
      <c r="AB49" s="17" t="n">
        <f aca="false">SUM(W49:AA49)</f>
        <v>0</v>
      </c>
      <c r="AC49" s="21" t="n">
        <f aca="false">COUNTIFS(d_Marca,$A49,d_Modelo,$B49,d_Subest,AC$7)</f>
        <v>0</v>
      </c>
      <c r="AD49" s="21" t="n">
        <f aca="false">COUNTIFS(d_Marca,$A49,d_Modelo,$B49,d_Subest,AD$7)</f>
        <v>0</v>
      </c>
      <c r="AE49" s="21" t="n">
        <f aca="false">COUNTIFS(d_Marca,$A49,d_Modelo,$B49,d_Subest,AE$7)</f>
        <v>0</v>
      </c>
      <c r="AF49" s="21" t="n">
        <f aca="false">COUNTIFS(d_Marca,$A49,d_Modelo,$B49,d_Subest,AF$7)</f>
        <v>0</v>
      </c>
      <c r="AG49" s="21" t="n">
        <f aca="false">COUNTIFS(d_Marca,$A49,d_Modelo,$B49,d_Subest,AG$7)</f>
        <v>0</v>
      </c>
      <c r="AH49" s="21" t="n">
        <f aca="false">COUNTIFS(d_Marca,$A49,d_Modelo,$B49,d_Subest,AH$7)</f>
        <v>0</v>
      </c>
      <c r="AI49" s="21" t="n">
        <f aca="false">COUNTIFS(d_Marca,$A49,d_Modelo,$B49,d_Subest,AI$7)</f>
        <v>0</v>
      </c>
      <c r="AJ49" s="21" t="n">
        <f aca="false">COUNTIFS(d_Marca,$A49,d_Modelo,$B49,d_Subest,AJ$7)</f>
        <v>0</v>
      </c>
      <c r="AK49" s="21" t="n">
        <f aca="false">COUNTIFS(d_Marca,$A49,d_Modelo,$B49,d_Subest,AK$7)</f>
        <v>0</v>
      </c>
      <c r="AL49" s="21" t="n">
        <f aca="false">COUNTIFS(d_Marca,$A49,d_Modelo,$B49,d_Subest,AL$7)</f>
        <v>0</v>
      </c>
      <c r="AM49" s="17" t="n">
        <f aca="false">SUM(AC49:AL49)</f>
        <v>0</v>
      </c>
      <c r="AN49" s="21" t="n">
        <f aca="false">COUNTIFS(d_Marca,$A49,d_Modelo,$B49,d_Subest,AN$7)</f>
        <v>2</v>
      </c>
      <c r="AO49" s="21" t="n">
        <f aca="false">COUNTIFS(d_Marca,$A49,d_Modelo,$B49,d_Subest,AO$7)</f>
        <v>0</v>
      </c>
      <c r="AP49" s="21" t="n">
        <f aca="false">COUNTIFS(d_Marca,$A49,d_Modelo,$B49,d_Subest,AP$7)</f>
        <v>0</v>
      </c>
      <c r="AQ49" s="21" t="n">
        <f aca="false">COUNTIFS(d_Marca,$A49,d_Modelo,$B49,d_Subest,AQ$7)</f>
        <v>13</v>
      </c>
      <c r="AR49" s="21" t="n">
        <f aca="false">COUNTIFS(d_Marca,$A49,d_Modelo,$B49,d_Subest,AR$7)</f>
        <v>0</v>
      </c>
      <c r="AS49" s="21" t="n">
        <f aca="false">COUNTIFS(d_Marca,$A49,d_Modelo,$B49,d_Subest,AS$7)</f>
        <v>0</v>
      </c>
      <c r="AT49" s="21" t="n">
        <f aca="false">COUNTIFS(d_Marca,$A49,d_Modelo,$B49,d_Subest,AT$7)</f>
        <v>5</v>
      </c>
      <c r="AU49" s="21" t="n">
        <f aca="false">COUNTIFS(d_Marca,$A49,d_Modelo,$B49,d_Subest,AU$7)</f>
        <v>0</v>
      </c>
      <c r="AV49" s="21" t="n">
        <f aca="false">COUNTIFS(d_Marca,$A49,d_Modelo,$B49,d_Subest,AV$7)</f>
        <v>0</v>
      </c>
      <c r="AW49" s="21" t="n">
        <f aca="false">COUNTIFS(d_Marca,$A49,d_Modelo,$B49,d_Subest,AW$7)</f>
        <v>20</v>
      </c>
      <c r="AX49" s="17" t="n">
        <f aca="false">SUM(AN49:AW49)</f>
        <v>40</v>
      </c>
      <c r="AY49" s="21" t="n">
        <f aca="false">COUNTIFS(d_Marca,$A49,d_Modelo,$B49,d_Subest,AY$7)</f>
        <v>5</v>
      </c>
      <c r="AZ49" s="17" t="n">
        <f aca="false">E49+H49+K49+P49+V49+AB49+AM49+AX49+AY49</f>
        <v>45</v>
      </c>
    </row>
    <row r="50" customFormat="false" ht="15" hidden="false" customHeight="false" outlineLevel="0" collapsed="false">
      <c r="A50" s="19" t="s">
        <v>73</v>
      </c>
      <c r="B50" s="20" t="s">
        <v>77</v>
      </c>
      <c r="C50" s="21" t="n">
        <f aca="false">COUNTIFS(d_Marca,$A50,d_Modelo,$B50,d_Subest,C$7)</f>
        <v>0</v>
      </c>
      <c r="D50" s="21" t="n">
        <f aca="false">COUNTIFS(d_Marca,$A50,d_Modelo,$B50,d_Subest,D$7)</f>
        <v>0</v>
      </c>
      <c r="E50" s="17" t="n">
        <f aca="false">SUM(C50:D50)</f>
        <v>0</v>
      </c>
      <c r="F50" s="21" t="n">
        <f aca="false">COUNTIFS(d_Marca,$A50,d_Modelo,$B50,d_Subest,F$7)</f>
        <v>0</v>
      </c>
      <c r="G50" s="21" t="n">
        <f aca="false">COUNTIFS(d_Marca,$A50,d_Modelo,$B50,d_Subest,G$7)</f>
        <v>0</v>
      </c>
      <c r="H50" s="17" t="n">
        <f aca="false">SUM(F50:G50)</f>
        <v>0</v>
      </c>
      <c r="I50" s="21" t="n">
        <f aca="false">COUNTIFS(d_Marca,$A50,d_Modelo,$B50,d_Subest,I$7)</f>
        <v>0</v>
      </c>
      <c r="J50" s="21" t="n">
        <f aca="false">COUNTIFS(d_Marca,$A50,d_Modelo,$B50,d_Subest,J$7)</f>
        <v>0</v>
      </c>
      <c r="K50" s="17" t="n">
        <f aca="false">SUM(I50:J50)</f>
        <v>0</v>
      </c>
      <c r="L50" s="21" t="n">
        <f aca="false">COUNTIFS(d_Marca,$A50,d_Modelo,$B50,d_Subest,L$7)</f>
        <v>0</v>
      </c>
      <c r="M50" s="21" t="n">
        <f aca="false">COUNTIFS(d_Marca,$A50,d_Modelo,$B50,d_Subest,M$7)</f>
        <v>0</v>
      </c>
      <c r="N50" s="21" t="n">
        <f aca="false">COUNTIFS(d_Marca,$A50,d_Modelo,$B50,d_Subest,N$7)</f>
        <v>0</v>
      </c>
      <c r="O50" s="21" t="n">
        <f aca="false">COUNTIFS(d_Marca,$A50,d_Modelo,$B50,d_Subest,O$7)</f>
        <v>0</v>
      </c>
      <c r="P50" s="17" t="n">
        <f aca="false">SUM(L50:O50)</f>
        <v>0</v>
      </c>
      <c r="Q50" s="21" t="n">
        <f aca="false">COUNTIFS(d_Marca,$A50,d_Modelo,$B50,d_Subest,Q$7)</f>
        <v>0</v>
      </c>
      <c r="R50" s="21" t="n">
        <f aca="false">COUNTIFS(d_Marca,$A50,d_Modelo,$B50,d_Subest,R$7)</f>
        <v>0</v>
      </c>
      <c r="S50" s="21" t="n">
        <f aca="false">COUNTIFS(d_Marca,$A50,d_Modelo,$B50,d_Subest,S$7)</f>
        <v>0</v>
      </c>
      <c r="T50" s="21" t="n">
        <f aca="false">COUNTIFS(d_Marca,$A50,d_Modelo,$B50,d_Subest,T$7)</f>
        <v>0</v>
      </c>
      <c r="U50" s="21" t="n">
        <f aca="false">COUNTIFS(d_Marca,$A50,d_Modelo,$B50,d_Subest,U$7)</f>
        <v>0</v>
      </c>
      <c r="V50" s="17" t="n">
        <f aca="false">SUM(Q50:U50)</f>
        <v>0</v>
      </c>
      <c r="W50" s="21" t="n">
        <f aca="false">COUNTIFS(d_Marca,$A50,d_Modelo,$B50,d_Subest,W$7)</f>
        <v>0</v>
      </c>
      <c r="X50" s="21" t="n">
        <f aca="false">COUNTIFS(d_Marca,$A50,d_Modelo,$B50,d_Subest,X$7)</f>
        <v>0</v>
      </c>
      <c r="Y50" s="21" t="n">
        <f aca="false">COUNTIFS(d_Marca,$A50,d_Modelo,$B50,d_Subest,Y$7)</f>
        <v>0</v>
      </c>
      <c r="Z50" s="21" t="n">
        <f aca="false">COUNTIFS(d_Marca,$A50,d_Modelo,$B50,d_Subest,Z$7)</f>
        <v>0</v>
      </c>
      <c r="AA50" s="21" t="n">
        <f aca="false">COUNTIFS(d_Marca,$A50,d_Modelo,$B50,d_Subest,AA$7)</f>
        <v>0</v>
      </c>
      <c r="AB50" s="17" t="n">
        <f aca="false">SUM(W50:AA50)</f>
        <v>0</v>
      </c>
      <c r="AC50" s="21" t="n">
        <f aca="false">COUNTIFS(d_Marca,$A50,d_Modelo,$B50,d_Subest,AC$7)</f>
        <v>0</v>
      </c>
      <c r="AD50" s="21" t="n">
        <f aca="false">COUNTIFS(d_Marca,$A50,d_Modelo,$B50,d_Subest,AD$7)</f>
        <v>0</v>
      </c>
      <c r="AE50" s="21" t="n">
        <f aca="false">COUNTIFS(d_Marca,$A50,d_Modelo,$B50,d_Subest,AE$7)</f>
        <v>0</v>
      </c>
      <c r="AF50" s="21" t="n">
        <f aca="false">COUNTIFS(d_Marca,$A50,d_Modelo,$B50,d_Subest,AF$7)</f>
        <v>0</v>
      </c>
      <c r="AG50" s="21" t="n">
        <f aca="false">COUNTIFS(d_Marca,$A50,d_Modelo,$B50,d_Subest,AG$7)</f>
        <v>0</v>
      </c>
      <c r="AH50" s="21" t="n">
        <f aca="false">COUNTIFS(d_Marca,$A50,d_Modelo,$B50,d_Subest,AH$7)</f>
        <v>0</v>
      </c>
      <c r="AI50" s="21" t="n">
        <f aca="false">COUNTIFS(d_Marca,$A50,d_Modelo,$B50,d_Subest,AI$7)</f>
        <v>0</v>
      </c>
      <c r="AJ50" s="21" t="n">
        <f aca="false">COUNTIFS(d_Marca,$A50,d_Modelo,$B50,d_Subest,AJ$7)</f>
        <v>0</v>
      </c>
      <c r="AK50" s="21" t="n">
        <f aca="false">COUNTIFS(d_Marca,$A50,d_Modelo,$B50,d_Subest,AK$7)</f>
        <v>0</v>
      </c>
      <c r="AL50" s="21" t="n">
        <f aca="false">COUNTIFS(d_Marca,$A50,d_Modelo,$B50,d_Subest,AL$7)</f>
        <v>0</v>
      </c>
      <c r="AM50" s="17" t="n">
        <f aca="false">SUM(AC50:AL50)</f>
        <v>0</v>
      </c>
      <c r="AN50" s="21" t="n">
        <f aca="false">COUNTIFS(d_Marca,$A50,d_Modelo,$B50,d_Subest,AN$7)</f>
        <v>0</v>
      </c>
      <c r="AO50" s="21" t="n">
        <f aca="false">COUNTIFS(d_Marca,$A50,d_Modelo,$B50,d_Subest,AO$7)</f>
        <v>0</v>
      </c>
      <c r="AP50" s="21" t="n">
        <f aca="false">COUNTIFS(d_Marca,$A50,d_Modelo,$B50,d_Subest,AP$7)</f>
        <v>9</v>
      </c>
      <c r="AQ50" s="21" t="n">
        <f aca="false">COUNTIFS(d_Marca,$A50,d_Modelo,$B50,d_Subest,AQ$7)</f>
        <v>0</v>
      </c>
      <c r="AR50" s="21" t="n">
        <f aca="false">COUNTIFS(d_Marca,$A50,d_Modelo,$B50,d_Subest,AR$7)</f>
        <v>0</v>
      </c>
      <c r="AS50" s="21" t="n">
        <f aca="false">COUNTIFS(d_Marca,$A50,d_Modelo,$B50,d_Subest,AS$7)</f>
        <v>0</v>
      </c>
      <c r="AT50" s="21" t="n">
        <f aca="false">COUNTIFS(d_Marca,$A50,d_Modelo,$B50,d_Subest,AT$7)</f>
        <v>0</v>
      </c>
      <c r="AU50" s="21" t="n">
        <f aca="false">COUNTIFS(d_Marca,$A50,d_Modelo,$B50,d_Subest,AU$7)</f>
        <v>3</v>
      </c>
      <c r="AV50" s="21" t="n">
        <f aca="false">COUNTIFS(d_Marca,$A50,d_Modelo,$B50,d_Subest,AV$7)</f>
        <v>0</v>
      </c>
      <c r="AW50" s="21" t="n">
        <f aca="false">COUNTIFS(d_Marca,$A50,d_Modelo,$B50,d_Subest,AW$7)</f>
        <v>0</v>
      </c>
      <c r="AX50" s="17" t="n">
        <f aca="false">SUM(AN50:AW50)</f>
        <v>12</v>
      </c>
      <c r="AY50" s="21" t="n">
        <f aca="false">COUNTIFS(d_Marca,$A50,d_Modelo,$B50,d_Subest,AY$7)</f>
        <v>33</v>
      </c>
      <c r="AZ50" s="17" t="n">
        <f aca="false">E50+H50+K50+P50+V50+AB50+AM50+AX50+AY50</f>
        <v>45</v>
      </c>
    </row>
    <row r="51" customFormat="false" ht="15" hidden="false" customHeight="false" outlineLevel="0" collapsed="false">
      <c r="A51" s="19" t="s">
        <v>73</v>
      </c>
      <c r="B51" s="20" t="s">
        <v>78</v>
      </c>
      <c r="C51" s="21" t="n">
        <f aca="false">COUNTIFS(d_Marca,$A51,d_Modelo,$B51,d_Subest,C$7)</f>
        <v>0</v>
      </c>
      <c r="D51" s="21" t="n">
        <f aca="false">COUNTIFS(d_Marca,$A51,d_Modelo,$B51,d_Subest,D$7)</f>
        <v>0</v>
      </c>
      <c r="E51" s="17" t="n">
        <f aca="false">SUM(C51:D51)</f>
        <v>0</v>
      </c>
      <c r="F51" s="21" t="n">
        <f aca="false">COUNTIFS(d_Marca,$A51,d_Modelo,$B51,d_Subest,F$7)</f>
        <v>0</v>
      </c>
      <c r="G51" s="21" t="n">
        <f aca="false">COUNTIFS(d_Marca,$A51,d_Modelo,$B51,d_Subest,G$7)</f>
        <v>0</v>
      </c>
      <c r="H51" s="17" t="n">
        <f aca="false">SUM(F51:G51)</f>
        <v>0</v>
      </c>
      <c r="I51" s="21" t="n">
        <f aca="false">COUNTIFS(d_Marca,$A51,d_Modelo,$B51,d_Subest,I$7)</f>
        <v>0</v>
      </c>
      <c r="J51" s="21" t="n">
        <f aca="false">COUNTIFS(d_Marca,$A51,d_Modelo,$B51,d_Subest,J$7)</f>
        <v>0</v>
      </c>
      <c r="K51" s="17" t="n">
        <f aca="false">SUM(I51:J51)</f>
        <v>0</v>
      </c>
      <c r="L51" s="21" t="n">
        <f aca="false">COUNTIFS(d_Marca,$A51,d_Modelo,$B51,d_Subest,L$7)</f>
        <v>0</v>
      </c>
      <c r="M51" s="21" t="n">
        <f aca="false">COUNTIFS(d_Marca,$A51,d_Modelo,$B51,d_Subest,M$7)</f>
        <v>0</v>
      </c>
      <c r="N51" s="21" t="n">
        <f aca="false">COUNTIFS(d_Marca,$A51,d_Modelo,$B51,d_Subest,N$7)</f>
        <v>0</v>
      </c>
      <c r="O51" s="21" t="n">
        <f aca="false">COUNTIFS(d_Marca,$A51,d_Modelo,$B51,d_Subest,O$7)</f>
        <v>0</v>
      </c>
      <c r="P51" s="17" t="n">
        <f aca="false">SUM(L51:O51)</f>
        <v>0</v>
      </c>
      <c r="Q51" s="21" t="n">
        <f aca="false">COUNTIFS(d_Marca,$A51,d_Modelo,$B51,d_Subest,Q$7)</f>
        <v>0</v>
      </c>
      <c r="R51" s="21" t="n">
        <f aca="false">COUNTIFS(d_Marca,$A51,d_Modelo,$B51,d_Subest,R$7)</f>
        <v>0</v>
      </c>
      <c r="S51" s="21" t="n">
        <f aca="false">COUNTIFS(d_Marca,$A51,d_Modelo,$B51,d_Subest,S$7)</f>
        <v>0</v>
      </c>
      <c r="T51" s="21" t="n">
        <f aca="false">COUNTIFS(d_Marca,$A51,d_Modelo,$B51,d_Subest,T$7)</f>
        <v>0</v>
      </c>
      <c r="U51" s="21" t="n">
        <f aca="false">COUNTIFS(d_Marca,$A51,d_Modelo,$B51,d_Subest,U$7)</f>
        <v>0</v>
      </c>
      <c r="V51" s="17" t="n">
        <f aca="false">SUM(Q51:U51)</f>
        <v>0</v>
      </c>
      <c r="W51" s="21" t="n">
        <f aca="false">COUNTIFS(d_Marca,$A51,d_Modelo,$B51,d_Subest,W$7)</f>
        <v>0</v>
      </c>
      <c r="X51" s="21" t="n">
        <f aca="false">COUNTIFS(d_Marca,$A51,d_Modelo,$B51,d_Subest,X$7)</f>
        <v>0</v>
      </c>
      <c r="Y51" s="21" t="n">
        <f aca="false">COUNTIFS(d_Marca,$A51,d_Modelo,$B51,d_Subest,Y$7)</f>
        <v>0</v>
      </c>
      <c r="Z51" s="21" t="n">
        <f aca="false">COUNTIFS(d_Marca,$A51,d_Modelo,$B51,d_Subest,Z$7)</f>
        <v>0</v>
      </c>
      <c r="AA51" s="21" t="n">
        <f aca="false">COUNTIFS(d_Marca,$A51,d_Modelo,$B51,d_Subest,AA$7)</f>
        <v>0</v>
      </c>
      <c r="AB51" s="17" t="n">
        <f aca="false">SUM(W51:AA51)</f>
        <v>0</v>
      </c>
      <c r="AC51" s="21" t="n">
        <f aca="false">COUNTIFS(d_Marca,$A51,d_Modelo,$B51,d_Subest,AC$7)</f>
        <v>0</v>
      </c>
      <c r="AD51" s="21" t="n">
        <f aca="false">COUNTIFS(d_Marca,$A51,d_Modelo,$B51,d_Subest,AD$7)</f>
        <v>0</v>
      </c>
      <c r="AE51" s="21" t="n">
        <f aca="false">COUNTIFS(d_Marca,$A51,d_Modelo,$B51,d_Subest,AE$7)</f>
        <v>4</v>
      </c>
      <c r="AF51" s="21" t="n">
        <f aca="false">COUNTIFS(d_Marca,$A51,d_Modelo,$B51,d_Subest,AF$7)</f>
        <v>0</v>
      </c>
      <c r="AG51" s="21" t="n">
        <f aca="false">COUNTIFS(d_Marca,$A51,d_Modelo,$B51,d_Subest,AG$7)</f>
        <v>6</v>
      </c>
      <c r="AH51" s="21" t="n">
        <f aca="false">COUNTIFS(d_Marca,$A51,d_Modelo,$B51,d_Subest,AH$7)</f>
        <v>4</v>
      </c>
      <c r="AI51" s="21" t="n">
        <f aca="false">COUNTIFS(d_Marca,$A51,d_Modelo,$B51,d_Subest,AI$7)</f>
        <v>5</v>
      </c>
      <c r="AJ51" s="21" t="n">
        <f aca="false">COUNTIFS(d_Marca,$A51,d_Modelo,$B51,d_Subest,AJ$7)</f>
        <v>3</v>
      </c>
      <c r="AK51" s="21" t="n">
        <f aca="false">COUNTIFS(d_Marca,$A51,d_Modelo,$B51,d_Subest,AK$7)</f>
        <v>4</v>
      </c>
      <c r="AL51" s="21" t="n">
        <f aca="false">COUNTIFS(d_Marca,$A51,d_Modelo,$B51,d_Subest,AL$7)</f>
        <v>4</v>
      </c>
      <c r="AM51" s="17" t="n">
        <f aca="false">SUM(AC51:AL51)</f>
        <v>30</v>
      </c>
      <c r="AN51" s="21" t="n">
        <f aca="false">COUNTIFS(d_Marca,$A51,d_Modelo,$B51,d_Subest,AN$7)</f>
        <v>0</v>
      </c>
      <c r="AO51" s="21" t="n">
        <f aca="false">COUNTIFS(d_Marca,$A51,d_Modelo,$B51,d_Subest,AO$7)</f>
        <v>0</v>
      </c>
      <c r="AP51" s="21" t="n">
        <f aca="false">COUNTIFS(d_Marca,$A51,d_Modelo,$B51,d_Subest,AP$7)</f>
        <v>0</v>
      </c>
      <c r="AQ51" s="21" t="n">
        <f aca="false">COUNTIFS(d_Marca,$A51,d_Modelo,$B51,d_Subest,AQ$7)</f>
        <v>0</v>
      </c>
      <c r="AR51" s="21" t="n">
        <f aca="false">COUNTIFS(d_Marca,$A51,d_Modelo,$B51,d_Subest,AR$7)</f>
        <v>0</v>
      </c>
      <c r="AS51" s="21" t="n">
        <f aca="false">COUNTIFS(d_Marca,$A51,d_Modelo,$B51,d_Subest,AS$7)</f>
        <v>0</v>
      </c>
      <c r="AT51" s="21" t="n">
        <f aca="false">COUNTIFS(d_Marca,$A51,d_Modelo,$B51,d_Subest,AT$7)</f>
        <v>0</v>
      </c>
      <c r="AU51" s="21" t="n">
        <f aca="false">COUNTIFS(d_Marca,$A51,d_Modelo,$B51,d_Subest,AU$7)</f>
        <v>0</v>
      </c>
      <c r="AV51" s="21" t="n">
        <f aca="false">COUNTIFS(d_Marca,$A51,d_Modelo,$B51,d_Subest,AV$7)</f>
        <v>0</v>
      </c>
      <c r="AW51" s="21" t="n">
        <f aca="false">COUNTIFS(d_Marca,$A51,d_Modelo,$B51,d_Subest,AW$7)</f>
        <v>0</v>
      </c>
      <c r="AX51" s="17" t="n">
        <f aca="false">SUM(AN51:AW51)</f>
        <v>0</v>
      </c>
      <c r="AY51" s="21" t="n">
        <f aca="false">COUNTIFS(d_Marca,$A51,d_Modelo,$B51,d_Subest,AY$7)</f>
        <v>0</v>
      </c>
      <c r="AZ51" s="17" t="n">
        <f aca="false">E51+H51+K51+P51+V51+AB51+AM51+AX51+AY51</f>
        <v>30</v>
      </c>
    </row>
    <row r="52" customFormat="false" ht="15" hidden="false" customHeight="false" outlineLevel="0" collapsed="false">
      <c r="A52" s="19" t="s">
        <v>73</v>
      </c>
      <c r="B52" s="20" t="s">
        <v>79</v>
      </c>
      <c r="C52" s="21" t="n">
        <f aca="false">COUNTIFS(d_Marca,$A52,d_Modelo,$B52,d_Subest,C$7)</f>
        <v>0</v>
      </c>
      <c r="D52" s="21" t="n">
        <f aca="false">COUNTIFS(d_Marca,$A52,d_Modelo,$B52,d_Subest,D$7)</f>
        <v>0</v>
      </c>
      <c r="E52" s="17" t="n">
        <f aca="false">SUM(C52:D52)</f>
        <v>0</v>
      </c>
      <c r="F52" s="21" t="n">
        <f aca="false">COUNTIFS(d_Marca,$A52,d_Modelo,$B52,d_Subest,F$7)</f>
        <v>0</v>
      </c>
      <c r="G52" s="21" t="n">
        <f aca="false">COUNTIFS(d_Marca,$A52,d_Modelo,$B52,d_Subest,G$7)</f>
        <v>0</v>
      </c>
      <c r="H52" s="17" t="n">
        <f aca="false">SUM(F52:G52)</f>
        <v>0</v>
      </c>
      <c r="I52" s="21" t="n">
        <f aca="false">COUNTIFS(d_Marca,$A52,d_Modelo,$B52,d_Subest,I$7)</f>
        <v>0</v>
      </c>
      <c r="J52" s="21" t="n">
        <f aca="false">COUNTIFS(d_Marca,$A52,d_Modelo,$B52,d_Subest,J$7)</f>
        <v>0</v>
      </c>
      <c r="K52" s="17" t="n">
        <f aca="false">SUM(I52:J52)</f>
        <v>0</v>
      </c>
      <c r="L52" s="21" t="n">
        <f aca="false">COUNTIFS(d_Marca,$A52,d_Modelo,$B52,d_Subest,L$7)</f>
        <v>0</v>
      </c>
      <c r="M52" s="21" t="n">
        <f aca="false">COUNTIFS(d_Marca,$A52,d_Modelo,$B52,d_Subest,M$7)</f>
        <v>0</v>
      </c>
      <c r="N52" s="21" t="n">
        <f aca="false">COUNTIFS(d_Marca,$A52,d_Modelo,$B52,d_Subest,N$7)</f>
        <v>0</v>
      </c>
      <c r="O52" s="21" t="n">
        <f aca="false">COUNTIFS(d_Marca,$A52,d_Modelo,$B52,d_Subest,O$7)</f>
        <v>0</v>
      </c>
      <c r="P52" s="17" t="n">
        <f aca="false">SUM(L52:O52)</f>
        <v>0</v>
      </c>
      <c r="Q52" s="21" t="n">
        <f aca="false">COUNTIFS(d_Marca,$A52,d_Modelo,$B52,d_Subest,Q$7)</f>
        <v>0</v>
      </c>
      <c r="R52" s="21" t="n">
        <f aca="false">COUNTIFS(d_Marca,$A52,d_Modelo,$B52,d_Subest,R$7)</f>
        <v>0</v>
      </c>
      <c r="S52" s="21" t="n">
        <f aca="false">COUNTIFS(d_Marca,$A52,d_Modelo,$B52,d_Subest,S$7)</f>
        <v>0</v>
      </c>
      <c r="T52" s="21" t="n">
        <f aca="false">COUNTIFS(d_Marca,$A52,d_Modelo,$B52,d_Subest,T$7)</f>
        <v>0</v>
      </c>
      <c r="U52" s="21" t="n">
        <f aca="false">COUNTIFS(d_Marca,$A52,d_Modelo,$B52,d_Subest,U$7)</f>
        <v>0</v>
      </c>
      <c r="V52" s="17" t="n">
        <f aca="false">SUM(Q52:U52)</f>
        <v>0</v>
      </c>
      <c r="W52" s="21" t="n">
        <f aca="false">COUNTIFS(d_Marca,$A52,d_Modelo,$B52,d_Subest,W$7)</f>
        <v>0</v>
      </c>
      <c r="X52" s="21" t="n">
        <f aca="false">COUNTIFS(d_Marca,$A52,d_Modelo,$B52,d_Subest,X$7)</f>
        <v>0</v>
      </c>
      <c r="Y52" s="21" t="n">
        <f aca="false">COUNTIFS(d_Marca,$A52,d_Modelo,$B52,d_Subest,Y$7)</f>
        <v>0</v>
      </c>
      <c r="Z52" s="21" t="n">
        <f aca="false">COUNTIFS(d_Marca,$A52,d_Modelo,$B52,d_Subest,Z$7)</f>
        <v>0</v>
      </c>
      <c r="AA52" s="21" t="n">
        <f aca="false">COUNTIFS(d_Marca,$A52,d_Modelo,$B52,d_Subest,AA$7)</f>
        <v>0</v>
      </c>
      <c r="AB52" s="17" t="n">
        <f aca="false">SUM(W52:AA52)</f>
        <v>0</v>
      </c>
      <c r="AC52" s="21" t="n">
        <f aca="false">COUNTIFS(d_Marca,$A52,d_Modelo,$B52,d_Subest,AC$7)</f>
        <v>0</v>
      </c>
      <c r="AD52" s="21" t="n">
        <f aca="false">COUNTIFS(d_Marca,$A52,d_Modelo,$B52,d_Subest,AD$7)</f>
        <v>0</v>
      </c>
      <c r="AE52" s="21" t="n">
        <f aca="false">COUNTIFS(d_Marca,$A52,d_Modelo,$B52,d_Subest,AE$7)</f>
        <v>0</v>
      </c>
      <c r="AF52" s="21" t="n">
        <f aca="false">COUNTIFS(d_Marca,$A52,d_Modelo,$B52,d_Subest,AF$7)</f>
        <v>0</v>
      </c>
      <c r="AG52" s="21" t="n">
        <f aca="false">COUNTIFS(d_Marca,$A52,d_Modelo,$B52,d_Subest,AG$7)</f>
        <v>0</v>
      </c>
      <c r="AH52" s="21" t="n">
        <f aca="false">COUNTIFS(d_Marca,$A52,d_Modelo,$B52,d_Subest,AH$7)</f>
        <v>0</v>
      </c>
      <c r="AI52" s="21" t="n">
        <f aca="false">COUNTIFS(d_Marca,$A52,d_Modelo,$B52,d_Subest,AI$7)</f>
        <v>0</v>
      </c>
      <c r="AJ52" s="21" t="n">
        <f aca="false">COUNTIFS(d_Marca,$A52,d_Modelo,$B52,d_Subest,AJ$7)</f>
        <v>0</v>
      </c>
      <c r="AK52" s="21" t="n">
        <f aca="false">COUNTIFS(d_Marca,$A52,d_Modelo,$B52,d_Subest,AK$7)</f>
        <v>0</v>
      </c>
      <c r="AL52" s="21" t="n">
        <f aca="false">COUNTIFS(d_Marca,$A52,d_Modelo,$B52,d_Subest,AL$7)</f>
        <v>0</v>
      </c>
      <c r="AM52" s="17" t="n">
        <f aca="false">SUM(AC52:AL52)</f>
        <v>0</v>
      </c>
      <c r="AN52" s="21" t="n">
        <f aca="false">COUNTIFS(d_Marca,$A52,d_Modelo,$B52,d_Subest,AN$7)</f>
        <v>8</v>
      </c>
      <c r="AO52" s="21" t="n">
        <f aca="false">COUNTIFS(d_Marca,$A52,d_Modelo,$B52,d_Subest,AO$7)</f>
        <v>0</v>
      </c>
      <c r="AP52" s="21" t="n">
        <f aca="false">COUNTIFS(d_Marca,$A52,d_Modelo,$B52,d_Subest,AP$7)</f>
        <v>0</v>
      </c>
      <c r="AQ52" s="21" t="n">
        <f aca="false">COUNTIFS(d_Marca,$A52,d_Modelo,$B52,d_Subest,AQ$7)</f>
        <v>0</v>
      </c>
      <c r="AR52" s="21" t="n">
        <f aca="false">COUNTIFS(d_Marca,$A52,d_Modelo,$B52,d_Subest,AR$7)</f>
        <v>0</v>
      </c>
      <c r="AS52" s="21" t="n">
        <f aca="false">COUNTIFS(d_Marca,$A52,d_Modelo,$B52,d_Subest,AS$7)</f>
        <v>0</v>
      </c>
      <c r="AT52" s="21" t="n">
        <f aca="false">COUNTIFS(d_Marca,$A52,d_Modelo,$B52,d_Subest,AT$7)</f>
        <v>0</v>
      </c>
      <c r="AU52" s="21" t="n">
        <f aca="false">COUNTIFS(d_Marca,$A52,d_Modelo,$B52,d_Subest,AU$7)</f>
        <v>0</v>
      </c>
      <c r="AV52" s="21" t="n">
        <f aca="false">COUNTIFS(d_Marca,$A52,d_Modelo,$B52,d_Subest,AV$7)</f>
        <v>0</v>
      </c>
      <c r="AW52" s="21" t="n">
        <f aca="false">COUNTIFS(d_Marca,$A52,d_Modelo,$B52,d_Subest,AW$7)</f>
        <v>0</v>
      </c>
      <c r="AX52" s="17" t="n">
        <f aca="false">SUM(AN52:AW52)</f>
        <v>8</v>
      </c>
      <c r="AY52" s="21" t="n">
        <f aca="false">COUNTIFS(d_Marca,$A52,d_Modelo,$B52,d_Subest,AY$7)</f>
        <v>0</v>
      </c>
      <c r="AZ52" s="17" t="n">
        <f aca="false">E52+H52+K52+P52+V52+AB52+AM52+AX52+AY52</f>
        <v>8</v>
      </c>
    </row>
    <row r="53" customFormat="false" ht="15" hidden="false" customHeight="false" outlineLevel="0" collapsed="false">
      <c r="A53" s="19" t="s">
        <v>73</v>
      </c>
      <c r="B53" s="20" t="s">
        <v>80</v>
      </c>
      <c r="C53" s="21" t="n">
        <f aca="false">COUNTIFS(d_Marca,$A53,d_Modelo,$B53,d_Subest,C$7)</f>
        <v>0</v>
      </c>
      <c r="D53" s="21" t="n">
        <f aca="false">COUNTIFS(d_Marca,$A53,d_Modelo,$B53,d_Subest,D$7)</f>
        <v>0</v>
      </c>
      <c r="E53" s="17" t="n">
        <f aca="false">SUM(C53:D53)</f>
        <v>0</v>
      </c>
      <c r="F53" s="21" t="n">
        <f aca="false">COUNTIFS(d_Marca,$A53,d_Modelo,$B53,d_Subest,F$7)</f>
        <v>0</v>
      </c>
      <c r="G53" s="21" t="n">
        <f aca="false">COUNTIFS(d_Marca,$A53,d_Modelo,$B53,d_Subest,G$7)</f>
        <v>0</v>
      </c>
      <c r="H53" s="17" t="n">
        <f aca="false">SUM(F53:G53)</f>
        <v>0</v>
      </c>
      <c r="I53" s="21" t="n">
        <f aca="false">COUNTIFS(d_Marca,$A53,d_Modelo,$B53,d_Subest,I$7)</f>
        <v>0</v>
      </c>
      <c r="J53" s="21" t="n">
        <f aca="false">COUNTIFS(d_Marca,$A53,d_Modelo,$B53,d_Subest,J$7)</f>
        <v>0</v>
      </c>
      <c r="K53" s="17" t="n">
        <f aca="false">SUM(I53:J53)</f>
        <v>0</v>
      </c>
      <c r="L53" s="21" t="n">
        <f aca="false">COUNTIFS(d_Marca,$A53,d_Modelo,$B53,d_Subest,L$7)</f>
        <v>0</v>
      </c>
      <c r="M53" s="21" t="n">
        <f aca="false">COUNTIFS(d_Marca,$A53,d_Modelo,$B53,d_Subest,M$7)</f>
        <v>0</v>
      </c>
      <c r="N53" s="21" t="n">
        <f aca="false">COUNTIFS(d_Marca,$A53,d_Modelo,$B53,d_Subest,N$7)</f>
        <v>0</v>
      </c>
      <c r="O53" s="21" t="n">
        <f aca="false">COUNTIFS(d_Marca,$A53,d_Modelo,$B53,d_Subest,O$7)</f>
        <v>0</v>
      </c>
      <c r="P53" s="17" t="n">
        <f aca="false">SUM(L53:O53)</f>
        <v>0</v>
      </c>
      <c r="Q53" s="21" t="n">
        <f aca="false">COUNTIFS(d_Marca,$A53,d_Modelo,$B53,d_Subest,Q$7)</f>
        <v>0</v>
      </c>
      <c r="R53" s="21" t="n">
        <f aca="false">COUNTIFS(d_Marca,$A53,d_Modelo,$B53,d_Subest,R$7)</f>
        <v>0</v>
      </c>
      <c r="S53" s="21" t="n">
        <f aca="false">COUNTIFS(d_Marca,$A53,d_Modelo,$B53,d_Subest,S$7)</f>
        <v>0</v>
      </c>
      <c r="T53" s="21" t="n">
        <f aca="false">COUNTIFS(d_Marca,$A53,d_Modelo,$B53,d_Subest,T$7)</f>
        <v>0</v>
      </c>
      <c r="U53" s="21" t="n">
        <f aca="false">COUNTIFS(d_Marca,$A53,d_Modelo,$B53,d_Subest,U$7)</f>
        <v>0</v>
      </c>
      <c r="V53" s="17" t="n">
        <f aca="false">SUM(Q53:U53)</f>
        <v>0</v>
      </c>
      <c r="W53" s="21" t="n">
        <f aca="false">COUNTIFS(d_Marca,$A53,d_Modelo,$B53,d_Subest,W$7)</f>
        <v>0</v>
      </c>
      <c r="X53" s="21" t="n">
        <f aca="false">COUNTIFS(d_Marca,$A53,d_Modelo,$B53,d_Subest,X$7)</f>
        <v>0</v>
      </c>
      <c r="Y53" s="21" t="n">
        <f aca="false">COUNTIFS(d_Marca,$A53,d_Modelo,$B53,d_Subest,Y$7)</f>
        <v>0</v>
      </c>
      <c r="Z53" s="21" t="n">
        <f aca="false">COUNTIFS(d_Marca,$A53,d_Modelo,$B53,d_Subest,Z$7)</f>
        <v>0</v>
      </c>
      <c r="AA53" s="21" t="n">
        <f aca="false">COUNTIFS(d_Marca,$A53,d_Modelo,$B53,d_Subest,AA$7)</f>
        <v>0</v>
      </c>
      <c r="AB53" s="17" t="n">
        <f aca="false">SUM(W53:AA53)</f>
        <v>0</v>
      </c>
      <c r="AC53" s="21" t="n">
        <f aca="false">COUNTIFS(d_Marca,$A53,d_Modelo,$B53,d_Subest,AC$7)</f>
        <v>0</v>
      </c>
      <c r="AD53" s="21" t="n">
        <f aca="false">COUNTIFS(d_Marca,$A53,d_Modelo,$B53,d_Subest,AD$7)</f>
        <v>0</v>
      </c>
      <c r="AE53" s="21" t="n">
        <f aca="false">COUNTIFS(d_Marca,$A53,d_Modelo,$B53,d_Subest,AE$7)</f>
        <v>0</v>
      </c>
      <c r="AF53" s="21" t="n">
        <f aca="false">COUNTIFS(d_Marca,$A53,d_Modelo,$B53,d_Subest,AF$7)</f>
        <v>0</v>
      </c>
      <c r="AG53" s="21" t="n">
        <f aca="false">COUNTIFS(d_Marca,$A53,d_Modelo,$B53,d_Subest,AG$7)</f>
        <v>0</v>
      </c>
      <c r="AH53" s="21" t="n">
        <f aca="false">COUNTIFS(d_Marca,$A53,d_Modelo,$B53,d_Subest,AH$7)</f>
        <v>0</v>
      </c>
      <c r="AI53" s="21" t="n">
        <f aca="false">COUNTIFS(d_Marca,$A53,d_Modelo,$B53,d_Subest,AI$7)</f>
        <v>0</v>
      </c>
      <c r="AJ53" s="21" t="n">
        <f aca="false">COUNTIFS(d_Marca,$A53,d_Modelo,$B53,d_Subest,AJ$7)</f>
        <v>0</v>
      </c>
      <c r="AK53" s="21" t="n">
        <f aca="false">COUNTIFS(d_Marca,$A53,d_Modelo,$B53,d_Subest,AK$7)</f>
        <v>0</v>
      </c>
      <c r="AL53" s="21" t="n">
        <f aca="false">COUNTIFS(d_Marca,$A53,d_Modelo,$B53,d_Subest,AL$7)</f>
        <v>0</v>
      </c>
      <c r="AM53" s="17" t="n">
        <f aca="false">SUM(AC53:AL53)</f>
        <v>0</v>
      </c>
      <c r="AN53" s="21" t="n">
        <f aca="false">COUNTIFS(d_Marca,$A53,d_Modelo,$B53,d_Subest,AN$7)</f>
        <v>0</v>
      </c>
      <c r="AO53" s="21" t="n">
        <f aca="false">COUNTIFS(d_Marca,$A53,d_Modelo,$B53,d_Subest,AO$7)</f>
        <v>0</v>
      </c>
      <c r="AP53" s="21" t="n">
        <f aca="false">COUNTIFS(d_Marca,$A53,d_Modelo,$B53,d_Subest,AP$7)</f>
        <v>2</v>
      </c>
      <c r="AQ53" s="21" t="n">
        <f aca="false">COUNTIFS(d_Marca,$A53,d_Modelo,$B53,d_Subest,AQ$7)</f>
        <v>2</v>
      </c>
      <c r="AR53" s="21" t="n">
        <f aca="false">COUNTIFS(d_Marca,$A53,d_Modelo,$B53,d_Subest,AR$7)</f>
        <v>0</v>
      </c>
      <c r="AS53" s="21" t="n">
        <f aca="false">COUNTIFS(d_Marca,$A53,d_Modelo,$B53,d_Subest,AS$7)</f>
        <v>0</v>
      </c>
      <c r="AT53" s="21" t="n">
        <f aca="false">COUNTIFS(d_Marca,$A53,d_Modelo,$B53,d_Subest,AT$7)</f>
        <v>2</v>
      </c>
      <c r="AU53" s="21" t="n">
        <f aca="false">COUNTIFS(d_Marca,$A53,d_Modelo,$B53,d_Subest,AU$7)</f>
        <v>0</v>
      </c>
      <c r="AV53" s="21" t="n">
        <f aca="false">COUNTIFS(d_Marca,$A53,d_Modelo,$B53,d_Subest,AV$7)</f>
        <v>0</v>
      </c>
      <c r="AW53" s="21" t="n">
        <f aca="false">COUNTIFS(d_Marca,$A53,d_Modelo,$B53,d_Subest,AW$7)</f>
        <v>0</v>
      </c>
      <c r="AX53" s="17" t="n">
        <f aca="false">SUM(AN53:AW53)</f>
        <v>6</v>
      </c>
      <c r="AY53" s="21" t="n">
        <f aca="false">COUNTIFS(d_Marca,$A53,d_Modelo,$B53,d_Subest,AY$7)</f>
        <v>0</v>
      </c>
      <c r="AZ53" s="17" t="n">
        <f aca="false">E53+H53+K53+P53+V53+AB53+AM53+AX53+AY53</f>
        <v>6</v>
      </c>
    </row>
    <row r="54" customFormat="false" ht="15" hidden="false" customHeight="false" outlineLevel="0" collapsed="false">
      <c r="A54" s="19" t="s">
        <v>73</v>
      </c>
      <c r="B54" s="20" t="s">
        <v>81</v>
      </c>
      <c r="C54" s="21" t="n">
        <f aca="false">COUNTIFS(d_Marca,$A54,d_Modelo,$B54,d_Subest,C$7)</f>
        <v>0</v>
      </c>
      <c r="D54" s="21" t="n">
        <f aca="false">COUNTIFS(d_Marca,$A54,d_Modelo,$B54,d_Subest,D$7)</f>
        <v>0</v>
      </c>
      <c r="E54" s="17" t="n">
        <f aca="false">SUM(C54:D54)</f>
        <v>0</v>
      </c>
      <c r="F54" s="21" t="n">
        <f aca="false">COUNTIFS(d_Marca,$A54,d_Modelo,$B54,d_Subest,F$7)</f>
        <v>0</v>
      </c>
      <c r="G54" s="21" t="n">
        <f aca="false">COUNTIFS(d_Marca,$A54,d_Modelo,$B54,d_Subest,G$7)</f>
        <v>0</v>
      </c>
      <c r="H54" s="17" t="n">
        <f aca="false">SUM(F54:G54)</f>
        <v>0</v>
      </c>
      <c r="I54" s="21" t="n">
        <f aca="false">COUNTIFS(d_Marca,$A54,d_Modelo,$B54,d_Subest,I$7)</f>
        <v>0</v>
      </c>
      <c r="J54" s="21" t="n">
        <f aca="false">COUNTIFS(d_Marca,$A54,d_Modelo,$B54,d_Subest,J$7)</f>
        <v>0</v>
      </c>
      <c r="K54" s="17" t="n">
        <f aca="false">SUM(I54:J54)</f>
        <v>0</v>
      </c>
      <c r="L54" s="21" t="n">
        <f aca="false">COUNTIFS(d_Marca,$A54,d_Modelo,$B54,d_Subest,L$7)</f>
        <v>0</v>
      </c>
      <c r="M54" s="21" t="n">
        <f aca="false">COUNTIFS(d_Marca,$A54,d_Modelo,$B54,d_Subest,M$7)</f>
        <v>0</v>
      </c>
      <c r="N54" s="21" t="n">
        <f aca="false">COUNTIFS(d_Marca,$A54,d_Modelo,$B54,d_Subest,N$7)</f>
        <v>0</v>
      </c>
      <c r="O54" s="21" t="n">
        <f aca="false">COUNTIFS(d_Marca,$A54,d_Modelo,$B54,d_Subest,O$7)</f>
        <v>0</v>
      </c>
      <c r="P54" s="17" t="n">
        <f aca="false">SUM(L54:O54)</f>
        <v>0</v>
      </c>
      <c r="Q54" s="21" t="n">
        <f aca="false">COUNTIFS(d_Marca,$A54,d_Modelo,$B54,d_Subest,Q$7)</f>
        <v>2</v>
      </c>
      <c r="R54" s="21" t="n">
        <f aca="false">COUNTIFS(d_Marca,$A54,d_Modelo,$B54,d_Subest,R$7)</f>
        <v>2</v>
      </c>
      <c r="S54" s="21" t="n">
        <f aca="false">COUNTIFS(d_Marca,$A54,d_Modelo,$B54,d_Subest,S$7)</f>
        <v>0</v>
      </c>
      <c r="T54" s="21" t="n">
        <f aca="false">COUNTIFS(d_Marca,$A54,d_Modelo,$B54,d_Subest,T$7)</f>
        <v>0</v>
      </c>
      <c r="U54" s="21" t="n">
        <f aca="false">COUNTIFS(d_Marca,$A54,d_Modelo,$B54,d_Subest,U$7)</f>
        <v>2</v>
      </c>
      <c r="V54" s="17" t="n">
        <f aca="false">SUM(Q54:U54)</f>
        <v>6</v>
      </c>
      <c r="W54" s="21" t="n">
        <f aca="false">COUNTIFS(d_Marca,$A54,d_Modelo,$B54,d_Subest,W$7)</f>
        <v>0</v>
      </c>
      <c r="X54" s="21" t="n">
        <f aca="false">COUNTIFS(d_Marca,$A54,d_Modelo,$B54,d_Subest,X$7)</f>
        <v>0</v>
      </c>
      <c r="Y54" s="21" t="n">
        <f aca="false">COUNTIFS(d_Marca,$A54,d_Modelo,$B54,d_Subest,Y$7)</f>
        <v>0</v>
      </c>
      <c r="Z54" s="21" t="n">
        <f aca="false">COUNTIFS(d_Marca,$A54,d_Modelo,$B54,d_Subest,Z$7)</f>
        <v>0</v>
      </c>
      <c r="AA54" s="21" t="n">
        <f aca="false">COUNTIFS(d_Marca,$A54,d_Modelo,$B54,d_Subest,AA$7)</f>
        <v>0</v>
      </c>
      <c r="AB54" s="17" t="n">
        <f aca="false">SUM(W54:AA54)</f>
        <v>0</v>
      </c>
      <c r="AC54" s="21" t="n">
        <f aca="false">COUNTIFS(d_Marca,$A54,d_Modelo,$B54,d_Subest,AC$7)</f>
        <v>0</v>
      </c>
      <c r="AD54" s="21" t="n">
        <f aca="false">COUNTIFS(d_Marca,$A54,d_Modelo,$B54,d_Subest,AD$7)</f>
        <v>0</v>
      </c>
      <c r="AE54" s="21" t="n">
        <f aca="false">COUNTIFS(d_Marca,$A54,d_Modelo,$B54,d_Subest,AE$7)</f>
        <v>0</v>
      </c>
      <c r="AF54" s="21" t="n">
        <f aca="false">COUNTIFS(d_Marca,$A54,d_Modelo,$B54,d_Subest,AF$7)</f>
        <v>0</v>
      </c>
      <c r="AG54" s="21" t="n">
        <f aca="false">COUNTIFS(d_Marca,$A54,d_Modelo,$B54,d_Subest,AG$7)</f>
        <v>0</v>
      </c>
      <c r="AH54" s="21" t="n">
        <f aca="false">COUNTIFS(d_Marca,$A54,d_Modelo,$B54,d_Subest,AH$7)</f>
        <v>0</v>
      </c>
      <c r="AI54" s="21" t="n">
        <f aca="false">COUNTIFS(d_Marca,$A54,d_Modelo,$B54,d_Subest,AI$7)</f>
        <v>0</v>
      </c>
      <c r="AJ54" s="21" t="n">
        <f aca="false">COUNTIFS(d_Marca,$A54,d_Modelo,$B54,d_Subest,AJ$7)</f>
        <v>0</v>
      </c>
      <c r="AK54" s="21" t="n">
        <f aca="false">COUNTIFS(d_Marca,$A54,d_Modelo,$B54,d_Subest,AK$7)</f>
        <v>0</v>
      </c>
      <c r="AL54" s="21" t="n">
        <f aca="false">COUNTIFS(d_Marca,$A54,d_Modelo,$B54,d_Subest,AL$7)</f>
        <v>0</v>
      </c>
      <c r="AM54" s="17" t="n">
        <f aca="false">SUM(AC54:AL54)</f>
        <v>0</v>
      </c>
      <c r="AN54" s="21" t="n">
        <f aca="false">COUNTIFS(d_Marca,$A54,d_Modelo,$B54,d_Subest,AN$7)</f>
        <v>0</v>
      </c>
      <c r="AO54" s="21" t="n">
        <f aca="false">COUNTIFS(d_Marca,$A54,d_Modelo,$B54,d_Subest,AO$7)</f>
        <v>0</v>
      </c>
      <c r="AP54" s="21" t="n">
        <f aca="false">COUNTIFS(d_Marca,$A54,d_Modelo,$B54,d_Subest,AP$7)</f>
        <v>0</v>
      </c>
      <c r="AQ54" s="21" t="n">
        <f aca="false">COUNTIFS(d_Marca,$A54,d_Modelo,$B54,d_Subest,AQ$7)</f>
        <v>0</v>
      </c>
      <c r="AR54" s="21" t="n">
        <f aca="false">COUNTIFS(d_Marca,$A54,d_Modelo,$B54,d_Subest,AR$7)</f>
        <v>0</v>
      </c>
      <c r="AS54" s="21" t="n">
        <f aca="false">COUNTIFS(d_Marca,$A54,d_Modelo,$B54,d_Subest,AS$7)</f>
        <v>0</v>
      </c>
      <c r="AT54" s="21" t="n">
        <f aca="false">COUNTIFS(d_Marca,$A54,d_Modelo,$B54,d_Subest,AT$7)</f>
        <v>0</v>
      </c>
      <c r="AU54" s="21" t="n">
        <f aca="false">COUNTIFS(d_Marca,$A54,d_Modelo,$B54,d_Subest,AU$7)</f>
        <v>0</v>
      </c>
      <c r="AV54" s="21" t="n">
        <f aca="false">COUNTIFS(d_Marca,$A54,d_Modelo,$B54,d_Subest,AV$7)</f>
        <v>0</v>
      </c>
      <c r="AW54" s="21" t="n">
        <f aca="false">COUNTIFS(d_Marca,$A54,d_Modelo,$B54,d_Subest,AW$7)</f>
        <v>0</v>
      </c>
      <c r="AX54" s="17" t="n">
        <f aca="false">SUM(AN54:AW54)</f>
        <v>0</v>
      </c>
      <c r="AY54" s="21" t="n">
        <f aca="false">COUNTIFS(d_Marca,$A54,d_Modelo,$B54,d_Subest,AY$7)</f>
        <v>0</v>
      </c>
      <c r="AZ54" s="17" t="n">
        <f aca="false">E54+H54+K54+P54+V54+AB54+AM54+AX54+AY54</f>
        <v>6</v>
      </c>
    </row>
    <row r="55" customFormat="false" ht="15" hidden="false" customHeight="false" outlineLevel="0" collapsed="false">
      <c r="A55" s="19" t="s">
        <v>73</v>
      </c>
      <c r="B55" s="20" t="s">
        <v>73</v>
      </c>
      <c r="C55" s="21" t="n">
        <f aca="false">COUNTIFS(d_Marca,$A55,d_Modelo,$B55,d_Subest,C$7)</f>
        <v>0</v>
      </c>
      <c r="D55" s="21" t="n">
        <f aca="false">COUNTIFS(d_Marca,$A55,d_Modelo,$B55,d_Subest,D$7)</f>
        <v>0</v>
      </c>
      <c r="E55" s="17" t="n">
        <f aca="false">SUM(C55:D55)</f>
        <v>0</v>
      </c>
      <c r="F55" s="21" t="n">
        <f aca="false">COUNTIFS(d_Marca,$A55,d_Modelo,$B55,d_Subest,F$7)</f>
        <v>0</v>
      </c>
      <c r="G55" s="21" t="n">
        <f aca="false">COUNTIFS(d_Marca,$A55,d_Modelo,$B55,d_Subest,G$7)</f>
        <v>0</v>
      </c>
      <c r="H55" s="17" t="n">
        <f aca="false">SUM(F55:G55)</f>
        <v>0</v>
      </c>
      <c r="I55" s="21" t="n">
        <f aca="false">COUNTIFS(d_Marca,$A55,d_Modelo,$B55,d_Subest,I$7)</f>
        <v>2</v>
      </c>
      <c r="J55" s="21" t="n">
        <f aca="false">COUNTIFS(d_Marca,$A55,d_Modelo,$B55,d_Subest,J$7)</f>
        <v>0</v>
      </c>
      <c r="K55" s="17" t="n">
        <f aca="false">SUM(I55:J55)</f>
        <v>2</v>
      </c>
      <c r="L55" s="21" t="n">
        <f aca="false">COUNTIFS(d_Marca,$A55,d_Modelo,$B55,d_Subest,L$7)</f>
        <v>0</v>
      </c>
      <c r="M55" s="21" t="n">
        <f aca="false">COUNTIFS(d_Marca,$A55,d_Modelo,$B55,d_Subest,M$7)</f>
        <v>0</v>
      </c>
      <c r="N55" s="21" t="n">
        <f aca="false">COUNTIFS(d_Marca,$A55,d_Modelo,$B55,d_Subest,N$7)</f>
        <v>0</v>
      </c>
      <c r="O55" s="21" t="n">
        <f aca="false">COUNTIFS(d_Marca,$A55,d_Modelo,$B55,d_Subest,O$7)</f>
        <v>0</v>
      </c>
      <c r="P55" s="17" t="n">
        <f aca="false">SUM(L55:O55)</f>
        <v>0</v>
      </c>
      <c r="Q55" s="21" t="n">
        <f aca="false">COUNTIFS(d_Marca,$A55,d_Modelo,$B55,d_Subest,Q$7)</f>
        <v>0</v>
      </c>
      <c r="R55" s="21" t="n">
        <f aca="false">COUNTIFS(d_Marca,$A55,d_Modelo,$B55,d_Subest,R$7)</f>
        <v>0</v>
      </c>
      <c r="S55" s="21" t="n">
        <f aca="false">COUNTIFS(d_Marca,$A55,d_Modelo,$B55,d_Subest,S$7)</f>
        <v>0</v>
      </c>
      <c r="T55" s="21" t="n">
        <f aca="false">COUNTIFS(d_Marca,$A55,d_Modelo,$B55,d_Subest,T$7)</f>
        <v>0</v>
      </c>
      <c r="U55" s="21" t="n">
        <f aca="false">COUNTIFS(d_Marca,$A55,d_Modelo,$B55,d_Subest,U$7)</f>
        <v>0</v>
      </c>
      <c r="V55" s="17" t="n">
        <f aca="false">SUM(Q55:U55)</f>
        <v>0</v>
      </c>
      <c r="W55" s="21" t="n">
        <f aca="false">COUNTIFS(d_Marca,$A55,d_Modelo,$B55,d_Subest,W$7)</f>
        <v>0</v>
      </c>
      <c r="X55" s="21" t="n">
        <f aca="false">COUNTIFS(d_Marca,$A55,d_Modelo,$B55,d_Subest,X$7)</f>
        <v>0</v>
      </c>
      <c r="Y55" s="21" t="n">
        <f aca="false">COUNTIFS(d_Marca,$A55,d_Modelo,$B55,d_Subest,Y$7)</f>
        <v>0</v>
      </c>
      <c r="Z55" s="21" t="n">
        <f aca="false">COUNTIFS(d_Marca,$A55,d_Modelo,$B55,d_Subest,Z$7)</f>
        <v>0</v>
      </c>
      <c r="AA55" s="21" t="n">
        <f aca="false">COUNTIFS(d_Marca,$A55,d_Modelo,$B55,d_Subest,AA$7)</f>
        <v>0</v>
      </c>
      <c r="AB55" s="17" t="n">
        <f aca="false">SUM(W55:AA55)</f>
        <v>0</v>
      </c>
      <c r="AC55" s="21" t="n">
        <f aca="false">COUNTIFS(d_Marca,$A55,d_Modelo,$B55,d_Subest,AC$7)</f>
        <v>0</v>
      </c>
      <c r="AD55" s="21" t="n">
        <f aca="false">COUNTIFS(d_Marca,$A55,d_Modelo,$B55,d_Subest,AD$7)</f>
        <v>0</v>
      </c>
      <c r="AE55" s="21" t="n">
        <f aca="false">COUNTIFS(d_Marca,$A55,d_Modelo,$B55,d_Subest,AE$7)</f>
        <v>0</v>
      </c>
      <c r="AF55" s="21" t="n">
        <f aca="false">COUNTIFS(d_Marca,$A55,d_Modelo,$B55,d_Subest,AF$7)</f>
        <v>0</v>
      </c>
      <c r="AG55" s="21" t="n">
        <f aca="false">COUNTIFS(d_Marca,$A55,d_Modelo,$B55,d_Subest,AG$7)</f>
        <v>0</v>
      </c>
      <c r="AH55" s="21" t="n">
        <f aca="false">COUNTIFS(d_Marca,$A55,d_Modelo,$B55,d_Subest,AH$7)</f>
        <v>0</v>
      </c>
      <c r="AI55" s="21" t="n">
        <f aca="false">COUNTIFS(d_Marca,$A55,d_Modelo,$B55,d_Subest,AI$7)</f>
        <v>0</v>
      </c>
      <c r="AJ55" s="21" t="n">
        <f aca="false">COUNTIFS(d_Marca,$A55,d_Modelo,$B55,d_Subest,AJ$7)</f>
        <v>0</v>
      </c>
      <c r="AK55" s="21" t="n">
        <f aca="false">COUNTIFS(d_Marca,$A55,d_Modelo,$B55,d_Subest,AK$7)</f>
        <v>0</v>
      </c>
      <c r="AL55" s="21" t="n">
        <f aca="false">COUNTIFS(d_Marca,$A55,d_Modelo,$B55,d_Subest,AL$7)</f>
        <v>0</v>
      </c>
      <c r="AM55" s="17" t="n">
        <f aca="false">SUM(AC55:AL55)</f>
        <v>0</v>
      </c>
      <c r="AN55" s="21" t="n">
        <f aca="false">COUNTIFS(d_Marca,$A55,d_Modelo,$B55,d_Subest,AN$7)</f>
        <v>0</v>
      </c>
      <c r="AO55" s="21" t="n">
        <f aca="false">COUNTIFS(d_Marca,$A55,d_Modelo,$B55,d_Subest,AO$7)</f>
        <v>0</v>
      </c>
      <c r="AP55" s="21" t="n">
        <f aca="false">COUNTIFS(d_Marca,$A55,d_Modelo,$B55,d_Subest,AP$7)</f>
        <v>0</v>
      </c>
      <c r="AQ55" s="21" t="n">
        <f aca="false">COUNTIFS(d_Marca,$A55,d_Modelo,$B55,d_Subest,AQ$7)</f>
        <v>0</v>
      </c>
      <c r="AR55" s="21" t="n">
        <f aca="false">COUNTIFS(d_Marca,$A55,d_Modelo,$B55,d_Subest,AR$7)</f>
        <v>0</v>
      </c>
      <c r="AS55" s="21" t="n">
        <f aca="false">COUNTIFS(d_Marca,$A55,d_Modelo,$B55,d_Subest,AS$7)</f>
        <v>0</v>
      </c>
      <c r="AT55" s="21" t="n">
        <f aca="false">COUNTIFS(d_Marca,$A55,d_Modelo,$B55,d_Subest,AT$7)</f>
        <v>0</v>
      </c>
      <c r="AU55" s="21" t="n">
        <f aca="false">COUNTIFS(d_Marca,$A55,d_Modelo,$B55,d_Subest,AU$7)</f>
        <v>0</v>
      </c>
      <c r="AV55" s="21" t="n">
        <f aca="false">COUNTIFS(d_Marca,$A55,d_Modelo,$B55,d_Subest,AV$7)</f>
        <v>0</v>
      </c>
      <c r="AW55" s="21" t="n">
        <f aca="false">COUNTIFS(d_Marca,$A55,d_Modelo,$B55,d_Subest,AW$7)</f>
        <v>0</v>
      </c>
      <c r="AX55" s="17" t="n">
        <f aca="false">SUM(AN55:AW55)</f>
        <v>0</v>
      </c>
      <c r="AY55" s="21" t="n">
        <f aca="false">COUNTIFS(d_Marca,$A55,d_Modelo,$B55,d_Subest,AY$7)</f>
        <v>0</v>
      </c>
      <c r="AZ55" s="17" t="n">
        <f aca="false">E55+H55+K55+P55+V55+AB55+AM55+AX55+AY55</f>
        <v>2</v>
      </c>
    </row>
    <row r="56" customFormat="false" ht="15" hidden="false" customHeight="false" outlineLevel="0" collapsed="false">
      <c r="A56" s="19" t="s">
        <v>73</v>
      </c>
      <c r="B56" s="20" t="s">
        <v>82</v>
      </c>
      <c r="C56" s="21" t="n">
        <f aca="false">COUNTIFS(d_Marca,$A56,d_Modelo,$B56,d_Subest,C$7)</f>
        <v>0</v>
      </c>
      <c r="D56" s="21" t="n">
        <f aca="false">COUNTIFS(d_Marca,$A56,d_Modelo,$B56,d_Subest,D$7)</f>
        <v>0</v>
      </c>
      <c r="E56" s="17" t="n">
        <f aca="false">SUM(C56:D56)</f>
        <v>0</v>
      </c>
      <c r="F56" s="21" t="n">
        <f aca="false">COUNTIFS(d_Marca,$A56,d_Modelo,$B56,d_Subest,F$7)</f>
        <v>0</v>
      </c>
      <c r="G56" s="21" t="n">
        <f aca="false">COUNTIFS(d_Marca,$A56,d_Modelo,$B56,d_Subest,G$7)</f>
        <v>0</v>
      </c>
      <c r="H56" s="17" t="n">
        <f aca="false">SUM(F56:G56)</f>
        <v>0</v>
      </c>
      <c r="I56" s="21" t="n">
        <f aca="false">COUNTIFS(d_Marca,$A56,d_Modelo,$B56,d_Subest,I$7)</f>
        <v>0</v>
      </c>
      <c r="J56" s="21" t="n">
        <f aca="false">COUNTIFS(d_Marca,$A56,d_Modelo,$B56,d_Subest,J$7)</f>
        <v>0</v>
      </c>
      <c r="K56" s="17" t="n">
        <f aca="false">SUM(I56:J56)</f>
        <v>0</v>
      </c>
      <c r="L56" s="21" t="n">
        <f aca="false">COUNTIFS(d_Marca,$A56,d_Modelo,$B56,d_Subest,L$7)</f>
        <v>0</v>
      </c>
      <c r="M56" s="21" t="n">
        <f aca="false">COUNTIFS(d_Marca,$A56,d_Modelo,$B56,d_Subest,M$7)</f>
        <v>0</v>
      </c>
      <c r="N56" s="21" t="n">
        <f aca="false">COUNTIFS(d_Marca,$A56,d_Modelo,$B56,d_Subest,N$7)</f>
        <v>0</v>
      </c>
      <c r="O56" s="21" t="n">
        <f aca="false">COUNTIFS(d_Marca,$A56,d_Modelo,$B56,d_Subest,O$7)</f>
        <v>0</v>
      </c>
      <c r="P56" s="17" t="n">
        <f aca="false">SUM(L56:O56)</f>
        <v>0</v>
      </c>
      <c r="Q56" s="21" t="n">
        <f aca="false">COUNTIFS(d_Marca,$A56,d_Modelo,$B56,d_Subest,Q$7)</f>
        <v>0</v>
      </c>
      <c r="R56" s="21" t="n">
        <f aca="false">COUNTIFS(d_Marca,$A56,d_Modelo,$B56,d_Subest,R$7)</f>
        <v>0</v>
      </c>
      <c r="S56" s="21" t="n">
        <f aca="false">COUNTIFS(d_Marca,$A56,d_Modelo,$B56,d_Subest,S$7)</f>
        <v>0</v>
      </c>
      <c r="T56" s="21" t="n">
        <f aca="false">COUNTIFS(d_Marca,$A56,d_Modelo,$B56,d_Subest,T$7)</f>
        <v>0</v>
      </c>
      <c r="U56" s="21" t="n">
        <f aca="false">COUNTIFS(d_Marca,$A56,d_Modelo,$B56,d_Subest,U$7)</f>
        <v>0</v>
      </c>
      <c r="V56" s="17" t="n">
        <f aca="false">SUM(Q56:U56)</f>
        <v>0</v>
      </c>
      <c r="W56" s="21" t="n">
        <f aca="false">COUNTIFS(d_Marca,$A56,d_Modelo,$B56,d_Subest,W$7)</f>
        <v>0</v>
      </c>
      <c r="X56" s="21" t="n">
        <f aca="false">COUNTIFS(d_Marca,$A56,d_Modelo,$B56,d_Subest,X$7)</f>
        <v>0</v>
      </c>
      <c r="Y56" s="21" t="n">
        <f aca="false">COUNTIFS(d_Marca,$A56,d_Modelo,$B56,d_Subest,Y$7)</f>
        <v>0</v>
      </c>
      <c r="Z56" s="21" t="n">
        <f aca="false">COUNTIFS(d_Marca,$A56,d_Modelo,$B56,d_Subest,Z$7)</f>
        <v>0</v>
      </c>
      <c r="AA56" s="21" t="n">
        <f aca="false">COUNTIFS(d_Marca,$A56,d_Modelo,$B56,d_Subest,AA$7)</f>
        <v>0</v>
      </c>
      <c r="AB56" s="17" t="n">
        <f aca="false">SUM(W56:AA56)</f>
        <v>0</v>
      </c>
      <c r="AC56" s="21" t="n">
        <f aca="false">COUNTIFS(d_Marca,$A56,d_Modelo,$B56,d_Subest,AC$7)</f>
        <v>0</v>
      </c>
      <c r="AD56" s="21" t="n">
        <f aca="false">COUNTIFS(d_Marca,$A56,d_Modelo,$B56,d_Subest,AD$7)</f>
        <v>0</v>
      </c>
      <c r="AE56" s="21" t="n">
        <f aca="false">COUNTIFS(d_Marca,$A56,d_Modelo,$B56,d_Subest,AE$7)</f>
        <v>0</v>
      </c>
      <c r="AF56" s="21" t="n">
        <f aca="false">COUNTIFS(d_Marca,$A56,d_Modelo,$B56,d_Subest,AF$7)</f>
        <v>0</v>
      </c>
      <c r="AG56" s="21" t="n">
        <f aca="false">COUNTIFS(d_Marca,$A56,d_Modelo,$B56,d_Subest,AG$7)</f>
        <v>0</v>
      </c>
      <c r="AH56" s="21" t="n">
        <f aca="false">COUNTIFS(d_Marca,$A56,d_Modelo,$B56,d_Subest,AH$7)</f>
        <v>0</v>
      </c>
      <c r="AI56" s="21" t="n">
        <f aca="false">COUNTIFS(d_Marca,$A56,d_Modelo,$B56,d_Subest,AI$7)</f>
        <v>0</v>
      </c>
      <c r="AJ56" s="21" t="n">
        <f aca="false">COUNTIFS(d_Marca,$A56,d_Modelo,$B56,d_Subest,AJ$7)</f>
        <v>0</v>
      </c>
      <c r="AK56" s="21" t="n">
        <f aca="false">COUNTIFS(d_Marca,$A56,d_Modelo,$B56,d_Subest,AK$7)</f>
        <v>0</v>
      </c>
      <c r="AL56" s="21" t="n">
        <f aca="false">COUNTIFS(d_Marca,$A56,d_Modelo,$B56,d_Subest,AL$7)</f>
        <v>0</v>
      </c>
      <c r="AM56" s="17" t="n">
        <f aca="false">SUM(AC56:AL56)</f>
        <v>0</v>
      </c>
      <c r="AN56" s="21" t="n">
        <f aca="false">COUNTIFS(d_Marca,$A56,d_Modelo,$B56,d_Subest,AN$7)</f>
        <v>0</v>
      </c>
      <c r="AO56" s="21" t="n">
        <f aca="false">COUNTIFS(d_Marca,$A56,d_Modelo,$B56,d_Subest,AO$7)</f>
        <v>0</v>
      </c>
      <c r="AP56" s="21" t="n">
        <f aca="false">COUNTIFS(d_Marca,$A56,d_Modelo,$B56,d_Subest,AP$7)</f>
        <v>0</v>
      </c>
      <c r="AQ56" s="21" t="n">
        <f aca="false">COUNTIFS(d_Marca,$A56,d_Modelo,$B56,d_Subest,AQ$7)</f>
        <v>0</v>
      </c>
      <c r="AR56" s="21" t="n">
        <f aca="false">COUNTIFS(d_Marca,$A56,d_Modelo,$B56,d_Subest,AR$7)</f>
        <v>0</v>
      </c>
      <c r="AS56" s="21" t="n">
        <f aca="false">COUNTIFS(d_Marca,$A56,d_Modelo,$B56,d_Subest,AS$7)</f>
        <v>0</v>
      </c>
      <c r="AT56" s="21" t="n">
        <f aca="false">COUNTIFS(d_Marca,$A56,d_Modelo,$B56,d_Subest,AT$7)</f>
        <v>0</v>
      </c>
      <c r="AU56" s="21" t="n">
        <f aca="false">COUNTIFS(d_Marca,$A56,d_Modelo,$B56,d_Subest,AU$7)</f>
        <v>0</v>
      </c>
      <c r="AV56" s="21" t="n">
        <f aca="false">COUNTIFS(d_Marca,$A56,d_Modelo,$B56,d_Subest,AV$7)</f>
        <v>0</v>
      </c>
      <c r="AW56" s="21" t="n">
        <f aca="false">COUNTIFS(d_Marca,$A56,d_Modelo,$B56,d_Subest,AW$7)</f>
        <v>2</v>
      </c>
      <c r="AX56" s="17" t="n">
        <f aca="false">SUM(AN56:AW56)</f>
        <v>2</v>
      </c>
      <c r="AY56" s="21" t="n">
        <f aca="false">COUNTIFS(d_Marca,$A56,d_Modelo,$B56,d_Subest,AY$7)</f>
        <v>0</v>
      </c>
      <c r="AZ56" s="17" t="n">
        <f aca="false">E56+H56+K56+P56+V56+AB56+AM56+AX56+AY56</f>
        <v>2</v>
      </c>
    </row>
    <row r="57" customFormat="false" ht="15" hidden="false" customHeight="false" outlineLevel="0" collapsed="false">
      <c r="A57" s="19" t="s">
        <v>73</v>
      </c>
      <c r="B57" s="20" t="s">
        <v>83</v>
      </c>
      <c r="C57" s="21" t="n">
        <f aca="false">COUNTIFS(d_Marca,$A57,d_Modelo,$B57,d_Subest,C$7)</f>
        <v>0</v>
      </c>
      <c r="D57" s="21" t="n">
        <f aca="false">COUNTIFS(d_Marca,$A57,d_Modelo,$B57,d_Subest,D$7)</f>
        <v>0</v>
      </c>
      <c r="E57" s="17" t="n">
        <f aca="false">SUM(C57:D57)</f>
        <v>0</v>
      </c>
      <c r="F57" s="21" t="n">
        <f aca="false">COUNTIFS(d_Marca,$A57,d_Modelo,$B57,d_Subest,F$7)</f>
        <v>0</v>
      </c>
      <c r="G57" s="21" t="n">
        <f aca="false">COUNTIFS(d_Marca,$A57,d_Modelo,$B57,d_Subest,G$7)</f>
        <v>0</v>
      </c>
      <c r="H57" s="17" t="n">
        <f aca="false">SUM(F57:G57)</f>
        <v>0</v>
      </c>
      <c r="I57" s="21" t="n">
        <f aca="false">COUNTIFS(d_Marca,$A57,d_Modelo,$B57,d_Subest,I$7)</f>
        <v>0</v>
      </c>
      <c r="J57" s="21" t="n">
        <f aca="false">COUNTIFS(d_Marca,$A57,d_Modelo,$B57,d_Subest,J$7)</f>
        <v>0</v>
      </c>
      <c r="K57" s="17" t="n">
        <f aca="false">SUM(I57:J57)</f>
        <v>0</v>
      </c>
      <c r="L57" s="21" t="n">
        <f aca="false">COUNTIFS(d_Marca,$A57,d_Modelo,$B57,d_Subest,L$7)</f>
        <v>0</v>
      </c>
      <c r="M57" s="21" t="n">
        <f aca="false">COUNTIFS(d_Marca,$A57,d_Modelo,$B57,d_Subest,M$7)</f>
        <v>0</v>
      </c>
      <c r="N57" s="21" t="n">
        <f aca="false">COUNTIFS(d_Marca,$A57,d_Modelo,$B57,d_Subest,N$7)</f>
        <v>0</v>
      </c>
      <c r="O57" s="21" t="n">
        <f aca="false">COUNTIFS(d_Marca,$A57,d_Modelo,$B57,d_Subest,O$7)</f>
        <v>0</v>
      </c>
      <c r="P57" s="17" t="n">
        <f aca="false">SUM(L57:O57)</f>
        <v>0</v>
      </c>
      <c r="Q57" s="21" t="n">
        <f aca="false">COUNTIFS(d_Marca,$A57,d_Modelo,$B57,d_Subest,Q$7)</f>
        <v>0</v>
      </c>
      <c r="R57" s="21" t="n">
        <f aca="false">COUNTIFS(d_Marca,$A57,d_Modelo,$B57,d_Subest,R$7)</f>
        <v>0</v>
      </c>
      <c r="S57" s="21" t="n">
        <f aca="false">COUNTIFS(d_Marca,$A57,d_Modelo,$B57,d_Subest,S$7)</f>
        <v>0</v>
      </c>
      <c r="T57" s="21" t="n">
        <f aca="false">COUNTIFS(d_Marca,$A57,d_Modelo,$B57,d_Subest,T$7)</f>
        <v>0</v>
      </c>
      <c r="U57" s="21" t="n">
        <f aca="false">COUNTIFS(d_Marca,$A57,d_Modelo,$B57,d_Subest,U$7)</f>
        <v>0</v>
      </c>
      <c r="V57" s="17" t="n">
        <f aca="false">SUM(Q57:U57)</f>
        <v>0</v>
      </c>
      <c r="W57" s="21" t="n">
        <f aca="false">COUNTIFS(d_Marca,$A57,d_Modelo,$B57,d_Subest,W$7)</f>
        <v>0</v>
      </c>
      <c r="X57" s="21" t="n">
        <f aca="false">COUNTIFS(d_Marca,$A57,d_Modelo,$B57,d_Subest,X$7)</f>
        <v>0</v>
      </c>
      <c r="Y57" s="21" t="n">
        <f aca="false">COUNTIFS(d_Marca,$A57,d_Modelo,$B57,d_Subest,Y$7)</f>
        <v>0</v>
      </c>
      <c r="Z57" s="21" t="n">
        <f aca="false">COUNTIFS(d_Marca,$A57,d_Modelo,$B57,d_Subest,Z$7)</f>
        <v>0</v>
      </c>
      <c r="AA57" s="21" t="n">
        <f aca="false">COUNTIFS(d_Marca,$A57,d_Modelo,$B57,d_Subest,AA$7)</f>
        <v>0</v>
      </c>
      <c r="AB57" s="17" t="n">
        <f aca="false">SUM(W57:AA57)</f>
        <v>0</v>
      </c>
      <c r="AC57" s="21" t="n">
        <f aca="false">COUNTIFS(d_Marca,$A57,d_Modelo,$B57,d_Subest,AC$7)</f>
        <v>0</v>
      </c>
      <c r="AD57" s="21" t="n">
        <f aca="false">COUNTIFS(d_Marca,$A57,d_Modelo,$B57,d_Subest,AD$7)</f>
        <v>0</v>
      </c>
      <c r="AE57" s="21" t="n">
        <f aca="false">COUNTIFS(d_Marca,$A57,d_Modelo,$B57,d_Subest,AE$7)</f>
        <v>0</v>
      </c>
      <c r="AF57" s="21" t="n">
        <f aca="false">COUNTIFS(d_Marca,$A57,d_Modelo,$B57,d_Subest,AF$7)</f>
        <v>0</v>
      </c>
      <c r="AG57" s="21" t="n">
        <f aca="false">COUNTIFS(d_Marca,$A57,d_Modelo,$B57,d_Subest,AG$7)</f>
        <v>0</v>
      </c>
      <c r="AH57" s="21" t="n">
        <f aca="false">COUNTIFS(d_Marca,$A57,d_Modelo,$B57,d_Subest,AH$7)</f>
        <v>0</v>
      </c>
      <c r="AI57" s="21" t="n">
        <f aca="false">COUNTIFS(d_Marca,$A57,d_Modelo,$B57,d_Subest,AI$7)</f>
        <v>0</v>
      </c>
      <c r="AJ57" s="21" t="n">
        <f aca="false">COUNTIFS(d_Marca,$A57,d_Modelo,$B57,d_Subest,AJ$7)</f>
        <v>0</v>
      </c>
      <c r="AK57" s="21" t="n">
        <f aca="false">COUNTIFS(d_Marca,$A57,d_Modelo,$B57,d_Subest,AK$7)</f>
        <v>0</v>
      </c>
      <c r="AL57" s="21" t="n">
        <f aca="false">COUNTIFS(d_Marca,$A57,d_Modelo,$B57,d_Subest,AL$7)</f>
        <v>0</v>
      </c>
      <c r="AM57" s="17" t="n">
        <f aca="false">SUM(AC57:AL57)</f>
        <v>0</v>
      </c>
      <c r="AN57" s="21" t="n">
        <f aca="false">COUNTIFS(d_Marca,$A57,d_Modelo,$B57,d_Subest,AN$7)</f>
        <v>0</v>
      </c>
      <c r="AO57" s="21" t="n">
        <f aca="false">COUNTIFS(d_Marca,$A57,d_Modelo,$B57,d_Subest,AO$7)</f>
        <v>0</v>
      </c>
      <c r="AP57" s="21" t="n">
        <f aca="false">COUNTIFS(d_Marca,$A57,d_Modelo,$B57,d_Subest,AP$7)</f>
        <v>0</v>
      </c>
      <c r="AQ57" s="21" t="n">
        <f aca="false">COUNTIFS(d_Marca,$A57,d_Modelo,$B57,d_Subest,AQ$7)</f>
        <v>0</v>
      </c>
      <c r="AR57" s="21" t="n">
        <f aca="false">COUNTIFS(d_Marca,$A57,d_Modelo,$B57,d_Subest,AR$7)</f>
        <v>0</v>
      </c>
      <c r="AS57" s="21" t="n">
        <f aca="false">COUNTIFS(d_Marca,$A57,d_Modelo,$B57,d_Subest,AS$7)</f>
        <v>0</v>
      </c>
      <c r="AT57" s="21" t="n">
        <f aca="false">COUNTIFS(d_Marca,$A57,d_Modelo,$B57,d_Subest,AT$7)</f>
        <v>0</v>
      </c>
      <c r="AU57" s="21" t="n">
        <f aca="false">COUNTIFS(d_Marca,$A57,d_Modelo,$B57,d_Subest,AU$7)</f>
        <v>1</v>
      </c>
      <c r="AV57" s="21" t="n">
        <f aca="false">COUNTIFS(d_Marca,$A57,d_Modelo,$B57,d_Subest,AV$7)</f>
        <v>0</v>
      </c>
      <c r="AW57" s="21" t="n">
        <f aca="false">COUNTIFS(d_Marca,$A57,d_Modelo,$B57,d_Subest,AW$7)</f>
        <v>0</v>
      </c>
      <c r="AX57" s="17" t="n">
        <f aca="false">SUM(AN57:AW57)</f>
        <v>1</v>
      </c>
      <c r="AY57" s="21" t="n">
        <f aca="false">COUNTIFS(d_Marca,$A57,d_Modelo,$B57,d_Subest,AY$7)</f>
        <v>0</v>
      </c>
      <c r="AZ57" s="17" t="n">
        <f aca="false">E57+H57+K57+P57+V57+AB57+AM57+AX57+AY57</f>
        <v>1</v>
      </c>
    </row>
    <row r="58" customFormat="false" ht="15" hidden="false" customHeight="false" outlineLevel="0" collapsed="false">
      <c r="A58" s="19" t="s">
        <v>73</v>
      </c>
      <c r="B58" s="20" t="s">
        <v>84</v>
      </c>
      <c r="C58" s="21" t="n">
        <f aca="false">COUNTIFS(d_Marca,$A58,d_Modelo,$B58,d_Subest,C$7)</f>
        <v>0</v>
      </c>
      <c r="D58" s="21" t="n">
        <f aca="false">COUNTIFS(d_Marca,$A58,d_Modelo,$B58,d_Subest,D$7)</f>
        <v>0</v>
      </c>
      <c r="E58" s="17" t="n">
        <f aca="false">SUM(C58:D58)</f>
        <v>0</v>
      </c>
      <c r="F58" s="21" t="n">
        <f aca="false">COUNTIFS(d_Marca,$A58,d_Modelo,$B58,d_Subest,F$7)</f>
        <v>0</v>
      </c>
      <c r="G58" s="21" t="n">
        <f aca="false">COUNTIFS(d_Marca,$A58,d_Modelo,$B58,d_Subest,G$7)</f>
        <v>0</v>
      </c>
      <c r="H58" s="17" t="n">
        <f aca="false">SUM(F58:G58)</f>
        <v>0</v>
      </c>
      <c r="I58" s="21" t="n">
        <f aca="false">COUNTIFS(d_Marca,$A58,d_Modelo,$B58,d_Subest,I$7)</f>
        <v>0</v>
      </c>
      <c r="J58" s="21" t="n">
        <f aca="false">COUNTIFS(d_Marca,$A58,d_Modelo,$B58,d_Subest,J$7)</f>
        <v>0</v>
      </c>
      <c r="K58" s="17" t="n">
        <f aca="false">SUM(I58:J58)</f>
        <v>0</v>
      </c>
      <c r="L58" s="21" t="n">
        <f aca="false">COUNTIFS(d_Marca,$A58,d_Modelo,$B58,d_Subest,L$7)</f>
        <v>0</v>
      </c>
      <c r="M58" s="21" t="n">
        <f aca="false">COUNTIFS(d_Marca,$A58,d_Modelo,$B58,d_Subest,M$7)</f>
        <v>0</v>
      </c>
      <c r="N58" s="21" t="n">
        <f aca="false">COUNTIFS(d_Marca,$A58,d_Modelo,$B58,d_Subest,N$7)</f>
        <v>0</v>
      </c>
      <c r="O58" s="21" t="n">
        <f aca="false">COUNTIFS(d_Marca,$A58,d_Modelo,$B58,d_Subest,O$7)</f>
        <v>0</v>
      </c>
      <c r="P58" s="17" t="n">
        <f aca="false">SUM(L58:O58)</f>
        <v>0</v>
      </c>
      <c r="Q58" s="21" t="n">
        <f aca="false">COUNTIFS(d_Marca,$A58,d_Modelo,$B58,d_Subest,Q$7)</f>
        <v>0</v>
      </c>
      <c r="R58" s="21" t="n">
        <f aca="false">COUNTIFS(d_Marca,$A58,d_Modelo,$B58,d_Subest,R$7)</f>
        <v>0</v>
      </c>
      <c r="S58" s="21" t="n">
        <f aca="false">COUNTIFS(d_Marca,$A58,d_Modelo,$B58,d_Subest,S$7)</f>
        <v>0</v>
      </c>
      <c r="T58" s="21" t="n">
        <f aca="false">COUNTIFS(d_Marca,$A58,d_Modelo,$B58,d_Subest,T$7)</f>
        <v>0</v>
      </c>
      <c r="U58" s="21" t="n">
        <f aca="false">COUNTIFS(d_Marca,$A58,d_Modelo,$B58,d_Subest,U$7)</f>
        <v>0</v>
      </c>
      <c r="V58" s="17" t="n">
        <f aca="false">SUM(Q58:U58)</f>
        <v>0</v>
      </c>
      <c r="W58" s="21" t="n">
        <f aca="false">COUNTIFS(d_Marca,$A58,d_Modelo,$B58,d_Subest,W$7)</f>
        <v>0</v>
      </c>
      <c r="X58" s="21" t="n">
        <f aca="false">COUNTIFS(d_Marca,$A58,d_Modelo,$B58,d_Subest,X$7)</f>
        <v>0</v>
      </c>
      <c r="Y58" s="21" t="n">
        <f aca="false">COUNTIFS(d_Marca,$A58,d_Modelo,$B58,d_Subest,Y$7)</f>
        <v>0</v>
      </c>
      <c r="Z58" s="21" t="n">
        <f aca="false">COUNTIFS(d_Marca,$A58,d_Modelo,$B58,d_Subest,Z$7)</f>
        <v>0</v>
      </c>
      <c r="AA58" s="21" t="n">
        <f aca="false">COUNTIFS(d_Marca,$A58,d_Modelo,$B58,d_Subest,AA$7)</f>
        <v>0</v>
      </c>
      <c r="AB58" s="17" t="n">
        <f aca="false">SUM(W58:AA58)</f>
        <v>0</v>
      </c>
      <c r="AC58" s="21" t="n">
        <f aca="false">COUNTIFS(d_Marca,$A58,d_Modelo,$B58,d_Subest,AC$7)</f>
        <v>0</v>
      </c>
      <c r="AD58" s="21" t="n">
        <f aca="false">COUNTIFS(d_Marca,$A58,d_Modelo,$B58,d_Subest,AD$7)</f>
        <v>0</v>
      </c>
      <c r="AE58" s="21" t="n">
        <f aca="false">COUNTIFS(d_Marca,$A58,d_Modelo,$B58,d_Subest,AE$7)</f>
        <v>0</v>
      </c>
      <c r="AF58" s="21" t="n">
        <f aca="false">COUNTIFS(d_Marca,$A58,d_Modelo,$B58,d_Subest,AF$7)</f>
        <v>0</v>
      </c>
      <c r="AG58" s="21" t="n">
        <f aca="false">COUNTIFS(d_Marca,$A58,d_Modelo,$B58,d_Subest,AG$7)</f>
        <v>0</v>
      </c>
      <c r="AH58" s="21" t="n">
        <f aca="false">COUNTIFS(d_Marca,$A58,d_Modelo,$B58,d_Subest,AH$7)</f>
        <v>0</v>
      </c>
      <c r="AI58" s="21" t="n">
        <f aca="false">COUNTIFS(d_Marca,$A58,d_Modelo,$B58,d_Subest,AI$7)</f>
        <v>0</v>
      </c>
      <c r="AJ58" s="21" t="n">
        <f aca="false">COUNTIFS(d_Marca,$A58,d_Modelo,$B58,d_Subest,AJ$7)</f>
        <v>0</v>
      </c>
      <c r="AK58" s="21" t="n">
        <f aca="false">COUNTIFS(d_Marca,$A58,d_Modelo,$B58,d_Subest,AK$7)</f>
        <v>0</v>
      </c>
      <c r="AL58" s="21" t="n">
        <f aca="false">COUNTIFS(d_Marca,$A58,d_Modelo,$B58,d_Subest,AL$7)</f>
        <v>0</v>
      </c>
      <c r="AM58" s="17" t="n">
        <f aca="false">SUM(AC58:AL58)</f>
        <v>0</v>
      </c>
      <c r="AN58" s="21" t="n">
        <f aca="false">COUNTIFS(d_Marca,$A58,d_Modelo,$B58,d_Subest,AN$7)</f>
        <v>1</v>
      </c>
      <c r="AO58" s="21" t="n">
        <f aca="false">COUNTIFS(d_Marca,$A58,d_Modelo,$B58,d_Subest,AO$7)</f>
        <v>0</v>
      </c>
      <c r="AP58" s="21" t="n">
        <f aca="false">COUNTIFS(d_Marca,$A58,d_Modelo,$B58,d_Subest,AP$7)</f>
        <v>0</v>
      </c>
      <c r="AQ58" s="21" t="n">
        <f aca="false">COUNTIFS(d_Marca,$A58,d_Modelo,$B58,d_Subest,AQ$7)</f>
        <v>0</v>
      </c>
      <c r="AR58" s="21" t="n">
        <f aca="false">COUNTIFS(d_Marca,$A58,d_Modelo,$B58,d_Subest,AR$7)</f>
        <v>0</v>
      </c>
      <c r="AS58" s="21" t="n">
        <f aca="false">COUNTIFS(d_Marca,$A58,d_Modelo,$B58,d_Subest,AS$7)</f>
        <v>0</v>
      </c>
      <c r="AT58" s="21" t="n">
        <f aca="false">COUNTIFS(d_Marca,$A58,d_Modelo,$B58,d_Subest,AT$7)</f>
        <v>0</v>
      </c>
      <c r="AU58" s="21" t="n">
        <f aca="false">COUNTIFS(d_Marca,$A58,d_Modelo,$B58,d_Subest,AU$7)</f>
        <v>0</v>
      </c>
      <c r="AV58" s="21" t="n">
        <f aca="false">COUNTIFS(d_Marca,$A58,d_Modelo,$B58,d_Subest,AV$7)</f>
        <v>0</v>
      </c>
      <c r="AW58" s="21" t="n">
        <f aca="false">COUNTIFS(d_Marca,$A58,d_Modelo,$B58,d_Subest,AW$7)</f>
        <v>0</v>
      </c>
      <c r="AX58" s="17" t="n">
        <f aca="false">SUM(AN58:AW58)</f>
        <v>1</v>
      </c>
      <c r="AY58" s="21" t="n">
        <f aca="false">COUNTIFS(d_Marca,$A58,d_Modelo,$B58,d_Subest,AY$7)</f>
        <v>0</v>
      </c>
      <c r="AZ58" s="17" t="n">
        <f aca="false">E58+H58+K58+P58+V58+AB58+AM58+AX58+AY58</f>
        <v>1</v>
      </c>
    </row>
    <row r="59" customFormat="false" ht="15" hidden="false" customHeight="false" outlineLevel="0" collapsed="false">
      <c r="A59" s="19" t="s">
        <v>73</v>
      </c>
      <c r="B59" s="20" t="s">
        <v>85</v>
      </c>
      <c r="C59" s="21" t="n">
        <f aca="false">COUNTIFS(d_Marca,$A59,d_Modelo,$B59,d_Subest,C$7)</f>
        <v>0</v>
      </c>
      <c r="D59" s="21" t="n">
        <f aca="false">COUNTIFS(d_Marca,$A59,d_Modelo,$B59,d_Subest,D$7)</f>
        <v>0</v>
      </c>
      <c r="E59" s="17" t="n">
        <f aca="false">SUM(C59:D59)</f>
        <v>0</v>
      </c>
      <c r="F59" s="21" t="n">
        <f aca="false">COUNTIFS(d_Marca,$A59,d_Modelo,$B59,d_Subest,F$7)</f>
        <v>0</v>
      </c>
      <c r="G59" s="21" t="n">
        <f aca="false">COUNTIFS(d_Marca,$A59,d_Modelo,$B59,d_Subest,G$7)</f>
        <v>0</v>
      </c>
      <c r="H59" s="17" t="n">
        <f aca="false">SUM(F59:G59)</f>
        <v>0</v>
      </c>
      <c r="I59" s="21" t="n">
        <f aca="false">COUNTIFS(d_Marca,$A59,d_Modelo,$B59,d_Subest,I$7)</f>
        <v>0</v>
      </c>
      <c r="J59" s="21" t="n">
        <f aca="false">COUNTIFS(d_Marca,$A59,d_Modelo,$B59,d_Subest,J$7)</f>
        <v>0</v>
      </c>
      <c r="K59" s="17" t="n">
        <f aca="false">SUM(I59:J59)</f>
        <v>0</v>
      </c>
      <c r="L59" s="21" t="n">
        <f aca="false">COUNTIFS(d_Marca,$A59,d_Modelo,$B59,d_Subest,L$7)</f>
        <v>0</v>
      </c>
      <c r="M59" s="21" t="n">
        <f aca="false">COUNTIFS(d_Marca,$A59,d_Modelo,$B59,d_Subest,M$7)</f>
        <v>0</v>
      </c>
      <c r="N59" s="21" t="n">
        <f aca="false">COUNTIFS(d_Marca,$A59,d_Modelo,$B59,d_Subest,N$7)</f>
        <v>0</v>
      </c>
      <c r="O59" s="21" t="n">
        <f aca="false">COUNTIFS(d_Marca,$A59,d_Modelo,$B59,d_Subest,O$7)</f>
        <v>0</v>
      </c>
      <c r="P59" s="17" t="n">
        <f aca="false">SUM(L59:O59)</f>
        <v>0</v>
      </c>
      <c r="Q59" s="21" t="n">
        <f aca="false">COUNTIFS(d_Marca,$A59,d_Modelo,$B59,d_Subest,Q$7)</f>
        <v>0</v>
      </c>
      <c r="R59" s="21" t="n">
        <f aca="false">COUNTIFS(d_Marca,$A59,d_Modelo,$B59,d_Subest,R$7)</f>
        <v>0</v>
      </c>
      <c r="S59" s="21" t="n">
        <f aca="false">COUNTIFS(d_Marca,$A59,d_Modelo,$B59,d_Subest,S$7)</f>
        <v>0</v>
      </c>
      <c r="T59" s="21" t="n">
        <f aca="false">COUNTIFS(d_Marca,$A59,d_Modelo,$B59,d_Subest,T$7)</f>
        <v>0</v>
      </c>
      <c r="U59" s="21" t="n">
        <f aca="false">COUNTIFS(d_Marca,$A59,d_Modelo,$B59,d_Subest,U$7)</f>
        <v>0</v>
      </c>
      <c r="V59" s="17" t="n">
        <f aca="false">SUM(Q59:U59)</f>
        <v>0</v>
      </c>
      <c r="W59" s="21" t="n">
        <f aca="false">COUNTIFS(d_Marca,$A59,d_Modelo,$B59,d_Subest,W$7)</f>
        <v>0</v>
      </c>
      <c r="X59" s="21" t="n">
        <f aca="false">COUNTIFS(d_Marca,$A59,d_Modelo,$B59,d_Subest,X$7)</f>
        <v>0</v>
      </c>
      <c r="Y59" s="21" t="n">
        <f aca="false">COUNTIFS(d_Marca,$A59,d_Modelo,$B59,d_Subest,Y$7)</f>
        <v>0</v>
      </c>
      <c r="Z59" s="21" t="n">
        <f aca="false">COUNTIFS(d_Marca,$A59,d_Modelo,$B59,d_Subest,Z$7)</f>
        <v>0</v>
      </c>
      <c r="AA59" s="21" t="n">
        <f aca="false">COUNTIFS(d_Marca,$A59,d_Modelo,$B59,d_Subest,AA$7)</f>
        <v>0</v>
      </c>
      <c r="AB59" s="17" t="n">
        <f aca="false">SUM(W59:AA59)</f>
        <v>0</v>
      </c>
      <c r="AC59" s="21" t="n">
        <f aca="false">COUNTIFS(d_Marca,$A59,d_Modelo,$B59,d_Subest,AC$7)</f>
        <v>0</v>
      </c>
      <c r="AD59" s="21" t="n">
        <f aca="false">COUNTIFS(d_Marca,$A59,d_Modelo,$B59,d_Subest,AD$7)</f>
        <v>0</v>
      </c>
      <c r="AE59" s="21" t="n">
        <f aca="false">COUNTIFS(d_Marca,$A59,d_Modelo,$B59,d_Subest,AE$7)</f>
        <v>0</v>
      </c>
      <c r="AF59" s="21" t="n">
        <f aca="false">COUNTIFS(d_Marca,$A59,d_Modelo,$B59,d_Subest,AF$7)</f>
        <v>0</v>
      </c>
      <c r="AG59" s="21" t="n">
        <f aca="false">COUNTIFS(d_Marca,$A59,d_Modelo,$B59,d_Subest,AG$7)</f>
        <v>0</v>
      </c>
      <c r="AH59" s="21" t="n">
        <f aca="false">COUNTIFS(d_Marca,$A59,d_Modelo,$B59,d_Subest,AH$7)</f>
        <v>0</v>
      </c>
      <c r="AI59" s="21" t="n">
        <f aca="false">COUNTIFS(d_Marca,$A59,d_Modelo,$B59,d_Subest,AI$7)</f>
        <v>0</v>
      </c>
      <c r="AJ59" s="21" t="n">
        <f aca="false">COUNTIFS(d_Marca,$A59,d_Modelo,$B59,d_Subest,AJ$7)</f>
        <v>0</v>
      </c>
      <c r="AK59" s="21" t="n">
        <f aca="false">COUNTIFS(d_Marca,$A59,d_Modelo,$B59,d_Subest,AK$7)</f>
        <v>0</v>
      </c>
      <c r="AL59" s="21" t="n">
        <f aca="false">COUNTIFS(d_Marca,$A59,d_Modelo,$B59,d_Subest,AL$7)</f>
        <v>0</v>
      </c>
      <c r="AM59" s="17" t="n">
        <f aca="false">SUM(AC59:AL59)</f>
        <v>0</v>
      </c>
      <c r="AN59" s="21" t="n">
        <f aca="false">COUNTIFS(d_Marca,$A59,d_Modelo,$B59,d_Subest,AN$7)</f>
        <v>0</v>
      </c>
      <c r="AO59" s="21" t="n">
        <f aca="false">COUNTIFS(d_Marca,$A59,d_Modelo,$B59,d_Subest,AO$7)</f>
        <v>0</v>
      </c>
      <c r="AP59" s="21" t="n">
        <f aca="false">COUNTIFS(d_Marca,$A59,d_Modelo,$B59,d_Subest,AP$7)</f>
        <v>0</v>
      </c>
      <c r="AQ59" s="21" t="n">
        <f aca="false">COUNTIFS(d_Marca,$A59,d_Modelo,$B59,d_Subest,AQ$7)</f>
        <v>0</v>
      </c>
      <c r="AR59" s="21" t="n">
        <f aca="false">COUNTIFS(d_Marca,$A59,d_Modelo,$B59,d_Subest,AR$7)</f>
        <v>0</v>
      </c>
      <c r="AS59" s="21" t="n">
        <f aca="false">COUNTIFS(d_Marca,$A59,d_Modelo,$B59,d_Subest,AS$7)</f>
        <v>0</v>
      </c>
      <c r="AT59" s="21" t="n">
        <f aca="false">COUNTIFS(d_Marca,$A59,d_Modelo,$B59,d_Subest,AT$7)</f>
        <v>0</v>
      </c>
      <c r="AU59" s="21" t="n">
        <f aca="false">COUNTIFS(d_Marca,$A59,d_Modelo,$B59,d_Subest,AU$7)</f>
        <v>0</v>
      </c>
      <c r="AV59" s="21" t="n">
        <f aca="false">COUNTIFS(d_Marca,$A59,d_Modelo,$B59,d_Subest,AV$7)</f>
        <v>0</v>
      </c>
      <c r="AW59" s="21" t="n">
        <f aca="false">COUNTIFS(d_Marca,$A59,d_Modelo,$B59,d_Subest,AW$7)</f>
        <v>1</v>
      </c>
      <c r="AX59" s="17" t="n">
        <f aca="false">SUM(AN59:AW59)</f>
        <v>1</v>
      </c>
      <c r="AY59" s="21" t="n">
        <f aca="false">COUNTIFS(d_Marca,$A59,d_Modelo,$B59,d_Subest,AY$7)</f>
        <v>0</v>
      </c>
      <c r="AZ59" s="17" t="n">
        <f aca="false">E59+H59+K59+P59+V59+AB59+AM59+AX59+AY59</f>
        <v>1</v>
      </c>
    </row>
    <row r="60" customFormat="false" ht="15" hidden="false" customHeight="false" outlineLevel="0" collapsed="false">
      <c r="A60" s="16" t="s">
        <v>86</v>
      </c>
      <c r="B60" s="16" t="s">
        <v>87</v>
      </c>
      <c r="C60" s="17" t="n">
        <f aca="false">COUNTIFS(d_Marca,$A60,d_Subest,C$7)</f>
        <v>0</v>
      </c>
      <c r="D60" s="17" t="n">
        <f aca="false">COUNTIFS(d_Marca,$A60,d_Subest,D$7)</f>
        <v>0</v>
      </c>
      <c r="E60" s="17" t="n">
        <f aca="false">SUM(C60:D60)</f>
        <v>0</v>
      </c>
      <c r="F60" s="17" t="n">
        <f aca="false">COUNTIFS(d_Marca,$A60,d_Subest,F$7)</f>
        <v>0</v>
      </c>
      <c r="G60" s="17" t="n">
        <f aca="false">COUNTIFS(d_Marca,$A60,d_Subest,G$7)</f>
        <v>0</v>
      </c>
      <c r="H60" s="17" t="n">
        <f aca="false">SUM(F60:G60)</f>
        <v>0</v>
      </c>
      <c r="I60" s="17" t="n">
        <f aca="false">COUNTIFS(d_Marca,$A60,d_Subest,I$7)</f>
        <v>0</v>
      </c>
      <c r="J60" s="17" t="n">
        <f aca="false">COUNTIFS(d_Marca,$A60,d_Subest,J$7)</f>
        <v>0</v>
      </c>
      <c r="K60" s="17" t="n">
        <f aca="false">SUM(I60:J60)</f>
        <v>0</v>
      </c>
      <c r="L60" s="17" t="n">
        <f aca="false">COUNTIFS(d_Marca,$A60,d_Subest,L$7)</f>
        <v>0</v>
      </c>
      <c r="M60" s="17" t="n">
        <f aca="false">COUNTIFS(d_Marca,$A60,d_Subest,M$7)</f>
        <v>0</v>
      </c>
      <c r="N60" s="17" t="n">
        <f aca="false">COUNTIFS(d_Marca,$A60,d_Subest,N$7)</f>
        <v>0</v>
      </c>
      <c r="O60" s="17" t="n">
        <f aca="false">COUNTIFS(d_Marca,$A60,d_Subest,O$7)</f>
        <v>0</v>
      </c>
      <c r="P60" s="17" t="n">
        <f aca="false">SUM(L60:O60)</f>
        <v>0</v>
      </c>
      <c r="Q60" s="17" t="n">
        <f aca="false">COUNTIFS(d_Marca,$A60,d_Subest,Q$7)</f>
        <v>0</v>
      </c>
      <c r="R60" s="17" t="n">
        <f aca="false">COUNTIFS(d_Marca,$A60,d_Subest,R$7)</f>
        <v>0</v>
      </c>
      <c r="S60" s="17" t="n">
        <f aca="false">COUNTIFS(d_Marca,$A60,d_Subest,S$7)</f>
        <v>0</v>
      </c>
      <c r="T60" s="17" t="n">
        <f aca="false">COUNTIFS(d_Marca,$A60,d_Subest,T$7)</f>
        <v>0</v>
      </c>
      <c r="U60" s="17" t="n">
        <f aca="false">COUNTIFS(d_Marca,$A60,d_Subest,U$7)</f>
        <v>0</v>
      </c>
      <c r="V60" s="17" t="n">
        <f aca="false">SUM(Q60:U60)</f>
        <v>0</v>
      </c>
      <c r="W60" s="17" t="n">
        <f aca="false">COUNTIFS(d_Marca,$A60,d_Subest,W$7)</f>
        <v>0</v>
      </c>
      <c r="X60" s="17" t="n">
        <f aca="false">COUNTIFS(d_Marca,$A60,d_Subest,X$7)</f>
        <v>0</v>
      </c>
      <c r="Y60" s="17" t="n">
        <f aca="false">COUNTIFS(d_Marca,$A60,d_Subest,Y$7)</f>
        <v>0</v>
      </c>
      <c r="Z60" s="17" t="n">
        <f aca="false">COUNTIFS(d_Marca,$A60,d_Subest,Z$7)</f>
        <v>0</v>
      </c>
      <c r="AA60" s="17" t="n">
        <f aca="false">COUNTIFS(d_Marca,$A60,d_Subest,AA$7)</f>
        <v>0</v>
      </c>
      <c r="AB60" s="17" t="n">
        <f aca="false">SUM(W60:AA60)</f>
        <v>0</v>
      </c>
      <c r="AC60" s="17" t="n">
        <f aca="false">COUNTIFS(d_Marca,$A60,d_Subest,AC$7)</f>
        <v>2</v>
      </c>
      <c r="AD60" s="17" t="n">
        <f aca="false">COUNTIFS(d_Marca,$A60,d_Subest,AD$7)</f>
        <v>0</v>
      </c>
      <c r="AE60" s="17" t="n">
        <f aca="false">COUNTIFS(d_Marca,$A60,d_Subest,AE$7)</f>
        <v>0</v>
      </c>
      <c r="AF60" s="17" t="n">
        <f aca="false">COUNTIFS(d_Marca,$A60,d_Subest,AF$7)</f>
        <v>0</v>
      </c>
      <c r="AG60" s="17" t="n">
        <f aca="false">COUNTIFS(d_Marca,$A60,d_Subest,AG$7)</f>
        <v>0</v>
      </c>
      <c r="AH60" s="17" t="n">
        <f aca="false">COUNTIFS(d_Marca,$A60,d_Subest,AH$7)</f>
        <v>0</v>
      </c>
      <c r="AI60" s="17" t="n">
        <f aca="false">COUNTIFS(d_Marca,$A60,d_Subest,AI$7)</f>
        <v>0</v>
      </c>
      <c r="AJ60" s="17" t="n">
        <f aca="false">COUNTIFS(d_Marca,$A60,d_Subest,AJ$7)</f>
        <v>0</v>
      </c>
      <c r="AK60" s="17" t="n">
        <f aca="false">COUNTIFS(d_Marca,$A60,d_Subest,AK$7)</f>
        <v>0</v>
      </c>
      <c r="AL60" s="17" t="n">
        <f aca="false">COUNTIFS(d_Marca,$A60,d_Subest,AL$7)</f>
        <v>0</v>
      </c>
      <c r="AM60" s="17" t="n">
        <f aca="false">SUM(AC60:AL60)</f>
        <v>2</v>
      </c>
      <c r="AN60" s="17" t="n">
        <f aca="false">COUNTIFS(d_Marca,$A60,d_Subest,AN$7)</f>
        <v>0</v>
      </c>
      <c r="AO60" s="17" t="n">
        <f aca="false">COUNTIFS(d_Marca,$A60,d_Subest,AO$7)</f>
        <v>0</v>
      </c>
      <c r="AP60" s="17" t="n">
        <f aca="false">COUNTIFS(d_Marca,$A60,d_Subest,AP$7)</f>
        <v>0</v>
      </c>
      <c r="AQ60" s="17" t="n">
        <f aca="false">COUNTIFS(d_Marca,$A60,d_Subest,AQ$7)</f>
        <v>0</v>
      </c>
      <c r="AR60" s="17" t="n">
        <f aca="false">COUNTIFS(d_Marca,$A60,d_Subest,AR$7)</f>
        <v>0</v>
      </c>
      <c r="AS60" s="17" t="n">
        <f aca="false">COUNTIFS(d_Marca,$A60,d_Subest,AS$7)</f>
        <v>0</v>
      </c>
      <c r="AT60" s="17" t="n">
        <f aca="false">COUNTIFS(d_Marca,$A60,d_Subest,AT$7)</f>
        <v>0</v>
      </c>
      <c r="AU60" s="17" t="n">
        <f aca="false">COUNTIFS(d_Marca,$A60,d_Subest,AU$7)</f>
        <v>0</v>
      </c>
      <c r="AV60" s="17" t="n">
        <f aca="false">COUNTIFS(d_Marca,$A60,d_Subest,AV$7)</f>
        <v>38</v>
      </c>
      <c r="AW60" s="17" t="n">
        <f aca="false">COUNTIFS(d_Marca,$A60,d_Subest,AW$7)</f>
        <v>0</v>
      </c>
      <c r="AX60" s="17" t="n">
        <f aca="false">SUM(AN60:AW60)</f>
        <v>38</v>
      </c>
      <c r="AY60" s="17" t="n">
        <f aca="false">COUNTIFS(d_Marca,$A60,d_Subest,AY$7)</f>
        <v>0</v>
      </c>
      <c r="AZ60" s="17" t="n">
        <f aca="false">E60+H60+K60+P60+V60+AB60+AM60+AX60+AY60</f>
        <v>40</v>
      </c>
    </row>
    <row r="61" customFormat="false" ht="15" hidden="false" customHeight="false" outlineLevel="0" collapsed="false">
      <c r="A61" s="19" t="s">
        <v>86</v>
      </c>
      <c r="B61" s="20" t="s">
        <v>88</v>
      </c>
      <c r="C61" s="21" t="n">
        <f aca="false">COUNTIFS(d_Marca,$A61,d_Modelo,$B61,d_Subest,C$7)</f>
        <v>0</v>
      </c>
      <c r="D61" s="21" t="n">
        <f aca="false">COUNTIFS(d_Marca,$A61,d_Modelo,$B61,d_Subest,D$7)</f>
        <v>0</v>
      </c>
      <c r="E61" s="17" t="n">
        <f aca="false">SUM(C61:D61)</f>
        <v>0</v>
      </c>
      <c r="F61" s="21" t="n">
        <f aca="false">COUNTIFS(d_Marca,$A61,d_Modelo,$B61,d_Subest,F$7)</f>
        <v>0</v>
      </c>
      <c r="G61" s="21" t="n">
        <f aca="false">COUNTIFS(d_Marca,$A61,d_Modelo,$B61,d_Subest,G$7)</f>
        <v>0</v>
      </c>
      <c r="H61" s="17" t="n">
        <f aca="false">SUM(F61:G61)</f>
        <v>0</v>
      </c>
      <c r="I61" s="21" t="n">
        <f aca="false">COUNTIFS(d_Marca,$A61,d_Modelo,$B61,d_Subest,I$7)</f>
        <v>0</v>
      </c>
      <c r="J61" s="21" t="n">
        <f aca="false">COUNTIFS(d_Marca,$A61,d_Modelo,$B61,d_Subest,J$7)</f>
        <v>0</v>
      </c>
      <c r="K61" s="17" t="n">
        <f aca="false">SUM(I61:J61)</f>
        <v>0</v>
      </c>
      <c r="L61" s="21" t="n">
        <f aca="false">COUNTIFS(d_Marca,$A61,d_Modelo,$B61,d_Subest,L$7)</f>
        <v>0</v>
      </c>
      <c r="M61" s="21" t="n">
        <f aca="false">COUNTIFS(d_Marca,$A61,d_Modelo,$B61,d_Subest,M$7)</f>
        <v>0</v>
      </c>
      <c r="N61" s="21" t="n">
        <f aca="false">COUNTIFS(d_Marca,$A61,d_Modelo,$B61,d_Subest,N$7)</f>
        <v>0</v>
      </c>
      <c r="O61" s="21" t="n">
        <f aca="false">COUNTIFS(d_Marca,$A61,d_Modelo,$B61,d_Subest,O$7)</f>
        <v>0</v>
      </c>
      <c r="P61" s="17" t="n">
        <f aca="false">SUM(L61:O61)</f>
        <v>0</v>
      </c>
      <c r="Q61" s="21" t="n">
        <f aca="false">COUNTIFS(d_Marca,$A61,d_Modelo,$B61,d_Subest,Q$7)</f>
        <v>0</v>
      </c>
      <c r="R61" s="21" t="n">
        <f aca="false">COUNTIFS(d_Marca,$A61,d_Modelo,$B61,d_Subest,R$7)</f>
        <v>0</v>
      </c>
      <c r="S61" s="21" t="n">
        <f aca="false">COUNTIFS(d_Marca,$A61,d_Modelo,$B61,d_Subest,S$7)</f>
        <v>0</v>
      </c>
      <c r="T61" s="21" t="n">
        <f aca="false">COUNTIFS(d_Marca,$A61,d_Modelo,$B61,d_Subest,T$7)</f>
        <v>0</v>
      </c>
      <c r="U61" s="21" t="n">
        <f aca="false">COUNTIFS(d_Marca,$A61,d_Modelo,$B61,d_Subest,U$7)</f>
        <v>0</v>
      </c>
      <c r="V61" s="17" t="n">
        <f aca="false">SUM(Q61:U61)</f>
        <v>0</v>
      </c>
      <c r="W61" s="21" t="n">
        <f aca="false">COUNTIFS(d_Marca,$A61,d_Modelo,$B61,d_Subest,W$7)</f>
        <v>0</v>
      </c>
      <c r="X61" s="21" t="n">
        <f aca="false">COUNTIFS(d_Marca,$A61,d_Modelo,$B61,d_Subest,X$7)</f>
        <v>0</v>
      </c>
      <c r="Y61" s="21" t="n">
        <f aca="false">COUNTIFS(d_Marca,$A61,d_Modelo,$B61,d_Subest,Y$7)</f>
        <v>0</v>
      </c>
      <c r="Z61" s="21" t="n">
        <f aca="false">COUNTIFS(d_Marca,$A61,d_Modelo,$B61,d_Subest,Z$7)</f>
        <v>0</v>
      </c>
      <c r="AA61" s="21" t="n">
        <f aca="false">COUNTIFS(d_Marca,$A61,d_Modelo,$B61,d_Subest,AA$7)</f>
        <v>0</v>
      </c>
      <c r="AB61" s="17" t="n">
        <f aca="false">SUM(W61:AA61)</f>
        <v>0</v>
      </c>
      <c r="AC61" s="21" t="n">
        <f aca="false">COUNTIFS(d_Marca,$A61,d_Modelo,$B61,d_Subest,AC$7)</f>
        <v>0</v>
      </c>
      <c r="AD61" s="21" t="n">
        <f aca="false">COUNTIFS(d_Marca,$A61,d_Modelo,$B61,d_Subest,AD$7)</f>
        <v>0</v>
      </c>
      <c r="AE61" s="21" t="n">
        <f aca="false">COUNTIFS(d_Marca,$A61,d_Modelo,$B61,d_Subest,AE$7)</f>
        <v>0</v>
      </c>
      <c r="AF61" s="21" t="n">
        <f aca="false">COUNTIFS(d_Marca,$A61,d_Modelo,$B61,d_Subest,AF$7)</f>
        <v>0</v>
      </c>
      <c r="AG61" s="21" t="n">
        <f aca="false">COUNTIFS(d_Marca,$A61,d_Modelo,$B61,d_Subest,AG$7)</f>
        <v>0</v>
      </c>
      <c r="AH61" s="21" t="n">
        <f aca="false">COUNTIFS(d_Marca,$A61,d_Modelo,$B61,d_Subest,AH$7)</f>
        <v>0</v>
      </c>
      <c r="AI61" s="21" t="n">
        <f aca="false">COUNTIFS(d_Marca,$A61,d_Modelo,$B61,d_Subest,AI$7)</f>
        <v>0</v>
      </c>
      <c r="AJ61" s="21" t="n">
        <f aca="false">COUNTIFS(d_Marca,$A61,d_Modelo,$B61,d_Subest,AJ$7)</f>
        <v>0</v>
      </c>
      <c r="AK61" s="21" t="n">
        <f aca="false">COUNTIFS(d_Marca,$A61,d_Modelo,$B61,d_Subest,AK$7)</f>
        <v>0</v>
      </c>
      <c r="AL61" s="21" t="n">
        <f aca="false">COUNTIFS(d_Marca,$A61,d_Modelo,$B61,d_Subest,AL$7)</f>
        <v>0</v>
      </c>
      <c r="AM61" s="17" t="n">
        <f aca="false">SUM(AC61:AL61)</f>
        <v>0</v>
      </c>
      <c r="AN61" s="21" t="n">
        <f aca="false">COUNTIFS(d_Marca,$A61,d_Modelo,$B61,d_Subest,AN$7)</f>
        <v>0</v>
      </c>
      <c r="AO61" s="21" t="n">
        <f aca="false">COUNTIFS(d_Marca,$A61,d_Modelo,$B61,d_Subest,AO$7)</f>
        <v>0</v>
      </c>
      <c r="AP61" s="21" t="n">
        <f aca="false">COUNTIFS(d_Marca,$A61,d_Modelo,$B61,d_Subest,AP$7)</f>
        <v>0</v>
      </c>
      <c r="AQ61" s="21" t="n">
        <f aca="false">COUNTIFS(d_Marca,$A61,d_Modelo,$B61,d_Subest,AQ$7)</f>
        <v>0</v>
      </c>
      <c r="AR61" s="21" t="n">
        <f aca="false">COUNTIFS(d_Marca,$A61,d_Modelo,$B61,d_Subest,AR$7)</f>
        <v>0</v>
      </c>
      <c r="AS61" s="21" t="n">
        <f aca="false">COUNTIFS(d_Marca,$A61,d_Modelo,$B61,d_Subest,AS$7)</f>
        <v>0</v>
      </c>
      <c r="AT61" s="21" t="n">
        <f aca="false">COUNTIFS(d_Marca,$A61,d_Modelo,$B61,d_Subest,AT$7)</f>
        <v>0</v>
      </c>
      <c r="AU61" s="21" t="n">
        <f aca="false">COUNTIFS(d_Marca,$A61,d_Modelo,$B61,d_Subest,AU$7)</f>
        <v>0</v>
      </c>
      <c r="AV61" s="21" t="n">
        <f aca="false">COUNTIFS(d_Marca,$A61,d_Modelo,$B61,d_Subest,AV$7)</f>
        <v>38</v>
      </c>
      <c r="AW61" s="21" t="n">
        <f aca="false">COUNTIFS(d_Marca,$A61,d_Modelo,$B61,d_Subest,AW$7)</f>
        <v>0</v>
      </c>
      <c r="AX61" s="17" t="n">
        <f aca="false">SUM(AN61:AW61)</f>
        <v>38</v>
      </c>
      <c r="AY61" s="21" t="n">
        <f aca="false">COUNTIFS(d_Marca,$A61,d_Modelo,$B61,d_Subest,AY$7)</f>
        <v>0</v>
      </c>
      <c r="AZ61" s="17" t="n">
        <f aca="false">E61+H61+K61+P61+V61+AB61+AM61+AX61+AY61</f>
        <v>38</v>
      </c>
    </row>
    <row r="62" customFormat="false" ht="15" hidden="false" customHeight="false" outlineLevel="0" collapsed="false">
      <c r="A62" s="19" t="s">
        <v>86</v>
      </c>
      <c r="B62" s="20" t="s">
        <v>89</v>
      </c>
      <c r="C62" s="21" t="n">
        <f aca="false">COUNTIFS(d_Marca,$A62,d_Modelo,$B62,d_Subest,C$7)</f>
        <v>0</v>
      </c>
      <c r="D62" s="21" t="n">
        <f aca="false">COUNTIFS(d_Marca,$A62,d_Modelo,$B62,d_Subest,D$7)</f>
        <v>0</v>
      </c>
      <c r="E62" s="17" t="n">
        <f aca="false">SUM(C62:D62)</f>
        <v>0</v>
      </c>
      <c r="F62" s="21" t="n">
        <f aca="false">COUNTIFS(d_Marca,$A62,d_Modelo,$B62,d_Subest,F$7)</f>
        <v>0</v>
      </c>
      <c r="G62" s="21" t="n">
        <f aca="false">COUNTIFS(d_Marca,$A62,d_Modelo,$B62,d_Subest,G$7)</f>
        <v>0</v>
      </c>
      <c r="H62" s="17" t="n">
        <f aca="false">SUM(F62:G62)</f>
        <v>0</v>
      </c>
      <c r="I62" s="21" t="n">
        <f aca="false">COUNTIFS(d_Marca,$A62,d_Modelo,$B62,d_Subest,I$7)</f>
        <v>0</v>
      </c>
      <c r="J62" s="21" t="n">
        <f aca="false">COUNTIFS(d_Marca,$A62,d_Modelo,$B62,d_Subest,J$7)</f>
        <v>0</v>
      </c>
      <c r="K62" s="17" t="n">
        <f aca="false">SUM(I62:J62)</f>
        <v>0</v>
      </c>
      <c r="L62" s="21" t="n">
        <f aca="false">COUNTIFS(d_Marca,$A62,d_Modelo,$B62,d_Subest,L$7)</f>
        <v>0</v>
      </c>
      <c r="M62" s="21" t="n">
        <f aca="false">COUNTIFS(d_Marca,$A62,d_Modelo,$B62,d_Subest,M$7)</f>
        <v>0</v>
      </c>
      <c r="N62" s="21" t="n">
        <f aca="false">COUNTIFS(d_Marca,$A62,d_Modelo,$B62,d_Subest,N$7)</f>
        <v>0</v>
      </c>
      <c r="O62" s="21" t="n">
        <f aca="false">COUNTIFS(d_Marca,$A62,d_Modelo,$B62,d_Subest,O$7)</f>
        <v>0</v>
      </c>
      <c r="P62" s="17" t="n">
        <f aca="false">SUM(L62:O62)</f>
        <v>0</v>
      </c>
      <c r="Q62" s="21" t="n">
        <f aca="false">COUNTIFS(d_Marca,$A62,d_Modelo,$B62,d_Subest,Q$7)</f>
        <v>0</v>
      </c>
      <c r="R62" s="21" t="n">
        <f aca="false">COUNTIFS(d_Marca,$A62,d_Modelo,$B62,d_Subest,R$7)</f>
        <v>0</v>
      </c>
      <c r="S62" s="21" t="n">
        <f aca="false">COUNTIFS(d_Marca,$A62,d_Modelo,$B62,d_Subest,S$7)</f>
        <v>0</v>
      </c>
      <c r="T62" s="21" t="n">
        <f aca="false">COUNTIFS(d_Marca,$A62,d_Modelo,$B62,d_Subest,T$7)</f>
        <v>0</v>
      </c>
      <c r="U62" s="21" t="n">
        <f aca="false">COUNTIFS(d_Marca,$A62,d_Modelo,$B62,d_Subest,U$7)</f>
        <v>0</v>
      </c>
      <c r="V62" s="17" t="n">
        <f aca="false">SUM(Q62:U62)</f>
        <v>0</v>
      </c>
      <c r="W62" s="21" t="n">
        <f aca="false">COUNTIFS(d_Marca,$A62,d_Modelo,$B62,d_Subest,W$7)</f>
        <v>0</v>
      </c>
      <c r="X62" s="21" t="n">
        <f aca="false">COUNTIFS(d_Marca,$A62,d_Modelo,$B62,d_Subest,X$7)</f>
        <v>0</v>
      </c>
      <c r="Y62" s="21" t="n">
        <f aca="false">COUNTIFS(d_Marca,$A62,d_Modelo,$B62,d_Subest,Y$7)</f>
        <v>0</v>
      </c>
      <c r="Z62" s="21" t="n">
        <f aca="false">COUNTIFS(d_Marca,$A62,d_Modelo,$B62,d_Subest,Z$7)</f>
        <v>0</v>
      </c>
      <c r="AA62" s="21" t="n">
        <f aca="false">COUNTIFS(d_Marca,$A62,d_Modelo,$B62,d_Subest,AA$7)</f>
        <v>0</v>
      </c>
      <c r="AB62" s="17" t="n">
        <f aca="false">SUM(W62:AA62)</f>
        <v>0</v>
      </c>
      <c r="AC62" s="21" t="n">
        <f aca="false">COUNTIFS(d_Marca,$A62,d_Modelo,$B62,d_Subest,AC$7)</f>
        <v>2</v>
      </c>
      <c r="AD62" s="21" t="n">
        <f aca="false">COUNTIFS(d_Marca,$A62,d_Modelo,$B62,d_Subest,AD$7)</f>
        <v>0</v>
      </c>
      <c r="AE62" s="21" t="n">
        <f aca="false">COUNTIFS(d_Marca,$A62,d_Modelo,$B62,d_Subest,AE$7)</f>
        <v>0</v>
      </c>
      <c r="AF62" s="21" t="n">
        <f aca="false">COUNTIFS(d_Marca,$A62,d_Modelo,$B62,d_Subest,AF$7)</f>
        <v>0</v>
      </c>
      <c r="AG62" s="21" t="n">
        <f aca="false">COUNTIFS(d_Marca,$A62,d_Modelo,$B62,d_Subest,AG$7)</f>
        <v>0</v>
      </c>
      <c r="AH62" s="21" t="n">
        <f aca="false">COUNTIFS(d_Marca,$A62,d_Modelo,$B62,d_Subest,AH$7)</f>
        <v>0</v>
      </c>
      <c r="AI62" s="21" t="n">
        <f aca="false">COUNTIFS(d_Marca,$A62,d_Modelo,$B62,d_Subest,AI$7)</f>
        <v>0</v>
      </c>
      <c r="AJ62" s="21" t="n">
        <f aca="false">COUNTIFS(d_Marca,$A62,d_Modelo,$B62,d_Subest,AJ$7)</f>
        <v>0</v>
      </c>
      <c r="AK62" s="21" t="n">
        <f aca="false">COUNTIFS(d_Marca,$A62,d_Modelo,$B62,d_Subest,AK$7)</f>
        <v>0</v>
      </c>
      <c r="AL62" s="21" t="n">
        <f aca="false">COUNTIFS(d_Marca,$A62,d_Modelo,$B62,d_Subest,AL$7)</f>
        <v>0</v>
      </c>
      <c r="AM62" s="17" t="n">
        <f aca="false">SUM(AC62:AL62)</f>
        <v>2</v>
      </c>
      <c r="AN62" s="21" t="n">
        <f aca="false">COUNTIFS(d_Marca,$A62,d_Modelo,$B62,d_Subest,AN$7)</f>
        <v>0</v>
      </c>
      <c r="AO62" s="21" t="n">
        <f aca="false">COUNTIFS(d_Marca,$A62,d_Modelo,$B62,d_Subest,AO$7)</f>
        <v>0</v>
      </c>
      <c r="AP62" s="21" t="n">
        <f aca="false">COUNTIFS(d_Marca,$A62,d_Modelo,$B62,d_Subest,AP$7)</f>
        <v>0</v>
      </c>
      <c r="AQ62" s="21" t="n">
        <f aca="false">COUNTIFS(d_Marca,$A62,d_Modelo,$B62,d_Subest,AQ$7)</f>
        <v>0</v>
      </c>
      <c r="AR62" s="21" t="n">
        <f aca="false">COUNTIFS(d_Marca,$A62,d_Modelo,$B62,d_Subest,AR$7)</f>
        <v>0</v>
      </c>
      <c r="AS62" s="21" t="n">
        <f aca="false">COUNTIFS(d_Marca,$A62,d_Modelo,$B62,d_Subest,AS$7)</f>
        <v>0</v>
      </c>
      <c r="AT62" s="21" t="n">
        <f aca="false">COUNTIFS(d_Marca,$A62,d_Modelo,$B62,d_Subest,AT$7)</f>
        <v>0</v>
      </c>
      <c r="AU62" s="21" t="n">
        <f aca="false">COUNTIFS(d_Marca,$A62,d_Modelo,$B62,d_Subest,AU$7)</f>
        <v>0</v>
      </c>
      <c r="AV62" s="21" t="n">
        <f aca="false">COUNTIFS(d_Marca,$A62,d_Modelo,$B62,d_Subest,AV$7)</f>
        <v>0</v>
      </c>
      <c r="AW62" s="21" t="n">
        <f aca="false">COUNTIFS(d_Marca,$A62,d_Modelo,$B62,d_Subest,AW$7)</f>
        <v>0</v>
      </c>
      <c r="AX62" s="17" t="n">
        <f aca="false">SUM(AN62:AW62)</f>
        <v>0</v>
      </c>
      <c r="AY62" s="21" t="n">
        <f aca="false">COUNTIFS(d_Marca,$A62,d_Modelo,$B62,d_Subest,AY$7)</f>
        <v>0</v>
      </c>
      <c r="AZ62" s="17" t="n">
        <f aca="false">E62+H62+K62+P62+V62+AB62+AM62+AX62+AY62</f>
        <v>2</v>
      </c>
    </row>
    <row r="63" customFormat="false" ht="15" hidden="false" customHeight="false" outlineLevel="0" collapsed="false">
      <c r="A63" s="16" t="s">
        <v>90</v>
      </c>
      <c r="B63" s="16" t="s">
        <v>91</v>
      </c>
      <c r="C63" s="17" t="n">
        <f aca="false">COUNTIFS(d_Marca,$A63,d_Subest,C$7)</f>
        <v>0</v>
      </c>
      <c r="D63" s="17" t="n">
        <f aca="false">COUNTIFS(d_Marca,$A63,d_Subest,D$7)</f>
        <v>0</v>
      </c>
      <c r="E63" s="17" t="n">
        <f aca="false">SUM(C63:D63)</f>
        <v>0</v>
      </c>
      <c r="F63" s="17" t="n">
        <f aca="false">COUNTIFS(d_Marca,$A63,d_Subest,F$7)</f>
        <v>0</v>
      </c>
      <c r="G63" s="17" t="n">
        <f aca="false">COUNTIFS(d_Marca,$A63,d_Subest,G$7)</f>
        <v>0</v>
      </c>
      <c r="H63" s="17" t="n">
        <f aca="false">SUM(F63:G63)</f>
        <v>0</v>
      </c>
      <c r="I63" s="17" t="n">
        <f aca="false">COUNTIFS(d_Marca,$A63,d_Subest,I$7)</f>
        <v>0</v>
      </c>
      <c r="J63" s="17" t="n">
        <f aca="false">COUNTIFS(d_Marca,$A63,d_Subest,J$7)</f>
        <v>0</v>
      </c>
      <c r="K63" s="17" t="n">
        <f aca="false">SUM(I63:J63)</f>
        <v>0</v>
      </c>
      <c r="L63" s="17" t="n">
        <f aca="false">COUNTIFS(d_Marca,$A63,d_Subest,L$7)</f>
        <v>0</v>
      </c>
      <c r="M63" s="17" t="n">
        <f aca="false">COUNTIFS(d_Marca,$A63,d_Subest,M$7)</f>
        <v>0</v>
      </c>
      <c r="N63" s="17" t="n">
        <f aca="false">COUNTIFS(d_Marca,$A63,d_Subest,N$7)</f>
        <v>0</v>
      </c>
      <c r="O63" s="17" t="n">
        <f aca="false">COUNTIFS(d_Marca,$A63,d_Subest,O$7)</f>
        <v>0</v>
      </c>
      <c r="P63" s="17" t="n">
        <f aca="false">SUM(L63:O63)</f>
        <v>0</v>
      </c>
      <c r="Q63" s="17" t="n">
        <f aca="false">COUNTIFS(d_Marca,$A63,d_Subest,Q$7)</f>
        <v>0</v>
      </c>
      <c r="R63" s="17" t="n">
        <f aca="false">COUNTIFS(d_Marca,$A63,d_Subest,R$7)</f>
        <v>0</v>
      </c>
      <c r="S63" s="17" t="n">
        <f aca="false">COUNTIFS(d_Marca,$A63,d_Subest,S$7)</f>
        <v>0</v>
      </c>
      <c r="T63" s="17" t="n">
        <f aca="false">COUNTIFS(d_Marca,$A63,d_Subest,T$7)</f>
        <v>0</v>
      </c>
      <c r="U63" s="17" t="n">
        <f aca="false">COUNTIFS(d_Marca,$A63,d_Subest,U$7)</f>
        <v>0</v>
      </c>
      <c r="V63" s="17" t="n">
        <f aca="false">SUM(Q63:U63)</f>
        <v>0</v>
      </c>
      <c r="W63" s="17" t="n">
        <f aca="false">COUNTIFS(d_Marca,$A63,d_Subest,W$7)</f>
        <v>0</v>
      </c>
      <c r="X63" s="17" t="n">
        <f aca="false">COUNTIFS(d_Marca,$A63,d_Subest,X$7)</f>
        <v>0</v>
      </c>
      <c r="Y63" s="17" t="n">
        <f aca="false">COUNTIFS(d_Marca,$A63,d_Subest,Y$7)</f>
        <v>0</v>
      </c>
      <c r="Z63" s="17" t="n">
        <f aca="false">COUNTIFS(d_Marca,$A63,d_Subest,Z$7)</f>
        <v>0</v>
      </c>
      <c r="AA63" s="17" t="n">
        <f aca="false">COUNTIFS(d_Marca,$A63,d_Subest,AA$7)</f>
        <v>0</v>
      </c>
      <c r="AB63" s="17" t="n">
        <f aca="false">SUM(W63:AA63)</f>
        <v>0</v>
      </c>
      <c r="AC63" s="17" t="n">
        <f aca="false">COUNTIFS(d_Marca,$A63,d_Subest,AC$7)</f>
        <v>0</v>
      </c>
      <c r="AD63" s="17" t="n">
        <f aca="false">COUNTIFS(d_Marca,$A63,d_Subest,AD$7)</f>
        <v>0</v>
      </c>
      <c r="AE63" s="17" t="n">
        <f aca="false">COUNTIFS(d_Marca,$A63,d_Subest,AE$7)</f>
        <v>0</v>
      </c>
      <c r="AF63" s="17" t="n">
        <f aca="false">COUNTIFS(d_Marca,$A63,d_Subest,AF$7)</f>
        <v>0</v>
      </c>
      <c r="AG63" s="17" t="n">
        <f aca="false">COUNTIFS(d_Marca,$A63,d_Subest,AG$7)</f>
        <v>0</v>
      </c>
      <c r="AH63" s="17" t="n">
        <f aca="false">COUNTIFS(d_Marca,$A63,d_Subest,AH$7)</f>
        <v>0</v>
      </c>
      <c r="AI63" s="17" t="n">
        <f aca="false">COUNTIFS(d_Marca,$A63,d_Subest,AI$7)</f>
        <v>0</v>
      </c>
      <c r="AJ63" s="17" t="n">
        <f aca="false">COUNTIFS(d_Marca,$A63,d_Subest,AJ$7)</f>
        <v>0</v>
      </c>
      <c r="AK63" s="17" t="n">
        <f aca="false">COUNTIFS(d_Marca,$A63,d_Subest,AK$7)</f>
        <v>0</v>
      </c>
      <c r="AL63" s="17" t="n">
        <f aca="false">COUNTIFS(d_Marca,$A63,d_Subest,AL$7)</f>
        <v>0</v>
      </c>
      <c r="AM63" s="17" t="n">
        <f aca="false">SUM(AC63:AL63)</f>
        <v>0</v>
      </c>
      <c r="AN63" s="17" t="n">
        <f aca="false">COUNTIFS(d_Marca,$A63,d_Subest,AN$7)</f>
        <v>0</v>
      </c>
      <c r="AO63" s="17" t="n">
        <f aca="false">COUNTIFS(d_Marca,$A63,d_Subest,AO$7)</f>
        <v>0</v>
      </c>
      <c r="AP63" s="17" t="n">
        <f aca="false">COUNTIFS(d_Marca,$A63,d_Subest,AP$7)</f>
        <v>0</v>
      </c>
      <c r="AQ63" s="17" t="n">
        <f aca="false">COUNTIFS(d_Marca,$A63,d_Subest,AQ$7)</f>
        <v>0</v>
      </c>
      <c r="AR63" s="17" t="n">
        <f aca="false">COUNTIFS(d_Marca,$A63,d_Subest,AR$7)</f>
        <v>0</v>
      </c>
      <c r="AS63" s="17" t="n">
        <f aca="false">COUNTIFS(d_Marca,$A63,d_Subest,AS$7)</f>
        <v>0</v>
      </c>
      <c r="AT63" s="17" t="n">
        <f aca="false">COUNTIFS(d_Marca,$A63,d_Subest,AT$7)</f>
        <v>0</v>
      </c>
      <c r="AU63" s="17" t="n">
        <f aca="false">COUNTIFS(d_Marca,$A63,d_Subest,AU$7)</f>
        <v>0</v>
      </c>
      <c r="AV63" s="17" t="n">
        <f aca="false">COUNTIFS(d_Marca,$A63,d_Subest,AV$7)</f>
        <v>0</v>
      </c>
      <c r="AW63" s="17" t="n">
        <f aca="false">COUNTIFS(d_Marca,$A63,d_Subest,AW$7)</f>
        <v>0</v>
      </c>
      <c r="AX63" s="17" t="n">
        <f aca="false">SUM(AN63:AW63)</f>
        <v>0</v>
      </c>
      <c r="AY63" s="17" t="n">
        <f aca="false">COUNTIFS(d_Marca,$A63,d_Subest,AY$7)</f>
        <v>8</v>
      </c>
      <c r="AZ63" s="17" t="n">
        <f aca="false">E63+H63+K63+P63+V63+AB63+AM63+AX63+AY63</f>
        <v>8</v>
      </c>
    </row>
    <row r="64" customFormat="false" ht="15" hidden="false" customHeight="false" outlineLevel="0" collapsed="false">
      <c r="A64" s="19" t="s">
        <v>90</v>
      </c>
      <c r="B64" s="20" t="s">
        <v>92</v>
      </c>
      <c r="C64" s="21" t="n">
        <f aca="false">COUNTIFS(d_Marca,$A64,d_Modelo,$B64,d_Subest,C$7)</f>
        <v>0</v>
      </c>
      <c r="D64" s="21" t="n">
        <f aca="false">COUNTIFS(d_Marca,$A64,d_Modelo,$B64,d_Subest,D$7)</f>
        <v>0</v>
      </c>
      <c r="E64" s="17" t="n">
        <f aca="false">SUM(C64:D64)</f>
        <v>0</v>
      </c>
      <c r="F64" s="21" t="n">
        <f aca="false">COUNTIFS(d_Marca,$A64,d_Modelo,$B64,d_Subest,F$7)</f>
        <v>0</v>
      </c>
      <c r="G64" s="21" t="n">
        <f aca="false">COUNTIFS(d_Marca,$A64,d_Modelo,$B64,d_Subest,G$7)</f>
        <v>0</v>
      </c>
      <c r="H64" s="17" t="n">
        <f aca="false">SUM(F64:G64)</f>
        <v>0</v>
      </c>
      <c r="I64" s="21" t="n">
        <f aca="false">COUNTIFS(d_Marca,$A64,d_Modelo,$B64,d_Subest,I$7)</f>
        <v>0</v>
      </c>
      <c r="J64" s="21" t="n">
        <f aca="false">COUNTIFS(d_Marca,$A64,d_Modelo,$B64,d_Subest,J$7)</f>
        <v>0</v>
      </c>
      <c r="K64" s="17" t="n">
        <f aca="false">SUM(I64:J64)</f>
        <v>0</v>
      </c>
      <c r="L64" s="21" t="n">
        <f aca="false">COUNTIFS(d_Marca,$A64,d_Modelo,$B64,d_Subest,L$7)</f>
        <v>0</v>
      </c>
      <c r="M64" s="21" t="n">
        <f aca="false">COUNTIFS(d_Marca,$A64,d_Modelo,$B64,d_Subest,M$7)</f>
        <v>0</v>
      </c>
      <c r="N64" s="21" t="n">
        <f aca="false">COUNTIFS(d_Marca,$A64,d_Modelo,$B64,d_Subest,N$7)</f>
        <v>0</v>
      </c>
      <c r="O64" s="21" t="n">
        <f aca="false">COUNTIFS(d_Marca,$A64,d_Modelo,$B64,d_Subest,O$7)</f>
        <v>0</v>
      </c>
      <c r="P64" s="17" t="n">
        <f aca="false">SUM(L64:O64)</f>
        <v>0</v>
      </c>
      <c r="Q64" s="21" t="n">
        <f aca="false">COUNTIFS(d_Marca,$A64,d_Modelo,$B64,d_Subest,Q$7)</f>
        <v>0</v>
      </c>
      <c r="R64" s="21" t="n">
        <f aca="false">COUNTIFS(d_Marca,$A64,d_Modelo,$B64,d_Subest,R$7)</f>
        <v>0</v>
      </c>
      <c r="S64" s="21" t="n">
        <f aca="false">COUNTIFS(d_Marca,$A64,d_Modelo,$B64,d_Subest,S$7)</f>
        <v>0</v>
      </c>
      <c r="T64" s="21" t="n">
        <f aca="false">COUNTIFS(d_Marca,$A64,d_Modelo,$B64,d_Subest,T$7)</f>
        <v>0</v>
      </c>
      <c r="U64" s="21" t="n">
        <f aca="false">COUNTIFS(d_Marca,$A64,d_Modelo,$B64,d_Subest,U$7)</f>
        <v>0</v>
      </c>
      <c r="V64" s="17" t="n">
        <f aca="false">SUM(Q64:U64)</f>
        <v>0</v>
      </c>
      <c r="W64" s="21" t="n">
        <f aca="false">COUNTIFS(d_Marca,$A64,d_Modelo,$B64,d_Subest,W$7)</f>
        <v>0</v>
      </c>
      <c r="X64" s="21" t="n">
        <f aca="false">COUNTIFS(d_Marca,$A64,d_Modelo,$B64,d_Subest,X$7)</f>
        <v>0</v>
      </c>
      <c r="Y64" s="21" t="n">
        <f aca="false">COUNTIFS(d_Marca,$A64,d_Modelo,$B64,d_Subest,Y$7)</f>
        <v>0</v>
      </c>
      <c r="Z64" s="21" t="n">
        <f aca="false">COUNTIFS(d_Marca,$A64,d_Modelo,$B64,d_Subest,Z$7)</f>
        <v>0</v>
      </c>
      <c r="AA64" s="21" t="n">
        <f aca="false">COUNTIFS(d_Marca,$A64,d_Modelo,$B64,d_Subest,AA$7)</f>
        <v>0</v>
      </c>
      <c r="AB64" s="17" t="n">
        <f aca="false">SUM(W64:AA64)</f>
        <v>0</v>
      </c>
      <c r="AC64" s="21" t="n">
        <f aca="false">COUNTIFS(d_Marca,$A64,d_Modelo,$B64,d_Subest,AC$7)</f>
        <v>0</v>
      </c>
      <c r="AD64" s="21" t="n">
        <f aca="false">COUNTIFS(d_Marca,$A64,d_Modelo,$B64,d_Subest,AD$7)</f>
        <v>0</v>
      </c>
      <c r="AE64" s="21" t="n">
        <f aca="false">COUNTIFS(d_Marca,$A64,d_Modelo,$B64,d_Subest,AE$7)</f>
        <v>0</v>
      </c>
      <c r="AF64" s="21" t="n">
        <f aca="false">COUNTIFS(d_Marca,$A64,d_Modelo,$B64,d_Subest,AF$7)</f>
        <v>0</v>
      </c>
      <c r="AG64" s="21" t="n">
        <f aca="false">COUNTIFS(d_Marca,$A64,d_Modelo,$B64,d_Subest,AG$7)</f>
        <v>0</v>
      </c>
      <c r="AH64" s="21" t="n">
        <f aca="false">COUNTIFS(d_Marca,$A64,d_Modelo,$B64,d_Subest,AH$7)</f>
        <v>0</v>
      </c>
      <c r="AI64" s="21" t="n">
        <f aca="false">COUNTIFS(d_Marca,$A64,d_Modelo,$B64,d_Subest,AI$7)</f>
        <v>0</v>
      </c>
      <c r="AJ64" s="21" t="n">
        <f aca="false">COUNTIFS(d_Marca,$A64,d_Modelo,$B64,d_Subest,AJ$7)</f>
        <v>0</v>
      </c>
      <c r="AK64" s="21" t="n">
        <f aca="false">COUNTIFS(d_Marca,$A64,d_Modelo,$B64,d_Subest,AK$7)</f>
        <v>0</v>
      </c>
      <c r="AL64" s="21" t="n">
        <f aca="false">COUNTIFS(d_Marca,$A64,d_Modelo,$B64,d_Subest,AL$7)</f>
        <v>0</v>
      </c>
      <c r="AM64" s="17" t="n">
        <f aca="false">SUM(AC64:AL64)</f>
        <v>0</v>
      </c>
      <c r="AN64" s="21" t="n">
        <f aca="false">COUNTIFS(d_Marca,$A64,d_Modelo,$B64,d_Subest,AN$7)</f>
        <v>0</v>
      </c>
      <c r="AO64" s="21" t="n">
        <f aca="false">COUNTIFS(d_Marca,$A64,d_Modelo,$B64,d_Subest,AO$7)</f>
        <v>0</v>
      </c>
      <c r="AP64" s="21" t="n">
        <f aca="false">COUNTIFS(d_Marca,$A64,d_Modelo,$B64,d_Subest,AP$7)</f>
        <v>0</v>
      </c>
      <c r="AQ64" s="21" t="n">
        <f aca="false">COUNTIFS(d_Marca,$A64,d_Modelo,$B64,d_Subest,AQ$7)</f>
        <v>0</v>
      </c>
      <c r="AR64" s="21" t="n">
        <f aca="false">COUNTIFS(d_Marca,$A64,d_Modelo,$B64,d_Subest,AR$7)</f>
        <v>0</v>
      </c>
      <c r="AS64" s="21" t="n">
        <f aca="false">COUNTIFS(d_Marca,$A64,d_Modelo,$B64,d_Subest,AS$7)</f>
        <v>0</v>
      </c>
      <c r="AT64" s="21" t="n">
        <f aca="false">COUNTIFS(d_Marca,$A64,d_Modelo,$B64,d_Subest,AT$7)</f>
        <v>0</v>
      </c>
      <c r="AU64" s="21" t="n">
        <f aca="false">COUNTIFS(d_Marca,$A64,d_Modelo,$B64,d_Subest,AU$7)</f>
        <v>0</v>
      </c>
      <c r="AV64" s="21" t="n">
        <f aca="false">COUNTIFS(d_Marca,$A64,d_Modelo,$B64,d_Subest,AV$7)</f>
        <v>0</v>
      </c>
      <c r="AW64" s="21" t="n">
        <f aca="false">COUNTIFS(d_Marca,$A64,d_Modelo,$B64,d_Subest,AW$7)</f>
        <v>0</v>
      </c>
      <c r="AX64" s="17" t="n">
        <f aca="false">SUM(AN64:AW64)</f>
        <v>0</v>
      </c>
      <c r="AY64" s="21" t="n">
        <f aca="false">COUNTIFS(d_Marca,$A64,d_Modelo,$B64,d_Subest,AY$7)</f>
        <v>8</v>
      </c>
      <c r="AZ64" s="17" t="n">
        <f aca="false">E64+H64+K64+P64+V64+AB64+AM64+AX64+AY64</f>
        <v>8</v>
      </c>
    </row>
    <row r="65" customFormat="false" ht="15" hidden="false" customHeight="false" outlineLevel="0" collapsed="false">
      <c r="A65" s="16" t="s">
        <v>93</v>
      </c>
      <c r="B65" s="16" t="s">
        <v>94</v>
      </c>
      <c r="C65" s="17" t="n">
        <f aca="false">COUNTIFS(d_Marca,$A65,d_Subest,C$7)</f>
        <v>0</v>
      </c>
      <c r="D65" s="17" t="n">
        <f aca="false">COUNTIFS(d_Marca,$A65,d_Subest,D$7)</f>
        <v>0</v>
      </c>
      <c r="E65" s="17" t="n">
        <f aca="false">SUM(C65:D65)</f>
        <v>0</v>
      </c>
      <c r="F65" s="17" t="n">
        <f aca="false">COUNTIFS(d_Marca,$A65,d_Subest,F$7)</f>
        <v>0</v>
      </c>
      <c r="G65" s="17" t="n">
        <f aca="false">COUNTIFS(d_Marca,$A65,d_Subest,G$7)</f>
        <v>0</v>
      </c>
      <c r="H65" s="17" t="n">
        <f aca="false">SUM(F65:G65)</f>
        <v>0</v>
      </c>
      <c r="I65" s="17" t="n">
        <f aca="false">COUNTIFS(d_Marca,$A65,d_Subest,I$7)</f>
        <v>0</v>
      </c>
      <c r="J65" s="17" t="n">
        <f aca="false">COUNTIFS(d_Marca,$A65,d_Subest,J$7)</f>
        <v>0</v>
      </c>
      <c r="K65" s="17" t="n">
        <f aca="false">SUM(I65:J65)</f>
        <v>0</v>
      </c>
      <c r="L65" s="17" t="n">
        <f aca="false">COUNTIFS(d_Marca,$A65,d_Subest,L$7)</f>
        <v>0</v>
      </c>
      <c r="M65" s="17" t="n">
        <f aca="false">COUNTIFS(d_Marca,$A65,d_Subest,M$7)</f>
        <v>0</v>
      </c>
      <c r="N65" s="17" t="n">
        <f aca="false">COUNTIFS(d_Marca,$A65,d_Subest,N$7)</f>
        <v>0</v>
      </c>
      <c r="O65" s="17" t="n">
        <f aca="false">COUNTIFS(d_Marca,$A65,d_Subest,O$7)</f>
        <v>0</v>
      </c>
      <c r="P65" s="17" t="n">
        <f aca="false">SUM(L65:O65)</f>
        <v>0</v>
      </c>
      <c r="Q65" s="17" t="n">
        <f aca="false">COUNTIFS(d_Marca,$A65,d_Subest,Q$7)</f>
        <v>0</v>
      </c>
      <c r="R65" s="17" t="n">
        <f aca="false">COUNTIFS(d_Marca,$A65,d_Subest,R$7)</f>
        <v>0</v>
      </c>
      <c r="S65" s="17" t="n">
        <f aca="false">COUNTIFS(d_Marca,$A65,d_Subest,S$7)</f>
        <v>0</v>
      </c>
      <c r="T65" s="17" t="n">
        <f aca="false">COUNTIFS(d_Marca,$A65,d_Subest,T$7)</f>
        <v>0</v>
      </c>
      <c r="U65" s="17" t="n">
        <f aca="false">COUNTIFS(d_Marca,$A65,d_Subest,U$7)</f>
        <v>0</v>
      </c>
      <c r="V65" s="17" t="n">
        <f aca="false">SUM(Q65:U65)</f>
        <v>0</v>
      </c>
      <c r="W65" s="17" t="n">
        <f aca="false">COUNTIFS(d_Marca,$A65,d_Subest,W$7)</f>
        <v>0</v>
      </c>
      <c r="X65" s="17" t="n">
        <f aca="false">COUNTIFS(d_Marca,$A65,d_Subest,X$7)</f>
        <v>0</v>
      </c>
      <c r="Y65" s="17" t="n">
        <f aca="false">COUNTIFS(d_Marca,$A65,d_Subest,Y$7)</f>
        <v>0</v>
      </c>
      <c r="Z65" s="17" t="n">
        <f aca="false">COUNTIFS(d_Marca,$A65,d_Subest,Z$7)</f>
        <v>0</v>
      </c>
      <c r="AA65" s="17" t="n">
        <f aca="false">COUNTIFS(d_Marca,$A65,d_Subest,AA$7)</f>
        <v>0</v>
      </c>
      <c r="AB65" s="17" t="n">
        <f aca="false">SUM(W65:AA65)</f>
        <v>0</v>
      </c>
      <c r="AC65" s="17" t="n">
        <f aca="false">COUNTIFS(d_Marca,$A65,d_Subest,AC$7)</f>
        <v>0</v>
      </c>
      <c r="AD65" s="17" t="n">
        <f aca="false">COUNTIFS(d_Marca,$A65,d_Subest,AD$7)</f>
        <v>6</v>
      </c>
      <c r="AE65" s="17" t="n">
        <f aca="false">COUNTIFS(d_Marca,$A65,d_Subest,AE$7)</f>
        <v>0</v>
      </c>
      <c r="AF65" s="17" t="n">
        <f aca="false">COUNTIFS(d_Marca,$A65,d_Subest,AF$7)</f>
        <v>0</v>
      </c>
      <c r="AG65" s="17" t="n">
        <f aca="false">COUNTIFS(d_Marca,$A65,d_Subest,AG$7)</f>
        <v>0</v>
      </c>
      <c r="AH65" s="17" t="n">
        <f aca="false">COUNTIFS(d_Marca,$A65,d_Subest,AH$7)</f>
        <v>0</v>
      </c>
      <c r="AI65" s="17" t="n">
        <f aca="false">COUNTIFS(d_Marca,$A65,d_Subest,AI$7)</f>
        <v>0</v>
      </c>
      <c r="AJ65" s="17" t="n">
        <f aca="false">COUNTIFS(d_Marca,$A65,d_Subest,AJ$7)</f>
        <v>0</v>
      </c>
      <c r="AK65" s="17" t="n">
        <f aca="false">COUNTIFS(d_Marca,$A65,d_Subest,AK$7)</f>
        <v>0</v>
      </c>
      <c r="AL65" s="17" t="n">
        <f aca="false">COUNTIFS(d_Marca,$A65,d_Subest,AL$7)</f>
        <v>0</v>
      </c>
      <c r="AM65" s="17" t="n">
        <f aca="false">SUM(AC65:AL65)</f>
        <v>6</v>
      </c>
      <c r="AN65" s="17" t="n">
        <f aca="false">COUNTIFS(d_Marca,$A65,d_Subest,AN$7)</f>
        <v>0</v>
      </c>
      <c r="AO65" s="17" t="n">
        <f aca="false">COUNTIFS(d_Marca,$A65,d_Subest,AO$7)</f>
        <v>0</v>
      </c>
      <c r="AP65" s="17" t="n">
        <f aca="false">COUNTIFS(d_Marca,$A65,d_Subest,AP$7)</f>
        <v>0</v>
      </c>
      <c r="AQ65" s="17" t="n">
        <f aca="false">COUNTIFS(d_Marca,$A65,d_Subest,AQ$7)</f>
        <v>0</v>
      </c>
      <c r="AR65" s="17" t="n">
        <f aca="false">COUNTIFS(d_Marca,$A65,d_Subest,AR$7)</f>
        <v>0</v>
      </c>
      <c r="AS65" s="17" t="n">
        <f aca="false">COUNTIFS(d_Marca,$A65,d_Subest,AS$7)</f>
        <v>0</v>
      </c>
      <c r="AT65" s="17" t="n">
        <f aca="false">COUNTIFS(d_Marca,$A65,d_Subest,AT$7)</f>
        <v>0</v>
      </c>
      <c r="AU65" s="17" t="n">
        <f aca="false">COUNTIFS(d_Marca,$A65,d_Subest,AU$7)</f>
        <v>0</v>
      </c>
      <c r="AV65" s="17" t="n">
        <f aca="false">COUNTIFS(d_Marca,$A65,d_Subest,AV$7)</f>
        <v>0</v>
      </c>
      <c r="AW65" s="17" t="n">
        <f aca="false">COUNTIFS(d_Marca,$A65,d_Subest,AW$7)</f>
        <v>0</v>
      </c>
      <c r="AX65" s="17" t="n">
        <f aca="false">SUM(AN65:AW65)</f>
        <v>0</v>
      </c>
      <c r="AY65" s="17" t="n">
        <f aca="false">COUNTIFS(d_Marca,$A65,d_Subest,AY$7)</f>
        <v>0</v>
      </c>
      <c r="AZ65" s="17" t="n">
        <f aca="false">E65+H65+K65+P65+V65+AB65+AM65+AX65+AY65</f>
        <v>6</v>
      </c>
    </row>
    <row r="66" customFormat="false" ht="15" hidden="false" customHeight="false" outlineLevel="0" collapsed="false">
      <c r="A66" s="19" t="s">
        <v>93</v>
      </c>
      <c r="B66" s="20" t="s">
        <v>95</v>
      </c>
      <c r="C66" s="21" t="n">
        <f aca="false">COUNTIFS(d_Marca,$A66,d_Modelo,$B66,d_Subest,C$7)</f>
        <v>0</v>
      </c>
      <c r="D66" s="21" t="n">
        <f aca="false">COUNTIFS(d_Marca,$A66,d_Modelo,$B66,d_Subest,D$7)</f>
        <v>0</v>
      </c>
      <c r="E66" s="17" t="n">
        <f aca="false">SUM(C66:D66)</f>
        <v>0</v>
      </c>
      <c r="F66" s="21" t="n">
        <f aca="false">COUNTIFS(d_Marca,$A66,d_Modelo,$B66,d_Subest,F$7)</f>
        <v>0</v>
      </c>
      <c r="G66" s="21" t="n">
        <f aca="false">COUNTIFS(d_Marca,$A66,d_Modelo,$B66,d_Subest,G$7)</f>
        <v>0</v>
      </c>
      <c r="H66" s="17" t="n">
        <f aca="false">SUM(F66:G66)</f>
        <v>0</v>
      </c>
      <c r="I66" s="21" t="n">
        <f aca="false">COUNTIFS(d_Marca,$A66,d_Modelo,$B66,d_Subest,I$7)</f>
        <v>0</v>
      </c>
      <c r="J66" s="21" t="n">
        <f aca="false">COUNTIFS(d_Marca,$A66,d_Modelo,$B66,d_Subest,J$7)</f>
        <v>0</v>
      </c>
      <c r="K66" s="17" t="n">
        <f aca="false">SUM(I66:J66)</f>
        <v>0</v>
      </c>
      <c r="L66" s="21" t="n">
        <f aca="false">COUNTIFS(d_Marca,$A66,d_Modelo,$B66,d_Subest,L$7)</f>
        <v>0</v>
      </c>
      <c r="M66" s="21" t="n">
        <f aca="false">COUNTIFS(d_Marca,$A66,d_Modelo,$B66,d_Subest,M$7)</f>
        <v>0</v>
      </c>
      <c r="N66" s="21" t="n">
        <f aca="false">COUNTIFS(d_Marca,$A66,d_Modelo,$B66,d_Subest,N$7)</f>
        <v>0</v>
      </c>
      <c r="O66" s="21" t="n">
        <f aca="false">COUNTIFS(d_Marca,$A66,d_Modelo,$B66,d_Subest,O$7)</f>
        <v>0</v>
      </c>
      <c r="P66" s="17" t="n">
        <f aca="false">SUM(L66:O66)</f>
        <v>0</v>
      </c>
      <c r="Q66" s="21" t="n">
        <f aca="false">COUNTIFS(d_Marca,$A66,d_Modelo,$B66,d_Subest,Q$7)</f>
        <v>0</v>
      </c>
      <c r="R66" s="21" t="n">
        <f aca="false">COUNTIFS(d_Marca,$A66,d_Modelo,$B66,d_Subest,R$7)</f>
        <v>0</v>
      </c>
      <c r="S66" s="21" t="n">
        <f aca="false">COUNTIFS(d_Marca,$A66,d_Modelo,$B66,d_Subest,S$7)</f>
        <v>0</v>
      </c>
      <c r="T66" s="21" t="n">
        <f aca="false">COUNTIFS(d_Marca,$A66,d_Modelo,$B66,d_Subest,T$7)</f>
        <v>0</v>
      </c>
      <c r="U66" s="21" t="n">
        <f aca="false">COUNTIFS(d_Marca,$A66,d_Modelo,$B66,d_Subest,U$7)</f>
        <v>0</v>
      </c>
      <c r="V66" s="17" t="n">
        <f aca="false">SUM(Q66:U66)</f>
        <v>0</v>
      </c>
      <c r="W66" s="21" t="n">
        <f aca="false">COUNTIFS(d_Marca,$A66,d_Modelo,$B66,d_Subest,W$7)</f>
        <v>0</v>
      </c>
      <c r="X66" s="21" t="n">
        <f aca="false">COUNTIFS(d_Marca,$A66,d_Modelo,$B66,d_Subest,X$7)</f>
        <v>0</v>
      </c>
      <c r="Y66" s="21" t="n">
        <f aca="false">COUNTIFS(d_Marca,$A66,d_Modelo,$B66,d_Subest,Y$7)</f>
        <v>0</v>
      </c>
      <c r="Z66" s="21" t="n">
        <f aca="false">COUNTIFS(d_Marca,$A66,d_Modelo,$B66,d_Subest,Z$7)</f>
        <v>0</v>
      </c>
      <c r="AA66" s="21" t="n">
        <f aca="false">COUNTIFS(d_Marca,$A66,d_Modelo,$B66,d_Subest,AA$7)</f>
        <v>0</v>
      </c>
      <c r="AB66" s="17" t="n">
        <f aca="false">SUM(W66:AA66)</f>
        <v>0</v>
      </c>
      <c r="AC66" s="21" t="n">
        <f aca="false">COUNTIFS(d_Marca,$A66,d_Modelo,$B66,d_Subest,AC$7)</f>
        <v>0</v>
      </c>
      <c r="AD66" s="21" t="n">
        <f aca="false">COUNTIFS(d_Marca,$A66,d_Modelo,$B66,d_Subest,AD$7)</f>
        <v>6</v>
      </c>
      <c r="AE66" s="21" t="n">
        <f aca="false">COUNTIFS(d_Marca,$A66,d_Modelo,$B66,d_Subest,AE$7)</f>
        <v>0</v>
      </c>
      <c r="AF66" s="21" t="n">
        <f aca="false">COUNTIFS(d_Marca,$A66,d_Modelo,$B66,d_Subest,AF$7)</f>
        <v>0</v>
      </c>
      <c r="AG66" s="21" t="n">
        <f aca="false">COUNTIFS(d_Marca,$A66,d_Modelo,$B66,d_Subest,AG$7)</f>
        <v>0</v>
      </c>
      <c r="AH66" s="21" t="n">
        <f aca="false">COUNTIFS(d_Marca,$A66,d_Modelo,$B66,d_Subest,AH$7)</f>
        <v>0</v>
      </c>
      <c r="AI66" s="21" t="n">
        <f aca="false">COUNTIFS(d_Marca,$A66,d_Modelo,$B66,d_Subest,AI$7)</f>
        <v>0</v>
      </c>
      <c r="AJ66" s="21" t="n">
        <f aca="false">COUNTIFS(d_Marca,$A66,d_Modelo,$B66,d_Subest,AJ$7)</f>
        <v>0</v>
      </c>
      <c r="AK66" s="21" t="n">
        <f aca="false">COUNTIFS(d_Marca,$A66,d_Modelo,$B66,d_Subest,AK$7)</f>
        <v>0</v>
      </c>
      <c r="AL66" s="21" t="n">
        <f aca="false">COUNTIFS(d_Marca,$A66,d_Modelo,$B66,d_Subest,AL$7)</f>
        <v>0</v>
      </c>
      <c r="AM66" s="17" t="n">
        <f aca="false">SUM(AC66:AL66)</f>
        <v>6</v>
      </c>
      <c r="AN66" s="21" t="n">
        <f aca="false">COUNTIFS(d_Marca,$A66,d_Modelo,$B66,d_Subest,AN$7)</f>
        <v>0</v>
      </c>
      <c r="AO66" s="21" t="n">
        <f aca="false">COUNTIFS(d_Marca,$A66,d_Modelo,$B66,d_Subest,AO$7)</f>
        <v>0</v>
      </c>
      <c r="AP66" s="21" t="n">
        <f aca="false">COUNTIFS(d_Marca,$A66,d_Modelo,$B66,d_Subest,AP$7)</f>
        <v>0</v>
      </c>
      <c r="AQ66" s="21" t="n">
        <f aca="false">COUNTIFS(d_Marca,$A66,d_Modelo,$B66,d_Subest,AQ$7)</f>
        <v>0</v>
      </c>
      <c r="AR66" s="21" t="n">
        <f aca="false">COUNTIFS(d_Marca,$A66,d_Modelo,$B66,d_Subest,AR$7)</f>
        <v>0</v>
      </c>
      <c r="AS66" s="21" t="n">
        <f aca="false">COUNTIFS(d_Marca,$A66,d_Modelo,$B66,d_Subest,AS$7)</f>
        <v>0</v>
      </c>
      <c r="AT66" s="21" t="n">
        <f aca="false">COUNTIFS(d_Marca,$A66,d_Modelo,$B66,d_Subest,AT$7)</f>
        <v>0</v>
      </c>
      <c r="AU66" s="21" t="n">
        <f aca="false">COUNTIFS(d_Marca,$A66,d_Modelo,$B66,d_Subest,AU$7)</f>
        <v>0</v>
      </c>
      <c r="AV66" s="21" t="n">
        <f aca="false">COUNTIFS(d_Marca,$A66,d_Modelo,$B66,d_Subest,AV$7)</f>
        <v>0</v>
      </c>
      <c r="AW66" s="21" t="n">
        <f aca="false">COUNTIFS(d_Marca,$A66,d_Modelo,$B66,d_Subest,AW$7)</f>
        <v>0</v>
      </c>
      <c r="AX66" s="17" t="n">
        <f aca="false">SUM(AN66:AW66)</f>
        <v>0</v>
      </c>
      <c r="AY66" s="21" t="n">
        <f aca="false">COUNTIFS(d_Marca,$A66,d_Modelo,$B66,d_Subest,AY$7)</f>
        <v>0</v>
      </c>
      <c r="AZ66" s="17" t="n">
        <f aca="false">E66+H66+K66+P66+V66+AB66+AM66+AX66+AY66</f>
        <v>6</v>
      </c>
    </row>
    <row r="67" customFormat="false" ht="15" hidden="false" customHeight="false" outlineLevel="0" collapsed="false">
      <c r="A67" s="16" t="s">
        <v>96</v>
      </c>
      <c r="B67" s="16" t="s">
        <v>97</v>
      </c>
      <c r="C67" s="17" t="n">
        <f aca="false">COUNTIFS(d_Marca,$A67,d_Subest,C$7)</f>
        <v>0</v>
      </c>
      <c r="D67" s="17" t="n">
        <f aca="false">COUNTIFS(d_Marca,$A67,d_Subest,D$7)</f>
        <v>0</v>
      </c>
      <c r="E67" s="17" t="n">
        <f aca="false">SUM(C67:D67)</f>
        <v>0</v>
      </c>
      <c r="F67" s="17" t="n">
        <f aca="false">COUNTIFS(d_Marca,$A67,d_Subest,F$7)</f>
        <v>0</v>
      </c>
      <c r="G67" s="17" t="n">
        <f aca="false">COUNTIFS(d_Marca,$A67,d_Subest,G$7)</f>
        <v>0</v>
      </c>
      <c r="H67" s="17" t="n">
        <f aca="false">SUM(F67:G67)</f>
        <v>0</v>
      </c>
      <c r="I67" s="17" t="n">
        <f aca="false">COUNTIFS(d_Marca,$A67,d_Subest,I$7)</f>
        <v>0</v>
      </c>
      <c r="J67" s="17" t="n">
        <f aca="false">COUNTIFS(d_Marca,$A67,d_Subest,J$7)</f>
        <v>0</v>
      </c>
      <c r="K67" s="17" t="n">
        <f aca="false">SUM(I67:J67)</f>
        <v>0</v>
      </c>
      <c r="L67" s="17" t="n">
        <f aca="false">COUNTIFS(d_Marca,$A67,d_Subest,L$7)</f>
        <v>0</v>
      </c>
      <c r="M67" s="17" t="n">
        <f aca="false">COUNTIFS(d_Marca,$A67,d_Subest,M$7)</f>
        <v>0</v>
      </c>
      <c r="N67" s="17" t="n">
        <f aca="false">COUNTIFS(d_Marca,$A67,d_Subest,N$7)</f>
        <v>0</v>
      </c>
      <c r="O67" s="17" t="n">
        <f aca="false">COUNTIFS(d_Marca,$A67,d_Subest,O$7)</f>
        <v>0</v>
      </c>
      <c r="P67" s="17" t="n">
        <f aca="false">SUM(L67:O67)</f>
        <v>0</v>
      </c>
      <c r="Q67" s="17" t="n">
        <f aca="false">COUNTIFS(d_Marca,$A67,d_Subest,Q$7)</f>
        <v>0</v>
      </c>
      <c r="R67" s="17" t="n">
        <f aca="false">COUNTIFS(d_Marca,$A67,d_Subest,R$7)</f>
        <v>0</v>
      </c>
      <c r="S67" s="17" t="n">
        <f aca="false">COUNTIFS(d_Marca,$A67,d_Subest,S$7)</f>
        <v>0</v>
      </c>
      <c r="T67" s="17" t="n">
        <f aca="false">COUNTIFS(d_Marca,$A67,d_Subest,T$7)</f>
        <v>0</v>
      </c>
      <c r="U67" s="17" t="n">
        <f aca="false">COUNTIFS(d_Marca,$A67,d_Subest,U$7)</f>
        <v>0</v>
      </c>
      <c r="V67" s="17" t="n">
        <f aca="false">SUM(Q67:U67)</f>
        <v>0</v>
      </c>
      <c r="W67" s="17" t="n">
        <f aca="false">COUNTIFS(d_Marca,$A67,d_Subest,W$7)</f>
        <v>0</v>
      </c>
      <c r="X67" s="17" t="n">
        <f aca="false">COUNTIFS(d_Marca,$A67,d_Subest,X$7)</f>
        <v>0</v>
      </c>
      <c r="Y67" s="17" t="n">
        <f aca="false">COUNTIFS(d_Marca,$A67,d_Subest,Y$7)</f>
        <v>0</v>
      </c>
      <c r="Z67" s="17" t="n">
        <f aca="false">COUNTIFS(d_Marca,$A67,d_Subest,Z$7)</f>
        <v>0</v>
      </c>
      <c r="AA67" s="17" t="n">
        <f aca="false">COUNTIFS(d_Marca,$A67,d_Subest,AA$7)</f>
        <v>0</v>
      </c>
      <c r="AB67" s="17" t="n">
        <f aca="false">SUM(W67:AA67)</f>
        <v>0</v>
      </c>
      <c r="AC67" s="17" t="n">
        <f aca="false">COUNTIFS(d_Marca,$A67,d_Subest,AC$7)</f>
        <v>2</v>
      </c>
      <c r="AD67" s="17" t="n">
        <f aca="false">COUNTIFS(d_Marca,$A67,d_Subest,AD$7)</f>
        <v>0</v>
      </c>
      <c r="AE67" s="17" t="n">
        <f aca="false">COUNTIFS(d_Marca,$A67,d_Subest,AE$7)</f>
        <v>0</v>
      </c>
      <c r="AF67" s="17" t="n">
        <f aca="false">COUNTIFS(d_Marca,$A67,d_Subest,AF$7)</f>
        <v>0</v>
      </c>
      <c r="AG67" s="17" t="n">
        <f aca="false">COUNTIFS(d_Marca,$A67,d_Subest,AG$7)</f>
        <v>0</v>
      </c>
      <c r="AH67" s="17" t="n">
        <f aca="false">COUNTIFS(d_Marca,$A67,d_Subest,AH$7)</f>
        <v>0</v>
      </c>
      <c r="AI67" s="17" t="n">
        <f aca="false">COUNTIFS(d_Marca,$A67,d_Subest,AI$7)</f>
        <v>0</v>
      </c>
      <c r="AJ67" s="17" t="n">
        <f aca="false">COUNTIFS(d_Marca,$A67,d_Subest,AJ$7)</f>
        <v>0</v>
      </c>
      <c r="AK67" s="17" t="n">
        <f aca="false">COUNTIFS(d_Marca,$A67,d_Subest,AK$7)</f>
        <v>0</v>
      </c>
      <c r="AL67" s="17" t="n">
        <f aca="false">COUNTIFS(d_Marca,$A67,d_Subest,AL$7)</f>
        <v>0</v>
      </c>
      <c r="AM67" s="17" t="n">
        <f aca="false">SUM(AC67:AL67)</f>
        <v>2</v>
      </c>
      <c r="AN67" s="17" t="n">
        <f aca="false">COUNTIFS(d_Marca,$A67,d_Subest,AN$7)</f>
        <v>0</v>
      </c>
      <c r="AO67" s="17" t="n">
        <f aca="false">COUNTIFS(d_Marca,$A67,d_Subest,AO$7)</f>
        <v>0</v>
      </c>
      <c r="AP67" s="17" t="n">
        <f aca="false">COUNTIFS(d_Marca,$A67,d_Subest,AP$7)</f>
        <v>0</v>
      </c>
      <c r="AQ67" s="17" t="n">
        <f aca="false">COUNTIFS(d_Marca,$A67,d_Subest,AQ$7)</f>
        <v>0</v>
      </c>
      <c r="AR67" s="17" t="n">
        <f aca="false">COUNTIFS(d_Marca,$A67,d_Subest,AR$7)</f>
        <v>0</v>
      </c>
      <c r="AS67" s="17" t="n">
        <f aca="false">COUNTIFS(d_Marca,$A67,d_Subest,AS$7)</f>
        <v>0</v>
      </c>
      <c r="AT67" s="17" t="n">
        <f aca="false">COUNTIFS(d_Marca,$A67,d_Subest,AT$7)</f>
        <v>0</v>
      </c>
      <c r="AU67" s="17" t="n">
        <f aca="false">COUNTIFS(d_Marca,$A67,d_Subest,AU$7)</f>
        <v>0</v>
      </c>
      <c r="AV67" s="17" t="n">
        <f aca="false">COUNTIFS(d_Marca,$A67,d_Subest,AV$7)</f>
        <v>0</v>
      </c>
      <c r="AW67" s="17" t="n">
        <f aca="false">COUNTIFS(d_Marca,$A67,d_Subest,AW$7)</f>
        <v>0</v>
      </c>
      <c r="AX67" s="17" t="n">
        <f aca="false">SUM(AN67:AW67)</f>
        <v>0</v>
      </c>
      <c r="AY67" s="17" t="n">
        <f aca="false">COUNTIFS(d_Marca,$A67,d_Subest,AY$7)</f>
        <v>0</v>
      </c>
      <c r="AZ67" s="17" t="n">
        <f aca="false">E67+H67+K67+P67+V67+AB67+AM67+AX67+AY67</f>
        <v>2</v>
      </c>
    </row>
    <row r="68" customFormat="false" ht="15" hidden="false" customHeight="false" outlineLevel="0" collapsed="false">
      <c r="A68" s="19" t="s">
        <v>96</v>
      </c>
      <c r="B68" s="20" t="s">
        <v>98</v>
      </c>
      <c r="C68" s="21" t="n">
        <f aca="false">COUNTIFS(d_Marca,$A68,d_Modelo,$B68,d_Subest,C$7)</f>
        <v>0</v>
      </c>
      <c r="D68" s="21" t="n">
        <f aca="false">COUNTIFS(d_Marca,$A68,d_Modelo,$B68,d_Subest,D$7)</f>
        <v>0</v>
      </c>
      <c r="E68" s="17" t="n">
        <f aca="false">SUM(C68:D68)</f>
        <v>0</v>
      </c>
      <c r="F68" s="21" t="n">
        <f aca="false">COUNTIFS(d_Marca,$A68,d_Modelo,$B68,d_Subest,F$7)</f>
        <v>0</v>
      </c>
      <c r="G68" s="21" t="n">
        <f aca="false">COUNTIFS(d_Marca,$A68,d_Modelo,$B68,d_Subest,G$7)</f>
        <v>0</v>
      </c>
      <c r="H68" s="17" t="n">
        <f aca="false">SUM(F68:G68)</f>
        <v>0</v>
      </c>
      <c r="I68" s="21" t="n">
        <f aca="false">COUNTIFS(d_Marca,$A68,d_Modelo,$B68,d_Subest,I$7)</f>
        <v>0</v>
      </c>
      <c r="J68" s="21" t="n">
        <f aca="false">COUNTIFS(d_Marca,$A68,d_Modelo,$B68,d_Subest,J$7)</f>
        <v>0</v>
      </c>
      <c r="K68" s="17" t="n">
        <f aca="false">SUM(I68:J68)</f>
        <v>0</v>
      </c>
      <c r="L68" s="21" t="n">
        <f aca="false">COUNTIFS(d_Marca,$A68,d_Modelo,$B68,d_Subest,L$7)</f>
        <v>0</v>
      </c>
      <c r="M68" s="21" t="n">
        <f aca="false">COUNTIFS(d_Marca,$A68,d_Modelo,$B68,d_Subest,M$7)</f>
        <v>0</v>
      </c>
      <c r="N68" s="21" t="n">
        <f aca="false">COUNTIFS(d_Marca,$A68,d_Modelo,$B68,d_Subest,N$7)</f>
        <v>0</v>
      </c>
      <c r="O68" s="21" t="n">
        <f aca="false">COUNTIFS(d_Marca,$A68,d_Modelo,$B68,d_Subest,O$7)</f>
        <v>0</v>
      </c>
      <c r="P68" s="17" t="n">
        <f aca="false">SUM(L68:O68)</f>
        <v>0</v>
      </c>
      <c r="Q68" s="21" t="n">
        <f aca="false">COUNTIFS(d_Marca,$A68,d_Modelo,$B68,d_Subest,Q$7)</f>
        <v>0</v>
      </c>
      <c r="R68" s="21" t="n">
        <f aca="false">COUNTIFS(d_Marca,$A68,d_Modelo,$B68,d_Subest,R$7)</f>
        <v>0</v>
      </c>
      <c r="S68" s="21" t="n">
        <f aca="false">COUNTIFS(d_Marca,$A68,d_Modelo,$B68,d_Subest,S$7)</f>
        <v>0</v>
      </c>
      <c r="T68" s="21" t="n">
        <f aca="false">COUNTIFS(d_Marca,$A68,d_Modelo,$B68,d_Subest,T$7)</f>
        <v>0</v>
      </c>
      <c r="U68" s="21" t="n">
        <f aca="false">COUNTIFS(d_Marca,$A68,d_Modelo,$B68,d_Subest,U$7)</f>
        <v>0</v>
      </c>
      <c r="V68" s="17" t="n">
        <f aca="false">SUM(Q68:U68)</f>
        <v>0</v>
      </c>
      <c r="W68" s="21" t="n">
        <f aca="false">COUNTIFS(d_Marca,$A68,d_Modelo,$B68,d_Subest,W$7)</f>
        <v>0</v>
      </c>
      <c r="X68" s="21" t="n">
        <f aca="false">COUNTIFS(d_Marca,$A68,d_Modelo,$B68,d_Subest,X$7)</f>
        <v>0</v>
      </c>
      <c r="Y68" s="21" t="n">
        <f aca="false">COUNTIFS(d_Marca,$A68,d_Modelo,$B68,d_Subest,Y$7)</f>
        <v>0</v>
      </c>
      <c r="Z68" s="21" t="n">
        <f aca="false">COUNTIFS(d_Marca,$A68,d_Modelo,$B68,d_Subest,Z$7)</f>
        <v>0</v>
      </c>
      <c r="AA68" s="21" t="n">
        <f aca="false">COUNTIFS(d_Marca,$A68,d_Modelo,$B68,d_Subest,AA$7)</f>
        <v>0</v>
      </c>
      <c r="AB68" s="17" t="n">
        <f aca="false">SUM(W68:AA68)</f>
        <v>0</v>
      </c>
      <c r="AC68" s="21" t="n">
        <f aca="false">COUNTIFS(d_Marca,$A68,d_Modelo,$B68,d_Subest,AC$7)</f>
        <v>2</v>
      </c>
      <c r="AD68" s="21" t="n">
        <f aca="false">COUNTIFS(d_Marca,$A68,d_Modelo,$B68,d_Subest,AD$7)</f>
        <v>0</v>
      </c>
      <c r="AE68" s="21" t="n">
        <f aca="false">COUNTIFS(d_Marca,$A68,d_Modelo,$B68,d_Subest,AE$7)</f>
        <v>0</v>
      </c>
      <c r="AF68" s="21" t="n">
        <f aca="false">COUNTIFS(d_Marca,$A68,d_Modelo,$B68,d_Subest,AF$7)</f>
        <v>0</v>
      </c>
      <c r="AG68" s="21" t="n">
        <f aca="false">COUNTIFS(d_Marca,$A68,d_Modelo,$B68,d_Subest,AG$7)</f>
        <v>0</v>
      </c>
      <c r="AH68" s="21" t="n">
        <f aca="false">COUNTIFS(d_Marca,$A68,d_Modelo,$B68,d_Subest,AH$7)</f>
        <v>0</v>
      </c>
      <c r="AI68" s="21" t="n">
        <f aca="false">COUNTIFS(d_Marca,$A68,d_Modelo,$B68,d_Subest,AI$7)</f>
        <v>0</v>
      </c>
      <c r="AJ68" s="21" t="n">
        <f aca="false">COUNTIFS(d_Marca,$A68,d_Modelo,$B68,d_Subest,AJ$7)</f>
        <v>0</v>
      </c>
      <c r="AK68" s="21" t="n">
        <f aca="false">COUNTIFS(d_Marca,$A68,d_Modelo,$B68,d_Subest,AK$7)</f>
        <v>0</v>
      </c>
      <c r="AL68" s="21" t="n">
        <f aca="false">COUNTIFS(d_Marca,$A68,d_Modelo,$B68,d_Subest,AL$7)</f>
        <v>0</v>
      </c>
      <c r="AM68" s="17" t="n">
        <f aca="false">SUM(AC68:AL68)</f>
        <v>2</v>
      </c>
      <c r="AN68" s="21" t="n">
        <f aca="false">COUNTIFS(d_Marca,$A68,d_Modelo,$B68,d_Subest,AN$7)</f>
        <v>0</v>
      </c>
      <c r="AO68" s="21" t="n">
        <f aca="false">COUNTIFS(d_Marca,$A68,d_Modelo,$B68,d_Subest,AO$7)</f>
        <v>0</v>
      </c>
      <c r="AP68" s="21" t="n">
        <f aca="false">COUNTIFS(d_Marca,$A68,d_Modelo,$B68,d_Subest,AP$7)</f>
        <v>0</v>
      </c>
      <c r="AQ68" s="21" t="n">
        <f aca="false">COUNTIFS(d_Marca,$A68,d_Modelo,$B68,d_Subest,AQ$7)</f>
        <v>0</v>
      </c>
      <c r="AR68" s="21" t="n">
        <f aca="false">COUNTIFS(d_Marca,$A68,d_Modelo,$B68,d_Subest,AR$7)</f>
        <v>0</v>
      </c>
      <c r="AS68" s="21" t="n">
        <f aca="false">COUNTIFS(d_Marca,$A68,d_Modelo,$B68,d_Subest,AS$7)</f>
        <v>0</v>
      </c>
      <c r="AT68" s="21" t="n">
        <f aca="false">COUNTIFS(d_Marca,$A68,d_Modelo,$B68,d_Subest,AT$7)</f>
        <v>0</v>
      </c>
      <c r="AU68" s="21" t="n">
        <f aca="false">COUNTIFS(d_Marca,$A68,d_Modelo,$B68,d_Subest,AU$7)</f>
        <v>0</v>
      </c>
      <c r="AV68" s="21" t="n">
        <f aca="false">COUNTIFS(d_Marca,$A68,d_Modelo,$B68,d_Subest,AV$7)</f>
        <v>0</v>
      </c>
      <c r="AW68" s="21" t="n">
        <f aca="false">COUNTIFS(d_Marca,$A68,d_Modelo,$B68,d_Subest,AW$7)</f>
        <v>0</v>
      </c>
      <c r="AX68" s="17" t="n">
        <f aca="false">SUM(AN68:AW68)</f>
        <v>0</v>
      </c>
      <c r="AY68" s="21" t="n">
        <f aca="false">COUNTIFS(d_Marca,$A68,d_Modelo,$B68,d_Subest,AY$7)</f>
        <v>0</v>
      </c>
      <c r="AZ68" s="17" t="n">
        <f aca="false">E68+H68+K68+P68+V68+AB68+AM68+AX68+AY68</f>
        <v>2</v>
      </c>
    </row>
    <row r="69" customFormat="false" ht="15" hidden="false" customHeight="false" outlineLevel="0" collapsed="false">
      <c r="A69" s="16" t="s">
        <v>99</v>
      </c>
      <c r="B69" s="16" t="s">
        <v>100</v>
      </c>
      <c r="C69" s="17" t="n">
        <f aca="false">COUNTIFS(d_Marca,$A69,d_Subest,C$7)</f>
        <v>0</v>
      </c>
      <c r="D69" s="17" t="n">
        <f aca="false">COUNTIFS(d_Marca,$A69,d_Subest,D$7)</f>
        <v>0</v>
      </c>
      <c r="E69" s="17" t="n">
        <f aca="false">SUM(C69:D69)</f>
        <v>0</v>
      </c>
      <c r="F69" s="17" t="n">
        <f aca="false">COUNTIFS(d_Marca,$A69,d_Subest,F$7)</f>
        <v>0</v>
      </c>
      <c r="G69" s="17" t="n">
        <f aca="false">COUNTIFS(d_Marca,$A69,d_Subest,G$7)</f>
        <v>0</v>
      </c>
      <c r="H69" s="17" t="n">
        <f aca="false">SUM(F69:G69)</f>
        <v>0</v>
      </c>
      <c r="I69" s="17" t="n">
        <f aca="false">COUNTIFS(d_Marca,$A69,d_Subest,I$7)</f>
        <v>0</v>
      </c>
      <c r="J69" s="17" t="n">
        <f aca="false">COUNTIFS(d_Marca,$A69,d_Subest,J$7)</f>
        <v>0</v>
      </c>
      <c r="K69" s="17" t="n">
        <f aca="false">SUM(I69:J69)</f>
        <v>0</v>
      </c>
      <c r="L69" s="17" t="n">
        <f aca="false">COUNTIFS(d_Marca,$A69,d_Subest,L$7)</f>
        <v>0</v>
      </c>
      <c r="M69" s="17" t="n">
        <f aca="false">COUNTIFS(d_Marca,$A69,d_Subest,M$7)</f>
        <v>0</v>
      </c>
      <c r="N69" s="17" t="n">
        <f aca="false">COUNTIFS(d_Marca,$A69,d_Subest,N$7)</f>
        <v>0</v>
      </c>
      <c r="O69" s="17" t="n">
        <f aca="false">COUNTIFS(d_Marca,$A69,d_Subest,O$7)</f>
        <v>0</v>
      </c>
      <c r="P69" s="17" t="n">
        <f aca="false">SUM(L69:O69)</f>
        <v>0</v>
      </c>
      <c r="Q69" s="17" t="n">
        <f aca="false">COUNTIFS(d_Marca,$A69,d_Subest,Q$7)</f>
        <v>0</v>
      </c>
      <c r="R69" s="17" t="n">
        <f aca="false">COUNTIFS(d_Marca,$A69,d_Subest,R$7)</f>
        <v>0</v>
      </c>
      <c r="S69" s="17" t="n">
        <f aca="false">COUNTIFS(d_Marca,$A69,d_Subest,S$7)</f>
        <v>0</v>
      </c>
      <c r="T69" s="17" t="n">
        <f aca="false">COUNTIFS(d_Marca,$A69,d_Subest,T$7)</f>
        <v>6</v>
      </c>
      <c r="U69" s="17" t="n">
        <f aca="false">COUNTIFS(d_Marca,$A69,d_Subest,U$7)</f>
        <v>0</v>
      </c>
      <c r="V69" s="17" t="n">
        <f aca="false">SUM(Q69:U69)</f>
        <v>6</v>
      </c>
      <c r="W69" s="17" t="n">
        <f aca="false">COUNTIFS(d_Marca,$A69,d_Subest,W$7)</f>
        <v>0</v>
      </c>
      <c r="X69" s="17" t="n">
        <f aca="false">COUNTIFS(d_Marca,$A69,d_Subest,X$7)</f>
        <v>0</v>
      </c>
      <c r="Y69" s="17" t="n">
        <f aca="false">COUNTIFS(d_Marca,$A69,d_Subest,Y$7)</f>
        <v>0</v>
      </c>
      <c r="Z69" s="17" t="n">
        <f aca="false">COUNTIFS(d_Marca,$A69,d_Subest,Z$7)</f>
        <v>0</v>
      </c>
      <c r="AA69" s="17" t="n">
        <f aca="false">COUNTIFS(d_Marca,$A69,d_Subest,AA$7)</f>
        <v>0</v>
      </c>
      <c r="AB69" s="17" t="n">
        <f aca="false">SUM(W69:AA69)</f>
        <v>0</v>
      </c>
      <c r="AC69" s="17" t="n">
        <f aca="false">COUNTIFS(d_Marca,$A69,d_Subest,AC$7)</f>
        <v>0</v>
      </c>
      <c r="AD69" s="17" t="n">
        <f aca="false">COUNTIFS(d_Marca,$A69,d_Subest,AD$7)</f>
        <v>0</v>
      </c>
      <c r="AE69" s="17" t="n">
        <f aca="false">COUNTIFS(d_Marca,$A69,d_Subest,AE$7)</f>
        <v>0</v>
      </c>
      <c r="AF69" s="17" t="n">
        <f aca="false">COUNTIFS(d_Marca,$A69,d_Subest,AF$7)</f>
        <v>0</v>
      </c>
      <c r="AG69" s="17" t="n">
        <f aca="false">COUNTIFS(d_Marca,$A69,d_Subest,AG$7)</f>
        <v>0</v>
      </c>
      <c r="AH69" s="17" t="n">
        <f aca="false">COUNTIFS(d_Marca,$A69,d_Subest,AH$7)</f>
        <v>0</v>
      </c>
      <c r="AI69" s="17" t="n">
        <f aca="false">COUNTIFS(d_Marca,$A69,d_Subest,AI$7)</f>
        <v>0</v>
      </c>
      <c r="AJ69" s="17" t="n">
        <f aca="false">COUNTIFS(d_Marca,$A69,d_Subest,AJ$7)</f>
        <v>0</v>
      </c>
      <c r="AK69" s="17" t="n">
        <f aca="false">COUNTIFS(d_Marca,$A69,d_Subest,AK$7)</f>
        <v>0</v>
      </c>
      <c r="AL69" s="17" t="n">
        <f aca="false">COUNTIFS(d_Marca,$A69,d_Subest,AL$7)</f>
        <v>0</v>
      </c>
      <c r="AM69" s="17" t="n">
        <f aca="false">SUM(AC69:AL69)</f>
        <v>0</v>
      </c>
      <c r="AN69" s="17" t="n">
        <f aca="false">COUNTIFS(d_Marca,$A69,d_Subest,AN$7)</f>
        <v>0</v>
      </c>
      <c r="AO69" s="17" t="n">
        <f aca="false">COUNTIFS(d_Marca,$A69,d_Subest,AO$7)</f>
        <v>0</v>
      </c>
      <c r="AP69" s="17" t="n">
        <f aca="false">COUNTIFS(d_Marca,$A69,d_Subest,AP$7)</f>
        <v>0</v>
      </c>
      <c r="AQ69" s="17" t="n">
        <f aca="false">COUNTIFS(d_Marca,$A69,d_Subest,AQ$7)</f>
        <v>0</v>
      </c>
      <c r="AR69" s="17" t="n">
        <f aca="false">COUNTIFS(d_Marca,$A69,d_Subest,AR$7)</f>
        <v>0</v>
      </c>
      <c r="AS69" s="17" t="n">
        <f aca="false">COUNTIFS(d_Marca,$A69,d_Subest,AS$7)</f>
        <v>0</v>
      </c>
      <c r="AT69" s="17" t="n">
        <f aca="false">COUNTIFS(d_Marca,$A69,d_Subest,AT$7)</f>
        <v>0</v>
      </c>
      <c r="AU69" s="17" t="n">
        <f aca="false">COUNTIFS(d_Marca,$A69,d_Subest,AU$7)</f>
        <v>0</v>
      </c>
      <c r="AV69" s="17" t="n">
        <f aca="false">COUNTIFS(d_Marca,$A69,d_Subest,AV$7)</f>
        <v>0</v>
      </c>
      <c r="AW69" s="17" t="n">
        <f aca="false">COUNTIFS(d_Marca,$A69,d_Subest,AW$7)</f>
        <v>0</v>
      </c>
      <c r="AX69" s="17" t="n">
        <f aca="false">SUM(AN69:AW69)</f>
        <v>0</v>
      </c>
      <c r="AY69" s="17" t="n">
        <f aca="false">COUNTIFS(d_Marca,$A69,d_Subest,AY$7)</f>
        <v>0</v>
      </c>
      <c r="AZ69" s="17" t="n">
        <f aca="false">E69+H69+K69+P69+V69+AB69+AM69+AX69+AY69</f>
        <v>6</v>
      </c>
    </row>
    <row r="70" customFormat="false" ht="15" hidden="false" customHeight="false" outlineLevel="0" collapsed="false">
      <c r="A70" s="19" t="s">
        <v>99</v>
      </c>
      <c r="B70" s="20" t="s">
        <v>98</v>
      </c>
      <c r="C70" s="21" t="n">
        <f aca="false">COUNTIFS(d_Marca,$A70,d_Modelo,$B70,d_Subest,C$7)</f>
        <v>0</v>
      </c>
      <c r="D70" s="21" t="n">
        <f aca="false">COUNTIFS(d_Marca,$A70,d_Modelo,$B70,d_Subest,D$7)</f>
        <v>0</v>
      </c>
      <c r="E70" s="17" t="n">
        <f aca="false">SUM(C70:D70)</f>
        <v>0</v>
      </c>
      <c r="F70" s="21" t="n">
        <f aca="false">COUNTIFS(d_Marca,$A70,d_Modelo,$B70,d_Subest,F$7)</f>
        <v>0</v>
      </c>
      <c r="G70" s="21" t="n">
        <f aca="false">COUNTIFS(d_Marca,$A70,d_Modelo,$B70,d_Subest,G$7)</f>
        <v>0</v>
      </c>
      <c r="H70" s="17" t="n">
        <f aca="false">SUM(F70:G70)</f>
        <v>0</v>
      </c>
      <c r="I70" s="21" t="n">
        <f aca="false">COUNTIFS(d_Marca,$A70,d_Modelo,$B70,d_Subest,I$7)</f>
        <v>0</v>
      </c>
      <c r="J70" s="21" t="n">
        <f aca="false">COUNTIFS(d_Marca,$A70,d_Modelo,$B70,d_Subest,J$7)</f>
        <v>0</v>
      </c>
      <c r="K70" s="17" t="n">
        <f aca="false">SUM(I70:J70)</f>
        <v>0</v>
      </c>
      <c r="L70" s="21" t="n">
        <f aca="false">COUNTIFS(d_Marca,$A70,d_Modelo,$B70,d_Subest,L$7)</f>
        <v>0</v>
      </c>
      <c r="M70" s="21" t="n">
        <f aca="false">COUNTIFS(d_Marca,$A70,d_Modelo,$B70,d_Subest,M$7)</f>
        <v>0</v>
      </c>
      <c r="N70" s="21" t="n">
        <f aca="false">COUNTIFS(d_Marca,$A70,d_Modelo,$B70,d_Subest,N$7)</f>
        <v>0</v>
      </c>
      <c r="O70" s="21" t="n">
        <f aca="false">COUNTIFS(d_Marca,$A70,d_Modelo,$B70,d_Subest,O$7)</f>
        <v>0</v>
      </c>
      <c r="P70" s="17" t="n">
        <f aca="false">SUM(L70:O70)</f>
        <v>0</v>
      </c>
      <c r="Q70" s="21" t="n">
        <f aca="false">COUNTIFS(d_Marca,$A70,d_Modelo,$B70,d_Subest,Q$7)</f>
        <v>0</v>
      </c>
      <c r="R70" s="21" t="n">
        <f aca="false">COUNTIFS(d_Marca,$A70,d_Modelo,$B70,d_Subest,R$7)</f>
        <v>0</v>
      </c>
      <c r="S70" s="21" t="n">
        <f aca="false">COUNTIFS(d_Marca,$A70,d_Modelo,$B70,d_Subest,S$7)</f>
        <v>0</v>
      </c>
      <c r="T70" s="21" t="n">
        <f aca="false">COUNTIFS(d_Marca,$A70,d_Modelo,$B70,d_Subest,T$7)</f>
        <v>6</v>
      </c>
      <c r="U70" s="21" t="n">
        <f aca="false">COUNTIFS(d_Marca,$A70,d_Modelo,$B70,d_Subest,U$7)</f>
        <v>0</v>
      </c>
      <c r="V70" s="17" t="n">
        <f aca="false">SUM(Q70:U70)</f>
        <v>6</v>
      </c>
      <c r="W70" s="21" t="n">
        <f aca="false">COUNTIFS(d_Marca,$A70,d_Modelo,$B70,d_Subest,W$7)</f>
        <v>0</v>
      </c>
      <c r="X70" s="21" t="n">
        <f aca="false">COUNTIFS(d_Marca,$A70,d_Modelo,$B70,d_Subest,X$7)</f>
        <v>0</v>
      </c>
      <c r="Y70" s="21" t="n">
        <f aca="false">COUNTIFS(d_Marca,$A70,d_Modelo,$B70,d_Subest,Y$7)</f>
        <v>0</v>
      </c>
      <c r="Z70" s="21" t="n">
        <f aca="false">COUNTIFS(d_Marca,$A70,d_Modelo,$B70,d_Subest,Z$7)</f>
        <v>0</v>
      </c>
      <c r="AA70" s="21" t="n">
        <f aca="false">COUNTIFS(d_Marca,$A70,d_Modelo,$B70,d_Subest,AA$7)</f>
        <v>0</v>
      </c>
      <c r="AB70" s="17" t="n">
        <f aca="false">SUM(W70:AA70)</f>
        <v>0</v>
      </c>
      <c r="AC70" s="21" t="n">
        <f aca="false">COUNTIFS(d_Marca,$A70,d_Modelo,$B70,d_Subest,AC$7)</f>
        <v>0</v>
      </c>
      <c r="AD70" s="21" t="n">
        <f aca="false">COUNTIFS(d_Marca,$A70,d_Modelo,$B70,d_Subest,AD$7)</f>
        <v>0</v>
      </c>
      <c r="AE70" s="21" t="n">
        <f aca="false">COUNTIFS(d_Marca,$A70,d_Modelo,$B70,d_Subest,AE$7)</f>
        <v>0</v>
      </c>
      <c r="AF70" s="21" t="n">
        <f aca="false">COUNTIFS(d_Marca,$A70,d_Modelo,$B70,d_Subest,AF$7)</f>
        <v>0</v>
      </c>
      <c r="AG70" s="21" t="n">
        <f aca="false">COUNTIFS(d_Marca,$A70,d_Modelo,$B70,d_Subest,AG$7)</f>
        <v>0</v>
      </c>
      <c r="AH70" s="21" t="n">
        <f aca="false">COUNTIFS(d_Marca,$A70,d_Modelo,$B70,d_Subest,AH$7)</f>
        <v>0</v>
      </c>
      <c r="AI70" s="21" t="n">
        <f aca="false">COUNTIFS(d_Marca,$A70,d_Modelo,$B70,d_Subest,AI$7)</f>
        <v>0</v>
      </c>
      <c r="AJ70" s="21" t="n">
        <f aca="false">COUNTIFS(d_Marca,$A70,d_Modelo,$B70,d_Subest,AJ$7)</f>
        <v>0</v>
      </c>
      <c r="AK70" s="21" t="n">
        <f aca="false">COUNTIFS(d_Marca,$A70,d_Modelo,$B70,d_Subest,AK$7)</f>
        <v>0</v>
      </c>
      <c r="AL70" s="21" t="n">
        <f aca="false">COUNTIFS(d_Marca,$A70,d_Modelo,$B70,d_Subest,AL$7)</f>
        <v>0</v>
      </c>
      <c r="AM70" s="17" t="n">
        <f aca="false">SUM(AC70:AL70)</f>
        <v>0</v>
      </c>
      <c r="AN70" s="21" t="n">
        <f aca="false">COUNTIFS(d_Marca,$A70,d_Modelo,$B70,d_Subest,AN$7)</f>
        <v>0</v>
      </c>
      <c r="AO70" s="21" t="n">
        <f aca="false">COUNTIFS(d_Marca,$A70,d_Modelo,$B70,d_Subest,AO$7)</f>
        <v>0</v>
      </c>
      <c r="AP70" s="21" t="n">
        <f aca="false">COUNTIFS(d_Marca,$A70,d_Modelo,$B70,d_Subest,AP$7)</f>
        <v>0</v>
      </c>
      <c r="AQ70" s="21" t="n">
        <f aca="false">COUNTIFS(d_Marca,$A70,d_Modelo,$B70,d_Subest,AQ$7)</f>
        <v>0</v>
      </c>
      <c r="AR70" s="21" t="n">
        <f aca="false">COUNTIFS(d_Marca,$A70,d_Modelo,$B70,d_Subest,AR$7)</f>
        <v>0</v>
      </c>
      <c r="AS70" s="21" t="n">
        <f aca="false">COUNTIFS(d_Marca,$A70,d_Modelo,$B70,d_Subest,AS$7)</f>
        <v>0</v>
      </c>
      <c r="AT70" s="21" t="n">
        <f aca="false">COUNTIFS(d_Marca,$A70,d_Modelo,$B70,d_Subest,AT$7)</f>
        <v>0</v>
      </c>
      <c r="AU70" s="21" t="n">
        <f aca="false">COUNTIFS(d_Marca,$A70,d_Modelo,$B70,d_Subest,AU$7)</f>
        <v>0</v>
      </c>
      <c r="AV70" s="21" t="n">
        <f aca="false">COUNTIFS(d_Marca,$A70,d_Modelo,$B70,d_Subest,AV$7)</f>
        <v>0</v>
      </c>
      <c r="AW70" s="21" t="n">
        <f aca="false">COUNTIFS(d_Marca,$A70,d_Modelo,$B70,d_Subest,AW$7)</f>
        <v>0</v>
      </c>
      <c r="AX70" s="17" t="n">
        <f aca="false">SUM(AN70:AW70)</f>
        <v>0</v>
      </c>
      <c r="AY70" s="21" t="n">
        <f aca="false">COUNTIFS(d_Marca,$A70,d_Modelo,$B70,d_Subest,AY$7)</f>
        <v>0</v>
      </c>
      <c r="AZ70" s="17" t="n">
        <f aca="false">E70+H70+K70+P70+V70+AB70+AM70+AX70+AY70</f>
        <v>6</v>
      </c>
    </row>
    <row r="71" customFormat="false" ht="15" hidden="false" customHeight="false" outlineLevel="0" collapsed="false">
      <c r="A71" s="16" t="s">
        <v>101</v>
      </c>
      <c r="B71" s="16" t="s">
        <v>102</v>
      </c>
      <c r="C71" s="17" t="n">
        <f aca="false">COUNTIFS(d_Marca,$A71,d_Subest,C$7)</f>
        <v>0</v>
      </c>
      <c r="D71" s="17" t="n">
        <f aca="false">COUNTIFS(d_Marca,$A71,d_Subest,D$7)</f>
        <v>0</v>
      </c>
      <c r="E71" s="17" t="n">
        <f aca="false">SUM(C71:D71)</f>
        <v>0</v>
      </c>
      <c r="F71" s="17" t="n">
        <f aca="false">COUNTIFS(d_Marca,$A71,d_Subest,F$7)</f>
        <v>0</v>
      </c>
      <c r="G71" s="17" t="n">
        <f aca="false">COUNTIFS(d_Marca,$A71,d_Subest,G$7)</f>
        <v>0</v>
      </c>
      <c r="H71" s="17" t="n">
        <f aca="false">SUM(F71:G71)</f>
        <v>0</v>
      </c>
      <c r="I71" s="17" t="n">
        <f aca="false">COUNTIFS(d_Marca,$A71,d_Subest,I$7)</f>
        <v>0</v>
      </c>
      <c r="J71" s="17" t="n">
        <f aca="false">COUNTIFS(d_Marca,$A71,d_Subest,J$7)</f>
        <v>0</v>
      </c>
      <c r="K71" s="17" t="n">
        <f aca="false">SUM(I71:J71)</f>
        <v>0</v>
      </c>
      <c r="L71" s="17" t="n">
        <f aca="false">COUNTIFS(d_Marca,$A71,d_Subest,L$7)</f>
        <v>0</v>
      </c>
      <c r="M71" s="17" t="n">
        <f aca="false">COUNTIFS(d_Marca,$A71,d_Subest,M$7)</f>
        <v>0</v>
      </c>
      <c r="N71" s="17" t="n">
        <f aca="false">COUNTIFS(d_Marca,$A71,d_Subest,N$7)</f>
        <v>0</v>
      </c>
      <c r="O71" s="17" t="n">
        <f aca="false">COUNTIFS(d_Marca,$A71,d_Subest,O$7)</f>
        <v>0</v>
      </c>
      <c r="P71" s="17" t="n">
        <f aca="false">SUM(L71:O71)</f>
        <v>0</v>
      </c>
      <c r="Q71" s="17" t="n">
        <f aca="false">COUNTIFS(d_Marca,$A71,d_Subest,Q$7)</f>
        <v>0</v>
      </c>
      <c r="R71" s="17" t="n">
        <f aca="false">COUNTIFS(d_Marca,$A71,d_Subest,R$7)</f>
        <v>0</v>
      </c>
      <c r="S71" s="17" t="n">
        <f aca="false">COUNTIFS(d_Marca,$A71,d_Subest,S$7)</f>
        <v>0</v>
      </c>
      <c r="T71" s="17" t="n">
        <f aca="false">COUNTIFS(d_Marca,$A71,d_Subest,T$7)</f>
        <v>0</v>
      </c>
      <c r="U71" s="17" t="n">
        <f aca="false">COUNTIFS(d_Marca,$A71,d_Subest,U$7)</f>
        <v>0</v>
      </c>
      <c r="V71" s="17" t="n">
        <f aca="false">SUM(Q71:U71)</f>
        <v>0</v>
      </c>
      <c r="W71" s="17" t="n">
        <f aca="false">COUNTIFS(d_Marca,$A71,d_Subest,W$7)</f>
        <v>27</v>
      </c>
      <c r="X71" s="17" t="n">
        <f aca="false">COUNTIFS(d_Marca,$A71,d_Subest,X$7)</f>
        <v>0</v>
      </c>
      <c r="Y71" s="17" t="n">
        <f aca="false">COUNTIFS(d_Marca,$A71,d_Subest,Y$7)</f>
        <v>0</v>
      </c>
      <c r="Z71" s="17" t="n">
        <f aca="false">COUNTIFS(d_Marca,$A71,d_Subest,Z$7)</f>
        <v>0</v>
      </c>
      <c r="AA71" s="17" t="n">
        <f aca="false">COUNTIFS(d_Marca,$A71,d_Subest,AA$7)</f>
        <v>0</v>
      </c>
      <c r="AB71" s="17" t="n">
        <f aca="false">SUM(W71:AA71)</f>
        <v>27</v>
      </c>
      <c r="AC71" s="17" t="n">
        <f aca="false">COUNTIFS(d_Marca,$A71,d_Subest,AC$7)</f>
        <v>0</v>
      </c>
      <c r="AD71" s="17" t="n">
        <f aca="false">COUNTIFS(d_Marca,$A71,d_Subest,AD$7)</f>
        <v>0</v>
      </c>
      <c r="AE71" s="17" t="n">
        <f aca="false">COUNTIFS(d_Marca,$A71,d_Subest,AE$7)</f>
        <v>0</v>
      </c>
      <c r="AF71" s="17" t="n">
        <f aca="false">COUNTIFS(d_Marca,$A71,d_Subest,AF$7)</f>
        <v>0</v>
      </c>
      <c r="AG71" s="17" t="n">
        <f aca="false">COUNTIFS(d_Marca,$A71,d_Subest,AG$7)</f>
        <v>0</v>
      </c>
      <c r="AH71" s="17" t="n">
        <f aca="false">COUNTIFS(d_Marca,$A71,d_Subest,AH$7)</f>
        <v>0</v>
      </c>
      <c r="AI71" s="17" t="n">
        <f aca="false">COUNTIFS(d_Marca,$A71,d_Subest,AI$7)</f>
        <v>0</v>
      </c>
      <c r="AJ71" s="17" t="n">
        <f aca="false">COUNTIFS(d_Marca,$A71,d_Subest,AJ$7)</f>
        <v>0</v>
      </c>
      <c r="AK71" s="17" t="n">
        <f aca="false">COUNTIFS(d_Marca,$A71,d_Subest,AK$7)</f>
        <v>0</v>
      </c>
      <c r="AL71" s="17" t="n">
        <f aca="false">COUNTIFS(d_Marca,$A71,d_Subest,AL$7)</f>
        <v>0</v>
      </c>
      <c r="AM71" s="17" t="n">
        <f aca="false">SUM(AC71:AL71)</f>
        <v>0</v>
      </c>
      <c r="AN71" s="17" t="n">
        <f aca="false">COUNTIFS(d_Marca,$A71,d_Subest,AN$7)</f>
        <v>0</v>
      </c>
      <c r="AO71" s="17" t="n">
        <f aca="false">COUNTIFS(d_Marca,$A71,d_Subest,AO$7)</f>
        <v>0</v>
      </c>
      <c r="AP71" s="17" t="n">
        <f aca="false">COUNTIFS(d_Marca,$A71,d_Subest,AP$7)</f>
        <v>0</v>
      </c>
      <c r="AQ71" s="17" t="n">
        <f aca="false">COUNTIFS(d_Marca,$A71,d_Subest,AQ$7)</f>
        <v>0</v>
      </c>
      <c r="AR71" s="17" t="n">
        <f aca="false">COUNTIFS(d_Marca,$A71,d_Subest,AR$7)</f>
        <v>12</v>
      </c>
      <c r="AS71" s="17" t="n">
        <f aca="false">COUNTIFS(d_Marca,$A71,d_Subest,AS$7)</f>
        <v>0</v>
      </c>
      <c r="AT71" s="17" t="n">
        <f aca="false">COUNTIFS(d_Marca,$A71,d_Subest,AT$7)</f>
        <v>0</v>
      </c>
      <c r="AU71" s="17" t="n">
        <f aca="false">COUNTIFS(d_Marca,$A71,d_Subest,AU$7)</f>
        <v>1</v>
      </c>
      <c r="AV71" s="17" t="n">
        <f aca="false">COUNTIFS(d_Marca,$A71,d_Subest,AV$7)</f>
        <v>0</v>
      </c>
      <c r="AW71" s="17" t="n">
        <f aca="false">COUNTIFS(d_Marca,$A71,d_Subest,AW$7)</f>
        <v>0</v>
      </c>
      <c r="AX71" s="17" t="n">
        <f aca="false">SUM(AN71:AW71)</f>
        <v>13</v>
      </c>
      <c r="AY71" s="17" t="n">
        <f aca="false">COUNTIFS(d_Marca,$A71,d_Subest,AY$7)</f>
        <v>11</v>
      </c>
      <c r="AZ71" s="17" t="n">
        <f aca="false">E71+H71+K71+P71+V71+AB71+AM71+AX71+AY71</f>
        <v>51</v>
      </c>
    </row>
    <row r="72" customFormat="false" ht="15" hidden="false" customHeight="false" outlineLevel="0" collapsed="false">
      <c r="A72" s="19" t="s">
        <v>101</v>
      </c>
      <c r="B72" s="20" t="s">
        <v>101</v>
      </c>
      <c r="C72" s="21" t="n">
        <f aca="false">COUNTIFS(d_Marca,$A72,d_Modelo,$B72,d_Subest,C$7)</f>
        <v>0</v>
      </c>
      <c r="D72" s="21" t="n">
        <f aca="false">COUNTIFS(d_Marca,$A72,d_Modelo,$B72,d_Subest,D$7)</f>
        <v>0</v>
      </c>
      <c r="E72" s="17" t="n">
        <f aca="false">SUM(C72:D72)</f>
        <v>0</v>
      </c>
      <c r="F72" s="21" t="n">
        <f aca="false">COUNTIFS(d_Marca,$A72,d_Modelo,$B72,d_Subest,F$7)</f>
        <v>0</v>
      </c>
      <c r="G72" s="21" t="n">
        <f aca="false">COUNTIFS(d_Marca,$A72,d_Modelo,$B72,d_Subest,G$7)</f>
        <v>0</v>
      </c>
      <c r="H72" s="17" t="n">
        <f aca="false">SUM(F72:G72)</f>
        <v>0</v>
      </c>
      <c r="I72" s="21" t="n">
        <f aca="false">COUNTIFS(d_Marca,$A72,d_Modelo,$B72,d_Subest,I$7)</f>
        <v>0</v>
      </c>
      <c r="J72" s="21" t="n">
        <f aca="false">COUNTIFS(d_Marca,$A72,d_Modelo,$B72,d_Subest,J$7)</f>
        <v>0</v>
      </c>
      <c r="K72" s="17" t="n">
        <f aca="false">SUM(I72:J72)</f>
        <v>0</v>
      </c>
      <c r="L72" s="21" t="n">
        <f aca="false">COUNTIFS(d_Marca,$A72,d_Modelo,$B72,d_Subest,L$7)</f>
        <v>0</v>
      </c>
      <c r="M72" s="21" t="n">
        <f aca="false">COUNTIFS(d_Marca,$A72,d_Modelo,$B72,d_Subest,M$7)</f>
        <v>0</v>
      </c>
      <c r="N72" s="21" t="n">
        <f aca="false">COUNTIFS(d_Marca,$A72,d_Modelo,$B72,d_Subest,N$7)</f>
        <v>0</v>
      </c>
      <c r="O72" s="21" t="n">
        <f aca="false">COUNTIFS(d_Marca,$A72,d_Modelo,$B72,d_Subest,O$7)</f>
        <v>0</v>
      </c>
      <c r="P72" s="17" t="n">
        <f aca="false">SUM(L72:O72)</f>
        <v>0</v>
      </c>
      <c r="Q72" s="21" t="n">
        <f aca="false">COUNTIFS(d_Marca,$A72,d_Modelo,$B72,d_Subest,Q$7)</f>
        <v>0</v>
      </c>
      <c r="R72" s="21" t="n">
        <f aca="false">COUNTIFS(d_Marca,$A72,d_Modelo,$B72,d_Subest,R$7)</f>
        <v>0</v>
      </c>
      <c r="S72" s="21" t="n">
        <f aca="false">COUNTIFS(d_Marca,$A72,d_Modelo,$B72,d_Subest,S$7)</f>
        <v>0</v>
      </c>
      <c r="T72" s="21" t="n">
        <f aca="false">COUNTIFS(d_Marca,$A72,d_Modelo,$B72,d_Subest,T$7)</f>
        <v>0</v>
      </c>
      <c r="U72" s="21" t="n">
        <f aca="false">COUNTIFS(d_Marca,$A72,d_Modelo,$B72,d_Subest,U$7)</f>
        <v>0</v>
      </c>
      <c r="V72" s="17" t="n">
        <f aca="false">SUM(Q72:U72)</f>
        <v>0</v>
      </c>
      <c r="W72" s="21" t="n">
        <f aca="false">COUNTIFS(d_Marca,$A72,d_Modelo,$B72,d_Subest,W$7)</f>
        <v>27</v>
      </c>
      <c r="X72" s="21" t="n">
        <f aca="false">COUNTIFS(d_Marca,$A72,d_Modelo,$B72,d_Subest,X$7)</f>
        <v>0</v>
      </c>
      <c r="Y72" s="21" t="n">
        <f aca="false">COUNTIFS(d_Marca,$A72,d_Modelo,$B72,d_Subest,Y$7)</f>
        <v>0</v>
      </c>
      <c r="Z72" s="21" t="n">
        <f aca="false">COUNTIFS(d_Marca,$A72,d_Modelo,$B72,d_Subest,Z$7)</f>
        <v>0</v>
      </c>
      <c r="AA72" s="21" t="n">
        <f aca="false">COUNTIFS(d_Marca,$A72,d_Modelo,$B72,d_Subest,AA$7)</f>
        <v>0</v>
      </c>
      <c r="AB72" s="17" t="n">
        <f aca="false">SUM(W72:AA72)</f>
        <v>27</v>
      </c>
      <c r="AC72" s="21" t="n">
        <f aca="false">COUNTIFS(d_Marca,$A72,d_Modelo,$B72,d_Subest,AC$7)</f>
        <v>0</v>
      </c>
      <c r="AD72" s="21" t="n">
        <f aca="false">COUNTIFS(d_Marca,$A72,d_Modelo,$B72,d_Subest,AD$7)</f>
        <v>0</v>
      </c>
      <c r="AE72" s="21" t="n">
        <f aca="false">COUNTIFS(d_Marca,$A72,d_Modelo,$B72,d_Subest,AE$7)</f>
        <v>0</v>
      </c>
      <c r="AF72" s="21" t="n">
        <f aca="false">COUNTIFS(d_Marca,$A72,d_Modelo,$B72,d_Subest,AF$7)</f>
        <v>0</v>
      </c>
      <c r="AG72" s="21" t="n">
        <f aca="false">COUNTIFS(d_Marca,$A72,d_Modelo,$B72,d_Subest,AG$7)</f>
        <v>0</v>
      </c>
      <c r="AH72" s="21" t="n">
        <f aca="false">COUNTIFS(d_Marca,$A72,d_Modelo,$B72,d_Subest,AH$7)</f>
        <v>0</v>
      </c>
      <c r="AI72" s="21" t="n">
        <f aca="false">COUNTIFS(d_Marca,$A72,d_Modelo,$B72,d_Subest,AI$7)</f>
        <v>0</v>
      </c>
      <c r="AJ72" s="21" t="n">
        <f aca="false">COUNTIFS(d_Marca,$A72,d_Modelo,$B72,d_Subest,AJ$7)</f>
        <v>0</v>
      </c>
      <c r="AK72" s="21" t="n">
        <f aca="false">COUNTIFS(d_Marca,$A72,d_Modelo,$B72,d_Subest,AK$7)</f>
        <v>0</v>
      </c>
      <c r="AL72" s="21" t="n">
        <f aca="false">COUNTIFS(d_Marca,$A72,d_Modelo,$B72,d_Subest,AL$7)</f>
        <v>0</v>
      </c>
      <c r="AM72" s="17" t="n">
        <f aca="false">SUM(AC72:AL72)</f>
        <v>0</v>
      </c>
      <c r="AN72" s="21" t="n">
        <f aca="false">COUNTIFS(d_Marca,$A72,d_Modelo,$B72,d_Subest,AN$7)</f>
        <v>0</v>
      </c>
      <c r="AO72" s="21" t="n">
        <f aca="false">COUNTIFS(d_Marca,$A72,d_Modelo,$B72,d_Subest,AO$7)</f>
        <v>0</v>
      </c>
      <c r="AP72" s="21" t="n">
        <f aca="false">COUNTIFS(d_Marca,$A72,d_Modelo,$B72,d_Subest,AP$7)</f>
        <v>0</v>
      </c>
      <c r="AQ72" s="21" t="n">
        <f aca="false">COUNTIFS(d_Marca,$A72,d_Modelo,$B72,d_Subest,AQ$7)</f>
        <v>0</v>
      </c>
      <c r="AR72" s="21" t="n">
        <f aca="false">COUNTIFS(d_Marca,$A72,d_Modelo,$B72,d_Subest,AR$7)</f>
        <v>12</v>
      </c>
      <c r="AS72" s="21" t="n">
        <f aca="false">COUNTIFS(d_Marca,$A72,d_Modelo,$B72,d_Subest,AS$7)</f>
        <v>0</v>
      </c>
      <c r="AT72" s="21" t="n">
        <f aca="false">COUNTIFS(d_Marca,$A72,d_Modelo,$B72,d_Subest,AT$7)</f>
        <v>0</v>
      </c>
      <c r="AU72" s="21" t="n">
        <f aca="false">COUNTIFS(d_Marca,$A72,d_Modelo,$B72,d_Subest,AU$7)</f>
        <v>1</v>
      </c>
      <c r="AV72" s="21" t="n">
        <f aca="false">COUNTIFS(d_Marca,$A72,d_Modelo,$B72,d_Subest,AV$7)</f>
        <v>0</v>
      </c>
      <c r="AW72" s="21" t="n">
        <f aca="false">COUNTIFS(d_Marca,$A72,d_Modelo,$B72,d_Subest,AW$7)</f>
        <v>0</v>
      </c>
      <c r="AX72" s="17" t="n">
        <f aca="false">SUM(AN72:AW72)</f>
        <v>13</v>
      </c>
      <c r="AY72" s="21" t="n">
        <f aca="false">COUNTIFS(d_Marca,$A72,d_Modelo,$B72,d_Subest,AY$7)</f>
        <v>11</v>
      </c>
      <c r="AZ72" s="17" t="n">
        <f aca="false">E72+H72+K72+P72+V72+AB72+AM72+AX72+AY72</f>
        <v>51</v>
      </c>
    </row>
    <row r="73" customFormat="false" ht="15" hidden="false" customHeight="false" outlineLevel="0" collapsed="false">
      <c r="A73" s="24" t="s">
        <v>103</v>
      </c>
      <c r="B73" s="24"/>
      <c r="C73" s="25" t="n">
        <f aca="false">C9+C29+C36+C47+C60+C63+C65+C67+C69+C71</f>
        <v>68</v>
      </c>
      <c r="D73" s="25" t="n">
        <f aca="false">D9+D29+D36+D47+D60+D63+D65+D67+D69+D71</f>
        <v>53</v>
      </c>
      <c r="E73" s="25" t="n">
        <f aca="false">E9+E29+E36+E47+E60+E63+E65+E67+E69+E71</f>
        <v>121</v>
      </c>
      <c r="F73" s="25" t="n">
        <f aca="false">F9+F29+F36+F47+F60+F63+F65+F67+F69+F71</f>
        <v>46</v>
      </c>
      <c r="G73" s="25" t="n">
        <f aca="false">G9+G29+G36+G47+G60+G63+G65+G67+G69+G71</f>
        <v>38</v>
      </c>
      <c r="H73" s="25" t="n">
        <f aca="false">H9+H29+H36+H47+H60+H63+H65+H67+H69+H71</f>
        <v>84</v>
      </c>
      <c r="I73" s="25" t="n">
        <f aca="false">I9+I29+I36+I47+I60+I63+I65+I67+I69+I71</f>
        <v>45</v>
      </c>
      <c r="J73" s="25" t="n">
        <f aca="false">J9+J29+J36+J47+J60+J63+J65+J67+J69+J71</f>
        <v>49</v>
      </c>
      <c r="K73" s="25" t="n">
        <f aca="false">K9+K29+K36+K47+K60+K63+K65+K67+K69+K71</f>
        <v>94</v>
      </c>
      <c r="L73" s="25" t="n">
        <f aca="false">L9+L29+L36+L47+L60+L63+L65+L67+L69+L71</f>
        <v>32</v>
      </c>
      <c r="M73" s="25" t="n">
        <f aca="false">M9+M29+M36+M47+M60+M63+M65+M67+M69+M71</f>
        <v>38</v>
      </c>
      <c r="N73" s="25" t="n">
        <f aca="false">N9+N29+N36+N47+N60+N63+N65+N67+N69+N71</f>
        <v>34</v>
      </c>
      <c r="O73" s="25" t="n">
        <f aca="false">O9+O29+O36+O47+O60+O63+O65+O67+O69+O71</f>
        <v>34</v>
      </c>
      <c r="P73" s="25" t="n">
        <f aca="false">P9+P29+P36+P47+P60+P63+P65+P67+P69+P71</f>
        <v>138</v>
      </c>
      <c r="Q73" s="25" t="n">
        <f aca="false">Q9+Q29+Q36+Q47+Q60+Q63+Q65+Q67+Q69+Q71</f>
        <v>34</v>
      </c>
      <c r="R73" s="25" t="n">
        <f aca="false">R9+R29+R36+R47+R60+R63+R65+R67+R69+R71</f>
        <v>34</v>
      </c>
      <c r="S73" s="25" t="n">
        <f aca="false">S9+S29+S36+S47+S60+S63+S65+S67+S69+S71</f>
        <v>2</v>
      </c>
      <c r="T73" s="25" t="n">
        <f aca="false">T9+T29+T36+T47+T60+T63+T65+T67+T69+T71</f>
        <v>45</v>
      </c>
      <c r="U73" s="25" t="n">
        <f aca="false">U9+U29+U36+U47+U60+U63+U65+U67+U69+U71</f>
        <v>44</v>
      </c>
      <c r="V73" s="25" t="n">
        <f aca="false">V9+V29+V36+V47+V60+V63+V65+V67+V69+V71</f>
        <v>159</v>
      </c>
      <c r="W73" s="25" t="n">
        <f aca="false">W9+W29+W36+W47+W60+W63+W65+W67+W69+W71</f>
        <v>61</v>
      </c>
      <c r="X73" s="25" t="n">
        <f aca="false">X9+X29+X36+X47+X60+X63+X65+X67+X69+X71</f>
        <v>37</v>
      </c>
      <c r="Y73" s="25" t="n">
        <f aca="false">Y9+Y29+Y36+Y47+Y60+Y63+Y65+Y67+Y69+Y71</f>
        <v>32</v>
      </c>
      <c r="Z73" s="25" t="n">
        <f aca="false">Z9+Z29+Z36+Z47+Z60+Z63+Z65+Z67+Z69+Z71</f>
        <v>40</v>
      </c>
      <c r="AA73" s="25" t="n">
        <f aca="false">AA9+AA29+AA36+AA47+AA60+AA63+AA65+AA67+AA69+AA71</f>
        <v>44</v>
      </c>
      <c r="AB73" s="25" t="n">
        <f aca="false">AB9+AB29+AB36+AB47+AB60+AB63+AB65+AB67+AB69+AB71</f>
        <v>214</v>
      </c>
      <c r="AC73" s="25" t="n">
        <f aca="false">AC9+AC29+AC36+AC47+AC60+AC63+AC65+AC67+AC69+AC71</f>
        <v>6</v>
      </c>
      <c r="AD73" s="25" t="n">
        <f aca="false">AD9+AD29+AD36+AD47+AD60+AD63+AD65+AD67+AD69+AD71</f>
        <v>19</v>
      </c>
      <c r="AE73" s="25" t="n">
        <f aca="false">AE9+AE29+AE36+AE47+AE60+AE63+AE65+AE67+AE69+AE71</f>
        <v>11</v>
      </c>
      <c r="AF73" s="25" t="n">
        <f aca="false">AF9+AF29+AF36+AF47+AF60+AF63+AF65+AF67+AF69+AF71</f>
        <v>8</v>
      </c>
      <c r="AG73" s="25" t="n">
        <f aca="false">AG9+AG29+AG36+AG47+AG60+AG63+AG65+AG67+AG69+AG71</f>
        <v>21</v>
      </c>
      <c r="AH73" s="25" t="n">
        <f aca="false">AH9+AH29+AH36+AH47+AH60+AH63+AH65+AH67+AH69+AH71</f>
        <v>9</v>
      </c>
      <c r="AI73" s="25" t="n">
        <f aca="false">AI9+AI29+AI36+AI47+AI60+AI63+AI65+AI67+AI69+AI71</f>
        <v>20</v>
      </c>
      <c r="AJ73" s="25" t="n">
        <f aca="false">AJ9+AJ29+AJ36+AJ47+AJ60+AJ63+AJ65+AJ67+AJ69+AJ71</f>
        <v>6</v>
      </c>
      <c r="AK73" s="25" t="n">
        <f aca="false">AK9+AK29+AK36+AK47+AK60+AK63+AK65+AK67+AK69+AK71</f>
        <v>6</v>
      </c>
      <c r="AL73" s="25" t="n">
        <f aca="false">AL9+AL29+AL36+AL47+AL60+AL63+AL65+AL67+AL69+AL71</f>
        <v>13</v>
      </c>
      <c r="AM73" s="25" t="n">
        <f aca="false">AM9+AM29+AM36+AM47+AM60+AM63+AM65+AM67+AM69+AM71</f>
        <v>119</v>
      </c>
      <c r="AN73" s="25" t="n">
        <f aca="false">AN9+AN29+AN36+AN47+AN60+AN63+AN65+AN67+AN69+AN71</f>
        <v>25</v>
      </c>
      <c r="AO73" s="25" t="n">
        <f aca="false">AO9+AO29+AO36+AO47+AO60+AO63+AO65+AO67+AO69+AO71</f>
        <v>30</v>
      </c>
      <c r="AP73" s="25" t="n">
        <f aca="false">AP9+AP29+AP36+AP47+AP60+AP63+AP65+AP67+AP69+AP71</f>
        <v>11</v>
      </c>
      <c r="AQ73" s="25" t="n">
        <f aca="false">AQ9+AQ29+AQ36+AQ47+AQ60+AQ63+AQ65+AQ67+AQ69+AQ71</f>
        <v>15</v>
      </c>
      <c r="AR73" s="25" t="n">
        <f aca="false">AR9+AR29+AR36+AR47+AR60+AR63+AR65+AR67+AR69+AR71</f>
        <v>12</v>
      </c>
      <c r="AS73" s="25" t="n">
        <f aca="false">AS9+AS29+AS36+AS47+AS60+AS63+AS65+AS67+AS69+AS71</f>
        <v>36</v>
      </c>
      <c r="AT73" s="25" t="n">
        <f aca="false">AT9+AT29+AT36+AT47+AT60+AT63+AT65+AT67+AT69+AT71</f>
        <v>7</v>
      </c>
      <c r="AU73" s="25" t="n">
        <f aca="false">AU9+AU29+AU36+AU47+AU60+AU63+AU65+AU67+AU69+AU71</f>
        <v>5</v>
      </c>
      <c r="AV73" s="25" t="n">
        <f aca="false">AV9+AV29+AV36+AV47+AV60+AV63+AV65+AV67+AV69+AV71</f>
        <v>186</v>
      </c>
      <c r="AW73" s="25" t="n">
        <f aca="false">AW9+AW29+AW36+AW47+AW60+AW63+AW65+AW67+AW69+AW71</f>
        <v>160</v>
      </c>
      <c r="AX73" s="25" t="n">
        <f aca="false">AX9+AX29+AX36+AX47+AX60+AX63+AX65+AX67+AX69+AX71</f>
        <v>487</v>
      </c>
      <c r="AY73" s="25" t="n">
        <f aca="false">AY9+AY29+AY36+AY47+AY60+AY63+AY65+AY67+AY69+AY71</f>
        <v>544</v>
      </c>
      <c r="AZ73" s="25" t="n">
        <f aca="false">AZ9+AZ29+AZ36+AZ47+AZ60+AZ63+AZ65+AZ67+AZ69+AZ71</f>
        <v>1960</v>
      </c>
    </row>
  </sheetData>
  <autoFilter ref="A6:AZ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20"/>
    <col collapsed="false" customWidth="true" hidden="false" outlineLevel="0" max="10" min="10" style="0" width="26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13"/>
    <col collapsed="false" customWidth="true" hidden="false" outlineLevel="0" max="16" min="16" style="0" width="20"/>
    <col collapsed="false" customWidth="true" hidden="false" outlineLevel="0" max="18" min="17" style="0" width="14"/>
    <col collapsed="false" customWidth="true" hidden="false" outlineLevel="0" max="20" min="19" style="0" width="20"/>
    <col collapsed="false" customWidth="true" hidden="false" outlineLevel="0" max="21" min="21" style="0" width="12"/>
    <col collapsed="false" customWidth="true" hidden="false" outlineLevel="0" max="22" min="22" style="0" width="26"/>
    <col collapsed="false" customWidth="true" hidden="false" outlineLevel="0" max="23" min="23" style="0" width="12"/>
  </cols>
  <sheetData>
    <row r="1" customFormat="false" ht="31.5" hidden="false" customHeight="true" outlineLevel="0" collapsed="false">
      <c r="A1" s="15" t="s">
        <v>203</v>
      </c>
      <c r="B1" s="15" t="s">
        <v>204</v>
      </c>
      <c r="C1" s="15" t="s">
        <v>205</v>
      </c>
      <c r="D1" s="15" t="s">
        <v>6</v>
      </c>
      <c r="E1" s="15" t="s">
        <v>206</v>
      </c>
      <c r="F1" s="15" t="s">
        <v>207</v>
      </c>
      <c r="G1" s="15" t="s">
        <v>208</v>
      </c>
      <c r="H1" s="15" t="s">
        <v>209</v>
      </c>
      <c r="I1" s="15" t="s">
        <v>210</v>
      </c>
      <c r="J1" s="15" t="s">
        <v>211</v>
      </c>
      <c r="K1" s="15" t="s">
        <v>212</v>
      </c>
      <c r="L1" s="15" t="s">
        <v>213</v>
      </c>
      <c r="M1" s="15" t="s">
        <v>214</v>
      </c>
      <c r="N1" s="30" t="s">
        <v>215</v>
      </c>
      <c r="O1" s="30" t="s">
        <v>216</v>
      </c>
      <c r="P1" s="30" t="s">
        <v>21</v>
      </c>
      <c r="Q1" s="30" t="s">
        <v>217</v>
      </c>
      <c r="R1" s="30" t="s">
        <v>18</v>
      </c>
      <c r="S1" s="30" t="s">
        <v>22</v>
      </c>
      <c r="T1" s="30" t="s">
        <v>23</v>
      </c>
      <c r="U1" s="30" t="s">
        <v>218</v>
      </c>
      <c r="V1" s="30" t="s">
        <v>219</v>
      </c>
      <c r="W1" s="30" t="s">
        <v>220</v>
      </c>
    </row>
    <row r="2" customFormat="false" ht="15" hidden="false" customHeight="false" outlineLevel="0" collapsed="false">
      <c r="A2" s="34" t="s">
        <v>221</v>
      </c>
      <c r="B2" s="34" t="s">
        <v>222</v>
      </c>
      <c r="C2" s="34" t="s">
        <v>223</v>
      </c>
      <c r="D2" s="34" t="s">
        <v>224</v>
      </c>
      <c r="E2" s="34" t="s">
        <v>225</v>
      </c>
      <c r="F2" s="34" t="s">
        <v>226</v>
      </c>
      <c r="G2" s="34" t="s">
        <v>227</v>
      </c>
      <c r="H2" s="34" t="s">
        <v>34</v>
      </c>
      <c r="I2" s="34" t="s">
        <v>36</v>
      </c>
      <c r="J2" s="34" t="s">
        <v>228</v>
      </c>
      <c r="K2" s="34" t="s">
        <v>229</v>
      </c>
      <c r="L2" s="34" t="s">
        <v>230</v>
      </c>
      <c r="M2" s="34" t="s">
        <v>231</v>
      </c>
      <c r="N2" s="34" t="str">
        <f aca="false">"Sector "&amp;VALUE(MID(D2,13,2))</f>
        <v>Sector 8</v>
      </c>
      <c r="O2" s="34" t="str">
        <f aca="false">IF(Dashboard!$C$5="Ubicación técnica",N2,"Sector "&amp;VALUE(RIGHT(G2,2)))</f>
        <v>Sector 8</v>
      </c>
      <c r="P2" s="34" t="str">
        <f aca="false">IF(MID(D2,15,3)="SEL","Subestación eléctrica","Área de proceso")</f>
        <v>Área de proceso</v>
      </c>
      <c r="Q2" s="34" t="str">
        <f aca="false">MID(D2,13,5)&amp;"|"&amp;MID(D2,19,5)</f>
        <v>08ACD|SSAGU</v>
      </c>
      <c r="R2" s="34" t="str">
        <f aca="false">IF(P2="Subestación eléctrica",IFERROR(INDEX(cat_SubN,MATCH(Q2,cat_SubK,0)),"SIN CATALOGAR"),"ÁREA DE PROCESO")</f>
        <v>ÁREA DE PROCESO</v>
      </c>
      <c r="S2" s="34" t="str">
        <f aca="false">IF(H2="","SIN DATO",IFERROR(INDEX(cat_MarcaN,MATCH(H2,cat_MarcaO,0)),H2))</f>
        <v>ABB</v>
      </c>
      <c r="T2" s="34" t="str">
        <f aca="false">IF(I2="","SIN DATO",IFERROR(INDEX(cat_ModN,MATCH(I2,cat_ModO,0)),I2))</f>
        <v>1AFFAEAGNEC5BNA11G</v>
      </c>
      <c r="U2" s="34" t="str">
        <f aca="false">IF(I2="","",IFERROR(INDEX(cat_ModG,MATCH(I2,cat_ModO,0)),"No"))</f>
        <v>No</v>
      </c>
      <c r="V2" s="34" t="str">
        <f aca="false">IF(J2="","SIN DATO",IFERROR(INDEX(cat_FunN,MATCH(J2,cat_FunO,0)),J2))</f>
        <v>Protección y medición</v>
      </c>
      <c r="W2" s="34" t="str">
        <f aca="false">IF(OR(S2="SIN DATO",T2="SIN DATO"),"No","Sí")</f>
        <v>Sí</v>
      </c>
    </row>
    <row r="3" customFormat="false" ht="15" hidden="false" customHeight="false" outlineLevel="0" collapsed="false">
      <c r="A3" s="34" t="s">
        <v>232</v>
      </c>
      <c r="B3" s="34" t="s">
        <v>233</v>
      </c>
      <c r="C3" s="34" t="s">
        <v>234</v>
      </c>
      <c r="D3" s="34" t="s">
        <v>235</v>
      </c>
      <c r="E3" s="34" t="s">
        <v>225</v>
      </c>
      <c r="F3" s="34" t="s">
        <v>226</v>
      </c>
      <c r="G3" s="34" t="s">
        <v>227</v>
      </c>
      <c r="H3" s="34" t="s">
        <v>73</v>
      </c>
      <c r="I3" s="34" t="s">
        <v>77</v>
      </c>
      <c r="J3" s="34" t="s">
        <v>228</v>
      </c>
      <c r="K3" s="34" t="s">
        <v>236</v>
      </c>
      <c r="L3" s="34" t="s">
        <v>230</v>
      </c>
      <c r="M3" s="34" t="s">
        <v>237</v>
      </c>
      <c r="N3" s="34" t="str">
        <f aca="false">"Sector "&amp;VALUE(MID(D3,13,2))</f>
        <v>Sector 8</v>
      </c>
      <c r="O3" s="34" t="str">
        <f aca="false">IF(Dashboard!$C$5="Ubicación técnica",N3,"Sector "&amp;VALUE(RIGHT(G3,2)))</f>
        <v>Sector 8</v>
      </c>
      <c r="P3" s="34" t="str">
        <f aca="false">IF(MID(D3,15,3)="SEL","Subestación eléctrica","Área de proceso")</f>
        <v>Área de proceso</v>
      </c>
      <c r="Q3" s="34" t="str">
        <f aca="false">MID(D3,13,5)&amp;"|"&amp;MID(D3,19,5)</f>
        <v>08ACD|SSAGU</v>
      </c>
      <c r="R3" s="34" t="str">
        <f aca="false">IF(P3="Subestación eléctrica",IFERROR(INDEX(cat_SubN,MATCH(Q3,cat_SubK,0)),"SIN CATALOGAR"),"ÁREA DE PROCESO")</f>
        <v>ÁREA DE PROCESO</v>
      </c>
      <c r="S3" s="34" t="str">
        <f aca="false">IF(H3="","SIN DATO",IFERROR(INDEX(cat_MarcaN,MATCH(H3,cat_MarcaO,0)),H3))</f>
        <v>SIEMENS</v>
      </c>
      <c r="T3" s="34" t="str">
        <f aca="false">IF(I3="","SIN DATO",IFERROR(INDEX(cat_ModN,MATCH(I3,cat_ModO,0)),I3))</f>
        <v>7SR5711</v>
      </c>
      <c r="U3" s="34" t="str">
        <f aca="false">IF(I3="","",IFERROR(INDEX(cat_ModG,MATCH(I3,cat_ModO,0)),"No"))</f>
        <v>No</v>
      </c>
      <c r="V3" s="34" t="str">
        <f aca="false">IF(J3="","SIN DATO",IFERROR(INDEX(cat_FunN,MATCH(J3,cat_FunO,0)),J3))</f>
        <v>Protección y medición</v>
      </c>
      <c r="W3" s="34" t="str">
        <f aca="false">IF(OR(S3="SIN DATO",T3="SIN DATO"),"No","Sí")</f>
        <v>Sí</v>
      </c>
    </row>
    <row r="4" customFormat="false" ht="15" hidden="false" customHeight="false" outlineLevel="0" collapsed="false">
      <c r="A4" s="34" t="s">
        <v>238</v>
      </c>
      <c r="B4" s="34" t="s">
        <v>239</v>
      </c>
      <c r="C4" s="34" t="s">
        <v>240</v>
      </c>
      <c r="D4" s="34" t="s">
        <v>241</v>
      </c>
      <c r="E4" s="34" t="s">
        <v>225</v>
      </c>
      <c r="F4" s="34" t="s">
        <v>226</v>
      </c>
      <c r="G4" s="34" t="s">
        <v>227</v>
      </c>
      <c r="H4" s="34" t="s">
        <v>73</v>
      </c>
      <c r="I4" s="34" t="s">
        <v>77</v>
      </c>
      <c r="J4" s="34" t="s">
        <v>228</v>
      </c>
      <c r="K4" s="34" t="s">
        <v>236</v>
      </c>
      <c r="L4" s="34" t="s">
        <v>230</v>
      </c>
      <c r="M4" s="34" t="s">
        <v>237</v>
      </c>
      <c r="N4" s="34" t="str">
        <f aca="false">"Sector "&amp;VALUE(MID(D4,13,2))</f>
        <v>Sector 8</v>
      </c>
      <c r="O4" s="34" t="str">
        <f aca="false">IF(Dashboard!$C$5="Ubicación técnica",N4,"Sector "&amp;VALUE(RIGHT(G4,2)))</f>
        <v>Sector 8</v>
      </c>
      <c r="P4" s="34" t="str">
        <f aca="false">IF(MID(D4,15,3)="SEL","Subestación eléctrica","Área de proceso")</f>
        <v>Área de proceso</v>
      </c>
      <c r="Q4" s="34" t="str">
        <f aca="false">MID(D4,13,5)&amp;"|"&amp;MID(D4,19,5)</f>
        <v>08ACD|SSAGU</v>
      </c>
      <c r="R4" s="34" t="str">
        <f aca="false">IF(P4="Subestación eléctrica",IFERROR(INDEX(cat_SubN,MATCH(Q4,cat_SubK,0)),"SIN CATALOGAR"),"ÁREA DE PROCESO")</f>
        <v>ÁREA DE PROCESO</v>
      </c>
      <c r="S4" s="34" t="str">
        <f aca="false">IF(H4="","SIN DATO",IFERROR(INDEX(cat_MarcaN,MATCH(H4,cat_MarcaO,0)),H4))</f>
        <v>SIEMENS</v>
      </c>
      <c r="T4" s="34" t="str">
        <f aca="false">IF(I4="","SIN DATO",IFERROR(INDEX(cat_ModN,MATCH(I4,cat_ModO,0)),I4))</f>
        <v>7SR5711</v>
      </c>
      <c r="U4" s="34" t="str">
        <f aca="false">IF(I4="","",IFERROR(INDEX(cat_ModG,MATCH(I4,cat_ModO,0)),"No"))</f>
        <v>No</v>
      </c>
      <c r="V4" s="34" t="str">
        <f aca="false">IF(J4="","SIN DATO",IFERROR(INDEX(cat_FunN,MATCH(J4,cat_FunO,0)),J4))</f>
        <v>Protección y medición</v>
      </c>
      <c r="W4" s="34" t="str">
        <f aca="false">IF(OR(S4="SIN DATO",T4="SIN DATO"),"No","Sí")</f>
        <v>Sí</v>
      </c>
    </row>
    <row r="5" customFormat="false" ht="15" hidden="false" customHeight="false" outlineLevel="0" collapsed="false">
      <c r="A5" s="34" t="s">
        <v>242</v>
      </c>
      <c r="B5" s="34" t="s">
        <v>243</v>
      </c>
      <c r="C5" s="34" t="s">
        <v>244</v>
      </c>
      <c r="D5" s="34" t="s">
        <v>245</v>
      </c>
      <c r="E5" s="34" t="s">
        <v>225</v>
      </c>
      <c r="F5" s="34" t="s">
        <v>226</v>
      </c>
      <c r="G5" s="34" t="s">
        <v>227</v>
      </c>
      <c r="H5" s="34" t="s">
        <v>73</v>
      </c>
      <c r="I5" s="34" t="s">
        <v>77</v>
      </c>
      <c r="J5" s="34" t="s">
        <v>228</v>
      </c>
      <c r="K5" s="34" t="s">
        <v>236</v>
      </c>
      <c r="L5" s="34" t="s">
        <v>230</v>
      </c>
      <c r="M5" s="34" t="s">
        <v>237</v>
      </c>
      <c r="N5" s="34" t="str">
        <f aca="false">"Sector "&amp;VALUE(MID(D5,13,2))</f>
        <v>Sector 8</v>
      </c>
      <c r="O5" s="34" t="str">
        <f aca="false">IF(Dashboard!$C$5="Ubicación técnica",N5,"Sector "&amp;VALUE(RIGHT(G5,2)))</f>
        <v>Sector 8</v>
      </c>
      <c r="P5" s="34" t="str">
        <f aca="false">IF(MID(D5,15,3)="SEL","Subestación eléctrica","Área de proceso")</f>
        <v>Área de proceso</v>
      </c>
      <c r="Q5" s="34" t="str">
        <f aca="false">MID(D5,13,5)&amp;"|"&amp;MID(D5,19,5)</f>
        <v>08ACD|SSAGU</v>
      </c>
      <c r="R5" s="34" t="str">
        <f aca="false">IF(P5="Subestación eléctrica",IFERROR(INDEX(cat_SubN,MATCH(Q5,cat_SubK,0)),"SIN CATALOGAR"),"ÁREA DE PROCESO")</f>
        <v>ÁREA DE PROCESO</v>
      </c>
      <c r="S5" s="34" t="str">
        <f aca="false">IF(H5="","SIN DATO",IFERROR(INDEX(cat_MarcaN,MATCH(H5,cat_MarcaO,0)),H5))</f>
        <v>SIEMENS</v>
      </c>
      <c r="T5" s="34" t="str">
        <f aca="false">IF(I5="","SIN DATO",IFERROR(INDEX(cat_ModN,MATCH(I5,cat_ModO,0)),I5))</f>
        <v>7SR5711</v>
      </c>
      <c r="U5" s="34" t="str">
        <f aca="false">IF(I5="","",IFERROR(INDEX(cat_ModG,MATCH(I5,cat_ModO,0)),"No"))</f>
        <v>No</v>
      </c>
      <c r="V5" s="34" t="str">
        <f aca="false">IF(J5="","SIN DATO",IFERROR(INDEX(cat_FunN,MATCH(J5,cat_FunO,0)),J5))</f>
        <v>Protección y medición</v>
      </c>
      <c r="W5" s="34" t="str">
        <f aca="false">IF(OR(S5="SIN DATO",T5="SIN DATO"),"No","Sí")</f>
        <v>Sí</v>
      </c>
    </row>
    <row r="6" customFormat="false" ht="15" hidden="false" customHeight="false" outlineLevel="0" collapsed="false">
      <c r="A6" s="34" t="s">
        <v>246</v>
      </c>
      <c r="B6" s="34" t="s">
        <v>247</v>
      </c>
      <c r="C6" s="34" t="s">
        <v>248</v>
      </c>
      <c r="D6" s="34" t="s">
        <v>249</v>
      </c>
      <c r="E6" s="34" t="s">
        <v>225</v>
      </c>
      <c r="F6" s="34" t="s">
        <v>226</v>
      </c>
      <c r="G6" s="34" t="s">
        <v>227</v>
      </c>
      <c r="H6" s="34" t="s">
        <v>73</v>
      </c>
      <c r="I6" s="34" t="s">
        <v>77</v>
      </c>
      <c r="J6" s="34" t="s">
        <v>228</v>
      </c>
      <c r="K6" s="34" t="s">
        <v>236</v>
      </c>
      <c r="L6" s="34" t="s">
        <v>230</v>
      </c>
      <c r="M6" s="34" t="s">
        <v>237</v>
      </c>
      <c r="N6" s="34" t="str">
        <f aca="false">"Sector "&amp;VALUE(MID(D6,13,2))</f>
        <v>Sector 8</v>
      </c>
      <c r="O6" s="34" t="str">
        <f aca="false">IF(Dashboard!$C$5="Ubicación técnica",N6,"Sector "&amp;VALUE(RIGHT(G6,2)))</f>
        <v>Sector 8</v>
      </c>
      <c r="P6" s="34" t="str">
        <f aca="false">IF(MID(D6,15,3)="SEL","Subestación eléctrica","Área de proceso")</f>
        <v>Área de proceso</v>
      </c>
      <c r="Q6" s="34" t="str">
        <f aca="false">MID(D6,13,5)&amp;"|"&amp;MID(D6,19,5)</f>
        <v>08ACD|SSAGU</v>
      </c>
      <c r="R6" s="34" t="str">
        <f aca="false">IF(P6="Subestación eléctrica",IFERROR(INDEX(cat_SubN,MATCH(Q6,cat_SubK,0)),"SIN CATALOGAR"),"ÁREA DE PROCESO")</f>
        <v>ÁREA DE PROCESO</v>
      </c>
      <c r="S6" s="34" t="str">
        <f aca="false">IF(H6="","SIN DATO",IFERROR(INDEX(cat_MarcaN,MATCH(H6,cat_MarcaO,0)),H6))</f>
        <v>SIEMENS</v>
      </c>
      <c r="T6" s="34" t="str">
        <f aca="false">IF(I6="","SIN DATO",IFERROR(INDEX(cat_ModN,MATCH(I6,cat_ModO,0)),I6))</f>
        <v>7SR5711</v>
      </c>
      <c r="U6" s="34" t="str">
        <f aca="false">IF(I6="","",IFERROR(INDEX(cat_ModG,MATCH(I6,cat_ModO,0)),"No"))</f>
        <v>No</v>
      </c>
      <c r="V6" s="34" t="str">
        <f aca="false">IF(J6="","SIN DATO",IFERROR(INDEX(cat_FunN,MATCH(J6,cat_FunO,0)),J6))</f>
        <v>Protección y medición</v>
      </c>
      <c r="W6" s="34" t="str">
        <f aca="false">IF(OR(S6="SIN DATO",T6="SIN DATO"),"No","Sí")</f>
        <v>Sí</v>
      </c>
    </row>
    <row r="7" customFormat="false" ht="15" hidden="false" customHeight="false" outlineLevel="0" collapsed="false">
      <c r="A7" s="34" t="s">
        <v>250</v>
      </c>
      <c r="B7" s="34" t="s">
        <v>251</v>
      </c>
      <c r="C7" s="34" t="s">
        <v>252</v>
      </c>
      <c r="D7" s="34" t="s">
        <v>253</v>
      </c>
      <c r="E7" s="34" t="s">
        <v>225</v>
      </c>
      <c r="F7" s="34" t="s">
        <v>226</v>
      </c>
      <c r="G7" s="34" t="s">
        <v>227</v>
      </c>
      <c r="H7" s="34" t="s">
        <v>73</v>
      </c>
      <c r="I7" s="34" t="s">
        <v>77</v>
      </c>
      <c r="J7" s="34" t="s">
        <v>228</v>
      </c>
      <c r="K7" s="34" t="s">
        <v>236</v>
      </c>
      <c r="L7" s="34" t="s">
        <v>230</v>
      </c>
      <c r="M7" s="34" t="s">
        <v>237</v>
      </c>
      <c r="N7" s="34" t="str">
        <f aca="false">"Sector "&amp;VALUE(MID(D7,13,2))</f>
        <v>Sector 8</v>
      </c>
      <c r="O7" s="34" t="str">
        <f aca="false">IF(Dashboard!$C$5="Ubicación técnica",N7,"Sector "&amp;VALUE(RIGHT(G7,2)))</f>
        <v>Sector 8</v>
      </c>
      <c r="P7" s="34" t="str">
        <f aca="false">IF(MID(D7,15,3)="SEL","Subestación eléctrica","Área de proceso")</f>
        <v>Área de proceso</v>
      </c>
      <c r="Q7" s="34" t="str">
        <f aca="false">MID(D7,13,5)&amp;"|"&amp;MID(D7,19,5)</f>
        <v>08ACD|SSAGU</v>
      </c>
      <c r="R7" s="34" t="str">
        <f aca="false">IF(P7="Subestación eléctrica",IFERROR(INDEX(cat_SubN,MATCH(Q7,cat_SubK,0)),"SIN CATALOGAR"),"ÁREA DE PROCESO")</f>
        <v>ÁREA DE PROCESO</v>
      </c>
      <c r="S7" s="34" t="str">
        <f aca="false">IF(H7="","SIN DATO",IFERROR(INDEX(cat_MarcaN,MATCH(H7,cat_MarcaO,0)),H7))</f>
        <v>SIEMENS</v>
      </c>
      <c r="T7" s="34" t="str">
        <f aca="false">IF(I7="","SIN DATO",IFERROR(INDEX(cat_ModN,MATCH(I7,cat_ModO,0)),I7))</f>
        <v>7SR5711</v>
      </c>
      <c r="U7" s="34" t="str">
        <f aca="false">IF(I7="","",IFERROR(INDEX(cat_ModG,MATCH(I7,cat_ModO,0)),"No"))</f>
        <v>No</v>
      </c>
      <c r="V7" s="34" t="str">
        <f aca="false">IF(J7="","SIN DATO",IFERROR(INDEX(cat_FunN,MATCH(J7,cat_FunO,0)),J7))</f>
        <v>Protección y medición</v>
      </c>
      <c r="W7" s="34" t="str">
        <f aca="false">IF(OR(S7="SIN DATO",T7="SIN DATO"),"No","Sí")</f>
        <v>Sí</v>
      </c>
    </row>
    <row r="8" customFormat="false" ht="15" hidden="false" customHeight="false" outlineLevel="0" collapsed="false">
      <c r="A8" s="34" t="s">
        <v>254</v>
      </c>
      <c r="B8" s="34" t="s">
        <v>255</v>
      </c>
      <c r="C8" s="34" t="s">
        <v>256</v>
      </c>
      <c r="D8" s="34" t="s">
        <v>257</v>
      </c>
      <c r="E8" s="34" t="s">
        <v>118</v>
      </c>
      <c r="F8" s="34" t="s">
        <v>258</v>
      </c>
      <c r="G8" s="34" t="s">
        <v>259</v>
      </c>
      <c r="H8" s="34" t="s">
        <v>34</v>
      </c>
      <c r="I8" s="34" t="s">
        <v>44</v>
      </c>
      <c r="J8" s="34" t="s">
        <v>260</v>
      </c>
      <c r="K8" s="34" t="s">
        <v>229</v>
      </c>
      <c r="L8" s="34" t="s">
        <v>261</v>
      </c>
      <c r="M8" s="34" t="s">
        <v>262</v>
      </c>
      <c r="N8" s="34" t="str">
        <f aca="false">"Sector "&amp;VALUE(MID(D8,13,2))</f>
        <v>Sector 3</v>
      </c>
      <c r="O8" s="34" t="str">
        <f aca="false">IF(Dashboard!$C$5="Ubicación técnica",N8,"Sector "&amp;VALUE(RIGHT(G8,2)))</f>
        <v>Sector 3</v>
      </c>
      <c r="P8" s="34" t="str">
        <f aca="false">IF(MID(D8,15,3)="SEL","Subestación eléctrica","Área de proceso")</f>
        <v>Área de proceso</v>
      </c>
      <c r="Q8" s="34" t="str">
        <f aca="false">MID(D8,13,5)&amp;"|"&amp;MID(D8,19,5)</f>
        <v>03ALA|SFRAC</v>
      </c>
      <c r="R8" s="34" t="str">
        <f aca="false">IF(P8="Subestación eléctrica",IFERROR(INDEX(cat_SubN,MATCH(Q8,cat_SubK,0)),"SIN CATALOGAR"),"ÁREA DE PROCESO")</f>
        <v>ÁREA DE PROCESO</v>
      </c>
      <c r="S8" s="34" t="str">
        <f aca="false">IF(H8="","SIN DATO",IFERROR(INDEX(cat_MarcaN,MATCH(H8,cat_MarcaO,0)),H8))</f>
        <v>ABB</v>
      </c>
      <c r="T8" s="34" t="str">
        <f aca="false">IF(I8="","SIN DATO",IFERROR(INDEX(cat_ModN,MATCH(I8,cat_ModO,0)),I8))</f>
        <v>REM</v>
      </c>
      <c r="U8" s="34" t="str">
        <f aca="false">IF(I8="","",IFERROR(INDEX(cat_ModG,MATCH(I8,cat_ModO,0)),"No"))</f>
        <v>Sí</v>
      </c>
      <c r="V8" s="34" t="str">
        <f aca="false">IF(J8="","SIN DATO",IFERROR(INDEX(cat_FunN,MATCH(J8,cat_FunO,0)),J8))</f>
        <v>Protección y medición</v>
      </c>
      <c r="W8" s="34" t="str">
        <f aca="false">IF(OR(S8="SIN DATO",T8="SIN DATO"),"No","Sí")</f>
        <v>Sí</v>
      </c>
    </row>
    <row r="9" customFormat="false" ht="15" hidden="false" customHeight="false" outlineLevel="0" collapsed="false">
      <c r="A9" s="34" t="s">
        <v>263</v>
      </c>
      <c r="B9" s="34" t="s">
        <v>264</v>
      </c>
      <c r="C9" s="34" t="s">
        <v>265</v>
      </c>
      <c r="D9" s="34" t="s">
        <v>266</v>
      </c>
      <c r="E9" s="34" t="s">
        <v>118</v>
      </c>
      <c r="F9" s="34" t="s">
        <v>258</v>
      </c>
      <c r="G9" s="34" t="s">
        <v>259</v>
      </c>
      <c r="H9" s="34" t="s">
        <v>34</v>
      </c>
      <c r="I9" s="34" t="s">
        <v>44</v>
      </c>
      <c r="J9" s="34" t="s">
        <v>260</v>
      </c>
      <c r="K9" s="34" t="s">
        <v>229</v>
      </c>
      <c r="L9" s="34" t="s">
        <v>261</v>
      </c>
      <c r="M9" s="34" t="s">
        <v>262</v>
      </c>
      <c r="N9" s="34" t="str">
        <f aca="false">"Sector "&amp;VALUE(MID(D9,13,2))</f>
        <v>Sector 3</v>
      </c>
      <c r="O9" s="34" t="str">
        <f aca="false">IF(Dashboard!$C$5="Ubicación técnica",N9,"Sector "&amp;VALUE(RIGHT(G9,2)))</f>
        <v>Sector 3</v>
      </c>
      <c r="P9" s="34" t="str">
        <f aca="false">IF(MID(D9,15,3)="SEL","Subestación eléctrica","Área de proceso")</f>
        <v>Área de proceso</v>
      </c>
      <c r="Q9" s="34" t="str">
        <f aca="false">MID(D9,13,5)&amp;"|"&amp;MID(D9,19,5)</f>
        <v>03ALA|SSHP1</v>
      </c>
      <c r="R9" s="34" t="str">
        <f aca="false">IF(P9="Subestación eléctrica",IFERROR(INDEX(cat_SubN,MATCH(Q9,cat_SubK,0)),"SIN CATALOGAR"),"ÁREA DE PROCESO")</f>
        <v>ÁREA DE PROCESO</v>
      </c>
      <c r="S9" s="34" t="str">
        <f aca="false">IF(H9="","SIN DATO",IFERROR(INDEX(cat_MarcaN,MATCH(H9,cat_MarcaO,0)),H9))</f>
        <v>ABB</v>
      </c>
      <c r="T9" s="34" t="str">
        <f aca="false">IF(I9="","SIN DATO",IFERROR(INDEX(cat_ModN,MATCH(I9,cat_ModO,0)),I9))</f>
        <v>REM</v>
      </c>
      <c r="U9" s="34" t="str">
        <f aca="false">IF(I9="","",IFERROR(INDEX(cat_ModG,MATCH(I9,cat_ModO,0)),"No"))</f>
        <v>Sí</v>
      </c>
      <c r="V9" s="34" t="str">
        <f aca="false">IF(J9="","SIN DATO",IFERROR(INDEX(cat_FunN,MATCH(J9,cat_FunO,0)),J9))</f>
        <v>Protección y medición</v>
      </c>
      <c r="W9" s="34" t="str">
        <f aca="false">IF(OR(S9="SIN DATO",T9="SIN DATO"),"No","Sí")</f>
        <v>Sí</v>
      </c>
    </row>
    <row r="10" customFormat="false" ht="15" hidden="false" customHeight="false" outlineLevel="0" collapsed="false">
      <c r="A10" s="34" t="s">
        <v>267</v>
      </c>
      <c r="B10" s="34" t="s">
        <v>268</v>
      </c>
      <c r="C10" s="34" t="s">
        <v>269</v>
      </c>
      <c r="D10" s="34" t="s">
        <v>270</v>
      </c>
      <c r="E10" s="34" t="s">
        <v>118</v>
      </c>
      <c r="F10" s="34" t="s">
        <v>258</v>
      </c>
      <c r="G10" s="34" t="s">
        <v>259</v>
      </c>
      <c r="H10" s="34" t="s">
        <v>34</v>
      </c>
      <c r="I10" s="34" t="s">
        <v>44</v>
      </c>
      <c r="J10" s="34" t="s">
        <v>260</v>
      </c>
      <c r="K10" s="34" t="s">
        <v>229</v>
      </c>
      <c r="L10" s="34" t="s">
        <v>261</v>
      </c>
      <c r="M10" s="34" t="s">
        <v>262</v>
      </c>
      <c r="N10" s="34" t="str">
        <f aca="false">"Sector "&amp;VALUE(MID(D10,13,2))</f>
        <v>Sector 3</v>
      </c>
      <c r="O10" s="34" t="str">
        <f aca="false">IF(Dashboard!$C$5="Ubicación técnica",N10,"Sector "&amp;VALUE(RIGHT(G10,2)))</f>
        <v>Sector 3</v>
      </c>
      <c r="P10" s="34" t="str">
        <f aca="false">IF(MID(D10,15,3)="SEL","Subestación eléctrica","Área de proceso")</f>
        <v>Área de proceso</v>
      </c>
      <c r="Q10" s="34" t="str">
        <f aca="false">MID(D10,13,5)&amp;"|"&amp;MID(D10,19,5)</f>
        <v>03ALA|SFRAC</v>
      </c>
      <c r="R10" s="34" t="str">
        <f aca="false">IF(P10="Subestación eléctrica",IFERROR(INDEX(cat_SubN,MATCH(Q10,cat_SubK,0)),"SIN CATALOGAR"),"ÁREA DE PROCESO")</f>
        <v>ÁREA DE PROCESO</v>
      </c>
      <c r="S10" s="34" t="str">
        <f aca="false">IF(H10="","SIN DATO",IFERROR(INDEX(cat_MarcaN,MATCH(H10,cat_MarcaO,0)),H10))</f>
        <v>ABB</v>
      </c>
      <c r="T10" s="34" t="str">
        <f aca="false">IF(I10="","SIN DATO",IFERROR(INDEX(cat_ModN,MATCH(I10,cat_ModO,0)),I10))</f>
        <v>REM</v>
      </c>
      <c r="U10" s="34" t="str">
        <f aca="false">IF(I10="","",IFERROR(INDEX(cat_ModG,MATCH(I10,cat_ModO,0)),"No"))</f>
        <v>Sí</v>
      </c>
      <c r="V10" s="34" t="str">
        <f aca="false">IF(J10="","SIN DATO",IFERROR(INDEX(cat_FunN,MATCH(J10,cat_FunO,0)),J10))</f>
        <v>Protección y medición</v>
      </c>
      <c r="W10" s="34" t="str">
        <f aca="false">IF(OR(S10="SIN DATO",T10="SIN DATO"),"No","Sí")</f>
        <v>Sí</v>
      </c>
    </row>
    <row r="11" customFormat="false" ht="15" hidden="false" customHeight="false" outlineLevel="0" collapsed="false">
      <c r="A11" s="34" t="s">
        <v>271</v>
      </c>
      <c r="B11" s="34" t="s">
        <v>272</v>
      </c>
      <c r="C11" s="34" t="s">
        <v>273</v>
      </c>
      <c r="D11" s="34" t="s">
        <v>274</v>
      </c>
      <c r="E11" s="34" t="s">
        <v>118</v>
      </c>
      <c r="F11" s="34" t="s">
        <v>258</v>
      </c>
      <c r="G11" s="34" t="s">
        <v>259</v>
      </c>
      <c r="H11" s="34" t="s">
        <v>34</v>
      </c>
      <c r="I11" s="34" t="s">
        <v>44</v>
      </c>
      <c r="J11" s="34" t="s">
        <v>260</v>
      </c>
      <c r="K11" s="34" t="s">
        <v>229</v>
      </c>
      <c r="L11" s="34" t="s">
        <v>261</v>
      </c>
      <c r="M11" s="34" t="s">
        <v>262</v>
      </c>
      <c r="N11" s="34" t="str">
        <f aca="false">"Sector "&amp;VALUE(MID(D11,13,2))</f>
        <v>Sector 3</v>
      </c>
      <c r="O11" s="34" t="str">
        <f aca="false">IF(Dashboard!$C$5="Ubicación técnica",N11,"Sector "&amp;VALUE(RIGHT(G11,2)))</f>
        <v>Sector 3</v>
      </c>
      <c r="P11" s="34" t="str">
        <f aca="false">IF(MID(D11,15,3)="SEL","Subestación eléctrica","Área de proceso")</f>
        <v>Área de proceso</v>
      </c>
      <c r="Q11" s="34" t="str">
        <f aca="false">MID(D11,13,5)&amp;"|"&amp;MID(D11,19,5)</f>
        <v>03ALA|SZACI</v>
      </c>
      <c r="R11" s="34" t="str">
        <f aca="false">IF(P11="Subestación eléctrica",IFERROR(INDEX(cat_SubN,MATCH(Q11,cat_SubK,0)),"SIN CATALOGAR"),"ÁREA DE PROCESO")</f>
        <v>ÁREA DE PROCESO</v>
      </c>
      <c r="S11" s="34" t="str">
        <f aca="false">IF(H11="","SIN DATO",IFERROR(INDEX(cat_MarcaN,MATCH(H11,cat_MarcaO,0)),H11))</f>
        <v>ABB</v>
      </c>
      <c r="T11" s="34" t="str">
        <f aca="false">IF(I11="","SIN DATO",IFERROR(INDEX(cat_ModN,MATCH(I11,cat_ModO,0)),I11))</f>
        <v>REM</v>
      </c>
      <c r="U11" s="34" t="str">
        <f aca="false">IF(I11="","",IFERROR(INDEX(cat_ModG,MATCH(I11,cat_ModO,0)),"No"))</f>
        <v>Sí</v>
      </c>
      <c r="V11" s="34" t="str">
        <f aca="false">IF(J11="","SIN DATO",IFERROR(INDEX(cat_FunN,MATCH(J11,cat_FunO,0)),J11))</f>
        <v>Protección y medición</v>
      </c>
      <c r="W11" s="34" t="str">
        <f aca="false">IF(OR(S11="SIN DATO",T11="SIN DATO"),"No","Sí")</f>
        <v>Sí</v>
      </c>
    </row>
    <row r="12" customFormat="false" ht="15" hidden="false" customHeight="false" outlineLevel="0" collapsed="false">
      <c r="A12" s="34" t="s">
        <v>275</v>
      </c>
      <c r="B12" s="34" t="s">
        <v>276</v>
      </c>
      <c r="C12" s="34" t="s">
        <v>277</v>
      </c>
      <c r="D12" s="34" t="s">
        <v>278</v>
      </c>
      <c r="E12" s="34" t="s">
        <v>118</v>
      </c>
      <c r="F12" s="34" t="s">
        <v>258</v>
      </c>
      <c r="G12" s="34" t="s">
        <v>259</v>
      </c>
      <c r="H12" s="34" t="s">
        <v>34</v>
      </c>
      <c r="I12" s="34" t="s">
        <v>44</v>
      </c>
      <c r="J12" s="34" t="s">
        <v>260</v>
      </c>
      <c r="K12" s="34" t="s">
        <v>229</v>
      </c>
      <c r="L12" s="34" t="s">
        <v>261</v>
      </c>
      <c r="M12" s="34" t="s">
        <v>262</v>
      </c>
      <c r="N12" s="34" t="str">
        <f aca="false">"Sector "&amp;VALUE(MID(D12,13,2))</f>
        <v>Sector 3</v>
      </c>
      <c r="O12" s="34" t="str">
        <f aca="false">IF(Dashboard!$C$5="Ubicación técnica",N12,"Sector "&amp;VALUE(RIGHT(G12,2)))</f>
        <v>Sector 3</v>
      </c>
      <c r="P12" s="34" t="str">
        <f aca="false">IF(MID(D12,15,3)="SEL","Subestación eléctrica","Área de proceso")</f>
        <v>Área de proceso</v>
      </c>
      <c r="Q12" s="34" t="str">
        <f aca="false">MID(D12,13,5)&amp;"|"&amp;MID(D12,19,5)</f>
        <v>03ALA|SZACI</v>
      </c>
      <c r="R12" s="34" t="str">
        <f aca="false">IF(P12="Subestación eléctrica",IFERROR(INDEX(cat_SubN,MATCH(Q12,cat_SubK,0)),"SIN CATALOGAR"),"ÁREA DE PROCESO")</f>
        <v>ÁREA DE PROCESO</v>
      </c>
      <c r="S12" s="34" t="str">
        <f aca="false">IF(H12="","SIN DATO",IFERROR(INDEX(cat_MarcaN,MATCH(H12,cat_MarcaO,0)),H12))</f>
        <v>ABB</v>
      </c>
      <c r="T12" s="34" t="str">
        <f aca="false">IF(I12="","SIN DATO",IFERROR(INDEX(cat_ModN,MATCH(I12,cat_ModO,0)),I12))</f>
        <v>REM</v>
      </c>
      <c r="U12" s="34" t="str">
        <f aca="false">IF(I12="","",IFERROR(INDEX(cat_ModG,MATCH(I12,cat_ModO,0)),"No"))</f>
        <v>Sí</v>
      </c>
      <c r="V12" s="34" t="str">
        <f aca="false">IF(J12="","SIN DATO",IFERROR(INDEX(cat_FunN,MATCH(J12,cat_FunO,0)),J12))</f>
        <v>Protección y medición</v>
      </c>
      <c r="W12" s="34" t="str">
        <f aca="false">IF(OR(S12="SIN DATO",T12="SIN DATO"),"No","Sí")</f>
        <v>Sí</v>
      </c>
    </row>
    <row r="13" customFormat="false" ht="15" hidden="false" customHeight="false" outlineLevel="0" collapsed="false">
      <c r="A13" s="34" t="s">
        <v>279</v>
      </c>
      <c r="B13" s="34" t="s">
        <v>280</v>
      </c>
      <c r="C13" s="34" t="s">
        <v>281</v>
      </c>
      <c r="D13" s="34" t="s">
        <v>282</v>
      </c>
      <c r="E13" s="34" t="s">
        <v>118</v>
      </c>
      <c r="F13" s="34" t="s">
        <v>258</v>
      </c>
      <c r="G13" s="34" t="s">
        <v>259</v>
      </c>
      <c r="H13" s="34" t="s">
        <v>34</v>
      </c>
      <c r="I13" s="34" t="s">
        <v>44</v>
      </c>
      <c r="J13" s="34" t="s">
        <v>260</v>
      </c>
      <c r="K13" s="34" t="s">
        <v>229</v>
      </c>
      <c r="L13" s="34" t="s">
        <v>261</v>
      </c>
      <c r="M13" s="34" t="s">
        <v>262</v>
      </c>
      <c r="N13" s="34" t="str">
        <f aca="false">"Sector "&amp;VALUE(MID(D13,13,2))</f>
        <v>Sector 3</v>
      </c>
      <c r="O13" s="34" t="str">
        <f aca="false">IF(Dashboard!$C$5="Ubicación técnica",N13,"Sector "&amp;VALUE(RIGHT(G13,2)))</f>
        <v>Sector 3</v>
      </c>
      <c r="P13" s="34" t="str">
        <f aca="false">IF(MID(D13,15,3)="SEL","Subestación eléctrica","Área de proceso")</f>
        <v>Área de proceso</v>
      </c>
      <c r="Q13" s="34" t="str">
        <f aca="false">MID(D13,13,5)&amp;"|"&amp;MID(D13,19,5)</f>
        <v>03ALA|SFRAC</v>
      </c>
      <c r="R13" s="34" t="str">
        <f aca="false">IF(P13="Subestación eléctrica",IFERROR(INDEX(cat_SubN,MATCH(Q13,cat_SubK,0)),"SIN CATALOGAR"),"ÁREA DE PROCESO")</f>
        <v>ÁREA DE PROCESO</v>
      </c>
      <c r="S13" s="34" t="str">
        <f aca="false">IF(H13="","SIN DATO",IFERROR(INDEX(cat_MarcaN,MATCH(H13,cat_MarcaO,0)),H13))</f>
        <v>ABB</v>
      </c>
      <c r="T13" s="34" t="str">
        <f aca="false">IF(I13="","SIN DATO",IFERROR(INDEX(cat_ModN,MATCH(I13,cat_ModO,0)),I13))</f>
        <v>REM</v>
      </c>
      <c r="U13" s="34" t="str">
        <f aca="false">IF(I13="","",IFERROR(INDEX(cat_ModG,MATCH(I13,cat_ModO,0)),"No"))</f>
        <v>Sí</v>
      </c>
      <c r="V13" s="34" t="str">
        <f aca="false">IF(J13="","SIN DATO",IFERROR(INDEX(cat_FunN,MATCH(J13,cat_FunO,0)),J13))</f>
        <v>Protección y medición</v>
      </c>
      <c r="W13" s="34" t="str">
        <f aca="false">IF(OR(S13="SIN DATO",T13="SIN DATO"),"No","Sí")</f>
        <v>Sí</v>
      </c>
    </row>
    <row r="14" customFormat="false" ht="15" hidden="false" customHeight="false" outlineLevel="0" collapsed="false">
      <c r="A14" s="34" t="s">
        <v>283</v>
      </c>
      <c r="B14" s="34" t="s">
        <v>284</v>
      </c>
      <c r="C14" s="34" t="s">
        <v>285</v>
      </c>
      <c r="D14" s="34" t="s">
        <v>286</v>
      </c>
      <c r="E14" s="34" t="s">
        <v>118</v>
      </c>
      <c r="F14" s="34" t="s">
        <v>258</v>
      </c>
      <c r="G14" s="34" t="s">
        <v>259</v>
      </c>
      <c r="H14" s="34" t="s">
        <v>34</v>
      </c>
      <c r="I14" s="34" t="s">
        <v>44</v>
      </c>
      <c r="J14" s="34" t="s">
        <v>260</v>
      </c>
      <c r="K14" s="34" t="s">
        <v>229</v>
      </c>
      <c r="L14" s="34" t="s">
        <v>261</v>
      </c>
      <c r="M14" s="34" t="s">
        <v>262</v>
      </c>
      <c r="N14" s="34" t="str">
        <f aca="false">"Sector "&amp;VALUE(MID(D14,13,2))</f>
        <v>Sector 3</v>
      </c>
      <c r="O14" s="34" t="str">
        <f aca="false">IF(Dashboard!$C$5="Ubicación técnica",N14,"Sector "&amp;VALUE(RIGHT(G14,2)))</f>
        <v>Sector 3</v>
      </c>
      <c r="P14" s="34" t="str">
        <f aca="false">IF(MID(D14,15,3)="SEL","Subestación eléctrica","Área de proceso")</f>
        <v>Área de proceso</v>
      </c>
      <c r="Q14" s="34" t="str">
        <f aca="false">MID(D14,13,5)&amp;"|"&amp;MID(D14,19,5)</f>
        <v>03ALA|SSHP1</v>
      </c>
      <c r="R14" s="34" t="str">
        <f aca="false">IF(P14="Subestación eléctrica",IFERROR(INDEX(cat_SubN,MATCH(Q14,cat_SubK,0)),"SIN CATALOGAR"),"ÁREA DE PROCESO")</f>
        <v>ÁREA DE PROCESO</v>
      </c>
      <c r="S14" s="34" t="str">
        <f aca="false">IF(H14="","SIN DATO",IFERROR(INDEX(cat_MarcaN,MATCH(H14,cat_MarcaO,0)),H14))</f>
        <v>ABB</v>
      </c>
      <c r="T14" s="34" t="str">
        <f aca="false">IF(I14="","SIN DATO",IFERROR(INDEX(cat_ModN,MATCH(I14,cat_ModO,0)),I14))</f>
        <v>REM</v>
      </c>
      <c r="U14" s="34" t="str">
        <f aca="false">IF(I14="","",IFERROR(INDEX(cat_ModG,MATCH(I14,cat_ModO,0)),"No"))</f>
        <v>Sí</v>
      </c>
      <c r="V14" s="34" t="str">
        <f aca="false">IF(J14="","SIN DATO",IFERROR(INDEX(cat_FunN,MATCH(J14,cat_FunO,0)),J14))</f>
        <v>Protección y medición</v>
      </c>
      <c r="W14" s="34" t="str">
        <f aca="false">IF(OR(S14="SIN DATO",T14="SIN DATO"),"No","Sí")</f>
        <v>Sí</v>
      </c>
    </row>
    <row r="15" customFormat="false" ht="15" hidden="false" customHeight="false" outlineLevel="0" collapsed="false">
      <c r="A15" s="34" t="s">
        <v>287</v>
      </c>
      <c r="B15" s="34" t="s">
        <v>288</v>
      </c>
      <c r="C15" s="34" t="s">
        <v>289</v>
      </c>
      <c r="D15" s="34" t="s">
        <v>290</v>
      </c>
      <c r="E15" s="34" t="s">
        <v>118</v>
      </c>
      <c r="F15" s="34" t="s">
        <v>258</v>
      </c>
      <c r="G15" s="34" t="s">
        <v>259</v>
      </c>
      <c r="H15" s="34" t="s">
        <v>34</v>
      </c>
      <c r="I15" s="34" t="s">
        <v>44</v>
      </c>
      <c r="J15" s="34" t="s">
        <v>260</v>
      </c>
      <c r="K15" s="34" t="s">
        <v>229</v>
      </c>
      <c r="L15" s="34" t="s">
        <v>261</v>
      </c>
      <c r="M15" s="34" t="s">
        <v>262</v>
      </c>
      <c r="N15" s="34" t="str">
        <f aca="false">"Sector "&amp;VALUE(MID(D15,13,2))</f>
        <v>Sector 3</v>
      </c>
      <c r="O15" s="34" t="str">
        <f aca="false">IF(Dashboard!$C$5="Ubicación técnica",N15,"Sector "&amp;VALUE(RIGHT(G15,2)))</f>
        <v>Sector 3</v>
      </c>
      <c r="P15" s="34" t="str">
        <f aca="false">IF(MID(D15,15,3)="SEL","Subestación eléctrica","Área de proceso")</f>
        <v>Área de proceso</v>
      </c>
      <c r="Q15" s="34" t="str">
        <f aca="false">MID(D15,13,5)&amp;"|"&amp;MID(D15,19,5)</f>
        <v>03ALA|SFRAC</v>
      </c>
      <c r="R15" s="34" t="str">
        <f aca="false">IF(P15="Subestación eléctrica",IFERROR(INDEX(cat_SubN,MATCH(Q15,cat_SubK,0)),"SIN CATALOGAR"),"ÁREA DE PROCESO")</f>
        <v>ÁREA DE PROCESO</v>
      </c>
      <c r="S15" s="34" t="str">
        <f aca="false">IF(H15="","SIN DATO",IFERROR(INDEX(cat_MarcaN,MATCH(H15,cat_MarcaO,0)),H15))</f>
        <v>ABB</v>
      </c>
      <c r="T15" s="34" t="str">
        <f aca="false">IF(I15="","SIN DATO",IFERROR(INDEX(cat_ModN,MATCH(I15,cat_ModO,0)),I15))</f>
        <v>REM</v>
      </c>
      <c r="U15" s="34" t="str">
        <f aca="false">IF(I15="","",IFERROR(INDEX(cat_ModG,MATCH(I15,cat_ModO,0)),"No"))</f>
        <v>Sí</v>
      </c>
      <c r="V15" s="34" t="str">
        <f aca="false">IF(J15="","SIN DATO",IFERROR(INDEX(cat_FunN,MATCH(J15,cat_FunO,0)),J15))</f>
        <v>Protección y medición</v>
      </c>
      <c r="W15" s="34" t="str">
        <f aca="false">IF(OR(S15="SIN DATO",T15="SIN DATO"),"No","Sí")</f>
        <v>Sí</v>
      </c>
    </row>
    <row r="16" customFormat="false" ht="15" hidden="false" customHeight="false" outlineLevel="0" collapsed="false">
      <c r="A16" s="34" t="s">
        <v>291</v>
      </c>
      <c r="B16" s="34" t="s">
        <v>292</v>
      </c>
      <c r="C16" s="34" t="s">
        <v>293</v>
      </c>
      <c r="D16" s="34" t="s">
        <v>294</v>
      </c>
      <c r="E16" s="34" t="s">
        <v>118</v>
      </c>
      <c r="F16" s="34" t="s">
        <v>258</v>
      </c>
      <c r="G16" s="34" t="s">
        <v>259</v>
      </c>
      <c r="H16" s="34" t="s">
        <v>34</v>
      </c>
      <c r="I16" s="34" t="s">
        <v>44</v>
      </c>
      <c r="J16" s="34" t="s">
        <v>260</v>
      </c>
      <c r="K16" s="34" t="s">
        <v>229</v>
      </c>
      <c r="L16" s="34" t="s">
        <v>261</v>
      </c>
      <c r="M16" s="34" t="s">
        <v>262</v>
      </c>
      <c r="N16" s="34" t="str">
        <f aca="false">"Sector "&amp;VALUE(MID(D16,13,2))</f>
        <v>Sector 3</v>
      </c>
      <c r="O16" s="34" t="str">
        <f aca="false">IF(Dashboard!$C$5="Ubicación técnica",N16,"Sector "&amp;VALUE(RIGHT(G16,2)))</f>
        <v>Sector 3</v>
      </c>
      <c r="P16" s="34" t="str">
        <f aca="false">IF(MID(D16,15,3)="SEL","Subestación eléctrica","Área de proceso")</f>
        <v>Área de proceso</v>
      </c>
      <c r="Q16" s="34" t="str">
        <f aca="false">MID(D16,13,5)&amp;"|"&amp;MID(D16,19,5)</f>
        <v>03ALA|SFRAC</v>
      </c>
      <c r="R16" s="34" t="str">
        <f aca="false">IF(P16="Subestación eléctrica",IFERROR(INDEX(cat_SubN,MATCH(Q16,cat_SubK,0)),"SIN CATALOGAR"),"ÁREA DE PROCESO")</f>
        <v>ÁREA DE PROCESO</v>
      </c>
      <c r="S16" s="34" t="str">
        <f aca="false">IF(H16="","SIN DATO",IFERROR(INDEX(cat_MarcaN,MATCH(H16,cat_MarcaO,0)),H16))</f>
        <v>ABB</v>
      </c>
      <c r="T16" s="34" t="str">
        <f aca="false">IF(I16="","SIN DATO",IFERROR(INDEX(cat_ModN,MATCH(I16,cat_ModO,0)),I16))</f>
        <v>REM</v>
      </c>
      <c r="U16" s="34" t="str">
        <f aca="false">IF(I16="","",IFERROR(INDEX(cat_ModG,MATCH(I16,cat_ModO,0)),"No"))</f>
        <v>Sí</v>
      </c>
      <c r="V16" s="34" t="str">
        <f aca="false">IF(J16="","SIN DATO",IFERROR(INDEX(cat_FunN,MATCH(J16,cat_FunO,0)),J16))</f>
        <v>Protección y medición</v>
      </c>
      <c r="W16" s="34" t="str">
        <f aca="false">IF(OR(S16="SIN DATO",T16="SIN DATO"),"No","Sí")</f>
        <v>Sí</v>
      </c>
    </row>
    <row r="17" customFormat="false" ht="15" hidden="false" customHeight="false" outlineLevel="0" collapsed="false">
      <c r="A17" s="34" t="s">
        <v>295</v>
      </c>
      <c r="B17" s="34" t="s">
        <v>296</v>
      </c>
      <c r="C17" s="34" t="s">
        <v>297</v>
      </c>
      <c r="D17" s="34" t="s">
        <v>298</v>
      </c>
      <c r="E17" s="34" t="s">
        <v>138</v>
      </c>
      <c r="F17" s="34" t="s">
        <v>299</v>
      </c>
      <c r="G17" s="34" t="s">
        <v>300</v>
      </c>
      <c r="H17" s="34" t="s">
        <v>34</v>
      </c>
      <c r="I17" s="34" t="s">
        <v>301</v>
      </c>
      <c r="J17" s="34" t="s">
        <v>302</v>
      </c>
      <c r="K17" s="34" t="s">
        <v>236</v>
      </c>
      <c r="L17" s="34" t="s">
        <v>230</v>
      </c>
      <c r="M17" s="34" t="s">
        <v>262</v>
      </c>
      <c r="N17" s="34" t="str">
        <f aca="false">"Sector "&amp;VALUE(MID(D17,13,2))</f>
        <v>Sector 6</v>
      </c>
      <c r="O17" s="34" t="str">
        <f aca="false">IF(Dashboard!$C$5="Ubicación técnica",N17,"Sector "&amp;VALUE(RIGHT(G17,2)))</f>
        <v>Sector 6</v>
      </c>
      <c r="P17" s="34" t="str">
        <f aca="false">IF(MID(D17,15,3)="SEL","Subestación eléctrica","Área de proceso")</f>
        <v>Área de proceso</v>
      </c>
      <c r="Q17" s="34" t="str">
        <f aca="false">MID(D17,13,5)&amp;"|"&amp;MID(D17,19,5)</f>
        <v>06AZA|SSERV</v>
      </c>
      <c r="R17" s="34" t="str">
        <f aca="false">IF(P17="Subestación eléctrica",IFERROR(INDEX(cat_SubN,MATCH(Q17,cat_SubK,0)),"SIN CATALOGAR"),"ÁREA DE PROCESO")</f>
        <v>ÁREA DE PROCESO</v>
      </c>
      <c r="S17" s="34" t="str">
        <f aca="false">IF(H17="","SIN DATO",IFERROR(INDEX(cat_MarcaN,MATCH(H17,cat_MarcaO,0)),H17))</f>
        <v>ABB</v>
      </c>
      <c r="T17" s="34" t="str">
        <f aca="false">IF(I17="","SIN DATO",IFERROR(INDEX(cat_ModN,MATCH(I17,cat_ModO,0)),I17))</f>
        <v>REM615A_1G</v>
      </c>
      <c r="U17" s="34" t="str">
        <f aca="false">IF(I17="","",IFERROR(INDEX(cat_ModG,MATCH(I17,cat_ModO,0)),"No"))</f>
        <v>No</v>
      </c>
      <c r="V17" s="34" t="str">
        <f aca="false">IF(J17="","SIN DATO",IFERROR(INDEX(cat_FunN,MATCH(J17,cat_FunO,0)),J17))</f>
        <v>Protección de motor</v>
      </c>
      <c r="W17" s="34" t="str">
        <f aca="false">IF(OR(S17="SIN DATO",T17="SIN DATO"),"No","Sí")</f>
        <v>Sí</v>
      </c>
    </row>
    <row r="18" customFormat="false" ht="15" hidden="false" customHeight="false" outlineLevel="0" collapsed="false">
      <c r="A18" s="34" t="s">
        <v>303</v>
      </c>
      <c r="B18" s="34" t="s">
        <v>304</v>
      </c>
      <c r="C18" s="34" t="s">
        <v>305</v>
      </c>
      <c r="D18" s="34" t="s">
        <v>298</v>
      </c>
      <c r="E18" s="34" t="s">
        <v>138</v>
      </c>
      <c r="F18" s="34" t="s">
        <v>299</v>
      </c>
      <c r="G18" s="34" t="s">
        <v>300</v>
      </c>
      <c r="H18" s="34" t="s">
        <v>34</v>
      </c>
      <c r="I18" s="34" t="s">
        <v>301</v>
      </c>
      <c r="J18" s="34" t="s">
        <v>302</v>
      </c>
      <c r="K18" s="34" t="s">
        <v>236</v>
      </c>
      <c r="L18" s="34" t="s">
        <v>230</v>
      </c>
      <c r="M18" s="34" t="s">
        <v>262</v>
      </c>
      <c r="N18" s="34" t="str">
        <f aca="false">"Sector "&amp;VALUE(MID(D18,13,2))</f>
        <v>Sector 6</v>
      </c>
      <c r="O18" s="34" t="str">
        <f aca="false">IF(Dashboard!$C$5="Ubicación técnica",N18,"Sector "&amp;VALUE(RIGHT(G18,2)))</f>
        <v>Sector 6</v>
      </c>
      <c r="P18" s="34" t="str">
        <f aca="false">IF(MID(D18,15,3)="SEL","Subestación eléctrica","Área de proceso")</f>
        <v>Área de proceso</v>
      </c>
      <c r="Q18" s="34" t="str">
        <f aca="false">MID(D18,13,5)&amp;"|"&amp;MID(D18,19,5)</f>
        <v>06AZA|SSERV</v>
      </c>
      <c r="R18" s="34" t="str">
        <f aca="false">IF(P18="Subestación eléctrica",IFERROR(INDEX(cat_SubN,MATCH(Q18,cat_SubK,0)),"SIN CATALOGAR"),"ÁREA DE PROCESO")</f>
        <v>ÁREA DE PROCESO</v>
      </c>
      <c r="S18" s="34" t="str">
        <f aca="false">IF(H18="","SIN DATO",IFERROR(INDEX(cat_MarcaN,MATCH(H18,cat_MarcaO,0)),H18))</f>
        <v>ABB</v>
      </c>
      <c r="T18" s="34" t="str">
        <f aca="false">IF(I18="","SIN DATO",IFERROR(INDEX(cat_ModN,MATCH(I18,cat_ModO,0)),I18))</f>
        <v>REM615A_1G</v>
      </c>
      <c r="U18" s="34" t="str">
        <f aca="false">IF(I18="","",IFERROR(INDEX(cat_ModG,MATCH(I18,cat_ModO,0)),"No"))</f>
        <v>No</v>
      </c>
      <c r="V18" s="34" t="str">
        <f aca="false">IF(J18="","SIN DATO",IFERROR(INDEX(cat_FunN,MATCH(J18,cat_FunO,0)),J18))</f>
        <v>Protección de motor</v>
      </c>
      <c r="W18" s="34" t="str">
        <f aca="false">IF(OR(S18="SIN DATO",T18="SIN DATO"),"No","Sí")</f>
        <v>Sí</v>
      </c>
    </row>
    <row r="19" customFormat="false" ht="15" hidden="false" customHeight="false" outlineLevel="0" collapsed="false">
      <c r="A19" s="34" t="s">
        <v>306</v>
      </c>
      <c r="B19" s="34" t="s">
        <v>307</v>
      </c>
      <c r="C19" s="34" t="s">
        <v>308</v>
      </c>
      <c r="D19" s="34" t="s">
        <v>309</v>
      </c>
      <c r="E19" s="34" t="s">
        <v>138</v>
      </c>
      <c r="F19" s="34" t="s">
        <v>299</v>
      </c>
      <c r="G19" s="34" t="s">
        <v>300</v>
      </c>
      <c r="H19" s="34" t="s">
        <v>34</v>
      </c>
      <c r="I19" s="34" t="s">
        <v>41</v>
      </c>
      <c r="J19" s="34" t="s">
        <v>302</v>
      </c>
      <c r="K19" s="34" t="s">
        <v>236</v>
      </c>
      <c r="L19" s="34" t="s">
        <v>230</v>
      </c>
      <c r="M19" s="34" t="s">
        <v>262</v>
      </c>
      <c r="N19" s="34" t="str">
        <f aca="false">"Sector "&amp;VALUE(MID(D19,13,2))</f>
        <v>Sector 6</v>
      </c>
      <c r="O19" s="34" t="str">
        <f aca="false">IF(Dashboard!$C$5="Ubicación técnica",N19,"Sector "&amp;VALUE(RIGHT(G19,2)))</f>
        <v>Sector 6</v>
      </c>
      <c r="P19" s="34" t="str">
        <f aca="false">IF(MID(D19,15,3)="SEL","Subestación eléctrica","Área de proceso")</f>
        <v>Área de proceso</v>
      </c>
      <c r="Q19" s="34" t="str">
        <f aca="false">MID(D19,13,5)&amp;"|"&amp;MID(D19,19,5)</f>
        <v>06AZA|SSERV</v>
      </c>
      <c r="R19" s="34" t="str">
        <f aca="false">IF(P19="Subestación eléctrica",IFERROR(INDEX(cat_SubN,MATCH(Q19,cat_SubK,0)),"SIN CATALOGAR"),"ÁREA DE PROCESO")</f>
        <v>ÁREA DE PROCESO</v>
      </c>
      <c r="S19" s="34" t="str">
        <f aca="false">IF(H19="","SIN DATO",IFERROR(INDEX(cat_MarcaN,MATCH(H19,cat_MarcaO,0)),H19))</f>
        <v>ABB</v>
      </c>
      <c r="T19" s="34" t="str">
        <f aca="false">IF(I19="","SIN DATO",IFERROR(INDEX(cat_ModN,MATCH(I19,cat_ModO,0)),I19))</f>
        <v>REM615A_1G</v>
      </c>
      <c r="U19" s="34" t="str">
        <f aca="false">IF(I19="","",IFERROR(INDEX(cat_ModG,MATCH(I19,cat_ModO,0)),"No"))</f>
        <v>No</v>
      </c>
      <c r="V19" s="34" t="str">
        <f aca="false">IF(J19="","SIN DATO",IFERROR(INDEX(cat_FunN,MATCH(J19,cat_FunO,0)),J19))</f>
        <v>Protección de motor</v>
      </c>
      <c r="W19" s="34" t="str">
        <f aca="false">IF(OR(S19="SIN DATO",T19="SIN DATO"),"No","Sí")</f>
        <v>Sí</v>
      </c>
    </row>
    <row r="20" customFormat="false" ht="15" hidden="false" customHeight="false" outlineLevel="0" collapsed="false">
      <c r="A20" s="34" t="s">
        <v>310</v>
      </c>
      <c r="B20" s="34" t="s">
        <v>311</v>
      </c>
      <c r="C20" s="34" t="s">
        <v>312</v>
      </c>
      <c r="D20" s="34" t="s">
        <v>309</v>
      </c>
      <c r="E20" s="34" t="s">
        <v>138</v>
      </c>
      <c r="F20" s="34" t="s">
        <v>299</v>
      </c>
      <c r="G20" s="34" t="s">
        <v>300</v>
      </c>
      <c r="H20" s="34" t="s">
        <v>34</v>
      </c>
      <c r="I20" s="34" t="s">
        <v>41</v>
      </c>
      <c r="J20" s="34" t="s">
        <v>302</v>
      </c>
      <c r="K20" s="34" t="s">
        <v>236</v>
      </c>
      <c r="L20" s="34" t="s">
        <v>230</v>
      </c>
      <c r="M20" s="34" t="s">
        <v>262</v>
      </c>
      <c r="N20" s="34" t="str">
        <f aca="false">"Sector "&amp;VALUE(MID(D20,13,2))</f>
        <v>Sector 6</v>
      </c>
      <c r="O20" s="34" t="str">
        <f aca="false">IF(Dashboard!$C$5="Ubicación técnica",N20,"Sector "&amp;VALUE(RIGHT(G20,2)))</f>
        <v>Sector 6</v>
      </c>
      <c r="P20" s="34" t="str">
        <f aca="false">IF(MID(D20,15,3)="SEL","Subestación eléctrica","Área de proceso")</f>
        <v>Área de proceso</v>
      </c>
      <c r="Q20" s="34" t="str">
        <f aca="false">MID(D20,13,5)&amp;"|"&amp;MID(D20,19,5)</f>
        <v>06AZA|SSERV</v>
      </c>
      <c r="R20" s="34" t="str">
        <f aca="false">IF(P20="Subestación eléctrica",IFERROR(INDEX(cat_SubN,MATCH(Q20,cat_SubK,0)),"SIN CATALOGAR"),"ÁREA DE PROCESO")</f>
        <v>ÁREA DE PROCESO</v>
      </c>
      <c r="S20" s="34" t="str">
        <f aca="false">IF(H20="","SIN DATO",IFERROR(INDEX(cat_MarcaN,MATCH(H20,cat_MarcaO,0)),H20))</f>
        <v>ABB</v>
      </c>
      <c r="T20" s="34" t="str">
        <f aca="false">IF(I20="","SIN DATO",IFERROR(INDEX(cat_ModN,MATCH(I20,cat_ModO,0)),I20))</f>
        <v>REM615A_1G</v>
      </c>
      <c r="U20" s="34" t="str">
        <f aca="false">IF(I20="","",IFERROR(INDEX(cat_ModG,MATCH(I20,cat_ModO,0)),"No"))</f>
        <v>No</v>
      </c>
      <c r="V20" s="34" t="str">
        <f aca="false">IF(J20="","SIN DATO",IFERROR(INDEX(cat_FunN,MATCH(J20,cat_FunO,0)),J20))</f>
        <v>Protección de motor</v>
      </c>
      <c r="W20" s="34" t="str">
        <f aca="false">IF(OR(S20="SIN DATO",T20="SIN DATO"),"No","Sí")</f>
        <v>Sí</v>
      </c>
    </row>
    <row r="21" customFormat="false" ht="15" hidden="false" customHeight="false" outlineLevel="0" collapsed="false">
      <c r="A21" s="34" t="s">
        <v>313</v>
      </c>
      <c r="B21" s="34" t="s">
        <v>314</v>
      </c>
      <c r="C21" s="34" t="s">
        <v>315</v>
      </c>
      <c r="D21" s="34" t="s">
        <v>316</v>
      </c>
      <c r="E21" s="34" t="s">
        <v>138</v>
      </c>
      <c r="F21" s="34" t="s">
        <v>299</v>
      </c>
      <c r="G21" s="34" t="s">
        <v>300</v>
      </c>
      <c r="H21" s="34" t="s">
        <v>34</v>
      </c>
      <c r="I21" s="34" t="s">
        <v>41</v>
      </c>
      <c r="J21" s="34" t="s">
        <v>302</v>
      </c>
      <c r="K21" s="34" t="s">
        <v>236</v>
      </c>
      <c r="L21" s="34" t="s">
        <v>230</v>
      </c>
      <c r="M21" s="34" t="s">
        <v>262</v>
      </c>
      <c r="N21" s="34" t="str">
        <f aca="false">"Sector "&amp;VALUE(MID(D21,13,2))</f>
        <v>Sector 6</v>
      </c>
      <c r="O21" s="34" t="str">
        <f aca="false">IF(Dashboard!$C$5="Ubicación técnica",N21,"Sector "&amp;VALUE(RIGHT(G21,2)))</f>
        <v>Sector 6</v>
      </c>
      <c r="P21" s="34" t="str">
        <f aca="false">IF(MID(D21,15,3)="SEL","Subestación eléctrica","Área de proceso")</f>
        <v>Área de proceso</v>
      </c>
      <c r="Q21" s="34" t="str">
        <f aca="false">MID(D21,13,5)&amp;"|"&amp;MID(D21,19,5)</f>
        <v>06AZA|SSERV</v>
      </c>
      <c r="R21" s="34" t="str">
        <f aca="false">IF(P21="Subestación eléctrica",IFERROR(INDEX(cat_SubN,MATCH(Q21,cat_SubK,0)),"SIN CATALOGAR"),"ÁREA DE PROCESO")</f>
        <v>ÁREA DE PROCESO</v>
      </c>
      <c r="S21" s="34" t="str">
        <f aca="false">IF(H21="","SIN DATO",IFERROR(INDEX(cat_MarcaN,MATCH(H21,cat_MarcaO,0)),H21))</f>
        <v>ABB</v>
      </c>
      <c r="T21" s="34" t="str">
        <f aca="false">IF(I21="","SIN DATO",IFERROR(INDEX(cat_ModN,MATCH(I21,cat_ModO,0)),I21))</f>
        <v>REM615A_1G</v>
      </c>
      <c r="U21" s="34" t="str">
        <f aca="false">IF(I21="","",IFERROR(INDEX(cat_ModG,MATCH(I21,cat_ModO,0)),"No"))</f>
        <v>No</v>
      </c>
      <c r="V21" s="34" t="str">
        <f aca="false">IF(J21="","SIN DATO",IFERROR(INDEX(cat_FunN,MATCH(J21,cat_FunO,0)),J21))</f>
        <v>Protección de motor</v>
      </c>
      <c r="W21" s="34" t="str">
        <f aca="false">IF(OR(S21="SIN DATO",T21="SIN DATO"),"No","Sí")</f>
        <v>Sí</v>
      </c>
    </row>
    <row r="22" customFormat="false" ht="15" hidden="false" customHeight="false" outlineLevel="0" collapsed="false">
      <c r="A22" s="34" t="s">
        <v>317</v>
      </c>
      <c r="B22" s="34" t="s">
        <v>318</v>
      </c>
      <c r="C22" s="34" t="s">
        <v>319</v>
      </c>
      <c r="D22" s="34" t="s">
        <v>316</v>
      </c>
      <c r="E22" s="34" t="s">
        <v>138</v>
      </c>
      <c r="F22" s="34" t="s">
        <v>299</v>
      </c>
      <c r="G22" s="34" t="s">
        <v>300</v>
      </c>
      <c r="H22" s="34" t="s">
        <v>34</v>
      </c>
      <c r="I22" s="34" t="s">
        <v>41</v>
      </c>
      <c r="J22" s="34" t="s">
        <v>302</v>
      </c>
      <c r="K22" s="34" t="s">
        <v>236</v>
      </c>
      <c r="L22" s="34" t="s">
        <v>230</v>
      </c>
      <c r="M22" s="34" t="s">
        <v>262</v>
      </c>
      <c r="N22" s="34" t="str">
        <f aca="false">"Sector "&amp;VALUE(MID(D22,13,2))</f>
        <v>Sector 6</v>
      </c>
      <c r="O22" s="34" t="str">
        <f aca="false">IF(Dashboard!$C$5="Ubicación técnica",N22,"Sector "&amp;VALUE(RIGHT(G22,2)))</f>
        <v>Sector 6</v>
      </c>
      <c r="P22" s="34" t="str">
        <f aca="false">IF(MID(D22,15,3)="SEL","Subestación eléctrica","Área de proceso")</f>
        <v>Área de proceso</v>
      </c>
      <c r="Q22" s="34" t="str">
        <f aca="false">MID(D22,13,5)&amp;"|"&amp;MID(D22,19,5)</f>
        <v>06AZA|SSERV</v>
      </c>
      <c r="R22" s="34" t="str">
        <f aca="false">IF(P22="Subestación eléctrica",IFERROR(INDEX(cat_SubN,MATCH(Q22,cat_SubK,0)),"SIN CATALOGAR"),"ÁREA DE PROCESO")</f>
        <v>ÁREA DE PROCESO</v>
      </c>
      <c r="S22" s="34" t="str">
        <f aca="false">IF(H22="","SIN DATO",IFERROR(INDEX(cat_MarcaN,MATCH(H22,cat_MarcaO,0)),H22))</f>
        <v>ABB</v>
      </c>
      <c r="T22" s="34" t="str">
        <f aca="false">IF(I22="","SIN DATO",IFERROR(INDEX(cat_ModN,MATCH(I22,cat_ModO,0)),I22))</f>
        <v>REM615A_1G</v>
      </c>
      <c r="U22" s="34" t="str">
        <f aca="false">IF(I22="","",IFERROR(INDEX(cat_ModG,MATCH(I22,cat_ModO,0)),"No"))</f>
        <v>No</v>
      </c>
      <c r="V22" s="34" t="str">
        <f aca="false">IF(J22="","SIN DATO",IFERROR(INDEX(cat_FunN,MATCH(J22,cat_FunO,0)),J22))</f>
        <v>Protección de motor</v>
      </c>
      <c r="W22" s="34" t="str">
        <f aca="false">IF(OR(S22="SIN DATO",T22="SIN DATO"),"No","Sí")</f>
        <v>Sí</v>
      </c>
    </row>
    <row r="23" customFormat="false" ht="15" hidden="false" customHeight="false" outlineLevel="0" collapsed="false">
      <c r="A23" s="34" t="s">
        <v>320</v>
      </c>
      <c r="B23" s="34" t="s">
        <v>321</v>
      </c>
      <c r="C23" s="34" t="s">
        <v>322</v>
      </c>
      <c r="D23" s="34" t="s">
        <v>323</v>
      </c>
      <c r="E23" s="34" t="s">
        <v>324</v>
      </c>
      <c r="F23" s="34" t="s">
        <v>325</v>
      </c>
      <c r="G23" s="34" t="s">
        <v>300</v>
      </c>
      <c r="H23" s="34" t="s">
        <v>34</v>
      </c>
      <c r="I23" s="34" t="s">
        <v>41</v>
      </c>
      <c r="J23" s="34" t="s">
        <v>302</v>
      </c>
      <c r="K23" s="34" t="s">
        <v>236</v>
      </c>
      <c r="L23" s="34" t="s">
        <v>230</v>
      </c>
      <c r="M23" s="34" t="s">
        <v>262</v>
      </c>
      <c r="N23" s="34" t="str">
        <f aca="false">"Sector "&amp;VALUE(MID(D23,13,2))</f>
        <v>Sector 6</v>
      </c>
      <c r="O23" s="34" t="str">
        <f aca="false">IF(Dashboard!$C$5="Ubicación técnica",N23,"Sector "&amp;VALUE(RIGHT(G23,2)))</f>
        <v>Sector 6</v>
      </c>
      <c r="P23" s="34" t="str">
        <f aca="false">IF(MID(D23,15,3)="SEL","Subestación eléctrica","Área de proceso")</f>
        <v>Área de proceso</v>
      </c>
      <c r="Q23" s="34" t="str">
        <f aca="false">MID(D23,13,5)&amp;"|"&amp;MID(D23,19,5)</f>
        <v>06AZB|SSERV</v>
      </c>
      <c r="R23" s="34" t="str">
        <f aca="false">IF(P23="Subestación eléctrica",IFERROR(INDEX(cat_SubN,MATCH(Q23,cat_SubK,0)),"SIN CATALOGAR"),"ÁREA DE PROCESO")</f>
        <v>ÁREA DE PROCESO</v>
      </c>
      <c r="S23" s="34" t="str">
        <f aca="false">IF(H23="","SIN DATO",IFERROR(INDEX(cat_MarcaN,MATCH(H23,cat_MarcaO,0)),H23))</f>
        <v>ABB</v>
      </c>
      <c r="T23" s="34" t="str">
        <f aca="false">IF(I23="","SIN DATO",IFERROR(INDEX(cat_ModN,MATCH(I23,cat_ModO,0)),I23))</f>
        <v>REM615A_1G</v>
      </c>
      <c r="U23" s="34" t="str">
        <f aca="false">IF(I23="","",IFERROR(INDEX(cat_ModG,MATCH(I23,cat_ModO,0)),"No"))</f>
        <v>No</v>
      </c>
      <c r="V23" s="34" t="str">
        <f aca="false">IF(J23="","SIN DATO",IFERROR(INDEX(cat_FunN,MATCH(J23,cat_FunO,0)),J23))</f>
        <v>Protección de motor</v>
      </c>
      <c r="W23" s="34" t="str">
        <f aca="false">IF(OR(S23="SIN DATO",T23="SIN DATO"),"No","Sí")</f>
        <v>Sí</v>
      </c>
    </row>
    <row r="24" customFormat="false" ht="15" hidden="false" customHeight="false" outlineLevel="0" collapsed="false">
      <c r="A24" s="34" t="s">
        <v>326</v>
      </c>
      <c r="B24" s="34" t="s">
        <v>327</v>
      </c>
      <c r="C24" s="34" t="s">
        <v>328</v>
      </c>
      <c r="D24" s="34" t="s">
        <v>323</v>
      </c>
      <c r="E24" s="34" t="s">
        <v>324</v>
      </c>
      <c r="F24" s="34" t="s">
        <v>325</v>
      </c>
      <c r="G24" s="34" t="s">
        <v>300</v>
      </c>
      <c r="H24" s="34" t="s">
        <v>34</v>
      </c>
      <c r="I24" s="34" t="s">
        <v>41</v>
      </c>
      <c r="J24" s="34" t="s">
        <v>302</v>
      </c>
      <c r="K24" s="34" t="s">
        <v>236</v>
      </c>
      <c r="L24" s="34" t="s">
        <v>230</v>
      </c>
      <c r="M24" s="34" t="s">
        <v>262</v>
      </c>
      <c r="N24" s="34" t="str">
        <f aca="false">"Sector "&amp;VALUE(MID(D24,13,2))</f>
        <v>Sector 6</v>
      </c>
      <c r="O24" s="34" t="str">
        <f aca="false">IF(Dashboard!$C$5="Ubicación técnica",N24,"Sector "&amp;VALUE(RIGHT(G24,2)))</f>
        <v>Sector 6</v>
      </c>
      <c r="P24" s="34" t="str">
        <f aca="false">IF(MID(D24,15,3)="SEL","Subestación eléctrica","Área de proceso")</f>
        <v>Área de proceso</v>
      </c>
      <c r="Q24" s="34" t="str">
        <f aca="false">MID(D24,13,5)&amp;"|"&amp;MID(D24,19,5)</f>
        <v>06AZB|SSERV</v>
      </c>
      <c r="R24" s="34" t="str">
        <f aca="false">IF(P24="Subestación eléctrica",IFERROR(INDEX(cat_SubN,MATCH(Q24,cat_SubK,0)),"SIN CATALOGAR"),"ÁREA DE PROCESO")</f>
        <v>ÁREA DE PROCESO</v>
      </c>
      <c r="S24" s="34" t="str">
        <f aca="false">IF(H24="","SIN DATO",IFERROR(INDEX(cat_MarcaN,MATCH(H24,cat_MarcaO,0)),H24))</f>
        <v>ABB</v>
      </c>
      <c r="T24" s="34" t="str">
        <f aca="false">IF(I24="","SIN DATO",IFERROR(INDEX(cat_ModN,MATCH(I24,cat_ModO,0)),I24))</f>
        <v>REM615A_1G</v>
      </c>
      <c r="U24" s="34" t="str">
        <f aca="false">IF(I24="","",IFERROR(INDEX(cat_ModG,MATCH(I24,cat_ModO,0)),"No"))</f>
        <v>No</v>
      </c>
      <c r="V24" s="34" t="str">
        <f aca="false">IF(J24="","SIN DATO",IFERROR(INDEX(cat_FunN,MATCH(J24,cat_FunO,0)),J24))</f>
        <v>Protección de motor</v>
      </c>
      <c r="W24" s="34" t="str">
        <f aca="false">IF(OR(S24="SIN DATO",T24="SIN DATO"),"No","Sí")</f>
        <v>Sí</v>
      </c>
    </row>
    <row r="25" customFormat="false" ht="15" hidden="false" customHeight="false" outlineLevel="0" collapsed="false">
      <c r="A25" s="34" t="s">
        <v>329</v>
      </c>
      <c r="B25" s="34" t="s">
        <v>330</v>
      </c>
      <c r="C25" s="34" t="s">
        <v>331</v>
      </c>
      <c r="D25" s="34" t="s">
        <v>332</v>
      </c>
      <c r="E25" s="34" t="s">
        <v>324</v>
      </c>
      <c r="F25" s="34" t="s">
        <v>325</v>
      </c>
      <c r="G25" s="34" t="s">
        <v>300</v>
      </c>
      <c r="H25" s="34" t="s">
        <v>34</v>
      </c>
      <c r="I25" s="34" t="s">
        <v>301</v>
      </c>
      <c r="J25" s="34" t="s">
        <v>302</v>
      </c>
      <c r="K25" s="34" t="s">
        <v>236</v>
      </c>
      <c r="L25" s="34" t="s">
        <v>230</v>
      </c>
      <c r="M25" s="34" t="s">
        <v>262</v>
      </c>
      <c r="N25" s="34" t="str">
        <f aca="false">"Sector "&amp;VALUE(MID(D25,13,2))</f>
        <v>Sector 6</v>
      </c>
      <c r="O25" s="34" t="str">
        <f aca="false">IF(Dashboard!$C$5="Ubicación técnica",N25,"Sector "&amp;VALUE(RIGHT(G25,2)))</f>
        <v>Sector 6</v>
      </c>
      <c r="P25" s="34" t="str">
        <f aca="false">IF(MID(D25,15,3)="SEL","Subestación eléctrica","Área de proceso")</f>
        <v>Área de proceso</v>
      </c>
      <c r="Q25" s="34" t="str">
        <f aca="false">MID(D25,13,5)&amp;"|"&amp;MID(D25,19,5)</f>
        <v>06AZB|SSERV</v>
      </c>
      <c r="R25" s="34" t="str">
        <f aca="false">IF(P25="Subestación eléctrica",IFERROR(INDEX(cat_SubN,MATCH(Q25,cat_SubK,0)),"SIN CATALOGAR"),"ÁREA DE PROCESO")</f>
        <v>ÁREA DE PROCESO</v>
      </c>
      <c r="S25" s="34" t="str">
        <f aca="false">IF(H25="","SIN DATO",IFERROR(INDEX(cat_MarcaN,MATCH(H25,cat_MarcaO,0)),H25))</f>
        <v>ABB</v>
      </c>
      <c r="T25" s="34" t="str">
        <f aca="false">IF(I25="","SIN DATO",IFERROR(INDEX(cat_ModN,MATCH(I25,cat_ModO,0)),I25))</f>
        <v>REM615A_1G</v>
      </c>
      <c r="U25" s="34" t="str">
        <f aca="false">IF(I25="","",IFERROR(INDEX(cat_ModG,MATCH(I25,cat_ModO,0)),"No"))</f>
        <v>No</v>
      </c>
      <c r="V25" s="34" t="str">
        <f aca="false">IF(J25="","SIN DATO",IFERROR(INDEX(cat_FunN,MATCH(J25,cat_FunO,0)),J25))</f>
        <v>Protección de motor</v>
      </c>
      <c r="W25" s="34" t="str">
        <f aca="false">IF(OR(S25="SIN DATO",T25="SIN DATO"),"No","Sí")</f>
        <v>Sí</v>
      </c>
    </row>
    <row r="26" customFormat="false" ht="15" hidden="false" customHeight="false" outlineLevel="0" collapsed="false">
      <c r="A26" s="34" t="s">
        <v>333</v>
      </c>
      <c r="B26" s="34" t="s">
        <v>334</v>
      </c>
      <c r="C26" s="34" t="s">
        <v>335</v>
      </c>
      <c r="D26" s="34" t="s">
        <v>336</v>
      </c>
      <c r="E26" s="34" t="s">
        <v>324</v>
      </c>
      <c r="F26" s="34" t="s">
        <v>325</v>
      </c>
      <c r="G26" s="34" t="s">
        <v>300</v>
      </c>
      <c r="H26" s="34" t="s">
        <v>34</v>
      </c>
      <c r="I26" s="34" t="s">
        <v>301</v>
      </c>
      <c r="J26" s="34" t="s">
        <v>302</v>
      </c>
      <c r="K26" s="34" t="s">
        <v>236</v>
      </c>
      <c r="L26" s="34" t="s">
        <v>230</v>
      </c>
      <c r="M26" s="34" t="s">
        <v>262</v>
      </c>
      <c r="N26" s="34" t="str">
        <f aca="false">"Sector "&amp;VALUE(MID(D26,13,2))</f>
        <v>Sector 6</v>
      </c>
      <c r="O26" s="34" t="str">
        <f aca="false">IF(Dashboard!$C$5="Ubicación técnica",N26,"Sector "&amp;VALUE(RIGHT(G26,2)))</f>
        <v>Sector 6</v>
      </c>
      <c r="P26" s="34" t="str">
        <f aca="false">IF(MID(D26,15,3)="SEL","Subestación eléctrica","Área de proceso")</f>
        <v>Área de proceso</v>
      </c>
      <c r="Q26" s="34" t="str">
        <f aca="false">MID(D26,13,5)&amp;"|"&amp;MID(D26,19,5)</f>
        <v>06AZB|SSERV</v>
      </c>
      <c r="R26" s="34" t="str">
        <f aca="false">IF(P26="Subestación eléctrica",IFERROR(INDEX(cat_SubN,MATCH(Q26,cat_SubK,0)),"SIN CATALOGAR"),"ÁREA DE PROCESO")</f>
        <v>ÁREA DE PROCESO</v>
      </c>
      <c r="S26" s="34" t="str">
        <f aca="false">IF(H26="","SIN DATO",IFERROR(INDEX(cat_MarcaN,MATCH(H26,cat_MarcaO,0)),H26))</f>
        <v>ABB</v>
      </c>
      <c r="T26" s="34" t="str">
        <f aca="false">IF(I26="","SIN DATO",IFERROR(INDEX(cat_ModN,MATCH(I26,cat_ModO,0)),I26))</f>
        <v>REM615A_1G</v>
      </c>
      <c r="U26" s="34" t="str">
        <f aca="false">IF(I26="","",IFERROR(INDEX(cat_ModG,MATCH(I26,cat_ModO,0)),"No"))</f>
        <v>No</v>
      </c>
      <c r="V26" s="34" t="str">
        <f aca="false">IF(J26="","SIN DATO",IFERROR(INDEX(cat_FunN,MATCH(J26,cat_FunO,0)),J26))</f>
        <v>Protección de motor</v>
      </c>
      <c r="W26" s="34" t="str">
        <f aca="false">IF(OR(S26="SIN DATO",T26="SIN DATO"),"No","Sí")</f>
        <v>Sí</v>
      </c>
    </row>
    <row r="27" customFormat="false" ht="15" hidden="false" customHeight="false" outlineLevel="0" collapsed="false">
      <c r="A27" s="34" t="s">
        <v>337</v>
      </c>
      <c r="B27" s="34" t="s">
        <v>338</v>
      </c>
      <c r="C27" s="34" t="s">
        <v>339</v>
      </c>
      <c r="D27" s="34" t="s">
        <v>340</v>
      </c>
      <c r="E27" s="34" t="s">
        <v>341</v>
      </c>
      <c r="F27" s="34" t="s">
        <v>342</v>
      </c>
      <c r="G27" s="34" t="s">
        <v>343</v>
      </c>
      <c r="H27" s="34" t="s">
        <v>73</v>
      </c>
      <c r="I27" s="34" t="s">
        <v>75</v>
      </c>
      <c r="J27" s="34" t="s">
        <v>228</v>
      </c>
      <c r="K27" s="34" t="s">
        <v>229</v>
      </c>
      <c r="L27" s="34" t="s">
        <v>230</v>
      </c>
      <c r="M27" s="34" t="s">
        <v>344</v>
      </c>
      <c r="N27" s="34" t="str">
        <f aca="false">"Sector "&amp;VALUE(MID(D27,13,2))</f>
        <v>Sector 7</v>
      </c>
      <c r="O27" s="34" t="str">
        <f aca="false">IF(Dashboard!$C$5="Ubicación técnica",N27,"Sector "&amp;VALUE(RIGHT(G27,2)))</f>
        <v>Sector 7</v>
      </c>
      <c r="P27" s="34" t="str">
        <f aca="false">IF(MID(D27,15,3)="SEL","Subestación eléctrica","Área de proceso")</f>
        <v>Área de proceso</v>
      </c>
      <c r="Q27" s="34" t="str">
        <f aca="false">MID(D27,13,5)&amp;"|"&amp;MID(D27,19,5)</f>
        <v>07BAA|SCB92</v>
      </c>
      <c r="R27" s="34" t="str">
        <f aca="false">IF(P27="Subestación eléctrica",IFERROR(INDEX(cat_SubN,MATCH(Q27,cat_SubK,0)),"SIN CATALOGAR"),"ÁREA DE PROCESO")</f>
        <v>ÁREA DE PROCESO</v>
      </c>
      <c r="S27" s="34" t="str">
        <f aca="false">IF(H27="","SIN DATO",IFERROR(INDEX(cat_MarcaN,MATCH(H27,cat_MarcaO,0)),H27))</f>
        <v>SIEMENS</v>
      </c>
      <c r="T27" s="34" t="str">
        <f aca="false">IF(I27="","SIN DATO",IFERROR(INDEX(cat_ModN,MATCH(I27,cat_ModO,0)),I27))</f>
        <v>REYROLLE</v>
      </c>
      <c r="U27" s="34" t="str">
        <f aca="false">IF(I27="","",IFERROR(INDEX(cat_ModG,MATCH(I27,cat_ModO,0)),"No"))</f>
        <v>Sí</v>
      </c>
      <c r="V27" s="34" t="str">
        <f aca="false">IF(J27="","SIN DATO",IFERROR(INDEX(cat_FunN,MATCH(J27,cat_FunO,0)),J27))</f>
        <v>Protección y medición</v>
      </c>
      <c r="W27" s="34" t="str">
        <f aca="false">IF(OR(S27="SIN DATO",T27="SIN DATO"),"No","Sí")</f>
        <v>Sí</v>
      </c>
    </row>
    <row r="28" customFormat="false" ht="15" hidden="false" customHeight="false" outlineLevel="0" collapsed="false">
      <c r="A28" s="34" t="s">
        <v>345</v>
      </c>
      <c r="B28" s="34" t="s">
        <v>346</v>
      </c>
      <c r="C28" s="34" t="s">
        <v>347</v>
      </c>
      <c r="D28" s="34" t="s">
        <v>348</v>
      </c>
      <c r="E28" s="34" t="s">
        <v>341</v>
      </c>
      <c r="F28" s="34" t="s">
        <v>342</v>
      </c>
      <c r="G28" s="34" t="s">
        <v>343</v>
      </c>
      <c r="H28" s="34" t="s">
        <v>73</v>
      </c>
      <c r="I28" s="34" t="s">
        <v>75</v>
      </c>
      <c r="J28" s="34" t="s">
        <v>228</v>
      </c>
      <c r="K28" s="34" t="s">
        <v>229</v>
      </c>
      <c r="L28" s="34" t="s">
        <v>230</v>
      </c>
      <c r="M28" s="34" t="s">
        <v>344</v>
      </c>
      <c r="N28" s="34" t="str">
        <f aca="false">"Sector "&amp;VALUE(MID(D28,13,2))</f>
        <v>Sector 7</v>
      </c>
      <c r="O28" s="34" t="str">
        <f aca="false">IF(Dashboard!$C$5="Ubicación técnica",N28,"Sector "&amp;VALUE(RIGHT(G28,2)))</f>
        <v>Sector 7</v>
      </c>
      <c r="P28" s="34" t="str">
        <f aca="false">IF(MID(D28,15,3)="SEL","Subestación eléctrica","Área de proceso")</f>
        <v>Área de proceso</v>
      </c>
      <c r="Q28" s="34" t="str">
        <f aca="false">MID(D28,13,5)&amp;"|"&amp;MID(D28,19,5)</f>
        <v>07BAA|SCB92</v>
      </c>
      <c r="R28" s="34" t="str">
        <f aca="false">IF(P28="Subestación eléctrica",IFERROR(INDEX(cat_SubN,MATCH(Q28,cat_SubK,0)),"SIN CATALOGAR"),"ÁREA DE PROCESO")</f>
        <v>ÁREA DE PROCESO</v>
      </c>
      <c r="S28" s="34" t="str">
        <f aca="false">IF(H28="","SIN DATO",IFERROR(INDEX(cat_MarcaN,MATCH(H28,cat_MarcaO,0)),H28))</f>
        <v>SIEMENS</v>
      </c>
      <c r="T28" s="34" t="str">
        <f aca="false">IF(I28="","SIN DATO",IFERROR(INDEX(cat_ModN,MATCH(I28,cat_ModO,0)),I28))</f>
        <v>REYROLLE</v>
      </c>
      <c r="U28" s="34" t="str">
        <f aca="false">IF(I28="","",IFERROR(INDEX(cat_ModG,MATCH(I28,cat_ModO,0)),"No"))</f>
        <v>Sí</v>
      </c>
      <c r="V28" s="34" t="str">
        <f aca="false">IF(J28="","SIN DATO",IFERROR(INDEX(cat_FunN,MATCH(J28,cat_FunO,0)),J28))</f>
        <v>Protección y medición</v>
      </c>
      <c r="W28" s="34" t="str">
        <f aca="false">IF(OR(S28="SIN DATO",T28="SIN DATO"),"No","Sí")</f>
        <v>Sí</v>
      </c>
    </row>
    <row r="29" customFormat="false" ht="15" hidden="false" customHeight="false" outlineLevel="0" collapsed="false">
      <c r="A29" s="34" t="s">
        <v>349</v>
      </c>
      <c r="B29" s="34" t="s">
        <v>350</v>
      </c>
      <c r="C29" s="34" t="s">
        <v>351</v>
      </c>
      <c r="D29" s="34" t="s">
        <v>352</v>
      </c>
      <c r="E29" s="34" t="s">
        <v>341</v>
      </c>
      <c r="F29" s="34" t="s">
        <v>342</v>
      </c>
      <c r="G29" s="34" t="s">
        <v>343</v>
      </c>
      <c r="H29" s="34" t="s">
        <v>73</v>
      </c>
      <c r="I29" s="34" t="s">
        <v>75</v>
      </c>
      <c r="J29" s="34" t="s">
        <v>228</v>
      </c>
      <c r="K29" s="34" t="s">
        <v>229</v>
      </c>
      <c r="L29" s="34" t="s">
        <v>230</v>
      </c>
      <c r="M29" s="34" t="s">
        <v>344</v>
      </c>
      <c r="N29" s="34" t="str">
        <f aca="false">"Sector "&amp;VALUE(MID(D29,13,2))</f>
        <v>Sector 7</v>
      </c>
      <c r="O29" s="34" t="str">
        <f aca="false">IF(Dashboard!$C$5="Ubicación técnica",N29,"Sector "&amp;VALUE(RIGHT(G29,2)))</f>
        <v>Sector 7</v>
      </c>
      <c r="P29" s="34" t="str">
        <f aca="false">IF(MID(D29,15,3)="SEL","Subestación eléctrica","Área de proceso")</f>
        <v>Área de proceso</v>
      </c>
      <c r="Q29" s="34" t="str">
        <f aca="false">MID(D29,13,5)&amp;"|"&amp;MID(D29,19,5)</f>
        <v>07BAA|SCB92</v>
      </c>
      <c r="R29" s="34" t="str">
        <f aca="false">IF(P29="Subestación eléctrica",IFERROR(INDEX(cat_SubN,MATCH(Q29,cat_SubK,0)),"SIN CATALOGAR"),"ÁREA DE PROCESO")</f>
        <v>ÁREA DE PROCESO</v>
      </c>
      <c r="S29" s="34" t="str">
        <f aca="false">IF(H29="","SIN DATO",IFERROR(INDEX(cat_MarcaN,MATCH(H29,cat_MarcaO,0)),H29))</f>
        <v>SIEMENS</v>
      </c>
      <c r="T29" s="34" t="str">
        <f aca="false">IF(I29="","SIN DATO",IFERROR(INDEX(cat_ModN,MATCH(I29,cat_ModO,0)),I29))</f>
        <v>REYROLLE</v>
      </c>
      <c r="U29" s="34" t="str">
        <f aca="false">IF(I29="","",IFERROR(INDEX(cat_ModG,MATCH(I29,cat_ModO,0)),"No"))</f>
        <v>Sí</v>
      </c>
      <c r="V29" s="34" t="str">
        <f aca="false">IF(J29="","SIN DATO",IFERROR(INDEX(cat_FunN,MATCH(J29,cat_FunO,0)),J29))</f>
        <v>Protección y medición</v>
      </c>
      <c r="W29" s="34" t="str">
        <f aca="false">IF(OR(S29="SIN DATO",T29="SIN DATO"),"No","Sí")</f>
        <v>Sí</v>
      </c>
    </row>
    <row r="30" customFormat="false" ht="15" hidden="false" customHeight="false" outlineLevel="0" collapsed="false">
      <c r="A30" s="34" t="s">
        <v>353</v>
      </c>
      <c r="B30" s="34" t="s">
        <v>354</v>
      </c>
      <c r="C30" s="34" t="s">
        <v>355</v>
      </c>
      <c r="D30" s="34" t="s">
        <v>356</v>
      </c>
      <c r="E30" s="34" t="s">
        <v>341</v>
      </c>
      <c r="F30" s="34" t="s">
        <v>342</v>
      </c>
      <c r="G30" s="34" t="s">
        <v>343</v>
      </c>
      <c r="H30" s="34" t="s">
        <v>73</v>
      </c>
      <c r="I30" s="34" t="s">
        <v>75</v>
      </c>
      <c r="J30" s="34" t="s">
        <v>228</v>
      </c>
      <c r="K30" s="34" t="s">
        <v>229</v>
      </c>
      <c r="L30" s="34" t="s">
        <v>230</v>
      </c>
      <c r="M30" s="34" t="s">
        <v>344</v>
      </c>
      <c r="N30" s="34" t="str">
        <f aca="false">"Sector "&amp;VALUE(MID(D30,13,2))</f>
        <v>Sector 7</v>
      </c>
      <c r="O30" s="34" t="str">
        <f aca="false">IF(Dashboard!$C$5="Ubicación técnica",N30,"Sector "&amp;VALUE(RIGHT(G30,2)))</f>
        <v>Sector 7</v>
      </c>
      <c r="P30" s="34" t="str">
        <f aca="false">IF(MID(D30,15,3)="SEL","Subestación eléctrica","Área de proceso")</f>
        <v>Área de proceso</v>
      </c>
      <c r="Q30" s="34" t="str">
        <f aca="false">MID(D30,13,5)&amp;"|"&amp;MID(D30,19,5)</f>
        <v>07BAA|SCB92</v>
      </c>
      <c r="R30" s="34" t="str">
        <f aca="false">IF(P30="Subestación eléctrica",IFERROR(INDEX(cat_SubN,MATCH(Q30,cat_SubK,0)),"SIN CATALOGAR"),"ÁREA DE PROCESO")</f>
        <v>ÁREA DE PROCESO</v>
      </c>
      <c r="S30" s="34" t="str">
        <f aca="false">IF(H30="","SIN DATO",IFERROR(INDEX(cat_MarcaN,MATCH(H30,cat_MarcaO,0)),H30))</f>
        <v>SIEMENS</v>
      </c>
      <c r="T30" s="34" t="str">
        <f aca="false">IF(I30="","SIN DATO",IFERROR(INDEX(cat_ModN,MATCH(I30,cat_ModO,0)),I30))</f>
        <v>REYROLLE</v>
      </c>
      <c r="U30" s="34" t="str">
        <f aca="false">IF(I30="","",IFERROR(INDEX(cat_ModG,MATCH(I30,cat_ModO,0)),"No"))</f>
        <v>Sí</v>
      </c>
      <c r="V30" s="34" t="str">
        <f aca="false">IF(J30="","SIN DATO",IFERROR(INDEX(cat_FunN,MATCH(J30,cat_FunO,0)),J30))</f>
        <v>Protección y medición</v>
      </c>
      <c r="W30" s="34" t="str">
        <f aca="false">IF(OR(S30="SIN DATO",T30="SIN DATO"),"No","Sí")</f>
        <v>Sí</v>
      </c>
    </row>
    <row r="31" customFormat="false" ht="15" hidden="false" customHeight="false" outlineLevel="0" collapsed="false">
      <c r="A31" s="34" t="s">
        <v>357</v>
      </c>
      <c r="B31" s="34" t="s">
        <v>358</v>
      </c>
      <c r="C31" s="34" t="s">
        <v>359</v>
      </c>
      <c r="D31" s="34" t="s">
        <v>360</v>
      </c>
      <c r="E31" s="34" t="s">
        <v>341</v>
      </c>
      <c r="F31" s="34" t="s">
        <v>342</v>
      </c>
      <c r="G31" s="34" t="s">
        <v>343</v>
      </c>
      <c r="H31" s="34" t="s">
        <v>73</v>
      </c>
      <c r="I31" s="34" t="s">
        <v>75</v>
      </c>
      <c r="J31" s="34" t="s">
        <v>228</v>
      </c>
      <c r="K31" s="34" t="s">
        <v>229</v>
      </c>
      <c r="L31" s="34" t="s">
        <v>230</v>
      </c>
      <c r="M31" s="34" t="s">
        <v>344</v>
      </c>
      <c r="N31" s="34" t="str">
        <f aca="false">"Sector "&amp;VALUE(MID(D31,13,2))</f>
        <v>Sector 7</v>
      </c>
      <c r="O31" s="34" t="str">
        <f aca="false">IF(Dashboard!$C$5="Ubicación técnica",N31,"Sector "&amp;VALUE(RIGHT(G31,2)))</f>
        <v>Sector 7</v>
      </c>
      <c r="P31" s="34" t="str">
        <f aca="false">IF(MID(D31,15,3)="SEL","Subestación eléctrica","Área de proceso")</f>
        <v>Área de proceso</v>
      </c>
      <c r="Q31" s="34" t="str">
        <f aca="false">MID(D31,13,5)&amp;"|"&amp;MID(D31,19,5)</f>
        <v>07BAA|SCB93</v>
      </c>
      <c r="R31" s="34" t="str">
        <f aca="false">IF(P31="Subestación eléctrica",IFERROR(INDEX(cat_SubN,MATCH(Q31,cat_SubK,0)),"SIN CATALOGAR"),"ÁREA DE PROCESO")</f>
        <v>ÁREA DE PROCESO</v>
      </c>
      <c r="S31" s="34" t="str">
        <f aca="false">IF(H31="","SIN DATO",IFERROR(INDEX(cat_MarcaN,MATCH(H31,cat_MarcaO,0)),H31))</f>
        <v>SIEMENS</v>
      </c>
      <c r="T31" s="34" t="str">
        <f aca="false">IF(I31="","SIN DATO",IFERROR(INDEX(cat_ModN,MATCH(I31,cat_ModO,0)),I31))</f>
        <v>REYROLLE</v>
      </c>
      <c r="U31" s="34" t="str">
        <f aca="false">IF(I31="","",IFERROR(INDEX(cat_ModG,MATCH(I31,cat_ModO,0)),"No"))</f>
        <v>Sí</v>
      </c>
      <c r="V31" s="34" t="str">
        <f aca="false">IF(J31="","SIN DATO",IFERROR(INDEX(cat_FunN,MATCH(J31,cat_FunO,0)),J31))</f>
        <v>Protección y medición</v>
      </c>
      <c r="W31" s="34" t="str">
        <f aca="false">IF(OR(S31="SIN DATO",T31="SIN DATO"),"No","Sí")</f>
        <v>Sí</v>
      </c>
    </row>
    <row r="32" customFormat="false" ht="15" hidden="false" customHeight="false" outlineLevel="0" collapsed="false">
      <c r="A32" s="34" t="s">
        <v>361</v>
      </c>
      <c r="B32" s="34" t="s">
        <v>362</v>
      </c>
      <c r="C32" s="34" t="s">
        <v>363</v>
      </c>
      <c r="D32" s="34" t="s">
        <v>364</v>
      </c>
      <c r="E32" s="34" t="s">
        <v>341</v>
      </c>
      <c r="F32" s="34" t="s">
        <v>342</v>
      </c>
      <c r="G32" s="34" t="s">
        <v>343</v>
      </c>
      <c r="H32" s="34" t="s">
        <v>73</v>
      </c>
      <c r="I32" s="34" t="s">
        <v>75</v>
      </c>
      <c r="J32" s="34" t="s">
        <v>228</v>
      </c>
      <c r="K32" s="34" t="s">
        <v>229</v>
      </c>
      <c r="L32" s="34" t="s">
        <v>230</v>
      </c>
      <c r="M32" s="34" t="s">
        <v>344</v>
      </c>
      <c r="N32" s="34" t="str">
        <f aca="false">"Sector "&amp;VALUE(MID(D32,13,2))</f>
        <v>Sector 7</v>
      </c>
      <c r="O32" s="34" t="str">
        <f aca="false">IF(Dashboard!$C$5="Ubicación técnica",N32,"Sector "&amp;VALUE(RIGHT(G32,2)))</f>
        <v>Sector 7</v>
      </c>
      <c r="P32" s="34" t="str">
        <f aca="false">IF(MID(D32,15,3)="SEL","Subestación eléctrica","Área de proceso")</f>
        <v>Área de proceso</v>
      </c>
      <c r="Q32" s="34" t="str">
        <f aca="false">MID(D32,13,5)&amp;"|"&amp;MID(D32,19,5)</f>
        <v>07BAA|SCB93</v>
      </c>
      <c r="R32" s="34" t="str">
        <f aca="false">IF(P32="Subestación eléctrica",IFERROR(INDEX(cat_SubN,MATCH(Q32,cat_SubK,0)),"SIN CATALOGAR"),"ÁREA DE PROCESO")</f>
        <v>ÁREA DE PROCESO</v>
      </c>
      <c r="S32" s="34" t="str">
        <f aca="false">IF(H32="","SIN DATO",IFERROR(INDEX(cat_MarcaN,MATCH(H32,cat_MarcaO,0)),H32))</f>
        <v>SIEMENS</v>
      </c>
      <c r="T32" s="34" t="str">
        <f aca="false">IF(I32="","SIN DATO",IFERROR(INDEX(cat_ModN,MATCH(I32,cat_ModO,0)),I32))</f>
        <v>REYROLLE</v>
      </c>
      <c r="U32" s="34" t="str">
        <f aca="false">IF(I32="","",IFERROR(INDEX(cat_ModG,MATCH(I32,cat_ModO,0)),"No"))</f>
        <v>Sí</v>
      </c>
      <c r="V32" s="34" t="str">
        <f aca="false">IF(J32="","SIN DATO",IFERROR(INDEX(cat_FunN,MATCH(J32,cat_FunO,0)),J32))</f>
        <v>Protección y medición</v>
      </c>
      <c r="W32" s="34" t="str">
        <f aca="false">IF(OR(S32="SIN DATO",T32="SIN DATO"),"No","Sí")</f>
        <v>Sí</v>
      </c>
    </row>
    <row r="33" customFormat="false" ht="15" hidden="false" customHeight="false" outlineLevel="0" collapsed="false">
      <c r="A33" s="34" t="s">
        <v>365</v>
      </c>
      <c r="B33" s="34" t="s">
        <v>366</v>
      </c>
      <c r="C33" s="34" t="s">
        <v>367</v>
      </c>
      <c r="D33" s="34" t="s">
        <v>368</v>
      </c>
      <c r="E33" s="34" t="s">
        <v>341</v>
      </c>
      <c r="F33" s="34" t="s">
        <v>342</v>
      </c>
      <c r="G33" s="34" t="s">
        <v>343</v>
      </c>
      <c r="H33" s="34" t="s">
        <v>73</v>
      </c>
      <c r="I33" s="34" t="s">
        <v>75</v>
      </c>
      <c r="J33" s="34" t="s">
        <v>228</v>
      </c>
      <c r="K33" s="34" t="s">
        <v>229</v>
      </c>
      <c r="L33" s="34" t="s">
        <v>230</v>
      </c>
      <c r="M33" s="34" t="s">
        <v>344</v>
      </c>
      <c r="N33" s="34" t="str">
        <f aca="false">"Sector "&amp;VALUE(MID(D33,13,2))</f>
        <v>Sector 7</v>
      </c>
      <c r="O33" s="34" t="str">
        <f aca="false">IF(Dashboard!$C$5="Ubicación técnica",N33,"Sector "&amp;VALUE(RIGHT(G33,2)))</f>
        <v>Sector 7</v>
      </c>
      <c r="P33" s="34" t="str">
        <f aca="false">IF(MID(D33,15,3)="SEL","Subestación eléctrica","Área de proceso")</f>
        <v>Área de proceso</v>
      </c>
      <c r="Q33" s="34" t="str">
        <f aca="false">MID(D33,13,5)&amp;"|"&amp;MID(D33,19,5)</f>
        <v>07BAA|SCB93</v>
      </c>
      <c r="R33" s="34" t="str">
        <f aca="false">IF(P33="Subestación eléctrica",IFERROR(INDEX(cat_SubN,MATCH(Q33,cat_SubK,0)),"SIN CATALOGAR"),"ÁREA DE PROCESO")</f>
        <v>ÁREA DE PROCESO</v>
      </c>
      <c r="S33" s="34" t="str">
        <f aca="false">IF(H33="","SIN DATO",IFERROR(INDEX(cat_MarcaN,MATCH(H33,cat_MarcaO,0)),H33))</f>
        <v>SIEMENS</v>
      </c>
      <c r="T33" s="34" t="str">
        <f aca="false">IF(I33="","SIN DATO",IFERROR(INDEX(cat_ModN,MATCH(I33,cat_ModO,0)),I33))</f>
        <v>REYROLLE</v>
      </c>
      <c r="U33" s="34" t="str">
        <f aca="false">IF(I33="","",IFERROR(INDEX(cat_ModG,MATCH(I33,cat_ModO,0)),"No"))</f>
        <v>Sí</v>
      </c>
      <c r="V33" s="34" t="str">
        <f aca="false">IF(J33="","SIN DATO",IFERROR(INDEX(cat_FunN,MATCH(J33,cat_FunO,0)),J33))</f>
        <v>Protección y medición</v>
      </c>
      <c r="W33" s="34" t="str">
        <f aca="false">IF(OR(S33="SIN DATO",T33="SIN DATO"),"No","Sí")</f>
        <v>Sí</v>
      </c>
    </row>
    <row r="34" customFormat="false" ht="15" hidden="false" customHeight="false" outlineLevel="0" collapsed="false">
      <c r="A34" s="34" t="s">
        <v>369</v>
      </c>
      <c r="B34" s="34" t="s">
        <v>370</v>
      </c>
      <c r="C34" s="34" t="s">
        <v>371</v>
      </c>
      <c r="D34" s="34" t="s">
        <v>372</v>
      </c>
      <c r="E34" s="34" t="s">
        <v>341</v>
      </c>
      <c r="F34" s="34" t="s">
        <v>342</v>
      </c>
      <c r="G34" s="34" t="s">
        <v>343</v>
      </c>
      <c r="H34" s="34" t="s">
        <v>73</v>
      </c>
      <c r="I34" s="34" t="s">
        <v>75</v>
      </c>
      <c r="J34" s="34" t="s">
        <v>228</v>
      </c>
      <c r="K34" s="34" t="s">
        <v>229</v>
      </c>
      <c r="L34" s="34" t="s">
        <v>230</v>
      </c>
      <c r="M34" s="34" t="s">
        <v>344</v>
      </c>
      <c r="N34" s="34" t="str">
        <f aca="false">"Sector "&amp;VALUE(MID(D34,13,2))</f>
        <v>Sector 7</v>
      </c>
      <c r="O34" s="34" t="str">
        <f aca="false">IF(Dashboard!$C$5="Ubicación técnica",N34,"Sector "&amp;VALUE(RIGHT(G34,2)))</f>
        <v>Sector 7</v>
      </c>
      <c r="P34" s="34" t="str">
        <f aca="false">IF(MID(D34,15,3)="SEL","Subestación eléctrica","Área de proceso")</f>
        <v>Área de proceso</v>
      </c>
      <c r="Q34" s="34" t="str">
        <f aca="false">MID(D34,13,5)&amp;"|"&amp;MID(D34,19,5)</f>
        <v>07BAA|SCB93</v>
      </c>
      <c r="R34" s="34" t="str">
        <f aca="false">IF(P34="Subestación eléctrica",IFERROR(INDEX(cat_SubN,MATCH(Q34,cat_SubK,0)),"SIN CATALOGAR"),"ÁREA DE PROCESO")</f>
        <v>ÁREA DE PROCESO</v>
      </c>
      <c r="S34" s="34" t="str">
        <f aca="false">IF(H34="","SIN DATO",IFERROR(INDEX(cat_MarcaN,MATCH(H34,cat_MarcaO,0)),H34))</f>
        <v>SIEMENS</v>
      </c>
      <c r="T34" s="34" t="str">
        <f aca="false">IF(I34="","SIN DATO",IFERROR(INDEX(cat_ModN,MATCH(I34,cat_ModO,0)),I34))</f>
        <v>REYROLLE</v>
      </c>
      <c r="U34" s="34" t="str">
        <f aca="false">IF(I34="","",IFERROR(INDEX(cat_ModG,MATCH(I34,cat_ModO,0)),"No"))</f>
        <v>Sí</v>
      </c>
      <c r="V34" s="34" t="str">
        <f aca="false">IF(J34="","SIN DATO",IFERROR(INDEX(cat_FunN,MATCH(J34,cat_FunO,0)),J34))</f>
        <v>Protección y medición</v>
      </c>
      <c r="W34" s="34" t="str">
        <f aca="false">IF(OR(S34="SIN DATO",T34="SIN DATO"),"No","Sí")</f>
        <v>Sí</v>
      </c>
    </row>
    <row r="35" customFormat="false" ht="15" hidden="false" customHeight="false" outlineLevel="0" collapsed="false">
      <c r="A35" s="34" t="s">
        <v>373</v>
      </c>
      <c r="B35" s="34" t="s">
        <v>374</v>
      </c>
      <c r="C35" s="34" t="s">
        <v>375</v>
      </c>
      <c r="D35" s="34" t="s">
        <v>376</v>
      </c>
      <c r="E35" s="34" t="s">
        <v>341</v>
      </c>
      <c r="F35" s="34" t="s">
        <v>342</v>
      </c>
      <c r="G35" s="34" t="s">
        <v>343</v>
      </c>
      <c r="H35" s="34" t="s">
        <v>73</v>
      </c>
      <c r="I35" s="34" t="s">
        <v>75</v>
      </c>
      <c r="J35" s="34" t="s">
        <v>228</v>
      </c>
      <c r="K35" s="34" t="s">
        <v>229</v>
      </c>
      <c r="L35" s="34" t="s">
        <v>230</v>
      </c>
      <c r="M35" s="34" t="s">
        <v>344</v>
      </c>
      <c r="N35" s="34" t="str">
        <f aca="false">"Sector "&amp;VALUE(MID(D35,13,2))</f>
        <v>Sector 7</v>
      </c>
      <c r="O35" s="34" t="str">
        <f aca="false">IF(Dashboard!$C$5="Ubicación técnica",N35,"Sector "&amp;VALUE(RIGHT(G35,2)))</f>
        <v>Sector 7</v>
      </c>
      <c r="P35" s="34" t="str">
        <f aca="false">IF(MID(D35,15,3)="SEL","Subestación eléctrica","Área de proceso")</f>
        <v>Área de proceso</v>
      </c>
      <c r="Q35" s="34" t="str">
        <f aca="false">MID(D35,13,5)&amp;"|"&amp;MID(D35,19,5)</f>
        <v>07BAA|SCB93</v>
      </c>
      <c r="R35" s="34" t="str">
        <f aca="false">IF(P35="Subestación eléctrica",IFERROR(INDEX(cat_SubN,MATCH(Q35,cat_SubK,0)),"SIN CATALOGAR"),"ÁREA DE PROCESO")</f>
        <v>ÁREA DE PROCESO</v>
      </c>
      <c r="S35" s="34" t="str">
        <f aca="false">IF(H35="","SIN DATO",IFERROR(INDEX(cat_MarcaN,MATCH(H35,cat_MarcaO,0)),H35))</f>
        <v>SIEMENS</v>
      </c>
      <c r="T35" s="34" t="str">
        <f aca="false">IF(I35="","SIN DATO",IFERROR(INDEX(cat_ModN,MATCH(I35,cat_ModO,0)),I35))</f>
        <v>REYROLLE</v>
      </c>
      <c r="U35" s="34" t="str">
        <f aca="false">IF(I35="","",IFERROR(INDEX(cat_ModG,MATCH(I35,cat_ModO,0)),"No"))</f>
        <v>Sí</v>
      </c>
      <c r="V35" s="34" t="str">
        <f aca="false">IF(J35="","SIN DATO",IFERROR(INDEX(cat_FunN,MATCH(J35,cat_FunO,0)),J35))</f>
        <v>Protección y medición</v>
      </c>
      <c r="W35" s="34" t="str">
        <f aca="false">IF(OR(S35="SIN DATO",T35="SIN DATO"),"No","Sí")</f>
        <v>Sí</v>
      </c>
    </row>
    <row r="36" customFormat="false" ht="15" hidden="false" customHeight="false" outlineLevel="0" collapsed="false">
      <c r="A36" s="34" t="s">
        <v>377</v>
      </c>
      <c r="B36" s="34" t="s">
        <v>378</v>
      </c>
      <c r="C36" s="34" t="s">
        <v>379</v>
      </c>
      <c r="D36" s="34" t="s">
        <v>380</v>
      </c>
      <c r="E36" s="34" t="s">
        <v>341</v>
      </c>
      <c r="F36" s="34" t="s">
        <v>342</v>
      </c>
      <c r="G36" s="34" t="s">
        <v>343</v>
      </c>
      <c r="H36" s="34" t="s">
        <v>73</v>
      </c>
      <c r="I36" s="34" t="s">
        <v>75</v>
      </c>
      <c r="J36" s="34" t="s">
        <v>228</v>
      </c>
      <c r="K36" s="34" t="s">
        <v>229</v>
      </c>
      <c r="L36" s="34" t="s">
        <v>230</v>
      </c>
      <c r="M36" s="34" t="s">
        <v>344</v>
      </c>
      <c r="N36" s="34" t="str">
        <f aca="false">"Sector "&amp;VALUE(MID(D36,13,2))</f>
        <v>Sector 7</v>
      </c>
      <c r="O36" s="34" t="str">
        <f aca="false">IF(Dashboard!$C$5="Ubicación técnica",N36,"Sector "&amp;VALUE(RIGHT(G36,2)))</f>
        <v>Sector 7</v>
      </c>
      <c r="P36" s="34" t="str">
        <f aca="false">IF(MID(D36,15,3)="SEL","Subestación eléctrica","Área de proceso")</f>
        <v>Área de proceso</v>
      </c>
      <c r="Q36" s="34" t="str">
        <f aca="false">MID(D36,13,5)&amp;"|"&amp;MID(D36,19,5)</f>
        <v>07BAA|SCB93</v>
      </c>
      <c r="R36" s="34" t="str">
        <f aca="false">IF(P36="Subestación eléctrica",IFERROR(INDEX(cat_SubN,MATCH(Q36,cat_SubK,0)),"SIN CATALOGAR"),"ÁREA DE PROCESO")</f>
        <v>ÁREA DE PROCESO</v>
      </c>
      <c r="S36" s="34" t="str">
        <f aca="false">IF(H36="","SIN DATO",IFERROR(INDEX(cat_MarcaN,MATCH(H36,cat_MarcaO,0)),H36))</f>
        <v>SIEMENS</v>
      </c>
      <c r="T36" s="34" t="str">
        <f aca="false">IF(I36="","SIN DATO",IFERROR(INDEX(cat_ModN,MATCH(I36,cat_ModO,0)),I36))</f>
        <v>REYROLLE</v>
      </c>
      <c r="U36" s="34" t="str">
        <f aca="false">IF(I36="","",IFERROR(INDEX(cat_ModG,MATCH(I36,cat_ModO,0)),"No"))</f>
        <v>Sí</v>
      </c>
      <c r="V36" s="34" t="str">
        <f aca="false">IF(J36="","SIN DATO",IFERROR(INDEX(cat_FunN,MATCH(J36,cat_FunO,0)),J36))</f>
        <v>Protección y medición</v>
      </c>
      <c r="W36" s="34" t="str">
        <f aca="false">IF(OR(S36="SIN DATO",T36="SIN DATO"),"No","Sí")</f>
        <v>Sí</v>
      </c>
    </row>
    <row r="37" customFormat="false" ht="15" hidden="false" customHeight="false" outlineLevel="0" collapsed="false">
      <c r="A37" s="34" t="s">
        <v>381</v>
      </c>
      <c r="B37" s="34" t="s">
        <v>382</v>
      </c>
      <c r="C37" s="34" t="s">
        <v>383</v>
      </c>
      <c r="D37" s="34" t="s">
        <v>384</v>
      </c>
      <c r="E37" s="34" t="s">
        <v>341</v>
      </c>
      <c r="F37" s="34" t="s">
        <v>342</v>
      </c>
      <c r="G37" s="34" t="s">
        <v>343</v>
      </c>
      <c r="H37" s="34" t="s">
        <v>73</v>
      </c>
      <c r="I37" s="34" t="s">
        <v>75</v>
      </c>
      <c r="J37" s="34" t="s">
        <v>228</v>
      </c>
      <c r="K37" s="34" t="s">
        <v>229</v>
      </c>
      <c r="L37" s="34" t="s">
        <v>230</v>
      </c>
      <c r="M37" s="34" t="s">
        <v>344</v>
      </c>
      <c r="N37" s="34" t="str">
        <f aca="false">"Sector "&amp;VALUE(MID(D37,13,2))</f>
        <v>Sector 7</v>
      </c>
      <c r="O37" s="34" t="str">
        <f aca="false">IF(Dashboard!$C$5="Ubicación técnica",N37,"Sector "&amp;VALUE(RIGHT(G37,2)))</f>
        <v>Sector 7</v>
      </c>
      <c r="P37" s="34" t="str">
        <f aca="false">IF(MID(D37,15,3)="SEL","Subestación eléctrica","Área de proceso")</f>
        <v>Área de proceso</v>
      </c>
      <c r="Q37" s="34" t="str">
        <f aca="false">MID(D37,13,5)&amp;"|"&amp;MID(D37,19,5)</f>
        <v>07BAA|SCB93</v>
      </c>
      <c r="R37" s="34" t="str">
        <f aca="false">IF(P37="Subestación eléctrica",IFERROR(INDEX(cat_SubN,MATCH(Q37,cat_SubK,0)),"SIN CATALOGAR"),"ÁREA DE PROCESO")</f>
        <v>ÁREA DE PROCESO</v>
      </c>
      <c r="S37" s="34" t="str">
        <f aca="false">IF(H37="","SIN DATO",IFERROR(INDEX(cat_MarcaN,MATCH(H37,cat_MarcaO,0)),H37))</f>
        <v>SIEMENS</v>
      </c>
      <c r="T37" s="34" t="str">
        <f aca="false">IF(I37="","SIN DATO",IFERROR(INDEX(cat_ModN,MATCH(I37,cat_ModO,0)),I37))</f>
        <v>REYROLLE</v>
      </c>
      <c r="U37" s="34" t="str">
        <f aca="false">IF(I37="","",IFERROR(INDEX(cat_ModG,MATCH(I37,cat_ModO,0)),"No"))</f>
        <v>Sí</v>
      </c>
      <c r="V37" s="34" t="str">
        <f aca="false">IF(J37="","SIN DATO",IFERROR(INDEX(cat_FunN,MATCH(J37,cat_FunO,0)),J37))</f>
        <v>Protección y medición</v>
      </c>
      <c r="W37" s="34" t="str">
        <f aca="false">IF(OR(S37="SIN DATO",T37="SIN DATO"),"No","Sí")</f>
        <v>Sí</v>
      </c>
    </row>
    <row r="38" customFormat="false" ht="15" hidden="false" customHeight="false" outlineLevel="0" collapsed="false">
      <c r="A38" s="34" t="s">
        <v>385</v>
      </c>
      <c r="B38" s="34" t="s">
        <v>386</v>
      </c>
      <c r="C38" s="34" t="s">
        <v>387</v>
      </c>
      <c r="D38" s="34" t="s">
        <v>388</v>
      </c>
      <c r="E38" s="34" t="s">
        <v>341</v>
      </c>
      <c r="F38" s="34" t="s">
        <v>342</v>
      </c>
      <c r="G38" s="34" t="s">
        <v>343</v>
      </c>
      <c r="H38" s="34" t="s">
        <v>73</v>
      </c>
      <c r="I38" s="34" t="s">
        <v>75</v>
      </c>
      <c r="J38" s="34" t="s">
        <v>228</v>
      </c>
      <c r="K38" s="34" t="s">
        <v>229</v>
      </c>
      <c r="L38" s="34" t="s">
        <v>230</v>
      </c>
      <c r="M38" s="34" t="s">
        <v>344</v>
      </c>
      <c r="N38" s="34" t="str">
        <f aca="false">"Sector "&amp;VALUE(MID(D38,13,2))</f>
        <v>Sector 7</v>
      </c>
      <c r="O38" s="34" t="str">
        <f aca="false">IF(Dashboard!$C$5="Ubicación técnica",N38,"Sector "&amp;VALUE(RIGHT(G38,2)))</f>
        <v>Sector 7</v>
      </c>
      <c r="P38" s="34" t="str">
        <f aca="false">IF(MID(D38,15,3)="SEL","Subestación eléctrica","Área de proceso")</f>
        <v>Área de proceso</v>
      </c>
      <c r="Q38" s="34" t="str">
        <f aca="false">MID(D38,13,5)&amp;"|"&amp;MID(D38,19,5)</f>
        <v>07BAA|SCB93</v>
      </c>
      <c r="R38" s="34" t="str">
        <f aca="false">IF(P38="Subestación eléctrica",IFERROR(INDEX(cat_SubN,MATCH(Q38,cat_SubK,0)),"SIN CATALOGAR"),"ÁREA DE PROCESO")</f>
        <v>ÁREA DE PROCESO</v>
      </c>
      <c r="S38" s="34" t="str">
        <f aca="false">IF(H38="","SIN DATO",IFERROR(INDEX(cat_MarcaN,MATCH(H38,cat_MarcaO,0)),H38))</f>
        <v>SIEMENS</v>
      </c>
      <c r="T38" s="34" t="str">
        <f aca="false">IF(I38="","SIN DATO",IFERROR(INDEX(cat_ModN,MATCH(I38,cat_ModO,0)),I38))</f>
        <v>REYROLLE</v>
      </c>
      <c r="U38" s="34" t="str">
        <f aca="false">IF(I38="","",IFERROR(INDEX(cat_ModG,MATCH(I38,cat_ModO,0)),"No"))</f>
        <v>Sí</v>
      </c>
      <c r="V38" s="34" t="str">
        <f aca="false">IF(J38="","SIN DATO",IFERROR(INDEX(cat_FunN,MATCH(J38,cat_FunO,0)),J38))</f>
        <v>Protección y medición</v>
      </c>
      <c r="W38" s="34" t="str">
        <f aca="false">IF(OR(S38="SIN DATO",T38="SIN DATO"),"No","Sí")</f>
        <v>Sí</v>
      </c>
    </row>
    <row r="39" customFormat="false" ht="15" hidden="false" customHeight="false" outlineLevel="0" collapsed="false">
      <c r="A39" s="34" t="s">
        <v>389</v>
      </c>
      <c r="B39" s="34" t="s">
        <v>390</v>
      </c>
      <c r="C39" s="34" t="s">
        <v>391</v>
      </c>
      <c r="D39" s="34" t="s">
        <v>392</v>
      </c>
      <c r="E39" s="34" t="s">
        <v>341</v>
      </c>
      <c r="F39" s="34" t="s">
        <v>342</v>
      </c>
      <c r="G39" s="34" t="s">
        <v>343</v>
      </c>
      <c r="H39" s="34" t="s">
        <v>73</v>
      </c>
      <c r="I39" s="34" t="s">
        <v>75</v>
      </c>
      <c r="J39" s="34" t="s">
        <v>228</v>
      </c>
      <c r="K39" s="34" t="s">
        <v>229</v>
      </c>
      <c r="L39" s="34" t="s">
        <v>230</v>
      </c>
      <c r="M39" s="34" t="s">
        <v>344</v>
      </c>
      <c r="N39" s="34" t="str">
        <f aca="false">"Sector "&amp;VALUE(MID(D39,13,2))</f>
        <v>Sector 7</v>
      </c>
      <c r="O39" s="34" t="str">
        <f aca="false">IF(Dashboard!$C$5="Ubicación técnica",N39,"Sector "&amp;VALUE(RIGHT(G39,2)))</f>
        <v>Sector 7</v>
      </c>
      <c r="P39" s="34" t="str">
        <f aca="false">IF(MID(D39,15,3)="SEL","Subestación eléctrica","Área de proceso")</f>
        <v>Área de proceso</v>
      </c>
      <c r="Q39" s="34" t="str">
        <f aca="false">MID(D39,13,5)&amp;"|"&amp;MID(D39,19,5)</f>
        <v>07BAA|SCB93</v>
      </c>
      <c r="R39" s="34" t="str">
        <f aca="false">IF(P39="Subestación eléctrica",IFERROR(INDEX(cat_SubN,MATCH(Q39,cat_SubK,0)),"SIN CATALOGAR"),"ÁREA DE PROCESO")</f>
        <v>ÁREA DE PROCESO</v>
      </c>
      <c r="S39" s="34" t="str">
        <f aca="false">IF(H39="","SIN DATO",IFERROR(INDEX(cat_MarcaN,MATCH(H39,cat_MarcaO,0)),H39))</f>
        <v>SIEMENS</v>
      </c>
      <c r="T39" s="34" t="str">
        <f aca="false">IF(I39="","SIN DATO",IFERROR(INDEX(cat_ModN,MATCH(I39,cat_ModO,0)),I39))</f>
        <v>REYROLLE</v>
      </c>
      <c r="U39" s="34" t="str">
        <f aca="false">IF(I39="","",IFERROR(INDEX(cat_ModG,MATCH(I39,cat_ModO,0)),"No"))</f>
        <v>Sí</v>
      </c>
      <c r="V39" s="34" t="str">
        <f aca="false">IF(J39="","SIN DATO",IFERROR(INDEX(cat_FunN,MATCH(J39,cat_FunO,0)),J39))</f>
        <v>Protección y medición</v>
      </c>
      <c r="W39" s="34" t="str">
        <f aca="false">IF(OR(S39="SIN DATO",T39="SIN DATO"),"No","Sí")</f>
        <v>Sí</v>
      </c>
    </row>
    <row r="40" customFormat="false" ht="15" hidden="false" customHeight="false" outlineLevel="0" collapsed="false">
      <c r="A40" s="34" t="s">
        <v>393</v>
      </c>
      <c r="B40" s="34" t="s">
        <v>394</v>
      </c>
      <c r="C40" s="34" t="s">
        <v>395</v>
      </c>
      <c r="D40" s="34" t="s">
        <v>396</v>
      </c>
      <c r="E40" s="34" t="s">
        <v>341</v>
      </c>
      <c r="F40" s="34" t="s">
        <v>342</v>
      </c>
      <c r="G40" s="34" t="s">
        <v>343</v>
      </c>
      <c r="H40" s="34" t="s">
        <v>34</v>
      </c>
      <c r="I40" s="34" t="s">
        <v>44</v>
      </c>
      <c r="J40" s="34" t="s">
        <v>228</v>
      </c>
      <c r="K40" s="34" t="s">
        <v>229</v>
      </c>
      <c r="L40" s="34" t="s">
        <v>230</v>
      </c>
      <c r="M40" s="34" t="s">
        <v>231</v>
      </c>
      <c r="N40" s="34" t="str">
        <f aca="false">"Sector "&amp;VALUE(MID(D40,13,2))</f>
        <v>Sector 7</v>
      </c>
      <c r="O40" s="34" t="str">
        <f aca="false">IF(Dashboard!$C$5="Ubicación técnica",N40,"Sector "&amp;VALUE(RIGHT(G40,2)))</f>
        <v>Sector 7</v>
      </c>
      <c r="P40" s="34" t="str">
        <f aca="false">IF(MID(D40,15,3)="SEL","Subestación eléctrica","Área de proceso")</f>
        <v>Área de proceso</v>
      </c>
      <c r="Q40" s="34" t="str">
        <f aca="false">MID(D40,13,5)&amp;"|"&amp;MID(D40,19,5)</f>
        <v>07BAA|SCB95</v>
      </c>
      <c r="R40" s="34" t="str">
        <f aca="false">IF(P40="Subestación eléctrica",IFERROR(INDEX(cat_SubN,MATCH(Q40,cat_SubK,0)),"SIN CATALOGAR"),"ÁREA DE PROCESO")</f>
        <v>ÁREA DE PROCESO</v>
      </c>
      <c r="S40" s="34" t="str">
        <f aca="false">IF(H40="","SIN DATO",IFERROR(INDEX(cat_MarcaN,MATCH(H40,cat_MarcaO,0)),H40))</f>
        <v>ABB</v>
      </c>
      <c r="T40" s="34" t="str">
        <f aca="false">IF(I40="","SIN DATO",IFERROR(INDEX(cat_ModN,MATCH(I40,cat_ModO,0)),I40))</f>
        <v>REM</v>
      </c>
      <c r="U40" s="34" t="str">
        <f aca="false">IF(I40="","",IFERROR(INDEX(cat_ModG,MATCH(I40,cat_ModO,0)),"No"))</f>
        <v>Sí</v>
      </c>
      <c r="V40" s="34" t="str">
        <f aca="false">IF(J40="","SIN DATO",IFERROR(INDEX(cat_FunN,MATCH(J40,cat_FunO,0)),J40))</f>
        <v>Protección y medición</v>
      </c>
      <c r="W40" s="34" t="str">
        <f aca="false">IF(OR(S40="SIN DATO",T40="SIN DATO"),"No","Sí")</f>
        <v>Sí</v>
      </c>
    </row>
    <row r="41" customFormat="false" ht="15" hidden="false" customHeight="false" outlineLevel="0" collapsed="false">
      <c r="A41" s="34" t="s">
        <v>397</v>
      </c>
      <c r="B41" s="34" t="s">
        <v>398</v>
      </c>
      <c r="C41" s="34" t="s">
        <v>399</v>
      </c>
      <c r="D41" s="34" t="s">
        <v>400</v>
      </c>
      <c r="E41" s="34" t="s">
        <v>341</v>
      </c>
      <c r="F41" s="34" t="s">
        <v>342</v>
      </c>
      <c r="G41" s="34" t="s">
        <v>343</v>
      </c>
      <c r="H41" s="34" t="s">
        <v>34</v>
      </c>
      <c r="I41" s="34" t="s">
        <v>44</v>
      </c>
      <c r="J41" s="34" t="s">
        <v>228</v>
      </c>
      <c r="K41" s="34" t="s">
        <v>229</v>
      </c>
      <c r="L41" s="34" t="s">
        <v>230</v>
      </c>
      <c r="M41" s="34" t="s">
        <v>231</v>
      </c>
      <c r="N41" s="34" t="str">
        <f aca="false">"Sector "&amp;VALUE(MID(D41,13,2))</f>
        <v>Sector 7</v>
      </c>
      <c r="O41" s="34" t="str">
        <f aca="false">IF(Dashboard!$C$5="Ubicación técnica",N41,"Sector "&amp;VALUE(RIGHT(G41,2)))</f>
        <v>Sector 7</v>
      </c>
      <c r="P41" s="34" t="str">
        <f aca="false">IF(MID(D41,15,3)="SEL","Subestación eléctrica","Área de proceso")</f>
        <v>Área de proceso</v>
      </c>
      <c r="Q41" s="34" t="str">
        <f aca="false">MID(D41,13,5)&amp;"|"&amp;MID(D41,19,5)</f>
        <v>07BAA|SCB95</v>
      </c>
      <c r="R41" s="34" t="str">
        <f aca="false">IF(P41="Subestación eléctrica",IFERROR(INDEX(cat_SubN,MATCH(Q41,cat_SubK,0)),"SIN CATALOGAR"),"ÁREA DE PROCESO")</f>
        <v>ÁREA DE PROCESO</v>
      </c>
      <c r="S41" s="34" t="str">
        <f aca="false">IF(H41="","SIN DATO",IFERROR(INDEX(cat_MarcaN,MATCH(H41,cat_MarcaO,0)),H41))</f>
        <v>ABB</v>
      </c>
      <c r="T41" s="34" t="str">
        <f aca="false">IF(I41="","SIN DATO",IFERROR(INDEX(cat_ModN,MATCH(I41,cat_ModO,0)),I41))</f>
        <v>REM</v>
      </c>
      <c r="U41" s="34" t="str">
        <f aca="false">IF(I41="","",IFERROR(INDEX(cat_ModG,MATCH(I41,cat_ModO,0)),"No"))</f>
        <v>Sí</v>
      </c>
      <c r="V41" s="34" t="str">
        <f aca="false">IF(J41="","SIN DATO",IFERROR(INDEX(cat_FunN,MATCH(J41,cat_FunO,0)),J41))</f>
        <v>Protección y medición</v>
      </c>
      <c r="W41" s="34" t="str">
        <f aca="false">IF(OR(S41="SIN DATO",T41="SIN DATO"),"No","Sí")</f>
        <v>Sí</v>
      </c>
    </row>
    <row r="42" customFormat="false" ht="15" hidden="false" customHeight="false" outlineLevel="0" collapsed="false">
      <c r="A42" s="34" t="s">
        <v>401</v>
      </c>
      <c r="B42" s="34" t="s">
        <v>402</v>
      </c>
      <c r="C42" s="34" t="s">
        <v>403</v>
      </c>
      <c r="D42" s="34" t="s">
        <v>404</v>
      </c>
      <c r="E42" s="34" t="s">
        <v>341</v>
      </c>
      <c r="F42" s="34" t="s">
        <v>342</v>
      </c>
      <c r="G42" s="34" t="s">
        <v>343</v>
      </c>
      <c r="H42" s="34" t="s">
        <v>34</v>
      </c>
      <c r="I42" s="34" t="s">
        <v>44</v>
      </c>
      <c r="J42" s="34" t="s">
        <v>228</v>
      </c>
      <c r="K42" s="34" t="s">
        <v>229</v>
      </c>
      <c r="L42" s="34" t="s">
        <v>230</v>
      </c>
      <c r="M42" s="34" t="s">
        <v>231</v>
      </c>
      <c r="N42" s="34" t="str">
        <f aca="false">"Sector "&amp;VALUE(MID(D42,13,2))</f>
        <v>Sector 7</v>
      </c>
      <c r="O42" s="34" t="str">
        <f aca="false">IF(Dashboard!$C$5="Ubicación técnica",N42,"Sector "&amp;VALUE(RIGHT(G42,2)))</f>
        <v>Sector 7</v>
      </c>
      <c r="P42" s="34" t="str">
        <f aca="false">IF(MID(D42,15,3)="SEL","Subestación eléctrica","Área de proceso")</f>
        <v>Área de proceso</v>
      </c>
      <c r="Q42" s="34" t="str">
        <f aca="false">MID(D42,13,5)&amp;"|"&amp;MID(D42,19,5)</f>
        <v>07BAA|SCB95</v>
      </c>
      <c r="R42" s="34" t="str">
        <f aca="false">IF(P42="Subestación eléctrica",IFERROR(INDEX(cat_SubN,MATCH(Q42,cat_SubK,0)),"SIN CATALOGAR"),"ÁREA DE PROCESO")</f>
        <v>ÁREA DE PROCESO</v>
      </c>
      <c r="S42" s="34" t="str">
        <f aca="false">IF(H42="","SIN DATO",IFERROR(INDEX(cat_MarcaN,MATCH(H42,cat_MarcaO,0)),H42))</f>
        <v>ABB</v>
      </c>
      <c r="T42" s="34" t="str">
        <f aca="false">IF(I42="","SIN DATO",IFERROR(INDEX(cat_ModN,MATCH(I42,cat_ModO,0)),I42))</f>
        <v>REM</v>
      </c>
      <c r="U42" s="34" t="str">
        <f aca="false">IF(I42="","",IFERROR(INDEX(cat_ModG,MATCH(I42,cat_ModO,0)),"No"))</f>
        <v>Sí</v>
      </c>
      <c r="V42" s="34" t="str">
        <f aca="false">IF(J42="","SIN DATO",IFERROR(INDEX(cat_FunN,MATCH(J42,cat_FunO,0)),J42))</f>
        <v>Protección y medición</v>
      </c>
      <c r="W42" s="34" t="str">
        <f aca="false">IF(OR(S42="SIN DATO",T42="SIN DATO"),"No","Sí")</f>
        <v>Sí</v>
      </c>
    </row>
    <row r="43" customFormat="false" ht="15" hidden="false" customHeight="false" outlineLevel="0" collapsed="false">
      <c r="A43" s="34" t="s">
        <v>405</v>
      </c>
      <c r="B43" s="34" t="s">
        <v>406</v>
      </c>
      <c r="C43" s="34" t="s">
        <v>407</v>
      </c>
      <c r="D43" s="34" t="s">
        <v>408</v>
      </c>
      <c r="E43" s="34" t="s">
        <v>341</v>
      </c>
      <c r="F43" s="34" t="s">
        <v>342</v>
      </c>
      <c r="G43" s="34" t="s">
        <v>343</v>
      </c>
      <c r="H43" s="34" t="s">
        <v>34</v>
      </c>
      <c r="I43" s="34" t="s">
        <v>44</v>
      </c>
      <c r="J43" s="34" t="s">
        <v>228</v>
      </c>
      <c r="K43" s="34" t="s">
        <v>229</v>
      </c>
      <c r="L43" s="34" t="s">
        <v>230</v>
      </c>
      <c r="M43" s="34" t="s">
        <v>231</v>
      </c>
      <c r="N43" s="34" t="str">
        <f aca="false">"Sector "&amp;VALUE(MID(D43,13,2))</f>
        <v>Sector 7</v>
      </c>
      <c r="O43" s="34" t="str">
        <f aca="false">IF(Dashboard!$C$5="Ubicación técnica",N43,"Sector "&amp;VALUE(RIGHT(G43,2)))</f>
        <v>Sector 7</v>
      </c>
      <c r="P43" s="34" t="str">
        <f aca="false">IF(MID(D43,15,3)="SEL","Subestación eléctrica","Área de proceso")</f>
        <v>Área de proceso</v>
      </c>
      <c r="Q43" s="34" t="str">
        <f aca="false">MID(D43,13,5)&amp;"|"&amp;MID(D43,19,5)</f>
        <v>07BAA|SCB95</v>
      </c>
      <c r="R43" s="34" t="str">
        <f aca="false">IF(P43="Subestación eléctrica",IFERROR(INDEX(cat_SubN,MATCH(Q43,cat_SubK,0)),"SIN CATALOGAR"),"ÁREA DE PROCESO")</f>
        <v>ÁREA DE PROCESO</v>
      </c>
      <c r="S43" s="34" t="str">
        <f aca="false">IF(H43="","SIN DATO",IFERROR(INDEX(cat_MarcaN,MATCH(H43,cat_MarcaO,0)),H43))</f>
        <v>ABB</v>
      </c>
      <c r="T43" s="34" t="str">
        <f aca="false">IF(I43="","SIN DATO",IFERROR(INDEX(cat_ModN,MATCH(I43,cat_ModO,0)),I43))</f>
        <v>REM</v>
      </c>
      <c r="U43" s="34" t="str">
        <f aca="false">IF(I43="","",IFERROR(INDEX(cat_ModG,MATCH(I43,cat_ModO,0)),"No"))</f>
        <v>Sí</v>
      </c>
      <c r="V43" s="34" t="str">
        <f aca="false">IF(J43="","SIN DATO",IFERROR(INDEX(cat_FunN,MATCH(J43,cat_FunO,0)),J43))</f>
        <v>Protección y medición</v>
      </c>
      <c r="W43" s="34" t="str">
        <f aca="false">IF(OR(S43="SIN DATO",T43="SIN DATO"),"No","Sí")</f>
        <v>Sí</v>
      </c>
    </row>
    <row r="44" customFormat="false" ht="15" hidden="false" customHeight="false" outlineLevel="0" collapsed="false">
      <c r="A44" s="34" t="s">
        <v>409</v>
      </c>
      <c r="B44" s="34" t="s">
        <v>410</v>
      </c>
      <c r="C44" s="34" t="s">
        <v>411</v>
      </c>
      <c r="D44" s="34" t="s">
        <v>412</v>
      </c>
      <c r="E44" s="34" t="s">
        <v>341</v>
      </c>
      <c r="F44" s="34" t="s">
        <v>342</v>
      </c>
      <c r="G44" s="34" t="s">
        <v>343</v>
      </c>
      <c r="H44" s="34" t="s">
        <v>73</v>
      </c>
      <c r="I44" s="34" t="s">
        <v>75</v>
      </c>
      <c r="J44" s="34" t="s">
        <v>228</v>
      </c>
      <c r="K44" s="34" t="s">
        <v>229</v>
      </c>
      <c r="L44" s="34" t="s">
        <v>230</v>
      </c>
      <c r="M44" s="34" t="s">
        <v>344</v>
      </c>
      <c r="N44" s="34" t="str">
        <f aca="false">"Sector "&amp;VALUE(MID(D44,13,2))</f>
        <v>Sector 7</v>
      </c>
      <c r="O44" s="34" t="str">
        <f aca="false">IF(Dashboard!$C$5="Ubicación técnica",N44,"Sector "&amp;VALUE(RIGHT(G44,2)))</f>
        <v>Sector 7</v>
      </c>
      <c r="P44" s="34" t="str">
        <f aca="false">IF(MID(D44,15,3)="SEL","Subestación eléctrica","Área de proceso")</f>
        <v>Área de proceso</v>
      </c>
      <c r="Q44" s="34" t="str">
        <f aca="false">MID(D44,13,5)&amp;"|"&amp;MID(D44,19,5)</f>
        <v>07BAA|SCB91</v>
      </c>
      <c r="R44" s="34" t="str">
        <f aca="false">IF(P44="Subestación eléctrica",IFERROR(INDEX(cat_SubN,MATCH(Q44,cat_SubK,0)),"SIN CATALOGAR"),"ÁREA DE PROCESO")</f>
        <v>ÁREA DE PROCESO</v>
      </c>
      <c r="S44" s="34" t="str">
        <f aca="false">IF(H44="","SIN DATO",IFERROR(INDEX(cat_MarcaN,MATCH(H44,cat_MarcaO,0)),H44))</f>
        <v>SIEMENS</v>
      </c>
      <c r="T44" s="34" t="str">
        <f aca="false">IF(I44="","SIN DATO",IFERROR(INDEX(cat_ModN,MATCH(I44,cat_ModO,0)),I44))</f>
        <v>REYROLLE</v>
      </c>
      <c r="U44" s="34" t="str">
        <f aca="false">IF(I44="","",IFERROR(INDEX(cat_ModG,MATCH(I44,cat_ModO,0)),"No"))</f>
        <v>Sí</v>
      </c>
      <c r="V44" s="34" t="str">
        <f aca="false">IF(J44="","SIN DATO",IFERROR(INDEX(cat_FunN,MATCH(J44,cat_FunO,0)),J44))</f>
        <v>Protección y medición</v>
      </c>
      <c r="W44" s="34" t="str">
        <f aca="false">IF(OR(S44="SIN DATO",T44="SIN DATO"),"No","Sí")</f>
        <v>Sí</v>
      </c>
    </row>
    <row r="45" customFormat="false" ht="15" hidden="false" customHeight="false" outlineLevel="0" collapsed="false">
      <c r="A45" s="34" t="s">
        <v>413</v>
      </c>
      <c r="B45" s="34" t="s">
        <v>414</v>
      </c>
      <c r="C45" s="34" t="s">
        <v>415</v>
      </c>
      <c r="D45" s="34" t="s">
        <v>416</v>
      </c>
      <c r="E45" s="34" t="s">
        <v>341</v>
      </c>
      <c r="F45" s="34" t="s">
        <v>342</v>
      </c>
      <c r="G45" s="34" t="s">
        <v>343</v>
      </c>
      <c r="H45" s="34" t="s">
        <v>73</v>
      </c>
      <c r="I45" s="34" t="s">
        <v>75</v>
      </c>
      <c r="J45" s="34" t="s">
        <v>228</v>
      </c>
      <c r="K45" s="34" t="s">
        <v>229</v>
      </c>
      <c r="L45" s="34" t="s">
        <v>230</v>
      </c>
      <c r="M45" s="34" t="s">
        <v>344</v>
      </c>
      <c r="N45" s="34" t="str">
        <f aca="false">"Sector "&amp;VALUE(MID(D45,13,2))</f>
        <v>Sector 7</v>
      </c>
      <c r="O45" s="34" t="str">
        <f aca="false">IF(Dashboard!$C$5="Ubicación técnica",N45,"Sector "&amp;VALUE(RIGHT(G45,2)))</f>
        <v>Sector 7</v>
      </c>
      <c r="P45" s="34" t="str">
        <f aca="false">IF(MID(D45,15,3)="SEL","Subestación eléctrica","Área de proceso")</f>
        <v>Área de proceso</v>
      </c>
      <c r="Q45" s="34" t="str">
        <f aca="false">MID(D45,13,5)&amp;"|"&amp;MID(D45,19,5)</f>
        <v>07BAA|SCB91</v>
      </c>
      <c r="R45" s="34" t="str">
        <f aca="false">IF(P45="Subestación eléctrica",IFERROR(INDEX(cat_SubN,MATCH(Q45,cat_SubK,0)),"SIN CATALOGAR"),"ÁREA DE PROCESO")</f>
        <v>ÁREA DE PROCESO</v>
      </c>
      <c r="S45" s="34" t="str">
        <f aca="false">IF(H45="","SIN DATO",IFERROR(INDEX(cat_MarcaN,MATCH(H45,cat_MarcaO,0)),H45))</f>
        <v>SIEMENS</v>
      </c>
      <c r="T45" s="34" t="str">
        <f aca="false">IF(I45="","SIN DATO",IFERROR(INDEX(cat_ModN,MATCH(I45,cat_ModO,0)),I45))</f>
        <v>REYROLLE</v>
      </c>
      <c r="U45" s="34" t="str">
        <f aca="false">IF(I45="","",IFERROR(INDEX(cat_ModG,MATCH(I45,cat_ModO,0)),"No"))</f>
        <v>Sí</v>
      </c>
      <c r="V45" s="34" t="str">
        <f aca="false">IF(J45="","SIN DATO",IFERROR(INDEX(cat_FunN,MATCH(J45,cat_FunO,0)),J45))</f>
        <v>Protección y medición</v>
      </c>
      <c r="W45" s="34" t="str">
        <f aca="false">IF(OR(S45="SIN DATO",T45="SIN DATO"),"No","Sí")</f>
        <v>Sí</v>
      </c>
    </row>
    <row r="46" customFormat="false" ht="15" hidden="false" customHeight="false" outlineLevel="0" collapsed="false">
      <c r="A46" s="34" t="s">
        <v>417</v>
      </c>
      <c r="B46" s="34" t="s">
        <v>418</v>
      </c>
      <c r="C46" s="34" t="s">
        <v>419</v>
      </c>
      <c r="D46" s="34" t="s">
        <v>420</v>
      </c>
      <c r="E46" s="34" t="s">
        <v>341</v>
      </c>
      <c r="F46" s="34" t="s">
        <v>342</v>
      </c>
      <c r="G46" s="34" t="s">
        <v>343</v>
      </c>
      <c r="H46" s="34" t="s">
        <v>73</v>
      </c>
      <c r="I46" s="34" t="s">
        <v>75</v>
      </c>
      <c r="J46" s="34" t="s">
        <v>228</v>
      </c>
      <c r="K46" s="34" t="s">
        <v>229</v>
      </c>
      <c r="L46" s="34" t="s">
        <v>230</v>
      </c>
      <c r="M46" s="34" t="s">
        <v>344</v>
      </c>
      <c r="N46" s="34" t="str">
        <f aca="false">"Sector "&amp;VALUE(MID(D46,13,2))</f>
        <v>Sector 7</v>
      </c>
      <c r="O46" s="34" t="str">
        <f aca="false">IF(Dashboard!$C$5="Ubicación técnica",N46,"Sector "&amp;VALUE(RIGHT(G46,2)))</f>
        <v>Sector 7</v>
      </c>
      <c r="P46" s="34" t="str">
        <f aca="false">IF(MID(D46,15,3)="SEL","Subestación eléctrica","Área de proceso")</f>
        <v>Área de proceso</v>
      </c>
      <c r="Q46" s="34" t="str">
        <f aca="false">MID(D46,13,5)&amp;"|"&amp;MID(D46,19,5)</f>
        <v>07BAA|SCB91</v>
      </c>
      <c r="R46" s="34" t="str">
        <f aca="false">IF(P46="Subestación eléctrica",IFERROR(INDEX(cat_SubN,MATCH(Q46,cat_SubK,0)),"SIN CATALOGAR"),"ÁREA DE PROCESO")</f>
        <v>ÁREA DE PROCESO</v>
      </c>
      <c r="S46" s="34" t="str">
        <f aca="false">IF(H46="","SIN DATO",IFERROR(INDEX(cat_MarcaN,MATCH(H46,cat_MarcaO,0)),H46))</f>
        <v>SIEMENS</v>
      </c>
      <c r="T46" s="34" t="str">
        <f aca="false">IF(I46="","SIN DATO",IFERROR(INDEX(cat_ModN,MATCH(I46,cat_ModO,0)),I46))</f>
        <v>REYROLLE</v>
      </c>
      <c r="U46" s="34" t="str">
        <f aca="false">IF(I46="","",IFERROR(INDEX(cat_ModG,MATCH(I46,cat_ModO,0)),"No"))</f>
        <v>Sí</v>
      </c>
      <c r="V46" s="34" t="str">
        <f aca="false">IF(J46="","SIN DATO",IFERROR(INDEX(cat_FunN,MATCH(J46,cat_FunO,0)),J46))</f>
        <v>Protección y medición</v>
      </c>
      <c r="W46" s="34" t="str">
        <f aca="false">IF(OR(S46="SIN DATO",T46="SIN DATO"),"No","Sí")</f>
        <v>Sí</v>
      </c>
    </row>
    <row r="47" customFormat="false" ht="15" hidden="false" customHeight="false" outlineLevel="0" collapsed="false">
      <c r="A47" s="34" t="s">
        <v>421</v>
      </c>
      <c r="B47" s="34" t="s">
        <v>422</v>
      </c>
      <c r="C47" s="34" t="s">
        <v>423</v>
      </c>
      <c r="D47" s="34" t="s">
        <v>424</v>
      </c>
      <c r="E47" s="34" t="s">
        <v>341</v>
      </c>
      <c r="F47" s="34" t="s">
        <v>342</v>
      </c>
      <c r="G47" s="34" t="s">
        <v>343</v>
      </c>
      <c r="H47" s="34" t="s">
        <v>73</v>
      </c>
      <c r="I47" s="34" t="s">
        <v>75</v>
      </c>
      <c r="J47" s="34" t="s">
        <v>228</v>
      </c>
      <c r="K47" s="34" t="s">
        <v>229</v>
      </c>
      <c r="L47" s="34" t="s">
        <v>230</v>
      </c>
      <c r="M47" s="34" t="s">
        <v>344</v>
      </c>
      <c r="N47" s="34" t="str">
        <f aca="false">"Sector "&amp;VALUE(MID(D47,13,2))</f>
        <v>Sector 7</v>
      </c>
      <c r="O47" s="34" t="str">
        <f aca="false">IF(Dashboard!$C$5="Ubicación técnica",N47,"Sector "&amp;VALUE(RIGHT(G47,2)))</f>
        <v>Sector 7</v>
      </c>
      <c r="P47" s="34" t="str">
        <f aca="false">IF(MID(D47,15,3)="SEL","Subestación eléctrica","Área de proceso")</f>
        <v>Área de proceso</v>
      </c>
      <c r="Q47" s="34" t="str">
        <f aca="false">MID(D47,13,5)&amp;"|"&amp;MID(D47,19,5)</f>
        <v>07BAA|SCB91</v>
      </c>
      <c r="R47" s="34" t="str">
        <f aca="false">IF(P47="Subestación eléctrica",IFERROR(INDEX(cat_SubN,MATCH(Q47,cat_SubK,0)),"SIN CATALOGAR"),"ÁREA DE PROCESO")</f>
        <v>ÁREA DE PROCESO</v>
      </c>
      <c r="S47" s="34" t="str">
        <f aca="false">IF(H47="","SIN DATO",IFERROR(INDEX(cat_MarcaN,MATCH(H47,cat_MarcaO,0)),H47))</f>
        <v>SIEMENS</v>
      </c>
      <c r="T47" s="34" t="str">
        <f aca="false">IF(I47="","SIN DATO",IFERROR(INDEX(cat_ModN,MATCH(I47,cat_ModO,0)),I47))</f>
        <v>REYROLLE</v>
      </c>
      <c r="U47" s="34" t="str">
        <f aca="false">IF(I47="","",IFERROR(INDEX(cat_ModG,MATCH(I47,cat_ModO,0)),"No"))</f>
        <v>Sí</v>
      </c>
      <c r="V47" s="34" t="str">
        <f aca="false">IF(J47="","SIN DATO",IFERROR(INDEX(cat_FunN,MATCH(J47,cat_FunO,0)),J47))</f>
        <v>Protección y medición</v>
      </c>
      <c r="W47" s="34" t="str">
        <f aca="false">IF(OR(S47="SIN DATO",T47="SIN DATO"),"No","Sí")</f>
        <v>Sí</v>
      </c>
    </row>
    <row r="48" customFormat="false" ht="15" hidden="false" customHeight="false" outlineLevel="0" collapsed="false">
      <c r="A48" s="34" t="s">
        <v>425</v>
      </c>
      <c r="B48" s="34" t="s">
        <v>426</v>
      </c>
      <c r="C48" s="34" t="s">
        <v>427</v>
      </c>
      <c r="D48" s="34" t="s">
        <v>428</v>
      </c>
      <c r="E48" s="34" t="s">
        <v>341</v>
      </c>
      <c r="F48" s="34" t="s">
        <v>342</v>
      </c>
      <c r="G48" s="34" t="s">
        <v>343</v>
      </c>
      <c r="H48" s="34" t="s">
        <v>73</v>
      </c>
      <c r="I48" s="34" t="s">
        <v>75</v>
      </c>
      <c r="J48" s="34" t="s">
        <v>228</v>
      </c>
      <c r="K48" s="34" t="s">
        <v>229</v>
      </c>
      <c r="L48" s="34" t="s">
        <v>230</v>
      </c>
      <c r="M48" s="34" t="s">
        <v>344</v>
      </c>
      <c r="N48" s="34" t="str">
        <f aca="false">"Sector "&amp;VALUE(MID(D48,13,2))</f>
        <v>Sector 7</v>
      </c>
      <c r="O48" s="34" t="str">
        <f aca="false">IF(Dashboard!$C$5="Ubicación técnica",N48,"Sector "&amp;VALUE(RIGHT(G48,2)))</f>
        <v>Sector 7</v>
      </c>
      <c r="P48" s="34" t="str">
        <f aca="false">IF(MID(D48,15,3)="SEL","Subestación eléctrica","Área de proceso")</f>
        <v>Área de proceso</v>
      </c>
      <c r="Q48" s="34" t="str">
        <f aca="false">MID(D48,13,5)&amp;"|"&amp;MID(D48,19,5)</f>
        <v>07BAA|SCB91</v>
      </c>
      <c r="R48" s="34" t="str">
        <f aca="false">IF(P48="Subestación eléctrica",IFERROR(INDEX(cat_SubN,MATCH(Q48,cat_SubK,0)),"SIN CATALOGAR"),"ÁREA DE PROCESO")</f>
        <v>ÁREA DE PROCESO</v>
      </c>
      <c r="S48" s="34" t="str">
        <f aca="false">IF(H48="","SIN DATO",IFERROR(INDEX(cat_MarcaN,MATCH(H48,cat_MarcaO,0)),H48))</f>
        <v>SIEMENS</v>
      </c>
      <c r="T48" s="34" t="str">
        <f aca="false">IF(I48="","SIN DATO",IFERROR(INDEX(cat_ModN,MATCH(I48,cat_ModO,0)),I48))</f>
        <v>REYROLLE</v>
      </c>
      <c r="U48" s="34" t="str">
        <f aca="false">IF(I48="","",IFERROR(INDEX(cat_ModG,MATCH(I48,cat_ModO,0)),"No"))</f>
        <v>Sí</v>
      </c>
      <c r="V48" s="34" t="str">
        <f aca="false">IF(J48="","SIN DATO",IFERROR(INDEX(cat_FunN,MATCH(J48,cat_FunO,0)),J48))</f>
        <v>Protección y medición</v>
      </c>
      <c r="W48" s="34" t="str">
        <f aca="false">IF(OR(S48="SIN DATO",T48="SIN DATO"),"No","Sí")</f>
        <v>Sí</v>
      </c>
    </row>
    <row r="49" customFormat="false" ht="15" hidden="false" customHeight="false" outlineLevel="0" collapsed="false">
      <c r="A49" s="34" t="s">
        <v>429</v>
      </c>
      <c r="B49" s="34" t="s">
        <v>430</v>
      </c>
      <c r="C49" s="34" t="s">
        <v>431</v>
      </c>
      <c r="D49" s="34" t="s">
        <v>432</v>
      </c>
      <c r="E49" s="34" t="s">
        <v>341</v>
      </c>
      <c r="F49" s="34" t="s">
        <v>342</v>
      </c>
      <c r="G49" s="34" t="s">
        <v>343</v>
      </c>
      <c r="H49" s="34" t="s">
        <v>73</v>
      </c>
      <c r="I49" s="34" t="s">
        <v>75</v>
      </c>
      <c r="J49" s="34" t="s">
        <v>228</v>
      </c>
      <c r="K49" s="34" t="s">
        <v>229</v>
      </c>
      <c r="L49" s="34" t="s">
        <v>230</v>
      </c>
      <c r="M49" s="34" t="s">
        <v>344</v>
      </c>
      <c r="N49" s="34" t="str">
        <f aca="false">"Sector "&amp;VALUE(MID(D49,13,2))</f>
        <v>Sector 7</v>
      </c>
      <c r="O49" s="34" t="str">
        <f aca="false">IF(Dashboard!$C$5="Ubicación técnica",N49,"Sector "&amp;VALUE(RIGHT(G49,2)))</f>
        <v>Sector 7</v>
      </c>
      <c r="P49" s="34" t="str">
        <f aca="false">IF(MID(D49,15,3)="SEL","Subestación eléctrica","Área de proceso")</f>
        <v>Área de proceso</v>
      </c>
      <c r="Q49" s="34" t="str">
        <f aca="false">MID(D49,13,5)&amp;"|"&amp;MID(D49,19,5)</f>
        <v>07BAA|SCB91</v>
      </c>
      <c r="R49" s="34" t="str">
        <f aca="false">IF(P49="Subestación eléctrica",IFERROR(INDEX(cat_SubN,MATCH(Q49,cat_SubK,0)),"SIN CATALOGAR"),"ÁREA DE PROCESO")</f>
        <v>ÁREA DE PROCESO</v>
      </c>
      <c r="S49" s="34" t="str">
        <f aca="false">IF(H49="","SIN DATO",IFERROR(INDEX(cat_MarcaN,MATCH(H49,cat_MarcaO,0)),H49))</f>
        <v>SIEMENS</v>
      </c>
      <c r="T49" s="34" t="str">
        <f aca="false">IF(I49="","SIN DATO",IFERROR(INDEX(cat_ModN,MATCH(I49,cat_ModO,0)),I49))</f>
        <v>REYROLLE</v>
      </c>
      <c r="U49" s="34" t="str">
        <f aca="false">IF(I49="","",IFERROR(INDEX(cat_ModG,MATCH(I49,cat_ModO,0)),"No"))</f>
        <v>Sí</v>
      </c>
      <c r="V49" s="34" t="str">
        <f aca="false">IF(J49="","SIN DATO",IFERROR(INDEX(cat_FunN,MATCH(J49,cat_FunO,0)),J49))</f>
        <v>Protección y medición</v>
      </c>
      <c r="W49" s="34" t="str">
        <f aca="false">IF(OR(S49="SIN DATO",T49="SIN DATO"),"No","Sí")</f>
        <v>Sí</v>
      </c>
    </row>
    <row r="50" customFormat="false" ht="15" hidden="false" customHeight="false" outlineLevel="0" collapsed="false">
      <c r="A50" s="34" t="s">
        <v>433</v>
      </c>
      <c r="B50" s="34" t="s">
        <v>434</v>
      </c>
      <c r="C50" s="34" t="s">
        <v>435</v>
      </c>
      <c r="D50" s="34" t="s">
        <v>436</v>
      </c>
      <c r="E50" s="34" t="s">
        <v>341</v>
      </c>
      <c r="F50" s="34" t="s">
        <v>342</v>
      </c>
      <c r="G50" s="34" t="s">
        <v>343</v>
      </c>
      <c r="H50" s="34" t="s">
        <v>73</v>
      </c>
      <c r="I50" s="34" t="s">
        <v>75</v>
      </c>
      <c r="J50" s="34" t="s">
        <v>228</v>
      </c>
      <c r="K50" s="34" t="s">
        <v>229</v>
      </c>
      <c r="L50" s="34" t="s">
        <v>230</v>
      </c>
      <c r="M50" s="34" t="s">
        <v>344</v>
      </c>
      <c r="N50" s="34" t="str">
        <f aca="false">"Sector "&amp;VALUE(MID(D50,13,2))</f>
        <v>Sector 7</v>
      </c>
      <c r="O50" s="34" t="str">
        <f aca="false">IF(Dashboard!$C$5="Ubicación técnica",N50,"Sector "&amp;VALUE(RIGHT(G50,2)))</f>
        <v>Sector 7</v>
      </c>
      <c r="P50" s="34" t="str">
        <f aca="false">IF(MID(D50,15,3)="SEL","Subestación eléctrica","Área de proceso")</f>
        <v>Área de proceso</v>
      </c>
      <c r="Q50" s="34" t="str">
        <f aca="false">MID(D50,13,5)&amp;"|"&amp;MID(D50,19,5)</f>
        <v>07BAA|SCB91</v>
      </c>
      <c r="R50" s="34" t="str">
        <f aca="false">IF(P50="Subestación eléctrica",IFERROR(INDEX(cat_SubN,MATCH(Q50,cat_SubK,0)),"SIN CATALOGAR"),"ÁREA DE PROCESO")</f>
        <v>ÁREA DE PROCESO</v>
      </c>
      <c r="S50" s="34" t="str">
        <f aca="false">IF(H50="","SIN DATO",IFERROR(INDEX(cat_MarcaN,MATCH(H50,cat_MarcaO,0)),H50))</f>
        <v>SIEMENS</v>
      </c>
      <c r="T50" s="34" t="str">
        <f aca="false">IF(I50="","SIN DATO",IFERROR(INDEX(cat_ModN,MATCH(I50,cat_ModO,0)),I50))</f>
        <v>REYROLLE</v>
      </c>
      <c r="U50" s="34" t="str">
        <f aca="false">IF(I50="","",IFERROR(INDEX(cat_ModG,MATCH(I50,cat_ModO,0)),"No"))</f>
        <v>Sí</v>
      </c>
      <c r="V50" s="34" t="str">
        <f aca="false">IF(J50="","SIN DATO",IFERROR(INDEX(cat_FunN,MATCH(J50,cat_FunO,0)),J50))</f>
        <v>Protección y medición</v>
      </c>
      <c r="W50" s="34" t="str">
        <f aca="false">IF(OR(S50="SIN DATO",T50="SIN DATO"),"No","Sí")</f>
        <v>Sí</v>
      </c>
    </row>
    <row r="51" customFormat="false" ht="15" hidden="false" customHeight="false" outlineLevel="0" collapsed="false">
      <c r="A51" s="34" t="s">
        <v>437</v>
      </c>
      <c r="B51" s="34" t="s">
        <v>438</v>
      </c>
      <c r="C51" s="34" t="s">
        <v>439</v>
      </c>
      <c r="D51" s="34" t="s">
        <v>440</v>
      </c>
      <c r="E51" s="34" t="s">
        <v>341</v>
      </c>
      <c r="F51" s="34" t="s">
        <v>342</v>
      </c>
      <c r="G51" s="34" t="s">
        <v>343</v>
      </c>
      <c r="H51" s="34" t="s">
        <v>73</v>
      </c>
      <c r="I51" s="34" t="s">
        <v>75</v>
      </c>
      <c r="J51" s="34" t="s">
        <v>228</v>
      </c>
      <c r="K51" s="34" t="s">
        <v>229</v>
      </c>
      <c r="L51" s="34" t="s">
        <v>230</v>
      </c>
      <c r="M51" s="34" t="s">
        <v>344</v>
      </c>
      <c r="N51" s="34" t="str">
        <f aca="false">"Sector "&amp;VALUE(MID(D51,13,2))</f>
        <v>Sector 7</v>
      </c>
      <c r="O51" s="34" t="str">
        <f aca="false">IF(Dashboard!$C$5="Ubicación técnica",N51,"Sector "&amp;VALUE(RIGHT(G51,2)))</f>
        <v>Sector 7</v>
      </c>
      <c r="P51" s="34" t="str">
        <f aca="false">IF(MID(D51,15,3)="SEL","Subestación eléctrica","Área de proceso")</f>
        <v>Área de proceso</v>
      </c>
      <c r="Q51" s="34" t="str">
        <f aca="false">MID(D51,13,5)&amp;"|"&amp;MID(D51,19,5)</f>
        <v>07BAA|SCB91</v>
      </c>
      <c r="R51" s="34" t="str">
        <f aca="false">IF(P51="Subestación eléctrica",IFERROR(INDEX(cat_SubN,MATCH(Q51,cat_SubK,0)),"SIN CATALOGAR"),"ÁREA DE PROCESO")</f>
        <v>ÁREA DE PROCESO</v>
      </c>
      <c r="S51" s="34" t="str">
        <f aca="false">IF(H51="","SIN DATO",IFERROR(INDEX(cat_MarcaN,MATCH(H51,cat_MarcaO,0)),H51))</f>
        <v>SIEMENS</v>
      </c>
      <c r="T51" s="34" t="str">
        <f aca="false">IF(I51="","SIN DATO",IFERROR(INDEX(cat_ModN,MATCH(I51,cat_ModO,0)),I51))</f>
        <v>REYROLLE</v>
      </c>
      <c r="U51" s="34" t="str">
        <f aca="false">IF(I51="","",IFERROR(INDEX(cat_ModG,MATCH(I51,cat_ModO,0)),"No"))</f>
        <v>Sí</v>
      </c>
      <c r="V51" s="34" t="str">
        <f aca="false">IF(J51="","SIN DATO",IFERROR(INDEX(cat_FunN,MATCH(J51,cat_FunO,0)),J51))</f>
        <v>Protección y medición</v>
      </c>
      <c r="W51" s="34" t="str">
        <f aca="false">IF(OR(S51="SIN DATO",T51="SIN DATO"),"No","Sí")</f>
        <v>Sí</v>
      </c>
    </row>
    <row r="52" customFormat="false" ht="15" hidden="false" customHeight="false" outlineLevel="0" collapsed="false">
      <c r="A52" s="34" t="s">
        <v>441</v>
      </c>
      <c r="B52" s="34" t="s">
        <v>442</v>
      </c>
      <c r="C52" s="34" t="s">
        <v>443</v>
      </c>
      <c r="D52" s="34" t="s">
        <v>444</v>
      </c>
      <c r="E52" s="34" t="s">
        <v>341</v>
      </c>
      <c r="F52" s="34" t="s">
        <v>342</v>
      </c>
      <c r="G52" s="34" t="s">
        <v>343</v>
      </c>
      <c r="H52" s="34" t="s">
        <v>73</v>
      </c>
      <c r="I52" s="34" t="s">
        <v>75</v>
      </c>
      <c r="J52" s="34" t="s">
        <v>228</v>
      </c>
      <c r="K52" s="34" t="s">
        <v>229</v>
      </c>
      <c r="L52" s="34" t="s">
        <v>230</v>
      </c>
      <c r="M52" s="34" t="s">
        <v>344</v>
      </c>
      <c r="N52" s="34" t="str">
        <f aca="false">"Sector "&amp;VALUE(MID(D52,13,2))</f>
        <v>Sector 7</v>
      </c>
      <c r="O52" s="34" t="str">
        <f aca="false">IF(Dashboard!$C$5="Ubicación técnica",N52,"Sector "&amp;VALUE(RIGHT(G52,2)))</f>
        <v>Sector 7</v>
      </c>
      <c r="P52" s="34" t="str">
        <f aca="false">IF(MID(D52,15,3)="SEL","Subestación eléctrica","Área de proceso")</f>
        <v>Área de proceso</v>
      </c>
      <c r="Q52" s="34" t="str">
        <f aca="false">MID(D52,13,5)&amp;"|"&amp;MID(D52,19,5)</f>
        <v>07BAA|SCB91</v>
      </c>
      <c r="R52" s="34" t="str">
        <f aca="false">IF(P52="Subestación eléctrica",IFERROR(INDEX(cat_SubN,MATCH(Q52,cat_SubK,0)),"SIN CATALOGAR"),"ÁREA DE PROCESO")</f>
        <v>ÁREA DE PROCESO</v>
      </c>
      <c r="S52" s="34" t="str">
        <f aca="false">IF(H52="","SIN DATO",IFERROR(INDEX(cat_MarcaN,MATCH(H52,cat_MarcaO,0)),H52))</f>
        <v>SIEMENS</v>
      </c>
      <c r="T52" s="34" t="str">
        <f aca="false">IF(I52="","SIN DATO",IFERROR(INDEX(cat_ModN,MATCH(I52,cat_ModO,0)),I52))</f>
        <v>REYROLLE</v>
      </c>
      <c r="U52" s="34" t="str">
        <f aca="false">IF(I52="","",IFERROR(INDEX(cat_ModG,MATCH(I52,cat_ModO,0)),"No"))</f>
        <v>Sí</v>
      </c>
      <c r="V52" s="34" t="str">
        <f aca="false">IF(J52="","SIN DATO",IFERROR(INDEX(cat_FunN,MATCH(J52,cat_FunO,0)),J52))</f>
        <v>Protección y medición</v>
      </c>
      <c r="W52" s="34" t="str">
        <f aca="false">IF(OR(S52="SIN DATO",T52="SIN DATO"),"No","Sí")</f>
        <v>Sí</v>
      </c>
    </row>
    <row r="53" customFormat="false" ht="15" hidden="false" customHeight="false" outlineLevel="0" collapsed="false">
      <c r="A53" s="34" t="s">
        <v>445</v>
      </c>
      <c r="B53" s="34" t="s">
        <v>446</v>
      </c>
      <c r="C53" s="34" t="s">
        <v>447</v>
      </c>
      <c r="D53" s="34" t="s">
        <v>448</v>
      </c>
      <c r="E53" s="34" t="s">
        <v>341</v>
      </c>
      <c r="F53" s="34" t="s">
        <v>342</v>
      </c>
      <c r="G53" s="34" t="s">
        <v>343</v>
      </c>
      <c r="H53" s="34" t="s">
        <v>73</v>
      </c>
      <c r="I53" s="34" t="s">
        <v>75</v>
      </c>
      <c r="J53" s="34" t="s">
        <v>228</v>
      </c>
      <c r="K53" s="34" t="s">
        <v>229</v>
      </c>
      <c r="L53" s="34" t="s">
        <v>230</v>
      </c>
      <c r="M53" s="34" t="s">
        <v>344</v>
      </c>
      <c r="N53" s="34" t="str">
        <f aca="false">"Sector "&amp;VALUE(MID(D53,13,2))</f>
        <v>Sector 7</v>
      </c>
      <c r="O53" s="34" t="str">
        <f aca="false">IF(Dashboard!$C$5="Ubicación técnica",N53,"Sector "&amp;VALUE(RIGHT(G53,2)))</f>
        <v>Sector 7</v>
      </c>
      <c r="P53" s="34" t="str">
        <f aca="false">IF(MID(D53,15,3)="SEL","Subestación eléctrica","Área de proceso")</f>
        <v>Área de proceso</v>
      </c>
      <c r="Q53" s="34" t="str">
        <f aca="false">MID(D53,13,5)&amp;"|"&amp;MID(D53,19,5)</f>
        <v>07BAA|SCB92</v>
      </c>
      <c r="R53" s="34" t="str">
        <f aca="false">IF(P53="Subestación eléctrica",IFERROR(INDEX(cat_SubN,MATCH(Q53,cat_SubK,0)),"SIN CATALOGAR"),"ÁREA DE PROCESO")</f>
        <v>ÁREA DE PROCESO</v>
      </c>
      <c r="S53" s="34" t="str">
        <f aca="false">IF(H53="","SIN DATO",IFERROR(INDEX(cat_MarcaN,MATCH(H53,cat_MarcaO,0)),H53))</f>
        <v>SIEMENS</v>
      </c>
      <c r="T53" s="34" t="str">
        <f aca="false">IF(I53="","SIN DATO",IFERROR(INDEX(cat_ModN,MATCH(I53,cat_ModO,0)),I53))</f>
        <v>REYROLLE</v>
      </c>
      <c r="U53" s="34" t="str">
        <f aca="false">IF(I53="","",IFERROR(INDEX(cat_ModG,MATCH(I53,cat_ModO,0)),"No"))</f>
        <v>Sí</v>
      </c>
      <c r="V53" s="34" t="str">
        <f aca="false">IF(J53="","SIN DATO",IFERROR(INDEX(cat_FunN,MATCH(J53,cat_FunO,0)),J53))</f>
        <v>Protección y medición</v>
      </c>
      <c r="W53" s="34" t="str">
        <f aca="false">IF(OR(S53="SIN DATO",T53="SIN DATO"),"No","Sí")</f>
        <v>Sí</v>
      </c>
    </row>
    <row r="54" customFormat="false" ht="15" hidden="false" customHeight="false" outlineLevel="0" collapsed="false">
      <c r="A54" s="34" t="s">
        <v>449</v>
      </c>
      <c r="B54" s="34" t="s">
        <v>450</v>
      </c>
      <c r="C54" s="34" t="s">
        <v>451</v>
      </c>
      <c r="D54" s="34" t="s">
        <v>452</v>
      </c>
      <c r="E54" s="34" t="s">
        <v>341</v>
      </c>
      <c r="F54" s="34" t="s">
        <v>342</v>
      </c>
      <c r="G54" s="34" t="s">
        <v>343</v>
      </c>
      <c r="H54" s="34" t="s">
        <v>73</v>
      </c>
      <c r="I54" s="34" t="s">
        <v>75</v>
      </c>
      <c r="J54" s="34" t="s">
        <v>228</v>
      </c>
      <c r="K54" s="34" t="s">
        <v>229</v>
      </c>
      <c r="L54" s="34" t="s">
        <v>230</v>
      </c>
      <c r="M54" s="34" t="s">
        <v>344</v>
      </c>
      <c r="N54" s="34" t="str">
        <f aca="false">"Sector "&amp;VALUE(MID(D54,13,2))</f>
        <v>Sector 7</v>
      </c>
      <c r="O54" s="34" t="str">
        <f aca="false">IF(Dashboard!$C$5="Ubicación técnica",N54,"Sector "&amp;VALUE(RIGHT(G54,2)))</f>
        <v>Sector 7</v>
      </c>
      <c r="P54" s="34" t="str">
        <f aca="false">IF(MID(D54,15,3)="SEL","Subestación eléctrica","Área de proceso")</f>
        <v>Área de proceso</v>
      </c>
      <c r="Q54" s="34" t="str">
        <f aca="false">MID(D54,13,5)&amp;"|"&amp;MID(D54,19,5)</f>
        <v>07BAA|SCB92</v>
      </c>
      <c r="R54" s="34" t="str">
        <f aca="false">IF(P54="Subestación eléctrica",IFERROR(INDEX(cat_SubN,MATCH(Q54,cat_SubK,0)),"SIN CATALOGAR"),"ÁREA DE PROCESO")</f>
        <v>ÁREA DE PROCESO</v>
      </c>
      <c r="S54" s="34" t="str">
        <f aca="false">IF(H54="","SIN DATO",IFERROR(INDEX(cat_MarcaN,MATCH(H54,cat_MarcaO,0)),H54))</f>
        <v>SIEMENS</v>
      </c>
      <c r="T54" s="34" t="str">
        <f aca="false">IF(I54="","SIN DATO",IFERROR(INDEX(cat_ModN,MATCH(I54,cat_ModO,0)),I54))</f>
        <v>REYROLLE</v>
      </c>
      <c r="U54" s="34" t="str">
        <f aca="false">IF(I54="","",IFERROR(INDEX(cat_ModG,MATCH(I54,cat_ModO,0)),"No"))</f>
        <v>Sí</v>
      </c>
      <c r="V54" s="34" t="str">
        <f aca="false">IF(J54="","SIN DATO",IFERROR(INDEX(cat_FunN,MATCH(J54,cat_FunO,0)),J54))</f>
        <v>Protección y medición</v>
      </c>
      <c r="W54" s="34" t="str">
        <f aca="false">IF(OR(S54="SIN DATO",T54="SIN DATO"),"No","Sí")</f>
        <v>Sí</v>
      </c>
    </row>
    <row r="55" customFormat="false" ht="15" hidden="false" customHeight="false" outlineLevel="0" collapsed="false">
      <c r="A55" s="34" t="s">
        <v>453</v>
      </c>
      <c r="B55" s="34" t="s">
        <v>454</v>
      </c>
      <c r="C55" s="34" t="s">
        <v>455</v>
      </c>
      <c r="D55" s="34" t="s">
        <v>456</v>
      </c>
      <c r="E55" s="34" t="s">
        <v>341</v>
      </c>
      <c r="F55" s="34" t="s">
        <v>342</v>
      </c>
      <c r="G55" s="34" t="s">
        <v>343</v>
      </c>
      <c r="H55" s="34" t="s">
        <v>73</v>
      </c>
      <c r="I55" s="34" t="s">
        <v>75</v>
      </c>
      <c r="J55" s="34" t="s">
        <v>228</v>
      </c>
      <c r="K55" s="34" t="s">
        <v>229</v>
      </c>
      <c r="L55" s="34" t="s">
        <v>230</v>
      </c>
      <c r="M55" s="34" t="s">
        <v>344</v>
      </c>
      <c r="N55" s="34" t="str">
        <f aca="false">"Sector "&amp;VALUE(MID(D55,13,2))</f>
        <v>Sector 7</v>
      </c>
      <c r="O55" s="34" t="str">
        <f aca="false">IF(Dashboard!$C$5="Ubicación técnica",N55,"Sector "&amp;VALUE(RIGHT(G55,2)))</f>
        <v>Sector 7</v>
      </c>
      <c r="P55" s="34" t="str">
        <f aca="false">IF(MID(D55,15,3)="SEL","Subestación eléctrica","Área de proceso")</f>
        <v>Área de proceso</v>
      </c>
      <c r="Q55" s="34" t="str">
        <f aca="false">MID(D55,13,5)&amp;"|"&amp;MID(D55,19,5)</f>
        <v>07BAA|SCB92</v>
      </c>
      <c r="R55" s="34" t="str">
        <f aca="false">IF(P55="Subestación eléctrica",IFERROR(INDEX(cat_SubN,MATCH(Q55,cat_SubK,0)),"SIN CATALOGAR"),"ÁREA DE PROCESO")</f>
        <v>ÁREA DE PROCESO</v>
      </c>
      <c r="S55" s="34" t="str">
        <f aca="false">IF(H55="","SIN DATO",IFERROR(INDEX(cat_MarcaN,MATCH(H55,cat_MarcaO,0)),H55))</f>
        <v>SIEMENS</v>
      </c>
      <c r="T55" s="34" t="str">
        <f aca="false">IF(I55="","SIN DATO",IFERROR(INDEX(cat_ModN,MATCH(I55,cat_ModO,0)),I55))</f>
        <v>REYROLLE</v>
      </c>
      <c r="U55" s="34" t="str">
        <f aca="false">IF(I55="","",IFERROR(INDEX(cat_ModG,MATCH(I55,cat_ModO,0)),"No"))</f>
        <v>Sí</v>
      </c>
      <c r="V55" s="34" t="str">
        <f aca="false">IF(J55="","SIN DATO",IFERROR(INDEX(cat_FunN,MATCH(J55,cat_FunO,0)),J55))</f>
        <v>Protección y medición</v>
      </c>
      <c r="W55" s="34" t="str">
        <f aca="false">IF(OR(S55="SIN DATO",T55="SIN DATO"),"No","Sí")</f>
        <v>Sí</v>
      </c>
    </row>
    <row r="56" customFormat="false" ht="15" hidden="false" customHeight="false" outlineLevel="0" collapsed="false">
      <c r="A56" s="34" t="s">
        <v>457</v>
      </c>
      <c r="B56" s="34" t="s">
        <v>458</v>
      </c>
      <c r="C56" s="34" t="s">
        <v>459</v>
      </c>
      <c r="D56" s="34" t="s">
        <v>460</v>
      </c>
      <c r="E56" s="34" t="s">
        <v>341</v>
      </c>
      <c r="F56" s="34" t="s">
        <v>342</v>
      </c>
      <c r="G56" s="34" t="s">
        <v>343</v>
      </c>
      <c r="H56" s="34" t="s">
        <v>73</v>
      </c>
      <c r="I56" s="34" t="s">
        <v>75</v>
      </c>
      <c r="J56" s="34" t="s">
        <v>228</v>
      </c>
      <c r="K56" s="34" t="s">
        <v>229</v>
      </c>
      <c r="L56" s="34" t="s">
        <v>230</v>
      </c>
      <c r="M56" s="34" t="s">
        <v>344</v>
      </c>
      <c r="N56" s="34" t="str">
        <f aca="false">"Sector "&amp;VALUE(MID(D56,13,2))</f>
        <v>Sector 7</v>
      </c>
      <c r="O56" s="34" t="str">
        <f aca="false">IF(Dashboard!$C$5="Ubicación técnica",N56,"Sector "&amp;VALUE(RIGHT(G56,2)))</f>
        <v>Sector 7</v>
      </c>
      <c r="P56" s="34" t="str">
        <f aca="false">IF(MID(D56,15,3)="SEL","Subestación eléctrica","Área de proceso")</f>
        <v>Área de proceso</v>
      </c>
      <c r="Q56" s="34" t="str">
        <f aca="false">MID(D56,13,5)&amp;"|"&amp;MID(D56,19,5)</f>
        <v>07BAA|SCB92</v>
      </c>
      <c r="R56" s="34" t="str">
        <f aca="false">IF(P56="Subestación eléctrica",IFERROR(INDEX(cat_SubN,MATCH(Q56,cat_SubK,0)),"SIN CATALOGAR"),"ÁREA DE PROCESO")</f>
        <v>ÁREA DE PROCESO</v>
      </c>
      <c r="S56" s="34" t="str">
        <f aca="false">IF(H56="","SIN DATO",IFERROR(INDEX(cat_MarcaN,MATCH(H56,cat_MarcaO,0)),H56))</f>
        <v>SIEMENS</v>
      </c>
      <c r="T56" s="34" t="str">
        <f aca="false">IF(I56="","SIN DATO",IFERROR(INDEX(cat_ModN,MATCH(I56,cat_ModO,0)),I56))</f>
        <v>REYROLLE</v>
      </c>
      <c r="U56" s="34" t="str">
        <f aca="false">IF(I56="","",IFERROR(INDEX(cat_ModG,MATCH(I56,cat_ModO,0)),"No"))</f>
        <v>Sí</v>
      </c>
      <c r="V56" s="34" t="str">
        <f aca="false">IF(J56="","SIN DATO",IFERROR(INDEX(cat_FunN,MATCH(J56,cat_FunO,0)),J56))</f>
        <v>Protección y medición</v>
      </c>
      <c r="W56" s="34" t="str">
        <f aca="false">IF(OR(S56="SIN DATO",T56="SIN DATO"),"No","Sí")</f>
        <v>Sí</v>
      </c>
    </row>
    <row r="57" customFormat="false" ht="15" hidden="false" customHeight="false" outlineLevel="0" collapsed="false">
      <c r="A57" s="34" t="s">
        <v>461</v>
      </c>
      <c r="B57" s="34" t="s">
        <v>462</v>
      </c>
      <c r="C57" s="34" t="s">
        <v>463</v>
      </c>
      <c r="D57" s="34" t="s">
        <v>464</v>
      </c>
      <c r="E57" s="34" t="s">
        <v>341</v>
      </c>
      <c r="F57" s="34" t="s">
        <v>342</v>
      </c>
      <c r="G57" s="34" t="s">
        <v>343</v>
      </c>
      <c r="H57" s="34" t="s">
        <v>73</v>
      </c>
      <c r="I57" s="34" t="s">
        <v>75</v>
      </c>
      <c r="J57" s="34" t="s">
        <v>228</v>
      </c>
      <c r="K57" s="34" t="s">
        <v>229</v>
      </c>
      <c r="L57" s="34" t="s">
        <v>230</v>
      </c>
      <c r="M57" s="34" t="s">
        <v>344</v>
      </c>
      <c r="N57" s="34" t="str">
        <f aca="false">"Sector "&amp;VALUE(MID(D57,13,2))</f>
        <v>Sector 7</v>
      </c>
      <c r="O57" s="34" t="str">
        <f aca="false">IF(Dashboard!$C$5="Ubicación técnica",N57,"Sector "&amp;VALUE(RIGHT(G57,2)))</f>
        <v>Sector 7</v>
      </c>
      <c r="P57" s="34" t="str">
        <f aca="false">IF(MID(D57,15,3)="SEL","Subestación eléctrica","Área de proceso")</f>
        <v>Área de proceso</v>
      </c>
      <c r="Q57" s="34" t="str">
        <f aca="false">MID(D57,13,5)&amp;"|"&amp;MID(D57,19,5)</f>
        <v>07BAA|SCB91</v>
      </c>
      <c r="R57" s="34" t="str">
        <f aca="false">IF(P57="Subestación eléctrica",IFERROR(INDEX(cat_SubN,MATCH(Q57,cat_SubK,0)),"SIN CATALOGAR"),"ÁREA DE PROCESO")</f>
        <v>ÁREA DE PROCESO</v>
      </c>
      <c r="S57" s="34" t="str">
        <f aca="false">IF(H57="","SIN DATO",IFERROR(INDEX(cat_MarcaN,MATCH(H57,cat_MarcaO,0)),H57))</f>
        <v>SIEMENS</v>
      </c>
      <c r="T57" s="34" t="str">
        <f aca="false">IF(I57="","SIN DATO",IFERROR(INDEX(cat_ModN,MATCH(I57,cat_ModO,0)),I57))</f>
        <v>REYROLLE</v>
      </c>
      <c r="U57" s="34" t="str">
        <f aca="false">IF(I57="","",IFERROR(INDEX(cat_ModG,MATCH(I57,cat_ModO,0)),"No"))</f>
        <v>Sí</v>
      </c>
      <c r="V57" s="34" t="str">
        <f aca="false">IF(J57="","SIN DATO",IFERROR(INDEX(cat_FunN,MATCH(J57,cat_FunO,0)),J57))</f>
        <v>Protección y medición</v>
      </c>
      <c r="W57" s="34" t="str">
        <f aca="false">IF(OR(S57="SIN DATO",T57="SIN DATO"),"No","Sí")</f>
        <v>Sí</v>
      </c>
    </row>
    <row r="58" customFormat="false" ht="15" hidden="false" customHeight="false" outlineLevel="0" collapsed="false">
      <c r="A58" s="34" t="s">
        <v>465</v>
      </c>
      <c r="B58" s="34" t="s">
        <v>466</v>
      </c>
      <c r="C58" s="34" t="s">
        <v>467</v>
      </c>
      <c r="D58" s="34" t="s">
        <v>468</v>
      </c>
      <c r="E58" s="34" t="s">
        <v>341</v>
      </c>
      <c r="F58" s="34" t="s">
        <v>342</v>
      </c>
      <c r="G58" s="34" t="s">
        <v>343</v>
      </c>
      <c r="H58" s="34" t="s">
        <v>73</v>
      </c>
      <c r="I58" s="34" t="s">
        <v>75</v>
      </c>
      <c r="J58" s="34" t="s">
        <v>228</v>
      </c>
      <c r="K58" s="34" t="s">
        <v>229</v>
      </c>
      <c r="L58" s="34" t="s">
        <v>230</v>
      </c>
      <c r="M58" s="34" t="s">
        <v>344</v>
      </c>
      <c r="N58" s="34" t="str">
        <f aca="false">"Sector "&amp;VALUE(MID(D58,13,2))</f>
        <v>Sector 7</v>
      </c>
      <c r="O58" s="34" t="str">
        <f aca="false">IF(Dashboard!$C$5="Ubicación técnica",N58,"Sector "&amp;VALUE(RIGHT(G58,2)))</f>
        <v>Sector 7</v>
      </c>
      <c r="P58" s="34" t="str">
        <f aca="false">IF(MID(D58,15,3)="SEL","Subestación eléctrica","Área de proceso")</f>
        <v>Área de proceso</v>
      </c>
      <c r="Q58" s="34" t="str">
        <f aca="false">MID(D58,13,5)&amp;"|"&amp;MID(D58,19,5)</f>
        <v>07BAA|SCB91</v>
      </c>
      <c r="R58" s="34" t="str">
        <f aca="false">IF(P58="Subestación eléctrica",IFERROR(INDEX(cat_SubN,MATCH(Q58,cat_SubK,0)),"SIN CATALOGAR"),"ÁREA DE PROCESO")</f>
        <v>ÁREA DE PROCESO</v>
      </c>
      <c r="S58" s="34" t="str">
        <f aca="false">IF(H58="","SIN DATO",IFERROR(INDEX(cat_MarcaN,MATCH(H58,cat_MarcaO,0)),H58))</f>
        <v>SIEMENS</v>
      </c>
      <c r="T58" s="34" t="str">
        <f aca="false">IF(I58="","SIN DATO",IFERROR(INDEX(cat_ModN,MATCH(I58,cat_ModO,0)),I58))</f>
        <v>REYROLLE</v>
      </c>
      <c r="U58" s="34" t="str">
        <f aca="false">IF(I58="","",IFERROR(INDEX(cat_ModG,MATCH(I58,cat_ModO,0)),"No"))</f>
        <v>Sí</v>
      </c>
      <c r="V58" s="34" t="str">
        <f aca="false">IF(J58="","SIN DATO",IFERROR(INDEX(cat_FunN,MATCH(J58,cat_FunO,0)),J58))</f>
        <v>Protección y medición</v>
      </c>
      <c r="W58" s="34" t="str">
        <f aca="false">IF(OR(S58="SIN DATO",T58="SIN DATO"),"No","Sí")</f>
        <v>Sí</v>
      </c>
    </row>
    <row r="59" customFormat="false" ht="15" hidden="false" customHeight="false" outlineLevel="0" collapsed="false">
      <c r="A59" s="34" t="s">
        <v>469</v>
      </c>
      <c r="B59" s="34" t="s">
        <v>470</v>
      </c>
      <c r="C59" s="34" t="s">
        <v>471</v>
      </c>
      <c r="D59" s="34" t="s">
        <v>472</v>
      </c>
      <c r="E59" s="34" t="s">
        <v>341</v>
      </c>
      <c r="F59" s="34" t="s">
        <v>342</v>
      </c>
      <c r="G59" s="34" t="s">
        <v>343</v>
      </c>
      <c r="H59" s="34" t="s">
        <v>73</v>
      </c>
      <c r="I59" s="34" t="s">
        <v>75</v>
      </c>
      <c r="J59" s="34" t="s">
        <v>228</v>
      </c>
      <c r="K59" s="34" t="s">
        <v>229</v>
      </c>
      <c r="L59" s="34" t="s">
        <v>230</v>
      </c>
      <c r="M59" s="34" t="s">
        <v>344</v>
      </c>
      <c r="N59" s="34" t="str">
        <f aca="false">"Sector "&amp;VALUE(MID(D59,13,2))</f>
        <v>Sector 7</v>
      </c>
      <c r="O59" s="34" t="str">
        <f aca="false">IF(Dashboard!$C$5="Ubicación técnica",N59,"Sector "&amp;VALUE(RIGHT(G59,2)))</f>
        <v>Sector 7</v>
      </c>
      <c r="P59" s="34" t="str">
        <f aca="false">IF(MID(D59,15,3)="SEL","Subestación eléctrica","Área de proceso")</f>
        <v>Área de proceso</v>
      </c>
      <c r="Q59" s="34" t="str">
        <f aca="false">MID(D59,13,5)&amp;"|"&amp;MID(D59,19,5)</f>
        <v>07BAA|SCB92</v>
      </c>
      <c r="R59" s="34" t="str">
        <f aca="false">IF(P59="Subestación eléctrica",IFERROR(INDEX(cat_SubN,MATCH(Q59,cat_SubK,0)),"SIN CATALOGAR"),"ÁREA DE PROCESO")</f>
        <v>ÁREA DE PROCESO</v>
      </c>
      <c r="S59" s="34" t="str">
        <f aca="false">IF(H59="","SIN DATO",IFERROR(INDEX(cat_MarcaN,MATCH(H59,cat_MarcaO,0)),H59))</f>
        <v>SIEMENS</v>
      </c>
      <c r="T59" s="34" t="str">
        <f aca="false">IF(I59="","SIN DATO",IFERROR(INDEX(cat_ModN,MATCH(I59,cat_ModO,0)),I59))</f>
        <v>REYROLLE</v>
      </c>
      <c r="U59" s="34" t="str">
        <f aca="false">IF(I59="","",IFERROR(INDEX(cat_ModG,MATCH(I59,cat_ModO,0)),"No"))</f>
        <v>Sí</v>
      </c>
      <c r="V59" s="34" t="str">
        <f aca="false">IF(J59="","SIN DATO",IFERROR(INDEX(cat_FunN,MATCH(J59,cat_FunO,0)),J59))</f>
        <v>Protección y medición</v>
      </c>
      <c r="W59" s="34" t="str">
        <f aca="false">IF(OR(S59="SIN DATO",T59="SIN DATO"),"No","Sí")</f>
        <v>Sí</v>
      </c>
    </row>
    <row r="60" customFormat="false" ht="15" hidden="false" customHeight="false" outlineLevel="0" collapsed="false">
      <c r="A60" s="34" t="s">
        <v>473</v>
      </c>
      <c r="B60" s="34" t="s">
        <v>474</v>
      </c>
      <c r="C60" s="34" t="s">
        <v>475</v>
      </c>
      <c r="D60" s="34" t="s">
        <v>476</v>
      </c>
      <c r="E60" s="34" t="s">
        <v>341</v>
      </c>
      <c r="F60" s="34" t="s">
        <v>342</v>
      </c>
      <c r="G60" s="34" t="s">
        <v>343</v>
      </c>
      <c r="H60" s="34" t="s">
        <v>73</v>
      </c>
      <c r="I60" s="34" t="s">
        <v>75</v>
      </c>
      <c r="J60" s="34" t="s">
        <v>228</v>
      </c>
      <c r="K60" s="34" t="s">
        <v>229</v>
      </c>
      <c r="L60" s="34" t="s">
        <v>230</v>
      </c>
      <c r="M60" s="34" t="s">
        <v>344</v>
      </c>
      <c r="N60" s="34" t="str">
        <f aca="false">"Sector "&amp;VALUE(MID(D60,13,2))</f>
        <v>Sector 7</v>
      </c>
      <c r="O60" s="34" t="str">
        <f aca="false">IF(Dashboard!$C$5="Ubicación técnica",N60,"Sector "&amp;VALUE(RIGHT(G60,2)))</f>
        <v>Sector 7</v>
      </c>
      <c r="P60" s="34" t="str">
        <f aca="false">IF(MID(D60,15,3)="SEL","Subestación eléctrica","Área de proceso")</f>
        <v>Área de proceso</v>
      </c>
      <c r="Q60" s="34" t="str">
        <f aca="false">MID(D60,13,5)&amp;"|"&amp;MID(D60,19,5)</f>
        <v>07BAA|SCB92</v>
      </c>
      <c r="R60" s="34" t="str">
        <f aca="false">IF(P60="Subestación eléctrica",IFERROR(INDEX(cat_SubN,MATCH(Q60,cat_SubK,0)),"SIN CATALOGAR"),"ÁREA DE PROCESO")</f>
        <v>ÁREA DE PROCESO</v>
      </c>
      <c r="S60" s="34" t="str">
        <f aca="false">IF(H60="","SIN DATO",IFERROR(INDEX(cat_MarcaN,MATCH(H60,cat_MarcaO,0)),H60))</f>
        <v>SIEMENS</v>
      </c>
      <c r="T60" s="34" t="str">
        <f aca="false">IF(I60="","SIN DATO",IFERROR(INDEX(cat_ModN,MATCH(I60,cat_ModO,0)),I60))</f>
        <v>REYROLLE</v>
      </c>
      <c r="U60" s="34" t="str">
        <f aca="false">IF(I60="","",IFERROR(INDEX(cat_ModG,MATCH(I60,cat_ModO,0)),"No"))</f>
        <v>Sí</v>
      </c>
      <c r="V60" s="34" t="str">
        <f aca="false">IF(J60="","SIN DATO",IFERROR(INDEX(cat_FunN,MATCH(J60,cat_FunO,0)),J60))</f>
        <v>Protección y medición</v>
      </c>
      <c r="W60" s="34" t="str">
        <f aca="false">IF(OR(S60="SIN DATO",T60="SIN DATO"),"No","Sí")</f>
        <v>Sí</v>
      </c>
    </row>
    <row r="61" customFormat="false" ht="15" hidden="false" customHeight="false" outlineLevel="0" collapsed="false">
      <c r="A61" s="34" t="s">
        <v>477</v>
      </c>
      <c r="B61" s="34" t="s">
        <v>478</v>
      </c>
      <c r="C61" s="34" t="s">
        <v>479</v>
      </c>
      <c r="D61" s="34" t="s">
        <v>480</v>
      </c>
      <c r="E61" s="34" t="s">
        <v>116</v>
      </c>
      <c r="F61" s="34" t="s">
        <v>481</v>
      </c>
      <c r="G61" s="34" t="s">
        <v>259</v>
      </c>
      <c r="H61" s="34" t="s">
        <v>61</v>
      </c>
      <c r="I61" s="34" t="s">
        <v>63</v>
      </c>
      <c r="J61" s="34" t="s">
        <v>260</v>
      </c>
      <c r="K61" s="34" t="s">
        <v>229</v>
      </c>
      <c r="L61" s="34" t="s">
        <v>230</v>
      </c>
      <c r="M61" s="34" t="s">
        <v>344</v>
      </c>
      <c r="N61" s="34" t="str">
        <f aca="false">"Sector "&amp;VALUE(MID(D61,13,2))</f>
        <v>Sector 3</v>
      </c>
      <c r="O61" s="34" t="str">
        <f aca="false">IF(Dashboard!$C$5="Ubicación técnica",N61,"Sector "&amp;VALUE(RIGHT(G61,2)))</f>
        <v>Sector 3</v>
      </c>
      <c r="P61" s="34" t="str">
        <f aca="false">IF(MID(D61,15,3)="SEL","Subestación eléctrica","Área de proceso")</f>
        <v>Área de proceso</v>
      </c>
      <c r="Q61" s="34" t="str">
        <f aca="false">MID(D61,13,5)&amp;"|"&amp;MID(D61,19,5)</f>
        <v>03CAA|SPCCP</v>
      </c>
      <c r="R61" s="34" t="str">
        <f aca="false">IF(P61="Subestación eléctrica",IFERROR(INDEX(cat_SubN,MATCH(Q61,cat_SubK,0)),"SIN CATALOGAR"),"ÁREA DE PROCESO")</f>
        <v>ÁREA DE PROCESO</v>
      </c>
      <c r="S61" s="34" t="str">
        <f aca="false">IF(H61="","SIN DATO",IFERROR(INDEX(cat_MarcaN,MATCH(H61,cat_MarcaO,0)),H61))</f>
        <v>GENERAL ELECTRIC</v>
      </c>
      <c r="T61" s="34" t="str">
        <f aca="false">IF(I61="","SIN DATO",IFERROR(INDEX(cat_ModN,MATCH(I61,cat_ModO,0)),I61))</f>
        <v>MULTILIN</v>
      </c>
      <c r="U61" s="34" t="str">
        <f aca="false">IF(I61="","",IFERROR(INDEX(cat_ModG,MATCH(I61,cat_ModO,0)),"No"))</f>
        <v>Sí</v>
      </c>
      <c r="V61" s="34" t="str">
        <f aca="false">IF(J61="","SIN DATO",IFERROR(INDEX(cat_FunN,MATCH(J61,cat_FunO,0)),J61))</f>
        <v>Protección y medición</v>
      </c>
      <c r="W61" s="34" t="str">
        <f aca="false">IF(OR(S61="SIN DATO",T61="SIN DATO"),"No","Sí")</f>
        <v>Sí</v>
      </c>
    </row>
    <row r="62" customFormat="false" ht="15" hidden="false" customHeight="false" outlineLevel="0" collapsed="false">
      <c r="A62" s="34" t="s">
        <v>482</v>
      </c>
      <c r="B62" s="34" t="s">
        <v>483</v>
      </c>
      <c r="C62" s="34" t="s">
        <v>484</v>
      </c>
      <c r="D62" s="34" t="s">
        <v>485</v>
      </c>
      <c r="E62" s="34" t="s">
        <v>116</v>
      </c>
      <c r="F62" s="34" t="s">
        <v>481</v>
      </c>
      <c r="G62" s="34" t="s">
        <v>259</v>
      </c>
      <c r="H62" s="34" t="s">
        <v>61</v>
      </c>
      <c r="I62" s="34" t="s">
        <v>63</v>
      </c>
      <c r="J62" s="34" t="s">
        <v>260</v>
      </c>
      <c r="K62" s="34" t="s">
        <v>229</v>
      </c>
      <c r="L62" s="34" t="s">
        <v>230</v>
      </c>
      <c r="M62" s="34" t="s">
        <v>344</v>
      </c>
      <c r="N62" s="34" t="str">
        <f aca="false">"Sector "&amp;VALUE(MID(D62,13,2))</f>
        <v>Sector 3</v>
      </c>
      <c r="O62" s="34" t="str">
        <f aca="false">IF(Dashboard!$C$5="Ubicación técnica",N62,"Sector "&amp;VALUE(RIGHT(G62,2)))</f>
        <v>Sector 3</v>
      </c>
      <c r="P62" s="34" t="str">
        <f aca="false">IF(MID(D62,15,3)="SEL","Subestación eléctrica","Área de proceso")</f>
        <v>Área de proceso</v>
      </c>
      <c r="Q62" s="34" t="str">
        <f aca="false">MID(D62,13,5)&amp;"|"&amp;MID(D62,19,5)</f>
        <v>03CAA|SPCCP</v>
      </c>
      <c r="R62" s="34" t="str">
        <f aca="false">IF(P62="Subestación eléctrica",IFERROR(INDEX(cat_SubN,MATCH(Q62,cat_SubK,0)),"SIN CATALOGAR"),"ÁREA DE PROCESO")</f>
        <v>ÁREA DE PROCESO</v>
      </c>
      <c r="S62" s="34" t="str">
        <f aca="false">IF(H62="","SIN DATO",IFERROR(INDEX(cat_MarcaN,MATCH(H62,cat_MarcaO,0)),H62))</f>
        <v>GENERAL ELECTRIC</v>
      </c>
      <c r="T62" s="34" t="str">
        <f aca="false">IF(I62="","SIN DATO",IFERROR(INDEX(cat_ModN,MATCH(I62,cat_ModO,0)),I62))</f>
        <v>MULTILIN</v>
      </c>
      <c r="U62" s="34" t="str">
        <f aca="false">IF(I62="","",IFERROR(INDEX(cat_ModG,MATCH(I62,cat_ModO,0)),"No"))</f>
        <v>Sí</v>
      </c>
      <c r="V62" s="34" t="str">
        <f aca="false">IF(J62="","SIN DATO",IFERROR(INDEX(cat_FunN,MATCH(J62,cat_FunO,0)),J62))</f>
        <v>Protección y medición</v>
      </c>
      <c r="W62" s="34" t="str">
        <f aca="false">IF(OR(S62="SIN DATO",T62="SIN DATO"),"No","Sí")</f>
        <v>Sí</v>
      </c>
    </row>
    <row r="63" customFormat="false" ht="15" hidden="false" customHeight="false" outlineLevel="0" collapsed="false">
      <c r="A63" s="34" t="s">
        <v>486</v>
      </c>
      <c r="B63" s="34" t="s">
        <v>487</v>
      </c>
      <c r="C63" s="34" t="s">
        <v>488</v>
      </c>
      <c r="D63" s="34" t="s">
        <v>489</v>
      </c>
      <c r="E63" s="34" t="s">
        <v>116</v>
      </c>
      <c r="F63" s="34" t="s">
        <v>481</v>
      </c>
      <c r="G63" s="34" t="s">
        <v>259</v>
      </c>
      <c r="H63" s="34" t="s">
        <v>61</v>
      </c>
      <c r="I63" s="34" t="s">
        <v>63</v>
      </c>
      <c r="J63" s="34" t="s">
        <v>260</v>
      </c>
      <c r="K63" s="34" t="s">
        <v>229</v>
      </c>
      <c r="L63" s="34" t="s">
        <v>230</v>
      </c>
      <c r="M63" s="34" t="s">
        <v>344</v>
      </c>
      <c r="N63" s="34" t="str">
        <f aca="false">"Sector "&amp;VALUE(MID(D63,13,2))</f>
        <v>Sector 3</v>
      </c>
      <c r="O63" s="34" t="str">
        <f aca="false">IF(Dashboard!$C$5="Ubicación técnica",N63,"Sector "&amp;VALUE(RIGHT(G63,2)))</f>
        <v>Sector 3</v>
      </c>
      <c r="P63" s="34" t="str">
        <f aca="false">IF(MID(D63,15,3)="SEL","Subestación eléctrica","Área de proceso")</f>
        <v>Área de proceso</v>
      </c>
      <c r="Q63" s="34" t="str">
        <f aca="false">MID(D63,13,5)&amp;"|"&amp;MID(D63,19,5)</f>
        <v>03CAA|SPCCP</v>
      </c>
      <c r="R63" s="34" t="str">
        <f aca="false">IF(P63="Subestación eléctrica",IFERROR(INDEX(cat_SubN,MATCH(Q63,cat_SubK,0)),"SIN CATALOGAR"),"ÁREA DE PROCESO")</f>
        <v>ÁREA DE PROCESO</v>
      </c>
      <c r="S63" s="34" t="str">
        <f aca="false">IF(H63="","SIN DATO",IFERROR(INDEX(cat_MarcaN,MATCH(H63,cat_MarcaO,0)),H63))</f>
        <v>GENERAL ELECTRIC</v>
      </c>
      <c r="T63" s="34" t="str">
        <f aca="false">IF(I63="","SIN DATO",IFERROR(INDEX(cat_ModN,MATCH(I63,cat_ModO,0)),I63))</f>
        <v>MULTILIN</v>
      </c>
      <c r="U63" s="34" t="str">
        <f aca="false">IF(I63="","",IFERROR(INDEX(cat_ModG,MATCH(I63,cat_ModO,0)),"No"))</f>
        <v>Sí</v>
      </c>
      <c r="V63" s="34" t="str">
        <f aca="false">IF(J63="","SIN DATO",IFERROR(INDEX(cat_FunN,MATCH(J63,cat_FunO,0)),J63))</f>
        <v>Protección y medición</v>
      </c>
      <c r="W63" s="34" t="str">
        <f aca="false">IF(OR(S63="SIN DATO",T63="SIN DATO"),"No","Sí")</f>
        <v>Sí</v>
      </c>
    </row>
    <row r="64" customFormat="false" ht="15" hidden="false" customHeight="false" outlineLevel="0" collapsed="false">
      <c r="A64" s="34" t="s">
        <v>490</v>
      </c>
      <c r="B64" s="34" t="s">
        <v>491</v>
      </c>
      <c r="C64" s="34" t="s">
        <v>492</v>
      </c>
      <c r="D64" s="34" t="s">
        <v>493</v>
      </c>
      <c r="E64" s="34" t="s">
        <v>116</v>
      </c>
      <c r="F64" s="34" t="s">
        <v>481</v>
      </c>
      <c r="G64" s="34" t="s">
        <v>259</v>
      </c>
      <c r="H64" s="34" t="s">
        <v>61</v>
      </c>
      <c r="I64" s="34" t="s">
        <v>63</v>
      </c>
      <c r="J64" s="34" t="s">
        <v>260</v>
      </c>
      <c r="K64" s="34" t="s">
        <v>229</v>
      </c>
      <c r="L64" s="34" t="s">
        <v>230</v>
      </c>
      <c r="M64" s="34" t="s">
        <v>344</v>
      </c>
      <c r="N64" s="34" t="str">
        <f aca="false">"Sector "&amp;VALUE(MID(D64,13,2))</f>
        <v>Sector 3</v>
      </c>
      <c r="O64" s="34" t="str">
        <f aca="false">IF(Dashboard!$C$5="Ubicación técnica",N64,"Sector "&amp;VALUE(RIGHT(G64,2)))</f>
        <v>Sector 3</v>
      </c>
      <c r="P64" s="34" t="str">
        <f aca="false">IF(MID(D64,15,3)="SEL","Subestación eléctrica","Área de proceso")</f>
        <v>Área de proceso</v>
      </c>
      <c r="Q64" s="34" t="str">
        <f aca="false">MID(D64,13,5)&amp;"|"&amp;MID(D64,19,5)</f>
        <v>03CAA|SPCCP</v>
      </c>
      <c r="R64" s="34" t="str">
        <f aca="false">IF(P64="Subestación eléctrica",IFERROR(INDEX(cat_SubN,MATCH(Q64,cat_SubK,0)),"SIN CATALOGAR"),"ÁREA DE PROCESO")</f>
        <v>ÁREA DE PROCESO</v>
      </c>
      <c r="S64" s="34" t="str">
        <f aca="false">IF(H64="","SIN DATO",IFERROR(INDEX(cat_MarcaN,MATCH(H64,cat_MarcaO,0)),H64))</f>
        <v>GENERAL ELECTRIC</v>
      </c>
      <c r="T64" s="34" t="str">
        <f aca="false">IF(I64="","SIN DATO",IFERROR(INDEX(cat_ModN,MATCH(I64,cat_ModO,0)),I64))</f>
        <v>MULTILIN</v>
      </c>
      <c r="U64" s="34" t="str">
        <f aca="false">IF(I64="","",IFERROR(INDEX(cat_ModG,MATCH(I64,cat_ModO,0)),"No"))</f>
        <v>Sí</v>
      </c>
      <c r="V64" s="34" t="str">
        <f aca="false">IF(J64="","SIN DATO",IFERROR(INDEX(cat_FunN,MATCH(J64,cat_FunO,0)),J64))</f>
        <v>Protección y medición</v>
      </c>
      <c r="W64" s="34" t="str">
        <f aca="false">IF(OR(S64="SIN DATO",T64="SIN DATO"),"No","Sí")</f>
        <v>Sí</v>
      </c>
    </row>
    <row r="65" customFormat="false" ht="15" hidden="false" customHeight="false" outlineLevel="0" collapsed="false">
      <c r="A65" s="34" t="s">
        <v>494</v>
      </c>
      <c r="B65" s="34" t="s">
        <v>495</v>
      </c>
      <c r="C65" s="34" t="s">
        <v>496</v>
      </c>
      <c r="D65" s="34" t="s">
        <v>497</v>
      </c>
      <c r="E65" s="34" t="s">
        <v>116</v>
      </c>
      <c r="F65" s="34" t="s">
        <v>481</v>
      </c>
      <c r="G65" s="34" t="s">
        <v>259</v>
      </c>
      <c r="H65" s="34" t="s">
        <v>61</v>
      </c>
      <c r="I65" s="34" t="s">
        <v>63</v>
      </c>
      <c r="J65" s="34" t="s">
        <v>260</v>
      </c>
      <c r="K65" s="34" t="s">
        <v>229</v>
      </c>
      <c r="L65" s="34" t="s">
        <v>230</v>
      </c>
      <c r="M65" s="34" t="s">
        <v>344</v>
      </c>
      <c r="N65" s="34" t="str">
        <f aca="false">"Sector "&amp;VALUE(MID(D65,13,2))</f>
        <v>Sector 3</v>
      </c>
      <c r="O65" s="34" t="str">
        <f aca="false">IF(Dashboard!$C$5="Ubicación técnica",N65,"Sector "&amp;VALUE(RIGHT(G65,2)))</f>
        <v>Sector 3</v>
      </c>
      <c r="P65" s="34" t="str">
        <f aca="false">IF(MID(D65,15,3)="SEL","Subestación eléctrica","Área de proceso")</f>
        <v>Área de proceso</v>
      </c>
      <c r="Q65" s="34" t="str">
        <f aca="false">MID(D65,13,5)&amp;"|"&amp;MID(D65,19,5)</f>
        <v>03CAA|SPCCP</v>
      </c>
      <c r="R65" s="34" t="str">
        <f aca="false">IF(P65="Subestación eléctrica",IFERROR(INDEX(cat_SubN,MATCH(Q65,cat_SubK,0)),"SIN CATALOGAR"),"ÁREA DE PROCESO")</f>
        <v>ÁREA DE PROCESO</v>
      </c>
      <c r="S65" s="34" t="str">
        <f aca="false">IF(H65="","SIN DATO",IFERROR(INDEX(cat_MarcaN,MATCH(H65,cat_MarcaO,0)),H65))</f>
        <v>GENERAL ELECTRIC</v>
      </c>
      <c r="T65" s="34" t="str">
        <f aca="false">IF(I65="","SIN DATO",IFERROR(INDEX(cat_ModN,MATCH(I65,cat_ModO,0)),I65))</f>
        <v>MULTILIN</v>
      </c>
      <c r="U65" s="34" t="str">
        <f aca="false">IF(I65="","",IFERROR(INDEX(cat_ModG,MATCH(I65,cat_ModO,0)),"No"))</f>
        <v>Sí</v>
      </c>
      <c r="V65" s="34" t="str">
        <f aca="false">IF(J65="","SIN DATO",IFERROR(INDEX(cat_FunN,MATCH(J65,cat_FunO,0)),J65))</f>
        <v>Protección y medición</v>
      </c>
      <c r="W65" s="34" t="str">
        <f aca="false">IF(OR(S65="SIN DATO",T65="SIN DATO"),"No","Sí")</f>
        <v>Sí</v>
      </c>
    </row>
    <row r="66" customFormat="false" ht="15" hidden="false" customHeight="false" outlineLevel="0" collapsed="false">
      <c r="A66" s="34" t="s">
        <v>498</v>
      </c>
      <c r="B66" s="34" t="s">
        <v>499</v>
      </c>
      <c r="C66" s="34" t="s">
        <v>500</v>
      </c>
      <c r="D66" s="34" t="s">
        <v>501</v>
      </c>
      <c r="E66" s="34" t="s">
        <v>116</v>
      </c>
      <c r="F66" s="34" t="s">
        <v>481</v>
      </c>
      <c r="G66" s="34" t="s">
        <v>259</v>
      </c>
      <c r="H66" s="34" t="s">
        <v>61</v>
      </c>
      <c r="I66" s="34" t="s">
        <v>63</v>
      </c>
      <c r="J66" s="34" t="s">
        <v>260</v>
      </c>
      <c r="K66" s="34" t="s">
        <v>229</v>
      </c>
      <c r="L66" s="34" t="s">
        <v>230</v>
      </c>
      <c r="M66" s="34" t="s">
        <v>344</v>
      </c>
      <c r="N66" s="34" t="str">
        <f aca="false">"Sector "&amp;VALUE(MID(D66,13,2))</f>
        <v>Sector 3</v>
      </c>
      <c r="O66" s="34" t="str">
        <f aca="false">IF(Dashboard!$C$5="Ubicación técnica",N66,"Sector "&amp;VALUE(RIGHT(G66,2)))</f>
        <v>Sector 3</v>
      </c>
      <c r="P66" s="34" t="str">
        <f aca="false">IF(MID(D66,15,3)="SEL","Subestación eléctrica","Área de proceso")</f>
        <v>Área de proceso</v>
      </c>
      <c r="Q66" s="34" t="str">
        <f aca="false">MID(D66,13,5)&amp;"|"&amp;MID(D66,19,5)</f>
        <v>03CAA|SURVA</v>
      </c>
      <c r="R66" s="34" t="str">
        <f aca="false">IF(P66="Subestación eléctrica",IFERROR(INDEX(cat_SubN,MATCH(Q66,cat_SubK,0)),"SIN CATALOGAR"),"ÁREA DE PROCESO")</f>
        <v>ÁREA DE PROCESO</v>
      </c>
      <c r="S66" s="34" t="str">
        <f aca="false">IF(H66="","SIN DATO",IFERROR(INDEX(cat_MarcaN,MATCH(H66,cat_MarcaO,0)),H66))</f>
        <v>GENERAL ELECTRIC</v>
      </c>
      <c r="T66" s="34" t="str">
        <f aca="false">IF(I66="","SIN DATO",IFERROR(INDEX(cat_ModN,MATCH(I66,cat_ModO,0)),I66))</f>
        <v>MULTILIN</v>
      </c>
      <c r="U66" s="34" t="str">
        <f aca="false">IF(I66="","",IFERROR(INDEX(cat_ModG,MATCH(I66,cat_ModO,0)),"No"))</f>
        <v>Sí</v>
      </c>
      <c r="V66" s="34" t="str">
        <f aca="false">IF(J66="","SIN DATO",IFERROR(INDEX(cat_FunN,MATCH(J66,cat_FunO,0)),J66))</f>
        <v>Protección y medición</v>
      </c>
      <c r="W66" s="34" t="str">
        <f aca="false">IF(OR(S66="SIN DATO",T66="SIN DATO"),"No","Sí")</f>
        <v>Sí</v>
      </c>
    </row>
    <row r="67" customFormat="false" ht="15" hidden="false" customHeight="false" outlineLevel="0" collapsed="false">
      <c r="A67" s="34" t="s">
        <v>502</v>
      </c>
      <c r="B67" s="34" t="s">
        <v>503</v>
      </c>
      <c r="C67" s="34" t="s">
        <v>504</v>
      </c>
      <c r="D67" s="34" t="s">
        <v>505</v>
      </c>
      <c r="E67" s="34" t="s">
        <v>116</v>
      </c>
      <c r="F67" s="34" t="s">
        <v>481</v>
      </c>
      <c r="G67" s="34" t="s">
        <v>259</v>
      </c>
      <c r="H67" s="34" t="s">
        <v>61</v>
      </c>
      <c r="I67" s="34" t="s">
        <v>63</v>
      </c>
      <c r="J67" s="34" t="s">
        <v>260</v>
      </c>
      <c r="K67" s="34" t="s">
        <v>229</v>
      </c>
      <c r="L67" s="34" t="s">
        <v>230</v>
      </c>
      <c r="M67" s="34" t="s">
        <v>344</v>
      </c>
      <c r="N67" s="34" t="str">
        <f aca="false">"Sector "&amp;VALUE(MID(D67,13,2))</f>
        <v>Sector 3</v>
      </c>
      <c r="O67" s="34" t="str">
        <f aca="false">IF(Dashboard!$C$5="Ubicación técnica",N67,"Sector "&amp;VALUE(RIGHT(G67,2)))</f>
        <v>Sector 3</v>
      </c>
      <c r="P67" s="34" t="str">
        <f aca="false">IF(MID(D67,15,3)="SEL","Subestación eléctrica","Área de proceso")</f>
        <v>Área de proceso</v>
      </c>
      <c r="Q67" s="34" t="str">
        <f aca="false">MID(D67,13,5)&amp;"|"&amp;MID(D67,19,5)</f>
        <v>03CAA|SURVA</v>
      </c>
      <c r="R67" s="34" t="str">
        <f aca="false">IF(P67="Subestación eléctrica",IFERROR(INDEX(cat_SubN,MATCH(Q67,cat_SubK,0)),"SIN CATALOGAR"),"ÁREA DE PROCESO")</f>
        <v>ÁREA DE PROCESO</v>
      </c>
      <c r="S67" s="34" t="str">
        <f aca="false">IF(H67="","SIN DATO",IFERROR(INDEX(cat_MarcaN,MATCH(H67,cat_MarcaO,0)),H67))</f>
        <v>GENERAL ELECTRIC</v>
      </c>
      <c r="T67" s="34" t="str">
        <f aca="false">IF(I67="","SIN DATO",IFERROR(INDEX(cat_ModN,MATCH(I67,cat_ModO,0)),I67))</f>
        <v>MULTILIN</v>
      </c>
      <c r="U67" s="34" t="str">
        <f aca="false">IF(I67="","",IFERROR(INDEX(cat_ModG,MATCH(I67,cat_ModO,0)),"No"))</f>
        <v>Sí</v>
      </c>
      <c r="V67" s="34" t="str">
        <f aca="false">IF(J67="","SIN DATO",IFERROR(INDEX(cat_FunN,MATCH(J67,cat_FunO,0)),J67))</f>
        <v>Protección y medición</v>
      </c>
      <c r="W67" s="34" t="str">
        <f aca="false">IF(OR(S67="SIN DATO",T67="SIN DATO"),"No","Sí")</f>
        <v>Sí</v>
      </c>
    </row>
    <row r="68" customFormat="false" ht="15" hidden="false" customHeight="false" outlineLevel="0" collapsed="false">
      <c r="A68" s="34" t="s">
        <v>506</v>
      </c>
      <c r="B68" s="34" t="s">
        <v>507</v>
      </c>
      <c r="C68" s="34" t="s">
        <v>508</v>
      </c>
      <c r="D68" s="34" t="s">
        <v>509</v>
      </c>
      <c r="E68" s="34" t="s">
        <v>116</v>
      </c>
      <c r="F68" s="34" t="s">
        <v>481</v>
      </c>
      <c r="G68" s="34" t="s">
        <v>259</v>
      </c>
      <c r="H68" s="34" t="s">
        <v>61</v>
      </c>
      <c r="I68" s="34" t="s">
        <v>63</v>
      </c>
      <c r="J68" s="34" t="s">
        <v>260</v>
      </c>
      <c r="K68" s="34" t="s">
        <v>229</v>
      </c>
      <c r="L68" s="34" t="s">
        <v>230</v>
      </c>
      <c r="M68" s="34" t="s">
        <v>344</v>
      </c>
      <c r="N68" s="34" t="str">
        <f aca="false">"Sector "&amp;VALUE(MID(D68,13,2))</f>
        <v>Sector 3</v>
      </c>
      <c r="O68" s="34" t="str">
        <f aca="false">IF(Dashboard!$C$5="Ubicación técnica",N68,"Sector "&amp;VALUE(RIGHT(G68,2)))</f>
        <v>Sector 3</v>
      </c>
      <c r="P68" s="34" t="str">
        <f aca="false">IF(MID(D68,15,3)="SEL","Subestación eléctrica","Área de proceso")</f>
        <v>Área de proceso</v>
      </c>
      <c r="Q68" s="34" t="str">
        <f aca="false">MID(D68,13,5)&amp;"|"&amp;MID(D68,19,5)</f>
        <v>03CAA|SURVA</v>
      </c>
      <c r="R68" s="34" t="str">
        <f aca="false">IF(P68="Subestación eléctrica",IFERROR(INDEX(cat_SubN,MATCH(Q68,cat_SubK,0)),"SIN CATALOGAR"),"ÁREA DE PROCESO")</f>
        <v>ÁREA DE PROCESO</v>
      </c>
      <c r="S68" s="34" t="str">
        <f aca="false">IF(H68="","SIN DATO",IFERROR(INDEX(cat_MarcaN,MATCH(H68,cat_MarcaO,0)),H68))</f>
        <v>GENERAL ELECTRIC</v>
      </c>
      <c r="T68" s="34" t="str">
        <f aca="false">IF(I68="","SIN DATO",IFERROR(INDEX(cat_ModN,MATCH(I68,cat_ModO,0)),I68))</f>
        <v>MULTILIN</v>
      </c>
      <c r="U68" s="34" t="str">
        <f aca="false">IF(I68="","",IFERROR(INDEX(cat_ModG,MATCH(I68,cat_ModO,0)),"No"))</f>
        <v>Sí</v>
      </c>
      <c r="V68" s="34" t="str">
        <f aca="false">IF(J68="","SIN DATO",IFERROR(INDEX(cat_FunN,MATCH(J68,cat_FunO,0)),J68))</f>
        <v>Protección y medición</v>
      </c>
      <c r="W68" s="34" t="str">
        <f aca="false">IF(OR(S68="SIN DATO",T68="SIN DATO"),"No","Sí")</f>
        <v>Sí</v>
      </c>
    </row>
    <row r="69" customFormat="false" ht="15" hidden="false" customHeight="false" outlineLevel="0" collapsed="false">
      <c r="A69" s="34" t="s">
        <v>510</v>
      </c>
      <c r="B69" s="34" t="s">
        <v>511</v>
      </c>
      <c r="C69" s="34" t="s">
        <v>512</v>
      </c>
      <c r="D69" s="34" t="s">
        <v>513</v>
      </c>
      <c r="E69" s="34" t="s">
        <v>116</v>
      </c>
      <c r="F69" s="34" t="s">
        <v>481</v>
      </c>
      <c r="G69" s="34" t="s">
        <v>259</v>
      </c>
      <c r="H69" s="34" t="s">
        <v>61</v>
      </c>
      <c r="I69" s="34" t="s">
        <v>63</v>
      </c>
      <c r="J69" s="34" t="s">
        <v>260</v>
      </c>
      <c r="K69" s="34" t="s">
        <v>229</v>
      </c>
      <c r="L69" s="34" t="s">
        <v>230</v>
      </c>
      <c r="M69" s="34" t="s">
        <v>344</v>
      </c>
      <c r="N69" s="34" t="str">
        <f aca="false">"Sector "&amp;VALUE(MID(D69,13,2))</f>
        <v>Sector 3</v>
      </c>
      <c r="O69" s="34" t="str">
        <f aca="false">IF(Dashboard!$C$5="Ubicación técnica",N69,"Sector "&amp;VALUE(RIGHT(G69,2)))</f>
        <v>Sector 3</v>
      </c>
      <c r="P69" s="34" t="str">
        <f aca="false">IF(MID(D69,15,3)="SEL","Subestación eléctrica","Área de proceso")</f>
        <v>Área de proceso</v>
      </c>
      <c r="Q69" s="34" t="str">
        <f aca="false">MID(D69,13,5)&amp;"|"&amp;MID(D69,19,5)</f>
        <v>03CAA|SPCCP</v>
      </c>
      <c r="R69" s="34" t="str">
        <f aca="false">IF(P69="Subestación eléctrica",IFERROR(INDEX(cat_SubN,MATCH(Q69,cat_SubK,0)),"SIN CATALOGAR"),"ÁREA DE PROCESO")</f>
        <v>ÁREA DE PROCESO</v>
      </c>
      <c r="S69" s="34" t="str">
        <f aca="false">IF(H69="","SIN DATO",IFERROR(INDEX(cat_MarcaN,MATCH(H69,cat_MarcaO,0)),H69))</f>
        <v>GENERAL ELECTRIC</v>
      </c>
      <c r="T69" s="34" t="str">
        <f aca="false">IF(I69="","SIN DATO",IFERROR(INDEX(cat_ModN,MATCH(I69,cat_ModO,0)),I69))</f>
        <v>MULTILIN</v>
      </c>
      <c r="U69" s="34" t="str">
        <f aca="false">IF(I69="","",IFERROR(INDEX(cat_ModG,MATCH(I69,cat_ModO,0)),"No"))</f>
        <v>Sí</v>
      </c>
      <c r="V69" s="34" t="str">
        <f aca="false">IF(J69="","SIN DATO",IFERROR(INDEX(cat_FunN,MATCH(J69,cat_FunO,0)),J69))</f>
        <v>Protección y medición</v>
      </c>
      <c r="W69" s="34" t="str">
        <f aca="false">IF(OR(S69="SIN DATO",T69="SIN DATO"),"No","Sí")</f>
        <v>Sí</v>
      </c>
    </row>
    <row r="70" customFormat="false" ht="15" hidden="false" customHeight="false" outlineLevel="0" collapsed="false">
      <c r="A70" s="34" t="s">
        <v>514</v>
      </c>
      <c r="B70" s="34" t="s">
        <v>515</v>
      </c>
      <c r="C70" s="34" t="s">
        <v>516</v>
      </c>
      <c r="D70" s="34" t="s">
        <v>517</v>
      </c>
      <c r="E70" s="34" t="s">
        <v>116</v>
      </c>
      <c r="F70" s="34" t="s">
        <v>481</v>
      </c>
      <c r="G70" s="34" t="s">
        <v>259</v>
      </c>
      <c r="H70" s="34" t="s">
        <v>61</v>
      </c>
      <c r="I70" s="34" t="s">
        <v>63</v>
      </c>
      <c r="J70" s="34" t="s">
        <v>260</v>
      </c>
      <c r="K70" s="34" t="s">
        <v>229</v>
      </c>
      <c r="L70" s="34" t="s">
        <v>230</v>
      </c>
      <c r="M70" s="34" t="s">
        <v>344</v>
      </c>
      <c r="N70" s="34" t="str">
        <f aca="false">"Sector "&amp;VALUE(MID(D70,13,2))</f>
        <v>Sector 3</v>
      </c>
      <c r="O70" s="34" t="str">
        <f aca="false">IF(Dashboard!$C$5="Ubicación técnica",N70,"Sector "&amp;VALUE(RIGHT(G70,2)))</f>
        <v>Sector 3</v>
      </c>
      <c r="P70" s="34" t="str">
        <f aca="false">IF(MID(D70,15,3)="SEL","Subestación eléctrica","Área de proceso")</f>
        <v>Área de proceso</v>
      </c>
      <c r="Q70" s="34" t="str">
        <f aca="false">MID(D70,13,5)&amp;"|"&amp;MID(D70,19,5)</f>
        <v>03CAA|SUTAM</v>
      </c>
      <c r="R70" s="34" t="str">
        <f aca="false">IF(P70="Subestación eléctrica",IFERROR(INDEX(cat_SubN,MATCH(Q70,cat_SubK,0)),"SIN CATALOGAR"),"ÁREA DE PROCESO")</f>
        <v>ÁREA DE PROCESO</v>
      </c>
      <c r="S70" s="34" t="str">
        <f aca="false">IF(H70="","SIN DATO",IFERROR(INDEX(cat_MarcaN,MATCH(H70,cat_MarcaO,0)),H70))</f>
        <v>GENERAL ELECTRIC</v>
      </c>
      <c r="T70" s="34" t="str">
        <f aca="false">IF(I70="","SIN DATO",IFERROR(INDEX(cat_ModN,MATCH(I70,cat_ModO,0)),I70))</f>
        <v>MULTILIN</v>
      </c>
      <c r="U70" s="34" t="str">
        <f aca="false">IF(I70="","",IFERROR(INDEX(cat_ModG,MATCH(I70,cat_ModO,0)),"No"))</f>
        <v>Sí</v>
      </c>
      <c r="V70" s="34" t="str">
        <f aca="false">IF(J70="","SIN DATO",IFERROR(INDEX(cat_FunN,MATCH(J70,cat_FunO,0)),J70))</f>
        <v>Protección y medición</v>
      </c>
      <c r="W70" s="34" t="str">
        <f aca="false">IF(OR(S70="SIN DATO",T70="SIN DATO"),"No","Sí")</f>
        <v>Sí</v>
      </c>
    </row>
    <row r="71" customFormat="false" ht="15" hidden="false" customHeight="false" outlineLevel="0" collapsed="false">
      <c r="A71" s="34" t="s">
        <v>518</v>
      </c>
      <c r="B71" s="34" t="s">
        <v>519</v>
      </c>
      <c r="C71" s="34" t="s">
        <v>520</v>
      </c>
      <c r="D71" s="34" t="s">
        <v>521</v>
      </c>
      <c r="E71" s="34" t="s">
        <v>116</v>
      </c>
      <c r="F71" s="34" t="s">
        <v>481</v>
      </c>
      <c r="G71" s="34" t="s">
        <v>259</v>
      </c>
      <c r="H71" s="34" t="s">
        <v>61</v>
      </c>
      <c r="I71" s="34" t="s">
        <v>63</v>
      </c>
      <c r="J71" s="34" t="s">
        <v>260</v>
      </c>
      <c r="K71" s="34" t="s">
        <v>229</v>
      </c>
      <c r="L71" s="34" t="s">
        <v>230</v>
      </c>
      <c r="M71" s="34" t="s">
        <v>344</v>
      </c>
      <c r="N71" s="34" t="str">
        <f aca="false">"Sector "&amp;VALUE(MID(D71,13,2))</f>
        <v>Sector 3</v>
      </c>
      <c r="O71" s="34" t="str">
        <f aca="false">IF(Dashboard!$C$5="Ubicación técnica",N71,"Sector "&amp;VALUE(RIGHT(G71,2)))</f>
        <v>Sector 3</v>
      </c>
      <c r="P71" s="34" t="str">
        <f aca="false">IF(MID(D71,15,3)="SEL","Subestación eléctrica","Área de proceso")</f>
        <v>Área de proceso</v>
      </c>
      <c r="Q71" s="34" t="str">
        <f aca="false">MID(D71,13,5)&amp;"|"&amp;MID(D71,19,5)</f>
        <v>03CAA|SPCCP</v>
      </c>
      <c r="R71" s="34" t="str">
        <f aca="false">IF(P71="Subestación eléctrica",IFERROR(INDEX(cat_SubN,MATCH(Q71,cat_SubK,0)),"SIN CATALOGAR"),"ÁREA DE PROCESO")</f>
        <v>ÁREA DE PROCESO</v>
      </c>
      <c r="S71" s="34" t="str">
        <f aca="false">IF(H71="","SIN DATO",IFERROR(INDEX(cat_MarcaN,MATCH(H71,cat_MarcaO,0)),H71))</f>
        <v>GENERAL ELECTRIC</v>
      </c>
      <c r="T71" s="34" t="str">
        <f aca="false">IF(I71="","SIN DATO",IFERROR(INDEX(cat_ModN,MATCH(I71,cat_ModO,0)),I71))</f>
        <v>MULTILIN</v>
      </c>
      <c r="U71" s="34" t="str">
        <f aca="false">IF(I71="","",IFERROR(INDEX(cat_ModG,MATCH(I71,cat_ModO,0)),"No"))</f>
        <v>Sí</v>
      </c>
      <c r="V71" s="34" t="str">
        <f aca="false">IF(J71="","SIN DATO",IFERROR(INDEX(cat_FunN,MATCH(J71,cat_FunO,0)),J71))</f>
        <v>Protección y medición</v>
      </c>
      <c r="W71" s="34" t="str">
        <f aca="false">IF(OR(S71="SIN DATO",T71="SIN DATO"),"No","Sí")</f>
        <v>Sí</v>
      </c>
    </row>
    <row r="72" customFormat="false" ht="15" hidden="false" customHeight="false" outlineLevel="0" collapsed="false">
      <c r="A72" s="34" t="s">
        <v>522</v>
      </c>
      <c r="B72" s="34" t="s">
        <v>523</v>
      </c>
      <c r="C72" s="34" t="s">
        <v>524</v>
      </c>
      <c r="D72" s="34" t="s">
        <v>525</v>
      </c>
      <c r="E72" s="34" t="s">
        <v>116</v>
      </c>
      <c r="F72" s="34" t="s">
        <v>481</v>
      </c>
      <c r="G72" s="34" t="s">
        <v>259</v>
      </c>
      <c r="H72" s="34" t="s">
        <v>61</v>
      </c>
      <c r="I72" s="34" t="s">
        <v>63</v>
      </c>
      <c r="J72" s="34" t="s">
        <v>260</v>
      </c>
      <c r="K72" s="34" t="s">
        <v>229</v>
      </c>
      <c r="L72" s="34" t="s">
        <v>230</v>
      </c>
      <c r="M72" s="34" t="s">
        <v>344</v>
      </c>
      <c r="N72" s="34" t="str">
        <f aca="false">"Sector "&amp;VALUE(MID(D72,13,2))</f>
        <v>Sector 3</v>
      </c>
      <c r="O72" s="34" t="str">
        <f aca="false">IF(Dashboard!$C$5="Ubicación técnica",N72,"Sector "&amp;VALUE(RIGHT(G72,2)))</f>
        <v>Sector 3</v>
      </c>
      <c r="P72" s="34" t="str">
        <f aca="false">IF(MID(D72,15,3)="SEL","Subestación eléctrica","Área de proceso")</f>
        <v>Área de proceso</v>
      </c>
      <c r="Q72" s="34" t="str">
        <f aca="false">MID(D72,13,5)&amp;"|"&amp;MID(D72,19,5)</f>
        <v>03CAA|SPCCP</v>
      </c>
      <c r="R72" s="34" t="str">
        <f aca="false">IF(P72="Subestación eléctrica",IFERROR(INDEX(cat_SubN,MATCH(Q72,cat_SubK,0)),"SIN CATALOGAR"),"ÁREA DE PROCESO")</f>
        <v>ÁREA DE PROCESO</v>
      </c>
      <c r="S72" s="34" t="str">
        <f aca="false">IF(H72="","SIN DATO",IFERROR(INDEX(cat_MarcaN,MATCH(H72,cat_MarcaO,0)),H72))</f>
        <v>GENERAL ELECTRIC</v>
      </c>
      <c r="T72" s="34" t="str">
        <f aca="false">IF(I72="","SIN DATO",IFERROR(INDEX(cat_ModN,MATCH(I72,cat_ModO,0)),I72))</f>
        <v>MULTILIN</v>
      </c>
      <c r="U72" s="34" t="str">
        <f aca="false">IF(I72="","",IFERROR(INDEX(cat_ModG,MATCH(I72,cat_ModO,0)),"No"))</f>
        <v>Sí</v>
      </c>
      <c r="V72" s="34" t="str">
        <f aca="false">IF(J72="","SIN DATO",IFERROR(INDEX(cat_FunN,MATCH(J72,cat_FunO,0)),J72))</f>
        <v>Protección y medición</v>
      </c>
      <c r="W72" s="34" t="str">
        <f aca="false">IF(OR(S72="SIN DATO",T72="SIN DATO"),"No","Sí")</f>
        <v>Sí</v>
      </c>
    </row>
    <row r="73" customFormat="false" ht="15" hidden="false" customHeight="false" outlineLevel="0" collapsed="false">
      <c r="A73" s="34" t="s">
        <v>526</v>
      </c>
      <c r="B73" s="34" t="s">
        <v>527</v>
      </c>
      <c r="C73" s="34" t="s">
        <v>528</v>
      </c>
      <c r="D73" s="34" t="s">
        <v>529</v>
      </c>
      <c r="E73" s="34" t="s">
        <v>116</v>
      </c>
      <c r="F73" s="34" t="s">
        <v>481</v>
      </c>
      <c r="G73" s="34" t="s">
        <v>259</v>
      </c>
      <c r="H73" s="34" t="s">
        <v>61</v>
      </c>
      <c r="I73" s="34" t="s">
        <v>63</v>
      </c>
      <c r="J73" s="34" t="s">
        <v>260</v>
      </c>
      <c r="K73" s="34" t="s">
        <v>229</v>
      </c>
      <c r="L73" s="34" t="s">
        <v>230</v>
      </c>
      <c r="M73" s="34" t="s">
        <v>344</v>
      </c>
      <c r="N73" s="34" t="str">
        <f aca="false">"Sector "&amp;VALUE(MID(D73,13,2))</f>
        <v>Sector 3</v>
      </c>
      <c r="O73" s="34" t="str">
        <f aca="false">IF(Dashboard!$C$5="Ubicación técnica",N73,"Sector "&amp;VALUE(RIGHT(G73,2)))</f>
        <v>Sector 3</v>
      </c>
      <c r="P73" s="34" t="str">
        <f aca="false">IF(MID(D73,15,3)="SEL","Subestación eléctrica","Área de proceso")</f>
        <v>Área de proceso</v>
      </c>
      <c r="Q73" s="34" t="str">
        <f aca="false">MID(D73,13,5)&amp;"|"&amp;MID(D73,19,5)</f>
        <v>03CAA|SPCCP</v>
      </c>
      <c r="R73" s="34" t="str">
        <f aca="false">IF(P73="Subestación eléctrica",IFERROR(INDEX(cat_SubN,MATCH(Q73,cat_SubK,0)),"SIN CATALOGAR"),"ÁREA DE PROCESO")</f>
        <v>ÁREA DE PROCESO</v>
      </c>
      <c r="S73" s="34" t="str">
        <f aca="false">IF(H73="","SIN DATO",IFERROR(INDEX(cat_MarcaN,MATCH(H73,cat_MarcaO,0)),H73))</f>
        <v>GENERAL ELECTRIC</v>
      </c>
      <c r="T73" s="34" t="str">
        <f aca="false">IF(I73="","SIN DATO",IFERROR(INDEX(cat_ModN,MATCH(I73,cat_ModO,0)),I73))</f>
        <v>MULTILIN</v>
      </c>
      <c r="U73" s="34" t="str">
        <f aca="false">IF(I73="","",IFERROR(INDEX(cat_ModG,MATCH(I73,cat_ModO,0)),"No"))</f>
        <v>Sí</v>
      </c>
      <c r="V73" s="34" t="str">
        <f aca="false">IF(J73="","SIN DATO",IFERROR(INDEX(cat_FunN,MATCH(J73,cat_FunO,0)),J73))</f>
        <v>Protección y medición</v>
      </c>
      <c r="W73" s="34" t="str">
        <f aca="false">IF(OR(S73="SIN DATO",T73="SIN DATO"),"No","Sí")</f>
        <v>Sí</v>
      </c>
    </row>
    <row r="74" customFormat="false" ht="15" hidden="false" customHeight="false" outlineLevel="0" collapsed="false">
      <c r="A74" s="34" t="s">
        <v>530</v>
      </c>
      <c r="B74" s="34" t="s">
        <v>531</v>
      </c>
      <c r="C74" s="34" t="s">
        <v>532</v>
      </c>
      <c r="D74" s="34" t="s">
        <v>533</v>
      </c>
      <c r="E74" s="34" t="s">
        <v>116</v>
      </c>
      <c r="F74" s="34" t="s">
        <v>481</v>
      </c>
      <c r="G74" s="34" t="s">
        <v>259</v>
      </c>
      <c r="H74" s="34" t="s">
        <v>61</v>
      </c>
      <c r="I74" s="34" t="s">
        <v>63</v>
      </c>
      <c r="J74" s="34" t="s">
        <v>260</v>
      </c>
      <c r="K74" s="34" t="s">
        <v>229</v>
      </c>
      <c r="L74" s="34" t="s">
        <v>230</v>
      </c>
      <c r="M74" s="34" t="s">
        <v>344</v>
      </c>
      <c r="N74" s="34" t="str">
        <f aca="false">"Sector "&amp;VALUE(MID(D74,13,2))</f>
        <v>Sector 3</v>
      </c>
      <c r="O74" s="34" t="str">
        <f aca="false">IF(Dashboard!$C$5="Ubicación técnica",N74,"Sector "&amp;VALUE(RIGHT(G74,2)))</f>
        <v>Sector 3</v>
      </c>
      <c r="P74" s="34" t="str">
        <f aca="false">IF(MID(D74,15,3)="SEL","Subestación eléctrica","Área de proceso")</f>
        <v>Área de proceso</v>
      </c>
      <c r="Q74" s="34" t="str">
        <f aca="false">MID(D74,13,5)&amp;"|"&amp;MID(D74,19,5)</f>
        <v>03CAA|SURVA</v>
      </c>
      <c r="R74" s="34" t="str">
        <f aca="false">IF(P74="Subestación eléctrica",IFERROR(INDEX(cat_SubN,MATCH(Q74,cat_SubK,0)),"SIN CATALOGAR"),"ÁREA DE PROCESO")</f>
        <v>ÁREA DE PROCESO</v>
      </c>
      <c r="S74" s="34" t="str">
        <f aca="false">IF(H74="","SIN DATO",IFERROR(INDEX(cat_MarcaN,MATCH(H74,cat_MarcaO,0)),H74))</f>
        <v>GENERAL ELECTRIC</v>
      </c>
      <c r="T74" s="34" t="str">
        <f aca="false">IF(I74="","SIN DATO",IFERROR(INDEX(cat_ModN,MATCH(I74,cat_ModO,0)),I74))</f>
        <v>MULTILIN</v>
      </c>
      <c r="U74" s="34" t="str">
        <f aca="false">IF(I74="","",IFERROR(INDEX(cat_ModG,MATCH(I74,cat_ModO,0)),"No"))</f>
        <v>Sí</v>
      </c>
      <c r="V74" s="34" t="str">
        <f aca="false">IF(J74="","SIN DATO",IFERROR(INDEX(cat_FunN,MATCH(J74,cat_FunO,0)),J74))</f>
        <v>Protección y medición</v>
      </c>
      <c r="W74" s="34" t="str">
        <f aca="false">IF(OR(S74="SIN DATO",T74="SIN DATO"),"No","Sí")</f>
        <v>Sí</v>
      </c>
    </row>
    <row r="75" customFormat="false" ht="15" hidden="false" customHeight="false" outlineLevel="0" collapsed="false">
      <c r="A75" s="34" t="s">
        <v>534</v>
      </c>
      <c r="B75" s="34" t="s">
        <v>535</v>
      </c>
      <c r="C75" s="34" t="s">
        <v>536</v>
      </c>
      <c r="D75" s="34" t="s">
        <v>505</v>
      </c>
      <c r="E75" s="34" t="s">
        <v>116</v>
      </c>
      <c r="F75" s="34" t="s">
        <v>481</v>
      </c>
      <c r="G75" s="34" t="s">
        <v>259</v>
      </c>
      <c r="H75" s="34" t="s">
        <v>61</v>
      </c>
      <c r="I75" s="34" t="s">
        <v>63</v>
      </c>
      <c r="J75" s="34" t="s">
        <v>260</v>
      </c>
      <c r="K75" s="34" t="s">
        <v>229</v>
      </c>
      <c r="L75" s="34" t="s">
        <v>230</v>
      </c>
      <c r="M75" s="34" t="s">
        <v>344</v>
      </c>
      <c r="N75" s="34" t="str">
        <f aca="false">"Sector "&amp;VALUE(MID(D75,13,2))</f>
        <v>Sector 3</v>
      </c>
      <c r="O75" s="34" t="str">
        <f aca="false">IF(Dashboard!$C$5="Ubicación técnica",N75,"Sector "&amp;VALUE(RIGHT(G75,2)))</f>
        <v>Sector 3</v>
      </c>
      <c r="P75" s="34" t="str">
        <f aca="false">IF(MID(D75,15,3)="SEL","Subestación eléctrica","Área de proceso")</f>
        <v>Área de proceso</v>
      </c>
      <c r="Q75" s="34" t="str">
        <f aca="false">MID(D75,13,5)&amp;"|"&amp;MID(D75,19,5)</f>
        <v>03CAA|SURVA</v>
      </c>
      <c r="R75" s="34" t="str">
        <f aca="false">IF(P75="Subestación eléctrica",IFERROR(INDEX(cat_SubN,MATCH(Q75,cat_SubK,0)),"SIN CATALOGAR"),"ÁREA DE PROCESO")</f>
        <v>ÁREA DE PROCESO</v>
      </c>
      <c r="S75" s="34" t="str">
        <f aca="false">IF(H75="","SIN DATO",IFERROR(INDEX(cat_MarcaN,MATCH(H75,cat_MarcaO,0)),H75))</f>
        <v>GENERAL ELECTRIC</v>
      </c>
      <c r="T75" s="34" t="str">
        <f aca="false">IF(I75="","SIN DATO",IFERROR(INDEX(cat_ModN,MATCH(I75,cat_ModO,0)),I75))</f>
        <v>MULTILIN</v>
      </c>
      <c r="U75" s="34" t="str">
        <f aca="false">IF(I75="","",IFERROR(INDEX(cat_ModG,MATCH(I75,cat_ModO,0)),"No"))</f>
        <v>Sí</v>
      </c>
      <c r="V75" s="34" t="str">
        <f aca="false">IF(J75="","SIN DATO",IFERROR(INDEX(cat_FunN,MATCH(J75,cat_FunO,0)),J75))</f>
        <v>Protección y medición</v>
      </c>
      <c r="W75" s="34" t="str">
        <f aca="false">IF(OR(S75="SIN DATO",T75="SIN DATO"),"No","Sí")</f>
        <v>Sí</v>
      </c>
    </row>
    <row r="76" customFormat="false" ht="15" hidden="false" customHeight="false" outlineLevel="0" collapsed="false">
      <c r="A76" s="34" t="s">
        <v>537</v>
      </c>
      <c r="B76" s="34" t="s">
        <v>538</v>
      </c>
      <c r="C76" s="34" t="s">
        <v>539</v>
      </c>
      <c r="D76" s="34" t="s">
        <v>540</v>
      </c>
      <c r="E76" s="34" t="s">
        <v>116</v>
      </c>
      <c r="F76" s="34" t="s">
        <v>481</v>
      </c>
      <c r="G76" s="34" t="s">
        <v>259</v>
      </c>
      <c r="H76" s="34" t="s">
        <v>61</v>
      </c>
      <c r="I76" s="34" t="s">
        <v>63</v>
      </c>
      <c r="J76" s="34" t="s">
        <v>260</v>
      </c>
      <c r="K76" s="34" t="s">
        <v>229</v>
      </c>
      <c r="L76" s="34" t="s">
        <v>230</v>
      </c>
      <c r="M76" s="34" t="s">
        <v>344</v>
      </c>
      <c r="N76" s="34" t="str">
        <f aca="false">"Sector "&amp;VALUE(MID(D76,13,2))</f>
        <v>Sector 3</v>
      </c>
      <c r="O76" s="34" t="str">
        <f aca="false">IF(Dashboard!$C$5="Ubicación técnica",N76,"Sector "&amp;VALUE(RIGHT(G76,2)))</f>
        <v>Sector 3</v>
      </c>
      <c r="P76" s="34" t="str">
        <f aca="false">IF(MID(D76,15,3)="SEL","Subestación eléctrica","Área de proceso")</f>
        <v>Área de proceso</v>
      </c>
      <c r="Q76" s="34" t="str">
        <f aca="false">MID(D76,13,5)&amp;"|"&amp;MID(D76,19,5)</f>
        <v>03CAA|SURVA</v>
      </c>
      <c r="R76" s="34" t="str">
        <f aca="false">IF(P76="Subestación eléctrica",IFERROR(INDEX(cat_SubN,MATCH(Q76,cat_SubK,0)),"SIN CATALOGAR"),"ÁREA DE PROCESO")</f>
        <v>ÁREA DE PROCESO</v>
      </c>
      <c r="S76" s="34" t="str">
        <f aca="false">IF(H76="","SIN DATO",IFERROR(INDEX(cat_MarcaN,MATCH(H76,cat_MarcaO,0)),H76))</f>
        <v>GENERAL ELECTRIC</v>
      </c>
      <c r="T76" s="34" t="str">
        <f aca="false">IF(I76="","SIN DATO",IFERROR(INDEX(cat_ModN,MATCH(I76,cat_ModO,0)),I76))</f>
        <v>MULTILIN</v>
      </c>
      <c r="U76" s="34" t="str">
        <f aca="false">IF(I76="","",IFERROR(INDEX(cat_ModG,MATCH(I76,cat_ModO,0)),"No"))</f>
        <v>Sí</v>
      </c>
      <c r="V76" s="34" t="str">
        <f aca="false">IF(J76="","SIN DATO",IFERROR(INDEX(cat_FunN,MATCH(J76,cat_FunO,0)),J76))</f>
        <v>Protección y medición</v>
      </c>
      <c r="W76" s="34" t="str">
        <f aca="false">IF(OR(S76="SIN DATO",T76="SIN DATO"),"No","Sí")</f>
        <v>Sí</v>
      </c>
    </row>
    <row r="77" customFormat="false" ht="15" hidden="false" customHeight="false" outlineLevel="0" collapsed="false">
      <c r="A77" s="34" t="s">
        <v>541</v>
      </c>
      <c r="B77" s="34" t="s">
        <v>542</v>
      </c>
      <c r="C77" s="34" t="s">
        <v>543</v>
      </c>
      <c r="D77" s="34" t="s">
        <v>544</v>
      </c>
      <c r="E77" s="34" t="s">
        <v>116</v>
      </c>
      <c r="F77" s="34" t="s">
        <v>481</v>
      </c>
      <c r="G77" s="34" t="s">
        <v>259</v>
      </c>
      <c r="H77" s="34" t="s">
        <v>61</v>
      </c>
      <c r="I77" s="34" t="s">
        <v>63</v>
      </c>
      <c r="J77" s="34" t="s">
        <v>260</v>
      </c>
      <c r="K77" s="34" t="s">
        <v>229</v>
      </c>
      <c r="L77" s="34" t="s">
        <v>230</v>
      </c>
      <c r="M77" s="34" t="s">
        <v>344</v>
      </c>
      <c r="N77" s="34" t="str">
        <f aca="false">"Sector "&amp;VALUE(MID(D77,13,2))</f>
        <v>Sector 3</v>
      </c>
      <c r="O77" s="34" t="str">
        <f aca="false">IF(Dashboard!$C$5="Ubicación técnica",N77,"Sector "&amp;VALUE(RIGHT(G77,2)))</f>
        <v>Sector 3</v>
      </c>
      <c r="P77" s="34" t="str">
        <f aca="false">IF(MID(D77,15,3)="SEL","Subestación eléctrica","Área de proceso")</f>
        <v>Área de proceso</v>
      </c>
      <c r="Q77" s="34" t="str">
        <f aca="false">MID(D77,13,5)&amp;"|"&amp;MID(D77,19,5)</f>
        <v>03CAA|SPCCP</v>
      </c>
      <c r="R77" s="34" t="str">
        <f aca="false">IF(P77="Subestación eléctrica",IFERROR(INDEX(cat_SubN,MATCH(Q77,cat_SubK,0)),"SIN CATALOGAR"),"ÁREA DE PROCESO")</f>
        <v>ÁREA DE PROCESO</v>
      </c>
      <c r="S77" s="34" t="str">
        <f aca="false">IF(H77="","SIN DATO",IFERROR(INDEX(cat_MarcaN,MATCH(H77,cat_MarcaO,0)),H77))</f>
        <v>GENERAL ELECTRIC</v>
      </c>
      <c r="T77" s="34" t="str">
        <f aca="false">IF(I77="","SIN DATO",IFERROR(INDEX(cat_ModN,MATCH(I77,cat_ModO,0)),I77))</f>
        <v>MULTILIN</v>
      </c>
      <c r="U77" s="34" t="str">
        <f aca="false">IF(I77="","",IFERROR(INDEX(cat_ModG,MATCH(I77,cat_ModO,0)),"No"))</f>
        <v>Sí</v>
      </c>
      <c r="V77" s="34" t="str">
        <f aca="false">IF(J77="","SIN DATO",IFERROR(INDEX(cat_FunN,MATCH(J77,cat_FunO,0)),J77))</f>
        <v>Protección y medición</v>
      </c>
      <c r="W77" s="34" t="str">
        <f aca="false">IF(OR(S77="SIN DATO",T77="SIN DATO"),"No","Sí")</f>
        <v>Sí</v>
      </c>
    </row>
    <row r="78" customFormat="false" ht="15" hidden="false" customHeight="false" outlineLevel="0" collapsed="false">
      <c r="A78" s="34" t="s">
        <v>545</v>
      </c>
      <c r="B78" s="34" t="s">
        <v>546</v>
      </c>
      <c r="C78" s="34" t="s">
        <v>547</v>
      </c>
      <c r="D78" s="34" t="s">
        <v>548</v>
      </c>
      <c r="E78" s="34" t="s">
        <v>116</v>
      </c>
      <c r="F78" s="34" t="s">
        <v>481</v>
      </c>
      <c r="G78" s="34" t="s">
        <v>259</v>
      </c>
      <c r="H78" s="34" t="s">
        <v>61</v>
      </c>
      <c r="I78" s="34" t="s">
        <v>63</v>
      </c>
      <c r="J78" s="34" t="s">
        <v>260</v>
      </c>
      <c r="K78" s="34" t="s">
        <v>229</v>
      </c>
      <c r="L78" s="34" t="s">
        <v>230</v>
      </c>
      <c r="M78" s="34" t="s">
        <v>344</v>
      </c>
      <c r="N78" s="34" t="str">
        <f aca="false">"Sector "&amp;VALUE(MID(D78,13,2))</f>
        <v>Sector 3</v>
      </c>
      <c r="O78" s="34" t="str">
        <f aca="false">IF(Dashboard!$C$5="Ubicación técnica",N78,"Sector "&amp;VALUE(RIGHT(G78,2)))</f>
        <v>Sector 3</v>
      </c>
      <c r="P78" s="34" t="str">
        <f aca="false">IF(MID(D78,15,3)="SEL","Subestación eléctrica","Área de proceso")</f>
        <v>Área de proceso</v>
      </c>
      <c r="Q78" s="34" t="str">
        <f aca="false">MID(D78,13,5)&amp;"|"&amp;MID(D78,19,5)</f>
        <v>03CAA|SUTAM</v>
      </c>
      <c r="R78" s="34" t="str">
        <f aca="false">IF(P78="Subestación eléctrica",IFERROR(INDEX(cat_SubN,MATCH(Q78,cat_SubK,0)),"SIN CATALOGAR"),"ÁREA DE PROCESO")</f>
        <v>ÁREA DE PROCESO</v>
      </c>
      <c r="S78" s="34" t="str">
        <f aca="false">IF(H78="","SIN DATO",IFERROR(INDEX(cat_MarcaN,MATCH(H78,cat_MarcaO,0)),H78))</f>
        <v>GENERAL ELECTRIC</v>
      </c>
      <c r="T78" s="34" t="str">
        <f aca="false">IF(I78="","SIN DATO",IFERROR(INDEX(cat_ModN,MATCH(I78,cat_ModO,0)),I78))</f>
        <v>MULTILIN</v>
      </c>
      <c r="U78" s="34" t="str">
        <f aca="false">IF(I78="","",IFERROR(INDEX(cat_ModG,MATCH(I78,cat_ModO,0)),"No"))</f>
        <v>Sí</v>
      </c>
      <c r="V78" s="34" t="str">
        <f aca="false">IF(J78="","SIN DATO",IFERROR(INDEX(cat_FunN,MATCH(J78,cat_FunO,0)),J78))</f>
        <v>Protección y medición</v>
      </c>
      <c r="W78" s="34" t="str">
        <f aca="false">IF(OR(S78="SIN DATO",T78="SIN DATO"),"No","Sí")</f>
        <v>Sí</v>
      </c>
    </row>
    <row r="79" customFormat="false" ht="15" hidden="false" customHeight="false" outlineLevel="0" collapsed="false">
      <c r="A79" s="34" t="s">
        <v>549</v>
      </c>
      <c r="B79" s="34" t="s">
        <v>550</v>
      </c>
      <c r="C79" s="34" t="s">
        <v>551</v>
      </c>
      <c r="D79" s="34" t="s">
        <v>552</v>
      </c>
      <c r="E79" s="34" t="s">
        <v>116</v>
      </c>
      <c r="F79" s="34" t="s">
        <v>481</v>
      </c>
      <c r="G79" s="34" t="s">
        <v>259</v>
      </c>
      <c r="H79" s="34" t="s">
        <v>61</v>
      </c>
      <c r="I79" s="34" t="s">
        <v>63</v>
      </c>
      <c r="J79" s="34" t="s">
        <v>260</v>
      </c>
      <c r="K79" s="34" t="s">
        <v>229</v>
      </c>
      <c r="L79" s="34" t="s">
        <v>230</v>
      </c>
      <c r="M79" s="34" t="s">
        <v>344</v>
      </c>
      <c r="N79" s="34" t="str">
        <f aca="false">"Sector "&amp;VALUE(MID(D79,13,2))</f>
        <v>Sector 3</v>
      </c>
      <c r="O79" s="34" t="str">
        <f aca="false">IF(Dashboard!$C$5="Ubicación técnica",N79,"Sector "&amp;VALUE(RIGHT(G79,2)))</f>
        <v>Sector 3</v>
      </c>
      <c r="P79" s="34" t="str">
        <f aca="false">IF(MID(D79,15,3)="SEL","Subestación eléctrica","Área de proceso")</f>
        <v>Área de proceso</v>
      </c>
      <c r="Q79" s="34" t="str">
        <f aca="false">MID(D79,13,5)&amp;"|"&amp;MID(D79,19,5)</f>
        <v>03CAA|SRRCC</v>
      </c>
      <c r="R79" s="34" t="str">
        <f aca="false">IF(P79="Subestación eléctrica",IFERROR(INDEX(cat_SubN,MATCH(Q79,cat_SubK,0)),"SIN CATALOGAR"),"ÁREA DE PROCESO")</f>
        <v>ÁREA DE PROCESO</v>
      </c>
      <c r="S79" s="34" t="str">
        <f aca="false">IF(H79="","SIN DATO",IFERROR(INDEX(cat_MarcaN,MATCH(H79,cat_MarcaO,0)),H79))</f>
        <v>GENERAL ELECTRIC</v>
      </c>
      <c r="T79" s="34" t="str">
        <f aca="false">IF(I79="","SIN DATO",IFERROR(INDEX(cat_ModN,MATCH(I79,cat_ModO,0)),I79))</f>
        <v>MULTILIN</v>
      </c>
      <c r="U79" s="34" t="str">
        <f aca="false">IF(I79="","",IFERROR(INDEX(cat_ModG,MATCH(I79,cat_ModO,0)),"No"))</f>
        <v>Sí</v>
      </c>
      <c r="V79" s="34" t="str">
        <f aca="false">IF(J79="","SIN DATO",IFERROR(INDEX(cat_FunN,MATCH(J79,cat_FunO,0)),J79))</f>
        <v>Protección y medición</v>
      </c>
      <c r="W79" s="34" t="str">
        <f aca="false">IF(OR(S79="SIN DATO",T79="SIN DATO"),"No","Sí")</f>
        <v>Sí</v>
      </c>
    </row>
    <row r="80" customFormat="false" ht="15" hidden="false" customHeight="false" outlineLevel="0" collapsed="false">
      <c r="A80" s="34" t="s">
        <v>553</v>
      </c>
      <c r="B80" s="34" t="s">
        <v>554</v>
      </c>
      <c r="C80" s="34" t="s">
        <v>555</v>
      </c>
      <c r="D80" s="34" t="s">
        <v>552</v>
      </c>
      <c r="E80" s="34" t="s">
        <v>116</v>
      </c>
      <c r="F80" s="34" t="s">
        <v>481</v>
      </c>
      <c r="G80" s="34" t="s">
        <v>259</v>
      </c>
      <c r="H80" s="34" t="s">
        <v>61</v>
      </c>
      <c r="I80" s="34" t="s">
        <v>63</v>
      </c>
      <c r="J80" s="34" t="s">
        <v>260</v>
      </c>
      <c r="K80" s="34" t="s">
        <v>229</v>
      </c>
      <c r="L80" s="34" t="s">
        <v>230</v>
      </c>
      <c r="M80" s="34" t="s">
        <v>344</v>
      </c>
      <c r="N80" s="34" t="str">
        <f aca="false">"Sector "&amp;VALUE(MID(D80,13,2))</f>
        <v>Sector 3</v>
      </c>
      <c r="O80" s="34" t="str">
        <f aca="false">IF(Dashboard!$C$5="Ubicación técnica",N80,"Sector "&amp;VALUE(RIGHT(G80,2)))</f>
        <v>Sector 3</v>
      </c>
      <c r="P80" s="34" t="str">
        <f aca="false">IF(MID(D80,15,3)="SEL","Subestación eléctrica","Área de proceso")</f>
        <v>Área de proceso</v>
      </c>
      <c r="Q80" s="34" t="str">
        <f aca="false">MID(D80,13,5)&amp;"|"&amp;MID(D80,19,5)</f>
        <v>03CAA|SRRCC</v>
      </c>
      <c r="R80" s="34" t="str">
        <f aca="false">IF(P80="Subestación eléctrica",IFERROR(INDEX(cat_SubN,MATCH(Q80,cat_SubK,0)),"SIN CATALOGAR"),"ÁREA DE PROCESO")</f>
        <v>ÁREA DE PROCESO</v>
      </c>
      <c r="S80" s="34" t="str">
        <f aca="false">IF(H80="","SIN DATO",IFERROR(INDEX(cat_MarcaN,MATCH(H80,cat_MarcaO,0)),H80))</f>
        <v>GENERAL ELECTRIC</v>
      </c>
      <c r="T80" s="34" t="str">
        <f aca="false">IF(I80="","SIN DATO",IFERROR(INDEX(cat_ModN,MATCH(I80,cat_ModO,0)),I80))</f>
        <v>MULTILIN</v>
      </c>
      <c r="U80" s="34" t="str">
        <f aca="false">IF(I80="","",IFERROR(INDEX(cat_ModG,MATCH(I80,cat_ModO,0)),"No"))</f>
        <v>Sí</v>
      </c>
      <c r="V80" s="34" t="str">
        <f aca="false">IF(J80="","SIN DATO",IFERROR(INDEX(cat_FunN,MATCH(J80,cat_FunO,0)),J80))</f>
        <v>Protección y medición</v>
      </c>
      <c r="W80" s="34" t="str">
        <f aca="false">IF(OR(S80="SIN DATO",T80="SIN DATO"),"No","Sí")</f>
        <v>Sí</v>
      </c>
    </row>
    <row r="81" customFormat="false" ht="15" hidden="false" customHeight="false" outlineLevel="0" collapsed="false">
      <c r="A81" s="34" t="s">
        <v>556</v>
      </c>
      <c r="B81" s="34" t="s">
        <v>557</v>
      </c>
      <c r="C81" s="34" t="s">
        <v>558</v>
      </c>
      <c r="D81" s="34" t="s">
        <v>559</v>
      </c>
      <c r="E81" s="34" t="s">
        <v>116</v>
      </c>
      <c r="F81" s="34" t="s">
        <v>481</v>
      </c>
      <c r="G81" s="34" t="s">
        <v>259</v>
      </c>
      <c r="H81" s="34" t="s">
        <v>61</v>
      </c>
      <c r="I81" s="34" t="s">
        <v>63</v>
      </c>
      <c r="J81" s="34" t="s">
        <v>260</v>
      </c>
      <c r="K81" s="34" t="s">
        <v>229</v>
      </c>
      <c r="L81" s="34" t="s">
        <v>230</v>
      </c>
      <c r="M81" s="34" t="s">
        <v>231</v>
      </c>
      <c r="N81" s="34" t="str">
        <f aca="false">"Sector "&amp;VALUE(MID(D81,13,2))</f>
        <v>Sector 3</v>
      </c>
      <c r="O81" s="34" t="str">
        <f aca="false">IF(Dashboard!$C$5="Ubicación técnica",N81,"Sector "&amp;VALUE(RIGHT(G81,2)))</f>
        <v>Sector 3</v>
      </c>
      <c r="P81" s="34" t="str">
        <f aca="false">IF(MID(D81,15,3)="SEL","Subestación eléctrica","Área de proceso")</f>
        <v>Área de proceso</v>
      </c>
      <c r="Q81" s="34" t="str">
        <f aca="false">MID(D81,13,5)&amp;"|"&amp;MID(D81,19,5)</f>
        <v>03CAA|SURPR</v>
      </c>
      <c r="R81" s="34" t="str">
        <f aca="false">IF(P81="Subestación eléctrica",IFERROR(INDEX(cat_SubN,MATCH(Q81,cat_SubK,0)),"SIN CATALOGAR"),"ÁREA DE PROCESO")</f>
        <v>ÁREA DE PROCESO</v>
      </c>
      <c r="S81" s="34" t="str">
        <f aca="false">IF(H81="","SIN DATO",IFERROR(INDEX(cat_MarcaN,MATCH(H81,cat_MarcaO,0)),H81))</f>
        <v>GENERAL ELECTRIC</v>
      </c>
      <c r="T81" s="34" t="str">
        <f aca="false">IF(I81="","SIN DATO",IFERROR(INDEX(cat_ModN,MATCH(I81,cat_ModO,0)),I81))</f>
        <v>MULTILIN</v>
      </c>
      <c r="U81" s="34" t="str">
        <f aca="false">IF(I81="","",IFERROR(INDEX(cat_ModG,MATCH(I81,cat_ModO,0)),"No"))</f>
        <v>Sí</v>
      </c>
      <c r="V81" s="34" t="str">
        <f aca="false">IF(J81="","SIN DATO",IFERROR(INDEX(cat_FunN,MATCH(J81,cat_FunO,0)),J81))</f>
        <v>Protección y medición</v>
      </c>
      <c r="W81" s="34" t="str">
        <f aca="false">IF(OR(S81="SIN DATO",T81="SIN DATO"),"No","Sí")</f>
        <v>Sí</v>
      </c>
    </row>
    <row r="82" customFormat="false" ht="15" hidden="false" customHeight="false" outlineLevel="0" collapsed="false">
      <c r="A82" s="34" t="s">
        <v>560</v>
      </c>
      <c r="B82" s="34" t="s">
        <v>561</v>
      </c>
      <c r="C82" s="34" t="s">
        <v>562</v>
      </c>
      <c r="D82" s="34" t="s">
        <v>563</v>
      </c>
      <c r="E82" s="34" t="s">
        <v>150</v>
      </c>
      <c r="F82" s="34" t="s">
        <v>564</v>
      </c>
      <c r="G82" s="34" t="s">
        <v>343</v>
      </c>
      <c r="H82" s="34" t="s">
        <v>73</v>
      </c>
      <c r="I82" s="34" t="s">
        <v>75</v>
      </c>
      <c r="J82" s="34" t="s">
        <v>228</v>
      </c>
      <c r="K82" s="34" t="s">
        <v>229</v>
      </c>
      <c r="L82" s="34" t="s">
        <v>230</v>
      </c>
      <c r="M82" s="34" t="s">
        <v>344</v>
      </c>
      <c r="N82" s="34" t="str">
        <f aca="false">"Sector "&amp;VALUE(MID(D82,13,2))</f>
        <v>Sector 7</v>
      </c>
      <c r="O82" s="34" t="str">
        <f aca="false">IF(Dashboard!$C$5="Ubicación técnica",N82,"Sector "&amp;VALUE(RIGHT(G82,2)))</f>
        <v>Sector 7</v>
      </c>
      <c r="P82" s="34" t="str">
        <f aca="false">IF(MID(D82,15,3)="SEL","Subestación eléctrica","Área de proceso")</f>
        <v>Área de proceso</v>
      </c>
      <c r="Q82" s="34" t="str">
        <f aca="false">MID(D82,13,5)&amp;"|"&amp;MID(D82,19,5)</f>
        <v>07TDE|SCARC</v>
      </c>
      <c r="R82" s="34" t="str">
        <f aca="false">IF(P82="Subestación eléctrica",IFERROR(INDEX(cat_SubN,MATCH(Q82,cat_SubK,0)),"SIN CATALOGAR"),"ÁREA DE PROCESO")</f>
        <v>ÁREA DE PROCESO</v>
      </c>
      <c r="S82" s="34" t="str">
        <f aca="false">IF(H82="","SIN DATO",IFERROR(INDEX(cat_MarcaN,MATCH(H82,cat_MarcaO,0)),H82))</f>
        <v>SIEMENS</v>
      </c>
      <c r="T82" s="34" t="str">
        <f aca="false">IF(I82="","SIN DATO",IFERROR(INDEX(cat_ModN,MATCH(I82,cat_ModO,0)),I82))</f>
        <v>REYROLLE</v>
      </c>
      <c r="U82" s="34" t="str">
        <f aca="false">IF(I82="","",IFERROR(INDEX(cat_ModG,MATCH(I82,cat_ModO,0)),"No"))</f>
        <v>Sí</v>
      </c>
      <c r="V82" s="34" t="str">
        <f aca="false">IF(J82="","SIN DATO",IFERROR(INDEX(cat_FunN,MATCH(J82,cat_FunO,0)),J82))</f>
        <v>Protección y medición</v>
      </c>
      <c r="W82" s="34" t="str">
        <f aca="false">IF(OR(S82="SIN DATO",T82="SIN DATO"),"No","Sí")</f>
        <v>Sí</v>
      </c>
    </row>
    <row r="83" customFormat="false" ht="15" hidden="false" customHeight="false" outlineLevel="0" collapsed="false">
      <c r="A83" s="34" t="s">
        <v>565</v>
      </c>
      <c r="B83" s="34" t="s">
        <v>566</v>
      </c>
      <c r="C83" s="34" t="s">
        <v>567</v>
      </c>
      <c r="D83" s="34" t="s">
        <v>568</v>
      </c>
      <c r="E83" s="34" t="s">
        <v>150</v>
      </c>
      <c r="F83" s="34" t="s">
        <v>564</v>
      </c>
      <c r="G83" s="34" t="s">
        <v>343</v>
      </c>
      <c r="H83" s="34" t="s">
        <v>73</v>
      </c>
      <c r="I83" s="34" t="s">
        <v>75</v>
      </c>
      <c r="J83" s="34" t="s">
        <v>228</v>
      </c>
      <c r="K83" s="34" t="s">
        <v>229</v>
      </c>
      <c r="L83" s="34" t="s">
        <v>230</v>
      </c>
      <c r="M83" s="34" t="s">
        <v>344</v>
      </c>
      <c r="N83" s="34" t="str">
        <f aca="false">"Sector "&amp;VALUE(MID(D83,13,2))</f>
        <v>Sector 7</v>
      </c>
      <c r="O83" s="34" t="str">
        <f aca="false">IF(Dashboard!$C$5="Ubicación técnica",N83,"Sector "&amp;VALUE(RIGHT(G83,2)))</f>
        <v>Sector 7</v>
      </c>
      <c r="P83" s="34" t="str">
        <f aca="false">IF(MID(D83,15,3)="SEL","Subestación eléctrica","Área de proceso")</f>
        <v>Área de proceso</v>
      </c>
      <c r="Q83" s="34" t="str">
        <f aca="false">MID(D83,13,5)&amp;"|"&amp;MID(D83,19,5)</f>
        <v>07TDE|SCARC</v>
      </c>
      <c r="R83" s="34" t="str">
        <f aca="false">IF(P83="Subestación eléctrica",IFERROR(INDEX(cat_SubN,MATCH(Q83,cat_SubK,0)),"SIN CATALOGAR"),"ÁREA DE PROCESO")</f>
        <v>ÁREA DE PROCESO</v>
      </c>
      <c r="S83" s="34" t="str">
        <f aca="false">IF(H83="","SIN DATO",IFERROR(INDEX(cat_MarcaN,MATCH(H83,cat_MarcaO,0)),H83))</f>
        <v>SIEMENS</v>
      </c>
      <c r="T83" s="34" t="str">
        <f aca="false">IF(I83="","SIN DATO",IFERROR(INDEX(cat_ModN,MATCH(I83,cat_ModO,0)),I83))</f>
        <v>REYROLLE</v>
      </c>
      <c r="U83" s="34" t="str">
        <f aca="false">IF(I83="","",IFERROR(INDEX(cat_ModG,MATCH(I83,cat_ModO,0)),"No"))</f>
        <v>Sí</v>
      </c>
      <c r="V83" s="34" t="str">
        <f aca="false">IF(J83="","SIN DATO",IFERROR(INDEX(cat_FunN,MATCH(J83,cat_FunO,0)),J83))</f>
        <v>Protección y medición</v>
      </c>
      <c r="W83" s="34" t="str">
        <f aca="false">IF(OR(S83="SIN DATO",T83="SIN DATO"),"No","Sí")</f>
        <v>Sí</v>
      </c>
    </row>
    <row r="84" customFormat="false" ht="15" hidden="false" customHeight="false" outlineLevel="0" collapsed="false">
      <c r="A84" s="34" t="s">
        <v>569</v>
      </c>
      <c r="B84" s="34" t="s">
        <v>570</v>
      </c>
      <c r="C84" s="34" t="s">
        <v>571</v>
      </c>
      <c r="D84" s="34" t="s">
        <v>572</v>
      </c>
      <c r="E84" s="34" t="s">
        <v>150</v>
      </c>
      <c r="F84" s="34" t="s">
        <v>564</v>
      </c>
      <c r="G84" s="34" t="s">
        <v>343</v>
      </c>
      <c r="H84" s="34" t="s">
        <v>73</v>
      </c>
      <c r="I84" s="34" t="s">
        <v>75</v>
      </c>
      <c r="J84" s="34" t="s">
        <v>228</v>
      </c>
      <c r="K84" s="34" t="s">
        <v>229</v>
      </c>
      <c r="L84" s="34" t="s">
        <v>230</v>
      </c>
      <c r="M84" s="34" t="s">
        <v>344</v>
      </c>
      <c r="N84" s="34" t="str">
        <f aca="false">"Sector "&amp;VALUE(MID(D84,13,2))</f>
        <v>Sector 7</v>
      </c>
      <c r="O84" s="34" t="str">
        <f aca="false">IF(Dashboard!$C$5="Ubicación técnica",N84,"Sector "&amp;VALUE(RIGHT(G84,2)))</f>
        <v>Sector 7</v>
      </c>
      <c r="P84" s="34" t="str">
        <f aca="false">IF(MID(D84,15,3)="SEL","Subestación eléctrica","Área de proceso")</f>
        <v>Área de proceso</v>
      </c>
      <c r="Q84" s="34" t="str">
        <f aca="false">MID(D84,13,5)&amp;"|"&amp;MID(D84,19,5)</f>
        <v>07TDE|SCARC</v>
      </c>
      <c r="R84" s="34" t="str">
        <f aca="false">IF(P84="Subestación eléctrica",IFERROR(INDEX(cat_SubN,MATCH(Q84,cat_SubK,0)),"SIN CATALOGAR"),"ÁREA DE PROCESO")</f>
        <v>ÁREA DE PROCESO</v>
      </c>
      <c r="S84" s="34" t="str">
        <f aca="false">IF(H84="","SIN DATO",IFERROR(INDEX(cat_MarcaN,MATCH(H84,cat_MarcaO,0)),H84))</f>
        <v>SIEMENS</v>
      </c>
      <c r="T84" s="34" t="str">
        <f aca="false">IF(I84="","SIN DATO",IFERROR(INDEX(cat_ModN,MATCH(I84,cat_ModO,0)),I84))</f>
        <v>REYROLLE</v>
      </c>
      <c r="U84" s="34" t="str">
        <f aca="false">IF(I84="","",IFERROR(INDEX(cat_ModG,MATCH(I84,cat_ModO,0)),"No"))</f>
        <v>Sí</v>
      </c>
      <c r="V84" s="34" t="str">
        <f aca="false">IF(J84="","SIN DATO",IFERROR(INDEX(cat_FunN,MATCH(J84,cat_FunO,0)),J84))</f>
        <v>Protección y medición</v>
      </c>
      <c r="W84" s="34" t="str">
        <f aca="false">IF(OR(S84="SIN DATO",T84="SIN DATO"),"No","Sí")</f>
        <v>Sí</v>
      </c>
    </row>
    <row r="85" customFormat="false" ht="15" hidden="false" customHeight="false" outlineLevel="0" collapsed="false">
      <c r="A85" s="34" t="s">
        <v>573</v>
      </c>
      <c r="B85" s="34" t="s">
        <v>574</v>
      </c>
      <c r="C85" s="34" t="s">
        <v>575</v>
      </c>
      <c r="D85" s="34" t="s">
        <v>576</v>
      </c>
      <c r="E85" s="34" t="s">
        <v>150</v>
      </c>
      <c r="F85" s="34" t="s">
        <v>564</v>
      </c>
      <c r="G85" s="34" t="s">
        <v>343</v>
      </c>
      <c r="H85" s="34" t="s">
        <v>73</v>
      </c>
      <c r="I85" s="34" t="s">
        <v>75</v>
      </c>
      <c r="J85" s="34" t="s">
        <v>228</v>
      </c>
      <c r="K85" s="34" t="s">
        <v>229</v>
      </c>
      <c r="L85" s="34" t="s">
        <v>230</v>
      </c>
      <c r="M85" s="34" t="s">
        <v>344</v>
      </c>
      <c r="N85" s="34" t="str">
        <f aca="false">"Sector "&amp;VALUE(MID(D85,13,2))</f>
        <v>Sector 7</v>
      </c>
      <c r="O85" s="34" t="str">
        <f aca="false">IF(Dashboard!$C$5="Ubicación técnica",N85,"Sector "&amp;VALUE(RIGHT(G85,2)))</f>
        <v>Sector 7</v>
      </c>
      <c r="P85" s="34" t="str">
        <f aca="false">IF(MID(D85,15,3)="SEL","Subestación eléctrica","Área de proceso")</f>
        <v>Área de proceso</v>
      </c>
      <c r="Q85" s="34" t="str">
        <f aca="false">MID(D85,13,5)&amp;"|"&amp;MID(D85,19,5)</f>
        <v>07TDE|SCARC</v>
      </c>
      <c r="R85" s="34" t="str">
        <f aca="false">IF(P85="Subestación eléctrica",IFERROR(INDEX(cat_SubN,MATCH(Q85,cat_SubK,0)),"SIN CATALOGAR"),"ÁREA DE PROCESO")</f>
        <v>ÁREA DE PROCESO</v>
      </c>
      <c r="S85" s="34" t="str">
        <f aca="false">IF(H85="","SIN DATO",IFERROR(INDEX(cat_MarcaN,MATCH(H85,cat_MarcaO,0)),H85))</f>
        <v>SIEMENS</v>
      </c>
      <c r="T85" s="34" t="str">
        <f aca="false">IF(I85="","SIN DATO",IFERROR(INDEX(cat_ModN,MATCH(I85,cat_ModO,0)),I85))</f>
        <v>REYROLLE</v>
      </c>
      <c r="U85" s="34" t="str">
        <f aca="false">IF(I85="","",IFERROR(INDEX(cat_ModG,MATCH(I85,cat_ModO,0)),"No"))</f>
        <v>Sí</v>
      </c>
      <c r="V85" s="34" t="str">
        <f aca="false">IF(J85="","SIN DATO",IFERROR(INDEX(cat_FunN,MATCH(J85,cat_FunO,0)),J85))</f>
        <v>Protección y medición</v>
      </c>
      <c r="W85" s="34" t="str">
        <f aca="false">IF(OR(S85="SIN DATO",T85="SIN DATO"),"No","Sí")</f>
        <v>Sí</v>
      </c>
    </row>
    <row r="86" customFormat="false" ht="15" hidden="false" customHeight="false" outlineLevel="0" collapsed="false">
      <c r="A86" s="34" t="s">
        <v>577</v>
      </c>
      <c r="B86" s="34" t="s">
        <v>578</v>
      </c>
      <c r="C86" s="34" t="s">
        <v>579</v>
      </c>
      <c r="D86" s="34" t="s">
        <v>580</v>
      </c>
      <c r="E86" s="34" t="s">
        <v>150</v>
      </c>
      <c r="F86" s="34" t="s">
        <v>564</v>
      </c>
      <c r="G86" s="34" t="s">
        <v>343</v>
      </c>
      <c r="H86" s="34" t="s">
        <v>73</v>
      </c>
      <c r="I86" s="34" t="s">
        <v>75</v>
      </c>
      <c r="J86" s="34" t="s">
        <v>228</v>
      </c>
      <c r="K86" s="34" t="s">
        <v>229</v>
      </c>
      <c r="L86" s="34" t="s">
        <v>230</v>
      </c>
      <c r="M86" s="34" t="s">
        <v>344</v>
      </c>
      <c r="N86" s="34" t="str">
        <f aca="false">"Sector "&amp;VALUE(MID(D86,13,2))</f>
        <v>Sector 7</v>
      </c>
      <c r="O86" s="34" t="str">
        <f aca="false">IF(Dashboard!$C$5="Ubicación técnica",N86,"Sector "&amp;VALUE(RIGHT(G86,2)))</f>
        <v>Sector 7</v>
      </c>
      <c r="P86" s="34" t="str">
        <f aca="false">IF(MID(D86,15,3)="SEL","Subestación eléctrica","Área de proceso")</f>
        <v>Área de proceso</v>
      </c>
      <c r="Q86" s="34" t="str">
        <f aca="false">MID(D86,13,5)&amp;"|"&amp;MID(D86,19,5)</f>
        <v>07TDE|SCARC</v>
      </c>
      <c r="R86" s="34" t="str">
        <f aca="false">IF(P86="Subestación eléctrica",IFERROR(INDEX(cat_SubN,MATCH(Q86,cat_SubK,0)),"SIN CATALOGAR"),"ÁREA DE PROCESO")</f>
        <v>ÁREA DE PROCESO</v>
      </c>
      <c r="S86" s="34" t="str">
        <f aca="false">IF(H86="","SIN DATO",IFERROR(INDEX(cat_MarcaN,MATCH(H86,cat_MarcaO,0)),H86))</f>
        <v>SIEMENS</v>
      </c>
      <c r="T86" s="34" t="str">
        <f aca="false">IF(I86="","SIN DATO",IFERROR(INDEX(cat_ModN,MATCH(I86,cat_ModO,0)),I86))</f>
        <v>REYROLLE</v>
      </c>
      <c r="U86" s="34" t="str">
        <f aca="false">IF(I86="","",IFERROR(INDEX(cat_ModG,MATCH(I86,cat_ModO,0)),"No"))</f>
        <v>Sí</v>
      </c>
      <c r="V86" s="34" t="str">
        <f aca="false">IF(J86="","SIN DATO",IFERROR(INDEX(cat_FunN,MATCH(J86,cat_FunO,0)),J86))</f>
        <v>Protección y medición</v>
      </c>
      <c r="W86" s="34" t="str">
        <f aca="false">IF(OR(S86="SIN DATO",T86="SIN DATO"),"No","Sí")</f>
        <v>Sí</v>
      </c>
    </row>
    <row r="87" customFormat="false" ht="15" hidden="false" customHeight="false" outlineLevel="0" collapsed="false">
      <c r="A87" s="34" t="s">
        <v>581</v>
      </c>
      <c r="B87" s="34" t="s">
        <v>582</v>
      </c>
      <c r="C87" s="34" t="s">
        <v>583</v>
      </c>
      <c r="D87" s="34" t="s">
        <v>584</v>
      </c>
      <c r="E87" s="34" t="s">
        <v>150</v>
      </c>
      <c r="F87" s="34" t="s">
        <v>564</v>
      </c>
      <c r="G87" s="34" t="s">
        <v>343</v>
      </c>
      <c r="H87" s="34" t="s">
        <v>73</v>
      </c>
      <c r="I87" s="34" t="s">
        <v>75</v>
      </c>
      <c r="J87" s="34" t="s">
        <v>228</v>
      </c>
      <c r="K87" s="34" t="s">
        <v>229</v>
      </c>
      <c r="L87" s="34" t="s">
        <v>230</v>
      </c>
      <c r="M87" s="34" t="s">
        <v>344</v>
      </c>
      <c r="N87" s="34" t="str">
        <f aca="false">"Sector "&amp;VALUE(MID(D87,13,2))</f>
        <v>Sector 7</v>
      </c>
      <c r="O87" s="34" t="str">
        <f aca="false">IF(Dashboard!$C$5="Ubicación técnica",N87,"Sector "&amp;VALUE(RIGHT(G87,2)))</f>
        <v>Sector 7</v>
      </c>
      <c r="P87" s="34" t="str">
        <f aca="false">IF(MID(D87,15,3)="SEL","Subestación eléctrica","Área de proceso")</f>
        <v>Área de proceso</v>
      </c>
      <c r="Q87" s="34" t="str">
        <f aca="false">MID(D87,13,5)&amp;"|"&amp;MID(D87,19,5)</f>
        <v>07TDE|SCARC</v>
      </c>
      <c r="R87" s="34" t="str">
        <f aca="false">IF(P87="Subestación eléctrica",IFERROR(INDEX(cat_SubN,MATCH(Q87,cat_SubK,0)),"SIN CATALOGAR"),"ÁREA DE PROCESO")</f>
        <v>ÁREA DE PROCESO</v>
      </c>
      <c r="S87" s="34" t="str">
        <f aca="false">IF(H87="","SIN DATO",IFERROR(INDEX(cat_MarcaN,MATCH(H87,cat_MarcaO,0)),H87))</f>
        <v>SIEMENS</v>
      </c>
      <c r="T87" s="34" t="str">
        <f aca="false">IF(I87="","SIN DATO",IFERROR(INDEX(cat_ModN,MATCH(I87,cat_ModO,0)),I87))</f>
        <v>REYROLLE</v>
      </c>
      <c r="U87" s="34" t="str">
        <f aca="false">IF(I87="","",IFERROR(INDEX(cat_ModG,MATCH(I87,cat_ModO,0)),"No"))</f>
        <v>Sí</v>
      </c>
      <c r="V87" s="34" t="str">
        <f aca="false">IF(J87="","SIN DATO",IFERROR(INDEX(cat_FunN,MATCH(J87,cat_FunO,0)),J87))</f>
        <v>Protección y medición</v>
      </c>
      <c r="W87" s="34" t="str">
        <f aca="false">IF(OR(S87="SIN DATO",T87="SIN DATO"),"No","Sí")</f>
        <v>Sí</v>
      </c>
    </row>
    <row r="88" customFormat="false" ht="15" hidden="false" customHeight="false" outlineLevel="0" collapsed="false">
      <c r="A88" s="34" t="s">
        <v>585</v>
      </c>
      <c r="B88" s="34" t="s">
        <v>586</v>
      </c>
      <c r="C88" s="34" t="s">
        <v>587</v>
      </c>
      <c r="D88" s="34" t="s">
        <v>588</v>
      </c>
      <c r="E88" s="34" t="s">
        <v>150</v>
      </c>
      <c r="F88" s="34" t="s">
        <v>564</v>
      </c>
      <c r="G88" s="34" t="s">
        <v>343</v>
      </c>
      <c r="H88" s="34" t="s">
        <v>73</v>
      </c>
      <c r="I88" s="34" t="s">
        <v>75</v>
      </c>
      <c r="J88" s="34" t="s">
        <v>228</v>
      </c>
      <c r="K88" s="34" t="s">
        <v>229</v>
      </c>
      <c r="L88" s="34" t="s">
        <v>230</v>
      </c>
      <c r="M88" s="34" t="s">
        <v>344</v>
      </c>
      <c r="N88" s="34" t="str">
        <f aca="false">"Sector "&amp;VALUE(MID(D88,13,2))</f>
        <v>Sector 7</v>
      </c>
      <c r="O88" s="34" t="str">
        <f aca="false">IF(Dashboard!$C$5="Ubicación técnica",N88,"Sector "&amp;VALUE(RIGHT(G88,2)))</f>
        <v>Sector 7</v>
      </c>
      <c r="P88" s="34" t="str">
        <f aca="false">IF(MID(D88,15,3)="SEL","Subestación eléctrica","Área de proceso")</f>
        <v>Área de proceso</v>
      </c>
      <c r="Q88" s="34" t="str">
        <f aca="false">MID(D88,13,5)&amp;"|"&amp;MID(D88,19,5)</f>
        <v>07TDE|SCARC</v>
      </c>
      <c r="R88" s="34" t="str">
        <f aca="false">IF(P88="Subestación eléctrica",IFERROR(INDEX(cat_SubN,MATCH(Q88,cat_SubK,0)),"SIN CATALOGAR"),"ÁREA DE PROCESO")</f>
        <v>ÁREA DE PROCESO</v>
      </c>
      <c r="S88" s="34" t="str">
        <f aca="false">IF(H88="","SIN DATO",IFERROR(INDEX(cat_MarcaN,MATCH(H88,cat_MarcaO,0)),H88))</f>
        <v>SIEMENS</v>
      </c>
      <c r="T88" s="34" t="str">
        <f aca="false">IF(I88="","SIN DATO",IFERROR(INDEX(cat_ModN,MATCH(I88,cat_ModO,0)),I88))</f>
        <v>REYROLLE</v>
      </c>
      <c r="U88" s="34" t="str">
        <f aca="false">IF(I88="","",IFERROR(INDEX(cat_ModG,MATCH(I88,cat_ModO,0)),"No"))</f>
        <v>Sí</v>
      </c>
      <c r="V88" s="34" t="str">
        <f aca="false">IF(J88="","SIN DATO",IFERROR(INDEX(cat_FunN,MATCH(J88,cat_FunO,0)),J88))</f>
        <v>Protección y medición</v>
      </c>
      <c r="W88" s="34" t="str">
        <f aca="false">IF(OR(S88="SIN DATO",T88="SIN DATO"),"No","Sí")</f>
        <v>Sí</v>
      </c>
    </row>
    <row r="89" customFormat="false" ht="15" hidden="false" customHeight="false" outlineLevel="0" collapsed="false">
      <c r="A89" s="34" t="s">
        <v>589</v>
      </c>
      <c r="B89" s="34" t="s">
        <v>590</v>
      </c>
      <c r="C89" s="34" t="s">
        <v>591</v>
      </c>
      <c r="D89" s="34" t="s">
        <v>592</v>
      </c>
      <c r="E89" s="34" t="s">
        <v>150</v>
      </c>
      <c r="F89" s="34" t="s">
        <v>564</v>
      </c>
      <c r="G89" s="34" t="s">
        <v>343</v>
      </c>
      <c r="H89" s="34" t="s">
        <v>73</v>
      </c>
      <c r="I89" s="34" t="s">
        <v>75</v>
      </c>
      <c r="J89" s="34" t="s">
        <v>228</v>
      </c>
      <c r="K89" s="34" t="s">
        <v>229</v>
      </c>
      <c r="L89" s="34" t="s">
        <v>230</v>
      </c>
      <c r="M89" s="34" t="s">
        <v>344</v>
      </c>
      <c r="N89" s="34" t="str">
        <f aca="false">"Sector "&amp;VALUE(MID(D89,13,2))</f>
        <v>Sector 7</v>
      </c>
      <c r="O89" s="34" t="str">
        <f aca="false">IF(Dashboard!$C$5="Ubicación técnica",N89,"Sector "&amp;VALUE(RIGHT(G89,2)))</f>
        <v>Sector 7</v>
      </c>
      <c r="P89" s="34" t="str">
        <f aca="false">IF(MID(D89,15,3)="SEL","Subestación eléctrica","Área de proceso")</f>
        <v>Área de proceso</v>
      </c>
      <c r="Q89" s="34" t="str">
        <f aca="false">MID(D89,13,5)&amp;"|"&amp;MID(D89,19,5)</f>
        <v>07TDE|SCARC</v>
      </c>
      <c r="R89" s="34" t="str">
        <f aca="false">IF(P89="Subestación eléctrica",IFERROR(INDEX(cat_SubN,MATCH(Q89,cat_SubK,0)),"SIN CATALOGAR"),"ÁREA DE PROCESO")</f>
        <v>ÁREA DE PROCESO</v>
      </c>
      <c r="S89" s="34" t="str">
        <f aca="false">IF(H89="","SIN DATO",IFERROR(INDEX(cat_MarcaN,MATCH(H89,cat_MarcaO,0)),H89))</f>
        <v>SIEMENS</v>
      </c>
      <c r="T89" s="34" t="str">
        <f aca="false">IF(I89="","SIN DATO",IFERROR(INDEX(cat_ModN,MATCH(I89,cat_ModO,0)),I89))</f>
        <v>REYROLLE</v>
      </c>
      <c r="U89" s="34" t="str">
        <f aca="false">IF(I89="","",IFERROR(INDEX(cat_ModG,MATCH(I89,cat_ModO,0)),"No"))</f>
        <v>Sí</v>
      </c>
      <c r="V89" s="34" t="str">
        <f aca="false">IF(J89="","SIN DATO",IFERROR(INDEX(cat_FunN,MATCH(J89,cat_FunO,0)),J89))</f>
        <v>Protección y medición</v>
      </c>
      <c r="W89" s="34" t="str">
        <f aca="false">IF(OR(S89="SIN DATO",T89="SIN DATO"),"No","Sí")</f>
        <v>Sí</v>
      </c>
    </row>
    <row r="90" customFormat="false" ht="15" hidden="false" customHeight="false" outlineLevel="0" collapsed="false">
      <c r="A90" s="34" t="s">
        <v>593</v>
      </c>
      <c r="B90" s="34" t="s">
        <v>594</v>
      </c>
      <c r="C90" s="34" t="s">
        <v>595</v>
      </c>
      <c r="D90" s="34" t="s">
        <v>596</v>
      </c>
      <c r="E90" s="34" t="s">
        <v>150</v>
      </c>
      <c r="F90" s="34" t="s">
        <v>564</v>
      </c>
      <c r="G90" s="34" t="s">
        <v>343</v>
      </c>
      <c r="H90" s="34" t="s">
        <v>73</v>
      </c>
      <c r="I90" s="34" t="s">
        <v>75</v>
      </c>
      <c r="J90" s="34" t="s">
        <v>228</v>
      </c>
      <c r="K90" s="34" t="s">
        <v>229</v>
      </c>
      <c r="L90" s="34" t="s">
        <v>230</v>
      </c>
      <c r="M90" s="34" t="s">
        <v>344</v>
      </c>
      <c r="N90" s="34" t="str">
        <f aca="false">"Sector "&amp;VALUE(MID(D90,13,2))</f>
        <v>Sector 7</v>
      </c>
      <c r="O90" s="34" t="str">
        <f aca="false">IF(Dashboard!$C$5="Ubicación técnica",N90,"Sector "&amp;VALUE(RIGHT(G90,2)))</f>
        <v>Sector 7</v>
      </c>
      <c r="P90" s="34" t="str">
        <f aca="false">IF(MID(D90,15,3)="SEL","Subestación eléctrica","Área de proceso")</f>
        <v>Área de proceso</v>
      </c>
      <c r="Q90" s="34" t="str">
        <f aca="false">MID(D90,13,5)&amp;"|"&amp;MID(D90,19,5)</f>
        <v>07TDE|SCARC</v>
      </c>
      <c r="R90" s="34" t="str">
        <f aca="false">IF(P90="Subestación eléctrica",IFERROR(INDEX(cat_SubN,MATCH(Q90,cat_SubK,0)),"SIN CATALOGAR"),"ÁREA DE PROCESO")</f>
        <v>ÁREA DE PROCESO</v>
      </c>
      <c r="S90" s="34" t="str">
        <f aca="false">IF(H90="","SIN DATO",IFERROR(INDEX(cat_MarcaN,MATCH(H90,cat_MarcaO,0)),H90))</f>
        <v>SIEMENS</v>
      </c>
      <c r="T90" s="34" t="str">
        <f aca="false">IF(I90="","SIN DATO",IFERROR(INDEX(cat_ModN,MATCH(I90,cat_ModO,0)),I90))</f>
        <v>REYROLLE</v>
      </c>
      <c r="U90" s="34" t="str">
        <f aca="false">IF(I90="","",IFERROR(INDEX(cat_ModG,MATCH(I90,cat_ModO,0)),"No"))</f>
        <v>Sí</v>
      </c>
      <c r="V90" s="34" t="str">
        <f aca="false">IF(J90="","SIN DATO",IFERROR(INDEX(cat_FunN,MATCH(J90,cat_FunO,0)),J90))</f>
        <v>Protección y medición</v>
      </c>
      <c r="W90" s="34" t="str">
        <f aca="false">IF(OR(S90="SIN DATO",T90="SIN DATO"),"No","Sí")</f>
        <v>Sí</v>
      </c>
    </row>
    <row r="91" customFormat="false" ht="15" hidden="false" customHeight="false" outlineLevel="0" collapsed="false">
      <c r="A91" s="34" t="s">
        <v>597</v>
      </c>
      <c r="B91" s="34" t="s">
        <v>598</v>
      </c>
      <c r="C91" s="34" t="s">
        <v>599</v>
      </c>
      <c r="D91" s="34" t="s">
        <v>600</v>
      </c>
      <c r="E91" s="34" t="s">
        <v>150</v>
      </c>
      <c r="F91" s="34" t="s">
        <v>564</v>
      </c>
      <c r="G91" s="34" t="s">
        <v>343</v>
      </c>
      <c r="H91" s="34" t="s">
        <v>73</v>
      </c>
      <c r="I91" s="34" t="s">
        <v>75</v>
      </c>
      <c r="J91" s="34" t="s">
        <v>228</v>
      </c>
      <c r="K91" s="34" t="s">
        <v>229</v>
      </c>
      <c r="L91" s="34" t="s">
        <v>230</v>
      </c>
      <c r="M91" s="34" t="s">
        <v>344</v>
      </c>
      <c r="N91" s="34" t="str">
        <f aca="false">"Sector "&amp;VALUE(MID(D91,13,2))</f>
        <v>Sector 7</v>
      </c>
      <c r="O91" s="34" t="str">
        <f aca="false">IF(Dashboard!$C$5="Ubicación técnica",N91,"Sector "&amp;VALUE(RIGHT(G91,2)))</f>
        <v>Sector 7</v>
      </c>
      <c r="P91" s="34" t="str">
        <f aca="false">IF(MID(D91,15,3)="SEL","Subestación eléctrica","Área de proceso")</f>
        <v>Área de proceso</v>
      </c>
      <c r="Q91" s="34" t="str">
        <f aca="false">MID(D91,13,5)&amp;"|"&amp;MID(D91,19,5)</f>
        <v>07TDE|SCARC</v>
      </c>
      <c r="R91" s="34" t="str">
        <f aca="false">IF(P91="Subestación eléctrica",IFERROR(INDEX(cat_SubN,MATCH(Q91,cat_SubK,0)),"SIN CATALOGAR"),"ÁREA DE PROCESO")</f>
        <v>ÁREA DE PROCESO</v>
      </c>
      <c r="S91" s="34" t="str">
        <f aca="false">IF(H91="","SIN DATO",IFERROR(INDEX(cat_MarcaN,MATCH(H91,cat_MarcaO,0)),H91))</f>
        <v>SIEMENS</v>
      </c>
      <c r="T91" s="34" t="str">
        <f aca="false">IF(I91="","SIN DATO",IFERROR(INDEX(cat_ModN,MATCH(I91,cat_ModO,0)),I91))</f>
        <v>REYROLLE</v>
      </c>
      <c r="U91" s="34" t="str">
        <f aca="false">IF(I91="","",IFERROR(INDEX(cat_ModG,MATCH(I91,cat_ModO,0)),"No"))</f>
        <v>Sí</v>
      </c>
      <c r="V91" s="34" t="str">
        <f aca="false">IF(J91="","SIN DATO",IFERROR(INDEX(cat_FunN,MATCH(J91,cat_FunO,0)),J91))</f>
        <v>Protección y medición</v>
      </c>
      <c r="W91" s="34" t="str">
        <f aca="false">IF(OR(S91="SIN DATO",T91="SIN DATO"),"No","Sí")</f>
        <v>Sí</v>
      </c>
    </row>
    <row r="92" customFormat="false" ht="15" hidden="false" customHeight="false" outlineLevel="0" collapsed="false">
      <c r="A92" s="34" t="s">
        <v>601</v>
      </c>
      <c r="B92" s="34" t="s">
        <v>602</v>
      </c>
      <c r="C92" s="34" t="s">
        <v>603</v>
      </c>
      <c r="D92" s="34" t="s">
        <v>604</v>
      </c>
      <c r="E92" s="34" t="s">
        <v>150</v>
      </c>
      <c r="F92" s="34" t="s">
        <v>564</v>
      </c>
      <c r="G92" s="34" t="s">
        <v>343</v>
      </c>
      <c r="H92" s="34" t="s">
        <v>73</v>
      </c>
      <c r="I92" s="34" t="s">
        <v>75</v>
      </c>
      <c r="J92" s="34" t="s">
        <v>228</v>
      </c>
      <c r="K92" s="34" t="s">
        <v>229</v>
      </c>
      <c r="L92" s="34" t="s">
        <v>230</v>
      </c>
      <c r="M92" s="34" t="s">
        <v>344</v>
      </c>
      <c r="N92" s="34" t="str">
        <f aca="false">"Sector "&amp;VALUE(MID(D92,13,2))</f>
        <v>Sector 7</v>
      </c>
      <c r="O92" s="34" t="str">
        <f aca="false">IF(Dashboard!$C$5="Ubicación técnica",N92,"Sector "&amp;VALUE(RIGHT(G92,2)))</f>
        <v>Sector 7</v>
      </c>
      <c r="P92" s="34" t="str">
        <f aca="false">IF(MID(D92,15,3)="SEL","Subestación eléctrica","Área de proceso")</f>
        <v>Área de proceso</v>
      </c>
      <c r="Q92" s="34" t="str">
        <f aca="false">MID(D92,13,5)&amp;"|"&amp;MID(D92,19,5)</f>
        <v>07TDE|SCARC</v>
      </c>
      <c r="R92" s="34" t="str">
        <f aca="false">IF(P92="Subestación eléctrica",IFERROR(INDEX(cat_SubN,MATCH(Q92,cat_SubK,0)),"SIN CATALOGAR"),"ÁREA DE PROCESO")</f>
        <v>ÁREA DE PROCESO</v>
      </c>
      <c r="S92" s="34" t="str">
        <f aca="false">IF(H92="","SIN DATO",IFERROR(INDEX(cat_MarcaN,MATCH(H92,cat_MarcaO,0)),H92))</f>
        <v>SIEMENS</v>
      </c>
      <c r="T92" s="34" t="str">
        <f aca="false">IF(I92="","SIN DATO",IFERROR(INDEX(cat_ModN,MATCH(I92,cat_ModO,0)),I92))</f>
        <v>REYROLLE</v>
      </c>
      <c r="U92" s="34" t="str">
        <f aca="false">IF(I92="","",IFERROR(INDEX(cat_ModG,MATCH(I92,cat_ModO,0)),"No"))</f>
        <v>Sí</v>
      </c>
      <c r="V92" s="34" t="str">
        <f aca="false">IF(J92="","SIN DATO",IFERROR(INDEX(cat_FunN,MATCH(J92,cat_FunO,0)),J92))</f>
        <v>Protección y medición</v>
      </c>
      <c r="W92" s="34" t="str">
        <f aca="false">IF(OR(S92="SIN DATO",T92="SIN DATO"),"No","Sí")</f>
        <v>Sí</v>
      </c>
    </row>
    <row r="93" customFormat="false" ht="15" hidden="false" customHeight="false" outlineLevel="0" collapsed="false">
      <c r="A93" s="34" t="s">
        <v>605</v>
      </c>
      <c r="B93" s="34" t="s">
        <v>606</v>
      </c>
      <c r="C93" s="34" t="s">
        <v>607</v>
      </c>
      <c r="D93" s="34" t="s">
        <v>608</v>
      </c>
      <c r="E93" s="34" t="s">
        <v>150</v>
      </c>
      <c r="F93" s="34" t="s">
        <v>564</v>
      </c>
      <c r="G93" s="34" t="s">
        <v>343</v>
      </c>
      <c r="H93" s="34" t="s">
        <v>73</v>
      </c>
      <c r="I93" s="34" t="s">
        <v>75</v>
      </c>
      <c r="J93" s="34" t="s">
        <v>228</v>
      </c>
      <c r="K93" s="34" t="s">
        <v>229</v>
      </c>
      <c r="L93" s="34" t="s">
        <v>230</v>
      </c>
      <c r="M93" s="34" t="s">
        <v>344</v>
      </c>
      <c r="N93" s="34" t="str">
        <f aca="false">"Sector "&amp;VALUE(MID(D93,13,2))</f>
        <v>Sector 7</v>
      </c>
      <c r="O93" s="34" t="str">
        <f aca="false">IF(Dashboard!$C$5="Ubicación técnica",N93,"Sector "&amp;VALUE(RIGHT(G93,2)))</f>
        <v>Sector 7</v>
      </c>
      <c r="P93" s="34" t="str">
        <f aca="false">IF(MID(D93,15,3)="SEL","Subestación eléctrica","Área de proceso")</f>
        <v>Área de proceso</v>
      </c>
      <c r="Q93" s="34" t="str">
        <f aca="false">MID(D93,13,5)&amp;"|"&amp;MID(D93,19,5)</f>
        <v>07TDE|SCARC</v>
      </c>
      <c r="R93" s="34" t="str">
        <f aca="false">IF(P93="Subestación eléctrica",IFERROR(INDEX(cat_SubN,MATCH(Q93,cat_SubK,0)),"SIN CATALOGAR"),"ÁREA DE PROCESO")</f>
        <v>ÁREA DE PROCESO</v>
      </c>
      <c r="S93" s="34" t="str">
        <f aca="false">IF(H93="","SIN DATO",IFERROR(INDEX(cat_MarcaN,MATCH(H93,cat_MarcaO,0)),H93))</f>
        <v>SIEMENS</v>
      </c>
      <c r="T93" s="34" t="str">
        <f aca="false">IF(I93="","SIN DATO",IFERROR(INDEX(cat_ModN,MATCH(I93,cat_ModO,0)),I93))</f>
        <v>REYROLLE</v>
      </c>
      <c r="U93" s="34" t="str">
        <f aca="false">IF(I93="","",IFERROR(INDEX(cat_ModG,MATCH(I93,cat_ModO,0)),"No"))</f>
        <v>Sí</v>
      </c>
      <c r="V93" s="34" t="str">
        <f aca="false">IF(J93="","SIN DATO",IFERROR(INDEX(cat_FunN,MATCH(J93,cat_FunO,0)),J93))</f>
        <v>Protección y medición</v>
      </c>
      <c r="W93" s="34" t="str">
        <f aca="false">IF(OR(S93="SIN DATO",T93="SIN DATO"),"No","Sí")</f>
        <v>Sí</v>
      </c>
    </row>
    <row r="94" customFormat="false" ht="15" hidden="false" customHeight="false" outlineLevel="0" collapsed="false">
      <c r="A94" s="34" t="s">
        <v>609</v>
      </c>
      <c r="B94" s="34" t="s">
        <v>610</v>
      </c>
      <c r="C94" s="34" t="s">
        <v>611</v>
      </c>
      <c r="D94" s="34" t="s">
        <v>612</v>
      </c>
      <c r="E94" s="34" t="s">
        <v>150</v>
      </c>
      <c r="F94" s="34" t="s">
        <v>564</v>
      </c>
      <c r="G94" s="34" t="s">
        <v>343</v>
      </c>
      <c r="H94" s="34" t="s">
        <v>73</v>
      </c>
      <c r="I94" s="34" t="s">
        <v>75</v>
      </c>
      <c r="J94" s="34" t="s">
        <v>228</v>
      </c>
      <c r="K94" s="34" t="s">
        <v>229</v>
      </c>
      <c r="L94" s="34" t="s">
        <v>230</v>
      </c>
      <c r="M94" s="34" t="s">
        <v>344</v>
      </c>
      <c r="N94" s="34" t="str">
        <f aca="false">"Sector "&amp;VALUE(MID(D94,13,2))</f>
        <v>Sector 7</v>
      </c>
      <c r="O94" s="34" t="str">
        <f aca="false">IF(Dashboard!$C$5="Ubicación técnica",N94,"Sector "&amp;VALUE(RIGHT(G94,2)))</f>
        <v>Sector 7</v>
      </c>
      <c r="P94" s="34" t="str">
        <f aca="false">IF(MID(D94,15,3)="SEL","Subestación eléctrica","Área de proceso")</f>
        <v>Área de proceso</v>
      </c>
      <c r="Q94" s="34" t="str">
        <f aca="false">MID(D94,13,5)&amp;"|"&amp;MID(D94,19,5)</f>
        <v>07TDE|SCARC</v>
      </c>
      <c r="R94" s="34" t="str">
        <f aca="false">IF(P94="Subestación eléctrica",IFERROR(INDEX(cat_SubN,MATCH(Q94,cat_SubK,0)),"SIN CATALOGAR"),"ÁREA DE PROCESO")</f>
        <v>ÁREA DE PROCESO</v>
      </c>
      <c r="S94" s="34" t="str">
        <f aca="false">IF(H94="","SIN DATO",IFERROR(INDEX(cat_MarcaN,MATCH(H94,cat_MarcaO,0)),H94))</f>
        <v>SIEMENS</v>
      </c>
      <c r="T94" s="34" t="str">
        <f aca="false">IF(I94="","SIN DATO",IFERROR(INDEX(cat_ModN,MATCH(I94,cat_ModO,0)),I94))</f>
        <v>REYROLLE</v>
      </c>
      <c r="U94" s="34" t="str">
        <f aca="false">IF(I94="","",IFERROR(INDEX(cat_ModG,MATCH(I94,cat_ModO,0)),"No"))</f>
        <v>Sí</v>
      </c>
      <c r="V94" s="34" t="str">
        <f aca="false">IF(J94="","SIN DATO",IFERROR(INDEX(cat_FunN,MATCH(J94,cat_FunO,0)),J94))</f>
        <v>Protección y medición</v>
      </c>
      <c r="W94" s="34" t="str">
        <f aca="false">IF(OR(S94="SIN DATO",T94="SIN DATO"),"No","Sí")</f>
        <v>Sí</v>
      </c>
    </row>
    <row r="95" customFormat="false" ht="15" hidden="false" customHeight="false" outlineLevel="0" collapsed="false">
      <c r="A95" s="34" t="s">
        <v>613</v>
      </c>
      <c r="B95" s="34" t="s">
        <v>614</v>
      </c>
      <c r="C95" s="34" t="s">
        <v>615</v>
      </c>
      <c r="D95" s="34" t="s">
        <v>616</v>
      </c>
      <c r="E95" s="34" t="s">
        <v>150</v>
      </c>
      <c r="F95" s="34" t="s">
        <v>564</v>
      </c>
      <c r="G95" s="34" t="s">
        <v>343</v>
      </c>
      <c r="H95" s="34" t="s">
        <v>73</v>
      </c>
      <c r="I95" s="34" t="s">
        <v>75</v>
      </c>
      <c r="J95" s="34" t="s">
        <v>228</v>
      </c>
      <c r="K95" s="34" t="s">
        <v>229</v>
      </c>
      <c r="L95" s="34" t="s">
        <v>230</v>
      </c>
      <c r="M95" s="34" t="s">
        <v>344</v>
      </c>
      <c r="N95" s="34" t="str">
        <f aca="false">"Sector "&amp;VALUE(MID(D95,13,2))</f>
        <v>Sector 7</v>
      </c>
      <c r="O95" s="34" t="str">
        <f aca="false">IF(Dashboard!$C$5="Ubicación técnica",N95,"Sector "&amp;VALUE(RIGHT(G95,2)))</f>
        <v>Sector 7</v>
      </c>
      <c r="P95" s="34" t="str">
        <f aca="false">IF(MID(D95,15,3)="SEL","Subestación eléctrica","Área de proceso")</f>
        <v>Área de proceso</v>
      </c>
      <c r="Q95" s="34" t="str">
        <f aca="false">MID(D95,13,5)&amp;"|"&amp;MID(D95,19,5)</f>
        <v>07TDE|SCARC</v>
      </c>
      <c r="R95" s="34" t="str">
        <f aca="false">IF(P95="Subestación eléctrica",IFERROR(INDEX(cat_SubN,MATCH(Q95,cat_SubK,0)),"SIN CATALOGAR"),"ÁREA DE PROCESO")</f>
        <v>ÁREA DE PROCESO</v>
      </c>
      <c r="S95" s="34" t="str">
        <f aca="false">IF(H95="","SIN DATO",IFERROR(INDEX(cat_MarcaN,MATCH(H95,cat_MarcaO,0)),H95))</f>
        <v>SIEMENS</v>
      </c>
      <c r="T95" s="34" t="str">
        <f aca="false">IF(I95="","SIN DATO",IFERROR(INDEX(cat_ModN,MATCH(I95,cat_ModO,0)),I95))</f>
        <v>REYROLLE</v>
      </c>
      <c r="U95" s="34" t="str">
        <f aca="false">IF(I95="","",IFERROR(INDEX(cat_ModG,MATCH(I95,cat_ModO,0)),"No"))</f>
        <v>Sí</v>
      </c>
      <c r="V95" s="34" t="str">
        <f aca="false">IF(J95="","SIN DATO",IFERROR(INDEX(cat_FunN,MATCH(J95,cat_FunO,0)),J95))</f>
        <v>Protección y medición</v>
      </c>
      <c r="W95" s="34" t="str">
        <f aca="false">IF(OR(S95="SIN DATO",T95="SIN DATO"),"No","Sí")</f>
        <v>Sí</v>
      </c>
    </row>
    <row r="96" customFormat="false" ht="15" hidden="false" customHeight="false" outlineLevel="0" collapsed="false">
      <c r="A96" s="34" t="s">
        <v>617</v>
      </c>
      <c r="B96" s="34" t="s">
        <v>618</v>
      </c>
      <c r="C96" s="34" t="s">
        <v>619</v>
      </c>
      <c r="D96" s="34" t="s">
        <v>620</v>
      </c>
      <c r="E96" s="34" t="s">
        <v>150</v>
      </c>
      <c r="F96" s="34" t="s">
        <v>564</v>
      </c>
      <c r="G96" s="34" t="s">
        <v>343</v>
      </c>
      <c r="H96" s="34" t="s">
        <v>73</v>
      </c>
      <c r="I96" s="34" t="s">
        <v>75</v>
      </c>
      <c r="J96" s="34" t="s">
        <v>228</v>
      </c>
      <c r="K96" s="34" t="s">
        <v>229</v>
      </c>
      <c r="L96" s="34" t="s">
        <v>230</v>
      </c>
      <c r="M96" s="34" t="s">
        <v>344</v>
      </c>
      <c r="N96" s="34" t="str">
        <f aca="false">"Sector "&amp;VALUE(MID(D96,13,2))</f>
        <v>Sector 7</v>
      </c>
      <c r="O96" s="34" t="str">
        <f aca="false">IF(Dashboard!$C$5="Ubicación técnica",N96,"Sector "&amp;VALUE(RIGHT(G96,2)))</f>
        <v>Sector 7</v>
      </c>
      <c r="P96" s="34" t="str">
        <f aca="false">IF(MID(D96,15,3)="SEL","Subestación eléctrica","Área de proceso")</f>
        <v>Área de proceso</v>
      </c>
      <c r="Q96" s="34" t="str">
        <f aca="false">MID(D96,13,5)&amp;"|"&amp;MID(D96,19,5)</f>
        <v>07TDE|SCARC</v>
      </c>
      <c r="R96" s="34" t="str">
        <f aca="false">IF(P96="Subestación eléctrica",IFERROR(INDEX(cat_SubN,MATCH(Q96,cat_SubK,0)),"SIN CATALOGAR"),"ÁREA DE PROCESO")</f>
        <v>ÁREA DE PROCESO</v>
      </c>
      <c r="S96" s="34" t="str">
        <f aca="false">IF(H96="","SIN DATO",IFERROR(INDEX(cat_MarcaN,MATCH(H96,cat_MarcaO,0)),H96))</f>
        <v>SIEMENS</v>
      </c>
      <c r="T96" s="34" t="str">
        <f aca="false">IF(I96="","SIN DATO",IFERROR(INDEX(cat_ModN,MATCH(I96,cat_ModO,0)),I96))</f>
        <v>REYROLLE</v>
      </c>
      <c r="U96" s="34" t="str">
        <f aca="false">IF(I96="","",IFERROR(INDEX(cat_ModG,MATCH(I96,cat_ModO,0)),"No"))</f>
        <v>Sí</v>
      </c>
      <c r="V96" s="34" t="str">
        <f aca="false">IF(J96="","SIN DATO",IFERROR(INDEX(cat_FunN,MATCH(J96,cat_FunO,0)),J96))</f>
        <v>Protección y medición</v>
      </c>
      <c r="W96" s="34" t="str">
        <f aca="false">IF(OR(S96="SIN DATO",T96="SIN DATO"),"No","Sí")</f>
        <v>Sí</v>
      </c>
    </row>
    <row r="97" customFormat="false" ht="15" hidden="false" customHeight="false" outlineLevel="0" collapsed="false">
      <c r="A97" s="34" t="s">
        <v>621</v>
      </c>
      <c r="B97" s="34" t="s">
        <v>622</v>
      </c>
      <c r="C97" s="34" t="s">
        <v>623</v>
      </c>
      <c r="D97" s="34" t="s">
        <v>624</v>
      </c>
      <c r="E97" s="34" t="s">
        <v>150</v>
      </c>
      <c r="F97" s="34" t="s">
        <v>564</v>
      </c>
      <c r="G97" s="34" t="s">
        <v>343</v>
      </c>
      <c r="H97" s="34" t="s">
        <v>73</v>
      </c>
      <c r="I97" s="34" t="s">
        <v>75</v>
      </c>
      <c r="J97" s="34" t="s">
        <v>228</v>
      </c>
      <c r="K97" s="34" t="s">
        <v>229</v>
      </c>
      <c r="L97" s="34" t="s">
        <v>230</v>
      </c>
      <c r="M97" s="34" t="s">
        <v>344</v>
      </c>
      <c r="N97" s="34" t="str">
        <f aca="false">"Sector "&amp;VALUE(MID(D97,13,2))</f>
        <v>Sector 7</v>
      </c>
      <c r="O97" s="34" t="str">
        <f aca="false">IF(Dashboard!$C$5="Ubicación técnica",N97,"Sector "&amp;VALUE(RIGHT(G97,2)))</f>
        <v>Sector 7</v>
      </c>
      <c r="P97" s="34" t="str">
        <f aca="false">IF(MID(D97,15,3)="SEL","Subestación eléctrica","Área de proceso")</f>
        <v>Área de proceso</v>
      </c>
      <c r="Q97" s="34" t="str">
        <f aca="false">MID(D97,13,5)&amp;"|"&amp;MID(D97,19,5)</f>
        <v>07TDE|SCARC</v>
      </c>
      <c r="R97" s="34" t="str">
        <f aca="false">IF(P97="Subestación eléctrica",IFERROR(INDEX(cat_SubN,MATCH(Q97,cat_SubK,0)),"SIN CATALOGAR"),"ÁREA DE PROCESO")</f>
        <v>ÁREA DE PROCESO</v>
      </c>
      <c r="S97" s="34" t="str">
        <f aca="false">IF(H97="","SIN DATO",IFERROR(INDEX(cat_MarcaN,MATCH(H97,cat_MarcaO,0)),H97))</f>
        <v>SIEMENS</v>
      </c>
      <c r="T97" s="34" t="str">
        <f aca="false">IF(I97="","SIN DATO",IFERROR(INDEX(cat_ModN,MATCH(I97,cat_ModO,0)),I97))</f>
        <v>REYROLLE</v>
      </c>
      <c r="U97" s="34" t="str">
        <f aca="false">IF(I97="","",IFERROR(INDEX(cat_ModG,MATCH(I97,cat_ModO,0)),"No"))</f>
        <v>Sí</v>
      </c>
      <c r="V97" s="34" t="str">
        <f aca="false">IF(J97="","SIN DATO",IFERROR(INDEX(cat_FunN,MATCH(J97,cat_FunO,0)),J97))</f>
        <v>Protección y medición</v>
      </c>
      <c r="W97" s="34" t="str">
        <f aca="false">IF(OR(S97="SIN DATO",T97="SIN DATO"),"No","Sí")</f>
        <v>Sí</v>
      </c>
    </row>
    <row r="98" customFormat="false" ht="15" hidden="false" customHeight="false" outlineLevel="0" collapsed="false">
      <c r="A98" s="34" t="s">
        <v>625</v>
      </c>
      <c r="B98" s="34" t="s">
        <v>626</v>
      </c>
      <c r="C98" s="34" t="s">
        <v>627</v>
      </c>
      <c r="D98" s="34" t="s">
        <v>628</v>
      </c>
      <c r="E98" s="34" t="s">
        <v>150</v>
      </c>
      <c r="F98" s="34" t="s">
        <v>564</v>
      </c>
      <c r="G98" s="34" t="s">
        <v>343</v>
      </c>
      <c r="H98" s="34" t="s">
        <v>73</v>
      </c>
      <c r="I98" s="34" t="s">
        <v>75</v>
      </c>
      <c r="J98" s="34" t="s">
        <v>228</v>
      </c>
      <c r="K98" s="34" t="s">
        <v>229</v>
      </c>
      <c r="L98" s="34" t="s">
        <v>230</v>
      </c>
      <c r="M98" s="34" t="s">
        <v>344</v>
      </c>
      <c r="N98" s="34" t="str">
        <f aca="false">"Sector "&amp;VALUE(MID(D98,13,2))</f>
        <v>Sector 7</v>
      </c>
      <c r="O98" s="34" t="str">
        <f aca="false">IF(Dashboard!$C$5="Ubicación técnica",N98,"Sector "&amp;VALUE(RIGHT(G98,2)))</f>
        <v>Sector 7</v>
      </c>
      <c r="P98" s="34" t="str">
        <f aca="false">IF(MID(D98,15,3)="SEL","Subestación eléctrica","Área de proceso")</f>
        <v>Área de proceso</v>
      </c>
      <c r="Q98" s="34" t="str">
        <f aca="false">MID(D98,13,5)&amp;"|"&amp;MID(D98,19,5)</f>
        <v>07TDE|SCARC</v>
      </c>
      <c r="R98" s="34" t="str">
        <f aca="false">IF(P98="Subestación eléctrica",IFERROR(INDEX(cat_SubN,MATCH(Q98,cat_SubK,0)),"SIN CATALOGAR"),"ÁREA DE PROCESO")</f>
        <v>ÁREA DE PROCESO</v>
      </c>
      <c r="S98" s="34" t="str">
        <f aca="false">IF(H98="","SIN DATO",IFERROR(INDEX(cat_MarcaN,MATCH(H98,cat_MarcaO,0)),H98))</f>
        <v>SIEMENS</v>
      </c>
      <c r="T98" s="34" t="str">
        <f aca="false">IF(I98="","SIN DATO",IFERROR(INDEX(cat_ModN,MATCH(I98,cat_ModO,0)),I98))</f>
        <v>REYROLLE</v>
      </c>
      <c r="U98" s="34" t="str">
        <f aca="false">IF(I98="","",IFERROR(INDEX(cat_ModG,MATCH(I98,cat_ModO,0)),"No"))</f>
        <v>Sí</v>
      </c>
      <c r="V98" s="34" t="str">
        <f aca="false">IF(J98="","SIN DATO",IFERROR(INDEX(cat_FunN,MATCH(J98,cat_FunO,0)),J98))</f>
        <v>Protección y medición</v>
      </c>
      <c r="W98" s="34" t="str">
        <f aca="false">IF(OR(S98="SIN DATO",T98="SIN DATO"),"No","Sí")</f>
        <v>Sí</v>
      </c>
    </row>
    <row r="99" customFormat="false" ht="15" hidden="false" customHeight="false" outlineLevel="0" collapsed="false">
      <c r="A99" s="34" t="s">
        <v>629</v>
      </c>
      <c r="B99" s="34" t="s">
        <v>630</v>
      </c>
      <c r="C99" s="34" t="s">
        <v>631</v>
      </c>
      <c r="D99" s="34" t="s">
        <v>632</v>
      </c>
      <c r="E99" s="34" t="s">
        <v>150</v>
      </c>
      <c r="F99" s="34" t="s">
        <v>564</v>
      </c>
      <c r="G99" s="34" t="s">
        <v>343</v>
      </c>
      <c r="H99" s="34" t="s">
        <v>73</v>
      </c>
      <c r="I99" s="34" t="s">
        <v>75</v>
      </c>
      <c r="J99" s="34" t="s">
        <v>228</v>
      </c>
      <c r="K99" s="34" t="s">
        <v>229</v>
      </c>
      <c r="L99" s="34" t="s">
        <v>230</v>
      </c>
      <c r="M99" s="34" t="s">
        <v>344</v>
      </c>
      <c r="N99" s="34" t="str">
        <f aca="false">"Sector "&amp;VALUE(MID(D99,13,2))</f>
        <v>Sector 7</v>
      </c>
      <c r="O99" s="34" t="str">
        <f aca="false">IF(Dashboard!$C$5="Ubicación técnica",N99,"Sector "&amp;VALUE(RIGHT(G99,2)))</f>
        <v>Sector 7</v>
      </c>
      <c r="P99" s="34" t="str">
        <f aca="false">IF(MID(D99,15,3)="SEL","Subestación eléctrica","Área de proceso")</f>
        <v>Área de proceso</v>
      </c>
      <c r="Q99" s="34" t="str">
        <f aca="false">MID(D99,13,5)&amp;"|"&amp;MID(D99,19,5)</f>
        <v>07TDE|SCARC</v>
      </c>
      <c r="R99" s="34" t="str">
        <f aca="false">IF(P99="Subestación eléctrica",IFERROR(INDEX(cat_SubN,MATCH(Q99,cat_SubK,0)),"SIN CATALOGAR"),"ÁREA DE PROCESO")</f>
        <v>ÁREA DE PROCESO</v>
      </c>
      <c r="S99" s="34" t="str">
        <f aca="false">IF(H99="","SIN DATO",IFERROR(INDEX(cat_MarcaN,MATCH(H99,cat_MarcaO,0)),H99))</f>
        <v>SIEMENS</v>
      </c>
      <c r="T99" s="34" t="str">
        <f aca="false">IF(I99="","SIN DATO",IFERROR(INDEX(cat_ModN,MATCH(I99,cat_ModO,0)),I99))</f>
        <v>REYROLLE</v>
      </c>
      <c r="U99" s="34" t="str">
        <f aca="false">IF(I99="","",IFERROR(INDEX(cat_ModG,MATCH(I99,cat_ModO,0)),"No"))</f>
        <v>Sí</v>
      </c>
      <c r="V99" s="34" t="str">
        <f aca="false">IF(J99="","SIN DATO",IFERROR(INDEX(cat_FunN,MATCH(J99,cat_FunO,0)),J99))</f>
        <v>Protección y medición</v>
      </c>
      <c r="W99" s="34" t="str">
        <f aca="false">IF(OR(S99="SIN DATO",T99="SIN DATO"),"No","Sí")</f>
        <v>Sí</v>
      </c>
    </row>
    <row r="100" customFormat="false" ht="15" hidden="false" customHeight="false" outlineLevel="0" collapsed="false">
      <c r="A100" s="34" t="s">
        <v>633</v>
      </c>
      <c r="B100" s="34" t="s">
        <v>634</v>
      </c>
      <c r="C100" s="34" t="s">
        <v>635</v>
      </c>
      <c r="D100" s="34" t="s">
        <v>636</v>
      </c>
      <c r="E100" s="34" t="s">
        <v>150</v>
      </c>
      <c r="F100" s="34" t="s">
        <v>564</v>
      </c>
      <c r="G100" s="34" t="s">
        <v>343</v>
      </c>
      <c r="H100" s="34" t="s">
        <v>73</v>
      </c>
      <c r="I100" s="34" t="s">
        <v>75</v>
      </c>
      <c r="J100" s="34" t="s">
        <v>228</v>
      </c>
      <c r="K100" s="34" t="s">
        <v>229</v>
      </c>
      <c r="L100" s="34" t="s">
        <v>230</v>
      </c>
      <c r="M100" s="34" t="s">
        <v>344</v>
      </c>
      <c r="N100" s="34" t="str">
        <f aca="false">"Sector "&amp;VALUE(MID(D100,13,2))</f>
        <v>Sector 7</v>
      </c>
      <c r="O100" s="34" t="str">
        <f aca="false">IF(Dashboard!$C$5="Ubicación técnica",N100,"Sector "&amp;VALUE(RIGHT(G100,2)))</f>
        <v>Sector 7</v>
      </c>
      <c r="P100" s="34" t="str">
        <f aca="false">IF(MID(D100,15,3)="SEL","Subestación eléctrica","Área de proceso")</f>
        <v>Área de proceso</v>
      </c>
      <c r="Q100" s="34" t="str">
        <f aca="false">MID(D100,13,5)&amp;"|"&amp;MID(D100,19,5)</f>
        <v>07TDE|SCARC</v>
      </c>
      <c r="R100" s="34" t="str">
        <f aca="false">IF(P100="Subestación eléctrica",IFERROR(INDEX(cat_SubN,MATCH(Q100,cat_SubK,0)),"SIN CATALOGAR"),"ÁREA DE PROCESO")</f>
        <v>ÁREA DE PROCESO</v>
      </c>
      <c r="S100" s="34" t="str">
        <f aca="false">IF(H100="","SIN DATO",IFERROR(INDEX(cat_MarcaN,MATCH(H100,cat_MarcaO,0)),H100))</f>
        <v>SIEMENS</v>
      </c>
      <c r="T100" s="34" t="str">
        <f aca="false">IF(I100="","SIN DATO",IFERROR(INDEX(cat_ModN,MATCH(I100,cat_ModO,0)),I100))</f>
        <v>REYROLLE</v>
      </c>
      <c r="U100" s="34" t="str">
        <f aca="false">IF(I100="","",IFERROR(INDEX(cat_ModG,MATCH(I100,cat_ModO,0)),"No"))</f>
        <v>Sí</v>
      </c>
      <c r="V100" s="34" t="str">
        <f aca="false">IF(J100="","SIN DATO",IFERROR(INDEX(cat_FunN,MATCH(J100,cat_FunO,0)),J100))</f>
        <v>Protección y medición</v>
      </c>
      <c r="W100" s="34" t="str">
        <f aca="false">IF(OR(S100="SIN DATO",T100="SIN DATO"),"No","Sí")</f>
        <v>Sí</v>
      </c>
    </row>
    <row r="101" customFormat="false" ht="15" hidden="false" customHeight="false" outlineLevel="0" collapsed="false">
      <c r="A101" s="34" t="s">
        <v>637</v>
      </c>
      <c r="B101" s="34" t="s">
        <v>638</v>
      </c>
      <c r="C101" s="34" t="s">
        <v>639</v>
      </c>
      <c r="D101" s="34" t="s">
        <v>640</v>
      </c>
      <c r="E101" s="34" t="s">
        <v>150</v>
      </c>
      <c r="F101" s="34" t="s">
        <v>564</v>
      </c>
      <c r="G101" s="34" t="s">
        <v>343</v>
      </c>
      <c r="H101" s="34" t="s">
        <v>73</v>
      </c>
      <c r="I101" s="34" t="s">
        <v>75</v>
      </c>
      <c r="J101" s="34" t="s">
        <v>228</v>
      </c>
      <c r="K101" s="34" t="s">
        <v>229</v>
      </c>
      <c r="L101" s="34" t="s">
        <v>230</v>
      </c>
      <c r="M101" s="34" t="s">
        <v>344</v>
      </c>
      <c r="N101" s="34" t="str">
        <f aca="false">"Sector "&amp;VALUE(MID(D101,13,2))</f>
        <v>Sector 7</v>
      </c>
      <c r="O101" s="34" t="str">
        <f aca="false">IF(Dashboard!$C$5="Ubicación técnica",N101,"Sector "&amp;VALUE(RIGHT(G101,2)))</f>
        <v>Sector 7</v>
      </c>
      <c r="P101" s="34" t="str">
        <f aca="false">IF(MID(D101,15,3)="SEL","Subestación eléctrica","Área de proceso")</f>
        <v>Área de proceso</v>
      </c>
      <c r="Q101" s="34" t="str">
        <f aca="false">MID(D101,13,5)&amp;"|"&amp;MID(D101,19,5)</f>
        <v>07TDE|SCARC</v>
      </c>
      <c r="R101" s="34" t="str">
        <f aca="false">IF(P101="Subestación eléctrica",IFERROR(INDEX(cat_SubN,MATCH(Q101,cat_SubK,0)),"SIN CATALOGAR"),"ÁREA DE PROCESO")</f>
        <v>ÁREA DE PROCESO</v>
      </c>
      <c r="S101" s="34" t="str">
        <f aca="false">IF(H101="","SIN DATO",IFERROR(INDEX(cat_MarcaN,MATCH(H101,cat_MarcaO,0)),H101))</f>
        <v>SIEMENS</v>
      </c>
      <c r="T101" s="34" t="str">
        <f aca="false">IF(I101="","SIN DATO",IFERROR(INDEX(cat_ModN,MATCH(I101,cat_ModO,0)),I101))</f>
        <v>REYROLLE</v>
      </c>
      <c r="U101" s="34" t="str">
        <f aca="false">IF(I101="","",IFERROR(INDEX(cat_ModG,MATCH(I101,cat_ModO,0)),"No"))</f>
        <v>Sí</v>
      </c>
      <c r="V101" s="34" t="str">
        <f aca="false">IF(J101="","SIN DATO",IFERROR(INDEX(cat_FunN,MATCH(J101,cat_FunO,0)),J101))</f>
        <v>Protección y medición</v>
      </c>
      <c r="W101" s="34" t="str">
        <f aca="false">IF(OR(S101="SIN DATO",T101="SIN DATO"),"No","Sí")</f>
        <v>Sí</v>
      </c>
    </row>
    <row r="102" customFormat="false" ht="15" hidden="false" customHeight="false" outlineLevel="0" collapsed="false">
      <c r="A102" s="34" t="s">
        <v>641</v>
      </c>
      <c r="B102" s="34" t="s">
        <v>642</v>
      </c>
      <c r="C102" s="34" t="s">
        <v>643</v>
      </c>
      <c r="D102" s="34" t="s">
        <v>644</v>
      </c>
      <c r="E102" s="34" t="s">
        <v>150</v>
      </c>
      <c r="F102" s="34" t="s">
        <v>564</v>
      </c>
      <c r="G102" s="34" t="s">
        <v>343</v>
      </c>
      <c r="H102" s="34" t="s">
        <v>73</v>
      </c>
      <c r="I102" s="34" t="s">
        <v>75</v>
      </c>
      <c r="J102" s="34" t="s">
        <v>228</v>
      </c>
      <c r="K102" s="34" t="s">
        <v>229</v>
      </c>
      <c r="L102" s="34" t="s">
        <v>230</v>
      </c>
      <c r="M102" s="34" t="s">
        <v>344</v>
      </c>
      <c r="N102" s="34" t="str">
        <f aca="false">"Sector "&amp;VALUE(MID(D102,13,2))</f>
        <v>Sector 7</v>
      </c>
      <c r="O102" s="34" t="str">
        <f aca="false">IF(Dashboard!$C$5="Ubicación técnica",N102,"Sector "&amp;VALUE(RIGHT(G102,2)))</f>
        <v>Sector 7</v>
      </c>
      <c r="P102" s="34" t="str">
        <f aca="false">IF(MID(D102,15,3)="SEL","Subestación eléctrica","Área de proceso")</f>
        <v>Área de proceso</v>
      </c>
      <c r="Q102" s="34" t="str">
        <f aca="false">MID(D102,13,5)&amp;"|"&amp;MID(D102,19,5)</f>
        <v>07TDE|SCARC</v>
      </c>
      <c r="R102" s="34" t="str">
        <f aca="false">IF(P102="Subestación eléctrica",IFERROR(INDEX(cat_SubN,MATCH(Q102,cat_SubK,0)),"SIN CATALOGAR"),"ÁREA DE PROCESO")</f>
        <v>ÁREA DE PROCESO</v>
      </c>
      <c r="S102" s="34" t="str">
        <f aca="false">IF(H102="","SIN DATO",IFERROR(INDEX(cat_MarcaN,MATCH(H102,cat_MarcaO,0)),H102))</f>
        <v>SIEMENS</v>
      </c>
      <c r="T102" s="34" t="str">
        <f aca="false">IF(I102="","SIN DATO",IFERROR(INDEX(cat_ModN,MATCH(I102,cat_ModO,0)),I102))</f>
        <v>REYROLLE</v>
      </c>
      <c r="U102" s="34" t="str">
        <f aca="false">IF(I102="","",IFERROR(INDEX(cat_ModG,MATCH(I102,cat_ModO,0)),"No"))</f>
        <v>Sí</v>
      </c>
      <c r="V102" s="34" t="str">
        <f aca="false">IF(J102="","SIN DATO",IFERROR(INDEX(cat_FunN,MATCH(J102,cat_FunO,0)),J102))</f>
        <v>Protección y medición</v>
      </c>
      <c r="W102" s="34" t="str">
        <f aca="false">IF(OR(S102="SIN DATO",T102="SIN DATO"),"No","Sí")</f>
        <v>Sí</v>
      </c>
    </row>
    <row r="103" customFormat="false" ht="15" hidden="false" customHeight="false" outlineLevel="0" collapsed="false">
      <c r="A103" s="34" t="s">
        <v>645</v>
      </c>
      <c r="B103" s="34" t="s">
        <v>646</v>
      </c>
      <c r="C103" s="34" t="s">
        <v>647</v>
      </c>
      <c r="D103" s="34" t="s">
        <v>648</v>
      </c>
      <c r="E103" s="34" t="s">
        <v>150</v>
      </c>
      <c r="F103" s="34" t="s">
        <v>564</v>
      </c>
      <c r="G103" s="34" t="s">
        <v>343</v>
      </c>
      <c r="H103" s="34" t="s">
        <v>73</v>
      </c>
      <c r="I103" s="34" t="s">
        <v>75</v>
      </c>
      <c r="J103" s="34" t="s">
        <v>228</v>
      </c>
      <c r="K103" s="34" t="s">
        <v>229</v>
      </c>
      <c r="L103" s="34" t="s">
        <v>230</v>
      </c>
      <c r="M103" s="34" t="s">
        <v>344</v>
      </c>
      <c r="N103" s="34" t="str">
        <f aca="false">"Sector "&amp;VALUE(MID(D103,13,2))</f>
        <v>Sector 7</v>
      </c>
      <c r="O103" s="34" t="str">
        <f aca="false">IF(Dashboard!$C$5="Ubicación técnica",N103,"Sector "&amp;VALUE(RIGHT(G103,2)))</f>
        <v>Sector 7</v>
      </c>
      <c r="P103" s="34" t="str">
        <f aca="false">IF(MID(D103,15,3)="SEL","Subestación eléctrica","Área de proceso")</f>
        <v>Área de proceso</v>
      </c>
      <c r="Q103" s="34" t="str">
        <f aca="false">MID(D103,13,5)&amp;"|"&amp;MID(D103,19,5)</f>
        <v>07TDE|SCARC</v>
      </c>
      <c r="R103" s="34" t="str">
        <f aca="false">IF(P103="Subestación eléctrica",IFERROR(INDEX(cat_SubN,MATCH(Q103,cat_SubK,0)),"SIN CATALOGAR"),"ÁREA DE PROCESO")</f>
        <v>ÁREA DE PROCESO</v>
      </c>
      <c r="S103" s="34" t="str">
        <f aca="false">IF(H103="","SIN DATO",IFERROR(INDEX(cat_MarcaN,MATCH(H103,cat_MarcaO,0)),H103))</f>
        <v>SIEMENS</v>
      </c>
      <c r="T103" s="34" t="str">
        <f aca="false">IF(I103="","SIN DATO",IFERROR(INDEX(cat_ModN,MATCH(I103,cat_ModO,0)),I103))</f>
        <v>REYROLLE</v>
      </c>
      <c r="U103" s="34" t="str">
        <f aca="false">IF(I103="","",IFERROR(INDEX(cat_ModG,MATCH(I103,cat_ModO,0)),"No"))</f>
        <v>Sí</v>
      </c>
      <c r="V103" s="34" t="str">
        <f aca="false">IF(J103="","SIN DATO",IFERROR(INDEX(cat_FunN,MATCH(J103,cat_FunO,0)),J103))</f>
        <v>Protección y medición</v>
      </c>
      <c r="W103" s="34" t="str">
        <f aca="false">IF(OR(S103="SIN DATO",T103="SIN DATO"),"No","Sí")</f>
        <v>Sí</v>
      </c>
    </row>
    <row r="104" customFormat="false" ht="15" hidden="false" customHeight="false" outlineLevel="0" collapsed="false">
      <c r="A104" s="34" t="s">
        <v>649</v>
      </c>
      <c r="B104" s="34" t="s">
        <v>650</v>
      </c>
      <c r="C104" s="34" t="s">
        <v>651</v>
      </c>
      <c r="D104" s="34" t="s">
        <v>652</v>
      </c>
      <c r="E104" s="34" t="s">
        <v>653</v>
      </c>
      <c r="F104" s="34" t="s">
        <v>654</v>
      </c>
      <c r="G104" s="34" t="s">
        <v>227</v>
      </c>
      <c r="H104" s="34" t="s">
        <v>73</v>
      </c>
      <c r="I104" s="34" t="s">
        <v>77</v>
      </c>
      <c r="J104" s="34" t="s">
        <v>228</v>
      </c>
      <c r="K104" s="34" t="s">
        <v>236</v>
      </c>
      <c r="L104" s="34" t="s">
        <v>230</v>
      </c>
      <c r="M104" s="34" t="s">
        <v>237</v>
      </c>
      <c r="N104" s="34" t="str">
        <f aca="false">"Sector "&amp;VALUE(MID(D104,13,2))</f>
        <v>Sector 8</v>
      </c>
      <c r="O104" s="34" t="str">
        <f aca="false">IF(Dashboard!$C$5="Ubicación técnica",N104,"Sector "&amp;VALUE(RIGHT(G104,2)))</f>
        <v>Sector 8</v>
      </c>
      <c r="P104" s="34" t="str">
        <f aca="false">IF(MID(D104,15,3)="SEL","Subestación eléctrica","Área de proceso")</f>
        <v>Área de proceso</v>
      </c>
      <c r="Q104" s="34" t="str">
        <f aca="false">MID(D104,13,5)&amp;"|"&amp;MID(D104,19,5)</f>
        <v>08CND|SALMD</v>
      </c>
      <c r="R104" s="34" t="str">
        <f aca="false">IF(P104="Subestación eléctrica",IFERROR(INDEX(cat_SubN,MATCH(Q104,cat_SubK,0)),"SIN CATALOGAR"),"ÁREA DE PROCESO")</f>
        <v>ÁREA DE PROCESO</v>
      </c>
      <c r="S104" s="34" t="str">
        <f aca="false">IF(H104="","SIN DATO",IFERROR(INDEX(cat_MarcaN,MATCH(H104,cat_MarcaO,0)),H104))</f>
        <v>SIEMENS</v>
      </c>
      <c r="T104" s="34" t="str">
        <f aca="false">IF(I104="","SIN DATO",IFERROR(INDEX(cat_ModN,MATCH(I104,cat_ModO,0)),I104))</f>
        <v>7SR5711</v>
      </c>
      <c r="U104" s="34" t="str">
        <f aca="false">IF(I104="","",IFERROR(INDEX(cat_ModG,MATCH(I104,cat_ModO,0)),"No"))</f>
        <v>No</v>
      </c>
      <c r="V104" s="34" t="str">
        <f aca="false">IF(J104="","SIN DATO",IFERROR(INDEX(cat_FunN,MATCH(J104,cat_FunO,0)),J104))</f>
        <v>Protección y medición</v>
      </c>
      <c r="W104" s="34" t="str">
        <f aca="false">IF(OR(S104="SIN DATO",T104="SIN DATO"),"No","Sí")</f>
        <v>Sí</v>
      </c>
    </row>
    <row r="105" customFormat="false" ht="15" hidden="false" customHeight="false" outlineLevel="0" collapsed="false">
      <c r="A105" s="34" t="s">
        <v>655</v>
      </c>
      <c r="B105" s="34" t="s">
        <v>656</v>
      </c>
      <c r="C105" s="34" t="s">
        <v>657</v>
      </c>
      <c r="D105" s="34" t="s">
        <v>658</v>
      </c>
      <c r="E105" s="34" t="s">
        <v>653</v>
      </c>
      <c r="F105" s="34" t="s">
        <v>654</v>
      </c>
      <c r="G105" s="34" t="s">
        <v>227</v>
      </c>
      <c r="H105" s="34" t="s">
        <v>73</v>
      </c>
      <c r="I105" s="34" t="s">
        <v>77</v>
      </c>
      <c r="J105" s="34" t="s">
        <v>228</v>
      </c>
      <c r="K105" s="34" t="s">
        <v>236</v>
      </c>
      <c r="L105" s="34" t="s">
        <v>230</v>
      </c>
      <c r="M105" s="34" t="s">
        <v>237</v>
      </c>
      <c r="N105" s="34" t="str">
        <f aca="false">"Sector "&amp;VALUE(MID(D105,13,2))</f>
        <v>Sector 8</v>
      </c>
      <c r="O105" s="34" t="str">
        <f aca="false">IF(Dashboard!$C$5="Ubicación técnica",N105,"Sector "&amp;VALUE(RIGHT(G105,2)))</f>
        <v>Sector 8</v>
      </c>
      <c r="P105" s="34" t="str">
        <f aca="false">IF(MID(D105,15,3)="SEL","Subestación eléctrica","Área de proceso")</f>
        <v>Área de proceso</v>
      </c>
      <c r="Q105" s="34" t="str">
        <f aca="false">MID(D105,13,5)&amp;"|"&amp;MID(D105,19,5)</f>
        <v>08CND|SALMD</v>
      </c>
      <c r="R105" s="34" t="str">
        <f aca="false">IF(P105="Subestación eléctrica",IFERROR(INDEX(cat_SubN,MATCH(Q105,cat_SubK,0)),"SIN CATALOGAR"),"ÁREA DE PROCESO")</f>
        <v>ÁREA DE PROCESO</v>
      </c>
      <c r="S105" s="34" t="str">
        <f aca="false">IF(H105="","SIN DATO",IFERROR(INDEX(cat_MarcaN,MATCH(H105,cat_MarcaO,0)),H105))</f>
        <v>SIEMENS</v>
      </c>
      <c r="T105" s="34" t="str">
        <f aca="false">IF(I105="","SIN DATO",IFERROR(INDEX(cat_ModN,MATCH(I105,cat_ModO,0)),I105))</f>
        <v>7SR5711</v>
      </c>
      <c r="U105" s="34" t="str">
        <f aca="false">IF(I105="","",IFERROR(INDEX(cat_ModG,MATCH(I105,cat_ModO,0)),"No"))</f>
        <v>No</v>
      </c>
      <c r="V105" s="34" t="str">
        <f aca="false">IF(J105="","SIN DATO",IFERROR(INDEX(cat_FunN,MATCH(J105,cat_FunO,0)),J105))</f>
        <v>Protección y medición</v>
      </c>
      <c r="W105" s="34" t="str">
        <f aca="false">IF(OR(S105="SIN DATO",T105="SIN DATO"),"No","Sí")</f>
        <v>Sí</v>
      </c>
    </row>
    <row r="106" customFormat="false" ht="15" hidden="false" customHeight="false" outlineLevel="0" collapsed="false">
      <c r="A106" s="34" t="s">
        <v>659</v>
      </c>
      <c r="B106" s="34" t="s">
        <v>660</v>
      </c>
      <c r="C106" s="34" t="s">
        <v>661</v>
      </c>
      <c r="D106" s="34" t="s">
        <v>662</v>
      </c>
      <c r="E106" s="34" t="s">
        <v>653</v>
      </c>
      <c r="F106" s="34" t="s">
        <v>654</v>
      </c>
      <c r="G106" s="34" t="s">
        <v>227</v>
      </c>
      <c r="H106" s="34" t="s">
        <v>73</v>
      </c>
      <c r="I106" s="34" t="s">
        <v>77</v>
      </c>
      <c r="J106" s="34" t="s">
        <v>228</v>
      </c>
      <c r="K106" s="34" t="s">
        <v>236</v>
      </c>
      <c r="L106" s="34" t="s">
        <v>230</v>
      </c>
      <c r="M106" s="34" t="s">
        <v>237</v>
      </c>
      <c r="N106" s="34" t="str">
        <f aca="false">"Sector "&amp;VALUE(MID(D106,13,2))</f>
        <v>Sector 8</v>
      </c>
      <c r="O106" s="34" t="str">
        <f aca="false">IF(Dashboard!$C$5="Ubicación técnica",N106,"Sector "&amp;VALUE(RIGHT(G106,2)))</f>
        <v>Sector 8</v>
      </c>
      <c r="P106" s="34" t="str">
        <f aca="false">IF(MID(D106,15,3)="SEL","Subestación eléctrica","Área de proceso")</f>
        <v>Área de proceso</v>
      </c>
      <c r="Q106" s="34" t="str">
        <f aca="false">MID(D106,13,5)&amp;"|"&amp;MID(D106,19,5)</f>
        <v>08CND|SALMD</v>
      </c>
      <c r="R106" s="34" t="str">
        <f aca="false">IF(P106="Subestación eléctrica",IFERROR(INDEX(cat_SubN,MATCH(Q106,cat_SubK,0)),"SIN CATALOGAR"),"ÁREA DE PROCESO")</f>
        <v>ÁREA DE PROCESO</v>
      </c>
      <c r="S106" s="34" t="str">
        <f aca="false">IF(H106="","SIN DATO",IFERROR(INDEX(cat_MarcaN,MATCH(H106,cat_MarcaO,0)),H106))</f>
        <v>SIEMENS</v>
      </c>
      <c r="T106" s="34" t="str">
        <f aca="false">IF(I106="","SIN DATO",IFERROR(INDEX(cat_ModN,MATCH(I106,cat_ModO,0)),I106))</f>
        <v>7SR5711</v>
      </c>
      <c r="U106" s="34" t="str">
        <f aca="false">IF(I106="","",IFERROR(INDEX(cat_ModG,MATCH(I106,cat_ModO,0)),"No"))</f>
        <v>No</v>
      </c>
      <c r="V106" s="34" t="str">
        <f aca="false">IF(J106="","SIN DATO",IFERROR(INDEX(cat_FunN,MATCH(J106,cat_FunO,0)),J106))</f>
        <v>Protección y medición</v>
      </c>
      <c r="W106" s="34" t="str">
        <f aca="false">IF(OR(S106="SIN DATO",T106="SIN DATO"),"No","Sí")</f>
        <v>Sí</v>
      </c>
    </row>
    <row r="107" customFormat="false" ht="15" hidden="false" customHeight="false" outlineLevel="0" collapsed="false">
      <c r="A107" s="34" t="s">
        <v>663</v>
      </c>
      <c r="B107" s="34" t="s">
        <v>664</v>
      </c>
      <c r="C107" s="34" t="s">
        <v>665</v>
      </c>
      <c r="D107" s="34" t="s">
        <v>666</v>
      </c>
      <c r="E107" s="34" t="s">
        <v>653</v>
      </c>
      <c r="F107" s="34" t="s">
        <v>654</v>
      </c>
      <c r="G107" s="34" t="s">
        <v>227</v>
      </c>
      <c r="H107" s="34" t="s">
        <v>73</v>
      </c>
      <c r="I107" s="34" t="s">
        <v>77</v>
      </c>
      <c r="J107" s="34" t="s">
        <v>228</v>
      </c>
      <c r="K107" s="34" t="s">
        <v>236</v>
      </c>
      <c r="L107" s="34" t="s">
        <v>230</v>
      </c>
      <c r="M107" s="34" t="s">
        <v>237</v>
      </c>
      <c r="N107" s="34" t="str">
        <f aca="false">"Sector "&amp;VALUE(MID(D107,13,2))</f>
        <v>Sector 8</v>
      </c>
      <c r="O107" s="34" t="str">
        <f aca="false">IF(Dashboard!$C$5="Ubicación técnica",N107,"Sector "&amp;VALUE(RIGHT(G107,2)))</f>
        <v>Sector 8</v>
      </c>
      <c r="P107" s="34" t="str">
        <f aca="false">IF(MID(D107,15,3)="SEL","Subestación eléctrica","Área de proceso")</f>
        <v>Área de proceso</v>
      </c>
      <c r="Q107" s="34" t="str">
        <f aca="false">MID(D107,13,5)&amp;"|"&amp;MID(D107,19,5)</f>
        <v>08CND|SALMD</v>
      </c>
      <c r="R107" s="34" t="str">
        <f aca="false">IF(P107="Subestación eléctrica",IFERROR(INDEX(cat_SubN,MATCH(Q107,cat_SubK,0)),"SIN CATALOGAR"),"ÁREA DE PROCESO")</f>
        <v>ÁREA DE PROCESO</v>
      </c>
      <c r="S107" s="34" t="str">
        <f aca="false">IF(H107="","SIN DATO",IFERROR(INDEX(cat_MarcaN,MATCH(H107,cat_MarcaO,0)),H107))</f>
        <v>SIEMENS</v>
      </c>
      <c r="T107" s="34" t="str">
        <f aca="false">IF(I107="","SIN DATO",IFERROR(INDEX(cat_ModN,MATCH(I107,cat_ModO,0)),I107))</f>
        <v>7SR5711</v>
      </c>
      <c r="U107" s="34" t="str">
        <f aca="false">IF(I107="","",IFERROR(INDEX(cat_ModG,MATCH(I107,cat_ModO,0)),"No"))</f>
        <v>No</v>
      </c>
      <c r="V107" s="34" t="str">
        <f aca="false">IF(J107="","SIN DATO",IFERROR(INDEX(cat_FunN,MATCH(J107,cat_FunO,0)),J107))</f>
        <v>Protección y medición</v>
      </c>
      <c r="W107" s="34" t="str">
        <f aca="false">IF(OR(S107="SIN DATO",T107="SIN DATO"),"No","Sí")</f>
        <v>Sí</v>
      </c>
    </row>
    <row r="108" customFormat="false" ht="15" hidden="false" customHeight="false" outlineLevel="0" collapsed="false">
      <c r="A108" s="34" t="s">
        <v>667</v>
      </c>
      <c r="B108" s="34" t="s">
        <v>668</v>
      </c>
      <c r="C108" s="34" t="s">
        <v>669</v>
      </c>
      <c r="D108" s="34" t="s">
        <v>670</v>
      </c>
      <c r="E108" s="34" t="s">
        <v>653</v>
      </c>
      <c r="F108" s="34" t="s">
        <v>654</v>
      </c>
      <c r="G108" s="34" t="s">
        <v>227</v>
      </c>
      <c r="H108" s="34" t="s">
        <v>73</v>
      </c>
      <c r="I108" s="34" t="s">
        <v>77</v>
      </c>
      <c r="J108" s="34" t="s">
        <v>228</v>
      </c>
      <c r="K108" s="34" t="s">
        <v>236</v>
      </c>
      <c r="L108" s="34" t="s">
        <v>230</v>
      </c>
      <c r="M108" s="34" t="s">
        <v>237</v>
      </c>
      <c r="N108" s="34" t="str">
        <f aca="false">"Sector "&amp;VALUE(MID(D108,13,2))</f>
        <v>Sector 8</v>
      </c>
      <c r="O108" s="34" t="str">
        <f aca="false">IF(Dashboard!$C$5="Ubicación técnica",N108,"Sector "&amp;VALUE(RIGHT(G108,2)))</f>
        <v>Sector 8</v>
      </c>
      <c r="P108" s="34" t="str">
        <f aca="false">IF(MID(D108,15,3)="SEL","Subestación eléctrica","Área de proceso")</f>
        <v>Área de proceso</v>
      </c>
      <c r="Q108" s="34" t="str">
        <f aca="false">MID(D108,13,5)&amp;"|"&amp;MID(D108,19,5)</f>
        <v>08CND|SALMD</v>
      </c>
      <c r="R108" s="34" t="str">
        <f aca="false">IF(P108="Subestación eléctrica",IFERROR(INDEX(cat_SubN,MATCH(Q108,cat_SubK,0)),"SIN CATALOGAR"),"ÁREA DE PROCESO")</f>
        <v>ÁREA DE PROCESO</v>
      </c>
      <c r="S108" s="34" t="str">
        <f aca="false">IF(H108="","SIN DATO",IFERROR(INDEX(cat_MarcaN,MATCH(H108,cat_MarcaO,0)),H108))</f>
        <v>SIEMENS</v>
      </c>
      <c r="T108" s="34" t="str">
        <f aca="false">IF(I108="","SIN DATO",IFERROR(INDEX(cat_ModN,MATCH(I108,cat_ModO,0)),I108))</f>
        <v>7SR5711</v>
      </c>
      <c r="U108" s="34" t="str">
        <f aca="false">IF(I108="","",IFERROR(INDEX(cat_ModG,MATCH(I108,cat_ModO,0)),"No"))</f>
        <v>No</v>
      </c>
      <c r="V108" s="34" t="str">
        <f aca="false">IF(J108="","SIN DATO",IFERROR(INDEX(cat_FunN,MATCH(J108,cat_FunO,0)),J108))</f>
        <v>Protección y medición</v>
      </c>
      <c r="W108" s="34" t="str">
        <f aca="false">IF(OR(S108="SIN DATO",T108="SIN DATO"),"No","Sí")</f>
        <v>Sí</v>
      </c>
    </row>
    <row r="109" customFormat="false" ht="15" hidden="false" customHeight="false" outlineLevel="0" collapsed="false">
      <c r="A109" s="34" t="s">
        <v>671</v>
      </c>
      <c r="B109" s="34" t="s">
        <v>672</v>
      </c>
      <c r="C109" s="34" t="s">
        <v>673</v>
      </c>
      <c r="D109" s="34" t="s">
        <v>674</v>
      </c>
      <c r="E109" s="34" t="s">
        <v>113</v>
      </c>
      <c r="F109" s="34" t="s">
        <v>675</v>
      </c>
      <c r="G109" s="34" t="s">
        <v>676</v>
      </c>
      <c r="H109" s="34" t="s">
        <v>55</v>
      </c>
      <c r="I109" s="34" t="s">
        <v>58</v>
      </c>
      <c r="J109" s="34" t="s">
        <v>58</v>
      </c>
      <c r="K109" s="34" t="s">
        <v>229</v>
      </c>
      <c r="L109" s="34" t="s">
        <v>230</v>
      </c>
      <c r="M109" s="34" t="s">
        <v>344</v>
      </c>
      <c r="N109" s="34" t="str">
        <f aca="false">"Sector "&amp;VALUE(MID(D109,13,2))</f>
        <v>Sector 2</v>
      </c>
      <c r="O109" s="34" t="str">
        <f aca="false">IF(Dashboard!$C$5="Ubicación técnica",N109,"Sector "&amp;VALUE(RIGHT(G109,2)))</f>
        <v>Sector 2</v>
      </c>
      <c r="P109" s="34" t="str">
        <f aca="false">IF(MID(D109,15,3)="SEL","Subestación eléctrica","Área de proceso")</f>
        <v>Subestación eléctrica</v>
      </c>
      <c r="Q109" s="34" t="str">
        <f aca="false">MID(D109,13,5)&amp;"|"&amp;MID(D109,19,5)</f>
        <v>02SEL|S15_1</v>
      </c>
      <c r="R109" s="34" t="str">
        <f aca="false">IF(P109="Subestación eléctrica",IFERROR(INDEX(cat_SubN,MATCH(Q109,cat_SubK,0)),"SIN CATALOGAR"),"ÁREA DE PROCESO")</f>
        <v>SE-15-1</v>
      </c>
      <c r="S109" s="34" t="str">
        <f aca="false">IF(H109="","SIN DATO",IFERROR(INDEX(cat_MarcaN,MATCH(H109,cat_MarcaO,0)),H109))</f>
        <v>SEL</v>
      </c>
      <c r="T109" s="34" t="str">
        <f aca="false">IF(I109="","SIN DATO",IFERROR(INDEX(cat_ModN,MATCH(I109,cat_ModO,0)),I109))</f>
        <v>MEDICION</v>
      </c>
      <c r="U109" s="34" t="str">
        <f aca="false">IF(I109="","",IFERROR(INDEX(cat_ModG,MATCH(I109,cat_ModO,0)),"No"))</f>
        <v>Sí</v>
      </c>
      <c r="V109" s="34" t="str">
        <f aca="false">IF(J109="","SIN DATO",IFERROR(INDEX(cat_FunN,MATCH(J109,cat_FunO,0)),J109))</f>
        <v>Medición</v>
      </c>
      <c r="W109" s="34" t="str">
        <f aca="false">IF(OR(S109="SIN DATO",T109="SIN DATO"),"No","Sí")</f>
        <v>Sí</v>
      </c>
    </row>
    <row r="110" customFormat="false" ht="15" hidden="false" customHeight="false" outlineLevel="0" collapsed="false">
      <c r="A110" s="34" t="s">
        <v>677</v>
      </c>
      <c r="B110" s="34" t="s">
        <v>678</v>
      </c>
      <c r="C110" s="34" t="s">
        <v>679</v>
      </c>
      <c r="D110" s="34" t="s">
        <v>680</v>
      </c>
      <c r="E110" s="34" t="s">
        <v>113</v>
      </c>
      <c r="F110" s="34" t="s">
        <v>675</v>
      </c>
      <c r="G110" s="34" t="s">
        <v>676</v>
      </c>
      <c r="H110" s="34" t="s">
        <v>34</v>
      </c>
      <c r="I110" s="34" t="s">
        <v>51</v>
      </c>
      <c r="J110" s="34" t="s">
        <v>681</v>
      </c>
      <c r="K110" s="34" t="s">
        <v>229</v>
      </c>
      <c r="L110" s="34" t="s">
        <v>230</v>
      </c>
      <c r="M110" s="34" t="s">
        <v>682</v>
      </c>
      <c r="N110" s="34" t="str">
        <f aca="false">"Sector "&amp;VALUE(MID(D110,13,2))</f>
        <v>Sector 2</v>
      </c>
      <c r="O110" s="34" t="str">
        <f aca="false">IF(Dashboard!$C$5="Ubicación técnica",N110,"Sector "&amp;VALUE(RIGHT(G110,2)))</f>
        <v>Sector 2</v>
      </c>
      <c r="P110" s="34" t="str">
        <f aca="false">IF(MID(D110,15,3)="SEL","Subestación eléctrica","Área de proceso")</f>
        <v>Subestación eléctrica</v>
      </c>
      <c r="Q110" s="34" t="str">
        <f aca="false">MID(D110,13,5)&amp;"|"&amp;MID(D110,19,5)</f>
        <v>02SEL|S15_1</v>
      </c>
      <c r="R110" s="34" t="str">
        <f aca="false">IF(P110="Subestación eléctrica",IFERROR(INDEX(cat_SubN,MATCH(Q110,cat_SubK,0)),"SIN CATALOGAR"),"ÁREA DE PROCESO")</f>
        <v>SE-15-1</v>
      </c>
      <c r="S110" s="34" t="str">
        <f aca="false">IF(H110="","SIN DATO",IFERROR(INDEX(cat_MarcaN,MATCH(H110,cat_MarcaO,0)),H110))</f>
        <v>ABB</v>
      </c>
      <c r="T110" s="34" t="str">
        <f aca="false">IF(I110="","SIN DATO",IFERROR(INDEX(cat_ModN,MATCH(I110,cat_ModO,0)),I110))</f>
        <v>PROTECCION ARCO</v>
      </c>
      <c r="U110" s="34" t="str">
        <f aca="false">IF(I110="","",IFERROR(INDEX(cat_ModG,MATCH(I110,cat_ModO,0)),"No"))</f>
        <v>Sí</v>
      </c>
      <c r="V110" s="34" t="str">
        <f aca="false">IF(J110="","SIN DATO",IFERROR(INDEX(cat_FunN,MATCH(J110,cat_FunO,0)),J110))</f>
        <v>Protección</v>
      </c>
      <c r="W110" s="34" t="str">
        <f aca="false">IF(OR(S110="SIN DATO",T110="SIN DATO"),"No","Sí")</f>
        <v>Sí</v>
      </c>
    </row>
    <row r="111" customFormat="false" ht="15" hidden="false" customHeight="false" outlineLevel="0" collapsed="false">
      <c r="A111" s="34" t="s">
        <v>683</v>
      </c>
      <c r="B111" s="34" t="s">
        <v>684</v>
      </c>
      <c r="C111" s="34" t="s">
        <v>685</v>
      </c>
      <c r="D111" s="34" t="s">
        <v>680</v>
      </c>
      <c r="E111" s="34" t="s">
        <v>113</v>
      </c>
      <c r="F111" s="34" t="s">
        <v>675</v>
      </c>
      <c r="G111" s="34" t="s">
        <v>676</v>
      </c>
      <c r="H111" s="34" t="s">
        <v>34</v>
      </c>
      <c r="I111" s="34" t="s">
        <v>46</v>
      </c>
      <c r="J111" s="34" t="s">
        <v>228</v>
      </c>
      <c r="K111" s="34" t="s">
        <v>229</v>
      </c>
      <c r="L111" s="34" t="s">
        <v>230</v>
      </c>
      <c r="M111" s="34" t="s">
        <v>231</v>
      </c>
      <c r="N111" s="34" t="str">
        <f aca="false">"Sector "&amp;VALUE(MID(D111,13,2))</f>
        <v>Sector 2</v>
      </c>
      <c r="O111" s="34" t="str">
        <f aca="false">IF(Dashboard!$C$5="Ubicación técnica",N111,"Sector "&amp;VALUE(RIGHT(G111,2)))</f>
        <v>Sector 2</v>
      </c>
      <c r="P111" s="34" t="str">
        <f aca="false">IF(MID(D111,15,3)="SEL","Subestación eléctrica","Área de proceso")</f>
        <v>Subestación eléctrica</v>
      </c>
      <c r="Q111" s="34" t="str">
        <f aca="false">MID(D111,13,5)&amp;"|"&amp;MID(D111,19,5)</f>
        <v>02SEL|S15_1</v>
      </c>
      <c r="R111" s="34" t="str">
        <f aca="false">IF(P111="Subestación eléctrica",IFERROR(INDEX(cat_SubN,MATCH(Q111,cat_SubK,0)),"SIN CATALOGAR"),"ÁREA DE PROCESO")</f>
        <v>SE-15-1</v>
      </c>
      <c r="S111" s="34" t="str">
        <f aca="false">IF(H111="","SIN DATO",IFERROR(INDEX(cat_MarcaN,MATCH(H111,cat_MarcaO,0)),H111))</f>
        <v>ABB</v>
      </c>
      <c r="T111" s="34" t="str">
        <f aca="false">IF(I111="","SIN DATO",IFERROR(INDEX(cat_ModN,MATCH(I111,cat_ModO,0)),I111))</f>
        <v>1ATBBABBNEC5BNN11G</v>
      </c>
      <c r="U111" s="34" t="str">
        <f aca="false">IF(I111="","",IFERROR(INDEX(cat_ModG,MATCH(I111,cat_ModO,0)),"No"))</f>
        <v>No</v>
      </c>
      <c r="V111" s="34" t="str">
        <f aca="false">IF(J111="","SIN DATO",IFERROR(INDEX(cat_FunN,MATCH(J111,cat_FunO,0)),J111))</f>
        <v>Protección y medición</v>
      </c>
      <c r="W111" s="34" t="str">
        <f aca="false">IF(OR(S111="SIN DATO",T111="SIN DATO"),"No","Sí")</f>
        <v>Sí</v>
      </c>
    </row>
    <row r="112" customFormat="false" ht="15" hidden="false" customHeight="false" outlineLevel="0" collapsed="false">
      <c r="A112" s="34" t="s">
        <v>686</v>
      </c>
      <c r="B112" s="34" t="s">
        <v>687</v>
      </c>
      <c r="C112" s="34" t="s">
        <v>688</v>
      </c>
      <c r="D112" s="34" t="s">
        <v>689</v>
      </c>
      <c r="E112" s="34" t="s">
        <v>113</v>
      </c>
      <c r="F112" s="34" t="s">
        <v>675</v>
      </c>
      <c r="G112" s="34" t="s">
        <v>676</v>
      </c>
      <c r="H112" s="34" t="s">
        <v>34</v>
      </c>
      <c r="I112" s="34" t="s">
        <v>46</v>
      </c>
      <c r="J112" s="34" t="s">
        <v>228</v>
      </c>
      <c r="K112" s="34" t="s">
        <v>229</v>
      </c>
      <c r="L112" s="34" t="s">
        <v>230</v>
      </c>
      <c r="M112" s="34" t="s">
        <v>231</v>
      </c>
      <c r="N112" s="34" t="str">
        <f aca="false">"Sector "&amp;VALUE(MID(D112,13,2))</f>
        <v>Sector 2</v>
      </c>
      <c r="O112" s="34" t="str">
        <f aca="false">IF(Dashboard!$C$5="Ubicación técnica",N112,"Sector "&amp;VALUE(RIGHT(G112,2)))</f>
        <v>Sector 2</v>
      </c>
      <c r="P112" s="34" t="str">
        <f aca="false">IF(MID(D112,15,3)="SEL","Subestación eléctrica","Área de proceso")</f>
        <v>Área de proceso</v>
      </c>
      <c r="Q112" s="34" t="str">
        <f aca="false">MID(D112,13,5)&amp;"|"&amp;MID(D112,19,5)</f>
        <v>02COR|SBOCA</v>
      </c>
      <c r="R112" s="34" t="str">
        <f aca="false">IF(P112="Subestación eléctrica",IFERROR(INDEX(cat_SubN,MATCH(Q112,cat_SubK,0)),"SIN CATALOGAR"),"ÁREA DE PROCESO")</f>
        <v>ÁREA DE PROCESO</v>
      </c>
      <c r="S112" s="34" t="str">
        <f aca="false">IF(H112="","SIN DATO",IFERROR(INDEX(cat_MarcaN,MATCH(H112,cat_MarcaO,0)),H112))</f>
        <v>ABB</v>
      </c>
      <c r="T112" s="34" t="str">
        <f aca="false">IF(I112="","SIN DATO",IFERROR(INDEX(cat_ModN,MATCH(I112,cat_ModO,0)),I112))</f>
        <v>1ATBBABBNEC5BNN11G</v>
      </c>
      <c r="U112" s="34" t="str">
        <f aca="false">IF(I112="","",IFERROR(INDEX(cat_ModG,MATCH(I112,cat_ModO,0)),"No"))</f>
        <v>No</v>
      </c>
      <c r="V112" s="34" t="str">
        <f aca="false">IF(J112="","SIN DATO",IFERROR(INDEX(cat_FunN,MATCH(J112,cat_FunO,0)),J112))</f>
        <v>Protección y medición</v>
      </c>
      <c r="W112" s="34" t="str">
        <f aca="false">IF(OR(S112="SIN DATO",T112="SIN DATO"),"No","Sí")</f>
        <v>Sí</v>
      </c>
    </row>
    <row r="113" customFormat="false" ht="15" hidden="false" customHeight="false" outlineLevel="0" collapsed="false">
      <c r="A113" s="34" t="s">
        <v>690</v>
      </c>
      <c r="B113" s="34" t="s">
        <v>691</v>
      </c>
      <c r="C113" s="34" t="s">
        <v>692</v>
      </c>
      <c r="D113" s="34" t="s">
        <v>689</v>
      </c>
      <c r="E113" s="34" t="s">
        <v>113</v>
      </c>
      <c r="F113" s="34" t="s">
        <v>675</v>
      </c>
      <c r="G113" s="34" t="s">
        <v>676</v>
      </c>
      <c r="H113" s="34" t="s">
        <v>34</v>
      </c>
      <c r="I113" s="34" t="s">
        <v>36</v>
      </c>
      <c r="J113" s="34" t="s">
        <v>228</v>
      </c>
      <c r="K113" s="34" t="s">
        <v>229</v>
      </c>
      <c r="L113" s="34" t="s">
        <v>230</v>
      </c>
      <c r="M113" s="34" t="s">
        <v>231</v>
      </c>
      <c r="N113" s="34" t="str">
        <f aca="false">"Sector "&amp;VALUE(MID(D113,13,2))</f>
        <v>Sector 2</v>
      </c>
      <c r="O113" s="34" t="str">
        <f aca="false">IF(Dashboard!$C$5="Ubicación técnica",N113,"Sector "&amp;VALUE(RIGHT(G113,2)))</f>
        <v>Sector 2</v>
      </c>
      <c r="P113" s="34" t="str">
        <f aca="false">IF(MID(D113,15,3)="SEL","Subestación eléctrica","Área de proceso")</f>
        <v>Área de proceso</v>
      </c>
      <c r="Q113" s="34" t="str">
        <f aca="false">MID(D113,13,5)&amp;"|"&amp;MID(D113,19,5)</f>
        <v>02COR|SBOCA</v>
      </c>
      <c r="R113" s="34" t="str">
        <f aca="false">IF(P113="Subestación eléctrica",IFERROR(INDEX(cat_SubN,MATCH(Q113,cat_SubK,0)),"SIN CATALOGAR"),"ÁREA DE PROCESO")</f>
        <v>ÁREA DE PROCESO</v>
      </c>
      <c r="S113" s="34" t="str">
        <f aca="false">IF(H113="","SIN DATO",IFERROR(INDEX(cat_MarcaN,MATCH(H113,cat_MarcaO,0)),H113))</f>
        <v>ABB</v>
      </c>
      <c r="T113" s="34" t="str">
        <f aca="false">IF(I113="","SIN DATO",IFERROR(INDEX(cat_ModN,MATCH(I113,cat_ModO,0)),I113))</f>
        <v>1AFFAEAGNEC5BNA11G</v>
      </c>
      <c r="U113" s="34" t="str">
        <f aca="false">IF(I113="","",IFERROR(INDEX(cat_ModG,MATCH(I113,cat_ModO,0)),"No"))</f>
        <v>No</v>
      </c>
      <c r="V113" s="34" t="str">
        <f aca="false">IF(J113="","SIN DATO",IFERROR(INDEX(cat_FunN,MATCH(J113,cat_FunO,0)),J113))</f>
        <v>Protección y medición</v>
      </c>
      <c r="W113" s="34" t="str">
        <f aca="false">IF(OR(S113="SIN DATO",T113="SIN DATO"),"No","Sí")</f>
        <v>Sí</v>
      </c>
    </row>
    <row r="114" customFormat="false" ht="15" hidden="false" customHeight="false" outlineLevel="0" collapsed="false">
      <c r="A114" s="34" t="s">
        <v>693</v>
      </c>
      <c r="B114" s="34" t="s">
        <v>694</v>
      </c>
      <c r="C114" s="34" t="s">
        <v>695</v>
      </c>
      <c r="D114" s="34" t="s">
        <v>696</v>
      </c>
      <c r="E114" s="34" t="s">
        <v>113</v>
      </c>
      <c r="F114" s="34" t="s">
        <v>675</v>
      </c>
      <c r="G114" s="34" t="s">
        <v>676</v>
      </c>
      <c r="H114" s="34" t="s">
        <v>34</v>
      </c>
      <c r="I114" s="34" t="s">
        <v>38</v>
      </c>
      <c r="J114" s="34" t="s">
        <v>228</v>
      </c>
      <c r="K114" s="34" t="s">
        <v>229</v>
      </c>
      <c r="L114" s="34" t="s">
        <v>230</v>
      </c>
      <c r="M114" s="34" t="s">
        <v>231</v>
      </c>
      <c r="N114" s="34" t="str">
        <f aca="false">"Sector "&amp;VALUE(MID(D114,13,2))</f>
        <v>Sector 2</v>
      </c>
      <c r="O114" s="34" t="str">
        <f aca="false">IF(Dashboard!$C$5="Ubicación técnica",N114,"Sector "&amp;VALUE(RIGHT(G114,2)))</f>
        <v>Sector 2</v>
      </c>
      <c r="P114" s="34" t="str">
        <f aca="false">IF(MID(D114,15,3)="SEL","Subestación eléctrica","Área de proceso")</f>
        <v>Área de proceso</v>
      </c>
      <c r="Q114" s="34" t="str">
        <f aca="false">MID(D114,13,5)&amp;"|"&amp;MID(D114,19,5)</f>
        <v>02COR|SREAC</v>
      </c>
      <c r="R114" s="34" t="str">
        <f aca="false">IF(P114="Subestación eléctrica",IFERROR(INDEX(cat_SubN,MATCH(Q114,cat_SubK,0)),"SIN CATALOGAR"),"ÁREA DE PROCESO")</f>
        <v>ÁREA DE PROCESO</v>
      </c>
      <c r="S114" s="34" t="str">
        <f aca="false">IF(H114="","SIN DATO",IFERROR(INDEX(cat_MarcaN,MATCH(H114,cat_MarcaO,0)),H114))</f>
        <v>ABB</v>
      </c>
      <c r="T114" s="34" t="str">
        <f aca="false">IF(I114="","SIN DATO",IFERROR(INDEX(cat_ModN,MATCH(I114,cat_ModO,0)),I114))</f>
        <v>1AMEBCADNEC5BNN11G</v>
      </c>
      <c r="U114" s="34" t="str">
        <f aca="false">IF(I114="","",IFERROR(INDEX(cat_ModG,MATCH(I114,cat_ModO,0)),"No"))</f>
        <v>No</v>
      </c>
      <c r="V114" s="34" t="str">
        <f aca="false">IF(J114="","SIN DATO",IFERROR(INDEX(cat_FunN,MATCH(J114,cat_FunO,0)),J114))</f>
        <v>Protección y medición</v>
      </c>
      <c r="W114" s="34" t="str">
        <f aca="false">IF(OR(S114="SIN DATO",T114="SIN DATO"),"No","Sí")</f>
        <v>Sí</v>
      </c>
    </row>
    <row r="115" customFormat="false" ht="15" hidden="false" customHeight="false" outlineLevel="0" collapsed="false">
      <c r="A115" s="34" t="s">
        <v>697</v>
      </c>
      <c r="B115" s="34" t="s">
        <v>698</v>
      </c>
      <c r="C115" s="34" t="s">
        <v>699</v>
      </c>
      <c r="D115" s="34" t="s">
        <v>700</v>
      </c>
      <c r="E115" s="34" t="s">
        <v>113</v>
      </c>
      <c r="F115" s="34" t="s">
        <v>675</v>
      </c>
      <c r="G115" s="34" t="s">
        <v>676</v>
      </c>
      <c r="H115" s="34" t="s">
        <v>34</v>
      </c>
      <c r="I115" s="34" t="s">
        <v>38</v>
      </c>
      <c r="J115" s="34" t="s">
        <v>228</v>
      </c>
      <c r="K115" s="34" t="s">
        <v>229</v>
      </c>
      <c r="L115" s="34" t="s">
        <v>230</v>
      </c>
      <c r="M115" s="34" t="s">
        <v>231</v>
      </c>
      <c r="N115" s="34" t="str">
        <f aca="false">"Sector "&amp;VALUE(MID(D115,13,2))</f>
        <v>Sector 2</v>
      </c>
      <c r="O115" s="34" t="str">
        <f aca="false">IF(Dashboard!$C$5="Ubicación técnica",N115,"Sector "&amp;VALUE(RIGHT(G115,2)))</f>
        <v>Sector 2</v>
      </c>
      <c r="P115" s="34" t="str">
        <f aca="false">IF(MID(D115,15,3)="SEL","Subestación eléctrica","Área de proceso")</f>
        <v>Área de proceso</v>
      </c>
      <c r="Q115" s="34" t="str">
        <f aca="false">MID(D115,13,5)&amp;"|"&amp;MID(D115,19,5)</f>
        <v>02COR|SBOCA</v>
      </c>
      <c r="R115" s="34" t="str">
        <f aca="false">IF(P115="Subestación eléctrica",IFERROR(INDEX(cat_SubN,MATCH(Q115,cat_SubK,0)),"SIN CATALOGAR"),"ÁREA DE PROCESO")</f>
        <v>ÁREA DE PROCESO</v>
      </c>
      <c r="S115" s="34" t="str">
        <f aca="false">IF(H115="","SIN DATO",IFERROR(INDEX(cat_MarcaN,MATCH(H115,cat_MarcaO,0)),H115))</f>
        <v>ABB</v>
      </c>
      <c r="T115" s="34" t="str">
        <f aca="false">IF(I115="","SIN DATO",IFERROR(INDEX(cat_ModN,MATCH(I115,cat_ModO,0)),I115))</f>
        <v>1AMEBCADNEC5BNN11G</v>
      </c>
      <c r="U115" s="34" t="str">
        <f aca="false">IF(I115="","",IFERROR(INDEX(cat_ModG,MATCH(I115,cat_ModO,0)),"No"))</f>
        <v>No</v>
      </c>
      <c r="V115" s="34" t="str">
        <f aca="false">IF(J115="","SIN DATO",IFERROR(INDEX(cat_FunN,MATCH(J115,cat_FunO,0)),J115))</f>
        <v>Protección y medición</v>
      </c>
      <c r="W115" s="34" t="str">
        <f aca="false">IF(OR(S115="SIN DATO",T115="SIN DATO"),"No","Sí")</f>
        <v>Sí</v>
      </c>
    </row>
    <row r="116" customFormat="false" ht="15" hidden="false" customHeight="false" outlineLevel="0" collapsed="false">
      <c r="A116" s="34" t="s">
        <v>701</v>
      </c>
      <c r="B116" s="34" t="s">
        <v>702</v>
      </c>
      <c r="C116" s="34" t="s">
        <v>703</v>
      </c>
      <c r="D116" s="34" t="s">
        <v>704</v>
      </c>
      <c r="E116" s="34" t="s">
        <v>113</v>
      </c>
      <c r="F116" s="34" t="s">
        <v>675</v>
      </c>
      <c r="G116" s="34" t="s">
        <v>676</v>
      </c>
      <c r="H116" s="34" t="s">
        <v>34</v>
      </c>
      <c r="I116" s="34" t="s">
        <v>38</v>
      </c>
      <c r="J116" s="34" t="s">
        <v>228</v>
      </c>
      <c r="K116" s="34" t="s">
        <v>229</v>
      </c>
      <c r="L116" s="34" t="s">
        <v>230</v>
      </c>
      <c r="M116" s="34" t="s">
        <v>231</v>
      </c>
      <c r="N116" s="34" t="str">
        <f aca="false">"Sector "&amp;VALUE(MID(D116,13,2))</f>
        <v>Sector 2</v>
      </c>
      <c r="O116" s="34" t="str">
        <f aca="false">IF(Dashboard!$C$5="Ubicación técnica",N116,"Sector "&amp;VALUE(RIGHT(G116,2)))</f>
        <v>Sector 2</v>
      </c>
      <c r="P116" s="34" t="str">
        <f aca="false">IF(MID(D116,15,3)="SEL","Subestación eléctrica","Área de proceso")</f>
        <v>Área de proceso</v>
      </c>
      <c r="Q116" s="34" t="str">
        <f aca="false">MID(D116,13,5)&amp;"|"&amp;MID(D116,19,5)</f>
        <v>02COR|SBOCA</v>
      </c>
      <c r="R116" s="34" t="str">
        <f aca="false">IF(P116="Subestación eléctrica",IFERROR(INDEX(cat_SubN,MATCH(Q116,cat_SubK,0)),"SIN CATALOGAR"),"ÁREA DE PROCESO")</f>
        <v>ÁREA DE PROCESO</v>
      </c>
      <c r="S116" s="34" t="str">
        <f aca="false">IF(H116="","SIN DATO",IFERROR(INDEX(cat_MarcaN,MATCH(H116,cat_MarcaO,0)),H116))</f>
        <v>ABB</v>
      </c>
      <c r="T116" s="34" t="str">
        <f aca="false">IF(I116="","SIN DATO",IFERROR(INDEX(cat_ModN,MATCH(I116,cat_ModO,0)),I116))</f>
        <v>1AMEBCADNEC5BNN11G</v>
      </c>
      <c r="U116" s="34" t="str">
        <f aca="false">IF(I116="","",IFERROR(INDEX(cat_ModG,MATCH(I116,cat_ModO,0)),"No"))</f>
        <v>No</v>
      </c>
      <c r="V116" s="34" t="str">
        <f aca="false">IF(J116="","SIN DATO",IFERROR(INDEX(cat_FunN,MATCH(J116,cat_FunO,0)),J116))</f>
        <v>Protección y medición</v>
      </c>
      <c r="W116" s="34" t="str">
        <f aca="false">IF(OR(S116="SIN DATO",T116="SIN DATO"),"No","Sí")</f>
        <v>Sí</v>
      </c>
    </row>
    <row r="117" customFormat="false" ht="15" hidden="false" customHeight="false" outlineLevel="0" collapsed="false">
      <c r="A117" s="34" t="s">
        <v>705</v>
      </c>
      <c r="B117" s="34" t="s">
        <v>706</v>
      </c>
      <c r="C117" s="34" t="s">
        <v>707</v>
      </c>
      <c r="D117" s="34" t="s">
        <v>708</v>
      </c>
      <c r="E117" s="34" t="s">
        <v>113</v>
      </c>
      <c r="F117" s="34" t="s">
        <v>675</v>
      </c>
      <c r="G117" s="34" t="s">
        <v>676</v>
      </c>
      <c r="H117" s="34" t="s">
        <v>34</v>
      </c>
      <c r="I117" s="34" t="s">
        <v>38</v>
      </c>
      <c r="J117" s="34" t="s">
        <v>228</v>
      </c>
      <c r="K117" s="34" t="s">
        <v>229</v>
      </c>
      <c r="L117" s="34" t="s">
        <v>230</v>
      </c>
      <c r="M117" s="34" t="s">
        <v>231</v>
      </c>
      <c r="N117" s="34" t="str">
        <f aca="false">"Sector "&amp;VALUE(MID(D117,13,2))</f>
        <v>Sector 2</v>
      </c>
      <c r="O117" s="34" t="str">
        <f aca="false">IF(Dashboard!$C$5="Ubicación técnica",N117,"Sector "&amp;VALUE(RIGHT(G117,2)))</f>
        <v>Sector 2</v>
      </c>
      <c r="P117" s="34" t="str">
        <f aca="false">IF(MID(D117,15,3)="SEL","Subestación eléctrica","Área de proceso")</f>
        <v>Área de proceso</v>
      </c>
      <c r="Q117" s="34" t="str">
        <f aca="false">MID(D117,13,5)&amp;"|"&amp;MID(D117,19,5)</f>
        <v>02COR|SBLOW</v>
      </c>
      <c r="R117" s="34" t="str">
        <f aca="false">IF(P117="Subestación eléctrica",IFERROR(INDEX(cat_SubN,MATCH(Q117,cat_SubK,0)),"SIN CATALOGAR"),"ÁREA DE PROCESO")</f>
        <v>ÁREA DE PROCESO</v>
      </c>
      <c r="S117" s="34" t="str">
        <f aca="false">IF(H117="","SIN DATO",IFERROR(INDEX(cat_MarcaN,MATCH(H117,cat_MarcaO,0)),H117))</f>
        <v>ABB</v>
      </c>
      <c r="T117" s="34" t="str">
        <f aca="false">IF(I117="","SIN DATO",IFERROR(INDEX(cat_ModN,MATCH(I117,cat_ModO,0)),I117))</f>
        <v>1AMEBCADNEC5BNN11G</v>
      </c>
      <c r="U117" s="34" t="str">
        <f aca="false">IF(I117="","",IFERROR(INDEX(cat_ModG,MATCH(I117,cat_ModO,0)),"No"))</f>
        <v>No</v>
      </c>
      <c r="V117" s="34" t="str">
        <f aca="false">IF(J117="","SIN DATO",IFERROR(INDEX(cat_FunN,MATCH(J117,cat_FunO,0)),J117))</f>
        <v>Protección y medición</v>
      </c>
      <c r="W117" s="34" t="str">
        <f aca="false">IF(OR(S117="SIN DATO",T117="SIN DATO"),"No","Sí")</f>
        <v>Sí</v>
      </c>
    </row>
    <row r="118" customFormat="false" ht="15" hidden="false" customHeight="false" outlineLevel="0" collapsed="false">
      <c r="A118" s="34" t="s">
        <v>709</v>
      </c>
      <c r="B118" s="34" t="s">
        <v>710</v>
      </c>
      <c r="C118" s="34" t="s">
        <v>711</v>
      </c>
      <c r="D118" s="34" t="s">
        <v>712</v>
      </c>
      <c r="E118" s="34" t="s">
        <v>113</v>
      </c>
      <c r="F118" s="34" t="s">
        <v>675</v>
      </c>
      <c r="G118" s="34" t="s">
        <v>676</v>
      </c>
      <c r="H118" s="34" t="s">
        <v>34</v>
      </c>
      <c r="I118" s="34" t="s">
        <v>38</v>
      </c>
      <c r="J118" s="34" t="s">
        <v>228</v>
      </c>
      <c r="K118" s="34" t="s">
        <v>229</v>
      </c>
      <c r="L118" s="34" t="s">
        <v>230</v>
      </c>
      <c r="M118" s="34" t="s">
        <v>231</v>
      </c>
      <c r="N118" s="34" t="str">
        <f aca="false">"Sector "&amp;VALUE(MID(D118,13,2))</f>
        <v>Sector 2</v>
      </c>
      <c r="O118" s="34" t="str">
        <f aca="false">IF(Dashboard!$C$5="Ubicación técnica",N118,"Sector "&amp;VALUE(RIGHT(G118,2)))</f>
        <v>Sector 2</v>
      </c>
      <c r="P118" s="34" t="str">
        <f aca="false">IF(MID(D118,15,3)="SEL","Subestación eléctrica","Área de proceso")</f>
        <v>Área de proceso</v>
      </c>
      <c r="Q118" s="34" t="str">
        <f aca="false">MID(D118,13,5)&amp;"|"&amp;MID(D118,19,5)</f>
        <v>02COR|SBLOW</v>
      </c>
      <c r="R118" s="34" t="str">
        <f aca="false">IF(P118="Subestación eléctrica",IFERROR(INDEX(cat_SubN,MATCH(Q118,cat_SubK,0)),"SIN CATALOGAR"),"ÁREA DE PROCESO")</f>
        <v>ÁREA DE PROCESO</v>
      </c>
      <c r="S118" s="34" t="str">
        <f aca="false">IF(H118="","SIN DATO",IFERROR(INDEX(cat_MarcaN,MATCH(H118,cat_MarcaO,0)),H118))</f>
        <v>ABB</v>
      </c>
      <c r="T118" s="34" t="str">
        <f aca="false">IF(I118="","SIN DATO",IFERROR(INDEX(cat_ModN,MATCH(I118,cat_ModO,0)),I118))</f>
        <v>1AMEBCADNEC5BNN11G</v>
      </c>
      <c r="U118" s="34" t="str">
        <f aca="false">IF(I118="","",IFERROR(INDEX(cat_ModG,MATCH(I118,cat_ModO,0)),"No"))</f>
        <v>No</v>
      </c>
      <c r="V118" s="34" t="str">
        <f aca="false">IF(J118="","SIN DATO",IFERROR(INDEX(cat_FunN,MATCH(J118,cat_FunO,0)),J118))</f>
        <v>Protección y medición</v>
      </c>
      <c r="W118" s="34" t="str">
        <f aca="false">IF(OR(S118="SIN DATO",T118="SIN DATO"),"No","Sí")</f>
        <v>Sí</v>
      </c>
    </row>
    <row r="119" customFormat="false" ht="15" hidden="false" customHeight="false" outlineLevel="0" collapsed="false">
      <c r="A119" s="34" t="s">
        <v>713</v>
      </c>
      <c r="B119" s="34" t="s">
        <v>714</v>
      </c>
      <c r="C119" s="34" t="s">
        <v>715</v>
      </c>
      <c r="D119" s="34" t="s">
        <v>716</v>
      </c>
      <c r="E119" s="34" t="s">
        <v>113</v>
      </c>
      <c r="F119" s="34" t="s">
        <v>675</v>
      </c>
      <c r="G119" s="34" t="s">
        <v>676</v>
      </c>
      <c r="H119" s="34" t="s">
        <v>34</v>
      </c>
      <c r="I119" s="34" t="s">
        <v>36</v>
      </c>
      <c r="J119" s="34" t="s">
        <v>228</v>
      </c>
      <c r="K119" s="34" t="s">
        <v>229</v>
      </c>
      <c r="L119" s="34" t="s">
        <v>230</v>
      </c>
      <c r="M119" s="34" t="s">
        <v>231</v>
      </c>
      <c r="N119" s="34" t="str">
        <f aca="false">"Sector "&amp;VALUE(MID(D119,13,2))</f>
        <v>Sector 2</v>
      </c>
      <c r="O119" s="34" t="str">
        <f aca="false">IF(Dashboard!$C$5="Ubicación técnica",N119,"Sector "&amp;VALUE(RIGHT(G119,2)))</f>
        <v>Sector 2</v>
      </c>
      <c r="P119" s="34" t="str">
        <f aca="false">IF(MID(D119,15,3)="SEL","Subestación eléctrica","Área de proceso")</f>
        <v>Subestación eléctrica</v>
      </c>
      <c r="Q119" s="34" t="str">
        <f aca="false">MID(D119,13,5)&amp;"|"&amp;MID(D119,19,5)</f>
        <v>02SEL|S15_1</v>
      </c>
      <c r="R119" s="34" t="str">
        <f aca="false">IF(P119="Subestación eléctrica",IFERROR(INDEX(cat_SubN,MATCH(Q119,cat_SubK,0)),"SIN CATALOGAR"),"ÁREA DE PROCESO")</f>
        <v>SE-15-1</v>
      </c>
      <c r="S119" s="34" t="str">
        <f aca="false">IF(H119="","SIN DATO",IFERROR(INDEX(cat_MarcaN,MATCH(H119,cat_MarcaO,0)),H119))</f>
        <v>ABB</v>
      </c>
      <c r="T119" s="34" t="str">
        <f aca="false">IF(I119="","SIN DATO",IFERROR(INDEX(cat_ModN,MATCH(I119,cat_ModO,0)),I119))</f>
        <v>1AFFAEAGNEC5BNA11G</v>
      </c>
      <c r="U119" s="34" t="str">
        <f aca="false">IF(I119="","",IFERROR(INDEX(cat_ModG,MATCH(I119,cat_ModO,0)),"No"))</f>
        <v>No</v>
      </c>
      <c r="V119" s="34" t="str">
        <f aca="false">IF(J119="","SIN DATO",IFERROR(INDEX(cat_FunN,MATCH(J119,cat_FunO,0)),J119))</f>
        <v>Protección y medición</v>
      </c>
      <c r="W119" s="34" t="str">
        <f aca="false">IF(OR(S119="SIN DATO",T119="SIN DATO"),"No","Sí")</f>
        <v>Sí</v>
      </c>
    </row>
    <row r="120" customFormat="false" ht="15" hidden="false" customHeight="false" outlineLevel="0" collapsed="false">
      <c r="A120" s="34" t="s">
        <v>717</v>
      </c>
      <c r="B120" s="34" t="s">
        <v>718</v>
      </c>
      <c r="C120" s="34" t="s">
        <v>719</v>
      </c>
      <c r="D120" s="34" t="s">
        <v>720</v>
      </c>
      <c r="E120" s="34" t="s">
        <v>113</v>
      </c>
      <c r="F120" s="34" t="s">
        <v>675</v>
      </c>
      <c r="G120" s="34" t="s">
        <v>676</v>
      </c>
      <c r="H120" s="34" t="s">
        <v>34</v>
      </c>
      <c r="I120" s="34" t="s">
        <v>42</v>
      </c>
      <c r="J120" s="34" t="s">
        <v>681</v>
      </c>
      <c r="K120" s="34" t="s">
        <v>229</v>
      </c>
      <c r="L120" s="34" t="s">
        <v>230</v>
      </c>
      <c r="M120" s="34" t="s">
        <v>231</v>
      </c>
      <c r="N120" s="34" t="str">
        <f aca="false">"Sector "&amp;VALUE(MID(D120,13,2))</f>
        <v>Sector 2</v>
      </c>
      <c r="O120" s="34" t="str">
        <f aca="false">IF(Dashboard!$C$5="Ubicación técnica",N120,"Sector "&amp;VALUE(RIGHT(G120,2)))</f>
        <v>Sector 2</v>
      </c>
      <c r="P120" s="34" t="str">
        <f aca="false">IF(MID(D120,15,3)="SEL","Subestación eléctrica","Área de proceso")</f>
        <v>Área de proceso</v>
      </c>
      <c r="Q120" s="34" t="str">
        <f aca="false">MID(D120,13,5)&amp;"|"&amp;MID(D120,19,5)</f>
        <v>02COR|SREAC</v>
      </c>
      <c r="R120" s="34" t="str">
        <f aca="false">IF(P120="Subestación eléctrica",IFERROR(INDEX(cat_SubN,MATCH(Q120,cat_SubK,0)),"SIN CATALOGAR"),"ÁREA DE PROCESO")</f>
        <v>ÁREA DE PROCESO</v>
      </c>
      <c r="S120" s="34" t="str">
        <f aca="false">IF(H120="","SIN DATO",IFERROR(INDEX(cat_MarcaN,MATCH(H120,cat_MarcaO,0)),H120))</f>
        <v>ABB</v>
      </c>
      <c r="T120" s="34" t="str">
        <f aca="false">IF(I120="","SIN DATO",IFERROR(INDEX(cat_ModN,MATCH(I120,cat_ModO,0)),I120))</f>
        <v>1AFPAKAKNGC5BNN11G</v>
      </c>
      <c r="U120" s="34" t="str">
        <f aca="false">IF(I120="","",IFERROR(INDEX(cat_ModG,MATCH(I120,cat_ModO,0)),"No"))</f>
        <v>No</v>
      </c>
      <c r="V120" s="34" t="str">
        <f aca="false">IF(J120="","SIN DATO",IFERROR(INDEX(cat_FunN,MATCH(J120,cat_FunO,0)),J120))</f>
        <v>Protección</v>
      </c>
      <c r="W120" s="34" t="str">
        <f aca="false">IF(OR(S120="SIN DATO",T120="SIN DATO"),"No","Sí")</f>
        <v>Sí</v>
      </c>
    </row>
    <row r="121" customFormat="false" ht="15" hidden="false" customHeight="false" outlineLevel="0" collapsed="false">
      <c r="A121" s="34" t="s">
        <v>721</v>
      </c>
      <c r="B121" s="34" t="s">
        <v>722</v>
      </c>
      <c r="C121" s="34" t="s">
        <v>723</v>
      </c>
      <c r="D121" s="34" t="s">
        <v>696</v>
      </c>
      <c r="E121" s="34" t="s">
        <v>113</v>
      </c>
      <c r="F121" s="34" t="s">
        <v>675</v>
      </c>
      <c r="G121" s="34" t="s">
        <v>676</v>
      </c>
      <c r="H121" s="34" t="s">
        <v>34</v>
      </c>
      <c r="I121" s="34" t="s">
        <v>46</v>
      </c>
      <c r="J121" s="34" t="s">
        <v>228</v>
      </c>
      <c r="K121" s="34" t="s">
        <v>229</v>
      </c>
      <c r="L121" s="34" t="s">
        <v>230</v>
      </c>
      <c r="M121" s="34" t="s">
        <v>231</v>
      </c>
      <c r="N121" s="34" t="str">
        <f aca="false">"Sector "&amp;VALUE(MID(D121,13,2))</f>
        <v>Sector 2</v>
      </c>
      <c r="O121" s="34" t="str">
        <f aca="false">IF(Dashboard!$C$5="Ubicación técnica",N121,"Sector "&amp;VALUE(RIGHT(G121,2)))</f>
        <v>Sector 2</v>
      </c>
      <c r="P121" s="34" t="str">
        <f aca="false">IF(MID(D121,15,3)="SEL","Subestación eléctrica","Área de proceso")</f>
        <v>Área de proceso</v>
      </c>
      <c r="Q121" s="34" t="str">
        <f aca="false">MID(D121,13,5)&amp;"|"&amp;MID(D121,19,5)</f>
        <v>02COR|SREAC</v>
      </c>
      <c r="R121" s="34" t="str">
        <f aca="false">IF(P121="Subestación eléctrica",IFERROR(INDEX(cat_SubN,MATCH(Q121,cat_SubK,0)),"SIN CATALOGAR"),"ÁREA DE PROCESO")</f>
        <v>ÁREA DE PROCESO</v>
      </c>
      <c r="S121" s="34" t="str">
        <f aca="false">IF(H121="","SIN DATO",IFERROR(INDEX(cat_MarcaN,MATCH(H121,cat_MarcaO,0)),H121))</f>
        <v>ABB</v>
      </c>
      <c r="T121" s="34" t="str">
        <f aca="false">IF(I121="","SIN DATO",IFERROR(INDEX(cat_ModN,MATCH(I121,cat_ModO,0)),I121))</f>
        <v>1ATBBABBNEC5BNN11G</v>
      </c>
      <c r="U121" s="34" t="str">
        <f aca="false">IF(I121="","",IFERROR(INDEX(cat_ModG,MATCH(I121,cat_ModO,0)),"No"))</f>
        <v>No</v>
      </c>
      <c r="V121" s="34" t="str">
        <f aca="false">IF(J121="","SIN DATO",IFERROR(INDEX(cat_FunN,MATCH(J121,cat_FunO,0)),J121))</f>
        <v>Protección y medición</v>
      </c>
      <c r="W121" s="34" t="str">
        <f aca="false">IF(OR(S121="SIN DATO",T121="SIN DATO"),"No","Sí")</f>
        <v>Sí</v>
      </c>
    </row>
    <row r="122" customFormat="false" ht="15" hidden="false" customHeight="false" outlineLevel="0" collapsed="false">
      <c r="A122" s="34" t="s">
        <v>724</v>
      </c>
      <c r="B122" s="34" t="s">
        <v>725</v>
      </c>
      <c r="C122" s="34" t="s">
        <v>726</v>
      </c>
      <c r="D122" s="34" t="s">
        <v>727</v>
      </c>
      <c r="E122" s="34" t="s">
        <v>113</v>
      </c>
      <c r="F122" s="34" t="s">
        <v>675</v>
      </c>
      <c r="G122" s="34" t="s">
        <v>676</v>
      </c>
      <c r="H122" s="34" t="s">
        <v>34</v>
      </c>
      <c r="I122" s="34" t="s">
        <v>46</v>
      </c>
      <c r="J122" s="34" t="s">
        <v>228</v>
      </c>
      <c r="K122" s="34" t="s">
        <v>229</v>
      </c>
      <c r="L122" s="34" t="s">
        <v>230</v>
      </c>
      <c r="M122" s="34" t="s">
        <v>231</v>
      </c>
      <c r="N122" s="34" t="str">
        <f aca="false">"Sector "&amp;VALUE(MID(D122,13,2))</f>
        <v>Sector 2</v>
      </c>
      <c r="O122" s="34" t="str">
        <f aca="false">IF(Dashboard!$C$5="Ubicación técnica",N122,"Sector "&amp;VALUE(RIGHT(G122,2)))</f>
        <v>Sector 2</v>
      </c>
      <c r="P122" s="34" t="str">
        <f aca="false">IF(MID(D122,15,3)="SEL","Subestación eléctrica","Área de proceso")</f>
        <v>Área de proceso</v>
      </c>
      <c r="Q122" s="34" t="str">
        <f aca="false">MID(D122,13,5)&amp;"|"&amp;MID(D122,19,5)</f>
        <v>02COR|SREAC</v>
      </c>
      <c r="R122" s="34" t="str">
        <f aca="false">IF(P122="Subestación eléctrica",IFERROR(INDEX(cat_SubN,MATCH(Q122,cat_SubK,0)),"SIN CATALOGAR"),"ÁREA DE PROCESO")</f>
        <v>ÁREA DE PROCESO</v>
      </c>
      <c r="S122" s="34" t="str">
        <f aca="false">IF(H122="","SIN DATO",IFERROR(INDEX(cat_MarcaN,MATCH(H122,cat_MarcaO,0)),H122))</f>
        <v>ABB</v>
      </c>
      <c r="T122" s="34" t="str">
        <f aca="false">IF(I122="","SIN DATO",IFERROR(INDEX(cat_ModN,MATCH(I122,cat_ModO,0)),I122))</f>
        <v>1ATBBABBNEC5BNN11G</v>
      </c>
      <c r="U122" s="34" t="str">
        <f aca="false">IF(I122="","",IFERROR(INDEX(cat_ModG,MATCH(I122,cat_ModO,0)),"No"))</f>
        <v>No</v>
      </c>
      <c r="V122" s="34" t="str">
        <f aca="false">IF(J122="","SIN DATO",IFERROR(INDEX(cat_FunN,MATCH(J122,cat_FunO,0)),J122))</f>
        <v>Protección y medición</v>
      </c>
      <c r="W122" s="34" t="str">
        <f aca="false">IF(OR(S122="SIN DATO",T122="SIN DATO"),"No","Sí")</f>
        <v>Sí</v>
      </c>
    </row>
    <row r="123" customFormat="false" ht="15" hidden="false" customHeight="false" outlineLevel="0" collapsed="false">
      <c r="A123" s="34" t="s">
        <v>728</v>
      </c>
      <c r="B123" s="34" t="s">
        <v>729</v>
      </c>
      <c r="C123" s="34" t="s">
        <v>730</v>
      </c>
      <c r="D123" s="34" t="s">
        <v>716</v>
      </c>
      <c r="E123" s="34" t="s">
        <v>113</v>
      </c>
      <c r="F123" s="34" t="s">
        <v>675</v>
      </c>
      <c r="G123" s="34" t="s">
        <v>676</v>
      </c>
      <c r="H123" s="34" t="s">
        <v>34</v>
      </c>
      <c r="I123" s="34" t="s">
        <v>36</v>
      </c>
      <c r="J123" s="34" t="s">
        <v>228</v>
      </c>
      <c r="K123" s="34" t="s">
        <v>229</v>
      </c>
      <c r="L123" s="34" t="s">
        <v>230</v>
      </c>
      <c r="M123" s="34" t="s">
        <v>231</v>
      </c>
      <c r="N123" s="34" t="str">
        <f aca="false">"Sector "&amp;VALUE(MID(D123,13,2))</f>
        <v>Sector 2</v>
      </c>
      <c r="O123" s="34" t="str">
        <f aca="false">IF(Dashboard!$C$5="Ubicación técnica",N123,"Sector "&amp;VALUE(RIGHT(G123,2)))</f>
        <v>Sector 2</v>
      </c>
      <c r="P123" s="34" t="str">
        <f aca="false">IF(MID(D123,15,3)="SEL","Subestación eléctrica","Área de proceso")</f>
        <v>Subestación eléctrica</v>
      </c>
      <c r="Q123" s="34" t="str">
        <f aca="false">MID(D123,13,5)&amp;"|"&amp;MID(D123,19,5)</f>
        <v>02SEL|S15_1</v>
      </c>
      <c r="R123" s="34" t="str">
        <f aca="false">IF(P123="Subestación eléctrica",IFERROR(INDEX(cat_SubN,MATCH(Q123,cat_SubK,0)),"SIN CATALOGAR"),"ÁREA DE PROCESO")</f>
        <v>SE-15-1</v>
      </c>
      <c r="S123" s="34" t="str">
        <f aca="false">IF(H123="","SIN DATO",IFERROR(INDEX(cat_MarcaN,MATCH(H123,cat_MarcaO,0)),H123))</f>
        <v>ABB</v>
      </c>
      <c r="T123" s="34" t="str">
        <f aca="false">IF(I123="","SIN DATO",IFERROR(INDEX(cat_ModN,MATCH(I123,cat_ModO,0)),I123))</f>
        <v>1AFFAEAGNEC5BNA11G</v>
      </c>
      <c r="U123" s="34" t="str">
        <f aca="false">IF(I123="","",IFERROR(INDEX(cat_ModG,MATCH(I123,cat_ModO,0)),"No"))</f>
        <v>No</v>
      </c>
      <c r="V123" s="34" t="str">
        <f aca="false">IF(J123="","SIN DATO",IFERROR(INDEX(cat_FunN,MATCH(J123,cat_FunO,0)),J123))</f>
        <v>Protección y medición</v>
      </c>
      <c r="W123" s="34" t="str">
        <f aca="false">IF(OR(S123="SIN DATO",T123="SIN DATO"),"No","Sí")</f>
        <v>Sí</v>
      </c>
    </row>
    <row r="124" customFormat="false" ht="15" hidden="false" customHeight="false" outlineLevel="0" collapsed="false">
      <c r="A124" s="34" t="s">
        <v>731</v>
      </c>
      <c r="B124" s="34" t="s">
        <v>732</v>
      </c>
      <c r="C124" s="34" t="s">
        <v>733</v>
      </c>
      <c r="D124" s="34" t="s">
        <v>734</v>
      </c>
      <c r="E124" s="34" t="s">
        <v>113</v>
      </c>
      <c r="F124" s="34" t="s">
        <v>675</v>
      </c>
      <c r="G124" s="34" t="s">
        <v>676</v>
      </c>
      <c r="H124" s="34" t="s">
        <v>34</v>
      </c>
      <c r="I124" s="34" t="s">
        <v>36</v>
      </c>
      <c r="J124" s="34" t="s">
        <v>228</v>
      </c>
      <c r="K124" s="34" t="s">
        <v>229</v>
      </c>
      <c r="L124" s="34" t="s">
        <v>230</v>
      </c>
      <c r="M124" s="34" t="s">
        <v>231</v>
      </c>
      <c r="N124" s="34" t="str">
        <f aca="false">"Sector "&amp;VALUE(MID(D124,13,2))</f>
        <v>Sector 2</v>
      </c>
      <c r="O124" s="34" t="str">
        <f aca="false">IF(Dashboard!$C$5="Ubicación técnica",N124,"Sector "&amp;VALUE(RIGHT(G124,2)))</f>
        <v>Sector 2</v>
      </c>
      <c r="P124" s="34" t="str">
        <f aca="false">IF(MID(D124,15,3)="SEL","Subestación eléctrica","Área de proceso")</f>
        <v>Subestación eléctrica</v>
      </c>
      <c r="Q124" s="34" t="str">
        <f aca="false">MID(D124,13,5)&amp;"|"&amp;MID(D124,19,5)</f>
        <v>02SEL|S15_1</v>
      </c>
      <c r="R124" s="34" t="str">
        <f aca="false">IF(P124="Subestación eléctrica",IFERROR(INDEX(cat_SubN,MATCH(Q124,cat_SubK,0)),"SIN CATALOGAR"),"ÁREA DE PROCESO")</f>
        <v>SE-15-1</v>
      </c>
      <c r="S124" s="34" t="str">
        <f aca="false">IF(H124="","SIN DATO",IFERROR(INDEX(cat_MarcaN,MATCH(H124,cat_MarcaO,0)),H124))</f>
        <v>ABB</v>
      </c>
      <c r="T124" s="34" t="str">
        <f aca="false">IF(I124="","SIN DATO",IFERROR(INDEX(cat_ModN,MATCH(I124,cat_ModO,0)),I124))</f>
        <v>1AFFAEAGNEC5BNA11G</v>
      </c>
      <c r="U124" s="34" t="str">
        <f aca="false">IF(I124="","",IFERROR(INDEX(cat_ModG,MATCH(I124,cat_ModO,0)),"No"))</f>
        <v>No</v>
      </c>
      <c r="V124" s="34" t="str">
        <f aca="false">IF(J124="","SIN DATO",IFERROR(INDEX(cat_FunN,MATCH(J124,cat_FunO,0)),J124))</f>
        <v>Protección y medición</v>
      </c>
      <c r="W124" s="34" t="str">
        <f aca="false">IF(OR(S124="SIN DATO",T124="SIN DATO"),"No","Sí")</f>
        <v>Sí</v>
      </c>
    </row>
    <row r="125" customFormat="false" ht="15" hidden="false" customHeight="false" outlineLevel="0" collapsed="false">
      <c r="A125" s="34" t="s">
        <v>735</v>
      </c>
      <c r="B125" s="34" t="s">
        <v>736</v>
      </c>
      <c r="C125" s="34" t="s">
        <v>737</v>
      </c>
      <c r="D125" s="34" t="s">
        <v>738</v>
      </c>
      <c r="E125" s="34" t="s">
        <v>113</v>
      </c>
      <c r="F125" s="34" t="s">
        <v>675</v>
      </c>
      <c r="G125" s="34" t="s">
        <v>676</v>
      </c>
      <c r="H125" s="34" t="s">
        <v>55</v>
      </c>
      <c r="I125" s="34" t="s">
        <v>58</v>
      </c>
      <c r="J125" s="34" t="s">
        <v>58</v>
      </c>
      <c r="K125" s="34" t="s">
        <v>229</v>
      </c>
      <c r="L125" s="34" t="s">
        <v>230</v>
      </c>
      <c r="M125" s="34" t="s">
        <v>344</v>
      </c>
      <c r="N125" s="34" t="str">
        <f aca="false">"Sector "&amp;VALUE(MID(D125,13,2))</f>
        <v>Sector 2</v>
      </c>
      <c r="O125" s="34" t="str">
        <f aca="false">IF(Dashboard!$C$5="Ubicación técnica",N125,"Sector "&amp;VALUE(RIGHT(G125,2)))</f>
        <v>Sector 2</v>
      </c>
      <c r="P125" s="34" t="str">
        <f aca="false">IF(MID(D125,15,3)="SEL","Subestación eléctrica","Área de proceso")</f>
        <v>Subestación eléctrica</v>
      </c>
      <c r="Q125" s="34" t="str">
        <f aca="false">MID(D125,13,5)&amp;"|"&amp;MID(D125,19,5)</f>
        <v>02SEL|S15_1</v>
      </c>
      <c r="R125" s="34" t="str">
        <f aca="false">IF(P125="Subestación eléctrica",IFERROR(INDEX(cat_SubN,MATCH(Q125,cat_SubK,0)),"SIN CATALOGAR"),"ÁREA DE PROCESO")</f>
        <v>SE-15-1</v>
      </c>
      <c r="S125" s="34" t="str">
        <f aca="false">IF(H125="","SIN DATO",IFERROR(INDEX(cat_MarcaN,MATCH(H125,cat_MarcaO,0)),H125))</f>
        <v>SEL</v>
      </c>
      <c r="T125" s="34" t="str">
        <f aca="false">IF(I125="","SIN DATO",IFERROR(INDEX(cat_ModN,MATCH(I125,cat_ModO,0)),I125))</f>
        <v>MEDICION</v>
      </c>
      <c r="U125" s="34" t="str">
        <f aca="false">IF(I125="","",IFERROR(INDEX(cat_ModG,MATCH(I125,cat_ModO,0)),"No"))</f>
        <v>Sí</v>
      </c>
      <c r="V125" s="34" t="str">
        <f aca="false">IF(J125="","SIN DATO",IFERROR(INDEX(cat_FunN,MATCH(J125,cat_FunO,0)),J125))</f>
        <v>Medición</v>
      </c>
      <c r="W125" s="34" t="str">
        <f aca="false">IF(OR(S125="SIN DATO",T125="SIN DATO"),"No","Sí")</f>
        <v>Sí</v>
      </c>
    </row>
    <row r="126" customFormat="false" ht="15" hidden="false" customHeight="false" outlineLevel="0" collapsed="false">
      <c r="A126" s="34" t="s">
        <v>739</v>
      </c>
      <c r="B126" s="34" t="s">
        <v>740</v>
      </c>
      <c r="C126" s="34" t="s">
        <v>741</v>
      </c>
      <c r="D126" s="34" t="s">
        <v>674</v>
      </c>
      <c r="E126" s="34" t="s">
        <v>113</v>
      </c>
      <c r="F126" s="34" t="s">
        <v>675</v>
      </c>
      <c r="G126" s="34" t="s">
        <v>676</v>
      </c>
      <c r="H126" s="34" t="s">
        <v>34</v>
      </c>
      <c r="I126" s="34" t="s">
        <v>38</v>
      </c>
      <c r="J126" s="34" t="s">
        <v>228</v>
      </c>
      <c r="K126" s="34" t="s">
        <v>229</v>
      </c>
      <c r="L126" s="34" t="s">
        <v>230</v>
      </c>
      <c r="M126" s="34" t="s">
        <v>231</v>
      </c>
      <c r="N126" s="34" t="str">
        <f aca="false">"Sector "&amp;VALUE(MID(D126,13,2))</f>
        <v>Sector 2</v>
      </c>
      <c r="O126" s="34" t="str">
        <f aca="false">IF(Dashboard!$C$5="Ubicación técnica",N126,"Sector "&amp;VALUE(RIGHT(G126,2)))</f>
        <v>Sector 2</v>
      </c>
      <c r="P126" s="34" t="str">
        <f aca="false">IF(MID(D126,15,3)="SEL","Subestación eléctrica","Área de proceso")</f>
        <v>Subestación eléctrica</v>
      </c>
      <c r="Q126" s="34" t="str">
        <f aca="false">MID(D126,13,5)&amp;"|"&amp;MID(D126,19,5)</f>
        <v>02SEL|S15_1</v>
      </c>
      <c r="R126" s="34" t="str">
        <f aca="false">IF(P126="Subestación eléctrica",IFERROR(INDEX(cat_SubN,MATCH(Q126,cat_SubK,0)),"SIN CATALOGAR"),"ÁREA DE PROCESO")</f>
        <v>SE-15-1</v>
      </c>
      <c r="S126" s="34" t="str">
        <f aca="false">IF(H126="","SIN DATO",IFERROR(INDEX(cat_MarcaN,MATCH(H126,cat_MarcaO,0)),H126))</f>
        <v>ABB</v>
      </c>
      <c r="T126" s="34" t="str">
        <f aca="false">IF(I126="","SIN DATO",IFERROR(INDEX(cat_ModN,MATCH(I126,cat_ModO,0)),I126))</f>
        <v>1AMEBCADNEC5BNN11G</v>
      </c>
      <c r="U126" s="34" t="str">
        <f aca="false">IF(I126="","",IFERROR(INDEX(cat_ModG,MATCH(I126,cat_ModO,0)),"No"))</f>
        <v>No</v>
      </c>
      <c r="V126" s="34" t="str">
        <f aca="false">IF(J126="","SIN DATO",IFERROR(INDEX(cat_FunN,MATCH(J126,cat_FunO,0)),J126))</f>
        <v>Protección y medición</v>
      </c>
      <c r="W126" s="34" t="str">
        <f aca="false">IF(OR(S126="SIN DATO",T126="SIN DATO"),"No","Sí")</f>
        <v>Sí</v>
      </c>
    </row>
    <row r="127" customFormat="false" ht="15" hidden="false" customHeight="false" outlineLevel="0" collapsed="false">
      <c r="A127" s="34" t="s">
        <v>742</v>
      </c>
      <c r="B127" s="34" t="s">
        <v>743</v>
      </c>
      <c r="C127" s="34" t="s">
        <v>744</v>
      </c>
      <c r="D127" s="34" t="s">
        <v>674</v>
      </c>
      <c r="E127" s="34" t="s">
        <v>113</v>
      </c>
      <c r="F127" s="34" t="s">
        <v>675</v>
      </c>
      <c r="G127" s="34" t="s">
        <v>676</v>
      </c>
      <c r="H127" s="34" t="s">
        <v>34</v>
      </c>
      <c r="I127" s="34" t="s">
        <v>36</v>
      </c>
      <c r="J127" s="34" t="s">
        <v>228</v>
      </c>
      <c r="K127" s="34" t="s">
        <v>229</v>
      </c>
      <c r="L127" s="34" t="s">
        <v>230</v>
      </c>
      <c r="M127" s="34" t="s">
        <v>231</v>
      </c>
      <c r="N127" s="34" t="str">
        <f aca="false">"Sector "&amp;VALUE(MID(D127,13,2))</f>
        <v>Sector 2</v>
      </c>
      <c r="O127" s="34" t="str">
        <f aca="false">IF(Dashboard!$C$5="Ubicación técnica",N127,"Sector "&amp;VALUE(RIGHT(G127,2)))</f>
        <v>Sector 2</v>
      </c>
      <c r="P127" s="34" t="str">
        <f aca="false">IF(MID(D127,15,3)="SEL","Subestación eléctrica","Área de proceso")</f>
        <v>Subestación eléctrica</v>
      </c>
      <c r="Q127" s="34" t="str">
        <f aca="false">MID(D127,13,5)&amp;"|"&amp;MID(D127,19,5)</f>
        <v>02SEL|S15_1</v>
      </c>
      <c r="R127" s="34" t="str">
        <f aca="false">IF(P127="Subestación eléctrica",IFERROR(INDEX(cat_SubN,MATCH(Q127,cat_SubK,0)),"SIN CATALOGAR"),"ÁREA DE PROCESO")</f>
        <v>SE-15-1</v>
      </c>
      <c r="S127" s="34" t="str">
        <f aca="false">IF(H127="","SIN DATO",IFERROR(INDEX(cat_MarcaN,MATCH(H127,cat_MarcaO,0)),H127))</f>
        <v>ABB</v>
      </c>
      <c r="T127" s="34" t="str">
        <f aca="false">IF(I127="","SIN DATO",IFERROR(INDEX(cat_ModN,MATCH(I127,cat_ModO,0)),I127))</f>
        <v>1AFFAEAGNEC5BNA11G</v>
      </c>
      <c r="U127" s="34" t="str">
        <f aca="false">IF(I127="","",IFERROR(INDEX(cat_ModG,MATCH(I127,cat_ModO,0)),"No"))</f>
        <v>No</v>
      </c>
      <c r="V127" s="34" t="str">
        <f aca="false">IF(J127="","SIN DATO",IFERROR(INDEX(cat_FunN,MATCH(J127,cat_FunO,0)),J127))</f>
        <v>Protección y medición</v>
      </c>
      <c r="W127" s="34" t="str">
        <f aca="false">IF(OR(S127="SIN DATO",T127="SIN DATO"),"No","Sí")</f>
        <v>Sí</v>
      </c>
    </row>
    <row r="128" customFormat="false" ht="15" hidden="false" customHeight="false" outlineLevel="0" collapsed="false">
      <c r="A128" s="34" t="s">
        <v>745</v>
      </c>
      <c r="B128" s="34" t="s">
        <v>746</v>
      </c>
      <c r="C128" s="34" t="s">
        <v>747</v>
      </c>
      <c r="D128" s="34" t="s">
        <v>748</v>
      </c>
      <c r="E128" s="34" t="s">
        <v>113</v>
      </c>
      <c r="F128" s="34" t="s">
        <v>675</v>
      </c>
      <c r="G128" s="34" t="s">
        <v>676</v>
      </c>
      <c r="H128" s="34" t="s">
        <v>34</v>
      </c>
      <c r="I128" s="34" t="s">
        <v>36</v>
      </c>
      <c r="J128" s="34" t="s">
        <v>228</v>
      </c>
      <c r="K128" s="34" t="s">
        <v>229</v>
      </c>
      <c r="L128" s="34" t="s">
        <v>230</v>
      </c>
      <c r="M128" s="34" t="s">
        <v>231</v>
      </c>
      <c r="N128" s="34" t="str">
        <f aca="false">"Sector "&amp;VALUE(MID(D128,13,2))</f>
        <v>Sector 2</v>
      </c>
      <c r="O128" s="34" t="str">
        <f aca="false">IF(Dashboard!$C$5="Ubicación técnica",N128,"Sector "&amp;VALUE(RIGHT(G128,2)))</f>
        <v>Sector 2</v>
      </c>
      <c r="P128" s="34" t="str">
        <f aca="false">IF(MID(D128,15,3)="SEL","Subestación eléctrica","Área de proceso")</f>
        <v>Subestación eléctrica</v>
      </c>
      <c r="Q128" s="34" t="str">
        <f aca="false">MID(D128,13,5)&amp;"|"&amp;MID(D128,19,5)</f>
        <v>02SEL|S15_1</v>
      </c>
      <c r="R128" s="34" t="str">
        <f aca="false">IF(P128="Subestación eléctrica",IFERROR(INDEX(cat_SubN,MATCH(Q128,cat_SubK,0)),"SIN CATALOGAR"),"ÁREA DE PROCESO")</f>
        <v>SE-15-1</v>
      </c>
      <c r="S128" s="34" t="str">
        <f aca="false">IF(H128="","SIN DATO",IFERROR(INDEX(cat_MarcaN,MATCH(H128,cat_MarcaO,0)),H128))</f>
        <v>ABB</v>
      </c>
      <c r="T128" s="34" t="str">
        <f aca="false">IF(I128="","SIN DATO",IFERROR(INDEX(cat_ModN,MATCH(I128,cat_ModO,0)),I128))</f>
        <v>1AFFAEAGNEC5BNA11G</v>
      </c>
      <c r="U128" s="34" t="str">
        <f aca="false">IF(I128="","",IFERROR(INDEX(cat_ModG,MATCH(I128,cat_ModO,0)),"No"))</f>
        <v>No</v>
      </c>
      <c r="V128" s="34" t="str">
        <f aca="false">IF(J128="","SIN DATO",IFERROR(INDEX(cat_FunN,MATCH(J128,cat_FunO,0)),J128))</f>
        <v>Protección y medición</v>
      </c>
      <c r="W128" s="34" t="str">
        <f aca="false">IF(OR(S128="SIN DATO",T128="SIN DATO"),"No","Sí")</f>
        <v>Sí</v>
      </c>
    </row>
    <row r="129" customFormat="false" ht="15" hidden="false" customHeight="false" outlineLevel="0" collapsed="false">
      <c r="A129" s="34" t="s">
        <v>749</v>
      </c>
      <c r="B129" s="34" t="s">
        <v>750</v>
      </c>
      <c r="C129" s="34" t="s">
        <v>751</v>
      </c>
      <c r="D129" s="34" t="s">
        <v>748</v>
      </c>
      <c r="E129" s="34" t="s">
        <v>113</v>
      </c>
      <c r="F129" s="34" t="s">
        <v>675</v>
      </c>
      <c r="G129" s="34" t="s">
        <v>676</v>
      </c>
      <c r="H129" s="34" t="s">
        <v>55</v>
      </c>
      <c r="I129" s="34" t="s">
        <v>58</v>
      </c>
      <c r="J129" s="34" t="s">
        <v>58</v>
      </c>
      <c r="K129" s="34" t="s">
        <v>229</v>
      </c>
      <c r="L129" s="34" t="s">
        <v>230</v>
      </c>
      <c r="M129" s="34" t="s">
        <v>344</v>
      </c>
      <c r="N129" s="34" t="str">
        <f aca="false">"Sector "&amp;VALUE(MID(D129,13,2))</f>
        <v>Sector 2</v>
      </c>
      <c r="O129" s="34" t="str">
        <f aca="false">IF(Dashboard!$C$5="Ubicación técnica",N129,"Sector "&amp;VALUE(RIGHT(G129,2)))</f>
        <v>Sector 2</v>
      </c>
      <c r="P129" s="34" t="str">
        <f aca="false">IF(MID(D129,15,3)="SEL","Subestación eléctrica","Área de proceso")</f>
        <v>Subestación eléctrica</v>
      </c>
      <c r="Q129" s="34" t="str">
        <f aca="false">MID(D129,13,5)&amp;"|"&amp;MID(D129,19,5)</f>
        <v>02SEL|S15_1</v>
      </c>
      <c r="R129" s="34" t="str">
        <f aca="false">IF(P129="Subestación eléctrica",IFERROR(INDEX(cat_SubN,MATCH(Q129,cat_SubK,0)),"SIN CATALOGAR"),"ÁREA DE PROCESO")</f>
        <v>SE-15-1</v>
      </c>
      <c r="S129" s="34" t="str">
        <f aca="false">IF(H129="","SIN DATO",IFERROR(INDEX(cat_MarcaN,MATCH(H129,cat_MarcaO,0)),H129))</f>
        <v>SEL</v>
      </c>
      <c r="T129" s="34" t="str">
        <f aca="false">IF(I129="","SIN DATO",IFERROR(INDEX(cat_ModN,MATCH(I129,cat_ModO,0)),I129))</f>
        <v>MEDICION</v>
      </c>
      <c r="U129" s="34" t="str">
        <f aca="false">IF(I129="","",IFERROR(INDEX(cat_ModG,MATCH(I129,cat_ModO,0)),"No"))</f>
        <v>Sí</v>
      </c>
      <c r="V129" s="34" t="str">
        <f aca="false">IF(J129="","SIN DATO",IFERROR(INDEX(cat_FunN,MATCH(J129,cat_FunO,0)),J129))</f>
        <v>Medición</v>
      </c>
      <c r="W129" s="34" t="str">
        <f aca="false">IF(OR(S129="SIN DATO",T129="SIN DATO"),"No","Sí")</f>
        <v>Sí</v>
      </c>
    </row>
    <row r="130" customFormat="false" ht="15" hidden="false" customHeight="false" outlineLevel="0" collapsed="false">
      <c r="A130" s="34" t="s">
        <v>752</v>
      </c>
      <c r="B130" s="34" t="s">
        <v>753</v>
      </c>
      <c r="C130" s="34" t="s">
        <v>754</v>
      </c>
      <c r="D130" s="34" t="s">
        <v>748</v>
      </c>
      <c r="E130" s="34" t="s">
        <v>113</v>
      </c>
      <c r="F130" s="34" t="s">
        <v>675</v>
      </c>
      <c r="G130" s="34" t="s">
        <v>676</v>
      </c>
      <c r="H130" s="34" t="s">
        <v>34</v>
      </c>
      <c r="I130" s="34" t="s">
        <v>38</v>
      </c>
      <c r="J130" s="34" t="s">
        <v>228</v>
      </c>
      <c r="K130" s="34" t="s">
        <v>229</v>
      </c>
      <c r="L130" s="34" t="s">
        <v>230</v>
      </c>
      <c r="M130" s="34" t="s">
        <v>231</v>
      </c>
      <c r="N130" s="34" t="str">
        <f aca="false">"Sector "&amp;VALUE(MID(D130,13,2))</f>
        <v>Sector 2</v>
      </c>
      <c r="O130" s="34" t="str">
        <f aca="false">IF(Dashboard!$C$5="Ubicación técnica",N130,"Sector "&amp;VALUE(RIGHT(G130,2)))</f>
        <v>Sector 2</v>
      </c>
      <c r="P130" s="34" t="str">
        <f aca="false">IF(MID(D130,15,3)="SEL","Subestación eléctrica","Área de proceso")</f>
        <v>Subestación eléctrica</v>
      </c>
      <c r="Q130" s="34" t="str">
        <f aca="false">MID(D130,13,5)&amp;"|"&amp;MID(D130,19,5)</f>
        <v>02SEL|S15_1</v>
      </c>
      <c r="R130" s="34" t="str">
        <f aca="false">IF(P130="Subestación eléctrica",IFERROR(INDEX(cat_SubN,MATCH(Q130,cat_SubK,0)),"SIN CATALOGAR"),"ÁREA DE PROCESO")</f>
        <v>SE-15-1</v>
      </c>
      <c r="S130" s="34" t="str">
        <f aca="false">IF(H130="","SIN DATO",IFERROR(INDEX(cat_MarcaN,MATCH(H130,cat_MarcaO,0)),H130))</f>
        <v>ABB</v>
      </c>
      <c r="T130" s="34" t="str">
        <f aca="false">IF(I130="","SIN DATO",IFERROR(INDEX(cat_ModN,MATCH(I130,cat_ModO,0)),I130))</f>
        <v>1AMEBCADNEC5BNN11G</v>
      </c>
      <c r="U130" s="34" t="str">
        <f aca="false">IF(I130="","",IFERROR(INDEX(cat_ModG,MATCH(I130,cat_ModO,0)),"No"))</f>
        <v>No</v>
      </c>
      <c r="V130" s="34" t="str">
        <f aca="false">IF(J130="","SIN DATO",IFERROR(INDEX(cat_FunN,MATCH(J130,cat_FunO,0)),J130))</f>
        <v>Protección y medición</v>
      </c>
      <c r="W130" s="34" t="str">
        <f aca="false">IF(OR(S130="SIN DATO",T130="SIN DATO"),"No","Sí")</f>
        <v>Sí</v>
      </c>
    </row>
    <row r="131" customFormat="false" ht="15" hidden="false" customHeight="false" outlineLevel="0" collapsed="false">
      <c r="A131" s="34" t="s">
        <v>755</v>
      </c>
      <c r="B131" s="34" t="s">
        <v>756</v>
      </c>
      <c r="C131" s="34" t="s">
        <v>757</v>
      </c>
      <c r="D131" s="34" t="s">
        <v>748</v>
      </c>
      <c r="E131" s="34" t="s">
        <v>113</v>
      </c>
      <c r="F131" s="34" t="s">
        <v>675</v>
      </c>
      <c r="G131" s="34" t="s">
        <v>676</v>
      </c>
      <c r="H131" s="34" t="s">
        <v>34</v>
      </c>
      <c r="I131" s="34" t="s">
        <v>36</v>
      </c>
      <c r="J131" s="34" t="s">
        <v>228</v>
      </c>
      <c r="K131" s="34" t="s">
        <v>229</v>
      </c>
      <c r="L131" s="34" t="s">
        <v>230</v>
      </c>
      <c r="M131" s="34" t="s">
        <v>231</v>
      </c>
      <c r="N131" s="34" t="str">
        <f aca="false">"Sector "&amp;VALUE(MID(D131,13,2))</f>
        <v>Sector 2</v>
      </c>
      <c r="O131" s="34" t="str">
        <f aca="false">IF(Dashboard!$C$5="Ubicación técnica",N131,"Sector "&amp;VALUE(RIGHT(G131,2)))</f>
        <v>Sector 2</v>
      </c>
      <c r="P131" s="34" t="str">
        <f aca="false">IF(MID(D131,15,3)="SEL","Subestación eléctrica","Área de proceso")</f>
        <v>Subestación eléctrica</v>
      </c>
      <c r="Q131" s="34" t="str">
        <f aca="false">MID(D131,13,5)&amp;"|"&amp;MID(D131,19,5)</f>
        <v>02SEL|S15_1</v>
      </c>
      <c r="R131" s="34" t="str">
        <f aca="false">IF(P131="Subestación eléctrica",IFERROR(INDEX(cat_SubN,MATCH(Q131,cat_SubK,0)),"SIN CATALOGAR"),"ÁREA DE PROCESO")</f>
        <v>SE-15-1</v>
      </c>
      <c r="S131" s="34" t="str">
        <f aca="false">IF(H131="","SIN DATO",IFERROR(INDEX(cat_MarcaN,MATCH(H131,cat_MarcaO,0)),H131))</f>
        <v>ABB</v>
      </c>
      <c r="T131" s="34" t="str">
        <f aca="false">IF(I131="","SIN DATO",IFERROR(INDEX(cat_ModN,MATCH(I131,cat_ModO,0)),I131))</f>
        <v>1AFFAEAGNEC5BNA11G</v>
      </c>
      <c r="U131" s="34" t="str">
        <f aca="false">IF(I131="","",IFERROR(INDEX(cat_ModG,MATCH(I131,cat_ModO,0)),"No"))</f>
        <v>No</v>
      </c>
      <c r="V131" s="34" t="str">
        <f aca="false">IF(J131="","SIN DATO",IFERROR(INDEX(cat_FunN,MATCH(J131,cat_FunO,0)),J131))</f>
        <v>Protección y medición</v>
      </c>
      <c r="W131" s="34" t="str">
        <f aca="false">IF(OR(S131="SIN DATO",T131="SIN DATO"),"No","Sí")</f>
        <v>Sí</v>
      </c>
    </row>
    <row r="132" customFormat="false" ht="15" hidden="false" customHeight="false" outlineLevel="0" collapsed="false">
      <c r="A132" s="34" t="s">
        <v>758</v>
      </c>
      <c r="B132" s="34" t="s">
        <v>759</v>
      </c>
      <c r="C132" s="34" t="s">
        <v>760</v>
      </c>
      <c r="D132" s="34" t="s">
        <v>761</v>
      </c>
      <c r="E132" s="34" t="s">
        <v>113</v>
      </c>
      <c r="F132" s="34" t="s">
        <v>675</v>
      </c>
      <c r="G132" s="34" t="s">
        <v>676</v>
      </c>
      <c r="H132" s="34" t="s">
        <v>34</v>
      </c>
      <c r="I132" s="34" t="s">
        <v>46</v>
      </c>
      <c r="J132" s="34" t="s">
        <v>228</v>
      </c>
      <c r="K132" s="34" t="s">
        <v>229</v>
      </c>
      <c r="L132" s="34" t="s">
        <v>230</v>
      </c>
      <c r="M132" s="34" t="s">
        <v>231</v>
      </c>
      <c r="N132" s="34" t="str">
        <f aca="false">"Sector "&amp;VALUE(MID(D132,13,2))</f>
        <v>Sector 2</v>
      </c>
      <c r="O132" s="34" t="str">
        <f aca="false">IF(Dashboard!$C$5="Ubicación técnica",N132,"Sector "&amp;VALUE(RIGHT(G132,2)))</f>
        <v>Sector 2</v>
      </c>
      <c r="P132" s="34" t="str">
        <f aca="false">IF(MID(D132,15,3)="SEL","Subestación eléctrica","Área de proceso")</f>
        <v>Subestación eléctrica</v>
      </c>
      <c r="Q132" s="34" t="str">
        <f aca="false">MID(D132,13,5)&amp;"|"&amp;MID(D132,19,5)</f>
        <v>02SEL|S15_1</v>
      </c>
      <c r="R132" s="34" t="str">
        <f aca="false">IF(P132="Subestación eléctrica",IFERROR(INDEX(cat_SubN,MATCH(Q132,cat_SubK,0)),"SIN CATALOGAR"),"ÁREA DE PROCESO")</f>
        <v>SE-15-1</v>
      </c>
      <c r="S132" s="34" t="str">
        <f aca="false">IF(H132="","SIN DATO",IFERROR(INDEX(cat_MarcaN,MATCH(H132,cat_MarcaO,0)),H132))</f>
        <v>ABB</v>
      </c>
      <c r="T132" s="34" t="str">
        <f aca="false">IF(I132="","SIN DATO",IFERROR(INDEX(cat_ModN,MATCH(I132,cat_ModO,0)),I132))</f>
        <v>1ATBBABBNEC5BNN11G</v>
      </c>
      <c r="U132" s="34" t="str">
        <f aca="false">IF(I132="","",IFERROR(INDEX(cat_ModG,MATCH(I132,cat_ModO,0)),"No"))</f>
        <v>No</v>
      </c>
      <c r="V132" s="34" t="str">
        <f aca="false">IF(J132="","SIN DATO",IFERROR(INDEX(cat_FunN,MATCH(J132,cat_FunO,0)),J132))</f>
        <v>Protección y medición</v>
      </c>
      <c r="W132" s="34" t="str">
        <f aca="false">IF(OR(S132="SIN DATO",T132="SIN DATO"),"No","Sí")</f>
        <v>Sí</v>
      </c>
    </row>
    <row r="133" customFormat="false" ht="15" hidden="false" customHeight="false" outlineLevel="0" collapsed="false">
      <c r="A133" s="34" t="s">
        <v>762</v>
      </c>
      <c r="B133" s="34" t="s">
        <v>763</v>
      </c>
      <c r="C133" s="34" t="s">
        <v>764</v>
      </c>
      <c r="D133" s="34" t="s">
        <v>761</v>
      </c>
      <c r="E133" s="34" t="s">
        <v>113</v>
      </c>
      <c r="F133" s="34" t="s">
        <v>675</v>
      </c>
      <c r="G133" s="34" t="s">
        <v>676</v>
      </c>
      <c r="H133" s="34" t="s">
        <v>34</v>
      </c>
      <c r="I133" s="34" t="s">
        <v>48</v>
      </c>
      <c r="J133" s="34" t="s">
        <v>228</v>
      </c>
      <c r="K133" s="34" t="s">
        <v>229</v>
      </c>
      <c r="L133" s="34" t="s">
        <v>230</v>
      </c>
      <c r="M133" s="34" t="s">
        <v>231</v>
      </c>
      <c r="N133" s="34" t="str">
        <f aca="false">"Sector "&amp;VALUE(MID(D133,13,2))</f>
        <v>Sector 2</v>
      </c>
      <c r="O133" s="34" t="str">
        <f aca="false">IF(Dashboard!$C$5="Ubicación técnica",N133,"Sector "&amp;VALUE(RIGHT(G133,2)))</f>
        <v>Sector 2</v>
      </c>
      <c r="P133" s="34" t="str">
        <f aca="false">IF(MID(D133,15,3)="SEL","Subestación eléctrica","Área de proceso")</f>
        <v>Subestación eléctrica</v>
      </c>
      <c r="Q133" s="34" t="str">
        <f aca="false">MID(D133,13,5)&amp;"|"&amp;MID(D133,19,5)</f>
        <v>02SEL|S15_1</v>
      </c>
      <c r="R133" s="34" t="str">
        <f aca="false">IF(P133="Subestación eléctrica",IFERROR(INDEX(cat_SubN,MATCH(Q133,cat_SubK,0)),"SIN CATALOGAR"),"ÁREA DE PROCESO")</f>
        <v>SE-15-1</v>
      </c>
      <c r="S133" s="34" t="str">
        <f aca="false">IF(H133="","SIN DATO",IFERROR(INDEX(cat_MarcaN,MATCH(H133,cat_MarcaO,0)),H133))</f>
        <v>ABB</v>
      </c>
      <c r="T133" s="34" t="str">
        <f aca="false">IF(I133="","SIN DATO",IFERROR(INDEX(cat_ModN,MATCH(I133,cat_ModO,0)),I133))</f>
        <v>1AFNAEAGNEC5BNA11G</v>
      </c>
      <c r="U133" s="34" t="str">
        <f aca="false">IF(I133="","",IFERROR(INDEX(cat_ModG,MATCH(I133,cat_ModO,0)),"No"))</f>
        <v>No</v>
      </c>
      <c r="V133" s="34" t="str">
        <f aca="false">IF(J133="","SIN DATO",IFERROR(INDEX(cat_FunN,MATCH(J133,cat_FunO,0)),J133))</f>
        <v>Protección y medición</v>
      </c>
      <c r="W133" s="34" t="str">
        <f aca="false">IF(OR(S133="SIN DATO",T133="SIN DATO"),"No","Sí")</f>
        <v>Sí</v>
      </c>
    </row>
    <row r="134" customFormat="false" ht="15" hidden="false" customHeight="false" outlineLevel="0" collapsed="false">
      <c r="A134" s="34" t="s">
        <v>765</v>
      </c>
      <c r="B134" s="34" t="s">
        <v>766</v>
      </c>
      <c r="C134" s="34" t="s">
        <v>767</v>
      </c>
      <c r="D134" s="34" t="s">
        <v>768</v>
      </c>
      <c r="E134" s="34" t="s">
        <v>113</v>
      </c>
      <c r="F134" s="34" t="s">
        <v>675</v>
      </c>
      <c r="G134" s="34" t="s">
        <v>676</v>
      </c>
      <c r="H134" s="34" t="s">
        <v>34</v>
      </c>
      <c r="I134" s="34" t="s">
        <v>36</v>
      </c>
      <c r="J134" s="34" t="s">
        <v>228</v>
      </c>
      <c r="K134" s="34" t="s">
        <v>229</v>
      </c>
      <c r="L134" s="34" t="s">
        <v>230</v>
      </c>
      <c r="M134" s="34" t="s">
        <v>231</v>
      </c>
      <c r="N134" s="34" t="str">
        <f aca="false">"Sector "&amp;VALUE(MID(D134,13,2))</f>
        <v>Sector 2</v>
      </c>
      <c r="O134" s="34" t="str">
        <f aca="false">IF(Dashboard!$C$5="Ubicación técnica",N134,"Sector "&amp;VALUE(RIGHT(G134,2)))</f>
        <v>Sector 2</v>
      </c>
      <c r="P134" s="34" t="str">
        <f aca="false">IF(MID(D134,15,3)="SEL","Subestación eléctrica","Área de proceso")</f>
        <v>Área de proceso</v>
      </c>
      <c r="Q134" s="34" t="str">
        <f aca="false">MID(D134,13,5)&amp;"|"&amp;MID(D134,19,5)</f>
        <v>02COR|SBOCA</v>
      </c>
      <c r="R134" s="34" t="str">
        <f aca="false">IF(P134="Subestación eléctrica",IFERROR(INDEX(cat_SubN,MATCH(Q134,cat_SubK,0)),"SIN CATALOGAR"),"ÁREA DE PROCESO")</f>
        <v>ÁREA DE PROCESO</v>
      </c>
      <c r="S134" s="34" t="str">
        <f aca="false">IF(H134="","SIN DATO",IFERROR(INDEX(cat_MarcaN,MATCH(H134,cat_MarcaO,0)),H134))</f>
        <v>ABB</v>
      </c>
      <c r="T134" s="34" t="str">
        <f aca="false">IF(I134="","SIN DATO",IFERROR(INDEX(cat_ModN,MATCH(I134,cat_ModO,0)),I134))</f>
        <v>1AFFAEAGNEC5BNA11G</v>
      </c>
      <c r="U134" s="34" t="str">
        <f aca="false">IF(I134="","",IFERROR(INDEX(cat_ModG,MATCH(I134,cat_ModO,0)),"No"))</f>
        <v>No</v>
      </c>
      <c r="V134" s="34" t="str">
        <f aca="false">IF(J134="","SIN DATO",IFERROR(INDEX(cat_FunN,MATCH(J134,cat_FunO,0)),J134))</f>
        <v>Protección y medición</v>
      </c>
      <c r="W134" s="34" t="str">
        <f aca="false">IF(OR(S134="SIN DATO",T134="SIN DATO"),"No","Sí")</f>
        <v>Sí</v>
      </c>
    </row>
    <row r="135" customFormat="false" ht="15" hidden="false" customHeight="false" outlineLevel="0" collapsed="false">
      <c r="A135" s="34" t="s">
        <v>769</v>
      </c>
      <c r="B135" s="34" t="s">
        <v>770</v>
      </c>
      <c r="C135" s="34" t="s">
        <v>771</v>
      </c>
      <c r="D135" s="34" t="s">
        <v>768</v>
      </c>
      <c r="E135" s="34" t="s">
        <v>113</v>
      </c>
      <c r="F135" s="34" t="s">
        <v>675</v>
      </c>
      <c r="G135" s="34" t="s">
        <v>676</v>
      </c>
      <c r="H135" s="34" t="s">
        <v>34</v>
      </c>
      <c r="I135" s="34" t="s">
        <v>46</v>
      </c>
      <c r="J135" s="34" t="s">
        <v>228</v>
      </c>
      <c r="K135" s="34" t="s">
        <v>229</v>
      </c>
      <c r="L135" s="34" t="s">
        <v>230</v>
      </c>
      <c r="M135" s="34" t="s">
        <v>231</v>
      </c>
      <c r="N135" s="34" t="str">
        <f aca="false">"Sector "&amp;VALUE(MID(D135,13,2))</f>
        <v>Sector 2</v>
      </c>
      <c r="O135" s="34" t="str">
        <f aca="false">IF(Dashboard!$C$5="Ubicación técnica",N135,"Sector "&amp;VALUE(RIGHT(G135,2)))</f>
        <v>Sector 2</v>
      </c>
      <c r="P135" s="34" t="str">
        <f aca="false">IF(MID(D135,15,3)="SEL","Subestación eléctrica","Área de proceso")</f>
        <v>Área de proceso</v>
      </c>
      <c r="Q135" s="34" t="str">
        <f aca="false">MID(D135,13,5)&amp;"|"&amp;MID(D135,19,5)</f>
        <v>02COR|SBOCA</v>
      </c>
      <c r="R135" s="34" t="str">
        <f aca="false">IF(P135="Subestación eléctrica",IFERROR(INDEX(cat_SubN,MATCH(Q135,cat_SubK,0)),"SIN CATALOGAR"),"ÁREA DE PROCESO")</f>
        <v>ÁREA DE PROCESO</v>
      </c>
      <c r="S135" s="34" t="str">
        <f aca="false">IF(H135="","SIN DATO",IFERROR(INDEX(cat_MarcaN,MATCH(H135,cat_MarcaO,0)),H135))</f>
        <v>ABB</v>
      </c>
      <c r="T135" s="34" t="str">
        <f aca="false">IF(I135="","SIN DATO",IFERROR(INDEX(cat_ModN,MATCH(I135,cat_ModO,0)),I135))</f>
        <v>1ATBBABBNEC5BNN11G</v>
      </c>
      <c r="U135" s="34" t="str">
        <f aca="false">IF(I135="","",IFERROR(INDEX(cat_ModG,MATCH(I135,cat_ModO,0)),"No"))</f>
        <v>No</v>
      </c>
      <c r="V135" s="34" t="str">
        <f aca="false">IF(J135="","SIN DATO",IFERROR(INDEX(cat_FunN,MATCH(J135,cat_FunO,0)),J135))</f>
        <v>Protección y medición</v>
      </c>
      <c r="W135" s="34" t="str">
        <f aca="false">IF(OR(S135="SIN DATO",T135="SIN DATO"),"No","Sí")</f>
        <v>Sí</v>
      </c>
    </row>
    <row r="136" customFormat="false" ht="15" hidden="false" customHeight="false" outlineLevel="0" collapsed="false">
      <c r="A136" s="34" t="s">
        <v>772</v>
      </c>
      <c r="B136" s="34" t="s">
        <v>773</v>
      </c>
      <c r="C136" s="34" t="s">
        <v>774</v>
      </c>
      <c r="D136" s="34" t="s">
        <v>775</v>
      </c>
      <c r="E136" s="34" t="s">
        <v>113</v>
      </c>
      <c r="F136" s="34" t="s">
        <v>675</v>
      </c>
      <c r="G136" s="34" t="s">
        <v>676</v>
      </c>
      <c r="H136" s="34" t="s">
        <v>34</v>
      </c>
      <c r="I136" s="34" t="s">
        <v>38</v>
      </c>
      <c r="J136" s="34" t="s">
        <v>228</v>
      </c>
      <c r="K136" s="34" t="s">
        <v>229</v>
      </c>
      <c r="L136" s="34" t="s">
        <v>230</v>
      </c>
      <c r="M136" s="34" t="s">
        <v>231</v>
      </c>
      <c r="N136" s="34" t="str">
        <f aca="false">"Sector "&amp;VALUE(MID(D136,13,2))</f>
        <v>Sector 2</v>
      </c>
      <c r="O136" s="34" t="str">
        <f aca="false">IF(Dashboard!$C$5="Ubicación técnica",N136,"Sector "&amp;VALUE(RIGHT(G136,2)))</f>
        <v>Sector 2</v>
      </c>
      <c r="P136" s="34" t="str">
        <f aca="false">IF(MID(D136,15,3)="SEL","Subestación eléctrica","Área de proceso")</f>
        <v>Subestación eléctrica</v>
      </c>
      <c r="Q136" s="34" t="str">
        <f aca="false">MID(D136,13,5)&amp;"|"&amp;MID(D136,19,5)</f>
        <v>02SEL|S_015</v>
      </c>
      <c r="R136" s="34" t="str">
        <f aca="false">IF(P136="Subestación eléctrica",IFERROR(INDEX(cat_SubN,MATCH(Q136,cat_SubK,0)),"SIN CATALOGAR"),"ÁREA DE PROCESO")</f>
        <v>SE-15</v>
      </c>
      <c r="S136" s="34" t="str">
        <f aca="false">IF(H136="","SIN DATO",IFERROR(INDEX(cat_MarcaN,MATCH(H136,cat_MarcaO,0)),H136))</f>
        <v>ABB</v>
      </c>
      <c r="T136" s="34" t="str">
        <f aca="false">IF(I136="","SIN DATO",IFERROR(INDEX(cat_ModN,MATCH(I136,cat_ModO,0)),I136))</f>
        <v>1AMEBCADNEC5BNN11G</v>
      </c>
      <c r="U136" s="34" t="str">
        <f aca="false">IF(I136="","",IFERROR(INDEX(cat_ModG,MATCH(I136,cat_ModO,0)),"No"))</f>
        <v>No</v>
      </c>
      <c r="V136" s="34" t="str">
        <f aca="false">IF(J136="","SIN DATO",IFERROR(INDEX(cat_FunN,MATCH(J136,cat_FunO,0)),J136))</f>
        <v>Protección y medición</v>
      </c>
      <c r="W136" s="34" t="str">
        <f aca="false">IF(OR(S136="SIN DATO",T136="SIN DATO"),"No","Sí")</f>
        <v>Sí</v>
      </c>
    </row>
    <row r="137" customFormat="false" ht="15" hidden="false" customHeight="false" outlineLevel="0" collapsed="false">
      <c r="A137" s="34" t="s">
        <v>776</v>
      </c>
      <c r="B137" s="34" t="s">
        <v>777</v>
      </c>
      <c r="C137" s="34" t="s">
        <v>778</v>
      </c>
      <c r="D137" s="34" t="s">
        <v>775</v>
      </c>
      <c r="E137" s="34" t="s">
        <v>113</v>
      </c>
      <c r="F137" s="34" t="s">
        <v>675</v>
      </c>
      <c r="G137" s="34" t="s">
        <v>676</v>
      </c>
      <c r="H137" s="34" t="s">
        <v>34</v>
      </c>
      <c r="I137" s="34" t="s">
        <v>36</v>
      </c>
      <c r="J137" s="34" t="s">
        <v>228</v>
      </c>
      <c r="K137" s="34" t="s">
        <v>229</v>
      </c>
      <c r="L137" s="34" t="s">
        <v>230</v>
      </c>
      <c r="M137" s="34" t="s">
        <v>231</v>
      </c>
      <c r="N137" s="34" t="str">
        <f aca="false">"Sector "&amp;VALUE(MID(D137,13,2))</f>
        <v>Sector 2</v>
      </c>
      <c r="O137" s="34" t="str">
        <f aca="false">IF(Dashboard!$C$5="Ubicación técnica",N137,"Sector "&amp;VALUE(RIGHT(G137,2)))</f>
        <v>Sector 2</v>
      </c>
      <c r="P137" s="34" t="str">
        <f aca="false">IF(MID(D137,15,3)="SEL","Subestación eléctrica","Área de proceso")</f>
        <v>Subestación eléctrica</v>
      </c>
      <c r="Q137" s="34" t="str">
        <f aca="false">MID(D137,13,5)&amp;"|"&amp;MID(D137,19,5)</f>
        <v>02SEL|S_015</v>
      </c>
      <c r="R137" s="34" t="str">
        <f aca="false">IF(P137="Subestación eléctrica",IFERROR(INDEX(cat_SubN,MATCH(Q137,cat_SubK,0)),"SIN CATALOGAR"),"ÁREA DE PROCESO")</f>
        <v>SE-15</v>
      </c>
      <c r="S137" s="34" t="str">
        <f aca="false">IF(H137="","SIN DATO",IFERROR(INDEX(cat_MarcaN,MATCH(H137,cat_MarcaO,0)),H137))</f>
        <v>ABB</v>
      </c>
      <c r="T137" s="34" t="str">
        <f aca="false">IF(I137="","SIN DATO",IFERROR(INDEX(cat_ModN,MATCH(I137,cat_ModO,0)),I137))</f>
        <v>1AFFAEAGNEC5BNA11G</v>
      </c>
      <c r="U137" s="34" t="str">
        <f aca="false">IF(I137="","",IFERROR(INDEX(cat_ModG,MATCH(I137,cat_ModO,0)),"No"))</f>
        <v>No</v>
      </c>
      <c r="V137" s="34" t="str">
        <f aca="false">IF(J137="","SIN DATO",IFERROR(INDEX(cat_FunN,MATCH(J137,cat_FunO,0)),J137))</f>
        <v>Protección y medición</v>
      </c>
      <c r="W137" s="34" t="str">
        <f aca="false">IF(OR(S137="SIN DATO",T137="SIN DATO"),"No","Sí")</f>
        <v>Sí</v>
      </c>
    </row>
    <row r="138" customFormat="false" ht="15" hidden="false" customHeight="false" outlineLevel="0" collapsed="false">
      <c r="A138" s="34" t="s">
        <v>779</v>
      </c>
      <c r="B138" s="34" t="s">
        <v>780</v>
      </c>
      <c r="C138" s="34" t="s">
        <v>781</v>
      </c>
      <c r="D138" s="34" t="s">
        <v>782</v>
      </c>
      <c r="E138" s="34" t="s">
        <v>113</v>
      </c>
      <c r="F138" s="34" t="s">
        <v>675</v>
      </c>
      <c r="G138" s="34" t="s">
        <v>676</v>
      </c>
      <c r="H138" s="34" t="s">
        <v>34</v>
      </c>
      <c r="I138" s="34" t="s">
        <v>36</v>
      </c>
      <c r="J138" s="34" t="s">
        <v>228</v>
      </c>
      <c r="K138" s="34" t="s">
        <v>229</v>
      </c>
      <c r="L138" s="34" t="s">
        <v>230</v>
      </c>
      <c r="M138" s="34" t="s">
        <v>231</v>
      </c>
      <c r="N138" s="34" t="str">
        <f aca="false">"Sector "&amp;VALUE(MID(D138,13,2))</f>
        <v>Sector 2</v>
      </c>
      <c r="O138" s="34" t="str">
        <f aca="false">IF(Dashboard!$C$5="Ubicación técnica",N138,"Sector "&amp;VALUE(RIGHT(G138,2)))</f>
        <v>Sector 2</v>
      </c>
      <c r="P138" s="34" t="str">
        <f aca="false">IF(MID(D138,15,3)="SEL","Subestación eléctrica","Área de proceso")</f>
        <v>Subestación eléctrica</v>
      </c>
      <c r="Q138" s="34" t="str">
        <f aca="false">MID(D138,13,5)&amp;"|"&amp;MID(D138,19,5)</f>
        <v>02SEL|S_015</v>
      </c>
      <c r="R138" s="34" t="str">
        <f aca="false">IF(P138="Subestación eléctrica",IFERROR(INDEX(cat_SubN,MATCH(Q138,cat_SubK,0)),"SIN CATALOGAR"),"ÁREA DE PROCESO")</f>
        <v>SE-15</v>
      </c>
      <c r="S138" s="34" t="str">
        <f aca="false">IF(H138="","SIN DATO",IFERROR(INDEX(cat_MarcaN,MATCH(H138,cat_MarcaO,0)),H138))</f>
        <v>ABB</v>
      </c>
      <c r="T138" s="34" t="str">
        <f aca="false">IF(I138="","SIN DATO",IFERROR(INDEX(cat_ModN,MATCH(I138,cat_ModO,0)),I138))</f>
        <v>1AFFAEAGNEC5BNA11G</v>
      </c>
      <c r="U138" s="34" t="str">
        <f aca="false">IF(I138="","",IFERROR(INDEX(cat_ModG,MATCH(I138,cat_ModO,0)),"No"))</f>
        <v>No</v>
      </c>
      <c r="V138" s="34" t="str">
        <f aca="false">IF(J138="","SIN DATO",IFERROR(INDEX(cat_FunN,MATCH(J138,cat_FunO,0)),J138))</f>
        <v>Protección y medición</v>
      </c>
      <c r="W138" s="34" t="str">
        <f aca="false">IF(OR(S138="SIN DATO",T138="SIN DATO"),"No","Sí")</f>
        <v>Sí</v>
      </c>
    </row>
    <row r="139" customFormat="false" ht="15" hidden="false" customHeight="false" outlineLevel="0" collapsed="false">
      <c r="A139" s="34" t="s">
        <v>783</v>
      </c>
      <c r="B139" s="34" t="s">
        <v>784</v>
      </c>
      <c r="C139" s="34" t="s">
        <v>785</v>
      </c>
      <c r="D139" s="34" t="s">
        <v>782</v>
      </c>
      <c r="E139" s="34" t="s">
        <v>113</v>
      </c>
      <c r="F139" s="34" t="s">
        <v>675</v>
      </c>
      <c r="G139" s="34" t="s">
        <v>676</v>
      </c>
      <c r="H139" s="34" t="s">
        <v>34</v>
      </c>
      <c r="I139" s="34" t="s">
        <v>38</v>
      </c>
      <c r="J139" s="34" t="s">
        <v>228</v>
      </c>
      <c r="K139" s="34" t="s">
        <v>229</v>
      </c>
      <c r="L139" s="34" t="s">
        <v>230</v>
      </c>
      <c r="M139" s="34" t="s">
        <v>231</v>
      </c>
      <c r="N139" s="34" t="str">
        <f aca="false">"Sector "&amp;VALUE(MID(D139,13,2))</f>
        <v>Sector 2</v>
      </c>
      <c r="O139" s="34" t="str">
        <f aca="false">IF(Dashboard!$C$5="Ubicación técnica",N139,"Sector "&amp;VALUE(RIGHT(G139,2)))</f>
        <v>Sector 2</v>
      </c>
      <c r="P139" s="34" t="str">
        <f aca="false">IF(MID(D139,15,3)="SEL","Subestación eléctrica","Área de proceso")</f>
        <v>Subestación eléctrica</v>
      </c>
      <c r="Q139" s="34" t="str">
        <f aca="false">MID(D139,13,5)&amp;"|"&amp;MID(D139,19,5)</f>
        <v>02SEL|S_015</v>
      </c>
      <c r="R139" s="34" t="str">
        <f aca="false">IF(P139="Subestación eléctrica",IFERROR(INDEX(cat_SubN,MATCH(Q139,cat_SubK,0)),"SIN CATALOGAR"),"ÁREA DE PROCESO")</f>
        <v>SE-15</v>
      </c>
      <c r="S139" s="34" t="str">
        <f aca="false">IF(H139="","SIN DATO",IFERROR(INDEX(cat_MarcaN,MATCH(H139,cat_MarcaO,0)),H139))</f>
        <v>ABB</v>
      </c>
      <c r="T139" s="34" t="str">
        <f aca="false">IF(I139="","SIN DATO",IFERROR(INDEX(cat_ModN,MATCH(I139,cat_ModO,0)),I139))</f>
        <v>1AMEBCADNEC5BNN11G</v>
      </c>
      <c r="U139" s="34" t="str">
        <f aca="false">IF(I139="","",IFERROR(INDEX(cat_ModG,MATCH(I139,cat_ModO,0)),"No"))</f>
        <v>No</v>
      </c>
      <c r="V139" s="34" t="str">
        <f aca="false">IF(J139="","SIN DATO",IFERROR(INDEX(cat_FunN,MATCH(J139,cat_FunO,0)),J139))</f>
        <v>Protección y medición</v>
      </c>
      <c r="W139" s="34" t="str">
        <f aca="false">IF(OR(S139="SIN DATO",T139="SIN DATO"),"No","Sí")</f>
        <v>Sí</v>
      </c>
    </row>
    <row r="140" customFormat="false" ht="15" hidden="false" customHeight="false" outlineLevel="0" collapsed="false">
      <c r="A140" s="34" t="s">
        <v>786</v>
      </c>
      <c r="B140" s="34" t="s">
        <v>787</v>
      </c>
      <c r="C140" s="34" t="s">
        <v>788</v>
      </c>
      <c r="D140" s="34" t="s">
        <v>782</v>
      </c>
      <c r="E140" s="34" t="s">
        <v>113</v>
      </c>
      <c r="F140" s="34" t="s">
        <v>675</v>
      </c>
      <c r="G140" s="34" t="s">
        <v>676</v>
      </c>
      <c r="H140" s="34" t="s">
        <v>34</v>
      </c>
      <c r="I140" s="34" t="s">
        <v>36</v>
      </c>
      <c r="J140" s="34" t="s">
        <v>228</v>
      </c>
      <c r="K140" s="34" t="s">
        <v>229</v>
      </c>
      <c r="L140" s="34" t="s">
        <v>230</v>
      </c>
      <c r="M140" s="34" t="s">
        <v>231</v>
      </c>
      <c r="N140" s="34" t="str">
        <f aca="false">"Sector "&amp;VALUE(MID(D140,13,2))</f>
        <v>Sector 2</v>
      </c>
      <c r="O140" s="34" t="str">
        <f aca="false">IF(Dashboard!$C$5="Ubicación técnica",N140,"Sector "&amp;VALUE(RIGHT(G140,2)))</f>
        <v>Sector 2</v>
      </c>
      <c r="P140" s="34" t="str">
        <f aca="false">IF(MID(D140,15,3)="SEL","Subestación eléctrica","Área de proceso")</f>
        <v>Subestación eléctrica</v>
      </c>
      <c r="Q140" s="34" t="str">
        <f aca="false">MID(D140,13,5)&amp;"|"&amp;MID(D140,19,5)</f>
        <v>02SEL|S_015</v>
      </c>
      <c r="R140" s="34" t="str">
        <f aca="false">IF(P140="Subestación eléctrica",IFERROR(INDEX(cat_SubN,MATCH(Q140,cat_SubK,0)),"SIN CATALOGAR"),"ÁREA DE PROCESO")</f>
        <v>SE-15</v>
      </c>
      <c r="S140" s="34" t="str">
        <f aca="false">IF(H140="","SIN DATO",IFERROR(INDEX(cat_MarcaN,MATCH(H140,cat_MarcaO,0)),H140))</f>
        <v>ABB</v>
      </c>
      <c r="T140" s="34" t="str">
        <f aca="false">IF(I140="","SIN DATO",IFERROR(INDEX(cat_ModN,MATCH(I140,cat_ModO,0)),I140))</f>
        <v>1AFFAEAGNEC5BNA11G</v>
      </c>
      <c r="U140" s="34" t="str">
        <f aca="false">IF(I140="","",IFERROR(INDEX(cat_ModG,MATCH(I140,cat_ModO,0)),"No"))</f>
        <v>No</v>
      </c>
      <c r="V140" s="34" t="str">
        <f aca="false">IF(J140="","SIN DATO",IFERROR(INDEX(cat_FunN,MATCH(J140,cat_FunO,0)),J140))</f>
        <v>Protección y medición</v>
      </c>
      <c r="W140" s="34" t="str">
        <f aca="false">IF(OR(S140="SIN DATO",T140="SIN DATO"),"No","Sí")</f>
        <v>Sí</v>
      </c>
    </row>
    <row r="141" customFormat="false" ht="15" hidden="false" customHeight="false" outlineLevel="0" collapsed="false">
      <c r="A141" s="34" t="s">
        <v>789</v>
      </c>
      <c r="B141" s="34" t="s">
        <v>790</v>
      </c>
      <c r="C141" s="34" t="s">
        <v>791</v>
      </c>
      <c r="D141" s="34" t="s">
        <v>792</v>
      </c>
      <c r="E141" s="34" t="s">
        <v>113</v>
      </c>
      <c r="F141" s="34" t="s">
        <v>675</v>
      </c>
      <c r="G141" s="34" t="s">
        <v>676</v>
      </c>
      <c r="H141" s="34" t="s">
        <v>34</v>
      </c>
      <c r="I141" s="34" t="s">
        <v>42</v>
      </c>
      <c r="J141" s="34" t="s">
        <v>681</v>
      </c>
      <c r="K141" s="34" t="s">
        <v>229</v>
      </c>
      <c r="L141" s="34" t="s">
        <v>230</v>
      </c>
      <c r="M141" s="34" t="s">
        <v>231</v>
      </c>
      <c r="N141" s="34" t="str">
        <f aca="false">"Sector "&amp;VALUE(MID(D141,13,2))</f>
        <v>Sector 2</v>
      </c>
      <c r="O141" s="34" t="str">
        <f aca="false">IF(Dashboard!$C$5="Ubicación técnica",N141,"Sector "&amp;VALUE(RIGHT(G141,2)))</f>
        <v>Sector 2</v>
      </c>
      <c r="P141" s="34" t="str">
        <f aca="false">IF(MID(D141,15,3)="SEL","Subestación eléctrica","Área de proceso")</f>
        <v>Subestación eléctrica</v>
      </c>
      <c r="Q141" s="34" t="str">
        <f aca="false">MID(D141,13,5)&amp;"|"&amp;MID(D141,19,5)</f>
        <v>02SEL|S_015</v>
      </c>
      <c r="R141" s="34" t="str">
        <f aca="false">IF(P141="Subestación eléctrica",IFERROR(INDEX(cat_SubN,MATCH(Q141,cat_SubK,0)),"SIN CATALOGAR"),"ÁREA DE PROCESO")</f>
        <v>SE-15</v>
      </c>
      <c r="S141" s="34" t="str">
        <f aca="false">IF(H141="","SIN DATO",IFERROR(INDEX(cat_MarcaN,MATCH(H141,cat_MarcaO,0)),H141))</f>
        <v>ABB</v>
      </c>
      <c r="T141" s="34" t="str">
        <f aca="false">IF(I141="","SIN DATO",IFERROR(INDEX(cat_ModN,MATCH(I141,cat_ModO,0)),I141))</f>
        <v>1AFPAKAKNGC5BNN11G</v>
      </c>
      <c r="U141" s="34" t="str">
        <f aca="false">IF(I141="","",IFERROR(INDEX(cat_ModG,MATCH(I141,cat_ModO,0)),"No"))</f>
        <v>No</v>
      </c>
      <c r="V141" s="34" t="str">
        <f aca="false">IF(J141="","SIN DATO",IFERROR(INDEX(cat_FunN,MATCH(J141,cat_FunO,0)),J141))</f>
        <v>Protección</v>
      </c>
      <c r="W141" s="34" t="str">
        <f aca="false">IF(OR(S141="SIN DATO",T141="SIN DATO"),"No","Sí")</f>
        <v>Sí</v>
      </c>
    </row>
    <row r="142" customFormat="false" ht="15" hidden="false" customHeight="false" outlineLevel="0" collapsed="false">
      <c r="A142" s="34" t="s">
        <v>793</v>
      </c>
      <c r="B142" s="34" t="s">
        <v>794</v>
      </c>
      <c r="C142" s="34" t="s">
        <v>795</v>
      </c>
      <c r="D142" s="34" t="s">
        <v>796</v>
      </c>
      <c r="E142" s="34" t="s">
        <v>113</v>
      </c>
      <c r="F142" s="34" t="s">
        <v>675</v>
      </c>
      <c r="G142" s="34" t="s">
        <v>676</v>
      </c>
      <c r="H142" s="34" t="s">
        <v>34</v>
      </c>
      <c r="I142" s="34" t="s">
        <v>42</v>
      </c>
      <c r="J142" s="34" t="s">
        <v>681</v>
      </c>
      <c r="K142" s="34" t="s">
        <v>229</v>
      </c>
      <c r="L142" s="34" t="s">
        <v>230</v>
      </c>
      <c r="M142" s="34" t="s">
        <v>231</v>
      </c>
      <c r="N142" s="34" t="str">
        <f aca="false">"Sector "&amp;VALUE(MID(D142,13,2))</f>
        <v>Sector 2</v>
      </c>
      <c r="O142" s="34" t="str">
        <f aca="false">IF(Dashboard!$C$5="Ubicación técnica",N142,"Sector "&amp;VALUE(RIGHT(G142,2)))</f>
        <v>Sector 2</v>
      </c>
      <c r="P142" s="34" t="str">
        <f aca="false">IF(MID(D142,15,3)="SEL","Subestación eléctrica","Área de proceso")</f>
        <v>Subestación eléctrica</v>
      </c>
      <c r="Q142" s="34" t="str">
        <f aca="false">MID(D142,13,5)&amp;"|"&amp;MID(D142,19,5)</f>
        <v>02SEL|S_015</v>
      </c>
      <c r="R142" s="34" t="str">
        <f aca="false">IF(P142="Subestación eléctrica",IFERROR(INDEX(cat_SubN,MATCH(Q142,cat_SubK,0)),"SIN CATALOGAR"),"ÁREA DE PROCESO")</f>
        <v>SE-15</v>
      </c>
      <c r="S142" s="34" t="str">
        <f aca="false">IF(H142="","SIN DATO",IFERROR(INDEX(cat_MarcaN,MATCH(H142,cat_MarcaO,0)),H142))</f>
        <v>ABB</v>
      </c>
      <c r="T142" s="34" t="str">
        <f aca="false">IF(I142="","SIN DATO",IFERROR(INDEX(cat_ModN,MATCH(I142,cat_ModO,0)),I142))</f>
        <v>1AFPAKAKNGC5BNN11G</v>
      </c>
      <c r="U142" s="34" t="str">
        <f aca="false">IF(I142="","",IFERROR(INDEX(cat_ModG,MATCH(I142,cat_ModO,0)),"No"))</f>
        <v>No</v>
      </c>
      <c r="V142" s="34" t="str">
        <f aca="false">IF(J142="","SIN DATO",IFERROR(INDEX(cat_FunN,MATCH(J142,cat_FunO,0)),J142))</f>
        <v>Protección</v>
      </c>
      <c r="W142" s="34" t="str">
        <f aca="false">IF(OR(S142="SIN DATO",T142="SIN DATO"),"No","Sí")</f>
        <v>Sí</v>
      </c>
    </row>
    <row r="143" customFormat="false" ht="15" hidden="false" customHeight="false" outlineLevel="0" collapsed="false">
      <c r="A143" s="34" t="s">
        <v>797</v>
      </c>
      <c r="B143" s="34" t="s">
        <v>798</v>
      </c>
      <c r="C143" s="34" t="s">
        <v>799</v>
      </c>
      <c r="D143" s="34" t="s">
        <v>796</v>
      </c>
      <c r="E143" s="34" t="s">
        <v>113</v>
      </c>
      <c r="F143" s="34" t="s">
        <v>675</v>
      </c>
      <c r="G143" s="34" t="s">
        <v>676</v>
      </c>
      <c r="H143" s="34" t="s">
        <v>34</v>
      </c>
      <c r="I143" s="34" t="s">
        <v>42</v>
      </c>
      <c r="J143" s="34" t="s">
        <v>681</v>
      </c>
      <c r="K143" s="34" t="s">
        <v>229</v>
      </c>
      <c r="L143" s="34" t="s">
        <v>230</v>
      </c>
      <c r="M143" s="34" t="s">
        <v>231</v>
      </c>
      <c r="N143" s="34" t="str">
        <f aca="false">"Sector "&amp;VALUE(MID(D143,13,2))</f>
        <v>Sector 2</v>
      </c>
      <c r="O143" s="34" t="str">
        <f aca="false">IF(Dashboard!$C$5="Ubicación técnica",N143,"Sector "&amp;VALUE(RIGHT(G143,2)))</f>
        <v>Sector 2</v>
      </c>
      <c r="P143" s="34" t="str">
        <f aca="false">IF(MID(D143,15,3)="SEL","Subestación eléctrica","Área de proceso")</f>
        <v>Subestación eléctrica</v>
      </c>
      <c r="Q143" s="34" t="str">
        <f aca="false">MID(D143,13,5)&amp;"|"&amp;MID(D143,19,5)</f>
        <v>02SEL|S_015</v>
      </c>
      <c r="R143" s="34" t="str">
        <f aca="false">IF(P143="Subestación eléctrica",IFERROR(INDEX(cat_SubN,MATCH(Q143,cat_SubK,0)),"SIN CATALOGAR"),"ÁREA DE PROCESO")</f>
        <v>SE-15</v>
      </c>
      <c r="S143" s="34" t="str">
        <f aca="false">IF(H143="","SIN DATO",IFERROR(INDEX(cat_MarcaN,MATCH(H143,cat_MarcaO,0)),H143))</f>
        <v>ABB</v>
      </c>
      <c r="T143" s="34" t="str">
        <f aca="false">IF(I143="","SIN DATO",IFERROR(INDEX(cat_ModN,MATCH(I143,cat_ModO,0)),I143))</f>
        <v>1AFPAKAKNGC5BNN11G</v>
      </c>
      <c r="U143" s="34" t="str">
        <f aca="false">IF(I143="","",IFERROR(INDEX(cat_ModG,MATCH(I143,cat_ModO,0)),"No"))</f>
        <v>No</v>
      </c>
      <c r="V143" s="34" t="str">
        <f aca="false">IF(J143="","SIN DATO",IFERROR(INDEX(cat_FunN,MATCH(J143,cat_FunO,0)),J143))</f>
        <v>Protección</v>
      </c>
      <c r="W143" s="34" t="str">
        <f aca="false">IF(OR(S143="SIN DATO",T143="SIN DATO"),"No","Sí")</f>
        <v>Sí</v>
      </c>
    </row>
    <row r="144" customFormat="false" ht="15" hidden="false" customHeight="false" outlineLevel="0" collapsed="false">
      <c r="A144" s="34" t="s">
        <v>800</v>
      </c>
      <c r="B144" s="34" t="s">
        <v>801</v>
      </c>
      <c r="C144" s="34" t="s">
        <v>802</v>
      </c>
      <c r="D144" s="34" t="s">
        <v>803</v>
      </c>
      <c r="E144" s="34" t="s">
        <v>113</v>
      </c>
      <c r="F144" s="34" t="s">
        <v>675</v>
      </c>
      <c r="G144" s="34" t="s">
        <v>676</v>
      </c>
      <c r="H144" s="34" t="s">
        <v>55</v>
      </c>
      <c r="I144" s="34" t="s">
        <v>58</v>
      </c>
      <c r="J144" s="34" t="s">
        <v>58</v>
      </c>
      <c r="K144" s="34" t="s">
        <v>229</v>
      </c>
      <c r="L144" s="34" t="s">
        <v>230</v>
      </c>
      <c r="M144" s="34" t="s">
        <v>344</v>
      </c>
      <c r="N144" s="34" t="str">
        <f aca="false">"Sector "&amp;VALUE(MID(D144,13,2))</f>
        <v>Sector 2</v>
      </c>
      <c r="O144" s="34" t="str">
        <f aca="false">IF(Dashboard!$C$5="Ubicación técnica",N144,"Sector "&amp;VALUE(RIGHT(G144,2)))</f>
        <v>Sector 2</v>
      </c>
      <c r="P144" s="34" t="str">
        <f aca="false">IF(MID(D144,15,3)="SEL","Subestación eléctrica","Área de proceso")</f>
        <v>Subestación eléctrica</v>
      </c>
      <c r="Q144" s="34" t="str">
        <f aca="false">MID(D144,13,5)&amp;"|"&amp;MID(D144,19,5)</f>
        <v>02SEL|S15_1</v>
      </c>
      <c r="R144" s="34" t="str">
        <f aca="false">IF(P144="Subestación eléctrica",IFERROR(INDEX(cat_SubN,MATCH(Q144,cat_SubK,0)),"SIN CATALOGAR"),"ÁREA DE PROCESO")</f>
        <v>SE-15-1</v>
      </c>
      <c r="S144" s="34" t="str">
        <f aca="false">IF(H144="","SIN DATO",IFERROR(INDEX(cat_MarcaN,MATCH(H144,cat_MarcaO,0)),H144))</f>
        <v>SEL</v>
      </c>
      <c r="T144" s="34" t="str">
        <f aca="false">IF(I144="","SIN DATO",IFERROR(INDEX(cat_ModN,MATCH(I144,cat_ModO,0)),I144))</f>
        <v>MEDICION</v>
      </c>
      <c r="U144" s="34" t="str">
        <f aca="false">IF(I144="","",IFERROR(INDEX(cat_ModG,MATCH(I144,cat_ModO,0)),"No"))</f>
        <v>Sí</v>
      </c>
      <c r="V144" s="34" t="str">
        <f aca="false">IF(J144="","SIN DATO",IFERROR(INDEX(cat_FunN,MATCH(J144,cat_FunO,0)),J144))</f>
        <v>Medición</v>
      </c>
      <c r="W144" s="34" t="str">
        <f aca="false">IF(OR(S144="SIN DATO",T144="SIN DATO"),"No","Sí")</f>
        <v>Sí</v>
      </c>
    </row>
    <row r="145" customFormat="false" ht="15" hidden="false" customHeight="false" outlineLevel="0" collapsed="false">
      <c r="A145" s="34" t="s">
        <v>804</v>
      </c>
      <c r="B145" s="34" t="s">
        <v>805</v>
      </c>
      <c r="C145" s="34" t="s">
        <v>806</v>
      </c>
      <c r="D145" s="34" t="s">
        <v>807</v>
      </c>
      <c r="E145" s="34" t="s">
        <v>113</v>
      </c>
      <c r="F145" s="34" t="s">
        <v>675</v>
      </c>
      <c r="G145" s="34" t="s">
        <v>676</v>
      </c>
      <c r="H145" s="34" t="s">
        <v>55</v>
      </c>
      <c r="I145" s="34" t="s">
        <v>58</v>
      </c>
      <c r="J145" s="34" t="s">
        <v>58</v>
      </c>
      <c r="K145" s="34" t="s">
        <v>229</v>
      </c>
      <c r="L145" s="34" t="s">
        <v>230</v>
      </c>
      <c r="M145" s="34" t="s">
        <v>344</v>
      </c>
      <c r="N145" s="34" t="str">
        <f aca="false">"Sector "&amp;VALUE(MID(D145,13,2))</f>
        <v>Sector 2</v>
      </c>
      <c r="O145" s="34" t="str">
        <f aca="false">IF(Dashboard!$C$5="Ubicación técnica",N145,"Sector "&amp;VALUE(RIGHT(G145,2)))</f>
        <v>Sector 2</v>
      </c>
      <c r="P145" s="34" t="str">
        <f aca="false">IF(MID(D145,15,3)="SEL","Subestación eléctrica","Área de proceso")</f>
        <v>Área de proceso</v>
      </c>
      <c r="Q145" s="34" t="str">
        <f aca="false">MID(D145,13,5)&amp;"|"&amp;MID(D145,19,5)</f>
        <v>02COR|SGASE</v>
      </c>
      <c r="R145" s="34" t="str">
        <f aca="false">IF(P145="Subestación eléctrica",IFERROR(INDEX(cat_SubN,MATCH(Q145,cat_SubK,0)),"SIN CATALOGAR"),"ÁREA DE PROCESO")</f>
        <v>ÁREA DE PROCESO</v>
      </c>
      <c r="S145" s="34" t="str">
        <f aca="false">IF(H145="","SIN DATO",IFERROR(INDEX(cat_MarcaN,MATCH(H145,cat_MarcaO,0)),H145))</f>
        <v>SEL</v>
      </c>
      <c r="T145" s="34" t="str">
        <f aca="false">IF(I145="","SIN DATO",IFERROR(INDEX(cat_ModN,MATCH(I145,cat_ModO,0)),I145))</f>
        <v>MEDICION</v>
      </c>
      <c r="U145" s="34" t="str">
        <f aca="false">IF(I145="","",IFERROR(INDEX(cat_ModG,MATCH(I145,cat_ModO,0)),"No"))</f>
        <v>Sí</v>
      </c>
      <c r="V145" s="34" t="str">
        <f aca="false">IF(J145="","SIN DATO",IFERROR(INDEX(cat_FunN,MATCH(J145,cat_FunO,0)),J145))</f>
        <v>Medición</v>
      </c>
      <c r="W145" s="34" t="str">
        <f aca="false">IF(OR(S145="SIN DATO",T145="SIN DATO"),"No","Sí")</f>
        <v>Sí</v>
      </c>
    </row>
    <row r="146" customFormat="false" ht="15" hidden="false" customHeight="false" outlineLevel="0" collapsed="false">
      <c r="A146" s="34" t="s">
        <v>808</v>
      </c>
      <c r="B146" s="34" t="s">
        <v>809</v>
      </c>
      <c r="C146" s="34" t="s">
        <v>810</v>
      </c>
      <c r="D146" s="34" t="s">
        <v>811</v>
      </c>
      <c r="E146" s="34" t="s">
        <v>113</v>
      </c>
      <c r="F146" s="34" t="s">
        <v>675</v>
      </c>
      <c r="G146" s="34" t="s">
        <v>676</v>
      </c>
      <c r="H146" s="34" t="s">
        <v>34</v>
      </c>
      <c r="I146" s="34" t="s">
        <v>36</v>
      </c>
      <c r="J146" s="34" t="s">
        <v>228</v>
      </c>
      <c r="K146" s="34" t="s">
        <v>229</v>
      </c>
      <c r="L146" s="34" t="s">
        <v>230</v>
      </c>
      <c r="M146" s="34" t="s">
        <v>231</v>
      </c>
      <c r="N146" s="34" t="str">
        <f aca="false">"Sector "&amp;VALUE(MID(D146,13,2))</f>
        <v>Sector 2</v>
      </c>
      <c r="O146" s="34" t="str">
        <f aca="false">IF(Dashboard!$C$5="Ubicación técnica",N146,"Sector "&amp;VALUE(RIGHT(G146,2)))</f>
        <v>Sector 2</v>
      </c>
      <c r="P146" s="34" t="str">
        <f aca="false">IF(MID(D146,15,3)="SEL","Subestación eléctrica","Área de proceso")</f>
        <v>Subestación eléctrica</v>
      </c>
      <c r="Q146" s="34" t="str">
        <f aca="false">MID(D146,13,5)&amp;"|"&amp;MID(D146,19,5)</f>
        <v>02SEL|S_015</v>
      </c>
      <c r="R146" s="34" t="str">
        <f aca="false">IF(P146="Subestación eléctrica",IFERROR(INDEX(cat_SubN,MATCH(Q146,cat_SubK,0)),"SIN CATALOGAR"),"ÁREA DE PROCESO")</f>
        <v>SE-15</v>
      </c>
      <c r="S146" s="34" t="str">
        <f aca="false">IF(H146="","SIN DATO",IFERROR(INDEX(cat_MarcaN,MATCH(H146,cat_MarcaO,0)),H146))</f>
        <v>ABB</v>
      </c>
      <c r="T146" s="34" t="str">
        <f aca="false">IF(I146="","SIN DATO",IFERROR(INDEX(cat_ModN,MATCH(I146,cat_ModO,0)),I146))</f>
        <v>1AFFAEAGNEC5BNA11G</v>
      </c>
      <c r="U146" s="34" t="str">
        <f aca="false">IF(I146="","",IFERROR(INDEX(cat_ModG,MATCH(I146,cat_ModO,0)),"No"))</f>
        <v>No</v>
      </c>
      <c r="V146" s="34" t="str">
        <f aca="false">IF(J146="","SIN DATO",IFERROR(INDEX(cat_FunN,MATCH(J146,cat_FunO,0)),J146))</f>
        <v>Protección y medición</v>
      </c>
      <c r="W146" s="34" t="str">
        <f aca="false">IF(OR(S146="SIN DATO",T146="SIN DATO"),"No","Sí")</f>
        <v>Sí</v>
      </c>
    </row>
    <row r="147" customFormat="false" ht="15" hidden="false" customHeight="false" outlineLevel="0" collapsed="false">
      <c r="A147" s="34" t="s">
        <v>812</v>
      </c>
      <c r="B147" s="34" t="s">
        <v>813</v>
      </c>
      <c r="C147" s="34" t="s">
        <v>814</v>
      </c>
      <c r="D147" s="34" t="s">
        <v>696</v>
      </c>
      <c r="E147" s="34" t="s">
        <v>113</v>
      </c>
      <c r="F147" s="34" t="s">
        <v>675</v>
      </c>
      <c r="G147" s="34" t="s">
        <v>676</v>
      </c>
      <c r="H147" s="34" t="s">
        <v>34</v>
      </c>
      <c r="I147" s="34" t="s">
        <v>36</v>
      </c>
      <c r="J147" s="34" t="s">
        <v>228</v>
      </c>
      <c r="K147" s="34" t="s">
        <v>229</v>
      </c>
      <c r="L147" s="34" t="s">
        <v>230</v>
      </c>
      <c r="M147" s="34" t="s">
        <v>231</v>
      </c>
      <c r="N147" s="34" t="str">
        <f aca="false">"Sector "&amp;VALUE(MID(D147,13,2))</f>
        <v>Sector 2</v>
      </c>
      <c r="O147" s="34" t="str">
        <f aca="false">IF(Dashboard!$C$5="Ubicación técnica",N147,"Sector "&amp;VALUE(RIGHT(G147,2)))</f>
        <v>Sector 2</v>
      </c>
      <c r="P147" s="34" t="str">
        <f aca="false">IF(MID(D147,15,3)="SEL","Subestación eléctrica","Área de proceso")</f>
        <v>Área de proceso</v>
      </c>
      <c r="Q147" s="34" t="str">
        <f aca="false">MID(D147,13,5)&amp;"|"&amp;MID(D147,19,5)</f>
        <v>02COR|SREAC</v>
      </c>
      <c r="R147" s="34" t="str">
        <f aca="false">IF(P147="Subestación eléctrica",IFERROR(INDEX(cat_SubN,MATCH(Q147,cat_SubK,0)),"SIN CATALOGAR"),"ÁREA DE PROCESO")</f>
        <v>ÁREA DE PROCESO</v>
      </c>
      <c r="S147" s="34" t="str">
        <f aca="false">IF(H147="","SIN DATO",IFERROR(INDEX(cat_MarcaN,MATCH(H147,cat_MarcaO,0)),H147))</f>
        <v>ABB</v>
      </c>
      <c r="T147" s="34" t="str">
        <f aca="false">IF(I147="","SIN DATO",IFERROR(INDEX(cat_ModN,MATCH(I147,cat_ModO,0)),I147))</f>
        <v>1AFFAEAGNEC5BNA11G</v>
      </c>
      <c r="U147" s="34" t="str">
        <f aca="false">IF(I147="","",IFERROR(INDEX(cat_ModG,MATCH(I147,cat_ModO,0)),"No"))</f>
        <v>No</v>
      </c>
      <c r="V147" s="34" t="str">
        <f aca="false">IF(J147="","SIN DATO",IFERROR(INDEX(cat_FunN,MATCH(J147,cat_FunO,0)),J147))</f>
        <v>Protección y medición</v>
      </c>
      <c r="W147" s="34" t="str">
        <f aca="false">IF(OR(S147="SIN DATO",T147="SIN DATO"),"No","Sí")</f>
        <v>Sí</v>
      </c>
    </row>
    <row r="148" customFormat="false" ht="15" hidden="false" customHeight="false" outlineLevel="0" collapsed="false">
      <c r="A148" s="34" t="s">
        <v>815</v>
      </c>
      <c r="B148" s="34" t="s">
        <v>816</v>
      </c>
      <c r="C148" s="34" t="s">
        <v>817</v>
      </c>
      <c r="D148" s="34" t="s">
        <v>696</v>
      </c>
      <c r="E148" s="34" t="s">
        <v>113</v>
      </c>
      <c r="F148" s="34" t="s">
        <v>675</v>
      </c>
      <c r="G148" s="34" t="s">
        <v>676</v>
      </c>
      <c r="H148" s="34" t="s">
        <v>34</v>
      </c>
      <c r="I148" s="34" t="s">
        <v>36</v>
      </c>
      <c r="J148" s="34" t="s">
        <v>228</v>
      </c>
      <c r="K148" s="34" t="s">
        <v>229</v>
      </c>
      <c r="L148" s="34" t="s">
        <v>230</v>
      </c>
      <c r="M148" s="34" t="s">
        <v>231</v>
      </c>
      <c r="N148" s="34" t="str">
        <f aca="false">"Sector "&amp;VALUE(MID(D148,13,2))</f>
        <v>Sector 2</v>
      </c>
      <c r="O148" s="34" t="str">
        <f aca="false">IF(Dashboard!$C$5="Ubicación técnica",N148,"Sector "&amp;VALUE(RIGHT(G148,2)))</f>
        <v>Sector 2</v>
      </c>
      <c r="P148" s="34" t="str">
        <f aca="false">IF(MID(D148,15,3)="SEL","Subestación eléctrica","Área de proceso")</f>
        <v>Área de proceso</v>
      </c>
      <c r="Q148" s="34" t="str">
        <f aca="false">MID(D148,13,5)&amp;"|"&amp;MID(D148,19,5)</f>
        <v>02COR|SREAC</v>
      </c>
      <c r="R148" s="34" t="str">
        <f aca="false">IF(P148="Subestación eléctrica",IFERROR(INDEX(cat_SubN,MATCH(Q148,cat_SubK,0)),"SIN CATALOGAR"),"ÁREA DE PROCESO")</f>
        <v>ÁREA DE PROCESO</v>
      </c>
      <c r="S148" s="34" t="str">
        <f aca="false">IF(H148="","SIN DATO",IFERROR(INDEX(cat_MarcaN,MATCH(H148,cat_MarcaO,0)),H148))</f>
        <v>ABB</v>
      </c>
      <c r="T148" s="34" t="str">
        <f aca="false">IF(I148="","SIN DATO",IFERROR(INDEX(cat_ModN,MATCH(I148,cat_ModO,0)),I148))</f>
        <v>1AFFAEAGNEC5BNA11G</v>
      </c>
      <c r="U148" s="34" t="str">
        <f aca="false">IF(I148="","",IFERROR(INDEX(cat_ModG,MATCH(I148,cat_ModO,0)),"No"))</f>
        <v>No</v>
      </c>
      <c r="V148" s="34" t="str">
        <f aca="false">IF(J148="","SIN DATO",IFERROR(INDEX(cat_FunN,MATCH(J148,cat_FunO,0)),J148))</f>
        <v>Protección y medición</v>
      </c>
      <c r="W148" s="34" t="str">
        <f aca="false">IF(OR(S148="SIN DATO",T148="SIN DATO"),"No","Sí")</f>
        <v>Sí</v>
      </c>
    </row>
    <row r="149" customFormat="false" ht="15" hidden="false" customHeight="false" outlineLevel="0" collapsed="false">
      <c r="A149" s="34" t="s">
        <v>818</v>
      </c>
      <c r="B149" s="34" t="s">
        <v>819</v>
      </c>
      <c r="C149" s="34" t="s">
        <v>820</v>
      </c>
      <c r="D149" s="34" t="s">
        <v>727</v>
      </c>
      <c r="E149" s="34" t="s">
        <v>113</v>
      </c>
      <c r="F149" s="34" t="s">
        <v>675</v>
      </c>
      <c r="G149" s="34" t="s">
        <v>676</v>
      </c>
      <c r="H149" s="34" t="s">
        <v>34</v>
      </c>
      <c r="I149" s="34" t="s">
        <v>36</v>
      </c>
      <c r="J149" s="34" t="s">
        <v>228</v>
      </c>
      <c r="K149" s="34" t="s">
        <v>229</v>
      </c>
      <c r="L149" s="34" t="s">
        <v>230</v>
      </c>
      <c r="M149" s="34" t="s">
        <v>231</v>
      </c>
      <c r="N149" s="34" t="str">
        <f aca="false">"Sector "&amp;VALUE(MID(D149,13,2))</f>
        <v>Sector 2</v>
      </c>
      <c r="O149" s="34" t="str">
        <f aca="false">IF(Dashboard!$C$5="Ubicación técnica",N149,"Sector "&amp;VALUE(RIGHT(G149,2)))</f>
        <v>Sector 2</v>
      </c>
      <c r="P149" s="34" t="str">
        <f aca="false">IF(MID(D149,15,3)="SEL","Subestación eléctrica","Área de proceso")</f>
        <v>Área de proceso</v>
      </c>
      <c r="Q149" s="34" t="str">
        <f aca="false">MID(D149,13,5)&amp;"|"&amp;MID(D149,19,5)</f>
        <v>02COR|SREAC</v>
      </c>
      <c r="R149" s="34" t="str">
        <f aca="false">IF(P149="Subestación eléctrica",IFERROR(INDEX(cat_SubN,MATCH(Q149,cat_SubK,0)),"SIN CATALOGAR"),"ÁREA DE PROCESO")</f>
        <v>ÁREA DE PROCESO</v>
      </c>
      <c r="S149" s="34" t="str">
        <f aca="false">IF(H149="","SIN DATO",IFERROR(INDEX(cat_MarcaN,MATCH(H149,cat_MarcaO,0)),H149))</f>
        <v>ABB</v>
      </c>
      <c r="T149" s="34" t="str">
        <f aca="false">IF(I149="","SIN DATO",IFERROR(INDEX(cat_ModN,MATCH(I149,cat_ModO,0)),I149))</f>
        <v>1AFFAEAGNEC5BNA11G</v>
      </c>
      <c r="U149" s="34" t="str">
        <f aca="false">IF(I149="","",IFERROR(INDEX(cat_ModG,MATCH(I149,cat_ModO,0)),"No"))</f>
        <v>No</v>
      </c>
      <c r="V149" s="34" t="str">
        <f aca="false">IF(J149="","SIN DATO",IFERROR(INDEX(cat_FunN,MATCH(J149,cat_FunO,0)),J149))</f>
        <v>Protección y medición</v>
      </c>
      <c r="W149" s="34" t="str">
        <f aca="false">IF(OR(S149="SIN DATO",T149="SIN DATO"),"No","Sí")</f>
        <v>Sí</v>
      </c>
    </row>
    <row r="150" customFormat="false" ht="15" hidden="false" customHeight="false" outlineLevel="0" collapsed="false">
      <c r="A150" s="34" t="s">
        <v>821</v>
      </c>
      <c r="B150" s="34" t="s">
        <v>822</v>
      </c>
      <c r="C150" s="34" t="s">
        <v>823</v>
      </c>
      <c r="D150" s="34" t="s">
        <v>727</v>
      </c>
      <c r="E150" s="34" t="s">
        <v>113</v>
      </c>
      <c r="F150" s="34" t="s">
        <v>675</v>
      </c>
      <c r="G150" s="34" t="s">
        <v>676</v>
      </c>
      <c r="H150" s="34" t="s">
        <v>34</v>
      </c>
      <c r="I150" s="34" t="s">
        <v>36</v>
      </c>
      <c r="J150" s="34" t="s">
        <v>228</v>
      </c>
      <c r="K150" s="34" t="s">
        <v>229</v>
      </c>
      <c r="L150" s="34" t="s">
        <v>230</v>
      </c>
      <c r="M150" s="34" t="s">
        <v>231</v>
      </c>
      <c r="N150" s="34" t="str">
        <f aca="false">"Sector "&amp;VALUE(MID(D150,13,2))</f>
        <v>Sector 2</v>
      </c>
      <c r="O150" s="34" t="str">
        <f aca="false">IF(Dashboard!$C$5="Ubicación técnica",N150,"Sector "&amp;VALUE(RIGHT(G150,2)))</f>
        <v>Sector 2</v>
      </c>
      <c r="P150" s="34" t="str">
        <f aca="false">IF(MID(D150,15,3)="SEL","Subestación eléctrica","Área de proceso")</f>
        <v>Área de proceso</v>
      </c>
      <c r="Q150" s="34" t="str">
        <f aca="false">MID(D150,13,5)&amp;"|"&amp;MID(D150,19,5)</f>
        <v>02COR|SREAC</v>
      </c>
      <c r="R150" s="34" t="str">
        <f aca="false">IF(P150="Subestación eléctrica",IFERROR(INDEX(cat_SubN,MATCH(Q150,cat_SubK,0)),"SIN CATALOGAR"),"ÁREA DE PROCESO")</f>
        <v>ÁREA DE PROCESO</v>
      </c>
      <c r="S150" s="34" t="str">
        <f aca="false">IF(H150="","SIN DATO",IFERROR(INDEX(cat_MarcaN,MATCH(H150,cat_MarcaO,0)),H150))</f>
        <v>ABB</v>
      </c>
      <c r="T150" s="34" t="str">
        <f aca="false">IF(I150="","SIN DATO",IFERROR(INDEX(cat_ModN,MATCH(I150,cat_ModO,0)),I150))</f>
        <v>1AFFAEAGNEC5BNA11G</v>
      </c>
      <c r="U150" s="34" t="str">
        <f aca="false">IF(I150="","",IFERROR(INDEX(cat_ModG,MATCH(I150,cat_ModO,0)),"No"))</f>
        <v>No</v>
      </c>
      <c r="V150" s="34" t="str">
        <f aca="false">IF(J150="","SIN DATO",IFERROR(INDEX(cat_FunN,MATCH(J150,cat_FunO,0)),J150))</f>
        <v>Protección y medición</v>
      </c>
      <c r="W150" s="34" t="str">
        <f aca="false">IF(OR(S150="SIN DATO",T150="SIN DATO"),"No","Sí")</f>
        <v>Sí</v>
      </c>
    </row>
    <row r="151" customFormat="false" ht="15" hidden="false" customHeight="false" outlineLevel="0" collapsed="false">
      <c r="A151" s="34" t="s">
        <v>824</v>
      </c>
      <c r="B151" s="34" t="s">
        <v>825</v>
      </c>
      <c r="C151" s="34" t="s">
        <v>826</v>
      </c>
      <c r="D151" s="34" t="s">
        <v>827</v>
      </c>
      <c r="E151" s="34" t="s">
        <v>113</v>
      </c>
      <c r="F151" s="34" t="s">
        <v>675</v>
      </c>
      <c r="G151" s="34" t="s">
        <v>676</v>
      </c>
      <c r="H151" s="34" t="s">
        <v>34</v>
      </c>
      <c r="I151" s="34" t="s">
        <v>36</v>
      </c>
      <c r="J151" s="34" t="s">
        <v>228</v>
      </c>
      <c r="K151" s="34" t="s">
        <v>229</v>
      </c>
      <c r="L151" s="34" t="s">
        <v>230</v>
      </c>
      <c r="M151" s="34" t="s">
        <v>231</v>
      </c>
      <c r="N151" s="34" t="str">
        <f aca="false">"Sector "&amp;VALUE(MID(D151,13,2))</f>
        <v>Sector 2</v>
      </c>
      <c r="O151" s="34" t="str">
        <f aca="false">IF(Dashboard!$C$5="Ubicación técnica",N151,"Sector "&amp;VALUE(RIGHT(G151,2)))</f>
        <v>Sector 2</v>
      </c>
      <c r="P151" s="34" t="str">
        <f aca="false">IF(MID(D151,15,3)="SEL","Subestación eléctrica","Área de proceso")</f>
        <v>Subestación eléctrica</v>
      </c>
      <c r="Q151" s="34" t="str">
        <f aca="false">MID(D151,13,5)&amp;"|"&amp;MID(D151,19,5)</f>
        <v>02SEL|S15_1</v>
      </c>
      <c r="R151" s="34" t="str">
        <f aca="false">IF(P151="Subestación eléctrica",IFERROR(INDEX(cat_SubN,MATCH(Q151,cat_SubK,0)),"SIN CATALOGAR"),"ÁREA DE PROCESO")</f>
        <v>SE-15-1</v>
      </c>
      <c r="S151" s="34" t="str">
        <f aca="false">IF(H151="","SIN DATO",IFERROR(INDEX(cat_MarcaN,MATCH(H151,cat_MarcaO,0)),H151))</f>
        <v>ABB</v>
      </c>
      <c r="T151" s="34" t="str">
        <f aca="false">IF(I151="","SIN DATO",IFERROR(INDEX(cat_ModN,MATCH(I151,cat_ModO,0)),I151))</f>
        <v>1AFFAEAGNEC5BNA11G</v>
      </c>
      <c r="U151" s="34" t="str">
        <f aca="false">IF(I151="","",IFERROR(INDEX(cat_ModG,MATCH(I151,cat_ModO,0)),"No"))</f>
        <v>No</v>
      </c>
      <c r="V151" s="34" t="str">
        <f aca="false">IF(J151="","SIN DATO",IFERROR(INDEX(cat_FunN,MATCH(J151,cat_FunO,0)),J151))</f>
        <v>Protección y medición</v>
      </c>
      <c r="W151" s="34" t="str">
        <f aca="false">IF(OR(S151="SIN DATO",T151="SIN DATO"),"No","Sí")</f>
        <v>Sí</v>
      </c>
    </row>
    <row r="152" customFormat="false" ht="15" hidden="false" customHeight="false" outlineLevel="0" collapsed="false">
      <c r="A152" s="34" t="s">
        <v>828</v>
      </c>
      <c r="B152" s="34" t="s">
        <v>829</v>
      </c>
      <c r="C152" s="34" t="s">
        <v>830</v>
      </c>
      <c r="D152" s="34" t="s">
        <v>716</v>
      </c>
      <c r="E152" s="34" t="s">
        <v>113</v>
      </c>
      <c r="F152" s="34" t="s">
        <v>675</v>
      </c>
      <c r="G152" s="34" t="s">
        <v>676</v>
      </c>
      <c r="H152" s="34" t="s">
        <v>34</v>
      </c>
      <c r="I152" s="34" t="s">
        <v>36</v>
      </c>
      <c r="J152" s="34" t="s">
        <v>228</v>
      </c>
      <c r="K152" s="34" t="s">
        <v>229</v>
      </c>
      <c r="L152" s="34" t="s">
        <v>230</v>
      </c>
      <c r="M152" s="34" t="s">
        <v>231</v>
      </c>
      <c r="N152" s="34" t="str">
        <f aca="false">"Sector "&amp;VALUE(MID(D152,13,2))</f>
        <v>Sector 2</v>
      </c>
      <c r="O152" s="34" t="str">
        <f aca="false">IF(Dashboard!$C$5="Ubicación técnica",N152,"Sector "&amp;VALUE(RIGHT(G152,2)))</f>
        <v>Sector 2</v>
      </c>
      <c r="P152" s="34" t="str">
        <f aca="false">IF(MID(D152,15,3)="SEL","Subestación eléctrica","Área de proceso")</f>
        <v>Subestación eléctrica</v>
      </c>
      <c r="Q152" s="34" t="str">
        <f aca="false">MID(D152,13,5)&amp;"|"&amp;MID(D152,19,5)</f>
        <v>02SEL|S15_1</v>
      </c>
      <c r="R152" s="34" t="str">
        <f aca="false">IF(P152="Subestación eléctrica",IFERROR(INDEX(cat_SubN,MATCH(Q152,cat_SubK,0)),"SIN CATALOGAR"),"ÁREA DE PROCESO")</f>
        <v>SE-15-1</v>
      </c>
      <c r="S152" s="34" t="str">
        <f aca="false">IF(H152="","SIN DATO",IFERROR(INDEX(cat_MarcaN,MATCH(H152,cat_MarcaO,0)),H152))</f>
        <v>ABB</v>
      </c>
      <c r="T152" s="34" t="str">
        <f aca="false">IF(I152="","SIN DATO",IFERROR(INDEX(cat_ModN,MATCH(I152,cat_ModO,0)),I152))</f>
        <v>1AFFAEAGNEC5BNA11G</v>
      </c>
      <c r="U152" s="34" t="str">
        <f aca="false">IF(I152="","",IFERROR(INDEX(cat_ModG,MATCH(I152,cat_ModO,0)),"No"))</f>
        <v>No</v>
      </c>
      <c r="V152" s="34" t="str">
        <f aca="false">IF(J152="","SIN DATO",IFERROR(INDEX(cat_FunN,MATCH(J152,cat_FunO,0)),J152))</f>
        <v>Protección y medición</v>
      </c>
      <c r="W152" s="34" t="str">
        <f aca="false">IF(OR(S152="SIN DATO",T152="SIN DATO"),"No","Sí")</f>
        <v>Sí</v>
      </c>
    </row>
    <row r="153" customFormat="false" ht="15" hidden="false" customHeight="false" outlineLevel="0" collapsed="false">
      <c r="A153" s="34" t="s">
        <v>831</v>
      </c>
      <c r="B153" s="34" t="s">
        <v>832</v>
      </c>
      <c r="C153" s="34" t="s">
        <v>833</v>
      </c>
      <c r="D153" s="34" t="s">
        <v>720</v>
      </c>
      <c r="E153" s="34" t="s">
        <v>113</v>
      </c>
      <c r="F153" s="34" t="s">
        <v>675</v>
      </c>
      <c r="G153" s="34" t="s">
        <v>676</v>
      </c>
      <c r="H153" s="34" t="s">
        <v>34</v>
      </c>
      <c r="I153" s="34" t="s">
        <v>36</v>
      </c>
      <c r="J153" s="34" t="s">
        <v>228</v>
      </c>
      <c r="K153" s="34" t="s">
        <v>229</v>
      </c>
      <c r="L153" s="34" t="s">
        <v>230</v>
      </c>
      <c r="M153" s="34" t="s">
        <v>231</v>
      </c>
      <c r="N153" s="34" t="str">
        <f aca="false">"Sector "&amp;VALUE(MID(D153,13,2))</f>
        <v>Sector 2</v>
      </c>
      <c r="O153" s="34" t="str">
        <f aca="false">IF(Dashboard!$C$5="Ubicación técnica",N153,"Sector "&amp;VALUE(RIGHT(G153,2)))</f>
        <v>Sector 2</v>
      </c>
      <c r="P153" s="34" t="str">
        <f aca="false">IF(MID(D153,15,3)="SEL","Subestación eléctrica","Área de proceso")</f>
        <v>Área de proceso</v>
      </c>
      <c r="Q153" s="34" t="str">
        <f aca="false">MID(D153,13,5)&amp;"|"&amp;MID(D153,19,5)</f>
        <v>02COR|SREAC</v>
      </c>
      <c r="R153" s="34" t="str">
        <f aca="false">IF(P153="Subestación eléctrica",IFERROR(INDEX(cat_SubN,MATCH(Q153,cat_SubK,0)),"SIN CATALOGAR"),"ÁREA DE PROCESO")</f>
        <v>ÁREA DE PROCESO</v>
      </c>
      <c r="S153" s="34" t="str">
        <f aca="false">IF(H153="","SIN DATO",IFERROR(INDEX(cat_MarcaN,MATCH(H153,cat_MarcaO,0)),H153))</f>
        <v>ABB</v>
      </c>
      <c r="T153" s="34" t="str">
        <f aca="false">IF(I153="","SIN DATO",IFERROR(INDEX(cat_ModN,MATCH(I153,cat_ModO,0)),I153))</f>
        <v>1AFFAEAGNEC5BNA11G</v>
      </c>
      <c r="U153" s="34" t="str">
        <f aca="false">IF(I153="","",IFERROR(INDEX(cat_ModG,MATCH(I153,cat_ModO,0)),"No"))</f>
        <v>No</v>
      </c>
      <c r="V153" s="34" t="str">
        <f aca="false">IF(J153="","SIN DATO",IFERROR(INDEX(cat_FunN,MATCH(J153,cat_FunO,0)),J153))</f>
        <v>Protección y medición</v>
      </c>
      <c r="W153" s="34" t="str">
        <f aca="false">IF(OR(S153="SIN DATO",T153="SIN DATO"),"No","Sí")</f>
        <v>Sí</v>
      </c>
    </row>
    <row r="154" customFormat="false" ht="15" hidden="false" customHeight="false" outlineLevel="0" collapsed="false">
      <c r="A154" s="34" t="s">
        <v>834</v>
      </c>
      <c r="B154" s="34" t="s">
        <v>835</v>
      </c>
      <c r="C154" s="34" t="s">
        <v>836</v>
      </c>
      <c r="D154" s="34" t="s">
        <v>720</v>
      </c>
      <c r="E154" s="34" t="s">
        <v>113</v>
      </c>
      <c r="F154" s="34" t="s">
        <v>675</v>
      </c>
      <c r="G154" s="34" t="s">
        <v>676</v>
      </c>
      <c r="H154" s="34" t="s">
        <v>34</v>
      </c>
      <c r="I154" s="34" t="s">
        <v>36</v>
      </c>
      <c r="J154" s="34" t="s">
        <v>228</v>
      </c>
      <c r="K154" s="34" t="s">
        <v>229</v>
      </c>
      <c r="L154" s="34" t="s">
        <v>230</v>
      </c>
      <c r="M154" s="34" t="s">
        <v>231</v>
      </c>
      <c r="N154" s="34" t="str">
        <f aca="false">"Sector "&amp;VALUE(MID(D154,13,2))</f>
        <v>Sector 2</v>
      </c>
      <c r="O154" s="34" t="str">
        <f aca="false">IF(Dashboard!$C$5="Ubicación técnica",N154,"Sector "&amp;VALUE(RIGHT(G154,2)))</f>
        <v>Sector 2</v>
      </c>
      <c r="P154" s="34" t="str">
        <f aca="false">IF(MID(D154,15,3)="SEL","Subestación eléctrica","Área de proceso")</f>
        <v>Área de proceso</v>
      </c>
      <c r="Q154" s="34" t="str">
        <f aca="false">MID(D154,13,5)&amp;"|"&amp;MID(D154,19,5)</f>
        <v>02COR|SREAC</v>
      </c>
      <c r="R154" s="34" t="str">
        <f aca="false">IF(P154="Subestación eléctrica",IFERROR(INDEX(cat_SubN,MATCH(Q154,cat_SubK,0)),"SIN CATALOGAR"),"ÁREA DE PROCESO")</f>
        <v>ÁREA DE PROCESO</v>
      </c>
      <c r="S154" s="34" t="str">
        <f aca="false">IF(H154="","SIN DATO",IFERROR(INDEX(cat_MarcaN,MATCH(H154,cat_MarcaO,0)),H154))</f>
        <v>ABB</v>
      </c>
      <c r="T154" s="34" t="str">
        <f aca="false">IF(I154="","SIN DATO",IFERROR(INDEX(cat_ModN,MATCH(I154,cat_ModO,0)),I154))</f>
        <v>1AFFAEAGNEC5BNA11G</v>
      </c>
      <c r="U154" s="34" t="str">
        <f aca="false">IF(I154="","",IFERROR(INDEX(cat_ModG,MATCH(I154,cat_ModO,0)),"No"))</f>
        <v>No</v>
      </c>
      <c r="V154" s="34" t="str">
        <f aca="false">IF(J154="","SIN DATO",IFERROR(INDEX(cat_FunN,MATCH(J154,cat_FunO,0)),J154))</f>
        <v>Protección y medición</v>
      </c>
      <c r="W154" s="34" t="str">
        <f aca="false">IF(OR(S154="SIN DATO",T154="SIN DATO"),"No","Sí")</f>
        <v>Sí</v>
      </c>
    </row>
    <row r="155" customFormat="false" ht="15" hidden="false" customHeight="false" outlineLevel="0" collapsed="false">
      <c r="A155" s="34" t="s">
        <v>837</v>
      </c>
      <c r="B155" s="34" t="s">
        <v>838</v>
      </c>
      <c r="C155" s="34" t="s">
        <v>839</v>
      </c>
      <c r="D155" s="34" t="s">
        <v>680</v>
      </c>
      <c r="E155" s="34" t="s">
        <v>113</v>
      </c>
      <c r="F155" s="34" t="s">
        <v>675</v>
      </c>
      <c r="G155" s="34" t="s">
        <v>676</v>
      </c>
      <c r="H155" s="34" t="s">
        <v>55</v>
      </c>
      <c r="I155" s="34" t="s">
        <v>58</v>
      </c>
      <c r="J155" s="34" t="s">
        <v>58</v>
      </c>
      <c r="K155" s="34" t="s">
        <v>229</v>
      </c>
      <c r="L155" s="34" t="s">
        <v>230</v>
      </c>
      <c r="M155" s="34" t="s">
        <v>344</v>
      </c>
      <c r="N155" s="34" t="str">
        <f aca="false">"Sector "&amp;VALUE(MID(D155,13,2))</f>
        <v>Sector 2</v>
      </c>
      <c r="O155" s="34" t="str">
        <f aca="false">IF(Dashboard!$C$5="Ubicación técnica",N155,"Sector "&amp;VALUE(RIGHT(G155,2)))</f>
        <v>Sector 2</v>
      </c>
      <c r="P155" s="34" t="str">
        <f aca="false">IF(MID(D155,15,3)="SEL","Subestación eléctrica","Área de proceso")</f>
        <v>Subestación eléctrica</v>
      </c>
      <c r="Q155" s="34" t="str">
        <f aca="false">MID(D155,13,5)&amp;"|"&amp;MID(D155,19,5)</f>
        <v>02SEL|S15_1</v>
      </c>
      <c r="R155" s="34" t="str">
        <f aca="false">IF(P155="Subestación eléctrica",IFERROR(INDEX(cat_SubN,MATCH(Q155,cat_SubK,0)),"SIN CATALOGAR"),"ÁREA DE PROCESO")</f>
        <v>SE-15-1</v>
      </c>
      <c r="S155" s="34" t="str">
        <f aca="false">IF(H155="","SIN DATO",IFERROR(INDEX(cat_MarcaN,MATCH(H155,cat_MarcaO,0)),H155))</f>
        <v>SEL</v>
      </c>
      <c r="T155" s="34" t="str">
        <f aca="false">IF(I155="","SIN DATO",IFERROR(INDEX(cat_ModN,MATCH(I155,cat_ModO,0)),I155))</f>
        <v>MEDICION</v>
      </c>
      <c r="U155" s="34" t="str">
        <f aca="false">IF(I155="","",IFERROR(INDEX(cat_ModG,MATCH(I155,cat_ModO,0)),"No"))</f>
        <v>Sí</v>
      </c>
      <c r="V155" s="34" t="str">
        <f aca="false">IF(J155="","SIN DATO",IFERROR(INDEX(cat_FunN,MATCH(J155,cat_FunO,0)),J155))</f>
        <v>Medición</v>
      </c>
      <c r="W155" s="34" t="str">
        <f aca="false">IF(OR(S155="SIN DATO",T155="SIN DATO"),"No","Sí")</f>
        <v>Sí</v>
      </c>
    </row>
    <row r="156" customFormat="false" ht="15" hidden="false" customHeight="false" outlineLevel="0" collapsed="false">
      <c r="A156" s="34" t="s">
        <v>840</v>
      </c>
      <c r="B156" s="34" t="s">
        <v>841</v>
      </c>
      <c r="C156" s="34" t="s">
        <v>842</v>
      </c>
      <c r="D156" s="34" t="s">
        <v>761</v>
      </c>
      <c r="E156" s="34" t="s">
        <v>113</v>
      </c>
      <c r="F156" s="34" t="s">
        <v>675</v>
      </c>
      <c r="G156" s="34" t="s">
        <v>676</v>
      </c>
      <c r="H156" s="34" t="s">
        <v>55</v>
      </c>
      <c r="I156" s="34" t="s">
        <v>58</v>
      </c>
      <c r="J156" s="34" t="s">
        <v>58</v>
      </c>
      <c r="K156" s="34" t="s">
        <v>229</v>
      </c>
      <c r="L156" s="34" t="s">
        <v>230</v>
      </c>
      <c r="M156" s="34" t="s">
        <v>344</v>
      </c>
      <c r="N156" s="34" t="str">
        <f aca="false">"Sector "&amp;VALUE(MID(D156,13,2))</f>
        <v>Sector 2</v>
      </c>
      <c r="O156" s="34" t="str">
        <f aca="false">IF(Dashboard!$C$5="Ubicación técnica",N156,"Sector "&amp;VALUE(RIGHT(G156,2)))</f>
        <v>Sector 2</v>
      </c>
      <c r="P156" s="34" t="str">
        <f aca="false">IF(MID(D156,15,3)="SEL","Subestación eléctrica","Área de proceso")</f>
        <v>Subestación eléctrica</v>
      </c>
      <c r="Q156" s="34" t="str">
        <f aca="false">MID(D156,13,5)&amp;"|"&amp;MID(D156,19,5)</f>
        <v>02SEL|S15_1</v>
      </c>
      <c r="R156" s="34" t="str">
        <f aca="false">IF(P156="Subestación eléctrica",IFERROR(INDEX(cat_SubN,MATCH(Q156,cat_SubK,0)),"SIN CATALOGAR"),"ÁREA DE PROCESO")</f>
        <v>SE-15-1</v>
      </c>
      <c r="S156" s="34" t="str">
        <f aca="false">IF(H156="","SIN DATO",IFERROR(INDEX(cat_MarcaN,MATCH(H156,cat_MarcaO,0)),H156))</f>
        <v>SEL</v>
      </c>
      <c r="T156" s="34" t="str">
        <f aca="false">IF(I156="","SIN DATO",IFERROR(INDEX(cat_ModN,MATCH(I156,cat_ModO,0)),I156))</f>
        <v>MEDICION</v>
      </c>
      <c r="U156" s="34" t="str">
        <f aca="false">IF(I156="","",IFERROR(INDEX(cat_ModG,MATCH(I156,cat_ModO,0)),"No"))</f>
        <v>Sí</v>
      </c>
      <c r="V156" s="34" t="str">
        <f aca="false">IF(J156="","SIN DATO",IFERROR(INDEX(cat_FunN,MATCH(J156,cat_FunO,0)),J156))</f>
        <v>Medición</v>
      </c>
      <c r="W156" s="34" t="str">
        <f aca="false">IF(OR(S156="SIN DATO",T156="SIN DATO"),"No","Sí")</f>
        <v>Sí</v>
      </c>
    </row>
    <row r="157" customFormat="false" ht="15" hidden="false" customHeight="false" outlineLevel="0" collapsed="false">
      <c r="A157" s="34" t="s">
        <v>843</v>
      </c>
      <c r="B157" s="34" t="s">
        <v>844</v>
      </c>
      <c r="C157" s="34" t="s">
        <v>845</v>
      </c>
      <c r="D157" s="34" t="s">
        <v>846</v>
      </c>
      <c r="E157" s="34" t="s">
        <v>113</v>
      </c>
      <c r="F157" s="34" t="s">
        <v>675</v>
      </c>
      <c r="G157" s="34" t="s">
        <v>676</v>
      </c>
      <c r="H157" s="34" t="s">
        <v>55</v>
      </c>
      <c r="I157" s="34" t="s">
        <v>58</v>
      </c>
      <c r="J157" s="34" t="s">
        <v>58</v>
      </c>
      <c r="K157" s="34" t="s">
        <v>229</v>
      </c>
      <c r="L157" s="34" t="s">
        <v>230</v>
      </c>
      <c r="M157" s="34" t="s">
        <v>344</v>
      </c>
      <c r="N157" s="34" t="str">
        <f aca="false">"Sector "&amp;VALUE(MID(D157,13,2))</f>
        <v>Sector 2</v>
      </c>
      <c r="O157" s="34" t="str">
        <f aca="false">IF(Dashboard!$C$5="Ubicación técnica",N157,"Sector "&amp;VALUE(RIGHT(G157,2)))</f>
        <v>Sector 2</v>
      </c>
      <c r="P157" s="34" t="str">
        <f aca="false">IF(MID(D157,15,3)="SEL","Subestación eléctrica","Área de proceso")</f>
        <v>Subestación eléctrica</v>
      </c>
      <c r="Q157" s="34" t="str">
        <f aca="false">MID(D157,13,5)&amp;"|"&amp;MID(D157,19,5)</f>
        <v>02SEL|S15_1</v>
      </c>
      <c r="R157" s="34" t="str">
        <f aca="false">IF(P157="Subestación eléctrica",IFERROR(INDEX(cat_SubN,MATCH(Q157,cat_SubK,0)),"SIN CATALOGAR"),"ÁREA DE PROCESO")</f>
        <v>SE-15-1</v>
      </c>
      <c r="S157" s="34" t="str">
        <f aca="false">IF(H157="","SIN DATO",IFERROR(INDEX(cat_MarcaN,MATCH(H157,cat_MarcaO,0)),H157))</f>
        <v>SEL</v>
      </c>
      <c r="T157" s="34" t="str">
        <f aca="false">IF(I157="","SIN DATO",IFERROR(INDEX(cat_ModN,MATCH(I157,cat_ModO,0)),I157))</f>
        <v>MEDICION</v>
      </c>
      <c r="U157" s="34" t="str">
        <f aca="false">IF(I157="","",IFERROR(INDEX(cat_ModG,MATCH(I157,cat_ModO,0)),"No"))</f>
        <v>Sí</v>
      </c>
      <c r="V157" s="34" t="str">
        <f aca="false">IF(J157="","SIN DATO",IFERROR(INDEX(cat_FunN,MATCH(J157,cat_FunO,0)),J157))</f>
        <v>Medición</v>
      </c>
      <c r="W157" s="34" t="str">
        <f aca="false">IF(OR(S157="SIN DATO",T157="SIN DATO"),"No","Sí")</f>
        <v>Sí</v>
      </c>
    </row>
    <row r="158" customFormat="false" ht="15" hidden="false" customHeight="false" outlineLevel="0" collapsed="false">
      <c r="A158" s="34" t="s">
        <v>847</v>
      </c>
      <c r="B158" s="34" t="s">
        <v>848</v>
      </c>
      <c r="C158" s="34" t="s">
        <v>849</v>
      </c>
      <c r="D158" s="34" t="s">
        <v>850</v>
      </c>
      <c r="E158" s="34" t="s">
        <v>113</v>
      </c>
      <c r="F158" s="34" t="s">
        <v>675</v>
      </c>
      <c r="G158" s="34" t="s">
        <v>676</v>
      </c>
      <c r="H158" s="34" t="s">
        <v>55</v>
      </c>
      <c r="I158" s="34" t="s">
        <v>58</v>
      </c>
      <c r="J158" s="34" t="s">
        <v>58</v>
      </c>
      <c r="K158" s="34" t="s">
        <v>229</v>
      </c>
      <c r="L158" s="34" t="s">
        <v>230</v>
      </c>
      <c r="M158" s="34" t="s">
        <v>344</v>
      </c>
      <c r="N158" s="34" t="str">
        <f aca="false">"Sector "&amp;VALUE(MID(D158,13,2))</f>
        <v>Sector 2</v>
      </c>
      <c r="O158" s="34" t="str">
        <f aca="false">IF(Dashboard!$C$5="Ubicación técnica",N158,"Sector "&amp;VALUE(RIGHT(G158,2)))</f>
        <v>Sector 2</v>
      </c>
      <c r="P158" s="34" t="str">
        <f aca="false">IF(MID(D158,15,3)="SEL","Subestación eléctrica","Área de proceso")</f>
        <v>Subestación eléctrica</v>
      </c>
      <c r="Q158" s="34" t="str">
        <f aca="false">MID(D158,13,5)&amp;"|"&amp;MID(D158,19,5)</f>
        <v>02SEL|S15_1</v>
      </c>
      <c r="R158" s="34" t="str">
        <f aca="false">IF(P158="Subestación eléctrica",IFERROR(INDEX(cat_SubN,MATCH(Q158,cat_SubK,0)),"SIN CATALOGAR"),"ÁREA DE PROCESO")</f>
        <v>SE-15-1</v>
      </c>
      <c r="S158" s="34" t="str">
        <f aca="false">IF(H158="","SIN DATO",IFERROR(INDEX(cat_MarcaN,MATCH(H158,cat_MarcaO,0)),H158))</f>
        <v>SEL</v>
      </c>
      <c r="T158" s="34" t="str">
        <f aca="false">IF(I158="","SIN DATO",IFERROR(INDEX(cat_ModN,MATCH(I158,cat_ModO,0)),I158))</f>
        <v>MEDICION</v>
      </c>
      <c r="U158" s="34" t="str">
        <f aca="false">IF(I158="","",IFERROR(INDEX(cat_ModG,MATCH(I158,cat_ModO,0)),"No"))</f>
        <v>Sí</v>
      </c>
      <c r="V158" s="34" t="str">
        <f aca="false">IF(J158="","SIN DATO",IFERROR(INDEX(cat_FunN,MATCH(J158,cat_FunO,0)),J158))</f>
        <v>Medición</v>
      </c>
      <c r="W158" s="34" t="str">
        <f aca="false">IF(OR(S158="SIN DATO",T158="SIN DATO"),"No","Sí")</f>
        <v>Sí</v>
      </c>
    </row>
    <row r="159" customFormat="false" ht="15" hidden="false" customHeight="false" outlineLevel="0" collapsed="false">
      <c r="A159" s="34" t="s">
        <v>851</v>
      </c>
      <c r="B159" s="34" t="s">
        <v>852</v>
      </c>
      <c r="C159" s="34" t="s">
        <v>853</v>
      </c>
      <c r="D159" s="34" t="s">
        <v>720</v>
      </c>
      <c r="E159" s="34" t="s">
        <v>113</v>
      </c>
      <c r="F159" s="34" t="s">
        <v>675</v>
      </c>
      <c r="G159" s="34" t="s">
        <v>676</v>
      </c>
      <c r="H159" s="34" t="s">
        <v>34</v>
      </c>
      <c r="I159" s="34" t="s">
        <v>38</v>
      </c>
      <c r="J159" s="34" t="s">
        <v>228</v>
      </c>
      <c r="K159" s="34" t="s">
        <v>229</v>
      </c>
      <c r="L159" s="34" t="s">
        <v>230</v>
      </c>
      <c r="M159" s="34" t="s">
        <v>231</v>
      </c>
      <c r="N159" s="34" t="str">
        <f aca="false">"Sector "&amp;VALUE(MID(D159,13,2))</f>
        <v>Sector 2</v>
      </c>
      <c r="O159" s="34" t="str">
        <f aca="false">IF(Dashboard!$C$5="Ubicación técnica",N159,"Sector "&amp;VALUE(RIGHT(G159,2)))</f>
        <v>Sector 2</v>
      </c>
      <c r="P159" s="34" t="str">
        <f aca="false">IF(MID(D159,15,3)="SEL","Subestación eléctrica","Área de proceso")</f>
        <v>Área de proceso</v>
      </c>
      <c r="Q159" s="34" t="str">
        <f aca="false">MID(D159,13,5)&amp;"|"&amp;MID(D159,19,5)</f>
        <v>02COR|SREAC</v>
      </c>
      <c r="R159" s="34" t="str">
        <f aca="false">IF(P159="Subestación eléctrica",IFERROR(INDEX(cat_SubN,MATCH(Q159,cat_SubK,0)),"SIN CATALOGAR"),"ÁREA DE PROCESO")</f>
        <v>ÁREA DE PROCESO</v>
      </c>
      <c r="S159" s="34" t="str">
        <f aca="false">IF(H159="","SIN DATO",IFERROR(INDEX(cat_MarcaN,MATCH(H159,cat_MarcaO,0)),H159))</f>
        <v>ABB</v>
      </c>
      <c r="T159" s="34" t="str">
        <f aca="false">IF(I159="","SIN DATO",IFERROR(INDEX(cat_ModN,MATCH(I159,cat_ModO,0)),I159))</f>
        <v>1AMEBCADNEC5BNN11G</v>
      </c>
      <c r="U159" s="34" t="str">
        <f aca="false">IF(I159="","",IFERROR(INDEX(cat_ModG,MATCH(I159,cat_ModO,0)),"No"))</f>
        <v>No</v>
      </c>
      <c r="V159" s="34" t="str">
        <f aca="false">IF(J159="","SIN DATO",IFERROR(INDEX(cat_FunN,MATCH(J159,cat_FunO,0)),J159))</f>
        <v>Protección y medición</v>
      </c>
      <c r="W159" s="34" t="str">
        <f aca="false">IF(OR(S159="SIN DATO",T159="SIN DATO"),"No","Sí")</f>
        <v>Sí</v>
      </c>
    </row>
    <row r="160" customFormat="false" ht="15" hidden="false" customHeight="false" outlineLevel="0" collapsed="false">
      <c r="A160" s="34" t="s">
        <v>854</v>
      </c>
      <c r="B160" s="34" t="s">
        <v>855</v>
      </c>
      <c r="C160" s="34" t="s">
        <v>856</v>
      </c>
      <c r="D160" s="34" t="s">
        <v>727</v>
      </c>
      <c r="E160" s="34" t="s">
        <v>113</v>
      </c>
      <c r="F160" s="34" t="s">
        <v>675</v>
      </c>
      <c r="G160" s="34" t="s">
        <v>676</v>
      </c>
      <c r="H160" s="34" t="s">
        <v>34</v>
      </c>
      <c r="I160" s="34" t="s">
        <v>38</v>
      </c>
      <c r="J160" s="34" t="s">
        <v>228</v>
      </c>
      <c r="K160" s="34" t="s">
        <v>229</v>
      </c>
      <c r="L160" s="34" t="s">
        <v>230</v>
      </c>
      <c r="M160" s="34" t="s">
        <v>231</v>
      </c>
      <c r="N160" s="34" t="str">
        <f aca="false">"Sector "&amp;VALUE(MID(D160,13,2))</f>
        <v>Sector 2</v>
      </c>
      <c r="O160" s="34" t="str">
        <f aca="false">IF(Dashboard!$C$5="Ubicación técnica",N160,"Sector "&amp;VALUE(RIGHT(G160,2)))</f>
        <v>Sector 2</v>
      </c>
      <c r="P160" s="34" t="str">
        <f aca="false">IF(MID(D160,15,3)="SEL","Subestación eléctrica","Área de proceso")</f>
        <v>Área de proceso</v>
      </c>
      <c r="Q160" s="34" t="str">
        <f aca="false">MID(D160,13,5)&amp;"|"&amp;MID(D160,19,5)</f>
        <v>02COR|SREAC</v>
      </c>
      <c r="R160" s="34" t="str">
        <f aca="false">IF(P160="Subestación eléctrica",IFERROR(INDEX(cat_SubN,MATCH(Q160,cat_SubK,0)),"SIN CATALOGAR"),"ÁREA DE PROCESO")</f>
        <v>ÁREA DE PROCESO</v>
      </c>
      <c r="S160" s="34" t="str">
        <f aca="false">IF(H160="","SIN DATO",IFERROR(INDEX(cat_MarcaN,MATCH(H160,cat_MarcaO,0)),H160))</f>
        <v>ABB</v>
      </c>
      <c r="T160" s="34" t="str">
        <f aca="false">IF(I160="","SIN DATO",IFERROR(INDEX(cat_ModN,MATCH(I160,cat_ModO,0)),I160))</f>
        <v>1AMEBCADNEC5BNN11G</v>
      </c>
      <c r="U160" s="34" t="str">
        <f aca="false">IF(I160="","",IFERROR(INDEX(cat_ModG,MATCH(I160,cat_ModO,0)),"No"))</f>
        <v>No</v>
      </c>
      <c r="V160" s="34" t="str">
        <f aca="false">IF(J160="","SIN DATO",IFERROR(INDEX(cat_FunN,MATCH(J160,cat_FunO,0)),J160))</f>
        <v>Protección y medición</v>
      </c>
      <c r="W160" s="34" t="str">
        <f aca="false">IF(OR(S160="SIN DATO",T160="SIN DATO"),"No","Sí")</f>
        <v>Sí</v>
      </c>
    </row>
    <row r="161" customFormat="false" ht="15" hidden="false" customHeight="false" outlineLevel="0" collapsed="false">
      <c r="A161" s="34" t="s">
        <v>857</v>
      </c>
      <c r="B161" s="34" t="s">
        <v>858</v>
      </c>
      <c r="C161" s="34" t="s">
        <v>859</v>
      </c>
      <c r="D161" s="34" t="s">
        <v>860</v>
      </c>
      <c r="E161" s="34" t="s">
        <v>113</v>
      </c>
      <c r="F161" s="34" t="s">
        <v>675</v>
      </c>
      <c r="G161" s="34" t="s">
        <v>676</v>
      </c>
      <c r="H161" s="34" t="s">
        <v>34</v>
      </c>
      <c r="I161" s="34" t="s">
        <v>38</v>
      </c>
      <c r="J161" s="34" t="s">
        <v>228</v>
      </c>
      <c r="K161" s="34" t="s">
        <v>229</v>
      </c>
      <c r="L161" s="34" t="s">
        <v>230</v>
      </c>
      <c r="M161" s="34" t="s">
        <v>231</v>
      </c>
      <c r="N161" s="34" t="str">
        <f aca="false">"Sector "&amp;VALUE(MID(D161,13,2))</f>
        <v>Sector 2</v>
      </c>
      <c r="O161" s="34" t="str">
        <f aca="false">IF(Dashboard!$C$5="Ubicación técnica",N161,"Sector "&amp;VALUE(RIGHT(G161,2)))</f>
        <v>Sector 2</v>
      </c>
      <c r="P161" s="34" t="str">
        <f aca="false">IF(MID(D161,15,3)="SEL","Subestación eléctrica","Área de proceso")</f>
        <v>Área de proceso</v>
      </c>
      <c r="Q161" s="34" t="str">
        <f aca="false">MID(D161,13,5)&amp;"|"&amp;MID(D161,19,5)</f>
        <v>02COR|SBOCA</v>
      </c>
      <c r="R161" s="34" t="str">
        <f aca="false">IF(P161="Subestación eléctrica",IFERROR(INDEX(cat_SubN,MATCH(Q161,cat_SubK,0)),"SIN CATALOGAR"),"ÁREA DE PROCESO")</f>
        <v>ÁREA DE PROCESO</v>
      </c>
      <c r="S161" s="34" t="str">
        <f aca="false">IF(H161="","SIN DATO",IFERROR(INDEX(cat_MarcaN,MATCH(H161,cat_MarcaO,0)),H161))</f>
        <v>ABB</v>
      </c>
      <c r="T161" s="34" t="str">
        <f aca="false">IF(I161="","SIN DATO",IFERROR(INDEX(cat_ModN,MATCH(I161,cat_ModO,0)),I161))</f>
        <v>1AMEBCADNEC5BNN11G</v>
      </c>
      <c r="U161" s="34" t="str">
        <f aca="false">IF(I161="","",IFERROR(INDEX(cat_ModG,MATCH(I161,cat_ModO,0)),"No"))</f>
        <v>No</v>
      </c>
      <c r="V161" s="34" t="str">
        <f aca="false">IF(J161="","SIN DATO",IFERROR(INDEX(cat_FunN,MATCH(J161,cat_FunO,0)),J161))</f>
        <v>Protección y medición</v>
      </c>
      <c r="W161" s="34" t="str">
        <f aca="false">IF(OR(S161="SIN DATO",T161="SIN DATO"),"No","Sí")</f>
        <v>Sí</v>
      </c>
    </row>
    <row r="162" customFormat="false" ht="15" hidden="false" customHeight="false" outlineLevel="0" collapsed="false">
      <c r="A162" s="34" t="s">
        <v>861</v>
      </c>
      <c r="B162" s="34" t="s">
        <v>862</v>
      </c>
      <c r="C162" s="34" t="s">
        <v>863</v>
      </c>
      <c r="D162" s="34" t="s">
        <v>864</v>
      </c>
      <c r="E162" s="34" t="s">
        <v>113</v>
      </c>
      <c r="F162" s="34" t="s">
        <v>675</v>
      </c>
      <c r="G162" s="34" t="s">
        <v>676</v>
      </c>
      <c r="H162" s="34" t="s">
        <v>34</v>
      </c>
      <c r="I162" s="34" t="s">
        <v>38</v>
      </c>
      <c r="J162" s="34" t="s">
        <v>228</v>
      </c>
      <c r="K162" s="34" t="s">
        <v>229</v>
      </c>
      <c r="L162" s="34" t="s">
        <v>230</v>
      </c>
      <c r="M162" s="34" t="s">
        <v>231</v>
      </c>
      <c r="N162" s="34" t="str">
        <f aca="false">"Sector "&amp;VALUE(MID(D162,13,2))</f>
        <v>Sector 2</v>
      </c>
      <c r="O162" s="34" t="str">
        <f aca="false">IF(Dashboard!$C$5="Ubicación técnica",N162,"Sector "&amp;VALUE(RIGHT(G162,2)))</f>
        <v>Sector 2</v>
      </c>
      <c r="P162" s="34" t="str">
        <f aca="false">IF(MID(D162,15,3)="SEL","Subestación eléctrica","Área de proceso")</f>
        <v>Área de proceso</v>
      </c>
      <c r="Q162" s="34" t="str">
        <f aca="false">MID(D162,13,5)&amp;"|"&amp;MID(D162,19,5)</f>
        <v>02COR|SBLOW</v>
      </c>
      <c r="R162" s="34" t="str">
        <f aca="false">IF(P162="Subestación eléctrica",IFERROR(INDEX(cat_SubN,MATCH(Q162,cat_SubK,0)),"SIN CATALOGAR"),"ÁREA DE PROCESO")</f>
        <v>ÁREA DE PROCESO</v>
      </c>
      <c r="S162" s="34" t="str">
        <f aca="false">IF(H162="","SIN DATO",IFERROR(INDEX(cat_MarcaN,MATCH(H162,cat_MarcaO,0)),H162))</f>
        <v>ABB</v>
      </c>
      <c r="T162" s="34" t="str">
        <f aca="false">IF(I162="","SIN DATO",IFERROR(INDEX(cat_ModN,MATCH(I162,cat_ModO,0)),I162))</f>
        <v>1AMEBCADNEC5BNN11G</v>
      </c>
      <c r="U162" s="34" t="str">
        <f aca="false">IF(I162="","",IFERROR(INDEX(cat_ModG,MATCH(I162,cat_ModO,0)),"No"))</f>
        <v>No</v>
      </c>
      <c r="V162" s="34" t="str">
        <f aca="false">IF(J162="","SIN DATO",IFERROR(INDEX(cat_FunN,MATCH(J162,cat_FunO,0)),J162))</f>
        <v>Protección y medición</v>
      </c>
      <c r="W162" s="34" t="str">
        <f aca="false">IF(OR(S162="SIN DATO",T162="SIN DATO"),"No","Sí")</f>
        <v>Sí</v>
      </c>
    </row>
    <row r="163" customFormat="false" ht="15" hidden="false" customHeight="false" outlineLevel="0" collapsed="false">
      <c r="A163" s="34" t="s">
        <v>865</v>
      </c>
      <c r="B163" s="34" t="s">
        <v>866</v>
      </c>
      <c r="C163" s="34" t="s">
        <v>867</v>
      </c>
      <c r="D163" s="34" t="s">
        <v>868</v>
      </c>
      <c r="E163" s="34" t="s">
        <v>113</v>
      </c>
      <c r="F163" s="34" t="s">
        <v>675</v>
      </c>
      <c r="G163" s="34" t="s">
        <v>676</v>
      </c>
      <c r="H163" s="34" t="s">
        <v>34</v>
      </c>
      <c r="I163" s="34" t="s">
        <v>38</v>
      </c>
      <c r="J163" s="34" t="s">
        <v>228</v>
      </c>
      <c r="K163" s="34" t="s">
        <v>229</v>
      </c>
      <c r="L163" s="34" t="s">
        <v>230</v>
      </c>
      <c r="M163" s="34" t="s">
        <v>231</v>
      </c>
      <c r="N163" s="34" t="str">
        <f aca="false">"Sector "&amp;VALUE(MID(D163,13,2))</f>
        <v>Sector 2</v>
      </c>
      <c r="O163" s="34" t="str">
        <f aca="false">IF(Dashboard!$C$5="Ubicación técnica",N163,"Sector "&amp;VALUE(RIGHT(G163,2)))</f>
        <v>Sector 2</v>
      </c>
      <c r="P163" s="34" t="str">
        <f aca="false">IF(MID(D163,15,3)="SEL","Subestación eléctrica","Área de proceso")</f>
        <v>Área de proceso</v>
      </c>
      <c r="Q163" s="34" t="str">
        <f aca="false">MID(D163,13,5)&amp;"|"&amp;MID(D163,19,5)</f>
        <v>02COR|SBLOW</v>
      </c>
      <c r="R163" s="34" t="str">
        <f aca="false">IF(P163="Subestación eléctrica",IFERROR(INDEX(cat_SubN,MATCH(Q163,cat_SubK,0)),"SIN CATALOGAR"),"ÁREA DE PROCESO")</f>
        <v>ÁREA DE PROCESO</v>
      </c>
      <c r="S163" s="34" t="str">
        <f aca="false">IF(H163="","SIN DATO",IFERROR(INDEX(cat_MarcaN,MATCH(H163,cat_MarcaO,0)),H163))</f>
        <v>ABB</v>
      </c>
      <c r="T163" s="34" t="str">
        <f aca="false">IF(I163="","SIN DATO",IFERROR(INDEX(cat_ModN,MATCH(I163,cat_ModO,0)),I163))</f>
        <v>1AMEBCADNEC5BNN11G</v>
      </c>
      <c r="U163" s="34" t="str">
        <f aca="false">IF(I163="","",IFERROR(INDEX(cat_ModG,MATCH(I163,cat_ModO,0)),"No"))</f>
        <v>No</v>
      </c>
      <c r="V163" s="34" t="str">
        <f aca="false">IF(J163="","SIN DATO",IFERROR(INDEX(cat_FunN,MATCH(J163,cat_FunO,0)),J163))</f>
        <v>Protección y medición</v>
      </c>
      <c r="W163" s="34" t="str">
        <f aca="false">IF(OR(S163="SIN DATO",T163="SIN DATO"),"No","Sí")</f>
        <v>Sí</v>
      </c>
    </row>
    <row r="164" customFormat="false" ht="15" hidden="false" customHeight="false" outlineLevel="0" collapsed="false">
      <c r="A164" s="34" t="s">
        <v>869</v>
      </c>
      <c r="B164" s="34" t="s">
        <v>870</v>
      </c>
      <c r="C164" s="34" t="s">
        <v>871</v>
      </c>
      <c r="D164" s="34" t="s">
        <v>827</v>
      </c>
      <c r="E164" s="34" t="s">
        <v>113</v>
      </c>
      <c r="F164" s="34" t="s">
        <v>675</v>
      </c>
      <c r="G164" s="34" t="s">
        <v>676</v>
      </c>
      <c r="H164" s="34" t="s">
        <v>34</v>
      </c>
      <c r="I164" s="34" t="s">
        <v>36</v>
      </c>
      <c r="J164" s="34" t="s">
        <v>228</v>
      </c>
      <c r="K164" s="34" t="s">
        <v>229</v>
      </c>
      <c r="L164" s="34" t="s">
        <v>230</v>
      </c>
      <c r="M164" s="34" t="s">
        <v>231</v>
      </c>
      <c r="N164" s="34" t="str">
        <f aca="false">"Sector "&amp;VALUE(MID(D164,13,2))</f>
        <v>Sector 2</v>
      </c>
      <c r="O164" s="34" t="str">
        <f aca="false">IF(Dashboard!$C$5="Ubicación técnica",N164,"Sector "&amp;VALUE(RIGHT(G164,2)))</f>
        <v>Sector 2</v>
      </c>
      <c r="P164" s="34" t="str">
        <f aca="false">IF(MID(D164,15,3)="SEL","Subestación eléctrica","Área de proceso")</f>
        <v>Subestación eléctrica</v>
      </c>
      <c r="Q164" s="34" t="str">
        <f aca="false">MID(D164,13,5)&amp;"|"&amp;MID(D164,19,5)</f>
        <v>02SEL|S15_1</v>
      </c>
      <c r="R164" s="34" t="str">
        <f aca="false">IF(P164="Subestación eléctrica",IFERROR(INDEX(cat_SubN,MATCH(Q164,cat_SubK,0)),"SIN CATALOGAR"),"ÁREA DE PROCESO")</f>
        <v>SE-15-1</v>
      </c>
      <c r="S164" s="34" t="str">
        <f aca="false">IF(H164="","SIN DATO",IFERROR(INDEX(cat_MarcaN,MATCH(H164,cat_MarcaO,0)),H164))</f>
        <v>ABB</v>
      </c>
      <c r="T164" s="34" t="str">
        <f aca="false">IF(I164="","SIN DATO",IFERROR(INDEX(cat_ModN,MATCH(I164,cat_ModO,0)),I164))</f>
        <v>1AFFAEAGNEC5BNA11G</v>
      </c>
      <c r="U164" s="34" t="str">
        <f aca="false">IF(I164="","",IFERROR(INDEX(cat_ModG,MATCH(I164,cat_ModO,0)),"No"))</f>
        <v>No</v>
      </c>
      <c r="V164" s="34" t="str">
        <f aca="false">IF(J164="","SIN DATO",IFERROR(INDEX(cat_FunN,MATCH(J164,cat_FunO,0)),J164))</f>
        <v>Protección y medición</v>
      </c>
      <c r="W164" s="34" t="str">
        <f aca="false">IF(OR(S164="SIN DATO",T164="SIN DATO"),"No","Sí")</f>
        <v>Sí</v>
      </c>
    </row>
    <row r="165" customFormat="false" ht="15" hidden="false" customHeight="false" outlineLevel="0" collapsed="false">
      <c r="A165" s="34" t="s">
        <v>872</v>
      </c>
      <c r="B165" s="34" t="s">
        <v>873</v>
      </c>
      <c r="C165" s="34" t="s">
        <v>874</v>
      </c>
      <c r="D165" s="34" t="s">
        <v>720</v>
      </c>
      <c r="E165" s="34" t="s">
        <v>113</v>
      </c>
      <c r="F165" s="34" t="s">
        <v>675</v>
      </c>
      <c r="G165" s="34" t="s">
        <v>676</v>
      </c>
      <c r="H165" s="34" t="s">
        <v>34</v>
      </c>
      <c r="I165" s="34" t="s">
        <v>42</v>
      </c>
      <c r="J165" s="34" t="s">
        <v>681</v>
      </c>
      <c r="K165" s="34" t="s">
        <v>229</v>
      </c>
      <c r="L165" s="34" t="s">
        <v>230</v>
      </c>
      <c r="M165" s="34" t="s">
        <v>231</v>
      </c>
      <c r="N165" s="34" t="str">
        <f aca="false">"Sector "&amp;VALUE(MID(D165,13,2))</f>
        <v>Sector 2</v>
      </c>
      <c r="O165" s="34" t="str">
        <f aca="false">IF(Dashboard!$C$5="Ubicación técnica",N165,"Sector "&amp;VALUE(RIGHT(G165,2)))</f>
        <v>Sector 2</v>
      </c>
      <c r="P165" s="34" t="str">
        <f aca="false">IF(MID(D165,15,3)="SEL","Subestación eléctrica","Área de proceso")</f>
        <v>Área de proceso</v>
      </c>
      <c r="Q165" s="34" t="str">
        <f aca="false">MID(D165,13,5)&amp;"|"&amp;MID(D165,19,5)</f>
        <v>02COR|SREAC</v>
      </c>
      <c r="R165" s="34" t="str">
        <f aca="false">IF(P165="Subestación eléctrica",IFERROR(INDEX(cat_SubN,MATCH(Q165,cat_SubK,0)),"SIN CATALOGAR"),"ÁREA DE PROCESO")</f>
        <v>ÁREA DE PROCESO</v>
      </c>
      <c r="S165" s="34" t="str">
        <f aca="false">IF(H165="","SIN DATO",IFERROR(INDEX(cat_MarcaN,MATCH(H165,cat_MarcaO,0)),H165))</f>
        <v>ABB</v>
      </c>
      <c r="T165" s="34" t="str">
        <f aca="false">IF(I165="","SIN DATO",IFERROR(INDEX(cat_ModN,MATCH(I165,cat_ModO,0)),I165))</f>
        <v>1AFPAKAKNGC5BNN11G</v>
      </c>
      <c r="U165" s="34" t="str">
        <f aca="false">IF(I165="","",IFERROR(INDEX(cat_ModG,MATCH(I165,cat_ModO,0)),"No"))</f>
        <v>No</v>
      </c>
      <c r="V165" s="34" t="str">
        <f aca="false">IF(J165="","SIN DATO",IFERROR(INDEX(cat_FunN,MATCH(J165,cat_FunO,0)),J165))</f>
        <v>Protección</v>
      </c>
      <c r="W165" s="34" t="str">
        <f aca="false">IF(OR(S165="SIN DATO",T165="SIN DATO"),"No","Sí")</f>
        <v>Sí</v>
      </c>
    </row>
    <row r="166" customFormat="false" ht="15" hidden="false" customHeight="false" outlineLevel="0" collapsed="false">
      <c r="A166" s="34" t="s">
        <v>875</v>
      </c>
      <c r="B166" s="34" t="s">
        <v>876</v>
      </c>
      <c r="C166" s="34" t="s">
        <v>877</v>
      </c>
      <c r="D166" s="34" t="s">
        <v>727</v>
      </c>
      <c r="E166" s="34" t="s">
        <v>113</v>
      </c>
      <c r="F166" s="34" t="s">
        <v>675</v>
      </c>
      <c r="G166" s="34" t="s">
        <v>676</v>
      </c>
      <c r="H166" s="34" t="s">
        <v>34</v>
      </c>
      <c r="I166" s="34" t="s">
        <v>46</v>
      </c>
      <c r="J166" s="34" t="s">
        <v>228</v>
      </c>
      <c r="K166" s="34" t="s">
        <v>229</v>
      </c>
      <c r="L166" s="34" t="s">
        <v>230</v>
      </c>
      <c r="M166" s="34" t="s">
        <v>231</v>
      </c>
      <c r="N166" s="34" t="str">
        <f aca="false">"Sector "&amp;VALUE(MID(D166,13,2))</f>
        <v>Sector 2</v>
      </c>
      <c r="O166" s="34" t="str">
        <f aca="false">IF(Dashboard!$C$5="Ubicación técnica",N166,"Sector "&amp;VALUE(RIGHT(G166,2)))</f>
        <v>Sector 2</v>
      </c>
      <c r="P166" s="34" t="str">
        <f aca="false">IF(MID(D166,15,3)="SEL","Subestación eléctrica","Área de proceso")</f>
        <v>Área de proceso</v>
      </c>
      <c r="Q166" s="34" t="str">
        <f aca="false">MID(D166,13,5)&amp;"|"&amp;MID(D166,19,5)</f>
        <v>02COR|SREAC</v>
      </c>
      <c r="R166" s="34" t="str">
        <f aca="false">IF(P166="Subestación eléctrica",IFERROR(INDEX(cat_SubN,MATCH(Q166,cat_SubK,0)),"SIN CATALOGAR"),"ÁREA DE PROCESO")</f>
        <v>ÁREA DE PROCESO</v>
      </c>
      <c r="S166" s="34" t="str">
        <f aca="false">IF(H166="","SIN DATO",IFERROR(INDEX(cat_MarcaN,MATCH(H166,cat_MarcaO,0)),H166))</f>
        <v>ABB</v>
      </c>
      <c r="T166" s="34" t="str">
        <f aca="false">IF(I166="","SIN DATO",IFERROR(INDEX(cat_ModN,MATCH(I166,cat_ModO,0)),I166))</f>
        <v>1ATBBABBNEC5BNN11G</v>
      </c>
      <c r="U166" s="34" t="str">
        <f aca="false">IF(I166="","",IFERROR(INDEX(cat_ModG,MATCH(I166,cat_ModO,0)),"No"))</f>
        <v>No</v>
      </c>
      <c r="V166" s="34" t="str">
        <f aca="false">IF(J166="","SIN DATO",IFERROR(INDEX(cat_FunN,MATCH(J166,cat_FunO,0)),J166))</f>
        <v>Protección y medición</v>
      </c>
      <c r="W166" s="34" t="str">
        <f aca="false">IF(OR(S166="SIN DATO",T166="SIN DATO"),"No","Sí")</f>
        <v>Sí</v>
      </c>
    </row>
    <row r="167" customFormat="false" ht="15" hidden="false" customHeight="false" outlineLevel="0" collapsed="false">
      <c r="A167" s="34" t="s">
        <v>878</v>
      </c>
      <c r="B167" s="34" t="s">
        <v>879</v>
      </c>
      <c r="C167" s="34" t="s">
        <v>880</v>
      </c>
      <c r="D167" s="34" t="s">
        <v>696</v>
      </c>
      <c r="E167" s="34" t="s">
        <v>113</v>
      </c>
      <c r="F167" s="34" t="s">
        <v>675</v>
      </c>
      <c r="G167" s="34" t="s">
        <v>676</v>
      </c>
      <c r="H167" s="34" t="s">
        <v>34</v>
      </c>
      <c r="I167" s="34" t="s">
        <v>46</v>
      </c>
      <c r="J167" s="34" t="s">
        <v>228</v>
      </c>
      <c r="K167" s="34" t="s">
        <v>229</v>
      </c>
      <c r="L167" s="34" t="s">
        <v>230</v>
      </c>
      <c r="M167" s="34" t="s">
        <v>231</v>
      </c>
      <c r="N167" s="34" t="str">
        <f aca="false">"Sector "&amp;VALUE(MID(D167,13,2))</f>
        <v>Sector 2</v>
      </c>
      <c r="O167" s="34" t="str">
        <f aca="false">IF(Dashboard!$C$5="Ubicación técnica",N167,"Sector "&amp;VALUE(RIGHT(G167,2)))</f>
        <v>Sector 2</v>
      </c>
      <c r="P167" s="34" t="str">
        <f aca="false">IF(MID(D167,15,3)="SEL","Subestación eléctrica","Área de proceso")</f>
        <v>Área de proceso</v>
      </c>
      <c r="Q167" s="34" t="str">
        <f aca="false">MID(D167,13,5)&amp;"|"&amp;MID(D167,19,5)</f>
        <v>02COR|SREAC</v>
      </c>
      <c r="R167" s="34" t="str">
        <f aca="false">IF(P167="Subestación eléctrica",IFERROR(INDEX(cat_SubN,MATCH(Q167,cat_SubK,0)),"SIN CATALOGAR"),"ÁREA DE PROCESO")</f>
        <v>ÁREA DE PROCESO</v>
      </c>
      <c r="S167" s="34" t="str">
        <f aca="false">IF(H167="","SIN DATO",IFERROR(INDEX(cat_MarcaN,MATCH(H167,cat_MarcaO,0)),H167))</f>
        <v>ABB</v>
      </c>
      <c r="T167" s="34" t="str">
        <f aca="false">IF(I167="","SIN DATO",IFERROR(INDEX(cat_ModN,MATCH(I167,cat_ModO,0)),I167))</f>
        <v>1ATBBABBNEC5BNN11G</v>
      </c>
      <c r="U167" s="34" t="str">
        <f aca="false">IF(I167="","",IFERROR(INDEX(cat_ModG,MATCH(I167,cat_ModO,0)),"No"))</f>
        <v>No</v>
      </c>
      <c r="V167" s="34" t="str">
        <f aca="false">IF(J167="","SIN DATO",IFERROR(INDEX(cat_FunN,MATCH(J167,cat_FunO,0)),J167))</f>
        <v>Protección y medición</v>
      </c>
      <c r="W167" s="34" t="str">
        <f aca="false">IF(OR(S167="SIN DATO",T167="SIN DATO"),"No","Sí")</f>
        <v>Sí</v>
      </c>
    </row>
    <row r="168" customFormat="false" ht="15" hidden="false" customHeight="false" outlineLevel="0" collapsed="false">
      <c r="A168" s="34" t="s">
        <v>881</v>
      </c>
      <c r="B168" s="34" t="s">
        <v>882</v>
      </c>
      <c r="C168" s="34" t="s">
        <v>883</v>
      </c>
      <c r="D168" s="34" t="s">
        <v>827</v>
      </c>
      <c r="E168" s="34" t="s">
        <v>113</v>
      </c>
      <c r="F168" s="34" t="s">
        <v>675</v>
      </c>
      <c r="G168" s="34" t="s">
        <v>676</v>
      </c>
      <c r="H168" s="34" t="s">
        <v>34</v>
      </c>
      <c r="I168" s="34" t="s">
        <v>36</v>
      </c>
      <c r="J168" s="34" t="s">
        <v>228</v>
      </c>
      <c r="K168" s="34" t="s">
        <v>229</v>
      </c>
      <c r="L168" s="34" t="s">
        <v>230</v>
      </c>
      <c r="M168" s="34" t="s">
        <v>231</v>
      </c>
      <c r="N168" s="34" t="str">
        <f aca="false">"Sector "&amp;VALUE(MID(D168,13,2))</f>
        <v>Sector 2</v>
      </c>
      <c r="O168" s="34" t="str">
        <f aca="false">IF(Dashboard!$C$5="Ubicación técnica",N168,"Sector "&amp;VALUE(RIGHT(G168,2)))</f>
        <v>Sector 2</v>
      </c>
      <c r="P168" s="34" t="str">
        <f aca="false">IF(MID(D168,15,3)="SEL","Subestación eléctrica","Área de proceso")</f>
        <v>Subestación eléctrica</v>
      </c>
      <c r="Q168" s="34" t="str">
        <f aca="false">MID(D168,13,5)&amp;"|"&amp;MID(D168,19,5)</f>
        <v>02SEL|S15_1</v>
      </c>
      <c r="R168" s="34" t="str">
        <f aca="false">IF(P168="Subestación eléctrica",IFERROR(INDEX(cat_SubN,MATCH(Q168,cat_SubK,0)),"SIN CATALOGAR"),"ÁREA DE PROCESO")</f>
        <v>SE-15-1</v>
      </c>
      <c r="S168" s="34" t="str">
        <f aca="false">IF(H168="","SIN DATO",IFERROR(INDEX(cat_MarcaN,MATCH(H168,cat_MarcaO,0)),H168))</f>
        <v>ABB</v>
      </c>
      <c r="T168" s="34" t="str">
        <f aca="false">IF(I168="","SIN DATO",IFERROR(INDEX(cat_ModN,MATCH(I168,cat_ModO,0)),I168))</f>
        <v>1AFFAEAGNEC5BNA11G</v>
      </c>
      <c r="U168" s="34" t="str">
        <f aca="false">IF(I168="","",IFERROR(INDEX(cat_ModG,MATCH(I168,cat_ModO,0)),"No"))</f>
        <v>No</v>
      </c>
      <c r="V168" s="34" t="str">
        <f aca="false">IF(J168="","SIN DATO",IFERROR(INDEX(cat_FunN,MATCH(J168,cat_FunO,0)),J168))</f>
        <v>Protección y medición</v>
      </c>
      <c r="W168" s="34" t="str">
        <f aca="false">IF(OR(S168="SIN DATO",T168="SIN DATO"),"No","Sí")</f>
        <v>Sí</v>
      </c>
    </row>
    <row r="169" customFormat="false" ht="15" hidden="false" customHeight="false" outlineLevel="0" collapsed="false">
      <c r="A169" s="34" t="s">
        <v>884</v>
      </c>
      <c r="B169" s="34" t="s">
        <v>885</v>
      </c>
      <c r="C169" s="34" t="s">
        <v>886</v>
      </c>
      <c r="D169" s="34" t="s">
        <v>827</v>
      </c>
      <c r="E169" s="34" t="s">
        <v>113</v>
      </c>
      <c r="F169" s="34" t="s">
        <v>675</v>
      </c>
      <c r="G169" s="34" t="s">
        <v>676</v>
      </c>
      <c r="H169" s="34" t="s">
        <v>34</v>
      </c>
      <c r="I169" s="34" t="s">
        <v>36</v>
      </c>
      <c r="J169" s="34" t="s">
        <v>228</v>
      </c>
      <c r="K169" s="34" t="s">
        <v>229</v>
      </c>
      <c r="L169" s="34" t="s">
        <v>230</v>
      </c>
      <c r="M169" s="34" t="s">
        <v>231</v>
      </c>
      <c r="N169" s="34" t="str">
        <f aca="false">"Sector "&amp;VALUE(MID(D169,13,2))</f>
        <v>Sector 2</v>
      </c>
      <c r="O169" s="34" t="str">
        <f aca="false">IF(Dashboard!$C$5="Ubicación técnica",N169,"Sector "&amp;VALUE(RIGHT(G169,2)))</f>
        <v>Sector 2</v>
      </c>
      <c r="P169" s="34" t="str">
        <f aca="false">IF(MID(D169,15,3)="SEL","Subestación eléctrica","Área de proceso")</f>
        <v>Subestación eléctrica</v>
      </c>
      <c r="Q169" s="34" t="str">
        <f aca="false">MID(D169,13,5)&amp;"|"&amp;MID(D169,19,5)</f>
        <v>02SEL|S15_1</v>
      </c>
      <c r="R169" s="34" t="str">
        <f aca="false">IF(P169="Subestación eléctrica",IFERROR(INDEX(cat_SubN,MATCH(Q169,cat_SubK,0)),"SIN CATALOGAR"),"ÁREA DE PROCESO")</f>
        <v>SE-15-1</v>
      </c>
      <c r="S169" s="34" t="str">
        <f aca="false">IF(H169="","SIN DATO",IFERROR(INDEX(cat_MarcaN,MATCH(H169,cat_MarcaO,0)),H169))</f>
        <v>ABB</v>
      </c>
      <c r="T169" s="34" t="str">
        <f aca="false">IF(I169="","SIN DATO",IFERROR(INDEX(cat_ModN,MATCH(I169,cat_ModO,0)),I169))</f>
        <v>1AFFAEAGNEC5BNA11G</v>
      </c>
      <c r="U169" s="34" t="str">
        <f aca="false">IF(I169="","",IFERROR(INDEX(cat_ModG,MATCH(I169,cat_ModO,0)),"No"))</f>
        <v>No</v>
      </c>
      <c r="V169" s="34" t="str">
        <f aca="false">IF(J169="","SIN DATO",IFERROR(INDEX(cat_FunN,MATCH(J169,cat_FunO,0)),J169))</f>
        <v>Protección y medición</v>
      </c>
      <c r="W169" s="34" t="str">
        <f aca="false">IF(OR(S169="SIN DATO",T169="SIN DATO"),"No","Sí")</f>
        <v>Sí</v>
      </c>
    </row>
    <row r="170" customFormat="false" ht="15" hidden="false" customHeight="false" outlineLevel="0" collapsed="false">
      <c r="A170" s="34" t="s">
        <v>887</v>
      </c>
      <c r="B170" s="34" t="s">
        <v>888</v>
      </c>
      <c r="C170" s="34" t="s">
        <v>889</v>
      </c>
      <c r="D170" s="34" t="s">
        <v>890</v>
      </c>
      <c r="E170" s="34" t="s">
        <v>113</v>
      </c>
      <c r="F170" s="34" t="s">
        <v>675</v>
      </c>
      <c r="G170" s="34" t="s">
        <v>676</v>
      </c>
      <c r="H170" s="34" t="s">
        <v>55</v>
      </c>
      <c r="I170" s="34" t="s">
        <v>58</v>
      </c>
      <c r="J170" s="34" t="s">
        <v>58</v>
      </c>
      <c r="K170" s="34" t="s">
        <v>229</v>
      </c>
      <c r="L170" s="34" t="s">
        <v>230</v>
      </c>
      <c r="M170" s="34" t="s">
        <v>344</v>
      </c>
      <c r="N170" s="34" t="str">
        <f aca="false">"Sector "&amp;VALUE(MID(D170,13,2))</f>
        <v>Sector 2</v>
      </c>
      <c r="O170" s="34" t="str">
        <f aca="false">IF(Dashboard!$C$5="Ubicación técnica",N170,"Sector "&amp;VALUE(RIGHT(G170,2)))</f>
        <v>Sector 2</v>
      </c>
      <c r="P170" s="34" t="str">
        <f aca="false">IF(MID(D170,15,3)="SEL","Subestación eléctrica","Área de proceso")</f>
        <v>Subestación eléctrica</v>
      </c>
      <c r="Q170" s="34" t="str">
        <f aca="false">MID(D170,13,5)&amp;"|"&amp;MID(D170,19,5)</f>
        <v>02SEL|S15_1</v>
      </c>
      <c r="R170" s="34" t="str">
        <f aca="false">IF(P170="Subestación eléctrica",IFERROR(INDEX(cat_SubN,MATCH(Q170,cat_SubK,0)),"SIN CATALOGAR"),"ÁREA DE PROCESO")</f>
        <v>SE-15-1</v>
      </c>
      <c r="S170" s="34" t="str">
        <f aca="false">IF(H170="","SIN DATO",IFERROR(INDEX(cat_MarcaN,MATCH(H170,cat_MarcaO,0)),H170))</f>
        <v>SEL</v>
      </c>
      <c r="T170" s="34" t="str">
        <f aca="false">IF(I170="","SIN DATO",IFERROR(INDEX(cat_ModN,MATCH(I170,cat_ModO,0)),I170))</f>
        <v>MEDICION</v>
      </c>
      <c r="U170" s="34" t="str">
        <f aca="false">IF(I170="","",IFERROR(INDEX(cat_ModG,MATCH(I170,cat_ModO,0)),"No"))</f>
        <v>Sí</v>
      </c>
      <c r="V170" s="34" t="str">
        <f aca="false">IF(J170="","SIN DATO",IFERROR(INDEX(cat_FunN,MATCH(J170,cat_FunO,0)),J170))</f>
        <v>Medición</v>
      </c>
      <c r="W170" s="34" t="str">
        <f aca="false">IF(OR(S170="SIN DATO",T170="SIN DATO"),"No","Sí")</f>
        <v>Sí</v>
      </c>
    </row>
    <row r="171" customFormat="false" ht="15" hidden="false" customHeight="false" outlineLevel="0" collapsed="false">
      <c r="A171" s="34" t="s">
        <v>891</v>
      </c>
      <c r="B171" s="34" t="s">
        <v>892</v>
      </c>
      <c r="C171" s="34" t="s">
        <v>893</v>
      </c>
      <c r="D171" s="34" t="s">
        <v>894</v>
      </c>
      <c r="E171" s="34" t="s">
        <v>113</v>
      </c>
      <c r="F171" s="34" t="s">
        <v>675</v>
      </c>
      <c r="G171" s="34" t="s">
        <v>676</v>
      </c>
      <c r="H171" s="34" t="s">
        <v>55</v>
      </c>
      <c r="I171" s="34" t="s">
        <v>58</v>
      </c>
      <c r="J171" s="34" t="s">
        <v>58</v>
      </c>
      <c r="K171" s="34" t="s">
        <v>229</v>
      </c>
      <c r="L171" s="34" t="s">
        <v>230</v>
      </c>
      <c r="M171" s="34" t="s">
        <v>344</v>
      </c>
      <c r="N171" s="34" t="str">
        <f aca="false">"Sector "&amp;VALUE(MID(D171,13,2))</f>
        <v>Sector 2</v>
      </c>
      <c r="O171" s="34" t="str">
        <f aca="false">IF(Dashboard!$C$5="Ubicación técnica",N171,"Sector "&amp;VALUE(RIGHT(G171,2)))</f>
        <v>Sector 2</v>
      </c>
      <c r="P171" s="34" t="str">
        <f aca="false">IF(MID(D171,15,3)="SEL","Subestación eléctrica","Área de proceso")</f>
        <v>Subestación eléctrica</v>
      </c>
      <c r="Q171" s="34" t="str">
        <f aca="false">MID(D171,13,5)&amp;"|"&amp;MID(D171,19,5)</f>
        <v>02SEL|S15_1</v>
      </c>
      <c r="R171" s="34" t="str">
        <f aca="false">IF(P171="Subestación eléctrica",IFERROR(INDEX(cat_SubN,MATCH(Q171,cat_SubK,0)),"SIN CATALOGAR"),"ÁREA DE PROCESO")</f>
        <v>SE-15-1</v>
      </c>
      <c r="S171" s="34" t="str">
        <f aca="false">IF(H171="","SIN DATO",IFERROR(INDEX(cat_MarcaN,MATCH(H171,cat_MarcaO,0)),H171))</f>
        <v>SEL</v>
      </c>
      <c r="T171" s="34" t="str">
        <f aca="false">IF(I171="","SIN DATO",IFERROR(INDEX(cat_ModN,MATCH(I171,cat_ModO,0)),I171))</f>
        <v>MEDICION</v>
      </c>
      <c r="U171" s="34" t="str">
        <f aca="false">IF(I171="","",IFERROR(INDEX(cat_ModG,MATCH(I171,cat_ModO,0)),"No"))</f>
        <v>Sí</v>
      </c>
      <c r="V171" s="34" t="str">
        <f aca="false">IF(J171="","SIN DATO",IFERROR(INDEX(cat_FunN,MATCH(J171,cat_FunO,0)),J171))</f>
        <v>Medición</v>
      </c>
      <c r="W171" s="34" t="str">
        <f aca="false">IF(OR(S171="SIN DATO",T171="SIN DATO"),"No","Sí")</f>
        <v>Sí</v>
      </c>
    </row>
    <row r="172" customFormat="false" ht="15" hidden="false" customHeight="false" outlineLevel="0" collapsed="false">
      <c r="A172" s="34" t="s">
        <v>895</v>
      </c>
      <c r="B172" s="34" t="s">
        <v>896</v>
      </c>
      <c r="C172" s="34" t="s">
        <v>897</v>
      </c>
      <c r="D172" s="34" t="s">
        <v>898</v>
      </c>
      <c r="E172" s="34" t="s">
        <v>113</v>
      </c>
      <c r="F172" s="34" t="s">
        <v>675</v>
      </c>
      <c r="G172" s="34" t="s">
        <v>676</v>
      </c>
      <c r="H172" s="34" t="s">
        <v>55</v>
      </c>
      <c r="I172" s="34" t="s">
        <v>58</v>
      </c>
      <c r="J172" s="34" t="s">
        <v>58</v>
      </c>
      <c r="K172" s="34" t="s">
        <v>229</v>
      </c>
      <c r="L172" s="34" t="s">
        <v>230</v>
      </c>
      <c r="M172" s="34" t="s">
        <v>344</v>
      </c>
      <c r="N172" s="34" t="str">
        <f aca="false">"Sector "&amp;VALUE(MID(D172,13,2))</f>
        <v>Sector 2</v>
      </c>
      <c r="O172" s="34" t="str">
        <f aca="false">IF(Dashboard!$C$5="Ubicación técnica",N172,"Sector "&amp;VALUE(RIGHT(G172,2)))</f>
        <v>Sector 2</v>
      </c>
      <c r="P172" s="34" t="str">
        <f aca="false">IF(MID(D172,15,3)="SEL","Subestación eléctrica","Área de proceso")</f>
        <v>Subestación eléctrica</v>
      </c>
      <c r="Q172" s="34" t="str">
        <f aca="false">MID(D172,13,5)&amp;"|"&amp;MID(D172,19,5)</f>
        <v>02SEL|S15_1</v>
      </c>
      <c r="R172" s="34" t="str">
        <f aca="false">IF(P172="Subestación eléctrica",IFERROR(INDEX(cat_SubN,MATCH(Q172,cat_SubK,0)),"SIN CATALOGAR"),"ÁREA DE PROCESO")</f>
        <v>SE-15-1</v>
      </c>
      <c r="S172" s="34" t="str">
        <f aca="false">IF(H172="","SIN DATO",IFERROR(INDEX(cat_MarcaN,MATCH(H172,cat_MarcaO,0)),H172))</f>
        <v>SEL</v>
      </c>
      <c r="T172" s="34" t="str">
        <f aca="false">IF(I172="","SIN DATO",IFERROR(INDEX(cat_ModN,MATCH(I172,cat_ModO,0)),I172))</f>
        <v>MEDICION</v>
      </c>
      <c r="U172" s="34" t="str">
        <f aca="false">IF(I172="","",IFERROR(INDEX(cat_ModG,MATCH(I172,cat_ModO,0)),"No"))</f>
        <v>Sí</v>
      </c>
      <c r="V172" s="34" t="str">
        <f aca="false">IF(J172="","SIN DATO",IFERROR(INDEX(cat_FunN,MATCH(J172,cat_FunO,0)),J172))</f>
        <v>Medición</v>
      </c>
      <c r="W172" s="34" t="str">
        <f aca="false">IF(OR(S172="SIN DATO",T172="SIN DATO"),"No","Sí")</f>
        <v>Sí</v>
      </c>
    </row>
    <row r="173" customFormat="false" ht="15" hidden="false" customHeight="false" outlineLevel="0" collapsed="false">
      <c r="A173" s="34" t="s">
        <v>899</v>
      </c>
      <c r="B173" s="34" t="s">
        <v>900</v>
      </c>
      <c r="C173" s="34" t="s">
        <v>901</v>
      </c>
      <c r="D173" s="34" t="s">
        <v>827</v>
      </c>
      <c r="E173" s="34" t="s">
        <v>113</v>
      </c>
      <c r="F173" s="34" t="s">
        <v>675</v>
      </c>
      <c r="G173" s="34" t="s">
        <v>676</v>
      </c>
      <c r="H173" s="34" t="s">
        <v>34</v>
      </c>
      <c r="I173" s="34" t="s">
        <v>38</v>
      </c>
      <c r="J173" s="34" t="s">
        <v>228</v>
      </c>
      <c r="K173" s="34" t="s">
        <v>229</v>
      </c>
      <c r="L173" s="34" t="s">
        <v>230</v>
      </c>
      <c r="M173" s="34" t="s">
        <v>231</v>
      </c>
      <c r="N173" s="34" t="str">
        <f aca="false">"Sector "&amp;VALUE(MID(D173,13,2))</f>
        <v>Sector 2</v>
      </c>
      <c r="O173" s="34" t="str">
        <f aca="false">IF(Dashboard!$C$5="Ubicación técnica",N173,"Sector "&amp;VALUE(RIGHT(G173,2)))</f>
        <v>Sector 2</v>
      </c>
      <c r="P173" s="34" t="str">
        <f aca="false">IF(MID(D173,15,3)="SEL","Subestación eléctrica","Área de proceso")</f>
        <v>Subestación eléctrica</v>
      </c>
      <c r="Q173" s="34" t="str">
        <f aca="false">MID(D173,13,5)&amp;"|"&amp;MID(D173,19,5)</f>
        <v>02SEL|S15_1</v>
      </c>
      <c r="R173" s="34" t="str">
        <f aca="false">IF(P173="Subestación eléctrica",IFERROR(INDEX(cat_SubN,MATCH(Q173,cat_SubK,0)),"SIN CATALOGAR"),"ÁREA DE PROCESO")</f>
        <v>SE-15-1</v>
      </c>
      <c r="S173" s="34" t="str">
        <f aca="false">IF(H173="","SIN DATO",IFERROR(INDEX(cat_MarcaN,MATCH(H173,cat_MarcaO,0)),H173))</f>
        <v>ABB</v>
      </c>
      <c r="T173" s="34" t="str">
        <f aca="false">IF(I173="","SIN DATO",IFERROR(INDEX(cat_ModN,MATCH(I173,cat_ModO,0)),I173))</f>
        <v>1AMEBCADNEC5BNN11G</v>
      </c>
      <c r="U173" s="34" t="str">
        <f aca="false">IF(I173="","",IFERROR(INDEX(cat_ModG,MATCH(I173,cat_ModO,0)),"No"))</f>
        <v>No</v>
      </c>
      <c r="V173" s="34" t="str">
        <f aca="false">IF(J173="","SIN DATO",IFERROR(INDEX(cat_FunN,MATCH(J173,cat_FunO,0)),J173))</f>
        <v>Protección y medición</v>
      </c>
      <c r="W173" s="34" t="str">
        <f aca="false">IF(OR(S173="SIN DATO",T173="SIN DATO"),"No","Sí")</f>
        <v>Sí</v>
      </c>
    </row>
    <row r="174" customFormat="false" ht="15" hidden="false" customHeight="false" outlineLevel="0" collapsed="false">
      <c r="A174" s="34" t="s">
        <v>902</v>
      </c>
      <c r="B174" s="34" t="s">
        <v>903</v>
      </c>
      <c r="C174" s="34" t="s">
        <v>904</v>
      </c>
      <c r="D174" s="34" t="s">
        <v>827</v>
      </c>
      <c r="E174" s="34" t="s">
        <v>113</v>
      </c>
      <c r="F174" s="34" t="s">
        <v>675</v>
      </c>
      <c r="G174" s="34" t="s">
        <v>676</v>
      </c>
      <c r="H174" s="34" t="s">
        <v>34</v>
      </c>
      <c r="I174" s="34" t="s">
        <v>48</v>
      </c>
      <c r="J174" s="34" t="s">
        <v>228</v>
      </c>
      <c r="K174" s="34" t="s">
        <v>229</v>
      </c>
      <c r="L174" s="34" t="s">
        <v>230</v>
      </c>
      <c r="M174" s="34" t="s">
        <v>231</v>
      </c>
      <c r="N174" s="34" t="str">
        <f aca="false">"Sector "&amp;VALUE(MID(D174,13,2))</f>
        <v>Sector 2</v>
      </c>
      <c r="O174" s="34" t="str">
        <f aca="false">IF(Dashboard!$C$5="Ubicación técnica",N174,"Sector "&amp;VALUE(RIGHT(G174,2)))</f>
        <v>Sector 2</v>
      </c>
      <c r="P174" s="34" t="str">
        <f aca="false">IF(MID(D174,15,3)="SEL","Subestación eléctrica","Área de proceso")</f>
        <v>Subestación eléctrica</v>
      </c>
      <c r="Q174" s="34" t="str">
        <f aca="false">MID(D174,13,5)&amp;"|"&amp;MID(D174,19,5)</f>
        <v>02SEL|S15_1</v>
      </c>
      <c r="R174" s="34" t="str">
        <f aca="false">IF(P174="Subestación eléctrica",IFERROR(INDEX(cat_SubN,MATCH(Q174,cat_SubK,0)),"SIN CATALOGAR"),"ÁREA DE PROCESO")</f>
        <v>SE-15-1</v>
      </c>
      <c r="S174" s="34" t="str">
        <f aca="false">IF(H174="","SIN DATO",IFERROR(INDEX(cat_MarcaN,MATCH(H174,cat_MarcaO,0)),H174))</f>
        <v>ABB</v>
      </c>
      <c r="T174" s="34" t="str">
        <f aca="false">IF(I174="","SIN DATO",IFERROR(INDEX(cat_ModN,MATCH(I174,cat_ModO,0)),I174))</f>
        <v>1AFNAEAGNEC5BNA11G</v>
      </c>
      <c r="U174" s="34" t="str">
        <f aca="false">IF(I174="","",IFERROR(INDEX(cat_ModG,MATCH(I174,cat_ModO,0)),"No"))</f>
        <v>No</v>
      </c>
      <c r="V174" s="34" t="str">
        <f aca="false">IF(J174="","SIN DATO",IFERROR(INDEX(cat_FunN,MATCH(J174,cat_FunO,0)),J174))</f>
        <v>Protección y medición</v>
      </c>
      <c r="W174" s="34" t="str">
        <f aca="false">IF(OR(S174="SIN DATO",T174="SIN DATO"),"No","Sí")</f>
        <v>Sí</v>
      </c>
    </row>
    <row r="175" customFormat="false" ht="15" hidden="false" customHeight="false" outlineLevel="0" collapsed="false">
      <c r="A175" s="34" t="s">
        <v>905</v>
      </c>
      <c r="B175" s="34" t="s">
        <v>906</v>
      </c>
      <c r="C175" s="34" t="s">
        <v>907</v>
      </c>
      <c r="D175" s="34" t="s">
        <v>716</v>
      </c>
      <c r="E175" s="34" t="s">
        <v>113</v>
      </c>
      <c r="F175" s="34" t="s">
        <v>675</v>
      </c>
      <c r="G175" s="34" t="s">
        <v>676</v>
      </c>
      <c r="H175" s="34" t="s">
        <v>34</v>
      </c>
      <c r="I175" s="34" t="s">
        <v>36</v>
      </c>
      <c r="J175" s="34" t="s">
        <v>228</v>
      </c>
      <c r="K175" s="34" t="s">
        <v>229</v>
      </c>
      <c r="L175" s="34" t="s">
        <v>230</v>
      </c>
      <c r="M175" s="34" t="s">
        <v>231</v>
      </c>
      <c r="N175" s="34" t="str">
        <f aca="false">"Sector "&amp;VALUE(MID(D175,13,2))</f>
        <v>Sector 2</v>
      </c>
      <c r="O175" s="34" t="str">
        <f aca="false">IF(Dashboard!$C$5="Ubicación técnica",N175,"Sector "&amp;VALUE(RIGHT(G175,2)))</f>
        <v>Sector 2</v>
      </c>
      <c r="P175" s="34" t="str">
        <f aca="false">IF(MID(D175,15,3)="SEL","Subestación eléctrica","Área de proceso")</f>
        <v>Subestación eléctrica</v>
      </c>
      <c r="Q175" s="34" t="str">
        <f aca="false">MID(D175,13,5)&amp;"|"&amp;MID(D175,19,5)</f>
        <v>02SEL|S15_1</v>
      </c>
      <c r="R175" s="34" t="str">
        <f aca="false">IF(P175="Subestación eléctrica",IFERROR(INDEX(cat_SubN,MATCH(Q175,cat_SubK,0)),"SIN CATALOGAR"),"ÁREA DE PROCESO")</f>
        <v>SE-15-1</v>
      </c>
      <c r="S175" s="34" t="str">
        <f aca="false">IF(H175="","SIN DATO",IFERROR(INDEX(cat_MarcaN,MATCH(H175,cat_MarcaO,0)),H175))</f>
        <v>ABB</v>
      </c>
      <c r="T175" s="34" t="str">
        <f aca="false">IF(I175="","SIN DATO",IFERROR(INDEX(cat_ModN,MATCH(I175,cat_ModO,0)),I175))</f>
        <v>1AFFAEAGNEC5BNA11G</v>
      </c>
      <c r="U175" s="34" t="str">
        <f aca="false">IF(I175="","",IFERROR(INDEX(cat_ModG,MATCH(I175,cat_ModO,0)),"No"))</f>
        <v>No</v>
      </c>
      <c r="V175" s="34" t="str">
        <f aca="false">IF(J175="","SIN DATO",IFERROR(INDEX(cat_FunN,MATCH(J175,cat_FunO,0)),J175))</f>
        <v>Protección y medición</v>
      </c>
      <c r="W175" s="34" t="str">
        <f aca="false">IF(OR(S175="SIN DATO",T175="SIN DATO"),"No","Sí")</f>
        <v>Sí</v>
      </c>
    </row>
    <row r="176" customFormat="false" ht="15" hidden="false" customHeight="false" outlineLevel="0" collapsed="false">
      <c r="A176" s="34" t="s">
        <v>908</v>
      </c>
      <c r="B176" s="34" t="s">
        <v>909</v>
      </c>
      <c r="C176" s="34" t="s">
        <v>910</v>
      </c>
      <c r="D176" s="34" t="s">
        <v>716</v>
      </c>
      <c r="E176" s="34" t="s">
        <v>113</v>
      </c>
      <c r="F176" s="34" t="s">
        <v>675</v>
      </c>
      <c r="G176" s="34" t="s">
        <v>676</v>
      </c>
      <c r="H176" s="34" t="s">
        <v>34</v>
      </c>
      <c r="I176" s="34" t="s">
        <v>38</v>
      </c>
      <c r="J176" s="34" t="s">
        <v>228</v>
      </c>
      <c r="K176" s="34" t="s">
        <v>229</v>
      </c>
      <c r="L176" s="34" t="s">
        <v>230</v>
      </c>
      <c r="M176" s="34" t="s">
        <v>231</v>
      </c>
      <c r="N176" s="34" t="str">
        <f aca="false">"Sector "&amp;VALUE(MID(D176,13,2))</f>
        <v>Sector 2</v>
      </c>
      <c r="O176" s="34" t="str">
        <f aca="false">IF(Dashboard!$C$5="Ubicación técnica",N176,"Sector "&amp;VALUE(RIGHT(G176,2)))</f>
        <v>Sector 2</v>
      </c>
      <c r="P176" s="34" t="str">
        <f aca="false">IF(MID(D176,15,3)="SEL","Subestación eléctrica","Área de proceso")</f>
        <v>Subestación eléctrica</v>
      </c>
      <c r="Q176" s="34" t="str">
        <f aca="false">MID(D176,13,5)&amp;"|"&amp;MID(D176,19,5)</f>
        <v>02SEL|S15_1</v>
      </c>
      <c r="R176" s="34" t="str">
        <f aca="false">IF(P176="Subestación eléctrica",IFERROR(INDEX(cat_SubN,MATCH(Q176,cat_SubK,0)),"SIN CATALOGAR"),"ÁREA DE PROCESO")</f>
        <v>SE-15-1</v>
      </c>
      <c r="S176" s="34" t="str">
        <f aca="false">IF(H176="","SIN DATO",IFERROR(INDEX(cat_MarcaN,MATCH(H176,cat_MarcaO,0)),H176))</f>
        <v>ABB</v>
      </c>
      <c r="T176" s="34" t="str">
        <f aca="false">IF(I176="","SIN DATO",IFERROR(INDEX(cat_ModN,MATCH(I176,cat_ModO,0)),I176))</f>
        <v>1AMEBCADNEC5BNN11G</v>
      </c>
      <c r="U176" s="34" t="str">
        <f aca="false">IF(I176="","",IFERROR(INDEX(cat_ModG,MATCH(I176,cat_ModO,0)),"No"))</f>
        <v>No</v>
      </c>
      <c r="V176" s="34" t="str">
        <f aca="false">IF(J176="","SIN DATO",IFERROR(INDEX(cat_FunN,MATCH(J176,cat_FunO,0)),J176))</f>
        <v>Protección y medición</v>
      </c>
      <c r="W176" s="34" t="str">
        <f aca="false">IF(OR(S176="SIN DATO",T176="SIN DATO"),"No","Sí")</f>
        <v>Sí</v>
      </c>
    </row>
    <row r="177" customFormat="false" ht="15" hidden="false" customHeight="false" outlineLevel="0" collapsed="false">
      <c r="A177" s="34" t="s">
        <v>911</v>
      </c>
      <c r="B177" s="34" t="s">
        <v>912</v>
      </c>
      <c r="C177" s="34" t="s">
        <v>913</v>
      </c>
      <c r="D177" s="34" t="s">
        <v>716</v>
      </c>
      <c r="E177" s="34" t="s">
        <v>113</v>
      </c>
      <c r="F177" s="34" t="s">
        <v>675</v>
      </c>
      <c r="G177" s="34" t="s">
        <v>676</v>
      </c>
      <c r="H177" s="34" t="s">
        <v>34</v>
      </c>
      <c r="I177" s="34" t="s">
        <v>36</v>
      </c>
      <c r="J177" s="34" t="s">
        <v>228</v>
      </c>
      <c r="K177" s="34" t="s">
        <v>229</v>
      </c>
      <c r="L177" s="34" t="s">
        <v>230</v>
      </c>
      <c r="M177" s="34" t="s">
        <v>231</v>
      </c>
      <c r="N177" s="34" t="str">
        <f aca="false">"Sector "&amp;VALUE(MID(D177,13,2))</f>
        <v>Sector 2</v>
      </c>
      <c r="O177" s="34" t="str">
        <f aca="false">IF(Dashboard!$C$5="Ubicación técnica",N177,"Sector "&amp;VALUE(RIGHT(G177,2)))</f>
        <v>Sector 2</v>
      </c>
      <c r="P177" s="34" t="str">
        <f aca="false">IF(MID(D177,15,3)="SEL","Subestación eléctrica","Área de proceso")</f>
        <v>Subestación eléctrica</v>
      </c>
      <c r="Q177" s="34" t="str">
        <f aca="false">MID(D177,13,5)&amp;"|"&amp;MID(D177,19,5)</f>
        <v>02SEL|S15_1</v>
      </c>
      <c r="R177" s="34" t="str">
        <f aca="false">IF(P177="Subestación eléctrica",IFERROR(INDEX(cat_SubN,MATCH(Q177,cat_SubK,0)),"SIN CATALOGAR"),"ÁREA DE PROCESO")</f>
        <v>SE-15-1</v>
      </c>
      <c r="S177" s="34" t="str">
        <f aca="false">IF(H177="","SIN DATO",IFERROR(INDEX(cat_MarcaN,MATCH(H177,cat_MarcaO,0)),H177))</f>
        <v>ABB</v>
      </c>
      <c r="T177" s="34" t="str">
        <f aca="false">IF(I177="","SIN DATO",IFERROR(INDEX(cat_ModN,MATCH(I177,cat_ModO,0)),I177))</f>
        <v>1AFFAEAGNEC5BNA11G</v>
      </c>
      <c r="U177" s="34" t="str">
        <f aca="false">IF(I177="","",IFERROR(INDEX(cat_ModG,MATCH(I177,cat_ModO,0)),"No"))</f>
        <v>No</v>
      </c>
      <c r="V177" s="34" t="str">
        <f aca="false">IF(J177="","SIN DATO",IFERROR(INDEX(cat_FunN,MATCH(J177,cat_FunO,0)),J177))</f>
        <v>Protección y medición</v>
      </c>
      <c r="W177" s="34" t="str">
        <f aca="false">IF(OR(S177="SIN DATO",T177="SIN DATO"),"No","Sí")</f>
        <v>Sí</v>
      </c>
    </row>
    <row r="178" customFormat="false" ht="15" hidden="false" customHeight="false" outlineLevel="0" collapsed="false">
      <c r="A178" s="34" t="s">
        <v>914</v>
      </c>
      <c r="B178" s="34" t="s">
        <v>915</v>
      </c>
      <c r="C178" s="34" t="s">
        <v>916</v>
      </c>
      <c r="D178" s="34" t="s">
        <v>917</v>
      </c>
      <c r="E178" s="34" t="s">
        <v>113</v>
      </c>
      <c r="F178" s="34" t="s">
        <v>675</v>
      </c>
      <c r="G178" s="34" t="s">
        <v>676</v>
      </c>
      <c r="H178" s="34" t="s">
        <v>55</v>
      </c>
      <c r="I178" s="34" t="s">
        <v>58</v>
      </c>
      <c r="J178" s="34" t="s">
        <v>58</v>
      </c>
      <c r="K178" s="34" t="s">
        <v>229</v>
      </c>
      <c r="L178" s="34" t="s">
        <v>230</v>
      </c>
      <c r="M178" s="34" t="s">
        <v>344</v>
      </c>
      <c r="N178" s="34" t="str">
        <f aca="false">"Sector "&amp;VALUE(MID(D178,13,2))</f>
        <v>Sector 2</v>
      </c>
      <c r="O178" s="34" t="str">
        <f aca="false">IF(Dashboard!$C$5="Ubicación técnica",N178,"Sector "&amp;VALUE(RIGHT(G178,2)))</f>
        <v>Sector 2</v>
      </c>
      <c r="P178" s="34" t="str">
        <f aca="false">IF(MID(D178,15,3)="SEL","Subestación eléctrica","Área de proceso")</f>
        <v>Subestación eléctrica</v>
      </c>
      <c r="Q178" s="34" t="str">
        <f aca="false">MID(D178,13,5)&amp;"|"&amp;MID(D178,19,5)</f>
        <v>02SEL|S15_1</v>
      </c>
      <c r="R178" s="34" t="str">
        <f aca="false">IF(P178="Subestación eléctrica",IFERROR(INDEX(cat_SubN,MATCH(Q178,cat_SubK,0)),"SIN CATALOGAR"),"ÁREA DE PROCESO")</f>
        <v>SE-15-1</v>
      </c>
      <c r="S178" s="34" t="str">
        <f aca="false">IF(H178="","SIN DATO",IFERROR(INDEX(cat_MarcaN,MATCH(H178,cat_MarcaO,0)),H178))</f>
        <v>SEL</v>
      </c>
      <c r="T178" s="34" t="str">
        <f aca="false">IF(I178="","SIN DATO",IFERROR(INDEX(cat_ModN,MATCH(I178,cat_ModO,0)),I178))</f>
        <v>MEDICION</v>
      </c>
      <c r="U178" s="34" t="str">
        <f aca="false">IF(I178="","",IFERROR(INDEX(cat_ModG,MATCH(I178,cat_ModO,0)),"No"))</f>
        <v>Sí</v>
      </c>
      <c r="V178" s="34" t="str">
        <f aca="false">IF(J178="","SIN DATO",IFERROR(INDEX(cat_FunN,MATCH(J178,cat_FunO,0)),J178))</f>
        <v>Medición</v>
      </c>
      <c r="W178" s="34" t="str">
        <f aca="false">IF(OR(S178="SIN DATO",T178="SIN DATO"),"No","Sí")</f>
        <v>Sí</v>
      </c>
    </row>
    <row r="179" customFormat="false" ht="15" hidden="false" customHeight="false" outlineLevel="0" collapsed="false">
      <c r="A179" s="34" t="s">
        <v>918</v>
      </c>
      <c r="B179" s="34" t="s">
        <v>919</v>
      </c>
      <c r="C179" s="34" t="s">
        <v>920</v>
      </c>
      <c r="D179" s="34" t="s">
        <v>803</v>
      </c>
      <c r="E179" s="34" t="s">
        <v>113</v>
      </c>
      <c r="F179" s="34" t="s">
        <v>675</v>
      </c>
      <c r="G179" s="34" t="s">
        <v>676</v>
      </c>
      <c r="H179" s="34" t="s">
        <v>34</v>
      </c>
      <c r="I179" s="34" t="s">
        <v>38</v>
      </c>
      <c r="J179" s="34" t="s">
        <v>228</v>
      </c>
      <c r="K179" s="34" t="s">
        <v>229</v>
      </c>
      <c r="L179" s="34" t="s">
        <v>230</v>
      </c>
      <c r="M179" s="34" t="s">
        <v>231</v>
      </c>
      <c r="N179" s="34" t="str">
        <f aca="false">"Sector "&amp;VALUE(MID(D179,13,2))</f>
        <v>Sector 2</v>
      </c>
      <c r="O179" s="34" t="str">
        <f aca="false">IF(Dashboard!$C$5="Ubicación técnica",N179,"Sector "&amp;VALUE(RIGHT(G179,2)))</f>
        <v>Sector 2</v>
      </c>
      <c r="P179" s="34" t="str">
        <f aca="false">IF(MID(D179,15,3)="SEL","Subestación eléctrica","Área de proceso")</f>
        <v>Subestación eléctrica</v>
      </c>
      <c r="Q179" s="34" t="str">
        <f aca="false">MID(D179,13,5)&amp;"|"&amp;MID(D179,19,5)</f>
        <v>02SEL|S15_1</v>
      </c>
      <c r="R179" s="34" t="str">
        <f aca="false">IF(P179="Subestación eléctrica",IFERROR(INDEX(cat_SubN,MATCH(Q179,cat_SubK,0)),"SIN CATALOGAR"),"ÁREA DE PROCESO")</f>
        <v>SE-15-1</v>
      </c>
      <c r="S179" s="34" t="str">
        <f aca="false">IF(H179="","SIN DATO",IFERROR(INDEX(cat_MarcaN,MATCH(H179,cat_MarcaO,0)),H179))</f>
        <v>ABB</v>
      </c>
      <c r="T179" s="34" t="str">
        <f aca="false">IF(I179="","SIN DATO",IFERROR(INDEX(cat_ModN,MATCH(I179,cat_ModO,0)),I179))</f>
        <v>1AMEBCADNEC5BNN11G</v>
      </c>
      <c r="U179" s="34" t="str">
        <f aca="false">IF(I179="","",IFERROR(INDEX(cat_ModG,MATCH(I179,cat_ModO,0)),"No"))</f>
        <v>No</v>
      </c>
      <c r="V179" s="34" t="str">
        <f aca="false">IF(J179="","SIN DATO",IFERROR(INDEX(cat_FunN,MATCH(J179,cat_FunO,0)),J179))</f>
        <v>Protección y medición</v>
      </c>
      <c r="W179" s="34" t="str">
        <f aca="false">IF(OR(S179="SIN DATO",T179="SIN DATO"),"No","Sí")</f>
        <v>Sí</v>
      </c>
    </row>
    <row r="180" customFormat="false" ht="15" hidden="false" customHeight="false" outlineLevel="0" collapsed="false">
      <c r="A180" s="34" t="s">
        <v>921</v>
      </c>
      <c r="B180" s="34" t="s">
        <v>922</v>
      </c>
      <c r="C180" s="34" t="s">
        <v>923</v>
      </c>
      <c r="D180" s="34" t="s">
        <v>924</v>
      </c>
      <c r="E180" s="34" t="s">
        <v>113</v>
      </c>
      <c r="F180" s="34" t="s">
        <v>675</v>
      </c>
      <c r="G180" s="34" t="s">
        <v>676</v>
      </c>
      <c r="H180" s="34" t="s">
        <v>34</v>
      </c>
      <c r="I180" s="34" t="s">
        <v>42</v>
      </c>
      <c r="J180" s="34" t="s">
        <v>681</v>
      </c>
      <c r="K180" s="34" t="s">
        <v>229</v>
      </c>
      <c r="L180" s="34" t="s">
        <v>230</v>
      </c>
      <c r="M180" s="34" t="s">
        <v>231</v>
      </c>
      <c r="N180" s="34" t="str">
        <f aca="false">"Sector "&amp;VALUE(MID(D180,13,2))</f>
        <v>Sector 2</v>
      </c>
      <c r="O180" s="34" t="str">
        <f aca="false">IF(Dashboard!$C$5="Ubicación técnica",N180,"Sector "&amp;VALUE(RIGHT(G180,2)))</f>
        <v>Sector 2</v>
      </c>
      <c r="P180" s="34" t="str">
        <f aca="false">IF(MID(D180,15,3)="SEL","Subestación eléctrica","Área de proceso")</f>
        <v>Subestación eléctrica</v>
      </c>
      <c r="Q180" s="34" t="str">
        <f aca="false">MID(D180,13,5)&amp;"|"&amp;MID(D180,19,5)</f>
        <v>02SEL|S15_1</v>
      </c>
      <c r="R180" s="34" t="str">
        <f aca="false">IF(P180="Subestación eléctrica",IFERROR(INDEX(cat_SubN,MATCH(Q180,cat_SubK,0)),"SIN CATALOGAR"),"ÁREA DE PROCESO")</f>
        <v>SE-15-1</v>
      </c>
      <c r="S180" s="34" t="str">
        <f aca="false">IF(H180="","SIN DATO",IFERROR(INDEX(cat_MarcaN,MATCH(H180,cat_MarcaO,0)),H180))</f>
        <v>ABB</v>
      </c>
      <c r="T180" s="34" t="str">
        <f aca="false">IF(I180="","SIN DATO",IFERROR(INDEX(cat_ModN,MATCH(I180,cat_ModO,0)),I180))</f>
        <v>1AFPAKAKNGC5BNN11G</v>
      </c>
      <c r="U180" s="34" t="str">
        <f aca="false">IF(I180="","",IFERROR(INDEX(cat_ModG,MATCH(I180,cat_ModO,0)),"No"))</f>
        <v>No</v>
      </c>
      <c r="V180" s="34" t="str">
        <f aca="false">IF(J180="","SIN DATO",IFERROR(INDEX(cat_FunN,MATCH(J180,cat_FunO,0)),J180))</f>
        <v>Protección</v>
      </c>
      <c r="W180" s="34" t="str">
        <f aca="false">IF(OR(S180="SIN DATO",T180="SIN DATO"),"No","Sí")</f>
        <v>Sí</v>
      </c>
    </row>
    <row r="181" customFormat="false" ht="15" hidden="false" customHeight="false" outlineLevel="0" collapsed="false">
      <c r="A181" s="34" t="s">
        <v>925</v>
      </c>
      <c r="B181" s="34" t="s">
        <v>926</v>
      </c>
      <c r="C181" s="34" t="s">
        <v>927</v>
      </c>
      <c r="D181" s="34" t="s">
        <v>928</v>
      </c>
      <c r="E181" s="34" t="s">
        <v>113</v>
      </c>
      <c r="F181" s="34" t="s">
        <v>675</v>
      </c>
      <c r="G181" s="34" t="s">
        <v>676</v>
      </c>
      <c r="H181" s="34" t="s">
        <v>34</v>
      </c>
      <c r="I181" s="34" t="s">
        <v>36</v>
      </c>
      <c r="J181" s="34" t="s">
        <v>228</v>
      </c>
      <c r="K181" s="34" t="s">
        <v>229</v>
      </c>
      <c r="L181" s="34" t="s">
        <v>230</v>
      </c>
      <c r="M181" s="34" t="s">
        <v>231</v>
      </c>
      <c r="N181" s="34" t="str">
        <f aca="false">"Sector "&amp;VALUE(MID(D181,13,2))</f>
        <v>Sector 2</v>
      </c>
      <c r="O181" s="34" t="str">
        <f aca="false">IF(Dashboard!$C$5="Ubicación técnica",N181,"Sector "&amp;VALUE(RIGHT(G181,2)))</f>
        <v>Sector 2</v>
      </c>
      <c r="P181" s="34" t="str">
        <f aca="false">IF(MID(D181,15,3)="SEL","Subestación eléctrica","Área de proceso")</f>
        <v>Subestación eléctrica</v>
      </c>
      <c r="Q181" s="34" t="str">
        <f aca="false">MID(D181,13,5)&amp;"|"&amp;MID(D181,19,5)</f>
        <v>02SEL|S_015</v>
      </c>
      <c r="R181" s="34" t="str">
        <f aca="false">IF(P181="Subestación eléctrica",IFERROR(INDEX(cat_SubN,MATCH(Q181,cat_SubK,0)),"SIN CATALOGAR"),"ÁREA DE PROCESO")</f>
        <v>SE-15</v>
      </c>
      <c r="S181" s="34" t="str">
        <f aca="false">IF(H181="","SIN DATO",IFERROR(INDEX(cat_MarcaN,MATCH(H181,cat_MarcaO,0)),H181))</f>
        <v>ABB</v>
      </c>
      <c r="T181" s="34" t="str">
        <f aca="false">IF(I181="","SIN DATO",IFERROR(INDEX(cat_ModN,MATCH(I181,cat_ModO,0)),I181))</f>
        <v>1AFFAEAGNEC5BNA11G</v>
      </c>
      <c r="U181" s="34" t="str">
        <f aca="false">IF(I181="","",IFERROR(INDEX(cat_ModG,MATCH(I181,cat_ModO,0)),"No"))</f>
        <v>No</v>
      </c>
      <c r="V181" s="34" t="str">
        <f aca="false">IF(J181="","SIN DATO",IFERROR(INDEX(cat_FunN,MATCH(J181,cat_FunO,0)),J181))</f>
        <v>Protección y medición</v>
      </c>
      <c r="W181" s="34" t="str">
        <f aca="false">IF(OR(S181="SIN DATO",T181="SIN DATO"),"No","Sí")</f>
        <v>Sí</v>
      </c>
    </row>
    <row r="182" customFormat="false" ht="15" hidden="false" customHeight="false" outlineLevel="0" collapsed="false">
      <c r="A182" s="34" t="s">
        <v>929</v>
      </c>
      <c r="B182" s="34" t="s">
        <v>930</v>
      </c>
      <c r="C182" s="34" t="s">
        <v>931</v>
      </c>
      <c r="D182" s="34" t="s">
        <v>932</v>
      </c>
      <c r="E182" s="34" t="s">
        <v>113</v>
      </c>
      <c r="F182" s="34" t="s">
        <v>675</v>
      </c>
      <c r="G182" s="34" t="s">
        <v>676</v>
      </c>
      <c r="H182" s="34" t="s">
        <v>34</v>
      </c>
      <c r="I182" s="34" t="s">
        <v>36</v>
      </c>
      <c r="J182" s="34" t="s">
        <v>228</v>
      </c>
      <c r="K182" s="34" t="s">
        <v>229</v>
      </c>
      <c r="L182" s="34" t="s">
        <v>230</v>
      </c>
      <c r="M182" s="34" t="s">
        <v>231</v>
      </c>
      <c r="N182" s="34" t="str">
        <f aca="false">"Sector "&amp;VALUE(MID(D182,13,2))</f>
        <v>Sector 2</v>
      </c>
      <c r="O182" s="34" t="str">
        <f aca="false">IF(Dashboard!$C$5="Ubicación técnica",N182,"Sector "&amp;VALUE(RIGHT(G182,2)))</f>
        <v>Sector 2</v>
      </c>
      <c r="P182" s="34" t="str">
        <f aca="false">IF(MID(D182,15,3)="SEL","Subestación eléctrica","Área de proceso")</f>
        <v>Subestación eléctrica</v>
      </c>
      <c r="Q182" s="34" t="str">
        <f aca="false">MID(D182,13,5)&amp;"|"&amp;MID(D182,19,5)</f>
        <v>02SEL|S_015</v>
      </c>
      <c r="R182" s="34" t="str">
        <f aca="false">IF(P182="Subestación eléctrica",IFERROR(INDEX(cat_SubN,MATCH(Q182,cat_SubK,0)),"SIN CATALOGAR"),"ÁREA DE PROCESO")</f>
        <v>SE-15</v>
      </c>
      <c r="S182" s="34" t="str">
        <f aca="false">IF(H182="","SIN DATO",IFERROR(INDEX(cat_MarcaN,MATCH(H182,cat_MarcaO,0)),H182))</f>
        <v>ABB</v>
      </c>
      <c r="T182" s="34" t="str">
        <f aca="false">IF(I182="","SIN DATO",IFERROR(INDEX(cat_ModN,MATCH(I182,cat_ModO,0)),I182))</f>
        <v>1AFFAEAGNEC5BNA11G</v>
      </c>
      <c r="U182" s="34" t="str">
        <f aca="false">IF(I182="","",IFERROR(INDEX(cat_ModG,MATCH(I182,cat_ModO,0)),"No"))</f>
        <v>No</v>
      </c>
      <c r="V182" s="34" t="str">
        <f aca="false">IF(J182="","SIN DATO",IFERROR(INDEX(cat_FunN,MATCH(J182,cat_FunO,0)),J182))</f>
        <v>Protección y medición</v>
      </c>
      <c r="W182" s="34" t="str">
        <f aca="false">IF(OR(S182="SIN DATO",T182="SIN DATO"),"No","Sí")</f>
        <v>Sí</v>
      </c>
    </row>
    <row r="183" customFormat="false" ht="15" hidden="false" customHeight="false" outlineLevel="0" collapsed="false">
      <c r="A183" s="34" t="s">
        <v>933</v>
      </c>
      <c r="B183" s="34" t="s">
        <v>930</v>
      </c>
      <c r="C183" s="34" t="s">
        <v>931</v>
      </c>
      <c r="D183" s="34" t="s">
        <v>932</v>
      </c>
      <c r="E183" s="34" t="s">
        <v>113</v>
      </c>
      <c r="F183" s="34" t="s">
        <v>675</v>
      </c>
      <c r="G183" s="34" t="s">
        <v>676</v>
      </c>
      <c r="H183" s="34" t="s">
        <v>34</v>
      </c>
      <c r="I183" s="34" t="s">
        <v>51</v>
      </c>
      <c r="J183" s="34" t="s">
        <v>681</v>
      </c>
      <c r="K183" s="34" t="s">
        <v>229</v>
      </c>
      <c r="L183" s="34" t="s">
        <v>230</v>
      </c>
      <c r="M183" s="34" t="s">
        <v>682</v>
      </c>
      <c r="N183" s="34" t="str">
        <f aca="false">"Sector "&amp;VALUE(MID(D183,13,2))</f>
        <v>Sector 2</v>
      </c>
      <c r="O183" s="34" t="str">
        <f aca="false">IF(Dashboard!$C$5="Ubicación técnica",N183,"Sector "&amp;VALUE(RIGHT(G183,2)))</f>
        <v>Sector 2</v>
      </c>
      <c r="P183" s="34" t="str">
        <f aca="false">IF(MID(D183,15,3)="SEL","Subestación eléctrica","Área de proceso")</f>
        <v>Subestación eléctrica</v>
      </c>
      <c r="Q183" s="34" t="str">
        <f aca="false">MID(D183,13,5)&amp;"|"&amp;MID(D183,19,5)</f>
        <v>02SEL|S_015</v>
      </c>
      <c r="R183" s="34" t="str">
        <f aca="false">IF(P183="Subestación eléctrica",IFERROR(INDEX(cat_SubN,MATCH(Q183,cat_SubK,0)),"SIN CATALOGAR"),"ÁREA DE PROCESO")</f>
        <v>SE-15</v>
      </c>
      <c r="S183" s="34" t="str">
        <f aca="false">IF(H183="","SIN DATO",IFERROR(INDEX(cat_MarcaN,MATCH(H183,cat_MarcaO,0)),H183))</f>
        <v>ABB</v>
      </c>
      <c r="T183" s="34" t="str">
        <f aca="false">IF(I183="","SIN DATO",IFERROR(INDEX(cat_ModN,MATCH(I183,cat_ModO,0)),I183))</f>
        <v>PROTECCION ARCO</v>
      </c>
      <c r="U183" s="34" t="str">
        <f aca="false">IF(I183="","",IFERROR(INDEX(cat_ModG,MATCH(I183,cat_ModO,0)),"No"))</f>
        <v>Sí</v>
      </c>
      <c r="V183" s="34" t="str">
        <f aca="false">IF(J183="","SIN DATO",IFERROR(INDEX(cat_FunN,MATCH(J183,cat_FunO,0)),J183))</f>
        <v>Protección</v>
      </c>
      <c r="W183" s="34" t="str">
        <f aca="false">IF(OR(S183="SIN DATO",T183="SIN DATO"),"No","Sí")</f>
        <v>Sí</v>
      </c>
    </row>
    <row r="184" customFormat="false" ht="15" hidden="false" customHeight="false" outlineLevel="0" collapsed="false">
      <c r="A184" s="34" t="s">
        <v>934</v>
      </c>
      <c r="B184" s="34" t="s">
        <v>935</v>
      </c>
      <c r="C184" s="34" t="s">
        <v>936</v>
      </c>
      <c r="D184" s="34" t="s">
        <v>937</v>
      </c>
      <c r="E184" s="34" t="s">
        <v>113</v>
      </c>
      <c r="F184" s="34" t="s">
        <v>675</v>
      </c>
      <c r="G184" s="34" t="s">
        <v>676</v>
      </c>
      <c r="H184" s="34" t="s">
        <v>34</v>
      </c>
      <c r="I184" s="34" t="s">
        <v>38</v>
      </c>
      <c r="J184" s="34" t="s">
        <v>228</v>
      </c>
      <c r="K184" s="34" t="s">
        <v>229</v>
      </c>
      <c r="L184" s="34" t="s">
        <v>230</v>
      </c>
      <c r="M184" s="34" t="s">
        <v>231</v>
      </c>
      <c r="N184" s="34" t="str">
        <f aca="false">"Sector "&amp;VALUE(MID(D184,13,2))</f>
        <v>Sector 2</v>
      </c>
      <c r="O184" s="34" t="str">
        <f aca="false">IF(Dashboard!$C$5="Ubicación técnica",N184,"Sector "&amp;VALUE(RIGHT(G184,2)))</f>
        <v>Sector 2</v>
      </c>
      <c r="P184" s="34" t="str">
        <f aca="false">IF(MID(D184,15,3)="SEL","Subestación eléctrica","Área de proceso")</f>
        <v>Área de proceso</v>
      </c>
      <c r="Q184" s="34" t="str">
        <f aca="false">MID(D184,13,5)&amp;"|"&amp;MID(D184,19,5)</f>
        <v>02COR|SFRAC</v>
      </c>
      <c r="R184" s="34" t="str">
        <f aca="false">IF(P184="Subestación eléctrica",IFERROR(INDEX(cat_SubN,MATCH(Q184,cat_SubK,0)),"SIN CATALOGAR"),"ÁREA DE PROCESO")</f>
        <v>ÁREA DE PROCESO</v>
      </c>
      <c r="S184" s="34" t="str">
        <f aca="false">IF(H184="","SIN DATO",IFERROR(INDEX(cat_MarcaN,MATCH(H184,cat_MarcaO,0)),H184))</f>
        <v>ABB</v>
      </c>
      <c r="T184" s="34" t="str">
        <f aca="false">IF(I184="","SIN DATO",IFERROR(INDEX(cat_ModN,MATCH(I184,cat_ModO,0)),I184))</f>
        <v>1AMEBCADNEC5BNN11G</v>
      </c>
      <c r="U184" s="34" t="str">
        <f aca="false">IF(I184="","",IFERROR(INDEX(cat_ModG,MATCH(I184,cat_ModO,0)),"No"))</f>
        <v>No</v>
      </c>
      <c r="V184" s="34" t="str">
        <f aca="false">IF(J184="","SIN DATO",IFERROR(INDEX(cat_FunN,MATCH(J184,cat_FunO,0)),J184))</f>
        <v>Protección y medición</v>
      </c>
      <c r="W184" s="34" t="str">
        <f aca="false">IF(OR(S184="SIN DATO",T184="SIN DATO"),"No","Sí")</f>
        <v>Sí</v>
      </c>
    </row>
    <row r="185" customFormat="false" ht="15" hidden="false" customHeight="false" outlineLevel="0" collapsed="false">
      <c r="A185" s="34" t="s">
        <v>938</v>
      </c>
      <c r="B185" s="34" t="s">
        <v>939</v>
      </c>
      <c r="C185" s="34" t="s">
        <v>940</v>
      </c>
      <c r="D185" s="34" t="s">
        <v>941</v>
      </c>
      <c r="E185" s="34" t="s">
        <v>113</v>
      </c>
      <c r="F185" s="34" t="s">
        <v>675</v>
      </c>
      <c r="G185" s="34" t="s">
        <v>676</v>
      </c>
      <c r="H185" s="34" t="s">
        <v>34</v>
      </c>
      <c r="I185" s="34" t="s">
        <v>38</v>
      </c>
      <c r="J185" s="34" t="s">
        <v>228</v>
      </c>
      <c r="K185" s="34" t="s">
        <v>229</v>
      </c>
      <c r="L185" s="34" t="s">
        <v>230</v>
      </c>
      <c r="M185" s="34" t="s">
        <v>231</v>
      </c>
      <c r="N185" s="34" t="str">
        <f aca="false">"Sector "&amp;VALUE(MID(D185,13,2))</f>
        <v>Sector 2</v>
      </c>
      <c r="O185" s="34" t="str">
        <f aca="false">IF(Dashboard!$C$5="Ubicación técnica",N185,"Sector "&amp;VALUE(RIGHT(G185,2)))</f>
        <v>Sector 2</v>
      </c>
      <c r="P185" s="34" t="str">
        <f aca="false">IF(MID(D185,15,3)="SEL","Subestación eléctrica","Área de proceso")</f>
        <v>Área de proceso</v>
      </c>
      <c r="Q185" s="34" t="str">
        <f aca="false">MID(D185,13,5)&amp;"|"&amp;MID(D185,19,5)</f>
        <v>02COR|STRAM</v>
      </c>
      <c r="R185" s="34" t="str">
        <f aca="false">IF(P185="Subestación eléctrica",IFERROR(INDEX(cat_SubN,MATCH(Q185,cat_SubK,0)),"SIN CATALOGAR"),"ÁREA DE PROCESO")</f>
        <v>ÁREA DE PROCESO</v>
      </c>
      <c r="S185" s="34" t="str">
        <f aca="false">IF(H185="","SIN DATO",IFERROR(INDEX(cat_MarcaN,MATCH(H185,cat_MarcaO,0)),H185))</f>
        <v>ABB</v>
      </c>
      <c r="T185" s="34" t="str">
        <f aca="false">IF(I185="","SIN DATO",IFERROR(INDEX(cat_ModN,MATCH(I185,cat_ModO,0)),I185))</f>
        <v>1AMEBCADNEC5BNN11G</v>
      </c>
      <c r="U185" s="34" t="str">
        <f aca="false">IF(I185="","",IFERROR(INDEX(cat_ModG,MATCH(I185,cat_ModO,0)),"No"))</f>
        <v>No</v>
      </c>
      <c r="V185" s="34" t="str">
        <f aca="false">IF(J185="","SIN DATO",IFERROR(INDEX(cat_FunN,MATCH(J185,cat_FunO,0)),J185))</f>
        <v>Protección y medición</v>
      </c>
      <c r="W185" s="34" t="str">
        <f aca="false">IF(OR(S185="SIN DATO",T185="SIN DATO"),"No","Sí")</f>
        <v>Sí</v>
      </c>
    </row>
    <row r="186" customFormat="false" ht="15" hidden="false" customHeight="false" outlineLevel="0" collapsed="false">
      <c r="A186" s="34" t="s">
        <v>942</v>
      </c>
      <c r="B186" s="34" t="s">
        <v>943</v>
      </c>
      <c r="C186" s="34" t="s">
        <v>944</v>
      </c>
      <c r="D186" s="34" t="s">
        <v>945</v>
      </c>
      <c r="E186" s="34" t="s">
        <v>113</v>
      </c>
      <c r="F186" s="34" t="s">
        <v>675</v>
      </c>
      <c r="G186" s="34" t="s">
        <v>676</v>
      </c>
      <c r="H186" s="34" t="s">
        <v>34</v>
      </c>
      <c r="I186" s="34" t="s">
        <v>38</v>
      </c>
      <c r="J186" s="34" t="s">
        <v>228</v>
      </c>
      <c r="K186" s="34" t="s">
        <v>229</v>
      </c>
      <c r="L186" s="34" t="s">
        <v>230</v>
      </c>
      <c r="M186" s="34" t="s">
        <v>231</v>
      </c>
      <c r="N186" s="34" t="str">
        <f aca="false">"Sector "&amp;VALUE(MID(D186,13,2))</f>
        <v>Sector 2</v>
      </c>
      <c r="O186" s="34" t="str">
        <f aca="false">IF(Dashboard!$C$5="Ubicación técnica",N186,"Sector "&amp;VALUE(RIGHT(G186,2)))</f>
        <v>Sector 2</v>
      </c>
      <c r="P186" s="34" t="str">
        <f aca="false">IF(MID(D186,15,3)="SEL","Subestación eléctrica","Área de proceso")</f>
        <v>Área de proceso</v>
      </c>
      <c r="Q186" s="34" t="str">
        <f aca="false">MID(D186,13,5)&amp;"|"&amp;MID(D186,19,5)</f>
        <v>02COR|SGASE</v>
      </c>
      <c r="R186" s="34" t="str">
        <f aca="false">IF(P186="Subestación eléctrica",IFERROR(INDEX(cat_SubN,MATCH(Q186,cat_SubK,0)),"SIN CATALOGAR"),"ÁREA DE PROCESO")</f>
        <v>ÁREA DE PROCESO</v>
      </c>
      <c r="S186" s="34" t="str">
        <f aca="false">IF(H186="","SIN DATO",IFERROR(INDEX(cat_MarcaN,MATCH(H186,cat_MarcaO,0)),H186))</f>
        <v>ABB</v>
      </c>
      <c r="T186" s="34" t="str">
        <f aca="false">IF(I186="","SIN DATO",IFERROR(INDEX(cat_ModN,MATCH(I186,cat_ModO,0)),I186))</f>
        <v>1AMEBCADNEC5BNN11G</v>
      </c>
      <c r="U186" s="34" t="str">
        <f aca="false">IF(I186="","",IFERROR(INDEX(cat_ModG,MATCH(I186,cat_ModO,0)),"No"))</f>
        <v>No</v>
      </c>
      <c r="V186" s="34" t="str">
        <f aca="false">IF(J186="","SIN DATO",IFERROR(INDEX(cat_FunN,MATCH(J186,cat_FunO,0)),J186))</f>
        <v>Protección y medición</v>
      </c>
      <c r="W186" s="34" t="str">
        <f aca="false">IF(OR(S186="SIN DATO",T186="SIN DATO"),"No","Sí")</f>
        <v>Sí</v>
      </c>
    </row>
    <row r="187" customFormat="false" ht="15" hidden="false" customHeight="false" outlineLevel="0" collapsed="false">
      <c r="A187" s="34" t="s">
        <v>946</v>
      </c>
      <c r="B187" s="34" t="s">
        <v>947</v>
      </c>
      <c r="C187" s="34" t="s">
        <v>948</v>
      </c>
      <c r="D187" s="34" t="s">
        <v>949</v>
      </c>
      <c r="E187" s="34" t="s">
        <v>113</v>
      </c>
      <c r="F187" s="34" t="s">
        <v>675</v>
      </c>
      <c r="G187" s="34" t="s">
        <v>676</v>
      </c>
      <c r="H187" s="34" t="s">
        <v>34</v>
      </c>
      <c r="I187" s="34" t="s">
        <v>38</v>
      </c>
      <c r="J187" s="34" t="s">
        <v>228</v>
      </c>
      <c r="K187" s="34" t="s">
        <v>229</v>
      </c>
      <c r="L187" s="34" t="s">
        <v>230</v>
      </c>
      <c r="M187" s="34" t="s">
        <v>231</v>
      </c>
      <c r="N187" s="34" t="str">
        <f aca="false">"Sector "&amp;VALUE(MID(D187,13,2))</f>
        <v>Sector 2</v>
      </c>
      <c r="O187" s="34" t="str">
        <f aca="false">IF(Dashboard!$C$5="Ubicación técnica",N187,"Sector "&amp;VALUE(RIGHT(G187,2)))</f>
        <v>Sector 2</v>
      </c>
      <c r="P187" s="34" t="str">
        <f aca="false">IF(MID(D187,15,3)="SEL","Subestación eléctrica","Área de proceso")</f>
        <v>Área de proceso</v>
      </c>
      <c r="Q187" s="34" t="str">
        <f aca="false">MID(D187,13,5)&amp;"|"&amp;MID(D187,19,5)</f>
        <v>02COR|SFRAC</v>
      </c>
      <c r="R187" s="34" t="str">
        <f aca="false">IF(P187="Subestación eléctrica",IFERROR(INDEX(cat_SubN,MATCH(Q187,cat_SubK,0)),"SIN CATALOGAR"),"ÁREA DE PROCESO")</f>
        <v>ÁREA DE PROCESO</v>
      </c>
      <c r="S187" s="34" t="str">
        <f aca="false">IF(H187="","SIN DATO",IFERROR(INDEX(cat_MarcaN,MATCH(H187,cat_MarcaO,0)),H187))</f>
        <v>ABB</v>
      </c>
      <c r="T187" s="34" t="str">
        <f aca="false">IF(I187="","SIN DATO",IFERROR(INDEX(cat_ModN,MATCH(I187,cat_ModO,0)),I187))</f>
        <v>1AMEBCADNEC5BNN11G</v>
      </c>
      <c r="U187" s="34" t="str">
        <f aca="false">IF(I187="","",IFERROR(INDEX(cat_ModG,MATCH(I187,cat_ModO,0)),"No"))</f>
        <v>No</v>
      </c>
      <c r="V187" s="34" t="str">
        <f aca="false">IF(J187="","SIN DATO",IFERROR(INDEX(cat_FunN,MATCH(J187,cat_FunO,0)),J187))</f>
        <v>Protección y medición</v>
      </c>
      <c r="W187" s="34" t="str">
        <f aca="false">IF(OR(S187="SIN DATO",T187="SIN DATO"),"No","Sí")</f>
        <v>Sí</v>
      </c>
    </row>
    <row r="188" customFormat="false" ht="15" hidden="false" customHeight="false" outlineLevel="0" collapsed="false">
      <c r="A188" s="34" t="s">
        <v>950</v>
      </c>
      <c r="B188" s="34" t="s">
        <v>951</v>
      </c>
      <c r="C188" s="34" t="s">
        <v>952</v>
      </c>
      <c r="D188" s="34" t="s">
        <v>953</v>
      </c>
      <c r="E188" s="34" t="s">
        <v>113</v>
      </c>
      <c r="F188" s="34" t="s">
        <v>675</v>
      </c>
      <c r="G188" s="34" t="s">
        <v>676</v>
      </c>
      <c r="H188" s="34" t="s">
        <v>34</v>
      </c>
      <c r="I188" s="34" t="s">
        <v>38</v>
      </c>
      <c r="J188" s="34" t="s">
        <v>228</v>
      </c>
      <c r="K188" s="34" t="s">
        <v>229</v>
      </c>
      <c r="L188" s="34" t="s">
        <v>230</v>
      </c>
      <c r="M188" s="34" t="s">
        <v>231</v>
      </c>
      <c r="N188" s="34" t="str">
        <f aca="false">"Sector "&amp;VALUE(MID(D188,13,2))</f>
        <v>Sector 2</v>
      </c>
      <c r="O188" s="34" t="str">
        <f aca="false">IF(Dashboard!$C$5="Ubicación técnica",N188,"Sector "&amp;VALUE(RIGHT(G188,2)))</f>
        <v>Sector 2</v>
      </c>
      <c r="P188" s="34" t="str">
        <f aca="false">IF(MID(D188,15,3)="SEL","Subestación eléctrica","Área de proceso")</f>
        <v>Área de proceso</v>
      </c>
      <c r="Q188" s="34" t="str">
        <f aca="false">MID(D188,13,5)&amp;"|"&amp;MID(D188,19,5)</f>
        <v>02COR|SFRAC</v>
      </c>
      <c r="R188" s="34" t="str">
        <f aca="false">IF(P188="Subestación eléctrica",IFERROR(INDEX(cat_SubN,MATCH(Q188,cat_SubK,0)),"SIN CATALOGAR"),"ÁREA DE PROCESO")</f>
        <v>ÁREA DE PROCESO</v>
      </c>
      <c r="S188" s="34" t="str">
        <f aca="false">IF(H188="","SIN DATO",IFERROR(INDEX(cat_MarcaN,MATCH(H188,cat_MarcaO,0)),H188))</f>
        <v>ABB</v>
      </c>
      <c r="T188" s="34" t="str">
        <f aca="false">IF(I188="","SIN DATO",IFERROR(INDEX(cat_ModN,MATCH(I188,cat_ModO,0)),I188))</f>
        <v>1AMEBCADNEC5BNN11G</v>
      </c>
      <c r="U188" s="34" t="str">
        <f aca="false">IF(I188="","",IFERROR(INDEX(cat_ModG,MATCH(I188,cat_ModO,0)),"No"))</f>
        <v>No</v>
      </c>
      <c r="V188" s="34" t="str">
        <f aca="false">IF(J188="","SIN DATO",IFERROR(INDEX(cat_FunN,MATCH(J188,cat_FunO,0)),J188))</f>
        <v>Protección y medición</v>
      </c>
      <c r="W188" s="34" t="str">
        <f aca="false">IF(OR(S188="SIN DATO",T188="SIN DATO"),"No","Sí")</f>
        <v>Sí</v>
      </c>
    </row>
    <row r="189" customFormat="false" ht="15" hidden="false" customHeight="false" outlineLevel="0" collapsed="false">
      <c r="A189" s="34" t="s">
        <v>954</v>
      </c>
      <c r="B189" s="34" t="s">
        <v>955</v>
      </c>
      <c r="C189" s="34" t="s">
        <v>956</v>
      </c>
      <c r="D189" s="34" t="s">
        <v>957</v>
      </c>
      <c r="E189" s="34" t="s">
        <v>113</v>
      </c>
      <c r="F189" s="34" t="s">
        <v>675</v>
      </c>
      <c r="G189" s="34" t="s">
        <v>676</v>
      </c>
      <c r="H189" s="34" t="s">
        <v>34</v>
      </c>
      <c r="I189" s="34" t="s">
        <v>38</v>
      </c>
      <c r="J189" s="34" t="s">
        <v>228</v>
      </c>
      <c r="K189" s="34" t="s">
        <v>229</v>
      </c>
      <c r="L189" s="34" t="s">
        <v>230</v>
      </c>
      <c r="M189" s="34" t="s">
        <v>231</v>
      </c>
      <c r="N189" s="34" t="str">
        <f aca="false">"Sector "&amp;VALUE(MID(D189,13,2))</f>
        <v>Sector 2</v>
      </c>
      <c r="O189" s="34" t="str">
        <f aca="false">IF(Dashboard!$C$5="Ubicación técnica",N189,"Sector "&amp;VALUE(RIGHT(G189,2)))</f>
        <v>Sector 2</v>
      </c>
      <c r="P189" s="34" t="str">
        <f aca="false">IF(MID(D189,15,3)="SEL","Subestación eléctrica","Área de proceso")</f>
        <v>Área de proceso</v>
      </c>
      <c r="Q189" s="34" t="str">
        <f aca="false">MID(D189,13,5)&amp;"|"&amp;MID(D189,19,5)</f>
        <v>02COR|SFRAC</v>
      </c>
      <c r="R189" s="34" t="str">
        <f aca="false">IF(P189="Subestación eléctrica",IFERROR(INDEX(cat_SubN,MATCH(Q189,cat_SubK,0)),"SIN CATALOGAR"),"ÁREA DE PROCESO")</f>
        <v>ÁREA DE PROCESO</v>
      </c>
      <c r="S189" s="34" t="str">
        <f aca="false">IF(H189="","SIN DATO",IFERROR(INDEX(cat_MarcaN,MATCH(H189,cat_MarcaO,0)),H189))</f>
        <v>ABB</v>
      </c>
      <c r="T189" s="34" t="str">
        <f aca="false">IF(I189="","SIN DATO",IFERROR(INDEX(cat_ModN,MATCH(I189,cat_ModO,0)),I189))</f>
        <v>1AMEBCADNEC5BNN11G</v>
      </c>
      <c r="U189" s="34" t="str">
        <f aca="false">IF(I189="","",IFERROR(INDEX(cat_ModG,MATCH(I189,cat_ModO,0)),"No"))</f>
        <v>No</v>
      </c>
      <c r="V189" s="34" t="str">
        <f aca="false">IF(J189="","SIN DATO",IFERROR(INDEX(cat_FunN,MATCH(J189,cat_FunO,0)),J189))</f>
        <v>Protección y medición</v>
      </c>
      <c r="W189" s="34" t="str">
        <f aca="false">IF(OR(S189="SIN DATO",T189="SIN DATO"),"No","Sí")</f>
        <v>Sí</v>
      </c>
    </row>
    <row r="190" customFormat="false" ht="15" hidden="false" customHeight="false" outlineLevel="0" collapsed="false">
      <c r="A190" s="34" t="s">
        <v>958</v>
      </c>
      <c r="B190" s="34" t="s">
        <v>959</v>
      </c>
      <c r="C190" s="34" t="s">
        <v>960</v>
      </c>
      <c r="D190" s="34" t="s">
        <v>961</v>
      </c>
      <c r="E190" s="34" t="s">
        <v>113</v>
      </c>
      <c r="F190" s="34" t="s">
        <v>675</v>
      </c>
      <c r="G190" s="34" t="s">
        <v>676</v>
      </c>
      <c r="H190" s="34" t="s">
        <v>34</v>
      </c>
      <c r="I190" s="34" t="s">
        <v>38</v>
      </c>
      <c r="J190" s="34" t="s">
        <v>228</v>
      </c>
      <c r="K190" s="34" t="s">
        <v>229</v>
      </c>
      <c r="L190" s="34" t="s">
        <v>230</v>
      </c>
      <c r="M190" s="34" t="s">
        <v>231</v>
      </c>
      <c r="N190" s="34" t="str">
        <f aca="false">"Sector "&amp;VALUE(MID(D190,13,2))</f>
        <v>Sector 2</v>
      </c>
      <c r="O190" s="34" t="str">
        <f aca="false">IF(Dashboard!$C$5="Ubicación técnica",N190,"Sector "&amp;VALUE(RIGHT(G190,2)))</f>
        <v>Sector 2</v>
      </c>
      <c r="P190" s="34" t="str">
        <f aca="false">IF(MID(D190,15,3)="SEL","Subestación eléctrica","Área de proceso")</f>
        <v>Área de proceso</v>
      </c>
      <c r="Q190" s="34" t="str">
        <f aca="false">MID(D190,13,5)&amp;"|"&amp;MID(D190,19,5)</f>
        <v>02COR|SFRAC</v>
      </c>
      <c r="R190" s="34" t="str">
        <f aca="false">IF(P190="Subestación eléctrica",IFERROR(INDEX(cat_SubN,MATCH(Q190,cat_SubK,0)),"SIN CATALOGAR"),"ÁREA DE PROCESO")</f>
        <v>ÁREA DE PROCESO</v>
      </c>
      <c r="S190" s="34" t="str">
        <f aca="false">IF(H190="","SIN DATO",IFERROR(INDEX(cat_MarcaN,MATCH(H190,cat_MarcaO,0)),H190))</f>
        <v>ABB</v>
      </c>
      <c r="T190" s="34" t="str">
        <f aca="false">IF(I190="","SIN DATO",IFERROR(INDEX(cat_ModN,MATCH(I190,cat_ModO,0)),I190))</f>
        <v>1AMEBCADNEC5BNN11G</v>
      </c>
      <c r="U190" s="34" t="str">
        <f aca="false">IF(I190="","",IFERROR(INDEX(cat_ModG,MATCH(I190,cat_ModO,0)),"No"))</f>
        <v>No</v>
      </c>
      <c r="V190" s="34" t="str">
        <f aca="false">IF(J190="","SIN DATO",IFERROR(INDEX(cat_FunN,MATCH(J190,cat_FunO,0)),J190))</f>
        <v>Protección y medición</v>
      </c>
      <c r="W190" s="34" t="str">
        <f aca="false">IF(OR(S190="SIN DATO",T190="SIN DATO"),"No","Sí")</f>
        <v>Sí</v>
      </c>
    </row>
    <row r="191" customFormat="false" ht="15" hidden="false" customHeight="false" outlineLevel="0" collapsed="false">
      <c r="A191" s="34" t="s">
        <v>962</v>
      </c>
      <c r="B191" s="34" t="s">
        <v>963</v>
      </c>
      <c r="C191" s="34" t="s">
        <v>964</v>
      </c>
      <c r="D191" s="34" t="s">
        <v>965</v>
      </c>
      <c r="E191" s="34" t="s">
        <v>113</v>
      </c>
      <c r="F191" s="34" t="s">
        <v>675</v>
      </c>
      <c r="G191" s="34" t="s">
        <v>676</v>
      </c>
      <c r="H191" s="34" t="s">
        <v>34</v>
      </c>
      <c r="I191" s="34" t="s">
        <v>38</v>
      </c>
      <c r="J191" s="34" t="s">
        <v>228</v>
      </c>
      <c r="K191" s="34" t="s">
        <v>229</v>
      </c>
      <c r="L191" s="34" t="s">
        <v>230</v>
      </c>
      <c r="M191" s="34" t="s">
        <v>231</v>
      </c>
      <c r="N191" s="34" t="str">
        <f aca="false">"Sector "&amp;VALUE(MID(D191,13,2))</f>
        <v>Sector 2</v>
      </c>
      <c r="O191" s="34" t="str">
        <f aca="false">IF(Dashboard!$C$5="Ubicación técnica",N191,"Sector "&amp;VALUE(RIGHT(G191,2)))</f>
        <v>Sector 2</v>
      </c>
      <c r="P191" s="34" t="str">
        <f aca="false">IF(MID(D191,15,3)="SEL","Subestación eléctrica","Área de proceso")</f>
        <v>Área de proceso</v>
      </c>
      <c r="Q191" s="34" t="str">
        <f aca="false">MID(D191,13,5)&amp;"|"&amp;MID(D191,19,5)</f>
        <v>02COR|SFRAC</v>
      </c>
      <c r="R191" s="34" t="str">
        <f aca="false">IF(P191="Subestación eléctrica",IFERROR(INDEX(cat_SubN,MATCH(Q191,cat_SubK,0)),"SIN CATALOGAR"),"ÁREA DE PROCESO")</f>
        <v>ÁREA DE PROCESO</v>
      </c>
      <c r="S191" s="34" t="str">
        <f aca="false">IF(H191="","SIN DATO",IFERROR(INDEX(cat_MarcaN,MATCH(H191,cat_MarcaO,0)),H191))</f>
        <v>ABB</v>
      </c>
      <c r="T191" s="34" t="str">
        <f aca="false">IF(I191="","SIN DATO",IFERROR(INDEX(cat_ModN,MATCH(I191,cat_ModO,0)),I191))</f>
        <v>1AMEBCADNEC5BNN11G</v>
      </c>
      <c r="U191" s="34" t="str">
        <f aca="false">IF(I191="","",IFERROR(INDEX(cat_ModG,MATCH(I191,cat_ModO,0)),"No"))</f>
        <v>No</v>
      </c>
      <c r="V191" s="34" t="str">
        <f aca="false">IF(J191="","SIN DATO",IFERROR(INDEX(cat_FunN,MATCH(J191,cat_FunO,0)),J191))</f>
        <v>Protección y medición</v>
      </c>
      <c r="W191" s="34" t="str">
        <f aca="false">IF(OR(S191="SIN DATO",T191="SIN DATO"),"No","Sí")</f>
        <v>Sí</v>
      </c>
    </row>
    <row r="192" customFormat="false" ht="15" hidden="false" customHeight="false" outlineLevel="0" collapsed="false">
      <c r="A192" s="34" t="s">
        <v>966</v>
      </c>
      <c r="B192" s="34" t="s">
        <v>967</v>
      </c>
      <c r="C192" s="34" t="s">
        <v>968</v>
      </c>
      <c r="D192" s="34" t="s">
        <v>969</v>
      </c>
      <c r="E192" s="34" t="s">
        <v>113</v>
      </c>
      <c r="F192" s="34" t="s">
        <v>675</v>
      </c>
      <c r="G192" s="34" t="s">
        <v>676</v>
      </c>
      <c r="H192" s="34" t="s">
        <v>34</v>
      </c>
      <c r="I192" s="34" t="s">
        <v>38</v>
      </c>
      <c r="J192" s="34" t="s">
        <v>228</v>
      </c>
      <c r="K192" s="34" t="s">
        <v>229</v>
      </c>
      <c r="L192" s="34" t="s">
        <v>230</v>
      </c>
      <c r="M192" s="34" t="s">
        <v>231</v>
      </c>
      <c r="N192" s="34" t="str">
        <f aca="false">"Sector "&amp;VALUE(MID(D192,13,2))</f>
        <v>Sector 2</v>
      </c>
      <c r="O192" s="34" t="str">
        <f aca="false">IF(Dashboard!$C$5="Ubicación técnica",N192,"Sector "&amp;VALUE(RIGHT(G192,2)))</f>
        <v>Sector 2</v>
      </c>
      <c r="P192" s="34" t="str">
        <f aca="false">IF(MID(D192,15,3)="SEL","Subestación eléctrica","Área de proceso")</f>
        <v>Área de proceso</v>
      </c>
      <c r="Q192" s="34" t="str">
        <f aca="false">MID(D192,13,5)&amp;"|"&amp;MID(D192,19,5)</f>
        <v>02COR|SFRAC</v>
      </c>
      <c r="R192" s="34" t="str">
        <f aca="false">IF(P192="Subestación eléctrica",IFERROR(INDEX(cat_SubN,MATCH(Q192,cat_SubK,0)),"SIN CATALOGAR"),"ÁREA DE PROCESO")</f>
        <v>ÁREA DE PROCESO</v>
      </c>
      <c r="S192" s="34" t="str">
        <f aca="false">IF(H192="","SIN DATO",IFERROR(INDEX(cat_MarcaN,MATCH(H192,cat_MarcaO,0)),H192))</f>
        <v>ABB</v>
      </c>
      <c r="T192" s="34" t="str">
        <f aca="false">IF(I192="","SIN DATO",IFERROR(INDEX(cat_ModN,MATCH(I192,cat_ModO,0)),I192))</f>
        <v>1AMEBCADNEC5BNN11G</v>
      </c>
      <c r="U192" s="34" t="str">
        <f aca="false">IF(I192="","",IFERROR(INDEX(cat_ModG,MATCH(I192,cat_ModO,0)),"No"))</f>
        <v>No</v>
      </c>
      <c r="V192" s="34" t="str">
        <f aca="false">IF(J192="","SIN DATO",IFERROR(INDEX(cat_FunN,MATCH(J192,cat_FunO,0)),J192))</f>
        <v>Protección y medición</v>
      </c>
      <c r="W192" s="34" t="str">
        <f aca="false">IF(OR(S192="SIN DATO",T192="SIN DATO"),"No","Sí")</f>
        <v>Sí</v>
      </c>
    </row>
    <row r="193" customFormat="false" ht="15" hidden="false" customHeight="false" outlineLevel="0" collapsed="false">
      <c r="A193" s="34" t="s">
        <v>970</v>
      </c>
      <c r="B193" s="34" t="s">
        <v>971</v>
      </c>
      <c r="C193" s="34" t="s">
        <v>972</v>
      </c>
      <c r="D193" s="34" t="s">
        <v>973</v>
      </c>
      <c r="E193" s="34" t="s">
        <v>113</v>
      </c>
      <c r="F193" s="34" t="s">
        <v>675</v>
      </c>
      <c r="G193" s="34" t="s">
        <v>676</v>
      </c>
      <c r="H193" s="34" t="s">
        <v>34</v>
      </c>
      <c r="I193" s="34" t="s">
        <v>38</v>
      </c>
      <c r="J193" s="34" t="s">
        <v>228</v>
      </c>
      <c r="K193" s="34" t="s">
        <v>229</v>
      </c>
      <c r="L193" s="34" t="s">
        <v>230</v>
      </c>
      <c r="M193" s="34" t="s">
        <v>231</v>
      </c>
      <c r="N193" s="34" t="str">
        <f aca="false">"Sector "&amp;VALUE(MID(D193,13,2))</f>
        <v>Sector 2</v>
      </c>
      <c r="O193" s="34" t="str">
        <f aca="false">IF(Dashboard!$C$5="Ubicación técnica",N193,"Sector "&amp;VALUE(RIGHT(G193,2)))</f>
        <v>Sector 2</v>
      </c>
      <c r="P193" s="34" t="str">
        <f aca="false">IF(MID(D193,15,3)="SEL","Subestación eléctrica","Área de proceso")</f>
        <v>Área de proceso</v>
      </c>
      <c r="Q193" s="34" t="str">
        <f aca="false">MID(D193,13,5)&amp;"|"&amp;MID(D193,19,5)</f>
        <v>02COR|SGASE</v>
      </c>
      <c r="R193" s="34" t="str">
        <f aca="false">IF(P193="Subestación eléctrica",IFERROR(INDEX(cat_SubN,MATCH(Q193,cat_SubK,0)),"SIN CATALOGAR"),"ÁREA DE PROCESO")</f>
        <v>ÁREA DE PROCESO</v>
      </c>
      <c r="S193" s="34" t="str">
        <f aca="false">IF(H193="","SIN DATO",IFERROR(INDEX(cat_MarcaN,MATCH(H193,cat_MarcaO,0)),H193))</f>
        <v>ABB</v>
      </c>
      <c r="T193" s="34" t="str">
        <f aca="false">IF(I193="","SIN DATO",IFERROR(INDEX(cat_ModN,MATCH(I193,cat_ModO,0)),I193))</f>
        <v>1AMEBCADNEC5BNN11G</v>
      </c>
      <c r="U193" s="34" t="str">
        <f aca="false">IF(I193="","",IFERROR(INDEX(cat_ModG,MATCH(I193,cat_ModO,0)),"No"))</f>
        <v>No</v>
      </c>
      <c r="V193" s="34" t="str">
        <f aca="false">IF(J193="","SIN DATO",IFERROR(INDEX(cat_FunN,MATCH(J193,cat_FunO,0)),J193))</f>
        <v>Protección y medición</v>
      </c>
      <c r="W193" s="34" t="str">
        <f aca="false">IF(OR(S193="SIN DATO",T193="SIN DATO"),"No","Sí")</f>
        <v>Sí</v>
      </c>
    </row>
    <row r="194" customFormat="false" ht="15" hidden="false" customHeight="false" outlineLevel="0" collapsed="false">
      <c r="A194" s="34" t="s">
        <v>974</v>
      </c>
      <c r="B194" s="34" t="s">
        <v>975</v>
      </c>
      <c r="C194" s="34" t="s">
        <v>976</v>
      </c>
      <c r="D194" s="34" t="s">
        <v>977</v>
      </c>
      <c r="E194" s="34" t="s">
        <v>113</v>
      </c>
      <c r="F194" s="34" t="s">
        <v>675</v>
      </c>
      <c r="G194" s="34" t="s">
        <v>676</v>
      </c>
      <c r="H194" s="34" t="s">
        <v>34</v>
      </c>
      <c r="I194" s="34" t="s">
        <v>38</v>
      </c>
      <c r="J194" s="34" t="s">
        <v>228</v>
      </c>
      <c r="K194" s="34" t="s">
        <v>229</v>
      </c>
      <c r="L194" s="34" t="s">
        <v>230</v>
      </c>
      <c r="M194" s="34" t="s">
        <v>231</v>
      </c>
      <c r="N194" s="34" t="str">
        <f aca="false">"Sector "&amp;VALUE(MID(D194,13,2))</f>
        <v>Sector 2</v>
      </c>
      <c r="O194" s="34" t="str">
        <f aca="false">IF(Dashboard!$C$5="Ubicación técnica",N194,"Sector "&amp;VALUE(RIGHT(G194,2)))</f>
        <v>Sector 2</v>
      </c>
      <c r="P194" s="34" t="str">
        <f aca="false">IF(MID(D194,15,3)="SEL","Subestación eléctrica","Área de proceso")</f>
        <v>Área de proceso</v>
      </c>
      <c r="Q194" s="34" t="str">
        <f aca="false">MID(D194,13,5)&amp;"|"&amp;MID(D194,19,5)</f>
        <v>02COR|SCARG</v>
      </c>
      <c r="R194" s="34" t="str">
        <f aca="false">IF(P194="Subestación eléctrica",IFERROR(INDEX(cat_SubN,MATCH(Q194,cat_SubK,0)),"SIN CATALOGAR"),"ÁREA DE PROCESO")</f>
        <v>ÁREA DE PROCESO</v>
      </c>
      <c r="S194" s="34" t="str">
        <f aca="false">IF(H194="","SIN DATO",IFERROR(INDEX(cat_MarcaN,MATCH(H194,cat_MarcaO,0)),H194))</f>
        <v>ABB</v>
      </c>
      <c r="T194" s="34" t="str">
        <f aca="false">IF(I194="","SIN DATO",IFERROR(INDEX(cat_ModN,MATCH(I194,cat_ModO,0)),I194))</f>
        <v>1AMEBCADNEC5BNN11G</v>
      </c>
      <c r="U194" s="34" t="str">
        <f aca="false">IF(I194="","",IFERROR(INDEX(cat_ModG,MATCH(I194,cat_ModO,0)),"No"))</f>
        <v>No</v>
      </c>
      <c r="V194" s="34" t="str">
        <f aca="false">IF(J194="","SIN DATO",IFERROR(INDEX(cat_FunN,MATCH(J194,cat_FunO,0)),J194))</f>
        <v>Protección y medición</v>
      </c>
      <c r="W194" s="34" t="str">
        <f aca="false">IF(OR(S194="SIN DATO",T194="SIN DATO"),"No","Sí")</f>
        <v>Sí</v>
      </c>
    </row>
    <row r="195" customFormat="false" ht="15" hidden="false" customHeight="false" outlineLevel="0" collapsed="false">
      <c r="A195" s="34" t="s">
        <v>978</v>
      </c>
      <c r="B195" s="34" t="s">
        <v>979</v>
      </c>
      <c r="C195" s="34" t="s">
        <v>980</v>
      </c>
      <c r="D195" s="34" t="s">
        <v>981</v>
      </c>
      <c r="E195" s="34" t="s">
        <v>113</v>
      </c>
      <c r="F195" s="34" t="s">
        <v>675</v>
      </c>
      <c r="G195" s="34" t="s">
        <v>676</v>
      </c>
      <c r="H195" s="34" t="s">
        <v>34</v>
      </c>
      <c r="I195" s="34" t="s">
        <v>36</v>
      </c>
      <c r="J195" s="34" t="s">
        <v>228</v>
      </c>
      <c r="K195" s="34" t="s">
        <v>229</v>
      </c>
      <c r="L195" s="34" t="s">
        <v>230</v>
      </c>
      <c r="M195" s="34" t="s">
        <v>231</v>
      </c>
      <c r="N195" s="34" t="str">
        <f aca="false">"Sector "&amp;VALUE(MID(D195,13,2))</f>
        <v>Sector 2</v>
      </c>
      <c r="O195" s="34" t="str">
        <f aca="false">IF(Dashboard!$C$5="Ubicación técnica",N195,"Sector "&amp;VALUE(RIGHT(G195,2)))</f>
        <v>Sector 2</v>
      </c>
      <c r="P195" s="34" t="str">
        <f aca="false">IF(MID(D195,15,3)="SEL","Subestación eléctrica","Área de proceso")</f>
        <v>Área de proceso</v>
      </c>
      <c r="Q195" s="34" t="str">
        <f aca="false">MID(D195,13,5)&amp;"|"&amp;MID(D195,19,5)</f>
        <v>02COR|STRAM</v>
      </c>
      <c r="R195" s="34" t="str">
        <f aca="false">IF(P195="Subestación eléctrica",IFERROR(INDEX(cat_SubN,MATCH(Q195,cat_SubK,0)),"SIN CATALOGAR"),"ÁREA DE PROCESO")</f>
        <v>ÁREA DE PROCESO</v>
      </c>
      <c r="S195" s="34" t="str">
        <f aca="false">IF(H195="","SIN DATO",IFERROR(INDEX(cat_MarcaN,MATCH(H195,cat_MarcaO,0)),H195))</f>
        <v>ABB</v>
      </c>
      <c r="T195" s="34" t="str">
        <f aca="false">IF(I195="","SIN DATO",IFERROR(INDEX(cat_ModN,MATCH(I195,cat_ModO,0)),I195))</f>
        <v>1AFFAEAGNEC5BNA11G</v>
      </c>
      <c r="U195" s="34" t="str">
        <f aca="false">IF(I195="","",IFERROR(INDEX(cat_ModG,MATCH(I195,cat_ModO,0)),"No"))</f>
        <v>No</v>
      </c>
      <c r="V195" s="34" t="str">
        <f aca="false">IF(J195="","SIN DATO",IFERROR(INDEX(cat_FunN,MATCH(J195,cat_FunO,0)),J195))</f>
        <v>Protección y medición</v>
      </c>
      <c r="W195" s="34" t="str">
        <f aca="false">IF(OR(S195="SIN DATO",T195="SIN DATO"),"No","Sí")</f>
        <v>Sí</v>
      </c>
    </row>
    <row r="196" customFormat="false" ht="15" hidden="false" customHeight="false" outlineLevel="0" collapsed="false">
      <c r="A196" s="34" t="s">
        <v>982</v>
      </c>
      <c r="B196" s="34" t="s">
        <v>983</v>
      </c>
      <c r="C196" s="34" t="s">
        <v>984</v>
      </c>
      <c r="D196" s="34" t="s">
        <v>985</v>
      </c>
      <c r="E196" s="34" t="s">
        <v>113</v>
      </c>
      <c r="F196" s="34" t="s">
        <v>675</v>
      </c>
      <c r="G196" s="34" t="s">
        <v>676</v>
      </c>
      <c r="H196" s="34" t="s">
        <v>34</v>
      </c>
      <c r="I196" s="34" t="s">
        <v>38</v>
      </c>
      <c r="J196" s="34" t="s">
        <v>228</v>
      </c>
      <c r="K196" s="34" t="s">
        <v>229</v>
      </c>
      <c r="L196" s="34" t="s">
        <v>230</v>
      </c>
      <c r="M196" s="34" t="s">
        <v>231</v>
      </c>
      <c r="N196" s="34" t="str">
        <f aca="false">"Sector "&amp;VALUE(MID(D196,13,2))</f>
        <v>Sector 2</v>
      </c>
      <c r="O196" s="34" t="str">
        <f aca="false">IF(Dashboard!$C$5="Ubicación técnica",N196,"Sector "&amp;VALUE(RIGHT(G196,2)))</f>
        <v>Sector 2</v>
      </c>
      <c r="P196" s="34" t="str">
        <f aca="false">IF(MID(D196,15,3)="SEL","Subestación eléctrica","Área de proceso")</f>
        <v>Área de proceso</v>
      </c>
      <c r="Q196" s="34" t="str">
        <f aca="false">MID(D196,13,5)&amp;"|"&amp;MID(D196,19,5)</f>
        <v>02COR|SGASE</v>
      </c>
      <c r="R196" s="34" t="str">
        <f aca="false">IF(P196="Subestación eléctrica",IFERROR(INDEX(cat_SubN,MATCH(Q196,cat_SubK,0)),"SIN CATALOGAR"),"ÁREA DE PROCESO")</f>
        <v>ÁREA DE PROCESO</v>
      </c>
      <c r="S196" s="34" t="str">
        <f aca="false">IF(H196="","SIN DATO",IFERROR(INDEX(cat_MarcaN,MATCH(H196,cat_MarcaO,0)),H196))</f>
        <v>ABB</v>
      </c>
      <c r="T196" s="34" t="str">
        <f aca="false">IF(I196="","SIN DATO",IFERROR(INDEX(cat_ModN,MATCH(I196,cat_ModO,0)),I196))</f>
        <v>1AMEBCADNEC5BNN11G</v>
      </c>
      <c r="U196" s="34" t="str">
        <f aca="false">IF(I196="","",IFERROR(INDEX(cat_ModG,MATCH(I196,cat_ModO,0)),"No"))</f>
        <v>No</v>
      </c>
      <c r="V196" s="34" t="str">
        <f aca="false">IF(J196="","SIN DATO",IFERROR(INDEX(cat_FunN,MATCH(J196,cat_FunO,0)),J196))</f>
        <v>Protección y medición</v>
      </c>
      <c r="W196" s="34" t="str">
        <f aca="false">IF(OR(S196="SIN DATO",T196="SIN DATO"),"No","Sí")</f>
        <v>Sí</v>
      </c>
    </row>
    <row r="197" customFormat="false" ht="15" hidden="false" customHeight="false" outlineLevel="0" collapsed="false">
      <c r="A197" s="34" t="s">
        <v>986</v>
      </c>
      <c r="B197" s="34" t="s">
        <v>987</v>
      </c>
      <c r="C197" s="34" t="s">
        <v>988</v>
      </c>
      <c r="D197" s="34" t="s">
        <v>989</v>
      </c>
      <c r="E197" s="34" t="s">
        <v>113</v>
      </c>
      <c r="F197" s="34" t="s">
        <v>675</v>
      </c>
      <c r="G197" s="34" t="s">
        <v>676</v>
      </c>
      <c r="H197" s="34" t="s">
        <v>34</v>
      </c>
      <c r="I197" s="34" t="s">
        <v>36</v>
      </c>
      <c r="J197" s="34" t="s">
        <v>228</v>
      </c>
      <c r="K197" s="34" t="s">
        <v>229</v>
      </c>
      <c r="L197" s="34" t="s">
        <v>230</v>
      </c>
      <c r="M197" s="34" t="s">
        <v>231</v>
      </c>
      <c r="N197" s="34" t="str">
        <f aca="false">"Sector "&amp;VALUE(MID(D197,13,2))</f>
        <v>Sector 2</v>
      </c>
      <c r="O197" s="34" t="str">
        <f aca="false">IF(Dashboard!$C$5="Ubicación técnica",N197,"Sector "&amp;VALUE(RIGHT(G197,2)))</f>
        <v>Sector 2</v>
      </c>
      <c r="P197" s="34" t="str">
        <f aca="false">IF(MID(D197,15,3)="SEL","Subestación eléctrica","Área de proceso")</f>
        <v>Subestación eléctrica</v>
      </c>
      <c r="Q197" s="34" t="str">
        <f aca="false">MID(D197,13,5)&amp;"|"&amp;MID(D197,19,5)</f>
        <v>02SEL|S_015</v>
      </c>
      <c r="R197" s="34" t="str">
        <f aca="false">IF(P197="Subestación eléctrica",IFERROR(INDEX(cat_SubN,MATCH(Q197,cat_SubK,0)),"SIN CATALOGAR"),"ÁREA DE PROCESO")</f>
        <v>SE-15</v>
      </c>
      <c r="S197" s="34" t="str">
        <f aca="false">IF(H197="","SIN DATO",IFERROR(INDEX(cat_MarcaN,MATCH(H197,cat_MarcaO,0)),H197))</f>
        <v>ABB</v>
      </c>
      <c r="T197" s="34" t="str">
        <f aca="false">IF(I197="","SIN DATO",IFERROR(INDEX(cat_ModN,MATCH(I197,cat_ModO,0)),I197))</f>
        <v>1AFFAEAGNEC5BNA11G</v>
      </c>
      <c r="U197" s="34" t="str">
        <f aca="false">IF(I197="","",IFERROR(INDEX(cat_ModG,MATCH(I197,cat_ModO,0)),"No"))</f>
        <v>No</v>
      </c>
      <c r="V197" s="34" t="str">
        <f aca="false">IF(J197="","SIN DATO",IFERROR(INDEX(cat_FunN,MATCH(J197,cat_FunO,0)),J197))</f>
        <v>Protección y medición</v>
      </c>
      <c r="W197" s="34" t="str">
        <f aca="false">IF(OR(S197="SIN DATO",T197="SIN DATO"),"No","Sí")</f>
        <v>Sí</v>
      </c>
    </row>
    <row r="198" customFormat="false" ht="15" hidden="false" customHeight="false" outlineLevel="0" collapsed="false">
      <c r="A198" s="34" t="s">
        <v>990</v>
      </c>
      <c r="B198" s="34" t="s">
        <v>991</v>
      </c>
      <c r="C198" s="34" t="s">
        <v>992</v>
      </c>
      <c r="D198" s="34" t="s">
        <v>993</v>
      </c>
      <c r="E198" s="34" t="s">
        <v>113</v>
      </c>
      <c r="F198" s="34" t="s">
        <v>675</v>
      </c>
      <c r="G198" s="34" t="s">
        <v>676</v>
      </c>
      <c r="H198" s="34" t="s">
        <v>34</v>
      </c>
      <c r="I198" s="34" t="s">
        <v>36</v>
      </c>
      <c r="J198" s="34" t="s">
        <v>228</v>
      </c>
      <c r="K198" s="34" t="s">
        <v>229</v>
      </c>
      <c r="L198" s="34" t="s">
        <v>230</v>
      </c>
      <c r="M198" s="34" t="s">
        <v>231</v>
      </c>
      <c r="N198" s="34" t="str">
        <f aca="false">"Sector "&amp;VALUE(MID(D198,13,2))</f>
        <v>Sector 2</v>
      </c>
      <c r="O198" s="34" t="str">
        <f aca="false">IF(Dashboard!$C$5="Ubicación técnica",N198,"Sector "&amp;VALUE(RIGHT(G198,2)))</f>
        <v>Sector 2</v>
      </c>
      <c r="P198" s="34" t="str">
        <f aca="false">IF(MID(D198,15,3)="SEL","Subestación eléctrica","Área de proceso")</f>
        <v>Subestación eléctrica</v>
      </c>
      <c r="Q198" s="34" t="str">
        <f aca="false">MID(D198,13,5)&amp;"|"&amp;MID(D198,19,5)</f>
        <v>02SEL|S_015</v>
      </c>
      <c r="R198" s="34" t="str">
        <f aca="false">IF(P198="Subestación eléctrica",IFERROR(INDEX(cat_SubN,MATCH(Q198,cat_SubK,0)),"SIN CATALOGAR"),"ÁREA DE PROCESO")</f>
        <v>SE-15</v>
      </c>
      <c r="S198" s="34" t="str">
        <f aca="false">IF(H198="","SIN DATO",IFERROR(INDEX(cat_MarcaN,MATCH(H198,cat_MarcaO,0)),H198))</f>
        <v>ABB</v>
      </c>
      <c r="T198" s="34" t="str">
        <f aca="false">IF(I198="","SIN DATO",IFERROR(INDEX(cat_ModN,MATCH(I198,cat_ModO,0)),I198))</f>
        <v>1AFFAEAGNEC5BNA11G</v>
      </c>
      <c r="U198" s="34" t="str">
        <f aca="false">IF(I198="","",IFERROR(INDEX(cat_ModG,MATCH(I198,cat_ModO,0)),"No"))</f>
        <v>No</v>
      </c>
      <c r="V198" s="34" t="str">
        <f aca="false">IF(J198="","SIN DATO",IFERROR(INDEX(cat_FunN,MATCH(J198,cat_FunO,0)),J198))</f>
        <v>Protección y medición</v>
      </c>
      <c r="W198" s="34" t="str">
        <f aca="false">IF(OR(S198="SIN DATO",T198="SIN DATO"),"No","Sí")</f>
        <v>Sí</v>
      </c>
    </row>
    <row r="199" customFormat="false" ht="15" hidden="false" customHeight="false" outlineLevel="0" collapsed="false">
      <c r="A199" s="34" t="s">
        <v>994</v>
      </c>
      <c r="B199" s="34" t="s">
        <v>995</v>
      </c>
      <c r="C199" s="34" t="s">
        <v>996</v>
      </c>
      <c r="D199" s="34" t="s">
        <v>993</v>
      </c>
      <c r="E199" s="34" t="s">
        <v>113</v>
      </c>
      <c r="F199" s="34" t="s">
        <v>675</v>
      </c>
      <c r="G199" s="34" t="s">
        <v>676</v>
      </c>
      <c r="H199" s="34" t="s">
        <v>34</v>
      </c>
      <c r="I199" s="34" t="s">
        <v>38</v>
      </c>
      <c r="J199" s="34" t="s">
        <v>228</v>
      </c>
      <c r="K199" s="34" t="s">
        <v>229</v>
      </c>
      <c r="L199" s="34" t="s">
        <v>230</v>
      </c>
      <c r="M199" s="34" t="s">
        <v>231</v>
      </c>
      <c r="N199" s="34" t="str">
        <f aca="false">"Sector "&amp;VALUE(MID(D199,13,2))</f>
        <v>Sector 2</v>
      </c>
      <c r="O199" s="34" t="str">
        <f aca="false">IF(Dashboard!$C$5="Ubicación técnica",N199,"Sector "&amp;VALUE(RIGHT(G199,2)))</f>
        <v>Sector 2</v>
      </c>
      <c r="P199" s="34" t="str">
        <f aca="false">IF(MID(D199,15,3)="SEL","Subestación eléctrica","Área de proceso")</f>
        <v>Subestación eléctrica</v>
      </c>
      <c r="Q199" s="34" t="str">
        <f aca="false">MID(D199,13,5)&amp;"|"&amp;MID(D199,19,5)</f>
        <v>02SEL|S_015</v>
      </c>
      <c r="R199" s="34" t="str">
        <f aca="false">IF(P199="Subestación eléctrica",IFERROR(INDEX(cat_SubN,MATCH(Q199,cat_SubK,0)),"SIN CATALOGAR"),"ÁREA DE PROCESO")</f>
        <v>SE-15</v>
      </c>
      <c r="S199" s="34" t="str">
        <f aca="false">IF(H199="","SIN DATO",IFERROR(INDEX(cat_MarcaN,MATCH(H199,cat_MarcaO,0)),H199))</f>
        <v>ABB</v>
      </c>
      <c r="T199" s="34" t="str">
        <f aca="false">IF(I199="","SIN DATO",IFERROR(INDEX(cat_ModN,MATCH(I199,cat_ModO,0)),I199))</f>
        <v>1AMEBCADNEC5BNN11G</v>
      </c>
      <c r="U199" s="34" t="str">
        <f aca="false">IF(I199="","",IFERROR(INDEX(cat_ModG,MATCH(I199,cat_ModO,0)),"No"))</f>
        <v>No</v>
      </c>
      <c r="V199" s="34" t="str">
        <f aca="false">IF(J199="","SIN DATO",IFERROR(INDEX(cat_FunN,MATCH(J199,cat_FunO,0)),J199))</f>
        <v>Protección y medición</v>
      </c>
      <c r="W199" s="34" t="str">
        <f aca="false">IF(OR(S199="SIN DATO",T199="SIN DATO"),"No","Sí")</f>
        <v>Sí</v>
      </c>
    </row>
    <row r="200" customFormat="false" ht="15" hidden="false" customHeight="false" outlineLevel="0" collapsed="false">
      <c r="A200" s="34" t="s">
        <v>997</v>
      </c>
      <c r="B200" s="34" t="s">
        <v>998</v>
      </c>
      <c r="C200" s="34" t="s">
        <v>999</v>
      </c>
      <c r="D200" s="34" t="s">
        <v>1000</v>
      </c>
      <c r="E200" s="34" t="s">
        <v>113</v>
      </c>
      <c r="F200" s="34" t="s">
        <v>675</v>
      </c>
      <c r="G200" s="34" t="s">
        <v>676</v>
      </c>
      <c r="H200" s="34" t="s">
        <v>34</v>
      </c>
      <c r="I200" s="34" t="s">
        <v>51</v>
      </c>
      <c r="J200" s="34" t="s">
        <v>681</v>
      </c>
      <c r="K200" s="34" t="s">
        <v>229</v>
      </c>
      <c r="L200" s="34" t="s">
        <v>230</v>
      </c>
      <c r="M200" s="34" t="s">
        <v>682</v>
      </c>
      <c r="N200" s="34" t="str">
        <f aca="false">"Sector "&amp;VALUE(MID(D200,13,2))</f>
        <v>Sector 2</v>
      </c>
      <c r="O200" s="34" t="str">
        <f aca="false">IF(Dashboard!$C$5="Ubicación técnica",N200,"Sector "&amp;VALUE(RIGHT(G200,2)))</f>
        <v>Sector 2</v>
      </c>
      <c r="P200" s="34" t="str">
        <f aca="false">IF(MID(D200,15,3)="SEL","Subestación eléctrica","Área de proceso")</f>
        <v>Subestación eléctrica</v>
      </c>
      <c r="Q200" s="34" t="str">
        <f aca="false">MID(D200,13,5)&amp;"|"&amp;MID(D200,19,5)</f>
        <v>02SEL|S_015</v>
      </c>
      <c r="R200" s="34" t="str">
        <f aca="false">IF(P200="Subestación eléctrica",IFERROR(INDEX(cat_SubN,MATCH(Q200,cat_SubK,0)),"SIN CATALOGAR"),"ÁREA DE PROCESO")</f>
        <v>SE-15</v>
      </c>
      <c r="S200" s="34" t="str">
        <f aca="false">IF(H200="","SIN DATO",IFERROR(INDEX(cat_MarcaN,MATCH(H200,cat_MarcaO,0)),H200))</f>
        <v>ABB</v>
      </c>
      <c r="T200" s="34" t="str">
        <f aca="false">IF(I200="","SIN DATO",IFERROR(INDEX(cat_ModN,MATCH(I200,cat_ModO,0)),I200))</f>
        <v>PROTECCION ARCO</v>
      </c>
      <c r="U200" s="34" t="str">
        <f aca="false">IF(I200="","",IFERROR(INDEX(cat_ModG,MATCH(I200,cat_ModO,0)),"No"))</f>
        <v>Sí</v>
      </c>
      <c r="V200" s="34" t="str">
        <f aca="false">IF(J200="","SIN DATO",IFERROR(INDEX(cat_FunN,MATCH(J200,cat_FunO,0)),J200))</f>
        <v>Protección</v>
      </c>
      <c r="W200" s="34" t="str">
        <f aca="false">IF(OR(S200="SIN DATO",T200="SIN DATO"),"No","Sí")</f>
        <v>Sí</v>
      </c>
    </row>
    <row r="201" customFormat="false" ht="15" hidden="false" customHeight="false" outlineLevel="0" collapsed="false">
      <c r="A201" s="34" t="s">
        <v>1001</v>
      </c>
      <c r="B201" s="34" t="s">
        <v>1002</v>
      </c>
      <c r="C201" s="34" t="s">
        <v>1003</v>
      </c>
      <c r="D201" s="34" t="s">
        <v>1004</v>
      </c>
      <c r="E201" s="34" t="s">
        <v>113</v>
      </c>
      <c r="F201" s="34" t="s">
        <v>675</v>
      </c>
      <c r="G201" s="34" t="s">
        <v>676</v>
      </c>
      <c r="H201" s="34" t="s">
        <v>55</v>
      </c>
      <c r="I201" s="34" t="s">
        <v>58</v>
      </c>
      <c r="J201" s="34" t="s">
        <v>58</v>
      </c>
      <c r="K201" s="34" t="s">
        <v>229</v>
      </c>
      <c r="L201" s="34" t="s">
        <v>230</v>
      </c>
      <c r="M201" s="34" t="s">
        <v>344</v>
      </c>
      <c r="N201" s="34" t="str">
        <f aca="false">"Sector "&amp;VALUE(MID(D201,13,2))</f>
        <v>Sector 2</v>
      </c>
      <c r="O201" s="34" t="str">
        <f aca="false">IF(Dashboard!$C$5="Ubicación técnica",N201,"Sector "&amp;VALUE(RIGHT(G201,2)))</f>
        <v>Sector 2</v>
      </c>
      <c r="P201" s="34" t="str">
        <f aca="false">IF(MID(D201,15,3)="SEL","Subestación eléctrica","Área de proceso")</f>
        <v>Subestación eléctrica</v>
      </c>
      <c r="Q201" s="34" t="str">
        <f aca="false">MID(D201,13,5)&amp;"|"&amp;MID(D201,19,5)</f>
        <v>02SEL|S_015</v>
      </c>
      <c r="R201" s="34" t="str">
        <f aca="false">IF(P201="Subestación eléctrica",IFERROR(INDEX(cat_SubN,MATCH(Q201,cat_SubK,0)),"SIN CATALOGAR"),"ÁREA DE PROCESO")</f>
        <v>SE-15</v>
      </c>
      <c r="S201" s="34" t="str">
        <f aca="false">IF(H201="","SIN DATO",IFERROR(INDEX(cat_MarcaN,MATCH(H201,cat_MarcaO,0)),H201))</f>
        <v>SEL</v>
      </c>
      <c r="T201" s="34" t="str">
        <f aca="false">IF(I201="","SIN DATO",IFERROR(INDEX(cat_ModN,MATCH(I201,cat_ModO,0)),I201))</f>
        <v>MEDICION</v>
      </c>
      <c r="U201" s="34" t="str">
        <f aca="false">IF(I201="","",IFERROR(INDEX(cat_ModG,MATCH(I201,cat_ModO,0)),"No"))</f>
        <v>Sí</v>
      </c>
      <c r="V201" s="34" t="str">
        <f aca="false">IF(J201="","SIN DATO",IFERROR(INDEX(cat_FunN,MATCH(J201,cat_FunO,0)),J201))</f>
        <v>Medición</v>
      </c>
      <c r="W201" s="34" t="str">
        <f aca="false">IF(OR(S201="SIN DATO",T201="SIN DATO"),"No","Sí")</f>
        <v>Sí</v>
      </c>
    </row>
    <row r="202" customFormat="false" ht="15" hidden="false" customHeight="false" outlineLevel="0" collapsed="false">
      <c r="A202" s="34" t="s">
        <v>1005</v>
      </c>
      <c r="B202" s="34" t="s">
        <v>1006</v>
      </c>
      <c r="C202" s="34" t="s">
        <v>1007</v>
      </c>
      <c r="D202" s="34" t="s">
        <v>1004</v>
      </c>
      <c r="E202" s="34" t="s">
        <v>113</v>
      </c>
      <c r="F202" s="34" t="s">
        <v>675</v>
      </c>
      <c r="G202" s="34" t="s">
        <v>676</v>
      </c>
      <c r="H202" s="34" t="s">
        <v>34</v>
      </c>
      <c r="I202" s="34" t="s">
        <v>51</v>
      </c>
      <c r="J202" s="34" t="s">
        <v>681</v>
      </c>
      <c r="K202" s="34" t="s">
        <v>229</v>
      </c>
      <c r="L202" s="34" t="s">
        <v>230</v>
      </c>
      <c r="M202" s="34" t="s">
        <v>682</v>
      </c>
      <c r="N202" s="34" t="str">
        <f aca="false">"Sector "&amp;VALUE(MID(D202,13,2))</f>
        <v>Sector 2</v>
      </c>
      <c r="O202" s="34" t="str">
        <f aca="false">IF(Dashboard!$C$5="Ubicación técnica",N202,"Sector "&amp;VALUE(RIGHT(G202,2)))</f>
        <v>Sector 2</v>
      </c>
      <c r="P202" s="34" t="str">
        <f aca="false">IF(MID(D202,15,3)="SEL","Subestación eléctrica","Área de proceso")</f>
        <v>Subestación eléctrica</v>
      </c>
      <c r="Q202" s="34" t="str">
        <f aca="false">MID(D202,13,5)&amp;"|"&amp;MID(D202,19,5)</f>
        <v>02SEL|S_015</v>
      </c>
      <c r="R202" s="34" t="str">
        <f aca="false">IF(P202="Subestación eléctrica",IFERROR(INDEX(cat_SubN,MATCH(Q202,cat_SubK,0)),"SIN CATALOGAR"),"ÁREA DE PROCESO")</f>
        <v>SE-15</v>
      </c>
      <c r="S202" s="34" t="str">
        <f aca="false">IF(H202="","SIN DATO",IFERROR(INDEX(cat_MarcaN,MATCH(H202,cat_MarcaO,0)),H202))</f>
        <v>ABB</v>
      </c>
      <c r="T202" s="34" t="str">
        <f aca="false">IF(I202="","SIN DATO",IFERROR(INDEX(cat_ModN,MATCH(I202,cat_ModO,0)),I202))</f>
        <v>PROTECCION ARCO</v>
      </c>
      <c r="U202" s="34" t="str">
        <f aca="false">IF(I202="","",IFERROR(INDEX(cat_ModG,MATCH(I202,cat_ModO,0)),"No"))</f>
        <v>Sí</v>
      </c>
      <c r="V202" s="34" t="str">
        <f aca="false">IF(J202="","SIN DATO",IFERROR(INDEX(cat_FunN,MATCH(J202,cat_FunO,0)),J202))</f>
        <v>Protección</v>
      </c>
      <c r="W202" s="34" t="str">
        <f aca="false">IF(OR(S202="SIN DATO",T202="SIN DATO"),"No","Sí")</f>
        <v>Sí</v>
      </c>
    </row>
    <row r="203" customFormat="false" ht="15" hidden="false" customHeight="false" outlineLevel="0" collapsed="false">
      <c r="A203" s="34" t="s">
        <v>1008</v>
      </c>
      <c r="B203" s="34" t="s">
        <v>1009</v>
      </c>
      <c r="C203" s="34" t="s">
        <v>1010</v>
      </c>
      <c r="D203" s="34" t="s">
        <v>1004</v>
      </c>
      <c r="E203" s="34" t="s">
        <v>113</v>
      </c>
      <c r="F203" s="34" t="s">
        <v>675</v>
      </c>
      <c r="G203" s="34" t="s">
        <v>676</v>
      </c>
      <c r="H203" s="34" t="s">
        <v>34</v>
      </c>
      <c r="I203" s="34" t="s">
        <v>38</v>
      </c>
      <c r="J203" s="34" t="s">
        <v>228</v>
      </c>
      <c r="K203" s="34" t="s">
        <v>229</v>
      </c>
      <c r="L203" s="34" t="s">
        <v>230</v>
      </c>
      <c r="M203" s="34" t="s">
        <v>231</v>
      </c>
      <c r="N203" s="34" t="str">
        <f aca="false">"Sector "&amp;VALUE(MID(D203,13,2))</f>
        <v>Sector 2</v>
      </c>
      <c r="O203" s="34" t="str">
        <f aca="false">IF(Dashboard!$C$5="Ubicación técnica",N203,"Sector "&amp;VALUE(RIGHT(G203,2)))</f>
        <v>Sector 2</v>
      </c>
      <c r="P203" s="34" t="str">
        <f aca="false">IF(MID(D203,15,3)="SEL","Subestación eléctrica","Área de proceso")</f>
        <v>Subestación eléctrica</v>
      </c>
      <c r="Q203" s="34" t="str">
        <f aca="false">MID(D203,13,5)&amp;"|"&amp;MID(D203,19,5)</f>
        <v>02SEL|S_015</v>
      </c>
      <c r="R203" s="34" t="str">
        <f aca="false">IF(P203="Subestación eléctrica",IFERROR(INDEX(cat_SubN,MATCH(Q203,cat_SubK,0)),"SIN CATALOGAR"),"ÁREA DE PROCESO")</f>
        <v>SE-15</v>
      </c>
      <c r="S203" s="34" t="str">
        <f aca="false">IF(H203="","SIN DATO",IFERROR(INDEX(cat_MarcaN,MATCH(H203,cat_MarcaO,0)),H203))</f>
        <v>ABB</v>
      </c>
      <c r="T203" s="34" t="str">
        <f aca="false">IF(I203="","SIN DATO",IFERROR(INDEX(cat_ModN,MATCH(I203,cat_ModO,0)),I203))</f>
        <v>1AMEBCADNEC5BNN11G</v>
      </c>
      <c r="U203" s="34" t="str">
        <f aca="false">IF(I203="","",IFERROR(INDEX(cat_ModG,MATCH(I203,cat_ModO,0)),"No"))</f>
        <v>No</v>
      </c>
      <c r="V203" s="34" t="str">
        <f aca="false">IF(J203="","SIN DATO",IFERROR(INDEX(cat_FunN,MATCH(J203,cat_FunO,0)),J203))</f>
        <v>Protección y medición</v>
      </c>
      <c r="W203" s="34" t="str">
        <f aca="false">IF(OR(S203="SIN DATO",T203="SIN DATO"),"No","Sí")</f>
        <v>Sí</v>
      </c>
    </row>
    <row r="204" customFormat="false" ht="15" hidden="false" customHeight="false" outlineLevel="0" collapsed="false">
      <c r="A204" s="34" t="s">
        <v>1011</v>
      </c>
      <c r="B204" s="34" t="s">
        <v>1012</v>
      </c>
      <c r="C204" s="34" t="s">
        <v>1013</v>
      </c>
      <c r="D204" s="34" t="s">
        <v>1014</v>
      </c>
      <c r="E204" s="34" t="s">
        <v>113</v>
      </c>
      <c r="F204" s="34" t="s">
        <v>675</v>
      </c>
      <c r="G204" s="34" t="s">
        <v>676</v>
      </c>
      <c r="H204" s="34" t="s">
        <v>34</v>
      </c>
      <c r="I204" s="34" t="s">
        <v>51</v>
      </c>
      <c r="J204" s="34" t="s">
        <v>681</v>
      </c>
      <c r="K204" s="34" t="s">
        <v>229</v>
      </c>
      <c r="L204" s="34" t="s">
        <v>230</v>
      </c>
      <c r="M204" s="34" t="s">
        <v>682</v>
      </c>
      <c r="N204" s="34" t="str">
        <f aca="false">"Sector "&amp;VALUE(MID(D204,13,2))</f>
        <v>Sector 2</v>
      </c>
      <c r="O204" s="34" t="str">
        <f aca="false">IF(Dashboard!$C$5="Ubicación técnica",N204,"Sector "&amp;VALUE(RIGHT(G204,2)))</f>
        <v>Sector 2</v>
      </c>
      <c r="P204" s="34" t="str">
        <f aca="false">IF(MID(D204,15,3)="SEL","Subestación eléctrica","Área de proceso")</f>
        <v>Subestación eléctrica</v>
      </c>
      <c r="Q204" s="34" t="str">
        <f aca="false">MID(D204,13,5)&amp;"|"&amp;MID(D204,19,5)</f>
        <v>02SEL|S_015</v>
      </c>
      <c r="R204" s="34" t="str">
        <f aca="false">IF(P204="Subestación eléctrica",IFERROR(INDEX(cat_SubN,MATCH(Q204,cat_SubK,0)),"SIN CATALOGAR"),"ÁREA DE PROCESO")</f>
        <v>SE-15</v>
      </c>
      <c r="S204" s="34" t="str">
        <f aca="false">IF(H204="","SIN DATO",IFERROR(INDEX(cat_MarcaN,MATCH(H204,cat_MarcaO,0)),H204))</f>
        <v>ABB</v>
      </c>
      <c r="T204" s="34" t="str">
        <f aca="false">IF(I204="","SIN DATO",IFERROR(INDEX(cat_ModN,MATCH(I204,cat_ModO,0)),I204))</f>
        <v>PROTECCION ARCO</v>
      </c>
      <c r="U204" s="34" t="str">
        <f aca="false">IF(I204="","",IFERROR(INDEX(cat_ModG,MATCH(I204,cat_ModO,0)),"No"))</f>
        <v>Sí</v>
      </c>
      <c r="V204" s="34" t="str">
        <f aca="false">IF(J204="","SIN DATO",IFERROR(INDEX(cat_FunN,MATCH(J204,cat_FunO,0)),J204))</f>
        <v>Protección</v>
      </c>
      <c r="W204" s="34" t="str">
        <f aca="false">IF(OR(S204="SIN DATO",T204="SIN DATO"),"No","Sí")</f>
        <v>Sí</v>
      </c>
    </row>
    <row r="205" customFormat="false" ht="15" hidden="false" customHeight="false" outlineLevel="0" collapsed="false">
      <c r="A205" s="34" t="s">
        <v>1015</v>
      </c>
      <c r="B205" s="34" t="s">
        <v>1016</v>
      </c>
      <c r="C205" s="34" t="s">
        <v>1017</v>
      </c>
      <c r="D205" s="34" t="s">
        <v>1014</v>
      </c>
      <c r="E205" s="34" t="s">
        <v>113</v>
      </c>
      <c r="F205" s="34" t="s">
        <v>675</v>
      </c>
      <c r="G205" s="34" t="s">
        <v>676</v>
      </c>
      <c r="H205" s="34" t="s">
        <v>55</v>
      </c>
      <c r="I205" s="34" t="s">
        <v>58</v>
      </c>
      <c r="J205" s="34" t="s">
        <v>58</v>
      </c>
      <c r="K205" s="34" t="s">
        <v>229</v>
      </c>
      <c r="L205" s="34" t="s">
        <v>230</v>
      </c>
      <c r="M205" s="34" t="s">
        <v>344</v>
      </c>
      <c r="N205" s="34" t="str">
        <f aca="false">"Sector "&amp;VALUE(MID(D205,13,2))</f>
        <v>Sector 2</v>
      </c>
      <c r="O205" s="34" t="str">
        <f aca="false">IF(Dashboard!$C$5="Ubicación técnica",N205,"Sector "&amp;VALUE(RIGHT(G205,2)))</f>
        <v>Sector 2</v>
      </c>
      <c r="P205" s="34" t="str">
        <f aca="false">IF(MID(D205,15,3)="SEL","Subestación eléctrica","Área de proceso")</f>
        <v>Subestación eléctrica</v>
      </c>
      <c r="Q205" s="34" t="str">
        <f aca="false">MID(D205,13,5)&amp;"|"&amp;MID(D205,19,5)</f>
        <v>02SEL|S_015</v>
      </c>
      <c r="R205" s="34" t="str">
        <f aca="false">IF(P205="Subestación eléctrica",IFERROR(INDEX(cat_SubN,MATCH(Q205,cat_SubK,0)),"SIN CATALOGAR"),"ÁREA DE PROCESO")</f>
        <v>SE-15</v>
      </c>
      <c r="S205" s="34" t="str">
        <f aca="false">IF(H205="","SIN DATO",IFERROR(INDEX(cat_MarcaN,MATCH(H205,cat_MarcaO,0)),H205))</f>
        <v>SEL</v>
      </c>
      <c r="T205" s="34" t="str">
        <f aca="false">IF(I205="","SIN DATO",IFERROR(INDEX(cat_ModN,MATCH(I205,cat_ModO,0)),I205))</f>
        <v>MEDICION</v>
      </c>
      <c r="U205" s="34" t="str">
        <f aca="false">IF(I205="","",IFERROR(INDEX(cat_ModG,MATCH(I205,cat_ModO,0)),"No"))</f>
        <v>Sí</v>
      </c>
      <c r="V205" s="34" t="str">
        <f aca="false">IF(J205="","SIN DATO",IFERROR(INDEX(cat_FunN,MATCH(J205,cat_FunO,0)),J205))</f>
        <v>Medición</v>
      </c>
      <c r="W205" s="34" t="str">
        <f aca="false">IF(OR(S205="SIN DATO",T205="SIN DATO"),"No","Sí")</f>
        <v>Sí</v>
      </c>
    </row>
    <row r="206" customFormat="false" ht="15" hidden="false" customHeight="false" outlineLevel="0" collapsed="false">
      <c r="A206" s="34" t="s">
        <v>1018</v>
      </c>
      <c r="B206" s="34" t="s">
        <v>1019</v>
      </c>
      <c r="C206" s="34" t="s">
        <v>1020</v>
      </c>
      <c r="D206" s="34" t="s">
        <v>1014</v>
      </c>
      <c r="E206" s="34" t="s">
        <v>113</v>
      </c>
      <c r="F206" s="34" t="s">
        <v>675</v>
      </c>
      <c r="G206" s="34" t="s">
        <v>676</v>
      </c>
      <c r="H206" s="34" t="s">
        <v>34</v>
      </c>
      <c r="I206" s="34" t="s">
        <v>38</v>
      </c>
      <c r="J206" s="34" t="s">
        <v>228</v>
      </c>
      <c r="K206" s="34" t="s">
        <v>229</v>
      </c>
      <c r="L206" s="34" t="s">
        <v>230</v>
      </c>
      <c r="M206" s="34" t="s">
        <v>231</v>
      </c>
      <c r="N206" s="34" t="str">
        <f aca="false">"Sector "&amp;VALUE(MID(D206,13,2))</f>
        <v>Sector 2</v>
      </c>
      <c r="O206" s="34" t="str">
        <f aca="false">IF(Dashboard!$C$5="Ubicación técnica",N206,"Sector "&amp;VALUE(RIGHT(G206,2)))</f>
        <v>Sector 2</v>
      </c>
      <c r="P206" s="34" t="str">
        <f aca="false">IF(MID(D206,15,3)="SEL","Subestación eléctrica","Área de proceso")</f>
        <v>Subestación eléctrica</v>
      </c>
      <c r="Q206" s="34" t="str">
        <f aca="false">MID(D206,13,5)&amp;"|"&amp;MID(D206,19,5)</f>
        <v>02SEL|S_015</v>
      </c>
      <c r="R206" s="34" t="str">
        <f aca="false">IF(P206="Subestación eléctrica",IFERROR(INDEX(cat_SubN,MATCH(Q206,cat_SubK,0)),"SIN CATALOGAR"),"ÁREA DE PROCESO")</f>
        <v>SE-15</v>
      </c>
      <c r="S206" s="34" t="str">
        <f aca="false">IF(H206="","SIN DATO",IFERROR(INDEX(cat_MarcaN,MATCH(H206,cat_MarcaO,0)),H206))</f>
        <v>ABB</v>
      </c>
      <c r="T206" s="34" t="str">
        <f aca="false">IF(I206="","SIN DATO",IFERROR(INDEX(cat_ModN,MATCH(I206,cat_ModO,0)),I206))</f>
        <v>1AMEBCADNEC5BNN11G</v>
      </c>
      <c r="U206" s="34" t="str">
        <f aca="false">IF(I206="","",IFERROR(INDEX(cat_ModG,MATCH(I206,cat_ModO,0)),"No"))</f>
        <v>No</v>
      </c>
      <c r="V206" s="34" t="str">
        <f aca="false">IF(J206="","SIN DATO",IFERROR(INDEX(cat_FunN,MATCH(J206,cat_FunO,0)),J206))</f>
        <v>Protección y medición</v>
      </c>
      <c r="W206" s="34" t="str">
        <f aca="false">IF(OR(S206="SIN DATO",T206="SIN DATO"),"No","Sí")</f>
        <v>Sí</v>
      </c>
    </row>
    <row r="207" customFormat="false" ht="15" hidden="false" customHeight="false" outlineLevel="0" collapsed="false">
      <c r="A207" s="34" t="s">
        <v>1021</v>
      </c>
      <c r="B207" s="34" t="s">
        <v>1022</v>
      </c>
      <c r="C207" s="34" t="s">
        <v>1023</v>
      </c>
      <c r="D207" s="34" t="s">
        <v>1024</v>
      </c>
      <c r="E207" s="34" t="s">
        <v>113</v>
      </c>
      <c r="F207" s="34" t="s">
        <v>675</v>
      </c>
      <c r="G207" s="34" t="s">
        <v>676</v>
      </c>
      <c r="H207" s="34" t="s">
        <v>34</v>
      </c>
      <c r="I207" s="34" t="s">
        <v>51</v>
      </c>
      <c r="J207" s="34" t="s">
        <v>681</v>
      </c>
      <c r="K207" s="34" t="s">
        <v>229</v>
      </c>
      <c r="L207" s="34" t="s">
        <v>230</v>
      </c>
      <c r="M207" s="34" t="s">
        <v>682</v>
      </c>
      <c r="N207" s="34" t="str">
        <f aca="false">"Sector "&amp;VALUE(MID(D207,13,2))</f>
        <v>Sector 2</v>
      </c>
      <c r="O207" s="34" t="str">
        <f aca="false">IF(Dashboard!$C$5="Ubicación técnica",N207,"Sector "&amp;VALUE(RIGHT(G207,2)))</f>
        <v>Sector 2</v>
      </c>
      <c r="P207" s="34" t="str">
        <f aca="false">IF(MID(D207,15,3)="SEL","Subestación eléctrica","Área de proceso")</f>
        <v>Subestación eléctrica</v>
      </c>
      <c r="Q207" s="34" t="str">
        <f aca="false">MID(D207,13,5)&amp;"|"&amp;MID(D207,19,5)</f>
        <v>02SEL|S_015</v>
      </c>
      <c r="R207" s="34" t="str">
        <f aca="false">IF(P207="Subestación eléctrica",IFERROR(INDEX(cat_SubN,MATCH(Q207,cat_SubK,0)),"SIN CATALOGAR"),"ÁREA DE PROCESO")</f>
        <v>SE-15</v>
      </c>
      <c r="S207" s="34" t="str">
        <f aca="false">IF(H207="","SIN DATO",IFERROR(INDEX(cat_MarcaN,MATCH(H207,cat_MarcaO,0)),H207))</f>
        <v>ABB</v>
      </c>
      <c r="T207" s="34" t="str">
        <f aca="false">IF(I207="","SIN DATO",IFERROR(INDEX(cat_ModN,MATCH(I207,cat_ModO,0)),I207))</f>
        <v>PROTECCION ARCO</v>
      </c>
      <c r="U207" s="34" t="str">
        <f aca="false">IF(I207="","",IFERROR(INDEX(cat_ModG,MATCH(I207,cat_ModO,0)),"No"))</f>
        <v>Sí</v>
      </c>
      <c r="V207" s="34" t="str">
        <f aca="false">IF(J207="","SIN DATO",IFERROR(INDEX(cat_FunN,MATCH(J207,cat_FunO,0)),J207))</f>
        <v>Protección</v>
      </c>
      <c r="W207" s="34" t="str">
        <f aca="false">IF(OR(S207="SIN DATO",T207="SIN DATO"),"No","Sí")</f>
        <v>Sí</v>
      </c>
    </row>
    <row r="208" customFormat="false" ht="15" hidden="false" customHeight="false" outlineLevel="0" collapsed="false">
      <c r="A208" s="34" t="s">
        <v>1025</v>
      </c>
      <c r="B208" s="34" t="s">
        <v>1026</v>
      </c>
      <c r="C208" s="34" t="s">
        <v>1027</v>
      </c>
      <c r="D208" s="34" t="s">
        <v>811</v>
      </c>
      <c r="E208" s="34" t="s">
        <v>113</v>
      </c>
      <c r="F208" s="34" t="s">
        <v>675</v>
      </c>
      <c r="G208" s="34" t="s">
        <v>676</v>
      </c>
      <c r="H208" s="34" t="s">
        <v>34</v>
      </c>
      <c r="I208" s="34" t="s">
        <v>38</v>
      </c>
      <c r="J208" s="34" t="s">
        <v>228</v>
      </c>
      <c r="K208" s="34" t="s">
        <v>229</v>
      </c>
      <c r="L208" s="34" t="s">
        <v>230</v>
      </c>
      <c r="M208" s="34" t="s">
        <v>231</v>
      </c>
      <c r="N208" s="34" t="str">
        <f aca="false">"Sector "&amp;VALUE(MID(D208,13,2))</f>
        <v>Sector 2</v>
      </c>
      <c r="O208" s="34" t="str">
        <f aca="false">IF(Dashboard!$C$5="Ubicación técnica",N208,"Sector "&amp;VALUE(RIGHT(G208,2)))</f>
        <v>Sector 2</v>
      </c>
      <c r="P208" s="34" t="str">
        <f aca="false">IF(MID(D208,15,3)="SEL","Subestación eléctrica","Área de proceso")</f>
        <v>Subestación eléctrica</v>
      </c>
      <c r="Q208" s="34" t="str">
        <f aca="false">MID(D208,13,5)&amp;"|"&amp;MID(D208,19,5)</f>
        <v>02SEL|S_015</v>
      </c>
      <c r="R208" s="34" t="str">
        <f aca="false">IF(P208="Subestación eléctrica",IFERROR(INDEX(cat_SubN,MATCH(Q208,cat_SubK,0)),"SIN CATALOGAR"),"ÁREA DE PROCESO")</f>
        <v>SE-15</v>
      </c>
      <c r="S208" s="34" t="str">
        <f aca="false">IF(H208="","SIN DATO",IFERROR(INDEX(cat_MarcaN,MATCH(H208,cat_MarcaO,0)),H208))</f>
        <v>ABB</v>
      </c>
      <c r="T208" s="34" t="str">
        <f aca="false">IF(I208="","SIN DATO",IFERROR(INDEX(cat_ModN,MATCH(I208,cat_ModO,0)),I208))</f>
        <v>1AMEBCADNEC5BNN11G</v>
      </c>
      <c r="U208" s="34" t="str">
        <f aca="false">IF(I208="","",IFERROR(INDEX(cat_ModG,MATCH(I208,cat_ModO,0)),"No"))</f>
        <v>No</v>
      </c>
      <c r="V208" s="34" t="str">
        <f aca="false">IF(J208="","SIN DATO",IFERROR(INDEX(cat_FunN,MATCH(J208,cat_FunO,0)),J208))</f>
        <v>Protección y medición</v>
      </c>
      <c r="W208" s="34" t="str">
        <f aca="false">IF(OR(S208="SIN DATO",T208="SIN DATO"),"No","Sí")</f>
        <v>Sí</v>
      </c>
    </row>
    <row r="209" customFormat="false" ht="15" hidden="false" customHeight="false" outlineLevel="0" collapsed="false">
      <c r="A209" s="34" t="s">
        <v>1028</v>
      </c>
      <c r="B209" s="34" t="s">
        <v>809</v>
      </c>
      <c r="C209" s="34" t="s">
        <v>810</v>
      </c>
      <c r="D209" s="34" t="s">
        <v>811</v>
      </c>
      <c r="E209" s="34" t="s">
        <v>113</v>
      </c>
      <c r="F209" s="34" t="s">
        <v>675</v>
      </c>
      <c r="G209" s="34" t="s">
        <v>676</v>
      </c>
      <c r="H209" s="34" t="s">
        <v>34</v>
      </c>
      <c r="I209" s="34" t="s">
        <v>36</v>
      </c>
      <c r="J209" s="34" t="s">
        <v>228</v>
      </c>
      <c r="K209" s="34" t="s">
        <v>229</v>
      </c>
      <c r="L209" s="34" t="s">
        <v>230</v>
      </c>
      <c r="M209" s="34" t="s">
        <v>231</v>
      </c>
      <c r="N209" s="34" t="str">
        <f aca="false">"Sector "&amp;VALUE(MID(D209,13,2))</f>
        <v>Sector 2</v>
      </c>
      <c r="O209" s="34" t="str">
        <f aca="false">IF(Dashboard!$C$5="Ubicación técnica",N209,"Sector "&amp;VALUE(RIGHT(G209,2)))</f>
        <v>Sector 2</v>
      </c>
      <c r="P209" s="34" t="str">
        <f aca="false">IF(MID(D209,15,3)="SEL","Subestación eléctrica","Área de proceso")</f>
        <v>Subestación eléctrica</v>
      </c>
      <c r="Q209" s="34" t="str">
        <f aca="false">MID(D209,13,5)&amp;"|"&amp;MID(D209,19,5)</f>
        <v>02SEL|S_015</v>
      </c>
      <c r="R209" s="34" t="str">
        <f aca="false">IF(P209="Subestación eléctrica",IFERROR(INDEX(cat_SubN,MATCH(Q209,cat_SubK,0)),"SIN CATALOGAR"),"ÁREA DE PROCESO")</f>
        <v>SE-15</v>
      </c>
      <c r="S209" s="34" t="str">
        <f aca="false">IF(H209="","SIN DATO",IFERROR(INDEX(cat_MarcaN,MATCH(H209,cat_MarcaO,0)),H209))</f>
        <v>ABB</v>
      </c>
      <c r="T209" s="34" t="str">
        <f aca="false">IF(I209="","SIN DATO",IFERROR(INDEX(cat_ModN,MATCH(I209,cat_ModO,0)),I209))</f>
        <v>1AFFAEAGNEC5BNA11G</v>
      </c>
      <c r="U209" s="34" t="str">
        <f aca="false">IF(I209="","",IFERROR(INDEX(cat_ModG,MATCH(I209,cat_ModO,0)),"No"))</f>
        <v>No</v>
      </c>
      <c r="V209" s="34" t="str">
        <f aca="false">IF(J209="","SIN DATO",IFERROR(INDEX(cat_FunN,MATCH(J209,cat_FunO,0)),J209))</f>
        <v>Protección y medición</v>
      </c>
      <c r="W209" s="34" t="str">
        <f aca="false">IF(OR(S209="SIN DATO",T209="SIN DATO"),"No","Sí")</f>
        <v>Sí</v>
      </c>
    </row>
    <row r="210" customFormat="false" ht="15" hidden="false" customHeight="false" outlineLevel="0" collapsed="false">
      <c r="A210" s="34" t="s">
        <v>1029</v>
      </c>
      <c r="B210" s="34" t="s">
        <v>1030</v>
      </c>
      <c r="C210" s="34" t="s">
        <v>1031</v>
      </c>
      <c r="D210" s="34" t="s">
        <v>1032</v>
      </c>
      <c r="E210" s="34" t="s">
        <v>113</v>
      </c>
      <c r="F210" s="34" t="s">
        <v>675</v>
      </c>
      <c r="G210" s="34" t="s">
        <v>676</v>
      </c>
      <c r="H210" s="34" t="s">
        <v>34</v>
      </c>
      <c r="I210" s="34" t="s">
        <v>38</v>
      </c>
      <c r="J210" s="34" t="s">
        <v>228</v>
      </c>
      <c r="K210" s="34" t="s">
        <v>229</v>
      </c>
      <c r="L210" s="34" t="s">
        <v>230</v>
      </c>
      <c r="M210" s="34" t="s">
        <v>231</v>
      </c>
      <c r="N210" s="34" t="str">
        <f aca="false">"Sector "&amp;VALUE(MID(D210,13,2))</f>
        <v>Sector 2</v>
      </c>
      <c r="O210" s="34" t="str">
        <f aca="false">IF(Dashboard!$C$5="Ubicación técnica",N210,"Sector "&amp;VALUE(RIGHT(G210,2)))</f>
        <v>Sector 2</v>
      </c>
      <c r="P210" s="34" t="str">
        <f aca="false">IF(MID(D210,15,3)="SEL","Subestación eléctrica","Área de proceso")</f>
        <v>Área de proceso</v>
      </c>
      <c r="Q210" s="34" t="str">
        <f aca="false">MID(D210,13,5)&amp;"|"&amp;MID(D210,19,5)</f>
        <v>02COR|SGASE</v>
      </c>
      <c r="R210" s="34" t="str">
        <f aca="false">IF(P210="Subestación eléctrica",IFERROR(INDEX(cat_SubN,MATCH(Q210,cat_SubK,0)),"SIN CATALOGAR"),"ÁREA DE PROCESO")</f>
        <v>ÁREA DE PROCESO</v>
      </c>
      <c r="S210" s="34" t="str">
        <f aca="false">IF(H210="","SIN DATO",IFERROR(INDEX(cat_MarcaN,MATCH(H210,cat_MarcaO,0)),H210))</f>
        <v>ABB</v>
      </c>
      <c r="T210" s="34" t="str">
        <f aca="false">IF(I210="","SIN DATO",IFERROR(INDEX(cat_ModN,MATCH(I210,cat_ModO,0)),I210))</f>
        <v>1AMEBCADNEC5BNN11G</v>
      </c>
      <c r="U210" s="34" t="str">
        <f aca="false">IF(I210="","",IFERROR(INDEX(cat_ModG,MATCH(I210,cat_ModO,0)),"No"))</f>
        <v>No</v>
      </c>
      <c r="V210" s="34" t="str">
        <f aca="false">IF(J210="","SIN DATO",IFERROR(INDEX(cat_FunN,MATCH(J210,cat_FunO,0)),J210))</f>
        <v>Protección y medición</v>
      </c>
      <c r="W210" s="34" t="str">
        <f aca="false">IF(OR(S210="SIN DATO",T210="SIN DATO"),"No","Sí")</f>
        <v>Sí</v>
      </c>
    </row>
    <row r="211" customFormat="false" ht="15" hidden="false" customHeight="false" outlineLevel="0" collapsed="false">
      <c r="A211" s="34" t="s">
        <v>1033</v>
      </c>
      <c r="B211" s="34" t="s">
        <v>1034</v>
      </c>
      <c r="C211" s="34" t="s">
        <v>1035</v>
      </c>
      <c r="D211" s="34" t="s">
        <v>1036</v>
      </c>
      <c r="E211" s="34" t="s">
        <v>113</v>
      </c>
      <c r="F211" s="34" t="s">
        <v>675</v>
      </c>
      <c r="G211" s="34" t="s">
        <v>676</v>
      </c>
      <c r="H211" s="34" t="s">
        <v>34</v>
      </c>
      <c r="I211" s="34" t="s">
        <v>38</v>
      </c>
      <c r="J211" s="34" t="s">
        <v>228</v>
      </c>
      <c r="K211" s="34" t="s">
        <v>229</v>
      </c>
      <c r="L211" s="34" t="s">
        <v>230</v>
      </c>
      <c r="M211" s="34" t="s">
        <v>231</v>
      </c>
      <c r="N211" s="34" t="str">
        <f aca="false">"Sector "&amp;VALUE(MID(D211,13,2))</f>
        <v>Sector 2</v>
      </c>
      <c r="O211" s="34" t="str">
        <f aca="false">IF(Dashboard!$C$5="Ubicación técnica",N211,"Sector "&amp;VALUE(RIGHT(G211,2)))</f>
        <v>Sector 2</v>
      </c>
      <c r="P211" s="34" t="str">
        <f aca="false">IF(MID(D211,15,3)="SEL","Subestación eléctrica","Área de proceso")</f>
        <v>Área de proceso</v>
      </c>
      <c r="Q211" s="34" t="str">
        <f aca="false">MID(D211,13,5)&amp;"|"&amp;MID(D211,19,5)</f>
        <v>02COR|STRAM</v>
      </c>
      <c r="R211" s="34" t="str">
        <f aca="false">IF(P211="Subestación eléctrica",IFERROR(INDEX(cat_SubN,MATCH(Q211,cat_SubK,0)),"SIN CATALOGAR"),"ÁREA DE PROCESO")</f>
        <v>ÁREA DE PROCESO</v>
      </c>
      <c r="S211" s="34" t="str">
        <f aca="false">IF(H211="","SIN DATO",IFERROR(INDEX(cat_MarcaN,MATCH(H211,cat_MarcaO,0)),H211))</f>
        <v>ABB</v>
      </c>
      <c r="T211" s="34" t="str">
        <f aca="false">IF(I211="","SIN DATO",IFERROR(INDEX(cat_ModN,MATCH(I211,cat_ModO,0)),I211))</f>
        <v>1AMEBCADNEC5BNN11G</v>
      </c>
      <c r="U211" s="34" t="str">
        <f aca="false">IF(I211="","",IFERROR(INDEX(cat_ModG,MATCH(I211,cat_ModO,0)),"No"))</f>
        <v>No</v>
      </c>
      <c r="V211" s="34" t="str">
        <f aca="false">IF(J211="","SIN DATO",IFERROR(INDEX(cat_FunN,MATCH(J211,cat_FunO,0)),J211))</f>
        <v>Protección y medición</v>
      </c>
      <c r="W211" s="34" t="str">
        <f aca="false">IF(OR(S211="SIN DATO",T211="SIN DATO"),"No","Sí")</f>
        <v>Sí</v>
      </c>
    </row>
    <row r="212" customFormat="false" ht="15" hidden="false" customHeight="false" outlineLevel="0" collapsed="false">
      <c r="A212" s="34" t="s">
        <v>1037</v>
      </c>
      <c r="B212" s="34" t="s">
        <v>1038</v>
      </c>
      <c r="C212" s="34" t="s">
        <v>1039</v>
      </c>
      <c r="D212" s="34" t="s">
        <v>1040</v>
      </c>
      <c r="E212" s="34" t="s">
        <v>113</v>
      </c>
      <c r="F212" s="34" t="s">
        <v>675</v>
      </c>
      <c r="G212" s="34" t="s">
        <v>676</v>
      </c>
      <c r="H212" s="34" t="s">
        <v>34</v>
      </c>
      <c r="I212" s="34" t="s">
        <v>38</v>
      </c>
      <c r="J212" s="34" t="s">
        <v>228</v>
      </c>
      <c r="K212" s="34" t="s">
        <v>229</v>
      </c>
      <c r="L212" s="34" t="s">
        <v>230</v>
      </c>
      <c r="M212" s="34" t="s">
        <v>231</v>
      </c>
      <c r="N212" s="34" t="str">
        <f aca="false">"Sector "&amp;VALUE(MID(D212,13,2))</f>
        <v>Sector 2</v>
      </c>
      <c r="O212" s="34" t="str">
        <f aca="false">IF(Dashboard!$C$5="Ubicación técnica",N212,"Sector "&amp;VALUE(RIGHT(G212,2)))</f>
        <v>Sector 2</v>
      </c>
      <c r="P212" s="34" t="str">
        <f aca="false">IF(MID(D212,15,3)="SEL","Subestación eléctrica","Área de proceso")</f>
        <v>Área de proceso</v>
      </c>
      <c r="Q212" s="34" t="str">
        <f aca="false">MID(D212,13,5)&amp;"|"&amp;MID(D212,19,5)</f>
        <v>02COR|SCARG</v>
      </c>
      <c r="R212" s="34" t="str">
        <f aca="false">IF(P212="Subestación eléctrica",IFERROR(INDEX(cat_SubN,MATCH(Q212,cat_SubK,0)),"SIN CATALOGAR"),"ÁREA DE PROCESO")</f>
        <v>ÁREA DE PROCESO</v>
      </c>
      <c r="S212" s="34" t="str">
        <f aca="false">IF(H212="","SIN DATO",IFERROR(INDEX(cat_MarcaN,MATCH(H212,cat_MarcaO,0)),H212))</f>
        <v>ABB</v>
      </c>
      <c r="T212" s="34" t="str">
        <f aca="false">IF(I212="","SIN DATO",IFERROR(INDEX(cat_ModN,MATCH(I212,cat_ModO,0)),I212))</f>
        <v>1AMEBCADNEC5BNN11G</v>
      </c>
      <c r="U212" s="34" t="str">
        <f aca="false">IF(I212="","",IFERROR(INDEX(cat_ModG,MATCH(I212,cat_ModO,0)),"No"))</f>
        <v>No</v>
      </c>
      <c r="V212" s="34" t="str">
        <f aca="false">IF(J212="","SIN DATO",IFERROR(INDEX(cat_FunN,MATCH(J212,cat_FunO,0)),J212))</f>
        <v>Protección y medición</v>
      </c>
      <c r="W212" s="34" t="str">
        <f aca="false">IF(OR(S212="SIN DATO",T212="SIN DATO"),"No","Sí")</f>
        <v>Sí</v>
      </c>
    </row>
    <row r="213" customFormat="false" ht="15" hidden="false" customHeight="false" outlineLevel="0" collapsed="false">
      <c r="A213" s="34" t="s">
        <v>1041</v>
      </c>
      <c r="B213" s="34" t="s">
        <v>1042</v>
      </c>
      <c r="C213" s="34" t="s">
        <v>1043</v>
      </c>
      <c r="D213" s="34" t="s">
        <v>1044</v>
      </c>
      <c r="E213" s="34" t="s">
        <v>113</v>
      </c>
      <c r="F213" s="34" t="s">
        <v>675</v>
      </c>
      <c r="G213" s="34" t="s">
        <v>676</v>
      </c>
      <c r="H213" s="34" t="s">
        <v>34</v>
      </c>
      <c r="I213" s="34" t="s">
        <v>38</v>
      </c>
      <c r="J213" s="34" t="s">
        <v>228</v>
      </c>
      <c r="K213" s="34" t="s">
        <v>229</v>
      </c>
      <c r="L213" s="34" t="s">
        <v>230</v>
      </c>
      <c r="M213" s="34" t="s">
        <v>231</v>
      </c>
      <c r="N213" s="34" t="str">
        <f aca="false">"Sector "&amp;VALUE(MID(D213,13,2))</f>
        <v>Sector 2</v>
      </c>
      <c r="O213" s="34" t="str">
        <f aca="false">IF(Dashboard!$C$5="Ubicación técnica",N213,"Sector "&amp;VALUE(RIGHT(G213,2)))</f>
        <v>Sector 2</v>
      </c>
      <c r="P213" s="34" t="str">
        <f aca="false">IF(MID(D213,15,3)="SEL","Subestación eléctrica","Área de proceso")</f>
        <v>Área de proceso</v>
      </c>
      <c r="Q213" s="34" t="str">
        <f aca="false">MID(D213,13,5)&amp;"|"&amp;MID(D213,19,5)</f>
        <v>02COR|SGASE</v>
      </c>
      <c r="R213" s="34" t="str">
        <f aca="false">IF(P213="Subestación eléctrica",IFERROR(INDEX(cat_SubN,MATCH(Q213,cat_SubK,0)),"SIN CATALOGAR"),"ÁREA DE PROCESO")</f>
        <v>ÁREA DE PROCESO</v>
      </c>
      <c r="S213" s="34" t="str">
        <f aca="false">IF(H213="","SIN DATO",IFERROR(INDEX(cat_MarcaN,MATCH(H213,cat_MarcaO,0)),H213))</f>
        <v>ABB</v>
      </c>
      <c r="T213" s="34" t="str">
        <f aca="false">IF(I213="","SIN DATO",IFERROR(INDEX(cat_ModN,MATCH(I213,cat_ModO,0)),I213))</f>
        <v>1AMEBCADNEC5BNN11G</v>
      </c>
      <c r="U213" s="34" t="str">
        <f aca="false">IF(I213="","",IFERROR(INDEX(cat_ModG,MATCH(I213,cat_ModO,0)),"No"))</f>
        <v>No</v>
      </c>
      <c r="V213" s="34" t="str">
        <f aca="false">IF(J213="","SIN DATO",IFERROR(INDEX(cat_FunN,MATCH(J213,cat_FunO,0)),J213))</f>
        <v>Protección y medición</v>
      </c>
      <c r="W213" s="34" t="str">
        <f aca="false">IF(OR(S213="SIN DATO",T213="SIN DATO"),"No","Sí")</f>
        <v>Sí</v>
      </c>
    </row>
    <row r="214" customFormat="false" ht="15" hidden="false" customHeight="false" outlineLevel="0" collapsed="false">
      <c r="A214" s="34" t="s">
        <v>1045</v>
      </c>
      <c r="B214" s="34" t="s">
        <v>1046</v>
      </c>
      <c r="C214" s="34" t="s">
        <v>1047</v>
      </c>
      <c r="D214" s="34" t="s">
        <v>1048</v>
      </c>
      <c r="E214" s="34" t="s">
        <v>113</v>
      </c>
      <c r="F214" s="34" t="s">
        <v>675</v>
      </c>
      <c r="G214" s="34" t="s">
        <v>676</v>
      </c>
      <c r="H214" s="34" t="s">
        <v>34</v>
      </c>
      <c r="I214" s="34" t="s">
        <v>38</v>
      </c>
      <c r="J214" s="34" t="s">
        <v>228</v>
      </c>
      <c r="K214" s="34" t="s">
        <v>229</v>
      </c>
      <c r="L214" s="34" t="s">
        <v>230</v>
      </c>
      <c r="M214" s="34" t="s">
        <v>231</v>
      </c>
      <c r="N214" s="34" t="str">
        <f aca="false">"Sector "&amp;VALUE(MID(D214,13,2))</f>
        <v>Sector 2</v>
      </c>
      <c r="O214" s="34" t="str">
        <f aca="false">IF(Dashboard!$C$5="Ubicación técnica",N214,"Sector "&amp;VALUE(RIGHT(G214,2)))</f>
        <v>Sector 2</v>
      </c>
      <c r="P214" s="34" t="str">
        <f aca="false">IF(MID(D214,15,3)="SEL","Subestación eléctrica","Área de proceso")</f>
        <v>Área de proceso</v>
      </c>
      <c r="Q214" s="34" t="str">
        <f aca="false">MID(D214,13,5)&amp;"|"&amp;MID(D214,19,5)</f>
        <v>02COR|SFRAC</v>
      </c>
      <c r="R214" s="34" t="str">
        <f aca="false">IF(P214="Subestación eléctrica",IFERROR(INDEX(cat_SubN,MATCH(Q214,cat_SubK,0)),"SIN CATALOGAR"),"ÁREA DE PROCESO")</f>
        <v>ÁREA DE PROCESO</v>
      </c>
      <c r="S214" s="34" t="str">
        <f aca="false">IF(H214="","SIN DATO",IFERROR(INDEX(cat_MarcaN,MATCH(H214,cat_MarcaO,0)),H214))</f>
        <v>ABB</v>
      </c>
      <c r="T214" s="34" t="str">
        <f aca="false">IF(I214="","SIN DATO",IFERROR(INDEX(cat_ModN,MATCH(I214,cat_ModO,0)),I214))</f>
        <v>1AMEBCADNEC5BNN11G</v>
      </c>
      <c r="U214" s="34" t="str">
        <f aca="false">IF(I214="","",IFERROR(INDEX(cat_ModG,MATCH(I214,cat_ModO,0)),"No"))</f>
        <v>No</v>
      </c>
      <c r="V214" s="34" t="str">
        <f aca="false">IF(J214="","SIN DATO",IFERROR(INDEX(cat_FunN,MATCH(J214,cat_FunO,0)),J214))</f>
        <v>Protección y medición</v>
      </c>
      <c r="W214" s="34" t="str">
        <f aca="false">IF(OR(S214="SIN DATO",T214="SIN DATO"),"No","Sí")</f>
        <v>Sí</v>
      </c>
    </row>
    <row r="215" customFormat="false" ht="15" hidden="false" customHeight="false" outlineLevel="0" collapsed="false">
      <c r="A215" s="34" t="s">
        <v>1049</v>
      </c>
      <c r="B215" s="34" t="s">
        <v>1050</v>
      </c>
      <c r="C215" s="34" t="s">
        <v>1051</v>
      </c>
      <c r="D215" s="34" t="s">
        <v>1052</v>
      </c>
      <c r="E215" s="34" t="s">
        <v>113</v>
      </c>
      <c r="F215" s="34" t="s">
        <v>675</v>
      </c>
      <c r="G215" s="34" t="s">
        <v>676</v>
      </c>
      <c r="H215" s="34" t="s">
        <v>34</v>
      </c>
      <c r="I215" s="34" t="s">
        <v>38</v>
      </c>
      <c r="J215" s="34" t="s">
        <v>228</v>
      </c>
      <c r="K215" s="34" t="s">
        <v>229</v>
      </c>
      <c r="L215" s="34" t="s">
        <v>230</v>
      </c>
      <c r="M215" s="34" t="s">
        <v>231</v>
      </c>
      <c r="N215" s="34" t="str">
        <f aca="false">"Sector "&amp;VALUE(MID(D215,13,2))</f>
        <v>Sector 2</v>
      </c>
      <c r="O215" s="34" t="str">
        <f aca="false">IF(Dashboard!$C$5="Ubicación técnica",N215,"Sector "&amp;VALUE(RIGHT(G215,2)))</f>
        <v>Sector 2</v>
      </c>
      <c r="P215" s="34" t="str">
        <f aca="false">IF(MID(D215,15,3)="SEL","Subestación eléctrica","Área de proceso")</f>
        <v>Área de proceso</v>
      </c>
      <c r="Q215" s="34" t="str">
        <f aca="false">MID(D215,13,5)&amp;"|"&amp;MID(D215,19,5)</f>
        <v>02COR|SFRAC</v>
      </c>
      <c r="R215" s="34" t="str">
        <f aca="false">IF(P215="Subestación eléctrica",IFERROR(INDEX(cat_SubN,MATCH(Q215,cat_SubK,0)),"SIN CATALOGAR"),"ÁREA DE PROCESO")</f>
        <v>ÁREA DE PROCESO</v>
      </c>
      <c r="S215" s="34" t="str">
        <f aca="false">IF(H215="","SIN DATO",IFERROR(INDEX(cat_MarcaN,MATCH(H215,cat_MarcaO,0)),H215))</f>
        <v>ABB</v>
      </c>
      <c r="T215" s="34" t="str">
        <f aca="false">IF(I215="","SIN DATO",IFERROR(INDEX(cat_ModN,MATCH(I215,cat_ModO,0)),I215))</f>
        <v>1AMEBCADNEC5BNN11G</v>
      </c>
      <c r="U215" s="34" t="str">
        <f aca="false">IF(I215="","",IFERROR(INDEX(cat_ModG,MATCH(I215,cat_ModO,0)),"No"))</f>
        <v>No</v>
      </c>
      <c r="V215" s="34" t="str">
        <f aca="false">IF(J215="","SIN DATO",IFERROR(INDEX(cat_FunN,MATCH(J215,cat_FunO,0)),J215))</f>
        <v>Protección y medición</v>
      </c>
      <c r="W215" s="34" t="str">
        <f aca="false">IF(OR(S215="SIN DATO",T215="SIN DATO"),"No","Sí")</f>
        <v>Sí</v>
      </c>
    </row>
    <row r="216" customFormat="false" ht="15" hidden="false" customHeight="false" outlineLevel="0" collapsed="false">
      <c r="A216" s="34" t="s">
        <v>1053</v>
      </c>
      <c r="B216" s="34" t="s">
        <v>1054</v>
      </c>
      <c r="C216" s="34" t="s">
        <v>1055</v>
      </c>
      <c r="D216" s="34" t="s">
        <v>1056</v>
      </c>
      <c r="E216" s="34" t="s">
        <v>113</v>
      </c>
      <c r="F216" s="34" t="s">
        <v>675</v>
      </c>
      <c r="G216" s="34" t="s">
        <v>676</v>
      </c>
      <c r="H216" s="34" t="s">
        <v>55</v>
      </c>
      <c r="I216" s="34" t="s">
        <v>58</v>
      </c>
      <c r="J216" s="34" t="s">
        <v>58</v>
      </c>
      <c r="K216" s="34" t="s">
        <v>229</v>
      </c>
      <c r="L216" s="34" t="s">
        <v>230</v>
      </c>
      <c r="M216" s="34" t="s">
        <v>344</v>
      </c>
      <c r="N216" s="34" t="str">
        <f aca="false">"Sector "&amp;VALUE(MID(D216,13,2))</f>
        <v>Sector 2</v>
      </c>
      <c r="O216" s="34" t="str">
        <f aca="false">IF(Dashboard!$C$5="Ubicación técnica",N216,"Sector "&amp;VALUE(RIGHT(G216,2)))</f>
        <v>Sector 2</v>
      </c>
      <c r="P216" s="34" t="str">
        <f aca="false">IF(MID(D216,15,3)="SEL","Subestación eléctrica","Área de proceso")</f>
        <v>Subestación eléctrica</v>
      </c>
      <c r="Q216" s="34" t="str">
        <f aca="false">MID(D216,13,5)&amp;"|"&amp;MID(D216,19,5)</f>
        <v>02SEL|S_015</v>
      </c>
      <c r="R216" s="34" t="str">
        <f aca="false">IF(P216="Subestación eléctrica",IFERROR(INDEX(cat_SubN,MATCH(Q216,cat_SubK,0)),"SIN CATALOGAR"),"ÁREA DE PROCESO")</f>
        <v>SE-15</v>
      </c>
      <c r="S216" s="34" t="str">
        <f aca="false">IF(H216="","SIN DATO",IFERROR(INDEX(cat_MarcaN,MATCH(H216,cat_MarcaO,0)),H216))</f>
        <v>SEL</v>
      </c>
      <c r="T216" s="34" t="str">
        <f aca="false">IF(I216="","SIN DATO",IFERROR(INDEX(cat_ModN,MATCH(I216,cat_ModO,0)),I216))</f>
        <v>MEDICION</v>
      </c>
      <c r="U216" s="34" t="str">
        <f aca="false">IF(I216="","",IFERROR(INDEX(cat_ModG,MATCH(I216,cat_ModO,0)),"No"))</f>
        <v>Sí</v>
      </c>
      <c r="V216" s="34" t="str">
        <f aca="false">IF(J216="","SIN DATO",IFERROR(INDEX(cat_FunN,MATCH(J216,cat_FunO,0)),J216))</f>
        <v>Medición</v>
      </c>
      <c r="W216" s="34" t="str">
        <f aca="false">IF(OR(S216="SIN DATO",T216="SIN DATO"),"No","Sí")</f>
        <v>Sí</v>
      </c>
    </row>
    <row r="217" customFormat="false" ht="15" hidden="false" customHeight="false" outlineLevel="0" collapsed="false">
      <c r="A217" s="34" t="s">
        <v>1057</v>
      </c>
      <c r="B217" s="34" t="s">
        <v>1058</v>
      </c>
      <c r="C217" s="34" t="s">
        <v>1059</v>
      </c>
      <c r="D217" s="34" t="s">
        <v>1060</v>
      </c>
      <c r="E217" s="34" t="s">
        <v>113</v>
      </c>
      <c r="F217" s="34" t="s">
        <v>675</v>
      </c>
      <c r="G217" s="34" t="s">
        <v>676</v>
      </c>
      <c r="H217" s="34" t="s">
        <v>34</v>
      </c>
      <c r="I217" s="34" t="s">
        <v>42</v>
      </c>
      <c r="J217" s="34" t="s">
        <v>681</v>
      </c>
      <c r="K217" s="34" t="s">
        <v>229</v>
      </c>
      <c r="L217" s="34" t="s">
        <v>230</v>
      </c>
      <c r="M217" s="34" t="s">
        <v>231</v>
      </c>
      <c r="N217" s="34" t="str">
        <f aca="false">"Sector "&amp;VALUE(MID(D217,13,2))</f>
        <v>Sector 2</v>
      </c>
      <c r="O217" s="34" t="str">
        <f aca="false">IF(Dashboard!$C$5="Ubicación técnica",N217,"Sector "&amp;VALUE(RIGHT(G217,2)))</f>
        <v>Sector 2</v>
      </c>
      <c r="P217" s="34" t="str">
        <f aca="false">IF(MID(D217,15,3)="SEL","Subestación eléctrica","Área de proceso")</f>
        <v>Subestación eléctrica</v>
      </c>
      <c r="Q217" s="34" t="str">
        <f aca="false">MID(D217,13,5)&amp;"|"&amp;MID(D217,19,5)</f>
        <v>02SEL|S15_1</v>
      </c>
      <c r="R217" s="34" t="str">
        <f aca="false">IF(P217="Subestación eléctrica",IFERROR(INDEX(cat_SubN,MATCH(Q217,cat_SubK,0)),"SIN CATALOGAR"),"ÁREA DE PROCESO")</f>
        <v>SE-15-1</v>
      </c>
      <c r="S217" s="34" t="str">
        <f aca="false">IF(H217="","SIN DATO",IFERROR(INDEX(cat_MarcaN,MATCH(H217,cat_MarcaO,0)),H217))</f>
        <v>ABB</v>
      </c>
      <c r="T217" s="34" t="str">
        <f aca="false">IF(I217="","SIN DATO",IFERROR(INDEX(cat_ModN,MATCH(I217,cat_ModO,0)),I217))</f>
        <v>1AFPAKAKNGC5BNN11G</v>
      </c>
      <c r="U217" s="34" t="str">
        <f aca="false">IF(I217="","",IFERROR(INDEX(cat_ModG,MATCH(I217,cat_ModO,0)),"No"))</f>
        <v>No</v>
      </c>
      <c r="V217" s="34" t="str">
        <f aca="false">IF(J217="","SIN DATO",IFERROR(INDEX(cat_FunN,MATCH(J217,cat_FunO,0)),J217))</f>
        <v>Protección</v>
      </c>
      <c r="W217" s="34" t="str">
        <f aca="false">IF(OR(S217="SIN DATO",T217="SIN DATO"),"No","Sí")</f>
        <v>Sí</v>
      </c>
    </row>
    <row r="218" customFormat="false" ht="15" hidden="false" customHeight="false" outlineLevel="0" collapsed="false">
      <c r="A218" s="34" t="s">
        <v>1061</v>
      </c>
      <c r="B218" s="34" t="s">
        <v>1062</v>
      </c>
      <c r="C218" s="34" t="s">
        <v>1063</v>
      </c>
      <c r="D218" s="34" t="s">
        <v>1060</v>
      </c>
      <c r="E218" s="34" t="s">
        <v>113</v>
      </c>
      <c r="F218" s="34" t="s">
        <v>675</v>
      </c>
      <c r="G218" s="34" t="s">
        <v>676</v>
      </c>
      <c r="H218" s="34" t="s">
        <v>34</v>
      </c>
      <c r="I218" s="34" t="s">
        <v>42</v>
      </c>
      <c r="J218" s="34" t="s">
        <v>681</v>
      </c>
      <c r="K218" s="34" t="s">
        <v>229</v>
      </c>
      <c r="L218" s="34" t="s">
        <v>230</v>
      </c>
      <c r="M218" s="34" t="s">
        <v>231</v>
      </c>
      <c r="N218" s="34" t="str">
        <f aca="false">"Sector "&amp;VALUE(MID(D218,13,2))</f>
        <v>Sector 2</v>
      </c>
      <c r="O218" s="34" t="str">
        <f aca="false">IF(Dashboard!$C$5="Ubicación técnica",N218,"Sector "&amp;VALUE(RIGHT(G218,2)))</f>
        <v>Sector 2</v>
      </c>
      <c r="P218" s="34" t="str">
        <f aca="false">IF(MID(D218,15,3)="SEL","Subestación eléctrica","Área de proceso")</f>
        <v>Subestación eléctrica</v>
      </c>
      <c r="Q218" s="34" t="str">
        <f aca="false">MID(D218,13,5)&amp;"|"&amp;MID(D218,19,5)</f>
        <v>02SEL|S15_1</v>
      </c>
      <c r="R218" s="34" t="str">
        <f aca="false">IF(P218="Subestación eléctrica",IFERROR(INDEX(cat_SubN,MATCH(Q218,cat_SubK,0)),"SIN CATALOGAR"),"ÁREA DE PROCESO")</f>
        <v>SE-15-1</v>
      </c>
      <c r="S218" s="34" t="str">
        <f aca="false">IF(H218="","SIN DATO",IFERROR(INDEX(cat_MarcaN,MATCH(H218,cat_MarcaO,0)),H218))</f>
        <v>ABB</v>
      </c>
      <c r="T218" s="34" t="str">
        <f aca="false">IF(I218="","SIN DATO",IFERROR(INDEX(cat_ModN,MATCH(I218,cat_ModO,0)),I218))</f>
        <v>1AFPAKAKNGC5BNN11G</v>
      </c>
      <c r="U218" s="34" t="str">
        <f aca="false">IF(I218="","",IFERROR(INDEX(cat_ModG,MATCH(I218,cat_ModO,0)),"No"))</f>
        <v>No</v>
      </c>
      <c r="V218" s="34" t="str">
        <f aca="false">IF(J218="","SIN DATO",IFERROR(INDEX(cat_FunN,MATCH(J218,cat_FunO,0)),J218))</f>
        <v>Protección</v>
      </c>
      <c r="W218" s="34" t="str">
        <f aca="false">IF(OR(S218="SIN DATO",T218="SIN DATO"),"No","Sí")</f>
        <v>Sí</v>
      </c>
    </row>
    <row r="219" customFormat="false" ht="15" hidden="false" customHeight="false" outlineLevel="0" collapsed="false">
      <c r="A219" s="34" t="s">
        <v>1064</v>
      </c>
      <c r="B219" s="34" t="s">
        <v>1065</v>
      </c>
      <c r="C219" s="34" t="s">
        <v>1066</v>
      </c>
      <c r="D219" s="34" t="s">
        <v>1067</v>
      </c>
      <c r="E219" s="34" t="s">
        <v>113</v>
      </c>
      <c r="F219" s="34" t="s">
        <v>675</v>
      </c>
      <c r="G219" s="34" t="s">
        <v>676</v>
      </c>
      <c r="H219" s="34" t="s">
        <v>34</v>
      </c>
      <c r="I219" s="34" t="s">
        <v>48</v>
      </c>
      <c r="J219" s="34" t="s">
        <v>228</v>
      </c>
      <c r="K219" s="34" t="s">
        <v>229</v>
      </c>
      <c r="L219" s="34" t="s">
        <v>230</v>
      </c>
      <c r="M219" s="34" t="s">
        <v>231</v>
      </c>
      <c r="N219" s="34" t="str">
        <f aca="false">"Sector "&amp;VALUE(MID(D219,13,2))</f>
        <v>Sector 2</v>
      </c>
      <c r="O219" s="34" t="str">
        <f aca="false">IF(Dashboard!$C$5="Ubicación técnica",N219,"Sector "&amp;VALUE(RIGHT(G219,2)))</f>
        <v>Sector 2</v>
      </c>
      <c r="P219" s="34" t="str">
        <f aca="false">IF(MID(D219,15,3)="SEL","Subestación eléctrica","Área de proceso")</f>
        <v>Subestación eléctrica</v>
      </c>
      <c r="Q219" s="34" t="str">
        <f aca="false">MID(D219,13,5)&amp;"|"&amp;MID(D219,19,5)</f>
        <v>02SEL|S_015</v>
      </c>
      <c r="R219" s="34" t="str">
        <f aca="false">IF(P219="Subestación eléctrica",IFERROR(INDEX(cat_SubN,MATCH(Q219,cat_SubK,0)),"SIN CATALOGAR"),"ÁREA DE PROCESO")</f>
        <v>SE-15</v>
      </c>
      <c r="S219" s="34" t="str">
        <f aca="false">IF(H219="","SIN DATO",IFERROR(INDEX(cat_MarcaN,MATCH(H219,cat_MarcaO,0)),H219))</f>
        <v>ABB</v>
      </c>
      <c r="T219" s="34" t="str">
        <f aca="false">IF(I219="","SIN DATO",IFERROR(INDEX(cat_ModN,MATCH(I219,cat_ModO,0)),I219))</f>
        <v>1AFNAEAGNEC5BNA11G</v>
      </c>
      <c r="U219" s="34" t="str">
        <f aca="false">IF(I219="","",IFERROR(INDEX(cat_ModG,MATCH(I219,cat_ModO,0)),"No"))</f>
        <v>No</v>
      </c>
      <c r="V219" s="34" t="str">
        <f aca="false">IF(J219="","SIN DATO",IFERROR(INDEX(cat_FunN,MATCH(J219,cat_FunO,0)),J219))</f>
        <v>Protección y medición</v>
      </c>
      <c r="W219" s="34" t="str">
        <f aca="false">IF(OR(S219="SIN DATO",T219="SIN DATO"),"No","Sí")</f>
        <v>Sí</v>
      </c>
    </row>
    <row r="220" customFormat="false" ht="15" hidden="false" customHeight="false" outlineLevel="0" collapsed="false">
      <c r="A220" s="34" t="s">
        <v>1068</v>
      </c>
      <c r="B220" s="34" t="s">
        <v>1069</v>
      </c>
      <c r="C220" s="34" t="s">
        <v>1070</v>
      </c>
      <c r="D220" s="34" t="s">
        <v>1071</v>
      </c>
      <c r="E220" s="34" t="s">
        <v>113</v>
      </c>
      <c r="F220" s="34" t="s">
        <v>675</v>
      </c>
      <c r="G220" s="34" t="s">
        <v>676</v>
      </c>
      <c r="H220" s="34" t="s">
        <v>34</v>
      </c>
      <c r="I220" s="34" t="s">
        <v>48</v>
      </c>
      <c r="J220" s="34" t="s">
        <v>228</v>
      </c>
      <c r="K220" s="34" t="s">
        <v>229</v>
      </c>
      <c r="L220" s="34" t="s">
        <v>230</v>
      </c>
      <c r="M220" s="34" t="s">
        <v>231</v>
      </c>
      <c r="N220" s="34" t="str">
        <f aca="false">"Sector "&amp;VALUE(MID(D220,13,2))</f>
        <v>Sector 2</v>
      </c>
      <c r="O220" s="34" t="str">
        <f aca="false">IF(Dashboard!$C$5="Ubicación técnica",N220,"Sector "&amp;VALUE(RIGHT(G220,2)))</f>
        <v>Sector 2</v>
      </c>
      <c r="P220" s="34" t="str">
        <f aca="false">IF(MID(D220,15,3)="SEL","Subestación eléctrica","Área de proceso")</f>
        <v>Subestación eléctrica</v>
      </c>
      <c r="Q220" s="34" t="str">
        <f aca="false">MID(D220,13,5)&amp;"|"&amp;MID(D220,19,5)</f>
        <v>02SEL|S_015</v>
      </c>
      <c r="R220" s="34" t="str">
        <f aca="false">IF(P220="Subestación eléctrica",IFERROR(INDEX(cat_SubN,MATCH(Q220,cat_SubK,0)),"SIN CATALOGAR"),"ÁREA DE PROCESO")</f>
        <v>SE-15</v>
      </c>
      <c r="S220" s="34" t="str">
        <f aca="false">IF(H220="","SIN DATO",IFERROR(INDEX(cat_MarcaN,MATCH(H220,cat_MarcaO,0)),H220))</f>
        <v>ABB</v>
      </c>
      <c r="T220" s="34" t="str">
        <f aca="false">IF(I220="","SIN DATO",IFERROR(INDEX(cat_ModN,MATCH(I220,cat_ModO,0)),I220))</f>
        <v>1AFNAEAGNEC5BNA11G</v>
      </c>
      <c r="U220" s="34" t="str">
        <f aca="false">IF(I220="","",IFERROR(INDEX(cat_ModG,MATCH(I220,cat_ModO,0)),"No"))</f>
        <v>No</v>
      </c>
      <c r="V220" s="34" t="str">
        <f aca="false">IF(J220="","SIN DATO",IFERROR(INDEX(cat_FunN,MATCH(J220,cat_FunO,0)),J220))</f>
        <v>Protección y medición</v>
      </c>
      <c r="W220" s="34" t="str">
        <f aca="false">IF(OR(S220="SIN DATO",T220="SIN DATO"),"No","Sí")</f>
        <v>Sí</v>
      </c>
    </row>
    <row r="221" customFormat="false" ht="15" hidden="false" customHeight="false" outlineLevel="0" collapsed="false">
      <c r="A221" s="34" t="s">
        <v>1072</v>
      </c>
      <c r="B221" s="34" t="s">
        <v>1073</v>
      </c>
      <c r="C221" s="34" t="s">
        <v>1074</v>
      </c>
      <c r="D221" s="34" t="s">
        <v>1071</v>
      </c>
      <c r="E221" s="34" t="s">
        <v>113</v>
      </c>
      <c r="F221" s="34" t="s">
        <v>675</v>
      </c>
      <c r="G221" s="34" t="s">
        <v>676</v>
      </c>
      <c r="H221" s="34" t="s">
        <v>34</v>
      </c>
      <c r="I221" s="34" t="s">
        <v>42</v>
      </c>
      <c r="J221" s="34" t="s">
        <v>681</v>
      </c>
      <c r="K221" s="34" t="s">
        <v>229</v>
      </c>
      <c r="L221" s="34" t="s">
        <v>230</v>
      </c>
      <c r="M221" s="34" t="s">
        <v>231</v>
      </c>
      <c r="N221" s="34" t="str">
        <f aca="false">"Sector "&amp;VALUE(MID(D221,13,2))</f>
        <v>Sector 2</v>
      </c>
      <c r="O221" s="34" t="str">
        <f aca="false">IF(Dashboard!$C$5="Ubicación técnica",N221,"Sector "&amp;VALUE(RIGHT(G221,2)))</f>
        <v>Sector 2</v>
      </c>
      <c r="P221" s="34" t="str">
        <f aca="false">IF(MID(D221,15,3)="SEL","Subestación eléctrica","Área de proceso")</f>
        <v>Subestación eléctrica</v>
      </c>
      <c r="Q221" s="34" t="str">
        <f aca="false">MID(D221,13,5)&amp;"|"&amp;MID(D221,19,5)</f>
        <v>02SEL|S_015</v>
      </c>
      <c r="R221" s="34" t="str">
        <f aca="false">IF(P221="Subestación eléctrica",IFERROR(INDEX(cat_SubN,MATCH(Q221,cat_SubK,0)),"SIN CATALOGAR"),"ÁREA DE PROCESO")</f>
        <v>SE-15</v>
      </c>
      <c r="S221" s="34" t="str">
        <f aca="false">IF(H221="","SIN DATO",IFERROR(INDEX(cat_MarcaN,MATCH(H221,cat_MarcaO,0)),H221))</f>
        <v>ABB</v>
      </c>
      <c r="T221" s="34" t="str">
        <f aca="false">IF(I221="","SIN DATO",IFERROR(INDEX(cat_ModN,MATCH(I221,cat_ModO,0)),I221))</f>
        <v>1AFPAKAKNGC5BNN11G</v>
      </c>
      <c r="U221" s="34" t="str">
        <f aca="false">IF(I221="","",IFERROR(INDEX(cat_ModG,MATCH(I221,cat_ModO,0)),"No"))</f>
        <v>No</v>
      </c>
      <c r="V221" s="34" t="str">
        <f aca="false">IF(J221="","SIN DATO",IFERROR(INDEX(cat_FunN,MATCH(J221,cat_FunO,0)),J221))</f>
        <v>Protección</v>
      </c>
      <c r="W221" s="34" t="str">
        <f aca="false">IF(OR(S221="SIN DATO",T221="SIN DATO"),"No","Sí")</f>
        <v>Sí</v>
      </c>
    </row>
    <row r="222" customFormat="false" ht="15" hidden="false" customHeight="false" outlineLevel="0" collapsed="false">
      <c r="A222" s="34" t="s">
        <v>1075</v>
      </c>
      <c r="B222" s="34" t="s">
        <v>1076</v>
      </c>
      <c r="C222" s="34" t="s">
        <v>1077</v>
      </c>
      <c r="D222" s="34" t="s">
        <v>1078</v>
      </c>
      <c r="E222" s="34" t="s">
        <v>113</v>
      </c>
      <c r="F222" s="34" t="s">
        <v>675</v>
      </c>
      <c r="G222" s="34" t="s">
        <v>676</v>
      </c>
      <c r="H222" s="34" t="s">
        <v>34</v>
      </c>
      <c r="I222" s="34" t="s">
        <v>42</v>
      </c>
      <c r="J222" s="34" t="s">
        <v>681</v>
      </c>
      <c r="K222" s="34" t="s">
        <v>229</v>
      </c>
      <c r="L222" s="34" t="s">
        <v>230</v>
      </c>
      <c r="M222" s="34" t="s">
        <v>231</v>
      </c>
      <c r="N222" s="34" t="str">
        <f aca="false">"Sector "&amp;VALUE(MID(D222,13,2))</f>
        <v>Sector 2</v>
      </c>
      <c r="O222" s="34" t="str">
        <f aca="false">IF(Dashboard!$C$5="Ubicación técnica",N222,"Sector "&amp;VALUE(RIGHT(G222,2)))</f>
        <v>Sector 2</v>
      </c>
      <c r="P222" s="34" t="str">
        <f aca="false">IF(MID(D222,15,3)="SEL","Subestación eléctrica","Área de proceso")</f>
        <v>Subestación eléctrica</v>
      </c>
      <c r="Q222" s="34" t="str">
        <f aca="false">MID(D222,13,5)&amp;"|"&amp;MID(D222,19,5)</f>
        <v>02SEL|S_015</v>
      </c>
      <c r="R222" s="34" t="str">
        <f aca="false">IF(P222="Subestación eléctrica",IFERROR(INDEX(cat_SubN,MATCH(Q222,cat_SubK,0)),"SIN CATALOGAR"),"ÁREA DE PROCESO")</f>
        <v>SE-15</v>
      </c>
      <c r="S222" s="34" t="str">
        <f aca="false">IF(H222="","SIN DATO",IFERROR(INDEX(cat_MarcaN,MATCH(H222,cat_MarcaO,0)),H222))</f>
        <v>ABB</v>
      </c>
      <c r="T222" s="34" t="str">
        <f aca="false">IF(I222="","SIN DATO",IFERROR(INDEX(cat_ModN,MATCH(I222,cat_ModO,0)),I222))</f>
        <v>1AFPAKAKNGC5BNN11G</v>
      </c>
      <c r="U222" s="34" t="str">
        <f aca="false">IF(I222="","",IFERROR(INDEX(cat_ModG,MATCH(I222,cat_ModO,0)),"No"))</f>
        <v>No</v>
      </c>
      <c r="V222" s="34" t="str">
        <f aca="false">IF(J222="","SIN DATO",IFERROR(INDEX(cat_FunN,MATCH(J222,cat_FunO,0)),J222))</f>
        <v>Protección</v>
      </c>
      <c r="W222" s="34" t="str">
        <f aca="false">IF(OR(S222="SIN DATO",T222="SIN DATO"),"No","Sí")</f>
        <v>Sí</v>
      </c>
    </row>
    <row r="223" customFormat="false" ht="15" hidden="false" customHeight="false" outlineLevel="0" collapsed="false">
      <c r="A223" s="34" t="s">
        <v>1079</v>
      </c>
      <c r="B223" s="34" t="s">
        <v>1080</v>
      </c>
      <c r="C223" s="34" t="s">
        <v>1081</v>
      </c>
      <c r="D223" s="34" t="s">
        <v>1082</v>
      </c>
      <c r="E223" s="34" t="s">
        <v>113</v>
      </c>
      <c r="F223" s="34" t="s">
        <v>675</v>
      </c>
      <c r="G223" s="34" t="s">
        <v>676</v>
      </c>
      <c r="H223" s="34" t="s">
        <v>34</v>
      </c>
      <c r="I223" s="34" t="s">
        <v>42</v>
      </c>
      <c r="J223" s="34" t="s">
        <v>681</v>
      </c>
      <c r="K223" s="34" t="s">
        <v>229</v>
      </c>
      <c r="L223" s="34" t="s">
        <v>230</v>
      </c>
      <c r="M223" s="34" t="s">
        <v>231</v>
      </c>
      <c r="N223" s="34" t="str">
        <f aca="false">"Sector "&amp;VALUE(MID(D223,13,2))</f>
        <v>Sector 2</v>
      </c>
      <c r="O223" s="34" t="str">
        <f aca="false">IF(Dashboard!$C$5="Ubicación técnica",N223,"Sector "&amp;VALUE(RIGHT(G223,2)))</f>
        <v>Sector 2</v>
      </c>
      <c r="P223" s="34" t="str">
        <f aca="false">IF(MID(D223,15,3)="SEL","Subestación eléctrica","Área de proceso")</f>
        <v>Subestación eléctrica</v>
      </c>
      <c r="Q223" s="34" t="str">
        <f aca="false">MID(D223,13,5)&amp;"|"&amp;MID(D223,19,5)</f>
        <v>02SEL|S_015</v>
      </c>
      <c r="R223" s="34" t="str">
        <f aca="false">IF(P223="Subestación eléctrica",IFERROR(INDEX(cat_SubN,MATCH(Q223,cat_SubK,0)),"SIN CATALOGAR"),"ÁREA DE PROCESO")</f>
        <v>SE-15</v>
      </c>
      <c r="S223" s="34" t="str">
        <f aca="false">IF(H223="","SIN DATO",IFERROR(INDEX(cat_MarcaN,MATCH(H223,cat_MarcaO,0)),H223))</f>
        <v>ABB</v>
      </c>
      <c r="T223" s="34" t="str">
        <f aca="false">IF(I223="","SIN DATO",IFERROR(INDEX(cat_ModN,MATCH(I223,cat_ModO,0)),I223))</f>
        <v>1AFPAKAKNGC5BNN11G</v>
      </c>
      <c r="U223" s="34" t="str">
        <f aca="false">IF(I223="","",IFERROR(INDEX(cat_ModG,MATCH(I223,cat_ModO,0)),"No"))</f>
        <v>No</v>
      </c>
      <c r="V223" s="34" t="str">
        <f aca="false">IF(J223="","SIN DATO",IFERROR(INDEX(cat_FunN,MATCH(J223,cat_FunO,0)),J223))</f>
        <v>Protección</v>
      </c>
      <c r="W223" s="34" t="str">
        <f aca="false">IF(OR(S223="SIN DATO",T223="SIN DATO"),"No","Sí")</f>
        <v>Sí</v>
      </c>
    </row>
    <row r="224" customFormat="false" ht="15" hidden="false" customHeight="false" outlineLevel="0" collapsed="false">
      <c r="A224" s="34" t="s">
        <v>1083</v>
      </c>
      <c r="B224" s="34" t="s">
        <v>1084</v>
      </c>
      <c r="C224" s="34" t="s">
        <v>1085</v>
      </c>
      <c r="D224" s="34" t="s">
        <v>1082</v>
      </c>
      <c r="E224" s="34" t="s">
        <v>113</v>
      </c>
      <c r="F224" s="34" t="s">
        <v>675</v>
      </c>
      <c r="G224" s="34" t="s">
        <v>676</v>
      </c>
      <c r="H224" s="34" t="s">
        <v>34</v>
      </c>
      <c r="I224" s="34" t="s">
        <v>42</v>
      </c>
      <c r="J224" s="34" t="s">
        <v>681</v>
      </c>
      <c r="K224" s="34" t="s">
        <v>229</v>
      </c>
      <c r="L224" s="34" t="s">
        <v>230</v>
      </c>
      <c r="M224" s="34" t="s">
        <v>231</v>
      </c>
      <c r="N224" s="34" t="str">
        <f aca="false">"Sector "&amp;VALUE(MID(D224,13,2))</f>
        <v>Sector 2</v>
      </c>
      <c r="O224" s="34" t="str">
        <f aca="false">IF(Dashboard!$C$5="Ubicación técnica",N224,"Sector "&amp;VALUE(RIGHT(G224,2)))</f>
        <v>Sector 2</v>
      </c>
      <c r="P224" s="34" t="str">
        <f aca="false">IF(MID(D224,15,3)="SEL","Subestación eléctrica","Área de proceso")</f>
        <v>Subestación eléctrica</v>
      </c>
      <c r="Q224" s="34" t="str">
        <f aca="false">MID(D224,13,5)&amp;"|"&amp;MID(D224,19,5)</f>
        <v>02SEL|S_015</v>
      </c>
      <c r="R224" s="34" t="str">
        <f aca="false">IF(P224="Subestación eléctrica",IFERROR(INDEX(cat_SubN,MATCH(Q224,cat_SubK,0)),"SIN CATALOGAR"),"ÁREA DE PROCESO")</f>
        <v>SE-15</v>
      </c>
      <c r="S224" s="34" t="str">
        <f aca="false">IF(H224="","SIN DATO",IFERROR(INDEX(cat_MarcaN,MATCH(H224,cat_MarcaO,0)),H224))</f>
        <v>ABB</v>
      </c>
      <c r="T224" s="34" t="str">
        <f aca="false">IF(I224="","SIN DATO",IFERROR(INDEX(cat_ModN,MATCH(I224,cat_ModO,0)),I224))</f>
        <v>1AFPAKAKNGC5BNN11G</v>
      </c>
      <c r="U224" s="34" t="str">
        <f aca="false">IF(I224="","",IFERROR(INDEX(cat_ModG,MATCH(I224,cat_ModO,0)),"No"))</f>
        <v>No</v>
      </c>
      <c r="V224" s="34" t="str">
        <f aca="false">IF(J224="","SIN DATO",IFERROR(INDEX(cat_FunN,MATCH(J224,cat_FunO,0)),J224))</f>
        <v>Protección</v>
      </c>
      <c r="W224" s="34" t="str">
        <f aca="false">IF(OR(S224="SIN DATO",T224="SIN DATO"),"No","Sí")</f>
        <v>Sí</v>
      </c>
    </row>
    <row r="225" customFormat="false" ht="15" hidden="false" customHeight="false" outlineLevel="0" collapsed="false">
      <c r="A225" s="34" t="s">
        <v>1086</v>
      </c>
      <c r="B225" s="34" t="s">
        <v>1087</v>
      </c>
      <c r="C225" s="34" t="s">
        <v>1088</v>
      </c>
      <c r="D225" s="34" t="s">
        <v>1089</v>
      </c>
      <c r="E225" s="34" t="s">
        <v>113</v>
      </c>
      <c r="F225" s="34" t="s">
        <v>675</v>
      </c>
      <c r="G225" s="34" t="s">
        <v>676</v>
      </c>
      <c r="H225" s="34" t="s">
        <v>34</v>
      </c>
      <c r="I225" s="34" t="s">
        <v>42</v>
      </c>
      <c r="J225" s="34" t="s">
        <v>681</v>
      </c>
      <c r="K225" s="34" t="s">
        <v>229</v>
      </c>
      <c r="L225" s="34" t="s">
        <v>230</v>
      </c>
      <c r="M225" s="34" t="s">
        <v>231</v>
      </c>
      <c r="N225" s="34" t="str">
        <f aca="false">"Sector "&amp;VALUE(MID(D225,13,2))</f>
        <v>Sector 2</v>
      </c>
      <c r="O225" s="34" t="str">
        <f aca="false">IF(Dashboard!$C$5="Ubicación técnica",N225,"Sector "&amp;VALUE(RIGHT(G225,2)))</f>
        <v>Sector 2</v>
      </c>
      <c r="P225" s="34" t="str">
        <f aca="false">IF(MID(D225,15,3)="SEL","Subestación eléctrica","Área de proceso")</f>
        <v>Subestación eléctrica</v>
      </c>
      <c r="Q225" s="34" t="str">
        <f aca="false">MID(D225,13,5)&amp;"|"&amp;MID(D225,19,5)</f>
        <v>02SEL|S_015</v>
      </c>
      <c r="R225" s="34" t="str">
        <f aca="false">IF(P225="Subestación eléctrica",IFERROR(INDEX(cat_SubN,MATCH(Q225,cat_SubK,0)),"SIN CATALOGAR"),"ÁREA DE PROCESO")</f>
        <v>SE-15</v>
      </c>
      <c r="S225" s="34" t="str">
        <f aca="false">IF(H225="","SIN DATO",IFERROR(INDEX(cat_MarcaN,MATCH(H225,cat_MarcaO,0)),H225))</f>
        <v>ABB</v>
      </c>
      <c r="T225" s="34" t="str">
        <f aca="false">IF(I225="","SIN DATO",IFERROR(INDEX(cat_ModN,MATCH(I225,cat_ModO,0)),I225))</f>
        <v>1AFPAKAKNGC5BNN11G</v>
      </c>
      <c r="U225" s="34" t="str">
        <f aca="false">IF(I225="","",IFERROR(INDEX(cat_ModG,MATCH(I225,cat_ModO,0)),"No"))</f>
        <v>No</v>
      </c>
      <c r="V225" s="34" t="str">
        <f aca="false">IF(J225="","SIN DATO",IFERROR(INDEX(cat_FunN,MATCH(J225,cat_FunO,0)),J225))</f>
        <v>Protección</v>
      </c>
      <c r="W225" s="34" t="str">
        <f aca="false">IF(OR(S225="SIN DATO",T225="SIN DATO"),"No","Sí")</f>
        <v>Sí</v>
      </c>
    </row>
    <row r="226" customFormat="false" ht="15" hidden="false" customHeight="false" outlineLevel="0" collapsed="false">
      <c r="A226" s="34" t="s">
        <v>1090</v>
      </c>
      <c r="B226" s="34" t="s">
        <v>1091</v>
      </c>
      <c r="C226" s="34" t="s">
        <v>1092</v>
      </c>
      <c r="D226" s="34" t="s">
        <v>1093</v>
      </c>
      <c r="E226" s="34" t="s">
        <v>113</v>
      </c>
      <c r="F226" s="34" t="s">
        <v>675</v>
      </c>
      <c r="G226" s="34" t="s">
        <v>676</v>
      </c>
      <c r="H226" s="34" t="s">
        <v>34</v>
      </c>
      <c r="I226" s="34" t="s">
        <v>42</v>
      </c>
      <c r="J226" s="34" t="s">
        <v>681</v>
      </c>
      <c r="K226" s="34" t="s">
        <v>229</v>
      </c>
      <c r="L226" s="34" t="s">
        <v>230</v>
      </c>
      <c r="M226" s="34" t="s">
        <v>231</v>
      </c>
      <c r="N226" s="34" t="str">
        <f aca="false">"Sector "&amp;VALUE(MID(D226,13,2))</f>
        <v>Sector 2</v>
      </c>
      <c r="O226" s="34" t="str">
        <f aca="false">IF(Dashboard!$C$5="Ubicación técnica",N226,"Sector "&amp;VALUE(RIGHT(G226,2)))</f>
        <v>Sector 2</v>
      </c>
      <c r="P226" s="34" t="str">
        <f aca="false">IF(MID(D226,15,3)="SEL","Subestación eléctrica","Área de proceso")</f>
        <v>Subestación eléctrica</v>
      </c>
      <c r="Q226" s="34" t="str">
        <f aca="false">MID(D226,13,5)&amp;"|"&amp;MID(D226,19,5)</f>
        <v>02SEL|S_015</v>
      </c>
      <c r="R226" s="34" t="str">
        <f aca="false">IF(P226="Subestación eléctrica",IFERROR(INDEX(cat_SubN,MATCH(Q226,cat_SubK,0)),"SIN CATALOGAR"),"ÁREA DE PROCESO")</f>
        <v>SE-15</v>
      </c>
      <c r="S226" s="34" t="str">
        <f aca="false">IF(H226="","SIN DATO",IFERROR(INDEX(cat_MarcaN,MATCH(H226,cat_MarcaO,0)),H226))</f>
        <v>ABB</v>
      </c>
      <c r="T226" s="34" t="str">
        <f aca="false">IF(I226="","SIN DATO",IFERROR(INDEX(cat_ModN,MATCH(I226,cat_ModO,0)),I226))</f>
        <v>1AFPAKAKNGC5BNN11G</v>
      </c>
      <c r="U226" s="34" t="str">
        <f aca="false">IF(I226="","",IFERROR(INDEX(cat_ModG,MATCH(I226,cat_ModO,0)),"No"))</f>
        <v>No</v>
      </c>
      <c r="V226" s="34" t="str">
        <f aca="false">IF(J226="","SIN DATO",IFERROR(INDEX(cat_FunN,MATCH(J226,cat_FunO,0)),J226))</f>
        <v>Protección</v>
      </c>
      <c r="W226" s="34" t="str">
        <f aca="false">IF(OR(S226="SIN DATO",T226="SIN DATO"),"No","Sí")</f>
        <v>Sí</v>
      </c>
    </row>
    <row r="227" customFormat="false" ht="15" hidden="false" customHeight="false" outlineLevel="0" collapsed="false">
      <c r="A227" s="34" t="s">
        <v>1094</v>
      </c>
      <c r="B227" s="34" t="s">
        <v>1095</v>
      </c>
      <c r="C227" s="34" t="s">
        <v>1096</v>
      </c>
      <c r="D227" s="34" t="s">
        <v>1093</v>
      </c>
      <c r="E227" s="34" t="s">
        <v>113</v>
      </c>
      <c r="F227" s="34" t="s">
        <v>675</v>
      </c>
      <c r="G227" s="34" t="s">
        <v>676</v>
      </c>
      <c r="H227" s="34" t="s">
        <v>34</v>
      </c>
      <c r="I227" s="34" t="s">
        <v>42</v>
      </c>
      <c r="J227" s="34" t="s">
        <v>681</v>
      </c>
      <c r="K227" s="34" t="s">
        <v>229</v>
      </c>
      <c r="L227" s="34" t="s">
        <v>230</v>
      </c>
      <c r="M227" s="34" t="s">
        <v>231</v>
      </c>
      <c r="N227" s="34" t="str">
        <f aca="false">"Sector "&amp;VALUE(MID(D227,13,2))</f>
        <v>Sector 2</v>
      </c>
      <c r="O227" s="34" t="str">
        <f aca="false">IF(Dashboard!$C$5="Ubicación técnica",N227,"Sector "&amp;VALUE(RIGHT(G227,2)))</f>
        <v>Sector 2</v>
      </c>
      <c r="P227" s="34" t="str">
        <f aca="false">IF(MID(D227,15,3)="SEL","Subestación eléctrica","Área de proceso")</f>
        <v>Subestación eléctrica</v>
      </c>
      <c r="Q227" s="34" t="str">
        <f aca="false">MID(D227,13,5)&amp;"|"&amp;MID(D227,19,5)</f>
        <v>02SEL|S_015</v>
      </c>
      <c r="R227" s="34" t="str">
        <f aca="false">IF(P227="Subestación eléctrica",IFERROR(INDEX(cat_SubN,MATCH(Q227,cat_SubK,0)),"SIN CATALOGAR"),"ÁREA DE PROCESO")</f>
        <v>SE-15</v>
      </c>
      <c r="S227" s="34" t="str">
        <f aca="false">IF(H227="","SIN DATO",IFERROR(INDEX(cat_MarcaN,MATCH(H227,cat_MarcaO,0)),H227))</f>
        <v>ABB</v>
      </c>
      <c r="T227" s="34" t="str">
        <f aca="false">IF(I227="","SIN DATO",IFERROR(INDEX(cat_ModN,MATCH(I227,cat_ModO,0)),I227))</f>
        <v>1AFPAKAKNGC5BNN11G</v>
      </c>
      <c r="U227" s="34" t="str">
        <f aca="false">IF(I227="","",IFERROR(INDEX(cat_ModG,MATCH(I227,cat_ModO,0)),"No"))</f>
        <v>No</v>
      </c>
      <c r="V227" s="34" t="str">
        <f aca="false">IF(J227="","SIN DATO",IFERROR(INDEX(cat_FunN,MATCH(J227,cat_FunO,0)),J227))</f>
        <v>Protección</v>
      </c>
      <c r="W227" s="34" t="str">
        <f aca="false">IF(OR(S227="SIN DATO",T227="SIN DATO"),"No","Sí")</f>
        <v>Sí</v>
      </c>
    </row>
    <row r="228" customFormat="false" ht="15" hidden="false" customHeight="false" outlineLevel="0" collapsed="false">
      <c r="A228" s="34" t="s">
        <v>1097</v>
      </c>
      <c r="B228" s="34" t="s">
        <v>805</v>
      </c>
      <c r="C228" s="34" t="s">
        <v>806</v>
      </c>
      <c r="D228" s="34" t="s">
        <v>807</v>
      </c>
      <c r="E228" s="34" t="s">
        <v>113</v>
      </c>
      <c r="F228" s="34" t="s">
        <v>675</v>
      </c>
      <c r="G228" s="34" t="s">
        <v>676</v>
      </c>
      <c r="H228" s="34" t="s">
        <v>55</v>
      </c>
      <c r="I228" s="34" t="s">
        <v>58</v>
      </c>
      <c r="J228" s="34" t="s">
        <v>58</v>
      </c>
      <c r="K228" s="34" t="s">
        <v>229</v>
      </c>
      <c r="L228" s="34" t="s">
        <v>230</v>
      </c>
      <c r="M228" s="34" t="s">
        <v>344</v>
      </c>
      <c r="N228" s="34" t="str">
        <f aca="false">"Sector "&amp;VALUE(MID(D228,13,2))</f>
        <v>Sector 2</v>
      </c>
      <c r="O228" s="34" t="str">
        <f aca="false">IF(Dashboard!$C$5="Ubicación técnica",N228,"Sector "&amp;VALUE(RIGHT(G228,2)))</f>
        <v>Sector 2</v>
      </c>
      <c r="P228" s="34" t="str">
        <f aca="false">IF(MID(D228,15,3)="SEL","Subestación eléctrica","Área de proceso")</f>
        <v>Área de proceso</v>
      </c>
      <c r="Q228" s="34" t="str">
        <f aca="false">MID(D228,13,5)&amp;"|"&amp;MID(D228,19,5)</f>
        <v>02COR|SGASE</v>
      </c>
      <c r="R228" s="34" t="str">
        <f aca="false">IF(P228="Subestación eléctrica",IFERROR(INDEX(cat_SubN,MATCH(Q228,cat_SubK,0)),"SIN CATALOGAR"),"ÁREA DE PROCESO")</f>
        <v>ÁREA DE PROCESO</v>
      </c>
      <c r="S228" s="34" t="str">
        <f aca="false">IF(H228="","SIN DATO",IFERROR(INDEX(cat_MarcaN,MATCH(H228,cat_MarcaO,0)),H228))</f>
        <v>SEL</v>
      </c>
      <c r="T228" s="34" t="str">
        <f aca="false">IF(I228="","SIN DATO",IFERROR(INDEX(cat_ModN,MATCH(I228,cat_ModO,0)),I228))</f>
        <v>MEDICION</v>
      </c>
      <c r="U228" s="34" t="str">
        <f aca="false">IF(I228="","",IFERROR(INDEX(cat_ModG,MATCH(I228,cat_ModO,0)),"No"))</f>
        <v>Sí</v>
      </c>
      <c r="V228" s="34" t="str">
        <f aca="false">IF(J228="","SIN DATO",IFERROR(INDEX(cat_FunN,MATCH(J228,cat_FunO,0)),J228))</f>
        <v>Medición</v>
      </c>
      <c r="W228" s="34" t="str">
        <f aca="false">IF(OR(S228="SIN DATO",T228="SIN DATO"),"No","Sí")</f>
        <v>Sí</v>
      </c>
    </row>
    <row r="229" customFormat="false" ht="15" hidden="false" customHeight="false" outlineLevel="0" collapsed="false">
      <c r="A229" s="34" t="s">
        <v>1098</v>
      </c>
      <c r="B229" s="34" t="s">
        <v>1099</v>
      </c>
      <c r="C229" s="34" t="s">
        <v>1100</v>
      </c>
      <c r="D229" s="34" t="s">
        <v>807</v>
      </c>
      <c r="E229" s="34" t="s">
        <v>113</v>
      </c>
      <c r="F229" s="34" t="s">
        <v>675</v>
      </c>
      <c r="G229" s="34" t="s">
        <v>676</v>
      </c>
      <c r="H229" s="34" t="s">
        <v>55</v>
      </c>
      <c r="I229" s="34" t="s">
        <v>58</v>
      </c>
      <c r="J229" s="34" t="s">
        <v>58</v>
      </c>
      <c r="K229" s="34" t="s">
        <v>229</v>
      </c>
      <c r="L229" s="34" t="s">
        <v>230</v>
      </c>
      <c r="M229" s="34" t="s">
        <v>344</v>
      </c>
      <c r="N229" s="34" t="str">
        <f aca="false">"Sector "&amp;VALUE(MID(D229,13,2))</f>
        <v>Sector 2</v>
      </c>
      <c r="O229" s="34" t="str">
        <f aca="false">IF(Dashboard!$C$5="Ubicación técnica",N229,"Sector "&amp;VALUE(RIGHT(G229,2)))</f>
        <v>Sector 2</v>
      </c>
      <c r="P229" s="34" t="str">
        <f aca="false">IF(MID(D229,15,3)="SEL","Subestación eléctrica","Área de proceso")</f>
        <v>Área de proceso</v>
      </c>
      <c r="Q229" s="34" t="str">
        <f aca="false">MID(D229,13,5)&amp;"|"&amp;MID(D229,19,5)</f>
        <v>02COR|SGASE</v>
      </c>
      <c r="R229" s="34" t="str">
        <f aca="false">IF(P229="Subestación eléctrica",IFERROR(INDEX(cat_SubN,MATCH(Q229,cat_SubK,0)),"SIN CATALOGAR"),"ÁREA DE PROCESO")</f>
        <v>ÁREA DE PROCESO</v>
      </c>
      <c r="S229" s="34" t="str">
        <f aca="false">IF(H229="","SIN DATO",IFERROR(INDEX(cat_MarcaN,MATCH(H229,cat_MarcaO,0)),H229))</f>
        <v>SEL</v>
      </c>
      <c r="T229" s="34" t="str">
        <f aca="false">IF(I229="","SIN DATO",IFERROR(INDEX(cat_ModN,MATCH(I229,cat_ModO,0)),I229))</f>
        <v>MEDICION</v>
      </c>
      <c r="U229" s="34" t="str">
        <f aca="false">IF(I229="","",IFERROR(INDEX(cat_ModG,MATCH(I229,cat_ModO,0)),"No"))</f>
        <v>Sí</v>
      </c>
      <c r="V229" s="34" t="str">
        <f aca="false">IF(J229="","SIN DATO",IFERROR(INDEX(cat_FunN,MATCH(J229,cat_FunO,0)),J229))</f>
        <v>Medición</v>
      </c>
      <c r="W229" s="34" t="str">
        <f aca="false">IF(OR(S229="SIN DATO",T229="SIN DATO"),"No","Sí")</f>
        <v>Sí</v>
      </c>
    </row>
    <row r="230" customFormat="false" ht="15" hidden="false" customHeight="false" outlineLevel="0" collapsed="false">
      <c r="A230" s="34" t="s">
        <v>1101</v>
      </c>
      <c r="B230" s="34" t="s">
        <v>1102</v>
      </c>
      <c r="C230" s="34" t="s">
        <v>1103</v>
      </c>
      <c r="D230" s="34" t="s">
        <v>807</v>
      </c>
      <c r="E230" s="34" t="s">
        <v>113</v>
      </c>
      <c r="F230" s="34" t="s">
        <v>675</v>
      </c>
      <c r="G230" s="34" t="s">
        <v>676</v>
      </c>
      <c r="H230" s="34" t="s">
        <v>34</v>
      </c>
      <c r="I230" s="34" t="s">
        <v>46</v>
      </c>
      <c r="J230" s="34" t="s">
        <v>228</v>
      </c>
      <c r="K230" s="34" t="s">
        <v>229</v>
      </c>
      <c r="L230" s="34" t="s">
        <v>230</v>
      </c>
      <c r="M230" s="34" t="s">
        <v>231</v>
      </c>
      <c r="N230" s="34" t="str">
        <f aca="false">"Sector "&amp;VALUE(MID(D230,13,2))</f>
        <v>Sector 2</v>
      </c>
      <c r="O230" s="34" t="str">
        <f aca="false">IF(Dashboard!$C$5="Ubicación técnica",N230,"Sector "&amp;VALUE(RIGHT(G230,2)))</f>
        <v>Sector 2</v>
      </c>
      <c r="P230" s="34" t="str">
        <f aca="false">IF(MID(D230,15,3)="SEL","Subestación eléctrica","Área de proceso")</f>
        <v>Área de proceso</v>
      </c>
      <c r="Q230" s="34" t="str">
        <f aca="false">MID(D230,13,5)&amp;"|"&amp;MID(D230,19,5)</f>
        <v>02COR|SGASE</v>
      </c>
      <c r="R230" s="34" t="str">
        <f aca="false">IF(P230="Subestación eléctrica",IFERROR(INDEX(cat_SubN,MATCH(Q230,cat_SubK,0)),"SIN CATALOGAR"),"ÁREA DE PROCESO")</f>
        <v>ÁREA DE PROCESO</v>
      </c>
      <c r="S230" s="34" t="str">
        <f aca="false">IF(H230="","SIN DATO",IFERROR(INDEX(cat_MarcaN,MATCH(H230,cat_MarcaO,0)),H230))</f>
        <v>ABB</v>
      </c>
      <c r="T230" s="34" t="str">
        <f aca="false">IF(I230="","SIN DATO",IFERROR(INDEX(cat_ModN,MATCH(I230,cat_ModO,0)),I230))</f>
        <v>1ATBBABBNEC5BNN11G</v>
      </c>
      <c r="U230" s="34" t="str">
        <f aca="false">IF(I230="","",IFERROR(INDEX(cat_ModG,MATCH(I230,cat_ModO,0)),"No"))</f>
        <v>No</v>
      </c>
      <c r="V230" s="34" t="str">
        <f aca="false">IF(J230="","SIN DATO",IFERROR(INDEX(cat_FunN,MATCH(J230,cat_FunO,0)),J230))</f>
        <v>Protección y medición</v>
      </c>
      <c r="W230" s="34" t="str">
        <f aca="false">IF(OR(S230="SIN DATO",T230="SIN DATO"),"No","Sí")</f>
        <v>Sí</v>
      </c>
    </row>
    <row r="231" customFormat="false" ht="15" hidden="false" customHeight="false" outlineLevel="0" collapsed="false">
      <c r="A231" s="34" t="s">
        <v>1104</v>
      </c>
      <c r="B231" s="34" t="s">
        <v>1105</v>
      </c>
      <c r="C231" s="34" t="s">
        <v>1106</v>
      </c>
      <c r="D231" s="34" t="s">
        <v>807</v>
      </c>
      <c r="E231" s="34" t="s">
        <v>113</v>
      </c>
      <c r="F231" s="34" t="s">
        <v>675</v>
      </c>
      <c r="G231" s="34" t="s">
        <v>676</v>
      </c>
      <c r="H231" s="34" t="s">
        <v>34</v>
      </c>
      <c r="I231" s="34" t="s">
        <v>36</v>
      </c>
      <c r="J231" s="34" t="s">
        <v>228</v>
      </c>
      <c r="K231" s="34" t="s">
        <v>229</v>
      </c>
      <c r="L231" s="34" t="s">
        <v>230</v>
      </c>
      <c r="M231" s="34" t="s">
        <v>231</v>
      </c>
      <c r="N231" s="34" t="str">
        <f aca="false">"Sector "&amp;VALUE(MID(D231,13,2))</f>
        <v>Sector 2</v>
      </c>
      <c r="O231" s="34" t="str">
        <f aca="false">IF(Dashboard!$C$5="Ubicación técnica",N231,"Sector "&amp;VALUE(RIGHT(G231,2)))</f>
        <v>Sector 2</v>
      </c>
      <c r="P231" s="34" t="str">
        <f aca="false">IF(MID(D231,15,3)="SEL","Subestación eléctrica","Área de proceso")</f>
        <v>Área de proceso</v>
      </c>
      <c r="Q231" s="34" t="str">
        <f aca="false">MID(D231,13,5)&amp;"|"&amp;MID(D231,19,5)</f>
        <v>02COR|SGASE</v>
      </c>
      <c r="R231" s="34" t="str">
        <f aca="false">IF(P231="Subestación eléctrica",IFERROR(INDEX(cat_SubN,MATCH(Q231,cat_SubK,0)),"SIN CATALOGAR"),"ÁREA DE PROCESO")</f>
        <v>ÁREA DE PROCESO</v>
      </c>
      <c r="S231" s="34" t="str">
        <f aca="false">IF(H231="","SIN DATO",IFERROR(INDEX(cat_MarcaN,MATCH(H231,cat_MarcaO,0)),H231))</f>
        <v>ABB</v>
      </c>
      <c r="T231" s="34" t="str">
        <f aca="false">IF(I231="","SIN DATO",IFERROR(INDEX(cat_ModN,MATCH(I231,cat_ModO,0)),I231))</f>
        <v>1AFFAEAGNEC5BNA11G</v>
      </c>
      <c r="U231" s="34" t="str">
        <f aca="false">IF(I231="","",IFERROR(INDEX(cat_ModG,MATCH(I231,cat_ModO,0)),"No"))</f>
        <v>No</v>
      </c>
      <c r="V231" s="34" t="str">
        <f aca="false">IF(J231="","SIN DATO",IFERROR(INDEX(cat_FunN,MATCH(J231,cat_FunO,0)),J231))</f>
        <v>Protección y medición</v>
      </c>
      <c r="W231" s="34" t="str">
        <f aca="false">IF(OR(S231="SIN DATO",T231="SIN DATO"),"No","Sí")</f>
        <v>Sí</v>
      </c>
    </row>
    <row r="232" customFormat="false" ht="15" hidden="false" customHeight="false" outlineLevel="0" collapsed="false">
      <c r="A232" s="34" t="s">
        <v>1107</v>
      </c>
      <c r="B232" s="34" t="s">
        <v>1108</v>
      </c>
      <c r="C232" s="34" t="s">
        <v>1109</v>
      </c>
      <c r="D232" s="34" t="s">
        <v>807</v>
      </c>
      <c r="E232" s="34" t="s">
        <v>113</v>
      </c>
      <c r="F232" s="34" t="s">
        <v>675</v>
      </c>
      <c r="G232" s="34" t="s">
        <v>676</v>
      </c>
      <c r="H232" s="34" t="s">
        <v>55</v>
      </c>
      <c r="I232" s="34" t="s">
        <v>58</v>
      </c>
      <c r="J232" s="34" t="s">
        <v>58</v>
      </c>
      <c r="K232" s="34" t="s">
        <v>229</v>
      </c>
      <c r="L232" s="34" t="s">
        <v>230</v>
      </c>
      <c r="M232" s="34" t="s">
        <v>344</v>
      </c>
      <c r="N232" s="34" t="str">
        <f aca="false">"Sector "&amp;VALUE(MID(D232,13,2))</f>
        <v>Sector 2</v>
      </c>
      <c r="O232" s="34" t="str">
        <f aca="false">IF(Dashboard!$C$5="Ubicación técnica",N232,"Sector "&amp;VALUE(RIGHT(G232,2)))</f>
        <v>Sector 2</v>
      </c>
      <c r="P232" s="34" t="str">
        <f aca="false">IF(MID(D232,15,3)="SEL","Subestación eléctrica","Área de proceso")</f>
        <v>Área de proceso</v>
      </c>
      <c r="Q232" s="34" t="str">
        <f aca="false">MID(D232,13,5)&amp;"|"&amp;MID(D232,19,5)</f>
        <v>02COR|SGASE</v>
      </c>
      <c r="R232" s="34" t="str">
        <f aca="false">IF(P232="Subestación eléctrica",IFERROR(INDEX(cat_SubN,MATCH(Q232,cat_SubK,0)),"SIN CATALOGAR"),"ÁREA DE PROCESO")</f>
        <v>ÁREA DE PROCESO</v>
      </c>
      <c r="S232" s="34" t="str">
        <f aca="false">IF(H232="","SIN DATO",IFERROR(INDEX(cat_MarcaN,MATCH(H232,cat_MarcaO,0)),H232))</f>
        <v>SEL</v>
      </c>
      <c r="T232" s="34" t="str">
        <f aca="false">IF(I232="","SIN DATO",IFERROR(INDEX(cat_ModN,MATCH(I232,cat_ModO,0)),I232))</f>
        <v>MEDICION</v>
      </c>
      <c r="U232" s="34" t="str">
        <f aca="false">IF(I232="","",IFERROR(INDEX(cat_ModG,MATCH(I232,cat_ModO,0)),"No"))</f>
        <v>Sí</v>
      </c>
      <c r="V232" s="34" t="str">
        <f aca="false">IF(J232="","SIN DATO",IFERROR(INDEX(cat_FunN,MATCH(J232,cat_FunO,0)),J232))</f>
        <v>Medición</v>
      </c>
      <c r="W232" s="34" t="str">
        <f aca="false">IF(OR(S232="SIN DATO",T232="SIN DATO"),"No","Sí")</f>
        <v>Sí</v>
      </c>
    </row>
    <row r="233" customFormat="false" ht="15" hidden="false" customHeight="false" outlineLevel="0" collapsed="false">
      <c r="A233" s="34" t="s">
        <v>1110</v>
      </c>
      <c r="B233" s="34" t="s">
        <v>1111</v>
      </c>
      <c r="C233" s="34" t="s">
        <v>1112</v>
      </c>
      <c r="D233" s="34" t="s">
        <v>1113</v>
      </c>
      <c r="E233" s="34" t="s">
        <v>113</v>
      </c>
      <c r="F233" s="34" t="s">
        <v>675</v>
      </c>
      <c r="G233" s="34" t="s">
        <v>676</v>
      </c>
      <c r="H233" s="34" t="s">
        <v>34</v>
      </c>
      <c r="I233" s="34" t="s">
        <v>36</v>
      </c>
      <c r="J233" s="34" t="s">
        <v>228</v>
      </c>
      <c r="K233" s="34" t="s">
        <v>229</v>
      </c>
      <c r="L233" s="34" t="s">
        <v>230</v>
      </c>
      <c r="M233" s="34" t="s">
        <v>231</v>
      </c>
      <c r="N233" s="34" t="str">
        <f aca="false">"Sector "&amp;VALUE(MID(D233,13,2))</f>
        <v>Sector 2</v>
      </c>
      <c r="O233" s="34" t="str">
        <f aca="false">IF(Dashboard!$C$5="Ubicación técnica",N233,"Sector "&amp;VALUE(RIGHT(G233,2)))</f>
        <v>Sector 2</v>
      </c>
      <c r="P233" s="34" t="str">
        <f aca="false">IF(MID(D233,15,3)="SEL","Subestación eléctrica","Área de proceso")</f>
        <v>Subestación eléctrica</v>
      </c>
      <c r="Q233" s="34" t="str">
        <f aca="false">MID(D233,13,5)&amp;"|"&amp;MID(D233,19,5)</f>
        <v>02SEL|S_015</v>
      </c>
      <c r="R233" s="34" t="str">
        <f aca="false">IF(P233="Subestación eléctrica",IFERROR(INDEX(cat_SubN,MATCH(Q233,cat_SubK,0)),"SIN CATALOGAR"),"ÁREA DE PROCESO")</f>
        <v>SE-15</v>
      </c>
      <c r="S233" s="34" t="str">
        <f aca="false">IF(H233="","SIN DATO",IFERROR(INDEX(cat_MarcaN,MATCH(H233,cat_MarcaO,0)),H233))</f>
        <v>ABB</v>
      </c>
      <c r="T233" s="34" t="str">
        <f aca="false">IF(I233="","SIN DATO",IFERROR(INDEX(cat_ModN,MATCH(I233,cat_ModO,0)),I233))</f>
        <v>1AFFAEAGNEC5BNA11G</v>
      </c>
      <c r="U233" s="34" t="str">
        <f aca="false">IF(I233="","",IFERROR(INDEX(cat_ModG,MATCH(I233,cat_ModO,0)),"No"))</f>
        <v>No</v>
      </c>
      <c r="V233" s="34" t="str">
        <f aca="false">IF(J233="","SIN DATO",IFERROR(INDEX(cat_FunN,MATCH(J233,cat_FunO,0)),J233))</f>
        <v>Protección y medición</v>
      </c>
      <c r="W233" s="34" t="str">
        <f aca="false">IF(OR(S233="SIN DATO",T233="SIN DATO"),"No","Sí")</f>
        <v>Sí</v>
      </c>
    </row>
    <row r="234" customFormat="false" ht="15" hidden="false" customHeight="false" outlineLevel="0" collapsed="false">
      <c r="A234" s="34" t="s">
        <v>1114</v>
      </c>
      <c r="B234" s="34" t="s">
        <v>1115</v>
      </c>
      <c r="C234" s="34" t="s">
        <v>1116</v>
      </c>
      <c r="D234" s="34" t="s">
        <v>1113</v>
      </c>
      <c r="E234" s="34" t="s">
        <v>113</v>
      </c>
      <c r="F234" s="34" t="s">
        <v>675</v>
      </c>
      <c r="G234" s="34" t="s">
        <v>676</v>
      </c>
      <c r="H234" s="34" t="s">
        <v>34</v>
      </c>
      <c r="I234" s="34" t="s">
        <v>46</v>
      </c>
      <c r="J234" s="34" t="s">
        <v>228</v>
      </c>
      <c r="K234" s="34" t="s">
        <v>229</v>
      </c>
      <c r="L234" s="34" t="s">
        <v>230</v>
      </c>
      <c r="M234" s="34" t="s">
        <v>231</v>
      </c>
      <c r="N234" s="34" t="str">
        <f aca="false">"Sector "&amp;VALUE(MID(D234,13,2))</f>
        <v>Sector 2</v>
      </c>
      <c r="O234" s="34" t="str">
        <f aca="false">IF(Dashboard!$C$5="Ubicación técnica",N234,"Sector "&amp;VALUE(RIGHT(G234,2)))</f>
        <v>Sector 2</v>
      </c>
      <c r="P234" s="34" t="str">
        <f aca="false">IF(MID(D234,15,3)="SEL","Subestación eléctrica","Área de proceso")</f>
        <v>Subestación eléctrica</v>
      </c>
      <c r="Q234" s="34" t="str">
        <f aca="false">MID(D234,13,5)&amp;"|"&amp;MID(D234,19,5)</f>
        <v>02SEL|S_015</v>
      </c>
      <c r="R234" s="34" t="str">
        <f aca="false">IF(P234="Subestación eléctrica",IFERROR(INDEX(cat_SubN,MATCH(Q234,cat_SubK,0)),"SIN CATALOGAR"),"ÁREA DE PROCESO")</f>
        <v>SE-15</v>
      </c>
      <c r="S234" s="34" t="str">
        <f aca="false">IF(H234="","SIN DATO",IFERROR(INDEX(cat_MarcaN,MATCH(H234,cat_MarcaO,0)),H234))</f>
        <v>ABB</v>
      </c>
      <c r="T234" s="34" t="str">
        <f aca="false">IF(I234="","SIN DATO",IFERROR(INDEX(cat_ModN,MATCH(I234,cat_ModO,0)),I234))</f>
        <v>1ATBBABBNEC5BNN11G</v>
      </c>
      <c r="U234" s="34" t="str">
        <f aca="false">IF(I234="","",IFERROR(INDEX(cat_ModG,MATCH(I234,cat_ModO,0)),"No"))</f>
        <v>No</v>
      </c>
      <c r="V234" s="34" t="str">
        <f aca="false">IF(J234="","SIN DATO",IFERROR(INDEX(cat_FunN,MATCH(J234,cat_FunO,0)),J234))</f>
        <v>Protección y medición</v>
      </c>
      <c r="W234" s="34" t="str">
        <f aca="false">IF(OR(S234="SIN DATO",T234="SIN DATO"),"No","Sí")</f>
        <v>Sí</v>
      </c>
    </row>
    <row r="235" customFormat="false" ht="15" hidden="false" customHeight="false" outlineLevel="0" collapsed="false">
      <c r="A235" s="34" t="s">
        <v>1117</v>
      </c>
      <c r="B235" s="34" t="s">
        <v>1118</v>
      </c>
      <c r="C235" s="34" t="s">
        <v>1119</v>
      </c>
      <c r="D235" s="34" t="s">
        <v>1056</v>
      </c>
      <c r="E235" s="34" t="s">
        <v>113</v>
      </c>
      <c r="F235" s="34" t="s">
        <v>675</v>
      </c>
      <c r="G235" s="34" t="s">
        <v>676</v>
      </c>
      <c r="H235" s="34" t="s">
        <v>34</v>
      </c>
      <c r="I235" s="34" t="s">
        <v>48</v>
      </c>
      <c r="J235" s="34" t="s">
        <v>228</v>
      </c>
      <c r="K235" s="34" t="s">
        <v>229</v>
      </c>
      <c r="L235" s="34" t="s">
        <v>230</v>
      </c>
      <c r="M235" s="34" t="s">
        <v>231</v>
      </c>
      <c r="N235" s="34" t="str">
        <f aca="false">"Sector "&amp;VALUE(MID(D235,13,2))</f>
        <v>Sector 2</v>
      </c>
      <c r="O235" s="34" t="str">
        <f aca="false">IF(Dashboard!$C$5="Ubicación técnica",N235,"Sector "&amp;VALUE(RIGHT(G235,2)))</f>
        <v>Sector 2</v>
      </c>
      <c r="P235" s="34" t="str">
        <f aca="false">IF(MID(D235,15,3)="SEL","Subestación eléctrica","Área de proceso")</f>
        <v>Subestación eléctrica</v>
      </c>
      <c r="Q235" s="34" t="str">
        <f aca="false">MID(D235,13,5)&amp;"|"&amp;MID(D235,19,5)</f>
        <v>02SEL|S_015</v>
      </c>
      <c r="R235" s="34" t="str">
        <f aca="false">IF(P235="Subestación eléctrica",IFERROR(INDEX(cat_SubN,MATCH(Q235,cat_SubK,0)),"SIN CATALOGAR"),"ÁREA DE PROCESO")</f>
        <v>SE-15</v>
      </c>
      <c r="S235" s="34" t="str">
        <f aca="false">IF(H235="","SIN DATO",IFERROR(INDEX(cat_MarcaN,MATCH(H235,cat_MarcaO,0)),H235))</f>
        <v>ABB</v>
      </c>
      <c r="T235" s="34" t="str">
        <f aca="false">IF(I235="","SIN DATO",IFERROR(INDEX(cat_ModN,MATCH(I235,cat_ModO,0)),I235))</f>
        <v>1AFNAEAGNEC5BNA11G</v>
      </c>
      <c r="U235" s="34" t="str">
        <f aca="false">IF(I235="","",IFERROR(INDEX(cat_ModG,MATCH(I235,cat_ModO,0)),"No"))</f>
        <v>No</v>
      </c>
      <c r="V235" s="34" t="str">
        <f aca="false">IF(J235="","SIN DATO",IFERROR(INDEX(cat_FunN,MATCH(J235,cat_FunO,0)),J235))</f>
        <v>Protección y medición</v>
      </c>
      <c r="W235" s="34" t="str">
        <f aca="false">IF(OR(S235="SIN DATO",T235="SIN DATO"),"No","Sí")</f>
        <v>Sí</v>
      </c>
    </row>
    <row r="236" customFormat="false" ht="15" hidden="false" customHeight="false" outlineLevel="0" collapsed="false">
      <c r="A236" s="34" t="s">
        <v>1120</v>
      </c>
      <c r="B236" s="34" t="s">
        <v>1121</v>
      </c>
      <c r="C236" s="34" t="s">
        <v>1122</v>
      </c>
      <c r="D236" s="34" t="s">
        <v>1056</v>
      </c>
      <c r="E236" s="34" t="s">
        <v>113</v>
      </c>
      <c r="F236" s="34" t="s">
        <v>675</v>
      </c>
      <c r="G236" s="34" t="s">
        <v>676</v>
      </c>
      <c r="H236" s="34" t="s">
        <v>34</v>
      </c>
      <c r="I236" s="34" t="s">
        <v>38</v>
      </c>
      <c r="J236" s="34" t="s">
        <v>228</v>
      </c>
      <c r="K236" s="34" t="s">
        <v>229</v>
      </c>
      <c r="L236" s="34" t="s">
        <v>230</v>
      </c>
      <c r="M236" s="34" t="s">
        <v>231</v>
      </c>
      <c r="N236" s="34" t="str">
        <f aca="false">"Sector "&amp;VALUE(MID(D236,13,2))</f>
        <v>Sector 2</v>
      </c>
      <c r="O236" s="34" t="str">
        <f aca="false">IF(Dashboard!$C$5="Ubicación técnica",N236,"Sector "&amp;VALUE(RIGHT(G236,2)))</f>
        <v>Sector 2</v>
      </c>
      <c r="P236" s="34" t="str">
        <f aca="false">IF(MID(D236,15,3)="SEL","Subestación eléctrica","Área de proceso")</f>
        <v>Subestación eléctrica</v>
      </c>
      <c r="Q236" s="34" t="str">
        <f aca="false">MID(D236,13,5)&amp;"|"&amp;MID(D236,19,5)</f>
        <v>02SEL|S_015</v>
      </c>
      <c r="R236" s="34" t="str">
        <f aca="false">IF(P236="Subestación eléctrica",IFERROR(INDEX(cat_SubN,MATCH(Q236,cat_SubK,0)),"SIN CATALOGAR"),"ÁREA DE PROCESO")</f>
        <v>SE-15</v>
      </c>
      <c r="S236" s="34" t="str">
        <f aca="false">IF(H236="","SIN DATO",IFERROR(INDEX(cat_MarcaN,MATCH(H236,cat_MarcaO,0)),H236))</f>
        <v>ABB</v>
      </c>
      <c r="T236" s="34" t="str">
        <f aca="false">IF(I236="","SIN DATO",IFERROR(INDEX(cat_ModN,MATCH(I236,cat_ModO,0)),I236))</f>
        <v>1AMEBCADNEC5BNN11G</v>
      </c>
      <c r="U236" s="34" t="str">
        <f aca="false">IF(I236="","",IFERROR(INDEX(cat_ModG,MATCH(I236,cat_ModO,0)),"No"))</f>
        <v>No</v>
      </c>
      <c r="V236" s="34" t="str">
        <f aca="false">IF(J236="","SIN DATO",IFERROR(INDEX(cat_FunN,MATCH(J236,cat_FunO,0)),J236))</f>
        <v>Protección y medición</v>
      </c>
      <c r="W236" s="34" t="str">
        <f aca="false">IF(OR(S236="SIN DATO",T236="SIN DATO"),"No","Sí")</f>
        <v>Sí</v>
      </c>
    </row>
    <row r="237" customFormat="false" ht="15" hidden="false" customHeight="false" outlineLevel="0" collapsed="false">
      <c r="A237" s="34" t="s">
        <v>1123</v>
      </c>
      <c r="B237" s="34" t="s">
        <v>1124</v>
      </c>
      <c r="C237" s="34" t="s">
        <v>1125</v>
      </c>
      <c r="D237" s="34" t="s">
        <v>1126</v>
      </c>
      <c r="E237" s="34" t="s">
        <v>113</v>
      </c>
      <c r="F237" s="34" t="s">
        <v>675</v>
      </c>
      <c r="G237" s="34" t="s">
        <v>676</v>
      </c>
      <c r="H237" s="34" t="s">
        <v>34</v>
      </c>
      <c r="I237" s="34" t="s">
        <v>36</v>
      </c>
      <c r="J237" s="34" t="s">
        <v>228</v>
      </c>
      <c r="K237" s="34" t="s">
        <v>229</v>
      </c>
      <c r="L237" s="34" t="s">
        <v>230</v>
      </c>
      <c r="M237" s="34" t="s">
        <v>231</v>
      </c>
      <c r="N237" s="34" t="str">
        <f aca="false">"Sector "&amp;VALUE(MID(D237,13,2))</f>
        <v>Sector 2</v>
      </c>
      <c r="O237" s="34" t="str">
        <f aca="false">IF(Dashboard!$C$5="Ubicación técnica",N237,"Sector "&amp;VALUE(RIGHT(G237,2)))</f>
        <v>Sector 2</v>
      </c>
      <c r="P237" s="34" t="str">
        <f aca="false">IF(MID(D237,15,3)="SEL","Subestación eléctrica","Área de proceso")</f>
        <v>Subestación eléctrica</v>
      </c>
      <c r="Q237" s="34" t="str">
        <f aca="false">MID(D237,13,5)&amp;"|"&amp;MID(D237,19,5)</f>
        <v>02SEL|S_015</v>
      </c>
      <c r="R237" s="34" t="str">
        <f aca="false">IF(P237="Subestación eléctrica",IFERROR(INDEX(cat_SubN,MATCH(Q237,cat_SubK,0)),"SIN CATALOGAR"),"ÁREA DE PROCESO")</f>
        <v>SE-15</v>
      </c>
      <c r="S237" s="34" t="str">
        <f aca="false">IF(H237="","SIN DATO",IFERROR(INDEX(cat_MarcaN,MATCH(H237,cat_MarcaO,0)),H237))</f>
        <v>ABB</v>
      </c>
      <c r="T237" s="34" t="str">
        <f aca="false">IF(I237="","SIN DATO",IFERROR(INDEX(cat_ModN,MATCH(I237,cat_ModO,0)),I237))</f>
        <v>1AFFAEAGNEC5BNA11G</v>
      </c>
      <c r="U237" s="34" t="str">
        <f aca="false">IF(I237="","",IFERROR(INDEX(cat_ModG,MATCH(I237,cat_ModO,0)),"No"))</f>
        <v>No</v>
      </c>
      <c r="V237" s="34" t="str">
        <f aca="false">IF(J237="","SIN DATO",IFERROR(INDEX(cat_FunN,MATCH(J237,cat_FunO,0)),J237))</f>
        <v>Protección y medición</v>
      </c>
      <c r="W237" s="34" t="str">
        <f aca="false">IF(OR(S237="SIN DATO",T237="SIN DATO"),"No","Sí")</f>
        <v>Sí</v>
      </c>
    </row>
    <row r="238" customFormat="false" ht="15" hidden="false" customHeight="false" outlineLevel="0" collapsed="false">
      <c r="A238" s="34" t="s">
        <v>1127</v>
      </c>
      <c r="B238" s="34" t="s">
        <v>1128</v>
      </c>
      <c r="C238" s="34" t="s">
        <v>1129</v>
      </c>
      <c r="D238" s="34" t="s">
        <v>1126</v>
      </c>
      <c r="E238" s="34" t="s">
        <v>113</v>
      </c>
      <c r="F238" s="34" t="s">
        <v>675</v>
      </c>
      <c r="G238" s="34" t="s">
        <v>676</v>
      </c>
      <c r="H238" s="34" t="s">
        <v>34</v>
      </c>
      <c r="I238" s="34" t="s">
        <v>38</v>
      </c>
      <c r="J238" s="34" t="s">
        <v>228</v>
      </c>
      <c r="K238" s="34" t="s">
        <v>229</v>
      </c>
      <c r="L238" s="34" t="s">
        <v>230</v>
      </c>
      <c r="M238" s="34" t="s">
        <v>231</v>
      </c>
      <c r="N238" s="34" t="str">
        <f aca="false">"Sector "&amp;VALUE(MID(D238,13,2))</f>
        <v>Sector 2</v>
      </c>
      <c r="O238" s="34" t="str">
        <f aca="false">IF(Dashboard!$C$5="Ubicación técnica",N238,"Sector "&amp;VALUE(RIGHT(G238,2)))</f>
        <v>Sector 2</v>
      </c>
      <c r="P238" s="34" t="str">
        <f aca="false">IF(MID(D238,15,3)="SEL","Subestación eléctrica","Área de proceso")</f>
        <v>Subestación eléctrica</v>
      </c>
      <c r="Q238" s="34" t="str">
        <f aca="false">MID(D238,13,5)&amp;"|"&amp;MID(D238,19,5)</f>
        <v>02SEL|S_015</v>
      </c>
      <c r="R238" s="34" t="str">
        <f aca="false">IF(P238="Subestación eléctrica",IFERROR(INDEX(cat_SubN,MATCH(Q238,cat_SubK,0)),"SIN CATALOGAR"),"ÁREA DE PROCESO")</f>
        <v>SE-15</v>
      </c>
      <c r="S238" s="34" t="str">
        <f aca="false">IF(H238="","SIN DATO",IFERROR(INDEX(cat_MarcaN,MATCH(H238,cat_MarcaO,0)),H238))</f>
        <v>ABB</v>
      </c>
      <c r="T238" s="34" t="str">
        <f aca="false">IF(I238="","SIN DATO",IFERROR(INDEX(cat_ModN,MATCH(I238,cat_ModO,0)),I238))</f>
        <v>1AMEBCADNEC5BNN11G</v>
      </c>
      <c r="U238" s="34" t="str">
        <f aca="false">IF(I238="","",IFERROR(INDEX(cat_ModG,MATCH(I238,cat_ModO,0)),"No"))</f>
        <v>No</v>
      </c>
      <c r="V238" s="34" t="str">
        <f aca="false">IF(J238="","SIN DATO",IFERROR(INDEX(cat_FunN,MATCH(J238,cat_FunO,0)),J238))</f>
        <v>Protección y medición</v>
      </c>
      <c r="W238" s="34" t="str">
        <f aca="false">IF(OR(S238="SIN DATO",T238="SIN DATO"),"No","Sí")</f>
        <v>Sí</v>
      </c>
    </row>
    <row r="239" customFormat="false" ht="15" hidden="false" customHeight="false" outlineLevel="0" collapsed="false">
      <c r="A239" s="34" t="s">
        <v>1130</v>
      </c>
      <c r="B239" s="34" t="s">
        <v>1131</v>
      </c>
      <c r="C239" s="34" t="s">
        <v>1132</v>
      </c>
      <c r="D239" s="34" t="s">
        <v>1126</v>
      </c>
      <c r="E239" s="34" t="s">
        <v>113</v>
      </c>
      <c r="F239" s="34" t="s">
        <v>675</v>
      </c>
      <c r="G239" s="34" t="s">
        <v>676</v>
      </c>
      <c r="H239" s="34" t="s">
        <v>55</v>
      </c>
      <c r="I239" s="34" t="s">
        <v>58</v>
      </c>
      <c r="J239" s="34" t="s">
        <v>58</v>
      </c>
      <c r="K239" s="34" t="s">
        <v>229</v>
      </c>
      <c r="L239" s="34" t="s">
        <v>230</v>
      </c>
      <c r="M239" s="34" t="s">
        <v>344</v>
      </c>
      <c r="N239" s="34" t="str">
        <f aca="false">"Sector "&amp;VALUE(MID(D239,13,2))</f>
        <v>Sector 2</v>
      </c>
      <c r="O239" s="34" t="str">
        <f aca="false">IF(Dashboard!$C$5="Ubicación técnica",N239,"Sector "&amp;VALUE(RIGHT(G239,2)))</f>
        <v>Sector 2</v>
      </c>
      <c r="P239" s="34" t="str">
        <f aca="false">IF(MID(D239,15,3)="SEL","Subestación eléctrica","Área de proceso")</f>
        <v>Subestación eléctrica</v>
      </c>
      <c r="Q239" s="34" t="str">
        <f aca="false">MID(D239,13,5)&amp;"|"&amp;MID(D239,19,5)</f>
        <v>02SEL|S_015</v>
      </c>
      <c r="R239" s="34" t="str">
        <f aca="false">IF(P239="Subestación eléctrica",IFERROR(INDEX(cat_SubN,MATCH(Q239,cat_SubK,0)),"SIN CATALOGAR"),"ÁREA DE PROCESO")</f>
        <v>SE-15</v>
      </c>
      <c r="S239" s="34" t="str">
        <f aca="false">IF(H239="","SIN DATO",IFERROR(INDEX(cat_MarcaN,MATCH(H239,cat_MarcaO,0)),H239))</f>
        <v>SEL</v>
      </c>
      <c r="T239" s="34" t="str">
        <f aca="false">IF(I239="","SIN DATO",IFERROR(INDEX(cat_ModN,MATCH(I239,cat_ModO,0)),I239))</f>
        <v>MEDICION</v>
      </c>
      <c r="U239" s="34" t="str">
        <f aca="false">IF(I239="","",IFERROR(INDEX(cat_ModG,MATCH(I239,cat_ModO,0)),"No"))</f>
        <v>Sí</v>
      </c>
      <c r="V239" s="34" t="str">
        <f aca="false">IF(J239="","SIN DATO",IFERROR(INDEX(cat_FunN,MATCH(J239,cat_FunO,0)),J239))</f>
        <v>Medición</v>
      </c>
      <c r="W239" s="34" t="str">
        <f aca="false">IF(OR(S239="SIN DATO",T239="SIN DATO"),"No","Sí")</f>
        <v>Sí</v>
      </c>
    </row>
    <row r="240" customFormat="false" ht="15" hidden="false" customHeight="false" outlineLevel="0" collapsed="false">
      <c r="A240" s="34" t="s">
        <v>1133</v>
      </c>
      <c r="B240" s="34" t="s">
        <v>1134</v>
      </c>
      <c r="C240" s="34" t="s">
        <v>1135</v>
      </c>
      <c r="D240" s="34" t="s">
        <v>1136</v>
      </c>
      <c r="E240" s="34" t="s">
        <v>113</v>
      </c>
      <c r="F240" s="34" t="s">
        <v>675</v>
      </c>
      <c r="G240" s="34" t="s">
        <v>676</v>
      </c>
      <c r="H240" s="34" t="s">
        <v>34</v>
      </c>
      <c r="I240" s="34" t="s">
        <v>51</v>
      </c>
      <c r="J240" s="34" t="s">
        <v>681</v>
      </c>
      <c r="K240" s="34" t="s">
        <v>229</v>
      </c>
      <c r="L240" s="34" t="s">
        <v>230</v>
      </c>
      <c r="M240" s="34" t="s">
        <v>682</v>
      </c>
      <c r="N240" s="34" t="str">
        <f aca="false">"Sector "&amp;VALUE(MID(D240,13,2))</f>
        <v>Sector 2</v>
      </c>
      <c r="O240" s="34" t="str">
        <f aca="false">IF(Dashboard!$C$5="Ubicación técnica",N240,"Sector "&amp;VALUE(RIGHT(G240,2)))</f>
        <v>Sector 2</v>
      </c>
      <c r="P240" s="34" t="str">
        <f aca="false">IF(MID(D240,15,3)="SEL","Subestación eléctrica","Área de proceso")</f>
        <v>Subestación eléctrica</v>
      </c>
      <c r="Q240" s="34" t="str">
        <f aca="false">MID(D240,13,5)&amp;"|"&amp;MID(D240,19,5)</f>
        <v>02SEL|S_015</v>
      </c>
      <c r="R240" s="34" t="str">
        <f aca="false">IF(P240="Subestación eléctrica",IFERROR(INDEX(cat_SubN,MATCH(Q240,cat_SubK,0)),"SIN CATALOGAR"),"ÁREA DE PROCESO")</f>
        <v>SE-15</v>
      </c>
      <c r="S240" s="34" t="str">
        <f aca="false">IF(H240="","SIN DATO",IFERROR(INDEX(cat_MarcaN,MATCH(H240,cat_MarcaO,0)),H240))</f>
        <v>ABB</v>
      </c>
      <c r="T240" s="34" t="str">
        <f aca="false">IF(I240="","SIN DATO",IFERROR(INDEX(cat_ModN,MATCH(I240,cat_ModO,0)),I240))</f>
        <v>PROTECCION ARCO</v>
      </c>
      <c r="U240" s="34" t="str">
        <f aca="false">IF(I240="","",IFERROR(INDEX(cat_ModG,MATCH(I240,cat_ModO,0)),"No"))</f>
        <v>Sí</v>
      </c>
      <c r="V240" s="34" t="str">
        <f aca="false">IF(J240="","SIN DATO",IFERROR(INDEX(cat_FunN,MATCH(J240,cat_FunO,0)),J240))</f>
        <v>Protección</v>
      </c>
      <c r="W240" s="34" t="str">
        <f aca="false">IF(OR(S240="SIN DATO",T240="SIN DATO"),"No","Sí")</f>
        <v>Sí</v>
      </c>
    </row>
    <row r="241" customFormat="false" ht="15" hidden="false" customHeight="false" outlineLevel="0" collapsed="false">
      <c r="A241" s="34" t="s">
        <v>1137</v>
      </c>
      <c r="B241" s="34" t="s">
        <v>1138</v>
      </c>
      <c r="C241" s="34" t="s">
        <v>1139</v>
      </c>
      <c r="D241" s="34" t="s">
        <v>1140</v>
      </c>
      <c r="E241" s="34" t="s">
        <v>113</v>
      </c>
      <c r="F241" s="34" t="s">
        <v>675</v>
      </c>
      <c r="G241" s="34" t="s">
        <v>676</v>
      </c>
      <c r="H241" s="34" t="s">
        <v>34</v>
      </c>
      <c r="I241" s="34" t="s">
        <v>51</v>
      </c>
      <c r="J241" s="34" t="s">
        <v>681</v>
      </c>
      <c r="K241" s="34" t="s">
        <v>229</v>
      </c>
      <c r="L241" s="34" t="s">
        <v>230</v>
      </c>
      <c r="M241" s="34" t="s">
        <v>682</v>
      </c>
      <c r="N241" s="34" t="str">
        <f aca="false">"Sector "&amp;VALUE(MID(D241,13,2))</f>
        <v>Sector 2</v>
      </c>
      <c r="O241" s="34" t="str">
        <f aca="false">IF(Dashboard!$C$5="Ubicación técnica",N241,"Sector "&amp;VALUE(RIGHT(G241,2)))</f>
        <v>Sector 2</v>
      </c>
      <c r="P241" s="34" t="str">
        <f aca="false">IF(MID(D241,15,3)="SEL","Subestación eléctrica","Área de proceso")</f>
        <v>Subestación eléctrica</v>
      </c>
      <c r="Q241" s="34" t="str">
        <f aca="false">MID(D241,13,5)&amp;"|"&amp;MID(D241,19,5)</f>
        <v>02SEL|S_015</v>
      </c>
      <c r="R241" s="34" t="str">
        <f aca="false">IF(P241="Subestación eléctrica",IFERROR(INDEX(cat_SubN,MATCH(Q241,cat_SubK,0)),"SIN CATALOGAR"),"ÁREA DE PROCESO")</f>
        <v>SE-15</v>
      </c>
      <c r="S241" s="34" t="str">
        <f aca="false">IF(H241="","SIN DATO",IFERROR(INDEX(cat_MarcaN,MATCH(H241,cat_MarcaO,0)),H241))</f>
        <v>ABB</v>
      </c>
      <c r="T241" s="34" t="str">
        <f aca="false">IF(I241="","SIN DATO",IFERROR(INDEX(cat_ModN,MATCH(I241,cat_ModO,0)),I241))</f>
        <v>PROTECCION ARCO</v>
      </c>
      <c r="U241" s="34" t="str">
        <f aca="false">IF(I241="","",IFERROR(INDEX(cat_ModG,MATCH(I241,cat_ModO,0)),"No"))</f>
        <v>Sí</v>
      </c>
      <c r="V241" s="34" t="str">
        <f aca="false">IF(J241="","SIN DATO",IFERROR(INDEX(cat_FunN,MATCH(J241,cat_FunO,0)),J241))</f>
        <v>Protección</v>
      </c>
      <c r="W241" s="34" t="str">
        <f aca="false">IF(OR(S241="SIN DATO",T241="SIN DATO"),"No","Sí")</f>
        <v>Sí</v>
      </c>
    </row>
    <row r="242" customFormat="false" ht="15" hidden="false" customHeight="false" outlineLevel="0" collapsed="false">
      <c r="A242" s="34" t="s">
        <v>1141</v>
      </c>
      <c r="B242" s="34" t="s">
        <v>1142</v>
      </c>
      <c r="C242" s="34" t="s">
        <v>1143</v>
      </c>
      <c r="D242" s="34" t="s">
        <v>1140</v>
      </c>
      <c r="E242" s="34" t="s">
        <v>113</v>
      </c>
      <c r="F242" s="34" t="s">
        <v>675</v>
      </c>
      <c r="G242" s="34" t="s">
        <v>676</v>
      </c>
      <c r="H242" s="34" t="s">
        <v>34</v>
      </c>
      <c r="I242" s="34" t="s">
        <v>38</v>
      </c>
      <c r="J242" s="34" t="s">
        <v>228</v>
      </c>
      <c r="K242" s="34" t="s">
        <v>229</v>
      </c>
      <c r="L242" s="34" t="s">
        <v>230</v>
      </c>
      <c r="M242" s="34" t="s">
        <v>231</v>
      </c>
      <c r="N242" s="34" t="str">
        <f aca="false">"Sector "&amp;VALUE(MID(D242,13,2))</f>
        <v>Sector 2</v>
      </c>
      <c r="O242" s="34" t="str">
        <f aca="false">IF(Dashboard!$C$5="Ubicación técnica",N242,"Sector "&amp;VALUE(RIGHT(G242,2)))</f>
        <v>Sector 2</v>
      </c>
      <c r="P242" s="34" t="str">
        <f aca="false">IF(MID(D242,15,3)="SEL","Subestación eléctrica","Área de proceso")</f>
        <v>Subestación eléctrica</v>
      </c>
      <c r="Q242" s="34" t="str">
        <f aca="false">MID(D242,13,5)&amp;"|"&amp;MID(D242,19,5)</f>
        <v>02SEL|S_015</v>
      </c>
      <c r="R242" s="34" t="str">
        <f aca="false">IF(P242="Subestación eléctrica",IFERROR(INDEX(cat_SubN,MATCH(Q242,cat_SubK,0)),"SIN CATALOGAR"),"ÁREA DE PROCESO")</f>
        <v>SE-15</v>
      </c>
      <c r="S242" s="34" t="str">
        <f aca="false">IF(H242="","SIN DATO",IFERROR(INDEX(cat_MarcaN,MATCH(H242,cat_MarcaO,0)),H242))</f>
        <v>ABB</v>
      </c>
      <c r="T242" s="34" t="str">
        <f aca="false">IF(I242="","SIN DATO",IFERROR(INDEX(cat_ModN,MATCH(I242,cat_ModO,0)),I242))</f>
        <v>1AMEBCADNEC5BNN11G</v>
      </c>
      <c r="U242" s="34" t="str">
        <f aca="false">IF(I242="","",IFERROR(INDEX(cat_ModG,MATCH(I242,cat_ModO,0)),"No"))</f>
        <v>No</v>
      </c>
      <c r="V242" s="34" t="str">
        <f aca="false">IF(J242="","SIN DATO",IFERROR(INDEX(cat_FunN,MATCH(J242,cat_FunO,0)),J242))</f>
        <v>Protección y medición</v>
      </c>
      <c r="W242" s="34" t="str">
        <f aca="false">IF(OR(S242="SIN DATO",T242="SIN DATO"),"No","Sí")</f>
        <v>Sí</v>
      </c>
    </row>
    <row r="243" customFormat="false" ht="15" hidden="false" customHeight="false" outlineLevel="0" collapsed="false">
      <c r="A243" s="34" t="s">
        <v>1144</v>
      </c>
      <c r="B243" s="34" t="s">
        <v>1145</v>
      </c>
      <c r="C243" s="34" t="s">
        <v>1146</v>
      </c>
      <c r="D243" s="34" t="s">
        <v>1147</v>
      </c>
      <c r="E243" s="34" t="s">
        <v>113</v>
      </c>
      <c r="F243" s="34" t="s">
        <v>675</v>
      </c>
      <c r="G243" s="34" t="s">
        <v>676</v>
      </c>
      <c r="H243" s="34" t="s">
        <v>34</v>
      </c>
      <c r="I243" s="34" t="s">
        <v>38</v>
      </c>
      <c r="J243" s="34" t="s">
        <v>228</v>
      </c>
      <c r="K243" s="34" t="s">
        <v>229</v>
      </c>
      <c r="L243" s="34" t="s">
        <v>230</v>
      </c>
      <c r="M243" s="34" t="s">
        <v>231</v>
      </c>
      <c r="N243" s="34" t="str">
        <f aca="false">"Sector "&amp;VALUE(MID(D243,13,2))</f>
        <v>Sector 2</v>
      </c>
      <c r="O243" s="34" t="str">
        <f aca="false">IF(Dashboard!$C$5="Ubicación técnica",N243,"Sector "&amp;VALUE(RIGHT(G243,2)))</f>
        <v>Sector 2</v>
      </c>
      <c r="P243" s="34" t="str">
        <f aca="false">IF(MID(D243,15,3)="SEL","Subestación eléctrica","Área de proceso")</f>
        <v>Área de proceso</v>
      </c>
      <c r="Q243" s="34" t="str">
        <f aca="false">MID(D243,13,5)&amp;"|"&amp;MID(D243,19,5)</f>
        <v>02COR|SFRAC</v>
      </c>
      <c r="R243" s="34" t="str">
        <f aca="false">IF(P243="Subestación eléctrica",IFERROR(INDEX(cat_SubN,MATCH(Q243,cat_SubK,0)),"SIN CATALOGAR"),"ÁREA DE PROCESO")</f>
        <v>ÁREA DE PROCESO</v>
      </c>
      <c r="S243" s="34" t="str">
        <f aca="false">IF(H243="","SIN DATO",IFERROR(INDEX(cat_MarcaN,MATCH(H243,cat_MarcaO,0)),H243))</f>
        <v>ABB</v>
      </c>
      <c r="T243" s="34" t="str">
        <f aca="false">IF(I243="","SIN DATO",IFERROR(INDEX(cat_ModN,MATCH(I243,cat_ModO,0)),I243))</f>
        <v>1AMEBCADNEC5BNN11G</v>
      </c>
      <c r="U243" s="34" t="str">
        <f aca="false">IF(I243="","",IFERROR(INDEX(cat_ModG,MATCH(I243,cat_ModO,0)),"No"))</f>
        <v>No</v>
      </c>
      <c r="V243" s="34" t="str">
        <f aca="false">IF(J243="","SIN DATO",IFERROR(INDEX(cat_FunN,MATCH(J243,cat_FunO,0)),J243))</f>
        <v>Protección y medición</v>
      </c>
      <c r="W243" s="34" t="str">
        <f aca="false">IF(OR(S243="SIN DATO",T243="SIN DATO"),"No","Sí")</f>
        <v>Sí</v>
      </c>
    </row>
    <row r="244" customFormat="false" ht="15" hidden="false" customHeight="false" outlineLevel="0" collapsed="false">
      <c r="A244" s="34" t="s">
        <v>1148</v>
      </c>
      <c r="B244" s="34" t="s">
        <v>1149</v>
      </c>
      <c r="C244" s="34" t="s">
        <v>1150</v>
      </c>
      <c r="D244" s="34" t="s">
        <v>1151</v>
      </c>
      <c r="E244" s="34" t="s">
        <v>113</v>
      </c>
      <c r="F244" s="34" t="s">
        <v>675</v>
      </c>
      <c r="G244" s="34" t="s">
        <v>676</v>
      </c>
      <c r="H244" s="34" t="s">
        <v>34</v>
      </c>
      <c r="I244" s="34" t="s">
        <v>36</v>
      </c>
      <c r="J244" s="34" t="s">
        <v>228</v>
      </c>
      <c r="K244" s="34" t="s">
        <v>229</v>
      </c>
      <c r="L244" s="34" t="s">
        <v>230</v>
      </c>
      <c r="M244" s="34" t="s">
        <v>231</v>
      </c>
      <c r="N244" s="34" t="str">
        <f aca="false">"Sector "&amp;VALUE(MID(D244,13,2))</f>
        <v>Sector 2</v>
      </c>
      <c r="O244" s="34" t="str">
        <f aca="false">IF(Dashboard!$C$5="Ubicación técnica",N244,"Sector "&amp;VALUE(RIGHT(G244,2)))</f>
        <v>Sector 2</v>
      </c>
      <c r="P244" s="34" t="str">
        <f aca="false">IF(MID(D244,15,3)="SEL","Subestación eléctrica","Área de proceso")</f>
        <v>Área de proceso</v>
      </c>
      <c r="Q244" s="34" t="str">
        <f aca="false">MID(D244,13,5)&amp;"|"&amp;MID(D244,19,5)</f>
        <v>02COR|STRAM</v>
      </c>
      <c r="R244" s="34" t="str">
        <f aca="false">IF(P244="Subestación eléctrica",IFERROR(INDEX(cat_SubN,MATCH(Q244,cat_SubK,0)),"SIN CATALOGAR"),"ÁREA DE PROCESO")</f>
        <v>ÁREA DE PROCESO</v>
      </c>
      <c r="S244" s="34" t="str">
        <f aca="false">IF(H244="","SIN DATO",IFERROR(INDEX(cat_MarcaN,MATCH(H244,cat_MarcaO,0)),H244))</f>
        <v>ABB</v>
      </c>
      <c r="T244" s="34" t="str">
        <f aca="false">IF(I244="","SIN DATO",IFERROR(INDEX(cat_ModN,MATCH(I244,cat_ModO,0)),I244))</f>
        <v>1AFFAEAGNEC5BNA11G</v>
      </c>
      <c r="U244" s="34" t="str">
        <f aca="false">IF(I244="","",IFERROR(INDEX(cat_ModG,MATCH(I244,cat_ModO,0)),"No"))</f>
        <v>No</v>
      </c>
      <c r="V244" s="34" t="str">
        <f aca="false">IF(J244="","SIN DATO",IFERROR(INDEX(cat_FunN,MATCH(J244,cat_FunO,0)),J244))</f>
        <v>Protección y medición</v>
      </c>
      <c r="W244" s="34" t="str">
        <f aca="false">IF(OR(S244="SIN DATO",T244="SIN DATO"),"No","Sí")</f>
        <v>Sí</v>
      </c>
    </row>
    <row r="245" customFormat="false" ht="15" hidden="false" customHeight="false" outlineLevel="0" collapsed="false">
      <c r="A245" s="34" t="s">
        <v>1152</v>
      </c>
      <c r="B245" s="34" t="s">
        <v>1153</v>
      </c>
      <c r="C245" s="34" t="s">
        <v>1154</v>
      </c>
      <c r="D245" s="34" t="s">
        <v>1155</v>
      </c>
      <c r="E245" s="34" t="s">
        <v>113</v>
      </c>
      <c r="F245" s="34" t="s">
        <v>675</v>
      </c>
      <c r="G245" s="34" t="s">
        <v>676</v>
      </c>
      <c r="H245" s="34" t="s">
        <v>34</v>
      </c>
      <c r="I245" s="34" t="s">
        <v>36</v>
      </c>
      <c r="J245" s="34" t="s">
        <v>228</v>
      </c>
      <c r="K245" s="34" t="s">
        <v>229</v>
      </c>
      <c r="L245" s="34" t="s">
        <v>230</v>
      </c>
      <c r="M245" s="34" t="s">
        <v>231</v>
      </c>
      <c r="N245" s="34" t="str">
        <f aca="false">"Sector "&amp;VALUE(MID(D245,13,2))</f>
        <v>Sector 2</v>
      </c>
      <c r="O245" s="34" t="str">
        <f aca="false">IF(Dashboard!$C$5="Ubicación técnica",N245,"Sector "&amp;VALUE(RIGHT(G245,2)))</f>
        <v>Sector 2</v>
      </c>
      <c r="P245" s="34" t="str">
        <f aca="false">IF(MID(D245,15,3)="SEL","Subestación eléctrica","Área de proceso")</f>
        <v>Área de proceso</v>
      </c>
      <c r="Q245" s="34" t="str">
        <f aca="false">MID(D245,13,5)&amp;"|"&amp;MID(D245,19,5)</f>
        <v>02COR|SGASE</v>
      </c>
      <c r="R245" s="34" t="str">
        <f aca="false">IF(P245="Subestación eléctrica",IFERROR(INDEX(cat_SubN,MATCH(Q245,cat_SubK,0)),"SIN CATALOGAR"),"ÁREA DE PROCESO")</f>
        <v>ÁREA DE PROCESO</v>
      </c>
      <c r="S245" s="34" t="str">
        <f aca="false">IF(H245="","SIN DATO",IFERROR(INDEX(cat_MarcaN,MATCH(H245,cat_MarcaO,0)),H245))</f>
        <v>ABB</v>
      </c>
      <c r="T245" s="34" t="str">
        <f aca="false">IF(I245="","SIN DATO",IFERROR(INDEX(cat_ModN,MATCH(I245,cat_ModO,0)),I245))</f>
        <v>1AFFAEAGNEC5BNA11G</v>
      </c>
      <c r="U245" s="34" t="str">
        <f aca="false">IF(I245="","",IFERROR(INDEX(cat_ModG,MATCH(I245,cat_ModO,0)),"No"))</f>
        <v>No</v>
      </c>
      <c r="V245" s="34" t="str">
        <f aca="false">IF(J245="","SIN DATO",IFERROR(INDEX(cat_FunN,MATCH(J245,cat_FunO,0)),J245))</f>
        <v>Protección y medición</v>
      </c>
      <c r="W245" s="34" t="str">
        <f aca="false">IF(OR(S245="SIN DATO",T245="SIN DATO"),"No","Sí")</f>
        <v>Sí</v>
      </c>
    </row>
    <row r="246" customFormat="false" ht="15" hidden="false" customHeight="false" outlineLevel="0" collapsed="false">
      <c r="A246" s="34" t="s">
        <v>1156</v>
      </c>
      <c r="B246" s="34" t="s">
        <v>1157</v>
      </c>
      <c r="C246" s="34" t="s">
        <v>1158</v>
      </c>
      <c r="D246" s="34" t="s">
        <v>1159</v>
      </c>
      <c r="E246" s="34" t="s">
        <v>113</v>
      </c>
      <c r="F246" s="34" t="s">
        <v>675</v>
      </c>
      <c r="G246" s="34" t="s">
        <v>676</v>
      </c>
      <c r="H246" s="34" t="s">
        <v>34</v>
      </c>
      <c r="I246" s="34" t="s">
        <v>48</v>
      </c>
      <c r="J246" s="34" t="s">
        <v>228</v>
      </c>
      <c r="K246" s="34" t="s">
        <v>229</v>
      </c>
      <c r="L246" s="34" t="s">
        <v>230</v>
      </c>
      <c r="M246" s="34" t="s">
        <v>231</v>
      </c>
      <c r="N246" s="34" t="str">
        <f aca="false">"Sector "&amp;VALUE(MID(D246,13,2))</f>
        <v>Sector 2</v>
      </c>
      <c r="O246" s="34" t="str">
        <f aca="false">IF(Dashboard!$C$5="Ubicación técnica",N246,"Sector "&amp;VALUE(RIGHT(G246,2)))</f>
        <v>Sector 2</v>
      </c>
      <c r="P246" s="34" t="str">
        <f aca="false">IF(MID(D246,15,3)="SEL","Subestación eléctrica","Área de proceso")</f>
        <v>Área de proceso</v>
      </c>
      <c r="Q246" s="34" t="str">
        <f aca="false">MID(D246,13,5)&amp;"|"&amp;MID(D246,19,5)</f>
        <v>02COR|SFRAC</v>
      </c>
      <c r="R246" s="34" t="str">
        <f aca="false">IF(P246="Subestación eléctrica",IFERROR(INDEX(cat_SubN,MATCH(Q246,cat_SubK,0)),"SIN CATALOGAR"),"ÁREA DE PROCESO")</f>
        <v>ÁREA DE PROCESO</v>
      </c>
      <c r="S246" s="34" t="str">
        <f aca="false">IF(H246="","SIN DATO",IFERROR(INDEX(cat_MarcaN,MATCH(H246,cat_MarcaO,0)),H246))</f>
        <v>ABB</v>
      </c>
      <c r="T246" s="34" t="str">
        <f aca="false">IF(I246="","SIN DATO",IFERROR(INDEX(cat_ModN,MATCH(I246,cat_ModO,0)),I246))</f>
        <v>1AFNAEAGNEC5BNA11G</v>
      </c>
      <c r="U246" s="34" t="str">
        <f aca="false">IF(I246="","",IFERROR(INDEX(cat_ModG,MATCH(I246,cat_ModO,0)),"No"))</f>
        <v>No</v>
      </c>
      <c r="V246" s="34" t="str">
        <f aca="false">IF(J246="","SIN DATO",IFERROR(INDEX(cat_FunN,MATCH(J246,cat_FunO,0)),J246))</f>
        <v>Protección y medición</v>
      </c>
      <c r="W246" s="34" t="str">
        <f aca="false">IF(OR(S246="SIN DATO",T246="SIN DATO"),"No","Sí")</f>
        <v>Sí</v>
      </c>
    </row>
    <row r="247" customFormat="false" ht="15" hidden="false" customHeight="false" outlineLevel="0" collapsed="false">
      <c r="A247" s="34" t="s">
        <v>1160</v>
      </c>
      <c r="B247" s="34" t="s">
        <v>1161</v>
      </c>
      <c r="C247" s="34" t="s">
        <v>1162</v>
      </c>
      <c r="D247" s="34" t="s">
        <v>1163</v>
      </c>
      <c r="E247" s="34" t="s">
        <v>113</v>
      </c>
      <c r="F247" s="34" t="s">
        <v>675</v>
      </c>
      <c r="G247" s="34" t="s">
        <v>676</v>
      </c>
      <c r="H247" s="34" t="s">
        <v>34</v>
      </c>
      <c r="I247" s="34" t="s">
        <v>38</v>
      </c>
      <c r="J247" s="34" t="s">
        <v>228</v>
      </c>
      <c r="K247" s="34" t="s">
        <v>229</v>
      </c>
      <c r="L247" s="34" t="s">
        <v>230</v>
      </c>
      <c r="M247" s="34" t="s">
        <v>231</v>
      </c>
      <c r="N247" s="34" t="str">
        <f aca="false">"Sector "&amp;VALUE(MID(D247,13,2))</f>
        <v>Sector 2</v>
      </c>
      <c r="O247" s="34" t="str">
        <f aca="false">IF(Dashboard!$C$5="Ubicación técnica",N247,"Sector "&amp;VALUE(RIGHT(G247,2)))</f>
        <v>Sector 2</v>
      </c>
      <c r="P247" s="34" t="str">
        <f aca="false">IF(MID(D247,15,3)="SEL","Subestación eléctrica","Área de proceso")</f>
        <v>Área de proceso</v>
      </c>
      <c r="Q247" s="34" t="str">
        <f aca="false">MID(D247,13,5)&amp;"|"&amp;MID(D247,19,5)</f>
        <v>02COR|SFRAC</v>
      </c>
      <c r="R247" s="34" t="str">
        <f aca="false">IF(P247="Subestación eléctrica",IFERROR(INDEX(cat_SubN,MATCH(Q247,cat_SubK,0)),"SIN CATALOGAR"),"ÁREA DE PROCESO")</f>
        <v>ÁREA DE PROCESO</v>
      </c>
      <c r="S247" s="34" t="str">
        <f aca="false">IF(H247="","SIN DATO",IFERROR(INDEX(cat_MarcaN,MATCH(H247,cat_MarcaO,0)),H247))</f>
        <v>ABB</v>
      </c>
      <c r="T247" s="34" t="str">
        <f aca="false">IF(I247="","SIN DATO",IFERROR(INDEX(cat_ModN,MATCH(I247,cat_ModO,0)),I247))</f>
        <v>1AMEBCADNEC5BNN11G</v>
      </c>
      <c r="U247" s="34" t="str">
        <f aca="false">IF(I247="","",IFERROR(INDEX(cat_ModG,MATCH(I247,cat_ModO,0)),"No"))</f>
        <v>No</v>
      </c>
      <c r="V247" s="34" t="str">
        <f aca="false">IF(J247="","SIN DATO",IFERROR(INDEX(cat_FunN,MATCH(J247,cat_FunO,0)),J247))</f>
        <v>Protección y medición</v>
      </c>
      <c r="W247" s="34" t="str">
        <f aca="false">IF(OR(S247="SIN DATO",T247="SIN DATO"),"No","Sí")</f>
        <v>Sí</v>
      </c>
    </row>
    <row r="248" customFormat="false" ht="15" hidden="false" customHeight="false" outlineLevel="0" collapsed="false">
      <c r="A248" s="34" t="s">
        <v>1164</v>
      </c>
      <c r="B248" s="34" t="s">
        <v>1165</v>
      </c>
      <c r="C248" s="34" t="s">
        <v>1166</v>
      </c>
      <c r="D248" s="34" t="s">
        <v>1167</v>
      </c>
      <c r="E248" s="34" t="s">
        <v>113</v>
      </c>
      <c r="F248" s="34" t="s">
        <v>675</v>
      </c>
      <c r="G248" s="34" t="s">
        <v>676</v>
      </c>
      <c r="H248" s="34" t="s">
        <v>34</v>
      </c>
      <c r="I248" s="34" t="s">
        <v>38</v>
      </c>
      <c r="J248" s="34" t="s">
        <v>228</v>
      </c>
      <c r="K248" s="34" t="s">
        <v>229</v>
      </c>
      <c r="L248" s="34" t="s">
        <v>230</v>
      </c>
      <c r="M248" s="34" t="s">
        <v>231</v>
      </c>
      <c r="N248" s="34" t="str">
        <f aca="false">"Sector "&amp;VALUE(MID(D248,13,2))</f>
        <v>Sector 2</v>
      </c>
      <c r="O248" s="34" t="str">
        <f aca="false">IF(Dashboard!$C$5="Ubicación técnica",N248,"Sector "&amp;VALUE(RIGHT(G248,2)))</f>
        <v>Sector 2</v>
      </c>
      <c r="P248" s="34" t="str">
        <f aca="false">IF(MID(D248,15,3)="SEL","Subestación eléctrica","Área de proceso")</f>
        <v>Área de proceso</v>
      </c>
      <c r="Q248" s="34" t="str">
        <f aca="false">MID(D248,13,5)&amp;"|"&amp;MID(D248,19,5)</f>
        <v>02COR|SFRAC</v>
      </c>
      <c r="R248" s="34" t="str">
        <f aca="false">IF(P248="Subestación eléctrica",IFERROR(INDEX(cat_SubN,MATCH(Q248,cat_SubK,0)),"SIN CATALOGAR"),"ÁREA DE PROCESO")</f>
        <v>ÁREA DE PROCESO</v>
      </c>
      <c r="S248" s="34" t="str">
        <f aca="false">IF(H248="","SIN DATO",IFERROR(INDEX(cat_MarcaN,MATCH(H248,cat_MarcaO,0)),H248))</f>
        <v>ABB</v>
      </c>
      <c r="T248" s="34" t="str">
        <f aca="false">IF(I248="","SIN DATO",IFERROR(INDEX(cat_ModN,MATCH(I248,cat_ModO,0)),I248))</f>
        <v>1AMEBCADNEC5BNN11G</v>
      </c>
      <c r="U248" s="34" t="str">
        <f aca="false">IF(I248="","",IFERROR(INDEX(cat_ModG,MATCH(I248,cat_ModO,0)),"No"))</f>
        <v>No</v>
      </c>
      <c r="V248" s="34" t="str">
        <f aca="false">IF(J248="","SIN DATO",IFERROR(INDEX(cat_FunN,MATCH(J248,cat_FunO,0)),J248))</f>
        <v>Protección y medición</v>
      </c>
      <c r="W248" s="34" t="str">
        <f aca="false">IF(OR(S248="SIN DATO",T248="SIN DATO"),"No","Sí")</f>
        <v>Sí</v>
      </c>
    </row>
    <row r="249" customFormat="false" ht="15" hidden="false" customHeight="false" outlineLevel="0" collapsed="false">
      <c r="A249" s="34" t="s">
        <v>1168</v>
      </c>
      <c r="B249" s="34" t="s">
        <v>1169</v>
      </c>
      <c r="C249" s="34" t="s">
        <v>1170</v>
      </c>
      <c r="D249" s="34" t="s">
        <v>1171</v>
      </c>
      <c r="E249" s="34" t="s">
        <v>113</v>
      </c>
      <c r="F249" s="34" t="s">
        <v>675</v>
      </c>
      <c r="G249" s="34" t="s">
        <v>676</v>
      </c>
      <c r="H249" s="34" t="s">
        <v>34</v>
      </c>
      <c r="I249" s="34" t="s">
        <v>38</v>
      </c>
      <c r="J249" s="34" t="s">
        <v>228</v>
      </c>
      <c r="K249" s="34" t="s">
        <v>229</v>
      </c>
      <c r="L249" s="34" t="s">
        <v>230</v>
      </c>
      <c r="M249" s="34" t="s">
        <v>231</v>
      </c>
      <c r="N249" s="34" t="str">
        <f aca="false">"Sector "&amp;VALUE(MID(D249,13,2))</f>
        <v>Sector 2</v>
      </c>
      <c r="O249" s="34" t="str">
        <f aca="false">IF(Dashboard!$C$5="Ubicación técnica",N249,"Sector "&amp;VALUE(RIGHT(G249,2)))</f>
        <v>Sector 2</v>
      </c>
      <c r="P249" s="34" t="str">
        <f aca="false">IF(MID(D249,15,3)="SEL","Subestación eléctrica","Área de proceso")</f>
        <v>Área de proceso</v>
      </c>
      <c r="Q249" s="34" t="str">
        <f aca="false">MID(D249,13,5)&amp;"|"&amp;MID(D249,19,5)</f>
        <v>02COR|SFRAC</v>
      </c>
      <c r="R249" s="34" t="str">
        <f aca="false">IF(P249="Subestación eléctrica",IFERROR(INDEX(cat_SubN,MATCH(Q249,cat_SubK,0)),"SIN CATALOGAR"),"ÁREA DE PROCESO")</f>
        <v>ÁREA DE PROCESO</v>
      </c>
      <c r="S249" s="34" t="str">
        <f aca="false">IF(H249="","SIN DATO",IFERROR(INDEX(cat_MarcaN,MATCH(H249,cat_MarcaO,0)),H249))</f>
        <v>ABB</v>
      </c>
      <c r="T249" s="34" t="str">
        <f aca="false">IF(I249="","SIN DATO",IFERROR(INDEX(cat_ModN,MATCH(I249,cat_ModO,0)),I249))</f>
        <v>1AMEBCADNEC5BNN11G</v>
      </c>
      <c r="U249" s="34" t="str">
        <f aca="false">IF(I249="","",IFERROR(INDEX(cat_ModG,MATCH(I249,cat_ModO,0)),"No"))</f>
        <v>No</v>
      </c>
      <c r="V249" s="34" t="str">
        <f aca="false">IF(J249="","SIN DATO",IFERROR(INDEX(cat_FunN,MATCH(J249,cat_FunO,0)),J249))</f>
        <v>Protección y medición</v>
      </c>
      <c r="W249" s="34" t="str">
        <f aca="false">IF(OR(S249="SIN DATO",T249="SIN DATO"),"No","Sí")</f>
        <v>Sí</v>
      </c>
    </row>
    <row r="250" customFormat="false" ht="15" hidden="false" customHeight="false" outlineLevel="0" collapsed="false">
      <c r="A250" s="34" t="s">
        <v>1172</v>
      </c>
      <c r="B250" s="34" t="s">
        <v>1173</v>
      </c>
      <c r="C250" s="34" t="s">
        <v>1174</v>
      </c>
      <c r="D250" s="34" t="s">
        <v>1175</v>
      </c>
      <c r="E250" s="34" t="s">
        <v>113</v>
      </c>
      <c r="F250" s="34" t="s">
        <v>675</v>
      </c>
      <c r="G250" s="34" t="s">
        <v>676</v>
      </c>
      <c r="H250" s="34" t="s">
        <v>34</v>
      </c>
      <c r="I250" s="34" t="s">
        <v>38</v>
      </c>
      <c r="J250" s="34" t="s">
        <v>228</v>
      </c>
      <c r="K250" s="34" t="s">
        <v>229</v>
      </c>
      <c r="L250" s="34" t="s">
        <v>230</v>
      </c>
      <c r="M250" s="34" t="s">
        <v>231</v>
      </c>
      <c r="N250" s="34" t="str">
        <f aca="false">"Sector "&amp;VALUE(MID(D250,13,2))</f>
        <v>Sector 2</v>
      </c>
      <c r="O250" s="34" t="str">
        <f aca="false">IF(Dashboard!$C$5="Ubicación técnica",N250,"Sector "&amp;VALUE(RIGHT(G250,2)))</f>
        <v>Sector 2</v>
      </c>
      <c r="P250" s="34" t="str">
        <f aca="false">IF(MID(D250,15,3)="SEL","Subestación eléctrica","Área de proceso")</f>
        <v>Área de proceso</v>
      </c>
      <c r="Q250" s="34" t="str">
        <f aca="false">MID(D250,13,5)&amp;"|"&amp;MID(D250,19,5)</f>
        <v>02COR|SFRAC</v>
      </c>
      <c r="R250" s="34" t="str">
        <f aca="false">IF(P250="Subestación eléctrica",IFERROR(INDEX(cat_SubN,MATCH(Q250,cat_SubK,0)),"SIN CATALOGAR"),"ÁREA DE PROCESO")</f>
        <v>ÁREA DE PROCESO</v>
      </c>
      <c r="S250" s="34" t="str">
        <f aca="false">IF(H250="","SIN DATO",IFERROR(INDEX(cat_MarcaN,MATCH(H250,cat_MarcaO,0)),H250))</f>
        <v>ABB</v>
      </c>
      <c r="T250" s="34" t="str">
        <f aca="false">IF(I250="","SIN DATO",IFERROR(INDEX(cat_ModN,MATCH(I250,cat_ModO,0)),I250))</f>
        <v>1AMEBCADNEC5BNN11G</v>
      </c>
      <c r="U250" s="34" t="str">
        <f aca="false">IF(I250="","",IFERROR(INDEX(cat_ModG,MATCH(I250,cat_ModO,0)),"No"))</f>
        <v>No</v>
      </c>
      <c r="V250" s="34" t="str">
        <f aca="false">IF(J250="","SIN DATO",IFERROR(INDEX(cat_FunN,MATCH(J250,cat_FunO,0)),J250))</f>
        <v>Protección y medición</v>
      </c>
      <c r="W250" s="34" t="str">
        <f aca="false">IF(OR(S250="SIN DATO",T250="SIN DATO"),"No","Sí")</f>
        <v>Sí</v>
      </c>
    </row>
    <row r="251" customFormat="false" ht="15" hidden="false" customHeight="false" outlineLevel="0" collapsed="false">
      <c r="A251" s="34" t="s">
        <v>1176</v>
      </c>
      <c r="B251" s="34" t="s">
        <v>1177</v>
      </c>
      <c r="C251" s="34" t="s">
        <v>1178</v>
      </c>
      <c r="D251" s="34" t="s">
        <v>1014</v>
      </c>
      <c r="E251" s="34" t="s">
        <v>113</v>
      </c>
      <c r="F251" s="34" t="s">
        <v>675</v>
      </c>
      <c r="G251" s="34" t="s">
        <v>676</v>
      </c>
      <c r="H251" s="34" t="s">
        <v>34</v>
      </c>
      <c r="I251" s="34" t="s">
        <v>46</v>
      </c>
      <c r="J251" s="34" t="s">
        <v>228</v>
      </c>
      <c r="K251" s="34" t="s">
        <v>229</v>
      </c>
      <c r="L251" s="34" t="s">
        <v>230</v>
      </c>
      <c r="M251" s="34" t="s">
        <v>231</v>
      </c>
      <c r="N251" s="34" t="str">
        <f aca="false">"Sector "&amp;VALUE(MID(D251,13,2))</f>
        <v>Sector 2</v>
      </c>
      <c r="O251" s="34" t="str">
        <f aca="false">IF(Dashboard!$C$5="Ubicación técnica",N251,"Sector "&amp;VALUE(RIGHT(G251,2)))</f>
        <v>Sector 2</v>
      </c>
      <c r="P251" s="34" t="str">
        <f aca="false">IF(MID(D251,15,3)="SEL","Subestación eléctrica","Área de proceso")</f>
        <v>Subestación eléctrica</v>
      </c>
      <c r="Q251" s="34" t="str">
        <f aca="false">MID(D251,13,5)&amp;"|"&amp;MID(D251,19,5)</f>
        <v>02SEL|S_015</v>
      </c>
      <c r="R251" s="34" t="str">
        <f aca="false">IF(P251="Subestación eléctrica",IFERROR(INDEX(cat_SubN,MATCH(Q251,cat_SubK,0)),"SIN CATALOGAR"),"ÁREA DE PROCESO")</f>
        <v>SE-15</v>
      </c>
      <c r="S251" s="34" t="str">
        <f aca="false">IF(H251="","SIN DATO",IFERROR(INDEX(cat_MarcaN,MATCH(H251,cat_MarcaO,0)),H251))</f>
        <v>ABB</v>
      </c>
      <c r="T251" s="34" t="str">
        <f aca="false">IF(I251="","SIN DATO",IFERROR(INDEX(cat_ModN,MATCH(I251,cat_ModO,0)),I251))</f>
        <v>1ATBBABBNEC5BNN11G</v>
      </c>
      <c r="U251" s="34" t="str">
        <f aca="false">IF(I251="","",IFERROR(INDEX(cat_ModG,MATCH(I251,cat_ModO,0)),"No"))</f>
        <v>No</v>
      </c>
      <c r="V251" s="34" t="str">
        <f aca="false">IF(J251="","SIN DATO",IFERROR(INDEX(cat_FunN,MATCH(J251,cat_FunO,0)),J251))</f>
        <v>Protección y medición</v>
      </c>
      <c r="W251" s="34" t="str">
        <f aca="false">IF(OR(S251="SIN DATO",T251="SIN DATO"),"No","Sí")</f>
        <v>Sí</v>
      </c>
    </row>
    <row r="252" customFormat="false" ht="15" hidden="false" customHeight="false" outlineLevel="0" collapsed="false">
      <c r="A252" s="34" t="s">
        <v>1179</v>
      </c>
      <c r="B252" s="34" t="s">
        <v>1180</v>
      </c>
      <c r="C252" s="34" t="s">
        <v>1181</v>
      </c>
      <c r="D252" s="34" t="s">
        <v>1182</v>
      </c>
      <c r="E252" s="34" t="s">
        <v>124</v>
      </c>
      <c r="F252" s="34" t="s">
        <v>1183</v>
      </c>
      <c r="G252" s="34" t="s">
        <v>1184</v>
      </c>
      <c r="H252" s="34" t="s">
        <v>61</v>
      </c>
      <c r="I252" s="34" t="s">
        <v>63</v>
      </c>
      <c r="J252" s="34" t="s">
        <v>228</v>
      </c>
      <c r="K252" s="34" t="s">
        <v>229</v>
      </c>
      <c r="L252" s="34" t="s">
        <v>230</v>
      </c>
      <c r="M252" s="34" t="s">
        <v>344</v>
      </c>
      <c r="N252" s="34" t="str">
        <f aca="false">"Sector "&amp;VALUE(MID(D252,13,2))</f>
        <v>Sector 4</v>
      </c>
      <c r="O252" s="34" t="str">
        <f aca="false">IF(Dashboard!$C$5="Ubicación técnica",N252,"Sector "&amp;VALUE(RIGHT(G252,2)))</f>
        <v>Sector 4</v>
      </c>
      <c r="P252" s="34" t="str">
        <f aca="false">IF(MID(D252,15,3)="SEL","Subestación eléctrica","Área de proceso")</f>
        <v>Área de proceso</v>
      </c>
      <c r="Q252" s="34" t="str">
        <f aca="false">MID(D252,13,5)&amp;"|"&amp;MID(D252,19,5)</f>
        <v>04DIA|SREAC</v>
      </c>
      <c r="R252" s="34" t="str">
        <f aca="false">IF(P252="Subestación eléctrica",IFERROR(INDEX(cat_SubN,MATCH(Q252,cat_SubK,0)),"SIN CATALOGAR"),"ÁREA DE PROCESO")</f>
        <v>ÁREA DE PROCESO</v>
      </c>
      <c r="S252" s="34" t="str">
        <f aca="false">IF(H252="","SIN DATO",IFERROR(INDEX(cat_MarcaN,MATCH(H252,cat_MarcaO,0)),H252))</f>
        <v>GENERAL ELECTRIC</v>
      </c>
      <c r="T252" s="34" t="str">
        <f aca="false">IF(I252="","SIN DATO",IFERROR(INDEX(cat_ModN,MATCH(I252,cat_ModO,0)),I252))</f>
        <v>MULTILIN</v>
      </c>
      <c r="U252" s="34" t="str">
        <f aca="false">IF(I252="","",IFERROR(INDEX(cat_ModG,MATCH(I252,cat_ModO,0)),"No"))</f>
        <v>Sí</v>
      </c>
      <c r="V252" s="34" t="str">
        <f aca="false">IF(J252="","SIN DATO",IFERROR(INDEX(cat_FunN,MATCH(J252,cat_FunO,0)),J252))</f>
        <v>Protección y medición</v>
      </c>
      <c r="W252" s="34" t="str">
        <f aca="false">IF(OR(S252="SIN DATO",T252="SIN DATO"),"No","Sí")</f>
        <v>Sí</v>
      </c>
    </row>
    <row r="253" customFormat="false" ht="15" hidden="false" customHeight="false" outlineLevel="0" collapsed="false">
      <c r="A253" s="34" t="s">
        <v>1185</v>
      </c>
      <c r="B253" s="34" t="s">
        <v>1186</v>
      </c>
      <c r="C253" s="34" t="s">
        <v>1187</v>
      </c>
      <c r="D253" s="34" t="s">
        <v>1188</v>
      </c>
      <c r="E253" s="34" t="s">
        <v>124</v>
      </c>
      <c r="F253" s="34" t="s">
        <v>1183</v>
      </c>
      <c r="G253" s="34" t="s">
        <v>1184</v>
      </c>
      <c r="H253" s="34" t="s">
        <v>61</v>
      </c>
      <c r="I253" s="34" t="s">
        <v>63</v>
      </c>
      <c r="J253" s="34" t="s">
        <v>228</v>
      </c>
      <c r="K253" s="34" t="s">
        <v>229</v>
      </c>
      <c r="L253" s="34" t="s">
        <v>230</v>
      </c>
      <c r="M253" s="34" t="s">
        <v>344</v>
      </c>
      <c r="N253" s="34" t="str">
        <f aca="false">"Sector "&amp;VALUE(MID(D253,13,2))</f>
        <v>Sector 4</v>
      </c>
      <c r="O253" s="34" t="str">
        <f aca="false">IF(Dashboard!$C$5="Ubicación técnica",N253,"Sector "&amp;VALUE(RIGHT(G253,2)))</f>
        <v>Sector 4</v>
      </c>
      <c r="P253" s="34" t="str">
        <f aca="false">IF(MID(D253,15,3)="SEL","Subestación eléctrica","Área de proceso")</f>
        <v>Área de proceso</v>
      </c>
      <c r="Q253" s="34" t="str">
        <f aca="false">MID(D253,13,5)&amp;"|"&amp;MID(D253,19,5)</f>
        <v>04DIA|SAMIN</v>
      </c>
      <c r="R253" s="34" t="str">
        <f aca="false">IF(P253="Subestación eléctrica",IFERROR(INDEX(cat_SubN,MATCH(Q253,cat_SubK,0)),"SIN CATALOGAR"),"ÁREA DE PROCESO")</f>
        <v>ÁREA DE PROCESO</v>
      </c>
      <c r="S253" s="34" t="str">
        <f aca="false">IF(H253="","SIN DATO",IFERROR(INDEX(cat_MarcaN,MATCH(H253,cat_MarcaO,0)),H253))</f>
        <v>GENERAL ELECTRIC</v>
      </c>
      <c r="T253" s="34" t="str">
        <f aca="false">IF(I253="","SIN DATO",IFERROR(INDEX(cat_ModN,MATCH(I253,cat_ModO,0)),I253))</f>
        <v>MULTILIN</v>
      </c>
      <c r="U253" s="34" t="str">
        <f aca="false">IF(I253="","",IFERROR(INDEX(cat_ModG,MATCH(I253,cat_ModO,0)),"No"))</f>
        <v>Sí</v>
      </c>
      <c r="V253" s="34" t="str">
        <f aca="false">IF(J253="","SIN DATO",IFERROR(INDEX(cat_FunN,MATCH(J253,cat_FunO,0)),J253))</f>
        <v>Protección y medición</v>
      </c>
      <c r="W253" s="34" t="str">
        <f aca="false">IF(OR(S253="SIN DATO",T253="SIN DATO"),"No","Sí")</f>
        <v>Sí</v>
      </c>
    </row>
    <row r="254" customFormat="false" ht="15" hidden="false" customHeight="false" outlineLevel="0" collapsed="false">
      <c r="A254" s="34" t="s">
        <v>1189</v>
      </c>
      <c r="B254" s="34" t="s">
        <v>1190</v>
      </c>
      <c r="C254" s="34" t="s">
        <v>1191</v>
      </c>
      <c r="D254" s="34" t="s">
        <v>1192</v>
      </c>
      <c r="E254" s="34" t="s">
        <v>124</v>
      </c>
      <c r="F254" s="34" t="s">
        <v>1183</v>
      </c>
      <c r="G254" s="34" t="s">
        <v>1184</v>
      </c>
      <c r="H254" s="34" t="s">
        <v>61</v>
      </c>
      <c r="I254" s="34" t="s">
        <v>63</v>
      </c>
      <c r="J254" s="34" t="s">
        <v>228</v>
      </c>
      <c r="K254" s="34" t="s">
        <v>229</v>
      </c>
      <c r="L254" s="34" t="s">
        <v>230</v>
      </c>
      <c r="M254" s="34" t="s">
        <v>344</v>
      </c>
      <c r="N254" s="34" t="str">
        <f aca="false">"Sector "&amp;VALUE(MID(D254,13,2))</f>
        <v>Sector 4</v>
      </c>
      <c r="O254" s="34" t="str">
        <f aca="false">IF(Dashboard!$C$5="Ubicación técnica",N254,"Sector "&amp;VALUE(RIGHT(G254,2)))</f>
        <v>Sector 4</v>
      </c>
      <c r="P254" s="34" t="str">
        <f aca="false">IF(MID(D254,15,3)="SEL","Subestación eléctrica","Área de proceso")</f>
        <v>Área de proceso</v>
      </c>
      <c r="Q254" s="34" t="str">
        <f aca="false">MID(D254,13,5)&amp;"|"&amp;MID(D254,19,5)</f>
        <v>04DIA|SFRAC</v>
      </c>
      <c r="R254" s="34" t="str">
        <f aca="false">IF(P254="Subestación eléctrica",IFERROR(INDEX(cat_SubN,MATCH(Q254,cat_SubK,0)),"SIN CATALOGAR"),"ÁREA DE PROCESO")</f>
        <v>ÁREA DE PROCESO</v>
      </c>
      <c r="S254" s="34" t="str">
        <f aca="false">IF(H254="","SIN DATO",IFERROR(INDEX(cat_MarcaN,MATCH(H254,cat_MarcaO,0)),H254))</f>
        <v>GENERAL ELECTRIC</v>
      </c>
      <c r="T254" s="34" t="str">
        <f aca="false">IF(I254="","SIN DATO",IFERROR(INDEX(cat_ModN,MATCH(I254,cat_ModO,0)),I254))</f>
        <v>MULTILIN</v>
      </c>
      <c r="U254" s="34" t="str">
        <f aca="false">IF(I254="","",IFERROR(INDEX(cat_ModG,MATCH(I254,cat_ModO,0)),"No"))</f>
        <v>Sí</v>
      </c>
      <c r="V254" s="34" t="str">
        <f aca="false">IF(J254="","SIN DATO",IFERROR(INDEX(cat_FunN,MATCH(J254,cat_FunO,0)),J254))</f>
        <v>Protección y medición</v>
      </c>
      <c r="W254" s="34" t="str">
        <f aca="false">IF(OR(S254="SIN DATO",T254="SIN DATO"),"No","Sí")</f>
        <v>Sí</v>
      </c>
    </row>
    <row r="255" customFormat="false" ht="15" hidden="false" customHeight="false" outlineLevel="0" collapsed="false">
      <c r="A255" s="34" t="s">
        <v>1193</v>
      </c>
      <c r="B255" s="34" t="s">
        <v>1194</v>
      </c>
      <c r="C255" s="34" t="s">
        <v>1195</v>
      </c>
      <c r="D255" s="34" t="s">
        <v>1196</v>
      </c>
      <c r="E255" s="34" t="s">
        <v>124</v>
      </c>
      <c r="F255" s="34" t="s">
        <v>1183</v>
      </c>
      <c r="G255" s="34" t="s">
        <v>1184</v>
      </c>
      <c r="H255" s="34" t="s">
        <v>61</v>
      </c>
      <c r="I255" s="34" t="s">
        <v>63</v>
      </c>
      <c r="J255" s="34" t="s">
        <v>228</v>
      </c>
      <c r="K255" s="34" t="s">
        <v>229</v>
      </c>
      <c r="L255" s="34" t="s">
        <v>230</v>
      </c>
      <c r="M255" s="34" t="s">
        <v>344</v>
      </c>
      <c r="N255" s="34" t="str">
        <f aca="false">"Sector "&amp;VALUE(MID(D255,13,2))</f>
        <v>Sector 4</v>
      </c>
      <c r="O255" s="34" t="str">
        <f aca="false">IF(Dashboard!$C$5="Ubicación técnica",N255,"Sector "&amp;VALUE(RIGHT(G255,2)))</f>
        <v>Sector 4</v>
      </c>
      <c r="P255" s="34" t="str">
        <f aca="false">IF(MID(D255,15,3)="SEL","Subestación eléctrica","Área de proceso")</f>
        <v>Área de proceso</v>
      </c>
      <c r="Q255" s="34" t="str">
        <f aca="false">MID(D255,13,5)&amp;"|"&amp;MID(D255,19,5)</f>
        <v>04DIA|SFRAC</v>
      </c>
      <c r="R255" s="34" t="str">
        <f aca="false">IF(P255="Subestación eléctrica",IFERROR(INDEX(cat_SubN,MATCH(Q255,cat_SubK,0)),"SIN CATALOGAR"),"ÁREA DE PROCESO")</f>
        <v>ÁREA DE PROCESO</v>
      </c>
      <c r="S255" s="34" t="str">
        <f aca="false">IF(H255="","SIN DATO",IFERROR(INDEX(cat_MarcaN,MATCH(H255,cat_MarcaO,0)),H255))</f>
        <v>GENERAL ELECTRIC</v>
      </c>
      <c r="T255" s="34" t="str">
        <f aca="false">IF(I255="","SIN DATO",IFERROR(INDEX(cat_ModN,MATCH(I255,cat_ModO,0)),I255))</f>
        <v>MULTILIN</v>
      </c>
      <c r="U255" s="34" t="str">
        <f aca="false">IF(I255="","",IFERROR(INDEX(cat_ModG,MATCH(I255,cat_ModO,0)),"No"))</f>
        <v>Sí</v>
      </c>
      <c r="V255" s="34" t="str">
        <f aca="false">IF(J255="","SIN DATO",IFERROR(INDEX(cat_FunN,MATCH(J255,cat_FunO,0)),J255))</f>
        <v>Protección y medición</v>
      </c>
      <c r="W255" s="34" t="str">
        <f aca="false">IF(OR(S255="SIN DATO",T255="SIN DATO"),"No","Sí")</f>
        <v>Sí</v>
      </c>
    </row>
    <row r="256" customFormat="false" ht="15" hidden="false" customHeight="false" outlineLevel="0" collapsed="false">
      <c r="A256" s="34" t="s">
        <v>1197</v>
      </c>
      <c r="B256" s="34" t="s">
        <v>1198</v>
      </c>
      <c r="C256" s="34" t="s">
        <v>1199</v>
      </c>
      <c r="D256" s="34" t="s">
        <v>1200</v>
      </c>
      <c r="E256" s="34" t="s">
        <v>124</v>
      </c>
      <c r="F256" s="34" t="s">
        <v>1183</v>
      </c>
      <c r="G256" s="34" t="s">
        <v>1184</v>
      </c>
      <c r="H256" s="34" t="s">
        <v>61</v>
      </c>
      <c r="I256" s="34" t="s">
        <v>63</v>
      </c>
      <c r="J256" s="34" t="s">
        <v>228</v>
      </c>
      <c r="K256" s="34" t="s">
        <v>229</v>
      </c>
      <c r="L256" s="34" t="s">
        <v>230</v>
      </c>
      <c r="M256" s="34" t="s">
        <v>344</v>
      </c>
      <c r="N256" s="34" t="str">
        <f aca="false">"Sector "&amp;VALUE(MID(D256,13,2))</f>
        <v>Sector 4</v>
      </c>
      <c r="O256" s="34" t="str">
        <f aca="false">IF(Dashboard!$C$5="Ubicación técnica",N256,"Sector "&amp;VALUE(RIGHT(G256,2)))</f>
        <v>Sector 4</v>
      </c>
      <c r="P256" s="34" t="str">
        <f aca="false">IF(MID(D256,15,3)="SEL","Subestación eléctrica","Área de proceso")</f>
        <v>Área de proceso</v>
      </c>
      <c r="Q256" s="34" t="str">
        <f aca="false">MID(D256,13,5)&amp;"|"&amp;MID(D256,19,5)</f>
        <v>04DIA|SFRAC</v>
      </c>
      <c r="R256" s="34" t="str">
        <f aca="false">IF(P256="Subestación eléctrica",IFERROR(INDEX(cat_SubN,MATCH(Q256,cat_SubK,0)),"SIN CATALOGAR"),"ÁREA DE PROCESO")</f>
        <v>ÁREA DE PROCESO</v>
      </c>
      <c r="S256" s="34" t="str">
        <f aca="false">IF(H256="","SIN DATO",IFERROR(INDEX(cat_MarcaN,MATCH(H256,cat_MarcaO,0)),H256))</f>
        <v>GENERAL ELECTRIC</v>
      </c>
      <c r="T256" s="34" t="str">
        <f aca="false">IF(I256="","SIN DATO",IFERROR(INDEX(cat_ModN,MATCH(I256,cat_ModO,0)),I256))</f>
        <v>MULTILIN</v>
      </c>
      <c r="U256" s="34" t="str">
        <f aca="false">IF(I256="","",IFERROR(INDEX(cat_ModG,MATCH(I256,cat_ModO,0)),"No"))</f>
        <v>Sí</v>
      </c>
      <c r="V256" s="34" t="str">
        <f aca="false">IF(J256="","SIN DATO",IFERROR(INDEX(cat_FunN,MATCH(J256,cat_FunO,0)),J256))</f>
        <v>Protección y medición</v>
      </c>
      <c r="W256" s="34" t="str">
        <f aca="false">IF(OR(S256="SIN DATO",T256="SIN DATO"),"No","Sí")</f>
        <v>Sí</v>
      </c>
    </row>
    <row r="257" customFormat="false" ht="15" hidden="false" customHeight="false" outlineLevel="0" collapsed="false">
      <c r="A257" s="34" t="s">
        <v>1201</v>
      </c>
      <c r="B257" s="34" t="s">
        <v>1202</v>
      </c>
      <c r="C257" s="34" t="s">
        <v>1203</v>
      </c>
      <c r="D257" s="34" t="s">
        <v>1204</v>
      </c>
      <c r="E257" s="34" t="s">
        <v>124</v>
      </c>
      <c r="F257" s="34" t="s">
        <v>1183</v>
      </c>
      <c r="G257" s="34" t="s">
        <v>1184</v>
      </c>
      <c r="H257" s="34" t="s">
        <v>61</v>
      </c>
      <c r="I257" s="34" t="s">
        <v>63</v>
      </c>
      <c r="J257" s="34" t="s">
        <v>228</v>
      </c>
      <c r="K257" s="34" t="s">
        <v>229</v>
      </c>
      <c r="L257" s="34" t="s">
        <v>230</v>
      </c>
      <c r="M257" s="34" t="s">
        <v>344</v>
      </c>
      <c r="N257" s="34" t="str">
        <f aca="false">"Sector "&amp;VALUE(MID(D257,13,2))</f>
        <v>Sector 4</v>
      </c>
      <c r="O257" s="34" t="str">
        <f aca="false">IF(Dashboard!$C$5="Ubicación técnica",N257,"Sector "&amp;VALUE(RIGHT(G257,2)))</f>
        <v>Sector 4</v>
      </c>
      <c r="P257" s="34" t="str">
        <f aca="false">IF(MID(D257,15,3)="SEL","Subestación eléctrica","Área de proceso")</f>
        <v>Área de proceso</v>
      </c>
      <c r="Q257" s="34" t="str">
        <f aca="false">MID(D257,13,5)&amp;"|"&amp;MID(D257,19,5)</f>
        <v>04DIA|SFRAC</v>
      </c>
      <c r="R257" s="34" t="str">
        <f aca="false">IF(P257="Subestación eléctrica",IFERROR(INDEX(cat_SubN,MATCH(Q257,cat_SubK,0)),"SIN CATALOGAR"),"ÁREA DE PROCESO")</f>
        <v>ÁREA DE PROCESO</v>
      </c>
      <c r="S257" s="34" t="str">
        <f aca="false">IF(H257="","SIN DATO",IFERROR(INDEX(cat_MarcaN,MATCH(H257,cat_MarcaO,0)),H257))</f>
        <v>GENERAL ELECTRIC</v>
      </c>
      <c r="T257" s="34" t="str">
        <f aca="false">IF(I257="","SIN DATO",IFERROR(INDEX(cat_ModN,MATCH(I257,cat_ModO,0)),I257))</f>
        <v>MULTILIN</v>
      </c>
      <c r="U257" s="34" t="str">
        <f aca="false">IF(I257="","",IFERROR(INDEX(cat_ModG,MATCH(I257,cat_ModO,0)),"No"))</f>
        <v>Sí</v>
      </c>
      <c r="V257" s="34" t="str">
        <f aca="false">IF(J257="","SIN DATO",IFERROR(INDEX(cat_FunN,MATCH(J257,cat_FunO,0)),J257))</f>
        <v>Protección y medición</v>
      </c>
      <c r="W257" s="34" t="str">
        <f aca="false">IF(OR(S257="SIN DATO",T257="SIN DATO"),"No","Sí")</f>
        <v>Sí</v>
      </c>
    </row>
    <row r="258" customFormat="false" ht="15" hidden="false" customHeight="false" outlineLevel="0" collapsed="false">
      <c r="A258" s="34" t="s">
        <v>1205</v>
      </c>
      <c r="B258" s="34" t="s">
        <v>1206</v>
      </c>
      <c r="C258" s="34" t="s">
        <v>1207</v>
      </c>
      <c r="D258" s="34" t="s">
        <v>1208</v>
      </c>
      <c r="E258" s="34" t="s">
        <v>124</v>
      </c>
      <c r="F258" s="34" t="s">
        <v>1183</v>
      </c>
      <c r="G258" s="34" t="s">
        <v>1184</v>
      </c>
      <c r="H258" s="34" t="s">
        <v>61</v>
      </c>
      <c r="I258" s="34" t="s">
        <v>63</v>
      </c>
      <c r="J258" s="34" t="s">
        <v>228</v>
      </c>
      <c r="K258" s="34" t="s">
        <v>229</v>
      </c>
      <c r="L258" s="34" t="s">
        <v>230</v>
      </c>
      <c r="M258" s="34" t="s">
        <v>344</v>
      </c>
      <c r="N258" s="34" t="str">
        <f aca="false">"Sector "&amp;VALUE(MID(D258,13,2))</f>
        <v>Sector 4</v>
      </c>
      <c r="O258" s="34" t="str">
        <f aca="false">IF(Dashboard!$C$5="Ubicación técnica",N258,"Sector "&amp;VALUE(RIGHT(G258,2)))</f>
        <v>Sector 4</v>
      </c>
      <c r="P258" s="34" t="str">
        <f aca="false">IF(MID(D258,15,3)="SEL","Subestación eléctrica","Área de proceso")</f>
        <v>Área de proceso</v>
      </c>
      <c r="Q258" s="34" t="str">
        <f aca="false">MID(D258,13,5)&amp;"|"&amp;MID(D258,19,5)</f>
        <v>04DIA|SFRAC</v>
      </c>
      <c r="R258" s="34" t="str">
        <f aca="false">IF(P258="Subestación eléctrica",IFERROR(INDEX(cat_SubN,MATCH(Q258,cat_SubK,0)),"SIN CATALOGAR"),"ÁREA DE PROCESO")</f>
        <v>ÁREA DE PROCESO</v>
      </c>
      <c r="S258" s="34" t="str">
        <f aca="false">IF(H258="","SIN DATO",IFERROR(INDEX(cat_MarcaN,MATCH(H258,cat_MarcaO,0)),H258))</f>
        <v>GENERAL ELECTRIC</v>
      </c>
      <c r="T258" s="34" t="str">
        <f aca="false">IF(I258="","SIN DATO",IFERROR(INDEX(cat_ModN,MATCH(I258,cat_ModO,0)),I258))</f>
        <v>MULTILIN</v>
      </c>
      <c r="U258" s="34" t="str">
        <f aca="false">IF(I258="","",IFERROR(INDEX(cat_ModG,MATCH(I258,cat_ModO,0)),"No"))</f>
        <v>Sí</v>
      </c>
      <c r="V258" s="34" t="str">
        <f aca="false">IF(J258="","SIN DATO",IFERROR(INDEX(cat_FunN,MATCH(J258,cat_FunO,0)),J258))</f>
        <v>Protección y medición</v>
      </c>
      <c r="W258" s="34" t="str">
        <f aca="false">IF(OR(S258="SIN DATO",T258="SIN DATO"),"No","Sí")</f>
        <v>Sí</v>
      </c>
    </row>
    <row r="259" customFormat="false" ht="15" hidden="false" customHeight="false" outlineLevel="0" collapsed="false">
      <c r="A259" s="34" t="s">
        <v>1209</v>
      </c>
      <c r="B259" s="34" t="s">
        <v>1210</v>
      </c>
      <c r="C259" s="34" t="s">
        <v>1211</v>
      </c>
      <c r="D259" s="34" t="s">
        <v>1212</v>
      </c>
      <c r="E259" s="34" t="s">
        <v>124</v>
      </c>
      <c r="F259" s="34" t="s">
        <v>1183</v>
      </c>
      <c r="G259" s="34" t="s">
        <v>1184</v>
      </c>
      <c r="H259" s="34" t="s">
        <v>61</v>
      </c>
      <c r="I259" s="34" t="s">
        <v>63</v>
      </c>
      <c r="J259" s="34" t="s">
        <v>228</v>
      </c>
      <c r="K259" s="34" t="s">
        <v>229</v>
      </c>
      <c r="L259" s="34" t="s">
        <v>230</v>
      </c>
      <c r="M259" s="34" t="s">
        <v>344</v>
      </c>
      <c r="N259" s="34" t="str">
        <f aca="false">"Sector "&amp;VALUE(MID(D259,13,2))</f>
        <v>Sector 4</v>
      </c>
      <c r="O259" s="34" t="str">
        <f aca="false">IF(Dashboard!$C$5="Ubicación técnica",N259,"Sector "&amp;VALUE(RIGHT(G259,2)))</f>
        <v>Sector 4</v>
      </c>
      <c r="P259" s="34" t="str">
        <f aca="false">IF(MID(D259,15,3)="SEL","Subestación eléctrica","Área de proceso")</f>
        <v>Área de proceso</v>
      </c>
      <c r="Q259" s="34" t="str">
        <f aca="false">MID(D259,13,5)&amp;"|"&amp;MID(D259,19,5)</f>
        <v>04DIA|SAMIN</v>
      </c>
      <c r="R259" s="34" t="str">
        <f aca="false">IF(P259="Subestación eléctrica",IFERROR(INDEX(cat_SubN,MATCH(Q259,cat_SubK,0)),"SIN CATALOGAR"),"ÁREA DE PROCESO")</f>
        <v>ÁREA DE PROCESO</v>
      </c>
      <c r="S259" s="34" t="str">
        <f aca="false">IF(H259="","SIN DATO",IFERROR(INDEX(cat_MarcaN,MATCH(H259,cat_MarcaO,0)),H259))</f>
        <v>GENERAL ELECTRIC</v>
      </c>
      <c r="T259" s="34" t="str">
        <f aca="false">IF(I259="","SIN DATO",IFERROR(INDEX(cat_ModN,MATCH(I259,cat_ModO,0)),I259))</f>
        <v>MULTILIN</v>
      </c>
      <c r="U259" s="34" t="str">
        <f aca="false">IF(I259="","",IFERROR(INDEX(cat_ModG,MATCH(I259,cat_ModO,0)),"No"))</f>
        <v>Sí</v>
      </c>
      <c r="V259" s="34" t="str">
        <f aca="false">IF(J259="","SIN DATO",IFERROR(INDEX(cat_FunN,MATCH(J259,cat_FunO,0)),J259))</f>
        <v>Protección y medición</v>
      </c>
      <c r="W259" s="34" t="str">
        <f aca="false">IF(OR(S259="SIN DATO",T259="SIN DATO"),"No","Sí")</f>
        <v>Sí</v>
      </c>
    </row>
    <row r="260" customFormat="false" ht="15" hidden="false" customHeight="false" outlineLevel="0" collapsed="false">
      <c r="A260" s="34" t="s">
        <v>1213</v>
      </c>
      <c r="B260" s="34" t="s">
        <v>1214</v>
      </c>
      <c r="C260" s="34" t="s">
        <v>1215</v>
      </c>
      <c r="D260" s="34" t="s">
        <v>1216</v>
      </c>
      <c r="E260" s="34" t="s">
        <v>124</v>
      </c>
      <c r="F260" s="34" t="s">
        <v>1183</v>
      </c>
      <c r="G260" s="34" t="s">
        <v>1184</v>
      </c>
      <c r="H260" s="34" t="s">
        <v>61</v>
      </c>
      <c r="I260" s="34" t="s">
        <v>63</v>
      </c>
      <c r="J260" s="34" t="s">
        <v>228</v>
      </c>
      <c r="K260" s="34" t="s">
        <v>229</v>
      </c>
      <c r="L260" s="34" t="s">
        <v>230</v>
      </c>
      <c r="M260" s="34" t="s">
        <v>344</v>
      </c>
      <c r="N260" s="34" t="str">
        <f aca="false">"Sector "&amp;VALUE(MID(D260,13,2))</f>
        <v>Sector 4</v>
      </c>
      <c r="O260" s="34" t="str">
        <f aca="false">IF(Dashboard!$C$5="Ubicación técnica",N260,"Sector "&amp;VALUE(RIGHT(G260,2)))</f>
        <v>Sector 4</v>
      </c>
      <c r="P260" s="34" t="str">
        <f aca="false">IF(MID(D260,15,3)="SEL","Subestación eléctrica","Área de proceso")</f>
        <v>Área de proceso</v>
      </c>
      <c r="Q260" s="34" t="str">
        <f aca="false">MID(D260,13,5)&amp;"|"&amp;MID(D260,19,5)</f>
        <v>04DIA|SFRAC</v>
      </c>
      <c r="R260" s="34" t="str">
        <f aca="false">IF(P260="Subestación eléctrica",IFERROR(INDEX(cat_SubN,MATCH(Q260,cat_SubK,0)),"SIN CATALOGAR"),"ÁREA DE PROCESO")</f>
        <v>ÁREA DE PROCESO</v>
      </c>
      <c r="S260" s="34" t="str">
        <f aca="false">IF(H260="","SIN DATO",IFERROR(INDEX(cat_MarcaN,MATCH(H260,cat_MarcaO,0)),H260))</f>
        <v>GENERAL ELECTRIC</v>
      </c>
      <c r="T260" s="34" t="str">
        <f aca="false">IF(I260="","SIN DATO",IFERROR(INDEX(cat_ModN,MATCH(I260,cat_ModO,0)),I260))</f>
        <v>MULTILIN</v>
      </c>
      <c r="U260" s="34" t="str">
        <f aca="false">IF(I260="","",IFERROR(INDEX(cat_ModG,MATCH(I260,cat_ModO,0)),"No"))</f>
        <v>Sí</v>
      </c>
      <c r="V260" s="34" t="str">
        <f aca="false">IF(J260="","SIN DATO",IFERROR(INDEX(cat_FunN,MATCH(J260,cat_FunO,0)),J260))</f>
        <v>Protección y medición</v>
      </c>
      <c r="W260" s="34" t="str">
        <f aca="false">IF(OR(S260="SIN DATO",T260="SIN DATO"),"No","Sí")</f>
        <v>Sí</v>
      </c>
    </row>
    <row r="261" customFormat="false" ht="15" hidden="false" customHeight="false" outlineLevel="0" collapsed="false">
      <c r="A261" s="34" t="s">
        <v>1217</v>
      </c>
      <c r="B261" s="34" t="s">
        <v>1218</v>
      </c>
      <c r="C261" s="34" t="s">
        <v>1219</v>
      </c>
      <c r="D261" s="34" t="s">
        <v>1220</v>
      </c>
      <c r="E261" s="34" t="s">
        <v>124</v>
      </c>
      <c r="F261" s="34" t="s">
        <v>1183</v>
      </c>
      <c r="G261" s="34" t="s">
        <v>1184</v>
      </c>
      <c r="H261" s="34" t="s">
        <v>61</v>
      </c>
      <c r="I261" s="34" t="s">
        <v>63</v>
      </c>
      <c r="J261" s="34" t="s">
        <v>228</v>
      </c>
      <c r="K261" s="34" t="s">
        <v>229</v>
      </c>
      <c r="L261" s="34" t="s">
        <v>230</v>
      </c>
      <c r="M261" s="34" t="s">
        <v>344</v>
      </c>
      <c r="N261" s="34" t="str">
        <f aca="false">"Sector "&amp;VALUE(MID(D261,13,2))</f>
        <v>Sector 4</v>
      </c>
      <c r="O261" s="34" t="str">
        <f aca="false">IF(Dashboard!$C$5="Ubicación técnica",N261,"Sector "&amp;VALUE(RIGHT(G261,2)))</f>
        <v>Sector 4</v>
      </c>
      <c r="P261" s="34" t="str">
        <f aca="false">IF(MID(D261,15,3)="SEL","Subestación eléctrica","Área de proceso")</f>
        <v>Área de proceso</v>
      </c>
      <c r="Q261" s="34" t="str">
        <f aca="false">MID(D261,13,5)&amp;"|"&amp;MID(D261,19,5)</f>
        <v>04DIA|SREAC</v>
      </c>
      <c r="R261" s="34" t="str">
        <f aca="false">IF(P261="Subestación eléctrica",IFERROR(INDEX(cat_SubN,MATCH(Q261,cat_SubK,0)),"SIN CATALOGAR"),"ÁREA DE PROCESO")</f>
        <v>ÁREA DE PROCESO</v>
      </c>
      <c r="S261" s="34" t="str">
        <f aca="false">IF(H261="","SIN DATO",IFERROR(INDEX(cat_MarcaN,MATCH(H261,cat_MarcaO,0)),H261))</f>
        <v>GENERAL ELECTRIC</v>
      </c>
      <c r="T261" s="34" t="str">
        <f aca="false">IF(I261="","SIN DATO",IFERROR(INDEX(cat_ModN,MATCH(I261,cat_ModO,0)),I261))</f>
        <v>MULTILIN</v>
      </c>
      <c r="U261" s="34" t="str">
        <f aca="false">IF(I261="","",IFERROR(INDEX(cat_ModG,MATCH(I261,cat_ModO,0)),"No"))</f>
        <v>Sí</v>
      </c>
      <c r="V261" s="34" t="str">
        <f aca="false">IF(J261="","SIN DATO",IFERROR(INDEX(cat_FunN,MATCH(J261,cat_FunO,0)),J261))</f>
        <v>Protección y medición</v>
      </c>
      <c r="W261" s="34" t="str">
        <f aca="false">IF(OR(S261="SIN DATO",T261="SIN DATO"),"No","Sí")</f>
        <v>Sí</v>
      </c>
    </row>
    <row r="262" customFormat="false" ht="15" hidden="false" customHeight="false" outlineLevel="0" collapsed="false">
      <c r="A262" s="34" t="s">
        <v>1221</v>
      </c>
      <c r="B262" s="34" t="s">
        <v>1222</v>
      </c>
      <c r="C262" s="34" t="s">
        <v>1223</v>
      </c>
      <c r="D262" s="34" t="s">
        <v>1224</v>
      </c>
      <c r="E262" s="34" t="s">
        <v>124</v>
      </c>
      <c r="F262" s="34" t="s">
        <v>1183</v>
      </c>
      <c r="G262" s="34" t="s">
        <v>1184</v>
      </c>
      <c r="H262" s="34" t="s">
        <v>61</v>
      </c>
      <c r="I262" s="34" t="s">
        <v>63</v>
      </c>
      <c r="J262" s="34" t="s">
        <v>228</v>
      </c>
      <c r="K262" s="34" t="s">
        <v>229</v>
      </c>
      <c r="L262" s="34" t="s">
        <v>230</v>
      </c>
      <c r="M262" s="34" t="s">
        <v>344</v>
      </c>
      <c r="N262" s="34" t="str">
        <f aca="false">"Sector "&amp;VALUE(MID(D262,13,2))</f>
        <v>Sector 4</v>
      </c>
      <c r="O262" s="34" t="str">
        <f aca="false">IF(Dashboard!$C$5="Ubicación técnica",N262,"Sector "&amp;VALUE(RIGHT(G262,2)))</f>
        <v>Sector 4</v>
      </c>
      <c r="P262" s="34" t="str">
        <f aca="false">IF(MID(D262,15,3)="SEL","Subestación eléctrica","Área de proceso")</f>
        <v>Área de proceso</v>
      </c>
      <c r="Q262" s="34" t="str">
        <f aca="false">MID(D262,13,5)&amp;"|"&amp;MID(D262,19,5)</f>
        <v>04DIA|SREAC</v>
      </c>
      <c r="R262" s="34" t="str">
        <f aca="false">IF(P262="Subestación eléctrica",IFERROR(INDEX(cat_SubN,MATCH(Q262,cat_SubK,0)),"SIN CATALOGAR"),"ÁREA DE PROCESO")</f>
        <v>ÁREA DE PROCESO</v>
      </c>
      <c r="S262" s="34" t="str">
        <f aca="false">IF(H262="","SIN DATO",IFERROR(INDEX(cat_MarcaN,MATCH(H262,cat_MarcaO,0)),H262))</f>
        <v>GENERAL ELECTRIC</v>
      </c>
      <c r="T262" s="34" t="str">
        <f aca="false">IF(I262="","SIN DATO",IFERROR(INDEX(cat_ModN,MATCH(I262,cat_ModO,0)),I262))</f>
        <v>MULTILIN</v>
      </c>
      <c r="U262" s="34" t="str">
        <f aca="false">IF(I262="","",IFERROR(INDEX(cat_ModG,MATCH(I262,cat_ModO,0)),"No"))</f>
        <v>Sí</v>
      </c>
      <c r="V262" s="34" t="str">
        <f aca="false">IF(J262="","SIN DATO",IFERROR(INDEX(cat_FunN,MATCH(J262,cat_FunO,0)),J262))</f>
        <v>Protección y medición</v>
      </c>
      <c r="W262" s="34" t="str">
        <f aca="false">IF(OR(S262="SIN DATO",T262="SIN DATO"),"No","Sí")</f>
        <v>Sí</v>
      </c>
    </row>
    <row r="263" customFormat="false" ht="15" hidden="false" customHeight="false" outlineLevel="0" collapsed="false">
      <c r="A263" s="34" t="s">
        <v>1225</v>
      </c>
      <c r="B263" s="34" t="s">
        <v>1226</v>
      </c>
      <c r="C263" s="34" t="s">
        <v>1227</v>
      </c>
      <c r="D263" s="34" t="s">
        <v>1224</v>
      </c>
      <c r="E263" s="34" t="s">
        <v>124</v>
      </c>
      <c r="F263" s="34" t="s">
        <v>1183</v>
      </c>
      <c r="G263" s="34" t="s">
        <v>1184</v>
      </c>
      <c r="H263" s="34" t="s">
        <v>61</v>
      </c>
      <c r="I263" s="34" t="s">
        <v>63</v>
      </c>
      <c r="J263" s="34" t="s">
        <v>228</v>
      </c>
      <c r="K263" s="34" t="s">
        <v>229</v>
      </c>
      <c r="L263" s="34" t="s">
        <v>230</v>
      </c>
      <c r="M263" s="34" t="s">
        <v>344</v>
      </c>
      <c r="N263" s="34" t="str">
        <f aca="false">"Sector "&amp;VALUE(MID(D263,13,2))</f>
        <v>Sector 4</v>
      </c>
      <c r="O263" s="34" t="str">
        <f aca="false">IF(Dashboard!$C$5="Ubicación técnica",N263,"Sector "&amp;VALUE(RIGHT(G263,2)))</f>
        <v>Sector 4</v>
      </c>
      <c r="P263" s="34" t="str">
        <f aca="false">IF(MID(D263,15,3)="SEL","Subestación eléctrica","Área de proceso")</f>
        <v>Área de proceso</v>
      </c>
      <c r="Q263" s="34" t="str">
        <f aca="false">MID(D263,13,5)&amp;"|"&amp;MID(D263,19,5)</f>
        <v>04DIA|SREAC</v>
      </c>
      <c r="R263" s="34" t="str">
        <f aca="false">IF(P263="Subestación eléctrica",IFERROR(INDEX(cat_SubN,MATCH(Q263,cat_SubK,0)),"SIN CATALOGAR"),"ÁREA DE PROCESO")</f>
        <v>ÁREA DE PROCESO</v>
      </c>
      <c r="S263" s="34" t="str">
        <f aca="false">IF(H263="","SIN DATO",IFERROR(INDEX(cat_MarcaN,MATCH(H263,cat_MarcaO,0)),H263))</f>
        <v>GENERAL ELECTRIC</v>
      </c>
      <c r="T263" s="34" t="str">
        <f aca="false">IF(I263="","SIN DATO",IFERROR(INDEX(cat_ModN,MATCH(I263,cat_ModO,0)),I263))</f>
        <v>MULTILIN</v>
      </c>
      <c r="U263" s="34" t="str">
        <f aca="false">IF(I263="","",IFERROR(INDEX(cat_ModG,MATCH(I263,cat_ModO,0)),"No"))</f>
        <v>Sí</v>
      </c>
      <c r="V263" s="34" t="str">
        <f aca="false">IF(J263="","SIN DATO",IFERROR(INDEX(cat_FunN,MATCH(J263,cat_FunO,0)),J263))</f>
        <v>Protección y medición</v>
      </c>
      <c r="W263" s="34" t="str">
        <f aca="false">IF(OR(S263="SIN DATO",T263="SIN DATO"),"No","Sí")</f>
        <v>Sí</v>
      </c>
    </row>
    <row r="264" customFormat="false" ht="15" hidden="false" customHeight="false" outlineLevel="0" collapsed="false">
      <c r="A264" s="34" t="s">
        <v>1228</v>
      </c>
      <c r="B264" s="34" t="s">
        <v>1229</v>
      </c>
      <c r="C264" s="34" t="s">
        <v>1230</v>
      </c>
      <c r="D264" s="34" t="s">
        <v>1231</v>
      </c>
      <c r="E264" s="34" t="s">
        <v>124</v>
      </c>
      <c r="F264" s="34" t="s">
        <v>1183</v>
      </c>
      <c r="G264" s="34" t="s">
        <v>1184</v>
      </c>
      <c r="H264" s="34" t="s">
        <v>61</v>
      </c>
      <c r="I264" s="34" t="s">
        <v>63</v>
      </c>
      <c r="J264" s="34" t="s">
        <v>228</v>
      </c>
      <c r="K264" s="34" t="s">
        <v>229</v>
      </c>
      <c r="L264" s="34" t="s">
        <v>230</v>
      </c>
      <c r="M264" s="34" t="s">
        <v>344</v>
      </c>
      <c r="N264" s="34" t="str">
        <f aca="false">"Sector "&amp;VALUE(MID(D264,13,2))</f>
        <v>Sector 4</v>
      </c>
      <c r="O264" s="34" t="str">
        <f aca="false">IF(Dashboard!$C$5="Ubicación técnica",N264,"Sector "&amp;VALUE(RIGHT(G264,2)))</f>
        <v>Sector 4</v>
      </c>
      <c r="P264" s="34" t="str">
        <f aca="false">IF(MID(D264,15,3)="SEL","Subestación eléctrica","Área de proceso")</f>
        <v>Área de proceso</v>
      </c>
      <c r="Q264" s="34" t="str">
        <f aca="false">MID(D264,13,5)&amp;"|"&amp;MID(D264,19,5)</f>
        <v>04DIA|SCOMP</v>
      </c>
      <c r="R264" s="34" t="str">
        <f aca="false">IF(P264="Subestación eléctrica",IFERROR(INDEX(cat_SubN,MATCH(Q264,cat_SubK,0)),"SIN CATALOGAR"),"ÁREA DE PROCESO")</f>
        <v>ÁREA DE PROCESO</v>
      </c>
      <c r="S264" s="34" t="str">
        <f aca="false">IF(H264="","SIN DATO",IFERROR(INDEX(cat_MarcaN,MATCH(H264,cat_MarcaO,0)),H264))</f>
        <v>GENERAL ELECTRIC</v>
      </c>
      <c r="T264" s="34" t="str">
        <f aca="false">IF(I264="","SIN DATO",IFERROR(INDEX(cat_ModN,MATCH(I264,cat_ModO,0)),I264))</f>
        <v>MULTILIN</v>
      </c>
      <c r="U264" s="34" t="str">
        <f aca="false">IF(I264="","",IFERROR(INDEX(cat_ModG,MATCH(I264,cat_ModO,0)),"No"))</f>
        <v>Sí</v>
      </c>
      <c r="V264" s="34" t="str">
        <f aca="false">IF(J264="","SIN DATO",IFERROR(INDEX(cat_FunN,MATCH(J264,cat_FunO,0)),J264))</f>
        <v>Protección y medición</v>
      </c>
      <c r="W264" s="34" t="str">
        <f aca="false">IF(OR(S264="SIN DATO",T264="SIN DATO"),"No","Sí")</f>
        <v>Sí</v>
      </c>
    </row>
    <row r="265" customFormat="false" ht="15" hidden="false" customHeight="false" outlineLevel="0" collapsed="false">
      <c r="A265" s="34" t="s">
        <v>1232</v>
      </c>
      <c r="B265" s="34" t="s">
        <v>1233</v>
      </c>
      <c r="C265" s="34" t="s">
        <v>1234</v>
      </c>
      <c r="D265" s="34" t="s">
        <v>1231</v>
      </c>
      <c r="E265" s="34" t="s">
        <v>124</v>
      </c>
      <c r="F265" s="34" t="s">
        <v>1183</v>
      </c>
      <c r="G265" s="34" t="s">
        <v>1184</v>
      </c>
      <c r="H265" s="34" t="s">
        <v>61</v>
      </c>
      <c r="I265" s="34" t="s">
        <v>63</v>
      </c>
      <c r="J265" s="34" t="s">
        <v>228</v>
      </c>
      <c r="K265" s="34" t="s">
        <v>229</v>
      </c>
      <c r="L265" s="34" t="s">
        <v>230</v>
      </c>
      <c r="M265" s="34" t="s">
        <v>344</v>
      </c>
      <c r="N265" s="34" t="str">
        <f aca="false">"Sector "&amp;VALUE(MID(D265,13,2))</f>
        <v>Sector 4</v>
      </c>
      <c r="O265" s="34" t="str">
        <f aca="false">IF(Dashboard!$C$5="Ubicación técnica",N265,"Sector "&amp;VALUE(RIGHT(G265,2)))</f>
        <v>Sector 4</v>
      </c>
      <c r="P265" s="34" t="str">
        <f aca="false">IF(MID(D265,15,3)="SEL","Subestación eléctrica","Área de proceso")</f>
        <v>Área de proceso</v>
      </c>
      <c r="Q265" s="34" t="str">
        <f aca="false">MID(D265,13,5)&amp;"|"&amp;MID(D265,19,5)</f>
        <v>04DIA|SCOMP</v>
      </c>
      <c r="R265" s="34" t="str">
        <f aca="false">IF(P265="Subestación eléctrica",IFERROR(INDEX(cat_SubN,MATCH(Q265,cat_SubK,0)),"SIN CATALOGAR"),"ÁREA DE PROCESO")</f>
        <v>ÁREA DE PROCESO</v>
      </c>
      <c r="S265" s="34" t="str">
        <f aca="false">IF(H265="","SIN DATO",IFERROR(INDEX(cat_MarcaN,MATCH(H265,cat_MarcaO,0)),H265))</f>
        <v>GENERAL ELECTRIC</v>
      </c>
      <c r="T265" s="34" t="str">
        <f aca="false">IF(I265="","SIN DATO",IFERROR(INDEX(cat_ModN,MATCH(I265,cat_ModO,0)),I265))</f>
        <v>MULTILIN</v>
      </c>
      <c r="U265" s="34" t="str">
        <f aca="false">IF(I265="","",IFERROR(INDEX(cat_ModG,MATCH(I265,cat_ModO,0)),"No"))</f>
        <v>Sí</v>
      </c>
      <c r="V265" s="34" t="str">
        <f aca="false">IF(J265="","SIN DATO",IFERROR(INDEX(cat_FunN,MATCH(J265,cat_FunO,0)),J265))</f>
        <v>Protección y medición</v>
      </c>
      <c r="W265" s="34" t="str">
        <f aca="false">IF(OR(S265="SIN DATO",T265="SIN DATO"),"No","Sí")</f>
        <v>Sí</v>
      </c>
    </row>
    <row r="266" customFormat="false" ht="15" hidden="false" customHeight="false" outlineLevel="0" collapsed="false">
      <c r="A266" s="34" t="s">
        <v>1235</v>
      </c>
      <c r="B266" s="34" t="s">
        <v>1236</v>
      </c>
      <c r="C266" s="34" t="s">
        <v>1237</v>
      </c>
      <c r="D266" s="34" t="s">
        <v>1238</v>
      </c>
      <c r="E266" s="34" t="s">
        <v>124</v>
      </c>
      <c r="F266" s="34" t="s">
        <v>1183</v>
      </c>
      <c r="G266" s="34" t="s">
        <v>1184</v>
      </c>
      <c r="H266" s="34" t="s">
        <v>61</v>
      </c>
      <c r="I266" s="34" t="s">
        <v>63</v>
      </c>
      <c r="J266" s="34" t="s">
        <v>228</v>
      </c>
      <c r="K266" s="34" t="s">
        <v>229</v>
      </c>
      <c r="L266" s="34" t="s">
        <v>230</v>
      </c>
      <c r="M266" s="34" t="s">
        <v>344</v>
      </c>
      <c r="N266" s="34" t="str">
        <f aca="false">"Sector "&amp;VALUE(MID(D266,13,2))</f>
        <v>Sector 4</v>
      </c>
      <c r="O266" s="34" t="str">
        <f aca="false">IF(Dashboard!$C$5="Ubicación técnica",N266,"Sector "&amp;VALUE(RIGHT(G266,2)))</f>
        <v>Sector 4</v>
      </c>
      <c r="P266" s="34" t="str">
        <f aca="false">IF(MID(D266,15,3)="SEL","Subestación eléctrica","Área de proceso")</f>
        <v>Área de proceso</v>
      </c>
      <c r="Q266" s="34" t="str">
        <f aca="false">MID(D266,13,5)&amp;"|"&amp;MID(D266,19,5)</f>
        <v>04DIA|SCOMP</v>
      </c>
      <c r="R266" s="34" t="str">
        <f aca="false">IF(P266="Subestación eléctrica",IFERROR(INDEX(cat_SubN,MATCH(Q266,cat_SubK,0)),"SIN CATALOGAR"),"ÁREA DE PROCESO")</f>
        <v>ÁREA DE PROCESO</v>
      </c>
      <c r="S266" s="34" t="str">
        <f aca="false">IF(H266="","SIN DATO",IFERROR(INDEX(cat_MarcaN,MATCH(H266,cat_MarcaO,0)),H266))</f>
        <v>GENERAL ELECTRIC</v>
      </c>
      <c r="T266" s="34" t="str">
        <f aca="false">IF(I266="","SIN DATO",IFERROR(INDEX(cat_ModN,MATCH(I266,cat_ModO,0)),I266))</f>
        <v>MULTILIN</v>
      </c>
      <c r="U266" s="34" t="str">
        <f aca="false">IF(I266="","",IFERROR(INDEX(cat_ModG,MATCH(I266,cat_ModO,0)),"No"))</f>
        <v>Sí</v>
      </c>
      <c r="V266" s="34" t="str">
        <f aca="false">IF(J266="","SIN DATO",IFERROR(INDEX(cat_FunN,MATCH(J266,cat_FunO,0)),J266))</f>
        <v>Protección y medición</v>
      </c>
      <c r="W266" s="34" t="str">
        <f aca="false">IF(OR(S266="SIN DATO",T266="SIN DATO"),"No","Sí")</f>
        <v>Sí</v>
      </c>
    </row>
    <row r="267" customFormat="false" ht="15" hidden="false" customHeight="false" outlineLevel="0" collapsed="false">
      <c r="A267" s="34" t="s">
        <v>1239</v>
      </c>
      <c r="B267" s="34" t="s">
        <v>1240</v>
      </c>
      <c r="C267" s="34" t="s">
        <v>1241</v>
      </c>
      <c r="D267" s="34" t="s">
        <v>1238</v>
      </c>
      <c r="E267" s="34" t="s">
        <v>124</v>
      </c>
      <c r="F267" s="34" t="s">
        <v>1183</v>
      </c>
      <c r="G267" s="34" t="s">
        <v>1184</v>
      </c>
      <c r="H267" s="34" t="s">
        <v>61</v>
      </c>
      <c r="I267" s="34" t="s">
        <v>63</v>
      </c>
      <c r="J267" s="34" t="s">
        <v>228</v>
      </c>
      <c r="K267" s="34" t="s">
        <v>229</v>
      </c>
      <c r="L267" s="34" t="s">
        <v>230</v>
      </c>
      <c r="M267" s="34" t="s">
        <v>344</v>
      </c>
      <c r="N267" s="34" t="str">
        <f aca="false">"Sector "&amp;VALUE(MID(D267,13,2))</f>
        <v>Sector 4</v>
      </c>
      <c r="O267" s="34" t="str">
        <f aca="false">IF(Dashboard!$C$5="Ubicación técnica",N267,"Sector "&amp;VALUE(RIGHT(G267,2)))</f>
        <v>Sector 4</v>
      </c>
      <c r="P267" s="34" t="str">
        <f aca="false">IF(MID(D267,15,3)="SEL","Subestación eléctrica","Área de proceso")</f>
        <v>Área de proceso</v>
      </c>
      <c r="Q267" s="34" t="str">
        <f aca="false">MID(D267,13,5)&amp;"|"&amp;MID(D267,19,5)</f>
        <v>04DIA|SCOMP</v>
      </c>
      <c r="R267" s="34" t="str">
        <f aca="false">IF(P267="Subestación eléctrica",IFERROR(INDEX(cat_SubN,MATCH(Q267,cat_SubK,0)),"SIN CATALOGAR"),"ÁREA DE PROCESO")</f>
        <v>ÁREA DE PROCESO</v>
      </c>
      <c r="S267" s="34" t="str">
        <f aca="false">IF(H267="","SIN DATO",IFERROR(INDEX(cat_MarcaN,MATCH(H267,cat_MarcaO,0)),H267))</f>
        <v>GENERAL ELECTRIC</v>
      </c>
      <c r="T267" s="34" t="str">
        <f aca="false">IF(I267="","SIN DATO",IFERROR(INDEX(cat_ModN,MATCH(I267,cat_ModO,0)),I267))</f>
        <v>MULTILIN</v>
      </c>
      <c r="U267" s="34" t="str">
        <f aca="false">IF(I267="","",IFERROR(INDEX(cat_ModG,MATCH(I267,cat_ModO,0)),"No"))</f>
        <v>Sí</v>
      </c>
      <c r="V267" s="34" t="str">
        <f aca="false">IF(J267="","SIN DATO",IFERROR(INDEX(cat_FunN,MATCH(J267,cat_FunO,0)),J267))</f>
        <v>Protección y medición</v>
      </c>
      <c r="W267" s="34" t="str">
        <f aca="false">IF(OR(S267="SIN DATO",T267="SIN DATO"),"No","Sí")</f>
        <v>Sí</v>
      </c>
    </row>
    <row r="268" customFormat="false" ht="15" hidden="false" customHeight="false" outlineLevel="0" collapsed="false">
      <c r="A268" s="34" t="s">
        <v>1242</v>
      </c>
      <c r="B268" s="34" t="s">
        <v>1243</v>
      </c>
      <c r="C268" s="34" t="s">
        <v>1244</v>
      </c>
      <c r="D268" s="34" t="s">
        <v>1245</v>
      </c>
      <c r="E268" s="34" t="s">
        <v>124</v>
      </c>
      <c r="F268" s="34" t="s">
        <v>1183</v>
      </c>
      <c r="G268" s="34" t="s">
        <v>1184</v>
      </c>
      <c r="H268" s="34" t="s">
        <v>61</v>
      </c>
      <c r="I268" s="34" t="s">
        <v>63</v>
      </c>
      <c r="J268" s="34" t="s">
        <v>228</v>
      </c>
      <c r="K268" s="34" t="s">
        <v>229</v>
      </c>
      <c r="L268" s="34" t="s">
        <v>230</v>
      </c>
      <c r="M268" s="34" t="s">
        <v>344</v>
      </c>
      <c r="N268" s="34" t="str">
        <f aca="false">"Sector "&amp;VALUE(MID(D268,13,2))</f>
        <v>Sector 4</v>
      </c>
      <c r="O268" s="34" t="str">
        <f aca="false">IF(Dashboard!$C$5="Ubicación técnica",N268,"Sector "&amp;VALUE(RIGHT(G268,2)))</f>
        <v>Sector 4</v>
      </c>
      <c r="P268" s="34" t="str">
        <f aca="false">IF(MID(D268,15,3)="SEL","Subestación eléctrica","Área de proceso")</f>
        <v>Área de proceso</v>
      </c>
      <c r="Q268" s="34" t="str">
        <f aca="false">MID(D268,13,5)&amp;"|"&amp;MID(D268,19,5)</f>
        <v>04DIA|SCOMP</v>
      </c>
      <c r="R268" s="34" t="str">
        <f aca="false">IF(P268="Subestación eléctrica",IFERROR(INDEX(cat_SubN,MATCH(Q268,cat_SubK,0)),"SIN CATALOGAR"),"ÁREA DE PROCESO")</f>
        <v>ÁREA DE PROCESO</v>
      </c>
      <c r="S268" s="34" t="str">
        <f aca="false">IF(H268="","SIN DATO",IFERROR(INDEX(cat_MarcaN,MATCH(H268,cat_MarcaO,0)),H268))</f>
        <v>GENERAL ELECTRIC</v>
      </c>
      <c r="T268" s="34" t="str">
        <f aca="false">IF(I268="","SIN DATO",IFERROR(INDEX(cat_ModN,MATCH(I268,cat_ModO,0)),I268))</f>
        <v>MULTILIN</v>
      </c>
      <c r="U268" s="34" t="str">
        <f aca="false">IF(I268="","",IFERROR(INDEX(cat_ModG,MATCH(I268,cat_ModO,0)),"No"))</f>
        <v>Sí</v>
      </c>
      <c r="V268" s="34" t="str">
        <f aca="false">IF(J268="","SIN DATO",IFERROR(INDEX(cat_FunN,MATCH(J268,cat_FunO,0)),J268))</f>
        <v>Protección y medición</v>
      </c>
      <c r="W268" s="34" t="str">
        <f aca="false">IF(OR(S268="SIN DATO",T268="SIN DATO"),"No","Sí")</f>
        <v>Sí</v>
      </c>
    </row>
    <row r="269" customFormat="false" ht="15" hidden="false" customHeight="false" outlineLevel="0" collapsed="false">
      <c r="A269" s="34" t="s">
        <v>1246</v>
      </c>
      <c r="B269" s="34" t="s">
        <v>1247</v>
      </c>
      <c r="C269" s="34" t="s">
        <v>1248</v>
      </c>
      <c r="D269" s="34" t="s">
        <v>1245</v>
      </c>
      <c r="E269" s="34" t="s">
        <v>124</v>
      </c>
      <c r="F269" s="34" t="s">
        <v>1183</v>
      </c>
      <c r="G269" s="34" t="s">
        <v>1184</v>
      </c>
      <c r="H269" s="34" t="s">
        <v>61</v>
      </c>
      <c r="I269" s="34" t="s">
        <v>63</v>
      </c>
      <c r="J269" s="34" t="s">
        <v>228</v>
      </c>
      <c r="K269" s="34" t="s">
        <v>229</v>
      </c>
      <c r="L269" s="34" t="s">
        <v>230</v>
      </c>
      <c r="M269" s="34" t="s">
        <v>344</v>
      </c>
      <c r="N269" s="34" t="str">
        <f aca="false">"Sector "&amp;VALUE(MID(D269,13,2))</f>
        <v>Sector 4</v>
      </c>
      <c r="O269" s="34" t="str">
        <f aca="false">IF(Dashboard!$C$5="Ubicación técnica",N269,"Sector "&amp;VALUE(RIGHT(G269,2)))</f>
        <v>Sector 4</v>
      </c>
      <c r="P269" s="34" t="str">
        <f aca="false">IF(MID(D269,15,3)="SEL","Subestación eléctrica","Área de proceso")</f>
        <v>Área de proceso</v>
      </c>
      <c r="Q269" s="34" t="str">
        <f aca="false">MID(D269,13,5)&amp;"|"&amp;MID(D269,19,5)</f>
        <v>04DIA|SCOMP</v>
      </c>
      <c r="R269" s="34" t="str">
        <f aca="false">IF(P269="Subestación eléctrica",IFERROR(INDEX(cat_SubN,MATCH(Q269,cat_SubK,0)),"SIN CATALOGAR"),"ÁREA DE PROCESO")</f>
        <v>ÁREA DE PROCESO</v>
      </c>
      <c r="S269" s="34" t="str">
        <f aca="false">IF(H269="","SIN DATO",IFERROR(INDEX(cat_MarcaN,MATCH(H269,cat_MarcaO,0)),H269))</f>
        <v>GENERAL ELECTRIC</v>
      </c>
      <c r="T269" s="34" t="str">
        <f aca="false">IF(I269="","SIN DATO",IFERROR(INDEX(cat_ModN,MATCH(I269,cat_ModO,0)),I269))</f>
        <v>MULTILIN</v>
      </c>
      <c r="U269" s="34" t="str">
        <f aca="false">IF(I269="","",IFERROR(INDEX(cat_ModG,MATCH(I269,cat_ModO,0)),"No"))</f>
        <v>Sí</v>
      </c>
      <c r="V269" s="34" t="str">
        <f aca="false">IF(J269="","SIN DATO",IFERROR(INDEX(cat_FunN,MATCH(J269,cat_FunO,0)),J269))</f>
        <v>Protección y medición</v>
      </c>
      <c r="W269" s="34" t="str">
        <f aca="false">IF(OR(S269="SIN DATO",T269="SIN DATO"),"No","Sí")</f>
        <v>Sí</v>
      </c>
    </row>
    <row r="270" customFormat="false" ht="15" hidden="false" customHeight="false" outlineLevel="0" collapsed="false">
      <c r="A270" s="34" t="s">
        <v>1249</v>
      </c>
      <c r="B270" s="34" t="s">
        <v>1250</v>
      </c>
      <c r="C270" s="34" t="s">
        <v>1251</v>
      </c>
      <c r="D270" s="34" t="s">
        <v>1252</v>
      </c>
      <c r="E270" s="34" t="s">
        <v>124</v>
      </c>
      <c r="F270" s="34" t="s">
        <v>1183</v>
      </c>
      <c r="G270" s="34" t="s">
        <v>1184</v>
      </c>
      <c r="H270" s="34" t="s">
        <v>61</v>
      </c>
      <c r="I270" s="34" t="s">
        <v>63</v>
      </c>
      <c r="J270" s="34" t="s">
        <v>228</v>
      </c>
      <c r="K270" s="34" t="s">
        <v>229</v>
      </c>
      <c r="L270" s="34" t="s">
        <v>230</v>
      </c>
      <c r="M270" s="34" t="s">
        <v>344</v>
      </c>
      <c r="N270" s="34" t="str">
        <f aca="false">"Sector "&amp;VALUE(MID(D270,13,2))</f>
        <v>Sector 4</v>
      </c>
      <c r="O270" s="34" t="str">
        <f aca="false">IF(Dashboard!$C$5="Ubicación técnica",N270,"Sector "&amp;VALUE(RIGHT(G270,2)))</f>
        <v>Sector 4</v>
      </c>
      <c r="P270" s="34" t="str">
        <f aca="false">IF(MID(D270,15,3)="SEL","Subestación eléctrica","Área de proceso")</f>
        <v>Área de proceso</v>
      </c>
      <c r="Q270" s="34" t="str">
        <f aca="false">MID(D270,13,5)&amp;"|"&amp;MID(D270,19,5)</f>
        <v>04DIA|SREAC</v>
      </c>
      <c r="R270" s="34" t="str">
        <f aca="false">IF(P270="Subestación eléctrica",IFERROR(INDEX(cat_SubN,MATCH(Q270,cat_SubK,0)),"SIN CATALOGAR"),"ÁREA DE PROCESO")</f>
        <v>ÁREA DE PROCESO</v>
      </c>
      <c r="S270" s="34" t="str">
        <f aca="false">IF(H270="","SIN DATO",IFERROR(INDEX(cat_MarcaN,MATCH(H270,cat_MarcaO,0)),H270))</f>
        <v>GENERAL ELECTRIC</v>
      </c>
      <c r="T270" s="34" t="str">
        <f aca="false">IF(I270="","SIN DATO",IFERROR(INDEX(cat_ModN,MATCH(I270,cat_ModO,0)),I270))</f>
        <v>MULTILIN</v>
      </c>
      <c r="U270" s="34" t="str">
        <f aca="false">IF(I270="","",IFERROR(INDEX(cat_ModG,MATCH(I270,cat_ModO,0)),"No"))</f>
        <v>Sí</v>
      </c>
      <c r="V270" s="34" t="str">
        <f aca="false">IF(J270="","SIN DATO",IFERROR(INDEX(cat_FunN,MATCH(J270,cat_FunO,0)),J270))</f>
        <v>Protección y medición</v>
      </c>
      <c r="W270" s="34" t="str">
        <f aca="false">IF(OR(S270="SIN DATO",T270="SIN DATO"),"No","Sí")</f>
        <v>Sí</v>
      </c>
    </row>
    <row r="271" customFormat="false" ht="15" hidden="false" customHeight="false" outlineLevel="0" collapsed="false">
      <c r="A271" s="34" t="s">
        <v>1253</v>
      </c>
      <c r="B271" s="34" t="s">
        <v>1254</v>
      </c>
      <c r="C271" s="34" t="s">
        <v>1255</v>
      </c>
      <c r="D271" s="34" t="s">
        <v>1252</v>
      </c>
      <c r="E271" s="34" t="s">
        <v>124</v>
      </c>
      <c r="F271" s="34" t="s">
        <v>1183</v>
      </c>
      <c r="G271" s="34" t="s">
        <v>1184</v>
      </c>
      <c r="H271" s="34" t="s">
        <v>61</v>
      </c>
      <c r="I271" s="34" t="s">
        <v>63</v>
      </c>
      <c r="J271" s="34" t="s">
        <v>228</v>
      </c>
      <c r="K271" s="34" t="s">
        <v>229</v>
      </c>
      <c r="L271" s="34" t="s">
        <v>230</v>
      </c>
      <c r="M271" s="34" t="s">
        <v>344</v>
      </c>
      <c r="N271" s="34" t="str">
        <f aca="false">"Sector "&amp;VALUE(MID(D271,13,2))</f>
        <v>Sector 4</v>
      </c>
      <c r="O271" s="34" t="str">
        <f aca="false">IF(Dashboard!$C$5="Ubicación técnica",N271,"Sector "&amp;VALUE(RIGHT(G271,2)))</f>
        <v>Sector 4</v>
      </c>
      <c r="P271" s="34" t="str">
        <f aca="false">IF(MID(D271,15,3)="SEL","Subestación eléctrica","Área de proceso")</f>
        <v>Área de proceso</v>
      </c>
      <c r="Q271" s="34" t="str">
        <f aca="false">MID(D271,13,5)&amp;"|"&amp;MID(D271,19,5)</f>
        <v>04DIA|SREAC</v>
      </c>
      <c r="R271" s="34" t="str">
        <f aca="false">IF(P271="Subestación eléctrica",IFERROR(INDEX(cat_SubN,MATCH(Q271,cat_SubK,0)),"SIN CATALOGAR"),"ÁREA DE PROCESO")</f>
        <v>ÁREA DE PROCESO</v>
      </c>
      <c r="S271" s="34" t="str">
        <f aca="false">IF(H271="","SIN DATO",IFERROR(INDEX(cat_MarcaN,MATCH(H271,cat_MarcaO,0)),H271))</f>
        <v>GENERAL ELECTRIC</v>
      </c>
      <c r="T271" s="34" t="str">
        <f aca="false">IF(I271="","SIN DATO",IFERROR(INDEX(cat_ModN,MATCH(I271,cat_ModO,0)),I271))</f>
        <v>MULTILIN</v>
      </c>
      <c r="U271" s="34" t="str">
        <f aca="false">IF(I271="","",IFERROR(INDEX(cat_ModG,MATCH(I271,cat_ModO,0)),"No"))</f>
        <v>Sí</v>
      </c>
      <c r="V271" s="34" t="str">
        <f aca="false">IF(J271="","SIN DATO",IFERROR(INDEX(cat_FunN,MATCH(J271,cat_FunO,0)),J271))</f>
        <v>Protección y medición</v>
      </c>
      <c r="W271" s="34" t="str">
        <f aca="false">IF(OR(S271="SIN DATO",T271="SIN DATO"),"No","Sí")</f>
        <v>Sí</v>
      </c>
    </row>
    <row r="272" customFormat="false" ht="15" hidden="false" customHeight="false" outlineLevel="0" collapsed="false">
      <c r="A272" s="34" t="s">
        <v>1256</v>
      </c>
      <c r="B272" s="34" t="s">
        <v>1257</v>
      </c>
      <c r="C272" s="34" t="s">
        <v>1258</v>
      </c>
      <c r="D272" s="34" t="s">
        <v>1259</v>
      </c>
      <c r="E272" s="34" t="s">
        <v>126</v>
      </c>
      <c r="F272" s="34" t="s">
        <v>1260</v>
      </c>
      <c r="G272" s="34" t="s">
        <v>1184</v>
      </c>
      <c r="H272" s="34" t="s">
        <v>61</v>
      </c>
      <c r="I272" s="34" t="s">
        <v>63</v>
      </c>
      <c r="J272" s="34" t="s">
        <v>228</v>
      </c>
      <c r="K272" s="34" t="s">
        <v>229</v>
      </c>
      <c r="L272" s="34" t="s">
        <v>230</v>
      </c>
      <c r="M272" s="34" t="s">
        <v>344</v>
      </c>
      <c r="N272" s="34" t="str">
        <f aca="false">"Sector "&amp;VALUE(MID(D272,13,2))</f>
        <v>Sector 4</v>
      </c>
      <c r="O272" s="34" t="str">
        <f aca="false">IF(Dashboard!$C$5="Ubicación técnica",N272,"Sector "&amp;VALUE(RIGHT(G272,2)))</f>
        <v>Sector 4</v>
      </c>
      <c r="P272" s="34" t="str">
        <f aca="false">IF(MID(D272,15,3)="SEL","Subestación eléctrica","Área de proceso")</f>
        <v>Área de proceso</v>
      </c>
      <c r="Q272" s="34" t="str">
        <f aca="false">MID(D272,13,5)&amp;"|"&amp;MID(D272,19,5)</f>
        <v>04DIB|SREAC</v>
      </c>
      <c r="R272" s="34" t="str">
        <f aca="false">IF(P272="Subestación eléctrica",IFERROR(INDEX(cat_SubN,MATCH(Q272,cat_SubK,0)),"SIN CATALOGAR"),"ÁREA DE PROCESO")</f>
        <v>ÁREA DE PROCESO</v>
      </c>
      <c r="S272" s="34" t="str">
        <f aca="false">IF(H272="","SIN DATO",IFERROR(INDEX(cat_MarcaN,MATCH(H272,cat_MarcaO,0)),H272))</f>
        <v>GENERAL ELECTRIC</v>
      </c>
      <c r="T272" s="34" t="str">
        <f aca="false">IF(I272="","SIN DATO",IFERROR(INDEX(cat_ModN,MATCH(I272,cat_ModO,0)),I272))</f>
        <v>MULTILIN</v>
      </c>
      <c r="U272" s="34" t="str">
        <f aca="false">IF(I272="","",IFERROR(INDEX(cat_ModG,MATCH(I272,cat_ModO,0)),"No"))</f>
        <v>Sí</v>
      </c>
      <c r="V272" s="34" t="str">
        <f aca="false">IF(J272="","SIN DATO",IFERROR(INDEX(cat_FunN,MATCH(J272,cat_FunO,0)),J272))</f>
        <v>Protección y medición</v>
      </c>
      <c r="W272" s="34" t="str">
        <f aca="false">IF(OR(S272="SIN DATO",T272="SIN DATO"),"No","Sí")</f>
        <v>Sí</v>
      </c>
    </row>
    <row r="273" customFormat="false" ht="15" hidden="false" customHeight="false" outlineLevel="0" collapsed="false">
      <c r="A273" s="34" t="s">
        <v>1261</v>
      </c>
      <c r="B273" s="34" t="s">
        <v>1262</v>
      </c>
      <c r="C273" s="34" t="s">
        <v>1263</v>
      </c>
      <c r="D273" s="34" t="s">
        <v>1264</v>
      </c>
      <c r="E273" s="34" t="s">
        <v>126</v>
      </c>
      <c r="F273" s="34" t="s">
        <v>1260</v>
      </c>
      <c r="G273" s="34" t="s">
        <v>1184</v>
      </c>
      <c r="H273" s="34" t="s">
        <v>61</v>
      </c>
      <c r="I273" s="34" t="s">
        <v>63</v>
      </c>
      <c r="J273" s="34" t="s">
        <v>228</v>
      </c>
      <c r="K273" s="34" t="s">
        <v>229</v>
      </c>
      <c r="L273" s="34" t="s">
        <v>230</v>
      </c>
      <c r="M273" s="34" t="s">
        <v>344</v>
      </c>
      <c r="N273" s="34" t="str">
        <f aca="false">"Sector "&amp;VALUE(MID(D273,13,2))</f>
        <v>Sector 4</v>
      </c>
      <c r="O273" s="34" t="str">
        <f aca="false">IF(Dashboard!$C$5="Ubicación técnica",N273,"Sector "&amp;VALUE(RIGHT(G273,2)))</f>
        <v>Sector 4</v>
      </c>
      <c r="P273" s="34" t="str">
        <f aca="false">IF(MID(D273,15,3)="SEL","Subestación eléctrica","Área de proceso")</f>
        <v>Área de proceso</v>
      </c>
      <c r="Q273" s="34" t="str">
        <f aca="false">MID(D273,13,5)&amp;"|"&amp;MID(D273,19,5)</f>
        <v>04DIB|SAMIN</v>
      </c>
      <c r="R273" s="34" t="str">
        <f aca="false">IF(P273="Subestación eléctrica",IFERROR(INDEX(cat_SubN,MATCH(Q273,cat_SubK,0)),"SIN CATALOGAR"),"ÁREA DE PROCESO")</f>
        <v>ÁREA DE PROCESO</v>
      </c>
      <c r="S273" s="34" t="str">
        <f aca="false">IF(H273="","SIN DATO",IFERROR(INDEX(cat_MarcaN,MATCH(H273,cat_MarcaO,0)),H273))</f>
        <v>GENERAL ELECTRIC</v>
      </c>
      <c r="T273" s="34" t="str">
        <f aca="false">IF(I273="","SIN DATO",IFERROR(INDEX(cat_ModN,MATCH(I273,cat_ModO,0)),I273))</f>
        <v>MULTILIN</v>
      </c>
      <c r="U273" s="34" t="str">
        <f aca="false">IF(I273="","",IFERROR(INDEX(cat_ModG,MATCH(I273,cat_ModO,0)),"No"))</f>
        <v>Sí</v>
      </c>
      <c r="V273" s="34" t="str">
        <f aca="false">IF(J273="","SIN DATO",IFERROR(INDEX(cat_FunN,MATCH(J273,cat_FunO,0)),J273))</f>
        <v>Protección y medición</v>
      </c>
      <c r="W273" s="34" t="str">
        <f aca="false">IF(OR(S273="SIN DATO",T273="SIN DATO"),"No","Sí")</f>
        <v>Sí</v>
      </c>
    </row>
    <row r="274" customFormat="false" ht="15" hidden="false" customHeight="false" outlineLevel="0" collapsed="false">
      <c r="A274" s="34" t="s">
        <v>1265</v>
      </c>
      <c r="B274" s="34" t="s">
        <v>1266</v>
      </c>
      <c r="C274" s="34" t="s">
        <v>1267</v>
      </c>
      <c r="D274" s="34" t="s">
        <v>1268</v>
      </c>
      <c r="E274" s="34" t="s">
        <v>126</v>
      </c>
      <c r="F274" s="34" t="s">
        <v>1260</v>
      </c>
      <c r="G274" s="34" t="s">
        <v>1184</v>
      </c>
      <c r="H274" s="34" t="s">
        <v>61</v>
      </c>
      <c r="I274" s="34" t="s">
        <v>63</v>
      </c>
      <c r="J274" s="34" t="s">
        <v>228</v>
      </c>
      <c r="K274" s="34" t="s">
        <v>229</v>
      </c>
      <c r="L274" s="34" t="s">
        <v>230</v>
      </c>
      <c r="M274" s="34" t="s">
        <v>344</v>
      </c>
      <c r="N274" s="34" t="str">
        <f aca="false">"Sector "&amp;VALUE(MID(D274,13,2))</f>
        <v>Sector 4</v>
      </c>
      <c r="O274" s="34" t="str">
        <f aca="false">IF(Dashboard!$C$5="Ubicación técnica",N274,"Sector "&amp;VALUE(RIGHT(G274,2)))</f>
        <v>Sector 4</v>
      </c>
      <c r="P274" s="34" t="str">
        <f aca="false">IF(MID(D274,15,3)="SEL","Subestación eléctrica","Área de proceso")</f>
        <v>Área de proceso</v>
      </c>
      <c r="Q274" s="34" t="str">
        <f aca="false">MID(D274,13,5)&amp;"|"&amp;MID(D274,19,5)</f>
        <v>04DIB|SFRAC</v>
      </c>
      <c r="R274" s="34" t="str">
        <f aca="false">IF(P274="Subestación eléctrica",IFERROR(INDEX(cat_SubN,MATCH(Q274,cat_SubK,0)),"SIN CATALOGAR"),"ÁREA DE PROCESO")</f>
        <v>ÁREA DE PROCESO</v>
      </c>
      <c r="S274" s="34" t="str">
        <f aca="false">IF(H274="","SIN DATO",IFERROR(INDEX(cat_MarcaN,MATCH(H274,cat_MarcaO,0)),H274))</f>
        <v>GENERAL ELECTRIC</v>
      </c>
      <c r="T274" s="34" t="str">
        <f aca="false">IF(I274="","SIN DATO",IFERROR(INDEX(cat_ModN,MATCH(I274,cat_ModO,0)),I274))</f>
        <v>MULTILIN</v>
      </c>
      <c r="U274" s="34" t="str">
        <f aca="false">IF(I274="","",IFERROR(INDEX(cat_ModG,MATCH(I274,cat_ModO,0)),"No"))</f>
        <v>Sí</v>
      </c>
      <c r="V274" s="34" t="str">
        <f aca="false">IF(J274="","SIN DATO",IFERROR(INDEX(cat_FunN,MATCH(J274,cat_FunO,0)),J274))</f>
        <v>Protección y medición</v>
      </c>
      <c r="W274" s="34" t="str">
        <f aca="false">IF(OR(S274="SIN DATO",T274="SIN DATO"),"No","Sí")</f>
        <v>Sí</v>
      </c>
    </row>
    <row r="275" customFormat="false" ht="15" hidden="false" customHeight="false" outlineLevel="0" collapsed="false">
      <c r="A275" s="34" t="s">
        <v>1269</v>
      </c>
      <c r="B275" s="34" t="s">
        <v>1270</v>
      </c>
      <c r="C275" s="34" t="s">
        <v>1271</v>
      </c>
      <c r="D275" s="34" t="s">
        <v>1272</v>
      </c>
      <c r="E275" s="34" t="s">
        <v>126</v>
      </c>
      <c r="F275" s="34" t="s">
        <v>1260</v>
      </c>
      <c r="G275" s="34" t="s">
        <v>1184</v>
      </c>
      <c r="H275" s="34" t="s">
        <v>61</v>
      </c>
      <c r="I275" s="34" t="s">
        <v>63</v>
      </c>
      <c r="J275" s="34" t="s">
        <v>228</v>
      </c>
      <c r="K275" s="34" t="s">
        <v>229</v>
      </c>
      <c r="L275" s="34" t="s">
        <v>230</v>
      </c>
      <c r="M275" s="34" t="s">
        <v>344</v>
      </c>
      <c r="N275" s="34" t="str">
        <f aca="false">"Sector "&amp;VALUE(MID(D275,13,2))</f>
        <v>Sector 4</v>
      </c>
      <c r="O275" s="34" t="str">
        <f aca="false">IF(Dashboard!$C$5="Ubicación técnica",N275,"Sector "&amp;VALUE(RIGHT(G275,2)))</f>
        <v>Sector 4</v>
      </c>
      <c r="P275" s="34" t="str">
        <f aca="false">IF(MID(D275,15,3)="SEL","Subestación eléctrica","Área de proceso")</f>
        <v>Área de proceso</v>
      </c>
      <c r="Q275" s="34" t="str">
        <f aca="false">MID(D275,13,5)&amp;"|"&amp;MID(D275,19,5)</f>
        <v>04DIB|SFRAC</v>
      </c>
      <c r="R275" s="34" t="str">
        <f aca="false">IF(P275="Subestación eléctrica",IFERROR(INDEX(cat_SubN,MATCH(Q275,cat_SubK,0)),"SIN CATALOGAR"),"ÁREA DE PROCESO")</f>
        <v>ÁREA DE PROCESO</v>
      </c>
      <c r="S275" s="34" t="str">
        <f aca="false">IF(H275="","SIN DATO",IFERROR(INDEX(cat_MarcaN,MATCH(H275,cat_MarcaO,0)),H275))</f>
        <v>GENERAL ELECTRIC</v>
      </c>
      <c r="T275" s="34" t="str">
        <f aca="false">IF(I275="","SIN DATO",IFERROR(INDEX(cat_ModN,MATCH(I275,cat_ModO,0)),I275))</f>
        <v>MULTILIN</v>
      </c>
      <c r="U275" s="34" t="str">
        <f aca="false">IF(I275="","",IFERROR(INDEX(cat_ModG,MATCH(I275,cat_ModO,0)),"No"))</f>
        <v>Sí</v>
      </c>
      <c r="V275" s="34" t="str">
        <f aca="false">IF(J275="","SIN DATO",IFERROR(INDEX(cat_FunN,MATCH(J275,cat_FunO,0)),J275))</f>
        <v>Protección y medición</v>
      </c>
      <c r="W275" s="34" t="str">
        <f aca="false">IF(OR(S275="SIN DATO",T275="SIN DATO"),"No","Sí")</f>
        <v>Sí</v>
      </c>
    </row>
    <row r="276" customFormat="false" ht="15" hidden="false" customHeight="false" outlineLevel="0" collapsed="false">
      <c r="A276" s="34" t="s">
        <v>1273</v>
      </c>
      <c r="B276" s="34" t="s">
        <v>1274</v>
      </c>
      <c r="C276" s="34" t="s">
        <v>1275</v>
      </c>
      <c r="D276" s="34" t="s">
        <v>1276</v>
      </c>
      <c r="E276" s="34" t="s">
        <v>126</v>
      </c>
      <c r="F276" s="34" t="s">
        <v>1260</v>
      </c>
      <c r="G276" s="34" t="s">
        <v>1184</v>
      </c>
      <c r="H276" s="34" t="s">
        <v>61</v>
      </c>
      <c r="I276" s="34" t="s">
        <v>63</v>
      </c>
      <c r="J276" s="34" t="s">
        <v>228</v>
      </c>
      <c r="K276" s="34" t="s">
        <v>229</v>
      </c>
      <c r="L276" s="34" t="s">
        <v>230</v>
      </c>
      <c r="M276" s="34" t="s">
        <v>344</v>
      </c>
      <c r="N276" s="34" t="str">
        <f aca="false">"Sector "&amp;VALUE(MID(D276,13,2))</f>
        <v>Sector 4</v>
      </c>
      <c r="O276" s="34" t="str">
        <f aca="false">IF(Dashboard!$C$5="Ubicación técnica",N276,"Sector "&amp;VALUE(RIGHT(G276,2)))</f>
        <v>Sector 4</v>
      </c>
      <c r="P276" s="34" t="str">
        <f aca="false">IF(MID(D276,15,3)="SEL","Subestación eléctrica","Área de proceso")</f>
        <v>Área de proceso</v>
      </c>
      <c r="Q276" s="34" t="str">
        <f aca="false">MID(D276,13,5)&amp;"|"&amp;MID(D276,19,5)</f>
        <v>04DIB|SFRAC</v>
      </c>
      <c r="R276" s="34" t="str">
        <f aca="false">IF(P276="Subestación eléctrica",IFERROR(INDEX(cat_SubN,MATCH(Q276,cat_SubK,0)),"SIN CATALOGAR"),"ÁREA DE PROCESO")</f>
        <v>ÁREA DE PROCESO</v>
      </c>
      <c r="S276" s="34" t="str">
        <f aca="false">IF(H276="","SIN DATO",IFERROR(INDEX(cat_MarcaN,MATCH(H276,cat_MarcaO,0)),H276))</f>
        <v>GENERAL ELECTRIC</v>
      </c>
      <c r="T276" s="34" t="str">
        <f aca="false">IF(I276="","SIN DATO",IFERROR(INDEX(cat_ModN,MATCH(I276,cat_ModO,0)),I276))</f>
        <v>MULTILIN</v>
      </c>
      <c r="U276" s="34" t="str">
        <f aca="false">IF(I276="","",IFERROR(INDEX(cat_ModG,MATCH(I276,cat_ModO,0)),"No"))</f>
        <v>Sí</v>
      </c>
      <c r="V276" s="34" t="str">
        <f aca="false">IF(J276="","SIN DATO",IFERROR(INDEX(cat_FunN,MATCH(J276,cat_FunO,0)),J276))</f>
        <v>Protección y medición</v>
      </c>
      <c r="W276" s="34" t="str">
        <f aca="false">IF(OR(S276="SIN DATO",T276="SIN DATO"),"No","Sí")</f>
        <v>Sí</v>
      </c>
    </row>
    <row r="277" customFormat="false" ht="15" hidden="false" customHeight="false" outlineLevel="0" collapsed="false">
      <c r="A277" s="34" t="s">
        <v>1277</v>
      </c>
      <c r="B277" s="34" t="s">
        <v>1278</v>
      </c>
      <c r="C277" s="34" t="s">
        <v>1279</v>
      </c>
      <c r="D277" s="34" t="s">
        <v>1280</v>
      </c>
      <c r="E277" s="34" t="s">
        <v>126</v>
      </c>
      <c r="F277" s="34" t="s">
        <v>1260</v>
      </c>
      <c r="G277" s="34" t="s">
        <v>1184</v>
      </c>
      <c r="H277" s="34" t="s">
        <v>61</v>
      </c>
      <c r="I277" s="34" t="s">
        <v>63</v>
      </c>
      <c r="J277" s="34" t="s">
        <v>228</v>
      </c>
      <c r="K277" s="34" t="s">
        <v>229</v>
      </c>
      <c r="L277" s="34" t="s">
        <v>230</v>
      </c>
      <c r="M277" s="34" t="s">
        <v>344</v>
      </c>
      <c r="N277" s="34" t="str">
        <f aca="false">"Sector "&amp;VALUE(MID(D277,13,2))</f>
        <v>Sector 4</v>
      </c>
      <c r="O277" s="34" t="str">
        <f aca="false">IF(Dashboard!$C$5="Ubicación técnica",N277,"Sector "&amp;VALUE(RIGHT(G277,2)))</f>
        <v>Sector 4</v>
      </c>
      <c r="P277" s="34" t="str">
        <f aca="false">IF(MID(D277,15,3)="SEL","Subestación eléctrica","Área de proceso")</f>
        <v>Área de proceso</v>
      </c>
      <c r="Q277" s="34" t="str">
        <f aca="false">MID(D277,13,5)&amp;"|"&amp;MID(D277,19,5)</f>
        <v>04DIB|SFRAC</v>
      </c>
      <c r="R277" s="34" t="str">
        <f aca="false">IF(P277="Subestación eléctrica",IFERROR(INDEX(cat_SubN,MATCH(Q277,cat_SubK,0)),"SIN CATALOGAR"),"ÁREA DE PROCESO")</f>
        <v>ÁREA DE PROCESO</v>
      </c>
      <c r="S277" s="34" t="str">
        <f aca="false">IF(H277="","SIN DATO",IFERROR(INDEX(cat_MarcaN,MATCH(H277,cat_MarcaO,0)),H277))</f>
        <v>GENERAL ELECTRIC</v>
      </c>
      <c r="T277" s="34" t="str">
        <f aca="false">IF(I277="","SIN DATO",IFERROR(INDEX(cat_ModN,MATCH(I277,cat_ModO,0)),I277))</f>
        <v>MULTILIN</v>
      </c>
      <c r="U277" s="34" t="str">
        <f aca="false">IF(I277="","",IFERROR(INDEX(cat_ModG,MATCH(I277,cat_ModO,0)),"No"))</f>
        <v>Sí</v>
      </c>
      <c r="V277" s="34" t="str">
        <f aca="false">IF(J277="","SIN DATO",IFERROR(INDEX(cat_FunN,MATCH(J277,cat_FunO,0)),J277))</f>
        <v>Protección y medición</v>
      </c>
      <c r="W277" s="34" t="str">
        <f aca="false">IF(OR(S277="SIN DATO",T277="SIN DATO"),"No","Sí")</f>
        <v>Sí</v>
      </c>
    </row>
    <row r="278" customFormat="false" ht="15" hidden="false" customHeight="false" outlineLevel="0" collapsed="false">
      <c r="A278" s="34" t="s">
        <v>1281</v>
      </c>
      <c r="B278" s="34" t="s">
        <v>1282</v>
      </c>
      <c r="C278" s="34" t="s">
        <v>1283</v>
      </c>
      <c r="D278" s="34" t="s">
        <v>1284</v>
      </c>
      <c r="E278" s="34" t="s">
        <v>126</v>
      </c>
      <c r="F278" s="34" t="s">
        <v>1260</v>
      </c>
      <c r="G278" s="34" t="s">
        <v>1184</v>
      </c>
      <c r="H278" s="34" t="s">
        <v>61</v>
      </c>
      <c r="I278" s="34" t="s">
        <v>63</v>
      </c>
      <c r="J278" s="34" t="s">
        <v>228</v>
      </c>
      <c r="K278" s="34" t="s">
        <v>229</v>
      </c>
      <c r="L278" s="34" t="s">
        <v>230</v>
      </c>
      <c r="M278" s="34" t="s">
        <v>344</v>
      </c>
      <c r="N278" s="34" t="str">
        <f aca="false">"Sector "&amp;VALUE(MID(D278,13,2))</f>
        <v>Sector 4</v>
      </c>
      <c r="O278" s="34" t="str">
        <f aca="false">IF(Dashboard!$C$5="Ubicación técnica",N278,"Sector "&amp;VALUE(RIGHT(G278,2)))</f>
        <v>Sector 4</v>
      </c>
      <c r="P278" s="34" t="str">
        <f aca="false">IF(MID(D278,15,3)="SEL","Subestación eléctrica","Área de proceso")</f>
        <v>Área de proceso</v>
      </c>
      <c r="Q278" s="34" t="str">
        <f aca="false">MID(D278,13,5)&amp;"|"&amp;MID(D278,19,5)</f>
        <v>04DIB|SFRAC</v>
      </c>
      <c r="R278" s="34" t="str">
        <f aca="false">IF(P278="Subestación eléctrica",IFERROR(INDEX(cat_SubN,MATCH(Q278,cat_SubK,0)),"SIN CATALOGAR"),"ÁREA DE PROCESO")</f>
        <v>ÁREA DE PROCESO</v>
      </c>
      <c r="S278" s="34" t="str">
        <f aca="false">IF(H278="","SIN DATO",IFERROR(INDEX(cat_MarcaN,MATCH(H278,cat_MarcaO,0)),H278))</f>
        <v>GENERAL ELECTRIC</v>
      </c>
      <c r="T278" s="34" t="str">
        <f aca="false">IF(I278="","SIN DATO",IFERROR(INDEX(cat_ModN,MATCH(I278,cat_ModO,0)),I278))</f>
        <v>MULTILIN</v>
      </c>
      <c r="U278" s="34" t="str">
        <f aca="false">IF(I278="","",IFERROR(INDEX(cat_ModG,MATCH(I278,cat_ModO,0)),"No"))</f>
        <v>Sí</v>
      </c>
      <c r="V278" s="34" t="str">
        <f aca="false">IF(J278="","SIN DATO",IFERROR(INDEX(cat_FunN,MATCH(J278,cat_FunO,0)),J278))</f>
        <v>Protección y medición</v>
      </c>
      <c r="W278" s="34" t="str">
        <f aca="false">IF(OR(S278="SIN DATO",T278="SIN DATO"),"No","Sí")</f>
        <v>Sí</v>
      </c>
    </row>
    <row r="279" customFormat="false" ht="15" hidden="false" customHeight="false" outlineLevel="0" collapsed="false">
      <c r="A279" s="34" t="s">
        <v>1285</v>
      </c>
      <c r="B279" s="34" t="s">
        <v>1286</v>
      </c>
      <c r="C279" s="34" t="s">
        <v>1287</v>
      </c>
      <c r="D279" s="34" t="s">
        <v>1288</v>
      </c>
      <c r="E279" s="34" t="s">
        <v>126</v>
      </c>
      <c r="F279" s="34" t="s">
        <v>1260</v>
      </c>
      <c r="G279" s="34" t="s">
        <v>1184</v>
      </c>
      <c r="H279" s="34" t="s">
        <v>61</v>
      </c>
      <c r="I279" s="34" t="s">
        <v>63</v>
      </c>
      <c r="J279" s="34" t="s">
        <v>228</v>
      </c>
      <c r="K279" s="34" t="s">
        <v>229</v>
      </c>
      <c r="L279" s="34" t="s">
        <v>230</v>
      </c>
      <c r="M279" s="34" t="s">
        <v>344</v>
      </c>
      <c r="N279" s="34" t="str">
        <f aca="false">"Sector "&amp;VALUE(MID(D279,13,2))</f>
        <v>Sector 4</v>
      </c>
      <c r="O279" s="34" t="str">
        <f aca="false">IF(Dashboard!$C$5="Ubicación técnica",N279,"Sector "&amp;VALUE(RIGHT(G279,2)))</f>
        <v>Sector 4</v>
      </c>
      <c r="P279" s="34" t="str">
        <f aca="false">IF(MID(D279,15,3)="SEL","Subestación eléctrica","Área de proceso")</f>
        <v>Área de proceso</v>
      </c>
      <c r="Q279" s="34" t="str">
        <f aca="false">MID(D279,13,5)&amp;"|"&amp;MID(D279,19,5)</f>
        <v>04DIB|SAMIN</v>
      </c>
      <c r="R279" s="34" t="str">
        <f aca="false">IF(P279="Subestación eléctrica",IFERROR(INDEX(cat_SubN,MATCH(Q279,cat_SubK,0)),"SIN CATALOGAR"),"ÁREA DE PROCESO")</f>
        <v>ÁREA DE PROCESO</v>
      </c>
      <c r="S279" s="34" t="str">
        <f aca="false">IF(H279="","SIN DATO",IFERROR(INDEX(cat_MarcaN,MATCH(H279,cat_MarcaO,0)),H279))</f>
        <v>GENERAL ELECTRIC</v>
      </c>
      <c r="T279" s="34" t="str">
        <f aca="false">IF(I279="","SIN DATO",IFERROR(INDEX(cat_ModN,MATCH(I279,cat_ModO,0)),I279))</f>
        <v>MULTILIN</v>
      </c>
      <c r="U279" s="34" t="str">
        <f aca="false">IF(I279="","",IFERROR(INDEX(cat_ModG,MATCH(I279,cat_ModO,0)),"No"))</f>
        <v>Sí</v>
      </c>
      <c r="V279" s="34" t="str">
        <f aca="false">IF(J279="","SIN DATO",IFERROR(INDEX(cat_FunN,MATCH(J279,cat_FunO,0)),J279))</f>
        <v>Protección y medición</v>
      </c>
      <c r="W279" s="34" t="str">
        <f aca="false">IF(OR(S279="SIN DATO",T279="SIN DATO"),"No","Sí")</f>
        <v>Sí</v>
      </c>
    </row>
    <row r="280" customFormat="false" ht="15" hidden="false" customHeight="false" outlineLevel="0" collapsed="false">
      <c r="A280" s="34" t="s">
        <v>1289</v>
      </c>
      <c r="B280" s="34" t="s">
        <v>1290</v>
      </c>
      <c r="C280" s="34" t="s">
        <v>1291</v>
      </c>
      <c r="D280" s="34" t="s">
        <v>1292</v>
      </c>
      <c r="E280" s="34" t="s">
        <v>126</v>
      </c>
      <c r="F280" s="34" t="s">
        <v>1260</v>
      </c>
      <c r="G280" s="34" t="s">
        <v>1184</v>
      </c>
      <c r="H280" s="34" t="s">
        <v>61</v>
      </c>
      <c r="I280" s="34" t="s">
        <v>63</v>
      </c>
      <c r="J280" s="34" t="s">
        <v>228</v>
      </c>
      <c r="K280" s="34" t="s">
        <v>229</v>
      </c>
      <c r="L280" s="34" t="s">
        <v>230</v>
      </c>
      <c r="M280" s="34" t="s">
        <v>344</v>
      </c>
      <c r="N280" s="34" t="str">
        <f aca="false">"Sector "&amp;VALUE(MID(D280,13,2))</f>
        <v>Sector 4</v>
      </c>
      <c r="O280" s="34" t="str">
        <f aca="false">IF(Dashboard!$C$5="Ubicación técnica",N280,"Sector "&amp;VALUE(RIGHT(G280,2)))</f>
        <v>Sector 4</v>
      </c>
      <c r="P280" s="34" t="str">
        <f aca="false">IF(MID(D280,15,3)="SEL","Subestación eléctrica","Área de proceso")</f>
        <v>Área de proceso</v>
      </c>
      <c r="Q280" s="34" t="str">
        <f aca="false">MID(D280,13,5)&amp;"|"&amp;MID(D280,19,5)</f>
        <v>04DIB|SFRAC</v>
      </c>
      <c r="R280" s="34" t="str">
        <f aca="false">IF(P280="Subestación eléctrica",IFERROR(INDEX(cat_SubN,MATCH(Q280,cat_SubK,0)),"SIN CATALOGAR"),"ÁREA DE PROCESO")</f>
        <v>ÁREA DE PROCESO</v>
      </c>
      <c r="S280" s="34" t="str">
        <f aca="false">IF(H280="","SIN DATO",IFERROR(INDEX(cat_MarcaN,MATCH(H280,cat_MarcaO,0)),H280))</f>
        <v>GENERAL ELECTRIC</v>
      </c>
      <c r="T280" s="34" t="str">
        <f aca="false">IF(I280="","SIN DATO",IFERROR(INDEX(cat_ModN,MATCH(I280,cat_ModO,0)),I280))</f>
        <v>MULTILIN</v>
      </c>
      <c r="U280" s="34" t="str">
        <f aca="false">IF(I280="","",IFERROR(INDEX(cat_ModG,MATCH(I280,cat_ModO,0)),"No"))</f>
        <v>Sí</v>
      </c>
      <c r="V280" s="34" t="str">
        <f aca="false">IF(J280="","SIN DATO",IFERROR(INDEX(cat_FunN,MATCH(J280,cat_FunO,0)),J280))</f>
        <v>Protección y medición</v>
      </c>
      <c r="W280" s="34" t="str">
        <f aca="false">IF(OR(S280="SIN DATO",T280="SIN DATO"),"No","Sí")</f>
        <v>Sí</v>
      </c>
    </row>
    <row r="281" customFormat="false" ht="15" hidden="false" customHeight="false" outlineLevel="0" collapsed="false">
      <c r="A281" s="34" t="s">
        <v>1293</v>
      </c>
      <c r="B281" s="34" t="s">
        <v>1294</v>
      </c>
      <c r="C281" s="34" t="s">
        <v>1295</v>
      </c>
      <c r="D281" s="34" t="s">
        <v>1296</v>
      </c>
      <c r="E281" s="34" t="s">
        <v>126</v>
      </c>
      <c r="F281" s="34" t="s">
        <v>1260</v>
      </c>
      <c r="G281" s="34" t="s">
        <v>1184</v>
      </c>
      <c r="H281" s="34" t="s">
        <v>61</v>
      </c>
      <c r="I281" s="34" t="s">
        <v>63</v>
      </c>
      <c r="J281" s="34" t="s">
        <v>228</v>
      </c>
      <c r="K281" s="34" t="s">
        <v>229</v>
      </c>
      <c r="L281" s="34" t="s">
        <v>230</v>
      </c>
      <c r="M281" s="34" t="s">
        <v>344</v>
      </c>
      <c r="N281" s="34" t="str">
        <f aca="false">"Sector "&amp;VALUE(MID(D281,13,2))</f>
        <v>Sector 4</v>
      </c>
      <c r="O281" s="34" t="str">
        <f aca="false">IF(Dashboard!$C$5="Ubicación técnica",N281,"Sector "&amp;VALUE(RIGHT(G281,2)))</f>
        <v>Sector 4</v>
      </c>
      <c r="P281" s="34" t="str">
        <f aca="false">IF(MID(D281,15,3)="SEL","Subestación eléctrica","Área de proceso")</f>
        <v>Área de proceso</v>
      </c>
      <c r="Q281" s="34" t="str">
        <f aca="false">MID(D281,13,5)&amp;"|"&amp;MID(D281,19,5)</f>
        <v>04DIB|SREAC</v>
      </c>
      <c r="R281" s="34" t="str">
        <f aca="false">IF(P281="Subestación eléctrica",IFERROR(INDEX(cat_SubN,MATCH(Q281,cat_SubK,0)),"SIN CATALOGAR"),"ÁREA DE PROCESO")</f>
        <v>ÁREA DE PROCESO</v>
      </c>
      <c r="S281" s="34" t="str">
        <f aca="false">IF(H281="","SIN DATO",IFERROR(INDEX(cat_MarcaN,MATCH(H281,cat_MarcaO,0)),H281))</f>
        <v>GENERAL ELECTRIC</v>
      </c>
      <c r="T281" s="34" t="str">
        <f aca="false">IF(I281="","SIN DATO",IFERROR(INDEX(cat_ModN,MATCH(I281,cat_ModO,0)),I281))</f>
        <v>MULTILIN</v>
      </c>
      <c r="U281" s="34" t="str">
        <f aca="false">IF(I281="","",IFERROR(INDEX(cat_ModG,MATCH(I281,cat_ModO,0)),"No"))</f>
        <v>Sí</v>
      </c>
      <c r="V281" s="34" t="str">
        <f aca="false">IF(J281="","SIN DATO",IFERROR(INDEX(cat_FunN,MATCH(J281,cat_FunO,0)),J281))</f>
        <v>Protección y medición</v>
      </c>
      <c r="W281" s="34" t="str">
        <f aca="false">IF(OR(S281="SIN DATO",T281="SIN DATO"),"No","Sí")</f>
        <v>Sí</v>
      </c>
    </row>
    <row r="282" customFormat="false" ht="15" hidden="false" customHeight="false" outlineLevel="0" collapsed="false">
      <c r="A282" s="34" t="s">
        <v>1297</v>
      </c>
      <c r="B282" s="34" t="s">
        <v>1298</v>
      </c>
      <c r="C282" s="34" t="s">
        <v>1299</v>
      </c>
      <c r="D282" s="34" t="s">
        <v>1300</v>
      </c>
      <c r="E282" s="34" t="s">
        <v>126</v>
      </c>
      <c r="F282" s="34" t="s">
        <v>1260</v>
      </c>
      <c r="G282" s="34" t="s">
        <v>1184</v>
      </c>
      <c r="H282" s="34" t="s">
        <v>61</v>
      </c>
      <c r="I282" s="34" t="s">
        <v>63</v>
      </c>
      <c r="J282" s="34" t="s">
        <v>228</v>
      </c>
      <c r="K282" s="34" t="s">
        <v>229</v>
      </c>
      <c r="L282" s="34" t="s">
        <v>230</v>
      </c>
      <c r="M282" s="34" t="s">
        <v>344</v>
      </c>
      <c r="N282" s="34" t="str">
        <f aca="false">"Sector "&amp;VALUE(MID(D282,13,2))</f>
        <v>Sector 4</v>
      </c>
      <c r="O282" s="34" t="str">
        <f aca="false">IF(Dashboard!$C$5="Ubicación técnica",N282,"Sector "&amp;VALUE(RIGHT(G282,2)))</f>
        <v>Sector 4</v>
      </c>
      <c r="P282" s="34" t="str">
        <f aca="false">IF(MID(D282,15,3)="SEL","Subestación eléctrica","Área de proceso")</f>
        <v>Área de proceso</v>
      </c>
      <c r="Q282" s="34" t="str">
        <f aca="false">MID(D282,13,5)&amp;"|"&amp;MID(D282,19,5)</f>
        <v>04DIB|SREAC</v>
      </c>
      <c r="R282" s="34" t="str">
        <f aca="false">IF(P282="Subestación eléctrica",IFERROR(INDEX(cat_SubN,MATCH(Q282,cat_SubK,0)),"SIN CATALOGAR"),"ÁREA DE PROCESO")</f>
        <v>ÁREA DE PROCESO</v>
      </c>
      <c r="S282" s="34" t="str">
        <f aca="false">IF(H282="","SIN DATO",IFERROR(INDEX(cat_MarcaN,MATCH(H282,cat_MarcaO,0)),H282))</f>
        <v>GENERAL ELECTRIC</v>
      </c>
      <c r="T282" s="34" t="str">
        <f aca="false">IF(I282="","SIN DATO",IFERROR(INDEX(cat_ModN,MATCH(I282,cat_ModO,0)),I282))</f>
        <v>MULTILIN</v>
      </c>
      <c r="U282" s="34" t="str">
        <f aca="false">IF(I282="","",IFERROR(INDEX(cat_ModG,MATCH(I282,cat_ModO,0)),"No"))</f>
        <v>Sí</v>
      </c>
      <c r="V282" s="34" t="str">
        <f aca="false">IF(J282="","SIN DATO",IFERROR(INDEX(cat_FunN,MATCH(J282,cat_FunO,0)),J282))</f>
        <v>Protección y medición</v>
      </c>
      <c r="W282" s="34" t="str">
        <f aca="false">IF(OR(S282="SIN DATO",T282="SIN DATO"),"No","Sí")</f>
        <v>Sí</v>
      </c>
    </row>
    <row r="283" customFormat="false" ht="15" hidden="false" customHeight="false" outlineLevel="0" collapsed="false">
      <c r="A283" s="34" t="s">
        <v>1301</v>
      </c>
      <c r="B283" s="34" t="s">
        <v>1302</v>
      </c>
      <c r="C283" s="34" t="s">
        <v>1303</v>
      </c>
      <c r="D283" s="34" t="s">
        <v>1300</v>
      </c>
      <c r="E283" s="34" t="s">
        <v>126</v>
      </c>
      <c r="F283" s="34" t="s">
        <v>1260</v>
      </c>
      <c r="G283" s="34" t="s">
        <v>1184</v>
      </c>
      <c r="H283" s="34" t="s">
        <v>61</v>
      </c>
      <c r="I283" s="34" t="s">
        <v>63</v>
      </c>
      <c r="J283" s="34" t="s">
        <v>228</v>
      </c>
      <c r="K283" s="34" t="s">
        <v>229</v>
      </c>
      <c r="L283" s="34" t="s">
        <v>230</v>
      </c>
      <c r="M283" s="34" t="s">
        <v>344</v>
      </c>
      <c r="N283" s="34" t="str">
        <f aca="false">"Sector "&amp;VALUE(MID(D283,13,2))</f>
        <v>Sector 4</v>
      </c>
      <c r="O283" s="34" t="str">
        <f aca="false">IF(Dashboard!$C$5="Ubicación técnica",N283,"Sector "&amp;VALUE(RIGHT(G283,2)))</f>
        <v>Sector 4</v>
      </c>
      <c r="P283" s="34" t="str">
        <f aca="false">IF(MID(D283,15,3)="SEL","Subestación eléctrica","Área de proceso")</f>
        <v>Área de proceso</v>
      </c>
      <c r="Q283" s="34" t="str">
        <f aca="false">MID(D283,13,5)&amp;"|"&amp;MID(D283,19,5)</f>
        <v>04DIB|SREAC</v>
      </c>
      <c r="R283" s="34" t="str">
        <f aca="false">IF(P283="Subestación eléctrica",IFERROR(INDEX(cat_SubN,MATCH(Q283,cat_SubK,0)),"SIN CATALOGAR"),"ÁREA DE PROCESO")</f>
        <v>ÁREA DE PROCESO</v>
      </c>
      <c r="S283" s="34" t="str">
        <f aca="false">IF(H283="","SIN DATO",IFERROR(INDEX(cat_MarcaN,MATCH(H283,cat_MarcaO,0)),H283))</f>
        <v>GENERAL ELECTRIC</v>
      </c>
      <c r="T283" s="34" t="str">
        <f aca="false">IF(I283="","SIN DATO",IFERROR(INDEX(cat_ModN,MATCH(I283,cat_ModO,0)),I283))</f>
        <v>MULTILIN</v>
      </c>
      <c r="U283" s="34" t="str">
        <f aca="false">IF(I283="","",IFERROR(INDEX(cat_ModG,MATCH(I283,cat_ModO,0)),"No"))</f>
        <v>Sí</v>
      </c>
      <c r="V283" s="34" t="str">
        <f aca="false">IF(J283="","SIN DATO",IFERROR(INDEX(cat_FunN,MATCH(J283,cat_FunO,0)),J283))</f>
        <v>Protección y medición</v>
      </c>
      <c r="W283" s="34" t="str">
        <f aca="false">IF(OR(S283="SIN DATO",T283="SIN DATO"),"No","Sí")</f>
        <v>Sí</v>
      </c>
    </row>
    <row r="284" customFormat="false" ht="15" hidden="false" customHeight="false" outlineLevel="0" collapsed="false">
      <c r="A284" s="34" t="s">
        <v>1304</v>
      </c>
      <c r="B284" s="34" t="s">
        <v>1305</v>
      </c>
      <c r="C284" s="34" t="s">
        <v>1306</v>
      </c>
      <c r="D284" s="34" t="s">
        <v>1307</v>
      </c>
      <c r="E284" s="34" t="s">
        <v>126</v>
      </c>
      <c r="F284" s="34" t="s">
        <v>1260</v>
      </c>
      <c r="G284" s="34" t="s">
        <v>1184</v>
      </c>
      <c r="H284" s="34" t="s">
        <v>61</v>
      </c>
      <c r="I284" s="34" t="s">
        <v>63</v>
      </c>
      <c r="J284" s="34" t="s">
        <v>228</v>
      </c>
      <c r="K284" s="34" t="s">
        <v>229</v>
      </c>
      <c r="L284" s="34" t="s">
        <v>230</v>
      </c>
      <c r="M284" s="34" t="s">
        <v>344</v>
      </c>
      <c r="N284" s="34" t="str">
        <f aca="false">"Sector "&amp;VALUE(MID(D284,13,2))</f>
        <v>Sector 4</v>
      </c>
      <c r="O284" s="34" t="str">
        <f aca="false">IF(Dashboard!$C$5="Ubicación técnica",N284,"Sector "&amp;VALUE(RIGHT(G284,2)))</f>
        <v>Sector 4</v>
      </c>
      <c r="P284" s="34" t="str">
        <f aca="false">IF(MID(D284,15,3)="SEL","Subestación eléctrica","Área de proceso")</f>
        <v>Área de proceso</v>
      </c>
      <c r="Q284" s="34" t="str">
        <f aca="false">MID(D284,13,5)&amp;"|"&amp;MID(D284,19,5)</f>
        <v>04DIB|SCOMP</v>
      </c>
      <c r="R284" s="34" t="str">
        <f aca="false">IF(P284="Subestación eléctrica",IFERROR(INDEX(cat_SubN,MATCH(Q284,cat_SubK,0)),"SIN CATALOGAR"),"ÁREA DE PROCESO")</f>
        <v>ÁREA DE PROCESO</v>
      </c>
      <c r="S284" s="34" t="str">
        <f aca="false">IF(H284="","SIN DATO",IFERROR(INDEX(cat_MarcaN,MATCH(H284,cat_MarcaO,0)),H284))</f>
        <v>GENERAL ELECTRIC</v>
      </c>
      <c r="T284" s="34" t="str">
        <f aca="false">IF(I284="","SIN DATO",IFERROR(INDEX(cat_ModN,MATCH(I284,cat_ModO,0)),I284))</f>
        <v>MULTILIN</v>
      </c>
      <c r="U284" s="34" t="str">
        <f aca="false">IF(I284="","",IFERROR(INDEX(cat_ModG,MATCH(I284,cat_ModO,0)),"No"))</f>
        <v>Sí</v>
      </c>
      <c r="V284" s="34" t="str">
        <f aca="false">IF(J284="","SIN DATO",IFERROR(INDEX(cat_FunN,MATCH(J284,cat_FunO,0)),J284))</f>
        <v>Protección y medición</v>
      </c>
      <c r="W284" s="34" t="str">
        <f aca="false">IF(OR(S284="SIN DATO",T284="SIN DATO"),"No","Sí")</f>
        <v>Sí</v>
      </c>
    </row>
    <row r="285" customFormat="false" ht="15" hidden="false" customHeight="false" outlineLevel="0" collapsed="false">
      <c r="A285" s="34" t="s">
        <v>1308</v>
      </c>
      <c r="B285" s="34" t="s">
        <v>1309</v>
      </c>
      <c r="C285" s="34" t="s">
        <v>1310</v>
      </c>
      <c r="D285" s="34" t="s">
        <v>1307</v>
      </c>
      <c r="E285" s="34" t="s">
        <v>126</v>
      </c>
      <c r="F285" s="34" t="s">
        <v>1260</v>
      </c>
      <c r="G285" s="34" t="s">
        <v>1184</v>
      </c>
      <c r="H285" s="34" t="s">
        <v>61</v>
      </c>
      <c r="I285" s="34" t="s">
        <v>63</v>
      </c>
      <c r="J285" s="34" t="s">
        <v>228</v>
      </c>
      <c r="K285" s="34" t="s">
        <v>229</v>
      </c>
      <c r="L285" s="34" t="s">
        <v>230</v>
      </c>
      <c r="M285" s="34" t="s">
        <v>344</v>
      </c>
      <c r="N285" s="34" t="str">
        <f aca="false">"Sector "&amp;VALUE(MID(D285,13,2))</f>
        <v>Sector 4</v>
      </c>
      <c r="O285" s="34" t="str">
        <f aca="false">IF(Dashboard!$C$5="Ubicación técnica",N285,"Sector "&amp;VALUE(RIGHT(G285,2)))</f>
        <v>Sector 4</v>
      </c>
      <c r="P285" s="34" t="str">
        <f aca="false">IF(MID(D285,15,3)="SEL","Subestación eléctrica","Área de proceso")</f>
        <v>Área de proceso</v>
      </c>
      <c r="Q285" s="34" t="str">
        <f aca="false">MID(D285,13,5)&amp;"|"&amp;MID(D285,19,5)</f>
        <v>04DIB|SCOMP</v>
      </c>
      <c r="R285" s="34" t="str">
        <f aca="false">IF(P285="Subestación eléctrica",IFERROR(INDEX(cat_SubN,MATCH(Q285,cat_SubK,0)),"SIN CATALOGAR"),"ÁREA DE PROCESO")</f>
        <v>ÁREA DE PROCESO</v>
      </c>
      <c r="S285" s="34" t="str">
        <f aca="false">IF(H285="","SIN DATO",IFERROR(INDEX(cat_MarcaN,MATCH(H285,cat_MarcaO,0)),H285))</f>
        <v>GENERAL ELECTRIC</v>
      </c>
      <c r="T285" s="34" t="str">
        <f aca="false">IF(I285="","SIN DATO",IFERROR(INDEX(cat_ModN,MATCH(I285,cat_ModO,0)),I285))</f>
        <v>MULTILIN</v>
      </c>
      <c r="U285" s="34" t="str">
        <f aca="false">IF(I285="","",IFERROR(INDEX(cat_ModG,MATCH(I285,cat_ModO,0)),"No"))</f>
        <v>Sí</v>
      </c>
      <c r="V285" s="34" t="str">
        <f aca="false">IF(J285="","SIN DATO",IFERROR(INDEX(cat_FunN,MATCH(J285,cat_FunO,0)),J285))</f>
        <v>Protección y medición</v>
      </c>
      <c r="W285" s="34" t="str">
        <f aca="false">IF(OR(S285="SIN DATO",T285="SIN DATO"),"No","Sí")</f>
        <v>Sí</v>
      </c>
    </row>
    <row r="286" customFormat="false" ht="15" hidden="false" customHeight="false" outlineLevel="0" collapsed="false">
      <c r="A286" s="34" t="s">
        <v>1311</v>
      </c>
      <c r="B286" s="34" t="s">
        <v>1312</v>
      </c>
      <c r="C286" s="34" t="s">
        <v>1313</v>
      </c>
      <c r="D286" s="34" t="s">
        <v>1314</v>
      </c>
      <c r="E286" s="34" t="s">
        <v>126</v>
      </c>
      <c r="F286" s="34" t="s">
        <v>1260</v>
      </c>
      <c r="G286" s="34" t="s">
        <v>1184</v>
      </c>
      <c r="H286" s="34" t="s">
        <v>61</v>
      </c>
      <c r="I286" s="34" t="s">
        <v>63</v>
      </c>
      <c r="J286" s="34" t="s">
        <v>228</v>
      </c>
      <c r="K286" s="34" t="s">
        <v>229</v>
      </c>
      <c r="L286" s="34" t="s">
        <v>230</v>
      </c>
      <c r="M286" s="34" t="s">
        <v>344</v>
      </c>
      <c r="N286" s="34" t="str">
        <f aca="false">"Sector "&amp;VALUE(MID(D286,13,2))</f>
        <v>Sector 4</v>
      </c>
      <c r="O286" s="34" t="str">
        <f aca="false">IF(Dashboard!$C$5="Ubicación técnica",N286,"Sector "&amp;VALUE(RIGHT(G286,2)))</f>
        <v>Sector 4</v>
      </c>
      <c r="P286" s="34" t="str">
        <f aca="false">IF(MID(D286,15,3)="SEL","Subestación eléctrica","Área de proceso")</f>
        <v>Área de proceso</v>
      </c>
      <c r="Q286" s="34" t="str">
        <f aca="false">MID(D286,13,5)&amp;"|"&amp;MID(D286,19,5)</f>
        <v>04DIB|SCOMP</v>
      </c>
      <c r="R286" s="34" t="str">
        <f aca="false">IF(P286="Subestación eléctrica",IFERROR(INDEX(cat_SubN,MATCH(Q286,cat_SubK,0)),"SIN CATALOGAR"),"ÁREA DE PROCESO")</f>
        <v>ÁREA DE PROCESO</v>
      </c>
      <c r="S286" s="34" t="str">
        <f aca="false">IF(H286="","SIN DATO",IFERROR(INDEX(cat_MarcaN,MATCH(H286,cat_MarcaO,0)),H286))</f>
        <v>GENERAL ELECTRIC</v>
      </c>
      <c r="T286" s="34" t="str">
        <f aca="false">IF(I286="","SIN DATO",IFERROR(INDEX(cat_ModN,MATCH(I286,cat_ModO,0)),I286))</f>
        <v>MULTILIN</v>
      </c>
      <c r="U286" s="34" t="str">
        <f aca="false">IF(I286="","",IFERROR(INDEX(cat_ModG,MATCH(I286,cat_ModO,0)),"No"))</f>
        <v>Sí</v>
      </c>
      <c r="V286" s="34" t="str">
        <f aca="false">IF(J286="","SIN DATO",IFERROR(INDEX(cat_FunN,MATCH(J286,cat_FunO,0)),J286))</f>
        <v>Protección y medición</v>
      </c>
      <c r="W286" s="34" t="str">
        <f aca="false">IF(OR(S286="SIN DATO",T286="SIN DATO"),"No","Sí")</f>
        <v>Sí</v>
      </c>
    </row>
    <row r="287" customFormat="false" ht="15" hidden="false" customHeight="false" outlineLevel="0" collapsed="false">
      <c r="A287" s="34" t="s">
        <v>1315</v>
      </c>
      <c r="B287" s="34" t="s">
        <v>1316</v>
      </c>
      <c r="C287" s="34" t="s">
        <v>1317</v>
      </c>
      <c r="D287" s="34" t="s">
        <v>1314</v>
      </c>
      <c r="E287" s="34" t="s">
        <v>126</v>
      </c>
      <c r="F287" s="34" t="s">
        <v>1260</v>
      </c>
      <c r="G287" s="34" t="s">
        <v>1184</v>
      </c>
      <c r="H287" s="34" t="s">
        <v>61</v>
      </c>
      <c r="I287" s="34" t="s">
        <v>63</v>
      </c>
      <c r="J287" s="34" t="s">
        <v>228</v>
      </c>
      <c r="K287" s="34" t="s">
        <v>229</v>
      </c>
      <c r="L287" s="34" t="s">
        <v>230</v>
      </c>
      <c r="M287" s="34" t="s">
        <v>344</v>
      </c>
      <c r="N287" s="34" t="str">
        <f aca="false">"Sector "&amp;VALUE(MID(D287,13,2))</f>
        <v>Sector 4</v>
      </c>
      <c r="O287" s="34" t="str">
        <f aca="false">IF(Dashboard!$C$5="Ubicación técnica",N287,"Sector "&amp;VALUE(RIGHT(G287,2)))</f>
        <v>Sector 4</v>
      </c>
      <c r="P287" s="34" t="str">
        <f aca="false">IF(MID(D287,15,3)="SEL","Subestación eléctrica","Área de proceso")</f>
        <v>Área de proceso</v>
      </c>
      <c r="Q287" s="34" t="str">
        <f aca="false">MID(D287,13,5)&amp;"|"&amp;MID(D287,19,5)</f>
        <v>04DIB|SCOMP</v>
      </c>
      <c r="R287" s="34" t="str">
        <f aca="false">IF(P287="Subestación eléctrica",IFERROR(INDEX(cat_SubN,MATCH(Q287,cat_SubK,0)),"SIN CATALOGAR"),"ÁREA DE PROCESO")</f>
        <v>ÁREA DE PROCESO</v>
      </c>
      <c r="S287" s="34" t="str">
        <f aca="false">IF(H287="","SIN DATO",IFERROR(INDEX(cat_MarcaN,MATCH(H287,cat_MarcaO,0)),H287))</f>
        <v>GENERAL ELECTRIC</v>
      </c>
      <c r="T287" s="34" t="str">
        <f aca="false">IF(I287="","SIN DATO",IFERROR(INDEX(cat_ModN,MATCH(I287,cat_ModO,0)),I287))</f>
        <v>MULTILIN</v>
      </c>
      <c r="U287" s="34" t="str">
        <f aca="false">IF(I287="","",IFERROR(INDEX(cat_ModG,MATCH(I287,cat_ModO,0)),"No"))</f>
        <v>Sí</v>
      </c>
      <c r="V287" s="34" t="str">
        <f aca="false">IF(J287="","SIN DATO",IFERROR(INDEX(cat_FunN,MATCH(J287,cat_FunO,0)),J287))</f>
        <v>Protección y medición</v>
      </c>
      <c r="W287" s="34" t="str">
        <f aca="false">IF(OR(S287="SIN DATO",T287="SIN DATO"),"No","Sí")</f>
        <v>Sí</v>
      </c>
    </row>
    <row r="288" customFormat="false" ht="15" hidden="false" customHeight="false" outlineLevel="0" collapsed="false">
      <c r="A288" s="34" t="s">
        <v>1318</v>
      </c>
      <c r="B288" s="34" t="s">
        <v>1319</v>
      </c>
      <c r="C288" s="34" t="s">
        <v>1320</v>
      </c>
      <c r="D288" s="34" t="s">
        <v>1321</v>
      </c>
      <c r="E288" s="34" t="s">
        <v>126</v>
      </c>
      <c r="F288" s="34" t="s">
        <v>1260</v>
      </c>
      <c r="G288" s="34" t="s">
        <v>1184</v>
      </c>
      <c r="H288" s="34" t="s">
        <v>61</v>
      </c>
      <c r="I288" s="34" t="s">
        <v>63</v>
      </c>
      <c r="J288" s="34" t="s">
        <v>228</v>
      </c>
      <c r="K288" s="34" t="s">
        <v>229</v>
      </c>
      <c r="L288" s="34" t="s">
        <v>230</v>
      </c>
      <c r="M288" s="34" t="s">
        <v>344</v>
      </c>
      <c r="N288" s="34" t="str">
        <f aca="false">"Sector "&amp;VALUE(MID(D288,13,2))</f>
        <v>Sector 4</v>
      </c>
      <c r="O288" s="34" t="str">
        <f aca="false">IF(Dashboard!$C$5="Ubicación técnica",N288,"Sector "&amp;VALUE(RIGHT(G288,2)))</f>
        <v>Sector 4</v>
      </c>
      <c r="P288" s="34" t="str">
        <f aca="false">IF(MID(D288,15,3)="SEL","Subestación eléctrica","Área de proceso")</f>
        <v>Área de proceso</v>
      </c>
      <c r="Q288" s="34" t="str">
        <f aca="false">MID(D288,13,5)&amp;"|"&amp;MID(D288,19,5)</f>
        <v>04DIB|SCOMP</v>
      </c>
      <c r="R288" s="34" t="str">
        <f aca="false">IF(P288="Subestación eléctrica",IFERROR(INDEX(cat_SubN,MATCH(Q288,cat_SubK,0)),"SIN CATALOGAR"),"ÁREA DE PROCESO")</f>
        <v>ÁREA DE PROCESO</v>
      </c>
      <c r="S288" s="34" t="str">
        <f aca="false">IF(H288="","SIN DATO",IFERROR(INDEX(cat_MarcaN,MATCH(H288,cat_MarcaO,0)),H288))</f>
        <v>GENERAL ELECTRIC</v>
      </c>
      <c r="T288" s="34" t="str">
        <f aca="false">IF(I288="","SIN DATO",IFERROR(INDEX(cat_ModN,MATCH(I288,cat_ModO,0)),I288))</f>
        <v>MULTILIN</v>
      </c>
      <c r="U288" s="34" t="str">
        <f aca="false">IF(I288="","",IFERROR(INDEX(cat_ModG,MATCH(I288,cat_ModO,0)),"No"))</f>
        <v>Sí</v>
      </c>
      <c r="V288" s="34" t="str">
        <f aca="false">IF(J288="","SIN DATO",IFERROR(INDEX(cat_FunN,MATCH(J288,cat_FunO,0)),J288))</f>
        <v>Protección y medición</v>
      </c>
      <c r="W288" s="34" t="str">
        <f aca="false">IF(OR(S288="SIN DATO",T288="SIN DATO"),"No","Sí")</f>
        <v>Sí</v>
      </c>
    </row>
    <row r="289" customFormat="false" ht="15" hidden="false" customHeight="false" outlineLevel="0" collapsed="false">
      <c r="A289" s="34" t="s">
        <v>1322</v>
      </c>
      <c r="B289" s="34" t="s">
        <v>1323</v>
      </c>
      <c r="C289" s="34" t="s">
        <v>1324</v>
      </c>
      <c r="D289" s="34" t="s">
        <v>1321</v>
      </c>
      <c r="E289" s="34" t="s">
        <v>126</v>
      </c>
      <c r="F289" s="34" t="s">
        <v>1260</v>
      </c>
      <c r="G289" s="34" t="s">
        <v>1184</v>
      </c>
      <c r="H289" s="34" t="s">
        <v>61</v>
      </c>
      <c r="I289" s="34" t="s">
        <v>63</v>
      </c>
      <c r="J289" s="34" t="s">
        <v>228</v>
      </c>
      <c r="K289" s="34" t="s">
        <v>229</v>
      </c>
      <c r="L289" s="34" t="s">
        <v>230</v>
      </c>
      <c r="M289" s="34" t="s">
        <v>344</v>
      </c>
      <c r="N289" s="34" t="str">
        <f aca="false">"Sector "&amp;VALUE(MID(D289,13,2))</f>
        <v>Sector 4</v>
      </c>
      <c r="O289" s="34" t="str">
        <f aca="false">IF(Dashboard!$C$5="Ubicación técnica",N289,"Sector "&amp;VALUE(RIGHT(G289,2)))</f>
        <v>Sector 4</v>
      </c>
      <c r="P289" s="34" t="str">
        <f aca="false">IF(MID(D289,15,3)="SEL","Subestación eléctrica","Área de proceso")</f>
        <v>Área de proceso</v>
      </c>
      <c r="Q289" s="34" t="str">
        <f aca="false">MID(D289,13,5)&amp;"|"&amp;MID(D289,19,5)</f>
        <v>04DIB|SCOMP</v>
      </c>
      <c r="R289" s="34" t="str">
        <f aca="false">IF(P289="Subestación eléctrica",IFERROR(INDEX(cat_SubN,MATCH(Q289,cat_SubK,0)),"SIN CATALOGAR"),"ÁREA DE PROCESO")</f>
        <v>ÁREA DE PROCESO</v>
      </c>
      <c r="S289" s="34" t="str">
        <f aca="false">IF(H289="","SIN DATO",IFERROR(INDEX(cat_MarcaN,MATCH(H289,cat_MarcaO,0)),H289))</f>
        <v>GENERAL ELECTRIC</v>
      </c>
      <c r="T289" s="34" t="str">
        <f aca="false">IF(I289="","SIN DATO",IFERROR(INDEX(cat_ModN,MATCH(I289,cat_ModO,0)),I289))</f>
        <v>MULTILIN</v>
      </c>
      <c r="U289" s="34" t="str">
        <f aca="false">IF(I289="","",IFERROR(INDEX(cat_ModG,MATCH(I289,cat_ModO,0)),"No"))</f>
        <v>Sí</v>
      </c>
      <c r="V289" s="34" t="str">
        <f aca="false">IF(J289="","SIN DATO",IFERROR(INDEX(cat_FunN,MATCH(J289,cat_FunO,0)),J289))</f>
        <v>Protección y medición</v>
      </c>
      <c r="W289" s="34" t="str">
        <f aca="false">IF(OR(S289="SIN DATO",T289="SIN DATO"),"No","Sí")</f>
        <v>Sí</v>
      </c>
    </row>
    <row r="290" customFormat="false" ht="15" hidden="false" customHeight="false" outlineLevel="0" collapsed="false">
      <c r="A290" s="34" t="s">
        <v>1325</v>
      </c>
      <c r="B290" s="34" t="s">
        <v>1326</v>
      </c>
      <c r="C290" s="34" t="s">
        <v>1327</v>
      </c>
      <c r="D290" s="34" t="s">
        <v>1328</v>
      </c>
      <c r="E290" s="34" t="s">
        <v>126</v>
      </c>
      <c r="F290" s="34" t="s">
        <v>1260</v>
      </c>
      <c r="G290" s="34" t="s">
        <v>1184</v>
      </c>
      <c r="H290" s="34" t="s">
        <v>61</v>
      </c>
      <c r="I290" s="34" t="s">
        <v>63</v>
      </c>
      <c r="J290" s="34" t="s">
        <v>228</v>
      </c>
      <c r="K290" s="34" t="s">
        <v>229</v>
      </c>
      <c r="L290" s="34" t="s">
        <v>230</v>
      </c>
      <c r="M290" s="34" t="s">
        <v>344</v>
      </c>
      <c r="N290" s="34" t="str">
        <f aca="false">"Sector "&amp;VALUE(MID(D290,13,2))</f>
        <v>Sector 4</v>
      </c>
      <c r="O290" s="34" t="str">
        <f aca="false">IF(Dashboard!$C$5="Ubicación técnica",N290,"Sector "&amp;VALUE(RIGHT(G290,2)))</f>
        <v>Sector 4</v>
      </c>
      <c r="P290" s="34" t="str">
        <f aca="false">IF(MID(D290,15,3)="SEL","Subestación eléctrica","Área de proceso")</f>
        <v>Área de proceso</v>
      </c>
      <c r="Q290" s="34" t="str">
        <f aca="false">MID(D290,13,5)&amp;"|"&amp;MID(D290,19,5)</f>
        <v>04DIB|SREAC</v>
      </c>
      <c r="R290" s="34" t="str">
        <f aca="false">IF(P290="Subestación eléctrica",IFERROR(INDEX(cat_SubN,MATCH(Q290,cat_SubK,0)),"SIN CATALOGAR"),"ÁREA DE PROCESO")</f>
        <v>ÁREA DE PROCESO</v>
      </c>
      <c r="S290" s="34" t="str">
        <f aca="false">IF(H290="","SIN DATO",IFERROR(INDEX(cat_MarcaN,MATCH(H290,cat_MarcaO,0)),H290))</f>
        <v>GENERAL ELECTRIC</v>
      </c>
      <c r="T290" s="34" t="str">
        <f aca="false">IF(I290="","SIN DATO",IFERROR(INDEX(cat_ModN,MATCH(I290,cat_ModO,0)),I290))</f>
        <v>MULTILIN</v>
      </c>
      <c r="U290" s="34" t="str">
        <f aca="false">IF(I290="","",IFERROR(INDEX(cat_ModG,MATCH(I290,cat_ModO,0)),"No"))</f>
        <v>Sí</v>
      </c>
      <c r="V290" s="34" t="str">
        <f aca="false">IF(J290="","SIN DATO",IFERROR(INDEX(cat_FunN,MATCH(J290,cat_FunO,0)),J290))</f>
        <v>Protección y medición</v>
      </c>
      <c r="W290" s="34" t="str">
        <f aca="false">IF(OR(S290="SIN DATO",T290="SIN DATO"),"No","Sí")</f>
        <v>Sí</v>
      </c>
    </row>
    <row r="291" customFormat="false" ht="15" hidden="false" customHeight="false" outlineLevel="0" collapsed="false">
      <c r="A291" s="34" t="s">
        <v>1329</v>
      </c>
      <c r="B291" s="34" t="s">
        <v>1330</v>
      </c>
      <c r="C291" s="34" t="s">
        <v>1331</v>
      </c>
      <c r="D291" s="34" t="s">
        <v>1328</v>
      </c>
      <c r="E291" s="34" t="s">
        <v>126</v>
      </c>
      <c r="F291" s="34" t="s">
        <v>1260</v>
      </c>
      <c r="G291" s="34" t="s">
        <v>1184</v>
      </c>
      <c r="H291" s="34" t="s">
        <v>61</v>
      </c>
      <c r="I291" s="34" t="s">
        <v>63</v>
      </c>
      <c r="J291" s="34" t="s">
        <v>228</v>
      </c>
      <c r="K291" s="34" t="s">
        <v>229</v>
      </c>
      <c r="L291" s="34" t="s">
        <v>230</v>
      </c>
      <c r="M291" s="34" t="s">
        <v>344</v>
      </c>
      <c r="N291" s="34" t="str">
        <f aca="false">"Sector "&amp;VALUE(MID(D291,13,2))</f>
        <v>Sector 4</v>
      </c>
      <c r="O291" s="34" t="str">
        <f aca="false">IF(Dashboard!$C$5="Ubicación técnica",N291,"Sector "&amp;VALUE(RIGHT(G291,2)))</f>
        <v>Sector 4</v>
      </c>
      <c r="P291" s="34" t="str">
        <f aca="false">IF(MID(D291,15,3)="SEL","Subestación eléctrica","Área de proceso")</f>
        <v>Área de proceso</v>
      </c>
      <c r="Q291" s="34" t="str">
        <f aca="false">MID(D291,13,5)&amp;"|"&amp;MID(D291,19,5)</f>
        <v>04DIB|SREAC</v>
      </c>
      <c r="R291" s="34" t="str">
        <f aca="false">IF(P291="Subestación eléctrica",IFERROR(INDEX(cat_SubN,MATCH(Q291,cat_SubK,0)),"SIN CATALOGAR"),"ÁREA DE PROCESO")</f>
        <v>ÁREA DE PROCESO</v>
      </c>
      <c r="S291" s="34" t="str">
        <f aca="false">IF(H291="","SIN DATO",IFERROR(INDEX(cat_MarcaN,MATCH(H291,cat_MarcaO,0)),H291))</f>
        <v>GENERAL ELECTRIC</v>
      </c>
      <c r="T291" s="34" t="str">
        <f aca="false">IF(I291="","SIN DATO",IFERROR(INDEX(cat_ModN,MATCH(I291,cat_ModO,0)),I291))</f>
        <v>MULTILIN</v>
      </c>
      <c r="U291" s="34" t="str">
        <f aca="false">IF(I291="","",IFERROR(INDEX(cat_ModG,MATCH(I291,cat_ModO,0)),"No"))</f>
        <v>Sí</v>
      </c>
      <c r="V291" s="34" t="str">
        <f aca="false">IF(J291="","SIN DATO",IFERROR(INDEX(cat_FunN,MATCH(J291,cat_FunO,0)),J291))</f>
        <v>Protección y medición</v>
      </c>
      <c r="W291" s="34" t="str">
        <f aca="false">IF(OR(S291="SIN DATO",T291="SIN DATO"),"No","Sí")</f>
        <v>Sí</v>
      </c>
    </row>
    <row r="292" customFormat="false" ht="15" hidden="false" customHeight="false" outlineLevel="0" collapsed="false">
      <c r="A292" s="34" t="s">
        <v>1332</v>
      </c>
      <c r="B292" s="34" t="s">
        <v>1333</v>
      </c>
      <c r="C292" s="34" t="s">
        <v>1334</v>
      </c>
      <c r="D292" s="34" t="s">
        <v>1335</v>
      </c>
      <c r="E292" s="34" t="s">
        <v>146</v>
      </c>
      <c r="F292" s="34" t="s">
        <v>1336</v>
      </c>
      <c r="G292" s="34" t="s">
        <v>300</v>
      </c>
      <c r="H292" s="34" t="s">
        <v>34</v>
      </c>
      <c r="I292" s="34" t="s">
        <v>37</v>
      </c>
      <c r="J292" s="34" t="s">
        <v>681</v>
      </c>
      <c r="K292" s="34" t="s">
        <v>229</v>
      </c>
      <c r="L292" s="34" t="s">
        <v>230</v>
      </c>
      <c r="M292" s="34"/>
      <c r="N292" s="34" t="str">
        <f aca="false">"Sector "&amp;VALUE(MID(D292,13,2))</f>
        <v>Sector 6</v>
      </c>
      <c r="O292" s="34" t="str">
        <f aca="false">IF(Dashboard!$C$5="Ubicación técnica",N292,"Sector "&amp;VALUE(RIGHT(G292,2)))</f>
        <v>Sector 6</v>
      </c>
      <c r="P292" s="34" t="str">
        <f aca="false">IF(MID(D292,15,3)="SEL","Subestación eléctrica","Área de proceso")</f>
        <v>Subestación eléctrica</v>
      </c>
      <c r="Q292" s="34" t="str">
        <f aca="false">MID(D292,13,5)&amp;"|"&amp;MID(D292,19,5)</f>
        <v>06SEL|S_029</v>
      </c>
      <c r="R292" s="34" t="str">
        <f aca="false">IF(P292="Subestación eléctrica",IFERROR(INDEX(cat_SubN,MATCH(Q292,cat_SubK,0)),"SIN CATALOGAR"),"ÁREA DE PROCESO")</f>
        <v>SE-29</v>
      </c>
      <c r="S292" s="34" t="str">
        <f aca="false">IF(H292="","SIN DATO",IFERROR(INDEX(cat_MarcaN,MATCH(H292,cat_MarcaO,0)),H292))</f>
        <v>ABB</v>
      </c>
      <c r="T292" s="34" t="str">
        <f aca="false">IF(I292="","SIN DATO",IFERROR(INDEX(cat_ModN,MATCH(I292,cat_ModO,0)),I292))</f>
        <v>REF615A_1G</v>
      </c>
      <c r="U292" s="34" t="str">
        <f aca="false">IF(I292="","",IFERROR(INDEX(cat_ModG,MATCH(I292,cat_ModO,0)),"No"))</f>
        <v>No</v>
      </c>
      <c r="V292" s="34" t="str">
        <f aca="false">IF(J292="","SIN DATO",IFERROR(INDEX(cat_FunN,MATCH(J292,cat_FunO,0)),J292))</f>
        <v>Protección</v>
      </c>
      <c r="W292" s="34" t="str">
        <f aca="false">IF(OR(S292="SIN DATO",T292="SIN DATO"),"No","Sí")</f>
        <v>Sí</v>
      </c>
    </row>
    <row r="293" customFormat="false" ht="15" hidden="false" customHeight="false" outlineLevel="0" collapsed="false">
      <c r="A293" s="34" t="s">
        <v>1337</v>
      </c>
      <c r="B293" s="34" t="s">
        <v>1338</v>
      </c>
      <c r="C293" s="34" t="s">
        <v>1339</v>
      </c>
      <c r="D293" s="34" t="s">
        <v>1340</v>
      </c>
      <c r="E293" s="34" t="s">
        <v>146</v>
      </c>
      <c r="F293" s="34" t="s">
        <v>1336</v>
      </c>
      <c r="G293" s="34" t="s">
        <v>300</v>
      </c>
      <c r="H293" s="34" t="s">
        <v>34</v>
      </c>
      <c r="I293" s="34" t="s">
        <v>1341</v>
      </c>
      <c r="J293" s="34" t="s">
        <v>681</v>
      </c>
      <c r="K293" s="34" t="s">
        <v>229</v>
      </c>
      <c r="L293" s="34" t="s">
        <v>230</v>
      </c>
      <c r="M293" s="34"/>
      <c r="N293" s="34" t="str">
        <f aca="false">"Sector "&amp;VALUE(MID(D293,13,2))</f>
        <v>Sector 6</v>
      </c>
      <c r="O293" s="34" t="str">
        <f aca="false">IF(Dashboard!$C$5="Ubicación técnica",N293,"Sector "&amp;VALUE(RIGHT(G293,2)))</f>
        <v>Sector 6</v>
      </c>
      <c r="P293" s="34" t="str">
        <f aca="false">IF(MID(D293,15,3)="SEL","Subestación eléctrica","Área de proceso")</f>
        <v>Subestación eléctrica</v>
      </c>
      <c r="Q293" s="34" t="str">
        <f aca="false">MID(D293,13,5)&amp;"|"&amp;MID(D293,19,5)</f>
        <v>06SEL|S_029</v>
      </c>
      <c r="R293" s="34" t="str">
        <f aca="false">IF(P293="Subestación eléctrica",IFERROR(INDEX(cat_SubN,MATCH(Q293,cat_SubK,0)),"SIN CATALOGAR"),"ÁREA DE PROCESO")</f>
        <v>SE-29</v>
      </c>
      <c r="S293" s="34" t="str">
        <f aca="false">IF(H293="","SIN DATO",IFERROR(INDEX(cat_MarcaN,MATCH(H293,cat_MarcaO,0)),H293))</f>
        <v>ABB</v>
      </c>
      <c r="T293" s="34" t="str">
        <f aca="false">IF(I293="","SIN DATO",IFERROR(INDEX(cat_ModN,MATCH(I293,cat_ModO,0)),I293))</f>
        <v>REA 101</v>
      </c>
      <c r="U293" s="34" t="str">
        <f aca="false">IF(I293="","",IFERROR(INDEX(cat_ModG,MATCH(I293,cat_ModO,0)),"No"))</f>
        <v>No</v>
      </c>
      <c r="V293" s="34" t="str">
        <f aca="false">IF(J293="","SIN DATO",IFERROR(INDEX(cat_FunN,MATCH(J293,cat_FunO,0)),J293))</f>
        <v>Protección</v>
      </c>
      <c r="W293" s="34" t="str">
        <f aca="false">IF(OR(S293="SIN DATO",T293="SIN DATO"),"No","Sí")</f>
        <v>Sí</v>
      </c>
    </row>
    <row r="294" customFormat="false" ht="15" hidden="false" customHeight="false" outlineLevel="0" collapsed="false">
      <c r="A294" s="34" t="s">
        <v>1342</v>
      </c>
      <c r="B294" s="34" t="s">
        <v>1343</v>
      </c>
      <c r="C294" s="34" t="s">
        <v>1339</v>
      </c>
      <c r="D294" s="34" t="s">
        <v>1340</v>
      </c>
      <c r="E294" s="34" t="s">
        <v>146</v>
      </c>
      <c r="F294" s="34" t="s">
        <v>1336</v>
      </c>
      <c r="G294" s="34" t="s">
        <v>300</v>
      </c>
      <c r="H294" s="34" t="s">
        <v>34</v>
      </c>
      <c r="I294" s="34" t="s">
        <v>37</v>
      </c>
      <c r="J294" s="34" t="s">
        <v>681</v>
      </c>
      <c r="K294" s="34" t="s">
        <v>229</v>
      </c>
      <c r="L294" s="34" t="s">
        <v>230</v>
      </c>
      <c r="M294" s="34"/>
      <c r="N294" s="34" t="str">
        <f aca="false">"Sector "&amp;VALUE(MID(D294,13,2))</f>
        <v>Sector 6</v>
      </c>
      <c r="O294" s="34" t="str">
        <f aca="false">IF(Dashboard!$C$5="Ubicación técnica",N294,"Sector "&amp;VALUE(RIGHT(G294,2)))</f>
        <v>Sector 6</v>
      </c>
      <c r="P294" s="34" t="str">
        <f aca="false">IF(MID(D294,15,3)="SEL","Subestación eléctrica","Área de proceso")</f>
        <v>Subestación eléctrica</v>
      </c>
      <c r="Q294" s="34" t="str">
        <f aca="false">MID(D294,13,5)&amp;"|"&amp;MID(D294,19,5)</f>
        <v>06SEL|S_029</v>
      </c>
      <c r="R294" s="34" t="str">
        <f aca="false">IF(P294="Subestación eléctrica",IFERROR(INDEX(cat_SubN,MATCH(Q294,cat_SubK,0)),"SIN CATALOGAR"),"ÁREA DE PROCESO")</f>
        <v>SE-29</v>
      </c>
      <c r="S294" s="34" t="str">
        <f aca="false">IF(H294="","SIN DATO",IFERROR(INDEX(cat_MarcaN,MATCH(H294,cat_MarcaO,0)),H294))</f>
        <v>ABB</v>
      </c>
      <c r="T294" s="34" t="str">
        <f aca="false">IF(I294="","SIN DATO",IFERROR(INDEX(cat_ModN,MATCH(I294,cat_ModO,0)),I294))</f>
        <v>REF615A_1G</v>
      </c>
      <c r="U294" s="34" t="str">
        <f aca="false">IF(I294="","",IFERROR(INDEX(cat_ModG,MATCH(I294,cat_ModO,0)),"No"))</f>
        <v>No</v>
      </c>
      <c r="V294" s="34" t="str">
        <f aca="false">IF(J294="","SIN DATO",IFERROR(INDEX(cat_FunN,MATCH(J294,cat_FunO,0)),J294))</f>
        <v>Protección</v>
      </c>
      <c r="W294" s="34" t="str">
        <f aca="false">IF(OR(S294="SIN DATO",T294="SIN DATO"),"No","Sí")</f>
        <v>Sí</v>
      </c>
    </row>
    <row r="295" customFormat="false" ht="15" hidden="false" customHeight="false" outlineLevel="0" collapsed="false">
      <c r="A295" s="34" t="s">
        <v>1344</v>
      </c>
      <c r="B295" s="34" t="s">
        <v>1345</v>
      </c>
      <c r="C295" s="34" t="s">
        <v>1346</v>
      </c>
      <c r="D295" s="34" t="s">
        <v>1335</v>
      </c>
      <c r="E295" s="34" t="s">
        <v>146</v>
      </c>
      <c r="F295" s="34" t="s">
        <v>1336</v>
      </c>
      <c r="G295" s="34" t="s">
        <v>300</v>
      </c>
      <c r="H295" s="34" t="s">
        <v>34</v>
      </c>
      <c r="I295" s="34" t="s">
        <v>1341</v>
      </c>
      <c r="J295" s="34" t="s">
        <v>681</v>
      </c>
      <c r="K295" s="34" t="s">
        <v>229</v>
      </c>
      <c r="L295" s="34" t="s">
        <v>230</v>
      </c>
      <c r="M295" s="34"/>
      <c r="N295" s="34" t="str">
        <f aca="false">"Sector "&amp;VALUE(MID(D295,13,2))</f>
        <v>Sector 6</v>
      </c>
      <c r="O295" s="34" t="str">
        <f aca="false">IF(Dashboard!$C$5="Ubicación técnica",N295,"Sector "&amp;VALUE(RIGHT(G295,2)))</f>
        <v>Sector 6</v>
      </c>
      <c r="P295" s="34" t="str">
        <f aca="false">IF(MID(D295,15,3)="SEL","Subestación eléctrica","Área de proceso")</f>
        <v>Subestación eléctrica</v>
      </c>
      <c r="Q295" s="34" t="str">
        <f aca="false">MID(D295,13,5)&amp;"|"&amp;MID(D295,19,5)</f>
        <v>06SEL|S_029</v>
      </c>
      <c r="R295" s="34" t="str">
        <f aca="false">IF(P295="Subestación eléctrica",IFERROR(INDEX(cat_SubN,MATCH(Q295,cat_SubK,0)),"SIN CATALOGAR"),"ÁREA DE PROCESO")</f>
        <v>SE-29</v>
      </c>
      <c r="S295" s="34" t="str">
        <f aca="false">IF(H295="","SIN DATO",IFERROR(INDEX(cat_MarcaN,MATCH(H295,cat_MarcaO,0)),H295))</f>
        <v>ABB</v>
      </c>
      <c r="T295" s="34" t="str">
        <f aca="false">IF(I295="","SIN DATO",IFERROR(INDEX(cat_ModN,MATCH(I295,cat_ModO,0)),I295))</f>
        <v>REA 101</v>
      </c>
      <c r="U295" s="34" t="str">
        <f aca="false">IF(I295="","",IFERROR(INDEX(cat_ModG,MATCH(I295,cat_ModO,0)),"No"))</f>
        <v>No</v>
      </c>
      <c r="V295" s="34" t="str">
        <f aca="false">IF(J295="","SIN DATO",IFERROR(INDEX(cat_FunN,MATCH(J295,cat_FunO,0)),J295))</f>
        <v>Protección</v>
      </c>
      <c r="W295" s="34" t="str">
        <f aca="false">IF(OR(S295="SIN DATO",T295="SIN DATO"),"No","Sí")</f>
        <v>Sí</v>
      </c>
    </row>
    <row r="296" customFormat="false" ht="15" hidden="false" customHeight="false" outlineLevel="0" collapsed="false">
      <c r="A296" s="34" t="s">
        <v>1347</v>
      </c>
      <c r="B296" s="34" t="s">
        <v>1348</v>
      </c>
      <c r="C296" s="34" t="s">
        <v>1346</v>
      </c>
      <c r="D296" s="34" t="s">
        <v>1335</v>
      </c>
      <c r="E296" s="34" t="s">
        <v>146</v>
      </c>
      <c r="F296" s="34" t="s">
        <v>1336</v>
      </c>
      <c r="G296" s="34" t="s">
        <v>300</v>
      </c>
      <c r="H296" s="34" t="s">
        <v>34</v>
      </c>
      <c r="I296" s="34" t="s">
        <v>37</v>
      </c>
      <c r="J296" s="34" t="s">
        <v>681</v>
      </c>
      <c r="K296" s="34" t="s">
        <v>229</v>
      </c>
      <c r="L296" s="34" t="s">
        <v>230</v>
      </c>
      <c r="M296" s="34"/>
      <c r="N296" s="34" t="str">
        <f aca="false">"Sector "&amp;VALUE(MID(D296,13,2))</f>
        <v>Sector 6</v>
      </c>
      <c r="O296" s="34" t="str">
        <f aca="false">IF(Dashboard!$C$5="Ubicación técnica",N296,"Sector "&amp;VALUE(RIGHT(G296,2)))</f>
        <v>Sector 6</v>
      </c>
      <c r="P296" s="34" t="str">
        <f aca="false">IF(MID(D296,15,3)="SEL","Subestación eléctrica","Área de proceso")</f>
        <v>Subestación eléctrica</v>
      </c>
      <c r="Q296" s="34" t="str">
        <f aca="false">MID(D296,13,5)&amp;"|"&amp;MID(D296,19,5)</f>
        <v>06SEL|S_029</v>
      </c>
      <c r="R296" s="34" t="str">
        <f aca="false">IF(P296="Subestación eléctrica",IFERROR(INDEX(cat_SubN,MATCH(Q296,cat_SubK,0)),"SIN CATALOGAR"),"ÁREA DE PROCESO")</f>
        <v>SE-29</v>
      </c>
      <c r="S296" s="34" t="str">
        <f aca="false">IF(H296="","SIN DATO",IFERROR(INDEX(cat_MarcaN,MATCH(H296,cat_MarcaO,0)),H296))</f>
        <v>ABB</v>
      </c>
      <c r="T296" s="34" t="str">
        <f aca="false">IF(I296="","SIN DATO",IFERROR(INDEX(cat_ModN,MATCH(I296,cat_ModO,0)),I296))</f>
        <v>REF615A_1G</v>
      </c>
      <c r="U296" s="34" t="str">
        <f aca="false">IF(I296="","",IFERROR(INDEX(cat_ModG,MATCH(I296,cat_ModO,0)),"No"))</f>
        <v>No</v>
      </c>
      <c r="V296" s="34" t="str">
        <f aca="false">IF(J296="","SIN DATO",IFERROR(INDEX(cat_FunN,MATCH(J296,cat_FunO,0)),J296))</f>
        <v>Protección</v>
      </c>
      <c r="W296" s="34" t="str">
        <f aca="false">IF(OR(S296="SIN DATO",T296="SIN DATO"),"No","Sí")</f>
        <v>Sí</v>
      </c>
    </row>
    <row r="297" customFormat="false" ht="15" hidden="false" customHeight="false" outlineLevel="0" collapsed="false">
      <c r="A297" s="34" t="s">
        <v>1349</v>
      </c>
      <c r="B297" s="34" t="s">
        <v>1350</v>
      </c>
      <c r="C297" s="34" t="s">
        <v>1351</v>
      </c>
      <c r="D297" s="34" t="s">
        <v>1340</v>
      </c>
      <c r="E297" s="34" t="s">
        <v>146</v>
      </c>
      <c r="F297" s="34" t="s">
        <v>1336</v>
      </c>
      <c r="G297" s="34" t="s">
        <v>300</v>
      </c>
      <c r="H297" s="34" t="s">
        <v>34</v>
      </c>
      <c r="I297" s="34" t="s">
        <v>37</v>
      </c>
      <c r="J297" s="34" t="s">
        <v>681</v>
      </c>
      <c r="K297" s="34" t="s">
        <v>229</v>
      </c>
      <c r="L297" s="34" t="s">
        <v>230</v>
      </c>
      <c r="M297" s="34"/>
      <c r="N297" s="34" t="str">
        <f aca="false">"Sector "&amp;VALUE(MID(D297,13,2))</f>
        <v>Sector 6</v>
      </c>
      <c r="O297" s="34" t="str">
        <f aca="false">IF(Dashboard!$C$5="Ubicación técnica",N297,"Sector "&amp;VALUE(RIGHT(G297,2)))</f>
        <v>Sector 6</v>
      </c>
      <c r="P297" s="34" t="str">
        <f aca="false">IF(MID(D297,15,3)="SEL","Subestación eléctrica","Área de proceso")</f>
        <v>Subestación eléctrica</v>
      </c>
      <c r="Q297" s="34" t="str">
        <f aca="false">MID(D297,13,5)&amp;"|"&amp;MID(D297,19,5)</f>
        <v>06SEL|S_029</v>
      </c>
      <c r="R297" s="34" t="str">
        <f aca="false">IF(P297="Subestación eléctrica",IFERROR(INDEX(cat_SubN,MATCH(Q297,cat_SubK,0)),"SIN CATALOGAR"),"ÁREA DE PROCESO")</f>
        <v>SE-29</v>
      </c>
      <c r="S297" s="34" t="str">
        <f aca="false">IF(H297="","SIN DATO",IFERROR(INDEX(cat_MarcaN,MATCH(H297,cat_MarcaO,0)),H297))</f>
        <v>ABB</v>
      </c>
      <c r="T297" s="34" t="str">
        <f aca="false">IF(I297="","SIN DATO",IFERROR(INDEX(cat_ModN,MATCH(I297,cat_ModO,0)),I297))</f>
        <v>REF615A_1G</v>
      </c>
      <c r="U297" s="34" t="str">
        <f aca="false">IF(I297="","",IFERROR(INDEX(cat_ModG,MATCH(I297,cat_ModO,0)),"No"))</f>
        <v>No</v>
      </c>
      <c r="V297" s="34" t="str">
        <f aca="false">IF(J297="","SIN DATO",IFERROR(INDEX(cat_FunN,MATCH(J297,cat_FunO,0)),J297))</f>
        <v>Protección</v>
      </c>
      <c r="W297" s="34" t="str">
        <f aca="false">IF(OR(S297="SIN DATO",T297="SIN DATO"),"No","Sí")</f>
        <v>Sí</v>
      </c>
    </row>
    <row r="298" customFormat="false" ht="15" hidden="false" customHeight="false" outlineLevel="0" collapsed="false">
      <c r="A298" s="34" t="s">
        <v>1352</v>
      </c>
      <c r="B298" s="34" t="s">
        <v>1353</v>
      </c>
      <c r="C298" s="34" t="s">
        <v>1354</v>
      </c>
      <c r="D298" s="34" t="s">
        <v>1335</v>
      </c>
      <c r="E298" s="34" t="s">
        <v>146</v>
      </c>
      <c r="F298" s="34" t="s">
        <v>1336</v>
      </c>
      <c r="G298" s="34" t="s">
        <v>300</v>
      </c>
      <c r="H298" s="34" t="s">
        <v>34</v>
      </c>
      <c r="I298" s="34" t="s">
        <v>37</v>
      </c>
      <c r="J298" s="34" t="s">
        <v>681</v>
      </c>
      <c r="K298" s="34" t="s">
        <v>229</v>
      </c>
      <c r="L298" s="34" t="s">
        <v>230</v>
      </c>
      <c r="M298" s="34"/>
      <c r="N298" s="34" t="str">
        <f aca="false">"Sector "&amp;VALUE(MID(D298,13,2))</f>
        <v>Sector 6</v>
      </c>
      <c r="O298" s="34" t="str">
        <f aca="false">IF(Dashboard!$C$5="Ubicación técnica",N298,"Sector "&amp;VALUE(RIGHT(G298,2)))</f>
        <v>Sector 6</v>
      </c>
      <c r="P298" s="34" t="str">
        <f aca="false">IF(MID(D298,15,3)="SEL","Subestación eléctrica","Área de proceso")</f>
        <v>Subestación eléctrica</v>
      </c>
      <c r="Q298" s="34" t="str">
        <f aca="false">MID(D298,13,5)&amp;"|"&amp;MID(D298,19,5)</f>
        <v>06SEL|S_029</v>
      </c>
      <c r="R298" s="34" t="str">
        <f aca="false">IF(P298="Subestación eléctrica",IFERROR(INDEX(cat_SubN,MATCH(Q298,cat_SubK,0)),"SIN CATALOGAR"),"ÁREA DE PROCESO")</f>
        <v>SE-29</v>
      </c>
      <c r="S298" s="34" t="str">
        <f aca="false">IF(H298="","SIN DATO",IFERROR(INDEX(cat_MarcaN,MATCH(H298,cat_MarcaO,0)),H298))</f>
        <v>ABB</v>
      </c>
      <c r="T298" s="34" t="str">
        <f aca="false">IF(I298="","SIN DATO",IFERROR(INDEX(cat_ModN,MATCH(I298,cat_ModO,0)),I298))</f>
        <v>REF615A_1G</v>
      </c>
      <c r="U298" s="34" t="str">
        <f aca="false">IF(I298="","",IFERROR(INDEX(cat_ModG,MATCH(I298,cat_ModO,0)),"No"))</f>
        <v>No</v>
      </c>
      <c r="V298" s="34" t="str">
        <f aca="false">IF(J298="","SIN DATO",IFERROR(INDEX(cat_FunN,MATCH(J298,cat_FunO,0)),J298))</f>
        <v>Protección</v>
      </c>
      <c r="W298" s="34" t="str">
        <f aca="false">IF(OR(S298="SIN DATO",T298="SIN DATO"),"No","Sí")</f>
        <v>Sí</v>
      </c>
    </row>
    <row r="299" customFormat="false" ht="15" hidden="false" customHeight="false" outlineLevel="0" collapsed="false">
      <c r="A299" s="34" t="s">
        <v>1355</v>
      </c>
      <c r="B299" s="34" t="s">
        <v>1356</v>
      </c>
      <c r="C299" s="34" t="s">
        <v>1357</v>
      </c>
      <c r="D299" s="34" t="s">
        <v>1335</v>
      </c>
      <c r="E299" s="34" t="s">
        <v>146</v>
      </c>
      <c r="F299" s="34" t="s">
        <v>1336</v>
      </c>
      <c r="G299" s="34" t="s">
        <v>300</v>
      </c>
      <c r="H299" s="34" t="s">
        <v>1358</v>
      </c>
      <c r="I299" s="34" t="s">
        <v>64</v>
      </c>
      <c r="J299" s="34" t="s">
        <v>681</v>
      </c>
      <c r="K299" s="34" t="s">
        <v>229</v>
      </c>
      <c r="L299" s="34" t="s">
        <v>230</v>
      </c>
      <c r="M299" s="34"/>
      <c r="N299" s="34" t="str">
        <f aca="false">"Sector "&amp;VALUE(MID(D299,13,2))</f>
        <v>Sector 6</v>
      </c>
      <c r="O299" s="34" t="str">
        <f aca="false">IF(Dashboard!$C$5="Ubicación técnica",N299,"Sector "&amp;VALUE(RIGHT(G299,2)))</f>
        <v>Sector 6</v>
      </c>
      <c r="P299" s="34" t="str">
        <f aca="false">IF(MID(D299,15,3)="SEL","Subestación eléctrica","Área de proceso")</f>
        <v>Subestación eléctrica</v>
      </c>
      <c r="Q299" s="34" t="str">
        <f aca="false">MID(D299,13,5)&amp;"|"&amp;MID(D299,19,5)</f>
        <v>06SEL|S_029</v>
      </c>
      <c r="R299" s="34" t="str">
        <f aca="false">IF(P299="Subestación eléctrica",IFERROR(INDEX(cat_SubN,MATCH(Q299,cat_SubK,0)),"SIN CATALOGAR"),"ÁREA DE PROCESO")</f>
        <v>SE-29</v>
      </c>
      <c r="S299" s="34" t="str">
        <f aca="false">IF(H299="","SIN DATO",IFERROR(INDEX(cat_MarcaN,MATCH(H299,cat_MarcaO,0)),H299))</f>
        <v>GENERAL ELECTRIC</v>
      </c>
      <c r="T299" s="34" t="str">
        <f aca="false">IF(I299="","SIN DATO",IFERROR(INDEX(cat_ModN,MATCH(I299,cat_ModO,0)),I299))</f>
        <v>MULTILIN 350</v>
      </c>
      <c r="U299" s="34" t="str">
        <f aca="false">IF(I299="","",IFERROR(INDEX(cat_ModG,MATCH(I299,cat_ModO,0)),"No"))</f>
        <v>No</v>
      </c>
      <c r="V299" s="34" t="str">
        <f aca="false">IF(J299="","SIN DATO",IFERROR(INDEX(cat_FunN,MATCH(J299,cat_FunO,0)),J299))</f>
        <v>Protección</v>
      </c>
      <c r="W299" s="34" t="str">
        <f aca="false">IF(OR(S299="SIN DATO",T299="SIN DATO"),"No","Sí")</f>
        <v>Sí</v>
      </c>
    </row>
    <row r="300" customFormat="false" ht="15" hidden="false" customHeight="false" outlineLevel="0" collapsed="false">
      <c r="A300" s="34" t="s">
        <v>1359</v>
      </c>
      <c r="B300" s="34" t="s">
        <v>1360</v>
      </c>
      <c r="C300" s="34" t="s">
        <v>1361</v>
      </c>
      <c r="D300" s="34" t="s">
        <v>1335</v>
      </c>
      <c r="E300" s="34" t="s">
        <v>146</v>
      </c>
      <c r="F300" s="34" t="s">
        <v>1336</v>
      </c>
      <c r="G300" s="34" t="s">
        <v>300</v>
      </c>
      <c r="H300" s="34" t="s">
        <v>1358</v>
      </c>
      <c r="I300" s="34" t="s">
        <v>64</v>
      </c>
      <c r="J300" s="34" t="s">
        <v>681</v>
      </c>
      <c r="K300" s="34" t="s">
        <v>229</v>
      </c>
      <c r="L300" s="34" t="s">
        <v>230</v>
      </c>
      <c r="M300" s="34"/>
      <c r="N300" s="34" t="str">
        <f aca="false">"Sector "&amp;VALUE(MID(D300,13,2))</f>
        <v>Sector 6</v>
      </c>
      <c r="O300" s="34" t="str">
        <f aca="false">IF(Dashboard!$C$5="Ubicación técnica",N300,"Sector "&amp;VALUE(RIGHT(G300,2)))</f>
        <v>Sector 6</v>
      </c>
      <c r="P300" s="34" t="str">
        <f aca="false">IF(MID(D300,15,3)="SEL","Subestación eléctrica","Área de proceso")</f>
        <v>Subestación eléctrica</v>
      </c>
      <c r="Q300" s="34" t="str">
        <f aca="false">MID(D300,13,5)&amp;"|"&amp;MID(D300,19,5)</f>
        <v>06SEL|S_029</v>
      </c>
      <c r="R300" s="34" t="str">
        <f aca="false">IF(P300="Subestación eléctrica",IFERROR(INDEX(cat_SubN,MATCH(Q300,cat_SubK,0)),"SIN CATALOGAR"),"ÁREA DE PROCESO")</f>
        <v>SE-29</v>
      </c>
      <c r="S300" s="34" t="str">
        <f aca="false">IF(H300="","SIN DATO",IFERROR(INDEX(cat_MarcaN,MATCH(H300,cat_MarcaO,0)),H300))</f>
        <v>GENERAL ELECTRIC</v>
      </c>
      <c r="T300" s="34" t="str">
        <f aca="false">IF(I300="","SIN DATO",IFERROR(INDEX(cat_ModN,MATCH(I300,cat_ModO,0)),I300))</f>
        <v>MULTILIN 350</v>
      </c>
      <c r="U300" s="34" t="str">
        <f aca="false">IF(I300="","",IFERROR(INDEX(cat_ModG,MATCH(I300,cat_ModO,0)),"No"))</f>
        <v>No</v>
      </c>
      <c r="V300" s="34" t="str">
        <f aca="false">IF(J300="","SIN DATO",IFERROR(INDEX(cat_FunN,MATCH(J300,cat_FunO,0)),J300))</f>
        <v>Protección</v>
      </c>
      <c r="W300" s="34" t="str">
        <f aca="false">IF(OR(S300="SIN DATO",T300="SIN DATO"),"No","Sí")</f>
        <v>Sí</v>
      </c>
    </row>
    <row r="301" customFormat="false" ht="15" hidden="false" customHeight="false" outlineLevel="0" collapsed="false">
      <c r="A301" s="34" t="s">
        <v>1362</v>
      </c>
      <c r="B301" s="34" t="s">
        <v>1363</v>
      </c>
      <c r="C301" s="34" t="s">
        <v>1364</v>
      </c>
      <c r="D301" s="34" t="s">
        <v>1340</v>
      </c>
      <c r="E301" s="34" t="s">
        <v>146</v>
      </c>
      <c r="F301" s="34" t="s">
        <v>1336</v>
      </c>
      <c r="G301" s="34" t="s">
        <v>300</v>
      </c>
      <c r="H301" s="34" t="s">
        <v>34</v>
      </c>
      <c r="I301" s="34" t="s">
        <v>1341</v>
      </c>
      <c r="J301" s="34" t="s">
        <v>681</v>
      </c>
      <c r="K301" s="34" t="s">
        <v>229</v>
      </c>
      <c r="L301" s="34" t="s">
        <v>230</v>
      </c>
      <c r="M301" s="34"/>
      <c r="N301" s="34" t="str">
        <f aca="false">"Sector "&amp;VALUE(MID(D301,13,2))</f>
        <v>Sector 6</v>
      </c>
      <c r="O301" s="34" t="str">
        <f aca="false">IF(Dashboard!$C$5="Ubicación técnica",N301,"Sector "&amp;VALUE(RIGHT(G301,2)))</f>
        <v>Sector 6</v>
      </c>
      <c r="P301" s="34" t="str">
        <f aca="false">IF(MID(D301,15,3)="SEL","Subestación eléctrica","Área de proceso")</f>
        <v>Subestación eléctrica</v>
      </c>
      <c r="Q301" s="34" t="str">
        <f aca="false">MID(D301,13,5)&amp;"|"&amp;MID(D301,19,5)</f>
        <v>06SEL|S_029</v>
      </c>
      <c r="R301" s="34" t="str">
        <f aca="false">IF(P301="Subestación eléctrica",IFERROR(INDEX(cat_SubN,MATCH(Q301,cat_SubK,0)),"SIN CATALOGAR"),"ÁREA DE PROCESO")</f>
        <v>SE-29</v>
      </c>
      <c r="S301" s="34" t="str">
        <f aca="false">IF(H301="","SIN DATO",IFERROR(INDEX(cat_MarcaN,MATCH(H301,cat_MarcaO,0)),H301))</f>
        <v>ABB</v>
      </c>
      <c r="T301" s="34" t="str">
        <f aca="false">IF(I301="","SIN DATO",IFERROR(INDEX(cat_ModN,MATCH(I301,cat_ModO,0)),I301))</f>
        <v>REA 101</v>
      </c>
      <c r="U301" s="34" t="str">
        <f aca="false">IF(I301="","",IFERROR(INDEX(cat_ModG,MATCH(I301,cat_ModO,0)),"No"))</f>
        <v>No</v>
      </c>
      <c r="V301" s="34" t="str">
        <f aca="false">IF(J301="","SIN DATO",IFERROR(INDEX(cat_FunN,MATCH(J301,cat_FunO,0)),J301))</f>
        <v>Protección</v>
      </c>
      <c r="W301" s="34" t="str">
        <f aca="false">IF(OR(S301="SIN DATO",T301="SIN DATO"),"No","Sí")</f>
        <v>Sí</v>
      </c>
    </row>
    <row r="302" customFormat="false" ht="15" hidden="false" customHeight="false" outlineLevel="0" collapsed="false">
      <c r="A302" s="34" t="s">
        <v>1365</v>
      </c>
      <c r="B302" s="34" t="s">
        <v>1366</v>
      </c>
      <c r="C302" s="34" t="s">
        <v>1367</v>
      </c>
      <c r="D302" s="34" t="s">
        <v>1340</v>
      </c>
      <c r="E302" s="34" t="s">
        <v>146</v>
      </c>
      <c r="F302" s="34" t="s">
        <v>1336</v>
      </c>
      <c r="G302" s="34" t="s">
        <v>300</v>
      </c>
      <c r="H302" s="34" t="s">
        <v>55</v>
      </c>
      <c r="I302" s="34" t="s">
        <v>57</v>
      </c>
      <c r="J302" s="34" t="s">
        <v>58</v>
      </c>
      <c r="K302" s="34" t="s">
        <v>229</v>
      </c>
      <c r="L302" s="34" t="s">
        <v>230</v>
      </c>
      <c r="M302" s="34"/>
      <c r="N302" s="34" t="str">
        <f aca="false">"Sector "&amp;VALUE(MID(D302,13,2))</f>
        <v>Sector 6</v>
      </c>
      <c r="O302" s="34" t="str">
        <f aca="false">IF(Dashboard!$C$5="Ubicación técnica",N302,"Sector "&amp;VALUE(RIGHT(G302,2)))</f>
        <v>Sector 6</v>
      </c>
      <c r="P302" s="34" t="str">
        <f aca="false">IF(MID(D302,15,3)="SEL","Subestación eléctrica","Área de proceso")</f>
        <v>Subestación eléctrica</v>
      </c>
      <c r="Q302" s="34" t="str">
        <f aca="false">MID(D302,13,5)&amp;"|"&amp;MID(D302,19,5)</f>
        <v>06SEL|S_029</v>
      </c>
      <c r="R302" s="34" t="str">
        <f aca="false">IF(P302="Subestación eléctrica",IFERROR(INDEX(cat_SubN,MATCH(Q302,cat_SubK,0)),"SIN CATALOGAR"),"ÁREA DE PROCESO")</f>
        <v>SE-29</v>
      </c>
      <c r="S302" s="34" t="str">
        <f aca="false">IF(H302="","SIN DATO",IFERROR(INDEX(cat_MarcaN,MATCH(H302,cat_MarcaO,0)),H302))</f>
        <v>SEL</v>
      </c>
      <c r="T302" s="34" t="str">
        <f aca="false">IF(I302="","SIN DATO",IFERROR(INDEX(cat_ModN,MATCH(I302,cat_ModO,0)),I302))</f>
        <v>SEL-735</v>
      </c>
      <c r="U302" s="34" t="str">
        <f aca="false">IF(I302="","",IFERROR(INDEX(cat_ModG,MATCH(I302,cat_ModO,0)),"No"))</f>
        <v>No</v>
      </c>
      <c r="V302" s="34" t="str">
        <f aca="false">IF(J302="","SIN DATO",IFERROR(INDEX(cat_FunN,MATCH(J302,cat_FunO,0)),J302))</f>
        <v>Medición</v>
      </c>
      <c r="W302" s="34" t="str">
        <f aca="false">IF(OR(S302="SIN DATO",T302="SIN DATO"),"No","Sí")</f>
        <v>Sí</v>
      </c>
    </row>
    <row r="303" customFormat="false" ht="15" hidden="false" customHeight="false" outlineLevel="0" collapsed="false">
      <c r="A303" s="34" t="s">
        <v>1368</v>
      </c>
      <c r="B303" s="34" t="s">
        <v>1369</v>
      </c>
      <c r="C303" s="34" t="s">
        <v>1370</v>
      </c>
      <c r="D303" s="34" t="s">
        <v>1340</v>
      </c>
      <c r="E303" s="34" t="s">
        <v>146</v>
      </c>
      <c r="F303" s="34" t="s">
        <v>1336</v>
      </c>
      <c r="G303" s="34" t="s">
        <v>300</v>
      </c>
      <c r="H303" s="34" t="s">
        <v>34</v>
      </c>
      <c r="I303" s="34" t="s">
        <v>37</v>
      </c>
      <c r="J303" s="34" t="s">
        <v>681</v>
      </c>
      <c r="K303" s="34" t="s">
        <v>229</v>
      </c>
      <c r="L303" s="34" t="s">
        <v>230</v>
      </c>
      <c r="M303" s="34"/>
      <c r="N303" s="34" t="str">
        <f aca="false">"Sector "&amp;VALUE(MID(D303,13,2))</f>
        <v>Sector 6</v>
      </c>
      <c r="O303" s="34" t="str">
        <f aca="false">IF(Dashboard!$C$5="Ubicación técnica",N303,"Sector "&amp;VALUE(RIGHT(G303,2)))</f>
        <v>Sector 6</v>
      </c>
      <c r="P303" s="34" t="str">
        <f aca="false">IF(MID(D303,15,3)="SEL","Subestación eléctrica","Área de proceso")</f>
        <v>Subestación eléctrica</v>
      </c>
      <c r="Q303" s="34" t="str">
        <f aca="false">MID(D303,13,5)&amp;"|"&amp;MID(D303,19,5)</f>
        <v>06SEL|S_029</v>
      </c>
      <c r="R303" s="34" t="str">
        <f aca="false">IF(P303="Subestación eléctrica",IFERROR(INDEX(cat_SubN,MATCH(Q303,cat_SubK,0)),"SIN CATALOGAR"),"ÁREA DE PROCESO")</f>
        <v>SE-29</v>
      </c>
      <c r="S303" s="34" t="str">
        <f aca="false">IF(H303="","SIN DATO",IFERROR(INDEX(cat_MarcaN,MATCH(H303,cat_MarcaO,0)),H303))</f>
        <v>ABB</v>
      </c>
      <c r="T303" s="34" t="str">
        <f aca="false">IF(I303="","SIN DATO",IFERROR(INDEX(cat_ModN,MATCH(I303,cat_ModO,0)),I303))</f>
        <v>REF615A_1G</v>
      </c>
      <c r="U303" s="34" t="str">
        <f aca="false">IF(I303="","",IFERROR(INDEX(cat_ModG,MATCH(I303,cat_ModO,0)),"No"))</f>
        <v>No</v>
      </c>
      <c r="V303" s="34" t="str">
        <f aca="false">IF(J303="","SIN DATO",IFERROR(INDEX(cat_FunN,MATCH(J303,cat_FunO,0)),J303))</f>
        <v>Protección</v>
      </c>
      <c r="W303" s="34" t="str">
        <f aca="false">IF(OR(S303="SIN DATO",T303="SIN DATO"),"No","Sí")</f>
        <v>Sí</v>
      </c>
    </row>
    <row r="304" customFormat="false" ht="15" hidden="false" customHeight="false" outlineLevel="0" collapsed="false">
      <c r="A304" s="34" t="s">
        <v>1371</v>
      </c>
      <c r="B304" s="34" t="s">
        <v>1372</v>
      </c>
      <c r="C304" s="34" t="s">
        <v>1373</v>
      </c>
      <c r="D304" s="34" t="s">
        <v>1335</v>
      </c>
      <c r="E304" s="34" t="s">
        <v>146</v>
      </c>
      <c r="F304" s="34" t="s">
        <v>1336</v>
      </c>
      <c r="G304" s="34" t="s">
        <v>300</v>
      </c>
      <c r="H304" s="34" t="s">
        <v>34</v>
      </c>
      <c r="I304" s="34" t="s">
        <v>1341</v>
      </c>
      <c r="J304" s="34" t="s">
        <v>681</v>
      </c>
      <c r="K304" s="34" t="s">
        <v>229</v>
      </c>
      <c r="L304" s="34" t="s">
        <v>230</v>
      </c>
      <c r="M304" s="34"/>
      <c r="N304" s="34" t="str">
        <f aca="false">"Sector "&amp;VALUE(MID(D304,13,2))</f>
        <v>Sector 6</v>
      </c>
      <c r="O304" s="34" t="str">
        <f aca="false">IF(Dashboard!$C$5="Ubicación técnica",N304,"Sector "&amp;VALUE(RIGHT(G304,2)))</f>
        <v>Sector 6</v>
      </c>
      <c r="P304" s="34" t="str">
        <f aca="false">IF(MID(D304,15,3)="SEL","Subestación eléctrica","Área de proceso")</f>
        <v>Subestación eléctrica</v>
      </c>
      <c r="Q304" s="34" t="str">
        <f aca="false">MID(D304,13,5)&amp;"|"&amp;MID(D304,19,5)</f>
        <v>06SEL|S_029</v>
      </c>
      <c r="R304" s="34" t="str">
        <f aca="false">IF(P304="Subestación eléctrica",IFERROR(INDEX(cat_SubN,MATCH(Q304,cat_SubK,0)),"SIN CATALOGAR"),"ÁREA DE PROCESO")</f>
        <v>SE-29</v>
      </c>
      <c r="S304" s="34" t="str">
        <f aca="false">IF(H304="","SIN DATO",IFERROR(INDEX(cat_MarcaN,MATCH(H304,cat_MarcaO,0)),H304))</f>
        <v>ABB</v>
      </c>
      <c r="T304" s="34" t="str">
        <f aca="false">IF(I304="","SIN DATO",IFERROR(INDEX(cat_ModN,MATCH(I304,cat_ModO,0)),I304))</f>
        <v>REA 101</v>
      </c>
      <c r="U304" s="34" t="str">
        <f aca="false">IF(I304="","",IFERROR(INDEX(cat_ModG,MATCH(I304,cat_ModO,0)),"No"))</f>
        <v>No</v>
      </c>
      <c r="V304" s="34" t="str">
        <f aca="false">IF(J304="","SIN DATO",IFERROR(INDEX(cat_FunN,MATCH(J304,cat_FunO,0)),J304))</f>
        <v>Protección</v>
      </c>
      <c r="W304" s="34" t="str">
        <f aca="false">IF(OR(S304="SIN DATO",T304="SIN DATO"),"No","Sí")</f>
        <v>Sí</v>
      </c>
    </row>
    <row r="305" customFormat="false" ht="15" hidden="false" customHeight="false" outlineLevel="0" collapsed="false">
      <c r="A305" s="34" t="s">
        <v>1374</v>
      </c>
      <c r="B305" s="34" t="s">
        <v>1375</v>
      </c>
      <c r="C305" s="34" t="s">
        <v>1376</v>
      </c>
      <c r="D305" s="34" t="s">
        <v>1335</v>
      </c>
      <c r="E305" s="34" t="s">
        <v>146</v>
      </c>
      <c r="F305" s="34" t="s">
        <v>1336</v>
      </c>
      <c r="G305" s="34" t="s">
        <v>300</v>
      </c>
      <c r="H305" s="34" t="s">
        <v>55</v>
      </c>
      <c r="I305" s="34" t="s">
        <v>57</v>
      </c>
      <c r="J305" s="34" t="s">
        <v>58</v>
      </c>
      <c r="K305" s="34" t="s">
        <v>229</v>
      </c>
      <c r="L305" s="34" t="s">
        <v>230</v>
      </c>
      <c r="M305" s="34"/>
      <c r="N305" s="34" t="str">
        <f aca="false">"Sector "&amp;VALUE(MID(D305,13,2))</f>
        <v>Sector 6</v>
      </c>
      <c r="O305" s="34" t="str">
        <f aca="false">IF(Dashboard!$C$5="Ubicación técnica",N305,"Sector "&amp;VALUE(RIGHT(G305,2)))</f>
        <v>Sector 6</v>
      </c>
      <c r="P305" s="34" t="str">
        <f aca="false">IF(MID(D305,15,3)="SEL","Subestación eléctrica","Área de proceso")</f>
        <v>Subestación eléctrica</v>
      </c>
      <c r="Q305" s="34" t="str">
        <f aca="false">MID(D305,13,5)&amp;"|"&amp;MID(D305,19,5)</f>
        <v>06SEL|S_029</v>
      </c>
      <c r="R305" s="34" t="str">
        <f aca="false">IF(P305="Subestación eléctrica",IFERROR(INDEX(cat_SubN,MATCH(Q305,cat_SubK,0)),"SIN CATALOGAR"),"ÁREA DE PROCESO")</f>
        <v>SE-29</v>
      </c>
      <c r="S305" s="34" t="str">
        <f aca="false">IF(H305="","SIN DATO",IFERROR(INDEX(cat_MarcaN,MATCH(H305,cat_MarcaO,0)),H305))</f>
        <v>SEL</v>
      </c>
      <c r="T305" s="34" t="str">
        <f aca="false">IF(I305="","SIN DATO",IFERROR(INDEX(cat_ModN,MATCH(I305,cat_ModO,0)),I305))</f>
        <v>SEL-735</v>
      </c>
      <c r="U305" s="34" t="str">
        <f aca="false">IF(I305="","",IFERROR(INDEX(cat_ModG,MATCH(I305,cat_ModO,0)),"No"))</f>
        <v>No</v>
      </c>
      <c r="V305" s="34" t="str">
        <f aca="false">IF(J305="","SIN DATO",IFERROR(INDEX(cat_FunN,MATCH(J305,cat_FunO,0)),J305))</f>
        <v>Medición</v>
      </c>
      <c r="W305" s="34" t="str">
        <f aca="false">IF(OR(S305="SIN DATO",T305="SIN DATO"),"No","Sí")</f>
        <v>Sí</v>
      </c>
    </row>
    <row r="306" customFormat="false" ht="15" hidden="false" customHeight="false" outlineLevel="0" collapsed="false">
      <c r="A306" s="34" t="s">
        <v>1377</v>
      </c>
      <c r="B306" s="34" t="s">
        <v>1378</v>
      </c>
      <c r="C306" s="34" t="s">
        <v>1379</v>
      </c>
      <c r="D306" s="34" t="s">
        <v>1335</v>
      </c>
      <c r="E306" s="34" t="s">
        <v>146</v>
      </c>
      <c r="F306" s="34" t="s">
        <v>1336</v>
      </c>
      <c r="G306" s="34" t="s">
        <v>300</v>
      </c>
      <c r="H306" s="34" t="s">
        <v>34</v>
      </c>
      <c r="I306" s="34" t="s">
        <v>37</v>
      </c>
      <c r="J306" s="34" t="s">
        <v>681</v>
      </c>
      <c r="K306" s="34" t="s">
        <v>229</v>
      </c>
      <c r="L306" s="34" t="s">
        <v>230</v>
      </c>
      <c r="M306" s="34"/>
      <c r="N306" s="34" t="str">
        <f aca="false">"Sector "&amp;VALUE(MID(D306,13,2))</f>
        <v>Sector 6</v>
      </c>
      <c r="O306" s="34" t="str">
        <f aca="false">IF(Dashboard!$C$5="Ubicación técnica",N306,"Sector "&amp;VALUE(RIGHT(G306,2)))</f>
        <v>Sector 6</v>
      </c>
      <c r="P306" s="34" t="str">
        <f aca="false">IF(MID(D306,15,3)="SEL","Subestación eléctrica","Área de proceso")</f>
        <v>Subestación eléctrica</v>
      </c>
      <c r="Q306" s="34" t="str">
        <f aca="false">MID(D306,13,5)&amp;"|"&amp;MID(D306,19,5)</f>
        <v>06SEL|S_029</v>
      </c>
      <c r="R306" s="34" t="str">
        <f aca="false">IF(P306="Subestación eléctrica",IFERROR(INDEX(cat_SubN,MATCH(Q306,cat_SubK,0)),"SIN CATALOGAR"),"ÁREA DE PROCESO")</f>
        <v>SE-29</v>
      </c>
      <c r="S306" s="34" t="str">
        <f aca="false">IF(H306="","SIN DATO",IFERROR(INDEX(cat_MarcaN,MATCH(H306,cat_MarcaO,0)),H306))</f>
        <v>ABB</v>
      </c>
      <c r="T306" s="34" t="str">
        <f aca="false">IF(I306="","SIN DATO",IFERROR(INDEX(cat_ModN,MATCH(I306,cat_ModO,0)),I306))</f>
        <v>REF615A_1G</v>
      </c>
      <c r="U306" s="34" t="str">
        <f aca="false">IF(I306="","",IFERROR(INDEX(cat_ModG,MATCH(I306,cat_ModO,0)),"No"))</f>
        <v>No</v>
      </c>
      <c r="V306" s="34" t="str">
        <f aca="false">IF(J306="","SIN DATO",IFERROR(INDEX(cat_FunN,MATCH(J306,cat_FunO,0)),J306))</f>
        <v>Protección</v>
      </c>
      <c r="W306" s="34" t="str">
        <f aca="false">IF(OR(S306="SIN DATO",T306="SIN DATO"),"No","Sí")</f>
        <v>Sí</v>
      </c>
    </row>
    <row r="307" customFormat="false" ht="15" hidden="false" customHeight="false" outlineLevel="0" collapsed="false">
      <c r="A307" s="34" t="s">
        <v>1380</v>
      </c>
      <c r="B307" s="34" t="s">
        <v>1381</v>
      </c>
      <c r="C307" s="34" t="s">
        <v>1382</v>
      </c>
      <c r="D307" s="34" t="s">
        <v>1383</v>
      </c>
      <c r="E307" s="34" t="s">
        <v>146</v>
      </c>
      <c r="F307" s="34" t="s">
        <v>1336</v>
      </c>
      <c r="G307" s="34" t="s">
        <v>300</v>
      </c>
      <c r="H307" s="34" t="s">
        <v>34</v>
      </c>
      <c r="I307" s="34" t="s">
        <v>1341</v>
      </c>
      <c r="J307" s="34" t="s">
        <v>681</v>
      </c>
      <c r="K307" s="34" t="s">
        <v>229</v>
      </c>
      <c r="L307" s="34" t="s">
        <v>230</v>
      </c>
      <c r="M307" s="34"/>
      <c r="N307" s="34" t="str">
        <f aca="false">"Sector "&amp;VALUE(MID(D307,13,2))</f>
        <v>Sector 6</v>
      </c>
      <c r="O307" s="34" t="str">
        <f aca="false">IF(Dashboard!$C$5="Ubicación técnica",N307,"Sector "&amp;VALUE(RIGHT(G307,2)))</f>
        <v>Sector 6</v>
      </c>
      <c r="P307" s="34" t="str">
        <f aca="false">IF(MID(D307,15,3)="SEL","Subestación eléctrica","Área de proceso")</f>
        <v>Subestación eléctrica</v>
      </c>
      <c r="Q307" s="34" t="str">
        <f aca="false">MID(D307,13,5)&amp;"|"&amp;MID(D307,19,5)</f>
        <v>06SEL|S_029</v>
      </c>
      <c r="R307" s="34" t="str">
        <f aca="false">IF(P307="Subestación eléctrica",IFERROR(INDEX(cat_SubN,MATCH(Q307,cat_SubK,0)),"SIN CATALOGAR"),"ÁREA DE PROCESO")</f>
        <v>SE-29</v>
      </c>
      <c r="S307" s="34" t="str">
        <f aca="false">IF(H307="","SIN DATO",IFERROR(INDEX(cat_MarcaN,MATCH(H307,cat_MarcaO,0)),H307))</f>
        <v>ABB</v>
      </c>
      <c r="T307" s="34" t="str">
        <f aca="false">IF(I307="","SIN DATO",IFERROR(INDEX(cat_ModN,MATCH(I307,cat_ModO,0)),I307))</f>
        <v>REA 101</v>
      </c>
      <c r="U307" s="34" t="str">
        <f aca="false">IF(I307="","",IFERROR(INDEX(cat_ModG,MATCH(I307,cat_ModO,0)),"No"))</f>
        <v>No</v>
      </c>
      <c r="V307" s="34" t="str">
        <f aca="false">IF(J307="","SIN DATO",IFERROR(INDEX(cat_FunN,MATCH(J307,cat_FunO,0)),J307))</f>
        <v>Protección</v>
      </c>
      <c r="W307" s="34" t="str">
        <f aca="false">IF(OR(S307="SIN DATO",T307="SIN DATO"),"No","Sí")</f>
        <v>Sí</v>
      </c>
    </row>
    <row r="308" customFormat="false" ht="15" hidden="false" customHeight="false" outlineLevel="0" collapsed="false">
      <c r="A308" s="34" t="s">
        <v>1384</v>
      </c>
      <c r="B308" s="34" t="s">
        <v>1385</v>
      </c>
      <c r="C308" s="34" t="s">
        <v>1382</v>
      </c>
      <c r="D308" s="34" t="s">
        <v>1383</v>
      </c>
      <c r="E308" s="34" t="s">
        <v>146</v>
      </c>
      <c r="F308" s="34" t="s">
        <v>1336</v>
      </c>
      <c r="G308" s="34" t="s">
        <v>300</v>
      </c>
      <c r="H308" s="34" t="s">
        <v>55</v>
      </c>
      <c r="I308" s="34" t="s">
        <v>57</v>
      </c>
      <c r="J308" s="34" t="s">
        <v>58</v>
      </c>
      <c r="K308" s="34" t="s">
        <v>229</v>
      </c>
      <c r="L308" s="34" t="s">
        <v>230</v>
      </c>
      <c r="M308" s="34"/>
      <c r="N308" s="34" t="str">
        <f aca="false">"Sector "&amp;VALUE(MID(D308,13,2))</f>
        <v>Sector 6</v>
      </c>
      <c r="O308" s="34" t="str">
        <f aca="false">IF(Dashboard!$C$5="Ubicación técnica",N308,"Sector "&amp;VALUE(RIGHT(G308,2)))</f>
        <v>Sector 6</v>
      </c>
      <c r="P308" s="34" t="str">
        <f aca="false">IF(MID(D308,15,3)="SEL","Subestación eléctrica","Área de proceso")</f>
        <v>Subestación eléctrica</v>
      </c>
      <c r="Q308" s="34" t="str">
        <f aca="false">MID(D308,13,5)&amp;"|"&amp;MID(D308,19,5)</f>
        <v>06SEL|S_029</v>
      </c>
      <c r="R308" s="34" t="str">
        <f aca="false">IF(P308="Subestación eléctrica",IFERROR(INDEX(cat_SubN,MATCH(Q308,cat_SubK,0)),"SIN CATALOGAR"),"ÁREA DE PROCESO")</f>
        <v>SE-29</v>
      </c>
      <c r="S308" s="34" t="str">
        <f aca="false">IF(H308="","SIN DATO",IFERROR(INDEX(cat_MarcaN,MATCH(H308,cat_MarcaO,0)),H308))</f>
        <v>SEL</v>
      </c>
      <c r="T308" s="34" t="str">
        <f aca="false">IF(I308="","SIN DATO",IFERROR(INDEX(cat_ModN,MATCH(I308,cat_ModO,0)),I308))</f>
        <v>SEL-735</v>
      </c>
      <c r="U308" s="34" t="str">
        <f aca="false">IF(I308="","",IFERROR(INDEX(cat_ModG,MATCH(I308,cat_ModO,0)),"No"))</f>
        <v>No</v>
      </c>
      <c r="V308" s="34" t="str">
        <f aca="false">IF(J308="","SIN DATO",IFERROR(INDEX(cat_FunN,MATCH(J308,cat_FunO,0)),J308))</f>
        <v>Medición</v>
      </c>
      <c r="W308" s="34" t="str">
        <f aca="false">IF(OR(S308="SIN DATO",T308="SIN DATO"),"No","Sí")</f>
        <v>Sí</v>
      </c>
    </row>
    <row r="309" customFormat="false" ht="15" hidden="false" customHeight="false" outlineLevel="0" collapsed="false">
      <c r="A309" s="34" t="s">
        <v>1386</v>
      </c>
      <c r="B309" s="34" t="s">
        <v>1387</v>
      </c>
      <c r="C309" s="34" t="s">
        <v>1382</v>
      </c>
      <c r="D309" s="34" t="s">
        <v>1383</v>
      </c>
      <c r="E309" s="34" t="s">
        <v>146</v>
      </c>
      <c r="F309" s="34" t="s">
        <v>1336</v>
      </c>
      <c r="G309" s="34" t="s">
        <v>300</v>
      </c>
      <c r="H309" s="34" t="s">
        <v>34</v>
      </c>
      <c r="I309" s="34" t="s">
        <v>43</v>
      </c>
      <c r="J309" s="34" t="s">
        <v>681</v>
      </c>
      <c r="K309" s="34" t="s">
        <v>229</v>
      </c>
      <c r="L309" s="34" t="s">
        <v>230</v>
      </c>
      <c r="M309" s="34"/>
      <c r="N309" s="34" t="str">
        <f aca="false">"Sector "&amp;VALUE(MID(D309,13,2))</f>
        <v>Sector 6</v>
      </c>
      <c r="O309" s="34" t="str">
        <f aca="false">IF(Dashboard!$C$5="Ubicación técnica",N309,"Sector "&amp;VALUE(RIGHT(G309,2)))</f>
        <v>Sector 6</v>
      </c>
      <c r="P309" s="34" t="str">
        <f aca="false">IF(MID(D309,15,3)="SEL","Subestación eléctrica","Área de proceso")</f>
        <v>Subestación eléctrica</v>
      </c>
      <c r="Q309" s="34" t="str">
        <f aca="false">MID(D309,13,5)&amp;"|"&amp;MID(D309,19,5)</f>
        <v>06SEL|S_029</v>
      </c>
      <c r="R309" s="34" t="str">
        <f aca="false">IF(P309="Subestación eléctrica",IFERROR(INDEX(cat_SubN,MATCH(Q309,cat_SubK,0)),"SIN CATALOGAR"),"ÁREA DE PROCESO")</f>
        <v>SE-29</v>
      </c>
      <c r="S309" s="34" t="str">
        <f aca="false">IF(H309="","SIN DATO",IFERROR(INDEX(cat_MarcaN,MATCH(H309,cat_MarcaO,0)),H309))</f>
        <v>ABB</v>
      </c>
      <c r="T309" s="34" t="str">
        <f aca="false">IF(I309="","SIN DATO",IFERROR(INDEX(cat_ModN,MATCH(I309,cat_ModO,0)),I309))</f>
        <v>RET615A_1G</v>
      </c>
      <c r="U309" s="34" t="str">
        <f aca="false">IF(I309="","",IFERROR(INDEX(cat_ModG,MATCH(I309,cat_ModO,0)),"No"))</f>
        <v>No</v>
      </c>
      <c r="V309" s="34" t="str">
        <f aca="false">IF(J309="","SIN DATO",IFERROR(INDEX(cat_FunN,MATCH(J309,cat_FunO,0)),J309))</f>
        <v>Protección</v>
      </c>
      <c r="W309" s="34" t="str">
        <f aca="false">IF(OR(S309="SIN DATO",T309="SIN DATO"),"No","Sí")</f>
        <v>Sí</v>
      </c>
    </row>
    <row r="310" customFormat="false" ht="15" hidden="false" customHeight="false" outlineLevel="0" collapsed="false">
      <c r="A310" s="34" t="s">
        <v>1388</v>
      </c>
      <c r="B310" s="34" t="s">
        <v>1389</v>
      </c>
      <c r="C310" s="34" t="s">
        <v>1382</v>
      </c>
      <c r="D310" s="34" t="s">
        <v>1383</v>
      </c>
      <c r="E310" s="34" t="s">
        <v>146</v>
      </c>
      <c r="F310" s="34" t="s">
        <v>1336</v>
      </c>
      <c r="G310" s="34" t="s">
        <v>300</v>
      </c>
      <c r="H310" s="34" t="s">
        <v>34</v>
      </c>
      <c r="I310" s="34" t="s">
        <v>37</v>
      </c>
      <c r="J310" s="34" t="s">
        <v>681</v>
      </c>
      <c r="K310" s="34" t="s">
        <v>229</v>
      </c>
      <c r="L310" s="34" t="s">
        <v>230</v>
      </c>
      <c r="M310" s="34"/>
      <c r="N310" s="34" t="str">
        <f aca="false">"Sector "&amp;VALUE(MID(D310,13,2))</f>
        <v>Sector 6</v>
      </c>
      <c r="O310" s="34" t="str">
        <f aca="false">IF(Dashboard!$C$5="Ubicación técnica",N310,"Sector "&amp;VALUE(RIGHT(G310,2)))</f>
        <v>Sector 6</v>
      </c>
      <c r="P310" s="34" t="str">
        <f aca="false">IF(MID(D310,15,3)="SEL","Subestación eléctrica","Área de proceso")</f>
        <v>Subestación eléctrica</v>
      </c>
      <c r="Q310" s="34" t="str">
        <f aca="false">MID(D310,13,5)&amp;"|"&amp;MID(D310,19,5)</f>
        <v>06SEL|S_029</v>
      </c>
      <c r="R310" s="34" t="str">
        <f aca="false">IF(P310="Subestación eléctrica",IFERROR(INDEX(cat_SubN,MATCH(Q310,cat_SubK,0)),"SIN CATALOGAR"),"ÁREA DE PROCESO")</f>
        <v>SE-29</v>
      </c>
      <c r="S310" s="34" t="str">
        <f aca="false">IF(H310="","SIN DATO",IFERROR(INDEX(cat_MarcaN,MATCH(H310,cat_MarcaO,0)),H310))</f>
        <v>ABB</v>
      </c>
      <c r="T310" s="34" t="str">
        <f aca="false">IF(I310="","SIN DATO",IFERROR(INDEX(cat_ModN,MATCH(I310,cat_ModO,0)),I310))</f>
        <v>REF615A_1G</v>
      </c>
      <c r="U310" s="34" t="str">
        <f aca="false">IF(I310="","",IFERROR(INDEX(cat_ModG,MATCH(I310,cat_ModO,0)),"No"))</f>
        <v>No</v>
      </c>
      <c r="V310" s="34" t="str">
        <f aca="false">IF(J310="","SIN DATO",IFERROR(INDEX(cat_FunN,MATCH(J310,cat_FunO,0)),J310))</f>
        <v>Protección</v>
      </c>
      <c r="W310" s="34" t="str">
        <f aca="false">IF(OR(S310="SIN DATO",T310="SIN DATO"),"No","Sí")</f>
        <v>Sí</v>
      </c>
    </row>
    <row r="311" customFormat="false" ht="15" hidden="false" customHeight="false" outlineLevel="0" collapsed="false">
      <c r="A311" s="34" t="s">
        <v>1390</v>
      </c>
      <c r="B311" s="34" t="s">
        <v>1391</v>
      </c>
      <c r="C311" s="34" t="s">
        <v>1392</v>
      </c>
      <c r="D311" s="34" t="s">
        <v>1393</v>
      </c>
      <c r="E311" s="34" t="s">
        <v>146</v>
      </c>
      <c r="F311" s="34" t="s">
        <v>1336</v>
      </c>
      <c r="G311" s="34" t="s">
        <v>300</v>
      </c>
      <c r="H311" s="34" t="s">
        <v>34</v>
      </c>
      <c r="I311" s="34" t="s">
        <v>1341</v>
      </c>
      <c r="J311" s="34" t="s">
        <v>681</v>
      </c>
      <c r="K311" s="34" t="s">
        <v>229</v>
      </c>
      <c r="L311" s="34" t="s">
        <v>230</v>
      </c>
      <c r="M311" s="34"/>
      <c r="N311" s="34" t="str">
        <f aca="false">"Sector "&amp;VALUE(MID(D311,13,2))</f>
        <v>Sector 6</v>
      </c>
      <c r="O311" s="34" t="str">
        <f aca="false">IF(Dashboard!$C$5="Ubicación técnica",N311,"Sector "&amp;VALUE(RIGHT(G311,2)))</f>
        <v>Sector 6</v>
      </c>
      <c r="P311" s="34" t="str">
        <f aca="false">IF(MID(D311,15,3)="SEL","Subestación eléctrica","Área de proceso")</f>
        <v>Subestación eléctrica</v>
      </c>
      <c r="Q311" s="34" t="str">
        <f aca="false">MID(D311,13,5)&amp;"|"&amp;MID(D311,19,5)</f>
        <v>06SEL|S_029</v>
      </c>
      <c r="R311" s="34" t="str">
        <f aca="false">IF(P311="Subestación eléctrica",IFERROR(INDEX(cat_SubN,MATCH(Q311,cat_SubK,0)),"SIN CATALOGAR"),"ÁREA DE PROCESO")</f>
        <v>SE-29</v>
      </c>
      <c r="S311" s="34" t="str">
        <f aca="false">IF(H311="","SIN DATO",IFERROR(INDEX(cat_MarcaN,MATCH(H311,cat_MarcaO,0)),H311))</f>
        <v>ABB</v>
      </c>
      <c r="T311" s="34" t="str">
        <f aca="false">IF(I311="","SIN DATO",IFERROR(INDEX(cat_ModN,MATCH(I311,cat_ModO,0)),I311))</f>
        <v>REA 101</v>
      </c>
      <c r="U311" s="34" t="str">
        <f aca="false">IF(I311="","",IFERROR(INDEX(cat_ModG,MATCH(I311,cat_ModO,0)),"No"))</f>
        <v>No</v>
      </c>
      <c r="V311" s="34" t="str">
        <f aca="false">IF(J311="","SIN DATO",IFERROR(INDEX(cat_FunN,MATCH(J311,cat_FunO,0)),J311))</f>
        <v>Protección</v>
      </c>
      <c r="W311" s="34" t="str">
        <f aca="false">IF(OR(S311="SIN DATO",T311="SIN DATO"),"No","Sí")</f>
        <v>Sí</v>
      </c>
    </row>
    <row r="312" customFormat="false" ht="15" hidden="false" customHeight="false" outlineLevel="0" collapsed="false">
      <c r="A312" s="34" t="s">
        <v>1394</v>
      </c>
      <c r="B312" s="34" t="s">
        <v>1395</v>
      </c>
      <c r="C312" s="34" t="s">
        <v>1392</v>
      </c>
      <c r="D312" s="34" t="s">
        <v>1393</v>
      </c>
      <c r="E312" s="34" t="s">
        <v>146</v>
      </c>
      <c r="F312" s="34" t="s">
        <v>1336</v>
      </c>
      <c r="G312" s="34" t="s">
        <v>300</v>
      </c>
      <c r="H312" s="34" t="s">
        <v>55</v>
      </c>
      <c r="I312" s="34" t="s">
        <v>57</v>
      </c>
      <c r="J312" s="34" t="s">
        <v>58</v>
      </c>
      <c r="K312" s="34" t="s">
        <v>229</v>
      </c>
      <c r="L312" s="34" t="s">
        <v>230</v>
      </c>
      <c r="M312" s="34"/>
      <c r="N312" s="34" t="str">
        <f aca="false">"Sector "&amp;VALUE(MID(D312,13,2))</f>
        <v>Sector 6</v>
      </c>
      <c r="O312" s="34" t="str">
        <f aca="false">IF(Dashboard!$C$5="Ubicación técnica",N312,"Sector "&amp;VALUE(RIGHT(G312,2)))</f>
        <v>Sector 6</v>
      </c>
      <c r="P312" s="34" t="str">
        <f aca="false">IF(MID(D312,15,3)="SEL","Subestación eléctrica","Área de proceso")</f>
        <v>Subestación eléctrica</v>
      </c>
      <c r="Q312" s="34" t="str">
        <f aca="false">MID(D312,13,5)&amp;"|"&amp;MID(D312,19,5)</f>
        <v>06SEL|S_029</v>
      </c>
      <c r="R312" s="34" t="str">
        <f aca="false">IF(P312="Subestación eléctrica",IFERROR(INDEX(cat_SubN,MATCH(Q312,cat_SubK,0)),"SIN CATALOGAR"),"ÁREA DE PROCESO")</f>
        <v>SE-29</v>
      </c>
      <c r="S312" s="34" t="str">
        <f aca="false">IF(H312="","SIN DATO",IFERROR(INDEX(cat_MarcaN,MATCH(H312,cat_MarcaO,0)),H312))</f>
        <v>SEL</v>
      </c>
      <c r="T312" s="34" t="str">
        <f aca="false">IF(I312="","SIN DATO",IFERROR(INDEX(cat_ModN,MATCH(I312,cat_ModO,0)),I312))</f>
        <v>SEL-735</v>
      </c>
      <c r="U312" s="34" t="str">
        <f aca="false">IF(I312="","",IFERROR(INDEX(cat_ModG,MATCH(I312,cat_ModO,0)),"No"))</f>
        <v>No</v>
      </c>
      <c r="V312" s="34" t="str">
        <f aca="false">IF(J312="","SIN DATO",IFERROR(INDEX(cat_FunN,MATCH(J312,cat_FunO,0)),J312))</f>
        <v>Medición</v>
      </c>
      <c r="W312" s="34" t="str">
        <f aca="false">IF(OR(S312="SIN DATO",T312="SIN DATO"),"No","Sí")</f>
        <v>Sí</v>
      </c>
    </row>
    <row r="313" customFormat="false" ht="15" hidden="false" customHeight="false" outlineLevel="0" collapsed="false">
      <c r="A313" s="34" t="s">
        <v>1396</v>
      </c>
      <c r="B313" s="34" t="s">
        <v>1397</v>
      </c>
      <c r="C313" s="34" t="s">
        <v>1398</v>
      </c>
      <c r="D313" s="34" t="s">
        <v>1340</v>
      </c>
      <c r="E313" s="34" t="s">
        <v>146</v>
      </c>
      <c r="F313" s="34" t="s">
        <v>1336</v>
      </c>
      <c r="G313" s="34" t="s">
        <v>300</v>
      </c>
      <c r="H313" s="34" t="s">
        <v>34</v>
      </c>
      <c r="I313" s="34" t="s">
        <v>37</v>
      </c>
      <c r="J313" s="34" t="s">
        <v>681</v>
      </c>
      <c r="K313" s="34" t="s">
        <v>229</v>
      </c>
      <c r="L313" s="34" t="s">
        <v>230</v>
      </c>
      <c r="M313" s="34"/>
      <c r="N313" s="34" t="str">
        <f aca="false">"Sector "&amp;VALUE(MID(D313,13,2))</f>
        <v>Sector 6</v>
      </c>
      <c r="O313" s="34" t="str">
        <f aca="false">IF(Dashboard!$C$5="Ubicación técnica",N313,"Sector "&amp;VALUE(RIGHT(G313,2)))</f>
        <v>Sector 6</v>
      </c>
      <c r="P313" s="34" t="str">
        <f aca="false">IF(MID(D313,15,3)="SEL","Subestación eléctrica","Área de proceso")</f>
        <v>Subestación eléctrica</v>
      </c>
      <c r="Q313" s="34" t="str">
        <f aca="false">MID(D313,13,5)&amp;"|"&amp;MID(D313,19,5)</f>
        <v>06SEL|S_029</v>
      </c>
      <c r="R313" s="34" t="str">
        <f aca="false">IF(P313="Subestación eléctrica",IFERROR(INDEX(cat_SubN,MATCH(Q313,cat_SubK,0)),"SIN CATALOGAR"),"ÁREA DE PROCESO")</f>
        <v>SE-29</v>
      </c>
      <c r="S313" s="34" t="str">
        <f aca="false">IF(H313="","SIN DATO",IFERROR(INDEX(cat_MarcaN,MATCH(H313,cat_MarcaO,0)),H313))</f>
        <v>ABB</v>
      </c>
      <c r="T313" s="34" t="str">
        <f aca="false">IF(I313="","SIN DATO",IFERROR(INDEX(cat_ModN,MATCH(I313,cat_ModO,0)),I313))</f>
        <v>REF615A_1G</v>
      </c>
      <c r="U313" s="34" t="str">
        <f aca="false">IF(I313="","",IFERROR(INDEX(cat_ModG,MATCH(I313,cat_ModO,0)),"No"))</f>
        <v>No</v>
      </c>
      <c r="V313" s="34" t="str">
        <f aca="false">IF(J313="","SIN DATO",IFERROR(INDEX(cat_FunN,MATCH(J313,cat_FunO,0)),J313))</f>
        <v>Protección</v>
      </c>
      <c r="W313" s="34" t="str">
        <f aca="false">IF(OR(S313="SIN DATO",T313="SIN DATO"),"No","Sí")</f>
        <v>Sí</v>
      </c>
    </row>
    <row r="314" customFormat="false" ht="15" hidden="false" customHeight="false" outlineLevel="0" collapsed="false">
      <c r="A314" s="34" t="s">
        <v>1399</v>
      </c>
      <c r="B314" s="34" t="s">
        <v>1400</v>
      </c>
      <c r="C314" s="34" t="s">
        <v>1401</v>
      </c>
      <c r="D314" s="34" t="s">
        <v>1335</v>
      </c>
      <c r="E314" s="34" t="s">
        <v>146</v>
      </c>
      <c r="F314" s="34" t="s">
        <v>1336</v>
      </c>
      <c r="G314" s="34" t="s">
        <v>300</v>
      </c>
      <c r="H314" s="34" t="s">
        <v>34</v>
      </c>
      <c r="I314" s="34" t="s">
        <v>37</v>
      </c>
      <c r="J314" s="34" t="s">
        <v>681</v>
      </c>
      <c r="K314" s="34" t="s">
        <v>229</v>
      </c>
      <c r="L314" s="34" t="s">
        <v>230</v>
      </c>
      <c r="M314" s="34"/>
      <c r="N314" s="34" t="str">
        <f aca="false">"Sector "&amp;VALUE(MID(D314,13,2))</f>
        <v>Sector 6</v>
      </c>
      <c r="O314" s="34" t="str">
        <f aca="false">IF(Dashboard!$C$5="Ubicación técnica",N314,"Sector "&amp;VALUE(RIGHT(G314,2)))</f>
        <v>Sector 6</v>
      </c>
      <c r="P314" s="34" t="str">
        <f aca="false">IF(MID(D314,15,3)="SEL","Subestación eléctrica","Área de proceso")</f>
        <v>Subestación eléctrica</v>
      </c>
      <c r="Q314" s="34" t="str">
        <f aca="false">MID(D314,13,5)&amp;"|"&amp;MID(D314,19,5)</f>
        <v>06SEL|S_029</v>
      </c>
      <c r="R314" s="34" t="str">
        <f aca="false">IF(P314="Subestación eléctrica",IFERROR(INDEX(cat_SubN,MATCH(Q314,cat_SubK,0)),"SIN CATALOGAR"),"ÁREA DE PROCESO")</f>
        <v>SE-29</v>
      </c>
      <c r="S314" s="34" t="str">
        <f aca="false">IF(H314="","SIN DATO",IFERROR(INDEX(cat_MarcaN,MATCH(H314,cat_MarcaO,0)),H314))</f>
        <v>ABB</v>
      </c>
      <c r="T314" s="34" t="str">
        <f aca="false">IF(I314="","SIN DATO",IFERROR(INDEX(cat_ModN,MATCH(I314,cat_ModO,0)),I314))</f>
        <v>REF615A_1G</v>
      </c>
      <c r="U314" s="34" t="str">
        <f aca="false">IF(I314="","",IFERROR(INDEX(cat_ModG,MATCH(I314,cat_ModO,0)),"No"))</f>
        <v>No</v>
      </c>
      <c r="V314" s="34" t="str">
        <f aca="false">IF(J314="","SIN DATO",IFERROR(INDEX(cat_FunN,MATCH(J314,cat_FunO,0)),J314))</f>
        <v>Protección</v>
      </c>
      <c r="W314" s="34" t="str">
        <f aca="false">IF(OR(S314="SIN DATO",T314="SIN DATO"),"No","Sí")</f>
        <v>Sí</v>
      </c>
    </row>
    <row r="315" customFormat="false" ht="15" hidden="false" customHeight="false" outlineLevel="0" collapsed="false">
      <c r="A315" s="34" t="s">
        <v>1402</v>
      </c>
      <c r="B315" s="34" t="s">
        <v>1403</v>
      </c>
      <c r="C315" s="34" t="s">
        <v>1404</v>
      </c>
      <c r="D315" s="34" t="s">
        <v>1340</v>
      </c>
      <c r="E315" s="34" t="s">
        <v>146</v>
      </c>
      <c r="F315" s="34" t="s">
        <v>1336</v>
      </c>
      <c r="G315" s="34" t="s">
        <v>300</v>
      </c>
      <c r="H315" s="34" t="s">
        <v>34</v>
      </c>
      <c r="I315" s="34" t="s">
        <v>37</v>
      </c>
      <c r="J315" s="34" t="s">
        <v>681</v>
      </c>
      <c r="K315" s="34" t="s">
        <v>229</v>
      </c>
      <c r="L315" s="34" t="s">
        <v>230</v>
      </c>
      <c r="M315" s="34"/>
      <c r="N315" s="34" t="str">
        <f aca="false">"Sector "&amp;VALUE(MID(D315,13,2))</f>
        <v>Sector 6</v>
      </c>
      <c r="O315" s="34" t="str">
        <f aca="false">IF(Dashboard!$C$5="Ubicación técnica",N315,"Sector "&amp;VALUE(RIGHT(G315,2)))</f>
        <v>Sector 6</v>
      </c>
      <c r="P315" s="34" t="str">
        <f aca="false">IF(MID(D315,15,3)="SEL","Subestación eléctrica","Área de proceso")</f>
        <v>Subestación eléctrica</v>
      </c>
      <c r="Q315" s="34" t="str">
        <f aca="false">MID(D315,13,5)&amp;"|"&amp;MID(D315,19,5)</f>
        <v>06SEL|S_029</v>
      </c>
      <c r="R315" s="34" t="str">
        <f aca="false">IF(P315="Subestación eléctrica",IFERROR(INDEX(cat_SubN,MATCH(Q315,cat_SubK,0)),"SIN CATALOGAR"),"ÁREA DE PROCESO")</f>
        <v>SE-29</v>
      </c>
      <c r="S315" s="34" t="str">
        <f aca="false">IF(H315="","SIN DATO",IFERROR(INDEX(cat_MarcaN,MATCH(H315,cat_MarcaO,0)),H315))</f>
        <v>ABB</v>
      </c>
      <c r="T315" s="34" t="str">
        <f aca="false">IF(I315="","SIN DATO",IFERROR(INDEX(cat_ModN,MATCH(I315,cat_ModO,0)),I315))</f>
        <v>REF615A_1G</v>
      </c>
      <c r="U315" s="34" t="str">
        <f aca="false">IF(I315="","",IFERROR(INDEX(cat_ModG,MATCH(I315,cat_ModO,0)),"No"))</f>
        <v>No</v>
      </c>
      <c r="V315" s="34" t="str">
        <f aca="false">IF(J315="","SIN DATO",IFERROR(INDEX(cat_FunN,MATCH(J315,cat_FunO,0)),J315))</f>
        <v>Protección</v>
      </c>
      <c r="W315" s="34" t="str">
        <f aca="false">IF(OR(S315="SIN DATO",T315="SIN DATO"),"No","Sí")</f>
        <v>Sí</v>
      </c>
    </row>
    <row r="316" customFormat="false" ht="15" hidden="false" customHeight="false" outlineLevel="0" collapsed="false">
      <c r="A316" s="34" t="s">
        <v>1405</v>
      </c>
      <c r="B316" s="34" t="s">
        <v>1406</v>
      </c>
      <c r="C316" s="34" t="s">
        <v>1407</v>
      </c>
      <c r="D316" s="34" t="s">
        <v>1335</v>
      </c>
      <c r="E316" s="34" t="s">
        <v>146</v>
      </c>
      <c r="F316" s="34" t="s">
        <v>1336</v>
      </c>
      <c r="G316" s="34" t="s">
        <v>300</v>
      </c>
      <c r="H316" s="34" t="s">
        <v>34</v>
      </c>
      <c r="I316" s="34" t="s">
        <v>37</v>
      </c>
      <c r="J316" s="34" t="s">
        <v>681</v>
      </c>
      <c r="K316" s="34" t="s">
        <v>229</v>
      </c>
      <c r="L316" s="34" t="s">
        <v>230</v>
      </c>
      <c r="M316" s="34"/>
      <c r="N316" s="34" t="str">
        <f aca="false">"Sector "&amp;VALUE(MID(D316,13,2))</f>
        <v>Sector 6</v>
      </c>
      <c r="O316" s="34" t="str">
        <f aca="false">IF(Dashboard!$C$5="Ubicación técnica",N316,"Sector "&amp;VALUE(RIGHT(G316,2)))</f>
        <v>Sector 6</v>
      </c>
      <c r="P316" s="34" t="str">
        <f aca="false">IF(MID(D316,15,3)="SEL","Subestación eléctrica","Área de proceso")</f>
        <v>Subestación eléctrica</v>
      </c>
      <c r="Q316" s="34" t="str">
        <f aca="false">MID(D316,13,5)&amp;"|"&amp;MID(D316,19,5)</f>
        <v>06SEL|S_029</v>
      </c>
      <c r="R316" s="34" t="str">
        <f aca="false">IF(P316="Subestación eléctrica",IFERROR(INDEX(cat_SubN,MATCH(Q316,cat_SubK,0)),"SIN CATALOGAR"),"ÁREA DE PROCESO")</f>
        <v>SE-29</v>
      </c>
      <c r="S316" s="34" t="str">
        <f aca="false">IF(H316="","SIN DATO",IFERROR(INDEX(cat_MarcaN,MATCH(H316,cat_MarcaO,0)),H316))</f>
        <v>ABB</v>
      </c>
      <c r="T316" s="34" t="str">
        <f aca="false">IF(I316="","SIN DATO",IFERROR(INDEX(cat_ModN,MATCH(I316,cat_ModO,0)),I316))</f>
        <v>REF615A_1G</v>
      </c>
      <c r="U316" s="34" t="str">
        <f aca="false">IF(I316="","",IFERROR(INDEX(cat_ModG,MATCH(I316,cat_ModO,0)),"No"))</f>
        <v>No</v>
      </c>
      <c r="V316" s="34" t="str">
        <f aca="false">IF(J316="","SIN DATO",IFERROR(INDEX(cat_FunN,MATCH(J316,cat_FunO,0)),J316))</f>
        <v>Protección</v>
      </c>
      <c r="W316" s="34" t="str">
        <f aca="false">IF(OR(S316="SIN DATO",T316="SIN DATO"),"No","Sí")</f>
        <v>Sí</v>
      </c>
    </row>
    <row r="317" customFormat="false" ht="15" hidden="false" customHeight="false" outlineLevel="0" collapsed="false">
      <c r="A317" s="34" t="s">
        <v>1408</v>
      </c>
      <c r="B317" s="34" t="s">
        <v>1409</v>
      </c>
      <c r="C317" s="34" t="s">
        <v>1410</v>
      </c>
      <c r="D317" s="34" t="s">
        <v>1340</v>
      </c>
      <c r="E317" s="34" t="s">
        <v>146</v>
      </c>
      <c r="F317" s="34" t="s">
        <v>1336</v>
      </c>
      <c r="G317" s="34" t="s">
        <v>300</v>
      </c>
      <c r="H317" s="34" t="s">
        <v>34</v>
      </c>
      <c r="I317" s="34" t="s">
        <v>37</v>
      </c>
      <c r="J317" s="34" t="s">
        <v>681</v>
      </c>
      <c r="K317" s="34" t="s">
        <v>229</v>
      </c>
      <c r="L317" s="34" t="s">
        <v>230</v>
      </c>
      <c r="M317" s="34"/>
      <c r="N317" s="34" t="str">
        <f aca="false">"Sector "&amp;VALUE(MID(D317,13,2))</f>
        <v>Sector 6</v>
      </c>
      <c r="O317" s="34" t="str">
        <f aca="false">IF(Dashboard!$C$5="Ubicación técnica",N317,"Sector "&amp;VALUE(RIGHT(G317,2)))</f>
        <v>Sector 6</v>
      </c>
      <c r="P317" s="34" t="str">
        <f aca="false">IF(MID(D317,15,3)="SEL","Subestación eléctrica","Área de proceso")</f>
        <v>Subestación eléctrica</v>
      </c>
      <c r="Q317" s="34" t="str">
        <f aca="false">MID(D317,13,5)&amp;"|"&amp;MID(D317,19,5)</f>
        <v>06SEL|S_029</v>
      </c>
      <c r="R317" s="34" t="str">
        <f aca="false">IF(P317="Subestación eléctrica",IFERROR(INDEX(cat_SubN,MATCH(Q317,cat_SubK,0)),"SIN CATALOGAR"),"ÁREA DE PROCESO")</f>
        <v>SE-29</v>
      </c>
      <c r="S317" s="34" t="str">
        <f aca="false">IF(H317="","SIN DATO",IFERROR(INDEX(cat_MarcaN,MATCH(H317,cat_MarcaO,0)),H317))</f>
        <v>ABB</v>
      </c>
      <c r="T317" s="34" t="str">
        <f aca="false">IF(I317="","SIN DATO",IFERROR(INDEX(cat_ModN,MATCH(I317,cat_ModO,0)),I317))</f>
        <v>REF615A_1G</v>
      </c>
      <c r="U317" s="34" t="str">
        <f aca="false">IF(I317="","",IFERROR(INDEX(cat_ModG,MATCH(I317,cat_ModO,0)),"No"))</f>
        <v>No</v>
      </c>
      <c r="V317" s="34" t="str">
        <f aca="false">IF(J317="","SIN DATO",IFERROR(INDEX(cat_FunN,MATCH(J317,cat_FunO,0)),J317))</f>
        <v>Protección</v>
      </c>
      <c r="W317" s="34" t="str">
        <f aca="false">IF(OR(S317="SIN DATO",T317="SIN DATO"),"No","Sí")</f>
        <v>Sí</v>
      </c>
    </row>
    <row r="318" customFormat="false" ht="15" hidden="false" customHeight="false" outlineLevel="0" collapsed="false">
      <c r="A318" s="34" t="s">
        <v>1411</v>
      </c>
      <c r="B318" s="34" t="s">
        <v>1412</v>
      </c>
      <c r="C318" s="34" t="s">
        <v>1413</v>
      </c>
      <c r="D318" s="34" t="s">
        <v>1335</v>
      </c>
      <c r="E318" s="34" t="s">
        <v>146</v>
      </c>
      <c r="F318" s="34" t="s">
        <v>1336</v>
      </c>
      <c r="G318" s="34" t="s">
        <v>300</v>
      </c>
      <c r="H318" s="34" t="s">
        <v>34</v>
      </c>
      <c r="I318" s="34" t="s">
        <v>37</v>
      </c>
      <c r="J318" s="34" t="s">
        <v>681</v>
      </c>
      <c r="K318" s="34" t="s">
        <v>229</v>
      </c>
      <c r="L318" s="34" t="s">
        <v>230</v>
      </c>
      <c r="M318" s="34"/>
      <c r="N318" s="34" t="str">
        <f aca="false">"Sector "&amp;VALUE(MID(D318,13,2))</f>
        <v>Sector 6</v>
      </c>
      <c r="O318" s="34" t="str">
        <f aca="false">IF(Dashboard!$C$5="Ubicación técnica",N318,"Sector "&amp;VALUE(RIGHT(G318,2)))</f>
        <v>Sector 6</v>
      </c>
      <c r="P318" s="34" t="str">
        <f aca="false">IF(MID(D318,15,3)="SEL","Subestación eléctrica","Área de proceso")</f>
        <v>Subestación eléctrica</v>
      </c>
      <c r="Q318" s="34" t="str">
        <f aca="false">MID(D318,13,5)&amp;"|"&amp;MID(D318,19,5)</f>
        <v>06SEL|S_029</v>
      </c>
      <c r="R318" s="34" t="str">
        <f aca="false">IF(P318="Subestación eléctrica",IFERROR(INDEX(cat_SubN,MATCH(Q318,cat_SubK,0)),"SIN CATALOGAR"),"ÁREA DE PROCESO")</f>
        <v>SE-29</v>
      </c>
      <c r="S318" s="34" t="str">
        <f aca="false">IF(H318="","SIN DATO",IFERROR(INDEX(cat_MarcaN,MATCH(H318,cat_MarcaO,0)),H318))</f>
        <v>ABB</v>
      </c>
      <c r="T318" s="34" t="str">
        <f aca="false">IF(I318="","SIN DATO",IFERROR(INDEX(cat_ModN,MATCH(I318,cat_ModO,0)),I318))</f>
        <v>REF615A_1G</v>
      </c>
      <c r="U318" s="34" t="str">
        <f aca="false">IF(I318="","",IFERROR(INDEX(cat_ModG,MATCH(I318,cat_ModO,0)),"No"))</f>
        <v>No</v>
      </c>
      <c r="V318" s="34" t="str">
        <f aca="false">IF(J318="","SIN DATO",IFERROR(INDEX(cat_FunN,MATCH(J318,cat_FunO,0)),J318))</f>
        <v>Protección</v>
      </c>
      <c r="W318" s="34" t="str">
        <f aca="false">IF(OR(S318="SIN DATO",T318="SIN DATO"),"No","Sí")</f>
        <v>Sí</v>
      </c>
    </row>
    <row r="319" customFormat="false" ht="15" hidden="false" customHeight="false" outlineLevel="0" collapsed="false">
      <c r="A319" s="34" t="s">
        <v>1414</v>
      </c>
      <c r="B319" s="34" t="s">
        <v>1415</v>
      </c>
      <c r="C319" s="34" t="s">
        <v>1416</v>
      </c>
      <c r="D319" s="34" t="s">
        <v>1340</v>
      </c>
      <c r="E319" s="34" t="s">
        <v>146</v>
      </c>
      <c r="F319" s="34" t="s">
        <v>1336</v>
      </c>
      <c r="G319" s="34" t="s">
        <v>300</v>
      </c>
      <c r="H319" s="34" t="s">
        <v>34</v>
      </c>
      <c r="I319" s="34" t="s">
        <v>37</v>
      </c>
      <c r="J319" s="34" t="s">
        <v>681</v>
      </c>
      <c r="K319" s="34" t="s">
        <v>229</v>
      </c>
      <c r="L319" s="34" t="s">
        <v>230</v>
      </c>
      <c r="M319" s="34"/>
      <c r="N319" s="34" t="str">
        <f aca="false">"Sector "&amp;VALUE(MID(D319,13,2))</f>
        <v>Sector 6</v>
      </c>
      <c r="O319" s="34" t="str">
        <f aca="false">IF(Dashboard!$C$5="Ubicación técnica",N319,"Sector "&amp;VALUE(RIGHT(G319,2)))</f>
        <v>Sector 6</v>
      </c>
      <c r="P319" s="34" t="str">
        <f aca="false">IF(MID(D319,15,3)="SEL","Subestación eléctrica","Área de proceso")</f>
        <v>Subestación eléctrica</v>
      </c>
      <c r="Q319" s="34" t="str">
        <f aca="false">MID(D319,13,5)&amp;"|"&amp;MID(D319,19,5)</f>
        <v>06SEL|S_029</v>
      </c>
      <c r="R319" s="34" t="str">
        <f aca="false">IF(P319="Subestación eléctrica",IFERROR(INDEX(cat_SubN,MATCH(Q319,cat_SubK,0)),"SIN CATALOGAR"),"ÁREA DE PROCESO")</f>
        <v>SE-29</v>
      </c>
      <c r="S319" s="34" t="str">
        <f aca="false">IF(H319="","SIN DATO",IFERROR(INDEX(cat_MarcaN,MATCH(H319,cat_MarcaO,0)),H319))</f>
        <v>ABB</v>
      </c>
      <c r="T319" s="34" t="str">
        <f aca="false">IF(I319="","SIN DATO",IFERROR(INDEX(cat_ModN,MATCH(I319,cat_ModO,0)),I319))</f>
        <v>REF615A_1G</v>
      </c>
      <c r="U319" s="34" t="str">
        <f aca="false">IF(I319="","",IFERROR(INDEX(cat_ModG,MATCH(I319,cat_ModO,0)),"No"))</f>
        <v>No</v>
      </c>
      <c r="V319" s="34" t="str">
        <f aca="false">IF(J319="","SIN DATO",IFERROR(INDEX(cat_FunN,MATCH(J319,cat_FunO,0)),J319))</f>
        <v>Protección</v>
      </c>
      <c r="W319" s="34" t="str">
        <f aca="false">IF(OR(S319="SIN DATO",T319="SIN DATO"),"No","Sí")</f>
        <v>Sí</v>
      </c>
    </row>
    <row r="320" customFormat="false" ht="15" hidden="false" customHeight="false" outlineLevel="0" collapsed="false">
      <c r="A320" s="34" t="s">
        <v>1417</v>
      </c>
      <c r="B320" s="34" t="s">
        <v>1418</v>
      </c>
      <c r="C320" s="34" t="s">
        <v>1419</v>
      </c>
      <c r="D320" s="34" t="s">
        <v>1420</v>
      </c>
      <c r="E320" s="34" t="s">
        <v>146</v>
      </c>
      <c r="F320" s="34" t="s">
        <v>1336</v>
      </c>
      <c r="G320" s="34" t="s">
        <v>300</v>
      </c>
      <c r="H320" s="34" t="s">
        <v>1358</v>
      </c>
      <c r="I320" s="34" t="s">
        <v>64</v>
      </c>
      <c r="J320" s="34" t="s">
        <v>681</v>
      </c>
      <c r="K320" s="34" t="s">
        <v>229</v>
      </c>
      <c r="L320" s="34" t="s">
        <v>230</v>
      </c>
      <c r="M320" s="34"/>
      <c r="N320" s="34" t="str">
        <f aca="false">"Sector "&amp;VALUE(MID(D320,13,2))</f>
        <v>Sector 6</v>
      </c>
      <c r="O320" s="34" t="str">
        <f aca="false">IF(Dashboard!$C$5="Ubicación técnica",N320,"Sector "&amp;VALUE(RIGHT(G320,2)))</f>
        <v>Sector 6</v>
      </c>
      <c r="P320" s="34" t="str">
        <f aca="false">IF(MID(D320,15,3)="SEL","Subestación eléctrica","Área de proceso")</f>
        <v>Subestación eléctrica</v>
      </c>
      <c r="Q320" s="34" t="str">
        <f aca="false">MID(D320,13,5)&amp;"|"&amp;MID(D320,19,5)</f>
        <v>06SEL|S_029</v>
      </c>
      <c r="R320" s="34" t="str">
        <f aca="false">IF(P320="Subestación eléctrica",IFERROR(INDEX(cat_SubN,MATCH(Q320,cat_SubK,0)),"SIN CATALOGAR"),"ÁREA DE PROCESO")</f>
        <v>SE-29</v>
      </c>
      <c r="S320" s="34" t="str">
        <f aca="false">IF(H320="","SIN DATO",IFERROR(INDEX(cat_MarcaN,MATCH(H320,cat_MarcaO,0)),H320))</f>
        <v>GENERAL ELECTRIC</v>
      </c>
      <c r="T320" s="34" t="str">
        <f aca="false">IF(I320="","SIN DATO",IFERROR(INDEX(cat_ModN,MATCH(I320,cat_ModO,0)),I320))</f>
        <v>MULTILIN 350</v>
      </c>
      <c r="U320" s="34" t="str">
        <f aca="false">IF(I320="","",IFERROR(INDEX(cat_ModG,MATCH(I320,cat_ModO,0)),"No"))</f>
        <v>No</v>
      </c>
      <c r="V320" s="34" t="str">
        <f aca="false">IF(J320="","SIN DATO",IFERROR(INDEX(cat_FunN,MATCH(J320,cat_FunO,0)),J320))</f>
        <v>Protección</v>
      </c>
      <c r="W320" s="34" t="str">
        <f aca="false">IF(OR(S320="SIN DATO",T320="SIN DATO"),"No","Sí")</f>
        <v>Sí</v>
      </c>
    </row>
    <row r="321" customFormat="false" ht="15" hidden="false" customHeight="false" outlineLevel="0" collapsed="false">
      <c r="A321" s="34" t="s">
        <v>1421</v>
      </c>
      <c r="B321" s="34" t="s">
        <v>1422</v>
      </c>
      <c r="C321" s="34" t="s">
        <v>1423</v>
      </c>
      <c r="D321" s="34" t="s">
        <v>1424</v>
      </c>
      <c r="E321" s="34" t="s">
        <v>146</v>
      </c>
      <c r="F321" s="34" t="s">
        <v>1336</v>
      </c>
      <c r="G321" s="34" t="s">
        <v>300</v>
      </c>
      <c r="H321" s="34" t="s">
        <v>1358</v>
      </c>
      <c r="I321" s="34" t="s">
        <v>64</v>
      </c>
      <c r="J321" s="34" t="s">
        <v>681</v>
      </c>
      <c r="K321" s="34" t="s">
        <v>229</v>
      </c>
      <c r="L321" s="34" t="s">
        <v>230</v>
      </c>
      <c r="M321" s="34"/>
      <c r="N321" s="34" t="str">
        <f aca="false">"Sector "&amp;VALUE(MID(D321,13,2))</f>
        <v>Sector 6</v>
      </c>
      <c r="O321" s="34" t="str">
        <f aca="false">IF(Dashboard!$C$5="Ubicación técnica",N321,"Sector "&amp;VALUE(RIGHT(G321,2)))</f>
        <v>Sector 6</v>
      </c>
      <c r="P321" s="34" t="str">
        <f aca="false">IF(MID(D321,15,3)="SEL","Subestación eléctrica","Área de proceso")</f>
        <v>Subestación eléctrica</v>
      </c>
      <c r="Q321" s="34" t="str">
        <f aca="false">MID(D321,13,5)&amp;"|"&amp;MID(D321,19,5)</f>
        <v>06SEL|S_029</v>
      </c>
      <c r="R321" s="34" t="str">
        <f aca="false">IF(P321="Subestación eléctrica",IFERROR(INDEX(cat_SubN,MATCH(Q321,cat_SubK,0)),"SIN CATALOGAR"),"ÁREA DE PROCESO")</f>
        <v>SE-29</v>
      </c>
      <c r="S321" s="34" t="str">
        <f aca="false">IF(H321="","SIN DATO",IFERROR(INDEX(cat_MarcaN,MATCH(H321,cat_MarcaO,0)),H321))</f>
        <v>GENERAL ELECTRIC</v>
      </c>
      <c r="T321" s="34" t="str">
        <f aca="false">IF(I321="","SIN DATO",IFERROR(INDEX(cat_ModN,MATCH(I321,cat_ModO,0)),I321))</f>
        <v>MULTILIN 350</v>
      </c>
      <c r="U321" s="34" t="str">
        <f aca="false">IF(I321="","",IFERROR(INDEX(cat_ModG,MATCH(I321,cat_ModO,0)),"No"))</f>
        <v>No</v>
      </c>
      <c r="V321" s="34" t="str">
        <f aca="false">IF(J321="","SIN DATO",IFERROR(INDEX(cat_FunN,MATCH(J321,cat_FunO,0)),J321))</f>
        <v>Protección</v>
      </c>
      <c r="W321" s="34" t="str">
        <f aca="false">IF(OR(S321="SIN DATO",T321="SIN DATO"),"No","Sí")</f>
        <v>Sí</v>
      </c>
    </row>
    <row r="322" customFormat="false" ht="15" hidden="false" customHeight="false" outlineLevel="0" collapsed="false">
      <c r="A322" s="34" t="s">
        <v>1425</v>
      </c>
      <c r="B322" s="34" t="s">
        <v>1426</v>
      </c>
      <c r="C322" s="34" t="s">
        <v>1427</v>
      </c>
      <c r="D322" s="34" t="s">
        <v>1428</v>
      </c>
      <c r="E322" s="34" t="s">
        <v>146</v>
      </c>
      <c r="F322" s="34" t="s">
        <v>1336</v>
      </c>
      <c r="G322" s="34" t="s">
        <v>300</v>
      </c>
      <c r="H322" s="34" t="s">
        <v>1358</v>
      </c>
      <c r="I322" s="34" t="s">
        <v>64</v>
      </c>
      <c r="J322" s="34" t="s">
        <v>681</v>
      </c>
      <c r="K322" s="34" t="s">
        <v>229</v>
      </c>
      <c r="L322" s="34" t="s">
        <v>230</v>
      </c>
      <c r="M322" s="34"/>
      <c r="N322" s="34" t="str">
        <f aca="false">"Sector "&amp;VALUE(MID(D322,13,2))</f>
        <v>Sector 6</v>
      </c>
      <c r="O322" s="34" t="str">
        <f aca="false">IF(Dashboard!$C$5="Ubicación técnica",N322,"Sector "&amp;VALUE(RIGHT(G322,2)))</f>
        <v>Sector 6</v>
      </c>
      <c r="P322" s="34" t="str">
        <f aca="false">IF(MID(D322,15,3)="SEL","Subestación eléctrica","Área de proceso")</f>
        <v>Subestación eléctrica</v>
      </c>
      <c r="Q322" s="34" t="str">
        <f aca="false">MID(D322,13,5)&amp;"|"&amp;MID(D322,19,5)</f>
        <v>06SEL|S_029</v>
      </c>
      <c r="R322" s="34" t="str">
        <f aca="false">IF(P322="Subestación eléctrica",IFERROR(INDEX(cat_SubN,MATCH(Q322,cat_SubK,0)),"SIN CATALOGAR"),"ÁREA DE PROCESO")</f>
        <v>SE-29</v>
      </c>
      <c r="S322" s="34" t="str">
        <f aca="false">IF(H322="","SIN DATO",IFERROR(INDEX(cat_MarcaN,MATCH(H322,cat_MarcaO,0)),H322))</f>
        <v>GENERAL ELECTRIC</v>
      </c>
      <c r="T322" s="34" t="str">
        <f aca="false">IF(I322="","SIN DATO",IFERROR(INDEX(cat_ModN,MATCH(I322,cat_ModO,0)),I322))</f>
        <v>MULTILIN 350</v>
      </c>
      <c r="U322" s="34" t="str">
        <f aca="false">IF(I322="","",IFERROR(INDEX(cat_ModG,MATCH(I322,cat_ModO,0)),"No"))</f>
        <v>No</v>
      </c>
      <c r="V322" s="34" t="str">
        <f aca="false">IF(J322="","SIN DATO",IFERROR(INDEX(cat_FunN,MATCH(J322,cat_FunO,0)),J322))</f>
        <v>Protección</v>
      </c>
      <c r="W322" s="34" t="str">
        <f aca="false">IF(OR(S322="SIN DATO",T322="SIN DATO"),"No","Sí")</f>
        <v>Sí</v>
      </c>
    </row>
    <row r="323" customFormat="false" ht="15" hidden="false" customHeight="false" outlineLevel="0" collapsed="false">
      <c r="A323" s="34" t="s">
        <v>1429</v>
      </c>
      <c r="B323" s="34" t="s">
        <v>1430</v>
      </c>
      <c r="C323" s="34" t="s">
        <v>1431</v>
      </c>
      <c r="D323" s="34" t="s">
        <v>1432</v>
      </c>
      <c r="E323" s="34" t="s">
        <v>146</v>
      </c>
      <c r="F323" s="34" t="s">
        <v>1336</v>
      </c>
      <c r="G323" s="34" t="s">
        <v>300</v>
      </c>
      <c r="H323" s="34" t="s">
        <v>1358</v>
      </c>
      <c r="I323" s="34" t="s">
        <v>64</v>
      </c>
      <c r="J323" s="34" t="s">
        <v>681</v>
      </c>
      <c r="K323" s="34" t="s">
        <v>229</v>
      </c>
      <c r="L323" s="34" t="s">
        <v>230</v>
      </c>
      <c r="M323" s="34"/>
      <c r="N323" s="34" t="str">
        <f aca="false">"Sector "&amp;VALUE(MID(D323,13,2))</f>
        <v>Sector 6</v>
      </c>
      <c r="O323" s="34" t="str">
        <f aca="false">IF(Dashboard!$C$5="Ubicación técnica",N323,"Sector "&amp;VALUE(RIGHT(G323,2)))</f>
        <v>Sector 6</v>
      </c>
      <c r="P323" s="34" t="str">
        <f aca="false">IF(MID(D323,15,3)="SEL","Subestación eléctrica","Área de proceso")</f>
        <v>Subestación eléctrica</v>
      </c>
      <c r="Q323" s="34" t="str">
        <f aca="false">MID(D323,13,5)&amp;"|"&amp;MID(D323,19,5)</f>
        <v>06SEL|S_029</v>
      </c>
      <c r="R323" s="34" t="str">
        <f aca="false">IF(P323="Subestación eléctrica",IFERROR(INDEX(cat_SubN,MATCH(Q323,cat_SubK,0)),"SIN CATALOGAR"),"ÁREA DE PROCESO")</f>
        <v>SE-29</v>
      </c>
      <c r="S323" s="34" t="str">
        <f aca="false">IF(H323="","SIN DATO",IFERROR(INDEX(cat_MarcaN,MATCH(H323,cat_MarcaO,0)),H323))</f>
        <v>GENERAL ELECTRIC</v>
      </c>
      <c r="T323" s="34" t="str">
        <f aca="false">IF(I323="","SIN DATO",IFERROR(INDEX(cat_ModN,MATCH(I323,cat_ModO,0)),I323))</f>
        <v>MULTILIN 350</v>
      </c>
      <c r="U323" s="34" t="str">
        <f aca="false">IF(I323="","",IFERROR(INDEX(cat_ModG,MATCH(I323,cat_ModO,0)),"No"))</f>
        <v>No</v>
      </c>
      <c r="V323" s="34" t="str">
        <f aca="false">IF(J323="","SIN DATO",IFERROR(INDEX(cat_FunN,MATCH(J323,cat_FunO,0)),J323))</f>
        <v>Protección</v>
      </c>
      <c r="W323" s="34" t="str">
        <f aca="false">IF(OR(S323="SIN DATO",T323="SIN DATO"),"No","Sí")</f>
        <v>Sí</v>
      </c>
    </row>
    <row r="324" customFormat="false" ht="15" hidden="false" customHeight="false" outlineLevel="0" collapsed="false">
      <c r="A324" s="34" t="s">
        <v>1433</v>
      </c>
      <c r="B324" s="34" t="s">
        <v>1434</v>
      </c>
      <c r="C324" s="34" t="s">
        <v>1435</v>
      </c>
      <c r="D324" s="34" t="s">
        <v>1436</v>
      </c>
      <c r="E324" s="34" t="s">
        <v>146</v>
      </c>
      <c r="F324" s="34" t="s">
        <v>1336</v>
      </c>
      <c r="G324" s="34" t="s">
        <v>300</v>
      </c>
      <c r="H324" s="34" t="s">
        <v>1358</v>
      </c>
      <c r="I324" s="34" t="s">
        <v>64</v>
      </c>
      <c r="J324" s="34" t="s">
        <v>681</v>
      </c>
      <c r="K324" s="34" t="s">
        <v>229</v>
      </c>
      <c r="L324" s="34" t="s">
        <v>230</v>
      </c>
      <c r="M324" s="34"/>
      <c r="N324" s="34" t="str">
        <f aca="false">"Sector "&amp;VALUE(MID(D324,13,2))</f>
        <v>Sector 6</v>
      </c>
      <c r="O324" s="34" t="str">
        <f aca="false">IF(Dashboard!$C$5="Ubicación técnica",N324,"Sector "&amp;VALUE(RIGHT(G324,2)))</f>
        <v>Sector 6</v>
      </c>
      <c r="P324" s="34" t="str">
        <f aca="false">IF(MID(D324,15,3)="SEL","Subestación eléctrica","Área de proceso")</f>
        <v>Subestación eléctrica</v>
      </c>
      <c r="Q324" s="34" t="str">
        <f aca="false">MID(D324,13,5)&amp;"|"&amp;MID(D324,19,5)</f>
        <v>06SEL|S_029</v>
      </c>
      <c r="R324" s="34" t="str">
        <f aca="false">IF(P324="Subestación eléctrica",IFERROR(INDEX(cat_SubN,MATCH(Q324,cat_SubK,0)),"SIN CATALOGAR"),"ÁREA DE PROCESO")</f>
        <v>SE-29</v>
      </c>
      <c r="S324" s="34" t="str">
        <f aca="false">IF(H324="","SIN DATO",IFERROR(INDEX(cat_MarcaN,MATCH(H324,cat_MarcaO,0)),H324))</f>
        <v>GENERAL ELECTRIC</v>
      </c>
      <c r="T324" s="34" t="str">
        <f aca="false">IF(I324="","SIN DATO",IFERROR(INDEX(cat_ModN,MATCH(I324,cat_ModO,0)),I324))</f>
        <v>MULTILIN 350</v>
      </c>
      <c r="U324" s="34" t="str">
        <f aca="false">IF(I324="","",IFERROR(INDEX(cat_ModG,MATCH(I324,cat_ModO,0)),"No"))</f>
        <v>No</v>
      </c>
      <c r="V324" s="34" t="str">
        <f aca="false">IF(J324="","SIN DATO",IFERROR(INDEX(cat_FunN,MATCH(J324,cat_FunO,0)),J324))</f>
        <v>Protección</v>
      </c>
      <c r="W324" s="34" t="str">
        <f aca="false">IF(OR(S324="SIN DATO",T324="SIN DATO"),"No","Sí")</f>
        <v>Sí</v>
      </c>
    </row>
    <row r="325" customFormat="false" ht="15" hidden="false" customHeight="false" outlineLevel="0" collapsed="false">
      <c r="A325" s="34" t="s">
        <v>1437</v>
      </c>
      <c r="B325" s="34" t="s">
        <v>1438</v>
      </c>
      <c r="C325" s="34" t="s">
        <v>1439</v>
      </c>
      <c r="D325" s="34" t="s">
        <v>1440</v>
      </c>
      <c r="E325" s="34" t="s">
        <v>146</v>
      </c>
      <c r="F325" s="34" t="s">
        <v>1336</v>
      </c>
      <c r="G325" s="34" t="s">
        <v>300</v>
      </c>
      <c r="H325" s="34" t="s">
        <v>1358</v>
      </c>
      <c r="I325" s="34" t="s">
        <v>64</v>
      </c>
      <c r="J325" s="34" t="s">
        <v>681</v>
      </c>
      <c r="K325" s="34" t="s">
        <v>229</v>
      </c>
      <c r="L325" s="34" t="s">
        <v>230</v>
      </c>
      <c r="M325" s="34"/>
      <c r="N325" s="34" t="str">
        <f aca="false">"Sector "&amp;VALUE(MID(D325,13,2))</f>
        <v>Sector 6</v>
      </c>
      <c r="O325" s="34" t="str">
        <f aca="false">IF(Dashboard!$C$5="Ubicación técnica",N325,"Sector "&amp;VALUE(RIGHT(G325,2)))</f>
        <v>Sector 6</v>
      </c>
      <c r="P325" s="34" t="str">
        <f aca="false">IF(MID(D325,15,3)="SEL","Subestación eléctrica","Área de proceso")</f>
        <v>Subestación eléctrica</v>
      </c>
      <c r="Q325" s="34" t="str">
        <f aca="false">MID(D325,13,5)&amp;"|"&amp;MID(D325,19,5)</f>
        <v>06SEL|S_029</v>
      </c>
      <c r="R325" s="34" t="str">
        <f aca="false">IF(P325="Subestación eléctrica",IFERROR(INDEX(cat_SubN,MATCH(Q325,cat_SubK,0)),"SIN CATALOGAR"),"ÁREA DE PROCESO")</f>
        <v>SE-29</v>
      </c>
      <c r="S325" s="34" t="str">
        <f aca="false">IF(H325="","SIN DATO",IFERROR(INDEX(cat_MarcaN,MATCH(H325,cat_MarcaO,0)),H325))</f>
        <v>GENERAL ELECTRIC</v>
      </c>
      <c r="T325" s="34" t="str">
        <f aca="false">IF(I325="","SIN DATO",IFERROR(INDEX(cat_ModN,MATCH(I325,cat_ModO,0)),I325))</f>
        <v>MULTILIN 350</v>
      </c>
      <c r="U325" s="34" t="str">
        <f aca="false">IF(I325="","",IFERROR(INDEX(cat_ModG,MATCH(I325,cat_ModO,0)),"No"))</f>
        <v>No</v>
      </c>
      <c r="V325" s="34" t="str">
        <f aca="false">IF(J325="","SIN DATO",IFERROR(INDEX(cat_FunN,MATCH(J325,cat_FunO,0)),J325))</f>
        <v>Protección</v>
      </c>
      <c r="W325" s="34" t="str">
        <f aca="false">IF(OR(S325="SIN DATO",T325="SIN DATO"),"No","Sí")</f>
        <v>Sí</v>
      </c>
    </row>
    <row r="326" customFormat="false" ht="15" hidden="false" customHeight="false" outlineLevel="0" collapsed="false">
      <c r="A326" s="34" t="s">
        <v>1441</v>
      </c>
      <c r="B326" s="34" t="s">
        <v>1442</v>
      </c>
      <c r="C326" s="34" t="s">
        <v>1443</v>
      </c>
      <c r="D326" s="34" t="s">
        <v>1444</v>
      </c>
      <c r="E326" s="34" t="s">
        <v>146</v>
      </c>
      <c r="F326" s="34" t="s">
        <v>1336</v>
      </c>
      <c r="G326" s="34" t="s">
        <v>300</v>
      </c>
      <c r="H326" s="34" t="s">
        <v>1358</v>
      </c>
      <c r="I326" s="34" t="s">
        <v>64</v>
      </c>
      <c r="J326" s="34" t="s">
        <v>681</v>
      </c>
      <c r="K326" s="34" t="s">
        <v>229</v>
      </c>
      <c r="L326" s="34" t="s">
        <v>230</v>
      </c>
      <c r="M326" s="34"/>
      <c r="N326" s="34" t="str">
        <f aca="false">"Sector "&amp;VALUE(MID(D326,13,2))</f>
        <v>Sector 6</v>
      </c>
      <c r="O326" s="34" t="str">
        <f aca="false">IF(Dashboard!$C$5="Ubicación técnica",N326,"Sector "&amp;VALUE(RIGHT(G326,2)))</f>
        <v>Sector 6</v>
      </c>
      <c r="P326" s="34" t="str">
        <f aca="false">IF(MID(D326,15,3)="SEL","Subestación eléctrica","Área de proceso")</f>
        <v>Subestación eléctrica</v>
      </c>
      <c r="Q326" s="34" t="str">
        <f aca="false">MID(D326,13,5)&amp;"|"&amp;MID(D326,19,5)</f>
        <v>06SEL|S_029</v>
      </c>
      <c r="R326" s="34" t="str">
        <f aca="false">IF(P326="Subestación eléctrica",IFERROR(INDEX(cat_SubN,MATCH(Q326,cat_SubK,0)),"SIN CATALOGAR"),"ÁREA DE PROCESO")</f>
        <v>SE-29</v>
      </c>
      <c r="S326" s="34" t="str">
        <f aca="false">IF(H326="","SIN DATO",IFERROR(INDEX(cat_MarcaN,MATCH(H326,cat_MarcaO,0)),H326))</f>
        <v>GENERAL ELECTRIC</v>
      </c>
      <c r="T326" s="34" t="str">
        <f aca="false">IF(I326="","SIN DATO",IFERROR(INDEX(cat_ModN,MATCH(I326,cat_ModO,0)),I326))</f>
        <v>MULTILIN 350</v>
      </c>
      <c r="U326" s="34" t="str">
        <f aca="false">IF(I326="","",IFERROR(INDEX(cat_ModG,MATCH(I326,cat_ModO,0)),"No"))</f>
        <v>No</v>
      </c>
      <c r="V326" s="34" t="str">
        <f aca="false">IF(J326="","SIN DATO",IFERROR(INDEX(cat_FunN,MATCH(J326,cat_FunO,0)),J326))</f>
        <v>Protección</v>
      </c>
      <c r="W326" s="34" t="str">
        <f aca="false">IF(OR(S326="SIN DATO",T326="SIN DATO"),"No","Sí")</f>
        <v>Sí</v>
      </c>
    </row>
    <row r="327" customFormat="false" ht="15" hidden="false" customHeight="false" outlineLevel="0" collapsed="false">
      <c r="A327" s="34" t="s">
        <v>1445</v>
      </c>
      <c r="B327" s="34" t="s">
        <v>1446</v>
      </c>
      <c r="C327" s="34" t="s">
        <v>1447</v>
      </c>
      <c r="D327" s="34" t="s">
        <v>1448</v>
      </c>
      <c r="E327" s="34" t="s">
        <v>146</v>
      </c>
      <c r="F327" s="34" t="s">
        <v>1336</v>
      </c>
      <c r="G327" s="34" t="s">
        <v>300</v>
      </c>
      <c r="H327" s="34" t="s">
        <v>1358</v>
      </c>
      <c r="I327" s="34" t="s">
        <v>64</v>
      </c>
      <c r="J327" s="34" t="s">
        <v>681</v>
      </c>
      <c r="K327" s="34" t="s">
        <v>229</v>
      </c>
      <c r="L327" s="34" t="s">
        <v>230</v>
      </c>
      <c r="M327" s="34"/>
      <c r="N327" s="34" t="str">
        <f aca="false">"Sector "&amp;VALUE(MID(D327,13,2))</f>
        <v>Sector 6</v>
      </c>
      <c r="O327" s="34" t="str">
        <f aca="false">IF(Dashboard!$C$5="Ubicación técnica",N327,"Sector "&amp;VALUE(RIGHT(G327,2)))</f>
        <v>Sector 6</v>
      </c>
      <c r="P327" s="34" t="str">
        <f aca="false">IF(MID(D327,15,3)="SEL","Subestación eléctrica","Área de proceso")</f>
        <v>Subestación eléctrica</v>
      </c>
      <c r="Q327" s="34" t="str">
        <f aca="false">MID(D327,13,5)&amp;"|"&amp;MID(D327,19,5)</f>
        <v>06SEL|S_029</v>
      </c>
      <c r="R327" s="34" t="str">
        <f aca="false">IF(P327="Subestación eléctrica",IFERROR(INDEX(cat_SubN,MATCH(Q327,cat_SubK,0)),"SIN CATALOGAR"),"ÁREA DE PROCESO")</f>
        <v>SE-29</v>
      </c>
      <c r="S327" s="34" t="str">
        <f aca="false">IF(H327="","SIN DATO",IFERROR(INDEX(cat_MarcaN,MATCH(H327,cat_MarcaO,0)),H327))</f>
        <v>GENERAL ELECTRIC</v>
      </c>
      <c r="T327" s="34" t="str">
        <f aca="false">IF(I327="","SIN DATO",IFERROR(INDEX(cat_ModN,MATCH(I327,cat_ModO,0)),I327))</f>
        <v>MULTILIN 350</v>
      </c>
      <c r="U327" s="34" t="str">
        <f aca="false">IF(I327="","",IFERROR(INDEX(cat_ModG,MATCH(I327,cat_ModO,0)),"No"))</f>
        <v>No</v>
      </c>
      <c r="V327" s="34" t="str">
        <f aca="false">IF(J327="","SIN DATO",IFERROR(INDEX(cat_FunN,MATCH(J327,cat_FunO,0)),J327))</f>
        <v>Protección</v>
      </c>
      <c r="W327" s="34" t="str">
        <f aca="false">IF(OR(S327="SIN DATO",T327="SIN DATO"),"No","Sí")</f>
        <v>Sí</v>
      </c>
    </row>
    <row r="328" customFormat="false" ht="15" hidden="false" customHeight="false" outlineLevel="0" collapsed="false">
      <c r="A328" s="34" t="s">
        <v>1449</v>
      </c>
      <c r="B328" s="34" t="s">
        <v>1450</v>
      </c>
      <c r="C328" s="34" t="s">
        <v>1451</v>
      </c>
      <c r="D328" s="34" t="s">
        <v>1452</v>
      </c>
      <c r="E328" s="34" t="s">
        <v>146</v>
      </c>
      <c r="F328" s="34" t="s">
        <v>1336</v>
      </c>
      <c r="G328" s="34" t="s">
        <v>300</v>
      </c>
      <c r="H328" s="34" t="s">
        <v>1358</v>
      </c>
      <c r="I328" s="34" t="s">
        <v>64</v>
      </c>
      <c r="J328" s="34" t="s">
        <v>681</v>
      </c>
      <c r="K328" s="34" t="s">
        <v>229</v>
      </c>
      <c r="L328" s="34" t="s">
        <v>230</v>
      </c>
      <c r="M328" s="34"/>
      <c r="N328" s="34" t="str">
        <f aca="false">"Sector "&amp;VALUE(MID(D328,13,2))</f>
        <v>Sector 6</v>
      </c>
      <c r="O328" s="34" t="str">
        <f aca="false">IF(Dashboard!$C$5="Ubicación técnica",N328,"Sector "&amp;VALUE(RIGHT(G328,2)))</f>
        <v>Sector 6</v>
      </c>
      <c r="P328" s="34" t="str">
        <f aca="false">IF(MID(D328,15,3)="SEL","Subestación eléctrica","Área de proceso")</f>
        <v>Subestación eléctrica</v>
      </c>
      <c r="Q328" s="34" t="str">
        <f aca="false">MID(D328,13,5)&amp;"|"&amp;MID(D328,19,5)</f>
        <v>06SEL|S_029</v>
      </c>
      <c r="R328" s="34" t="str">
        <f aca="false">IF(P328="Subestación eléctrica",IFERROR(INDEX(cat_SubN,MATCH(Q328,cat_SubK,0)),"SIN CATALOGAR"),"ÁREA DE PROCESO")</f>
        <v>SE-29</v>
      </c>
      <c r="S328" s="34" t="str">
        <f aca="false">IF(H328="","SIN DATO",IFERROR(INDEX(cat_MarcaN,MATCH(H328,cat_MarcaO,0)),H328))</f>
        <v>GENERAL ELECTRIC</v>
      </c>
      <c r="T328" s="34" t="str">
        <f aca="false">IF(I328="","SIN DATO",IFERROR(INDEX(cat_ModN,MATCH(I328,cat_ModO,0)),I328))</f>
        <v>MULTILIN 350</v>
      </c>
      <c r="U328" s="34" t="str">
        <f aca="false">IF(I328="","",IFERROR(INDEX(cat_ModG,MATCH(I328,cat_ModO,0)),"No"))</f>
        <v>No</v>
      </c>
      <c r="V328" s="34" t="str">
        <f aca="false">IF(J328="","SIN DATO",IFERROR(INDEX(cat_FunN,MATCH(J328,cat_FunO,0)),J328))</f>
        <v>Protección</v>
      </c>
      <c r="W328" s="34" t="str">
        <f aca="false">IF(OR(S328="SIN DATO",T328="SIN DATO"),"No","Sí")</f>
        <v>Sí</v>
      </c>
    </row>
    <row r="329" customFormat="false" ht="15" hidden="false" customHeight="false" outlineLevel="0" collapsed="false">
      <c r="A329" s="34" t="s">
        <v>1453</v>
      </c>
      <c r="B329" s="34" t="s">
        <v>1454</v>
      </c>
      <c r="C329" s="34" t="s">
        <v>1455</v>
      </c>
      <c r="D329" s="34" t="s">
        <v>1456</v>
      </c>
      <c r="E329" s="34" t="s">
        <v>146</v>
      </c>
      <c r="F329" s="34" t="s">
        <v>1336</v>
      </c>
      <c r="G329" s="34" t="s">
        <v>300</v>
      </c>
      <c r="H329" s="34" t="s">
        <v>1358</v>
      </c>
      <c r="I329" s="34" t="s">
        <v>64</v>
      </c>
      <c r="J329" s="34" t="s">
        <v>681</v>
      </c>
      <c r="K329" s="34" t="s">
        <v>229</v>
      </c>
      <c r="L329" s="34" t="s">
        <v>230</v>
      </c>
      <c r="M329" s="34"/>
      <c r="N329" s="34" t="str">
        <f aca="false">"Sector "&amp;VALUE(MID(D329,13,2))</f>
        <v>Sector 6</v>
      </c>
      <c r="O329" s="34" t="str">
        <f aca="false">IF(Dashboard!$C$5="Ubicación técnica",N329,"Sector "&amp;VALUE(RIGHT(G329,2)))</f>
        <v>Sector 6</v>
      </c>
      <c r="P329" s="34" t="str">
        <f aca="false">IF(MID(D329,15,3)="SEL","Subestación eléctrica","Área de proceso")</f>
        <v>Subestación eléctrica</v>
      </c>
      <c r="Q329" s="34" t="str">
        <f aca="false">MID(D329,13,5)&amp;"|"&amp;MID(D329,19,5)</f>
        <v>06SEL|S_029</v>
      </c>
      <c r="R329" s="34" t="str">
        <f aca="false">IF(P329="Subestación eléctrica",IFERROR(INDEX(cat_SubN,MATCH(Q329,cat_SubK,0)),"SIN CATALOGAR"),"ÁREA DE PROCESO")</f>
        <v>SE-29</v>
      </c>
      <c r="S329" s="34" t="str">
        <f aca="false">IF(H329="","SIN DATO",IFERROR(INDEX(cat_MarcaN,MATCH(H329,cat_MarcaO,0)),H329))</f>
        <v>GENERAL ELECTRIC</v>
      </c>
      <c r="T329" s="34" t="str">
        <f aca="false">IF(I329="","SIN DATO",IFERROR(INDEX(cat_ModN,MATCH(I329,cat_ModO,0)),I329))</f>
        <v>MULTILIN 350</v>
      </c>
      <c r="U329" s="34" t="str">
        <f aca="false">IF(I329="","",IFERROR(INDEX(cat_ModG,MATCH(I329,cat_ModO,0)),"No"))</f>
        <v>No</v>
      </c>
      <c r="V329" s="34" t="str">
        <f aca="false">IF(J329="","SIN DATO",IFERROR(INDEX(cat_FunN,MATCH(J329,cat_FunO,0)),J329))</f>
        <v>Protección</v>
      </c>
      <c r="W329" s="34" t="str">
        <f aca="false">IF(OR(S329="SIN DATO",T329="SIN DATO"),"No","Sí")</f>
        <v>Sí</v>
      </c>
    </row>
    <row r="330" customFormat="false" ht="15" hidden="false" customHeight="false" outlineLevel="0" collapsed="false">
      <c r="A330" s="34" t="s">
        <v>1457</v>
      </c>
      <c r="B330" s="34" t="s">
        <v>1458</v>
      </c>
      <c r="C330" s="34" t="s">
        <v>1459</v>
      </c>
      <c r="D330" s="34" t="s">
        <v>1460</v>
      </c>
      <c r="E330" s="34" t="s">
        <v>146</v>
      </c>
      <c r="F330" s="34" t="s">
        <v>1336</v>
      </c>
      <c r="G330" s="34" t="s">
        <v>300</v>
      </c>
      <c r="H330" s="34" t="s">
        <v>55</v>
      </c>
      <c r="I330" s="34" t="s">
        <v>57</v>
      </c>
      <c r="J330" s="34" t="s">
        <v>58</v>
      </c>
      <c r="K330" s="34" t="s">
        <v>229</v>
      </c>
      <c r="L330" s="34" t="s">
        <v>230</v>
      </c>
      <c r="M330" s="34"/>
      <c r="N330" s="34" t="str">
        <f aca="false">"Sector "&amp;VALUE(MID(D330,13,2))</f>
        <v>Sector 6</v>
      </c>
      <c r="O330" s="34" t="str">
        <f aca="false">IF(Dashboard!$C$5="Ubicación técnica",N330,"Sector "&amp;VALUE(RIGHT(G330,2)))</f>
        <v>Sector 6</v>
      </c>
      <c r="P330" s="34" t="str">
        <f aca="false">IF(MID(D330,15,3)="SEL","Subestación eléctrica","Área de proceso")</f>
        <v>Subestación eléctrica</v>
      </c>
      <c r="Q330" s="34" t="str">
        <f aca="false">MID(D330,13,5)&amp;"|"&amp;MID(D330,19,5)</f>
        <v>06SEL|S_029</v>
      </c>
      <c r="R330" s="34" t="str">
        <f aca="false">IF(P330="Subestación eléctrica",IFERROR(INDEX(cat_SubN,MATCH(Q330,cat_SubK,0)),"SIN CATALOGAR"),"ÁREA DE PROCESO")</f>
        <v>SE-29</v>
      </c>
      <c r="S330" s="34" t="str">
        <f aca="false">IF(H330="","SIN DATO",IFERROR(INDEX(cat_MarcaN,MATCH(H330,cat_MarcaO,0)),H330))</f>
        <v>SEL</v>
      </c>
      <c r="T330" s="34" t="str">
        <f aca="false">IF(I330="","SIN DATO",IFERROR(INDEX(cat_ModN,MATCH(I330,cat_ModO,0)),I330))</f>
        <v>SEL-735</v>
      </c>
      <c r="U330" s="34" t="str">
        <f aca="false">IF(I330="","",IFERROR(INDEX(cat_ModG,MATCH(I330,cat_ModO,0)),"No"))</f>
        <v>No</v>
      </c>
      <c r="V330" s="34" t="str">
        <f aca="false">IF(J330="","SIN DATO",IFERROR(INDEX(cat_FunN,MATCH(J330,cat_FunO,0)),J330))</f>
        <v>Medición</v>
      </c>
      <c r="W330" s="34" t="str">
        <f aca="false">IF(OR(S330="SIN DATO",T330="SIN DATO"),"No","Sí")</f>
        <v>Sí</v>
      </c>
    </row>
    <row r="331" customFormat="false" ht="15" hidden="false" customHeight="false" outlineLevel="0" collapsed="false">
      <c r="A331" s="34" t="s">
        <v>1461</v>
      </c>
      <c r="B331" s="34" t="s">
        <v>1462</v>
      </c>
      <c r="C331" s="34" t="s">
        <v>1463</v>
      </c>
      <c r="D331" s="34" t="s">
        <v>1460</v>
      </c>
      <c r="E331" s="34" t="s">
        <v>146</v>
      </c>
      <c r="F331" s="34" t="s">
        <v>1336</v>
      </c>
      <c r="G331" s="34" t="s">
        <v>300</v>
      </c>
      <c r="H331" s="34" t="s">
        <v>1358</v>
      </c>
      <c r="I331" s="34" t="s">
        <v>64</v>
      </c>
      <c r="J331" s="34" t="s">
        <v>681</v>
      </c>
      <c r="K331" s="34" t="s">
        <v>229</v>
      </c>
      <c r="L331" s="34" t="s">
        <v>230</v>
      </c>
      <c r="M331" s="34"/>
      <c r="N331" s="34" t="str">
        <f aca="false">"Sector "&amp;VALUE(MID(D331,13,2))</f>
        <v>Sector 6</v>
      </c>
      <c r="O331" s="34" t="str">
        <f aca="false">IF(Dashboard!$C$5="Ubicación técnica",N331,"Sector "&amp;VALUE(RIGHT(G331,2)))</f>
        <v>Sector 6</v>
      </c>
      <c r="P331" s="34" t="str">
        <f aca="false">IF(MID(D331,15,3)="SEL","Subestación eléctrica","Área de proceso")</f>
        <v>Subestación eléctrica</v>
      </c>
      <c r="Q331" s="34" t="str">
        <f aca="false">MID(D331,13,5)&amp;"|"&amp;MID(D331,19,5)</f>
        <v>06SEL|S_029</v>
      </c>
      <c r="R331" s="34" t="str">
        <f aca="false">IF(P331="Subestación eléctrica",IFERROR(INDEX(cat_SubN,MATCH(Q331,cat_SubK,0)),"SIN CATALOGAR"),"ÁREA DE PROCESO")</f>
        <v>SE-29</v>
      </c>
      <c r="S331" s="34" t="str">
        <f aca="false">IF(H331="","SIN DATO",IFERROR(INDEX(cat_MarcaN,MATCH(H331,cat_MarcaO,0)),H331))</f>
        <v>GENERAL ELECTRIC</v>
      </c>
      <c r="T331" s="34" t="str">
        <f aca="false">IF(I331="","SIN DATO",IFERROR(INDEX(cat_ModN,MATCH(I331,cat_ModO,0)),I331))</f>
        <v>MULTILIN 350</v>
      </c>
      <c r="U331" s="34" t="str">
        <f aca="false">IF(I331="","",IFERROR(INDEX(cat_ModG,MATCH(I331,cat_ModO,0)),"No"))</f>
        <v>No</v>
      </c>
      <c r="V331" s="34" t="str">
        <f aca="false">IF(J331="","SIN DATO",IFERROR(INDEX(cat_FunN,MATCH(J331,cat_FunO,0)),J331))</f>
        <v>Protección</v>
      </c>
      <c r="W331" s="34" t="str">
        <f aca="false">IF(OR(S331="SIN DATO",T331="SIN DATO"),"No","Sí")</f>
        <v>Sí</v>
      </c>
    </row>
    <row r="332" customFormat="false" ht="15" hidden="false" customHeight="false" outlineLevel="0" collapsed="false">
      <c r="A332" s="34" t="s">
        <v>1464</v>
      </c>
      <c r="B332" s="34" t="s">
        <v>1465</v>
      </c>
      <c r="C332" s="34" t="s">
        <v>1466</v>
      </c>
      <c r="D332" s="34" t="s">
        <v>1467</v>
      </c>
      <c r="E332" s="34" t="s">
        <v>146</v>
      </c>
      <c r="F332" s="34" t="s">
        <v>1336</v>
      </c>
      <c r="G332" s="34" t="s">
        <v>300</v>
      </c>
      <c r="H332" s="34" t="s">
        <v>55</v>
      </c>
      <c r="I332" s="34" t="s">
        <v>57</v>
      </c>
      <c r="J332" s="34" t="s">
        <v>58</v>
      </c>
      <c r="K332" s="34" t="s">
        <v>229</v>
      </c>
      <c r="L332" s="34" t="s">
        <v>230</v>
      </c>
      <c r="M332" s="34"/>
      <c r="N332" s="34" t="str">
        <f aca="false">"Sector "&amp;VALUE(MID(D332,13,2))</f>
        <v>Sector 6</v>
      </c>
      <c r="O332" s="34" t="str">
        <f aca="false">IF(Dashboard!$C$5="Ubicación técnica",N332,"Sector "&amp;VALUE(RIGHT(G332,2)))</f>
        <v>Sector 6</v>
      </c>
      <c r="P332" s="34" t="str">
        <f aca="false">IF(MID(D332,15,3)="SEL","Subestación eléctrica","Área de proceso")</f>
        <v>Subestación eléctrica</v>
      </c>
      <c r="Q332" s="34" t="str">
        <f aca="false">MID(D332,13,5)&amp;"|"&amp;MID(D332,19,5)</f>
        <v>06SEL|S_029</v>
      </c>
      <c r="R332" s="34" t="str">
        <f aca="false">IF(P332="Subestación eléctrica",IFERROR(INDEX(cat_SubN,MATCH(Q332,cat_SubK,0)),"SIN CATALOGAR"),"ÁREA DE PROCESO")</f>
        <v>SE-29</v>
      </c>
      <c r="S332" s="34" t="str">
        <f aca="false">IF(H332="","SIN DATO",IFERROR(INDEX(cat_MarcaN,MATCH(H332,cat_MarcaO,0)),H332))</f>
        <v>SEL</v>
      </c>
      <c r="T332" s="34" t="str">
        <f aca="false">IF(I332="","SIN DATO",IFERROR(INDEX(cat_ModN,MATCH(I332,cat_ModO,0)),I332))</f>
        <v>SEL-735</v>
      </c>
      <c r="U332" s="34" t="str">
        <f aca="false">IF(I332="","",IFERROR(INDEX(cat_ModG,MATCH(I332,cat_ModO,0)),"No"))</f>
        <v>No</v>
      </c>
      <c r="V332" s="34" t="str">
        <f aca="false">IF(J332="","SIN DATO",IFERROR(INDEX(cat_FunN,MATCH(J332,cat_FunO,0)),J332))</f>
        <v>Medición</v>
      </c>
      <c r="W332" s="34" t="str">
        <f aca="false">IF(OR(S332="SIN DATO",T332="SIN DATO"),"No","Sí")</f>
        <v>Sí</v>
      </c>
    </row>
    <row r="333" customFormat="false" ht="15" hidden="false" customHeight="false" outlineLevel="0" collapsed="false">
      <c r="A333" s="34" t="s">
        <v>1468</v>
      </c>
      <c r="B333" s="34" t="s">
        <v>1469</v>
      </c>
      <c r="C333" s="34" t="s">
        <v>1470</v>
      </c>
      <c r="D333" s="34" t="s">
        <v>1467</v>
      </c>
      <c r="E333" s="34" t="s">
        <v>146</v>
      </c>
      <c r="F333" s="34" t="s">
        <v>1336</v>
      </c>
      <c r="G333" s="34" t="s">
        <v>300</v>
      </c>
      <c r="H333" s="34" t="s">
        <v>1358</v>
      </c>
      <c r="I333" s="34" t="s">
        <v>64</v>
      </c>
      <c r="J333" s="34" t="s">
        <v>681</v>
      </c>
      <c r="K333" s="34" t="s">
        <v>229</v>
      </c>
      <c r="L333" s="34" t="s">
        <v>230</v>
      </c>
      <c r="M333" s="34"/>
      <c r="N333" s="34" t="str">
        <f aca="false">"Sector "&amp;VALUE(MID(D333,13,2))</f>
        <v>Sector 6</v>
      </c>
      <c r="O333" s="34" t="str">
        <f aca="false">IF(Dashboard!$C$5="Ubicación técnica",N333,"Sector "&amp;VALUE(RIGHT(G333,2)))</f>
        <v>Sector 6</v>
      </c>
      <c r="P333" s="34" t="str">
        <f aca="false">IF(MID(D333,15,3)="SEL","Subestación eléctrica","Área de proceso")</f>
        <v>Subestación eléctrica</v>
      </c>
      <c r="Q333" s="34" t="str">
        <f aca="false">MID(D333,13,5)&amp;"|"&amp;MID(D333,19,5)</f>
        <v>06SEL|S_029</v>
      </c>
      <c r="R333" s="34" t="str">
        <f aca="false">IF(P333="Subestación eléctrica",IFERROR(INDEX(cat_SubN,MATCH(Q333,cat_SubK,0)),"SIN CATALOGAR"),"ÁREA DE PROCESO")</f>
        <v>SE-29</v>
      </c>
      <c r="S333" s="34" t="str">
        <f aca="false">IF(H333="","SIN DATO",IFERROR(INDEX(cat_MarcaN,MATCH(H333,cat_MarcaO,0)),H333))</f>
        <v>GENERAL ELECTRIC</v>
      </c>
      <c r="T333" s="34" t="str">
        <f aca="false">IF(I333="","SIN DATO",IFERROR(INDEX(cat_ModN,MATCH(I333,cat_ModO,0)),I333))</f>
        <v>MULTILIN 350</v>
      </c>
      <c r="U333" s="34" t="str">
        <f aca="false">IF(I333="","",IFERROR(INDEX(cat_ModG,MATCH(I333,cat_ModO,0)),"No"))</f>
        <v>No</v>
      </c>
      <c r="V333" s="34" t="str">
        <f aca="false">IF(J333="","SIN DATO",IFERROR(INDEX(cat_FunN,MATCH(J333,cat_FunO,0)),J333))</f>
        <v>Protección</v>
      </c>
      <c r="W333" s="34" t="str">
        <f aca="false">IF(OR(S333="SIN DATO",T333="SIN DATO"),"No","Sí")</f>
        <v>Sí</v>
      </c>
    </row>
    <row r="334" customFormat="false" ht="15" hidden="false" customHeight="false" outlineLevel="0" collapsed="false">
      <c r="A334" s="34" t="s">
        <v>1471</v>
      </c>
      <c r="B334" s="34" t="s">
        <v>1472</v>
      </c>
      <c r="C334" s="34" t="s">
        <v>1473</v>
      </c>
      <c r="D334" s="34" t="s">
        <v>1474</v>
      </c>
      <c r="E334" s="34" t="s">
        <v>144</v>
      </c>
      <c r="F334" s="34" t="s">
        <v>1336</v>
      </c>
      <c r="G334" s="34" t="s">
        <v>300</v>
      </c>
      <c r="H334" s="34" t="s">
        <v>34</v>
      </c>
      <c r="I334" s="34" t="s">
        <v>37</v>
      </c>
      <c r="J334" s="34" t="s">
        <v>681</v>
      </c>
      <c r="K334" s="34" t="s">
        <v>229</v>
      </c>
      <c r="L334" s="34" t="s">
        <v>230</v>
      </c>
      <c r="M334" s="34"/>
      <c r="N334" s="34" t="str">
        <f aca="false">"Sector "&amp;VALUE(MID(D334,13,2))</f>
        <v>Sector 6</v>
      </c>
      <c r="O334" s="34" t="str">
        <f aca="false">IF(Dashboard!$C$5="Ubicación técnica",N334,"Sector "&amp;VALUE(RIGHT(G334,2)))</f>
        <v>Sector 6</v>
      </c>
      <c r="P334" s="34" t="str">
        <f aca="false">IF(MID(D334,15,3)="SEL","Subestación eléctrica","Área de proceso")</f>
        <v>Subestación eléctrica</v>
      </c>
      <c r="Q334" s="34" t="str">
        <f aca="false">MID(D334,13,5)&amp;"|"&amp;MID(D334,19,5)</f>
        <v>06SEL|S_028</v>
      </c>
      <c r="R334" s="34" t="str">
        <f aca="false">IF(P334="Subestación eléctrica",IFERROR(INDEX(cat_SubN,MATCH(Q334,cat_SubK,0)),"SIN CATALOGAR"),"ÁREA DE PROCESO")</f>
        <v>SE-28</v>
      </c>
      <c r="S334" s="34" t="str">
        <f aca="false">IF(H334="","SIN DATO",IFERROR(INDEX(cat_MarcaN,MATCH(H334,cat_MarcaO,0)),H334))</f>
        <v>ABB</v>
      </c>
      <c r="T334" s="34" t="str">
        <f aca="false">IF(I334="","SIN DATO",IFERROR(INDEX(cat_ModN,MATCH(I334,cat_ModO,0)),I334))</f>
        <v>REF615A_1G</v>
      </c>
      <c r="U334" s="34" t="str">
        <f aca="false">IF(I334="","",IFERROR(INDEX(cat_ModG,MATCH(I334,cat_ModO,0)),"No"))</f>
        <v>No</v>
      </c>
      <c r="V334" s="34" t="str">
        <f aca="false">IF(J334="","SIN DATO",IFERROR(INDEX(cat_FunN,MATCH(J334,cat_FunO,0)),J334))</f>
        <v>Protección</v>
      </c>
      <c r="W334" s="34" t="str">
        <f aca="false">IF(OR(S334="SIN DATO",T334="SIN DATO"),"No","Sí")</f>
        <v>Sí</v>
      </c>
    </row>
    <row r="335" customFormat="false" ht="15" hidden="false" customHeight="false" outlineLevel="0" collapsed="false">
      <c r="A335" s="34" t="s">
        <v>1475</v>
      </c>
      <c r="B335" s="34" t="s">
        <v>1476</v>
      </c>
      <c r="C335" s="34" t="s">
        <v>1473</v>
      </c>
      <c r="D335" s="34" t="s">
        <v>1474</v>
      </c>
      <c r="E335" s="34" t="s">
        <v>144</v>
      </c>
      <c r="F335" s="34" t="s">
        <v>1336</v>
      </c>
      <c r="G335" s="34" t="s">
        <v>300</v>
      </c>
      <c r="H335" s="34" t="s">
        <v>34</v>
      </c>
      <c r="I335" s="34" t="s">
        <v>43</v>
      </c>
      <c r="J335" s="34" t="s">
        <v>681</v>
      </c>
      <c r="K335" s="34" t="s">
        <v>229</v>
      </c>
      <c r="L335" s="34" t="s">
        <v>230</v>
      </c>
      <c r="M335" s="34"/>
      <c r="N335" s="34" t="str">
        <f aca="false">"Sector "&amp;VALUE(MID(D335,13,2))</f>
        <v>Sector 6</v>
      </c>
      <c r="O335" s="34" t="str">
        <f aca="false">IF(Dashboard!$C$5="Ubicación técnica",N335,"Sector "&amp;VALUE(RIGHT(G335,2)))</f>
        <v>Sector 6</v>
      </c>
      <c r="P335" s="34" t="str">
        <f aca="false">IF(MID(D335,15,3)="SEL","Subestación eléctrica","Área de proceso")</f>
        <v>Subestación eléctrica</v>
      </c>
      <c r="Q335" s="34" t="str">
        <f aca="false">MID(D335,13,5)&amp;"|"&amp;MID(D335,19,5)</f>
        <v>06SEL|S_028</v>
      </c>
      <c r="R335" s="34" t="str">
        <f aca="false">IF(P335="Subestación eléctrica",IFERROR(INDEX(cat_SubN,MATCH(Q335,cat_SubK,0)),"SIN CATALOGAR"),"ÁREA DE PROCESO")</f>
        <v>SE-28</v>
      </c>
      <c r="S335" s="34" t="str">
        <f aca="false">IF(H335="","SIN DATO",IFERROR(INDEX(cat_MarcaN,MATCH(H335,cat_MarcaO,0)),H335))</f>
        <v>ABB</v>
      </c>
      <c r="T335" s="34" t="str">
        <f aca="false">IF(I335="","SIN DATO",IFERROR(INDEX(cat_ModN,MATCH(I335,cat_ModO,0)),I335))</f>
        <v>RET615A_1G</v>
      </c>
      <c r="U335" s="34" t="str">
        <f aca="false">IF(I335="","",IFERROR(INDEX(cat_ModG,MATCH(I335,cat_ModO,0)),"No"))</f>
        <v>No</v>
      </c>
      <c r="V335" s="34" t="str">
        <f aca="false">IF(J335="","SIN DATO",IFERROR(INDEX(cat_FunN,MATCH(J335,cat_FunO,0)),J335))</f>
        <v>Protección</v>
      </c>
      <c r="W335" s="34" t="str">
        <f aca="false">IF(OR(S335="SIN DATO",T335="SIN DATO"),"No","Sí")</f>
        <v>Sí</v>
      </c>
    </row>
    <row r="336" customFormat="false" ht="15" hidden="false" customHeight="false" outlineLevel="0" collapsed="false">
      <c r="A336" s="34" t="s">
        <v>1477</v>
      </c>
      <c r="B336" s="34" t="s">
        <v>1478</v>
      </c>
      <c r="C336" s="34" t="s">
        <v>1473</v>
      </c>
      <c r="D336" s="34" t="s">
        <v>1474</v>
      </c>
      <c r="E336" s="34" t="s">
        <v>144</v>
      </c>
      <c r="F336" s="34" t="s">
        <v>1336</v>
      </c>
      <c r="G336" s="34" t="s">
        <v>300</v>
      </c>
      <c r="H336" s="34" t="s">
        <v>55</v>
      </c>
      <c r="I336" s="34" t="s">
        <v>57</v>
      </c>
      <c r="J336" s="34" t="s">
        <v>58</v>
      </c>
      <c r="K336" s="34" t="s">
        <v>229</v>
      </c>
      <c r="L336" s="34" t="s">
        <v>230</v>
      </c>
      <c r="M336" s="34"/>
      <c r="N336" s="34" t="str">
        <f aca="false">"Sector "&amp;VALUE(MID(D336,13,2))</f>
        <v>Sector 6</v>
      </c>
      <c r="O336" s="34" t="str">
        <f aca="false">IF(Dashboard!$C$5="Ubicación técnica",N336,"Sector "&amp;VALUE(RIGHT(G336,2)))</f>
        <v>Sector 6</v>
      </c>
      <c r="P336" s="34" t="str">
        <f aca="false">IF(MID(D336,15,3)="SEL","Subestación eléctrica","Área de proceso")</f>
        <v>Subestación eléctrica</v>
      </c>
      <c r="Q336" s="34" t="str">
        <f aca="false">MID(D336,13,5)&amp;"|"&amp;MID(D336,19,5)</f>
        <v>06SEL|S_028</v>
      </c>
      <c r="R336" s="34" t="str">
        <f aca="false">IF(P336="Subestación eléctrica",IFERROR(INDEX(cat_SubN,MATCH(Q336,cat_SubK,0)),"SIN CATALOGAR"),"ÁREA DE PROCESO")</f>
        <v>SE-28</v>
      </c>
      <c r="S336" s="34" t="str">
        <f aca="false">IF(H336="","SIN DATO",IFERROR(INDEX(cat_MarcaN,MATCH(H336,cat_MarcaO,0)),H336))</f>
        <v>SEL</v>
      </c>
      <c r="T336" s="34" t="str">
        <f aca="false">IF(I336="","SIN DATO",IFERROR(INDEX(cat_ModN,MATCH(I336,cat_ModO,0)),I336))</f>
        <v>SEL-735</v>
      </c>
      <c r="U336" s="34" t="str">
        <f aca="false">IF(I336="","",IFERROR(INDEX(cat_ModG,MATCH(I336,cat_ModO,0)),"No"))</f>
        <v>No</v>
      </c>
      <c r="V336" s="34" t="str">
        <f aca="false">IF(J336="","SIN DATO",IFERROR(INDEX(cat_FunN,MATCH(J336,cat_FunO,0)),J336))</f>
        <v>Medición</v>
      </c>
      <c r="W336" s="34" t="str">
        <f aca="false">IF(OR(S336="SIN DATO",T336="SIN DATO"),"No","Sí")</f>
        <v>Sí</v>
      </c>
    </row>
    <row r="337" customFormat="false" ht="15" hidden="false" customHeight="false" outlineLevel="0" collapsed="false">
      <c r="A337" s="34" t="s">
        <v>1479</v>
      </c>
      <c r="B337" s="34" t="s">
        <v>1480</v>
      </c>
      <c r="C337" s="34" t="s">
        <v>1473</v>
      </c>
      <c r="D337" s="34" t="s">
        <v>1474</v>
      </c>
      <c r="E337" s="34" t="s">
        <v>144</v>
      </c>
      <c r="F337" s="34" t="s">
        <v>1336</v>
      </c>
      <c r="G337" s="34" t="s">
        <v>300</v>
      </c>
      <c r="H337" s="34" t="s">
        <v>34</v>
      </c>
      <c r="I337" s="34" t="s">
        <v>1341</v>
      </c>
      <c r="J337" s="34" t="s">
        <v>681</v>
      </c>
      <c r="K337" s="34" t="s">
        <v>229</v>
      </c>
      <c r="L337" s="34" t="s">
        <v>230</v>
      </c>
      <c r="M337" s="34"/>
      <c r="N337" s="34" t="str">
        <f aca="false">"Sector "&amp;VALUE(MID(D337,13,2))</f>
        <v>Sector 6</v>
      </c>
      <c r="O337" s="34" t="str">
        <f aca="false">IF(Dashboard!$C$5="Ubicación técnica",N337,"Sector "&amp;VALUE(RIGHT(G337,2)))</f>
        <v>Sector 6</v>
      </c>
      <c r="P337" s="34" t="str">
        <f aca="false">IF(MID(D337,15,3)="SEL","Subestación eléctrica","Área de proceso")</f>
        <v>Subestación eléctrica</v>
      </c>
      <c r="Q337" s="34" t="str">
        <f aca="false">MID(D337,13,5)&amp;"|"&amp;MID(D337,19,5)</f>
        <v>06SEL|S_028</v>
      </c>
      <c r="R337" s="34" t="str">
        <f aca="false">IF(P337="Subestación eléctrica",IFERROR(INDEX(cat_SubN,MATCH(Q337,cat_SubK,0)),"SIN CATALOGAR"),"ÁREA DE PROCESO")</f>
        <v>SE-28</v>
      </c>
      <c r="S337" s="34" t="str">
        <f aca="false">IF(H337="","SIN DATO",IFERROR(INDEX(cat_MarcaN,MATCH(H337,cat_MarcaO,0)),H337))</f>
        <v>ABB</v>
      </c>
      <c r="T337" s="34" t="str">
        <f aca="false">IF(I337="","SIN DATO",IFERROR(INDEX(cat_ModN,MATCH(I337,cat_ModO,0)),I337))</f>
        <v>REA 101</v>
      </c>
      <c r="U337" s="34" t="str">
        <f aca="false">IF(I337="","",IFERROR(INDEX(cat_ModG,MATCH(I337,cat_ModO,0)),"No"))</f>
        <v>No</v>
      </c>
      <c r="V337" s="34" t="str">
        <f aca="false">IF(J337="","SIN DATO",IFERROR(INDEX(cat_FunN,MATCH(J337,cat_FunO,0)),J337))</f>
        <v>Protección</v>
      </c>
      <c r="W337" s="34" t="str">
        <f aca="false">IF(OR(S337="SIN DATO",T337="SIN DATO"),"No","Sí")</f>
        <v>Sí</v>
      </c>
    </row>
    <row r="338" customFormat="false" ht="15" hidden="false" customHeight="false" outlineLevel="0" collapsed="false">
      <c r="A338" s="34" t="s">
        <v>1481</v>
      </c>
      <c r="B338" s="34" t="s">
        <v>1482</v>
      </c>
      <c r="C338" s="34" t="s">
        <v>1483</v>
      </c>
      <c r="D338" s="34" t="s">
        <v>1484</v>
      </c>
      <c r="E338" s="34" t="s">
        <v>144</v>
      </c>
      <c r="F338" s="34" t="s">
        <v>1336</v>
      </c>
      <c r="G338" s="34" t="s">
        <v>300</v>
      </c>
      <c r="H338" s="34" t="s">
        <v>34</v>
      </c>
      <c r="I338" s="34" t="s">
        <v>37</v>
      </c>
      <c r="J338" s="34" t="s">
        <v>681</v>
      </c>
      <c r="K338" s="34" t="s">
        <v>229</v>
      </c>
      <c r="L338" s="34" t="s">
        <v>230</v>
      </c>
      <c r="M338" s="34"/>
      <c r="N338" s="34" t="str">
        <f aca="false">"Sector "&amp;VALUE(MID(D338,13,2))</f>
        <v>Sector 6</v>
      </c>
      <c r="O338" s="34" t="str">
        <f aca="false">IF(Dashboard!$C$5="Ubicación técnica",N338,"Sector "&amp;VALUE(RIGHT(G338,2)))</f>
        <v>Sector 6</v>
      </c>
      <c r="P338" s="34" t="str">
        <f aca="false">IF(MID(D338,15,3)="SEL","Subestación eléctrica","Área de proceso")</f>
        <v>Subestación eléctrica</v>
      </c>
      <c r="Q338" s="34" t="str">
        <f aca="false">MID(D338,13,5)&amp;"|"&amp;MID(D338,19,5)</f>
        <v>06SEL|S_028</v>
      </c>
      <c r="R338" s="34" t="str">
        <f aca="false">IF(P338="Subestación eléctrica",IFERROR(INDEX(cat_SubN,MATCH(Q338,cat_SubK,0)),"SIN CATALOGAR"),"ÁREA DE PROCESO")</f>
        <v>SE-28</v>
      </c>
      <c r="S338" s="34" t="str">
        <f aca="false">IF(H338="","SIN DATO",IFERROR(INDEX(cat_MarcaN,MATCH(H338,cat_MarcaO,0)),H338))</f>
        <v>ABB</v>
      </c>
      <c r="T338" s="34" t="str">
        <f aca="false">IF(I338="","SIN DATO",IFERROR(INDEX(cat_ModN,MATCH(I338,cat_ModO,0)),I338))</f>
        <v>REF615A_1G</v>
      </c>
      <c r="U338" s="34" t="str">
        <f aca="false">IF(I338="","",IFERROR(INDEX(cat_ModG,MATCH(I338,cat_ModO,0)),"No"))</f>
        <v>No</v>
      </c>
      <c r="V338" s="34" t="str">
        <f aca="false">IF(J338="","SIN DATO",IFERROR(INDEX(cat_FunN,MATCH(J338,cat_FunO,0)),J338))</f>
        <v>Protección</v>
      </c>
      <c r="W338" s="34" t="str">
        <f aca="false">IF(OR(S338="SIN DATO",T338="SIN DATO"),"No","Sí")</f>
        <v>Sí</v>
      </c>
    </row>
    <row r="339" customFormat="false" ht="15" hidden="false" customHeight="false" outlineLevel="0" collapsed="false">
      <c r="A339" s="34" t="s">
        <v>1485</v>
      </c>
      <c r="B339" s="34" t="s">
        <v>1486</v>
      </c>
      <c r="C339" s="34" t="s">
        <v>1483</v>
      </c>
      <c r="D339" s="34" t="s">
        <v>1484</v>
      </c>
      <c r="E339" s="34" t="s">
        <v>144</v>
      </c>
      <c r="F339" s="34" t="s">
        <v>1336</v>
      </c>
      <c r="G339" s="34" t="s">
        <v>300</v>
      </c>
      <c r="H339" s="34" t="s">
        <v>34</v>
      </c>
      <c r="I339" s="34" t="s">
        <v>43</v>
      </c>
      <c r="J339" s="34" t="s">
        <v>681</v>
      </c>
      <c r="K339" s="34" t="s">
        <v>229</v>
      </c>
      <c r="L339" s="34" t="s">
        <v>230</v>
      </c>
      <c r="M339" s="34"/>
      <c r="N339" s="34" t="str">
        <f aca="false">"Sector "&amp;VALUE(MID(D339,13,2))</f>
        <v>Sector 6</v>
      </c>
      <c r="O339" s="34" t="str">
        <f aca="false">IF(Dashboard!$C$5="Ubicación técnica",N339,"Sector "&amp;VALUE(RIGHT(G339,2)))</f>
        <v>Sector 6</v>
      </c>
      <c r="P339" s="34" t="str">
        <f aca="false">IF(MID(D339,15,3)="SEL","Subestación eléctrica","Área de proceso")</f>
        <v>Subestación eléctrica</v>
      </c>
      <c r="Q339" s="34" t="str">
        <f aca="false">MID(D339,13,5)&amp;"|"&amp;MID(D339,19,5)</f>
        <v>06SEL|S_028</v>
      </c>
      <c r="R339" s="34" t="str">
        <f aca="false">IF(P339="Subestación eléctrica",IFERROR(INDEX(cat_SubN,MATCH(Q339,cat_SubK,0)),"SIN CATALOGAR"),"ÁREA DE PROCESO")</f>
        <v>SE-28</v>
      </c>
      <c r="S339" s="34" t="str">
        <f aca="false">IF(H339="","SIN DATO",IFERROR(INDEX(cat_MarcaN,MATCH(H339,cat_MarcaO,0)),H339))</f>
        <v>ABB</v>
      </c>
      <c r="T339" s="34" t="str">
        <f aca="false">IF(I339="","SIN DATO",IFERROR(INDEX(cat_ModN,MATCH(I339,cat_ModO,0)),I339))</f>
        <v>RET615A_1G</v>
      </c>
      <c r="U339" s="34" t="str">
        <f aca="false">IF(I339="","",IFERROR(INDEX(cat_ModG,MATCH(I339,cat_ModO,0)),"No"))</f>
        <v>No</v>
      </c>
      <c r="V339" s="34" t="str">
        <f aca="false">IF(J339="","SIN DATO",IFERROR(INDEX(cat_FunN,MATCH(J339,cat_FunO,0)),J339))</f>
        <v>Protección</v>
      </c>
      <c r="W339" s="34" t="str">
        <f aca="false">IF(OR(S339="SIN DATO",T339="SIN DATO"),"No","Sí")</f>
        <v>Sí</v>
      </c>
    </row>
    <row r="340" customFormat="false" ht="15" hidden="false" customHeight="false" outlineLevel="0" collapsed="false">
      <c r="A340" s="34" t="s">
        <v>1487</v>
      </c>
      <c r="B340" s="34" t="s">
        <v>1488</v>
      </c>
      <c r="C340" s="34" t="s">
        <v>1483</v>
      </c>
      <c r="D340" s="34" t="s">
        <v>1484</v>
      </c>
      <c r="E340" s="34" t="s">
        <v>144</v>
      </c>
      <c r="F340" s="34" t="s">
        <v>1336</v>
      </c>
      <c r="G340" s="34" t="s">
        <v>300</v>
      </c>
      <c r="H340" s="34" t="s">
        <v>55</v>
      </c>
      <c r="I340" s="34" t="s">
        <v>57</v>
      </c>
      <c r="J340" s="34" t="s">
        <v>58</v>
      </c>
      <c r="K340" s="34" t="s">
        <v>229</v>
      </c>
      <c r="L340" s="34" t="s">
        <v>230</v>
      </c>
      <c r="M340" s="34"/>
      <c r="N340" s="34" t="str">
        <f aca="false">"Sector "&amp;VALUE(MID(D340,13,2))</f>
        <v>Sector 6</v>
      </c>
      <c r="O340" s="34" t="str">
        <f aca="false">IF(Dashboard!$C$5="Ubicación técnica",N340,"Sector "&amp;VALUE(RIGHT(G340,2)))</f>
        <v>Sector 6</v>
      </c>
      <c r="P340" s="34" t="str">
        <f aca="false">IF(MID(D340,15,3)="SEL","Subestación eléctrica","Área de proceso")</f>
        <v>Subestación eléctrica</v>
      </c>
      <c r="Q340" s="34" t="str">
        <f aca="false">MID(D340,13,5)&amp;"|"&amp;MID(D340,19,5)</f>
        <v>06SEL|S_028</v>
      </c>
      <c r="R340" s="34" t="str">
        <f aca="false">IF(P340="Subestación eléctrica",IFERROR(INDEX(cat_SubN,MATCH(Q340,cat_SubK,0)),"SIN CATALOGAR"),"ÁREA DE PROCESO")</f>
        <v>SE-28</v>
      </c>
      <c r="S340" s="34" t="str">
        <f aca="false">IF(H340="","SIN DATO",IFERROR(INDEX(cat_MarcaN,MATCH(H340,cat_MarcaO,0)),H340))</f>
        <v>SEL</v>
      </c>
      <c r="T340" s="34" t="str">
        <f aca="false">IF(I340="","SIN DATO",IFERROR(INDEX(cat_ModN,MATCH(I340,cat_ModO,0)),I340))</f>
        <v>SEL-735</v>
      </c>
      <c r="U340" s="34" t="str">
        <f aca="false">IF(I340="","",IFERROR(INDEX(cat_ModG,MATCH(I340,cat_ModO,0)),"No"))</f>
        <v>No</v>
      </c>
      <c r="V340" s="34" t="str">
        <f aca="false">IF(J340="","SIN DATO",IFERROR(INDEX(cat_FunN,MATCH(J340,cat_FunO,0)),J340))</f>
        <v>Medición</v>
      </c>
      <c r="W340" s="34" t="str">
        <f aca="false">IF(OR(S340="SIN DATO",T340="SIN DATO"),"No","Sí")</f>
        <v>Sí</v>
      </c>
    </row>
    <row r="341" customFormat="false" ht="15" hidden="false" customHeight="false" outlineLevel="0" collapsed="false">
      <c r="A341" s="34" t="s">
        <v>1489</v>
      </c>
      <c r="B341" s="34" t="s">
        <v>1490</v>
      </c>
      <c r="C341" s="34" t="s">
        <v>1483</v>
      </c>
      <c r="D341" s="34" t="s">
        <v>1484</v>
      </c>
      <c r="E341" s="34" t="s">
        <v>144</v>
      </c>
      <c r="F341" s="34" t="s">
        <v>1336</v>
      </c>
      <c r="G341" s="34" t="s">
        <v>300</v>
      </c>
      <c r="H341" s="34" t="s">
        <v>34</v>
      </c>
      <c r="I341" s="34" t="s">
        <v>1341</v>
      </c>
      <c r="J341" s="34" t="s">
        <v>681</v>
      </c>
      <c r="K341" s="34" t="s">
        <v>229</v>
      </c>
      <c r="L341" s="34" t="s">
        <v>230</v>
      </c>
      <c r="M341" s="34"/>
      <c r="N341" s="34" t="str">
        <f aca="false">"Sector "&amp;VALUE(MID(D341,13,2))</f>
        <v>Sector 6</v>
      </c>
      <c r="O341" s="34" t="str">
        <f aca="false">IF(Dashboard!$C$5="Ubicación técnica",N341,"Sector "&amp;VALUE(RIGHT(G341,2)))</f>
        <v>Sector 6</v>
      </c>
      <c r="P341" s="34" t="str">
        <f aca="false">IF(MID(D341,15,3)="SEL","Subestación eléctrica","Área de proceso")</f>
        <v>Subestación eléctrica</v>
      </c>
      <c r="Q341" s="34" t="str">
        <f aca="false">MID(D341,13,5)&amp;"|"&amp;MID(D341,19,5)</f>
        <v>06SEL|S_028</v>
      </c>
      <c r="R341" s="34" t="str">
        <f aca="false">IF(P341="Subestación eléctrica",IFERROR(INDEX(cat_SubN,MATCH(Q341,cat_SubK,0)),"SIN CATALOGAR"),"ÁREA DE PROCESO")</f>
        <v>SE-28</v>
      </c>
      <c r="S341" s="34" t="str">
        <f aca="false">IF(H341="","SIN DATO",IFERROR(INDEX(cat_MarcaN,MATCH(H341,cat_MarcaO,0)),H341))</f>
        <v>ABB</v>
      </c>
      <c r="T341" s="34" t="str">
        <f aca="false">IF(I341="","SIN DATO",IFERROR(INDEX(cat_ModN,MATCH(I341,cat_ModO,0)),I341))</f>
        <v>REA 101</v>
      </c>
      <c r="U341" s="34" t="str">
        <f aca="false">IF(I341="","",IFERROR(INDEX(cat_ModG,MATCH(I341,cat_ModO,0)),"No"))</f>
        <v>No</v>
      </c>
      <c r="V341" s="34" t="str">
        <f aca="false">IF(J341="","SIN DATO",IFERROR(INDEX(cat_FunN,MATCH(J341,cat_FunO,0)),J341))</f>
        <v>Protección</v>
      </c>
      <c r="W341" s="34" t="str">
        <f aca="false">IF(OR(S341="SIN DATO",T341="SIN DATO"),"No","Sí")</f>
        <v>Sí</v>
      </c>
    </row>
    <row r="342" customFormat="false" ht="15" hidden="false" customHeight="false" outlineLevel="0" collapsed="false">
      <c r="A342" s="34" t="s">
        <v>1491</v>
      </c>
      <c r="B342" s="34" t="s">
        <v>1492</v>
      </c>
      <c r="C342" s="34" t="s">
        <v>1493</v>
      </c>
      <c r="D342" s="34" t="s">
        <v>1494</v>
      </c>
      <c r="E342" s="34" t="s">
        <v>144</v>
      </c>
      <c r="F342" s="34" t="s">
        <v>1336</v>
      </c>
      <c r="G342" s="34" t="s">
        <v>300</v>
      </c>
      <c r="H342" s="34" t="s">
        <v>34</v>
      </c>
      <c r="I342" s="34" t="s">
        <v>37</v>
      </c>
      <c r="J342" s="34" t="s">
        <v>681</v>
      </c>
      <c r="K342" s="34" t="s">
        <v>229</v>
      </c>
      <c r="L342" s="34" t="s">
        <v>230</v>
      </c>
      <c r="M342" s="34"/>
      <c r="N342" s="34" t="str">
        <f aca="false">"Sector "&amp;VALUE(MID(D342,13,2))</f>
        <v>Sector 6</v>
      </c>
      <c r="O342" s="34" t="str">
        <f aca="false">IF(Dashboard!$C$5="Ubicación técnica",N342,"Sector "&amp;VALUE(RIGHT(G342,2)))</f>
        <v>Sector 6</v>
      </c>
      <c r="P342" s="34" t="str">
        <f aca="false">IF(MID(D342,15,3)="SEL","Subestación eléctrica","Área de proceso")</f>
        <v>Subestación eléctrica</v>
      </c>
      <c r="Q342" s="34" t="str">
        <f aca="false">MID(D342,13,5)&amp;"|"&amp;MID(D342,19,5)</f>
        <v>06SEL|S_028</v>
      </c>
      <c r="R342" s="34" t="str">
        <f aca="false">IF(P342="Subestación eléctrica",IFERROR(INDEX(cat_SubN,MATCH(Q342,cat_SubK,0)),"SIN CATALOGAR"),"ÁREA DE PROCESO")</f>
        <v>SE-28</v>
      </c>
      <c r="S342" s="34" t="str">
        <f aca="false">IF(H342="","SIN DATO",IFERROR(INDEX(cat_MarcaN,MATCH(H342,cat_MarcaO,0)),H342))</f>
        <v>ABB</v>
      </c>
      <c r="T342" s="34" t="str">
        <f aca="false">IF(I342="","SIN DATO",IFERROR(INDEX(cat_ModN,MATCH(I342,cat_ModO,0)),I342))</f>
        <v>REF615A_1G</v>
      </c>
      <c r="U342" s="34" t="str">
        <f aca="false">IF(I342="","",IFERROR(INDEX(cat_ModG,MATCH(I342,cat_ModO,0)),"No"))</f>
        <v>No</v>
      </c>
      <c r="V342" s="34" t="str">
        <f aca="false">IF(J342="","SIN DATO",IFERROR(INDEX(cat_FunN,MATCH(J342,cat_FunO,0)),J342))</f>
        <v>Protección</v>
      </c>
      <c r="W342" s="34" t="str">
        <f aca="false">IF(OR(S342="SIN DATO",T342="SIN DATO"),"No","Sí")</f>
        <v>Sí</v>
      </c>
    </row>
    <row r="343" customFormat="false" ht="15" hidden="false" customHeight="false" outlineLevel="0" collapsed="false">
      <c r="A343" s="34" t="s">
        <v>1495</v>
      </c>
      <c r="B343" s="34" t="s">
        <v>1496</v>
      </c>
      <c r="C343" s="34" t="s">
        <v>1376</v>
      </c>
      <c r="D343" s="34" t="s">
        <v>1494</v>
      </c>
      <c r="E343" s="34" t="s">
        <v>144</v>
      </c>
      <c r="F343" s="34" t="s">
        <v>1336</v>
      </c>
      <c r="G343" s="34" t="s">
        <v>300</v>
      </c>
      <c r="H343" s="34" t="s">
        <v>55</v>
      </c>
      <c r="I343" s="34" t="s">
        <v>57</v>
      </c>
      <c r="J343" s="34" t="s">
        <v>58</v>
      </c>
      <c r="K343" s="34" t="s">
        <v>229</v>
      </c>
      <c r="L343" s="34" t="s">
        <v>230</v>
      </c>
      <c r="M343" s="34"/>
      <c r="N343" s="34" t="str">
        <f aca="false">"Sector "&amp;VALUE(MID(D343,13,2))</f>
        <v>Sector 6</v>
      </c>
      <c r="O343" s="34" t="str">
        <f aca="false">IF(Dashboard!$C$5="Ubicación técnica",N343,"Sector "&amp;VALUE(RIGHT(G343,2)))</f>
        <v>Sector 6</v>
      </c>
      <c r="P343" s="34" t="str">
        <f aca="false">IF(MID(D343,15,3)="SEL","Subestación eléctrica","Área de proceso")</f>
        <v>Subestación eléctrica</v>
      </c>
      <c r="Q343" s="34" t="str">
        <f aca="false">MID(D343,13,5)&amp;"|"&amp;MID(D343,19,5)</f>
        <v>06SEL|S_028</v>
      </c>
      <c r="R343" s="34" t="str">
        <f aca="false">IF(P343="Subestación eléctrica",IFERROR(INDEX(cat_SubN,MATCH(Q343,cat_SubK,0)),"SIN CATALOGAR"),"ÁREA DE PROCESO")</f>
        <v>SE-28</v>
      </c>
      <c r="S343" s="34" t="str">
        <f aca="false">IF(H343="","SIN DATO",IFERROR(INDEX(cat_MarcaN,MATCH(H343,cat_MarcaO,0)),H343))</f>
        <v>SEL</v>
      </c>
      <c r="T343" s="34" t="str">
        <f aca="false">IF(I343="","SIN DATO",IFERROR(INDEX(cat_ModN,MATCH(I343,cat_ModO,0)),I343))</f>
        <v>SEL-735</v>
      </c>
      <c r="U343" s="34" t="str">
        <f aca="false">IF(I343="","",IFERROR(INDEX(cat_ModG,MATCH(I343,cat_ModO,0)),"No"))</f>
        <v>No</v>
      </c>
      <c r="V343" s="34" t="str">
        <f aca="false">IF(J343="","SIN DATO",IFERROR(INDEX(cat_FunN,MATCH(J343,cat_FunO,0)),J343))</f>
        <v>Medición</v>
      </c>
      <c r="W343" s="34" t="str">
        <f aca="false">IF(OR(S343="SIN DATO",T343="SIN DATO"),"No","Sí")</f>
        <v>Sí</v>
      </c>
    </row>
    <row r="344" customFormat="false" ht="15" hidden="false" customHeight="false" outlineLevel="0" collapsed="false">
      <c r="A344" s="34" t="s">
        <v>1497</v>
      </c>
      <c r="B344" s="34" t="s">
        <v>1498</v>
      </c>
      <c r="C344" s="34" t="s">
        <v>1373</v>
      </c>
      <c r="D344" s="34" t="s">
        <v>1494</v>
      </c>
      <c r="E344" s="34" t="s">
        <v>144</v>
      </c>
      <c r="F344" s="34" t="s">
        <v>1336</v>
      </c>
      <c r="G344" s="34" t="s">
        <v>300</v>
      </c>
      <c r="H344" s="34" t="s">
        <v>34</v>
      </c>
      <c r="I344" s="34" t="s">
        <v>1341</v>
      </c>
      <c r="J344" s="34" t="s">
        <v>681</v>
      </c>
      <c r="K344" s="34" t="s">
        <v>229</v>
      </c>
      <c r="L344" s="34" t="s">
        <v>230</v>
      </c>
      <c r="M344" s="34"/>
      <c r="N344" s="34" t="str">
        <f aca="false">"Sector "&amp;VALUE(MID(D344,13,2))</f>
        <v>Sector 6</v>
      </c>
      <c r="O344" s="34" t="str">
        <f aca="false">IF(Dashboard!$C$5="Ubicación técnica",N344,"Sector "&amp;VALUE(RIGHT(G344,2)))</f>
        <v>Sector 6</v>
      </c>
      <c r="P344" s="34" t="str">
        <f aca="false">IF(MID(D344,15,3)="SEL","Subestación eléctrica","Área de proceso")</f>
        <v>Subestación eléctrica</v>
      </c>
      <c r="Q344" s="34" t="str">
        <f aca="false">MID(D344,13,5)&amp;"|"&amp;MID(D344,19,5)</f>
        <v>06SEL|S_028</v>
      </c>
      <c r="R344" s="34" t="str">
        <f aca="false">IF(P344="Subestación eléctrica",IFERROR(INDEX(cat_SubN,MATCH(Q344,cat_SubK,0)),"SIN CATALOGAR"),"ÁREA DE PROCESO")</f>
        <v>SE-28</v>
      </c>
      <c r="S344" s="34" t="str">
        <f aca="false">IF(H344="","SIN DATO",IFERROR(INDEX(cat_MarcaN,MATCH(H344,cat_MarcaO,0)),H344))</f>
        <v>ABB</v>
      </c>
      <c r="T344" s="34" t="str">
        <f aca="false">IF(I344="","SIN DATO",IFERROR(INDEX(cat_ModN,MATCH(I344,cat_ModO,0)),I344))</f>
        <v>REA 101</v>
      </c>
      <c r="U344" s="34" t="str">
        <f aca="false">IF(I344="","",IFERROR(INDEX(cat_ModG,MATCH(I344,cat_ModO,0)),"No"))</f>
        <v>No</v>
      </c>
      <c r="V344" s="34" t="str">
        <f aca="false">IF(J344="","SIN DATO",IFERROR(INDEX(cat_FunN,MATCH(J344,cat_FunO,0)),J344))</f>
        <v>Protección</v>
      </c>
      <c r="W344" s="34" t="str">
        <f aca="false">IF(OR(S344="SIN DATO",T344="SIN DATO"),"No","Sí")</f>
        <v>Sí</v>
      </c>
    </row>
    <row r="345" customFormat="false" ht="15" hidden="false" customHeight="false" outlineLevel="0" collapsed="false">
      <c r="A345" s="34" t="s">
        <v>1499</v>
      </c>
      <c r="B345" s="34" t="s">
        <v>1500</v>
      </c>
      <c r="C345" s="34" t="s">
        <v>1501</v>
      </c>
      <c r="D345" s="34" t="s">
        <v>1494</v>
      </c>
      <c r="E345" s="34" t="s">
        <v>144</v>
      </c>
      <c r="F345" s="34" t="s">
        <v>1336</v>
      </c>
      <c r="G345" s="34" t="s">
        <v>300</v>
      </c>
      <c r="H345" s="34" t="s">
        <v>34</v>
      </c>
      <c r="I345" s="34" t="s">
        <v>37</v>
      </c>
      <c r="J345" s="34" t="s">
        <v>681</v>
      </c>
      <c r="K345" s="34" t="s">
        <v>229</v>
      </c>
      <c r="L345" s="34" t="s">
        <v>230</v>
      </c>
      <c r="M345" s="34"/>
      <c r="N345" s="34" t="str">
        <f aca="false">"Sector "&amp;VALUE(MID(D345,13,2))</f>
        <v>Sector 6</v>
      </c>
      <c r="O345" s="34" t="str">
        <f aca="false">IF(Dashboard!$C$5="Ubicación técnica",N345,"Sector "&amp;VALUE(RIGHT(G345,2)))</f>
        <v>Sector 6</v>
      </c>
      <c r="P345" s="34" t="str">
        <f aca="false">IF(MID(D345,15,3)="SEL","Subestación eléctrica","Área de proceso")</f>
        <v>Subestación eléctrica</v>
      </c>
      <c r="Q345" s="34" t="str">
        <f aca="false">MID(D345,13,5)&amp;"|"&amp;MID(D345,19,5)</f>
        <v>06SEL|S_028</v>
      </c>
      <c r="R345" s="34" t="str">
        <f aca="false">IF(P345="Subestación eléctrica",IFERROR(INDEX(cat_SubN,MATCH(Q345,cat_SubK,0)),"SIN CATALOGAR"),"ÁREA DE PROCESO")</f>
        <v>SE-28</v>
      </c>
      <c r="S345" s="34" t="str">
        <f aca="false">IF(H345="","SIN DATO",IFERROR(INDEX(cat_MarcaN,MATCH(H345,cat_MarcaO,0)),H345))</f>
        <v>ABB</v>
      </c>
      <c r="T345" s="34" t="str">
        <f aca="false">IF(I345="","SIN DATO",IFERROR(INDEX(cat_ModN,MATCH(I345,cat_ModO,0)),I345))</f>
        <v>REF615A_1G</v>
      </c>
      <c r="U345" s="34" t="str">
        <f aca="false">IF(I345="","",IFERROR(INDEX(cat_ModG,MATCH(I345,cat_ModO,0)),"No"))</f>
        <v>No</v>
      </c>
      <c r="V345" s="34" t="str">
        <f aca="false">IF(J345="","SIN DATO",IFERROR(INDEX(cat_FunN,MATCH(J345,cat_FunO,0)),J345))</f>
        <v>Protección</v>
      </c>
      <c r="W345" s="34" t="str">
        <f aca="false">IF(OR(S345="SIN DATO",T345="SIN DATO"),"No","Sí")</f>
        <v>Sí</v>
      </c>
    </row>
    <row r="346" customFormat="false" ht="15" hidden="false" customHeight="false" outlineLevel="0" collapsed="false">
      <c r="A346" s="34" t="s">
        <v>1502</v>
      </c>
      <c r="B346" s="34" t="s">
        <v>1503</v>
      </c>
      <c r="C346" s="34" t="s">
        <v>1504</v>
      </c>
      <c r="D346" s="34" t="s">
        <v>1494</v>
      </c>
      <c r="E346" s="34" t="s">
        <v>144</v>
      </c>
      <c r="F346" s="34" t="s">
        <v>1336</v>
      </c>
      <c r="G346" s="34" t="s">
        <v>300</v>
      </c>
      <c r="H346" s="34" t="s">
        <v>34</v>
      </c>
      <c r="I346" s="34" t="s">
        <v>37</v>
      </c>
      <c r="J346" s="34" t="s">
        <v>681</v>
      </c>
      <c r="K346" s="34" t="s">
        <v>229</v>
      </c>
      <c r="L346" s="34" t="s">
        <v>230</v>
      </c>
      <c r="M346" s="34"/>
      <c r="N346" s="34" t="str">
        <f aca="false">"Sector "&amp;VALUE(MID(D346,13,2))</f>
        <v>Sector 6</v>
      </c>
      <c r="O346" s="34" t="str">
        <f aca="false">IF(Dashboard!$C$5="Ubicación técnica",N346,"Sector "&amp;VALUE(RIGHT(G346,2)))</f>
        <v>Sector 6</v>
      </c>
      <c r="P346" s="34" t="str">
        <f aca="false">IF(MID(D346,15,3)="SEL","Subestación eléctrica","Área de proceso")</f>
        <v>Subestación eléctrica</v>
      </c>
      <c r="Q346" s="34" t="str">
        <f aca="false">MID(D346,13,5)&amp;"|"&amp;MID(D346,19,5)</f>
        <v>06SEL|S_028</v>
      </c>
      <c r="R346" s="34" t="str">
        <f aca="false">IF(P346="Subestación eléctrica",IFERROR(INDEX(cat_SubN,MATCH(Q346,cat_SubK,0)),"SIN CATALOGAR"),"ÁREA DE PROCESO")</f>
        <v>SE-28</v>
      </c>
      <c r="S346" s="34" t="str">
        <f aca="false">IF(H346="","SIN DATO",IFERROR(INDEX(cat_MarcaN,MATCH(H346,cat_MarcaO,0)),H346))</f>
        <v>ABB</v>
      </c>
      <c r="T346" s="34" t="str">
        <f aca="false">IF(I346="","SIN DATO",IFERROR(INDEX(cat_ModN,MATCH(I346,cat_ModO,0)),I346))</f>
        <v>REF615A_1G</v>
      </c>
      <c r="U346" s="34" t="str">
        <f aca="false">IF(I346="","",IFERROR(INDEX(cat_ModG,MATCH(I346,cat_ModO,0)),"No"))</f>
        <v>No</v>
      </c>
      <c r="V346" s="34" t="str">
        <f aca="false">IF(J346="","SIN DATO",IFERROR(INDEX(cat_FunN,MATCH(J346,cat_FunO,0)),J346))</f>
        <v>Protección</v>
      </c>
      <c r="W346" s="34" t="str">
        <f aca="false">IF(OR(S346="SIN DATO",T346="SIN DATO"),"No","Sí")</f>
        <v>Sí</v>
      </c>
    </row>
    <row r="347" customFormat="false" ht="15" hidden="false" customHeight="false" outlineLevel="0" collapsed="false">
      <c r="A347" s="34" t="s">
        <v>1505</v>
      </c>
      <c r="B347" s="34" t="s">
        <v>1506</v>
      </c>
      <c r="C347" s="34" t="s">
        <v>1507</v>
      </c>
      <c r="D347" s="34" t="s">
        <v>1494</v>
      </c>
      <c r="E347" s="34" t="s">
        <v>144</v>
      </c>
      <c r="F347" s="34" t="s">
        <v>1336</v>
      </c>
      <c r="G347" s="34" t="s">
        <v>300</v>
      </c>
      <c r="H347" s="34" t="s">
        <v>34</v>
      </c>
      <c r="I347" s="34" t="s">
        <v>1341</v>
      </c>
      <c r="J347" s="34" t="s">
        <v>681</v>
      </c>
      <c r="K347" s="34" t="s">
        <v>229</v>
      </c>
      <c r="L347" s="34" t="s">
        <v>230</v>
      </c>
      <c r="M347" s="34"/>
      <c r="N347" s="34" t="str">
        <f aca="false">"Sector "&amp;VALUE(MID(D347,13,2))</f>
        <v>Sector 6</v>
      </c>
      <c r="O347" s="34" t="str">
        <f aca="false">IF(Dashboard!$C$5="Ubicación técnica",N347,"Sector "&amp;VALUE(RIGHT(G347,2)))</f>
        <v>Sector 6</v>
      </c>
      <c r="P347" s="34" t="str">
        <f aca="false">IF(MID(D347,15,3)="SEL","Subestación eléctrica","Área de proceso")</f>
        <v>Subestación eléctrica</v>
      </c>
      <c r="Q347" s="34" t="str">
        <f aca="false">MID(D347,13,5)&amp;"|"&amp;MID(D347,19,5)</f>
        <v>06SEL|S_028</v>
      </c>
      <c r="R347" s="34" t="str">
        <f aca="false">IF(P347="Subestación eléctrica",IFERROR(INDEX(cat_SubN,MATCH(Q347,cat_SubK,0)),"SIN CATALOGAR"),"ÁREA DE PROCESO")</f>
        <v>SE-28</v>
      </c>
      <c r="S347" s="34" t="str">
        <f aca="false">IF(H347="","SIN DATO",IFERROR(INDEX(cat_MarcaN,MATCH(H347,cat_MarcaO,0)),H347))</f>
        <v>ABB</v>
      </c>
      <c r="T347" s="34" t="str">
        <f aca="false">IF(I347="","SIN DATO",IFERROR(INDEX(cat_ModN,MATCH(I347,cat_ModO,0)),I347))</f>
        <v>REA 101</v>
      </c>
      <c r="U347" s="34" t="str">
        <f aca="false">IF(I347="","",IFERROR(INDEX(cat_ModG,MATCH(I347,cat_ModO,0)),"No"))</f>
        <v>No</v>
      </c>
      <c r="V347" s="34" t="str">
        <f aca="false">IF(J347="","SIN DATO",IFERROR(INDEX(cat_FunN,MATCH(J347,cat_FunO,0)),J347))</f>
        <v>Protección</v>
      </c>
      <c r="W347" s="34" t="str">
        <f aca="false">IF(OR(S347="SIN DATO",T347="SIN DATO"),"No","Sí")</f>
        <v>Sí</v>
      </c>
    </row>
    <row r="348" customFormat="false" ht="15" hidden="false" customHeight="false" outlineLevel="0" collapsed="false">
      <c r="A348" s="34" t="s">
        <v>1508</v>
      </c>
      <c r="B348" s="34" t="s">
        <v>1509</v>
      </c>
      <c r="C348" s="34" t="s">
        <v>1510</v>
      </c>
      <c r="D348" s="34" t="s">
        <v>1494</v>
      </c>
      <c r="E348" s="34" t="s">
        <v>144</v>
      </c>
      <c r="F348" s="34" t="s">
        <v>1336</v>
      </c>
      <c r="G348" s="34" t="s">
        <v>300</v>
      </c>
      <c r="H348" s="34" t="s">
        <v>34</v>
      </c>
      <c r="I348" s="34" t="s">
        <v>37</v>
      </c>
      <c r="J348" s="34" t="s">
        <v>681</v>
      </c>
      <c r="K348" s="34" t="s">
        <v>229</v>
      </c>
      <c r="L348" s="34" t="s">
        <v>230</v>
      </c>
      <c r="M348" s="34"/>
      <c r="N348" s="34" t="str">
        <f aca="false">"Sector "&amp;VALUE(MID(D348,13,2))</f>
        <v>Sector 6</v>
      </c>
      <c r="O348" s="34" t="str">
        <f aca="false">IF(Dashboard!$C$5="Ubicación técnica",N348,"Sector "&amp;VALUE(RIGHT(G348,2)))</f>
        <v>Sector 6</v>
      </c>
      <c r="P348" s="34" t="str">
        <f aca="false">IF(MID(D348,15,3)="SEL","Subestación eléctrica","Área de proceso")</f>
        <v>Subestación eléctrica</v>
      </c>
      <c r="Q348" s="34" t="str">
        <f aca="false">MID(D348,13,5)&amp;"|"&amp;MID(D348,19,5)</f>
        <v>06SEL|S_028</v>
      </c>
      <c r="R348" s="34" t="str">
        <f aca="false">IF(P348="Subestación eléctrica",IFERROR(INDEX(cat_SubN,MATCH(Q348,cat_SubK,0)),"SIN CATALOGAR"),"ÁREA DE PROCESO")</f>
        <v>SE-28</v>
      </c>
      <c r="S348" s="34" t="str">
        <f aca="false">IF(H348="","SIN DATO",IFERROR(INDEX(cat_MarcaN,MATCH(H348,cat_MarcaO,0)),H348))</f>
        <v>ABB</v>
      </c>
      <c r="T348" s="34" t="str">
        <f aca="false">IF(I348="","SIN DATO",IFERROR(INDEX(cat_ModN,MATCH(I348,cat_ModO,0)),I348))</f>
        <v>REF615A_1G</v>
      </c>
      <c r="U348" s="34" t="str">
        <f aca="false">IF(I348="","",IFERROR(INDEX(cat_ModG,MATCH(I348,cat_ModO,0)),"No"))</f>
        <v>No</v>
      </c>
      <c r="V348" s="34" t="str">
        <f aca="false">IF(J348="","SIN DATO",IFERROR(INDEX(cat_FunN,MATCH(J348,cat_FunO,0)),J348))</f>
        <v>Protección</v>
      </c>
      <c r="W348" s="34" t="str">
        <f aca="false">IF(OR(S348="SIN DATO",T348="SIN DATO"),"No","Sí")</f>
        <v>Sí</v>
      </c>
    </row>
    <row r="349" customFormat="false" ht="15" hidden="false" customHeight="false" outlineLevel="0" collapsed="false">
      <c r="A349" s="34" t="s">
        <v>1511</v>
      </c>
      <c r="B349" s="34" t="s">
        <v>1512</v>
      </c>
      <c r="C349" s="34" t="s">
        <v>1513</v>
      </c>
      <c r="D349" s="34" t="s">
        <v>1494</v>
      </c>
      <c r="E349" s="34" t="s">
        <v>144</v>
      </c>
      <c r="F349" s="34" t="s">
        <v>1336</v>
      </c>
      <c r="G349" s="34" t="s">
        <v>300</v>
      </c>
      <c r="H349" s="34" t="s">
        <v>34</v>
      </c>
      <c r="I349" s="34" t="s">
        <v>37</v>
      </c>
      <c r="J349" s="34" t="s">
        <v>681</v>
      </c>
      <c r="K349" s="34" t="s">
        <v>229</v>
      </c>
      <c r="L349" s="34" t="s">
        <v>230</v>
      </c>
      <c r="M349" s="34"/>
      <c r="N349" s="34" t="str">
        <f aca="false">"Sector "&amp;VALUE(MID(D349,13,2))</f>
        <v>Sector 6</v>
      </c>
      <c r="O349" s="34" t="str">
        <f aca="false">IF(Dashboard!$C$5="Ubicación técnica",N349,"Sector "&amp;VALUE(RIGHT(G349,2)))</f>
        <v>Sector 6</v>
      </c>
      <c r="P349" s="34" t="str">
        <f aca="false">IF(MID(D349,15,3)="SEL","Subestación eléctrica","Área de proceso")</f>
        <v>Subestación eléctrica</v>
      </c>
      <c r="Q349" s="34" t="str">
        <f aca="false">MID(D349,13,5)&amp;"|"&amp;MID(D349,19,5)</f>
        <v>06SEL|S_028</v>
      </c>
      <c r="R349" s="34" t="str">
        <f aca="false">IF(P349="Subestación eléctrica",IFERROR(INDEX(cat_SubN,MATCH(Q349,cat_SubK,0)),"SIN CATALOGAR"),"ÁREA DE PROCESO")</f>
        <v>SE-28</v>
      </c>
      <c r="S349" s="34" t="str">
        <f aca="false">IF(H349="","SIN DATO",IFERROR(INDEX(cat_MarcaN,MATCH(H349,cat_MarcaO,0)),H349))</f>
        <v>ABB</v>
      </c>
      <c r="T349" s="34" t="str">
        <f aca="false">IF(I349="","SIN DATO",IFERROR(INDEX(cat_ModN,MATCH(I349,cat_ModO,0)),I349))</f>
        <v>REF615A_1G</v>
      </c>
      <c r="U349" s="34" t="str">
        <f aca="false">IF(I349="","",IFERROR(INDEX(cat_ModG,MATCH(I349,cat_ModO,0)),"No"))</f>
        <v>No</v>
      </c>
      <c r="V349" s="34" t="str">
        <f aca="false">IF(J349="","SIN DATO",IFERROR(INDEX(cat_FunN,MATCH(J349,cat_FunO,0)),J349))</f>
        <v>Protección</v>
      </c>
      <c r="W349" s="34" t="str">
        <f aca="false">IF(OR(S349="SIN DATO",T349="SIN DATO"),"No","Sí")</f>
        <v>Sí</v>
      </c>
    </row>
    <row r="350" customFormat="false" ht="15" hidden="false" customHeight="false" outlineLevel="0" collapsed="false">
      <c r="A350" s="34" t="s">
        <v>1514</v>
      </c>
      <c r="B350" s="34" t="s">
        <v>1515</v>
      </c>
      <c r="C350" s="34" t="s">
        <v>1516</v>
      </c>
      <c r="D350" s="34" t="s">
        <v>1494</v>
      </c>
      <c r="E350" s="34" t="s">
        <v>144</v>
      </c>
      <c r="F350" s="34" t="s">
        <v>1336</v>
      </c>
      <c r="G350" s="34" t="s">
        <v>300</v>
      </c>
      <c r="H350" s="34" t="s">
        <v>34</v>
      </c>
      <c r="I350" s="34" t="s">
        <v>37</v>
      </c>
      <c r="J350" s="34" t="s">
        <v>681</v>
      </c>
      <c r="K350" s="34" t="s">
        <v>229</v>
      </c>
      <c r="L350" s="34" t="s">
        <v>230</v>
      </c>
      <c r="M350" s="34"/>
      <c r="N350" s="34" t="str">
        <f aca="false">"Sector "&amp;VALUE(MID(D350,13,2))</f>
        <v>Sector 6</v>
      </c>
      <c r="O350" s="34" t="str">
        <f aca="false">IF(Dashboard!$C$5="Ubicación técnica",N350,"Sector "&amp;VALUE(RIGHT(G350,2)))</f>
        <v>Sector 6</v>
      </c>
      <c r="P350" s="34" t="str">
        <f aca="false">IF(MID(D350,15,3)="SEL","Subestación eléctrica","Área de proceso")</f>
        <v>Subestación eléctrica</v>
      </c>
      <c r="Q350" s="34" t="str">
        <f aca="false">MID(D350,13,5)&amp;"|"&amp;MID(D350,19,5)</f>
        <v>06SEL|S_028</v>
      </c>
      <c r="R350" s="34" t="str">
        <f aca="false">IF(P350="Subestación eléctrica",IFERROR(INDEX(cat_SubN,MATCH(Q350,cat_SubK,0)),"SIN CATALOGAR"),"ÁREA DE PROCESO")</f>
        <v>SE-28</v>
      </c>
      <c r="S350" s="34" t="str">
        <f aca="false">IF(H350="","SIN DATO",IFERROR(INDEX(cat_MarcaN,MATCH(H350,cat_MarcaO,0)),H350))</f>
        <v>ABB</v>
      </c>
      <c r="T350" s="34" t="str">
        <f aca="false">IF(I350="","SIN DATO",IFERROR(INDEX(cat_ModN,MATCH(I350,cat_ModO,0)),I350))</f>
        <v>REF615A_1G</v>
      </c>
      <c r="U350" s="34" t="str">
        <f aca="false">IF(I350="","",IFERROR(INDEX(cat_ModG,MATCH(I350,cat_ModO,0)),"No"))</f>
        <v>No</v>
      </c>
      <c r="V350" s="34" t="str">
        <f aca="false">IF(J350="","SIN DATO",IFERROR(INDEX(cat_FunN,MATCH(J350,cat_FunO,0)),J350))</f>
        <v>Protección</v>
      </c>
      <c r="W350" s="34" t="str">
        <f aca="false">IF(OR(S350="SIN DATO",T350="SIN DATO"),"No","Sí")</f>
        <v>Sí</v>
      </c>
    </row>
    <row r="351" customFormat="false" ht="15" hidden="false" customHeight="false" outlineLevel="0" collapsed="false">
      <c r="A351" s="34" t="s">
        <v>1517</v>
      </c>
      <c r="B351" s="34" t="s">
        <v>1518</v>
      </c>
      <c r="C351" s="34" t="s">
        <v>1519</v>
      </c>
      <c r="D351" s="34" t="s">
        <v>1520</v>
      </c>
      <c r="E351" s="34" t="s">
        <v>144</v>
      </c>
      <c r="F351" s="34" t="s">
        <v>1336</v>
      </c>
      <c r="G351" s="34" t="s">
        <v>300</v>
      </c>
      <c r="H351" s="34" t="s">
        <v>34</v>
      </c>
      <c r="I351" s="34" t="s">
        <v>37</v>
      </c>
      <c r="J351" s="34" t="s">
        <v>681</v>
      </c>
      <c r="K351" s="34" t="s">
        <v>229</v>
      </c>
      <c r="L351" s="34" t="s">
        <v>230</v>
      </c>
      <c r="M351" s="34"/>
      <c r="N351" s="34" t="str">
        <f aca="false">"Sector "&amp;VALUE(MID(D351,13,2))</f>
        <v>Sector 6</v>
      </c>
      <c r="O351" s="34" t="str">
        <f aca="false">IF(Dashboard!$C$5="Ubicación técnica",N351,"Sector "&amp;VALUE(RIGHT(G351,2)))</f>
        <v>Sector 6</v>
      </c>
      <c r="P351" s="34" t="str">
        <f aca="false">IF(MID(D351,15,3)="SEL","Subestación eléctrica","Área de proceso")</f>
        <v>Subestación eléctrica</v>
      </c>
      <c r="Q351" s="34" t="str">
        <f aca="false">MID(D351,13,5)&amp;"|"&amp;MID(D351,19,5)</f>
        <v>06SEL|S_028</v>
      </c>
      <c r="R351" s="34" t="str">
        <f aca="false">IF(P351="Subestación eléctrica",IFERROR(INDEX(cat_SubN,MATCH(Q351,cat_SubK,0)),"SIN CATALOGAR"),"ÁREA DE PROCESO")</f>
        <v>SE-28</v>
      </c>
      <c r="S351" s="34" t="str">
        <f aca="false">IF(H351="","SIN DATO",IFERROR(INDEX(cat_MarcaN,MATCH(H351,cat_MarcaO,0)),H351))</f>
        <v>ABB</v>
      </c>
      <c r="T351" s="34" t="str">
        <f aca="false">IF(I351="","SIN DATO",IFERROR(INDEX(cat_ModN,MATCH(I351,cat_ModO,0)),I351))</f>
        <v>REF615A_1G</v>
      </c>
      <c r="U351" s="34" t="str">
        <f aca="false">IF(I351="","",IFERROR(INDEX(cat_ModG,MATCH(I351,cat_ModO,0)),"No"))</f>
        <v>No</v>
      </c>
      <c r="V351" s="34" t="str">
        <f aca="false">IF(J351="","SIN DATO",IFERROR(INDEX(cat_FunN,MATCH(J351,cat_FunO,0)),J351))</f>
        <v>Protección</v>
      </c>
      <c r="W351" s="34" t="str">
        <f aca="false">IF(OR(S351="SIN DATO",T351="SIN DATO"),"No","Sí")</f>
        <v>Sí</v>
      </c>
    </row>
    <row r="352" customFormat="false" ht="15" hidden="false" customHeight="false" outlineLevel="0" collapsed="false">
      <c r="A352" s="34" t="s">
        <v>1521</v>
      </c>
      <c r="B352" s="34" t="s">
        <v>1522</v>
      </c>
      <c r="C352" s="34" t="s">
        <v>1367</v>
      </c>
      <c r="D352" s="34" t="s">
        <v>1520</v>
      </c>
      <c r="E352" s="34" t="s">
        <v>144</v>
      </c>
      <c r="F352" s="34" t="s">
        <v>1336</v>
      </c>
      <c r="G352" s="34" t="s">
        <v>300</v>
      </c>
      <c r="H352" s="34" t="s">
        <v>55</v>
      </c>
      <c r="I352" s="34" t="s">
        <v>57</v>
      </c>
      <c r="J352" s="34" t="s">
        <v>58</v>
      </c>
      <c r="K352" s="34" t="s">
        <v>229</v>
      </c>
      <c r="L352" s="34" t="s">
        <v>230</v>
      </c>
      <c r="M352" s="34"/>
      <c r="N352" s="34" t="str">
        <f aca="false">"Sector "&amp;VALUE(MID(D352,13,2))</f>
        <v>Sector 6</v>
      </c>
      <c r="O352" s="34" t="str">
        <f aca="false">IF(Dashboard!$C$5="Ubicación técnica",N352,"Sector "&amp;VALUE(RIGHT(G352,2)))</f>
        <v>Sector 6</v>
      </c>
      <c r="P352" s="34" t="str">
        <f aca="false">IF(MID(D352,15,3)="SEL","Subestación eléctrica","Área de proceso")</f>
        <v>Subestación eléctrica</v>
      </c>
      <c r="Q352" s="34" t="str">
        <f aca="false">MID(D352,13,5)&amp;"|"&amp;MID(D352,19,5)</f>
        <v>06SEL|S_028</v>
      </c>
      <c r="R352" s="34" t="str">
        <f aca="false">IF(P352="Subestación eléctrica",IFERROR(INDEX(cat_SubN,MATCH(Q352,cat_SubK,0)),"SIN CATALOGAR"),"ÁREA DE PROCESO")</f>
        <v>SE-28</v>
      </c>
      <c r="S352" s="34" t="str">
        <f aca="false">IF(H352="","SIN DATO",IFERROR(INDEX(cat_MarcaN,MATCH(H352,cat_MarcaO,0)),H352))</f>
        <v>SEL</v>
      </c>
      <c r="T352" s="34" t="str">
        <f aca="false">IF(I352="","SIN DATO",IFERROR(INDEX(cat_ModN,MATCH(I352,cat_ModO,0)),I352))</f>
        <v>SEL-735</v>
      </c>
      <c r="U352" s="34" t="str">
        <f aca="false">IF(I352="","",IFERROR(INDEX(cat_ModG,MATCH(I352,cat_ModO,0)),"No"))</f>
        <v>No</v>
      </c>
      <c r="V352" s="34" t="str">
        <f aca="false">IF(J352="","SIN DATO",IFERROR(INDEX(cat_FunN,MATCH(J352,cat_FunO,0)),J352))</f>
        <v>Medición</v>
      </c>
      <c r="W352" s="34" t="str">
        <f aca="false">IF(OR(S352="SIN DATO",T352="SIN DATO"),"No","Sí")</f>
        <v>Sí</v>
      </c>
    </row>
    <row r="353" customFormat="false" ht="15" hidden="false" customHeight="false" outlineLevel="0" collapsed="false">
      <c r="A353" s="34" t="s">
        <v>1523</v>
      </c>
      <c r="B353" s="34" t="s">
        <v>1524</v>
      </c>
      <c r="C353" s="34" t="s">
        <v>1525</v>
      </c>
      <c r="D353" s="34" t="s">
        <v>1520</v>
      </c>
      <c r="E353" s="34" t="s">
        <v>144</v>
      </c>
      <c r="F353" s="34" t="s">
        <v>1336</v>
      </c>
      <c r="G353" s="34" t="s">
        <v>300</v>
      </c>
      <c r="H353" s="34" t="s">
        <v>34</v>
      </c>
      <c r="I353" s="34" t="s">
        <v>1341</v>
      </c>
      <c r="J353" s="34" t="s">
        <v>681</v>
      </c>
      <c r="K353" s="34" t="s">
        <v>229</v>
      </c>
      <c r="L353" s="34" t="s">
        <v>230</v>
      </c>
      <c r="M353" s="34"/>
      <c r="N353" s="34" t="str">
        <f aca="false">"Sector "&amp;VALUE(MID(D353,13,2))</f>
        <v>Sector 6</v>
      </c>
      <c r="O353" s="34" t="str">
        <f aca="false">IF(Dashboard!$C$5="Ubicación técnica",N353,"Sector "&amp;VALUE(RIGHT(G353,2)))</f>
        <v>Sector 6</v>
      </c>
      <c r="P353" s="34" t="str">
        <f aca="false">IF(MID(D353,15,3)="SEL","Subestación eléctrica","Área de proceso")</f>
        <v>Subestación eléctrica</v>
      </c>
      <c r="Q353" s="34" t="str">
        <f aca="false">MID(D353,13,5)&amp;"|"&amp;MID(D353,19,5)</f>
        <v>06SEL|S_028</v>
      </c>
      <c r="R353" s="34" t="str">
        <f aca="false">IF(P353="Subestación eléctrica",IFERROR(INDEX(cat_SubN,MATCH(Q353,cat_SubK,0)),"SIN CATALOGAR"),"ÁREA DE PROCESO")</f>
        <v>SE-28</v>
      </c>
      <c r="S353" s="34" t="str">
        <f aca="false">IF(H353="","SIN DATO",IFERROR(INDEX(cat_MarcaN,MATCH(H353,cat_MarcaO,0)),H353))</f>
        <v>ABB</v>
      </c>
      <c r="T353" s="34" t="str">
        <f aca="false">IF(I353="","SIN DATO",IFERROR(INDEX(cat_ModN,MATCH(I353,cat_ModO,0)),I353))</f>
        <v>REA 101</v>
      </c>
      <c r="U353" s="34" t="str">
        <f aca="false">IF(I353="","",IFERROR(INDEX(cat_ModG,MATCH(I353,cat_ModO,0)),"No"))</f>
        <v>No</v>
      </c>
      <c r="V353" s="34" t="str">
        <f aca="false">IF(J353="","SIN DATO",IFERROR(INDEX(cat_FunN,MATCH(J353,cat_FunO,0)),J353))</f>
        <v>Protección</v>
      </c>
      <c r="W353" s="34" t="str">
        <f aca="false">IF(OR(S353="SIN DATO",T353="SIN DATO"),"No","Sí")</f>
        <v>Sí</v>
      </c>
    </row>
    <row r="354" customFormat="false" ht="15" hidden="false" customHeight="false" outlineLevel="0" collapsed="false">
      <c r="A354" s="34" t="s">
        <v>1526</v>
      </c>
      <c r="B354" s="34" t="s">
        <v>1527</v>
      </c>
      <c r="C354" s="34" t="s">
        <v>1528</v>
      </c>
      <c r="D354" s="34" t="s">
        <v>1520</v>
      </c>
      <c r="E354" s="34" t="s">
        <v>144</v>
      </c>
      <c r="F354" s="34" t="s">
        <v>1336</v>
      </c>
      <c r="G354" s="34" t="s">
        <v>300</v>
      </c>
      <c r="H354" s="34" t="s">
        <v>34</v>
      </c>
      <c r="I354" s="34" t="s">
        <v>37</v>
      </c>
      <c r="J354" s="34" t="s">
        <v>681</v>
      </c>
      <c r="K354" s="34" t="s">
        <v>229</v>
      </c>
      <c r="L354" s="34" t="s">
        <v>230</v>
      </c>
      <c r="M354" s="34"/>
      <c r="N354" s="34" t="str">
        <f aca="false">"Sector "&amp;VALUE(MID(D354,13,2))</f>
        <v>Sector 6</v>
      </c>
      <c r="O354" s="34" t="str">
        <f aca="false">IF(Dashboard!$C$5="Ubicación técnica",N354,"Sector "&amp;VALUE(RIGHT(G354,2)))</f>
        <v>Sector 6</v>
      </c>
      <c r="P354" s="34" t="str">
        <f aca="false">IF(MID(D354,15,3)="SEL","Subestación eléctrica","Área de proceso")</f>
        <v>Subestación eléctrica</v>
      </c>
      <c r="Q354" s="34" t="str">
        <f aca="false">MID(D354,13,5)&amp;"|"&amp;MID(D354,19,5)</f>
        <v>06SEL|S_028</v>
      </c>
      <c r="R354" s="34" t="str">
        <f aca="false">IF(P354="Subestación eléctrica",IFERROR(INDEX(cat_SubN,MATCH(Q354,cat_SubK,0)),"SIN CATALOGAR"),"ÁREA DE PROCESO")</f>
        <v>SE-28</v>
      </c>
      <c r="S354" s="34" t="str">
        <f aca="false">IF(H354="","SIN DATO",IFERROR(INDEX(cat_MarcaN,MATCH(H354,cat_MarcaO,0)),H354))</f>
        <v>ABB</v>
      </c>
      <c r="T354" s="34" t="str">
        <f aca="false">IF(I354="","SIN DATO",IFERROR(INDEX(cat_ModN,MATCH(I354,cat_ModO,0)),I354))</f>
        <v>REF615A_1G</v>
      </c>
      <c r="U354" s="34" t="str">
        <f aca="false">IF(I354="","",IFERROR(INDEX(cat_ModG,MATCH(I354,cat_ModO,0)),"No"))</f>
        <v>No</v>
      </c>
      <c r="V354" s="34" t="str">
        <f aca="false">IF(J354="","SIN DATO",IFERROR(INDEX(cat_FunN,MATCH(J354,cat_FunO,0)),J354))</f>
        <v>Protección</v>
      </c>
      <c r="W354" s="34" t="str">
        <f aca="false">IF(OR(S354="SIN DATO",T354="SIN DATO"),"No","Sí")</f>
        <v>Sí</v>
      </c>
    </row>
    <row r="355" customFormat="false" ht="15" hidden="false" customHeight="false" outlineLevel="0" collapsed="false">
      <c r="A355" s="34" t="s">
        <v>1529</v>
      </c>
      <c r="B355" s="34" t="s">
        <v>1530</v>
      </c>
      <c r="C355" s="34" t="s">
        <v>1392</v>
      </c>
      <c r="D355" s="34" t="s">
        <v>1393</v>
      </c>
      <c r="E355" s="34" t="s">
        <v>146</v>
      </c>
      <c r="F355" s="34" t="s">
        <v>1336</v>
      </c>
      <c r="G355" s="34" t="s">
        <v>300</v>
      </c>
      <c r="H355" s="34" t="s">
        <v>34</v>
      </c>
      <c r="I355" s="34" t="s">
        <v>43</v>
      </c>
      <c r="J355" s="34" t="s">
        <v>681</v>
      </c>
      <c r="K355" s="34" t="s">
        <v>229</v>
      </c>
      <c r="L355" s="34" t="s">
        <v>230</v>
      </c>
      <c r="M355" s="34"/>
      <c r="N355" s="34" t="str">
        <f aca="false">"Sector "&amp;VALUE(MID(D355,13,2))</f>
        <v>Sector 6</v>
      </c>
      <c r="O355" s="34" t="str">
        <f aca="false">IF(Dashboard!$C$5="Ubicación técnica",N355,"Sector "&amp;VALUE(RIGHT(G355,2)))</f>
        <v>Sector 6</v>
      </c>
      <c r="P355" s="34" t="str">
        <f aca="false">IF(MID(D355,15,3)="SEL","Subestación eléctrica","Área de proceso")</f>
        <v>Subestación eléctrica</v>
      </c>
      <c r="Q355" s="34" t="str">
        <f aca="false">MID(D355,13,5)&amp;"|"&amp;MID(D355,19,5)</f>
        <v>06SEL|S_029</v>
      </c>
      <c r="R355" s="34" t="str">
        <f aca="false">IF(P355="Subestación eléctrica",IFERROR(INDEX(cat_SubN,MATCH(Q355,cat_SubK,0)),"SIN CATALOGAR"),"ÁREA DE PROCESO")</f>
        <v>SE-29</v>
      </c>
      <c r="S355" s="34" t="str">
        <f aca="false">IF(H355="","SIN DATO",IFERROR(INDEX(cat_MarcaN,MATCH(H355,cat_MarcaO,0)),H355))</f>
        <v>ABB</v>
      </c>
      <c r="T355" s="34" t="str">
        <f aca="false">IF(I355="","SIN DATO",IFERROR(INDEX(cat_ModN,MATCH(I355,cat_ModO,0)),I355))</f>
        <v>RET615A_1G</v>
      </c>
      <c r="U355" s="34" t="str">
        <f aca="false">IF(I355="","",IFERROR(INDEX(cat_ModG,MATCH(I355,cat_ModO,0)),"No"))</f>
        <v>No</v>
      </c>
      <c r="V355" s="34" t="str">
        <f aca="false">IF(J355="","SIN DATO",IFERROR(INDEX(cat_FunN,MATCH(J355,cat_FunO,0)),J355))</f>
        <v>Protección</v>
      </c>
      <c r="W355" s="34" t="str">
        <f aca="false">IF(OR(S355="SIN DATO",T355="SIN DATO"),"No","Sí")</f>
        <v>Sí</v>
      </c>
    </row>
    <row r="356" customFormat="false" ht="15" hidden="false" customHeight="false" outlineLevel="0" collapsed="false">
      <c r="A356" s="34" t="s">
        <v>1531</v>
      </c>
      <c r="B356" s="34" t="s">
        <v>1532</v>
      </c>
      <c r="C356" s="34" t="s">
        <v>1392</v>
      </c>
      <c r="D356" s="34" t="s">
        <v>1393</v>
      </c>
      <c r="E356" s="34" t="s">
        <v>146</v>
      </c>
      <c r="F356" s="34" t="s">
        <v>1336</v>
      </c>
      <c r="G356" s="34" t="s">
        <v>300</v>
      </c>
      <c r="H356" s="34" t="s">
        <v>34</v>
      </c>
      <c r="I356" s="34" t="s">
        <v>37</v>
      </c>
      <c r="J356" s="34" t="s">
        <v>681</v>
      </c>
      <c r="K356" s="34" t="s">
        <v>229</v>
      </c>
      <c r="L356" s="34" t="s">
        <v>230</v>
      </c>
      <c r="M356" s="34"/>
      <c r="N356" s="34" t="str">
        <f aca="false">"Sector "&amp;VALUE(MID(D356,13,2))</f>
        <v>Sector 6</v>
      </c>
      <c r="O356" s="34" t="str">
        <f aca="false">IF(Dashboard!$C$5="Ubicación técnica",N356,"Sector "&amp;VALUE(RIGHT(G356,2)))</f>
        <v>Sector 6</v>
      </c>
      <c r="P356" s="34" t="str">
        <f aca="false">IF(MID(D356,15,3)="SEL","Subestación eléctrica","Área de proceso")</f>
        <v>Subestación eléctrica</v>
      </c>
      <c r="Q356" s="34" t="str">
        <f aca="false">MID(D356,13,5)&amp;"|"&amp;MID(D356,19,5)</f>
        <v>06SEL|S_029</v>
      </c>
      <c r="R356" s="34" t="str">
        <f aca="false">IF(P356="Subestación eléctrica",IFERROR(INDEX(cat_SubN,MATCH(Q356,cat_SubK,0)),"SIN CATALOGAR"),"ÁREA DE PROCESO")</f>
        <v>SE-29</v>
      </c>
      <c r="S356" s="34" t="str">
        <f aca="false">IF(H356="","SIN DATO",IFERROR(INDEX(cat_MarcaN,MATCH(H356,cat_MarcaO,0)),H356))</f>
        <v>ABB</v>
      </c>
      <c r="T356" s="34" t="str">
        <f aca="false">IF(I356="","SIN DATO",IFERROR(INDEX(cat_ModN,MATCH(I356,cat_ModO,0)),I356))</f>
        <v>REF615A_1G</v>
      </c>
      <c r="U356" s="34" t="str">
        <f aca="false">IF(I356="","",IFERROR(INDEX(cat_ModG,MATCH(I356,cat_ModO,0)),"No"))</f>
        <v>No</v>
      </c>
      <c r="V356" s="34" t="str">
        <f aca="false">IF(J356="","SIN DATO",IFERROR(INDEX(cat_FunN,MATCH(J356,cat_FunO,0)),J356))</f>
        <v>Protección</v>
      </c>
      <c r="W356" s="34" t="str">
        <f aca="false">IF(OR(S356="SIN DATO",T356="SIN DATO"),"No","Sí")</f>
        <v>Sí</v>
      </c>
    </row>
    <row r="357" customFormat="false" ht="15" hidden="false" customHeight="false" outlineLevel="0" collapsed="false">
      <c r="A357" s="34" t="s">
        <v>1533</v>
      </c>
      <c r="B357" s="34" t="s">
        <v>1534</v>
      </c>
      <c r="C357" s="34" t="s">
        <v>1535</v>
      </c>
      <c r="D357" s="34" t="s">
        <v>1536</v>
      </c>
      <c r="E357" s="34" t="s">
        <v>144</v>
      </c>
      <c r="F357" s="34" t="s">
        <v>1336</v>
      </c>
      <c r="G357" s="34" t="s">
        <v>300</v>
      </c>
      <c r="H357" s="34" t="s">
        <v>1358</v>
      </c>
      <c r="I357" s="34" t="s">
        <v>64</v>
      </c>
      <c r="J357" s="34" t="s">
        <v>681</v>
      </c>
      <c r="K357" s="34" t="s">
        <v>229</v>
      </c>
      <c r="L357" s="34" t="s">
        <v>230</v>
      </c>
      <c r="M357" s="34"/>
      <c r="N357" s="34" t="str">
        <f aca="false">"Sector "&amp;VALUE(MID(D357,13,2))</f>
        <v>Sector 6</v>
      </c>
      <c r="O357" s="34" t="str">
        <f aca="false">IF(Dashboard!$C$5="Ubicación técnica",N357,"Sector "&amp;VALUE(RIGHT(G357,2)))</f>
        <v>Sector 6</v>
      </c>
      <c r="P357" s="34" t="str">
        <f aca="false">IF(MID(D357,15,3)="SEL","Subestación eléctrica","Área de proceso")</f>
        <v>Subestación eléctrica</v>
      </c>
      <c r="Q357" s="34" t="str">
        <f aca="false">MID(D357,13,5)&amp;"|"&amp;MID(D357,19,5)</f>
        <v>06SEL|S_028</v>
      </c>
      <c r="R357" s="34" t="str">
        <f aca="false">IF(P357="Subestación eléctrica",IFERROR(INDEX(cat_SubN,MATCH(Q357,cat_SubK,0)),"SIN CATALOGAR"),"ÁREA DE PROCESO")</f>
        <v>SE-28</v>
      </c>
      <c r="S357" s="34" t="str">
        <f aca="false">IF(H357="","SIN DATO",IFERROR(INDEX(cat_MarcaN,MATCH(H357,cat_MarcaO,0)),H357))</f>
        <v>GENERAL ELECTRIC</v>
      </c>
      <c r="T357" s="34" t="str">
        <f aca="false">IF(I357="","SIN DATO",IFERROR(INDEX(cat_ModN,MATCH(I357,cat_ModO,0)),I357))</f>
        <v>MULTILIN 350</v>
      </c>
      <c r="U357" s="34" t="str">
        <f aca="false">IF(I357="","",IFERROR(INDEX(cat_ModG,MATCH(I357,cat_ModO,0)),"No"))</f>
        <v>No</v>
      </c>
      <c r="V357" s="34" t="str">
        <f aca="false">IF(J357="","SIN DATO",IFERROR(INDEX(cat_FunN,MATCH(J357,cat_FunO,0)),J357))</f>
        <v>Protección</v>
      </c>
      <c r="W357" s="34" t="str">
        <f aca="false">IF(OR(S357="SIN DATO",T357="SIN DATO"),"No","Sí")</f>
        <v>Sí</v>
      </c>
    </row>
    <row r="358" customFormat="false" ht="15" hidden="false" customHeight="false" outlineLevel="0" collapsed="false">
      <c r="A358" s="34" t="s">
        <v>1537</v>
      </c>
      <c r="B358" s="34" t="s">
        <v>1538</v>
      </c>
      <c r="C358" s="34" t="s">
        <v>1466</v>
      </c>
      <c r="D358" s="34" t="s">
        <v>1536</v>
      </c>
      <c r="E358" s="34" t="s">
        <v>144</v>
      </c>
      <c r="F358" s="34" t="s">
        <v>1336</v>
      </c>
      <c r="G358" s="34" t="s">
        <v>300</v>
      </c>
      <c r="H358" s="34" t="s">
        <v>55</v>
      </c>
      <c r="I358" s="34" t="s">
        <v>57</v>
      </c>
      <c r="J358" s="34" t="s">
        <v>58</v>
      </c>
      <c r="K358" s="34" t="s">
        <v>229</v>
      </c>
      <c r="L358" s="34" t="s">
        <v>230</v>
      </c>
      <c r="M358" s="34"/>
      <c r="N358" s="34" t="str">
        <f aca="false">"Sector "&amp;VALUE(MID(D358,13,2))</f>
        <v>Sector 6</v>
      </c>
      <c r="O358" s="34" t="str">
        <f aca="false">IF(Dashboard!$C$5="Ubicación técnica",N358,"Sector "&amp;VALUE(RIGHT(G358,2)))</f>
        <v>Sector 6</v>
      </c>
      <c r="P358" s="34" t="str">
        <f aca="false">IF(MID(D358,15,3)="SEL","Subestación eléctrica","Área de proceso")</f>
        <v>Subestación eléctrica</v>
      </c>
      <c r="Q358" s="34" t="str">
        <f aca="false">MID(D358,13,5)&amp;"|"&amp;MID(D358,19,5)</f>
        <v>06SEL|S_028</v>
      </c>
      <c r="R358" s="34" t="str">
        <f aca="false">IF(P358="Subestación eléctrica",IFERROR(INDEX(cat_SubN,MATCH(Q358,cat_SubK,0)),"SIN CATALOGAR"),"ÁREA DE PROCESO")</f>
        <v>SE-28</v>
      </c>
      <c r="S358" s="34" t="str">
        <f aca="false">IF(H358="","SIN DATO",IFERROR(INDEX(cat_MarcaN,MATCH(H358,cat_MarcaO,0)),H358))</f>
        <v>SEL</v>
      </c>
      <c r="T358" s="34" t="str">
        <f aca="false">IF(I358="","SIN DATO",IFERROR(INDEX(cat_ModN,MATCH(I358,cat_ModO,0)),I358))</f>
        <v>SEL-735</v>
      </c>
      <c r="U358" s="34" t="str">
        <f aca="false">IF(I358="","",IFERROR(INDEX(cat_ModG,MATCH(I358,cat_ModO,0)),"No"))</f>
        <v>No</v>
      </c>
      <c r="V358" s="34" t="str">
        <f aca="false">IF(J358="","SIN DATO",IFERROR(INDEX(cat_FunN,MATCH(J358,cat_FunO,0)),J358))</f>
        <v>Medición</v>
      </c>
      <c r="W358" s="34" t="str">
        <f aca="false">IF(OR(S358="SIN DATO",T358="SIN DATO"),"No","Sí")</f>
        <v>Sí</v>
      </c>
    </row>
    <row r="359" customFormat="false" ht="15" hidden="false" customHeight="false" outlineLevel="0" collapsed="false">
      <c r="A359" s="34" t="s">
        <v>1539</v>
      </c>
      <c r="B359" s="34" t="s">
        <v>1540</v>
      </c>
      <c r="C359" s="34" t="s">
        <v>1541</v>
      </c>
      <c r="D359" s="34" t="s">
        <v>1542</v>
      </c>
      <c r="E359" s="34" t="s">
        <v>144</v>
      </c>
      <c r="F359" s="34" t="s">
        <v>1336</v>
      </c>
      <c r="G359" s="34" t="s">
        <v>300</v>
      </c>
      <c r="H359" s="34" t="s">
        <v>1358</v>
      </c>
      <c r="I359" s="34" t="s">
        <v>64</v>
      </c>
      <c r="J359" s="34" t="s">
        <v>681</v>
      </c>
      <c r="K359" s="34" t="s">
        <v>229</v>
      </c>
      <c r="L359" s="34" t="s">
        <v>230</v>
      </c>
      <c r="M359" s="34"/>
      <c r="N359" s="34" t="str">
        <f aca="false">"Sector "&amp;VALUE(MID(D359,13,2))</f>
        <v>Sector 6</v>
      </c>
      <c r="O359" s="34" t="str">
        <f aca="false">IF(Dashboard!$C$5="Ubicación técnica",N359,"Sector "&amp;VALUE(RIGHT(G359,2)))</f>
        <v>Sector 6</v>
      </c>
      <c r="P359" s="34" t="str">
        <f aca="false">IF(MID(D359,15,3)="SEL","Subestación eléctrica","Área de proceso")</f>
        <v>Subestación eléctrica</v>
      </c>
      <c r="Q359" s="34" t="str">
        <f aca="false">MID(D359,13,5)&amp;"|"&amp;MID(D359,19,5)</f>
        <v>06SEL|S_028</v>
      </c>
      <c r="R359" s="34" t="str">
        <f aca="false">IF(P359="Subestación eléctrica",IFERROR(INDEX(cat_SubN,MATCH(Q359,cat_SubK,0)),"SIN CATALOGAR"),"ÁREA DE PROCESO")</f>
        <v>SE-28</v>
      </c>
      <c r="S359" s="34" t="str">
        <f aca="false">IF(H359="","SIN DATO",IFERROR(INDEX(cat_MarcaN,MATCH(H359,cat_MarcaO,0)),H359))</f>
        <v>GENERAL ELECTRIC</v>
      </c>
      <c r="T359" s="34" t="str">
        <f aca="false">IF(I359="","SIN DATO",IFERROR(INDEX(cat_ModN,MATCH(I359,cat_ModO,0)),I359))</f>
        <v>MULTILIN 350</v>
      </c>
      <c r="U359" s="34" t="str">
        <f aca="false">IF(I359="","",IFERROR(INDEX(cat_ModG,MATCH(I359,cat_ModO,0)),"No"))</f>
        <v>No</v>
      </c>
      <c r="V359" s="34" t="str">
        <f aca="false">IF(J359="","SIN DATO",IFERROR(INDEX(cat_FunN,MATCH(J359,cat_FunO,0)),J359))</f>
        <v>Protección</v>
      </c>
      <c r="W359" s="34" t="str">
        <f aca="false">IF(OR(S359="SIN DATO",T359="SIN DATO"),"No","Sí")</f>
        <v>Sí</v>
      </c>
    </row>
    <row r="360" customFormat="false" ht="15" hidden="false" customHeight="false" outlineLevel="0" collapsed="false">
      <c r="A360" s="34" t="s">
        <v>1543</v>
      </c>
      <c r="B360" s="34" t="s">
        <v>1544</v>
      </c>
      <c r="C360" s="34" t="s">
        <v>1545</v>
      </c>
      <c r="D360" s="34" t="s">
        <v>1542</v>
      </c>
      <c r="E360" s="34" t="s">
        <v>144</v>
      </c>
      <c r="F360" s="34" t="s">
        <v>1336</v>
      </c>
      <c r="G360" s="34" t="s">
        <v>300</v>
      </c>
      <c r="H360" s="34" t="s">
        <v>55</v>
      </c>
      <c r="I360" s="34" t="s">
        <v>57</v>
      </c>
      <c r="J360" s="34" t="s">
        <v>58</v>
      </c>
      <c r="K360" s="34" t="s">
        <v>229</v>
      </c>
      <c r="L360" s="34" t="s">
        <v>230</v>
      </c>
      <c r="M360" s="34"/>
      <c r="N360" s="34" t="str">
        <f aca="false">"Sector "&amp;VALUE(MID(D360,13,2))</f>
        <v>Sector 6</v>
      </c>
      <c r="O360" s="34" t="str">
        <f aca="false">IF(Dashboard!$C$5="Ubicación técnica",N360,"Sector "&amp;VALUE(RIGHT(G360,2)))</f>
        <v>Sector 6</v>
      </c>
      <c r="P360" s="34" t="str">
        <f aca="false">IF(MID(D360,15,3)="SEL","Subestación eléctrica","Área de proceso")</f>
        <v>Subestación eléctrica</v>
      </c>
      <c r="Q360" s="34" t="str">
        <f aca="false">MID(D360,13,5)&amp;"|"&amp;MID(D360,19,5)</f>
        <v>06SEL|S_028</v>
      </c>
      <c r="R360" s="34" t="str">
        <f aca="false">IF(P360="Subestación eléctrica",IFERROR(INDEX(cat_SubN,MATCH(Q360,cat_SubK,0)),"SIN CATALOGAR"),"ÁREA DE PROCESO")</f>
        <v>SE-28</v>
      </c>
      <c r="S360" s="34" t="str">
        <f aca="false">IF(H360="","SIN DATO",IFERROR(INDEX(cat_MarcaN,MATCH(H360,cat_MarcaO,0)),H360))</f>
        <v>SEL</v>
      </c>
      <c r="T360" s="34" t="str">
        <f aca="false">IF(I360="","SIN DATO",IFERROR(INDEX(cat_ModN,MATCH(I360,cat_ModO,0)),I360))</f>
        <v>SEL-735</v>
      </c>
      <c r="U360" s="34" t="str">
        <f aca="false">IF(I360="","",IFERROR(INDEX(cat_ModG,MATCH(I360,cat_ModO,0)),"No"))</f>
        <v>No</v>
      </c>
      <c r="V360" s="34" t="str">
        <f aca="false">IF(J360="","SIN DATO",IFERROR(INDEX(cat_FunN,MATCH(J360,cat_FunO,0)),J360))</f>
        <v>Medición</v>
      </c>
      <c r="W360" s="34" t="str">
        <f aca="false">IF(OR(S360="SIN DATO",T360="SIN DATO"),"No","Sí")</f>
        <v>Sí</v>
      </c>
    </row>
    <row r="361" customFormat="false" ht="15" hidden="false" customHeight="false" outlineLevel="0" collapsed="false">
      <c r="A361" s="34" t="s">
        <v>1546</v>
      </c>
      <c r="B361" s="34" t="s">
        <v>1547</v>
      </c>
      <c r="C361" s="34" t="s">
        <v>1548</v>
      </c>
      <c r="D361" s="34" t="s">
        <v>1549</v>
      </c>
      <c r="E361" s="34" t="s">
        <v>144</v>
      </c>
      <c r="F361" s="34" t="s">
        <v>1336</v>
      </c>
      <c r="G361" s="34" t="s">
        <v>300</v>
      </c>
      <c r="H361" s="34" t="s">
        <v>1358</v>
      </c>
      <c r="I361" s="34" t="s">
        <v>64</v>
      </c>
      <c r="J361" s="34" t="s">
        <v>681</v>
      </c>
      <c r="K361" s="34" t="s">
        <v>229</v>
      </c>
      <c r="L361" s="34" t="s">
        <v>230</v>
      </c>
      <c r="M361" s="34"/>
      <c r="N361" s="34" t="str">
        <f aca="false">"Sector "&amp;VALUE(MID(D361,13,2))</f>
        <v>Sector 6</v>
      </c>
      <c r="O361" s="34" t="str">
        <f aca="false">IF(Dashboard!$C$5="Ubicación técnica",N361,"Sector "&amp;VALUE(RIGHT(G361,2)))</f>
        <v>Sector 6</v>
      </c>
      <c r="P361" s="34" t="str">
        <f aca="false">IF(MID(D361,15,3)="SEL","Subestación eléctrica","Área de proceso")</f>
        <v>Subestación eléctrica</v>
      </c>
      <c r="Q361" s="34" t="str">
        <f aca="false">MID(D361,13,5)&amp;"|"&amp;MID(D361,19,5)</f>
        <v>06SEL|S_028</v>
      </c>
      <c r="R361" s="34" t="str">
        <f aca="false">IF(P361="Subestación eléctrica",IFERROR(INDEX(cat_SubN,MATCH(Q361,cat_SubK,0)),"SIN CATALOGAR"),"ÁREA DE PROCESO")</f>
        <v>SE-28</v>
      </c>
      <c r="S361" s="34" t="str">
        <f aca="false">IF(H361="","SIN DATO",IFERROR(INDEX(cat_MarcaN,MATCH(H361,cat_MarcaO,0)),H361))</f>
        <v>GENERAL ELECTRIC</v>
      </c>
      <c r="T361" s="34" t="str">
        <f aca="false">IF(I361="","SIN DATO",IFERROR(INDEX(cat_ModN,MATCH(I361,cat_ModO,0)),I361))</f>
        <v>MULTILIN 350</v>
      </c>
      <c r="U361" s="34" t="str">
        <f aca="false">IF(I361="","",IFERROR(INDEX(cat_ModG,MATCH(I361,cat_ModO,0)),"No"))</f>
        <v>No</v>
      </c>
      <c r="V361" s="34" t="str">
        <f aca="false">IF(J361="","SIN DATO",IFERROR(INDEX(cat_FunN,MATCH(J361,cat_FunO,0)),J361))</f>
        <v>Protección</v>
      </c>
      <c r="W361" s="34" t="str">
        <f aca="false">IF(OR(S361="SIN DATO",T361="SIN DATO"),"No","Sí")</f>
        <v>Sí</v>
      </c>
    </row>
    <row r="362" customFormat="false" ht="15" hidden="false" customHeight="false" outlineLevel="0" collapsed="false">
      <c r="A362" s="34" t="s">
        <v>1550</v>
      </c>
      <c r="B362" s="34" t="s">
        <v>1551</v>
      </c>
      <c r="C362" s="34" t="s">
        <v>1552</v>
      </c>
      <c r="D362" s="34" t="s">
        <v>1553</v>
      </c>
      <c r="E362" s="34" t="s">
        <v>144</v>
      </c>
      <c r="F362" s="34" t="s">
        <v>1336</v>
      </c>
      <c r="G362" s="34" t="s">
        <v>300</v>
      </c>
      <c r="H362" s="34" t="s">
        <v>1358</v>
      </c>
      <c r="I362" s="34" t="s">
        <v>64</v>
      </c>
      <c r="J362" s="34" t="s">
        <v>681</v>
      </c>
      <c r="K362" s="34" t="s">
        <v>229</v>
      </c>
      <c r="L362" s="34" t="s">
        <v>230</v>
      </c>
      <c r="M362" s="34"/>
      <c r="N362" s="34" t="str">
        <f aca="false">"Sector "&amp;VALUE(MID(D362,13,2))</f>
        <v>Sector 6</v>
      </c>
      <c r="O362" s="34" t="str">
        <f aca="false">IF(Dashboard!$C$5="Ubicación técnica",N362,"Sector "&amp;VALUE(RIGHT(G362,2)))</f>
        <v>Sector 6</v>
      </c>
      <c r="P362" s="34" t="str">
        <f aca="false">IF(MID(D362,15,3)="SEL","Subestación eléctrica","Área de proceso")</f>
        <v>Subestación eléctrica</v>
      </c>
      <c r="Q362" s="34" t="str">
        <f aca="false">MID(D362,13,5)&amp;"|"&amp;MID(D362,19,5)</f>
        <v>06SEL|S_028</v>
      </c>
      <c r="R362" s="34" t="str">
        <f aca="false">IF(P362="Subestación eléctrica",IFERROR(INDEX(cat_SubN,MATCH(Q362,cat_SubK,0)),"SIN CATALOGAR"),"ÁREA DE PROCESO")</f>
        <v>SE-28</v>
      </c>
      <c r="S362" s="34" t="str">
        <f aca="false">IF(H362="","SIN DATO",IFERROR(INDEX(cat_MarcaN,MATCH(H362,cat_MarcaO,0)),H362))</f>
        <v>GENERAL ELECTRIC</v>
      </c>
      <c r="T362" s="34" t="str">
        <f aca="false">IF(I362="","SIN DATO",IFERROR(INDEX(cat_ModN,MATCH(I362,cat_ModO,0)),I362))</f>
        <v>MULTILIN 350</v>
      </c>
      <c r="U362" s="34" t="str">
        <f aca="false">IF(I362="","",IFERROR(INDEX(cat_ModG,MATCH(I362,cat_ModO,0)),"No"))</f>
        <v>No</v>
      </c>
      <c r="V362" s="34" t="str">
        <f aca="false">IF(J362="","SIN DATO",IFERROR(INDEX(cat_FunN,MATCH(J362,cat_FunO,0)),J362))</f>
        <v>Protección</v>
      </c>
      <c r="W362" s="34" t="str">
        <f aca="false">IF(OR(S362="SIN DATO",T362="SIN DATO"),"No","Sí")</f>
        <v>Sí</v>
      </c>
    </row>
    <row r="363" customFormat="false" ht="15" hidden="false" customHeight="false" outlineLevel="0" collapsed="false">
      <c r="A363" s="34" t="s">
        <v>1554</v>
      </c>
      <c r="B363" s="34" t="s">
        <v>1555</v>
      </c>
      <c r="C363" s="34" t="s">
        <v>1556</v>
      </c>
      <c r="D363" s="34" t="s">
        <v>1557</v>
      </c>
      <c r="E363" s="34" t="s">
        <v>144</v>
      </c>
      <c r="F363" s="34" t="s">
        <v>1336</v>
      </c>
      <c r="G363" s="34" t="s">
        <v>300</v>
      </c>
      <c r="H363" s="34" t="s">
        <v>1358</v>
      </c>
      <c r="I363" s="34" t="s">
        <v>64</v>
      </c>
      <c r="J363" s="34" t="s">
        <v>681</v>
      </c>
      <c r="K363" s="34" t="s">
        <v>229</v>
      </c>
      <c r="L363" s="34" t="s">
        <v>230</v>
      </c>
      <c r="M363" s="34"/>
      <c r="N363" s="34" t="str">
        <f aca="false">"Sector "&amp;VALUE(MID(D363,13,2))</f>
        <v>Sector 6</v>
      </c>
      <c r="O363" s="34" t="str">
        <f aca="false">IF(Dashboard!$C$5="Ubicación técnica",N363,"Sector "&amp;VALUE(RIGHT(G363,2)))</f>
        <v>Sector 6</v>
      </c>
      <c r="P363" s="34" t="str">
        <f aca="false">IF(MID(D363,15,3)="SEL","Subestación eléctrica","Área de proceso")</f>
        <v>Subestación eléctrica</v>
      </c>
      <c r="Q363" s="34" t="str">
        <f aca="false">MID(D363,13,5)&amp;"|"&amp;MID(D363,19,5)</f>
        <v>06SEL|S_028</v>
      </c>
      <c r="R363" s="34" t="str">
        <f aca="false">IF(P363="Subestación eléctrica",IFERROR(INDEX(cat_SubN,MATCH(Q363,cat_SubK,0)),"SIN CATALOGAR"),"ÁREA DE PROCESO")</f>
        <v>SE-28</v>
      </c>
      <c r="S363" s="34" t="str">
        <f aca="false">IF(H363="","SIN DATO",IFERROR(INDEX(cat_MarcaN,MATCH(H363,cat_MarcaO,0)),H363))</f>
        <v>GENERAL ELECTRIC</v>
      </c>
      <c r="T363" s="34" t="str">
        <f aca="false">IF(I363="","SIN DATO",IFERROR(INDEX(cat_ModN,MATCH(I363,cat_ModO,0)),I363))</f>
        <v>MULTILIN 350</v>
      </c>
      <c r="U363" s="34" t="str">
        <f aca="false">IF(I363="","",IFERROR(INDEX(cat_ModG,MATCH(I363,cat_ModO,0)),"No"))</f>
        <v>No</v>
      </c>
      <c r="V363" s="34" t="str">
        <f aca="false">IF(J363="","SIN DATO",IFERROR(INDEX(cat_FunN,MATCH(J363,cat_FunO,0)),J363))</f>
        <v>Protección</v>
      </c>
      <c r="W363" s="34" t="str">
        <f aca="false">IF(OR(S363="SIN DATO",T363="SIN DATO"),"No","Sí")</f>
        <v>Sí</v>
      </c>
    </row>
    <row r="364" customFormat="false" ht="15" hidden="false" customHeight="false" outlineLevel="0" collapsed="false">
      <c r="A364" s="34" t="s">
        <v>1558</v>
      </c>
      <c r="B364" s="34" t="s">
        <v>1559</v>
      </c>
      <c r="C364" s="34" t="s">
        <v>1560</v>
      </c>
      <c r="D364" s="34" t="s">
        <v>1561</v>
      </c>
      <c r="E364" s="34" t="s">
        <v>144</v>
      </c>
      <c r="F364" s="34" t="s">
        <v>1336</v>
      </c>
      <c r="G364" s="34" t="s">
        <v>300</v>
      </c>
      <c r="H364" s="34" t="s">
        <v>1358</v>
      </c>
      <c r="I364" s="34" t="s">
        <v>64</v>
      </c>
      <c r="J364" s="34" t="s">
        <v>681</v>
      </c>
      <c r="K364" s="34" t="s">
        <v>229</v>
      </c>
      <c r="L364" s="34" t="s">
        <v>230</v>
      </c>
      <c r="M364" s="34"/>
      <c r="N364" s="34" t="str">
        <f aca="false">"Sector "&amp;VALUE(MID(D364,13,2))</f>
        <v>Sector 6</v>
      </c>
      <c r="O364" s="34" t="str">
        <f aca="false">IF(Dashboard!$C$5="Ubicación técnica",N364,"Sector "&amp;VALUE(RIGHT(G364,2)))</f>
        <v>Sector 6</v>
      </c>
      <c r="P364" s="34" t="str">
        <f aca="false">IF(MID(D364,15,3)="SEL","Subestación eléctrica","Área de proceso")</f>
        <v>Subestación eléctrica</v>
      </c>
      <c r="Q364" s="34" t="str">
        <f aca="false">MID(D364,13,5)&amp;"|"&amp;MID(D364,19,5)</f>
        <v>06SEL|S_028</v>
      </c>
      <c r="R364" s="34" t="str">
        <f aca="false">IF(P364="Subestación eléctrica",IFERROR(INDEX(cat_SubN,MATCH(Q364,cat_SubK,0)),"SIN CATALOGAR"),"ÁREA DE PROCESO")</f>
        <v>SE-28</v>
      </c>
      <c r="S364" s="34" t="str">
        <f aca="false">IF(H364="","SIN DATO",IFERROR(INDEX(cat_MarcaN,MATCH(H364,cat_MarcaO,0)),H364))</f>
        <v>GENERAL ELECTRIC</v>
      </c>
      <c r="T364" s="34" t="str">
        <f aca="false">IF(I364="","SIN DATO",IFERROR(INDEX(cat_ModN,MATCH(I364,cat_ModO,0)),I364))</f>
        <v>MULTILIN 350</v>
      </c>
      <c r="U364" s="34" t="str">
        <f aca="false">IF(I364="","",IFERROR(INDEX(cat_ModG,MATCH(I364,cat_ModO,0)),"No"))</f>
        <v>No</v>
      </c>
      <c r="V364" s="34" t="str">
        <f aca="false">IF(J364="","SIN DATO",IFERROR(INDEX(cat_FunN,MATCH(J364,cat_FunO,0)),J364))</f>
        <v>Protección</v>
      </c>
      <c r="W364" s="34" t="str">
        <f aca="false">IF(OR(S364="SIN DATO",T364="SIN DATO"),"No","Sí")</f>
        <v>Sí</v>
      </c>
    </row>
    <row r="365" customFormat="false" ht="15" hidden="false" customHeight="false" outlineLevel="0" collapsed="false">
      <c r="A365" s="34" t="s">
        <v>1562</v>
      </c>
      <c r="B365" s="34" t="s">
        <v>1563</v>
      </c>
      <c r="C365" s="34" t="s">
        <v>1564</v>
      </c>
      <c r="D365" s="34" t="s">
        <v>1565</v>
      </c>
      <c r="E365" s="34" t="s">
        <v>144</v>
      </c>
      <c r="F365" s="34" t="s">
        <v>1336</v>
      </c>
      <c r="G365" s="34" t="s">
        <v>300</v>
      </c>
      <c r="H365" s="34" t="s">
        <v>1358</v>
      </c>
      <c r="I365" s="34" t="s">
        <v>64</v>
      </c>
      <c r="J365" s="34" t="s">
        <v>681</v>
      </c>
      <c r="K365" s="34" t="s">
        <v>229</v>
      </c>
      <c r="L365" s="34" t="s">
        <v>230</v>
      </c>
      <c r="M365" s="34"/>
      <c r="N365" s="34" t="str">
        <f aca="false">"Sector "&amp;VALUE(MID(D365,13,2))</f>
        <v>Sector 6</v>
      </c>
      <c r="O365" s="34" t="str">
        <f aca="false">IF(Dashboard!$C$5="Ubicación técnica",N365,"Sector "&amp;VALUE(RIGHT(G365,2)))</f>
        <v>Sector 6</v>
      </c>
      <c r="P365" s="34" t="str">
        <f aca="false">IF(MID(D365,15,3)="SEL","Subestación eléctrica","Área de proceso")</f>
        <v>Subestación eléctrica</v>
      </c>
      <c r="Q365" s="34" t="str">
        <f aca="false">MID(D365,13,5)&amp;"|"&amp;MID(D365,19,5)</f>
        <v>06SEL|S_028</v>
      </c>
      <c r="R365" s="34" t="str">
        <f aca="false">IF(P365="Subestación eléctrica",IFERROR(INDEX(cat_SubN,MATCH(Q365,cat_SubK,0)),"SIN CATALOGAR"),"ÁREA DE PROCESO")</f>
        <v>SE-28</v>
      </c>
      <c r="S365" s="34" t="str">
        <f aca="false">IF(H365="","SIN DATO",IFERROR(INDEX(cat_MarcaN,MATCH(H365,cat_MarcaO,0)),H365))</f>
        <v>GENERAL ELECTRIC</v>
      </c>
      <c r="T365" s="34" t="str">
        <f aca="false">IF(I365="","SIN DATO",IFERROR(INDEX(cat_ModN,MATCH(I365,cat_ModO,0)),I365))</f>
        <v>MULTILIN 350</v>
      </c>
      <c r="U365" s="34" t="str">
        <f aca="false">IF(I365="","",IFERROR(INDEX(cat_ModG,MATCH(I365,cat_ModO,0)),"No"))</f>
        <v>No</v>
      </c>
      <c r="V365" s="34" t="str">
        <f aca="false">IF(J365="","SIN DATO",IFERROR(INDEX(cat_FunN,MATCH(J365,cat_FunO,0)),J365))</f>
        <v>Protección</v>
      </c>
      <c r="W365" s="34" t="str">
        <f aca="false">IF(OR(S365="SIN DATO",T365="SIN DATO"),"No","Sí")</f>
        <v>Sí</v>
      </c>
    </row>
    <row r="366" customFormat="false" ht="15" hidden="false" customHeight="false" outlineLevel="0" collapsed="false">
      <c r="A366" s="34" t="s">
        <v>1566</v>
      </c>
      <c r="B366" s="34" t="s">
        <v>1567</v>
      </c>
      <c r="C366" s="34" t="s">
        <v>1568</v>
      </c>
      <c r="D366" s="34" t="s">
        <v>1520</v>
      </c>
      <c r="E366" s="34" t="s">
        <v>144</v>
      </c>
      <c r="F366" s="34" t="s">
        <v>1336</v>
      </c>
      <c r="G366" s="34" t="s">
        <v>300</v>
      </c>
      <c r="H366" s="34" t="s">
        <v>34</v>
      </c>
      <c r="I366" s="34" t="s">
        <v>37</v>
      </c>
      <c r="J366" s="34" t="s">
        <v>681</v>
      </c>
      <c r="K366" s="34" t="s">
        <v>229</v>
      </c>
      <c r="L366" s="34" t="s">
        <v>230</v>
      </c>
      <c r="M366" s="34"/>
      <c r="N366" s="34" t="str">
        <f aca="false">"Sector "&amp;VALUE(MID(D366,13,2))</f>
        <v>Sector 6</v>
      </c>
      <c r="O366" s="34" t="str">
        <f aca="false">IF(Dashboard!$C$5="Ubicación técnica",N366,"Sector "&amp;VALUE(RIGHT(G366,2)))</f>
        <v>Sector 6</v>
      </c>
      <c r="P366" s="34" t="str">
        <f aca="false">IF(MID(D366,15,3)="SEL","Subestación eléctrica","Área de proceso")</f>
        <v>Subestación eléctrica</v>
      </c>
      <c r="Q366" s="34" t="str">
        <f aca="false">MID(D366,13,5)&amp;"|"&amp;MID(D366,19,5)</f>
        <v>06SEL|S_028</v>
      </c>
      <c r="R366" s="34" t="str">
        <f aca="false">IF(P366="Subestación eléctrica",IFERROR(INDEX(cat_SubN,MATCH(Q366,cat_SubK,0)),"SIN CATALOGAR"),"ÁREA DE PROCESO")</f>
        <v>SE-28</v>
      </c>
      <c r="S366" s="34" t="str">
        <f aca="false">IF(H366="","SIN DATO",IFERROR(INDEX(cat_MarcaN,MATCH(H366,cat_MarcaO,0)),H366))</f>
        <v>ABB</v>
      </c>
      <c r="T366" s="34" t="str">
        <f aca="false">IF(I366="","SIN DATO",IFERROR(INDEX(cat_ModN,MATCH(I366,cat_ModO,0)),I366))</f>
        <v>REF615A_1G</v>
      </c>
      <c r="U366" s="34" t="str">
        <f aca="false">IF(I366="","",IFERROR(INDEX(cat_ModG,MATCH(I366,cat_ModO,0)),"No"))</f>
        <v>No</v>
      </c>
      <c r="V366" s="34" t="str">
        <f aca="false">IF(J366="","SIN DATO",IFERROR(INDEX(cat_FunN,MATCH(J366,cat_FunO,0)),J366))</f>
        <v>Protección</v>
      </c>
      <c r="W366" s="34" t="str">
        <f aca="false">IF(OR(S366="SIN DATO",T366="SIN DATO"),"No","Sí")</f>
        <v>Sí</v>
      </c>
    </row>
    <row r="367" customFormat="false" ht="15" hidden="false" customHeight="false" outlineLevel="0" collapsed="false">
      <c r="A367" s="34" t="s">
        <v>1569</v>
      </c>
      <c r="B367" s="34" t="s">
        <v>1570</v>
      </c>
      <c r="C367" s="34" t="s">
        <v>1571</v>
      </c>
      <c r="D367" s="34" t="s">
        <v>1520</v>
      </c>
      <c r="E367" s="34" t="s">
        <v>144</v>
      </c>
      <c r="F367" s="34" t="s">
        <v>1336</v>
      </c>
      <c r="G367" s="34" t="s">
        <v>300</v>
      </c>
      <c r="H367" s="34" t="s">
        <v>34</v>
      </c>
      <c r="I367" s="34" t="s">
        <v>1341</v>
      </c>
      <c r="J367" s="34" t="s">
        <v>681</v>
      </c>
      <c r="K367" s="34" t="s">
        <v>229</v>
      </c>
      <c r="L367" s="34" t="s">
        <v>230</v>
      </c>
      <c r="M367" s="34"/>
      <c r="N367" s="34" t="str">
        <f aca="false">"Sector "&amp;VALUE(MID(D367,13,2))</f>
        <v>Sector 6</v>
      </c>
      <c r="O367" s="34" t="str">
        <f aca="false">IF(Dashboard!$C$5="Ubicación técnica",N367,"Sector "&amp;VALUE(RIGHT(G367,2)))</f>
        <v>Sector 6</v>
      </c>
      <c r="P367" s="34" t="str">
        <f aca="false">IF(MID(D367,15,3)="SEL","Subestación eléctrica","Área de proceso")</f>
        <v>Subestación eléctrica</v>
      </c>
      <c r="Q367" s="34" t="str">
        <f aca="false">MID(D367,13,5)&amp;"|"&amp;MID(D367,19,5)</f>
        <v>06SEL|S_028</v>
      </c>
      <c r="R367" s="34" t="str">
        <f aca="false">IF(P367="Subestación eléctrica",IFERROR(INDEX(cat_SubN,MATCH(Q367,cat_SubK,0)),"SIN CATALOGAR"),"ÁREA DE PROCESO")</f>
        <v>SE-28</v>
      </c>
      <c r="S367" s="34" t="str">
        <f aca="false">IF(H367="","SIN DATO",IFERROR(INDEX(cat_MarcaN,MATCH(H367,cat_MarcaO,0)),H367))</f>
        <v>ABB</v>
      </c>
      <c r="T367" s="34" t="str">
        <f aca="false">IF(I367="","SIN DATO",IFERROR(INDEX(cat_ModN,MATCH(I367,cat_ModO,0)),I367))</f>
        <v>REA 101</v>
      </c>
      <c r="U367" s="34" t="str">
        <f aca="false">IF(I367="","",IFERROR(INDEX(cat_ModG,MATCH(I367,cat_ModO,0)),"No"))</f>
        <v>No</v>
      </c>
      <c r="V367" s="34" t="str">
        <f aca="false">IF(J367="","SIN DATO",IFERROR(INDEX(cat_FunN,MATCH(J367,cat_FunO,0)),J367))</f>
        <v>Protección</v>
      </c>
      <c r="W367" s="34" t="str">
        <f aca="false">IF(OR(S367="SIN DATO",T367="SIN DATO"),"No","Sí")</f>
        <v>Sí</v>
      </c>
    </row>
    <row r="368" customFormat="false" ht="15" hidden="false" customHeight="false" outlineLevel="0" collapsed="false">
      <c r="A368" s="34" t="s">
        <v>1572</v>
      </c>
      <c r="B368" s="34" t="s">
        <v>1573</v>
      </c>
      <c r="C368" s="34" t="s">
        <v>1574</v>
      </c>
      <c r="D368" s="34" t="s">
        <v>1520</v>
      </c>
      <c r="E368" s="34" t="s">
        <v>144</v>
      </c>
      <c r="F368" s="34" t="s">
        <v>1336</v>
      </c>
      <c r="G368" s="34" t="s">
        <v>300</v>
      </c>
      <c r="H368" s="34" t="s">
        <v>34</v>
      </c>
      <c r="I368" s="34" t="s">
        <v>37</v>
      </c>
      <c r="J368" s="34" t="s">
        <v>681</v>
      </c>
      <c r="K368" s="34" t="s">
        <v>229</v>
      </c>
      <c r="L368" s="34" t="s">
        <v>230</v>
      </c>
      <c r="M368" s="34"/>
      <c r="N368" s="34" t="str">
        <f aca="false">"Sector "&amp;VALUE(MID(D368,13,2))</f>
        <v>Sector 6</v>
      </c>
      <c r="O368" s="34" t="str">
        <f aca="false">IF(Dashboard!$C$5="Ubicación técnica",N368,"Sector "&amp;VALUE(RIGHT(G368,2)))</f>
        <v>Sector 6</v>
      </c>
      <c r="P368" s="34" t="str">
        <f aca="false">IF(MID(D368,15,3)="SEL","Subestación eléctrica","Área de proceso")</f>
        <v>Subestación eléctrica</v>
      </c>
      <c r="Q368" s="34" t="str">
        <f aca="false">MID(D368,13,5)&amp;"|"&amp;MID(D368,19,5)</f>
        <v>06SEL|S_028</v>
      </c>
      <c r="R368" s="34" t="str">
        <f aca="false">IF(P368="Subestación eléctrica",IFERROR(INDEX(cat_SubN,MATCH(Q368,cat_SubK,0)),"SIN CATALOGAR"),"ÁREA DE PROCESO")</f>
        <v>SE-28</v>
      </c>
      <c r="S368" s="34" t="str">
        <f aca="false">IF(H368="","SIN DATO",IFERROR(INDEX(cat_MarcaN,MATCH(H368,cat_MarcaO,0)),H368))</f>
        <v>ABB</v>
      </c>
      <c r="T368" s="34" t="str">
        <f aca="false">IF(I368="","SIN DATO",IFERROR(INDEX(cat_ModN,MATCH(I368,cat_ModO,0)),I368))</f>
        <v>REF615A_1G</v>
      </c>
      <c r="U368" s="34" t="str">
        <f aca="false">IF(I368="","",IFERROR(INDEX(cat_ModG,MATCH(I368,cat_ModO,0)),"No"))</f>
        <v>No</v>
      </c>
      <c r="V368" s="34" t="str">
        <f aca="false">IF(J368="","SIN DATO",IFERROR(INDEX(cat_FunN,MATCH(J368,cat_FunO,0)),J368))</f>
        <v>Protección</v>
      </c>
      <c r="W368" s="34" t="str">
        <f aca="false">IF(OR(S368="SIN DATO",T368="SIN DATO"),"No","Sí")</f>
        <v>Sí</v>
      </c>
    </row>
    <row r="369" customFormat="false" ht="15" hidden="false" customHeight="false" outlineLevel="0" collapsed="false">
      <c r="A369" s="34" t="s">
        <v>1575</v>
      </c>
      <c r="B369" s="34" t="s">
        <v>1576</v>
      </c>
      <c r="C369" s="34" t="s">
        <v>1577</v>
      </c>
      <c r="D369" s="34" t="s">
        <v>1520</v>
      </c>
      <c r="E369" s="34" t="s">
        <v>144</v>
      </c>
      <c r="F369" s="34" t="s">
        <v>1336</v>
      </c>
      <c r="G369" s="34" t="s">
        <v>300</v>
      </c>
      <c r="H369" s="34" t="s">
        <v>34</v>
      </c>
      <c r="I369" s="34" t="s">
        <v>37</v>
      </c>
      <c r="J369" s="34" t="s">
        <v>681</v>
      </c>
      <c r="K369" s="34" t="s">
        <v>229</v>
      </c>
      <c r="L369" s="34" t="s">
        <v>230</v>
      </c>
      <c r="M369" s="34"/>
      <c r="N369" s="34" t="str">
        <f aca="false">"Sector "&amp;VALUE(MID(D369,13,2))</f>
        <v>Sector 6</v>
      </c>
      <c r="O369" s="34" t="str">
        <f aca="false">IF(Dashboard!$C$5="Ubicación técnica",N369,"Sector "&amp;VALUE(RIGHT(G369,2)))</f>
        <v>Sector 6</v>
      </c>
      <c r="P369" s="34" t="str">
        <f aca="false">IF(MID(D369,15,3)="SEL","Subestación eléctrica","Área de proceso")</f>
        <v>Subestación eléctrica</v>
      </c>
      <c r="Q369" s="34" t="str">
        <f aca="false">MID(D369,13,5)&amp;"|"&amp;MID(D369,19,5)</f>
        <v>06SEL|S_028</v>
      </c>
      <c r="R369" s="34" t="str">
        <f aca="false">IF(P369="Subestación eléctrica",IFERROR(INDEX(cat_SubN,MATCH(Q369,cat_SubK,0)),"SIN CATALOGAR"),"ÁREA DE PROCESO")</f>
        <v>SE-28</v>
      </c>
      <c r="S369" s="34" t="str">
        <f aca="false">IF(H369="","SIN DATO",IFERROR(INDEX(cat_MarcaN,MATCH(H369,cat_MarcaO,0)),H369))</f>
        <v>ABB</v>
      </c>
      <c r="T369" s="34" t="str">
        <f aca="false">IF(I369="","SIN DATO",IFERROR(INDEX(cat_ModN,MATCH(I369,cat_ModO,0)),I369))</f>
        <v>REF615A_1G</v>
      </c>
      <c r="U369" s="34" t="str">
        <f aca="false">IF(I369="","",IFERROR(INDEX(cat_ModG,MATCH(I369,cat_ModO,0)),"No"))</f>
        <v>No</v>
      </c>
      <c r="V369" s="34" t="str">
        <f aca="false">IF(J369="","SIN DATO",IFERROR(INDEX(cat_FunN,MATCH(J369,cat_FunO,0)),J369))</f>
        <v>Protección</v>
      </c>
      <c r="W369" s="34" t="str">
        <f aca="false">IF(OR(S369="SIN DATO",T369="SIN DATO"),"No","Sí")</f>
        <v>Sí</v>
      </c>
    </row>
    <row r="370" customFormat="false" ht="15" hidden="false" customHeight="false" outlineLevel="0" collapsed="false">
      <c r="A370" s="34" t="s">
        <v>1578</v>
      </c>
      <c r="B370" s="34" t="s">
        <v>1579</v>
      </c>
      <c r="C370" s="34" t="s">
        <v>1580</v>
      </c>
      <c r="D370" s="34" t="s">
        <v>1520</v>
      </c>
      <c r="E370" s="34" t="s">
        <v>144</v>
      </c>
      <c r="F370" s="34" t="s">
        <v>1336</v>
      </c>
      <c r="G370" s="34" t="s">
        <v>300</v>
      </c>
      <c r="H370" s="34" t="s">
        <v>34</v>
      </c>
      <c r="I370" s="34" t="s">
        <v>37</v>
      </c>
      <c r="J370" s="34" t="s">
        <v>681</v>
      </c>
      <c r="K370" s="34" t="s">
        <v>229</v>
      </c>
      <c r="L370" s="34" t="s">
        <v>230</v>
      </c>
      <c r="M370" s="34"/>
      <c r="N370" s="34" t="str">
        <f aca="false">"Sector "&amp;VALUE(MID(D370,13,2))</f>
        <v>Sector 6</v>
      </c>
      <c r="O370" s="34" t="str">
        <f aca="false">IF(Dashboard!$C$5="Ubicación técnica",N370,"Sector "&amp;VALUE(RIGHT(G370,2)))</f>
        <v>Sector 6</v>
      </c>
      <c r="P370" s="34" t="str">
        <f aca="false">IF(MID(D370,15,3)="SEL","Subestación eléctrica","Área de proceso")</f>
        <v>Subestación eléctrica</v>
      </c>
      <c r="Q370" s="34" t="str">
        <f aca="false">MID(D370,13,5)&amp;"|"&amp;MID(D370,19,5)</f>
        <v>06SEL|S_028</v>
      </c>
      <c r="R370" s="34" t="str">
        <f aca="false">IF(P370="Subestación eléctrica",IFERROR(INDEX(cat_SubN,MATCH(Q370,cat_SubK,0)),"SIN CATALOGAR"),"ÁREA DE PROCESO")</f>
        <v>SE-28</v>
      </c>
      <c r="S370" s="34" t="str">
        <f aca="false">IF(H370="","SIN DATO",IFERROR(INDEX(cat_MarcaN,MATCH(H370,cat_MarcaO,0)),H370))</f>
        <v>ABB</v>
      </c>
      <c r="T370" s="34" t="str">
        <f aca="false">IF(I370="","SIN DATO",IFERROR(INDEX(cat_ModN,MATCH(I370,cat_ModO,0)),I370))</f>
        <v>REF615A_1G</v>
      </c>
      <c r="U370" s="34" t="str">
        <f aca="false">IF(I370="","",IFERROR(INDEX(cat_ModG,MATCH(I370,cat_ModO,0)),"No"))</f>
        <v>No</v>
      </c>
      <c r="V370" s="34" t="str">
        <f aca="false">IF(J370="","SIN DATO",IFERROR(INDEX(cat_FunN,MATCH(J370,cat_FunO,0)),J370))</f>
        <v>Protección</v>
      </c>
      <c r="W370" s="34" t="str">
        <f aca="false">IF(OR(S370="SIN DATO",T370="SIN DATO"),"No","Sí")</f>
        <v>Sí</v>
      </c>
    </row>
    <row r="371" customFormat="false" ht="15" hidden="false" customHeight="false" outlineLevel="0" collapsed="false">
      <c r="A371" s="34" t="s">
        <v>1581</v>
      </c>
      <c r="B371" s="34" t="s">
        <v>1582</v>
      </c>
      <c r="C371" s="34" t="s">
        <v>1583</v>
      </c>
      <c r="D371" s="34" t="s">
        <v>1584</v>
      </c>
      <c r="E371" s="34" t="s">
        <v>144</v>
      </c>
      <c r="F371" s="34" t="s">
        <v>1336</v>
      </c>
      <c r="G371" s="34" t="s">
        <v>300</v>
      </c>
      <c r="H371" s="34" t="s">
        <v>1358</v>
      </c>
      <c r="I371" s="34" t="s">
        <v>64</v>
      </c>
      <c r="J371" s="34" t="s">
        <v>681</v>
      </c>
      <c r="K371" s="34" t="s">
        <v>229</v>
      </c>
      <c r="L371" s="34" t="s">
        <v>230</v>
      </c>
      <c r="M371" s="34"/>
      <c r="N371" s="34" t="str">
        <f aca="false">"Sector "&amp;VALUE(MID(D371,13,2))</f>
        <v>Sector 6</v>
      </c>
      <c r="O371" s="34" t="str">
        <f aca="false">IF(Dashboard!$C$5="Ubicación técnica",N371,"Sector "&amp;VALUE(RIGHT(G371,2)))</f>
        <v>Sector 6</v>
      </c>
      <c r="P371" s="34" t="str">
        <f aca="false">IF(MID(D371,15,3)="SEL","Subestación eléctrica","Área de proceso")</f>
        <v>Subestación eléctrica</v>
      </c>
      <c r="Q371" s="34" t="str">
        <f aca="false">MID(D371,13,5)&amp;"|"&amp;MID(D371,19,5)</f>
        <v>06SEL|S_028</v>
      </c>
      <c r="R371" s="34" t="str">
        <f aca="false">IF(P371="Subestación eléctrica",IFERROR(INDEX(cat_SubN,MATCH(Q371,cat_SubK,0)),"SIN CATALOGAR"),"ÁREA DE PROCESO")</f>
        <v>SE-28</v>
      </c>
      <c r="S371" s="34" t="str">
        <f aca="false">IF(H371="","SIN DATO",IFERROR(INDEX(cat_MarcaN,MATCH(H371,cat_MarcaO,0)),H371))</f>
        <v>GENERAL ELECTRIC</v>
      </c>
      <c r="T371" s="34" t="str">
        <f aca="false">IF(I371="","SIN DATO",IFERROR(INDEX(cat_ModN,MATCH(I371,cat_ModO,0)),I371))</f>
        <v>MULTILIN 350</v>
      </c>
      <c r="U371" s="34" t="str">
        <f aca="false">IF(I371="","",IFERROR(INDEX(cat_ModG,MATCH(I371,cat_ModO,0)),"No"))</f>
        <v>No</v>
      </c>
      <c r="V371" s="34" t="str">
        <f aca="false">IF(J371="","SIN DATO",IFERROR(INDEX(cat_FunN,MATCH(J371,cat_FunO,0)),J371))</f>
        <v>Protección</v>
      </c>
      <c r="W371" s="34" t="str">
        <f aca="false">IF(OR(S371="SIN DATO",T371="SIN DATO"),"No","Sí")</f>
        <v>Sí</v>
      </c>
    </row>
    <row r="372" customFormat="false" ht="15" hidden="false" customHeight="false" outlineLevel="0" collapsed="false">
      <c r="A372" s="34" t="s">
        <v>1585</v>
      </c>
      <c r="B372" s="34" t="s">
        <v>1586</v>
      </c>
      <c r="C372" s="34" t="s">
        <v>1587</v>
      </c>
      <c r="D372" s="34" t="s">
        <v>1588</v>
      </c>
      <c r="E372" s="34" t="s">
        <v>144</v>
      </c>
      <c r="F372" s="34" t="s">
        <v>1336</v>
      </c>
      <c r="G372" s="34" t="s">
        <v>300</v>
      </c>
      <c r="H372" s="34" t="s">
        <v>1358</v>
      </c>
      <c r="I372" s="34" t="s">
        <v>64</v>
      </c>
      <c r="J372" s="34" t="s">
        <v>681</v>
      </c>
      <c r="K372" s="34" t="s">
        <v>229</v>
      </c>
      <c r="L372" s="34" t="s">
        <v>230</v>
      </c>
      <c r="M372" s="34"/>
      <c r="N372" s="34" t="str">
        <f aca="false">"Sector "&amp;VALUE(MID(D372,13,2))</f>
        <v>Sector 6</v>
      </c>
      <c r="O372" s="34" t="str">
        <f aca="false">IF(Dashboard!$C$5="Ubicación técnica",N372,"Sector "&amp;VALUE(RIGHT(G372,2)))</f>
        <v>Sector 6</v>
      </c>
      <c r="P372" s="34" t="str">
        <f aca="false">IF(MID(D372,15,3)="SEL","Subestación eléctrica","Área de proceso")</f>
        <v>Subestación eléctrica</v>
      </c>
      <c r="Q372" s="34" t="str">
        <f aca="false">MID(D372,13,5)&amp;"|"&amp;MID(D372,19,5)</f>
        <v>06SEL|S_028</v>
      </c>
      <c r="R372" s="34" t="str">
        <f aca="false">IF(P372="Subestación eléctrica",IFERROR(INDEX(cat_SubN,MATCH(Q372,cat_SubK,0)),"SIN CATALOGAR"),"ÁREA DE PROCESO")</f>
        <v>SE-28</v>
      </c>
      <c r="S372" s="34" t="str">
        <f aca="false">IF(H372="","SIN DATO",IFERROR(INDEX(cat_MarcaN,MATCH(H372,cat_MarcaO,0)),H372))</f>
        <v>GENERAL ELECTRIC</v>
      </c>
      <c r="T372" s="34" t="str">
        <f aca="false">IF(I372="","SIN DATO",IFERROR(INDEX(cat_ModN,MATCH(I372,cat_ModO,0)),I372))</f>
        <v>MULTILIN 350</v>
      </c>
      <c r="U372" s="34" t="str">
        <f aca="false">IF(I372="","",IFERROR(INDEX(cat_ModG,MATCH(I372,cat_ModO,0)),"No"))</f>
        <v>No</v>
      </c>
      <c r="V372" s="34" t="str">
        <f aca="false">IF(J372="","SIN DATO",IFERROR(INDEX(cat_FunN,MATCH(J372,cat_FunO,0)),J372))</f>
        <v>Protección</v>
      </c>
      <c r="W372" s="34" t="str">
        <f aca="false">IF(OR(S372="SIN DATO",T372="SIN DATO"),"No","Sí")</f>
        <v>Sí</v>
      </c>
    </row>
    <row r="373" customFormat="false" ht="15" hidden="false" customHeight="false" outlineLevel="0" collapsed="false">
      <c r="A373" s="34" t="s">
        <v>1589</v>
      </c>
      <c r="B373" s="34" t="s">
        <v>1590</v>
      </c>
      <c r="C373" s="34" t="s">
        <v>1591</v>
      </c>
      <c r="D373" s="34" t="s">
        <v>1592</v>
      </c>
      <c r="E373" s="34" t="s">
        <v>144</v>
      </c>
      <c r="F373" s="34" t="s">
        <v>1336</v>
      </c>
      <c r="G373" s="34" t="s">
        <v>300</v>
      </c>
      <c r="H373" s="34" t="s">
        <v>1358</v>
      </c>
      <c r="I373" s="34" t="s">
        <v>64</v>
      </c>
      <c r="J373" s="34" t="s">
        <v>681</v>
      </c>
      <c r="K373" s="34" t="s">
        <v>229</v>
      </c>
      <c r="L373" s="34" t="s">
        <v>230</v>
      </c>
      <c r="M373" s="34"/>
      <c r="N373" s="34" t="str">
        <f aca="false">"Sector "&amp;VALUE(MID(D373,13,2))</f>
        <v>Sector 6</v>
      </c>
      <c r="O373" s="34" t="str">
        <f aca="false">IF(Dashboard!$C$5="Ubicación técnica",N373,"Sector "&amp;VALUE(RIGHT(G373,2)))</f>
        <v>Sector 6</v>
      </c>
      <c r="P373" s="34" t="str">
        <f aca="false">IF(MID(D373,15,3)="SEL","Subestación eléctrica","Área de proceso")</f>
        <v>Subestación eléctrica</v>
      </c>
      <c r="Q373" s="34" t="str">
        <f aca="false">MID(D373,13,5)&amp;"|"&amp;MID(D373,19,5)</f>
        <v>06SEL|S_028</v>
      </c>
      <c r="R373" s="34" t="str">
        <f aca="false">IF(P373="Subestación eléctrica",IFERROR(INDEX(cat_SubN,MATCH(Q373,cat_SubK,0)),"SIN CATALOGAR"),"ÁREA DE PROCESO")</f>
        <v>SE-28</v>
      </c>
      <c r="S373" s="34" t="str">
        <f aca="false">IF(H373="","SIN DATO",IFERROR(INDEX(cat_MarcaN,MATCH(H373,cat_MarcaO,0)),H373))</f>
        <v>GENERAL ELECTRIC</v>
      </c>
      <c r="T373" s="34" t="str">
        <f aca="false">IF(I373="","SIN DATO",IFERROR(INDEX(cat_ModN,MATCH(I373,cat_ModO,0)),I373))</f>
        <v>MULTILIN 350</v>
      </c>
      <c r="U373" s="34" t="str">
        <f aca="false">IF(I373="","",IFERROR(INDEX(cat_ModG,MATCH(I373,cat_ModO,0)),"No"))</f>
        <v>No</v>
      </c>
      <c r="V373" s="34" t="str">
        <f aca="false">IF(J373="","SIN DATO",IFERROR(INDEX(cat_FunN,MATCH(J373,cat_FunO,0)),J373))</f>
        <v>Protección</v>
      </c>
      <c r="W373" s="34" t="str">
        <f aca="false">IF(OR(S373="SIN DATO",T373="SIN DATO"),"No","Sí")</f>
        <v>Sí</v>
      </c>
    </row>
    <row r="374" customFormat="false" ht="15" hidden="false" customHeight="false" outlineLevel="0" collapsed="false">
      <c r="A374" s="34" t="s">
        <v>1593</v>
      </c>
      <c r="B374" s="34" t="s">
        <v>1594</v>
      </c>
      <c r="C374" s="34" t="s">
        <v>1595</v>
      </c>
      <c r="D374" s="34" t="s">
        <v>1494</v>
      </c>
      <c r="E374" s="34" t="s">
        <v>144</v>
      </c>
      <c r="F374" s="34" t="s">
        <v>1336</v>
      </c>
      <c r="G374" s="34" t="s">
        <v>300</v>
      </c>
      <c r="H374" s="34" t="s">
        <v>1358</v>
      </c>
      <c r="I374" s="34" t="s">
        <v>64</v>
      </c>
      <c r="J374" s="34" t="s">
        <v>681</v>
      </c>
      <c r="K374" s="34" t="s">
        <v>229</v>
      </c>
      <c r="L374" s="34" t="s">
        <v>230</v>
      </c>
      <c r="M374" s="34"/>
      <c r="N374" s="34" t="str">
        <f aca="false">"Sector "&amp;VALUE(MID(D374,13,2))</f>
        <v>Sector 6</v>
      </c>
      <c r="O374" s="34" t="str">
        <f aca="false">IF(Dashboard!$C$5="Ubicación técnica",N374,"Sector "&amp;VALUE(RIGHT(G374,2)))</f>
        <v>Sector 6</v>
      </c>
      <c r="P374" s="34" t="str">
        <f aca="false">IF(MID(D374,15,3)="SEL","Subestación eléctrica","Área de proceso")</f>
        <v>Subestación eléctrica</v>
      </c>
      <c r="Q374" s="34" t="str">
        <f aca="false">MID(D374,13,5)&amp;"|"&amp;MID(D374,19,5)</f>
        <v>06SEL|S_028</v>
      </c>
      <c r="R374" s="34" t="str">
        <f aca="false">IF(P374="Subestación eléctrica",IFERROR(INDEX(cat_SubN,MATCH(Q374,cat_SubK,0)),"SIN CATALOGAR"),"ÁREA DE PROCESO")</f>
        <v>SE-28</v>
      </c>
      <c r="S374" s="34" t="str">
        <f aca="false">IF(H374="","SIN DATO",IFERROR(INDEX(cat_MarcaN,MATCH(H374,cat_MarcaO,0)),H374))</f>
        <v>GENERAL ELECTRIC</v>
      </c>
      <c r="T374" s="34" t="str">
        <f aca="false">IF(I374="","SIN DATO",IFERROR(INDEX(cat_ModN,MATCH(I374,cat_ModO,0)),I374))</f>
        <v>MULTILIN 350</v>
      </c>
      <c r="U374" s="34" t="str">
        <f aca="false">IF(I374="","",IFERROR(INDEX(cat_ModG,MATCH(I374,cat_ModO,0)),"No"))</f>
        <v>No</v>
      </c>
      <c r="V374" s="34" t="str">
        <f aca="false">IF(J374="","SIN DATO",IFERROR(INDEX(cat_FunN,MATCH(J374,cat_FunO,0)),J374))</f>
        <v>Protección</v>
      </c>
      <c r="W374" s="34" t="str">
        <f aca="false">IF(OR(S374="SIN DATO",T374="SIN DATO"),"No","Sí")</f>
        <v>Sí</v>
      </c>
    </row>
    <row r="375" customFormat="false" ht="15" hidden="false" customHeight="false" outlineLevel="0" collapsed="false">
      <c r="A375" s="34" t="s">
        <v>1596</v>
      </c>
      <c r="B375" s="34" t="s">
        <v>1597</v>
      </c>
      <c r="C375" s="34" t="s">
        <v>1595</v>
      </c>
      <c r="D375" s="34" t="s">
        <v>1494</v>
      </c>
      <c r="E375" s="34" t="s">
        <v>144</v>
      </c>
      <c r="F375" s="34" t="s">
        <v>1336</v>
      </c>
      <c r="G375" s="34" t="s">
        <v>300</v>
      </c>
      <c r="H375" s="34" t="s">
        <v>1358</v>
      </c>
      <c r="I375" s="34" t="s">
        <v>64</v>
      </c>
      <c r="J375" s="34" t="s">
        <v>681</v>
      </c>
      <c r="K375" s="34" t="s">
        <v>229</v>
      </c>
      <c r="L375" s="34" t="s">
        <v>230</v>
      </c>
      <c r="M375" s="34"/>
      <c r="N375" s="34" t="str">
        <f aca="false">"Sector "&amp;VALUE(MID(D375,13,2))</f>
        <v>Sector 6</v>
      </c>
      <c r="O375" s="34" t="str">
        <f aca="false">IF(Dashboard!$C$5="Ubicación técnica",N375,"Sector "&amp;VALUE(RIGHT(G375,2)))</f>
        <v>Sector 6</v>
      </c>
      <c r="P375" s="34" t="str">
        <f aca="false">IF(MID(D375,15,3)="SEL","Subestación eléctrica","Área de proceso")</f>
        <v>Subestación eléctrica</v>
      </c>
      <c r="Q375" s="34" t="str">
        <f aca="false">MID(D375,13,5)&amp;"|"&amp;MID(D375,19,5)</f>
        <v>06SEL|S_028</v>
      </c>
      <c r="R375" s="34" t="str">
        <f aca="false">IF(P375="Subestación eléctrica",IFERROR(INDEX(cat_SubN,MATCH(Q375,cat_SubK,0)),"SIN CATALOGAR"),"ÁREA DE PROCESO")</f>
        <v>SE-28</v>
      </c>
      <c r="S375" s="34" t="str">
        <f aca="false">IF(H375="","SIN DATO",IFERROR(INDEX(cat_MarcaN,MATCH(H375,cat_MarcaO,0)),H375))</f>
        <v>GENERAL ELECTRIC</v>
      </c>
      <c r="T375" s="34" t="str">
        <f aca="false">IF(I375="","SIN DATO",IFERROR(INDEX(cat_ModN,MATCH(I375,cat_ModO,0)),I375))</f>
        <v>MULTILIN 350</v>
      </c>
      <c r="U375" s="34" t="str">
        <f aca="false">IF(I375="","",IFERROR(INDEX(cat_ModG,MATCH(I375,cat_ModO,0)),"No"))</f>
        <v>No</v>
      </c>
      <c r="V375" s="34" t="str">
        <f aca="false">IF(J375="","SIN DATO",IFERROR(INDEX(cat_FunN,MATCH(J375,cat_FunO,0)),J375))</f>
        <v>Protección</v>
      </c>
      <c r="W375" s="34" t="str">
        <f aca="false">IF(OR(S375="SIN DATO",T375="SIN DATO"),"No","Sí")</f>
        <v>Sí</v>
      </c>
    </row>
    <row r="376" customFormat="false" ht="15" hidden="false" customHeight="false" outlineLevel="0" collapsed="false">
      <c r="A376" s="34" t="s">
        <v>1598</v>
      </c>
      <c r="B376" s="34" t="s">
        <v>1599</v>
      </c>
      <c r="C376" s="34" t="s">
        <v>1600</v>
      </c>
      <c r="D376" s="34" t="s">
        <v>1601</v>
      </c>
      <c r="E376" s="34" t="s">
        <v>184</v>
      </c>
      <c r="F376" s="34" t="s">
        <v>1602</v>
      </c>
      <c r="G376" s="34" t="s">
        <v>227</v>
      </c>
      <c r="H376" s="34" t="s">
        <v>86</v>
      </c>
      <c r="I376" s="34" t="s">
        <v>88</v>
      </c>
      <c r="J376" s="34" t="s">
        <v>228</v>
      </c>
      <c r="K376" s="34" t="s">
        <v>229</v>
      </c>
      <c r="L376" s="34" t="s">
        <v>230</v>
      </c>
      <c r="M376" s="34" t="s">
        <v>237</v>
      </c>
      <c r="N376" s="34" t="str">
        <f aca="false">"Sector "&amp;VALUE(MID(D376,13,2))</f>
        <v>Sector 8</v>
      </c>
      <c r="O376" s="34" t="str">
        <f aca="false">IF(Dashboard!$C$5="Ubicación técnica",N376,"Sector "&amp;VALUE(RIGHT(G376,2)))</f>
        <v>Sector 8</v>
      </c>
      <c r="P376" s="34" t="str">
        <f aca="false">IF(MID(D376,15,3)="SEL","Subestación eléctrica","Área de proceso")</f>
        <v>Subestación eléctrica</v>
      </c>
      <c r="Q376" s="34" t="str">
        <f aca="false">MID(D376,13,5)&amp;"|"&amp;MID(D376,19,5)</f>
        <v>08SEL|SEP01</v>
      </c>
      <c r="R376" s="34" t="str">
        <f aca="false">IF(P376="Subestación eléctrica",IFERROR(INDEX(cat_SubN,MATCH(Q376,cat_SubK,0)),"SIN CATALOGAR"),"ÁREA DE PROCESO")</f>
        <v>SEP-01</v>
      </c>
      <c r="S376" s="34" t="str">
        <f aca="false">IF(H376="","SIN DATO",IFERROR(INDEX(cat_MarcaN,MATCH(H376,cat_MarcaO,0)),H376))</f>
        <v>SCHNEIDER ELECTRIC</v>
      </c>
      <c r="T376" s="34" t="str">
        <f aca="false">IF(I376="","SIN DATO",IFERROR(INDEX(cat_ModN,MATCH(I376,cat_ModO,0)),I376))</f>
        <v>P5F30</v>
      </c>
      <c r="U376" s="34" t="str">
        <f aca="false">IF(I376="","",IFERROR(INDEX(cat_ModG,MATCH(I376,cat_ModO,0)),"No"))</f>
        <v>No</v>
      </c>
      <c r="V376" s="34" t="str">
        <f aca="false">IF(J376="","SIN DATO",IFERROR(INDEX(cat_FunN,MATCH(J376,cat_FunO,0)),J376))</f>
        <v>Protección y medición</v>
      </c>
      <c r="W376" s="34" t="str">
        <f aca="false">IF(OR(S376="SIN DATO",T376="SIN DATO"),"No","Sí")</f>
        <v>Sí</v>
      </c>
    </row>
    <row r="377" customFormat="false" ht="15" hidden="false" customHeight="false" outlineLevel="0" collapsed="false">
      <c r="A377" s="34" t="s">
        <v>1603</v>
      </c>
      <c r="B377" s="34" t="s">
        <v>1604</v>
      </c>
      <c r="C377" s="34" t="s">
        <v>1605</v>
      </c>
      <c r="D377" s="34" t="s">
        <v>1601</v>
      </c>
      <c r="E377" s="34" t="s">
        <v>184</v>
      </c>
      <c r="F377" s="34" t="s">
        <v>1602</v>
      </c>
      <c r="G377" s="34" t="s">
        <v>227</v>
      </c>
      <c r="H377" s="34" t="s">
        <v>86</v>
      </c>
      <c r="I377" s="34" t="s">
        <v>88</v>
      </c>
      <c r="J377" s="34" t="s">
        <v>228</v>
      </c>
      <c r="K377" s="34" t="s">
        <v>229</v>
      </c>
      <c r="L377" s="34" t="s">
        <v>230</v>
      </c>
      <c r="M377" s="34" t="s">
        <v>237</v>
      </c>
      <c r="N377" s="34" t="str">
        <f aca="false">"Sector "&amp;VALUE(MID(D377,13,2))</f>
        <v>Sector 8</v>
      </c>
      <c r="O377" s="34" t="str">
        <f aca="false">IF(Dashboard!$C$5="Ubicación técnica",N377,"Sector "&amp;VALUE(RIGHT(G377,2)))</f>
        <v>Sector 8</v>
      </c>
      <c r="P377" s="34" t="str">
        <f aca="false">IF(MID(D377,15,3)="SEL","Subestación eléctrica","Área de proceso")</f>
        <v>Subestación eléctrica</v>
      </c>
      <c r="Q377" s="34" t="str">
        <f aca="false">MID(D377,13,5)&amp;"|"&amp;MID(D377,19,5)</f>
        <v>08SEL|SEP01</v>
      </c>
      <c r="R377" s="34" t="str">
        <f aca="false">IF(P377="Subestación eléctrica",IFERROR(INDEX(cat_SubN,MATCH(Q377,cat_SubK,0)),"SIN CATALOGAR"),"ÁREA DE PROCESO")</f>
        <v>SEP-01</v>
      </c>
      <c r="S377" s="34" t="str">
        <f aca="false">IF(H377="","SIN DATO",IFERROR(INDEX(cat_MarcaN,MATCH(H377,cat_MarcaO,0)),H377))</f>
        <v>SCHNEIDER ELECTRIC</v>
      </c>
      <c r="T377" s="34" t="str">
        <f aca="false">IF(I377="","SIN DATO",IFERROR(INDEX(cat_ModN,MATCH(I377,cat_ModO,0)),I377))</f>
        <v>P5F30</v>
      </c>
      <c r="U377" s="34" t="str">
        <f aca="false">IF(I377="","",IFERROR(INDEX(cat_ModG,MATCH(I377,cat_ModO,0)),"No"))</f>
        <v>No</v>
      </c>
      <c r="V377" s="34" t="str">
        <f aca="false">IF(J377="","SIN DATO",IFERROR(INDEX(cat_FunN,MATCH(J377,cat_FunO,0)),J377))</f>
        <v>Protección y medición</v>
      </c>
      <c r="W377" s="34" t="str">
        <f aca="false">IF(OR(S377="SIN DATO",T377="SIN DATO"),"No","Sí")</f>
        <v>Sí</v>
      </c>
    </row>
    <row r="378" customFormat="false" ht="15" hidden="false" customHeight="false" outlineLevel="0" collapsed="false">
      <c r="A378" s="34" t="s">
        <v>1606</v>
      </c>
      <c r="B378" s="34" t="s">
        <v>1607</v>
      </c>
      <c r="C378" s="34" t="s">
        <v>1608</v>
      </c>
      <c r="D378" s="34" t="s">
        <v>1601</v>
      </c>
      <c r="E378" s="34" t="s">
        <v>184</v>
      </c>
      <c r="F378" s="34" t="s">
        <v>1602</v>
      </c>
      <c r="G378" s="34" t="s">
        <v>227</v>
      </c>
      <c r="H378" s="34" t="s">
        <v>86</v>
      </c>
      <c r="I378" s="34" t="s">
        <v>88</v>
      </c>
      <c r="J378" s="34" t="s">
        <v>228</v>
      </c>
      <c r="K378" s="34" t="s">
        <v>229</v>
      </c>
      <c r="L378" s="34" t="s">
        <v>230</v>
      </c>
      <c r="M378" s="34" t="s">
        <v>237</v>
      </c>
      <c r="N378" s="34" t="str">
        <f aca="false">"Sector "&amp;VALUE(MID(D378,13,2))</f>
        <v>Sector 8</v>
      </c>
      <c r="O378" s="34" t="str">
        <f aca="false">IF(Dashboard!$C$5="Ubicación técnica",N378,"Sector "&amp;VALUE(RIGHT(G378,2)))</f>
        <v>Sector 8</v>
      </c>
      <c r="P378" s="34" t="str">
        <f aca="false">IF(MID(D378,15,3)="SEL","Subestación eléctrica","Área de proceso")</f>
        <v>Subestación eléctrica</v>
      </c>
      <c r="Q378" s="34" t="str">
        <f aca="false">MID(D378,13,5)&amp;"|"&amp;MID(D378,19,5)</f>
        <v>08SEL|SEP01</v>
      </c>
      <c r="R378" s="34" t="str">
        <f aca="false">IF(P378="Subestación eléctrica",IFERROR(INDEX(cat_SubN,MATCH(Q378,cat_SubK,0)),"SIN CATALOGAR"),"ÁREA DE PROCESO")</f>
        <v>SEP-01</v>
      </c>
      <c r="S378" s="34" t="str">
        <f aca="false">IF(H378="","SIN DATO",IFERROR(INDEX(cat_MarcaN,MATCH(H378,cat_MarcaO,0)),H378))</f>
        <v>SCHNEIDER ELECTRIC</v>
      </c>
      <c r="T378" s="34" t="str">
        <f aca="false">IF(I378="","SIN DATO",IFERROR(INDEX(cat_ModN,MATCH(I378,cat_ModO,0)),I378))</f>
        <v>P5F30</v>
      </c>
      <c r="U378" s="34" t="str">
        <f aca="false">IF(I378="","",IFERROR(INDEX(cat_ModG,MATCH(I378,cat_ModO,0)),"No"))</f>
        <v>No</v>
      </c>
      <c r="V378" s="34" t="str">
        <f aca="false">IF(J378="","SIN DATO",IFERROR(INDEX(cat_FunN,MATCH(J378,cat_FunO,0)),J378))</f>
        <v>Protección y medición</v>
      </c>
      <c r="W378" s="34" t="str">
        <f aca="false">IF(OR(S378="SIN DATO",T378="SIN DATO"),"No","Sí")</f>
        <v>Sí</v>
      </c>
    </row>
    <row r="379" customFormat="false" ht="15" hidden="false" customHeight="false" outlineLevel="0" collapsed="false">
      <c r="A379" s="34" t="s">
        <v>1609</v>
      </c>
      <c r="B379" s="34" t="s">
        <v>1610</v>
      </c>
      <c r="C379" s="34" t="s">
        <v>1611</v>
      </c>
      <c r="D379" s="34" t="s">
        <v>1601</v>
      </c>
      <c r="E379" s="34" t="s">
        <v>184</v>
      </c>
      <c r="F379" s="34" t="s">
        <v>1602</v>
      </c>
      <c r="G379" s="34" t="s">
        <v>227</v>
      </c>
      <c r="H379" s="34" t="s">
        <v>86</v>
      </c>
      <c r="I379" s="34" t="s">
        <v>88</v>
      </c>
      <c r="J379" s="34" t="s">
        <v>228</v>
      </c>
      <c r="K379" s="34" t="s">
        <v>229</v>
      </c>
      <c r="L379" s="34" t="s">
        <v>230</v>
      </c>
      <c r="M379" s="34" t="s">
        <v>237</v>
      </c>
      <c r="N379" s="34" t="str">
        <f aca="false">"Sector "&amp;VALUE(MID(D379,13,2))</f>
        <v>Sector 8</v>
      </c>
      <c r="O379" s="34" t="str">
        <f aca="false">IF(Dashboard!$C$5="Ubicación técnica",N379,"Sector "&amp;VALUE(RIGHT(G379,2)))</f>
        <v>Sector 8</v>
      </c>
      <c r="P379" s="34" t="str">
        <f aca="false">IF(MID(D379,15,3)="SEL","Subestación eléctrica","Área de proceso")</f>
        <v>Subestación eléctrica</v>
      </c>
      <c r="Q379" s="34" t="str">
        <f aca="false">MID(D379,13,5)&amp;"|"&amp;MID(D379,19,5)</f>
        <v>08SEL|SEP01</v>
      </c>
      <c r="R379" s="34" t="str">
        <f aca="false">IF(P379="Subestación eléctrica",IFERROR(INDEX(cat_SubN,MATCH(Q379,cat_SubK,0)),"SIN CATALOGAR"),"ÁREA DE PROCESO")</f>
        <v>SEP-01</v>
      </c>
      <c r="S379" s="34" t="str">
        <f aca="false">IF(H379="","SIN DATO",IFERROR(INDEX(cat_MarcaN,MATCH(H379,cat_MarcaO,0)),H379))</f>
        <v>SCHNEIDER ELECTRIC</v>
      </c>
      <c r="T379" s="34" t="str">
        <f aca="false">IF(I379="","SIN DATO",IFERROR(INDEX(cat_ModN,MATCH(I379,cat_ModO,0)),I379))</f>
        <v>P5F30</v>
      </c>
      <c r="U379" s="34" t="str">
        <f aca="false">IF(I379="","",IFERROR(INDEX(cat_ModG,MATCH(I379,cat_ModO,0)),"No"))</f>
        <v>No</v>
      </c>
      <c r="V379" s="34" t="str">
        <f aca="false">IF(J379="","SIN DATO",IFERROR(INDEX(cat_FunN,MATCH(J379,cat_FunO,0)),J379))</f>
        <v>Protección y medición</v>
      </c>
      <c r="W379" s="34" t="str">
        <f aca="false">IF(OR(S379="SIN DATO",T379="SIN DATO"),"No","Sí")</f>
        <v>Sí</v>
      </c>
    </row>
    <row r="380" customFormat="false" ht="15" hidden="false" customHeight="false" outlineLevel="0" collapsed="false">
      <c r="A380" s="34" t="s">
        <v>1612</v>
      </c>
      <c r="B380" s="34" t="s">
        <v>1613</v>
      </c>
      <c r="C380" s="34" t="s">
        <v>1614</v>
      </c>
      <c r="D380" s="34" t="s">
        <v>1601</v>
      </c>
      <c r="E380" s="34" t="s">
        <v>184</v>
      </c>
      <c r="F380" s="34" t="s">
        <v>1602</v>
      </c>
      <c r="G380" s="34" t="s">
        <v>227</v>
      </c>
      <c r="H380" s="34" t="s">
        <v>86</v>
      </c>
      <c r="I380" s="34" t="s">
        <v>88</v>
      </c>
      <c r="J380" s="34" t="s">
        <v>228</v>
      </c>
      <c r="K380" s="34" t="s">
        <v>229</v>
      </c>
      <c r="L380" s="34" t="s">
        <v>230</v>
      </c>
      <c r="M380" s="34" t="s">
        <v>237</v>
      </c>
      <c r="N380" s="34" t="str">
        <f aca="false">"Sector "&amp;VALUE(MID(D380,13,2))</f>
        <v>Sector 8</v>
      </c>
      <c r="O380" s="34" t="str">
        <f aca="false">IF(Dashboard!$C$5="Ubicación técnica",N380,"Sector "&amp;VALUE(RIGHT(G380,2)))</f>
        <v>Sector 8</v>
      </c>
      <c r="P380" s="34" t="str">
        <f aca="false">IF(MID(D380,15,3)="SEL","Subestación eléctrica","Área de proceso")</f>
        <v>Subestación eléctrica</v>
      </c>
      <c r="Q380" s="34" t="str">
        <f aca="false">MID(D380,13,5)&amp;"|"&amp;MID(D380,19,5)</f>
        <v>08SEL|SEP01</v>
      </c>
      <c r="R380" s="34" t="str">
        <f aca="false">IF(P380="Subestación eléctrica",IFERROR(INDEX(cat_SubN,MATCH(Q380,cat_SubK,0)),"SIN CATALOGAR"),"ÁREA DE PROCESO")</f>
        <v>SEP-01</v>
      </c>
      <c r="S380" s="34" t="str">
        <f aca="false">IF(H380="","SIN DATO",IFERROR(INDEX(cat_MarcaN,MATCH(H380,cat_MarcaO,0)),H380))</f>
        <v>SCHNEIDER ELECTRIC</v>
      </c>
      <c r="T380" s="34" t="str">
        <f aca="false">IF(I380="","SIN DATO",IFERROR(INDEX(cat_ModN,MATCH(I380,cat_ModO,0)),I380))</f>
        <v>P5F30</v>
      </c>
      <c r="U380" s="34" t="str">
        <f aca="false">IF(I380="","",IFERROR(INDEX(cat_ModG,MATCH(I380,cat_ModO,0)),"No"))</f>
        <v>No</v>
      </c>
      <c r="V380" s="34" t="str">
        <f aca="false">IF(J380="","SIN DATO",IFERROR(INDEX(cat_FunN,MATCH(J380,cat_FunO,0)),J380))</f>
        <v>Protección y medición</v>
      </c>
      <c r="W380" s="34" t="str">
        <f aca="false">IF(OR(S380="SIN DATO",T380="SIN DATO"),"No","Sí")</f>
        <v>Sí</v>
      </c>
    </row>
    <row r="381" customFormat="false" ht="15" hidden="false" customHeight="false" outlineLevel="0" collapsed="false">
      <c r="A381" s="34" t="s">
        <v>1615</v>
      </c>
      <c r="B381" s="34" t="s">
        <v>1616</v>
      </c>
      <c r="C381" s="34" t="s">
        <v>1617</v>
      </c>
      <c r="D381" s="34" t="s">
        <v>1601</v>
      </c>
      <c r="E381" s="34" t="s">
        <v>184</v>
      </c>
      <c r="F381" s="34" t="s">
        <v>1602</v>
      </c>
      <c r="G381" s="34" t="s">
        <v>227</v>
      </c>
      <c r="H381" s="34" t="s">
        <v>86</v>
      </c>
      <c r="I381" s="34" t="s">
        <v>88</v>
      </c>
      <c r="J381" s="34" t="s">
        <v>228</v>
      </c>
      <c r="K381" s="34" t="s">
        <v>229</v>
      </c>
      <c r="L381" s="34" t="s">
        <v>230</v>
      </c>
      <c r="M381" s="34" t="s">
        <v>237</v>
      </c>
      <c r="N381" s="34" t="str">
        <f aca="false">"Sector "&amp;VALUE(MID(D381,13,2))</f>
        <v>Sector 8</v>
      </c>
      <c r="O381" s="34" t="str">
        <f aca="false">IF(Dashboard!$C$5="Ubicación técnica",N381,"Sector "&amp;VALUE(RIGHT(G381,2)))</f>
        <v>Sector 8</v>
      </c>
      <c r="P381" s="34" t="str">
        <f aca="false">IF(MID(D381,15,3)="SEL","Subestación eléctrica","Área de proceso")</f>
        <v>Subestación eléctrica</v>
      </c>
      <c r="Q381" s="34" t="str">
        <f aca="false">MID(D381,13,5)&amp;"|"&amp;MID(D381,19,5)</f>
        <v>08SEL|SEP01</v>
      </c>
      <c r="R381" s="34" t="str">
        <f aca="false">IF(P381="Subestación eléctrica",IFERROR(INDEX(cat_SubN,MATCH(Q381,cat_SubK,0)),"SIN CATALOGAR"),"ÁREA DE PROCESO")</f>
        <v>SEP-01</v>
      </c>
      <c r="S381" s="34" t="str">
        <f aca="false">IF(H381="","SIN DATO",IFERROR(INDEX(cat_MarcaN,MATCH(H381,cat_MarcaO,0)),H381))</f>
        <v>SCHNEIDER ELECTRIC</v>
      </c>
      <c r="T381" s="34" t="str">
        <f aca="false">IF(I381="","SIN DATO",IFERROR(INDEX(cat_ModN,MATCH(I381,cat_ModO,0)),I381))</f>
        <v>P5F30</v>
      </c>
      <c r="U381" s="34" t="str">
        <f aca="false">IF(I381="","",IFERROR(INDEX(cat_ModG,MATCH(I381,cat_ModO,0)),"No"))</f>
        <v>No</v>
      </c>
      <c r="V381" s="34" t="str">
        <f aca="false">IF(J381="","SIN DATO",IFERROR(INDEX(cat_FunN,MATCH(J381,cat_FunO,0)),J381))</f>
        <v>Protección y medición</v>
      </c>
      <c r="W381" s="34" t="str">
        <f aca="false">IF(OR(S381="SIN DATO",T381="SIN DATO"),"No","Sí")</f>
        <v>Sí</v>
      </c>
    </row>
    <row r="382" customFormat="false" ht="15" hidden="false" customHeight="false" outlineLevel="0" collapsed="false">
      <c r="A382" s="34" t="s">
        <v>1618</v>
      </c>
      <c r="B382" s="34" t="s">
        <v>1619</v>
      </c>
      <c r="C382" s="34" t="s">
        <v>1620</v>
      </c>
      <c r="D382" s="34" t="s">
        <v>1621</v>
      </c>
      <c r="E382" s="34" t="s">
        <v>184</v>
      </c>
      <c r="F382" s="34" t="s">
        <v>1602</v>
      </c>
      <c r="G382" s="34" t="s">
        <v>227</v>
      </c>
      <c r="H382" s="34" t="s">
        <v>86</v>
      </c>
      <c r="I382" s="34" t="s">
        <v>88</v>
      </c>
      <c r="J382" s="34" t="s">
        <v>228</v>
      </c>
      <c r="K382" s="34" t="s">
        <v>229</v>
      </c>
      <c r="L382" s="34" t="s">
        <v>230</v>
      </c>
      <c r="M382" s="34" t="s">
        <v>237</v>
      </c>
      <c r="N382" s="34" t="str">
        <f aca="false">"Sector "&amp;VALUE(MID(D382,13,2))</f>
        <v>Sector 8</v>
      </c>
      <c r="O382" s="34" t="str">
        <f aca="false">IF(Dashboard!$C$5="Ubicación técnica",N382,"Sector "&amp;VALUE(RIGHT(G382,2)))</f>
        <v>Sector 8</v>
      </c>
      <c r="P382" s="34" t="str">
        <f aca="false">IF(MID(D382,15,3)="SEL","Subestación eléctrica","Área de proceso")</f>
        <v>Subestación eléctrica</v>
      </c>
      <c r="Q382" s="34" t="str">
        <f aca="false">MID(D382,13,5)&amp;"|"&amp;MID(D382,19,5)</f>
        <v>08SEL|SEP01</v>
      </c>
      <c r="R382" s="34" t="str">
        <f aca="false">IF(P382="Subestación eléctrica",IFERROR(INDEX(cat_SubN,MATCH(Q382,cat_SubK,0)),"SIN CATALOGAR"),"ÁREA DE PROCESO")</f>
        <v>SEP-01</v>
      </c>
      <c r="S382" s="34" t="str">
        <f aca="false">IF(H382="","SIN DATO",IFERROR(INDEX(cat_MarcaN,MATCH(H382,cat_MarcaO,0)),H382))</f>
        <v>SCHNEIDER ELECTRIC</v>
      </c>
      <c r="T382" s="34" t="str">
        <f aca="false">IF(I382="","SIN DATO",IFERROR(INDEX(cat_ModN,MATCH(I382,cat_ModO,0)),I382))</f>
        <v>P5F30</v>
      </c>
      <c r="U382" s="34" t="str">
        <f aca="false">IF(I382="","",IFERROR(INDEX(cat_ModG,MATCH(I382,cat_ModO,0)),"No"))</f>
        <v>No</v>
      </c>
      <c r="V382" s="34" t="str">
        <f aca="false">IF(J382="","SIN DATO",IFERROR(INDEX(cat_FunN,MATCH(J382,cat_FunO,0)),J382))</f>
        <v>Protección y medición</v>
      </c>
      <c r="W382" s="34" t="str">
        <f aca="false">IF(OR(S382="SIN DATO",T382="SIN DATO"),"No","Sí")</f>
        <v>Sí</v>
      </c>
    </row>
    <row r="383" customFormat="false" ht="15" hidden="false" customHeight="false" outlineLevel="0" collapsed="false">
      <c r="A383" s="34" t="s">
        <v>1622</v>
      </c>
      <c r="B383" s="34" t="s">
        <v>1623</v>
      </c>
      <c r="C383" s="34" t="s">
        <v>1624</v>
      </c>
      <c r="D383" s="34" t="s">
        <v>1621</v>
      </c>
      <c r="E383" s="34" t="s">
        <v>184</v>
      </c>
      <c r="F383" s="34" t="s">
        <v>1602</v>
      </c>
      <c r="G383" s="34" t="s">
        <v>227</v>
      </c>
      <c r="H383" s="34" t="s">
        <v>86</v>
      </c>
      <c r="I383" s="34" t="s">
        <v>88</v>
      </c>
      <c r="J383" s="34" t="s">
        <v>228</v>
      </c>
      <c r="K383" s="34" t="s">
        <v>229</v>
      </c>
      <c r="L383" s="34" t="s">
        <v>230</v>
      </c>
      <c r="M383" s="34" t="s">
        <v>237</v>
      </c>
      <c r="N383" s="34" t="str">
        <f aca="false">"Sector "&amp;VALUE(MID(D383,13,2))</f>
        <v>Sector 8</v>
      </c>
      <c r="O383" s="34" t="str">
        <f aca="false">IF(Dashboard!$C$5="Ubicación técnica",N383,"Sector "&amp;VALUE(RIGHT(G383,2)))</f>
        <v>Sector 8</v>
      </c>
      <c r="P383" s="34" t="str">
        <f aca="false">IF(MID(D383,15,3)="SEL","Subestación eléctrica","Área de proceso")</f>
        <v>Subestación eléctrica</v>
      </c>
      <c r="Q383" s="34" t="str">
        <f aca="false">MID(D383,13,5)&amp;"|"&amp;MID(D383,19,5)</f>
        <v>08SEL|SEP01</v>
      </c>
      <c r="R383" s="34" t="str">
        <f aca="false">IF(P383="Subestación eléctrica",IFERROR(INDEX(cat_SubN,MATCH(Q383,cat_SubK,0)),"SIN CATALOGAR"),"ÁREA DE PROCESO")</f>
        <v>SEP-01</v>
      </c>
      <c r="S383" s="34" t="str">
        <f aca="false">IF(H383="","SIN DATO",IFERROR(INDEX(cat_MarcaN,MATCH(H383,cat_MarcaO,0)),H383))</f>
        <v>SCHNEIDER ELECTRIC</v>
      </c>
      <c r="T383" s="34" t="str">
        <f aca="false">IF(I383="","SIN DATO",IFERROR(INDEX(cat_ModN,MATCH(I383,cat_ModO,0)),I383))</f>
        <v>P5F30</v>
      </c>
      <c r="U383" s="34" t="str">
        <f aca="false">IF(I383="","",IFERROR(INDEX(cat_ModG,MATCH(I383,cat_ModO,0)),"No"))</f>
        <v>No</v>
      </c>
      <c r="V383" s="34" t="str">
        <f aca="false">IF(J383="","SIN DATO",IFERROR(INDEX(cat_FunN,MATCH(J383,cat_FunO,0)),J383))</f>
        <v>Protección y medición</v>
      </c>
      <c r="W383" s="34" t="str">
        <f aca="false">IF(OR(S383="SIN DATO",T383="SIN DATO"),"No","Sí")</f>
        <v>Sí</v>
      </c>
    </row>
    <row r="384" customFormat="false" ht="15" hidden="false" customHeight="false" outlineLevel="0" collapsed="false">
      <c r="A384" s="34" t="s">
        <v>1625</v>
      </c>
      <c r="B384" s="34" t="s">
        <v>1626</v>
      </c>
      <c r="C384" s="34" t="s">
        <v>1627</v>
      </c>
      <c r="D384" s="34" t="s">
        <v>1621</v>
      </c>
      <c r="E384" s="34" t="s">
        <v>184</v>
      </c>
      <c r="F384" s="34" t="s">
        <v>1602</v>
      </c>
      <c r="G384" s="34" t="s">
        <v>227</v>
      </c>
      <c r="H384" s="34" t="s">
        <v>86</v>
      </c>
      <c r="I384" s="34" t="s">
        <v>88</v>
      </c>
      <c r="J384" s="34" t="s">
        <v>228</v>
      </c>
      <c r="K384" s="34" t="s">
        <v>229</v>
      </c>
      <c r="L384" s="34" t="s">
        <v>230</v>
      </c>
      <c r="M384" s="34" t="s">
        <v>237</v>
      </c>
      <c r="N384" s="34" t="str">
        <f aca="false">"Sector "&amp;VALUE(MID(D384,13,2))</f>
        <v>Sector 8</v>
      </c>
      <c r="O384" s="34" t="str">
        <f aca="false">IF(Dashboard!$C$5="Ubicación técnica",N384,"Sector "&amp;VALUE(RIGHT(G384,2)))</f>
        <v>Sector 8</v>
      </c>
      <c r="P384" s="34" t="str">
        <f aca="false">IF(MID(D384,15,3)="SEL","Subestación eléctrica","Área de proceso")</f>
        <v>Subestación eléctrica</v>
      </c>
      <c r="Q384" s="34" t="str">
        <f aca="false">MID(D384,13,5)&amp;"|"&amp;MID(D384,19,5)</f>
        <v>08SEL|SEP01</v>
      </c>
      <c r="R384" s="34" t="str">
        <f aca="false">IF(P384="Subestación eléctrica",IFERROR(INDEX(cat_SubN,MATCH(Q384,cat_SubK,0)),"SIN CATALOGAR"),"ÁREA DE PROCESO")</f>
        <v>SEP-01</v>
      </c>
      <c r="S384" s="34" t="str">
        <f aca="false">IF(H384="","SIN DATO",IFERROR(INDEX(cat_MarcaN,MATCH(H384,cat_MarcaO,0)),H384))</f>
        <v>SCHNEIDER ELECTRIC</v>
      </c>
      <c r="T384" s="34" t="str">
        <f aca="false">IF(I384="","SIN DATO",IFERROR(INDEX(cat_ModN,MATCH(I384,cat_ModO,0)),I384))</f>
        <v>P5F30</v>
      </c>
      <c r="U384" s="34" t="str">
        <f aca="false">IF(I384="","",IFERROR(INDEX(cat_ModG,MATCH(I384,cat_ModO,0)),"No"))</f>
        <v>No</v>
      </c>
      <c r="V384" s="34" t="str">
        <f aca="false">IF(J384="","SIN DATO",IFERROR(INDEX(cat_FunN,MATCH(J384,cat_FunO,0)),J384))</f>
        <v>Protección y medición</v>
      </c>
      <c r="W384" s="34" t="str">
        <f aca="false">IF(OR(S384="SIN DATO",T384="SIN DATO"),"No","Sí")</f>
        <v>Sí</v>
      </c>
    </row>
    <row r="385" customFormat="false" ht="15" hidden="false" customHeight="false" outlineLevel="0" collapsed="false">
      <c r="A385" s="34" t="s">
        <v>1628</v>
      </c>
      <c r="B385" s="34" t="s">
        <v>1629</v>
      </c>
      <c r="C385" s="34" t="s">
        <v>1630</v>
      </c>
      <c r="D385" s="34" t="s">
        <v>1621</v>
      </c>
      <c r="E385" s="34" t="s">
        <v>184</v>
      </c>
      <c r="F385" s="34" t="s">
        <v>1602</v>
      </c>
      <c r="G385" s="34" t="s">
        <v>227</v>
      </c>
      <c r="H385" s="34" t="s">
        <v>86</v>
      </c>
      <c r="I385" s="34" t="s">
        <v>88</v>
      </c>
      <c r="J385" s="34" t="s">
        <v>228</v>
      </c>
      <c r="K385" s="34" t="s">
        <v>229</v>
      </c>
      <c r="L385" s="34" t="s">
        <v>230</v>
      </c>
      <c r="M385" s="34" t="s">
        <v>237</v>
      </c>
      <c r="N385" s="34" t="str">
        <f aca="false">"Sector "&amp;VALUE(MID(D385,13,2))</f>
        <v>Sector 8</v>
      </c>
      <c r="O385" s="34" t="str">
        <f aca="false">IF(Dashboard!$C$5="Ubicación técnica",N385,"Sector "&amp;VALUE(RIGHT(G385,2)))</f>
        <v>Sector 8</v>
      </c>
      <c r="P385" s="34" t="str">
        <f aca="false">IF(MID(D385,15,3)="SEL","Subestación eléctrica","Área de proceso")</f>
        <v>Subestación eléctrica</v>
      </c>
      <c r="Q385" s="34" t="str">
        <f aca="false">MID(D385,13,5)&amp;"|"&amp;MID(D385,19,5)</f>
        <v>08SEL|SEP01</v>
      </c>
      <c r="R385" s="34" t="str">
        <f aca="false">IF(P385="Subestación eléctrica",IFERROR(INDEX(cat_SubN,MATCH(Q385,cat_SubK,0)),"SIN CATALOGAR"),"ÁREA DE PROCESO")</f>
        <v>SEP-01</v>
      </c>
      <c r="S385" s="34" t="str">
        <f aca="false">IF(H385="","SIN DATO",IFERROR(INDEX(cat_MarcaN,MATCH(H385,cat_MarcaO,0)),H385))</f>
        <v>SCHNEIDER ELECTRIC</v>
      </c>
      <c r="T385" s="34" t="str">
        <f aca="false">IF(I385="","SIN DATO",IFERROR(INDEX(cat_ModN,MATCH(I385,cat_ModO,0)),I385))</f>
        <v>P5F30</v>
      </c>
      <c r="U385" s="34" t="str">
        <f aca="false">IF(I385="","",IFERROR(INDEX(cat_ModG,MATCH(I385,cat_ModO,0)),"No"))</f>
        <v>No</v>
      </c>
      <c r="V385" s="34" t="str">
        <f aca="false">IF(J385="","SIN DATO",IFERROR(INDEX(cat_FunN,MATCH(J385,cat_FunO,0)),J385))</f>
        <v>Protección y medición</v>
      </c>
      <c r="W385" s="34" t="str">
        <f aca="false">IF(OR(S385="SIN DATO",T385="SIN DATO"),"No","Sí")</f>
        <v>Sí</v>
      </c>
    </row>
    <row r="386" customFormat="false" ht="15" hidden="false" customHeight="false" outlineLevel="0" collapsed="false">
      <c r="A386" s="34" t="s">
        <v>1631</v>
      </c>
      <c r="B386" s="34" t="s">
        <v>1632</v>
      </c>
      <c r="C386" s="34" t="s">
        <v>1633</v>
      </c>
      <c r="D386" s="34" t="s">
        <v>1601</v>
      </c>
      <c r="E386" s="34" t="s">
        <v>184</v>
      </c>
      <c r="F386" s="34" t="s">
        <v>1602</v>
      </c>
      <c r="G386" s="34" t="s">
        <v>227</v>
      </c>
      <c r="H386" s="34" t="s">
        <v>86</v>
      </c>
      <c r="I386" s="34" t="s">
        <v>88</v>
      </c>
      <c r="J386" s="34" t="s">
        <v>228</v>
      </c>
      <c r="K386" s="34" t="s">
        <v>229</v>
      </c>
      <c r="L386" s="34" t="s">
        <v>230</v>
      </c>
      <c r="M386" s="34" t="s">
        <v>237</v>
      </c>
      <c r="N386" s="34" t="str">
        <f aca="false">"Sector "&amp;VALUE(MID(D386,13,2))</f>
        <v>Sector 8</v>
      </c>
      <c r="O386" s="34" t="str">
        <f aca="false">IF(Dashboard!$C$5="Ubicación técnica",N386,"Sector "&amp;VALUE(RIGHT(G386,2)))</f>
        <v>Sector 8</v>
      </c>
      <c r="P386" s="34" t="str">
        <f aca="false">IF(MID(D386,15,3)="SEL","Subestación eléctrica","Área de proceso")</f>
        <v>Subestación eléctrica</v>
      </c>
      <c r="Q386" s="34" t="str">
        <f aca="false">MID(D386,13,5)&amp;"|"&amp;MID(D386,19,5)</f>
        <v>08SEL|SEP01</v>
      </c>
      <c r="R386" s="34" t="str">
        <f aca="false">IF(P386="Subestación eléctrica",IFERROR(INDEX(cat_SubN,MATCH(Q386,cat_SubK,0)),"SIN CATALOGAR"),"ÁREA DE PROCESO")</f>
        <v>SEP-01</v>
      </c>
      <c r="S386" s="34" t="str">
        <f aca="false">IF(H386="","SIN DATO",IFERROR(INDEX(cat_MarcaN,MATCH(H386,cat_MarcaO,0)),H386))</f>
        <v>SCHNEIDER ELECTRIC</v>
      </c>
      <c r="T386" s="34" t="str">
        <f aca="false">IF(I386="","SIN DATO",IFERROR(INDEX(cat_ModN,MATCH(I386,cat_ModO,0)),I386))</f>
        <v>P5F30</v>
      </c>
      <c r="U386" s="34" t="str">
        <f aca="false">IF(I386="","",IFERROR(INDEX(cat_ModG,MATCH(I386,cat_ModO,0)),"No"))</f>
        <v>No</v>
      </c>
      <c r="V386" s="34" t="str">
        <f aca="false">IF(J386="","SIN DATO",IFERROR(INDEX(cat_FunN,MATCH(J386,cat_FunO,0)),J386))</f>
        <v>Protección y medición</v>
      </c>
      <c r="W386" s="34" t="str">
        <f aca="false">IF(OR(S386="SIN DATO",T386="SIN DATO"),"No","Sí")</f>
        <v>Sí</v>
      </c>
    </row>
    <row r="387" customFormat="false" ht="15" hidden="false" customHeight="false" outlineLevel="0" collapsed="false">
      <c r="A387" s="34" t="s">
        <v>1634</v>
      </c>
      <c r="B387" s="34" t="s">
        <v>1635</v>
      </c>
      <c r="C387" s="34" t="s">
        <v>1636</v>
      </c>
      <c r="D387" s="34" t="s">
        <v>1601</v>
      </c>
      <c r="E387" s="34" t="s">
        <v>184</v>
      </c>
      <c r="F387" s="34" t="s">
        <v>1602</v>
      </c>
      <c r="G387" s="34" t="s">
        <v>227</v>
      </c>
      <c r="H387" s="34" t="s">
        <v>86</v>
      </c>
      <c r="I387" s="34" t="s">
        <v>88</v>
      </c>
      <c r="J387" s="34" t="s">
        <v>228</v>
      </c>
      <c r="K387" s="34" t="s">
        <v>229</v>
      </c>
      <c r="L387" s="34" t="s">
        <v>230</v>
      </c>
      <c r="M387" s="34" t="s">
        <v>237</v>
      </c>
      <c r="N387" s="34" t="str">
        <f aca="false">"Sector "&amp;VALUE(MID(D387,13,2))</f>
        <v>Sector 8</v>
      </c>
      <c r="O387" s="34" t="str">
        <f aca="false">IF(Dashboard!$C$5="Ubicación técnica",N387,"Sector "&amp;VALUE(RIGHT(G387,2)))</f>
        <v>Sector 8</v>
      </c>
      <c r="P387" s="34" t="str">
        <f aca="false">IF(MID(D387,15,3)="SEL","Subestación eléctrica","Área de proceso")</f>
        <v>Subestación eléctrica</v>
      </c>
      <c r="Q387" s="34" t="str">
        <f aca="false">MID(D387,13,5)&amp;"|"&amp;MID(D387,19,5)</f>
        <v>08SEL|SEP01</v>
      </c>
      <c r="R387" s="34" t="str">
        <f aca="false">IF(P387="Subestación eléctrica",IFERROR(INDEX(cat_SubN,MATCH(Q387,cat_SubK,0)),"SIN CATALOGAR"),"ÁREA DE PROCESO")</f>
        <v>SEP-01</v>
      </c>
      <c r="S387" s="34" t="str">
        <f aca="false">IF(H387="","SIN DATO",IFERROR(INDEX(cat_MarcaN,MATCH(H387,cat_MarcaO,0)),H387))</f>
        <v>SCHNEIDER ELECTRIC</v>
      </c>
      <c r="T387" s="34" t="str">
        <f aca="false">IF(I387="","SIN DATO",IFERROR(INDEX(cat_ModN,MATCH(I387,cat_ModO,0)),I387))</f>
        <v>P5F30</v>
      </c>
      <c r="U387" s="34" t="str">
        <f aca="false">IF(I387="","",IFERROR(INDEX(cat_ModG,MATCH(I387,cat_ModO,0)),"No"))</f>
        <v>No</v>
      </c>
      <c r="V387" s="34" t="str">
        <f aca="false">IF(J387="","SIN DATO",IFERROR(INDEX(cat_FunN,MATCH(J387,cat_FunO,0)),J387))</f>
        <v>Protección y medición</v>
      </c>
      <c r="W387" s="34" t="str">
        <f aca="false">IF(OR(S387="SIN DATO",T387="SIN DATO"),"No","Sí")</f>
        <v>Sí</v>
      </c>
    </row>
    <row r="388" customFormat="false" ht="15" hidden="false" customHeight="false" outlineLevel="0" collapsed="false">
      <c r="A388" s="34" t="s">
        <v>1637</v>
      </c>
      <c r="B388" s="34" t="s">
        <v>1638</v>
      </c>
      <c r="C388" s="34" t="s">
        <v>1639</v>
      </c>
      <c r="D388" s="34" t="s">
        <v>1621</v>
      </c>
      <c r="E388" s="34" t="s">
        <v>184</v>
      </c>
      <c r="F388" s="34" t="s">
        <v>1602</v>
      </c>
      <c r="G388" s="34" t="s">
        <v>227</v>
      </c>
      <c r="H388" s="34" t="s">
        <v>1358</v>
      </c>
      <c r="I388" s="34" t="s">
        <v>68</v>
      </c>
      <c r="J388" s="34" t="s">
        <v>228</v>
      </c>
      <c r="K388" s="34" t="s">
        <v>229</v>
      </c>
      <c r="L388" s="34" t="s">
        <v>230</v>
      </c>
      <c r="M388" s="34" t="s">
        <v>1640</v>
      </c>
      <c r="N388" s="34" t="str">
        <f aca="false">"Sector "&amp;VALUE(MID(D388,13,2))</f>
        <v>Sector 8</v>
      </c>
      <c r="O388" s="34" t="str">
        <f aca="false">IF(Dashboard!$C$5="Ubicación técnica",N388,"Sector "&amp;VALUE(RIGHT(G388,2)))</f>
        <v>Sector 8</v>
      </c>
      <c r="P388" s="34" t="str">
        <f aca="false">IF(MID(D388,15,3)="SEL","Subestación eléctrica","Área de proceso")</f>
        <v>Subestación eléctrica</v>
      </c>
      <c r="Q388" s="34" t="str">
        <f aca="false">MID(D388,13,5)&amp;"|"&amp;MID(D388,19,5)</f>
        <v>08SEL|SEP01</v>
      </c>
      <c r="R388" s="34" t="str">
        <f aca="false">IF(P388="Subestación eléctrica",IFERROR(INDEX(cat_SubN,MATCH(Q388,cat_SubK,0)),"SIN CATALOGAR"),"ÁREA DE PROCESO")</f>
        <v>SEP-01</v>
      </c>
      <c r="S388" s="34" t="str">
        <f aca="false">IF(H388="","SIN DATO",IFERROR(INDEX(cat_MarcaN,MATCH(H388,cat_MarcaO,0)),H388))</f>
        <v>GENERAL ELECTRIC</v>
      </c>
      <c r="T388" s="34" t="str">
        <f aca="false">IF(I388="","SIN DATO",IFERROR(INDEX(cat_ModN,MATCH(I388,cat_ModO,0)),I388))</f>
        <v>MULTILIN B90</v>
      </c>
      <c r="U388" s="34" t="str">
        <f aca="false">IF(I388="","",IFERROR(INDEX(cat_ModG,MATCH(I388,cat_ModO,0)),"No"))</f>
        <v>No</v>
      </c>
      <c r="V388" s="34" t="str">
        <f aca="false">IF(J388="","SIN DATO",IFERROR(INDEX(cat_FunN,MATCH(J388,cat_FunO,0)),J388))</f>
        <v>Protección y medición</v>
      </c>
      <c r="W388" s="34" t="str">
        <f aca="false">IF(OR(S388="SIN DATO",T388="SIN DATO"),"No","Sí")</f>
        <v>Sí</v>
      </c>
    </row>
    <row r="389" customFormat="false" ht="15" hidden="false" customHeight="false" outlineLevel="0" collapsed="false">
      <c r="A389" s="34" t="s">
        <v>1641</v>
      </c>
      <c r="B389" s="34" t="s">
        <v>1642</v>
      </c>
      <c r="C389" s="34" t="s">
        <v>1643</v>
      </c>
      <c r="D389" s="34" t="s">
        <v>1621</v>
      </c>
      <c r="E389" s="34" t="s">
        <v>184</v>
      </c>
      <c r="F389" s="34" t="s">
        <v>1602</v>
      </c>
      <c r="G389" s="34" t="s">
        <v>227</v>
      </c>
      <c r="H389" s="34" t="s">
        <v>1358</v>
      </c>
      <c r="I389" s="34" t="s">
        <v>68</v>
      </c>
      <c r="J389" s="34" t="s">
        <v>228</v>
      </c>
      <c r="K389" s="34" t="s">
        <v>229</v>
      </c>
      <c r="L389" s="34" t="s">
        <v>230</v>
      </c>
      <c r="M389" s="34" t="s">
        <v>1640</v>
      </c>
      <c r="N389" s="34" t="str">
        <f aca="false">"Sector "&amp;VALUE(MID(D389,13,2))</f>
        <v>Sector 8</v>
      </c>
      <c r="O389" s="34" t="str">
        <f aca="false">IF(Dashboard!$C$5="Ubicación técnica",N389,"Sector "&amp;VALUE(RIGHT(G389,2)))</f>
        <v>Sector 8</v>
      </c>
      <c r="P389" s="34" t="str">
        <f aca="false">IF(MID(D389,15,3)="SEL","Subestación eléctrica","Área de proceso")</f>
        <v>Subestación eléctrica</v>
      </c>
      <c r="Q389" s="34" t="str">
        <f aca="false">MID(D389,13,5)&amp;"|"&amp;MID(D389,19,5)</f>
        <v>08SEL|SEP01</v>
      </c>
      <c r="R389" s="34" t="str">
        <f aca="false">IF(P389="Subestación eléctrica",IFERROR(INDEX(cat_SubN,MATCH(Q389,cat_SubK,0)),"SIN CATALOGAR"),"ÁREA DE PROCESO")</f>
        <v>SEP-01</v>
      </c>
      <c r="S389" s="34" t="str">
        <f aca="false">IF(H389="","SIN DATO",IFERROR(INDEX(cat_MarcaN,MATCH(H389,cat_MarcaO,0)),H389))</f>
        <v>GENERAL ELECTRIC</v>
      </c>
      <c r="T389" s="34" t="str">
        <f aca="false">IF(I389="","SIN DATO",IFERROR(INDEX(cat_ModN,MATCH(I389,cat_ModO,0)),I389))</f>
        <v>MULTILIN B90</v>
      </c>
      <c r="U389" s="34" t="str">
        <f aca="false">IF(I389="","",IFERROR(INDEX(cat_ModG,MATCH(I389,cat_ModO,0)),"No"))</f>
        <v>No</v>
      </c>
      <c r="V389" s="34" t="str">
        <f aca="false">IF(J389="","SIN DATO",IFERROR(INDEX(cat_FunN,MATCH(J389,cat_FunO,0)),J389))</f>
        <v>Protección y medición</v>
      </c>
      <c r="W389" s="34" t="str">
        <f aca="false">IF(OR(S389="SIN DATO",T389="SIN DATO"),"No","Sí")</f>
        <v>Sí</v>
      </c>
    </row>
    <row r="390" customFormat="false" ht="15" hidden="false" customHeight="false" outlineLevel="0" collapsed="false">
      <c r="A390" s="34" t="s">
        <v>1644</v>
      </c>
      <c r="B390" s="34" t="s">
        <v>1645</v>
      </c>
      <c r="C390" s="34" t="s">
        <v>1646</v>
      </c>
      <c r="D390" s="34" t="s">
        <v>1621</v>
      </c>
      <c r="E390" s="34" t="s">
        <v>184</v>
      </c>
      <c r="F390" s="34" t="s">
        <v>1602</v>
      </c>
      <c r="G390" s="34" t="s">
        <v>227</v>
      </c>
      <c r="H390" s="34" t="s">
        <v>86</v>
      </c>
      <c r="I390" s="34" t="s">
        <v>88</v>
      </c>
      <c r="J390" s="34" t="s">
        <v>228</v>
      </c>
      <c r="K390" s="34" t="s">
        <v>229</v>
      </c>
      <c r="L390" s="34" t="s">
        <v>230</v>
      </c>
      <c r="M390" s="34" t="s">
        <v>237</v>
      </c>
      <c r="N390" s="34" t="str">
        <f aca="false">"Sector "&amp;VALUE(MID(D390,13,2))</f>
        <v>Sector 8</v>
      </c>
      <c r="O390" s="34" t="str">
        <f aca="false">IF(Dashboard!$C$5="Ubicación técnica",N390,"Sector "&amp;VALUE(RIGHT(G390,2)))</f>
        <v>Sector 8</v>
      </c>
      <c r="P390" s="34" t="str">
        <f aca="false">IF(MID(D390,15,3)="SEL","Subestación eléctrica","Área de proceso")</f>
        <v>Subestación eléctrica</v>
      </c>
      <c r="Q390" s="34" t="str">
        <f aca="false">MID(D390,13,5)&amp;"|"&amp;MID(D390,19,5)</f>
        <v>08SEL|SEP01</v>
      </c>
      <c r="R390" s="34" t="str">
        <f aca="false">IF(P390="Subestación eléctrica",IFERROR(INDEX(cat_SubN,MATCH(Q390,cat_SubK,0)),"SIN CATALOGAR"),"ÁREA DE PROCESO")</f>
        <v>SEP-01</v>
      </c>
      <c r="S390" s="34" t="str">
        <f aca="false">IF(H390="","SIN DATO",IFERROR(INDEX(cat_MarcaN,MATCH(H390,cat_MarcaO,0)),H390))</f>
        <v>SCHNEIDER ELECTRIC</v>
      </c>
      <c r="T390" s="34" t="str">
        <f aca="false">IF(I390="","SIN DATO",IFERROR(INDEX(cat_ModN,MATCH(I390,cat_ModO,0)),I390))</f>
        <v>P5F30</v>
      </c>
      <c r="U390" s="34" t="str">
        <f aca="false">IF(I390="","",IFERROR(INDEX(cat_ModG,MATCH(I390,cat_ModO,0)),"No"))</f>
        <v>No</v>
      </c>
      <c r="V390" s="34" t="str">
        <f aca="false">IF(J390="","SIN DATO",IFERROR(INDEX(cat_FunN,MATCH(J390,cat_FunO,0)),J390))</f>
        <v>Protección y medición</v>
      </c>
      <c r="W390" s="34" t="str">
        <f aca="false">IF(OR(S390="SIN DATO",T390="SIN DATO"),"No","Sí")</f>
        <v>Sí</v>
      </c>
    </row>
    <row r="391" customFormat="false" ht="15" hidden="false" customHeight="false" outlineLevel="0" collapsed="false">
      <c r="A391" s="34" t="s">
        <v>1647</v>
      </c>
      <c r="B391" s="34" t="s">
        <v>1648</v>
      </c>
      <c r="C391" s="34" t="s">
        <v>1649</v>
      </c>
      <c r="D391" s="34" t="s">
        <v>1601</v>
      </c>
      <c r="E391" s="34" t="s">
        <v>184</v>
      </c>
      <c r="F391" s="34" t="s">
        <v>1602</v>
      </c>
      <c r="G391" s="34" t="s">
        <v>227</v>
      </c>
      <c r="H391" s="34" t="s">
        <v>1358</v>
      </c>
      <c r="I391" s="34" t="s">
        <v>68</v>
      </c>
      <c r="J391" s="34" t="s">
        <v>228</v>
      </c>
      <c r="K391" s="34" t="s">
        <v>229</v>
      </c>
      <c r="L391" s="34" t="s">
        <v>230</v>
      </c>
      <c r="M391" s="34" t="s">
        <v>1640</v>
      </c>
      <c r="N391" s="34" t="str">
        <f aca="false">"Sector "&amp;VALUE(MID(D391,13,2))</f>
        <v>Sector 8</v>
      </c>
      <c r="O391" s="34" t="str">
        <f aca="false">IF(Dashboard!$C$5="Ubicación técnica",N391,"Sector "&amp;VALUE(RIGHT(G391,2)))</f>
        <v>Sector 8</v>
      </c>
      <c r="P391" s="34" t="str">
        <f aca="false">IF(MID(D391,15,3)="SEL","Subestación eléctrica","Área de proceso")</f>
        <v>Subestación eléctrica</v>
      </c>
      <c r="Q391" s="34" t="str">
        <f aca="false">MID(D391,13,5)&amp;"|"&amp;MID(D391,19,5)</f>
        <v>08SEL|SEP01</v>
      </c>
      <c r="R391" s="34" t="str">
        <f aca="false">IF(P391="Subestación eléctrica",IFERROR(INDEX(cat_SubN,MATCH(Q391,cat_SubK,0)),"SIN CATALOGAR"),"ÁREA DE PROCESO")</f>
        <v>SEP-01</v>
      </c>
      <c r="S391" s="34" t="str">
        <f aca="false">IF(H391="","SIN DATO",IFERROR(INDEX(cat_MarcaN,MATCH(H391,cat_MarcaO,0)),H391))</f>
        <v>GENERAL ELECTRIC</v>
      </c>
      <c r="T391" s="34" t="str">
        <f aca="false">IF(I391="","SIN DATO",IFERROR(INDEX(cat_ModN,MATCH(I391,cat_ModO,0)),I391))</f>
        <v>MULTILIN B90</v>
      </c>
      <c r="U391" s="34" t="str">
        <f aca="false">IF(I391="","",IFERROR(INDEX(cat_ModG,MATCH(I391,cat_ModO,0)),"No"))</f>
        <v>No</v>
      </c>
      <c r="V391" s="34" t="str">
        <f aca="false">IF(J391="","SIN DATO",IFERROR(INDEX(cat_FunN,MATCH(J391,cat_FunO,0)),J391))</f>
        <v>Protección y medición</v>
      </c>
      <c r="W391" s="34" t="str">
        <f aca="false">IF(OR(S391="SIN DATO",T391="SIN DATO"),"No","Sí")</f>
        <v>Sí</v>
      </c>
    </row>
    <row r="392" customFormat="false" ht="15" hidden="false" customHeight="false" outlineLevel="0" collapsed="false">
      <c r="A392" s="34" t="s">
        <v>1650</v>
      </c>
      <c r="B392" s="34" t="s">
        <v>1651</v>
      </c>
      <c r="C392" s="34" t="s">
        <v>1652</v>
      </c>
      <c r="D392" s="34" t="s">
        <v>1601</v>
      </c>
      <c r="E392" s="34" t="s">
        <v>184</v>
      </c>
      <c r="F392" s="34" t="s">
        <v>1602</v>
      </c>
      <c r="G392" s="34" t="s">
        <v>227</v>
      </c>
      <c r="H392" s="34" t="s">
        <v>1358</v>
      </c>
      <c r="I392" s="34" t="s">
        <v>68</v>
      </c>
      <c r="J392" s="34" t="s">
        <v>228</v>
      </c>
      <c r="K392" s="34" t="s">
        <v>229</v>
      </c>
      <c r="L392" s="34" t="s">
        <v>230</v>
      </c>
      <c r="M392" s="34" t="s">
        <v>1640</v>
      </c>
      <c r="N392" s="34" t="str">
        <f aca="false">"Sector "&amp;VALUE(MID(D392,13,2))</f>
        <v>Sector 8</v>
      </c>
      <c r="O392" s="34" t="str">
        <f aca="false">IF(Dashboard!$C$5="Ubicación técnica",N392,"Sector "&amp;VALUE(RIGHT(G392,2)))</f>
        <v>Sector 8</v>
      </c>
      <c r="P392" s="34" t="str">
        <f aca="false">IF(MID(D392,15,3)="SEL","Subestación eléctrica","Área de proceso")</f>
        <v>Subestación eléctrica</v>
      </c>
      <c r="Q392" s="34" t="str">
        <f aca="false">MID(D392,13,5)&amp;"|"&amp;MID(D392,19,5)</f>
        <v>08SEL|SEP01</v>
      </c>
      <c r="R392" s="34" t="str">
        <f aca="false">IF(P392="Subestación eléctrica",IFERROR(INDEX(cat_SubN,MATCH(Q392,cat_SubK,0)),"SIN CATALOGAR"),"ÁREA DE PROCESO")</f>
        <v>SEP-01</v>
      </c>
      <c r="S392" s="34" t="str">
        <f aca="false">IF(H392="","SIN DATO",IFERROR(INDEX(cat_MarcaN,MATCH(H392,cat_MarcaO,0)),H392))</f>
        <v>GENERAL ELECTRIC</v>
      </c>
      <c r="T392" s="34" t="str">
        <f aca="false">IF(I392="","SIN DATO",IFERROR(INDEX(cat_ModN,MATCH(I392,cat_ModO,0)),I392))</f>
        <v>MULTILIN B90</v>
      </c>
      <c r="U392" s="34" t="str">
        <f aca="false">IF(I392="","",IFERROR(INDEX(cat_ModG,MATCH(I392,cat_ModO,0)),"No"))</f>
        <v>No</v>
      </c>
      <c r="V392" s="34" t="str">
        <f aca="false">IF(J392="","SIN DATO",IFERROR(INDEX(cat_FunN,MATCH(J392,cat_FunO,0)),J392))</f>
        <v>Protección y medición</v>
      </c>
      <c r="W392" s="34" t="str">
        <f aca="false">IF(OR(S392="SIN DATO",T392="SIN DATO"),"No","Sí")</f>
        <v>Sí</v>
      </c>
    </row>
    <row r="393" customFormat="false" ht="15" hidden="false" customHeight="false" outlineLevel="0" collapsed="false">
      <c r="A393" s="34" t="s">
        <v>1653</v>
      </c>
      <c r="B393" s="34" t="s">
        <v>1654</v>
      </c>
      <c r="C393" s="34" t="s">
        <v>1655</v>
      </c>
      <c r="D393" s="34" t="s">
        <v>1601</v>
      </c>
      <c r="E393" s="34" t="s">
        <v>184</v>
      </c>
      <c r="F393" s="34" t="s">
        <v>1602</v>
      </c>
      <c r="G393" s="34" t="s">
        <v>227</v>
      </c>
      <c r="H393" s="34" t="s">
        <v>86</v>
      </c>
      <c r="I393" s="34" t="s">
        <v>88</v>
      </c>
      <c r="J393" s="34" t="s">
        <v>228</v>
      </c>
      <c r="K393" s="34" t="s">
        <v>229</v>
      </c>
      <c r="L393" s="34" t="s">
        <v>230</v>
      </c>
      <c r="M393" s="34" t="s">
        <v>237</v>
      </c>
      <c r="N393" s="34" t="str">
        <f aca="false">"Sector "&amp;VALUE(MID(D393,13,2))</f>
        <v>Sector 8</v>
      </c>
      <c r="O393" s="34" t="str">
        <f aca="false">IF(Dashboard!$C$5="Ubicación técnica",N393,"Sector "&amp;VALUE(RIGHT(G393,2)))</f>
        <v>Sector 8</v>
      </c>
      <c r="P393" s="34" t="str">
        <f aca="false">IF(MID(D393,15,3)="SEL","Subestación eléctrica","Área de proceso")</f>
        <v>Subestación eléctrica</v>
      </c>
      <c r="Q393" s="34" t="str">
        <f aca="false">MID(D393,13,5)&amp;"|"&amp;MID(D393,19,5)</f>
        <v>08SEL|SEP01</v>
      </c>
      <c r="R393" s="34" t="str">
        <f aca="false">IF(P393="Subestación eléctrica",IFERROR(INDEX(cat_SubN,MATCH(Q393,cat_SubK,0)),"SIN CATALOGAR"),"ÁREA DE PROCESO")</f>
        <v>SEP-01</v>
      </c>
      <c r="S393" s="34" t="str">
        <f aca="false">IF(H393="","SIN DATO",IFERROR(INDEX(cat_MarcaN,MATCH(H393,cat_MarcaO,0)),H393))</f>
        <v>SCHNEIDER ELECTRIC</v>
      </c>
      <c r="T393" s="34" t="str">
        <f aca="false">IF(I393="","SIN DATO",IFERROR(INDEX(cat_ModN,MATCH(I393,cat_ModO,0)),I393))</f>
        <v>P5F30</v>
      </c>
      <c r="U393" s="34" t="str">
        <f aca="false">IF(I393="","",IFERROR(INDEX(cat_ModG,MATCH(I393,cat_ModO,0)),"No"))</f>
        <v>No</v>
      </c>
      <c r="V393" s="34" t="str">
        <f aca="false">IF(J393="","SIN DATO",IFERROR(INDEX(cat_FunN,MATCH(J393,cat_FunO,0)),J393))</f>
        <v>Protección y medición</v>
      </c>
      <c r="W393" s="34" t="str">
        <f aca="false">IF(OR(S393="SIN DATO",T393="SIN DATO"),"No","Sí")</f>
        <v>Sí</v>
      </c>
    </row>
    <row r="394" customFormat="false" ht="15" hidden="false" customHeight="false" outlineLevel="0" collapsed="false">
      <c r="A394" s="34" t="s">
        <v>1656</v>
      </c>
      <c r="B394" s="34" t="s">
        <v>1657</v>
      </c>
      <c r="C394" s="34" t="s">
        <v>1658</v>
      </c>
      <c r="D394" s="34" t="s">
        <v>1659</v>
      </c>
      <c r="E394" s="34" t="s">
        <v>184</v>
      </c>
      <c r="F394" s="34" t="s">
        <v>1602</v>
      </c>
      <c r="G394" s="34" t="s">
        <v>227</v>
      </c>
      <c r="H394" s="34" t="s">
        <v>55</v>
      </c>
      <c r="I394" s="34" t="s">
        <v>57</v>
      </c>
      <c r="J394" s="34" t="s">
        <v>58</v>
      </c>
      <c r="K394" s="34" t="s">
        <v>229</v>
      </c>
      <c r="L394" s="34" t="s">
        <v>230</v>
      </c>
      <c r="M394" s="34" t="s">
        <v>237</v>
      </c>
      <c r="N394" s="34" t="str">
        <f aca="false">"Sector "&amp;VALUE(MID(D394,13,2))</f>
        <v>Sector 8</v>
      </c>
      <c r="O394" s="34" t="str">
        <f aca="false">IF(Dashboard!$C$5="Ubicación técnica",N394,"Sector "&amp;VALUE(RIGHT(G394,2)))</f>
        <v>Sector 8</v>
      </c>
      <c r="P394" s="34" t="str">
        <f aca="false">IF(MID(D394,15,3)="SEL","Subestación eléctrica","Área de proceso")</f>
        <v>Subestación eléctrica</v>
      </c>
      <c r="Q394" s="34" t="str">
        <f aca="false">MID(D394,13,5)&amp;"|"&amp;MID(D394,19,5)</f>
        <v>08SEL|SEP01</v>
      </c>
      <c r="R394" s="34" t="str">
        <f aca="false">IF(P394="Subestación eléctrica",IFERROR(INDEX(cat_SubN,MATCH(Q394,cat_SubK,0)),"SIN CATALOGAR"),"ÁREA DE PROCESO")</f>
        <v>SEP-01</v>
      </c>
      <c r="S394" s="34" t="str">
        <f aca="false">IF(H394="","SIN DATO",IFERROR(INDEX(cat_MarcaN,MATCH(H394,cat_MarcaO,0)),H394))</f>
        <v>SEL</v>
      </c>
      <c r="T394" s="34" t="str">
        <f aca="false">IF(I394="","SIN DATO",IFERROR(INDEX(cat_ModN,MATCH(I394,cat_ModO,0)),I394))</f>
        <v>SEL-735</v>
      </c>
      <c r="U394" s="34" t="str">
        <f aca="false">IF(I394="","",IFERROR(INDEX(cat_ModG,MATCH(I394,cat_ModO,0)),"No"))</f>
        <v>No</v>
      </c>
      <c r="V394" s="34" t="str">
        <f aca="false">IF(J394="","SIN DATO",IFERROR(INDEX(cat_FunN,MATCH(J394,cat_FunO,0)),J394))</f>
        <v>Medición</v>
      </c>
      <c r="W394" s="34" t="str">
        <f aca="false">IF(OR(S394="SIN DATO",T394="SIN DATO"),"No","Sí")</f>
        <v>Sí</v>
      </c>
    </row>
    <row r="395" customFormat="false" ht="15" hidden="false" customHeight="false" outlineLevel="0" collapsed="false">
      <c r="A395" s="34" t="s">
        <v>1660</v>
      </c>
      <c r="B395" s="34" t="s">
        <v>1661</v>
      </c>
      <c r="C395" s="34" t="s">
        <v>1662</v>
      </c>
      <c r="D395" s="34" t="s">
        <v>1659</v>
      </c>
      <c r="E395" s="34" t="s">
        <v>184</v>
      </c>
      <c r="F395" s="34" t="s">
        <v>1602</v>
      </c>
      <c r="G395" s="34" t="s">
        <v>227</v>
      </c>
      <c r="H395" s="34" t="s">
        <v>34</v>
      </c>
      <c r="I395" s="34" t="s">
        <v>37</v>
      </c>
      <c r="J395" s="34" t="s">
        <v>228</v>
      </c>
      <c r="K395" s="34" t="s">
        <v>229</v>
      </c>
      <c r="L395" s="34" t="s">
        <v>230</v>
      </c>
      <c r="M395" s="34" t="s">
        <v>1663</v>
      </c>
      <c r="N395" s="34" t="str">
        <f aca="false">"Sector "&amp;VALUE(MID(D395,13,2))</f>
        <v>Sector 8</v>
      </c>
      <c r="O395" s="34" t="str">
        <f aca="false">IF(Dashboard!$C$5="Ubicación técnica",N395,"Sector "&amp;VALUE(RIGHT(G395,2)))</f>
        <v>Sector 8</v>
      </c>
      <c r="P395" s="34" t="str">
        <f aca="false">IF(MID(D395,15,3)="SEL","Subestación eléctrica","Área de proceso")</f>
        <v>Subestación eléctrica</v>
      </c>
      <c r="Q395" s="34" t="str">
        <f aca="false">MID(D395,13,5)&amp;"|"&amp;MID(D395,19,5)</f>
        <v>08SEL|SEP01</v>
      </c>
      <c r="R395" s="34" t="str">
        <f aca="false">IF(P395="Subestación eléctrica",IFERROR(INDEX(cat_SubN,MATCH(Q395,cat_SubK,0)),"SIN CATALOGAR"),"ÁREA DE PROCESO")</f>
        <v>SEP-01</v>
      </c>
      <c r="S395" s="34" t="str">
        <f aca="false">IF(H395="","SIN DATO",IFERROR(INDEX(cat_MarcaN,MATCH(H395,cat_MarcaO,0)),H395))</f>
        <v>ABB</v>
      </c>
      <c r="T395" s="34" t="str">
        <f aca="false">IF(I395="","SIN DATO",IFERROR(INDEX(cat_ModN,MATCH(I395,cat_ModO,0)),I395))</f>
        <v>REF615A_1G</v>
      </c>
      <c r="U395" s="34" t="str">
        <f aca="false">IF(I395="","",IFERROR(INDEX(cat_ModG,MATCH(I395,cat_ModO,0)),"No"))</f>
        <v>No</v>
      </c>
      <c r="V395" s="34" t="str">
        <f aca="false">IF(J395="","SIN DATO",IFERROR(INDEX(cat_FunN,MATCH(J395,cat_FunO,0)),J395))</f>
        <v>Protección y medición</v>
      </c>
      <c r="W395" s="34" t="str">
        <f aca="false">IF(OR(S395="SIN DATO",T395="SIN DATO"),"No","Sí")</f>
        <v>Sí</v>
      </c>
    </row>
    <row r="396" customFormat="false" ht="15" hidden="false" customHeight="false" outlineLevel="0" collapsed="false">
      <c r="A396" s="34" t="s">
        <v>1664</v>
      </c>
      <c r="B396" s="34" t="s">
        <v>1665</v>
      </c>
      <c r="C396" s="34" t="s">
        <v>1666</v>
      </c>
      <c r="D396" s="34" t="s">
        <v>1621</v>
      </c>
      <c r="E396" s="34" t="s">
        <v>184</v>
      </c>
      <c r="F396" s="34" t="s">
        <v>1602</v>
      </c>
      <c r="G396" s="34" t="s">
        <v>227</v>
      </c>
      <c r="H396" s="34" t="s">
        <v>86</v>
      </c>
      <c r="I396" s="34" t="s">
        <v>88</v>
      </c>
      <c r="J396" s="34" t="s">
        <v>228</v>
      </c>
      <c r="K396" s="34" t="s">
        <v>229</v>
      </c>
      <c r="L396" s="34" t="s">
        <v>230</v>
      </c>
      <c r="M396" s="34" t="s">
        <v>237</v>
      </c>
      <c r="N396" s="34" t="str">
        <f aca="false">"Sector "&amp;VALUE(MID(D396,13,2))</f>
        <v>Sector 8</v>
      </c>
      <c r="O396" s="34" t="str">
        <f aca="false">IF(Dashboard!$C$5="Ubicación técnica",N396,"Sector "&amp;VALUE(RIGHT(G396,2)))</f>
        <v>Sector 8</v>
      </c>
      <c r="P396" s="34" t="str">
        <f aca="false">IF(MID(D396,15,3)="SEL","Subestación eléctrica","Área de proceso")</f>
        <v>Subestación eléctrica</v>
      </c>
      <c r="Q396" s="34" t="str">
        <f aca="false">MID(D396,13,5)&amp;"|"&amp;MID(D396,19,5)</f>
        <v>08SEL|SEP01</v>
      </c>
      <c r="R396" s="34" t="str">
        <f aca="false">IF(P396="Subestación eléctrica",IFERROR(INDEX(cat_SubN,MATCH(Q396,cat_SubK,0)),"SIN CATALOGAR"),"ÁREA DE PROCESO")</f>
        <v>SEP-01</v>
      </c>
      <c r="S396" s="34" t="str">
        <f aca="false">IF(H396="","SIN DATO",IFERROR(INDEX(cat_MarcaN,MATCH(H396,cat_MarcaO,0)),H396))</f>
        <v>SCHNEIDER ELECTRIC</v>
      </c>
      <c r="T396" s="34" t="str">
        <f aca="false">IF(I396="","SIN DATO",IFERROR(INDEX(cat_ModN,MATCH(I396,cat_ModO,0)),I396))</f>
        <v>P5F30</v>
      </c>
      <c r="U396" s="34" t="str">
        <f aca="false">IF(I396="","",IFERROR(INDEX(cat_ModG,MATCH(I396,cat_ModO,0)),"No"))</f>
        <v>No</v>
      </c>
      <c r="V396" s="34" t="str">
        <f aca="false">IF(J396="","SIN DATO",IFERROR(INDEX(cat_FunN,MATCH(J396,cat_FunO,0)),J396))</f>
        <v>Protección y medición</v>
      </c>
      <c r="W396" s="34" t="str">
        <f aca="false">IF(OR(S396="SIN DATO",T396="SIN DATO"),"No","Sí")</f>
        <v>Sí</v>
      </c>
    </row>
    <row r="397" customFormat="false" ht="15" hidden="false" customHeight="false" outlineLevel="0" collapsed="false">
      <c r="A397" s="34" t="s">
        <v>1667</v>
      </c>
      <c r="B397" s="34" t="s">
        <v>1668</v>
      </c>
      <c r="C397" s="34" t="s">
        <v>1669</v>
      </c>
      <c r="D397" s="34" t="s">
        <v>1621</v>
      </c>
      <c r="E397" s="34" t="s">
        <v>184</v>
      </c>
      <c r="F397" s="34" t="s">
        <v>1602</v>
      </c>
      <c r="G397" s="34" t="s">
        <v>227</v>
      </c>
      <c r="H397" s="34" t="s">
        <v>86</v>
      </c>
      <c r="I397" s="34" t="s">
        <v>88</v>
      </c>
      <c r="J397" s="34" t="s">
        <v>228</v>
      </c>
      <c r="K397" s="34" t="s">
        <v>229</v>
      </c>
      <c r="L397" s="34" t="s">
        <v>230</v>
      </c>
      <c r="M397" s="34" t="s">
        <v>237</v>
      </c>
      <c r="N397" s="34" t="str">
        <f aca="false">"Sector "&amp;VALUE(MID(D397,13,2))</f>
        <v>Sector 8</v>
      </c>
      <c r="O397" s="34" t="str">
        <f aca="false">IF(Dashboard!$C$5="Ubicación técnica",N397,"Sector "&amp;VALUE(RIGHT(G397,2)))</f>
        <v>Sector 8</v>
      </c>
      <c r="P397" s="34" t="str">
        <f aca="false">IF(MID(D397,15,3)="SEL","Subestación eléctrica","Área de proceso")</f>
        <v>Subestación eléctrica</v>
      </c>
      <c r="Q397" s="34" t="str">
        <f aca="false">MID(D397,13,5)&amp;"|"&amp;MID(D397,19,5)</f>
        <v>08SEL|SEP01</v>
      </c>
      <c r="R397" s="34" t="str">
        <f aca="false">IF(P397="Subestación eléctrica",IFERROR(INDEX(cat_SubN,MATCH(Q397,cat_SubK,0)),"SIN CATALOGAR"),"ÁREA DE PROCESO")</f>
        <v>SEP-01</v>
      </c>
      <c r="S397" s="34" t="str">
        <f aca="false">IF(H397="","SIN DATO",IFERROR(INDEX(cat_MarcaN,MATCH(H397,cat_MarcaO,0)),H397))</f>
        <v>SCHNEIDER ELECTRIC</v>
      </c>
      <c r="T397" s="34" t="str">
        <f aca="false">IF(I397="","SIN DATO",IFERROR(INDEX(cat_ModN,MATCH(I397,cat_ModO,0)),I397))</f>
        <v>P5F30</v>
      </c>
      <c r="U397" s="34" t="str">
        <f aca="false">IF(I397="","",IFERROR(INDEX(cat_ModG,MATCH(I397,cat_ModO,0)),"No"))</f>
        <v>No</v>
      </c>
      <c r="V397" s="34" t="str">
        <f aca="false">IF(J397="","SIN DATO",IFERROR(INDEX(cat_FunN,MATCH(J397,cat_FunO,0)),J397))</f>
        <v>Protección y medición</v>
      </c>
      <c r="W397" s="34" t="str">
        <f aca="false">IF(OR(S397="SIN DATO",T397="SIN DATO"),"No","Sí")</f>
        <v>Sí</v>
      </c>
    </row>
    <row r="398" customFormat="false" ht="15" hidden="false" customHeight="false" outlineLevel="0" collapsed="false">
      <c r="A398" s="34" t="s">
        <v>1670</v>
      </c>
      <c r="B398" s="34" t="s">
        <v>1671</v>
      </c>
      <c r="C398" s="34" t="s">
        <v>1672</v>
      </c>
      <c r="D398" s="34" t="s">
        <v>1621</v>
      </c>
      <c r="E398" s="34" t="s">
        <v>184</v>
      </c>
      <c r="F398" s="34" t="s">
        <v>1602</v>
      </c>
      <c r="G398" s="34" t="s">
        <v>227</v>
      </c>
      <c r="H398" s="34" t="s">
        <v>86</v>
      </c>
      <c r="I398" s="34" t="s">
        <v>88</v>
      </c>
      <c r="J398" s="34" t="s">
        <v>228</v>
      </c>
      <c r="K398" s="34" t="s">
        <v>229</v>
      </c>
      <c r="L398" s="34" t="s">
        <v>230</v>
      </c>
      <c r="M398" s="34" t="s">
        <v>237</v>
      </c>
      <c r="N398" s="34" t="str">
        <f aca="false">"Sector "&amp;VALUE(MID(D398,13,2))</f>
        <v>Sector 8</v>
      </c>
      <c r="O398" s="34" t="str">
        <f aca="false">IF(Dashboard!$C$5="Ubicación técnica",N398,"Sector "&amp;VALUE(RIGHT(G398,2)))</f>
        <v>Sector 8</v>
      </c>
      <c r="P398" s="34" t="str">
        <f aca="false">IF(MID(D398,15,3)="SEL","Subestación eléctrica","Área de proceso")</f>
        <v>Subestación eléctrica</v>
      </c>
      <c r="Q398" s="34" t="str">
        <f aca="false">MID(D398,13,5)&amp;"|"&amp;MID(D398,19,5)</f>
        <v>08SEL|SEP01</v>
      </c>
      <c r="R398" s="34" t="str">
        <f aca="false">IF(P398="Subestación eléctrica",IFERROR(INDEX(cat_SubN,MATCH(Q398,cat_SubK,0)),"SIN CATALOGAR"),"ÁREA DE PROCESO")</f>
        <v>SEP-01</v>
      </c>
      <c r="S398" s="34" t="str">
        <f aca="false">IF(H398="","SIN DATO",IFERROR(INDEX(cat_MarcaN,MATCH(H398,cat_MarcaO,0)),H398))</f>
        <v>SCHNEIDER ELECTRIC</v>
      </c>
      <c r="T398" s="34" t="str">
        <f aca="false">IF(I398="","SIN DATO",IFERROR(INDEX(cat_ModN,MATCH(I398,cat_ModO,0)),I398))</f>
        <v>P5F30</v>
      </c>
      <c r="U398" s="34" t="str">
        <f aca="false">IF(I398="","",IFERROR(INDEX(cat_ModG,MATCH(I398,cat_ModO,0)),"No"))</f>
        <v>No</v>
      </c>
      <c r="V398" s="34" t="str">
        <f aca="false">IF(J398="","SIN DATO",IFERROR(INDEX(cat_FunN,MATCH(J398,cat_FunO,0)),J398))</f>
        <v>Protección y medición</v>
      </c>
      <c r="W398" s="34" t="str">
        <f aca="false">IF(OR(S398="SIN DATO",T398="SIN DATO"),"No","Sí")</f>
        <v>Sí</v>
      </c>
    </row>
    <row r="399" customFormat="false" ht="15" hidden="false" customHeight="false" outlineLevel="0" collapsed="false">
      <c r="A399" s="34" t="s">
        <v>1673</v>
      </c>
      <c r="B399" s="34" t="s">
        <v>1674</v>
      </c>
      <c r="C399" s="34" t="s">
        <v>1675</v>
      </c>
      <c r="D399" s="34" t="s">
        <v>1676</v>
      </c>
      <c r="E399" s="34" t="s">
        <v>184</v>
      </c>
      <c r="F399" s="34" t="s">
        <v>1602</v>
      </c>
      <c r="G399" s="34" t="s">
        <v>227</v>
      </c>
      <c r="H399" s="34" t="s">
        <v>86</v>
      </c>
      <c r="I399" s="34" t="s">
        <v>88</v>
      </c>
      <c r="J399" s="34" t="s">
        <v>228</v>
      </c>
      <c r="K399" s="34" t="s">
        <v>229</v>
      </c>
      <c r="L399" s="34" t="s">
        <v>230</v>
      </c>
      <c r="M399" s="34" t="s">
        <v>237</v>
      </c>
      <c r="N399" s="34" t="str">
        <f aca="false">"Sector "&amp;VALUE(MID(D399,13,2))</f>
        <v>Sector 8</v>
      </c>
      <c r="O399" s="34" t="str">
        <f aca="false">IF(Dashboard!$C$5="Ubicación técnica",N399,"Sector "&amp;VALUE(RIGHT(G399,2)))</f>
        <v>Sector 8</v>
      </c>
      <c r="P399" s="34" t="str">
        <f aca="false">IF(MID(D399,15,3)="SEL","Subestación eléctrica","Área de proceso")</f>
        <v>Subestación eléctrica</v>
      </c>
      <c r="Q399" s="34" t="str">
        <f aca="false">MID(D399,13,5)&amp;"|"&amp;MID(D399,19,5)</f>
        <v>08SEL|SEP01</v>
      </c>
      <c r="R399" s="34" t="str">
        <f aca="false">IF(P399="Subestación eléctrica",IFERROR(INDEX(cat_SubN,MATCH(Q399,cat_SubK,0)),"SIN CATALOGAR"),"ÁREA DE PROCESO")</f>
        <v>SEP-01</v>
      </c>
      <c r="S399" s="34" t="str">
        <f aca="false">IF(H399="","SIN DATO",IFERROR(INDEX(cat_MarcaN,MATCH(H399,cat_MarcaO,0)),H399))</f>
        <v>SCHNEIDER ELECTRIC</v>
      </c>
      <c r="T399" s="34" t="str">
        <f aca="false">IF(I399="","SIN DATO",IFERROR(INDEX(cat_ModN,MATCH(I399,cat_ModO,0)),I399))</f>
        <v>P5F30</v>
      </c>
      <c r="U399" s="34" t="str">
        <f aca="false">IF(I399="","",IFERROR(INDEX(cat_ModG,MATCH(I399,cat_ModO,0)),"No"))</f>
        <v>No</v>
      </c>
      <c r="V399" s="34" t="str">
        <f aca="false">IF(J399="","SIN DATO",IFERROR(INDEX(cat_FunN,MATCH(J399,cat_FunO,0)),J399))</f>
        <v>Protección y medición</v>
      </c>
      <c r="W399" s="34" t="str">
        <f aca="false">IF(OR(S399="SIN DATO",T399="SIN DATO"),"No","Sí")</f>
        <v>Sí</v>
      </c>
    </row>
    <row r="400" customFormat="false" ht="15" hidden="false" customHeight="false" outlineLevel="0" collapsed="false">
      <c r="A400" s="34" t="s">
        <v>1677</v>
      </c>
      <c r="B400" s="34" t="s">
        <v>1678</v>
      </c>
      <c r="C400" s="34" t="s">
        <v>1679</v>
      </c>
      <c r="D400" s="34" t="s">
        <v>1676</v>
      </c>
      <c r="E400" s="34" t="s">
        <v>184</v>
      </c>
      <c r="F400" s="34" t="s">
        <v>1602</v>
      </c>
      <c r="G400" s="34" t="s">
        <v>227</v>
      </c>
      <c r="H400" s="34" t="s">
        <v>1358</v>
      </c>
      <c r="I400" s="34" t="s">
        <v>68</v>
      </c>
      <c r="J400" s="34" t="s">
        <v>228</v>
      </c>
      <c r="K400" s="34" t="s">
        <v>229</v>
      </c>
      <c r="L400" s="34" t="s">
        <v>230</v>
      </c>
      <c r="M400" s="34" t="s">
        <v>1640</v>
      </c>
      <c r="N400" s="34" t="str">
        <f aca="false">"Sector "&amp;VALUE(MID(D400,13,2))</f>
        <v>Sector 8</v>
      </c>
      <c r="O400" s="34" t="str">
        <f aca="false">IF(Dashboard!$C$5="Ubicación técnica",N400,"Sector "&amp;VALUE(RIGHT(G400,2)))</f>
        <v>Sector 8</v>
      </c>
      <c r="P400" s="34" t="str">
        <f aca="false">IF(MID(D400,15,3)="SEL","Subestación eléctrica","Área de proceso")</f>
        <v>Subestación eléctrica</v>
      </c>
      <c r="Q400" s="34" t="str">
        <f aca="false">MID(D400,13,5)&amp;"|"&amp;MID(D400,19,5)</f>
        <v>08SEL|SEP01</v>
      </c>
      <c r="R400" s="34" t="str">
        <f aca="false">IF(P400="Subestación eléctrica",IFERROR(INDEX(cat_SubN,MATCH(Q400,cat_SubK,0)),"SIN CATALOGAR"),"ÁREA DE PROCESO")</f>
        <v>SEP-01</v>
      </c>
      <c r="S400" s="34" t="str">
        <f aca="false">IF(H400="","SIN DATO",IFERROR(INDEX(cat_MarcaN,MATCH(H400,cat_MarcaO,0)),H400))</f>
        <v>GENERAL ELECTRIC</v>
      </c>
      <c r="T400" s="34" t="str">
        <f aca="false">IF(I400="","SIN DATO",IFERROR(INDEX(cat_ModN,MATCH(I400,cat_ModO,0)),I400))</f>
        <v>MULTILIN B90</v>
      </c>
      <c r="U400" s="34" t="str">
        <f aca="false">IF(I400="","",IFERROR(INDEX(cat_ModG,MATCH(I400,cat_ModO,0)),"No"))</f>
        <v>No</v>
      </c>
      <c r="V400" s="34" t="str">
        <f aca="false">IF(J400="","SIN DATO",IFERROR(INDEX(cat_FunN,MATCH(J400,cat_FunO,0)),J400))</f>
        <v>Protección y medición</v>
      </c>
      <c r="W400" s="34" t="str">
        <f aca="false">IF(OR(S400="SIN DATO",T400="SIN DATO"),"No","Sí")</f>
        <v>Sí</v>
      </c>
    </row>
    <row r="401" customFormat="false" ht="15" hidden="false" customHeight="false" outlineLevel="0" collapsed="false">
      <c r="A401" s="34" t="s">
        <v>1680</v>
      </c>
      <c r="B401" s="34" t="s">
        <v>1681</v>
      </c>
      <c r="C401" s="34" t="s">
        <v>1682</v>
      </c>
      <c r="D401" s="34" t="s">
        <v>1676</v>
      </c>
      <c r="E401" s="34" t="s">
        <v>184</v>
      </c>
      <c r="F401" s="34" t="s">
        <v>1602</v>
      </c>
      <c r="G401" s="34" t="s">
        <v>227</v>
      </c>
      <c r="H401" s="34" t="s">
        <v>1358</v>
      </c>
      <c r="I401" s="34" t="s">
        <v>68</v>
      </c>
      <c r="J401" s="34" t="s">
        <v>228</v>
      </c>
      <c r="K401" s="34" t="s">
        <v>229</v>
      </c>
      <c r="L401" s="34" t="s">
        <v>230</v>
      </c>
      <c r="M401" s="34" t="s">
        <v>1640</v>
      </c>
      <c r="N401" s="34" t="str">
        <f aca="false">"Sector "&amp;VALUE(MID(D401,13,2))</f>
        <v>Sector 8</v>
      </c>
      <c r="O401" s="34" t="str">
        <f aca="false">IF(Dashboard!$C$5="Ubicación técnica",N401,"Sector "&amp;VALUE(RIGHT(G401,2)))</f>
        <v>Sector 8</v>
      </c>
      <c r="P401" s="34" t="str">
        <f aca="false">IF(MID(D401,15,3)="SEL","Subestación eléctrica","Área de proceso")</f>
        <v>Subestación eléctrica</v>
      </c>
      <c r="Q401" s="34" t="str">
        <f aca="false">MID(D401,13,5)&amp;"|"&amp;MID(D401,19,5)</f>
        <v>08SEL|SEP01</v>
      </c>
      <c r="R401" s="34" t="str">
        <f aca="false">IF(P401="Subestación eléctrica",IFERROR(INDEX(cat_SubN,MATCH(Q401,cat_SubK,0)),"SIN CATALOGAR"),"ÁREA DE PROCESO")</f>
        <v>SEP-01</v>
      </c>
      <c r="S401" s="34" t="str">
        <f aca="false">IF(H401="","SIN DATO",IFERROR(INDEX(cat_MarcaN,MATCH(H401,cat_MarcaO,0)),H401))</f>
        <v>GENERAL ELECTRIC</v>
      </c>
      <c r="T401" s="34" t="str">
        <f aca="false">IF(I401="","SIN DATO",IFERROR(INDEX(cat_ModN,MATCH(I401,cat_ModO,0)),I401))</f>
        <v>MULTILIN B90</v>
      </c>
      <c r="U401" s="34" t="str">
        <f aca="false">IF(I401="","",IFERROR(INDEX(cat_ModG,MATCH(I401,cat_ModO,0)),"No"))</f>
        <v>No</v>
      </c>
      <c r="V401" s="34" t="str">
        <f aca="false">IF(J401="","SIN DATO",IFERROR(INDEX(cat_FunN,MATCH(J401,cat_FunO,0)),J401))</f>
        <v>Protección y medición</v>
      </c>
      <c r="W401" s="34" t="str">
        <f aca="false">IF(OR(S401="SIN DATO",T401="SIN DATO"),"No","Sí")</f>
        <v>Sí</v>
      </c>
    </row>
    <row r="402" customFormat="false" ht="15" hidden="false" customHeight="false" outlineLevel="0" collapsed="false">
      <c r="A402" s="34" t="s">
        <v>1683</v>
      </c>
      <c r="B402" s="34" t="s">
        <v>1684</v>
      </c>
      <c r="C402" s="34" t="s">
        <v>1685</v>
      </c>
      <c r="D402" s="34" t="s">
        <v>1686</v>
      </c>
      <c r="E402" s="34" t="s">
        <v>184</v>
      </c>
      <c r="F402" s="34" t="s">
        <v>1602</v>
      </c>
      <c r="G402" s="34" t="s">
        <v>227</v>
      </c>
      <c r="H402" s="34" t="s">
        <v>86</v>
      </c>
      <c r="I402" s="34" t="s">
        <v>88</v>
      </c>
      <c r="J402" s="34" t="s">
        <v>228</v>
      </c>
      <c r="K402" s="34" t="s">
        <v>229</v>
      </c>
      <c r="L402" s="34" t="s">
        <v>230</v>
      </c>
      <c r="M402" s="34" t="s">
        <v>237</v>
      </c>
      <c r="N402" s="34" t="str">
        <f aca="false">"Sector "&amp;VALUE(MID(D402,13,2))</f>
        <v>Sector 8</v>
      </c>
      <c r="O402" s="34" t="str">
        <f aca="false">IF(Dashboard!$C$5="Ubicación técnica",N402,"Sector "&amp;VALUE(RIGHT(G402,2)))</f>
        <v>Sector 8</v>
      </c>
      <c r="P402" s="34" t="str">
        <f aca="false">IF(MID(D402,15,3)="SEL","Subestación eléctrica","Área de proceso")</f>
        <v>Subestación eléctrica</v>
      </c>
      <c r="Q402" s="34" t="str">
        <f aca="false">MID(D402,13,5)&amp;"|"&amp;MID(D402,19,5)</f>
        <v>08SEL|SEP01</v>
      </c>
      <c r="R402" s="34" t="str">
        <f aca="false">IF(P402="Subestación eléctrica",IFERROR(INDEX(cat_SubN,MATCH(Q402,cat_SubK,0)),"SIN CATALOGAR"),"ÁREA DE PROCESO")</f>
        <v>SEP-01</v>
      </c>
      <c r="S402" s="34" t="str">
        <f aca="false">IF(H402="","SIN DATO",IFERROR(INDEX(cat_MarcaN,MATCH(H402,cat_MarcaO,0)),H402))</f>
        <v>SCHNEIDER ELECTRIC</v>
      </c>
      <c r="T402" s="34" t="str">
        <f aca="false">IF(I402="","SIN DATO",IFERROR(INDEX(cat_ModN,MATCH(I402,cat_ModO,0)),I402))</f>
        <v>P5F30</v>
      </c>
      <c r="U402" s="34" t="str">
        <f aca="false">IF(I402="","",IFERROR(INDEX(cat_ModG,MATCH(I402,cat_ModO,0)),"No"))</f>
        <v>No</v>
      </c>
      <c r="V402" s="34" t="str">
        <f aca="false">IF(J402="","SIN DATO",IFERROR(INDEX(cat_FunN,MATCH(J402,cat_FunO,0)),J402))</f>
        <v>Protección y medición</v>
      </c>
      <c r="W402" s="34" t="str">
        <f aca="false">IF(OR(S402="SIN DATO",T402="SIN DATO"),"No","Sí")</f>
        <v>Sí</v>
      </c>
    </row>
    <row r="403" customFormat="false" ht="15" hidden="false" customHeight="false" outlineLevel="0" collapsed="false">
      <c r="A403" s="34" t="s">
        <v>1687</v>
      </c>
      <c r="B403" s="34" t="s">
        <v>1688</v>
      </c>
      <c r="C403" s="34" t="s">
        <v>1689</v>
      </c>
      <c r="D403" s="34" t="s">
        <v>1686</v>
      </c>
      <c r="E403" s="34" t="s">
        <v>184</v>
      </c>
      <c r="F403" s="34" t="s">
        <v>1602</v>
      </c>
      <c r="G403" s="34" t="s">
        <v>227</v>
      </c>
      <c r="H403" s="34" t="s">
        <v>1358</v>
      </c>
      <c r="I403" s="34" t="s">
        <v>68</v>
      </c>
      <c r="J403" s="34" t="s">
        <v>228</v>
      </c>
      <c r="K403" s="34" t="s">
        <v>229</v>
      </c>
      <c r="L403" s="34" t="s">
        <v>230</v>
      </c>
      <c r="M403" s="34" t="s">
        <v>1640</v>
      </c>
      <c r="N403" s="34" t="str">
        <f aca="false">"Sector "&amp;VALUE(MID(D403,13,2))</f>
        <v>Sector 8</v>
      </c>
      <c r="O403" s="34" t="str">
        <f aca="false">IF(Dashboard!$C$5="Ubicación técnica",N403,"Sector "&amp;VALUE(RIGHT(G403,2)))</f>
        <v>Sector 8</v>
      </c>
      <c r="P403" s="34" t="str">
        <f aca="false">IF(MID(D403,15,3)="SEL","Subestación eléctrica","Área de proceso")</f>
        <v>Subestación eléctrica</v>
      </c>
      <c r="Q403" s="34" t="str">
        <f aca="false">MID(D403,13,5)&amp;"|"&amp;MID(D403,19,5)</f>
        <v>08SEL|SEP01</v>
      </c>
      <c r="R403" s="34" t="str">
        <f aca="false">IF(P403="Subestación eléctrica",IFERROR(INDEX(cat_SubN,MATCH(Q403,cat_SubK,0)),"SIN CATALOGAR"),"ÁREA DE PROCESO")</f>
        <v>SEP-01</v>
      </c>
      <c r="S403" s="34" t="str">
        <f aca="false">IF(H403="","SIN DATO",IFERROR(INDEX(cat_MarcaN,MATCH(H403,cat_MarcaO,0)),H403))</f>
        <v>GENERAL ELECTRIC</v>
      </c>
      <c r="T403" s="34" t="str">
        <f aca="false">IF(I403="","SIN DATO",IFERROR(INDEX(cat_ModN,MATCH(I403,cat_ModO,0)),I403))</f>
        <v>MULTILIN B90</v>
      </c>
      <c r="U403" s="34" t="str">
        <f aca="false">IF(I403="","",IFERROR(INDEX(cat_ModG,MATCH(I403,cat_ModO,0)),"No"))</f>
        <v>No</v>
      </c>
      <c r="V403" s="34" t="str">
        <f aca="false">IF(J403="","SIN DATO",IFERROR(INDEX(cat_FunN,MATCH(J403,cat_FunO,0)),J403))</f>
        <v>Protección y medición</v>
      </c>
      <c r="W403" s="34" t="str">
        <f aca="false">IF(OR(S403="SIN DATO",T403="SIN DATO"),"No","Sí")</f>
        <v>Sí</v>
      </c>
    </row>
    <row r="404" customFormat="false" ht="15" hidden="false" customHeight="false" outlineLevel="0" collapsed="false">
      <c r="A404" s="34" t="s">
        <v>1690</v>
      </c>
      <c r="B404" s="34" t="s">
        <v>1691</v>
      </c>
      <c r="C404" s="34" t="s">
        <v>1692</v>
      </c>
      <c r="D404" s="34" t="s">
        <v>1686</v>
      </c>
      <c r="E404" s="34" t="s">
        <v>184</v>
      </c>
      <c r="F404" s="34" t="s">
        <v>1602</v>
      </c>
      <c r="G404" s="34" t="s">
        <v>227</v>
      </c>
      <c r="H404" s="34" t="s">
        <v>1358</v>
      </c>
      <c r="I404" s="34" t="s">
        <v>68</v>
      </c>
      <c r="J404" s="34" t="s">
        <v>228</v>
      </c>
      <c r="K404" s="34" t="s">
        <v>229</v>
      </c>
      <c r="L404" s="34" t="s">
        <v>230</v>
      </c>
      <c r="M404" s="34" t="s">
        <v>1640</v>
      </c>
      <c r="N404" s="34" t="str">
        <f aca="false">"Sector "&amp;VALUE(MID(D404,13,2))</f>
        <v>Sector 8</v>
      </c>
      <c r="O404" s="34" t="str">
        <f aca="false">IF(Dashboard!$C$5="Ubicación técnica",N404,"Sector "&amp;VALUE(RIGHT(G404,2)))</f>
        <v>Sector 8</v>
      </c>
      <c r="P404" s="34" t="str">
        <f aca="false">IF(MID(D404,15,3)="SEL","Subestación eléctrica","Área de proceso")</f>
        <v>Subestación eléctrica</v>
      </c>
      <c r="Q404" s="34" t="str">
        <f aca="false">MID(D404,13,5)&amp;"|"&amp;MID(D404,19,5)</f>
        <v>08SEL|SEP01</v>
      </c>
      <c r="R404" s="34" t="str">
        <f aca="false">IF(P404="Subestación eléctrica",IFERROR(INDEX(cat_SubN,MATCH(Q404,cat_SubK,0)),"SIN CATALOGAR"),"ÁREA DE PROCESO")</f>
        <v>SEP-01</v>
      </c>
      <c r="S404" s="34" t="str">
        <f aca="false">IF(H404="","SIN DATO",IFERROR(INDEX(cat_MarcaN,MATCH(H404,cat_MarcaO,0)),H404))</f>
        <v>GENERAL ELECTRIC</v>
      </c>
      <c r="T404" s="34" t="str">
        <f aca="false">IF(I404="","SIN DATO",IFERROR(INDEX(cat_ModN,MATCH(I404,cat_ModO,0)),I404))</f>
        <v>MULTILIN B90</v>
      </c>
      <c r="U404" s="34" t="str">
        <f aca="false">IF(I404="","",IFERROR(INDEX(cat_ModG,MATCH(I404,cat_ModO,0)),"No"))</f>
        <v>No</v>
      </c>
      <c r="V404" s="34" t="str">
        <f aca="false">IF(J404="","SIN DATO",IFERROR(INDEX(cat_FunN,MATCH(J404,cat_FunO,0)),J404))</f>
        <v>Protección y medición</v>
      </c>
      <c r="W404" s="34" t="str">
        <f aca="false">IF(OR(S404="SIN DATO",T404="SIN DATO"),"No","Sí")</f>
        <v>Sí</v>
      </c>
    </row>
    <row r="405" customFormat="false" ht="15" hidden="false" customHeight="false" outlineLevel="0" collapsed="false">
      <c r="A405" s="34" t="s">
        <v>1693</v>
      </c>
      <c r="B405" s="34" t="s">
        <v>1694</v>
      </c>
      <c r="C405" s="34" t="s">
        <v>1695</v>
      </c>
      <c r="D405" s="34" t="s">
        <v>1676</v>
      </c>
      <c r="E405" s="34" t="s">
        <v>184</v>
      </c>
      <c r="F405" s="34" t="s">
        <v>1602</v>
      </c>
      <c r="G405" s="34" t="s">
        <v>227</v>
      </c>
      <c r="H405" s="34" t="s">
        <v>86</v>
      </c>
      <c r="I405" s="34" t="s">
        <v>88</v>
      </c>
      <c r="J405" s="34" t="s">
        <v>228</v>
      </c>
      <c r="K405" s="34" t="s">
        <v>229</v>
      </c>
      <c r="L405" s="34" t="s">
        <v>230</v>
      </c>
      <c r="M405" s="34" t="s">
        <v>237</v>
      </c>
      <c r="N405" s="34" t="str">
        <f aca="false">"Sector "&amp;VALUE(MID(D405,13,2))</f>
        <v>Sector 8</v>
      </c>
      <c r="O405" s="34" t="str">
        <f aca="false">IF(Dashboard!$C$5="Ubicación técnica",N405,"Sector "&amp;VALUE(RIGHT(G405,2)))</f>
        <v>Sector 8</v>
      </c>
      <c r="P405" s="34" t="str">
        <f aca="false">IF(MID(D405,15,3)="SEL","Subestación eléctrica","Área de proceso")</f>
        <v>Subestación eléctrica</v>
      </c>
      <c r="Q405" s="34" t="str">
        <f aca="false">MID(D405,13,5)&amp;"|"&amp;MID(D405,19,5)</f>
        <v>08SEL|SEP01</v>
      </c>
      <c r="R405" s="34" t="str">
        <f aca="false">IF(P405="Subestación eléctrica",IFERROR(INDEX(cat_SubN,MATCH(Q405,cat_SubK,0)),"SIN CATALOGAR"),"ÁREA DE PROCESO")</f>
        <v>SEP-01</v>
      </c>
      <c r="S405" s="34" t="str">
        <f aca="false">IF(H405="","SIN DATO",IFERROR(INDEX(cat_MarcaN,MATCH(H405,cat_MarcaO,0)),H405))</f>
        <v>SCHNEIDER ELECTRIC</v>
      </c>
      <c r="T405" s="34" t="str">
        <f aca="false">IF(I405="","SIN DATO",IFERROR(INDEX(cat_ModN,MATCH(I405,cat_ModO,0)),I405))</f>
        <v>P5F30</v>
      </c>
      <c r="U405" s="34" t="str">
        <f aca="false">IF(I405="","",IFERROR(INDEX(cat_ModG,MATCH(I405,cat_ModO,0)),"No"))</f>
        <v>No</v>
      </c>
      <c r="V405" s="34" t="str">
        <f aca="false">IF(J405="","SIN DATO",IFERROR(INDEX(cat_FunN,MATCH(J405,cat_FunO,0)),J405))</f>
        <v>Protección y medición</v>
      </c>
      <c r="W405" s="34" t="str">
        <f aca="false">IF(OR(S405="SIN DATO",T405="SIN DATO"),"No","Sí")</f>
        <v>Sí</v>
      </c>
    </row>
    <row r="406" customFormat="false" ht="15" hidden="false" customHeight="false" outlineLevel="0" collapsed="false">
      <c r="A406" s="34" t="s">
        <v>1696</v>
      </c>
      <c r="B406" s="34" t="s">
        <v>1697</v>
      </c>
      <c r="C406" s="34" t="s">
        <v>1698</v>
      </c>
      <c r="D406" s="34" t="s">
        <v>1676</v>
      </c>
      <c r="E406" s="34" t="s">
        <v>184</v>
      </c>
      <c r="F406" s="34" t="s">
        <v>1602</v>
      </c>
      <c r="G406" s="34" t="s">
        <v>227</v>
      </c>
      <c r="H406" s="34" t="s">
        <v>86</v>
      </c>
      <c r="I406" s="34" t="s">
        <v>88</v>
      </c>
      <c r="J406" s="34" t="s">
        <v>228</v>
      </c>
      <c r="K406" s="34" t="s">
        <v>229</v>
      </c>
      <c r="L406" s="34" t="s">
        <v>230</v>
      </c>
      <c r="M406" s="34" t="s">
        <v>237</v>
      </c>
      <c r="N406" s="34" t="str">
        <f aca="false">"Sector "&amp;VALUE(MID(D406,13,2))</f>
        <v>Sector 8</v>
      </c>
      <c r="O406" s="34" t="str">
        <f aca="false">IF(Dashboard!$C$5="Ubicación técnica",N406,"Sector "&amp;VALUE(RIGHT(G406,2)))</f>
        <v>Sector 8</v>
      </c>
      <c r="P406" s="34" t="str">
        <f aca="false">IF(MID(D406,15,3)="SEL","Subestación eléctrica","Área de proceso")</f>
        <v>Subestación eléctrica</v>
      </c>
      <c r="Q406" s="34" t="str">
        <f aca="false">MID(D406,13,5)&amp;"|"&amp;MID(D406,19,5)</f>
        <v>08SEL|SEP01</v>
      </c>
      <c r="R406" s="34" t="str">
        <f aca="false">IF(P406="Subestación eléctrica",IFERROR(INDEX(cat_SubN,MATCH(Q406,cat_SubK,0)),"SIN CATALOGAR"),"ÁREA DE PROCESO")</f>
        <v>SEP-01</v>
      </c>
      <c r="S406" s="34" t="str">
        <f aca="false">IF(H406="","SIN DATO",IFERROR(INDEX(cat_MarcaN,MATCH(H406,cat_MarcaO,0)),H406))</f>
        <v>SCHNEIDER ELECTRIC</v>
      </c>
      <c r="T406" s="34" t="str">
        <f aca="false">IF(I406="","SIN DATO",IFERROR(INDEX(cat_ModN,MATCH(I406,cat_ModO,0)),I406))</f>
        <v>P5F30</v>
      </c>
      <c r="U406" s="34" t="str">
        <f aca="false">IF(I406="","",IFERROR(INDEX(cat_ModG,MATCH(I406,cat_ModO,0)),"No"))</f>
        <v>No</v>
      </c>
      <c r="V406" s="34" t="str">
        <f aca="false">IF(J406="","SIN DATO",IFERROR(INDEX(cat_FunN,MATCH(J406,cat_FunO,0)),J406))</f>
        <v>Protección y medición</v>
      </c>
      <c r="W406" s="34" t="str">
        <f aca="false">IF(OR(S406="SIN DATO",T406="SIN DATO"),"No","Sí")</f>
        <v>Sí</v>
      </c>
    </row>
    <row r="407" customFormat="false" ht="15" hidden="false" customHeight="false" outlineLevel="0" collapsed="false">
      <c r="A407" s="34" t="s">
        <v>1699</v>
      </c>
      <c r="B407" s="34" t="s">
        <v>1700</v>
      </c>
      <c r="C407" s="34" t="s">
        <v>1701</v>
      </c>
      <c r="D407" s="34" t="s">
        <v>1676</v>
      </c>
      <c r="E407" s="34" t="s">
        <v>184</v>
      </c>
      <c r="F407" s="34" t="s">
        <v>1602</v>
      </c>
      <c r="G407" s="34" t="s">
        <v>227</v>
      </c>
      <c r="H407" s="34" t="s">
        <v>86</v>
      </c>
      <c r="I407" s="34" t="s">
        <v>88</v>
      </c>
      <c r="J407" s="34" t="s">
        <v>228</v>
      </c>
      <c r="K407" s="34" t="s">
        <v>229</v>
      </c>
      <c r="L407" s="34" t="s">
        <v>230</v>
      </c>
      <c r="M407" s="34" t="s">
        <v>237</v>
      </c>
      <c r="N407" s="34" t="str">
        <f aca="false">"Sector "&amp;VALUE(MID(D407,13,2))</f>
        <v>Sector 8</v>
      </c>
      <c r="O407" s="34" t="str">
        <f aca="false">IF(Dashboard!$C$5="Ubicación técnica",N407,"Sector "&amp;VALUE(RIGHT(G407,2)))</f>
        <v>Sector 8</v>
      </c>
      <c r="P407" s="34" t="str">
        <f aca="false">IF(MID(D407,15,3)="SEL","Subestación eléctrica","Área de proceso")</f>
        <v>Subestación eléctrica</v>
      </c>
      <c r="Q407" s="34" t="str">
        <f aca="false">MID(D407,13,5)&amp;"|"&amp;MID(D407,19,5)</f>
        <v>08SEL|SEP01</v>
      </c>
      <c r="R407" s="34" t="str">
        <f aca="false">IF(P407="Subestación eléctrica",IFERROR(INDEX(cat_SubN,MATCH(Q407,cat_SubK,0)),"SIN CATALOGAR"),"ÁREA DE PROCESO")</f>
        <v>SEP-01</v>
      </c>
      <c r="S407" s="34" t="str">
        <f aca="false">IF(H407="","SIN DATO",IFERROR(INDEX(cat_MarcaN,MATCH(H407,cat_MarcaO,0)),H407))</f>
        <v>SCHNEIDER ELECTRIC</v>
      </c>
      <c r="T407" s="34" t="str">
        <f aca="false">IF(I407="","SIN DATO",IFERROR(INDEX(cat_ModN,MATCH(I407,cat_ModO,0)),I407))</f>
        <v>P5F30</v>
      </c>
      <c r="U407" s="34" t="str">
        <f aca="false">IF(I407="","",IFERROR(INDEX(cat_ModG,MATCH(I407,cat_ModO,0)),"No"))</f>
        <v>No</v>
      </c>
      <c r="V407" s="34" t="str">
        <f aca="false">IF(J407="","SIN DATO",IFERROR(INDEX(cat_FunN,MATCH(J407,cat_FunO,0)),J407))</f>
        <v>Protección y medición</v>
      </c>
      <c r="W407" s="34" t="str">
        <f aca="false">IF(OR(S407="SIN DATO",T407="SIN DATO"),"No","Sí")</f>
        <v>Sí</v>
      </c>
    </row>
    <row r="408" customFormat="false" ht="15" hidden="false" customHeight="false" outlineLevel="0" collapsed="false">
      <c r="A408" s="34" t="s">
        <v>1702</v>
      </c>
      <c r="B408" s="34" t="s">
        <v>1703</v>
      </c>
      <c r="C408" s="34" t="s">
        <v>1704</v>
      </c>
      <c r="D408" s="34" t="s">
        <v>1676</v>
      </c>
      <c r="E408" s="34" t="s">
        <v>184</v>
      </c>
      <c r="F408" s="34" t="s">
        <v>1602</v>
      </c>
      <c r="G408" s="34" t="s">
        <v>227</v>
      </c>
      <c r="H408" s="34" t="s">
        <v>86</v>
      </c>
      <c r="I408" s="34" t="s">
        <v>88</v>
      </c>
      <c r="J408" s="34" t="s">
        <v>228</v>
      </c>
      <c r="K408" s="34" t="s">
        <v>229</v>
      </c>
      <c r="L408" s="34" t="s">
        <v>230</v>
      </c>
      <c r="M408" s="34" t="s">
        <v>237</v>
      </c>
      <c r="N408" s="34" t="str">
        <f aca="false">"Sector "&amp;VALUE(MID(D408,13,2))</f>
        <v>Sector 8</v>
      </c>
      <c r="O408" s="34" t="str">
        <f aca="false">IF(Dashboard!$C$5="Ubicación técnica",N408,"Sector "&amp;VALUE(RIGHT(G408,2)))</f>
        <v>Sector 8</v>
      </c>
      <c r="P408" s="34" t="str">
        <f aca="false">IF(MID(D408,15,3)="SEL","Subestación eléctrica","Área de proceso")</f>
        <v>Subestación eléctrica</v>
      </c>
      <c r="Q408" s="34" t="str">
        <f aca="false">MID(D408,13,5)&amp;"|"&amp;MID(D408,19,5)</f>
        <v>08SEL|SEP01</v>
      </c>
      <c r="R408" s="34" t="str">
        <f aca="false">IF(P408="Subestación eléctrica",IFERROR(INDEX(cat_SubN,MATCH(Q408,cat_SubK,0)),"SIN CATALOGAR"),"ÁREA DE PROCESO")</f>
        <v>SEP-01</v>
      </c>
      <c r="S408" s="34" t="str">
        <f aca="false">IF(H408="","SIN DATO",IFERROR(INDEX(cat_MarcaN,MATCH(H408,cat_MarcaO,0)),H408))</f>
        <v>SCHNEIDER ELECTRIC</v>
      </c>
      <c r="T408" s="34" t="str">
        <f aca="false">IF(I408="","SIN DATO",IFERROR(INDEX(cat_ModN,MATCH(I408,cat_ModO,0)),I408))</f>
        <v>P5F30</v>
      </c>
      <c r="U408" s="34" t="str">
        <f aca="false">IF(I408="","",IFERROR(INDEX(cat_ModG,MATCH(I408,cat_ModO,0)),"No"))</f>
        <v>No</v>
      </c>
      <c r="V408" s="34" t="str">
        <f aca="false">IF(J408="","SIN DATO",IFERROR(INDEX(cat_FunN,MATCH(J408,cat_FunO,0)),J408))</f>
        <v>Protección y medición</v>
      </c>
      <c r="W408" s="34" t="str">
        <f aca="false">IF(OR(S408="SIN DATO",T408="SIN DATO"),"No","Sí")</f>
        <v>Sí</v>
      </c>
    </row>
    <row r="409" customFormat="false" ht="15" hidden="false" customHeight="false" outlineLevel="0" collapsed="false">
      <c r="A409" s="34" t="s">
        <v>1705</v>
      </c>
      <c r="B409" s="34" t="s">
        <v>1706</v>
      </c>
      <c r="C409" s="34" t="s">
        <v>1707</v>
      </c>
      <c r="D409" s="34" t="s">
        <v>1676</v>
      </c>
      <c r="E409" s="34" t="s">
        <v>184</v>
      </c>
      <c r="F409" s="34" t="s">
        <v>1602</v>
      </c>
      <c r="G409" s="34" t="s">
        <v>227</v>
      </c>
      <c r="H409" s="34" t="s">
        <v>86</v>
      </c>
      <c r="I409" s="34" t="s">
        <v>88</v>
      </c>
      <c r="J409" s="34" t="s">
        <v>228</v>
      </c>
      <c r="K409" s="34" t="s">
        <v>229</v>
      </c>
      <c r="L409" s="34" t="s">
        <v>230</v>
      </c>
      <c r="M409" s="34" t="s">
        <v>237</v>
      </c>
      <c r="N409" s="34" t="str">
        <f aca="false">"Sector "&amp;VALUE(MID(D409,13,2))</f>
        <v>Sector 8</v>
      </c>
      <c r="O409" s="34" t="str">
        <f aca="false">IF(Dashboard!$C$5="Ubicación técnica",N409,"Sector "&amp;VALUE(RIGHT(G409,2)))</f>
        <v>Sector 8</v>
      </c>
      <c r="P409" s="34" t="str">
        <f aca="false">IF(MID(D409,15,3)="SEL","Subestación eléctrica","Área de proceso")</f>
        <v>Subestación eléctrica</v>
      </c>
      <c r="Q409" s="34" t="str">
        <f aca="false">MID(D409,13,5)&amp;"|"&amp;MID(D409,19,5)</f>
        <v>08SEL|SEP01</v>
      </c>
      <c r="R409" s="34" t="str">
        <f aca="false">IF(P409="Subestación eléctrica",IFERROR(INDEX(cat_SubN,MATCH(Q409,cat_SubK,0)),"SIN CATALOGAR"),"ÁREA DE PROCESO")</f>
        <v>SEP-01</v>
      </c>
      <c r="S409" s="34" t="str">
        <f aca="false">IF(H409="","SIN DATO",IFERROR(INDEX(cat_MarcaN,MATCH(H409,cat_MarcaO,0)),H409))</f>
        <v>SCHNEIDER ELECTRIC</v>
      </c>
      <c r="T409" s="34" t="str">
        <f aca="false">IF(I409="","SIN DATO",IFERROR(INDEX(cat_ModN,MATCH(I409,cat_ModO,0)),I409))</f>
        <v>P5F30</v>
      </c>
      <c r="U409" s="34" t="str">
        <f aca="false">IF(I409="","",IFERROR(INDEX(cat_ModG,MATCH(I409,cat_ModO,0)),"No"))</f>
        <v>No</v>
      </c>
      <c r="V409" s="34" t="str">
        <f aca="false">IF(J409="","SIN DATO",IFERROR(INDEX(cat_FunN,MATCH(J409,cat_FunO,0)),J409))</f>
        <v>Protección y medición</v>
      </c>
      <c r="W409" s="34" t="str">
        <f aca="false">IF(OR(S409="SIN DATO",T409="SIN DATO"),"No","Sí")</f>
        <v>Sí</v>
      </c>
    </row>
    <row r="410" customFormat="false" ht="15" hidden="false" customHeight="false" outlineLevel="0" collapsed="false">
      <c r="A410" s="34" t="s">
        <v>1708</v>
      </c>
      <c r="B410" s="34" t="s">
        <v>1709</v>
      </c>
      <c r="C410" s="34" t="s">
        <v>1710</v>
      </c>
      <c r="D410" s="34" t="s">
        <v>1676</v>
      </c>
      <c r="E410" s="34" t="s">
        <v>184</v>
      </c>
      <c r="F410" s="34" t="s">
        <v>1602</v>
      </c>
      <c r="G410" s="34" t="s">
        <v>227</v>
      </c>
      <c r="H410" s="34" t="s">
        <v>86</v>
      </c>
      <c r="I410" s="34" t="s">
        <v>88</v>
      </c>
      <c r="J410" s="34" t="s">
        <v>228</v>
      </c>
      <c r="K410" s="34" t="s">
        <v>229</v>
      </c>
      <c r="L410" s="34" t="s">
        <v>230</v>
      </c>
      <c r="M410" s="34" t="s">
        <v>237</v>
      </c>
      <c r="N410" s="34" t="str">
        <f aca="false">"Sector "&amp;VALUE(MID(D410,13,2))</f>
        <v>Sector 8</v>
      </c>
      <c r="O410" s="34" t="str">
        <f aca="false">IF(Dashboard!$C$5="Ubicación técnica",N410,"Sector "&amp;VALUE(RIGHT(G410,2)))</f>
        <v>Sector 8</v>
      </c>
      <c r="P410" s="34" t="str">
        <f aca="false">IF(MID(D410,15,3)="SEL","Subestación eléctrica","Área de proceso")</f>
        <v>Subestación eléctrica</v>
      </c>
      <c r="Q410" s="34" t="str">
        <f aca="false">MID(D410,13,5)&amp;"|"&amp;MID(D410,19,5)</f>
        <v>08SEL|SEP01</v>
      </c>
      <c r="R410" s="34" t="str">
        <f aca="false">IF(P410="Subestación eléctrica",IFERROR(INDEX(cat_SubN,MATCH(Q410,cat_SubK,0)),"SIN CATALOGAR"),"ÁREA DE PROCESO")</f>
        <v>SEP-01</v>
      </c>
      <c r="S410" s="34" t="str">
        <f aca="false">IF(H410="","SIN DATO",IFERROR(INDEX(cat_MarcaN,MATCH(H410,cat_MarcaO,0)),H410))</f>
        <v>SCHNEIDER ELECTRIC</v>
      </c>
      <c r="T410" s="34" t="str">
        <f aca="false">IF(I410="","SIN DATO",IFERROR(INDEX(cat_ModN,MATCH(I410,cat_ModO,0)),I410))</f>
        <v>P5F30</v>
      </c>
      <c r="U410" s="34" t="str">
        <f aca="false">IF(I410="","",IFERROR(INDEX(cat_ModG,MATCH(I410,cat_ModO,0)),"No"))</f>
        <v>No</v>
      </c>
      <c r="V410" s="34" t="str">
        <f aca="false">IF(J410="","SIN DATO",IFERROR(INDEX(cat_FunN,MATCH(J410,cat_FunO,0)),J410))</f>
        <v>Protección y medición</v>
      </c>
      <c r="W410" s="34" t="str">
        <f aca="false">IF(OR(S410="SIN DATO",T410="SIN DATO"),"No","Sí")</f>
        <v>Sí</v>
      </c>
    </row>
    <row r="411" customFormat="false" ht="15" hidden="false" customHeight="false" outlineLevel="0" collapsed="false">
      <c r="A411" s="34" t="s">
        <v>1711</v>
      </c>
      <c r="B411" s="34" t="s">
        <v>1712</v>
      </c>
      <c r="C411" s="34" t="s">
        <v>1713</v>
      </c>
      <c r="D411" s="34" t="s">
        <v>1686</v>
      </c>
      <c r="E411" s="34" t="s">
        <v>184</v>
      </c>
      <c r="F411" s="34" t="s">
        <v>1602</v>
      </c>
      <c r="G411" s="34" t="s">
        <v>227</v>
      </c>
      <c r="H411" s="34" t="s">
        <v>86</v>
      </c>
      <c r="I411" s="34" t="s">
        <v>88</v>
      </c>
      <c r="J411" s="34" t="s">
        <v>228</v>
      </c>
      <c r="K411" s="34" t="s">
        <v>229</v>
      </c>
      <c r="L411" s="34" t="s">
        <v>230</v>
      </c>
      <c r="M411" s="34" t="s">
        <v>237</v>
      </c>
      <c r="N411" s="34" t="str">
        <f aca="false">"Sector "&amp;VALUE(MID(D411,13,2))</f>
        <v>Sector 8</v>
      </c>
      <c r="O411" s="34" t="str">
        <f aca="false">IF(Dashboard!$C$5="Ubicación técnica",N411,"Sector "&amp;VALUE(RIGHT(G411,2)))</f>
        <v>Sector 8</v>
      </c>
      <c r="P411" s="34" t="str">
        <f aca="false">IF(MID(D411,15,3)="SEL","Subestación eléctrica","Área de proceso")</f>
        <v>Subestación eléctrica</v>
      </c>
      <c r="Q411" s="34" t="str">
        <f aca="false">MID(D411,13,5)&amp;"|"&amp;MID(D411,19,5)</f>
        <v>08SEL|SEP01</v>
      </c>
      <c r="R411" s="34" t="str">
        <f aca="false">IF(P411="Subestación eléctrica",IFERROR(INDEX(cat_SubN,MATCH(Q411,cat_SubK,0)),"SIN CATALOGAR"),"ÁREA DE PROCESO")</f>
        <v>SEP-01</v>
      </c>
      <c r="S411" s="34" t="str">
        <f aca="false">IF(H411="","SIN DATO",IFERROR(INDEX(cat_MarcaN,MATCH(H411,cat_MarcaO,0)),H411))</f>
        <v>SCHNEIDER ELECTRIC</v>
      </c>
      <c r="T411" s="34" t="str">
        <f aca="false">IF(I411="","SIN DATO",IFERROR(INDEX(cat_ModN,MATCH(I411,cat_ModO,0)),I411))</f>
        <v>P5F30</v>
      </c>
      <c r="U411" s="34" t="str">
        <f aca="false">IF(I411="","",IFERROR(INDEX(cat_ModG,MATCH(I411,cat_ModO,0)),"No"))</f>
        <v>No</v>
      </c>
      <c r="V411" s="34" t="str">
        <f aca="false">IF(J411="","SIN DATO",IFERROR(INDEX(cat_FunN,MATCH(J411,cat_FunO,0)),J411))</f>
        <v>Protección y medición</v>
      </c>
      <c r="W411" s="34" t="str">
        <f aca="false">IF(OR(S411="SIN DATO",T411="SIN DATO"),"No","Sí")</f>
        <v>Sí</v>
      </c>
    </row>
    <row r="412" customFormat="false" ht="15" hidden="false" customHeight="false" outlineLevel="0" collapsed="false">
      <c r="A412" s="34" t="s">
        <v>1714</v>
      </c>
      <c r="B412" s="34" t="s">
        <v>1715</v>
      </c>
      <c r="C412" s="34" t="s">
        <v>1716</v>
      </c>
      <c r="D412" s="34" t="s">
        <v>1686</v>
      </c>
      <c r="E412" s="34" t="s">
        <v>184</v>
      </c>
      <c r="F412" s="34" t="s">
        <v>1602</v>
      </c>
      <c r="G412" s="34" t="s">
        <v>227</v>
      </c>
      <c r="H412" s="34" t="s">
        <v>86</v>
      </c>
      <c r="I412" s="34" t="s">
        <v>88</v>
      </c>
      <c r="J412" s="34" t="s">
        <v>228</v>
      </c>
      <c r="K412" s="34" t="s">
        <v>229</v>
      </c>
      <c r="L412" s="34" t="s">
        <v>230</v>
      </c>
      <c r="M412" s="34" t="s">
        <v>237</v>
      </c>
      <c r="N412" s="34" t="str">
        <f aca="false">"Sector "&amp;VALUE(MID(D412,13,2))</f>
        <v>Sector 8</v>
      </c>
      <c r="O412" s="34" t="str">
        <f aca="false">IF(Dashboard!$C$5="Ubicación técnica",N412,"Sector "&amp;VALUE(RIGHT(G412,2)))</f>
        <v>Sector 8</v>
      </c>
      <c r="P412" s="34" t="str">
        <f aca="false">IF(MID(D412,15,3)="SEL","Subestación eléctrica","Área de proceso")</f>
        <v>Subestación eléctrica</v>
      </c>
      <c r="Q412" s="34" t="str">
        <f aca="false">MID(D412,13,5)&amp;"|"&amp;MID(D412,19,5)</f>
        <v>08SEL|SEP01</v>
      </c>
      <c r="R412" s="34" t="str">
        <f aca="false">IF(P412="Subestación eléctrica",IFERROR(INDEX(cat_SubN,MATCH(Q412,cat_SubK,0)),"SIN CATALOGAR"),"ÁREA DE PROCESO")</f>
        <v>SEP-01</v>
      </c>
      <c r="S412" s="34" t="str">
        <f aca="false">IF(H412="","SIN DATO",IFERROR(INDEX(cat_MarcaN,MATCH(H412,cat_MarcaO,0)),H412))</f>
        <v>SCHNEIDER ELECTRIC</v>
      </c>
      <c r="T412" s="34" t="str">
        <f aca="false">IF(I412="","SIN DATO",IFERROR(INDEX(cat_ModN,MATCH(I412,cat_ModO,0)),I412))</f>
        <v>P5F30</v>
      </c>
      <c r="U412" s="34" t="str">
        <f aca="false">IF(I412="","",IFERROR(INDEX(cat_ModG,MATCH(I412,cat_ModO,0)),"No"))</f>
        <v>No</v>
      </c>
      <c r="V412" s="34" t="str">
        <f aca="false">IF(J412="","SIN DATO",IFERROR(INDEX(cat_FunN,MATCH(J412,cat_FunO,0)),J412))</f>
        <v>Protección y medición</v>
      </c>
      <c r="W412" s="34" t="str">
        <f aca="false">IF(OR(S412="SIN DATO",T412="SIN DATO"),"No","Sí")</f>
        <v>Sí</v>
      </c>
    </row>
    <row r="413" customFormat="false" ht="15" hidden="false" customHeight="false" outlineLevel="0" collapsed="false">
      <c r="A413" s="34" t="s">
        <v>1717</v>
      </c>
      <c r="B413" s="34" t="s">
        <v>1718</v>
      </c>
      <c r="C413" s="34" t="s">
        <v>1719</v>
      </c>
      <c r="D413" s="34" t="s">
        <v>1686</v>
      </c>
      <c r="E413" s="34" t="s">
        <v>184</v>
      </c>
      <c r="F413" s="34" t="s">
        <v>1602</v>
      </c>
      <c r="G413" s="34" t="s">
        <v>227</v>
      </c>
      <c r="H413" s="34" t="s">
        <v>86</v>
      </c>
      <c r="I413" s="34" t="s">
        <v>88</v>
      </c>
      <c r="J413" s="34" t="s">
        <v>228</v>
      </c>
      <c r="K413" s="34" t="s">
        <v>229</v>
      </c>
      <c r="L413" s="34" t="s">
        <v>230</v>
      </c>
      <c r="M413" s="34" t="s">
        <v>237</v>
      </c>
      <c r="N413" s="34" t="str">
        <f aca="false">"Sector "&amp;VALUE(MID(D413,13,2))</f>
        <v>Sector 8</v>
      </c>
      <c r="O413" s="34" t="str">
        <f aca="false">IF(Dashboard!$C$5="Ubicación técnica",N413,"Sector "&amp;VALUE(RIGHT(G413,2)))</f>
        <v>Sector 8</v>
      </c>
      <c r="P413" s="34" t="str">
        <f aca="false">IF(MID(D413,15,3)="SEL","Subestación eléctrica","Área de proceso")</f>
        <v>Subestación eléctrica</v>
      </c>
      <c r="Q413" s="34" t="str">
        <f aca="false">MID(D413,13,5)&amp;"|"&amp;MID(D413,19,5)</f>
        <v>08SEL|SEP01</v>
      </c>
      <c r="R413" s="34" t="str">
        <f aca="false">IF(P413="Subestación eléctrica",IFERROR(INDEX(cat_SubN,MATCH(Q413,cat_SubK,0)),"SIN CATALOGAR"),"ÁREA DE PROCESO")</f>
        <v>SEP-01</v>
      </c>
      <c r="S413" s="34" t="str">
        <f aca="false">IF(H413="","SIN DATO",IFERROR(INDEX(cat_MarcaN,MATCH(H413,cat_MarcaO,0)),H413))</f>
        <v>SCHNEIDER ELECTRIC</v>
      </c>
      <c r="T413" s="34" t="str">
        <f aca="false">IF(I413="","SIN DATO",IFERROR(INDEX(cat_ModN,MATCH(I413,cat_ModO,0)),I413))</f>
        <v>P5F30</v>
      </c>
      <c r="U413" s="34" t="str">
        <f aca="false">IF(I413="","",IFERROR(INDEX(cat_ModG,MATCH(I413,cat_ModO,0)),"No"))</f>
        <v>No</v>
      </c>
      <c r="V413" s="34" t="str">
        <f aca="false">IF(J413="","SIN DATO",IFERROR(INDEX(cat_FunN,MATCH(J413,cat_FunO,0)),J413))</f>
        <v>Protección y medición</v>
      </c>
      <c r="W413" s="34" t="str">
        <f aca="false">IF(OR(S413="SIN DATO",T413="SIN DATO"),"No","Sí")</f>
        <v>Sí</v>
      </c>
    </row>
    <row r="414" customFormat="false" ht="15" hidden="false" customHeight="false" outlineLevel="0" collapsed="false">
      <c r="A414" s="34" t="s">
        <v>1720</v>
      </c>
      <c r="B414" s="34" t="s">
        <v>1721</v>
      </c>
      <c r="C414" s="34" t="s">
        <v>1722</v>
      </c>
      <c r="D414" s="34" t="s">
        <v>1686</v>
      </c>
      <c r="E414" s="34" t="s">
        <v>184</v>
      </c>
      <c r="F414" s="34" t="s">
        <v>1602</v>
      </c>
      <c r="G414" s="34" t="s">
        <v>227</v>
      </c>
      <c r="H414" s="34" t="s">
        <v>86</v>
      </c>
      <c r="I414" s="34" t="s">
        <v>88</v>
      </c>
      <c r="J414" s="34" t="s">
        <v>228</v>
      </c>
      <c r="K414" s="34" t="s">
        <v>229</v>
      </c>
      <c r="L414" s="34" t="s">
        <v>230</v>
      </c>
      <c r="M414" s="34" t="s">
        <v>237</v>
      </c>
      <c r="N414" s="34" t="str">
        <f aca="false">"Sector "&amp;VALUE(MID(D414,13,2))</f>
        <v>Sector 8</v>
      </c>
      <c r="O414" s="34" t="str">
        <f aca="false">IF(Dashboard!$C$5="Ubicación técnica",N414,"Sector "&amp;VALUE(RIGHT(G414,2)))</f>
        <v>Sector 8</v>
      </c>
      <c r="P414" s="34" t="str">
        <f aca="false">IF(MID(D414,15,3)="SEL","Subestación eléctrica","Área de proceso")</f>
        <v>Subestación eléctrica</v>
      </c>
      <c r="Q414" s="34" t="str">
        <f aca="false">MID(D414,13,5)&amp;"|"&amp;MID(D414,19,5)</f>
        <v>08SEL|SEP01</v>
      </c>
      <c r="R414" s="34" t="str">
        <f aca="false">IF(P414="Subestación eléctrica",IFERROR(INDEX(cat_SubN,MATCH(Q414,cat_SubK,0)),"SIN CATALOGAR"),"ÁREA DE PROCESO")</f>
        <v>SEP-01</v>
      </c>
      <c r="S414" s="34" t="str">
        <f aca="false">IF(H414="","SIN DATO",IFERROR(INDEX(cat_MarcaN,MATCH(H414,cat_MarcaO,0)),H414))</f>
        <v>SCHNEIDER ELECTRIC</v>
      </c>
      <c r="T414" s="34" t="str">
        <f aca="false">IF(I414="","SIN DATO",IFERROR(INDEX(cat_ModN,MATCH(I414,cat_ModO,0)),I414))</f>
        <v>P5F30</v>
      </c>
      <c r="U414" s="34" t="str">
        <f aca="false">IF(I414="","",IFERROR(INDEX(cat_ModG,MATCH(I414,cat_ModO,0)),"No"))</f>
        <v>No</v>
      </c>
      <c r="V414" s="34" t="str">
        <f aca="false">IF(J414="","SIN DATO",IFERROR(INDEX(cat_FunN,MATCH(J414,cat_FunO,0)),J414))</f>
        <v>Protección y medición</v>
      </c>
      <c r="W414" s="34" t="str">
        <f aca="false">IF(OR(S414="SIN DATO",T414="SIN DATO"),"No","Sí")</f>
        <v>Sí</v>
      </c>
    </row>
    <row r="415" customFormat="false" ht="15" hidden="false" customHeight="false" outlineLevel="0" collapsed="false">
      <c r="A415" s="34" t="s">
        <v>1723</v>
      </c>
      <c r="B415" s="34" t="s">
        <v>1724</v>
      </c>
      <c r="C415" s="34" t="s">
        <v>1725</v>
      </c>
      <c r="D415" s="34" t="s">
        <v>1686</v>
      </c>
      <c r="E415" s="34" t="s">
        <v>184</v>
      </c>
      <c r="F415" s="34" t="s">
        <v>1602</v>
      </c>
      <c r="G415" s="34" t="s">
        <v>227</v>
      </c>
      <c r="H415" s="34" t="s">
        <v>86</v>
      </c>
      <c r="I415" s="34" t="s">
        <v>88</v>
      </c>
      <c r="J415" s="34" t="s">
        <v>228</v>
      </c>
      <c r="K415" s="34" t="s">
        <v>229</v>
      </c>
      <c r="L415" s="34" t="s">
        <v>230</v>
      </c>
      <c r="M415" s="34" t="s">
        <v>237</v>
      </c>
      <c r="N415" s="34" t="str">
        <f aca="false">"Sector "&amp;VALUE(MID(D415,13,2))</f>
        <v>Sector 8</v>
      </c>
      <c r="O415" s="34" t="str">
        <f aca="false">IF(Dashboard!$C$5="Ubicación técnica",N415,"Sector "&amp;VALUE(RIGHT(G415,2)))</f>
        <v>Sector 8</v>
      </c>
      <c r="P415" s="34" t="str">
        <f aca="false">IF(MID(D415,15,3)="SEL","Subestación eléctrica","Área de proceso")</f>
        <v>Subestación eléctrica</v>
      </c>
      <c r="Q415" s="34" t="str">
        <f aca="false">MID(D415,13,5)&amp;"|"&amp;MID(D415,19,5)</f>
        <v>08SEL|SEP01</v>
      </c>
      <c r="R415" s="34" t="str">
        <f aca="false">IF(P415="Subestación eléctrica",IFERROR(INDEX(cat_SubN,MATCH(Q415,cat_SubK,0)),"SIN CATALOGAR"),"ÁREA DE PROCESO")</f>
        <v>SEP-01</v>
      </c>
      <c r="S415" s="34" t="str">
        <f aca="false">IF(H415="","SIN DATO",IFERROR(INDEX(cat_MarcaN,MATCH(H415,cat_MarcaO,0)),H415))</f>
        <v>SCHNEIDER ELECTRIC</v>
      </c>
      <c r="T415" s="34" t="str">
        <f aca="false">IF(I415="","SIN DATO",IFERROR(INDEX(cat_ModN,MATCH(I415,cat_ModO,0)),I415))</f>
        <v>P5F30</v>
      </c>
      <c r="U415" s="34" t="str">
        <f aca="false">IF(I415="","",IFERROR(INDEX(cat_ModG,MATCH(I415,cat_ModO,0)),"No"))</f>
        <v>No</v>
      </c>
      <c r="V415" s="34" t="str">
        <f aca="false">IF(J415="","SIN DATO",IFERROR(INDEX(cat_FunN,MATCH(J415,cat_FunO,0)),J415))</f>
        <v>Protección y medición</v>
      </c>
      <c r="W415" s="34" t="str">
        <f aca="false">IF(OR(S415="SIN DATO",T415="SIN DATO"),"No","Sí")</f>
        <v>Sí</v>
      </c>
    </row>
    <row r="416" customFormat="false" ht="15" hidden="false" customHeight="false" outlineLevel="0" collapsed="false">
      <c r="A416" s="34" t="s">
        <v>1726</v>
      </c>
      <c r="B416" s="34" t="s">
        <v>1727</v>
      </c>
      <c r="C416" s="34" t="s">
        <v>1728</v>
      </c>
      <c r="D416" s="34" t="s">
        <v>1659</v>
      </c>
      <c r="E416" s="34" t="s">
        <v>184</v>
      </c>
      <c r="F416" s="34" t="s">
        <v>1602</v>
      </c>
      <c r="G416" s="34" t="s">
        <v>227</v>
      </c>
      <c r="H416" s="34" t="s">
        <v>55</v>
      </c>
      <c r="I416" s="34" t="s">
        <v>57</v>
      </c>
      <c r="J416" s="34" t="s">
        <v>58</v>
      </c>
      <c r="K416" s="34" t="s">
        <v>229</v>
      </c>
      <c r="L416" s="34" t="s">
        <v>230</v>
      </c>
      <c r="M416" s="34" t="s">
        <v>237</v>
      </c>
      <c r="N416" s="34" t="str">
        <f aca="false">"Sector "&amp;VALUE(MID(D416,13,2))</f>
        <v>Sector 8</v>
      </c>
      <c r="O416" s="34" t="str">
        <f aca="false">IF(Dashboard!$C$5="Ubicación técnica",N416,"Sector "&amp;VALUE(RIGHT(G416,2)))</f>
        <v>Sector 8</v>
      </c>
      <c r="P416" s="34" t="str">
        <f aca="false">IF(MID(D416,15,3)="SEL","Subestación eléctrica","Área de proceso")</f>
        <v>Subestación eléctrica</v>
      </c>
      <c r="Q416" s="34" t="str">
        <f aca="false">MID(D416,13,5)&amp;"|"&amp;MID(D416,19,5)</f>
        <v>08SEL|SEP01</v>
      </c>
      <c r="R416" s="34" t="str">
        <f aca="false">IF(P416="Subestación eléctrica",IFERROR(INDEX(cat_SubN,MATCH(Q416,cat_SubK,0)),"SIN CATALOGAR"),"ÁREA DE PROCESO")</f>
        <v>SEP-01</v>
      </c>
      <c r="S416" s="34" t="str">
        <f aca="false">IF(H416="","SIN DATO",IFERROR(INDEX(cat_MarcaN,MATCH(H416,cat_MarcaO,0)),H416))</f>
        <v>SEL</v>
      </c>
      <c r="T416" s="34" t="str">
        <f aca="false">IF(I416="","SIN DATO",IFERROR(INDEX(cat_ModN,MATCH(I416,cat_ModO,0)),I416))</f>
        <v>SEL-735</v>
      </c>
      <c r="U416" s="34" t="str">
        <f aca="false">IF(I416="","",IFERROR(INDEX(cat_ModG,MATCH(I416,cat_ModO,0)),"No"))</f>
        <v>No</v>
      </c>
      <c r="V416" s="34" t="str">
        <f aca="false">IF(J416="","SIN DATO",IFERROR(INDEX(cat_FunN,MATCH(J416,cat_FunO,0)),J416))</f>
        <v>Medición</v>
      </c>
      <c r="W416" s="34" t="str">
        <f aca="false">IF(OR(S416="SIN DATO",T416="SIN DATO"),"No","Sí")</f>
        <v>Sí</v>
      </c>
    </row>
    <row r="417" customFormat="false" ht="15" hidden="false" customHeight="false" outlineLevel="0" collapsed="false">
      <c r="A417" s="34" t="s">
        <v>1729</v>
      </c>
      <c r="B417" s="34" t="s">
        <v>1730</v>
      </c>
      <c r="C417" s="34" t="s">
        <v>1731</v>
      </c>
      <c r="D417" s="34" t="s">
        <v>1732</v>
      </c>
      <c r="E417" s="34" t="s">
        <v>184</v>
      </c>
      <c r="F417" s="34" t="s">
        <v>1602</v>
      </c>
      <c r="G417" s="34" t="s">
        <v>227</v>
      </c>
      <c r="H417" s="34" t="s">
        <v>34</v>
      </c>
      <c r="I417" s="34" t="s">
        <v>37</v>
      </c>
      <c r="J417" s="34" t="s">
        <v>228</v>
      </c>
      <c r="K417" s="34" t="s">
        <v>229</v>
      </c>
      <c r="L417" s="34" t="s">
        <v>230</v>
      </c>
      <c r="M417" s="34" t="s">
        <v>1663</v>
      </c>
      <c r="N417" s="34" t="str">
        <f aca="false">"Sector "&amp;VALUE(MID(D417,13,2))</f>
        <v>Sector 8</v>
      </c>
      <c r="O417" s="34" t="str">
        <f aca="false">IF(Dashboard!$C$5="Ubicación técnica",N417,"Sector "&amp;VALUE(RIGHT(G417,2)))</f>
        <v>Sector 8</v>
      </c>
      <c r="P417" s="34" t="str">
        <f aca="false">IF(MID(D417,15,3)="SEL","Subestación eléctrica","Área de proceso")</f>
        <v>Subestación eléctrica</v>
      </c>
      <c r="Q417" s="34" t="str">
        <f aca="false">MID(D417,13,5)&amp;"|"&amp;MID(D417,19,5)</f>
        <v>08SEL|SEP01</v>
      </c>
      <c r="R417" s="34" t="str">
        <f aca="false">IF(P417="Subestación eléctrica",IFERROR(INDEX(cat_SubN,MATCH(Q417,cat_SubK,0)),"SIN CATALOGAR"),"ÁREA DE PROCESO")</f>
        <v>SEP-01</v>
      </c>
      <c r="S417" s="34" t="str">
        <f aca="false">IF(H417="","SIN DATO",IFERROR(INDEX(cat_MarcaN,MATCH(H417,cat_MarcaO,0)),H417))</f>
        <v>ABB</v>
      </c>
      <c r="T417" s="34" t="str">
        <f aca="false">IF(I417="","SIN DATO",IFERROR(INDEX(cat_ModN,MATCH(I417,cat_ModO,0)),I417))</f>
        <v>REF615A_1G</v>
      </c>
      <c r="U417" s="34" t="str">
        <f aca="false">IF(I417="","",IFERROR(INDEX(cat_ModG,MATCH(I417,cat_ModO,0)),"No"))</f>
        <v>No</v>
      </c>
      <c r="V417" s="34" t="str">
        <f aca="false">IF(J417="","SIN DATO",IFERROR(INDEX(cat_FunN,MATCH(J417,cat_FunO,0)),J417))</f>
        <v>Protección y medición</v>
      </c>
      <c r="W417" s="34" t="str">
        <f aca="false">IF(OR(S417="SIN DATO",T417="SIN DATO"),"No","Sí")</f>
        <v>Sí</v>
      </c>
    </row>
    <row r="418" customFormat="false" ht="15" hidden="false" customHeight="false" outlineLevel="0" collapsed="false">
      <c r="A418" s="34" t="s">
        <v>1733</v>
      </c>
      <c r="B418" s="34" t="s">
        <v>1734</v>
      </c>
      <c r="C418" s="34" t="s">
        <v>1735</v>
      </c>
      <c r="D418" s="34" t="s">
        <v>1732</v>
      </c>
      <c r="E418" s="34" t="s">
        <v>184</v>
      </c>
      <c r="F418" s="34" t="s">
        <v>1602</v>
      </c>
      <c r="G418" s="34" t="s">
        <v>227</v>
      </c>
      <c r="H418" s="34" t="s">
        <v>34</v>
      </c>
      <c r="I418" s="34" t="s">
        <v>49</v>
      </c>
      <c r="J418" s="34" t="s">
        <v>228</v>
      </c>
      <c r="K418" s="34" t="s">
        <v>229</v>
      </c>
      <c r="L418" s="34" t="s">
        <v>230</v>
      </c>
      <c r="M418" s="34" t="s">
        <v>1663</v>
      </c>
      <c r="N418" s="34" t="str">
        <f aca="false">"Sector "&amp;VALUE(MID(D418,13,2))</f>
        <v>Sector 8</v>
      </c>
      <c r="O418" s="34" t="str">
        <f aca="false">IF(Dashboard!$C$5="Ubicación técnica",N418,"Sector "&amp;VALUE(RIGHT(G418,2)))</f>
        <v>Sector 8</v>
      </c>
      <c r="P418" s="34" t="str">
        <f aca="false">IF(MID(D418,15,3)="SEL","Subestación eléctrica","Área de proceso")</f>
        <v>Subestación eléctrica</v>
      </c>
      <c r="Q418" s="34" t="str">
        <f aca="false">MID(D418,13,5)&amp;"|"&amp;MID(D418,19,5)</f>
        <v>08SEL|SEP01</v>
      </c>
      <c r="R418" s="34" t="str">
        <f aca="false">IF(P418="Subestación eléctrica",IFERROR(INDEX(cat_SubN,MATCH(Q418,cat_SubK,0)),"SIN CATALOGAR"),"ÁREA DE PROCESO")</f>
        <v>SEP-01</v>
      </c>
      <c r="S418" s="34" t="str">
        <f aca="false">IF(H418="","SIN DATO",IFERROR(INDEX(cat_MarcaN,MATCH(H418,cat_MarcaO,0)),H418))</f>
        <v>ABB</v>
      </c>
      <c r="T418" s="34" t="str">
        <f aca="false">IF(I418="","SIN DATO",IFERROR(INDEX(cat_ModN,MATCH(I418,cat_ModO,0)),I418))</f>
        <v>REF620E_1G</v>
      </c>
      <c r="U418" s="34" t="str">
        <f aca="false">IF(I418="","",IFERROR(INDEX(cat_ModG,MATCH(I418,cat_ModO,0)),"No"))</f>
        <v>No</v>
      </c>
      <c r="V418" s="34" t="str">
        <f aca="false">IF(J418="","SIN DATO",IFERROR(INDEX(cat_FunN,MATCH(J418,cat_FunO,0)),J418))</f>
        <v>Protección y medición</v>
      </c>
      <c r="W418" s="34" t="str">
        <f aca="false">IF(OR(S418="SIN DATO",T418="SIN DATO"),"No","Sí")</f>
        <v>Sí</v>
      </c>
    </row>
    <row r="419" customFormat="false" ht="15" hidden="false" customHeight="false" outlineLevel="0" collapsed="false">
      <c r="A419" s="34" t="s">
        <v>1736</v>
      </c>
      <c r="B419" s="34" t="s">
        <v>1737</v>
      </c>
      <c r="C419" s="34" t="s">
        <v>1738</v>
      </c>
      <c r="D419" s="34" t="s">
        <v>1739</v>
      </c>
      <c r="E419" s="34" t="s">
        <v>184</v>
      </c>
      <c r="F419" s="34" t="s">
        <v>1602</v>
      </c>
      <c r="G419" s="34" t="s">
        <v>227</v>
      </c>
      <c r="H419" s="34" t="s">
        <v>34</v>
      </c>
      <c r="I419" s="34" t="s">
        <v>37</v>
      </c>
      <c r="J419" s="34" t="s">
        <v>228</v>
      </c>
      <c r="K419" s="34" t="s">
        <v>229</v>
      </c>
      <c r="L419" s="34" t="s">
        <v>230</v>
      </c>
      <c r="M419" s="34" t="s">
        <v>1663</v>
      </c>
      <c r="N419" s="34" t="str">
        <f aca="false">"Sector "&amp;VALUE(MID(D419,13,2))</f>
        <v>Sector 8</v>
      </c>
      <c r="O419" s="34" t="str">
        <f aca="false">IF(Dashboard!$C$5="Ubicación técnica",N419,"Sector "&amp;VALUE(RIGHT(G419,2)))</f>
        <v>Sector 8</v>
      </c>
      <c r="P419" s="34" t="str">
        <f aca="false">IF(MID(D419,15,3)="SEL","Subestación eléctrica","Área de proceso")</f>
        <v>Subestación eléctrica</v>
      </c>
      <c r="Q419" s="34" t="str">
        <f aca="false">MID(D419,13,5)&amp;"|"&amp;MID(D419,19,5)</f>
        <v>08SEL|SEP01</v>
      </c>
      <c r="R419" s="34" t="str">
        <f aca="false">IF(P419="Subestación eléctrica",IFERROR(INDEX(cat_SubN,MATCH(Q419,cat_SubK,0)),"SIN CATALOGAR"),"ÁREA DE PROCESO")</f>
        <v>SEP-01</v>
      </c>
      <c r="S419" s="34" t="str">
        <f aca="false">IF(H419="","SIN DATO",IFERROR(INDEX(cat_MarcaN,MATCH(H419,cat_MarcaO,0)),H419))</f>
        <v>ABB</v>
      </c>
      <c r="T419" s="34" t="str">
        <f aca="false">IF(I419="","SIN DATO",IFERROR(INDEX(cat_ModN,MATCH(I419,cat_ModO,0)),I419))</f>
        <v>REF615A_1G</v>
      </c>
      <c r="U419" s="34" t="str">
        <f aca="false">IF(I419="","",IFERROR(INDEX(cat_ModG,MATCH(I419,cat_ModO,0)),"No"))</f>
        <v>No</v>
      </c>
      <c r="V419" s="34" t="str">
        <f aca="false">IF(J419="","SIN DATO",IFERROR(INDEX(cat_FunN,MATCH(J419,cat_FunO,0)),J419))</f>
        <v>Protección y medición</v>
      </c>
      <c r="W419" s="34" t="str">
        <f aca="false">IF(OR(S419="SIN DATO",T419="SIN DATO"),"No","Sí")</f>
        <v>Sí</v>
      </c>
    </row>
    <row r="420" customFormat="false" ht="15" hidden="false" customHeight="false" outlineLevel="0" collapsed="false">
      <c r="A420" s="34" t="s">
        <v>1740</v>
      </c>
      <c r="B420" s="34" t="s">
        <v>1741</v>
      </c>
      <c r="C420" s="34" t="s">
        <v>1742</v>
      </c>
      <c r="D420" s="34" t="s">
        <v>1743</v>
      </c>
      <c r="E420" s="34" t="s">
        <v>184</v>
      </c>
      <c r="F420" s="34" t="s">
        <v>1602</v>
      </c>
      <c r="G420" s="34" t="s">
        <v>227</v>
      </c>
      <c r="H420" s="34" t="s">
        <v>34</v>
      </c>
      <c r="I420" s="34" t="s">
        <v>37</v>
      </c>
      <c r="J420" s="34" t="s">
        <v>228</v>
      </c>
      <c r="K420" s="34" t="s">
        <v>229</v>
      </c>
      <c r="L420" s="34" t="s">
        <v>230</v>
      </c>
      <c r="M420" s="34" t="s">
        <v>1663</v>
      </c>
      <c r="N420" s="34" t="str">
        <f aca="false">"Sector "&amp;VALUE(MID(D420,13,2))</f>
        <v>Sector 8</v>
      </c>
      <c r="O420" s="34" t="str">
        <f aca="false">IF(Dashboard!$C$5="Ubicación técnica",N420,"Sector "&amp;VALUE(RIGHT(G420,2)))</f>
        <v>Sector 8</v>
      </c>
      <c r="P420" s="34" t="str">
        <f aca="false">IF(MID(D420,15,3)="SEL","Subestación eléctrica","Área de proceso")</f>
        <v>Subestación eléctrica</v>
      </c>
      <c r="Q420" s="34" t="str">
        <f aca="false">MID(D420,13,5)&amp;"|"&amp;MID(D420,19,5)</f>
        <v>08SEL|SEP01</v>
      </c>
      <c r="R420" s="34" t="str">
        <f aca="false">IF(P420="Subestación eléctrica",IFERROR(INDEX(cat_SubN,MATCH(Q420,cat_SubK,0)),"SIN CATALOGAR"),"ÁREA DE PROCESO")</f>
        <v>SEP-01</v>
      </c>
      <c r="S420" s="34" t="str">
        <f aca="false">IF(H420="","SIN DATO",IFERROR(INDEX(cat_MarcaN,MATCH(H420,cat_MarcaO,0)),H420))</f>
        <v>ABB</v>
      </c>
      <c r="T420" s="34" t="str">
        <f aca="false">IF(I420="","SIN DATO",IFERROR(INDEX(cat_ModN,MATCH(I420,cat_ModO,0)),I420))</f>
        <v>REF615A_1G</v>
      </c>
      <c r="U420" s="34" t="str">
        <f aca="false">IF(I420="","",IFERROR(INDEX(cat_ModG,MATCH(I420,cat_ModO,0)),"No"))</f>
        <v>No</v>
      </c>
      <c r="V420" s="34" t="str">
        <f aca="false">IF(J420="","SIN DATO",IFERROR(INDEX(cat_FunN,MATCH(J420,cat_FunO,0)),J420))</f>
        <v>Protección y medición</v>
      </c>
      <c r="W420" s="34" t="str">
        <f aca="false">IF(OR(S420="SIN DATO",T420="SIN DATO"),"No","Sí")</f>
        <v>Sí</v>
      </c>
    </row>
    <row r="421" customFormat="false" ht="15" hidden="false" customHeight="false" outlineLevel="0" collapsed="false">
      <c r="A421" s="34" t="s">
        <v>1744</v>
      </c>
      <c r="B421" s="34" t="s">
        <v>1745</v>
      </c>
      <c r="C421" s="34" t="s">
        <v>1746</v>
      </c>
      <c r="D421" s="34" t="s">
        <v>1743</v>
      </c>
      <c r="E421" s="34" t="s">
        <v>184</v>
      </c>
      <c r="F421" s="34" t="s">
        <v>1602</v>
      </c>
      <c r="G421" s="34" t="s">
        <v>227</v>
      </c>
      <c r="H421" s="34" t="s">
        <v>34</v>
      </c>
      <c r="I421" s="34" t="s">
        <v>49</v>
      </c>
      <c r="J421" s="34" t="s">
        <v>228</v>
      </c>
      <c r="K421" s="34" t="s">
        <v>229</v>
      </c>
      <c r="L421" s="34" t="s">
        <v>230</v>
      </c>
      <c r="M421" s="34" t="s">
        <v>1663</v>
      </c>
      <c r="N421" s="34" t="str">
        <f aca="false">"Sector "&amp;VALUE(MID(D421,13,2))</f>
        <v>Sector 8</v>
      </c>
      <c r="O421" s="34" t="str">
        <f aca="false">IF(Dashboard!$C$5="Ubicación técnica",N421,"Sector "&amp;VALUE(RIGHT(G421,2)))</f>
        <v>Sector 8</v>
      </c>
      <c r="P421" s="34" t="str">
        <f aca="false">IF(MID(D421,15,3)="SEL","Subestación eléctrica","Área de proceso")</f>
        <v>Subestación eléctrica</v>
      </c>
      <c r="Q421" s="34" t="str">
        <f aca="false">MID(D421,13,5)&amp;"|"&amp;MID(D421,19,5)</f>
        <v>08SEL|SEP01</v>
      </c>
      <c r="R421" s="34" t="str">
        <f aca="false">IF(P421="Subestación eléctrica",IFERROR(INDEX(cat_SubN,MATCH(Q421,cat_SubK,0)),"SIN CATALOGAR"),"ÁREA DE PROCESO")</f>
        <v>SEP-01</v>
      </c>
      <c r="S421" s="34" t="str">
        <f aca="false">IF(H421="","SIN DATO",IFERROR(INDEX(cat_MarcaN,MATCH(H421,cat_MarcaO,0)),H421))</f>
        <v>ABB</v>
      </c>
      <c r="T421" s="34" t="str">
        <f aca="false">IF(I421="","SIN DATO",IFERROR(INDEX(cat_ModN,MATCH(I421,cat_ModO,0)),I421))</f>
        <v>REF620E_1G</v>
      </c>
      <c r="U421" s="34" t="str">
        <f aca="false">IF(I421="","",IFERROR(INDEX(cat_ModG,MATCH(I421,cat_ModO,0)),"No"))</f>
        <v>No</v>
      </c>
      <c r="V421" s="34" t="str">
        <f aca="false">IF(J421="","SIN DATO",IFERROR(INDEX(cat_FunN,MATCH(J421,cat_FunO,0)),J421))</f>
        <v>Protección y medición</v>
      </c>
      <c r="W421" s="34" t="str">
        <f aca="false">IF(OR(S421="SIN DATO",T421="SIN DATO"),"No","Sí")</f>
        <v>Sí</v>
      </c>
    </row>
    <row r="422" customFormat="false" ht="15" hidden="false" customHeight="false" outlineLevel="0" collapsed="false">
      <c r="A422" s="34" t="s">
        <v>1747</v>
      </c>
      <c r="B422" s="34" t="s">
        <v>1748</v>
      </c>
      <c r="C422" s="34" t="s">
        <v>1749</v>
      </c>
      <c r="D422" s="34" t="s">
        <v>1743</v>
      </c>
      <c r="E422" s="34" t="s">
        <v>184</v>
      </c>
      <c r="F422" s="34" t="s">
        <v>1602</v>
      </c>
      <c r="G422" s="34" t="s">
        <v>227</v>
      </c>
      <c r="H422" s="34" t="s">
        <v>55</v>
      </c>
      <c r="I422" s="34" t="s">
        <v>57</v>
      </c>
      <c r="J422" s="34" t="s">
        <v>58</v>
      </c>
      <c r="K422" s="34" t="s">
        <v>229</v>
      </c>
      <c r="L422" s="34" t="s">
        <v>230</v>
      </c>
      <c r="M422" s="34" t="s">
        <v>237</v>
      </c>
      <c r="N422" s="34" t="str">
        <f aca="false">"Sector "&amp;VALUE(MID(D422,13,2))</f>
        <v>Sector 8</v>
      </c>
      <c r="O422" s="34" t="str">
        <f aca="false">IF(Dashboard!$C$5="Ubicación técnica",N422,"Sector "&amp;VALUE(RIGHT(G422,2)))</f>
        <v>Sector 8</v>
      </c>
      <c r="P422" s="34" t="str">
        <f aca="false">IF(MID(D422,15,3)="SEL","Subestación eléctrica","Área de proceso")</f>
        <v>Subestación eléctrica</v>
      </c>
      <c r="Q422" s="34" t="str">
        <f aca="false">MID(D422,13,5)&amp;"|"&amp;MID(D422,19,5)</f>
        <v>08SEL|SEP01</v>
      </c>
      <c r="R422" s="34" t="str">
        <f aca="false">IF(P422="Subestación eléctrica",IFERROR(INDEX(cat_SubN,MATCH(Q422,cat_SubK,0)),"SIN CATALOGAR"),"ÁREA DE PROCESO")</f>
        <v>SEP-01</v>
      </c>
      <c r="S422" s="34" t="str">
        <f aca="false">IF(H422="","SIN DATO",IFERROR(INDEX(cat_MarcaN,MATCH(H422,cat_MarcaO,0)),H422))</f>
        <v>SEL</v>
      </c>
      <c r="T422" s="34" t="str">
        <f aca="false">IF(I422="","SIN DATO",IFERROR(INDEX(cat_ModN,MATCH(I422,cat_ModO,0)),I422))</f>
        <v>SEL-735</v>
      </c>
      <c r="U422" s="34" t="str">
        <f aca="false">IF(I422="","",IFERROR(INDEX(cat_ModG,MATCH(I422,cat_ModO,0)),"No"))</f>
        <v>No</v>
      </c>
      <c r="V422" s="34" t="str">
        <f aca="false">IF(J422="","SIN DATO",IFERROR(INDEX(cat_FunN,MATCH(J422,cat_FunO,0)),J422))</f>
        <v>Medición</v>
      </c>
      <c r="W422" s="34" t="str">
        <f aca="false">IF(OR(S422="SIN DATO",T422="SIN DATO"),"No","Sí")</f>
        <v>Sí</v>
      </c>
    </row>
    <row r="423" customFormat="false" ht="15" hidden="false" customHeight="false" outlineLevel="0" collapsed="false">
      <c r="A423" s="34" t="s">
        <v>1750</v>
      </c>
      <c r="B423" s="34" t="s">
        <v>1751</v>
      </c>
      <c r="C423" s="34" t="s">
        <v>1752</v>
      </c>
      <c r="D423" s="34" t="s">
        <v>1753</v>
      </c>
      <c r="E423" s="34" t="s">
        <v>184</v>
      </c>
      <c r="F423" s="34" t="s">
        <v>1602</v>
      </c>
      <c r="G423" s="34" t="s">
        <v>227</v>
      </c>
      <c r="H423" s="34" t="s">
        <v>34</v>
      </c>
      <c r="I423" s="34" t="s">
        <v>37</v>
      </c>
      <c r="J423" s="34" t="s">
        <v>228</v>
      </c>
      <c r="K423" s="34" t="s">
        <v>229</v>
      </c>
      <c r="L423" s="34" t="s">
        <v>230</v>
      </c>
      <c r="M423" s="34" t="s">
        <v>1663</v>
      </c>
      <c r="N423" s="34" t="str">
        <f aca="false">"Sector "&amp;VALUE(MID(D423,13,2))</f>
        <v>Sector 8</v>
      </c>
      <c r="O423" s="34" t="str">
        <f aca="false">IF(Dashboard!$C$5="Ubicación técnica",N423,"Sector "&amp;VALUE(RIGHT(G423,2)))</f>
        <v>Sector 8</v>
      </c>
      <c r="P423" s="34" t="str">
        <f aca="false">IF(MID(D423,15,3)="SEL","Subestación eléctrica","Área de proceso")</f>
        <v>Subestación eléctrica</v>
      </c>
      <c r="Q423" s="34" t="str">
        <f aca="false">MID(D423,13,5)&amp;"|"&amp;MID(D423,19,5)</f>
        <v>08SEL|SEP01</v>
      </c>
      <c r="R423" s="34" t="str">
        <f aca="false">IF(P423="Subestación eléctrica",IFERROR(INDEX(cat_SubN,MATCH(Q423,cat_SubK,0)),"SIN CATALOGAR"),"ÁREA DE PROCESO")</f>
        <v>SEP-01</v>
      </c>
      <c r="S423" s="34" t="str">
        <f aca="false">IF(H423="","SIN DATO",IFERROR(INDEX(cat_MarcaN,MATCH(H423,cat_MarcaO,0)),H423))</f>
        <v>ABB</v>
      </c>
      <c r="T423" s="34" t="str">
        <f aca="false">IF(I423="","SIN DATO",IFERROR(INDEX(cat_ModN,MATCH(I423,cat_ModO,0)),I423))</f>
        <v>REF615A_1G</v>
      </c>
      <c r="U423" s="34" t="str">
        <f aca="false">IF(I423="","",IFERROR(INDEX(cat_ModG,MATCH(I423,cat_ModO,0)),"No"))</f>
        <v>No</v>
      </c>
      <c r="V423" s="34" t="str">
        <f aca="false">IF(J423="","SIN DATO",IFERROR(INDEX(cat_FunN,MATCH(J423,cat_FunO,0)),J423))</f>
        <v>Protección y medición</v>
      </c>
      <c r="W423" s="34" t="str">
        <f aca="false">IF(OR(S423="SIN DATO",T423="SIN DATO"),"No","Sí")</f>
        <v>Sí</v>
      </c>
    </row>
    <row r="424" customFormat="false" ht="15" hidden="false" customHeight="false" outlineLevel="0" collapsed="false">
      <c r="A424" s="34" t="s">
        <v>1754</v>
      </c>
      <c r="B424" s="34" t="s">
        <v>1755</v>
      </c>
      <c r="C424" s="34" t="s">
        <v>1756</v>
      </c>
      <c r="D424" s="34" t="s">
        <v>1753</v>
      </c>
      <c r="E424" s="34" t="s">
        <v>184</v>
      </c>
      <c r="F424" s="34" t="s">
        <v>1602</v>
      </c>
      <c r="G424" s="34" t="s">
        <v>227</v>
      </c>
      <c r="H424" s="34" t="s">
        <v>34</v>
      </c>
      <c r="I424" s="34" t="s">
        <v>49</v>
      </c>
      <c r="J424" s="34" t="s">
        <v>228</v>
      </c>
      <c r="K424" s="34" t="s">
        <v>229</v>
      </c>
      <c r="L424" s="34" t="s">
        <v>230</v>
      </c>
      <c r="M424" s="34" t="s">
        <v>1663</v>
      </c>
      <c r="N424" s="34" t="str">
        <f aca="false">"Sector "&amp;VALUE(MID(D424,13,2))</f>
        <v>Sector 8</v>
      </c>
      <c r="O424" s="34" t="str">
        <f aca="false">IF(Dashboard!$C$5="Ubicación técnica",N424,"Sector "&amp;VALUE(RIGHT(G424,2)))</f>
        <v>Sector 8</v>
      </c>
      <c r="P424" s="34" t="str">
        <f aca="false">IF(MID(D424,15,3)="SEL","Subestación eléctrica","Área de proceso")</f>
        <v>Subestación eléctrica</v>
      </c>
      <c r="Q424" s="34" t="str">
        <f aca="false">MID(D424,13,5)&amp;"|"&amp;MID(D424,19,5)</f>
        <v>08SEL|SEP01</v>
      </c>
      <c r="R424" s="34" t="str">
        <f aca="false">IF(P424="Subestación eléctrica",IFERROR(INDEX(cat_SubN,MATCH(Q424,cat_SubK,0)),"SIN CATALOGAR"),"ÁREA DE PROCESO")</f>
        <v>SEP-01</v>
      </c>
      <c r="S424" s="34" t="str">
        <f aca="false">IF(H424="","SIN DATO",IFERROR(INDEX(cat_MarcaN,MATCH(H424,cat_MarcaO,0)),H424))</f>
        <v>ABB</v>
      </c>
      <c r="T424" s="34" t="str">
        <f aca="false">IF(I424="","SIN DATO",IFERROR(INDEX(cat_ModN,MATCH(I424,cat_ModO,0)),I424))</f>
        <v>REF620E_1G</v>
      </c>
      <c r="U424" s="34" t="str">
        <f aca="false">IF(I424="","",IFERROR(INDEX(cat_ModG,MATCH(I424,cat_ModO,0)),"No"))</f>
        <v>No</v>
      </c>
      <c r="V424" s="34" t="str">
        <f aca="false">IF(J424="","SIN DATO",IFERROR(INDEX(cat_FunN,MATCH(J424,cat_FunO,0)),J424))</f>
        <v>Protección y medición</v>
      </c>
      <c r="W424" s="34" t="str">
        <f aca="false">IF(OR(S424="SIN DATO",T424="SIN DATO"),"No","Sí")</f>
        <v>Sí</v>
      </c>
    </row>
    <row r="425" customFormat="false" ht="15" hidden="false" customHeight="false" outlineLevel="0" collapsed="false">
      <c r="A425" s="34" t="s">
        <v>1757</v>
      </c>
      <c r="B425" s="34" t="s">
        <v>1758</v>
      </c>
      <c r="C425" s="34" t="s">
        <v>1759</v>
      </c>
      <c r="D425" s="34" t="s">
        <v>1753</v>
      </c>
      <c r="E425" s="34" t="s">
        <v>184</v>
      </c>
      <c r="F425" s="34" t="s">
        <v>1602</v>
      </c>
      <c r="G425" s="34" t="s">
        <v>227</v>
      </c>
      <c r="H425" s="34" t="s">
        <v>55</v>
      </c>
      <c r="I425" s="34" t="s">
        <v>57</v>
      </c>
      <c r="J425" s="34" t="s">
        <v>58</v>
      </c>
      <c r="K425" s="34" t="s">
        <v>229</v>
      </c>
      <c r="L425" s="34" t="s">
        <v>230</v>
      </c>
      <c r="M425" s="34" t="s">
        <v>237</v>
      </c>
      <c r="N425" s="34" t="str">
        <f aca="false">"Sector "&amp;VALUE(MID(D425,13,2))</f>
        <v>Sector 8</v>
      </c>
      <c r="O425" s="34" t="str">
        <f aca="false">IF(Dashboard!$C$5="Ubicación técnica",N425,"Sector "&amp;VALUE(RIGHT(G425,2)))</f>
        <v>Sector 8</v>
      </c>
      <c r="P425" s="34" t="str">
        <f aca="false">IF(MID(D425,15,3)="SEL","Subestación eléctrica","Área de proceso")</f>
        <v>Subestación eléctrica</v>
      </c>
      <c r="Q425" s="34" t="str">
        <f aca="false">MID(D425,13,5)&amp;"|"&amp;MID(D425,19,5)</f>
        <v>08SEL|SEP01</v>
      </c>
      <c r="R425" s="34" t="str">
        <f aca="false">IF(P425="Subestación eléctrica",IFERROR(INDEX(cat_SubN,MATCH(Q425,cat_SubK,0)),"SIN CATALOGAR"),"ÁREA DE PROCESO")</f>
        <v>SEP-01</v>
      </c>
      <c r="S425" s="34" t="str">
        <f aca="false">IF(H425="","SIN DATO",IFERROR(INDEX(cat_MarcaN,MATCH(H425,cat_MarcaO,0)),H425))</f>
        <v>SEL</v>
      </c>
      <c r="T425" s="34" t="str">
        <f aca="false">IF(I425="","SIN DATO",IFERROR(INDEX(cat_ModN,MATCH(I425,cat_ModO,0)),I425))</f>
        <v>SEL-735</v>
      </c>
      <c r="U425" s="34" t="str">
        <f aca="false">IF(I425="","",IFERROR(INDEX(cat_ModG,MATCH(I425,cat_ModO,0)),"No"))</f>
        <v>No</v>
      </c>
      <c r="V425" s="34" t="str">
        <f aca="false">IF(J425="","SIN DATO",IFERROR(INDEX(cat_FunN,MATCH(J425,cat_FunO,0)),J425))</f>
        <v>Medición</v>
      </c>
      <c r="W425" s="34" t="str">
        <f aca="false">IF(OR(S425="SIN DATO",T425="SIN DATO"),"No","Sí")</f>
        <v>Sí</v>
      </c>
    </row>
    <row r="426" customFormat="false" ht="15" hidden="false" customHeight="false" outlineLevel="0" collapsed="false">
      <c r="A426" s="34" t="s">
        <v>1760</v>
      </c>
      <c r="B426" s="34" t="s">
        <v>1761</v>
      </c>
      <c r="C426" s="34" t="s">
        <v>1762</v>
      </c>
      <c r="D426" s="34" t="s">
        <v>1763</v>
      </c>
      <c r="E426" s="34" t="s">
        <v>184</v>
      </c>
      <c r="F426" s="34" t="s">
        <v>1602</v>
      </c>
      <c r="G426" s="34" t="s">
        <v>227</v>
      </c>
      <c r="H426" s="34" t="s">
        <v>34</v>
      </c>
      <c r="I426" s="34" t="s">
        <v>43</v>
      </c>
      <c r="J426" s="34" t="s">
        <v>228</v>
      </c>
      <c r="K426" s="34" t="s">
        <v>229</v>
      </c>
      <c r="L426" s="34" t="s">
        <v>230</v>
      </c>
      <c r="M426" s="34" t="s">
        <v>1663</v>
      </c>
      <c r="N426" s="34" t="str">
        <f aca="false">"Sector "&amp;VALUE(MID(D426,13,2))</f>
        <v>Sector 8</v>
      </c>
      <c r="O426" s="34" t="str">
        <f aca="false">IF(Dashboard!$C$5="Ubicación técnica",N426,"Sector "&amp;VALUE(RIGHT(G426,2)))</f>
        <v>Sector 8</v>
      </c>
      <c r="P426" s="34" t="str">
        <f aca="false">IF(MID(D426,15,3)="SEL","Subestación eléctrica","Área de proceso")</f>
        <v>Subestación eléctrica</v>
      </c>
      <c r="Q426" s="34" t="str">
        <f aca="false">MID(D426,13,5)&amp;"|"&amp;MID(D426,19,5)</f>
        <v>08SEL|SEP01</v>
      </c>
      <c r="R426" s="34" t="str">
        <f aca="false">IF(P426="Subestación eléctrica",IFERROR(INDEX(cat_SubN,MATCH(Q426,cat_SubK,0)),"SIN CATALOGAR"),"ÁREA DE PROCESO")</f>
        <v>SEP-01</v>
      </c>
      <c r="S426" s="34" t="str">
        <f aca="false">IF(H426="","SIN DATO",IFERROR(INDEX(cat_MarcaN,MATCH(H426,cat_MarcaO,0)),H426))</f>
        <v>ABB</v>
      </c>
      <c r="T426" s="34" t="str">
        <f aca="false">IF(I426="","SIN DATO",IFERROR(INDEX(cat_ModN,MATCH(I426,cat_ModO,0)),I426))</f>
        <v>RET615A_1G</v>
      </c>
      <c r="U426" s="34" t="str">
        <f aca="false">IF(I426="","",IFERROR(INDEX(cat_ModG,MATCH(I426,cat_ModO,0)),"No"))</f>
        <v>No</v>
      </c>
      <c r="V426" s="34" t="str">
        <f aca="false">IF(J426="","SIN DATO",IFERROR(INDEX(cat_FunN,MATCH(J426,cat_FunO,0)),J426))</f>
        <v>Protección y medición</v>
      </c>
      <c r="W426" s="34" t="str">
        <f aca="false">IF(OR(S426="SIN DATO",T426="SIN DATO"),"No","Sí")</f>
        <v>Sí</v>
      </c>
    </row>
    <row r="427" customFormat="false" ht="15" hidden="false" customHeight="false" outlineLevel="0" collapsed="false">
      <c r="A427" s="34" t="s">
        <v>1764</v>
      </c>
      <c r="B427" s="34" t="s">
        <v>1765</v>
      </c>
      <c r="C427" s="34" t="s">
        <v>1766</v>
      </c>
      <c r="D427" s="34" t="s">
        <v>1763</v>
      </c>
      <c r="E427" s="34" t="s">
        <v>184</v>
      </c>
      <c r="F427" s="34" t="s">
        <v>1602</v>
      </c>
      <c r="G427" s="34" t="s">
        <v>227</v>
      </c>
      <c r="H427" s="34" t="s">
        <v>34</v>
      </c>
      <c r="I427" s="34" t="s">
        <v>49</v>
      </c>
      <c r="J427" s="34" t="s">
        <v>228</v>
      </c>
      <c r="K427" s="34" t="s">
        <v>229</v>
      </c>
      <c r="L427" s="34" t="s">
        <v>230</v>
      </c>
      <c r="M427" s="34" t="s">
        <v>1663</v>
      </c>
      <c r="N427" s="34" t="str">
        <f aca="false">"Sector "&amp;VALUE(MID(D427,13,2))</f>
        <v>Sector 8</v>
      </c>
      <c r="O427" s="34" t="str">
        <f aca="false">IF(Dashboard!$C$5="Ubicación técnica",N427,"Sector "&amp;VALUE(RIGHT(G427,2)))</f>
        <v>Sector 8</v>
      </c>
      <c r="P427" s="34" t="str">
        <f aca="false">IF(MID(D427,15,3)="SEL","Subestación eléctrica","Área de proceso")</f>
        <v>Subestación eléctrica</v>
      </c>
      <c r="Q427" s="34" t="str">
        <f aca="false">MID(D427,13,5)&amp;"|"&amp;MID(D427,19,5)</f>
        <v>08SEL|SEP01</v>
      </c>
      <c r="R427" s="34" t="str">
        <f aca="false">IF(P427="Subestación eléctrica",IFERROR(INDEX(cat_SubN,MATCH(Q427,cat_SubK,0)),"SIN CATALOGAR"),"ÁREA DE PROCESO")</f>
        <v>SEP-01</v>
      </c>
      <c r="S427" s="34" t="str">
        <f aca="false">IF(H427="","SIN DATO",IFERROR(INDEX(cat_MarcaN,MATCH(H427,cat_MarcaO,0)),H427))</f>
        <v>ABB</v>
      </c>
      <c r="T427" s="34" t="str">
        <f aca="false">IF(I427="","SIN DATO",IFERROR(INDEX(cat_ModN,MATCH(I427,cat_ModO,0)),I427))</f>
        <v>REF620E_1G</v>
      </c>
      <c r="U427" s="34" t="str">
        <f aca="false">IF(I427="","",IFERROR(INDEX(cat_ModG,MATCH(I427,cat_ModO,0)),"No"))</f>
        <v>No</v>
      </c>
      <c r="V427" s="34" t="str">
        <f aca="false">IF(J427="","SIN DATO",IFERROR(INDEX(cat_FunN,MATCH(J427,cat_FunO,0)),J427))</f>
        <v>Protección y medición</v>
      </c>
      <c r="W427" s="34" t="str">
        <f aca="false">IF(OR(S427="SIN DATO",T427="SIN DATO"),"No","Sí")</f>
        <v>Sí</v>
      </c>
    </row>
    <row r="428" customFormat="false" ht="15" hidden="false" customHeight="false" outlineLevel="0" collapsed="false">
      <c r="A428" s="34" t="s">
        <v>1767</v>
      </c>
      <c r="B428" s="34" t="s">
        <v>1768</v>
      </c>
      <c r="C428" s="34" t="s">
        <v>1769</v>
      </c>
      <c r="D428" s="34" t="s">
        <v>1763</v>
      </c>
      <c r="E428" s="34" t="s">
        <v>184</v>
      </c>
      <c r="F428" s="34" t="s">
        <v>1602</v>
      </c>
      <c r="G428" s="34" t="s">
        <v>227</v>
      </c>
      <c r="H428" s="34" t="s">
        <v>55</v>
      </c>
      <c r="I428" s="34" t="s">
        <v>57</v>
      </c>
      <c r="J428" s="34" t="s">
        <v>58</v>
      </c>
      <c r="K428" s="34" t="s">
        <v>229</v>
      </c>
      <c r="L428" s="34" t="s">
        <v>230</v>
      </c>
      <c r="M428" s="34" t="s">
        <v>237</v>
      </c>
      <c r="N428" s="34" t="str">
        <f aca="false">"Sector "&amp;VALUE(MID(D428,13,2))</f>
        <v>Sector 8</v>
      </c>
      <c r="O428" s="34" t="str">
        <f aca="false">IF(Dashboard!$C$5="Ubicación técnica",N428,"Sector "&amp;VALUE(RIGHT(G428,2)))</f>
        <v>Sector 8</v>
      </c>
      <c r="P428" s="34" t="str">
        <f aca="false">IF(MID(D428,15,3)="SEL","Subestación eléctrica","Área de proceso")</f>
        <v>Subestación eléctrica</v>
      </c>
      <c r="Q428" s="34" t="str">
        <f aca="false">MID(D428,13,5)&amp;"|"&amp;MID(D428,19,5)</f>
        <v>08SEL|SEP01</v>
      </c>
      <c r="R428" s="34" t="str">
        <f aca="false">IF(P428="Subestación eléctrica",IFERROR(INDEX(cat_SubN,MATCH(Q428,cat_SubK,0)),"SIN CATALOGAR"),"ÁREA DE PROCESO")</f>
        <v>SEP-01</v>
      </c>
      <c r="S428" s="34" t="str">
        <f aca="false">IF(H428="","SIN DATO",IFERROR(INDEX(cat_MarcaN,MATCH(H428,cat_MarcaO,0)),H428))</f>
        <v>SEL</v>
      </c>
      <c r="T428" s="34" t="str">
        <f aca="false">IF(I428="","SIN DATO",IFERROR(INDEX(cat_ModN,MATCH(I428,cat_ModO,0)),I428))</f>
        <v>SEL-735</v>
      </c>
      <c r="U428" s="34" t="str">
        <f aca="false">IF(I428="","",IFERROR(INDEX(cat_ModG,MATCH(I428,cat_ModO,0)),"No"))</f>
        <v>No</v>
      </c>
      <c r="V428" s="34" t="str">
        <f aca="false">IF(J428="","SIN DATO",IFERROR(INDEX(cat_FunN,MATCH(J428,cat_FunO,0)),J428))</f>
        <v>Medición</v>
      </c>
      <c r="W428" s="34" t="str">
        <f aca="false">IF(OR(S428="SIN DATO",T428="SIN DATO"),"No","Sí")</f>
        <v>Sí</v>
      </c>
    </row>
    <row r="429" customFormat="false" ht="15" hidden="false" customHeight="false" outlineLevel="0" collapsed="false">
      <c r="A429" s="34" t="s">
        <v>1770</v>
      </c>
      <c r="B429" s="34" t="s">
        <v>1771</v>
      </c>
      <c r="C429" s="34" t="s">
        <v>1772</v>
      </c>
      <c r="D429" s="34" t="s">
        <v>1773</v>
      </c>
      <c r="E429" s="34" t="s">
        <v>184</v>
      </c>
      <c r="F429" s="34" t="s">
        <v>1602</v>
      </c>
      <c r="G429" s="34" t="s">
        <v>227</v>
      </c>
      <c r="H429" s="34" t="s">
        <v>34</v>
      </c>
      <c r="I429" s="34" t="s">
        <v>37</v>
      </c>
      <c r="J429" s="34" t="s">
        <v>228</v>
      </c>
      <c r="K429" s="34" t="s">
        <v>229</v>
      </c>
      <c r="L429" s="34" t="s">
        <v>230</v>
      </c>
      <c r="M429" s="34" t="s">
        <v>1663</v>
      </c>
      <c r="N429" s="34" t="str">
        <f aca="false">"Sector "&amp;VALUE(MID(D429,13,2))</f>
        <v>Sector 8</v>
      </c>
      <c r="O429" s="34" t="str">
        <f aca="false">IF(Dashboard!$C$5="Ubicación técnica",N429,"Sector "&amp;VALUE(RIGHT(G429,2)))</f>
        <v>Sector 8</v>
      </c>
      <c r="P429" s="34" t="str">
        <f aca="false">IF(MID(D429,15,3)="SEL","Subestación eléctrica","Área de proceso")</f>
        <v>Subestación eléctrica</v>
      </c>
      <c r="Q429" s="34" t="str">
        <f aca="false">MID(D429,13,5)&amp;"|"&amp;MID(D429,19,5)</f>
        <v>08SEL|SEP01</v>
      </c>
      <c r="R429" s="34" t="str">
        <f aca="false">IF(P429="Subestación eléctrica",IFERROR(INDEX(cat_SubN,MATCH(Q429,cat_SubK,0)),"SIN CATALOGAR"),"ÁREA DE PROCESO")</f>
        <v>SEP-01</v>
      </c>
      <c r="S429" s="34" t="str">
        <f aca="false">IF(H429="","SIN DATO",IFERROR(INDEX(cat_MarcaN,MATCH(H429,cat_MarcaO,0)),H429))</f>
        <v>ABB</v>
      </c>
      <c r="T429" s="34" t="str">
        <f aca="false">IF(I429="","SIN DATO",IFERROR(INDEX(cat_ModN,MATCH(I429,cat_ModO,0)),I429))</f>
        <v>REF615A_1G</v>
      </c>
      <c r="U429" s="34" t="str">
        <f aca="false">IF(I429="","",IFERROR(INDEX(cat_ModG,MATCH(I429,cat_ModO,0)),"No"))</f>
        <v>No</v>
      </c>
      <c r="V429" s="34" t="str">
        <f aca="false">IF(J429="","SIN DATO",IFERROR(INDEX(cat_FunN,MATCH(J429,cat_FunO,0)),J429))</f>
        <v>Protección y medición</v>
      </c>
      <c r="W429" s="34" t="str">
        <f aca="false">IF(OR(S429="SIN DATO",T429="SIN DATO"),"No","Sí")</f>
        <v>Sí</v>
      </c>
    </row>
    <row r="430" customFormat="false" ht="15" hidden="false" customHeight="false" outlineLevel="0" collapsed="false">
      <c r="A430" s="34" t="s">
        <v>1774</v>
      </c>
      <c r="B430" s="34" t="s">
        <v>1775</v>
      </c>
      <c r="C430" s="34" t="s">
        <v>1776</v>
      </c>
      <c r="D430" s="34" t="s">
        <v>1773</v>
      </c>
      <c r="E430" s="34" t="s">
        <v>184</v>
      </c>
      <c r="F430" s="34" t="s">
        <v>1602</v>
      </c>
      <c r="G430" s="34" t="s">
        <v>227</v>
      </c>
      <c r="H430" s="34" t="s">
        <v>34</v>
      </c>
      <c r="I430" s="34" t="s">
        <v>49</v>
      </c>
      <c r="J430" s="34" t="s">
        <v>228</v>
      </c>
      <c r="K430" s="34" t="s">
        <v>229</v>
      </c>
      <c r="L430" s="34" t="s">
        <v>230</v>
      </c>
      <c r="M430" s="34" t="s">
        <v>1663</v>
      </c>
      <c r="N430" s="34" t="str">
        <f aca="false">"Sector "&amp;VALUE(MID(D430,13,2))</f>
        <v>Sector 8</v>
      </c>
      <c r="O430" s="34" t="str">
        <f aca="false">IF(Dashboard!$C$5="Ubicación técnica",N430,"Sector "&amp;VALUE(RIGHT(G430,2)))</f>
        <v>Sector 8</v>
      </c>
      <c r="P430" s="34" t="str">
        <f aca="false">IF(MID(D430,15,3)="SEL","Subestación eléctrica","Área de proceso")</f>
        <v>Subestación eléctrica</v>
      </c>
      <c r="Q430" s="34" t="str">
        <f aca="false">MID(D430,13,5)&amp;"|"&amp;MID(D430,19,5)</f>
        <v>08SEL|SEP01</v>
      </c>
      <c r="R430" s="34" t="str">
        <f aca="false">IF(P430="Subestación eléctrica",IFERROR(INDEX(cat_SubN,MATCH(Q430,cat_SubK,0)),"SIN CATALOGAR"),"ÁREA DE PROCESO")</f>
        <v>SEP-01</v>
      </c>
      <c r="S430" s="34" t="str">
        <f aca="false">IF(H430="","SIN DATO",IFERROR(INDEX(cat_MarcaN,MATCH(H430,cat_MarcaO,0)),H430))</f>
        <v>ABB</v>
      </c>
      <c r="T430" s="34" t="str">
        <f aca="false">IF(I430="","SIN DATO",IFERROR(INDEX(cat_ModN,MATCH(I430,cat_ModO,0)),I430))</f>
        <v>REF620E_1G</v>
      </c>
      <c r="U430" s="34" t="str">
        <f aca="false">IF(I430="","",IFERROR(INDEX(cat_ModG,MATCH(I430,cat_ModO,0)),"No"))</f>
        <v>No</v>
      </c>
      <c r="V430" s="34" t="str">
        <f aca="false">IF(J430="","SIN DATO",IFERROR(INDEX(cat_FunN,MATCH(J430,cat_FunO,0)),J430))</f>
        <v>Protección y medición</v>
      </c>
      <c r="W430" s="34" t="str">
        <f aca="false">IF(OR(S430="SIN DATO",T430="SIN DATO"),"No","Sí")</f>
        <v>Sí</v>
      </c>
    </row>
    <row r="431" customFormat="false" ht="15" hidden="false" customHeight="false" outlineLevel="0" collapsed="false">
      <c r="A431" s="34" t="s">
        <v>1777</v>
      </c>
      <c r="B431" s="34" t="s">
        <v>1778</v>
      </c>
      <c r="C431" s="34" t="s">
        <v>1779</v>
      </c>
      <c r="D431" s="34" t="s">
        <v>1773</v>
      </c>
      <c r="E431" s="34" t="s">
        <v>184</v>
      </c>
      <c r="F431" s="34" t="s">
        <v>1602</v>
      </c>
      <c r="G431" s="34" t="s">
        <v>227</v>
      </c>
      <c r="H431" s="34" t="s">
        <v>55</v>
      </c>
      <c r="I431" s="34" t="s">
        <v>57</v>
      </c>
      <c r="J431" s="34" t="s">
        <v>58</v>
      </c>
      <c r="K431" s="34" t="s">
        <v>229</v>
      </c>
      <c r="L431" s="34" t="s">
        <v>230</v>
      </c>
      <c r="M431" s="34" t="s">
        <v>237</v>
      </c>
      <c r="N431" s="34" t="str">
        <f aca="false">"Sector "&amp;VALUE(MID(D431,13,2))</f>
        <v>Sector 8</v>
      </c>
      <c r="O431" s="34" t="str">
        <f aca="false">IF(Dashboard!$C$5="Ubicación técnica",N431,"Sector "&amp;VALUE(RIGHT(G431,2)))</f>
        <v>Sector 8</v>
      </c>
      <c r="P431" s="34" t="str">
        <f aca="false">IF(MID(D431,15,3)="SEL","Subestación eléctrica","Área de proceso")</f>
        <v>Subestación eléctrica</v>
      </c>
      <c r="Q431" s="34" t="str">
        <f aca="false">MID(D431,13,5)&amp;"|"&amp;MID(D431,19,5)</f>
        <v>08SEL|SEP01</v>
      </c>
      <c r="R431" s="34" t="str">
        <f aca="false">IF(P431="Subestación eléctrica",IFERROR(INDEX(cat_SubN,MATCH(Q431,cat_SubK,0)),"SIN CATALOGAR"),"ÁREA DE PROCESO")</f>
        <v>SEP-01</v>
      </c>
      <c r="S431" s="34" t="str">
        <f aca="false">IF(H431="","SIN DATO",IFERROR(INDEX(cat_MarcaN,MATCH(H431,cat_MarcaO,0)),H431))</f>
        <v>SEL</v>
      </c>
      <c r="T431" s="34" t="str">
        <f aca="false">IF(I431="","SIN DATO",IFERROR(INDEX(cat_ModN,MATCH(I431,cat_ModO,0)),I431))</f>
        <v>SEL-735</v>
      </c>
      <c r="U431" s="34" t="str">
        <f aca="false">IF(I431="","",IFERROR(INDEX(cat_ModG,MATCH(I431,cat_ModO,0)),"No"))</f>
        <v>No</v>
      </c>
      <c r="V431" s="34" t="str">
        <f aca="false">IF(J431="","SIN DATO",IFERROR(INDEX(cat_FunN,MATCH(J431,cat_FunO,0)),J431))</f>
        <v>Medición</v>
      </c>
      <c r="W431" s="34" t="str">
        <f aca="false">IF(OR(S431="SIN DATO",T431="SIN DATO"),"No","Sí")</f>
        <v>Sí</v>
      </c>
    </row>
    <row r="432" customFormat="false" ht="15" hidden="false" customHeight="false" outlineLevel="0" collapsed="false">
      <c r="A432" s="34" t="s">
        <v>1780</v>
      </c>
      <c r="B432" s="34" t="s">
        <v>1781</v>
      </c>
      <c r="C432" s="34" t="s">
        <v>1782</v>
      </c>
      <c r="D432" s="34" t="s">
        <v>1783</v>
      </c>
      <c r="E432" s="34" t="s">
        <v>184</v>
      </c>
      <c r="F432" s="34" t="s">
        <v>1602</v>
      </c>
      <c r="G432" s="34" t="s">
        <v>227</v>
      </c>
      <c r="H432" s="34" t="s">
        <v>34</v>
      </c>
      <c r="I432" s="34" t="s">
        <v>49</v>
      </c>
      <c r="J432" s="34" t="s">
        <v>228</v>
      </c>
      <c r="K432" s="34" t="s">
        <v>229</v>
      </c>
      <c r="L432" s="34" t="s">
        <v>230</v>
      </c>
      <c r="M432" s="34" t="s">
        <v>1663</v>
      </c>
      <c r="N432" s="34" t="str">
        <f aca="false">"Sector "&amp;VALUE(MID(D432,13,2))</f>
        <v>Sector 8</v>
      </c>
      <c r="O432" s="34" t="str">
        <f aca="false">IF(Dashboard!$C$5="Ubicación técnica",N432,"Sector "&amp;VALUE(RIGHT(G432,2)))</f>
        <v>Sector 8</v>
      </c>
      <c r="P432" s="34" t="str">
        <f aca="false">IF(MID(D432,15,3)="SEL","Subestación eléctrica","Área de proceso")</f>
        <v>Subestación eléctrica</v>
      </c>
      <c r="Q432" s="34" t="str">
        <f aca="false">MID(D432,13,5)&amp;"|"&amp;MID(D432,19,5)</f>
        <v>08SEL|SEP01</v>
      </c>
      <c r="R432" s="34" t="str">
        <f aca="false">IF(P432="Subestación eléctrica",IFERROR(INDEX(cat_SubN,MATCH(Q432,cat_SubK,0)),"SIN CATALOGAR"),"ÁREA DE PROCESO")</f>
        <v>SEP-01</v>
      </c>
      <c r="S432" s="34" t="str">
        <f aca="false">IF(H432="","SIN DATO",IFERROR(INDEX(cat_MarcaN,MATCH(H432,cat_MarcaO,0)),H432))</f>
        <v>ABB</v>
      </c>
      <c r="T432" s="34" t="str">
        <f aca="false">IF(I432="","SIN DATO",IFERROR(INDEX(cat_ModN,MATCH(I432,cat_ModO,0)),I432))</f>
        <v>REF620E_1G</v>
      </c>
      <c r="U432" s="34" t="str">
        <f aca="false">IF(I432="","",IFERROR(INDEX(cat_ModG,MATCH(I432,cat_ModO,0)),"No"))</f>
        <v>No</v>
      </c>
      <c r="V432" s="34" t="str">
        <f aca="false">IF(J432="","SIN DATO",IFERROR(INDEX(cat_FunN,MATCH(J432,cat_FunO,0)),J432))</f>
        <v>Protección y medición</v>
      </c>
      <c r="W432" s="34" t="str">
        <f aca="false">IF(OR(S432="SIN DATO",T432="SIN DATO"),"No","Sí")</f>
        <v>Sí</v>
      </c>
    </row>
    <row r="433" customFormat="false" ht="15" hidden="false" customHeight="false" outlineLevel="0" collapsed="false">
      <c r="A433" s="34" t="s">
        <v>1784</v>
      </c>
      <c r="B433" s="34" t="s">
        <v>1785</v>
      </c>
      <c r="C433" s="34" t="s">
        <v>1786</v>
      </c>
      <c r="D433" s="34" t="s">
        <v>1783</v>
      </c>
      <c r="E433" s="34" t="s">
        <v>184</v>
      </c>
      <c r="F433" s="34" t="s">
        <v>1602</v>
      </c>
      <c r="G433" s="34" t="s">
        <v>227</v>
      </c>
      <c r="H433" s="34" t="s">
        <v>55</v>
      </c>
      <c r="I433" s="34" t="s">
        <v>57</v>
      </c>
      <c r="J433" s="34" t="s">
        <v>58</v>
      </c>
      <c r="K433" s="34" t="s">
        <v>229</v>
      </c>
      <c r="L433" s="34" t="s">
        <v>230</v>
      </c>
      <c r="M433" s="34" t="s">
        <v>237</v>
      </c>
      <c r="N433" s="34" t="str">
        <f aca="false">"Sector "&amp;VALUE(MID(D433,13,2))</f>
        <v>Sector 8</v>
      </c>
      <c r="O433" s="34" t="str">
        <f aca="false">IF(Dashboard!$C$5="Ubicación técnica",N433,"Sector "&amp;VALUE(RIGHT(G433,2)))</f>
        <v>Sector 8</v>
      </c>
      <c r="P433" s="34" t="str">
        <f aca="false">IF(MID(D433,15,3)="SEL","Subestación eléctrica","Área de proceso")</f>
        <v>Subestación eléctrica</v>
      </c>
      <c r="Q433" s="34" t="str">
        <f aca="false">MID(D433,13,5)&amp;"|"&amp;MID(D433,19,5)</f>
        <v>08SEL|SEP01</v>
      </c>
      <c r="R433" s="34" t="str">
        <f aca="false">IF(P433="Subestación eléctrica",IFERROR(INDEX(cat_SubN,MATCH(Q433,cat_SubK,0)),"SIN CATALOGAR"),"ÁREA DE PROCESO")</f>
        <v>SEP-01</v>
      </c>
      <c r="S433" s="34" t="str">
        <f aca="false">IF(H433="","SIN DATO",IFERROR(INDEX(cat_MarcaN,MATCH(H433,cat_MarcaO,0)),H433))</f>
        <v>SEL</v>
      </c>
      <c r="T433" s="34" t="str">
        <f aca="false">IF(I433="","SIN DATO",IFERROR(INDEX(cat_ModN,MATCH(I433,cat_ModO,0)),I433))</f>
        <v>SEL-735</v>
      </c>
      <c r="U433" s="34" t="str">
        <f aca="false">IF(I433="","",IFERROR(INDEX(cat_ModG,MATCH(I433,cat_ModO,0)),"No"))</f>
        <v>No</v>
      </c>
      <c r="V433" s="34" t="str">
        <f aca="false">IF(J433="","SIN DATO",IFERROR(INDEX(cat_FunN,MATCH(J433,cat_FunO,0)),J433))</f>
        <v>Medición</v>
      </c>
      <c r="W433" s="34" t="str">
        <f aca="false">IF(OR(S433="SIN DATO",T433="SIN DATO"),"No","Sí")</f>
        <v>Sí</v>
      </c>
    </row>
    <row r="434" customFormat="false" ht="15" hidden="false" customHeight="false" outlineLevel="0" collapsed="false">
      <c r="A434" s="34" t="s">
        <v>1787</v>
      </c>
      <c r="B434" s="34" t="s">
        <v>1788</v>
      </c>
      <c r="C434" s="34" t="s">
        <v>1789</v>
      </c>
      <c r="D434" s="34" t="s">
        <v>1739</v>
      </c>
      <c r="E434" s="34" t="s">
        <v>184</v>
      </c>
      <c r="F434" s="34" t="s">
        <v>1602</v>
      </c>
      <c r="G434" s="34" t="s">
        <v>227</v>
      </c>
      <c r="H434" s="34" t="s">
        <v>34</v>
      </c>
      <c r="I434" s="34" t="s">
        <v>50</v>
      </c>
      <c r="J434" s="34" t="s">
        <v>228</v>
      </c>
      <c r="K434" s="34" t="s">
        <v>229</v>
      </c>
      <c r="L434" s="34" t="s">
        <v>230</v>
      </c>
      <c r="M434" s="34" t="s">
        <v>1663</v>
      </c>
      <c r="N434" s="34" t="str">
        <f aca="false">"Sector "&amp;VALUE(MID(D434,13,2))</f>
        <v>Sector 8</v>
      </c>
      <c r="O434" s="34" t="str">
        <f aca="false">IF(Dashboard!$C$5="Ubicación técnica",N434,"Sector "&amp;VALUE(RIGHT(G434,2)))</f>
        <v>Sector 8</v>
      </c>
      <c r="P434" s="34" t="str">
        <f aca="false">IF(MID(D434,15,3)="SEL","Subestación eléctrica","Área de proceso")</f>
        <v>Subestación eléctrica</v>
      </c>
      <c r="Q434" s="34" t="str">
        <f aca="false">MID(D434,13,5)&amp;"|"&amp;MID(D434,19,5)</f>
        <v>08SEL|SEP01</v>
      </c>
      <c r="R434" s="34" t="str">
        <f aca="false">IF(P434="Subestación eléctrica",IFERROR(INDEX(cat_SubN,MATCH(Q434,cat_SubK,0)),"SIN CATALOGAR"),"ÁREA DE PROCESO")</f>
        <v>SEP-01</v>
      </c>
      <c r="S434" s="34" t="str">
        <f aca="false">IF(H434="","SIN DATO",IFERROR(INDEX(cat_MarcaN,MATCH(H434,cat_MarcaO,0)),H434))</f>
        <v>ABB</v>
      </c>
      <c r="T434" s="34" t="str">
        <f aca="false">IF(I434="","SIN DATO",IFERROR(INDEX(cat_ModN,MATCH(I434,cat_ModO,0)),I434))</f>
        <v>REB670</v>
      </c>
      <c r="U434" s="34" t="str">
        <f aca="false">IF(I434="","",IFERROR(INDEX(cat_ModG,MATCH(I434,cat_ModO,0)),"No"))</f>
        <v>No</v>
      </c>
      <c r="V434" s="34" t="str">
        <f aca="false">IF(J434="","SIN DATO",IFERROR(INDEX(cat_FunN,MATCH(J434,cat_FunO,0)),J434))</f>
        <v>Protección y medición</v>
      </c>
      <c r="W434" s="34" t="str">
        <f aca="false">IF(OR(S434="SIN DATO",T434="SIN DATO"),"No","Sí")</f>
        <v>Sí</v>
      </c>
    </row>
    <row r="435" customFormat="false" ht="15" hidden="false" customHeight="false" outlineLevel="0" collapsed="false">
      <c r="A435" s="34" t="s">
        <v>1790</v>
      </c>
      <c r="B435" s="34" t="s">
        <v>1791</v>
      </c>
      <c r="C435" s="34" t="s">
        <v>1792</v>
      </c>
      <c r="D435" s="34" t="s">
        <v>1793</v>
      </c>
      <c r="E435" s="34" t="s">
        <v>184</v>
      </c>
      <c r="F435" s="34" t="s">
        <v>1602</v>
      </c>
      <c r="G435" s="34" t="s">
        <v>227</v>
      </c>
      <c r="H435" s="34" t="s">
        <v>34</v>
      </c>
      <c r="I435" s="34" t="s">
        <v>37</v>
      </c>
      <c r="J435" s="34" t="s">
        <v>228</v>
      </c>
      <c r="K435" s="34" t="s">
        <v>229</v>
      </c>
      <c r="L435" s="34" t="s">
        <v>230</v>
      </c>
      <c r="M435" s="34" t="s">
        <v>1663</v>
      </c>
      <c r="N435" s="34" t="str">
        <f aca="false">"Sector "&amp;VALUE(MID(D435,13,2))</f>
        <v>Sector 8</v>
      </c>
      <c r="O435" s="34" t="str">
        <f aca="false">IF(Dashboard!$C$5="Ubicación técnica",N435,"Sector "&amp;VALUE(RIGHT(G435,2)))</f>
        <v>Sector 8</v>
      </c>
      <c r="P435" s="34" t="str">
        <f aca="false">IF(MID(D435,15,3)="SEL","Subestación eléctrica","Área de proceso")</f>
        <v>Subestación eléctrica</v>
      </c>
      <c r="Q435" s="34" t="str">
        <f aca="false">MID(D435,13,5)&amp;"|"&amp;MID(D435,19,5)</f>
        <v>08SEL|SEP01</v>
      </c>
      <c r="R435" s="34" t="str">
        <f aca="false">IF(P435="Subestación eléctrica",IFERROR(INDEX(cat_SubN,MATCH(Q435,cat_SubK,0)),"SIN CATALOGAR"),"ÁREA DE PROCESO")</f>
        <v>SEP-01</v>
      </c>
      <c r="S435" s="34" t="str">
        <f aca="false">IF(H435="","SIN DATO",IFERROR(INDEX(cat_MarcaN,MATCH(H435,cat_MarcaO,0)),H435))</f>
        <v>ABB</v>
      </c>
      <c r="T435" s="34" t="str">
        <f aca="false">IF(I435="","SIN DATO",IFERROR(INDEX(cat_ModN,MATCH(I435,cat_ModO,0)),I435))</f>
        <v>REF615A_1G</v>
      </c>
      <c r="U435" s="34" t="str">
        <f aca="false">IF(I435="","",IFERROR(INDEX(cat_ModG,MATCH(I435,cat_ModO,0)),"No"))</f>
        <v>No</v>
      </c>
      <c r="V435" s="34" t="str">
        <f aca="false">IF(J435="","SIN DATO",IFERROR(INDEX(cat_FunN,MATCH(J435,cat_FunO,0)),J435))</f>
        <v>Protección y medición</v>
      </c>
      <c r="W435" s="34" t="str">
        <f aca="false">IF(OR(S435="SIN DATO",T435="SIN DATO"),"No","Sí")</f>
        <v>Sí</v>
      </c>
    </row>
    <row r="436" customFormat="false" ht="15" hidden="false" customHeight="false" outlineLevel="0" collapsed="false">
      <c r="A436" s="34" t="s">
        <v>1794</v>
      </c>
      <c r="B436" s="34" t="s">
        <v>1795</v>
      </c>
      <c r="C436" s="34" t="s">
        <v>1796</v>
      </c>
      <c r="D436" s="34" t="s">
        <v>1793</v>
      </c>
      <c r="E436" s="34" t="s">
        <v>184</v>
      </c>
      <c r="F436" s="34" t="s">
        <v>1602</v>
      </c>
      <c r="G436" s="34" t="s">
        <v>227</v>
      </c>
      <c r="H436" s="34" t="s">
        <v>55</v>
      </c>
      <c r="I436" s="34" t="s">
        <v>57</v>
      </c>
      <c r="J436" s="34" t="s">
        <v>58</v>
      </c>
      <c r="K436" s="34" t="s">
        <v>229</v>
      </c>
      <c r="L436" s="34" t="s">
        <v>230</v>
      </c>
      <c r="M436" s="34" t="s">
        <v>237</v>
      </c>
      <c r="N436" s="34" t="str">
        <f aca="false">"Sector "&amp;VALUE(MID(D436,13,2))</f>
        <v>Sector 8</v>
      </c>
      <c r="O436" s="34" t="str">
        <f aca="false">IF(Dashboard!$C$5="Ubicación técnica",N436,"Sector "&amp;VALUE(RIGHT(G436,2)))</f>
        <v>Sector 8</v>
      </c>
      <c r="P436" s="34" t="str">
        <f aca="false">IF(MID(D436,15,3)="SEL","Subestación eléctrica","Área de proceso")</f>
        <v>Subestación eléctrica</v>
      </c>
      <c r="Q436" s="34" t="str">
        <f aca="false">MID(D436,13,5)&amp;"|"&amp;MID(D436,19,5)</f>
        <v>08SEL|SEP01</v>
      </c>
      <c r="R436" s="34" t="str">
        <f aca="false">IF(P436="Subestación eléctrica",IFERROR(INDEX(cat_SubN,MATCH(Q436,cat_SubK,0)),"SIN CATALOGAR"),"ÁREA DE PROCESO")</f>
        <v>SEP-01</v>
      </c>
      <c r="S436" s="34" t="str">
        <f aca="false">IF(H436="","SIN DATO",IFERROR(INDEX(cat_MarcaN,MATCH(H436,cat_MarcaO,0)),H436))</f>
        <v>SEL</v>
      </c>
      <c r="T436" s="34" t="str">
        <f aca="false">IF(I436="","SIN DATO",IFERROR(INDEX(cat_ModN,MATCH(I436,cat_ModO,0)),I436))</f>
        <v>SEL-735</v>
      </c>
      <c r="U436" s="34" t="str">
        <f aca="false">IF(I436="","",IFERROR(INDEX(cat_ModG,MATCH(I436,cat_ModO,0)),"No"))</f>
        <v>No</v>
      </c>
      <c r="V436" s="34" t="str">
        <f aca="false">IF(J436="","SIN DATO",IFERROR(INDEX(cat_FunN,MATCH(J436,cat_FunO,0)),J436))</f>
        <v>Medición</v>
      </c>
      <c r="W436" s="34" t="str">
        <f aca="false">IF(OR(S436="SIN DATO",T436="SIN DATO"),"No","Sí")</f>
        <v>Sí</v>
      </c>
    </row>
    <row r="437" customFormat="false" ht="15" hidden="false" customHeight="false" outlineLevel="0" collapsed="false">
      <c r="A437" s="34" t="s">
        <v>1797</v>
      </c>
      <c r="B437" s="34" t="s">
        <v>1798</v>
      </c>
      <c r="C437" s="34" t="s">
        <v>1799</v>
      </c>
      <c r="D437" s="34" t="s">
        <v>1793</v>
      </c>
      <c r="E437" s="34" t="s">
        <v>184</v>
      </c>
      <c r="F437" s="34" t="s">
        <v>1602</v>
      </c>
      <c r="G437" s="34" t="s">
        <v>227</v>
      </c>
      <c r="H437" s="34" t="s">
        <v>34</v>
      </c>
      <c r="I437" s="34" t="s">
        <v>37</v>
      </c>
      <c r="J437" s="34" t="s">
        <v>228</v>
      </c>
      <c r="K437" s="34" t="s">
        <v>229</v>
      </c>
      <c r="L437" s="34" t="s">
        <v>230</v>
      </c>
      <c r="M437" s="34" t="s">
        <v>1663</v>
      </c>
      <c r="N437" s="34" t="str">
        <f aca="false">"Sector "&amp;VALUE(MID(D437,13,2))</f>
        <v>Sector 8</v>
      </c>
      <c r="O437" s="34" t="str">
        <f aca="false">IF(Dashboard!$C$5="Ubicación técnica",N437,"Sector "&amp;VALUE(RIGHT(G437,2)))</f>
        <v>Sector 8</v>
      </c>
      <c r="P437" s="34" t="str">
        <f aca="false">IF(MID(D437,15,3)="SEL","Subestación eléctrica","Área de proceso")</f>
        <v>Subestación eléctrica</v>
      </c>
      <c r="Q437" s="34" t="str">
        <f aca="false">MID(D437,13,5)&amp;"|"&amp;MID(D437,19,5)</f>
        <v>08SEL|SEP01</v>
      </c>
      <c r="R437" s="34" t="str">
        <f aca="false">IF(P437="Subestación eléctrica",IFERROR(INDEX(cat_SubN,MATCH(Q437,cat_SubK,0)),"SIN CATALOGAR"),"ÁREA DE PROCESO")</f>
        <v>SEP-01</v>
      </c>
      <c r="S437" s="34" t="str">
        <f aca="false">IF(H437="","SIN DATO",IFERROR(INDEX(cat_MarcaN,MATCH(H437,cat_MarcaO,0)),H437))</f>
        <v>ABB</v>
      </c>
      <c r="T437" s="34" t="str">
        <f aca="false">IF(I437="","SIN DATO",IFERROR(INDEX(cat_ModN,MATCH(I437,cat_ModO,0)),I437))</f>
        <v>REF615A_1G</v>
      </c>
      <c r="U437" s="34" t="str">
        <f aca="false">IF(I437="","",IFERROR(INDEX(cat_ModG,MATCH(I437,cat_ModO,0)),"No"))</f>
        <v>No</v>
      </c>
      <c r="V437" s="34" t="str">
        <f aca="false">IF(J437="","SIN DATO",IFERROR(INDEX(cat_FunN,MATCH(J437,cat_FunO,0)),J437))</f>
        <v>Protección y medición</v>
      </c>
      <c r="W437" s="34" t="str">
        <f aca="false">IF(OR(S437="SIN DATO",T437="SIN DATO"),"No","Sí")</f>
        <v>Sí</v>
      </c>
    </row>
    <row r="438" customFormat="false" ht="15" hidden="false" customHeight="false" outlineLevel="0" collapsed="false">
      <c r="A438" s="34" t="s">
        <v>1800</v>
      </c>
      <c r="B438" s="34" t="s">
        <v>1801</v>
      </c>
      <c r="C438" s="34" t="s">
        <v>1802</v>
      </c>
      <c r="D438" s="34" t="s">
        <v>1793</v>
      </c>
      <c r="E438" s="34" t="s">
        <v>184</v>
      </c>
      <c r="F438" s="34" t="s">
        <v>1602</v>
      </c>
      <c r="G438" s="34" t="s">
        <v>227</v>
      </c>
      <c r="H438" s="34" t="s">
        <v>55</v>
      </c>
      <c r="I438" s="34" t="s">
        <v>57</v>
      </c>
      <c r="J438" s="34" t="s">
        <v>58</v>
      </c>
      <c r="K438" s="34" t="s">
        <v>229</v>
      </c>
      <c r="L438" s="34" t="s">
        <v>230</v>
      </c>
      <c r="M438" s="34" t="s">
        <v>237</v>
      </c>
      <c r="N438" s="34" t="str">
        <f aca="false">"Sector "&amp;VALUE(MID(D438,13,2))</f>
        <v>Sector 8</v>
      </c>
      <c r="O438" s="34" t="str">
        <f aca="false">IF(Dashboard!$C$5="Ubicación técnica",N438,"Sector "&amp;VALUE(RIGHT(G438,2)))</f>
        <v>Sector 8</v>
      </c>
      <c r="P438" s="34" t="str">
        <f aca="false">IF(MID(D438,15,3)="SEL","Subestación eléctrica","Área de proceso")</f>
        <v>Subestación eléctrica</v>
      </c>
      <c r="Q438" s="34" t="str">
        <f aca="false">MID(D438,13,5)&amp;"|"&amp;MID(D438,19,5)</f>
        <v>08SEL|SEP01</v>
      </c>
      <c r="R438" s="34" t="str">
        <f aca="false">IF(P438="Subestación eléctrica",IFERROR(INDEX(cat_SubN,MATCH(Q438,cat_SubK,0)),"SIN CATALOGAR"),"ÁREA DE PROCESO")</f>
        <v>SEP-01</v>
      </c>
      <c r="S438" s="34" t="str">
        <f aca="false">IF(H438="","SIN DATO",IFERROR(INDEX(cat_MarcaN,MATCH(H438,cat_MarcaO,0)),H438))</f>
        <v>SEL</v>
      </c>
      <c r="T438" s="34" t="str">
        <f aca="false">IF(I438="","SIN DATO",IFERROR(INDEX(cat_ModN,MATCH(I438,cat_ModO,0)),I438))</f>
        <v>SEL-735</v>
      </c>
      <c r="U438" s="34" t="str">
        <f aca="false">IF(I438="","",IFERROR(INDEX(cat_ModG,MATCH(I438,cat_ModO,0)),"No"))</f>
        <v>No</v>
      </c>
      <c r="V438" s="34" t="str">
        <f aca="false">IF(J438="","SIN DATO",IFERROR(INDEX(cat_FunN,MATCH(J438,cat_FunO,0)),J438))</f>
        <v>Medición</v>
      </c>
      <c r="W438" s="34" t="str">
        <f aca="false">IF(OR(S438="SIN DATO",T438="SIN DATO"),"No","Sí")</f>
        <v>Sí</v>
      </c>
    </row>
    <row r="439" customFormat="false" ht="15" hidden="false" customHeight="false" outlineLevel="0" collapsed="false">
      <c r="A439" s="34" t="s">
        <v>1803</v>
      </c>
      <c r="B439" s="34" t="s">
        <v>1804</v>
      </c>
      <c r="C439" s="34" t="s">
        <v>1805</v>
      </c>
      <c r="D439" s="34" t="s">
        <v>1793</v>
      </c>
      <c r="E439" s="34" t="s">
        <v>184</v>
      </c>
      <c r="F439" s="34" t="s">
        <v>1602</v>
      </c>
      <c r="G439" s="34" t="s">
        <v>227</v>
      </c>
      <c r="H439" s="34" t="s">
        <v>34</v>
      </c>
      <c r="I439" s="34" t="s">
        <v>37</v>
      </c>
      <c r="J439" s="34" t="s">
        <v>228</v>
      </c>
      <c r="K439" s="34" t="s">
        <v>229</v>
      </c>
      <c r="L439" s="34" t="s">
        <v>230</v>
      </c>
      <c r="M439" s="34" t="s">
        <v>1663</v>
      </c>
      <c r="N439" s="34" t="str">
        <f aca="false">"Sector "&amp;VALUE(MID(D439,13,2))</f>
        <v>Sector 8</v>
      </c>
      <c r="O439" s="34" t="str">
        <f aca="false">IF(Dashboard!$C$5="Ubicación técnica",N439,"Sector "&amp;VALUE(RIGHT(G439,2)))</f>
        <v>Sector 8</v>
      </c>
      <c r="P439" s="34" t="str">
        <f aca="false">IF(MID(D439,15,3)="SEL","Subestación eléctrica","Área de proceso")</f>
        <v>Subestación eléctrica</v>
      </c>
      <c r="Q439" s="34" t="str">
        <f aca="false">MID(D439,13,5)&amp;"|"&amp;MID(D439,19,5)</f>
        <v>08SEL|SEP01</v>
      </c>
      <c r="R439" s="34" t="str">
        <f aca="false">IF(P439="Subestación eléctrica",IFERROR(INDEX(cat_SubN,MATCH(Q439,cat_SubK,0)),"SIN CATALOGAR"),"ÁREA DE PROCESO")</f>
        <v>SEP-01</v>
      </c>
      <c r="S439" s="34" t="str">
        <f aca="false">IF(H439="","SIN DATO",IFERROR(INDEX(cat_MarcaN,MATCH(H439,cat_MarcaO,0)),H439))</f>
        <v>ABB</v>
      </c>
      <c r="T439" s="34" t="str">
        <f aca="false">IF(I439="","SIN DATO",IFERROR(INDEX(cat_ModN,MATCH(I439,cat_ModO,0)),I439))</f>
        <v>REF615A_1G</v>
      </c>
      <c r="U439" s="34" t="str">
        <f aca="false">IF(I439="","",IFERROR(INDEX(cat_ModG,MATCH(I439,cat_ModO,0)),"No"))</f>
        <v>No</v>
      </c>
      <c r="V439" s="34" t="str">
        <f aca="false">IF(J439="","SIN DATO",IFERROR(INDEX(cat_FunN,MATCH(J439,cat_FunO,0)),J439))</f>
        <v>Protección y medición</v>
      </c>
      <c r="W439" s="34" t="str">
        <f aca="false">IF(OR(S439="SIN DATO",T439="SIN DATO"),"No","Sí")</f>
        <v>Sí</v>
      </c>
    </row>
    <row r="440" customFormat="false" ht="15" hidden="false" customHeight="false" outlineLevel="0" collapsed="false">
      <c r="A440" s="34" t="s">
        <v>1806</v>
      </c>
      <c r="B440" s="34" t="s">
        <v>1807</v>
      </c>
      <c r="C440" s="34" t="s">
        <v>1808</v>
      </c>
      <c r="D440" s="34" t="s">
        <v>1793</v>
      </c>
      <c r="E440" s="34" t="s">
        <v>184</v>
      </c>
      <c r="F440" s="34" t="s">
        <v>1602</v>
      </c>
      <c r="G440" s="34" t="s">
        <v>227</v>
      </c>
      <c r="H440" s="34" t="s">
        <v>55</v>
      </c>
      <c r="I440" s="34" t="s">
        <v>57</v>
      </c>
      <c r="J440" s="34" t="s">
        <v>58</v>
      </c>
      <c r="K440" s="34" t="s">
        <v>229</v>
      </c>
      <c r="L440" s="34" t="s">
        <v>230</v>
      </c>
      <c r="M440" s="34" t="s">
        <v>237</v>
      </c>
      <c r="N440" s="34" t="str">
        <f aca="false">"Sector "&amp;VALUE(MID(D440,13,2))</f>
        <v>Sector 8</v>
      </c>
      <c r="O440" s="34" t="str">
        <f aca="false">IF(Dashboard!$C$5="Ubicación técnica",N440,"Sector "&amp;VALUE(RIGHT(G440,2)))</f>
        <v>Sector 8</v>
      </c>
      <c r="P440" s="34" t="str">
        <f aca="false">IF(MID(D440,15,3)="SEL","Subestación eléctrica","Área de proceso")</f>
        <v>Subestación eléctrica</v>
      </c>
      <c r="Q440" s="34" t="str">
        <f aca="false">MID(D440,13,5)&amp;"|"&amp;MID(D440,19,5)</f>
        <v>08SEL|SEP01</v>
      </c>
      <c r="R440" s="34" t="str">
        <f aca="false">IF(P440="Subestación eléctrica",IFERROR(INDEX(cat_SubN,MATCH(Q440,cat_SubK,0)),"SIN CATALOGAR"),"ÁREA DE PROCESO")</f>
        <v>SEP-01</v>
      </c>
      <c r="S440" s="34" t="str">
        <f aca="false">IF(H440="","SIN DATO",IFERROR(INDEX(cat_MarcaN,MATCH(H440,cat_MarcaO,0)),H440))</f>
        <v>SEL</v>
      </c>
      <c r="T440" s="34" t="str">
        <f aca="false">IF(I440="","SIN DATO",IFERROR(INDEX(cat_ModN,MATCH(I440,cat_ModO,0)),I440))</f>
        <v>SEL-735</v>
      </c>
      <c r="U440" s="34" t="str">
        <f aca="false">IF(I440="","",IFERROR(INDEX(cat_ModG,MATCH(I440,cat_ModO,0)),"No"))</f>
        <v>No</v>
      </c>
      <c r="V440" s="34" t="str">
        <f aca="false">IF(J440="","SIN DATO",IFERROR(INDEX(cat_FunN,MATCH(J440,cat_FunO,0)),J440))</f>
        <v>Medición</v>
      </c>
      <c r="W440" s="34" t="str">
        <f aca="false">IF(OR(S440="SIN DATO",T440="SIN DATO"),"No","Sí")</f>
        <v>Sí</v>
      </c>
    </row>
    <row r="441" customFormat="false" ht="15" hidden="false" customHeight="false" outlineLevel="0" collapsed="false">
      <c r="A441" s="34" t="s">
        <v>1809</v>
      </c>
      <c r="B441" s="34" t="s">
        <v>1810</v>
      </c>
      <c r="C441" s="34" t="s">
        <v>1811</v>
      </c>
      <c r="D441" s="34" t="s">
        <v>1812</v>
      </c>
      <c r="E441" s="34" t="s">
        <v>184</v>
      </c>
      <c r="F441" s="34" t="s">
        <v>1602</v>
      </c>
      <c r="G441" s="34" t="s">
        <v>227</v>
      </c>
      <c r="H441" s="34" t="s">
        <v>34</v>
      </c>
      <c r="I441" s="34" t="s">
        <v>43</v>
      </c>
      <c r="J441" s="34" t="s">
        <v>228</v>
      </c>
      <c r="K441" s="34" t="s">
        <v>229</v>
      </c>
      <c r="L441" s="34" t="s">
        <v>230</v>
      </c>
      <c r="M441" s="34" t="s">
        <v>1663</v>
      </c>
      <c r="N441" s="34" t="str">
        <f aca="false">"Sector "&amp;VALUE(MID(D441,13,2))</f>
        <v>Sector 8</v>
      </c>
      <c r="O441" s="34" t="str">
        <f aca="false">IF(Dashboard!$C$5="Ubicación técnica",N441,"Sector "&amp;VALUE(RIGHT(G441,2)))</f>
        <v>Sector 8</v>
      </c>
      <c r="P441" s="34" t="str">
        <f aca="false">IF(MID(D441,15,3)="SEL","Subestación eléctrica","Área de proceso")</f>
        <v>Subestación eléctrica</v>
      </c>
      <c r="Q441" s="34" t="str">
        <f aca="false">MID(D441,13,5)&amp;"|"&amp;MID(D441,19,5)</f>
        <v>08SEL|SEP01</v>
      </c>
      <c r="R441" s="34" t="str">
        <f aca="false">IF(P441="Subestación eléctrica",IFERROR(INDEX(cat_SubN,MATCH(Q441,cat_SubK,0)),"SIN CATALOGAR"),"ÁREA DE PROCESO")</f>
        <v>SEP-01</v>
      </c>
      <c r="S441" s="34" t="str">
        <f aca="false">IF(H441="","SIN DATO",IFERROR(INDEX(cat_MarcaN,MATCH(H441,cat_MarcaO,0)),H441))</f>
        <v>ABB</v>
      </c>
      <c r="T441" s="34" t="str">
        <f aca="false">IF(I441="","SIN DATO",IFERROR(INDEX(cat_ModN,MATCH(I441,cat_ModO,0)),I441))</f>
        <v>RET615A_1G</v>
      </c>
      <c r="U441" s="34" t="str">
        <f aca="false">IF(I441="","",IFERROR(INDEX(cat_ModG,MATCH(I441,cat_ModO,0)),"No"))</f>
        <v>No</v>
      </c>
      <c r="V441" s="34" t="str">
        <f aca="false">IF(J441="","SIN DATO",IFERROR(INDEX(cat_FunN,MATCH(J441,cat_FunO,0)),J441))</f>
        <v>Protección y medición</v>
      </c>
      <c r="W441" s="34" t="str">
        <f aca="false">IF(OR(S441="SIN DATO",T441="SIN DATO"),"No","Sí")</f>
        <v>Sí</v>
      </c>
    </row>
    <row r="442" customFormat="false" ht="15" hidden="false" customHeight="false" outlineLevel="0" collapsed="false">
      <c r="A442" s="34" t="s">
        <v>1813</v>
      </c>
      <c r="B442" s="34" t="s">
        <v>1814</v>
      </c>
      <c r="C442" s="34" t="s">
        <v>1815</v>
      </c>
      <c r="D442" s="34" t="s">
        <v>1812</v>
      </c>
      <c r="E442" s="34" t="s">
        <v>184</v>
      </c>
      <c r="F442" s="34" t="s">
        <v>1602</v>
      </c>
      <c r="G442" s="34" t="s">
        <v>227</v>
      </c>
      <c r="H442" s="34" t="s">
        <v>55</v>
      </c>
      <c r="I442" s="34" t="s">
        <v>57</v>
      </c>
      <c r="J442" s="34" t="s">
        <v>58</v>
      </c>
      <c r="K442" s="34" t="s">
        <v>229</v>
      </c>
      <c r="L442" s="34" t="s">
        <v>230</v>
      </c>
      <c r="M442" s="34" t="s">
        <v>237</v>
      </c>
      <c r="N442" s="34" t="str">
        <f aca="false">"Sector "&amp;VALUE(MID(D442,13,2))</f>
        <v>Sector 8</v>
      </c>
      <c r="O442" s="34" t="str">
        <f aca="false">IF(Dashboard!$C$5="Ubicación técnica",N442,"Sector "&amp;VALUE(RIGHT(G442,2)))</f>
        <v>Sector 8</v>
      </c>
      <c r="P442" s="34" t="str">
        <f aca="false">IF(MID(D442,15,3)="SEL","Subestación eléctrica","Área de proceso")</f>
        <v>Subestación eléctrica</v>
      </c>
      <c r="Q442" s="34" t="str">
        <f aca="false">MID(D442,13,5)&amp;"|"&amp;MID(D442,19,5)</f>
        <v>08SEL|SEP01</v>
      </c>
      <c r="R442" s="34" t="str">
        <f aca="false">IF(P442="Subestación eléctrica",IFERROR(INDEX(cat_SubN,MATCH(Q442,cat_SubK,0)),"SIN CATALOGAR"),"ÁREA DE PROCESO")</f>
        <v>SEP-01</v>
      </c>
      <c r="S442" s="34" t="str">
        <f aca="false">IF(H442="","SIN DATO",IFERROR(INDEX(cat_MarcaN,MATCH(H442,cat_MarcaO,0)),H442))</f>
        <v>SEL</v>
      </c>
      <c r="T442" s="34" t="str">
        <f aca="false">IF(I442="","SIN DATO",IFERROR(INDEX(cat_ModN,MATCH(I442,cat_ModO,0)),I442))</f>
        <v>SEL-735</v>
      </c>
      <c r="U442" s="34" t="str">
        <f aca="false">IF(I442="","",IFERROR(INDEX(cat_ModG,MATCH(I442,cat_ModO,0)),"No"))</f>
        <v>No</v>
      </c>
      <c r="V442" s="34" t="str">
        <f aca="false">IF(J442="","SIN DATO",IFERROR(INDEX(cat_FunN,MATCH(J442,cat_FunO,0)),J442))</f>
        <v>Medición</v>
      </c>
      <c r="W442" s="34" t="str">
        <f aca="false">IF(OR(S442="SIN DATO",T442="SIN DATO"),"No","Sí")</f>
        <v>Sí</v>
      </c>
    </row>
    <row r="443" customFormat="false" ht="15" hidden="false" customHeight="false" outlineLevel="0" collapsed="false">
      <c r="A443" s="34" t="s">
        <v>1816</v>
      </c>
      <c r="B443" s="34" t="s">
        <v>1817</v>
      </c>
      <c r="C443" s="34" t="s">
        <v>1818</v>
      </c>
      <c r="D443" s="34" t="s">
        <v>1793</v>
      </c>
      <c r="E443" s="34" t="s">
        <v>184</v>
      </c>
      <c r="F443" s="34" t="s">
        <v>1602</v>
      </c>
      <c r="G443" s="34" t="s">
        <v>227</v>
      </c>
      <c r="H443" s="34" t="s">
        <v>34</v>
      </c>
      <c r="I443" s="34" t="s">
        <v>43</v>
      </c>
      <c r="J443" s="34" t="s">
        <v>228</v>
      </c>
      <c r="K443" s="34" t="s">
        <v>229</v>
      </c>
      <c r="L443" s="34" t="s">
        <v>230</v>
      </c>
      <c r="M443" s="34" t="s">
        <v>1663</v>
      </c>
      <c r="N443" s="34" t="str">
        <f aca="false">"Sector "&amp;VALUE(MID(D443,13,2))</f>
        <v>Sector 8</v>
      </c>
      <c r="O443" s="34" t="str">
        <f aca="false">IF(Dashboard!$C$5="Ubicación técnica",N443,"Sector "&amp;VALUE(RIGHT(G443,2)))</f>
        <v>Sector 8</v>
      </c>
      <c r="P443" s="34" t="str">
        <f aca="false">IF(MID(D443,15,3)="SEL","Subestación eléctrica","Área de proceso")</f>
        <v>Subestación eléctrica</v>
      </c>
      <c r="Q443" s="34" t="str">
        <f aca="false">MID(D443,13,5)&amp;"|"&amp;MID(D443,19,5)</f>
        <v>08SEL|SEP01</v>
      </c>
      <c r="R443" s="34" t="str">
        <f aca="false">IF(P443="Subestación eléctrica",IFERROR(INDEX(cat_SubN,MATCH(Q443,cat_SubK,0)),"SIN CATALOGAR"),"ÁREA DE PROCESO")</f>
        <v>SEP-01</v>
      </c>
      <c r="S443" s="34" t="str">
        <f aca="false">IF(H443="","SIN DATO",IFERROR(INDEX(cat_MarcaN,MATCH(H443,cat_MarcaO,0)),H443))</f>
        <v>ABB</v>
      </c>
      <c r="T443" s="34" t="str">
        <f aca="false">IF(I443="","SIN DATO",IFERROR(INDEX(cat_ModN,MATCH(I443,cat_ModO,0)),I443))</f>
        <v>RET615A_1G</v>
      </c>
      <c r="U443" s="34" t="str">
        <f aca="false">IF(I443="","",IFERROR(INDEX(cat_ModG,MATCH(I443,cat_ModO,0)),"No"))</f>
        <v>No</v>
      </c>
      <c r="V443" s="34" t="str">
        <f aca="false">IF(J443="","SIN DATO",IFERROR(INDEX(cat_FunN,MATCH(J443,cat_FunO,0)),J443))</f>
        <v>Protección y medición</v>
      </c>
      <c r="W443" s="34" t="str">
        <f aca="false">IF(OR(S443="SIN DATO",T443="SIN DATO"),"No","Sí")</f>
        <v>Sí</v>
      </c>
    </row>
    <row r="444" customFormat="false" ht="15" hidden="false" customHeight="false" outlineLevel="0" collapsed="false">
      <c r="A444" s="34" t="s">
        <v>1819</v>
      </c>
      <c r="B444" s="34" t="s">
        <v>1820</v>
      </c>
      <c r="C444" s="34" t="s">
        <v>1821</v>
      </c>
      <c r="D444" s="34" t="s">
        <v>1793</v>
      </c>
      <c r="E444" s="34" t="s">
        <v>184</v>
      </c>
      <c r="F444" s="34" t="s">
        <v>1602</v>
      </c>
      <c r="G444" s="34" t="s">
        <v>227</v>
      </c>
      <c r="H444" s="34" t="s">
        <v>55</v>
      </c>
      <c r="I444" s="34" t="s">
        <v>57</v>
      </c>
      <c r="J444" s="34" t="s">
        <v>58</v>
      </c>
      <c r="K444" s="34" t="s">
        <v>229</v>
      </c>
      <c r="L444" s="34" t="s">
        <v>230</v>
      </c>
      <c r="M444" s="34" t="s">
        <v>237</v>
      </c>
      <c r="N444" s="34" t="str">
        <f aca="false">"Sector "&amp;VALUE(MID(D444,13,2))</f>
        <v>Sector 8</v>
      </c>
      <c r="O444" s="34" t="str">
        <f aca="false">IF(Dashboard!$C$5="Ubicación técnica",N444,"Sector "&amp;VALUE(RIGHT(G444,2)))</f>
        <v>Sector 8</v>
      </c>
      <c r="P444" s="34" t="str">
        <f aca="false">IF(MID(D444,15,3)="SEL","Subestación eléctrica","Área de proceso")</f>
        <v>Subestación eléctrica</v>
      </c>
      <c r="Q444" s="34" t="str">
        <f aca="false">MID(D444,13,5)&amp;"|"&amp;MID(D444,19,5)</f>
        <v>08SEL|SEP01</v>
      </c>
      <c r="R444" s="34" t="str">
        <f aca="false">IF(P444="Subestación eléctrica",IFERROR(INDEX(cat_SubN,MATCH(Q444,cat_SubK,0)),"SIN CATALOGAR"),"ÁREA DE PROCESO")</f>
        <v>SEP-01</v>
      </c>
      <c r="S444" s="34" t="str">
        <f aca="false">IF(H444="","SIN DATO",IFERROR(INDEX(cat_MarcaN,MATCH(H444,cat_MarcaO,0)),H444))</f>
        <v>SEL</v>
      </c>
      <c r="T444" s="34" t="str">
        <f aca="false">IF(I444="","SIN DATO",IFERROR(INDEX(cat_ModN,MATCH(I444,cat_ModO,0)),I444))</f>
        <v>SEL-735</v>
      </c>
      <c r="U444" s="34" t="str">
        <f aca="false">IF(I444="","",IFERROR(INDEX(cat_ModG,MATCH(I444,cat_ModO,0)),"No"))</f>
        <v>No</v>
      </c>
      <c r="V444" s="34" t="str">
        <f aca="false">IF(J444="","SIN DATO",IFERROR(INDEX(cat_FunN,MATCH(J444,cat_FunO,0)),J444))</f>
        <v>Medición</v>
      </c>
      <c r="W444" s="34" t="str">
        <f aca="false">IF(OR(S444="SIN DATO",T444="SIN DATO"),"No","Sí")</f>
        <v>Sí</v>
      </c>
    </row>
    <row r="445" customFormat="false" ht="15" hidden="false" customHeight="false" outlineLevel="0" collapsed="false">
      <c r="A445" s="34" t="s">
        <v>1822</v>
      </c>
      <c r="B445" s="34" t="s">
        <v>1823</v>
      </c>
      <c r="C445" s="34" t="s">
        <v>1824</v>
      </c>
      <c r="D445" s="34" t="s">
        <v>1793</v>
      </c>
      <c r="E445" s="34" t="s">
        <v>184</v>
      </c>
      <c r="F445" s="34" t="s">
        <v>1602</v>
      </c>
      <c r="G445" s="34" t="s">
        <v>227</v>
      </c>
      <c r="H445" s="34" t="s">
        <v>34</v>
      </c>
      <c r="I445" s="34" t="s">
        <v>40</v>
      </c>
      <c r="J445" s="34" t="s">
        <v>681</v>
      </c>
      <c r="K445" s="34" t="s">
        <v>229</v>
      </c>
      <c r="L445" s="34" t="s">
        <v>230</v>
      </c>
      <c r="M445" s="34" t="s">
        <v>1825</v>
      </c>
      <c r="N445" s="34" t="str">
        <f aca="false">"Sector "&amp;VALUE(MID(D445,13,2))</f>
        <v>Sector 8</v>
      </c>
      <c r="O445" s="34" t="str">
        <f aca="false">IF(Dashboard!$C$5="Ubicación técnica",N445,"Sector "&amp;VALUE(RIGHT(G445,2)))</f>
        <v>Sector 8</v>
      </c>
      <c r="P445" s="34" t="str">
        <f aca="false">IF(MID(D445,15,3)="SEL","Subestación eléctrica","Área de proceso")</f>
        <v>Subestación eléctrica</v>
      </c>
      <c r="Q445" s="34" t="str">
        <f aca="false">MID(D445,13,5)&amp;"|"&amp;MID(D445,19,5)</f>
        <v>08SEL|SEP01</v>
      </c>
      <c r="R445" s="34" t="str">
        <f aca="false">IF(P445="Subestación eléctrica",IFERROR(INDEX(cat_SubN,MATCH(Q445,cat_SubK,0)),"SIN CATALOGAR"),"ÁREA DE PROCESO")</f>
        <v>SEP-01</v>
      </c>
      <c r="S445" s="34" t="str">
        <f aca="false">IF(H445="","SIN DATO",IFERROR(INDEX(cat_MarcaN,MATCH(H445,cat_MarcaO,0)),H445))</f>
        <v>ABB</v>
      </c>
      <c r="T445" s="34" t="str">
        <f aca="false">IF(I445="","SIN DATO",IFERROR(INDEX(cat_ModN,MATCH(I445,cat_ModO,0)),I445))</f>
        <v>REA 101</v>
      </c>
      <c r="U445" s="34" t="str">
        <f aca="false">IF(I445="","",IFERROR(INDEX(cat_ModG,MATCH(I445,cat_ModO,0)),"No"))</f>
        <v>No</v>
      </c>
      <c r="V445" s="34" t="str">
        <f aca="false">IF(J445="","SIN DATO",IFERROR(INDEX(cat_FunN,MATCH(J445,cat_FunO,0)),J445))</f>
        <v>Protección</v>
      </c>
      <c r="W445" s="34" t="str">
        <f aca="false">IF(OR(S445="SIN DATO",T445="SIN DATO"),"No","Sí")</f>
        <v>Sí</v>
      </c>
    </row>
    <row r="446" customFormat="false" ht="15" hidden="false" customHeight="false" outlineLevel="0" collapsed="false">
      <c r="A446" s="34" t="s">
        <v>1826</v>
      </c>
      <c r="B446" s="34" t="s">
        <v>1827</v>
      </c>
      <c r="C446" s="34" t="s">
        <v>1828</v>
      </c>
      <c r="D446" s="34" t="s">
        <v>1793</v>
      </c>
      <c r="E446" s="34" t="s">
        <v>184</v>
      </c>
      <c r="F446" s="34" t="s">
        <v>1602</v>
      </c>
      <c r="G446" s="34" t="s">
        <v>227</v>
      </c>
      <c r="H446" s="34" t="s">
        <v>34</v>
      </c>
      <c r="I446" s="34" t="s">
        <v>37</v>
      </c>
      <c r="J446" s="34" t="s">
        <v>228</v>
      </c>
      <c r="K446" s="34" t="s">
        <v>229</v>
      </c>
      <c r="L446" s="34" t="s">
        <v>230</v>
      </c>
      <c r="M446" s="34" t="s">
        <v>1663</v>
      </c>
      <c r="N446" s="34" t="str">
        <f aca="false">"Sector "&amp;VALUE(MID(D446,13,2))</f>
        <v>Sector 8</v>
      </c>
      <c r="O446" s="34" t="str">
        <f aca="false">IF(Dashboard!$C$5="Ubicación técnica",N446,"Sector "&amp;VALUE(RIGHT(G446,2)))</f>
        <v>Sector 8</v>
      </c>
      <c r="P446" s="34" t="str">
        <f aca="false">IF(MID(D446,15,3)="SEL","Subestación eléctrica","Área de proceso")</f>
        <v>Subestación eléctrica</v>
      </c>
      <c r="Q446" s="34" t="str">
        <f aca="false">MID(D446,13,5)&amp;"|"&amp;MID(D446,19,5)</f>
        <v>08SEL|SEP01</v>
      </c>
      <c r="R446" s="34" t="str">
        <f aca="false">IF(P446="Subestación eléctrica",IFERROR(INDEX(cat_SubN,MATCH(Q446,cat_SubK,0)),"SIN CATALOGAR"),"ÁREA DE PROCESO")</f>
        <v>SEP-01</v>
      </c>
      <c r="S446" s="34" t="str">
        <f aca="false">IF(H446="","SIN DATO",IFERROR(INDEX(cat_MarcaN,MATCH(H446,cat_MarcaO,0)),H446))</f>
        <v>ABB</v>
      </c>
      <c r="T446" s="34" t="str">
        <f aca="false">IF(I446="","SIN DATO",IFERROR(INDEX(cat_ModN,MATCH(I446,cat_ModO,0)),I446))</f>
        <v>REF615A_1G</v>
      </c>
      <c r="U446" s="34" t="str">
        <f aca="false">IF(I446="","",IFERROR(INDEX(cat_ModG,MATCH(I446,cat_ModO,0)),"No"))</f>
        <v>No</v>
      </c>
      <c r="V446" s="34" t="str">
        <f aca="false">IF(J446="","SIN DATO",IFERROR(INDEX(cat_FunN,MATCH(J446,cat_FunO,0)),J446))</f>
        <v>Protección y medición</v>
      </c>
      <c r="W446" s="34" t="str">
        <f aca="false">IF(OR(S446="SIN DATO",T446="SIN DATO"),"No","Sí")</f>
        <v>Sí</v>
      </c>
    </row>
    <row r="447" customFormat="false" ht="15" hidden="false" customHeight="false" outlineLevel="0" collapsed="false">
      <c r="A447" s="34" t="s">
        <v>1829</v>
      </c>
      <c r="B447" s="34" t="s">
        <v>1830</v>
      </c>
      <c r="C447" s="34" t="s">
        <v>1831</v>
      </c>
      <c r="D447" s="34" t="s">
        <v>1659</v>
      </c>
      <c r="E447" s="34" t="s">
        <v>184</v>
      </c>
      <c r="F447" s="34" t="s">
        <v>1602</v>
      </c>
      <c r="G447" s="34" t="s">
        <v>227</v>
      </c>
      <c r="H447" s="34" t="s">
        <v>34</v>
      </c>
      <c r="I447" s="34" t="s">
        <v>43</v>
      </c>
      <c r="J447" s="34" t="s">
        <v>228</v>
      </c>
      <c r="K447" s="34" t="s">
        <v>229</v>
      </c>
      <c r="L447" s="34" t="s">
        <v>230</v>
      </c>
      <c r="M447" s="34" t="s">
        <v>1663</v>
      </c>
      <c r="N447" s="34" t="str">
        <f aca="false">"Sector "&amp;VALUE(MID(D447,13,2))</f>
        <v>Sector 8</v>
      </c>
      <c r="O447" s="34" t="str">
        <f aca="false">IF(Dashboard!$C$5="Ubicación técnica",N447,"Sector "&amp;VALUE(RIGHT(G447,2)))</f>
        <v>Sector 8</v>
      </c>
      <c r="P447" s="34" t="str">
        <f aca="false">IF(MID(D447,15,3)="SEL","Subestación eléctrica","Área de proceso")</f>
        <v>Subestación eléctrica</v>
      </c>
      <c r="Q447" s="34" t="str">
        <f aca="false">MID(D447,13,5)&amp;"|"&amp;MID(D447,19,5)</f>
        <v>08SEL|SEP01</v>
      </c>
      <c r="R447" s="34" t="str">
        <f aca="false">IF(P447="Subestación eléctrica",IFERROR(INDEX(cat_SubN,MATCH(Q447,cat_SubK,0)),"SIN CATALOGAR"),"ÁREA DE PROCESO")</f>
        <v>SEP-01</v>
      </c>
      <c r="S447" s="34" t="str">
        <f aca="false">IF(H447="","SIN DATO",IFERROR(INDEX(cat_MarcaN,MATCH(H447,cat_MarcaO,0)),H447))</f>
        <v>ABB</v>
      </c>
      <c r="T447" s="34" t="str">
        <f aca="false">IF(I447="","SIN DATO",IFERROR(INDEX(cat_ModN,MATCH(I447,cat_ModO,0)),I447))</f>
        <v>RET615A_1G</v>
      </c>
      <c r="U447" s="34" t="str">
        <f aca="false">IF(I447="","",IFERROR(INDEX(cat_ModG,MATCH(I447,cat_ModO,0)),"No"))</f>
        <v>No</v>
      </c>
      <c r="V447" s="34" t="str">
        <f aca="false">IF(J447="","SIN DATO",IFERROR(INDEX(cat_FunN,MATCH(J447,cat_FunO,0)),J447))</f>
        <v>Protección y medición</v>
      </c>
      <c r="W447" s="34" t="str">
        <f aca="false">IF(OR(S447="SIN DATO",T447="SIN DATO"),"No","Sí")</f>
        <v>Sí</v>
      </c>
    </row>
    <row r="448" customFormat="false" ht="15" hidden="false" customHeight="false" outlineLevel="0" collapsed="false">
      <c r="A448" s="34" t="s">
        <v>1832</v>
      </c>
      <c r="B448" s="34" t="s">
        <v>1833</v>
      </c>
      <c r="C448" s="34" t="s">
        <v>1834</v>
      </c>
      <c r="D448" s="34" t="s">
        <v>1659</v>
      </c>
      <c r="E448" s="34" t="s">
        <v>184</v>
      </c>
      <c r="F448" s="34" t="s">
        <v>1602</v>
      </c>
      <c r="G448" s="34" t="s">
        <v>227</v>
      </c>
      <c r="H448" s="34" t="s">
        <v>55</v>
      </c>
      <c r="I448" s="34" t="s">
        <v>57</v>
      </c>
      <c r="J448" s="34" t="s">
        <v>58</v>
      </c>
      <c r="K448" s="34" t="s">
        <v>229</v>
      </c>
      <c r="L448" s="34" t="s">
        <v>230</v>
      </c>
      <c r="M448" s="34" t="s">
        <v>237</v>
      </c>
      <c r="N448" s="34" t="str">
        <f aca="false">"Sector "&amp;VALUE(MID(D448,13,2))</f>
        <v>Sector 8</v>
      </c>
      <c r="O448" s="34" t="str">
        <f aca="false">IF(Dashboard!$C$5="Ubicación técnica",N448,"Sector "&amp;VALUE(RIGHT(G448,2)))</f>
        <v>Sector 8</v>
      </c>
      <c r="P448" s="34" t="str">
        <f aca="false">IF(MID(D448,15,3)="SEL","Subestación eléctrica","Área de proceso")</f>
        <v>Subestación eléctrica</v>
      </c>
      <c r="Q448" s="34" t="str">
        <f aca="false">MID(D448,13,5)&amp;"|"&amp;MID(D448,19,5)</f>
        <v>08SEL|SEP01</v>
      </c>
      <c r="R448" s="34" t="str">
        <f aca="false">IF(P448="Subestación eléctrica",IFERROR(INDEX(cat_SubN,MATCH(Q448,cat_SubK,0)),"SIN CATALOGAR"),"ÁREA DE PROCESO")</f>
        <v>SEP-01</v>
      </c>
      <c r="S448" s="34" t="str">
        <f aca="false">IF(H448="","SIN DATO",IFERROR(INDEX(cat_MarcaN,MATCH(H448,cat_MarcaO,0)),H448))</f>
        <v>SEL</v>
      </c>
      <c r="T448" s="34" t="str">
        <f aca="false">IF(I448="","SIN DATO",IFERROR(INDEX(cat_ModN,MATCH(I448,cat_ModO,0)),I448))</f>
        <v>SEL-735</v>
      </c>
      <c r="U448" s="34" t="str">
        <f aca="false">IF(I448="","",IFERROR(INDEX(cat_ModG,MATCH(I448,cat_ModO,0)),"No"))</f>
        <v>No</v>
      </c>
      <c r="V448" s="34" t="str">
        <f aca="false">IF(J448="","SIN DATO",IFERROR(INDEX(cat_FunN,MATCH(J448,cat_FunO,0)),J448))</f>
        <v>Medición</v>
      </c>
      <c r="W448" s="34" t="str">
        <f aca="false">IF(OR(S448="SIN DATO",T448="SIN DATO"),"No","Sí")</f>
        <v>Sí</v>
      </c>
    </row>
    <row r="449" customFormat="false" ht="15" hidden="false" customHeight="false" outlineLevel="0" collapsed="false">
      <c r="A449" s="34" t="s">
        <v>1835</v>
      </c>
      <c r="B449" s="34" t="s">
        <v>1836</v>
      </c>
      <c r="C449" s="34" t="s">
        <v>1837</v>
      </c>
      <c r="D449" s="34" t="s">
        <v>1659</v>
      </c>
      <c r="E449" s="34" t="s">
        <v>184</v>
      </c>
      <c r="F449" s="34" t="s">
        <v>1602</v>
      </c>
      <c r="G449" s="34" t="s">
        <v>227</v>
      </c>
      <c r="H449" s="34" t="s">
        <v>34</v>
      </c>
      <c r="I449" s="34" t="s">
        <v>40</v>
      </c>
      <c r="J449" s="34" t="s">
        <v>681</v>
      </c>
      <c r="K449" s="34" t="s">
        <v>229</v>
      </c>
      <c r="L449" s="34" t="s">
        <v>230</v>
      </c>
      <c r="M449" s="34" t="s">
        <v>1825</v>
      </c>
      <c r="N449" s="34" t="str">
        <f aca="false">"Sector "&amp;VALUE(MID(D449,13,2))</f>
        <v>Sector 8</v>
      </c>
      <c r="O449" s="34" t="str">
        <f aca="false">IF(Dashboard!$C$5="Ubicación técnica",N449,"Sector "&amp;VALUE(RIGHT(G449,2)))</f>
        <v>Sector 8</v>
      </c>
      <c r="P449" s="34" t="str">
        <f aca="false">IF(MID(D449,15,3)="SEL","Subestación eléctrica","Área de proceso")</f>
        <v>Subestación eléctrica</v>
      </c>
      <c r="Q449" s="34" t="str">
        <f aca="false">MID(D449,13,5)&amp;"|"&amp;MID(D449,19,5)</f>
        <v>08SEL|SEP01</v>
      </c>
      <c r="R449" s="34" t="str">
        <f aca="false">IF(P449="Subestación eléctrica",IFERROR(INDEX(cat_SubN,MATCH(Q449,cat_SubK,0)),"SIN CATALOGAR"),"ÁREA DE PROCESO")</f>
        <v>SEP-01</v>
      </c>
      <c r="S449" s="34" t="str">
        <f aca="false">IF(H449="","SIN DATO",IFERROR(INDEX(cat_MarcaN,MATCH(H449,cat_MarcaO,0)),H449))</f>
        <v>ABB</v>
      </c>
      <c r="T449" s="34" t="str">
        <f aca="false">IF(I449="","SIN DATO",IFERROR(INDEX(cat_ModN,MATCH(I449,cat_ModO,0)),I449))</f>
        <v>REA 101</v>
      </c>
      <c r="U449" s="34" t="str">
        <f aca="false">IF(I449="","",IFERROR(INDEX(cat_ModG,MATCH(I449,cat_ModO,0)),"No"))</f>
        <v>No</v>
      </c>
      <c r="V449" s="34" t="str">
        <f aca="false">IF(J449="","SIN DATO",IFERROR(INDEX(cat_FunN,MATCH(J449,cat_FunO,0)),J449))</f>
        <v>Protección</v>
      </c>
      <c r="W449" s="34" t="str">
        <f aca="false">IF(OR(S449="SIN DATO",T449="SIN DATO"),"No","Sí")</f>
        <v>Sí</v>
      </c>
    </row>
    <row r="450" customFormat="false" ht="15" hidden="false" customHeight="false" outlineLevel="0" collapsed="false">
      <c r="A450" s="34" t="s">
        <v>1838</v>
      </c>
      <c r="B450" s="34" t="s">
        <v>1839</v>
      </c>
      <c r="C450" s="34" t="s">
        <v>1840</v>
      </c>
      <c r="D450" s="34" t="s">
        <v>1841</v>
      </c>
      <c r="E450" s="34" t="s">
        <v>184</v>
      </c>
      <c r="F450" s="34" t="s">
        <v>1602</v>
      </c>
      <c r="G450" s="34" t="s">
        <v>227</v>
      </c>
      <c r="H450" s="34" t="s">
        <v>34</v>
      </c>
      <c r="I450" s="34" t="s">
        <v>43</v>
      </c>
      <c r="J450" s="34" t="s">
        <v>228</v>
      </c>
      <c r="K450" s="34" t="s">
        <v>229</v>
      </c>
      <c r="L450" s="34" t="s">
        <v>230</v>
      </c>
      <c r="M450" s="34" t="s">
        <v>1663</v>
      </c>
      <c r="N450" s="34" t="str">
        <f aca="false">"Sector "&amp;VALUE(MID(D450,13,2))</f>
        <v>Sector 8</v>
      </c>
      <c r="O450" s="34" t="str">
        <f aca="false">IF(Dashboard!$C$5="Ubicación técnica",N450,"Sector "&amp;VALUE(RIGHT(G450,2)))</f>
        <v>Sector 8</v>
      </c>
      <c r="P450" s="34" t="str">
        <f aca="false">IF(MID(D450,15,3)="SEL","Subestación eléctrica","Área de proceso")</f>
        <v>Subestación eléctrica</v>
      </c>
      <c r="Q450" s="34" t="str">
        <f aca="false">MID(D450,13,5)&amp;"|"&amp;MID(D450,19,5)</f>
        <v>08SEL|SEP01</v>
      </c>
      <c r="R450" s="34" t="str">
        <f aca="false">IF(P450="Subestación eléctrica",IFERROR(INDEX(cat_SubN,MATCH(Q450,cat_SubK,0)),"SIN CATALOGAR"),"ÁREA DE PROCESO")</f>
        <v>SEP-01</v>
      </c>
      <c r="S450" s="34" t="str">
        <f aca="false">IF(H450="","SIN DATO",IFERROR(INDEX(cat_MarcaN,MATCH(H450,cat_MarcaO,0)),H450))</f>
        <v>ABB</v>
      </c>
      <c r="T450" s="34" t="str">
        <f aca="false">IF(I450="","SIN DATO",IFERROR(INDEX(cat_ModN,MATCH(I450,cat_ModO,0)),I450))</f>
        <v>RET615A_1G</v>
      </c>
      <c r="U450" s="34" t="str">
        <f aca="false">IF(I450="","",IFERROR(INDEX(cat_ModG,MATCH(I450,cat_ModO,0)),"No"))</f>
        <v>No</v>
      </c>
      <c r="V450" s="34" t="str">
        <f aca="false">IF(J450="","SIN DATO",IFERROR(INDEX(cat_FunN,MATCH(J450,cat_FunO,0)),J450))</f>
        <v>Protección y medición</v>
      </c>
      <c r="W450" s="34" t="str">
        <f aca="false">IF(OR(S450="SIN DATO",T450="SIN DATO"),"No","Sí")</f>
        <v>Sí</v>
      </c>
    </row>
    <row r="451" customFormat="false" ht="15" hidden="false" customHeight="false" outlineLevel="0" collapsed="false">
      <c r="A451" s="34" t="s">
        <v>1842</v>
      </c>
      <c r="B451" s="34" t="s">
        <v>1843</v>
      </c>
      <c r="C451" s="34" t="s">
        <v>1844</v>
      </c>
      <c r="D451" s="34" t="s">
        <v>1841</v>
      </c>
      <c r="E451" s="34" t="s">
        <v>184</v>
      </c>
      <c r="F451" s="34" t="s">
        <v>1602</v>
      </c>
      <c r="G451" s="34" t="s">
        <v>227</v>
      </c>
      <c r="H451" s="34" t="s">
        <v>55</v>
      </c>
      <c r="I451" s="34" t="s">
        <v>57</v>
      </c>
      <c r="J451" s="34" t="s">
        <v>58</v>
      </c>
      <c r="K451" s="34" t="s">
        <v>229</v>
      </c>
      <c r="L451" s="34" t="s">
        <v>230</v>
      </c>
      <c r="M451" s="34" t="s">
        <v>237</v>
      </c>
      <c r="N451" s="34" t="str">
        <f aca="false">"Sector "&amp;VALUE(MID(D451,13,2))</f>
        <v>Sector 8</v>
      </c>
      <c r="O451" s="34" t="str">
        <f aca="false">IF(Dashboard!$C$5="Ubicación técnica",N451,"Sector "&amp;VALUE(RIGHT(G451,2)))</f>
        <v>Sector 8</v>
      </c>
      <c r="P451" s="34" t="str">
        <f aca="false">IF(MID(D451,15,3)="SEL","Subestación eléctrica","Área de proceso")</f>
        <v>Subestación eléctrica</v>
      </c>
      <c r="Q451" s="34" t="str">
        <f aca="false">MID(D451,13,5)&amp;"|"&amp;MID(D451,19,5)</f>
        <v>08SEL|SEP01</v>
      </c>
      <c r="R451" s="34" t="str">
        <f aca="false">IF(P451="Subestación eléctrica",IFERROR(INDEX(cat_SubN,MATCH(Q451,cat_SubK,0)),"SIN CATALOGAR"),"ÁREA DE PROCESO")</f>
        <v>SEP-01</v>
      </c>
      <c r="S451" s="34" t="str">
        <f aca="false">IF(H451="","SIN DATO",IFERROR(INDEX(cat_MarcaN,MATCH(H451,cat_MarcaO,0)),H451))</f>
        <v>SEL</v>
      </c>
      <c r="T451" s="34" t="str">
        <f aca="false">IF(I451="","SIN DATO",IFERROR(INDEX(cat_ModN,MATCH(I451,cat_ModO,0)),I451))</f>
        <v>SEL-735</v>
      </c>
      <c r="U451" s="34" t="str">
        <f aca="false">IF(I451="","",IFERROR(INDEX(cat_ModG,MATCH(I451,cat_ModO,0)),"No"))</f>
        <v>No</v>
      </c>
      <c r="V451" s="34" t="str">
        <f aca="false">IF(J451="","SIN DATO",IFERROR(INDEX(cat_FunN,MATCH(J451,cat_FunO,0)),J451))</f>
        <v>Medición</v>
      </c>
      <c r="W451" s="34" t="str">
        <f aca="false">IF(OR(S451="SIN DATO",T451="SIN DATO"),"No","Sí")</f>
        <v>Sí</v>
      </c>
    </row>
    <row r="452" customFormat="false" ht="15" hidden="false" customHeight="false" outlineLevel="0" collapsed="false">
      <c r="A452" s="34" t="s">
        <v>1845</v>
      </c>
      <c r="B452" s="34" t="s">
        <v>1846</v>
      </c>
      <c r="C452" s="34" t="s">
        <v>1847</v>
      </c>
      <c r="D452" s="34" t="s">
        <v>1659</v>
      </c>
      <c r="E452" s="34" t="s">
        <v>184</v>
      </c>
      <c r="F452" s="34" t="s">
        <v>1602</v>
      </c>
      <c r="G452" s="34" t="s">
        <v>227</v>
      </c>
      <c r="H452" s="34" t="s">
        <v>34</v>
      </c>
      <c r="I452" s="34" t="s">
        <v>37</v>
      </c>
      <c r="J452" s="34" t="s">
        <v>228</v>
      </c>
      <c r="K452" s="34" t="s">
        <v>229</v>
      </c>
      <c r="L452" s="34" t="s">
        <v>230</v>
      </c>
      <c r="M452" s="34" t="s">
        <v>1663</v>
      </c>
      <c r="N452" s="34" t="str">
        <f aca="false">"Sector "&amp;VALUE(MID(D452,13,2))</f>
        <v>Sector 8</v>
      </c>
      <c r="O452" s="34" t="str">
        <f aca="false">IF(Dashboard!$C$5="Ubicación técnica",N452,"Sector "&amp;VALUE(RIGHT(G452,2)))</f>
        <v>Sector 8</v>
      </c>
      <c r="P452" s="34" t="str">
        <f aca="false">IF(MID(D452,15,3)="SEL","Subestación eléctrica","Área de proceso")</f>
        <v>Subestación eléctrica</v>
      </c>
      <c r="Q452" s="34" t="str">
        <f aca="false">MID(D452,13,5)&amp;"|"&amp;MID(D452,19,5)</f>
        <v>08SEL|SEP01</v>
      </c>
      <c r="R452" s="34" t="str">
        <f aca="false">IF(P452="Subestación eléctrica",IFERROR(INDEX(cat_SubN,MATCH(Q452,cat_SubK,0)),"SIN CATALOGAR"),"ÁREA DE PROCESO")</f>
        <v>SEP-01</v>
      </c>
      <c r="S452" s="34" t="str">
        <f aca="false">IF(H452="","SIN DATO",IFERROR(INDEX(cat_MarcaN,MATCH(H452,cat_MarcaO,0)),H452))</f>
        <v>ABB</v>
      </c>
      <c r="T452" s="34" t="str">
        <f aca="false">IF(I452="","SIN DATO",IFERROR(INDEX(cat_ModN,MATCH(I452,cat_ModO,0)),I452))</f>
        <v>REF615A_1G</v>
      </c>
      <c r="U452" s="34" t="str">
        <f aca="false">IF(I452="","",IFERROR(INDEX(cat_ModG,MATCH(I452,cat_ModO,0)),"No"))</f>
        <v>No</v>
      </c>
      <c r="V452" s="34" t="str">
        <f aca="false">IF(J452="","SIN DATO",IFERROR(INDEX(cat_FunN,MATCH(J452,cat_FunO,0)),J452))</f>
        <v>Protección y medición</v>
      </c>
      <c r="W452" s="34" t="str">
        <f aca="false">IF(OR(S452="SIN DATO",T452="SIN DATO"),"No","Sí")</f>
        <v>Sí</v>
      </c>
    </row>
    <row r="453" customFormat="false" ht="15" hidden="false" customHeight="false" outlineLevel="0" collapsed="false">
      <c r="A453" s="34" t="s">
        <v>1848</v>
      </c>
      <c r="B453" s="34" t="s">
        <v>1849</v>
      </c>
      <c r="C453" s="34" t="s">
        <v>1850</v>
      </c>
      <c r="D453" s="34" t="s">
        <v>1659</v>
      </c>
      <c r="E453" s="34" t="s">
        <v>184</v>
      </c>
      <c r="F453" s="34" t="s">
        <v>1602</v>
      </c>
      <c r="G453" s="34" t="s">
        <v>227</v>
      </c>
      <c r="H453" s="34" t="s">
        <v>55</v>
      </c>
      <c r="I453" s="34" t="s">
        <v>57</v>
      </c>
      <c r="J453" s="34" t="s">
        <v>58</v>
      </c>
      <c r="K453" s="34" t="s">
        <v>229</v>
      </c>
      <c r="L453" s="34" t="s">
        <v>230</v>
      </c>
      <c r="M453" s="34" t="s">
        <v>237</v>
      </c>
      <c r="N453" s="34" t="str">
        <f aca="false">"Sector "&amp;VALUE(MID(D453,13,2))</f>
        <v>Sector 8</v>
      </c>
      <c r="O453" s="34" t="str">
        <f aca="false">IF(Dashboard!$C$5="Ubicación técnica",N453,"Sector "&amp;VALUE(RIGHT(G453,2)))</f>
        <v>Sector 8</v>
      </c>
      <c r="P453" s="34" t="str">
        <f aca="false">IF(MID(D453,15,3)="SEL","Subestación eléctrica","Área de proceso")</f>
        <v>Subestación eléctrica</v>
      </c>
      <c r="Q453" s="34" t="str">
        <f aca="false">MID(D453,13,5)&amp;"|"&amp;MID(D453,19,5)</f>
        <v>08SEL|SEP01</v>
      </c>
      <c r="R453" s="34" t="str">
        <f aca="false">IF(P453="Subestación eléctrica",IFERROR(INDEX(cat_SubN,MATCH(Q453,cat_SubK,0)),"SIN CATALOGAR"),"ÁREA DE PROCESO")</f>
        <v>SEP-01</v>
      </c>
      <c r="S453" s="34" t="str">
        <f aca="false">IF(H453="","SIN DATO",IFERROR(INDEX(cat_MarcaN,MATCH(H453,cat_MarcaO,0)),H453))</f>
        <v>SEL</v>
      </c>
      <c r="T453" s="34" t="str">
        <f aca="false">IF(I453="","SIN DATO",IFERROR(INDEX(cat_ModN,MATCH(I453,cat_ModO,0)),I453))</f>
        <v>SEL-735</v>
      </c>
      <c r="U453" s="34" t="str">
        <f aca="false">IF(I453="","",IFERROR(INDEX(cat_ModG,MATCH(I453,cat_ModO,0)),"No"))</f>
        <v>No</v>
      </c>
      <c r="V453" s="34" t="str">
        <f aca="false">IF(J453="","SIN DATO",IFERROR(INDEX(cat_FunN,MATCH(J453,cat_FunO,0)),J453))</f>
        <v>Medición</v>
      </c>
      <c r="W453" s="34" t="str">
        <f aca="false">IF(OR(S453="SIN DATO",T453="SIN DATO"),"No","Sí")</f>
        <v>Sí</v>
      </c>
    </row>
    <row r="454" customFormat="false" ht="15" hidden="false" customHeight="false" outlineLevel="0" collapsed="false">
      <c r="A454" s="34" t="s">
        <v>1851</v>
      </c>
      <c r="B454" s="34" t="s">
        <v>1852</v>
      </c>
      <c r="C454" s="34" t="s">
        <v>1853</v>
      </c>
      <c r="D454" s="34" t="s">
        <v>1659</v>
      </c>
      <c r="E454" s="34" t="s">
        <v>184</v>
      </c>
      <c r="F454" s="34" t="s">
        <v>1602</v>
      </c>
      <c r="G454" s="34" t="s">
        <v>227</v>
      </c>
      <c r="H454" s="34" t="s">
        <v>34</v>
      </c>
      <c r="I454" s="34" t="s">
        <v>37</v>
      </c>
      <c r="J454" s="34" t="s">
        <v>228</v>
      </c>
      <c r="K454" s="34" t="s">
        <v>229</v>
      </c>
      <c r="L454" s="34" t="s">
        <v>230</v>
      </c>
      <c r="M454" s="34" t="s">
        <v>1663</v>
      </c>
      <c r="N454" s="34" t="str">
        <f aca="false">"Sector "&amp;VALUE(MID(D454,13,2))</f>
        <v>Sector 8</v>
      </c>
      <c r="O454" s="34" t="str">
        <f aca="false">IF(Dashboard!$C$5="Ubicación técnica",N454,"Sector "&amp;VALUE(RIGHT(G454,2)))</f>
        <v>Sector 8</v>
      </c>
      <c r="P454" s="34" t="str">
        <f aca="false">IF(MID(D454,15,3)="SEL","Subestación eléctrica","Área de proceso")</f>
        <v>Subestación eléctrica</v>
      </c>
      <c r="Q454" s="34" t="str">
        <f aca="false">MID(D454,13,5)&amp;"|"&amp;MID(D454,19,5)</f>
        <v>08SEL|SEP01</v>
      </c>
      <c r="R454" s="34" t="str">
        <f aca="false">IF(P454="Subestación eléctrica",IFERROR(INDEX(cat_SubN,MATCH(Q454,cat_SubK,0)),"SIN CATALOGAR"),"ÁREA DE PROCESO")</f>
        <v>SEP-01</v>
      </c>
      <c r="S454" s="34" t="str">
        <f aca="false">IF(H454="","SIN DATO",IFERROR(INDEX(cat_MarcaN,MATCH(H454,cat_MarcaO,0)),H454))</f>
        <v>ABB</v>
      </c>
      <c r="T454" s="34" t="str">
        <f aca="false">IF(I454="","SIN DATO",IFERROR(INDEX(cat_ModN,MATCH(I454,cat_ModO,0)),I454))</f>
        <v>REF615A_1G</v>
      </c>
      <c r="U454" s="34" t="str">
        <f aca="false">IF(I454="","",IFERROR(INDEX(cat_ModG,MATCH(I454,cat_ModO,0)),"No"))</f>
        <v>No</v>
      </c>
      <c r="V454" s="34" t="str">
        <f aca="false">IF(J454="","SIN DATO",IFERROR(INDEX(cat_FunN,MATCH(J454,cat_FunO,0)),J454))</f>
        <v>Protección y medición</v>
      </c>
      <c r="W454" s="34" t="str">
        <f aca="false">IF(OR(S454="SIN DATO",T454="SIN DATO"),"No","Sí")</f>
        <v>Sí</v>
      </c>
    </row>
    <row r="455" customFormat="false" ht="15" hidden="false" customHeight="false" outlineLevel="0" collapsed="false">
      <c r="A455" s="34" t="s">
        <v>1854</v>
      </c>
      <c r="B455" s="34" t="s">
        <v>1855</v>
      </c>
      <c r="C455" s="34" t="s">
        <v>1856</v>
      </c>
      <c r="D455" s="34" t="s">
        <v>1659</v>
      </c>
      <c r="E455" s="34" t="s">
        <v>184</v>
      </c>
      <c r="F455" s="34" t="s">
        <v>1602</v>
      </c>
      <c r="G455" s="34" t="s">
        <v>227</v>
      </c>
      <c r="H455" s="34" t="s">
        <v>55</v>
      </c>
      <c r="I455" s="34" t="s">
        <v>57</v>
      </c>
      <c r="J455" s="34" t="s">
        <v>58</v>
      </c>
      <c r="K455" s="34" t="s">
        <v>229</v>
      </c>
      <c r="L455" s="34" t="s">
        <v>230</v>
      </c>
      <c r="M455" s="34" t="s">
        <v>237</v>
      </c>
      <c r="N455" s="34" t="str">
        <f aca="false">"Sector "&amp;VALUE(MID(D455,13,2))</f>
        <v>Sector 8</v>
      </c>
      <c r="O455" s="34" t="str">
        <f aca="false">IF(Dashboard!$C$5="Ubicación técnica",N455,"Sector "&amp;VALUE(RIGHT(G455,2)))</f>
        <v>Sector 8</v>
      </c>
      <c r="P455" s="34" t="str">
        <f aca="false">IF(MID(D455,15,3)="SEL","Subestación eléctrica","Área de proceso")</f>
        <v>Subestación eléctrica</v>
      </c>
      <c r="Q455" s="34" t="str">
        <f aca="false">MID(D455,13,5)&amp;"|"&amp;MID(D455,19,5)</f>
        <v>08SEL|SEP01</v>
      </c>
      <c r="R455" s="34" t="str">
        <f aca="false">IF(P455="Subestación eléctrica",IFERROR(INDEX(cat_SubN,MATCH(Q455,cat_SubK,0)),"SIN CATALOGAR"),"ÁREA DE PROCESO")</f>
        <v>SEP-01</v>
      </c>
      <c r="S455" s="34" t="str">
        <f aca="false">IF(H455="","SIN DATO",IFERROR(INDEX(cat_MarcaN,MATCH(H455,cat_MarcaO,0)),H455))</f>
        <v>SEL</v>
      </c>
      <c r="T455" s="34" t="str">
        <f aca="false">IF(I455="","SIN DATO",IFERROR(INDEX(cat_ModN,MATCH(I455,cat_ModO,0)),I455))</f>
        <v>SEL-735</v>
      </c>
      <c r="U455" s="34" t="str">
        <f aca="false">IF(I455="","",IFERROR(INDEX(cat_ModG,MATCH(I455,cat_ModO,0)),"No"))</f>
        <v>No</v>
      </c>
      <c r="V455" s="34" t="str">
        <f aca="false">IF(J455="","SIN DATO",IFERROR(INDEX(cat_FunN,MATCH(J455,cat_FunO,0)),J455))</f>
        <v>Medición</v>
      </c>
      <c r="W455" s="34" t="str">
        <f aca="false">IF(OR(S455="SIN DATO",T455="SIN DATO"),"No","Sí")</f>
        <v>Sí</v>
      </c>
    </row>
    <row r="456" customFormat="false" ht="15" hidden="false" customHeight="false" outlineLevel="0" collapsed="false">
      <c r="A456" s="34" t="s">
        <v>1857</v>
      </c>
      <c r="B456" s="34" t="s">
        <v>1858</v>
      </c>
      <c r="C456" s="34" t="s">
        <v>1859</v>
      </c>
      <c r="D456" s="34" t="s">
        <v>1659</v>
      </c>
      <c r="E456" s="34" t="s">
        <v>184</v>
      </c>
      <c r="F456" s="34" t="s">
        <v>1602</v>
      </c>
      <c r="G456" s="34" t="s">
        <v>227</v>
      </c>
      <c r="H456" s="34" t="s">
        <v>34</v>
      </c>
      <c r="I456" s="34" t="s">
        <v>37</v>
      </c>
      <c r="J456" s="34" t="s">
        <v>228</v>
      </c>
      <c r="K456" s="34" t="s">
        <v>229</v>
      </c>
      <c r="L456" s="34" t="s">
        <v>230</v>
      </c>
      <c r="M456" s="34" t="s">
        <v>1663</v>
      </c>
      <c r="N456" s="34" t="str">
        <f aca="false">"Sector "&amp;VALUE(MID(D456,13,2))</f>
        <v>Sector 8</v>
      </c>
      <c r="O456" s="34" t="str">
        <f aca="false">IF(Dashboard!$C$5="Ubicación técnica",N456,"Sector "&amp;VALUE(RIGHT(G456,2)))</f>
        <v>Sector 8</v>
      </c>
      <c r="P456" s="34" t="str">
        <f aca="false">IF(MID(D456,15,3)="SEL","Subestación eléctrica","Área de proceso")</f>
        <v>Subestación eléctrica</v>
      </c>
      <c r="Q456" s="34" t="str">
        <f aca="false">MID(D456,13,5)&amp;"|"&amp;MID(D456,19,5)</f>
        <v>08SEL|SEP01</v>
      </c>
      <c r="R456" s="34" t="str">
        <f aca="false">IF(P456="Subestación eléctrica",IFERROR(INDEX(cat_SubN,MATCH(Q456,cat_SubK,0)),"SIN CATALOGAR"),"ÁREA DE PROCESO")</f>
        <v>SEP-01</v>
      </c>
      <c r="S456" s="34" t="str">
        <f aca="false">IF(H456="","SIN DATO",IFERROR(INDEX(cat_MarcaN,MATCH(H456,cat_MarcaO,0)),H456))</f>
        <v>ABB</v>
      </c>
      <c r="T456" s="34" t="str">
        <f aca="false">IF(I456="","SIN DATO",IFERROR(INDEX(cat_ModN,MATCH(I456,cat_ModO,0)),I456))</f>
        <v>REF615A_1G</v>
      </c>
      <c r="U456" s="34" t="str">
        <f aca="false">IF(I456="","",IFERROR(INDEX(cat_ModG,MATCH(I456,cat_ModO,0)),"No"))</f>
        <v>No</v>
      </c>
      <c r="V456" s="34" t="str">
        <f aca="false">IF(J456="","SIN DATO",IFERROR(INDEX(cat_FunN,MATCH(J456,cat_FunO,0)),J456))</f>
        <v>Protección y medición</v>
      </c>
      <c r="W456" s="34" t="str">
        <f aca="false">IF(OR(S456="SIN DATO",T456="SIN DATO"),"No","Sí")</f>
        <v>Sí</v>
      </c>
    </row>
    <row r="457" customFormat="false" ht="15" hidden="false" customHeight="false" outlineLevel="0" collapsed="false">
      <c r="A457" s="34" t="s">
        <v>1860</v>
      </c>
      <c r="B457" s="34" t="s">
        <v>1861</v>
      </c>
      <c r="C457" s="34" t="s">
        <v>1862</v>
      </c>
      <c r="D457" s="34" t="s">
        <v>1863</v>
      </c>
      <c r="E457" s="34" t="s">
        <v>184</v>
      </c>
      <c r="F457" s="34" t="s">
        <v>1602</v>
      </c>
      <c r="G457" s="34" t="s">
        <v>227</v>
      </c>
      <c r="H457" s="34" t="s">
        <v>55</v>
      </c>
      <c r="I457" s="34" t="s">
        <v>57</v>
      </c>
      <c r="J457" s="34" t="s">
        <v>58</v>
      </c>
      <c r="K457" s="34" t="s">
        <v>229</v>
      </c>
      <c r="L457" s="34" t="s">
        <v>230</v>
      </c>
      <c r="M457" s="34" t="s">
        <v>237</v>
      </c>
      <c r="N457" s="34" t="str">
        <f aca="false">"Sector "&amp;VALUE(MID(D457,13,2))</f>
        <v>Sector 8</v>
      </c>
      <c r="O457" s="34" t="str">
        <f aca="false">IF(Dashboard!$C$5="Ubicación técnica",N457,"Sector "&amp;VALUE(RIGHT(G457,2)))</f>
        <v>Sector 8</v>
      </c>
      <c r="P457" s="34" t="str">
        <f aca="false">IF(MID(D457,15,3)="SEL","Subestación eléctrica","Área de proceso")</f>
        <v>Subestación eléctrica</v>
      </c>
      <c r="Q457" s="34" t="str">
        <f aca="false">MID(D457,13,5)&amp;"|"&amp;MID(D457,19,5)</f>
        <v>08SEL|SEP01</v>
      </c>
      <c r="R457" s="34" t="str">
        <f aca="false">IF(P457="Subestación eléctrica",IFERROR(INDEX(cat_SubN,MATCH(Q457,cat_SubK,0)),"SIN CATALOGAR"),"ÁREA DE PROCESO")</f>
        <v>SEP-01</v>
      </c>
      <c r="S457" s="34" t="str">
        <f aca="false">IF(H457="","SIN DATO",IFERROR(INDEX(cat_MarcaN,MATCH(H457,cat_MarcaO,0)),H457))</f>
        <v>SEL</v>
      </c>
      <c r="T457" s="34" t="str">
        <f aca="false">IF(I457="","SIN DATO",IFERROR(INDEX(cat_ModN,MATCH(I457,cat_ModO,0)),I457))</f>
        <v>SEL-735</v>
      </c>
      <c r="U457" s="34" t="str">
        <f aca="false">IF(I457="","",IFERROR(INDEX(cat_ModG,MATCH(I457,cat_ModO,0)),"No"))</f>
        <v>No</v>
      </c>
      <c r="V457" s="34" t="str">
        <f aca="false">IF(J457="","SIN DATO",IFERROR(INDEX(cat_FunN,MATCH(J457,cat_FunO,0)),J457))</f>
        <v>Medición</v>
      </c>
      <c r="W457" s="34" t="str">
        <f aca="false">IF(OR(S457="SIN DATO",T457="SIN DATO"),"No","Sí")</f>
        <v>Sí</v>
      </c>
    </row>
    <row r="458" customFormat="false" ht="15" hidden="false" customHeight="false" outlineLevel="0" collapsed="false">
      <c r="A458" s="34" t="s">
        <v>1864</v>
      </c>
      <c r="B458" s="34" t="s">
        <v>1865</v>
      </c>
      <c r="C458" s="34" t="s">
        <v>1866</v>
      </c>
      <c r="D458" s="34" t="s">
        <v>1867</v>
      </c>
      <c r="E458" s="34" t="s">
        <v>184</v>
      </c>
      <c r="F458" s="34" t="s">
        <v>1602</v>
      </c>
      <c r="G458" s="34" t="s">
        <v>227</v>
      </c>
      <c r="H458" s="34" t="s">
        <v>34</v>
      </c>
      <c r="I458" s="34" t="s">
        <v>41</v>
      </c>
      <c r="J458" s="34" t="s">
        <v>228</v>
      </c>
      <c r="K458" s="34" t="s">
        <v>229</v>
      </c>
      <c r="L458" s="34" t="s">
        <v>230</v>
      </c>
      <c r="M458" s="34" t="s">
        <v>1663</v>
      </c>
      <c r="N458" s="34" t="str">
        <f aca="false">"Sector "&amp;VALUE(MID(D458,13,2))</f>
        <v>Sector 8</v>
      </c>
      <c r="O458" s="34" t="str">
        <f aca="false">IF(Dashboard!$C$5="Ubicación técnica",N458,"Sector "&amp;VALUE(RIGHT(G458,2)))</f>
        <v>Sector 8</v>
      </c>
      <c r="P458" s="34" t="str">
        <f aca="false">IF(MID(D458,15,3)="SEL","Subestación eléctrica","Área de proceso")</f>
        <v>Área de proceso</v>
      </c>
      <c r="Q458" s="34" t="str">
        <f aca="false">MID(D458,13,5)&amp;"|"&amp;MID(D458,19,5)</f>
        <v>08COG|SAICO</v>
      </c>
      <c r="R458" s="34" t="str">
        <f aca="false">IF(P458="Subestación eléctrica",IFERROR(INDEX(cat_SubN,MATCH(Q458,cat_SubK,0)),"SIN CATALOGAR"),"ÁREA DE PROCESO")</f>
        <v>ÁREA DE PROCESO</v>
      </c>
      <c r="S458" s="34" t="str">
        <f aca="false">IF(H458="","SIN DATO",IFERROR(INDEX(cat_MarcaN,MATCH(H458,cat_MarcaO,0)),H458))</f>
        <v>ABB</v>
      </c>
      <c r="T458" s="34" t="str">
        <f aca="false">IF(I458="","SIN DATO",IFERROR(INDEX(cat_ModN,MATCH(I458,cat_ModO,0)),I458))</f>
        <v>REM615A_1G</v>
      </c>
      <c r="U458" s="34" t="str">
        <f aca="false">IF(I458="","",IFERROR(INDEX(cat_ModG,MATCH(I458,cat_ModO,0)),"No"))</f>
        <v>No</v>
      </c>
      <c r="V458" s="34" t="str">
        <f aca="false">IF(J458="","SIN DATO",IFERROR(INDEX(cat_FunN,MATCH(J458,cat_FunO,0)),J458))</f>
        <v>Protección y medición</v>
      </c>
      <c r="W458" s="34" t="str">
        <f aca="false">IF(OR(S458="SIN DATO",T458="SIN DATO"),"No","Sí")</f>
        <v>Sí</v>
      </c>
    </row>
    <row r="459" customFormat="false" ht="15" hidden="false" customHeight="false" outlineLevel="0" collapsed="false">
      <c r="A459" s="34" t="s">
        <v>1868</v>
      </c>
      <c r="B459" s="34" t="s">
        <v>1869</v>
      </c>
      <c r="C459" s="34" t="s">
        <v>1870</v>
      </c>
      <c r="D459" s="34" t="s">
        <v>1867</v>
      </c>
      <c r="E459" s="34" t="s">
        <v>184</v>
      </c>
      <c r="F459" s="34" t="s">
        <v>1602</v>
      </c>
      <c r="G459" s="34" t="s">
        <v>227</v>
      </c>
      <c r="H459" s="34" t="s">
        <v>55</v>
      </c>
      <c r="I459" s="34" t="s">
        <v>57</v>
      </c>
      <c r="J459" s="34" t="s">
        <v>58</v>
      </c>
      <c r="K459" s="34" t="s">
        <v>229</v>
      </c>
      <c r="L459" s="34" t="s">
        <v>230</v>
      </c>
      <c r="M459" s="34" t="s">
        <v>237</v>
      </c>
      <c r="N459" s="34" t="str">
        <f aca="false">"Sector "&amp;VALUE(MID(D459,13,2))</f>
        <v>Sector 8</v>
      </c>
      <c r="O459" s="34" t="str">
        <f aca="false">IF(Dashboard!$C$5="Ubicación técnica",N459,"Sector "&amp;VALUE(RIGHT(G459,2)))</f>
        <v>Sector 8</v>
      </c>
      <c r="P459" s="34" t="str">
        <f aca="false">IF(MID(D459,15,3)="SEL","Subestación eléctrica","Área de proceso")</f>
        <v>Área de proceso</v>
      </c>
      <c r="Q459" s="34" t="str">
        <f aca="false">MID(D459,13,5)&amp;"|"&amp;MID(D459,19,5)</f>
        <v>08COG|SAICO</v>
      </c>
      <c r="R459" s="34" t="str">
        <f aca="false">IF(P459="Subestación eléctrica",IFERROR(INDEX(cat_SubN,MATCH(Q459,cat_SubK,0)),"SIN CATALOGAR"),"ÁREA DE PROCESO")</f>
        <v>ÁREA DE PROCESO</v>
      </c>
      <c r="S459" s="34" t="str">
        <f aca="false">IF(H459="","SIN DATO",IFERROR(INDEX(cat_MarcaN,MATCH(H459,cat_MarcaO,0)),H459))</f>
        <v>SEL</v>
      </c>
      <c r="T459" s="34" t="str">
        <f aca="false">IF(I459="","SIN DATO",IFERROR(INDEX(cat_ModN,MATCH(I459,cat_ModO,0)),I459))</f>
        <v>SEL-735</v>
      </c>
      <c r="U459" s="34" t="str">
        <f aca="false">IF(I459="","",IFERROR(INDEX(cat_ModG,MATCH(I459,cat_ModO,0)),"No"))</f>
        <v>No</v>
      </c>
      <c r="V459" s="34" t="str">
        <f aca="false">IF(J459="","SIN DATO",IFERROR(INDEX(cat_FunN,MATCH(J459,cat_FunO,0)),J459))</f>
        <v>Medición</v>
      </c>
      <c r="W459" s="34" t="str">
        <f aca="false">IF(OR(S459="SIN DATO",T459="SIN DATO"),"No","Sí")</f>
        <v>Sí</v>
      </c>
    </row>
    <row r="460" customFormat="false" ht="15" hidden="false" customHeight="false" outlineLevel="0" collapsed="false">
      <c r="A460" s="34" t="s">
        <v>1871</v>
      </c>
      <c r="B460" s="34" t="s">
        <v>1872</v>
      </c>
      <c r="C460" s="34" t="s">
        <v>1873</v>
      </c>
      <c r="D460" s="34" t="s">
        <v>1874</v>
      </c>
      <c r="E460" s="34" t="s">
        <v>184</v>
      </c>
      <c r="F460" s="34" t="s">
        <v>1602</v>
      </c>
      <c r="G460" s="34" t="s">
        <v>227</v>
      </c>
      <c r="H460" s="34" t="s">
        <v>34</v>
      </c>
      <c r="I460" s="34" t="s">
        <v>41</v>
      </c>
      <c r="J460" s="34" t="s">
        <v>228</v>
      </c>
      <c r="K460" s="34" t="s">
        <v>229</v>
      </c>
      <c r="L460" s="34" t="s">
        <v>230</v>
      </c>
      <c r="M460" s="34" t="s">
        <v>1663</v>
      </c>
      <c r="N460" s="34" t="str">
        <f aca="false">"Sector "&amp;VALUE(MID(D460,13,2))</f>
        <v>Sector 8</v>
      </c>
      <c r="O460" s="34" t="str">
        <f aca="false">IF(Dashboard!$C$5="Ubicación técnica",N460,"Sector "&amp;VALUE(RIGHT(G460,2)))</f>
        <v>Sector 8</v>
      </c>
      <c r="P460" s="34" t="str">
        <f aca="false">IF(MID(D460,15,3)="SEL","Subestación eléctrica","Área de proceso")</f>
        <v>Área de proceso</v>
      </c>
      <c r="Q460" s="34" t="str">
        <f aca="false">MID(D460,13,5)&amp;"|"&amp;MID(D460,19,5)</f>
        <v>08COG|SECCW</v>
      </c>
      <c r="R460" s="34" t="str">
        <f aca="false">IF(P460="Subestación eléctrica",IFERROR(INDEX(cat_SubN,MATCH(Q460,cat_SubK,0)),"SIN CATALOGAR"),"ÁREA DE PROCESO")</f>
        <v>ÁREA DE PROCESO</v>
      </c>
      <c r="S460" s="34" t="str">
        <f aca="false">IF(H460="","SIN DATO",IFERROR(INDEX(cat_MarcaN,MATCH(H460,cat_MarcaO,0)),H460))</f>
        <v>ABB</v>
      </c>
      <c r="T460" s="34" t="str">
        <f aca="false">IF(I460="","SIN DATO",IFERROR(INDEX(cat_ModN,MATCH(I460,cat_ModO,0)),I460))</f>
        <v>REM615A_1G</v>
      </c>
      <c r="U460" s="34" t="str">
        <f aca="false">IF(I460="","",IFERROR(INDEX(cat_ModG,MATCH(I460,cat_ModO,0)),"No"))</f>
        <v>No</v>
      </c>
      <c r="V460" s="34" t="str">
        <f aca="false">IF(J460="","SIN DATO",IFERROR(INDEX(cat_FunN,MATCH(J460,cat_FunO,0)),J460))</f>
        <v>Protección y medición</v>
      </c>
      <c r="W460" s="34" t="str">
        <f aca="false">IF(OR(S460="SIN DATO",T460="SIN DATO"),"No","Sí")</f>
        <v>Sí</v>
      </c>
    </row>
    <row r="461" customFormat="false" ht="15" hidden="false" customHeight="false" outlineLevel="0" collapsed="false">
      <c r="A461" s="34" t="s">
        <v>1875</v>
      </c>
      <c r="B461" s="34" t="s">
        <v>1876</v>
      </c>
      <c r="C461" s="34" t="s">
        <v>1877</v>
      </c>
      <c r="D461" s="34" t="s">
        <v>1874</v>
      </c>
      <c r="E461" s="34" t="s">
        <v>184</v>
      </c>
      <c r="F461" s="34" t="s">
        <v>1602</v>
      </c>
      <c r="G461" s="34" t="s">
        <v>227</v>
      </c>
      <c r="H461" s="34" t="s">
        <v>55</v>
      </c>
      <c r="I461" s="34" t="s">
        <v>57</v>
      </c>
      <c r="J461" s="34" t="s">
        <v>58</v>
      </c>
      <c r="K461" s="34" t="s">
        <v>229</v>
      </c>
      <c r="L461" s="34" t="s">
        <v>230</v>
      </c>
      <c r="M461" s="34" t="s">
        <v>237</v>
      </c>
      <c r="N461" s="34" t="str">
        <f aca="false">"Sector "&amp;VALUE(MID(D461,13,2))</f>
        <v>Sector 8</v>
      </c>
      <c r="O461" s="34" t="str">
        <f aca="false">IF(Dashboard!$C$5="Ubicación técnica",N461,"Sector "&amp;VALUE(RIGHT(G461,2)))</f>
        <v>Sector 8</v>
      </c>
      <c r="P461" s="34" t="str">
        <f aca="false">IF(MID(D461,15,3)="SEL","Subestación eléctrica","Área de proceso")</f>
        <v>Área de proceso</v>
      </c>
      <c r="Q461" s="34" t="str">
        <f aca="false">MID(D461,13,5)&amp;"|"&amp;MID(D461,19,5)</f>
        <v>08COG|SECCW</v>
      </c>
      <c r="R461" s="34" t="str">
        <f aca="false">IF(P461="Subestación eléctrica",IFERROR(INDEX(cat_SubN,MATCH(Q461,cat_SubK,0)),"SIN CATALOGAR"),"ÁREA DE PROCESO")</f>
        <v>ÁREA DE PROCESO</v>
      </c>
      <c r="S461" s="34" t="str">
        <f aca="false">IF(H461="","SIN DATO",IFERROR(INDEX(cat_MarcaN,MATCH(H461,cat_MarcaO,0)),H461))</f>
        <v>SEL</v>
      </c>
      <c r="T461" s="34" t="str">
        <f aca="false">IF(I461="","SIN DATO",IFERROR(INDEX(cat_ModN,MATCH(I461,cat_ModO,0)),I461))</f>
        <v>SEL-735</v>
      </c>
      <c r="U461" s="34" t="str">
        <f aca="false">IF(I461="","",IFERROR(INDEX(cat_ModG,MATCH(I461,cat_ModO,0)),"No"))</f>
        <v>No</v>
      </c>
      <c r="V461" s="34" t="str">
        <f aca="false">IF(J461="","SIN DATO",IFERROR(INDEX(cat_FunN,MATCH(J461,cat_FunO,0)),J461))</f>
        <v>Medición</v>
      </c>
      <c r="W461" s="34" t="str">
        <f aca="false">IF(OR(S461="SIN DATO",T461="SIN DATO"),"No","Sí")</f>
        <v>Sí</v>
      </c>
    </row>
    <row r="462" customFormat="false" ht="15" hidden="false" customHeight="false" outlineLevel="0" collapsed="false">
      <c r="A462" s="34" t="s">
        <v>1878</v>
      </c>
      <c r="B462" s="34" t="s">
        <v>1879</v>
      </c>
      <c r="C462" s="34" t="s">
        <v>1880</v>
      </c>
      <c r="D462" s="34" t="s">
        <v>1881</v>
      </c>
      <c r="E462" s="34" t="s">
        <v>184</v>
      </c>
      <c r="F462" s="34" t="s">
        <v>1602</v>
      </c>
      <c r="G462" s="34" t="s">
        <v>227</v>
      </c>
      <c r="H462" s="34" t="s">
        <v>34</v>
      </c>
      <c r="I462" s="34" t="s">
        <v>41</v>
      </c>
      <c r="J462" s="34" t="s">
        <v>228</v>
      </c>
      <c r="K462" s="34" t="s">
        <v>229</v>
      </c>
      <c r="L462" s="34" t="s">
        <v>230</v>
      </c>
      <c r="M462" s="34" t="s">
        <v>1663</v>
      </c>
      <c r="N462" s="34" t="str">
        <f aca="false">"Sector "&amp;VALUE(MID(D462,13,2))</f>
        <v>Sector 8</v>
      </c>
      <c r="O462" s="34" t="str">
        <f aca="false">IF(Dashboard!$C$5="Ubicación técnica",N462,"Sector "&amp;VALUE(RIGHT(G462,2)))</f>
        <v>Sector 8</v>
      </c>
      <c r="P462" s="34" t="str">
        <f aca="false">IF(MID(D462,15,3)="SEL","Subestación eléctrica","Área de proceso")</f>
        <v>Área de proceso</v>
      </c>
      <c r="Q462" s="34" t="str">
        <f aca="false">MID(D462,13,5)&amp;"|"&amp;MID(D462,19,5)</f>
        <v>08COG|SAGAL</v>
      </c>
      <c r="R462" s="34" t="str">
        <f aca="false">IF(P462="Subestación eléctrica",IFERROR(INDEX(cat_SubN,MATCH(Q462,cat_SubK,0)),"SIN CATALOGAR"),"ÁREA DE PROCESO")</f>
        <v>ÁREA DE PROCESO</v>
      </c>
      <c r="S462" s="34" t="str">
        <f aca="false">IF(H462="","SIN DATO",IFERROR(INDEX(cat_MarcaN,MATCH(H462,cat_MarcaO,0)),H462))</f>
        <v>ABB</v>
      </c>
      <c r="T462" s="34" t="str">
        <f aca="false">IF(I462="","SIN DATO",IFERROR(INDEX(cat_ModN,MATCH(I462,cat_ModO,0)),I462))</f>
        <v>REM615A_1G</v>
      </c>
      <c r="U462" s="34" t="str">
        <f aca="false">IF(I462="","",IFERROR(INDEX(cat_ModG,MATCH(I462,cat_ModO,0)),"No"))</f>
        <v>No</v>
      </c>
      <c r="V462" s="34" t="str">
        <f aca="false">IF(J462="","SIN DATO",IFERROR(INDEX(cat_FunN,MATCH(J462,cat_FunO,0)),J462))</f>
        <v>Protección y medición</v>
      </c>
      <c r="W462" s="34" t="str">
        <f aca="false">IF(OR(S462="SIN DATO",T462="SIN DATO"),"No","Sí")</f>
        <v>Sí</v>
      </c>
    </row>
    <row r="463" customFormat="false" ht="15" hidden="false" customHeight="false" outlineLevel="0" collapsed="false">
      <c r="A463" s="34" t="s">
        <v>1882</v>
      </c>
      <c r="B463" s="34" t="s">
        <v>1883</v>
      </c>
      <c r="C463" s="34" t="s">
        <v>1884</v>
      </c>
      <c r="D463" s="34" t="s">
        <v>1881</v>
      </c>
      <c r="E463" s="34" t="s">
        <v>184</v>
      </c>
      <c r="F463" s="34" t="s">
        <v>1602</v>
      </c>
      <c r="G463" s="34" t="s">
        <v>227</v>
      </c>
      <c r="H463" s="34" t="s">
        <v>55</v>
      </c>
      <c r="I463" s="34" t="s">
        <v>57</v>
      </c>
      <c r="J463" s="34" t="s">
        <v>58</v>
      </c>
      <c r="K463" s="34" t="s">
        <v>229</v>
      </c>
      <c r="L463" s="34" t="s">
        <v>230</v>
      </c>
      <c r="M463" s="34" t="s">
        <v>237</v>
      </c>
      <c r="N463" s="34" t="str">
        <f aca="false">"Sector "&amp;VALUE(MID(D463,13,2))</f>
        <v>Sector 8</v>
      </c>
      <c r="O463" s="34" t="str">
        <f aca="false">IF(Dashboard!$C$5="Ubicación técnica",N463,"Sector "&amp;VALUE(RIGHT(G463,2)))</f>
        <v>Sector 8</v>
      </c>
      <c r="P463" s="34" t="str">
        <f aca="false">IF(MID(D463,15,3)="SEL","Subestación eléctrica","Área de proceso")</f>
        <v>Área de proceso</v>
      </c>
      <c r="Q463" s="34" t="str">
        <f aca="false">MID(D463,13,5)&amp;"|"&amp;MID(D463,19,5)</f>
        <v>08COG|SAGAL</v>
      </c>
      <c r="R463" s="34" t="str">
        <f aca="false">IF(P463="Subestación eléctrica",IFERROR(INDEX(cat_SubN,MATCH(Q463,cat_SubK,0)),"SIN CATALOGAR"),"ÁREA DE PROCESO")</f>
        <v>ÁREA DE PROCESO</v>
      </c>
      <c r="S463" s="34" t="str">
        <f aca="false">IF(H463="","SIN DATO",IFERROR(INDEX(cat_MarcaN,MATCH(H463,cat_MarcaO,0)),H463))</f>
        <v>SEL</v>
      </c>
      <c r="T463" s="34" t="str">
        <f aca="false">IF(I463="","SIN DATO",IFERROR(INDEX(cat_ModN,MATCH(I463,cat_ModO,0)),I463))</f>
        <v>SEL-735</v>
      </c>
      <c r="U463" s="34" t="str">
        <f aca="false">IF(I463="","",IFERROR(INDEX(cat_ModG,MATCH(I463,cat_ModO,0)),"No"))</f>
        <v>No</v>
      </c>
      <c r="V463" s="34" t="str">
        <f aca="false">IF(J463="","SIN DATO",IFERROR(INDEX(cat_FunN,MATCH(J463,cat_FunO,0)),J463))</f>
        <v>Medición</v>
      </c>
      <c r="W463" s="34" t="str">
        <f aca="false">IF(OR(S463="SIN DATO",T463="SIN DATO"),"No","Sí")</f>
        <v>Sí</v>
      </c>
    </row>
    <row r="464" customFormat="false" ht="15" hidden="false" customHeight="false" outlineLevel="0" collapsed="false">
      <c r="A464" s="34" t="s">
        <v>1885</v>
      </c>
      <c r="B464" s="34" t="s">
        <v>1886</v>
      </c>
      <c r="C464" s="34" t="s">
        <v>1887</v>
      </c>
      <c r="D464" s="34" t="s">
        <v>1888</v>
      </c>
      <c r="E464" s="34" t="s">
        <v>184</v>
      </c>
      <c r="F464" s="34" t="s">
        <v>1602</v>
      </c>
      <c r="G464" s="34" t="s">
        <v>227</v>
      </c>
      <c r="H464" s="34" t="s">
        <v>34</v>
      </c>
      <c r="I464" s="34" t="s">
        <v>41</v>
      </c>
      <c r="J464" s="34" t="s">
        <v>228</v>
      </c>
      <c r="K464" s="34" t="s">
        <v>229</v>
      </c>
      <c r="L464" s="34" t="s">
        <v>230</v>
      </c>
      <c r="M464" s="34" t="s">
        <v>1663</v>
      </c>
      <c r="N464" s="34" t="str">
        <f aca="false">"Sector "&amp;VALUE(MID(D464,13,2))</f>
        <v>Sector 8</v>
      </c>
      <c r="O464" s="34" t="str">
        <f aca="false">IF(Dashboard!$C$5="Ubicación técnica",N464,"Sector "&amp;VALUE(RIGHT(G464,2)))</f>
        <v>Sector 8</v>
      </c>
      <c r="P464" s="34" t="str">
        <f aca="false">IF(MID(D464,15,3)="SEL","Subestación eléctrica","Área de proceso")</f>
        <v>Área de proceso</v>
      </c>
      <c r="Q464" s="34" t="str">
        <f aca="false">MID(D464,13,5)&amp;"|"&amp;MID(D464,19,5)</f>
        <v>08COG|SCOND</v>
      </c>
      <c r="R464" s="34" t="str">
        <f aca="false">IF(P464="Subestación eléctrica",IFERROR(INDEX(cat_SubN,MATCH(Q464,cat_SubK,0)),"SIN CATALOGAR"),"ÁREA DE PROCESO")</f>
        <v>ÁREA DE PROCESO</v>
      </c>
      <c r="S464" s="34" t="str">
        <f aca="false">IF(H464="","SIN DATO",IFERROR(INDEX(cat_MarcaN,MATCH(H464,cat_MarcaO,0)),H464))</f>
        <v>ABB</v>
      </c>
      <c r="T464" s="34" t="str">
        <f aca="false">IF(I464="","SIN DATO",IFERROR(INDEX(cat_ModN,MATCH(I464,cat_ModO,0)),I464))</f>
        <v>REM615A_1G</v>
      </c>
      <c r="U464" s="34" t="str">
        <f aca="false">IF(I464="","",IFERROR(INDEX(cat_ModG,MATCH(I464,cat_ModO,0)),"No"))</f>
        <v>No</v>
      </c>
      <c r="V464" s="34" t="str">
        <f aca="false">IF(J464="","SIN DATO",IFERROR(INDEX(cat_FunN,MATCH(J464,cat_FunO,0)),J464))</f>
        <v>Protección y medición</v>
      </c>
      <c r="W464" s="34" t="str">
        <f aca="false">IF(OR(S464="SIN DATO",T464="SIN DATO"),"No","Sí")</f>
        <v>Sí</v>
      </c>
    </row>
    <row r="465" customFormat="false" ht="15" hidden="false" customHeight="false" outlineLevel="0" collapsed="false">
      <c r="A465" s="34" t="s">
        <v>1889</v>
      </c>
      <c r="B465" s="34" t="s">
        <v>1890</v>
      </c>
      <c r="C465" s="34" t="s">
        <v>1891</v>
      </c>
      <c r="D465" s="34" t="s">
        <v>1888</v>
      </c>
      <c r="E465" s="34" t="s">
        <v>184</v>
      </c>
      <c r="F465" s="34" t="s">
        <v>1602</v>
      </c>
      <c r="G465" s="34" t="s">
        <v>227</v>
      </c>
      <c r="H465" s="34" t="s">
        <v>55</v>
      </c>
      <c r="I465" s="34" t="s">
        <v>57</v>
      </c>
      <c r="J465" s="34" t="s">
        <v>58</v>
      </c>
      <c r="K465" s="34" t="s">
        <v>229</v>
      </c>
      <c r="L465" s="34" t="s">
        <v>230</v>
      </c>
      <c r="M465" s="34" t="s">
        <v>237</v>
      </c>
      <c r="N465" s="34" t="str">
        <f aca="false">"Sector "&amp;VALUE(MID(D465,13,2))</f>
        <v>Sector 8</v>
      </c>
      <c r="O465" s="34" t="str">
        <f aca="false">IF(Dashboard!$C$5="Ubicación técnica",N465,"Sector "&amp;VALUE(RIGHT(G465,2)))</f>
        <v>Sector 8</v>
      </c>
      <c r="P465" s="34" t="str">
        <f aca="false">IF(MID(D465,15,3)="SEL","Subestación eléctrica","Área de proceso")</f>
        <v>Área de proceso</v>
      </c>
      <c r="Q465" s="34" t="str">
        <f aca="false">MID(D465,13,5)&amp;"|"&amp;MID(D465,19,5)</f>
        <v>08COG|SCOND</v>
      </c>
      <c r="R465" s="34" t="str">
        <f aca="false">IF(P465="Subestación eléctrica",IFERROR(INDEX(cat_SubN,MATCH(Q465,cat_SubK,0)),"SIN CATALOGAR"),"ÁREA DE PROCESO")</f>
        <v>ÁREA DE PROCESO</v>
      </c>
      <c r="S465" s="34" t="str">
        <f aca="false">IF(H465="","SIN DATO",IFERROR(INDEX(cat_MarcaN,MATCH(H465,cat_MarcaO,0)),H465))</f>
        <v>SEL</v>
      </c>
      <c r="T465" s="34" t="str">
        <f aca="false">IF(I465="","SIN DATO",IFERROR(INDEX(cat_ModN,MATCH(I465,cat_ModO,0)),I465))</f>
        <v>SEL-735</v>
      </c>
      <c r="U465" s="34" t="str">
        <f aca="false">IF(I465="","",IFERROR(INDEX(cat_ModG,MATCH(I465,cat_ModO,0)),"No"))</f>
        <v>No</v>
      </c>
      <c r="V465" s="34" t="str">
        <f aca="false">IF(J465="","SIN DATO",IFERROR(INDEX(cat_FunN,MATCH(J465,cat_FunO,0)),J465))</f>
        <v>Medición</v>
      </c>
      <c r="W465" s="34" t="str">
        <f aca="false">IF(OR(S465="SIN DATO",T465="SIN DATO"),"No","Sí")</f>
        <v>Sí</v>
      </c>
    </row>
    <row r="466" customFormat="false" ht="15" hidden="false" customHeight="false" outlineLevel="0" collapsed="false">
      <c r="A466" s="34" t="s">
        <v>1892</v>
      </c>
      <c r="B466" s="34" t="s">
        <v>1893</v>
      </c>
      <c r="C466" s="34" t="s">
        <v>1894</v>
      </c>
      <c r="D466" s="34" t="s">
        <v>1895</v>
      </c>
      <c r="E466" s="34" t="s">
        <v>184</v>
      </c>
      <c r="F466" s="34" t="s">
        <v>1602</v>
      </c>
      <c r="G466" s="34" t="s">
        <v>227</v>
      </c>
      <c r="H466" s="34" t="s">
        <v>34</v>
      </c>
      <c r="I466" s="34" t="s">
        <v>41</v>
      </c>
      <c r="J466" s="34" t="s">
        <v>228</v>
      </c>
      <c r="K466" s="34" t="s">
        <v>229</v>
      </c>
      <c r="L466" s="34" t="s">
        <v>230</v>
      </c>
      <c r="M466" s="34" t="s">
        <v>1663</v>
      </c>
      <c r="N466" s="34" t="str">
        <f aca="false">"Sector "&amp;VALUE(MID(D466,13,2))</f>
        <v>Sector 8</v>
      </c>
      <c r="O466" s="34" t="str">
        <f aca="false">IF(Dashboard!$C$5="Ubicación técnica",N466,"Sector "&amp;VALUE(RIGHT(G466,2)))</f>
        <v>Sector 8</v>
      </c>
      <c r="P466" s="34" t="str">
        <f aca="false">IF(MID(D466,15,3)="SEL","Subestación eléctrica","Área de proceso")</f>
        <v>Área de proceso</v>
      </c>
      <c r="Q466" s="34" t="str">
        <f aca="false">MID(D466,13,5)&amp;"|"&amp;MID(D466,19,5)</f>
        <v>08COG|SCOND</v>
      </c>
      <c r="R466" s="34" t="str">
        <f aca="false">IF(P466="Subestación eléctrica",IFERROR(INDEX(cat_SubN,MATCH(Q466,cat_SubK,0)),"SIN CATALOGAR"),"ÁREA DE PROCESO")</f>
        <v>ÁREA DE PROCESO</v>
      </c>
      <c r="S466" s="34" t="str">
        <f aca="false">IF(H466="","SIN DATO",IFERROR(INDEX(cat_MarcaN,MATCH(H466,cat_MarcaO,0)),H466))</f>
        <v>ABB</v>
      </c>
      <c r="T466" s="34" t="str">
        <f aca="false">IF(I466="","SIN DATO",IFERROR(INDEX(cat_ModN,MATCH(I466,cat_ModO,0)),I466))</f>
        <v>REM615A_1G</v>
      </c>
      <c r="U466" s="34" t="str">
        <f aca="false">IF(I466="","",IFERROR(INDEX(cat_ModG,MATCH(I466,cat_ModO,0)),"No"))</f>
        <v>No</v>
      </c>
      <c r="V466" s="34" t="str">
        <f aca="false">IF(J466="","SIN DATO",IFERROR(INDEX(cat_FunN,MATCH(J466,cat_FunO,0)),J466))</f>
        <v>Protección y medición</v>
      </c>
      <c r="W466" s="34" t="str">
        <f aca="false">IF(OR(S466="SIN DATO",T466="SIN DATO"),"No","Sí")</f>
        <v>Sí</v>
      </c>
    </row>
    <row r="467" customFormat="false" ht="15" hidden="false" customHeight="false" outlineLevel="0" collapsed="false">
      <c r="A467" s="34" t="s">
        <v>1896</v>
      </c>
      <c r="B467" s="34" t="s">
        <v>1897</v>
      </c>
      <c r="C467" s="34" t="s">
        <v>1898</v>
      </c>
      <c r="D467" s="34" t="s">
        <v>1895</v>
      </c>
      <c r="E467" s="34" t="s">
        <v>184</v>
      </c>
      <c r="F467" s="34" t="s">
        <v>1602</v>
      </c>
      <c r="G467" s="34" t="s">
        <v>227</v>
      </c>
      <c r="H467" s="34" t="s">
        <v>55</v>
      </c>
      <c r="I467" s="34" t="s">
        <v>57</v>
      </c>
      <c r="J467" s="34" t="s">
        <v>58</v>
      </c>
      <c r="K467" s="34" t="s">
        <v>229</v>
      </c>
      <c r="L467" s="34" t="s">
        <v>230</v>
      </c>
      <c r="M467" s="34" t="s">
        <v>237</v>
      </c>
      <c r="N467" s="34" t="str">
        <f aca="false">"Sector "&amp;VALUE(MID(D467,13,2))</f>
        <v>Sector 8</v>
      </c>
      <c r="O467" s="34" t="str">
        <f aca="false">IF(Dashboard!$C$5="Ubicación técnica",N467,"Sector "&amp;VALUE(RIGHT(G467,2)))</f>
        <v>Sector 8</v>
      </c>
      <c r="P467" s="34" t="str">
        <f aca="false">IF(MID(D467,15,3)="SEL","Subestación eléctrica","Área de proceso")</f>
        <v>Área de proceso</v>
      </c>
      <c r="Q467" s="34" t="str">
        <f aca="false">MID(D467,13,5)&amp;"|"&amp;MID(D467,19,5)</f>
        <v>08COG|SCOND</v>
      </c>
      <c r="R467" s="34" t="str">
        <f aca="false">IF(P467="Subestación eléctrica",IFERROR(INDEX(cat_SubN,MATCH(Q467,cat_SubK,0)),"SIN CATALOGAR"),"ÁREA DE PROCESO")</f>
        <v>ÁREA DE PROCESO</v>
      </c>
      <c r="S467" s="34" t="str">
        <f aca="false">IF(H467="","SIN DATO",IFERROR(INDEX(cat_MarcaN,MATCH(H467,cat_MarcaO,0)),H467))</f>
        <v>SEL</v>
      </c>
      <c r="T467" s="34" t="str">
        <f aca="false">IF(I467="","SIN DATO",IFERROR(INDEX(cat_ModN,MATCH(I467,cat_ModO,0)),I467))</f>
        <v>SEL-735</v>
      </c>
      <c r="U467" s="34" t="str">
        <f aca="false">IF(I467="","",IFERROR(INDEX(cat_ModG,MATCH(I467,cat_ModO,0)),"No"))</f>
        <v>No</v>
      </c>
      <c r="V467" s="34" t="str">
        <f aca="false">IF(J467="","SIN DATO",IFERROR(INDEX(cat_FunN,MATCH(J467,cat_FunO,0)),J467))</f>
        <v>Medición</v>
      </c>
      <c r="W467" s="34" t="str">
        <f aca="false">IF(OR(S467="SIN DATO",T467="SIN DATO"),"No","Sí")</f>
        <v>Sí</v>
      </c>
    </row>
    <row r="468" customFormat="false" ht="15" hidden="false" customHeight="false" outlineLevel="0" collapsed="false">
      <c r="A468" s="34" t="s">
        <v>1899</v>
      </c>
      <c r="B468" s="34" t="s">
        <v>1900</v>
      </c>
      <c r="C468" s="34" t="s">
        <v>1901</v>
      </c>
      <c r="D468" s="34" t="s">
        <v>1902</v>
      </c>
      <c r="E468" s="34" t="s">
        <v>184</v>
      </c>
      <c r="F468" s="34" t="s">
        <v>1602</v>
      </c>
      <c r="G468" s="34" t="s">
        <v>227</v>
      </c>
      <c r="H468" s="34" t="s">
        <v>34</v>
      </c>
      <c r="I468" s="34" t="s">
        <v>41</v>
      </c>
      <c r="J468" s="34" t="s">
        <v>228</v>
      </c>
      <c r="K468" s="34" t="s">
        <v>229</v>
      </c>
      <c r="L468" s="34" t="s">
        <v>230</v>
      </c>
      <c r="M468" s="34" t="s">
        <v>1663</v>
      </c>
      <c r="N468" s="34" t="str">
        <f aca="false">"Sector "&amp;VALUE(MID(D468,13,2))</f>
        <v>Sector 8</v>
      </c>
      <c r="O468" s="34" t="str">
        <f aca="false">IF(Dashboard!$C$5="Ubicación técnica",N468,"Sector "&amp;VALUE(RIGHT(G468,2)))</f>
        <v>Sector 8</v>
      </c>
      <c r="P468" s="34" t="str">
        <f aca="false">IF(MID(D468,15,3)="SEL","Subestación eléctrica","Área de proceso")</f>
        <v>Área de proceso</v>
      </c>
      <c r="Q468" s="34" t="str">
        <f aca="false">MID(D468,13,5)&amp;"|"&amp;MID(D468,19,5)</f>
        <v>08COG|SCOND</v>
      </c>
      <c r="R468" s="34" t="str">
        <f aca="false">IF(P468="Subestación eléctrica",IFERROR(INDEX(cat_SubN,MATCH(Q468,cat_SubK,0)),"SIN CATALOGAR"),"ÁREA DE PROCESO")</f>
        <v>ÁREA DE PROCESO</v>
      </c>
      <c r="S468" s="34" t="str">
        <f aca="false">IF(H468="","SIN DATO",IFERROR(INDEX(cat_MarcaN,MATCH(H468,cat_MarcaO,0)),H468))</f>
        <v>ABB</v>
      </c>
      <c r="T468" s="34" t="str">
        <f aca="false">IF(I468="","SIN DATO",IFERROR(INDEX(cat_ModN,MATCH(I468,cat_ModO,0)),I468))</f>
        <v>REM615A_1G</v>
      </c>
      <c r="U468" s="34" t="str">
        <f aca="false">IF(I468="","",IFERROR(INDEX(cat_ModG,MATCH(I468,cat_ModO,0)),"No"))</f>
        <v>No</v>
      </c>
      <c r="V468" s="34" t="str">
        <f aca="false">IF(J468="","SIN DATO",IFERROR(INDEX(cat_FunN,MATCH(J468,cat_FunO,0)),J468))</f>
        <v>Protección y medición</v>
      </c>
      <c r="W468" s="34" t="str">
        <f aca="false">IF(OR(S468="SIN DATO",T468="SIN DATO"),"No","Sí")</f>
        <v>Sí</v>
      </c>
    </row>
    <row r="469" customFormat="false" ht="15" hidden="false" customHeight="false" outlineLevel="0" collapsed="false">
      <c r="A469" s="34" t="s">
        <v>1903</v>
      </c>
      <c r="B469" s="34" t="s">
        <v>1904</v>
      </c>
      <c r="C469" s="34" t="s">
        <v>1905</v>
      </c>
      <c r="D469" s="34" t="s">
        <v>1902</v>
      </c>
      <c r="E469" s="34" t="s">
        <v>184</v>
      </c>
      <c r="F469" s="34" t="s">
        <v>1602</v>
      </c>
      <c r="G469" s="34" t="s">
        <v>227</v>
      </c>
      <c r="H469" s="34" t="s">
        <v>55</v>
      </c>
      <c r="I469" s="34" t="s">
        <v>57</v>
      </c>
      <c r="J469" s="34" t="s">
        <v>58</v>
      </c>
      <c r="K469" s="34" t="s">
        <v>229</v>
      </c>
      <c r="L469" s="34" t="s">
        <v>230</v>
      </c>
      <c r="M469" s="34" t="s">
        <v>237</v>
      </c>
      <c r="N469" s="34" t="str">
        <f aca="false">"Sector "&amp;VALUE(MID(D469,13,2))</f>
        <v>Sector 8</v>
      </c>
      <c r="O469" s="34" t="str">
        <f aca="false">IF(Dashboard!$C$5="Ubicación técnica",N469,"Sector "&amp;VALUE(RIGHT(G469,2)))</f>
        <v>Sector 8</v>
      </c>
      <c r="P469" s="34" t="str">
        <f aca="false">IF(MID(D469,15,3)="SEL","Subestación eléctrica","Área de proceso")</f>
        <v>Área de proceso</v>
      </c>
      <c r="Q469" s="34" t="str">
        <f aca="false">MID(D469,13,5)&amp;"|"&amp;MID(D469,19,5)</f>
        <v>08COG|SCOND</v>
      </c>
      <c r="R469" s="34" t="str">
        <f aca="false">IF(P469="Subestación eléctrica",IFERROR(INDEX(cat_SubN,MATCH(Q469,cat_SubK,0)),"SIN CATALOGAR"),"ÁREA DE PROCESO")</f>
        <v>ÁREA DE PROCESO</v>
      </c>
      <c r="S469" s="34" t="str">
        <f aca="false">IF(H469="","SIN DATO",IFERROR(INDEX(cat_MarcaN,MATCH(H469,cat_MarcaO,0)),H469))</f>
        <v>SEL</v>
      </c>
      <c r="T469" s="34" t="str">
        <f aca="false">IF(I469="","SIN DATO",IFERROR(INDEX(cat_ModN,MATCH(I469,cat_ModO,0)),I469))</f>
        <v>SEL-735</v>
      </c>
      <c r="U469" s="34" t="str">
        <f aca="false">IF(I469="","",IFERROR(INDEX(cat_ModG,MATCH(I469,cat_ModO,0)),"No"))</f>
        <v>No</v>
      </c>
      <c r="V469" s="34" t="str">
        <f aca="false">IF(J469="","SIN DATO",IFERROR(INDEX(cat_FunN,MATCH(J469,cat_FunO,0)),J469))</f>
        <v>Medición</v>
      </c>
      <c r="W469" s="34" t="str">
        <f aca="false">IF(OR(S469="SIN DATO",T469="SIN DATO"),"No","Sí")</f>
        <v>Sí</v>
      </c>
    </row>
    <row r="470" customFormat="false" ht="15" hidden="false" customHeight="false" outlineLevel="0" collapsed="false">
      <c r="A470" s="34" t="s">
        <v>1906</v>
      </c>
      <c r="B470" s="34" t="s">
        <v>1907</v>
      </c>
      <c r="C470" s="34" t="s">
        <v>1908</v>
      </c>
      <c r="D470" s="34" t="s">
        <v>1909</v>
      </c>
      <c r="E470" s="34" t="s">
        <v>184</v>
      </c>
      <c r="F470" s="34" t="s">
        <v>1602</v>
      </c>
      <c r="G470" s="34" t="s">
        <v>227</v>
      </c>
      <c r="H470" s="34" t="s">
        <v>34</v>
      </c>
      <c r="I470" s="34" t="s">
        <v>41</v>
      </c>
      <c r="J470" s="34" t="s">
        <v>228</v>
      </c>
      <c r="K470" s="34" t="s">
        <v>229</v>
      </c>
      <c r="L470" s="34" t="s">
        <v>230</v>
      </c>
      <c r="M470" s="34" t="s">
        <v>1663</v>
      </c>
      <c r="N470" s="34" t="str">
        <f aca="false">"Sector "&amp;VALUE(MID(D470,13,2))</f>
        <v>Sector 8</v>
      </c>
      <c r="O470" s="34" t="str">
        <f aca="false">IF(Dashboard!$C$5="Ubicación técnica",N470,"Sector "&amp;VALUE(RIGHT(G470,2)))</f>
        <v>Sector 8</v>
      </c>
      <c r="P470" s="34" t="str">
        <f aca="false">IF(MID(D470,15,3)="SEL","Subestación eléctrica","Área de proceso")</f>
        <v>Área de proceso</v>
      </c>
      <c r="Q470" s="34" t="str">
        <f aca="false">MID(D470,13,5)&amp;"|"&amp;MID(D470,19,5)</f>
        <v>08COG|SGELE</v>
      </c>
      <c r="R470" s="34" t="str">
        <f aca="false">IF(P470="Subestación eléctrica",IFERROR(INDEX(cat_SubN,MATCH(Q470,cat_SubK,0)),"SIN CATALOGAR"),"ÁREA DE PROCESO")</f>
        <v>ÁREA DE PROCESO</v>
      </c>
      <c r="S470" s="34" t="str">
        <f aca="false">IF(H470="","SIN DATO",IFERROR(INDEX(cat_MarcaN,MATCH(H470,cat_MarcaO,0)),H470))</f>
        <v>ABB</v>
      </c>
      <c r="T470" s="34" t="str">
        <f aca="false">IF(I470="","SIN DATO",IFERROR(INDEX(cat_ModN,MATCH(I470,cat_ModO,0)),I470))</f>
        <v>REM615A_1G</v>
      </c>
      <c r="U470" s="34" t="str">
        <f aca="false">IF(I470="","",IFERROR(INDEX(cat_ModG,MATCH(I470,cat_ModO,0)),"No"))</f>
        <v>No</v>
      </c>
      <c r="V470" s="34" t="str">
        <f aca="false">IF(J470="","SIN DATO",IFERROR(INDEX(cat_FunN,MATCH(J470,cat_FunO,0)),J470))</f>
        <v>Protección y medición</v>
      </c>
      <c r="W470" s="34" t="str">
        <f aca="false">IF(OR(S470="SIN DATO",T470="SIN DATO"),"No","Sí")</f>
        <v>Sí</v>
      </c>
    </row>
    <row r="471" customFormat="false" ht="15" hidden="false" customHeight="false" outlineLevel="0" collapsed="false">
      <c r="A471" s="34" t="s">
        <v>1910</v>
      </c>
      <c r="B471" s="34" t="s">
        <v>1911</v>
      </c>
      <c r="C471" s="34" t="s">
        <v>1912</v>
      </c>
      <c r="D471" s="34" t="s">
        <v>1913</v>
      </c>
      <c r="E471" s="34" t="s">
        <v>184</v>
      </c>
      <c r="F471" s="34" t="s">
        <v>1602</v>
      </c>
      <c r="G471" s="34" t="s">
        <v>227</v>
      </c>
      <c r="H471" s="34" t="s">
        <v>34</v>
      </c>
      <c r="I471" s="34" t="s">
        <v>37</v>
      </c>
      <c r="J471" s="34" t="s">
        <v>228</v>
      </c>
      <c r="K471" s="34" t="s">
        <v>229</v>
      </c>
      <c r="L471" s="34" t="s">
        <v>230</v>
      </c>
      <c r="M471" s="34" t="s">
        <v>1663</v>
      </c>
      <c r="N471" s="34" t="str">
        <f aca="false">"Sector "&amp;VALUE(MID(D471,13,2))</f>
        <v>Sector 8</v>
      </c>
      <c r="O471" s="34" t="str">
        <f aca="false">IF(Dashboard!$C$5="Ubicación técnica",N471,"Sector "&amp;VALUE(RIGHT(G471,2)))</f>
        <v>Sector 8</v>
      </c>
      <c r="P471" s="34" t="str">
        <f aca="false">IF(MID(D471,15,3)="SEL","Subestación eléctrica","Área de proceso")</f>
        <v>Subestación eléctrica</v>
      </c>
      <c r="Q471" s="34" t="str">
        <f aca="false">MID(D471,13,5)&amp;"|"&amp;MID(D471,19,5)</f>
        <v>08SEL|SEP01</v>
      </c>
      <c r="R471" s="34" t="str">
        <f aca="false">IF(P471="Subestación eléctrica",IFERROR(INDEX(cat_SubN,MATCH(Q471,cat_SubK,0)),"SIN CATALOGAR"),"ÁREA DE PROCESO")</f>
        <v>SEP-01</v>
      </c>
      <c r="S471" s="34" t="str">
        <f aca="false">IF(H471="","SIN DATO",IFERROR(INDEX(cat_MarcaN,MATCH(H471,cat_MarcaO,0)),H471))</f>
        <v>ABB</v>
      </c>
      <c r="T471" s="34" t="str">
        <f aca="false">IF(I471="","SIN DATO",IFERROR(INDEX(cat_ModN,MATCH(I471,cat_ModO,0)),I471))</f>
        <v>REF615A_1G</v>
      </c>
      <c r="U471" s="34" t="str">
        <f aca="false">IF(I471="","",IFERROR(INDEX(cat_ModG,MATCH(I471,cat_ModO,0)),"No"))</f>
        <v>No</v>
      </c>
      <c r="V471" s="34" t="str">
        <f aca="false">IF(J471="","SIN DATO",IFERROR(INDEX(cat_FunN,MATCH(J471,cat_FunO,0)),J471))</f>
        <v>Protección y medición</v>
      </c>
      <c r="W471" s="34" t="str">
        <f aca="false">IF(OR(S471="SIN DATO",T471="SIN DATO"),"No","Sí")</f>
        <v>Sí</v>
      </c>
    </row>
    <row r="472" customFormat="false" ht="15" hidden="false" customHeight="false" outlineLevel="0" collapsed="false">
      <c r="A472" s="34" t="s">
        <v>1914</v>
      </c>
      <c r="B472" s="34" t="s">
        <v>1915</v>
      </c>
      <c r="C472" s="34" t="s">
        <v>1916</v>
      </c>
      <c r="D472" s="34" t="s">
        <v>1917</v>
      </c>
      <c r="E472" s="34" t="s">
        <v>184</v>
      </c>
      <c r="F472" s="34" t="s">
        <v>1602</v>
      </c>
      <c r="G472" s="34" t="s">
        <v>227</v>
      </c>
      <c r="H472" s="34" t="s">
        <v>34</v>
      </c>
      <c r="I472" s="34" t="s">
        <v>37</v>
      </c>
      <c r="J472" s="34" t="s">
        <v>228</v>
      </c>
      <c r="K472" s="34" t="s">
        <v>229</v>
      </c>
      <c r="L472" s="34" t="s">
        <v>230</v>
      </c>
      <c r="M472" s="34" t="s">
        <v>1663</v>
      </c>
      <c r="N472" s="34" t="str">
        <f aca="false">"Sector "&amp;VALUE(MID(D472,13,2))</f>
        <v>Sector 8</v>
      </c>
      <c r="O472" s="34" t="str">
        <f aca="false">IF(Dashboard!$C$5="Ubicación técnica",N472,"Sector "&amp;VALUE(RIGHT(G472,2)))</f>
        <v>Sector 8</v>
      </c>
      <c r="P472" s="34" t="str">
        <f aca="false">IF(MID(D472,15,3)="SEL","Subestación eléctrica","Área de proceso")</f>
        <v>Subestación eléctrica</v>
      </c>
      <c r="Q472" s="34" t="str">
        <f aca="false">MID(D472,13,5)&amp;"|"&amp;MID(D472,19,5)</f>
        <v>08SEL|SEP01</v>
      </c>
      <c r="R472" s="34" t="str">
        <f aca="false">IF(P472="Subestación eléctrica",IFERROR(INDEX(cat_SubN,MATCH(Q472,cat_SubK,0)),"SIN CATALOGAR"),"ÁREA DE PROCESO")</f>
        <v>SEP-01</v>
      </c>
      <c r="S472" s="34" t="str">
        <f aca="false">IF(H472="","SIN DATO",IFERROR(INDEX(cat_MarcaN,MATCH(H472,cat_MarcaO,0)),H472))</f>
        <v>ABB</v>
      </c>
      <c r="T472" s="34" t="str">
        <f aca="false">IF(I472="","SIN DATO",IFERROR(INDEX(cat_ModN,MATCH(I472,cat_ModO,0)),I472))</f>
        <v>REF615A_1G</v>
      </c>
      <c r="U472" s="34" t="str">
        <f aca="false">IF(I472="","",IFERROR(INDEX(cat_ModG,MATCH(I472,cat_ModO,0)),"No"))</f>
        <v>No</v>
      </c>
      <c r="V472" s="34" t="str">
        <f aca="false">IF(J472="","SIN DATO",IFERROR(INDEX(cat_FunN,MATCH(J472,cat_FunO,0)),J472))</f>
        <v>Protección y medición</v>
      </c>
      <c r="W472" s="34" t="str">
        <f aca="false">IF(OR(S472="SIN DATO",T472="SIN DATO"),"No","Sí")</f>
        <v>Sí</v>
      </c>
    </row>
    <row r="473" customFormat="false" ht="15" hidden="false" customHeight="false" outlineLevel="0" collapsed="false">
      <c r="A473" s="34" t="s">
        <v>1918</v>
      </c>
      <c r="B473" s="34" t="s">
        <v>1919</v>
      </c>
      <c r="C473" s="34" t="s">
        <v>1920</v>
      </c>
      <c r="D473" s="34" t="s">
        <v>1913</v>
      </c>
      <c r="E473" s="34" t="s">
        <v>184</v>
      </c>
      <c r="F473" s="34" t="s">
        <v>1602</v>
      </c>
      <c r="G473" s="34" t="s">
        <v>227</v>
      </c>
      <c r="H473" s="34" t="s">
        <v>34</v>
      </c>
      <c r="I473" s="34" t="s">
        <v>37</v>
      </c>
      <c r="J473" s="34" t="s">
        <v>228</v>
      </c>
      <c r="K473" s="34" t="s">
        <v>229</v>
      </c>
      <c r="L473" s="34" t="s">
        <v>230</v>
      </c>
      <c r="M473" s="34" t="s">
        <v>1663</v>
      </c>
      <c r="N473" s="34" t="str">
        <f aca="false">"Sector "&amp;VALUE(MID(D473,13,2))</f>
        <v>Sector 8</v>
      </c>
      <c r="O473" s="34" t="str">
        <f aca="false">IF(Dashboard!$C$5="Ubicación técnica",N473,"Sector "&amp;VALUE(RIGHT(G473,2)))</f>
        <v>Sector 8</v>
      </c>
      <c r="P473" s="34" t="str">
        <f aca="false">IF(MID(D473,15,3)="SEL","Subestación eléctrica","Área de proceso")</f>
        <v>Subestación eléctrica</v>
      </c>
      <c r="Q473" s="34" t="str">
        <f aca="false">MID(D473,13,5)&amp;"|"&amp;MID(D473,19,5)</f>
        <v>08SEL|SEP01</v>
      </c>
      <c r="R473" s="34" t="str">
        <f aca="false">IF(P473="Subestación eléctrica",IFERROR(INDEX(cat_SubN,MATCH(Q473,cat_SubK,0)),"SIN CATALOGAR"),"ÁREA DE PROCESO")</f>
        <v>SEP-01</v>
      </c>
      <c r="S473" s="34" t="str">
        <f aca="false">IF(H473="","SIN DATO",IFERROR(INDEX(cat_MarcaN,MATCH(H473,cat_MarcaO,0)),H473))</f>
        <v>ABB</v>
      </c>
      <c r="T473" s="34" t="str">
        <f aca="false">IF(I473="","SIN DATO",IFERROR(INDEX(cat_ModN,MATCH(I473,cat_ModO,0)),I473))</f>
        <v>REF615A_1G</v>
      </c>
      <c r="U473" s="34" t="str">
        <f aca="false">IF(I473="","",IFERROR(INDEX(cat_ModG,MATCH(I473,cat_ModO,0)),"No"))</f>
        <v>No</v>
      </c>
      <c r="V473" s="34" t="str">
        <f aca="false">IF(J473="","SIN DATO",IFERROR(INDEX(cat_FunN,MATCH(J473,cat_FunO,0)),J473))</f>
        <v>Protección y medición</v>
      </c>
      <c r="W473" s="34" t="str">
        <f aca="false">IF(OR(S473="SIN DATO",T473="SIN DATO"),"No","Sí")</f>
        <v>Sí</v>
      </c>
    </row>
    <row r="474" customFormat="false" ht="15" hidden="false" customHeight="false" outlineLevel="0" collapsed="false">
      <c r="A474" s="34" t="s">
        <v>1921</v>
      </c>
      <c r="B474" s="34" t="s">
        <v>1922</v>
      </c>
      <c r="C474" s="34" t="s">
        <v>1923</v>
      </c>
      <c r="D474" s="34" t="s">
        <v>1913</v>
      </c>
      <c r="E474" s="34" t="s">
        <v>184</v>
      </c>
      <c r="F474" s="34" t="s">
        <v>1602</v>
      </c>
      <c r="G474" s="34" t="s">
        <v>227</v>
      </c>
      <c r="H474" s="34" t="s">
        <v>34</v>
      </c>
      <c r="I474" s="34" t="s">
        <v>37</v>
      </c>
      <c r="J474" s="34" t="s">
        <v>228</v>
      </c>
      <c r="K474" s="34" t="s">
        <v>229</v>
      </c>
      <c r="L474" s="34" t="s">
        <v>230</v>
      </c>
      <c r="M474" s="34" t="s">
        <v>1663</v>
      </c>
      <c r="N474" s="34" t="str">
        <f aca="false">"Sector "&amp;VALUE(MID(D474,13,2))</f>
        <v>Sector 8</v>
      </c>
      <c r="O474" s="34" t="str">
        <f aca="false">IF(Dashboard!$C$5="Ubicación técnica",N474,"Sector "&amp;VALUE(RIGHT(G474,2)))</f>
        <v>Sector 8</v>
      </c>
      <c r="P474" s="34" t="str">
        <f aca="false">IF(MID(D474,15,3)="SEL","Subestación eléctrica","Área de proceso")</f>
        <v>Subestación eléctrica</v>
      </c>
      <c r="Q474" s="34" t="str">
        <f aca="false">MID(D474,13,5)&amp;"|"&amp;MID(D474,19,5)</f>
        <v>08SEL|SEP01</v>
      </c>
      <c r="R474" s="34" t="str">
        <f aca="false">IF(P474="Subestación eléctrica",IFERROR(INDEX(cat_SubN,MATCH(Q474,cat_SubK,0)),"SIN CATALOGAR"),"ÁREA DE PROCESO")</f>
        <v>SEP-01</v>
      </c>
      <c r="S474" s="34" t="str">
        <f aca="false">IF(H474="","SIN DATO",IFERROR(INDEX(cat_MarcaN,MATCH(H474,cat_MarcaO,0)),H474))</f>
        <v>ABB</v>
      </c>
      <c r="T474" s="34" t="str">
        <f aca="false">IF(I474="","SIN DATO",IFERROR(INDEX(cat_ModN,MATCH(I474,cat_ModO,0)),I474))</f>
        <v>REF615A_1G</v>
      </c>
      <c r="U474" s="34" t="str">
        <f aca="false">IF(I474="","",IFERROR(INDEX(cat_ModG,MATCH(I474,cat_ModO,0)),"No"))</f>
        <v>No</v>
      </c>
      <c r="V474" s="34" t="str">
        <f aca="false">IF(J474="","SIN DATO",IFERROR(INDEX(cat_FunN,MATCH(J474,cat_FunO,0)),J474))</f>
        <v>Protección y medición</v>
      </c>
      <c r="W474" s="34" t="str">
        <f aca="false">IF(OR(S474="SIN DATO",T474="SIN DATO"),"No","Sí")</f>
        <v>Sí</v>
      </c>
    </row>
    <row r="475" customFormat="false" ht="15" hidden="false" customHeight="false" outlineLevel="0" collapsed="false">
      <c r="A475" s="34" t="s">
        <v>1924</v>
      </c>
      <c r="B475" s="34" t="s">
        <v>1925</v>
      </c>
      <c r="C475" s="34" t="s">
        <v>1926</v>
      </c>
      <c r="D475" s="34" t="s">
        <v>1917</v>
      </c>
      <c r="E475" s="34" t="s">
        <v>184</v>
      </c>
      <c r="F475" s="34" t="s">
        <v>1602</v>
      </c>
      <c r="G475" s="34" t="s">
        <v>227</v>
      </c>
      <c r="H475" s="34" t="s">
        <v>34</v>
      </c>
      <c r="I475" s="34" t="s">
        <v>37</v>
      </c>
      <c r="J475" s="34" t="s">
        <v>228</v>
      </c>
      <c r="K475" s="34" t="s">
        <v>229</v>
      </c>
      <c r="L475" s="34" t="s">
        <v>230</v>
      </c>
      <c r="M475" s="34" t="s">
        <v>1663</v>
      </c>
      <c r="N475" s="34" t="str">
        <f aca="false">"Sector "&amp;VALUE(MID(D475,13,2))</f>
        <v>Sector 8</v>
      </c>
      <c r="O475" s="34" t="str">
        <f aca="false">IF(Dashboard!$C$5="Ubicación técnica",N475,"Sector "&amp;VALUE(RIGHT(G475,2)))</f>
        <v>Sector 8</v>
      </c>
      <c r="P475" s="34" t="str">
        <f aca="false">IF(MID(D475,15,3)="SEL","Subestación eléctrica","Área de proceso")</f>
        <v>Subestación eléctrica</v>
      </c>
      <c r="Q475" s="34" t="str">
        <f aca="false">MID(D475,13,5)&amp;"|"&amp;MID(D475,19,5)</f>
        <v>08SEL|SEP01</v>
      </c>
      <c r="R475" s="34" t="str">
        <f aca="false">IF(P475="Subestación eléctrica",IFERROR(INDEX(cat_SubN,MATCH(Q475,cat_SubK,0)),"SIN CATALOGAR"),"ÁREA DE PROCESO")</f>
        <v>SEP-01</v>
      </c>
      <c r="S475" s="34" t="str">
        <f aca="false">IF(H475="","SIN DATO",IFERROR(INDEX(cat_MarcaN,MATCH(H475,cat_MarcaO,0)),H475))</f>
        <v>ABB</v>
      </c>
      <c r="T475" s="34" t="str">
        <f aca="false">IF(I475="","SIN DATO",IFERROR(INDEX(cat_ModN,MATCH(I475,cat_ModO,0)),I475))</f>
        <v>REF615A_1G</v>
      </c>
      <c r="U475" s="34" t="str">
        <f aca="false">IF(I475="","",IFERROR(INDEX(cat_ModG,MATCH(I475,cat_ModO,0)),"No"))</f>
        <v>No</v>
      </c>
      <c r="V475" s="34" t="str">
        <f aca="false">IF(J475="","SIN DATO",IFERROR(INDEX(cat_FunN,MATCH(J475,cat_FunO,0)),J475))</f>
        <v>Protección y medición</v>
      </c>
      <c r="W475" s="34" t="str">
        <f aca="false">IF(OR(S475="SIN DATO",T475="SIN DATO"),"No","Sí")</f>
        <v>Sí</v>
      </c>
    </row>
    <row r="476" customFormat="false" ht="15" hidden="false" customHeight="false" outlineLevel="0" collapsed="false">
      <c r="A476" s="34" t="s">
        <v>1927</v>
      </c>
      <c r="B476" s="34" t="s">
        <v>1928</v>
      </c>
      <c r="C476" s="34" t="s">
        <v>1929</v>
      </c>
      <c r="D476" s="34" t="s">
        <v>1913</v>
      </c>
      <c r="E476" s="34" t="s">
        <v>184</v>
      </c>
      <c r="F476" s="34" t="s">
        <v>1602</v>
      </c>
      <c r="G476" s="34" t="s">
        <v>227</v>
      </c>
      <c r="H476" s="34" t="s">
        <v>34</v>
      </c>
      <c r="I476" s="34" t="s">
        <v>43</v>
      </c>
      <c r="J476" s="34" t="s">
        <v>228</v>
      </c>
      <c r="K476" s="34" t="s">
        <v>229</v>
      </c>
      <c r="L476" s="34" t="s">
        <v>230</v>
      </c>
      <c r="M476" s="34" t="s">
        <v>1663</v>
      </c>
      <c r="N476" s="34" t="str">
        <f aca="false">"Sector "&amp;VALUE(MID(D476,13,2))</f>
        <v>Sector 8</v>
      </c>
      <c r="O476" s="34" t="str">
        <f aca="false">IF(Dashboard!$C$5="Ubicación técnica",N476,"Sector "&amp;VALUE(RIGHT(G476,2)))</f>
        <v>Sector 8</v>
      </c>
      <c r="P476" s="34" t="str">
        <f aca="false">IF(MID(D476,15,3)="SEL","Subestación eléctrica","Área de proceso")</f>
        <v>Subestación eléctrica</v>
      </c>
      <c r="Q476" s="34" t="str">
        <f aca="false">MID(D476,13,5)&amp;"|"&amp;MID(D476,19,5)</f>
        <v>08SEL|SEP01</v>
      </c>
      <c r="R476" s="34" t="str">
        <f aca="false">IF(P476="Subestación eléctrica",IFERROR(INDEX(cat_SubN,MATCH(Q476,cat_SubK,0)),"SIN CATALOGAR"),"ÁREA DE PROCESO")</f>
        <v>SEP-01</v>
      </c>
      <c r="S476" s="34" t="str">
        <f aca="false">IF(H476="","SIN DATO",IFERROR(INDEX(cat_MarcaN,MATCH(H476,cat_MarcaO,0)),H476))</f>
        <v>ABB</v>
      </c>
      <c r="T476" s="34" t="str">
        <f aca="false">IF(I476="","SIN DATO",IFERROR(INDEX(cat_ModN,MATCH(I476,cat_ModO,0)),I476))</f>
        <v>RET615A_1G</v>
      </c>
      <c r="U476" s="34" t="str">
        <f aca="false">IF(I476="","",IFERROR(INDEX(cat_ModG,MATCH(I476,cat_ModO,0)),"No"))</f>
        <v>No</v>
      </c>
      <c r="V476" s="34" t="str">
        <f aca="false">IF(J476="","SIN DATO",IFERROR(INDEX(cat_FunN,MATCH(J476,cat_FunO,0)),J476))</f>
        <v>Protección y medición</v>
      </c>
      <c r="W476" s="34" t="str">
        <f aca="false">IF(OR(S476="SIN DATO",T476="SIN DATO"),"No","Sí")</f>
        <v>Sí</v>
      </c>
    </row>
    <row r="477" customFormat="false" ht="15" hidden="false" customHeight="false" outlineLevel="0" collapsed="false">
      <c r="A477" s="34" t="s">
        <v>1930</v>
      </c>
      <c r="B477" s="34" t="s">
        <v>1931</v>
      </c>
      <c r="C477" s="34" t="s">
        <v>1932</v>
      </c>
      <c r="D477" s="34" t="s">
        <v>1933</v>
      </c>
      <c r="E477" s="34" t="s">
        <v>184</v>
      </c>
      <c r="F477" s="34" t="s">
        <v>1602</v>
      </c>
      <c r="G477" s="34" t="s">
        <v>227</v>
      </c>
      <c r="H477" s="34" t="s">
        <v>34</v>
      </c>
      <c r="I477" s="34" t="s">
        <v>41</v>
      </c>
      <c r="J477" s="34" t="s">
        <v>228</v>
      </c>
      <c r="K477" s="34" t="s">
        <v>229</v>
      </c>
      <c r="L477" s="34" t="s">
        <v>230</v>
      </c>
      <c r="M477" s="34" t="s">
        <v>1663</v>
      </c>
      <c r="N477" s="34" t="str">
        <f aca="false">"Sector "&amp;VALUE(MID(D477,13,2))</f>
        <v>Sector 8</v>
      </c>
      <c r="O477" s="34" t="str">
        <f aca="false">IF(Dashboard!$C$5="Ubicación técnica",N477,"Sector "&amp;VALUE(RIGHT(G477,2)))</f>
        <v>Sector 8</v>
      </c>
      <c r="P477" s="34" t="str">
        <f aca="false">IF(MID(D477,15,3)="SEL","Subestación eléctrica","Área de proceso")</f>
        <v>Área de proceso</v>
      </c>
      <c r="Q477" s="34" t="str">
        <f aca="false">MID(D477,13,5)&amp;"|"&amp;MID(D477,19,5)</f>
        <v>08COG|SGELE</v>
      </c>
      <c r="R477" s="34" t="str">
        <f aca="false">IF(P477="Subestación eléctrica",IFERROR(INDEX(cat_SubN,MATCH(Q477,cat_SubK,0)),"SIN CATALOGAR"),"ÁREA DE PROCESO")</f>
        <v>ÁREA DE PROCESO</v>
      </c>
      <c r="S477" s="34" t="str">
        <f aca="false">IF(H477="","SIN DATO",IFERROR(INDEX(cat_MarcaN,MATCH(H477,cat_MarcaO,0)),H477))</f>
        <v>ABB</v>
      </c>
      <c r="T477" s="34" t="str">
        <f aca="false">IF(I477="","SIN DATO",IFERROR(INDEX(cat_ModN,MATCH(I477,cat_ModO,0)),I477))</f>
        <v>REM615A_1G</v>
      </c>
      <c r="U477" s="34" t="str">
        <f aca="false">IF(I477="","",IFERROR(INDEX(cat_ModG,MATCH(I477,cat_ModO,0)),"No"))</f>
        <v>No</v>
      </c>
      <c r="V477" s="34" t="str">
        <f aca="false">IF(J477="","SIN DATO",IFERROR(INDEX(cat_FunN,MATCH(J477,cat_FunO,0)),J477))</f>
        <v>Protección y medición</v>
      </c>
      <c r="W477" s="34" t="str">
        <f aca="false">IF(OR(S477="SIN DATO",T477="SIN DATO"),"No","Sí")</f>
        <v>Sí</v>
      </c>
    </row>
    <row r="478" customFormat="false" ht="15" hidden="false" customHeight="false" outlineLevel="0" collapsed="false">
      <c r="A478" s="34" t="s">
        <v>1934</v>
      </c>
      <c r="B478" s="34" t="s">
        <v>1935</v>
      </c>
      <c r="C478" s="34" t="s">
        <v>1936</v>
      </c>
      <c r="D478" s="34" t="s">
        <v>1937</v>
      </c>
      <c r="E478" s="34" t="s">
        <v>184</v>
      </c>
      <c r="F478" s="34" t="s">
        <v>1602</v>
      </c>
      <c r="G478" s="34" t="s">
        <v>227</v>
      </c>
      <c r="H478" s="34" t="s">
        <v>34</v>
      </c>
      <c r="I478" s="34" t="s">
        <v>37</v>
      </c>
      <c r="J478" s="34" t="s">
        <v>228</v>
      </c>
      <c r="K478" s="34" t="s">
        <v>229</v>
      </c>
      <c r="L478" s="34" t="s">
        <v>230</v>
      </c>
      <c r="M478" s="34" t="s">
        <v>1663</v>
      </c>
      <c r="N478" s="34" t="str">
        <f aca="false">"Sector "&amp;VALUE(MID(D478,13,2))</f>
        <v>Sector 8</v>
      </c>
      <c r="O478" s="34" t="str">
        <f aca="false">IF(Dashboard!$C$5="Ubicación técnica",N478,"Sector "&amp;VALUE(RIGHT(G478,2)))</f>
        <v>Sector 8</v>
      </c>
      <c r="P478" s="34" t="str">
        <f aca="false">IF(MID(D478,15,3)="SEL","Subestación eléctrica","Área de proceso")</f>
        <v>Subestación eléctrica</v>
      </c>
      <c r="Q478" s="34" t="str">
        <f aca="false">MID(D478,13,5)&amp;"|"&amp;MID(D478,19,5)</f>
        <v>08SEL|SEP01</v>
      </c>
      <c r="R478" s="34" t="str">
        <f aca="false">IF(P478="Subestación eléctrica",IFERROR(INDEX(cat_SubN,MATCH(Q478,cat_SubK,0)),"SIN CATALOGAR"),"ÁREA DE PROCESO")</f>
        <v>SEP-01</v>
      </c>
      <c r="S478" s="34" t="str">
        <f aca="false">IF(H478="","SIN DATO",IFERROR(INDEX(cat_MarcaN,MATCH(H478,cat_MarcaO,0)),H478))</f>
        <v>ABB</v>
      </c>
      <c r="T478" s="34" t="str">
        <f aca="false">IF(I478="","SIN DATO",IFERROR(INDEX(cat_ModN,MATCH(I478,cat_ModO,0)),I478))</f>
        <v>REF615A_1G</v>
      </c>
      <c r="U478" s="34" t="str">
        <f aca="false">IF(I478="","",IFERROR(INDEX(cat_ModG,MATCH(I478,cat_ModO,0)),"No"))</f>
        <v>No</v>
      </c>
      <c r="V478" s="34" t="str">
        <f aca="false">IF(J478="","SIN DATO",IFERROR(INDEX(cat_FunN,MATCH(J478,cat_FunO,0)),J478))</f>
        <v>Protección y medición</v>
      </c>
      <c r="W478" s="34" t="str">
        <f aca="false">IF(OR(S478="SIN DATO",T478="SIN DATO"),"No","Sí")</f>
        <v>Sí</v>
      </c>
    </row>
    <row r="479" customFormat="false" ht="15" hidden="false" customHeight="false" outlineLevel="0" collapsed="false">
      <c r="A479" s="34" t="s">
        <v>1938</v>
      </c>
      <c r="B479" s="34" t="s">
        <v>1939</v>
      </c>
      <c r="C479" s="34" t="s">
        <v>1940</v>
      </c>
      <c r="D479" s="34" t="s">
        <v>1941</v>
      </c>
      <c r="E479" s="34" t="s">
        <v>184</v>
      </c>
      <c r="F479" s="34" t="s">
        <v>1602</v>
      </c>
      <c r="G479" s="34" t="s">
        <v>227</v>
      </c>
      <c r="H479" s="34" t="s">
        <v>34</v>
      </c>
      <c r="I479" s="34" t="s">
        <v>37</v>
      </c>
      <c r="J479" s="34" t="s">
        <v>228</v>
      </c>
      <c r="K479" s="34" t="s">
        <v>229</v>
      </c>
      <c r="L479" s="34" t="s">
        <v>230</v>
      </c>
      <c r="M479" s="34" t="s">
        <v>1663</v>
      </c>
      <c r="N479" s="34" t="str">
        <f aca="false">"Sector "&amp;VALUE(MID(D479,13,2))</f>
        <v>Sector 8</v>
      </c>
      <c r="O479" s="34" t="str">
        <f aca="false">IF(Dashboard!$C$5="Ubicación técnica",N479,"Sector "&amp;VALUE(RIGHT(G479,2)))</f>
        <v>Sector 8</v>
      </c>
      <c r="P479" s="34" t="str">
        <f aca="false">IF(MID(D479,15,3)="SEL","Subestación eléctrica","Área de proceso")</f>
        <v>Subestación eléctrica</v>
      </c>
      <c r="Q479" s="34" t="str">
        <f aca="false">MID(D479,13,5)&amp;"|"&amp;MID(D479,19,5)</f>
        <v>08SEL|SEP01</v>
      </c>
      <c r="R479" s="34" t="str">
        <f aca="false">IF(P479="Subestación eléctrica",IFERROR(INDEX(cat_SubN,MATCH(Q479,cat_SubK,0)),"SIN CATALOGAR"),"ÁREA DE PROCESO")</f>
        <v>SEP-01</v>
      </c>
      <c r="S479" s="34" t="str">
        <f aca="false">IF(H479="","SIN DATO",IFERROR(INDEX(cat_MarcaN,MATCH(H479,cat_MarcaO,0)),H479))</f>
        <v>ABB</v>
      </c>
      <c r="T479" s="34" t="str">
        <f aca="false">IF(I479="","SIN DATO",IFERROR(INDEX(cat_ModN,MATCH(I479,cat_ModO,0)),I479))</f>
        <v>REF615A_1G</v>
      </c>
      <c r="U479" s="34" t="str">
        <f aca="false">IF(I479="","",IFERROR(INDEX(cat_ModG,MATCH(I479,cat_ModO,0)),"No"))</f>
        <v>No</v>
      </c>
      <c r="V479" s="34" t="str">
        <f aca="false">IF(J479="","SIN DATO",IFERROR(INDEX(cat_FunN,MATCH(J479,cat_FunO,0)),J479))</f>
        <v>Protección y medición</v>
      </c>
      <c r="W479" s="34" t="str">
        <f aca="false">IF(OR(S479="SIN DATO",T479="SIN DATO"),"No","Sí")</f>
        <v>Sí</v>
      </c>
    </row>
    <row r="480" customFormat="false" ht="15" hidden="false" customHeight="false" outlineLevel="0" collapsed="false">
      <c r="A480" s="34" t="s">
        <v>1942</v>
      </c>
      <c r="B480" s="34" t="s">
        <v>1943</v>
      </c>
      <c r="C480" s="34" t="s">
        <v>1944</v>
      </c>
      <c r="D480" s="34" t="s">
        <v>1941</v>
      </c>
      <c r="E480" s="34" t="s">
        <v>184</v>
      </c>
      <c r="F480" s="34" t="s">
        <v>1602</v>
      </c>
      <c r="G480" s="34" t="s">
        <v>227</v>
      </c>
      <c r="H480" s="34" t="s">
        <v>34</v>
      </c>
      <c r="I480" s="34" t="s">
        <v>37</v>
      </c>
      <c r="J480" s="34" t="s">
        <v>228</v>
      </c>
      <c r="K480" s="34" t="s">
        <v>229</v>
      </c>
      <c r="L480" s="34" t="s">
        <v>230</v>
      </c>
      <c r="M480" s="34" t="s">
        <v>1663</v>
      </c>
      <c r="N480" s="34" t="str">
        <f aca="false">"Sector "&amp;VALUE(MID(D480,13,2))</f>
        <v>Sector 8</v>
      </c>
      <c r="O480" s="34" t="str">
        <f aca="false">IF(Dashboard!$C$5="Ubicación técnica",N480,"Sector "&amp;VALUE(RIGHT(G480,2)))</f>
        <v>Sector 8</v>
      </c>
      <c r="P480" s="34" t="str">
        <f aca="false">IF(MID(D480,15,3)="SEL","Subestación eléctrica","Área de proceso")</f>
        <v>Subestación eléctrica</v>
      </c>
      <c r="Q480" s="34" t="str">
        <f aca="false">MID(D480,13,5)&amp;"|"&amp;MID(D480,19,5)</f>
        <v>08SEL|SEP01</v>
      </c>
      <c r="R480" s="34" t="str">
        <f aca="false">IF(P480="Subestación eléctrica",IFERROR(INDEX(cat_SubN,MATCH(Q480,cat_SubK,0)),"SIN CATALOGAR"),"ÁREA DE PROCESO")</f>
        <v>SEP-01</v>
      </c>
      <c r="S480" s="34" t="str">
        <f aca="false">IF(H480="","SIN DATO",IFERROR(INDEX(cat_MarcaN,MATCH(H480,cat_MarcaO,0)),H480))</f>
        <v>ABB</v>
      </c>
      <c r="T480" s="34" t="str">
        <f aca="false">IF(I480="","SIN DATO",IFERROR(INDEX(cat_ModN,MATCH(I480,cat_ModO,0)),I480))</f>
        <v>REF615A_1G</v>
      </c>
      <c r="U480" s="34" t="str">
        <f aca="false">IF(I480="","",IFERROR(INDEX(cat_ModG,MATCH(I480,cat_ModO,0)),"No"))</f>
        <v>No</v>
      </c>
      <c r="V480" s="34" t="str">
        <f aca="false">IF(J480="","SIN DATO",IFERROR(INDEX(cat_FunN,MATCH(J480,cat_FunO,0)),J480))</f>
        <v>Protección y medición</v>
      </c>
      <c r="W480" s="34" t="str">
        <f aca="false">IF(OR(S480="SIN DATO",T480="SIN DATO"),"No","Sí")</f>
        <v>Sí</v>
      </c>
    </row>
    <row r="481" customFormat="false" ht="15" hidden="false" customHeight="false" outlineLevel="0" collapsed="false">
      <c r="A481" s="34" t="s">
        <v>1945</v>
      </c>
      <c r="B481" s="34" t="s">
        <v>1946</v>
      </c>
      <c r="C481" s="34" t="s">
        <v>1947</v>
      </c>
      <c r="D481" s="34" t="s">
        <v>1937</v>
      </c>
      <c r="E481" s="34" t="s">
        <v>184</v>
      </c>
      <c r="F481" s="34" t="s">
        <v>1602</v>
      </c>
      <c r="G481" s="34" t="s">
        <v>227</v>
      </c>
      <c r="H481" s="34" t="s">
        <v>34</v>
      </c>
      <c r="I481" s="34" t="s">
        <v>43</v>
      </c>
      <c r="J481" s="34" t="s">
        <v>228</v>
      </c>
      <c r="K481" s="34" t="s">
        <v>229</v>
      </c>
      <c r="L481" s="34" t="s">
        <v>230</v>
      </c>
      <c r="M481" s="34" t="s">
        <v>1663</v>
      </c>
      <c r="N481" s="34" t="str">
        <f aca="false">"Sector "&amp;VALUE(MID(D481,13,2))</f>
        <v>Sector 8</v>
      </c>
      <c r="O481" s="34" t="str">
        <f aca="false">IF(Dashboard!$C$5="Ubicación técnica",N481,"Sector "&amp;VALUE(RIGHT(G481,2)))</f>
        <v>Sector 8</v>
      </c>
      <c r="P481" s="34" t="str">
        <f aca="false">IF(MID(D481,15,3)="SEL","Subestación eléctrica","Área de proceso")</f>
        <v>Subestación eléctrica</v>
      </c>
      <c r="Q481" s="34" t="str">
        <f aca="false">MID(D481,13,5)&amp;"|"&amp;MID(D481,19,5)</f>
        <v>08SEL|SEP01</v>
      </c>
      <c r="R481" s="34" t="str">
        <f aca="false">IF(P481="Subestación eléctrica",IFERROR(INDEX(cat_SubN,MATCH(Q481,cat_SubK,0)),"SIN CATALOGAR"),"ÁREA DE PROCESO")</f>
        <v>SEP-01</v>
      </c>
      <c r="S481" s="34" t="str">
        <f aca="false">IF(H481="","SIN DATO",IFERROR(INDEX(cat_MarcaN,MATCH(H481,cat_MarcaO,0)),H481))</f>
        <v>ABB</v>
      </c>
      <c r="T481" s="34" t="str">
        <f aca="false">IF(I481="","SIN DATO",IFERROR(INDEX(cat_ModN,MATCH(I481,cat_ModO,0)),I481))</f>
        <v>RET615A_1G</v>
      </c>
      <c r="U481" s="34" t="str">
        <f aca="false">IF(I481="","",IFERROR(INDEX(cat_ModG,MATCH(I481,cat_ModO,0)),"No"))</f>
        <v>No</v>
      </c>
      <c r="V481" s="34" t="str">
        <f aca="false">IF(J481="","SIN DATO",IFERROR(INDEX(cat_FunN,MATCH(J481,cat_FunO,0)),J481))</f>
        <v>Protección y medición</v>
      </c>
      <c r="W481" s="34" t="str">
        <f aca="false">IF(OR(S481="SIN DATO",T481="SIN DATO"),"No","Sí")</f>
        <v>Sí</v>
      </c>
    </row>
    <row r="482" customFormat="false" ht="15" hidden="false" customHeight="false" outlineLevel="0" collapsed="false">
      <c r="A482" s="34" t="s">
        <v>1948</v>
      </c>
      <c r="B482" s="34" t="s">
        <v>1949</v>
      </c>
      <c r="C482" s="34" t="s">
        <v>1950</v>
      </c>
      <c r="D482" s="34" t="s">
        <v>1941</v>
      </c>
      <c r="E482" s="34" t="s">
        <v>184</v>
      </c>
      <c r="F482" s="34" t="s">
        <v>1602</v>
      </c>
      <c r="G482" s="34" t="s">
        <v>227</v>
      </c>
      <c r="H482" s="34" t="s">
        <v>34</v>
      </c>
      <c r="I482" s="34" t="s">
        <v>43</v>
      </c>
      <c r="J482" s="34" t="s">
        <v>228</v>
      </c>
      <c r="K482" s="34" t="s">
        <v>229</v>
      </c>
      <c r="L482" s="34" t="s">
        <v>230</v>
      </c>
      <c r="M482" s="34" t="s">
        <v>1663</v>
      </c>
      <c r="N482" s="34" t="str">
        <f aca="false">"Sector "&amp;VALUE(MID(D482,13,2))</f>
        <v>Sector 8</v>
      </c>
      <c r="O482" s="34" t="str">
        <f aca="false">IF(Dashboard!$C$5="Ubicación técnica",N482,"Sector "&amp;VALUE(RIGHT(G482,2)))</f>
        <v>Sector 8</v>
      </c>
      <c r="P482" s="34" t="str">
        <f aca="false">IF(MID(D482,15,3)="SEL","Subestación eléctrica","Área de proceso")</f>
        <v>Subestación eléctrica</v>
      </c>
      <c r="Q482" s="34" t="str">
        <f aca="false">MID(D482,13,5)&amp;"|"&amp;MID(D482,19,5)</f>
        <v>08SEL|SEP01</v>
      </c>
      <c r="R482" s="34" t="str">
        <f aca="false">IF(P482="Subestación eléctrica",IFERROR(INDEX(cat_SubN,MATCH(Q482,cat_SubK,0)),"SIN CATALOGAR"),"ÁREA DE PROCESO")</f>
        <v>SEP-01</v>
      </c>
      <c r="S482" s="34" t="str">
        <f aca="false">IF(H482="","SIN DATO",IFERROR(INDEX(cat_MarcaN,MATCH(H482,cat_MarcaO,0)),H482))</f>
        <v>ABB</v>
      </c>
      <c r="T482" s="34" t="str">
        <f aca="false">IF(I482="","SIN DATO",IFERROR(INDEX(cat_ModN,MATCH(I482,cat_ModO,0)),I482))</f>
        <v>RET615A_1G</v>
      </c>
      <c r="U482" s="34" t="str">
        <f aca="false">IF(I482="","",IFERROR(INDEX(cat_ModG,MATCH(I482,cat_ModO,0)),"No"))</f>
        <v>No</v>
      </c>
      <c r="V482" s="34" t="str">
        <f aca="false">IF(J482="","SIN DATO",IFERROR(INDEX(cat_FunN,MATCH(J482,cat_FunO,0)),J482))</f>
        <v>Protección y medición</v>
      </c>
      <c r="W482" s="34" t="str">
        <f aca="false">IF(OR(S482="SIN DATO",T482="SIN DATO"),"No","Sí")</f>
        <v>Sí</v>
      </c>
    </row>
    <row r="483" customFormat="false" ht="15" hidden="false" customHeight="false" outlineLevel="0" collapsed="false">
      <c r="A483" s="34" t="s">
        <v>1951</v>
      </c>
      <c r="B483" s="34" t="s">
        <v>1952</v>
      </c>
      <c r="C483" s="34" t="s">
        <v>1953</v>
      </c>
      <c r="D483" s="34" t="s">
        <v>1954</v>
      </c>
      <c r="E483" s="34" t="s">
        <v>184</v>
      </c>
      <c r="F483" s="34" t="s">
        <v>1602</v>
      </c>
      <c r="G483" s="34" t="s">
        <v>227</v>
      </c>
      <c r="H483" s="34" t="s">
        <v>34</v>
      </c>
      <c r="I483" s="34" t="s">
        <v>41</v>
      </c>
      <c r="J483" s="34" t="s">
        <v>228</v>
      </c>
      <c r="K483" s="34" t="s">
        <v>229</v>
      </c>
      <c r="L483" s="34" t="s">
        <v>230</v>
      </c>
      <c r="M483" s="34" t="s">
        <v>1663</v>
      </c>
      <c r="N483" s="34" t="str">
        <f aca="false">"Sector "&amp;VALUE(MID(D483,13,2))</f>
        <v>Sector 8</v>
      </c>
      <c r="O483" s="34" t="str">
        <f aca="false">IF(Dashboard!$C$5="Ubicación técnica",N483,"Sector "&amp;VALUE(RIGHT(G483,2)))</f>
        <v>Sector 8</v>
      </c>
      <c r="P483" s="34" t="str">
        <f aca="false">IF(MID(D483,15,3)="SEL","Subestación eléctrica","Área de proceso")</f>
        <v>Área de proceso</v>
      </c>
      <c r="Q483" s="34" t="str">
        <f aca="false">MID(D483,13,5)&amp;"|"&amp;MID(D483,19,5)</f>
        <v>08COG|SGELE</v>
      </c>
      <c r="R483" s="34" t="str">
        <f aca="false">IF(P483="Subestación eléctrica",IFERROR(INDEX(cat_SubN,MATCH(Q483,cat_SubK,0)),"SIN CATALOGAR"),"ÁREA DE PROCESO")</f>
        <v>ÁREA DE PROCESO</v>
      </c>
      <c r="S483" s="34" t="str">
        <f aca="false">IF(H483="","SIN DATO",IFERROR(INDEX(cat_MarcaN,MATCH(H483,cat_MarcaO,0)),H483))</f>
        <v>ABB</v>
      </c>
      <c r="T483" s="34" t="str">
        <f aca="false">IF(I483="","SIN DATO",IFERROR(INDEX(cat_ModN,MATCH(I483,cat_ModO,0)),I483))</f>
        <v>REM615A_1G</v>
      </c>
      <c r="U483" s="34" t="str">
        <f aca="false">IF(I483="","",IFERROR(INDEX(cat_ModG,MATCH(I483,cat_ModO,0)),"No"))</f>
        <v>No</v>
      </c>
      <c r="V483" s="34" t="str">
        <f aca="false">IF(J483="","SIN DATO",IFERROR(INDEX(cat_FunN,MATCH(J483,cat_FunO,0)),J483))</f>
        <v>Protección y medición</v>
      </c>
      <c r="W483" s="34" t="str">
        <f aca="false">IF(OR(S483="SIN DATO",T483="SIN DATO"),"No","Sí")</f>
        <v>Sí</v>
      </c>
    </row>
    <row r="484" customFormat="false" ht="15" hidden="false" customHeight="false" outlineLevel="0" collapsed="false">
      <c r="A484" s="34" t="s">
        <v>1955</v>
      </c>
      <c r="B484" s="34" t="s">
        <v>1956</v>
      </c>
      <c r="C484" s="34" t="s">
        <v>1957</v>
      </c>
      <c r="D484" s="34" t="s">
        <v>1958</v>
      </c>
      <c r="E484" s="34" t="s">
        <v>184</v>
      </c>
      <c r="F484" s="34" t="s">
        <v>1602</v>
      </c>
      <c r="G484" s="34" t="s">
        <v>227</v>
      </c>
      <c r="H484" s="34" t="s">
        <v>34</v>
      </c>
      <c r="I484" s="34" t="s">
        <v>37</v>
      </c>
      <c r="J484" s="34" t="s">
        <v>228</v>
      </c>
      <c r="K484" s="34" t="s">
        <v>229</v>
      </c>
      <c r="L484" s="34" t="s">
        <v>230</v>
      </c>
      <c r="M484" s="34" t="s">
        <v>1663</v>
      </c>
      <c r="N484" s="34" t="str">
        <f aca="false">"Sector "&amp;VALUE(MID(D484,13,2))</f>
        <v>Sector 8</v>
      </c>
      <c r="O484" s="34" t="str">
        <f aca="false">IF(Dashboard!$C$5="Ubicación técnica",N484,"Sector "&amp;VALUE(RIGHT(G484,2)))</f>
        <v>Sector 8</v>
      </c>
      <c r="P484" s="34" t="str">
        <f aca="false">IF(MID(D484,15,3)="SEL","Subestación eléctrica","Área de proceso")</f>
        <v>Subestación eléctrica</v>
      </c>
      <c r="Q484" s="34" t="str">
        <f aca="false">MID(D484,13,5)&amp;"|"&amp;MID(D484,19,5)</f>
        <v>08SEL|SEP01</v>
      </c>
      <c r="R484" s="34" t="str">
        <f aca="false">IF(P484="Subestación eléctrica",IFERROR(INDEX(cat_SubN,MATCH(Q484,cat_SubK,0)),"SIN CATALOGAR"),"ÁREA DE PROCESO")</f>
        <v>SEP-01</v>
      </c>
      <c r="S484" s="34" t="str">
        <f aca="false">IF(H484="","SIN DATO",IFERROR(INDEX(cat_MarcaN,MATCH(H484,cat_MarcaO,0)),H484))</f>
        <v>ABB</v>
      </c>
      <c r="T484" s="34" t="str">
        <f aca="false">IF(I484="","SIN DATO",IFERROR(INDEX(cat_ModN,MATCH(I484,cat_ModO,0)),I484))</f>
        <v>REF615A_1G</v>
      </c>
      <c r="U484" s="34" t="str">
        <f aca="false">IF(I484="","",IFERROR(INDEX(cat_ModG,MATCH(I484,cat_ModO,0)),"No"))</f>
        <v>No</v>
      </c>
      <c r="V484" s="34" t="str">
        <f aca="false">IF(J484="","SIN DATO",IFERROR(INDEX(cat_FunN,MATCH(J484,cat_FunO,0)),J484))</f>
        <v>Protección y medición</v>
      </c>
      <c r="W484" s="34" t="str">
        <f aca="false">IF(OR(S484="SIN DATO",T484="SIN DATO"),"No","Sí")</f>
        <v>Sí</v>
      </c>
    </row>
    <row r="485" customFormat="false" ht="15" hidden="false" customHeight="false" outlineLevel="0" collapsed="false">
      <c r="A485" s="34" t="s">
        <v>1959</v>
      </c>
      <c r="B485" s="34" t="s">
        <v>1960</v>
      </c>
      <c r="C485" s="34" t="s">
        <v>1961</v>
      </c>
      <c r="D485" s="34" t="s">
        <v>1962</v>
      </c>
      <c r="E485" s="34" t="s">
        <v>184</v>
      </c>
      <c r="F485" s="34" t="s">
        <v>1602</v>
      </c>
      <c r="G485" s="34" t="s">
        <v>227</v>
      </c>
      <c r="H485" s="34" t="s">
        <v>34</v>
      </c>
      <c r="I485" s="34" t="s">
        <v>37</v>
      </c>
      <c r="J485" s="34" t="s">
        <v>228</v>
      </c>
      <c r="K485" s="34" t="s">
        <v>229</v>
      </c>
      <c r="L485" s="34" t="s">
        <v>230</v>
      </c>
      <c r="M485" s="34" t="s">
        <v>1663</v>
      </c>
      <c r="N485" s="34" t="str">
        <f aca="false">"Sector "&amp;VALUE(MID(D485,13,2))</f>
        <v>Sector 8</v>
      </c>
      <c r="O485" s="34" t="str">
        <f aca="false">IF(Dashboard!$C$5="Ubicación técnica",N485,"Sector "&amp;VALUE(RIGHT(G485,2)))</f>
        <v>Sector 8</v>
      </c>
      <c r="P485" s="34" t="str">
        <f aca="false">IF(MID(D485,15,3)="SEL","Subestación eléctrica","Área de proceso")</f>
        <v>Subestación eléctrica</v>
      </c>
      <c r="Q485" s="34" t="str">
        <f aca="false">MID(D485,13,5)&amp;"|"&amp;MID(D485,19,5)</f>
        <v>08SEL|SEP01</v>
      </c>
      <c r="R485" s="34" t="str">
        <f aca="false">IF(P485="Subestación eléctrica",IFERROR(INDEX(cat_SubN,MATCH(Q485,cat_SubK,0)),"SIN CATALOGAR"),"ÁREA DE PROCESO")</f>
        <v>SEP-01</v>
      </c>
      <c r="S485" s="34" t="str">
        <f aca="false">IF(H485="","SIN DATO",IFERROR(INDEX(cat_MarcaN,MATCH(H485,cat_MarcaO,0)),H485))</f>
        <v>ABB</v>
      </c>
      <c r="T485" s="34" t="str">
        <f aca="false">IF(I485="","SIN DATO",IFERROR(INDEX(cat_ModN,MATCH(I485,cat_ModO,0)),I485))</f>
        <v>REF615A_1G</v>
      </c>
      <c r="U485" s="34" t="str">
        <f aca="false">IF(I485="","",IFERROR(INDEX(cat_ModG,MATCH(I485,cat_ModO,0)),"No"))</f>
        <v>No</v>
      </c>
      <c r="V485" s="34" t="str">
        <f aca="false">IF(J485="","SIN DATO",IFERROR(INDEX(cat_FunN,MATCH(J485,cat_FunO,0)),J485))</f>
        <v>Protección y medición</v>
      </c>
      <c r="W485" s="34" t="str">
        <f aca="false">IF(OR(S485="SIN DATO",T485="SIN DATO"),"No","Sí")</f>
        <v>Sí</v>
      </c>
    </row>
    <row r="486" customFormat="false" ht="15" hidden="false" customHeight="false" outlineLevel="0" collapsed="false">
      <c r="A486" s="34" t="s">
        <v>1963</v>
      </c>
      <c r="B486" s="34" t="s">
        <v>1964</v>
      </c>
      <c r="C486" s="34" t="s">
        <v>1965</v>
      </c>
      <c r="D486" s="34" t="s">
        <v>1962</v>
      </c>
      <c r="E486" s="34" t="s">
        <v>184</v>
      </c>
      <c r="F486" s="34" t="s">
        <v>1602</v>
      </c>
      <c r="G486" s="34" t="s">
        <v>227</v>
      </c>
      <c r="H486" s="34" t="s">
        <v>34</v>
      </c>
      <c r="I486" s="34" t="s">
        <v>37</v>
      </c>
      <c r="J486" s="34" t="s">
        <v>228</v>
      </c>
      <c r="K486" s="34" t="s">
        <v>229</v>
      </c>
      <c r="L486" s="34" t="s">
        <v>230</v>
      </c>
      <c r="M486" s="34" t="s">
        <v>1663</v>
      </c>
      <c r="N486" s="34" t="str">
        <f aca="false">"Sector "&amp;VALUE(MID(D486,13,2))</f>
        <v>Sector 8</v>
      </c>
      <c r="O486" s="34" t="str">
        <f aca="false">IF(Dashboard!$C$5="Ubicación técnica",N486,"Sector "&amp;VALUE(RIGHT(G486,2)))</f>
        <v>Sector 8</v>
      </c>
      <c r="P486" s="34" t="str">
        <f aca="false">IF(MID(D486,15,3)="SEL","Subestación eléctrica","Área de proceso")</f>
        <v>Subestación eléctrica</v>
      </c>
      <c r="Q486" s="34" t="str">
        <f aca="false">MID(D486,13,5)&amp;"|"&amp;MID(D486,19,5)</f>
        <v>08SEL|SEP01</v>
      </c>
      <c r="R486" s="34" t="str">
        <f aca="false">IF(P486="Subestación eléctrica",IFERROR(INDEX(cat_SubN,MATCH(Q486,cat_SubK,0)),"SIN CATALOGAR"),"ÁREA DE PROCESO")</f>
        <v>SEP-01</v>
      </c>
      <c r="S486" s="34" t="str">
        <f aca="false">IF(H486="","SIN DATO",IFERROR(INDEX(cat_MarcaN,MATCH(H486,cat_MarcaO,0)),H486))</f>
        <v>ABB</v>
      </c>
      <c r="T486" s="34" t="str">
        <f aca="false">IF(I486="","SIN DATO",IFERROR(INDEX(cat_ModN,MATCH(I486,cat_ModO,0)),I486))</f>
        <v>REF615A_1G</v>
      </c>
      <c r="U486" s="34" t="str">
        <f aca="false">IF(I486="","",IFERROR(INDEX(cat_ModG,MATCH(I486,cat_ModO,0)),"No"))</f>
        <v>No</v>
      </c>
      <c r="V486" s="34" t="str">
        <f aca="false">IF(J486="","SIN DATO",IFERROR(INDEX(cat_FunN,MATCH(J486,cat_FunO,0)),J486))</f>
        <v>Protección y medición</v>
      </c>
      <c r="W486" s="34" t="str">
        <f aca="false">IF(OR(S486="SIN DATO",T486="SIN DATO"),"No","Sí")</f>
        <v>Sí</v>
      </c>
    </row>
    <row r="487" customFormat="false" ht="15" hidden="false" customHeight="false" outlineLevel="0" collapsed="false">
      <c r="A487" s="34" t="s">
        <v>1966</v>
      </c>
      <c r="B487" s="34" t="s">
        <v>1967</v>
      </c>
      <c r="C487" s="34" t="s">
        <v>1968</v>
      </c>
      <c r="D487" s="34" t="s">
        <v>1958</v>
      </c>
      <c r="E487" s="34" t="s">
        <v>184</v>
      </c>
      <c r="F487" s="34" t="s">
        <v>1602</v>
      </c>
      <c r="G487" s="34" t="s">
        <v>227</v>
      </c>
      <c r="H487" s="34" t="s">
        <v>34</v>
      </c>
      <c r="I487" s="34" t="s">
        <v>43</v>
      </c>
      <c r="J487" s="34" t="s">
        <v>228</v>
      </c>
      <c r="K487" s="34" t="s">
        <v>229</v>
      </c>
      <c r="L487" s="34" t="s">
        <v>230</v>
      </c>
      <c r="M487" s="34" t="s">
        <v>1663</v>
      </c>
      <c r="N487" s="34" t="str">
        <f aca="false">"Sector "&amp;VALUE(MID(D487,13,2))</f>
        <v>Sector 8</v>
      </c>
      <c r="O487" s="34" t="str">
        <f aca="false">IF(Dashboard!$C$5="Ubicación técnica",N487,"Sector "&amp;VALUE(RIGHT(G487,2)))</f>
        <v>Sector 8</v>
      </c>
      <c r="P487" s="34" t="str">
        <f aca="false">IF(MID(D487,15,3)="SEL","Subestación eléctrica","Área de proceso")</f>
        <v>Subestación eléctrica</v>
      </c>
      <c r="Q487" s="34" t="str">
        <f aca="false">MID(D487,13,5)&amp;"|"&amp;MID(D487,19,5)</f>
        <v>08SEL|SEP01</v>
      </c>
      <c r="R487" s="34" t="str">
        <f aca="false">IF(P487="Subestación eléctrica",IFERROR(INDEX(cat_SubN,MATCH(Q487,cat_SubK,0)),"SIN CATALOGAR"),"ÁREA DE PROCESO")</f>
        <v>SEP-01</v>
      </c>
      <c r="S487" s="34" t="str">
        <f aca="false">IF(H487="","SIN DATO",IFERROR(INDEX(cat_MarcaN,MATCH(H487,cat_MarcaO,0)),H487))</f>
        <v>ABB</v>
      </c>
      <c r="T487" s="34" t="str">
        <f aca="false">IF(I487="","SIN DATO",IFERROR(INDEX(cat_ModN,MATCH(I487,cat_ModO,0)),I487))</f>
        <v>RET615A_1G</v>
      </c>
      <c r="U487" s="34" t="str">
        <f aca="false">IF(I487="","",IFERROR(INDEX(cat_ModG,MATCH(I487,cat_ModO,0)),"No"))</f>
        <v>No</v>
      </c>
      <c r="V487" s="34" t="str">
        <f aca="false">IF(J487="","SIN DATO",IFERROR(INDEX(cat_FunN,MATCH(J487,cat_FunO,0)),J487))</f>
        <v>Protección y medición</v>
      </c>
      <c r="W487" s="34" t="str">
        <f aca="false">IF(OR(S487="SIN DATO",T487="SIN DATO"),"No","Sí")</f>
        <v>Sí</v>
      </c>
    </row>
    <row r="488" customFormat="false" ht="15" hidden="false" customHeight="false" outlineLevel="0" collapsed="false">
      <c r="A488" s="34" t="s">
        <v>1969</v>
      </c>
      <c r="B488" s="34" t="s">
        <v>1970</v>
      </c>
      <c r="C488" s="34" t="s">
        <v>1971</v>
      </c>
      <c r="D488" s="34" t="s">
        <v>1972</v>
      </c>
      <c r="E488" s="34" t="s">
        <v>184</v>
      </c>
      <c r="F488" s="34" t="s">
        <v>1602</v>
      </c>
      <c r="G488" s="34" t="s">
        <v>227</v>
      </c>
      <c r="H488" s="34" t="s">
        <v>1358</v>
      </c>
      <c r="I488" s="34" t="s">
        <v>65</v>
      </c>
      <c r="J488" s="34" t="s">
        <v>228</v>
      </c>
      <c r="K488" s="34" t="s">
        <v>229</v>
      </c>
      <c r="L488" s="34" t="s">
        <v>230</v>
      </c>
      <c r="M488" s="34" t="s">
        <v>1640</v>
      </c>
      <c r="N488" s="34" t="str">
        <f aca="false">"Sector "&amp;VALUE(MID(D488,13,2))</f>
        <v>Sector 8</v>
      </c>
      <c r="O488" s="34" t="str">
        <f aca="false">IF(Dashboard!$C$5="Ubicación técnica",N488,"Sector "&amp;VALUE(RIGHT(G488,2)))</f>
        <v>Sector 8</v>
      </c>
      <c r="P488" s="34" t="str">
        <f aca="false">IF(MID(D488,15,3)="SEL","Subestación eléctrica","Área de proceso")</f>
        <v>Subestación eléctrica</v>
      </c>
      <c r="Q488" s="34" t="str">
        <f aca="false">MID(D488,13,5)&amp;"|"&amp;MID(D488,19,5)</f>
        <v>08SEL|SEP01</v>
      </c>
      <c r="R488" s="34" t="str">
        <f aca="false">IF(P488="Subestación eléctrica",IFERROR(INDEX(cat_SubN,MATCH(Q488,cat_SubK,0)),"SIN CATALOGAR"),"ÁREA DE PROCESO")</f>
        <v>SEP-01</v>
      </c>
      <c r="S488" s="34" t="str">
        <f aca="false">IF(H488="","SIN DATO",IFERROR(INDEX(cat_MarcaN,MATCH(H488,cat_MarcaO,0)),H488))</f>
        <v>GENERAL ELECTRIC</v>
      </c>
      <c r="T488" s="34" t="str">
        <f aca="false">IF(I488="","SIN DATO",IFERROR(INDEX(cat_ModN,MATCH(I488,cat_ModO,0)),I488))</f>
        <v>MULTILIN T60</v>
      </c>
      <c r="U488" s="34" t="str">
        <f aca="false">IF(I488="","",IFERROR(INDEX(cat_ModG,MATCH(I488,cat_ModO,0)),"No"))</f>
        <v>No</v>
      </c>
      <c r="V488" s="34" t="str">
        <f aca="false">IF(J488="","SIN DATO",IFERROR(INDEX(cat_FunN,MATCH(J488,cat_FunO,0)),J488))</f>
        <v>Protección y medición</v>
      </c>
      <c r="W488" s="34" t="str">
        <f aca="false">IF(OR(S488="SIN DATO",T488="SIN DATO"),"No","Sí")</f>
        <v>Sí</v>
      </c>
    </row>
    <row r="489" customFormat="false" ht="15" hidden="false" customHeight="false" outlineLevel="0" collapsed="false">
      <c r="A489" s="34" t="s">
        <v>1973</v>
      </c>
      <c r="B489" s="34" t="s">
        <v>1974</v>
      </c>
      <c r="C489" s="34" t="s">
        <v>1975</v>
      </c>
      <c r="D489" s="34" t="s">
        <v>1972</v>
      </c>
      <c r="E489" s="34" t="s">
        <v>184</v>
      </c>
      <c r="F489" s="34" t="s">
        <v>1602</v>
      </c>
      <c r="G489" s="34" t="s">
        <v>227</v>
      </c>
      <c r="H489" s="34" t="s">
        <v>1358</v>
      </c>
      <c r="I489" s="34" t="s">
        <v>71</v>
      </c>
      <c r="J489" s="34" t="s">
        <v>228</v>
      </c>
      <c r="K489" s="34" t="s">
        <v>229</v>
      </c>
      <c r="L489" s="34" t="s">
        <v>230</v>
      </c>
      <c r="M489" s="34" t="s">
        <v>1640</v>
      </c>
      <c r="N489" s="34" t="str">
        <f aca="false">"Sector "&amp;VALUE(MID(D489,13,2))</f>
        <v>Sector 8</v>
      </c>
      <c r="O489" s="34" t="str">
        <f aca="false">IF(Dashboard!$C$5="Ubicación técnica",N489,"Sector "&amp;VALUE(RIGHT(G489,2)))</f>
        <v>Sector 8</v>
      </c>
      <c r="P489" s="34" t="str">
        <f aca="false">IF(MID(D489,15,3)="SEL","Subestación eléctrica","Área de proceso")</f>
        <v>Subestación eléctrica</v>
      </c>
      <c r="Q489" s="34" t="str">
        <f aca="false">MID(D489,13,5)&amp;"|"&amp;MID(D489,19,5)</f>
        <v>08SEL|SEP01</v>
      </c>
      <c r="R489" s="34" t="str">
        <f aca="false">IF(P489="Subestación eléctrica",IFERROR(INDEX(cat_SubN,MATCH(Q489,cat_SubK,0)),"SIN CATALOGAR"),"ÁREA DE PROCESO")</f>
        <v>SEP-01</v>
      </c>
      <c r="S489" s="34" t="str">
        <f aca="false">IF(H489="","SIN DATO",IFERROR(INDEX(cat_MarcaN,MATCH(H489,cat_MarcaO,0)),H489))</f>
        <v>GENERAL ELECTRIC</v>
      </c>
      <c r="T489" s="34" t="str">
        <f aca="false">IF(I489="","SIN DATO",IFERROR(INDEX(cat_ModN,MATCH(I489,cat_ModO,0)),I489))</f>
        <v>MULTILIN T35</v>
      </c>
      <c r="U489" s="34" t="str">
        <f aca="false">IF(I489="","",IFERROR(INDEX(cat_ModG,MATCH(I489,cat_ModO,0)),"No"))</f>
        <v>No</v>
      </c>
      <c r="V489" s="34" t="str">
        <f aca="false">IF(J489="","SIN DATO",IFERROR(INDEX(cat_FunN,MATCH(J489,cat_FunO,0)),J489))</f>
        <v>Protección y medición</v>
      </c>
      <c r="W489" s="34" t="str">
        <f aca="false">IF(OR(S489="SIN DATO",T489="SIN DATO"),"No","Sí")</f>
        <v>Sí</v>
      </c>
    </row>
    <row r="490" customFormat="false" ht="15" hidden="false" customHeight="false" outlineLevel="0" collapsed="false">
      <c r="A490" s="34" t="s">
        <v>1976</v>
      </c>
      <c r="B490" s="34" t="s">
        <v>1977</v>
      </c>
      <c r="C490" s="34" t="s">
        <v>1978</v>
      </c>
      <c r="D490" s="34" t="s">
        <v>1972</v>
      </c>
      <c r="E490" s="34" t="s">
        <v>184</v>
      </c>
      <c r="F490" s="34" t="s">
        <v>1602</v>
      </c>
      <c r="G490" s="34" t="s">
        <v>227</v>
      </c>
      <c r="H490" s="34" t="s">
        <v>1358</v>
      </c>
      <c r="I490" s="34" t="s">
        <v>66</v>
      </c>
      <c r="J490" s="34" t="s">
        <v>1979</v>
      </c>
      <c r="K490" s="34" t="s">
        <v>229</v>
      </c>
      <c r="L490" s="34" t="s">
        <v>230</v>
      </c>
      <c r="M490" s="34" t="s">
        <v>237</v>
      </c>
      <c r="N490" s="34" t="str">
        <f aca="false">"Sector "&amp;VALUE(MID(D490,13,2))</f>
        <v>Sector 8</v>
      </c>
      <c r="O490" s="34" t="str">
        <f aca="false">IF(Dashboard!$C$5="Ubicación técnica",N490,"Sector "&amp;VALUE(RIGHT(G490,2)))</f>
        <v>Sector 8</v>
      </c>
      <c r="P490" s="34" t="str">
        <f aca="false">IF(MID(D490,15,3)="SEL","Subestación eléctrica","Área de proceso")</f>
        <v>Subestación eléctrica</v>
      </c>
      <c r="Q490" s="34" t="str">
        <f aca="false">MID(D490,13,5)&amp;"|"&amp;MID(D490,19,5)</f>
        <v>08SEL|SEP01</v>
      </c>
      <c r="R490" s="34" t="str">
        <f aca="false">IF(P490="Subestación eléctrica",IFERROR(INDEX(cat_SubN,MATCH(Q490,cat_SubK,0)),"SIN CATALOGAR"),"ÁREA DE PROCESO")</f>
        <v>SEP-01</v>
      </c>
      <c r="S490" s="34" t="str">
        <f aca="false">IF(H490="","SIN DATO",IFERROR(INDEX(cat_MarcaN,MATCH(H490,cat_MarcaO,0)),H490))</f>
        <v>GENERAL ELECTRIC</v>
      </c>
      <c r="T490" s="34" t="str">
        <f aca="false">IF(I490="","SIN DATO",IFERROR(INDEX(cat_ModN,MATCH(I490,cat_ModO,0)),I490))</f>
        <v>MULTILIN C30</v>
      </c>
      <c r="U490" s="34" t="str">
        <f aca="false">IF(I490="","",IFERROR(INDEX(cat_ModG,MATCH(I490,cat_ModO,0)),"No"))</f>
        <v>No</v>
      </c>
      <c r="V490" s="34" t="str">
        <f aca="false">IF(J490="","SIN DATO",IFERROR(INDEX(cat_FunN,MATCH(J490,cat_FunO,0)),J490))</f>
        <v>Control y protección</v>
      </c>
      <c r="W490" s="34" t="str">
        <f aca="false">IF(OR(S490="SIN DATO",T490="SIN DATO"),"No","Sí")</f>
        <v>Sí</v>
      </c>
    </row>
    <row r="491" customFormat="false" ht="15" hidden="false" customHeight="false" outlineLevel="0" collapsed="false">
      <c r="A491" s="34" t="s">
        <v>1980</v>
      </c>
      <c r="B491" s="34" t="s">
        <v>1981</v>
      </c>
      <c r="C491" s="34" t="s">
        <v>1982</v>
      </c>
      <c r="D491" s="34" t="s">
        <v>1972</v>
      </c>
      <c r="E491" s="34" t="s">
        <v>184</v>
      </c>
      <c r="F491" s="34" t="s">
        <v>1602</v>
      </c>
      <c r="G491" s="34" t="s">
        <v>227</v>
      </c>
      <c r="H491" s="34" t="s">
        <v>1358</v>
      </c>
      <c r="I491" s="34" t="s">
        <v>67</v>
      </c>
      <c r="J491" s="34" t="s">
        <v>228</v>
      </c>
      <c r="K491" s="34" t="s">
        <v>229</v>
      </c>
      <c r="L491" s="34" t="s">
        <v>230</v>
      </c>
      <c r="M491" s="34" t="s">
        <v>1640</v>
      </c>
      <c r="N491" s="34" t="str">
        <f aca="false">"Sector "&amp;VALUE(MID(D491,13,2))</f>
        <v>Sector 8</v>
      </c>
      <c r="O491" s="34" t="str">
        <f aca="false">IF(Dashboard!$C$5="Ubicación técnica",N491,"Sector "&amp;VALUE(RIGHT(G491,2)))</f>
        <v>Sector 8</v>
      </c>
      <c r="P491" s="34" t="str">
        <f aca="false">IF(MID(D491,15,3)="SEL","Subestación eléctrica","Área de proceso")</f>
        <v>Subestación eléctrica</v>
      </c>
      <c r="Q491" s="34" t="str">
        <f aca="false">MID(D491,13,5)&amp;"|"&amp;MID(D491,19,5)</f>
        <v>08SEL|SEP01</v>
      </c>
      <c r="R491" s="34" t="str">
        <f aca="false">IF(P491="Subestación eléctrica",IFERROR(INDEX(cat_SubN,MATCH(Q491,cat_SubK,0)),"SIN CATALOGAR"),"ÁREA DE PROCESO")</f>
        <v>SEP-01</v>
      </c>
      <c r="S491" s="34" t="str">
        <f aca="false">IF(H491="","SIN DATO",IFERROR(INDEX(cat_MarcaN,MATCH(H491,cat_MarcaO,0)),H491))</f>
        <v>GENERAL ELECTRIC</v>
      </c>
      <c r="T491" s="34" t="str">
        <f aca="false">IF(I491="","SIN DATO",IFERROR(INDEX(cat_ModN,MATCH(I491,cat_ModO,0)),I491))</f>
        <v>MULTILIN F60</v>
      </c>
      <c r="U491" s="34" t="str">
        <f aca="false">IF(I491="","",IFERROR(INDEX(cat_ModG,MATCH(I491,cat_ModO,0)),"No"))</f>
        <v>No</v>
      </c>
      <c r="V491" s="34" t="str">
        <f aca="false">IF(J491="","SIN DATO",IFERROR(INDEX(cat_FunN,MATCH(J491,cat_FunO,0)),J491))</f>
        <v>Protección y medición</v>
      </c>
      <c r="W491" s="34" t="str">
        <f aca="false">IF(OR(S491="SIN DATO",T491="SIN DATO"),"No","Sí")</f>
        <v>Sí</v>
      </c>
    </row>
    <row r="492" customFormat="false" ht="15" hidden="false" customHeight="false" outlineLevel="0" collapsed="false">
      <c r="A492" s="34" t="s">
        <v>1983</v>
      </c>
      <c r="B492" s="34" t="s">
        <v>1984</v>
      </c>
      <c r="C492" s="34" t="s">
        <v>1985</v>
      </c>
      <c r="D492" s="34" t="s">
        <v>1972</v>
      </c>
      <c r="E492" s="34" t="s">
        <v>184</v>
      </c>
      <c r="F492" s="34" t="s">
        <v>1602</v>
      </c>
      <c r="G492" s="34" t="s">
        <v>227</v>
      </c>
      <c r="H492" s="34" t="s">
        <v>55</v>
      </c>
      <c r="I492" s="34" t="s">
        <v>57</v>
      </c>
      <c r="J492" s="34" t="s">
        <v>58</v>
      </c>
      <c r="K492" s="34" t="s">
        <v>229</v>
      </c>
      <c r="L492" s="34" t="s">
        <v>230</v>
      </c>
      <c r="M492" s="34" t="s">
        <v>237</v>
      </c>
      <c r="N492" s="34" t="str">
        <f aca="false">"Sector "&amp;VALUE(MID(D492,13,2))</f>
        <v>Sector 8</v>
      </c>
      <c r="O492" s="34" t="str">
        <f aca="false">IF(Dashboard!$C$5="Ubicación técnica",N492,"Sector "&amp;VALUE(RIGHT(G492,2)))</f>
        <v>Sector 8</v>
      </c>
      <c r="P492" s="34" t="str">
        <f aca="false">IF(MID(D492,15,3)="SEL","Subestación eléctrica","Área de proceso")</f>
        <v>Subestación eléctrica</v>
      </c>
      <c r="Q492" s="34" t="str">
        <f aca="false">MID(D492,13,5)&amp;"|"&amp;MID(D492,19,5)</f>
        <v>08SEL|SEP01</v>
      </c>
      <c r="R492" s="34" t="str">
        <f aca="false">IF(P492="Subestación eléctrica",IFERROR(INDEX(cat_SubN,MATCH(Q492,cat_SubK,0)),"SIN CATALOGAR"),"ÁREA DE PROCESO")</f>
        <v>SEP-01</v>
      </c>
      <c r="S492" s="34" t="str">
        <f aca="false">IF(H492="","SIN DATO",IFERROR(INDEX(cat_MarcaN,MATCH(H492,cat_MarcaO,0)),H492))</f>
        <v>SEL</v>
      </c>
      <c r="T492" s="34" t="str">
        <f aca="false">IF(I492="","SIN DATO",IFERROR(INDEX(cat_ModN,MATCH(I492,cat_ModO,0)),I492))</f>
        <v>SEL-735</v>
      </c>
      <c r="U492" s="34" t="str">
        <f aca="false">IF(I492="","",IFERROR(INDEX(cat_ModG,MATCH(I492,cat_ModO,0)),"No"))</f>
        <v>No</v>
      </c>
      <c r="V492" s="34" t="str">
        <f aca="false">IF(J492="","SIN DATO",IFERROR(INDEX(cat_FunN,MATCH(J492,cat_FunO,0)),J492))</f>
        <v>Medición</v>
      </c>
      <c r="W492" s="34" t="str">
        <f aca="false">IF(OR(S492="SIN DATO",T492="SIN DATO"),"No","Sí")</f>
        <v>Sí</v>
      </c>
    </row>
    <row r="493" customFormat="false" ht="15" hidden="false" customHeight="false" outlineLevel="0" collapsed="false">
      <c r="A493" s="34" t="s">
        <v>1986</v>
      </c>
      <c r="B493" s="34" t="s">
        <v>1987</v>
      </c>
      <c r="C493" s="34" t="s">
        <v>1988</v>
      </c>
      <c r="D493" s="34" t="s">
        <v>1989</v>
      </c>
      <c r="E493" s="34" t="s">
        <v>184</v>
      </c>
      <c r="F493" s="34" t="s">
        <v>1602</v>
      </c>
      <c r="G493" s="34" t="s">
        <v>227</v>
      </c>
      <c r="H493" s="34" t="s">
        <v>1358</v>
      </c>
      <c r="I493" s="34" t="s">
        <v>65</v>
      </c>
      <c r="J493" s="34" t="s">
        <v>228</v>
      </c>
      <c r="K493" s="34" t="s">
        <v>229</v>
      </c>
      <c r="L493" s="34" t="s">
        <v>230</v>
      </c>
      <c r="M493" s="34" t="s">
        <v>1640</v>
      </c>
      <c r="N493" s="34" t="str">
        <f aca="false">"Sector "&amp;VALUE(MID(D493,13,2))</f>
        <v>Sector 8</v>
      </c>
      <c r="O493" s="34" t="str">
        <f aca="false">IF(Dashboard!$C$5="Ubicación técnica",N493,"Sector "&amp;VALUE(RIGHT(G493,2)))</f>
        <v>Sector 8</v>
      </c>
      <c r="P493" s="34" t="str">
        <f aca="false">IF(MID(D493,15,3)="SEL","Subestación eléctrica","Área de proceso")</f>
        <v>Subestación eléctrica</v>
      </c>
      <c r="Q493" s="34" t="str">
        <f aca="false">MID(D493,13,5)&amp;"|"&amp;MID(D493,19,5)</f>
        <v>08SEL|SEP01</v>
      </c>
      <c r="R493" s="34" t="str">
        <f aca="false">IF(P493="Subestación eléctrica",IFERROR(INDEX(cat_SubN,MATCH(Q493,cat_SubK,0)),"SIN CATALOGAR"),"ÁREA DE PROCESO")</f>
        <v>SEP-01</v>
      </c>
      <c r="S493" s="34" t="str">
        <f aca="false">IF(H493="","SIN DATO",IFERROR(INDEX(cat_MarcaN,MATCH(H493,cat_MarcaO,0)),H493))</f>
        <v>GENERAL ELECTRIC</v>
      </c>
      <c r="T493" s="34" t="str">
        <f aca="false">IF(I493="","SIN DATO",IFERROR(INDEX(cat_ModN,MATCH(I493,cat_ModO,0)),I493))</f>
        <v>MULTILIN T60</v>
      </c>
      <c r="U493" s="34" t="str">
        <f aca="false">IF(I493="","",IFERROR(INDEX(cat_ModG,MATCH(I493,cat_ModO,0)),"No"))</f>
        <v>No</v>
      </c>
      <c r="V493" s="34" t="str">
        <f aca="false">IF(J493="","SIN DATO",IFERROR(INDEX(cat_FunN,MATCH(J493,cat_FunO,0)),J493))</f>
        <v>Protección y medición</v>
      </c>
      <c r="W493" s="34" t="str">
        <f aca="false">IF(OR(S493="SIN DATO",T493="SIN DATO"),"No","Sí")</f>
        <v>Sí</v>
      </c>
    </row>
    <row r="494" customFormat="false" ht="15" hidden="false" customHeight="false" outlineLevel="0" collapsed="false">
      <c r="A494" s="34" t="s">
        <v>1990</v>
      </c>
      <c r="B494" s="34" t="s">
        <v>1991</v>
      </c>
      <c r="C494" s="34" t="s">
        <v>1992</v>
      </c>
      <c r="D494" s="34" t="s">
        <v>1989</v>
      </c>
      <c r="E494" s="34" t="s">
        <v>184</v>
      </c>
      <c r="F494" s="34" t="s">
        <v>1602</v>
      </c>
      <c r="G494" s="34" t="s">
        <v>227</v>
      </c>
      <c r="H494" s="34" t="s">
        <v>1358</v>
      </c>
      <c r="I494" s="34" t="s">
        <v>71</v>
      </c>
      <c r="J494" s="34" t="s">
        <v>228</v>
      </c>
      <c r="K494" s="34" t="s">
        <v>229</v>
      </c>
      <c r="L494" s="34" t="s">
        <v>230</v>
      </c>
      <c r="M494" s="34" t="s">
        <v>1640</v>
      </c>
      <c r="N494" s="34" t="str">
        <f aca="false">"Sector "&amp;VALUE(MID(D494,13,2))</f>
        <v>Sector 8</v>
      </c>
      <c r="O494" s="34" t="str">
        <f aca="false">IF(Dashboard!$C$5="Ubicación técnica",N494,"Sector "&amp;VALUE(RIGHT(G494,2)))</f>
        <v>Sector 8</v>
      </c>
      <c r="P494" s="34" t="str">
        <f aca="false">IF(MID(D494,15,3)="SEL","Subestación eléctrica","Área de proceso")</f>
        <v>Subestación eléctrica</v>
      </c>
      <c r="Q494" s="34" t="str">
        <f aca="false">MID(D494,13,5)&amp;"|"&amp;MID(D494,19,5)</f>
        <v>08SEL|SEP01</v>
      </c>
      <c r="R494" s="34" t="str">
        <f aca="false">IF(P494="Subestación eléctrica",IFERROR(INDEX(cat_SubN,MATCH(Q494,cat_SubK,0)),"SIN CATALOGAR"),"ÁREA DE PROCESO")</f>
        <v>SEP-01</v>
      </c>
      <c r="S494" s="34" t="str">
        <f aca="false">IF(H494="","SIN DATO",IFERROR(INDEX(cat_MarcaN,MATCH(H494,cat_MarcaO,0)),H494))</f>
        <v>GENERAL ELECTRIC</v>
      </c>
      <c r="T494" s="34" t="str">
        <f aca="false">IF(I494="","SIN DATO",IFERROR(INDEX(cat_ModN,MATCH(I494,cat_ModO,0)),I494))</f>
        <v>MULTILIN T35</v>
      </c>
      <c r="U494" s="34" t="str">
        <f aca="false">IF(I494="","",IFERROR(INDEX(cat_ModG,MATCH(I494,cat_ModO,0)),"No"))</f>
        <v>No</v>
      </c>
      <c r="V494" s="34" t="str">
        <f aca="false">IF(J494="","SIN DATO",IFERROR(INDEX(cat_FunN,MATCH(J494,cat_FunO,0)),J494))</f>
        <v>Protección y medición</v>
      </c>
      <c r="W494" s="34" t="str">
        <f aca="false">IF(OR(S494="SIN DATO",T494="SIN DATO"),"No","Sí")</f>
        <v>Sí</v>
      </c>
    </row>
    <row r="495" customFormat="false" ht="15" hidden="false" customHeight="false" outlineLevel="0" collapsed="false">
      <c r="A495" s="34" t="s">
        <v>1993</v>
      </c>
      <c r="B495" s="34" t="s">
        <v>1994</v>
      </c>
      <c r="C495" s="34" t="s">
        <v>1995</v>
      </c>
      <c r="D495" s="34" t="s">
        <v>1989</v>
      </c>
      <c r="E495" s="34" t="s">
        <v>184</v>
      </c>
      <c r="F495" s="34" t="s">
        <v>1602</v>
      </c>
      <c r="G495" s="34" t="s">
        <v>227</v>
      </c>
      <c r="H495" s="34" t="s">
        <v>1358</v>
      </c>
      <c r="I495" s="34" t="s">
        <v>66</v>
      </c>
      <c r="J495" s="34" t="s">
        <v>1979</v>
      </c>
      <c r="K495" s="34" t="s">
        <v>229</v>
      </c>
      <c r="L495" s="34" t="s">
        <v>230</v>
      </c>
      <c r="M495" s="34" t="s">
        <v>237</v>
      </c>
      <c r="N495" s="34" t="str">
        <f aca="false">"Sector "&amp;VALUE(MID(D495,13,2))</f>
        <v>Sector 8</v>
      </c>
      <c r="O495" s="34" t="str">
        <f aca="false">IF(Dashboard!$C$5="Ubicación técnica",N495,"Sector "&amp;VALUE(RIGHT(G495,2)))</f>
        <v>Sector 8</v>
      </c>
      <c r="P495" s="34" t="str">
        <f aca="false">IF(MID(D495,15,3)="SEL","Subestación eléctrica","Área de proceso")</f>
        <v>Subestación eléctrica</v>
      </c>
      <c r="Q495" s="34" t="str">
        <f aca="false">MID(D495,13,5)&amp;"|"&amp;MID(D495,19,5)</f>
        <v>08SEL|SEP01</v>
      </c>
      <c r="R495" s="34" t="str">
        <f aca="false">IF(P495="Subestación eléctrica",IFERROR(INDEX(cat_SubN,MATCH(Q495,cat_SubK,0)),"SIN CATALOGAR"),"ÁREA DE PROCESO")</f>
        <v>SEP-01</v>
      </c>
      <c r="S495" s="34" t="str">
        <f aca="false">IF(H495="","SIN DATO",IFERROR(INDEX(cat_MarcaN,MATCH(H495,cat_MarcaO,0)),H495))</f>
        <v>GENERAL ELECTRIC</v>
      </c>
      <c r="T495" s="34" t="str">
        <f aca="false">IF(I495="","SIN DATO",IFERROR(INDEX(cat_ModN,MATCH(I495,cat_ModO,0)),I495))</f>
        <v>MULTILIN C30</v>
      </c>
      <c r="U495" s="34" t="str">
        <f aca="false">IF(I495="","",IFERROR(INDEX(cat_ModG,MATCH(I495,cat_ModO,0)),"No"))</f>
        <v>No</v>
      </c>
      <c r="V495" s="34" t="str">
        <f aca="false">IF(J495="","SIN DATO",IFERROR(INDEX(cat_FunN,MATCH(J495,cat_FunO,0)),J495))</f>
        <v>Control y protección</v>
      </c>
      <c r="W495" s="34" t="str">
        <f aca="false">IF(OR(S495="SIN DATO",T495="SIN DATO"),"No","Sí")</f>
        <v>Sí</v>
      </c>
    </row>
    <row r="496" customFormat="false" ht="15" hidden="false" customHeight="false" outlineLevel="0" collapsed="false">
      <c r="A496" s="34" t="s">
        <v>1996</v>
      </c>
      <c r="B496" s="34" t="s">
        <v>1997</v>
      </c>
      <c r="C496" s="34" t="s">
        <v>1998</v>
      </c>
      <c r="D496" s="34" t="s">
        <v>1989</v>
      </c>
      <c r="E496" s="34" t="s">
        <v>184</v>
      </c>
      <c r="F496" s="34" t="s">
        <v>1602</v>
      </c>
      <c r="G496" s="34" t="s">
        <v>227</v>
      </c>
      <c r="H496" s="34" t="s">
        <v>1358</v>
      </c>
      <c r="I496" s="34" t="s">
        <v>67</v>
      </c>
      <c r="J496" s="34" t="s">
        <v>228</v>
      </c>
      <c r="K496" s="34" t="s">
        <v>229</v>
      </c>
      <c r="L496" s="34" t="s">
        <v>230</v>
      </c>
      <c r="M496" s="34" t="s">
        <v>1640</v>
      </c>
      <c r="N496" s="34" t="str">
        <f aca="false">"Sector "&amp;VALUE(MID(D496,13,2))</f>
        <v>Sector 8</v>
      </c>
      <c r="O496" s="34" t="str">
        <f aca="false">IF(Dashboard!$C$5="Ubicación técnica",N496,"Sector "&amp;VALUE(RIGHT(G496,2)))</f>
        <v>Sector 8</v>
      </c>
      <c r="P496" s="34" t="str">
        <f aca="false">IF(MID(D496,15,3)="SEL","Subestación eléctrica","Área de proceso")</f>
        <v>Subestación eléctrica</v>
      </c>
      <c r="Q496" s="34" t="str">
        <f aca="false">MID(D496,13,5)&amp;"|"&amp;MID(D496,19,5)</f>
        <v>08SEL|SEP01</v>
      </c>
      <c r="R496" s="34" t="str">
        <f aca="false">IF(P496="Subestación eléctrica",IFERROR(INDEX(cat_SubN,MATCH(Q496,cat_SubK,0)),"SIN CATALOGAR"),"ÁREA DE PROCESO")</f>
        <v>SEP-01</v>
      </c>
      <c r="S496" s="34" t="str">
        <f aca="false">IF(H496="","SIN DATO",IFERROR(INDEX(cat_MarcaN,MATCH(H496,cat_MarcaO,0)),H496))</f>
        <v>GENERAL ELECTRIC</v>
      </c>
      <c r="T496" s="34" t="str">
        <f aca="false">IF(I496="","SIN DATO",IFERROR(INDEX(cat_ModN,MATCH(I496,cat_ModO,0)),I496))</f>
        <v>MULTILIN F60</v>
      </c>
      <c r="U496" s="34" t="str">
        <f aca="false">IF(I496="","",IFERROR(INDEX(cat_ModG,MATCH(I496,cat_ModO,0)),"No"))</f>
        <v>No</v>
      </c>
      <c r="V496" s="34" t="str">
        <f aca="false">IF(J496="","SIN DATO",IFERROR(INDEX(cat_FunN,MATCH(J496,cat_FunO,0)),J496))</f>
        <v>Protección y medición</v>
      </c>
      <c r="W496" s="34" t="str">
        <f aca="false">IF(OR(S496="SIN DATO",T496="SIN DATO"),"No","Sí")</f>
        <v>Sí</v>
      </c>
    </row>
    <row r="497" customFormat="false" ht="15" hidden="false" customHeight="false" outlineLevel="0" collapsed="false">
      <c r="A497" s="34" t="s">
        <v>1999</v>
      </c>
      <c r="B497" s="34" t="s">
        <v>2000</v>
      </c>
      <c r="C497" s="34" t="s">
        <v>2001</v>
      </c>
      <c r="D497" s="34" t="s">
        <v>1863</v>
      </c>
      <c r="E497" s="34" t="s">
        <v>184</v>
      </c>
      <c r="F497" s="34" t="s">
        <v>1602</v>
      </c>
      <c r="G497" s="34" t="s">
        <v>227</v>
      </c>
      <c r="H497" s="34" t="s">
        <v>34</v>
      </c>
      <c r="I497" s="34" t="s">
        <v>43</v>
      </c>
      <c r="J497" s="34" t="s">
        <v>228</v>
      </c>
      <c r="K497" s="34" t="s">
        <v>229</v>
      </c>
      <c r="L497" s="34" t="s">
        <v>230</v>
      </c>
      <c r="M497" s="34" t="s">
        <v>1663</v>
      </c>
      <c r="N497" s="34" t="str">
        <f aca="false">"Sector "&amp;VALUE(MID(D497,13,2))</f>
        <v>Sector 8</v>
      </c>
      <c r="O497" s="34" t="str">
        <f aca="false">IF(Dashboard!$C$5="Ubicación técnica",N497,"Sector "&amp;VALUE(RIGHT(G497,2)))</f>
        <v>Sector 8</v>
      </c>
      <c r="P497" s="34" t="str">
        <f aca="false">IF(MID(D497,15,3)="SEL","Subestación eléctrica","Área de proceso")</f>
        <v>Subestación eléctrica</v>
      </c>
      <c r="Q497" s="34" t="str">
        <f aca="false">MID(D497,13,5)&amp;"|"&amp;MID(D497,19,5)</f>
        <v>08SEL|SEP01</v>
      </c>
      <c r="R497" s="34" t="str">
        <f aca="false">IF(P497="Subestación eléctrica",IFERROR(INDEX(cat_SubN,MATCH(Q497,cat_SubK,0)),"SIN CATALOGAR"),"ÁREA DE PROCESO")</f>
        <v>SEP-01</v>
      </c>
      <c r="S497" s="34" t="str">
        <f aca="false">IF(H497="","SIN DATO",IFERROR(INDEX(cat_MarcaN,MATCH(H497,cat_MarcaO,0)),H497))</f>
        <v>ABB</v>
      </c>
      <c r="T497" s="34" t="str">
        <f aca="false">IF(I497="","SIN DATO",IFERROR(INDEX(cat_ModN,MATCH(I497,cat_ModO,0)),I497))</f>
        <v>RET615A_1G</v>
      </c>
      <c r="U497" s="34" t="str">
        <f aca="false">IF(I497="","",IFERROR(INDEX(cat_ModG,MATCH(I497,cat_ModO,0)),"No"))</f>
        <v>No</v>
      </c>
      <c r="V497" s="34" t="str">
        <f aca="false">IF(J497="","SIN DATO",IFERROR(INDEX(cat_FunN,MATCH(J497,cat_FunO,0)),J497))</f>
        <v>Protección y medición</v>
      </c>
      <c r="W497" s="34" t="str">
        <f aca="false">IF(OR(S497="SIN DATO",T497="SIN DATO"),"No","Sí")</f>
        <v>Sí</v>
      </c>
    </row>
    <row r="498" customFormat="false" ht="15" hidden="false" customHeight="false" outlineLevel="0" collapsed="false">
      <c r="A498" s="34" t="s">
        <v>2002</v>
      </c>
      <c r="B498" s="34" t="s">
        <v>2003</v>
      </c>
      <c r="C498" s="34" t="s">
        <v>2004</v>
      </c>
      <c r="D498" s="34" t="s">
        <v>2005</v>
      </c>
      <c r="E498" s="34" t="s">
        <v>184</v>
      </c>
      <c r="F498" s="34" t="s">
        <v>1602</v>
      </c>
      <c r="G498" s="34" t="s">
        <v>227</v>
      </c>
      <c r="H498" s="34" t="s">
        <v>1358</v>
      </c>
      <c r="I498" s="34" t="s">
        <v>68</v>
      </c>
      <c r="J498" s="34" t="s">
        <v>228</v>
      </c>
      <c r="K498" s="34" t="s">
        <v>229</v>
      </c>
      <c r="L498" s="34" t="s">
        <v>230</v>
      </c>
      <c r="M498" s="34" t="s">
        <v>1640</v>
      </c>
      <c r="N498" s="34" t="str">
        <f aca="false">"Sector "&amp;VALUE(MID(D498,13,2))</f>
        <v>Sector 8</v>
      </c>
      <c r="O498" s="34" t="str">
        <f aca="false">IF(Dashboard!$C$5="Ubicación técnica",N498,"Sector "&amp;VALUE(RIGHT(G498,2)))</f>
        <v>Sector 8</v>
      </c>
      <c r="P498" s="34" t="str">
        <f aca="false">IF(MID(D498,15,3)="SEL","Subestación eléctrica","Área de proceso")</f>
        <v>Subestación eléctrica</v>
      </c>
      <c r="Q498" s="34" t="str">
        <f aca="false">MID(D498,13,5)&amp;"|"&amp;MID(D498,19,5)</f>
        <v>08SEL|SEP01</v>
      </c>
      <c r="R498" s="34" t="str">
        <f aca="false">IF(P498="Subestación eléctrica",IFERROR(INDEX(cat_SubN,MATCH(Q498,cat_SubK,0)),"SIN CATALOGAR"),"ÁREA DE PROCESO")</f>
        <v>SEP-01</v>
      </c>
      <c r="S498" s="34" t="str">
        <f aca="false">IF(H498="","SIN DATO",IFERROR(INDEX(cat_MarcaN,MATCH(H498,cat_MarcaO,0)),H498))</f>
        <v>GENERAL ELECTRIC</v>
      </c>
      <c r="T498" s="34" t="str">
        <f aca="false">IF(I498="","SIN DATO",IFERROR(INDEX(cat_ModN,MATCH(I498,cat_ModO,0)),I498))</f>
        <v>MULTILIN B90</v>
      </c>
      <c r="U498" s="34" t="str">
        <f aca="false">IF(I498="","",IFERROR(INDEX(cat_ModG,MATCH(I498,cat_ModO,0)),"No"))</f>
        <v>No</v>
      </c>
      <c r="V498" s="34" t="str">
        <f aca="false">IF(J498="","SIN DATO",IFERROR(INDEX(cat_FunN,MATCH(J498,cat_FunO,0)),J498))</f>
        <v>Protección y medición</v>
      </c>
      <c r="W498" s="34" t="str">
        <f aca="false">IF(OR(S498="SIN DATO",T498="SIN DATO"),"No","Sí")</f>
        <v>Sí</v>
      </c>
    </row>
    <row r="499" customFormat="false" ht="15" hidden="false" customHeight="false" outlineLevel="0" collapsed="false">
      <c r="A499" s="34" t="s">
        <v>2006</v>
      </c>
      <c r="B499" s="34" t="s">
        <v>2007</v>
      </c>
      <c r="C499" s="34" t="s">
        <v>2008</v>
      </c>
      <c r="D499" s="34" t="s">
        <v>2005</v>
      </c>
      <c r="E499" s="34" t="s">
        <v>184</v>
      </c>
      <c r="F499" s="34" t="s">
        <v>1602</v>
      </c>
      <c r="G499" s="34" t="s">
        <v>227</v>
      </c>
      <c r="H499" s="34" t="s">
        <v>86</v>
      </c>
      <c r="I499" s="34" t="s">
        <v>88</v>
      </c>
      <c r="J499" s="34" t="s">
        <v>228</v>
      </c>
      <c r="K499" s="34" t="s">
        <v>229</v>
      </c>
      <c r="L499" s="34" t="s">
        <v>230</v>
      </c>
      <c r="M499" s="34" t="s">
        <v>237</v>
      </c>
      <c r="N499" s="34" t="str">
        <f aca="false">"Sector "&amp;VALUE(MID(D499,13,2))</f>
        <v>Sector 8</v>
      </c>
      <c r="O499" s="34" t="str">
        <f aca="false">IF(Dashboard!$C$5="Ubicación técnica",N499,"Sector "&amp;VALUE(RIGHT(G499,2)))</f>
        <v>Sector 8</v>
      </c>
      <c r="P499" s="34" t="str">
        <f aca="false">IF(MID(D499,15,3)="SEL","Subestación eléctrica","Área de proceso")</f>
        <v>Subestación eléctrica</v>
      </c>
      <c r="Q499" s="34" t="str">
        <f aca="false">MID(D499,13,5)&amp;"|"&amp;MID(D499,19,5)</f>
        <v>08SEL|SEP01</v>
      </c>
      <c r="R499" s="34" t="str">
        <f aca="false">IF(P499="Subestación eléctrica",IFERROR(INDEX(cat_SubN,MATCH(Q499,cat_SubK,0)),"SIN CATALOGAR"),"ÁREA DE PROCESO")</f>
        <v>SEP-01</v>
      </c>
      <c r="S499" s="34" t="str">
        <f aca="false">IF(H499="","SIN DATO",IFERROR(INDEX(cat_MarcaN,MATCH(H499,cat_MarcaO,0)),H499))</f>
        <v>SCHNEIDER ELECTRIC</v>
      </c>
      <c r="T499" s="34" t="str">
        <f aca="false">IF(I499="","SIN DATO",IFERROR(INDEX(cat_ModN,MATCH(I499,cat_ModO,0)),I499))</f>
        <v>P5F30</v>
      </c>
      <c r="U499" s="34" t="str">
        <f aca="false">IF(I499="","",IFERROR(INDEX(cat_ModG,MATCH(I499,cat_ModO,0)),"No"))</f>
        <v>No</v>
      </c>
      <c r="V499" s="34" t="str">
        <f aca="false">IF(J499="","SIN DATO",IFERROR(INDEX(cat_FunN,MATCH(J499,cat_FunO,0)),J499))</f>
        <v>Protección y medición</v>
      </c>
      <c r="W499" s="34" t="str">
        <f aca="false">IF(OR(S499="SIN DATO",T499="SIN DATO"),"No","Sí")</f>
        <v>Sí</v>
      </c>
    </row>
    <row r="500" customFormat="false" ht="15" hidden="false" customHeight="false" outlineLevel="0" collapsed="false">
      <c r="A500" s="34" t="s">
        <v>2009</v>
      </c>
      <c r="B500" s="34" t="s">
        <v>2010</v>
      </c>
      <c r="C500" s="34" t="s">
        <v>2011</v>
      </c>
      <c r="D500" s="34" t="s">
        <v>2012</v>
      </c>
      <c r="E500" s="34" t="s">
        <v>184</v>
      </c>
      <c r="F500" s="34" t="s">
        <v>1602</v>
      </c>
      <c r="G500" s="34" t="s">
        <v>227</v>
      </c>
      <c r="H500" s="34" t="s">
        <v>1358</v>
      </c>
      <c r="I500" s="34" t="s">
        <v>68</v>
      </c>
      <c r="J500" s="34" t="s">
        <v>228</v>
      </c>
      <c r="K500" s="34" t="s">
        <v>229</v>
      </c>
      <c r="L500" s="34" t="s">
        <v>230</v>
      </c>
      <c r="M500" s="34" t="s">
        <v>1640</v>
      </c>
      <c r="N500" s="34" t="str">
        <f aca="false">"Sector "&amp;VALUE(MID(D500,13,2))</f>
        <v>Sector 8</v>
      </c>
      <c r="O500" s="34" t="str">
        <f aca="false">IF(Dashboard!$C$5="Ubicación técnica",N500,"Sector "&amp;VALUE(RIGHT(G500,2)))</f>
        <v>Sector 8</v>
      </c>
      <c r="P500" s="34" t="str">
        <f aca="false">IF(MID(D500,15,3)="SEL","Subestación eléctrica","Área de proceso")</f>
        <v>Subestación eléctrica</v>
      </c>
      <c r="Q500" s="34" t="str">
        <f aca="false">MID(D500,13,5)&amp;"|"&amp;MID(D500,19,5)</f>
        <v>08SEL|SEP01</v>
      </c>
      <c r="R500" s="34" t="str">
        <f aca="false">IF(P500="Subestación eléctrica",IFERROR(INDEX(cat_SubN,MATCH(Q500,cat_SubK,0)),"SIN CATALOGAR"),"ÁREA DE PROCESO")</f>
        <v>SEP-01</v>
      </c>
      <c r="S500" s="34" t="str">
        <f aca="false">IF(H500="","SIN DATO",IFERROR(INDEX(cat_MarcaN,MATCH(H500,cat_MarcaO,0)),H500))</f>
        <v>GENERAL ELECTRIC</v>
      </c>
      <c r="T500" s="34" t="str">
        <f aca="false">IF(I500="","SIN DATO",IFERROR(INDEX(cat_ModN,MATCH(I500,cat_ModO,0)),I500))</f>
        <v>MULTILIN B90</v>
      </c>
      <c r="U500" s="34" t="str">
        <f aca="false">IF(I500="","",IFERROR(INDEX(cat_ModG,MATCH(I500,cat_ModO,0)),"No"))</f>
        <v>No</v>
      </c>
      <c r="V500" s="34" t="str">
        <f aca="false">IF(J500="","SIN DATO",IFERROR(INDEX(cat_FunN,MATCH(J500,cat_FunO,0)),J500))</f>
        <v>Protección y medición</v>
      </c>
      <c r="W500" s="34" t="str">
        <f aca="false">IF(OR(S500="SIN DATO",T500="SIN DATO"),"No","Sí")</f>
        <v>Sí</v>
      </c>
    </row>
    <row r="501" customFormat="false" ht="15" hidden="false" customHeight="false" outlineLevel="0" collapsed="false">
      <c r="A501" s="34" t="s">
        <v>2013</v>
      </c>
      <c r="B501" s="34" t="s">
        <v>2014</v>
      </c>
      <c r="C501" s="34" t="s">
        <v>2015</v>
      </c>
      <c r="D501" s="34" t="s">
        <v>2012</v>
      </c>
      <c r="E501" s="34" t="s">
        <v>184</v>
      </c>
      <c r="F501" s="34" t="s">
        <v>1602</v>
      </c>
      <c r="G501" s="34" t="s">
        <v>227</v>
      </c>
      <c r="H501" s="34" t="s">
        <v>86</v>
      </c>
      <c r="I501" s="34" t="s">
        <v>88</v>
      </c>
      <c r="J501" s="34" t="s">
        <v>228</v>
      </c>
      <c r="K501" s="34" t="s">
        <v>229</v>
      </c>
      <c r="L501" s="34" t="s">
        <v>230</v>
      </c>
      <c r="M501" s="34" t="s">
        <v>237</v>
      </c>
      <c r="N501" s="34" t="str">
        <f aca="false">"Sector "&amp;VALUE(MID(D501,13,2))</f>
        <v>Sector 8</v>
      </c>
      <c r="O501" s="34" t="str">
        <f aca="false">IF(Dashboard!$C$5="Ubicación técnica",N501,"Sector "&amp;VALUE(RIGHT(G501,2)))</f>
        <v>Sector 8</v>
      </c>
      <c r="P501" s="34" t="str">
        <f aca="false">IF(MID(D501,15,3)="SEL","Subestación eléctrica","Área de proceso")</f>
        <v>Subestación eléctrica</v>
      </c>
      <c r="Q501" s="34" t="str">
        <f aca="false">MID(D501,13,5)&amp;"|"&amp;MID(D501,19,5)</f>
        <v>08SEL|SEP01</v>
      </c>
      <c r="R501" s="34" t="str">
        <f aca="false">IF(P501="Subestación eléctrica",IFERROR(INDEX(cat_SubN,MATCH(Q501,cat_SubK,0)),"SIN CATALOGAR"),"ÁREA DE PROCESO")</f>
        <v>SEP-01</v>
      </c>
      <c r="S501" s="34" t="str">
        <f aca="false">IF(H501="","SIN DATO",IFERROR(INDEX(cat_MarcaN,MATCH(H501,cat_MarcaO,0)),H501))</f>
        <v>SCHNEIDER ELECTRIC</v>
      </c>
      <c r="T501" s="34" t="str">
        <f aca="false">IF(I501="","SIN DATO",IFERROR(INDEX(cat_ModN,MATCH(I501,cat_ModO,0)),I501))</f>
        <v>P5F30</v>
      </c>
      <c r="U501" s="34" t="str">
        <f aca="false">IF(I501="","",IFERROR(INDEX(cat_ModG,MATCH(I501,cat_ModO,0)),"No"))</f>
        <v>No</v>
      </c>
      <c r="V501" s="34" t="str">
        <f aca="false">IF(J501="","SIN DATO",IFERROR(INDEX(cat_FunN,MATCH(J501,cat_FunO,0)),J501))</f>
        <v>Protección y medición</v>
      </c>
      <c r="W501" s="34" t="str">
        <f aca="false">IF(OR(S501="SIN DATO",T501="SIN DATO"),"No","Sí")</f>
        <v>Sí</v>
      </c>
    </row>
    <row r="502" customFormat="false" ht="15" hidden="false" customHeight="false" outlineLevel="0" collapsed="false">
      <c r="A502" s="34" t="s">
        <v>2016</v>
      </c>
      <c r="B502" s="34" t="s">
        <v>2017</v>
      </c>
      <c r="C502" s="34" t="s">
        <v>2018</v>
      </c>
      <c r="D502" s="34" t="s">
        <v>2005</v>
      </c>
      <c r="E502" s="34" t="s">
        <v>184</v>
      </c>
      <c r="F502" s="34" t="s">
        <v>1602</v>
      </c>
      <c r="G502" s="34" t="s">
        <v>227</v>
      </c>
      <c r="H502" s="34" t="s">
        <v>86</v>
      </c>
      <c r="I502" s="34" t="s">
        <v>88</v>
      </c>
      <c r="J502" s="34" t="s">
        <v>228</v>
      </c>
      <c r="K502" s="34" t="s">
        <v>229</v>
      </c>
      <c r="L502" s="34" t="s">
        <v>230</v>
      </c>
      <c r="M502" s="34" t="s">
        <v>237</v>
      </c>
      <c r="N502" s="34" t="str">
        <f aca="false">"Sector "&amp;VALUE(MID(D502,13,2))</f>
        <v>Sector 8</v>
      </c>
      <c r="O502" s="34" t="str">
        <f aca="false">IF(Dashboard!$C$5="Ubicación técnica",N502,"Sector "&amp;VALUE(RIGHT(G502,2)))</f>
        <v>Sector 8</v>
      </c>
      <c r="P502" s="34" t="str">
        <f aca="false">IF(MID(D502,15,3)="SEL","Subestación eléctrica","Área de proceso")</f>
        <v>Subestación eléctrica</v>
      </c>
      <c r="Q502" s="34" t="str">
        <f aca="false">MID(D502,13,5)&amp;"|"&amp;MID(D502,19,5)</f>
        <v>08SEL|SEP01</v>
      </c>
      <c r="R502" s="34" t="str">
        <f aca="false">IF(P502="Subestación eléctrica",IFERROR(INDEX(cat_SubN,MATCH(Q502,cat_SubK,0)),"SIN CATALOGAR"),"ÁREA DE PROCESO")</f>
        <v>SEP-01</v>
      </c>
      <c r="S502" s="34" t="str">
        <f aca="false">IF(H502="","SIN DATO",IFERROR(INDEX(cat_MarcaN,MATCH(H502,cat_MarcaO,0)),H502))</f>
        <v>SCHNEIDER ELECTRIC</v>
      </c>
      <c r="T502" s="34" t="str">
        <f aca="false">IF(I502="","SIN DATO",IFERROR(INDEX(cat_ModN,MATCH(I502,cat_ModO,0)),I502))</f>
        <v>P5F30</v>
      </c>
      <c r="U502" s="34" t="str">
        <f aca="false">IF(I502="","",IFERROR(INDEX(cat_ModG,MATCH(I502,cat_ModO,0)),"No"))</f>
        <v>No</v>
      </c>
      <c r="V502" s="34" t="str">
        <f aca="false">IF(J502="","SIN DATO",IFERROR(INDEX(cat_FunN,MATCH(J502,cat_FunO,0)),J502))</f>
        <v>Protección y medición</v>
      </c>
      <c r="W502" s="34" t="str">
        <f aca="false">IF(OR(S502="SIN DATO",T502="SIN DATO"),"No","Sí")</f>
        <v>Sí</v>
      </c>
    </row>
    <row r="503" customFormat="false" ht="15" hidden="false" customHeight="false" outlineLevel="0" collapsed="false">
      <c r="A503" s="34" t="s">
        <v>2019</v>
      </c>
      <c r="B503" s="34" t="s">
        <v>2020</v>
      </c>
      <c r="C503" s="34" t="s">
        <v>2021</v>
      </c>
      <c r="D503" s="34" t="s">
        <v>2005</v>
      </c>
      <c r="E503" s="34" t="s">
        <v>184</v>
      </c>
      <c r="F503" s="34" t="s">
        <v>1602</v>
      </c>
      <c r="G503" s="34" t="s">
        <v>227</v>
      </c>
      <c r="H503" s="34" t="s">
        <v>86</v>
      </c>
      <c r="I503" s="34" t="s">
        <v>88</v>
      </c>
      <c r="J503" s="34" t="s">
        <v>228</v>
      </c>
      <c r="K503" s="34" t="s">
        <v>229</v>
      </c>
      <c r="L503" s="34" t="s">
        <v>230</v>
      </c>
      <c r="M503" s="34" t="s">
        <v>237</v>
      </c>
      <c r="N503" s="34" t="str">
        <f aca="false">"Sector "&amp;VALUE(MID(D503,13,2))</f>
        <v>Sector 8</v>
      </c>
      <c r="O503" s="34" t="str">
        <f aca="false">IF(Dashboard!$C$5="Ubicación técnica",N503,"Sector "&amp;VALUE(RIGHT(G503,2)))</f>
        <v>Sector 8</v>
      </c>
      <c r="P503" s="34" t="str">
        <f aca="false">IF(MID(D503,15,3)="SEL","Subestación eléctrica","Área de proceso")</f>
        <v>Subestación eléctrica</v>
      </c>
      <c r="Q503" s="34" t="str">
        <f aca="false">MID(D503,13,5)&amp;"|"&amp;MID(D503,19,5)</f>
        <v>08SEL|SEP01</v>
      </c>
      <c r="R503" s="34" t="str">
        <f aca="false">IF(P503="Subestación eléctrica",IFERROR(INDEX(cat_SubN,MATCH(Q503,cat_SubK,0)),"SIN CATALOGAR"),"ÁREA DE PROCESO")</f>
        <v>SEP-01</v>
      </c>
      <c r="S503" s="34" t="str">
        <f aca="false">IF(H503="","SIN DATO",IFERROR(INDEX(cat_MarcaN,MATCH(H503,cat_MarcaO,0)),H503))</f>
        <v>SCHNEIDER ELECTRIC</v>
      </c>
      <c r="T503" s="34" t="str">
        <f aca="false">IF(I503="","SIN DATO",IFERROR(INDEX(cat_ModN,MATCH(I503,cat_ModO,0)),I503))</f>
        <v>P5F30</v>
      </c>
      <c r="U503" s="34" t="str">
        <f aca="false">IF(I503="","",IFERROR(INDEX(cat_ModG,MATCH(I503,cat_ModO,0)),"No"))</f>
        <v>No</v>
      </c>
      <c r="V503" s="34" t="str">
        <f aca="false">IF(J503="","SIN DATO",IFERROR(INDEX(cat_FunN,MATCH(J503,cat_FunO,0)),J503))</f>
        <v>Protección y medición</v>
      </c>
      <c r="W503" s="34" t="str">
        <f aca="false">IF(OR(S503="SIN DATO",T503="SIN DATO"),"No","Sí")</f>
        <v>Sí</v>
      </c>
    </row>
    <row r="504" customFormat="false" ht="15" hidden="false" customHeight="false" outlineLevel="0" collapsed="false">
      <c r="A504" s="34" t="s">
        <v>2022</v>
      </c>
      <c r="B504" s="34" t="s">
        <v>2023</v>
      </c>
      <c r="C504" s="34" t="s">
        <v>2024</v>
      </c>
      <c r="D504" s="34" t="s">
        <v>2005</v>
      </c>
      <c r="E504" s="34" t="s">
        <v>184</v>
      </c>
      <c r="F504" s="34" t="s">
        <v>1602</v>
      </c>
      <c r="G504" s="34" t="s">
        <v>227</v>
      </c>
      <c r="H504" s="34" t="s">
        <v>86</v>
      </c>
      <c r="I504" s="34" t="s">
        <v>88</v>
      </c>
      <c r="J504" s="34" t="s">
        <v>228</v>
      </c>
      <c r="K504" s="34" t="s">
        <v>229</v>
      </c>
      <c r="L504" s="34" t="s">
        <v>230</v>
      </c>
      <c r="M504" s="34" t="s">
        <v>237</v>
      </c>
      <c r="N504" s="34" t="str">
        <f aca="false">"Sector "&amp;VALUE(MID(D504,13,2))</f>
        <v>Sector 8</v>
      </c>
      <c r="O504" s="34" t="str">
        <f aca="false">IF(Dashboard!$C$5="Ubicación técnica",N504,"Sector "&amp;VALUE(RIGHT(G504,2)))</f>
        <v>Sector 8</v>
      </c>
      <c r="P504" s="34" t="str">
        <f aca="false">IF(MID(D504,15,3)="SEL","Subestación eléctrica","Área de proceso")</f>
        <v>Subestación eléctrica</v>
      </c>
      <c r="Q504" s="34" t="str">
        <f aca="false">MID(D504,13,5)&amp;"|"&amp;MID(D504,19,5)</f>
        <v>08SEL|SEP01</v>
      </c>
      <c r="R504" s="34" t="str">
        <f aca="false">IF(P504="Subestación eléctrica",IFERROR(INDEX(cat_SubN,MATCH(Q504,cat_SubK,0)),"SIN CATALOGAR"),"ÁREA DE PROCESO")</f>
        <v>SEP-01</v>
      </c>
      <c r="S504" s="34" t="str">
        <f aca="false">IF(H504="","SIN DATO",IFERROR(INDEX(cat_MarcaN,MATCH(H504,cat_MarcaO,0)),H504))</f>
        <v>SCHNEIDER ELECTRIC</v>
      </c>
      <c r="T504" s="34" t="str">
        <f aca="false">IF(I504="","SIN DATO",IFERROR(INDEX(cat_ModN,MATCH(I504,cat_ModO,0)),I504))</f>
        <v>P5F30</v>
      </c>
      <c r="U504" s="34" t="str">
        <f aca="false">IF(I504="","",IFERROR(INDEX(cat_ModG,MATCH(I504,cat_ModO,0)),"No"))</f>
        <v>No</v>
      </c>
      <c r="V504" s="34" t="str">
        <f aca="false">IF(J504="","SIN DATO",IFERROR(INDEX(cat_FunN,MATCH(J504,cat_FunO,0)),J504))</f>
        <v>Protección y medición</v>
      </c>
      <c r="W504" s="34" t="str">
        <f aca="false">IF(OR(S504="SIN DATO",T504="SIN DATO"),"No","Sí")</f>
        <v>Sí</v>
      </c>
    </row>
    <row r="505" customFormat="false" ht="15" hidden="false" customHeight="false" outlineLevel="0" collapsed="false">
      <c r="A505" s="34" t="s">
        <v>2025</v>
      </c>
      <c r="B505" s="34" t="s">
        <v>2026</v>
      </c>
      <c r="C505" s="34" t="s">
        <v>2027</v>
      </c>
      <c r="D505" s="34" t="s">
        <v>2028</v>
      </c>
      <c r="E505" s="34" t="s">
        <v>184</v>
      </c>
      <c r="F505" s="34" t="s">
        <v>1602</v>
      </c>
      <c r="G505" s="34" t="s">
        <v>227</v>
      </c>
      <c r="H505" s="34" t="s">
        <v>86</v>
      </c>
      <c r="I505" s="34" t="s">
        <v>88</v>
      </c>
      <c r="J505" s="34" t="s">
        <v>228</v>
      </c>
      <c r="K505" s="34" t="s">
        <v>229</v>
      </c>
      <c r="L505" s="34" t="s">
        <v>230</v>
      </c>
      <c r="M505" s="34" t="s">
        <v>237</v>
      </c>
      <c r="N505" s="34" t="str">
        <f aca="false">"Sector "&amp;VALUE(MID(D505,13,2))</f>
        <v>Sector 8</v>
      </c>
      <c r="O505" s="34" t="str">
        <f aca="false">IF(Dashboard!$C$5="Ubicación técnica",N505,"Sector "&amp;VALUE(RIGHT(G505,2)))</f>
        <v>Sector 8</v>
      </c>
      <c r="P505" s="34" t="str">
        <f aca="false">IF(MID(D505,15,3)="SEL","Subestación eléctrica","Área de proceso")</f>
        <v>Subestación eléctrica</v>
      </c>
      <c r="Q505" s="34" t="str">
        <f aca="false">MID(D505,13,5)&amp;"|"&amp;MID(D505,19,5)</f>
        <v>08SEL|SEP01</v>
      </c>
      <c r="R505" s="34" t="str">
        <f aca="false">IF(P505="Subestación eléctrica",IFERROR(INDEX(cat_SubN,MATCH(Q505,cat_SubK,0)),"SIN CATALOGAR"),"ÁREA DE PROCESO")</f>
        <v>SEP-01</v>
      </c>
      <c r="S505" s="34" t="str">
        <f aca="false">IF(H505="","SIN DATO",IFERROR(INDEX(cat_MarcaN,MATCH(H505,cat_MarcaO,0)),H505))</f>
        <v>SCHNEIDER ELECTRIC</v>
      </c>
      <c r="T505" s="34" t="str">
        <f aca="false">IF(I505="","SIN DATO",IFERROR(INDEX(cat_ModN,MATCH(I505,cat_ModO,0)),I505))</f>
        <v>P5F30</v>
      </c>
      <c r="U505" s="34" t="str">
        <f aca="false">IF(I505="","",IFERROR(INDEX(cat_ModG,MATCH(I505,cat_ModO,0)),"No"))</f>
        <v>No</v>
      </c>
      <c r="V505" s="34" t="str">
        <f aca="false">IF(J505="","SIN DATO",IFERROR(INDEX(cat_FunN,MATCH(J505,cat_FunO,0)),J505))</f>
        <v>Protección y medición</v>
      </c>
      <c r="W505" s="34" t="str">
        <f aca="false">IF(OR(S505="SIN DATO",T505="SIN DATO"),"No","Sí")</f>
        <v>Sí</v>
      </c>
    </row>
    <row r="506" customFormat="false" ht="15" hidden="false" customHeight="false" outlineLevel="0" collapsed="false">
      <c r="A506" s="34" t="s">
        <v>2029</v>
      </c>
      <c r="B506" s="34" t="s">
        <v>2030</v>
      </c>
      <c r="C506" s="34" t="s">
        <v>2031</v>
      </c>
      <c r="D506" s="34" t="s">
        <v>2005</v>
      </c>
      <c r="E506" s="34" t="s">
        <v>184</v>
      </c>
      <c r="F506" s="34" t="s">
        <v>1602</v>
      </c>
      <c r="G506" s="34" t="s">
        <v>227</v>
      </c>
      <c r="H506" s="34" t="s">
        <v>1358</v>
      </c>
      <c r="I506" s="34" t="s">
        <v>72</v>
      </c>
      <c r="J506" s="34" t="s">
        <v>228</v>
      </c>
      <c r="K506" s="34" t="s">
        <v>229</v>
      </c>
      <c r="L506" s="34" t="s">
        <v>230</v>
      </c>
      <c r="M506" s="34" t="s">
        <v>237</v>
      </c>
      <c r="N506" s="34" t="str">
        <f aca="false">"Sector "&amp;VALUE(MID(D506,13,2))</f>
        <v>Sector 8</v>
      </c>
      <c r="O506" s="34" t="str">
        <f aca="false">IF(Dashboard!$C$5="Ubicación técnica",N506,"Sector "&amp;VALUE(RIGHT(G506,2)))</f>
        <v>Sector 8</v>
      </c>
      <c r="P506" s="34" t="str">
        <f aca="false">IF(MID(D506,15,3)="SEL","Subestación eléctrica","Área de proceso")</f>
        <v>Subestación eléctrica</v>
      </c>
      <c r="Q506" s="34" t="str">
        <f aca="false">MID(D506,13,5)&amp;"|"&amp;MID(D506,19,5)</f>
        <v>08SEL|SEP01</v>
      </c>
      <c r="R506" s="34" t="str">
        <f aca="false">IF(P506="Subestación eléctrica",IFERROR(INDEX(cat_SubN,MATCH(Q506,cat_SubK,0)),"SIN CATALOGAR"),"ÁREA DE PROCESO")</f>
        <v>SEP-01</v>
      </c>
      <c r="S506" s="34" t="str">
        <f aca="false">IF(H506="","SIN DATO",IFERROR(INDEX(cat_MarcaN,MATCH(H506,cat_MarcaO,0)),H506))</f>
        <v>GENERAL ELECTRIC</v>
      </c>
      <c r="T506" s="34" t="str">
        <f aca="false">IF(I506="","SIN DATO",IFERROR(INDEX(cat_ModN,MATCH(I506,cat_ModO,0)),I506))</f>
        <v>MULTILIN 845</v>
      </c>
      <c r="U506" s="34" t="str">
        <f aca="false">IF(I506="","",IFERROR(INDEX(cat_ModG,MATCH(I506,cat_ModO,0)),"No"))</f>
        <v>No</v>
      </c>
      <c r="V506" s="34" t="str">
        <f aca="false">IF(J506="","SIN DATO",IFERROR(INDEX(cat_FunN,MATCH(J506,cat_FunO,0)),J506))</f>
        <v>Protección y medición</v>
      </c>
      <c r="W506" s="34" t="str">
        <f aca="false">IF(OR(S506="SIN DATO",T506="SIN DATO"),"No","Sí")</f>
        <v>Sí</v>
      </c>
    </row>
    <row r="507" customFormat="false" ht="15" hidden="false" customHeight="false" outlineLevel="0" collapsed="false">
      <c r="A507" s="34" t="s">
        <v>2032</v>
      </c>
      <c r="B507" s="34" t="s">
        <v>2033</v>
      </c>
      <c r="C507" s="34" t="s">
        <v>2034</v>
      </c>
      <c r="D507" s="34" t="s">
        <v>2012</v>
      </c>
      <c r="E507" s="34" t="s">
        <v>184</v>
      </c>
      <c r="F507" s="34" t="s">
        <v>1602</v>
      </c>
      <c r="G507" s="34" t="s">
        <v>227</v>
      </c>
      <c r="H507" s="34" t="s">
        <v>86</v>
      </c>
      <c r="I507" s="34" t="s">
        <v>88</v>
      </c>
      <c r="J507" s="34" t="s">
        <v>228</v>
      </c>
      <c r="K507" s="34" t="s">
        <v>229</v>
      </c>
      <c r="L507" s="34" t="s">
        <v>230</v>
      </c>
      <c r="M507" s="34" t="s">
        <v>237</v>
      </c>
      <c r="N507" s="34" t="str">
        <f aca="false">"Sector "&amp;VALUE(MID(D507,13,2))</f>
        <v>Sector 8</v>
      </c>
      <c r="O507" s="34" t="str">
        <f aca="false">IF(Dashboard!$C$5="Ubicación técnica",N507,"Sector "&amp;VALUE(RIGHT(G507,2)))</f>
        <v>Sector 8</v>
      </c>
      <c r="P507" s="34" t="str">
        <f aca="false">IF(MID(D507,15,3)="SEL","Subestación eléctrica","Área de proceso")</f>
        <v>Subestación eléctrica</v>
      </c>
      <c r="Q507" s="34" t="str">
        <f aca="false">MID(D507,13,5)&amp;"|"&amp;MID(D507,19,5)</f>
        <v>08SEL|SEP01</v>
      </c>
      <c r="R507" s="34" t="str">
        <f aca="false">IF(P507="Subestación eléctrica",IFERROR(INDEX(cat_SubN,MATCH(Q507,cat_SubK,0)),"SIN CATALOGAR"),"ÁREA DE PROCESO")</f>
        <v>SEP-01</v>
      </c>
      <c r="S507" s="34" t="str">
        <f aca="false">IF(H507="","SIN DATO",IFERROR(INDEX(cat_MarcaN,MATCH(H507,cat_MarcaO,0)),H507))</f>
        <v>SCHNEIDER ELECTRIC</v>
      </c>
      <c r="T507" s="34" t="str">
        <f aca="false">IF(I507="","SIN DATO",IFERROR(INDEX(cat_ModN,MATCH(I507,cat_ModO,0)),I507))</f>
        <v>P5F30</v>
      </c>
      <c r="U507" s="34" t="str">
        <f aca="false">IF(I507="","",IFERROR(INDEX(cat_ModG,MATCH(I507,cat_ModO,0)),"No"))</f>
        <v>No</v>
      </c>
      <c r="V507" s="34" t="str">
        <f aca="false">IF(J507="","SIN DATO",IFERROR(INDEX(cat_FunN,MATCH(J507,cat_FunO,0)),J507))</f>
        <v>Protección y medición</v>
      </c>
      <c r="W507" s="34" t="str">
        <f aca="false">IF(OR(S507="SIN DATO",T507="SIN DATO"),"No","Sí")</f>
        <v>Sí</v>
      </c>
    </row>
    <row r="508" customFormat="false" ht="15" hidden="false" customHeight="false" outlineLevel="0" collapsed="false">
      <c r="A508" s="34" t="s">
        <v>2035</v>
      </c>
      <c r="B508" s="34" t="s">
        <v>2036</v>
      </c>
      <c r="C508" s="34" t="s">
        <v>2037</v>
      </c>
      <c r="D508" s="34" t="s">
        <v>2012</v>
      </c>
      <c r="E508" s="34" t="s">
        <v>184</v>
      </c>
      <c r="F508" s="34" t="s">
        <v>1602</v>
      </c>
      <c r="G508" s="34" t="s">
        <v>227</v>
      </c>
      <c r="H508" s="34" t="s">
        <v>86</v>
      </c>
      <c r="I508" s="34" t="s">
        <v>88</v>
      </c>
      <c r="J508" s="34" t="s">
        <v>228</v>
      </c>
      <c r="K508" s="34" t="s">
        <v>229</v>
      </c>
      <c r="L508" s="34" t="s">
        <v>230</v>
      </c>
      <c r="M508" s="34" t="s">
        <v>237</v>
      </c>
      <c r="N508" s="34" t="str">
        <f aca="false">"Sector "&amp;VALUE(MID(D508,13,2))</f>
        <v>Sector 8</v>
      </c>
      <c r="O508" s="34" t="str">
        <f aca="false">IF(Dashboard!$C$5="Ubicación técnica",N508,"Sector "&amp;VALUE(RIGHT(G508,2)))</f>
        <v>Sector 8</v>
      </c>
      <c r="P508" s="34" t="str">
        <f aca="false">IF(MID(D508,15,3)="SEL","Subestación eléctrica","Área de proceso")</f>
        <v>Subestación eléctrica</v>
      </c>
      <c r="Q508" s="34" t="str">
        <f aca="false">MID(D508,13,5)&amp;"|"&amp;MID(D508,19,5)</f>
        <v>08SEL|SEP01</v>
      </c>
      <c r="R508" s="34" t="str">
        <f aca="false">IF(P508="Subestación eléctrica",IFERROR(INDEX(cat_SubN,MATCH(Q508,cat_SubK,0)),"SIN CATALOGAR"),"ÁREA DE PROCESO")</f>
        <v>SEP-01</v>
      </c>
      <c r="S508" s="34" t="str">
        <f aca="false">IF(H508="","SIN DATO",IFERROR(INDEX(cat_MarcaN,MATCH(H508,cat_MarcaO,0)),H508))</f>
        <v>SCHNEIDER ELECTRIC</v>
      </c>
      <c r="T508" s="34" t="str">
        <f aca="false">IF(I508="","SIN DATO",IFERROR(INDEX(cat_ModN,MATCH(I508,cat_ModO,0)),I508))</f>
        <v>P5F30</v>
      </c>
      <c r="U508" s="34" t="str">
        <f aca="false">IF(I508="","",IFERROR(INDEX(cat_ModG,MATCH(I508,cat_ModO,0)),"No"))</f>
        <v>No</v>
      </c>
      <c r="V508" s="34" t="str">
        <f aca="false">IF(J508="","SIN DATO",IFERROR(INDEX(cat_FunN,MATCH(J508,cat_FunO,0)),J508))</f>
        <v>Protección y medición</v>
      </c>
      <c r="W508" s="34" t="str">
        <f aca="false">IF(OR(S508="SIN DATO",T508="SIN DATO"),"No","Sí")</f>
        <v>Sí</v>
      </c>
    </row>
    <row r="509" customFormat="false" ht="15" hidden="false" customHeight="false" outlineLevel="0" collapsed="false">
      <c r="A509" s="34" t="s">
        <v>2038</v>
      </c>
      <c r="B509" s="34" t="s">
        <v>2039</v>
      </c>
      <c r="C509" s="34" t="s">
        <v>2040</v>
      </c>
      <c r="D509" s="34" t="s">
        <v>2041</v>
      </c>
      <c r="E509" s="34" t="s">
        <v>184</v>
      </c>
      <c r="F509" s="34" t="s">
        <v>1602</v>
      </c>
      <c r="G509" s="34" t="s">
        <v>227</v>
      </c>
      <c r="H509" s="34" t="s">
        <v>34</v>
      </c>
      <c r="I509" s="34" t="s">
        <v>41</v>
      </c>
      <c r="J509" s="34" t="s">
        <v>228</v>
      </c>
      <c r="K509" s="34" t="s">
        <v>229</v>
      </c>
      <c r="L509" s="34" t="s">
        <v>230</v>
      </c>
      <c r="M509" s="34" t="s">
        <v>1663</v>
      </c>
      <c r="N509" s="34" t="str">
        <f aca="false">"Sector "&amp;VALUE(MID(D509,13,2))</f>
        <v>Sector 8</v>
      </c>
      <c r="O509" s="34" t="str">
        <f aca="false">IF(Dashboard!$C$5="Ubicación técnica",N509,"Sector "&amp;VALUE(RIGHT(G509,2)))</f>
        <v>Sector 8</v>
      </c>
      <c r="P509" s="34" t="str">
        <f aca="false">IF(MID(D509,15,3)="SEL","Subestación eléctrica","Área de proceso")</f>
        <v>Área de proceso</v>
      </c>
      <c r="Q509" s="34" t="str">
        <f aca="false">MID(D509,13,5)&amp;"|"&amp;MID(D509,19,5)</f>
        <v>08COG|SCOND</v>
      </c>
      <c r="R509" s="34" t="str">
        <f aca="false">IF(P509="Subestación eléctrica",IFERROR(INDEX(cat_SubN,MATCH(Q509,cat_SubK,0)),"SIN CATALOGAR"),"ÁREA DE PROCESO")</f>
        <v>ÁREA DE PROCESO</v>
      </c>
      <c r="S509" s="34" t="str">
        <f aca="false">IF(H509="","SIN DATO",IFERROR(INDEX(cat_MarcaN,MATCH(H509,cat_MarcaO,0)),H509))</f>
        <v>ABB</v>
      </c>
      <c r="T509" s="34" t="str">
        <f aca="false">IF(I509="","SIN DATO",IFERROR(INDEX(cat_ModN,MATCH(I509,cat_ModO,0)),I509))</f>
        <v>REM615A_1G</v>
      </c>
      <c r="U509" s="34" t="str">
        <f aca="false">IF(I509="","",IFERROR(INDEX(cat_ModG,MATCH(I509,cat_ModO,0)),"No"))</f>
        <v>No</v>
      </c>
      <c r="V509" s="34" t="str">
        <f aca="false">IF(J509="","SIN DATO",IFERROR(INDEX(cat_FunN,MATCH(J509,cat_FunO,0)),J509))</f>
        <v>Protección y medición</v>
      </c>
      <c r="W509" s="34" t="str">
        <f aca="false">IF(OR(S509="SIN DATO",T509="SIN DATO"),"No","Sí")</f>
        <v>Sí</v>
      </c>
    </row>
    <row r="510" customFormat="false" ht="15" hidden="false" customHeight="false" outlineLevel="0" collapsed="false">
      <c r="A510" s="34" t="s">
        <v>2042</v>
      </c>
      <c r="B510" s="34" t="s">
        <v>2043</v>
      </c>
      <c r="C510" s="34" t="s">
        <v>2044</v>
      </c>
      <c r="D510" s="34" t="s">
        <v>2041</v>
      </c>
      <c r="E510" s="34" t="s">
        <v>184</v>
      </c>
      <c r="F510" s="34" t="s">
        <v>1602</v>
      </c>
      <c r="G510" s="34" t="s">
        <v>227</v>
      </c>
      <c r="H510" s="34" t="s">
        <v>55</v>
      </c>
      <c r="I510" s="34" t="s">
        <v>57</v>
      </c>
      <c r="J510" s="34" t="s">
        <v>58</v>
      </c>
      <c r="K510" s="34" t="s">
        <v>229</v>
      </c>
      <c r="L510" s="34" t="s">
        <v>230</v>
      </c>
      <c r="M510" s="34" t="s">
        <v>237</v>
      </c>
      <c r="N510" s="34" t="str">
        <f aca="false">"Sector "&amp;VALUE(MID(D510,13,2))</f>
        <v>Sector 8</v>
      </c>
      <c r="O510" s="34" t="str">
        <f aca="false">IF(Dashboard!$C$5="Ubicación técnica",N510,"Sector "&amp;VALUE(RIGHT(G510,2)))</f>
        <v>Sector 8</v>
      </c>
      <c r="P510" s="34" t="str">
        <f aca="false">IF(MID(D510,15,3)="SEL","Subestación eléctrica","Área de proceso")</f>
        <v>Área de proceso</v>
      </c>
      <c r="Q510" s="34" t="str">
        <f aca="false">MID(D510,13,5)&amp;"|"&amp;MID(D510,19,5)</f>
        <v>08COG|SCOND</v>
      </c>
      <c r="R510" s="34" t="str">
        <f aca="false">IF(P510="Subestación eléctrica",IFERROR(INDEX(cat_SubN,MATCH(Q510,cat_SubK,0)),"SIN CATALOGAR"),"ÁREA DE PROCESO")</f>
        <v>ÁREA DE PROCESO</v>
      </c>
      <c r="S510" s="34" t="str">
        <f aca="false">IF(H510="","SIN DATO",IFERROR(INDEX(cat_MarcaN,MATCH(H510,cat_MarcaO,0)),H510))</f>
        <v>SEL</v>
      </c>
      <c r="T510" s="34" t="str">
        <f aca="false">IF(I510="","SIN DATO",IFERROR(INDEX(cat_ModN,MATCH(I510,cat_ModO,0)),I510))</f>
        <v>SEL-735</v>
      </c>
      <c r="U510" s="34" t="str">
        <f aca="false">IF(I510="","",IFERROR(INDEX(cat_ModG,MATCH(I510,cat_ModO,0)),"No"))</f>
        <v>No</v>
      </c>
      <c r="V510" s="34" t="str">
        <f aca="false">IF(J510="","SIN DATO",IFERROR(INDEX(cat_FunN,MATCH(J510,cat_FunO,0)),J510))</f>
        <v>Medición</v>
      </c>
      <c r="W510" s="34" t="str">
        <f aca="false">IF(OR(S510="SIN DATO",T510="SIN DATO"),"No","Sí")</f>
        <v>Sí</v>
      </c>
    </row>
    <row r="511" customFormat="false" ht="15" hidden="false" customHeight="false" outlineLevel="0" collapsed="false">
      <c r="A511" s="34" t="s">
        <v>2045</v>
      </c>
      <c r="B511" s="34" t="s">
        <v>2046</v>
      </c>
      <c r="C511" s="34" t="s">
        <v>2047</v>
      </c>
      <c r="D511" s="34" t="s">
        <v>2048</v>
      </c>
      <c r="E511" s="34" t="s">
        <v>184</v>
      </c>
      <c r="F511" s="34" t="s">
        <v>1602</v>
      </c>
      <c r="G511" s="34" t="s">
        <v>227</v>
      </c>
      <c r="H511" s="34" t="s">
        <v>34</v>
      </c>
      <c r="I511" s="34" t="s">
        <v>41</v>
      </c>
      <c r="J511" s="34" t="s">
        <v>228</v>
      </c>
      <c r="K511" s="34" t="s">
        <v>229</v>
      </c>
      <c r="L511" s="34" t="s">
        <v>230</v>
      </c>
      <c r="M511" s="34" t="s">
        <v>1663</v>
      </c>
      <c r="N511" s="34" t="str">
        <f aca="false">"Sector "&amp;VALUE(MID(D511,13,2))</f>
        <v>Sector 8</v>
      </c>
      <c r="O511" s="34" t="str">
        <f aca="false">IF(Dashboard!$C$5="Ubicación técnica",N511,"Sector "&amp;VALUE(RIGHT(G511,2)))</f>
        <v>Sector 8</v>
      </c>
      <c r="P511" s="34" t="str">
        <f aca="false">IF(MID(D511,15,3)="SEL","Subestación eléctrica","Área de proceso")</f>
        <v>Área de proceso</v>
      </c>
      <c r="Q511" s="34" t="str">
        <f aca="false">MID(D511,13,5)&amp;"|"&amp;MID(D511,19,5)</f>
        <v>08COG|SCOND</v>
      </c>
      <c r="R511" s="34" t="str">
        <f aca="false">IF(P511="Subestación eléctrica",IFERROR(INDEX(cat_SubN,MATCH(Q511,cat_SubK,0)),"SIN CATALOGAR"),"ÁREA DE PROCESO")</f>
        <v>ÁREA DE PROCESO</v>
      </c>
      <c r="S511" s="34" t="str">
        <f aca="false">IF(H511="","SIN DATO",IFERROR(INDEX(cat_MarcaN,MATCH(H511,cat_MarcaO,0)),H511))</f>
        <v>ABB</v>
      </c>
      <c r="T511" s="34" t="str">
        <f aca="false">IF(I511="","SIN DATO",IFERROR(INDEX(cat_ModN,MATCH(I511,cat_ModO,0)),I511))</f>
        <v>REM615A_1G</v>
      </c>
      <c r="U511" s="34" t="str">
        <f aca="false">IF(I511="","",IFERROR(INDEX(cat_ModG,MATCH(I511,cat_ModO,0)),"No"))</f>
        <v>No</v>
      </c>
      <c r="V511" s="34" t="str">
        <f aca="false">IF(J511="","SIN DATO",IFERROR(INDEX(cat_FunN,MATCH(J511,cat_FunO,0)),J511))</f>
        <v>Protección y medición</v>
      </c>
      <c r="W511" s="34" t="str">
        <f aca="false">IF(OR(S511="SIN DATO",T511="SIN DATO"),"No","Sí")</f>
        <v>Sí</v>
      </c>
    </row>
    <row r="512" customFormat="false" ht="15" hidden="false" customHeight="false" outlineLevel="0" collapsed="false">
      <c r="A512" s="34" t="s">
        <v>2049</v>
      </c>
      <c r="B512" s="34" t="s">
        <v>2050</v>
      </c>
      <c r="C512" s="34" t="s">
        <v>2051</v>
      </c>
      <c r="D512" s="34" t="s">
        <v>2048</v>
      </c>
      <c r="E512" s="34" t="s">
        <v>184</v>
      </c>
      <c r="F512" s="34" t="s">
        <v>1602</v>
      </c>
      <c r="G512" s="34" t="s">
        <v>227</v>
      </c>
      <c r="H512" s="34" t="s">
        <v>55</v>
      </c>
      <c r="I512" s="34" t="s">
        <v>57</v>
      </c>
      <c r="J512" s="34" t="s">
        <v>58</v>
      </c>
      <c r="K512" s="34" t="s">
        <v>229</v>
      </c>
      <c r="L512" s="34" t="s">
        <v>230</v>
      </c>
      <c r="M512" s="34" t="s">
        <v>237</v>
      </c>
      <c r="N512" s="34" t="str">
        <f aca="false">"Sector "&amp;VALUE(MID(D512,13,2))</f>
        <v>Sector 8</v>
      </c>
      <c r="O512" s="34" t="str">
        <f aca="false">IF(Dashboard!$C$5="Ubicación técnica",N512,"Sector "&amp;VALUE(RIGHT(G512,2)))</f>
        <v>Sector 8</v>
      </c>
      <c r="P512" s="34" t="str">
        <f aca="false">IF(MID(D512,15,3)="SEL","Subestación eléctrica","Área de proceso")</f>
        <v>Área de proceso</v>
      </c>
      <c r="Q512" s="34" t="str">
        <f aca="false">MID(D512,13,5)&amp;"|"&amp;MID(D512,19,5)</f>
        <v>08COG|SCOND</v>
      </c>
      <c r="R512" s="34" t="str">
        <f aca="false">IF(P512="Subestación eléctrica",IFERROR(INDEX(cat_SubN,MATCH(Q512,cat_SubK,0)),"SIN CATALOGAR"),"ÁREA DE PROCESO")</f>
        <v>ÁREA DE PROCESO</v>
      </c>
      <c r="S512" s="34" t="str">
        <f aca="false">IF(H512="","SIN DATO",IFERROR(INDEX(cat_MarcaN,MATCH(H512,cat_MarcaO,0)),H512))</f>
        <v>SEL</v>
      </c>
      <c r="T512" s="34" t="str">
        <f aca="false">IF(I512="","SIN DATO",IFERROR(INDEX(cat_ModN,MATCH(I512,cat_ModO,0)),I512))</f>
        <v>SEL-735</v>
      </c>
      <c r="U512" s="34" t="str">
        <f aca="false">IF(I512="","",IFERROR(INDEX(cat_ModG,MATCH(I512,cat_ModO,0)),"No"))</f>
        <v>No</v>
      </c>
      <c r="V512" s="34" t="str">
        <f aca="false">IF(J512="","SIN DATO",IFERROR(INDEX(cat_FunN,MATCH(J512,cat_FunO,0)),J512))</f>
        <v>Medición</v>
      </c>
      <c r="W512" s="34" t="str">
        <f aca="false">IF(OR(S512="SIN DATO",T512="SIN DATO"),"No","Sí")</f>
        <v>Sí</v>
      </c>
    </row>
    <row r="513" customFormat="false" ht="15" hidden="false" customHeight="false" outlineLevel="0" collapsed="false">
      <c r="A513" s="34" t="s">
        <v>2052</v>
      </c>
      <c r="B513" s="34" t="s">
        <v>2053</v>
      </c>
      <c r="C513" s="34" t="s">
        <v>2054</v>
      </c>
      <c r="D513" s="34" t="s">
        <v>2055</v>
      </c>
      <c r="E513" s="34" t="s">
        <v>184</v>
      </c>
      <c r="F513" s="34" t="s">
        <v>1602</v>
      </c>
      <c r="G513" s="34" t="s">
        <v>227</v>
      </c>
      <c r="H513" s="34" t="s">
        <v>34</v>
      </c>
      <c r="I513" s="34" t="s">
        <v>41</v>
      </c>
      <c r="J513" s="34" t="s">
        <v>228</v>
      </c>
      <c r="K513" s="34" t="s">
        <v>229</v>
      </c>
      <c r="L513" s="34" t="s">
        <v>230</v>
      </c>
      <c r="M513" s="34" t="s">
        <v>1663</v>
      </c>
      <c r="N513" s="34" t="str">
        <f aca="false">"Sector "&amp;VALUE(MID(D513,13,2))</f>
        <v>Sector 8</v>
      </c>
      <c r="O513" s="34" t="str">
        <f aca="false">IF(Dashboard!$C$5="Ubicación técnica",N513,"Sector "&amp;VALUE(RIGHT(G513,2)))</f>
        <v>Sector 8</v>
      </c>
      <c r="P513" s="34" t="str">
        <f aca="false">IF(MID(D513,15,3)="SEL","Subestación eléctrica","Área de proceso")</f>
        <v>Área de proceso</v>
      </c>
      <c r="Q513" s="34" t="str">
        <f aca="false">MID(D513,13,5)&amp;"|"&amp;MID(D513,19,5)</f>
        <v>08COG|SCOND</v>
      </c>
      <c r="R513" s="34" t="str">
        <f aca="false">IF(P513="Subestación eléctrica",IFERROR(INDEX(cat_SubN,MATCH(Q513,cat_SubK,0)),"SIN CATALOGAR"),"ÁREA DE PROCESO")</f>
        <v>ÁREA DE PROCESO</v>
      </c>
      <c r="S513" s="34" t="str">
        <f aca="false">IF(H513="","SIN DATO",IFERROR(INDEX(cat_MarcaN,MATCH(H513,cat_MarcaO,0)),H513))</f>
        <v>ABB</v>
      </c>
      <c r="T513" s="34" t="str">
        <f aca="false">IF(I513="","SIN DATO",IFERROR(INDEX(cat_ModN,MATCH(I513,cat_ModO,0)),I513))</f>
        <v>REM615A_1G</v>
      </c>
      <c r="U513" s="34" t="str">
        <f aca="false">IF(I513="","",IFERROR(INDEX(cat_ModG,MATCH(I513,cat_ModO,0)),"No"))</f>
        <v>No</v>
      </c>
      <c r="V513" s="34" t="str">
        <f aca="false">IF(J513="","SIN DATO",IFERROR(INDEX(cat_FunN,MATCH(J513,cat_FunO,0)),J513))</f>
        <v>Protección y medición</v>
      </c>
      <c r="W513" s="34" t="str">
        <f aca="false">IF(OR(S513="SIN DATO",T513="SIN DATO"),"No","Sí")</f>
        <v>Sí</v>
      </c>
    </row>
    <row r="514" customFormat="false" ht="15" hidden="false" customHeight="false" outlineLevel="0" collapsed="false">
      <c r="A514" s="34" t="s">
        <v>2056</v>
      </c>
      <c r="B514" s="34" t="s">
        <v>2057</v>
      </c>
      <c r="C514" s="34" t="s">
        <v>2058</v>
      </c>
      <c r="D514" s="34" t="s">
        <v>2055</v>
      </c>
      <c r="E514" s="34" t="s">
        <v>184</v>
      </c>
      <c r="F514" s="34" t="s">
        <v>1602</v>
      </c>
      <c r="G514" s="34" t="s">
        <v>227</v>
      </c>
      <c r="H514" s="34" t="s">
        <v>55</v>
      </c>
      <c r="I514" s="34" t="s">
        <v>57</v>
      </c>
      <c r="J514" s="34" t="s">
        <v>58</v>
      </c>
      <c r="K514" s="34" t="s">
        <v>229</v>
      </c>
      <c r="L514" s="34" t="s">
        <v>230</v>
      </c>
      <c r="M514" s="34" t="s">
        <v>237</v>
      </c>
      <c r="N514" s="34" t="str">
        <f aca="false">"Sector "&amp;VALUE(MID(D514,13,2))</f>
        <v>Sector 8</v>
      </c>
      <c r="O514" s="34" t="str">
        <f aca="false">IF(Dashboard!$C$5="Ubicación técnica",N514,"Sector "&amp;VALUE(RIGHT(G514,2)))</f>
        <v>Sector 8</v>
      </c>
      <c r="P514" s="34" t="str">
        <f aca="false">IF(MID(D514,15,3)="SEL","Subestación eléctrica","Área de proceso")</f>
        <v>Área de proceso</v>
      </c>
      <c r="Q514" s="34" t="str">
        <f aca="false">MID(D514,13,5)&amp;"|"&amp;MID(D514,19,5)</f>
        <v>08COG|SCOND</v>
      </c>
      <c r="R514" s="34" t="str">
        <f aca="false">IF(P514="Subestación eléctrica",IFERROR(INDEX(cat_SubN,MATCH(Q514,cat_SubK,0)),"SIN CATALOGAR"),"ÁREA DE PROCESO")</f>
        <v>ÁREA DE PROCESO</v>
      </c>
      <c r="S514" s="34" t="str">
        <f aca="false">IF(H514="","SIN DATO",IFERROR(INDEX(cat_MarcaN,MATCH(H514,cat_MarcaO,0)),H514))</f>
        <v>SEL</v>
      </c>
      <c r="T514" s="34" t="str">
        <f aca="false">IF(I514="","SIN DATO",IFERROR(INDEX(cat_ModN,MATCH(I514,cat_ModO,0)),I514))</f>
        <v>SEL-735</v>
      </c>
      <c r="U514" s="34" t="str">
        <f aca="false">IF(I514="","",IFERROR(INDEX(cat_ModG,MATCH(I514,cat_ModO,0)),"No"))</f>
        <v>No</v>
      </c>
      <c r="V514" s="34" t="str">
        <f aca="false">IF(J514="","SIN DATO",IFERROR(INDEX(cat_FunN,MATCH(J514,cat_FunO,0)),J514))</f>
        <v>Medición</v>
      </c>
      <c r="W514" s="34" t="str">
        <f aca="false">IF(OR(S514="SIN DATO",T514="SIN DATO"),"No","Sí")</f>
        <v>Sí</v>
      </c>
    </row>
    <row r="515" customFormat="false" ht="15" hidden="false" customHeight="false" outlineLevel="0" collapsed="false">
      <c r="A515" s="34" t="s">
        <v>2059</v>
      </c>
      <c r="B515" s="34" t="s">
        <v>2060</v>
      </c>
      <c r="C515" s="34" t="s">
        <v>2061</v>
      </c>
      <c r="D515" s="34" t="s">
        <v>2062</v>
      </c>
      <c r="E515" s="34" t="s">
        <v>184</v>
      </c>
      <c r="F515" s="34" t="s">
        <v>1602</v>
      </c>
      <c r="G515" s="34" t="s">
        <v>227</v>
      </c>
      <c r="H515" s="34" t="s">
        <v>34</v>
      </c>
      <c r="I515" s="34" t="s">
        <v>41</v>
      </c>
      <c r="J515" s="34" t="s">
        <v>228</v>
      </c>
      <c r="K515" s="34" t="s">
        <v>229</v>
      </c>
      <c r="L515" s="34" t="s">
        <v>230</v>
      </c>
      <c r="M515" s="34" t="s">
        <v>1663</v>
      </c>
      <c r="N515" s="34" t="str">
        <f aca="false">"Sector "&amp;VALUE(MID(D515,13,2))</f>
        <v>Sector 8</v>
      </c>
      <c r="O515" s="34" t="str">
        <f aca="false">IF(Dashboard!$C$5="Ubicación técnica",N515,"Sector "&amp;VALUE(RIGHT(G515,2)))</f>
        <v>Sector 8</v>
      </c>
      <c r="P515" s="34" t="str">
        <f aca="false">IF(MID(D515,15,3)="SEL","Subestación eléctrica","Área de proceso")</f>
        <v>Área de proceso</v>
      </c>
      <c r="Q515" s="34" t="str">
        <f aca="false">MID(D515,13,5)&amp;"|"&amp;MID(D515,19,5)</f>
        <v>08COG|SAGAL</v>
      </c>
      <c r="R515" s="34" t="str">
        <f aca="false">IF(P515="Subestación eléctrica",IFERROR(INDEX(cat_SubN,MATCH(Q515,cat_SubK,0)),"SIN CATALOGAR"),"ÁREA DE PROCESO")</f>
        <v>ÁREA DE PROCESO</v>
      </c>
      <c r="S515" s="34" t="str">
        <f aca="false">IF(H515="","SIN DATO",IFERROR(INDEX(cat_MarcaN,MATCH(H515,cat_MarcaO,0)),H515))</f>
        <v>ABB</v>
      </c>
      <c r="T515" s="34" t="str">
        <f aca="false">IF(I515="","SIN DATO",IFERROR(INDEX(cat_ModN,MATCH(I515,cat_ModO,0)),I515))</f>
        <v>REM615A_1G</v>
      </c>
      <c r="U515" s="34" t="str">
        <f aca="false">IF(I515="","",IFERROR(INDEX(cat_ModG,MATCH(I515,cat_ModO,0)),"No"))</f>
        <v>No</v>
      </c>
      <c r="V515" s="34" t="str">
        <f aca="false">IF(J515="","SIN DATO",IFERROR(INDEX(cat_FunN,MATCH(J515,cat_FunO,0)),J515))</f>
        <v>Protección y medición</v>
      </c>
      <c r="W515" s="34" t="str">
        <f aca="false">IF(OR(S515="SIN DATO",T515="SIN DATO"),"No","Sí")</f>
        <v>Sí</v>
      </c>
    </row>
    <row r="516" customFormat="false" ht="15" hidden="false" customHeight="false" outlineLevel="0" collapsed="false">
      <c r="A516" s="34" t="s">
        <v>2063</v>
      </c>
      <c r="B516" s="34" t="s">
        <v>2064</v>
      </c>
      <c r="C516" s="34" t="s">
        <v>2065</v>
      </c>
      <c r="D516" s="34" t="s">
        <v>2062</v>
      </c>
      <c r="E516" s="34" t="s">
        <v>184</v>
      </c>
      <c r="F516" s="34" t="s">
        <v>1602</v>
      </c>
      <c r="G516" s="34" t="s">
        <v>227</v>
      </c>
      <c r="H516" s="34" t="s">
        <v>55</v>
      </c>
      <c r="I516" s="34" t="s">
        <v>57</v>
      </c>
      <c r="J516" s="34" t="s">
        <v>58</v>
      </c>
      <c r="K516" s="34" t="s">
        <v>229</v>
      </c>
      <c r="L516" s="34" t="s">
        <v>230</v>
      </c>
      <c r="M516" s="34" t="s">
        <v>237</v>
      </c>
      <c r="N516" s="34" t="str">
        <f aca="false">"Sector "&amp;VALUE(MID(D516,13,2))</f>
        <v>Sector 8</v>
      </c>
      <c r="O516" s="34" t="str">
        <f aca="false">IF(Dashboard!$C$5="Ubicación técnica",N516,"Sector "&amp;VALUE(RIGHT(G516,2)))</f>
        <v>Sector 8</v>
      </c>
      <c r="P516" s="34" t="str">
        <f aca="false">IF(MID(D516,15,3)="SEL","Subestación eléctrica","Área de proceso")</f>
        <v>Área de proceso</v>
      </c>
      <c r="Q516" s="34" t="str">
        <f aca="false">MID(D516,13,5)&amp;"|"&amp;MID(D516,19,5)</f>
        <v>08COG|SAGAL</v>
      </c>
      <c r="R516" s="34" t="str">
        <f aca="false">IF(P516="Subestación eléctrica",IFERROR(INDEX(cat_SubN,MATCH(Q516,cat_SubK,0)),"SIN CATALOGAR"),"ÁREA DE PROCESO")</f>
        <v>ÁREA DE PROCESO</v>
      </c>
      <c r="S516" s="34" t="str">
        <f aca="false">IF(H516="","SIN DATO",IFERROR(INDEX(cat_MarcaN,MATCH(H516,cat_MarcaO,0)),H516))</f>
        <v>SEL</v>
      </c>
      <c r="T516" s="34" t="str">
        <f aca="false">IF(I516="","SIN DATO",IFERROR(INDEX(cat_ModN,MATCH(I516,cat_ModO,0)),I516))</f>
        <v>SEL-735</v>
      </c>
      <c r="U516" s="34" t="str">
        <f aca="false">IF(I516="","",IFERROR(INDEX(cat_ModG,MATCH(I516,cat_ModO,0)),"No"))</f>
        <v>No</v>
      </c>
      <c r="V516" s="34" t="str">
        <f aca="false">IF(J516="","SIN DATO",IFERROR(INDEX(cat_FunN,MATCH(J516,cat_FunO,0)),J516))</f>
        <v>Medición</v>
      </c>
      <c r="W516" s="34" t="str">
        <f aca="false">IF(OR(S516="SIN DATO",T516="SIN DATO"),"No","Sí")</f>
        <v>Sí</v>
      </c>
    </row>
    <row r="517" customFormat="false" ht="15" hidden="false" customHeight="false" outlineLevel="0" collapsed="false">
      <c r="A517" s="34" t="s">
        <v>2066</v>
      </c>
      <c r="B517" s="34" t="s">
        <v>2067</v>
      </c>
      <c r="C517" s="34" t="s">
        <v>2068</v>
      </c>
      <c r="D517" s="34" t="s">
        <v>2069</v>
      </c>
      <c r="E517" s="34" t="s">
        <v>184</v>
      </c>
      <c r="F517" s="34" t="s">
        <v>1602</v>
      </c>
      <c r="G517" s="34" t="s">
        <v>227</v>
      </c>
      <c r="H517" s="34" t="s">
        <v>34</v>
      </c>
      <c r="I517" s="34" t="s">
        <v>41</v>
      </c>
      <c r="J517" s="34" t="s">
        <v>228</v>
      </c>
      <c r="K517" s="34" t="s">
        <v>229</v>
      </c>
      <c r="L517" s="34" t="s">
        <v>230</v>
      </c>
      <c r="M517" s="34" t="s">
        <v>1663</v>
      </c>
      <c r="N517" s="34" t="str">
        <f aca="false">"Sector "&amp;VALUE(MID(D517,13,2))</f>
        <v>Sector 8</v>
      </c>
      <c r="O517" s="34" t="str">
        <f aca="false">IF(Dashboard!$C$5="Ubicación técnica",N517,"Sector "&amp;VALUE(RIGHT(G517,2)))</f>
        <v>Sector 8</v>
      </c>
      <c r="P517" s="34" t="str">
        <f aca="false">IF(MID(D517,15,3)="SEL","Subestación eléctrica","Área de proceso")</f>
        <v>Área de proceso</v>
      </c>
      <c r="Q517" s="34" t="str">
        <f aca="false">MID(D517,13,5)&amp;"|"&amp;MID(D517,19,5)</f>
        <v>08COG|SAGAL</v>
      </c>
      <c r="R517" s="34" t="str">
        <f aca="false">IF(P517="Subestación eléctrica",IFERROR(INDEX(cat_SubN,MATCH(Q517,cat_SubK,0)),"SIN CATALOGAR"),"ÁREA DE PROCESO")</f>
        <v>ÁREA DE PROCESO</v>
      </c>
      <c r="S517" s="34" t="str">
        <f aca="false">IF(H517="","SIN DATO",IFERROR(INDEX(cat_MarcaN,MATCH(H517,cat_MarcaO,0)),H517))</f>
        <v>ABB</v>
      </c>
      <c r="T517" s="34" t="str">
        <f aca="false">IF(I517="","SIN DATO",IFERROR(INDEX(cat_ModN,MATCH(I517,cat_ModO,0)),I517))</f>
        <v>REM615A_1G</v>
      </c>
      <c r="U517" s="34" t="str">
        <f aca="false">IF(I517="","",IFERROR(INDEX(cat_ModG,MATCH(I517,cat_ModO,0)),"No"))</f>
        <v>No</v>
      </c>
      <c r="V517" s="34" t="str">
        <f aca="false">IF(J517="","SIN DATO",IFERROR(INDEX(cat_FunN,MATCH(J517,cat_FunO,0)),J517))</f>
        <v>Protección y medición</v>
      </c>
      <c r="W517" s="34" t="str">
        <f aca="false">IF(OR(S517="SIN DATO",T517="SIN DATO"),"No","Sí")</f>
        <v>Sí</v>
      </c>
    </row>
    <row r="518" customFormat="false" ht="15" hidden="false" customHeight="false" outlineLevel="0" collapsed="false">
      <c r="A518" s="34" t="s">
        <v>2070</v>
      </c>
      <c r="B518" s="34" t="s">
        <v>2071</v>
      </c>
      <c r="C518" s="34" t="s">
        <v>2072</v>
      </c>
      <c r="D518" s="34" t="s">
        <v>2069</v>
      </c>
      <c r="E518" s="34" t="s">
        <v>184</v>
      </c>
      <c r="F518" s="34" t="s">
        <v>1602</v>
      </c>
      <c r="G518" s="34" t="s">
        <v>227</v>
      </c>
      <c r="H518" s="34" t="s">
        <v>55</v>
      </c>
      <c r="I518" s="34" t="s">
        <v>57</v>
      </c>
      <c r="J518" s="34" t="s">
        <v>58</v>
      </c>
      <c r="K518" s="34" t="s">
        <v>229</v>
      </c>
      <c r="L518" s="34" t="s">
        <v>230</v>
      </c>
      <c r="M518" s="34" t="s">
        <v>237</v>
      </c>
      <c r="N518" s="34" t="str">
        <f aca="false">"Sector "&amp;VALUE(MID(D518,13,2))</f>
        <v>Sector 8</v>
      </c>
      <c r="O518" s="34" t="str">
        <f aca="false">IF(Dashboard!$C$5="Ubicación técnica",N518,"Sector "&amp;VALUE(RIGHT(G518,2)))</f>
        <v>Sector 8</v>
      </c>
      <c r="P518" s="34" t="str">
        <f aca="false">IF(MID(D518,15,3)="SEL","Subestación eléctrica","Área de proceso")</f>
        <v>Área de proceso</v>
      </c>
      <c r="Q518" s="34" t="str">
        <f aca="false">MID(D518,13,5)&amp;"|"&amp;MID(D518,19,5)</f>
        <v>08COG|SAGAL</v>
      </c>
      <c r="R518" s="34" t="str">
        <f aca="false">IF(P518="Subestación eléctrica",IFERROR(INDEX(cat_SubN,MATCH(Q518,cat_SubK,0)),"SIN CATALOGAR"),"ÁREA DE PROCESO")</f>
        <v>ÁREA DE PROCESO</v>
      </c>
      <c r="S518" s="34" t="str">
        <f aca="false">IF(H518="","SIN DATO",IFERROR(INDEX(cat_MarcaN,MATCH(H518,cat_MarcaO,0)),H518))</f>
        <v>SEL</v>
      </c>
      <c r="T518" s="34" t="str">
        <f aca="false">IF(I518="","SIN DATO",IFERROR(INDEX(cat_ModN,MATCH(I518,cat_ModO,0)),I518))</f>
        <v>SEL-735</v>
      </c>
      <c r="U518" s="34" t="str">
        <f aca="false">IF(I518="","",IFERROR(INDEX(cat_ModG,MATCH(I518,cat_ModO,0)),"No"))</f>
        <v>No</v>
      </c>
      <c r="V518" s="34" t="str">
        <f aca="false">IF(J518="","SIN DATO",IFERROR(INDEX(cat_FunN,MATCH(J518,cat_FunO,0)),J518))</f>
        <v>Medición</v>
      </c>
      <c r="W518" s="34" t="str">
        <f aca="false">IF(OR(S518="SIN DATO",T518="SIN DATO"),"No","Sí")</f>
        <v>Sí</v>
      </c>
    </row>
    <row r="519" customFormat="false" ht="15" hidden="false" customHeight="false" outlineLevel="0" collapsed="false">
      <c r="A519" s="34" t="s">
        <v>2073</v>
      </c>
      <c r="B519" s="34" t="s">
        <v>2074</v>
      </c>
      <c r="C519" s="34" t="s">
        <v>2075</v>
      </c>
      <c r="D519" s="34" t="s">
        <v>2076</v>
      </c>
      <c r="E519" s="34" t="s">
        <v>184</v>
      </c>
      <c r="F519" s="34" t="s">
        <v>1602</v>
      </c>
      <c r="G519" s="34" t="s">
        <v>227</v>
      </c>
      <c r="H519" s="34" t="s">
        <v>34</v>
      </c>
      <c r="I519" s="34" t="s">
        <v>41</v>
      </c>
      <c r="J519" s="34" t="s">
        <v>228</v>
      </c>
      <c r="K519" s="34" t="s">
        <v>229</v>
      </c>
      <c r="L519" s="34" t="s">
        <v>230</v>
      </c>
      <c r="M519" s="34" t="s">
        <v>1663</v>
      </c>
      <c r="N519" s="34" t="str">
        <f aca="false">"Sector "&amp;VALUE(MID(D519,13,2))</f>
        <v>Sector 8</v>
      </c>
      <c r="O519" s="34" t="str">
        <f aca="false">IF(Dashboard!$C$5="Ubicación técnica",N519,"Sector "&amp;VALUE(RIGHT(G519,2)))</f>
        <v>Sector 8</v>
      </c>
      <c r="P519" s="34" t="str">
        <f aca="false">IF(MID(D519,15,3)="SEL","Subestación eléctrica","Área de proceso")</f>
        <v>Área de proceso</v>
      </c>
      <c r="Q519" s="34" t="str">
        <f aca="false">MID(D519,13,5)&amp;"|"&amp;MID(D519,19,5)</f>
        <v>08COG|SGVAP</v>
      </c>
      <c r="R519" s="34" t="str">
        <f aca="false">IF(P519="Subestación eléctrica",IFERROR(INDEX(cat_SubN,MATCH(Q519,cat_SubK,0)),"SIN CATALOGAR"),"ÁREA DE PROCESO")</f>
        <v>ÁREA DE PROCESO</v>
      </c>
      <c r="S519" s="34" t="str">
        <f aca="false">IF(H519="","SIN DATO",IFERROR(INDEX(cat_MarcaN,MATCH(H519,cat_MarcaO,0)),H519))</f>
        <v>ABB</v>
      </c>
      <c r="T519" s="34" t="str">
        <f aca="false">IF(I519="","SIN DATO",IFERROR(INDEX(cat_ModN,MATCH(I519,cat_ModO,0)),I519))</f>
        <v>REM615A_1G</v>
      </c>
      <c r="U519" s="34" t="str">
        <f aca="false">IF(I519="","",IFERROR(INDEX(cat_ModG,MATCH(I519,cat_ModO,0)),"No"))</f>
        <v>No</v>
      </c>
      <c r="V519" s="34" t="str">
        <f aca="false">IF(J519="","SIN DATO",IFERROR(INDEX(cat_FunN,MATCH(J519,cat_FunO,0)),J519))</f>
        <v>Protección y medición</v>
      </c>
      <c r="W519" s="34" t="str">
        <f aca="false">IF(OR(S519="SIN DATO",T519="SIN DATO"),"No","Sí")</f>
        <v>Sí</v>
      </c>
    </row>
    <row r="520" customFormat="false" ht="15" hidden="false" customHeight="false" outlineLevel="0" collapsed="false">
      <c r="A520" s="34" t="s">
        <v>2077</v>
      </c>
      <c r="B520" s="34" t="s">
        <v>2078</v>
      </c>
      <c r="C520" s="34" t="s">
        <v>2079</v>
      </c>
      <c r="D520" s="34" t="s">
        <v>2076</v>
      </c>
      <c r="E520" s="34" t="s">
        <v>184</v>
      </c>
      <c r="F520" s="34" t="s">
        <v>1602</v>
      </c>
      <c r="G520" s="34" t="s">
        <v>227</v>
      </c>
      <c r="H520" s="34" t="s">
        <v>55</v>
      </c>
      <c r="I520" s="34" t="s">
        <v>57</v>
      </c>
      <c r="J520" s="34" t="s">
        <v>58</v>
      </c>
      <c r="K520" s="34" t="s">
        <v>229</v>
      </c>
      <c r="L520" s="34" t="s">
        <v>230</v>
      </c>
      <c r="M520" s="34" t="s">
        <v>237</v>
      </c>
      <c r="N520" s="34" t="str">
        <f aca="false">"Sector "&amp;VALUE(MID(D520,13,2))</f>
        <v>Sector 8</v>
      </c>
      <c r="O520" s="34" t="str">
        <f aca="false">IF(Dashboard!$C$5="Ubicación técnica",N520,"Sector "&amp;VALUE(RIGHT(G520,2)))</f>
        <v>Sector 8</v>
      </c>
      <c r="P520" s="34" t="str">
        <f aca="false">IF(MID(D520,15,3)="SEL","Subestación eléctrica","Área de proceso")</f>
        <v>Área de proceso</v>
      </c>
      <c r="Q520" s="34" t="str">
        <f aca="false">MID(D520,13,5)&amp;"|"&amp;MID(D520,19,5)</f>
        <v>08COG|SGVAP</v>
      </c>
      <c r="R520" s="34" t="str">
        <f aca="false">IF(P520="Subestación eléctrica",IFERROR(INDEX(cat_SubN,MATCH(Q520,cat_SubK,0)),"SIN CATALOGAR"),"ÁREA DE PROCESO")</f>
        <v>ÁREA DE PROCESO</v>
      </c>
      <c r="S520" s="34" t="str">
        <f aca="false">IF(H520="","SIN DATO",IFERROR(INDEX(cat_MarcaN,MATCH(H520,cat_MarcaO,0)),H520))</f>
        <v>SEL</v>
      </c>
      <c r="T520" s="34" t="str">
        <f aca="false">IF(I520="","SIN DATO",IFERROR(INDEX(cat_ModN,MATCH(I520,cat_ModO,0)),I520))</f>
        <v>SEL-735</v>
      </c>
      <c r="U520" s="34" t="str">
        <f aca="false">IF(I520="","",IFERROR(INDEX(cat_ModG,MATCH(I520,cat_ModO,0)),"No"))</f>
        <v>No</v>
      </c>
      <c r="V520" s="34" t="str">
        <f aca="false">IF(J520="","SIN DATO",IFERROR(INDEX(cat_FunN,MATCH(J520,cat_FunO,0)),J520))</f>
        <v>Medición</v>
      </c>
      <c r="W520" s="34" t="str">
        <f aca="false">IF(OR(S520="SIN DATO",T520="SIN DATO"),"No","Sí")</f>
        <v>Sí</v>
      </c>
    </row>
    <row r="521" customFormat="false" ht="15" hidden="false" customHeight="false" outlineLevel="0" collapsed="false">
      <c r="A521" s="34" t="s">
        <v>2080</v>
      </c>
      <c r="B521" s="34" t="s">
        <v>2081</v>
      </c>
      <c r="C521" s="34" t="s">
        <v>2082</v>
      </c>
      <c r="D521" s="34" t="s">
        <v>2083</v>
      </c>
      <c r="E521" s="34" t="s">
        <v>184</v>
      </c>
      <c r="F521" s="34" t="s">
        <v>1602</v>
      </c>
      <c r="G521" s="34" t="s">
        <v>227</v>
      </c>
      <c r="H521" s="34" t="s">
        <v>34</v>
      </c>
      <c r="I521" s="34" t="s">
        <v>41</v>
      </c>
      <c r="J521" s="34" t="s">
        <v>228</v>
      </c>
      <c r="K521" s="34" t="s">
        <v>229</v>
      </c>
      <c r="L521" s="34" t="s">
        <v>230</v>
      </c>
      <c r="M521" s="34" t="s">
        <v>1663</v>
      </c>
      <c r="N521" s="34" t="str">
        <f aca="false">"Sector "&amp;VALUE(MID(D521,13,2))</f>
        <v>Sector 8</v>
      </c>
      <c r="O521" s="34" t="str">
        <f aca="false">IF(Dashboard!$C$5="Ubicación técnica",N521,"Sector "&amp;VALUE(RIGHT(G521,2)))</f>
        <v>Sector 8</v>
      </c>
      <c r="P521" s="34" t="str">
        <f aca="false">IF(MID(D521,15,3)="SEL","Subestación eléctrica","Área de proceso")</f>
        <v>Área de proceso</v>
      </c>
      <c r="Q521" s="34" t="str">
        <f aca="false">MID(D521,13,5)&amp;"|"&amp;MID(D521,19,5)</f>
        <v>08COG|SECCW</v>
      </c>
      <c r="R521" s="34" t="str">
        <f aca="false">IF(P521="Subestación eléctrica",IFERROR(INDEX(cat_SubN,MATCH(Q521,cat_SubK,0)),"SIN CATALOGAR"),"ÁREA DE PROCESO")</f>
        <v>ÁREA DE PROCESO</v>
      </c>
      <c r="S521" s="34" t="str">
        <f aca="false">IF(H521="","SIN DATO",IFERROR(INDEX(cat_MarcaN,MATCH(H521,cat_MarcaO,0)),H521))</f>
        <v>ABB</v>
      </c>
      <c r="T521" s="34" t="str">
        <f aca="false">IF(I521="","SIN DATO",IFERROR(INDEX(cat_ModN,MATCH(I521,cat_ModO,0)),I521))</f>
        <v>REM615A_1G</v>
      </c>
      <c r="U521" s="34" t="str">
        <f aca="false">IF(I521="","",IFERROR(INDEX(cat_ModG,MATCH(I521,cat_ModO,0)),"No"))</f>
        <v>No</v>
      </c>
      <c r="V521" s="34" t="str">
        <f aca="false">IF(J521="","SIN DATO",IFERROR(INDEX(cat_FunN,MATCH(J521,cat_FunO,0)),J521))</f>
        <v>Protección y medición</v>
      </c>
      <c r="W521" s="34" t="str">
        <f aca="false">IF(OR(S521="SIN DATO",T521="SIN DATO"),"No","Sí")</f>
        <v>Sí</v>
      </c>
    </row>
    <row r="522" customFormat="false" ht="15" hidden="false" customHeight="false" outlineLevel="0" collapsed="false">
      <c r="A522" s="34" t="s">
        <v>2084</v>
      </c>
      <c r="B522" s="34" t="s">
        <v>2085</v>
      </c>
      <c r="C522" s="34" t="s">
        <v>2086</v>
      </c>
      <c r="D522" s="34" t="s">
        <v>2083</v>
      </c>
      <c r="E522" s="34" t="s">
        <v>184</v>
      </c>
      <c r="F522" s="34" t="s">
        <v>1602</v>
      </c>
      <c r="G522" s="34" t="s">
        <v>227</v>
      </c>
      <c r="H522" s="34" t="s">
        <v>55</v>
      </c>
      <c r="I522" s="34" t="s">
        <v>57</v>
      </c>
      <c r="J522" s="34" t="s">
        <v>58</v>
      </c>
      <c r="K522" s="34" t="s">
        <v>229</v>
      </c>
      <c r="L522" s="34" t="s">
        <v>230</v>
      </c>
      <c r="M522" s="34" t="s">
        <v>237</v>
      </c>
      <c r="N522" s="34" t="str">
        <f aca="false">"Sector "&amp;VALUE(MID(D522,13,2))</f>
        <v>Sector 8</v>
      </c>
      <c r="O522" s="34" t="str">
        <f aca="false">IF(Dashboard!$C$5="Ubicación técnica",N522,"Sector "&amp;VALUE(RIGHT(G522,2)))</f>
        <v>Sector 8</v>
      </c>
      <c r="P522" s="34" t="str">
        <f aca="false">IF(MID(D522,15,3)="SEL","Subestación eléctrica","Área de proceso")</f>
        <v>Área de proceso</v>
      </c>
      <c r="Q522" s="34" t="str">
        <f aca="false">MID(D522,13,5)&amp;"|"&amp;MID(D522,19,5)</f>
        <v>08COG|SECCW</v>
      </c>
      <c r="R522" s="34" t="str">
        <f aca="false">IF(P522="Subestación eléctrica",IFERROR(INDEX(cat_SubN,MATCH(Q522,cat_SubK,0)),"SIN CATALOGAR"),"ÁREA DE PROCESO")</f>
        <v>ÁREA DE PROCESO</v>
      </c>
      <c r="S522" s="34" t="str">
        <f aca="false">IF(H522="","SIN DATO",IFERROR(INDEX(cat_MarcaN,MATCH(H522,cat_MarcaO,0)),H522))</f>
        <v>SEL</v>
      </c>
      <c r="T522" s="34" t="str">
        <f aca="false">IF(I522="","SIN DATO",IFERROR(INDEX(cat_ModN,MATCH(I522,cat_ModO,0)),I522))</f>
        <v>SEL-735</v>
      </c>
      <c r="U522" s="34" t="str">
        <f aca="false">IF(I522="","",IFERROR(INDEX(cat_ModG,MATCH(I522,cat_ModO,0)),"No"))</f>
        <v>No</v>
      </c>
      <c r="V522" s="34" t="str">
        <f aca="false">IF(J522="","SIN DATO",IFERROR(INDEX(cat_FunN,MATCH(J522,cat_FunO,0)),J522))</f>
        <v>Medición</v>
      </c>
      <c r="W522" s="34" t="str">
        <f aca="false">IF(OR(S522="SIN DATO",T522="SIN DATO"),"No","Sí")</f>
        <v>Sí</v>
      </c>
    </row>
    <row r="523" customFormat="false" ht="15" hidden="false" customHeight="false" outlineLevel="0" collapsed="false">
      <c r="A523" s="34" t="s">
        <v>2087</v>
      </c>
      <c r="B523" s="34" t="s">
        <v>2088</v>
      </c>
      <c r="C523" s="34" t="s">
        <v>2089</v>
      </c>
      <c r="D523" s="34" t="s">
        <v>2090</v>
      </c>
      <c r="E523" s="34" t="s">
        <v>184</v>
      </c>
      <c r="F523" s="34" t="s">
        <v>1602</v>
      </c>
      <c r="G523" s="34" t="s">
        <v>227</v>
      </c>
      <c r="H523" s="34" t="s">
        <v>34</v>
      </c>
      <c r="I523" s="34" t="s">
        <v>43</v>
      </c>
      <c r="J523" s="34" t="s">
        <v>228</v>
      </c>
      <c r="K523" s="34" t="s">
        <v>229</v>
      </c>
      <c r="L523" s="34" t="s">
        <v>230</v>
      </c>
      <c r="M523" s="34" t="s">
        <v>1663</v>
      </c>
      <c r="N523" s="34" t="str">
        <f aca="false">"Sector "&amp;VALUE(MID(D523,13,2))</f>
        <v>Sector 8</v>
      </c>
      <c r="O523" s="34" t="str">
        <f aca="false">IF(Dashboard!$C$5="Ubicación técnica",N523,"Sector "&amp;VALUE(RIGHT(G523,2)))</f>
        <v>Sector 8</v>
      </c>
      <c r="P523" s="34" t="str">
        <f aca="false">IF(MID(D523,15,3)="SEL","Subestación eléctrica","Área de proceso")</f>
        <v>Subestación eléctrica</v>
      </c>
      <c r="Q523" s="34" t="str">
        <f aca="false">MID(D523,13,5)&amp;"|"&amp;MID(D523,19,5)</f>
        <v>08SEL|SEP01</v>
      </c>
      <c r="R523" s="34" t="str">
        <f aca="false">IF(P523="Subestación eléctrica",IFERROR(INDEX(cat_SubN,MATCH(Q523,cat_SubK,0)),"SIN CATALOGAR"),"ÁREA DE PROCESO")</f>
        <v>SEP-01</v>
      </c>
      <c r="S523" s="34" t="str">
        <f aca="false">IF(H523="","SIN DATO",IFERROR(INDEX(cat_MarcaN,MATCH(H523,cat_MarcaO,0)),H523))</f>
        <v>ABB</v>
      </c>
      <c r="T523" s="34" t="str">
        <f aca="false">IF(I523="","SIN DATO",IFERROR(INDEX(cat_ModN,MATCH(I523,cat_ModO,0)),I523))</f>
        <v>RET615A_1G</v>
      </c>
      <c r="U523" s="34" t="str">
        <f aca="false">IF(I523="","",IFERROR(INDEX(cat_ModG,MATCH(I523,cat_ModO,0)),"No"))</f>
        <v>No</v>
      </c>
      <c r="V523" s="34" t="str">
        <f aca="false">IF(J523="","SIN DATO",IFERROR(INDEX(cat_FunN,MATCH(J523,cat_FunO,0)),J523))</f>
        <v>Protección y medición</v>
      </c>
      <c r="W523" s="34" t="str">
        <f aca="false">IF(OR(S523="SIN DATO",T523="SIN DATO"),"No","Sí")</f>
        <v>Sí</v>
      </c>
    </row>
    <row r="524" customFormat="false" ht="15" hidden="false" customHeight="false" outlineLevel="0" collapsed="false">
      <c r="A524" s="34" t="s">
        <v>2091</v>
      </c>
      <c r="B524" s="34" t="s">
        <v>2092</v>
      </c>
      <c r="C524" s="34" t="s">
        <v>2093</v>
      </c>
      <c r="D524" s="34" t="s">
        <v>2090</v>
      </c>
      <c r="E524" s="34" t="s">
        <v>184</v>
      </c>
      <c r="F524" s="34" t="s">
        <v>1602</v>
      </c>
      <c r="G524" s="34" t="s">
        <v>227</v>
      </c>
      <c r="H524" s="34" t="s">
        <v>55</v>
      </c>
      <c r="I524" s="34" t="s">
        <v>57</v>
      </c>
      <c r="J524" s="34" t="s">
        <v>58</v>
      </c>
      <c r="K524" s="34" t="s">
        <v>229</v>
      </c>
      <c r="L524" s="34" t="s">
        <v>230</v>
      </c>
      <c r="M524" s="34" t="s">
        <v>237</v>
      </c>
      <c r="N524" s="34" t="str">
        <f aca="false">"Sector "&amp;VALUE(MID(D524,13,2))</f>
        <v>Sector 8</v>
      </c>
      <c r="O524" s="34" t="str">
        <f aca="false">IF(Dashboard!$C$5="Ubicación técnica",N524,"Sector "&amp;VALUE(RIGHT(G524,2)))</f>
        <v>Sector 8</v>
      </c>
      <c r="P524" s="34" t="str">
        <f aca="false">IF(MID(D524,15,3)="SEL","Subestación eléctrica","Área de proceso")</f>
        <v>Subestación eléctrica</v>
      </c>
      <c r="Q524" s="34" t="str">
        <f aca="false">MID(D524,13,5)&amp;"|"&amp;MID(D524,19,5)</f>
        <v>08SEL|SEP01</v>
      </c>
      <c r="R524" s="34" t="str">
        <f aca="false">IF(P524="Subestación eléctrica",IFERROR(INDEX(cat_SubN,MATCH(Q524,cat_SubK,0)),"SIN CATALOGAR"),"ÁREA DE PROCESO")</f>
        <v>SEP-01</v>
      </c>
      <c r="S524" s="34" t="str">
        <f aca="false">IF(H524="","SIN DATO",IFERROR(INDEX(cat_MarcaN,MATCH(H524,cat_MarcaO,0)),H524))</f>
        <v>SEL</v>
      </c>
      <c r="T524" s="34" t="str">
        <f aca="false">IF(I524="","SIN DATO",IFERROR(INDEX(cat_ModN,MATCH(I524,cat_ModO,0)),I524))</f>
        <v>SEL-735</v>
      </c>
      <c r="U524" s="34" t="str">
        <f aca="false">IF(I524="","",IFERROR(INDEX(cat_ModG,MATCH(I524,cat_ModO,0)),"No"))</f>
        <v>No</v>
      </c>
      <c r="V524" s="34" t="str">
        <f aca="false">IF(J524="","SIN DATO",IFERROR(INDEX(cat_FunN,MATCH(J524,cat_FunO,0)),J524))</f>
        <v>Medición</v>
      </c>
      <c r="W524" s="34" t="str">
        <f aca="false">IF(OR(S524="SIN DATO",T524="SIN DATO"),"No","Sí")</f>
        <v>Sí</v>
      </c>
    </row>
    <row r="525" customFormat="false" ht="15" hidden="false" customHeight="false" outlineLevel="0" collapsed="false">
      <c r="A525" s="34" t="s">
        <v>2094</v>
      </c>
      <c r="B525" s="34" t="s">
        <v>2095</v>
      </c>
      <c r="C525" s="34" t="s">
        <v>2096</v>
      </c>
      <c r="D525" s="34" t="s">
        <v>2097</v>
      </c>
      <c r="E525" s="34" t="s">
        <v>184</v>
      </c>
      <c r="F525" s="34" t="s">
        <v>1602</v>
      </c>
      <c r="G525" s="34" t="s">
        <v>227</v>
      </c>
      <c r="H525" s="34" t="s">
        <v>34</v>
      </c>
      <c r="I525" s="34" t="s">
        <v>43</v>
      </c>
      <c r="J525" s="34" t="s">
        <v>228</v>
      </c>
      <c r="K525" s="34" t="s">
        <v>229</v>
      </c>
      <c r="L525" s="34" t="s">
        <v>230</v>
      </c>
      <c r="M525" s="34" t="s">
        <v>1663</v>
      </c>
      <c r="N525" s="34" t="str">
        <f aca="false">"Sector "&amp;VALUE(MID(D525,13,2))</f>
        <v>Sector 8</v>
      </c>
      <c r="O525" s="34" t="str">
        <f aca="false">IF(Dashboard!$C$5="Ubicación técnica",N525,"Sector "&amp;VALUE(RIGHT(G525,2)))</f>
        <v>Sector 8</v>
      </c>
      <c r="P525" s="34" t="str">
        <f aca="false">IF(MID(D525,15,3)="SEL","Subestación eléctrica","Área de proceso")</f>
        <v>Subestación eléctrica</v>
      </c>
      <c r="Q525" s="34" t="str">
        <f aca="false">MID(D525,13,5)&amp;"|"&amp;MID(D525,19,5)</f>
        <v>08SEL|SEP01</v>
      </c>
      <c r="R525" s="34" t="str">
        <f aca="false">IF(P525="Subestación eléctrica",IFERROR(INDEX(cat_SubN,MATCH(Q525,cat_SubK,0)),"SIN CATALOGAR"),"ÁREA DE PROCESO")</f>
        <v>SEP-01</v>
      </c>
      <c r="S525" s="34" t="str">
        <f aca="false">IF(H525="","SIN DATO",IFERROR(INDEX(cat_MarcaN,MATCH(H525,cat_MarcaO,0)),H525))</f>
        <v>ABB</v>
      </c>
      <c r="T525" s="34" t="str">
        <f aca="false">IF(I525="","SIN DATO",IFERROR(INDEX(cat_ModN,MATCH(I525,cat_ModO,0)),I525))</f>
        <v>RET615A_1G</v>
      </c>
      <c r="U525" s="34" t="str">
        <f aca="false">IF(I525="","",IFERROR(INDEX(cat_ModG,MATCH(I525,cat_ModO,0)),"No"))</f>
        <v>No</v>
      </c>
      <c r="V525" s="34" t="str">
        <f aca="false">IF(J525="","SIN DATO",IFERROR(INDEX(cat_FunN,MATCH(J525,cat_FunO,0)),J525))</f>
        <v>Protección y medición</v>
      </c>
      <c r="W525" s="34" t="str">
        <f aca="false">IF(OR(S525="SIN DATO",T525="SIN DATO"),"No","Sí")</f>
        <v>Sí</v>
      </c>
    </row>
    <row r="526" customFormat="false" ht="15" hidden="false" customHeight="false" outlineLevel="0" collapsed="false">
      <c r="A526" s="34" t="s">
        <v>2098</v>
      </c>
      <c r="B526" s="34" t="s">
        <v>2099</v>
      </c>
      <c r="C526" s="34" t="s">
        <v>2100</v>
      </c>
      <c r="D526" s="34" t="s">
        <v>2097</v>
      </c>
      <c r="E526" s="34" t="s">
        <v>184</v>
      </c>
      <c r="F526" s="34" t="s">
        <v>1602</v>
      </c>
      <c r="G526" s="34" t="s">
        <v>227</v>
      </c>
      <c r="H526" s="34" t="s">
        <v>55</v>
      </c>
      <c r="I526" s="34" t="s">
        <v>57</v>
      </c>
      <c r="J526" s="34" t="s">
        <v>58</v>
      </c>
      <c r="K526" s="34" t="s">
        <v>229</v>
      </c>
      <c r="L526" s="34" t="s">
        <v>230</v>
      </c>
      <c r="M526" s="34" t="s">
        <v>237</v>
      </c>
      <c r="N526" s="34" t="str">
        <f aca="false">"Sector "&amp;VALUE(MID(D526,13,2))</f>
        <v>Sector 8</v>
      </c>
      <c r="O526" s="34" t="str">
        <f aca="false">IF(Dashboard!$C$5="Ubicación técnica",N526,"Sector "&amp;VALUE(RIGHT(G526,2)))</f>
        <v>Sector 8</v>
      </c>
      <c r="P526" s="34" t="str">
        <f aca="false">IF(MID(D526,15,3)="SEL","Subestación eléctrica","Área de proceso")</f>
        <v>Subestación eléctrica</v>
      </c>
      <c r="Q526" s="34" t="str">
        <f aca="false">MID(D526,13,5)&amp;"|"&amp;MID(D526,19,5)</f>
        <v>08SEL|SEP01</v>
      </c>
      <c r="R526" s="34" t="str">
        <f aca="false">IF(P526="Subestación eléctrica",IFERROR(INDEX(cat_SubN,MATCH(Q526,cat_SubK,0)),"SIN CATALOGAR"),"ÁREA DE PROCESO")</f>
        <v>SEP-01</v>
      </c>
      <c r="S526" s="34" t="str">
        <f aca="false">IF(H526="","SIN DATO",IFERROR(INDEX(cat_MarcaN,MATCH(H526,cat_MarcaO,0)),H526))</f>
        <v>SEL</v>
      </c>
      <c r="T526" s="34" t="str">
        <f aca="false">IF(I526="","SIN DATO",IFERROR(INDEX(cat_ModN,MATCH(I526,cat_ModO,0)),I526))</f>
        <v>SEL-735</v>
      </c>
      <c r="U526" s="34" t="str">
        <f aca="false">IF(I526="","",IFERROR(INDEX(cat_ModG,MATCH(I526,cat_ModO,0)),"No"))</f>
        <v>No</v>
      </c>
      <c r="V526" s="34" t="str">
        <f aca="false">IF(J526="","SIN DATO",IFERROR(INDEX(cat_FunN,MATCH(J526,cat_FunO,0)),J526))</f>
        <v>Medición</v>
      </c>
      <c r="W526" s="34" t="str">
        <f aca="false">IF(OR(S526="SIN DATO",T526="SIN DATO"),"No","Sí")</f>
        <v>Sí</v>
      </c>
    </row>
    <row r="527" customFormat="false" ht="15" hidden="false" customHeight="false" outlineLevel="0" collapsed="false">
      <c r="A527" s="34" t="s">
        <v>2101</v>
      </c>
      <c r="B527" s="34" t="s">
        <v>2102</v>
      </c>
      <c r="C527" s="34" t="s">
        <v>2103</v>
      </c>
      <c r="D527" s="34" t="s">
        <v>2104</v>
      </c>
      <c r="E527" s="34" t="s">
        <v>184</v>
      </c>
      <c r="F527" s="34" t="s">
        <v>1602</v>
      </c>
      <c r="G527" s="34" t="s">
        <v>227</v>
      </c>
      <c r="H527" s="34" t="s">
        <v>34</v>
      </c>
      <c r="I527" s="34" t="s">
        <v>43</v>
      </c>
      <c r="J527" s="34" t="s">
        <v>228</v>
      </c>
      <c r="K527" s="34" t="s">
        <v>229</v>
      </c>
      <c r="L527" s="34" t="s">
        <v>230</v>
      </c>
      <c r="M527" s="34" t="s">
        <v>1663</v>
      </c>
      <c r="N527" s="34" t="str">
        <f aca="false">"Sector "&amp;VALUE(MID(D527,13,2))</f>
        <v>Sector 8</v>
      </c>
      <c r="O527" s="34" t="str">
        <f aca="false">IF(Dashboard!$C$5="Ubicación técnica",N527,"Sector "&amp;VALUE(RIGHT(G527,2)))</f>
        <v>Sector 8</v>
      </c>
      <c r="P527" s="34" t="str">
        <f aca="false">IF(MID(D527,15,3)="SEL","Subestación eléctrica","Área de proceso")</f>
        <v>Subestación eléctrica</v>
      </c>
      <c r="Q527" s="34" t="str">
        <f aca="false">MID(D527,13,5)&amp;"|"&amp;MID(D527,19,5)</f>
        <v>08SEL|SEP01</v>
      </c>
      <c r="R527" s="34" t="str">
        <f aca="false">IF(P527="Subestación eléctrica",IFERROR(INDEX(cat_SubN,MATCH(Q527,cat_SubK,0)),"SIN CATALOGAR"),"ÁREA DE PROCESO")</f>
        <v>SEP-01</v>
      </c>
      <c r="S527" s="34" t="str">
        <f aca="false">IF(H527="","SIN DATO",IFERROR(INDEX(cat_MarcaN,MATCH(H527,cat_MarcaO,0)),H527))</f>
        <v>ABB</v>
      </c>
      <c r="T527" s="34" t="str">
        <f aca="false">IF(I527="","SIN DATO",IFERROR(INDEX(cat_ModN,MATCH(I527,cat_ModO,0)),I527))</f>
        <v>RET615A_1G</v>
      </c>
      <c r="U527" s="34" t="str">
        <f aca="false">IF(I527="","",IFERROR(INDEX(cat_ModG,MATCH(I527,cat_ModO,0)),"No"))</f>
        <v>No</v>
      </c>
      <c r="V527" s="34" t="str">
        <f aca="false">IF(J527="","SIN DATO",IFERROR(INDEX(cat_FunN,MATCH(J527,cat_FunO,0)),J527))</f>
        <v>Protección y medición</v>
      </c>
      <c r="W527" s="34" t="str">
        <f aca="false">IF(OR(S527="SIN DATO",T527="SIN DATO"),"No","Sí")</f>
        <v>Sí</v>
      </c>
    </row>
    <row r="528" customFormat="false" ht="15" hidden="false" customHeight="false" outlineLevel="0" collapsed="false">
      <c r="A528" s="34" t="s">
        <v>2105</v>
      </c>
      <c r="B528" s="34" t="s">
        <v>2106</v>
      </c>
      <c r="C528" s="34" t="s">
        <v>2107</v>
      </c>
      <c r="D528" s="34" t="s">
        <v>2104</v>
      </c>
      <c r="E528" s="34" t="s">
        <v>184</v>
      </c>
      <c r="F528" s="34" t="s">
        <v>1602</v>
      </c>
      <c r="G528" s="34" t="s">
        <v>227</v>
      </c>
      <c r="H528" s="34" t="s">
        <v>55</v>
      </c>
      <c r="I528" s="34" t="s">
        <v>57</v>
      </c>
      <c r="J528" s="34" t="s">
        <v>58</v>
      </c>
      <c r="K528" s="34" t="s">
        <v>229</v>
      </c>
      <c r="L528" s="34" t="s">
        <v>230</v>
      </c>
      <c r="M528" s="34" t="s">
        <v>237</v>
      </c>
      <c r="N528" s="34" t="str">
        <f aca="false">"Sector "&amp;VALUE(MID(D528,13,2))</f>
        <v>Sector 8</v>
      </c>
      <c r="O528" s="34" t="str">
        <f aca="false">IF(Dashboard!$C$5="Ubicación técnica",N528,"Sector "&amp;VALUE(RIGHT(G528,2)))</f>
        <v>Sector 8</v>
      </c>
      <c r="P528" s="34" t="str">
        <f aca="false">IF(MID(D528,15,3)="SEL","Subestación eléctrica","Área de proceso")</f>
        <v>Subestación eléctrica</v>
      </c>
      <c r="Q528" s="34" t="str">
        <f aca="false">MID(D528,13,5)&amp;"|"&amp;MID(D528,19,5)</f>
        <v>08SEL|SEP01</v>
      </c>
      <c r="R528" s="34" t="str">
        <f aca="false">IF(P528="Subestación eléctrica",IFERROR(INDEX(cat_SubN,MATCH(Q528,cat_SubK,0)),"SIN CATALOGAR"),"ÁREA DE PROCESO")</f>
        <v>SEP-01</v>
      </c>
      <c r="S528" s="34" t="str">
        <f aca="false">IF(H528="","SIN DATO",IFERROR(INDEX(cat_MarcaN,MATCH(H528,cat_MarcaO,0)),H528))</f>
        <v>SEL</v>
      </c>
      <c r="T528" s="34" t="str">
        <f aca="false">IF(I528="","SIN DATO",IFERROR(INDEX(cat_ModN,MATCH(I528,cat_ModO,0)),I528))</f>
        <v>SEL-735</v>
      </c>
      <c r="U528" s="34" t="str">
        <f aca="false">IF(I528="","",IFERROR(INDEX(cat_ModG,MATCH(I528,cat_ModO,0)),"No"))</f>
        <v>No</v>
      </c>
      <c r="V528" s="34" t="str">
        <f aca="false">IF(J528="","SIN DATO",IFERROR(INDEX(cat_FunN,MATCH(J528,cat_FunO,0)),J528))</f>
        <v>Medición</v>
      </c>
      <c r="W528" s="34" t="str">
        <f aca="false">IF(OR(S528="SIN DATO",T528="SIN DATO"),"No","Sí")</f>
        <v>Sí</v>
      </c>
    </row>
    <row r="529" customFormat="false" ht="15" hidden="false" customHeight="false" outlineLevel="0" collapsed="false">
      <c r="A529" s="34" t="s">
        <v>2108</v>
      </c>
      <c r="B529" s="34" t="s">
        <v>2109</v>
      </c>
      <c r="C529" s="34" t="s">
        <v>2110</v>
      </c>
      <c r="D529" s="34" t="s">
        <v>2111</v>
      </c>
      <c r="E529" s="34" t="s">
        <v>184</v>
      </c>
      <c r="F529" s="34" t="s">
        <v>1602</v>
      </c>
      <c r="G529" s="34" t="s">
        <v>227</v>
      </c>
      <c r="H529" s="34" t="s">
        <v>34</v>
      </c>
      <c r="I529" s="34" t="s">
        <v>43</v>
      </c>
      <c r="J529" s="34" t="s">
        <v>228</v>
      </c>
      <c r="K529" s="34" t="s">
        <v>229</v>
      </c>
      <c r="L529" s="34" t="s">
        <v>230</v>
      </c>
      <c r="M529" s="34" t="s">
        <v>1663</v>
      </c>
      <c r="N529" s="34" t="str">
        <f aca="false">"Sector "&amp;VALUE(MID(D529,13,2))</f>
        <v>Sector 8</v>
      </c>
      <c r="O529" s="34" t="str">
        <f aca="false">IF(Dashboard!$C$5="Ubicación técnica",N529,"Sector "&amp;VALUE(RIGHT(G529,2)))</f>
        <v>Sector 8</v>
      </c>
      <c r="P529" s="34" t="str">
        <f aca="false">IF(MID(D529,15,3)="SEL","Subestación eléctrica","Área de proceso")</f>
        <v>Subestación eléctrica</v>
      </c>
      <c r="Q529" s="34" t="str">
        <f aca="false">MID(D529,13,5)&amp;"|"&amp;MID(D529,19,5)</f>
        <v>08SEL|SEP01</v>
      </c>
      <c r="R529" s="34" t="str">
        <f aca="false">IF(P529="Subestación eléctrica",IFERROR(INDEX(cat_SubN,MATCH(Q529,cat_SubK,0)),"SIN CATALOGAR"),"ÁREA DE PROCESO")</f>
        <v>SEP-01</v>
      </c>
      <c r="S529" s="34" t="str">
        <f aca="false">IF(H529="","SIN DATO",IFERROR(INDEX(cat_MarcaN,MATCH(H529,cat_MarcaO,0)),H529))</f>
        <v>ABB</v>
      </c>
      <c r="T529" s="34" t="str">
        <f aca="false">IF(I529="","SIN DATO",IFERROR(INDEX(cat_ModN,MATCH(I529,cat_ModO,0)),I529))</f>
        <v>RET615A_1G</v>
      </c>
      <c r="U529" s="34" t="str">
        <f aca="false">IF(I529="","",IFERROR(INDEX(cat_ModG,MATCH(I529,cat_ModO,0)),"No"))</f>
        <v>No</v>
      </c>
      <c r="V529" s="34" t="str">
        <f aca="false">IF(J529="","SIN DATO",IFERROR(INDEX(cat_FunN,MATCH(J529,cat_FunO,0)),J529))</f>
        <v>Protección y medición</v>
      </c>
      <c r="W529" s="34" t="str">
        <f aca="false">IF(OR(S529="SIN DATO",T529="SIN DATO"),"No","Sí")</f>
        <v>Sí</v>
      </c>
    </row>
    <row r="530" customFormat="false" ht="15" hidden="false" customHeight="false" outlineLevel="0" collapsed="false">
      <c r="A530" s="34" t="s">
        <v>2112</v>
      </c>
      <c r="B530" s="34" t="s">
        <v>2113</v>
      </c>
      <c r="C530" s="34" t="s">
        <v>2114</v>
      </c>
      <c r="D530" s="34" t="s">
        <v>2111</v>
      </c>
      <c r="E530" s="34" t="s">
        <v>184</v>
      </c>
      <c r="F530" s="34" t="s">
        <v>1602</v>
      </c>
      <c r="G530" s="34" t="s">
        <v>227</v>
      </c>
      <c r="H530" s="34" t="s">
        <v>55</v>
      </c>
      <c r="I530" s="34" t="s">
        <v>57</v>
      </c>
      <c r="J530" s="34" t="s">
        <v>58</v>
      </c>
      <c r="K530" s="34" t="s">
        <v>229</v>
      </c>
      <c r="L530" s="34" t="s">
        <v>230</v>
      </c>
      <c r="M530" s="34" t="s">
        <v>237</v>
      </c>
      <c r="N530" s="34" t="str">
        <f aca="false">"Sector "&amp;VALUE(MID(D530,13,2))</f>
        <v>Sector 8</v>
      </c>
      <c r="O530" s="34" t="str">
        <f aca="false">IF(Dashboard!$C$5="Ubicación técnica",N530,"Sector "&amp;VALUE(RIGHT(G530,2)))</f>
        <v>Sector 8</v>
      </c>
      <c r="P530" s="34" t="str">
        <f aca="false">IF(MID(D530,15,3)="SEL","Subestación eléctrica","Área de proceso")</f>
        <v>Subestación eléctrica</v>
      </c>
      <c r="Q530" s="34" t="str">
        <f aca="false">MID(D530,13,5)&amp;"|"&amp;MID(D530,19,5)</f>
        <v>08SEL|SEP01</v>
      </c>
      <c r="R530" s="34" t="str">
        <f aca="false">IF(P530="Subestación eléctrica",IFERROR(INDEX(cat_SubN,MATCH(Q530,cat_SubK,0)),"SIN CATALOGAR"),"ÁREA DE PROCESO")</f>
        <v>SEP-01</v>
      </c>
      <c r="S530" s="34" t="str">
        <f aca="false">IF(H530="","SIN DATO",IFERROR(INDEX(cat_MarcaN,MATCH(H530,cat_MarcaO,0)),H530))</f>
        <v>SEL</v>
      </c>
      <c r="T530" s="34" t="str">
        <f aca="false">IF(I530="","SIN DATO",IFERROR(INDEX(cat_ModN,MATCH(I530,cat_ModO,0)),I530))</f>
        <v>SEL-735</v>
      </c>
      <c r="U530" s="34" t="str">
        <f aca="false">IF(I530="","",IFERROR(INDEX(cat_ModG,MATCH(I530,cat_ModO,0)),"No"))</f>
        <v>No</v>
      </c>
      <c r="V530" s="34" t="str">
        <f aca="false">IF(J530="","SIN DATO",IFERROR(INDEX(cat_FunN,MATCH(J530,cat_FunO,0)),J530))</f>
        <v>Medición</v>
      </c>
      <c r="W530" s="34" t="str">
        <f aca="false">IF(OR(S530="SIN DATO",T530="SIN DATO"),"No","Sí")</f>
        <v>Sí</v>
      </c>
    </row>
    <row r="531" customFormat="false" ht="15" hidden="false" customHeight="false" outlineLevel="0" collapsed="false">
      <c r="A531" s="34" t="s">
        <v>2115</v>
      </c>
      <c r="B531" s="34" t="s">
        <v>2116</v>
      </c>
      <c r="C531" s="34" t="s">
        <v>2117</v>
      </c>
      <c r="D531" s="34" t="s">
        <v>2111</v>
      </c>
      <c r="E531" s="34" t="s">
        <v>184</v>
      </c>
      <c r="F531" s="34" t="s">
        <v>1602</v>
      </c>
      <c r="G531" s="34" t="s">
        <v>227</v>
      </c>
      <c r="H531" s="34" t="s">
        <v>34</v>
      </c>
      <c r="I531" s="34" t="s">
        <v>40</v>
      </c>
      <c r="J531" s="34" t="s">
        <v>681</v>
      </c>
      <c r="K531" s="34" t="s">
        <v>229</v>
      </c>
      <c r="L531" s="34" t="s">
        <v>230</v>
      </c>
      <c r="M531" s="34" t="s">
        <v>1825</v>
      </c>
      <c r="N531" s="34" t="str">
        <f aca="false">"Sector "&amp;VALUE(MID(D531,13,2))</f>
        <v>Sector 8</v>
      </c>
      <c r="O531" s="34" t="str">
        <f aca="false">IF(Dashboard!$C$5="Ubicación técnica",N531,"Sector "&amp;VALUE(RIGHT(G531,2)))</f>
        <v>Sector 8</v>
      </c>
      <c r="P531" s="34" t="str">
        <f aca="false">IF(MID(D531,15,3)="SEL","Subestación eléctrica","Área de proceso")</f>
        <v>Subestación eléctrica</v>
      </c>
      <c r="Q531" s="34" t="str">
        <f aca="false">MID(D531,13,5)&amp;"|"&amp;MID(D531,19,5)</f>
        <v>08SEL|SEP01</v>
      </c>
      <c r="R531" s="34" t="str">
        <f aca="false">IF(P531="Subestación eléctrica",IFERROR(INDEX(cat_SubN,MATCH(Q531,cat_SubK,0)),"SIN CATALOGAR"),"ÁREA DE PROCESO")</f>
        <v>SEP-01</v>
      </c>
      <c r="S531" s="34" t="str">
        <f aca="false">IF(H531="","SIN DATO",IFERROR(INDEX(cat_MarcaN,MATCH(H531,cat_MarcaO,0)),H531))</f>
        <v>ABB</v>
      </c>
      <c r="T531" s="34" t="str">
        <f aca="false">IF(I531="","SIN DATO",IFERROR(INDEX(cat_ModN,MATCH(I531,cat_ModO,0)),I531))</f>
        <v>REA 101</v>
      </c>
      <c r="U531" s="34" t="str">
        <f aca="false">IF(I531="","",IFERROR(INDEX(cat_ModG,MATCH(I531,cat_ModO,0)),"No"))</f>
        <v>No</v>
      </c>
      <c r="V531" s="34" t="str">
        <f aca="false">IF(J531="","SIN DATO",IFERROR(INDEX(cat_FunN,MATCH(J531,cat_FunO,0)),J531))</f>
        <v>Protección</v>
      </c>
      <c r="W531" s="34" t="str">
        <f aca="false">IF(OR(S531="SIN DATO",T531="SIN DATO"),"No","Sí")</f>
        <v>Sí</v>
      </c>
    </row>
    <row r="532" customFormat="false" ht="15" hidden="false" customHeight="false" outlineLevel="0" collapsed="false">
      <c r="A532" s="34" t="s">
        <v>2118</v>
      </c>
      <c r="B532" s="34" t="s">
        <v>2119</v>
      </c>
      <c r="C532" s="34" t="s">
        <v>2120</v>
      </c>
      <c r="D532" s="34" t="s">
        <v>2111</v>
      </c>
      <c r="E532" s="34" t="s">
        <v>184</v>
      </c>
      <c r="F532" s="34" t="s">
        <v>1602</v>
      </c>
      <c r="G532" s="34" t="s">
        <v>227</v>
      </c>
      <c r="H532" s="34" t="s">
        <v>34</v>
      </c>
      <c r="I532" s="34" t="s">
        <v>37</v>
      </c>
      <c r="J532" s="34" t="s">
        <v>228</v>
      </c>
      <c r="K532" s="34" t="s">
        <v>229</v>
      </c>
      <c r="L532" s="34" t="s">
        <v>230</v>
      </c>
      <c r="M532" s="34" t="s">
        <v>1663</v>
      </c>
      <c r="N532" s="34" t="str">
        <f aca="false">"Sector "&amp;VALUE(MID(D532,13,2))</f>
        <v>Sector 8</v>
      </c>
      <c r="O532" s="34" t="str">
        <f aca="false">IF(Dashboard!$C$5="Ubicación técnica",N532,"Sector "&amp;VALUE(RIGHT(G532,2)))</f>
        <v>Sector 8</v>
      </c>
      <c r="P532" s="34" t="str">
        <f aca="false">IF(MID(D532,15,3)="SEL","Subestación eléctrica","Área de proceso")</f>
        <v>Subestación eléctrica</v>
      </c>
      <c r="Q532" s="34" t="str">
        <f aca="false">MID(D532,13,5)&amp;"|"&amp;MID(D532,19,5)</f>
        <v>08SEL|SEP01</v>
      </c>
      <c r="R532" s="34" t="str">
        <f aca="false">IF(P532="Subestación eléctrica",IFERROR(INDEX(cat_SubN,MATCH(Q532,cat_SubK,0)),"SIN CATALOGAR"),"ÁREA DE PROCESO")</f>
        <v>SEP-01</v>
      </c>
      <c r="S532" s="34" t="str">
        <f aca="false">IF(H532="","SIN DATO",IFERROR(INDEX(cat_MarcaN,MATCH(H532,cat_MarcaO,0)),H532))</f>
        <v>ABB</v>
      </c>
      <c r="T532" s="34" t="str">
        <f aca="false">IF(I532="","SIN DATO",IFERROR(INDEX(cat_ModN,MATCH(I532,cat_ModO,0)),I532))</f>
        <v>REF615A_1G</v>
      </c>
      <c r="U532" s="34" t="str">
        <f aca="false">IF(I532="","",IFERROR(INDEX(cat_ModG,MATCH(I532,cat_ModO,0)),"No"))</f>
        <v>No</v>
      </c>
      <c r="V532" s="34" t="str">
        <f aca="false">IF(J532="","SIN DATO",IFERROR(INDEX(cat_FunN,MATCH(J532,cat_FunO,0)),J532))</f>
        <v>Protección y medición</v>
      </c>
      <c r="W532" s="34" t="str">
        <f aca="false">IF(OR(S532="SIN DATO",T532="SIN DATO"),"No","Sí")</f>
        <v>Sí</v>
      </c>
    </row>
    <row r="533" customFormat="false" ht="15" hidden="false" customHeight="false" outlineLevel="0" collapsed="false">
      <c r="A533" s="34" t="s">
        <v>2121</v>
      </c>
      <c r="B533" s="34" t="s">
        <v>2122</v>
      </c>
      <c r="C533" s="34" t="s">
        <v>2123</v>
      </c>
      <c r="D533" s="34" t="s">
        <v>2124</v>
      </c>
      <c r="E533" s="34" t="s">
        <v>184</v>
      </c>
      <c r="F533" s="34" t="s">
        <v>1602</v>
      </c>
      <c r="G533" s="34" t="s">
        <v>227</v>
      </c>
      <c r="H533" s="34" t="s">
        <v>34</v>
      </c>
      <c r="I533" s="34" t="s">
        <v>37</v>
      </c>
      <c r="J533" s="34" t="s">
        <v>228</v>
      </c>
      <c r="K533" s="34" t="s">
        <v>229</v>
      </c>
      <c r="L533" s="34" t="s">
        <v>230</v>
      </c>
      <c r="M533" s="34" t="s">
        <v>1663</v>
      </c>
      <c r="N533" s="34" t="str">
        <f aca="false">"Sector "&amp;VALUE(MID(D533,13,2))</f>
        <v>Sector 8</v>
      </c>
      <c r="O533" s="34" t="str">
        <f aca="false">IF(Dashboard!$C$5="Ubicación técnica",N533,"Sector "&amp;VALUE(RIGHT(G533,2)))</f>
        <v>Sector 8</v>
      </c>
      <c r="P533" s="34" t="str">
        <f aca="false">IF(MID(D533,15,3)="SEL","Subestación eléctrica","Área de proceso")</f>
        <v>Subestación eléctrica</v>
      </c>
      <c r="Q533" s="34" t="str">
        <f aca="false">MID(D533,13,5)&amp;"|"&amp;MID(D533,19,5)</f>
        <v>08SEL|SEP01</v>
      </c>
      <c r="R533" s="34" t="str">
        <f aca="false">IF(P533="Subestación eléctrica",IFERROR(INDEX(cat_SubN,MATCH(Q533,cat_SubK,0)),"SIN CATALOGAR"),"ÁREA DE PROCESO")</f>
        <v>SEP-01</v>
      </c>
      <c r="S533" s="34" t="str">
        <f aca="false">IF(H533="","SIN DATO",IFERROR(INDEX(cat_MarcaN,MATCH(H533,cat_MarcaO,0)),H533))</f>
        <v>ABB</v>
      </c>
      <c r="T533" s="34" t="str">
        <f aca="false">IF(I533="","SIN DATO",IFERROR(INDEX(cat_ModN,MATCH(I533,cat_ModO,0)),I533))</f>
        <v>REF615A_1G</v>
      </c>
      <c r="U533" s="34" t="str">
        <f aca="false">IF(I533="","",IFERROR(INDEX(cat_ModG,MATCH(I533,cat_ModO,0)),"No"))</f>
        <v>No</v>
      </c>
      <c r="V533" s="34" t="str">
        <f aca="false">IF(J533="","SIN DATO",IFERROR(INDEX(cat_FunN,MATCH(J533,cat_FunO,0)),J533))</f>
        <v>Protección y medición</v>
      </c>
      <c r="W533" s="34" t="str">
        <f aca="false">IF(OR(S533="SIN DATO",T533="SIN DATO"),"No","Sí")</f>
        <v>Sí</v>
      </c>
    </row>
    <row r="534" customFormat="false" ht="15" hidden="false" customHeight="false" outlineLevel="0" collapsed="false">
      <c r="A534" s="34" t="s">
        <v>2125</v>
      </c>
      <c r="B534" s="34" t="s">
        <v>2126</v>
      </c>
      <c r="C534" s="34" t="s">
        <v>2127</v>
      </c>
      <c r="D534" s="34" t="s">
        <v>2124</v>
      </c>
      <c r="E534" s="34" t="s">
        <v>184</v>
      </c>
      <c r="F534" s="34" t="s">
        <v>1602</v>
      </c>
      <c r="G534" s="34" t="s">
        <v>227</v>
      </c>
      <c r="H534" s="34" t="s">
        <v>55</v>
      </c>
      <c r="I534" s="34" t="s">
        <v>57</v>
      </c>
      <c r="J534" s="34" t="s">
        <v>58</v>
      </c>
      <c r="K534" s="34" t="s">
        <v>229</v>
      </c>
      <c r="L534" s="34" t="s">
        <v>230</v>
      </c>
      <c r="M534" s="34" t="s">
        <v>237</v>
      </c>
      <c r="N534" s="34" t="str">
        <f aca="false">"Sector "&amp;VALUE(MID(D534,13,2))</f>
        <v>Sector 8</v>
      </c>
      <c r="O534" s="34" t="str">
        <f aca="false">IF(Dashboard!$C$5="Ubicación técnica",N534,"Sector "&amp;VALUE(RIGHT(G534,2)))</f>
        <v>Sector 8</v>
      </c>
      <c r="P534" s="34" t="str">
        <f aca="false">IF(MID(D534,15,3)="SEL","Subestación eléctrica","Área de proceso")</f>
        <v>Subestación eléctrica</v>
      </c>
      <c r="Q534" s="34" t="str">
        <f aca="false">MID(D534,13,5)&amp;"|"&amp;MID(D534,19,5)</f>
        <v>08SEL|SEP01</v>
      </c>
      <c r="R534" s="34" t="str">
        <f aca="false">IF(P534="Subestación eléctrica",IFERROR(INDEX(cat_SubN,MATCH(Q534,cat_SubK,0)),"SIN CATALOGAR"),"ÁREA DE PROCESO")</f>
        <v>SEP-01</v>
      </c>
      <c r="S534" s="34" t="str">
        <f aca="false">IF(H534="","SIN DATO",IFERROR(INDEX(cat_MarcaN,MATCH(H534,cat_MarcaO,0)),H534))</f>
        <v>SEL</v>
      </c>
      <c r="T534" s="34" t="str">
        <f aca="false">IF(I534="","SIN DATO",IFERROR(INDEX(cat_ModN,MATCH(I534,cat_ModO,0)),I534))</f>
        <v>SEL-735</v>
      </c>
      <c r="U534" s="34" t="str">
        <f aca="false">IF(I534="","",IFERROR(INDEX(cat_ModG,MATCH(I534,cat_ModO,0)),"No"))</f>
        <v>No</v>
      </c>
      <c r="V534" s="34" t="str">
        <f aca="false">IF(J534="","SIN DATO",IFERROR(INDEX(cat_FunN,MATCH(J534,cat_FunO,0)),J534))</f>
        <v>Medición</v>
      </c>
      <c r="W534" s="34" t="str">
        <f aca="false">IF(OR(S534="SIN DATO",T534="SIN DATO"),"No","Sí")</f>
        <v>Sí</v>
      </c>
    </row>
    <row r="535" customFormat="false" ht="15" hidden="false" customHeight="false" outlineLevel="0" collapsed="false">
      <c r="A535" s="34" t="s">
        <v>2128</v>
      </c>
      <c r="B535" s="34" t="s">
        <v>2129</v>
      </c>
      <c r="C535" s="34" t="s">
        <v>2130</v>
      </c>
      <c r="D535" s="34" t="s">
        <v>2124</v>
      </c>
      <c r="E535" s="34" t="s">
        <v>184</v>
      </c>
      <c r="F535" s="34" t="s">
        <v>1602</v>
      </c>
      <c r="G535" s="34" t="s">
        <v>227</v>
      </c>
      <c r="H535" s="34" t="s">
        <v>34</v>
      </c>
      <c r="I535" s="34" t="s">
        <v>40</v>
      </c>
      <c r="J535" s="34" t="s">
        <v>681</v>
      </c>
      <c r="K535" s="34" t="s">
        <v>229</v>
      </c>
      <c r="L535" s="34" t="s">
        <v>230</v>
      </c>
      <c r="M535" s="34" t="s">
        <v>1825</v>
      </c>
      <c r="N535" s="34" t="str">
        <f aca="false">"Sector "&amp;VALUE(MID(D535,13,2))</f>
        <v>Sector 8</v>
      </c>
      <c r="O535" s="34" t="str">
        <f aca="false">IF(Dashboard!$C$5="Ubicación técnica",N535,"Sector "&amp;VALUE(RIGHT(G535,2)))</f>
        <v>Sector 8</v>
      </c>
      <c r="P535" s="34" t="str">
        <f aca="false">IF(MID(D535,15,3)="SEL","Subestación eléctrica","Área de proceso")</f>
        <v>Subestación eléctrica</v>
      </c>
      <c r="Q535" s="34" t="str">
        <f aca="false">MID(D535,13,5)&amp;"|"&amp;MID(D535,19,5)</f>
        <v>08SEL|SEP01</v>
      </c>
      <c r="R535" s="34" t="str">
        <f aca="false">IF(P535="Subestación eléctrica",IFERROR(INDEX(cat_SubN,MATCH(Q535,cat_SubK,0)),"SIN CATALOGAR"),"ÁREA DE PROCESO")</f>
        <v>SEP-01</v>
      </c>
      <c r="S535" s="34" t="str">
        <f aca="false">IF(H535="","SIN DATO",IFERROR(INDEX(cat_MarcaN,MATCH(H535,cat_MarcaO,0)),H535))</f>
        <v>ABB</v>
      </c>
      <c r="T535" s="34" t="str">
        <f aca="false">IF(I535="","SIN DATO",IFERROR(INDEX(cat_ModN,MATCH(I535,cat_ModO,0)),I535))</f>
        <v>REA 101</v>
      </c>
      <c r="U535" s="34" t="str">
        <f aca="false">IF(I535="","",IFERROR(INDEX(cat_ModG,MATCH(I535,cat_ModO,0)),"No"))</f>
        <v>No</v>
      </c>
      <c r="V535" s="34" t="str">
        <f aca="false">IF(J535="","SIN DATO",IFERROR(INDEX(cat_FunN,MATCH(J535,cat_FunO,0)),J535))</f>
        <v>Protección</v>
      </c>
      <c r="W535" s="34" t="str">
        <f aca="false">IF(OR(S535="SIN DATO",T535="SIN DATO"),"No","Sí")</f>
        <v>Sí</v>
      </c>
    </row>
    <row r="536" customFormat="false" ht="15" hidden="false" customHeight="false" outlineLevel="0" collapsed="false">
      <c r="A536" s="34" t="s">
        <v>2131</v>
      </c>
      <c r="B536" s="34" t="s">
        <v>2132</v>
      </c>
      <c r="C536" s="34" t="s">
        <v>2133</v>
      </c>
      <c r="D536" s="34" t="s">
        <v>2134</v>
      </c>
      <c r="E536" s="34" t="s">
        <v>184</v>
      </c>
      <c r="F536" s="34" t="s">
        <v>1602</v>
      </c>
      <c r="G536" s="34" t="s">
        <v>227</v>
      </c>
      <c r="H536" s="34" t="s">
        <v>34</v>
      </c>
      <c r="I536" s="34" t="s">
        <v>43</v>
      </c>
      <c r="J536" s="34" t="s">
        <v>228</v>
      </c>
      <c r="K536" s="34" t="s">
        <v>229</v>
      </c>
      <c r="L536" s="34" t="s">
        <v>230</v>
      </c>
      <c r="M536" s="34" t="s">
        <v>1663</v>
      </c>
      <c r="N536" s="34" t="str">
        <f aca="false">"Sector "&amp;VALUE(MID(D536,13,2))</f>
        <v>Sector 8</v>
      </c>
      <c r="O536" s="34" t="str">
        <f aca="false">IF(Dashboard!$C$5="Ubicación técnica",N536,"Sector "&amp;VALUE(RIGHT(G536,2)))</f>
        <v>Sector 8</v>
      </c>
      <c r="P536" s="34" t="str">
        <f aca="false">IF(MID(D536,15,3)="SEL","Subestación eléctrica","Área de proceso")</f>
        <v>Subestación eléctrica</v>
      </c>
      <c r="Q536" s="34" t="str">
        <f aca="false">MID(D536,13,5)&amp;"|"&amp;MID(D536,19,5)</f>
        <v>08SEL|SEP01</v>
      </c>
      <c r="R536" s="34" t="str">
        <f aca="false">IF(P536="Subestación eléctrica",IFERROR(INDEX(cat_SubN,MATCH(Q536,cat_SubK,0)),"SIN CATALOGAR"),"ÁREA DE PROCESO")</f>
        <v>SEP-01</v>
      </c>
      <c r="S536" s="34" t="str">
        <f aca="false">IF(H536="","SIN DATO",IFERROR(INDEX(cat_MarcaN,MATCH(H536,cat_MarcaO,0)),H536))</f>
        <v>ABB</v>
      </c>
      <c r="T536" s="34" t="str">
        <f aca="false">IF(I536="","SIN DATO",IFERROR(INDEX(cat_ModN,MATCH(I536,cat_ModO,0)),I536))</f>
        <v>RET615A_1G</v>
      </c>
      <c r="U536" s="34" t="str">
        <f aca="false">IF(I536="","",IFERROR(INDEX(cat_ModG,MATCH(I536,cat_ModO,0)),"No"))</f>
        <v>No</v>
      </c>
      <c r="V536" s="34" t="str">
        <f aca="false">IF(J536="","SIN DATO",IFERROR(INDEX(cat_FunN,MATCH(J536,cat_FunO,0)),J536))</f>
        <v>Protección y medición</v>
      </c>
      <c r="W536" s="34" t="str">
        <f aca="false">IF(OR(S536="SIN DATO",T536="SIN DATO"),"No","Sí")</f>
        <v>Sí</v>
      </c>
    </row>
    <row r="537" customFormat="false" ht="15" hidden="false" customHeight="false" outlineLevel="0" collapsed="false">
      <c r="A537" s="34" t="s">
        <v>2135</v>
      </c>
      <c r="B537" s="34" t="s">
        <v>2136</v>
      </c>
      <c r="C537" s="34" t="s">
        <v>2137</v>
      </c>
      <c r="D537" s="34" t="s">
        <v>2134</v>
      </c>
      <c r="E537" s="34" t="s">
        <v>184</v>
      </c>
      <c r="F537" s="34" t="s">
        <v>1602</v>
      </c>
      <c r="G537" s="34" t="s">
        <v>227</v>
      </c>
      <c r="H537" s="34" t="s">
        <v>55</v>
      </c>
      <c r="I537" s="34" t="s">
        <v>57</v>
      </c>
      <c r="J537" s="34" t="s">
        <v>58</v>
      </c>
      <c r="K537" s="34" t="s">
        <v>229</v>
      </c>
      <c r="L537" s="34" t="s">
        <v>230</v>
      </c>
      <c r="M537" s="34" t="s">
        <v>237</v>
      </c>
      <c r="N537" s="34" t="str">
        <f aca="false">"Sector "&amp;VALUE(MID(D537,13,2))</f>
        <v>Sector 8</v>
      </c>
      <c r="O537" s="34" t="str">
        <f aca="false">IF(Dashboard!$C$5="Ubicación técnica",N537,"Sector "&amp;VALUE(RIGHT(G537,2)))</f>
        <v>Sector 8</v>
      </c>
      <c r="P537" s="34" t="str">
        <f aca="false">IF(MID(D537,15,3)="SEL","Subestación eléctrica","Área de proceso")</f>
        <v>Subestación eléctrica</v>
      </c>
      <c r="Q537" s="34" t="str">
        <f aca="false">MID(D537,13,5)&amp;"|"&amp;MID(D537,19,5)</f>
        <v>08SEL|SEP01</v>
      </c>
      <c r="R537" s="34" t="str">
        <f aca="false">IF(P537="Subestación eléctrica",IFERROR(INDEX(cat_SubN,MATCH(Q537,cat_SubK,0)),"SIN CATALOGAR"),"ÁREA DE PROCESO")</f>
        <v>SEP-01</v>
      </c>
      <c r="S537" s="34" t="str">
        <f aca="false">IF(H537="","SIN DATO",IFERROR(INDEX(cat_MarcaN,MATCH(H537,cat_MarcaO,0)),H537))</f>
        <v>SEL</v>
      </c>
      <c r="T537" s="34" t="str">
        <f aca="false">IF(I537="","SIN DATO",IFERROR(INDEX(cat_ModN,MATCH(I537,cat_ModO,0)),I537))</f>
        <v>SEL-735</v>
      </c>
      <c r="U537" s="34" t="str">
        <f aca="false">IF(I537="","",IFERROR(INDEX(cat_ModG,MATCH(I537,cat_ModO,0)),"No"))</f>
        <v>No</v>
      </c>
      <c r="V537" s="34" t="str">
        <f aca="false">IF(J537="","SIN DATO",IFERROR(INDEX(cat_FunN,MATCH(J537,cat_FunO,0)),J537))</f>
        <v>Medición</v>
      </c>
      <c r="W537" s="34" t="str">
        <f aca="false">IF(OR(S537="SIN DATO",T537="SIN DATO"),"No","Sí")</f>
        <v>Sí</v>
      </c>
    </row>
    <row r="538" customFormat="false" ht="15" hidden="false" customHeight="false" outlineLevel="0" collapsed="false">
      <c r="A538" s="34" t="s">
        <v>2138</v>
      </c>
      <c r="B538" s="34" t="s">
        <v>2139</v>
      </c>
      <c r="C538" s="34" t="s">
        <v>2140</v>
      </c>
      <c r="D538" s="34" t="s">
        <v>2141</v>
      </c>
      <c r="E538" s="34" t="s">
        <v>184</v>
      </c>
      <c r="F538" s="34" t="s">
        <v>1602</v>
      </c>
      <c r="G538" s="34" t="s">
        <v>227</v>
      </c>
      <c r="H538" s="34" t="s">
        <v>55</v>
      </c>
      <c r="I538" s="34" t="s">
        <v>57</v>
      </c>
      <c r="J538" s="34" t="s">
        <v>58</v>
      </c>
      <c r="K538" s="34" t="s">
        <v>229</v>
      </c>
      <c r="L538" s="34" t="s">
        <v>230</v>
      </c>
      <c r="M538" s="34" t="s">
        <v>237</v>
      </c>
      <c r="N538" s="34" t="str">
        <f aca="false">"Sector "&amp;VALUE(MID(D538,13,2))</f>
        <v>Sector 8</v>
      </c>
      <c r="O538" s="34" t="str">
        <f aca="false">IF(Dashboard!$C$5="Ubicación técnica",N538,"Sector "&amp;VALUE(RIGHT(G538,2)))</f>
        <v>Sector 8</v>
      </c>
      <c r="P538" s="34" t="str">
        <f aca="false">IF(MID(D538,15,3)="SEL","Subestación eléctrica","Área de proceso")</f>
        <v>Subestación eléctrica</v>
      </c>
      <c r="Q538" s="34" t="str">
        <f aca="false">MID(D538,13,5)&amp;"|"&amp;MID(D538,19,5)</f>
        <v>08SEL|SEP01</v>
      </c>
      <c r="R538" s="34" t="str">
        <f aca="false">IF(P538="Subestación eléctrica",IFERROR(INDEX(cat_SubN,MATCH(Q538,cat_SubK,0)),"SIN CATALOGAR"),"ÁREA DE PROCESO")</f>
        <v>SEP-01</v>
      </c>
      <c r="S538" s="34" t="str">
        <f aca="false">IF(H538="","SIN DATO",IFERROR(INDEX(cat_MarcaN,MATCH(H538,cat_MarcaO,0)),H538))</f>
        <v>SEL</v>
      </c>
      <c r="T538" s="34" t="str">
        <f aca="false">IF(I538="","SIN DATO",IFERROR(INDEX(cat_ModN,MATCH(I538,cat_ModO,0)),I538))</f>
        <v>SEL-735</v>
      </c>
      <c r="U538" s="34" t="str">
        <f aca="false">IF(I538="","",IFERROR(INDEX(cat_ModG,MATCH(I538,cat_ModO,0)),"No"))</f>
        <v>No</v>
      </c>
      <c r="V538" s="34" t="str">
        <f aca="false">IF(J538="","SIN DATO",IFERROR(INDEX(cat_FunN,MATCH(J538,cat_FunO,0)),J538))</f>
        <v>Medición</v>
      </c>
      <c r="W538" s="34" t="str">
        <f aca="false">IF(OR(S538="SIN DATO",T538="SIN DATO"),"No","Sí")</f>
        <v>Sí</v>
      </c>
    </row>
    <row r="539" customFormat="false" ht="15" hidden="false" customHeight="false" outlineLevel="0" collapsed="false">
      <c r="A539" s="34" t="s">
        <v>2142</v>
      </c>
      <c r="B539" s="34" t="s">
        <v>2143</v>
      </c>
      <c r="C539" s="34" t="s">
        <v>2144</v>
      </c>
      <c r="D539" s="34" t="s">
        <v>2145</v>
      </c>
      <c r="E539" s="34" t="s">
        <v>184</v>
      </c>
      <c r="F539" s="34" t="s">
        <v>1602</v>
      </c>
      <c r="G539" s="34" t="s">
        <v>227</v>
      </c>
      <c r="H539" s="34" t="s">
        <v>55</v>
      </c>
      <c r="I539" s="34" t="s">
        <v>2146</v>
      </c>
      <c r="J539" s="34" t="s">
        <v>228</v>
      </c>
      <c r="K539" s="34" t="s">
        <v>229</v>
      </c>
      <c r="L539" s="34" t="s">
        <v>230</v>
      </c>
      <c r="M539" s="34" t="s">
        <v>344</v>
      </c>
      <c r="N539" s="34" t="str">
        <f aca="false">"Sector "&amp;VALUE(MID(D539,13,2))</f>
        <v>Sector 8</v>
      </c>
      <c r="O539" s="34" t="str">
        <f aca="false">IF(Dashboard!$C$5="Ubicación técnica",N539,"Sector "&amp;VALUE(RIGHT(G539,2)))</f>
        <v>Sector 8</v>
      </c>
      <c r="P539" s="34" t="str">
        <f aca="false">IF(MID(D539,15,3)="SEL","Subestación eléctrica","Área de proceso")</f>
        <v>Subestación eléctrica</v>
      </c>
      <c r="Q539" s="34" t="str">
        <f aca="false">MID(D539,13,5)&amp;"|"&amp;MID(D539,19,5)</f>
        <v>08SEL|SEP02</v>
      </c>
      <c r="R539" s="34" t="str">
        <f aca="false">IF(P539="Subestación eléctrica",IFERROR(INDEX(cat_SubN,MATCH(Q539,cat_SubK,0)),"SIN CATALOGAR"),"ÁREA DE PROCESO")</f>
        <v>SEP-02</v>
      </c>
      <c r="S539" s="34" t="str">
        <f aca="false">IF(H539="","SIN DATO",IFERROR(INDEX(cat_MarcaN,MATCH(H539,cat_MarcaO,0)),H539))</f>
        <v>SEL</v>
      </c>
      <c r="T539" s="34" t="str">
        <f aca="false">IF(I539="","SIN DATO",IFERROR(INDEX(cat_ModN,MATCH(I539,cat_ModO,0)),I539))</f>
        <v>SEL-735</v>
      </c>
      <c r="U539" s="34" t="str">
        <f aca="false">IF(I539="","",IFERROR(INDEX(cat_ModG,MATCH(I539,cat_ModO,0)),"No"))</f>
        <v>No</v>
      </c>
      <c r="V539" s="34" t="str">
        <f aca="false">IF(J539="","SIN DATO",IFERROR(INDEX(cat_FunN,MATCH(J539,cat_FunO,0)),J539))</f>
        <v>Protección y medición</v>
      </c>
      <c r="W539" s="34" t="str">
        <f aca="false">IF(OR(S539="SIN DATO",T539="SIN DATO"),"No","Sí")</f>
        <v>Sí</v>
      </c>
    </row>
    <row r="540" customFormat="false" ht="15" hidden="false" customHeight="false" outlineLevel="0" collapsed="false">
      <c r="A540" s="34" t="s">
        <v>2147</v>
      </c>
      <c r="B540" s="34" t="s">
        <v>2148</v>
      </c>
      <c r="C540" s="34" t="s">
        <v>2149</v>
      </c>
      <c r="D540" s="34" t="s">
        <v>2150</v>
      </c>
      <c r="E540" s="34" t="s">
        <v>184</v>
      </c>
      <c r="F540" s="34" t="s">
        <v>1602</v>
      </c>
      <c r="G540" s="34" t="s">
        <v>227</v>
      </c>
      <c r="H540" s="34" t="s">
        <v>55</v>
      </c>
      <c r="I540" s="34" t="s">
        <v>2146</v>
      </c>
      <c r="J540" s="34" t="s">
        <v>228</v>
      </c>
      <c r="K540" s="34" t="s">
        <v>229</v>
      </c>
      <c r="L540" s="34" t="s">
        <v>230</v>
      </c>
      <c r="M540" s="34" t="s">
        <v>344</v>
      </c>
      <c r="N540" s="34" t="str">
        <f aca="false">"Sector "&amp;VALUE(MID(D540,13,2))</f>
        <v>Sector 8</v>
      </c>
      <c r="O540" s="34" t="str">
        <f aca="false">IF(Dashboard!$C$5="Ubicación técnica",N540,"Sector "&amp;VALUE(RIGHT(G540,2)))</f>
        <v>Sector 8</v>
      </c>
      <c r="P540" s="34" t="str">
        <f aca="false">IF(MID(D540,15,3)="SEL","Subestación eléctrica","Área de proceso")</f>
        <v>Subestación eléctrica</v>
      </c>
      <c r="Q540" s="34" t="str">
        <f aca="false">MID(D540,13,5)&amp;"|"&amp;MID(D540,19,5)</f>
        <v>08SEL|SEP02</v>
      </c>
      <c r="R540" s="34" t="str">
        <f aca="false">IF(P540="Subestación eléctrica",IFERROR(INDEX(cat_SubN,MATCH(Q540,cat_SubK,0)),"SIN CATALOGAR"),"ÁREA DE PROCESO")</f>
        <v>SEP-02</v>
      </c>
      <c r="S540" s="34" t="str">
        <f aca="false">IF(H540="","SIN DATO",IFERROR(INDEX(cat_MarcaN,MATCH(H540,cat_MarcaO,0)),H540))</f>
        <v>SEL</v>
      </c>
      <c r="T540" s="34" t="str">
        <f aca="false">IF(I540="","SIN DATO",IFERROR(INDEX(cat_ModN,MATCH(I540,cat_ModO,0)),I540))</f>
        <v>SEL-735</v>
      </c>
      <c r="U540" s="34" t="str">
        <f aca="false">IF(I540="","",IFERROR(INDEX(cat_ModG,MATCH(I540,cat_ModO,0)),"No"))</f>
        <v>No</v>
      </c>
      <c r="V540" s="34" t="str">
        <f aca="false">IF(J540="","SIN DATO",IFERROR(INDEX(cat_FunN,MATCH(J540,cat_FunO,0)),J540))</f>
        <v>Protección y medición</v>
      </c>
      <c r="W540" s="34" t="str">
        <f aca="false">IF(OR(S540="SIN DATO",T540="SIN DATO"),"No","Sí")</f>
        <v>Sí</v>
      </c>
    </row>
    <row r="541" customFormat="false" ht="15" hidden="false" customHeight="false" outlineLevel="0" collapsed="false">
      <c r="A541" s="34" t="s">
        <v>2151</v>
      </c>
      <c r="B541" s="34" t="s">
        <v>2152</v>
      </c>
      <c r="C541" s="34" t="s">
        <v>2153</v>
      </c>
      <c r="D541" s="34" t="s">
        <v>2154</v>
      </c>
      <c r="E541" s="34" t="s">
        <v>184</v>
      </c>
      <c r="F541" s="34" t="s">
        <v>1602</v>
      </c>
      <c r="G541" s="34" t="s">
        <v>227</v>
      </c>
      <c r="H541" s="34" t="s">
        <v>55</v>
      </c>
      <c r="I541" s="34" t="s">
        <v>2146</v>
      </c>
      <c r="J541" s="34" t="s">
        <v>228</v>
      </c>
      <c r="K541" s="34" t="s">
        <v>229</v>
      </c>
      <c r="L541" s="34" t="s">
        <v>230</v>
      </c>
      <c r="M541" s="34" t="s">
        <v>344</v>
      </c>
      <c r="N541" s="34" t="str">
        <f aca="false">"Sector "&amp;VALUE(MID(D541,13,2))</f>
        <v>Sector 8</v>
      </c>
      <c r="O541" s="34" t="str">
        <f aca="false">IF(Dashboard!$C$5="Ubicación técnica",N541,"Sector "&amp;VALUE(RIGHT(G541,2)))</f>
        <v>Sector 8</v>
      </c>
      <c r="P541" s="34" t="str">
        <f aca="false">IF(MID(D541,15,3)="SEL","Subestación eléctrica","Área de proceso")</f>
        <v>Subestación eléctrica</v>
      </c>
      <c r="Q541" s="34" t="str">
        <f aca="false">MID(D541,13,5)&amp;"|"&amp;MID(D541,19,5)</f>
        <v>08SEL|SEP02</v>
      </c>
      <c r="R541" s="34" t="str">
        <f aca="false">IF(P541="Subestación eléctrica",IFERROR(INDEX(cat_SubN,MATCH(Q541,cat_SubK,0)),"SIN CATALOGAR"),"ÁREA DE PROCESO")</f>
        <v>SEP-02</v>
      </c>
      <c r="S541" s="34" t="str">
        <f aca="false">IF(H541="","SIN DATO",IFERROR(INDEX(cat_MarcaN,MATCH(H541,cat_MarcaO,0)),H541))</f>
        <v>SEL</v>
      </c>
      <c r="T541" s="34" t="str">
        <f aca="false">IF(I541="","SIN DATO",IFERROR(INDEX(cat_ModN,MATCH(I541,cat_ModO,0)),I541))</f>
        <v>SEL-735</v>
      </c>
      <c r="U541" s="34" t="str">
        <f aca="false">IF(I541="","",IFERROR(INDEX(cat_ModG,MATCH(I541,cat_ModO,0)),"No"))</f>
        <v>No</v>
      </c>
      <c r="V541" s="34" t="str">
        <f aca="false">IF(J541="","SIN DATO",IFERROR(INDEX(cat_FunN,MATCH(J541,cat_FunO,0)),J541))</f>
        <v>Protección y medición</v>
      </c>
      <c r="W541" s="34" t="str">
        <f aca="false">IF(OR(S541="SIN DATO",T541="SIN DATO"),"No","Sí")</f>
        <v>Sí</v>
      </c>
    </row>
    <row r="542" customFormat="false" ht="15" hidden="false" customHeight="false" outlineLevel="0" collapsed="false">
      <c r="A542" s="34" t="s">
        <v>2155</v>
      </c>
      <c r="B542" s="34" t="s">
        <v>2156</v>
      </c>
      <c r="C542" s="34" t="s">
        <v>2157</v>
      </c>
      <c r="D542" s="34" t="s">
        <v>2158</v>
      </c>
      <c r="E542" s="34" t="s">
        <v>184</v>
      </c>
      <c r="F542" s="34" t="s">
        <v>1602</v>
      </c>
      <c r="G542" s="34" t="s">
        <v>227</v>
      </c>
      <c r="H542" s="34" t="s">
        <v>55</v>
      </c>
      <c r="I542" s="34" t="s">
        <v>2146</v>
      </c>
      <c r="J542" s="34" t="s">
        <v>228</v>
      </c>
      <c r="K542" s="34" t="s">
        <v>229</v>
      </c>
      <c r="L542" s="34" t="s">
        <v>230</v>
      </c>
      <c r="M542" s="34" t="s">
        <v>344</v>
      </c>
      <c r="N542" s="34" t="str">
        <f aca="false">"Sector "&amp;VALUE(MID(D542,13,2))</f>
        <v>Sector 8</v>
      </c>
      <c r="O542" s="34" t="str">
        <f aca="false">IF(Dashboard!$C$5="Ubicación técnica",N542,"Sector "&amp;VALUE(RIGHT(G542,2)))</f>
        <v>Sector 8</v>
      </c>
      <c r="P542" s="34" t="str">
        <f aca="false">IF(MID(D542,15,3)="SEL","Subestación eléctrica","Área de proceso")</f>
        <v>Subestación eléctrica</v>
      </c>
      <c r="Q542" s="34" t="str">
        <f aca="false">MID(D542,13,5)&amp;"|"&amp;MID(D542,19,5)</f>
        <v>08SEL|SEP02</v>
      </c>
      <c r="R542" s="34" t="str">
        <f aca="false">IF(P542="Subestación eléctrica",IFERROR(INDEX(cat_SubN,MATCH(Q542,cat_SubK,0)),"SIN CATALOGAR"),"ÁREA DE PROCESO")</f>
        <v>SEP-02</v>
      </c>
      <c r="S542" s="34" t="str">
        <f aca="false">IF(H542="","SIN DATO",IFERROR(INDEX(cat_MarcaN,MATCH(H542,cat_MarcaO,0)),H542))</f>
        <v>SEL</v>
      </c>
      <c r="T542" s="34" t="str">
        <f aca="false">IF(I542="","SIN DATO",IFERROR(INDEX(cat_ModN,MATCH(I542,cat_ModO,0)),I542))</f>
        <v>SEL-735</v>
      </c>
      <c r="U542" s="34" t="str">
        <f aca="false">IF(I542="","",IFERROR(INDEX(cat_ModG,MATCH(I542,cat_ModO,0)),"No"))</f>
        <v>No</v>
      </c>
      <c r="V542" s="34" t="str">
        <f aca="false">IF(J542="","SIN DATO",IFERROR(INDEX(cat_FunN,MATCH(J542,cat_FunO,0)),J542))</f>
        <v>Protección y medición</v>
      </c>
      <c r="W542" s="34" t="str">
        <f aca="false">IF(OR(S542="SIN DATO",T542="SIN DATO"),"No","Sí")</f>
        <v>Sí</v>
      </c>
    </row>
    <row r="543" customFormat="false" ht="15" hidden="false" customHeight="false" outlineLevel="0" collapsed="false">
      <c r="A543" s="34" t="s">
        <v>2159</v>
      </c>
      <c r="B543" s="34" t="s">
        <v>2160</v>
      </c>
      <c r="C543" s="34" t="s">
        <v>2161</v>
      </c>
      <c r="D543" s="34" t="s">
        <v>2162</v>
      </c>
      <c r="E543" s="34" t="s">
        <v>138</v>
      </c>
      <c r="F543" s="34" t="s">
        <v>1602</v>
      </c>
      <c r="G543" s="34" t="s">
        <v>227</v>
      </c>
      <c r="H543" s="34"/>
      <c r="I543" s="34"/>
      <c r="J543" s="34"/>
      <c r="K543" s="34"/>
      <c r="L543" s="34"/>
      <c r="M543" s="34"/>
      <c r="N543" s="34" t="str">
        <f aca="false">"Sector "&amp;VALUE(MID(D543,13,2))</f>
        <v>Sector 6</v>
      </c>
      <c r="O543" s="34" t="str">
        <f aca="false">IF(Dashboard!$C$5="Ubicación técnica",N543,"Sector "&amp;VALUE(RIGHT(G543,2)))</f>
        <v>Sector 6</v>
      </c>
      <c r="P543" s="34" t="str">
        <f aca="false">IF(MID(D543,15,3)="SEL","Subestación eléctrica","Área de proceso")</f>
        <v>Subestación eléctrica</v>
      </c>
      <c r="Q543" s="34" t="str">
        <f aca="false">MID(D543,13,5)&amp;"|"&amp;MID(D543,19,5)</f>
        <v>06SEL|S_002</v>
      </c>
      <c r="R543" s="34" t="str">
        <f aca="false">IF(P543="Subestación eléctrica",IFERROR(INDEX(cat_SubN,MATCH(Q543,cat_SubK,0)),"SIN CATALOGAR"),"ÁREA DE PROCESO")</f>
        <v>SE-02</v>
      </c>
      <c r="S543" s="34" t="str">
        <f aca="false">IF(H543="","SIN DATO",IFERROR(INDEX(cat_MarcaN,MATCH(H543,cat_MarcaO,0)),H543))</f>
        <v>SIN DATO</v>
      </c>
      <c r="T543" s="34" t="str">
        <f aca="false">IF(I543="","SIN DATO",IFERROR(INDEX(cat_ModN,MATCH(I543,cat_ModO,0)),I543))</f>
        <v>SIN DATO</v>
      </c>
      <c r="U543" s="34" t="str">
        <f aca="false">IF(I543="","",IFERROR(INDEX(cat_ModG,MATCH(I543,cat_ModO,0)),"No"))</f>
        <v/>
      </c>
      <c r="V543" s="34" t="str">
        <f aca="false">IF(J543="","SIN DATO",IFERROR(INDEX(cat_FunN,MATCH(J543,cat_FunO,0)),J543))</f>
        <v>SIN DATO</v>
      </c>
      <c r="W543" s="34" t="str">
        <f aca="false">IF(OR(S543="SIN DATO",T543="SIN DATO"),"No","Sí")</f>
        <v>No</v>
      </c>
    </row>
    <row r="544" customFormat="false" ht="15" hidden="false" customHeight="false" outlineLevel="0" collapsed="false">
      <c r="A544" s="34" t="s">
        <v>2163</v>
      </c>
      <c r="B544" s="34" t="s">
        <v>2164</v>
      </c>
      <c r="C544" s="34" t="s">
        <v>2165</v>
      </c>
      <c r="D544" s="34" t="s">
        <v>2166</v>
      </c>
      <c r="E544" s="34" t="s">
        <v>138</v>
      </c>
      <c r="F544" s="34" t="s">
        <v>1602</v>
      </c>
      <c r="G544" s="34" t="s">
        <v>227</v>
      </c>
      <c r="H544" s="34"/>
      <c r="I544" s="34"/>
      <c r="J544" s="34"/>
      <c r="K544" s="34"/>
      <c r="L544" s="34"/>
      <c r="M544" s="34"/>
      <c r="N544" s="34" t="str">
        <f aca="false">"Sector "&amp;VALUE(MID(D544,13,2))</f>
        <v>Sector 6</v>
      </c>
      <c r="O544" s="34" t="str">
        <f aca="false">IF(Dashboard!$C$5="Ubicación técnica",N544,"Sector "&amp;VALUE(RIGHT(G544,2)))</f>
        <v>Sector 6</v>
      </c>
      <c r="P544" s="34" t="str">
        <f aca="false">IF(MID(D544,15,3)="SEL","Subestación eléctrica","Área de proceso")</f>
        <v>Subestación eléctrica</v>
      </c>
      <c r="Q544" s="34" t="str">
        <f aca="false">MID(D544,13,5)&amp;"|"&amp;MID(D544,19,5)</f>
        <v>06SEL|S_002</v>
      </c>
      <c r="R544" s="34" t="str">
        <f aca="false">IF(P544="Subestación eléctrica",IFERROR(INDEX(cat_SubN,MATCH(Q544,cat_SubK,0)),"SIN CATALOGAR"),"ÁREA DE PROCESO")</f>
        <v>SE-02</v>
      </c>
      <c r="S544" s="34" t="str">
        <f aca="false">IF(H544="","SIN DATO",IFERROR(INDEX(cat_MarcaN,MATCH(H544,cat_MarcaO,0)),H544))</f>
        <v>SIN DATO</v>
      </c>
      <c r="T544" s="34" t="str">
        <f aca="false">IF(I544="","SIN DATO",IFERROR(INDEX(cat_ModN,MATCH(I544,cat_ModO,0)),I544))</f>
        <v>SIN DATO</v>
      </c>
      <c r="U544" s="34" t="str">
        <f aca="false">IF(I544="","",IFERROR(INDEX(cat_ModG,MATCH(I544,cat_ModO,0)),"No"))</f>
        <v/>
      </c>
      <c r="V544" s="34" t="str">
        <f aca="false">IF(J544="","SIN DATO",IFERROR(INDEX(cat_FunN,MATCH(J544,cat_FunO,0)),J544))</f>
        <v>SIN DATO</v>
      </c>
      <c r="W544" s="34" t="str">
        <f aca="false">IF(OR(S544="SIN DATO",T544="SIN DATO"),"No","Sí")</f>
        <v>No</v>
      </c>
    </row>
    <row r="545" customFormat="false" ht="15" hidden="false" customHeight="false" outlineLevel="0" collapsed="false">
      <c r="A545" s="34" t="s">
        <v>2167</v>
      </c>
      <c r="B545" s="34" t="s">
        <v>2168</v>
      </c>
      <c r="C545" s="34" t="s">
        <v>2169</v>
      </c>
      <c r="D545" s="34" t="s">
        <v>2170</v>
      </c>
      <c r="E545" s="34" t="s">
        <v>170</v>
      </c>
      <c r="F545" s="34" t="s">
        <v>1602</v>
      </c>
      <c r="G545" s="34" t="s">
        <v>227</v>
      </c>
      <c r="H545" s="34" t="s">
        <v>55</v>
      </c>
      <c r="I545" s="34" t="s">
        <v>57</v>
      </c>
      <c r="J545" s="34" t="s">
        <v>2171</v>
      </c>
      <c r="K545" s="34" t="s">
        <v>229</v>
      </c>
      <c r="L545" s="34" t="s">
        <v>230</v>
      </c>
      <c r="M545" s="34" t="s">
        <v>237</v>
      </c>
      <c r="N545" s="34" t="str">
        <f aca="false">"Sector "&amp;VALUE(MID(D545,13,2))</f>
        <v>Sector 8</v>
      </c>
      <c r="O545" s="34" t="str">
        <f aca="false">IF(Dashboard!$C$5="Ubicación técnica",N545,"Sector "&amp;VALUE(RIGHT(G545,2)))</f>
        <v>Sector 8</v>
      </c>
      <c r="P545" s="34" t="str">
        <f aca="false">IF(MID(D545,15,3)="SEL","Subestación eléctrica","Área de proceso")</f>
        <v>Subestación eléctrica</v>
      </c>
      <c r="Q545" s="34" t="str">
        <f aca="false">MID(D545,13,5)&amp;"|"&amp;MID(D545,19,5)</f>
        <v>08SEL|S_016</v>
      </c>
      <c r="R545" s="34" t="str">
        <f aca="false">IF(P545="Subestación eléctrica",IFERROR(INDEX(cat_SubN,MATCH(Q545,cat_SubK,0)),"SIN CATALOGAR"),"ÁREA DE PROCESO")</f>
        <v>SE-16</v>
      </c>
      <c r="S545" s="34" t="str">
        <f aca="false">IF(H545="","SIN DATO",IFERROR(INDEX(cat_MarcaN,MATCH(H545,cat_MarcaO,0)),H545))</f>
        <v>SEL</v>
      </c>
      <c r="T545" s="34" t="str">
        <f aca="false">IF(I545="","SIN DATO",IFERROR(INDEX(cat_ModN,MATCH(I545,cat_ModO,0)),I545))</f>
        <v>SEL-735</v>
      </c>
      <c r="U545" s="34" t="str">
        <f aca="false">IF(I545="","",IFERROR(INDEX(cat_ModG,MATCH(I545,cat_ModO,0)),"No"))</f>
        <v>No</v>
      </c>
      <c r="V545" s="34" t="str">
        <f aca="false">IF(J545="","SIN DATO",IFERROR(INDEX(cat_FunN,MATCH(J545,cat_FunO,0)),J545))</f>
        <v>Medición</v>
      </c>
      <c r="W545" s="34" t="str">
        <f aca="false">IF(OR(S545="SIN DATO",T545="SIN DATO"),"No","Sí")</f>
        <v>Sí</v>
      </c>
    </row>
    <row r="546" customFormat="false" ht="15" hidden="false" customHeight="false" outlineLevel="0" collapsed="false">
      <c r="A546" s="34" t="s">
        <v>2172</v>
      </c>
      <c r="B546" s="34" t="s">
        <v>2173</v>
      </c>
      <c r="C546" s="34" t="s">
        <v>2174</v>
      </c>
      <c r="D546" s="34" t="s">
        <v>2175</v>
      </c>
      <c r="E546" s="34" t="s">
        <v>170</v>
      </c>
      <c r="F546" s="34" t="s">
        <v>1602</v>
      </c>
      <c r="G546" s="34" t="s">
        <v>227</v>
      </c>
      <c r="H546" s="34" t="s">
        <v>55</v>
      </c>
      <c r="I546" s="34" t="s">
        <v>57</v>
      </c>
      <c r="J546" s="34" t="s">
        <v>2171</v>
      </c>
      <c r="K546" s="34" t="s">
        <v>229</v>
      </c>
      <c r="L546" s="34" t="s">
        <v>230</v>
      </c>
      <c r="M546" s="34" t="s">
        <v>237</v>
      </c>
      <c r="N546" s="34" t="str">
        <f aca="false">"Sector "&amp;VALUE(MID(D546,13,2))</f>
        <v>Sector 8</v>
      </c>
      <c r="O546" s="34" t="str">
        <f aca="false">IF(Dashboard!$C$5="Ubicación técnica",N546,"Sector "&amp;VALUE(RIGHT(G546,2)))</f>
        <v>Sector 8</v>
      </c>
      <c r="P546" s="34" t="str">
        <f aca="false">IF(MID(D546,15,3)="SEL","Subestación eléctrica","Área de proceso")</f>
        <v>Subestación eléctrica</v>
      </c>
      <c r="Q546" s="34" t="str">
        <f aca="false">MID(D546,13,5)&amp;"|"&amp;MID(D546,19,5)</f>
        <v>08SEL|S_016</v>
      </c>
      <c r="R546" s="34" t="str">
        <f aca="false">IF(P546="Subestación eléctrica",IFERROR(INDEX(cat_SubN,MATCH(Q546,cat_SubK,0)),"SIN CATALOGAR"),"ÁREA DE PROCESO")</f>
        <v>SE-16</v>
      </c>
      <c r="S546" s="34" t="str">
        <f aca="false">IF(H546="","SIN DATO",IFERROR(INDEX(cat_MarcaN,MATCH(H546,cat_MarcaO,0)),H546))</f>
        <v>SEL</v>
      </c>
      <c r="T546" s="34" t="str">
        <f aca="false">IF(I546="","SIN DATO",IFERROR(INDEX(cat_ModN,MATCH(I546,cat_ModO,0)),I546))</f>
        <v>SEL-735</v>
      </c>
      <c r="U546" s="34" t="str">
        <f aca="false">IF(I546="","",IFERROR(INDEX(cat_ModG,MATCH(I546,cat_ModO,0)),"No"))</f>
        <v>No</v>
      </c>
      <c r="V546" s="34" t="str">
        <f aca="false">IF(J546="","SIN DATO",IFERROR(INDEX(cat_FunN,MATCH(J546,cat_FunO,0)),J546))</f>
        <v>Medición</v>
      </c>
      <c r="W546" s="34" t="str">
        <f aca="false">IF(OR(S546="SIN DATO",T546="SIN DATO"),"No","Sí")</f>
        <v>Sí</v>
      </c>
    </row>
    <row r="547" customFormat="false" ht="15" hidden="false" customHeight="false" outlineLevel="0" collapsed="false">
      <c r="A547" s="34" t="s">
        <v>2176</v>
      </c>
      <c r="B547" s="34" t="s">
        <v>2177</v>
      </c>
      <c r="C547" s="34" t="s">
        <v>2178</v>
      </c>
      <c r="D547" s="34" t="s">
        <v>2179</v>
      </c>
      <c r="E547" s="34" t="s">
        <v>178</v>
      </c>
      <c r="F547" s="34" t="s">
        <v>1602</v>
      </c>
      <c r="G547" s="34" t="s">
        <v>227</v>
      </c>
      <c r="H547" s="34" t="s">
        <v>55</v>
      </c>
      <c r="I547" s="34" t="s">
        <v>57</v>
      </c>
      <c r="J547" s="34" t="s">
        <v>58</v>
      </c>
      <c r="K547" s="34" t="s">
        <v>229</v>
      </c>
      <c r="L547" s="34" t="s">
        <v>230</v>
      </c>
      <c r="M547" s="34" t="s">
        <v>237</v>
      </c>
      <c r="N547" s="34" t="str">
        <f aca="false">"Sector "&amp;VALUE(MID(D547,13,2))</f>
        <v>Sector 8</v>
      </c>
      <c r="O547" s="34" t="str">
        <f aca="false">IF(Dashboard!$C$5="Ubicación técnica",N547,"Sector "&amp;VALUE(RIGHT(G547,2)))</f>
        <v>Sector 8</v>
      </c>
      <c r="P547" s="34" t="str">
        <f aca="false">IF(MID(D547,15,3)="SEL","Subestación eléctrica","Área de proceso")</f>
        <v>Subestación eléctrica</v>
      </c>
      <c r="Q547" s="34" t="str">
        <f aca="false">MID(D547,13,5)&amp;"|"&amp;MID(D547,19,5)</f>
        <v>08SEL|S_019</v>
      </c>
      <c r="R547" s="34" t="str">
        <f aca="false">IF(P547="Subestación eléctrica",IFERROR(INDEX(cat_SubN,MATCH(Q547,cat_SubK,0)),"SIN CATALOGAR"),"ÁREA DE PROCESO")</f>
        <v>SE-19</v>
      </c>
      <c r="S547" s="34" t="str">
        <f aca="false">IF(H547="","SIN DATO",IFERROR(INDEX(cat_MarcaN,MATCH(H547,cat_MarcaO,0)),H547))</f>
        <v>SEL</v>
      </c>
      <c r="T547" s="34" t="str">
        <f aca="false">IF(I547="","SIN DATO",IFERROR(INDEX(cat_ModN,MATCH(I547,cat_ModO,0)),I547))</f>
        <v>SEL-735</v>
      </c>
      <c r="U547" s="34" t="str">
        <f aca="false">IF(I547="","",IFERROR(INDEX(cat_ModG,MATCH(I547,cat_ModO,0)),"No"))</f>
        <v>No</v>
      </c>
      <c r="V547" s="34" t="str">
        <f aca="false">IF(J547="","SIN DATO",IFERROR(INDEX(cat_FunN,MATCH(J547,cat_FunO,0)),J547))</f>
        <v>Medición</v>
      </c>
      <c r="W547" s="34" t="str">
        <f aca="false">IF(OR(S547="SIN DATO",T547="SIN DATO"),"No","Sí")</f>
        <v>Sí</v>
      </c>
    </row>
    <row r="548" customFormat="false" ht="15" hidden="false" customHeight="false" outlineLevel="0" collapsed="false">
      <c r="A548" s="34" t="s">
        <v>2180</v>
      </c>
      <c r="B548" s="34" t="s">
        <v>2181</v>
      </c>
      <c r="C548" s="34" t="s">
        <v>2182</v>
      </c>
      <c r="D548" s="34" t="s">
        <v>2183</v>
      </c>
      <c r="E548" s="34" t="s">
        <v>178</v>
      </c>
      <c r="F548" s="34" t="s">
        <v>1602</v>
      </c>
      <c r="G548" s="34" t="s">
        <v>227</v>
      </c>
      <c r="H548" s="34" t="s">
        <v>55</v>
      </c>
      <c r="I548" s="34" t="s">
        <v>57</v>
      </c>
      <c r="J548" s="34" t="s">
        <v>58</v>
      </c>
      <c r="K548" s="34" t="s">
        <v>229</v>
      </c>
      <c r="L548" s="34" t="s">
        <v>230</v>
      </c>
      <c r="M548" s="34" t="s">
        <v>237</v>
      </c>
      <c r="N548" s="34" t="str">
        <f aca="false">"Sector "&amp;VALUE(MID(D548,13,2))</f>
        <v>Sector 8</v>
      </c>
      <c r="O548" s="34" t="str">
        <f aca="false">IF(Dashboard!$C$5="Ubicación técnica",N548,"Sector "&amp;VALUE(RIGHT(G548,2)))</f>
        <v>Sector 8</v>
      </c>
      <c r="P548" s="34" t="str">
        <f aca="false">IF(MID(D548,15,3)="SEL","Subestación eléctrica","Área de proceso")</f>
        <v>Subestación eléctrica</v>
      </c>
      <c r="Q548" s="34" t="str">
        <f aca="false">MID(D548,13,5)&amp;"|"&amp;MID(D548,19,5)</f>
        <v>08SEL|S_019</v>
      </c>
      <c r="R548" s="34" t="str">
        <f aca="false">IF(P548="Subestación eléctrica",IFERROR(INDEX(cat_SubN,MATCH(Q548,cat_SubK,0)),"SIN CATALOGAR"),"ÁREA DE PROCESO")</f>
        <v>SE-19</v>
      </c>
      <c r="S548" s="34" t="str">
        <f aca="false">IF(H548="","SIN DATO",IFERROR(INDEX(cat_MarcaN,MATCH(H548,cat_MarcaO,0)),H548))</f>
        <v>SEL</v>
      </c>
      <c r="T548" s="34" t="str">
        <f aca="false">IF(I548="","SIN DATO",IFERROR(INDEX(cat_ModN,MATCH(I548,cat_ModO,0)),I548))</f>
        <v>SEL-735</v>
      </c>
      <c r="U548" s="34" t="str">
        <f aca="false">IF(I548="","",IFERROR(INDEX(cat_ModG,MATCH(I548,cat_ModO,0)),"No"))</f>
        <v>No</v>
      </c>
      <c r="V548" s="34" t="str">
        <f aca="false">IF(J548="","SIN DATO",IFERROR(INDEX(cat_FunN,MATCH(J548,cat_FunO,0)),J548))</f>
        <v>Medición</v>
      </c>
      <c r="W548" s="34" t="str">
        <f aca="false">IF(OR(S548="SIN DATO",T548="SIN DATO"),"No","Sí")</f>
        <v>Sí</v>
      </c>
    </row>
    <row r="549" customFormat="false" ht="15" hidden="false" customHeight="false" outlineLevel="0" collapsed="false">
      <c r="A549" s="34" t="s">
        <v>2184</v>
      </c>
      <c r="B549" s="34" t="s">
        <v>2185</v>
      </c>
      <c r="C549" s="34" t="s">
        <v>2186</v>
      </c>
      <c r="D549" s="34" t="s">
        <v>2187</v>
      </c>
      <c r="E549" s="34" t="s">
        <v>184</v>
      </c>
      <c r="F549" s="34" t="s">
        <v>1602</v>
      </c>
      <c r="G549" s="34" t="s">
        <v>227</v>
      </c>
      <c r="H549" s="34" t="s">
        <v>55</v>
      </c>
      <c r="I549" s="34" t="s">
        <v>2146</v>
      </c>
      <c r="J549" s="34" t="s">
        <v>228</v>
      </c>
      <c r="K549" s="34" t="s">
        <v>229</v>
      </c>
      <c r="L549" s="34" t="s">
        <v>230</v>
      </c>
      <c r="M549" s="34" t="s">
        <v>344</v>
      </c>
      <c r="N549" s="34" t="str">
        <f aca="false">"Sector "&amp;VALUE(MID(D549,13,2))</f>
        <v>Sector 8</v>
      </c>
      <c r="O549" s="34" t="str">
        <f aca="false">IF(Dashboard!$C$5="Ubicación técnica",N549,"Sector "&amp;VALUE(RIGHT(G549,2)))</f>
        <v>Sector 8</v>
      </c>
      <c r="P549" s="34" t="str">
        <f aca="false">IF(MID(D549,15,3)="SEL","Subestación eléctrica","Área de proceso")</f>
        <v>Subestación eléctrica</v>
      </c>
      <c r="Q549" s="34" t="str">
        <f aca="false">MID(D549,13,5)&amp;"|"&amp;MID(D549,19,5)</f>
        <v>08SEL|SEP02</v>
      </c>
      <c r="R549" s="34" t="str">
        <f aca="false">IF(P549="Subestación eléctrica",IFERROR(INDEX(cat_SubN,MATCH(Q549,cat_SubK,0)),"SIN CATALOGAR"),"ÁREA DE PROCESO")</f>
        <v>SEP-02</v>
      </c>
      <c r="S549" s="34" t="str">
        <f aca="false">IF(H549="","SIN DATO",IFERROR(INDEX(cat_MarcaN,MATCH(H549,cat_MarcaO,0)),H549))</f>
        <v>SEL</v>
      </c>
      <c r="T549" s="34" t="str">
        <f aca="false">IF(I549="","SIN DATO",IFERROR(INDEX(cat_ModN,MATCH(I549,cat_ModO,0)),I549))</f>
        <v>SEL-735</v>
      </c>
      <c r="U549" s="34" t="str">
        <f aca="false">IF(I549="","",IFERROR(INDEX(cat_ModG,MATCH(I549,cat_ModO,0)),"No"))</f>
        <v>No</v>
      </c>
      <c r="V549" s="34" t="str">
        <f aca="false">IF(J549="","SIN DATO",IFERROR(INDEX(cat_FunN,MATCH(J549,cat_FunO,0)),J549))</f>
        <v>Protección y medición</v>
      </c>
      <c r="W549" s="34" t="str">
        <f aca="false">IF(OR(S549="SIN DATO",T549="SIN DATO"),"No","Sí")</f>
        <v>Sí</v>
      </c>
    </row>
    <row r="550" customFormat="false" ht="15" hidden="false" customHeight="false" outlineLevel="0" collapsed="false">
      <c r="A550" s="34" t="s">
        <v>2188</v>
      </c>
      <c r="B550" s="34" t="s">
        <v>2189</v>
      </c>
      <c r="C550" s="34" t="s">
        <v>2190</v>
      </c>
      <c r="D550" s="34" t="s">
        <v>2187</v>
      </c>
      <c r="E550" s="34" t="s">
        <v>184</v>
      </c>
      <c r="F550" s="34" t="s">
        <v>1602</v>
      </c>
      <c r="G550" s="34" t="s">
        <v>227</v>
      </c>
      <c r="H550" s="34" t="s">
        <v>55</v>
      </c>
      <c r="I550" s="34" t="s">
        <v>2146</v>
      </c>
      <c r="J550" s="34" t="s">
        <v>228</v>
      </c>
      <c r="K550" s="34" t="s">
        <v>229</v>
      </c>
      <c r="L550" s="34" t="s">
        <v>230</v>
      </c>
      <c r="M550" s="34" t="s">
        <v>344</v>
      </c>
      <c r="N550" s="34" t="str">
        <f aca="false">"Sector "&amp;VALUE(MID(D550,13,2))</f>
        <v>Sector 8</v>
      </c>
      <c r="O550" s="34" t="str">
        <f aca="false">IF(Dashboard!$C$5="Ubicación técnica",N550,"Sector "&amp;VALUE(RIGHT(G550,2)))</f>
        <v>Sector 8</v>
      </c>
      <c r="P550" s="34" t="str">
        <f aca="false">IF(MID(D550,15,3)="SEL","Subestación eléctrica","Área de proceso")</f>
        <v>Subestación eléctrica</v>
      </c>
      <c r="Q550" s="34" t="str">
        <f aca="false">MID(D550,13,5)&amp;"|"&amp;MID(D550,19,5)</f>
        <v>08SEL|SEP02</v>
      </c>
      <c r="R550" s="34" t="str">
        <f aca="false">IF(P550="Subestación eléctrica",IFERROR(INDEX(cat_SubN,MATCH(Q550,cat_SubK,0)),"SIN CATALOGAR"),"ÁREA DE PROCESO")</f>
        <v>SEP-02</v>
      </c>
      <c r="S550" s="34" t="str">
        <f aca="false">IF(H550="","SIN DATO",IFERROR(INDEX(cat_MarcaN,MATCH(H550,cat_MarcaO,0)),H550))</f>
        <v>SEL</v>
      </c>
      <c r="T550" s="34" t="str">
        <f aca="false">IF(I550="","SIN DATO",IFERROR(INDEX(cat_ModN,MATCH(I550,cat_ModO,0)),I550))</f>
        <v>SEL-735</v>
      </c>
      <c r="U550" s="34" t="str">
        <f aca="false">IF(I550="","",IFERROR(INDEX(cat_ModG,MATCH(I550,cat_ModO,0)),"No"))</f>
        <v>No</v>
      </c>
      <c r="V550" s="34" t="str">
        <f aca="false">IF(J550="","SIN DATO",IFERROR(INDEX(cat_FunN,MATCH(J550,cat_FunO,0)),J550))</f>
        <v>Protección y medición</v>
      </c>
      <c r="W550" s="34" t="str">
        <f aca="false">IF(OR(S550="SIN DATO",T550="SIN DATO"),"No","Sí")</f>
        <v>Sí</v>
      </c>
    </row>
    <row r="551" customFormat="false" ht="15" hidden="false" customHeight="false" outlineLevel="0" collapsed="false">
      <c r="A551" s="34" t="s">
        <v>2191</v>
      </c>
      <c r="B551" s="34" t="s">
        <v>2192</v>
      </c>
      <c r="C551" s="34" t="s">
        <v>2193</v>
      </c>
      <c r="D551" s="34" t="s">
        <v>2194</v>
      </c>
      <c r="E551" s="34" t="s">
        <v>184</v>
      </c>
      <c r="F551" s="34" t="s">
        <v>1602</v>
      </c>
      <c r="G551" s="34" t="s">
        <v>227</v>
      </c>
      <c r="H551" s="34" t="s">
        <v>55</v>
      </c>
      <c r="I551" s="34" t="s">
        <v>2146</v>
      </c>
      <c r="J551" s="34" t="s">
        <v>228</v>
      </c>
      <c r="K551" s="34" t="s">
        <v>229</v>
      </c>
      <c r="L551" s="34" t="s">
        <v>230</v>
      </c>
      <c r="M551" s="34" t="s">
        <v>344</v>
      </c>
      <c r="N551" s="34" t="str">
        <f aca="false">"Sector "&amp;VALUE(MID(D551,13,2))</f>
        <v>Sector 8</v>
      </c>
      <c r="O551" s="34" t="str">
        <f aca="false">IF(Dashboard!$C$5="Ubicación técnica",N551,"Sector "&amp;VALUE(RIGHT(G551,2)))</f>
        <v>Sector 8</v>
      </c>
      <c r="P551" s="34" t="str">
        <f aca="false">IF(MID(D551,15,3)="SEL","Subestación eléctrica","Área de proceso")</f>
        <v>Subestación eléctrica</v>
      </c>
      <c r="Q551" s="34" t="str">
        <f aca="false">MID(D551,13,5)&amp;"|"&amp;MID(D551,19,5)</f>
        <v>08SEL|SEP02</v>
      </c>
      <c r="R551" s="34" t="str">
        <f aca="false">IF(P551="Subestación eléctrica",IFERROR(INDEX(cat_SubN,MATCH(Q551,cat_SubK,0)),"SIN CATALOGAR"),"ÁREA DE PROCESO")</f>
        <v>SEP-02</v>
      </c>
      <c r="S551" s="34" t="str">
        <f aca="false">IF(H551="","SIN DATO",IFERROR(INDEX(cat_MarcaN,MATCH(H551,cat_MarcaO,0)),H551))</f>
        <v>SEL</v>
      </c>
      <c r="T551" s="34" t="str">
        <f aca="false">IF(I551="","SIN DATO",IFERROR(INDEX(cat_ModN,MATCH(I551,cat_ModO,0)),I551))</f>
        <v>SEL-735</v>
      </c>
      <c r="U551" s="34" t="str">
        <f aca="false">IF(I551="","",IFERROR(INDEX(cat_ModG,MATCH(I551,cat_ModO,0)),"No"))</f>
        <v>No</v>
      </c>
      <c r="V551" s="34" t="str">
        <f aca="false">IF(J551="","SIN DATO",IFERROR(INDEX(cat_FunN,MATCH(J551,cat_FunO,0)),J551))</f>
        <v>Protección y medición</v>
      </c>
      <c r="W551" s="34" t="str">
        <f aca="false">IF(OR(S551="SIN DATO",T551="SIN DATO"),"No","Sí")</f>
        <v>Sí</v>
      </c>
    </row>
    <row r="552" customFormat="false" ht="15" hidden="false" customHeight="false" outlineLevel="0" collapsed="false">
      <c r="A552" s="34" t="s">
        <v>2195</v>
      </c>
      <c r="B552" s="34" t="s">
        <v>2196</v>
      </c>
      <c r="C552" s="34" t="s">
        <v>2197</v>
      </c>
      <c r="D552" s="34" t="s">
        <v>2187</v>
      </c>
      <c r="E552" s="34" t="s">
        <v>184</v>
      </c>
      <c r="F552" s="34" t="s">
        <v>1602</v>
      </c>
      <c r="G552" s="34" t="s">
        <v>227</v>
      </c>
      <c r="H552" s="34" t="s">
        <v>55</v>
      </c>
      <c r="I552" s="34" t="s">
        <v>2146</v>
      </c>
      <c r="J552" s="34" t="s">
        <v>228</v>
      </c>
      <c r="K552" s="34" t="s">
        <v>229</v>
      </c>
      <c r="L552" s="34" t="s">
        <v>230</v>
      </c>
      <c r="M552" s="34" t="s">
        <v>344</v>
      </c>
      <c r="N552" s="34" t="str">
        <f aca="false">"Sector "&amp;VALUE(MID(D552,13,2))</f>
        <v>Sector 8</v>
      </c>
      <c r="O552" s="34" t="str">
        <f aca="false">IF(Dashboard!$C$5="Ubicación técnica",N552,"Sector "&amp;VALUE(RIGHT(G552,2)))</f>
        <v>Sector 8</v>
      </c>
      <c r="P552" s="34" t="str">
        <f aca="false">IF(MID(D552,15,3)="SEL","Subestación eléctrica","Área de proceso")</f>
        <v>Subestación eléctrica</v>
      </c>
      <c r="Q552" s="34" t="str">
        <f aca="false">MID(D552,13,5)&amp;"|"&amp;MID(D552,19,5)</f>
        <v>08SEL|SEP02</v>
      </c>
      <c r="R552" s="34" t="str">
        <f aca="false">IF(P552="Subestación eléctrica",IFERROR(INDEX(cat_SubN,MATCH(Q552,cat_SubK,0)),"SIN CATALOGAR"),"ÁREA DE PROCESO")</f>
        <v>SEP-02</v>
      </c>
      <c r="S552" s="34" t="str">
        <f aca="false">IF(H552="","SIN DATO",IFERROR(INDEX(cat_MarcaN,MATCH(H552,cat_MarcaO,0)),H552))</f>
        <v>SEL</v>
      </c>
      <c r="T552" s="34" t="str">
        <f aca="false">IF(I552="","SIN DATO",IFERROR(INDEX(cat_ModN,MATCH(I552,cat_ModO,0)),I552))</f>
        <v>SEL-735</v>
      </c>
      <c r="U552" s="34" t="str">
        <f aca="false">IF(I552="","",IFERROR(INDEX(cat_ModG,MATCH(I552,cat_ModO,0)),"No"))</f>
        <v>No</v>
      </c>
      <c r="V552" s="34" t="str">
        <f aca="false">IF(J552="","SIN DATO",IFERROR(INDEX(cat_FunN,MATCH(J552,cat_FunO,0)),J552))</f>
        <v>Protección y medición</v>
      </c>
      <c r="W552" s="34" t="str">
        <f aca="false">IF(OR(S552="SIN DATO",T552="SIN DATO"),"No","Sí")</f>
        <v>Sí</v>
      </c>
    </row>
    <row r="553" customFormat="false" ht="15" hidden="false" customHeight="false" outlineLevel="0" collapsed="false">
      <c r="A553" s="34" t="s">
        <v>2198</v>
      </c>
      <c r="B553" s="34" t="s">
        <v>2199</v>
      </c>
      <c r="C553" s="34" t="s">
        <v>2200</v>
      </c>
      <c r="D553" s="34" t="s">
        <v>2194</v>
      </c>
      <c r="E553" s="34" t="s">
        <v>184</v>
      </c>
      <c r="F553" s="34" t="s">
        <v>1602</v>
      </c>
      <c r="G553" s="34" t="s">
        <v>227</v>
      </c>
      <c r="H553" s="34" t="s">
        <v>55</v>
      </c>
      <c r="I553" s="34" t="s">
        <v>2146</v>
      </c>
      <c r="J553" s="34" t="s">
        <v>228</v>
      </c>
      <c r="K553" s="34" t="s">
        <v>229</v>
      </c>
      <c r="L553" s="34" t="s">
        <v>230</v>
      </c>
      <c r="M553" s="34" t="s">
        <v>344</v>
      </c>
      <c r="N553" s="34" t="str">
        <f aca="false">"Sector "&amp;VALUE(MID(D553,13,2))</f>
        <v>Sector 8</v>
      </c>
      <c r="O553" s="34" t="str">
        <f aca="false">IF(Dashboard!$C$5="Ubicación técnica",N553,"Sector "&amp;VALUE(RIGHT(G553,2)))</f>
        <v>Sector 8</v>
      </c>
      <c r="P553" s="34" t="str">
        <f aca="false">IF(MID(D553,15,3)="SEL","Subestación eléctrica","Área de proceso")</f>
        <v>Subestación eléctrica</v>
      </c>
      <c r="Q553" s="34" t="str">
        <f aca="false">MID(D553,13,5)&amp;"|"&amp;MID(D553,19,5)</f>
        <v>08SEL|SEP02</v>
      </c>
      <c r="R553" s="34" t="str">
        <f aca="false">IF(P553="Subestación eléctrica",IFERROR(INDEX(cat_SubN,MATCH(Q553,cat_SubK,0)),"SIN CATALOGAR"),"ÁREA DE PROCESO")</f>
        <v>SEP-02</v>
      </c>
      <c r="S553" s="34" t="str">
        <f aca="false">IF(H553="","SIN DATO",IFERROR(INDEX(cat_MarcaN,MATCH(H553,cat_MarcaO,0)),H553))</f>
        <v>SEL</v>
      </c>
      <c r="T553" s="34" t="str">
        <f aca="false">IF(I553="","SIN DATO",IFERROR(INDEX(cat_ModN,MATCH(I553,cat_ModO,0)),I553))</f>
        <v>SEL-735</v>
      </c>
      <c r="U553" s="34" t="str">
        <f aca="false">IF(I553="","",IFERROR(INDEX(cat_ModG,MATCH(I553,cat_ModO,0)),"No"))</f>
        <v>No</v>
      </c>
      <c r="V553" s="34" t="str">
        <f aca="false">IF(J553="","SIN DATO",IFERROR(INDEX(cat_FunN,MATCH(J553,cat_FunO,0)),J553))</f>
        <v>Protección y medición</v>
      </c>
      <c r="W553" s="34" t="str">
        <f aca="false">IF(OR(S553="SIN DATO",T553="SIN DATO"),"No","Sí")</f>
        <v>Sí</v>
      </c>
    </row>
    <row r="554" customFormat="false" ht="15" hidden="false" customHeight="false" outlineLevel="0" collapsed="false">
      <c r="A554" s="34" t="s">
        <v>2201</v>
      </c>
      <c r="B554" s="34" t="s">
        <v>2202</v>
      </c>
      <c r="C554" s="34" t="s">
        <v>2203</v>
      </c>
      <c r="D554" s="34" t="s">
        <v>2187</v>
      </c>
      <c r="E554" s="34" t="s">
        <v>184</v>
      </c>
      <c r="F554" s="34" t="s">
        <v>1602</v>
      </c>
      <c r="G554" s="34" t="s">
        <v>227</v>
      </c>
      <c r="H554" s="34" t="s">
        <v>55</v>
      </c>
      <c r="I554" s="34" t="s">
        <v>2146</v>
      </c>
      <c r="J554" s="34" t="s">
        <v>228</v>
      </c>
      <c r="K554" s="34" t="s">
        <v>229</v>
      </c>
      <c r="L554" s="34" t="s">
        <v>230</v>
      </c>
      <c r="M554" s="34" t="s">
        <v>344</v>
      </c>
      <c r="N554" s="34" t="str">
        <f aca="false">"Sector "&amp;VALUE(MID(D554,13,2))</f>
        <v>Sector 8</v>
      </c>
      <c r="O554" s="34" t="str">
        <f aca="false">IF(Dashboard!$C$5="Ubicación técnica",N554,"Sector "&amp;VALUE(RIGHT(G554,2)))</f>
        <v>Sector 8</v>
      </c>
      <c r="P554" s="34" t="str">
        <f aca="false">IF(MID(D554,15,3)="SEL","Subestación eléctrica","Área de proceso")</f>
        <v>Subestación eléctrica</v>
      </c>
      <c r="Q554" s="34" t="str">
        <f aca="false">MID(D554,13,5)&amp;"|"&amp;MID(D554,19,5)</f>
        <v>08SEL|SEP02</v>
      </c>
      <c r="R554" s="34" t="str">
        <f aca="false">IF(P554="Subestación eléctrica",IFERROR(INDEX(cat_SubN,MATCH(Q554,cat_SubK,0)),"SIN CATALOGAR"),"ÁREA DE PROCESO")</f>
        <v>SEP-02</v>
      </c>
      <c r="S554" s="34" t="str">
        <f aca="false">IF(H554="","SIN DATO",IFERROR(INDEX(cat_MarcaN,MATCH(H554,cat_MarcaO,0)),H554))</f>
        <v>SEL</v>
      </c>
      <c r="T554" s="34" t="str">
        <f aca="false">IF(I554="","SIN DATO",IFERROR(INDEX(cat_ModN,MATCH(I554,cat_ModO,0)),I554))</f>
        <v>SEL-735</v>
      </c>
      <c r="U554" s="34" t="str">
        <f aca="false">IF(I554="","",IFERROR(INDEX(cat_ModG,MATCH(I554,cat_ModO,0)),"No"))</f>
        <v>No</v>
      </c>
      <c r="V554" s="34" t="str">
        <f aca="false">IF(J554="","SIN DATO",IFERROR(INDEX(cat_FunN,MATCH(J554,cat_FunO,0)),J554))</f>
        <v>Protección y medición</v>
      </c>
      <c r="W554" s="34" t="str">
        <f aca="false">IF(OR(S554="SIN DATO",T554="SIN DATO"),"No","Sí")</f>
        <v>Sí</v>
      </c>
    </row>
    <row r="555" customFormat="false" ht="15" hidden="false" customHeight="false" outlineLevel="0" collapsed="false">
      <c r="A555" s="34" t="s">
        <v>2204</v>
      </c>
      <c r="B555" s="34" t="s">
        <v>2205</v>
      </c>
      <c r="C555" s="34" t="s">
        <v>2206</v>
      </c>
      <c r="D555" s="34" t="s">
        <v>2194</v>
      </c>
      <c r="E555" s="34" t="s">
        <v>184</v>
      </c>
      <c r="F555" s="34" t="s">
        <v>1602</v>
      </c>
      <c r="G555" s="34" t="s">
        <v>227</v>
      </c>
      <c r="H555" s="34" t="s">
        <v>55</v>
      </c>
      <c r="I555" s="34" t="s">
        <v>2146</v>
      </c>
      <c r="J555" s="34" t="s">
        <v>228</v>
      </c>
      <c r="K555" s="34" t="s">
        <v>229</v>
      </c>
      <c r="L555" s="34" t="s">
        <v>230</v>
      </c>
      <c r="M555" s="34" t="s">
        <v>344</v>
      </c>
      <c r="N555" s="34" t="str">
        <f aca="false">"Sector "&amp;VALUE(MID(D555,13,2))</f>
        <v>Sector 8</v>
      </c>
      <c r="O555" s="34" t="str">
        <f aca="false">IF(Dashboard!$C$5="Ubicación técnica",N555,"Sector "&amp;VALUE(RIGHT(G555,2)))</f>
        <v>Sector 8</v>
      </c>
      <c r="P555" s="34" t="str">
        <f aca="false">IF(MID(D555,15,3)="SEL","Subestación eléctrica","Área de proceso")</f>
        <v>Subestación eléctrica</v>
      </c>
      <c r="Q555" s="34" t="str">
        <f aca="false">MID(D555,13,5)&amp;"|"&amp;MID(D555,19,5)</f>
        <v>08SEL|SEP02</v>
      </c>
      <c r="R555" s="34" t="str">
        <f aca="false">IF(P555="Subestación eléctrica",IFERROR(INDEX(cat_SubN,MATCH(Q555,cat_SubK,0)),"SIN CATALOGAR"),"ÁREA DE PROCESO")</f>
        <v>SEP-02</v>
      </c>
      <c r="S555" s="34" t="str">
        <f aca="false">IF(H555="","SIN DATO",IFERROR(INDEX(cat_MarcaN,MATCH(H555,cat_MarcaO,0)),H555))</f>
        <v>SEL</v>
      </c>
      <c r="T555" s="34" t="str">
        <f aca="false">IF(I555="","SIN DATO",IFERROR(INDEX(cat_ModN,MATCH(I555,cat_ModO,0)),I555))</f>
        <v>SEL-735</v>
      </c>
      <c r="U555" s="34" t="str">
        <f aca="false">IF(I555="","",IFERROR(INDEX(cat_ModG,MATCH(I555,cat_ModO,0)),"No"))</f>
        <v>No</v>
      </c>
      <c r="V555" s="34" t="str">
        <f aca="false">IF(J555="","SIN DATO",IFERROR(INDEX(cat_FunN,MATCH(J555,cat_FunO,0)),J555))</f>
        <v>Protección y medición</v>
      </c>
      <c r="W555" s="34" t="str">
        <f aca="false">IF(OR(S555="SIN DATO",T555="SIN DATO"),"No","Sí")</f>
        <v>Sí</v>
      </c>
    </row>
    <row r="556" customFormat="false" ht="15" hidden="false" customHeight="false" outlineLevel="0" collapsed="false">
      <c r="A556" s="34" t="s">
        <v>2207</v>
      </c>
      <c r="B556" s="34" t="s">
        <v>2208</v>
      </c>
      <c r="C556" s="34" t="s">
        <v>2209</v>
      </c>
      <c r="D556" s="34" t="s">
        <v>2187</v>
      </c>
      <c r="E556" s="34" t="s">
        <v>184</v>
      </c>
      <c r="F556" s="34" t="s">
        <v>1602</v>
      </c>
      <c r="G556" s="34" t="s">
        <v>227</v>
      </c>
      <c r="H556" s="34" t="s">
        <v>55</v>
      </c>
      <c r="I556" s="34" t="s">
        <v>2146</v>
      </c>
      <c r="J556" s="34" t="s">
        <v>228</v>
      </c>
      <c r="K556" s="34" t="s">
        <v>229</v>
      </c>
      <c r="L556" s="34" t="s">
        <v>230</v>
      </c>
      <c r="M556" s="34" t="s">
        <v>344</v>
      </c>
      <c r="N556" s="34" t="str">
        <f aca="false">"Sector "&amp;VALUE(MID(D556,13,2))</f>
        <v>Sector 8</v>
      </c>
      <c r="O556" s="34" t="str">
        <f aca="false">IF(Dashboard!$C$5="Ubicación técnica",N556,"Sector "&amp;VALUE(RIGHT(G556,2)))</f>
        <v>Sector 8</v>
      </c>
      <c r="P556" s="34" t="str">
        <f aca="false">IF(MID(D556,15,3)="SEL","Subestación eléctrica","Área de proceso")</f>
        <v>Subestación eléctrica</v>
      </c>
      <c r="Q556" s="34" t="str">
        <f aca="false">MID(D556,13,5)&amp;"|"&amp;MID(D556,19,5)</f>
        <v>08SEL|SEP02</v>
      </c>
      <c r="R556" s="34" t="str">
        <f aca="false">IF(P556="Subestación eléctrica",IFERROR(INDEX(cat_SubN,MATCH(Q556,cat_SubK,0)),"SIN CATALOGAR"),"ÁREA DE PROCESO")</f>
        <v>SEP-02</v>
      </c>
      <c r="S556" s="34" t="str">
        <f aca="false">IF(H556="","SIN DATO",IFERROR(INDEX(cat_MarcaN,MATCH(H556,cat_MarcaO,0)),H556))</f>
        <v>SEL</v>
      </c>
      <c r="T556" s="34" t="str">
        <f aca="false">IF(I556="","SIN DATO",IFERROR(INDEX(cat_ModN,MATCH(I556,cat_ModO,0)),I556))</f>
        <v>SEL-735</v>
      </c>
      <c r="U556" s="34" t="str">
        <f aca="false">IF(I556="","",IFERROR(INDEX(cat_ModG,MATCH(I556,cat_ModO,0)),"No"))</f>
        <v>No</v>
      </c>
      <c r="V556" s="34" t="str">
        <f aca="false">IF(J556="","SIN DATO",IFERROR(INDEX(cat_FunN,MATCH(J556,cat_FunO,0)),J556))</f>
        <v>Protección y medición</v>
      </c>
      <c r="W556" s="34" t="str">
        <f aca="false">IF(OR(S556="SIN DATO",T556="SIN DATO"),"No","Sí")</f>
        <v>Sí</v>
      </c>
    </row>
    <row r="557" customFormat="false" ht="15" hidden="false" customHeight="false" outlineLevel="0" collapsed="false">
      <c r="A557" s="34" t="s">
        <v>2210</v>
      </c>
      <c r="B557" s="34" t="s">
        <v>2211</v>
      </c>
      <c r="C557" s="34" t="s">
        <v>2212</v>
      </c>
      <c r="D557" s="34" t="s">
        <v>2194</v>
      </c>
      <c r="E557" s="34" t="s">
        <v>184</v>
      </c>
      <c r="F557" s="34" t="s">
        <v>1602</v>
      </c>
      <c r="G557" s="34" t="s">
        <v>227</v>
      </c>
      <c r="H557" s="34" t="s">
        <v>55</v>
      </c>
      <c r="I557" s="34" t="s">
        <v>2146</v>
      </c>
      <c r="J557" s="34" t="s">
        <v>228</v>
      </c>
      <c r="K557" s="34" t="s">
        <v>229</v>
      </c>
      <c r="L557" s="34" t="s">
        <v>230</v>
      </c>
      <c r="M557" s="34" t="s">
        <v>344</v>
      </c>
      <c r="N557" s="34" t="str">
        <f aca="false">"Sector "&amp;VALUE(MID(D557,13,2))</f>
        <v>Sector 8</v>
      </c>
      <c r="O557" s="34" t="str">
        <f aca="false">IF(Dashboard!$C$5="Ubicación técnica",N557,"Sector "&amp;VALUE(RIGHT(G557,2)))</f>
        <v>Sector 8</v>
      </c>
      <c r="P557" s="34" t="str">
        <f aca="false">IF(MID(D557,15,3)="SEL","Subestación eléctrica","Área de proceso")</f>
        <v>Subestación eléctrica</v>
      </c>
      <c r="Q557" s="34" t="str">
        <f aca="false">MID(D557,13,5)&amp;"|"&amp;MID(D557,19,5)</f>
        <v>08SEL|SEP02</v>
      </c>
      <c r="R557" s="34" t="str">
        <f aca="false">IF(P557="Subestación eléctrica",IFERROR(INDEX(cat_SubN,MATCH(Q557,cat_SubK,0)),"SIN CATALOGAR"),"ÁREA DE PROCESO")</f>
        <v>SEP-02</v>
      </c>
      <c r="S557" s="34" t="str">
        <f aca="false">IF(H557="","SIN DATO",IFERROR(INDEX(cat_MarcaN,MATCH(H557,cat_MarcaO,0)),H557))</f>
        <v>SEL</v>
      </c>
      <c r="T557" s="34" t="str">
        <f aca="false">IF(I557="","SIN DATO",IFERROR(INDEX(cat_ModN,MATCH(I557,cat_ModO,0)),I557))</f>
        <v>SEL-735</v>
      </c>
      <c r="U557" s="34" t="str">
        <f aca="false">IF(I557="","",IFERROR(INDEX(cat_ModG,MATCH(I557,cat_ModO,0)),"No"))</f>
        <v>No</v>
      </c>
      <c r="V557" s="34" t="str">
        <f aca="false">IF(J557="","SIN DATO",IFERROR(INDEX(cat_FunN,MATCH(J557,cat_FunO,0)),J557))</f>
        <v>Protección y medición</v>
      </c>
      <c r="W557" s="34" t="str">
        <f aca="false">IF(OR(S557="SIN DATO",T557="SIN DATO"),"No","Sí")</f>
        <v>Sí</v>
      </c>
    </row>
    <row r="558" customFormat="false" ht="15" hidden="false" customHeight="false" outlineLevel="0" collapsed="false">
      <c r="A558" s="34" t="s">
        <v>2213</v>
      </c>
      <c r="B558" s="34" t="s">
        <v>2214</v>
      </c>
      <c r="C558" s="34" t="s">
        <v>2215</v>
      </c>
      <c r="D558" s="34" t="s">
        <v>2187</v>
      </c>
      <c r="E558" s="34" t="s">
        <v>184</v>
      </c>
      <c r="F558" s="34" t="s">
        <v>1602</v>
      </c>
      <c r="G558" s="34" t="s">
        <v>227</v>
      </c>
      <c r="H558" s="34" t="s">
        <v>55</v>
      </c>
      <c r="I558" s="34" t="s">
        <v>2146</v>
      </c>
      <c r="J558" s="34" t="s">
        <v>228</v>
      </c>
      <c r="K558" s="34" t="s">
        <v>229</v>
      </c>
      <c r="L558" s="34" t="s">
        <v>230</v>
      </c>
      <c r="M558" s="34" t="s">
        <v>344</v>
      </c>
      <c r="N558" s="34" t="str">
        <f aca="false">"Sector "&amp;VALUE(MID(D558,13,2))</f>
        <v>Sector 8</v>
      </c>
      <c r="O558" s="34" t="str">
        <f aca="false">IF(Dashboard!$C$5="Ubicación técnica",N558,"Sector "&amp;VALUE(RIGHT(G558,2)))</f>
        <v>Sector 8</v>
      </c>
      <c r="P558" s="34" t="str">
        <f aca="false">IF(MID(D558,15,3)="SEL","Subestación eléctrica","Área de proceso")</f>
        <v>Subestación eléctrica</v>
      </c>
      <c r="Q558" s="34" t="str">
        <f aca="false">MID(D558,13,5)&amp;"|"&amp;MID(D558,19,5)</f>
        <v>08SEL|SEP02</v>
      </c>
      <c r="R558" s="34" t="str">
        <f aca="false">IF(P558="Subestación eléctrica",IFERROR(INDEX(cat_SubN,MATCH(Q558,cat_SubK,0)),"SIN CATALOGAR"),"ÁREA DE PROCESO")</f>
        <v>SEP-02</v>
      </c>
      <c r="S558" s="34" t="str">
        <f aca="false">IF(H558="","SIN DATO",IFERROR(INDEX(cat_MarcaN,MATCH(H558,cat_MarcaO,0)),H558))</f>
        <v>SEL</v>
      </c>
      <c r="T558" s="34" t="str">
        <f aca="false">IF(I558="","SIN DATO",IFERROR(INDEX(cat_ModN,MATCH(I558,cat_ModO,0)),I558))</f>
        <v>SEL-735</v>
      </c>
      <c r="U558" s="34" t="str">
        <f aca="false">IF(I558="","",IFERROR(INDEX(cat_ModG,MATCH(I558,cat_ModO,0)),"No"))</f>
        <v>No</v>
      </c>
      <c r="V558" s="34" t="str">
        <f aca="false">IF(J558="","SIN DATO",IFERROR(INDEX(cat_FunN,MATCH(J558,cat_FunO,0)),J558))</f>
        <v>Protección y medición</v>
      </c>
      <c r="W558" s="34" t="str">
        <f aca="false">IF(OR(S558="SIN DATO",T558="SIN DATO"),"No","Sí")</f>
        <v>Sí</v>
      </c>
    </row>
    <row r="559" customFormat="false" ht="15" hidden="false" customHeight="false" outlineLevel="0" collapsed="false">
      <c r="A559" s="34" t="s">
        <v>2216</v>
      </c>
      <c r="B559" s="34" t="s">
        <v>2217</v>
      </c>
      <c r="C559" s="34" t="s">
        <v>2218</v>
      </c>
      <c r="D559" s="34" t="s">
        <v>2194</v>
      </c>
      <c r="E559" s="34" t="s">
        <v>184</v>
      </c>
      <c r="F559" s="34" t="s">
        <v>1602</v>
      </c>
      <c r="G559" s="34" t="s">
        <v>227</v>
      </c>
      <c r="H559" s="34" t="s">
        <v>55</v>
      </c>
      <c r="I559" s="34" t="s">
        <v>2146</v>
      </c>
      <c r="J559" s="34" t="s">
        <v>228</v>
      </c>
      <c r="K559" s="34" t="s">
        <v>229</v>
      </c>
      <c r="L559" s="34" t="s">
        <v>230</v>
      </c>
      <c r="M559" s="34" t="s">
        <v>344</v>
      </c>
      <c r="N559" s="34" t="str">
        <f aca="false">"Sector "&amp;VALUE(MID(D559,13,2))</f>
        <v>Sector 8</v>
      </c>
      <c r="O559" s="34" t="str">
        <f aca="false">IF(Dashboard!$C$5="Ubicación técnica",N559,"Sector "&amp;VALUE(RIGHT(G559,2)))</f>
        <v>Sector 8</v>
      </c>
      <c r="P559" s="34" t="str">
        <f aca="false">IF(MID(D559,15,3)="SEL","Subestación eléctrica","Área de proceso")</f>
        <v>Subestación eléctrica</v>
      </c>
      <c r="Q559" s="34" t="str">
        <f aca="false">MID(D559,13,5)&amp;"|"&amp;MID(D559,19,5)</f>
        <v>08SEL|SEP02</v>
      </c>
      <c r="R559" s="34" t="str">
        <f aca="false">IF(P559="Subestación eléctrica",IFERROR(INDEX(cat_SubN,MATCH(Q559,cat_SubK,0)),"SIN CATALOGAR"),"ÁREA DE PROCESO")</f>
        <v>SEP-02</v>
      </c>
      <c r="S559" s="34" t="str">
        <f aca="false">IF(H559="","SIN DATO",IFERROR(INDEX(cat_MarcaN,MATCH(H559,cat_MarcaO,0)),H559))</f>
        <v>SEL</v>
      </c>
      <c r="T559" s="34" t="str">
        <f aca="false">IF(I559="","SIN DATO",IFERROR(INDEX(cat_ModN,MATCH(I559,cat_ModO,0)),I559))</f>
        <v>SEL-735</v>
      </c>
      <c r="U559" s="34" t="str">
        <f aca="false">IF(I559="","",IFERROR(INDEX(cat_ModG,MATCH(I559,cat_ModO,0)),"No"))</f>
        <v>No</v>
      </c>
      <c r="V559" s="34" t="str">
        <f aca="false">IF(J559="","SIN DATO",IFERROR(INDEX(cat_FunN,MATCH(J559,cat_FunO,0)),J559))</f>
        <v>Protección y medición</v>
      </c>
      <c r="W559" s="34" t="str">
        <f aca="false">IF(OR(S559="SIN DATO",T559="SIN DATO"),"No","Sí")</f>
        <v>Sí</v>
      </c>
    </row>
    <row r="560" customFormat="false" ht="15" hidden="false" customHeight="false" outlineLevel="0" collapsed="false">
      <c r="A560" s="34" t="s">
        <v>2219</v>
      </c>
      <c r="B560" s="34" t="s">
        <v>2220</v>
      </c>
      <c r="C560" s="34" t="s">
        <v>2221</v>
      </c>
      <c r="D560" s="34" t="s">
        <v>2222</v>
      </c>
      <c r="E560" s="34" t="s">
        <v>138</v>
      </c>
      <c r="F560" s="34" t="s">
        <v>1602</v>
      </c>
      <c r="G560" s="34" t="s">
        <v>227</v>
      </c>
      <c r="H560" s="34"/>
      <c r="I560" s="34"/>
      <c r="J560" s="34"/>
      <c r="K560" s="34"/>
      <c r="L560" s="34"/>
      <c r="M560" s="34"/>
      <c r="N560" s="34" t="str">
        <f aca="false">"Sector "&amp;VALUE(MID(D560,13,2))</f>
        <v>Sector 6</v>
      </c>
      <c r="O560" s="34" t="str">
        <f aca="false">IF(Dashboard!$C$5="Ubicación técnica",N560,"Sector "&amp;VALUE(RIGHT(G560,2)))</f>
        <v>Sector 6</v>
      </c>
      <c r="P560" s="34" t="str">
        <f aca="false">IF(MID(D560,15,3)="SEL","Subestación eléctrica","Área de proceso")</f>
        <v>Subestación eléctrica</v>
      </c>
      <c r="Q560" s="34" t="str">
        <f aca="false">MID(D560,13,5)&amp;"|"&amp;MID(D560,19,5)</f>
        <v>06SEL|S_002</v>
      </c>
      <c r="R560" s="34" t="str">
        <f aca="false">IF(P560="Subestación eléctrica",IFERROR(INDEX(cat_SubN,MATCH(Q560,cat_SubK,0)),"SIN CATALOGAR"),"ÁREA DE PROCESO")</f>
        <v>SE-02</v>
      </c>
      <c r="S560" s="34" t="str">
        <f aca="false">IF(H560="","SIN DATO",IFERROR(INDEX(cat_MarcaN,MATCH(H560,cat_MarcaO,0)),H560))</f>
        <v>SIN DATO</v>
      </c>
      <c r="T560" s="34" t="str">
        <f aca="false">IF(I560="","SIN DATO",IFERROR(INDEX(cat_ModN,MATCH(I560,cat_ModO,0)),I560))</f>
        <v>SIN DATO</v>
      </c>
      <c r="U560" s="34" t="str">
        <f aca="false">IF(I560="","",IFERROR(INDEX(cat_ModG,MATCH(I560,cat_ModO,0)),"No"))</f>
        <v/>
      </c>
      <c r="V560" s="34" t="str">
        <f aca="false">IF(J560="","SIN DATO",IFERROR(INDEX(cat_FunN,MATCH(J560,cat_FunO,0)),J560))</f>
        <v>SIN DATO</v>
      </c>
      <c r="W560" s="34" t="str">
        <f aca="false">IF(OR(S560="SIN DATO",T560="SIN DATO"),"No","Sí")</f>
        <v>No</v>
      </c>
    </row>
    <row r="561" customFormat="false" ht="15" hidden="false" customHeight="false" outlineLevel="0" collapsed="false">
      <c r="A561" s="34" t="s">
        <v>2223</v>
      </c>
      <c r="B561" s="34" t="s">
        <v>2224</v>
      </c>
      <c r="C561" s="34" t="s">
        <v>2225</v>
      </c>
      <c r="D561" s="34" t="s">
        <v>2226</v>
      </c>
      <c r="E561" s="34" t="s">
        <v>138</v>
      </c>
      <c r="F561" s="34" t="s">
        <v>1602</v>
      </c>
      <c r="G561" s="34" t="s">
        <v>227</v>
      </c>
      <c r="H561" s="34"/>
      <c r="I561" s="34"/>
      <c r="J561" s="34"/>
      <c r="K561" s="34"/>
      <c r="L561" s="34"/>
      <c r="M561" s="34"/>
      <c r="N561" s="34" t="str">
        <f aca="false">"Sector "&amp;VALUE(MID(D561,13,2))</f>
        <v>Sector 6</v>
      </c>
      <c r="O561" s="34" t="str">
        <f aca="false">IF(Dashboard!$C$5="Ubicación técnica",N561,"Sector "&amp;VALUE(RIGHT(G561,2)))</f>
        <v>Sector 6</v>
      </c>
      <c r="P561" s="34" t="str">
        <f aca="false">IF(MID(D561,15,3)="SEL","Subestación eléctrica","Área de proceso")</f>
        <v>Subestación eléctrica</v>
      </c>
      <c r="Q561" s="34" t="str">
        <f aca="false">MID(D561,13,5)&amp;"|"&amp;MID(D561,19,5)</f>
        <v>06SEL|S_002</v>
      </c>
      <c r="R561" s="34" t="str">
        <f aca="false">IF(P561="Subestación eléctrica",IFERROR(INDEX(cat_SubN,MATCH(Q561,cat_SubK,0)),"SIN CATALOGAR"),"ÁREA DE PROCESO")</f>
        <v>SE-02</v>
      </c>
      <c r="S561" s="34" t="str">
        <f aca="false">IF(H561="","SIN DATO",IFERROR(INDEX(cat_MarcaN,MATCH(H561,cat_MarcaO,0)),H561))</f>
        <v>SIN DATO</v>
      </c>
      <c r="T561" s="34" t="str">
        <f aca="false">IF(I561="","SIN DATO",IFERROR(INDEX(cat_ModN,MATCH(I561,cat_ModO,0)),I561))</f>
        <v>SIN DATO</v>
      </c>
      <c r="U561" s="34" t="str">
        <f aca="false">IF(I561="","",IFERROR(INDEX(cat_ModG,MATCH(I561,cat_ModO,0)),"No"))</f>
        <v/>
      </c>
      <c r="V561" s="34" t="str">
        <f aca="false">IF(J561="","SIN DATO",IFERROR(INDEX(cat_FunN,MATCH(J561,cat_FunO,0)),J561))</f>
        <v>SIN DATO</v>
      </c>
      <c r="W561" s="34" t="str">
        <f aca="false">IF(OR(S561="SIN DATO",T561="SIN DATO"),"No","Sí")</f>
        <v>No</v>
      </c>
    </row>
    <row r="562" customFormat="false" ht="15" hidden="false" customHeight="false" outlineLevel="0" collapsed="false">
      <c r="A562" s="34" t="s">
        <v>2227</v>
      </c>
      <c r="B562" s="34" t="s">
        <v>2228</v>
      </c>
      <c r="C562" s="34" t="s">
        <v>2229</v>
      </c>
      <c r="D562" s="34" t="s">
        <v>2230</v>
      </c>
      <c r="E562" s="34" t="s">
        <v>168</v>
      </c>
      <c r="F562" s="34" t="s">
        <v>1602</v>
      </c>
      <c r="G562" s="34" t="s">
        <v>227</v>
      </c>
      <c r="H562" s="34" t="s">
        <v>55</v>
      </c>
      <c r="I562" s="34" t="s">
        <v>59</v>
      </c>
      <c r="J562" s="34" t="s">
        <v>2231</v>
      </c>
      <c r="K562" s="34" t="s">
        <v>229</v>
      </c>
      <c r="L562" s="34" t="s">
        <v>230</v>
      </c>
      <c r="M562" s="34" t="s">
        <v>237</v>
      </c>
      <c r="N562" s="34" t="str">
        <f aca="false">"Sector "&amp;VALUE(MID(D562,13,2))</f>
        <v>Sector 8</v>
      </c>
      <c r="O562" s="34" t="str">
        <f aca="false">IF(Dashboard!$C$5="Ubicación técnica",N562,"Sector "&amp;VALUE(RIGHT(G562,2)))</f>
        <v>Sector 8</v>
      </c>
      <c r="P562" s="34" t="str">
        <f aca="false">IF(MID(D562,15,3)="SEL","Subestación eléctrica","Área de proceso")</f>
        <v>Subestación eléctrica</v>
      </c>
      <c r="Q562" s="34" t="str">
        <f aca="false">MID(D562,13,5)&amp;"|"&amp;MID(D562,19,5)</f>
        <v>08SEL|S_001</v>
      </c>
      <c r="R562" s="34" t="str">
        <f aca="false">IF(P562="Subestación eléctrica",IFERROR(INDEX(cat_SubN,MATCH(Q562,cat_SubK,0)),"SIN CATALOGAR"),"ÁREA DE PROCESO")</f>
        <v>SE-01</v>
      </c>
      <c r="S562" s="34" t="str">
        <f aca="false">IF(H562="","SIN DATO",IFERROR(INDEX(cat_MarcaN,MATCH(H562,cat_MarcaO,0)),H562))</f>
        <v>SEL</v>
      </c>
      <c r="T562" s="34" t="str">
        <f aca="false">IF(I562="","SIN DATO",IFERROR(INDEX(cat_ModN,MATCH(I562,cat_ModO,0)),I562))</f>
        <v>SEL-751</v>
      </c>
      <c r="U562" s="34" t="str">
        <f aca="false">IF(I562="","",IFERROR(INDEX(cat_ModG,MATCH(I562,cat_ModO,0)),"No"))</f>
        <v>No</v>
      </c>
      <c r="V562" s="34" t="str">
        <f aca="false">IF(J562="","SIN DATO",IFERROR(INDEX(cat_FunN,MATCH(J562,cat_FunO,0)),J562))</f>
        <v>Protección</v>
      </c>
      <c r="W562" s="34" t="str">
        <f aca="false">IF(OR(S562="SIN DATO",T562="SIN DATO"),"No","Sí")</f>
        <v>Sí</v>
      </c>
    </row>
    <row r="563" customFormat="false" ht="15" hidden="false" customHeight="false" outlineLevel="0" collapsed="false">
      <c r="A563" s="34" t="s">
        <v>2232</v>
      </c>
      <c r="B563" s="34" t="s">
        <v>2233</v>
      </c>
      <c r="C563" s="34" t="s">
        <v>2234</v>
      </c>
      <c r="D563" s="34" t="s">
        <v>2235</v>
      </c>
      <c r="E563" s="34" t="s">
        <v>168</v>
      </c>
      <c r="F563" s="34" t="s">
        <v>1602</v>
      </c>
      <c r="G563" s="34" t="s">
        <v>227</v>
      </c>
      <c r="H563" s="34" t="s">
        <v>55</v>
      </c>
      <c r="I563" s="34" t="s">
        <v>59</v>
      </c>
      <c r="J563" s="34" t="s">
        <v>2231</v>
      </c>
      <c r="K563" s="34" t="s">
        <v>229</v>
      </c>
      <c r="L563" s="34" t="s">
        <v>230</v>
      </c>
      <c r="M563" s="34" t="s">
        <v>237</v>
      </c>
      <c r="N563" s="34" t="str">
        <f aca="false">"Sector "&amp;VALUE(MID(D563,13,2))</f>
        <v>Sector 8</v>
      </c>
      <c r="O563" s="34" t="str">
        <f aca="false">IF(Dashboard!$C$5="Ubicación técnica",N563,"Sector "&amp;VALUE(RIGHT(G563,2)))</f>
        <v>Sector 8</v>
      </c>
      <c r="P563" s="34" t="str">
        <f aca="false">IF(MID(D563,15,3)="SEL","Subestación eléctrica","Área de proceso")</f>
        <v>Subestación eléctrica</v>
      </c>
      <c r="Q563" s="34" t="str">
        <f aca="false">MID(D563,13,5)&amp;"|"&amp;MID(D563,19,5)</f>
        <v>08SEL|S_001</v>
      </c>
      <c r="R563" s="34" t="str">
        <f aca="false">IF(P563="Subestación eléctrica",IFERROR(INDEX(cat_SubN,MATCH(Q563,cat_SubK,0)),"SIN CATALOGAR"),"ÁREA DE PROCESO")</f>
        <v>SE-01</v>
      </c>
      <c r="S563" s="34" t="str">
        <f aca="false">IF(H563="","SIN DATO",IFERROR(INDEX(cat_MarcaN,MATCH(H563,cat_MarcaO,0)),H563))</f>
        <v>SEL</v>
      </c>
      <c r="T563" s="34" t="str">
        <f aca="false">IF(I563="","SIN DATO",IFERROR(INDEX(cat_ModN,MATCH(I563,cat_ModO,0)),I563))</f>
        <v>SEL-751</v>
      </c>
      <c r="U563" s="34" t="str">
        <f aca="false">IF(I563="","",IFERROR(INDEX(cat_ModG,MATCH(I563,cat_ModO,0)),"No"))</f>
        <v>No</v>
      </c>
      <c r="V563" s="34" t="str">
        <f aca="false">IF(J563="","SIN DATO",IFERROR(INDEX(cat_FunN,MATCH(J563,cat_FunO,0)),J563))</f>
        <v>Protección</v>
      </c>
      <c r="W563" s="34" t="str">
        <f aca="false">IF(OR(S563="SIN DATO",T563="SIN DATO"),"No","Sí")</f>
        <v>Sí</v>
      </c>
    </row>
    <row r="564" customFormat="false" ht="15" hidden="false" customHeight="false" outlineLevel="0" collapsed="false">
      <c r="A564" s="34" t="s">
        <v>2236</v>
      </c>
      <c r="B564" s="34" t="s">
        <v>2237</v>
      </c>
      <c r="C564" s="34" t="s">
        <v>2238</v>
      </c>
      <c r="D564" s="34" t="s">
        <v>2239</v>
      </c>
      <c r="E564" s="34" t="s">
        <v>168</v>
      </c>
      <c r="F564" s="34" t="s">
        <v>1602</v>
      </c>
      <c r="G564" s="34" t="s">
        <v>227</v>
      </c>
      <c r="H564" s="34" t="s">
        <v>55</v>
      </c>
      <c r="I564" s="34" t="s">
        <v>59</v>
      </c>
      <c r="J564" s="34" t="s">
        <v>2231</v>
      </c>
      <c r="K564" s="34" t="s">
        <v>229</v>
      </c>
      <c r="L564" s="34" t="s">
        <v>230</v>
      </c>
      <c r="M564" s="34" t="s">
        <v>237</v>
      </c>
      <c r="N564" s="34" t="str">
        <f aca="false">"Sector "&amp;VALUE(MID(D564,13,2))</f>
        <v>Sector 8</v>
      </c>
      <c r="O564" s="34" t="str">
        <f aca="false">IF(Dashboard!$C$5="Ubicación técnica",N564,"Sector "&amp;VALUE(RIGHT(G564,2)))</f>
        <v>Sector 8</v>
      </c>
      <c r="P564" s="34" t="str">
        <f aca="false">IF(MID(D564,15,3)="SEL","Subestación eléctrica","Área de proceso")</f>
        <v>Subestación eléctrica</v>
      </c>
      <c r="Q564" s="34" t="str">
        <f aca="false">MID(D564,13,5)&amp;"|"&amp;MID(D564,19,5)</f>
        <v>08SEL|S_001</v>
      </c>
      <c r="R564" s="34" t="str">
        <f aca="false">IF(P564="Subestación eléctrica",IFERROR(INDEX(cat_SubN,MATCH(Q564,cat_SubK,0)),"SIN CATALOGAR"),"ÁREA DE PROCESO")</f>
        <v>SE-01</v>
      </c>
      <c r="S564" s="34" t="str">
        <f aca="false">IF(H564="","SIN DATO",IFERROR(INDEX(cat_MarcaN,MATCH(H564,cat_MarcaO,0)),H564))</f>
        <v>SEL</v>
      </c>
      <c r="T564" s="34" t="str">
        <f aca="false">IF(I564="","SIN DATO",IFERROR(INDEX(cat_ModN,MATCH(I564,cat_ModO,0)),I564))</f>
        <v>SEL-751</v>
      </c>
      <c r="U564" s="34" t="str">
        <f aca="false">IF(I564="","",IFERROR(INDEX(cat_ModG,MATCH(I564,cat_ModO,0)),"No"))</f>
        <v>No</v>
      </c>
      <c r="V564" s="34" t="str">
        <f aca="false">IF(J564="","SIN DATO",IFERROR(INDEX(cat_FunN,MATCH(J564,cat_FunO,0)),J564))</f>
        <v>Protección</v>
      </c>
      <c r="W564" s="34" t="str">
        <f aca="false">IF(OR(S564="SIN DATO",T564="SIN DATO"),"No","Sí")</f>
        <v>Sí</v>
      </c>
    </row>
    <row r="565" customFormat="false" ht="15" hidden="false" customHeight="false" outlineLevel="0" collapsed="false">
      <c r="A565" s="34" t="s">
        <v>2240</v>
      </c>
      <c r="B565" s="34" t="s">
        <v>2241</v>
      </c>
      <c r="C565" s="34" t="s">
        <v>2242</v>
      </c>
      <c r="D565" s="34" t="s">
        <v>2243</v>
      </c>
      <c r="E565" s="34" t="s">
        <v>168</v>
      </c>
      <c r="F565" s="34" t="s">
        <v>1602</v>
      </c>
      <c r="G565" s="34" t="s">
        <v>227</v>
      </c>
      <c r="H565" s="34" t="s">
        <v>55</v>
      </c>
      <c r="I565" s="34" t="s">
        <v>59</v>
      </c>
      <c r="J565" s="34" t="s">
        <v>2231</v>
      </c>
      <c r="K565" s="34" t="s">
        <v>229</v>
      </c>
      <c r="L565" s="34" t="s">
        <v>230</v>
      </c>
      <c r="M565" s="34" t="s">
        <v>237</v>
      </c>
      <c r="N565" s="34" t="str">
        <f aca="false">"Sector "&amp;VALUE(MID(D565,13,2))</f>
        <v>Sector 8</v>
      </c>
      <c r="O565" s="34" t="str">
        <f aca="false">IF(Dashboard!$C$5="Ubicación técnica",N565,"Sector "&amp;VALUE(RIGHT(G565,2)))</f>
        <v>Sector 8</v>
      </c>
      <c r="P565" s="34" t="str">
        <f aca="false">IF(MID(D565,15,3)="SEL","Subestación eléctrica","Área de proceso")</f>
        <v>Subestación eléctrica</v>
      </c>
      <c r="Q565" s="34" t="str">
        <f aca="false">MID(D565,13,5)&amp;"|"&amp;MID(D565,19,5)</f>
        <v>08SEL|S_001</v>
      </c>
      <c r="R565" s="34" t="str">
        <f aca="false">IF(P565="Subestación eléctrica",IFERROR(INDEX(cat_SubN,MATCH(Q565,cat_SubK,0)),"SIN CATALOGAR"),"ÁREA DE PROCESO")</f>
        <v>SE-01</v>
      </c>
      <c r="S565" s="34" t="str">
        <f aca="false">IF(H565="","SIN DATO",IFERROR(INDEX(cat_MarcaN,MATCH(H565,cat_MarcaO,0)),H565))</f>
        <v>SEL</v>
      </c>
      <c r="T565" s="34" t="str">
        <f aca="false">IF(I565="","SIN DATO",IFERROR(INDEX(cat_ModN,MATCH(I565,cat_ModO,0)),I565))</f>
        <v>SEL-751</v>
      </c>
      <c r="U565" s="34" t="str">
        <f aca="false">IF(I565="","",IFERROR(INDEX(cat_ModG,MATCH(I565,cat_ModO,0)),"No"))</f>
        <v>No</v>
      </c>
      <c r="V565" s="34" t="str">
        <f aca="false">IF(J565="","SIN DATO",IFERROR(INDEX(cat_FunN,MATCH(J565,cat_FunO,0)),J565))</f>
        <v>Protección</v>
      </c>
      <c r="W565" s="34" t="str">
        <f aca="false">IF(OR(S565="SIN DATO",T565="SIN DATO"),"No","Sí")</f>
        <v>Sí</v>
      </c>
    </row>
    <row r="566" customFormat="false" ht="15" hidden="false" customHeight="false" outlineLevel="0" collapsed="false">
      <c r="A566" s="34" t="s">
        <v>2244</v>
      </c>
      <c r="B566" s="34" t="s">
        <v>2245</v>
      </c>
      <c r="C566" s="34" t="s">
        <v>2246</v>
      </c>
      <c r="D566" s="34" t="s">
        <v>2230</v>
      </c>
      <c r="E566" s="34" t="s">
        <v>168</v>
      </c>
      <c r="F566" s="34" t="s">
        <v>1602</v>
      </c>
      <c r="G566" s="34" t="s">
        <v>227</v>
      </c>
      <c r="H566" s="34" t="s">
        <v>55</v>
      </c>
      <c r="I566" s="34" t="s">
        <v>59</v>
      </c>
      <c r="J566" s="34" t="s">
        <v>2231</v>
      </c>
      <c r="K566" s="34" t="s">
        <v>229</v>
      </c>
      <c r="L566" s="34" t="s">
        <v>230</v>
      </c>
      <c r="M566" s="34" t="s">
        <v>237</v>
      </c>
      <c r="N566" s="34" t="str">
        <f aca="false">"Sector "&amp;VALUE(MID(D566,13,2))</f>
        <v>Sector 8</v>
      </c>
      <c r="O566" s="34" t="str">
        <f aca="false">IF(Dashboard!$C$5="Ubicación técnica",N566,"Sector "&amp;VALUE(RIGHT(G566,2)))</f>
        <v>Sector 8</v>
      </c>
      <c r="P566" s="34" t="str">
        <f aca="false">IF(MID(D566,15,3)="SEL","Subestación eléctrica","Área de proceso")</f>
        <v>Subestación eléctrica</v>
      </c>
      <c r="Q566" s="34" t="str">
        <f aca="false">MID(D566,13,5)&amp;"|"&amp;MID(D566,19,5)</f>
        <v>08SEL|S_001</v>
      </c>
      <c r="R566" s="34" t="str">
        <f aca="false">IF(P566="Subestación eléctrica",IFERROR(INDEX(cat_SubN,MATCH(Q566,cat_SubK,0)),"SIN CATALOGAR"),"ÁREA DE PROCESO")</f>
        <v>SE-01</v>
      </c>
      <c r="S566" s="34" t="str">
        <f aca="false">IF(H566="","SIN DATO",IFERROR(INDEX(cat_MarcaN,MATCH(H566,cat_MarcaO,0)),H566))</f>
        <v>SEL</v>
      </c>
      <c r="T566" s="34" t="str">
        <f aca="false">IF(I566="","SIN DATO",IFERROR(INDEX(cat_ModN,MATCH(I566,cat_ModO,0)),I566))</f>
        <v>SEL-751</v>
      </c>
      <c r="U566" s="34" t="str">
        <f aca="false">IF(I566="","",IFERROR(INDEX(cat_ModG,MATCH(I566,cat_ModO,0)),"No"))</f>
        <v>No</v>
      </c>
      <c r="V566" s="34" t="str">
        <f aca="false">IF(J566="","SIN DATO",IFERROR(INDEX(cat_FunN,MATCH(J566,cat_FunO,0)),J566))</f>
        <v>Protección</v>
      </c>
      <c r="W566" s="34" t="str">
        <f aca="false">IF(OR(S566="SIN DATO",T566="SIN DATO"),"No","Sí")</f>
        <v>Sí</v>
      </c>
    </row>
    <row r="567" customFormat="false" ht="15" hidden="false" customHeight="false" outlineLevel="0" collapsed="false">
      <c r="A567" s="34" t="s">
        <v>2247</v>
      </c>
      <c r="B567" s="34" t="s">
        <v>2248</v>
      </c>
      <c r="C567" s="34" t="s">
        <v>2249</v>
      </c>
      <c r="D567" s="34" t="s">
        <v>2235</v>
      </c>
      <c r="E567" s="34" t="s">
        <v>168</v>
      </c>
      <c r="F567" s="34" t="s">
        <v>1602</v>
      </c>
      <c r="G567" s="34" t="s">
        <v>227</v>
      </c>
      <c r="H567" s="34" t="s">
        <v>55</v>
      </c>
      <c r="I567" s="34" t="s">
        <v>59</v>
      </c>
      <c r="J567" s="34" t="s">
        <v>2231</v>
      </c>
      <c r="K567" s="34" t="s">
        <v>229</v>
      </c>
      <c r="L567" s="34" t="s">
        <v>230</v>
      </c>
      <c r="M567" s="34" t="s">
        <v>237</v>
      </c>
      <c r="N567" s="34" t="str">
        <f aca="false">"Sector "&amp;VALUE(MID(D567,13,2))</f>
        <v>Sector 8</v>
      </c>
      <c r="O567" s="34" t="str">
        <f aca="false">IF(Dashboard!$C$5="Ubicación técnica",N567,"Sector "&amp;VALUE(RIGHT(G567,2)))</f>
        <v>Sector 8</v>
      </c>
      <c r="P567" s="34" t="str">
        <f aca="false">IF(MID(D567,15,3)="SEL","Subestación eléctrica","Área de proceso")</f>
        <v>Subestación eléctrica</v>
      </c>
      <c r="Q567" s="34" t="str">
        <f aca="false">MID(D567,13,5)&amp;"|"&amp;MID(D567,19,5)</f>
        <v>08SEL|S_001</v>
      </c>
      <c r="R567" s="34" t="str">
        <f aca="false">IF(P567="Subestación eléctrica",IFERROR(INDEX(cat_SubN,MATCH(Q567,cat_SubK,0)),"SIN CATALOGAR"),"ÁREA DE PROCESO")</f>
        <v>SE-01</v>
      </c>
      <c r="S567" s="34" t="str">
        <f aca="false">IF(H567="","SIN DATO",IFERROR(INDEX(cat_MarcaN,MATCH(H567,cat_MarcaO,0)),H567))</f>
        <v>SEL</v>
      </c>
      <c r="T567" s="34" t="str">
        <f aca="false">IF(I567="","SIN DATO",IFERROR(INDEX(cat_ModN,MATCH(I567,cat_ModO,0)),I567))</f>
        <v>SEL-751</v>
      </c>
      <c r="U567" s="34" t="str">
        <f aca="false">IF(I567="","",IFERROR(INDEX(cat_ModG,MATCH(I567,cat_ModO,0)),"No"))</f>
        <v>No</v>
      </c>
      <c r="V567" s="34" t="str">
        <f aca="false">IF(J567="","SIN DATO",IFERROR(INDEX(cat_FunN,MATCH(J567,cat_FunO,0)),J567))</f>
        <v>Protección</v>
      </c>
      <c r="W567" s="34" t="str">
        <f aca="false">IF(OR(S567="SIN DATO",T567="SIN DATO"),"No","Sí")</f>
        <v>Sí</v>
      </c>
    </row>
    <row r="568" customFormat="false" ht="15" hidden="false" customHeight="false" outlineLevel="0" collapsed="false">
      <c r="A568" s="34" t="s">
        <v>2250</v>
      </c>
      <c r="B568" s="34" t="s">
        <v>2251</v>
      </c>
      <c r="C568" s="34" t="s">
        <v>2252</v>
      </c>
      <c r="D568" s="34" t="s">
        <v>2239</v>
      </c>
      <c r="E568" s="34" t="s">
        <v>168</v>
      </c>
      <c r="F568" s="34" t="s">
        <v>1602</v>
      </c>
      <c r="G568" s="34" t="s">
        <v>227</v>
      </c>
      <c r="H568" s="34" t="s">
        <v>55</v>
      </c>
      <c r="I568" s="34" t="s">
        <v>59</v>
      </c>
      <c r="J568" s="34" t="s">
        <v>2231</v>
      </c>
      <c r="K568" s="34" t="s">
        <v>229</v>
      </c>
      <c r="L568" s="34" t="s">
        <v>230</v>
      </c>
      <c r="M568" s="34" t="s">
        <v>237</v>
      </c>
      <c r="N568" s="34" t="str">
        <f aca="false">"Sector "&amp;VALUE(MID(D568,13,2))</f>
        <v>Sector 8</v>
      </c>
      <c r="O568" s="34" t="str">
        <f aca="false">IF(Dashboard!$C$5="Ubicación técnica",N568,"Sector "&amp;VALUE(RIGHT(G568,2)))</f>
        <v>Sector 8</v>
      </c>
      <c r="P568" s="34" t="str">
        <f aca="false">IF(MID(D568,15,3)="SEL","Subestación eléctrica","Área de proceso")</f>
        <v>Subestación eléctrica</v>
      </c>
      <c r="Q568" s="34" t="str">
        <f aca="false">MID(D568,13,5)&amp;"|"&amp;MID(D568,19,5)</f>
        <v>08SEL|S_001</v>
      </c>
      <c r="R568" s="34" t="str">
        <f aca="false">IF(P568="Subestación eléctrica",IFERROR(INDEX(cat_SubN,MATCH(Q568,cat_SubK,0)),"SIN CATALOGAR"),"ÁREA DE PROCESO")</f>
        <v>SE-01</v>
      </c>
      <c r="S568" s="34" t="str">
        <f aca="false">IF(H568="","SIN DATO",IFERROR(INDEX(cat_MarcaN,MATCH(H568,cat_MarcaO,0)),H568))</f>
        <v>SEL</v>
      </c>
      <c r="T568" s="34" t="str">
        <f aca="false">IF(I568="","SIN DATO",IFERROR(INDEX(cat_ModN,MATCH(I568,cat_ModO,0)),I568))</f>
        <v>SEL-751</v>
      </c>
      <c r="U568" s="34" t="str">
        <f aca="false">IF(I568="","",IFERROR(INDEX(cat_ModG,MATCH(I568,cat_ModO,0)),"No"))</f>
        <v>No</v>
      </c>
      <c r="V568" s="34" t="str">
        <f aca="false">IF(J568="","SIN DATO",IFERROR(INDEX(cat_FunN,MATCH(J568,cat_FunO,0)),J568))</f>
        <v>Protección</v>
      </c>
      <c r="W568" s="34" t="str">
        <f aca="false">IF(OR(S568="SIN DATO",T568="SIN DATO"),"No","Sí")</f>
        <v>Sí</v>
      </c>
    </row>
    <row r="569" customFormat="false" ht="15" hidden="false" customHeight="false" outlineLevel="0" collapsed="false">
      <c r="A569" s="34" t="s">
        <v>2253</v>
      </c>
      <c r="B569" s="34" t="s">
        <v>2254</v>
      </c>
      <c r="C569" s="34" t="s">
        <v>2255</v>
      </c>
      <c r="D569" s="34" t="s">
        <v>2243</v>
      </c>
      <c r="E569" s="34" t="s">
        <v>168</v>
      </c>
      <c r="F569" s="34" t="s">
        <v>1602</v>
      </c>
      <c r="G569" s="34" t="s">
        <v>227</v>
      </c>
      <c r="H569" s="34" t="s">
        <v>55</v>
      </c>
      <c r="I569" s="34" t="s">
        <v>59</v>
      </c>
      <c r="J569" s="34" t="s">
        <v>2231</v>
      </c>
      <c r="K569" s="34" t="s">
        <v>229</v>
      </c>
      <c r="L569" s="34" t="s">
        <v>230</v>
      </c>
      <c r="M569" s="34" t="s">
        <v>237</v>
      </c>
      <c r="N569" s="34" t="str">
        <f aca="false">"Sector "&amp;VALUE(MID(D569,13,2))</f>
        <v>Sector 8</v>
      </c>
      <c r="O569" s="34" t="str">
        <f aca="false">IF(Dashboard!$C$5="Ubicación técnica",N569,"Sector "&amp;VALUE(RIGHT(G569,2)))</f>
        <v>Sector 8</v>
      </c>
      <c r="P569" s="34" t="str">
        <f aca="false">IF(MID(D569,15,3)="SEL","Subestación eléctrica","Área de proceso")</f>
        <v>Subestación eléctrica</v>
      </c>
      <c r="Q569" s="34" t="str">
        <f aca="false">MID(D569,13,5)&amp;"|"&amp;MID(D569,19,5)</f>
        <v>08SEL|S_001</v>
      </c>
      <c r="R569" s="34" t="str">
        <f aca="false">IF(P569="Subestación eléctrica",IFERROR(INDEX(cat_SubN,MATCH(Q569,cat_SubK,0)),"SIN CATALOGAR"),"ÁREA DE PROCESO")</f>
        <v>SE-01</v>
      </c>
      <c r="S569" s="34" t="str">
        <f aca="false">IF(H569="","SIN DATO",IFERROR(INDEX(cat_MarcaN,MATCH(H569,cat_MarcaO,0)),H569))</f>
        <v>SEL</v>
      </c>
      <c r="T569" s="34" t="str">
        <f aca="false">IF(I569="","SIN DATO",IFERROR(INDEX(cat_ModN,MATCH(I569,cat_ModO,0)),I569))</f>
        <v>SEL-751</v>
      </c>
      <c r="U569" s="34" t="str">
        <f aca="false">IF(I569="","",IFERROR(INDEX(cat_ModG,MATCH(I569,cat_ModO,0)),"No"))</f>
        <v>No</v>
      </c>
      <c r="V569" s="34" t="str">
        <f aca="false">IF(J569="","SIN DATO",IFERROR(INDEX(cat_FunN,MATCH(J569,cat_FunO,0)),J569))</f>
        <v>Protección</v>
      </c>
      <c r="W569" s="34" t="str">
        <f aca="false">IF(OR(S569="SIN DATO",T569="SIN DATO"),"No","Sí")</f>
        <v>Sí</v>
      </c>
    </row>
    <row r="570" customFormat="false" ht="15" hidden="false" customHeight="false" outlineLevel="0" collapsed="false">
      <c r="A570" s="34" t="s">
        <v>2256</v>
      </c>
      <c r="B570" s="34" t="s">
        <v>2257</v>
      </c>
      <c r="C570" s="34" t="s">
        <v>2258</v>
      </c>
      <c r="D570" s="34" t="s">
        <v>2259</v>
      </c>
      <c r="E570" s="34" t="s">
        <v>168</v>
      </c>
      <c r="F570" s="34" t="s">
        <v>1602</v>
      </c>
      <c r="G570" s="34" t="s">
        <v>227</v>
      </c>
      <c r="H570" s="34" t="s">
        <v>55</v>
      </c>
      <c r="I570" s="34" t="s">
        <v>59</v>
      </c>
      <c r="J570" s="34" t="s">
        <v>2231</v>
      </c>
      <c r="K570" s="34" t="s">
        <v>229</v>
      </c>
      <c r="L570" s="34" t="s">
        <v>230</v>
      </c>
      <c r="M570" s="34" t="s">
        <v>237</v>
      </c>
      <c r="N570" s="34" t="str">
        <f aca="false">"Sector "&amp;VALUE(MID(D570,13,2))</f>
        <v>Sector 8</v>
      </c>
      <c r="O570" s="34" t="str">
        <f aca="false">IF(Dashboard!$C$5="Ubicación técnica",N570,"Sector "&amp;VALUE(RIGHT(G570,2)))</f>
        <v>Sector 8</v>
      </c>
      <c r="P570" s="34" t="str">
        <f aca="false">IF(MID(D570,15,3)="SEL","Subestación eléctrica","Área de proceso")</f>
        <v>Subestación eléctrica</v>
      </c>
      <c r="Q570" s="34" t="str">
        <f aca="false">MID(D570,13,5)&amp;"|"&amp;MID(D570,19,5)</f>
        <v>08SEL|S_001</v>
      </c>
      <c r="R570" s="34" t="str">
        <f aca="false">IF(P570="Subestación eléctrica",IFERROR(INDEX(cat_SubN,MATCH(Q570,cat_SubK,0)),"SIN CATALOGAR"),"ÁREA DE PROCESO")</f>
        <v>SE-01</v>
      </c>
      <c r="S570" s="34" t="str">
        <f aca="false">IF(H570="","SIN DATO",IFERROR(INDEX(cat_MarcaN,MATCH(H570,cat_MarcaO,0)),H570))</f>
        <v>SEL</v>
      </c>
      <c r="T570" s="34" t="str">
        <f aca="false">IF(I570="","SIN DATO",IFERROR(INDEX(cat_ModN,MATCH(I570,cat_ModO,0)),I570))</f>
        <v>SEL-751</v>
      </c>
      <c r="U570" s="34" t="str">
        <f aca="false">IF(I570="","",IFERROR(INDEX(cat_ModG,MATCH(I570,cat_ModO,0)),"No"))</f>
        <v>No</v>
      </c>
      <c r="V570" s="34" t="str">
        <f aca="false">IF(J570="","SIN DATO",IFERROR(INDEX(cat_FunN,MATCH(J570,cat_FunO,0)),J570))</f>
        <v>Protección</v>
      </c>
      <c r="W570" s="34" t="str">
        <f aca="false">IF(OR(S570="SIN DATO",T570="SIN DATO"),"No","Sí")</f>
        <v>Sí</v>
      </c>
    </row>
    <row r="571" customFormat="false" ht="15" hidden="false" customHeight="false" outlineLevel="0" collapsed="false">
      <c r="A571" s="34" t="s">
        <v>2260</v>
      </c>
      <c r="B571" s="34" t="s">
        <v>2261</v>
      </c>
      <c r="C571" s="34" t="s">
        <v>2262</v>
      </c>
      <c r="D571" s="34" t="s">
        <v>2263</v>
      </c>
      <c r="E571" s="34" t="s">
        <v>168</v>
      </c>
      <c r="F571" s="34" t="s">
        <v>1602</v>
      </c>
      <c r="G571" s="34" t="s">
        <v>227</v>
      </c>
      <c r="H571" s="34" t="s">
        <v>55</v>
      </c>
      <c r="I571" s="34" t="s">
        <v>59</v>
      </c>
      <c r="J571" s="34" t="s">
        <v>2231</v>
      </c>
      <c r="K571" s="34" t="s">
        <v>229</v>
      </c>
      <c r="L571" s="34" t="s">
        <v>230</v>
      </c>
      <c r="M571" s="34" t="s">
        <v>237</v>
      </c>
      <c r="N571" s="34" t="str">
        <f aca="false">"Sector "&amp;VALUE(MID(D571,13,2))</f>
        <v>Sector 8</v>
      </c>
      <c r="O571" s="34" t="str">
        <f aca="false">IF(Dashboard!$C$5="Ubicación técnica",N571,"Sector "&amp;VALUE(RIGHT(G571,2)))</f>
        <v>Sector 8</v>
      </c>
      <c r="P571" s="34" t="str">
        <f aca="false">IF(MID(D571,15,3)="SEL","Subestación eléctrica","Área de proceso")</f>
        <v>Subestación eléctrica</v>
      </c>
      <c r="Q571" s="34" t="str">
        <f aca="false">MID(D571,13,5)&amp;"|"&amp;MID(D571,19,5)</f>
        <v>08SEL|S_001</v>
      </c>
      <c r="R571" s="34" t="str">
        <f aca="false">IF(P571="Subestación eléctrica",IFERROR(INDEX(cat_SubN,MATCH(Q571,cat_SubK,0)),"SIN CATALOGAR"),"ÁREA DE PROCESO")</f>
        <v>SE-01</v>
      </c>
      <c r="S571" s="34" t="str">
        <f aca="false">IF(H571="","SIN DATO",IFERROR(INDEX(cat_MarcaN,MATCH(H571,cat_MarcaO,0)),H571))</f>
        <v>SEL</v>
      </c>
      <c r="T571" s="34" t="str">
        <f aca="false">IF(I571="","SIN DATO",IFERROR(INDEX(cat_ModN,MATCH(I571,cat_ModO,0)),I571))</f>
        <v>SEL-751</v>
      </c>
      <c r="U571" s="34" t="str">
        <f aca="false">IF(I571="","",IFERROR(INDEX(cat_ModG,MATCH(I571,cat_ModO,0)),"No"))</f>
        <v>No</v>
      </c>
      <c r="V571" s="34" t="str">
        <f aca="false">IF(J571="","SIN DATO",IFERROR(INDEX(cat_FunN,MATCH(J571,cat_FunO,0)),J571))</f>
        <v>Protección</v>
      </c>
      <c r="W571" s="34" t="str">
        <f aca="false">IF(OR(S571="SIN DATO",T571="SIN DATO"),"No","Sí")</f>
        <v>Sí</v>
      </c>
    </row>
    <row r="572" customFormat="false" ht="15" hidden="false" customHeight="false" outlineLevel="0" collapsed="false">
      <c r="A572" s="34" t="s">
        <v>2264</v>
      </c>
      <c r="B572" s="34" t="s">
        <v>2265</v>
      </c>
      <c r="C572" s="34" t="s">
        <v>2266</v>
      </c>
      <c r="D572" s="34" t="s">
        <v>2267</v>
      </c>
      <c r="E572" s="34" t="s">
        <v>168</v>
      </c>
      <c r="F572" s="34" t="s">
        <v>1602</v>
      </c>
      <c r="G572" s="34" t="s">
        <v>227</v>
      </c>
      <c r="H572" s="34" t="s">
        <v>55</v>
      </c>
      <c r="I572" s="34" t="s">
        <v>59</v>
      </c>
      <c r="J572" s="34" t="s">
        <v>2231</v>
      </c>
      <c r="K572" s="34" t="s">
        <v>229</v>
      </c>
      <c r="L572" s="34" t="s">
        <v>230</v>
      </c>
      <c r="M572" s="34" t="s">
        <v>237</v>
      </c>
      <c r="N572" s="34" t="str">
        <f aca="false">"Sector "&amp;VALUE(MID(D572,13,2))</f>
        <v>Sector 8</v>
      </c>
      <c r="O572" s="34" t="str">
        <f aca="false">IF(Dashboard!$C$5="Ubicación técnica",N572,"Sector "&amp;VALUE(RIGHT(G572,2)))</f>
        <v>Sector 8</v>
      </c>
      <c r="P572" s="34" t="str">
        <f aca="false">IF(MID(D572,15,3)="SEL","Subestación eléctrica","Área de proceso")</f>
        <v>Subestación eléctrica</v>
      </c>
      <c r="Q572" s="34" t="str">
        <f aca="false">MID(D572,13,5)&amp;"|"&amp;MID(D572,19,5)</f>
        <v>08SEL|S_001</v>
      </c>
      <c r="R572" s="34" t="str">
        <f aca="false">IF(P572="Subestación eléctrica",IFERROR(INDEX(cat_SubN,MATCH(Q572,cat_SubK,0)),"SIN CATALOGAR"),"ÁREA DE PROCESO")</f>
        <v>SE-01</v>
      </c>
      <c r="S572" s="34" t="str">
        <f aca="false">IF(H572="","SIN DATO",IFERROR(INDEX(cat_MarcaN,MATCH(H572,cat_MarcaO,0)),H572))</f>
        <v>SEL</v>
      </c>
      <c r="T572" s="34" t="str">
        <f aca="false">IF(I572="","SIN DATO",IFERROR(INDEX(cat_ModN,MATCH(I572,cat_ModO,0)),I572))</f>
        <v>SEL-751</v>
      </c>
      <c r="U572" s="34" t="str">
        <f aca="false">IF(I572="","",IFERROR(INDEX(cat_ModG,MATCH(I572,cat_ModO,0)),"No"))</f>
        <v>No</v>
      </c>
      <c r="V572" s="34" t="str">
        <f aca="false">IF(J572="","SIN DATO",IFERROR(INDEX(cat_FunN,MATCH(J572,cat_FunO,0)),J572))</f>
        <v>Protección</v>
      </c>
      <c r="W572" s="34" t="str">
        <f aca="false">IF(OR(S572="SIN DATO",T572="SIN DATO"),"No","Sí")</f>
        <v>Sí</v>
      </c>
    </row>
    <row r="573" customFormat="false" ht="15" hidden="false" customHeight="false" outlineLevel="0" collapsed="false">
      <c r="A573" s="34" t="s">
        <v>2268</v>
      </c>
      <c r="B573" s="34" t="s">
        <v>2269</v>
      </c>
      <c r="C573" s="34" t="s">
        <v>2270</v>
      </c>
      <c r="D573" s="34" t="s">
        <v>2271</v>
      </c>
      <c r="E573" s="34" t="s">
        <v>168</v>
      </c>
      <c r="F573" s="34" t="s">
        <v>1602</v>
      </c>
      <c r="G573" s="34" t="s">
        <v>227</v>
      </c>
      <c r="H573" s="34" t="s">
        <v>55</v>
      </c>
      <c r="I573" s="34" t="s">
        <v>59</v>
      </c>
      <c r="J573" s="34" t="s">
        <v>2231</v>
      </c>
      <c r="K573" s="34" t="s">
        <v>229</v>
      </c>
      <c r="L573" s="34" t="s">
        <v>230</v>
      </c>
      <c r="M573" s="34" t="s">
        <v>237</v>
      </c>
      <c r="N573" s="34" t="str">
        <f aca="false">"Sector "&amp;VALUE(MID(D573,13,2))</f>
        <v>Sector 8</v>
      </c>
      <c r="O573" s="34" t="str">
        <f aca="false">IF(Dashboard!$C$5="Ubicación técnica",N573,"Sector "&amp;VALUE(RIGHT(G573,2)))</f>
        <v>Sector 8</v>
      </c>
      <c r="P573" s="34" t="str">
        <f aca="false">IF(MID(D573,15,3)="SEL","Subestación eléctrica","Área de proceso")</f>
        <v>Subestación eléctrica</v>
      </c>
      <c r="Q573" s="34" t="str">
        <f aca="false">MID(D573,13,5)&amp;"|"&amp;MID(D573,19,5)</f>
        <v>08SEL|S_001</v>
      </c>
      <c r="R573" s="34" t="str">
        <f aca="false">IF(P573="Subestación eléctrica",IFERROR(INDEX(cat_SubN,MATCH(Q573,cat_SubK,0)),"SIN CATALOGAR"),"ÁREA DE PROCESO")</f>
        <v>SE-01</v>
      </c>
      <c r="S573" s="34" t="str">
        <f aca="false">IF(H573="","SIN DATO",IFERROR(INDEX(cat_MarcaN,MATCH(H573,cat_MarcaO,0)),H573))</f>
        <v>SEL</v>
      </c>
      <c r="T573" s="34" t="str">
        <f aca="false">IF(I573="","SIN DATO",IFERROR(INDEX(cat_ModN,MATCH(I573,cat_ModO,0)),I573))</f>
        <v>SEL-751</v>
      </c>
      <c r="U573" s="34" t="str">
        <f aca="false">IF(I573="","",IFERROR(INDEX(cat_ModG,MATCH(I573,cat_ModO,0)),"No"))</f>
        <v>No</v>
      </c>
      <c r="V573" s="34" t="str">
        <f aca="false">IF(J573="","SIN DATO",IFERROR(INDEX(cat_FunN,MATCH(J573,cat_FunO,0)),J573))</f>
        <v>Protección</v>
      </c>
      <c r="W573" s="34" t="str">
        <f aca="false">IF(OR(S573="SIN DATO",T573="SIN DATO"),"No","Sí")</f>
        <v>Sí</v>
      </c>
    </row>
    <row r="574" customFormat="false" ht="15" hidden="false" customHeight="false" outlineLevel="0" collapsed="false">
      <c r="A574" s="34" t="s">
        <v>2272</v>
      </c>
      <c r="B574" s="34" t="s">
        <v>2273</v>
      </c>
      <c r="C574" s="34" t="s">
        <v>2274</v>
      </c>
      <c r="D574" s="34" t="s">
        <v>2275</v>
      </c>
      <c r="E574" s="34" t="s">
        <v>182</v>
      </c>
      <c r="F574" s="34" t="s">
        <v>1602</v>
      </c>
      <c r="G574" s="34" t="s">
        <v>227</v>
      </c>
      <c r="H574" s="34" t="s">
        <v>73</v>
      </c>
      <c r="I574" s="34" t="s">
        <v>83</v>
      </c>
      <c r="J574" s="34" t="s">
        <v>228</v>
      </c>
      <c r="K574" s="34" t="s">
        <v>236</v>
      </c>
      <c r="L574" s="34" t="s">
        <v>230</v>
      </c>
      <c r="M574" s="34" t="s">
        <v>237</v>
      </c>
      <c r="N574" s="34" t="str">
        <f aca="false">"Sector "&amp;VALUE(MID(D574,13,2))</f>
        <v>Sector 8</v>
      </c>
      <c r="O574" s="34" t="str">
        <f aca="false">IF(Dashboard!$C$5="Ubicación técnica",N574,"Sector "&amp;VALUE(RIGHT(G574,2)))</f>
        <v>Sector 8</v>
      </c>
      <c r="P574" s="34" t="str">
        <f aca="false">IF(MID(D574,15,3)="SEL","Subestación eléctrica","Área de proceso")</f>
        <v>Subestación eléctrica</v>
      </c>
      <c r="Q574" s="34" t="str">
        <f aca="false">MID(D574,13,5)&amp;"|"&amp;MID(D574,19,5)</f>
        <v>08SEL|S_030</v>
      </c>
      <c r="R574" s="34" t="str">
        <f aca="false">IF(P574="Subestación eléctrica",IFERROR(INDEX(cat_SubN,MATCH(Q574,cat_SubK,0)),"SIN CATALOGAR"),"ÁREA DE PROCESO")</f>
        <v>SE-30</v>
      </c>
      <c r="S574" s="34" t="str">
        <f aca="false">IF(H574="","SIN DATO",IFERROR(INDEX(cat_MarcaN,MATCH(H574,cat_MarcaO,0)),H574))</f>
        <v>SIEMENS</v>
      </c>
      <c r="T574" s="34" t="str">
        <f aca="false">IF(I574="","SIN DATO",IFERROR(INDEX(cat_ModN,MATCH(I574,cat_ModO,0)),I574))</f>
        <v>SEPAM</v>
      </c>
      <c r="U574" s="34" t="str">
        <f aca="false">IF(I574="","",IFERROR(INDEX(cat_ModG,MATCH(I574,cat_ModO,0)),"No"))</f>
        <v>No</v>
      </c>
      <c r="V574" s="34" t="str">
        <f aca="false">IF(J574="","SIN DATO",IFERROR(INDEX(cat_FunN,MATCH(J574,cat_FunO,0)),J574))</f>
        <v>Protección y medición</v>
      </c>
      <c r="W574" s="34" t="str">
        <f aca="false">IF(OR(S574="SIN DATO",T574="SIN DATO"),"No","Sí")</f>
        <v>Sí</v>
      </c>
    </row>
    <row r="575" customFormat="false" ht="15" hidden="false" customHeight="false" outlineLevel="0" collapsed="false">
      <c r="A575" s="34" t="s">
        <v>2276</v>
      </c>
      <c r="B575" s="34" t="s">
        <v>2277</v>
      </c>
      <c r="C575" s="34" t="s">
        <v>2278</v>
      </c>
      <c r="D575" s="34" t="s">
        <v>2187</v>
      </c>
      <c r="E575" s="34" t="s">
        <v>184</v>
      </c>
      <c r="F575" s="34" t="s">
        <v>1602</v>
      </c>
      <c r="G575" s="34" t="s">
        <v>227</v>
      </c>
      <c r="H575" s="34" t="s">
        <v>73</v>
      </c>
      <c r="I575" s="34" t="s">
        <v>82</v>
      </c>
      <c r="J575" s="34" t="s">
        <v>228</v>
      </c>
      <c r="K575" s="34" t="s">
        <v>229</v>
      </c>
      <c r="L575" s="34" t="s">
        <v>230</v>
      </c>
      <c r="M575" s="34" t="s">
        <v>237</v>
      </c>
      <c r="N575" s="34" t="str">
        <f aca="false">"Sector "&amp;VALUE(MID(D575,13,2))</f>
        <v>Sector 8</v>
      </c>
      <c r="O575" s="34" t="str">
        <f aca="false">IF(Dashboard!$C$5="Ubicación técnica",N575,"Sector "&amp;VALUE(RIGHT(G575,2)))</f>
        <v>Sector 8</v>
      </c>
      <c r="P575" s="34" t="str">
        <f aca="false">IF(MID(D575,15,3)="SEL","Subestación eléctrica","Área de proceso")</f>
        <v>Subestación eléctrica</v>
      </c>
      <c r="Q575" s="34" t="str">
        <f aca="false">MID(D575,13,5)&amp;"|"&amp;MID(D575,19,5)</f>
        <v>08SEL|SEP02</v>
      </c>
      <c r="R575" s="34" t="str">
        <f aca="false">IF(P575="Subestación eléctrica",IFERROR(INDEX(cat_SubN,MATCH(Q575,cat_SubK,0)),"SIN CATALOGAR"),"ÁREA DE PROCESO")</f>
        <v>SEP-02</v>
      </c>
      <c r="S575" s="34" t="str">
        <f aca="false">IF(H575="","SIN DATO",IFERROR(INDEX(cat_MarcaN,MATCH(H575,cat_MarcaO,0)),H575))</f>
        <v>SIEMENS</v>
      </c>
      <c r="T575" s="34" t="str">
        <f aca="false">IF(I575="","SIN DATO",IFERROR(INDEX(cat_ModN,MATCH(I575,cat_ModO,0)),I575))</f>
        <v>SIPROTEC 7SS85</v>
      </c>
      <c r="U575" s="34" t="str">
        <f aca="false">IF(I575="","",IFERROR(INDEX(cat_ModG,MATCH(I575,cat_ModO,0)),"No"))</f>
        <v>No</v>
      </c>
      <c r="V575" s="34" t="str">
        <f aca="false">IF(J575="","SIN DATO",IFERROR(INDEX(cat_FunN,MATCH(J575,cat_FunO,0)),J575))</f>
        <v>Protección y medición</v>
      </c>
      <c r="W575" s="34" t="str">
        <f aca="false">IF(OR(S575="SIN DATO",T575="SIN DATO"),"No","Sí")</f>
        <v>Sí</v>
      </c>
    </row>
    <row r="576" customFormat="false" ht="15" hidden="false" customHeight="false" outlineLevel="0" collapsed="false">
      <c r="A576" s="34" t="s">
        <v>2279</v>
      </c>
      <c r="B576" s="34" t="s">
        <v>2280</v>
      </c>
      <c r="C576" s="34" t="s">
        <v>2281</v>
      </c>
      <c r="D576" s="34" t="s">
        <v>2187</v>
      </c>
      <c r="E576" s="34" t="s">
        <v>184</v>
      </c>
      <c r="F576" s="34" t="s">
        <v>1602</v>
      </c>
      <c r="G576" s="34" t="s">
        <v>227</v>
      </c>
      <c r="H576" s="34" t="s">
        <v>73</v>
      </c>
      <c r="I576" s="34" t="s">
        <v>85</v>
      </c>
      <c r="J576" s="34" t="s">
        <v>228</v>
      </c>
      <c r="K576" s="34" t="s">
        <v>229</v>
      </c>
      <c r="L576" s="34" t="s">
        <v>230</v>
      </c>
      <c r="M576" s="34" t="s">
        <v>237</v>
      </c>
      <c r="N576" s="34" t="str">
        <f aca="false">"Sector "&amp;VALUE(MID(D576,13,2))</f>
        <v>Sector 8</v>
      </c>
      <c r="O576" s="34" t="str">
        <f aca="false">IF(Dashboard!$C$5="Ubicación técnica",N576,"Sector "&amp;VALUE(RIGHT(G576,2)))</f>
        <v>Sector 8</v>
      </c>
      <c r="P576" s="34" t="str">
        <f aca="false">IF(MID(D576,15,3)="SEL","Subestación eléctrica","Área de proceso")</f>
        <v>Subestación eléctrica</v>
      </c>
      <c r="Q576" s="34" t="str">
        <f aca="false">MID(D576,13,5)&amp;"|"&amp;MID(D576,19,5)</f>
        <v>08SEL|SEP02</v>
      </c>
      <c r="R576" s="34" t="str">
        <f aca="false">IF(P576="Subestación eléctrica",IFERROR(INDEX(cat_SubN,MATCH(Q576,cat_SubK,0)),"SIN CATALOGAR"),"ÁREA DE PROCESO")</f>
        <v>SEP-02</v>
      </c>
      <c r="S576" s="34" t="str">
        <f aca="false">IF(H576="","SIN DATO",IFERROR(INDEX(cat_MarcaN,MATCH(H576,cat_MarcaO,0)),H576))</f>
        <v>SIEMENS</v>
      </c>
      <c r="T576" s="34" t="str">
        <f aca="false">IF(I576="","SIN DATO",IFERROR(INDEX(cat_ModN,MATCH(I576,cat_ModO,0)),I576))</f>
        <v>SIPROTEC 7VU68</v>
      </c>
      <c r="U576" s="34" t="str">
        <f aca="false">IF(I576="","",IFERROR(INDEX(cat_ModG,MATCH(I576,cat_ModO,0)),"No"))</f>
        <v>No</v>
      </c>
      <c r="V576" s="34" t="str">
        <f aca="false">IF(J576="","SIN DATO",IFERROR(INDEX(cat_FunN,MATCH(J576,cat_FunO,0)),J576))</f>
        <v>Protección y medición</v>
      </c>
      <c r="W576" s="34" t="str">
        <f aca="false">IF(OR(S576="SIN DATO",T576="SIN DATO"),"No","Sí")</f>
        <v>Sí</v>
      </c>
    </row>
    <row r="577" customFormat="false" ht="15" hidden="false" customHeight="false" outlineLevel="0" collapsed="false">
      <c r="A577" s="34" t="s">
        <v>2282</v>
      </c>
      <c r="B577" s="34" t="s">
        <v>2283</v>
      </c>
      <c r="C577" s="34" t="s">
        <v>2284</v>
      </c>
      <c r="D577" s="34" t="s">
        <v>2187</v>
      </c>
      <c r="E577" s="34" t="s">
        <v>184</v>
      </c>
      <c r="F577" s="34" t="s">
        <v>1602</v>
      </c>
      <c r="G577" s="34" t="s">
        <v>227</v>
      </c>
      <c r="H577" s="34" t="s">
        <v>73</v>
      </c>
      <c r="I577" s="34" t="s">
        <v>82</v>
      </c>
      <c r="J577" s="34" t="s">
        <v>228</v>
      </c>
      <c r="K577" s="34" t="s">
        <v>229</v>
      </c>
      <c r="L577" s="34" t="s">
        <v>230</v>
      </c>
      <c r="M577" s="34" t="s">
        <v>237</v>
      </c>
      <c r="N577" s="34" t="str">
        <f aca="false">"Sector "&amp;VALUE(MID(D577,13,2))</f>
        <v>Sector 8</v>
      </c>
      <c r="O577" s="34" t="str">
        <f aca="false">IF(Dashboard!$C$5="Ubicación técnica",N577,"Sector "&amp;VALUE(RIGHT(G577,2)))</f>
        <v>Sector 8</v>
      </c>
      <c r="P577" s="34" t="str">
        <f aca="false">IF(MID(D577,15,3)="SEL","Subestación eléctrica","Área de proceso")</f>
        <v>Subestación eléctrica</v>
      </c>
      <c r="Q577" s="34" t="str">
        <f aca="false">MID(D577,13,5)&amp;"|"&amp;MID(D577,19,5)</f>
        <v>08SEL|SEP02</v>
      </c>
      <c r="R577" s="34" t="str">
        <f aca="false">IF(P577="Subestación eléctrica",IFERROR(INDEX(cat_SubN,MATCH(Q577,cat_SubK,0)),"SIN CATALOGAR"),"ÁREA DE PROCESO")</f>
        <v>SEP-02</v>
      </c>
      <c r="S577" s="34" t="str">
        <f aca="false">IF(H577="","SIN DATO",IFERROR(INDEX(cat_MarcaN,MATCH(H577,cat_MarcaO,0)),H577))</f>
        <v>SIEMENS</v>
      </c>
      <c r="T577" s="34" t="str">
        <f aca="false">IF(I577="","SIN DATO",IFERROR(INDEX(cat_ModN,MATCH(I577,cat_ModO,0)),I577))</f>
        <v>SIPROTEC 7SS85</v>
      </c>
      <c r="U577" s="34" t="str">
        <f aca="false">IF(I577="","",IFERROR(INDEX(cat_ModG,MATCH(I577,cat_ModO,0)),"No"))</f>
        <v>No</v>
      </c>
      <c r="V577" s="34" t="str">
        <f aca="false">IF(J577="","SIN DATO",IFERROR(INDEX(cat_FunN,MATCH(J577,cat_FunO,0)),J577))</f>
        <v>Protección y medición</v>
      </c>
      <c r="W577" s="34" t="str">
        <f aca="false">IF(OR(S577="SIN DATO",T577="SIN DATO"),"No","Sí")</f>
        <v>Sí</v>
      </c>
    </row>
    <row r="578" customFormat="false" ht="15" hidden="false" customHeight="false" outlineLevel="0" collapsed="false">
      <c r="A578" s="34" t="s">
        <v>2285</v>
      </c>
      <c r="B578" s="34" t="s">
        <v>2286</v>
      </c>
      <c r="C578" s="34" t="s">
        <v>2287</v>
      </c>
      <c r="D578" s="34" t="s">
        <v>2288</v>
      </c>
      <c r="E578" s="34" t="s">
        <v>168</v>
      </c>
      <c r="F578" s="34" t="s">
        <v>1602</v>
      </c>
      <c r="G578" s="34" t="s">
        <v>227</v>
      </c>
      <c r="H578" s="34" t="s">
        <v>73</v>
      </c>
      <c r="I578" s="34" t="s">
        <v>2289</v>
      </c>
      <c r="J578" s="34" t="s">
        <v>2231</v>
      </c>
      <c r="K578" s="34" t="s">
        <v>229</v>
      </c>
      <c r="L578" s="34" t="s">
        <v>230</v>
      </c>
      <c r="M578" s="34" t="s">
        <v>237</v>
      </c>
      <c r="N578" s="34" t="str">
        <f aca="false">"Sector "&amp;VALUE(MID(D578,13,2))</f>
        <v>Sector 8</v>
      </c>
      <c r="O578" s="34" t="str">
        <f aca="false">IF(Dashboard!$C$5="Ubicación técnica",N578,"Sector "&amp;VALUE(RIGHT(G578,2)))</f>
        <v>Sector 8</v>
      </c>
      <c r="P578" s="34" t="str">
        <f aca="false">IF(MID(D578,15,3)="SEL","Subestación eléctrica","Área de proceso")</f>
        <v>Subestación eléctrica</v>
      </c>
      <c r="Q578" s="34" t="str">
        <f aca="false">MID(D578,13,5)&amp;"|"&amp;MID(D578,19,5)</f>
        <v>08SEL|S_001</v>
      </c>
      <c r="R578" s="34" t="str">
        <f aca="false">IF(P578="Subestación eléctrica",IFERROR(INDEX(cat_SubN,MATCH(Q578,cat_SubK,0)),"SIN CATALOGAR"),"ÁREA DE PROCESO")</f>
        <v>SE-01</v>
      </c>
      <c r="S578" s="34" t="str">
        <f aca="false">IF(H578="","SIN DATO",IFERROR(INDEX(cat_MarcaN,MATCH(H578,cat_MarcaO,0)),H578))</f>
        <v>SIEMENS</v>
      </c>
      <c r="T578" s="34" t="str">
        <f aca="false">IF(I578="","SIN DATO",IFERROR(INDEX(cat_ModN,MATCH(I578,cat_ModO,0)),I578))</f>
        <v>SIPROTEC 7SJ85</v>
      </c>
      <c r="U578" s="34" t="str">
        <f aca="false">IF(I578="","",IFERROR(INDEX(cat_ModG,MATCH(I578,cat_ModO,0)),"No"))</f>
        <v>No</v>
      </c>
      <c r="V578" s="34" t="str">
        <f aca="false">IF(J578="","SIN DATO",IFERROR(INDEX(cat_FunN,MATCH(J578,cat_FunO,0)),J578))</f>
        <v>Protección</v>
      </c>
      <c r="W578" s="34" t="str">
        <f aca="false">IF(OR(S578="SIN DATO",T578="SIN DATO"),"No","Sí")</f>
        <v>Sí</v>
      </c>
    </row>
    <row r="579" customFormat="false" ht="15" hidden="false" customHeight="false" outlineLevel="0" collapsed="false">
      <c r="A579" s="34" t="s">
        <v>2290</v>
      </c>
      <c r="B579" s="34" t="s">
        <v>2291</v>
      </c>
      <c r="C579" s="34" t="s">
        <v>2292</v>
      </c>
      <c r="D579" s="34" t="s">
        <v>2293</v>
      </c>
      <c r="E579" s="34" t="s">
        <v>184</v>
      </c>
      <c r="F579" s="34" t="s">
        <v>1602</v>
      </c>
      <c r="G579" s="34" t="s">
        <v>227</v>
      </c>
      <c r="H579" s="34" t="s">
        <v>55</v>
      </c>
      <c r="I579" s="34" t="s">
        <v>2146</v>
      </c>
      <c r="J579" s="34" t="s">
        <v>228</v>
      </c>
      <c r="K579" s="34" t="s">
        <v>229</v>
      </c>
      <c r="L579" s="34" t="s">
        <v>230</v>
      </c>
      <c r="M579" s="34" t="s">
        <v>344</v>
      </c>
      <c r="N579" s="34" t="str">
        <f aca="false">"Sector "&amp;VALUE(MID(D579,13,2))</f>
        <v>Sector 8</v>
      </c>
      <c r="O579" s="34" t="str">
        <f aca="false">IF(Dashboard!$C$5="Ubicación técnica",N579,"Sector "&amp;VALUE(RIGHT(G579,2)))</f>
        <v>Sector 8</v>
      </c>
      <c r="P579" s="34" t="str">
        <f aca="false">IF(MID(D579,15,3)="SEL","Subestación eléctrica","Área de proceso")</f>
        <v>Subestación eléctrica</v>
      </c>
      <c r="Q579" s="34" t="str">
        <f aca="false">MID(D579,13,5)&amp;"|"&amp;MID(D579,19,5)</f>
        <v>08SEL|SEP02</v>
      </c>
      <c r="R579" s="34" t="str">
        <f aca="false">IF(P579="Subestación eléctrica",IFERROR(INDEX(cat_SubN,MATCH(Q579,cat_SubK,0)),"SIN CATALOGAR"),"ÁREA DE PROCESO")</f>
        <v>SEP-02</v>
      </c>
      <c r="S579" s="34" t="str">
        <f aca="false">IF(H579="","SIN DATO",IFERROR(INDEX(cat_MarcaN,MATCH(H579,cat_MarcaO,0)),H579))</f>
        <v>SEL</v>
      </c>
      <c r="T579" s="34" t="str">
        <f aca="false">IF(I579="","SIN DATO",IFERROR(INDEX(cat_ModN,MATCH(I579,cat_ModO,0)),I579))</f>
        <v>SEL-735</v>
      </c>
      <c r="U579" s="34" t="str">
        <f aca="false">IF(I579="","",IFERROR(INDEX(cat_ModG,MATCH(I579,cat_ModO,0)),"No"))</f>
        <v>No</v>
      </c>
      <c r="V579" s="34" t="str">
        <f aca="false">IF(J579="","SIN DATO",IFERROR(INDEX(cat_FunN,MATCH(J579,cat_FunO,0)),J579))</f>
        <v>Protección y medición</v>
      </c>
      <c r="W579" s="34" t="str">
        <f aca="false">IF(OR(S579="SIN DATO",T579="SIN DATO"),"No","Sí")</f>
        <v>Sí</v>
      </c>
    </row>
    <row r="580" customFormat="false" ht="15" hidden="false" customHeight="false" outlineLevel="0" collapsed="false">
      <c r="A580" s="34" t="s">
        <v>2294</v>
      </c>
      <c r="B580" s="34" t="s">
        <v>2295</v>
      </c>
      <c r="C580" s="34" t="s">
        <v>2296</v>
      </c>
      <c r="D580" s="34" t="s">
        <v>2297</v>
      </c>
      <c r="E580" s="34" t="s">
        <v>170</v>
      </c>
      <c r="F580" s="34" t="s">
        <v>1602</v>
      </c>
      <c r="G580" s="34" t="s">
        <v>227</v>
      </c>
      <c r="H580" s="34" t="s">
        <v>55</v>
      </c>
      <c r="I580" s="34" t="s">
        <v>57</v>
      </c>
      <c r="J580" s="34" t="s">
        <v>2171</v>
      </c>
      <c r="K580" s="34" t="s">
        <v>229</v>
      </c>
      <c r="L580" s="34" t="s">
        <v>230</v>
      </c>
      <c r="M580" s="34" t="s">
        <v>237</v>
      </c>
      <c r="N580" s="34" t="str">
        <f aca="false">"Sector "&amp;VALUE(MID(D580,13,2))</f>
        <v>Sector 8</v>
      </c>
      <c r="O580" s="34" t="str">
        <f aca="false">IF(Dashboard!$C$5="Ubicación técnica",N580,"Sector "&amp;VALUE(RIGHT(G580,2)))</f>
        <v>Sector 8</v>
      </c>
      <c r="P580" s="34" t="str">
        <f aca="false">IF(MID(D580,15,3)="SEL","Subestación eléctrica","Área de proceso")</f>
        <v>Subestación eléctrica</v>
      </c>
      <c r="Q580" s="34" t="str">
        <f aca="false">MID(D580,13,5)&amp;"|"&amp;MID(D580,19,5)</f>
        <v>08SEL|S_016</v>
      </c>
      <c r="R580" s="34" t="str">
        <f aca="false">IF(P580="Subestación eléctrica",IFERROR(INDEX(cat_SubN,MATCH(Q580,cat_SubK,0)),"SIN CATALOGAR"),"ÁREA DE PROCESO")</f>
        <v>SE-16</v>
      </c>
      <c r="S580" s="34" t="str">
        <f aca="false">IF(H580="","SIN DATO",IFERROR(INDEX(cat_MarcaN,MATCH(H580,cat_MarcaO,0)),H580))</f>
        <v>SEL</v>
      </c>
      <c r="T580" s="34" t="str">
        <f aca="false">IF(I580="","SIN DATO",IFERROR(INDEX(cat_ModN,MATCH(I580,cat_ModO,0)),I580))</f>
        <v>SEL-735</v>
      </c>
      <c r="U580" s="34" t="str">
        <f aca="false">IF(I580="","",IFERROR(INDEX(cat_ModG,MATCH(I580,cat_ModO,0)),"No"))</f>
        <v>No</v>
      </c>
      <c r="V580" s="34" t="str">
        <f aca="false">IF(J580="","SIN DATO",IFERROR(INDEX(cat_FunN,MATCH(J580,cat_FunO,0)),J580))</f>
        <v>Medición</v>
      </c>
      <c r="W580" s="34" t="str">
        <f aca="false">IF(OR(S580="SIN DATO",T580="SIN DATO"),"No","Sí")</f>
        <v>Sí</v>
      </c>
    </row>
    <row r="581" customFormat="false" ht="15" hidden="false" customHeight="false" outlineLevel="0" collapsed="false">
      <c r="A581" s="34" t="s">
        <v>2298</v>
      </c>
      <c r="B581" s="34" t="s">
        <v>2299</v>
      </c>
      <c r="C581" s="34" t="s">
        <v>2300</v>
      </c>
      <c r="D581" s="34" t="s">
        <v>2301</v>
      </c>
      <c r="E581" s="34" t="s">
        <v>170</v>
      </c>
      <c r="F581" s="34" t="s">
        <v>1602</v>
      </c>
      <c r="G581" s="34" t="s">
        <v>227</v>
      </c>
      <c r="H581" s="34" t="s">
        <v>55</v>
      </c>
      <c r="I581" s="34" t="s">
        <v>57</v>
      </c>
      <c r="J581" s="34" t="s">
        <v>2171</v>
      </c>
      <c r="K581" s="34" t="s">
        <v>229</v>
      </c>
      <c r="L581" s="34" t="s">
        <v>230</v>
      </c>
      <c r="M581" s="34" t="s">
        <v>237</v>
      </c>
      <c r="N581" s="34" t="str">
        <f aca="false">"Sector "&amp;VALUE(MID(D581,13,2))</f>
        <v>Sector 8</v>
      </c>
      <c r="O581" s="34" t="str">
        <f aca="false">IF(Dashboard!$C$5="Ubicación técnica",N581,"Sector "&amp;VALUE(RIGHT(G581,2)))</f>
        <v>Sector 8</v>
      </c>
      <c r="P581" s="34" t="str">
        <f aca="false">IF(MID(D581,15,3)="SEL","Subestación eléctrica","Área de proceso")</f>
        <v>Subestación eléctrica</v>
      </c>
      <c r="Q581" s="34" t="str">
        <f aca="false">MID(D581,13,5)&amp;"|"&amp;MID(D581,19,5)</f>
        <v>08SEL|S_016</v>
      </c>
      <c r="R581" s="34" t="str">
        <f aca="false">IF(P581="Subestación eléctrica",IFERROR(INDEX(cat_SubN,MATCH(Q581,cat_SubK,0)),"SIN CATALOGAR"),"ÁREA DE PROCESO")</f>
        <v>SE-16</v>
      </c>
      <c r="S581" s="34" t="str">
        <f aca="false">IF(H581="","SIN DATO",IFERROR(INDEX(cat_MarcaN,MATCH(H581,cat_MarcaO,0)),H581))</f>
        <v>SEL</v>
      </c>
      <c r="T581" s="34" t="str">
        <f aca="false">IF(I581="","SIN DATO",IFERROR(INDEX(cat_ModN,MATCH(I581,cat_ModO,0)),I581))</f>
        <v>SEL-735</v>
      </c>
      <c r="U581" s="34" t="str">
        <f aca="false">IF(I581="","",IFERROR(INDEX(cat_ModG,MATCH(I581,cat_ModO,0)),"No"))</f>
        <v>No</v>
      </c>
      <c r="V581" s="34" t="str">
        <f aca="false">IF(J581="","SIN DATO",IFERROR(INDEX(cat_FunN,MATCH(J581,cat_FunO,0)),J581))</f>
        <v>Medición</v>
      </c>
      <c r="W581" s="34" t="str">
        <f aca="false">IF(OR(S581="SIN DATO",T581="SIN DATO"),"No","Sí")</f>
        <v>Sí</v>
      </c>
    </row>
    <row r="582" customFormat="false" ht="15" hidden="false" customHeight="false" outlineLevel="0" collapsed="false">
      <c r="A582" s="34" t="s">
        <v>2302</v>
      </c>
      <c r="B582" s="34" t="s">
        <v>2303</v>
      </c>
      <c r="C582" s="34" t="s">
        <v>2304</v>
      </c>
      <c r="D582" s="34" t="s">
        <v>2305</v>
      </c>
      <c r="E582" s="34" t="s">
        <v>178</v>
      </c>
      <c r="F582" s="34" t="s">
        <v>1602</v>
      </c>
      <c r="G582" s="34" t="s">
        <v>227</v>
      </c>
      <c r="H582" s="34" t="s">
        <v>55</v>
      </c>
      <c r="I582" s="34" t="s">
        <v>57</v>
      </c>
      <c r="J582" s="34" t="s">
        <v>2171</v>
      </c>
      <c r="K582" s="34" t="s">
        <v>229</v>
      </c>
      <c r="L582" s="34" t="s">
        <v>230</v>
      </c>
      <c r="M582" s="34" t="s">
        <v>237</v>
      </c>
      <c r="N582" s="34" t="str">
        <f aca="false">"Sector "&amp;VALUE(MID(D582,13,2))</f>
        <v>Sector 8</v>
      </c>
      <c r="O582" s="34" t="str">
        <f aca="false">IF(Dashboard!$C$5="Ubicación técnica",N582,"Sector "&amp;VALUE(RIGHT(G582,2)))</f>
        <v>Sector 8</v>
      </c>
      <c r="P582" s="34" t="str">
        <f aca="false">IF(MID(D582,15,3)="SEL","Subestación eléctrica","Área de proceso")</f>
        <v>Subestación eléctrica</v>
      </c>
      <c r="Q582" s="34" t="str">
        <f aca="false">MID(D582,13,5)&amp;"|"&amp;MID(D582,19,5)</f>
        <v>08SEL|S_019</v>
      </c>
      <c r="R582" s="34" t="str">
        <f aca="false">IF(P582="Subestación eléctrica",IFERROR(INDEX(cat_SubN,MATCH(Q582,cat_SubK,0)),"SIN CATALOGAR"),"ÁREA DE PROCESO")</f>
        <v>SE-19</v>
      </c>
      <c r="S582" s="34" t="str">
        <f aca="false">IF(H582="","SIN DATO",IFERROR(INDEX(cat_MarcaN,MATCH(H582,cat_MarcaO,0)),H582))</f>
        <v>SEL</v>
      </c>
      <c r="T582" s="34" t="str">
        <f aca="false">IF(I582="","SIN DATO",IFERROR(INDEX(cat_ModN,MATCH(I582,cat_ModO,0)),I582))</f>
        <v>SEL-735</v>
      </c>
      <c r="U582" s="34" t="str">
        <f aca="false">IF(I582="","",IFERROR(INDEX(cat_ModG,MATCH(I582,cat_ModO,0)),"No"))</f>
        <v>No</v>
      </c>
      <c r="V582" s="34" t="str">
        <f aca="false">IF(J582="","SIN DATO",IFERROR(INDEX(cat_FunN,MATCH(J582,cat_FunO,0)),J582))</f>
        <v>Medición</v>
      </c>
      <c r="W582" s="34" t="str">
        <f aca="false">IF(OR(S582="SIN DATO",T582="SIN DATO"),"No","Sí")</f>
        <v>Sí</v>
      </c>
    </row>
    <row r="583" customFormat="false" ht="15" hidden="false" customHeight="false" outlineLevel="0" collapsed="false">
      <c r="A583" s="34" t="s">
        <v>2306</v>
      </c>
      <c r="B583" s="34" t="s">
        <v>2307</v>
      </c>
      <c r="C583" s="34" t="s">
        <v>2308</v>
      </c>
      <c r="D583" s="34" t="s">
        <v>2309</v>
      </c>
      <c r="E583" s="34" t="s">
        <v>178</v>
      </c>
      <c r="F583" s="34" t="s">
        <v>1602</v>
      </c>
      <c r="G583" s="34" t="s">
        <v>227</v>
      </c>
      <c r="H583" s="34" t="s">
        <v>55</v>
      </c>
      <c r="I583" s="34" t="s">
        <v>57</v>
      </c>
      <c r="J583" s="34" t="s">
        <v>2171</v>
      </c>
      <c r="K583" s="34" t="s">
        <v>229</v>
      </c>
      <c r="L583" s="34" t="s">
        <v>230</v>
      </c>
      <c r="M583" s="34" t="s">
        <v>237</v>
      </c>
      <c r="N583" s="34" t="str">
        <f aca="false">"Sector "&amp;VALUE(MID(D583,13,2))</f>
        <v>Sector 8</v>
      </c>
      <c r="O583" s="34" t="str">
        <f aca="false">IF(Dashboard!$C$5="Ubicación técnica",N583,"Sector "&amp;VALUE(RIGHT(G583,2)))</f>
        <v>Sector 8</v>
      </c>
      <c r="P583" s="34" t="str">
        <f aca="false">IF(MID(D583,15,3)="SEL","Subestación eléctrica","Área de proceso")</f>
        <v>Subestación eléctrica</v>
      </c>
      <c r="Q583" s="34" t="str">
        <f aca="false">MID(D583,13,5)&amp;"|"&amp;MID(D583,19,5)</f>
        <v>08SEL|S_019</v>
      </c>
      <c r="R583" s="34" t="str">
        <f aca="false">IF(P583="Subestación eléctrica",IFERROR(INDEX(cat_SubN,MATCH(Q583,cat_SubK,0)),"SIN CATALOGAR"),"ÁREA DE PROCESO")</f>
        <v>SE-19</v>
      </c>
      <c r="S583" s="34" t="str">
        <f aca="false">IF(H583="","SIN DATO",IFERROR(INDEX(cat_MarcaN,MATCH(H583,cat_MarcaO,0)),H583))</f>
        <v>SEL</v>
      </c>
      <c r="T583" s="34" t="str">
        <f aca="false">IF(I583="","SIN DATO",IFERROR(INDEX(cat_ModN,MATCH(I583,cat_ModO,0)),I583))</f>
        <v>SEL-735</v>
      </c>
      <c r="U583" s="34" t="str">
        <f aca="false">IF(I583="","",IFERROR(INDEX(cat_ModG,MATCH(I583,cat_ModO,0)),"No"))</f>
        <v>No</v>
      </c>
      <c r="V583" s="34" t="str">
        <f aca="false">IF(J583="","SIN DATO",IFERROR(INDEX(cat_FunN,MATCH(J583,cat_FunO,0)),J583))</f>
        <v>Medición</v>
      </c>
      <c r="W583" s="34" t="str">
        <f aca="false">IF(OR(S583="SIN DATO",T583="SIN DATO"),"No","Sí")</f>
        <v>Sí</v>
      </c>
    </row>
    <row r="584" customFormat="false" ht="15" hidden="false" customHeight="false" outlineLevel="0" collapsed="false">
      <c r="A584" s="34" t="s">
        <v>2310</v>
      </c>
      <c r="B584" s="34" t="s">
        <v>2311</v>
      </c>
      <c r="C584" s="34" t="s">
        <v>2312</v>
      </c>
      <c r="D584" s="34" t="s">
        <v>2313</v>
      </c>
      <c r="E584" s="34" t="s">
        <v>138</v>
      </c>
      <c r="F584" s="34" t="s">
        <v>1602</v>
      </c>
      <c r="G584" s="34" t="s">
        <v>227</v>
      </c>
      <c r="H584" s="34"/>
      <c r="I584" s="34"/>
      <c r="J584" s="34"/>
      <c r="K584" s="34"/>
      <c r="L584" s="34"/>
      <c r="M584" s="34"/>
      <c r="N584" s="34" t="str">
        <f aca="false">"Sector "&amp;VALUE(MID(D584,13,2))</f>
        <v>Sector 6</v>
      </c>
      <c r="O584" s="34" t="str">
        <f aca="false">IF(Dashboard!$C$5="Ubicación técnica",N584,"Sector "&amp;VALUE(RIGHT(G584,2)))</f>
        <v>Sector 6</v>
      </c>
      <c r="P584" s="34" t="str">
        <f aca="false">IF(MID(D584,15,3)="SEL","Subestación eléctrica","Área de proceso")</f>
        <v>Subestación eléctrica</v>
      </c>
      <c r="Q584" s="34" t="str">
        <f aca="false">MID(D584,13,5)&amp;"|"&amp;MID(D584,19,5)</f>
        <v>06SEL|S_002</v>
      </c>
      <c r="R584" s="34" t="str">
        <f aca="false">IF(P584="Subestación eléctrica",IFERROR(INDEX(cat_SubN,MATCH(Q584,cat_SubK,0)),"SIN CATALOGAR"),"ÁREA DE PROCESO")</f>
        <v>SE-02</v>
      </c>
      <c r="S584" s="34" t="str">
        <f aca="false">IF(H584="","SIN DATO",IFERROR(INDEX(cat_MarcaN,MATCH(H584,cat_MarcaO,0)),H584))</f>
        <v>SIN DATO</v>
      </c>
      <c r="T584" s="34" t="str">
        <f aca="false">IF(I584="","SIN DATO",IFERROR(INDEX(cat_ModN,MATCH(I584,cat_ModO,0)),I584))</f>
        <v>SIN DATO</v>
      </c>
      <c r="U584" s="34" t="str">
        <f aca="false">IF(I584="","",IFERROR(INDEX(cat_ModG,MATCH(I584,cat_ModO,0)),"No"))</f>
        <v/>
      </c>
      <c r="V584" s="34" t="str">
        <f aca="false">IF(J584="","SIN DATO",IFERROR(INDEX(cat_FunN,MATCH(J584,cat_FunO,0)),J584))</f>
        <v>SIN DATO</v>
      </c>
      <c r="W584" s="34" t="str">
        <f aca="false">IF(OR(S584="SIN DATO",T584="SIN DATO"),"No","Sí")</f>
        <v>No</v>
      </c>
    </row>
    <row r="585" customFormat="false" ht="15" hidden="false" customHeight="false" outlineLevel="0" collapsed="false">
      <c r="A585" s="34" t="s">
        <v>2314</v>
      </c>
      <c r="B585" s="34" t="s">
        <v>2315</v>
      </c>
      <c r="C585" s="34" t="s">
        <v>2316</v>
      </c>
      <c r="D585" s="34" t="s">
        <v>2317</v>
      </c>
      <c r="E585" s="34" t="s">
        <v>138</v>
      </c>
      <c r="F585" s="34" t="s">
        <v>1602</v>
      </c>
      <c r="G585" s="34" t="s">
        <v>227</v>
      </c>
      <c r="H585" s="34"/>
      <c r="I585" s="34"/>
      <c r="J585" s="34"/>
      <c r="K585" s="34"/>
      <c r="L585" s="34"/>
      <c r="M585" s="34"/>
      <c r="N585" s="34" t="str">
        <f aca="false">"Sector "&amp;VALUE(MID(D585,13,2))</f>
        <v>Sector 6</v>
      </c>
      <c r="O585" s="34" t="str">
        <f aca="false">IF(Dashboard!$C$5="Ubicación técnica",N585,"Sector "&amp;VALUE(RIGHT(G585,2)))</f>
        <v>Sector 6</v>
      </c>
      <c r="P585" s="34" t="str">
        <f aca="false">IF(MID(D585,15,3)="SEL","Subestación eléctrica","Área de proceso")</f>
        <v>Subestación eléctrica</v>
      </c>
      <c r="Q585" s="34" t="str">
        <f aca="false">MID(D585,13,5)&amp;"|"&amp;MID(D585,19,5)</f>
        <v>06SEL|S_002</v>
      </c>
      <c r="R585" s="34" t="str">
        <f aca="false">IF(P585="Subestación eléctrica",IFERROR(INDEX(cat_SubN,MATCH(Q585,cat_SubK,0)),"SIN CATALOGAR"),"ÁREA DE PROCESO")</f>
        <v>SE-02</v>
      </c>
      <c r="S585" s="34" t="str">
        <f aca="false">IF(H585="","SIN DATO",IFERROR(INDEX(cat_MarcaN,MATCH(H585,cat_MarcaO,0)),H585))</f>
        <v>SIN DATO</v>
      </c>
      <c r="T585" s="34" t="str">
        <f aca="false">IF(I585="","SIN DATO",IFERROR(INDEX(cat_ModN,MATCH(I585,cat_ModO,0)),I585))</f>
        <v>SIN DATO</v>
      </c>
      <c r="U585" s="34" t="str">
        <f aca="false">IF(I585="","",IFERROR(INDEX(cat_ModG,MATCH(I585,cat_ModO,0)),"No"))</f>
        <v/>
      </c>
      <c r="V585" s="34" t="str">
        <f aca="false">IF(J585="","SIN DATO",IFERROR(INDEX(cat_FunN,MATCH(J585,cat_FunO,0)),J585))</f>
        <v>SIN DATO</v>
      </c>
      <c r="W585" s="34" t="str">
        <f aca="false">IF(OR(S585="SIN DATO",T585="SIN DATO"),"No","Sí")</f>
        <v>No</v>
      </c>
    </row>
    <row r="586" customFormat="false" ht="15" hidden="false" customHeight="false" outlineLevel="0" collapsed="false">
      <c r="A586" s="34" t="s">
        <v>2318</v>
      </c>
      <c r="B586" s="34" t="s">
        <v>2319</v>
      </c>
      <c r="C586" s="34" t="s">
        <v>2320</v>
      </c>
      <c r="D586" s="34" t="s">
        <v>2321</v>
      </c>
      <c r="E586" s="34" t="s">
        <v>170</v>
      </c>
      <c r="F586" s="34" t="s">
        <v>1602</v>
      </c>
      <c r="G586" s="34" t="s">
        <v>227</v>
      </c>
      <c r="H586" s="34" t="s">
        <v>55</v>
      </c>
      <c r="I586" s="34" t="s">
        <v>57</v>
      </c>
      <c r="J586" s="34" t="s">
        <v>2171</v>
      </c>
      <c r="K586" s="34" t="s">
        <v>229</v>
      </c>
      <c r="L586" s="34" t="s">
        <v>230</v>
      </c>
      <c r="M586" s="34" t="s">
        <v>237</v>
      </c>
      <c r="N586" s="34" t="str">
        <f aca="false">"Sector "&amp;VALUE(MID(D586,13,2))</f>
        <v>Sector 8</v>
      </c>
      <c r="O586" s="34" t="str">
        <f aca="false">IF(Dashboard!$C$5="Ubicación técnica",N586,"Sector "&amp;VALUE(RIGHT(G586,2)))</f>
        <v>Sector 8</v>
      </c>
      <c r="P586" s="34" t="str">
        <f aca="false">IF(MID(D586,15,3)="SEL","Subestación eléctrica","Área de proceso")</f>
        <v>Subestación eléctrica</v>
      </c>
      <c r="Q586" s="34" t="str">
        <f aca="false">MID(D586,13,5)&amp;"|"&amp;MID(D586,19,5)</f>
        <v>08SEL|S_016</v>
      </c>
      <c r="R586" s="34" t="str">
        <f aca="false">IF(P586="Subestación eléctrica",IFERROR(INDEX(cat_SubN,MATCH(Q586,cat_SubK,0)),"SIN CATALOGAR"),"ÁREA DE PROCESO")</f>
        <v>SE-16</v>
      </c>
      <c r="S586" s="34" t="str">
        <f aca="false">IF(H586="","SIN DATO",IFERROR(INDEX(cat_MarcaN,MATCH(H586,cat_MarcaO,0)),H586))</f>
        <v>SEL</v>
      </c>
      <c r="T586" s="34" t="str">
        <f aca="false">IF(I586="","SIN DATO",IFERROR(INDEX(cat_ModN,MATCH(I586,cat_ModO,0)),I586))</f>
        <v>SEL-735</v>
      </c>
      <c r="U586" s="34" t="str">
        <f aca="false">IF(I586="","",IFERROR(INDEX(cat_ModG,MATCH(I586,cat_ModO,0)),"No"))</f>
        <v>No</v>
      </c>
      <c r="V586" s="34" t="str">
        <f aca="false">IF(J586="","SIN DATO",IFERROR(INDEX(cat_FunN,MATCH(J586,cat_FunO,0)),J586))</f>
        <v>Medición</v>
      </c>
      <c r="W586" s="34" t="str">
        <f aca="false">IF(OR(S586="SIN DATO",T586="SIN DATO"),"No","Sí")</f>
        <v>Sí</v>
      </c>
    </row>
    <row r="587" customFormat="false" ht="15" hidden="false" customHeight="false" outlineLevel="0" collapsed="false">
      <c r="A587" s="34" t="s">
        <v>2322</v>
      </c>
      <c r="B587" s="34" t="s">
        <v>2323</v>
      </c>
      <c r="C587" s="34" t="s">
        <v>2324</v>
      </c>
      <c r="D587" s="34" t="s">
        <v>2325</v>
      </c>
      <c r="E587" s="34" t="s">
        <v>170</v>
      </c>
      <c r="F587" s="34" t="s">
        <v>1602</v>
      </c>
      <c r="G587" s="34" t="s">
        <v>227</v>
      </c>
      <c r="H587" s="34" t="s">
        <v>55</v>
      </c>
      <c r="I587" s="34" t="s">
        <v>57</v>
      </c>
      <c r="J587" s="34" t="s">
        <v>2171</v>
      </c>
      <c r="K587" s="34" t="s">
        <v>229</v>
      </c>
      <c r="L587" s="34" t="s">
        <v>230</v>
      </c>
      <c r="M587" s="34" t="s">
        <v>237</v>
      </c>
      <c r="N587" s="34" t="str">
        <f aca="false">"Sector "&amp;VALUE(MID(D587,13,2))</f>
        <v>Sector 8</v>
      </c>
      <c r="O587" s="34" t="str">
        <f aca="false">IF(Dashboard!$C$5="Ubicación técnica",N587,"Sector "&amp;VALUE(RIGHT(G587,2)))</f>
        <v>Sector 8</v>
      </c>
      <c r="P587" s="34" t="str">
        <f aca="false">IF(MID(D587,15,3)="SEL","Subestación eléctrica","Área de proceso")</f>
        <v>Subestación eléctrica</v>
      </c>
      <c r="Q587" s="34" t="str">
        <f aca="false">MID(D587,13,5)&amp;"|"&amp;MID(D587,19,5)</f>
        <v>08SEL|S_016</v>
      </c>
      <c r="R587" s="34" t="str">
        <f aca="false">IF(P587="Subestación eléctrica",IFERROR(INDEX(cat_SubN,MATCH(Q587,cat_SubK,0)),"SIN CATALOGAR"),"ÁREA DE PROCESO")</f>
        <v>SE-16</v>
      </c>
      <c r="S587" s="34" t="str">
        <f aca="false">IF(H587="","SIN DATO",IFERROR(INDEX(cat_MarcaN,MATCH(H587,cat_MarcaO,0)),H587))</f>
        <v>SEL</v>
      </c>
      <c r="T587" s="34" t="str">
        <f aca="false">IF(I587="","SIN DATO",IFERROR(INDEX(cat_ModN,MATCH(I587,cat_ModO,0)),I587))</f>
        <v>SEL-735</v>
      </c>
      <c r="U587" s="34" t="str">
        <f aca="false">IF(I587="","",IFERROR(INDEX(cat_ModG,MATCH(I587,cat_ModO,0)),"No"))</f>
        <v>No</v>
      </c>
      <c r="V587" s="34" t="str">
        <f aca="false">IF(J587="","SIN DATO",IFERROR(INDEX(cat_FunN,MATCH(J587,cat_FunO,0)),J587))</f>
        <v>Medición</v>
      </c>
      <c r="W587" s="34" t="str">
        <f aca="false">IF(OR(S587="SIN DATO",T587="SIN DATO"),"No","Sí")</f>
        <v>Sí</v>
      </c>
    </row>
    <row r="588" customFormat="false" ht="15" hidden="false" customHeight="false" outlineLevel="0" collapsed="false">
      <c r="A588" s="34" t="s">
        <v>2326</v>
      </c>
      <c r="B588" s="34" t="s">
        <v>2327</v>
      </c>
      <c r="C588" s="34" t="s">
        <v>2328</v>
      </c>
      <c r="D588" s="34" t="s">
        <v>2329</v>
      </c>
      <c r="E588" s="34" t="s">
        <v>178</v>
      </c>
      <c r="F588" s="34" t="s">
        <v>1602</v>
      </c>
      <c r="G588" s="34" t="s">
        <v>227</v>
      </c>
      <c r="H588" s="34" t="s">
        <v>55</v>
      </c>
      <c r="I588" s="34" t="s">
        <v>57</v>
      </c>
      <c r="J588" s="34" t="s">
        <v>2171</v>
      </c>
      <c r="K588" s="34" t="s">
        <v>229</v>
      </c>
      <c r="L588" s="34" t="s">
        <v>230</v>
      </c>
      <c r="M588" s="34" t="s">
        <v>237</v>
      </c>
      <c r="N588" s="34" t="str">
        <f aca="false">"Sector "&amp;VALUE(MID(D588,13,2))</f>
        <v>Sector 8</v>
      </c>
      <c r="O588" s="34" t="str">
        <f aca="false">IF(Dashboard!$C$5="Ubicación técnica",N588,"Sector "&amp;VALUE(RIGHT(G588,2)))</f>
        <v>Sector 8</v>
      </c>
      <c r="P588" s="34" t="str">
        <f aca="false">IF(MID(D588,15,3)="SEL","Subestación eléctrica","Área de proceso")</f>
        <v>Subestación eléctrica</v>
      </c>
      <c r="Q588" s="34" t="str">
        <f aca="false">MID(D588,13,5)&amp;"|"&amp;MID(D588,19,5)</f>
        <v>08SEL|S_019</v>
      </c>
      <c r="R588" s="34" t="str">
        <f aca="false">IF(P588="Subestación eléctrica",IFERROR(INDEX(cat_SubN,MATCH(Q588,cat_SubK,0)),"SIN CATALOGAR"),"ÁREA DE PROCESO")</f>
        <v>SE-19</v>
      </c>
      <c r="S588" s="34" t="str">
        <f aca="false">IF(H588="","SIN DATO",IFERROR(INDEX(cat_MarcaN,MATCH(H588,cat_MarcaO,0)),H588))</f>
        <v>SEL</v>
      </c>
      <c r="T588" s="34" t="str">
        <f aca="false">IF(I588="","SIN DATO",IFERROR(INDEX(cat_ModN,MATCH(I588,cat_ModO,0)),I588))</f>
        <v>SEL-735</v>
      </c>
      <c r="U588" s="34" t="str">
        <f aca="false">IF(I588="","",IFERROR(INDEX(cat_ModG,MATCH(I588,cat_ModO,0)),"No"))</f>
        <v>No</v>
      </c>
      <c r="V588" s="34" t="str">
        <f aca="false">IF(J588="","SIN DATO",IFERROR(INDEX(cat_FunN,MATCH(J588,cat_FunO,0)),J588))</f>
        <v>Medición</v>
      </c>
      <c r="W588" s="34" t="str">
        <f aca="false">IF(OR(S588="SIN DATO",T588="SIN DATO"),"No","Sí")</f>
        <v>Sí</v>
      </c>
    </row>
    <row r="589" customFormat="false" ht="15" hidden="false" customHeight="false" outlineLevel="0" collapsed="false">
      <c r="A589" s="34" t="s">
        <v>2330</v>
      </c>
      <c r="B589" s="34" t="s">
        <v>2331</v>
      </c>
      <c r="C589" s="34" t="s">
        <v>2332</v>
      </c>
      <c r="D589" s="34" t="s">
        <v>2333</v>
      </c>
      <c r="E589" s="34" t="s">
        <v>178</v>
      </c>
      <c r="F589" s="34" t="s">
        <v>1602</v>
      </c>
      <c r="G589" s="34" t="s">
        <v>227</v>
      </c>
      <c r="H589" s="34" t="s">
        <v>55</v>
      </c>
      <c r="I589" s="34" t="s">
        <v>57</v>
      </c>
      <c r="J589" s="34" t="s">
        <v>58</v>
      </c>
      <c r="K589" s="34" t="s">
        <v>229</v>
      </c>
      <c r="L589" s="34" t="s">
        <v>230</v>
      </c>
      <c r="M589" s="34" t="s">
        <v>237</v>
      </c>
      <c r="N589" s="34" t="str">
        <f aca="false">"Sector "&amp;VALUE(MID(D589,13,2))</f>
        <v>Sector 8</v>
      </c>
      <c r="O589" s="34" t="str">
        <f aca="false">IF(Dashboard!$C$5="Ubicación técnica",N589,"Sector "&amp;VALUE(RIGHT(G589,2)))</f>
        <v>Sector 8</v>
      </c>
      <c r="P589" s="34" t="str">
        <f aca="false">IF(MID(D589,15,3)="SEL","Subestación eléctrica","Área de proceso")</f>
        <v>Subestación eléctrica</v>
      </c>
      <c r="Q589" s="34" t="str">
        <f aca="false">MID(D589,13,5)&amp;"|"&amp;MID(D589,19,5)</f>
        <v>08SEL|S_019</v>
      </c>
      <c r="R589" s="34" t="str">
        <f aca="false">IF(P589="Subestación eléctrica",IFERROR(INDEX(cat_SubN,MATCH(Q589,cat_SubK,0)),"SIN CATALOGAR"),"ÁREA DE PROCESO")</f>
        <v>SE-19</v>
      </c>
      <c r="S589" s="34" t="str">
        <f aca="false">IF(H589="","SIN DATO",IFERROR(INDEX(cat_MarcaN,MATCH(H589,cat_MarcaO,0)),H589))</f>
        <v>SEL</v>
      </c>
      <c r="T589" s="34" t="str">
        <f aca="false">IF(I589="","SIN DATO",IFERROR(INDEX(cat_ModN,MATCH(I589,cat_ModO,0)),I589))</f>
        <v>SEL-735</v>
      </c>
      <c r="U589" s="34" t="str">
        <f aca="false">IF(I589="","",IFERROR(INDEX(cat_ModG,MATCH(I589,cat_ModO,0)),"No"))</f>
        <v>No</v>
      </c>
      <c r="V589" s="34" t="str">
        <f aca="false">IF(J589="","SIN DATO",IFERROR(INDEX(cat_FunN,MATCH(J589,cat_FunO,0)),J589))</f>
        <v>Medición</v>
      </c>
      <c r="W589" s="34" t="str">
        <f aca="false">IF(OR(S589="SIN DATO",T589="SIN DATO"),"No","Sí")</f>
        <v>Sí</v>
      </c>
    </row>
    <row r="590" customFormat="false" ht="15" hidden="false" customHeight="false" outlineLevel="0" collapsed="false">
      <c r="A590" s="34" t="s">
        <v>2334</v>
      </c>
      <c r="B590" s="34" t="s">
        <v>2335</v>
      </c>
      <c r="C590" s="34" t="s">
        <v>2336</v>
      </c>
      <c r="D590" s="34" t="s">
        <v>2337</v>
      </c>
      <c r="E590" s="34" t="s">
        <v>184</v>
      </c>
      <c r="F590" s="34" t="s">
        <v>1602</v>
      </c>
      <c r="G590" s="34" t="s">
        <v>227</v>
      </c>
      <c r="H590" s="34" t="s">
        <v>55</v>
      </c>
      <c r="I590" s="34" t="s">
        <v>2146</v>
      </c>
      <c r="J590" s="34" t="s">
        <v>228</v>
      </c>
      <c r="K590" s="34" t="s">
        <v>229</v>
      </c>
      <c r="L590" s="34" t="s">
        <v>230</v>
      </c>
      <c r="M590" s="34" t="s">
        <v>344</v>
      </c>
      <c r="N590" s="34" t="str">
        <f aca="false">"Sector "&amp;VALUE(MID(D590,13,2))</f>
        <v>Sector 8</v>
      </c>
      <c r="O590" s="34" t="str">
        <f aca="false">IF(Dashboard!$C$5="Ubicación técnica",N590,"Sector "&amp;VALUE(RIGHT(G590,2)))</f>
        <v>Sector 8</v>
      </c>
      <c r="P590" s="34" t="str">
        <f aca="false">IF(MID(D590,15,3)="SEL","Subestación eléctrica","Área de proceso")</f>
        <v>Subestación eléctrica</v>
      </c>
      <c r="Q590" s="34" t="str">
        <f aca="false">MID(D590,13,5)&amp;"|"&amp;MID(D590,19,5)</f>
        <v>08SEL|SEP02</v>
      </c>
      <c r="R590" s="34" t="str">
        <f aca="false">IF(P590="Subestación eléctrica",IFERROR(INDEX(cat_SubN,MATCH(Q590,cat_SubK,0)),"SIN CATALOGAR"),"ÁREA DE PROCESO")</f>
        <v>SEP-02</v>
      </c>
      <c r="S590" s="34" t="str">
        <f aca="false">IF(H590="","SIN DATO",IFERROR(INDEX(cat_MarcaN,MATCH(H590,cat_MarcaO,0)),H590))</f>
        <v>SEL</v>
      </c>
      <c r="T590" s="34" t="str">
        <f aca="false">IF(I590="","SIN DATO",IFERROR(INDEX(cat_ModN,MATCH(I590,cat_ModO,0)),I590))</f>
        <v>SEL-735</v>
      </c>
      <c r="U590" s="34" t="str">
        <f aca="false">IF(I590="","",IFERROR(INDEX(cat_ModG,MATCH(I590,cat_ModO,0)),"No"))</f>
        <v>No</v>
      </c>
      <c r="V590" s="34" t="str">
        <f aca="false">IF(J590="","SIN DATO",IFERROR(INDEX(cat_FunN,MATCH(J590,cat_FunO,0)),J590))</f>
        <v>Protección y medición</v>
      </c>
      <c r="W590" s="34" t="str">
        <f aca="false">IF(OR(S590="SIN DATO",T590="SIN DATO"),"No","Sí")</f>
        <v>Sí</v>
      </c>
    </row>
    <row r="591" customFormat="false" ht="15" hidden="false" customHeight="false" outlineLevel="0" collapsed="false">
      <c r="A591" s="34" t="s">
        <v>2338</v>
      </c>
      <c r="B591" s="34" t="s">
        <v>2339</v>
      </c>
      <c r="C591" s="34" t="s">
        <v>2340</v>
      </c>
      <c r="D591" s="34" t="s">
        <v>2293</v>
      </c>
      <c r="E591" s="34" t="s">
        <v>184</v>
      </c>
      <c r="F591" s="34" t="s">
        <v>1602</v>
      </c>
      <c r="G591" s="34" t="s">
        <v>227</v>
      </c>
      <c r="H591" s="34" t="s">
        <v>55</v>
      </c>
      <c r="I591" s="34" t="s">
        <v>2146</v>
      </c>
      <c r="J591" s="34" t="s">
        <v>228</v>
      </c>
      <c r="K591" s="34" t="s">
        <v>229</v>
      </c>
      <c r="L591" s="34" t="s">
        <v>230</v>
      </c>
      <c r="M591" s="34" t="s">
        <v>344</v>
      </c>
      <c r="N591" s="34" t="str">
        <f aca="false">"Sector "&amp;VALUE(MID(D591,13,2))</f>
        <v>Sector 8</v>
      </c>
      <c r="O591" s="34" t="str">
        <f aca="false">IF(Dashboard!$C$5="Ubicación técnica",N591,"Sector "&amp;VALUE(RIGHT(G591,2)))</f>
        <v>Sector 8</v>
      </c>
      <c r="P591" s="34" t="str">
        <f aca="false">IF(MID(D591,15,3)="SEL","Subestación eléctrica","Área de proceso")</f>
        <v>Subestación eléctrica</v>
      </c>
      <c r="Q591" s="34" t="str">
        <f aca="false">MID(D591,13,5)&amp;"|"&amp;MID(D591,19,5)</f>
        <v>08SEL|SEP02</v>
      </c>
      <c r="R591" s="34" t="str">
        <f aca="false">IF(P591="Subestación eléctrica",IFERROR(INDEX(cat_SubN,MATCH(Q591,cat_SubK,0)),"SIN CATALOGAR"),"ÁREA DE PROCESO")</f>
        <v>SEP-02</v>
      </c>
      <c r="S591" s="34" t="str">
        <f aca="false">IF(H591="","SIN DATO",IFERROR(INDEX(cat_MarcaN,MATCH(H591,cat_MarcaO,0)),H591))</f>
        <v>SEL</v>
      </c>
      <c r="T591" s="34" t="str">
        <f aca="false">IF(I591="","SIN DATO",IFERROR(INDEX(cat_ModN,MATCH(I591,cat_ModO,0)),I591))</f>
        <v>SEL-735</v>
      </c>
      <c r="U591" s="34" t="str">
        <f aca="false">IF(I591="","",IFERROR(INDEX(cat_ModG,MATCH(I591,cat_ModO,0)),"No"))</f>
        <v>No</v>
      </c>
      <c r="V591" s="34" t="str">
        <f aca="false">IF(J591="","SIN DATO",IFERROR(INDEX(cat_FunN,MATCH(J591,cat_FunO,0)),J591))</f>
        <v>Protección y medición</v>
      </c>
      <c r="W591" s="34" t="str">
        <f aca="false">IF(OR(S591="SIN DATO",T591="SIN DATO"),"No","Sí")</f>
        <v>Sí</v>
      </c>
    </row>
    <row r="592" customFormat="false" ht="15" hidden="false" customHeight="false" outlineLevel="0" collapsed="false">
      <c r="A592" s="34" t="s">
        <v>2341</v>
      </c>
      <c r="B592" s="34" t="s">
        <v>2342</v>
      </c>
      <c r="C592" s="34" t="s">
        <v>2343</v>
      </c>
      <c r="D592" s="34" t="s">
        <v>2344</v>
      </c>
      <c r="E592" s="34" t="s">
        <v>184</v>
      </c>
      <c r="F592" s="34" t="s">
        <v>1602</v>
      </c>
      <c r="G592" s="34" t="s">
        <v>227</v>
      </c>
      <c r="H592" s="34" t="s">
        <v>55</v>
      </c>
      <c r="I592" s="34" t="s">
        <v>2146</v>
      </c>
      <c r="J592" s="34" t="s">
        <v>228</v>
      </c>
      <c r="K592" s="34" t="s">
        <v>229</v>
      </c>
      <c r="L592" s="34" t="s">
        <v>230</v>
      </c>
      <c r="M592" s="34" t="s">
        <v>344</v>
      </c>
      <c r="N592" s="34" t="str">
        <f aca="false">"Sector "&amp;VALUE(MID(D592,13,2))</f>
        <v>Sector 8</v>
      </c>
      <c r="O592" s="34" t="str">
        <f aca="false">IF(Dashboard!$C$5="Ubicación técnica",N592,"Sector "&amp;VALUE(RIGHT(G592,2)))</f>
        <v>Sector 8</v>
      </c>
      <c r="P592" s="34" t="str">
        <f aca="false">IF(MID(D592,15,3)="SEL","Subestación eléctrica","Área de proceso")</f>
        <v>Subestación eléctrica</v>
      </c>
      <c r="Q592" s="34" t="str">
        <f aca="false">MID(D592,13,5)&amp;"|"&amp;MID(D592,19,5)</f>
        <v>08SEL|SEP02</v>
      </c>
      <c r="R592" s="34" t="str">
        <f aca="false">IF(P592="Subestación eléctrica",IFERROR(INDEX(cat_SubN,MATCH(Q592,cat_SubK,0)),"SIN CATALOGAR"),"ÁREA DE PROCESO")</f>
        <v>SEP-02</v>
      </c>
      <c r="S592" s="34" t="str">
        <f aca="false">IF(H592="","SIN DATO",IFERROR(INDEX(cat_MarcaN,MATCH(H592,cat_MarcaO,0)),H592))</f>
        <v>SEL</v>
      </c>
      <c r="T592" s="34" t="str">
        <f aca="false">IF(I592="","SIN DATO",IFERROR(INDEX(cat_ModN,MATCH(I592,cat_ModO,0)),I592))</f>
        <v>SEL-735</v>
      </c>
      <c r="U592" s="34" t="str">
        <f aca="false">IF(I592="","",IFERROR(INDEX(cat_ModG,MATCH(I592,cat_ModO,0)),"No"))</f>
        <v>No</v>
      </c>
      <c r="V592" s="34" t="str">
        <f aca="false">IF(J592="","SIN DATO",IFERROR(INDEX(cat_FunN,MATCH(J592,cat_FunO,0)),J592))</f>
        <v>Protección y medición</v>
      </c>
      <c r="W592" s="34" t="str">
        <f aca="false">IF(OR(S592="SIN DATO",T592="SIN DATO"),"No","Sí")</f>
        <v>Sí</v>
      </c>
    </row>
    <row r="593" customFormat="false" ht="15" hidden="false" customHeight="false" outlineLevel="0" collapsed="false">
      <c r="A593" s="34" t="s">
        <v>2345</v>
      </c>
      <c r="B593" s="34" t="s">
        <v>2346</v>
      </c>
      <c r="C593" s="34" t="s">
        <v>2347</v>
      </c>
      <c r="D593" s="34" t="s">
        <v>2145</v>
      </c>
      <c r="E593" s="34" t="s">
        <v>184</v>
      </c>
      <c r="F593" s="34" t="s">
        <v>1602</v>
      </c>
      <c r="G593" s="34" t="s">
        <v>227</v>
      </c>
      <c r="H593" s="34" t="s">
        <v>55</v>
      </c>
      <c r="I593" s="34" t="s">
        <v>2146</v>
      </c>
      <c r="J593" s="34" t="s">
        <v>228</v>
      </c>
      <c r="K593" s="34" t="s">
        <v>229</v>
      </c>
      <c r="L593" s="34" t="s">
        <v>230</v>
      </c>
      <c r="M593" s="34" t="s">
        <v>344</v>
      </c>
      <c r="N593" s="34" t="str">
        <f aca="false">"Sector "&amp;VALUE(MID(D593,13,2))</f>
        <v>Sector 8</v>
      </c>
      <c r="O593" s="34" t="str">
        <f aca="false">IF(Dashboard!$C$5="Ubicación técnica",N593,"Sector "&amp;VALUE(RIGHT(G593,2)))</f>
        <v>Sector 8</v>
      </c>
      <c r="P593" s="34" t="str">
        <f aca="false">IF(MID(D593,15,3)="SEL","Subestación eléctrica","Área de proceso")</f>
        <v>Subestación eléctrica</v>
      </c>
      <c r="Q593" s="34" t="str">
        <f aca="false">MID(D593,13,5)&amp;"|"&amp;MID(D593,19,5)</f>
        <v>08SEL|SEP02</v>
      </c>
      <c r="R593" s="34" t="str">
        <f aca="false">IF(P593="Subestación eléctrica",IFERROR(INDEX(cat_SubN,MATCH(Q593,cat_SubK,0)),"SIN CATALOGAR"),"ÁREA DE PROCESO")</f>
        <v>SEP-02</v>
      </c>
      <c r="S593" s="34" t="str">
        <f aca="false">IF(H593="","SIN DATO",IFERROR(INDEX(cat_MarcaN,MATCH(H593,cat_MarcaO,0)),H593))</f>
        <v>SEL</v>
      </c>
      <c r="T593" s="34" t="str">
        <f aca="false">IF(I593="","SIN DATO",IFERROR(INDEX(cat_ModN,MATCH(I593,cat_ModO,0)),I593))</f>
        <v>SEL-735</v>
      </c>
      <c r="U593" s="34" t="str">
        <f aca="false">IF(I593="","",IFERROR(INDEX(cat_ModG,MATCH(I593,cat_ModO,0)),"No"))</f>
        <v>No</v>
      </c>
      <c r="V593" s="34" t="str">
        <f aca="false">IF(J593="","SIN DATO",IFERROR(INDEX(cat_FunN,MATCH(J593,cat_FunO,0)),J593))</f>
        <v>Protección y medición</v>
      </c>
      <c r="W593" s="34" t="str">
        <f aca="false">IF(OR(S593="SIN DATO",T593="SIN DATO"),"No","Sí")</f>
        <v>Sí</v>
      </c>
    </row>
    <row r="594" customFormat="false" ht="15" hidden="false" customHeight="false" outlineLevel="0" collapsed="false">
      <c r="A594" s="34" t="s">
        <v>2348</v>
      </c>
      <c r="B594" s="34" t="s">
        <v>2349</v>
      </c>
      <c r="C594" s="34" t="s">
        <v>2350</v>
      </c>
      <c r="D594" s="34" t="s">
        <v>2337</v>
      </c>
      <c r="E594" s="34" t="s">
        <v>184</v>
      </c>
      <c r="F594" s="34" t="s">
        <v>1602</v>
      </c>
      <c r="G594" s="34" t="s">
        <v>227</v>
      </c>
      <c r="H594" s="34" t="s">
        <v>55</v>
      </c>
      <c r="I594" s="34" t="s">
        <v>2146</v>
      </c>
      <c r="J594" s="34" t="s">
        <v>228</v>
      </c>
      <c r="K594" s="34" t="s">
        <v>229</v>
      </c>
      <c r="L594" s="34" t="s">
        <v>230</v>
      </c>
      <c r="M594" s="34" t="s">
        <v>344</v>
      </c>
      <c r="N594" s="34" t="str">
        <f aca="false">"Sector "&amp;VALUE(MID(D594,13,2))</f>
        <v>Sector 8</v>
      </c>
      <c r="O594" s="34" t="str">
        <f aca="false">IF(Dashboard!$C$5="Ubicación técnica",N594,"Sector "&amp;VALUE(RIGHT(G594,2)))</f>
        <v>Sector 8</v>
      </c>
      <c r="P594" s="34" t="str">
        <f aca="false">IF(MID(D594,15,3)="SEL","Subestación eléctrica","Área de proceso")</f>
        <v>Subestación eléctrica</v>
      </c>
      <c r="Q594" s="34" t="str">
        <f aca="false">MID(D594,13,5)&amp;"|"&amp;MID(D594,19,5)</f>
        <v>08SEL|SEP02</v>
      </c>
      <c r="R594" s="34" t="str">
        <f aca="false">IF(P594="Subestación eléctrica",IFERROR(INDEX(cat_SubN,MATCH(Q594,cat_SubK,0)),"SIN CATALOGAR"),"ÁREA DE PROCESO")</f>
        <v>SEP-02</v>
      </c>
      <c r="S594" s="34" t="str">
        <f aca="false">IF(H594="","SIN DATO",IFERROR(INDEX(cat_MarcaN,MATCH(H594,cat_MarcaO,0)),H594))</f>
        <v>SEL</v>
      </c>
      <c r="T594" s="34" t="str">
        <f aca="false">IF(I594="","SIN DATO",IFERROR(INDEX(cat_ModN,MATCH(I594,cat_ModO,0)),I594))</f>
        <v>SEL-735</v>
      </c>
      <c r="U594" s="34" t="str">
        <f aca="false">IF(I594="","",IFERROR(INDEX(cat_ModG,MATCH(I594,cat_ModO,0)),"No"))</f>
        <v>No</v>
      </c>
      <c r="V594" s="34" t="str">
        <f aca="false">IF(J594="","SIN DATO",IFERROR(INDEX(cat_FunN,MATCH(J594,cat_FunO,0)),J594))</f>
        <v>Protección y medición</v>
      </c>
      <c r="W594" s="34" t="str">
        <f aca="false">IF(OR(S594="SIN DATO",T594="SIN DATO"),"No","Sí")</f>
        <v>Sí</v>
      </c>
    </row>
    <row r="595" customFormat="false" ht="15" hidden="false" customHeight="false" outlineLevel="0" collapsed="false">
      <c r="A595" s="34" t="s">
        <v>2351</v>
      </c>
      <c r="B595" s="34" t="s">
        <v>2352</v>
      </c>
      <c r="C595" s="34" t="s">
        <v>2353</v>
      </c>
      <c r="D595" s="34" t="s">
        <v>2150</v>
      </c>
      <c r="E595" s="34" t="s">
        <v>184</v>
      </c>
      <c r="F595" s="34" t="s">
        <v>1602</v>
      </c>
      <c r="G595" s="34" t="s">
        <v>227</v>
      </c>
      <c r="H595" s="34" t="s">
        <v>55</v>
      </c>
      <c r="I595" s="34" t="s">
        <v>2146</v>
      </c>
      <c r="J595" s="34" t="s">
        <v>228</v>
      </c>
      <c r="K595" s="34" t="s">
        <v>229</v>
      </c>
      <c r="L595" s="34" t="s">
        <v>230</v>
      </c>
      <c r="M595" s="34" t="s">
        <v>344</v>
      </c>
      <c r="N595" s="34" t="str">
        <f aca="false">"Sector "&amp;VALUE(MID(D595,13,2))</f>
        <v>Sector 8</v>
      </c>
      <c r="O595" s="34" t="str">
        <f aca="false">IF(Dashboard!$C$5="Ubicación técnica",N595,"Sector "&amp;VALUE(RIGHT(G595,2)))</f>
        <v>Sector 8</v>
      </c>
      <c r="P595" s="34" t="str">
        <f aca="false">IF(MID(D595,15,3)="SEL","Subestación eléctrica","Área de proceso")</f>
        <v>Subestación eléctrica</v>
      </c>
      <c r="Q595" s="34" t="str">
        <f aca="false">MID(D595,13,5)&amp;"|"&amp;MID(D595,19,5)</f>
        <v>08SEL|SEP02</v>
      </c>
      <c r="R595" s="34" t="str">
        <f aca="false">IF(P595="Subestación eléctrica",IFERROR(INDEX(cat_SubN,MATCH(Q595,cat_SubK,0)),"SIN CATALOGAR"),"ÁREA DE PROCESO")</f>
        <v>SEP-02</v>
      </c>
      <c r="S595" s="34" t="str">
        <f aca="false">IF(H595="","SIN DATO",IFERROR(INDEX(cat_MarcaN,MATCH(H595,cat_MarcaO,0)),H595))</f>
        <v>SEL</v>
      </c>
      <c r="T595" s="34" t="str">
        <f aca="false">IF(I595="","SIN DATO",IFERROR(INDEX(cat_ModN,MATCH(I595,cat_ModO,0)),I595))</f>
        <v>SEL-735</v>
      </c>
      <c r="U595" s="34" t="str">
        <f aca="false">IF(I595="","",IFERROR(INDEX(cat_ModG,MATCH(I595,cat_ModO,0)),"No"))</f>
        <v>No</v>
      </c>
      <c r="V595" s="34" t="str">
        <f aca="false">IF(J595="","SIN DATO",IFERROR(INDEX(cat_FunN,MATCH(J595,cat_FunO,0)),J595))</f>
        <v>Protección y medición</v>
      </c>
      <c r="W595" s="34" t="str">
        <f aca="false">IF(OR(S595="SIN DATO",T595="SIN DATO"),"No","Sí")</f>
        <v>Sí</v>
      </c>
    </row>
    <row r="596" customFormat="false" ht="15" hidden="false" customHeight="false" outlineLevel="0" collapsed="false">
      <c r="A596" s="34" t="s">
        <v>2354</v>
      </c>
      <c r="B596" s="34" t="s">
        <v>2355</v>
      </c>
      <c r="C596" s="34" t="s">
        <v>2356</v>
      </c>
      <c r="D596" s="34" t="s">
        <v>2154</v>
      </c>
      <c r="E596" s="34" t="s">
        <v>184</v>
      </c>
      <c r="F596" s="34" t="s">
        <v>1602</v>
      </c>
      <c r="G596" s="34" t="s">
        <v>227</v>
      </c>
      <c r="H596" s="34" t="s">
        <v>55</v>
      </c>
      <c r="I596" s="34" t="s">
        <v>2146</v>
      </c>
      <c r="J596" s="34" t="s">
        <v>228</v>
      </c>
      <c r="K596" s="34" t="s">
        <v>229</v>
      </c>
      <c r="L596" s="34" t="s">
        <v>230</v>
      </c>
      <c r="M596" s="34" t="s">
        <v>344</v>
      </c>
      <c r="N596" s="34" t="str">
        <f aca="false">"Sector "&amp;VALUE(MID(D596,13,2))</f>
        <v>Sector 8</v>
      </c>
      <c r="O596" s="34" t="str">
        <f aca="false">IF(Dashboard!$C$5="Ubicación técnica",N596,"Sector "&amp;VALUE(RIGHT(G596,2)))</f>
        <v>Sector 8</v>
      </c>
      <c r="P596" s="34" t="str">
        <f aca="false">IF(MID(D596,15,3)="SEL","Subestación eléctrica","Área de proceso")</f>
        <v>Subestación eléctrica</v>
      </c>
      <c r="Q596" s="34" t="str">
        <f aca="false">MID(D596,13,5)&amp;"|"&amp;MID(D596,19,5)</f>
        <v>08SEL|SEP02</v>
      </c>
      <c r="R596" s="34" t="str">
        <f aca="false">IF(P596="Subestación eléctrica",IFERROR(INDEX(cat_SubN,MATCH(Q596,cat_SubK,0)),"SIN CATALOGAR"),"ÁREA DE PROCESO")</f>
        <v>SEP-02</v>
      </c>
      <c r="S596" s="34" t="str">
        <f aca="false">IF(H596="","SIN DATO",IFERROR(INDEX(cat_MarcaN,MATCH(H596,cat_MarcaO,0)),H596))</f>
        <v>SEL</v>
      </c>
      <c r="T596" s="34" t="str">
        <f aca="false">IF(I596="","SIN DATO",IFERROR(INDEX(cat_ModN,MATCH(I596,cat_ModO,0)),I596))</f>
        <v>SEL-735</v>
      </c>
      <c r="U596" s="34" t="str">
        <f aca="false">IF(I596="","",IFERROR(INDEX(cat_ModG,MATCH(I596,cat_ModO,0)),"No"))</f>
        <v>No</v>
      </c>
      <c r="V596" s="34" t="str">
        <f aca="false">IF(J596="","SIN DATO",IFERROR(INDEX(cat_FunN,MATCH(J596,cat_FunO,0)),J596))</f>
        <v>Protección y medición</v>
      </c>
      <c r="W596" s="34" t="str">
        <f aca="false">IF(OR(S596="SIN DATO",T596="SIN DATO"),"No","Sí")</f>
        <v>Sí</v>
      </c>
    </row>
    <row r="597" customFormat="false" ht="15" hidden="false" customHeight="false" outlineLevel="0" collapsed="false">
      <c r="A597" s="34" t="s">
        <v>2357</v>
      </c>
      <c r="B597" s="34" t="s">
        <v>2358</v>
      </c>
      <c r="C597" s="34" t="s">
        <v>2359</v>
      </c>
      <c r="D597" s="34" t="s">
        <v>2337</v>
      </c>
      <c r="E597" s="34" t="s">
        <v>184</v>
      </c>
      <c r="F597" s="34" t="s">
        <v>1602</v>
      </c>
      <c r="G597" s="34" t="s">
        <v>227</v>
      </c>
      <c r="H597" s="34" t="s">
        <v>55</v>
      </c>
      <c r="I597" s="34" t="s">
        <v>2146</v>
      </c>
      <c r="J597" s="34" t="s">
        <v>228</v>
      </c>
      <c r="K597" s="34" t="s">
        <v>229</v>
      </c>
      <c r="L597" s="34" t="s">
        <v>230</v>
      </c>
      <c r="M597" s="34" t="s">
        <v>344</v>
      </c>
      <c r="N597" s="34" t="str">
        <f aca="false">"Sector "&amp;VALUE(MID(D597,13,2))</f>
        <v>Sector 8</v>
      </c>
      <c r="O597" s="34" t="str">
        <f aca="false">IF(Dashboard!$C$5="Ubicación técnica",N597,"Sector "&amp;VALUE(RIGHT(G597,2)))</f>
        <v>Sector 8</v>
      </c>
      <c r="P597" s="34" t="str">
        <f aca="false">IF(MID(D597,15,3)="SEL","Subestación eléctrica","Área de proceso")</f>
        <v>Subestación eléctrica</v>
      </c>
      <c r="Q597" s="34" t="str">
        <f aca="false">MID(D597,13,5)&amp;"|"&amp;MID(D597,19,5)</f>
        <v>08SEL|SEP02</v>
      </c>
      <c r="R597" s="34" t="str">
        <f aca="false">IF(P597="Subestación eléctrica",IFERROR(INDEX(cat_SubN,MATCH(Q597,cat_SubK,0)),"SIN CATALOGAR"),"ÁREA DE PROCESO")</f>
        <v>SEP-02</v>
      </c>
      <c r="S597" s="34" t="str">
        <f aca="false">IF(H597="","SIN DATO",IFERROR(INDEX(cat_MarcaN,MATCH(H597,cat_MarcaO,0)),H597))</f>
        <v>SEL</v>
      </c>
      <c r="T597" s="34" t="str">
        <f aca="false">IF(I597="","SIN DATO",IFERROR(INDEX(cat_ModN,MATCH(I597,cat_ModO,0)),I597))</f>
        <v>SEL-735</v>
      </c>
      <c r="U597" s="34" t="str">
        <f aca="false">IF(I597="","",IFERROR(INDEX(cat_ModG,MATCH(I597,cat_ModO,0)),"No"))</f>
        <v>No</v>
      </c>
      <c r="V597" s="34" t="str">
        <f aca="false">IF(J597="","SIN DATO",IFERROR(INDEX(cat_FunN,MATCH(J597,cat_FunO,0)),J597))</f>
        <v>Protección y medición</v>
      </c>
      <c r="W597" s="34" t="str">
        <f aca="false">IF(OR(S597="SIN DATO",T597="SIN DATO"),"No","Sí")</f>
        <v>Sí</v>
      </c>
    </row>
    <row r="598" customFormat="false" ht="15" hidden="false" customHeight="false" outlineLevel="0" collapsed="false">
      <c r="A598" s="34" t="s">
        <v>2360</v>
      </c>
      <c r="B598" s="34" t="s">
        <v>2361</v>
      </c>
      <c r="C598" s="34" t="s">
        <v>2362</v>
      </c>
      <c r="D598" s="34" t="s">
        <v>2154</v>
      </c>
      <c r="E598" s="34" t="s">
        <v>184</v>
      </c>
      <c r="F598" s="34" t="s">
        <v>1602</v>
      </c>
      <c r="G598" s="34" t="s">
        <v>227</v>
      </c>
      <c r="H598" s="34" t="s">
        <v>55</v>
      </c>
      <c r="I598" s="34" t="s">
        <v>2146</v>
      </c>
      <c r="J598" s="34" t="s">
        <v>228</v>
      </c>
      <c r="K598" s="34" t="s">
        <v>229</v>
      </c>
      <c r="L598" s="34" t="s">
        <v>230</v>
      </c>
      <c r="M598" s="34" t="s">
        <v>344</v>
      </c>
      <c r="N598" s="34" t="str">
        <f aca="false">"Sector "&amp;VALUE(MID(D598,13,2))</f>
        <v>Sector 8</v>
      </c>
      <c r="O598" s="34" t="str">
        <f aca="false">IF(Dashboard!$C$5="Ubicación técnica",N598,"Sector "&amp;VALUE(RIGHT(G598,2)))</f>
        <v>Sector 8</v>
      </c>
      <c r="P598" s="34" t="str">
        <f aca="false">IF(MID(D598,15,3)="SEL","Subestación eléctrica","Área de proceso")</f>
        <v>Subestación eléctrica</v>
      </c>
      <c r="Q598" s="34" t="str">
        <f aca="false">MID(D598,13,5)&amp;"|"&amp;MID(D598,19,5)</f>
        <v>08SEL|SEP02</v>
      </c>
      <c r="R598" s="34" t="str">
        <f aca="false">IF(P598="Subestación eléctrica",IFERROR(INDEX(cat_SubN,MATCH(Q598,cat_SubK,0)),"SIN CATALOGAR"),"ÁREA DE PROCESO")</f>
        <v>SEP-02</v>
      </c>
      <c r="S598" s="34" t="str">
        <f aca="false">IF(H598="","SIN DATO",IFERROR(INDEX(cat_MarcaN,MATCH(H598,cat_MarcaO,0)),H598))</f>
        <v>SEL</v>
      </c>
      <c r="T598" s="34" t="str">
        <f aca="false">IF(I598="","SIN DATO",IFERROR(INDEX(cat_ModN,MATCH(I598,cat_ModO,0)),I598))</f>
        <v>SEL-735</v>
      </c>
      <c r="U598" s="34" t="str">
        <f aca="false">IF(I598="","",IFERROR(INDEX(cat_ModG,MATCH(I598,cat_ModO,0)),"No"))</f>
        <v>No</v>
      </c>
      <c r="V598" s="34" t="str">
        <f aca="false">IF(J598="","SIN DATO",IFERROR(INDEX(cat_FunN,MATCH(J598,cat_FunO,0)),J598))</f>
        <v>Protección y medición</v>
      </c>
      <c r="W598" s="34" t="str">
        <f aca="false">IF(OR(S598="SIN DATO",T598="SIN DATO"),"No","Sí")</f>
        <v>Sí</v>
      </c>
    </row>
    <row r="599" customFormat="false" ht="15" hidden="false" customHeight="false" outlineLevel="0" collapsed="false">
      <c r="A599" s="34" t="s">
        <v>2363</v>
      </c>
      <c r="B599" s="34" t="s">
        <v>2364</v>
      </c>
      <c r="C599" s="34" t="s">
        <v>2365</v>
      </c>
      <c r="D599" s="34" t="s">
        <v>2150</v>
      </c>
      <c r="E599" s="34" t="s">
        <v>184</v>
      </c>
      <c r="F599" s="34" t="s">
        <v>1602</v>
      </c>
      <c r="G599" s="34" t="s">
        <v>227</v>
      </c>
      <c r="H599" s="34" t="s">
        <v>55</v>
      </c>
      <c r="I599" s="34" t="s">
        <v>2146</v>
      </c>
      <c r="J599" s="34" t="s">
        <v>228</v>
      </c>
      <c r="K599" s="34" t="s">
        <v>229</v>
      </c>
      <c r="L599" s="34" t="s">
        <v>230</v>
      </c>
      <c r="M599" s="34" t="s">
        <v>344</v>
      </c>
      <c r="N599" s="34" t="str">
        <f aca="false">"Sector "&amp;VALUE(MID(D599,13,2))</f>
        <v>Sector 8</v>
      </c>
      <c r="O599" s="34" t="str">
        <f aca="false">IF(Dashboard!$C$5="Ubicación técnica",N599,"Sector "&amp;VALUE(RIGHT(G599,2)))</f>
        <v>Sector 8</v>
      </c>
      <c r="P599" s="34" t="str">
        <f aca="false">IF(MID(D599,15,3)="SEL","Subestación eléctrica","Área de proceso")</f>
        <v>Subestación eléctrica</v>
      </c>
      <c r="Q599" s="34" t="str">
        <f aca="false">MID(D599,13,5)&amp;"|"&amp;MID(D599,19,5)</f>
        <v>08SEL|SEP02</v>
      </c>
      <c r="R599" s="34" t="str">
        <f aca="false">IF(P599="Subestación eléctrica",IFERROR(INDEX(cat_SubN,MATCH(Q599,cat_SubK,0)),"SIN CATALOGAR"),"ÁREA DE PROCESO")</f>
        <v>SEP-02</v>
      </c>
      <c r="S599" s="34" t="str">
        <f aca="false">IF(H599="","SIN DATO",IFERROR(INDEX(cat_MarcaN,MATCH(H599,cat_MarcaO,0)),H599))</f>
        <v>SEL</v>
      </c>
      <c r="T599" s="34" t="str">
        <f aca="false">IF(I599="","SIN DATO",IFERROR(INDEX(cat_ModN,MATCH(I599,cat_ModO,0)),I599))</f>
        <v>SEL-735</v>
      </c>
      <c r="U599" s="34" t="str">
        <f aca="false">IF(I599="","",IFERROR(INDEX(cat_ModG,MATCH(I599,cat_ModO,0)),"No"))</f>
        <v>No</v>
      </c>
      <c r="V599" s="34" t="str">
        <f aca="false">IF(J599="","SIN DATO",IFERROR(INDEX(cat_FunN,MATCH(J599,cat_FunO,0)),J599))</f>
        <v>Protección y medición</v>
      </c>
      <c r="W599" s="34" t="str">
        <f aca="false">IF(OR(S599="SIN DATO",T599="SIN DATO"),"No","Sí")</f>
        <v>Sí</v>
      </c>
    </row>
    <row r="600" customFormat="false" ht="15" hidden="false" customHeight="false" outlineLevel="0" collapsed="false">
      <c r="A600" s="34" t="s">
        <v>2366</v>
      </c>
      <c r="B600" s="34" t="s">
        <v>2367</v>
      </c>
      <c r="C600" s="34" t="s">
        <v>2368</v>
      </c>
      <c r="D600" s="34" t="s">
        <v>2154</v>
      </c>
      <c r="E600" s="34" t="s">
        <v>184</v>
      </c>
      <c r="F600" s="34" t="s">
        <v>1602</v>
      </c>
      <c r="G600" s="34" t="s">
        <v>227</v>
      </c>
      <c r="H600" s="34" t="s">
        <v>55</v>
      </c>
      <c r="I600" s="34" t="s">
        <v>2146</v>
      </c>
      <c r="J600" s="34" t="s">
        <v>228</v>
      </c>
      <c r="K600" s="34" t="s">
        <v>229</v>
      </c>
      <c r="L600" s="34" t="s">
        <v>230</v>
      </c>
      <c r="M600" s="34" t="s">
        <v>344</v>
      </c>
      <c r="N600" s="34" t="str">
        <f aca="false">"Sector "&amp;VALUE(MID(D600,13,2))</f>
        <v>Sector 8</v>
      </c>
      <c r="O600" s="34" t="str">
        <f aca="false">IF(Dashboard!$C$5="Ubicación técnica",N600,"Sector "&amp;VALUE(RIGHT(G600,2)))</f>
        <v>Sector 8</v>
      </c>
      <c r="P600" s="34" t="str">
        <f aca="false">IF(MID(D600,15,3)="SEL","Subestación eléctrica","Área de proceso")</f>
        <v>Subestación eléctrica</v>
      </c>
      <c r="Q600" s="34" t="str">
        <f aca="false">MID(D600,13,5)&amp;"|"&amp;MID(D600,19,5)</f>
        <v>08SEL|SEP02</v>
      </c>
      <c r="R600" s="34" t="str">
        <f aca="false">IF(P600="Subestación eléctrica",IFERROR(INDEX(cat_SubN,MATCH(Q600,cat_SubK,0)),"SIN CATALOGAR"),"ÁREA DE PROCESO")</f>
        <v>SEP-02</v>
      </c>
      <c r="S600" s="34" t="str">
        <f aca="false">IF(H600="","SIN DATO",IFERROR(INDEX(cat_MarcaN,MATCH(H600,cat_MarcaO,0)),H600))</f>
        <v>SEL</v>
      </c>
      <c r="T600" s="34" t="str">
        <f aca="false">IF(I600="","SIN DATO",IFERROR(INDEX(cat_ModN,MATCH(I600,cat_ModO,0)),I600))</f>
        <v>SEL-735</v>
      </c>
      <c r="U600" s="34" t="str">
        <f aca="false">IF(I600="","",IFERROR(INDEX(cat_ModG,MATCH(I600,cat_ModO,0)),"No"))</f>
        <v>No</v>
      </c>
      <c r="V600" s="34" t="str">
        <f aca="false">IF(J600="","SIN DATO",IFERROR(INDEX(cat_FunN,MATCH(J600,cat_FunO,0)),J600))</f>
        <v>Protección y medición</v>
      </c>
      <c r="W600" s="34" t="str">
        <f aca="false">IF(OR(S600="SIN DATO",T600="SIN DATO"),"No","Sí")</f>
        <v>Sí</v>
      </c>
    </row>
    <row r="601" customFormat="false" ht="15" hidden="false" customHeight="false" outlineLevel="0" collapsed="false">
      <c r="A601" s="34" t="s">
        <v>2369</v>
      </c>
      <c r="B601" s="34" t="s">
        <v>2370</v>
      </c>
      <c r="C601" s="34" t="s">
        <v>2371</v>
      </c>
      <c r="D601" s="34" t="s">
        <v>2372</v>
      </c>
      <c r="E601" s="34" t="s">
        <v>184</v>
      </c>
      <c r="F601" s="34" t="s">
        <v>1602</v>
      </c>
      <c r="G601" s="34" t="s">
        <v>227</v>
      </c>
      <c r="H601" s="34" t="s">
        <v>55</v>
      </c>
      <c r="I601" s="34" t="s">
        <v>2146</v>
      </c>
      <c r="J601" s="34" t="s">
        <v>228</v>
      </c>
      <c r="K601" s="34" t="s">
        <v>229</v>
      </c>
      <c r="L601" s="34" t="s">
        <v>230</v>
      </c>
      <c r="M601" s="34" t="s">
        <v>344</v>
      </c>
      <c r="N601" s="34" t="str">
        <f aca="false">"Sector "&amp;VALUE(MID(D601,13,2))</f>
        <v>Sector 8</v>
      </c>
      <c r="O601" s="34" t="str">
        <f aca="false">IF(Dashboard!$C$5="Ubicación técnica",N601,"Sector "&amp;VALUE(RIGHT(G601,2)))</f>
        <v>Sector 8</v>
      </c>
      <c r="P601" s="34" t="str">
        <f aca="false">IF(MID(D601,15,3)="SEL","Subestación eléctrica","Área de proceso")</f>
        <v>Subestación eléctrica</v>
      </c>
      <c r="Q601" s="34" t="str">
        <f aca="false">MID(D601,13,5)&amp;"|"&amp;MID(D601,19,5)</f>
        <v>08SEL|SEP02</v>
      </c>
      <c r="R601" s="34" t="str">
        <f aca="false">IF(P601="Subestación eléctrica",IFERROR(INDEX(cat_SubN,MATCH(Q601,cat_SubK,0)),"SIN CATALOGAR"),"ÁREA DE PROCESO")</f>
        <v>SEP-02</v>
      </c>
      <c r="S601" s="34" t="str">
        <f aca="false">IF(H601="","SIN DATO",IFERROR(INDEX(cat_MarcaN,MATCH(H601,cat_MarcaO,0)),H601))</f>
        <v>SEL</v>
      </c>
      <c r="T601" s="34" t="str">
        <f aca="false">IF(I601="","SIN DATO",IFERROR(INDEX(cat_ModN,MATCH(I601,cat_ModO,0)),I601))</f>
        <v>SEL-735</v>
      </c>
      <c r="U601" s="34" t="str">
        <f aca="false">IF(I601="","",IFERROR(INDEX(cat_ModG,MATCH(I601,cat_ModO,0)),"No"))</f>
        <v>No</v>
      </c>
      <c r="V601" s="34" t="str">
        <f aca="false">IF(J601="","SIN DATO",IFERROR(INDEX(cat_FunN,MATCH(J601,cat_FunO,0)),J601))</f>
        <v>Protección y medición</v>
      </c>
      <c r="W601" s="34" t="str">
        <f aca="false">IF(OR(S601="SIN DATO",T601="SIN DATO"),"No","Sí")</f>
        <v>Sí</v>
      </c>
    </row>
    <row r="602" customFormat="false" ht="15" hidden="false" customHeight="false" outlineLevel="0" collapsed="false">
      <c r="A602" s="34" t="s">
        <v>2373</v>
      </c>
      <c r="B602" s="34" t="s">
        <v>2374</v>
      </c>
      <c r="C602" s="34" t="s">
        <v>2375</v>
      </c>
      <c r="D602" s="34" t="s">
        <v>2158</v>
      </c>
      <c r="E602" s="34" t="s">
        <v>184</v>
      </c>
      <c r="F602" s="34" t="s">
        <v>1602</v>
      </c>
      <c r="G602" s="34" t="s">
        <v>227</v>
      </c>
      <c r="H602" s="34" t="s">
        <v>55</v>
      </c>
      <c r="I602" s="34" t="s">
        <v>2146</v>
      </c>
      <c r="J602" s="34" t="s">
        <v>228</v>
      </c>
      <c r="K602" s="34" t="s">
        <v>229</v>
      </c>
      <c r="L602" s="34" t="s">
        <v>230</v>
      </c>
      <c r="M602" s="34" t="s">
        <v>344</v>
      </c>
      <c r="N602" s="34" t="str">
        <f aca="false">"Sector "&amp;VALUE(MID(D602,13,2))</f>
        <v>Sector 8</v>
      </c>
      <c r="O602" s="34" t="str">
        <f aca="false">IF(Dashboard!$C$5="Ubicación técnica",N602,"Sector "&amp;VALUE(RIGHT(G602,2)))</f>
        <v>Sector 8</v>
      </c>
      <c r="P602" s="34" t="str">
        <f aca="false">IF(MID(D602,15,3)="SEL","Subestación eléctrica","Área de proceso")</f>
        <v>Subestación eléctrica</v>
      </c>
      <c r="Q602" s="34" t="str">
        <f aca="false">MID(D602,13,5)&amp;"|"&amp;MID(D602,19,5)</f>
        <v>08SEL|SEP02</v>
      </c>
      <c r="R602" s="34" t="str">
        <f aca="false">IF(P602="Subestación eléctrica",IFERROR(INDEX(cat_SubN,MATCH(Q602,cat_SubK,0)),"SIN CATALOGAR"),"ÁREA DE PROCESO")</f>
        <v>SEP-02</v>
      </c>
      <c r="S602" s="34" t="str">
        <f aca="false">IF(H602="","SIN DATO",IFERROR(INDEX(cat_MarcaN,MATCH(H602,cat_MarcaO,0)),H602))</f>
        <v>SEL</v>
      </c>
      <c r="T602" s="34" t="str">
        <f aca="false">IF(I602="","SIN DATO",IFERROR(INDEX(cat_ModN,MATCH(I602,cat_ModO,0)),I602))</f>
        <v>SEL-735</v>
      </c>
      <c r="U602" s="34" t="str">
        <f aca="false">IF(I602="","",IFERROR(INDEX(cat_ModG,MATCH(I602,cat_ModO,0)),"No"))</f>
        <v>No</v>
      </c>
      <c r="V602" s="34" t="str">
        <f aca="false">IF(J602="","SIN DATO",IFERROR(INDEX(cat_FunN,MATCH(J602,cat_FunO,0)),J602))</f>
        <v>Protección y medición</v>
      </c>
      <c r="W602" s="34" t="str">
        <f aca="false">IF(OR(S602="SIN DATO",T602="SIN DATO"),"No","Sí")</f>
        <v>Sí</v>
      </c>
    </row>
    <row r="603" customFormat="false" ht="15" hidden="false" customHeight="false" outlineLevel="0" collapsed="false">
      <c r="A603" s="34" t="s">
        <v>2376</v>
      </c>
      <c r="B603" s="34" t="s">
        <v>2377</v>
      </c>
      <c r="C603" s="34" t="s">
        <v>2378</v>
      </c>
      <c r="D603" s="34" t="s">
        <v>2337</v>
      </c>
      <c r="E603" s="34" t="s">
        <v>184</v>
      </c>
      <c r="F603" s="34" t="s">
        <v>1602</v>
      </c>
      <c r="G603" s="34" t="s">
        <v>227</v>
      </c>
      <c r="H603" s="34" t="s">
        <v>55</v>
      </c>
      <c r="I603" s="34" t="s">
        <v>2146</v>
      </c>
      <c r="J603" s="34" t="s">
        <v>228</v>
      </c>
      <c r="K603" s="34" t="s">
        <v>229</v>
      </c>
      <c r="L603" s="34" t="s">
        <v>230</v>
      </c>
      <c r="M603" s="34" t="s">
        <v>344</v>
      </c>
      <c r="N603" s="34" t="str">
        <f aca="false">"Sector "&amp;VALUE(MID(D603,13,2))</f>
        <v>Sector 8</v>
      </c>
      <c r="O603" s="34" t="str">
        <f aca="false">IF(Dashboard!$C$5="Ubicación técnica",N603,"Sector "&amp;VALUE(RIGHT(G603,2)))</f>
        <v>Sector 8</v>
      </c>
      <c r="P603" s="34" t="str">
        <f aca="false">IF(MID(D603,15,3)="SEL","Subestación eléctrica","Área de proceso")</f>
        <v>Subestación eléctrica</v>
      </c>
      <c r="Q603" s="34" t="str">
        <f aca="false">MID(D603,13,5)&amp;"|"&amp;MID(D603,19,5)</f>
        <v>08SEL|SEP02</v>
      </c>
      <c r="R603" s="34" t="str">
        <f aca="false">IF(P603="Subestación eléctrica",IFERROR(INDEX(cat_SubN,MATCH(Q603,cat_SubK,0)),"SIN CATALOGAR"),"ÁREA DE PROCESO")</f>
        <v>SEP-02</v>
      </c>
      <c r="S603" s="34" t="str">
        <f aca="false">IF(H603="","SIN DATO",IFERROR(INDEX(cat_MarcaN,MATCH(H603,cat_MarcaO,0)),H603))</f>
        <v>SEL</v>
      </c>
      <c r="T603" s="34" t="str">
        <f aca="false">IF(I603="","SIN DATO",IFERROR(INDEX(cat_ModN,MATCH(I603,cat_ModO,0)),I603))</f>
        <v>SEL-735</v>
      </c>
      <c r="U603" s="34" t="str">
        <f aca="false">IF(I603="","",IFERROR(INDEX(cat_ModG,MATCH(I603,cat_ModO,0)),"No"))</f>
        <v>No</v>
      </c>
      <c r="V603" s="34" t="str">
        <f aca="false">IF(J603="","SIN DATO",IFERROR(INDEX(cat_FunN,MATCH(J603,cat_FunO,0)),J603))</f>
        <v>Protección y medición</v>
      </c>
      <c r="W603" s="34" t="str">
        <f aca="false">IF(OR(S603="SIN DATO",T603="SIN DATO"),"No","Sí")</f>
        <v>Sí</v>
      </c>
    </row>
    <row r="604" customFormat="false" ht="15" hidden="false" customHeight="false" outlineLevel="0" collapsed="false">
      <c r="A604" s="34" t="s">
        <v>2379</v>
      </c>
      <c r="B604" s="34" t="s">
        <v>2380</v>
      </c>
      <c r="C604" s="34" t="s">
        <v>2381</v>
      </c>
      <c r="D604" s="34" t="s">
        <v>2293</v>
      </c>
      <c r="E604" s="34" t="s">
        <v>184</v>
      </c>
      <c r="F604" s="34" t="s">
        <v>1602</v>
      </c>
      <c r="G604" s="34" t="s">
        <v>227</v>
      </c>
      <c r="H604" s="34" t="s">
        <v>55</v>
      </c>
      <c r="I604" s="34" t="s">
        <v>2146</v>
      </c>
      <c r="J604" s="34" t="s">
        <v>228</v>
      </c>
      <c r="K604" s="34" t="s">
        <v>229</v>
      </c>
      <c r="L604" s="34" t="s">
        <v>230</v>
      </c>
      <c r="M604" s="34" t="s">
        <v>344</v>
      </c>
      <c r="N604" s="34" t="str">
        <f aca="false">"Sector "&amp;VALUE(MID(D604,13,2))</f>
        <v>Sector 8</v>
      </c>
      <c r="O604" s="34" t="str">
        <f aca="false">IF(Dashboard!$C$5="Ubicación técnica",N604,"Sector "&amp;VALUE(RIGHT(G604,2)))</f>
        <v>Sector 8</v>
      </c>
      <c r="P604" s="34" t="str">
        <f aca="false">IF(MID(D604,15,3)="SEL","Subestación eléctrica","Área de proceso")</f>
        <v>Subestación eléctrica</v>
      </c>
      <c r="Q604" s="34" t="str">
        <f aca="false">MID(D604,13,5)&amp;"|"&amp;MID(D604,19,5)</f>
        <v>08SEL|SEP02</v>
      </c>
      <c r="R604" s="34" t="str">
        <f aca="false">IF(P604="Subestación eléctrica",IFERROR(INDEX(cat_SubN,MATCH(Q604,cat_SubK,0)),"SIN CATALOGAR"),"ÁREA DE PROCESO")</f>
        <v>SEP-02</v>
      </c>
      <c r="S604" s="34" t="str">
        <f aca="false">IF(H604="","SIN DATO",IFERROR(INDEX(cat_MarcaN,MATCH(H604,cat_MarcaO,0)),H604))</f>
        <v>SEL</v>
      </c>
      <c r="T604" s="34" t="str">
        <f aca="false">IF(I604="","SIN DATO",IFERROR(INDEX(cat_ModN,MATCH(I604,cat_ModO,0)),I604))</f>
        <v>SEL-735</v>
      </c>
      <c r="U604" s="34" t="str">
        <f aca="false">IF(I604="","",IFERROR(INDEX(cat_ModG,MATCH(I604,cat_ModO,0)),"No"))</f>
        <v>No</v>
      </c>
      <c r="V604" s="34" t="str">
        <f aca="false">IF(J604="","SIN DATO",IFERROR(INDEX(cat_FunN,MATCH(J604,cat_FunO,0)),J604))</f>
        <v>Protección y medición</v>
      </c>
      <c r="W604" s="34" t="str">
        <f aca="false">IF(OR(S604="SIN DATO",T604="SIN DATO"),"No","Sí")</f>
        <v>Sí</v>
      </c>
    </row>
    <row r="605" customFormat="false" ht="15" hidden="false" customHeight="false" outlineLevel="0" collapsed="false">
      <c r="A605" s="34" t="s">
        <v>2382</v>
      </c>
      <c r="B605" s="34" t="s">
        <v>2383</v>
      </c>
      <c r="C605" s="34" t="s">
        <v>2384</v>
      </c>
      <c r="D605" s="34" t="s">
        <v>2344</v>
      </c>
      <c r="E605" s="34" t="s">
        <v>184</v>
      </c>
      <c r="F605" s="34" t="s">
        <v>1602</v>
      </c>
      <c r="G605" s="34" t="s">
        <v>227</v>
      </c>
      <c r="H605" s="34" t="s">
        <v>55</v>
      </c>
      <c r="I605" s="34" t="s">
        <v>2146</v>
      </c>
      <c r="J605" s="34" t="s">
        <v>228</v>
      </c>
      <c r="K605" s="34" t="s">
        <v>229</v>
      </c>
      <c r="L605" s="34" t="s">
        <v>230</v>
      </c>
      <c r="M605" s="34" t="s">
        <v>344</v>
      </c>
      <c r="N605" s="34" t="str">
        <f aca="false">"Sector "&amp;VALUE(MID(D605,13,2))</f>
        <v>Sector 8</v>
      </c>
      <c r="O605" s="34" t="str">
        <f aca="false">IF(Dashboard!$C$5="Ubicación técnica",N605,"Sector "&amp;VALUE(RIGHT(G605,2)))</f>
        <v>Sector 8</v>
      </c>
      <c r="P605" s="34" t="str">
        <f aca="false">IF(MID(D605,15,3)="SEL","Subestación eléctrica","Área de proceso")</f>
        <v>Subestación eléctrica</v>
      </c>
      <c r="Q605" s="34" t="str">
        <f aca="false">MID(D605,13,5)&amp;"|"&amp;MID(D605,19,5)</f>
        <v>08SEL|SEP02</v>
      </c>
      <c r="R605" s="34" t="str">
        <f aca="false">IF(P605="Subestación eléctrica",IFERROR(INDEX(cat_SubN,MATCH(Q605,cat_SubK,0)),"SIN CATALOGAR"),"ÁREA DE PROCESO")</f>
        <v>SEP-02</v>
      </c>
      <c r="S605" s="34" t="str">
        <f aca="false">IF(H605="","SIN DATO",IFERROR(INDEX(cat_MarcaN,MATCH(H605,cat_MarcaO,0)),H605))</f>
        <v>SEL</v>
      </c>
      <c r="T605" s="34" t="str">
        <f aca="false">IF(I605="","SIN DATO",IFERROR(INDEX(cat_ModN,MATCH(I605,cat_ModO,0)),I605))</f>
        <v>SEL-735</v>
      </c>
      <c r="U605" s="34" t="str">
        <f aca="false">IF(I605="","",IFERROR(INDEX(cat_ModG,MATCH(I605,cat_ModO,0)),"No"))</f>
        <v>No</v>
      </c>
      <c r="V605" s="34" t="str">
        <f aca="false">IF(J605="","SIN DATO",IFERROR(INDEX(cat_FunN,MATCH(J605,cat_FunO,0)),J605))</f>
        <v>Protección y medición</v>
      </c>
      <c r="W605" s="34" t="str">
        <f aca="false">IF(OR(S605="SIN DATO",T605="SIN DATO"),"No","Sí")</f>
        <v>Sí</v>
      </c>
    </row>
    <row r="606" customFormat="false" ht="15" hidden="false" customHeight="false" outlineLevel="0" collapsed="false">
      <c r="A606" s="34" t="s">
        <v>2385</v>
      </c>
      <c r="B606" s="34" t="s">
        <v>2386</v>
      </c>
      <c r="C606" s="34" t="s">
        <v>2387</v>
      </c>
      <c r="D606" s="34" t="s">
        <v>2145</v>
      </c>
      <c r="E606" s="34" t="s">
        <v>184</v>
      </c>
      <c r="F606" s="34" t="s">
        <v>1602</v>
      </c>
      <c r="G606" s="34" t="s">
        <v>227</v>
      </c>
      <c r="H606" s="34" t="s">
        <v>55</v>
      </c>
      <c r="I606" s="34" t="s">
        <v>2146</v>
      </c>
      <c r="J606" s="34" t="s">
        <v>228</v>
      </c>
      <c r="K606" s="34" t="s">
        <v>229</v>
      </c>
      <c r="L606" s="34" t="s">
        <v>230</v>
      </c>
      <c r="M606" s="34" t="s">
        <v>344</v>
      </c>
      <c r="N606" s="34" t="str">
        <f aca="false">"Sector "&amp;VALUE(MID(D606,13,2))</f>
        <v>Sector 8</v>
      </c>
      <c r="O606" s="34" t="str">
        <f aca="false">IF(Dashboard!$C$5="Ubicación técnica",N606,"Sector "&amp;VALUE(RIGHT(G606,2)))</f>
        <v>Sector 8</v>
      </c>
      <c r="P606" s="34" t="str">
        <f aca="false">IF(MID(D606,15,3)="SEL","Subestación eléctrica","Área de proceso")</f>
        <v>Subestación eléctrica</v>
      </c>
      <c r="Q606" s="34" t="str">
        <f aca="false">MID(D606,13,5)&amp;"|"&amp;MID(D606,19,5)</f>
        <v>08SEL|SEP02</v>
      </c>
      <c r="R606" s="34" t="str">
        <f aca="false">IF(P606="Subestación eléctrica",IFERROR(INDEX(cat_SubN,MATCH(Q606,cat_SubK,0)),"SIN CATALOGAR"),"ÁREA DE PROCESO")</f>
        <v>SEP-02</v>
      </c>
      <c r="S606" s="34" t="str">
        <f aca="false">IF(H606="","SIN DATO",IFERROR(INDEX(cat_MarcaN,MATCH(H606,cat_MarcaO,0)),H606))</f>
        <v>SEL</v>
      </c>
      <c r="T606" s="34" t="str">
        <f aca="false">IF(I606="","SIN DATO",IFERROR(INDEX(cat_ModN,MATCH(I606,cat_ModO,0)),I606))</f>
        <v>SEL-735</v>
      </c>
      <c r="U606" s="34" t="str">
        <f aca="false">IF(I606="","",IFERROR(INDEX(cat_ModG,MATCH(I606,cat_ModO,0)),"No"))</f>
        <v>No</v>
      </c>
      <c r="V606" s="34" t="str">
        <f aca="false">IF(J606="","SIN DATO",IFERROR(INDEX(cat_FunN,MATCH(J606,cat_FunO,0)),J606))</f>
        <v>Protección y medición</v>
      </c>
      <c r="W606" s="34" t="str">
        <f aca="false">IF(OR(S606="SIN DATO",T606="SIN DATO"),"No","Sí")</f>
        <v>Sí</v>
      </c>
    </row>
    <row r="607" customFormat="false" ht="15" hidden="false" customHeight="false" outlineLevel="0" collapsed="false">
      <c r="A607" s="34" t="s">
        <v>2388</v>
      </c>
      <c r="B607" s="34" t="s">
        <v>2389</v>
      </c>
      <c r="C607" s="34" t="s">
        <v>2390</v>
      </c>
      <c r="D607" s="34" t="s">
        <v>2150</v>
      </c>
      <c r="E607" s="34" t="s">
        <v>184</v>
      </c>
      <c r="F607" s="34" t="s">
        <v>1602</v>
      </c>
      <c r="G607" s="34" t="s">
        <v>227</v>
      </c>
      <c r="H607" s="34" t="s">
        <v>55</v>
      </c>
      <c r="I607" s="34" t="s">
        <v>2146</v>
      </c>
      <c r="J607" s="34" t="s">
        <v>228</v>
      </c>
      <c r="K607" s="34" t="s">
        <v>229</v>
      </c>
      <c r="L607" s="34" t="s">
        <v>230</v>
      </c>
      <c r="M607" s="34" t="s">
        <v>344</v>
      </c>
      <c r="N607" s="34" t="str">
        <f aca="false">"Sector "&amp;VALUE(MID(D607,13,2))</f>
        <v>Sector 8</v>
      </c>
      <c r="O607" s="34" t="str">
        <f aca="false">IF(Dashboard!$C$5="Ubicación técnica",N607,"Sector "&amp;VALUE(RIGHT(G607,2)))</f>
        <v>Sector 8</v>
      </c>
      <c r="P607" s="34" t="str">
        <f aca="false">IF(MID(D607,15,3)="SEL","Subestación eléctrica","Área de proceso")</f>
        <v>Subestación eléctrica</v>
      </c>
      <c r="Q607" s="34" t="str">
        <f aca="false">MID(D607,13,5)&amp;"|"&amp;MID(D607,19,5)</f>
        <v>08SEL|SEP02</v>
      </c>
      <c r="R607" s="34" t="str">
        <f aca="false">IF(P607="Subestación eléctrica",IFERROR(INDEX(cat_SubN,MATCH(Q607,cat_SubK,0)),"SIN CATALOGAR"),"ÁREA DE PROCESO")</f>
        <v>SEP-02</v>
      </c>
      <c r="S607" s="34" t="str">
        <f aca="false">IF(H607="","SIN DATO",IFERROR(INDEX(cat_MarcaN,MATCH(H607,cat_MarcaO,0)),H607))</f>
        <v>SEL</v>
      </c>
      <c r="T607" s="34" t="str">
        <f aca="false">IF(I607="","SIN DATO",IFERROR(INDEX(cat_ModN,MATCH(I607,cat_ModO,0)),I607))</f>
        <v>SEL-735</v>
      </c>
      <c r="U607" s="34" t="str">
        <f aca="false">IF(I607="","",IFERROR(INDEX(cat_ModG,MATCH(I607,cat_ModO,0)),"No"))</f>
        <v>No</v>
      </c>
      <c r="V607" s="34" t="str">
        <f aca="false">IF(J607="","SIN DATO",IFERROR(INDEX(cat_FunN,MATCH(J607,cat_FunO,0)),J607))</f>
        <v>Protección y medición</v>
      </c>
      <c r="W607" s="34" t="str">
        <f aca="false">IF(OR(S607="SIN DATO",T607="SIN DATO"),"No","Sí")</f>
        <v>Sí</v>
      </c>
    </row>
    <row r="608" customFormat="false" ht="15" hidden="false" customHeight="false" outlineLevel="0" collapsed="false">
      <c r="A608" s="34" t="s">
        <v>2391</v>
      </c>
      <c r="B608" s="34" t="s">
        <v>2392</v>
      </c>
      <c r="C608" s="34" t="s">
        <v>2393</v>
      </c>
      <c r="D608" s="34" t="s">
        <v>2154</v>
      </c>
      <c r="E608" s="34" t="s">
        <v>184</v>
      </c>
      <c r="F608" s="34" t="s">
        <v>1602</v>
      </c>
      <c r="G608" s="34" t="s">
        <v>227</v>
      </c>
      <c r="H608" s="34" t="s">
        <v>55</v>
      </c>
      <c r="I608" s="34" t="s">
        <v>2146</v>
      </c>
      <c r="J608" s="34" t="s">
        <v>228</v>
      </c>
      <c r="K608" s="34" t="s">
        <v>229</v>
      </c>
      <c r="L608" s="34" t="s">
        <v>230</v>
      </c>
      <c r="M608" s="34" t="s">
        <v>344</v>
      </c>
      <c r="N608" s="34" t="str">
        <f aca="false">"Sector "&amp;VALUE(MID(D608,13,2))</f>
        <v>Sector 8</v>
      </c>
      <c r="O608" s="34" t="str">
        <f aca="false">IF(Dashboard!$C$5="Ubicación técnica",N608,"Sector "&amp;VALUE(RIGHT(G608,2)))</f>
        <v>Sector 8</v>
      </c>
      <c r="P608" s="34" t="str">
        <f aca="false">IF(MID(D608,15,3)="SEL","Subestación eléctrica","Área de proceso")</f>
        <v>Subestación eléctrica</v>
      </c>
      <c r="Q608" s="34" t="str">
        <f aca="false">MID(D608,13,5)&amp;"|"&amp;MID(D608,19,5)</f>
        <v>08SEL|SEP02</v>
      </c>
      <c r="R608" s="34" t="str">
        <f aca="false">IF(P608="Subestación eléctrica",IFERROR(INDEX(cat_SubN,MATCH(Q608,cat_SubK,0)),"SIN CATALOGAR"),"ÁREA DE PROCESO")</f>
        <v>SEP-02</v>
      </c>
      <c r="S608" s="34" t="str">
        <f aca="false">IF(H608="","SIN DATO",IFERROR(INDEX(cat_MarcaN,MATCH(H608,cat_MarcaO,0)),H608))</f>
        <v>SEL</v>
      </c>
      <c r="T608" s="34" t="str">
        <f aca="false">IF(I608="","SIN DATO",IFERROR(INDEX(cat_ModN,MATCH(I608,cat_ModO,0)),I608))</f>
        <v>SEL-735</v>
      </c>
      <c r="U608" s="34" t="str">
        <f aca="false">IF(I608="","",IFERROR(INDEX(cat_ModG,MATCH(I608,cat_ModO,0)),"No"))</f>
        <v>No</v>
      </c>
      <c r="V608" s="34" t="str">
        <f aca="false">IF(J608="","SIN DATO",IFERROR(INDEX(cat_FunN,MATCH(J608,cat_FunO,0)),J608))</f>
        <v>Protección y medición</v>
      </c>
      <c r="W608" s="34" t="str">
        <f aca="false">IF(OR(S608="SIN DATO",T608="SIN DATO"),"No","Sí")</f>
        <v>Sí</v>
      </c>
    </row>
    <row r="609" customFormat="false" ht="15" hidden="false" customHeight="false" outlineLevel="0" collapsed="false">
      <c r="A609" s="34" t="s">
        <v>2394</v>
      </c>
      <c r="B609" s="34" t="s">
        <v>2395</v>
      </c>
      <c r="C609" s="34" t="s">
        <v>2396</v>
      </c>
      <c r="D609" s="34" t="s">
        <v>2372</v>
      </c>
      <c r="E609" s="34" t="s">
        <v>184</v>
      </c>
      <c r="F609" s="34" t="s">
        <v>1602</v>
      </c>
      <c r="G609" s="34" t="s">
        <v>227</v>
      </c>
      <c r="H609" s="34" t="s">
        <v>55</v>
      </c>
      <c r="I609" s="34" t="s">
        <v>2146</v>
      </c>
      <c r="J609" s="34" t="s">
        <v>228</v>
      </c>
      <c r="K609" s="34" t="s">
        <v>229</v>
      </c>
      <c r="L609" s="34" t="s">
        <v>230</v>
      </c>
      <c r="M609" s="34" t="s">
        <v>344</v>
      </c>
      <c r="N609" s="34" t="str">
        <f aca="false">"Sector "&amp;VALUE(MID(D609,13,2))</f>
        <v>Sector 8</v>
      </c>
      <c r="O609" s="34" t="str">
        <f aca="false">IF(Dashboard!$C$5="Ubicación técnica",N609,"Sector "&amp;VALUE(RIGHT(G609,2)))</f>
        <v>Sector 8</v>
      </c>
      <c r="P609" s="34" t="str">
        <f aca="false">IF(MID(D609,15,3)="SEL","Subestación eléctrica","Área de proceso")</f>
        <v>Subestación eléctrica</v>
      </c>
      <c r="Q609" s="34" t="str">
        <f aca="false">MID(D609,13,5)&amp;"|"&amp;MID(D609,19,5)</f>
        <v>08SEL|SEP02</v>
      </c>
      <c r="R609" s="34" t="str">
        <f aca="false">IF(P609="Subestación eléctrica",IFERROR(INDEX(cat_SubN,MATCH(Q609,cat_SubK,0)),"SIN CATALOGAR"),"ÁREA DE PROCESO")</f>
        <v>SEP-02</v>
      </c>
      <c r="S609" s="34" t="str">
        <f aca="false">IF(H609="","SIN DATO",IFERROR(INDEX(cat_MarcaN,MATCH(H609,cat_MarcaO,0)),H609))</f>
        <v>SEL</v>
      </c>
      <c r="T609" s="34" t="str">
        <f aca="false">IF(I609="","SIN DATO",IFERROR(INDEX(cat_ModN,MATCH(I609,cat_ModO,0)),I609))</f>
        <v>SEL-735</v>
      </c>
      <c r="U609" s="34" t="str">
        <f aca="false">IF(I609="","",IFERROR(INDEX(cat_ModG,MATCH(I609,cat_ModO,0)),"No"))</f>
        <v>No</v>
      </c>
      <c r="V609" s="34" t="str">
        <f aca="false">IF(J609="","SIN DATO",IFERROR(INDEX(cat_FunN,MATCH(J609,cat_FunO,0)),J609))</f>
        <v>Protección y medición</v>
      </c>
      <c r="W609" s="34" t="str">
        <f aca="false">IF(OR(S609="SIN DATO",T609="SIN DATO"),"No","Sí")</f>
        <v>Sí</v>
      </c>
    </row>
    <row r="610" customFormat="false" ht="15" hidden="false" customHeight="false" outlineLevel="0" collapsed="false">
      <c r="A610" s="34" t="s">
        <v>2397</v>
      </c>
      <c r="B610" s="34" t="s">
        <v>2398</v>
      </c>
      <c r="C610" s="34" t="s">
        <v>2399</v>
      </c>
      <c r="D610" s="34" t="s">
        <v>2158</v>
      </c>
      <c r="E610" s="34" t="s">
        <v>184</v>
      </c>
      <c r="F610" s="34" t="s">
        <v>1602</v>
      </c>
      <c r="G610" s="34" t="s">
        <v>227</v>
      </c>
      <c r="H610" s="34" t="s">
        <v>55</v>
      </c>
      <c r="I610" s="34" t="s">
        <v>2146</v>
      </c>
      <c r="J610" s="34" t="s">
        <v>228</v>
      </c>
      <c r="K610" s="34" t="s">
        <v>229</v>
      </c>
      <c r="L610" s="34" t="s">
        <v>230</v>
      </c>
      <c r="M610" s="34" t="s">
        <v>344</v>
      </c>
      <c r="N610" s="34" t="str">
        <f aca="false">"Sector "&amp;VALUE(MID(D610,13,2))</f>
        <v>Sector 8</v>
      </c>
      <c r="O610" s="34" t="str">
        <f aca="false">IF(Dashboard!$C$5="Ubicación técnica",N610,"Sector "&amp;VALUE(RIGHT(G610,2)))</f>
        <v>Sector 8</v>
      </c>
      <c r="P610" s="34" t="str">
        <f aca="false">IF(MID(D610,15,3)="SEL","Subestación eléctrica","Área de proceso")</f>
        <v>Subestación eléctrica</v>
      </c>
      <c r="Q610" s="34" t="str">
        <f aca="false">MID(D610,13,5)&amp;"|"&amp;MID(D610,19,5)</f>
        <v>08SEL|SEP02</v>
      </c>
      <c r="R610" s="34" t="str">
        <f aca="false">IF(P610="Subestación eléctrica",IFERROR(INDEX(cat_SubN,MATCH(Q610,cat_SubK,0)),"SIN CATALOGAR"),"ÁREA DE PROCESO")</f>
        <v>SEP-02</v>
      </c>
      <c r="S610" s="34" t="str">
        <f aca="false">IF(H610="","SIN DATO",IFERROR(INDEX(cat_MarcaN,MATCH(H610,cat_MarcaO,0)),H610))</f>
        <v>SEL</v>
      </c>
      <c r="T610" s="34" t="str">
        <f aca="false">IF(I610="","SIN DATO",IFERROR(INDEX(cat_ModN,MATCH(I610,cat_ModO,0)),I610))</f>
        <v>SEL-735</v>
      </c>
      <c r="U610" s="34" t="str">
        <f aca="false">IF(I610="","",IFERROR(INDEX(cat_ModG,MATCH(I610,cat_ModO,0)),"No"))</f>
        <v>No</v>
      </c>
      <c r="V610" s="34" t="str">
        <f aca="false">IF(J610="","SIN DATO",IFERROR(INDEX(cat_FunN,MATCH(J610,cat_FunO,0)),J610))</f>
        <v>Protección y medición</v>
      </c>
      <c r="W610" s="34" t="str">
        <f aca="false">IF(OR(S610="SIN DATO",T610="SIN DATO"),"No","Sí")</f>
        <v>Sí</v>
      </c>
    </row>
    <row r="611" customFormat="false" ht="15" hidden="false" customHeight="false" outlineLevel="0" collapsed="false">
      <c r="A611" s="34" t="s">
        <v>2400</v>
      </c>
      <c r="B611" s="34" t="s">
        <v>2401</v>
      </c>
      <c r="C611" s="34" t="s">
        <v>2402</v>
      </c>
      <c r="D611" s="34" t="s">
        <v>2337</v>
      </c>
      <c r="E611" s="34" t="s">
        <v>184</v>
      </c>
      <c r="F611" s="34" t="s">
        <v>1602</v>
      </c>
      <c r="G611" s="34" t="s">
        <v>227</v>
      </c>
      <c r="H611" s="34" t="s">
        <v>55</v>
      </c>
      <c r="I611" s="34" t="s">
        <v>2146</v>
      </c>
      <c r="J611" s="34" t="s">
        <v>228</v>
      </c>
      <c r="K611" s="34" t="s">
        <v>229</v>
      </c>
      <c r="L611" s="34" t="s">
        <v>230</v>
      </c>
      <c r="M611" s="34" t="s">
        <v>344</v>
      </c>
      <c r="N611" s="34" t="str">
        <f aca="false">"Sector "&amp;VALUE(MID(D611,13,2))</f>
        <v>Sector 8</v>
      </c>
      <c r="O611" s="34" t="str">
        <f aca="false">IF(Dashboard!$C$5="Ubicación técnica",N611,"Sector "&amp;VALUE(RIGHT(G611,2)))</f>
        <v>Sector 8</v>
      </c>
      <c r="P611" s="34" t="str">
        <f aca="false">IF(MID(D611,15,3)="SEL","Subestación eléctrica","Área de proceso")</f>
        <v>Subestación eléctrica</v>
      </c>
      <c r="Q611" s="34" t="str">
        <f aca="false">MID(D611,13,5)&amp;"|"&amp;MID(D611,19,5)</f>
        <v>08SEL|SEP02</v>
      </c>
      <c r="R611" s="34" t="str">
        <f aca="false">IF(P611="Subestación eléctrica",IFERROR(INDEX(cat_SubN,MATCH(Q611,cat_SubK,0)),"SIN CATALOGAR"),"ÁREA DE PROCESO")</f>
        <v>SEP-02</v>
      </c>
      <c r="S611" s="34" t="str">
        <f aca="false">IF(H611="","SIN DATO",IFERROR(INDEX(cat_MarcaN,MATCH(H611,cat_MarcaO,0)),H611))</f>
        <v>SEL</v>
      </c>
      <c r="T611" s="34" t="str">
        <f aca="false">IF(I611="","SIN DATO",IFERROR(INDEX(cat_ModN,MATCH(I611,cat_ModO,0)),I611))</f>
        <v>SEL-735</v>
      </c>
      <c r="U611" s="34" t="str">
        <f aca="false">IF(I611="","",IFERROR(INDEX(cat_ModG,MATCH(I611,cat_ModO,0)),"No"))</f>
        <v>No</v>
      </c>
      <c r="V611" s="34" t="str">
        <f aca="false">IF(J611="","SIN DATO",IFERROR(INDEX(cat_FunN,MATCH(J611,cat_FunO,0)),J611))</f>
        <v>Protección y medición</v>
      </c>
      <c r="W611" s="34" t="str">
        <f aca="false">IF(OR(S611="SIN DATO",T611="SIN DATO"),"No","Sí")</f>
        <v>Sí</v>
      </c>
    </row>
    <row r="612" customFormat="false" ht="15" hidden="false" customHeight="false" outlineLevel="0" collapsed="false">
      <c r="A612" s="34" t="s">
        <v>2403</v>
      </c>
      <c r="B612" s="34" t="s">
        <v>2404</v>
      </c>
      <c r="C612" s="34" t="s">
        <v>2405</v>
      </c>
      <c r="D612" s="34" t="s">
        <v>2293</v>
      </c>
      <c r="E612" s="34" t="s">
        <v>184</v>
      </c>
      <c r="F612" s="34" t="s">
        <v>1602</v>
      </c>
      <c r="G612" s="34" t="s">
        <v>227</v>
      </c>
      <c r="H612" s="34" t="s">
        <v>55</v>
      </c>
      <c r="I612" s="34" t="s">
        <v>2146</v>
      </c>
      <c r="J612" s="34" t="s">
        <v>228</v>
      </c>
      <c r="K612" s="34" t="s">
        <v>229</v>
      </c>
      <c r="L612" s="34" t="s">
        <v>230</v>
      </c>
      <c r="M612" s="34" t="s">
        <v>344</v>
      </c>
      <c r="N612" s="34" t="str">
        <f aca="false">"Sector "&amp;VALUE(MID(D612,13,2))</f>
        <v>Sector 8</v>
      </c>
      <c r="O612" s="34" t="str">
        <f aca="false">IF(Dashboard!$C$5="Ubicación técnica",N612,"Sector "&amp;VALUE(RIGHT(G612,2)))</f>
        <v>Sector 8</v>
      </c>
      <c r="P612" s="34" t="str">
        <f aca="false">IF(MID(D612,15,3)="SEL","Subestación eléctrica","Área de proceso")</f>
        <v>Subestación eléctrica</v>
      </c>
      <c r="Q612" s="34" t="str">
        <f aca="false">MID(D612,13,5)&amp;"|"&amp;MID(D612,19,5)</f>
        <v>08SEL|SEP02</v>
      </c>
      <c r="R612" s="34" t="str">
        <f aca="false">IF(P612="Subestación eléctrica",IFERROR(INDEX(cat_SubN,MATCH(Q612,cat_SubK,0)),"SIN CATALOGAR"),"ÁREA DE PROCESO")</f>
        <v>SEP-02</v>
      </c>
      <c r="S612" s="34" t="str">
        <f aca="false">IF(H612="","SIN DATO",IFERROR(INDEX(cat_MarcaN,MATCH(H612,cat_MarcaO,0)),H612))</f>
        <v>SEL</v>
      </c>
      <c r="T612" s="34" t="str">
        <f aca="false">IF(I612="","SIN DATO",IFERROR(INDEX(cat_ModN,MATCH(I612,cat_ModO,0)),I612))</f>
        <v>SEL-735</v>
      </c>
      <c r="U612" s="34" t="str">
        <f aca="false">IF(I612="","",IFERROR(INDEX(cat_ModG,MATCH(I612,cat_ModO,0)),"No"))</f>
        <v>No</v>
      </c>
      <c r="V612" s="34" t="str">
        <f aca="false">IF(J612="","SIN DATO",IFERROR(INDEX(cat_FunN,MATCH(J612,cat_FunO,0)),J612))</f>
        <v>Protección y medición</v>
      </c>
      <c r="W612" s="34" t="str">
        <f aca="false">IF(OR(S612="SIN DATO",T612="SIN DATO"),"No","Sí")</f>
        <v>Sí</v>
      </c>
    </row>
    <row r="613" customFormat="false" ht="15" hidden="false" customHeight="false" outlineLevel="0" collapsed="false">
      <c r="A613" s="34" t="s">
        <v>2406</v>
      </c>
      <c r="B613" s="34" t="s">
        <v>2407</v>
      </c>
      <c r="C613" s="34" t="s">
        <v>2408</v>
      </c>
      <c r="D613" s="34" t="s">
        <v>2344</v>
      </c>
      <c r="E613" s="34" t="s">
        <v>184</v>
      </c>
      <c r="F613" s="34" t="s">
        <v>1602</v>
      </c>
      <c r="G613" s="34" t="s">
        <v>227</v>
      </c>
      <c r="H613" s="34" t="s">
        <v>55</v>
      </c>
      <c r="I613" s="34" t="s">
        <v>2146</v>
      </c>
      <c r="J613" s="34" t="s">
        <v>228</v>
      </c>
      <c r="K613" s="34" t="s">
        <v>229</v>
      </c>
      <c r="L613" s="34" t="s">
        <v>230</v>
      </c>
      <c r="M613" s="34" t="s">
        <v>344</v>
      </c>
      <c r="N613" s="34" t="str">
        <f aca="false">"Sector "&amp;VALUE(MID(D613,13,2))</f>
        <v>Sector 8</v>
      </c>
      <c r="O613" s="34" t="str">
        <f aca="false">IF(Dashboard!$C$5="Ubicación técnica",N613,"Sector "&amp;VALUE(RIGHT(G613,2)))</f>
        <v>Sector 8</v>
      </c>
      <c r="P613" s="34" t="str">
        <f aca="false">IF(MID(D613,15,3)="SEL","Subestación eléctrica","Área de proceso")</f>
        <v>Subestación eléctrica</v>
      </c>
      <c r="Q613" s="34" t="str">
        <f aca="false">MID(D613,13,5)&amp;"|"&amp;MID(D613,19,5)</f>
        <v>08SEL|SEP02</v>
      </c>
      <c r="R613" s="34" t="str">
        <f aca="false">IF(P613="Subestación eléctrica",IFERROR(INDEX(cat_SubN,MATCH(Q613,cat_SubK,0)),"SIN CATALOGAR"),"ÁREA DE PROCESO")</f>
        <v>SEP-02</v>
      </c>
      <c r="S613" s="34" t="str">
        <f aca="false">IF(H613="","SIN DATO",IFERROR(INDEX(cat_MarcaN,MATCH(H613,cat_MarcaO,0)),H613))</f>
        <v>SEL</v>
      </c>
      <c r="T613" s="34" t="str">
        <f aca="false">IF(I613="","SIN DATO",IFERROR(INDEX(cat_ModN,MATCH(I613,cat_ModO,0)),I613))</f>
        <v>SEL-735</v>
      </c>
      <c r="U613" s="34" t="str">
        <f aca="false">IF(I613="","",IFERROR(INDEX(cat_ModG,MATCH(I613,cat_ModO,0)),"No"))</f>
        <v>No</v>
      </c>
      <c r="V613" s="34" t="str">
        <f aca="false">IF(J613="","SIN DATO",IFERROR(INDEX(cat_FunN,MATCH(J613,cat_FunO,0)),J613))</f>
        <v>Protección y medición</v>
      </c>
      <c r="W613" s="34" t="str">
        <f aca="false">IF(OR(S613="SIN DATO",T613="SIN DATO"),"No","Sí")</f>
        <v>Sí</v>
      </c>
    </row>
    <row r="614" customFormat="false" ht="15" hidden="false" customHeight="false" outlineLevel="0" collapsed="false">
      <c r="A614" s="34" t="s">
        <v>2409</v>
      </c>
      <c r="B614" s="34" t="s">
        <v>2410</v>
      </c>
      <c r="C614" s="34" t="s">
        <v>2411</v>
      </c>
      <c r="D614" s="34" t="s">
        <v>2145</v>
      </c>
      <c r="E614" s="34" t="s">
        <v>184</v>
      </c>
      <c r="F614" s="34" t="s">
        <v>1602</v>
      </c>
      <c r="G614" s="34" t="s">
        <v>227</v>
      </c>
      <c r="H614" s="34" t="s">
        <v>55</v>
      </c>
      <c r="I614" s="34" t="s">
        <v>2146</v>
      </c>
      <c r="J614" s="34" t="s">
        <v>228</v>
      </c>
      <c r="K614" s="34" t="s">
        <v>229</v>
      </c>
      <c r="L614" s="34" t="s">
        <v>230</v>
      </c>
      <c r="M614" s="34" t="s">
        <v>344</v>
      </c>
      <c r="N614" s="34" t="str">
        <f aca="false">"Sector "&amp;VALUE(MID(D614,13,2))</f>
        <v>Sector 8</v>
      </c>
      <c r="O614" s="34" t="str">
        <f aca="false">IF(Dashboard!$C$5="Ubicación técnica",N614,"Sector "&amp;VALUE(RIGHT(G614,2)))</f>
        <v>Sector 8</v>
      </c>
      <c r="P614" s="34" t="str">
        <f aca="false">IF(MID(D614,15,3)="SEL","Subestación eléctrica","Área de proceso")</f>
        <v>Subestación eléctrica</v>
      </c>
      <c r="Q614" s="34" t="str">
        <f aca="false">MID(D614,13,5)&amp;"|"&amp;MID(D614,19,5)</f>
        <v>08SEL|SEP02</v>
      </c>
      <c r="R614" s="34" t="str">
        <f aca="false">IF(P614="Subestación eléctrica",IFERROR(INDEX(cat_SubN,MATCH(Q614,cat_SubK,0)),"SIN CATALOGAR"),"ÁREA DE PROCESO")</f>
        <v>SEP-02</v>
      </c>
      <c r="S614" s="34" t="str">
        <f aca="false">IF(H614="","SIN DATO",IFERROR(INDEX(cat_MarcaN,MATCH(H614,cat_MarcaO,0)),H614))</f>
        <v>SEL</v>
      </c>
      <c r="T614" s="34" t="str">
        <f aca="false">IF(I614="","SIN DATO",IFERROR(INDEX(cat_ModN,MATCH(I614,cat_ModO,0)),I614))</f>
        <v>SEL-735</v>
      </c>
      <c r="U614" s="34" t="str">
        <f aca="false">IF(I614="","",IFERROR(INDEX(cat_ModG,MATCH(I614,cat_ModO,0)),"No"))</f>
        <v>No</v>
      </c>
      <c r="V614" s="34" t="str">
        <f aca="false">IF(J614="","SIN DATO",IFERROR(INDEX(cat_FunN,MATCH(J614,cat_FunO,0)),J614))</f>
        <v>Protección y medición</v>
      </c>
      <c r="W614" s="34" t="str">
        <f aca="false">IF(OR(S614="SIN DATO",T614="SIN DATO"),"No","Sí")</f>
        <v>Sí</v>
      </c>
    </row>
    <row r="615" customFormat="false" ht="15" hidden="false" customHeight="false" outlineLevel="0" collapsed="false">
      <c r="A615" s="34" t="s">
        <v>2412</v>
      </c>
      <c r="B615" s="34" t="s">
        <v>2413</v>
      </c>
      <c r="C615" s="34" t="s">
        <v>2414</v>
      </c>
      <c r="D615" s="34" t="s">
        <v>2150</v>
      </c>
      <c r="E615" s="34" t="s">
        <v>184</v>
      </c>
      <c r="F615" s="34" t="s">
        <v>1602</v>
      </c>
      <c r="G615" s="34" t="s">
        <v>227</v>
      </c>
      <c r="H615" s="34" t="s">
        <v>55</v>
      </c>
      <c r="I615" s="34" t="s">
        <v>2146</v>
      </c>
      <c r="J615" s="34" t="s">
        <v>228</v>
      </c>
      <c r="K615" s="34" t="s">
        <v>229</v>
      </c>
      <c r="L615" s="34" t="s">
        <v>230</v>
      </c>
      <c r="M615" s="34" t="s">
        <v>344</v>
      </c>
      <c r="N615" s="34" t="str">
        <f aca="false">"Sector "&amp;VALUE(MID(D615,13,2))</f>
        <v>Sector 8</v>
      </c>
      <c r="O615" s="34" t="str">
        <f aca="false">IF(Dashboard!$C$5="Ubicación técnica",N615,"Sector "&amp;VALUE(RIGHT(G615,2)))</f>
        <v>Sector 8</v>
      </c>
      <c r="P615" s="34" t="str">
        <f aca="false">IF(MID(D615,15,3)="SEL","Subestación eléctrica","Área de proceso")</f>
        <v>Subestación eléctrica</v>
      </c>
      <c r="Q615" s="34" t="str">
        <f aca="false">MID(D615,13,5)&amp;"|"&amp;MID(D615,19,5)</f>
        <v>08SEL|SEP02</v>
      </c>
      <c r="R615" s="34" t="str">
        <f aca="false">IF(P615="Subestación eléctrica",IFERROR(INDEX(cat_SubN,MATCH(Q615,cat_SubK,0)),"SIN CATALOGAR"),"ÁREA DE PROCESO")</f>
        <v>SEP-02</v>
      </c>
      <c r="S615" s="34" t="str">
        <f aca="false">IF(H615="","SIN DATO",IFERROR(INDEX(cat_MarcaN,MATCH(H615,cat_MarcaO,0)),H615))</f>
        <v>SEL</v>
      </c>
      <c r="T615" s="34" t="str">
        <f aca="false">IF(I615="","SIN DATO",IFERROR(INDEX(cat_ModN,MATCH(I615,cat_ModO,0)),I615))</f>
        <v>SEL-735</v>
      </c>
      <c r="U615" s="34" t="str">
        <f aca="false">IF(I615="","",IFERROR(INDEX(cat_ModG,MATCH(I615,cat_ModO,0)),"No"))</f>
        <v>No</v>
      </c>
      <c r="V615" s="34" t="str">
        <f aca="false">IF(J615="","SIN DATO",IFERROR(INDEX(cat_FunN,MATCH(J615,cat_FunO,0)),J615))</f>
        <v>Protección y medición</v>
      </c>
      <c r="W615" s="34" t="str">
        <f aca="false">IF(OR(S615="SIN DATO",T615="SIN DATO"),"No","Sí")</f>
        <v>Sí</v>
      </c>
    </row>
    <row r="616" customFormat="false" ht="15" hidden="false" customHeight="false" outlineLevel="0" collapsed="false">
      <c r="A616" s="34" t="s">
        <v>2415</v>
      </c>
      <c r="B616" s="34" t="s">
        <v>2416</v>
      </c>
      <c r="C616" s="34" t="s">
        <v>2417</v>
      </c>
      <c r="D616" s="34" t="s">
        <v>2154</v>
      </c>
      <c r="E616" s="34" t="s">
        <v>184</v>
      </c>
      <c r="F616" s="34" t="s">
        <v>1602</v>
      </c>
      <c r="G616" s="34" t="s">
        <v>227</v>
      </c>
      <c r="H616" s="34" t="s">
        <v>55</v>
      </c>
      <c r="I616" s="34" t="s">
        <v>2146</v>
      </c>
      <c r="J616" s="34" t="s">
        <v>228</v>
      </c>
      <c r="K616" s="34" t="s">
        <v>229</v>
      </c>
      <c r="L616" s="34" t="s">
        <v>230</v>
      </c>
      <c r="M616" s="34" t="s">
        <v>344</v>
      </c>
      <c r="N616" s="34" t="str">
        <f aca="false">"Sector "&amp;VALUE(MID(D616,13,2))</f>
        <v>Sector 8</v>
      </c>
      <c r="O616" s="34" t="str">
        <f aca="false">IF(Dashboard!$C$5="Ubicación técnica",N616,"Sector "&amp;VALUE(RIGHT(G616,2)))</f>
        <v>Sector 8</v>
      </c>
      <c r="P616" s="34" t="str">
        <f aca="false">IF(MID(D616,15,3)="SEL","Subestación eléctrica","Área de proceso")</f>
        <v>Subestación eléctrica</v>
      </c>
      <c r="Q616" s="34" t="str">
        <f aca="false">MID(D616,13,5)&amp;"|"&amp;MID(D616,19,5)</f>
        <v>08SEL|SEP02</v>
      </c>
      <c r="R616" s="34" t="str">
        <f aca="false">IF(P616="Subestación eléctrica",IFERROR(INDEX(cat_SubN,MATCH(Q616,cat_SubK,0)),"SIN CATALOGAR"),"ÁREA DE PROCESO")</f>
        <v>SEP-02</v>
      </c>
      <c r="S616" s="34" t="str">
        <f aca="false">IF(H616="","SIN DATO",IFERROR(INDEX(cat_MarcaN,MATCH(H616,cat_MarcaO,0)),H616))</f>
        <v>SEL</v>
      </c>
      <c r="T616" s="34" t="str">
        <f aca="false">IF(I616="","SIN DATO",IFERROR(INDEX(cat_ModN,MATCH(I616,cat_ModO,0)),I616))</f>
        <v>SEL-735</v>
      </c>
      <c r="U616" s="34" t="str">
        <f aca="false">IF(I616="","",IFERROR(INDEX(cat_ModG,MATCH(I616,cat_ModO,0)),"No"))</f>
        <v>No</v>
      </c>
      <c r="V616" s="34" t="str">
        <f aca="false">IF(J616="","SIN DATO",IFERROR(INDEX(cat_FunN,MATCH(J616,cat_FunO,0)),J616))</f>
        <v>Protección y medición</v>
      </c>
      <c r="W616" s="34" t="str">
        <f aca="false">IF(OR(S616="SIN DATO",T616="SIN DATO"),"No","Sí")</f>
        <v>Sí</v>
      </c>
    </row>
    <row r="617" customFormat="false" ht="15" hidden="false" customHeight="false" outlineLevel="0" collapsed="false">
      <c r="A617" s="34" t="s">
        <v>2418</v>
      </c>
      <c r="B617" s="34" t="s">
        <v>2419</v>
      </c>
      <c r="C617" s="34" t="s">
        <v>2420</v>
      </c>
      <c r="D617" s="34" t="s">
        <v>2372</v>
      </c>
      <c r="E617" s="34" t="s">
        <v>184</v>
      </c>
      <c r="F617" s="34" t="s">
        <v>1602</v>
      </c>
      <c r="G617" s="34" t="s">
        <v>227</v>
      </c>
      <c r="H617" s="34" t="s">
        <v>55</v>
      </c>
      <c r="I617" s="34" t="s">
        <v>2146</v>
      </c>
      <c r="J617" s="34" t="s">
        <v>228</v>
      </c>
      <c r="K617" s="34" t="s">
        <v>229</v>
      </c>
      <c r="L617" s="34" t="s">
        <v>230</v>
      </c>
      <c r="M617" s="34" t="s">
        <v>344</v>
      </c>
      <c r="N617" s="34" t="str">
        <f aca="false">"Sector "&amp;VALUE(MID(D617,13,2))</f>
        <v>Sector 8</v>
      </c>
      <c r="O617" s="34" t="str">
        <f aca="false">IF(Dashboard!$C$5="Ubicación técnica",N617,"Sector "&amp;VALUE(RIGHT(G617,2)))</f>
        <v>Sector 8</v>
      </c>
      <c r="P617" s="34" t="str">
        <f aca="false">IF(MID(D617,15,3)="SEL","Subestación eléctrica","Área de proceso")</f>
        <v>Subestación eléctrica</v>
      </c>
      <c r="Q617" s="34" t="str">
        <f aca="false">MID(D617,13,5)&amp;"|"&amp;MID(D617,19,5)</f>
        <v>08SEL|SEP02</v>
      </c>
      <c r="R617" s="34" t="str">
        <f aca="false">IF(P617="Subestación eléctrica",IFERROR(INDEX(cat_SubN,MATCH(Q617,cat_SubK,0)),"SIN CATALOGAR"),"ÁREA DE PROCESO")</f>
        <v>SEP-02</v>
      </c>
      <c r="S617" s="34" t="str">
        <f aca="false">IF(H617="","SIN DATO",IFERROR(INDEX(cat_MarcaN,MATCH(H617,cat_MarcaO,0)),H617))</f>
        <v>SEL</v>
      </c>
      <c r="T617" s="34" t="str">
        <f aca="false">IF(I617="","SIN DATO",IFERROR(INDEX(cat_ModN,MATCH(I617,cat_ModO,0)),I617))</f>
        <v>SEL-735</v>
      </c>
      <c r="U617" s="34" t="str">
        <f aca="false">IF(I617="","",IFERROR(INDEX(cat_ModG,MATCH(I617,cat_ModO,0)),"No"))</f>
        <v>No</v>
      </c>
      <c r="V617" s="34" t="str">
        <f aca="false">IF(J617="","SIN DATO",IFERROR(INDEX(cat_FunN,MATCH(J617,cat_FunO,0)),J617))</f>
        <v>Protección y medición</v>
      </c>
      <c r="W617" s="34" t="str">
        <f aca="false">IF(OR(S617="SIN DATO",T617="SIN DATO"),"No","Sí")</f>
        <v>Sí</v>
      </c>
    </row>
    <row r="618" customFormat="false" ht="15" hidden="false" customHeight="false" outlineLevel="0" collapsed="false">
      <c r="A618" s="34" t="s">
        <v>2421</v>
      </c>
      <c r="B618" s="34" t="s">
        <v>2422</v>
      </c>
      <c r="C618" s="34" t="s">
        <v>2423</v>
      </c>
      <c r="D618" s="34" t="s">
        <v>2158</v>
      </c>
      <c r="E618" s="34" t="s">
        <v>184</v>
      </c>
      <c r="F618" s="34" t="s">
        <v>1602</v>
      </c>
      <c r="G618" s="34" t="s">
        <v>227</v>
      </c>
      <c r="H618" s="34" t="s">
        <v>55</v>
      </c>
      <c r="I618" s="34" t="s">
        <v>2146</v>
      </c>
      <c r="J618" s="34" t="s">
        <v>228</v>
      </c>
      <c r="K618" s="34" t="s">
        <v>229</v>
      </c>
      <c r="L618" s="34" t="s">
        <v>230</v>
      </c>
      <c r="M618" s="34" t="s">
        <v>344</v>
      </c>
      <c r="N618" s="34" t="str">
        <f aca="false">"Sector "&amp;VALUE(MID(D618,13,2))</f>
        <v>Sector 8</v>
      </c>
      <c r="O618" s="34" t="str">
        <f aca="false">IF(Dashboard!$C$5="Ubicación técnica",N618,"Sector "&amp;VALUE(RIGHT(G618,2)))</f>
        <v>Sector 8</v>
      </c>
      <c r="P618" s="34" t="str">
        <f aca="false">IF(MID(D618,15,3)="SEL","Subestación eléctrica","Área de proceso")</f>
        <v>Subestación eléctrica</v>
      </c>
      <c r="Q618" s="34" t="str">
        <f aca="false">MID(D618,13,5)&amp;"|"&amp;MID(D618,19,5)</f>
        <v>08SEL|SEP02</v>
      </c>
      <c r="R618" s="34" t="str">
        <f aca="false">IF(P618="Subestación eléctrica",IFERROR(INDEX(cat_SubN,MATCH(Q618,cat_SubK,0)),"SIN CATALOGAR"),"ÁREA DE PROCESO")</f>
        <v>SEP-02</v>
      </c>
      <c r="S618" s="34" t="str">
        <f aca="false">IF(H618="","SIN DATO",IFERROR(INDEX(cat_MarcaN,MATCH(H618,cat_MarcaO,0)),H618))</f>
        <v>SEL</v>
      </c>
      <c r="T618" s="34" t="str">
        <f aca="false">IF(I618="","SIN DATO",IFERROR(INDEX(cat_ModN,MATCH(I618,cat_ModO,0)),I618))</f>
        <v>SEL-735</v>
      </c>
      <c r="U618" s="34" t="str">
        <f aca="false">IF(I618="","",IFERROR(INDEX(cat_ModG,MATCH(I618,cat_ModO,0)),"No"))</f>
        <v>No</v>
      </c>
      <c r="V618" s="34" t="str">
        <f aca="false">IF(J618="","SIN DATO",IFERROR(INDEX(cat_FunN,MATCH(J618,cat_FunO,0)),J618))</f>
        <v>Protección y medición</v>
      </c>
      <c r="W618" s="34" t="str">
        <f aca="false">IF(OR(S618="SIN DATO",T618="SIN DATO"),"No","Sí")</f>
        <v>Sí</v>
      </c>
    </row>
    <row r="619" customFormat="false" ht="15" hidden="false" customHeight="false" outlineLevel="0" collapsed="false">
      <c r="A619" s="34" t="s">
        <v>2424</v>
      </c>
      <c r="B619" s="34" t="s">
        <v>2425</v>
      </c>
      <c r="C619" s="34" t="s">
        <v>2426</v>
      </c>
      <c r="D619" s="34" t="s">
        <v>2337</v>
      </c>
      <c r="E619" s="34" t="s">
        <v>184</v>
      </c>
      <c r="F619" s="34" t="s">
        <v>1602</v>
      </c>
      <c r="G619" s="34" t="s">
        <v>227</v>
      </c>
      <c r="H619" s="34" t="s">
        <v>55</v>
      </c>
      <c r="I619" s="34" t="s">
        <v>2146</v>
      </c>
      <c r="J619" s="34" t="s">
        <v>228</v>
      </c>
      <c r="K619" s="34" t="s">
        <v>229</v>
      </c>
      <c r="L619" s="34" t="s">
        <v>230</v>
      </c>
      <c r="M619" s="34" t="s">
        <v>344</v>
      </c>
      <c r="N619" s="34" t="str">
        <f aca="false">"Sector "&amp;VALUE(MID(D619,13,2))</f>
        <v>Sector 8</v>
      </c>
      <c r="O619" s="34" t="str">
        <f aca="false">IF(Dashboard!$C$5="Ubicación técnica",N619,"Sector "&amp;VALUE(RIGHT(G619,2)))</f>
        <v>Sector 8</v>
      </c>
      <c r="P619" s="34" t="str">
        <f aca="false">IF(MID(D619,15,3)="SEL","Subestación eléctrica","Área de proceso")</f>
        <v>Subestación eléctrica</v>
      </c>
      <c r="Q619" s="34" t="str">
        <f aca="false">MID(D619,13,5)&amp;"|"&amp;MID(D619,19,5)</f>
        <v>08SEL|SEP02</v>
      </c>
      <c r="R619" s="34" t="str">
        <f aca="false">IF(P619="Subestación eléctrica",IFERROR(INDEX(cat_SubN,MATCH(Q619,cat_SubK,0)),"SIN CATALOGAR"),"ÁREA DE PROCESO")</f>
        <v>SEP-02</v>
      </c>
      <c r="S619" s="34" t="str">
        <f aca="false">IF(H619="","SIN DATO",IFERROR(INDEX(cat_MarcaN,MATCH(H619,cat_MarcaO,0)),H619))</f>
        <v>SEL</v>
      </c>
      <c r="T619" s="34" t="str">
        <f aca="false">IF(I619="","SIN DATO",IFERROR(INDEX(cat_ModN,MATCH(I619,cat_ModO,0)),I619))</f>
        <v>SEL-735</v>
      </c>
      <c r="U619" s="34" t="str">
        <f aca="false">IF(I619="","",IFERROR(INDEX(cat_ModG,MATCH(I619,cat_ModO,0)),"No"))</f>
        <v>No</v>
      </c>
      <c r="V619" s="34" t="str">
        <f aca="false">IF(J619="","SIN DATO",IFERROR(INDEX(cat_FunN,MATCH(J619,cat_FunO,0)),J619))</f>
        <v>Protección y medición</v>
      </c>
      <c r="W619" s="34" t="str">
        <f aca="false">IF(OR(S619="SIN DATO",T619="SIN DATO"),"No","Sí")</f>
        <v>Sí</v>
      </c>
    </row>
    <row r="620" customFormat="false" ht="15" hidden="false" customHeight="false" outlineLevel="0" collapsed="false">
      <c r="A620" s="34" t="s">
        <v>2427</v>
      </c>
      <c r="B620" s="34" t="s">
        <v>2428</v>
      </c>
      <c r="C620" s="34" t="s">
        <v>2429</v>
      </c>
      <c r="D620" s="34" t="s">
        <v>2430</v>
      </c>
      <c r="E620" s="34" t="s">
        <v>111</v>
      </c>
      <c r="F620" s="34" t="s">
        <v>1602</v>
      </c>
      <c r="G620" s="34" t="s">
        <v>2431</v>
      </c>
      <c r="H620" s="34" t="s">
        <v>34</v>
      </c>
      <c r="I620" s="34" t="s">
        <v>36</v>
      </c>
      <c r="J620" s="34" t="s">
        <v>681</v>
      </c>
      <c r="K620" s="34" t="s">
        <v>229</v>
      </c>
      <c r="L620" s="34" t="s">
        <v>230</v>
      </c>
      <c r="M620" s="34" t="s">
        <v>682</v>
      </c>
      <c r="N620" s="34" t="str">
        <f aca="false">"Sector "&amp;VALUE(MID(D620,13,2))</f>
        <v>Sector 1</v>
      </c>
      <c r="O620" s="34" t="str">
        <f aca="false">IF(Dashboard!$C$5="Ubicación técnica",N620,"Sector "&amp;VALUE(RIGHT(G620,2)))</f>
        <v>Sector 1</v>
      </c>
      <c r="P620" s="34" t="str">
        <f aca="false">IF(MID(D620,15,3)="SEL","Subestación eléctrica","Área de proceso")</f>
        <v>Subestación eléctrica</v>
      </c>
      <c r="Q620" s="34" t="str">
        <f aca="false">MID(D620,13,5)&amp;"|"&amp;MID(D620,19,5)</f>
        <v>01SEL|S12_1</v>
      </c>
      <c r="R620" s="34" t="str">
        <f aca="false">IF(P620="Subestación eléctrica",IFERROR(INDEX(cat_SubN,MATCH(Q620,cat_SubK,0)),"SIN CATALOGAR"),"ÁREA DE PROCESO")</f>
        <v>SE-12-1</v>
      </c>
      <c r="S620" s="34" t="str">
        <f aca="false">IF(H620="","SIN DATO",IFERROR(INDEX(cat_MarcaN,MATCH(H620,cat_MarcaO,0)),H620))</f>
        <v>ABB</v>
      </c>
      <c r="T620" s="34" t="str">
        <f aca="false">IF(I620="","SIN DATO",IFERROR(INDEX(cat_ModN,MATCH(I620,cat_ModO,0)),I620))</f>
        <v>1AFFAEAGNEC5BNA11G</v>
      </c>
      <c r="U620" s="34" t="str">
        <f aca="false">IF(I620="","",IFERROR(INDEX(cat_ModG,MATCH(I620,cat_ModO,0)),"No"))</f>
        <v>No</v>
      </c>
      <c r="V620" s="34" t="str">
        <f aca="false">IF(J620="","SIN DATO",IFERROR(INDEX(cat_FunN,MATCH(J620,cat_FunO,0)),J620))</f>
        <v>Protección</v>
      </c>
      <c r="W620" s="34" t="str">
        <f aca="false">IF(OR(S620="SIN DATO",T620="SIN DATO"),"No","Sí")</f>
        <v>Sí</v>
      </c>
    </row>
    <row r="621" customFormat="false" ht="15" hidden="false" customHeight="false" outlineLevel="0" collapsed="false">
      <c r="A621" s="34" t="s">
        <v>2432</v>
      </c>
      <c r="B621" s="34" t="s">
        <v>2433</v>
      </c>
      <c r="C621" s="34" t="s">
        <v>2434</v>
      </c>
      <c r="D621" s="34" t="s">
        <v>2430</v>
      </c>
      <c r="E621" s="34" t="s">
        <v>111</v>
      </c>
      <c r="F621" s="34" t="s">
        <v>1602</v>
      </c>
      <c r="G621" s="34" t="s">
        <v>2431</v>
      </c>
      <c r="H621" s="34" t="s">
        <v>34</v>
      </c>
      <c r="I621" s="34" t="s">
        <v>36</v>
      </c>
      <c r="J621" s="34" t="s">
        <v>228</v>
      </c>
      <c r="K621" s="34" t="s">
        <v>229</v>
      </c>
      <c r="L621" s="34" t="s">
        <v>230</v>
      </c>
      <c r="M621" s="34" t="s">
        <v>231</v>
      </c>
      <c r="N621" s="34" t="str">
        <f aca="false">"Sector "&amp;VALUE(MID(D621,13,2))</f>
        <v>Sector 1</v>
      </c>
      <c r="O621" s="34" t="str">
        <f aca="false">IF(Dashboard!$C$5="Ubicación técnica",N621,"Sector "&amp;VALUE(RIGHT(G621,2)))</f>
        <v>Sector 1</v>
      </c>
      <c r="P621" s="34" t="str">
        <f aca="false">IF(MID(D621,15,3)="SEL","Subestación eléctrica","Área de proceso")</f>
        <v>Subestación eléctrica</v>
      </c>
      <c r="Q621" s="34" t="str">
        <f aca="false">MID(D621,13,5)&amp;"|"&amp;MID(D621,19,5)</f>
        <v>01SEL|S12_1</v>
      </c>
      <c r="R621" s="34" t="str">
        <f aca="false">IF(P621="Subestación eléctrica",IFERROR(INDEX(cat_SubN,MATCH(Q621,cat_SubK,0)),"SIN CATALOGAR"),"ÁREA DE PROCESO")</f>
        <v>SE-12-1</v>
      </c>
      <c r="S621" s="34" t="str">
        <f aca="false">IF(H621="","SIN DATO",IFERROR(INDEX(cat_MarcaN,MATCH(H621,cat_MarcaO,0)),H621))</f>
        <v>ABB</v>
      </c>
      <c r="T621" s="34" t="str">
        <f aca="false">IF(I621="","SIN DATO",IFERROR(INDEX(cat_ModN,MATCH(I621,cat_ModO,0)),I621))</f>
        <v>1AFFAEAGNEC5BNA11G</v>
      </c>
      <c r="U621" s="34" t="str">
        <f aca="false">IF(I621="","",IFERROR(INDEX(cat_ModG,MATCH(I621,cat_ModO,0)),"No"))</f>
        <v>No</v>
      </c>
      <c r="V621" s="34" t="str">
        <f aca="false">IF(J621="","SIN DATO",IFERROR(INDEX(cat_FunN,MATCH(J621,cat_FunO,0)),J621))</f>
        <v>Protección y medición</v>
      </c>
      <c r="W621" s="34" t="str">
        <f aca="false">IF(OR(S621="SIN DATO",T621="SIN DATO"),"No","Sí")</f>
        <v>Sí</v>
      </c>
    </row>
    <row r="622" customFormat="false" ht="15" hidden="false" customHeight="false" outlineLevel="0" collapsed="false">
      <c r="A622" s="34" t="s">
        <v>2435</v>
      </c>
      <c r="B622" s="34" t="s">
        <v>2436</v>
      </c>
      <c r="C622" s="34" t="s">
        <v>2437</v>
      </c>
      <c r="D622" s="34" t="s">
        <v>2438</v>
      </c>
      <c r="E622" s="34" t="s">
        <v>111</v>
      </c>
      <c r="F622" s="34" t="s">
        <v>1602</v>
      </c>
      <c r="G622" s="34" t="s">
        <v>2431</v>
      </c>
      <c r="H622" s="34" t="s">
        <v>34</v>
      </c>
      <c r="I622" s="34" t="s">
        <v>36</v>
      </c>
      <c r="J622" s="34" t="s">
        <v>681</v>
      </c>
      <c r="K622" s="34" t="s">
        <v>229</v>
      </c>
      <c r="L622" s="34" t="s">
        <v>230</v>
      </c>
      <c r="M622" s="34" t="s">
        <v>682</v>
      </c>
      <c r="N622" s="34" t="str">
        <f aca="false">"Sector "&amp;VALUE(MID(D622,13,2))</f>
        <v>Sector 1</v>
      </c>
      <c r="O622" s="34" t="str">
        <f aca="false">IF(Dashboard!$C$5="Ubicación técnica",N622,"Sector "&amp;VALUE(RIGHT(G622,2)))</f>
        <v>Sector 1</v>
      </c>
      <c r="P622" s="34" t="str">
        <f aca="false">IF(MID(D622,15,3)="SEL","Subestación eléctrica","Área de proceso")</f>
        <v>Subestación eléctrica</v>
      </c>
      <c r="Q622" s="34" t="str">
        <f aca="false">MID(D622,13,5)&amp;"|"&amp;MID(D622,19,5)</f>
        <v>01SEL|S12_1</v>
      </c>
      <c r="R622" s="34" t="str">
        <f aca="false">IF(P622="Subestación eléctrica",IFERROR(INDEX(cat_SubN,MATCH(Q622,cat_SubK,0)),"SIN CATALOGAR"),"ÁREA DE PROCESO")</f>
        <v>SE-12-1</v>
      </c>
      <c r="S622" s="34" t="str">
        <f aca="false">IF(H622="","SIN DATO",IFERROR(INDEX(cat_MarcaN,MATCH(H622,cat_MarcaO,0)),H622))</f>
        <v>ABB</v>
      </c>
      <c r="T622" s="34" t="str">
        <f aca="false">IF(I622="","SIN DATO",IFERROR(INDEX(cat_ModN,MATCH(I622,cat_ModO,0)),I622))</f>
        <v>1AFFAEAGNEC5BNA11G</v>
      </c>
      <c r="U622" s="34" t="str">
        <f aca="false">IF(I622="","",IFERROR(INDEX(cat_ModG,MATCH(I622,cat_ModO,0)),"No"))</f>
        <v>No</v>
      </c>
      <c r="V622" s="34" t="str">
        <f aca="false">IF(J622="","SIN DATO",IFERROR(INDEX(cat_FunN,MATCH(J622,cat_FunO,0)),J622))</f>
        <v>Protección</v>
      </c>
      <c r="W622" s="34" t="str">
        <f aca="false">IF(OR(S622="SIN DATO",T622="SIN DATO"),"No","Sí")</f>
        <v>Sí</v>
      </c>
    </row>
    <row r="623" customFormat="false" ht="15" hidden="false" customHeight="false" outlineLevel="0" collapsed="false">
      <c r="A623" s="34" t="s">
        <v>2439</v>
      </c>
      <c r="B623" s="34" t="s">
        <v>2440</v>
      </c>
      <c r="C623" s="34" t="s">
        <v>2441</v>
      </c>
      <c r="D623" s="34" t="s">
        <v>2438</v>
      </c>
      <c r="E623" s="34" t="s">
        <v>111</v>
      </c>
      <c r="F623" s="34" t="s">
        <v>1602</v>
      </c>
      <c r="G623" s="34" t="s">
        <v>2431</v>
      </c>
      <c r="H623" s="34" t="s">
        <v>34</v>
      </c>
      <c r="I623" s="34" t="s">
        <v>36</v>
      </c>
      <c r="J623" s="34" t="s">
        <v>228</v>
      </c>
      <c r="K623" s="34" t="s">
        <v>229</v>
      </c>
      <c r="L623" s="34" t="s">
        <v>230</v>
      </c>
      <c r="M623" s="34" t="s">
        <v>231</v>
      </c>
      <c r="N623" s="34" t="str">
        <f aca="false">"Sector "&amp;VALUE(MID(D623,13,2))</f>
        <v>Sector 1</v>
      </c>
      <c r="O623" s="34" t="str">
        <f aca="false">IF(Dashboard!$C$5="Ubicación técnica",N623,"Sector "&amp;VALUE(RIGHT(G623,2)))</f>
        <v>Sector 1</v>
      </c>
      <c r="P623" s="34" t="str">
        <f aca="false">IF(MID(D623,15,3)="SEL","Subestación eléctrica","Área de proceso")</f>
        <v>Subestación eléctrica</v>
      </c>
      <c r="Q623" s="34" t="str">
        <f aca="false">MID(D623,13,5)&amp;"|"&amp;MID(D623,19,5)</f>
        <v>01SEL|S12_1</v>
      </c>
      <c r="R623" s="34" t="str">
        <f aca="false">IF(P623="Subestación eléctrica",IFERROR(INDEX(cat_SubN,MATCH(Q623,cat_SubK,0)),"SIN CATALOGAR"),"ÁREA DE PROCESO")</f>
        <v>SE-12-1</v>
      </c>
      <c r="S623" s="34" t="str">
        <f aca="false">IF(H623="","SIN DATO",IFERROR(INDEX(cat_MarcaN,MATCH(H623,cat_MarcaO,0)),H623))</f>
        <v>ABB</v>
      </c>
      <c r="T623" s="34" t="str">
        <f aca="false">IF(I623="","SIN DATO",IFERROR(INDEX(cat_ModN,MATCH(I623,cat_ModO,0)),I623))</f>
        <v>1AFFAEAGNEC5BNA11G</v>
      </c>
      <c r="U623" s="34" t="str">
        <f aca="false">IF(I623="","",IFERROR(INDEX(cat_ModG,MATCH(I623,cat_ModO,0)),"No"))</f>
        <v>No</v>
      </c>
      <c r="V623" s="34" t="str">
        <f aca="false">IF(J623="","SIN DATO",IFERROR(INDEX(cat_FunN,MATCH(J623,cat_FunO,0)),J623))</f>
        <v>Protección y medición</v>
      </c>
      <c r="W623" s="34" t="str">
        <f aca="false">IF(OR(S623="SIN DATO",T623="SIN DATO"),"No","Sí")</f>
        <v>Sí</v>
      </c>
    </row>
    <row r="624" customFormat="false" ht="15" hidden="false" customHeight="false" outlineLevel="0" collapsed="false">
      <c r="A624" s="34" t="s">
        <v>2442</v>
      </c>
      <c r="B624" s="34" t="s">
        <v>2443</v>
      </c>
      <c r="C624" s="34" t="s">
        <v>2444</v>
      </c>
      <c r="D624" s="34" t="s">
        <v>2445</v>
      </c>
      <c r="E624" s="34" t="s">
        <v>111</v>
      </c>
      <c r="F624" s="34" t="s">
        <v>1602</v>
      </c>
      <c r="G624" s="34" t="s">
        <v>2431</v>
      </c>
      <c r="H624" s="34" t="s">
        <v>34</v>
      </c>
      <c r="I624" s="34" t="s">
        <v>36</v>
      </c>
      <c r="J624" s="34" t="s">
        <v>681</v>
      </c>
      <c r="K624" s="34" t="s">
        <v>229</v>
      </c>
      <c r="L624" s="34" t="s">
        <v>230</v>
      </c>
      <c r="M624" s="34" t="s">
        <v>682</v>
      </c>
      <c r="N624" s="34" t="str">
        <f aca="false">"Sector "&amp;VALUE(MID(D624,13,2))</f>
        <v>Sector 1</v>
      </c>
      <c r="O624" s="34" t="str">
        <f aca="false">IF(Dashboard!$C$5="Ubicación técnica",N624,"Sector "&amp;VALUE(RIGHT(G624,2)))</f>
        <v>Sector 1</v>
      </c>
      <c r="P624" s="34" t="str">
        <f aca="false">IF(MID(D624,15,3)="SEL","Subestación eléctrica","Área de proceso")</f>
        <v>Subestación eléctrica</v>
      </c>
      <c r="Q624" s="34" t="str">
        <f aca="false">MID(D624,13,5)&amp;"|"&amp;MID(D624,19,5)</f>
        <v>01SEL|S12_1</v>
      </c>
      <c r="R624" s="34" t="str">
        <f aca="false">IF(P624="Subestación eléctrica",IFERROR(INDEX(cat_SubN,MATCH(Q624,cat_SubK,0)),"SIN CATALOGAR"),"ÁREA DE PROCESO")</f>
        <v>SE-12-1</v>
      </c>
      <c r="S624" s="34" t="str">
        <f aca="false">IF(H624="","SIN DATO",IFERROR(INDEX(cat_MarcaN,MATCH(H624,cat_MarcaO,0)),H624))</f>
        <v>ABB</v>
      </c>
      <c r="T624" s="34" t="str">
        <f aca="false">IF(I624="","SIN DATO",IFERROR(INDEX(cat_ModN,MATCH(I624,cat_ModO,0)),I624))</f>
        <v>1AFFAEAGNEC5BNA11G</v>
      </c>
      <c r="U624" s="34" t="str">
        <f aca="false">IF(I624="","",IFERROR(INDEX(cat_ModG,MATCH(I624,cat_ModO,0)),"No"))</f>
        <v>No</v>
      </c>
      <c r="V624" s="34" t="str">
        <f aca="false">IF(J624="","SIN DATO",IFERROR(INDEX(cat_FunN,MATCH(J624,cat_FunO,0)),J624))</f>
        <v>Protección</v>
      </c>
      <c r="W624" s="34" t="str">
        <f aca="false">IF(OR(S624="SIN DATO",T624="SIN DATO"),"No","Sí")</f>
        <v>Sí</v>
      </c>
    </row>
    <row r="625" customFormat="false" ht="15" hidden="false" customHeight="false" outlineLevel="0" collapsed="false">
      <c r="A625" s="34" t="s">
        <v>2446</v>
      </c>
      <c r="B625" s="34" t="s">
        <v>2447</v>
      </c>
      <c r="C625" s="34" t="s">
        <v>2448</v>
      </c>
      <c r="D625" s="34" t="s">
        <v>2445</v>
      </c>
      <c r="E625" s="34" t="s">
        <v>111</v>
      </c>
      <c r="F625" s="34" t="s">
        <v>1602</v>
      </c>
      <c r="G625" s="34" t="s">
        <v>2431</v>
      </c>
      <c r="H625" s="34" t="s">
        <v>34</v>
      </c>
      <c r="I625" s="34" t="s">
        <v>36</v>
      </c>
      <c r="J625" s="34" t="s">
        <v>681</v>
      </c>
      <c r="K625" s="34" t="s">
        <v>229</v>
      </c>
      <c r="L625" s="34" t="s">
        <v>230</v>
      </c>
      <c r="M625" s="34" t="s">
        <v>682</v>
      </c>
      <c r="N625" s="34" t="str">
        <f aca="false">"Sector "&amp;VALUE(MID(D625,13,2))</f>
        <v>Sector 1</v>
      </c>
      <c r="O625" s="34" t="str">
        <f aca="false">IF(Dashboard!$C$5="Ubicación técnica",N625,"Sector "&amp;VALUE(RIGHT(G625,2)))</f>
        <v>Sector 1</v>
      </c>
      <c r="P625" s="34" t="str">
        <f aca="false">IF(MID(D625,15,3)="SEL","Subestación eléctrica","Área de proceso")</f>
        <v>Subestación eléctrica</v>
      </c>
      <c r="Q625" s="34" t="str">
        <f aca="false">MID(D625,13,5)&amp;"|"&amp;MID(D625,19,5)</f>
        <v>01SEL|S12_1</v>
      </c>
      <c r="R625" s="34" t="str">
        <f aca="false">IF(P625="Subestación eléctrica",IFERROR(INDEX(cat_SubN,MATCH(Q625,cat_SubK,0)),"SIN CATALOGAR"),"ÁREA DE PROCESO")</f>
        <v>SE-12-1</v>
      </c>
      <c r="S625" s="34" t="str">
        <f aca="false">IF(H625="","SIN DATO",IFERROR(INDEX(cat_MarcaN,MATCH(H625,cat_MarcaO,0)),H625))</f>
        <v>ABB</v>
      </c>
      <c r="T625" s="34" t="str">
        <f aca="false">IF(I625="","SIN DATO",IFERROR(INDEX(cat_ModN,MATCH(I625,cat_ModO,0)),I625))</f>
        <v>1AFFAEAGNEC5BNA11G</v>
      </c>
      <c r="U625" s="34" t="str">
        <f aca="false">IF(I625="","",IFERROR(INDEX(cat_ModG,MATCH(I625,cat_ModO,0)),"No"))</f>
        <v>No</v>
      </c>
      <c r="V625" s="34" t="str">
        <f aca="false">IF(J625="","SIN DATO",IFERROR(INDEX(cat_FunN,MATCH(J625,cat_FunO,0)),J625))</f>
        <v>Protección</v>
      </c>
      <c r="W625" s="34" t="str">
        <f aca="false">IF(OR(S625="SIN DATO",T625="SIN DATO"),"No","Sí")</f>
        <v>Sí</v>
      </c>
    </row>
    <row r="626" customFormat="false" ht="15" hidden="false" customHeight="false" outlineLevel="0" collapsed="false">
      <c r="A626" s="34" t="s">
        <v>2449</v>
      </c>
      <c r="B626" s="34" t="s">
        <v>2450</v>
      </c>
      <c r="C626" s="34" t="s">
        <v>2451</v>
      </c>
      <c r="D626" s="34" t="s">
        <v>2445</v>
      </c>
      <c r="E626" s="34" t="s">
        <v>111</v>
      </c>
      <c r="F626" s="34" t="s">
        <v>1602</v>
      </c>
      <c r="G626" s="34" t="s">
        <v>2431</v>
      </c>
      <c r="H626" s="34" t="s">
        <v>34</v>
      </c>
      <c r="I626" s="34" t="s">
        <v>46</v>
      </c>
      <c r="J626" s="34" t="s">
        <v>228</v>
      </c>
      <c r="K626" s="34" t="s">
        <v>229</v>
      </c>
      <c r="L626" s="34" t="s">
        <v>230</v>
      </c>
      <c r="M626" s="34" t="s">
        <v>231</v>
      </c>
      <c r="N626" s="34" t="str">
        <f aca="false">"Sector "&amp;VALUE(MID(D626,13,2))</f>
        <v>Sector 1</v>
      </c>
      <c r="O626" s="34" t="str">
        <f aca="false">IF(Dashboard!$C$5="Ubicación técnica",N626,"Sector "&amp;VALUE(RIGHT(G626,2)))</f>
        <v>Sector 1</v>
      </c>
      <c r="P626" s="34" t="str">
        <f aca="false">IF(MID(D626,15,3)="SEL","Subestación eléctrica","Área de proceso")</f>
        <v>Subestación eléctrica</v>
      </c>
      <c r="Q626" s="34" t="str">
        <f aca="false">MID(D626,13,5)&amp;"|"&amp;MID(D626,19,5)</f>
        <v>01SEL|S12_1</v>
      </c>
      <c r="R626" s="34" t="str">
        <f aca="false">IF(P626="Subestación eléctrica",IFERROR(INDEX(cat_SubN,MATCH(Q626,cat_SubK,0)),"SIN CATALOGAR"),"ÁREA DE PROCESO")</f>
        <v>SE-12-1</v>
      </c>
      <c r="S626" s="34" t="str">
        <f aca="false">IF(H626="","SIN DATO",IFERROR(INDEX(cat_MarcaN,MATCH(H626,cat_MarcaO,0)),H626))</f>
        <v>ABB</v>
      </c>
      <c r="T626" s="34" t="str">
        <f aca="false">IF(I626="","SIN DATO",IFERROR(INDEX(cat_ModN,MATCH(I626,cat_ModO,0)),I626))</f>
        <v>1ATBBABBNEC5BNN11G</v>
      </c>
      <c r="U626" s="34" t="str">
        <f aca="false">IF(I626="","",IFERROR(INDEX(cat_ModG,MATCH(I626,cat_ModO,0)),"No"))</f>
        <v>No</v>
      </c>
      <c r="V626" s="34" t="str">
        <f aca="false">IF(J626="","SIN DATO",IFERROR(INDEX(cat_FunN,MATCH(J626,cat_FunO,0)),J626))</f>
        <v>Protección y medición</v>
      </c>
      <c r="W626" s="34" t="str">
        <f aca="false">IF(OR(S626="SIN DATO",T626="SIN DATO"),"No","Sí")</f>
        <v>Sí</v>
      </c>
    </row>
    <row r="627" customFormat="false" ht="15" hidden="false" customHeight="false" outlineLevel="0" collapsed="false">
      <c r="A627" s="34" t="s">
        <v>2452</v>
      </c>
      <c r="B627" s="34" t="s">
        <v>2453</v>
      </c>
      <c r="C627" s="34" t="s">
        <v>2454</v>
      </c>
      <c r="D627" s="34" t="s">
        <v>2445</v>
      </c>
      <c r="E627" s="34" t="s">
        <v>111</v>
      </c>
      <c r="F627" s="34" t="s">
        <v>1602</v>
      </c>
      <c r="G627" s="34" t="s">
        <v>2431</v>
      </c>
      <c r="H627" s="34" t="s">
        <v>34</v>
      </c>
      <c r="I627" s="34" t="s">
        <v>36</v>
      </c>
      <c r="J627" s="34" t="s">
        <v>228</v>
      </c>
      <c r="K627" s="34" t="s">
        <v>229</v>
      </c>
      <c r="L627" s="34" t="s">
        <v>230</v>
      </c>
      <c r="M627" s="34" t="s">
        <v>231</v>
      </c>
      <c r="N627" s="34" t="str">
        <f aca="false">"Sector "&amp;VALUE(MID(D627,13,2))</f>
        <v>Sector 1</v>
      </c>
      <c r="O627" s="34" t="str">
        <f aca="false">IF(Dashboard!$C$5="Ubicación técnica",N627,"Sector "&amp;VALUE(RIGHT(G627,2)))</f>
        <v>Sector 1</v>
      </c>
      <c r="P627" s="34" t="str">
        <f aca="false">IF(MID(D627,15,3)="SEL","Subestación eléctrica","Área de proceso")</f>
        <v>Subestación eléctrica</v>
      </c>
      <c r="Q627" s="34" t="str">
        <f aca="false">MID(D627,13,5)&amp;"|"&amp;MID(D627,19,5)</f>
        <v>01SEL|S12_1</v>
      </c>
      <c r="R627" s="34" t="str">
        <f aca="false">IF(P627="Subestación eléctrica",IFERROR(INDEX(cat_SubN,MATCH(Q627,cat_SubK,0)),"SIN CATALOGAR"),"ÁREA DE PROCESO")</f>
        <v>SE-12-1</v>
      </c>
      <c r="S627" s="34" t="str">
        <f aca="false">IF(H627="","SIN DATO",IFERROR(INDEX(cat_MarcaN,MATCH(H627,cat_MarcaO,0)),H627))</f>
        <v>ABB</v>
      </c>
      <c r="T627" s="34" t="str">
        <f aca="false">IF(I627="","SIN DATO",IFERROR(INDEX(cat_ModN,MATCH(I627,cat_ModO,0)),I627))</f>
        <v>1AFFAEAGNEC5BNA11G</v>
      </c>
      <c r="U627" s="34" t="str">
        <f aca="false">IF(I627="","",IFERROR(INDEX(cat_ModG,MATCH(I627,cat_ModO,0)),"No"))</f>
        <v>No</v>
      </c>
      <c r="V627" s="34" t="str">
        <f aca="false">IF(J627="","SIN DATO",IFERROR(INDEX(cat_FunN,MATCH(J627,cat_FunO,0)),J627))</f>
        <v>Protección y medición</v>
      </c>
      <c r="W627" s="34" t="str">
        <f aca="false">IF(OR(S627="SIN DATO",T627="SIN DATO"),"No","Sí")</f>
        <v>Sí</v>
      </c>
    </row>
    <row r="628" customFormat="false" ht="15" hidden="false" customHeight="false" outlineLevel="0" collapsed="false">
      <c r="A628" s="34" t="s">
        <v>2455</v>
      </c>
      <c r="B628" s="34" t="s">
        <v>2456</v>
      </c>
      <c r="C628" s="34" t="s">
        <v>2457</v>
      </c>
      <c r="D628" s="34" t="s">
        <v>2445</v>
      </c>
      <c r="E628" s="34" t="s">
        <v>111</v>
      </c>
      <c r="F628" s="34" t="s">
        <v>1602</v>
      </c>
      <c r="G628" s="34" t="s">
        <v>2431</v>
      </c>
      <c r="H628" s="34" t="s">
        <v>34</v>
      </c>
      <c r="I628" s="34" t="s">
        <v>36</v>
      </c>
      <c r="J628" s="34" t="s">
        <v>228</v>
      </c>
      <c r="K628" s="34" t="s">
        <v>229</v>
      </c>
      <c r="L628" s="34" t="s">
        <v>230</v>
      </c>
      <c r="M628" s="34" t="s">
        <v>231</v>
      </c>
      <c r="N628" s="34" t="str">
        <f aca="false">"Sector "&amp;VALUE(MID(D628,13,2))</f>
        <v>Sector 1</v>
      </c>
      <c r="O628" s="34" t="str">
        <f aca="false">IF(Dashboard!$C$5="Ubicación técnica",N628,"Sector "&amp;VALUE(RIGHT(G628,2)))</f>
        <v>Sector 1</v>
      </c>
      <c r="P628" s="34" t="str">
        <f aca="false">IF(MID(D628,15,3)="SEL","Subestación eléctrica","Área de proceso")</f>
        <v>Subestación eléctrica</v>
      </c>
      <c r="Q628" s="34" t="str">
        <f aca="false">MID(D628,13,5)&amp;"|"&amp;MID(D628,19,5)</f>
        <v>01SEL|S12_1</v>
      </c>
      <c r="R628" s="34" t="str">
        <f aca="false">IF(P628="Subestación eléctrica",IFERROR(INDEX(cat_SubN,MATCH(Q628,cat_SubK,0)),"SIN CATALOGAR"),"ÁREA DE PROCESO")</f>
        <v>SE-12-1</v>
      </c>
      <c r="S628" s="34" t="str">
        <f aca="false">IF(H628="","SIN DATO",IFERROR(INDEX(cat_MarcaN,MATCH(H628,cat_MarcaO,0)),H628))</f>
        <v>ABB</v>
      </c>
      <c r="T628" s="34" t="str">
        <f aca="false">IF(I628="","SIN DATO",IFERROR(INDEX(cat_ModN,MATCH(I628,cat_ModO,0)),I628))</f>
        <v>1AFFAEAGNEC5BNA11G</v>
      </c>
      <c r="U628" s="34" t="str">
        <f aca="false">IF(I628="","",IFERROR(INDEX(cat_ModG,MATCH(I628,cat_ModO,0)),"No"))</f>
        <v>No</v>
      </c>
      <c r="V628" s="34" t="str">
        <f aca="false">IF(J628="","SIN DATO",IFERROR(INDEX(cat_FunN,MATCH(J628,cat_FunO,0)),J628))</f>
        <v>Protección y medición</v>
      </c>
      <c r="W628" s="34" t="str">
        <f aca="false">IF(OR(S628="SIN DATO",T628="SIN DATO"),"No","Sí")</f>
        <v>Sí</v>
      </c>
    </row>
    <row r="629" customFormat="false" ht="15" hidden="false" customHeight="false" outlineLevel="0" collapsed="false">
      <c r="A629" s="34" t="s">
        <v>2458</v>
      </c>
      <c r="B629" s="34" t="s">
        <v>2459</v>
      </c>
      <c r="C629" s="34" t="s">
        <v>2460</v>
      </c>
      <c r="D629" s="34" t="s">
        <v>2461</v>
      </c>
      <c r="E629" s="34" t="s">
        <v>111</v>
      </c>
      <c r="F629" s="34" t="s">
        <v>1602</v>
      </c>
      <c r="G629" s="34" t="s">
        <v>2431</v>
      </c>
      <c r="H629" s="34" t="s">
        <v>34</v>
      </c>
      <c r="I629" s="34" t="s">
        <v>36</v>
      </c>
      <c r="J629" s="34" t="s">
        <v>681</v>
      </c>
      <c r="K629" s="34" t="s">
        <v>229</v>
      </c>
      <c r="L629" s="34" t="s">
        <v>230</v>
      </c>
      <c r="M629" s="34" t="s">
        <v>682</v>
      </c>
      <c r="N629" s="34" t="str">
        <f aca="false">"Sector "&amp;VALUE(MID(D629,13,2))</f>
        <v>Sector 1</v>
      </c>
      <c r="O629" s="34" t="str">
        <f aca="false">IF(Dashboard!$C$5="Ubicación técnica",N629,"Sector "&amp;VALUE(RIGHT(G629,2)))</f>
        <v>Sector 1</v>
      </c>
      <c r="P629" s="34" t="str">
        <f aca="false">IF(MID(D629,15,3)="SEL","Subestación eléctrica","Área de proceso")</f>
        <v>Subestación eléctrica</v>
      </c>
      <c r="Q629" s="34" t="str">
        <f aca="false">MID(D629,13,5)&amp;"|"&amp;MID(D629,19,5)</f>
        <v>01SEL|S12_1</v>
      </c>
      <c r="R629" s="34" t="str">
        <f aca="false">IF(P629="Subestación eléctrica",IFERROR(INDEX(cat_SubN,MATCH(Q629,cat_SubK,0)),"SIN CATALOGAR"),"ÁREA DE PROCESO")</f>
        <v>SE-12-1</v>
      </c>
      <c r="S629" s="34" t="str">
        <f aca="false">IF(H629="","SIN DATO",IFERROR(INDEX(cat_MarcaN,MATCH(H629,cat_MarcaO,0)),H629))</f>
        <v>ABB</v>
      </c>
      <c r="T629" s="34" t="str">
        <f aca="false">IF(I629="","SIN DATO",IFERROR(INDEX(cat_ModN,MATCH(I629,cat_ModO,0)),I629))</f>
        <v>1AFFAEAGNEC5BNA11G</v>
      </c>
      <c r="U629" s="34" t="str">
        <f aca="false">IF(I629="","",IFERROR(INDEX(cat_ModG,MATCH(I629,cat_ModO,0)),"No"))</f>
        <v>No</v>
      </c>
      <c r="V629" s="34" t="str">
        <f aca="false">IF(J629="","SIN DATO",IFERROR(INDEX(cat_FunN,MATCH(J629,cat_FunO,0)),J629))</f>
        <v>Protección</v>
      </c>
      <c r="W629" s="34" t="str">
        <f aca="false">IF(OR(S629="SIN DATO",T629="SIN DATO"),"No","Sí")</f>
        <v>Sí</v>
      </c>
    </row>
    <row r="630" customFormat="false" ht="15" hidden="false" customHeight="false" outlineLevel="0" collapsed="false">
      <c r="A630" s="34" t="s">
        <v>2462</v>
      </c>
      <c r="B630" s="34" t="s">
        <v>2463</v>
      </c>
      <c r="C630" s="34" t="s">
        <v>2464</v>
      </c>
      <c r="D630" s="34" t="s">
        <v>2461</v>
      </c>
      <c r="E630" s="34" t="s">
        <v>111</v>
      </c>
      <c r="F630" s="34" t="s">
        <v>1602</v>
      </c>
      <c r="G630" s="34" t="s">
        <v>2431</v>
      </c>
      <c r="H630" s="34" t="s">
        <v>34</v>
      </c>
      <c r="I630" s="34" t="s">
        <v>36</v>
      </c>
      <c r="J630" s="34" t="s">
        <v>681</v>
      </c>
      <c r="K630" s="34" t="s">
        <v>229</v>
      </c>
      <c r="L630" s="34" t="s">
        <v>230</v>
      </c>
      <c r="M630" s="34" t="s">
        <v>682</v>
      </c>
      <c r="N630" s="34" t="str">
        <f aca="false">"Sector "&amp;VALUE(MID(D630,13,2))</f>
        <v>Sector 1</v>
      </c>
      <c r="O630" s="34" t="str">
        <f aca="false">IF(Dashboard!$C$5="Ubicación técnica",N630,"Sector "&amp;VALUE(RIGHT(G630,2)))</f>
        <v>Sector 1</v>
      </c>
      <c r="P630" s="34" t="str">
        <f aca="false">IF(MID(D630,15,3)="SEL","Subestación eléctrica","Área de proceso")</f>
        <v>Subestación eléctrica</v>
      </c>
      <c r="Q630" s="34" t="str">
        <f aca="false">MID(D630,13,5)&amp;"|"&amp;MID(D630,19,5)</f>
        <v>01SEL|S12_1</v>
      </c>
      <c r="R630" s="34" t="str">
        <f aca="false">IF(P630="Subestación eléctrica",IFERROR(INDEX(cat_SubN,MATCH(Q630,cat_SubK,0)),"SIN CATALOGAR"),"ÁREA DE PROCESO")</f>
        <v>SE-12-1</v>
      </c>
      <c r="S630" s="34" t="str">
        <f aca="false">IF(H630="","SIN DATO",IFERROR(INDEX(cat_MarcaN,MATCH(H630,cat_MarcaO,0)),H630))</f>
        <v>ABB</v>
      </c>
      <c r="T630" s="34" t="str">
        <f aca="false">IF(I630="","SIN DATO",IFERROR(INDEX(cat_ModN,MATCH(I630,cat_ModO,0)),I630))</f>
        <v>1AFFAEAGNEC5BNA11G</v>
      </c>
      <c r="U630" s="34" t="str">
        <f aca="false">IF(I630="","",IFERROR(INDEX(cat_ModG,MATCH(I630,cat_ModO,0)),"No"))</f>
        <v>No</v>
      </c>
      <c r="V630" s="34" t="str">
        <f aca="false">IF(J630="","SIN DATO",IFERROR(INDEX(cat_FunN,MATCH(J630,cat_FunO,0)),J630))</f>
        <v>Protección</v>
      </c>
      <c r="W630" s="34" t="str">
        <f aca="false">IF(OR(S630="SIN DATO",T630="SIN DATO"),"No","Sí")</f>
        <v>Sí</v>
      </c>
    </row>
    <row r="631" customFormat="false" ht="15" hidden="false" customHeight="false" outlineLevel="0" collapsed="false">
      <c r="A631" s="34" t="s">
        <v>2465</v>
      </c>
      <c r="B631" s="34" t="s">
        <v>2466</v>
      </c>
      <c r="C631" s="34" t="s">
        <v>2467</v>
      </c>
      <c r="D631" s="34" t="s">
        <v>2461</v>
      </c>
      <c r="E631" s="34" t="s">
        <v>111</v>
      </c>
      <c r="F631" s="34" t="s">
        <v>1602</v>
      </c>
      <c r="G631" s="34" t="s">
        <v>2431</v>
      </c>
      <c r="H631" s="34" t="s">
        <v>34</v>
      </c>
      <c r="I631" s="34" t="s">
        <v>46</v>
      </c>
      <c r="J631" s="34" t="s">
        <v>228</v>
      </c>
      <c r="K631" s="34" t="s">
        <v>229</v>
      </c>
      <c r="L631" s="34" t="s">
        <v>230</v>
      </c>
      <c r="M631" s="34" t="s">
        <v>231</v>
      </c>
      <c r="N631" s="34" t="str">
        <f aca="false">"Sector "&amp;VALUE(MID(D631,13,2))</f>
        <v>Sector 1</v>
      </c>
      <c r="O631" s="34" t="str">
        <f aca="false">IF(Dashboard!$C$5="Ubicación técnica",N631,"Sector "&amp;VALUE(RIGHT(G631,2)))</f>
        <v>Sector 1</v>
      </c>
      <c r="P631" s="34" t="str">
        <f aca="false">IF(MID(D631,15,3)="SEL","Subestación eléctrica","Área de proceso")</f>
        <v>Subestación eléctrica</v>
      </c>
      <c r="Q631" s="34" t="str">
        <f aca="false">MID(D631,13,5)&amp;"|"&amp;MID(D631,19,5)</f>
        <v>01SEL|S12_1</v>
      </c>
      <c r="R631" s="34" t="str">
        <f aca="false">IF(P631="Subestación eléctrica",IFERROR(INDEX(cat_SubN,MATCH(Q631,cat_SubK,0)),"SIN CATALOGAR"),"ÁREA DE PROCESO")</f>
        <v>SE-12-1</v>
      </c>
      <c r="S631" s="34" t="str">
        <f aca="false">IF(H631="","SIN DATO",IFERROR(INDEX(cat_MarcaN,MATCH(H631,cat_MarcaO,0)),H631))</f>
        <v>ABB</v>
      </c>
      <c r="T631" s="34" t="str">
        <f aca="false">IF(I631="","SIN DATO",IFERROR(INDEX(cat_ModN,MATCH(I631,cat_ModO,0)),I631))</f>
        <v>1ATBBABBNEC5BNN11G</v>
      </c>
      <c r="U631" s="34" t="str">
        <f aca="false">IF(I631="","",IFERROR(INDEX(cat_ModG,MATCH(I631,cat_ModO,0)),"No"))</f>
        <v>No</v>
      </c>
      <c r="V631" s="34" t="str">
        <f aca="false">IF(J631="","SIN DATO",IFERROR(INDEX(cat_FunN,MATCH(J631,cat_FunO,0)),J631))</f>
        <v>Protección y medición</v>
      </c>
      <c r="W631" s="34" t="str">
        <f aca="false">IF(OR(S631="SIN DATO",T631="SIN DATO"),"No","Sí")</f>
        <v>Sí</v>
      </c>
    </row>
    <row r="632" customFormat="false" ht="15" hidden="false" customHeight="false" outlineLevel="0" collapsed="false">
      <c r="A632" s="34" t="s">
        <v>2468</v>
      </c>
      <c r="B632" s="34" t="s">
        <v>2469</v>
      </c>
      <c r="C632" s="34" t="s">
        <v>2470</v>
      </c>
      <c r="D632" s="34" t="s">
        <v>2461</v>
      </c>
      <c r="E632" s="34" t="s">
        <v>111</v>
      </c>
      <c r="F632" s="34" t="s">
        <v>1602</v>
      </c>
      <c r="G632" s="34" t="s">
        <v>2431</v>
      </c>
      <c r="H632" s="34" t="s">
        <v>34</v>
      </c>
      <c r="I632" s="34" t="s">
        <v>36</v>
      </c>
      <c r="J632" s="34" t="s">
        <v>681</v>
      </c>
      <c r="K632" s="34" t="s">
        <v>229</v>
      </c>
      <c r="L632" s="34" t="s">
        <v>230</v>
      </c>
      <c r="M632" s="34" t="s">
        <v>231</v>
      </c>
      <c r="N632" s="34" t="str">
        <f aca="false">"Sector "&amp;VALUE(MID(D632,13,2))</f>
        <v>Sector 1</v>
      </c>
      <c r="O632" s="34" t="str">
        <f aca="false">IF(Dashboard!$C$5="Ubicación técnica",N632,"Sector "&amp;VALUE(RIGHT(G632,2)))</f>
        <v>Sector 1</v>
      </c>
      <c r="P632" s="34" t="str">
        <f aca="false">IF(MID(D632,15,3)="SEL","Subestación eléctrica","Área de proceso")</f>
        <v>Subestación eléctrica</v>
      </c>
      <c r="Q632" s="34" t="str">
        <f aca="false">MID(D632,13,5)&amp;"|"&amp;MID(D632,19,5)</f>
        <v>01SEL|S12_1</v>
      </c>
      <c r="R632" s="34" t="str">
        <f aca="false">IF(P632="Subestación eléctrica",IFERROR(INDEX(cat_SubN,MATCH(Q632,cat_SubK,0)),"SIN CATALOGAR"),"ÁREA DE PROCESO")</f>
        <v>SE-12-1</v>
      </c>
      <c r="S632" s="34" t="str">
        <f aca="false">IF(H632="","SIN DATO",IFERROR(INDEX(cat_MarcaN,MATCH(H632,cat_MarcaO,0)),H632))</f>
        <v>ABB</v>
      </c>
      <c r="T632" s="34" t="str">
        <f aca="false">IF(I632="","SIN DATO",IFERROR(INDEX(cat_ModN,MATCH(I632,cat_ModO,0)),I632))</f>
        <v>1AFFAEAGNEC5BNA11G</v>
      </c>
      <c r="U632" s="34" t="str">
        <f aca="false">IF(I632="","",IFERROR(INDEX(cat_ModG,MATCH(I632,cat_ModO,0)),"No"))</f>
        <v>No</v>
      </c>
      <c r="V632" s="34" t="str">
        <f aca="false">IF(J632="","SIN DATO",IFERROR(INDEX(cat_FunN,MATCH(J632,cat_FunO,0)),J632))</f>
        <v>Protección</v>
      </c>
      <c r="W632" s="34" t="str">
        <f aca="false">IF(OR(S632="SIN DATO",T632="SIN DATO"),"No","Sí")</f>
        <v>Sí</v>
      </c>
    </row>
    <row r="633" customFormat="false" ht="15" hidden="false" customHeight="false" outlineLevel="0" collapsed="false">
      <c r="A633" s="34" t="s">
        <v>2471</v>
      </c>
      <c r="B633" s="34" t="s">
        <v>2472</v>
      </c>
      <c r="C633" s="34" t="s">
        <v>2473</v>
      </c>
      <c r="D633" s="34" t="s">
        <v>2461</v>
      </c>
      <c r="E633" s="34" t="s">
        <v>111</v>
      </c>
      <c r="F633" s="34" t="s">
        <v>1602</v>
      </c>
      <c r="G633" s="34" t="s">
        <v>2431</v>
      </c>
      <c r="H633" s="34" t="s">
        <v>34</v>
      </c>
      <c r="I633" s="34" t="s">
        <v>36</v>
      </c>
      <c r="J633" s="34" t="s">
        <v>681</v>
      </c>
      <c r="K633" s="34" t="s">
        <v>229</v>
      </c>
      <c r="L633" s="34" t="s">
        <v>230</v>
      </c>
      <c r="M633" s="34" t="s">
        <v>231</v>
      </c>
      <c r="N633" s="34" t="str">
        <f aca="false">"Sector "&amp;VALUE(MID(D633,13,2))</f>
        <v>Sector 1</v>
      </c>
      <c r="O633" s="34" t="str">
        <f aca="false">IF(Dashboard!$C$5="Ubicación técnica",N633,"Sector "&amp;VALUE(RIGHT(G633,2)))</f>
        <v>Sector 1</v>
      </c>
      <c r="P633" s="34" t="str">
        <f aca="false">IF(MID(D633,15,3)="SEL","Subestación eléctrica","Área de proceso")</f>
        <v>Subestación eléctrica</v>
      </c>
      <c r="Q633" s="34" t="str">
        <f aca="false">MID(D633,13,5)&amp;"|"&amp;MID(D633,19,5)</f>
        <v>01SEL|S12_1</v>
      </c>
      <c r="R633" s="34" t="str">
        <f aca="false">IF(P633="Subestación eléctrica",IFERROR(INDEX(cat_SubN,MATCH(Q633,cat_SubK,0)),"SIN CATALOGAR"),"ÁREA DE PROCESO")</f>
        <v>SE-12-1</v>
      </c>
      <c r="S633" s="34" t="str">
        <f aca="false">IF(H633="","SIN DATO",IFERROR(INDEX(cat_MarcaN,MATCH(H633,cat_MarcaO,0)),H633))</f>
        <v>ABB</v>
      </c>
      <c r="T633" s="34" t="str">
        <f aca="false">IF(I633="","SIN DATO",IFERROR(INDEX(cat_ModN,MATCH(I633,cat_ModO,0)),I633))</f>
        <v>1AFFAEAGNEC5BNA11G</v>
      </c>
      <c r="U633" s="34" t="str">
        <f aca="false">IF(I633="","",IFERROR(INDEX(cat_ModG,MATCH(I633,cat_ModO,0)),"No"))</f>
        <v>No</v>
      </c>
      <c r="V633" s="34" t="str">
        <f aca="false">IF(J633="","SIN DATO",IFERROR(INDEX(cat_FunN,MATCH(J633,cat_FunO,0)),J633))</f>
        <v>Protección</v>
      </c>
      <c r="W633" s="34" t="str">
        <f aca="false">IF(OR(S633="SIN DATO",T633="SIN DATO"),"No","Sí")</f>
        <v>Sí</v>
      </c>
    </row>
    <row r="634" customFormat="false" ht="15" hidden="false" customHeight="false" outlineLevel="0" collapsed="false">
      <c r="A634" s="34" t="s">
        <v>2474</v>
      </c>
      <c r="B634" s="34" t="s">
        <v>2475</v>
      </c>
      <c r="C634" s="34" t="s">
        <v>2476</v>
      </c>
      <c r="D634" s="34" t="s">
        <v>2477</v>
      </c>
      <c r="E634" s="34" t="s">
        <v>111</v>
      </c>
      <c r="F634" s="34" t="s">
        <v>1602</v>
      </c>
      <c r="G634" s="34" t="s">
        <v>2431</v>
      </c>
      <c r="H634" s="34" t="s">
        <v>34</v>
      </c>
      <c r="I634" s="34" t="s">
        <v>42</v>
      </c>
      <c r="J634" s="34" t="s">
        <v>681</v>
      </c>
      <c r="K634" s="34" t="s">
        <v>229</v>
      </c>
      <c r="L634" s="34" t="s">
        <v>230</v>
      </c>
      <c r="M634" s="34" t="s">
        <v>231</v>
      </c>
      <c r="N634" s="34" t="str">
        <f aca="false">"Sector "&amp;VALUE(MID(D634,13,2))</f>
        <v>Sector 1</v>
      </c>
      <c r="O634" s="34" t="str">
        <f aca="false">IF(Dashboard!$C$5="Ubicación técnica",N634,"Sector "&amp;VALUE(RIGHT(G634,2)))</f>
        <v>Sector 1</v>
      </c>
      <c r="P634" s="34" t="str">
        <f aca="false">IF(MID(D634,15,3)="SEL","Subestación eléctrica","Área de proceso")</f>
        <v>Subestación eléctrica</v>
      </c>
      <c r="Q634" s="34" t="str">
        <f aca="false">MID(D634,13,5)&amp;"|"&amp;MID(D634,19,5)</f>
        <v>01SEL|S12_1</v>
      </c>
      <c r="R634" s="34" t="str">
        <f aca="false">IF(P634="Subestación eléctrica",IFERROR(INDEX(cat_SubN,MATCH(Q634,cat_SubK,0)),"SIN CATALOGAR"),"ÁREA DE PROCESO")</f>
        <v>SE-12-1</v>
      </c>
      <c r="S634" s="34" t="str">
        <f aca="false">IF(H634="","SIN DATO",IFERROR(INDEX(cat_MarcaN,MATCH(H634,cat_MarcaO,0)),H634))</f>
        <v>ABB</v>
      </c>
      <c r="T634" s="34" t="str">
        <f aca="false">IF(I634="","SIN DATO",IFERROR(INDEX(cat_ModN,MATCH(I634,cat_ModO,0)),I634))</f>
        <v>1AFPAKAKNGC5BNN11G</v>
      </c>
      <c r="U634" s="34" t="str">
        <f aca="false">IF(I634="","",IFERROR(INDEX(cat_ModG,MATCH(I634,cat_ModO,0)),"No"))</f>
        <v>No</v>
      </c>
      <c r="V634" s="34" t="str">
        <f aca="false">IF(J634="","SIN DATO",IFERROR(INDEX(cat_FunN,MATCH(J634,cat_FunO,0)),J634))</f>
        <v>Protección</v>
      </c>
      <c r="W634" s="34" t="str">
        <f aca="false">IF(OR(S634="SIN DATO",T634="SIN DATO"),"No","Sí")</f>
        <v>Sí</v>
      </c>
    </row>
    <row r="635" customFormat="false" ht="15" hidden="false" customHeight="false" outlineLevel="0" collapsed="false">
      <c r="A635" s="34" t="s">
        <v>2478</v>
      </c>
      <c r="B635" s="34" t="s">
        <v>2479</v>
      </c>
      <c r="C635" s="34" t="s">
        <v>2480</v>
      </c>
      <c r="D635" s="34" t="s">
        <v>2481</v>
      </c>
      <c r="E635" s="34" t="s">
        <v>111</v>
      </c>
      <c r="F635" s="34" t="s">
        <v>1602</v>
      </c>
      <c r="G635" s="34" t="s">
        <v>2431</v>
      </c>
      <c r="H635" s="34" t="s">
        <v>34</v>
      </c>
      <c r="I635" s="34" t="s">
        <v>42</v>
      </c>
      <c r="J635" s="34" t="s">
        <v>681</v>
      </c>
      <c r="K635" s="34" t="s">
        <v>229</v>
      </c>
      <c r="L635" s="34" t="s">
        <v>230</v>
      </c>
      <c r="M635" s="34" t="s">
        <v>231</v>
      </c>
      <c r="N635" s="34" t="str">
        <f aca="false">"Sector "&amp;VALUE(MID(D635,13,2))</f>
        <v>Sector 1</v>
      </c>
      <c r="O635" s="34" t="str">
        <f aca="false">IF(Dashboard!$C$5="Ubicación técnica",N635,"Sector "&amp;VALUE(RIGHT(G635,2)))</f>
        <v>Sector 1</v>
      </c>
      <c r="P635" s="34" t="str">
        <f aca="false">IF(MID(D635,15,3)="SEL","Subestación eléctrica","Área de proceso")</f>
        <v>Subestación eléctrica</v>
      </c>
      <c r="Q635" s="34" t="str">
        <f aca="false">MID(D635,13,5)&amp;"|"&amp;MID(D635,19,5)</f>
        <v>01SEL|S12_1</v>
      </c>
      <c r="R635" s="34" t="str">
        <f aca="false">IF(P635="Subestación eléctrica",IFERROR(INDEX(cat_SubN,MATCH(Q635,cat_SubK,0)),"SIN CATALOGAR"),"ÁREA DE PROCESO")</f>
        <v>SE-12-1</v>
      </c>
      <c r="S635" s="34" t="str">
        <f aca="false">IF(H635="","SIN DATO",IFERROR(INDEX(cat_MarcaN,MATCH(H635,cat_MarcaO,0)),H635))</f>
        <v>ABB</v>
      </c>
      <c r="T635" s="34" t="str">
        <f aca="false">IF(I635="","SIN DATO",IFERROR(INDEX(cat_ModN,MATCH(I635,cat_ModO,0)),I635))</f>
        <v>1AFPAKAKNGC5BNN11G</v>
      </c>
      <c r="U635" s="34" t="str">
        <f aca="false">IF(I635="","",IFERROR(INDEX(cat_ModG,MATCH(I635,cat_ModO,0)),"No"))</f>
        <v>No</v>
      </c>
      <c r="V635" s="34" t="str">
        <f aca="false">IF(J635="","SIN DATO",IFERROR(INDEX(cat_FunN,MATCH(J635,cat_FunO,0)),J635))</f>
        <v>Protección</v>
      </c>
      <c r="W635" s="34" t="str">
        <f aca="false">IF(OR(S635="SIN DATO",T635="SIN DATO"),"No","Sí")</f>
        <v>Sí</v>
      </c>
    </row>
    <row r="636" customFormat="false" ht="15" hidden="false" customHeight="false" outlineLevel="0" collapsed="false">
      <c r="A636" s="34" t="s">
        <v>2482</v>
      </c>
      <c r="B636" s="34" t="s">
        <v>2483</v>
      </c>
      <c r="C636" s="34" t="s">
        <v>2484</v>
      </c>
      <c r="D636" s="34" t="s">
        <v>2477</v>
      </c>
      <c r="E636" s="34" t="s">
        <v>111</v>
      </c>
      <c r="F636" s="34" t="s">
        <v>1602</v>
      </c>
      <c r="G636" s="34" t="s">
        <v>2431</v>
      </c>
      <c r="H636" s="34" t="s">
        <v>34</v>
      </c>
      <c r="I636" s="34" t="s">
        <v>42</v>
      </c>
      <c r="J636" s="34" t="s">
        <v>681</v>
      </c>
      <c r="K636" s="34" t="s">
        <v>229</v>
      </c>
      <c r="L636" s="34" t="s">
        <v>230</v>
      </c>
      <c r="M636" s="34" t="s">
        <v>231</v>
      </c>
      <c r="N636" s="34" t="str">
        <f aca="false">"Sector "&amp;VALUE(MID(D636,13,2))</f>
        <v>Sector 1</v>
      </c>
      <c r="O636" s="34" t="str">
        <f aca="false">IF(Dashboard!$C$5="Ubicación técnica",N636,"Sector "&amp;VALUE(RIGHT(G636,2)))</f>
        <v>Sector 1</v>
      </c>
      <c r="P636" s="34" t="str">
        <f aca="false">IF(MID(D636,15,3)="SEL","Subestación eléctrica","Área de proceso")</f>
        <v>Subestación eléctrica</v>
      </c>
      <c r="Q636" s="34" t="str">
        <f aca="false">MID(D636,13,5)&amp;"|"&amp;MID(D636,19,5)</f>
        <v>01SEL|S12_1</v>
      </c>
      <c r="R636" s="34" t="str">
        <f aca="false">IF(P636="Subestación eléctrica",IFERROR(INDEX(cat_SubN,MATCH(Q636,cat_SubK,0)),"SIN CATALOGAR"),"ÁREA DE PROCESO")</f>
        <v>SE-12-1</v>
      </c>
      <c r="S636" s="34" t="str">
        <f aca="false">IF(H636="","SIN DATO",IFERROR(INDEX(cat_MarcaN,MATCH(H636,cat_MarcaO,0)),H636))</f>
        <v>ABB</v>
      </c>
      <c r="T636" s="34" t="str">
        <f aca="false">IF(I636="","SIN DATO",IFERROR(INDEX(cat_ModN,MATCH(I636,cat_ModO,0)),I636))</f>
        <v>1AFPAKAKNGC5BNN11G</v>
      </c>
      <c r="U636" s="34" t="str">
        <f aca="false">IF(I636="","",IFERROR(INDEX(cat_ModG,MATCH(I636,cat_ModO,0)),"No"))</f>
        <v>No</v>
      </c>
      <c r="V636" s="34" t="str">
        <f aca="false">IF(J636="","SIN DATO",IFERROR(INDEX(cat_FunN,MATCH(J636,cat_FunO,0)),J636))</f>
        <v>Protección</v>
      </c>
      <c r="W636" s="34" t="str">
        <f aca="false">IF(OR(S636="SIN DATO",T636="SIN DATO"),"No","Sí")</f>
        <v>Sí</v>
      </c>
    </row>
    <row r="637" customFormat="false" ht="15" hidden="false" customHeight="false" outlineLevel="0" collapsed="false">
      <c r="A637" s="34" t="s">
        <v>2485</v>
      </c>
      <c r="B637" s="34" t="s">
        <v>2486</v>
      </c>
      <c r="C637" s="34" t="s">
        <v>2487</v>
      </c>
      <c r="D637" s="34" t="s">
        <v>2488</v>
      </c>
      <c r="E637" s="34" t="s">
        <v>111</v>
      </c>
      <c r="F637" s="34" t="s">
        <v>1602</v>
      </c>
      <c r="G637" s="34" t="s">
        <v>2431</v>
      </c>
      <c r="H637" s="34" t="s">
        <v>34</v>
      </c>
      <c r="I637" s="34" t="s">
        <v>42</v>
      </c>
      <c r="J637" s="34" t="s">
        <v>681</v>
      </c>
      <c r="K637" s="34" t="s">
        <v>229</v>
      </c>
      <c r="L637" s="34" t="s">
        <v>230</v>
      </c>
      <c r="M637" s="34" t="s">
        <v>231</v>
      </c>
      <c r="N637" s="34" t="str">
        <f aca="false">"Sector "&amp;VALUE(MID(D637,13,2))</f>
        <v>Sector 1</v>
      </c>
      <c r="O637" s="34" t="str">
        <f aca="false">IF(Dashboard!$C$5="Ubicación técnica",N637,"Sector "&amp;VALUE(RIGHT(G637,2)))</f>
        <v>Sector 1</v>
      </c>
      <c r="P637" s="34" t="str">
        <f aca="false">IF(MID(D637,15,3)="SEL","Subestación eléctrica","Área de proceso")</f>
        <v>Subestación eléctrica</v>
      </c>
      <c r="Q637" s="34" t="str">
        <f aca="false">MID(D637,13,5)&amp;"|"&amp;MID(D637,19,5)</f>
        <v>01SEL|S12_1</v>
      </c>
      <c r="R637" s="34" t="str">
        <f aca="false">IF(P637="Subestación eléctrica",IFERROR(INDEX(cat_SubN,MATCH(Q637,cat_SubK,0)),"SIN CATALOGAR"),"ÁREA DE PROCESO")</f>
        <v>SE-12-1</v>
      </c>
      <c r="S637" s="34" t="str">
        <f aca="false">IF(H637="","SIN DATO",IFERROR(INDEX(cat_MarcaN,MATCH(H637,cat_MarcaO,0)),H637))</f>
        <v>ABB</v>
      </c>
      <c r="T637" s="34" t="str">
        <f aca="false">IF(I637="","SIN DATO",IFERROR(INDEX(cat_ModN,MATCH(I637,cat_ModO,0)),I637))</f>
        <v>1AFPAKAKNGC5BNN11G</v>
      </c>
      <c r="U637" s="34" t="str">
        <f aca="false">IF(I637="","",IFERROR(INDEX(cat_ModG,MATCH(I637,cat_ModO,0)),"No"))</f>
        <v>No</v>
      </c>
      <c r="V637" s="34" t="str">
        <f aca="false">IF(J637="","SIN DATO",IFERROR(INDEX(cat_FunN,MATCH(J637,cat_FunO,0)),J637))</f>
        <v>Protección</v>
      </c>
      <c r="W637" s="34" t="str">
        <f aca="false">IF(OR(S637="SIN DATO",T637="SIN DATO"),"No","Sí")</f>
        <v>Sí</v>
      </c>
    </row>
    <row r="638" customFormat="false" ht="15" hidden="false" customHeight="false" outlineLevel="0" collapsed="false">
      <c r="A638" s="34" t="s">
        <v>2489</v>
      </c>
      <c r="B638" s="34" t="s">
        <v>2490</v>
      </c>
      <c r="C638" s="34" t="s">
        <v>2491</v>
      </c>
      <c r="D638" s="34" t="s">
        <v>2492</v>
      </c>
      <c r="E638" s="34" t="s">
        <v>111</v>
      </c>
      <c r="F638" s="34" t="s">
        <v>1602</v>
      </c>
      <c r="G638" s="34" t="s">
        <v>2431</v>
      </c>
      <c r="H638" s="34" t="s">
        <v>34</v>
      </c>
      <c r="I638" s="34" t="s">
        <v>42</v>
      </c>
      <c r="J638" s="34" t="s">
        <v>681</v>
      </c>
      <c r="K638" s="34" t="s">
        <v>229</v>
      </c>
      <c r="L638" s="34" t="s">
        <v>230</v>
      </c>
      <c r="M638" s="34" t="s">
        <v>231</v>
      </c>
      <c r="N638" s="34" t="str">
        <f aca="false">"Sector "&amp;VALUE(MID(D638,13,2))</f>
        <v>Sector 1</v>
      </c>
      <c r="O638" s="34" t="str">
        <f aca="false">IF(Dashboard!$C$5="Ubicación técnica",N638,"Sector "&amp;VALUE(RIGHT(G638,2)))</f>
        <v>Sector 1</v>
      </c>
      <c r="P638" s="34" t="str">
        <f aca="false">IF(MID(D638,15,3)="SEL","Subestación eléctrica","Área de proceso")</f>
        <v>Subestación eléctrica</v>
      </c>
      <c r="Q638" s="34" t="str">
        <f aca="false">MID(D638,13,5)&amp;"|"&amp;MID(D638,19,5)</f>
        <v>01SEL|S12_1</v>
      </c>
      <c r="R638" s="34" t="str">
        <f aca="false">IF(P638="Subestación eléctrica",IFERROR(INDEX(cat_SubN,MATCH(Q638,cat_SubK,0)),"SIN CATALOGAR"),"ÁREA DE PROCESO")</f>
        <v>SE-12-1</v>
      </c>
      <c r="S638" s="34" t="str">
        <f aca="false">IF(H638="","SIN DATO",IFERROR(INDEX(cat_MarcaN,MATCH(H638,cat_MarcaO,0)),H638))</f>
        <v>ABB</v>
      </c>
      <c r="T638" s="34" t="str">
        <f aca="false">IF(I638="","SIN DATO",IFERROR(INDEX(cat_ModN,MATCH(I638,cat_ModO,0)),I638))</f>
        <v>1AFPAKAKNGC5BNN11G</v>
      </c>
      <c r="U638" s="34" t="str">
        <f aca="false">IF(I638="","",IFERROR(INDEX(cat_ModG,MATCH(I638,cat_ModO,0)),"No"))</f>
        <v>No</v>
      </c>
      <c r="V638" s="34" t="str">
        <f aca="false">IF(J638="","SIN DATO",IFERROR(INDEX(cat_FunN,MATCH(J638,cat_FunO,0)),J638))</f>
        <v>Protección</v>
      </c>
      <c r="W638" s="34" t="str">
        <f aca="false">IF(OR(S638="SIN DATO",T638="SIN DATO"),"No","Sí")</f>
        <v>Sí</v>
      </c>
    </row>
    <row r="639" customFormat="false" ht="15" hidden="false" customHeight="false" outlineLevel="0" collapsed="false">
      <c r="A639" s="34" t="s">
        <v>2493</v>
      </c>
      <c r="B639" s="34" t="s">
        <v>2494</v>
      </c>
      <c r="C639" s="34" t="s">
        <v>2495</v>
      </c>
      <c r="D639" s="34" t="s">
        <v>2488</v>
      </c>
      <c r="E639" s="34" t="s">
        <v>111</v>
      </c>
      <c r="F639" s="34" t="s">
        <v>1602</v>
      </c>
      <c r="G639" s="34" t="s">
        <v>2431</v>
      </c>
      <c r="H639" s="34" t="s">
        <v>34</v>
      </c>
      <c r="I639" s="34" t="s">
        <v>42</v>
      </c>
      <c r="J639" s="34" t="s">
        <v>681</v>
      </c>
      <c r="K639" s="34" t="s">
        <v>229</v>
      </c>
      <c r="L639" s="34" t="s">
        <v>230</v>
      </c>
      <c r="M639" s="34" t="s">
        <v>231</v>
      </c>
      <c r="N639" s="34" t="str">
        <f aca="false">"Sector "&amp;VALUE(MID(D639,13,2))</f>
        <v>Sector 1</v>
      </c>
      <c r="O639" s="34" t="str">
        <f aca="false">IF(Dashboard!$C$5="Ubicación técnica",N639,"Sector "&amp;VALUE(RIGHT(G639,2)))</f>
        <v>Sector 1</v>
      </c>
      <c r="P639" s="34" t="str">
        <f aca="false">IF(MID(D639,15,3)="SEL","Subestación eléctrica","Área de proceso")</f>
        <v>Subestación eléctrica</v>
      </c>
      <c r="Q639" s="34" t="str">
        <f aca="false">MID(D639,13,5)&amp;"|"&amp;MID(D639,19,5)</f>
        <v>01SEL|S12_1</v>
      </c>
      <c r="R639" s="34" t="str">
        <f aca="false">IF(P639="Subestación eléctrica",IFERROR(INDEX(cat_SubN,MATCH(Q639,cat_SubK,0)),"SIN CATALOGAR"),"ÁREA DE PROCESO")</f>
        <v>SE-12-1</v>
      </c>
      <c r="S639" s="34" t="str">
        <f aca="false">IF(H639="","SIN DATO",IFERROR(INDEX(cat_MarcaN,MATCH(H639,cat_MarcaO,0)),H639))</f>
        <v>ABB</v>
      </c>
      <c r="T639" s="34" t="str">
        <f aca="false">IF(I639="","SIN DATO",IFERROR(INDEX(cat_ModN,MATCH(I639,cat_ModO,0)),I639))</f>
        <v>1AFPAKAKNGC5BNN11G</v>
      </c>
      <c r="U639" s="34" t="str">
        <f aca="false">IF(I639="","",IFERROR(INDEX(cat_ModG,MATCH(I639,cat_ModO,0)),"No"))</f>
        <v>No</v>
      </c>
      <c r="V639" s="34" t="str">
        <f aca="false">IF(J639="","SIN DATO",IFERROR(INDEX(cat_FunN,MATCH(J639,cat_FunO,0)),J639))</f>
        <v>Protección</v>
      </c>
      <c r="W639" s="34" t="str">
        <f aca="false">IF(OR(S639="SIN DATO",T639="SIN DATO"),"No","Sí")</f>
        <v>Sí</v>
      </c>
    </row>
    <row r="640" customFormat="false" ht="15" hidden="false" customHeight="false" outlineLevel="0" collapsed="false">
      <c r="A640" s="34" t="s">
        <v>2496</v>
      </c>
      <c r="B640" s="34" t="s">
        <v>2497</v>
      </c>
      <c r="C640" s="34" t="s">
        <v>2498</v>
      </c>
      <c r="D640" s="34" t="s">
        <v>2499</v>
      </c>
      <c r="E640" s="34" t="s">
        <v>111</v>
      </c>
      <c r="F640" s="34" t="s">
        <v>1602</v>
      </c>
      <c r="G640" s="34" t="s">
        <v>2431</v>
      </c>
      <c r="H640" s="34" t="s">
        <v>34</v>
      </c>
      <c r="I640" s="34" t="s">
        <v>42</v>
      </c>
      <c r="J640" s="34" t="s">
        <v>681</v>
      </c>
      <c r="K640" s="34" t="s">
        <v>229</v>
      </c>
      <c r="L640" s="34" t="s">
        <v>230</v>
      </c>
      <c r="M640" s="34" t="s">
        <v>231</v>
      </c>
      <c r="N640" s="34" t="str">
        <f aca="false">"Sector "&amp;VALUE(MID(D640,13,2))</f>
        <v>Sector 1</v>
      </c>
      <c r="O640" s="34" t="str">
        <f aca="false">IF(Dashboard!$C$5="Ubicación técnica",N640,"Sector "&amp;VALUE(RIGHT(G640,2)))</f>
        <v>Sector 1</v>
      </c>
      <c r="P640" s="34" t="str">
        <f aca="false">IF(MID(D640,15,3)="SEL","Subestación eléctrica","Área de proceso")</f>
        <v>Subestación eléctrica</v>
      </c>
      <c r="Q640" s="34" t="str">
        <f aca="false">MID(D640,13,5)&amp;"|"&amp;MID(D640,19,5)</f>
        <v>01SEL|S12_1</v>
      </c>
      <c r="R640" s="34" t="str">
        <f aca="false">IF(P640="Subestación eléctrica",IFERROR(INDEX(cat_SubN,MATCH(Q640,cat_SubK,0)),"SIN CATALOGAR"),"ÁREA DE PROCESO")</f>
        <v>SE-12-1</v>
      </c>
      <c r="S640" s="34" t="str">
        <f aca="false">IF(H640="","SIN DATO",IFERROR(INDEX(cat_MarcaN,MATCH(H640,cat_MarcaO,0)),H640))</f>
        <v>ABB</v>
      </c>
      <c r="T640" s="34" t="str">
        <f aca="false">IF(I640="","SIN DATO",IFERROR(INDEX(cat_ModN,MATCH(I640,cat_ModO,0)),I640))</f>
        <v>1AFPAKAKNGC5BNN11G</v>
      </c>
      <c r="U640" s="34" t="str">
        <f aca="false">IF(I640="","",IFERROR(INDEX(cat_ModG,MATCH(I640,cat_ModO,0)),"No"))</f>
        <v>No</v>
      </c>
      <c r="V640" s="34" t="str">
        <f aca="false">IF(J640="","SIN DATO",IFERROR(INDEX(cat_FunN,MATCH(J640,cat_FunO,0)),J640))</f>
        <v>Protección</v>
      </c>
      <c r="W640" s="34" t="str">
        <f aca="false">IF(OR(S640="SIN DATO",T640="SIN DATO"),"No","Sí")</f>
        <v>Sí</v>
      </c>
    </row>
    <row r="641" customFormat="false" ht="15" hidden="false" customHeight="false" outlineLevel="0" collapsed="false">
      <c r="A641" s="34" t="s">
        <v>2500</v>
      </c>
      <c r="B641" s="34" t="s">
        <v>2501</v>
      </c>
      <c r="C641" s="34" t="s">
        <v>2502</v>
      </c>
      <c r="D641" s="34" t="s">
        <v>2503</v>
      </c>
      <c r="E641" s="34" t="s">
        <v>111</v>
      </c>
      <c r="F641" s="34" t="s">
        <v>1602</v>
      </c>
      <c r="G641" s="34" t="s">
        <v>2431</v>
      </c>
      <c r="H641" s="34" t="s">
        <v>34</v>
      </c>
      <c r="I641" s="34" t="s">
        <v>42</v>
      </c>
      <c r="J641" s="34" t="s">
        <v>681</v>
      </c>
      <c r="K641" s="34" t="s">
        <v>229</v>
      </c>
      <c r="L641" s="34" t="s">
        <v>230</v>
      </c>
      <c r="M641" s="34" t="s">
        <v>231</v>
      </c>
      <c r="N641" s="34" t="str">
        <f aca="false">"Sector "&amp;VALUE(MID(D641,13,2))</f>
        <v>Sector 1</v>
      </c>
      <c r="O641" s="34" t="str">
        <f aca="false">IF(Dashboard!$C$5="Ubicación técnica",N641,"Sector "&amp;VALUE(RIGHT(G641,2)))</f>
        <v>Sector 1</v>
      </c>
      <c r="P641" s="34" t="str">
        <f aca="false">IF(MID(D641,15,3)="SEL","Subestación eléctrica","Área de proceso")</f>
        <v>Subestación eléctrica</v>
      </c>
      <c r="Q641" s="34" t="str">
        <f aca="false">MID(D641,13,5)&amp;"|"&amp;MID(D641,19,5)</f>
        <v>01SEL|S12_1</v>
      </c>
      <c r="R641" s="34" t="str">
        <f aca="false">IF(P641="Subestación eléctrica",IFERROR(INDEX(cat_SubN,MATCH(Q641,cat_SubK,0)),"SIN CATALOGAR"),"ÁREA DE PROCESO")</f>
        <v>SE-12-1</v>
      </c>
      <c r="S641" s="34" t="str">
        <f aca="false">IF(H641="","SIN DATO",IFERROR(INDEX(cat_MarcaN,MATCH(H641,cat_MarcaO,0)),H641))</f>
        <v>ABB</v>
      </c>
      <c r="T641" s="34" t="str">
        <f aca="false">IF(I641="","SIN DATO",IFERROR(INDEX(cat_ModN,MATCH(I641,cat_ModO,0)),I641))</f>
        <v>1AFPAKAKNGC5BNN11G</v>
      </c>
      <c r="U641" s="34" t="str">
        <f aca="false">IF(I641="","",IFERROR(INDEX(cat_ModG,MATCH(I641,cat_ModO,0)),"No"))</f>
        <v>No</v>
      </c>
      <c r="V641" s="34" t="str">
        <f aca="false">IF(J641="","SIN DATO",IFERROR(INDEX(cat_FunN,MATCH(J641,cat_FunO,0)),J641))</f>
        <v>Protección</v>
      </c>
      <c r="W641" s="34" t="str">
        <f aca="false">IF(OR(S641="SIN DATO",T641="SIN DATO"),"No","Sí")</f>
        <v>Sí</v>
      </c>
    </row>
    <row r="642" customFormat="false" ht="15" hidden="false" customHeight="false" outlineLevel="0" collapsed="false">
      <c r="A642" s="34" t="s">
        <v>2504</v>
      </c>
      <c r="B642" s="34" t="s">
        <v>2505</v>
      </c>
      <c r="C642" s="34" t="s">
        <v>2506</v>
      </c>
      <c r="D642" s="34" t="s">
        <v>2499</v>
      </c>
      <c r="E642" s="34" t="s">
        <v>111</v>
      </c>
      <c r="F642" s="34" t="s">
        <v>1602</v>
      </c>
      <c r="G642" s="34" t="s">
        <v>2431</v>
      </c>
      <c r="H642" s="34" t="s">
        <v>34</v>
      </c>
      <c r="I642" s="34" t="s">
        <v>42</v>
      </c>
      <c r="J642" s="34" t="s">
        <v>681</v>
      </c>
      <c r="K642" s="34" t="s">
        <v>229</v>
      </c>
      <c r="L642" s="34" t="s">
        <v>230</v>
      </c>
      <c r="M642" s="34" t="s">
        <v>231</v>
      </c>
      <c r="N642" s="34" t="str">
        <f aca="false">"Sector "&amp;VALUE(MID(D642,13,2))</f>
        <v>Sector 1</v>
      </c>
      <c r="O642" s="34" t="str">
        <f aca="false">IF(Dashboard!$C$5="Ubicación técnica",N642,"Sector "&amp;VALUE(RIGHT(G642,2)))</f>
        <v>Sector 1</v>
      </c>
      <c r="P642" s="34" t="str">
        <f aca="false">IF(MID(D642,15,3)="SEL","Subestación eléctrica","Área de proceso")</f>
        <v>Subestación eléctrica</v>
      </c>
      <c r="Q642" s="34" t="str">
        <f aca="false">MID(D642,13,5)&amp;"|"&amp;MID(D642,19,5)</f>
        <v>01SEL|S12_1</v>
      </c>
      <c r="R642" s="34" t="str">
        <f aca="false">IF(P642="Subestación eléctrica",IFERROR(INDEX(cat_SubN,MATCH(Q642,cat_SubK,0)),"SIN CATALOGAR"),"ÁREA DE PROCESO")</f>
        <v>SE-12-1</v>
      </c>
      <c r="S642" s="34" t="str">
        <f aca="false">IF(H642="","SIN DATO",IFERROR(INDEX(cat_MarcaN,MATCH(H642,cat_MarcaO,0)),H642))</f>
        <v>ABB</v>
      </c>
      <c r="T642" s="34" t="str">
        <f aca="false">IF(I642="","SIN DATO",IFERROR(INDEX(cat_ModN,MATCH(I642,cat_ModO,0)),I642))</f>
        <v>1AFPAKAKNGC5BNN11G</v>
      </c>
      <c r="U642" s="34" t="str">
        <f aca="false">IF(I642="","",IFERROR(INDEX(cat_ModG,MATCH(I642,cat_ModO,0)),"No"))</f>
        <v>No</v>
      </c>
      <c r="V642" s="34" t="str">
        <f aca="false">IF(J642="","SIN DATO",IFERROR(INDEX(cat_FunN,MATCH(J642,cat_FunO,0)),J642))</f>
        <v>Protección</v>
      </c>
      <c r="W642" s="34" t="str">
        <f aca="false">IF(OR(S642="SIN DATO",T642="SIN DATO"),"No","Sí")</f>
        <v>Sí</v>
      </c>
    </row>
    <row r="643" customFormat="false" ht="15" hidden="false" customHeight="false" outlineLevel="0" collapsed="false">
      <c r="A643" s="34" t="s">
        <v>2507</v>
      </c>
      <c r="B643" s="34" t="s">
        <v>2508</v>
      </c>
      <c r="C643" s="34" t="s">
        <v>2509</v>
      </c>
      <c r="D643" s="34" t="s">
        <v>2510</v>
      </c>
      <c r="E643" s="34" t="s">
        <v>111</v>
      </c>
      <c r="F643" s="34" t="s">
        <v>1602</v>
      </c>
      <c r="G643" s="34" t="s">
        <v>2431</v>
      </c>
      <c r="H643" s="34" t="s">
        <v>34</v>
      </c>
      <c r="I643" s="34" t="s">
        <v>36</v>
      </c>
      <c r="J643" s="34" t="s">
        <v>681</v>
      </c>
      <c r="K643" s="34" t="s">
        <v>229</v>
      </c>
      <c r="L643" s="34" t="s">
        <v>230</v>
      </c>
      <c r="M643" s="34" t="s">
        <v>231</v>
      </c>
      <c r="N643" s="34" t="str">
        <f aca="false">"Sector "&amp;VALUE(MID(D643,13,2))</f>
        <v>Sector 1</v>
      </c>
      <c r="O643" s="34" t="str">
        <f aca="false">IF(Dashboard!$C$5="Ubicación técnica",N643,"Sector "&amp;VALUE(RIGHT(G643,2)))</f>
        <v>Sector 1</v>
      </c>
      <c r="P643" s="34" t="str">
        <f aca="false">IF(MID(D643,15,3)="SEL","Subestación eléctrica","Área de proceso")</f>
        <v>Subestación eléctrica</v>
      </c>
      <c r="Q643" s="34" t="str">
        <f aca="false">MID(D643,13,5)&amp;"|"&amp;MID(D643,19,5)</f>
        <v>01SEL|S12_1</v>
      </c>
      <c r="R643" s="34" t="str">
        <f aca="false">IF(P643="Subestación eléctrica",IFERROR(INDEX(cat_SubN,MATCH(Q643,cat_SubK,0)),"SIN CATALOGAR"),"ÁREA DE PROCESO")</f>
        <v>SE-12-1</v>
      </c>
      <c r="S643" s="34" t="str">
        <f aca="false">IF(H643="","SIN DATO",IFERROR(INDEX(cat_MarcaN,MATCH(H643,cat_MarcaO,0)),H643))</f>
        <v>ABB</v>
      </c>
      <c r="T643" s="34" t="str">
        <f aca="false">IF(I643="","SIN DATO",IFERROR(INDEX(cat_ModN,MATCH(I643,cat_ModO,0)),I643))</f>
        <v>1AFFAEAGNEC5BNA11G</v>
      </c>
      <c r="U643" s="34" t="str">
        <f aca="false">IF(I643="","",IFERROR(INDEX(cat_ModG,MATCH(I643,cat_ModO,0)),"No"))</f>
        <v>No</v>
      </c>
      <c r="V643" s="34" t="str">
        <f aca="false">IF(J643="","SIN DATO",IFERROR(INDEX(cat_FunN,MATCH(J643,cat_FunO,0)),J643))</f>
        <v>Protección</v>
      </c>
      <c r="W643" s="34" t="str">
        <f aca="false">IF(OR(S643="SIN DATO",T643="SIN DATO"),"No","Sí")</f>
        <v>Sí</v>
      </c>
    </row>
    <row r="644" customFormat="false" ht="15" hidden="false" customHeight="false" outlineLevel="0" collapsed="false">
      <c r="A644" s="34" t="s">
        <v>2511</v>
      </c>
      <c r="B644" s="34" t="s">
        <v>2512</v>
      </c>
      <c r="C644" s="34" t="s">
        <v>2513</v>
      </c>
      <c r="D644" s="34" t="s">
        <v>2514</v>
      </c>
      <c r="E644" s="34" t="s">
        <v>111</v>
      </c>
      <c r="F644" s="34" t="s">
        <v>1602</v>
      </c>
      <c r="G644" s="34" t="s">
        <v>2431</v>
      </c>
      <c r="H644" s="34" t="s">
        <v>34</v>
      </c>
      <c r="I644" s="34" t="s">
        <v>36</v>
      </c>
      <c r="J644" s="34" t="s">
        <v>228</v>
      </c>
      <c r="K644" s="34" t="s">
        <v>229</v>
      </c>
      <c r="L644" s="34" t="s">
        <v>230</v>
      </c>
      <c r="M644" s="34" t="s">
        <v>231</v>
      </c>
      <c r="N644" s="34" t="str">
        <f aca="false">"Sector "&amp;VALUE(MID(D644,13,2))</f>
        <v>Sector 1</v>
      </c>
      <c r="O644" s="34" t="str">
        <f aca="false">IF(Dashboard!$C$5="Ubicación técnica",N644,"Sector "&amp;VALUE(RIGHT(G644,2)))</f>
        <v>Sector 1</v>
      </c>
      <c r="P644" s="34" t="str">
        <f aca="false">IF(MID(D644,15,3)="SEL","Subestación eléctrica","Área de proceso")</f>
        <v>Subestación eléctrica</v>
      </c>
      <c r="Q644" s="34" t="str">
        <f aca="false">MID(D644,13,5)&amp;"|"&amp;MID(D644,19,5)</f>
        <v>01SEL|S12_1</v>
      </c>
      <c r="R644" s="34" t="str">
        <f aca="false">IF(P644="Subestación eléctrica",IFERROR(INDEX(cat_SubN,MATCH(Q644,cat_SubK,0)),"SIN CATALOGAR"),"ÁREA DE PROCESO")</f>
        <v>SE-12-1</v>
      </c>
      <c r="S644" s="34" t="str">
        <f aca="false">IF(H644="","SIN DATO",IFERROR(INDEX(cat_MarcaN,MATCH(H644,cat_MarcaO,0)),H644))</f>
        <v>ABB</v>
      </c>
      <c r="T644" s="34" t="str">
        <f aca="false">IF(I644="","SIN DATO",IFERROR(INDEX(cat_ModN,MATCH(I644,cat_ModO,0)),I644))</f>
        <v>1AFFAEAGNEC5BNA11G</v>
      </c>
      <c r="U644" s="34" t="str">
        <f aca="false">IF(I644="","",IFERROR(INDEX(cat_ModG,MATCH(I644,cat_ModO,0)),"No"))</f>
        <v>No</v>
      </c>
      <c r="V644" s="34" t="str">
        <f aca="false">IF(J644="","SIN DATO",IFERROR(INDEX(cat_FunN,MATCH(J644,cat_FunO,0)),J644))</f>
        <v>Protección y medición</v>
      </c>
      <c r="W644" s="34" t="str">
        <f aca="false">IF(OR(S644="SIN DATO",T644="SIN DATO"),"No","Sí")</f>
        <v>Sí</v>
      </c>
    </row>
    <row r="645" customFormat="false" ht="15" hidden="false" customHeight="false" outlineLevel="0" collapsed="false">
      <c r="A645" s="34" t="s">
        <v>2515</v>
      </c>
      <c r="B645" s="34" t="s">
        <v>2516</v>
      </c>
      <c r="C645" s="34" t="s">
        <v>2517</v>
      </c>
      <c r="D645" s="34" t="s">
        <v>2510</v>
      </c>
      <c r="E645" s="34" t="s">
        <v>111</v>
      </c>
      <c r="F645" s="34" t="s">
        <v>1602</v>
      </c>
      <c r="G645" s="34" t="s">
        <v>2431</v>
      </c>
      <c r="H645" s="34" t="s">
        <v>34</v>
      </c>
      <c r="I645" s="34" t="s">
        <v>36</v>
      </c>
      <c r="J645" s="34" t="s">
        <v>228</v>
      </c>
      <c r="K645" s="34" t="s">
        <v>229</v>
      </c>
      <c r="L645" s="34" t="s">
        <v>230</v>
      </c>
      <c r="M645" s="34" t="s">
        <v>231</v>
      </c>
      <c r="N645" s="34" t="str">
        <f aca="false">"Sector "&amp;VALUE(MID(D645,13,2))</f>
        <v>Sector 1</v>
      </c>
      <c r="O645" s="34" t="str">
        <f aca="false">IF(Dashboard!$C$5="Ubicación técnica",N645,"Sector "&amp;VALUE(RIGHT(G645,2)))</f>
        <v>Sector 1</v>
      </c>
      <c r="P645" s="34" t="str">
        <f aca="false">IF(MID(D645,15,3)="SEL","Subestación eléctrica","Área de proceso")</f>
        <v>Subestación eléctrica</v>
      </c>
      <c r="Q645" s="34" t="str">
        <f aca="false">MID(D645,13,5)&amp;"|"&amp;MID(D645,19,5)</f>
        <v>01SEL|S12_1</v>
      </c>
      <c r="R645" s="34" t="str">
        <f aca="false">IF(P645="Subestación eléctrica",IFERROR(INDEX(cat_SubN,MATCH(Q645,cat_SubK,0)),"SIN CATALOGAR"),"ÁREA DE PROCESO")</f>
        <v>SE-12-1</v>
      </c>
      <c r="S645" s="34" t="str">
        <f aca="false">IF(H645="","SIN DATO",IFERROR(INDEX(cat_MarcaN,MATCH(H645,cat_MarcaO,0)),H645))</f>
        <v>ABB</v>
      </c>
      <c r="T645" s="34" t="str">
        <f aca="false">IF(I645="","SIN DATO",IFERROR(INDEX(cat_ModN,MATCH(I645,cat_ModO,0)),I645))</f>
        <v>1AFFAEAGNEC5BNA11G</v>
      </c>
      <c r="U645" s="34" t="str">
        <f aca="false">IF(I645="","",IFERROR(INDEX(cat_ModG,MATCH(I645,cat_ModO,0)),"No"))</f>
        <v>No</v>
      </c>
      <c r="V645" s="34" t="str">
        <f aca="false">IF(J645="","SIN DATO",IFERROR(INDEX(cat_FunN,MATCH(J645,cat_FunO,0)),J645))</f>
        <v>Protección y medición</v>
      </c>
      <c r="W645" s="34" t="str">
        <f aca="false">IF(OR(S645="SIN DATO",T645="SIN DATO"),"No","Sí")</f>
        <v>Sí</v>
      </c>
    </row>
    <row r="646" customFormat="false" ht="15" hidden="false" customHeight="false" outlineLevel="0" collapsed="false">
      <c r="A646" s="34" t="s">
        <v>2518</v>
      </c>
      <c r="B646" s="34" t="s">
        <v>2519</v>
      </c>
      <c r="C646" s="34" t="s">
        <v>2520</v>
      </c>
      <c r="D646" s="34" t="s">
        <v>1732</v>
      </c>
      <c r="E646" s="34" t="s">
        <v>184</v>
      </c>
      <c r="F646" s="34" t="s">
        <v>1602</v>
      </c>
      <c r="G646" s="34" t="s">
        <v>227</v>
      </c>
      <c r="H646" s="34" t="s">
        <v>34</v>
      </c>
      <c r="I646" s="34" t="s">
        <v>50</v>
      </c>
      <c r="J646" s="34" t="s">
        <v>228</v>
      </c>
      <c r="K646" s="34" t="s">
        <v>229</v>
      </c>
      <c r="L646" s="34" t="s">
        <v>230</v>
      </c>
      <c r="M646" s="34" t="s">
        <v>1663</v>
      </c>
      <c r="N646" s="34" t="str">
        <f aca="false">"Sector "&amp;VALUE(MID(D646,13,2))</f>
        <v>Sector 8</v>
      </c>
      <c r="O646" s="34" t="str">
        <f aca="false">IF(Dashboard!$C$5="Ubicación técnica",N646,"Sector "&amp;VALUE(RIGHT(G646,2)))</f>
        <v>Sector 8</v>
      </c>
      <c r="P646" s="34" t="str">
        <f aca="false">IF(MID(D646,15,3)="SEL","Subestación eléctrica","Área de proceso")</f>
        <v>Subestación eléctrica</v>
      </c>
      <c r="Q646" s="34" t="str">
        <f aca="false">MID(D646,13,5)&amp;"|"&amp;MID(D646,19,5)</f>
        <v>08SEL|SEP01</v>
      </c>
      <c r="R646" s="34" t="str">
        <f aca="false">IF(P646="Subestación eléctrica",IFERROR(INDEX(cat_SubN,MATCH(Q646,cat_SubK,0)),"SIN CATALOGAR"),"ÁREA DE PROCESO")</f>
        <v>SEP-01</v>
      </c>
      <c r="S646" s="34" t="str">
        <f aca="false">IF(H646="","SIN DATO",IFERROR(INDEX(cat_MarcaN,MATCH(H646,cat_MarcaO,0)),H646))</f>
        <v>ABB</v>
      </c>
      <c r="T646" s="34" t="str">
        <f aca="false">IF(I646="","SIN DATO",IFERROR(INDEX(cat_ModN,MATCH(I646,cat_ModO,0)),I646))</f>
        <v>REB670</v>
      </c>
      <c r="U646" s="34" t="str">
        <f aca="false">IF(I646="","",IFERROR(INDEX(cat_ModG,MATCH(I646,cat_ModO,0)),"No"))</f>
        <v>No</v>
      </c>
      <c r="V646" s="34" t="str">
        <f aca="false">IF(J646="","SIN DATO",IFERROR(INDEX(cat_FunN,MATCH(J646,cat_FunO,0)),J646))</f>
        <v>Protección y medición</v>
      </c>
      <c r="W646" s="34" t="str">
        <f aca="false">IF(OR(S646="SIN DATO",T646="SIN DATO"),"No","Sí")</f>
        <v>Sí</v>
      </c>
    </row>
    <row r="647" customFormat="false" ht="15" hidden="false" customHeight="false" outlineLevel="0" collapsed="false">
      <c r="A647" s="34" t="s">
        <v>2521</v>
      </c>
      <c r="B647" s="34" t="s">
        <v>2522</v>
      </c>
      <c r="C647" s="34" t="s">
        <v>2523</v>
      </c>
      <c r="D647" s="34" t="s">
        <v>2524</v>
      </c>
      <c r="E647" s="34" t="s">
        <v>184</v>
      </c>
      <c r="F647" s="34" t="s">
        <v>1602</v>
      </c>
      <c r="G647" s="34" t="s">
        <v>227</v>
      </c>
      <c r="H647" s="34" t="s">
        <v>34</v>
      </c>
      <c r="I647" s="34" t="s">
        <v>49</v>
      </c>
      <c r="J647" s="34" t="s">
        <v>228</v>
      </c>
      <c r="K647" s="34" t="s">
        <v>229</v>
      </c>
      <c r="L647" s="34" t="s">
        <v>230</v>
      </c>
      <c r="M647" s="34" t="s">
        <v>1663</v>
      </c>
      <c r="N647" s="34" t="str">
        <f aca="false">"Sector "&amp;VALUE(MID(D647,13,2))</f>
        <v>Sector 8</v>
      </c>
      <c r="O647" s="34" t="str">
        <f aca="false">IF(Dashboard!$C$5="Ubicación técnica",N647,"Sector "&amp;VALUE(RIGHT(G647,2)))</f>
        <v>Sector 8</v>
      </c>
      <c r="P647" s="34" t="str">
        <f aca="false">IF(MID(D647,15,3)="SEL","Subestación eléctrica","Área de proceso")</f>
        <v>Subestación eléctrica</v>
      </c>
      <c r="Q647" s="34" t="str">
        <f aca="false">MID(D647,13,5)&amp;"|"&amp;MID(D647,19,5)</f>
        <v>08SEL|SEP01</v>
      </c>
      <c r="R647" s="34" t="str">
        <f aca="false">IF(P647="Subestación eléctrica",IFERROR(INDEX(cat_SubN,MATCH(Q647,cat_SubK,0)),"SIN CATALOGAR"),"ÁREA DE PROCESO")</f>
        <v>SEP-01</v>
      </c>
      <c r="S647" s="34" t="str">
        <f aca="false">IF(H647="","SIN DATO",IFERROR(INDEX(cat_MarcaN,MATCH(H647,cat_MarcaO,0)),H647))</f>
        <v>ABB</v>
      </c>
      <c r="T647" s="34" t="str">
        <f aca="false">IF(I647="","SIN DATO",IFERROR(INDEX(cat_ModN,MATCH(I647,cat_ModO,0)),I647))</f>
        <v>REF620E_1G</v>
      </c>
      <c r="U647" s="34" t="str">
        <f aca="false">IF(I647="","",IFERROR(INDEX(cat_ModG,MATCH(I647,cat_ModO,0)),"No"))</f>
        <v>No</v>
      </c>
      <c r="V647" s="34" t="str">
        <f aca="false">IF(J647="","SIN DATO",IFERROR(INDEX(cat_FunN,MATCH(J647,cat_FunO,0)),J647))</f>
        <v>Protección y medición</v>
      </c>
      <c r="W647" s="34" t="str">
        <f aca="false">IF(OR(S647="SIN DATO",T647="SIN DATO"),"No","Sí")</f>
        <v>Sí</v>
      </c>
    </row>
    <row r="648" customFormat="false" ht="15" hidden="false" customHeight="false" outlineLevel="0" collapsed="false">
      <c r="A648" s="34" t="s">
        <v>2525</v>
      </c>
      <c r="B648" s="34" t="s">
        <v>2526</v>
      </c>
      <c r="C648" s="34" t="s">
        <v>2527</v>
      </c>
      <c r="D648" s="34" t="s">
        <v>2524</v>
      </c>
      <c r="E648" s="34" t="s">
        <v>184</v>
      </c>
      <c r="F648" s="34" t="s">
        <v>1602</v>
      </c>
      <c r="G648" s="34" t="s">
        <v>227</v>
      </c>
      <c r="H648" s="34" t="s">
        <v>55</v>
      </c>
      <c r="I648" s="34" t="s">
        <v>57</v>
      </c>
      <c r="J648" s="34" t="s">
        <v>58</v>
      </c>
      <c r="K648" s="34" t="s">
        <v>229</v>
      </c>
      <c r="L648" s="34" t="s">
        <v>230</v>
      </c>
      <c r="M648" s="34" t="s">
        <v>237</v>
      </c>
      <c r="N648" s="34" t="str">
        <f aca="false">"Sector "&amp;VALUE(MID(D648,13,2))</f>
        <v>Sector 8</v>
      </c>
      <c r="O648" s="34" t="str">
        <f aca="false">IF(Dashboard!$C$5="Ubicación técnica",N648,"Sector "&amp;VALUE(RIGHT(G648,2)))</f>
        <v>Sector 8</v>
      </c>
      <c r="P648" s="34" t="str">
        <f aca="false">IF(MID(D648,15,3)="SEL","Subestación eléctrica","Área de proceso")</f>
        <v>Subestación eléctrica</v>
      </c>
      <c r="Q648" s="34" t="str">
        <f aca="false">MID(D648,13,5)&amp;"|"&amp;MID(D648,19,5)</f>
        <v>08SEL|SEP01</v>
      </c>
      <c r="R648" s="34" t="str">
        <f aca="false">IF(P648="Subestación eléctrica",IFERROR(INDEX(cat_SubN,MATCH(Q648,cat_SubK,0)),"SIN CATALOGAR"),"ÁREA DE PROCESO")</f>
        <v>SEP-01</v>
      </c>
      <c r="S648" s="34" t="str">
        <f aca="false">IF(H648="","SIN DATO",IFERROR(INDEX(cat_MarcaN,MATCH(H648,cat_MarcaO,0)),H648))</f>
        <v>SEL</v>
      </c>
      <c r="T648" s="34" t="str">
        <f aca="false">IF(I648="","SIN DATO",IFERROR(INDEX(cat_ModN,MATCH(I648,cat_ModO,0)),I648))</f>
        <v>SEL-735</v>
      </c>
      <c r="U648" s="34" t="str">
        <f aca="false">IF(I648="","",IFERROR(INDEX(cat_ModG,MATCH(I648,cat_ModO,0)),"No"))</f>
        <v>No</v>
      </c>
      <c r="V648" s="34" t="str">
        <f aca="false">IF(J648="","SIN DATO",IFERROR(INDEX(cat_FunN,MATCH(J648,cat_FunO,0)),J648))</f>
        <v>Medición</v>
      </c>
      <c r="W648" s="34" t="str">
        <f aca="false">IF(OR(S648="SIN DATO",T648="SIN DATO"),"No","Sí")</f>
        <v>Sí</v>
      </c>
    </row>
    <row r="649" customFormat="false" ht="15" hidden="false" customHeight="false" outlineLevel="0" collapsed="false">
      <c r="A649" s="34" t="s">
        <v>2528</v>
      </c>
      <c r="B649" s="34" t="s">
        <v>2529</v>
      </c>
      <c r="C649" s="34" t="s">
        <v>2530</v>
      </c>
      <c r="D649" s="34" t="s">
        <v>2531</v>
      </c>
      <c r="E649" s="34" t="s">
        <v>184</v>
      </c>
      <c r="F649" s="34" t="s">
        <v>1602</v>
      </c>
      <c r="G649" s="34" t="s">
        <v>227</v>
      </c>
      <c r="H649" s="34" t="s">
        <v>34</v>
      </c>
      <c r="I649" s="34" t="s">
        <v>43</v>
      </c>
      <c r="J649" s="34" t="s">
        <v>228</v>
      </c>
      <c r="K649" s="34" t="s">
        <v>229</v>
      </c>
      <c r="L649" s="34" t="s">
        <v>230</v>
      </c>
      <c r="M649" s="34" t="s">
        <v>1663</v>
      </c>
      <c r="N649" s="34" t="str">
        <f aca="false">"Sector "&amp;VALUE(MID(D649,13,2))</f>
        <v>Sector 8</v>
      </c>
      <c r="O649" s="34" t="str">
        <f aca="false">IF(Dashboard!$C$5="Ubicación técnica",N649,"Sector "&amp;VALUE(RIGHT(G649,2)))</f>
        <v>Sector 8</v>
      </c>
      <c r="P649" s="34" t="str">
        <f aca="false">IF(MID(D649,15,3)="SEL","Subestación eléctrica","Área de proceso")</f>
        <v>Subestación eléctrica</v>
      </c>
      <c r="Q649" s="34" t="str">
        <f aca="false">MID(D649,13,5)&amp;"|"&amp;MID(D649,19,5)</f>
        <v>08SEL|SEP01</v>
      </c>
      <c r="R649" s="34" t="str">
        <f aca="false">IF(P649="Subestación eléctrica",IFERROR(INDEX(cat_SubN,MATCH(Q649,cat_SubK,0)),"SIN CATALOGAR"),"ÁREA DE PROCESO")</f>
        <v>SEP-01</v>
      </c>
      <c r="S649" s="34" t="str">
        <f aca="false">IF(H649="","SIN DATO",IFERROR(INDEX(cat_MarcaN,MATCH(H649,cat_MarcaO,0)),H649))</f>
        <v>ABB</v>
      </c>
      <c r="T649" s="34" t="str">
        <f aca="false">IF(I649="","SIN DATO",IFERROR(INDEX(cat_ModN,MATCH(I649,cat_ModO,0)),I649))</f>
        <v>RET615A_1G</v>
      </c>
      <c r="U649" s="34" t="str">
        <f aca="false">IF(I649="","",IFERROR(INDEX(cat_ModG,MATCH(I649,cat_ModO,0)),"No"))</f>
        <v>No</v>
      </c>
      <c r="V649" s="34" t="str">
        <f aca="false">IF(J649="","SIN DATO",IFERROR(INDEX(cat_FunN,MATCH(J649,cat_FunO,0)),J649))</f>
        <v>Protección y medición</v>
      </c>
      <c r="W649" s="34" t="str">
        <f aca="false">IF(OR(S649="SIN DATO",T649="SIN DATO"),"No","Sí")</f>
        <v>Sí</v>
      </c>
    </row>
    <row r="650" customFormat="false" ht="15" hidden="false" customHeight="false" outlineLevel="0" collapsed="false">
      <c r="A650" s="34" t="s">
        <v>2532</v>
      </c>
      <c r="B650" s="34" t="s">
        <v>2533</v>
      </c>
      <c r="C650" s="34" t="s">
        <v>2534</v>
      </c>
      <c r="D650" s="34" t="s">
        <v>2531</v>
      </c>
      <c r="E650" s="34" t="s">
        <v>184</v>
      </c>
      <c r="F650" s="34" t="s">
        <v>1602</v>
      </c>
      <c r="G650" s="34" t="s">
        <v>227</v>
      </c>
      <c r="H650" s="34" t="s">
        <v>34</v>
      </c>
      <c r="I650" s="34" t="s">
        <v>49</v>
      </c>
      <c r="J650" s="34" t="s">
        <v>228</v>
      </c>
      <c r="K650" s="34" t="s">
        <v>229</v>
      </c>
      <c r="L650" s="34" t="s">
        <v>230</v>
      </c>
      <c r="M650" s="34" t="s">
        <v>1663</v>
      </c>
      <c r="N650" s="34" t="str">
        <f aca="false">"Sector "&amp;VALUE(MID(D650,13,2))</f>
        <v>Sector 8</v>
      </c>
      <c r="O650" s="34" t="str">
        <f aca="false">IF(Dashboard!$C$5="Ubicación técnica",N650,"Sector "&amp;VALUE(RIGHT(G650,2)))</f>
        <v>Sector 8</v>
      </c>
      <c r="P650" s="34" t="str">
        <f aca="false">IF(MID(D650,15,3)="SEL","Subestación eléctrica","Área de proceso")</f>
        <v>Subestación eléctrica</v>
      </c>
      <c r="Q650" s="34" t="str">
        <f aca="false">MID(D650,13,5)&amp;"|"&amp;MID(D650,19,5)</f>
        <v>08SEL|SEP01</v>
      </c>
      <c r="R650" s="34" t="str">
        <f aca="false">IF(P650="Subestación eléctrica",IFERROR(INDEX(cat_SubN,MATCH(Q650,cat_SubK,0)),"SIN CATALOGAR"),"ÁREA DE PROCESO")</f>
        <v>SEP-01</v>
      </c>
      <c r="S650" s="34" t="str">
        <f aca="false">IF(H650="","SIN DATO",IFERROR(INDEX(cat_MarcaN,MATCH(H650,cat_MarcaO,0)),H650))</f>
        <v>ABB</v>
      </c>
      <c r="T650" s="34" t="str">
        <f aca="false">IF(I650="","SIN DATO",IFERROR(INDEX(cat_ModN,MATCH(I650,cat_ModO,0)),I650))</f>
        <v>REF620E_1G</v>
      </c>
      <c r="U650" s="34" t="str">
        <f aca="false">IF(I650="","",IFERROR(INDEX(cat_ModG,MATCH(I650,cat_ModO,0)),"No"))</f>
        <v>No</v>
      </c>
      <c r="V650" s="34" t="str">
        <f aca="false">IF(J650="","SIN DATO",IFERROR(INDEX(cat_FunN,MATCH(J650,cat_FunO,0)),J650))</f>
        <v>Protección y medición</v>
      </c>
      <c r="W650" s="34" t="str">
        <f aca="false">IF(OR(S650="SIN DATO",T650="SIN DATO"),"No","Sí")</f>
        <v>Sí</v>
      </c>
    </row>
    <row r="651" customFormat="false" ht="15" hidden="false" customHeight="false" outlineLevel="0" collapsed="false">
      <c r="A651" s="34" t="s">
        <v>2535</v>
      </c>
      <c r="B651" s="34" t="s">
        <v>2536</v>
      </c>
      <c r="C651" s="34" t="s">
        <v>2537</v>
      </c>
      <c r="D651" s="34" t="s">
        <v>2531</v>
      </c>
      <c r="E651" s="34" t="s">
        <v>184</v>
      </c>
      <c r="F651" s="34" t="s">
        <v>1602</v>
      </c>
      <c r="G651" s="34" t="s">
        <v>227</v>
      </c>
      <c r="H651" s="34" t="s">
        <v>55</v>
      </c>
      <c r="I651" s="34" t="s">
        <v>57</v>
      </c>
      <c r="J651" s="34" t="s">
        <v>58</v>
      </c>
      <c r="K651" s="34" t="s">
        <v>229</v>
      </c>
      <c r="L651" s="34" t="s">
        <v>230</v>
      </c>
      <c r="M651" s="34" t="s">
        <v>237</v>
      </c>
      <c r="N651" s="34" t="str">
        <f aca="false">"Sector "&amp;VALUE(MID(D651,13,2))</f>
        <v>Sector 8</v>
      </c>
      <c r="O651" s="34" t="str">
        <f aca="false">IF(Dashboard!$C$5="Ubicación técnica",N651,"Sector "&amp;VALUE(RIGHT(G651,2)))</f>
        <v>Sector 8</v>
      </c>
      <c r="P651" s="34" t="str">
        <f aca="false">IF(MID(D651,15,3)="SEL","Subestación eléctrica","Área de proceso")</f>
        <v>Subestación eléctrica</v>
      </c>
      <c r="Q651" s="34" t="str">
        <f aca="false">MID(D651,13,5)&amp;"|"&amp;MID(D651,19,5)</f>
        <v>08SEL|SEP01</v>
      </c>
      <c r="R651" s="34" t="str">
        <f aca="false">IF(P651="Subestación eléctrica",IFERROR(INDEX(cat_SubN,MATCH(Q651,cat_SubK,0)),"SIN CATALOGAR"),"ÁREA DE PROCESO")</f>
        <v>SEP-01</v>
      </c>
      <c r="S651" s="34" t="str">
        <f aca="false">IF(H651="","SIN DATO",IFERROR(INDEX(cat_MarcaN,MATCH(H651,cat_MarcaO,0)),H651))</f>
        <v>SEL</v>
      </c>
      <c r="T651" s="34" t="str">
        <f aca="false">IF(I651="","SIN DATO",IFERROR(INDEX(cat_ModN,MATCH(I651,cat_ModO,0)),I651))</f>
        <v>SEL-735</v>
      </c>
      <c r="U651" s="34" t="str">
        <f aca="false">IF(I651="","",IFERROR(INDEX(cat_ModG,MATCH(I651,cat_ModO,0)),"No"))</f>
        <v>No</v>
      </c>
      <c r="V651" s="34" t="str">
        <f aca="false">IF(J651="","SIN DATO",IFERROR(INDEX(cat_FunN,MATCH(J651,cat_FunO,0)),J651))</f>
        <v>Medición</v>
      </c>
      <c r="W651" s="34" t="str">
        <f aca="false">IF(OR(S651="SIN DATO",T651="SIN DATO"),"No","Sí")</f>
        <v>Sí</v>
      </c>
    </row>
    <row r="652" customFormat="false" ht="15" hidden="false" customHeight="false" outlineLevel="0" collapsed="false">
      <c r="A652" s="34" t="s">
        <v>2538</v>
      </c>
      <c r="B652" s="34" t="s">
        <v>2539</v>
      </c>
      <c r="C652" s="34" t="s">
        <v>2540</v>
      </c>
      <c r="D652" s="34" t="s">
        <v>2541</v>
      </c>
      <c r="E652" s="34" t="s">
        <v>184</v>
      </c>
      <c r="F652" s="34" t="s">
        <v>1602</v>
      </c>
      <c r="G652" s="34" t="s">
        <v>227</v>
      </c>
      <c r="H652" s="34" t="s">
        <v>34</v>
      </c>
      <c r="I652" s="34" t="s">
        <v>43</v>
      </c>
      <c r="J652" s="34" t="s">
        <v>228</v>
      </c>
      <c r="K652" s="34" t="s">
        <v>229</v>
      </c>
      <c r="L652" s="34" t="s">
        <v>230</v>
      </c>
      <c r="M652" s="34" t="s">
        <v>1663</v>
      </c>
      <c r="N652" s="34" t="str">
        <f aca="false">"Sector "&amp;VALUE(MID(D652,13,2))</f>
        <v>Sector 8</v>
      </c>
      <c r="O652" s="34" t="str">
        <f aca="false">IF(Dashboard!$C$5="Ubicación técnica",N652,"Sector "&amp;VALUE(RIGHT(G652,2)))</f>
        <v>Sector 8</v>
      </c>
      <c r="P652" s="34" t="str">
        <f aca="false">IF(MID(D652,15,3)="SEL","Subestación eléctrica","Área de proceso")</f>
        <v>Subestación eléctrica</v>
      </c>
      <c r="Q652" s="34" t="str">
        <f aca="false">MID(D652,13,5)&amp;"|"&amp;MID(D652,19,5)</f>
        <v>08SEL|SEP01</v>
      </c>
      <c r="R652" s="34" t="str">
        <f aca="false">IF(P652="Subestación eléctrica",IFERROR(INDEX(cat_SubN,MATCH(Q652,cat_SubK,0)),"SIN CATALOGAR"),"ÁREA DE PROCESO")</f>
        <v>SEP-01</v>
      </c>
      <c r="S652" s="34" t="str">
        <f aca="false">IF(H652="","SIN DATO",IFERROR(INDEX(cat_MarcaN,MATCH(H652,cat_MarcaO,0)),H652))</f>
        <v>ABB</v>
      </c>
      <c r="T652" s="34" t="str">
        <f aca="false">IF(I652="","SIN DATO",IFERROR(INDEX(cat_ModN,MATCH(I652,cat_ModO,0)),I652))</f>
        <v>RET615A_1G</v>
      </c>
      <c r="U652" s="34" t="str">
        <f aca="false">IF(I652="","",IFERROR(INDEX(cat_ModG,MATCH(I652,cat_ModO,0)),"No"))</f>
        <v>No</v>
      </c>
      <c r="V652" s="34" t="str">
        <f aca="false">IF(J652="","SIN DATO",IFERROR(INDEX(cat_FunN,MATCH(J652,cat_FunO,0)),J652))</f>
        <v>Protección y medición</v>
      </c>
      <c r="W652" s="34" t="str">
        <f aca="false">IF(OR(S652="SIN DATO",T652="SIN DATO"),"No","Sí")</f>
        <v>Sí</v>
      </c>
    </row>
    <row r="653" customFormat="false" ht="15" hidden="false" customHeight="false" outlineLevel="0" collapsed="false">
      <c r="A653" s="34" t="s">
        <v>2542</v>
      </c>
      <c r="B653" s="34" t="s">
        <v>2543</v>
      </c>
      <c r="C653" s="34" t="s">
        <v>2544</v>
      </c>
      <c r="D653" s="34" t="s">
        <v>2541</v>
      </c>
      <c r="E653" s="34" t="s">
        <v>184</v>
      </c>
      <c r="F653" s="34" t="s">
        <v>1602</v>
      </c>
      <c r="G653" s="34" t="s">
        <v>227</v>
      </c>
      <c r="H653" s="34" t="s">
        <v>34</v>
      </c>
      <c r="I653" s="34" t="s">
        <v>49</v>
      </c>
      <c r="J653" s="34" t="s">
        <v>228</v>
      </c>
      <c r="K653" s="34" t="s">
        <v>229</v>
      </c>
      <c r="L653" s="34" t="s">
        <v>230</v>
      </c>
      <c r="M653" s="34" t="s">
        <v>1663</v>
      </c>
      <c r="N653" s="34" t="str">
        <f aca="false">"Sector "&amp;VALUE(MID(D653,13,2))</f>
        <v>Sector 8</v>
      </c>
      <c r="O653" s="34" t="str">
        <f aca="false">IF(Dashboard!$C$5="Ubicación técnica",N653,"Sector "&amp;VALUE(RIGHT(G653,2)))</f>
        <v>Sector 8</v>
      </c>
      <c r="P653" s="34" t="str">
        <f aca="false">IF(MID(D653,15,3)="SEL","Subestación eléctrica","Área de proceso")</f>
        <v>Subestación eléctrica</v>
      </c>
      <c r="Q653" s="34" t="str">
        <f aca="false">MID(D653,13,5)&amp;"|"&amp;MID(D653,19,5)</f>
        <v>08SEL|SEP01</v>
      </c>
      <c r="R653" s="34" t="str">
        <f aca="false">IF(P653="Subestación eléctrica",IFERROR(INDEX(cat_SubN,MATCH(Q653,cat_SubK,0)),"SIN CATALOGAR"),"ÁREA DE PROCESO")</f>
        <v>SEP-01</v>
      </c>
      <c r="S653" s="34" t="str">
        <f aca="false">IF(H653="","SIN DATO",IFERROR(INDEX(cat_MarcaN,MATCH(H653,cat_MarcaO,0)),H653))</f>
        <v>ABB</v>
      </c>
      <c r="T653" s="34" t="str">
        <f aca="false">IF(I653="","SIN DATO",IFERROR(INDEX(cat_ModN,MATCH(I653,cat_ModO,0)),I653))</f>
        <v>REF620E_1G</v>
      </c>
      <c r="U653" s="34" t="str">
        <f aca="false">IF(I653="","",IFERROR(INDEX(cat_ModG,MATCH(I653,cat_ModO,0)),"No"))</f>
        <v>No</v>
      </c>
      <c r="V653" s="34" t="str">
        <f aca="false">IF(J653="","SIN DATO",IFERROR(INDEX(cat_FunN,MATCH(J653,cat_FunO,0)),J653))</f>
        <v>Protección y medición</v>
      </c>
      <c r="W653" s="34" t="str">
        <f aca="false">IF(OR(S653="SIN DATO",T653="SIN DATO"),"No","Sí")</f>
        <v>Sí</v>
      </c>
    </row>
    <row r="654" customFormat="false" ht="15" hidden="false" customHeight="false" outlineLevel="0" collapsed="false">
      <c r="A654" s="34" t="s">
        <v>2545</v>
      </c>
      <c r="B654" s="34" t="s">
        <v>2546</v>
      </c>
      <c r="C654" s="34" t="s">
        <v>2547</v>
      </c>
      <c r="D654" s="34" t="s">
        <v>2541</v>
      </c>
      <c r="E654" s="34" t="s">
        <v>184</v>
      </c>
      <c r="F654" s="34" t="s">
        <v>1602</v>
      </c>
      <c r="G654" s="34" t="s">
        <v>227</v>
      </c>
      <c r="H654" s="34" t="s">
        <v>55</v>
      </c>
      <c r="I654" s="34" t="s">
        <v>57</v>
      </c>
      <c r="J654" s="34" t="s">
        <v>58</v>
      </c>
      <c r="K654" s="34" t="s">
        <v>229</v>
      </c>
      <c r="L654" s="34" t="s">
        <v>230</v>
      </c>
      <c r="M654" s="34" t="s">
        <v>237</v>
      </c>
      <c r="N654" s="34" t="str">
        <f aca="false">"Sector "&amp;VALUE(MID(D654,13,2))</f>
        <v>Sector 8</v>
      </c>
      <c r="O654" s="34" t="str">
        <f aca="false">IF(Dashboard!$C$5="Ubicación técnica",N654,"Sector "&amp;VALUE(RIGHT(G654,2)))</f>
        <v>Sector 8</v>
      </c>
      <c r="P654" s="34" t="str">
        <f aca="false">IF(MID(D654,15,3)="SEL","Subestación eléctrica","Área de proceso")</f>
        <v>Subestación eléctrica</v>
      </c>
      <c r="Q654" s="34" t="str">
        <f aca="false">MID(D654,13,5)&amp;"|"&amp;MID(D654,19,5)</f>
        <v>08SEL|SEP01</v>
      </c>
      <c r="R654" s="34" t="str">
        <f aca="false">IF(P654="Subestación eléctrica",IFERROR(INDEX(cat_SubN,MATCH(Q654,cat_SubK,0)),"SIN CATALOGAR"),"ÁREA DE PROCESO")</f>
        <v>SEP-01</v>
      </c>
      <c r="S654" s="34" t="str">
        <f aca="false">IF(H654="","SIN DATO",IFERROR(INDEX(cat_MarcaN,MATCH(H654,cat_MarcaO,0)),H654))</f>
        <v>SEL</v>
      </c>
      <c r="T654" s="34" t="str">
        <f aca="false">IF(I654="","SIN DATO",IFERROR(INDEX(cat_ModN,MATCH(I654,cat_ModO,0)),I654))</f>
        <v>SEL-735</v>
      </c>
      <c r="U654" s="34" t="str">
        <f aca="false">IF(I654="","",IFERROR(INDEX(cat_ModG,MATCH(I654,cat_ModO,0)),"No"))</f>
        <v>No</v>
      </c>
      <c r="V654" s="34" t="str">
        <f aca="false">IF(J654="","SIN DATO",IFERROR(INDEX(cat_FunN,MATCH(J654,cat_FunO,0)),J654))</f>
        <v>Medición</v>
      </c>
      <c r="W654" s="34" t="str">
        <f aca="false">IF(OR(S654="SIN DATO",T654="SIN DATO"),"No","Sí")</f>
        <v>Sí</v>
      </c>
    </row>
    <row r="655" customFormat="false" ht="15" hidden="false" customHeight="false" outlineLevel="0" collapsed="false">
      <c r="A655" s="34" t="s">
        <v>2548</v>
      </c>
      <c r="B655" s="34" t="s">
        <v>2549</v>
      </c>
      <c r="C655" s="34" t="s">
        <v>2550</v>
      </c>
      <c r="D655" s="34" t="s">
        <v>2551</v>
      </c>
      <c r="E655" s="34" t="s">
        <v>184</v>
      </c>
      <c r="F655" s="34" t="s">
        <v>1602</v>
      </c>
      <c r="G655" s="34" t="s">
        <v>227</v>
      </c>
      <c r="H655" s="34" t="s">
        <v>34</v>
      </c>
      <c r="I655" s="34" t="s">
        <v>43</v>
      </c>
      <c r="J655" s="34" t="s">
        <v>228</v>
      </c>
      <c r="K655" s="34" t="s">
        <v>229</v>
      </c>
      <c r="L655" s="34" t="s">
        <v>230</v>
      </c>
      <c r="M655" s="34" t="s">
        <v>1663</v>
      </c>
      <c r="N655" s="34" t="str">
        <f aca="false">"Sector "&amp;VALUE(MID(D655,13,2))</f>
        <v>Sector 8</v>
      </c>
      <c r="O655" s="34" t="str">
        <f aca="false">IF(Dashboard!$C$5="Ubicación técnica",N655,"Sector "&amp;VALUE(RIGHT(G655,2)))</f>
        <v>Sector 8</v>
      </c>
      <c r="P655" s="34" t="str">
        <f aca="false">IF(MID(D655,15,3)="SEL","Subestación eléctrica","Área de proceso")</f>
        <v>Subestación eléctrica</v>
      </c>
      <c r="Q655" s="34" t="str">
        <f aca="false">MID(D655,13,5)&amp;"|"&amp;MID(D655,19,5)</f>
        <v>08SEL|SEP01</v>
      </c>
      <c r="R655" s="34" t="str">
        <f aca="false">IF(P655="Subestación eléctrica",IFERROR(INDEX(cat_SubN,MATCH(Q655,cat_SubK,0)),"SIN CATALOGAR"),"ÁREA DE PROCESO")</f>
        <v>SEP-01</v>
      </c>
      <c r="S655" s="34" t="str">
        <f aca="false">IF(H655="","SIN DATO",IFERROR(INDEX(cat_MarcaN,MATCH(H655,cat_MarcaO,0)),H655))</f>
        <v>ABB</v>
      </c>
      <c r="T655" s="34" t="str">
        <f aca="false">IF(I655="","SIN DATO",IFERROR(INDEX(cat_ModN,MATCH(I655,cat_ModO,0)),I655))</f>
        <v>RET615A_1G</v>
      </c>
      <c r="U655" s="34" t="str">
        <f aca="false">IF(I655="","",IFERROR(INDEX(cat_ModG,MATCH(I655,cat_ModO,0)),"No"))</f>
        <v>No</v>
      </c>
      <c r="V655" s="34" t="str">
        <f aca="false">IF(J655="","SIN DATO",IFERROR(INDEX(cat_FunN,MATCH(J655,cat_FunO,0)),J655))</f>
        <v>Protección y medición</v>
      </c>
      <c r="W655" s="34" t="str">
        <f aca="false">IF(OR(S655="SIN DATO",T655="SIN DATO"),"No","Sí")</f>
        <v>Sí</v>
      </c>
    </row>
    <row r="656" customFormat="false" ht="15" hidden="false" customHeight="false" outlineLevel="0" collapsed="false">
      <c r="A656" s="34" t="s">
        <v>2552</v>
      </c>
      <c r="B656" s="34" t="s">
        <v>2553</v>
      </c>
      <c r="C656" s="34" t="s">
        <v>2554</v>
      </c>
      <c r="D656" s="34" t="s">
        <v>2551</v>
      </c>
      <c r="E656" s="34" t="s">
        <v>184</v>
      </c>
      <c r="F656" s="34" t="s">
        <v>1602</v>
      </c>
      <c r="G656" s="34" t="s">
        <v>227</v>
      </c>
      <c r="H656" s="34" t="s">
        <v>34</v>
      </c>
      <c r="I656" s="34" t="s">
        <v>49</v>
      </c>
      <c r="J656" s="34" t="s">
        <v>228</v>
      </c>
      <c r="K656" s="34" t="s">
        <v>229</v>
      </c>
      <c r="L656" s="34" t="s">
        <v>230</v>
      </c>
      <c r="M656" s="34" t="s">
        <v>1663</v>
      </c>
      <c r="N656" s="34" t="str">
        <f aca="false">"Sector "&amp;VALUE(MID(D656,13,2))</f>
        <v>Sector 8</v>
      </c>
      <c r="O656" s="34" t="str">
        <f aca="false">IF(Dashboard!$C$5="Ubicación técnica",N656,"Sector "&amp;VALUE(RIGHT(G656,2)))</f>
        <v>Sector 8</v>
      </c>
      <c r="P656" s="34" t="str">
        <f aca="false">IF(MID(D656,15,3)="SEL","Subestación eléctrica","Área de proceso")</f>
        <v>Subestación eléctrica</v>
      </c>
      <c r="Q656" s="34" t="str">
        <f aca="false">MID(D656,13,5)&amp;"|"&amp;MID(D656,19,5)</f>
        <v>08SEL|SEP01</v>
      </c>
      <c r="R656" s="34" t="str">
        <f aca="false">IF(P656="Subestación eléctrica",IFERROR(INDEX(cat_SubN,MATCH(Q656,cat_SubK,0)),"SIN CATALOGAR"),"ÁREA DE PROCESO")</f>
        <v>SEP-01</v>
      </c>
      <c r="S656" s="34" t="str">
        <f aca="false">IF(H656="","SIN DATO",IFERROR(INDEX(cat_MarcaN,MATCH(H656,cat_MarcaO,0)),H656))</f>
        <v>ABB</v>
      </c>
      <c r="T656" s="34" t="str">
        <f aca="false">IF(I656="","SIN DATO",IFERROR(INDEX(cat_ModN,MATCH(I656,cat_ModO,0)),I656))</f>
        <v>REF620E_1G</v>
      </c>
      <c r="U656" s="34" t="str">
        <f aca="false">IF(I656="","",IFERROR(INDEX(cat_ModG,MATCH(I656,cat_ModO,0)),"No"))</f>
        <v>No</v>
      </c>
      <c r="V656" s="34" t="str">
        <f aca="false">IF(J656="","SIN DATO",IFERROR(INDEX(cat_FunN,MATCH(J656,cat_FunO,0)),J656))</f>
        <v>Protección y medición</v>
      </c>
      <c r="W656" s="34" t="str">
        <f aca="false">IF(OR(S656="SIN DATO",T656="SIN DATO"),"No","Sí")</f>
        <v>Sí</v>
      </c>
    </row>
    <row r="657" customFormat="false" ht="15" hidden="false" customHeight="false" outlineLevel="0" collapsed="false">
      <c r="A657" s="34" t="s">
        <v>2555</v>
      </c>
      <c r="B657" s="34" t="s">
        <v>2556</v>
      </c>
      <c r="C657" s="34" t="s">
        <v>2557</v>
      </c>
      <c r="D657" s="34" t="s">
        <v>2551</v>
      </c>
      <c r="E657" s="34" t="s">
        <v>184</v>
      </c>
      <c r="F657" s="34" t="s">
        <v>1602</v>
      </c>
      <c r="G657" s="34" t="s">
        <v>227</v>
      </c>
      <c r="H657" s="34" t="s">
        <v>55</v>
      </c>
      <c r="I657" s="34" t="s">
        <v>57</v>
      </c>
      <c r="J657" s="34" t="s">
        <v>58</v>
      </c>
      <c r="K657" s="34" t="s">
        <v>229</v>
      </c>
      <c r="L657" s="34" t="s">
        <v>230</v>
      </c>
      <c r="M657" s="34" t="s">
        <v>237</v>
      </c>
      <c r="N657" s="34" t="str">
        <f aca="false">"Sector "&amp;VALUE(MID(D657,13,2))</f>
        <v>Sector 8</v>
      </c>
      <c r="O657" s="34" t="str">
        <f aca="false">IF(Dashboard!$C$5="Ubicación técnica",N657,"Sector "&amp;VALUE(RIGHT(G657,2)))</f>
        <v>Sector 8</v>
      </c>
      <c r="P657" s="34" t="str">
        <f aca="false">IF(MID(D657,15,3)="SEL","Subestación eléctrica","Área de proceso")</f>
        <v>Subestación eléctrica</v>
      </c>
      <c r="Q657" s="34" t="str">
        <f aca="false">MID(D657,13,5)&amp;"|"&amp;MID(D657,19,5)</f>
        <v>08SEL|SEP01</v>
      </c>
      <c r="R657" s="34" t="str">
        <f aca="false">IF(P657="Subestación eléctrica",IFERROR(INDEX(cat_SubN,MATCH(Q657,cat_SubK,0)),"SIN CATALOGAR"),"ÁREA DE PROCESO")</f>
        <v>SEP-01</v>
      </c>
      <c r="S657" s="34" t="str">
        <f aca="false">IF(H657="","SIN DATO",IFERROR(INDEX(cat_MarcaN,MATCH(H657,cat_MarcaO,0)),H657))</f>
        <v>SEL</v>
      </c>
      <c r="T657" s="34" t="str">
        <f aca="false">IF(I657="","SIN DATO",IFERROR(INDEX(cat_ModN,MATCH(I657,cat_ModO,0)),I657))</f>
        <v>SEL-735</v>
      </c>
      <c r="U657" s="34" t="str">
        <f aca="false">IF(I657="","",IFERROR(INDEX(cat_ModG,MATCH(I657,cat_ModO,0)),"No"))</f>
        <v>No</v>
      </c>
      <c r="V657" s="34" t="str">
        <f aca="false">IF(J657="","SIN DATO",IFERROR(INDEX(cat_FunN,MATCH(J657,cat_FunO,0)),J657))</f>
        <v>Medición</v>
      </c>
      <c r="W657" s="34" t="str">
        <f aca="false">IF(OR(S657="SIN DATO",T657="SIN DATO"),"No","Sí")</f>
        <v>Sí</v>
      </c>
    </row>
    <row r="658" customFormat="false" ht="15" hidden="false" customHeight="false" outlineLevel="0" collapsed="false">
      <c r="A658" s="34" t="s">
        <v>2558</v>
      </c>
      <c r="B658" s="34" t="s">
        <v>2559</v>
      </c>
      <c r="C658" s="34" t="s">
        <v>2560</v>
      </c>
      <c r="D658" s="34" t="s">
        <v>2141</v>
      </c>
      <c r="E658" s="34" t="s">
        <v>184</v>
      </c>
      <c r="F658" s="34" t="s">
        <v>1602</v>
      </c>
      <c r="G658" s="34" t="s">
        <v>227</v>
      </c>
      <c r="H658" s="34" t="s">
        <v>34</v>
      </c>
      <c r="I658" s="34" t="s">
        <v>43</v>
      </c>
      <c r="J658" s="34" t="s">
        <v>228</v>
      </c>
      <c r="K658" s="34" t="s">
        <v>229</v>
      </c>
      <c r="L658" s="34" t="s">
        <v>230</v>
      </c>
      <c r="M658" s="34" t="s">
        <v>1663</v>
      </c>
      <c r="N658" s="34" t="str">
        <f aca="false">"Sector "&amp;VALUE(MID(D658,13,2))</f>
        <v>Sector 8</v>
      </c>
      <c r="O658" s="34" t="str">
        <f aca="false">IF(Dashboard!$C$5="Ubicación técnica",N658,"Sector "&amp;VALUE(RIGHT(G658,2)))</f>
        <v>Sector 8</v>
      </c>
      <c r="P658" s="34" t="str">
        <f aca="false">IF(MID(D658,15,3)="SEL","Subestación eléctrica","Área de proceso")</f>
        <v>Subestación eléctrica</v>
      </c>
      <c r="Q658" s="34" t="str">
        <f aca="false">MID(D658,13,5)&amp;"|"&amp;MID(D658,19,5)</f>
        <v>08SEL|SEP01</v>
      </c>
      <c r="R658" s="34" t="str">
        <f aca="false">IF(P658="Subestación eléctrica",IFERROR(INDEX(cat_SubN,MATCH(Q658,cat_SubK,0)),"SIN CATALOGAR"),"ÁREA DE PROCESO")</f>
        <v>SEP-01</v>
      </c>
      <c r="S658" s="34" t="str">
        <f aca="false">IF(H658="","SIN DATO",IFERROR(INDEX(cat_MarcaN,MATCH(H658,cat_MarcaO,0)),H658))</f>
        <v>ABB</v>
      </c>
      <c r="T658" s="34" t="str">
        <f aca="false">IF(I658="","SIN DATO",IFERROR(INDEX(cat_ModN,MATCH(I658,cat_ModO,0)),I658))</f>
        <v>RET615A_1G</v>
      </c>
      <c r="U658" s="34" t="str">
        <f aca="false">IF(I658="","",IFERROR(INDEX(cat_ModG,MATCH(I658,cat_ModO,0)),"No"))</f>
        <v>No</v>
      </c>
      <c r="V658" s="34" t="str">
        <f aca="false">IF(J658="","SIN DATO",IFERROR(INDEX(cat_FunN,MATCH(J658,cat_FunO,0)),J658))</f>
        <v>Protección y medición</v>
      </c>
      <c r="W658" s="34" t="str">
        <f aca="false">IF(OR(S658="SIN DATO",T658="SIN DATO"),"No","Sí")</f>
        <v>Sí</v>
      </c>
    </row>
    <row r="659" customFormat="false" ht="15" hidden="false" customHeight="false" outlineLevel="0" collapsed="false">
      <c r="A659" s="34" t="s">
        <v>2561</v>
      </c>
      <c r="B659" s="34" t="s">
        <v>2562</v>
      </c>
      <c r="C659" s="34" t="s">
        <v>2563</v>
      </c>
      <c r="D659" s="34" t="s">
        <v>2141</v>
      </c>
      <c r="E659" s="34" t="s">
        <v>184</v>
      </c>
      <c r="F659" s="34" t="s">
        <v>1602</v>
      </c>
      <c r="G659" s="34" t="s">
        <v>227</v>
      </c>
      <c r="H659" s="34" t="s">
        <v>34</v>
      </c>
      <c r="I659" s="34" t="s">
        <v>49</v>
      </c>
      <c r="J659" s="34" t="s">
        <v>228</v>
      </c>
      <c r="K659" s="34" t="s">
        <v>229</v>
      </c>
      <c r="L659" s="34" t="s">
        <v>230</v>
      </c>
      <c r="M659" s="34" t="s">
        <v>1663</v>
      </c>
      <c r="N659" s="34" t="str">
        <f aca="false">"Sector "&amp;VALUE(MID(D659,13,2))</f>
        <v>Sector 8</v>
      </c>
      <c r="O659" s="34" t="str">
        <f aca="false">IF(Dashboard!$C$5="Ubicación técnica",N659,"Sector "&amp;VALUE(RIGHT(G659,2)))</f>
        <v>Sector 8</v>
      </c>
      <c r="P659" s="34" t="str">
        <f aca="false">IF(MID(D659,15,3)="SEL","Subestación eléctrica","Área de proceso")</f>
        <v>Subestación eléctrica</v>
      </c>
      <c r="Q659" s="34" t="str">
        <f aca="false">MID(D659,13,5)&amp;"|"&amp;MID(D659,19,5)</f>
        <v>08SEL|SEP01</v>
      </c>
      <c r="R659" s="34" t="str">
        <f aca="false">IF(P659="Subestación eléctrica",IFERROR(INDEX(cat_SubN,MATCH(Q659,cat_SubK,0)),"SIN CATALOGAR"),"ÁREA DE PROCESO")</f>
        <v>SEP-01</v>
      </c>
      <c r="S659" s="34" t="str">
        <f aca="false">IF(H659="","SIN DATO",IFERROR(INDEX(cat_MarcaN,MATCH(H659,cat_MarcaO,0)),H659))</f>
        <v>ABB</v>
      </c>
      <c r="T659" s="34" t="str">
        <f aca="false">IF(I659="","SIN DATO",IFERROR(INDEX(cat_ModN,MATCH(I659,cat_ModO,0)),I659))</f>
        <v>REF620E_1G</v>
      </c>
      <c r="U659" s="34" t="str">
        <f aca="false">IF(I659="","",IFERROR(INDEX(cat_ModG,MATCH(I659,cat_ModO,0)),"No"))</f>
        <v>No</v>
      </c>
      <c r="V659" s="34" t="str">
        <f aca="false">IF(J659="","SIN DATO",IFERROR(INDEX(cat_FunN,MATCH(J659,cat_FunO,0)),J659))</f>
        <v>Protección y medición</v>
      </c>
      <c r="W659" s="34" t="str">
        <f aca="false">IF(OR(S659="SIN DATO",T659="SIN DATO"),"No","Sí")</f>
        <v>Sí</v>
      </c>
    </row>
    <row r="660" customFormat="false" ht="15" hidden="false" customHeight="false" outlineLevel="0" collapsed="false">
      <c r="A660" s="34" t="s">
        <v>2564</v>
      </c>
      <c r="B660" s="34" t="s">
        <v>2565</v>
      </c>
      <c r="C660" s="34" t="s">
        <v>2566</v>
      </c>
      <c r="D660" s="34" t="s">
        <v>2430</v>
      </c>
      <c r="E660" s="34" t="s">
        <v>111</v>
      </c>
      <c r="F660" s="34" t="s">
        <v>1602</v>
      </c>
      <c r="G660" s="34" t="s">
        <v>2431</v>
      </c>
      <c r="H660" s="34" t="s">
        <v>34</v>
      </c>
      <c r="I660" s="34" t="s">
        <v>36</v>
      </c>
      <c r="J660" s="34" t="s">
        <v>681</v>
      </c>
      <c r="K660" s="34" t="s">
        <v>229</v>
      </c>
      <c r="L660" s="34" t="s">
        <v>230</v>
      </c>
      <c r="M660" s="34" t="s">
        <v>682</v>
      </c>
      <c r="N660" s="34" t="str">
        <f aca="false">"Sector "&amp;VALUE(MID(D660,13,2))</f>
        <v>Sector 1</v>
      </c>
      <c r="O660" s="34" t="str">
        <f aca="false">IF(Dashboard!$C$5="Ubicación técnica",N660,"Sector "&amp;VALUE(RIGHT(G660,2)))</f>
        <v>Sector 1</v>
      </c>
      <c r="P660" s="34" t="str">
        <f aca="false">IF(MID(D660,15,3)="SEL","Subestación eléctrica","Área de proceso")</f>
        <v>Subestación eléctrica</v>
      </c>
      <c r="Q660" s="34" t="str">
        <f aca="false">MID(D660,13,5)&amp;"|"&amp;MID(D660,19,5)</f>
        <v>01SEL|S12_1</v>
      </c>
      <c r="R660" s="34" t="str">
        <f aca="false">IF(P660="Subestación eléctrica",IFERROR(INDEX(cat_SubN,MATCH(Q660,cat_SubK,0)),"SIN CATALOGAR"),"ÁREA DE PROCESO")</f>
        <v>SE-12-1</v>
      </c>
      <c r="S660" s="34" t="str">
        <f aca="false">IF(H660="","SIN DATO",IFERROR(INDEX(cat_MarcaN,MATCH(H660,cat_MarcaO,0)),H660))</f>
        <v>ABB</v>
      </c>
      <c r="T660" s="34" t="str">
        <f aca="false">IF(I660="","SIN DATO",IFERROR(INDEX(cat_ModN,MATCH(I660,cat_ModO,0)),I660))</f>
        <v>1AFFAEAGNEC5BNA11G</v>
      </c>
      <c r="U660" s="34" t="str">
        <f aca="false">IF(I660="","",IFERROR(INDEX(cat_ModG,MATCH(I660,cat_ModO,0)),"No"))</f>
        <v>No</v>
      </c>
      <c r="V660" s="34" t="str">
        <f aca="false">IF(J660="","SIN DATO",IFERROR(INDEX(cat_FunN,MATCH(J660,cat_FunO,0)),J660))</f>
        <v>Protección</v>
      </c>
      <c r="W660" s="34" t="str">
        <f aca="false">IF(OR(S660="SIN DATO",T660="SIN DATO"),"No","Sí")</f>
        <v>Sí</v>
      </c>
    </row>
    <row r="661" customFormat="false" ht="15" hidden="false" customHeight="false" outlineLevel="0" collapsed="false">
      <c r="A661" s="34" t="s">
        <v>2567</v>
      </c>
      <c r="B661" s="34" t="s">
        <v>2568</v>
      </c>
      <c r="C661" s="34" t="s">
        <v>2569</v>
      </c>
      <c r="D661" s="34" t="s">
        <v>2570</v>
      </c>
      <c r="E661" s="34" t="s">
        <v>172</v>
      </c>
      <c r="F661" s="34" t="s">
        <v>1602</v>
      </c>
      <c r="G661" s="34" t="s">
        <v>227</v>
      </c>
      <c r="H661" s="34" t="s">
        <v>73</v>
      </c>
      <c r="I661" s="34" t="s">
        <v>77</v>
      </c>
      <c r="J661" s="34" t="s">
        <v>228</v>
      </c>
      <c r="K661" s="34" t="s">
        <v>236</v>
      </c>
      <c r="L661" s="34" t="s">
        <v>230</v>
      </c>
      <c r="M661" s="34" t="s">
        <v>237</v>
      </c>
      <c r="N661" s="34" t="str">
        <f aca="false">"Sector "&amp;VALUE(MID(D661,13,2))</f>
        <v>Sector 8</v>
      </c>
      <c r="O661" s="34" t="str">
        <f aca="false">IF(Dashboard!$C$5="Ubicación técnica",N661,"Sector "&amp;VALUE(RIGHT(G661,2)))</f>
        <v>Sector 8</v>
      </c>
      <c r="P661" s="34" t="str">
        <f aca="false">IF(MID(D661,15,3)="SEL","Subestación eléctrica","Área de proceso")</f>
        <v>Subestación eléctrica</v>
      </c>
      <c r="Q661" s="34" t="str">
        <f aca="false">MID(D661,13,5)&amp;"|"&amp;MID(D661,19,5)</f>
        <v>08SEL|S_017</v>
      </c>
      <c r="R661" s="34" t="str">
        <f aca="false">IF(P661="Subestación eléctrica",IFERROR(INDEX(cat_SubN,MATCH(Q661,cat_SubK,0)),"SIN CATALOGAR"),"ÁREA DE PROCESO")</f>
        <v>SE-17</v>
      </c>
      <c r="S661" s="34" t="str">
        <f aca="false">IF(H661="","SIN DATO",IFERROR(INDEX(cat_MarcaN,MATCH(H661,cat_MarcaO,0)),H661))</f>
        <v>SIEMENS</v>
      </c>
      <c r="T661" s="34" t="str">
        <f aca="false">IF(I661="","SIN DATO",IFERROR(INDEX(cat_ModN,MATCH(I661,cat_ModO,0)),I661))</f>
        <v>7SR5711</v>
      </c>
      <c r="U661" s="34" t="str">
        <f aca="false">IF(I661="","",IFERROR(INDEX(cat_ModG,MATCH(I661,cat_ModO,0)),"No"))</f>
        <v>No</v>
      </c>
      <c r="V661" s="34" t="str">
        <f aca="false">IF(J661="","SIN DATO",IFERROR(INDEX(cat_FunN,MATCH(J661,cat_FunO,0)),J661))</f>
        <v>Protección y medición</v>
      </c>
      <c r="W661" s="34" t="str">
        <f aca="false">IF(OR(S661="SIN DATO",T661="SIN DATO"),"No","Sí")</f>
        <v>Sí</v>
      </c>
    </row>
    <row r="662" customFormat="false" ht="15" hidden="false" customHeight="false" outlineLevel="0" collapsed="false">
      <c r="A662" s="34" t="s">
        <v>2571</v>
      </c>
      <c r="B662" s="34" t="s">
        <v>2572</v>
      </c>
      <c r="C662" s="34" t="s">
        <v>2573</v>
      </c>
      <c r="D662" s="34" t="s">
        <v>2574</v>
      </c>
      <c r="E662" s="34" t="s">
        <v>172</v>
      </c>
      <c r="F662" s="34" t="s">
        <v>1602</v>
      </c>
      <c r="G662" s="34" t="s">
        <v>227</v>
      </c>
      <c r="H662" s="34" t="s">
        <v>73</v>
      </c>
      <c r="I662" s="34" t="s">
        <v>77</v>
      </c>
      <c r="J662" s="34" t="s">
        <v>228</v>
      </c>
      <c r="K662" s="34" t="s">
        <v>236</v>
      </c>
      <c r="L662" s="34" t="s">
        <v>230</v>
      </c>
      <c r="M662" s="34" t="s">
        <v>237</v>
      </c>
      <c r="N662" s="34" t="str">
        <f aca="false">"Sector "&amp;VALUE(MID(D662,13,2))</f>
        <v>Sector 8</v>
      </c>
      <c r="O662" s="34" t="str">
        <f aca="false">IF(Dashboard!$C$5="Ubicación técnica",N662,"Sector "&amp;VALUE(RIGHT(G662,2)))</f>
        <v>Sector 8</v>
      </c>
      <c r="P662" s="34" t="str">
        <f aca="false">IF(MID(D662,15,3)="SEL","Subestación eléctrica","Área de proceso")</f>
        <v>Subestación eléctrica</v>
      </c>
      <c r="Q662" s="34" t="str">
        <f aca="false">MID(D662,13,5)&amp;"|"&amp;MID(D662,19,5)</f>
        <v>08SEL|S_017</v>
      </c>
      <c r="R662" s="34" t="str">
        <f aca="false">IF(P662="Subestación eléctrica",IFERROR(INDEX(cat_SubN,MATCH(Q662,cat_SubK,0)),"SIN CATALOGAR"),"ÁREA DE PROCESO")</f>
        <v>SE-17</v>
      </c>
      <c r="S662" s="34" t="str">
        <f aca="false">IF(H662="","SIN DATO",IFERROR(INDEX(cat_MarcaN,MATCH(H662,cat_MarcaO,0)),H662))</f>
        <v>SIEMENS</v>
      </c>
      <c r="T662" s="34" t="str">
        <f aca="false">IF(I662="","SIN DATO",IFERROR(INDEX(cat_ModN,MATCH(I662,cat_ModO,0)),I662))</f>
        <v>7SR5711</v>
      </c>
      <c r="U662" s="34" t="str">
        <f aca="false">IF(I662="","",IFERROR(INDEX(cat_ModG,MATCH(I662,cat_ModO,0)),"No"))</f>
        <v>No</v>
      </c>
      <c r="V662" s="34" t="str">
        <f aca="false">IF(J662="","SIN DATO",IFERROR(INDEX(cat_FunN,MATCH(J662,cat_FunO,0)),J662))</f>
        <v>Protección y medición</v>
      </c>
      <c r="W662" s="34" t="str">
        <f aca="false">IF(OR(S662="SIN DATO",T662="SIN DATO"),"No","Sí")</f>
        <v>Sí</v>
      </c>
    </row>
    <row r="663" customFormat="false" ht="15" hidden="false" customHeight="false" outlineLevel="0" collapsed="false">
      <c r="A663" s="34" t="s">
        <v>2575</v>
      </c>
      <c r="B663" s="34" t="s">
        <v>2576</v>
      </c>
      <c r="C663" s="34" t="s">
        <v>2577</v>
      </c>
      <c r="D663" s="34" t="s">
        <v>2570</v>
      </c>
      <c r="E663" s="34" t="s">
        <v>172</v>
      </c>
      <c r="F663" s="34" t="s">
        <v>1602</v>
      </c>
      <c r="G663" s="34" t="s">
        <v>227</v>
      </c>
      <c r="H663" s="34" t="s">
        <v>73</v>
      </c>
      <c r="I663" s="34" t="s">
        <v>77</v>
      </c>
      <c r="J663" s="34" t="s">
        <v>228</v>
      </c>
      <c r="K663" s="34" t="s">
        <v>236</v>
      </c>
      <c r="L663" s="34" t="s">
        <v>230</v>
      </c>
      <c r="M663" s="34" t="s">
        <v>237</v>
      </c>
      <c r="N663" s="34" t="str">
        <f aca="false">"Sector "&amp;VALUE(MID(D663,13,2))</f>
        <v>Sector 8</v>
      </c>
      <c r="O663" s="34" t="str">
        <f aca="false">IF(Dashboard!$C$5="Ubicación técnica",N663,"Sector "&amp;VALUE(RIGHT(G663,2)))</f>
        <v>Sector 8</v>
      </c>
      <c r="P663" s="34" t="str">
        <f aca="false">IF(MID(D663,15,3)="SEL","Subestación eléctrica","Área de proceso")</f>
        <v>Subestación eléctrica</v>
      </c>
      <c r="Q663" s="34" t="str">
        <f aca="false">MID(D663,13,5)&amp;"|"&amp;MID(D663,19,5)</f>
        <v>08SEL|S_017</v>
      </c>
      <c r="R663" s="34" t="str">
        <f aca="false">IF(P663="Subestación eléctrica",IFERROR(INDEX(cat_SubN,MATCH(Q663,cat_SubK,0)),"SIN CATALOGAR"),"ÁREA DE PROCESO")</f>
        <v>SE-17</v>
      </c>
      <c r="S663" s="34" t="str">
        <f aca="false">IF(H663="","SIN DATO",IFERROR(INDEX(cat_MarcaN,MATCH(H663,cat_MarcaO,0)),H663))</f>
        <v>SIEMENS</v>
      </c>
      <c r="T663" s="34" t="str">
        <f aca="false">IF(I663="","SIN DATO",IFERROR(INDEX(cat_ModN,MATCH(I663,cat_ModO,0)),I663))</f>
        <v>7SR5711</v>
      </c>
      <c r="U663" s="34" t="str">
        <f aca="false">IF(I663="","",IFERROR(INDEX(cat_ModG,MATCH(I663,cat_ModO,0)),"No"))</f>
        <v>No</v>
      </c>
      <c r="V663" s="34" t="str">
        <f aca="false">IF(J663="","SIN DATO",IFERROR(INDEX(cat_FunN,MATCH(J663,cat_FunO,0)),J663))</f>
        <v>Protección y medición</v>
      </c>
      <c r="W663" s="34" t="str">
        <f aca="false">IF(OR(S663="SIN DATO",T663="SIN DATO"),"No","Sí")</f>
        <v>Sí</v>
      </c>
    </row>
    <row r="664" customFormat="false" ht="15" hidden="false" customHeight="false" outlineLevel="0" collapsed="false">
      <c r="A664" s="34" t="s">
        <v>2578</v>
      </c>
      <c r="B664" s="34" t="s">
        <v>2579</v>
      </c>
      <c r="C664" s="34" t="s">
        <v>2580</v>
      </c>
      <c r="D664" s="34" t="s">
        <v>2570</v>
      </c>
      <c r="E664" s="34" t="s">
        <v>172</v>
      </c>
      <c r="F664" s="34" t="s">
        <v>1602</v>
      </c>
      <c r="G664" s="34" t="s">
        <v>227</v>
      </c>
      <c r="H664" s="34" t="s">
        <v>73</v>
      </c>
      <c r="I664" s="34" t="s">
        <v>77</v>
      </c>
      <c r="J664" s="34" t="s">
        <v>228</v>
      </c>
      <c r="K664" s="34" t="s">
        <v>236</v>
      </c>
      <c r="L664" s="34" t="s">
        <v>230</v>
      </c>
      <c r="M664" s="34" t="s">
        <v>237</v>
      </c>
      <c r="N664" s="34" t="str">
        <f aca="false">"Sector "&amp;VALUE(MID(D664,13,2))</f>
        <v>Sector 8</v>
      </c>
      <c r="O664" s="34" t="str">
        <f aca="false">IF(Dashboard!$C$5="Ubicación técnica",N664,"Sector "&amp;VALUE(RIGHT(G664,2)))</f>
        <v>Sector 8</v>
      </c>
      <c r="P664" s="34" t="str">
        <f aca="false">IF(MID(D664,15,3)="SEL","Subestación eléctrica","Área de proceso")</f>
        <v>Subestación eléctrica</v>
      </c>
      <c r="Q664" s="34" t="str">
        <f aca="false">MID(D664,13,5)&amp;"|"&amp;MID(D664,19,5)</f>
        <v>08SEL|S_017</v>
      </c>
      <c r="R664" s="34" t="str">
        <f aca="false">IF(P664="Subestación eléctrica",IFERROR(INDEX(cat_SubN,MATCH(Q664,cat_SubK,0)),"SIN CATALOGAR"),"ÁREA DE PROCESO")</f>
        <v>SE-17</v>
      </c>
      <c r="S664" s="34" t="str">
        <f aca="false">IF(H664="","SIN DATO",IFERROR(INDEX(cat_MarcaN,MATCH(H664,cat_MarcaO,0)),H664))</f>
        <v>SIEMENS</v>
      </c>
      <c r="T664" s="34" t="str">
        <f aca="false">IF(I664="","SIN DATO",IFERROR(INDEX(cat_ModN,MATCH(I664,cat_ModO,0)),I664))</f>
        <v>7SR5711</v>
      </c>
      <c r="U664" s="34" t="str">
        <f aca="false">IF(I664="","",IFERROR(INDEX(cat_ModG,MATCH(I664,cat_ModO,0)),"No"))</f>
        <v>No</v>
      </c>
      <c r="V664" s="34" t="str">
        <f aca="false">IF(J664="","SIN DATO",IFERROR(INDEX(cat_FunN,MATCH(J664,cat_FunO,0)),J664))</f>
        <v>Protección y medición</v>
      </c>
      <c r="W664" s="34" t="str">
        <f aca="false">IF(OR(S664="SIN DATO",T664="SIN DATO"),"No","Sí")</f>
        <v>Sí</v>
      </c>
    </row>
    <row r="665" customFormat="false" ht="15" hidden="false" customHeight="false" outlineLevel="0" collapsed="false">
      <c r="A665" s="34" t="s">
        <v>2581</v>
      </c>
      <c r="B665" s="34" t="s">
        <v>2582</v>
      </c>
      <c r="C665" s="34" t="s">
        <v>2583</v>
      </c>
      <c r="D665" s="34" t="s">
        <v>2574</v>
      </c>
      <c r="E665" s="34" t="s">
        <v>172</v>
      </c>
      <c r="F665" s="34" t="s">
        <v>1602</v>
      </c>
      <c r="G665" s="34" t="s">
        <v>227</v>
      </c>
      <c r="H665" s="34" t="s">
        <v>73</v>
      </c>
      <c r="I665" s="34" t="s">
        <v>77</v>
      </c>
      <c r="J665" s="34" t="s">
        <v>228</v>
      </c>
      <c r="K665" s="34" t="s">
        <v>236</v>
      </c>
      <c r="L665" s="34" t="s">
        <v>230</v>
      </c>
      <c r="M665" s="34" t="s">
        <v>237</v>
      </c>
      <c r="N665" s="34" t="str">
        <f aca="false">"Sector "&amp;VALUE(MID(D665,13,2))</f>
        <v>Sector 8</v>
      </c>
      <c r="O665" s="34" t="str">
        <f aca="false">IF(Dashboard!$C$5="Ubicación técnica",N665,"Sector "&amp;VALUE(RIGHT(G665,2)))</f>
        <v>Sector 8</v>
      </c>
      <c r="P665" s="34" t="str">
        <f aca="false">IF(MID(D665,15,3)="SEL","Subestación eléctrica","Área de proceso")</f>
        <v>Subestación eléctrica</v>
      </c>
      <c r="Q665" s="34" t="str">
        <f aca="false">MID(D665,13,5)&amp;"|"&amp;MID(D665,19,5)</f>
        <v>08SEL|S_017</v>
      </c>
      <c r="R665" s="34" t="str">
        <f aca="false">IF(P665="Subestación eléctrica",IFERROR(INDEX(cat_SubN,MATCH(Q665,cat_SubK,0)),"SIN CATALOGAR"),"ÁREA DE PROCESO")</f>
        <v>SE-17</v>
      </c>
      <c r="S665" s="34" t="str">
        <f aca="false">IF(H665="","SIN DATO",IFERROR(INDEX(cat_MarcaN,MATCH(H665,cat_MarcaO,0)),H665))</f>
        <v>SIEMENS</v>
      </c>
      <c r="T665" s="34" t="str">
        <f aca="false">IF(I665="","SIN DATO",IFERROR(INDEX(cat_ModN,MATCH(I665,cat_ModO,0)),I665))</f>
        <v>7SR5711</v>
      </c>
      <c r="U665" s="34" t="str">
        <f aca="false">IF(I665="","",IFERROR(INDEX(cat_ModG,MATCH(I665,cat_ModO,0)),"No"))</f>
        <v>No</v>
      </c>
      <c r="V665" s="34" t="str">
        <f aca="false">IF(J665="","SIN DATO",IFERROR(INDEX(cat_FunN,MATCH(J665,cat_FunO,0)),J665))</f>
        <v>Protección y medición</v>
      </c>
      <c r="W665" s="34" t="str">
        <f aca="false">IF(OR(S665="SIN DATO",T665="SIN DATO"),"No","Sí")</f>
        <v>Sí</v>
      </c>
    </row>
    <row r="666" customFormat="false" ht="15" hidden="false" customHeight="false" outlineLevel="0" collapsed="false">
      <c r="A666" s="34" t="s">
        <v>2584</v>
      </c>
      <c r="B666" s="34" t="s">
        <v>2585</v>
      </c>
      <c r="C666" s="34" t="s">
        <v>2586</v>
      </c>
      <c r="D666" s="34" t="s">
        <v>2587</v>
      </c>
      <c r="E666" s="34" t="s">
        <v>172</v>
      </c>
      <c r="F666" s="34" t="s">
        <v>1602</v>
      </c>
      <c r="G666" s="34" t="s">
        <v>227</v>
      </c>
      <c r="H666" s="34" t="s">
        <v>73</v>
      </c>
      <c r="I666" s="34" t="s">
        <v>77</v>
      </c>
      <c r="J666" s="34" t="s">
        <v>228</v>
      </c>
      <c r="K666" s="34" t="s">
        <v>236</v>
      </c>
      <c r="L666" s="34" t="s">
        <v>230</v>
      </c>
      <c r="M666" s="34" t="s">
        <v>237</v>
      </c>
      <c r="N666" s="34" t="str">
        <f aca="false">"Sector "&amp;VALUE(MID(D666,13,2))</f>
        <v>Sector 8</v>
      </c>
      <c r="O666" s="34" t="str">
        <f aca="false">IF(Dashboard!$C$5="Ubicación técnica",N666,"Sector "&amp;VALUE(RIGHT(G666,2)))</f>
        <v>Sector 8</v>
      </c>
      <c r="P666" s="34" t="str">
        <f aca="false">IF(MID(D666,15,3)="SEL","Subestación eléctrica","Área de proceso")</f>
        <v>Subestación eléctrica</v>
      </c>
      <c r="Q666" s="34" t="str">
        <f aca="false">MID(D666,13,5)&amp;"|"&amp;MID(D666,19,5)</f>
        <v>08SEL|S_017</v>
      </c>
      <c r="R666" s="34" t="str">
        <f aca="false">IF(P666="Subestación eléctrica",IFERROR(INDEX(cat_SubN,MATCH(Q666,cat_SubK,0)),"SIN CATALOGAR"),"ÁREA DE PROCESO")</f>
        <v>SE-17</v>
      </c>
      <c r="S666" s="34" t="str">
        <f aca="false">IF(H666="","SIN DATO",IFERROR(INDEX(cat_MarcaN,MATCH(H666,cat_MarcaO,0)),H666))</f>
        <v>SIEMENS</v>
      </c>
      <c r="T666" s="34" t="str">
        <f aca="false">IF(I666="","SIN DATO",IFERROR(INDEX(cat_ModN,MATCH(I666,cat_ModO,0)),I666))</f>
        <v>7SR5711</v>
      </c>
      <c r="U666" s="34" t="str">
        <f aca="false">IF(I666="","",IFERROR(INDEX(cat_ModG,MATCH(I666,cat_ModO,0)),"No"))</f>
        <v>No</v>
      </c>
      <c r="V666" s="34" t="str">
        <f aca="false">IF(J666="","SIN DATO",IFERROR(INDEX(cat_FunN,MATCH(J666,cat_FunO,0)),J666))</f>
        <v>Protección y medición</v>
      </c>
      <c r="W666" s="34" t="str">
        <f aca="false">IF(OR(S666="SIN DATO",T666="SIN DATO"),"No","Sí")</f>
        <v>Sí</v>
      </c>
    </row>
    <row r="667" customFormat="false" ht="15" hidden="false" customHeight="false" outlineLevel="0" collapsed="false">
      <c r="A667" s="34" t="s">
        <v>2588</v>
      </c>
      <c r="B667" s="34" t="s">
        <v>2589</v>
      </c>
      <c r="C667" s="34" t="s">
        <v>2590</v>
      </c>
      <c r="D667" s="34" t="s">
        <v>2591</v>
      </c>
      <c r="E667" s="34" t="s">
        <v>172</v>
      </c>
      <c r="F667" s="34" t="s">
        <v>1602</v>
      </c>
      <c r="G667" s="34" t="s">
        <v>227</v>
      </c>
      <c r="H667" s="34" t="s">
        <v>73</v>
      </c>
      <c r="I667" s="34" t="s">
        <v>77</v>
      </c>
      <c r="J667" s="34" t="s">
        <v>228</v>
      </c>
      <c r="K667" s="34" t="s">
        <v>236</v>
      </c>
      <c r="L667" s="34" t="s">
        <v>230</v>
      </c>
      <c r="M667" s="34" t="s">
        <v>237</v>
      </c>
      <c r="N667" s="34" t="str">
        <f aca="false">"Sector "&amp;VALUE(MID(D667,13,2))</f>
        <v>Sector 8</v>
      </c>
      <c r="O667" s="34" t="str">
        <f aca="false">IF(Dashboard!$C$5="Ubicación técnica",N667,"Sector "&amp;VALUE(RIGHT(G667,2)))</f>
        <v>Sector 8</v>
      </c>
      <c r="P667" s="34" t="str">
        <f aca="false">IF(MID(D667,15,3)="SEL","Subestación eléctrica","Área de proceso")</f>
        <v>Subestación eléctrica</v>
      </c>
      <c r="Q667" s="34" t="str">
        <f aca="false">MID(D667,13,5)&amp;"|"&amp;MID(D667,19,5)</f>
        <v>08SEL|S_017</v>
      </c>
      <c r="R667" s="34" t="str">
        <f aca="false">IF(P667="Subestación eléctrica",IFERROR(INDEX(cat_SubN,MATCH(Q667,cat_SubK,0)),"SIN CATALOGAR"),"ÁREA DE PROCESO")</f>
        <v>SE-17</v>
      </c>
      <c r="S667" s="34" t="str">
        <f aca="false">IF(H667="","SIN DATO",IFERROR(INDEX(cat_MarcaN,MATCH(H667,cat_MarcaO,0)),H667))</f>
        <v>SIEMENS</v>
      </c>
      <c r="T667" s="34" t="str">
        <f aca="false">IF(I667="","SIN DATO",IFERROR(INDEX(cat_ModN,MATCH(I667,cat_ModO,0)),I667))</f>
        <v>7SR5711</v>
      </c>
      <c r="U667" s="34" t="str">
        <f aca="false">IF(I667="","",IFERROR(INDEX(cat_ModG,MATCH(I667,cat_ModO,0)),"No"))</f>
        <v>No</v>
      </c>
      <c r="V667" s="34" t="str">
        <f aca="false">IF(J667="","SIN DATO",IFERROR(INDEX(cat_FunN,MATCH(J667,cat_FunO,0)),J667))</f>
        <v>Protección y medición</v>
      </c>
      <c r="W667" s="34" t="str">
        <f aca="false">IF(OR(S667="SIN DATO",T667="SIN DATO"),"No","Sí")</f>
        <v>Sí</v>
      </c>
    </row>
    <row r="668" customFormat="false" ht="15" hidden="false" customHeight="false" outlineLevel="0" collapsed="false">
      <c r="A668" s="34" t="s">
        <v>2592</v>
      </c>
      <c r="B668" s="34" t="s">
        <v>2593</v>
      </c>
      <c r="C668" s="34" t="s">
        <v>2594</v>
      </c>
      <c r="D668" s="34" t="s">
        <v>2570</v>
      </c>
      <c r="E668" s="34" t="s">
        <v>172</v>
      </c>
      <c r="F668" s="34" t="s">
        <v>1602</v>
      </c>
      <c r="G668" s="34" t="s">
        <v>227</v>
      </c>
      <c r="H668" s="34" t="s">
        <v>73</v>
      </c>
      <c r="I668" s="34" t="s">
        <v>77</v>
      </c>
      <c r="J668" s="34" t="s">
        <v>228</v>
      </c>
      <c r="K668" s="34" t="s">
        <v>236</v>
      </c>
      <c r="L668" s="34" t="s">
        <v>230</v>
      </c>
      <c r="M668" s="34" t="s">
        <v>237</v>
      </c>
      <c r="N668" s="34" t="str">
        <f aca="false">"Sector "&amp;VALUE(MID(D668,13,2))</f>
        <v>Sector 8</v>
      </c>
      <c r="O668" s="34" t="str">
        <f aca="false">IF(Dashboard!$C$5="Ubicación técnica",N668,"Sector "&amp;VALUE(RIGHT(G668,2)))</f>
        <v>Sector 8</v>
      </c>
      <c r="P668" s="34" t="str">
        <f aca="false">IF(MID(D668,15,3)="SEL","Subestación eléctrica","Área de proceso")</f>
        <v>Subestación eléctrica</v>
      </c>
      <c r="Q668" s="34" t="str">
        <f aca="false">MID(D668,13,5)&amp;"|"&amp;MID(D668,19,5)</f>
        <v>08SEL|S_017</v>
      </c>
      <c r="R668" s="34" t="str">
        <f aca="false">IF(P668="Subestación eléctrica",IFERROR(INDEX(cat_SubN,MATCH(Q668,cat_SubK,0)),"SIN CATALOGAR"),"ÁREA DE PROCESO")</f>
        <v>SE-17</v>
      </c>
      <c r="S668" s="34" t="str">
        <f aca="false">IF(H668="","SIN DATO",IFERROR(INDEX(cat_MarcaN,MATCH(H668,cat_MarcaO,0)),H668))</f>
        <v>SIEMENS</v>
      </c>
      <c r="T668" s="34" t="str">
        <f aca="false">IF(I668="","SIN DATO",IFERROR(INDEX(cat_ModN,MATCH(I668,cat_ModO,0)),I668))</f>
        <v>7SR5711</v>
      </c>
      <c r="U668" s="34" t="str">
        <f aca="false">IF(I668="","",IFERROR(INDEX(cat_ModG,MATCH(I668,cat_ModO,0)),"No"))</f>
        <v>No</v>
      </c>
      <c r="V668" s="34" t="str">
        <f aca="false">IF(J668="","SIN DATO",IFERROR(INDEX(cat_FunN,MATCH(J668,cat_FunO,0)),J668))</f>
        <v>Protección y medición</v>
      </c>
      <c r="W668" s="34" t="str">
        <f aca="false">IF(OR(S668="SIN DATO",T668="SIN DATO"),"No","Sí")</f>
        <v>Sí</v>
      </c>
    </row>
    <row r="669" customFormat="false" ht="15" hidden="false" customHeight="false" outlineLevel="0" collapsed="false">
      <c r="A669" s="34" t="s">
        <v>2595</v>
      </c>
      <c r="B669" s="34" t="s">
        <v>2596</v>
      </c>
      <c r="C669" s="34" t="s">
        <v>2597</v>
      </c>
      <c r="D669" s="34" t="s">
        <v>2574</v>
      </c>
      <c r="E669" s="34" t="s">
        <v>172</v>
      </c>
      <c r="F669" s="34" t="s">
        <v>1602</v>
      </c>
      <c r="G669" s="34" t="s">
        <v>227</v>
      </c>
      <c r="H669" s="34" t="s">
        <v>73</v>
      </c>
      <c r="I669" s="34" t="s">
        <v>77</v>
      </c>
      <c r="J669" s="34" t="s">
        <v>228</v>
      </c>
      <c r="K669" s="34" t="s">
        <v>236</v>
      </c>
      <c r="L669" s="34" t="s">
        <v>230</v>
      </c>
      <c r="M669" s="34" t="s">
        <v>237</v>
      </c>
      <c r="N669" s="34" t="str">
        <f aca="false">"Sector "&amp;VALUE(MID(D669,13,2))</f>
        <v>Sector 8</v>
      </c>
      <c r="O669" s="34" t="str">
        <f aca="false">IF(Dashboard!$C$5="Ubicación técnica",N669,"Sector "&amp;VALUE(RIGHT(G669,2)))</f>
        <v>Sector 8</v>
      </c>
      <c r="P669" s="34" t="str">
        <f aca="false">IF(MID(D669,15,3)="SEL","Subestación eléctrica","Área de proceso")</f>
        <v>Subestación eléctrica</v>
      </c>
      <c r="Q669" s="34" t="str">
        <f aca="false">MID(D669,13,5)&amp;"|"&amp;MID(D669,19,5)</f>
        <v>08SEL|S_017</v>
      </c>
      <c r="R669" s="34" t="str">
        <f aca="false">IF(P669="Subestación eléctrica",IFERROR(INDEX(cat_SubN,MATCH(Q669,cat_SubK,0)),"SIN CATALOGAR"),"ÁREA DE PROCESO")</f>
        <v>SE-17</v>
      </c>
      <c r="S669" s="34" t="str">
        <f aca="false">IF(H669="","SIN DATO",IFERROR(INDEX(cat_MarcaN,MATCH(H669,cat_MarcaO,0)),H669))</f>
        <v>SIEMENS</v>
      </c>
      <c r="T669" s="34" t="str">
        <f aca="false">IF(I669="","SIN DATO",IFERROR(INDEX(cat_ModN,MATCH(I669,cat_ModO,0)),I669))</f>
        <v>7SR5711</v>
      </c>
      <c r="U669" s="34" t="str">
        <f aca="false">IF(I669="","",IFERROR(INDEX(cat_ModG,MATCH(I669,cat_ModO,0)),"No"))</f>
        <v>No</v>
      </c>
      <c r="V669" s="34" t="str">
        <f aca="false">IF(J669="","SIN DATO",IFERROR(INDEX(cat_FunN,MATCH(J669,cat_FunO,0)),J669))</f>
        <v>Protección y medición</v>
      </c>
      <c r="W669" s="34" t="str">
        <f aca="false">IF(OR(S669="SIN DATO",T669="SIN DATO"),"No","Sí")</f>
        <v>Sí</v>
      </c>
    </row>
    <row r="670" customFormat="false" ht="15" hidden="false" customHeight="false" outlineLevel="0" collapsed="false">
      <c r="A670" s="34" t="s">
        <v>2598</v>
      </c>
      <c r="B670" s="34" t="s">
        <v>2599</v>
      </c>
      <c r="C670" s="34" t="s">
        <v>2600</v>
      </c>
      <c r="D670" s="34" t="s">
        <v>2587</v>
      </c>
      <c r="E670" s="34" t="s">
        <v>172</v>
      </c>
      <c r="F670" s="34" t="s">
        <v>1602</v>
      </c>
      <c r="G670" s="34" t="s">
        <v>227</v>
      </c>
      <c r="H670" s="34" t="s">
        <v>73</v>
      </c>
      <c r="I670" s="34" t="s">
        <v>80</v>
      </c>
      <c r="J670" s="34" t="s">
        <v>228</v>
      </c>
      <c r="K670" s="34" t="s">
        <v>236</v>
      </c>
      <c r="L670" s="34" t="s">
        <v>230</v>
      </c>
      <c r="M670" s="34" t="s">
        <v>237</v>
      </c>
      <c r="N670" s="34" t="str">
        <f aca="false">"Sector "&amp;VALUE(MID(D670,13,2))</f>
        <v>Sector 8</v>
      </c>
      <c r="O670" s="34" t="str">
        <f aca="false">IF(Dashboard!$C$5="Ubicación técnica",N670,"Sector "&amp;VALUE(RIGHT(G670,2)))</f>
        <v>Sector 8</v>
      </c>
      <c r="P670" s="34" t="str">
        <f aca="false">IF(MID(D670,15,3)="SEL","Subestación eléctrica","Área de proceso")</f>
        <v>Subestación eléctrica</v>
      </c>
      <c r="Q670" s="34" t="str">
        <f aca="false">MID(D670,13,5)&amp;"|"&amp;MID(D670,19,5)</f>
        <v>08SEL|S_017</v>
      </c>
      <c r="R670" s="34" t="str">
        <f aca="false">IF(P670="Subestación eléctrica",IFERROR(INDEX(cat_SubN,MATCH(Q670,cat_SubK,0)),"SIN CATALOGAR"),"ÁREA DE PROCESO")</f>
        <v>SE-17</v>
      </c>
      <c r="S670" s="34" t="str">
        <f aca="false">IF(H670="","SIN DATO",IFERROR(INDEX(cat_MarcaN,MATCH(H670,cat_MarcaO,0)),H670))</f>
        <v>SIEMENS</v>
      </c>
      <c r="T670" s="34" t="str">
        <f aca="false">IF(I670="","SIN DATO",IFERROR(INDEX(cat_ModN,MATCH(I670,cat_ModO,0)),I670))</f>
        <v>7SR5420</v>
      </c>
      <c r="U670" s="34" t="str">
        <f aca="false">IF(I670="","",IFERROR(INDEX(cat_ModG,MATCH(I670,cat_ModO,0)),"No"))</f>
        <v>No</v>
      </c>
      <c r="V670" s="34" t="str">
        <f aca="false">IF(J670="","SIN DATO",IFERROR(INDEX(cat_FunN,MATCH(J670,cat_FunO,0)),J670))</f>
        <v>Protección y medición</v>
      </c>
      <c r="W670" s="34" t="str">
        <f aca="false">IF(OR(S670="SIN DATO",T670="SIN DATO"),"No","Sí")</f>
        <v>Sí</v>
      </c>
    </row>
    <row r="671" customFormat="false" ht="15" hidden="false" customHeight="false" outlineLevel="0" collapsed="false">
      <c r="A671" s="34" t="s">
        <v>2601</v>
      </c>
      <c r="B671" s="34" t="s">
        <v>2602</v>
      </c>
      <c r="C671" s="34" t="s">
        <v>2603</v>
      </c>
      <c r="D671" s="34" t="s">
        <v>2591</v>
      </c>
      <c r="E671" s="34" t="s">
        <v>172</v>
      </c>
      <c r="F671" s="34" t="s">
        <v>1602</v>
      </c>
      <c r="G671" s="34" t="s">
        <v>227</v>
      </c>
      <c r="H671" s="34" t="s">
        <v>73</v>
      </c>
      <c r="I671" s="34" t="s">
        <v>80</v>
      </c>
      <c r="J671" s="34" t="s">
        <v>228</v>
      </c>
      <c r="K671" s="34" t="s">
        <v>236</v>
      </c>
      <c r="L671" s="34" t="s">
        <v>230</v>
      </c>
      <c r="M671" s="34" t="s">
        <v>237</v>
      </c>
      <c r="N671" s="34" t="str">
        <f aca="false">"Sector "&amp;VALUE(MID(D671,13,2))</f>
        <v>Sector 8</v>
      </c>
      <c r="O671" s="34" t="str">
        <f aca="false">IF(Dashboard!$C$5="Ubicación técnica",N671,"Sector "&amp;VALUE(RIGHT(G671,2)))</f>
        <v>Sector 8</v>
      </c>
      <c r="P671" s="34" t="str">
        <f aca="false">IF(MID(D671,15,3)="SEL","Subestación eléctrica","Área de proceso")</f>
        <v>Subestación eléctrica</v>
      </c>
      <c r="Q671" s="34" t="str">
        <f aca="false">MID(D671,13,5)&amp;"|"&amp;MID(D671,19,5)</f>
        <v>08SEL|S_017</v>
      </c>
      <c r="R671" s="34" t="str">
        <f aca="false">IF(P671="Subestación eléctrica",IFERROR(INDEX(cat_SubN,MATCH(Q671,cat_SubK,0)),"SIN CATALOGAR"),"ÁREA DE PROCESO")</f>
        <v>SE-17</v>
      </c>
      <c r="S671" s="34" t="str">
        <f aca="false">IF(H671="","SIN DATO",IFERROR(INDEX(cat_MarcaN,MATCH(H671,cat_MarcaO,0)),H671))</f>
        <v>SIEMENS</v>
      </c>
      <c r="T671" s="34" t="str">
        <f aca="false">IF(I671="","SIN DATO",IFERROR(INDEX(cat_ModN,MATCH(I671,cat_ModO,0)),I671))</f>
        <v>7SR5420</v>
      </c>
      <c r="U671" s="34" t="str">
        <f aca="false">IF(I671="","",IFERROR(INDEX(cat_ModG,MATCH(I671,cat_ModO,0)),"No"))</f>
        <v>No</v>
      </c>
      <c r="V671" s="34" t="str">
        <f aca="false">IF(J671="","SIN DATO",IFERROR(INDEX(cat_FunN,MATCH(J671,cat_FunO,0)),J671))</f>
        <v>Protección y medición</v>
      </c>
      <c r="W671" s="34" t="str">
        <f aca="false">IF(OR(S671="SIN DATO",T671="SIN DATO"),"No","Sí")</f>
        <v>Sí</v>
      </c>
    </row>
    <row r="672" customFormat="false" ht="15" hidden="false" customHeight="false" outlineLevel="0" collapsed="false">
      <c r="A672" s="34" t="s">
        <v>2604</v>
      </c>
      <c r="B672" s="34" t="s">
        <v>2605</v>
      </c>
      <c r="C672" s="34" t="s">
        <v>2606</v>
      </c>
      <c r="D672" s="34" t="s">
        <v>2607</v>
      </c>
      <c r="E672" s="34" t="s">
        <v>184</v>
      </c>
      <c r="F672" s="34" t="s">
        <v>1602</v>
      </c>
      <c r="G672" s="34" t="s">
        <v>227</v>
      </c>
      <c r="H672" s="34" t="s">
        <v>73</v>
      </c>
      <c r="I672" s="34" t="s">
        <v>77</v>
      </c>
      <c r="J672" s="34" t="s">
        <v>228</v>
      </c>
      <c r="K672" s="34" t="s">
        <v>236</v>
      </c>
      <c r="L672" s="34" t="s">
        <v>230</v>
      </c>
      <c r="M672" s="34" t="s">
        <v>237</v>
      </c>
      <c r="N672" s="34" t="str">
        <f aca="false">"Sector "&amp;VALUE(MID(D672,13,2))</f>
        <v>Sector 8</v>
      </c>
      <c r="O672" s="34" t="str">
        <f aca="false">IF(Dashboard!$C$5="Ubicación técnica",N672,"Sector "&amp;VALUE(RIGHT(G672,2)))</f>
        <v>Sector 8</v>
      </c>
      <c r="P672" s="34" t="str">
        <f aca="false">IF(MID(D672,15,3)="SEL","Subestación eléctrica","Área de proceso")</f>
        <v>Área de proceso</v>
      </c>
      <c r="Q672" s="34" t="str">
        <f aca="false">MID(D672,13,5)&amp;"|"&amp;MID(D672,19,5)</f>
        <v>08COG|SACAP</v>
      </c>
      <c r="R672" s="34" t="str">
        <f aca="false">IF(P672="Subestación eléctrica",IFERROR(INDEX(cat_SubN,MATCH(Q672,cat_SubK,0)),"SIN CATALOGAR"),"ÁREA DE PROCESO")</f>
        <v>ÁREA DE PROCESO</v>
      </c>
      <c r="S672" s="34" t="str">
        <f aca="false">IF(H672="","SIN DATO",IFERROR(INDEX(cat_MarcaN,MATCH(H672,cat_MarcaO,0)),H672))</f>
        <v>SIEMENS</v>
      </c>
      <c r="T672" s="34" t="str">
        <f aca="false">IF(I672="","SIN DATO",IFERROR(INDEX(cat_ModN,MATCH(I672,cat_ModO,0)),I672))</f>
        <v>7SR5711</v>
      </c>
      <c r="U672" s="34" t="str">
        <f aca="false">IF(I672="","",IFERROR(INDEX(cat_ModG,MATCH(I672,cat_ModO,0)),"No"))</f>
        <v>No</v>
      </c>
      <c r="V672" s="34" t="str">
        <f aca="false">IF(J672="","SIN DATO",IFERROR(INDEX(cat_FunN,MATCH(J672,cat_FunO,0)),J672))</f>
        <v>Protección y medición</v>
      </c>
      <c r="W672" s="34" t="str">
        <f aca="false">IF(OR(S672="SIN DATO",T672="SIN DATO"),"No","Sí")</f>
        <v>Sí</v>
      </c>
    </row>
    <row r="673" customFormat="false" ht="15" hidden="false" customHeight="false" outlineLevel="0" collapsed="false">
      <c r="A673" s="34" t="s">
        <v>2608</v>
      </c>
      <c r="B673" s="34" t="s">
        <v>2609</v>
      </c>
      <c r="C673" s="34" t="s">
        <v>2610</v>
      </c>
      <c r="D673" s="34" t="s">
        <v>2611</v>
      </c>
      <c r="E673" s="34" t="s">
        <v>184</v>
      </c>
      <c r="F673" s="34" t="s">
        <v>1602</v>
      </c>
      <c r="G673" s="34" t="s">
        <v>227</v>
      </c>
      <c r="H673" s="34" t="s">
        <v>73</v>
      </c>
      <c r="I673" s="34" t="s">
        <v>77</v>
      </c>
      <c r="J673" s="34" t="s">
        <v>228</v>
      </c>
      <c r="K673" s="34" t="s">
        <v>236</v>
      </c>
      <c r="L673" s="34" t="s">
        <v>230</v>
      </c>
      <c r="M673" s="34" t="s">
        <v>237</v>
      </c>
      <c r="N673" s="34" t="str">
        <f aca="false">"Sector "&amp;VALUE(MID(D673,13,2))</f>
        <v>Sector 8</v>
      </c>
      <c r="O673" s="34" t="str">
        <f aca="false">IF(Dashboard!$C$5="Ubicación técnica",N673,"Sector "&amp;VALUE(RIGHT(G673,2)))</f>
        <v>Sector 8</v>
      </c>
      <c r="P673" s="34" t="str">
        <f aca="false">IF(MID(D673,15,3)="SEL","Subestación eléctrica","Área de proceso")</f>
        <v>Área de proceso</v>
      </c>
      <c r="Q673" s="34" t="str">
        <f aca="false">MID(D673,13,5)&amp;"|"&amp;MID(D673,19,5)</f>
        <v>08COG|SACAP</v>
      </c>
      <c r="R673" s="34" t="str">
        <f aca="false">IF(P673="Subestación eléctrica",IFERROR(INDEX(cat_SubN,MATCH(Q673,cat_SubK,0)),"SIN CATALOGAR"),"ÁREA DE PROCESO")</f>
        <v>ÁREA DE PROCESO</v>
      </c>
      <c r="S673" s="34" t="str">
        <f aca="false">IF(H673="","SIN DATO",IFERROR(INDEX(cat_MarcaN,MATCH(H673,cat_MarcaO,0)),H673))</f>
        <v>SIEMENS</v>
      </c>
      <c r="T673" s="34" t="str">
        <f aca="false">IF(I673="","SIN DATO",IFERROR(INDEX(cat_ModN,MATCH(I673,cat_ModO,0)),I673))</f>
        <v>7SR5711</v>
      </c>
      <c r="U673" s="34" t="str">
        <f aca="false">IF(I673="","",IFERROR(INDEX(cat_ModG,MATCH(I673,cat_ModO,0)),"No"))</f>
        <v>No</v>
      </c>
      <c r="V673" s="34" t="str">
        <f aca="false">IF(J673="","SIN DATO",IFERROR(INDEX(cat_FunN,MATCH(J673,cat_FunO,0)),J673))</f>
        <v>Protección y medición</v>
      </c>
      <c r="W673" s="34" t="str">
        <f aca="false">IF(OR(S673="SIN DATO",T673="SIN DATO"),"No","Sí")</f>
        <v>Sí</v>
      </c>
    </row>
    <row r="674" customFormat="false" ht="15" hidden="false" customHeight="false" outlineLevel="0" collapsed="false">
      <c r="A674" s="34" t="s">
        <v>2612</v>
      </c>
      <c r="B674" s="34" t="s">
        <v>2613</v>
      </c>
      <c r="C674" s="34" t="s">
        <v>2614</v>
      </c>
      <c r="D674" s="34" t="s">
        <v>2615</v>
      </c>
      <c r="E674" s="34" t="s">
        <v>184</v>
      </c>
      <c r="F674" s="34" t="s">
        <v>1602</v>
      </c>
      <c r="G674" s="34" t="s">
        <v>227</v>
      </c>
      <c r="H674" s="34" t="s">
        <v>73</v>
      </c>
      <c r="I674" s="34" t="s">
        <v>77</v>
      </c>
      <c r="J674" s="34" t="s">
        <v>228</v>
      </c>
      <c r="K674" s="34" t="s">
        <v>236</v>
      </c>
      <c r="L674" s="34" t="s">
        <v>230</v>
      </c>
      <c r="M674" s="34" t="s">
        <v>237</v>
      </c>
      <c r="N674" s="34" t="str">
        <f aca="false">"Sector "&amp;VALUE(MID(D674,13,2))</f>
        <v>Sector 8</v>
      </c>
      <c r="O674" s="34" t="str">
        <f aca="false">IF(Dashboard!$C$5="Ubicación técnica",N674,"Sector "&amp;VALUE(RIGHT(G674,2)))</f>
        <v>Sector 8</v>
      </c>
      <c r="P674" s="34" t="str">
        <f aca="false">IF(MID(D674,15,3)="SEL","Subestación eléctrica","Área de proceso")</f>
        <v>Área de proceso</v>
      </c>
      <c r="Q674" s="34" t="str">
        <f aca="false">MID(D674,13,5)&amp;"|"&amp;MID(D674,19,5)</f>
        <v>08COG|SACAP</v>
      </c>
      <c r="R674" s="34" t="str">
        <f aca="false">IF(P674="Subestación eléctrica",IFERROR(INDEX(cat_SubN,MATCH(Q674,cat_SubK,0)),"SIN CATALOGAR"),"ÁREA DE PROCESO")</f>
        <v>ÁREA DE PROCESO</v>
      </c>
      <c r="S674" s="34" t="str">
        <f aca="false">IF(H674="","SIN DATO",IFERROR(INDEX(cat_MarcaN,MATCH(H674,cat_MarcaO,0)),H674))</f>
        <v>SIEMENS</v>
      </c>
      <c r="T674" s="34" t="str">
        <f aca="false">IF(I674="","SIN DATO",IFERROR(INDEX(cat_ModN,MATCH(I674,cat_ModO,0)),I674))</f>
        <v>7SR5711</v>
      </c>
      <c r="U674" s="34" t="str">
        <f aca="false">IF(I674="","",IFERROR(INDEX(cat_ModG,MATCH(I674,cat_ModO,0)),"No"))</f>
        <v>No</v>
      </c>
      <c r="V674" s="34" t="str">
        <f aca="false">IF(J674="","SIN DATO",IFERROR(INDEX(cat_FunN,MATCH(J674,cat_FunO,0)),J674))</f>
        <v>Protección y medición</v>
      </c>
      <c r="W674" s="34" t="str">
        <f aca="false">IF(OR(S674="SIN DATO",T674="SIN DATO"),"No","Sí")</f>
        <v>Sí</v>
      </c>
    </row>
    <row r="675" customFormat="false" ht="15" hidden="false" customHeight="false" outlineLevel="0" collapsed="false">
      <c r="A675" s="34" t="s">
        <v>2616</v>
      </c>
      <c r="B675" s="34" t="s">
        <v>2617</v>
      </c>
      <c r="C675" s="34" t="s">
        <v>2618</v>
      </c>
      <c r="D675" s="34" t="s">
        <v>2619</v>
      </c>
      <c r="E675" s="34" t="s">
        <v>184</v>
      </c>
      <c r="F675" s="34" t="s">
        <v>1602</v>
      </c>
      <c r="G675" s="34" t="s">
        <v>227</v>
      </c>
      <c r="H675" s="34" t="s">
        <v>73</v>
      </c>
      <c r="I675" s="34" t="s">
        <v>77</v>
      </c>
      <c r="J675" s="34" t="s">
        <v>228</v>
      </c>
      <c r="K675" s="34" t="s">
        <v>236</v>
      </c>
      <c r="L675" s="34" t="s">
        <v>230</v>
      </c>
      <c r="M675" s="34" t="s">
        <v>237</v>
      </c>
      <c r="N675" s="34" t="str">
        <f aca="false">"Sector "&amp;VALUE(MID(D675,13,2))</f>
        <v>Sector 8</v>
      </c>
      <c r="O675" s="34" t="str">
        <f aca="false">IF(Dashboard!$C$5="Ubicación técnica",N675,"Sector "&amp;VALUE(RIGHT(G675,2)))</f>
        <v>Sector 8</v>
      </c>
      <c r="P675" s="34" t="str">
        <f aca="false">IF(MID(D675,15,3)="SEL","Subestación eléctrica","Área de proceso")</f>
        <v>Área de proceso</v>
      </c>
      <c r="Q675" s="34" t="str">
        <f aca="false">MID(D675,13,5)&amp;"|"&amp;MID(D675,19,5)</f>
        <v>08COG|SACAP</v>
      </c>
      <c r="R675" s="34" t="str">
        <f aca="false">IF(P675="Subestación eléctrica",IFERROR(INDEX(cat_SubN,MATCH(Q675,cat_SubK,0)),"SIN CATALOGAR"),"ÁREA DE PROCESO")</f>
        <v>ÁREA DE PROCESO</v>
      </c>
      <c r="S675" s="34" t="str">
        <f aca="false">IF(H675="","SIN DATO",IFERROR(INDEX(cat_MarcaN,MATCH(H675,cat_MarcaO,0)),H675))</f>
        <v>SIEMENS</v>
      </c>
      <c r="T675" s="34" t="str">
        <f aca="false">IF(I675="","SIN DATO",IFERROR(INDEX(cat_ModN,MATCH(I675,cat_ModO,0)),I675))</f>
        <v>7SR5711</v>
      </c>
      <c r="U675" s="34" t="str">
        <f aca="false">IF(I675="","",IFERROR(INDEX(cat_ModG,MATCH(I675,cat_ModO,0)),"No"))</f>
        <v>No</v>
      </c>
      <c r="V675" s="34" t="str">
        <f aca="false">IF(J675="","SIN DATO",IFERROR(INDEX(cat_FunN,MATCH(J675,cat_FunO,0)),J675))</f>
        <v>Protección y medición</v>
      </c>
      <c r="W675" s="34" t="str">
        <f aca="false">IF(OR(S675="SIN DATO",T675="SIN DATO"),"No","Sí")</f>
        <v>Sí</v>
      </c>
    </row>
    <row r="676" customFormat="false" ht="15" hidden="false" customHeight="false" outlineLevel="0" collapsed="false">
      <c r="A676" s="34" t="s">
        <v>2620</v>
      </c>
      <c r="B676" s="34" t="s">
        <v>2621</v>
      </c>
      <c r="C676" s="34" t="s">
        <v>2622</v>
      </c>
      <c r="D676" s="34" t="s">
        <v>2623</v>
      </c>
      <c r="E676" s="34" t="s">
        <v>184</v>
      </c>
      <c r="F676" s="34" t="s">
        <v>1602</v>
      </c>
      <c r="G676" s="34" t="s">
        <v>227</v>
      </c>
      <c r="H676" s="34" t="s">
        <v>73</v>
      </c>
      <c r="I676" s="34" t="s">
        <v>77</v>
      </c>
      <c r="J676" s="34" t="s">
        <v>228</v>
      </c>
      <c r="K676" s="34" t="s">
        <v>236</v>
      </c>
      <c r="L676" s="34" t="s">
        <v>230</v>
      </c>
      <c r="M676" s="34" t="s">
        <v>237</v>
      </c>
      <c r="N676" s="34" t="str">
        <f aca="false">"Sector "&amp;VALUE(MID(D676,13,2))</f>
        <v>Sector 8</v>
      </c>
      <c r="O676" s="34" t="str">
        <f aca="false">IF(Dashboard!$C$5="Ubicación técnica",N676,"Sector "&amp;VALUE(RIGHT(G676,2)))</f>
        <v>Sector 8</v>
      </c>
      <c r="P676" s="34" t="str">
        <f aca="false">IF(MID(D676,15,3)="SEL","Subestación eléctrica","Área de proceso")</f>
        <v>Área de proceso</v>
      </c>
      <c r="Q676" s="34" t="str">
        <f aca="false">MID(D676,13,5)&amp;"|"&amp;MID(D676,19,5)</f>
        <v>08COG|SACAP</v>
      </c>
      <c r="R676" s="34" t="str">
        <f aca="false">IF(P676="Subestación eléctrica",IFERROR(INDEX(cat_SubN,MATCH(Q676,cat_SubK,0)),"SIN CATALOGAR"),"ÁREA DE PROCESO")</f>
        <v>ÁREA DE PROCESO</v>
      </c>
      <c r="S676" s="34" t="str">
        <f aca="false">IF(H676="","SIN DATO",IFERROR(INDEX(cat_MarcaN,MATCH(H676,cat_MarcaO,0)),H676))</f>
        <v>SIEMENS</v>
      </c>
      <c r="T676" s="34" t="str">
        <f aca="false">IF(I676="","SIN DATO",IFERROR(INDEX(cat_ModN,MATCH(I676,cat_ModO,0)),I676))</f>
        <v>7SR5711</v>
      </c>
      <c r="U676" s="34" t="str">
        <f aca="false">IF(I676="","",IFERROR(INDEX(cat_ModG,MATCH(I676,cat_ModO,0)),"No"))</f>
        <v>No</v>
      </c>
      <c r="V676" s="34" t="str">
        <f aca="false">IF(J676="","SIN DATO",IFERROR(INDEX(cat_FunN,MATCH(J676,cat_FunO,0)),J676))</f>
        <v>Protección y medición</v>
      </c>
      <c r="W676" s="34" t="str">
        <f aca="false">IF(OR(S676="SIN DATO",T676="SIN DATO"),"No","Sí")</f>
        <v>Sí</v>
      </c>
    </row>
    <row r="677" customFormat="false" ht="15" hidden="false" customHeight="false" outlineLevel="0" collapsed="false">
      <c r="A677" s="34" t="s">
        <v>2624</v>
      </c>
      <c r="B677" s="34" t="s">
        <v>2625</v>
      </c>
      <c r="C677" s="34" t="s">
        <v>2626</v>
      </c>
      <c r="D677" s="34" t="s">
        <v>2611</v>
      </c>
      <c r="E677" s="34" t="s">
        <v>184</v>
      </c>
      <c r="F677" s="34" t="s">
        <v>1602</v>
      </c>
      <c r="G677" s="34" t="s">
        <v>227</v>
      </c>
      <c r="H677" s="34" t="s">
        <v>73</v>
      </c>
      <c r="I677" s="34" t="s">
        <v>77</v>
      </c>
      <c r="J677" s="34" t="s">
        <v>228</v>
      </c>
      <c r="K677" s="34" t="s">
        <v>236</v>
      </c>
      <c r="L677" s="34" t="s">
        <v>230</v>
      </c>
      <c r="M677" s="34" t="s">
        <v>237</v>
      </c>
      <c r="N677" s="34" t="str">
        <f aca="false">"Sector "&amp;VALUE(MID(D677,13,2))</f>
        <v>Sector 8</v>
      </c>
      <c r="O677" s="34" t="str">
        <f aca="false">IF(Dashboard!$C$5="Ubicación técnica",N677,"Sector "&amp;VALUE(RIGHT(G677,2)))</f>
        <v>Sector 8</v>
      </c>
      <c r="P677" s="34" t="str">
        <f aca="false">IF(MID(D677,15,3)="SEL","Subestación eléctrica","Área de proceso")</f>
        <v>Área de proceso</v>
      </c>
      <c r="Q677" s="34" t="str">
        <f aca="false">MID(D677,13,5)&amp;"|"&amp;MID(D677,19,5)</f>
        <v>08COG|SACAP</v>
      </c>
      <c r="R677" s="34" t="str">
        <f aca="false">IF(P677="Subestación eléctrica",IFERROR(INDEX(cat_SubN,MATCH(Q677,cat_SubK,0)),"SIN CATALOGAR"),"ÁREA DE PROCESO")</f>
        <v>ÁREA DE PROCESO</v>
      </c>
      <c r="S677" s="34" t="str">
        <f aca="false">IF(H677="","SIN DATO",IFERROR(INDEX(cat_MarcaN,MATCH(H677,cat_MarcaO,0)),H677))</f>
        <v>SIEMENS</v>
      </c>
      <c r="T677" s="34" t="str">
        <f aca="false">IF(I677="","SIN DATO",IFERROR(INDEX(cat_ModN,MATCH(I677,cat_ModO,0)),I677))</f>
        <v>7SR5711</v>
      </c>
      <c r="U677" s="34" t="str">
        <f aca="false">IF(I677="","",IFERROR(INDEX(cat_ModG,MATCH(I677,cat_ModO,0)),"No"))</f>
        <v>No</v>
      </c>
      <c r="V677" s="34" t="str">
        <f aca="false">IF(J677="","SIN DATO",IFERROR(INDEX(cat_FunN,MATCH(J677,cat_FunO,0)),J677))</f>
        <v>Protección y medición</v>
      </c>
      <c r="W677" s="34" t="str">
        <f aca="false">IF(OR(S677="SIN DATO",T677="SIN DATO"),"No","Sí")</f>
        <v>Sí</v>
      </c>
    </row>
    <row r="678" customFormat="false" ht="15" hidden="false" customHeight="false" outlineLevel="0" collapsed="false">
      <c r="A678" s="34" t="s">
        <v>2627</v>
      </c>
      <c r="B678" s="34" t="s">
        <v>2628</v>
      </c>
      <c r="C678" s="34" t="s">
        <v>2629</v>
      </c>
      <c r="D678" s="34" t="s">
        <v>2630</v>
      </c>
      <c r="E678" s="34" t="s">
        <v>111</v>
      </c>
      <c r="F678" s="34" t="s">
        <v>1602</v>
      </c>
      <c r="G678" s="34" t="s">
        <v>2431</v>
      </c>
      <c r="H678" s="34" t="s">
        <v>34</v>
      </c>
      <c r="I678" s="34" t="s">
        <v>36</v>
      </c>
      <c r="J678" s="34" t="s">
        <v>681</v>
      </c>
      <c r="K678" s="34" t="s">
        <v>229</v>
      </c>
      <c r="L678" s="34" t="s">
        <v>230</v>
      </c>
      <c r="M678" s="34" t="s">
        <v>682</v>
      </c>
      <c r="N678" s="34" t="str">
        <f aca="false">"Sector "&amp;VALUE(MID(D678,13,2))</f>
        <v>Sector 1</v>
      </c>
      <c r="O678" s="34" t="str">
        <f aca="false">IF(Dashboard!$C$5="Ubicación técnica",N678,"Sector "&amp;VALUE(RIGHT(G678,2)))</f>
        <v>Sector 1</v>
      </c>
      <c r="P678" s="34" t="str">
        <f aca="false">IF(MID(D678,15,3)="SEL","Subestación eléctrica","Área de proceso")</f>
        <v>Subestación eléctrica</v>
      </c>
      <c r="Q678" s="34" t="str">
        <f aca="false">MID(D678,13,5)&amp;"|"&amp;MID(D678,19,5)</f>
        <v>01SEL|S12_1</v>
      </c>
      <c r="R678" s="34" t="str">
        <f aca="false">IF(P678="Subestación eléctrica",IFERROR(INDEX(cat_SubN,MATCH(Q678,cat_SubK,0)),"SIN CATALOGAR"),"ÁREA DE PROCESO")</f>
        <v>SE-12-1</v>
      </c>
      <c r="S678" s="34" t="str">
        <f aca="false">IF(H678="","SIN DATO",IFERROR(INDEX(cat_MarcaN,MATCH(H678,cat_MarcaO,0)),H678))</f>
        <v>ABB</v>
      </c>
      <c r="T678" s="34" t="str">
        <f aca="false">IF(I678="","SIN DATO",IFERROR(INDEX(cat_ModN,MATCH(I678,cat_ModO,0)),I678))</f>
        <v>1AFFAEAGNEC5BNA11G</v>
      </c>
      <c r="U678" s="34" t="str">
        <f aca="false">IF(I678="","",IFERROR(INDEX(cat_ModG,MATCH(I678,cat_ModO,0)),"No"))</f>
        <v>No</v>
      </c>
      <c r="V678" s="34" t="str">
        <f aca="false">IF(J678="","SIN DATO",IFERROR(INDEX(cat_FunN,MATCH(J678,cat_FunO,0)),J678))</f>
        <v>Protección</v>
      </c>
      <c r="W678" s="34" t="str">
        <f aca="false">IF(OR(S678="SIN DATO",T678="SIN DATO"),"No","Sí")</f>
        <v>Sí</v>
      </c>
    </row>
    <row r="679" customFormat="false" ht="15" hidden="false" customHeight="false" outlineLevel="0" collapsed="false">
      <c r="A679" s="34" t="s">
        <v>2631</v>
      </c>
      <c r="B679" s="34" t="s">
        <v>2632</v>
      </c>
      <c r="C679" s="34" t="s">
        <v>2633</v>
      </c>
      <c r="D679" s="34" t="s">
        <v>2630</v>
      </c>
      <c r="E679" s="34" t="s">
        <v>111</v>
      </c>
      <c r="F679" s="34" t="s">
        <v>1602</v>
      </c>
      <c r="G679" s="34" t="s">
        <v>2431</v>
      </c>
      <c r="H679" s="34" t="s">
        <v>34</v>
      </c>
      <c r="I679" s="34" t="s">
        <v>38</v>
      </c>
      <c r="J679" s="34" t="s">
        <v>228</v>
      </c>
      <c r="K679" s="34" t="s">
        <v>229</v>
      </c>
      <c r="L679" s="34" t="s">
        <v>230</v>
      </c>
      <c r="M679" s="34" t="s">
        <v>231</v>
      </c>
      <c r="N679" s="34" t="str">
        <f aca="false">"Sector "&amp;VALUE(MID(D679,13,2))</f>
        <v>Sector 1</v>
      </c>
      <c r="O679" s="34" t="str">
        <f aca="false">IF(Dashboard!$C$5="Ubicación técnica",N679,"Sector "&amp;VALUE(RIGHT(G679,2)))</f>
        <v>Sector 1</v>
      </c>
      <c r="P679" s="34" t="str">
        <f aca="false">IF(MID(D679,15,3)="SEL","Subestación eléctrica","Área de proceso")</f>
        <v>Subestación eléctrica</v>
      </c>
      <c r="Q679" s="34" t="str">
        <f aca="false">MID(D679,13,5)&amp;"|"&amp;MID(D679,19,5)</f>
        <v>01SEL|S12_1</v>
      </c>
      <c r="R679" s="34" t="str">
        <f aca="false">IF(P679="Subestación eléctrica",IFERROR(INDEX(cat_SubN,MATCH(Q679,cat_SubK,0)),"SIN CATALOGAR"),"ÁREA DE PROCESO")</f>
        <v>SE-12-1</v>
      </c>
      <c r="S679" s="34" t="str">
        <f aca="false">IF(H679="","SIN DATO",IFERROR(INDEX(cat_MarcaN,MATCH(H679,cat_MarcaO,0)),H679))</f>
        <v>ABB</v>
      </c>
      <c r="T679" s="34" t="str">
        <f aca="false">IF(I679="","SIN DATO",IFERROR(INDEX(cat_ModN,MATCH(I679,cat_ModO,0)),I679))</f>
        <v>1AMEBCADNEC5BNN11G</v>
      </c>
      <c r="U679" s="34" t="str">
        <f aca="false">IF(I679="","",IFERROR(INDEX(cat_ModG,MATCH(I679,cat_ModO,0)),"No"))</f>
        <v>No</v>
      </c>
      <c r="V679" s="34" t="str">
        <f aca="false">IF(J679="","SIN DATO",IFERROR(INDEX(cat_FunN,MATCH(J679,cat_FunO,0)),J679))</f>
        <v>Protección y medición</v>
      </c>
      <c r="W679" s="34" t="str">
        <f aca="false">IF(OR(S679="SIN DATO",T679="SIN DATO"),"No","Sí")</f>
        <v>Sí</v>
      </c>
    </row>
    <row r="680" customFormat="false" ht="15" hidden="false" customHeight="false" outlineLevel="0" collapsed="false">
      <c r="A680" s="34" t="s">
        <v>2634</v>
      </c>
      <c r="B680" s="34" t="s">
        <v>2635</v>
      </c>
      <c r="C680" s="34" t="s">
        <v>2636</v>
      </c>
      <c r="D680" s="34" t="s">
        <v>2637</v>
      </c>
      <c r="E680" s="34" t="s">
        <v>111</v>
      </c>
      <c r="F680" s="34" t="s">
        <v>1602</v>
      </c>
      <c r="G680" s="34" t="s">
        <v>2431</v>
      </c>
      <c r="H680" s="34" t="s">
        <v>34</v>
      </c>
      <c r="I680" s="34" t="s">
        <v>36</v>
      </c>
      <c r="J680" s="34" t="s">
        <v>681</v>
      </c>
      <c r="K680" s="34" t="s">
        <v>229</v>
      </c>
      <c r="L680" s="34" t="s">
        <v>230</v>
      </c>
      <c r="M680" s="34" t="s">
        <v>682</v>
      </c>
      <c r="N680" s="34" t="str">
        <f aca="false">"Sector "&amp;VALUE(MID(D680,13,2))</f>
        <v>Sector 1</v>
      </c>
      <c r="O680" s="34" t="str">
        <f aca="false">IF(Dashboard!$C$5="Ubicación técnica",N680,"Sector "&amp;VALUE(RIGHT(G680,2)))</f>
        <v>Sector 1</v>
      </c>
      <c r="P680" s="34" t="str">
        <f aca="false">IF(MID(D680,15,3)="SEL","Subestación eléctrica","Área de proceso")</f>
        <v>Subestación eléctrica</v>
      </c>
      <c r="Q680" s="34" t="str">
        <f aca="false">MID(D680,13,5)&amp;"|"&amp;MID(D680,19,5)</f>
        <v>01SEL|S12_1</v>
      </c>
      <c r="R680" s="34" t="str">
        <f aca="false">IF(P680="Subestación eléctrica",IFERROR(INDEX(cat_SubN,MATCH(Q680,cat_SubK,0)),"SIN CATALOGAR"),"ÁREA DE PROCESO")</f>
        <v>SE-12-1</v>
      </c>
      <c r="S680" s="34" t="str">
        <f aca="false">IF(H680="","SIN DATO",IFERROR(INDEX(cat_MarcaN,MATCH(H680,cat_MarcaO,0)),H680))</f>
        <v>ABB</v>
      </c>
      <c r="T680" s="34" t="str">
        <f aca="false">IF(I680="","SIN DATO",IFERROR(INDEX(cat_ModN,MATCH(I680,cat_ModO,0)),I680))</f>
        <v>1AFFAEAGNEC5BNA11G</v>
      </c>
      <c r="U680" s="34" t="str">
        <f aca="false">IF(I680="","",IFERROR(INDEX(cat_ModG,MATCH(I680,cat_ModO,0)),"No"))</f>
        <v>No</v>
      </c>
      <c r="V680" s="34" t="str">
        <f aca="false">IF(J680="","SIN DATO",IFERROR(INDEX(cat_FunN,MATCH(J680,cat_FunO,0)),J680))</f>
        <v>Protección</v>
      </c>
      <c r="W680" s="34" t="str">
        <f aca="false">IF(OR(S680="SIN DATO",T680="SIN DATO"),"No","Sí")</f>
        <v>Sí</v>
      </c>
    </row>
    <row r="681" customFormat="false" ht="15" hidden="false" customHeight="false" outlineLevel="0" collapsed="false">
      <c r="A681" s="34" t="s">
        <v>2638</v>
      </c>
      <c r="B681" s="34" t="s">
        <v>2639</v>
      </c>
      <c r="C681" s="34" t="s">
        <v>2640</v>
      </c>
      <c r="D681" s="34" t="s">
        <v>2637</v>
      </c>
      <c r="E681" s="34" t="s">
        <v>111</v>
      </c>
      <c r="F681" s="34" t="s">
        <v>1602</v>
      </c>
      <c r="G681" s="34" t="s">
        <v>2431</v>
      </c>
      <c r="H681" s="34" t="s">
        <v>34</v>
      </c>
      <c r="I681" s="34" t="s">
        <v>36</v>
      </c>
      <c r="J681" s="34" t="s">
        <v>681</v>
      </c>
      <c r="K681" s="34" t="s">
        <v>229</v>
      </c>
      <c r="L681" s="34" t="s">
        <v>230</v>
      </c>
      <c r="M681" s="34" t="s">
        <v>682</v>
      </c>
      <c r="N681" s="34" t="str">
        <f aca="false">"Sector "&amp;VALUE(MID(D681,13,2))</f>
        <v>Sector 1</v>
      </c>
      <c r="O681" s="34" t="str">
        <f aca="false">IF(Dashboard!$C$5="Ubicación técnica",N681,"Sector "&amp;VALUE(RIGHT(G681,2)))</f>
        <v>Sector 1</v>
      </c>
      <c r="P681" s="34" t="str">
        <f aca="false">IF(MID(D681,15,3)="SEL","Subestación eléctrica","Área de proceso")</f>
        <v>Subestación eléctrica</v>
      </c>
      <c r="Q681" s="34" t="str">
        <f aca="false">MID(D681,13,5)&amp;"|"&amp;MID(D681,19,5)</f>
        <v>01SEL|S12_1</v>
      </c>
      <c r="R681" s="34" t="str">
        <f aca="false">IF(P681="Subestación eléctrica",IFERROR(INDEX(cat_SubN,MATCH(Q681,cat_SubK,0)),"SIN CATALOGAR"),"ÁREA DE PROCESO")</f>
        <v>SE-12-1</v>
      </c>
      <c r="S681" s="34" t="str">
        <f aca="false">IF(H681="","SIN DATO",IFERROR(INDEX(cat_MarcaN,MATCH(H681,cat_MarcaO,0)),H681))</f>
        <v>ABB</v>
      </c>
      <c r="T681" s="34" t="str">
        <f aca="false">IF(I681="","SIN DATO",IFERROR(INDEX(cat_ModN,MATCH(I681,cat_ModO,0)),I681))</f>
        <v>1AFFAEAGNEC5BNA11G</v>
      </c>
      <c r="U681" s="34" t="str">
        <f aca="false">IF(I681="","",IFERROR(INDEX(cat_ModG,MATCH(I681,cat_ModO,0)),"No"))</f>
        <v>No</v>
      </c>
      <c r="V681" s="34" t="str">
        <f aca="false">IF(J681="","SIN DATO",IFERROR(INDEX(cat_FunN,MATCH(J681,cat_FunO,0)),J681))</f>
        <v>Protección</v>
      </c>
      <c r="W681" s="34" t="str">
        <f aca="false">IF(OR(S681="SIN DATO",T681="SIN DATO"),"No","Sí")</f>
        <v>Sí</v>
      </c>
    </row>
    <row r="682" customFormat="false" ht="15" hidden="false" customHeight="false" outlineLevel="0" collapsed="false">
      <c r="A682" s="34" t="s">
        <v>2641</v>
      </c>
      <c r="B682" s="34" t="s">
        <v>2642</v>
      </c>
      <c r="C682" s="34" t="s">
        <v>2643</v>
      </c>
      <c r="D682" s="34" t="s">
        <v>2637</v>
      </c>
      <c r="E682" s="34" t="s">
        <v>111</v>
      </c>
      <c r="F682" s="34" t="s">
        <v>1602</v>
      </c>
      <c r="G682" s="34" t="s">
        <v>2431</v>
      </c>
      <c r="H682" s="34" t="s">
        <v>34</v>
      </c>
      <c r="I682" s="34" t="s">
        <v>36</v>
      </c>
      <c r="J682" s="34" t="s">
        <v>228</v>
      </c>
      <c r="K682" s="34" t="s">
        <v>229</v>
      </c>
      <c r="L682" s="34" t="s">
        <v>230</v>
      </c>
      <c r="M682" s="34" t="s">
        <v>231</v>
      </c>
      <c r="N682" s="34" t="str">
        <f aca="false">"Sector "&amp;VALUE(MID(D682,13,2))</f>
        <v>Sector 1</v>
      </c>
      <c r="O682" s="34" t="str">
        <f aca="false">IF(Dashboard!$C$5="Ubicación técnica",N682,"Sector "&amp;VALUE(RIGHT(G682,2)))</f>
        <v>Sector 1</v>
      </c>
      <c r="P682" s="34" t="str">
        <f aca="false">IF(MID(D682,15,3)="SEL","Subestación eléctrica","Área de proceso")</f>
        <v>Subestación eléctrica</v>
      </c>
      <c r="Q682" s="34" t="str">
        <f aca="false">MID(D682,13,5)&amp;"|"&amp;MID(D682,19,5)</f>
        <v>01SEL|S12_1</v>
      </c>
      <c r="R682" s="34" t="str">
        <f aca="false">IF(P682="Subestación eléctrica",IFERROR(INDEX(cat_SubN,MATCH(Q682,cat_SubK,0)),"SIN CATALOGAR"),"ÁREA DE PROCESO")</f>
        <v>SE-12-1</v>
      </c>
      <c r="S682" s="34" t="str">
        <f aca="false">IF(H682="","SIN DATO",IFERROR(INDEX(cat_MarcaN,MATCH(H682,cat_MarcaO,0)),H682))</f>
        <v>ABB</v>
      </c>
      <c r="T682" s="34" t="str">
        <f aca="false">IF(I682="","SIN DATO",IFERROR(INDEX(cat_ModN,MATCH(I682,cat_ModO,0)),I682))</f>
        <v>1AFFAEAGNEC5BNA11G</v>
      </c>
      <c r="U682" s="34" t="str">
        <f aca="false">IF(I682="","",IFERROR(INDEX(cat_ModG,MATCH(I682,cat_ModO,0)),"No"))</f>
        <v>No</v>
      </c>
      <c r="V682" s="34" t="str">
        <f aca="false">IF(J682="","SIN DATO",IFERROR(INDEX(cat_FunN,MATCH(J682,cat_FunO,0)),J682))</f>
        <v>Protección y medición</v>
      </c>
      <c r="W682" s="34" t="str">
        <f aca="false">IF(OR(S682="SIN DATO",T682="SIN DATO"),"No","Sí")</f>
        <v>Sí</v>
      </c>
    </row>
    <row r="683" customFormat="false" ht="15" hidden="false" customHeight="false" outlineLevel="0" collapsed="false">
      <c r="A683" s="34" t="s">
        <v>2644</v>
      </c>
      <c r="B683" s="34" t="s">
        <v>2645</v>
      </c>
      <c r="C683" s="34" t="s">
        <v>2646</v>
      </c>
      <c r="D683" s="34" t="s">
        <v>2647</v>
      </c>
      <c r="E683" s="34" t="s">
        <v>111</v>
      </c>
      <c r="F683" s="34" t="s">
        <v>1602</v>
      </c>
      <c r="G683" s="34" t="s">
        <v>2431</v>
      </c>
      <c r="H683" s="34" t="s">
        <v>34</v>
      </c>
      <c r="I683" s="34" t="s">
        <v>36</v>
      </c>
      <c r="J683" s="34" t="s">
        <v>681</v>
      </c>
      <c r="K683" s="34" t="s">
        <v>229</v>
      </c>
      <c r="L683" s="34" t="s">
        <v>230</v>
      </c>
      <c r="M683" s="34" t="s">
        <v>682</v>
      </c>
      <c r="N683" s="34" t="str">
        <f aca="false">"Sector "&amp;VALUE(MID(D683,13,2))</f>
        <v>Sector 1</v>
      </c>
      <c r="O683" s="34" t="str">
        <f aca="false">IF(Dashboard!$C$5="Ubicación técnica",N683,"Sector "&amp;VALUE(RIGHT(G683,2)))</f>
        <v>Sector 1</v>
      </c>
      <c r="P683" s="34" t="str">
        <f aca="false">IF(MID(D683,15,3)="SEL","Subestación eléctrica","Área de proceso")</f>
        <v>Subestación eléctrica</v>
      </c>
      <c r="Q683" s="34" t="str">
        <f aca="false">MID(D683,13,5)&amp;"|"&amp;MID(D683,19,5)</f>
        <v>01SEL|S12_1</v>
      </c>
      <c r="R683" s="34" t="str">
        <f aca="false">IF(P683="Subestación eléctrica",IFERROR(INDEX(cat_SubN,MATCH(Q683,cat_SubK,0)),"SIN CATALOGAR"),"ÁREA DE PROCESO")</f>
        <v>SE-12-1</v>
      </c>
      <c r="S683" s="34" t="str">
        <f aca="false">IF(H683="","SIN DATO",IFERROR(INDEX(cat_MarcaN,MATCH(H683,cat_MarcaO,0)),H683))</f>
        <v>ABB</v>
      </c>
      <c r="T683" s="34" t="str">
        <f aca="false">IF(I683="","SIN DATO",IFERROR(INDEX(cat_ModN,MATCH(I683,cat_ModO,0)),I683))</f>
        <v>1AFFAEAGNEC5BNA11G</v>
      </c>
      <c r="U683" s="34" t="str">
        <f aca="false">IF(I683="","",IFERROR(INDEX(cat_ModG,MATCH(I683,cat_ModO,0)),"No"))</f>
        <v>No</v>
      </c>
      <c r="V683" s="34" t="str">
        <f aca="false">IF(J683="","SIN DATO",IFERROR(INDEX(cat_FunN,MATCH(J683,cat_FunO,0)),J683))</f>
        <v>Protección</v>
      </c>
      <c r="W683" s="34" t="str">
        <f aca="false">IF(OR(S683="SIN DATO",T683="SIN DATO"),"No","Sí")</f>
        <v>Sí</v>
      </c>
    </row>
    <row r="684" customFormat="false" ht="15" hidden="false" customHeight="false" outlineLevel="0" collapsed="false">
      <c r="A684" s="34" t="s">
        <v>2648</v>
      </c>
      <c r="B684" s="34" t="s">
        <v>2649</v>
      </c>
      <c r="C684" s="34" t="s">
        <v>2650</v>
      </c>
      <c r="D684" s="34" t="s">
        <v>2647</v>
      </c>
      <c r="E684" s="34" t="s">
        <v>111</v>
      </c>
      <c r="F684" s="34" t="s">
        <v>1602</v>
      </c>
      <c r="G684" s="34" t="s">
        <v>2431</v>
      </c>
      <c r="H684" s="34" t="s">
        <v>34</v>
      </c>
      <c r="I684" s="34" t="s">
        <v>36</v>
      </c>
      <c r="J684" s="34" t="s">
        <v>681</v>
      </c>
      <c r="K684" s="34" t="s">
        <v>229</v>
      </c>
      <c r="L684" s="34" t="s">
        <v>230</v>
      </c>
      <c r="M684" s="34" t="s">
        <v>682</v>
      </c>
      <c r="N684" s="34" t="str">
        <f aca="false">"Sector "&amp;VALUE(MID(D684,13,2))</f>
        <v>Sector 1</v>
      </c>
      <c r="O684" s="34" t="str">
        <f aca="false">IF(Dashboard!$C$5="Ubicación técnica",N684,"Sector "&amp;VALUE(RIGHT(G684,2)))</f>
        <v>Sector 1</v>
      </c>
      <c r="P684" s="34" t="str">
        <f aca="false">IF(MID(D684,15,3)="SEL","Subestación eléctrica","Área de proceso")</f>
        <v>Subestación eléctrica</v>
      </c>
      <c r="Q684" s="34" t="str">
        <f aca="false">MID(D684,13,5)&amp;"|"&amp;MID(D684,19,5)</f>
        <v>01SEL|S12_1</v>
      </c>
      <c r="R684" s="34" t="str">
        <f aca="false">IF(P684="Subestación eléctrica",IFERROR(INDEX(cat_SubN,MATCH(Q684,cat_SubK,0)),"SIN CATALOGAR"),"ÁREA DE PROCESO")</f>
        <v>SE-12-1</v>
      </c>
      <c r="S684" s="34" t="str">
        <f aca="false">IF(H684="","SIN DATO",IFERROR(INDEX(cat_MarcaN,MATCH(H684,cat_MarcaO,0)),H684))</f>
        <v>ABB</v>
      </c>
      <c r="T684" s="34" t="str">
        <f aca="false">IF(I684="","SIN DATO",IFERROR(INDEX(cat_ModN,MATCH(I684,cat_ModO,0)),I684))</f>
        <v>1AFFAEAGNEC5BNA11G</v>
      </c>
      <c r="U684" s="34" t="str">
        <f aca="false">IF(I684="","",IFERROR(INDEX(cat_ModG,MATCH(I684,cat_ModO,0)),"No"))</f>
        <v>No</v>
      </c>
      <c r="V684" s="34" t="str">
        <f aca="false">IF(J684="","SIN DATO",IFERROR(INDEX(cat_FunN,MATCH(J684,cat_FunO,0)),J684))</f>
        <v>Protección</v>
      </c>
      <c r="W684" s="34" t="str">
        <f aca="false">IF(OR(S684="SIN DATO",T684="SIN DATO"),"No","Sí")</f>
        <v>Sí</v>
      </c>
    </row>
    <row r="685" customFormat="false" ht="15" hidden="false" customHeight="false" outlineLevel="0" collapsed="false">
      <c r="A685" s="34" t="s">
        <v>2651</v>
      </c>
      <c r="B685" s="34" t="s">
        <v>2652</v>
      </c>
      <c r="C685" s="34" t="s">
        <v>2653</v>
      </c>
      <c r="D685" s="34" t="s">
        <v>2647</v>
      </c>
      <c r="E685" s="34" t="s">
        <v>111</v>
      </c>
      <c r="F685" s="34" t="s">
        <v>1602</v>
      </c>
      <c r="G685" s="34" t="s">
        <v>2431</v>
      </c>
      <c r="H685" s="34" t="s">
        <v>34</v>
      </c>
      <c r="I685" s="34" t="s">
        <v>48</v>
      </c>
      <c r="J685" s="34" t="s">
        <v>228</v>
      </c>
      <c r="K685" s="34" t="s">
        <v>229</v>
      </c>
      <c r="L685" s="34" t="s">
        <v>230</v>
      </c>
      <c r="M685" s="34" t="s">
        <v>231</v>
      </c>
      <c r="N685" s="34" t="str">
        <f aca="false">"Sector "&amp;VALUE(MID(D685,13,2))</f>
        <v>Sector 1</v>
      </c>
      <c r="O685" s="34" t="str">
        <f aca="false">IF(Dashboard!$C$5="Ubicación técnica",N685,"Sector "&amp;VALUE(RIGHT(G685,2)))</f>
        <v>Sector 1</v>
      </c>
      <c r="P685" s="34" t="str">
        <f aca="false">IF(MID(D685,15,3)="SEL","Subestación eléctrica","Área de proceso")</f>
        <v>Subestación eléctrica</v>
      </c>
      <c r="Q685" s="34" t="str">
        <f aca="false">MID(D685,13,5)&amp;"|"&amp;MID(D685,19,5)</f>
        <v>01SEL|S12_1</v>
      </c>
      <c r="R685" s="34" t="str">
        <f aca="false">IF(P685="Subestación eléctrica",IFERROR(INDEX(cat_SubN,MATCH(Q685,cat_SubK,0)),"SIN CATALOGAR"),"ÁREA DE PROCESO")</f>
        <v>SE-12-1</v>
      </c>
      <c r="S685" s="34" t="str">
        <f aca="false">IF(H685="","SIN DATO",IFERROR(INDEX(cat_MarcaN,MATCH(H685,cat_MarcaO,0)),H685))</f>
        <v>ABB</v>
      </c>
      <c r="T685" s="34" t="str">
        <f aca="false">IF(I685="","SIN DATO",IFERROR(INDEX(cat_ModN,MATCH(I685,cat_ModO,0)),I685))</f>
        <v>1AFNAEAGNEC5BNA11G</v>
      </c>
      <c r="U685" s="34" t="str">
        <f aca="false">IF(I685="","",IFERROR(INDEX(cat_ModG,MATCH(I685,cat_ModO,0)),"No"))</f>
        <v>No</v>
      </c>
      <c r="V685" s="34" t="str">
        <f aca="false">IF(J685="","SIN DATO",IFERROR(INDEX(cat_FunN,MATCH(J685,cat_FunO,0)),J685))</f>
        <v>Protección y medición</v>
      </c>
      <c r="W685" s="34" t="str">
        <f aca="false">IF(OR(S685="SIN DATO",T685="SIN DATO"),"No","Sí")</f>
        <v>Sí</v>
      </c>
    </row>
    <row r="686" customFormat="false" ht="15" hidden="false" customHeight="false" outlineLevel="0" collapsed="false">
      <c r="A686" s="34" t="s">
        <v>2654</v>
      </c>
      <c r="B686" s="34" t="s">
        <v>2655</v>
      </c>
      <c r="C686" s="34" t="s">
        <v>2656</v>
      </c>
      <c r="D686" s="34" t="s">
        <v>2647</v>
      </c>
      <c r="E686" s="34" t="s">
        <v>111</v>
      </c>
      <c r="F686" s="34" t="s">
        <v>1602</v>
      </c>
      <c r="G686" s="34" t="s">
        <v>2431</v>
      </c>
      <c r="H686" s="34" t="s">
        <v>34</v>
      </c>
      <c r="I686" s="34" t="s">
        <v>36</v>
      </c>
      <c r="J686" s="34" t="s">
        <v>228</v>
      </c>
      <c r="K686" s="34" t="s">
        <v>229</v>
      </c>
      <c r="L686" s="34" t="s">
        <v>230</v>
      </c>
      <c r="M686" s="34" t="s">
        <v>231</v>
      </c>
      <c r="N686" s="34" t="str">
        <f aca="false">"Sector "&amp;VALUE(MID(D686,13,2))</f>
        <v>Sector 1</v>
      </c>
      <c r="O686" s="34" t="str">
        <f aca="false">IF(Dashboard!$C$5="Ubicación técnica",N686,"Sector "&amp;VALUE(RIGHT(G686,2)))</f>
        <v>Sector 1</v>
      </c>
      <c r="P686" s="34" t="str">
        <f aca="false">IF(MID(D686,15,3)="SEL","Subestación eléctrica","Área de proceso")</f>
        <v>Subestación eléctrica</v>
      </c>
      <c r="Q686" s="34" t="str">
        <f aca="false">MID(D686,13,5)&amp;"|"&amp;MID(D686,19,5)</f>
        <v>01SEL|S12_1</v>
      </c>
      <c r="R686" s="34" t="str">
        <f aca="false">IF(P686="Subestación eléctrica",IFERROR(INDEX(cat_SubN,MATCH(Q686,cat_SubK,0)),"SIN CATALOGAR"),"ÁREA DE PROCESO")</f>
        <v>SE-12-1</v>
      </c>
      <c r="S686" s="34" t="str">
        <f aca="false">IF(H686="","SIN DATO",IFERROR(INDEX(cat_MarcaN,MATCH(H686,cat_MarcaO,0)),H686))</f>
        <v>ABB</v>
      </c>
      <c r="T686" s="34" t="str">
        <f aca="false">IF(I686="","SIN DATO",IFERROR(INDEX(cat_ModN,MATCH(I686,cat_ModO,0)),I686))</f>
        <v>1AFFAEAGNEC5BNA11G</v>
      </c>
      <c r="U686" s="34" t="str">
        <f aca="false">IF(I686="","",IFERROR(INDEX(cat_ModG,MATCH(I686,cat_ModO,0)),"No"))</f>
        <v>No</v>
      </c>
      <c r="V686" s="34" t="str">
        <f aca="false">IF(J686="","SIN DATO",IFERROR(INDEX(cat_FunN,MATCH(J686,cat_FunO,0)),J686))</f>
        <v>Protección y medición</v>
      </c>
      <c r="W686" s="34" t="str">
        <f aca="false">IF(OR(S686="SIN DATO",T686="SIN DATO"),"No","Sí")</f>
        <v>Sí</v>
      </c>
    </row>
    <row r="687" customFormat="false" ht="15" hidden="false" customHeight="false" outlineLevel="0" collapsed="false">
      <c r="A687" s="34" t="s">
        <v>2657</v>
      </c>
      <c r="B687" s="34" t="s">
        <v>2658</v>
      </c>
      <c r="C687" s="34" t="s">
        <v>2659</v>
      </c>
      <c r="D687" s="34" t="s">
        <v>2630</v>
      </c>
      <c r="E687" s="34" t="s">
        <v>111</v>
      </c>
      <c r="F687" s="34" t="s">
        <v>1602</v>
      </c>
      <c r="G687" s="34" t="s">
        <v>2431</v>
      </c>
      <c r="H687" s="34" t="s">
        <v>34</v>
      </c>
      <c r="I687" s="34" t="s">
        <v>36</v>
      </c>
      <c r="J687" s="34" t="s">
        <v>681</v>
      </c>
      <c r="K687" s="34" t="s">
        <v>229</v>
      </c>
      <c r="L687" s="34" t="s">
        <v>230</v>
      </c>
      <c r="M687" s="34" t="s">
        <v>682</v>
      </c>
      <c r="N687" s="34" t="str">
        <f aca="false">"Sector "&amp;VALUE(MID(D687,13,2))</f>
        <v>Sector 1</v>
      </c>
      <c r="O687" s="34" t="str">
        <f aca="false">IF(Dashboard!$C$5="Ubicación técnica",N687,"Sector "&amp;VALUE(RIGHT(G687,2)))</f>
        <v>Sector 1</v>
      </c>
      <c r="P687" s="34" t="str">
        <f aca="false">IF(MID(D687,15,3)="SEL","Subestación eléctrica","Área de proceso")</f>
        <v>Subestación eléctrica</v>
      </c>
      <c r="Q687" s="34" t="str">
        <f aca="false">MID(D687,13,5)&amp;"|"&amp;MID(D687,19,5)</f>
        <v>01SEL|S12_1</v>
      </c>
      <c r="R687" s="34" t="str">
        <f aca="false">IF(P687="Subestación eléctrica",IFERROR(INDEX(cat_SubN,MATCH(Q687,cat_SubK,0)),"SIN CATALOGAR"),"ÁREA DE PROCESO")</f>
        <v>SE-12-1</v>
      </c>
      <c r="S687" s="34" t="str">
        <f aca="false">IF(H687="","SIN DATO",IFERROR(INDEX(cat_MarcaN,MATCH(H687,cat_MarcaO,0)),H687))</f>
        <v>ABB</v>
      </c>
      <c r="T687" s="34" t="str">
        <f aca="false">IF(I687="","SIN DATO",IFERROR(INDEX(cat_ModN,MATCH(I687,cat_ModO,0)),I687))</f>
        <v>1AFFAEAGNEC5BNA11G</v>
      </c>
      <c r="U687" s="34" t="str">
        <f aca="false">IF(I687="","",IFERROR(INDEX(cat_ModG,MATCH(I687,cat_ModO,0)),"No"))</f>
        <v>No</v>
      </c>
      <c r="V687" s="34" t="str">
        <f aca="false">IF(J687="","SIN DATO",IFERROR(INDEX(cat_FunN,MATCH(J687,cat_FunO,0)),J687))</f>
        <v>Protección</v>
      </c>
      <c r="W687" s="34" t="str">
        <f aca="false">IF(OR(S687="SIN DATO",T687="SIN DATO"),"No","Sí")</f>
        <v>Sí</v>
      </c>
    </row>
    <row r="688" customFormat="false" ht="15" hidden="false" customHeight="false" outlineLevel="0" collapsed="false">
      <c r="A688" s="34" t="s">
        <v>2660</v>
      </c>
      <c r="B688" s="34" t="s">
        <v>2661</v>
      </c>
      <c r="C688" s="34" t="s">
        <v>2662</v>
      </c>
      <c r="D688" s="34" t="s">
        <v>2630</v>
      </c>
      <c r="E688" s="34" t="s">
        <v>111</v>
      </c>
      <c r="F688" s="34" t="s">
        <v>1602</v>
      </c>
      <c r="G688" s="34" t="s">
        <v>2431</v>
      </c>
      <c r="H688" s="34" t="s">
        <v>34</v>
      </c>
      <c r="I688" s="34" t="s">
        <v>48</v>
      </c>
      <c r="J688" s="34" t="s">
        <v>228</v>
      </c>
      <c r="K688" s="34" t="s">
        <v>229</v>
      </c>
      <c r="L688" s="34" t="s">
        <v>230</v>
      </c>
      <c r="M688" s="34" t="s">
        <v>231</v>
      </c>
      <c r="N688" s="34" t="str">
        <f aca="false">"Sector "&amp;VALUE(MID(D688,13,2))</f>
        <v>Sector 1</v>
      </c>
      <c r="O688" s="34" t="str">
        <f aca="false">IF(Dashboard!$C$5="Ubicación técnica",N688,"Sector "&amp;VALUE(RIGHT(G688,2)))</f>
        <v>Sector 1</v>
      </c>
      <c r="P688" s="34" t="str">
        <f aca="false">IF(MID(D688,15,3)="SEL","Subestación eléctrica","Área de proceso")</f>
        <v>Subestación eléctrica</v>
      </c>
      <c r="Q688" s="34" t="str">
        <f aca="false">MID(D688,13,5)&amp;"|"&amp;MID(D688,19,5)</f>
        <v>01SEL|S12_1</v>
      </c>
      <c r="R688" s="34" t="str">
        <f aca="false">IF(P688="Subestación eléctrica",IFERROR(INDEX(cat_SubN,MATCH(Q688,cat_SubK,0)),"SIN CATALOGAR"),"ÁREA DE PROCESO")</f>
        <v>SE-12-1</v>
      </c>
      <c r="S688" s="34" t="str">
        <f aca="false">IF(H688="","SIN DATO",IFERROR(INDEX(cat_MarcaN,MATCH(H688,cat_MarcaO,0)),H688))</f>
        <v>ABB</v>
      </c>
      <c r="T688" s="34" t="str">
        <f aca="false">IF(I688="","SIN DATO",IFERROR(INDEX(cat_ModN,MATCH(I688,cat_ModO,0)),I688))</f>
        <v>1AFNAEAGNEC5BNA11G</v>
      </c>
      <c r="U688" s="34" t="str">
        <f aca="false">IF(I688="","",IFERROR(INDEX(cat_ModG,MATCH(I688,cat_ModO,0)),"No"))</f>
        <v>No</v>
      </c>
      <c r="V688" s="34" t="str">
        <f aca="false">IF(J688="","SIN DATO",IFERROR(INDEX(cat_FunN,MATCH(J688,cat_FunO,0)),J688))</f>
        <v>Protección y medición</v>
      </c>
      <c r="W688" s="34" t="str">
        <f aca="false">IF(OR(S688="SIN DATO",T688="SIN DATO"),"No","Sí")</f>
        <v>Sí</v>
      </c>
    </row>
    <row r="689" customFormat="false" ht="15" hidden="false" customHeight="false" outlineLevel="0" collapsed="false">
      <c r="A689" s="34" t="s">
        <v>2663</v>
      </c>
      <c r="B689" s="34" t="s">
        <v>2664</v>
      </c>
      <c r="C689" s="34" t="s">
        <v>2665</v>
      </c>
      <c r="D689" s="34" t="s">
        <v>2630</v>
      </c>
      <c r="E689" s="34" t="s">
        <v>111</v>
      </c>
      <c r="F689" s="34" t="s">
        <v>1602</v>
      </c>
      <c r="G689" s="34" t="s">
        <v>2431</v>
      </c>
      <c r="H689" s="34" t="s">
        <v>34</v>
      </c>
      <c r="I689" s="34" t="s">
        <v>36</v>
      </c>
      <c r="J689" s="34" t="s">
        <v>681</v>
      </c>
      <c r="K689" s="34" t="s">
        <v>229</v>
      </c>
      <c r="L689" s="34" t="s">
        <v>230</v>
      </c>
      <c r="M689" s="34" t="s">
        <v>682</v>
      </c>
      <c r="N689" s="34" t="str">
        <f aca="false">"Sector "&amp;VALUE(MID(D689,13,2))</f>
        <v>Sector 1</v>
      </c>
      <c r="O689" s="34" t="str">
        <f aca="false">IF(Dashboard!$C$5="Ubicación técnica",N689,"Sector "&amp;VALUE(RIGHT(G689,2)))</f>
        <v>Sector 1</v>
      </c>
      <c r="P689" s="34" t="str">
        <f aca="false">IF(MID(D689,15,3)="SEL","Subestación eléctrica","Área de proceso")</f>
        <v>Subestación eléctrica</v>
      </c>
      <c r="Q689" s="34" t="str">
        <f aca="false">MID(D689,13,5)&amp;"|"&amp;MID(D689,19,5)</f>
        <v>01SEL|S12_1</v>
      </c>
      <c r="R689" s="34" t="str">
        <f aca="false">IF(P689="Subestación eléctrica",IFERROR(INDEX(cat_SubN,MATCH(Q689,cat_SubK,0)),"SIN CATALOGAR"),"ÁREA DE PROCESO")</f>
        <v>SE-12-1</v>
      </c>
      <c r="S689" s="34" t="str">
        <f aca="false">IF(H689="","SIN DATO",IFERROR(INDEX(cat_MarcaN,MATCH(H689,cat_MarcaO,0)),H689))</f>
        <v>ABB</v>
      </c>
      <c r="T689" s="34" t="str">
        <f aca="false">IF(I689="","SIN DATO",IFERROR(INDEX(cat_ModN,MATCH(I689,cat_ModO,0)),I689))</f>
        <v>1AFFAEAGNEC5BNA11G</v>
      </c>
      <c r="U689" s="34" t="str">
        <f aca="false">IF(I689="","",IFERROR(INDEX(cat_ModG,MATCH(I689,cat_ModO,0)),"No"))</f>
        <v>No</v>
      </c>
      <c r="V689" s="34" t="str">
        <f aca="false">IF(J689="","SIN DATO",IFERROR(INDEX(cat_FunN,MATCH(J689,cat_FunO,0)),J689))</f>
        <v>Protección</v>
      </c>
      <c r="W689" s="34" t="str">
        <f aca="false">IF(OR(S689="SIN DATO",T689="SIN DATO"),"No","Sí")</f>
        <v>Sí</v>
      </c>
    </row>
    <row r="690" customFormat="false" ht="15" hidden="false" customHeight="false" outlineLevel="0" collapsed="false">
      <c r="A690" s="34" t="s">
        <v>2666</v>
      </c>
      <c r="B690" s="34" t="s">
        <v>2667</v>
      </c>
      <c r="C690" s="34" t="s">
        <v>2668</v>
      </c>
      <c r="D690" s="34" t="s">
        <v>2630</v>
      </c>
      <c r="E690" s="34" t="s">
        <v>111</v>
      </c>
      <c r="F690" s="34" t="s">
        <v>1602</v>
      </c>
      <c r="G690" s="34" t="s">
        <v>2431</v>
      </c>
      <c r="H690" s="34" t="s">
        <v>34</v>
      </c>
      <c r="I690" s="34" t="s">
        <v>36</v>
      </c>
      <c r="J690" s="34" t="s">
        <v>681</v>
      </c>
      <c r="K690" s="34" t="s">
        <v>229</v>
      </c>
      <c r="L690" s="34" t="s">
        <v>230</v>
      </c>
      <c r="M690" s="34" t="s">
        <v>682</v>
      </c>
      <c r="N690" s="34" t="str">
        <f aca="false">"Sector "&amp;VALUE(MID(D690,13,2))</f>
        <v>Sector 1</v>
      </c>
      <c r="O690" s="34" t="str">
        <f aca="false">IF(Dashboard!$C$5="Ubicación técnica",N690,"Sector "&amp;VALUE(RIGHT(G690,2)))</f>
        <v>Sector 1</v>
      </c>
      <c r="P690" s="34" t="str">
        <f aca="false">IF(MID(D690,15,3)="SEL","Subestación eléctrica","Área de proceso")</f>
        <v>Subestación eléctrica</v>
      </c>
      <c r="Q690" s="34" t="str">
        <f aca="false">MID(D690,13,5)&amp;"|"&amp;MID(D690,19,5)</f>
        <v>01SEL|S12_1</v>
      </c>
      <c r="R690" s="34" t="str">
        <f aca="false">IF(P690="Subestación eléctrica",IFERROR(INDEX(cat_SubN,MATCH(Q690,cat_SubK,0)),"SIN CATALOGAR"),"ÁREA DE PROCESO")</f>
        <v>SE-12-1</v>
      </c>
      <c r="S690" s="34" t="str">
        <f aca="false">IF(H690="","SIN DATO",IFERROR(INDEX(cat_MarcaN,MATCH(H690,cat_MarcaO,0)),H690))</f>
        <v>ABB</v>
      </c>
      <c r="T690" s="34" t="str">
        <f aca="false">IF(I690="","SIN DATO",IFERROR(INDEX(cat_ModN,MATCH(I690,cat_ModO,0)),I690))</f>
        <v>1AFFAEAGNEC5BNA11G</v>
      </c>
      <c r="U690" s="34" t="str">
        <f aca="false">IF(I690="","",IFERROR(INDEX(cat_ModG,MATCH(I690,cat_ModO,0)),"No"))</f>
        <v>No</v>
      </c>
      <c r="V690" s="34" t="str">
        <f aca="false">IF(J690="","SIN DATO",IFERROR(INDEX(cat_FunN,MATCH(J690,cat_FunO,0)),J690))</f>
        <v>Protección</v>
      </c>
      <c r="W690" s="34" t="str">
        <f aca="false">IF(OR(S690="SIN DATO",T690="SIN DATO"),"No","Sí")</f>
        <v>Sí</v>
      </c>
    </row>
    <row r="691" customFormat="false" ht="15" hidden="false" customHeight="false" outlineLevel="0" collapsed="false">
      <c r="A691" s="34" t="s">
        <v>2669</v>
      </c>
      <c r="B691" s="34" t="s">
        <v>2670</v>
      </c>
      <c r="C691" s="34" t="s">
        <v>2671</v>
      </c>
      <c r="D691" s="34" t="s">
        <v>2630</v>
      </c>
      <c r="E691" s="34" t="s">
        <v>111</v>
      </c>
      <c r="F691" s="34" t="s">
        <v>1602</v>
      </c>
      <c r="G691" s="34" t="s">
        <v>2431</v>
      </c>
      <c r="H691" s="34" t="s">
        <v>34</v>
      </c>
      <c r="I691" s="34" t="s">
        <v>48</v>
      </c>
      <c r="J691" s="34" t="s">
        <v>228</v>
      </c>
      <c r="K691" s="34" t="s">
        <v>229</v>
      </c>
      <c r="L691" s="34" t="s">
        <v>230</v>
      </c>
      <c r="M691" s="34" t="s">
        <v>231</v>
      </c>
      <c r="N691" s="34" t="str">
        <f aca="false">"Sector "&amp;VALUE(MID(D691,13,2))</f>
        <v>Sector 1</v>
      </c>
      <c r="O691" s="34" t="str">
        <f aca="false">IF(Dashboard!$C$5="Ubicación técnica",N691,"Sector "&amp;VALUE(RIGHT(G691,2)))</f>
        <v>Sector 1</v>
      </c>
      <c r="P691" s="34" t="str">
        <f aca="false">IF(MID(D691,15,3)="SEL","Subestación eléctrica","Área de proceso")</f>
        <v>Subestación eléctrica</v>
      </c>
      <c r="Q691" s="34" t="str">
        <f aca="false">MID(D691,13,5)&amp;"|"&amp;MID(D691,19,5)</f>
        <v>01SEL|S12_1</v>
      </c>
      <c r="R691" s="34" t="str">
        <f aca="false">IF(P691="Subestación eléctrica",IFERROR(INDEX(cat_SubN,MATCH(Q691,cat_SubK,0)),"SIN CATALOGAR"),"ÁREA DE PROCESO")</f>
        <v>SE-12-1</v>
      </c>
      <c r="S691" s="34" t="str">
        <f aca="false">IF(H691="","SIN DATO",IFERROR(INDEX(cat_MarcaN,MATCH(H691,cat_MarcaO,0)),H691))</f>
        <v>ABB</v>
      </c>
      <c r="T691" s="34" t="str">
        <f aca="false">IF(I691="","SIN DATO",IFERROR(INDEX(cat_ModN,MATCH(I691,cat_ModO,0)),I691))</f>
        <v>1AFNAEAGNEC5BNA11G</v>
      </c>
      <c r="U691" s="34" t="str">
        <f aca="false">IF(I691="","",IFERROR(INDEX(cat_ModG,MATCH(I691,cat_ModO,0)),"No"))</f>
        <v>No</v>
      </c>
      <c r="V691" s="34" t="str">
        <f aca="false">IF(J691="","SIN DATO",IFERROR(INDEX(cat_FunN,MATCH(J691,cat_FunO,0)),J691))</f>
        <v>Protección y medición</v>
      </c>
      <c r="W691" s="34" t="str">
        <f aca="false">IF(OR(S691="SIN DATO",T691="SIN DATO"),"No","Sí")</f>
        <v>Sí</v>
      </c>
    </row>
    <row r="692" customFormat="false" ht="15" hidden="false" customHeight="false" outlineLevel="0" collapsed="false">
      <c r="A692" s="34" t="s">
        <v>2672</v>
      </c>
      <c r="B692" s="34" t="s">
        <v>2673</v>
      </c>
      <c r="C692" s="34" t="s">
        <v>2674</v>
      </c>
      <c r="D692" s="34" t="s">
        <v>2630</v>
      </c>
      <c r="E692" s="34" t="s">
        <v>111</v>
      </c>
      <c r="F692" s="34" t="s">
        <v>1602</v>
      </c>
      <c r="G692" s="34" t="s">
        <v>2431</v>
      </c>
      <c r="H692" s="34" t="s">
        <v>34</v>
      </c>
      <c r="I692" s="34" t="s">
        <v>36</v>
      </c>
      <c r="J692" s="34" t="s">
        <v>228</v>
      </c>
      <c r="K692" s="34" t="s">
        <v>229</v>
      </c>
      <c r="L692" s="34" t="s">
        <v>230</v>
      </c>
      <c r="M692" s="34" t="s">
        <v>231</v>
      </c>
      <c r="N692" s="34" t="str">
        <f aca="false">"Sector "&amp;VALUE(MID(D692,13,2))</f>
        <v>Sector 1</v>
      </c>
      <c r="O692" s="34" t="str">
        <f aca="false">IF(Dashboard!$C$5="Ubicación técnica",N692,"Sector "&amp;VALUE(RIGHT(G692,2)))</f>
        <v>Sector 1</v>
      </c>
      <c r="P692" s="34" t="str">
        <f aca="false">IF(MID(D692,15,3)="SEL","Subestación eléctrica","Área de proceso")</f>
        <v>Subestación eléctrica</v>
      </c>
      <c r="Q692" s="34" t="str">
        <f aca="false">MID(D692,13,5)&amp;"|"&amp;MID(D692,19,5)</f>
        <v>01SEL|S12_1</v>
      </c>
      <c r="R692" s="34" t="str">
        <f aca="false">IF(P692="Subestación eléctrica",IFERROR(INDEX(cat_SubN,MATCH(Q692,cat_SubK,0)),"SIN CATALOGAR"),"ÁREA DE PROCESO")</f>
        <v>SE-12-1</v>
      </c>
      <c r="S692" s="34" t="str">
        <f aca="false">IF(H692="","SIN DATO",IFERROR(INDEX(cat_MarcaN,MATCH(H692,cat_MarcaO,0)),H692))</f>
        <v>ABB</v>
      </c>
      <c r="T692" s="34" t="str">
        <f aca="false">IF(I692="","SIN DATO",IFERROR(INDEX(cat_ModN,MATCH(I692,cat_ModO,0)),I692))</f>
        <v>1AFFAEAGNEC5BNA11G</v>
      </c>
      <c r="U692" s="34" t="str">
        <f aca="false">IF(I692="","",IFERROR(INDEX(cat_ModG,MATCH(I692,cat_ModO,0)),"No"))</f>
        <v>No</v>
      </c>
      <c r="V692" s="34" t="str">
        <f aca="false">IF(J692="","SIN DATO",IFERROR(INDEX(cat_FunN,MATCH(J692,cat_FunO,0)),J692))</f>
        <v>Protección y medición</v>
      </c>
      <c r="W692" s="34" t="str">
        <f aca="false">IF(OR(S692="SIN DATO",T692="SIN DATO"),"No","Sí")</f>
        <v>Sí</v>
      </c>
    </row>
    <row r="693" customFormat="false" ht="15" hidden="false" customHeight="false" outlineLevel="0" collapsed="false">
      <c r="A693" s="34" t="s">
        <v>2675</v>
      </c>
      <c r="B693" s="34" t="s">
        <v>2676</v>
      </c>
      <c r="C693" s="34" t="s">
        <v>2677</v>
      </c>
      <c r="D693" s="34" t="s">
        <v>2678</v>
      </c>
      <c r="E693" s="34" t="s">
        <v>111</v>
      </c>
      <c r="F693" s="34" t="s">
        <v>1602</v>
      </c>
      <c r="G693" s="34" t="s">
        <v>2431</v>
      </c>
      <c r="H693" s="34" t="s">
        <v>34</v>
      </c>
      <c r="I693" s="34" t="s">
        <v>36</v>
      </c>
      <c r="J693" s="34" t="s">
        <v>681</v>
      </c>
      <c r="K693" s="34" t="s">
        <v>229</v>
      </c>
      <c r="L693" s="34" t="s">
        <v>230</v>
      </c>
      <c r="M693" s="34" t="s">
        <v>682</v>
      </c>
      <c r="N693" s="34" t="str">
        <f aca="false">"Sector "&amp;VALUE(MID(D693,13,2))</f>
        <v>Sector 1</v>
      </c>
      <c r="O693" s="34" t="str">
        <f aca="false">IF(Dashboard!$C$5="Ubicación técnica",N693,"Sector "&amp;VALUE(RIGHT(G693,2)))</f>
        <v>Sector 1</v>
      </c>
      <c r="P693" s="34" t="str">
        <f aca="false">IF(MID(D693,15,3)="SEL","Subestación eléctrica","Área de proceso")</f>
        <v>Subestación eléctrica</v>
      </c>
      <c r="Q693" s="34" t="str">
        <f aca="false">MID(D693,13,5)&amp;"|"&amp;MID(D693,19,5)</f>
        <v>01SEL|S12_1</v>
      </c>
      <c r="R693" s="34" t="str">
        <f aca="false">IF(P693="Subestación eléctrica",IFERROR(INDEX(cat_SubN,MATCH(Q693,cat_SubK,0)),"SIN CATALOGAR"),"ÁREA DE PROCESO")</f>
        <v>SE-12-1</v>
      </c>
      <c r="S693" s="34" t="str">
        <f aca="false">IF(H693="","SIN DATO",IFERROR(INDEX(cat_MarcaN,MATCH(H693,cat_MarcaO,0)),H693))</f>
        <v>ABB</v>
      </c>
      <c r="T693" s="34" t="str">
        <f aca="false">IF(I693="","SIN DATO",IFERROR(INDEX(cat_ModN,MATCH(I693,cat_ModO,0)),I693))</f>
        <v>1AFFAEAGNEC5BNA11G</v>
      </c>
      <c r="U693" s="34" t="str">
        <f aca="false">IF(I693="","",IFERROR(INDEX(cat_ModG,MATCH(I693,cat_ModO,0)),"No"))</f>
        <v>No</v>
      </c>
      <c r="V693" s="34" t="str">
        <f aca="false">IF(J693="","SIN DATO",IFERROR(INDEX(cat_FunN,MATCH(J693,cat_FunO,0)),J693))</f>
        <v>Protección</v>
      </c>
      <c r="W693" s="34" t="str">
        <f aca="false">IF(OR(S693="SIN DATO",T693="SIN DATO"),"No","Sí")</f>
        <v>Sí</v>
      </c>
    </row>
    <row r="694" customFormat="false" ht="15" hidden="false" customHeight="false" outlineLevel="0" collapsed="false">
      <c r="A694" s="34" t="s">
        <v>2679</v>
      </c>
      <c r="B694" s="34" t="s">
        <v>2680</v>
      </c>
      <c r="C694" s="34" t="s">
        <v>2681</v>
      </c>
      <c r="D694" s="34" t="s">
        <v>2678</v>
      </c>
      <c r="E694" s="34" t="s">
        <v>111</v>
      </c>
      <c r="F694" s="34" t="s">
        <v>1602</v>
      </c>
      <c r="G694" s="34" t="s">
        <v>2431</v>
      </c>
      <c r="H694" s="34" t="s">
        <v>34</v>
      </c>
      <c r="I694" s="34" t="s">
        <v>36</v>
      </c>
      <c r="J694" s="34" t="s">
        <v>228</v>
      </c>
      <c r="K694" s="34" t="s">
        <v>229</v>
      </c>
      <c r="L694" s="34" t="s">
        <v>230</v>
      </c>
      <c r="M694" s="34" t="s">
        <v>231</v>
      </c>
      <c r="N694" s="34" t="str">
        <f aca="false">"Sector "&amp;VALUE(MID(D694,13,2))</f>
        <v>Sector 1</v>
      </c>
      <c r="O694" s="34" t="str">
        <f aca="false">IF(Dashboard!$C$5="Ubicación técnica",N694,"Sector "&amp;VALUE(RIGHT(G694,2)))</f>
        <v>Sector 1</v>
      </c>
      <c r="P694" s="34" t="str">
        <f aca="false">IF(MID(D694,15,3)="SEL","Subestación eléctrica","Área de proceso")</f>
        <v>Subestación eléctrica</v>
      </c>
      <c r="Q694" s="34" t="str">
        <f aca="false">MID(D694,13,5)&amp;"|"&amp;MID(D694,19,5)</f>
        <v>01SEL|S12_1</v>
      </c>
      <c r="R694" s="34" t="str">
        <f aca="false">IF(P694="Subestación eléctrica",IFERROR(INDEX(cat_SubN,MATCH(Q694,cat_SubK,0)),"SIN CATALOGAR"),"ÁREA DE PROCESO")</f>
        <v>SE-12-1</v>
      </c>
      <c r="S694" s="34" t="str">
        <f aca="false">IF(H694="","SIN DATO",IFERROR(INDEX(cat_MarcaN,MATCH(H694,cat_MarcaO,0)),H694))</f>
        <v>ABB</v>
      </c>
      <c r="T694" s="34" t="str">
        <f aca="false">IF(I694="","SIN DATO",IFERROR(INDEX(cat_ModN,MATCH(I694,cat_ModO,0)),I694))</f>
        <v>1AFFAEAGNEC5BNA11G</v>
      </c>
      <c r="U694" s="34" t="str">
        <f aca="false">IF(I694="","",IFERROR(INDEX(cat_ModG,MATCH(I694,cat_ModO,0)),"No"))</f>
        <v>No</v>
      </c>
      <c r="V694" s="34" t="str">
        <f aca="false">IF(J694="","SIN DATO",IFERROR(INDEX(cat_FunN,MATCH(J694,cat_FunO,0)),J694))</f>
        <v>Protección y medición</v>
      </c>
      <c r="W694" s="34" t="str">
        <f aca="false">IF(OR(S694="SIN DATO",T694="SIN DATO"),"No","Sí")</f>
        <v>Sí</v>
      </c>
    </row>
    <row r="695" customFormat="false" ht="15" hidden="false" customHeight="false" outlineLevel="0" collapsed="false">
      <c r="A695" s="34" t="s">
        <v>2682</v>
      </c>
      <c r="B695" s="34" t="s">
        <v>2683</v>
      </c>
      <c r="C695" s="34" t="s">
        <v>2684</v>
      </c>
      <c r="D695" s="34" t="s">
        <v>2685</v>
      </c>
      <c r="E695" s="34" t="s">
        <v>111</v>
      </c>
      <c r="F695" s="34" t="s">
        <v>1602</v>
      </c>
      <c r="G695" s="34" t="s">
        <v>2431</v>
      </c>
      <c r="H695" s="34" t="s">
        <v>34</v>
      </c>
      <c r="I695" s="34" t="s">
        <v>36</v>
      </c>
      <c r="J695" s="34" t="s">
        <v>681</v>
      </c>
      <c r="K695" s="34" t="s">
        <v>229</v>
      </c>
      <c r="L695" s="34" t="s">
        <v>230</v>
      </c>
      <c r="M695" s="34" t="s">
        <v>682</v>
      </c>
      <c r="N695" s="34" t="str">
        <f aca="false">"Sector "&amp;VALUE(MID(D695,13,2))</f>
        <v>Sector 1</v>
      </c>
      <c r="O695" s="34" t="str">
        <f aca="false">IF(Dashboard!$C$5="Ubicación técnica",N695,"Sector "&amp;VALUE(RIGHT(G695,2)))</f>
        <v>Sector 1</v>
      </c>
      <c r="P695" s="34" t="str">
        <f aca="false">IF(MID(D695,15,3)="SEL","Subestación eléctrica","Área de proceso")</f>
        <v>Subestación eléctrica</v>
      </c>
      <c r="Q695" s="34" t="str">
        <f aca="false">MID(D695,13,5)&amp;"|"&amp;MID(D695,19,5)</f>
        <v>01SEL|S12_1</v>
      </c>
      <c r="R695" s="34" t="str">
        <f aca="false">IF(P695="Subestación eléctrica",IFERROR(INDEX(cat_SubN,MATCH(Q695,cat_SubK,0)),"SIN CATALOGAR"),"ÁREA DE PROCESO")</f>
        <v>SE-12-1</v>
      </c>
      <c r="S695" s="34" t="str">
        <f aca="false">IF(H695="","SIN DATO",IFERROR(INDEX(cat_MarcaN,MATCH(H695,cat_MarcaO,0)),H695))</f>
        <v>ABB</v>
      </c>
      <c r="T695" s="34" t="str">
        <f aca="false">IF(I695="","SIN DATO",IFERROR(INDEX(cat_ModN,MATCH(I695,cat_ModO,0)),I695))</f>
        <v>1AFFAEAGNEC5BNA11G</v>
      </c>
      <c r="U695" s="34" t="str">
        <f aca="false">IF(I695="","",IFERROR(INDEX(cat_ModG,MATCH(I695,cat_ModO,0)),"No"))</f>
        <v>No</v>
      </c>
      <c r="V695" s="34" t="str">
        <f aca="false">IF(J695="","SIN DATO",IFERROR(INDEX(cat_FunN,MATCH(J695,cat_FunO,0)),J695))</f>
        <v>Protección</v>
      </c>
      <c r="W695" s="34" t="str">
        <f aca="false">IF(OR(S695="SIN DATO",T695="SIN DATO"),"No","Sí")</f>
        <v>Sí</v>
      </c>
    </row>
    <row r="696" customFormat="false" ht="15" hidden="false" customHeight="false" outlineLevel="0" collapsed="false">
      <c r="A696" s="34" t="s">
        <v>2686</v>
      </c>
      <c r="B696" s="34" t="s">
        <v>2687</v>
      </c>
      <c r="C696" s="34" t="s">
        <v>2688</v>
      </c>
      <c r="D696" s="34" t="s">
        <v>2685</v>
      </c>
      <c r="E696" s="34" t="s">
        <v>111</v>
      </c>
      <c r="F696" s="34" t="s">
        <v>1602</v>
      </c>
      <c r="G696" s="34" t="s">
        <v>2431</v>
      </c>
      <c r="H696" s="34" t="s">
        <v>34</v>
      </c>
      <c r="I696" s="34" t="s">
        <v>36</v>
      </c>
      <c r="J696" s="34" t="s">
        <v>681</v>
      </c>
      <c r="K696" s="34" t="s">
        <v>229</v>
      </c>
      <c r="L696" s="34" t="s">
        <v>230</v>
      </c>
      <c r="M696" s="34" t="s">
        <v>682</v>
      </c>
      <c r="N696" s="34" t="str">
        <f aca="false">"Sector "&amp;VALUE(MID(D696,13,2))</f>
        <v>Sector 1</v>
      </c>
      <c r="O696" s="34" t="str">
        <f aca="false">IF(Dashboard!$C$5="Ubicación técnica",N696,"Sector "&amp;VALUE(RIGHT(G696,2)))</f>
        <v>Sector 1</v>
      </c>
      <c r="P696" s="34" t="str">
        <f aca="false">IF(MID(D696,15,3)="SEL","Subestación eléctrica","Área de proceso")</f>
        <v>Subestación eléctrica</v>
      </c>
      <c r="Q696" s="34" t="str">
        <f aca="false">MID(D696,13,5)&amp;"|"&amp;MID(D696,19,5)</f>
        <v>01SEL|S12_1</v>
      </c>
      <c r="R696" s="34" t="str">
        <f aca="false">IF(P696="Subestación eléctrica",IFERROR(INDEX(cat_SubN,MATCH(Q696,cat_SubK,0)),"SIN CATALOGAR"),"ÁREA DE PROCESO")</f>
        <v>SE-12-1</v>
      </c>
      <c r="S696" s="34" t="str">
        <f aca="false">IF(H696="","SIN DATO",IFERROR(INDEX(cat_MarcaN,MATCH(H696,cat_MarcaO,0)),H696))</f>
        <v>ABB</v>
      </c>
      <c r="T696" s="34" t="str">
        <f aca="false">IF(I696="","SIN DATO",IFERROR(INDEX(cat_ModN,MATCH(I696,cat_ModO,0)),I696))</f>
        <v>1AFFAEAGNEC5BNA11G</v>
      </c>
      <c r="U696" s="34" t="str">
        <f aca="false">IF(I696="","",IFERROR(INDEX(cat_ModG,MATCH(I696,cat_ModO,0)),"No"))</f>
        <v>No</v>
      </c>
      <c r="V696" s="34" t="str">
        <f aca="false">IF(J696="","SIN DATO",IFERROR(INDEX(cat_FunN,MATCH(J696,cat_FunO,0)),J696))</f>
        <v>Protección</v>
      </c>
      <c r="W696" s="34" t="str">
        <f aca="false">IF(OR(S696="SIN DATO",T696="SIN DATO"),"No","Sí")</f>
        <v>Sí</v>
      </c>
    </row>
    <row r="697" customFormat="false" ht="15" hidden="false" customHeight="false" outlineLevel="0" collapsed="false">
      <c r="A697" s="34" t="s">
        <v>2689</v>
      </c>
      <c r="B697" s="34" t="s">
        <v>2690</v>
      </c>
      <c r="C697" s="34" t="s">
        <v>2691</v>
      </c>
      <c r="D697" s="34" t="s">
        <v>2685</v>
      </c>
      <c r="E697" s="34" t="s">
        <v>111</v>
      </c>
      <c r="F697" s="34" t="s">
        <v>1602</v>
      </c>
      <c r="G697" s="34" t="s">
        <v>2431</v>
      </c>
      <c r="H697" s="34" t="s">
        <v>34</v>
      </c>
      <c r="I697" s="34" t="s">
        <v>36</v>
      </c>
      <c r="J697" s="34" t="s">
        <v>228</v>
      </c>
      <c r="K697" s="34" t="s">
        <v>229</v>
      </c>
      <c r="L697" s="34" t="s">
        <v>230</v>
      </c>
      <c r="M697" s="34" t="s">
        <v>231</v>
      </c>
      <c r="N697" s="34" t="str">
        <f aca="false">"Sector "&amp;VALUE(MID(D697,13,2))</f>
        <v>Sector 1</v>
      </c>
      <c r="O697" s="34" t="str">
        <f aca="false">IF(Dashboard!$C$5="Ubicación técnica",N697,"Sector "&amp;VALUE(RIGHT(G697,2)))</f>
        <v>Sector 1</v>
      </c>
      <c r="P697" s="34" t="str">
        <f aca="false">IF(MID(D697,15,3)="SEL","Subestación eléctrica","Área de proceso")</f>
        <v>Subestación eléctrica</v>
      </c>
      <c r="Q697" s="34" t="str">
        <f aca="false">MID(D697,13,5)&amp;"|"&amp;MID(D697,19,5)</f>
        <v>01SEL|S12_1</v>
      </c>
      <c r="R697" s="34" t="str">
        <f aca="false">IF(P697="Subestación eléctrica",IFERROR(INDEX(cat_SubN,MATCH(Q697,cat_SubK,0)),"SIN CATALOGAR"),"ÁREA DE PROCESO")</f>
        <v>SE-12-1</v>
      </c>
      <c r="S697" s="34" t="str">
        <f aca="false">IF(H697="","SIN DATO",IFERROR(INDEX(cat_MarcaN,MATCH(H697,cat_MarcaO,0)),H697))</f>
        <v>ABB</v>
      </c>
      <c r="T697" s="34" t="str">
        <f aca="false">IF(I697="","SIN DATO",IFERROR(INDEX(cat_ModN,MATCH(I697,cat_ModO,0)),I697))</f>
        <v>1AFFAEAGNEC5BNA11G</v>
      </c>
      <c r="U697" s="34" t="str">
        <f aca="false">IF(I697="","",IFERROR(INDEX(cat_ModG,MATCH(I697,cat_ModO,0)),"No"))</f>
        <v>No</v>
      </c>
      <c r="V697" s="34" t="str">
        <f aca="false">IF(J697="","SIN DATO",IFERROR(INDEX(cat_FunN,MATCH(J697,cat_FunO,0)),J697))</f>
        <v>Protección y medición</v>
      </c>
      <c r="W697" s="34" t="str">
        <f aca="false">IF(OR(S697="SIN DATO",T697="SIN DATO"),"No","Sí")</f>
        <v>Sí</v>
      </c>
    </row>
    <row r="698" customFormat="false" ht="15" hidden="false" customHeight="false" outlineLevel="0" collapsed="false">
      <c r="A698" s="34" t="s">
        <v>2692</v>
      </c>
      <c r="B698" s="34" t="s">
        <v>2693</v>
      </c>
      <c r="C698" s="34" t="s">
        <v>2694</v>
      </c>
      <c r="D698" s="34" t="s">
        <v>2695</v>
      </c>
      <c r="E698" s="34" t="s">
        <v>111</v>
      </c>
      <c r="F698" s="34" t="s">
        <v>1602</v>
      </c>
      <c r="G698" s="34" t="s">
        <v>2431</v>
      </c>
      <c r="H698" s="34" t="s">
        <v>34</v>
      </c>
      <c r="I698" s="34" t="s">
        <v>36</v>
      </c>
      <c r="J698" s="34" t="s">
        <v>681</v>
      </c>
      <c r="K698" s="34" t="s">
        <v>229</v>
      </c>
      <c r="L698" s="34" t="s">
        <v>230</v>
      </c>
      <c r="M698" s="34" t="s">
        <v>682</v>
      </c>
      <c r="N698" s="34" t="str">
        <f aca="false">"Sector "&amp;VALUE(MID(D698,13,2))</f>
        <v>Sector 1</v>
      </c>
      <c r="O698" s="34" t="str">
        <f aca="false">IF(Dashboard!$C$5="Ubicación técnica",N698,"Sector "&amp;VALUE(RIGHT(G698,2)))</f>
        <v>Sector 1</v>
      </c>
      <c r="P698" s="34" t="str">
        <f aca="false">IF(MID(D698,15,3)="SEL","Subestación eléctrica","Área de proceso")</f>
        <v>Subestación eléctrica</v>
      </c>
      <c r="Q698" s="34" t="str">
        <f aca="false">MID(D698,13,5)&amp;"|"&amp;MID(D698,19,5)</f>
        <v>01SEL|S12_1</v>
      </c>
      <c r="R698" s="34" t="str">
        <f aca="false">IF(P698="Subestación eléctrica",IFERROR(INDEX(cat_SubN,MATCH(Q698,cat_SubK,0)),"SIN CATALOGAR"),"ÁREA DE PROCESO")</f>
        <v>SE-12-1</v>
      </c>
      <c r="S698" s="34" t="str">
        <f aca="false">IF(H698="","SIN DATO",IFERROR(INDEX(cat_MarcaN,MATCH(H698,cat_MarcaO,0)),H698))</f>
        <v>ABB</v>
      </c>
      <c r="T698" s="34" t="str">
        <f aca="false">IF(I698="","SIN DATO",IFERROR(INDEX(cat_ModN,MATCH(I698,cat_ModO,0)),I698))</f>
        <v>1AFFAEAGNEC5BNA11G</v>
      </c>
      <c r="U698" s="34" t="str">
        <f aca="false">IF(I698="","",IFERROR(INDEX(cat_ModG,MATCH(I698,cat_ModO,0)),"No"))</f>
        <v>No</v>
      </c>
      <c r="V698" s="34" t="str">
        <f aca="false">IF(J698="","SIN DATO",IFERROR(INDEX(cat_FunN,MATCH(J698,cat_FunO,0)),J698))</f>
        <v>Protección</v>
      </c>
      <c r="W698" s="34" t="str">
        <f aca="false">IF(OR(S698="SIN DATO",T698="SIN DATO"),"No","Sí")</f>
        <v>Sí</v>
      </c>
    </row>
    <row r="699" customFormat="false" ht="15" hidden="false" customHeight="false" outlineLevel="0" collapsed="false">
      <c r="A699" s="34" t="s">
        <v>2696</v>
      </c>
      <c r="B699" s="34" t="s">
        <v>2697</v>
      </c>
      <c r="C699" s="34" t="s">
        <v>2698</v>
      </c>
      <c r="D699" s="34" t="s">
        <v>2695</v>
      </c>
      <c r="E699" s="34" t="s">
        <v>111</v>
      </c>
      <c r="F699" s="34" t="s">
        <v>1602</v>
      </c>
      <c r="G699" s="34" t="s">
        <v>2431</v>
      </c>
      <c r="H699" s="34" t="s">
        <v>34</v>
      </c>
      <c r="I699" s="34" t="s">
        <v>36</v>
      </c>
      <c r="J699" s="34" t="s">
        <v>681</v>
      </c>
      <c r="K699" s="34" t="s">
        <v>229</v>
      </c>
      <c r="L699" s="34" t="s">
        <v>230</v>
      </c>
      <c r="M699" s="34" t="s">
        <v>682</v>
      </c>
      <c r="N699" s="34" t="str">
        <f aca="false">"Sector "&amp;VALUE(MID(D699,13,2))</f>
        <v>Sector 1</v>
      </c>
      <c r="O699" s="34" t="str">
        <f aca="false">IF(Dashboard!$C$5="Ubicación técnica",N699,"Sector "&amp;VALUE(RIGHT(G699,2)))</f>
        <v>Sector 1</v>
      </c>
      <c r="P699" s="34" t="str">
        <f aca="false">IF(MID(D699,15,3)="SEL","Subestación eléctrica","Área de proceso")</f>
        <v>Subestación eléctrica</v>
      </c>
      <c r="Q699" s="34" t="str">
        <f aca="false">MID(D699,13,5)&amp;"|"&amp;MID(D699,19,5)</f>
        <v>01SEL|S12_1</v>
      </c>
      <c r="R699" s="34" t="str">
        <f aca="false">IF(P699="Subestación eléctrica",IFERROR(INDEX(cat_SubN,MATCH(Q699,cat_SubK,0)),"SIN CATALOGAR"),"ÁREA DE PROCESO")</f>
        <v>SE-12-1</v>
      </c>
      <c r="S699" s="34" t="str">
        <f aca="false">IF(H699="","SIN DATO",IFERROR(INDEX(cat_MarcaN,MATCH(H699,cat_MarcaO,0)),H699))</f>
        <v>ABB</v>
      </c>
      <c r="T699" s="34" t="str">
        <f aca="false">IF(I699="","SIN DATO",IFERROR(INDEX(cat_ModN,MATCH(I699,cat_ModO,0)),I699))</f>
        <v>1AFFAEAGNEC5BNA11G</v>
      </c>
      <c r="U699" s="34" t="str">
        <f aca="false">IF(I699="","",IFERROR(INDEX(cat_ModG,MATCH(I699,cat_ModO,0)),"No"))</f>
        <v>No</v>
      </c>
      <c r="V699" s="34" t="str">
        <f aca="false">IF(J699="","SIN DATO",IFERROR(INDEX(cat_FunN,MATCH(J699,cat_FunO,0)),J699))</f>
        <v>Protección</v>
      </c>
      <c r="W699" s="34" t="str">
        <f aca="false">IF(OR(S699="SIN DATO",T699="SIN DATO"),"No","Sí")</f>
        <v>Sí</v>
      </c>
    </row>
    <row r="700" customFormat="false" ht="15" hidden="false" customHeight="false" outlineLevel="0" collapsed="false">
      <c r="A700" s="34" t="s">
        <v>2699</v>
      </c>
      <c r="B700" s="34" t="s">
        <v>2700</v>
      </c>
      <c r="C700" s="34" t="s">
        <v>2701</v>
      </c>
      <c r="D700" s="34" t="s">
        <v>2695</v>
      </c>
      <c r="E700" s="34" t="s">
        <v>111</v>
      </c>
      <c r="F700" s="34" t="s">
        <v>1602</v>
      </c>
      <c r="G700" s="34" t="s">
        <v>2431</v>
      </c>
      <c r="H700" s="34" t="s">
        <v>34</v>
      </c>
      <c r="I700" s="34" t="s">
        <v>36</v>
      </c>
      <c r="J700" s="34" t="s">
        <v>228</v>
      </c>
      <c r="K700" s="34" t="s">
        <v>229</v>
      </c>
      <c r="L700" s="34" t="s">
        <v>230</v>
      </c>
      <c r="M700" s="34" t="s">
        <v>231</v>
      </c>
      <c r="N700" s="34" t="str">
        <f aca="false">"Sector "&amp;VALUE(MID(D700,13,2))</f>
        <v>Sector 1</v>
      </c>
      <c r="O700" s="34" t="str">
        <f aca="false">IF(Dashboard!$C$5="Ubicación técnica",N700,"Sector "&amp;VALUE(RIGHT(G700,2)))</f>
        <v>Sector 1</v>
      </c>
      <c r="P700" s="34" t="str">
        <f aca="false">IF(MID(D700,15,3)="SEL","Subestación eléctrica","Área de proceso")</f>
        <v>Subestación eléctrica</v>
      </c>
      <c r="Q700" s="34" t="str">
        <f aca="false">MID(D700,13,5)&amp;"|"&amp;MID(D700,19,5)</f>
        <v>01SEL|S12_1</v>
      </c>
      <c r="R700" s="34" t="str">
        <f aca="false">IF(P700="Subestación eléctrica",IFERROR(INDEX(cat_SubN,MATCH(Q700,cat_SubK,0)),"SIN CATALOGAR"),"ÁREA DE PROCESO")</f>
        <v>SE-12-1</v>
      </c>
      <c r="S700" s="34" t="str">
        <f aca="false">IF(H700="","SIN DATO",IFERROR(INDEX(cat_MarcaN,MATCH(H700,cat_MarcaO,0)),H700))</f>
        <v>ABB</v>
      </c>
      <c r="T700" s="34" t="str">
        <f aca="false">IF(I700="","SIN DATO",IFERROR(INDEX(cat_ModN,MATCH(I700,cat_ModO,0)),I700))</f>
        <v>1AFFAEAGNEC5BNA11G</v>
      </c>
      <c r="U700" s="34" t="str">
        <f aca="false">IF(I700="","",IFERROR(INDEX(cat_ModG,MATCH(I700,cat_ModO,0)),"No"))</f>
        <v>No</v>
      </c>
      <c r="V700" s="34" t="str">
        <f aca="false">IF(J700="","SIN DATO",IFERROR(INDEX(cat_FunN,MATCH(J700,cat_FunO,0)),J700))</f>
        <v>Protección y medición</v>
      </c>
      <c r="W700" s="34" t="str">
        <f aca="false">IF(OR(S700="SIN DATO",T700="SIN DATO"),"No","Sí")</f>
        <v>Sí</v>
      </c>
    </row>
    <row r="701" customFormat="false" ht="15" hidden="false" customHeight="false" outlineLevel="0" collapsed="false">
      <c r="A701" s="34" t="s">
        <v>2702</v>
      </c>
      <c r="B701" s="34" t="s">
        <v>2703</v>
      </c>
      <c r="C701" s="34" t="s">
        <v>2704</v>
      </c>
      <c r="D701" s="34" t="s">
        <v>1989</v>
      </c>
      <c r="E701" s="34" t="s">
        <v>184</v>
      </c>
      <c r="F701" s="34" t="s">
        <v>1602</v>
      </c>
      <c r="G701" s="34" t="s">
        <v>227</v>
      </c>
      <c r="H701" s="34" t="s">
        <v>55</v>
      </c>
      <c r="I701" s="34" t="s">
        <v>57</v>
      </c>
      <c r="J701" s="34" t="s">
        <v>58</v>
      </c>
      <c r="K701" s="34" t="s">
        <v>229</v>
      </c>
      <c r="L701" s="34" t="s">
        <v>230</v>
      </c>
      <c r="M701" s="34" t="s">
        <v>237</v>
      </c>
      <c r="N701" s="34" t="str">
        <f aca="false">"Sector "&amp;VALUE(MID(D701,13,2))</f>
        <v>Sector 8</v>
      </c>
      <c r="O701" s="34" t="str">
        <f aca="false">IF(Dashboard!$C$5="Ubicación técnica",N701,"Sector "&amp;VALUE(RIGHT(G701,2)))</f>
        <v>Sector 8</v>
      </c>
      <c r="P701" s="34" t="str">
        <f aca="false">IF(MID(D701,15,3)="SEL","Subestación eléctrica","Área de proceso")</f>
        <v>Subestación eléctrica</v>
      </c>
      <c r="Q701" s="34" t="str">
        <f aca="false">MID(D701,13,5)&amp;"|"&amp;MID(D701,19,5)</f>
        <v>08SEL|SEP01</v>
      </c>
      <c r="R701" s="34" t="str">
        <f aca="false">IF(P701="Subestación eléctrica",IFERROR(INDEX(cat_SubN,MATCH(Q701,cat_SubK,0)),"SIN CATALOGAR"),"ÁREA DE PROCESO")</f>
        <v>SEP-01</v>
      </c>
      <c r="S701" s="34" t="str">
        <f aca="false">IF(H701="","SIN DATO",IFERROR(INDEX(cat_MarcaN,MATCH(H701,cat_MarcaO,0)),H701))</f>
        <v>SEL</v>
      </c>
      <c r="T701" s="34" t="str">
        <f aca="false">IF(I701="","SIN DATO",IFERROR(INDEX(cat_ModN,MATCH(I701,cat_ModO,0)),I701))</f>
        <v>SEL-735</v>
      </c>
      <c r="U701" s="34" t="str">
        <f aca="false">IF(I701="","",IFERROR(INDEX(cat_ModG,MATCH(I701,cat_ModO,0)),"No"))</f>
        <v>No</v>
      </c>
      <c r="V701" s="34" t="str">
        <f aca="false">IF(J701="","SIN DATO",IFERROR(INDEX(cat_FunN,MATCH(J701,cat_FunO,0)),J701))</f>
        <v>Medición</v>
      </c>
      <c r="W701" s="34" t="str">
        <f aca="false">IF(OR(S701="SIN DATO",T701="SIN DATO"),"No","Sí")</f>
        <v>Sí</v>
      </c>
    </row>
    <row r="702" customFormat="false" ht="15" hidden="false" customHeight="false" outlineLevel="0" collapsed="false">
      <c r="A702" s="34" t="s">
        <v>2705</v>
      </c>
      <c r="B702" s="34" t="s">
        <v>2706</v>
      </c>
      <c r="C702" s="34" t="s">
        <v>2707</v>
      </c>
      <c r="D702" s="34" t="s">
        <v>2708</v>
      </c>
      <c r="E702" s="34" t="s">
        <v>109</v>
      </c>
      <c r="F702" s="34" t="s">
        <v>1602</v>
      </c>
      <c r="G702" s="34" t="s">
        <v>2431</v>
      </c>
      <c r="H702" s="34" t="s">
        <v>34</v>
      </c>
      <c r="I702" s="34" t="s">
        <v>36</v>
      </c>
      <c r="J702" s="34" t="s">
        <v>681</v>
      </c>
      <c r="K702" s="34" t="s">
        <v>229</v>
      </c>
      <c r="L702" s="34" t="s">
        <v>230</v>
      </c>
      <c r="M702" s="34" t="s">
        <v>682</v>
      </c>
      <c r="N702" s="34" t="str">
        <f aca="false">"Sector "&amp;VALUE(MID(D702,13,2))</f>
        <v>Sector 1</v>
      </c>
      <c r="O702" s="34" t="str">
        <f aca="false">IF(Dashboard!$C$5="Ubicación técnica",N702,"Sector "&amp;VALUE(RIGHT(G702,2)))</f>
        <v>Sector 1</v>
      </c>
      <c r="P702" s="34" t="str">
        <f aca="false">IF(MID(D702,15,3)="SEL","Subestación eléctrica","Área de proceso")</f>
        <v>Subestación eléctrica</v>
      </c>
      <c r="Q702" s="34" t="str">
        <f aca="false">MID(D702,13,5)&amp;"|"&amp;MID(D702,19,5)</f>
        <v>01SEL|S_012</v>
      </c>
      <c r="R702" s="34" t="str">
        <f aca="false">IF(P702="Subestación eléctrica",IFERROR(INDEX(cat_SubN,MATCH(Q702,cat_SubK,0)),"SIN CATALOGAR"),"ÁREA DE PROCESO")</f>
        <v>SE-12</v>
      </c>
      <c r="S702" s="34" t="str">
        <f aca="false">IF(H702="","SIN DATO",IFERROR(INDEX(cat_MarcaN,MATCH(H702,cat_MarcaO,0)),H702))</f>
        <v>ABB</v>
      </c>
      <c r="T702" s="34" t="str">
        <f aca="false">IF(I702="","SIN DATO",IFERROR(INDEX(cat_ModN,MATCH(I702,cat_ModO,0)),I702))</f>
        <v>1AFFAEAGNEC5BNA11G</v>
      </c>
      <c r="U702" s="34" t="str">
        <f aca="false">IF(I702="","",IFERROR(INDEX(cat_ModG,MATCH(I702,cat_ModO,0)),"No"))</f>
        <v>No</v>
      </c>
      <c r="V702" s="34" t="str">
        <f aca="false">IF(J702="","SIN DATO",IFERROR(INDEX(cat_FunN,MATCH(J702,cat_FunO,0)),J702))</f>
        <v>Protección</v>
      </c>
      <c r="W702" s="34" t="str">
        <f aca="false">IF(OR(S702="SIN DATO",T702="SIN DATO"),"No","Sí")</f>
        <v>Sí</v>
      </c>
    </row>
    <row r="703" customFormat="false" ht="15" hidden="false" customHeight="false" outlineLevel="0" collapsed="false">
      <c r="A703" s="34" t="s">
        <v>2709</v>
      </c>
      <c r="B703" s="34" t="s">
        <v>2710</v>
      </c>
      <c r="C703" s="34" t="s">
        <v>2711</v>
      </c>
      <c r="D703" s="34" t="s">
        <v>2708</v>
      </c>
      <c r="E703" s="34" t="s">
        <v>109</v>
      </c>
      <c r="F703" s="34" t="s">
        <v>1602</v>
      </c>
      <c r="G703" s="34" t="s">
        <v>2431</v>
      </c>
      <c r="H703" s="34" t="s">
        <v>34</v>
      </c>
      <c r="I703" s="34" t="s">
        <v>36</v>
      </c>
      <c r="J703" s="34" t="s">
        <v>228</v>
      </c>
      <c r="K703" s="34" t="s">
        <v>229</v>
      </c>
      <c r="L703" s="34" t="s">
        <v>230</v>
      </c>
      <c r="M703" s="34" t="s">
        <v>231</v>
      </c>
      <c r="N703" s="34" t="str">
        <f aca="false">"Sector "&amp;VALUE(MID(D703,13,2))</f>
        <v>Sector 1</v>
      </c>
      <c r="O703" s="34" t="str">
        <f aca="false">IF(Dashboard!$C$5="Ubicación técnica",N703,"Sector "&amp;VALUE(RIGHT(G703,2)))</f>
        <v>Sector 1</v>
      </c>
      <c r="P703" s="34" t="str">
        <f aca="false">IF(MID(D703,15,3)="SEL","Subestación eléctrica","Área de proceso")</f>
        <v>Subestación eléctrica</v>
      </c>
      <c r="Q703" s="34" t="str">
        <f aca="false">MID(D703,13,5)&amp;"|"&amp;MID(D703,19,5)</f>
        <v>01SEL|S_012</v>
      </c>
      <c r="R703" s="34" t="str">
        <f aca="false">IF(P703="Subestación eléctrica",IFERROR(INDEX(cat_SubN,MATCH(Q703,cat_SubK,0)),"SIN CATALOGAR"),"ÁREA DE PROCESO")</f>
        <v>SE-12</v>
      </c>
      <c r="S703" s="34" t="str">
        <f aca="false">IF(H703="","SIN DATO",IFERROR(INDEX(cat_MarcaN,MATCH(H703,cat_MarcaO,0)),H703))</f>
        <v>ABB</v>
      </c>
      <c r="T703" s="34" t="str">
        <f aca="false">IF(I703="","SIN DATO",IFERROR(INDEX(cat_ModN,MATCH(I703,cat_ModO,0)),I703))</f>
        <v>1AFFAEAGNEC5BNA11G</v>
      </c>
      <c r="U703" s="34" t="str">
        <f aca="false">IF(I703="","",IFERROR(INDEX(cat_ModG,MATCH(I703,cat_ModO,0)),"No"))</f>
        <v>No</v>
      </c>
      <c r="V703" s="34" t="str">
        <f aca="false">IF(J703="","SIN DATO",IFERROR(INDEX(cat_FunN,MATCH(J703,cat_FunO,0)),J703))</f>
        <v>Protección y medición</v>
      </c>
      <c r="W703" s="34" t="str">
        <f aca="false">IF(OR(S703="SIN DATO",T703="SIN DATO"),"No","Sí")</f>
        <v>Sí</v>
      </c>
    </row>
    <row r="704" customFormat="false" ht="15" hidden="false" customHeight="false" outlineLevel="0" collapsed="false">
      <c r="A704" s="34" t="s">
        <v>2712</v>
      </c>
      <c r="B704" s="34" t="s">
        <v>2713</v>
      </c>
      <c r="C704" s="34" t="s">
        <v>2714</v>
      </c>
      <c r="D704" s="34" t="s">
        <v>2715</v>
      </c>
      <c r="E704" s="34" t="s">
        <v>109</v>
      </c>
      <c r="F704" s="34" t="s">
        <v>1602</v>
      </c>
      <c r="G704" s="34" t="s">
        <v>2431</v>
      </c>
      <c r="H704" s="34" t="s">
        <v>34</v>
      </c>
      <c r="I704" s="34" t="s">
        <v>36</v>
      </c>
      <c r="J704" s="34" t="s">
        <v>228</v>
      </c>
      <c r="K704" s="34" t="s">
        <v>229</v>
      </c>
      <c r="L704" s="34" t="s">
        <v>230</v>
      </c>
      <c r="M704" s="34" t="s">
        <v>231</v>
      </c>
      <c r="N704" s="34" t="str">
        <f aca="false">"Sector "&amp;VALUE(MID(D704,13,2))</f>
        <v>Sector 1</v>
      </c>
      <c r="O704" s="34" t="str">
        <f aca="false">IF(Dashboard!$C$5="Ubicación técnica",N704,"Sector "&amp;VALUE(RIGHT(G704,2)))</f>
        <v>Sector 1</v>
      </c>
      <c r="P704" s="34" t="str">
        <f aca="false">IF(MID(D704,15,3)="SEL","Subestación eléctrica","Área de proceso")</f>
        <v>Subestación eléctrica</v>
      </c>
      <c r="Q704" s="34" t="str">
        <f aca="false">MID(D704,13,5)&amp;"|"&amp;MID(D704,19,5)</f>
        <v>01SEL|S_012</v>
      </c>
      <c r="R704" s="34" t="str">
        <f aca="false">IF(P704="Subestación eléctrica",IFERROR(INDEX(cat_SubN,MATCH(Q704,cat_SubK,0)),"SIN CATALOGAR"),"ÁREA DE PROCESO")</f>
        <v>SE-12</v>
      </c>
      <c r="S704" s="34" t="str">
        <f aca="false">IF(H704="","SIN DATO",IFERROR(INDEX(cat_MarcaN,MATCH(H704,cat_MarcaO,0)),H704))</f>
        <v>ABB</v>
      </c>
      <c r="T704" s="34" t="str">
        <f aca="false">IF(I704="","SIN DATO",IFERROR(INDEX(cat_ModN,MATCH(I704,cat_ModO,0)),I704))</f>
        <v>1AFFAEAGNEC5BNA11G</v>
      </c>
      <c r="U704" s="34" t="str">
        <f aca="false">IF(I704="","",IFERROR(INDEX(cat_ModG,MATCH(I704,cat_ModO,0)),"No"))</f>
        <v>No</v>
      </c>
      <c r="V704" s="34" t="str">
        <f aca="false">IF(J704="","SIN DATO",IFERROR(INDEX(cat_FunN,MATCH(J704,cat_FunO,0)),J704))</f>
        <v>Protección y medición</v>
      </c>
      <c r="W704" s="34" t="str">
        <f aca="false">IF(OR(S704="SIN DATO",T704="SIN DATO"),"No","Sí")</f>
        <v>Sí</v>
      </c>
    </row>
    <row r="705" customFormat="false" ht="15" hidden="false" customHeight="false" outlineLevel="0" collapsed="false">
      <c r="A705" s="34" t="s">
        <v>2716</v>
      </c>
      <c r="B705" s="34" t="s">
        <v>2717</v>
      </c>
      <c r="C705" s="34" t="s">
        <v>2718</v>
      </c>
      <c r="D705" s="34" t="s">
        <v>2715</v>
      </c>
      <c r="E705" s="34" t="s">
        <v>109</v>
      </c>
      <c r="F705" s="34" t="s">
        <v>1602</v>
      </c>
      <c r="G705" s="34" t="s">
        <v>2431</v>
      </c>
      <c r="H705" s="34" t="s">
        <v>34</v>
      </c>
      <c r="I705" s="34" t="s">
        <v>36</v>
      </c>
      <c r="J705" s="34" t="s">
        <v>681</v>
      </c>
      <c r="K705" s="34" t="s">
        <v>229</v>
      </c>
      <c r="L705" s="34" t="s">
        <v>230</v>
      </c>
      <c r="M705" s="34" t="s">
        <v>682</v>
      </c>
      <c r="N705" s="34" t="str">
        <f aca="false">"Sector "&amp;VALUE(MID(D705,13,2))</f>
        <v>Sector 1</v>
      </c>
      <c r="O705" s="34" t="str">
        <f aca="false">IF(Dashboard!$C$5="Ubicación técnica",N705,"Sector "&amp;VALUE(RIGHT(G705,2)))</f>
        <v>Sector 1</v>
      </c>
      <c r="P705" s="34" t="str">
        <f aca="false">IF(MID(D705,15,3)="SEL","Subestación eléctrica","Área de proceso")</f>
        <v>Subestación eléctrica</v>
      </c>
      <c r="Q705" s="34" t="str">
        <f aca="false">MID(D705,13,5)&amp;"|"&amp;MID(D705,19,5)</f>
        <v>01SEL|S_012</v>
      </c>
      <c r="R705" s="34" t="str">
        <f aca="false">IF(P705="Subestación eléctrica",IFERROR(INDEX(cat_SubN,MATCH(Q705,cat_SubK,0)),"SIN CATALOGAR"),"ÁREA DE PROCESO")</f>
        <v>SE-12</v>
      </c>
      <c r="S705" s="34" t="str">
        <f aca="false">IF(H705="","SIN DATO",IFERROR(INDEX(cat_MarcaN,MATCH(H705,cat_MarcaO,0)),H705))</f>
        <v>ABB</v>
      </c>
      <c r="T705" s="34" t="str">
        <f aca="false">IF(I705="","SIN DATO",IFERROR(INDEX(cat_ModN,MATCH(I705,cat_ModO,0)),I705))</f>
        <v>1AFFAEAGNEC5BNA11G</v>
      </c>
      <c r="U705" s="34" t="str">
        <f aca="false">IF(I705="","",IFERROR(INDEX(cat_ModG,MATCH(I705,cat_ModO,0)),"No"))</f>
        <v>No</v>
      </c>
      <c r="V705" s="34" t="str">
        <f aca="false">IF(J705="","SIN DATO",IFERROR(INDEX(cat_FunN,MATCH(J705,cat_FunO,0)),J705))</f>
        <v>Protección</v>
      </c>
      <c r="W705" s="34" t="str">
        <f aca="false">IF(OR(S705="SIN DATO",T705="SIN DATO"),"No","Sí")</f>
        <v>Sí</v>
      </c>
    </row>
    <row r="706" customFormat="false" ht="15" hidden="false" customHeight="false" outlineLevel="0" collapsed="false">
      <c r="A706" s="34" t="s">
        <v>2719</v>
      </c>
      <c r="B706" s="34" t="s">
        <v>2720</v>
      </c>
      <c r="C706" s="34" t="s">
        <v>2721</v>
      </c>
      <c r="D706" s="34" t="s">
        <v>2715</v>
      </c>
      <c r="E706" s="34" t="s">
        <v>109</v>
      </c>
      <c r="F706" s="34" t="s">
        <v>1602</v>
      </c>
      <c r="G706" s="34" t="s">
        <v>2431</v>
      </c>
      <c r="H706" s="34" t="s">
        <v>34</v>
      </c>
      <c r="I706" s="34" t="s">
        <v>36</v>
      </c>
      <c r="J706" s="34" t="s">
        <v>681</v>
      </c>
      <c r="K706" s="34" t="s">
        <v>229</v>
      </c>
      <c r="L706" s="34" t="s">
        <v>230</v>
      </c>
      <c r="M706" s="34" t="s">
        <v>682</v>
      </c>
      <c r="N706" s="34" t="str">
        <f aca="false">"Sector "&amp;VALUE(MID(D706,13,2))</f>
        <v>Sector 1</v>
      </c>
      <c r="O706" s="34" t="str">
        <f aca="false">IF(Dashboard!$C$5="Ubicación técnica",N706,"Sector "&amp;VALUE(RIGHT(G706,2)))</f>
        <v>Sector 1</v>
      </c>
      <c r="P706" s="34" t="str">
        <f aca="false">IF(MID(D706,15,3)="SEL","Subestación eléctrica","Área de proceso")</f>
        <v>Subestación eléctrica</v>
      </c>
      <c r="Q706" s="34" t="str">
        <f aca="false">MID(D706,13,5)&amp;"|"&amp;MID(D706,19,5)</f>
        <v>01SEL|S_012</v>
      </c>
      <c r="R706" s="34" t="str">
        <f aca="false">IF(P706="Subestación eléctrica",IFERROR(INDEX(cat_SubN,MATCH(Q706,cat_SubK,0)),"SIN CATALOGAR"),"ÁREA DE PROCESO")</f>
        <v>SE-12</v>
      </c>
      <c r="S706" s="34" t="str">
        <f aca="false">IF(H706="","SIN DATO",IFERROR(INDEX(cat_MarcaN,MATCH(H706,cat_MarcaO,0)),H706))</f>
        <v>ABB</v>
      </c>
      <c r="T706" s="34" t="str">
        <f aca="false">IF(I706="","SIN DATO",IFERROR(INDEX(cat_ModN,MATCH(I706,cat_ModO,0)),I706))</f>
        <v>1AFFAEAGNEC5BNA11G</v>
      </c>
      <c r="U706" s="34" t="str">
        <f aca="false">IF(I706="","",IFERROR(INDEX(cat_ModG,MATCH(I706,cat_ModO,0)),"No"))</f>
        <v>No</v>
      </c>
      <c r="V706" s="34" t="str">
        <f aca="false">IF(J706="","SIN DATO",IFERROR(INDEX(cat_FunN,MATCH(J706,cat_FunO,0)),J706))</f>
        <v>Protección</v>
      </c>
      <c r="W706" s="34" t="str">
        <f aca="false">IF(OR(S706="SIN DATO",T706="SIN DATO"),"No","Sí")</f>
        <v>Sí</v>
      </c>
    </row>
    <row r="707" customFormat="false" ht="15" hidden="false" customHeight="false" outlineLevel="0" collapsed="false">
      <c r="A707" s="34" t="s">
        <v>2722</v>
      </c>
      <c r="B707" s="34" t="s">
        <v>2723</v>
      </c>
      <c r="C707" s="34" t="s">
        <v>2724</v>
      </c>
      <c r="D707" s="34" t="s">
        <v>2725</v>
      </c>
      <c r="E707" s="34" t="s">
        <v>109</v>
      </c>
      <c r="F707" s="34" t="s">
        <v>1602</v>
      </c>
      <c r="G707" s="34" t="s">
        <v>2431</v>
      </c>
      <c r="H707" s="34" t="s">
        <v>34</v>
      </c>
      <c r="I707" s="34" t="s">
        <v>36</v>
      </c>
      <c r="J707" s="34" t="s">
        <v>681</v>
      </c>
      <c r="K707" s="34" t="s">
        <v>229</v>
      </c>
      <c r="L707" s="34" t="s">
        <v>230</v>
      </c>
      <c r="M707" s="34" t="s">
        <v>682</v>
      </c>
      <c r="N707" s="34" t="str">
        <f aca="false">"Sector "&amp;VALUE(MID(D707,13,2))</f>
        <v>Sector 1</v>
      </c>
      <c r="O707" s="34" t="str">
        <f aca="false">IF(Dashboard!$C$5="Ubicación técnica",N707,"Sector "&amp;VALUE(RIGHT(G707,2)))</f>
        <v>Sector 1</v>
      </c>
      <c r="P707" s="34" t="str">
        <f aca="false">IF(MID(D707,15,3)="SEL","Subestación eléctrica","Área de proceso")</f>
        <v>Subestación eléctrica</v>
      </c>
      <c r="Q707" s="34" t="str">
        <f aca="false">MID(D707,13,5)&amp;"|"&amp;MID(D707,19,5)</f>
        <v>01SEL|S_012</v>
      </c>
      <c r="R707" s="34" t="str">
        <f aca="false">IF(P707="Subestación eléctrica",IFERROR(INDEX(cat_SubN,MATCH(Q707,cat_SubK,0)),"SIN CATALOGAR"),"ÁREA DE PROCESO")</f>
        <v>SE-12</v>
      </c>
      <c r="S707" s="34" t="str">
        <f aca="false">IF(H707="","SIN DATO",IFERROR(INDEX(cat_MarcaN,MATCH(H707,cat_MarcaO,0)),H707))</f>
        <v>ABB</v>
      </c>
      <c r="T707" s="34" t="str">
        <f aca="false">IF(I707="","SIN DATO",IFERROR(INDEX(cat_ModN,MATCH(I707,cat_ModO,0)),I707))</f>
        <v>1AFFAEAGNEC5BNA11G</v>
      </c>
      <c r="U707" s="34" t="str">
        <f aca="false">IF(I707="","",IFERROR(INDEX(cat_ModG,MATCH(I707,cat_ModO,0)),"No"))</f>
        <v>No</v>
      </c>
      <c r="V707" s="34" t="str">
        <f aca="false">IF(J707="","SIN DATO",IFERROR(INDEX(cat_FunN,MATCH(J707,cat_FunO,0)),J707))</f>
        <v>Protección</v>
      </c>
      <c r="W707" s="34" t="str">
        <f aca="false">IF(OR(S707="SIN DATO",T707="SIN DATO"),"No","Sí")</f>
        <v>Sí</v>
      </c>
    </row>
    <row r="708" customFormat="false" ht="15" hidden="false" customHeight="false" outlineLevel="0" collapsed="false">
      <c r="A708" s="34" t="s">
        <v>2726</v>
      </c>
      <c r="B708" s="34" t="s">
        <v>2727</v>
      </c>
      <c r="C708" s="34" t="s">
        <v>2728</v>
      </c>
      <c r="D708" s="34" t="s">
        <v>2725</v>
      </c>
      <c r="E708" s="34" t="s">
        <v>109</v>
      </c>
      <c r="F708" s="34" t="s">
        <v>1602</v>
      </c>
      <c r="G708" s="34" t="s">
        <v>2431</v>
      </c>
      <c r="H708" s="34" t="s">
        <v>34</v>
      </c>
      <c r="I708" s="34" t="s">
        <v>36</v>
      </c>
      <c r="J708" s="34" t="s">
        <v>681</v>
      </c>
      <c r="K708" s="34" t="s">
        <v>229</v>
      </c>
      <c r="L708" s="34" t="s">
        <v>230</v>
      </c>
      <c r="M708" s="34" t="s">
        <v>682</v>
      </c>
      <c r="N708" s="34" t="str">
        <f aca="false">"Sector "&amp;VALUE(MID(D708,13,2))</f>
        <v>Sector 1</v>
      </c>
      <c r="O708" s="34" t="str">
        <f aca="false">IF(Dashboard!$C$5="Ubicación técnica",N708,"Sector "&amp;VALUE(RIGHT(G708,2)))</f>
        <v>Sector 1</v>
      </c>
      <c r="P708" s="34" t="str">
        <f aca="false">IF(MID(D708,15,3)="SEL","Subestación eléctrica","Área de proceso")</f>
        <v>Subestación eléctrica</v>
      </c>
      <c r="Q708" s="34" t="str">
        <f aca="false">MID(D708,13,5)&amp;"|"&amp;MID(D708,19,5)</f>
        <v>01SEL|S_012</v>
      </c>
      <c r="R708" s="34" t="str">
        <f aca="false">IF(P708="Subestación eléctrica",IFERROR(INDEX(cat_SubN,MATCH(Q708,cat_SubK,0)),"SIN CATALOGAR"),"ÁREA DE PROCESO")</f>
        <v>SE-12</v>
      </c>
      <c r="S708" s="34" t="str">
        <f aca="false">IF(H708="","SIN DATO",IFERROR(INDEX(cat_MarcaN,MATCH(H708,cat_MarcaO,0)),H708))</f>
        <v>ABB</v>
      </c>
      <c r="T708" s="34" t="str">
        <f aca="false">IF(I708="","SIN DATO",IFERROR(INDEX(cat_ModN,MATCH(I708,cat_ModO,0)),I708))</f>
        <v>1AFFAEAGNEC5BNA11G</v>
      </c>
      <c r="U708" s="34" t="str">
        <f aca="false">IF(I708="","",IFERROR(INDEX(cat_ModG,MATCH(I708,cat_ModO,0)),"No"))</f>
        <v>No</v>
      </c>
      <c r="V708" s="34" t="str">
        <f aca="false">IF(J708="","SIN DATO",IFERROR(INDEX(cat_FunN,MATCH(J708,cat_FunO,0)),J708))</f>
        <v>Protección</v>
      </c>
      <c r="W708" s="34" t="str">
        <f aca="false">IF(OR(S708="SIN DATO",T708="SIN DATO"),"No","Sí")</f>
        <v>Sí</v>
      </c>
    </row>
    <row r="709" customFormat="false" ht="15" hidden="false" customHeight="false" outlineLevel="0" collapsed="false">
      <c r="A709" s="34" t="s">
        <v>2729</v>
      </c>
      <c r="B709" s="34" t="s">
        <v>2730</v>
      </c>
      <c r="C709" s="34" t="s">
        <v>2731</v>
      </c>
      <c r="D709" s="34" t="s">
        <v>2725</v>
      </c>
      <c r="E709" s="34" t="s">
        <v>109</v>
      </c>
      <c r="F709" s="34" t="s">
        <v>1602</v>
      </c>
      <c r="G709" s="34" t="s">
        <v>2431</v>
      </c>
      <c r="H709" s="34" t="s">
        <v>55</v>
      </c>
      <c r="I709" s="34" t="s">
        <v>36</v>
      </c>
      <c r="J709" s="34" t="s">
        <v>228</v>
      </c>
      <c r="K709" s="34" t="s">
        <v>229</v>
      </c>
      <c r="L709" s="34" t="s">
        <v>230</v>
      </c>
      <c r="M709" s="34" t="s">
        <v>231</v>
      </c>
      <c r="N709" s="34" t="str">
        <f aca="false">"Sector "&amp;VALUE(MID(D709,13,2))</f>
        <v>Sector 1</v>
      </c>
      <c r="O709" s="34" t="str">
        <f aca="false">IF(Dashboard!$C$5="Ubicación técnica",N709,"Sector "&amp;VALUE(RIGHT(G709,2)))</f>
        <v>Sector 1</v>
      </c>
      <c r="P709" s="34" t="str">
        <f aca="false">IF(MID(D709,15,3)="SEL","Subestación eléctrica","Área de proceso")</f>
        <v>Subestación eléctrica</v>
      </c>
      <c r="Q709" s="34" t="str">
        <f aca="false">MID(D709,13,5)&amp;"|"&amp;MID(D709,19,5)</f>
        <v>01SEL|S_012</v>
      </c>
      <c r="R709" s="34" t="str">
        <f aca="false">IF(P709="Subestación eléctrica",IFERROR(INDEX(cat_SubN,MATCH(Q709,cat_SubK,0)),"SIN CATALOGAR"),"ÁREA DE PROCESO")</f>
        <v>SE-12</v>
      </c>
      <c r="S709" s="34" t="str">
        <f aca="false">IF(H709="","SIN DATO",IFERROR(INDEX(cat_MarcaN,MATCH(H709,cat_MarcaO,0)),H709))</f>
        <v>SEL</v>
      </c>
      <c r="T709" s="34" t="str">
        <f aca="false">IF(I709="","SIN DATO",IFERROR(INDEX(cat_ModN,MATCH(I709,cat_ModO,0)),I709))</f>
        <v>1AFFAEAGNEC5BNA11G</v>
      </c>
      <c r="U709" s="34" t="str">
        <f aca="false">IF(I709="","",IFERROR(INDEX(cat_ModG,MATCH(I709,cat_ModO,0)),"No"))</f>
        <v>No</v>
      </c>
      <c r="V709" s="34" t="str">
        <f aca="false">IF(J709="","SIN DATO",IFERROR(INDEX(cat_FunN,MATCH(J709,cat_FunO,0)),J709))</f>
        <v>Protección y medición</v>
      </c>
      <c r="W709" s="34" t="str">
        <f aca="false">IF(OR(S709="SIN DATO",T709="SIN DATO"),"No","Sí")</f>
        <v>Sí</v>
      </c>
    </row>
    <row r="710" customFormat="false" ht="15" hidden="false" customHeight="false" outlineLevel="0" collapsed="false">
      <c r="A710" s="34" t="s">
        <v>2732</v>
      </c>
      <c r="B710" s="34" t="s">
        <v>2733</v>
      </c>
      <c r="C710" s="34" t="s">
        <v>2734</v>
      </c>
      <c r="D710" s="34" t="s">
        <v>2735</v>
      </c>
      <c r="E710" s="34" t="s">
        <v>109</v>
      </c>
      <c r="F710" s="34" t="s">
        <v>1602</v>
      </c>
      <c r="G710" s="34" t="s">
        <v>2431</v>
      </c>
      <c r="H710" s="34" t="s">
        <v>34</v>
      </c>
      <c r="I710" s="34" t="s">
        <v>46</v>
      </c>
      <c r="J710" s="34" t="s">
        <v>228</v>
      </c>
      <c r="K710" s="34" t="s">
        <v>229</v>
      </c>
      <c r="L710" s="34" t="s">
        <v>230</v>
      </c>
      <c r="M710" s="34" t="s">
        <v>231</v>
      </c>
      <c r="N710" s="34" t="str">
        <f aca="false">"Sector "&amp;VALUE(MID(D710,13,2))</f>
        <v>Sector 1</v>
      </c>
      <c r="O710" s="34" t="str">
        <f aca="false">IF(Dashboard!$C$5="Ubicación técnica",N710,"Sector "&amp;VALUE(RIGHT(G710,2)))</f>
        <v>Sector 1</v>
      </c>
      <c r="P710" s="34" t="str">
        <f aca="false">IF(MID(D710,15,3)="SEL","Subestación eléctrica","Área de proceso")</f>
        <v>Subestación eléctrica</v>
      </c>
      <c r="Q710" s="34" t="str">
        <f aca="false">MID(D710,13,5)&amp;"|"&amp;MID(D710,19,5)</f>
        <v>01SEL|S_012</v>
      </c>
      <c r="R710" s="34" t="str">
        <f aca="false">IF(P710="Subestación eléctrica",IFERROR(INDEX(cat_SubN,MATCH(Q710,cat_SubK,0)),"SIN CATALOGAR"),"ÁREA DE PROCESO")</f>
        <v>SE-12</v>
      </c>
      <c r="S710" s="34" t="str">
        <f aca="false">IF(H710="","SIN DATO",IFERROR(INDEX(cat_MarcaN,MATCH(H710,cat_MarcaO,0)),H710))</f>
        <v>ABB</v>
      </c>
      <c r="T710" s="34" t="str">
        <f aca="false">IF(I710="","SIN DATO",IFERROR(INDEX(cat_ModN,MATCH(I710,cat_ModO,0)),I710))</f>
        <v>1ATBBABBNEC5BNN11G</v>
      </c>
      <c r="U710" s="34" t="str">
        <f aca="false">IF(I710="","",IFERROR(INDEX(cat_ModG,MATCH(I710,cat_ModO,0)),"No"))</f>
        <v>No</v>
      </c>
      <c r="V710" s="34" t="str">
        <f aca="false">IF(J710="","SIN DATO",IFERROR(INDEX(cat_FunN,MATCH(J710,cat_FunO,0)),J710))</f>
        <v>Protección y medición</v>
      </c>
      <c r="W710" s="34" t="str">
        <f aca="false">IF(OR(S710="SIN DATO",T710="SIN DATO"),"No","Sí")</f>
        <v>Sí</v>
      </c>
    </row>
    <row r="711" customFormat="false" ht="15" hidden="false" customHeight="false" outlineLevel="0" collapsed="false">
      <c r="A711" s="34" t="s">
        <v>2736</v>
      </c>
      <c r="B711" s="34" t="s">
        <v>2737</v>
      </c>
      <c r="C711" s="34" t="s">
        <v>2738</v>
      </c>
      <c r="D711" s="34" t="s">
        <v>2735</v>
      </c>
      <c r="E711" s="34" t="s">
        <v>109</v>
      </c>
      <c r="F711" s="34" t="s">
        <v>1602</v>
      </c>
      <c r="G711" s="34" t="s">
        <v>2431</v>
      </c>
      <c r="H711" s="34" t="s">
        <v>34</v>
      </c>
      <c r="I711" s="34" t="s">
        <v>36</v>
      </c>
      <c r="J711" s="34" t="s">
        <v>681</v>
      </c>
      <c r="K711" s="34" t="s">
        <v>229</v>
      </c>
      <c r="L711" s="34" t="s">
        <v>230</v>
      </c>
      <c r="M711" s="34" t="s">
        <v>682</v>
      </c>
      <c r="N711" s="34" t="str">
        <f aca="false">"Sector "&amp;VALUE(MID(D711,13,2))</f>
        <v>Sector 1</v>
      </c>
      <c r="O711" s="34" t="str">
        <f aca="false">IF(Dashboard!$C$5="Ubicación técnica",N711,"Sector "&amp;VALUE(RIGHT(G711,2)))</f>
        <v>Sector 1</v>
      </c>
      <c r="P711" s="34" t="str">
        <f aca="false">IF(MID(D711,15,3)="SEL","Subestación eléctrica","Área de proceso")</f>
        <v>Subestación eléctrica</v>
      </c>
      <c r="Q711" s="34" t="str">
        <f aca="false">MID(D711,13,5)&amp;"|"&amp;MID(D711,19,5)</f>
        <v>01SEL|S_012</v>
      </c>
      <c r="R711" s="34" t="str">
        <f aca="false">IF(P711="Subestación eléctrica",IFERROR(INDEX(cat_SubN,MATCH(Q711,cat_SubK,0)),"SIN CATALOGAR"),"ÁREA DE PROCESO")</f>
        <v>SE-12</v>
      </c>
      <c r="S711" s="34" t="str">
        <f aca="false">IF(H711="","SIN DATO",IFERROR(INDEX(cat_MarcaN,MATCH(H711,cat_MarcaO,0)),H711))</f>
        <v>ABB</v>
      </c>
      <c r="T711" s="34" t="str">
        <f aca="false">IF(I711="","SIN DATO",IFERROR(INDEX(cat_ModN,MATCH(I711,cat_ModO,0)),I711))</f>
        <v>1AFFAEAGNEC5BNA11G</v>
      </c>
      <c r="U711" s="34" t="str">
        <f aca="false">IF(I711="","",IFERROR(INDEX(cat_ModG,MATCH(I711,cat_ModO,0)),"No"))</f>
        <v>No</v>
      </c>
      <c r="V711" s="34" t="str">
        <f aca="false">IF(J711="","SIN DATO",IFERROR(INDEX(cat_FunN,MATCH(J711,cat_FunO,0)),J711))</f>
        <v>Protección</v>
      </c>
      <c r="W711" s="34" t="str">
        <f aca="false">IF(OR(S711="SIN DATO",T711="SIN DATO"),"No","Sí")</f>
        <v>Sí</v>
      </c>
    </row>
    <row r="712" customFormat="false" ht="15" hidden="false" customHeight="false" outlineLevel="0" collapsed="false">
      <c r="A712" s="34" t="s">
        <v>2739</v>
      </c>
      <c r="B712" s="34" t="s">
        <v>2740</v>
      </c>
      <c r="C712" s="34" t="s">
        <v>2741</v>
      </c>
      <c r="D712" s="34" t="s">
        <v>2742</v>
      </c>
      <c r="E712" s="34" t="s">
        <v>109</v>
      </c>
      <c r="F712" s="34" t="s">
        <v>1602</v>
      </c>
      <c r="G712" s="34" t="s">
        <v>2431</v>
      </c>
      <c r="H712" s="34" t="s">
        <v>34</v>
      </c>
      <c r="I712" s="34" t="s">
        <v>36</v>
      </c>
      <c r="J712" s="34" t="s">
        <v>228</v>
      </c>
      <c r="K712" s="34" t="s">
        <v>229</v>
      </c>
      <c r="L712" s="34" t="s">
        <v>230</v>
      </c>
      <c r="M712" s="34" t="s">
        <v>231</v>
      </c>
      <c r="N712" s="34" t="str">
        <f aca="false">"Sector "&amp;VALUE(MID(D712,13,2))</f>
        <v>Sector 1</v>
      </c>
      <c r="O712" s="34" t="str">
        <f aca="false">IF(Dashboard!$C$5="Ubicación técnica",N712,"Sector "&amp;VALUE(RIGHT(G712,2)))</f>
        <v>Sector 1</v>
      </c>
      <c r="P712" s="34" t="str">
        <f aca="false">IF(MID(D712,15,3)="SEL","Subestación eléctrica","Área de proceso")</f>
        <v>Subestación eléctrica</v>
      </c>
      <c r="Q712" s="34" t="str">
        <f aca="false">MID(D712,13,5)&amp;"|"&amp;MID(D712,19,5)</f>
        <v>01SEL|S_012</v>
      </c>
      <c r="R712" s="34" t="str">
        <f aca="false">IF(P712="Subestación eléctrica",IFERROR(INDEX(cat_SubN,MATCH(Q712,cat_SubK,0)),"SIN CATALOGAR"),"ÁREA DE PROCESO")</f>
        <v>SE-12</v>
      </c>
      <c r="S712" s="34" t="str">
        <f aca="false">IF(H712="","SIN DATO",IFERROR(INDEX(cat_MarcaN,MATCH(H712,cat_MarcaO,0)),H712))</f>
        <v>ABB</v>
      </c>
      <c r="T712" s="34" t="str">
        <f aca="false">IF(I712="","SIN DATO",IFERROR(INDEX(cat_ModN,MATCH(I712,cat_ModO,0)),I712))</f>
        <v>1AFFAEAGNEC5BNA11G</v>
      </c>
      <c r="U712" s="34" t="str">
        <f aca="false">IF(I712="","",IFERROR(INDEX(cat_ModG,MATCH(I712,cat_ModO,0)),"No"))</f>
        <v>No</v>
      </c>
      <c r="V712" s="34" t="str">
        <f aca="false">IF(J712="","SIN DATO",IFERROR(INDEX(cat_FunN,MATCH(J712,cat_FunO,0)),J712))</f>
        <v>Protección y medición</v>
      </c>
      <c r="W712" s="34" t="str">
        <f aca="false">IF(OR(S712="SIN DATO",T712="SIN DATO"),"No","Sí")</f>
        <v>Sí</v>
      </c>
    </row>
    <row r="713" customFormat="false" ht="15" hidden="false" customHeight="false" outlineLevel="0" collapsed="false">
      <c r="A713" s="34" t="s">
        <v>2743</v>
      </c>
      <c r="B713" s="34" t="s">
        <v>2744</v>
      </c>
      <c r="C713" s="34" t="s">
        <v>2745</v>
      </c>
      <c r="D713" s="34" t="s">
        <v>2742</v>
      </c>
      <c r="E713" s="34" t="s">
        <v>109</v>
      </c>
      <c r="F713" s="34" t="s">
        <v>1602</v>
      </c>
      <c r="G713" s="34" t="s">
        <v>2431</v>
      </c>
      <c r="H713" s="34" t="s">
        <v>34</v>
      </c>
      <c r="I713" s="34" t="s">
        <v>36</v>
      </c>
      <c r="J713" s="34" t="s">
        <v>681</v>
      </c>
      <c r="K713" s="34" t="s">
        <v>229</v>
      </c>
      <c r="L713" s="34" t="s">
        <v>230</v>
      </c>
      <c r="M713" s="34" t="s">
        <v>682</v>
      </c>
      <c r="N713" s="34" t="str">
        <f aca="false">"Sector "&amp;VALUE(MID(D713,13,2))</f>
        <v>Sector 1</v>
      </c>
      <c r="O713" s="34" t="str">
        <f aca="false">IF(Dashboard!$C$5="Ubicación técnica",N713,"Sector "&amp;VALUE(RIGHT(G713,2)))</f>
        <v>Sector 1</v>
      </c>
      <c r="P713" s="34" t="str">
        <f aca="false">IF(MID(D713,15,3)="SEL","Subestación eléctrica","Área de proceso")</f>
        <v>Subestación eléctrica</v>
      </c>
      <c r="Q713" s="34" t="str">
        <f aca="false">MID(D713,13,5)&amp;"|"&amp;MID(D713,19,5)</f>
        <v>01SEL|S_012</v>
      </c>
      <c r="R713" s="34" t="str">
        <f aca="false">IF(P713="Subestación eléctrica",IFERROR(INDEX(cat_SubN,MATCH(Q713,cat_SubK,0)),"SIN CATALOGAR"),"ÁREA DE PROCESO")</f>
        <v>SE-12</v>
      </c>
      <c r="S713" s="34" t="str">
        <f aca="false">IF(H713="","SIN DATO",IFERROR(INDEX(cat_MarcaN,MATCH(H713,cat_MarcaO,0)),H713))</f>
        <v>ABB</v>
      </c>
      <c r="T713" s="34" t="str">
        <f aca="false">IF(I713="","SIN DATO",IFERROR(INDEX(cat_ModN,MATCH(I713,cat_ModO,0)),I713))</f>
        <v>1AFFAEAGNEC5BNA11G</v>
      </c>
      <c r="U713" s="34" t="str">
        <f aca="false">IF(I713="","",IFERROR(INDEX(cat_ModG,MATCH(I713,cat_ModO,0)),"No"))</f>
        <v>No</v>
      </c>
      <c r="V713" s="34" t="str">
        <f aca="false">IF(J713="","SIN DATO",IFERROR(INDEX(cat_FunN,MATCH(J713,cat_FunO,0)),J713))</f>
        <v>Protección</v>
      </c>
      <c r="W713" s="34" t="str">
        <f aca="false">IF(OR(S713="SIN DATO",T713="SIN DATO"),"No","Sí")</f>
        <v>Sí</v>
      </c>
    </row>
    <row r="714" customFormat="false" ht="15" hidden="false" customHeight="false" outlineLevel="0" collapsed="false">
      <c r="A714" s="34" t="s">
        <v>2746</v>
      </c>
      <c r="B714" s="34" t="s">
        <v>2747</v>
      </c>
      <c r="C714" s="34" t="s">
        <v>2748</v>
      </c>
      <c r="D714" s="34" t="s">
        <v>2742</v>
      </c>
      <c r="E714" s="34" t="s">
        <v>109</v>
      </c>
      <c r="F714" s="34" t="s">
        <v>1602</v>
      </c>
      <c r="G714" s="34" t="s">
        <v>2431</v>
      </c>
      <c r="H714" s="34" t="s">
        <v>34</v>
      </c>
      <c r="I714" s="34" t="s">
        <v>36</v>
      </c>
      <c r="J714" s="34" t="s">
        <v>681</v>
      </c>
      <c r="K714" s="34" t="s">
        <v>229</v>
      </c>
      <c r="L714" s="34" t="s">
        <v>230</v>
      </c>
      <c r="M714" s="34" t="s">
        <v>682</v>
      </c>
      <c r="N714" s="34" t="str">
        <f aca="false">"Sector "&amp;VALUE(MID(D714,13,2))</f>
        <v>Sector 1</v>
      </c>
      <c r="O714" s="34" t="str">
        <f aca="false">IF(Dashboard!$C$5="Ubicación técnica",N714,"Sector "&amp;VALUE(RIGHT(G714,2)))</f>
        <v>Sector 1</v>
      </c>
      <c r="P714" s="34" t="str">
        <f aca="false">IF(MID(D714,15,3)="SEL","Subestación eléctrica","Área de proceso")</f>
        <v>Subestación eléctrica</v>
      </c>
      <c r="Q714" s="34" t="str">
        <f aca="false">MID(D714,13,5)&amp;"|"&amp;MID(D714,19,5)</f>
        <v>01SEL|S_012</v>
      </c>
      <c r="R714" s="34" t="str">
        <f aca="false">IF(P714="Subestación eléctrica",IFERROR(INDEX(cat_SubN,MATCH(Q714,cat_SubK,0)),"SIN CATALOGAR"),"ÁREA DE PROCESO")</f>
        <v>SE-12</v>
      </c>
      <c r="S714" s="34" t="str">
        <f aca="false">IF(H714="","SIN DATO",IFERROR(INDEX(cat_MarcaN,MATCH(H714,cat_MarcaO,0)),H714))</f>
        <v>ABB</v>
      </c>
      <c r="T714" s="34" t="str">
        <f aca="false">IF(I714="","SIN DATO",IFERROR(INDEX(cat_ModN,MATCH(I714,cat_ModO,0)),I714))</f>
        <v>1AFFAEAGNEC5BNA11G</v>
      </c>
      <c r="U714" s="34" t="str">
        <f aca="false">IF(I714="","",IFERROR(INDEX(cat_ModG,MATCH(I714,cat_ModO,0)),"No"))</f>
        <v>No</v>
      </c>
      <c r="V714" s="34" t="str">
        <f aca="false">IF(J714="","SIN DATO",IFERROR(INDEX(cat_FunN,MATCH(J714,cat_FunO,0)),J714))</f>
        <v>Protección</v>
      </c>
      <c r="W714" s="34" t="str">
        <f aca="false">IF(OR(S714="SIN DATO",T714="SIN DATO"),"No","Sí")</f>
        <v>Sí</v>
      </c>
    </row>
    <row r="715" customFormat="false" ht="15" hidden="false" customHeight="false" outlineLevel="0" collapsed="false">
      <c r="A715" s="34" t="s">
        <v>2749</v>
      </c>
      <c r="B715" s="34" t="s">
        <v>2750</v>
      </c>
      <c r="C715" s="34" t="s">
        <v>2751</v>
      </c>
      <c r="D715" s="34" t="s">
        <v>2752</v>
      </c>
      <c r="E715" s="34" t="s">
        <v>109</v>
      </c>
      <c r="F715" s="34" t="s">
        <v>1602</v>
      </c>
      <c r="G715" s="34" t="s">
        <v>2431</v>
      </c>
      <c r="H715" s="34" t="s">
        <v>34</v>
      </c>
      <c r="I715" s="34" t="s">
        <v>36</v>
      </c>
      <c r="J715" s="34" t="s">
        <v>228</v>
      </c>
      <c r="K715" s="34" t="s">
        <v>229</v>
      </c>
      <c r="L715" s="34" t="s">
        <v>230</v>
      </c>
      <c r="M715" s="34" t="s">
        <v>231</v>
      </c>
      <c r="N715" s="34" t="str">
        <f aca="false">"Sector "&amp;VALUE(MID(D715,13,2))</f>
        <v>Sector 1</v>
      </c>
      <c r="O715" s="34" t="str">
        <f aca="false">IF(Dashboard!$C$5="Ubicación técnica",N715,"Sector "&amp;VALUE(RIGHT(G715,2)))</f>
        <v>Sector 1</v>
      </c>
      <c r="P715" s="34" t="str">
        <f aca="false">IF(MID(D715,15,3)="SEL","Subestación eléctrica","Área de proceso")</f>
        <v>Subestación eléctrica</v>
      </c>
      <c r="Q715" s="34" t="str">
        <f aca="false">MID(D715,13,5)&amp;"|"&amp;MID(D715,19,5)</f>
        <v>01SEL|S_012</v>
      </c>
      <c r="R715" s="34" t="str">
        <f aca="false">IF(P715="Subestación eléctrica",IFERROR(INDEX(cat_SubN,MATCH(Q715,cat_SubK,0)),"SIN CATALOGAR"),"ÁREA DE PROCESO")</f>
        <v>SE-12</v>
      </c>
      <c r="S715" s="34" t="str">
        <f aca="false">IF(H715="","SIN DATO",IFERROR(INDEX(cat_MarcaN,MATCH(H715,cat_MarcaO,0)),H715))</f>
        <v>ABB</v>
      </c>
      <c r="T715" s="34" t="str">
        <f aca="false">IF(I715="","SIN DATO",IFERROR(INDEX(cat_ModN,MATCH(I715,cat_ModO,0)),I715))</f>
        <v>1AFFAEAGNEC5BNA11G</v>
      </c>
      <c r="U715" s="34" t="str">
        <f aca="false">IF(I715="","",IFERROR(INDEX(cat_ModG,MATCH(I715,cat_ModO,0)),"No"))</f>
        <v>No</v>
      </c>
      <c r="V715" s="34" t="str">
        <f aca="false">IF(J715="","SIN DATO",IFERROR(INDEX(cat_FunN,MATCH(J715,cat_FunO,0)),J715))</f>
        <v>Protección y medición</v>
      </c>
      <c r="W715" s="34" t="str">
        <f aca="false">IF(OR(S715="SIN DATO",T715="SIN DATO"),"No","Sí")</f>
        <v>Sí</v>
      </c>
    </row>
    <row r="716" customFormat="false" ht="15" hidden="false" customHeight="false" outlineLevel="0" collapsed="false">
      <c r="A716" s="34" t="s">
        <v>2753</v>
      </c>
      <c r="B716" s="34" t="s">
        <v>2754</v>
      </c>
      <c r="C716" s="34" t="s">
        <v>2755</v>
      </c>
      <c r="D716" s="34" t="s">
        <v>2752</v>
      </c>
      <c r="E716" s="34" t="s">
        <v>109</v>
      </c>
      <c r="F716" s="34" t="s">
        <v>1602</v>
      </c>
      <c r="G716" s="34" t="s">
        <v>2431</v>
      </c>
      <c r="H716" s="34" t="s">
        <v>34</v>
      </c>
      <c r="I716" s="34" t="s">
        <v>36</v>
      </c>
      <c r="J716" s="34" t="s">
        <v>681</v>
      </c>
      <c r="K716" s="34" t="s">
        <v>229</v>
      </c>
      <c r="L716" s="34" t="s">
        <v>230</v>
      </c>
      <c r="M716" s="34" t="s">
        <v>682</v>
      </c>
      <c r="N716" s="34" t="str">
        <f aca="false">"Sector "&amp;VALUE(MID(D716,13,2))</f>
        <v>Sector 1</v>
      </c>
      <c r="O716" s="34" t="str">
        <f aca="false">IF(Dashboard!$C$5="Ubicación técnica",N716,"Sector "&amp;VALUE(RIGHT(G716,2)))</f>
        <v>Sector 1</v>
      </c>
      <c r="P716" s="34" t="str">
        <f aca="false">IF(MID(D716,15,3)="SEL","Subestación eléctrica","Área de proceso")</f>
        <v>Subestación eléctrica</v>
      </c>
      <c r="Q716" s="34" t="str">
        <f aca="false">MID(D716,13,5)&amp;"|"&amp;MID(D716,19,5)</f>
        <v>01SEL|S_012</v>
      </c>
      <c r="R716" s="34" t="str">
        <f aca="false">IF(P716="Subestación eléctrica",IFERROR(INDEX(cat_SubN,MATCH(Q716,cat_SubK,0)),"SIN CATALOGAR"),"ÁREA DE PROCESO")</f>
        <v>SE-12</v>
      </c>
      <c r="S716" s="34" t="str">
        <f aca="false">IF(H716="","SIN DATO",IFERROR(INDEX(cat_MarcaN,MATCH(H716,cat_MarcaO,0)),H716))</f>
        <v>ABB</v>
      </c>
      <c r="T716" s="34" t="str">
        <f aca="false">IF(I716="","SIN DATO",IFERROR(INDEX(cat_ModN,MATCH(I716,cat_ModO,0)),I716))</f>
        <v>1AFFAEAGNEC5BNA11G</v>
      </c>
      <c r="U716" s="34" t="str">
        <f aca="false">IF(I716="","",IFERROR(INDEX(cat_ModG,MATCH(I716,cat_ModO,0)),"No"))</f>
        <v>No</v>
      </c>
      <c r="V716" s="34" t="str">
        <f aca="false">IF(J716="","SIN DATO",IFERROR(INDEX(cat_FunN,MATCH(J716,cat_FunO,0)),J716))</f>
        <v>Protección</v>
      </c>
      <c r="W716" s="34" t="str">
        <f aca="false">IF(OR(S716="SIN DATO",T716="SIN DATO"),"No","Sí")</f>
        <v>Sí</v>
      </c>
    </row>
    <row r="717" customFormat="false" ht="15" hidden="false" customHeight="false" outlineLevel="0" collapsed="false">
      <c r="A717" s="34" t="s">
        <v>2756</v>
      </c>
      <c r="B717" s="34" t="s">
        <v>2757</v>
      </c>
      <c r="C717" s="34" t="s">
        <v>2758</v>
      </c>
      <c r="D717" s="34" t="s">
        <v>2752</v>
      </c>
      <c r="E717" s="34" t="s">
        <v>109</v>
      </c>
      <c r="F717" s="34" t="s">
        <v>1602</v>
      </c>
      <c r="G717" s="34" t="s">
        <v>2431</v>
      </c>
      <c r="H717" s="34" t="s">
        <v>34</v>
      </c>
      <c r="I717" s="34" t="s">
        <v>36</v>
      </c>
      <c r="J717" s="34" t="s">
        <v>681</v>
      </c>
      <c r="K717" s="34" t="s">
        <v>229</v>
      </c>
      <c r="L717" s="34" t="s">
        <v>230</v>
      </c>
      <c r="M717" s="34" t="s">
        <v>682</v>
      </c>
      <c r="N717" s="34" t="str">
        <f aca="false">"Sector "&amp;VALUE(MID(D717,13,2))</f>
        <v>Sector 1</v>
      </c>
      <c r="O717" s="34" t="str">
        <f aca="false">IF(Dashboard!$C$5="Ubicación técnica",N717,"Sector "&amp;VALUE(RIGHT(G717,2)))</f>
        <v>Sector 1</v>
      </c>
      <c r="P717" s="34" t="str">
        <f aca="false">IF(MID(D717,15,3)="SEL","Subestación eléctrica","Área de proceso")</f>
        <v>Subestación eléctrica</v>
      </c>
      <c r="Q717" s="34" t="str">
        <f aca="false">MID(D717,13,5)&amp;"|"&amp;MID(D717,19,5)</f>
        <v>01SEL|S_012</v>
      </c>
      <c r="R717" s="34" t="str">
        <f aca="false">IF(P717="Subestación eléctrica",IFERROR(INDEX(cat_SubN,MATCH(Q717,cat_SubK,0)),"SIN CATALOGAR"),"ÁREA DE PROCESO")</f>
        <v>SE-12</v>
      </c>
      <c r="S717" s="34" t="str">
        <f aca="false">IF(H717="","SIN DATO",IFERROR(INDEX(cat_MarcaN,MATCH(H717,cat_MarcaO,0)),H717))</f>
        <v>ABB</v>
      </c>
      <c r="T717" s="34" t="str">
        <f aca="false">IF(I717="","SIN DATO",IFERROR(INDEX(cat_ModN,MATCH(I717,cat_ModO,0)),I717))</f>
        <v>1AFFAEAGNEC5BNA11G</v>
      </c>
      <c r="U717" s="34" t="str">
        <f aca="false">IF(I717="","",IFERROR(INDEX(cat_ModG,MATCH(I717,cat_ModO,0)),"No"))</f>
        <v>No</v>
      </c>
      <c r="V717" s="34" t="str">
        <f aca="false">IF(J717="","SIN DATO",IFERROR(INDEX(cat_FunN,MATCH(J717,cat_FunO,0)),J717))</f>
        <v>Protección</v>
      </c>
      <c r="W717" s="34" t="str">
        <f aca="false">IF(OR(S717="SIN DATO",T717="SIN DATO"),"No","Sí")</f>
        <v>Sí</v>
      </c>
    </row>
    <row r="718" customFormat="false" ht="15" hidden="false" customHeight="false" outlineLevel="0" collapsed="false">
      <c r="A718" s="34" t="s">
        <v>2759</v>
      </c>
      <c r="B718" s="34" t="s">
        <v>2760</v>
      </c>
      <c r="C718" s="34" t="s">
        <v>2761</v>
      </c>
      <c r="D718" s="34" t="s">
        <v>2762</v>
      </c>
      <c r="E718" s="34" t="s">
        <v>109</v>
      </c>
      <c r="F718" s="34" t="s">
        <v>1602</v>
      </c>
      <c r="G718" s="34" t="s">
        <v>2431</v>
      </c>
      <c r="H718" s="34" t="s">
        <v>34</v>
      </c>
      <c r="I718" s="34" t="s">
        <v>36</v>
      </c>
      <c r="J718" s="34" t="s">
        <v>228</v>
      </c>
      <c r="K718" s="34" t="s">
        <v>229</v>
      </c>
      <c r="L718" s="34" t="s">
        <v>230</v>
      </c>
      <c r="M718" s="34" t="s">
        <v>231</v>
      </c>
      <c r="N718" s="34" t="str">
        <f aca="false">"Sector "&amp;VALUE(MID(D718,13,2))</f>
        <v>Sector 1</v>
      </c>
      <c r="O718" s="34" t="str">
        <f aca="false">IF(Dashboard!$C$5="Ubicación técnica",N718,"Sector "&amp;VALUE(RIGHT(G718,2)))</f>
        <v>Sector 1</v>
      </c>
      <c r="P718" s="34" t="str">
        <f aca="false">IF(MID(D718,15,3)="SEL","Subestación eléctrica","Área de proceso")</f>
        <v>Subestación eléctrica</v>
      </c>
      <c r="Q718" s="34" t="str">
        <f aca="false">MID(D718,13,5)&amp;"|"&amp;MID(D718,19,5)</f>
        <v>01SEL|S_012</v>
      </c>
      <c r="R718" s="34" t="str">
        <f aca="false">IF(P718="Subestación eléctrica",IFERROR(INDEX(cat_SubN,MATCH(Q718,cat_SubK,0)),"SIN CATALOGAR"),"ÁREA DE PROCESO")</f>
        <v>SE-12</v>
      </c>
      <c r="S718" s="34" t="str">
        <f aca="false">IF(H718="","SIN DATO",IFERROR(INDEX(cat_MarcaN,MATCH(H718,cat_MarcaO,0)),H718))</f>
        <v>ABB</v>
      </c>
      <c r="T718" s="34" t="str">
        <f aca="false">IF(I718="","SIN DATO",IFERROR(INDEX(cat_ModN,MATCH(I718,cat_ModO,0)),I718))</f>
        <v>1AFFAEAGNEC5BNA11G</v>
      </c>
      <c r="U718" s="34" t="str">
        <f aca="false">IF(I718="","",IFERROR(INDEX(cat_ModG,MATCH(I718,cat_ModO,0)),"No"))</f>
        <v>No</v>
      </c>
      <c r="V718" s="34" t="str">
        <f aca="false">IF(J718="","SIN DATO",IFERROR(INDEX(cat_FunN,MATCH(J718,cat_FunO,0)),J718))</f>
        <v>Protección y medición</v>
      </c>
      <c r="W718" s="34" t="str">
        <f aca="false">IF(OR(S718="SIN DATO",T718="SIN DATO"),"No","Sí")</f>
        <v>Sí</v>
      </c>
    </row>
    <row r="719" customFormat="false" ht="15" hidden="false" customHeight="false" outlineLevel="0" collapsed="false">
      <c r="A719" s="34" t="s">
        <v>2763</v>
      </c>
      <c r="B719" s="34" t="s">
        <v>2764</v>
      </c>
      <c r="C719" s="34" t="s">
        <v>2765</v>
      </c>
      <c r="D719" s="34" t="s">
        <v>2762</v>
      </c>
      <c r="E719" s="34" t="s">
        <v>109</v>
      </c>
      <c r="F719" s="34" t="s">
        <v>1602</v>
      </c>
      <c r="G719" s="34" t="s">
        <v>2431</v>
      </c>
      <c r="H719" s="34" t="s">
        <v>34</v>
      </c>
      <c r="I719" s="34" t="s">
        <v>36</v>
      </c>
      <c r="J719" s="34" t="s">
        <v>681</v>
      </c>
      <c r="K719" s="34" t="s">
        <v>229</v>
      </c>
      <c r="L719" s="34" t="s">
        <v>230</v>
      </c>
      <c r="M719" s="34" t="s">
        <v>682</v>
      </c>
      <c r="N719" s="34" t="str">
        <f aca="false">"Sector "&amp;VALUE(MID(D719,13,2))</f>
        <v>Sector 1</v>
      </c>
      <c r="O719" s="34" t="str">
        <f aca="false">IF(Dashboard!$C$5="Ubicación técnica",N719,"Sector "&amp;VALUE(RIGHT(G719,2)))</f>
        <v>Sector 1</v>
      </c>
      <c r="P719" s="34" t="str">
        <f aca="false">IF(MID(D719,15,3)="SEL","Subestación eléctrica","Área de proceso")</f>
        <v>Subestación eléctrica</v>
      </c>
      <c r="Q719" s="34" t="str">
        <f aca="false">MID(D719,13,5)&amp;"|"&amp;MID(D719,19,5)</f>
        <v>01SEL|S_012</v>
      </c>
      <c r="R719" s="34" t="str">
        <f aca="false">IF(P719="Subestación eléctrica",IFERROR(INDEX(cat_SubN,MATCH(Q719,cat_SubK,0)),"SIN CATALOGAR"),"ÁREA DE PROCESO")</f>
        <v>SE-12</v>
      </c>
      <c r="S719" s="34" t="str">
        <f aca="false">IF(H719="","SIN DATO",IFERROR(INDEX(cat_MarcaN,MATCH(H719,cat_MarcaO,0)),H719))</f>
        <v>ABB</v>
      </c>
      <c r="T719" s="34" t="str">
        <f aca="false">IF(I719="","SIN DATO",IFERROR(INDEX(cat_ModN,MATCH(I719,cat_ModO,0)),I719))</f>
        <v>1AFFAEAGNEC5BNA11G</v>
      </c>
      <c r="U719" s="34" t="str">
        <f aca="false">IF(I719="","",IFERROR(INDEX(cat_ModG,MATCH(I719,cat_ModO,0)),"No"))</f>
        <v>No</v>
      </c>
      <c r="V719" s="34" t="str">
        <f aca="false">IF(J719="","SIN DATO",IFERROR(INDEX(cat_FunN,MATCH(J719,cat_FunO,0)),J719))</f>
        <v>Protección</v>
      </c>
      <c r="W719" s="34" t="str">
        <f aca="false">IF(OR(S719="SIN DATO",T719="SIN DATO"),"No","Sí")</f>
        <v>Sí</v>
      </c>
    </row>
    <row r="720" customFormat="false" ht="15" hidden="false" customHeight="false" outlineLevel="0" collapsed="false">
      <c r="A720" s="34" t="s">
        <v>2766</v>
      </c>
      <c r="B720" s="34" t="s">
        <v>2767</v>
      </c>
      <c r="C720" s="34" t="s">
        <v>2768</v>
      </c>
      <c r="D720" s="34" t="s">
        <v>2769</v>
      </c>
      <c r="E720" s="34" t="s">
        <v>109</v>
      </c>
      <c r="F720" s="34" t="s">
        <v>1602</v>
      </c>
      <c r="G720" s="34" t="s">
        <v>2431</v>
      </c>
      <c r="H720" s="34" t="s">
        <v>34</v>
      </c>
      <c r="I720" s="34" t="s">
        <v>36</v>
      </c>
      <c r="J720" s="34" t="s">
        <v>228</v>
      </c>
      <c r="K720" s="34" t="s">
        <v>229</v>
      </c>
      <c r="L720" s="34" t="s">
        <v>230</v>
      </c>
      <c r="M720" s="34" t="s">
        <v>231</v>
      </c>
      <c r="N720" s="34" t="str">
        <f aca="false">"Sector "&amp;VALUE(MID(D720,13,2))</f>
        <v>Sector 1</v>
      </c>
      <c r="O720" s="34" t="str">
        <f aca="false">IF(Dashboard!$C$5="Ubicación técnica",N720,"Sector "&amp;VALUE(RIGHT(G720,2)))</f>
        <v>Sector 1</v>
      </c>
      <c r="P720" s="34" t="str">
        <f aca="false">IF(MID(D720,15,3)="SEL","Subestación eléctrica","Área de proceso")</f>
        <v>Subestación eléctrica</v>
      </c>
      <c r="Q720" s="34" t="str">
        <f aca="false">MID(D720,13,5)&amp;"|"&amp;MID(D720,19,5)</f>
        <v>01SEL|S_012</v>
      </c>
      <c r="R720" s="34" t="str">
        <f aca="false">IF(P720="Subestación eléctrica",IFERROR(INDEX(cat_SubN,MATCH(Q720,cat_SubK,0)),"SIN CATALOGAR"),"ÁREA DE PROCESO")</f>
        <v>SE-12</v>
      </c>
      <c r="S720" s="34" t="str">
        <f aca="false">IF(H720="","SIN DATO",IFERROR(INDEX(cat_MarcaN,MATCH(H720,cat_MarcaO,0)),H720))</f>
        <v>ABB</v>
      </c>
      <c r="T720" s="34" t="str">
        <f aca="false">IF(I720="","SIN DATO",IFERROR(INDEX(cat_ModN,MATCH(I720,cat_ModO,0)),I720))</f>
        <v>1AFFAEAGNEC5BNA11G</v>
      </c>
      <c r="U720" s="34" t="str">
        <f aca="false">IF(I720="","",IFERROR(INDEX(cat_ModG,MATCH(I720,cat_ModO,0)),"No"))</f>
        <v>No</v>
      </c>
      <c r="V720" s="34" t="str">
        <f aca="false">IF(J720="","SIN DATO",IFERROR(INDEX(cat_FunN,MATCH(J720,cat_FunO,0)),J720))</f>
        <v>Protección y medición</v>
      </c>
      <c r="W720" s="34" t="str">
        <f aca="false">IF(OR(S720="SIN DATO",T720="SIN DATO"),"No","Sí")</f>
        <v>Sí</v>
      </c>
    </row>
    <row r="721" customFormat="false" ht="15" hidden="false" customHeight="false" outlineLevel="0" collapsed="false">
      <c r="A721" s="34" t="s">
        <v>2770</v>
      </c>
      <c r="B721" s="34" t="s">
        <v>2771</v>
      </c>
      <c r="C721" s="34" t="s">
        <v>2772</v>
      </c>
      <c r="D721" s="34" t="s">
        <v>2769</v>
      </c>
      <c r="E721" s="34" t="s">
        <v>109</v>
      </c>
      <c r="F721" s="34" t="s">
        <v>1602</v>
      </c>
      <c r="G721" s="34" t="s">
        <v>2431</v>
      </c>
      <c r="H721" s="34" t="s">
        <v>34</v>
      </c>
      <c r="I721" s="34" t="s">
        <v>36</v>
      </c>
      <c r="J721" s="34" t="s">
        <v>228</v>
      </c>
      <c r="K721" s="34" t="s">
        <v>229</v>
      </c>
      <c r="L721" s="34" t="s">
        <v>230</v>
      </c>
      <c r="M721" s="34" t="s">
        <v>231</v>
      </c>
      <c r="N721" s="34" t="str">
        <f aca="false">"Sector "&amp;VALUE(MID(D721,13,2))</f>
        <v>Sector 1</v>
      </c>
      <c r="O721" s="34" t="str">
        <f aca="false">IF(Dashboard!$C$5="Ubicación técnica",N721,"Sector "&amp;VALUE(RIGHT(G721,2)))</f>
        <v>Sector 1</v>
      </c>
      <c r="P721" s="34" t="str">
        <f aca="false">IF(MID(D721,15,3)="SEL","Subestación eléctrica","Área de proceso")</f>
        <v>Subestación eléctrica</v>
      </c>
      <c r="Q721" s="34" t="str">
        <f aca="false">MID(D721,13,5)&amp;"|"&amp;MID(D721,19,5)</f>
        <v>01SEL|S_012</v>
      </c>
      <c r="R721" s="34" t="str">
        <f aca="false">IF(P721="Subestación eléctrica",IFERROR(INDEX(cat_SubN,MATCH(Q721,cat_SubK,0)),"SIN CATALOGAR"),"ÁREA DE PROCESO")</f>
        <v>SE-12</v>
      </c>
      <c r="S721" s="34" t="str">
        <f aca="false">IF(H721="","SIN DATO",IFERROR(INDEX(cat_MarcaN,MATCH(H721,cat_MarcaO,0)),H721))</f>
        <v>ABB</v>
      </c>
      <c r="T721" s="34" t="str">
        <f aca="false">IF(I721="","SIN DATO",IFERROR(INDEX(cat_ModN,MATCH(I721,cat_ModO,0)),I721))</f>
        <v>1AFFAEAGNEC5BNA11G</v>
      </c>
      <c r="U721" s="34" t="str">
        <f aca="false">IF(I721="","",IFERROR(INDEX(cat_ModG,MATCH(I721,cat_ModO,0)),"No"))</f>
        <v>No</v>
      </c>
      <c r="V721" s="34" t="str">
        <f aca="false">IF(J721="","SIN DATO",IFERROR(INDEX(cat_FunN,MATCH(J721,cat_FunO,0)),J721))</f>
        <v>Protección y medición</v>
      </c>
      <c r="W721" s="34" t="str">
        <f aca="false">IF(OR(S721="SIN DATO",T721="SIN DATO"),"No","Sí")</f>
        <v>Sí</v>
      </c>
    </row>
    <row r="722" customFormat="false" ht="15" hidden="false" customHeight="false" outlineLevel="0" collapsed="false">
      <c r="A722" s="34" t="s">
        <v>2773</v>
      </c>
      <c r="B722" s="34" t="s">
        <v>2774</v>
      </c>
      <c r="C722" s="34" t="s">
        <v>2775</v>
      </c>
      <c r="D722" s="34" t="s">
        <v>2735</v>
      </c>
      <c r="E722" s="34" t="s">
        <v>109</v>
      </c>
      <c r="F722" s="34" t="s">
        <v>1602</v>
      </c>
      <c r="G722" s="34" t="s">
        <v>2431</v>
      </c>
      <c r="H722" s="34" t="s">
        <v>34</v>
      </c>
      <c r="I722" s="34" t="s">
        <v>36</v>
      </c>
      <c r="J722" s="34" t="s">
        <v>681</v>
      </c>
      <c r="K722" s="34" t="s">
        <v>229</v>
      </c>
      <c r="L722" s="34" t="s">
        <v>230</v>
      </c>
      <c r="M722" s="34" t="s">
        <v>682</v>
      </c>
      <c r="N722" s="34" t="str">
        <f aca="false">"Sector "&amp;VALUE(MID(D722,13,2))</f>
        <v>Sector 1</v>
      </c>
      <c r="O722" s="34" t="str">
        <f aca="false">IF(Dashboard!$C$5="Ubicación técnica",N722,"Sector "&amp;VALUE(RIGHT(G722,2)))</f>
        <v>Sector 1</v>
      </c>
      <c r="P722" s="34" t="str">
        <f aca="false">IF(MID(D722,15,3)="SEL","Subestación eléctrica","Área de proceso")</f>
        <v>Subestación eléctrica</v>
      </c>
      <c r="Q722" s="34" t="str">
        <f aca="false">MID(D722,13,5)&amp;"|"&amp;MID(D722,19,5)</f>
        <v>01SEL|S_012</v>
      </c>
      <c r="R722" s="34" t="str">
        <f aca="false">IF(P722="Subestación eléctrica",IFERROR(INDEX(cat_SubN,MATCH(Q722,cat_SubK,0)),"SIN CATALOGAR"),"ÁREA DE PROCESO")</f>
        <v>SE-12</v>
      </c>
      <c r="S722" s="34" t="str">
        <f aca="false">IF(H722="","SIN DATO",IFERROR(INDEX(cat_MarcaN,MATCH(H722,cat_MarcaO,0)),H722))</f>
        <v>ABB</v>
      </c>
      <c r="T722" s="34" t="str">
        <f aca="false">IF(I722="","SIN DATO",IFERROR(INDEX(cat_ModN,MATCH(I722,cat_ModO,0)),I722))</f>
        <v>1AFFAEAGNEC5BNA11G</v>
      </c>
      <c r="U722" s="34" t="str">
        <f aca="false">IF(I722="","",IFERROR(INDEX(cat_ModG,MATCH(I722,cat_ModO,0)),"No"))</f>
        <v>No</v>
      </c>
      <c r="V722" s="34" t="str">
        <f aca="false">IF(J722="","SIN DATO",IFERROR(INDEX(cat_FunN,MATCH(J722,cat_FunO,0)),J722))</f>
        <v>Protección</v>
      </c>
      <c r="W722" s="34" t="str">
        <f aca="false">IF(OR(S722="SIN DATO",T722="SIN DATO"),"No","Sí")</f>
        <v>Sí</v>
      </c>
    </row>
    <row r="723" customFormat="false" ht="15" hidden="false" customHeight="false" outlineLevel="0" collapsed="false">
      <c r="A723" s="34" t="s">
        <v>2776</v>
      </c>
      <c r="B723" s="34" t="s">
        <v>2777</v>
      </c>
      <c r="C723" s="34" t="s">
        <v>2778</v>
      </c>
      <c r="D723" s="34" t="s">
        <v>2735</v>
      </c>
      <c r="E723" s="34" t="s">
        <v>109</v>
      </c>
      <c r="F723" s="34" t="s">
        <v>1602</v>
      </c>
      <c r="G723" s="34" t="s">
        <v>2431</v>
      </c>
      <c r="H723" s="34" t="s">
        <v>55</v>
      </c>
      <c r="I723" s="34" t="s">
        <v>36</v>
      </c>
      <c r="J723" s="34" t="s">
        <v>228</v>
      </c>
      <c r="K723" s="34" t="s">
        <v>229</v>
      </c>
      <c r="L723" s="34" t="s">
        <v>230</v>
      </c>
      <c r="M723" s="34" t="s">
        <v>231</v>
      </c>
      <c r="N723" s="34" t="str">
        <f aca="false">"Sector "&amp;VALUE(MID(D723,13,2))</f>
        <v>Sector 1</v>
      </c>
      <c r="O723" s="34" t="str">
        <f aca="false">IF(Dashboard!$C$5="Ubicación técnica",N723,"Sector "&amp;VALUE(RIGHT(G723,2)))</f>
        <v>Sector 1</v>
      </c>
      <c r="P723" s="34" t="str">
        <f aca="false">IF(MID(D723,15,3)="SEL","Subestación eléctrica","Área de proceso")</f>
        <v>Subestación eléctrica</v>
      </c>
      <c r="Q723" s="34" t="str">
        <f aca="false">MID(D723,13,5)&amp;"|"&amp;MID(D723,19,5)</f>
        <v>01SEL|S_012</v>
      </c>
      <c r="R723" s="34" t="str">
        <f aca="false">IF(P723="Subestación eléctrica",IFERROR(INDEX(cat_SubN,MATCH(Q723,cat_SubK,0)),"SIN CATALOGAR"),"ÁREA DE PROCESO")</f>
        <v>SE-12</v>
      </c>
      <c r="S723" s="34" t="str">
        <f aca="false">IF(H723="","SIN DATO",IFERROR(INDEX(cat_MarcaN,MATCH(H723,cat_MarcaO,0)),H723))</f>
        <v>SEL</v>
      </c>
      <c r="T723" s="34" t="str">
        <f aca="false">IF(I723="","SIN DATO",IFERROR(INDEX(cat_ModN,MATCH(I723,cat_ModO,0)),I723))</f>
        <v>1AFFAEAGNEC5BNA11G</v>
      </c>
      <c r="U723" s="34" t="str">
        <f aca="false">IF(I723="","",IFERROR(INDEX(cat_ModG,MATCH(I723,cat_ModO,0)),"No"))</f>
        <v>No</v>
      </c>
      <c r="V723" s="34" t="str">
        <f aca="false">IF(J723="","SIN DATO",IFERROR(INDEX(cat_FunN,MATCH(J723,cat_FunO,0)),J723))</f>
        <v>Protección y medición</v>
      </c>
      <c r="W723" s="34" t="str">
        <f aca="false">IF(OR(S723="SIN DATO",T723="SIN DATO"),"No","Sí")</f>
        <v>Sí</v>
      </c>
    </row>
    <row r="724" customFormat="false" ht="15" hidden="false" customHeight="false" outlineLevel="0" collapsed="false">
      <c r="A724" s="34" t="s">
        <v>2779</v>
      </c>
      <c r="B724" s="34" t="s">
        <v>2780</v>
      </c>
      <c r="C724" s="34" t="s">
        <v>2781</v>
      </c>
      <c r="D724" s="34" t="s">
        <v>2782</v>
      </c>
      <c r="E724" s="34" t="s">
        <v>109</v>
      </c>
      <c r="F724" s="34" t="s">
        <v>1602</v>
      </c>
      <c r="G724" s="34" t="s">
        <v>2431</v>
      </c>
      <c r="H724" s="34" t="s">
        <v>34</v>
      </c>
      <c r="I724" s="34" t="s">
        <v>36</v>
      </c>
      <c r="J724" s="34" t="s">
        <v>681</v>
      </c>
      <c r="K724" s="34" t="s">
        <v>229</v>
      </c>
      <c r="L724" s="34" t="s">
        <v>230</v>
      </c>
      <c r="M724" s="34" t="s">
        <v>682</v>
      </c>
      <c r="N724" s="34" t="str">
        <f aca="false">"Sector "&amp;VALUE(MID(D724,13,2))</f>
        <v>Sector 1</v>
      </c>
      <c r="O724" s="34" t="str">
        <f aca="false">IF(Dashboard!$C$5="Ubicación técnica",N724,"Sector "&amp;VALUE(RIGHT(G724,2)))</f>
        <v>Sector 1</v>
      </c>
      <c r="P724" s="34" t="str">
        <f aca="false">IF(MID(D724,15,3)="SEL","Subestación eléctrica","Área de proceso")</f>
        <v>Subestación eléctrica</v>
      </c>
      <c r="Q724" s="34" t="str">
        <f aca="false">MID(D724,13,5)&amp;"|"&amp;MID(D724,19,5)</f>
        <v>01SEL|S_012</v>
      </c>
      <c r="R724" s="34" t="str">
        <f aca="false">IF(P724="Subestación eléctrica",IFERROR(INDEX(cat_SubN,MATCH(Q724,cat_SubK,0)),"SIN CATALOGAR"),"ÁREA DE PROCESO")</f>
        <v>SE-12</v>
      </c>
      <c r="S724" s="34" t="str">
        <f aca="false">IF(H724="","SIN DATO",IFERROR(INDEX(cat_MarcaN,MATCH(H724,cat_MarcaO,0)),H724))</f>
        <v>ABB</v>
      </c>
      <c r="T724" s="34" t="str">
        <f aca="false">IF(I724="","SIN DATO",IFERROR(INDEX(cat_ModN,MATCH(I724,cat_ModO,0)),I724))</f>
        <v>1AFFAEAGNEC5BNA11G</v>
      </c>
      <c r="U724" s="34" t="str">
        <f aca="false">IF(I724="","",IFERROR(INDEX(cat_ModG,MATCH(I724,cat_ModO,0)),"No"))</f>
        <v>No</v>
      </c>
      <c r="V724" s="34" t="str">
        <f aca="false">IF(J724="","SIN DATO",IFERROR(INDEX(cat_FunN,MATCH(J724,cat_FunO,0)),J724))</f>
        <v>Protección</v>
      </c>
      <c r="W724" s="34" t="str">
        <f aca="false">IF(OR(S724="SIN DATO",T724="SIN DATO"),"No","Sí")</f>
        <v>Sí</v>
      </c>
    </row>
    <row r="725" customFormat="false" ht="15" hidden="false" customHeight="false" outlineLevel="0" collapsed="false">
      <c r="A725" s="34" t="s">
        <v>2783</v>
      </c>
      <c r="B725" s="34" t="s">
        <v>2784</v>
      </c>
      <c r="C725" s="34" t="s">
        <v>2785</v>
      </c>
      <c r="D725" s="34" t="s">
        <v>2782</v>
      </c>
      <c r="E725" s="34" t="s">
        <v>109</v>
      </c>
      <c r="F725" s="34" t="s">
        <v>1602</v>
      </c>
      <c r="G725" s="34" t="s">
        <v>2431</v>
      </c>
      <c r="H725" s="34" t="s">
        <v>34</v>
      </c>
      <c r="I725" s="34" t="s">
        <v>36</v>
      </c>
      <c r="J725" s="34" t="s">
        <v>228</v>
      </c>
      <c r="K725" s="34" t="s">
        <v>229</v>
      </c>
      <c r="L725" s="34" t="s">
        <v>230</v>
      </c>
      <c r="M725" s="34" t="s">
        <v>231</v>
      </c>
      <c r="N725" s="34" t="str">
        <f aca="false">"Sector "&amp;VALUE(MID(D725,13,2))</f>
        <v>Sector 1</v>
      </c>
      <c r="O725" s="34" t="str">
        <f aca="false">IF(Dashboard!$C$5="Ubicación técnica",N725,"Sector "&amp;VALUE(RIGHT(G725,2)))</f>
        <v>Sector 1</v>
      </c>
      <c r="P725" s="34" t="str">
        <f aca="false">IF(MID(D725,15,3)="SEL","Subestación eléctrica","Área de proceso")</f>
        <v>Subestación eléctrica</v>
      </c>
      <c r="Q725" s="34" t="str">
        <f aca="false">MID(D725,13,5)&amp;"|"&amp;MID(D725,19,5)</f>
        <v>01SEL|S_012</v>
      </c>
      <c r="R725" s="34" t="str">
        <f aca="false">IF(P725="Subestación eléctrica",IFERROR(INDEX(cat_SubN,MATCH(Q725,cat_SubK,0)),"SIN CATALOGAR"),"ÁREA DE PROCESO")</f>
        <v>SE-12</v>
      </c>
      <c r="S725" s="34" t="str">
        <f aca="false">IF(H725="","SIN DATO",IFERROR(INDEX(cat_MarcaN,MATCH(H725,cat_MarcaO,0)),H725))</f>
        <v>ABB</v>
      </c>
      <c r="T725" s="34" t="str">
        <f aca="false">IF(I725="","SIN DATO",IFERROR(INDEX(cat_ModN,MATCH(I725,cat_ModO,0)),I725))</f>
        <v>1AFFAEAGNEC5BNA11G</v>
      </c>
      <c r="U725" s="34" t="str">
        <f aca="false">IF(I725="","",IFERROR(INDEX(cat_ModG,MATCH(I725,cat_ModO,0)),"No"))</f>
        <v>No</v>
      </c>
      <c r="V725" s="34" t="str">
        <f aca="false">IF(J725="","SIN DATO",IFERROR(INDEX(cat_FunN,MATCH(J725,cat_FunO,0)),J725))</f>
        <v>Protección y medición</v>
      </c>
      <c r="W725" s="34" t="str">
        <f aca="false">IF(OR(S725="SIN DATO",T725="SIN DATO"),"No","Sí")</f>
        <v>Sí</v>
      </c>
    </row>
    <row r="726" customFormat="false" ht="15" hidden="false" customHeight="false" outlineLevel="0" collapsed="false">
      <c r="A726" s="34" t="s">
        <v>2786</v>
      </c>
      <c r="B726" s="34" t="s">
        <v>2787</v>
      </c>
      <c r="C726" s="34" t="s">
        <v>2788</v>
      </c>
      <c r="D726" s="34" t="s">
        <v>2725</v>
      </c>
      <c r="E726" s="34" t="s">
        <v>109</v>
      </c>
      <c r="F726" s="34" t="s">
        <v>1602</v>
      </c>
      <c r="G726" s="34" t="s">
        <v>2431</v>
      </c>
      <c r="H726" s="34" t="s">
        <v>34</v>
      </c>
      <c r="I726" s="34" t="s">
        <v>36</v>
      </c>
      <c r="J726" s="34" t="s">
        <v>681</v>
      </c>
      <c r="K726" s="34" t="s">
        <v>229</v>
      </c>
      <c r="L726" s="34" t="s">
        <v>230</v>
      </c>
      <c r="M726" s="34" t="s">
        <v>682</v>
      </c>
      <c r="N726" s="34" t="str">
        <f aca="false">"Sector "&amp;VALUE(MID(D726,13,2))</f>
        <v>Sector 1</v>
      </c>
      <c r="O726" s="34" t="str">
        <f aca="false">IF(Dashboard!$C$5="Ubicación técnica",N726,"Sector "&amp;VALUE(RIGHT(G726,2)))</f>
        <v>Sector 1</v>
      </c>
      <c r="P726" s="34" t="str">
        <f aca="false">IF(MID(D726,15,3)="SEL","Subestación eléctrica","Área de proceso")</f>
        <v>Subestación eléctrica</v>
      </c>
      <c r="Q726" s="34" t="str">
        <f aca="false">MID(D726,13,5)&amp;"|"&amp;MID(D726,19,5)</f>
        <v>01SEL|S_012</v>
      </c>
      <c r="R726" s="34" t="str">
        <f aca="false">IF(P726="Subestación eléctrica",IFERROR(INDEX(cat_SubN,MATCH(Q726,cat_SubK,0)),"SIN CATALOGAR"),"ÁREA DE PROCESO")</f>
        <v>SE-12</v>
      </c>
      <c r="S726" s="34" t="str">
        <f aca="false">IF(H726="","SIN DATO",IFERROR(INDEX(cat_MarcaN,MATCH(H726,cat_MarcaO,0)),H726))</f>
        <v>ABB</v>
      </c>
      <c r="T726" s="34" t="str">
        <f aca="false">IF(I726="","SIN DATO",IFERROR(INDEX(cat_ModN,MATCH(I726,cat_ModO,0)),I726))</f>
        <v>1AFFAEAGNEC5BNA11G</v>
      </c>
      <c r="U726" s="34" t="str">
        <f aca="false">IF(I726="","",IFERROR(INDEX(cat_ModG,MATCH(I726,cat_ModO,0)),"No"))</f>
        <v>No</v>
      </c>
      <c r="V726" s="34" t="str">
        <f aca="false">IF(J726="","SIN DATO",IFERROR(INDEX(cat_FunN,MATCH(J726,cat_FunO,0)),J726))</f>
        <v>Protección</v>
      </c>
      <c r="W726" s="34" t="str">
        <f aca="false">IF(OR(S726="SIN DATO",T726="SIN DATO"),"No","Sí")</f>
        <v>Sí</v>
      </c>
    </row>
    <row r="727" customFormat="false" ht="15" hidden="false" customHeight="false" outlineLevel="0" collapsed="false">
      <c r="A727" s="34" t="s">
        <v>2789</v>
      </c>
      <c r="B727" s="34" t="s">
        <v>2790</v>
      </c>
      <c r="C727" s="34" t="s">
        <v>2791</v>
      </c>
      <c r="D727" s="34" t="s">
        <v>2725</v>
      </c>
      <c r="E727" s="34" t="s">
        <v>109</v>
      </c>
      <c r="F727" s="34" t="s">
        <v>1602</v>
      </c>
      <c r="G727" s="34" t="s">
        <v>2431</v>
      </c>
      <c r="H727" s="34" t="s">
        <v>34</v>
      </c>
      <c r="I727" s="34" t="s">
        <v>36</v>
      </c>
      <c r="J727" s="34" t="s">
        <v>681</v>
      </c>
      <c r="K727" s="34" t="s">
        <v>229</v>
      </c>
      <c r="L727" s="34" t="s">
        <v>230</v>
      </c>
      <c r="M727" s="34" t="s">
        <v>682</v>
      </c>
      <c r="N727" s="34" t="str">
        <f aca="false">"Sector "&amp;VALUE(MID(D727,13,2))</f>
        <v>Sector 1</v>
      </c>
      <c r="O727" s="34" t="str">
        <f aca="false">IF(Dashboard!$C$5="Ubicación técnica",N727,"Sector "&amp;VALUE(RIGHT(G727,2)))</f>
        <v>Sector 1</v>
      </c>
      <c r="P727" s="34" t="str">
        <f aca="false">IF(MID(D727,15,3)="SEL","Subestación eléctrica","Área de proceso")</f>
        <v>Subestación eléctrica</v>
      </c>
      <c r="Q727" s="34" t="str">
        <f aca="false">MID(D727,13,5)&amp;"|"&amp;MID(D727,19,5)</f>
        <v>01SEL|S_012</v>
      </c>
      <c r="R727" s="34" t="str">
        <f aca="false">IF(P727="Subestación eléctrica",IFERROR(INDEX(cat_SubN,MATCH(Q727,cat_SubK,0)),"SIN CATALOGAR"),"ÁREA DE PROCESO")</f>
        <v>SE-12</v>
      </c>
      <c r="S727" s="34" t="str">
        <f aca="false">IF(H727="","SIN DATO",IFERROR(INDEX(cat_MarcaN,MATCH(H727,cat_MarcaO,0)),H727))</f>
        <v>ABB</v>
      </c>
      <c r="T727" s="34" t="str">
        <f aca="false">IF(I727="","SIN DATO",IFERROR(INDEX(cat_ModN,MATCH(I727,cat_ModO,0)),I727))</f>
        <v>1AFFAEAGNEC5BNA11G</v>
      </c>
      <c r="U727" s="34" t="str">
        <f aca="false">IF(I727="","",IFERROR(INDEX(cat_ModG,MATCH(I727,cat_ModO,0)),"No"))</f>
        <v>No</v>
      </c>
      <c r="V727" s="34" t="str">
        <f aca="false">IF(J727="","SIN DATO",IFERROR(INDEX(cat_FunN,MATCH(J727,cat_FunO,0)),J727))</f>
        <v>Protección</v>
      </c>
      <c r="W727" s="34" t="str">
        <f aca="false">IF(OR(S727="SIN DATO",T727="SIN DATO"),"No","Sí")</f>
        <v>Sí</v>
      </c>
    </row>
    <row r="728" customFormat="false" ht="15" hidden="false" customHeight="false" outlineLevel="0" collapsed="false">
      <c r="A728" s="34" t="s">
        <v>2792</v>
      </c>
      <c r="B728" s="34" t="s">
        <v>2793</v>
      </c>
      <c r="C728" s="34" t="s">
        <v>2794</v>
      </c>
      <c r="D728" s="34" t="s">
        <v>2725</v>
      </c>
      <c r="E728" s="34" t="s">
        <v>109</v>
      </c>
      <c r="F728" s="34" t="s">
        <v>1602</v>
      </c>
      <c r="G728" s="34" t="s">
        <v>2431</v>
      </c>
      <c r="H728" s="34" t="s">
        <v>34</v>
      </c>
      <c r="I728" s="34" t="s">
        <v>48</v>
      </c>
      <c r="J728" s="34" t="s">
        <v>228</v>
      </c>
      <c r="K728" s="34" t="s">
        <v>229</v>
      </c>
      <c r="L728" s="34" t="s">
        <v>230</v>
      </c>
      <c r="M728" s="34" t="s">
        <v>231</v>
      </c>
      <c r="N728" s="34" t="str">
        <f aca="false">"Sector "&amp;VALUE(MID(D728,13,2))</f>
        <v>Sector 1</v>
      </c>
      <c r="O728" s="34" t="str">
        <f aca="false">IF(Dashboard!$C$5="Ubicación técnica",N728,"Sector "&amp;VALUE(RIGHT(G728,2)))</f>
        <v>Sector 1</v>
      </c>
      <c r="P728" s="34" t="str">
        <f aca="false">IF(MID(D728,15,3)="SEL","Subestación eléctrica","Área de proceso")</f>
        <v>Subestación eléctrica</v>
      </c>
      <c r="Q728" s="34" t="str">
        <f aca="false">MID(D728,13,5)&amp;"|"&amp;MID(D728,19,5)</f>
        <v>01SEL|S_012</v>
      </c>
      <c r="R728" s="34" t="str">
        <f aca="false">IF(P728="Subestación eléctrica",IFERROR(INDEX(cat_SubN,MATCH(Q728,cat_SubK,0)),"SIN CATALOGAR"),"ÁREA DE PROCESO")</f>
        <v>SE-12</v>
      </c>
      <c r="S728" s="34" t="str">
        <f aca="false">IF(H728="","SIN DATO",IFERROR(INDEX(cat_MarcaN,MATCH(H728,cat_MarcaO,0)),H728))</f>
        <v>ABB</v>
      </c>
      <c r="T728" s="34" t="str">
        <f aca="false">IF(I728="","SIN DATO",IFERROR(INDEX(cat_ModN,MATCH(I728,cat_ModO,0)),I728))</f>
        <v>1AFNAEAGNEC5BNA11G</v>
      </c>
      <c r="U728" s="34" t="str">
        <f aca="false">IF(I728="","",IFERROR(INDEX(cat_ModG,MATCH(I728,cat_ModO,0)),"No"))</f>
        <v>No</v>
      </c>
      <c r="V728" s="34" t="str">
        <f aca="false">IF(J728="","SIN DATO",IFERROR(INDEX(cat_FunN,MATCH(J728,cat_FunO,0)),J728))</f>
        <v>Protección y medición</v>
      </c>
      <c r="W728" s="34" t="str">
        <f aca="false">IF(OR(S728="SIN DATO",T728="SIN DATO"),"No","Sí")</f>
        <v>Sí</v>
      </c>
    </row>
    <row r="729" customFormat="false" ht="15" hidden="false" customHeight="false" outlineLevel="0" collapsed="false">
      <c r="A729" s="34" t="s">
        <v>2795</v>
      </c>
      <c r="B729" s="34" t="s">
        <v>2796</v>
      </c>
      <c r="C729" s="34" t="s">
        <v>2797</v>
      </c>
      <c r="D729" s="34" t="s">
        <v>2725</v>
      </c>
      <c r="E729" s="34" t="s">
        <v>109</v>
      </c>
      <c r="F729" s="34" t="s">
        <v>1602</v>
      </c>
      <c r="G729" s="34" t="s">
        <v>2431</v>
      </c>
      <c r="H729" s="34" t="s">
        <v>55</v>
      </c>
      <c r="I729" s="34" t="s">
        <v>57</v>
      </c>
      <c r="J729" s="34" t="s">
        <v>58</v>
      </c>
      <c r="K729" s="34" t="s">
        <v>229</v>
      </c>
      <c r="L729" s="34" t="s">
        <v>230</v>
      </c>
      <c r="M729" s="34" t="s">
        <v>344</v>
      </c>
      <c r="N729" s="34" t="str">
        <f aca="false">"Sector "&amp;VALUE(MID(D729,13,2))</f>
        <v>Sector 1</v>
      </c>
      <c r="O729" s="34" t="str">
        <f aca="false">IF(Dashboard!$C$5="Ubicación técnica",N729,"Sector "&amp;VALUE(RIGHT(G729,2)))</f>
        <v>Sector 1</v>
      </c>
      <c r="P729" s="34" t="str">
        <f aca="false">IF(MID(D729,15,3)="SEL","Subestación eléctrica","Área de proceso")</f>
        <v>Subestación eléctrica</v>
      </c>
      <c r="Q729" s="34" t="str">
        <f aca="false">MID(D729,13,5)&amp;"|"&amp;MID(D729,19,5)</f>
        <v>01SEL|S_012</v>
      </c>
      <c r="R729" s="34" t="str">
        <f aca="false">IF(P729="Subestación eléctrica",IFERROR(INDEX(cat_SubN,MATCH(Q729,cat_SubK,0)),"SIN CATALOGAR"),"ÁREA DE PROCESO")</f>
        <v>SE-12</v>
      </c>
      <c r="S729" s="34" t="str">
        <f aca="false">IF(H729="","SIN DATO",IFERROR(INDEX(cat_MarcaN,MATCH(H729,cat_MarcaO,0)),H729))</f>
        <v>SEL</v>
      </c>
      <c r="T729" s="34" t="str">
        <f aca="false">IF(I729="","SIN DATO",IFERROR(INDEX(cat_ModN,MATCH(I729,cat_ModO,0)),I729))</f>
        <v>SEL-735</v>
      </c>
      <c r="U729" s="34" t="str">
        <f aca="false">IF(I729="","",IFERROR(INDEX(cat_ModG,MATCH(I729,cat_ModO,0)),"No"))</f>
        <v>No</v>
      </c>
      <c r="V729" s="34" t="str">
        <f aca="false">IF(J729="","SIN DATO",IFERROR(INDEX(cat_FunN,MATCH(J729,cat_FunO,0)),J729))</f>
        <v>Medición</v>
      </c>
      <c r="W729" s="34" t="str">
        <f aca="false">IF(OR(S729="SIN DATO",T729="SIN DATO"),"No","Sí")</f>
        <v>Sí</v>
      </c>
    </row>
    <row r="730" customFormat="false" ht="15" hidden="false" customHeight="false" outlineLevel="0" collapsed="false">
      <c r="A730" s="34" t="s">
        <v>2798</v>
      </c>
      <c r="B730" s="34" t="s">
        <v>2799</v>
      </c>
      <c r="C730" s="34" t="s">
        <v>2800</v>
      </c>
      <c r="D730" s="34" t="s">
        <v>2725</v>
      </c>
      <c r="E730" s="34" t="s">
        <v>109</v>
      </c>
      <c r="F730" s="34" t="s">
        <v>1602</v>
      </c>
      <c r="G730" s="34" t="s">
        <v>2431</v>
      </c>
      <c r="H730" s="34" t="s">
        <v>34</v>
      </c>
      <c r="I730" s="34" t="s">
        <v>36</v>
      </c>
      <c r="J730" s="34" t="s">
        <v>681</v>
      </c>
      <c r="K730" s="34" t="s">
        <v>229</v>
      </c>
      <c r="L730" s="34" t="s">
        <v>230</v>
      </c>
      <c r="M730" s="34" t="s">
        <v>682</v>
      </c>
      <c r="N730" s="34" t="str">
        <f aca="false">"Sector "&amp;VALUE(MID(D730,13,2))</f>
        <v>Sector 1</v>
      </c>
      <c r="O730" s="34" t="str">
        <f aca="false">IF(Dashboard!$C$5="Ubicación técnica",N730,"Sector "&amp;VALUE(RIGHT(G730,2)))</f>
        <v>Sector 1</v>
      </c>
      <c r="P730" s="34" t="str">
        <f aca="false">IF(MID(D730,15,3)="SEL","Subestación eléctrica","Área de proceso")</f>
        <v>Subestación eléctrica</v>
      </c>
      <c r="Q730" s="34" t="str">
        <f aca="false">MID(D730,13,5)&amp;"|"&amp;MID(D730,19,5)</f>
        <v>01SEL|S_012</v>
      </c>
      <c r="R730" s="34" t="str">
        <f aca="false">IF(P730="Subestación eléctrica",IFERROR(INDEX(cat_SubN,MATCH(Q730,cat_SubK,0)),"SIN CATALOGAR"),"ÁREA DE PROCESO")</f>
        <v>SE-12</v>
      </c>
      <c r="S730" s="34" t="str">
        <f aca="false">IF(H730="","SIN DATO",IFERROR(INDEX(cat_MarcaN,MATCH(H730,cat_MarcaO,0)),H730))</f>
        <v>ABB</v>
      </c>
      <c r="T730" s="34" t="str">
        <f aca="false">IF(I730="","SIN DATO",IFERROR(INDEX(cat_ModN,MATCH(I730,cat_ModO,0)),I730))</f>
        <v>1AFFAEAGNEC5BNA11G</v>
      </c>
      <c r="U730" s="34" t="str">
        <f aca="false">IF(I730="","",IFERROR(INDEX(cat_ModG,MATCH(I730,cat_ModO,0)),"No"))</f>
        <v>No</v>
      </c>
      <c r="V730" s="34" t="str">
        <f aca="false">IF(J730="","SIN DATO",IFERROR(INDEX(cat_FunN,MATCH(J730,cat_FunO,0)),J730))</f>
        <v>Protección</v>
      </c>
      <c r="W730" s="34" t="str">
        <f aca="false">IF(OR(S730="SIN DATO",T730="SIN DATO"),"No","Sí")</f>
        <v>Sí</v>
      </c>
    </row>
    <row r="731" customFormat="false" ht="15" hidden="false" customHeight="false" outlineLevel="0" collapsed="false">
      <c r="A731" s="34" t="s">
        <v>2801</v>
      </c>
      <c r="B731" s="34" t="s">
        <v>2802</v>
      </c>
      <c r="C731" s="34" t="s">
        <v>2803</v>
      </c>
      <c r="D731" s="34" t="s">
        <v>2725</v>
      </c>
      <c r="E731" s="34" t="s">
        <v>109</v>
      </c>
      <c r="F731" s="34" t="s">
        <v>1602</v>
      </c>
      <c r="G731" s="34" t="s">
        <v>2431</v>
      </c>
      <c r="H731" s="34" t="s">
        <v>34</v>
      </c>
      <c r="I731" s="34" t="s">
        <v>48</v>
      </c>
      <c r="J731" s="34" t="s">
        <v>228</v>
      </c>
      <c r="K731" s="34" t="s">
        <v>229</v>
      </c>
      <c r="L731" s="34" t="s">
        <v>230</v>
      </c>
      <c r="M731" s="34" t="s">
        <v>231</v>
      </c>
      <c r="N731" s="34" t="str">
        <f aca="false">"Sector "&amp;VALUE(MID(D731,13,2))</f>
        <v>Sector 1</v>
      </c>
      <c r="O731" s="34" t="str">
        <f aca="false">IF(Dashboard!$C$5="Ubicación técnica",N731,"Sector "&amp;VALUE(RIGHT(G731,2)))</f>
        <v>Sector 1</v>
      </c>
      <c r="P731" s="34" t="str">
        <f aca="false">IF(MID(D731,15,3)="SEL","Subestación eléctrica","Área de proceso")</f>
        <v>Subestación eléctrica</v>
      </c>
      <c r="Q731" s="34" t="str">
        <f aca="false">MID(D731,13,5)&amp;"|"&amp;MID(D731,19,5)</f>
        <v>01SEL|S_012</v>
      </c>
      <c r="R731" s="34" t="str">
        <f aca="false">IF(P731="Subestación eléctrica",IFERROR(INDEX(cat_SubN,MATCH(Q731,cat_SubK,0)),"SIN CATALOGAR"),"ÁREA DE PROCESO")</f>
        <v>SE-12</v>
      </c>
      <c r="S731" s="34" t="str">
        <f aca="false">IF(H731="","SIN DATO",IFERROR(INDEX(cat_MarcaN,MATCH(H731,cat_MarcaO,0)),H731))</f>
        <v>ABB</v>
      </c>
      <c r="T731" s="34" t="str">
        <f aca="false">IF(I731="","SIN DATO",IFERROR(INDEX(cat_ModN,MATCH(I731,cat_ModO,0)),I731))</f>
        <v>1AFNAEAGNEC5BNA11G</v>
      </c>
      <c r="U731" s="34" t="str">
        <f aca="false">IF(I731="","",IFERROR(INDEX(cat_ModG,MATCH(I731,cat_ModO,0)),"No"))</f>
        <v>No</v>
      </c>
      <c r="V731" s="34" t="str">
        <f aca="false">IF(J731="","SIN DATO",IFERROR(INDEX(cat_FunN,MATCH(J731,cat_FunO,0)),J731))</f>
        <v>Protección y medición</v>
      </c>
      <c r="W731" s="34" t="str">
        <f aca="false">IF(OR(S731="SIN DATO",T731="SIN DATO"),"No","Sí")</f>
        <v>Sí</v>
      </c>
    </row>
    <row r="732" customFormat="false" ht="15" hidden="false" customHeight="false" outlineLevel="0" collapsed="false">
      <c r="A732" s="34" t="s">
        <v>2804</v>
      </c>
      <c r="B732" s="34" t="s">
        <v>2805</v>
      </c>
      <c r="C732" s="34" t="s">
        <v>2806</v>
      </c>
      <c r="D732" s="34" t="s">
        <v>2807</v>
      </c>
      <c r="E732" s="34" t="s">
        <v>109</v>
      </c>
      <c r="F732" s="34" t="s">
        <v>1602</v>
      </c>
      <c r="G732" s="34" t="s">
        <v>2431</v>
      </c>
      <c r="H732" s="34" t="s">
        <v>34</v>
      </c>
      <c r="I732" s="34" t="s">
        <v>36</v>
      </c>
      <c r="J732" s="34" t="s">
        <v>681</v>
      </c>
      <c r="K732" s="34" t="s">
        <v>229</v>
      </c>
      <c r="L732" s="34" t="s">
        <v>230</v>
      </c>
      <c r="M732" s="34" t="s">
        <v>682</v>
      </c>
      <c r="N732" s="34" t="str">
        <f aca="false">"Sector "&amp;VALUE(MID(D732,13,2))</f>
        <v>Sector 1</v>
      </c>
      <c r="O732" s="34" t="str">
        <f aca="false">IF(Dashboard!$C$5="Ubicación técnica",N732,"Sector "&amp;VALUE(RIGHT(G732,2)))</f>
        <v>Sector 1</v>
      </c>
      <c r="P732" s="34" t="str">
        <f aca="false">IF(MID(D732,15,3)="SEL","Subestación eléctrica","Área de proceso")</f>
        <v>Subestación eléctrica</v>
      </c>
      <c r="Q732" s="34" t="str">
        <f aca="false">MID(D732,13,5)&amp;"|"&amp;MID(D732,19,5)</f>
        <v>01SEL|S_012</v>
      </c>
      <c r="R732" s="34" t="str">
        <f aca="false">IF(P732="Subestación eléctrica",IFERROR(INDEX(cat_SubN,MATCH(Q732,cat_SubK,0)),"SIN CATALOGAR"),"ÁREA DE PROCESO")</f>
        <v>SE-12</v>
      </c>
      <c r="S732" s="34" t="str">
        <f aca="false">IF(H732="","SIN DATO",IFERROR(INDEX(cat_MarcaN,MATCH(H732,cat_MarcaO,0)),H732))</f>
        <v>ABB</v>
      </c>
      <c r="T732" s="34" t="str">
        <f aca="false">IF(I732="","SIN DATO",IFERROR(INDEX(cat_ModN,MATCH(I732,cat_ModO,0)),I732))</f>
        <v>1AFFAEAGNEC5BNA11G</v>
      </c>
      <c r="U732" s="34" t="str">
        <f aca="false">IF(I732="","",IFERROR(INDEX(cat_ModG,MATCH(I732,cat_ModO,0)),"No"))</f>
        <v>No</v>
      </c>
      <c r="V732" s="34" t="str">
        <f aca="false">IF(J732="","SIN DATO",IFERROR(INDEX(cat_FunN,MATCH(J732,cat_FunO,0)),J732))</f>
        <v>Protección</v>
      </c>
      <c r="W732" s="34" t="str">
        <f aca="false">IF(OR(S732="SIN DATO",T732="SIN DATO"),"No","Sí")</f>
        <v>Sí</v>
      </c>
    </row>
    <row r="733" customFormat="false" ht="15" hidden="false" customHeight="false" outlineLevel="0" collapsed="false">
      <c r="A733" s="34" t="s">
        <v>2808</v>
      </c>
      <c r="B733" s="34" t="s">
        <v>2809</v>
      </c>
      <c r="C733" s="34" t="s">
        <v>2810</v>
      </c>
      <c r="D733" s="34" t="s">
        <v>2807</v>
      </c>
      <c r="E733" s="34" t="s">
        <v>109</v>
      </c>
      <c r="F733" s="34" t="s">
        <v>1602</v>
      </c>
      <c r="G733" s="34" t="s">
        <v>2431</v>
      </c>
      <c r="H733" s="34" t="s">
        <v>34</v>
      </c>
      <c r="I733" s="34" t="s">
        <v>36</v>
      </c>
      <c r="J733" s="34" t="s">
        <v>681</v>
      </c>
      <c r="K733" s="34" t="s">
        <v>229</v>
      </c>
      <c r="L733" s="34" t="s">
        <v>230</v>
      </c>
      <c r="M733" s="34" t="s">
        <v>682</v>
      </c>
      <c r="N733" s="34" t="str">
        <f aca="false">"Sector "&amp;VALUE(MID(D733,13,2))</f>
        <v>Sector 1</v>
      </c>
      <c r="O733" s="34" t="str">
        <f aca="false">IF(Dashboard!$C$5="Ubicación técnica",N733,"Sector "&amp;VALUE(RIGHT(G733,2)))</f>
        <v>Sector 1</v>
      </c>
      <c r="P733" s="34" t="str">
        <f aca="false">IF(MID(D733,15,3)="SEL","Subestación eléctrica","Área de proceso")</f>
        <v>Subestación eléctrica</v>
      </c>
      <c r="Q733" s="34" t="str">
        <f aca="false">MID(D733,13,5)&amp;"|"&amp;MID(D733,19,5)</f>
        <v>01SEL|S_012</v>
      </c>
      <c r="R733" s="34" t="str">
        <f aca="false">IF(P733="Subestación eléctrica",IFERROR(INDEX(cat_SubN,MATCH(Q733,cat_SubK,0)),"SIN CATALOGAR"),"ÁREA DE PROCESO")</f>
        <v>SE-12</v>
      </c>
      <c r="S733" s="34" t="str">
        <f aca="false">IF(H733="","SIN DATO",IFERROR(INDEX(cat_MarcaN,MATCH(H733,cat_MarcaO,0)),H733))</f>
        <v>ABB</v>
      </c>
      <c r="T733" s="34" t="str">
        <f aca="false">IF(I733="","SIN DATO",IFERROR(INDEX(cat_ModN,MATCH(I733,cat_ModO,0)),I733))</f>
        <v>1AFFAEAGNEC5BNA11G</v>
      </c>
      <c r="U733" s="34" t="str">
        <f aca="false">IF(I733="","",IFERROR(INDEX(cat_ModG,MATCH(I733,cat_ModO,0)),"No"))</f>
        <v>No</v>
      </c>
      <c r="V733" s="34" t="str">
        <f aca="false">IF(J733="","SIN DATO",IFERROR(INDEX(cat_FunN,MATCH(J733,cat_FunO,0)),J733))</f>
        <v>Protección</v>
      </c>
      <c r="W733" s="34" t="str">
        <f aca="false">IF(OR(S733="SIN DATO",T733="SIN DATO"),"No","Sí")</f>
        <v>Sí</v>
      </c>
    </row>
    <row r="734" customFormat="false" ht="15" hidden="false" customHeight="false" outlineLevel="0" collapsed="false">
      <c r="A734" s="34" t="s">
        <v>2811</v>
      </c>
      <c r="B734" s="34" t="s">
        <v>2812</v>
      </c>
      <c r="C734" s="34" t="s">
        <v>2813</v>
      </c>
      <c r="D734" s="34" t="s">
        <v>2807</v>
      </c>
      <c r="E734" s="34" t="s">
        <v>109</v>
      </c>
      <c r="F734" s="34" t="s">
        <v>1602</v>
      </c>
      <c r="G734" s="34" t="s">
        <v>2431</v>
      </c>
      <c r="H734" s="34" t="s">
        <v>34</v>
      </c>
      <c r="I734" s="34" t="s">
        <v>48</v>
      </c>
      <c r="J734" s="34" t="s">
        <v>228</v>
      </c>
      <c r="K734" s="34" t="s">
        <v>229</v>
      </c>
      <c r="L734" s="34" t="s">
        <v>230</v>
      </c>
      <c r="M734" s="34" t="s">
        <v>231</v>
      </c>
      <c r="N734" s="34" t="str">
        <f aca="false">"Sector "&amp;VALUE(MID(D734,13,2))</f>
        <v>Sector 1</v>
      </c>
      <c r="O734" s="34" t="str">
        <f aca="false">IF(Dashboard!$C$5="Ubicación técnica",N734,"Sector "&amp;VALUE(RIGHT(G734,2)))</f>
        <v>Sector 1</v>
      </c>
      <c r="P734" s="34" t="str">
        <f aca="false">IF(MID(D734,15,3)="SEL","Subestación eléctrica","Área de proceso")</f>
        <v>Subestación eléctrica</v>
      </c>
      <c r="Q734" s="34" t="str">
        <f aca="false">MID(D734,13,5)&amp;"|"&amp;MID(D734,19,5)</f>
        <v>01SEL|S_012</v>
      </c>
      <c r="R734" s="34" t="str">
        <f aca="false">IF(P734="Subestación eléctrica",IFERROR(INDEX(cat_SubN,MATCH(Q734,cat_SubK,0)),"SIN CATALOGAR"),"ÁREA DE PROCESO")</f>
        <v>SE-12</v>
      </c>
      <c r="S734" s="34" t="str">
        <f aca="false">IF(H734="","SIN DATO",IFERROR(INDEX(cat_MarcaN,MATCH(H734,cat_MarcaO,0)),H734))</f>
        <v>ABB</v>
      </c>
      <c r="T734" s="34" t="str">
        <f aca="false">IF(I734="","SIN DATO",IFERROR(INDEX(cat_ModN,MATCH(I734,cat_ModO,0)),I734))</f>
        <v>1AFNAEAGNEC5BNA11G</v>
      </c>
      <c r="U734" s="34" t="str">
        <f aca="false">IF(I734="","",IFERROR(INDEX(cat_ModG,MATCH(I734,cat_ModO,0)),"No"))</f>
        <v>No</v>
      </c>
      <c r="V734" s="34" t="str">
        <f aca="false">IF(J734="","SIN DATO",IFERROR(INDEX(cat_FunN,MATCH(J734,cat_FunO,0)),J734))</f>
        <v>Protección y medición</v>
      </c>
      <c r="W734" s="34" t="str">
        <f aca="false">IF(OR(S734="SIN DATO",T734="SIN DATO"),"No","Sí")</f>
        <v>Sí</v>
      </c>
    </row>
    <row r="735" customFormat="false" ht="15" hidden="false" customHeight="false" outlineLevel="0" collapsed="false">
      <c r="A735" s="34" t="s">
        <v>2814</v>
      </c>
      <c r="B735" s="34" t="s">
        <v>2815</v>
      </c>
      <c r="C735" s="34" t="s">
        <v>2816</v>
      </c>
      <c r="D735" s="34" t="s">
        <v>2807</v>
      </c>
      <c r="E735" s="34" t="s">
        <v>109</v>
      </c>
      <c r="F735" s="34" t="s">
        <v>1602</v>
      </c>
      <c r="G735" s="34" t="s">
        <v>2431</v>
      </c>
      <c r="H735" s="34" t="s">
        <v>55</v>
      </c>
      <c r="I735" s="34" t="s">
        <v>57</v>
      </c>
      <c r="J735" s="34" t="s">
        <v>58</v>
      </c>
      <c r="K735" s="34" t="s">
        <v>229</v>
      </c>
      <c r="L735" s="34" t="s">
        <v>230</v>
      </c>
      <c r="M735" s="34" t="s">
        <v>344</v>
      </c>
      <c r="N735" s="34" t="str">
        <f aca="false">"Sector "&amp;VALUE(MID(D735,13,2))</f>
        <v>Sector 1</v>
      </c>
      <c r="O735" s="34" t="str">
        <f aca="false">IF(Dashboard!$C$5="Ubicación técnica",N735,"Sector "&amp;VALUE(RIGHT(G735,2)))</f>
        <v>Sector 1</v>
      </c>
      <c r="P735" s="34" t="str">
        <f aca="false">IF(MID(D735,15,3)="SEL","Subestación eléctrica","Área de proceso")</f>
        <v>Subestación eléctrica</v>
      </c>
      <c r="Q735" s="34" t="str">
        <f aca="false">MID(D735,13,5)&amp;"|"&amp;MID(D735,19,5)</f>
        <v>01SEL|S_012</v>
      </c>
      <c r="R735" s="34" t="str">
        <f aca="false">IF(P735="Subestación eléctrica",IFERROR(INDEX(cat_SubN,MATCH(Q735,cat_SubK,0)),"SIN CATALOGAR"),"ÁREA DE PROCESO")</f>
        <v>SE-12</v>
      </c>
      <c r="S735" s="34" t="str">
        <f aca="false">IF(H735="","SIN DATO",IFERROR(INDEX(cat_MarcaN,MATCH(H735,cat_MarcaO,0)),H735))</f>
        <v>SEL</v>
      </c>
      <c r="T735" s="34" t="str">
        <f aca="false">IF(I735="","SIN DATO",IFERROR(INDEX(cat_ModN,MATCH(I735,cat_ModO,0)),I735))</f>
        <v>SEL-735</v>
      </c>
      <c r="U735" s="34" t="str">
        <f aca="false">IF(I735="","",IFERROR(INDEX(cat_ModG,MATCH(I735,cat_ModO,0)),"No"))</f>
        <v>No</v>
      </c>
      <c r="V735" s="34" t="str">
        <f aca="false">IF(J735="","SIN DATO",IFERROR(INDEX(cat_FunN,MATCH(J735,cat_FunO,0)),J735))</f>
        <v>Medición</v>
      </c>
      <c r="W735" s="34" t="str">
        <f aca="false">IF(OR(S735="SIN DATO",T735="SIN DATO"),"No","Sí")</f>
        <v>Sí</v>
      </c>
    </row>
    <row r="736" customFormat="false" ht="15" hidden="false" customHeight="false" outlineLevel="0" collapsed="false">
      <c r="A736" s="34" t="s">
        <v>2817</v>
      </c>
      <c r="B736" s="34" t="s">
        <v>2818</v>
      </c>
      <c r="C736" s="34" t="s">
        <v>2819</v>
      </c>
      <c r="D736" s="34" t="s">
        <v>2820</v>
      </c>
      <c r="E736" s="34" t="s">
        <v>109</v>
      </c>
      <c r="F736" s="34" t="s">
        <v>1602</v>
      </c>
      <c r="G736" s="34" t="s">
        <v>2431</v>
      </c>
      <c r="H736" s="34" t="s">
        <v>34</v>
      </c>
      <c r="I736" s="34" t="s">
        <v>36</v>
      </c>
      <c r="J736" s="34" t="s">
        <v>681</v>
      </c>
      <c r="K736" s="34" t="s">
        <v>229</v>
      </c>
      <c r="L736" s="34" t="s">
        <v>230</v>
      </c>
      <c r="M736" s="34" t="s">
        <v>682</v>
      </c>
      <c r="N736" s="34" t="str">
        <f aca="false">"Sector "&amp;VALUE(MID(D736,13,2))</f>
        <v>Sector 1</v>
      </c>
      <c r="O736" s="34" t="str">
        <f aca="false">IF(Dashboard!$C$5="Ubicación técnica",N736,"Sector "&amp;VALUE(RIGHT(G736,2)))</f>
        <v>Sector 1</v>
      </c>
      <c r="P736" s="34" t="str">
        <f aca="false">IF(MID(D736,15,3)="SEL","Subestación eléctrica","Área de proceso")</f>
        <v>Subestación eléctrica</v>
      </c>
      <c r="Q736" s="34" t="str">
        <f aca="false">MID(D736,13,5)&amp;"|"&amp;MID(D736,19,5)</f>
        <v>01SEL|S_012</v>
      </c>
      <c r="R736" s="34" t="str">
        <f aca="false">IF(P736="Subestación eléctrica",IFERROR(INDEX(cat_SubN,MATCH(Q736,cat_SubK,0)),"SIN CATALOGAR"),"ÁREA DE PROCESO")</f>
        <v>SE-12</v>
      </c>
      <c r="S736" s="34" t="str">
        <f aca="false">IF(H736="","SIN DATO",IFERROR(INDEX(cat_MarcaN,MATCH(H736,cat_MarcaO,0)),H736))</f>
        <v>ABB</v>
      </c>
      <c r="T736" s="34" t="str">
        <f aca="false">IF(I736="","SIN DATO",IFERROR(INDEX(cat_ModN,MATCH(I736,cat_ModO,0)),I736))</f>
        <v>1AFFAEAGNEC5BNA11G</v>
      </c>
      <c r="U736" s="34" t="str">
        <f aca="false">IF(I736="","",IFERROR(INDEX(cat_ModG,MATCH(I736,cat_ModO,0)),"No"))</f>
        <v>No</v>
      </c>
      <c r="V736" s="34" t="str">
        <f aca="false">IF(J736="","SIN DATO",IFERROR(INDEX(cat_FunN,MATCH(J736,cat_FunO,0)),J736))</f>
        <v>Protección</v>
      </c>
      <c r="W736" s="34" t="str">
        <f aca="false">IF(OR(S736="SIN DATO",T736="SIN DATO"),"No","Sí")</f>
        <v>Sí</v>
      </c>
    </row>
    <row r="737" customFormat="false" ht="15" hidden="false" customHeight="false" outlineLevel="0" collapsed="false">
      <c r="A737" s="34" t="s">
        <v>2821</v>
      </c>
      <c r="B737" s="34" t="s">
        <v>2822</v>
      </c>
      <c r="C737" s="34" t="s">
        <v>2823</v>
      </c>
      <c r="D737" s="34" t="s">
        <v>2820</v>
      </c>
      <c r="E737" s="34" t="s">
        <v>109</v>
      </c>
      <c r="F737" s="34" t="s">
        <v>1602</v>
      </c>
      <c r="G737" s="34" t="s">
        <v>2431</v>
      </c>
      <c r="H737" s="34" t="s">
        <v>34</v>
      </c>
      <c r="I737" s="34" t="s">
        <v>36</v>
      </c>
      <c r="J737" s="34" t="s">
        <v>228</v>
      </c>
      <c r="K737" s="34" t="s">
        <v>229</v>
      </c>
      <c r="L737" s="34" t="s">
        <v>230</v>
      </c>
      <c r="M737" s="34" t="s">
        <v>231</v>
      </c>
      <c r="N737" s="34" t="str">
        <f aca="false">"Sector "&amp;VALUE(MID(D737,13,2))</f>
        <v>Sector 1</v>
      </c>
      <c r="O737" s="34" t="str">
        <f aca="false">IF(Dashboard!$C$5="Ubicación técnica",N737,"Sector "&amp;VALUE(RIGHT(G737,2)))</f>
        <v>Sector 1</v>
      </c>
      <c r="P737" s="34" t="str">
        <f aca="false">IF(MID(D737,15,3)="SEL","Subestación eléctrica","Área de proceso")</f>
        <v>Subestación eléctrica</v>
      </c>
      <c r="Q737" s="34" t="str">
        <f aca="false">MID(D737,13,5)&amp;"|"&amp;MID(D737,19,5)</f>
        <v>01SEL|S_012</v>
      </c>
      <c r="R737" s="34" t="str">
        <f aca="false">IF(P737="Subestación eléctrica",IFERROR(INDEX(cat_SubN,MATCH(Q737,cat_SubK,0)),"SIN CATALOGAR"),"ÁREA DE PROCESO")</f>
        <v>SE-12</v>
      </c>
      <c r="S737" s="34" t="str">
        <f aca="false">IF(H737="","SIN DATO",IFERROR(INDEX(cat_MarcaN,MATCH(H737,cat_MarcaO,0)),H737))</f>
        <v>ABB</v>
      </c>
      <c r="T737" s="34" t="str">
        <f aca="false">IF(I737="","SIN DATO",IFERROR(INDEX(cat_ModN,MATCH(I737,cat_ModO,0)),I737))</f>
        <v>1AFFAEAGNEC5BNA11G</v>
      </c>
      <c r="U737" s="34" t="str">
        <f aca="false">IF(I737="","",IFERROR(INDEX(cat_ModG,MATCH(I737,cat_ModO,0)),"No"))</f>
        <v>No</v>
      </c>
      <c r="V737" s="34" t="str">
        <f aca="false">IF(J737="","SIN DATO",IFERROR(INDEX(cat_FunN,MATCH(J737,cat_FunO,0)),J737))</f>
        <v>Protección y medición</v>
      </c>
      <c r="W737" s="34" t="str">
        <f aca="false">IF(OR(S737="SIN DATO",T737="SIN DATO"),"No","Sí")</f>
        <v>Sí</v>
      </c>
    </row>
    <row r="738" customFormat="false" ht="15" hidden="false" customHeight="false" outlineLevel="0" collapsed="false">
      <c r="A738" s="34" t="s">
        <v>2824</v>
      </c>
      <c r="B738" s="34" t="s">
        <v>2825</v>
      </c>
      <c r="C738" s="34" t="s">
        <v>2826</v>
      </c>
      <c r="D738" s="34" t="s">
        <v>2827</v>
      </c>
      <c r="E738" s="34" t="s">
        <v>109</v>
      </c>
      <c r="F738" s="34" t="s">
        <v>1602</v>
      </c>
      <c r="G738" s="34" t="s">
        <v>2431</v>
      </c>
      <c r="H738" s="34" t="s">
        <v>34</v>
      </c>
      <c r="I738" s="34" t="s">
        <v>46</v>
      </c>
      <c r="J738" s="34" t="s">
        <v>228</v>
      </c>
      <c r="K738" s="34" t="s">
        <v>229</v>
      </c>
      <c r="L738" s="34" t="s">
        <v>230</v>
      </c>
      <c r="M738" s="34" t="s">
        <v>231</v>
      </c>
      <c r="N738" s="34" t="str">
        <f aca="false">"Sector "&amp;VALUE(MID(D738,13,2))</f>
        <v>Sector 1</v>
      </c>
      <c r="O738" s="34" t="str">
        <f aca="false">IF(Dashboard!$C$5="Ubicación técnica",N738,"Sector "&amp;VALUE(RIGHT(G738,2)))</f>
        <v>Sector 1</v>
      </c>
      <c r="P738" s="34" t="str">
        <f aca="false">IF(MID(D738,15,3)="SEL","Subestación eléctrica","Área de proceso")</f>
        <v>Subestación eléctrica</v>
      </c>
      <c r="Q738" s="34" t="str">
        <f aca="false">MID(D738,13,5)&amp;"|"&amp;MID(D738,19,5)</f>
        <v>01SEL|S_012</v>
      </c>
      <c r="R738" s="34" t="str">
        <f aca="false">IF(P738="Subestación eléctrica",IFERROR(INDEX(cat_SubN,MATCH(Q738,cat_SubK,0)),"SIN CATALOGAR"),"ÁREA DE PROCESO")</f>
        <v>SE-12</v>
      </c>
      <c r="S738" s="34" t="str">
        <f aca="false">IF(H738="","SIN DATO",IFERROR(INDEX(cat_MarcaN,MATCH(H738,cat_MarcaO,0)),H738))</f>
        <v>ABB</v>
      </c>
      <c r="T738" s="34" t="str">
        <f aca="false">IF(I738="","SIN DATO",IFERROR(INDEX(cat_ModN,MATCH(I738,cat_ModO,0)),I738))</f>
        <v>1ATBBABBNEC5BNN11G</v>
      </c>
      <c r="U738" s="34" t="str">
        <f aca="false">IF(I738="","",IFERROR(INDEX(cat_ModG,MATCH(I738,cat_ModO,0)),"No"))</f>
        <v>No</v>
      </c>
      <c r="V738" s="34" t="str">
        <f aca="false">IF(J738="","SIN DATO",IFERROR(INDEX(cat_FunN,MATCH(J738,cat_FunO,0)),J738))</f>
        <v>Protección y medición</v>
      </c>
      <c r="W738" s="34" t="str">
        <f aca="false">IF(OR(S738="SIN DATO",T738="SIN DATO"),"No","Sí")</f>
        <v>Sí</v>
      </c>
    </row>
    <row r="739" customFormat="false" ht="15" hidden="false" customHeight="false" outlineLevel="0" collapsed="false">
      <c r="A739" s="34" t="s">
        <v>2828</v>
      </c>
      <c r="B739" s="34" t="s">
        <v>2829</v>
      </c>
      <c r="C739" s="34" t="s">
        <v>2830</v>
      </c>
      <c r="D739" s="34" t="s">
        <v>2827</v>
      </c>
      <c r="E739" s="34" t="s">
        <v>109</v>
      </c>
      <c r="F739" s="34" t="s">
        <v>1602</v>
      </c>
      <c r="G739" s="34" t="s">
        <v>2431</v>
      </c>
      <c r="H739" s="34" t="s">
        <v>34</v>
      </c>
      <c r="I739" s="34" t="s">
        <v>36</v>
      </c>
      <c r="J739" s="34" t="s">
        <v>681</v>
      </c>
      <c r="K739" s="34" t="s">
        <v>229</v>
      </c>
      <c r="L739" s="34" t="s">
        <v>230</v>
      </c>
      <c r="M739" s="34" t="s">
        <v>682</v>
      </c>
      <c r="N739" s="34" t="str">
        <f aca="false">"Sector "&amp;VALUE(MID(D739,13,2))</f>
        <v>Sector 1</v>
      </c>
      <c r="O739" s="34" t="str">
        <f aca="false">IF(Dashboard!$C$5="Ubicación técnica",N739,"Sector "&amp;VALUE(RIGHT(G739,2)))</f>
        <v>Sector 1</v>
      </c>
      <c r="P739" s="34" t="str">
        <f aca="false">IF(MID(D739,15,3)="SEL","Subestación eléctrica","Área de proceso")</f>
        <v>Subestación eléctrica</v>
      </c>
      <c r="Q739" s="34" t="str">
        <f aca="false">MID(D739,13,5)&amp;"|"&amp;MID(D739,19,5)</f>
        <v>01SEL|S_012</v>
      </c>
      <c r="R739" s="34" t="str">
        <f aca="false">IF(P739="Subestación eléctrica",IFERROR(INDEX(cat_SubN,MATCH(Q739,cat_SubK,0)),"SIN CATALOGAR"),"ÁREA DE PROCESO")</f>
        <v>SE-12</v>
      </c>
      <c r="S739" s="34" t="str">
        <f aca="false">IF(H739="","SIN DATO",IFERROR(INDEX(cat_MarcaN,MATCH(H739,cat_MarcaO,0)),H739))</f>
        <v>ABB</v>
      </c>
      <c r="T739" s="34" t="str">
        <f aca="false">IF(I739="","SIN DATO",IFERROR(INDEX(cat_ModN,MATCH(I739,cat_ModO,0)),I739))</f>
        <v>1AFFAEAGNEC5BNA11G</v>
      </c>
      <c r="U739" s="34" t="str">
        <f aca="false">IF(I739="","",IFERROR(INDEX(cat_ModG,MATCH(I739,cat_ModO,0)),"No"))</f>
        <v>No</v>
      </c>
      <c r="V739" s="34" t="str">
        <f aca="false">IF(J739="","SIN DATO",IFERROR(INDEX(cat_FunN,MATCH(J739,cat_FunO,0)),J739))</f>
        <v>Protección</v>
      </c>
      <c r="W739" s="34" t="str">
        <f aca="false">IF(OR(S739="SIN DATO",T739="SIN DATO"),"No","Sí")</f>
        <v>Sí</v>
      </c>
    </row>
    <row r="740" customFormat="false" ht="15" hidden="false" customHeight="false" outlineLevel="0" collapsed="false">
      <c r="A740" s="34" t="s">
        <v>2831</v>
      </c>
      <c r="B740" s="34" t="s">
        <v>2832</v>
      </c>
      <c r="C740" s="34" t="s">
        <v>2833</v>
      </c>
      <c r="D740" s="34" t="s">
        <v>2827</v>
      </c>
      <c r="E740" s="34" t="s">
        <v>109</v>
      </c>
      <c r="F740" s="34" t="s">
        <v>1602</v>
      </c>
      <c r="G740" s="34" t="s">
        <v>2431</v>
      </c>
      <c r="H740" s="34" t="s">
        <v>34</v>
      </c>
      <c r="I740" s="34" t="s">
        <v>36</v>
      </c>
      <c r="J740" s="34" t="s">
        <v>681</v>
      </c>
      <c r="K740" s="34" t="s">
        <v>229</v>
      </c>
      <c r="L740" s="34" t="s">
        <v>230</v>
      </c>
      <c r="M740" s="34" t="s">
        <v>682</v>
      </c>
      <c r="N740" s="34" t="str">
        <f aca="false">"Sector "&amp;VALUE(MID(D740,13,2))</f>
        <v>Sector 1</v>
      </c>
      <c r="O740" s="34" t="str">
        <f aca="false">IF(Dashboard!$C$5="Ubicación técnica",N740,"Sector "&amp;VALUE(RIGHT(G740,2)))</f>
        <v>Sector 1</v>
      </c>
      <c r="P740" s="34" t="str">
        <f aca="false">IF(MID(D740,15,3)="SEL","Subestación eléctrica","Área de proceso")</f>
        <v>Subestación eléctrica</v>
      </c>
      <c r="Q740" s="34" t="str">
        <f aca="false">MID(D740,13,5)&amp;"|"&amp;MID(D740,19,5)</f>
        <v>01SEL|S_012</v>
      </c>
      <c r="R740" s="34" t="str">
        <f aca="false">IF(P740="Subestación eléctrica",IFERROR(INDEX(cat_SubN,MATCH(Q740,cat_SubK,0)),"SIN CATALOGAR"),"ÁREA DE PROCESO")</f>
        <v>SE-12</v>
      </c>
      <c r="S740" s="34" t="str">
        <f aca="false">IF(H740="","SIN DATO",IFERROR(INDEX(cat_MarcaN,MATCH(H740,cat_MarcaO,0)),H740))</f>
        <v>ABB</v>
      </c>
      <c r="T740" s="34" t="str">
        <f aca="false">IF(I740="","SIN DATO",IFERROR(INDEX(cat_ModN,MATCH(I740,cat_ModO,0)),I740))</f>
        <v>1AFFAEAGNEC5BNA11G</v>
      </c>
      <c r="U740" s="34" t="str">
        <f aca="false">IF(I740="","",IFERROR(INDEX(cat_ModG,MATCH(I740,cat_ModO,0)),"No"))</f>
        <v>No</v>
      </c>
      <c r="V740" s="34" t="str">
        <f aca="false">IF(J740="","SIN DATO",IFERROR(INDEX(cat_FunN,MATCH(J740,cat_FunO,0)),J740))</f>
        <v>Protección</v>
      </c>
      <c r="W740" s="34" t="str">
        <f aca="false">IF(OR(S740="SIN DATO",T740="SIN DATO"),"No","Sí")</f>
        <v>Sí</v>
      </c>
    </row>
    <row r="741" customFormat="false" ht="15" hidden="false" customHeight="false" outlineLevel="0" collapsed="false">
      <c r="A741" s="34" t="s">
        <v>2834</v>
      </c>
      <c r="B741" s="34" t="s">
        <v>2835</v>
      </c>
      <c r="C741" s="34" t="s">
        <v>2836</v>
      </c>
      <c r="D741" s="34" t="s">
        <v>2827</v>
      </c>
      <c r="E741" s="34" t="s">
        <v>109</v>
      </c>
      <c r="F741" s="34" t="s">
        <v>1602</v>
      </c>
      <c r="G741" s="34" t="s">
        <v>2431</v>
      </c>
      <c r="H741" s="34" t="s">
        <v>34</v>
      </c>
      <c r="I741" s="34" t="s">
        <v>36</v>
      </c>
      <c r="J741" s="34" t="s">
        <v>228</v>
      </c>
      <c r="K741" s="34" t="s">
        <v>229</v>
      </c>
      <c r="L741" s="34" t="s">
        <v>230</v>
      </c>
      <c r="M741" s="34" t="s">
        <v>231</v>
      </c>
      <c r="N741" s="34" t="str">
        <f aca="false">"Sector "&amp;VALUE(MID(D741,13,2))</f>
        <v>Sector 1</v>
      </c>
      <c r="O741" s="34" t="str">
        <f aca="false">IF(Dashboard!$C$5="Ubicación técnica",N741,"Sector "&amp;VALUE(RIGHT(G741,2)))</f>
        <v>Sector 1</v>
      </c>
      <c r="P741" s="34" t="str">
        <f aca="false">IF(MID(D741,15,3)="SEL","Subestación eléctrica","Área de proceso")</f>
        <v>Subestación eléctrica</v>
      </c>
      <c r="Q741" s="34" t="str">
        <f aca="false">MID(D741,13,5)&amp;"|"&amp;MID(D741,19,5)</f>
        <v>01SEL|S_012</v>
      </c>
      <c r="R741" s="34" t="str">
        <f aca="false">IF(P741="Subestación eléctrica",IFERROR(INDEX(cat_SubN,MATCH(Q741,cat_SubK,0)),"SIN CATALOGAR"),"ÁREA DE PROCESO")</f>
        <v>SE-12</v>
      </c>
      <c r="S741" s="34" t="str">
        <f aca="false">IF(H741="","SIN DATO",IFERROR(INDEX(cat_MarcaN,MATCH(H741,cat_MarcaO,0)),H741))</f>
        <v>ABB</v>
      </c>
      <c r="T741" s="34" t="str">
        <f aca="false">IF(I741="","SIN DATO",IFERROR(INDEX(cat_ModN,MATCH(I741,cat_ModO,0)),I741))</f>
        <v>1AFFAEAGNEC5BNA11G</v>
      </c>
      <c r="U741" s="34" t="str">
        <f aca="false">IF(I741="","",IFERROR(INDEX(cat_ModG,MATCH(I741,cat_ModO,0)),"No"))</f>
        <v>No</v>
      </c>
      <c r="V741" s="34" t="str">
        <f aca="false">IF(J741="","SIN DATO",IFERROR(INDEX(cat_FunN,MATCH(J741,cat_FunO,0)),J741))</f>
        <v>Protección y medición</v>
      </c>
      <c r="W741" s="34" t="str">
        <f aca="false">IF(OR(S741="SIN DATO",T741="SIN DATO"),"No","Sí")</f>
        <v>Sí</v>
      </c>
    </row>
    <row r="742" customFormat="false" ht="15" hidden="false" customHeight="false" outlineLevel="0" collapsed="false">
      <c r="A742" s="34" t="s">
        <v>2837</v>
      </c>
      <c r="B742" s="34" t="s">
        <v>2667</v>
      </c>
      <c r="C742" s="34" t="s">
        <v>2668</v>
      </c>
      <c r="D742" s="34" t="s">
        <v>2769</v>
      </c>
      <c r="E742" s="34" t="s">
        <v>109</v>
      </c>
      <c r="F742" s="34" t="s">
        <v>1602</v>
      </c>
      <c r="G742" s="34" t="s">
        <v>2431</v>
      </c>
      <c r="H742" s="34" t="s">
        <v>34</v>
      </c>
      <c r="I742" s="34" t="s">
        <v>36</v>
      </c>
      <c r="J742" s="34" t="s">
        <v>681</v>
      </c>
      <c r="K742" s="34" t="s">
        <v>229</v>
      </c>
      <c r="L742" s="34" t="s">
        <v>230</v>
      </c>
      <c r="M742" s="34" t="s">
        <v>682</v>
      </c>
      <c r="N742" s="34" t="str">
        <f aca="false">"Sector "&amp;VALUE(MID(D742,13,2))</f>
        <v>Sector 1</v>
      </c>
      <c r="O742" s="34" t="str">
        <f aca="false">IF(Dashboard!$C$5="Ubicación técnica",N742,"Sector "&amp;VALUE(RIGHT(G742,2)))</f>
        <v>Sector 1</v>
      </c>
      <c r="P742" s="34" t="str">
        <f aca="false">IF(MID(D742,15,3)="SEL","Subestación eléctrica","Área de proceso")</f>
        <v>Subestación eléctrica</v>
      </c>
      <c r="Q742" s="34" t="str">
        <f aca="false">MID(D742,13,5)&amp;"|"&amp;MID(D742,19,5)</f>
        <v>01SEL|S_012</v>
      </c>
      <c r="R742" s="34" t="str">
        <f aca="false">IF(P742="Subestación eléctrica",IFERROR(INDEX(cat_SubN,MATCH(Q742,cat_SubK,0)),"SIN CATALOGAR"),"ÁREA DE PROCESO")</f>
        <v>SE-12</v>
      </c>
      <c r="S742" s="34" t="str">
        <f aca="false">IF(H742="","SIN DATO",IFERROR(INDEX(cat_MarcaN,MATCH(H742,cat_MarcaO,0)),H742))</f>
        <v>ABB</v>
      </c>
      <c r="T742" s="34" t="str">
        <f aca="false">IF(I742="","SIN DATO",IFERROR(INDEX(cat_ModN,MATCH(I742,cat_ModO,0)),I742))</f>
        <v>1AFFAEAGNEC5BNA11G</v>
      </c>
      <c r="U742" s="34" t="str">
        <f aca="false">IF(I742="","",IFERROR(INDEX(cat_ModG,MATCH(I742,cat_ModO,0)),"No"))</f>
        <v>No</v>
      </c>
      <c r="V742" s="34" t="str">
        <f aca="false">IF(J742="","SIN DATO",IFERROR(INDEX(cat_FunN,MATCH(J742,cat_FunO,0)),J742))</f>
        <v>Protección</v>
      </c>
      <c r="W742" s="34" t="str">
        <f aca="false">IF(OR(S742="SIN DATO",T742="SIN DATO"),"No","Sí")</f>
        <v>Sí</v>
      </c>
    </row>
    <row r="743" customFormat="false" ht="15" hidden="false" customHeight="false" outlineLevel="0" collapsed="false">
      <c r="A743" s="34" t="s">
        <v>2838</v>
      </c>
      <c r="B743" s="34" t="s">
        <v>2839</v>
      </c>
      <c r="C743" s="34" t="s">
        <v>2840</v>
      </c>
      <c r="D743" s="34" t="s">
        <v>2841</v>
      </c>
      <c r="E743" s="34" t="s">
        <v>138</v>
      </c>
      <c r="F743" s="34" t="s">
        <v>1602</v>
      </c>
      <c r="G743" s="34" t="s">
        <v>300</v>
      </c>
      <c r="H743" s="34" t="s">
        <v>55</v>
      </c>
      <c r="I743" s="34" t="s">
        <v>57</v>
      </c>
      <c r="J743" s="34" t="s">
        <v>2842</v>
      </c>
      <c r="K743" s="34" t="s">
        <v>236</v>
      </c>
      <c r="L743" s="34" t="s">
        <v>230</v>
      </c>
      <c r="M743" s="34" t="s">
        <v>344</v>
      </c>
      <c r="N743" s="34" t="str">
        <f aca="false">"Sector "&amp;VALUE(MID(D743,13,2))</f>
        <v>Sector 6</v>
      </c>
      <c r="O743" s="34" t="str">
        <f aca="false">IF(Dashboard!$C$5="Ubicación técnica",N743,"Sector "&amp;VALUE(RIGHT(G743,2)))</f>
        <v>Sector 6</v>
      </c>
      <c r="P743" s="34" t="str">
        <f aca="false">IF(MID(D743,15,3)="SEL","Subestación eléctrica","Área de proceso")</f>
        <v>Subestación eléctrica</v>
      </c>
      <c r="Q743" s="34" t="str">
        <f aca="false">MID(D743,13,5)&amp;"|"&amp;MID(D743,19,5)</f>
        <v>06SEL|S_002</v>
      </c>
      <c r="R743" s="34" t="str">
        <f aca="false">IF(P743="Subestación eléctrica",IFERROR(INDEX(cat_SubN,MATCH(Q743,cat_SubK,0)),"SIN CATALOGAR"),"ÁREA DE PROCESO")</f>
        <v>SE-02</v>
      </c>
      <c r="S743" s="34" t="str">
        <f aca="false">IF(H743="","SIN DATO",IFERROR(INDEX(cat_MarcaN,MATCH(H743,cat_MarcaO,0)),H743))</f>
        <v>SEL</v>
      </c>
      <c r="T743" s="34" t="str">
        <f aca="false">IF(I743="","SIN DATO",IFERROR(INDEX(cat_ModN,MATCH(I743,cat_ModO,0)),I743))</f>
        <v>SEL-735</v>
      </c>
      <c r="U743" s="34" t="str">
        <f aca="false">IF(I743="","",IFERROR(INDEX(cat_ModG,MATCH(I743,cat_ModO,0)),"No"))</f>
        <v>No</v>
      </c>
      <c r="V743" s="34" t="str">
        <f aca="false">IF(J743="","SIN DATO",IFERROR(INDEX(cat_FunN,MATCH(J743,cat_FunO,0)),J743))</f>
        <v>Multimedidor</v>
      </c>
      <c r="W743" s="34" t="str">
        <f aca="false">IF(OR(S743="SIN DATO",T743="SIN DATO"),"No","Sí")</f>
        <v>Sí</v>
      </c>
    </row>
    <row r="744" customFormat="false" ht="15" hidden="false" customHeight="false" outlineLevel="0" collapsed="false">
      <c r="A744" s="34" t="s">
        <v>2843</v>
      </c>
      <c r="B744" s="34" t="s">
        <v>2844</v>
      </c>
      <c r="C744" s="34" t="s">
        <v>2845</v>
      </c>
      <c r="D744" s="34" t="s">
        <v>2846</v>
      </c>
      <c r="E744" s="34" t="s">
        <v>138</v>
      </c>
      <c r="F744" s="34" t="s">
        <v>1602</v>
      </c>
      <c r="G744" s="34" t="s">
        <v>300</v>
      </c>
      <c r="H744" s="34" t="s">
        <v>55</v>
      </c>
      <c r="I744" s="34" t="s">
        <v>57</v>
      </c>
      <c r="J744" s="34" t="s">
        <v>2842</v>
      </c>
      <c r="K744" s="34" t="s">
        <v>236</v>
      </c>
      <c r="L744" s="34" t="s">
        <v>230</v>
      </c>
      <c r="M744" s="34" t="s">
        <v>344</v>
      </c>
      <c r="N744" s="34" t="str">
        <f aca="false">"Sector "&amp;VALUE(MID(D744,13,2))</f>
        <v>Sector 6</v>
      </c>
      <c r="O744" s="34" t="str">
        <f aca="false">IF(Dashboard!$C$5="Ubicación técnica",N744,"Sector "&amp;VALUE(RIGHT(G744,2)))</f>
        <v>Sector 6</v>
      </c>
      <c r="P744" s="34" t="str">
        <f aca="false">IF(MID(D744,15,3)="SEL","Subestación eléctrica","Área de proceso")</f>
        <v>Subestación eléctrica</v>
      </c>
      <c r="Q744" s="34" t="str">
        <f aca="false">MID(D744,13,5)&amp;"|"&amp;MID(D744,19,5)</f>
        <v>06SEL|S_002</v>
      </c>
      <c r="R744" s="34" t="str">
        <f aca="false">IF(P744="Subestación eléctrica",IFERROR(INDEX(cat_SubN,MATCH(Q744,cat_SubK,0)),"SIN CATALOGAR"),"ÁREA DE PROCESO")</f>
        <v>SE-02</v>
      </c>
      <c r="S744" s="34" t="str">
        <f aca="false">IF(H744="","SIN DATO",IFERROR(INDEX(cat_MarcaN,MATCH(H744,cat_MarcaO,0)),H744))</f>
        <v>SEL</v>
      </c>
      <c r="T744" s="34" t="str">
        <f aca="false">IF(I744="","SIN DATO",IFERROR(INDEX(cat_ModN,MATCH(I744,cat_ModO,0)),I744))</f>
        <v>SEL-735</v>
      </c>
      <c r="U744" s="34" t="str">
        <f aca="false">IF(I744="","",IFERROR(INDEX(cat_ModG,MATCH(I744,cat_ModO,0)),"No"))</f>
        <v>No</v>
      </c>
      <c r="V744" s="34" t="str">
        <f aca="false">IF(J744="","SIN DATO",IFERROR(INDEX(cat_FunN,MATCH(J744,cat_FunO,0)),J744))</f>
        <v>Multimedidor</v>
      </c>
      <c r="W744" s="34" t="str">
        <f aca="false">IF(OR(S744="SIN DATO",T744="SIN DATO"),"No","Sí")</f>
        <v>Sí</v>
      </c>
    </row>
    <row r="745" customFormat="false" ht="15" hidden="false" customHeight="false" outlineLevel="0" collapsed="false">
      <c r="A745" s="34" t="s">
        <v>2847</v>
      </c>
      <c r="B745" s="34" t="s">
        <v>2848</v>
      </c>
      <c r="C745" s="34" t="s">
        <v>2849</v>
      </c>
      <c r="D745" s="34" t="s">
        <v>2850</v>
      </c>
      <c r="E745" s="34" t="s">
        <v>142</v>
      </c>
      <c r="F745" s="34" t="s">
        <v>1602</v>
      </c>
      <c r="G745" s="34" t="s">
        <v>300</v>
      </c>
      <c r="H745" s="34" t="s">
        <v>55</v>
      </c>
      <c r="I745" s="34" t="s">
        <v>2146</v>
      </c>
      <c r="J745" s="34" t="s">
        <v>2842</v>
      </c>
      <c r="K745" s="34" t="s">
        <v>236</v>
      </c>
      <c r="L745" s="34" t="s">
        <v>230</v>
      </c>
      <c r="M745" s="34" t="s">
        <v>344</v>
      </c>
      <c r="N745" s="34" t="str">
        <f aca="false">"Sector "&amp;VALUE(MID(D745,13,2))</f>
        <v>Sector 6</v>
      </c>
      <c r="O745" s="34" t="str">
        <f aca="false">IF(Dashboard!$C$5="Ubicación técnica",N745,"Sector "&amp;VALUE(RIGHT(G745,2)))</f>
        <v>Sector 6</v>
      </c>
      <c r="P745" s="34" t="str">
        <f aca="false">IF(MID(D745,15,3)="SEL","Subestación eléctrica","Área de proceso")</f>
        <v>Subestación eléctrica</v>
      </c>
      <c r="Q745" s="34" t="str">
        <f aca="false">MID(D745,13,5)&amp;"|"&amp;MID(D745,19,5)</f>
        <v>06SEL|S_009</v>
      </c>
      <c r="R745" s="34" t="str">
        <f aca="false">IF(P745="Subestación eléctrica",IFERROR(INDEX(cat_SubN,MATCH(Q745,cat_SubK,0)),"SIN CATALOGAR"),"ÁREA DE PROCESO")</f>
        <v>SE-09</v>
      </c>
      <c r="S745" s="34" t="str">
        <f aca="false">IF(H745="","SIN DATO",IFERROR(INDEX(cat_MarcaN,MATCH(H745,cat_MarcaO,0)),H745))</f>
        <v>SEL</v>
      </c>
      <c r="T745" s="34" t="str">
        <f aca="false">IF(I745="","SIN DATO",IFERROR(INDEX(cat_ModN,MATCH(I745,cat_ModO,0)),I745))</f>
        <v>SEL-735</v>
      </c>
      <c r="U745" s="34" t="str">
        <f aca="false">IF(I745="","",IFERROR(INDEX(cat_ModG,MATCH(I745,cat_ModO,0)),"No"))</f>
        <v>No</v>
      </c>
      <c r="V745" s="34" t="str">
        <f aca="false">IF(J745="","SIN DATO",IFERROR(INDEX(cat_FunN,MATCH(J745,cat_FunO,0)),J745))</f>
        <v>Multimedidor</v>
      </c>
      <c r="W745" s="34" t="str">
        <f aca="false">IF(OR(S745="SIN DATO",T745="SIN DATO"),"No","Sí")</f>
        <v>Sí</v>
      </c>
    </row>
    <row r="746" customFormat="false" ht="15" hidden="false" customHeight="false" outlineLevel="0" collapsed="false">
      <c r="A746" s="34" t="s">
        <v>2851</v>
      </c>
      <c r="B746" s="34" t="s">
        <v>2852</v>
      </c>
      <c r="C746" s="34" t="s">
        <v>2853</v>
      </c>
      <c r="D746" s="34" t="s">
        <v>2854</v>
      </c>
      <c r="E746" s="34" t="s">
        <v>142</v>
      </c>
      <c r="F746" s="34" t="s">
        <v>1602</v>
      </c>
      <c r="G746" s="34" t="s">
        <v>300</v>
      </c>
      <c r="H746" s="34" t="s">
        <v>55</v>
      </c>
      <c r="I746" s="34" t="s">
        <v>2146</v>
      </c>
      <c r="J746" s="34" t="s">
        <v>2842</v>
      </c>
      <c r="K746" s="34" t="s">
        <v>236</v>
      </c>
      <c r="L746" s="34" t="s">
        <v>230</v>
      </c>
      <c r="M746" s="34" t="s">
        <v>344</v>
      </c>
      <c r="N746" s="34" t="str">
        <f aca="false">"Sector "&amp;VALUE(MID(D746,13,2))</f>
        <v>Sector 6</v>
      </c>
      <c r="O746" s="34" t="str">
        <f aca="false">IF(Dashboard!$C$5="Ubicación técnica",N746,"Sector "&amp;VALUE(RIGHT(G746,2)))</f>
        <v>Sector 6</v>
      </c>
      <c r="P746" s="34" t="str">
        <f aca="false">IF(MID(D746,15,3)="SEL","Subestación eléctrica","Área de proceso")</f>
        <v>Subestación eléctrica</v>
      </c>
      <c r="Q746" s="34" t="str">
        <f aca="false">MID(D746,13,5)&amp;"|"&amp;MID(D746,19,5)</f>
        <v>06SEL|S_009</v>
      </c>
      <c r="R746" s="34" t="str">
        <f aca="false">IF(P746="Subestación eléctrica",IFERROR(INDEX(cat_SubN,MATCH(Q746,cat_SubK,0)),"SIN CATALOGAR"),"ÁREA DE PROCESO")</f>
        <v>SE-09</v>
      </c>
      <c r="S746" s="34" t="str">
        <f aca="false">IF(H746="","SIN DATO",IFERROR(INDEX(cat_MarcaN,MATCH(H746,cat_MarcaO,0)),H746))</f>
        <v>SEL</v>
      </c>
      <c r="T746" s="34" t="str">
        <f aca="false">IF(I746="","SIN DATO",IFERROR(INDEX(cat_ModN,MATCH(I746,cat_ModO,0)),I746))</f>
        <v>SEL-735</v>
      </c>
      <c r="U746" s="34" t="str">
        <f aca="false">IF(I746="","",IFERROR(INDEX(cat_ModG,MATCH(I746,cat_ModO,0)),"No"))</f>
        <v>No</v>
      </c>
      <c r="V746" s="34" t="str">
        <f aca="false">IF(J746="","SIN DATO",IFERROR(INDEX(cat_FunN,MATCH(J746,cat_FunO,0)),J746))</f>
        <v>Multimedidor</v>
      </c>
      <c r="W746" s="34" t="str">
        <f aca="false">IF(OR(S746="SIN DATO",T746="SIN DATO"),"No","Sí")</f>
        <v>Sí</v>
      </c>
    </row>
    <row r="747" customFormat="false" ht="15" hidden="false" customHeight="false" outlineLevel="0" collapsed="false">
      <c r="A747" s="34" t="s">
        <v>2855</v>
      </c>
      <c r="B747" s="34" t="s">
        <v>2856</v>
      </c>
      <c r="C747" s="34" t="s">
        <v>2857</v>
      </c>
      <c r="D747" s="34" t="s">
        <v>2858</v>
      </c>
      <c r="E747" s="34" t="s">
        <v>138</v>
      </c>
      <c r="F747" s="34" t="s">
        <v>1602</v>
      </c>
      <c r="G747" s="34" t="s">
        <v>300</v>
      </c>
      <c r="H747" s="34" t="s">
        <v>55</v>
      </c>
      <c r="I747" s="34" t="s">
        <v>57</v>
      </c>
      <c r="J747" s="34" t="s">
        <v>2842</v>
      </c>
      <c r="K747" s="34" t="s">
        <v>236</v>
      </c>
      <c r="L747" s="34" t="s">
        <v>230</v>
      </c>
      <c r="M747" s="34" t="s">
        <v>344</v>
      </c>
      <c r="N747" s="34" t="str">
        <f aca="false">"Sector "&amp;VALUE(MID(D747,13,2))</f>
        <v>Sector 6</v>
      </c>
      <c r="O747" s="34" t="str">
        <f aca="false">IF(Dashboard!$C$5="Ubicación técnica",N747,"Sector "&amp;VALUE(RIGHT(G747,2)))</f>
        <v>Sector 6</v>
      </c>
      <c r="P747" s="34" t="str">
        <f aca="false">IF(MID(D747,15,3)="SEL","Subestación eléctrica","Área de proceso")</f>
        <v>Subestación eléctrica</v>
      </c>
      <c r="Q747" s="34" t="str">
        <f aca="false">MID(D747,13,5)&amp;"|"&amp;MID(D747,19,5)</f>
        <v>06SEL|S_002</v>
      </c>
      <c r="R747" s="34" t="str">
        <f aca="false">IF(P747="Subestación eléctrica",IFERROR(INDEX(cat_SubN,MATCH(Q747,cat_SubK,0)),"SIN CATALOGAR"),"ÁREA DE PROCESO")</f>
        <v>SE-02</v>
      </c>
      <c r="S747" s="34" t="str">
        <f aca="false">IF(H747="","SIN DATO",IFERROR(INDEX(cat_MarcaN,MATCH(H747,cat_MarcaO,0)),H747))</f>
        <v>SEL</v>
      </c>
      <c r="T747" s="34" t="str">
        <f aca="false">IF(I747="","SIN DATO",IFERROR(INDEX(cat_ModN,MATCH(I747,cat_ModO,0)),I747))</f>
        <v>SEL-735</v>
      </c>
      <c r="U747" s="34" t="str">
        <f aca="false">IF(I747="","",IFERROR(INDEX(cat_ModG,MATCH(I747,cat_ModO,0)),"No"))</f>
        <v>No</v>
      </c>
      <c r="V747" s="34" t="str">
        <f aca="false">IF(J747="","SIN DATO",IFERROR(INDEX(cat_FunN,MATCH(J747,cat_FunO,0)),J747))</f>
        <v>Multimedidor</v>
      </c>
      <c r="W747" s="34" t="str">
        <f aca="false">IF(OR(S747="SIN DATO",T747="SIN DATO"),"No","Sí")</f>
        <v>Sí</v>
      </c>
    </row>
    <row r="748" customFormat="false" ht="15" hidden="false" customHeight="false" outlineLevel="0" collapsed="false">
      <c r="A748" s="34" t="s">
        <v>2859</v>
      </c>
      <c r="B748" s="34" t="s">
        <v>2860</v>
      </c>
      <c r="C748" s="34" t="s">
        <v>2861</v>
      </c>
      <c r="D748" s="34" t="s">
        <v>2862</v>
      </c>
      <c r="E748" s="34" t="s">
        <v>138</v>
      </c>
      <c r="F748" s="34" t="s">
        <v>1602</v>
      </c>
      <c r="G748" s="34" t="s">
        <v>300</v>
      </c>
      <c r="H748" s="34" t="s">
        <v>55</v>
      </c>
      <c r="I748" s="34" t="s">
        <v>57</v>
      </c>
      <c r="J748" s="34" t="s">
        <v>2842</v>
      </c>
      <c r="K748" s="34" t="s">
        <v>236</v>
      </c>
      <c r="L748" s="34" t="s">
        <v>230</v>
      </c>
      <c r="M748" s="34" t="s">
        <v>344</v>
      </c>
      <c r="N748" s="34" t="str">
        <f aca="false">"Sector "&amp;VALUE(MID(D748,13,2))</f>
        <v>Sector 6</v>
      </c>
      <c r="O748" s="34" t="str">
        <f aca="false">IF(Dashboard!$C$5="Ubicación técnica",N748,"Sector "&amp;VALUE(RIGHT(G748,2)))</f>
        <v>Sector 6</v>
      </c>
      <c r="P748" s="34" t="str">
        <f aca="false">IF(MID(D748,15,3)="SEL","Subestación eléctrica","Área de proceso")</f>
        <v>Subestación eléctrica</v>
      </c>
      <c r="Q748" s="34" t="str">
        <f aca="false">MID(D748,13,5)&amp;"|"&amp;MID(D748,19,5)</f>
        <v>06SEL|S_002</v>
      </c>
      <c r="R748" s="34" t="str">
        <f aca="false">IF(P748="Subestación eléctrica",IFERROR(INDEX(cat_SubN,MATCH(Q748,cat_SubK,0)),"SIN CATALOGAR"),"ÁREA DE PROCESO")</f>
        <v>SE-02</v>
      </c>
      <c r="S748" s="34" t="str">
        <f aca="false">IF(H748="","SIN DATO",IFERROR(INDEX(cat_MarcaN,MATCH(H748,cat_MarcaO,0)),H748))</f>
        <v>SEL</v>
      </c>
      <c r="T748" s="34" t="str">
        <f aca="false">IF(I748="","SIN DATO",IFERROR(INDEX(cat_ModN,MATCH(I748,cat_ModO,0)),I748))</f>
        <v>SEL-735</v>
      </c>
      <c r="U748" s="34" t="str">
        <f aca="false">IF(I748="","",IFERROR(INDEX(cat_ModG,MATCH(I748,cat_ModO,0)),"No"))</f>
        <v>No</v>
      </c>
      <c r="V748" s="34" t="str">
        <f aca="false">IF(J748="","SIN DATO",IFERROR(INDEX(cat_FunN,MATCH(J748,cat_FunO,0)),J748))</f>
        <v>Multimedidor</v>
      </c>
      <c r="W748" s="34" t="str">
        <f aca="false">IF(OR(S748="SIN DATO",T748="SIN DATO"),"No","Sí")</f>
        <v>Sí</v>
      </c>
    </row>
    <row r="749" customFormat="false" ht="15" hidden="false" customHeight="false" outlineLevel="0" collapsed="false">
      <c r="A749" s="34" t="s">
        <v>2863</v>
      </c>
      <c r="B749" s="34" t="s">
        <v>2864</v>
      </c>
      <c r="C749" s="34" t="s">
        <v>2865</v>
      </c>
      <c r="D749" s="34" t="s">
        <v>2866</v>
      </c>
      <c r="E749" s="34" t="s">
        <v>138</v>
      </c>
      <c r="F749" s="34" t="s">
        <v>1602</v>
      </c>
      <c r="G749" s="34" t="s">
        <v>300</v>
      </c>
      <c r="H749" s="34" t="s">
        <v>55</v>
      </c>
      <c r="I749" s="34" t="s">
        <v>57</v>
      </c>
      <c r="J749" s="34" t="s">
        <v>2842</v>
      </c>
      <c r="K749" s="34" t="s">
        <v>236</v>
      </c>
      <c r="L749" s="34" t="s">
        <v>230</v>
      </c>
      <c r="M749" s="34" t="s">
        <v>344</v>
      </c>
      <c r="N749" s="34" t="str">
        <f aca="false">"Sector "&amp;VALUE(MID(D749,13,2))</f>
        <v>Sector 6</v>
      </c>
      <c r="O749" s="34" t="str">
        <f aca="false">IF(Dashboard!$C$5="Ubicación técnica",N749,"Sector "&amp;VALUE(RIGHT(G749,2)))</f>
        <v>Sector 6</v>
      </c>
      <c r="P749" s="34" t="str">
        <f aca="false">IF(MID(D749,15,3)="SEL","Subestación eléctrica","Área de proceso")</f>
        <v>Subestación eléctrica</v>
      </c>
      <c r="Q749" s="34" t="str">
        <f aca="false">MID(D749,13,5)&amp;"|"&amp;MID(D749,19,5)</f>
        <v>06SEL|S_002</v>
      </c>
      <c r="R749" s="34" t="str">
        <f aca="false">IF(P749="Subestación eléctrica",IFERROR(INDEX(cat_SubN,MATCH(Q749,cat_SubK,0)),"SIN CATALOGAR"),"ÁREA DE PROCESO")</f>
        <v>SE-02</v>
      </c>
      <c r="S749" s="34" t="str">
        <f aca="false">IF(H749="","SIN DATO",IFERROR(INDEX(cat_MarcaN,MATCH(H749,cat_MarcaO,0)),H749))</f>
        <v>SEL</v>
      </c>
      <c r="T749" s="34" t="str">
        <f aca="false">IF(I749="","SIN DATO",IFERROR(INDEX(cat_ModN,MATCH(I749,cat_ModO,0)),I749))</f>
        <v>SEL-735</v>
      </c>
      <c r="U749" s="34" t="str">
        <f aca="false">IF(I749="","",IFERROR(INDEX(cat_ModG,MATCH(I749,cat_ModO,0)),"No"))</f>
        <v>No</v>
      </c>
      <c r="V749" s="34" t="str">
        <f aca="false">IF(J749="","SIN DATO",IFERROR(INDEX(cat_FunN,MATCH(J749,cat_FunO,0)),J749))</f>
        <v>Multimedidor</v>
      </c>
      <c r="W749" s="34" t="str">
        <f aca="false">IF(OR(S749="SIN DATO",T749="SIN DATO"),"No","Sí")</f>
        <v>Sí</v>
      </c>
    </row>
    <row r="750" customFormat="false" ht="15" hidden="false" customHeight="false" outlineLevel="0" collapsed="false">
      <c r="A750" s="34" t="s">
        <v>2867</v>
      </c>
      <c r="B750" s="34" t="s">
        <v>2868</v>
      </c>
      <c r="C750" s="34" t="s">
        <v>2869</v>
      </c>
      <c r="D750" s="34" t="s">
        <v>2870</v>
      </c>
      <c r="E750" s="34" t="s">
        <v>138</v>
      </c>
      <c r="F750" s="34" t="s">
        <v>1602</v>
      </c>
      <c r="G750" s="34" t="s">
        <v>300</v>
      </c>
      <c r="H750" s="34" t="s">
        <v>55</v>
      </c>
      <c r="I750" s="34" t="s">
        <v>57</v>
      </c>
      <c r="J750" s="34" t="s">
        <v>2842</v>
      </c>
      <c r="K750" s="34" t="s">
        <v>236</v>
      </c>
      <c r="L750" s="34" t="s">
        <v>230</v>
      </c>
      <c r="M750" s="34" t="s">
        <v>344</v>
      </c>
      <c r="N750" s="34" t="str">
        <f aca="false">"Sector "&amp;VALUE(MID(D750,13,2))</f>
        <v>Sector 6</v>
      </c>
      <c r="O750" s="34" t="str">
        <f aca="false">IF(Dashboard!$C$5="Ubicación técnica",N750,"Sector "&amp;VALUE(RIGHT(G750,2)))</f>
        <v>Sector 6</v>
      </c>
      <c r="P750" s="34" t="str">
        <f aca="false">IF(MID(D750,15,3)="SEL","Subestación eléctrica","Área de proceso")</f>
        <v>Subestación eléctrica</v>
      </c>
      <c r="Q750" s="34" t="str">
        <f aca="false">MID(D750,13,5)&amp;"|"&amp;MID(D750,19,5)</f>
        <v>06SEL|S_002</v>
      </c>
      <c r="R750" s="34" t="str">
        <f aca="false">IF(P750="Subestación eléctrica",IFERROR(INDEX(cat_SubN,MATCH(Q750,cat_SubK,0)),"SIN CATALOGAR"),"ÁREA DE PROCESO")</f>
        <v>SE-02</v>
      </c>
      <c r="S750" s="34" t="str">
        <f aca="false">IF(H750="","SIN DATO",IFERROR(INDEX(cat_MarcaN,MATCH(H750,cat_MarcaO,0)),H750))</f>
        <v>SEL</v>
      </c>
      <c r="T750" s="34" t="str">
        <f aca="false">IF(I750="","SIN DATO",IFERROR(INDEX(cat_ModN,MATCH(I750,cat_ModO,0)),I750))</f>
        <v>SEL-735</v>
      </c>
      <c r="U750" s="34" t="str">
        <f aca="false">IF(I750="","",IFERROR(INDEX(cat_ModG,MATCH(I750,cat_ModO,0)),"No"))</f>
        <v>No</v>
      </c>
      <c r="V750" s="34" t="str">
        <f aca="false">IF(J750="","SIN DATO",IFERROR(INDEX(cat_FunN,MATCH(J750,cat_FunO,0)),J750))</f>
        <v>Multimedidor</v>
      </c>
      <c r="W750" s="34" t="str">
        <f aca="false">IF(OR(S750="SIN DATO",T750="SIN DATO"),"No","Sí")</f>
        <v>Sí</v>
      </c>
    </row>
    <row r="751" customFormat="false" ht="15" hidden="false" customHeight="false" outlineLevel="0" collapsed="false">
      <c r="A751" s="34" t="s">
        <v>2871</v>
      </c>
      <c r="B751" s="34" t="s">
        <v>2872</v>
      </c>
      <c r="C751" s="34" t="s">
        <v>2873</v>
      </c>
      <c r="D751" s="34" t="s">
        <v>2874</v>
      </c>
      <c r="E751" s="34" t="s">
        <v>140</v>
      </c>
      <c r="F751" s="34" t="s">
        <v>1602</v>
      </c>
      <c r="G751" s="34" t="s">
        <v>300</v>
      </c>
      <c r="H751" s="34" t="s">
        <v>55</v>
      </c>
      <c r="I751" s="34" t="s">
        <v>57</v>
      </c>
      <c r="J751" s="34" t="s">
        <v>2842</v>
      </c>
      <c r="K751" s="34" t="s">
        <v>236</v>
      </c>
      <c r="L751" s="34" t="s">
        <v>230</v>
      </c>
      <c r="M751" s="34" t="s">
        <v>344</v>
      </c>
      <c r="N751" s="34" t="str">
        <f aca="false">"Sector "&amp;VALUE(MID(D751,13,2))</f>
        <v>Sector 6</v>
      </c>
      <c r="O751" s="34" t="str">
        <f aca="false">IF(Dashboard!$C$5="Ubicación técnica",N751,"Sector "&amp;VALUE(RIGHT(G751,2)))</f>
        <v>Sector 6</v>
      </c>
      <c r="P751" s="34" t="str">
        <f aca="false">IF(MID(D751,15,3)="SEL","Subestación eléctrica","Área de proceso")</f>
        <v>Subestación eléctrica</v>
      </c>
      <c r="Q751" s="34" t="str">
        <f aca="false">MID(D751,13,5)&amp;"|"&amp;MID(D751,19,5)</f>
        <v>06SEL|S_008</v>
      </c>
      <c r="R751" s="34" t="str">
        <f aca="false">IF(P751="Subestación eléctrica",IFERROR(INDEX(cat_SubN,MATCH(Q751,cat_SubK,0)),"SIN CATALOGAR"),"ÁREA DE PROCESO")</f>
        <v>SE-08</v>
      </c>
      <c r="S751" s="34" t="str">
        <f aca="false">IF(H751="","SIN DATO",IFERROR(INDEX(cat_MarcaN,MATCH(H751,cat_MarcaO,0)),H751))</f>
        <v>SEL</v>
      </c>
      <c r="T751" s="34" t="str">
        <f aca="false">IF(I751="","SIN DATO",IFERROR(INDEX(cat_ModN,MATCH(I751,cat_ModO,0)),I751))</f>
        <v>SEL-735</v>
      </c>
      <c r="U751" s="34" t="str">
        <f aca="false">IF(I751="","",IFERROR(INDEX(cat_ModG,MATCH(I751,cat_ModO,0)),"No"))</f>
        <v>No</v>
      </c>
      <c r="V751" s="34" t="str">
        <f aca="false">IF(J751="","SIN DATO",IFERROR(INDEX(cat_FunN,MATCH(J751,cat_FunO,0)),J751))</f>
        <v>Multimedidor</v>
      </c>
      <c r="W751" s="34" t="str">
        <f aca="false">IF(OR(S751="SIN DATO",T751="SIN DATO"),"No","Sí")</f>
        <v>Sí</v>
      </c>
    </row>
    <row r="752" customFormat="false" ht="15" hidden="false" customHeight="false" outlineLevel="0" collapsed="false">
      <c r="A752" s="34" t="s">
        <v>2875</v>
      </c>
      <c r="B752" s="34" t="s">
        <v>2876</v>
      </c>
      <c r="C752" s="34" t="s">
        <v>2877</v>
      </c>
      <c r="D752" s="34" t="s">
        <v>2878</v>
      </c>
      <c r="E752" s="34" t="s">
        <v>140</v>
      </c>
      <c r="F752" s="34" t="s">
        <v>1602</v>
      </c>
      <c r="G752" s="34" t="s">
        <v>300</v>
      </c>
      <c r="H752" s="34" t="s">
        <v>55</v>
      </c>
      <c r="I752" s="34" t="s">
        <v>57</v>
      </c>
      <c r="J752" s="34" t="s">
        <v>2842</v>
      </c>
      <c r="K752" s="34" t="s">
        <v>236</v>
      </c>
      <c r="L752" s="34" t="s">
        <v>230</v>
      </c>
      <c r="M752" s="34" t="s">
        <v>344</v>
      </c>
      <c r="N752" s="34" t="str">
        <f aca="false">"Sector "&amp;VALUE(MID(D752,13,2))</f>
        <v>Sector 6</v>
      </c>
      <c r="O752" s="34" t="str">
        <f aca="false">IF(Dashboard!$C$5="Ubicación técnica",N752,"Sector "&amp;VALUE(RIGHT(G752,2)))</f>
        <v>Sector 6</v>
      </c>
      <c r="P752" s="34" t="str">
        <f aca="false">IF(MID(D752,15,3)="SEL","Subestación eléctrica","Área de proceso")</f>
        <v>Subestación eléctrica</v>
      </c>
      <c r="Q752" s="34" t="str">
        <f aca="false">MID(D752,13,5)&amp;"|"&amp;MID(D752,19,5)</f>
        <v>06SEL|S_008</v>
      </c>
      <c r="R752" s="34" t="str">
        <f aca="false">IF(P752="Subestación eléctrica",IFERROR(INDEX(cat_SubN,MATCH(Q752,cat_SubK,0)),"SIN CATALOGAR"),"ÁREA DE PROCESO")</f>
        <v>SE-08</v>
      </c>
      <c r="S752" s="34" t="str">
        <f aca="false">IF(H752="","SIN DATO",IFERROR(INDEX(cat_MarcaN,MATCH(H752,cat_MarcaO,0)),H752))</f>
        <v>SEL</v>
      </c>
      <c r="T752" s="34" t="str">
        <f aca="false">IF(I752="","SIN DATO",IFERROR(INDEX(cat_ModN,MATCH(I752,cat_ModO,0)),I752))</f>
        <v>SEL-735</v>
      </c>
      <c r="U752" s="34" t="str">
        <f aca="false">IF(I752="","",IFERROR(INDEX(cat_ModG,MATCH(I752,cat_ModO,0)),"No"))</f>
        <v>No</v>
      </c>
      <c r="V752" s="34" t="str">
        <f aca="false">IF(J752="","SIN DATO",IFERROR(INDEX(cat_FunN,MATCH(J752,cat_FunO,0)),J752))</f>
        <v>Multimedidor</v>
      </c>
      <c r="W752" s="34" t="str">
        <f aca="false">IF(OR(S752="SIN DATO",T752="SIN DATO"),"No","Sí")</f>
        <v>Sí</v>
      </c>
    </row>
    <row r="753" customFormat="false" ht="15" hidden="false" customHeight="false" outlineLevel="0" collapsed="false">
      <c r="A753" s="34" t="s">
        <v>2879</v>
      </c>
      <c r="B753" s="34" t="s">
        <v>2880</v>
      </c>
      <c r="C753" s="34" t="s">
        <v>2881</v>
      </c>
      <c r="D753" s="34" t="s">
        <v>2882</v>
      </c>
      <c r="E753" s="34" t="s">
        <v>138</v>
      </c>
      <c r="F753" s="34" t="s">
        <v>1602</v>
      </c>
      <c r="G753" s="34" t="s">
        <v>300</v>
      </c>
      <c r="H753" s="34" t="s">
        <v>55</v>
      </c>
      <c r="I753" s="34" t="s">
        <v>57</v>
      </c>
      <c r="J753" s="34" t="s">
        <v>2842</v>
      </c>
      <c r="K753" s="34" t="s">
        <v>236</v>
      </c>
      <c r="L753" s="34" t="s">
        <v>230</v>
      </c>
      <c r="M753" s="34" t="s">
        <v>344</v>
      </c>
      <c r="N753" s="34" t="str">
        <f aca="false">"Sector "&amp;VALUE(MID(D753,13,2))</f>
        <v>Sector 6</v>
      </c>
      <c r="O753" s="34" t="str">
        <f aca="false">IF(Dashboard!$C$5="Ubicación técnica",N753,"Sector "&amp;VALUE(RIGHT(G753,2)))</f>
        <v>Sector 6</v>
      </c>
      <c r="P753" s="34" t="str">
        <f aca="false">IF(MID(D753,15,3)="SEL","Subestación eléctrica","Área de proceso")</f>
        <v>Subestación eléctrica</v>
      </c>
      <c r="Q753" s="34" t="str">
        <f aca="false">MID(D753,13,5)&amp;"|"&amp;MID(D753,19,5)</f>
        <v>06SEL|S_002</v>
      </c>
      <c r="R753" s="34" t="str">
        <f aca="false">IF(P753="Subestación eléctrica",IFERROR(INDEX(cat_SubN,MATCH(Q753,cat_SubK,0)),"SIN CATALOGAR"),"ÁREA DE PROCESO")</f>
        <v>SE-02</v>
      </c>
      <c r="S753" s="34" t="str">
        <f aca="false">IF(H753="","SIN DATO",IFERROR(INDEX(cat_MarcaN,MATCH(H753,cat_MarcaO,0)),H753))</f>
        <v>SEL</v>
      </c>
      <c r="T753" s="34" t="str">
        <f aca="false">IF(I753="","SIN DATO",IFERROR(INDEX(cat_ModN,MATCH(I753,cat_ModO,0)),I753))</f>
        <v>SEL-735</v>
      </c>
      <c r="U753" s="34" t="str">
        <f aca="false">IF(I753="","",IFERROR(INDEX(cat_ModG,MATCH(I753,cat_ModO,0)),"No"))</f>
        <v>No</v>
      </c>
      <c r="V753" s="34" t="str">
        <f aca="false">IF(J753="","SIN DATO",IFERROR(INDEX(cat_FunN,MATCH(J753,cat_FunO,0)),J753))</f>
        <v>Multimedidor</v>
      </c>
      <c r="W753" s="34" t="str">
        <f aca="false">IF(OR(S753="SIN DATO",T753="SIN DATO"),"No","Sí")</f>
        <v>Sí</v>
      </c>
    </row>
    <row r="754" customFormat="false" ht="15" hidden="false" customHeight="false" outlineLevel="0" collapsed="false">
      <c r="A754" s="34" t="s">
        <v>2883</v>
      </c>
      <c r="B754" s="34" t="s">
        <v>2884</v>
      </c>
      <c r="C754" s="34" t="s">
        <v>2885</v>
      </c>
      <c r="D754" s="34" t="s">
        <v>2886</v>
      </c>
      <c r="E754" s="34" t="s">
        <v>138</v>
      </c>
      <c r="F754" s="34" t="s">
        <v>1602</v>
      </c>
      <c r="G754" s="34" t="s">
        <v>300</v>
      </c>
      <c r="H754" s="34" t="s">
        <v>55</v>
      </c>
      <c r="I754" s="34" t="s">
        <v>57</v>
      </c>
      <c r="J754" s="34" t="s">
        <v>2842</v>
      </c>
      <c r="K754" s="34" t="s">
        <v>236</v>
      </c>
      <c r="L754" s="34" t="s">
        <v>230</v>
      </c>
      <c r="M754" s="34" t="s">
        <v>344</v>
      </c>
      <c r="N754" s="34" t="str">
        <f aca="false">"Sector "&amp;VALUE(MID(D754,13,2))</f>
        <v>Sector 6</v>
      </c>
      <c r="O754" s="34" t="str">
        <f aca="false">IF(Dashboard!$C$5="Ubicación técnica",N754,"Sector "&amp;VALUE(RIGHT(G754,2)))</f>
        <v>Sector 6</v>
      </c>
      <c r="P754" s="34" t="str">
        <f aca="false">IF(MID(D754,15,3)="SEL","Subestación eléctrica","Área de proceso")</f>
        <v>Subestación eléctrica</v>
      </c>
      <c r="Q754" s="34" t="str">
        <f aca="false">MID(D754,13,5)&amp;"|"&amp;MID(D754,19,5)</f>
        <v>06SEL|S_002</v>
      </c>
      <c r="R754" s="34" t="str">
        <f aca="false">IF(P754="Subestación eléctrica",IFERROR(INDEX(cat_SubN,MATCH(Q754,cat_SubK,0)),"SIN CATALOGAR"),"ÁREA DE PROCESO")</f>
        <v>SE-02</v>
      </c>
      <c r="S754" s="34" t="str">
        <f aca="false">IF(H754="","SIN DATO",IFERROR(INDEX(cat_MarcaN,MATCH(H754,cat_MarcaO,0)),H754))</f>
        <v>SEL</v>
      </c>
      <c r="T754" s="34" t="str">
        <f aca="false">IF(I754="","SIN DATO",IFERROR(INDEX(cat_ModN,MATCH(I754,cat_ModO,0)),I754))</f>
        <v>SEL-735</v>
      </c>
      <c r="U754" s="34" t="str">
        <f aca="false">IF(I754="","",IFERROR(INDEX(cat_ModG,MATCH(I754,cat_ModO,0)),"No"))</f>
        <v>No</v>
      </c>
      <c r="V754" s="34" t="str">
        <f aca="false">IF(J754="","SIN DATO",IFERROR(INDEX(cat_FunN,MATCH(J754,cat_FunO,0)),J754))</f>
        <v>Multimedidor</v>
      </c>
      <c r="W754" s="34" t="str">
        <f aca="false">IF(OR(S754="SIN DATO",T754="SIN DATO"),"No","Sí")</f>
        <v>Sí</v>
      </c>
    </row>
    <row r="755" customFormat="false" ht="15" hidden="false" customHeight="false" outlineLevel="0" collapsed="false">
      <c r="A755" s="34" t="s">
        <v>2887</v>
      </c>
      <c r="B755" s="34" t="s">
        <v>2888</v>
      </c>
      <c r="C755" s="34" t="s">
        <v>2889</v>
      </c>
      <c r="D755" s="34" t="s">
        <v>2890</v>
      </c>
      <c r="E755" s="34" t="s">
        <v>140</v>
      </c>
      <c r="F755" s="34" t="s">
        <v>1602</v>
      </c>
      <c r="G755" s="34" t="s">
        <v>300</v>
      </c>
      <c r="H755" s="34" t="s">
        <v>55</v>
      </c>
      <c r="I755" s="34" t="s">
        <v>57</v>
      </c>
      <c r="J755" s="34" t="s">
        <v>2842</v>
      </c>
      <c r="K755" s="34" t="s">
        <v>236</v>
      </c>
      <c r="L755" s="34" t="s">
        <v>230</v>
      </c>
      <c r="M755" s="34" t="s">
        <v>344</v>
      </c>
      <c r="N755" s="34" t="str">
        <f aca="false">"Sector "&amp;VALUE(MID(D755,13,2))</f>
        <v>Sector 6</v>
      </c>
      <c r="O755" s="34" t="str">
        <f aca="false">IF(Dashboard!$C$5="Ubicación técnica",N755,"Sector "&amp;VALUE(RIGHT(G755,2)))</f>
        <v>Sector 6</v>
      </c>
      <c r="P755" s="34" t="str">
        <f aca="false">IF(MID(D755,15,3)="SEL","Subestación eléctrica","Área de proceso")</f>
        <v>Subestación eléctrica</v>
      </c>
      <c r="Q755" s="34" t="str">
        <f aca="false">MID(D755,13,5)&amp;"|"&amp;MID(D755,19,5)</f>
        <v>06SEL|S_008</v>
      </c>
      <c r="R755" s="34" t="str">
        <f aca="false">IF(P755="Subestación eléctrica",IFERROR(INDEX(cat_SubN,MATCH(Q755,cat_SubK,0)),"SIN CATALOGAR"),"ÁREA DE PROCESO")</f>
        <v>SE-08</v>
      </c>
      <c r="S755" s="34" t="str">
        <f aca="false">IF(H755="","SIN DATO",IFERROR(INDEX(cat_MarcaN,MATCH(H755,cat_MarcaO,0)),H755))</f>
        <v>SEL</v>
      </c>
      <c r="T755" s="34" t="str">
        <f aca="false">IF(I755="","SIN DATO",IFERROR(INDEX(cat_ModN,MATCH(I755,cat_ModO,0)),I755))</f>
        <v>SEL-735</v>
      </c>
      <c r="U755" s="34" t="str">
        <f aca="false">IF(I755="","",IFERROR(INDEX(cat_ModG,MATCH(I755,cat_ModO,0)),"No"))</f>
        <v>No</v>
      </c>
      <c r="V755" s="34" t="str">
        <f aca="false">IF(J755="","SIN DATO",IFERROR(INDEX(cat_FunN,MATCH(J755,cat_FunO,0)),J755))</f>
        <v>Multimedidor</v>
      </c>
      <c r="W755" s="34" t="str">
        <f aca="false">IF(OR(S755="SIN DATO",T755="SIN DATO"),"No","Sí")</f>
        <v>Sí</v>
      </c>
    </row>
    <row r="756" customFormat="false" ht="15" hidden="false" customHeight="false" outlineLevel="0" collapsed="false">
      <c r="A756" s="34" t="s">
        <v>2891</v>
      </c>
      <c r="B756" s="34" t="s">
        <v>2892</v>
      </c>
      <c r="C756" s="34" t="s">
        <v>2893</v>
      </c>
      <c r="D756" s="34" t="s">
        <v>2894</v>
      </c>
      <c r="E756" s="34" t="s">
        <v>140</v>
      </c>
      <c r="F756" s="34" t="s">
        <v>1602</v>
      </c>
      <c r="G756" s="34" t="s">
        <v>300</v>
      </c>
      <c r="H756" s="34" t="s">
        <v>55</v>
      </c>
      <c r="I756" s="34" t="s">
        <v>57</v>
      </c>
      <c r="J756" s="34" t="s">
        <v>2842</v>
      </c>
      <c r="K756" s="34" t="s">
        <v>236</v>
      </c>
      <c r="L756" s="34" t="s">
        <v>230</v>
      </c>
      <c r="M756" s="34" t="s">
        <v>344</v>
      </c>
      <c r="N756" s="34" t="str">
        <f aca="false">"Sector "&amp;VALUE(MID(D756,13,2))</f>
        <v>Sector 6</v>
      </c>
      <c r="O756" s="34" t="str">
        <f aca="false">IF(Dashboard!$C$5="Ubicación técnica",N756,"Sector "&amp;VALUE(RIGHT(G756,2)))</f>
        <v>Sector 6</v>
      </c>
      <c r="P756" s="34" t="str">
        <f aca="false">IF(MID(D756,15,3)="SEL","Subestación eléctrica","Área de proceso")</f>
        <v>Subestación eléctrica</v>
      </c>
      <c r="Q756" s="34" t="str">
        <f aca="false">MID(D756,13,5)&amp;"|"&amp;MID(D756,19,5)</f>
        <v>06SEL|S_008</v>
      </c>
      <c r="R756" s="34" t="str">
        <f aca="false">IF(P756="Subestación eléctrica",IFERROR(INDEX(cat_SubN,MATCH(Q756,cat_SubK,0)),"SIN CATALOGAR"),"ÁREA DE PROCESO")</f>
        <v>SE-08</v>
      </c>
      <c r="S756" s="34" t="str">
        <f aca="false">IF(H756="","SIN DATO",IFERROR(INDEX(cat_MarcaN,MATCH(H756,cat_MarcaO,0)),H756))</f>
        <v>SEL</v>
      </c>
      <c r="T756" s="34" t="str">
        <f aca="false">IF(I756="","SIN DATO",IFERROR(INDEX(cat_ModN,MATCH(I756,cat_ModO,0)),I756))</f>
        <v>SEL-735</v>
      </c>
      <c r="U756" s="34" t="str">
        <f aca="false">IF(I756="","",IFERROR(INDEX(cat_ModG,MATCH(I756,cat_ModO,0)),"No"))</f>
        <v>No</v>
      </c>
      <c r="V756" s="34" t="str">
        <f aca="false">IF(J756="","SIN DATO",IFERROR(INDEX(cat_FunN,MATCH(J756,cat_FunO,0)),J756))</f>
        <v>Multimedidor</v>
      </c>
      <c r="W756" s="34" t="str">
        <f aca="false">IF(OR(S756="SIN DATO",T756="SIN DATO"),"No","Sí")</f>
        <v>Sí</v>
      </c>
    </row>
    <row r="757" customFormat="false" ht="15" hidden="false" customHeight="false" outlineLevel="0" collapsed="false">
      <c r="A757" s="34" t="s">
        <v>2895</v>
      </c>
      <c r="B757" s="34" t="s">
        <v>2896</v>
      </c>
      <c r="C757" s="34" t="s">
        <v>2897</v>
      </c>
      <c r="D757" s="34" t="s">
        <v>2898</v>
      </c>
      <c r="E757" s="34" t="s">
        <v>142</v>
      </c>
      <c r="F757" s="34" t="s">
        <v>1602</v>
      </c>
      <c r="G757" s="34" t="s">
        <v>300</v>
      </c>
      <c r="H757" s="34" t="s">
        <v>55</v>
      </c>
      <c r="I757" s="34" t="s">
        <v>2146</v>
      </c>
      <c r="J757" s="34" t="s">
        <v>2842</v>
      </c>
      <c r="K757" s="34" t="s">
        <v>236</v>
      </c>
      <c r="L757" s="34" t="s">
        <v>230</v>
      </c>
      <c r="M757" s="34" t="s">
        <v>344</v>
      </c>
      <c r="N757" s="34" t="str">
        <f aca="false">"Sector "&amp;VALUE(MID(D757,13,2))</f>
        <v>Sector 6</v>
      </c>
      <c r="O757" s="34" t="str">
        <f aca="false">IF(Dashboard!$C$5="Ubicación técnica",N757,"Sector "&amp;VALUE(RIGHT(G757,2)))</f>
        <v>Sector 6</v>
      </c>
      <c r="P757" s="34" t="str">
        <f aca="false">IF(MID(D757,15,3)="SEL","Subestación eléctrica","Área de proceso")</f>
        <v>Subestación eléctrica</v>
      </c>
      <c r="Q757" s="34" t="str">
        <f aca="false">MID(D757,13,5)&amp;"|"&amp;MID(D757,19,5)</f>
        <v>06SEL|S_009</v>
      </c>
      <c r="R757" s="34" t="str">
        <f aca="false">IF(P757="Subestación eléctrica",IFERROR(INDEX(cat_SubN,MATCH(Q757,cat_SubK,0)),"SIN CATALOGAR"),"ÁREA DE PROCESO")</f>
        <v>SE-09</v>
      </c>
      <c r="S757" s="34" t="str">
        <f aca="false">IF(H757="","SIN DATO",IFERROR(INDEX(cat_MarcaN,MATCH(H757,cat_MarcaO,0)),H757))</f>
        <v>SEL</v>
      </c>
      <c r="T757" s="34" t="str">
        <f aca="false">IF(I757="","SIN DATO",IFERROR(INDEX(cat_ModN,MATCH(I757,cat_ModO,0)),I757))</f>
        <v>SEL-735</v>
      </c>
      <c r="U757" s="34" t="str">
        <f aca="false">IF(I757="","",IFERROR(INDEX(cat_ModG,MATCH(I757,cat_ModO,0)),"No"))</f>
        <v>No</v>
      </c>
      <c r="V757" s="34" t="str">
        <f aca="false">IF(J757="","SIN DATO",IFERROR(INDEX(cat_FunN,MATCH(J757,cat_FunO,0)),J757))</f>
        <v>Multimedidor</v>
      </c>
      <c r="W757" s="34" t="str">
        <f aca="false">IF(OR(S757="SIN DATO",T757="SIN DATO"),"No","Sí")</f>
        <v>Sí</v>
      </c>
    </row>
    <row r="758" customFormat="false" ht="15" hidden="false" customHeight="false" outlineLevel="0" collapsed="false">
      <c r="A758" s="34" t="s">
        <v>2899</v>
      </c>
      <c r="B758" s="34" t="s">
        <v>2900</v>
      </c>
      <c r="C758" s="34" t="s">
        <v>2901</v>
      </c>
      <c r="D758" s="34" t="s">
        <v>2902</v>
      </c>
      <c r="E758" s="34" t="s">
        <v>142</v>
      </c>
      <c r="F758" s="34" t="s">
        <v>1602</v>
      </c>
      <c r="G758" s="34" t="s">
        <v>300</v>
      </c>
      <c r="H758" s="34" t="s">
        <v>55</v>
      </c>
      <c r="I758" s="34" t="s">
        <v>2146</v>
      </c>
      <c r="J758" s="34" t="s">
        <v>2842</v>
      </c>
      <c r="K758" s="34" t="s">
        <v>236</v>
      </c>
      <c r="L758" s="34" t="s">
        <v>230</v>
      </c>
      <c r="M758" s="34" t="s">
        <v>344</v>
      </c>
      <c r="N758" s="34" t="str">
        <f aca="false">"Sector "&amp;VALUE(MID(D758,13,2))</f>
        <v>Sector 6</v>
      </c>
      <c r="O758" s="34" t="str">
        <f aca="false">IF(Dashboard!$C$5="Ubicación técnica",N758,"Sector "&amp;VALUE(RIGHT(G758,2)))</f>
        <v>Sector 6</v>
      </c>
      <c r="P758" s="34" t="str">
        <f aca="false">IF(MID(D758,15,3)="SEL","Subestación eléctrica","Área de proceso")</f>
        <v>Subestación eléctrica</v>
      </c>
      <c r="Q758" s="34" t="str">
        <f aca="false">MID(D758,13,5)&amp;"|"&amp;MID(D758,19,5)</f>
        <v>06SEL|S_009</v>
      </c>
      <c r="R758" s="34" t="str">
        <f aca="false">IF(P758="Subestación eléctrica",IFERROR(INDEX(cat_SubN,MATCH(Q758,cat_SubK,0)),"SIN CATALOGAR"),"ÁREA DE PROCESO")</f>
        <v>SE-09</v>
      </c>
      <c r="S758" s="34" t="str">
        <f aca="false">IF(H758="","SIN DATO",IFERROR(INDEX(cat_MarcaN,MATCH(H758,cat_MarcaO,0)),H758))</f>
        <v>SEL</v>
      </c>
      <c r="T758" s="34" t="str">
        <f aca="false">IF(I758="","SIN DATO",IFERROR(INDEX(cat_ModN,MATCH(I758,cat_ModO,0)),I758))</f>
        <v>SEL-735</v>
      </c>
      <c r="U758" s="34" t="str">
        <f aca="false">IF(I758="","",IFERROR(INDEX(cat_ModG,MATCH(I758,cat_ModO,0)),"No"))</f>
        <v>No</v>
      </c>
      <c r="V758" s="34" t="str">
        <f aca="false">IF(J758="","SIN DATO",IFERROR(INDEX(cat_FunN,MATCH(J758,cat_FunO,0)),J758))</f>
        <v>Multimedidor</v>
      </c>
      <c r="W758" s="34" t="str">
        <f aca="false">IF(OR(S758="SIN DATO",T758="SIN DATO"),"No","Sí")</f>
        <v>Sí</v>
      </c>
    </row>
    <row r="759" customFormat="false" ht="15" hidden="false" customHeight="false" outlineLevel="0" collapsed="false">
      <c r="A759" s="34" t="s">
        <v>2903</v>
      </c>
      <c r="B759" s="34" t="s">
        <v>2904</v>
      </c>
      <c r="C759" s="34" t="s">
        <v>2905</v>
      </c>
      <c r="D759" s="34" t="s">
        <v>2906</v>
      </c>
      <c r="E759" s="34" t="s">
        <v>140</v>
      </c>
      <c r="F759" s="34" t="s">
        <v>1602</v>
      </c>
      <c r="G759" s="34" t="s">
        <v>300</v>
      </c>
      <c r="H759" s="34" t="s">
        <v>55</v>
      </c>
      <c r="I759" s="34" t="s">
        <v>57</v>
      </c>
      <c r="J759" s="34" t="s">
        <v>2842</v>
      </c>
      <c r="K759" s="34" t="s">
        <v>236</v>
      </c>
      <c r="L759" s="34" t="s">
        <v>230</v>
      </c>
      <c r="M759" s="34" t="s">
        <v>344</v>
      </c>
      <c r="N759" s="34" t="str">
        <f aca="false">"Sector "&amp;VALUE(MID(D759,13,2))</f>
        <v>Sector 6</v>
      </c>
      <c r="O759" s="34" t="str">
        <f aca="false">IF(Dashboard!$C$5="Ubicación técnica",N759,"Sector "&amp;VALUE(RIGHT(G759,2)))</f>
        <v>Sector 6</v>
      </c>
      <c r="P759" s="34" t="str">
        <f aca="false">IF(MID(D759,15,3)="SEL","Subestación eléctrica","Área de proceso")</f>
        <v>Subestación eléctrica</v>
      </c>
      <c r="Q759" s="34" t="str">
        <f aca="false">MID(D759,13,5)&amp;"|"&amp;MID(D759,19,5)</f>
        <v>06SEL|S_008</v>
      </c>
      <c r="R759" s="34" t="str">
        <f aca="false">IF(P759="Subestación eléctrica",IFERROR(INDEX(cat_SubN,MATCH(Q759,cat_SubK,0)),"SIN CATALOGAR"),"ÁREA DE PROCESO")</f>
        <v>SE-08</v>
      </c>
      <c r="S759" s="34" t="str">
        <f aca="false">IF(H759="","SIN DATO",IFERROR(INDEX(cat_MarcaN,MATCH(H759,cat_MarcaO,0)),H759))</f>
        <v>SEL</v>
      </c>
      <c r="T759" s="34" t="str">
        <f aca="false">IF(I759="","SIN DATO",IFERROR(INDEX(cat_ModN,MATCH(I759,cat_ModO,0)),I759))</f>
        <v>SEL-735</v>
      </c>
      <c r="U759" s="34" t="str">
        <f aca="false">IF(I759="","",IFERROR(INDEX(cat_ModG,MATCH(I759,cat_ModO,0)),"No"))</f>
        <v>No</v>
      </c>
      <c r="V759" s="34" t="str">
        <f aca="false">IF(J759="","SIN DATO",IFERROR(INDEX(cat_FunN,MATCH(J759,cat_FunO,0)),J759))</f>
        <v>Multimedidor</v>
      </c>
      <c r="W759" s="34" t="str">
        <f aca="false">IF(OR(S759="SIN DATO",T759="SIN DATO"),"No","Sí")</f>
        <v>Sí</v>
      </c>
    </row>
    <row r="760" customFormat="false" ht="15" hidden="false" customHeight="false" outlineLevel="0" collapsed="false">
      <c r="A760" s="34" t="s">
        <v>2907</v>
      </c>
      <c r="B760" s="34" t="s">
        <v>2908</v>
      </c>
      <c r="C760" s="34" t="s">
        <v>2909</v>
      </c>
      <c r="D760" s="34" t="s">
        <v>2910</v>
      </c>
      <c r="E760" s="34" t="s">
        <v>140</v>
      </c>
      <c r="F760" s="34" t="s">
        <v>1602</v>
      </c>
      <c r="G760" s="34" t="s">
        <v>300</v>
      </c>
      <c r="H760" s="34" t="s">
        <v>55</v>
      </c>
      <c r="I760" s="34" t="s">
        <v>57</v>
      </c>
      <c r="J760" s="34" t="s">
        <v>2842</v>
      </c>
      <c r="K760" s="34" t="s">
        <v>236</v>
      </c>
      <c r="L760" s="34" t="s">
        <v>230</v>
      </c>
      <c r="M760" s="34" t="s">
        <v>344</v>
      </c>
      <c r="N760" s="34" t="str">
        <f aca="false">"Sector "&amp;VALUE(MID(D760,13,2))</f>
        <v>Sector 6</v>
      </c>
      <c r="O760" s="34" t="str">
        <f aca="false">IF(Dashboard!$C$5="Ubicación técnica",N760,"Sector "&amp;VALUE(RIGHT(G760,2)))</f>
        <v>Sector 6</v>
      </c>
      <c r="P760" s="34" t="str">
        <f aca="false">IF(MID(D760,15,3)="SEL","Subestación eléctrica","Área de proceso")</f>
        <v>Subestación eléctrica</v>
      </c>
      <c r="Q760" s="34" t="str">
        <f aca="false">MID(D760,13,5)&amp;"|"&amp;MID(D760,19,5)</f>
        <v>06SEL|S_008</v>
      </c>
      <c r="R760" s="34" t="str">
        <f aca="false">IF(P760="Subestación eléctrica",IFERROR(INDEX(cat_SubN,MATCH(Q760,cat_SubK,0)),"SIN CATALOGAR"),"ÁREA DE PROCESO")</f>
        <v>SE-08</v>
      </c>
      <c r="S760" s="34" t="str">
        <f aca="false">IF(H760="","SIN DATO",IFERROR(INDEX(cat_MarcaN,MATCH(H760,cat_MarcaO,0)),H760))</f>
        <v>SEL</v>
      </c>
      <c r="T760" s="34" t="str">
        <f aca="false">IF(I760="","SIN DATO",IFERROR(INDEX(cat_ModN,MATCH(I760,cat_ModO,0)),I760))</f>
        <v>SEL-735</v>
      </c>
      <c r="U760" s="34" t="str">
        <f aca="false">IF(I760="","",IFERROR(INDEX(cat_ModG,MATCH(I760,cat_ModO,0)),"No"))</f>
        <v>No</v>
      </c>
      <c r="V760" s="34" t="str">
        <f aca="false">IF(J760="","SIN DATO",IFERROR(INDEX(cat_FunN,MATCH(J760,cat_FunO,0)),J760))</f>
        <v>Multimedidor</v>
      </c>
      <c r="W760" s="34" t="str">
        <f aca="false">IF(OR(S760="SIN DATO",T760="SIN DATO"),"No","Sí")</f>
        <v>Sí</v>
      </c>
    </row>
    <row r="761" customFormat="false" ht="15" hidden="false" customHeight="false" outlineLevel="0" collapsed="false">
      <c r="A761" s="34" t="s">
        <v>2911</v>
      </c>
      <c r="B761" s="34" t="s">
        <v>2912</v>
      </c>
      <c r="C761" s="34" t="s">
        <v>2913</v>
      </c>
      <c r="D761" s="34" t="s">
        <v>2914</v>
      </c>
      <c r="E761" s="34" t="s">
        <v>140</v>
      </c>
      <c r="F761" s="34" t="s">
        <v>1602</v>
      </c>
      <c r="G761" s="34" t="s">
        <v>300</v>
      </c>
      <c r="H761" s="34" t="s">
        <v>55</v>
      </c>
      <c r="I761" s="34" t="s">
        <v>57</v>
      </c>
      <c r="J761" s="34" t="s">
        <v>2842</v>
      </c>
      <c r="K761" s="34" t="s">
        <v>236</v>
      </c>
      <c r="L761" s="34" t="s">
        <v>230</v>
      </c>
      <c r="M761" s="34" t="s">
        <v>344</v>
      </c>
      <c r="N761" s="34" t="str">
        <f aca="false">"Sector "&amp;VALUE(MID(D761,13,2))</f>
        <v>Sector 6</v>
      </c>
      <c r="O761" s="34" t="str">
        <f aca="false">IF(Dashboard!$C$5="Ubicación técnica",N761,"Sector "&amp;VALUE(RIGHT(G761,2)))</f>
        <v>Sector 6</v>
      </c>
      <c r="P761" s="34" t="str">
        <f aca="false">IF(MID(D761,15,3)="SEL","Subestación eléctrica","Área de proceso")</f>
        <v>Subestación eléctrica</v>
      </c>
      <c r="Q761" s="34" t="str">
        <f aca="false">MID(D761,13,5)&amp;"|"&amp;MID(D761,19,5)</f>
        <v>06SEL|S_008</v>
      </c>
      <c r="R761" s="34" t="str">
        <f aca="false">IF(P761="Subestación eléctrica",IFERROR(INDEX(cat_SubN,MATCH(Q761,cat_SubK,0)),"SIN CATALOGAR"),"ÁREA DE PROCESO")</f>
        <v>SE-08</v>
      </c>
      <c r="S761" s="34" t="str">
        <f aca="false">IF(H761="","SIN DATO",IFERROR(INDEX(cat_MarcaN,MATCH(H761,cat_MarcaO,0)),H761))</f>
        <v>SEL</v>
      </c>
      <c r="T761" s="34" t="str">
        <f aca="false">IF(I761="","SIN DATO",IFERROR(INDEX(cat_ModN,MATCH(I761,cat_ModO,0)),I761))</f>
        <v>SEL-735</v>
      </c>
      <c r="U761" s="34" t="str">
        <f aca="false">IF(I761="","",IFERROR(INDEX(cat_ModG,MATCH(I761,cat_ModO,0)),"No"))</f>
        <v>No</v>
      </c>
      <c r="V761" s="34" t="str">
        <f aca="false">IF(J761="","SIN DATO",IFERROR(INDEX(cat_FunN,MATCH(J761,cat_FunO,0)),J761))</f>
        <v>Multimedidor</v>
      </c>
      <c r="W761" s="34" t="str">
        <f aca="false">IF(OR(S761="SIN DATO",T761="SIN DATO"),"No","Sí")</f>
        <v>Sí</v>
      </c>
    </row>
    <row r="762" customFormat="false" ht="15" hidden="false" customHeight="false" outlineLevel="0" collapsed="false">
      <c r="A762" s="34" t="s">
        <v>2915</v>
      </c>
      <c r="B762" s="34" t="s">
        <v>2916</v>
      </c>
      <c r="C762" s="34" t="s">
        <v>2917</v>
      </c>
      <c r="D762" s="34" t="s">
        <v>2918</v>
      </c>
      <c r="E762" s="34" t="s">
        <v>140</v>
      </c>
      <c r="F762" s="34" t="s">
        <v>1602</v>
      </c>
      <c r="G762" s="34" t="s">
        <v>300</v>
      </c>
      <c r="H762" s="34" t="s">
        <v>55</v>
      </c>
      <c r="I762" s="34" t="s">
        <v>57</v>
      </c>
      <c r="J762" s="34" t="s">
        <v>2842</v>
      </c>
      <c r="K762" s="34" t="s">
        <v>236</v>
      </c>
      <c r="L762" s="34" t="s">
        <v>230</v>
      </c>
      <c r="M762" s="34" t="s">
        <v>344</v>
      </c>
      <c r="N762" s="34" t="str">
        <f aca="false">"Sector "&amp;VALUE(MID(D762,13,2))</f>
        <v>Sector 6</v>
      </c>
      <c r="O762" s="34" t="str">
        <f aca="false">IF(Dashboard!$C$5="Ubicación técnica",N762,"Sector "&amp;VALUE(RIGHT(G762,2)))</f>
        <v>Sector 6</v>
      </c>
      <c r="P762" s="34" t="str">
        <f aca="false">IF(MID(D762,15,3)="SEL","Subestación eléctrica","Área de proceso")</f>
        <v>Subestación eléctrica</v>
      </c>
      <c r="Q762" s="34" t="str">
        <f aca="false">MID(D762,13,5)&amp;"|"&amp;MID(D762,19,5)</f>
        <v>06SEL|S_008</v>
      </c>
      <c r="R762" s="34" t="str">
        <f aca="false">IF(P762="Subestación eléctrica",IFERROR(INDEX(cat_SubN,MATCH(Q762,cat_SubK,0)),"SIN CATALOGAR"),"ÁREA DE PROCESO")</f>
        <v>SE-08</v>
      </c>
      <c r="S762" s="34" t="str">
        <f aca="false">IF(H762="","SIN DATO",IFERROR(INDEX(cat_MarcaN,MATCH(H762,cat_MarcaO,0)),H762))</f>
        <v>SEL</v>
      </c>
      <c r="T762" s="34" t="str">
        <f aca="false">IF(I762="","SIN DATO",IFERROR(INDEX(cat_ModN,MATCH(I762,cat_ModO,0)),I762))</f>
        <v>SEL-735</v>
      </c>
      <c r="U762" s="34" t="str">
        <f aca="false">IF(I762="","",IFERROR(INDEX(cat_ModG,MATCH(I762,cat_ModO,0)),"No"))</f>
        <v>No</v>
      </c>
      <c r="V762" s="34" t="str">
        <f aca="false">IF(J762="","SIN DATO",IFERROR(INDEX(cat_FunN,MATCH(J762,cat_FunO,0)),J762))</f>
        <v>Multimedidor</v>
      </c>
      <c r="W762" s="34" t="str">
        <f aca="false">IF(OR(S762="SIN DATO",T762="SIN DATO"),"No","Sí")</f>
        <v>Sí</v>
      </c>
    </row>
    <row r="763" customFormat="false" ht="15" hidden="false" customHeight="false" outlineLevel="0" collapsed="false">
      <c r="A763" s="34" t="s">
        <v>2919</v>
      </c>
      <c r="B763" s="34" t="s">
        <v>2920</v>
      </c>
      <c r="C763" s="34" t="s">
        <v>2921</v>
      </c>
      <c r="D763" s="34" t="s">
        <v>2922</v>
      </c>
      <c r="E763" s="34" t="s">
        <v>140</v>
      </c>
      <c r="F763" s="34" t="s">
        <v>1602</v>
      </c>
      <c r="G763" s="34" t="s">
        <v>300</v>
      </c>
      <c r="H763" s="34" t="s">
        <v>55</v>
      </c>
      <c r="I763" s="34" t="s">
        <v>57</v>
      </c>
      <c r="J763" s="34" t="s">
        <v>2842</v>
      </c>
      <c r="K763" s="34" t="s">
        <v>236</v>
      </c>
      <c r="L763" s="34" t="s">
        <v>230</v>
      </c>
      <c r="M763" s="34" t="s">
        <v>344</v>
      </c>
      <c r="N763" s="34" t="str">
        <f aca="false">"Sector "&amp;VALUE(MID(D763,13,2))</f>
        <v>Sector 6</v>
      </c>
      <c r="O763" s="34" t="str">
        <f aca="false">IF(Dashboard!$C$5="Ubicación técnica",N763,"Sector "&amp;VALUE(RIGHT(G763,2)))</f>
        <v>Sector 6</v>
      </c>
      <c r="P763" s="34" t="str">
        <f aca="false">IF(MID(D763,15,3)="SEL","Subestación eléctrica","Área de proceso")</f>
        <v>Subestación eléctrica</v>
      </c>
      <c r="Q763" s="34" t="str">
        <f aca="false">MID(D763,13,5)&amp;"|"&amp;MID(D763,19,5)</f>
        <v>06SEL|S_008</v>
      </c>
      <c r="R763" s="34" t="str">
        <f aca="false">IF(P763="Subestación eléctrica",IFERROR(INDEX(cat_SubN,MATCH(Q763,cat_SubK,0)),"SIN CATALOGAR"),"ÁREA DE PROCESO")</f>
        <v>SE-08</v>
      </c>
      <c r="S763" s="34" t="str">
        <f aca="false">IF(H763="","SIN DATO",IFERROR(INDEX(cat_MarcaN,MATCH(H763,cat_MarcaO,0)),H763))</f>
        <v>SEL</v>
      </c>
      <c r="T763" s="34" t="str">
        <f aca="false">IF(I763="","SIN DATO",IFERROR(INDEX(cat_ModN,MATCH(I763,cat_ModO,0)),I763))</f>
        <v>SEL-735</v>
      </c>
      <c r="U763" s="34" t="str">
        <f aca="false">IF(I763="","",IFERROR(INDEX(cat_ModG,MATCH(I763,cat_ModO,0)),"No"))</f>
        <v>No</v>
      </c>
      <c r="V763" s="34" t="str">
        <f aca="false">IF(J763="","SIN DATO",IFERROR(INDEX(cat_FunN,MATCH(J763,cat_FunO,0)),J763))</f>
        <v>Multimedidor</v>
      </c>
      <c r="W763" s="34" t="str">
        <f aca="false">IF(OR(S763="SIN DATO",T763="SIN DATO"),"No","Sí")</f>
        <v>Sí</v>
      </c>
    </row>
    <row r="764" customFormat="false" ht="15" hidden="false" customHeight="false" outlineLevel="0" collapsed="false">
      <c r="A764" s="34" t="s">
        <v>2923</v>
      </c>
      <c r="B764" s="34" t="s">
        <v>2924</v>
      </c>
      <c r="C764" s="34" t="s">
        <v>2925</v>
      </c>
      <c r="D764" s="34" t="s">
        <v>2926</v>
      </c>
      <c r="E764" s="34" t="s">
        <v>140</v>
      </c>
      <c r="F764" s="34" t="s">
        <v>1602</v>
      </c>
      <c r="G764" s="34" t="s">
        <v>300</v>
      </c>
      <c r="H764" s="34" t="s">
        <v>55</v>
      </c>
      <c r="I764" s="34" t="s">
        <v>57</v>
      </c>
      <c r="J764" s="34" t="s">
        <v>2842</v>
      </c>
      <c r="K764" s="34" t="s">
        <v>236</v>
      </c>
      <c r="L764" s="34" t="s">
        <v>230</v>
      </c>
      <c r="M764" s="34" t="s">
        <v>344</v>
      </c>
      <c r="N764" s="34" t="str">
        <f aca="false">"Sector "&amp;VALUE(MID(D764,13,2))</f>
        <v>Sector 6</v>
      </c>
      <c r="O764" s="34" t="str">
        <f aca="false">IF(Dashboard!$C$5="Ubicación técnica",N764,"Sector "&amp;VALUE(RIGHT(G764,2)))</f>
        <v>Sector 6</v>
      </c>
      <c r="P764" s="34" t="str">
        <f aca="false">IF(MID(D764,15,3)="SEL","Subestación eléctrica","Área de proceso")</f>
        <v>Subestación eléctrica</v>
      </c>
      <c r="Q764" s="34" t="str">
        <f aca="false">MID(D764,13,5)&amp;"|"&amp;MID(D764,19,5)</f>
        <v>06SEL|S_008</v>
      </c>
      <c r="R764" s="34" t="str">
        <f aca="false">IF(P764="Subestación eléctrica",IFERROR(INDEX(cat_SubN,MATCH(Q764,cat_SubK,0)),"SIN CATALOGAR"),"ÁREA DE PROCESO")</f>
        <v>SE-08</v>
      </c>
      <c r="S764" s="34" t="str">
        <f aca="false">IF(H764="","SIN DATO",IFERROR(INDEX(cat_MarcaN,MATCH(H764,cat_MarcaO,0)),H764))</f>
        <v>SEL</v>
      </c>
      <c r="T764" s="34" t="str">
        <f aca="false">IF(I764="","SIN DATO",IFERROR(INDEX(cat_ModN,MATCH(I764,cat_ModO,0)),I764))</f>
        <v>SEL-735</v>
      </c>
      <c r="U764" s="34" t="str">
        <f aca="false">IF(I764="","",IFERROR(INDEX(cat_ModG,MATCH(I764,cat_ModO,0)),"No"))</f>
        <v>No</v>
      </c>
      <c r="V764" s="34" t="str">
        <f aca="false">IF(J764="","SIN DATO",IFERROR(INDEX(cat_FunN,MATCH(J764,cat_FunO,0)),J764))</f>
        <v>Multimedidor</v>
      </c>
      <c r="W764" s="34" t="str">
        <f aca="false">IF(OR(S764="SIN DATO",T764="SIN DATO"),"No","Sí")</f>
        <v>Sí</v>
      </c>
    </row>
    <row r="765" customFormat="false" ht="15" hidden="false" customHeight="false" outlineLevel="0" collapsed="false">
      <c r="A765" s="34" t="s">
        <v>2927</v>
      </c>
      <c r="B765" s="34" t="s">
        <v>2928</v>
      </c>
      <c r="C765" s="34" t="s">
        <v>2929</v>
      </c>
      <c r="D765" s="34" t="s">
        <v>2930</v>
      </c>
      <c r="E765" s="34" t="s">
        <v>142</v>
      </c>
      <c r="F765" s="34" t="s">
        <v>1602</v>
      </c>
      <c r="G765" s="34" t="s">
        <v>300</v>
      </c>
      <c r="H765" s="34" t="s">
        <v>55</v>
      </c>
      <c r="I765" s="34" t="s">
        <v>2146</v>
      </c>
      <c r="J765" s="34" t="s">
        <v>2842</v>
      </c>
      <c r="K765" s="34" t="s">
        <v>236</v>
      </c>
      <c r="L765" s="34" t="s">
        <v>230</v>
      </c>
      <c r="M765" s="34" t="s">
        <v>344</v>
      </c>
      <c r="N765" s="34" t="str">
        <f aca="false">"Sector "&amp;VALUE(MID(D765,13,2))</f>
        <v>Sector 6</v>
      </c>
      <c r="O765" s="34" t="str">
        <f aca="false">IF(Dashboard!$C$5="Ubicación técnica",N765,"Sector "&amp;VALUE(RIGHT(G765,2)))</f>
        <v>Sector 6</v>
      </c>
      <c r="P765" s="34" t="str">
        <f aca="false">IF(MID(D765,15,3)="SEL","Subestación eléctrica","Área de proceso")</f>
        <v>Subestación eléctrica</v>
      </c>
      <c r="Q765" s="34" t="str">
        <f aca="false">MID(D765,13,5)&amp;"|"&amp;MID(D765,19,5)</f>
        <v>06SEL|S_009</v>
      </c>
      <c r="R765" s="34" t="str">
        <f aca="false">IF(P765="Subestación eléctrica",IFERROR(INDEX(cat_SubN,MATCH(Q765,cat_SubK,0)),"SIN CATALOGAR"),"ÁREA DE PROCESO")</f>
        <v>SE-09</v>
      </c>
      <c r="S765" s="34" t="str">
        <f aca="false">IF(H765="","SIN DATO",IFERROR(INDEX(cat_MarcaN,MATCH(H765,cat_MarcaO,0)),H765))</f>
        <v>SEL</v>
      </c>
      <c r="T765" s="34" t="str">
        <f aca="false">IF(I765="","SIN DATO",IFERROR(INDEX(cat_ModN,MATCH(I765,cat_ModO,0)),I765))</f>
        <v>SEL-735</v>
      </c>
      <c r="U765" s="34" t="str">
        <f aca="false">IF(I765="","",IFERROR(INDEX(cat_ModG,MATCH(I765,cat_ModO,0)),"No"))</f>
        <v>No</v>
      </c>
      <c r="V765" s="34" t="str">
        <f aca="false">IF(J765="","SIN DATO",IFERROR(INDEX(cat_FunN,MATCH(J765,cat_FunO,0)),J765))</f>
        <v>Multimedidor</v>
      </c>
      <c r="W765" s="34" t="str">
        <f aca="false">IF(OR(S765="SIN DATO",T765="SIN DATO"),"No","Sí")</f>
        <v>Sí</v>
      </c>
    </row>
    <row r="766" customFormat="false" ht="15" hidden="false" customHeight="false" outlineLevel="0" collapsed="false">
      <c r="A766" s="34" t="s">
        <v>2931</v>
      </c>
      <c r="B766" s="34" t="s">
        <v>2932</v>
      </c>
      <c r="C766" s="34" t="s">
        <v>2933</v>
      </c>
      <c r="D766" s="34" t="s">
        <v>2934</v>
      </c>
      <c r="E766" s="34" t="s">
        <v>142</v>
      </c>
      <c r="F766" s="34" t="s">
        <v>1602</v>
      </c>
      <c r="G766" s="34" t="s">
        <v>300</v>
      </c>
      <c r="H766" s="34" t="s">
        <v>55</v>
      </c>
      <c r="I766" s="34" t="s">
        <v>2146</v>
      </c>
      <c r="J766" s="34" t="s">
        <v>2842</v>
      </c>
      <c r="K766" s="34" t="s">
        <v>236</v>
      </c>
      <c r="L766" s="34" t="s">
        <v>230</v>
      </c>
      <c r="M766" s="34" t="s">
        <v>344</v>
      </c>
      <c r="N766" s="34" t="str">
        <f aca="false">"Sector "&amp;VALUE(MID(D766,13,2))</f>
        <v>Sector 6</v>
      </c>
      <c r="O766" s="34" t="str">
        <f aca="false">IF(Dashboard!$C$5="Ubicación técnica",N766,"Sector "&amp;VALUE(RIGHT(G766,2)))</f>
        <v>Sector 6</v>
      </c>
      <c r="P766" s="34" t="str">
        <f aca="false">IF(MID(D766,15,3)="SEL","Subestación eléctrica","Área de proceso")</f>
        <v>Subestación eléctrica</v>
      </c>
      <c r="Q766" s="34" t="str">
        <f aca="false">MID(D766,13,5)&amp;"|"&amp;MID(D766,19,5)</f>
        <v>06SEL|S_009</v>
      </c>
      <c r="R766" s="34" t="str">
        <f aca="false">IF(P766="Subestación eléctrica",IFERROR(INDEX(cat_SubN,MATCH(Q766,cat_SubK,0)),"SIN CATALOGAR"),"ÁREA DE PROCESO")</f>
        <v>SE-09</v>
      </c>
      <c r="S766" s="34" t="str">
        <f aca="false">IF(H766="","SIN DATO",IFERROR(INDEX(cat_MarcaN,MATCH(H766,cat_MarcaO,0)),H766))</f>
        <v>SEL</v>
      </c>
      <c r="T766" s="34" t="str">
        <f aca="false">IF(I766="","SIN DATO",IFERROR(INDEX(cat_ModN,MATCH(I766,cat_ModO,0)),I766))</f>
        <v>SEL-735</v>
      </c>
      <c r="U766" s="34" t="str">
        <f aca="false">IF(I766="","",IFERROR(INDEX(cat_ModG,MATCH(I766,cat_ModO,0)),"No"))</f>
        <v>No</v>
      </c>
      <c r="V766" s="34" t="str">
        <f aca="false">IF(J766="","SIN DATO",IFERROR(INDEX(cat_FunN,MATCH(J766,cat_FunO,0)),J766))</f>
        <v>Multimedidor</v>
      </c>
      <c r="W766" s="34" t="str">
        <f aca="false">IF(OR(S766="SIN DATO",T766="SIN DATO"),"No","Sí")</f>
        <v>Sí</v>
      </c>
    </row>
    <row r="767" customFormat="false" ht="15" hidden="false" customHeight="false" outlineLevel="0" collapsed="false">
      <c r="A767" s="34" t="s">
        <v>2935</v>
      </c>
      <c r="B767" s="34" t="s">
        <v>2936</v>
      </c>
      <c r="C767" s="34" t="s">
        <v>2937</v>
      </c>
      <c r="D767" s="34" t="s">
        <v>2938</v>
      </c>
      <c r="E767" s="34" t="s">
        <v>142</v>
      </c>
      <c r="F767" s="34" t="s">
        <v>1602</v>
      </c>
      <c r="G767" s="34" t="s">
        <v>300</v>
      </c>
      <c r="H767" s="34" t="s">
        <v>55</v>
      </c>
      <c r="I767" s="34" t="s">
        <v>2146</v>
      </c>
      <c r="J767" s="34" t="s">
        <v>2842</v>
      </c>
      <c r="K767" s="34" t="s">
        <v>236</v>
      </c>
      <c r="L767" s="34" t="s">
        <v>230</v>
      </c>
      <c r="M767" s="34" t="s">
        <v>344</v>
      </c>
      <c r="N767" s="34" t="str">
        <f aca="false">"Sector "&amp;VALUE(MID(D767,13,2))</f>
        <v>Sector 6</v>
      </c>
      <c r="O767" s="34" t="str">
        <f aca="false">IF(Dashboard!$C$5="Ubicación técnica",N767,"Sector "&amp;VALUE(RIGHT(G767,2)))</f>
        <v>Sector 6</v>
      </c>
      <c r="P767" s="34" t="str">
        <f aca="false">IF(MID(D767,15,3)="SEL","Subestación eléctrica","Área de proceso")</f>
        <v>Subestación eléctrica</v>
      </c>
      <c r="Q767" s="34" t="str">
        <f aca="false">MID(D767,13,5)&amp;"|"&amp;MID(D767,19,5)</f>
        <v>06SEL|S_009</v>
      </c>
      <c r="R767" s="34" t="str">
        <f aca="false">IF(P767="Subestación eléctrica",IFERROR(INDEX(cat_SubN,MATCH(Q767,cat_SubK,0)),"SIN CATALOGAR"),"ÁREA DE PROCESO")</f>
        <v>SE-09</v>
      </c>
      <c r="S767" s="34" t="str">
        <f aca="false">IF(H767="","SIN DATO",IFERROR(INDEX(cat_MarcaN,MATCH(H767,cat_MarcaO,0)),H767))</f>
        <v>SEL</v>
      </c>
      <c r="T767" s="34" t="str">
        <f aca="false">IF(I767="","SIN DATO",IFERROR(INDEX(cat_ModN,MATCH(I767,cat_ModO,0)),I767))</f>
        <v>SEL-735</v>
      </c>
      <c r="U767" s="34" t="str">
        <f aca="false">IF(I767="","",IFERROR(INDEX(cat_ModG,MATCH(I767,cat_ModO,0)),"No"))</f>
        <v>No</v>
      </c>
      <c r="V767" s="34" t="str">
        <f aca="false">IF(J767="","SIN DATO",IFERROR(INDEX(cat_FunN,MATCH(J767,cat_FunO,0)),J767))</f>
        <v>Multimedidor</v>
      </c>
      <c r="W767" s="34" t="str">
        <f aca="false">IF(OR(S767="SIN DATO",T767="SIN DATO"),"No","Sí")</f>
        <v>Sí</v>
      </c>
    </row>
    <row r="768" customFormat="false" ht="15" hidden="false" customHeight="false" outlineLevel="0" collapsed="false">
      <c r="A768" s="34" t="s">
        <v>2939</v>
      </c>
      <c r="B768" s="34" t="s">
        <v>2940</v>
      </c>
      <c r="C768" s="34" t="s">
        <v>2941</v>
      </c>
      <c r="D768" s="34" t="s">
        <v>2942</v>
      </c>
      <c r="E768" s="34" t="s">
        <v>142</v>
      </c>
      <c r="F768" s="34" t="s">
        <v>1602</v>
      </c>
      <c r="G768" s="34" t="s">
        <v>300</v>
      </c>
      <c r="H768" s="34" t="s">
        <v>55</v>
      </c>
      <c r="I768" s="34" t="s">
        <v>2146</v>
      </c>
      <c r="J768" s="34" t="s">
        <v>2842</v>
      </c>
      <c r="K768" s="34" t="s">
        <v>236</v>
      </c>
      <c r="L768" s="34" t="s">
        <v>230</v>
      </c>
      <c r="M768" s="34" t="s">
        <v>344</v>
      </c>
      <c r="N768" s="34" t="str">
        <f aca="false">"Sector "&amp;VALUE(MID(D768,13,2))</f>
        <v>Sector 6</v>
      </c>
      <c r="O768" s="34" t="str">
        <f aca="false">IF(Dashboard!$C$5="Ubicación técnica",N768,"Sector "&amp;VALUE(RIGHT(G768,2)))</f>
        <v>Sector 6</v>
      </c>
      <c r="P768" s="34" t="str">
        <f aca="false">IF(MID(D768,15,3)="SEL","Subestación eléctrica","Área de proceso")</f>
        <v>Subestación eléctrica</v>
      </c>
      <c r="Q768" s="34" t="str">
        <f aca="false">MID(D768,13,5)&amp;"|"&amp;MID(D768,19,5)</f>
        <v>06SEL|S_009</v>
      </c>
      <c r="R768" s="34" t="str">
        <f aca="false">IF(P768="Subestación eléctrica",IFERROR(INDEX(cat_SubN,MATCH(Q768,cat_SubK,0)),"SIN CATALOGAR"),"ÁREA DE PROCESO")</f>
        <v>SE-09</v>
      </c>
      <c r="S768" s="34" t="str">
        <f aca="false">IF(H768="","SIN DATO",IFERROR(INDEX(cat_MarcaN,MATCH(H768,cat_MarcaO,0)),H768))</f>
        <v>SEL</v>
      </c>
      <c r="T768" s="34" t="str">
        <f aca="false">IF(I768="","SIN DATO",IFERROR(INDEX(cat_ModN,MATCH(I768,cat_ModO,0)),I768))</f>
        <v>SEL-735</v>
      </c>
      <c r="U768" s="34" t="str">
        <f aca="false">IF(I768="","",IFERROR(INDEX(cat_ModG,MATCH(I768,cat_ModO,0)),"No"))</f>
        <v>No</v>
      </c>
      <c r="V768" s="34" t="str">
        <f aca="false">IF(J768="","SIN DATO",IFERROR(INDEX(cat_FunN,MATCH(J768,cat_FunO,0)),J768))</f>
        <v>Multimedidor</v>
      </c>
      <c r="W768" s="34" t="str">
        <f aca="false">IF(OR(S768="SIN DATO",T768="SIN DATO"),"No","Sí")</f>
        <v>Sí</v>
      </c>
    </row>
    <row r="769" customFormat="false" ht="15" hidden="false" customHeight="false" outlineLevel="0" collapsed="false">
      <c r="A769" s="34" t="s">
        <v>2943</v>
      </c>
      <c r="B769" s="34" t="s">
        <v>2944</v>
      </c>
      <c r="C769" s="34" t="s">
        <v>2945</v>
      </c>
      <c r="D769" s="34" t="s">
        <v>2946</v>
      </c>
      <c r="E769" s="34" t="s">
        <v>142</v>
      </c>
      <c r="F769" s="34" t="s">
        <v>1602</v>
      </c>
      <c r="G769" s="34" t="s">
        <v>300</v>
      </c>
      <c r="H769" s="34" t="s">
        <v>55</v>
      </c>
      <c r="I769" s="34" t="s">
        <v>2146</v>
      </c>
      <c r="J769" s="34" t="s">
        <v>2842</v>
      </c>
      <c r="K769" s="34" t="s">
        <v>236</v>
      </c>
      <c r="L769" s="34" t="s">
        <v>230</v>
      </c>
      <c r="M769" s="34" t="s">
        <v>344</v>
      </c>
      <c r="N769" s="34" t="str">
        <f aca="false">"Sector "&amp;VALUE(MID(D769,13,2))</f>
        <v>Sector 6</v>
      </c>
      <c r="O769" s="34" t="str">
        <f aca="false">IF(Dashboard!$C$5="Ubicación técnica",N769,"Sector "&amp;VALUE(RIGHT(G769,2)))</f>
        <v>Sector 6</v>
      </c>
      <c r="P769" s="34" t="str">
        <f aca="false">IF(MID(D769,15,3)="SEL","Subestación eléctrica","Área de proceso")</f>
        <v>Subestación eléctrica</v>
      </c>
      <c r="Q769" s="34" t="str">
        <f aca="false">MID(D769,13,5)&amp;"|"&amp;MID(D769,19,5)</f>
        <v>06SEL|S_009</v>
      </c>
      <c r="R769" s="34" t="str">
        <f aca="false">IF(P769="Subestación eléctrica",IFERROR(INDEX(cat_SubN,MATCH(Q769,cat_SubK,0)),"SIN CATALOGAR"),"ÁREA DE PROCESO")</f>
        <v>SE-09</v>
      </c>
      <c r="S769" s="34" t="str">
        <f aca="false">IF(H769="","SIN DATO",IFERROR(INDEX(cat_MarcaN,MATCH(H769,cat_MarcaO,0)),H769))</f>
        <v>SEL</v>
      </c>
      <c r="T769" s="34" t="str">
        <f aca="false">IF(I769="","SIN DATO",IFERROR(INDEX(cat_ModN,MATCH(I769,cat_ModO,0)),I769))</f>
        <v>SEL-735</v>
      </c>
      <c r="U769" s="34" t="str">
        <f aca="false">IF(I769="","",IFERROR(INDEX(cat_ModG,MATCH(I769,cat_ModO,0)),"No"))</f>
        <v>No</v>
      </c>
      <c r="V769" s="34" t="str">
        <f aca="false">IF(J769="","SIN DATO",IFERROR(INDEX(cat_FunN,MATCH(J769,cat_FunO,0)),J769))</f>
        <v>Multimedidor</v>
      </c>
      <c r="W769" s="34" t="str">
        <f aca="false">IF(OR(S769="SIN DATO",T769="SIN DATO"),"No","Sí")</f>
        <v>Sí</v>
      </c>
    </row>
    <row r="770" customFormat="false" ht="15" hidden="false" customHeight="false" outlineLevel="0" collapsed="false">
      <c r="A770" s="34" t="s">
        <v>2947</v>
      </c>
      <c r="B770" s="34" t="s">
        <v>2948</v>
      </c>
      <c r="C770" s="34" t="s">
        <v>2949</v>
      </c>
      <c r="D770" s="34" t="s">
        <v>2950</v>
      </c>
      <c r="E770" s="34" t="s">
        <v>142</v>
      </c>
      <c r="F770" s="34" t="s">
        <v>1602</v>
      </c>
      <c r="G770" s="34" t="s">
        <v>300</v>
      </c>
      <c r="H770" s="34" t="s">
        <v>55</v>
      </c>
      <c r="I770" s="34" t="s">
        <v>2146</v>
      </c>
      <c r="J770" s="34" t="s">
        <v>2842</v>
      </c>
      <c r="K770" s="34" t="s">
        <v>236</v>
      </c>
      <c r="L770" s="34" t="s">
        <v>230</v>
      </c>
      <c r="M770" s="34" t="s">
        <v>344</v>
      </c>
      <c r="N770" s="34" t="str">
        <f aca="false">"Sector "&amp;VALUE(MID(D770,13,2))</f>
        <v>Sector 6</v>
      </c>
      <c r="O770" s="34" t="str">
        <f aca="false">IF(Dashboard!$C$5="Ubicación técnica",N770,"Sector "&amp;VALUE(RIGHT(G770,2)))</f>
        <v>Sector 6</v>
      </c>
      <c r="P770" s="34" t="str">
        <f aca="false">IF(MID(D770,15,3)="SEL","Subestación eléctrica","Área de proceso")</f>
        <v>Subestación eléctrica</v>
      </c>
      <c r="Q770" s="34" t="str">
        <f aca="false">MID(D770,13,5)&amp;"|"&amp;MID(D770,19,5)</f>
        <v>06SEL|S_009</v>
      </c>
      <c r="R770" s="34" t="str">
        <f aca="false">IF(P770="Subestación eléctrica",IFERROR(INDEX(cat_SubN,MATCH(Q770,cat_SubK,0)),"SIN CATALOGAR"),"ÁREA DE PROCESO")</f>
        <v>SE-09</v>
      </c>
      <c r="S770" s="34" t="str">
        <f aca="false">IF(H770="","SIN DATO",IFERROR(INDEX(cat_MarcaN,MATCH(H770,cat_MarcaO,0)),H770))</f>
        <v>SEL</v>
      </c>
      <c r="T770" s="34" t="str">
        <f aca="false">IF(I770="","SIN DATO",IFERROR(INDEX(cat_ModN,MATCH(I770,cat_ModO,0)),I770))</f>
        <v>SEL-735</v>
      </c>
      <c r="U770" s="34" t="str">
        <f aca="false">IF(I770="","",IFERROR(INDEX(cat_ModG,MATCH(I770,cat_ModO,0)),"No"))</f>
        <v>No</v>
      </c>
      <c r="V770" s="34" t="str">
        <f aca="false">IF(J770="","SIN DATO",IFERROR(INDEX(cat_FunN,MATCH(J770,cat_FunO,0)),J770))</f>
        <v>Multimedidor</v>
      </c>
      <c r="W770" s="34" t="str">
        <f aca="false">IF(OR(S770="SIN DATO",T770="SIN DATO"),"No","Sí")</f>
        <v>Sí</v>
      </c>
    </row>
    <row r="771" customFormat="false" ht="15" hidden="false" customHeight="false" outlineLevel="0" collapsed="false">
      <c r="A771" s="34" t="s">
        <v>2951</v>
      </c>
      <c r="B771" s="34" t="s">
        <v>2628</v>
      </c>
      <c r="C771" s="34" t="s">
        <v>2629</v>
      </c>
      <c r="D771" s="34" t="s">
        <v>2769</v>
      </c>
      <c r="E771" s="34" t="s">
        <v>109</v>
      </c>
      <c r="F771" s="34" t="s">
        <v>1602</v>
      </c>
      <c r="G771" s="34" t="s">
        <v>2431</v>
      </c>
      <c r="H771" s="34" t="s">
        <v>34</v>
      </c>
      <c r="I771" s="34" t="s">
        <v>36</v>
      </c>
      <c r="J771" s="34" t="s">
        <v>681</v>
      </c>
      <c r="K771" s="34" t="s">
        <v>229</v>
      </c>
      <c r="L771" s="34" t="s">
        <v>230</v>
      </c>
      <c r="M771" s="34" t="s">
        <v>682</v>
      </c>
      <c r="N771" s="34" t="str">
        <f aca="false">"Sector "&amp;VALUE(MID(D771,13,2))</f>
        <v>Sector 1</v>
      </c>
      <c r="O771" s="34" t="str">
        <f aca="false">IF(Dashboard!$C$5="Ubicación técnica",N771,"Sector "&amp;VALUE(RIGHT(G771,2)))</f>
        <v>Sector 1</v>
      </c>
      <c r="P771" s="34" t="str">
        <f aca="false">IF(MID(D771,15,3)="SEL","Subestación eléctrica","Área de proceso")</f>
        <v>Subestación eléctrica</v>
      </c>
      <c r="Q771" s="34" t="str">
        <f aca="false">MID(D771,13,5)&amp;"|"&amp;MID(D771,19,5)</f>
        <v>01SEL|S_012</v>
      </c>
      <c r="R771" s="34" t="str">
        <f aca="false">IF(P771="Subestación eléctrica",IFERROR(INDEX(cat_SubN,MATCH(Q771,cat_SubK,0)),"SIN CATALOGAR"),"ÁREA DE PROCESO")</f>
        <v>SE-12</v>
      </c>
      <c r="S771" s="34" t="str">
        <f aca="false">IF(H771="","SIN DATO",IFERROR(INDEX(cat_MarcaN,MATCH(H771,cat_MarcaO,0)),H771))</f>
        <v>ABB</v>
      </c>
      <c r="T771" s="34" t="str">
        <f aca="false">IF(I771="","SIN DATO",IFERROR(INDEX(cat_ModN,MATCH(I771,cat_ModO,0)),I771))</f>
        <v>1AFFAEAGNEC5BNA11G</v>
      </c>
      <c r="U771" s="34" t="str">
        <f aca="false">IF(I771="","",IFERROR(INDEX(cat_ModG,MATCH(I771,cat_ModO,0)),"No"))</f>
        <v>No</v>
      </c>
      <c r="V771" s="34" t="str">
        <f aca="false">IF(J771="","SIN DATO",IFERROR(INDEX(cat_FunN,MATCH(J771,cat_FunO,0)),J771))</f>
        <v>Protección</v>
      </c>
      <c r="W771" s="34" t="str">
        <f aca="false">IF(OR(S771="SIN DATO",T771="SIN DATO"),"No","Sí")</f>
        <v>Sí</v>
      </c>
    </row>
    <row r="772" customFormat="false" ht="15" hidden="false" customHeight="false" outlineLevel="0" collapsed="false">
      <c r="A772" s="34" t="s">
        <v>2952</v>
      </c>
      <c r="B772" s="34" t="s">
        <v>2953</v>
      </c>
      <c r="C772" s="34" t="s">
        <v>2954</v>
      </c>
      <c r="D772" s="34" t="s">
        <v>2769</v>
      </c>
      <c r="E772" s="34" t="s">
        <v>109</v>
      </c>
      <c r="F772" s="34" t="s">
        <v>1602</v>
      </c>
      <c r="G772" s="34" t="s">
        <v>2431</v>
      </c>
      <c r="H772" s="34" t="s">
        <v>34</v>
      </c>
      <c r="I772" s="34" t="s">
        <v>36</v>
      </c>
      <c r="J772" s="34" t="s">
        <v>228</v>
      </c>
      <c r="K772" s="34" t="s">
        <v>229</v>
      </c>
      <c r="L772" s="34" t="s">
        <v>230</v>
      </c>
      <c r="M772" s="34" t="s">
        <v>231</v>
      </c>
      <c r="N772" s="34" t="str">
        <f aca="false">"Sector "&amp;VALUE(MID(D772,13,2))</f>
        <v>Sector 1</v>
      </c>
      <c r="O772" s="34" t="str">
        <f aca="false">IF(Dashboard!$C$5="Ubicación técnica",N772,"Sector "&amp;VALUE(RIGHT(G772,2)))</f>
        <v>Sector 1</v>
      </c>
      <c r="P772" s="34" t="str">
        <f aca="false">IF(MID(D772,15,3)="SEL","Subestación eléctrica","Área de proceso")</f>
        <v>Subestación eléctrica</v>
      </c>
      <c r="Q772" s="34" t="str">
        <f aca="false">MID(D772,13,5)&amp;"|"&amp;MID(D772,19,5)</f>
        <v>01SEL|S_012</v>
      </c>
      <c r="R772" s="34" t="str">
        <f aca="false">IF(P772="Subestación eléctrica",IFERROR(INDEX(cat_SubN,MATCH(Q772,cat_SubK,0)),"SIN CATALOGAR"),"ÁREA DE PROCESO")</f>
        <v>SE-12</v>
      </c>
      <c r="S772" s="34" t="str">
        <f aca="false">IF(H772="","SIN DATO",IFERROR(INDEX(cat_MarcaN,MATCH(H772,cat_MarcaO,0)),H772))</f>
        <v>ABB</v>
      </c>
      <c r="T772" s="34" t="str">
        <f aca="false">IF(I772="","SIN DATO",IFERROR(INDEX(cat_ModN,MATCH(I772,cat_ModO,0)),I772))</f>
        <v>1AFFAEAGNEC5BNA11G</v>
      </c>
      <c r="U772" s="34" t="str">
        <f aca="false">IF(I772="","",IFERROR(INDEX(cat_ModG,MATCH(I772,cat_ModO,0)),"No"))</f>
        <v>No</v>
      </c>
      <c r="V772" s="34" t="str">
        <f aca="false">IF(J772="","SIN DATO",IFERROR(INDEX(cat_FunN,MATCH(J772,cat_FunO,0)),J772))</f>
        <v>Protección y medición</v>
      </c>
      <c r="W772" s="34" t="str">
        <f aca="false">IF(OR(S772="SIN DATO",T772="SIN DATO"),"No","Sí")</f>
        <v>Sí</v>
      </c>
    </row>
    <row r="773" customFormat="false" ht="15" hidden="false" customHeight="false" outlineLevel="0" collapsed="false">
      <c r="A773" s="34" t="s">
        <v>2955</v>
      </c>
      <c r="B773" s="34" t="s">
        <v>2956</v>
      </c>
      <c r="C773" s="34" t="s">
        <v>2957</v>
      </c>
      <c r="D773" s="34" t="s">
        <v>2958</v>
      </c>
      <c r="E773" s="34" t="s">
        <v>109</v>
      </c>
      <c r="F773" s="34" t="s">
        <v>1602</v>
      </c>
      <c r="G773" s="34" t="s">
        <v>2431</v>
      </c>
      <c r="H773" s="34" t="s">
        <v>34</v>
      </c>
      <c r="I773" s="34" t="s">
        <v>36</v>
      </c>
      <c r="J773" s="34" t="s">
        <v>681</v>
      </c>
      <c r="K773" s="34" t="s">
        <v>229</v>
      </c>
      <c r="L773" s="34" t="s">
        <v>230</v>
      </c>
      <c r="M773" s="34" t="s">
        <v>682</v>
      </c>
      <c r="N773" s="34" t="str">
        <f aca="false">"Sector "&amp;VALUE(MID(D773,13,2))</f>
        <v>Sector 1</v>
      </c>
      <c r="O773" s="34" t="str">
        <f aca="false">IF(Dashboard!$C$5="Ubicación técnica",N773,"Sector "&amp;VALUE(RIGHT(G773,2)))</f>
        <v>Sector 1</v>
      </c>
      <c r="P773" s="34" t="str">
        <f aca="false">IF(MID(D773,15,3)="SEL","Subestación eléctrica","Área de proceso")</f>
        <v>Subestación eléctrica</v>
      </c>
      <c r="Q773" s="34" t="str">
        <f aca="false">MID(D773,13,5)&amp;"|"&amp;MID(D773,19,5)</f>
        <v>01SEL|S_012</v>
      </c>
      <c r="R773" s="34" t="str">
        <f aca="false">IF(P773="Subestación eléctrica",IFERROR(INDEX(cat_SubN,MATCH(Q773,cat_SubK,0)),"SIN CATALOGAR"),"ÁREA DE PROCESO")</f>
        <v>SE-12</v>
      </c>
      <c r="S773" s="34" t="str">
        <f aca="false">IF(H773="","SIN DATO",IFERROR(INDEX(cat_MarcaN,MATCH(H773,cat_MarcaO,0)),H773))</f>
        <v>ABB</v>
      </c>
      <c r="T773" s="34" t="str">
        <f aca="false">IF(I773="","SIN DATO",IFERROR(INDEX(cat_ModN,MATCH(I773,cat_ModO,0)),I773))</f>
        <v>1AFFAEAGNEC5BNA11G</v>
      </c>
      <c r="U773" s="34" t="str">
        <f aca="false">IF(I773="","",IFERROR(INDEX(cat_ModG,MATCH(I773,cat_ModO,0)),"No"))</f>
        <v>No</v>
      </c>
      <c r="V773" s="34" t="str">
        <f aca="false">IF(J773="","SIN DATO",IFERROR(INDEX(cat_FunN,MATCH(J773,cat_FunO,0)),J773))</f>
        <v>Protección</v>
      </c>
      <c r="W773" s="34" t="str">
        <f aca="false">IF(OR(S773="SIN DATO",T773="SIN DATO"),"No","Sí")</f>
        <v>Sí</v>
      </c>
    </row>
    <row r="774" customFormat="false" ht="15" hidden="false" customHeight="false" outlineLevel="0" collapsed="false">
      <c r="A774" s="34" t="s">
        <v>2959</v>
      </c>
      <c r="B774" s="34" t="s">
        <v>2960</v>
      </c>
      <c r="C774" s="34" t="s">
        <v>2961</v>
      </c>
      <c r="D774" s="34" t="s">
        <v>2958</v>
      </c>
      <c r="E774" s="34" t="s">
        <v>109</v>
      </c>
      <c r="F774" s="34" t="s">
        <v>1602</v>
      </c>
      <c r="G774" s="34" t="s">
        <v>2431</v>
      </c>
      <c r="H774" s="34" t="s">
        <v>34</v>
      </c>
      <c r="I774" s="34" t="s">
        <v>36</v>
      </c>
      <c r="J774" s="34" t="s">
        <v>681</v>
      </c>
      <c r="K774" s="34" t="s">
        <v>229</v>
      </c>
      <c r="L774" s="34" t="s">
        <v>230</v>
      </c>
      <c r="M774" s="34" t="s">
        <v>682</v>
      </c>
      <c r="N774" s="34" t="str">
        <f aca="false">"Sector "&amp;VALUE(MID(D774,13,2))</f>
        <v>Sector 1</v>
      </c>
      <c r="O774" s="34" t="str">
        <f aca="false">IF(Dashboard!$C$5="Ubicación técnica",N774,"Sector "&amp;VALUE(RIGHT(G774,2)))</f>
        <v>Sector 1</v>
      </c>
      <c r="P774" s="34" t="str">
        <f aca="false">IF(MID(D774,15,3)="SEL","Subestación eléctrica","Área de proceso")</f>
        <v>Subestación eléctrica</v>
      </c>
      <c r="Q774" s="34" t="str">
        <f aca="false">MID(D774,13,5)&amp;"|"&amp;MID(D774,19,5)</f>
        <v>01SEL|S_012</v>
      </c>
      <c r="R774" s="34" t="str">
        <f aca="false">IF(P774="Subestación eléctrica",IFERROR(INDEX(cat_SubN,MATCH(Q774,cat_SubK,0)),"SIN CATALOGAR"),"ÁREA DE PROCESO")</f>
        <v>SE-12</v>
      </c>
      <c r="S774" s="34" t="str">
        <f aca="false">IF(H774="","SIN DATO",IFERROR(INDEX(cat_MarcaN,MATCH(H774,cat_MarcaO,0)),H774))</f>
        <v>ABB</v>
      </c>
      <c r="T774" s="34" t="str">
        <f aca="false">IF(I774="","SIN DATO",IFERROR(INDEX(cat_ModN,MATCH(I774,cat_ModO,0)),I774))</f>
        <v>1AFFAEAGNEC5BNA11G</v>
      </c>
      <c r="U774" s="34" t="str">
        <f aca="false">IF(I774="","",IFERROR(INDEX(cat_ModG,MATCH(I774,cat_ModO,0)),"No"))</f>
        <v>No</v>
      </c>
      <c r="V774" s="34" t="str">
        <f aca="false">IF(J774="","SIN DATO",IFERROR(INDEX(cat_FunN,MATCH(J774,cat_FunO,0)),J774))</f>
        <v>Protección</v>
      </c>
      <c r="W774" s="34" t="str">
        <f aca="false">IF(OR(S774="SIN DATO",T774="SIN DATO"),"No","Sí")</f>
        <v>Sí</v>
      </c>
    </row>
    <row r="775" customFormat="false" ht="15" hidden="false" customHeight="false" outlineLevel="0" collapsed="false">
      <c r="A775" s="34" t="s">
        <v>2962</v>
      </c>
      <c r="B775" s="34" t="s">
        <v>2963</v>
      </c>
      <c r="C775" s="34" t="s">
        <v>2964</v>
      </c>
      <c r="D775" s="34" t="s">
        <v>2958</v>
      </c>
      <c r="E775" s="34" t="s">
        <v>109</v>
      </c>
      <c r="F775" s="34" t="s">
        <v>1602</v>
      </c>
      <c r="G775" s="34" t="s">
        <v>2431</v>
      </c>
      <c r="H775" s="34" t="s">
        <v>34</v>
      </c>
      <c r="I775" s="34" t="s">
        <v>36</v>
      </c>
      <c r="J775" s="34" t="s">
        <v>228</v>
      </c>
      <c r="K775" s="34" t="s">
        <v>229</v>
      </c>
      <c r="L775" s="34" t="s">
        <v>230</v>
      </c>
      <c r="M775" s="34" t="s">
        <v>231</v>
      </c>
      <c r="N775" s="34" t="str">
        <f aca="false">"Sector "&amp;VALUE(MID(D775,13,2))</f>
        <v>Sector 1</v>
      </c>
      <c r="O775" s="34" t="str">
        <f aca="false">IF(Dashboard!$C$5="Ubicación técnica",N775,"Sector "&amp;VALUE(RIGHT(G775,2)))</f>
        <v>Sector 1</v>
      </c>
      <c r="P775" s="34" t="str">
        <f aca="false">IF(MID(D775,15,3)="SEL","Subestación eléctrica","Área de proceso")</f>
        <v>Subestación eléctrica</v>
      </c>
      <c r="Q775" s="34" t="str">
        <f aca="false">MID(D775,13,5)&amp;"|"&amp;MID(D775,19,5)</f>
        <v>01SEL|S_012</v>
      </c>
      <c r="R775" s="34" t="str">
        <f aca="false">IF(P775="Subestación eléctrica",IFERROR(INDEX(cat_SubN,MATCH(Q775,cat_SubK,0)),"SIN CATALOGAR"),"ÁREA DE PROCESO")</f>
        <v>SE-12</v>
      </c>
      <c r="S775" s="34" t="str">
        <f aca="false">IF(H775="","SIN DATO",IFERROR(INDEX(cat_MarcaN,MATCH(H775,cat_MarcaO,0)),H775))</f>
        <v>ABB</v>
      </c>
      <c r="T775" s="34" t="str">
        <f aca="false">IF(I775="","SIN DATO",IFERROR(INDEX(cat_ModN,MATCH(I775,cat_ModO,0)),I775))</f>
        <v>1AFFAEAGNEC5BNA11G</v>
      </c>
      <c r="U775" s="34" t="str">
        <f aca="false">IF(I775="","",IFERROR(INDEX(cat_ModG,MATCH(I775,cat_ModO,0)),"No"))</f>
        <v>No</v>
      </c>
      <c r="V775" s="34" t="str">
        <f aca="false">IF(J775="","SIN DATO",IFERROR(INDEX(cat_FunN,MATCH(J775,cat_FunO,0)),J775))</f>
        <v>Protección y medición</v>
      </c>
      <c r="W775" s="34" t="str">
        <f aca="false">IF(OR(S775="SIN DATO",T775="SIN DATO"),"No","Sí")</f>
        <v>Sí</v>
      </c>
    </row>
    <row r="776" customFormat="false" ht="15" hidden="false" customHeight="false" outlineLevel="0" collapsed="false">
      <c r="A776" s="34" t="s">
        <v>2965</v>
      </c>
      <c r="B776" s="34" t="s">
        <v>2645</v>
      </c>
      <c r="C776" s="34" t="s">
        <v>2646</v>
      </c>
      <c r="D776" s="34" t="s">
        <v>2966</v>
      </c>
      <c r="E776" s="34" t="s">
        <v>109</v>
      </c>
      <c r="F776" s="34" t="s">
        <v>1602</v>
      </c>
      <c r="G776" s="34" t="s">
        <v>2431</v>
      </c>
      <c r="H776" s="34" t="s">
        <v>34</v>
      </c>
      <c r="I776" s="34" t="s">
        <v>36</v>
      </c>
      <c r="J776" s="34" t="s">
        <v>681</v>
      </c>
      <c r="K776" s="34" t="s">
        <v>229</v>
      </c>
      <c r="L776" s="34" t="s">
        <v>230</v>
      </c>
      <c r="M776" s="34" t="s">
        <v>682</v>
      </c>
      <c r="N776" s="34" t="str">
        <f aca="false">"Sector "&amp;VALUE(MID(D776,13,2))</f>
        <v>Sector 1</v>
      </c>
      <c r="O776" s="34" t="str">
        <f aca="false">IF(Dashboard!$C$5="Ubicación técnica",N776,"Sector "&amp;VALUE(RIGHT(G776,2)))</f>
        <v>Sector 1</v>
      </c>
      <c r="P776" s="34" t="str">
        <f aca="false">IF(MID(D776,15,3)="SEL","Subestación eléctrica","Área de proceso")</f>
        <v>Subestación eléctrica</v>
      </c>
      <c r="Q776" s="34" t="str">
        <f aca="false">MID(D776,13,5)&amp;"|"&amp;MID(D776,19,5)</f>
        <v>01SEL|S_012</v>
      </c>
      <c r="R776" s="34" t="str">
        <f aca="false">IF(P776="Subestación eléctrica",IFERROR(INDEX(cat_SubN,MATCH(Q776,cat_SubK,0)),"SIN CATALOGAR"),"ÁREA DE PROCESO")</f>
        <v>SE-12</v>
      </c>
      <c r="S776" s="34" t="str">
        <f aca="false">IF(H776="","SIN DATO",IFERROR(INDEX(cat_MarcaN,MATCH(H776,cat_MarcaO,0)),H776))</f>
        <v>ABB</v>
      </c>
      <c r="T776" s="34" t="str">
        <f aca="false">IF(I776="","SIN DATO",IFERROR(INDEX(cat_ModN,MATCH(I776,cat_ModO,0)),I776))</f>
        <v>1AFFAEAGNEC5BNA11G</v>
      </c>
      <c r="U776" s="34" t="str">
        <f aca="false">IF(I776="","",IFERROR(INDEX(cat_ModG,MATCH(I776,cat_ModO,0)),"No"))</f>
        <v>No</v>
      </c>
      <c r="V776" s="34" t="str">
        <f aca="false">IF(J776="","SIN DATO",IFERROR(INDEX(cat_FunN,MATCH(J776,cat_FunO,0)),J776))</f>
        <v>Protección</v>
      </c>
      <c r="W776" s="34" t="str">
        <f aca="false">IF(OR(S776="SIN DATO",T776="SIN DATO"),"No","Sí")</f>
        <v>Sí</v>
      </c>
    </row>
    <row r="777" customFormat="false" ht="15" hidden="false" customHeight="false" outlineLevel="0" collapsed="false">
      <c r="A777" s="34" t="s">
        <v>2967</v>
      </c>
      <c r="B777" s="34" t="s">
        <v>2649</v>
      </c>
      <c r="C777" s="34" t="s">
        <v>2650</v>
      </c>
      <c r="D777" s="34" t="s">
        <v>2966</v>
      </c>
      <c r="E777" s="34" t="s">
        <v>109</v>
      </c>
      <c r="F777" s="34" t="s">
        <v>1602</v>
      </c>
      <c r="G777" s="34" t="s">
        <v>2431</v>
      </c>
      <c r="H777" s="34" t="s">
        <v>34</v>
      </c>
      <c r="I777" s="34" t="s">
        <v>36</v>
      </c>
      <c r="J777" s="34" t="s">
        <v>681</v>
      </c>
      <c r="K777" s="34" t="s">
        <v>229</v>
      </c>
      <c r="L777" s="34" t="s">
        <v>230</v>
      </c>
      <c r="M777" s="34" t="s">
        <v>682</v>
      </c>
      <c r="N777" s="34" t="str">
        <f aca="false">"Sector "&amp;VALUE(MID(D777,13,2))</f>
        <v>Sector 1</v>
      </c>
      <c r="O777" s="34" t="str">
        <f aca="false">IF(Dashboard!$C$5="Ubicación técnica",N777,"Sector "&amp;VALUE(RIGHT(G777,2)))</f>
        <v>Sector 1</v>
      </c>
      <c r="P777" s="34" t="str">
        <f aca="false">IF(MID(D777,15,3)="SEL","Subestación eléctrica","Área de proceso")</f>
        <v>Subestación eléctrica</v>
      </c>
      <c r="Q777" s="34" t="str">
        <f aca="false">MID(D777,13,5)&amp;"|"&amp;MID(D777,19,5)</f>
        <v>01SEL|S_012</v>
      </c>
      <c r="R777" s="34" t="str">
        <f aca="false">IF(P777="Subestación eléctrica",IFERROR(INDEX(cat_SubN,MATCH(Q777,cat_SubK,0)),"SIN CATALOGAR"),"ÁREA DE PROCESO")</f>
        <v>SE-12</v>
      </c>
      <c r="S777" s="34" t="str">
        <f aca="false">IF(H777="","SIN DATO",IFERROR(INDEX(cat_MarcaN,MATCH(H777,cat_MarcaO,0)),H777))</f>
        <v>ABB</v>
      </c>
      <c r="T777" s="34" t="str">
        <f aca="false">IF(I777="","SIN DATO",IFERROR(INDEX(cat_ModN,MATCH(I777,cat_ModO,0)),I777))</f>
        <v>1AFFAEAGNEC5BNA11G</v>
      </c>
      <c r="U777" s="34" t="str">
        <f aca="false">IF(I777="","",IFERROR(INDEX(cat_ModG,MATCH(I777,cat_ModO,0)),"No"))</f>
        <v>No</v>
      </c>
      <c r="V777" s="34" t="str">
        <f aca="false">IF(J777="","SIN DATO",IFERROR(INDEX(cat_FunN,MATCH(J777,cat_FunO,0)),J777))</f>
        <v>Protección</v>
      </c>
      <c r="W777" s="34" t="str">
        <f aca="false">IF(OR(S777="SIN DATO",T777="SIN DATO"),"No","Sí")</f>
        <v>Sí</v>
      </c>
    </row>
    <row r="778" customFormat="false" ht="15" hidden="false" customHeight="false" outlineLevel="0" collapsed="false">
      <c r="A778" s="34" t="s">
        <v>2968</v>
      </c>
      <c r="B778" s="34" t="s">
        <v>2969</v>
      </c>
      <c r="C778" s="34" t="s">
        <v>2970</v>
      </c>
      <c r="D778" s="34" t="s">
        <v>2966</v>
      </c>
      <c r="E778" s="34" t="s">
        <v>109</v>
      </c>
      <c r="F778" s="34" t="s">
        <v>1602</v>
      </c>
      <c r="G778" s="34" t="s">
        <v>2431</v>
      </c>
      <c r="H778" s="34" t="s">
        <v>34</v>
      </c>
      <c r="I778" s="34" t="s">
        <v>36</v>
      </c>
      <c r="J778" s="34" t="s">
        <v>228</v>
      </c>
      <c r="K778" s="34" t="s">
        <v>229</v>
      </c>
      <c r="L778" s="34" t="s">
        <v>230</v>
      </c>
      <c r="M778" s="34" t="s">
        <v>231</v>
      </c>
      <c r="N778" s="34" t="str">
        <f aca="false">"Sector "&amp;VALUE(MID(D778,13,2))</f>
        <v>Sector 1</v>
      </c>
      <c r="O778" s="34" t="str">
        <f aca="false">IF(Dashboard!$C$5="Ubicación técnica",N778,"Sector "&amp;VALUE(RIGHT(G778,2)))</f>
        <v>Sector 1</v>
      </c>
      <c r="P778" s="34" t="str">
        <f aca="false">IF(MID(D778,15,3)="SEL","Subestación eléctrica","Área de proceso")</f>
        <v>Subestación eléctrica</v>
      </c>
      <c r="Q778" s="34" t="str">
        <f aca="false">MID(D778,13,5)&amp;"|"&amp;MID(D778,19,5)</f>
        <v>01SEL|S_012</v>
      </c>
      <c r="R778" s="34" t="str">
        <f aca="false">IF(P778="Subestación eléctrica",IFERROR(INDEX(cat_SubN,MATCH(Q778,cat_SubK,0)),"SIN CATALOGAR"),"ÁREA DE PROCESO")</f>
        <v>SE-12</v>
      </c>
      <c r="S778" s="34" t="str">
        <f aca="false">IF(H778="","SIN DATO",IFERROR(INDEX(cat_MarcaN,MATCH(H778,cat_MarcaO,0)),H778))</f>
        <v>ABB</v>
      </c>
      <c r="T778" s="34" t="str">
        <f aca="false">IF(I778="","SIN DATO",IFERROR(INDEX(cat_ModN,MATCH(I778,cat_ModO,0)),I778))</f>
        <v>1AFFAEAGNEC5BNA11G</v>
      </c>
      <c r="U778" s="34" t="str">
        <f aca="false">IF(I778="","",IFERROR(INDEX(cat_ModG,MATCH(I778,cat_ModO,0)),"No"))</f>
        <v>No</v>
      </c>
      <c r="V778" s="34" t="str">
        <f aca="false">IF(J778="","SIN DATO",IFERROR(INDEX(cat_FunN,MATCH(J778,cat_FunO,0)),J778))</f>
        <v>Protección y medición</v>
      </c>
      <c r="W778" s="34" t="str">
        <f aca="false">IF(OR(S778="SIN DATO",T778="SIN DATO"),"No","Sí")</f>
        <v>Sí</v>
      </c>
    </row>
    <row r="779" customFormat="false" ht="15" hidden="false" customHeight="false" outlineLevel="0" collapsed="false">
      <c r="A779" s="34" t="s">
        <v>2971</v>
      </c>
      <c r="B779" s="34" t="s">
        <v>2972</v>
      </c>
      <c r="C779" s="34" t="s">
        <v>2973</v>
      </c>
      <c r="D779" s="34" t="s">
        <v>2966</v>
      </c>
      <c r="E779" s="34" t="s">
        <v>109</v>
      </c>
      <c r="F779" s="34" t="s">
        <v>1602</v>
      </c>
      <c r="G779" s="34" t="s">
        <v>2431</v>
      </c>
      <c r="H779" s="34" t="s">
        <v>34</v>
      </c>
      <c r="I779" s="34" t="s">
        <v>36</v>
      </c>
      <c r="J779" s="34" t="s">
        <v>228</v>
      </c>
      <c r="K779" s="34" t="s">
        <v>229</v>
      </c>
      <c r="L779" s="34" t="s">
        <v>230</v>
      </c>
      <c r="M779" s="34" t="s">
        <v>231</v>
      </c>
      <c r="N779" s="34" t="str">
        <f aca="false">"Sector "&amp;VALUE(MID(D779,13,2))</f>
        <v>Sector 1</v>
      </c>
      <c r="O779" s="34" t="str">
        <f aca="false">IF(Dashboard!$C$5="Ubicación técnica",N779,"Sector "&amp;VALUE(RIGHT(G779,2)))</f>
        <v>Sector 1</v>
      </c>
      <c r="P779" s="34" t="str">
        <f aca="false">IF(MID(D779,15,3)="SEL","Subestación eléctrica","Área de proceso")</f>
        <v>Subestación eléctrica</v>
      </c>
      <c r="Q779" s="34" t="str">
        <f aca="false">MID(D779,13,5)&amp;"|"&amp;MID(D779,19,5)</f>
        <v>01SEL|S_012</v>
      </c>
      <c r="R779" s="34" t="str">
        <f aca="false">IF(P779="Subestación eléctrica",IFERROR(INDEX(cat_SubN,MATCH(Q779,cat_SubK,0)),"SIN CATALOGAR"),"ÁREA DE PROCESO")</f>
        <v>SE-12</v>
      </c>
      <c r="S779" s="34" t="str">
        <f aca="false">IF(H779="","SIN DATO",IFERROR(INDEX(cat_MarcaN,MATCH(H779,cat_MarcaO,0)),H779))</f>
        <v>ABB</v>
      </c>
      <c r="T779" s="34" t="str">
        <f aca="false">IF(I779="","SIN DATO",IFERROR(INDEX(cat_ModN,MATCH(I779,cat_ModO,0)),I779))</f>
        <v>1AFFAEAGNEC5BNA11G</v>
      </c>
      <c r="U779" s="34" t="str">
        <f aca="false">IF(I779="","",IFERROR(INDEX(cat_ModG,MATCH(I779,cat_ModO,0)),"No"))</f>
        <v>No</v>
      </c>
      <c r="V779" s="34" t="str">
        <f aca="false">IF(J779="","SIN DATO",IFERROR(INDEX(cat_FunN,MATCH(J779,cat_FunO,0)),J779))</f>
        <v>Protección y medición</v>
      </c>
      <c r="W779" s="34" t="str">
        <f aca="false">IF(OR(S779="SIN DATO",T779="SIN DATO"),"No","Sí")</f>
        <v>Sí</v>
      </c>
    </row>
    <row r="780" customFormat="false" ht="15" hidden="false" customHeight="false" outlineLevel="0" collapsed="false">
      <c r="A780" s="34" t="s">
        <v>2974</v>
      </c>
      <c r="B780" s="34" t="s">
        <v>2658</v>
      </c>
      <c r="C780" s="34" t="s">
        <v>2659</v>
      </c>
      <c r="D780" s="34" t="s">
        <v>2769</v>
      </c>
      <c r="E780" s="34" t="s">
        <v>109</v>
      </c>
      <c r="F780" s="34" t="s">
        <v>1602</v>
      </c>
      <c r="G780" s="34" t="s">
        <v>2431</v>
      </c>
      <c r="H780" s="34" t="s">
        <v>34</v>
      </c>
      <c r="I780" s="34" t="s">
        <v>36</v>
      </c>
      <c r="J780" s="34" t="s">
        <v>681</v>
      </c>
      <c r="K780" s="34" t="s">
        <v>229</v>
      </c>
      <c r="L780" s="34" t="s">
        <v>230</v>
      </c>
      <c r="M780" s="34" t="s">
        <v>682</v>
      </c>
      <c r="N780" s="34" t="str">
        <f aca="false">"Sector "&amp;VALUE(MID(D780,13,2))</f>
        <v>Sector 1</v>
      </c>
      <c r="O780" s="34" t="str">
        <f aca="false">IF(Dashboard!$C$5="Ubicación técnica",N780,"Sector "&amp;VALUE(RIGHT(G780,2)))</f>
        <v>Sector 1</v>
      </c>
      <c r="P780" s="34" t="str">
        <f aca="false">IF(MID(D780,15,3)="SEL","Subestación eléctrica","Área de proceso")</f>
        <v>Subestación eléctrica</v>
      </c>
      <c r="Q780" s="34" t="str">
        <f aca="false">MID(D780,13,5)&amp;"|"&amp;MID(D780,19,5)</f>
        <v>01SEL|S_012</v>
      </c>
      <c r="R780" s="34" t="str">
        <f aca="false">IF(P780="Subestación eléctrica",IFERROR(INDEX(cat_SubN,MATCH(Q780,cat_SubK,0)),"SIN CATALOGAR"),"ÁREA DE PROCESO")</f>
        <v>SE-12</v>
      </c>
      <c r="S780" s="34" t="str">
        <f aca="false">IF(H780="","SIN DATO",IFERROR(INDEX(cat_MarcaN,MATCH(H780,cat_MarcaO,0)),H780))</f>
        <v>ABB</v>
      </c>
      <c r="T780" s="34" t="str">
        <f aca="false">IF(I780="","SIN DATO",IFERROR(INDEX(cat_ModN,MATCH(I780,cat_ModO,0)),I780))</f>
        <v>1AFFAEAGNEC5BNA11G</v>
      </c>
      <c r="U780" s="34" t="str">
        <f aca="false">IF(I780="","",IFERROR(INDEX(cat_ModG,MATCH(I780,cat_ModO,0)),"No"))</f>
        <v>No</v>
      </c>
      <c r="V780" s="34" t="str">
        <f aca="false">IF(J780="","SIN DATO",IFERROR(INDEX(cat_FunN,MATCH(J780,cat_FunO,0)),J780))</f>
        <v>Protección</v>
      </c>
      <c r="W780" s="34" t="str">
        <f aca="false">IF(OR(S780="SIN DATO",T780="SIN DATO"),"No","Sí")</f>
        <v>Sí</v>
      </c>
    </row>
    <row r="781" customFormat="false" ht="15" hidden="false" customHeight="false" outlineLevel="0" collapsed="false">
      <c r="A781" s="34" t="s">
        <v>2975</v>
      </c>
      <c r="B781" s="34" t="s">
        <v>2976</v>
      </c>
      <c r="C781" s="34" t="s">
        <v>2977</v>
      </c>
      <c r="D781" s="34" t="s">
        <v>2769</v>
      </c>
      <c r="E781" s="34" t="s">
        <v>109</v>
      </c>
      <c r="F781" s="34" t="s">
        <v>1602</v>
      </c>
      <c r="G781" s="34" t="s">
        <v>2431</v>
      </c>
      <c r="H781" s="34" t="s">
        <v>34</v>
      </c>
      <c r="I781" s="34" t="s">
        <v>36</v>
      </c>
      <c r="J781" s="34" t="s">
        <v>228</v>
      </c>
      <c r="K781" s="34" t="s">
        <v>229</v>
      </c>
      <c r="L781" s="34" t="s">
        <v>230</v>
      </c>
      <c r="M781" s="34" t="s">
        <v>231</v>
      </c>
      <c r="N781" s="34" t="str">
        <f aca="false">"Sector "&amp;VALUE(MID(D781,13,2))</f>
        <v>Sector 1</v>
      </c>
      <c r="O781" s="34" t="str">
        <f aca="false">IF(Dashboard!$C$5="Ubicación técnica",N781,"Sector "&amp;VALUE(RIGHT(G781,2)))</f>
        <v>Sector 1</v>
      </c>
      <c r="P781" s="34" t="str">
        <f aca="false">IF(MID(D781,15,3)="SEL","Subestación eléctrica","Área de proceso")</f>
        <v>Subestación eléctrica</v>
      </c>
      <c r="Q781" s="34" t="str">
        <f aca="false">MID(D781,13,5)&amp;"|"&amp;MID(D781,19,5)</f>
        <v>01SEL|S_012</v>
      </c>
      <c r="R781" s="34" t="str">
        <f aca="false">IF(P781="Subestación eléctrica",IFERROR(INDEX(cat_SubN,MATCH(Q781,cat_SubK,0)),"SIN CATALOGAR"),"ÁREA DE PROCESO")</f>
        <v>SE-12</v>
      </c>
      <c r="S781" s="34" t="str">
        <f aca="false">IF(H781="","SIN DATO",IFERROR(INDEX(cat_MarcaN,MATCH(H781,cat_MarcaO,0)),H781))</f>
        <v>ABB</v>
      </c>
      <c r="T781" s="34" t="str">
        <f aca="false">IF(I781="","SIN DATO",IFERROR(INDEX(cat_ModN,MATCH(I781,cat_ModO,0)),I781))</f>
        <v>1AFFAEAGNEC5BNA11G</v>
      </c>
      <c r="U781" s="34" t="str">
        <f aca="false">IF(I781="","",IFERROR(INDEX(cat_ModG,MATCH(I781,cat_ModO,0)),"No"))</f>
        <v>No</v>
      </c>
      <c r="V781" s="34" t="str">
        <f aca="false">IF(J781="","SIN DATO",IFERROR(INDEX(cat_FunN,MATCH(J781,cat_FunO,0)),J781))</f>
        <v>Protección y medición</v>
      </c>
      <c r="W781" s="34" t="str">
        <f aca="false">IF(OR(S781="SIN DATO",T781="SIN DATO"),"No","Sí")</f>
        <v>Sí</v>
      </c>
    </row>
    <row r="782" customFormat="false" ht="15" hidden="false" customHeight="false" outlineLevel="0" collapsed="false">
      <c r="A782" s="34" t="s">
        <v>2978</v>
      </c>
      <c r="B782" s="34" t="s">
        <v>2664</v>
      </c>
      <c r="C782" s="34" t="s">
        <v>2665</v>
      </c>
      <c r="D782" s="34" t="s">
        <v>2769</v>
      </c>
      <c r="E782" s="34" t="s">
        <v>109</v>
      </c>
      <c r="F782" s="34" t="s">
        <v>1602</v>
      </c>
      <c r="G782" s="34" t="s">
        <v>2431</v>
      </c>
      <c r="H782" s="34" t="s">
        <v>34</v>
      </c>
      <c r="I782" s="34" t="s">
        <v>36</v>
      </c>
      <c r="J782" s="34" t="s">
        <v>681</v>
      </c>
      <c r="K782" s="34" t="s">
        <v>229</v>
      </c>
      <c r="L782" s="34" t="s">
        <v>230</v>
      </c>
      <c r="M782" s="34" t="s">
        <v>682</v>
      </c>
      <c r="N782" s="34" t="str">
        <f aca="false">"Sector "&amp;VALUE(MID(D782,13,2))</f>
        <v>Sector 1</v>
      </c>
      <c r="O782" s="34" t="str">
        <f aca="false">IF(Dashboard!$C$5="Ubicación técnica",N782,"Sector "&amp;VALUE(RIGHT(G782,2)))</f>
        <v>Sector 1</v>
      </c>
      <c r="P782" s="34" t="str">
        <f aca="false">IF(MID(D782,15,3)="SEL","Subestación eléctrica","Área de proceso")</f>
        <v>Subestación eléctrica</v>
      </c>
      <c r="Q782" s="34" t="str">
        <f aca="false">MID(D782,13,5)&amp;"|"&amp;MID(D782,19,5)</f>
        <v>01SEL|S_012</v>
      </c>
      <c r="R782" s="34" t="str">
        <f aca="false">IF(P782="Subestación eléctrica",IFERROR(INDEX(cat_SubN,MATCH(Q782,cat_SubK,0)),"SIN CATALOGAR"),"ÁREA DE PROCESO")</f>
        <v>SE-12</v>
      </c>
      <c r="S782" s="34" t="str">
        <f aca="false">IF(H782="","SIN DATO",IFERROR(INDEX(cat_MarcaN,MATCH(H782,cat_MarcaO,0)),H782))</f>
        <v>ABB</v>
      </c>
      <c r="T782" s="34" t="str">
        <f aca="false">IF(I782="","SIN DATO",IFERROR(INDEX(cat_ModN,MATCH(I782,cat_ModO,0)),I782))</f>
        <v>1AFFAEAGNEC5BNA11G</v>
      </c>
      <c r="U782" s="34" t="str">
        <f aca="false">IF(I782="","",IFERROR(INDEX(cat_ModG,MATCH(I782,cat_ModO,0)),"No"))</f>
        <v>No</v>
      </c>
      <c r="V782" s="34" t="str">
        <f aca="false">IF(J782="","SIN DATO",IFERROR(INDEX(cat_FunN,MATCH(J782,cat_FunO,0)),J782))</f>
        <v>Protección</v>
      </c>
      <c r="W782" s="34" t="str">
        <f aca="false">IF(OR(S782="SIN DATO",T782="SIN DATO"),"No","Sí")</f>
        <v>Sí</v>
      </c>
    </row>
    <row r="783" customFormat="false" ht="15" hidden="false" customHeight="false" outlineLevel="0" collapsed="false">
      <c r="A783" s="34" t="s">
        <v>2979</v>
      </c>
      <c r="B783" s="34" t="s">
        <v>2980</v>
      </c>
      <c r="C783" s="34" t="s">
        <v>2981</v>
      </c>
      <c r="D783" s="34" t="s">
        <v>2982</v>
      </c>
      <c r="E783" s="34" t="s">
        <v>134</v>
      </c>
      <c r="F783" s="34" t="s">
        <v>1602</v>
      </c>
      <c r="G783" s="34" t="s">
        <v>2983</v>
      </c>
      <c r="H783" s="34" t="s">
        <v>34</v>
      </c>
      <c r="I783" s="34" t="s">
        <v>39</v>
      </c>
      <c r="J783" s="34" t="s">
        <v>681</v>
      </c>
      <c r="K783" s="34" t="s">
        <v>229</v>
      </c>
      <c r="L783" s="34" t="s">
        <v>230</v>
      </c>
      <c r="M783" s="34" t="s">
        <v>231</v>
      </c>
      <c r="N783" s="34" t="str">
        <f aca="false">"Sector "&amp;VALUE(MID(D783,13,2))</f>
        <v>Sector 5</v>
      </c>
      <c r="O783" s="34" t="str">
        <f aca="false">IF(Dashboard!$C$5="Ubicación técnica",N783,"Sector "&amp;VALUE(RIGHT(G783,2)))</f>
        <v>Sector 5</v>
      </c>
      <c r="P783" s="34" t="str">
        <f aca="false">IF(MID(D783,15,3)="SEL","Subestación eléctrica","Área de proceso")</f>
        <v>Subestación eléctrica</v>
      </c>
      <c r="Q783" s="34" t="str">
        <f aca="false">MID(D783,13,5)&amp;"|"&amp;MID(D783,19,5)</f>
        <v>05SEL|S_006</v>
      </c>
      <c r="R783" s="34" t="str">
        <f aca="false">IF(P783="Subestación eléctrica",IFERROR(INDEX(cat_SubN,MATCH(Q783,cat_SubK,0)),"SIN CATALOGAR"),"ÁREA DE PROCESO")</f>
        <v>SE-06</v>
      </c>
      <c r="S783" s="34" t="str">
        <f aca="false">IF(H783="","SIN DATO",IFERROR(INDEX(cat_MarcaN,MATCH(H783,cat_MarcaO,0)),H783))</f>
        <v>ABB</v>
      </c>
      <c r="T783" s="34" t="str">
        <f aca="false">IF(I783="","SIN DATO",IFERROR(INDEX(cat_ModN,MATCH(I783,cat_ModO,0)),I783))</f>
        <v>REF</v>
      </c>
      <c r="U783" s="34" t="str">
        <f aca="false">IF(I783="","",IFERROR(INDEX(cat_ModG,MATCH(I783,cat_ModO,0)),"No"))</f>
        <v>Sí</v>
      </c>
      <c r="V783" s="34" t="str">
        <f aca="false">IF(J783="","SIN DATO",IFERROR(INDEX(cat_FunN,MATCH(J783,cat_FunO,0)),J783))</f>
        <v>Protección</v>
      </c>
      <c r="W783" s="34" t="str">
        <f aca="false">IF(OR(S783="SIN DATO",T783="SIN DATO"),"No","Sí")</f>
        <v>Sí</v>
      </c>
    </row>
    <row r="784" customFormat="false" ht="15" hidden="false" customHeight="false" outlineLevel="0" collapsed="false">
      <c r="A784" s="34" t="s">
        <v>2984</v>
      </c>
      <c r="B784" s="34" t="s">
        <v>2985</v>
      </c>
      <c r="C784" s="34" t="s">
        <v>2986</v>
      </c>
      <c r="D784" s="34" t="s">
        <v>2982</v>
      </c>
      <c r="E784" s="34" t="s">
        <v>134</v>
      </c>
      <c r="F784" s="34" t="s">
        <v>1602</v>
      </c>
      <c r="G784" s="34" t="s">
        <v>2983</v>
      </c>
      <c r="H784" s="34" t="s">
        <v>99</v>
      </c>
      <c r="I784" s="34" t="s">
        <v>98</v>
      </c>
      <c r="J784" s="34" t="s">
        <v>58</v>
      </c>
      <c r="K784" s="34" t="s">
        <v>229</v>
      </c>
      <c r="L784" s="34" t="s">
        <v>230</v>
      </c>
      <c r="M784" s="34" t="s">
        <v>2987</v>
      </c>
      <c r="N784" s="34" t="str">
        <f aca="false">"Sector "&amp;VALUE(MID(D784,13,2))</f>
        <v>Sector 5</v>
      </c>
      <c r="O784" s="34" t="str">
        <f aca="false">IF(Dashboard!$C$5="Ubicación técnica",N784,"Sector "&amp;VALUE(RIGHT(G784,2)))</f>
        <v>Sector 5</v>
      </c>
      <c r="P784" s="34" t="str">
        <f aca="false">IF(MID(D784,15,3)="SEL","Subestación eléctrica","Área de proceso")</f>
        <v>Subestación eléctrica</v>
      </c>
      <c r="Q784" s="34" t="str">
        <f aca="false">MID(D784,13,5)&amp;"|"&amp;MID(D784,19,5)</f>
        <v>05SEL|S_006</v>
      </c>
      <c r="R784" s="34" t="str">
        <f aca="false">IF(P784="Subestación eléctrica",IFERROR(INDEX(cat_SubN,MATCH(Q784,cat_SubK,0)),"SIN CATALOGAR"),"ÁREA DE PROCESO")</f>
        <v>SE-06</v>
      </c>
      <c r="S784" s="34" t="str">
        <f aca="false">IF(H784="","SIN DATO",IFERROR(INDEX(cat_MarcaN,MATCH(H784,cat_MarcaO,0)),H784))</f>
        <v>GAUGETECH</v>
      </c>
      <c r="T784" s="34" t="str">
        <f aca="false">IF(I784="","SIN DATO",IFERROR(INDEX(cat_ModN,MATCH(I784,cat_ModO,0)),I784))</f>
        <v>SHARK</v>
      </c>
      <c r="U784" s="34" t="str">
        <f aca="false">IF(I784="","",IFERROR(INDEX(cat_ModG,MATCH(I784,cat_ModO,0)),"No"))</f>
        <v>No</v>
      </c>
      <c r="V784" s="34" t="str">
        <f aca="false">IF(J784="","SIN DATO",IFERROR(INDEX(cat_FunN,MATCH(J784,cat_FunO,0)),J784))</f>
        <v>Medición</v>
      </c>
      <c r="W784" s="34" t="str">
        <f aca="false">IF(OR(S784="SIN DATO",T784="SIN DATO"),"No","Sí")</f>
        <v>Sí</v>
      </c>
    </row>
    <row r="785" customFormat="false" ht="15" hidden="false" customHeight="false" outlineLevel="0" collapsed="false">
      <c r="A785" s="34" t="s">
        <v>2988</v>
      </c>
      <c r="B785" s="34" t="s">
        <v>2989</v>
      </c>
      <c r="C785" s="34" t="s">
        <v>2990</v>
      </c>
      <c r="D785" s="34" t="s">
        <v>2991</v>
      </c>
      <c r="E785" s="34" t="s">
        <v>134</v>
      </c>
      <c r="F785" s="34" t="s">
        <v>1602</v>
      </c>
      <c r="G785" s="34" t="s">
        <v>2983</v>
      </c>
      <c r="H785" s="34" t="s">
        <v>34</v>
      </c>
      <c r="I785" s="34" t="s">
        <v>39</v>
      </c>
      <c r="J785" s="34" t="s">
        <v>681</v>
      </c>
      <c r="K785" s="34" t="s">
        <v>229</v>
      </c>
      <c r="L785" s="34" t="s">
        <v>230</v>
      </c>
      <c r="M785" s="34" t="s">
        <v>231</v>
      </c>
      <c r="N785" s="34" t="str">
        <f aca="false">"Sector "&amp;VALUE(MID(D785,13,2))</f>
        <v>Sector 5</v>
      </c>
      <c r="O785" s="34" t="str">
        <f aca="false">IF(Dashboard!$C$5="Ubicación técnica",N785,"Sector "&amp;VALUE(RIGHT(G785,2)))</f>
        <v>Sector 5</v>
      </c>
      <c r="P785" s="34" t="str">
        <f aca="false">IF(MID(D785,15,3)="SEL","Subestación eléctrica","Área de proceso")</f>
        <v>Subestación eléctrica</v>
      </c>
      <c r="Q785" s="34" t="str">
        <f aca="false">MID(D785,13,5)&amp;"|"&amp;MID(D785,19,5)</f>
        <v>05SEL|S_006</v>
      </c>
      <c r="R785" s="34" t="str">
        <f aca="false">IF(P785="Subestación eléctrica",IFERROR(INDEX(cat_SubN,MATCH(Q785,cat_SubK,0)),"SIN CATALOGAR"),"ÁREA DE PROCESO")</f>
        <v>SE-06</v>
      </c>
      <c r="S785" s="34" t="str">
        <f aca="false">IF(H785="","SIN DATO",IFERROR(INDEX(cat_MarcaN,MATCH(H785,cat_MarcaO,0)),H785))</f>
        <v>ABB</v>
      </c>
      <c r="T785" s="34" t="str">
        <f aca="false">IF(I785="","SIN DATO",IFERROR(INDEX(cat_ModN,MATCH(I785,cat_ModO,0)),I785))</f>
        <v>REF</v>
      </c>
      <c r="U785" s="34" t="str">
        <f aca="false">IF(I785="","",IFERROR(INDEX(cat_ModG,MATCH(I785,cat_ModO,0)),"No"))</f>
        <v>Sí</v>
      </c>
      <c r="V785" s="34" t="str">
        <f aca="false">IF(J785="","SIN DATO",IFERROR(INDEX(cat_FunN,MATCH(J785,cat_FunO,0)),J785))</f>
        <v>Protección</v>
      </c>
      <c r="W785" s="34" t="str">
        <f aca="false">IF(OR(S785="SIN DATO",T785="SIN DATO"),"No","Sí")</f>
        <v>Sí</v>
      </c>
    </row>
    <row r="786" customFormat="false" ht="15" hidden="false" customHeight="false" outlineLevel="0" collapsed="false">
      <c r="A786" s="34" t="s">
        <v>2992</v>
      </c>
      <c r="B786" s="34" t="s">
        <v>2993</v>
      </c>
      <c r="C786" s="34" t="s">
        <v>2994</v>
      </c>
      <c r="D786" s="34" t="s">
        <v>2991</v>
      </c>
      <c r="E786" s="34" t="s">
        <v>134</v>
      </c>
      <c r="F786" s="34" t="s">
        <v>1602</v>
      </c>
      <c r="G786" s="34" t="s">
        <v>2983</v>
      </c>
      <c r="H786" s="34" t="s">
        <v>99</v>
      </c>
      <c r="I786" s="34" t="s">
        <v>98</v>
      </c>
      <c r="J786" s="34" t="s">
        <v>58</v>
      </c>
      <c r="K786" s="34" t="s">
        <v>229</v>
      </c>
      <c r="L786" s="34" t="s">
        <v>230</v>
      </c>
      <c r="M786" s="34" t="s">
        <v>2987</v>
      </c>
      <c r="N786" s="34" t="str">
        <f aca="false">"Sector "&amp;VALUE(MID(D786,13,2))</f>
        <v>Sector 5</v>
      </c>
      <c r="O786" s="34" t="str">
        <f aca="false">IF(Dashboard!$C$5="Ubicación técnica",N786,"Sector "&amp;VALUE(RIGHT(G786,2)))</f>
        <v>Sector 5</v>
      </c>
      <c r="P786" s="34" t="str">
        <f aca="false">IF(MID(D786,15,3)="SEL","Subestación eléctrica","Área de proceso")</f>
        <v>Subestación eléctrica</v>
      </c>
      <c r="Q786" s="34" t="str">
        <f aca="false">MID(D786,13,5)&amp;"|"&amp;MID(D786,19,5)</f>
        <v>05SEL|S_006</v>
      </c>
      <c r="R786" s="34" t="str">
        <f aca="false">IF(P786="Subestación eléctrica",IFERROR(INDEX(cat_SubN,MATCH(Q786,cat_SubK,0)),"SIN CATALOGAR"),"ÁREA DE PROCESO")</f>
        <v>SE-06</v>
      </c>
      <c r="S786" s="34" t="str">
        <f aca="false">IF(H786="","SIN DATO",IFERROR(INDEX(cat_MarcaN,MATCH(H786,cat_MarcaO,0)),H786))</f>
        <v>GAUGETECH</v>
      </c>
      <c r="T786" s="34" t="str">
        <f aca="false">IF(I786="","SIN DATO",IFERROR(INDEX(cat_ModN,MATCH(I786,cat_ModO,0)),I786))</f>
        <v>SHARK</v>
      </c>
      <c r="U786" s="34" t="str">
        <f aca="false">IF(I786="","",IFERROR(INDEX(cat_ModG,MATCH(I786,cat_ModO,0)),"No"))</f>
        <v>No</v>
      </c>
      <c r="V786" s="34" t="str">
        <f aca="false">IF(J786="","SIN DATO",IFERROR(INDEX(cat_FunN,MATCH(J786,cat_FunO,0)),J786))</f>
        <v>Medición</v>
      </c>
      <c r="W786" s="34" t="str">
        <f aca="false">IF(OR(S786="SIN DATO",T786="SIN DATO"),"No","Sí")</f>
        <v>Sí</v>
      </c>
    </row>
    <row r="787" customFormat="false" ht="15" hidden="false" customHeight="false" outlineLevel="0" collapsed="false">
      <c r="A787" s="34" t="s">
        <v>2995</v>
      </c>
      <c r="B787" s="34" t="s">
        <v>2996</v>
      </c>
      <c r="C787" s="34" t="s">
        <v>2997</v>
      </c>
      <c r="D787" s="34" t="s">
        <v>2998</v>
      </c>
      <c r="E787" s="34" t="s">
        <v>134</v>
      </c>
      <c r="F787" s="34" t="s">
        <v>1602</v>
      </c>
      <c r="G787" s="34" t="s">
        <v>2983</v>
      </c>
      <c r="H787" s="34" t="s">
        <v>34</v>
      </c>
      <c r="I787" s="34" t="s">
        <v>39</v>
      </c>
      <c r="J787" s="34" t="s">
        <v>681</v>
      </c>
      <c r="K787" s="34" t="s">
        <v>229</v>
      </c>
      <c r="L787" s="34" t="s">
        <v>230</v>
      </c>
      <c r="M787" s="34" t="s">
        <v>231</v>
      </c>
      <c r="N787" s="34" t="str">
        <f aca="false">"Sector "&amp;VALUE(MID(D787,13,2))</f>
        <v>Sector 5</v>
      </c>
      <c r="O787" s="34" t="str">
        <f aca="false">IF(Dashboard!$C$5="Ubicación técnica",N787,"Sector "&amp;VALUE(RIGHT(G787,2)))</f>
        <v>Sector 5</v>
      </c>
      <c r="P787" s="34" t="str">
        <f aca="false">IF(MID(D787,15,3)="SEL","Subestación eléctrica","Área de proceso")</f>
        <v>Subestación eléctrica</v>
      </c>
      <c r="Q787" s="34" t="str">
        <f aca="false">MID(D787,13,5)&amp;"|"&amp;MID(D787,19,5)</f>
        <v>05SEL|S_006</v>
      </c>
      <c r="R787" s="34" t="str">
        <f aca="false">IF(P787="Subestación eléctrica",IFERROR(INDEX(cat_SubN,MATCH(Q787,cat_SubK,0)),"SIN CATALOGAR"),"ÁREA DE PROCESO")</f>
        <v>SE-06</v>
      </c>
      <c r="S787" s="34" t="str">
        <f aca="false">IF(H787="","SIN DATO",IFERROR(INDEX(cat_MarcaN,MATCH(H787,cat_MarcaO,0)),H787))</f>
        <v>ABB</v>
      </c>
      <c r="T787" s="34" t="str">
        <f aca="false">IF(I787="","SIN DATO",IFERROR(INDEX(cat_ModN,MATCH(I787,cat_ModO,0)),I787))</f>
        <v>REF</v>
      </c>
      <c r="U787" s="34" t="str">
        <f aca="false">IF(I787="","",IFERROR(INDEX(cat_ModG,MATCH(I787,cat_ModO,0)),"No"))</f>
        <v>Sí</v>
      </c>
      <c r="V787" s="34" t="str">
        <f aca="false">IF(J787="","SIN DATO",IFERROR(INDEX(cat_FunN,MATCH(J787,cat_FunO,0)),J787))</f>
        <v>Protección</v>
      </c>
      <c r="W787" s="34" t="str">
        <f aca="false">IF(OR(S787="SIN DATO",T787="SIN DATO"),"No","Sí")</f>
        <v>Sí</v>
      </c>
    </row>
    <row r="788" customFormat="false" ht="15" hidden="false" customHeight="false" outlineLevel="0" collapsed="false">
      <c r="A788" s="34" t="s">
        <v>2999</v>
      </c>
      <c r="B788" s="34" t="s">
        <v>3000</v>
      </c>
      <c r="C788" s="34" t="s">
        <v>3001</v>
      </c>
      <c r="D788" s="34" t="s">
        <v>2998</v>
      </c>
      <c r="E788" s="34" t="s">
        <v>134</v>
      </c>
      <c r="F788" s="34" t="s">
        <v>1602</v>
      </c>
      <c r="G788" s="34" t="s">
        <v>2983</v>
      </c>
      <c r="H788" s="34" t="s">
        <v>34</v>
      </c>
      <c r="I788" s="34" t="s">
        <v>39</v>
      </c>
      <c r="J788" s="34" t="s">
        <v>681</v>
      </c>
      <c r="K788" s="34" t="s">
        <v>229</v>
      </c>
      <c r="L788" s="34" t="s">
        <v>230</v>
      </c>
      <c r="M788" s="34" t="s">
        <v>231</v>
      </c>
      <c r="N788" s="34" t="str">
        <f aca="false">"Sector "&amp;VALUE(MID(D788,13,2))</f>
        <v>Sector 5</v>
      </c>
      <c r="O788" s="34" t="str">
        <f aca="false">IF(Dashboard!$C$5="Ubicación técnica",N788,"Sector "&amp;VALUE(RIGHT(G788,2)))</f>
        <v>Sector 5</v>
      </c>
      <c r="P788" s="34" t="str">
        <f aca="false">IF(MID(D788,15,3)="SEL","Subestación eléctrica","Área de proceso")</f>
        <v>Subestación eléctrica</v>
      </c>
      <c r="Q788" s="34" t="str">
        <f aca="false">MID(D788,13,5)&amp;"|"&amp;MID(D788,19,5)</f>
        <v>05SEL|S_006</v>
      </c>
      <c r="R788" s="34" t="str">
        <f aca="false">IF(P788="Subestación eléctrica",IFERROR(INDEX(cat_SubN,MATCH(Q788,cat_SubK,0)),"SIN CATALOGAR"),"ÁREA DE PROCESO")</f>
        <v>SE-06</v>
      </c>
      <c r="S788" s="34" t="str">
        <f aca="false">IF(H788="","SIN DATO",IFERROR(INDEX(cat_MarcaN,MATCH(H788,cat_MarcaO,0)),H788))</f>
        <v>ABB</v>
      </c>
      <c r="T788" s="34" t="str">
        <f aca="false">IF(I788="","SIN DATO",IFERROR(INDEX(cat_ModN,MATCH(I788,cat_ModO,0)),I788))</f>
        <v>REF</v>
      </c>
      <c r="U788" s="34" t="str">
        <f aca="false">IF(I788="","",IFERROR(INDEX(cat_ModG,MATCH(I788,cat_ModO,0)),"No"))</f>
        <v>Sí</v>
      </c>
      <c r="V788" s="34" t="str">
        <f aca="false">IF(J788="","SIN DATO",IFERROR(INDEX(cat_FunN,MATCH(J788,cat_FunO,0)),J788))</f>
        <v>Protección</v>
      </c>
      <c r="W788" s="34" t="str">
        <f aca="false">IF(OR(S788="SIN DATO",T788="SIN DATO"),"No","Sí")</f>
        <v>Sí</v>
      </c>
    </row>
    <row r="789" customFormat="false" ht="15" hidden="false" customHeight="false" outlineLevel="0" collapsed="false">
      <c r="A789" s="34" t="s">
        <v>3002</v>
      </c>
      <c r="B789" s="34" t="s">
        <v>3003</v>
      </c>
      <c r="C789" s="34" t="s">
        <v>3004</v>
      </c>
      <c r="D789" s="34" t="s">
        <v>2998</v>
      </c>
      <c r="E789" s="34" t="s">
        <v>134</v>
      </c>
      <c r="F789" s="34" t="s">
        <v>1602</v>
      </c>
      <c r="G789" s="34" t="s">
        <v>2983</v>
      </c>
      <c r="H789" s="34" t="s">
        <v>99</v>
      </c>
      <c r="I789" s="34" t="s">
        <v>98</v>
      </c>
      <c r="J789" s="34" t="s">
        <v>58</v>
      </c>
      <c r="K789" s="34" t="s">
        <v>229</v>
      </c>
      <c r="L789" s="34" t="s">
        <v>230</v>
      </c>
      <c r="M789" s="34" t="s">
        <v>2987</v>
      </c>
      <c r="N789" s="34" t="str">
        <f aca="false">"Sector "&amp;VALUE(MID(D789,13,2))</f>
        <v>Sector 5</v>
      </c>
      <c r="O789" s="34" t="str">
        <f aca="false">IF(Dashboard!$C$5="Ubicación técnica",N789,"Sector "&amp;VALUE(RIGHT(G789,2)))</f>
        <v>Sector 5</v>
      </c>
      <c r="P789" s="34" t="str">
        <f aca="false">IF(MID(D789,15,3)="SEL","Subestación eléctrica","Área de proceso")</f>
        <v>Subestación eléctrica</v>
      </c>
      <c r="Q789" s="34" t="str">
        <f aca="false">MID(D789,13,5)&amp;"|"&amp;MID(D789,19,5)</f>
        <v>05SEL|S_006</v>
      </c>
      <c r="R789" s="34" t="str">
        <f aca="false">IF(P789="Subestación eléctrica",IFERROR(INDEX(cat_SubN,MATCH(Q789,cat_SubK,0)),"SIN CATALOGAR"),"ÁREA DE PROCESO")</f>
        <v>SE-06</v>
      </c>
      <c r="S789" s="34" t="str">
        <f aca="false">IF(H789="","SIN DATO",IFERROR(INDEX(cat_MarcaN,MATCH(H789,cat_MarcaO,0)),H789))</f>
        <v>GAUGETECH</v>
      </c>
      <c r="T789" s="34" t="str">
        <f aca="false">IF(I789="","SIN DATO",IFERROR(INDEX(cat_ModN,MATCH(I789,cat_ModO,0)),I789))</f>
        <v>SHARK</v>
      </c>
      <c r="U789" s="34" t="str">
        <f aca="false">IF(I789="","",IFERROR(INDEX(cat_ModG,MATCH(I789,cat_ModO,0)),"No"))</f>
        <v>No</v>
      </c>
      <c r="V789" s="34" t="str">
        <f aca="false">IF(J789="","SIN DATO",IFERROR(INDEX(cat_FunN,MATCH(J789,cat_FunO,0)),J789))</f>
        <v>Medición</v>
      </c>
      <c r="W789" s="34" t="str">
        <f aca="false">IF(OR(S789="SIN DATO",T789="SIN DATO"),"No","Sí")</f>
        <v>Sí</v>
      </c>
    </row>
    <row r="790" customFormat="false" ht="15" hidden="false" customHeight="false" outlineLevel="0" collapsed="false">
      <c r="A790" s="34" t="s">
        <v>3005</v>
      </c>
      <c r="B790" s="34" t="s">
        <v>3006</v>
      </c>
      <c r="C790" s="34" t="s">
        <v>3007</v>
      </c>
      <c r="D790" s="34" t="s">
        <v>3008</v>
      </c>
      <c r="E790" s="34" t="s">
        <v>134</v>
      </c>
      <c r="F790" s="34" t="s">
        <v>1602</v>
      </c>
      <c r="G790" s="34" t="s">
        <v>2983</v>
      </c>
      <c r="H790" s="34" t="s">
        <v>34</v>
      </c>
      <c r="I790" s="34" t="s">
        <v>39</v>
      </c>
      <c r="J790" s="34" t="s">
        <v>681</v>
      </c>
      <c r="K790" s="34" t="s">
        <v>229</v>
      </c>
      <c r="L790" s="34" t="s">
        <v>230</v>
      </c>
      <c r="M790" s="34" t="s">
        <v>231</v>
      </c>
      <c r="N790" s="34" t="str">
        <f aca="false">"Sector "&amp;VALUE(MID(D790,13,2))</f>
        <v>Sector 5</v>
      </c>
      <c r="O790" s="34" t="str">
        <f aca="false">IF(Dashboard!$C$5="Ubicación técnica",N790,"Sector "&amp;VALUE(RIGHT(G790,2)))</f>
        <v>Sector 5</v>
      </c>
      <c r="P790" s="34" t="str">
        <f aca="false">IF(MID(D790,15,3)="SEL","Subestación eléctrica","Área de proceso")</f>
        <v>Subestación eléctrica</v>
      </c>
      <c r="Q790" s="34" t="str">
        <f aca="false">MID(D790,13,5)&amp;"|"&amp;MID(D790,19,5)</f>
        <v>05SEL|S_006</v>
      </c>
      <c r="R790" s="34" t="str">
        <f aca="false">IF(P790="Subestación eléctrica",IFERROR(INDEX(cat_SubN,MATCH(Q790,cat_SubK,0)),"SIN CATALOGAR"),"ÁREA DE PROCESO")</f>
        <v>SE-06</v>
      </c>
      <c r="S790" s="34" t="str">
        <f aca="false">IF(H790="","SIN DATO",IFERROR(INDEX(cat_MarcaN,MATCH(H790,cat_MarcaO,0)),H790))</f>
        <v>ABB</v>
      </c>
      <c r="T790" s="34" t="str">
        <f aca="false">IF(I790="","SIN DATO",IFERROR(INDEX(cat_ModN,MATCH(I790,cat_ModO,0)),I790))</f>
        <v>REF</v>
      </c>
      <c r="U790" s="34" t="str">
        <f aca="false">IF(I790="","",IFERROR(INDEX(cat_ModG,MATCH(I790,cat_ModO,0)),"No"))</f>
        <v>Sí</v>
      </c>
      <c r="V790" s="34" t="str">
        <f aca="false">IF(J790="","SIN DATO",IFERROR(INDEX(cat_FunN,MATCH(J790,cat_FunO,0)),J790))</f>
        <v>Protección</v>
      </c>
      <c r="W790" s="34" t="str">
        <f aca="false">IF(OR(S790="SIN DATO",T790="SIN DATO"),"No","Sí")</f>
        <v>Sí</v>
      </c>
    </row>
    <row r="791" customFormat="false" ht="15" hidden="false" customHeight="false" outlineLevel="0" collapsed="false">
      <c r="A791" s="34" t="s">
        <v>3009</v>
      </c>
      <c r="B791" s="34" t="s">
        <v>3010</v>
      </c>
      <c r="C791" s="34" t="s">
        <v>3011</v>
      </c>
      <c r="D791" s="34" t="s">
        <v>3008</v>
      </c>
      <c r="E791" s="34" t="s">
        <v>134</v>
      </c>
      <c r="F791" s="34" t="s">
        <v>1602</v>
      </c>
      <c r="G791" s="34" t="s">
        <v>2983</v>
      </c>
      <c r="H791" s="34" t="s">
        <v>99</v>
      </c>
      <c r="I791" s="34" t="s">
        <v>98</v>
      </c>
      <c r="J791" s="34" t="s">
        <v>58</v>
      </c>
      <c r="K791" s="34" t="s">
        <v>229</v>
      </c>
      <c r="L791" s="34" t="s">
        <v>230</v>
      </c>
      <c r="M791" s="34" t="s">
        <v>2987</v>
      </c>
      <c r="N791" s="34" t="str">
        <f aca="false">"Sector "&amp;VALUE(MID(D791,13,2))</f>
        <v>Sector 5</v>
      </c>
      <c r="O791" s="34" t="str">
        <f aca="false">IF(Dashboard!$C$5="Ubicación técnica",N791,"Sector "&amp;VALUE(RIGHT(G791,2)))</f>
        <v>Sector 5</v>
      </c>
      <c r="P791" s="34" t="str">
        <f aca="false">IF(MID(D791,15,3)="SEL","Subestación eléctrica","Área de proceso")</f>
        <v>Subestación eléctrica</v>
      </c>
      <c r="Q791" s="34" t="str">
        <f aca="false">MID(D791,13,5)&amp;"|"&amp;MID(D791,19,5)</f>
        <v>05SEL|S_006</v>
      </c>
      <c r="R791" s="34" t="str">
        <f aca="false">IF(P791="Subestación eléctrica",IFERROR(INDEX(cat_SubN,MATCH(Q791,cat_SubK,0)),"SIN CATALOGAR"),"ÁREA DE PROCESO")</f>
        <v>SE-06</v>
      </c>
      <c r="S791" s="34" t="str">
        <f aca="false">IF(H791="","SIN DATO",IFERROR(INDEX(cat_MarcaN,MATCH(H791,cat_MarcaO,0)),H791))</f>
        <v>GAUGETECH</v>
      </c>
      <c r="T791" s="34" t="str">
        <f aca="false">IF(I791="","SIN DATO",IFERROR(INDEX(cat_ModN,MATCH(I791,cat_ModO,0)),I791))</f>
        <v>SHARK</v>
      </c>
      <c r="U791" s="34" t="str">
        <f aca="false">IF(I791="","",IFERROR(INDEX(cat_ModG,MATCH(I791,cat_ModO,0)),"No"))</f>
        <v>No</v>
      </c>
      <c r="V791" s="34" t="str">
        <f aca="false">IF(J791="","SIN DATO",IFERROR(INDEX(cat_FunN,MATCH(J791,cat_FunO,0)),J791))</f>
        <v>Medición</v>
      </c>
      <c r="W791" s="34" t="str">
        <f aca="false">IF(OR(S791="SIN DATO",T791="SIN DATO"),"No","Sí")</f>
        <v>Sí</v>
      </c>
    </row>
    <row r="792" customFormat="false" ht="15" hidden="false" customHeight="false" outlineLevel="0" collapsed="false">
      <c r="A792" s="34" t="s">
        <v>3012</v>
      </c>
      <c r="B792" s="34" t="s">
        <v>3013</v>
      </c>
      <c r="C792" s="34" t="s">
        <v>3014</v>
      </c>
      <c r="D792" s="34" t="s">
        <v>3015</v>
      </c>
      <c r="E792" s="34" t="s">
        <v>134</v>
      </c>
      <c r="F792" s="34" t="s">
        <v>1602</v>
      </c>
      <c r="G792" s="34" t="s">
        <v>2983</v>
      </c>
      <c r="H792" s="34" t="s">
        <v>34</v>
      </c>
      <c r="I792" s="34" t="s">
        <v>39</v>
      </c>
      <c r="J792" s="34" t="s">
        <v>681</v>
      </c>
      <c r="K792" s="34" t="s">
        <v>229</v>
      </c>
      <c r="L792" s="34" t="s">
        <v>230</v>
      </c>
      <c r="M792" s="34" t="s">
        <v>231</v>
      </c>
      <c r="N792" s="34" t="str">
        <f aca="false">"Sector "&amp;VALUE(MID(D792,13,2))</f>
        <v>Sector 5</v>
      </c>
      <c r="O792" s="34" t="str">
        <f aca="false">IF(Dashboard!$C$5="Ubicación técnica",N792,"Sector "&amp;VALUE(RIGHT(G792,2)))</f>
        <v>Sector 5</v>
      </c>
      <c r="P792" s="34" t="str">
        <f aca="false">IF(MID(D792,15,3)="SEL","Subestación eléctrica","Área de proceso")</f>
        <v>Subestación eléctrica</v>
      </c>
      <c r="Q792" s="34" t="str">
        <f aca="false">MID(D792,13,5)&amp;"|"&amp;MID(D792,19,5)</f>
        <v>05SEL|S_006</v>
      </c>
      <c r="R792" s="34" t="str">
        <f aca="false">IF(P792="Subestación eléctrica",IFERROR(INDEX(cat_SubN,MATCH(Q792,cat_SubK,0)),"SIN CATALOGAR"),"ÁREA DE PROCESO")</f>
        <v>SE-06</v>
      </c>
      <c r="S792" s="34" t="str">
        <f aca="false">IF(H792="","SIN DATO",IFERROR(INDEX(cat_MarcaN,MATCH(H792,cat_MarcaO,0)),H792))</f>
        <v>ABB</v>
      </c>
      <c r="T792" s="34" t="str">
        <f aca="false">IF(I792="","SIN DATO",IFERROR(INDEX(cat_ModN,MATCH(I792,cat_ModO,0)),I792))</f>
        <v>REF</v>
      </c>
      <c r="U792" s="34" t="str">
        <f aca="false">IF(I792="","",IFERROR(INDEX(cat_ModG,MATCH(I792,cat_ModO,0)),"No"))</f>
        <v>Sí</v>
      </c>
      <c r="V792" s="34" t="str">
        <f aca="false">IF(J792="","SIN DATO",IFERROR(INDEX(cat_FunN,MATCH(J792,cat_FunO,0)),J792))</f>
        <v>Protección</v>
      </c>
      <c r="W792" s="34" t="str">
        <f aca="false">IF(OR(S792="SIN DATO",T792="SIN DATO"),"No","Sí")</f>
        <v>Sí</v>
      </c>
    </row>
    <row r="793" customFormat="false" ht="15" hidden="false" customHeight="false" outlineLevel="0" collapsed="false">
      <c r="A793" s="34" t="s">
        <v>3016</v>
      </c>
      <c r="B793" s="34" t="s">
        <v>3017</v>
      </c>
      <c r="C793" s="34" t="s">
        <v>3018</v>
      </c>
      <c r="D793" s="34" t="s">
        <v>3015</v>
      </c>
      <c r="E793" s="34" t="s">
        <v>134</v>
      </c>
      <c r="F793" s="34" t="s">
        <v>1602</v>
      </c>
      <c r="G793" s="34" t="s">
        <v>2983</v>
      </c>
      <c r="H793" s="34" t="s">
        <v>34</v>
      </c>
      <c r="I793" s="34" t="s">
        <v>39</v>
      </c>
      <c r="J793" s="34" t="s">
        <v>681</v>
      </c>
      <c r="K793" s="34" t="s">
        <v>229</v>
      </c>
      <c r="L793" s="34" t="s">
        <v>230</v>
      </c>
      <c r="M793" s="34" t="s">
        <v>231</v>
      </c>
      <c r="N793" s="34" t="str">
        <f aca="false">"Sector "&amp;VALUE(MID(D793,13,2))</f>
        <v>Sector 5</v>
      </c>
      <c r="O793" s="34" t="str">
        <f aca="false">IF(Dashboard!$C$5="Ubicación técnica",N793,"Sector "&amp;VALUE(RIGHT(G793,2)))</f>
        <v>Sector 5</v>
      </c>
      <c r="P793" s="34" t="str">
        <f aca="false">IF(MID(D793,15,3)="SEL","Subestación eléctrica","Área de proceso")</f>
        <v>Subestación eléctrica</v>
      </c>
      <c r="Q793" s="34" t="str">
        <f aca="false">MID(D793,13,5)&amp;"|"&amp;MID(D793,19,5)</f>
        <v>05SEL|S_006</v>
      </c>
      <c r="R793" s="34" t="str">
        <f aca="false">IF(P793="Subestación eléctrica",IFERROR(INDEX(cat_SubN,MATCH(Q793,cat_SubK,0)),"SIN CATALOGAR"),"ÁREA DE PROCESO")</f>
        <v>SE-06</v>
      </c>
      <c r="S793" s="34" t="str">
        <f aca="false">IF(H793="","SIN DATO",IFERROR(INDEX(cat_MarcaN,MATCH(H793,cat_MarcaO,0)),H793))</f>
        <v>ABB</v>
      </c>
      <c r="T793" s="34" t="str">
        <f aca="false">IF(I793="","SIN DATO",IFERROR(INDEX(cat_ModN,MATCH(I793,cat_ModO,0)),I793))</f>
        <v>REF</v>
      </c>
      <c r="U793" s="34" t="str">
        <f aca="false">IF(I793="","",IFERROR(INDEX(cat_ModG,MATCH(I793,cat_ModO,0)),"No"))</f>
        <v>Sí</v>
      </c>
      <c r="V793" s="34" t="str">
        <f aca="false">IF(J793="","SIN DATO",IFERROR(INDEX(cat_FunN,MATCH(J793,cat_FunO,0)),J793))</f>
        <v>Protección</v>
      </c>
      <c r="W793" s="34" t="str">
        <f aca="false">IF(OR(S793="SIN DATO",T793="SIN DATO"),"No","Sí")</f>
        <v>Sí</v>
      </c>
    </row>
    <row r="794" customFormat="false" ht="15" hidden="false" customHeight="false" outlineLevel="0" collapsed="false">
      <c r="A794" s="34" t="s">
        <v>3019</v>
      </c>
      <c r="B794" s="34" t="s">
        <v>3020</v>
      </c>
      <c r="C794" s="34" t="s">
        <v>3021</v>
      </c>
      <c r="D794" s="34" t="s">
        <v>3015</v>
      </c>
      <c r="E794" s="34" t="s">
        <v>134</v>
      </c>
      <c r="F794" s="34" t="s">
        <v>1602</v>
      </c>
      <c r="G794" s="34" t="s">
        <v>2983</v>
      </c>
      <c r="H794" s="34" t="s">
        <v>99</v>
      </c>
      <c r="I794" s="34" t="s">
        <v>98</v>
      </c>
      <c r="J794" s="34" t="s">
        <v>58</v>
      </c>
      <c r="K794" s="34" t="s">
        <v>229</v>
      </c>
      <c r="L794" s="34" t="s">
        <v>230</v>
      </c>
      <c r="M794" s="34" t="s">
        <v>2987</v>
      </c>
      <c r="N794" s="34" t="str">
        <f aca="false">"Sector "&amp;VALUE(MID(D794,13,2))</f>
        <v>Sector 5</v>
      </c>
      <c r="O794" s="34" t="str">
        <f aca="false">IF(Dashboard!$C$5="Ubicación técnica",N794,"Sector "&amp;VALUE(RIGHT(G794,2)))</f>
        <v>Sector 5</v>
      </c>
      <c r="P794" s="34" t="str">
        <f aca="false">IF(MID(D794,15,3)="SEL","Subestación eléctrica","Área de proceso")</f>
        <v>Subestación eléctrica</v>
      </c>
      <c r="Q794" s="34" t="str">
        <f aca="false">MID(D794,13,5)&amp;"|"&amp;MID(D794,19,5)</f>
        <v>05SEL|S_006</v>
      </c>
      <c r="R794" s="34" t="str">
        <f aca="false">IF(P794="Subestación eléctrica",IFERROR(INDEX(cat_SubN,MATCH(Q794,cat_SubK,0)),"SIN CATALOGAR"),"ÁREA DE PROCESO")</f>
        <v>SE-06</v>
      </c>
      <c r="S794" s="34" t="str">
        <f aca="false">IF(H794="","SIN DATO",IFERROR(INDEX(cat_MarcaN,MATCH(H794,cat_MarcaO,0)),H794))</f>
        <v>GAUGETECH</v>
      </c>
      <c r="T794" s="34" t="str">
        <f aca="false">IF(I794="","SIN DATO",IFERROR(INDEX(cat_ModN,MATCH(I794,cat_ModO,0)),I794))</f>
        <v>SHARK</v>
      </c>
      <c r="U794" s="34" t="str">
        <f aca="false">IF(I794="","",IFERROR(INDEX(cat_ModG,MATCH(I794,cat_ModO,0)),"No"))</f>
        <v>No</v>
      </c>
      <c r="V794" s="34" t="str">
        <f aca="false">IF(J794="","SIN DATO",IFERROR(INDEX(cat_FunN,MATCH(J794,cat_FunO,0)),J794))</f>
        <v>Medición</v>
      </c>
      <c r="W794" s="34" t="str">
        <f aca="false">IF(OR(S794="SIN DATO",T794="SIN DATO"),"No","Sí")</f>
        <v>Sí</v>
      </c>
    </row>
    <row r="795" customFormat="false" ht="15" hidden="false" customHeight="false" outlineLevel="0" collapsed="false">
      <c r="A795" s="34" t="s">
        <v>3022</v>
      </c>
      <c r="B795" s="34" t="s">
        <v>3023</v>
      </c>
      <c r="C795" s="34" t="s">
        <v>3024</v>
      </c>
      <c r="D795" s="34" t="s">
        <v>3025</v>
      </c>
      <c r="E795" s="34" t="s">
        <v>134</v>
      </c>
      <c r="F795" s="34" t="s">
        <v>1602</v>
      </c>
      <c r="G795" s="34" t="s">
        <v>2983</v>
      </c>
      <c r="H795" s="34" t="s">
        <v>34</v>
      </c>
      <c r="I795" s="34" t="s">
        <v>39</v>
      </c>
      <c r="J795" s="34" t="s">
        <v>681</v>
      </c>
      <c r="K795" s="34" t="s">
        <v>229</v>
      </c>
      <c r="L795" s="34" t="s">
        <v>230</v>
      </c>
      <c r="M795" s="34" t="s">
        <v>231</v>
      </c>
      <c r="N795" s="34" t="str">
        <f aca="false">"Sector "&amp;VALUE(MID(D795,13,2))</f>
        <v>Sector 5</v>
      </c>
      <c r="O795" s="34" t="str">
        <f aca="false">IF(Dashboard!$C$5="Ubicación técnica",N795,"Sector "&amp;VALUE(RIGHT(G795,2)))</f>
        <v>Sector 5</v>
      </c>
      <c r="P795" s="34" t="str">
        <f aca="false">IF(MID(D795,15,3)="SEL","Subestación eléctrica","Área de proceso")</f>
        <v>Subestación eléctrica</v>
      </c>
      <c r="Q795" s="34" t="str">
        <f aca="false">MID(D795,13,5)&amp;"|"&amp;MID(D795,19,5)</f>
        <v>05SEL|S_006</v>
      </c>
      <c r="R795" s="34" t="str">
        <f aca="false">IF(P795="Subestación eléctrica",IFERROR(INDEX(cat_SubN,MATCH(Q795,cat_SubK,0)),"SIN CATALOGAR"),"ÁREA DE PROCESO")</f>
        <v>SE-06</v>
      </c>
      <c r="S795" s="34" t="str">
        <f aca="false">IF(H795="","SIN DATO",IFERROR(INDEX(cat_MarcaN,MATCH(H795,cat_MarcaO,0)),H795))</f>
        <v>ABB</v>
      </c>
      <c r="T795" s="34" t="str">
        <f aca="false">IF(I795="","SIN DATO",IFERROR(INDEX(cat_ModN,MATCH(I795,cat_ModO,0)),I795))</f>
        <v>REF</v>
      </c>
      <c r="U795" s="34" t="str">
        <f aca="false">IF(I795="","",IFERROR(INDEX(cat_ModG,MATCH(I795,cat_ModO,0)),"No"))</f>
        <v>Sí</v>
      </c>
      <c r="V795" s="34" t="str">
        <f aca="false">IF(J795="","SIN DATO",IFERROR(INDEX(cat_FunN,MATCH(J795,cat_FunO,0)),J795))</f>
        <v>Protección</v>
      </c>
      <c r="W795" s="34" t="str">
        <f aca="false">IF(OR(S795="SIN DATO",T795="SIN DATO"),"No","Sí")</f>
        <v>Sí</v>
      </c>
    </row>
    <row r="796" customFormat="false" ht="15" hidden="false" customHeight="false" outlineLevel="0" collapsed="false">
      <c r="A796" s="34" t="s">
        <v>3026</v>
      </c>
      <c r="B796" s="34" t="s">
        <v>3027</v>
      </c>
      <c r="C796" s="34" t="s">
        <v>3028</v>
      </c>
      <c r="D796" s="34" t="s">
        <v>3025</v>
      </c>
      <c r="E796" s="34" t="s">
        <v>134</v>
      </c>
      <c r="F796" s="34" t="s">
        <v>1602</v>
      </c>
      <c r="G796" s="34" t="s">
        <v>2983</v>
      </c>
      <c r="H796" s="34" t="s">
        <v>99</v>
      </c>
      <c r="I796" s="34" t="s">
        <v>98</v>
      </c>
      <c r="J796" s="34" t="s">
        <v>58</v>
      </c>
      <c r="K796" s="34" t="s">
        <v>229</v>
      </c>
      <c r="L796" s="34" t="s">
        <v>230</v>
      </c>
      <c r="M796" s="34" t="s">
        <v>2987</v>
      </c>
      <c r="N796" s="34" t="str">
        <f aca="false">"Sector "&amp;VALUE(MID(D796,13,2))</f>
        <v>Sector 5</v>
      </c>
      <c r="O796" s="34" t="str">
        <f aca="false">IF(Dashboard!$C$5="Ubicación técnica",N796,"Sector "&amp;VALUE(RIGHT(G796,2)))</f>
        <v>Sector 5</v>
      </c>
      <c r="P796" s="34" t="str">
        <f aca="false">IF(MID(D796,15,3)="SEL","Subestación eléctrica","Área de proceso")</f>
        <v>Subestación eléctrica</v>
      </c>
      <c r="Q796" s="34" t="str">
        <f aca="false">MID(D796,13,5)&amp;"|"&amp;MID(D796,19,5)</f>
        <v>05SEL|S_006</v>
      </c>
      <c r="R796" s="34" t="str">
        <f aca="false">IF(P796="Subestación eléctrica",IFERROR(INDEX(cat_SubN,MATCH(Q796,cat_SubK,0)),"SIN CATALOGAR"),"ÁREA DE PROCESO")</f>
        <v>SE-06</v>
      </c>
      <c r="S796" s="34" t="str">
        <f aca="false">IF(H796="","SIN DATO",IFERROR(INDEX(cat_MarcaN,MATCH(H796,cat_MarcaO,0)),H796))</f>
        <v>GAUGETECH</v>
      </c>
      <c r="T796" s="34" t="str">
        <f aca="false">IF(I796="","SIN DATO",IFERROR(INDEX(cat_ModN,MATCH(I796,cat_ModO,0)),I796))</f>
        <v>SHARK</v>
      </c>
      <c r="U796" s="34" t="str">
        <f aca="false">IF(I796="","",IFERROR(INDEX(cat_ModG,MATCH(I796,cat_ModO,0)),"No"))</f>
        <v>No</v>
      </c>
      <c r="V796" s="34" t="str">
        <f aca="false">IF(J796="","SIN DATO",IFERROR(INDEX(cat_FunN,MATCH(J796,cat_FunO,0)),J796))</f>
        <v>Medición</v>
      </c>
      <c r="W796" s="34" t="str">
        <f aca="false">IF(OR(S796="SIN DATO",T796="SIN DATO"),"No","Sí")</f>
        <v>Sí</v>
      </c>
    </row>
    <row r="797" customFormat="false" ht="15" hidden="false" customHeight="false" outlineLevel="0" collapsed="false">
      <c r="A797" s="34" t="s">
        <v>3029</v>
      </c>
      <c r="B797" s="34" t="s">
        <v>3030</v>
      </c>
      <c r="C797" s="34" t="s">
        <v>3031</v>
      </c>
      <c r="D797" s="34" t="s">
        <v>3032</v>
      </c>
      <c r="E797" s="34" t="s">
        <v>134</v>
      </c>
      <c r="F797" s="34" t="s">
        <v>1602</v>
      </c>
      <c r="G797" s="34" t="s">
        <v>2983</v>
      </c>
      <c r="H797" s="34" t="s">
        <v>34</v>
      </c>
      <c r="I797" s="34" t="s">
        <v>47</v>
      </c>
      <c r="J797" s="34" t="s">
        <v>681</v>
      </c>
      <c r="K797" s="34" t="s">
        <v>229</v>
      </c>
      <c r="L797" s="34" t="s">
        <v>230</v>
      </c>
      <c r="M797" s="34"/>
      <c r="N797" s="34" t="str">
        <f aca="false">"Sector "&amp;VALUE(MID(D797,13,2))</f>
        <v>Sector 5</v>
      </c>
      <c r="O797" s="34" t="str">
        <f aca="false">IF(Dashboard!$C$5="Ubicación técnica",N797,"Sector "&amp;VALUE(RIGHT(G797,2)))</f>
        <v>Sector 5</v>
      </c>
      <c r="P797" s="34" t="str">
        <f aca="false">IF(MID(D797,15,3)="SEL","Subestación eléctrica","Área de proceso")</f>
        <v>Subestación eléctrica</v>
      </c>
      <c r="Q797" s="34" t="str">
        <f aca="false">MID(D797,13,5)&amp;"|"&amp;MID(D797,19,5)</f>
        <v>05SEL|S_006</v>
      </c>
      <c r="R797" s="34" t="str">
        <f aca="false">IF(P797="Subestación eléctrica",IFERROR(INDEX(cat_SubN,MATCH(Q797,cat_SubK,0)),"SIN CATALOGAR"),"ÁREA DE PROCESO")</f>
        <v>SE-06</v>
      </c>
      <c r="S797" s="34" t="str">
        <f aca="false">IF(H797="","SIN DATO",IFERROR(INDEX(cat_MarcaN,MATCH(H797,cat_MarcaO,0)),H797))</f>
        <v>ABB</v>
      </c>
      <c r="T797" s="34" t="str">
        <f aca="false">IF(I797="","SIN DATO",IFERROR(INDEX(cat_ModN,MATCH(I797,cat_ModO,0)),I797))</f>
        <v>REA</v>
      </c>
      <c r="U797" s="34" t="str">
        <f aca="false">IF(I797="","",IFERROR(INDEX(cat_ModG,MATCH(I797,cat_ModO,0)),"No"))</f>
        <v>Sí</v>
      </c>
      <c r="V797" s="34" t="str">
        <f aca="false">IF(J797="","SIN DATO",IFERROR(INDEX(cat_FunN,MATCH(J797,cat_FunO,0)),J797))</f>
        <v>Protección</v>
      </c>
      <c r="W797" s="34" t="str">
        <f aca="false">IF(OR(S797="SIN DATO",T797="SIN DATO"),"No","Sí")</f>
        <v>Sí</v>
      </c>
    </row>
    <row r="798" customFormat="false" ht="15" hidden="false" customHeight="false" outlineLevel="0" collapsed="false">
      <c r="A798" s="34" t="s">
        <v>3033</v>
      </c>
      <c r="B798" s="34" t="s">
        <v>3034</v>
      </c>
      <c r="C798" s="34" t="s">
        <v>3035</v>
      </c>
      <c r="D798" s="34" t="s">
        <v>3032</v>
      </c>
      <c r="E798" s="34" t="s">
        <v>134</v>
      </c>
      <c r="F798" s="34" t="s">
        <v>1602</v>
      </c>
      <c r="G798" s="34" t="s">
        <v>2983</v>
      </c>
      <c r="H798" s="34" t="s">
        <v>34</v>
      </c>
      <c r="I798" s="34" t="s">
        <v>39</v>
      </c>
      <c r="J798" s="34" t="s">
        <v>228</v>
      </c>
      <c r="K798" s="34" t="s">
        <v>229</v>
      </c>
      <c r="L798" s="34" t="s">
        <v>230</v>
      </c>
      <c r="M798" s="34" t="s">
        <v>231</v>
      </c>
      <c r="N798" s="34" t="str">
        <f aca="false">"Sector "&amp;VALUE(MID(D798,13,2))</f>
        <v>Sector 5</v>
      </c>
      <c r="O798" s="34" t="str">
        <f aca="false">IF(Dashboard!$C$5="Ubicación técnica",N798,"Sector "&amp;VALUE(RIGHT(G798,2)))</f>
        <v>Sector 5</v>
      </c>
      <c r="P798" s="34" t="str">
        <f aca="false">IF(MID(D798,15,3)="SEL","Subestación eléctrica","Área de proceso")</f>
        <v>Subestación eléctrica</v>
      </c>
      <c r="Q798" s="34" t="str">
        <f aca="false">MID(D798,13,5)&amp;"|"&amp;MID(D798,19,5)</f>
        <v>05SEL|S_006</v>
      </c>
      <c r="R798" s="34" t="str">
        <f aca="false">IF(P798="Subestación eléctrica",IFERROR(INDEX(cat_SubN,MATCH(Q798,cat_SubK,0)),"SIN CATALOGAR"),"ÁREA DE PROCESO")</f>
        <v>SE-06</v>
      </c>
      <c r="S798" s="34" t="str">
        <f aca="false">IF(H798="","SIN DATO",IFERROR(INDEX(cat_MarcaN,MATCH(H798,cat_MarcaO,0)),H798))</f>
        <v>ABB</v>
      </c>
      <c r="T798" s="34" t="str">
        <f aca="false">IF(I798="","SIN DATO",IFERROR(INDEX(cat_ModN,MATCH(I798,cat_ModO,0)),I798))</f>
        <v>REF</v>
      </c>
      <c r="U798" s="34" t="str">
        <f aca="false">IF(I798="","",IFERROR(INDEX(cat_ModG,MATCH(I798,cat_ModO,0)),"No"))</f>
        <v>Sí</v>
      </c>
      <c r="V798" s="34" t="str">
        <f aca="false">IF(J798="","SIN DATO",IFERROR(INDEX(cat_FunN,MATCH(J798,cat_FunO,0)),J798))</f>
        <v>Protección y medición</v>
      </c>
      <c r="W798" s="34" t="str">
        <f aca="false">IF(OR(S798="SIN DATO",T798="SIN DATO"),"No","Sí")</f>
        <v>Sí</v>
      </c>
    </row>
    <row r="799" customFormat="false" ht="15" hidden="false" customHeight="false" outlineLevel="0" collapsed="false">
      <c r="A799" s="34" t="s">
        <v>3036</v>
      </c>
      <c r="B799" s="34" t="s">
        <v>3037</v>
      </c>
      <c r="C799" s="34" t="s">
        <v>3038</v>
      </c>
      <c r="D799" s="34" t="s">
        <v>3032</v>
      </c>
      <c r="E799" s="34" t="s">
        <v>134</v>
      </c>
      <c r="F799" s="34" t="s">
        <v>1602</v>
      </c>
      <c r="G799" s="34" t="s">
        <v>2983</v>
      </c>
      <c r="H799" s="34" t="s">
        <v>34</v>
      </c>
      <c r="I799" s="34" t="s">
        <v>39</v>
      </c>
      <c r="J799" s="34" t="s">
        <v>228</v>
      </c>
      <c r="K799" s="34" t="s">
        <v>229</v>
      </c>
      <c r="L799" s="34" t="s">
        <v>230</v>
      </c>
      <c r="M799" s="34" t="s">
        <v>231</v>
      </c>
      <c r="N799" s="34" t="str">
        <f aca="false">"Sector "&amp;VALUE(MID(D799,13,2))</f>
        <v>Sector 5</v>
      </c>
      <c r="O799" s="34" t="str">
        <f aca="false">IF(Dashboard!$C$5="Ubicación técnica",N799,"Sector "&amp;VALUE(RIGHT(G799,2)))</f>
        <v>Sector 5</v>
      </c>
      <c r="P799" s="34" t="str">
        <f aca="false">IF(MID(D799,15,3)="SEL","Subestación eléctrica","Área de proceso")</f>
        <v>Subestación eléctrica</v>
      </c>
      <c r="Q799" s="34" t="str">
        <f aca="false">MID(D799,13,5)&amp;"|"&amp;MID(D799,19,5)</f>
        <v>05SEL|S_006</v>
      </c>
      <c r="R799" s="34" t="str">
        <f aca="false">IF(P799="Subestación eléctrica",IFERROR(INDEX(cat_SubN,MATCH(Q799,cat_SubK,0)),"SIN CATALOGAR"),"ÁREA DE PROCESO")</f>
        <v>SE-06</v>
      </c>
      <c r="S799" s="34" t="str">
        <f aca="false">IF(H799="","SIN DATO",IFERROR(INDEX(cat_MarcaN,MATCH(H799,cat_MarcaO,0)),H799))</f>
        <v>ABB</v>
      </c>
      <c r="T799" s="34" t="str">
        <f aca="false">IF(I799="","SIN DATO",IFERROR(INDEX(cat_ModN,MATCH(I799,cat_ModO,0)),I799))</f>
        <v>REF</v>
      </c>
      <c r="U799" s="34" t="str">
        <f aca="false">IF(I799="","",IFERROR(INDEX(cat_ModG,MATCH(I799,cat_ModO,0)),"No"))</f>
        <v>Sí</v>
      </c>
      <c r="V799" s="34" t="str">
        <f aca="false">IF(J799="","SIN DATO",IFERROR(INDEX(cat_FunN,MATCH(J799,cat_FunO,0)),J799))</f>
        <v>Protección y medición</v>
      </c>
      <c r="W799" s="34" t="str">
        <f aca="false">IF(OR(S799="SIN DATO",T799="SIN DATO"),"No","Sí")</f>
        <v>Sí</v>
      </c>
    </row>
    <row r="800" customFormat="false" ht="15" hidden="false" customHeight="false" outlineLevel="0" collapsed="false">
      <c r="A800" s="34" t="s">
        <v>3039</v>
      </c>
      <c r="B800" s="34" t="s">
        <v>3040</v>
      </c>
      <c r="C800" s="34" t="s">
        <v>3041</v>
      </c>
      <c r="D800" s="34" t="s">
        <v>3032</v>
      </c>
      <c r="E800" s="34" t="s">
        <v>134</v>
      </c>
      <c r="F800" s="34" t="s">
        <v>1602</v>
      </c>
      <c r="G800" s="34" t="s">
        <v>2983</v>
      </c>
      <c r="H800" s="34" t="s">
        <v>55</v>
      </c>
      <c r="I800" s="34" t="s">
        <v>55</v>
      </c>
      <c r="J800" s="34" t="s">
        <v>58</v>
      </c>
      <c r="K800" s="34" t="s">
        <v>229</v>
      </c>
      <c r="L800" s="34" t="s">
        <v>230</v>
      </c>
      <c r="M800" s="34" t="s">
        <v>344</v>
      </c>
      <c r="N800" s="34" t="str">
        <f aca="false">"Sector "&amp;VALUE(MID(D800,13,2))</f>
        <v>Sector 5</v>
      </c>
      <c r="O800" s="34" t="str">
        <f aca="false">IF(Dashboard!$C$5="Ubicación técnica",N800,"Sector "&amp;VALUE(RIGHT(G800,2)))</f>
        <v>Sector 5</v>
      </c>
      <c r="P800" s="34" t="str">
        <f aca="false">IF(MID(D800,15,3)="SEL","Subestación eléctrica","Área de proceso")</f>
        <v>Subestación eléctrica</v>
      </c>
      <c r="Q800" s="34" t="str">
        <f aca="false">MID(D800,13,5)&amp;"|"&amp;MID(D800,19,5)</f>
        <v>05SEL|S_006</v>
      </c>
      <c r="R800" s="34" t="str">
        <f aca="false">IF(P800="Subestación eléctrica",IFERROR(INDEX(cat_SubN,MATCH(Q800,cat_SubK,0)),"SIN CATALOGAR"),"ÁREA DE PROCESO")</f>
        <v>SE-06</v>
      </c>
      <c r="S800" s="34" t="str">
        <f aca="false">IF(H800="","SIN DATO",IFERROR(INDEX(cat_MarcaN,MATCH(H800,cat_MarcaO,0)),H800))</f>
        <v>SEL</v>
      </c>
      <c r="T800" s="34" t="str">
        <f aca="false">IF(I800="","SIN DATO",IFERROR(INDEX(cat_ModN,MATCH(I800,cat_ModO,0)),I800))</f>
        <v>SEL</v>
      </c>
      <c r="U800" s="34" t="str">
        <f aca="false">IF(I800="","",IFERROR(INDEX(cat_ModG,MATCH(I800,cat_ModO,0)),"No"))</f>
        <v>Sí</v>
      </c>
      <c r="V800" s="34" t="str">
        <f aca="false">IF(J800="","SIN DATO",IFERROR(INDEX(cat_FunN,MATCH(J800,cat_FunO,0)),J800))</f>
        <v>Medición</v>
      </c>
      <c r="W800" s="34" t="str">
        <f aca="false">IF(OR(S800="SIN DATO",T800="SIN DATO"),"No","Sí")</f>
        <v>Sí</v>
      </c>
    </row>
    <row r="801" customFormat="false" ht="15" hidden="false" customHeight="false" outlineLevel="0" collapsed="false">
      <c r="A801" s="34" t="s">
        <v>3042</v>
      </c>
      <c r="B801" s="34" t="s">
        <v>3043</v>
      </c>
      <c r="C801" s="34" t="s">
        <v>3044</v>
      </c>
      <c r="D801" s="34" t="s">
        <v>3045</v>
      </c>
      <c r="E801" s="34" t="s">
        <v>134</v>
      </c>
      <c r="F801" s="34" t="s">
        <v>1602</v>
      </c>
      <c r="G801" s="34" t="s">
        <v>2983</v>
      </c>
      <c r="H801" s="34" t="s">
        <v>34</v>
      </c>
      <c r="I801" s="34" t="s">
        <v>47</v>
      </c>
      <c r="J801" s="34" t="s">
        <v>681</v>
      </c>
      <c r="K801" s="34" t="s">
        <v>229</v>
      </c>
      <c r="L801" s="34" t="s">
        <v>230</v>
      </c>
      <c r="M801" s="34"/>
      <c r="N801" s="34" t="str">
        <f aca="false">"Sector "&amp;VALUE(MID(D801,13,2))</f>
        <v>Sector 5</v>
      </c>
      <c r="O801" s="34" t="str">
        <f aca="false">IF(Dashboard!$C$5="Ubicación técnica",N801,"Sector "&amp;VALUE(RIGHT(G801,2)))</f>
        <v>Sector 5</v>
      </c>
      <c r="P801" s="34" t="str">
        <f aca="false">IF(MID(D801,15,3)="SEL","Subestación eléctrica","Área de proceso")</f>
        <v>Subestación eléctrica</v>
      </c>
      <c r="Q801" s="34" t="str">
        <f aca="false">MID(D801,13,5)&amp;"|"&amp;MID(D801,19,5)</f>
        <v>05SEL|S_006</v>
      </c>
      <c r="R801" s="34" t="str">
        <f aca="false">IF(P801="Subestación eléctrica",IFERROR(INDEX(cat_SubN,MATCH(Q801,cat_SubK,0)),"SIN CATALOGAR"),"ÁREA DE PROCESO")</f>
        <v>SE-06</v>
      </c>
      <c r="S801" s="34" t="str">
        <f aca="false">IF(H801="","SIN DATO",IFERROR(INDEX(cat_MarcaN,MATCH(H801,cat_MarcaO,0)),H801))</f>
        <v>ABB</v>
      </c>
      <c r="T801" s="34" t="str">
        <f aca="false">IF(I801="","SIN DATO",IFERROR(INDEX(cat_ModN,MATCH(I801,cat_ModO,0)),I801))</f>
        <v>REA</v>
      </c>
      <c r="U801" s="34" t="str">
        <f aca="false">IF(I801="","",IFERROR(INDEX(cat_ModG,MATCH(I801,cat_ModO,0)),"No"))</f>
        <v>Sí</v>
      </c>
      <c r="V801" s="34" t="str">
        <f aca="false">IF(J801="","SIN DATO",IFERROR(INDEX(cat_FunN,MATCH(J801,cat_FunO,0)),J801))</f>
        <v>Protección</v>
      </c>
      <c r="W801" s="34" t="str">
        <f aca="false">IF(OR(S801="SIN DATO",T801="SIN DATO"),"No","Sí")</f>
        <v>Sí</v>
      </c>
    </row>
    <row r="802" customFormat="false" ht="15" hidden="false" customHeight="false" outlineLevel="0" collapsed="false">
      <c r="A802" s="34" t="s">
        <v>3046</v>
      </c>
      <c r="B802" s="34" t="s">
        <v>3047</v>
      </c>
      <c r="C802" s="34" t="s">
        <v>3048</v>
      </c>
      <c r="D802" s="34" t="s">
        <v>3045</v>
      </c>
      <c r="E802" s="34" t="s">
        <v>134</v>
      </c>
      <c r="F802" s="34" t="s">
        <v>1602</v>
      </c>
      <c r="G802" s="34" t="s">
        <v>2983</v>
      </c>
      <c r="H802" s="34" t="s">
        <v>34</v>
      </c>
      <c r="I802" s="34" t="s">
        <v>39</v>
      </c>
      <c r="J802" s="34" t="s">
        <v>228</v>
      </c>
      <c r="K802" s="34" t="s">
        <v>229</v>
      </c>
      <c r="L802" s="34" t="s">
        <v>230</v>
      </c>
      <c r="M802" s="34" t="s">
        <v>231</v>
      </c>
      <c r="N802" s="34" t="str">
        <f aca="false">"Sector "&amp;VALUE(MID(D802,13,2))</f>
        <v>Sector 5</v>
      </c>
      <c r="O802" s="34" t="str">
        <f aca="false">IF(Dashboard!$C$5="Ubicación técnica",N802,"Sector "&amp;VALUE(RIGHT(G802,2)))</f>
        <v>Sector 5</v>
      </c>
      <c r="P802" s="34" t="str">
        <f aca="false">IF(MID(D802,15,3)="SEL","Subestación eléctrica","Área de proceso")</f>
        <v>Subestación eléctrica</v>
      </c>
      <c r="Q802" s="34" t="str">
        <f aca="false">MID(D802,13,5)&amp;"|"&amp;MID(D802,19,5)</f>
        <v>05SEL|S_006</v>
      </c>
      <c r="R802" s="34" t="str">
        <f aca="false">IF(P802="Subestación eléctrica",IFERROR(INDEX(cat_SubN,MATCH(Q802,cat_SubK,0)),"SIN CATALOGAR"),"ÁREA DE PROCESO")</f>
        <v>SE-06</v>
      </c>
      <c r="S802" s="34" t="str">
        <f aca="false">IF(H802="","SIN DATO",IFERROR(INDEX(cat_MarcaN,MATCH(H802,cat_MarcaO,0)),H802))</f>
        <v>ABB</v>
      </c>
      <c r="T802" s="34" t="str">
        <f aca="false">IF(I802="","SIN DATO",IFERROR(INDEX(cat_ModN,MATCH(I802,cat_ModO,0)),I802))</f>
        <v>REF</v>
      </c>
      <c r="U802" s="34" t="str">
        <f aca="false">IF(I802="","",IFERROR(INDEX(cat_ModG,MATCH(I802,cat_ModO,0)),"No"))</f>
        <v>Sí</v>
      </c>
      <c r="V802" s="34" t="str">
        <f aca="false">IF(J802="","SIN DATO",IFERROR(INDEX(cat_FunN,MATCH(J802,cat_FunO,0)),J802))</f>
        <v>Protección y medición</v>
      </c>
      <c r="W802" s="34" t="str">
        <f aca="false">IF(OR(S802="SIN DATO",T802="SIN DATO"),"No","Sí")</f>
        <v>Sí</v>
      </c>
    </row>
    <row r="803" customFormat="false" ht="15" hidden="false" customHeight="false" outlineLevel="0" collapsed="false">
      <c r="A803" s="34" t="s">
        <v>3049</v>
      </c>
      <c r="B803" s="34" t="s">
        <v>3050</v>
      </c>
      <c r="C803" s="34" t="s">
        <v>3051</v>
      </c>
      <c r="D803" s="34" t="s">
        <v>3045</v>
      </c>
      <c r="E803" s="34" t="s">
        <v>134</v>
      </c>
      <c r="F803" s="34" t="s">
        <v>1602</v>
      </c>
      <c r="G803" s="34" t="s">
        <v>2983</v>
      </c>
      <c r="H803" s="34" t="s">
        <v>55</v>
      </c>
      <c r="I803" s="34" t="s">
        <v>55</v>
      </c>
      <c r="J803" s="34" t="s">
        <v>58</v>
      </c>
      <c r="K803" s="34" t="s">
        <v>229</v>
      </c>
      <c r="L803" s="34" t="s">
        <v>230</v>
      </c>
      <c r="M803" s="34" t="s">
        <v>344</v>
      </c>
      <c r="N803" s="34" t="str">
        <f aca="false">"Sector "&amp;VALUE(MID(D803,13,2))</f>
        <v>Sector 5</v>
      </c>
      <c r="O803" s="34" t="str">
        <f aca="false">IF(Dashboard!$C$5="Ubicación técnica",N803,"Sector "&amp;VALUE(RIGHT(G803,2)))</f>
        <v>Sector 5</v>
      </c>
      <c r="P803" s="34" t="str">
        <f aca="false">IF(MID(D803,15,3)="SEL","Subestación eléctrica","Área de proceso")</f>
        <v>Subestación eléctrica</v>
      </c>
      <c r="Q803" s="34" t="str">
        <f aca="false">MID(D803,13,5)&amp;"|"&amp;MID(D803,19,5)</f>
        <v>05SEL|S_006</v>
      </c>
      <c r="R803" s="34" t="str">
        <f aca="false">IF(P803="Subestación eléctrica",IFERROR(INDEX(cat_SubN,MATCH(Q803,cat_SubK,0)),"SIN CATALOGAR"),"ÁREA DE PROCESO")</f>
        <v>SE-06</v>
      </c>
      <c r="S803" s="34" t="str">
        <f aca="false">IF(H803="","SIN DATO",IFERROR(INDEX(cat_MarcaN,MATCH(H803,cat_MarcaO,0)),H803))</f>
        <v>SEL</v>
      </c>
      <c r="T803" s="34" t="str">
        <f aca="false">IF(I803="","SIN DATO",IFERROR(INDEX(cat_ModN,MATCH(I803,cat_ModO,0)),I803))</f>
        <v>SEL</v>
      </c>
      <c r="U803" s="34" t="str">
        <f aca="false">IF(I803="","",IFERROR(INDEX(cat_ModG,MATCH(I803,cat_ModO,0)),"No"))</f>
        <v>Sí</v>
      </c>
      <c r="V803" s="34" t="str">
        <f aca="false">IF(J803="","SIN DATO",IFERROR(INDEX(cat_FunN,MATCH(J803,cat_FunO,0)),J803))</f>
        <v>Medición</v>
      </c>
      <c r="W803" s="34" t="str">
        <f aca="false">IF(OR(S803="SIN DATO",T803="SIN DATO"),"No","Sí")</f>
        <v>Sí</v>
      </c>
    </row>
    <row r="804" customFormat="false" ht="15" hidden="false" customHeight="false" outlineLevel="0" collapsed="false">
      <c r="A804" s="34" t="s">
        <v>3052</v>
      </c>
      <c r="B804" s="34" t="s">
        <v>3053</v>
      </c>
      <c r="C804" s="34" t="s">
        <v>3054</v>
      </c>
      <c r="D804" s="34" t="s">
        <v>3055</v>
      </c>
      <c r="E804" s="34" t="s">
        <v>134</v>
      </c>
      <c r="F804" s="34" t="s">
        <v>1602</v>
      </c>
      <c r="G804" s="34" t="s">
        <v>2983</v>
      </c>
      <c r="H804" s="34" t="s">
        <v>34</v>
      </c>
      <c r="I804" s="34" t="s">
        <v>47</v>
      </c>
      <c r="J804" s="34" t="s">
        <v>681</v>
      </c>
      <c r="K804" s="34" t="s">
        <v>229</v>
      </c>
      <c r="L804" s="34" t="s">
        <v>230</v>
      </c>
      <c r="M804" s="34"/>
      <c r="N804" s="34" t="str">
        <f aca="false">"Sector "&amp;VALUE(MID(D804,13,2))</f>
        <v>Sector 5</v>
      </c>
      <c r="O804" s="34" t="str">
        <f aca="false">IF(Dashboard!$C$5="Ubicación técnica",N804,"Sector "&amp;VALUE(RIGHT(G804,2)))</f>
        <v>Sector 5</v>
      </c>
      <c r="P804" s="34" t="str">
        <f aca="false">IF(MID(D804,15,3)="SEL","Subestación eléctrica","Área de proceso")</f>
        <v>Subestación eléctrica</v>
      </c>
      <c r="Q804" s="34" t="str">
        <f aca="false">MID(D804,13,5)&amp;"|"&amp;MID(D804,19,5)</f>
        <v>05SEL|S_006</v>
      </c>
      <c r="R804" s="34" t="str">
        <f aca="false">IF(P804="Subestación eléctrica",IFERROR(INDEX(cat_SubN,MATCH(Q804,cat_SubK,0)),"SIN CATALOGAR"),"ÁREA DE PROCESO")</f>
        <v>SE-06</v>
      </c>
      <c r="S804" s="34" t="str">
        <f aca="false">IF(H804="","SIN DATO",IFERROR(INDEX(cat_MarcaN,MATCH(H804,cat_MarcaO,0)),H804))</f>
        <v>ABB</v>
      </c>
      <c r="T804" s="34" t="str">
        <f aca="false">IF(I804="","SIN DATO",IFERROR(INDEX(cat_ModN,MATCH(I804,cat_ModO,0)),I804))</f>
        <v>REA</v>
      </c>
      <c r="U804" s="34" t="str">
        <f aca="false">IF(I804="","",IFERROR(INDEX(cat_ModG,MATCH(I804,cat_ModO,0)),"No"))</f>
        <v>Sí</v>
      </c>
      <c r="V804" s="34" t="str">
        <f aca="false">IF(J804="","SIN DATO",IFERROR(INDEX(cat_FunN,MATCH(J804,cat_FunO,0)),J804))</f>
        <v>Protección</v>
      </c>
      <c r="W804" s="34" t="str">
        <f aca="false">IF(OR(S804="SIN DATO",T804="SIN DATO"),"No","Sí")</f>
        <v>Sí</v>
      </c>
    </row>
    <row r="805" customFormat="false" ht="15" hidden="false" customHeight="false" outlineLevel="0" collapsed="false">
      <c r="A805" s="34" t="s">
        <v>3056</v>
      </c>
      <c r="B805" s="34" t="s">
        <v>3057</v>
      </c>
      <c r="C805" s="34" t="s">
        <v>3058</v>
      </c>
      <c r="D805" s="34" t="s">
        <v>3055</v>
      </c>
      <c r="E805" s="34" t="s">
        <v>134</v>
      </c>
      <c r="F805" s="34" t="s">
        <v>1602</v>
      </c>
      <c r="G805" s="34" t="s">
        <v>2983</v>
      </c>
      <c r="H805" s="34" t="s">
        <v>34</v>
      </c>
      <c r="I805" s="34" t="s">
        <v>39</v>
      </c>
      <c r="J805" s="34" t="s">
        <v>228</v>
      </c>
      <c r="K805" s="34" t="s">
        <v>229</v>
      </c>
      <c r="L805" s="34" t="s">
        <v>230</v>
      </c>
      <c r="M805" s="34" t="s">
        <v>231</v>
      </c>
      <c r="N805" s="34" t="str">
        <f aca="false">"Sector "&amp;VALUE(MID(D805,13,2))</f>
        <v>Sector 5</v>
      </c>
      <c r="O805" s="34" t="str">
        <f aca="false">IF(Dashboard!$C$5="Ubicación técnica",N805,"Sector "&amp;VALUE(RIGHT(G805,2)))</f>
        <v>Sector 5</v>
      </c>
      <c r="P805" s="34" t="str">
        <f aca="false">IF(MID(D805,15,3)="SEL","Subestación eléctrica","Área de proceso")</f>
        <v>Subestación eléctrica</v>
      </c>
      <c r="Q805" s="34" t="str">
        <f aca="false">MID(D805,13,5)&amp;"|"&amp;MID(D805,19,5)</f>
        <v>05SEL|S_006</v>
      </c>
      <c r="R805" s="34" t="str">
        <f aca="false">IF(P805="Subestación eléctrica",IFERROR(INDEX(cat_SubN,MATCH(Q805,cat_SubK,0)),"SIN CATALOGAR"),"ÁREA DE PROCESO")</f>
        <v>SE-06</v>
      </c>
      <c r="S805" s="34" t="str">
        <f aca="false">IF(H805="","SIN DATO",IFERROR(INDEX(cat_MarcaN,MATCH(H805,cat_MarcaO,0)),H805))</f>
        <v>ABB</v>
      </c>
      <c r="T805" s="34" t="str">
        <f aca="false">IF(I805="","SIN DATO",IFERROR(INDEX(cat_ModN,MATCH(I805,cat_ModO,0)),I805))</f>
        <v>REF</v>
      </c>
      <c r="U805" s="34" t="str">
        <f aca="false">IF(I805="","",IFERROR(INDEX(cat_ModG,MATCH(I805,cat_ModO,0)),"No"))</f>
        <v>Sí</v>
      </c>
      <c r="V805" s="34" t="str">
        <f aca="false">IF(J805="","SIN DATO",IFERROR(INDEX(cat_FunN,MATCH(J805,cat_FunO,0)),J805))</f>
        <v>Protección y medición</v>
      </c>
      <c r="W805" s="34" t="str">
        <f aca="false">IF(OR(S805="SIN DATO",T805="SIN DATO"),"No","Sí")</f>
        <v>Sí</v>
      </c>
    </row>
    <row r="806" customFormat="false" ht="15" hidden="false" customHeight="false" outlineLevel="0" collapsed="false">
      <c r="A806" s="34" t="s">
        <v>3059</v>
      </c>
      <c r="B806" s="34" t="s">
        <v>3060</v>
      </c>
      <c r="C806" s="34" t="s">
        <v>3061</v>
      </c>
      <c r="D806" s="34" t="s">
        <v>3055</v>
      </c>
      <c r="E806" s="34" t="s">
        <v>134</v>
      </c>
      <c r="F806" s="34" t="s">
        <v>1602</v>
      </c>
      <c r="G806" s="34" t="s">
        <v>2983</v>
      </c>
      <c r="H806" s="34" t="s">
        <v>34</v>
      </c>
      <c r="I806" s="34" t="s">
        <v>52</v>
      </c>
      <c r="J806" s="34" t="s">
        <v>228</v>
      </c>
      <c r="K806" s="34" t="s">
        <v>229</v>
      </c>
      <c r="L806" s="34" t="s">
        <v>230</v>
      </c>
      <c r="M806" s="34" t="s">
        <v>231</v>
      </c>
      <c r="N806" s="34" t="str">
        <f aca="false">"Sector "&amp;VALUE(MID(D806,13,2))</f>
        <v>Sector 5</v>
      </c>
      <c r="O806" s="34" t="str">
        <f aca="false">IF(Dashboard!$C$5="Ubicación técnica",N806,"Sector "&amp;VALUE(RIGHT(G806,2)))</f>
        <v>Sector 5</v>
      </c>
      <c r="P806" s="34" t="str">
        <f aca="false">IF(MID(D806,15,3)="SEL","Subestación eléctrica","Área de proceso")</f>
        <v>Subestación eléctrica</v>
      </c>
      <c r="Q806" s="34" t="str">
        <f aca="false">MID(D806,13,5)&amp;"|"&amp;MID(D806,19,5)</f>
        <v>05SEL|S_006</v>
      </c>
      <c r="R806" s="34" t="str">
        <f aca="false">IF(P806="Subestación eléctrica",IFERROR(INDEX(cat_SubN,MATCH(Q806,cat_SubK,0)),"SIN CATALOGAR"),"ÁREA DE PROCESO")</f>
        <v>SE-06</v>
      </c>
      <c r="S806" s="34" t="str">
        <f aca="false">IF(H806="","SIN DATO",IFERROR(INDEX(cat_MarcaN,MATCH(H806,cat_MarcaO,0)),H806))</f>
        <v>ABB</v>
      </c>
      <c r="T806" s="34" t="str">
        <f aca="false">IF(I806="","SIN DATO",IFERROR(INDEX(cat_ModN,MATCH(I806,cat_ModO,0)),I806))</f>
        <v>RET</v>
      </c>
      <c r="U806" s="34" t="str">
        <f aca="false">IF(I806="","",IFERROR(INDEX(cat_ModG,MATCH(I806,cat_ModO,0)),"No"))</f>
        <v>Sí</v>
      </c>
      <c r="V806" s="34" t="str">
        <f aca="false">IF(J806="","SIN DATO",IFERROR(INDEX(cat_FunN,MATCH(J806,cat_FunO,0)),J806))</f>
        <v>Protección y medición</v>
      </c>
      <c r="W806" s="34" t="str">
        <f aca="false">IF(OR(S806="SIN DATO",T806="SIN DATO"),"No","Sí")</f>
        <v>Sí</v>
      </c>
    </row>
    <row r="807" customFormat="false" ht="15" hidden="false" customHeight="false" outlineLevel="0" collapsed="false">
      <c r="A807" s="34" t="s">
        <v>3062</v>
      </c>
      <c r="B807" s="34" t="s">
        <v>3063</v>
      </c>
      <c r="C807" s="34" t="s">
        <v>3064</v>
      </c>
      <c r="D807" s="34" t="s">
        <v>3055</v>
      </c>
      <c r="E807" s="34" t="s">
        <v>134</v>
      </c>
      <c r="F807" s="34" t="s">
        <v>1602</v>
      </c>
      <c r="G807" s="34" t="s">
        <v>2983</v>
      </c>
      <c r="H807" s="34" t="s">
        <v>55</v>
      </c>
      <c r="I807" s="34" t="s">
        <v>55</v>
      </c>
      <c r="J807" s="34" t="s">
        <v>58</v>
      </c>
      <c r="K807" s="34" t="s">
        <v>229</v>
      </c>
      <c r="L807" s="34" t="s">
        <v>230</v>
      </c>
      <c r="M807" s="34" t="s">
        <v>344</v>
      </c>
      <c r="N807" s="34" t="str">
        <f aca="false">"Sector "&amp;VALUE(MID(D807,13,2))</f>
        <v>Sector 5</v>
      </c>
      <c r="O807" s="34" t="str">
        <f aca="false">IF(Dashboard!$C$5="Ubicación técnica",N807,"Sector "&amp;VALUE(RIGHT(G807,2)))</f>
        <v>Sector 5</v>
      </c>
      <c r="P807" s="34" t="str">
        <f aca="false">IF(MID(D807,15,3)="SEL","Subestación eléctrica","Área de proceso")</f>
        <v>Subestación eléctrica</v>
      </c>
      <c r="Q807" s="34" t="str">
        <f aca="false">MID(D807,13,5)&amp;"|"&amp;MID(D807,19,5)</f>
        <v>05SEL|S_006</v>
      </c>
      <c r="R807" s="34" t="str">
        <f aca="false">IF(P807="Subestación eléctrica",IFERROR(INDEX(cat_SubN,MATCH(Q807,cat_SubK,0)),"SIN CATALOGAR"),"ÁREA DE PROCESO")</f>
        <v>SE-06</v>
      </c>
      <c r="S807" s="34" t="str">
        <f aca="false">IF(H807="","SIN DATO",IFERROR(INDEX(cat_MarcaN,MATCH(H807,cat_MarcaO,0)),H807))</f>
        <v>SEL</v>
      </c>
      <c r="T807" s="34" t="str">
        <f aca="false">IF(I807="","SIN DATO",IFERROR(INDEX(cat_ModN,MATCH(I807,cat_ModO,0)),I807))</f>
        <v>SEL</v>
      </c>
      <c r="U807" s="34" t="str">
        <f aca="false">IF(I807="","",IFERROR(INDEX(cat_ModG,MATCH(I807,cat_ModO,0)),"No"))</f>
        <v>Sí</v>
      </c>
      <c r="V807" s="34" t="str">
        <f aca="false">IF(J807="","SIN DATO",IFERROR(INDEX(cat_FunN,MATCH(J807,cat_FunO,0)),J807))</f>
        <v>Medición</v>
      </c>
      <c r="W807" s="34" t="str">
        <f aca="false">IF(OR(S807="SIN DATO",T807="SIN DATO"),"No","Sí")</f>
        <v>Sí</v>
      </c>
    </row>
    <row r="808" customFormat="false" ht="15" hidden="false" customHeight="false" outlineLevel="0" collapsed="false">
      <c r="A808" s="34" t="s">
        <v>3065</v>
      </c>
      <c r="B808" s="34" t="s">
        <v>3066</v>
      </c>
      <c r="C808" s="34" t="s">
        <v>3067</v>
      </c>
      <c r="D808" s="34" t="s">
        <v>3068</v>
      </c>
      <c r="E808" s="34" t="s">
        <v>134</v>
      </c>
      <c r="F808" s="34" t="s">
        <v>1602</v>
      </c>
      <c r="G808" s="34" t="s">
        <v>2983</v>
      </c>
      <c r="H808" s="34" t="s">
        <v>34</v>
      </c>
      <c r="I808" s="34" t="s">
        <v>47</v>
      </c>
      <c r="J808" s="34" t="s">
        <v>681</v>
      </c>
      <c r="K808" s="34" t="s">
        <v>229</v>
      </c>
      <c r="L808" s="34" t="s">
        <v>230</v>
      </c>
      <c r="M808" s="34"/>
      <c r="N808" s="34" t="str">
        <f aca="false">"Sector "&amp;VALUE(MID(D808,13,2))</f>
        <v>Sector 5</v>
      </c>
      <c r="O808" s="34" t="str">
        <f aca="false">IF(Dashboard!$C$5="Ubicación técnica",N808,"Sector "&amp;VALUE(RIGHT(G808,2)))</f>
        <v>Sector 5</v>
      </c>
      <c r="P808" s="34" t="str">
        <f aca="false">IF(MID(D808,15,3)="SEL","Subestación eléctrica","Área de proceso")</f>
        <v>Subestación eléctrica</v>
      </c>
      <c r="Q808" s="34" t="str">
        <f aca="false">MID(D808,13,5)&amp;"|"&amp;MID(D808,19,5)</f>
        <v>05SEL|S_006</v>
      </c>
      <c r="R808" s="34" t="str">
        <f aca="false">IF(P808="Subestación eléctrica",IFERROR(INDEX(cat_SubN,MATCH(Q808,cat_SubK,0)),"SIN CATALOGAR"),"ÁREA DE PROCESO")</f>
        <v>SE-06</v>
      </c>
      <c r="S808" s="34" t="str">
        <f aca="false">IF(H808="","SIN DATO",IFERROR(INDEX(cat_MarcaN,MATCH(H808,cat_MarcaO,0)),H808))</f>
        <v>ABB</v>
      </c>
      <c r="T808" s="34" t="str">
        <f aca="false">IF(I808="","SIN DATO",IFERROR(INDEX(cat_ModN,MATCH(I808,cat_ModO,0)),I808))</f>
        <v>REA</v>
      </c>
      <c r="U808" s="34" t="str">
        <f aca="false">IF(I808="","",IFERROR(INDEX(cat_ModG,MATCH(I808,cat_ModO,0)),"No"))</f>
        <v>Sí</v>
      </c>
      <c r="V808" s="34" t="str">
        <f aca="false">IF(J808="","SIN DATO",IFERROR(INDEX(cat_FunN,MATCH(J808,cat_FunO,0)),J808))</f>
        <v>Protección</v>
      </c>
      <c r="W808" s="34" t="str">
        <f aca="false">IF(OR(S808="SIN DATO",T808="SIN DATO"),"No","Sí")</f>
        <v>Sí</v>
      </c>
    </row>
    <row r="809" customFormat="false" ht="15" hidden="false" customHeight="false" outlineLevel="0" collapsed="false">
      <c r="A809" s="34" t="s">
        <v>3069</v>
      </c>
      <c r="B809" s="34" t="s">
        <v>3070</v>
      </c>
      <c r="C809" s="34" t="s">
        <v>3071</v>
      </c>
      <c r="D809" s="34" t="s">
        <v>3068</v>
      </c>
      <c r="E809" s="34" t="s">
        <v>134</v>
      </c>
      <c r="F809" s="34" t="s">
        <v>1602</v>
      </c>
      <c r="G809" s="34" t="s">
        <v>2983</v>
      </c>
      <c r="H809" s="34" t="s">
        <v>34</v>
      </c>
      <c r="I809" s="34" t="s">
        <v>39</v>
      </c>
      <c r="J809" s="34" t="s">
        <v>228</v>
      </c>
      <c r="K809" s="34" t="s">
        <v>229</v>
      </c>
      <c r="L809" s="34" t="s">
        <v>230</v>
      </c>
      <c r="M809" s="34" t="s">
        <v>231</v>
      </c>
      <c r="N809" s="34" t="str">
        <f aca="false">"Sector "&amp;VALUE(MID(D809,13,2))</f>
        <v>Sector 5</v>
      </c>
      <c r="O809" s="34" t="str">
        <f aca="false">IF(Dashboard!$C$5="Ubicación técnica",N809,"Sector "&amp;VALUE(RIGHT(G809,2)))</f>
        <v>Sector 5</v>
      </c>
      <c r="P809" s="34" t="str">
        <f aca="false">IF(MID(D809,15,3)="SEL","Subestación eléctrica","Área de proceso")</f>
        <v>Subestación eléctrica</v>
      </c>
      <c r="Q809" s="34" t="str">
        <f aca="false">MID(D809,13,5)&amp;"|"&amp;MID(D809,19,5)</f>
        <v>05SEL|S_006</v>
      </c>
      <c r="R809" s="34" t="str">
        <f aca="false">IF(P809="Subestación eléctrica",IFERROR(INDEX(cat_SubN,MATCH(Q809,cat_SubK,0)),"SIN CATALOGAR"),"ÁREA DE PROCESO")</f>
        <v>SE-06</v>
      </c>
      <c r="S809" s="34" t="str">
        <f aca="false">IF(H809="","SIN DATO",IFERROR(INDEX(cat_MarcaN,MATCH(H809,cat_MarcaO,0)),H809))</f>
        <v>ABB</v>
      </c>
      <c r="T809" s="34" t="str">
        <f aca="false">IF(I809="","SIN DATO",IFERROR(INDEX(cat_ModN,MATCH(I809,cat_ModO,0)),I809))</f>
        <v>REF</v>
      </c>
      <c r="U809" s="34" t="str">
        <f aca="false">IF(I809="","",IFERROR(INDEX(cat_ModG,MATCH(I809,cat_ModO,0)),"No"))</f>
        <v>Sí</v>
      </c>
      <c r="V809" s="34" t="str">
        <f aca="false">IF(J809="","SIN DATO",IFERROR(INDEX(cat_FunN,MATCH(J809,cat_FunO,0)),J809))</f>
        <v>Protección y medición</v>
      </c>
      <c r="W809" s="34" t="str">
        <f aca="false">IF(OR(S809="SIN DATO",T809="SIN DATO"),"No","Sí")</f>
        <v>Sí</v>
      </c>
    </row>
    <row r="810" customFormat="false" ht="15" hidden="false" customHeight="false" outlineLevel="0" collapsed="false">
      <c r="A810" s="34" t="s">
        <v>3072</v>
      </c>
      <c r="B810" s="34" t="s">
        <v>3073</v>
      </c>
      <c r="C810" s="34" t="s">
        <v>3074</v>
      </c>
      <c r="D810" s="34" t="s">
        <v>3068</v>
      </c>
      <c r="E810" s="34" t="s">
        <v>134</v>
      </c>
      <c r="F810" s="34" t="s">
        <v>1602</v>
      </c>
      <c r="G810" s="34" t="s">
        <v>2983</v>
      </c>
      <c r="H810" s="34" t="s">
        <v>34</v>
      </c>
      <c r="I810" s="34" t="s">
        <v>52</v>
      </c>
      <c r="J810" s="34" t="s">
        <v>228</v>
      </c>
      <c r="K810" s="34" t="s">
        <v>229</v>
      </c>
      <c r="L810" s="34" t="s">
        <v>230</v>
      </c>
      <c r="M810" s="34" t="s">
        <v>231</v>
      </c>
      <c r="N810" s="34" t="str">
        <f aca="false">"Sector "&amp;VALUE(MID(D810,13,2))</f>
        <v>Sector 5</v>
      </c>
      <c r="O810" s="34" t="str">
        <f aca="false">IF(Dashboard!$C$5="Ubicación técnica",N810,"Sector "&amp;VALUE(RIGHT(G810,2)))</f>
        <v>Sector 5</v>
      </c>
      <c r="P810" s="34" t="str">
        <f aca="false">IF(MID(D810,15,3)="SEL","Subestación eléctrica","Área de proceso")</f>
        <v>Subestación eléctrica</v>
      </c>
      <c r="Q810" s="34" t="str">
        <f aca="false">MID(D810,13,5)&amp;"|"&amp;MID(D810,19,5)</f>
        <v>05SEL|S_006</v>
      </c>
      <c r="R810" s="34" t="str">
        <f aca="false">IF(P810="Subestación eléctrica",IFERROR(INDEX(cat_SubN,MATCH(Q810,cat_SubK,0)),"SIN CATALOGAR"),"ÁREA DE PROCESO")</f>
        <v>SE-06</v>
      </c>
      <c r="S810" s="34" t="str">
        <f aca="false">IF(H810="","SIN DATO",IFERROR(INDEX(cat_MarcaN,MATCH(H810,cat_MarcaO,0)),H810))</f>
        <v>ABB</v>
      </c>
      <c r="T810" s="34" t="str">
        <f aca="false">IF(I810="","SIN DATO",IFERROR(INDEX(cat_ModN,MATCH(I810,cat_ModO,0)),I810))</f>
        <v>RET</v>
      </c>
      <c r="U810" s="34" t="str">
        <f aca="false">IF(I810="","",IFERROR(INDEX(cat_ModG,MATCH(I810,cat_ModO,0)),"No"))</f>
        <v>Sí</v>
      </c>
      <c r="V810" s="34" t="str">
        <f aca="false">IF(J810="","SIN DATO",IFERROR(INDEX(cat_FunN,MATCH(J810,cat_FunO,0)),J810))</f>
        <v>Protección y medición</v>
      </c>
      <c r="W810" s="34" t="str">
        <f aca="false">IF(OR(S810="SIN DATO",T810="SIN DATO"),"No","Sí")</f>
        <v>Sí</v>
      </c>
    </row>
    <row r="811" customFormat="false" ht="15" hidden="false" customHeight="false" outlineLevel="0" collapsed="false">
      <c r="A811" s="34" t="s">
        <v>3075</v>
      </c>
      <c r="B811" s="34" t="s">
        <v>3076</v>
      </c>
      <c r="C811" s="34" t="s">
        <v>3077</v>
      </c>
      <c r="D811" s="34" t="s">
        <v>3068</v>
      </c>
      <c r="E811" s="34" t="s">
        <v>134</v>
      </c>
      <c r="F811" s="34" t="s">
        <v>1602</v>
      </c>
      <c r="G811" s="34" t="s">
        <v>2983</v>
      </c>
      <c r="H811" s="34" t="s">
        <v>55</v>
      </c>
      <c r="I811" s="34" t="s">
        <v>55</v>
      </c>
      <c r="J811" s="34" t="s">
        <v>58</v>
      </c>
      <c r="K811" s="34" t="s">
        <v>229</v>
      </c>
      <c r="L811" s="34" t="s">
        <v>230</v>
      </c>
      <c r="M811" s="34" t="s">
        <v>344</v>
      </c>
      <c r="N811" s="34" t="str">
        <f aca="false">"Sector "&amp;VALUE(MID(D811,13,2))</f>
        <v>Sector 5</v>
      </c>
      <c r="O811" s="34" t="str">
        <f aca="false">IF(Dashboard!$C$5="Ubicación técnica",N811,"Sector "&amp;VALUE(RIGHT(G811,2)))</f>
        <v>Sector 5</v>
      </c>
      <c r="P811" s="34" t="str">
        <f aca="false">IF(MID(D811,15,3)="SEL","Subestación eléctrica","Área de proceso")</f>
        <v>Subestación eléctrica</v>
      </c>
      <c r="Q811" s="34" t="str">
        <f aca="false">MID(D811,13,5)&amp;"|"&amp;MID(D811,19,5)</f>
        <v>05SEL|S_006</v>
      </c>
      <c r="R811" s="34" t="str">
        <f aca="false">IF(P811="Subestación eléctrica",IFERROR(INDEX(cat_SubN,MATCH(Q811,cat_SubK,0)),"SIN CATALOGAR"),"ÁREA DE PROCESO")</f>
        <v>SE-06</v>
      </c>
      <c r="S811" s="34" t="str">
        <f aca="false">IF(H811="","SIN DATO",IFERROR(INDEX(cat_MarcaN,MATCH(H811,cat_MarcaO,0)),H811))</f>
        <v>SEL</v>
      </c>
      <c r="T811" s="34" t="str">
        <f aca="false">IF(I811="","SIN DATO",IFERROR(INDEX(cat_ModN,MATCH(I811,cat_ModO,0)),I811))</f>
        <v>SEL</v>
      </c>
      <c r="U811" s="34" t="str">
        <f aca="false">IF(I811="","",IFERROR(INDEX(cat_ModG,MATCH(I811,cat_ModO,0)),"No"))</f>
        <v>Sí</v>
      </c>
      <c r="V811" s="34" t="str">
        <f aca="false">IF(J811="","SIN DATO",IFERROR(INDEX(cat_FunN,MATCH(J811,cat_FunO,0)),J811))</f>
        <v>Medición</v>
      </c>
      <c r="W811" s="34" t="str">
        <f aca="false">IF(OR(S811="SIN DATO",T811="SIN DATO"),"No","Sí")</f>
        <v>Sí</v>
      </c>
    </row>
    <row r="812" customFormat="false" ht="15" hidden="false" customHeight="false" outlineLevel="0" collapsed="false">
      <c r="A812" s="34" t="s">
        <v>3078</v>
      </c>
      <c r="B812" s="34" t="s">
        <v>3079</v>
      </c>
      <c r="C812" s="34" t="s">
        <v>3080</v>
      </c>
      <c r="D812" s="34" t="s">
        <v>3081</v>
      </c>
      <c r="E812" s="34" t="s">
        <v>134</v>
      </c>
      <c r="F812" s="34" t="s">
        <v>1602</v>
      </c>
      <c r="G812" s="34" t="s">
        <v>2983</v>
      </c>
      <c r="H812" s="34" t="s">
        <v>34</v>
      </c>
      <c r="I812" s="34" t="s">
        <v>39</v>
      </c>
      <c r="J812" s="34" t="s">
        <v>228</v>
      </c>
      <c r="K812" s="34" t="s">
        <v>229</v>
      </c>
      <c r="L812" s="34" t="s">
        <v>230</v>
      </c>
      <c r="M812" s="34" t="s">
        <v>231</v>
      </c>
      <c r="N812" s="34" t="str">
        <f aca="false">"Sector "&amp;VALUE(MID(D812,13,2))</f>
        <v>Sector 5</v>
      </c>
      <c r="O812" s="34" t="str">
        <f aca="false">IF(Dashboard!$C$5="Ubicación técnica",N812,"Sector "&amp;VALUE(RIGHT(G812,2)))</f>
        <v>Sector 5</v>
      </c>
      <c r="P812" s="34" t="str">
        <f aca="false">IF(MID(D812,15,3)="SEL","Subestación eléctrica","Área de proceso")</f>
        <v>Subestación eléctrica</v>
      </c>
      <c r="Q812" s="34" t="str">
        <f aca="false">MID(D812,13,5)&amp;"|"&amp;MID(D812,19,5)</f>
        <v>05SEL|S_006</v>
      </c>
      <c r="R812" s="34" t="str">
        <f aca="false">IF(P812="Subestación eléctrica",IFERROR(INDEX(cat_SubN,MATCH(Q812,cat_SubK,0)),"SIN CATALOGAR"),"ÁREA DE PROCESO")</f>
        <v>SE-06</v>
      </c>
      <c r="S812" s="34" t="str">
        <f aca="false">IF(H812="","SIN DATO",IFERROR(INDEX(cat_MarcaN,MATCH(H812,cat_MarcaO,0)),H812))</f>
        <v>ABB</v>
      </c>
      <c r="T812" s="34" t="str">
        <f aca="false">IF(I812="","SIN DATO",IFERROR(INDEX(cat_ModN,MATCH(I812,cat_ModO,0)),I812))</f>
        <v>REF</v>
      </c>
      <c r="U812" s="34" t="str">
        <f aca="false">IF(I812="","",IFERROR(INDEX(cat_ModG,MATCH(I812,cat_ModO,0)),"No"))</f>
        <v>Sí</v>
      </c>
      <c r="V812" s="34" t="str">
        <f aca="false">IF(J812="","SIN DATO",IFERROR(INDEX(cat_FunN,MATCH(J812,cat_FunO,0)),J812))</f>
        <v>Protección y medición</v>
      </c>
      <c r="W812" s="34" t="str">
        <f aca="false">IF(OR(S812="SIN DATO",T812="SIN DATO"),"No","Sí")</f>
        <v>Sí</v>
      </c>
    </row>
    <row r="813" customFormat="false" ht="15" hidden="false" customHeight="false" outlineLevel="0" collapsed="false">
      <c r="A813" s="34" t="s">
        <v>3082</v>
      </c>
      <c r="B813" s="34" t="s">
        <v>3083</v>
      </c>
      <c r="C813" s="34" t="s">
        <v>3084</v>
      </c>
      <c r="D813" s="34" t="s">
        <v>3085</v>
      </c>
      <c r="E813" s="34" t="s">
        <v>134</v>
      </c>
      <c r="F813" s="34" t="s">
        <v>1602</v>
      </c>
      <c r="G813" s="34" t="s">
        <v>2983</v>
      </c>
      <c r="H813" s="34" t="s">
        <v>34</v>
      </c>
      <c r="I813" s="34" t="s">
        <v>39</v>
      </c>
      <c r="J813" s="34" t="s">
        <v>228</v>
      </c>
      <c r="K813" s="34" t="s">
        <v>229</v>
      </c>
      <c r="L813" s="34" t="s">
        <v>230</v>
      </c>
      <c r="M813" s="34" t="s">
        <v>231</v>
      </c>
      <c r="N813" s="34" t="str">
        <f aca="false">"Sector "&amp;VALUE(MID(D813,13,2))</f>
        <v>Sector 5</v>
      </c>
      <c r="O813" s="34" t="str">
        <f aca="false">IF(Dashboard!$C$5="Ubicación técnica",N813,"Sector "&amp;VALUE(RIGHT(G813,2)))</f>
        <v>Sector 5</v>
      </c>
      <c r="P813" s="34" t="str">
        <f aca="false">IF(MID(D813,15,3)="SEL","Subestación eléctrica","Área de proceso")</f>
        <v>Subestación eléctrica</v>
      </c>
      <c r="Q813" s="34" t="str">
        <f aca="false">MID(D813,13,5)&amp;"|"&amp;MID(D813,19,5)</f>
        <v>05SEL|S_006</v>
      </c>
      <c r="R813" s="34" t="str">
        <f aca="false">IF(P813="Subestación eléctrica",IFERROR(INDEX(cat_SubN,MATCH(Q813,cat_SubK,0)),"SIN CATALOGAR"),"ÁREA DE PROCESO")</f>
        <v>SE-06</v>
      </c>
      <c r="S813" s="34" t="str">
        <f aca="false">IF(H813="","SIN DATO",IFERROR(INDEX(cat_MarcaN,MATCH(H813,cat_MarcaO,0)),H813))</f>
        <v>ABB</v>
      </c>
      <c r="T813" s="34" t="str">
        <f aca="false">IF(I813="","SIN DATO",IFERROR(INDEX(cat_ModN,MATCH(I813,cat_ModO,0)),I813))</f>
        <v>REF</v>
      </c>
      <c r="U813" s="34" t="str">
        <f aca="false">IF(I813="","",IFERROR(INDEX(cat_ModG,MATCH(I813,cat_ModO,0)),"No"))</f>
        <v>Sí</v>
      </c>
      <c r="V813" s="34" t="str">
        <f aca="false">IF(J813="","SIN DATO",IFERROR(INDEX(cat_FunN,MATCH(J813,cat_FunO,0)),J813))</f>
        <v>Protección y medición</v>
      </c>
      <c r="W813" s="34" t="str">
        <f aca="false">IF(OR(S813="SIN DATO",T813="SIN DATO"),"No","Sí")</f>
        <v>Sí</v>
      </c>
    </row>
    <row r="814" customFormat="false" ht="15" hidden="false" customHeight="false" outlineLevel="0" collapsed="false">
      <c r="A814" s="34" t="s">
        <v>3086</v>
      </c>
      <c r="B814" s="34" t="s">
        <v>3087</v>
      </c>
      <c r="C814" s="34" t="s">
        <v>3088</v>
      </c>
      <c r="D814" s="34" t="s">
        <v>3089</v>
      </c>
      <c r="E814" s="34" t="s">
        <v>134</v>
      </c>
      <c r="F814" s="34" t="s">
        <v>1602</v>
      </c>
      <c r="G814" s="34" t="s">
        <v>2983</v>
      </c>
      <c r="H814" s="34" t="s">
        <v>34</v>
      </c>
      <c r="I814" s="34" t="s">
        <v>39</v>
      </c>
      <c r="J814" s="34" t="s">
        <v>228</v>
      </c>
      <c r="K814" s="34" t="s">
        <v>229</v>
      </c>
      <c r="L814" s="34" t="s">
        <v>230</v>
      </c>
      <c r="M814" s="34" t="s">
        <v>231</v>
      </c>
      <c r="N814" s="34" t="str">
        <f aca="false">"Sector "&amp;VALUE(MID(D814,13,2))</f>
        <v>Sector 5</v>
      </c>
      <c r="O814" s="34" t="str">
        <f aca="false">IF(Dashboard!$C$5="Ubicación técnica",N814,"Sector "&amp;VALUE(RIGHT(G814,2)))</f>
        <v>Sector 5</v>
      </c>
      <c r="P814" s="34" t="str">
        <f aca="false">IF(MID(D814,15,3)="SEL","Subestación eléctrica","Área de proceso")</f>
        <v>Subestación eléctrica</v>
      </c>
      <c r="Q814" s="34" t="str">
        <f aca="false">MID(D814,13,5)&amp;"|"&amp;MID(D814,19,5)</f>
        <v>05SEL|S_006</v>
      </c>
      <c r="R814" s="34" t="str">
        <f aca="false">IF(P814="Subestación eléctrica",IFERROR(INDEX(cat_SubN,MATCH(Q814,cat_SubK,0)),"SIN CATALOGAR"),"ÁREA DE PROCESO")</f>
        <v>SE-06</v>
      </c>
      <c r="S814" s="34" t="str">
        <f aca="false">IF(H814="","SIN DATO",IFERROR(INDEX(cat_MarcaN,MATCH(H814,cat_MarcaO,0)),H814))</f>
        <v>ABB</v>
      </c>
      <c r="T814" s="34" t="str">
        <f aca="false">IF(I814="","SIN DATO",IFERROR(INDEX(cat_ModN,MATCH(I814,cat_ModO,0)),I814))</f>
        <v>REF</v>
      </c>
      <c r="U814" s="34" t="str">
        <f aca="false">IF(I814="","",IFERROR(INDEX(cat_ModG,MATCH(I814,cat_ModO,0)),"No"))</f>
        <v>Sí</v>
      </c>
      <c r="V814" s="34" t="str">
        <f aca="false">IF(J814="","SIN DATO",IFERROR(INDEX(cat_FunN,MATCH(J814,cat_FunO,0)),J814))</f>
        <v>Protección y medición</v>
      </c>
      <c r="W814" s="34" t="str">
        <f aca="false">IF(OR(S814="SIN DATO",T814="SIN DATO"),"No","Sí")</f>
        <v>Sí</v>
      </c>
    </row>
    <row r="815" customFormat="false" ht="15" hidden="false" customHeight="false" outlineLevel="0" collapsed="false">
      <c r="A815" s="34" t="s">
        <v>3090</v>
      </c>
      <c r="B815" s="34" t="s">
        <v>3091</v>
      </c>
      <c r="C815" s="34" t="s">
        <v>3092</v>
      </c>
      <c r="D815" s="34" t="s">
        <v>3093</v>
      </c>
      <c r="E815" s="34" t="s">
        <v>134</v>
      </c>
      <c r="F815" s="34" t="s">
        <v>1602</v>
      </c>
      <c r="G815" s="34" t="s">
        <v>2983</v>
      </c>
      <c r="H815" s="34" t="s">
        <v>34</v>
      </c>
      <c r="I815" s="34" t="s">
        <v>47</v>
      </c>
      <c r="J815" s="34" t="s">
        <v>681</v>
      </c>
      <c r="K815" s="34" t="s">
        <v>229</v>
      </c>
      <c r="L815" s="34" t="s">
        <v>230</v>
      </c>
      <c r="M815" s="34"/>
      <c r="N815" s="34" t="str">
        <f aca="false">"Sector "&amp;VALUE(MID(D815,13,2))</f>
        <v>Sector 5</v>
      </c>
      <c r="O815" s="34" t="str">
        <f aca="false">IF(Dashboard!$C$5="Ubicación técnica",N815,"Sector "&amp;VALUE(RIGHT(G815,2)))</f>
        <v>Sector 5</v>
      </c>
      <c r="P815" s="34" t="str">
        <f aca="false">IF(MID(D815,15,3)="SEL","Subestación eléctrica","Área de proceso")</f>
        <v>Subestación eléctrica</v>
      </c>
      <c r="Q815" s="34" t="str">
        <f aca="false">MID(D815,13,5)&amp;"|"&amp;MID(D815,19,5)</f>
        <v>05SEL|S_006</v>
      </c>
      <c r="R815" s="34" t="str">
        <f aca="false">IF(P815="Subestación eléctrica",IFERROR(INDEX(cat_SubN,MATCH(Q815,cat_SubK,0)),"SIN CATALOGAR"),"ÁREA DE PROCESO")</f>
        <v>SE-06</v>
      </c>
      <c r="S815" s="34" t="str">
        <f aca="false">IF(H815="","SIN DATO",IFERROR(INDEX(cat_MarcaN,MATCH(H815,cat_MarcaO,0)),H815))</f>
        <v>ABB</v>
      </c>
      <c r="T815" s="34" t="str">
        <f aca="false">IF(I815="","SIN DATO",IFERROR(INDEX(cat_ModN,MATCH(I815,cat_ModO,0)),I815))</f>
        <v>REA</v>
      </c>
      <c r="U815" s="34" t="str">
        <f aca="false">IF(I815="","",IFERROR(INDEX(cat_ModG,MATCH(I815,cat_ModO,0)),"No"))</f>
        <v>Sí</v>
      </c>
      <c r="V815" s="34" t="str">
        <f aca="false">IF(J815="","SIN DATO",IFERROR(INDEX(cat_FunN,MATCH(J815,cat_FunO,0)),J815))</f>
        <v>Protección</v>
      </c>
      <c r="W815" s="34" t="str">
        <f aca="false">IF(OR(S815="SIN DATO",T815="SIN DATO"),"No","Sí")</f>
        <v>Sí</v>
      </c>
    </row>
    <row r="816" customFormat="false" ht="15" hidden="false" customHeight="false" outlineLevel="0" collapsed="false">
      <c r="A816" s="34" t="s">
        <v>3094</v>
      </c>
      <c r="B816" s="34" t="s">
        <v>3095</v>
      </c>
      <c r="C816" s="34" t="s">
        <v>3096</v>
      </c>
      <c r="D816" s="34" t="s">
        <v>3093</v>
      </c>
      <c r="E816" s="34" t="s">
        <v>134</v>
      </c>
      <c r="F816" s="34" t="s">
        <v>1602</v>
      </c>
      <c r="G816" s="34" t="s">
        <v>2983</v>
      </c>
      <c r="H816" s="34" t="s">
        <v>34</v>
      </c>
      <c r="I816" s="34" t="s">
        <v>39</v>
      </c>
      <c r="J816" s="34" t="s">
        <v>228</v>
      </c>
      <c r="K816" s="34" t="s">
        <v>229</v>
      </c>
      <c r="L816" s="34" t="s">
        <v>230</v>
      </c>
      <c r="M816" s="34" t="s">
        <v>231</v>
      </c>
      <c r="N816" s="34" t="str">
        <f aca="false">"Sector "&amp;VALUE(MID(D816,13,2))</f>
        <v>Sector 5</v>
      </c>
      <c r="O816" s="34" t="str">
        <f aca="false">IF(Dashboard!$C$5="Ubicación técnica",N816,"Sector "&amp;VALUE(RIGHT(G816,2)))</f>
        <v>Sector 5</v>
      </c>
      <c r="P816" s="34" t="str">
        <f aca="false">IF(MID(D816,15,3)="SEL","Subestación eléctrica","Área de proceso")</f>
        <v>Subestación eléctrica</v>
      </c>
      <c r="Q816" s="34" t="str">
        <f aca="false">MID(D816,13,5)&amp;"|"&amp;MID(D816,19,5)</f>
        <v>05SEL|S_006</v>
      </c>
      <c r="R816" s="34" t="str">
        <f aca="false">IF(P816="Subestación eléctrica",IFERROR(INDEX(cat_SubN,MATCH(Q816,cat_SubK,0)),"SIN CATALOGAR"),"ÁREA DE PROCESO")</f>
        <v>SE-06</v>
      </c>
      <c r="S816" s="34" t="str">
        <f aca="false">IF(H816="","SIN DATO",IFERROR(INDEX(cat_MarcaN,MATCH(H816,cat_MarcaO,0)),H816))</f>
        <v>ABB</v>
      </c>
      <c r="T816" s="34" t="str">
        <f aca="false">IF(I816="","SIN DATO",IFERROR(INDEX(cat_ModN,MATCH(I816,cat_ModO,0)),I816))</f>
        <v>REF</v>
      </c>
      <c r="U816" s="34" t="str">
        <f aca="false">IF(I816="","",IFERROR(INDEX(cat_ModG,MATCH(I816,cat_ModO,0)),"No"))</f>
        <v>Sí</v>
      </c>
      <c r="V816" s="34" t="str">
        <f aca="false">IF(J816="","SIN DATO",IFERROR(INDEX(cat_FunN,MATCH(J816,cat_FunO,0)),J816))</f>
        <v>Protección y medición</v>
      </c>
      <c r="W816" s="34" t="str">
        <f aca="false">IF(OR(S816="SIN DATO",T816="SIN DATO"),"No","Sí")</f>
        <v>Sí</v>
      </c>
    </row>
    <row r="817" customFormat="false" ht="15" hidden="false" customHeight="false" outlineLevel="0" collapsed="false">
      <c r="A817" s="34" t="s">
        <v>3097</v>
      </c>
      <c r="B817" s="34" t="s">
        <v>3098</v>
      </c>
      <c r="C817" s="34" t="s">
        <v>3099</v>
      </c>
      <c r="D817" s="34" t="s">
        <v>3100</v>
      </c>
      <c r="E817" s="34" t="s">
        <v>134</v>
      </c>
      <c r="F817" s="34" t="s">
        <v>1602</v>
      </c>
      <c r="G817" s="34" t="s">
        <v>2983</v>
      </c>
      <c r="H817" s="34" t="s">
        <v>34</v>
      </c>
      <c r="I817" s="34" t="s">
        <v>39</v>
      </c>
      <c r="J817" s="34" t="s">
        <v>228</v>
      </c>
      <c r="K817" s="34" t="s">
        <v>229</v>
      </c>
      <c r="L817" s="34" t="s">
        <v>230</v>
      </c>
      <c r="M817" s="34" t="s">
        <v>231</v>
      </c>
      <c r="N817" s="34" t="str">
        <f aca="false">"Sector "&amp;VALUE(MID(D817,13,2))</f>
        <v>Sector 5</v>
      </c>
      <c r="O817" s="34" t="str">
        <f aca="false">IF(Dashboard!$C$5="Ubicación técnica",N817,"Sector "&amp;VALUE(RIGHT(G817,2)))</f>
        <v>Sector 5</v>
      </c>
      <c r="P817" s="34" t="str">
        <f aca="false">IF(MID(D817,15,3)="SEL","Subestación eléctrica","Área de proceso")</f>
        <v>Subestación eléctrica</v>
      </c>
      <c r="Q817" s="34" t="str">
        <f aca="false">MID(D817,13,5)&amp;"|"&amp;MID(D817,19,5)</f>
        <v>05SEL|S_006</v>
      </c>
      <c r="R817" s="34" t="str">
        <f aca="false">IF(P817="Subestación eléctrica",IFERROR(INDEX(cat_SubN,MATCH(Q817,cat_SubK,0)),"SIN CATALOGAR"),"ÁREA DE PROCESO")</f>
        <v>SE-06</v>
      </c>
      <c r="S817" s="34" t="str">
        <f aca="false">IF(H817="","SIN DATO",IFERROR(INDEX(cat_MarcaN,MATCH(H817,cat_MarcaO,0)),H817))</f>
        <v>ABB</v>
      </c>
      <c r="T817" s="34" t="str">
        <f aca="false">IF(I817="","SIN DATO",IFERROR(INDEX(cat_ModN,MATCH(I817,cat_ModO,0)),I817))</f>
        <v>REF</v>
      </c>
      <c r="U817" s="34" t="str">
        <f aca="false">IF(I817="","",IFERROR(INDEX(cat_ModG,MATCH(I817,cat_ModO,0)),"No"))</f>
        <v>Sí</v>
      </c>
      <c r="V817" s="34" t="str">
        <f aca="false">IF(J817="","SIN DATO",IFERROR(INDEX(cat_FunN,MATCH(J817,cat_FunO,0)),J817))</f>
        <v>Protección y medición</v>
      </c>
      <c r="W817" s="34" t="str">
        <f aca="false">IF(OR(S817="SIN DATO",T817="SIN DATO"),"No","Sí")</f>
        <v>Sí</v>
      </c>
    </row>
    <row r="818" customFormat="false" ht="15" hidden="false" customHeight="false" outlineLevel="0" collapsed="false">
      <c r="A818" s="34" t="s">
        <v>3101</v>
      </c>
      <c r="B818" s="34" t="s">
        <v>3102</v>
      </c>
      <c r="C818" s="34" t="s">
        <v>3103</v>
      </c>
      <c r="D818" s="34" t="s">
        <v>3104</v>
      </c>
      <c r="E818" s="34" t="s">
        <v>134</v>
      </c>
      <c r="F818" s="34" t="s">
        <v>1602</v>
      </c>
      <c r="G818" s="34" t="s">
        <v>2983</v>
      </c>
      <c r="H818" s="34" t="s">
        <v>34</v>
      </c>
      <c r="I818" s="34" t="s">
        <v>39</v>
      </c>
      <c r="J818" s="34" t="s">
        <v>228</v>
      </c>
      <c r="K818" s="34" t="s">
        <v>229</v>
      </c>
      <c r="L818" s="34" t="s">
        <v>230</v>
      </c>
      <c r="M818" s="34" t="s">
        <v>231</v>
      </c>
      <c r="N818" s="34" t="str">
        <f aca="false">"Sector "&amp;VALUE(MID(D818,13,2))</f>
        <v>Sector 5</v>
      </c>
      <c r="O818" s="34" t="str">
        <f aca="false">IF(Dashboard!$C$5="Ubicación técnica",N818,"Sector "&amp;VALUE(RIGHT(G818,2)))</f>
        <v>Sector 5</v>
      </c>
      <c r="P818" s="34" t="str">
        <f aca="false">IF(MID(D818,15,3)="SEL","Subestación eléctrica","Área de proceso")</f>
        <v>Subestación eléctrica</v>
      </c>
      <c r="Q818" s="34" t="str">
        <f aca="false">MID(D818,13,5)&amp;"|"&amp;MID(D818,19,5)</f>
        <v>05SEL|S_006</v>
      </c>
      <c r="R818" s="34" t="str">
        <f aca="false">IF(P818="Subestación eléctrica",IFERROR(INDEX(cat_SubN,MATCH(Q818,cat_SubK,0)),"SIN CATALOGAR"),"ÁREA DE PROCESO")</f>
        <v>SE-06</v>
      </c>
      <c r="S818" s="34" t="str">
        <f aca="false">IF(H818="","SIN DATO",IFERROR(INDEX(cat_MarcaN,MATCH(H818,cat_MarcaO,0)),H818))</f>
        <v>ABB</v>
      </c>
      <c r="T818" s="34" t="str">
        <f aca="false">IF(I818="","SIN DATO",IFERROR(INDEX(cat_ModN,MATCH(I818,cat_ModO,0)),I818))</f>
        <v>REF</v>
      </c>
      <c r="U818" s="34" t="str">
        <f aca="false">IF(I818="","",IFERROR(INDEX(cat_ModG,MATCH(I818,cat_ModO,0)),"No"))</f>
        <v>Sí</v>
      </c>
      <c r="V818" s="34" t="str">
        <f aca="false">IF(J818="","SIN DATO",IFERROR(INDEX(cat_FunN,MATCH(J818,cat_FunO,0)),J818))</f>
        <v>Protección y medición</v>
      </c>
      <c r="W818" s="34" t="str">
        <f aca="false">IF(OR(S818="SIN DATO",T818="SIN DATO"),"No","Sí")</f>
        <v>Sí</v>
      </c>
    </row>
    <row r="819" customFormat="false" ht="15" hidden="false" customHeight="false" outlineLevel="0" collapsed="false">
      <c r="A819" s="34" t="s">
        <v>3105</v>
      </c>
      <c r="B819" s="34" t="s">
        <v>3106</v>
      </c>
      <c r="C819" s="34" t="s">
        <v>3107</v>
      </c>
      <c r="D819" s="34" t="s">
        <v>3108</v>
      </c>
      <c r="E819" s="34" t="s">
        <v>134</v>
      </c>
      <c r="F819" s="34" t="s">
        <v>1602</v>
      </c>
      <c r="G819" s="34" t="s">
        <v>2983</v>
      </c>
      <c r="H819" s="34" t="s">
        <v>55</v>
      </c>
      <c r="I819" s="34" t="s">
        <v>55</v>
      </c>
      <c r="J819" s="34" t="s">
        <v>58</v>
      </c>
      <c r="K819" s="34" t="s">
        <v>229</v>
      </c>
      <c r="L819" s="34" t="s">
        <v>230</v>
      </c>
      <c r="M819" s="34" t="s">
        <v>344</v>
      </c>
      <c r="N819" s="34" t="str">
        <f aca="false">"Sector "&amp;VALUE(MID(D819,13,2))</f>
        <v>Sector 5</v>
      </c>
      <c r="O819" s="34" t="str">
        <f aca="false">IF(Dashboard!$C$5="Ubicación técnica",N819,"Sector "&amp;VALUE(RIGHT(G819,2)))</f>
        <v>Sector 5</v>
      </c>
      <c r="P819" s="34" t="str">
        <f aca="false">IF(MID(D819,15,3)="SEL","Subestación eléctrica","Área de proceso")</f>
        <v>Subestación eléctrica</v>
      </c>
      <c r="Q819" s="34" t="str">
        <f aca="false">MID(D819,13,5)&amp;"|"&amp;MID(D819,19,5)</f>
        <v>05SEL|S_006</v>
      </c>
      <c r="R819" s="34" t="str">
        <f aca="false">IF(P819="Subestación eléctrica",IFERROR(INDEX(cat_SubN,MATCH(Q819,cat_SubK,0)),"SIN CATALOGAR"),"ÁREA DE PROCESO")</f>
        <v>SE-06</v>
      </c>
      <c r="S819" s="34" t="str">
        <f aca="false">IF(H819="","SIN DATO",IFERROR(INDEX(cat_MarcaN,MATCH(H819,cat_MarcaO,0)),H819))</f>
        <v>SEL</v>
      </c>
      <c r="T819" s="34" t="str">
        <f aca="false">IF(I819="","SIN DATO",IFERROR(INDEX(cat_ModN,MATCH(I819,cat_ModO,0)),I819))</f>
        <v>SEL</v>
      </c>
      <c r="U819" s="34" t="str">
        <f aca="false">IF(I819="","",IFERROR(INDEX(cat_ModG,MATCH(I819,cat_ModO,0)),"No"))</f>
        <v>Sí</v>
      </c>
      <c r="V819" s="34" t="str">
        <f aca="false">IF(J819="","SIN DATO",IFERROR(INDEX(cat_FunN,MATCH(J819,cat_FunO,0)),J819))</f>
        <v>Medición</v>
      </c>
      <c r="W819" s="34" t="str">
        <f aca="false">IF(OR(S819="SIN DATO",T819="SIN DATO"),"No","Sí")</f>
        <v>Sí</v>
      </c>
    </row>
    <row r="820" customFormat="false" ht="15" hidden="false" customHeight="false" outlineLevel="0" collapsed="false">
      <c r="A820" s="34" t="s">
        <v>3109</v>
      </c>
      <c r="B820" s="34" t="s">
        <v>3110</v>
      </c>
      <c r="C820" s="34" t="s">
        <v>3111</v>
      </c>
      <c r="D820" s="34" t="s">
        <v>3112</v>
      </c>
      <c r="E820" s="34" t="s">
        <v>134</v>
      </c>
      <c r="F820" s="34" t="s">
        <v>1602</v>
      </c>
      <c r="G820" s="34" t="s">
        <v>2983</v>
      </c>
      <c r="H820" s="34" t="s">
        <v>55</v>
      </c>
      <c r="I820" s="34" t="s">
        <v>55</v>
      </c>
      <c r="J820" s="34" t="s">
        <v>58</v>
      </c>
      <c r="K820" s="34" t="s">
        <v>229</v>
      </c>
      <c r="L820" s="34" t="s">
        <v>230</v>
      </c>
      <c r="M820" s="34" t="s">
        <v>344</v>
      </c>
      <c r="N820" s="34" t="str">
        <f aca="false">"Sector "&amp;VALUE(MID(D820,13,2))</f>
        <v>Sector 5</v>
      </c>
      <c r="O820" s="34" t="str">
        <f aca="false">IF(Dashboard!$C$5="Ubicación técnica",N820,"Sector "&amp;VALUE(RIGHT(G820,2)))</f>
        <v>Sector 5</v>
      </c>
      <c r="P820" s="34" t="str">
        <f aca="false">IF(MID(D820,15,3)="SEL","Subestación eléctrica","Área de proceso")</f>
        <v>Subestación eléctrica</v>
      </c>
      <c r="Q820" s="34" t="str">
        <f aca="false">MID(D820,13,5)&amp;"|"&amp;MID(D820,19,5)</f>
        <v>05SEL|S_006</v>
      </c>
      <c r="R820" s="34" t="str">
        <f aca="false">IF(P820="Subestación eléctrica",IFERROR(INDEX(cat_SubN,MATCH(Q820,cat_SubK,0)),"SIN CATALOGAR"),"ÁREA DE PROCESO")</f>
        <v>SE-06</v>
      </c>
      <c r="S820" s="34" t="str">
        <f aca="false">IF(H820="","SIN DATO",IFERROR(INDEX(cat_MarcaN,MATCH(H820,cat_MarcaO,0)),H820))</f>
        <v>SEL</v>
      </c>
      <c r="T820" s="34" t="str">
        <f aca="false">IF(I820="","SIN DATO",IFERROR(INDEX(cat_ModN,MATCH(I820,cat_ModO,0)),I820))</f>
        <v>SEL</v>
      </c>
      <c r="U820" s="34" t="str">
        <f aca="false">IF(I820="","",IFERROR(INDEX(cat_ModG,MATCH(I820,cat_ModO,0)),"No"))</f>
        <v>Sí</v>
      </c>
      <c r="V820" s="34" t="str">
        <f aca="false">IF(J820="","SIN DATO",IFERROR(INDEX(cat_FunN,MATCH(J820,cat_FunO,0)),J820))</f>
        <v>Medición</v>
      </c>
      <c r="W820" s="34" t="str">
        <f aca="false">IF(OR(S820="SIN DATO",T820="SIN DATO"),"No","Sí")</f>
        <v>Sí</v>
      </c>
    </row>
    <row r="821" customFormat="false" ht="15" hidden="false" customHeight="false" outlineLevel="0" collapsed="false">
      <c r="A821" s="34" t="s">
        <v>3113</v>
      </c>
      <c r="B821" s="34" t="s">
        <v>3114</v>
      </c>
      <c r="C821" s="34" t="s">
        <v>3115</v>
      </c>
      <c r="D821" s="34" t="s">
        <v>3116</v>
      </c>
      <c r="E821" s="34" t="s">
        <v>134</v>
      </c>
      <c r="F821" s="34" t="s">
        <v>1602</v>
      </c>
      <c r="G821" s="34" t="s">
        <v>2983</v>
      </c>
      <c r="H821" s="34" t="s">
        <v>34</v>
      </c>
      <c r="I821" s="34" t="s">
        <v>39</v>
      </c>
      <c r="J821" s="34" t="s">
        <v>228</v>
      </c>
      <c r="K821" s="34" t="s">
        <v>229</v>
      </c>
      <c r="L821" s="34" t="s">
        <v>230</v>
      </c>
      <c r="M821" s="34" t="s">
        <v>231</v>
      </c>
      <c r="N821" s="34" t="str">
        <f aca="false">"Sector "&amp;VALUE(MID(D821,13,2))</f>
        <v>Sector 5</v>
      </c>
      <c r="O821" s="34" t="str">
        <f aca="false">IF(Dashboard!$C$5="Ubicación técnica",N821,"Sector "&amp;VALUE(RIGHT(G821,2)))</f>
        <v>Sector 5</v>
      </c>
      <c r="P821" s="34" t="str">
        <f aca="false">IF(MID(D821,15,3)="SEL","Subestación eléctrica","Área de proceso")</f>
        <v>Subestación eléctrica</v>
      </c>
      <c r="Q821" s="34" t="str">
        <f aca="false">MID(D821,13,5)&amp;"|"&amp;MID(D821,19,5)</f>
        <v>05SEL|S_006</v>
      </c>
      <c r="R821" s="34" t="str">
        <f aca="false">IF(P821="Subestación eléctrica",IFERROR(INDEX(cat_SubN,MATCH(Q821,cat_SubK,0)),"SIN CATALOGAR"),"ÁREA DE PROCESO")</f>
        <v>SE-06</v>
      </c>
      <c r="S821" s="34" t="str">
        <f aca="false">IF(H821="","SIN DATO",IFERROR(INDEX(cat_MarcaN,MATCH(H821,cat_MarcaO,0)),H821))</f>
        <v>ABB</v>
      </c>
      <c r="T821" s="34" t="str">
        <f aca="false">IF(I821="","SIN DATO",IFERROR(INDEX(cat_ModN,MATCH(I821,cat_ModO,0)),I821))</f>
        <v>REF</v>
      </c>
      <c r="U821" s="34" t="str">
        <f aca="false">IF(I821="","",IFERROR(INDEX(cat_ModG,MATCH(I821,cat_ModO,0)),"No"))</f>
        <v>Sí</v>
      </c>
      <c r="V821" s="34" t="str">
        <f aca="false">IF(J821="","SIN DATO",IFERROR(INDEX(cat_FunN,MATCH(J821,cat_FunO,0)),J821))</f>
        <v>Protección y medición</v>
      </c>
      <c r="W821" s="34" t="str">
        <f aca="false">IF(OR(S821="SIN DATO",T821="SIN DATO"),"No","Sí")</f>
        <v>Sí</v>
      </c>
    </row>
    <row r="822" customFormat="false" ht="15" hidden="false" customHeight="false" outlineLevel="0" collapsed="false">
      <c r="A822" s="34" t="s">
        <v>3117</v>
      </c>
      <c r="B822" s="34" t="s">
        <v>3118</v>
      </c>
      <c r="C822" s="34" t="s">
        <v>3119</v>
      </c>
      <c r="D822" s="34" t="s">
        <v>3116</v>
      </c>
      <c r="E822" s="34" t="s">
        <v>134</v>
      </c>
      <c r="F822" s="34" t="s">
        <v>1602</v>
      </c>
      <c r="G822" s="34" t="s">
        <v>2983</v>
      </c>
      <c r="H822" s="34" t="s">
        <v>55</v>
      </c>
      <c r="I822" s="34" t="s">
        <v>55</v>
      </c>
      <c r="J822" s="34" t="s">
        <v>58</v>
      </c>
      <c r="K822" s="34" t="s">
        <v>229</v>
      </c>
      <c r="L822" s="34" t="s">
        <v>230</v>
      </c>
      <c r="M822" s="34" t="s">
        <v>344</v>
      </c>
      <c r="N822" s="34" t="str">
        <f aca="false">"Sector "&amp;VALUE(MID(D822,13,2))</f>
        <v>Sector 5</v>
      </c>
      <c r="O822" s="34" t="str">
        <f aca="false">IF(Dashboard!$C$5="Ubicación técnica",N822,"Sector "&amp;VALUE(RIGHT(G822,2)))</f>
        <v>Sector 5</v>
      </c>
      <c r="P822" s="34" t="str">
        <f aca="false">IF(MID(D822,15,3)="SEL","Subestación eléctrica","Área de proceso")</f>
        <v>Subestación eléctrica</v>
      </c>
      <c r="Q822" s="34" t="str">
        <f aca="false">MID(D822,13,5)&amp;"|"&amp;MID(D822,19,5)</f>
        <v>05SEL|S_006</v>
      </c>
      <c r="R822" s="34" t="str">
        <f aca="false">IF(P822="Subestación eléctrica",IFERROR(INDEX(cat_SubN,MATCH(Q822,cat_SubK,0)),"SIN CATALOGAR"),"ÁREA DE PROCESO")</f>
        <v>SE-06</v>
      </c>
      <c r="S822" s="34" t="str">
        <f aca="false">IF(H822="","SIN DATO",IFERROR(INDEX(cat_MarcaN,MATCH(H822,cat_MarcaO,0)),H822))</f>
        <v>SEL</v>
      </c>
      <c r="T822" s="34" t="str">
        <f aca="false">IF(I822="","SIN DATO",IFERROR(INDEX(cat_ModN,MATCH(I822,cat_ModO,0)),I822))</f>
        <v>SEL</v>
      </c>
      <c r="U822" s="34" t="str">
        <f aca="false">IF(I822="","",IFERROR(INDEX(cat_ModG,MATCH(I822,cat_ModO,0)),"No"))</f>
        <v>Sí</v>
      </c>
      <c r="V822" s="34" t="str">
        <f aca="false">IF(J822="","SIN DATO",IFERROR(INDEX(cat_FunN,MATCH(J822,cat_FunO,0)),J822))</f>
        <v>Medición</v>
      </c>
      <c r="W822" s="34" t="str">
        <f aca="false">IF(OR(S822="SIN DATO",T822="SIN DATO"),"No","Sí")</f>
        <v>Sí</v>
      </c>
    </row>
    <row r="823" customFormat="false" ht="15" hidden="false" customHeight="false" outlineLevel="0" collapsed="false">
      <c r="A823" s="34" t="s">
        <v>3120</v>
      </c>
      <c r="B823" s="34" t="s">
        <v>3121</v>
      </c>
      <c r="C823" s="34" t="s">
        <v>3122</v>
      </c>
      <c r="D823" s="34" t="s">
        <v>2982</v>
      </c>
      <c r="E823" s="34" t="s">
        <v>134</v>
      </c>
      <c r="F823" s="34" t="s">
        <v>1602</v>
      </c>
      <c r="G823" s="34" t="s">
        <v>2983</v>
      </c>
      <c r="H823" s="34" t="s">
        <v>34</v>
      </c>
      <c r="I823" s="34" t="s">
        <v>39</v>
      </c>
      <c r="J823" s="34" t="s">
        <v>681</v>
      </c>
      <c r="K823" s="34" t="s">
        <v>229</v>
      </c>
      <c r="L823" s="34" t="s">
        <v>230</v>
      </c>
      <c r="M823" s="34" t="s">
        <v>231</v>
      </c>
      <c r="N823" s="34" t="str">
        <f aca="false">"Sector "&amp;VALUE(MID(D823,13,2))</f>
        <v>Sector 5</v>
      </c>
      <c r="O823" s="34" t="str">
        <f aca="false">IF(Dashboard!$C$5="Ubicación técnica",N823,"Sector "&amp;VALUE(RIGHT(G823,2)))</f>
        <v>Sector 5</v>
      </c>
      <c r="P823" s="34" t="str">
        <f aca="false">IF(MID(D823,15,3)="SEL","Subestación eléctrica","Área de proceso")</f>
        <v>Subestación eléctrica</v>
      </c>
      <c r="Q823" s="34" t="str">
        <f aca="false">MID(D823,13,5)&amp;"|"&amp;MID(D823,19,5)</f>
        <v>05SEL|S_006</v>
      </c>
      <c r="R823" s="34" t="str">
        <f aca="false">IF(P823="Subestación eléctrica",IFERROR(INDEX(cat_SubN,MATCH(Q823,cat_SubK,0)),"SIN CATALOGAR"),"ÁREA DE PROCESO")</f>
        <v>SE-06</v>
      </c>
      <c r="S823" s="34" t="str">
        <f aca="false">IF(H823="","SIN DATO",IFERROR(INDEX(cat_MarcaN,MATCH(H823,cat_MarcaO,0)),H823))</f>
        <v>ABB</v>
      </c>
      <c r="T823" s="34" t="str">
        <f aca="false">IF(I823="","SIN DATO",IFERROR(INDEX(cat_ModN,MATCH(I823,cat_ModO,0)),I823))</f>
        <v>REF</v>
      </c>
      <c r="U823" s="34" t="str">
        <f aca="false">IF(I823="","",IFERROR(INDEX(cat_ModG,MATCH(I823,cat_ModO,0)),"No"))</f>
        <v>Sí</v>
      </c>
      <c r="V823" s="34" t="str">
        <f aca="false">IF(J823="","SIN DATO",IFERROR(INDEX(cat_FunN,MATCH(J823,cat_FunO,0)),J823))</f>
        <v>Protección</v>
      </c>
      <c r="W823" s="34" t="str">
        <f aca="false">IF(OR(S823="SIN DATO",T823="SIN DATO"),"No","Sí")</f>
        <v>Sí</v>
      </c>
    </row>
    <row r="824" customFormat="false" ht="15" hidden="false" customHeight="false" outlineLevel="0" collapsed="false">
      <c r="A824" s="34" t="s">
        <v>3123</v>
      </c>
      <c r="B824" s="34" t="s">
        <v>3124</v>
      </c>
      <c r="C824" s="34" t="s">
        <v>3125</v>
      </c>
      <c r="D824" s="34" t="s">
        <v>2807</v>
      </c>
      <c r="E824" s="34" t="s">
        <v>109</v>
      </c>
      <c r="F824" s="34" t="s">
        <v>1602</v>
      </c>
      <c r="G824" s="34" t="s">
        <v>2431</v>
      </c>
      <c r="H824" s="34" t="s">
        <v>34</v>
      </c>
      <c r="I824" s="34" t="s">
        <v>36</v>
      </c>
      <c r="J824" s="34" t="s">
        <v>681</v>
      </c>
      <c r="K824" s="34" t="s">
        <v>229</v>
      </c>
      <c r="L824" s="34" t="s">
        <v>230</v>
      </c>
      <c r="M824" s="34" t="s">
        <v>682</v>
      </c>
      <c r="N824" s="34" t="str">
        <f aca="false">"Sector "&amp;VALUE(MID(D824,13,2))</f>
        <v>Sector 1</v>
      </c>
      <c r="O824" s="34" t="str">
        <f aca="false">IF(Dashboard!$C$5="Ubicación técnica",N824,"Sector "&amp;VALUE(RIGHT(G824,2)))</f>
        <v>Sector 1</v>
      </c>
      <c r="P824" s="34" t="str">
        <f aca="false">IF(MID(D824,15,3)="SEL","Subestación eléctrica","Área de proceso")</f>
        <v>Subestación eléctrica</v>
      </c>
      <c r="Q824" s="34" t="str">
        <f aca="false">MID(D824,13,5)&amp;"|"&amp;MID(D824,19,5)</f>
        <v>01SEL|S_012</v>
      </c>
      <c r="R824" s="34" t="str">
        <f aca="false">IF(P824="Subestación eléctrica",IFERROR(INDEX(cat_SubN,MATCH(Q824,cat_SubK,0)),"SIN CATALOGAR"),"ÁREA DE PROCESO")</f>
        <v>SE-12</v>
      </c>
      <c r="S824" s="34" t="str">
        <f aca="false">IF(H824="","SIN DATO",IFERROR(INDEX(cat_MarcaN,MATCH(H824,cat_MarcaO,0)),H824))</f>
        <v>ABB</v>
      </c>
      <c r="T824" s="34" t="str">
        <f aca="false">IF(I824="","SIN DATO",IFERROR(INDEX(cat_ModN,MATCH(I824,cat_ModO,0)),I824))</f>
        <v>1AFFAEAGNEC5BNA11G</v>
      </c>
      <c r="U824" s="34" t="str">
        <f aca="false">IF(I824="","",IFERROR(INDEX(cat_ModG,MATCH(I824,cat_ModO,0)),"No"))</f>
        <v>No</v>
      </c>
      <c r="V824" s="34" t="str">
        <f aca="false">IF(J824="","SIN DATO",IFERROR(INDEX(cat_FunN,MATCH(J824,cat_FunO,0)),J824))</f>
        <v>Protección</v>
      </c>
      <c r="W824" s="34" t="str">
        <f aca="false">IF(OR(S824="SIN DATO",T824="SIN DATO"),"No","Sí")</f>
        <v>Sí</v>
      </c>
    </row>
    <row r="825" customFormat="false" ht="15" hidden="false" customHeight="false" outlineLevel="0" collapsed="false">
      <c r="A825" s="34" t="s">
        <v>3126</v>
      </c>
      <c r="B825" s="34" t="s">
        <v>3127</v>
      </c>
      <c r="C825" s="34" t="s">
        <v>3128</v>
      </c>
      <c r="D825" s="34" t="s">
        <v>2807</v>
      </c>
      <c r="E825" s="34" t="s">
        <v>109</v>
      </c>
      <c r="F825" s="34" t="s">
        <v>1602</v>
      </c>
      <c r="G825" s="34" t="s">
        <v>2431</v>
      </c>
      <c r="H825" s="34" t="s">
        <v>34</v>
      </c>
      <c r="I825" s="34" t="s">
        <v>36</v>
      </c>
      <c r="J825" s="34" t="s">
        <v>681</v>
      </c>
      <c r="K825" s="34" t="s">
        <v>229</v>
      </c>
      <c r="L825" s="34" t="s">
        <v>230</v>
      </c>
      <c r="M825" s="34" t="s">
        <v>682</v>
      </c>
      <c r="N825" s="34" t="str">
        <f aca="false">"Sector "&amp;VALUE(MID(D825,13,2))</f>
        <v>Sector 1</v>
      </c>
      <c r="O825" s="34" t="str">
        <f aca="false">IF(Dashboard!$C$5="Ubicación técnica",N825,"Sector "&amp;VALUE(RIGHT(G825,2)))</f>
        <v>Sector 1</v>
      </c>
      <c r="P825" s="34" t="str">
        <f aca="false">IF(MID(D825,15,3)="SEL","Subestación eléctrica","Área de proceso")</f>
        <v>Subestación eléctrica</v>
      </c>
      <c r="Q825" s="34" t="str">
        <f aca="false">MID(D825,13,5)&amp;"|"&amp;MID(D825,19,5)</f>
        <v>01SEL|S_012</v>
      </c>
      <c r="R825" s="34" t="str">
        <f aca="false">IF(P825="Subestación eléctrica",IFERROR(INDEX(cat_SubN,MATCH(Q825,cat_SubK,0)),"SIN CATALOGAR"),"ÁREA DE PROCESO")</f>
        <v>SE-12</v>
      </c>
      <c r="S825" s="34" t="str">
        <f aca="false">IF(H825="","SIN DATO",IFERROR(INDEX(cat_MarcaN,MATCH(H825,cat_MarcaO,0)),H825))</f>
        <v>ABB</v>
      </c>
      <c r="T825" s="34" t="str">
        <f aca="false">IF(I825="","SIN DATO",IFERROR(INDEX(cat_ModN,MATCH(I825,cat_ModO,0)),I825))</f>
        <v>1AFFAEAGNEC5BNA11G</v>
      </c>
      <c r="U825" s="34" t="str">
        <f aca="false">IF(I825="","",IFERROR(INDEX(cat_ModG,MATCH(I825,cat_ModO,0)),"No"))</f>
        <v>No</v>
      </c>
      <c r="V825" s="34" t="str">
        <f aca="false">IF(J825="","SIN DATO",IFERROR(INDEX(cat_FunN,MATCH(J825,cat_FunO,0)),J825))</f>
        <v>Protección</v>
      </c>
      <c r="W825" s="34" t="str">
        <f aca="false">IF(OR(S825="SIN DATO",T825="SIN DATO"),"No","Sí")</f>
        <v>Sí</v>
      </c>
    </row>
    <row r="826" customFormat="false" ht="15" hidden="false" customHeight="false" outlineLevel="0" collapsed="false">
      <c r="A826" s="34" t="s">
        <v>3129</v>
      </c>
      <c r="B826" s="34" t="s">
        <v>3130</v>
      </c>
      <c r="C826" s="34" t="s">
        <v>3131</v>
      </c>
      <c r="D826" s="34" t="s">
        <v>2807</v>
      </c>
      <c r="E826" s="34" t="s">
        <v>109</v>
      </c>
      <c r="F826" s="34" t="s">
        <v>1602</v>
      </c>
      <c r="G826" s="34" t="s">
        <v>2431</v>
      </c>
      <c r="H826" s="34" t="s">
        <v>34</v>
      </c>
      <c r="I826" s="34" t="s">
        <v>46</v>
      </c>
      <c r="J826" s="34" t="s">
        <v>228</v>
      </c>
      <c r="K826" s="34" t="s">
        <v>229</v>
      </c>
      <c r="L826" s="34" t="s">
        <v>230</v>
      </c>
      <c r="M826" s="34" t="s">
        <v>231</v>
      </c>
      <c r="N826" s="34" t="str">
        <f aca="false">"Sector "&amp;VALUE(MID(D826,13,2))</f>
        <v>Sector 1</v>
      </c>
      <c r="O826" s="34" t="str">
        <f aca="false">IF(Dashboard!$C$5="Ubicación técnica",N826,"Sector "&amp;VALUE(RIGHT(G826,2)))</f>
        <v>Sector 1</v>
      </c>
      <c r="P826" s="34" t="str">
        <f aca="false">IF(MID(D826,15,3)="SEL","Subestación eléctrica","Área de proceso")</f>
        <v>Subestación eléctrica</v>
      </c>
      <c r="Q826" s="34" t="str">
        <f aca="false">MID(D826,13,5)&amp;"|"&amp;MID(D826,19,5)</f>
        <v>01SEL|S_012</v>
      </c>
      <c r="R826" s="34" t="str">
        <f aca="false">IF(P826="Subestación eléctrica",IFERROR(INDEX(cat_SubN,MATCH(Q826,cat_SubK,0)),"SIN CATALOGAR"),"ÁREA DE PROCESO")</f>
        <v>SE-12</v>
      </c>
      <c r="S826" s="34" t="str">
        <f aca="false">IF(H826="","SIN DATO",IFERROR(INDEX(cat_MarcaN,MATCH(H826,cat_MarcaO,0)),H826))</f>
        <v>ABB</v>
      </c>
      <c r="T826" s="34" t="str">
        <f aca="false">IF(I826="","SIN DATO",IFERROR(INDEX(cat_ModN,MATCH(I826,cat_ModO,0)),I826))</f>
        <v>1ATBBABBNEC5BNN11G</v>
      </c>
      <c r="U826" s="34" t="str">
        <f aca="false">IF(I826="","",IFERROR(INDEX(cat_ModG,MATCH(I826,cat_ModO,0)),"No"))</f>
        <v>No</v>
      </c>
      <c r="V826" s="34" t="str">
        <f aca="false">IF(J826="","SIN DATO",IFERROR(INDEX(cat_FunN,MATCH(J826,cat_FunO,0)),J826))</f>
        <v>Protección y medición</v>
      </c>
      <c r="W826" s="34" t="str">
        <f aca="false">IF(OR(S826="SIN DATO",T826="SIN DATO"),"No","Sí")</f>
        <v>Sí</v>
      </c>
    </row>
    <row r="827" customFormat="false" ht="15" hidden="false" customHeight="false" outlineLevel="0" collapsed="false">
      <c r="A827" s="34" t="s">
        <v>3132</v>
      </c>
      <c r="B827" s="34" t="s">
        <v>3133</v>
      </c>
      <c r="C827" s="34" t="s">
        <v>3134</v>
      </c>
      <c r="D827" s="34" t="s">
        <v>3135</v>
      </c>
      <c r="E827" s="34" t="s">
        <v>109</v>
      </c>
      <c r="F827" s="34" t="s">
        <v>1602</v>
      </c>
      <c r="G827" s="34" t="s">
        <v>2431</v>
      </c>
      <c r="H827" s="34" t="s">
        <v>34</v>
      </c>
      <c r="I827" s="34" t="s">
        <v>42</v>
      </c>
      <c r="J827" s="34" t="s">
        <v>681</v>
      </c>
      <c r="K827" s="34" t="s">
        <v>229</v>
      </c>
      <c r="L827" s="34" t="s">
        <v>230</v>
      </c>
      <c r="M827" s="34" t="s">
        <v>231</v>
      </c>
      <c r="N827" s="34" t="str">
        <f aca="false">"Sector "&amp;VALUE(MID(D827,13,2))</f>
        <v>Sector 1</v>
      </c>
      <c r="O827" s="34" t="str">
        <f aca="false">IF(Dashboard!$C$5="Ubicación técnica",N827,"Sector "&amp;VALUE(RIGHT(G827,2)))</f>
        <v>Sector 1</v>
      </c>
      <c r="P827" s="34" t="str">
        <f aca="false">IF(MID(D827,15,3)="SEL","Subestación eléctrica","Área de proceso")</f>
        <v>Subestación eléctrica</v>
      </c>
      <c r="Q827" s="34" t="str">
        <f aca="false">MID(D827,13,5)&amp;"|"&amp;MID(D827,19,5)</f>
        <v>01SEL|S_012</v>
      </c>
      <c r="R827" s="34" t="str">
        <f aca="false">IF(P827="Subestación eléctrica",IFERROR(INDEX(cat_SubN,MATCH(Q827,cat_SubK,0)),"SIN CATALOGAR"),"ÁREA DE PROCESO")</f>
        <v>SE-12</v>
      </c>
      <c r="S827" s="34" t="str">
        <f aca="false">IF(H827="","SIN DATO",IFERROR(INDEX(cat_MarcaN,MATCH(H827,cat_MarcaO,0)),H827))</f>
        <v>ABB</v>
      </c>
      <c r="T827" s="34" t="str">
        <f aca="false">IF(I827="","SIN DATO",IFERROR(INDEX(cat_ModN,MATCH(I827,cat_ModO,0)),I827))</f>
        <v>1AFPAKAKNGC5BNN11G</v>
      </c>
      <c r="U827" s="34" t="str">
        <f aca="false">IF(I827="","",IFERROR(INDEX(cat_ModG,MATCH(I827,cat_ModO,0)),"No"))</f>
        <v>No</v>
      </c>
      <c r="V827" s="34" t="str">
        <f aca="false">IF(J827="","SIN DATO",IFERROR(INDEX(cat_FunN,MATCH(J827,cat_FunO,0)),J827))</f>
        <v>Protección</v>
      </c>
      <c r="W827" s="34" t="str">
        <f aca="false">IF(OR(S827="SIN DATO",T827="SIN DATO"),"No","Sí")</f>
        <v>Sí</v>
      </c>
    </row>
    <row r="828" customFormat="false" ht="15" hidden="false" customHeight="false" outlineLevel="0" collapsed="false">
      <c r="A828" s="34" t="s">
        <v>3136</v>
      </c>
      <c r="B828" s="34" t="s">
        <v>3137</v>
      </c>
      <c r="C828" s="34" t="s">
        <v>3138</v>
      </c>
      <c r="D828" s="34" t="s">
        <v>3139</v>
      </c>
      <c r="E828" s="34" t="s">
        <v>109</v>
      </c>
      <c r="F828" s="34" t="s">
        <v>1602</v>
      </c>
      <c r="G828" s="34" t="s">
        <v>2431</v>
      </c>
      <c r="H828" s="34" t="s">
        <v>34</v>
      </c>
      <c r="I828" s="34" t="s">
        <v>42</v>
      </c>
      <c r="J828" s="34" t="s">
        <v>681</v>
      </c>
      <c r="K828" s="34" t="s">
        <v>229</v>
      </c>
      <c r="L828" s="34" t="s">
        <v>230</v>
      </c>
      <c r="M828" s="34" t="s">
        <v>231</v>
      </c>
      <c r="N828" s="34" t="str">
        <f aca="false">"Sector "&amp;VALUE(MID(D828,13,2))</f>
        <v>Sector 1</v>
      </c>
      <c r="O828" s="34" t="str">
        <f aca="false">IF(Dashboard!$C$5="Ubicación técnica",N828,"Sector "&amp;VALUE(RIGHT(G828,2)))</f>
        <v>Sector 1</v>
      </c>
      <c r="P828" s="34" t="str">
        <f aca="false">IF(MID(D828,15,3)="SEL","Subestación eléctrica","Área de proceso")</f>
        <v>Subestación eléctrica</v>
      </c>
      <c r="Q828" s="34" t="str">
        <f aca="false">MID(D828,13,5)&amp;"|"&amp;MID(D828,19,5)</f>
        <v>01SEL|S_012</v>
      </c>
      <c r="R828" s="34" t="str">
        <f aca="false">IF(P828="Subestación eléctrica",IFERROR(INDEX(cat_SubN,MATCH(Q828,cat_SubK,0)),"SIN CATALOGAR"),"ÁREA DE PROCESO")</f>
        <v>SE-12</v>
      </c>
      <c r="S828" s="34" t="str">
        <f aca="false">IF(H828="","SIN DATO",IFERROR(INDEX(cat_MarcaN,MATCH(H828,cat_MarcaO,0)),H828))</f>
        <v>ABB</v>
      </c>
      <c r="T828" s="34" t="str">
        <f aca="false">IF(I828="","SIN DATO",IFERROR(INDEX(cat_ModN,MATCH(I828,cat_ModO,0)),I828))</f>
        <v>1AFPAKAKNGC5BNN11G</v>
      </c>
      <c r="U828" s="34" t="str">
        <f aca="false">IF(I828="","",IFERROR(INDEX(cat_ModG,MATCH(I828,cat_ModO,0)),"No"))</f>
        <v>No</v>
      </c>
      <c r="V828" s="34" t="str">
        <f aca="false">IF(J828="","SIN DATO",IFERROR(INDEX(cat_FunN,MATCH(J828,cat_FunO,0)),J828))</f>
        <v>Protección</v>
      </c>
      <c r="W828" s="34" t="str">
        <f aca="false">IF(OR(S828="SIN DATO",T828="SIN DATO"),"No","Sí")</f>
        <v>Sí</v>
      </c>
    </row>
    <row r="829" customFormat="false" ht="15" hidden="false" customHeight="false" outlineLevel="0" collapsed="false">
      <c r="A829" s="34" t="s">
        <v>3140</v>
      </c>
      <c r="B829" s="34" t="s">
        <v>3141</v>
      </c>
      <c r="C829" s="34" t="s">
        <v>3142</v>
      </c>
      <c r="D829" s="34" t="s">
        <v>3135</v>
      </c>
      <c r="E829" s="34" t="s">
        <v>109</v>
      </c>
      <c r="F829" s="34" t="s">
        <v>1602</v>
      </c>
      <c r="G829" s="34" t="s">
        <v>2431</v>
      </c>
      <c r="H829" s="34" t="s">
        <v>34</v>
      </c>
      <c r="I829" s="34" t="s">
        <v>42</v>
      </c>
      <c r="J829" s="34" t="s">
        <v>681</v>
      </c>
      <c r="K829" s="34" t="s">
        <v>229</v>
      </c>
      <c r="L829" s="34" t="s">
        <v>230</v>
      </c>
      <c r="M829" s="34" t="s">
        <v>231</v>
      </c>
      <c r="N829" s="34" t="str">
        <f aca="false">"Sector "&amp;VALUE(MID(D829,13,2))</f>
        <v>Sector 1</v>
      </c>
      <c r="O829" s="34" t="str">
        <f aca="false">IF(Dashboard!$C$5="Ubicación técnica",N829,"Sector "&amp;VALUE(RIGHT(G829,2)))</f>
        <v>Sector 1</v>
      </c>
      <c r="P829" s="34" t="str">
        <f aca="false">IF(MID(D829,15,3)="SEL","Subestación eléctrica","Área de proceso")</f>
        <v>Subestación eléctrica</v>
      </c>
      <c r="Q829" s="34" t="str">
        <f aca="false">MID(D829,13,5)&amp;"|"&amp;MID(D829,19,5)</f>
        <v>01SEL|S_012</v>
      </c>
      <c r="R829" s="34" t="str">
        <f aca="false">IF(P829="Subestación eléctrica",IFERROR(INDEX(cat_SubN,MATCH(Q829,cat_SubK,0)),"SIN CATALOGAR"),"ÁREA DE PROCESO")</f>
        <v>SE-12</v>
      </c>
      <c r="S829" s="34" t="str">
        <f aca="false">IF(H829="","SIN DATO",IFERROR(INDEX(cat_MarcaN,MATCH(H829,cat_MarcaO,0)),H829))</f>
        <v>ABB</v>
      </c>
      <c r="T829" s="34" t="str">
        <f aca="false">IF(I829="","SIN DATO",IFERROR(INDEX(cat_ModN,MATCH(I829,cat_ModO,0)),I829))</f>
        <v>1AFPAKAKNGC5BNN11G</v>
      </c>
      <c r="U829" s="34" t="str">
        <f aca="false">IF(I829="","",IFERROR(INDEX(cat_ModG,MATCH(I829,cat_ModO,0)),"No"))</f>
        <v>No</v>
      </c>
      <c r="V829" s="34" t="str">
        <f aca="false">IF(J829="","SIN DATO",IFERROR(INDEX(cat_FunN,MATCH(J829,cat_FunO,0)),J829))</f>
        <v>Protección</v>
      </c>
      <c r="W829" s="34" t="str">
        <f aca="false">IF(OR(S829="SIN DATO",T829="SIN DATO"),"No","Sí")</f>
        <v>Sí</v>
      </c>
    </row>
    <row r="830" customFormat="false" ht="15" hidden="false" customHeight="false" outlineLevel="0" collapsed="false">
      <c r="A830" s="34" t="s">
        <v>3143</v>
      </c>
      <c r="B830" s="34" t="s">
        <v>3144</v>
      </c>
      <c r="C830" s="34" t="s">
        <v>3145</v>
      </c>
      <c r="D830" s="34" t="s">
        <v>3146</v>
      </c>
      <c r="E830" s="34" t="s">
        <v>109</v>
      </c>
      <c r="F830" s="34" t="s">
        <v>1602</v>
      </c>
      <c r="G830" s="34" t="s">
        <v>2431</v>
      </c>
      <c r="H830" s="34" t="s">
        <v>34</v>
      </c>
      <c r="I830" s="34" t="s">
        <v>42</v>
      </c>
      <c r="J830" s="34" t="s">
        <v>681</v>
      </c>
      <c r="K830" s="34" t="s">
        <v>229</v>
      </c>
      <c r="L830" s="34" t="s">
        <v>230</v>
      </c>
      <c r="M830" s="34" t="s">
        <v>231</v>
      </c>
      <c r="N830" s="34" t="str">
        <f aca="false">"Sector "&amp;VALUE(MID(D830,13,2))</f>
        <v>Sector 1</v>
      </c>
      <c r="O830" s="34" t="str">
        <f aca="false">IF(Dashboard!$C$5="Ubicación técnica",N830,"Sector "&amp;VALUE(RIGHT(G830,2)))</f>
        <v>Sector 1</v>
      </c>
      <c r="P830" s="34" t="str">
        <f aca="false">IF(MID(D830,15,3)="SEL","Subestación eléctrica","Área de proceso")</f>
        <v>Subestación eléctrica</v>
      </c>
      <c r="Q830" s="34" t="str">
        <f aca="false">MID(D830,13,5)&amp;"|"&amp;MID(D830,19,5)</f>
        <v>01SEL|S_012</v>
      </c>
      <c r="R830" s="34" t="str">
        <f aca="false">IF(P830="Subestación eléctrica",IFERROR(INDEX(cat_SubN,MATCH(Q830,cat_SubK,0)),"SIN CATALOGAR"),"ÁREA DE PROCESO")</f>
        <v>SE-12</v>
      </c>
      <c r="S830" s="34" t="str">
        <f aca="false">IF(H830="","SIN DATO",IFERROR(INDEX(cat_MarcaN,MATCH(H830,cat_MarcaO,0)),H830))</f>
        <v>ABB</v>
      </c>
      <c r="T830" s="34" t="str">
        <f aca="false">IF(I830="","SIN DATO",IFERROR(INDEX(cat_ModN,MATCH(I830,cat_ModO,0)),I830))</f>
        <v>1AFPAKAKNGC5BNN11G</v>
      </c>
      <c r="U830" s="34" t="str">
        <f aca="false">IF(I830="","",IFERROR(INDEX(cat_ModG,MATCH(I830,cat_ModO,0)),"No"))</f>
        <v>No</v>
      </c>
      <c r="V830" s="34" t="str">
        <f aca="false">IF(J830="","SIN DATO",IFERROR(INDEX(cat_FunN,MATCH(J830,cat_FunO,0)),J830))</f>
        <v>Protección</v>
      </c>
      <c r="W830" s="34" t="str">
        <f aca="false">IF(OR(S830="SIN DATO",T830="SIN DATO"),"No","Sí")</f>
        <v>Sí</v>
      </c>
    </row>
    <row r="831" customFormat="false" ht="15" hidden="false" customHeight="false" outlineLevel="0" collapsed="false">
      <c r="A831" s="34" t="s">
        <v>3147</v>
      </c>
      <c r="B831" s="34" t="s">
        <v>3148</v>
      </c>
      <c r="C831" s="34" t="s">
        <v>3149</v>
      </c>
      <c r="D831" s="34" t="s">
        <v>3150</v>
      </c>
      <c r="E831" s="34" t="s">
        <v>109</v>
      </c>
      <c r="F831" s="34" t="s">
        <v>1602</v>
      </c>
      <c r="G831" s="34" t="s">
        <v>2431</v>
      </c>
      <c r="H831" s="34" t="s">
        <v>34</v>
      </c>
      <c r="I831" s="34" t="s">
        <v>42</v>
      </c>
      <c r="J831" s="34" t="s">
        <v>681</v>
      </c>
      <c r="K831" s="34" t="s">
        <v>229</v>
      </c>
      <c r="L831" s="34" t="s">
        <v>230</v>
      </c>
      <c r="M831" s="34" t="s">
        <v>231</v>
      </c>
      <c r="N831" s="34" t="str">
        <f aca="false">"Sector "&amp;VALUE(MID(D831,13,2))</f>
        <v>Sector 1</v>
      </c>
      <c r="O831" s="34" t="str">
        <f aca="false">IF(Dashboard!$C$5="Ubicación técnica",N831,"Sector "&amp;VALUE(RIGHT(G831,2)))</f>
        <v>Sector 1</v>
      </c>
      <c r="P831" s="34" t="str">
        <f aca="false">IF(MID(D831,15,3)="SEL","Subestación eléctrica","Área de proceso")</f>
        <v>Subestación eléctrica</v>
      </c>
      <c r="Q831" s="34" t="str">
        <f aca="false">MID(D831,13,5)&amp;"|"&amp;MID(D831,19,5)</f>
        <v>01SEL|S_012</v>
      </c>
      <c r="R831" s="34" t="str">
        <f aca="false">IF(P831="Subestación eléctrica",IFERROR(INDEX(cat_SubN,MATCH(Q831,cat_SubK,0)),"SIN CATALOGAR"),"ÁREA DE PROCESO")</f>
        <v>SE-12</v>
      </c>
      <c r="S831" s="34" t="str">
        <f aca="false">IF(H831="","SIN DATO",IFERROR(INDEX(cat_MarcaN,MATCH(H831,cat_MarcaO,0)),H831))</f>
        <v>ABB</v>
      </c>
      <c r="T831" s="34" t="str">
        <f aca="false">IF(I831="","SIN DATO",IFERROR(INDEX(cat_ModN,MATCH(I831,cat_ModO,0)),I831))</f>
        <v>1AFPAKAKNGC5BNN11G</v>
      </c>
      <c r="U831" s="34" t="str">
        <f aca="false">IF(I831="","",IFERROR(INDEX(cat_ModG,MATCH(I831,cat_ModO,0)),"No"))</f>
        <v>No</v>
      </c>
      <c r="V831" s="34" t="str">
        <f aca="false">IF(J831="","SIN DATO",IFERROR(INDEX(cat_FunN,MATCH(J831,cat_FunO,0)),J831))</f>
        <v>Protección</v>
      </c>
      <c r="W831" s="34" t="str">
        <f aca="false">IF(OR(S831="SIN DATO",T831="SIN DATO"),"No","Sí")</f>
        <v>Sí</v>
      </c>
    </row>
    <row r="832" customFormat="false" ht="15" hidden="false" customHeight="false" outlineLevel="0" collapsed="false">
      <c r="A832" s="34" t="s">
        <v>3151</v>
      </c>
      <c r="B832" s="34" t="s">
        <v>3152</v>
      </c>
      <c r="C832" s="34" t="s">
        <v>3153</v>
      </c>
      <c r="D832" s="34" t="s">
        <v>3146</v>
      </c>
      <c r="E832" s="34" t="s">
        <v>109</v>
      </c>
      <c r="F832" s="34" t="s">
        <v>1602</v>
      </c>
      <c r="G832" s="34" t="s">
        <v>2431</v>
      </c>
      <c r="H832" s="34" t="s">
        <v>34</v>
      </c>
      <c r="I832" s="34" t="s">
        <v>42</v>
      </c>
      <c r="J832" s="34" t="s">
        <v>681</v>
      </c>
      <c r="K832" s="34" t="s">
        <v>229</v>
      </c>
      <c r="L832" s="34" t="s">
        <v>230</v>
      </c>
      <c r="M832" s="34" t="s">
        <v>231</v>
      </c>
      <c r="N832" s="34" t="str">
        <f aca="false">"Sector "&amp;VALUE(MID(D832,13,2))</f>
        <v>Sector 1</v>
      </c>
      <c r="O832" s="34" t="str">
        <f aca="false">IF(Dashboard!$C$5="Ubicación técnica",N832,"Sector "&amp;VALUE(RIGHT(G832,2)))</f>
        <v>Sector 1</v>
      </c>
      <c r="P832" s="34" t="str">
        <f aca="false">IF(MID(D832,15,3)="SEL","Subestación eléctrica","Área de proceso")</f>
        <v>Subestación eléctrica</v>
      </c>
      <c r="Q832" s="34" t="str">
        <f aca="false">MID(D832,13,5)&amp;"|"&amp;MID(D832,19,5)</f>
        <v>01SEL|S_012</v>
      </c>
      <c r="R832" s="34" t="str">
        <f aca="false">IF(P832="Subestación eléctrica",IFERROR(INDEX(cat_SubN,MATCH(Q832,cat_SubK,0)),"SIN CATALOGAR"),"ÁREA DE PROCESO")</f>
        <v>SE-12</v>
      </c>
      <c r="S832" s="34" t="str">
        <f aca="false">IF(H832="","SIN DATO",IFERROR(INDEX(cat_MarcaN,MATCH(H832,cat_MarcaO,0)),H832))</f>
        <v>ABB</v>
      </c>
      <c r="T832" s="34" t="str">
        <f aca="false">IF(I832="","SIN DATO",IFERROR(INDEX(cat_ModN,MATCH(I832,cat_ModO,0)),I832))</f>
        <v>1AFPAKAKNGC5BNN11G</v>
      </c>
      <c r="U832" s="34" t="str">
        <f aca="false">IF(I832="","",IFERROR(INDEX(cat_ModG,MATCH(I832,cat_ModO,0)),"No"))</f>
        <v>No</v>
      </c>
      <c r="V832" s="34" t="str">
        <f aca="false">IF(J832="","SIN DATO",IFERROR(INDEX(cat_FunN,MATCH(J832,cat_FunO,0)),J832))</f>
        <v>Protección</v>
      </c>
      <c r="W832" s="34" t="str">
        <f aca="false">IF(OR(S832="SIN DATO",T832="SIN DATO"),"No","Sí")</f>
        <v>Sí</v>
      </c>
    </row>
    <row r="833" customFormat="false" ht="15" hidden="false" customHeight="false" outlineLevel="0" collapsed="false">
      <c r="A833" s="34" t="s">
        <v>3154</v>
      </c>
      <c r="B833" s="34" t="s">
        <v>3155</v>
      </c>
      <c r="C833" s="34" t="s">
        <v>3156</v>
      </c>
      <c r="D833" s="34" t="s">
        <v>3157</v>
      </c>
      <c r="E833" s="34" t="s">
        <v>109</v>
      </c>
      <c r="F833" s="34" t="s">
        <v>1602</v>
      </c>
      <c r="G833" s="34" t="s">
        <v>2431</v>
      </c>
      <c r="H833" s="34" t="s">
        <v>34</v>
      </c>
      <c r="I833" s="34" t="s">
        <v>42</v>
      </c>
      <c r="J833" s="34" t="s">
        <v>681</v>
      </c>
      <c r="K833" s="34" t="s">
        <v>229</v>
      </c>
      <c r="L833" s="34" t="s">
        <v>230</v>
      </c>
      <c r="M833" s="34" t="s">
        <v>231</v>
      </c>
      <c r="N833" s="34" t="str">
        <f aca="false">"Sector "&amp;VALUE(MID(D833,13,2))</f>
        <v>Sector 1</v>
      </c>
      <c r="O833" s="34" t="str">
        <f aca="false">IF(Dashboard!$C$5="Ubicación técnica",N833,"Sector "&amp;VALUE(RIGHT(G833,2)))</f>
        <v>Sector 1</v>
      </c>
      <c r="P833" s="34" t="str">
        <f aca="false">IF(MID(D833,15,3)="SEL","Subestación eléctrica","Área de proceso")</f>
        <v>Subestación eléctrica</v>
      </c>
      <c r="Q833" s="34" t="str">
        <f aca="false">MID(D833,13,5)&amp;"|"&amp;MID(D833,19,5)</f>
        <v>01SEL|S_012</v>
      </c>
      <c r="R833" s="34" t="str">
        <f aca="false">IF(P833="Subestación eléctrica",IFERROR(INDEX(cat_SubN,MATCH(Q833,cat_SubK,0)),"SIN CATALOGAR"),"ÁREA DE PROCESO")</f>
        <v>SE-12</v>
      </c>
      <c r="S833" s="34" t="str">
        <f aca="false">IF(H833="","SIN DATO",IFERROR(INDEX(cat_MarcaN,MATCH(H833,cat_MarcaO,0)),H833))</f>
        <v>ABB</v>
      </c>
      <c r="T833" s="34" t="str">
        <f aca="false">IF(I833="","SIN DATO",IFERROR(INDEX(cat_ModN,MATCH(I833,cat_ModO,0)),I833))</f>
        <v>1AFPAKAKNGC5BNN11G</v>
      </c>
      <c r="U833" s="34" t="str">
        <f aca="false">IF(I833="","",IFERROR(INDEX(cat_ModG,MATCH(I833,cat_ModO,0)),"No"))</f>
        <v>No</v>
      </c>
      <c r="V833" s="34" t="str">
        <f aca="false">IF(J833="","SIN DATO",IFERROR(INDEX(cat_FunN,MATCH(J833,cat_FunO,0)),J833))</f>
        <v>Protección</v>
      </c>
      <c r="W833" s="34" t="str">
        <f aca="false">IF(OR(S833="SIN DATO",T833="SIN DATO"),"No","Sí")</f>
        <v>Sí</v>
      </c>
    </row>
    <row r="834" customFormat="false" ht="15" hidden="false" customHeight="false" outlineLevel="0" collapsed="false">
      <c r="A834" s="34" t="s">
        <v>3158</v>
      </c>
      <c r="B834" s="34" t="s">
        <v>3159</v>
      </c>
      <c r="C834" s="34" t="s">
        <v>3160</v>
      </c>
      <c r="D834" s="34" t="s">
        <v>3161</v>
      </c>
      <c r="E834" s="34" t="s">
        <v>109</v>
      </c>
      <c r="F834" s="34" t="s">
        <v>1602</v>
      </c>
      <c r="G834" s="34" t="s">
        <v>2431</v>
      </c>
      <c r="H834" s="34" t="s">
        <v>34</v>
      </c>
      <c r="I834" s="34" t="s">
        <v>42</v>
      </c>
      <c r="J834" s="34" t="s">
        <v>681</v>
      </c>
      <c r="K834" s="34" t="s">
        <v>229</v>
      </c>
      <c r="L834" s="34" t="s">
        <v>230</v>
      </c>
      <c r="M834" s="34" t="s">
        <v>231</v>
      </c>
      <c r="N834" s="34" t="str">
        <f aca="false">"Sector "&amp;VALUE(MID(D834,13,2))</f>
        <v>Sector 1</v>
      </c>
      <c r="O834" s="34" t="str">
        <f aca="false">IF(Dashboard!$C$5="Ubicación técnica",N834,"Sector "&amp;VALUE(RIGHT(G834,2)))</f>
        <v>Sector 1</v>
      </c>
      <c r="P834" s="34" t="str">
        <f aca="false">IF(MID(D834,15,3)="SEL","Subestación eléctrica","Área de proceso")</f>
        <v>Subestación eléctrica</v>
      </c>
      <c r="Q834" s="34" t="str">
        <f aca="false">MID(D834,13,5)&amp;"|"&amp;MID(D834,19,5)</f>
        <v>01SEL|S_012</v>
      </c>
      <c r="R834" s="34" t="str">
        <f aca="false">IF(P834="Subestación eléctrica",IFERROR(INDEX(cat_SubN,MATCH(Q834,cat_SubK,0)),"SIN CATALOGAR"),"ÁREA DE PROCESO")</f>
        <v>SE-12</v>
      </c>
      <c r="S834" s="34" t="str">
        <f aca="false">IF(H834="","SIN DATO",IFERROR(INDEX(cat_MarcaN,MATCH(H834,cat_MarcaO,0)),H834))</f>
        <v>ABB</v>
      </c>
      <c r="T834" s="34" t="str">
        <f aca="false">IF(I834="","SIN DATO",IFERROR(INDEX(cat_ModN,MATCH(I834,cat_ModO,0)),I834))</f>
        <v>1AFPAKAKNGC5BNN11G</v>
      </c>
      <c r="U834" s="34" t="str">
        <f aca="false">IF(I834="","",IFERROR(INDEX(cat_ModG,MATCH(I834,cat_ModO,0)),"No"))</f>
        <v>No</v>
      </c>
      <c r="V834" s="34" t="str">
        <f aca="false">IF(J834="","SIN DATO",IFERROR(INDEX(cat_FunN,MATCH(J834,cat_FunO,0)),J834))</f>
        <v>Protección</v>
      </c>
      <c r="W834" s="34" t="str">
        <f aca="false">IF(OR(S834="SIN DATO",T834="SIN DATO"),"No","Sí")</f>
        <v>Sí</v>
      </c>
    </row>
    <row r="835" customFormat="false" ht="15" hidden="false" customHeight="false" outlineLevel="0" collapsed="false">
      <c r="A835" s="34" t="s">
        <v>3162</v>
      </c>
      <c r="B835" s="34" t="s">
        <v>3163</v>
      </c>
      <c r="C835" s="34" t="s">
        <v>3164</v>
      </c>
      <c r="D835" s="34" t="s">
        <v>3157</v>
      </c>
      <c r="E835" s="34" t="s">
        <v>109</v>
      </c>
      <c r="F835" s="34" t="s">
        <v>1602</v>
      </c>
      <c r="G835" s="34" t="s">
        <v>2431</v>
      </c>
      <c r="H835" s="34" t="s">
        <v>34</v>
      </c>
      <c r="I835" s="34" t="s">
        <v>42</v>
      </c>
      <c r="J835" s="34" t="s">
        <v>681</v>
      </c>
      <c r="K835" s="34" t="s">
        <v>229</v>
      </c>
      <c r="L835" s="34" t="s">
        <v>230</v>
      </c>
      <c r="M835" s="34" t="s">
        <v>231</v>
      </c>
      <c r="N835" s="34" t="str">
        <f aca="false">"Sector "&amp;VALUE(MID(D835,13,2))</f>
        <v>Sector 1</v>
      </c>
      <c r="O835" s="34" t="str">
        <f aca="false">IF(Dashboard!$C$5="Ubicación técnica",N835,"Sector "&amp;VALUE(RIGHT(G835,2)))</f>
        <v>Sector 1</v>
      </c>
      <c r="P835" s="34" t="str">
        <f aca="false">IF(MID(D835,15,3)="SEL","Subestación eléctrica","Área de proceso")</f>
        <v>Subestación eléctrica</v>
      </c>
      <c r="Q835" s="34" t="str">
        <f aca="false">MID(D835,13,5)&amp;"|"&amp;MID(D835,19,5)</f>
        <v>01SEL|S_012</v>
      </c>
      <c r="R835" s="34" t="str">
        <f aca="false">IF(P835="Subestación eléctrica",IFERROR(INDEX(cat_SubN,MATCH(Q835,cat_SubK,0)),"SIN CATALOGAR"),"ÁREA DE PROCESO")</f>
        <v>SE-12</v>
      </c>
      <c r="S835" s="34" t="str">
        <f aca="false">IF(H835="","SIN DATO",IFERROR(INDEX(cat_MarcaN,MATCH(H835,cat_MarcaO,0)),H835))</f>
        <v>ABB</v>
      </c>
      <c r="T835" s="34" t="str">
        <f aca="false">IF(I835="","SIN DATO",IFERROR(INDEX(cat_ModN,MATCH(I835,cat_ModO,0)),I835))</f>
        <v>1AFPAKAKNGC5BNN11G</v>
      </c>
      <c r="U835" s="34" t="str">
        <f aca="false">IF(I835="","",IFERROR(INDEX(cat_ModG,MATCH(I835,cat_ModO,0)),"No"))</f>
        <v>No</v>
      </c>
      <c r="V835" s="34" t="str">
        <f aca="false">IF(J835="","SIN DATO",IFERROR(INDEX(cat_FunN,MATCH(J835,cat_FunO,0)),J835))</f>
        <v>Protección</v>
      </c>
      <c r="W835" s="34" t="str">
        <f aca="false">IF(OR(S835="SIN DATO",T835="SIN DATO"),"No","Sí")</f>
        <v>Sí</v>
      </c>
    </row>
    <row r="836" customFormat="false" ht="15" hidden="false" customHeight="false" outlineLevel="0" collapsed="false">
      <c r="A836" s="34" t="s">
        <v>3165</v>
      </c>
      <c r="B836" s="34" t="s">
        <v>3166</v>
      </c>
      <c r="C836" s="34" t="s">
        <v>3167</v>
      </c>
      <c r="D836" s="34" t="s">
        <v>3168</v>
      </c>
      <c r="E836" s="34" t="s">
        <v>109</v>
      </c>
      <c r="F836" s="34" t="s">
        <v>1602</v>
      </c>
      <c r="G836" s="34" t="s">
        <v>2431</v>
      </c>
      <c r="H836" s="34" t="s">
        <v>55</v>
      </c>
      <c r="I836" s="34" t="s">
        <v>57</v>
      </c>
      <c r="J836" s="34" t="s">
        <v>58</v>
      </c>
      <c r="K836" s="34" t="s">
        <v>229</v>
      </c>
      <c r="L836" s="34" t="s">
        <v>230</v>
      </c>
      <c r="M836" s="34" t="s">
        <v>344</v>
      </c>
      <c r="N836" s="34" t="str">
        <f aca="false">"Sector "&amp;VALUE(MID(D836,13,2))</f>
        <v>Sector 1</v>
      </c>
      <c r="O836" s="34" t="str">
        <f aca="false">IF(Dashboard!$C$5="Ubicación técnica",N836,"Sector "&amp;VALUE(RIGHT(G836,2)))</f>
        <v>Sector 1</v>
      </c>
      <c r="P836" s="34" t="str">
        <f aca="false">IF(MID(D836,15,3)="SEL","Subestación eléctrica","Área de proceso")</f>
        <v>Subestación eléctrica</v>
      </c>
      <c r="Q836" s="34" t="str">
        <f aca="false">MID(D836,13,5)&amp;"|"&amp;MID(D836,19,5)</f>
        <v>01SEL|S_012</v>
      </c>
      <c r="R836" s="34" t="str">
        <f aca="false">IF(P836="Subestación eléctrica",IFERROR(INDEX(cat_SubN,MATCH(Q836,cat_SubK,0)),"SIN CATALOGAR"),"ÁREA DE PROCESO")</f>
        <v>SE-12</v>
      </c>
      <c r="S836" s="34" t="str">
        <f aca="false">IF(H836="","SIN DATO",IFERROR(INDEX(cat_MarcaN,MATCH(H836,cat_MarcaO,0)),H836))</f>
        <v>SEL</v>
      </c>
      <c r="T836" s="34" t="str">
        <f aca="false">IF(I836="","SIN DATO",IFERROR(INDEX(cat_ModN,MATCH(I836,cat_ModO,0)),I836))</f>
        <v>SEL-735</v>
      </c>
      <c r="U836" s="34" t="str">
        <f aca="false">IF(I836="","",IFERROR(INDEX(cat_ModG,MATCH(I836,cat_ModO,0)),"No"))</f>
        <v>No</v>
      </c>
      <c r="V836" s="34" t="str">
        <f aca="false">IF(J836="","SIN DATO",IFERROR(INDEX(cat_FunN,MATCH(J836,cat_FunO,0)),J836))</f>
        <v>Medición</v>
      </c>
      <c r="W836" s="34" t="str">
        <f aca="false">IF(OR(S836="SIN DATO",T836="SIN DATO"),"No","Sí")</f>
        <v>Sí</v>
      </c>
    </row>
    <row r="837" customFormat="false" ht="15" hidden="false" customHeight="false" outlineLevel="0" collapsed="false">
      <c r="A837" s="34" t="s">
        <v>3169</v>
      </c>
      <c r="B837" s="34" t="s">
        <v>3170</v>
      </c>
      <c r="C837" s="34" t="s">
        <v>3171</v>
      </c>
      <c r="D837" s="34" t="s">
        <v>3172</v>
      </c>
      <c r="E837" s="34" t="s">
        <v>109</v>
      </c>
      <c r="F837" s="34" t="s">
        <v>1602</v>
      </c>
      <c r="G837" s="34" t="s">
        <v>2431</v>
      </c>
      <c r="H837" s="34" t="s">
        <v>55</v>
      </c>
      <c r="I837" s="34" t="s">
        <v>57</v>
      </c>
      <c r="J837" s="34" t="s">
        <v>58</v>
      </c>
      <c r="K837" s="34" t="s">
        <v>229</v>
      </c>
      <c r="L837" s="34" t="s">
        <v>230</v>
      </c>
      <c r="M837" s="34" t="s">
        <v>344</v>
      </c>
      <c r="N837" s="34" t="str">
        <f aca="false">"Sector "&amp;VALUE(MID(D837,13,2))</f>
        <v>Sector 1</v>
      </c>
      <c r="O837" s="34" t="str">
        <f aca="false">IF(Dashboard!$C$5="Ubicación técnica",N837,"Sector "&amp;VALUE(RIGHT(G837,2)))</f>
        <v>Sector 1</v>
      </c>
      <c r="P837" s="34" t="str">
        <f aca="false">IF(MID(D837,15,3)="SEL","Subestación eléctrica","Área de proceso")</f>
        <v>Subestación eléctrica</v>
      </c>
      <c r="Q837" s="34" t="str">
        <f aca="false">MID(D837,13,5)&amp;"|"&amp;MID(D837,19,5)</f>
        <v>01SEL|S_012</v>
      </c>
      <c r="R837" s="34" t="str">
        <f aca="false">IF(P837="Subestación eléctrica",IFERROR(INDEX(cat_SubN,MATCH(Q837,cat_SubK,0)),"SIN CATALOGAR"),"ÁREA DE PROCESO")</f>
        <v>SE-12</v>
      </c>
      <c r="S837" s="34" t="str">
        <f aca="false">IF(H837="","SIN DATO",IFERROR(INDEX(cat_MarcaN,MATCH(H837,cat_MarcaO,0)),H837))</f>
        <v>SEL</v>
      </c>
      <c r="T837" s="34" t="str">
        <f aca="false">IF(I837="","SIN DATO",IFERROR(INDEX(cat_ModN,MATCH(I837,cat_ModO,0)),I837))</f>
        <v>SEL-735</v>
      </c>
      <c r="U837" s="34" t="str">
        <f aca="false">IF(I837="","",IFERROR(INDEX(cat_ModG,MATCH(I837,cat_ModO,0)),"No"))</f>
        <v>No</v>
      </c>
      <c r="V837" s="34" t="str">
        <f aca="false">IF(J837="","SIN DATO",IFERROR(INDEX(cat_FunN,MATCH(J837,cat_FunO,0)),J837))</f>
        <v>Medición</v>
      </c>
      <c r="W837" s="34" t="str">
        <f aca="false">IF(OR(S837="SIN DATO",T837="SIN DATO"),"No","Sí")</f>
        <v>Sí</v>
      </c>
    </row>
    <row r="838" customFormat="false" ht="15" hidden="false" customHeight="false" outlineLevel="0" collapsed="false">
      <c r="A838" s="34" t="s">
        <v>3173</v>
      </c>
      <c r="B838" s="34" t="s">
        <v>3174</v>
      </c>
      <c r="C838" s="34" t="s">
        <v>3175</v>
      </c>
      <c r="D838" s="34" t="s">
        <v>3168</v>
      </c>
      <c r="E838" s="34" t="s">
        <v>109</v>
      </c>
      <c r="F838" s="34" t="s">
        <v>1602</v>
      </c>
      <c r="G838" s="34" t="s">
        <v>2431</v>
      </c>
      <c r="H838" s="34" t="s">
        <v>55</v>
      </c>
      <c r="I838" s="34" t="s">
        <v>57</v>
      </c>
      <c r="J838" s="34" t="s">
        <v>58</v>
      </c>
      <c r="K838" s="34" t="s">
        <v>229</v>
      </c>
      <c r="L838" s="34" t="s">
        <v>230</v>
      </c>
      <c r="M838" s="34" t="s">
        <v>344</v>
      </c>
      <c r="N838" s="34" t="str">
        <f aca="false">"Sector "&amp;VALUE(MID(D838,13,2))</f>
        <v>Sector 1</v>
      </c>
      <c r="O838" s="34" t="str">
        <f aca="false">IF(Dashboard!$C$5="Ubicación técnica",N838,"Sector "&amp;VALUE(RIGHT(G838,2)))</f>
        <v>Sector 1</v>
      </c>
      <c r="P838" s="34" t="str">
        <f aca="false">IF(MID(D838,15,3)="SEL","Subestación eléctrica","Área de proceso")</f>
        <v>Subestación eléctrica</v>
      </c>
      <c r="Q838" s="34" t="str">
        <f aca="false">MID(D838,13,5)&amp;"|"&amp;MID(D838,19,5)</f>
        <v>01SEL|S_012</v>
      </c>
      <c r="R838" s="34" t="str">
        <f aca="false">IF(P838="Subestación eléctrica",IFERROR(INDEX(cat_SubN,MATCH(Q838,cat_SubK,0)),"SIN CATALOGAR"),"ÁREA DE PROCESO")</f>
        <v>SE-12</v>
      </c>
      <c r="S838" s="34" t="str">
        <f aca="false">IF(H838="","SIN DATO",IFERROR(INDEX(cat_MarcaN,MATCH(H838,cat_MarcaO,0)),H838))</f>
        <v>SEL</v>
      </c>
      <c r="T838" s="34" t="str">
        <f aca="false">IF(I838="","SIN DATO",IFERROR(INDEX(cat_ModN,MATCH(I838,cat_ModO,0)),I838))</f>
        <v>SEL-735</v>
      </c>
      <c r="U838" s="34" t="str">
        <f aca="false">IF(I838="","",IFERROR(INDEX(cat_ModG,MATCH(I838,cat_ModO,0)),"No"))</f>
        <v>No</v>
      </c>
      <c r="V838" s="34" t="str">
        <f aca="false">IF(J838="","SIN DATO",IFERROR(INDEX(cat_FunN,MATCH(J838,cat_FunO,0)),J838))</f>
        <v>Medición</v>
      </c>
      <c r="W838" s="34" t="str">
        <f aca="false">IF(OR(S838="SIN DATO",T838="SIN DATO"),"No","Sí")</f>
        <v>Sí</v>
      </c>
    </row>
    <row r="839" customFormat="false" ht="15" hidden="false" customHeight="false" outlineLevel="0" collapsed="false">
      <c r="A839" s="34" t="s">
        <v>3176</v>
      </c>
      <c r="B839" s="34" t="s">
        <v>3177</v>
      </c>
      <c r="C839" s="34" t="s">
        <v>3178</v>
      </c>
      <c r="D839" s="34" t="s">
        <v>2510</v>
      </c>
      <c r="E839" s="34" t="s">
        <v>111</v>
      </c>
      <c r="F839" s="34" t="s">
        <v>1602</v>
      </c>
      <c r="G839" s="34" t="s">
        <v>2431</v>
      </c>
      <c r="H839" s="34" t="s">
        <v>55</v>
      </c>
      <c r="I839" s="34" t="s">
        <v>57</v>
      </c>
      <c r="J839" s="34" t="s">
        <v>58</v>
      </c>
      <c r="K839" s="34" t="s">
        <v>229</v>
      </c>
      <c r="L839" s="34" t="s">
        <v>230</v>
      </c>
      <c r="M839" s="34" t="s">
        <v>344</v>
      </c>
      <c r="N839" s="34" t="str">
        <f aca="false">"Sector "&amp;VALUE(MID(D839,13,2))</f>
        <v>Sector 1</v>
      </c>
      <c r="O839" s="34" t="str">
        <f aca="false">IF(Dashboard!$C$5="Ubicación técnica",N839,"Sector "&amp;VALUE(RIGHT(G839,2)))</f>
        <v>Sector 1</v>
      </c>
      <c r="P839" s="34" t="str">
        <f aca="false">IF(MID(D839,15,3)="SEL","Subestación eléctrica","Área de proceso")</f>
        <v>Subestación eléctrica</v>
      </c>
      <c r="Q839" s="34" t="str">
        <f aca="false">MID(D839,13,5)&amp;"|"&amp;MID(D839,19,5)</f>
        <v>01SEL|S12_1</v>
      </c>
      <c r="R839" s="34" t="str">
        <f aca="false">IF(P839="Subestación eléctrica",IFERROR(INDEX(cat_SubN,MATCH(Q839,cat_SubK,0)),"SIN CATALOGAR"),"ÁREA DE PROCESO")</f>
        <v>SE-12-1</v>
      </c>
      <c r="S839" s="34" t="str">
        <f aca="false">IF(H839="","SIN DATO",IFERROR(INDEX(cat_MarcaN,MATCH(H839,cat_MarcaO,0)),H839))</f>
        <v>SEL</v>
      </c>
      <c r="T839" s="34" t="str">
        <f aca="false">IF(I839="","SIN DATO",IFERROR(INDEX(cat_ModN,MATCH(I839,cat_ModO,0)),I839))</f>
        <v>SEL-735</v>
      </c>
      <c r="U839" s="34" t="str">
        <f aca="false">IF(I839="","",IFERROR(INDEX(cat_ModG,MATCH(I839,cat_ModO,0)),"No"))</f>
        <v>No</v>
      </c>
      <c r="V839" s="34" t="str">
        <f aca="false">IF(J839="","SIN DATO",IFERROR(INDEX(cat_FunN,MATCH(J839,cat_FunO,0)),J839))</f>
        <v>Medición</v>
      </c>
      <c r="W839" s="34" t="str">
        <f aca="false">IF(OR(S839="SIN DATO",T839="SIN DATO"),"No","Sí")</f>
        <v>Sí</v>
      </c>
    </row>
    <row r="840" customFormat="false" ht="15" hidden="false" customHeight="false" outlineLevel="0" collapsed="false">
      <c r="A840" s="34" t="s">
        <v>3179</v>
      </c>
      <c r="B840" s="34" t="s">
        <v>3180</v>
      </c>
      <c r="C840" s="34" t="s">
        <v>3181</v>
      </c>
      <c r="D840" s="34" t="s">
        <v>2514</v>
      </c>
      <c r="E840" s="34" t="s">
        <v>111</v>
      </c>
      <c r="F840" s="34" t="s">
        <v>1602</v>
      </c>
      <c r="G840" s="34" t="s">
        <v>2431</v>
      </c>
      <c r="H840" s="34" t="s">
        <v>55</v>
      </c>
      <c r="I840" s="34" t="s">
        <v>57</v>
      </c>
      <c r="J840" s="34" t="s">
        <v>58</v>
      </c>
      <c r="K840" s="34" t="s">
        <v>229</v>
      </c>
      <c r="L840" s="34" t="s">
        <v>230</v>
      </c>
      <c r="M840" s="34" t="s">
        <v>344</v>
      </c>
      <c r="N840" s="34" t="str">
        <f aca="false">"Sector "&amp;VALUE(MID(D840,13,2))</f>
        <v>Sector 1</v>
      </c>
      <c r="O840" s="34" t="str">
        <f aca="false">IF(Dashboard!$C$5="Ubicación técnica",N840,"Sector "&amp;VALUE(RIGHT(G840,2)))</f>
        <v>Sector 1</v>
      </c>
      <c r="P840" s="34" t="str">
        <f aca="false">IF(MID(D840,15,3)="SEL","Subestación eléctrica","Área de proceso")</f>
        <v>Subestación eléctrica</v>
      </c>
      <c r="Q840" s="34" t="str">
        <f aca="false">MID(D840,13,5)&amp;"|"&amp;MID(D840,19,5)</f>
        <v>01SEL|S12_1</v>
      </c>
      <c r="R840" s="34" t="str">
        <f aca="false">IF(P840="Subestación eléctrica",IFERROR(INDEX(cat_SubN,MATCH(Q840,cat_SubK,0)),"SIN CATALOGAR"),"ÁREA DE PROCESO")</f>
        <v>SE-12-1</v>
      </c>
      <c r="S840" s="34" t="str">
        <f aca="false">IF(H840="","SIN DATO",IFERROR(INDEX(cat_MarcaN,MATCH(H840,cat_MarcaO,0)),H840))</f>
        <v>SEL</v>
      </c>
      <c r="T840" s="34" t="str">
        <f aca="false">IF(I840="","SIN DATO",IFERROR(INDEX(cat_ModN,MATCH(I840,cat_ModO,0)),I840))</f>
        <v>SEL-735</v>
      </c>
      <c r="U840" s="34" t="str">
        <f aca="false">IF(I840="","",IFERROR(INDEX(cat_ModG,MATCH(I840,cat_ModO,0)),"No"))</f>
        <v>No</v>
      </c>
      <c r="V840" s="34" t="str">
        <f aca="false">IF(J840="","SIN DATO",IFERROR(INDEX(cat_FunN,MATCH(J840,cat_FunO,0)),J840))</f>
        <v>Medición</v>
      </c>
      <c r="W840" s="34" t="str">
        <f aca="false">IF(OR(S840="SIN DATO",T840="SIN DATO"),"No","Sí")</f>
        <v>Sí</v>
      </c>
    </row>
    <row r="841" customFormat="false" ht="15" hidden="false" customHeight="false" outlineLevel="0" collapsed="false">
      <c r="A841" s="34" t="s">
        <v>3182</v>
      </c>
      <c r="B841" s="34" t="s">
        <v>3183</v>
      </c>
      <c r="C841" s="34" t="s">
        <v>3184</v>
      </c>
      <c r="D841" s="34" t="s">
        <v>2510</v>
      </c>
      <c r="E841" s="34" t="s">
        <v>111</v>
      </c>
      <c r="F841" s="34" t="s">
        <v>1602</v>
      </c>
      <c r="G841" s="34" t="s">
        <v>2431</v>
      </c>
      <c r="H841" s="34" t="s">
        <v>55</v>
      </c>
      <c r="I841" s="34" t="s">
        <v>57</v>
      </c>
      <c r="J841" s="34" t="s">
        <v>58</v>
      </c>
      <c r="K841" s="34" t="s">
        <v>229</v>
      </c>
      <c r="L841" s="34" t="s">
        <v>230</v>
      </c>
      <c r="M841" s="34" t="s">
        <v>344</v>
      </c>
      <c r="N841" s="34" t="str">
        <f aca="false">"Sector "&amp;VALUE(MID(D841,13,2))</f>
        <v>Sector 1</v>
      </c>
      <c r="O841" s="34" t="str">
        <f aca="false">IF(Dashboard!$C$5="Ubicación técnica",N841,"Sector "&amp;VALUE(RIGHT(G841,2)))</f>
        <v>Sector 1</v>
      </c>
      <c r="P841" s="34" t="str">
        <f aca="false">IF(MID(D841,15,3)="SEL","Subestación eléctrica","Área de proceso")</f>
        <v>Subestación eléctrica</v>
      </c>
      <c r="Q841" s="34" t="str">
        <f aca="false">MID(D841,13,5)&amp;"|"&amp;MID(D841,19,5)</f>
        <v>01SEL|S12_1</v>
      </c>
      <c r="R841" s="34" t="str">
        <f aca="false">IF(P841="Subestación eléctrica",IFERROR(INDEX(cat_SubN,MATCH(Q841,cat_SubK,0)),"SIN CATALOGAR"),"ÁREA DE PROCESO")</f>
        <v>SE-12-1</v>
      </c>
      <c r="S841" s="34" t="str">
        <f aca="false">IF(H841="","SIN DATO",IFERROR(INDEX(cat_MarcaN,MATCH(H841,cat_MarcaO,0)),H841))</f>
        <v>SEL</v>
      </c>
      <c r="T841" s="34" t="str">
        <f aca="false">IF(I841="","SIN DATO",IFERROR(INDEX(cat_ModN,MATCH(I841,cat_ModO,0)),I841))</f>
        <v>SEL-735</v>
      </c>
      <c r="U841" s="34" t="str">
        <f aca="false">IF(I841="","",IFERROR(INDEX(cat_ModG,MATCH(I841,cat_ModO,0)),"No"))</f>
        <v>No</v>
      </c>
      <c r="V841" s="34" t="str">
        <f aca="false">IF(J841="","SIN DATO",IFERROR(INDEX(cat_FunN,MATCH(J841,cat_FunO,0)),J841))</f>
        <v>Medición</v>
      </c>
      <c r="W841" s="34" t="str">
        <f aca="false">IF(OR(S841="SIN DATO",T841="SIN DATO"),"No","Sí")</f>
        <v>Sí</v>
      </c>
    </row>
    <row r="842" customFormat="false" ht="15" hidden="false" customHeight="false" outlineLevel="0" collapsed="false">
      <c r="A842" s="34" t="s">
        <v>3185</v>
      </c>
      <c r="B842" s="34" t="s">
        <v>3186</v>
      </c>
      <c r="C842" s="34" t="s">
        <v>3187</v>
      </c>
      <c r="D842" s="34" t="s">
        <v>3188</v>
      </c>
      <c r="E842" s="34" t="s">
        <v>116</v>
      </c>
      <c r="F842" s="34" t="s">
        <v>1602</v>
      </c>
      <c r="G842" s="34" t="s">
        <v>259</v>
      </c>
      <c r="H842" s="34" t="s">
        <v>73</v>
      </c>
      <c r="I842" s="34" t="s">
        <v>73</v>
      </c>
      <c r="J842" s="34" t="s">
        <v>260</v>
      </c>
      <c r="K842" s="34" t="s">
        <v>229</v>
      </c>
      <c r="L842" s="34" t="s">
        <v>3189</v>
      </c>
      <c r="M842" s="34" t="s">
        <v>344</v>
      </c>
      <c r="N842" s="34" t="str">
        <f aca="false">"Sector "&amp;VALUE(MID(D842,13,2))</f>
        <v>Sector 3</v>
      </c>
      <c r="O842" s="34" t="str">
        <f aca="false">IF(Dashboard!$C$5="Ubicación técnica",N842,"Sector "&amp;VALUE(RIGHT(G842,2)))</f>
        <v>Sector 3</v>
      </c>
      <c r="P842" s="34" t="str">
        <f aca="false">IF(MID(D842,15,3)="SEL","Subestación eléctrica","Área de proceso")</f>
        <v>Subestación eléctrica</v>
      </c>
      <c r="Q842" s="34" t="str">
        <f aca="false">MID(D842,13,5)&amp;"|"&amp;MID(D842,19,5)</f>
        <v>03SEL|S_007</v>
      </c>
      <c r="R842" s="34" t="str">
        <f aca="false">IF(P842="Subestación eléctrica",IFERROR(INDEX(cat_SubN,MATCH(Q842,cat_SubK,0)),"SIN CATALOGAR"),"ÁREA DE PROCESO")</f>
        <v>SE-07</v>
      </c>
      <c r="S842" s="34" t="str">
        <f aca="false">IF(H842="","SIN DATO",IFERROR(INDEX(cat_MarcaN,MATCH(H842,cat_MarcaO,0)),H842))</f>
        <v>SIEMENS</v>
      </c>
      <c r="T842" s="34" t="str">
        <f aca="false">IF(I842="","SIN DATO",IFERROR(INDEX(cat_ModN,MATCH(I842,cat_ModO,0)),I842))</f>
        <v>SIEMENS</v>
      </c>
      <c r="U842" s="34" t="str">
        <f aca="false">IF(I842="","",IFERROR(INDEX(cat_ModG,MATCH(I842,cat_ModO,0)),"No"))</f>
        <v>Sí</v>
      </c>
      <c r="V842" s="34" t="str">
        <f aca="false">IF(J842="","SIN DATO",IFERROR(INDEX(cat_FunN,MATCH(J842,cat_FunO,0)),J842))</f>
        <v>Protección y medición</v>
      </c>
      <c r="W842" s="34" t="str">
        <f aca="false">IF(OR(S842="SIN DATO",T842="SIN DATO"),"No","Sí")</f>
        <v>Sí</v>
      </c>
    </row>
    <row r="843" customFormat="false" ht="15" hidden="false" customHeight="false" outlineLevel="0" collapsed="false">
      <c r="A843" s="34" t="s">
        <v>3190</v>
      </c>
      <c r="B843" s="34" t="s">
        <v>3191</v>
      </c>
      <c r="C843" s="34" t="s">
        <v>3192</v>
      </c>
      <c r="D843" s="34" t="s">
        <v>3193</v>
      </c>
      <c r="E843" s="34" t="s">
        <v>116</v>
      </c>
      <c r="F843" s="34" t="s">
        <v>1602</v>
      </c>
      <c r="G843" s="34" t="s">
        <v>259</v>
      </c>
      <c r="H843" s="34" t="s">
        <v>73</v>
      </c>
      <c r="I843" s="34" t="s">
        <v>73</v>
      </c>
      <c r="J843" s="34" t="s">
        <v>260</v>
      </c>
      <c r="K843" s="34" t="s">
        <v>229</v>
      </c>
      <c r="L843" s="34" t="s">
        <v>3189</v>
      </c>
      <c r="M843" s="34" t="s">
        <v>344</v>
      </c>
      <c r="N843" s="34" t="str">
        <f aca="false">"Sector "&amp;VALUE(MID(D843,13,2))</f>
        <v>Sector 3</v>
      </c>
      <c r="O843" s="34" t="str">
        <f aca="false">IF(Dashboard!$C$5="Ubicación técnica",N843,"Sector "&amp;VALUE(RIGHT(G843,2)))</f>
        <v>Sector 3</v>
      </c>
      <c r="P843" s="34" t="str">
        <f aca="false">IF(MID(D843,15,3)="SEL","Subestación eléctrica","Área de proceso")</f>
        <v>Subestación eléctrica</v>
      </c>
      <c r="Q843" s="34" t="str">
        <f aca="false">MID(D843,13,5)&amp;"|"&amp;MID(D843,19,5)</f>
        <v>03SEL|S_007</v>
      </c>
      <c r="R843" s="34" t="str">
        <f aca="false">IF(P843="Subestación eléctrica",IFERROR(INDEX(cat_SubN,MATCH(Q843,cat_SubK,0)),"SIN CATALOGAR"),"ÁREA DE PROCESO")</f>
        <v>SE-07</v>
      </c>
      <c r="S843" s="34" t="str">
        <f aca="false">IF(H843="","SIN DATO",IFERROR(INDEX(cat_MarcaN,MATCH(H843,cat_MarcaO,0)),H843))</f>
        <v>SIEMENS</v>
      </c>
      <c r="T843" s="34" t="str">
        <f aca="false">IF(I843="","SIN DATO",IFERROR(INDEX(cat_ModN,MATCH(I843,cat_ModO,0)),I843))</f>
        <v>SIEMENS</v>
      </c>
      <c r="U843" s="34" t="str">
        <f aca="false">IF(I843="","",IFERROR(INDEX(cat_ModG,MATCH(I843,cat_ModO,0)),"No"))</f>
        <v>Sí</v>
      </c>
      <c r="V843" s="34" t="str">
        <f aca="false">IF(J843="","SIN DATO",IFERROR(INDEX(cat_FunN,MATCH(J843,cat_FunO,0)),J843))</f>
        <v>Protección y medición</v>
      </c>
      <c r="W843" s="34" t="str">
        <f aca="false">IF(OR(S843="SIN DATO",T843="SIN DATO"),"No","Sí")</f>
        <v>Sí</v>
      </c>
    </row>
    <row r="844" customFormat="false" ht="15" hidden="false" customHeight="false" outlineLevel="0" collapsed="false">
      <c r="A844" s="34" t="s">
        <v>3194</v>
      </c>
      <c r="B844" s="34" t="s">
        <v>3195</v>
      </c>
      <c r="C844" s="34" t="s">
        <v>3196</v>
      </c>
      <c r="D844" s="34" t="s">
        <v>3197</v>
      </c>
      <c r="E844" s="34" t="s">
        <v>118</v>
      </c>
      <c r="F844" s="34" t="s">
        <v>1602</v>
      </c>
      <c r="G844" s="34" t="s">
        <v>259</v>
      </c>
      <c r="H844" s="34" t="s">
        <v>55</v>
      </c>
      <c r="I844" s="34" t="s">
        <v>55</v>
      </c>
      <c r="J844" s="34" t="s">
        <v>58</v>
      </c>
      <c r="K844" s="34" t="s">
        <v>229</v>
      </c>
      <c r="L844" s="34" t="s">
        <v>3198</v>
      </c>
      <c r="M844" s="34" t="s">
        <v>344</v>
      </c>
      <c r="N844" s="34" t="str">
        <f aca="false">"Sector "&amp;VALUE(MID(D844,13,2))</f>
        <v>Sector 3</v>
      </c>
      <c r="O844" s="34" t="str">
        <f aca="false">IF(Dashboard!$C$5="Ubicación técnica",N844,"Sector "&amp;VALUE(RIGHT(G844,2)))</f>
        <v>Sector 3</v>
      </c>
      <c r="P844" s="34" t="str">
        <f aca="false">IF(MID(D844,15,3)="SEL","Subestación eléctrica","Área de proceso")</f>
        <v>Subestación eléctrica</v>
      </c>
      <c r="Q844" s="34" t="str">
        <f aca="false">MID(D844,13,5)&amp;"|"&amp;MID(D844,19,5)</f>
        <v>03SEL|S_014</v>
      </c>
      <c r="R844" s="34" t="str">
        <f aca="false">IF(P844="Subestación eléctrica",IFERROR(INDEX(cat_SubN,MATCH(Q844,cat_SubK,0)),"SIN CATALOGAR"),"ÁREA DE PROCESO")</f>
        <v>SE-14</v>
      </c>
      <c r="S844" s="34" t="str">
        <f aca="false">IF(H844="","SIN DATO",IFERROR(INDEX(cat_MarcaN,MATCH(H844,cat_MarcaO,0)),H844))</f>
        <v>SEL</v>
      </c>
      <c r="T844" s="34" t="str">
        <f aca="false">IF(I844="","SIN DATO",IFERROR(INDEX(cat_ModN,MATCH(I844,cat_ModO,0)),I844))</f>
        <v>SEL</v>
      </c>
      <c r="U844" s="34" t="str">
        <f aca="false">IF(I844="","",IFERROR(INDEX(cat_ModG,MATCH(I844,cat_ModO,0)),"No"))</f>
        <v>Sí</v>
      </c>
      <c r="V844" s="34" t="str">
        <f aca="false">IF(J844="","SIN DATO",IFERROR(INDEX(cat_FunN,MATCH(J844,cat_FunO,0)),J844))</f>
        <v>Medición</v>
      </c>
      <c r="W844" s="34" t="str">
        <f aca="false">IF(OR(S844="SIN DATO",T844="SIN DATO"),"No","Sí")</f>
        <v>Sí</v>
      </c>
    </row>
    <row r="845" customFormat="false" ht="15" hidden="false" customHeight="false" outlineLevel="0" collapsed="false">
      <c r="A845" s="34" t="s">
        <v>3199</v>
      </c>
      <c r="B845" s="34" t="s">
        <v>3200</v>
      </c>
      <c r="C845" s="34" t="s">
        <v>3201</v>
      </c>
      <c r="D845" s="34" t="s">
        <v>3197</v>
      </c>
      <c r="E845" s="34" t="s">
        <v>118</v>
      </c>
      <c r="F845" s="34" t="s">
        <v>1602</v>
      </c>
      <c r="G845" s="34" t="s">
        <v>259</v>
      </c>
      <c r="H845" s="34" t="s">
        <v>55</v>
      </c>
      <c r="I845" s="34" t="s">
        <v>55</v>
      </c>
      <c r="J845" s="34" t="s">
        <v>260</v>
      </c>
      <c r="K845" s="34" t="s">
        <v>229</v>
      </c>
      <c r="L845" s="34" t="s">
        <v>3189</v>
      </c>
      <c r="M845" s="34" t="s">
        <v>262</v>
      </c>
      <c r="N845" s="34" t="str">
        <f aca="false">"Sector "&amp;VALUE(MID(D845,13,2))</f>
        <v>Sector 3</v>
      </c>
      <c r="O845" s="34" t="str">
        <f aca="false">IF(Dashboard!$C$5="Ubicación técnica",N845,"Sector "&amp;VALUE(RIGHT(G845,2)))</f>
        <v>Sector 3</v>
      </c>
      <c r="P845" s="34" t="str">
        <f aca="false">IF(MID(D845,15,3)="SEL","Subestación eléctrica","Área de proceso")</f>
        <v>Subestación eléctrica</v>
      </c>
      <c r="Q845" s="34" t="str">
        <f aca="false">MID(D845,13,5)&amp;"|"&amp;MID(D845,19,5)</f>
        <v>03SEL|S_014</v>
      </c>
      <c r="R845" s="34" t="str">
        <f aca="false">IF(P845="Subestación eléctrica",IFERROR(INDEX(cat_SubN,MATCH(Q845,cat_SubK,0)),"SIN CATALOGAR"),"ÁREA DE PROCESO")</f>
        <v>SE-14</v>
      </c>
      <c r="S845" s="34" t="str">
        <f aca="false">IF(H845="","SIN DATO",IFERROR(INDEX(cat_MarcaN,MATCH(H845,cat_MarcaO,0)),H845))</f>
        <v>SEL</v>
      </c>
      <c r="T845" s="34" t="str">
        <f aca="false">IF(I845="","SIN DATO",IFERROR(INDEX(cat_ModN,MATCH(I845,cat_ModO,0)),I845))</f>
        <v>SEL</v>
      </c>
      <c r="U845" s="34" t="str">
        <f aca="false">IF(I845="","",IFERROR(INDEX(cat_ModG,MATCH(I845,cat_ModO,0)),"No"))</f>
        <v>Sí</v>
      </c>
      <c r="V845" s="34" t="str">
        <f aca="false">IF(J845="","SIN DATO",IFERROR(INDEX(cat_FunN,MATCH(J845,cat_FunO,0)),J845))</f>
        <v>Protección y medición</v>
      </c>
      <c r="W845" s="34" t="str">
        <f aca="false">IF(OR(S845="SIN DATO",T845="SIN DATO"),"No","Sí")</f>
        <v>Sí</v>
      </c>
    </row>
    <row r="846" customFormat="false" ht="15" hidden="false" customHeight="false" outlineLevel="0" collapsed="false">
      <c r="A846" s="34" t="s">
        <v>3202</v>
      </c>
      <c r="B846" s="34" t="s">
        <v>3203</v>
      </c>
      <c r="C846" s="34" t="s">
        <v>3204</v>
      </c>
      <c r="D846" s="34" t="s">
        <v>3205</v>
      </c>
      <c r="E846" s="34" t="s">
        <v>118</v>
      </c>
      <c r="F846" s="34" t="s">
        <v>1602</v>
      </c>
      <c r="G846" s="34" t="s">
        <v>259</v>
      </c>
      <c r="H846" s="34" t="s">
        <v>55</v>
      </c>
      <c r="I846" s="34" t="s">
        <v>55</v>
      </c>
      <c r="J846" s="34" t="s">
        <v>58</v>
      </c>
      <c r="K846" s="34" t="s">
        <v>229</v>
      </c>
      <c r="L846" s="34" t="s">
        <v>3198</v>
      </c>
      <c r="M846" s="34" t="s">
        <v>344</v>
      </c>
      <c r="N846" s="34" t="str">
        <f aca="false">"Sector "&amp;VALUE(MID(D846,13,2))</f>
        <v>Sector 3</v>
      </c>
      <c r="O846" s="34" t="str">
        <f aca="false">IF(Dashboard!$C$5="Ubicación técnica",N846,"Sector "&amp;VALUE(RIGHT(G846,2)))</f>
        <v>Sector 3</v>
      </c>
      <c r="P846" s="34" t="str">
        <f aca="false">IF(MID(D846,15,3)="SEL","Subestación eléctrica","Área de proceso")</f>
        <v>Subestación eléctrica</v>
      </c>
      <c r="Q846" s="34" t="str">
        <f aca="false">MID(D846,13,5)&amp;"|"&amp;MID(D846,19,5)</f>
        <v>03SEL|S_014</v>
      </c>
      <c r="R846" s="34" t="str">
        <f aca="false">IF(P846="Subestación eléctrica",IFERROR(INDEX(cat_SubN,MATCH(Q846,cat_SubK,0)),"SIN CATALOGAR"),"ÁREA DE PROCESO")</f>
        <v>SE-14</v>
      </c>
      <c r="S846" s="34" t="str">
        <f aca="false">IF(H846="","SIN DATO",IFERROR(INDEX(cat_MarcaN,MATCH(H846,cat_MarcaO,0)),H846))</f>
        <v>SEL</v>
      </c>
      <c r="T846" s="34" t="str">
        <f aca="false">IF(I846="","SIN DATO",IFERROR(INDEX(cat_ModN,MATCH(I846,cat_ModO,0)),I846))</f>
        <v>SEL</v>
      </c>
      <c r="U846" s="34" t="str">
        <f aca="false">IF(I846="","",IFERROR(INDEX(cat_ModG,MATCH(I846,cat_ModO,0)),"No"))</f>
        <v>Sí</v>
      </c>
      <c r="V846" s="34" t="str">
        <f aca="false">IF(J846="","SIN DATO",IFERROR(INDEX(cat_FunN,MATCH(J846,cat_FunO,0)),J846))</f>
        <v>Medición</v>
      </c>
      <c r="W846" s="34" t="str">
        <f aca="false">IF(OR(S846="SIN DATO",T846="SIN DATO"),"No","Sí")</f>
        <v>Sí</v>
      </c>
    </row>
    <row r="847" customFormat="false" ht="15" hidden="false" customHeight="false" outlineLevel="0" collapsed="false">
      <c r="A847" s="34" t="s">
        <v>3206</v>
      </c>
      <c r="B847" s="34" t="s">
        <v>3207</v>
      </c>
      <c r="C847" s="34" t="s">
        <v>3208</v>
      </c>
      <c r="D847" s="34" t="s">
        <v>3205</v>
      </c>
      <c r="E847" s="34" t="s">
        <v>118</v>
      </c>
      <c r="F847" s="34" t="s">
        <v>1602</v>
      </c>
      <c r="G847" s="34" t="s">
        <v>259</v>
      </c>
      <c r="H847" s="34" t="s">
        <v>55</v>
      </c>
      <c r="I847" s="34" t="s">
        <v>55</v>
      </c>
      <c r="J847" s="34" t="s">
        <v>260</v>
      </c>
      <c r="K847" s="34" t="s">
        <v>229</v>
      </c>
      <c r="L847" s="34" t="s">
        <v>3189</v>
      </c>
      <c r="M847" s="34" t="s">
        <v>262</v>
      </c>
      <c r="N847" s="34" t="str">
        <f aca="false">"Sector "&amp;VALUE(MID(D847,13,2))</f>
        <v>Sector 3</v>
      </c>
      <c r="O847" s="34" t="str">
        <f aca="false">IF(Dashboard!$C$5="Ubicación técnica",N847,"Sector "&amp;VALUE(RIGHT(G847,2)))</f>
        <v>Sector 3</v>
      </c>
      <c r="P847" s="34" t="str">
        <f aca="false">IF(MID(D847,15,3)="SEL","Subestación eléctrica","Área de proceso")</f>
        <v>Subestación eléctrica</v>
      </c>
      <c r="Q847" s="34" t="str">
        <f aca="false">MID(D847,13,5)&amp;"|"&amp;MID(D847,19,5)</f>
        <v>03SEL|S_014</v>
      </c>
      <c r="R847" s="34" t="str">
        <f aca="false">IF(P847="Subestación eléctrica",IFERROR(INDEX(cat_SubN,MATCH(Q847,cat_SubK,0)),"SIN CATALOGAR"),"ÁREA DE PROCESO")</f>
        <v>SE-14</v>
      </c>
      <c r="S847" s="34" t="str">
        <f aca="false">IF(H847="","SIN DATO",IFERROR(INDEX(cat_MarcaN,MATCH(H847,cat_MarcaO,0)),H847))</f>
        <v>SEL</v>
      </c>
      <c r="T847" s="34" t="str">
        <f aca="false">IF(I847="","SIN DATO",IFERROR(INDEX(cat_ModN,MATCH(I847,cat_ModO,0)),I847))</f>
        <v>SEL</v>
      </c>
      <c r="U847" s="34" t="str">
        <f aca="false">IF(I847="","",IFERROR(INDEX(cat_ModG,MATCH(I847,cat_ModO,0)),"No"))</f>
        <v>Sí</v>
      </c>
      <c r="V847" s="34" t="str">
        <f aca="false">IF(J847="","SIN DATO",IFERROR(INDEX(cat_FunN,MATCH(J847,cat_FunO,0)),J847))</f>
        <v>Protección y medición</v>
      </c>
      <c r="W847" s="34" t="str">
        <f aca="false">IF(OR(S847="SIN DATO",T847="SIN DATO"),"No","Sí")</f>
        <v>Sí</v>
      </c>
    </row>
    <row r="848" customFormat="false" ht="15" hidden="false" customHeight="false" outlineLevel="0" collapsed="false">
      <c r="A848" s="34" t="s">
        <v>3209</v>
      </c>
      <c r="B848" s="34" t="s">
        <v>3210</v>
      </c>
      <c r="C848" s="34" t="s">
        <v>3211</v>
      </c>
      <c r="D848" s="34" t="s">
        <v>3212</v>
      </c>
      <c r="E848" s="34" t="s">
        <v>138</v>
      </c>
      <c r="F848" s="34" t="s">
        <v>1602</v>
      </c>
      <c r="G848" s="34" t="s">
        <v>300</v>
      </c>
      <c r="H848" s="34" t="s">
        <v>34</v>
      </c>
      <c r="I848" s="34" t="s">
        <v>37</v>
      </c>
      <c r="J848" s="34" t="s">
        <v>260</v>
      </c>
      <c r="K848" s="34" t="s">
        <v>236</v>
      </c>
      <c r="L848" s="34" t="s">
        <v>230</v>
      </c>
      <c r="M848" s="34" t="s">
        <v>262</v>
      </c>
      <c r="N848" s="34" t="str">
        <f aca="false">"Sector "&amp;VALUE(MID(D848,13,2))</f>
        <v>Sector 6</v>
      </c>
      <c r="O848" s="34" t="str">
        <f aca="false">IF(Dashboard!$C$5="Ubicación técnica",N848,"Sector "&amp;VALUE(RIGHT(G848,2)))</f>
        <v>Sector 6</v>
      </c>
      <c r="P848" s="34" t="str">
        <f aca="false">IF(MID(D848,15,3)="SEL","Subestación eléctrica","Área de proceso")</f>
        <v>Subestación eléctrica</v>
      </c>
      <c r="Q848" s="34" t="str">
        <f aca="false">MID(D848,13,5)&amp;"|"&amp;MID(D848,19,5)</f>
        <v>06SEL|S_002</v>
      </c>
      <c r="R848" s="34" t="str">
        <f aca="false">IF(P848="Subestación eléctrica",IFERROR(INDEX(cat_SubN,MATCH(Q848,cat_SubK,0)),"SIN CATALOGAR"),"ÁREA DE PROCESO")</f>
        <v>SE-02</v>
      </c>
      <c r="S848" s="34" t="str">
        <f aca="false">IF(H848="","SIN DATO",IFERROR(INDEX(cat_MarcaN,MATCH(H848,cat_MarcaO,0)),H848))</f>
        <v>ABB</v>
      </c>
      <c r="T848" s="34" t="str">
        <f aca="false">IF(I848="","SIN DATO",IFERROR(INDEX(cat_ModN,MATCH(I848,cat_ModO,0)),I848))</f>
        <v>REF615A_1G</v>
      </c>
      <c r="U848" s="34" t="str">
        <f aca="false">IF(I848="","",IFERROR(INDEX(cat_ModG,MATCH(I848,cat_ModO,0)),"No"))</f>
        <v>No</v>
      </c>
      <c r="V848" s="34" t="str">
        <f aca="false">IF(J848="","SIN DATO",IFERROR(INDEX(cat_FunN,MATCH(J848,cat_FunO,0)),J848))</f>
        <v>Protección y medición</v>
      </c>
      <c r="W848" s="34" t="str">
        <f aca="false">IF(OR(S848="SIN DATO",T848="SIN DATO"),"No","Sí")</f>
        <v>Sí</v>
      </c>
    </row>
    <row r="849" customFormat="false" ht="15" hidden="false" customHeight="false" outlineLevel="0" collapsed="false">
      <c r="A849" s="34" t="s">
        <v>3213</v>
      </c>
      <c r="B849" s="34" t="s">
        <v>3214</v>
      </c>
      <c r="C849" s="34" t="s">
        <v>3215</v>
      </c>
      <c r="D849" s="34" t="s">
        <v>3216</v>
      </c>
      <c r="E849" s="34" t="s">
        <v>138</v>
      </c>
      <c r="F849" s="34" t="s">
        <v>1602</v>
      </c>
      <c r="G849" s="34" t="s">
        <v>300</v>
      </c>
      <c r="H849" s="34" t="s">
        <v>34</v>
      </c>
      <c r="I849" s="34" t="s">
        <v>37</v>
      </c>
      <c r="J849" s="34" t="s">
        <v>260</v>
      </c>
      <c r="K849" s="34" t="s">
        <v>236</v>
      </c>
      <c r="L849" s="34" t="s">
        <v>230</v>
      </c>
      <c r="M849" s="34" t="s">
        <v>262</v>
      </c>
      <c r="N849" s="34" t="str">
        <f aca="false">"Sector "&amp;VALUE(MID(D849,13,2))</f>
        <v>Sector 6</v>
      </c>
      <c r="O849" s="34" t="str">
        <f aca="false">IF(Dashboard!$C$5="Ubicación técnica",N849,"Sector "&amp;VALUE(RIGHT(G849,2)))</f>
        <v>Sector 6</v>
      </c>
      <c r="P849" s="34" t="str">
        <f aca="false">IF(MID(D849,15,3)="SEL","Subestación eléctrica","Área de proceso")</f>
        <v>Subestación eléctrica</v>
      </c>
      <c r="Q849" s="34" t="str">
        <f aca="false">MID(D849,13,5)&amp;"|"&amp;MID(D849,19,5)</f>
        <v>06SEL|S_002</v>
      </c>
      <c r="R849" s="34" t="str">
        <f aca="false">IF(P849="Subestación eléctrica",IFERROR(INDEX(cat_SubN,MATCH(Q849,cat_SubK,0)),"SIN CATALOGAR"),"ÁREA DE PROCESO")</f>
        <v>SE-02</v>
      </c>
      <c r="S849" s="34" t="str">
        <f aca="false">IF(H849="","SIN DATO",IFERROR(INDEX(cat_MarcaN,MATCH(H849,cat_MarcaO,0)),H849))</f>
        <v>ABB</v>
      </c>
      <c r="T849" s="34" t="str">
        <f aca="false">IF(I849="","SIN DATO",IFERROR(INDEX(cat_ModN,MATCH(I849,cat_ModO,0)),I849))</f>
        <v>REF615A_1G</v>
      </c>
      <c r="U849" s="34" t="str">
        <f aca="false">IF(I849="","",IFERROR(INDEX(cat_ModG,MATCH(I849,cat_ModO,0)),"No"))</f>
        <v>No</v>
      </c>
      <c r="V849" s="34" t="str">
        <f aca="false">IF(J849="","SIN DATO",IFERROR(INDEX(cat_FunN,MATCH(J849,cat_FunO,0)),J849))</f>
        <v>Protección y medición</v>
      </c>
      <c r="W849" s="34" t="str">
        <f aca="false">IF(OR(S849="SIN DATO",T849="SIN DATO"),"No","Sí")</f>
        <v>Sí</v>
      </c>
    </row>
    <row r="850" customFormat="false" ht="15" hidden="false" customHeight="false" outlineLevel="0" collapsed="false">
      <c r="A850" s="34" t="s">
        <v>3217</v>
      </c>
      <c r="B850" s="34" t="s">
        <v>3218</v>
      </c>
      <c r="C850" s="34" t="s">
        <v>3219</v>
      </c>
      <c r="D850" s="34" t="s">
        <v>3220</v>
      </c>
      <c r="E850" s="34" t="s">
        <v>142</v>
      </c>
      <c r="F850" s="34" t="s">
        <v>1602</v>
      </c>
      <c r="G850" s="34" t="s">
        <v>300</v>
      </c>
      <c r="H850" s="34" t="s">
        <v>34</v>
      </c>
      <c r="I850" s="34" t="s">
        <v>45</v>
      </c>
      <c r="J850" s="34" t="s">
        <v>260</v>
      </c>
      <c r="K850" s="34" t="s">
        <v>236</v>
      </c>
      <c r="L850" s="34" t="s">
        <v>230</v>
      </c>
      <c r="M850" s="34" t="s">
        <v>262</v>
      </c>
      <c r="N850" s="34" t="str">
        <f aca="false">"Sector "&amp;VALUE(MID(D850,13,2))</f>
        <v>Sector 6</v>
      </c>
      <c r="O850" s="34" t="str">
        <f aca="false">IF(Dashboard!$C$5="Ubicación técnica",N850,"Sector "&amp;VALUE(RIGHT(G850,2)))</f>
        <v>Sector 6</v>
      </c>
      <c r="P850" s="34" t="str">
        <f aca="false">IF(MID(D850,15,3)="SEL","Subestación eléctrica","Área de proceso")</f>
        <v>Subestación eléctrica</v>
      </c>
      <c r="Q850" s="34" t="str">
        <f aca="false">MID(D850,13,5)&amp;"|"&amp;MID(D850,19,5)</f>
        <v>06SEL|S_009</v>
      </c>
      <c r="R850" s="34" t="str">
        <f aca="false">IF(P850="Subestación eléctrica",IFERROR(INDEX(cat_SubN,MATCH(Q850,cat_SubK,0)),"SIN CATALOGAR"),"ÁREA DE PROCESO")</f>
        <v>SE-09</v>
      </c>
      <c r="S850" s="34" t="str">
        <f aca="false">IF(H850="","SIN DATO",IFERROR(INDEX(cat_MarcaN,MATCH(H850,cat_MarcaO,0)),H850))</f>
        <v>ABB</v>
      </c>
      <c r="T850" s="34" t="str">
        <f aca="false">IF(I850="","SIN DATO",IFERROR(INDEX(cat_ModN,MATCH(I850,cat_ModO,0)),I850))</f>
        <v>REF615_1G</v>
      </c>
      <c r="U850" s="34" t="str">
        <f aca="false">IF(I850="","",IFERROR(INDEX(cat_ModG,MATCH(I850,cat_ModO,0)),"No"))</f>
        <v>No</v>
      </c>
      <c r="V850" s="34" t="str">
        <f aca="false">IF(J850="","SIN DATO",IFERROR(INDEX(cat_FunN,MATCH(J850,cat_FunO,0)),J850))</f>
        <v>Protección y medición</v>
      </c>
      <c r="W850" s="34" t="str">
        <f aca="false">IF(OR(S850="SIN DATO",T850="SIN DATO"),"No","Sí")</f>
        <v>Sí</v>
      </c>
    </row>
    <row r="851" customFormat="false" ht="15" hidden="false" customHeight="false" outlineLevel="0" collapsed="false">
      <c r="A851" s="34" t="s">
        <v>3221</v>
      </c>
      <c r="B851" s="34" t="s">
        <v>3222</v>
      </c>
      <c r="C851" s="34" t="s">
        <v>3223</v>
      </c>
      <c r="D851" s="34" t="s">
        <v>3220</v>
      </c>
      <c r="E851" s="34" t="s">
        <v>142</v>
      </c>
      <c r="F851" s="34" t="s">
        <v>1602</v>
      </c>
      <c r="G851" s="34" t="s">
        <v>300</v>
      </c>
      <c r="H851" s="34" t="s">
        <v>55</v>
      </c>
      <c r="I851" s="34" t="s">
        <v>2146</v>
      </c>
      <c r="J851" s="34" t="s">
        <v>2842</v>
      </c>
      <c r="K851" s="34" t="s">
        <v>236</v>
      </c>
      <c r="L851" s="34" t="s">
        <v>230</v>
      </c>
      <c r="M851" s="34" t="s">
        <v>344</v>
      </c>
      <c r="N851" s="34" t="str">
        <f aca="false">"Sector "&amp;VALUE(MID(D851,13,2))</f>
        <v>Sector 6</v>
      </c>
      <c r="O851" s="34" t="str">
        <f aca="false">IF(Dashboard!$C$5="Ubicación técnica",N851,"Sector "&amp;VALUE(RIGHT(G851,2)))</f>
        <v>Sector 6</v>
      </c>
      <c r="P851" s="34" t="str">
        <f aca="false">IF(MID(D851,15,3)="SEL","Subestación eléctrica","Área de proceso")</f>
        <v>Subestación eléctrica</v>
      </c>
      <c r="Q851" s="34" t="str">
        <f aca="false">MID(D851,13,5)&amp;"|"&amp;MID(D851,19,5)</f>
        <v>06SEL|S_009</v>
      </c>
      <c r="R851" s="34" t="str">
        <f aca="false">IF(P851="Subestación eléctrica",IFERROR(INDEX(cat_SubN,MATCH(Q851,cat_SubK,0)),"SIN CATALOGAR"),"ÁREA DE PROCESO")</f>
        <v>SE-09</v>
      </c>
      <c r="S851" s="34" t="str">
        <f aca="false">IF(H851="","SIN DATO",IFERROR(INDEX(cat_MarcaN,MATCH(H851,cat_MarcaO,0)),H851))</f>
        <v>SEL</v>
      </c>
      <c r="T851" s="34" t="str">
        <f aca="false">IF(I851="","SIN DATO",IFERROR(INDEX(cat_ModN,MATCH(I851,cat_ModO,0)),I851))</f>
        <v>SEL-735</v>
      </c>
      <c r="U851" s="34" t="str">
        <f aca="false">IF(I851="","",IFERROR(INDEX(cat_ModG,MATCH(I851,cat_ModO,0)),"No"))</f>
        <v>No</v>
      </c>
      <c r="V851" s="34" t="str">
        <f aca="false">IF(J851="","SIN DATO",IFERROR(INDEX(cat_FunN,MATCH(J851,cat_FunO,0)),J851))</f>
        <v>Multimedidor</v>
      </c>
      <c r="W851" s="34" t="str">
        <f aca="false">IF(OR(S851="SIN DATO",T851="SIN DATO"),"No","Sí")</f>
        <v>Sí</v>
      </c>
    </row>
    <row r="852" customFormat="false" ht="15" hidden="false" customHeight="false" outlineLevel="0" collapsed="false">
      <c r="A852" s="34" t="s">
        <v>3224</v>
      </c>
      <c r="B852" s="34" t="s">
        <v>3225</v>
      </c>
      <c r="C852" s="34" t="s">
        <v>3226</v>
      </c>
      <c r="D852" s="34" t="s">
        <v>3227</v>
      </c>
      <c r="E852" s="34" t="s">
        <v>120</v>
      </c>
      <c r="F852" s="34" t="s">
        <v>1602</v>
      </c>
      <c r="G852" s="34" t="s">
        <v>1184</v>
      </c>
      <c r="H852" s="34" t="s">
        <v>55</v>
      </c>
      <c r="I852" s="34" t="s">
        <v>55</v>
      </c>
      <c r="J852" s="34" t="s">
        <v>58</v>
      </c>
      <c r="K852" s="34" t="s">
        <v>229</v>
      </c>
      <c r="L852" s="34" t="s">
        <v>230</v>
      </c>
      <c r="M852" s="34" t="s">
        <v>344</v>
      </c>
      <c r="N852" s="34" t="str">
        <f aca="false">"Sector "&amp;VALUE(MID(D852,13,2))</f>
        <v>Sector 4</v>
      </c>
      <c r="O852" s="34" t="str">
        <f aca="false">IF(Dashboard!$C$5="Ubicación técnica",N852,"Sector "&amp;VALUE(RIGHT(G852,2)))</f>
        <v>Sector 4</v>
      </c>
      <c r="P852" s="34" t="str">
        <f aca="false">IF(MID(D852,15,3)="SEL","Subestación eléctrica","Área de proceso")</f>
        <v>Subestación eléctrica</v>
      </c>
      <c r="Q852" s="34" t="str">
        <f aca="false">MID(D852,13,5)&amp;"|"&amp;MID(D852,19,5)</f>
        <v>04SEL|S_023</v>
      </c>
      <c r="R852" s="34" t="str">
        <f aca="false">IF(P852="Subestación eléctrica",IFERROR(INDEX(cat_SubN,MATCH(Q852,cat_SubK,0)),"SIN CATALOGAR"),"ÁREA DE PROCESO")</f>
        <v>SE-23</v>
      </c>
      <c r="S852" s="34" t="str">
        <f aca="false">IF(H852="","SIN DATO",IFERROR(INDEX(cat_MarcaN,MATCH(H852,cat_MarcaO,0)),H852))</f>
        <v>SEL</v>
      </c>
      <c r="T852" s="34" t="str">
        <f aca="false">IF(I852="","SIN DATO",IFERROR(INDEX(cat_ModN,MATCH(I852,cat_ModO,0)),I852))</f>
        <v>SEL</v>
      </c>
      <c r="U852" s="34" t="str">
        <f aca="false">IF(I852="","",IFERROR(INDEX(cat_ModG,MATCH(I852,cat_ModO,0)),"No"))</f>
        <v>Sí</v>
      </c>
      <c r="V852" s="34" t="str">
        <f aca="false">IF(J852="","SIN DATO",IFERROR(INDEX(cat_FunN,MATCH(J852,cat_FunO,0)),J852))</f>
        <v>Medición</v>
      </c>
      <c r="W852" s="34" t="str">
        <f aca="false">IF(OR(S852="SIN DATO",T852="SIN DATO"),"No","Sí")</f>
        <v>Sí</v>
      </c>
    </row>
    <row r="853" customFormat="false" ht="15" hidden="false" customHeight="false" outlineLevel="0" collapsed="false">
      <c r="A853" s="34" t="s">
        <v>3228</v>
      </c>
      <c r="B853" s="34" t="s">
        <v>3229</v>
      </c>
      <c r="C853" s="34" t="s">
        <v>3230</v>
      </c>
      <c r="D853" s="34" t="s">
        <v>3227</v>
      </c>
      <c r="E853" s="34" t="s">
        <v>120</v>
      </c>
      <c r="F853" s="34" t="s">
        <v>1602</v>
      </c>
      <c r="G853" s="34" t="s">
        <v>1184</v>
      </c>
      <c r="H853" s="34" t="s">
        <v>55</v>
      </c>
      <c r="I853" s="34" t="s">
        <v>55</v>
      </c>
      <c r="J853" s="34" t="s">
        <v>681</v>
      </c>
      <c r="K853" s="34" t="s">
        <v>229</v>
      </c>
      <c r="L853" s="34" t="s">
        <v>230</v>
      </c>
      <c r="M853" s="34" t="s">
        <v>1663</v>
      </c>
      <c r="N853" s="34" t="str">
        <f aca="false">"Sector "&amp;VALUE(MID(D853,13,2))</f>
        <v>Sector 4</v>
      </c>
      <c r="O853" s="34" t="str">
        <f aca="false">IF(Dashboard!$C$5="Ubicación técnica",N853,"Sector "&amp;VALUE(RIGHT(G853,2)))</f>
        <v>Sector 4</v>
      </c>
      <c r="P853" s="34" t="str">
        <f aca="false">IF(MID(D853,15,3)="SEL","Subestación eléctrica","Área de proceso")</f>
        <v>Subestación eléctrica</v>
      </c>
      <c r="Q853" s="34" t="str">
        <f aca="false">MID(D853,13,5)&amp;"|"&amp;MID(D853,19,5)</f>
        <v>04SEL|S_023</v>
      </c>
      <c r="R853" s="34" t="str">
        <f aca="false">IF(P853="Subestación eléctrica",IFERROR(INDEX(cat_SubN,MATCH(Q853,cat_SubK,0)),"SIN CATALOGAR"),"ÁREA DE PROCESO")</f>
        <v>SE-23</v>
      </c>
      <c r="S853" s="34" t="str">
        <f aca="false">IF(H853="","SIN DATO",IFERROR(INDEX(cat_MarcaN,MATCH(H853,cat_MarcaO,0)),H853))</f>
        <v>SEL</v>
      </c>
      <c r="T853" s="34" t="str">
        <f aca="false">IF(I853="","SIN DATO",IFERROR(INDEX(cat_ModN,MATCH(I853,cat_ModO,0)),I853))</f>
        <v>SEL</v>
      </c>
      <c r="U853" s="34" t="str">
        <f aca="false">IF(I853="","",IFERROR(INDEX(cat_ModG,MATCH(I853,cat_ModO,0)),"No"))</f>
        <v>Sí</v>
      </c>
      <c r="V853" s="34" t="str">
        <f aca="false">IF(J853="","SIN DATO",IFERROR(INDEX(cat_FunN,MATCH(J853,cat_FunO,0)),J853))</f>
        <v>Protección</v>
      </c>
      <c r="W853" s="34" t="str">
        <f aca="false">IF(OR(S853="SIN DATO",T853="SIN DATO"),"No","Sí")</f>
        <v>Sí</v>
      </c>
    </row>
    <row r="854" customFormat="false" ht="15" hidden="false" customHeight="false" outlineLevel="0" collapsed="false">
      <c r="A854" s="34" t="s">
        <v>3231</v>
      </c>
      <c r="B854" s="34" t="s">
        <v>3232</v>
      </c>
      <c r="C854" s="34" t="s">
        <v>3233</v>
      </c>
      <c r="D854" s="34" t="s">
        <v>3234</v>
      </c>
      <c r="E854" s="34" t="s">
        <v>120</v>
      </c>
      <c r="F854" s="34" t="s">
        <v>1602</v>
      </c>
      <c r="G854" s="34" t="s">
        <v>1184</v>
      </c>
      <c r="H854" s="34" t="s">
        <v>55</v>
      </c>
      <c r="I854" s="34" t="s">
        <v>55</v>
      </c>
      <c r="J854" s="34" t="s">
        <v>58</v>
      </c>
      <c r="K854" s="34" t="s">
        <v>229</v>
      </c>
      <c r="L854" s="34" t="s">
        <v>230</v>
      </c>
      <c r="M854" s="34" t="s">
        <v>344</v>
      </c>
      <c r="N854" s="34" t="str">
        <f aca="false">"Sector "&amp;VALUE(MID(D854,13,2))</f>
        <v>Sector 4</v>
      </c>
      <c r="O854" s="34" t="str">
        <f aca="false">IF(Dashboard!$C$5="Ubicación técnica",N854,"Sector "&amp;VALUE(RIGHT(G854,2)))</f>
        <v>Sector 4</v>
      </c>
      <c r="P854" s="34" t="str">
        <f aca="false">IF(MID(D854,15,3)="SEL","Subestación eléctrica","Área de proceso")</f>
        <v>Subestación eléctrica</v>
      </c>
      <c r="Q854" s="34" t="str">
        <f aca="false">MID(D854,13,5)&amp;"|"&amp;MID(D854,19,5)</f>
        <v>04SEL|S_023</v>
      </c>
      <c r="R854" s="34" t="str">
        <f aca="false">IF(P854="Subestación eléctrica",IFERROR(INDEX(cat_SubN,MATCH(Q854,cat_SubK,0)),"SIN CATALOGAR"),"ÁREA DE PROCESO")</f>
        <v>SE-23</v>
      </c>
      <c r="S854" s="34" t="str">
        <f aca="false">IF(H854="","SIN DATO",IFERROR(INDEX(cat_MarcaN,MATCH(H854,cat_MarcaO,0)),H854))</f>
        <v>SEL</v>
      </c>
      <c r="T854" s="34" t="str">
        <f aca="false">IF(I854="","SIN DATO",IFERROR(INDEX(cat_ModN,MATCH(I854,cat_ModO,0)),I854))</f>
        <v>SEL</v>
      </c>
      <c r="U854" s="34" t="str">
        <f aca="false">IF(I854="","",IFERROR(INDEX(cat_ModG,MATCH(I854,cat_ModO,0)),"No"))</f>
        <v>Sí</v>
      </c>
      <c r="V854" s="34" t="str">
        <f aca="false">IF(J854="","SIN DATO",IFERROR(INDEX(cat_FunN,MATCH(J854,cat_FunO,0)),J854))</f>
        <v>Medición</v>
      </c>
      <c r="W854" s="34" t="str">
        <f aca="false">IF(OR(S854="SIN DATO",T854="SIN DATO"),"No","Sí")</f>
        <v>Sí</v>
      </c>
    </row>
    <row r="855" customFormat="false" ht="15" hidden="false" customHeight="false" outlineLevel="0" collapsed="false">
      <c r="A855" s="34" t="s">
        <v>3235</v>
      </c>
      <c r="B855" s="34" t="s">
        <v>3236</v>
      </c>
      <c r="C855" s="34" t="s">
        <v>3237</v>
      </c>
      <c r="D855" s="34" t="s">
        <v>3234</v>
      </c>
      <c r="E855" s="34" t="s">
        <v>120</v>
      </c>
      <c r="F855" s="34" t="s">
        <v>1602</v>
      </c>
      <c r="G855" s="34" t="s">
        <v>1184</v>
      </c>
      <c r="H855" s="34" t="s">
        <v>55</v>
      </c>
      <c r="I855" s="34" t="s">
        <v>55</v>
      </c>
      <c r="J855" s="34" t="s">
        <v>681</v>
      </c>
      <c r="K855" s="34" t="s">
        <v>229</v>
      </c>
      <c r="L855" s="34" t="s">
        <v>230</v>
      </c>
      <c r="M855" s="34" t="s">
        <v>1663</v>
      </c>
      <c r="N855" s="34" t="str">
        <f aca="false">"Sector "&amp;VALUE(MID(D855,13,2))</f>
        <v>Sector 4</v>
      </c>
      <c r="O855" s="34" t="str">
        <f aca="false">IF(Dashboard!$C$5="Ubicación técnica",N855,"Sector "&amp;VALUE(RIGHT(G855,2)))</f>
        <v>Sector 4</v>
      </c>
      <c r="P855" s="34" t="str">
        <f aca="false">IF(MID(D855,15,3)="SEL","Subestación eléctrica","Área de proceso")</f>
        <v>Subestación eléctrica</v>
      </c>
      <c r="Q855" s="34" t="str">
        <f aca="false">MID(D855,13,5)&amp;"|"&amp;MID(D855,19,5)</f>
        <v>04SEL|S_023</v>
      </c>
      <c r="R855" s="34" t="str">
        <f aca="false">IF(P855="Subestación eléctrica",IFERROR(INDEX(cat_SubN,MATCH(Q855,cat_SubK,0)),"SIN CATALOGAR"),"ÁREA DE PROCESO")</f>
        <v>SE-23</v>
      </c>
      <c r="S855" s="34" t="str">
        <f aca="false">IF(H855="","SIN DATO",IFERROR(INDEX(cat_MarcaN,MATCH(H855,cat_MarcaO,0)),H855))</f>
        <v>SEL</v>
      </c>
      <c r="T855" s="34" t="str">
        <f aca="false">IF(I855="","SIN DATO",IFERROR(INDEX(cat_ModN,MATCH(I855,cat_ModO,0)),I855))</f>
        <v>SEL</v>
      </c>
      <c r="U855" s="34" t="str">
        <f aca="false">IF(I855="","",IFERROR(INDEX(cat_ModG,MATCH(I855,cat_ModO,0)),"No"))</f>
        <v>Sí</v>
      </c>
      <c r="V855" s="34" t="str">
        <f aca="false">IF(J855="","SIN DATO",IFERROR(INDEX(cat_FunN,MATCH(J855,cat_FunO,0)),J855))</f>
        <v>Protección</v>
      </c>
      <c r="W855" s="34" t="str">
        <f aca="false">IF(OR(S855="SIN DATO",T855="SIN DATO"),"No","Sí")</f>
        <v>Sí</v>
      </c>
    </row>
    <row r="856" customFormat="false" ht="15" hidden="false" customHeight="false" outlineLevel="0" collapsed="false">
      <c r="A856" s="34" t="s">
        <v>3238</v>
      </c>
      <c r="B856" s="34" t="s">
        <v>3239</v>
      </c>
      <c r="C856" s="34" t="s">
        <v>3240</v>
      </c>
      <c r="D856" s="34" t="s">
        <v>3241</v>
      </c>
      <c r="E856" s="34" t="s">
        <v>122</v>
      </c>
      <c r="F856" s="34" t="s">
        <v>1602</v>
      </c>
      <c r="G856" s="34" t="s">
        <v>1184</v>
      </c>
      <c r="H856" s="34" t="s">
        <v>73</v>
      </c>
      <c r="I856" s="34" t="s">
        <v>75</v>
      </c>
      <c r="J856" s="34" t="s">
        <v>681</v>
      </c>
      <c r="K856" s="34" t="s">
        <v>229</v>
      </c>
      <c r="L856" s="34" t="s">
        <v>230</v>
      </c>
      <c r="M856" s="34" t="s">
        <v>344</v>
      </c>
      <c r="N856" s="34" t="str">
        <f aca="false">"Sector "&amp;VALUE(MID(D856,13,2))</f>
        <v>Sector 4</v>
      </c>
      <c r="O856" s="34" t="str">
        <f aca="false">IF(Dashboard!$C$5="Ubicación técnica",N856,"Sector "&amp;VALUE(RIGHT(G856,2)))</f>
        <v>Sector 4</v>
      </c>
      <c r="P856" s="34" t="str">
        <f aca="false">IF(MID(D856,15,3)="SEL","Subestación eléctrica","Área de proceso")</f>
        <v>Subestación eléctrica</v>
      </c>
      <c r="Q856" s="34" t="str">
        <f aca="false">MID(D856,13,5)&amp;"|"&amp;MID(D856,19,5)</f>
        <v>04SEL|S_024</v>
      </c>
      <c r="R856" s="34" t="str">
        <f aca="false">IF(P856="Subestación eléctrica",IFERROR(INDEX(cat_SubN,MATCH(Q856,cat_SubK,0)),"SIN CATALOGAR"),"ÁREA DE PROCESO")</f>
        <v>SE-24</v>
      </c>
      <c r="S856" s="34" t="str">
        <f aca="false">IF(H856="","SIN DATO",IFERROR(INDEX(cat_MarcaN,MATCH(H856,cat_MarcaO,0)),H856))</f>
        <v>SIEMENS</v>
      </c>
      <c r="T856" s="34" t="str">
        <f aca="false">IF(I856="","SIN DATO",IFERROR(INDEX(cat_ModN,MATCH(I856,cat_ModO,0)),I856))</f>
        <v>REYROLLE</v>
      </c>
      <c r="U856" s="34" t="str">
        <f aca="false">IF(I856="","",IFERROR(INDEX(cat_ModG,MATCH(I856,cat_ModO,0)),"No"))</f>
        <v>Sí</v>
      </c>
      <c r="V856" s="34" t="str">
        <f aca="false">IF(J856="","SIN DATO",IFERROR(INDEX(cat_FunN,MATCH(J856,cat_FunO,0)),J856))</f>
        <v>Protección</v>
      </c>
      <c r="W856" s="34" t="str">
        <f aca="false">IF(OR(S856="SIN DATO",T856="SIN DATO"),"No","Sí")</f>
        <v>Sí</v>
      </c>
    </row>
    <row r="857" customFormat="false" ht="15" hidden="false" customHeight="false" outlineLevel="0" collapsed="false">
      <c r="A857" s="34" t="s">
        <v>3242</v>
      </c>
      <c r="B857" s="34" t="s">
        <v>3243</v>
      </c>
      <c r="C857" s="34" t="s">
        <v>3244</v>
      </c>
      <c r="D857" s="34" t="s">
        <v>3245</v>
      </c>
      <c r="E857" s="34" t="s">
        <v>122</v>
      </c>
      <c r="F857" s="34" t="s">
        <v>1602</v>
      </c>
      <c r="G857" s="34" t="s">
        <v>1184</v>
      </c>
      <c r="H857" s="34" t="s">
        <v>73</v>
      </c>
      <c r="I857" s="34" t="s">
        <v>75</v>
      </c>
      <c r="J857" s="34" t="s">
        <v>681</v>
      </c>
      <c r="K857" s="34" t="s">
        <v>229</v>
      </c>
      <c r="L857" s="34" t="s">
        <v>230</v>
      </c>
      <c r="M857" s="34" t="s">
        <v>344</v>
      </c>
      <c r="N857" s="34" t="str">
        <f aca="false">"Sector "&amp;VALUE(MID(D857,13,2))</f>
        <v>Sector 4</v>
      </c>
      <c r="O857" s="34" t="str">
        <f aca="false">IF(Dashboard!$C$5="Ubicación técnica",N857,"Sector "&amp;VALUE(RIGHT(G857,2)))</f>
        <v>Sector 4</v>
      </c>
      <c r="P857" s="34" t="str">
        <f aca="false">IF(MID(D857,15,3)="SEL","Subestación eléctrica","Área de proceso")</f>
        <v>Subestación eléctrica</v>
      </c>
      <c r="Q857" s="34" t="str">
        <f aca="false">MID(D857,13,5)&amp;"|"&amp;MID(D857,19,5)</f>
        <v>04SEL|S_024</v>
      </c>
      <c r="R857" s="34" t="str">
        <f aca="false">IF(P857="Subestación eléctrica",IFERROR(INDEX(cat_SubN,MATCH(Q857,cat_SubK,0)),"SIN CATALOGAR"),"ÁREA DE PROCESO")</f>
        <v>SE-24</v>
      </c>
      <c r="S857" s="34" t="str">
        <f aca="false">IF(H857="","SIN DATO",IFERROR(INDEX(cat_MarcaN,MATCH(H857,cat_MarcaO,0)),H857))</f>
        <v>SIEMENS</v>
      </c>
      <c r="T857" s="34" t="str">
        <f aca="false">IF(I857="","SIN DATO",IFERROR(INDEX(cat_ModN,MATCH(I857,cat_ModO,0)),I857))</f>
        <v>REYROLLE</v>
      </c>
      <c r="U857" s="34" t="str">
        <f aca="false">IF(I857="","",IFERROR(INDEX(cat_ModG,MATCH(I857,cat_ModO,0)),"No"))</f>
        <v>Sí</v>
      </c>
      <c r="V857" s="34" t="str">
        <f aca="false">IF(J857="","SIN DATO",IFERROR(INDEX(cat_FunN,MATCH(J857,cat_FunO,0)),J857))</f>
        <v>Protección</v>
      </c>
      <c r="W857" s="34" t="str">
        <f aca="false">IF(OR(S857="SIN DATO",T857="SIN DATO"),"No","Sí")</f>
        <v>Sí</v>
      </c>
    </row>
    <row r="858" customFormat="false" ht="15" hidden="false" customHeight="false" outlineLevel="0" collapsed="false">
      <c r="A858" s="34" t="s">
        <v>3246</v>
      </c>
      <c r="B858" s="34" t="s">
        <v>3247</v>
      </c>
      <c r="C858" s="34" t="s">
        <v>3248</v>
      </c>
      <c r="D858" s="34" t="s">
        <v>3249</v>
      </c>
      <c r="E858" s="34" t="s">
        <v>124</v>
      </c>
      <c r="F858" s="34" t="s">
        <v>1602</v>
      </c>
      <c r="G858" s="34" t="s">
        <v>1184</v>
      </c>
      <c r="H858" s="34" t="s">
        <v>73</v>
      </c>
      <c r="I858" s="34" t="s">
        <v>75</v>
      </c>
      <c r="J858" s="34" t="s">
        <v>681</v>
      </c>
      <c r="K858" s="34" t="s">
        <v>229</v>
      </c>
      <c r="L858" s="34" t="s">
        <v>230</v>
      </c>
      <c r="M858" s="34" t="s">
        <v>344</v>
      </c>
      <c r="N858" s="34" t="str">
        <f aca="false">"Sector "&amp;VALUE(MID(D858,13,2))</f>
        <v>Sector 4</v>
      </c>
      <c r="O858" s="34" t="str">
        <f aca="false">IF(Dashboard!$C$5="Ubicación técnica",N858,"Sector "&amp;VALUE(RIGHT(G858,2)))</f>
        <v>Sector 4</v>
      </c>
      <c r="P858" s="34" t="str">
        <f aca="false">IF(MID(D858,15,3)="SEL","Subestación eléctrica","Área de proceso")</f>
        <v>Subestación eléctrica</v>
      </c>
      <c r="Q858" s="34" t="str">
        <f aca="false">MID(D858,13,5)&amp;"|"&amp;MID(D858,19,5)</f>
        <v>04SEL|S_026</v>
      </c>
      <c r="R858" s="34" t="str">
        <f aca="false">IF(P858="Subestación eléctrica",IFERROR(INDEX(cat_SubN,MATCH(Q858,cat_SubK,0)),"SIN CATALOGAR"),"ÁREA DE PROCESO")</f>
        <v>SE-26</v>
      </c>
      <c r="S858" s="34" t="str">
        <f aca="false">IF(H858="","SIN DATO",IFERROR(INDEX(cat_MarcaN,MATCH(H858,cat_MarcaO,0)),H858))</f>
        <v>SIEMENS</v>
      </c>
      <c r="T858" s="34" t="str">
        <f aca="false">IF(I858="","SIN DATO",IFERROR(INDEX(cat_ModN,MATCH(I858,cat_ModO,0)),I858))</f>
        <v>REYROLLE</v>
      </c>
      <c r="U858" s="34" t="str">
        <f aca="false">IF(I858="","",IFERROR(INDEX(cat_ModG,MATCH(I858,cat_ModO,0)),"No"))</f>
        <v>Sí</v>
      </c>
      <c r="V858" s="34" t="str">
        <f aca="false">IF(J858="","SIN DATO",IFERROR(INDEX(cat_FunN,MATCH(J858,cat_FunO,0)),J858))</f>
        <v>Protección</v>
      </c>
      <c r="W858" s="34" t="str">
        <f aca="false">IF(OR(S858="SIN DATO",T858="SIN DATO"),"No","Sí")</f>
        <v>Sí</v>
      </c>
    </row>
    <row r="859" customFormat="false" ht="15" hidden="false" customHeight="false" outlineLevel="0" collapsed="false">
      <c r="A859" s="34" t="s">
        <v>3250</v>
      </c>
      <c r="B859" s="34" t="s">
        <v>3251</v>
      </c>
      <c r="C859" s="34" t="s">
        <v>3252</v>
      </c>
      <c r="D859" s="34" t="s">
        <v>3253</v>
      </c>
      <c r="E859" s="34" t="s">
        <v>124</v>
      </c>
      <c r="F859" s="34" t="s">
        <v>1602</v>
      </c>
      <c r="G859" s="34" t="s">
        <v>1184</v>
      </c>
      <c r="H859" s="34" t="s">
        <v>73</v>
      </c>
      <c r="I859" s="34" t="s">
        <v>75</v>
      </c>
      <c r="J859" s="34" t="s">
        <v>681</v>
      </c>
      <c r="K859" s="34" t="s">
        <v>229</v>
      </c>
      <c r="L859" s="34" t="s">
        <v>230</v>
      </c>
      <c r="M859" s="34" t="s">
        <v>344</v>
      </c>
      <c r="N859" s="34" t="str">
        <f aca="false">"Sector "&amp;VALUE(MID(D859,13,2))</f>
        <v>Sector 4</v>
      </c>
      <c r="O859" s="34" t="str">
        <f aca="false">IF(Dashboard!$C$5="Ubicación técnica",N859,"Sector "&amp;VALUE(RIGHT(G859,2)))</f>
        <v>Sector 4</v>
      </c>
      <c r="P859" s="34" t="str">
        <f aca="false">IF(MID(D859,15,3)="SEL","Subestación eléctrica","Área de proceso")</f>
        <v>Subestación eléctrica</v>
      </c>
      <c r="Q859" s="34" t="str">
        <f aca="false">MID(D859,13,5)&amp;"|"&amp;MID(D859,19,5)</f>
        <v>04SEL|S_026</v>
      </c>
      <c r="R859" s="34" t="str">
        <f aca="false">IF(P859="Subestación eléctrica",IFERROR(INDEX(cat_SubN,MATCH(Q859,cat_SubK,0)),"SIN CATALOGAR"),"ÁREA DE PROCESO")</f>
        <v>SE-26</v>
      </c>
      <c r="S859" s="34" t="str">
        <f aca="false">IF(H859="","SIN DATO",IFERROR(INDEX(cat_MarcaN,MATCH(H859,cat_MarcaO,0)),H859))</f>
        <v>SIEMENS</v>
      </c>
      <c r="T859" s="34" t="str">
        <f aca="false">IF(I859="","SIN DATO",IFERROR(INDEX(cat_ModN,MATCH(I859,cat_ModO,0)),I859))</f>
        <v>REYROLLE</v>
      </c>
      <c r="U859" s="34" t="str">
        <f aca="false">IF(I859="","",IFERROR(INDEX(cat_ModG,MATCH(I859,cat_ModO,0)),"No"))</f>
        <v>Sí</v>
      </c>
      <c r="V859" s="34" t="str">
        <f aca="false">IF(J859="","SIN DATO",IFERROR(INDEX(cat_FunN,MATCH(J859,cat_FunO,0)),J859))</f>
        <v>Protección</v>
      </c>
      <c r="W859" s="34" t="str">
        <f aca="false">IF(OR(S859="SIN DATO",T859="SIN DATO"),"No","Sí")</f>
        <v>Sí</v>
      </c>
    </row>
    <row r="860" customFormat="false" ht="15" hidden="false" customHeight="false" outlineLevel="0" collapsed="false">
      <c r="A860" s="34" t="s">
        <v>3254</v>
      </c>
      <c r="B860" s="34" t="s">
        <v>3255</v>
      </c>
      <c r="C860" s="34" t="s">
        <v>3256</v>
      </c>
      <c r="D860" s="34" t="s">
        <v>3257</v>
      </c>
      <c r="E860" s="34" t="s">
        <v>126</v>
      </c>
      <c r="F860" s="34" t="s">
        <v>1602</v>
      </c>
      <c r="G860" s="34" t="s">
        <v>1184</v>
      </c>
      <c r="H860" s="34" t="s">
        <v>73</v>
      </c>
      <c r="I860" s="34" t="s">
        <v>75</v>
      </c>
      <c r="J860" s="34" t="s">
        <v>681</v>
      </c>
      <c r="K860" s="34" t="s">
        <v>229</v>
      </c>
      <c r="L860" s="34" t="s">
        <v>230</v>
      </c>
      <c r="M860" s="34" t="s">
        <v>344</v>
      </c>
      <c r="N860" s="34" t="str">
        <f aca="false">"Sector "&amp;VALUE(MID(D860,13,2))</f>
        <v>Sector 4</v>
      </c>
      <c r="O860" s="34" t="str">
        <f aca="false">IF(Dashboard!$C$5="Ubicación técnica",N860,"Sector "&amp;VALUE(RIGHT(G860,2)))</f>
        <v>Sector 4</v>
      </c>
      <c r="P860" s="34" t="str">
        <f aca="false">IF(MID(D860,15,3)="SEL","Subestación eléctrica","Área de proceso")</f>
        <v>Subestación eléctrica</v>
      </c>
      <c r="Q860" s="34" t="str">
        <f aca="false">MID(D860,13,5)&amp;"|"&amp;MID(D860,19,5)</f>
        <v>04SEL|S_027</v>
      </c>
      <c r="R860" s="34" t="str">
        <f aca="false">IF(P860="Subestación eléctrica",IFERROR(INDEX(cat_SubN,MATCH(Q860,cat_SubK,0)),"SIN CATALOGAR"),"ÁREA DE PROCESO")</f>
        <v>SE-27</v>
      </c>
      <c r="S860" s="34" t="str">
        <f aca="false">IF(H860="","SIN DATO",IFERROR(INDEX(cat_MarcaN,MATCH(H860,cat_MarcaO,0)),H860))</f>
        <v>SIEMENS</v>
      </c>
      <c r="T860" s="34" t="str">
        <f aca="false">IF(I860="","SIN DATO",IFERROR(INDEX(cat_ModN,MATCH(I860,cat_ModO,0)),I860))</f>
        <v>REYROLLE</v>
      </c>
      <c r="U860" s="34" t="str">
        <f aca="false">IF(I860="","",IFERROR(INDEX(cat_ModG,MATCH(I860,cat_ModO,0)),"No"))</f>
        <v>Sí</v>
      </c>
      <c r="V860" s="34" t="str">
        <f aca="false">IF(J860="","SIN DATO",IFERROR(INDEX(cat_FunN,MATCH(J860,cat_FunO,0)),J860))</f>
        <v>Protección</v>
      </c>
      <c r="W860" s="34" t="str">
        <f aca="false">IF(OR(S860="SIN DATO",T860="SIN DATO"),"No","Sí")</f>
        <v>Sí</v>
      </c>
    </row>
    <row r="861" customFormat="false" ht="15" hidden="false" customHeight="false" outlineLevel="0" collapsed="false">
      <c r="A861" s="34" t="s">
        <v>3258</v>
      </c>
      <c r="B861" s="34" t="s">
        <v>3259</v>
      </c>
      <c r="C861" s="34" t="s">
        <v>3260</v>
      </c>
      <c r="D861" s="34" t="s">
        <v>3261</v>
      </c>
      <c r="E861" s="34" t="s">
        <v>126</v>
      </c>
      <c r="F861" s="34" t="s">
        <v>1602</v>
      </c>
      <c r="G861" s="34" t="s">
        <v>1184</v>
      </c>
      <c r="H861" s="34" t="s">
        <v>73</v>
      </c>
      <c r="I861" s="34" t="s">
        <v>75</v>
      </c>
      <c r="J861" s="34" t="s">
        <v>681</v>
      </c>
      <c r="K861" s="34" t="s">
        <v>229</v>
      </c>
      <c r="L861" s="34" t="s">
        <v>230</v>
      </c>
      <c r="M861" s="34" t="s">
        <v>344</v>
      </c>
      <c r="N861" s="34" t="str">
        <f aca="false">"Sector "&amp;VALUE(MID(D861,13,2))</f>
        <v>Sector 4</v>
      </c>
      <c r="O861" s="34" t="str">
        <f aca="false">IF(Dashboard!$C$5="Ubicación técnica",N861,"Sector "&amp;VALUE(RIGHT(G861,2)))</f>
        <v>Sector 4</v>
      </c>
      <c r="P861" s="34" t="str">
        <f aca="false">IF(MID(D861,15,3)="SEL","Subestación eléctrica","Área de proceso")</f>
        <v>Subestación eléctrica</v>
      </c>
      <c r="Q861" s="34" t="str">
        <f aca="false">MID(D861,13,5)&amp;"|"&amp;MID(D861,19,5)</f>
        <v>04SEL|S_027</v>
      </c>
      <c r="R861" s="34" t="str">
        <f aca="false">IF(P861="Subestación eléctrica",IFERROR(INDEX(cat_SubN,MATCH(Q861,cat_SubK,0)),"SIN CATALOGAR"),"ÁREA DE PROCESO")</f>
        <v>SE-27</v>
      </c>
      <c r="S861" s="34" t="str">
        <f aca="false">IF(H861="","SIN DATO",IFERROR(INDEX(cat_MarcaN,MATCH(H861,cat_MarcaO,0)),H861))</f>
        <v>SIEMENS</v>
      </c>
      <c r="T861" s="34" t="str">
        <f aca="false">IF(I861="","SIN DATO",IFERROR(INDEX(cat_ModN,MATCH(I861,cat_ModO,0)),I861))</f>
        <v>REYROLLE</v>
      </c>
      <c r="U861" s="34" t="str">
        <f aca="false">IF(I861="","",IFERROR(INDEX(cat_ModG,MATCH(I861,cat_ModO,0)),"No"))</f>
        <v>Sí</v>
      </c>
      <c r="V861" s="34" t="str">
        <f aca="false">IF(J861="","SIN DATO",IFERROR(INDEX(cat_FunN,MATCH(J861,cat_FunO,0)),J861))</f>
        <v>Protección</v>
      </c>
      <c r="W861" s="34" t="str">
        <f aca="false">IF(OR(S861="SIN DATO",T861="SIN DATO"),"No","Sí")</f>
        <v>Sí</v>
      </c>
    </row>
    <row r="862" customFormat="false" ht="15" hidden="false" customHeight="false" outlineLevel="0" collapsed="false">
      <c r="A862" s="34" t="s">
        <v>3262</v>
      </c>
      <c r="B862" s="34" t="s">
        <v>3263</v>
      </c>
      <c r="C862" s="34" t="s">
        <v>3264</v>
      </c>
      <c r="D862" s="34" t="s">
        <v>3265</v>
      </c>
      <c r="E862" s="34" t="s">
        <v>134</v>
      </c>
      <c r="F862" s="34" t="s">
        <v>1602</v>
      </c>
      <c r="G862" s="34" t="s">
        <v>2983</v>
      </c>
      <c r="H862" s="34" t="s">
        <v>34</v>
      </c>
      <c r="I862" s="34" t="s">
        <v>39</v>
      </c>
      <c r="J862" s="34" t="s">
        <v>228</v>
      </c>
      <c r="K862" s="34" t="s">
        <v>229</v>
      </c>
      <c r="L862" s="34" t="s">
        <v>230</v>
      </c>
      <c r="M862" s="34" t="s">
        <v>231</v>
      </c>
      <c r="N862" s="34" t="str">
        <f aca="false">"Sector "&amp;VALUE(MID(D862,13,2))</f>
        <v>Sector 5</v>
      </c>
      <c r="O862" s="34" t="str">
        <f aca="false">IF(Dashboard!$C$5="Ubicación técnica",N862,"Sector "&amp;VALUE(RIGHT(G862,2)))</f>
        <v>Sector 5</v>
      </c>
      <c r="P862" s="34" t="str">
        <f aca="false">IF(MID(D862,15,3)="SEL","Subestación eléctrica","Área de proceso")</f>
        <v>Subestación eléctrica</v>
      </c>
      <c r="Q862" s="34" t="str">
        <f aca="false">MID(D862,13,5)&amp;"|"&amp;MID(D862,19,5)</f>
        <v>05SEL|S_006</v>
      </c>
      <c r="R862" s="34" t="str">
        <f aca="false">IF(P862="Subestación eléctrica",IFERROR(INDEX(cat_SubN,MATCH(Q862,cat_SubK,0)),"SIN CATALOGAR"),"ÁREA DE PROCESO")</f>
        <v>SE-06</v>
      </c>
      <c r="S862" s="34" t="str">
        <f aca="false">IF(H862="","SIN DATO",IFERROR(INDEX(cat_MarcaN,MATCH(H862,cat_MarcaO,0)),H862))</f>
        <v>ABB</v>
      </c>
      <c r="T862" s="34" t="str">
        <f aca="false">IF(I862="","SIN DATO",IFERROR(INDEX(cat_ModN,MATCH(I862,cat_ModO,0)),I862))</f>
        <v>REF</v>
      </c>
      <c r="U862" s="34" t="str">
        <f aca="false">IF(I862="","",IFERROR(INDEX(cat_ModG,MATCH(I862,cat_ModO,0)),"No"))</f>
        <v>Sí</v>
      </c>
      <c r="V862" s="34" t="str">
        <f aca="false">IF(J862="","SIN DATO",IFERROR(INDEX(cat_FunN,MATCH(J862,cat_FunO,0)),J862))</f>
        <v>Protección y medición</v>
      </c>
      <c r="W862" s="34" t="str">
        <f aca="false">IF(OR(S862="SIN DATO",T862="SIN DATO"),"No","Sí")</f>
        <v>Sí</v>
      </c>
    </row>
    <row r="863" customFormat="false" ht="15" hidden="false" customHeight="false" outlineLevel="0" collapsed="false">
      <c r="A863" s="34" t="s">
        <v>3266</v>
      </c>
      <c r="B863" s="34" t="s">
        <v>3267</v>
      </c>
      <c r="C863" s="34" t="s">
        <v>3268</v>
      </c>
      <c r="D863" s="34" t="s">
        <v>3269</v>
      </c>
      <c r="E863" s="34" t="s">
        <v>134</v>
      </c>
      <c r="F863" s="34" t="s">
        <v>1602</v>
      </c>
      <c r="G863" s="34" t="s">
        <v>2983</v>
      </c>
      <c r="H863" s="34" t="s">
        <v>34</v>
      </c>
      <c r="I863" s="34" t="s">
        <v>39</v>
      </c>
      <c r="J863" s="34" t="s">
        <v>228</v>
      </c>
      <c r="K863" s="34" t="s">
        <v>229</v>
      </c>
      <c r="L863" s="34" t="s">
        <v>230</v>
      </c>
      <c r="M863" s="34" t="s">
        <v>231</v>
      </c>
      <c r="N863" s="34" t="str">
        <f aca="false">"Sector "&amp;VALUE(MID(D863,13,2))</f>
        <v>Sector 5</v>
      </c>
      <c r="O863" s="34" t="str">
        <f aca="false">IF(Dashboard!$C$5="Ubicación técnica",N863,"Sector "&amp;VALUE(RIGHT(G863,2)))</f>
        <v>Sector 5</v>
      </c>
      <c r="P863" s="34" t="str">
        <f aca="false">IF(MID(D863,15,3)="SEL","Subestación eléctrica","Área de proceso")</f>
        <v>Subestación eléctrica</v>
      </c>
      <c r="Q863" s="34" t="str">
        <f aca="false">MID(D863,13,5)&amp;"|"&amp;MID(D863,19,5)</f>
        <v>05SEL|S_006</v>
      </c>
      <c r="R863" s="34" t="str">
        <f aca="false">IF(P863="Subestación eléctrica",IFERROR(INDEX(cat_SubN,MATCH(Q863,cat_SubK,0)),"SIN CATALOGAR"),"ÁREA DE PROCESO")</f>
        <v>SE-06</v>
      </c>
      <c r="S863" s="34" t="str">
        <f aca="false">IF(H863="","SIN DATO",IFERROR(INDEX(cat_MarcaN,MATCH(H863,cat_MarcaO,0)),H863))</f>
        <v>ABB</v>
      </c>
      <c r="T863" s="34" t="str">
        <f aca="false">IF(I863="","SIN DATO",IFERROR(INDEX(cat_ModN,MATCH(I863,cat_ModO,0)),I863))</f>
        <v>REF</v>
      </c>
      <c r="U863" s="34" t="str">
        <f aca="false">IF(I863="","",IFERROR(INDEX(cat_ModG,MATCH(I863,cat_ModO,0)),"No"))</f>
        <v>Sí</v>
      </c>
      <c r="V863" s="34" t="str">
        <f aca="false">IF(J863="","SIN DATO",IFERROR(INDEX(cat_FunN,MATCH(J863,cat_FunO,0)),J863))</f>
        <v>Protección y medición</v>
      </c>
      <c r="W863" s="34" t="str">
        <f aca="false">IF(OR(S863="SIN DATO",T863="SIN DATO"),"No","Sí")</f>
        <v>Sí</v>
      </c>
    </row>
    <row r="864" customFormat="false" ht="15" hidden="false" customHeight="false" outlineLevel="0" collapsed="false">
      <c r="A864" s="34" t="s">
        <v>3270</v>
      </c>
      <c r="B864" s="34" t="s">
        <v>3271</v>
      </c>
      <c r="C864" s="34" t="s">
        <v>3272</v>
      </c>
      <c r="D864" s="34" t="s">
        <v>3273</v>
      </c>
      <c r="E864" s="34" t="s">
        <v>138</v>
      </c>
      <c r="F864" s="34" t="s">
        <v>1602</v>
      </c>
      <c r="G864" s="34" t="s">
        <v>300</v>
      </c>
      <c r="H864" s="34" t="s">
        <v>55</v>
      </c>
      <c r="I864" s="34" t="s">
        <v>57</v>
      </c>
      <c r="J864" s="34" t="s">
        <v>2842</v>
      </c>
      <c r="K864" s="34" t="s">
        <v>236</v>
      </c>
      <c r="L864" s="34" t="s">
        <v>230</v>
      </c>
      <c r="M864" s="34" t="s">
        <v>344</v>
      </c>
      <c r="N864" s="34" t="str">
        <f aca="false">"Sector "&amp;VALUE(MID(D864,13,2))</f>
        <v>Sector 6</v>
      </c>
      <c r="O864" s="34" t="str">
        <f aca="false">IF(Dashboard!$C$5="Ubicación técnica",N864,"Sector "&amp;VALUE(RIGHT(G864,2)))</f>
        <v>Sector 6</v>
      </c>
      <c r="P864" s="34" t="str">
        <f aca="false">IF(MID(D864,15,3)="SEL","Subestación eléctrica","Área de proceso")</f>
        <v>Subestación eléctrica</v>
      </c>
      <c r="Q864" s="34" t="str">
        <f aca="false">MID(D864,13,5)&amp;"|"&amp;MID(D864,19,5)</f>
        <v>06SEL|S_002</v>
      </c>
      <c r="R864" s="34" t="str">
        <f aca="false">IF(P864="Subestación eléctrica",IFERROR(INDEX(cat_SubN,MATCH(Q864,cat_SubK,0)),"SIN CATALOGAR"),"ÁREA DE PROCESO")</f>
        <v>SE-02</v>
      </c>
      <c r="S864" s="34" t="str">
        <f aca="false">IF(H864="","SIN DATO",IFERROR(INDEX(cat_MarcaN,MATCH(H864,cat_MarcaO,0)),H864))</f>
        <v>SEL</v>
      </c>
      <c r="T864" s="34" t="str">
        <f aca="false">IF(I864="","SIN DATO",IFERROR(INDEX(cat_ModN,MATCH(I864,cat_ModO,0)),I864))</f>
        <v>SEL-735</v>
      </c>
      <c r="U864" s="34" t="str">
        <f aca="false">IF(I864="","",IFERROR(INDEX(cat_ModG,MATCH(I864,cat_ModO,0)),"No"))</f>
        <v>No</v>
      </c>
      <c r="V864" s="34" t="str">
        <f aca="false">IF(J864="","SIN DATO",IFERROR(INDEX(cat_FunN,MATCH(J864,cat_FunO,0)),J864))</f>
        <v>Multimedidor</v>
      </c>
      <c r="W864" s="34" t="str">
        <f aca="false">IF(OR(S864="SIN DATO",T864="SIN DATO"),"No","Sí")</f>
        <v>Sí</v>
      </c>
    </row>
    <row r="865" customFormat="false" ht="15" hidden="false" customHeight="false" outlineLevel="0" collapsed="false">
      <c r="A865" s="34" t="s">
        <v>3274</v>
      </c>
      <c r="B865" s="34" t="s">
        <v>3275</v>
      </c>
      <c r="C865" s="34" t="s">
        <v>3276</v>
      </c>
      <c r="D865" s="34" t="s">
        <v>1954</v>
      </c>
      <c r="E865" s="34" t="s">
        <v>184</v>
      </c>
      <c r="F865" s="34" t="s">
        <v>1602</v>
      </c>
      <c r="G865" s="34" t="s">
        <v>227</v>
      </c>
      <c r="H865" s="34" t="s">
        <v>1358</v>
      </c>
      <c r="I865" s="34" t="s">
        <v>65</v>
      </c>
      <c r="J865" s="34" t="s">
        <v>228</v>
      </c>
      <c r="K865" s="34" t="s">
        <v>229</v>
      </c>
      <c r="L865" s="34" t="s">
        <v>230</v>
      </c>
      <c r="M865" s="34" t="s">
        <v>1640</v>
      </c>
      <c r="N865" s="34" t="str">
        <f aca="false">"Sector "&amp;VALUE(MID(D865,13,2))</f>
        <v>Sector 8</v>
      </c>
      <c r="O865" s="34" t="str">
        <f aca="false">IF(Dashboard!$C$5="Ubicación técnica",N865,"Sector "&amp;VALUE(RIGHT(G865,2)))</f>
        <v>Sector 8</v>
      </c>
      <c r="P865" s="34" t="str">
        <f aca="false">IF(MID(D865,15,3)="SEL","Subestación eléctrica","Área de proceso")</f>
        <v>Área de proceso</v>
      </c>
      <c r="Q865" s="34" t="str">
        <f aca="false">MID(D865,13,5)&amp;"|"&amp;MID(D865,19,5)</f>
        <v>08COG|SGELE</v>
      </c>
      <c r="R865" s="34" t="str">
        <f aca="false">IF(P865="Subestación eléctrica",IFERROR(INDEX(cat_SubN,MATCH(Q865,cat_SubK,0)),"SIN CATALOGAR"),"ÁREA DE PROCESO")</f>
        <v>ÁREA DE PROCESO</v>
      </c>
      <c r="S865" s="34" t="str">
        <f aca="false">IF(H865="","SIN DATO",IFERROR(INDEX(cat_MarcaN,MATCH(H865,cat_MarcaO,0)),H865))</f>
        <v>GENERAL ELECTRIC</v>
      </c>
      <c r="T865" s="34" t="str">
        <f aca="false">IF(I865="","SIN DATO",IFERROR(INDEX(cat_ModN,MATCH(I865,cat_ModO,0)),I865))</f>
        <v>MULTILIN T60</v>
      </c>
      <c r="U865" s="34" t="str">
        <f aca="false">IF(I865="","",IFERROR(INDEX(cat_ModG,MATCH(I865,cat_ModO,0)),"No"))</f>
        <v>No</v>
      </c>
      <c r="V865" s="34" t="str">
        <f aca="false">IF(J865="","SIN DATO",IFERROR(INDEX(cat_FunN,MATCH(J865,cat_FunO,0)),J865))</f>
        <v>Protección y medición</v>
      </c>
      <c r="W865" s="34" t="str">
        <f aca="false">IF(OR(S865="SIN DATO",T865="SIN DATO"),"No","Sí")</f>
        <v>Sí</v>
      </c>
    </row>
    <row r="866" customFormat="false" ht="15" hidden="false" customHeight="false" outlineLevel="0" collapsed="false">
      <c r="A866" s="34" t="s">
        <v>3277</v>
      </c>
      <c r="B866" s="34" t="s">
        <v>3278</v>
      </c>
      <c r="C866" s="34" t="s">
        <v>3279</v>
      </c>
      <c r="D866" s="34" t="s">
        <v>1954</v>
      </c>
      <c r="E866" s="34" t="s">
        <v>184</v>
      </c>
      <c r="F866" s="34" t="s">
        <v>1602</v>
      </c>
      <c r="G866" s="34" t="s">
        <v>227</v>
      </c>
      <c r="H866" s="34" t="s">
        <v>1358</v>
      </c>
      <c r="I866" s="34" t="s">
        <v>65</v>
      </c>
      <c r="J866" s="34" t="s">
        <v>228</v>
      </c>
      <c r="K866" s="34" t="s">
        <v>229</v>
      </c>
      <c r="L866" s="34" t="s">
        <v>230</v>
      </c>
      <c r="M866" s="34" t="s">
        <v>1640</v>
      </c>
      <c r="N866" s="34" t="str">
        <f aca="false">"Sector "&amp;VALUE(MID(D866,13,2))</f>
        <v>Sector 8</v>
      </c>
      <c r="O866" s="34" t="str">
        <f aca="false">IF(Dashboard!$C$5="Ubicación técnica",N866,"Sector "&amp;VALUE(RIGHT(G866,2)))</f>
        <v>Sector 8</v>
      </c>
      <c r="P866" s="34" t="str">
        <f aca="false">IF(MID(D866,15,3)="SEL","Subestación eléctrica","Área de proceso")</f>
        <v>Área de proceso</v>
      </c>
      <c r="Q866" s="34" t="str">
        <f aca="false">MID(D866,13,5)&amp;"|"&amp;MID(D866,19,5)</f>
        <v>08COG|SGELE</v>
      </c>
      <c r="R866" s="34" t="str">
        <f aca="false">IF(P866="Subestación eléctrica",IFERROR(INDEX(cat_SubN,MATCH(Q866,cat_SubK,0)),"SIN CATALOGAR"),"ÁREA DE PROCESO")</f>
        <v>ÁREA DE PROCESO</v>
      </c>
      <c r="S866" s="34" t="str">
        <f aca="false">IF(H866="","SIN DATO",IFERROR(INDEX(cat_MarcaN,MATCH(H866,cat_MarcaO,0)),H866))</f>
        <v>GENERAL ELECTRIC</v>
      </c>
      <c r="T866" s="34" t="str">
        <f aca="false">IF(I866="","SIN DATO",IFERROR(INDEX(cat_ModN,MATCH(I866,cat_ModO,0)),I866))</f>
        <v>MULTILIN T60</v>
      </c>
      <c r="U866" s="34" t="str">
        <f aca="false">IF(I866="","",IFERROR(INDEX(cat_ModG,MATCH(I866,cat_ModO,0)),"No"))</f>
        <v>No</v>
      </c>
      <c r="V866" s="34" t="str">
        <f aca="false">IF(J866="","SIN DATO",IFERROR(INDEX(cat_FunN,MATCH(J866,cat_FunO,0)),J866))</f>
        <v>Protección y medición</v>
      </c>
      <c r="W866" s="34" t="str">
        <f aca="false">IF(OR(S866="SIN DATO",T866="SIN DATO"),"No","Sí")</f>
        <v>Sí</v>
      </c>
    </row>
    <row r="867" customFormat="false" ht="15" hidden="false" customHeight="false" outlineLevel="0" collapsed="false">
      <c r="A867" s="34" t="s">
        <v>3280</v>
      </c>
      <c r="B867" s="34" t="s">
        <v>3281</v>
      </c>
      <c r="C867" s="34" t="s">
        <v>3282</v>
      </c>
      <c r="D867" s="34" t="s">
        <v>1933</v>
      </c>
      <c r="E867" s="34" t="s">
        <v>184</v>
      </c>
      <c r="F867" s="34" t="s">
        <v>1602</v>
      </c>
      <c r="G867" s="34" t="s">
        <v>227</v>
      </c>
      <c r="H867" s="34" t="s">
        <v>1358</v>
      </c>
      <c r="I867" s="34" t="s">
        <v>69</v>
      </c>
      <c r="J867" s="34" t="s">
        <v>228</v>
      </c>
      <c r="K867" s="34" t="s">
        <v>229</v>
      </c>
      <c r="L867" s="34" t="s">
        <v>230</v>
      </c>
      <c r="M867" s="34" t="s">
        <v>1640</v>
      </c>
      <c r="N867" s="34" t="str">
        <f aca="false">"Sector "&amp;VALUE(MID(D867,13,2))</f>
        <v>Sector 8</v>
      </c>
      <c r="O867" s="34" t="str">
        <f aca="false">IF(Dashboard!$C$5="Ubicación técnica",N867,"Sector "&amp;VALUE(RIGHT(G867,2)))</f>
        <v>Sector 8</v>
      </c>
      <c r="P867" s="34" t="str">
        <f aca="false">IF(MID(D867,15,3)="SEL","Subestación eléctrica","Área de proceso")</f>
        <v>Área de proceso</v>
      </c>
      <c r="Q867" s="34" t="str">
        <f aca="false">MID(D867,13,5)&amp;"|"&amp;MID(D867,19,5)</f>
        <v>08COG|SGELE</v>
      </c>
      <c r="R867" s="34" t="str">
        <f aca="false">IF(P867="Subestación eléctrica",IFERROR(INDEX(cat_SubN,MATCH(Q867,cat_SubK,0)),"SIN CATALOGAR"),"ÁREA DE PROCESO")</f>
        <v>ÁREA DE PROCESO</v>
      </c>
      <c r="S867" s="34" t="str">
        <f aca="false">IF(H867="","SIN DATO",IFERROR(INDEX(cat_MarcaN,MATCH(H867,cat_MarcaO,0)),H867))</f>
        <v>GENERAL ELECTRIC</v>
      </c>
      <c r="T867" s="34" t="str">
        <f aca="false">IF(I867="","SIN DATO",IFERROR(INDEX(cat_ModN,MATCH(I867,cat_ModO,0)),I867))</f>
        <v>MULTILIN G60</v>
      </c>
      <c r="U867" s="34" t="str">
        <f aca="false">IF(I867="","",IFERROR(INDEX(cat_ModG,MATCH(I867,cat_ModO,0)),"No"))</f>
        <v>No</v>
      </c>
      <c r="V867" s="34" t="str">
        <f aca="false">IF(J867="","SIN DATO",IFERROR(INDEX(cat_FunN,MATCH(J867,cat_FunO,0)),J867))</f>
        <v>Protección y medición</v>
      </c>
      <c r="W867" s="34" t="str">
        <f aca="false">IF(OR(S867="SIN DATO",T867="SIN DATO"),"No","Sí")</f>
        <v>Sí</v>
      </c>
    </row>
    <row r="868" customFormat="false" ht="15" hidden="false" customHeight="false" outlineLevel="0" collapsed="false">
      <c r="A868" s="34" t="s">
        <v>3283</v>
      </c>
      <c r="B868" s="34" t="s">
        <v>3284</v>
      </c>
      <c r="C868" s="34" t="s">
        <v>3285</v>
      </c>
      <c r="D868" s="34" t="s">
        <v>1933</v>
      </c>
      <c r="E868" s="34" t="s">
        <v>184</v>
      </c>
      <c r="F868" s="34" t="s">
        <v>1602</v>
      </c>
      <c r="G868" s="34" t="s">
        <v>227</v>
      </c>
      <c r="H868" s="34" t="s">
        <v>1358</v>
      </c>
      <c r="I868" s="34" t="s">
        <v>65</v>
      </c>
      <c r="J868" s="34" t="s">
        <v>228</v>
      </c>
      <c r="K868" s="34" t="s">
        <v>229</v>
      </c>
      <c r="L868" s="34" t="s">
        <v>230</v>
      </c>
      <c r="M868" s="34" t="s">
        <v>1640</v>
      </c>
      <c r="N868" s="34" t="str">
        <f aca="false">"Sector "&amp;VALUE(MID(D868,13,2))</f>
        <v>Sector 8</v>
      </c>
      <c r="O868" s="34" t="str">
        <f aca="false">IF(Dashboard!$C$5="Ubicación técnica",N868,"Sector "&amp;VALUE(RIGHT(G868,2)))</f>
        <v>Sector 8</v>
      </c>
      <c r="P868" s="34" t="str">
        <f aca="false">IF(MID(D868,15,3)="SEL","Subestación eléctrica","Área de proceso")</f>
        <v>Área de proceso</v>
      </c>
      <c r="Q868" s="34" t="str">
        <f aca="false">MID(D868,13,5)&amp;"|"&amp;MID(D868,19,5)</f>
        <v>08COG|SGELE</v>
      </c>
      <c r="R868" s="34" t="str">
        <f aca="false">IF(P868="Subestación eléctrica",IFERROR(INDEX(cat_SubN,MATCH(Q868,cat_SubK,0)),"SIN CATALOGAR"),"ÁREA DE PROCESO")</f>
        <v>ÁREA DE PROCESO</v>
      </c>
      <c r="S868" s="34" t="str">
        <f aca="false">IF(H868="","SIN DATO",IFERROR(INDEX(cat_MarcaN,MATCH(H868,cat_MarcaO,0)),H868))</f>
        <v>GENERAL ELECTRIC</v>
      </c>
      <c r="T868" s="34" t="str">
        <f aca="false">IF(I868="","SIN DATO",IFERROR(INDEX(cat_ModN,MATCH(I868,cat_ModO,0)),I868))</f>
        <v>MULTILIN T60</v>
      </c>
      <c r="U868" s="34" t="str">
        <f aca="false">IF(I868="","",IFERROR(INDEX(cat_ModG,MATCH(I868,cat_ModO,0)),"No"))</f>
        <v>No</v>
      </c>
      <c r="V868" s="34" t="str">
        <f aca="false">IF(J868="","SIN DATO",IFERROR(INDEX(cat_FunN,MATCH(J868,cat_FunO,0)),J868))</f>
        <v>Protección y medición</v>
      </c>
      <c r="W868" s="34" t="str">
        <f aca="false">IF(OR(S868="SIN DATO",T868="SIN DATO"),"No","Sí")</f>
        <v>Sí</v>
      </c>
    </row>
    <row r="869" customFormat="false" ht="15" hidden="false" customHeight="false" outlineLevel="0" collapsed="false">
      <c r="A869" s="34" t="s">
        <v>3286</v>
      </c>
      <c r="B869" s="34" t="s">
        <v>3287</v>
      </c>
      <c r="C869" s="34" t="s">
        <v>3288</v>
      </c>
      <c r="D869" s="34" t="s">
        <v>1933</v>
      </c>
      <c r="E869" s="34" t="s">
        <v>184</v>
      </c>
      <c r="F869" s="34" t="s">
        <v>1602</v>
      </c>
      <c r="G869" s="34" t="s">
        <v>227</v>
      </c>
      <c r="H869" s="34" t="s">
        <v>1358</v>
      </c>
      <c r="I869" s="34" t="s">
        <v>65</v>
      </c>
      <c r="J869" s="34" t="s">
        <v>228</v>
      </c>
      <c r="K869" s="34" t="s">
        <v>229</v>
      </c>
      <c r="L869" s="34" t="s">
        <v>230</v>
      </c>
      <c r="M869" s="34" t="s">
        <v>1640</v>
      </c>
      <c r="N869" s="34" t="str">
        <f aca="false">"Sector "&amp;VALUE(MID(D869,13,2))</f>
        <v>Sector 8</v>
      </c>
      <c r="O869" s="34" t="str">
        <f aca="false">IF(Dashboard!$C$5="Ubicación técnica",N869,"Sector "&amp;VALUE(RIGHT(G869,2)))</f>
        <v>Sector 8</v>
      </c>
      <c r="P869" s="34" t="str">
        <f aca="false">IF(MID(D869,15,3)="SEL","Subestación eléctrica","Área de proceso")</f>
        <v>Área de proceso</v>
      </c>
      <c r="Q869" s="34" t="str">
        <f aca="false">MID(D869,13,5)&amp;"|"&amp;MID(D869,19,5)</f>
        <v>08COG|SGELE</v>
      </c>
      <c r="R869" s="34" t="str">
        <f aca="false">IF(P869="Subestación eléctrica",IFERROR(INDEX(cat_SubN,MATCH(Q869,cat_SubK,0)),"SIN CATALOGAR"),"ÁREA DE PROCESO")</f>
        <v>ÁREA DE PROCESO</v>
      </c>
      <c r="S869" s="34" t="str">
        <f aca="false">IF(H869="","SIN DATO",IFERROR(INDEX(cat_MarcaN,MATCH(H869,cat_MarcaO,0)),H869))</f>
        <v>GENERAL ELECTRIC</v>
      </c>
      <c r="T869" s="34" t="str">
        <f aca="false">IF(I869="","SIN DATO",IFERROR(INDEX(cat_ModN,MATCH(I869,cat_ModO,0)),I869))</f>
        <v>MULTILIN T60</v>
      </c>
      <c r="U869" s="34" t="str">
        <f aca="false">IF(I869="","",IFERROR(INDEX(cat_ModG,MATCH(I869,cat_ModO,0)),"No"))</f>
        <v>No</v>
      </c>
      <c r="V869" s="34" t="str">
        <f aca="false">IF(J869="","SIN DATO",IFERROR(INDEX(cat_FunN,MATCH(J869,cat_FunO,0)),J869))</f>
        <v>Protección y medición</v>
      </c>
      <c r="W869" s="34" t="str">
        <f aca="false">IF(OR(S869="SIN DATO",T869="SIN DATO"),"No","Sí")</f>
        <v>Sí</v>
      </c>
    </row>
    <row r="870" customFormat="false" ht="15" hidden="false" customHeight="false" outlineLevel="0" collapsed="false">
      <c r="A870" s="34" t="s">
        <v>3289</v>
      </c>
      <c r="B870" s="34" t="s">
        <v>3290</v>
      </c>
      <c r="C870" s="34" t="s">
        <v>3291</v>
      </c>
      <c r="D870" s="34" t="s">
        <v>1933</v>
      </c>
      <c r="E870" s="34" t="s">
        <v>184</v>
      </c>
      <c r="F870" s="34" t="s">
        <v>1602</v>
      </c>
      <c r="G870" s="34" t="s">
        <v>227</v>
      </c>
      <c r="H870" s="34" t="s">
        <v>1358</v>
      </c>
      <c r="I870" s="34" t="s">
        <v>69</v>
      </c>
      <c r="J870" s="34" t="s">
        <v>228</v>
      </c>
      <c r="K870" s="34" t="s">
        <v>229</v>
      </c>
      <c r="L870" s="34" t="s">
        <v>230</v>
      </c>
      <c r="M870" s="34" t="s">
        <v>1640</v>
      </c>
      <c r="N870" s="34" t="str">
        <f aca="false">"Sector "&amp;VALUE(MID(D870,13,2))</f>
        <v>Sector 8</v>
      </c>
      <c r="O870" s="34" t="str">
        <f aca="false">IF(Dashboard!$C$5="Ubicación técnica",N870,"Sector "&amp;VALUE(RIGHT(G870,2)))</f>
        <v>Sector 8</v>
      </c>
      <c r="P870" s="34" t="str">
        <f aca="false">IF(MID(D870,15,3)="SEL","Subestación eléctrica","Área de proceso")</f>
        <v>Área de proceso</v>
      </c>
      <c r="Q870" s="34" t="str">
        <f aca="false">MID(D870,13,5)&amp;"|"&amp;MID(D870,19,5)</f>
        <v>08COG|SGELE</v>
      </c>
      <c r="R870" s="34" t="str">
        <f aca="false">IF(P870="Subestación eléctrica",IFERROR(INDEX(cat_SubN,MATCH(Q870,cat_SubK,0)),"SIN CATALOGAR"),"ÁREA DE PROCESO")</f>
        <v>ÁREA DE PROCESO</v>
      </c>
      <c r="S870" s="34" t="str">
        <f aca="false">IF(H870="","SIN DATO",IFERROR(INDEX(cat_MarcaN,MATCH(H870,cat_MarcaO,0)),H870))</f>
        <v>GENERAL ELECTRIC</v>
      </c>
      <c r="T870" s="34" t="str">
        <f aca="false">IF(I870="","SIN DATO",IFERROR(INDEX(cat_ModN,MATCH(I870,cat_ModO,0)),I870))</f>
        <v>MULTILIN G60</v>
      </c>
      <c r="U870" s="34" t="str">
        <f aca="false">IF(I870="","",IFERROR(INDEX(cat_ModG,MATCH(I870,cat_ModO,0)),"No"))</f>
        <v>No</v>
      </c>
      <c r="V870" s="34" t="str">
        <f aca="false">IF(J870="","SIN DATO",IFERROR(INDEX(cat_FunN,MATCH(J870,cat_FunO,0)),J870))</f>
        <v>Protección y medición</v>
      </c>
      <c r="W870" s="34" t="str">
        <f aca="false">IF(OR(S870="SIN DATO",T870="SIN DATO"),"No","Sí")</f>
        <v>Sí</v>
      </c>
    </row>
    <row r="871" customFormat="false" ht="15" hidden="false" customHeight="false" outlineLevel="0" collapsed="false">
      <c r="A871" s="34" t="s">
        <v>3292</v>
      </c>
      <c r="B871" s="34" t="s">
        <v>3293</v>
      </c>
      <c r="C871" s="34" t="s">
        <v>3294</v>
      </c>
      <c r="D871" s="34" t="s">
        <v>1933</v>
      </c>
      <c r="E871" s="34" t="s">
        <v>184</v>
      </c>
      <c r="F871" s="34" t="s">
        <v>1602</v>
      </c>
      <c r="G871" s="34" t="s">
        <v>227</v>
      </c>
      <c r="H871" s="34" t="s">
        <v>1358</v>
      </c>
      <c r="I871" s="34" t="s">
        <v>65</v>
      </c>
      <c r="J871" s="34" t="s">
        <v>228</v>
      </c>
      <c r="K871" s="34" t="s">
        <v>229</v>
      </c>
      <c r="L871" s="34" t="s">
        <v>230</v>
      </c>
      <c r="M871" s="34" t="s">
        <v>1640</v>
      </c>
      <c r="N871" s="34" t="str">
        <f aca="false">"Sector "&amp;VALUE(MID(D871,13,2))</f>
        <v>Sector 8</v>
      </c>
      <c r="O871" s="34" t="str">
        <f aca="false">IF(Dashboard!$C$5="Ubicación técnica",N871,"Sector "&amp;VALUE(RIGHT(G871,2)))</f>
        <v>Sector 8</v>
      </c>
      <c r="P871" s="34" t="str">
        <f aca="false">IF(MID(D871,15,3)="SEL","Subestación eléctrica","Área de proceso")</f>
        <v>Área de proceso</v>
      </c>
      <c r="Q871" s="34" t="str">
        <f aca="false">MID(D871,13,5)&amp;"|"&amp;MID(D871,19,5)</f>
        <v>08COG|SGELE</v>
      </c>
      <c r="R871" s="34" t="str">
        <f aca="false">IF(P871="Subestación eléctrica",IFERROR(INDEX(cat_SubN,MATCH(Q871,cat_SubK,0)),"SIN CATALOGAR"),"ÁREA DE PROCESO")</f>
        <v>ÁREA DE PROCESO</v>
      </c>
      <c r="S871" s="34" t="str">
        <f aca="false">IF(H871="","SIN DATO",IFERROR(INDEX(cat_MarcaN,MATCH(H871,cat_MarcaO,0)),H871))</f>
        <v>GENERAL ELECTRIC</v>
      </c>
      <c r="T871" s="34" t="str">
        <f aca="false">IF(I871="","SIN DATO",IFERROR(INDEX(cat_ModN,MATCH(I871,cat_ModO,0)),I871))</f>
        <v>MULTILIN T60</v>
      </c>
      <c r="U871" s="34" t="str">
        <f aca="false">IF(I871="","",IFERROR(INDEX(cat_ModG,MATCH(I871,cat_ModO,0)),"No"))</f>
        <v>No</v>
      </c>
      <c r="V871" s="34" t="str">
        <f aca="false">IF(J871="","SIN DATO",IFERROR(INDEX(cat_FunN,MATCH(J871,cat_FunO,0)),J871))</f>
        <v>Protección y medición</v>
      </c>
      <c r="W871" s="34" t="str">
        <f aca="false">IF(OR(S871="SIN DATO",T871="SIN DATO"),"No","Sí")</f>
        <v>Sí</v>
      </c>
    </row>
    <row r="872" customFormat="false" ht="15" hidden="false" customHeight="false" outlineLevel="0" collapsed="false">
      <c r="A872" s="34" t="s">
        <v>3295</v>
      </c>
      <c r="B872" s="34" t="s">
        <v>3296</v>
      </c>
      <c r="C872" s="34" t="s">
        <v>3297</v>
      </c>
      <c r="D872" s="34" t="s">
        <v>1933</v>
      </c>
      <c r="E872" s="34" t="s">
        <v>184</v>
      </c>
      <c r="F872" s="34" t="s">
        <v>1602</v>
      </c>
      <c r="G872" s="34" t="s">
        <v>227</v>
      </c>
      <c r="H872" s="34" t="s">
        <v>1358</v>
      </c>
      <c r="I872" s="34" t="s">
        <v>65</v>
      </c>
      <c r="J872" s="34" t="s">
        <v>228</v>
      </c>
      <c r="K872" s="34" t="s">
        <v>229</v>
      </c>
      <c r="L872" s="34" t="s">
        <v>230</v>
      </c>
      <c r="M872" s="34" t="s">
        <v>1640</v>
      </c>
      <c r="N872" s="34" t="str">
        <f aca="false">"Sector "&amp;VALUE(MID(D872,13,2))</f>
        <v>Sector 8</v>
      </c>
      <c r="O872" s="34" t="str">
        <f aca="false">IF(Dashboard!$C$5="Ubicación técnica",N872,"Sector "&amp;VALUE(RIGHT(G872,2)))</f>
        <v>Sector 8</v>
      </c>
      <c r="P872" s="34" t="str">
        <f aca="false">IF(MID(D872,15,3)="SEL","Subestación eléctrica","Área de proceso")</f>
        <v>Área de proceso</v>
      </c>
      <c r="Q872" s="34" t="str">
        <f aca="false">MID(D872,13,5)&amp;"|"&amp;MID(D872,19,5)</f>
        <v>08COG|SGELE</v>
      </c>
      <c r="R872" s="34" t="str">
        <f aca="false">IF(P872="Subestación eléctrica",IFERROR(INDEX(cat_SubN,MATCH(Q872,cat_SubK,0)),"SIN CATALOGAR"),"ÁREA DE PROCESO")</f>
        <v>ÁREA DE PROCESO</v>
      </c>
      <c r="S872" s="34" t="str">
        <f aca="false">IF(H872="","SIN DATO",IFERROR(INDEX(cat_MarcaN,MATCH(H872,cat_MarcaO,0)),H872))</f>
        <v>GENERAL ELECTRIC</v>
      </c>
      <c r="T872" s="34" t="str">
        <f aca="false">IF(I872="","SIN DATO",IFERROR(INDEX(cat_ModN,MATCH(I872,cat_ModO,0)),I872))</f>
        <v>MULTILIN T60</v>
      </c>
      <c r="U872" s="34" t="str">
        <f aca="false">IF(I872="","",IFERROR(INDEX(cat_ModG,MATCH(I872,cat_ModO,0)),"No"))</f>
        <v>No</v>
      </c>
      <c r="V872" s="34" t="str">
        <f aca="false">IF(J872="","SIN DATO",IFERROR(INDEX(cat_FunN,MATCH(J872,cat_FunO,0)),J872))</f>
        <v>Protección y medición</v>
      </c>
      <c r="W872" s="34" t="str">
        <f aca="false">IF(OR(S872="SIN DATO",T872="SIN DATO"),"No","Sí")</f>
        <v>Sí</v>
      </c>
    </row>
    <row r="873" customFormat="false" ht="15" hidden="false" customHeight="false" outlineLevel="0" collapsed="false">
      <c r="A873" s="34" t="s">
        <v>3298</v>
      </c>
      <c r="B873" s="34" t="s">
        <v>3299</v>
      </c>
      <c r="C873" s="34" t="s">
        <v>3300</v>
      </c>
      <c r="D873" s="34" t="s">
        <v>1909</v>
      </c>
      <c r="E873" s="34" t="s">
        <v>184</v>
      </c>
      <c r="F873" s="34" t="s">
        <v>1602</v>
      </c>
      <c r="G873" s="34" t="s">
        <v>227</v>
      </c>
      <c r="H873" s="34" t="s">
        <v>1358</v>
      </c>
      <c r="I873" s="34" t="s">
        <v>69</v>
      </c>
      <c r="J873" s="34" t="s">
        <v>228</v>
      </c>
      <c r="K873" s="34" t="s">
        <v>229</v>
      </c>
      <c r="L873" s="34" t="s">
        <v>230</v>
      </c>
      <c r="M873" s="34" t="s">
        <v>1640</v>
      </c>
      <c r="N873" s="34" t="str">
        <f aca="false">"Sector "&amp;VALUE(MID(D873,13,2))</f>
        <v>Sector 8</v>
      </c>
      <c r="O873" s="34" t="str">
        <f aca="false">IF(Dashboard!$C$5="Ubicación técnica",N873,"Sector "&amp;VALUE(RIGHT(G873,2)))</f>
        <v>Sector 8</v>
      </c>
      <c r="P873" s="34" t="str">
        <f aca="false">IF(MID(D873,15,3)="SEL","Subestación eléctrica","Área de proceso")</f>
        <v>Área de proceso</v>
      </c>
      <c r="Q873" s="34" t="str">
        <f aca="false">MID(D873,13,5)&amp;"|"&amp;MID(D873,19,5)</f>
        <v>08COG|SGELE</v>
      </c>
      <c r="R873" s="34" t="str">
        <f aca="false">IF(P873="Subestación eléctrica",IFERROR(INDEX(cat_SubN,MATCH(Q873,cat_SubK,0)),"SIN CATALOGAR"),"ÁREA DE PROCESO")</f>
        <v>ÁREA DE PROCESO</v>
      </c>
      <c r="S873" s="34" t="str">
        <f aca="false">IF(H873="","SIN DATO",IFERROR(INDEX(cat_MarcaN,MATCH(H873,cat_MarcaO,0)),H873))</f>
        <v>GENERAL ELECTRIC</v>
      </c>
      <c r="T873" s="34" t="str">
        <f aca="false">IF(I873="","SIN DATO",IFERROR(INDEX(cat_ModN,MATCH(I873,cat_ModO,0)),I873))</f>
        <v>MULTILIN G60</v>
      </c>
      <c r="U873" s="34" t="str">
        <f aca="false">IF(I873="","",IFERROR(INDEX(cat_ModG,MATCH(I873,cat_ModO,0)),"No"))</f>
        <v>No</v>
      </c>
      <c r="V873" s="34" t="str">
        <f aca="false">IF(J873="","SIN DATO",IFERROR(INDEX(cat_FunN,MATCH(J873,cat_FunO,0)),J873))</f>
        <v>Protección y medición</v>
      </c>
      <c r="W873" s="34" t="str">
        <f aca="false">IF(OR(S873="SIN DATO",T873="SIN DATO"),"No","Sí")</f>
        <v>Sí</v>
      </c>
    </row>
    <row r="874" customFormat="false" ht="15" hidden="false" customHeight="false" outlineLevel="0" collapsed="false">
      <c r="A874" s="34" t="s">
        <v>3301</v>
      </c>
      <c r="B874" s="34" t="s">
        <v>3302</v>
      </c>
      <c r="C874" s="34" t="s">
        <v>3303</v>
      </c>
      <c r="D874" s="34" t="s">
        <v>1909</v>
      </c>
      <c r="E874" s="34" t="s">
        <v>184</v>
      </c>
      <c r="F874" s="34" t="s">
        <v>1602</v>
      </c>
      <c r="G874" s="34" t="s">
        <v>227</v>
      </c>
      <c r="H874" s="34" t="s">
        <v>1358</v>
      </c>
      <c r="I874" s="34" t="s">
        <v>65</v>
      </c>
      <c r="J874" s="34" t="s">
        <v>228</v>
      </c>
      <c r="K874" s="34" t="s">
        <v>229</v>
      </c>
      <c r="L874" s="34" t="s">
        <v>230</v>
      </c>
      <c r="M874" s="34" t="s">
        <v>1640</v>
      </c>
      <c r="N874" s="34" t="str">
        <f aca="false">"Sector "&amp;VALUE(MID(D874,13,2))</f>
        <v>Sector 8</v>
      </c>
      <c r="O874" s="34" t="str">
        <f aca="false">IF(Dashboard!$C$5="Ubicación técnica",N874,"Sector "&amp;VALUE(RIGHT(G874,2)))</f>
        <v>Sector 8</v>
      </c>
      <c r="P874" s="34" t="str">
        <f aca="false">IF(MID(D874,15,3)="SEL","Subestación eléctrica","Área de proceso")</f>
        <v>Área de proceso</v>
      </c>
      <c r="Q874" s="34" t="str">
        <f aca="false">MID(D874,13,5)&amp;"|"&amp;MID(D874,19,5)</f>
        <v>08COG|SGELE</v>
      </c>
      <c r="R874" s="34" t="str">
        <f aca="false">IF(P874="Subestación eléctrica",IFERROR(INDEX(cat_SubN,MATCH(Q874,cat_SubK,0)),"SIN CATALOGAR"),"ÁREA DE PROCESO")</f>
        <v>ÁREA DE PROCESO</v>
      </c>
      <c r="S874" s="34" t="str">
        <f aca="false">IF(H874="","SIN DATO",IFERROR(INDEX(cat_MarcaN,MATCH(H874,cat_MarcaO,0)),H874))</f>
        <v>GENERAL ELECTRIC</v>
      </c>
      <c r="T874" s="34" t="str">
        <f aca="false">IF(I874="","SIN DATO",IFERROR(INDEX(cat_ModN,MATCH(I874,cat_ModO,0)),I874))</f>
        <v>MULTILIN T60</v>
      </c>
      <c r="U874" s="34" t="str">
        <f aca="false">IF(I874="","",IFERROR(INDEX(cat_ModG,MATCH(I874,cat_ModO,0)),"No"))</f>
        <v>No</v>
      </c>
      <c r="V874" s="34" t="str">
        <f aca="false">IF(J874="","SIN DATO",IFERROR(INDEX(cat_FunN,MATCH(J874,cat_FunO,0)),J874))</f>
        <v>Protección y medición</v>
      </c>
      <c r="W874" s="34" t="str">
        <f aca="false">IF(OR(S874="SIN DATO",T874="SIN DATO"),"No","Sí")</f>
        <v>Sí</v>
      </c>
    </row>
    <row r="875" customFormat="false" ht="15" hidden="false" customHeight="false" outlineLevel="0" collapsed="false">
      <c r="A875" s="34" t="s">
        <v>3304</v>
      </c>
      <c r="B875" s="34" t="s">
        <v>3305</v>
      </c>
      <c r="C875" s="34" t="s">
        <v>3306</v>
      </c>
      <c r="D875" s="34" t="s">
        <v>1909</v>
      </c>
      <c r="E875" s="34" t="s">
        <v>184</v>
      </c>
      <c r="F875" s="34" t="s">
        <v>1602</v>
      </c>
      <c r="G875" s="34" t="s">
        <v>227</v>
      </c>
      <c r="H875" s="34" t="s">
        <v>1358</v>
      </c>
      <c r="I875" s="34" t="s">
        <v>65</v>
      </c>
      <c r="J875" s="34" t="s">
        <v>228</v>
      </c>
      <c r="K875" s="34" t="s">
        <v>229</v>
      </c>
      <c r="L875" s="34" t="s">
        <v>230</v>
      </c>
      <c r="M875" s="34" t="s">
        <v>1640</v>
      </c>
      <c r="N875" s="34" t="str">
        <f aca="false">"Sector "&amp;VALUE(MID(D875,13,2))</f>
        <v>Sector 8</v>
      </c>
      <c r="O875" s="34" t="str">
        <f aca="false">IF(Dashboard!$C$5="Ubicación técnica",N875,"Sector "&amp;VALUE(RIGHT(G875,2)))</f>
        <v>Sector 8</v>
      </c>
      <c r="P875" s="34" t="str">
        <f aca="false">IF(MID(D875,15,3)="SEL","Subestación eléctrica","Área de proceso")</f>
        <v>Área de proceso</v>
      </c>
      <c r="Q875" s="34" t="str">
        <f aca="false">MID(D875,13,5)&amp;"|"&amp;MID(D875,19,5)</f>
        <v>08COG|SGELE</v>
      </c>
      <c r="R875" s="34" t="str">
        <f aca="false">IF(P875="Subestación eléctrica",IFERROR(INDEX(cat_SubN,MATCH(Q875,cat_SubK,0)),"SIN CATALOGAR"),"ÁREA DE PROCESO")</f>
        <v>ÁREA DE PROCESO</v>
      </c>
      <c r="S875" s="34" t="str">
        <f aca="false">IF(H875="","SIN DATO",IFERROR(INDEX(cat_MarcaN,MATCH(H875,cat_MarcaO,0)),H875))</f>
        <v>GENERAL ELECTRIC</v>
      </c>
      <c r="T875" s="34" t="str">
        <f aca="false">IF(I875="","SIN DATO",IFERROR(INDEX(cat_ModN,MATCH(I875,cat_ModO,0)),I875))</f>
        <v>MULTILIN T60</v>
      </c>
      <c r="U875" s="34" t="str">
        <f aca="false">IF(I875="","",IFERROR(INDEX(cat_ModG,MATCH(I875,cat_ModO,0)),"No"))</f>
        <v>No</v>
      </c>
      <c r="V875" s="34" t="str">
        <f aca="false">IF(J875="","SIN DATO",IFERROR(INDEX(cat_FunN,MATCH(J875,cat_FunO,0)),J875))</f>
        <v>Protección y medición</v>
      </c>
      <c r="W875" s="34" t="str">
        <f aca="false">IF(OR(S875="SIN DATO",T875="SIN DATO"),"No","Sí")</f>
        <v>Sí</v>
      </c>
    </row>
    <row r="876" customFormat="false" ht="15" hidden="false" customHeight="false" outlineLevel="0" collapsed="false">
      <c r="A876" s="34" t="s">
        <v>3307</v>
      </c>
      <c r="B876" s="34" t="s">
        <v>3308</v>
      </c>
      <c r="C876" s="34" t="s">
        <v>3309</v>
      </c>
      <c r="D876" s="34" t="s">
        <v>1909</v>
      </c>
      <c r="E876" s="34" t="s">
        <v>184</v>
      </c>
      <c r="F876" s="34" t="s">
        <v>1602</v>
      </c>
      <c r="G876" s="34" t="s">
        <v>227</v>
      </c>
      <c r="H876" s="34" t="s">
        <v>1358</v>
      </c>
      <c r="I876" s="34" t="s">
        <v>69</v>
      </c>
      <c r="J876" s="34" t="s">
        <v>228</v>
      </c>
      <c r="K876" s="34" t="s">
        <v>229</v>
      </c>
      <c r="L876" s="34" t="s">
        <v>230</v>
      </c>
      <c r="M876" s="34" t="s">
        <v>1640</v>
      </c>
      <c r="N876" s="34" t="str">
        <f aca="false">"Sector "&amp;VALUE(MID(D876,13,2))</f>
        <v>Sector 8</v>
      </c>
      <c r="O876" s="34" t="str">
        <f aca="false">IF(Dashboard!$C$5="Ubicación técnica",N876,"Sector "&amp;VALUE(RIGHT(G876,2)))</f>
        <v>Sector 8</v>
      </c>
      <c r="P876" s="34" t="str">
        <f aca="false">IF(MID(D876,15,3)="SEL","Subestación eléctrica","Área de proceso")</f>
        <v>Área de proceso</v>
      </c>
      <c r="Q876" s="34" t="str">
        <f aca="false">MID(D876,13,5)&amp;"|"&amp;MID(D876,19,5)</f>
        <v>08COG|SGELE</v>
      </c>
      <c r="R876" s="34" t="str">
        <f aca="false">IF(P876="Subestación eléctrica",IFERROR(INDEX(cat_SubN,MATCH(Q876,cat_SubK,0)),"SIN CATALOGAR"),"ÁREA DE PROCESO")</f>
        <v>ÁREA DE PROCESO</v>
      </c>
      <c r="S876" s="34" t="str">
        <f aca="false">IF(H876="","SIN DATO",IFERROR(INDEX(cat_MarcaN,MATCH(H876,cat_MarcaO,0)),H876))</f>
        <v>GENERAL ELECTRIC</v>
      </c>
      <c r="T876" s="34" t="str">
        <f aca="false">IF(I876="","SIN DATO",IFERROR(INDEX(cat_ModN,MATCH(I876,cat_ModO,0)),I876))</f>
        <v>MULTILIN G60</v>
      </c>
      <c r="U876" s="34" t="str">
        <f aca="false">IF(I876="","",IFERROR(INDEX(cat_ModG,MATCH(I876,cat_ModO,0)),"No"))</f>
        <v>No</v>
      </c>
      <c r="V876" s="34" t="str">
        <f aca="false">IF(J876="","SIN DATO",IFERROR(INDEX(cat_FunN,MATCH(J876,cat_FunO,0)),J876))</f>
        <v>Protección y medición</v>
      </c>
      <c r="W876" s="34" t="str">
        <f aca="false">IF(OR(S876="SIN DATO",T876="SIN DATO"),"No","Sí")</f>
        <v>Sí</v>
      </c>
    </row>
    <row r="877" customFormat="false" ht="15" hidden="false" customHeight="false" outlineLevel="0" collapsed="false">
      <c r="A877" s="34" t="s">
        <v>3310</v>
      </c>
      <c r="B877" s="34" t="s">
        <v>3311</v>
      </c>
      <c r="C877" s="34" t="s">
        <v>3312</v>
      </c>
      <c r="D877" s="34" t="s">
        <v>1909</v>
      </c>
      <c r="E877" s="34" t="s">
        <v>184</v>
      </c>
      <c r="F877" s="34" t="s">
        <v>1602</v>
      </c>
      <c r="G877" s="34" t="s">
        <v>227</v>
      </c>
      <c r="H877" s="34" t="s">
        <v>1358</v>
      </c>
      <c r="I877" s="34" t="s">
        <v>65</v>
      </c>
      <c r="J877" s="34" t="s">
        <v>228</v>
      </c>
      <c r="K877" s="34" t="s">
        <v>229</v>
      </c>
      <c r="L877" s="34" t="s">
        <v>230</v>
      </c>
      <c r="M877" s="34" t="s">
        <v>1640</v>
      </c>
      <c r="N877" s="34" t="str">
        <f aca="false">"Sector "&amp;VALUE(MID(D877,13,2))</f>
        <v>Sector 8</v>
      </c>
      <c r="O877" s="34" t="str">
        <f aca="false">IF(Dashboard!$C$5="Ubicación técnica",N877,"Sector "&amp;VALUE(RIGHT(G877,2)))</f>
        <v>Sector 8</v>
      </c>
      <c r="P877" s="34" t="str">
        <f aca="false">IF(MID(D877,15,3)="SEL","Subestación eléctrica","Área de proceso")</f>
        <v>Área de proceso</v>
      </c>
      <c r="Q877" s="34" t="str">
        <f aca="false">MID(D877,13,5)&amp;"|"&amp;MID(D877,19,5)</f>
        <v>08COG|SGELE</v>
      </c>
      <c r="R877" s="34" t="str">
        <f aca="false">IF(P877="Subestación eléctrica",IFERROR(INDEX(cat_SubN,MATCH(Q877,cat_SubK,0)),"SIN CATALOGAR"),"ÁREA DE PROCESO")</f>
        <v>ÁREA DE PROCESO</v>
      </c>
      <c r="S877" s="34" t="str">
        <f aca="false">IF(H877="","SIN DATO",IFERROR(INDEX(cat_MarcaN,MATCH(H877,cat_MarcaO,0)),H877))</f>
        <v>GENERAL ELECTRIC</v>
      </c>
      <c r="T877" s="34" t="str">
        <f aca="false">IF(I877="","SIN DATO",IFERROR(INDEX(cat_ModN,MATCH(I877,cat_ModO,0)),I877))</f>
        <v>MULTILIN T60</v>
      </c>
      <c r="U877" s="34" t="str">
        <f aca="false">IF(I877="","",IFERROR(INDEX(cat_ModG,MATCH(I877,cat_ModO,0)),"No"))</f>
        <v>No</v>
      </c>
      <c r="V877" s="34" t="str">
        <f aca="false">IF(J877="","SIN DATO",IFERROR(INDEX(cat_FunN,MATCH(J877,cat_FunO,0)),J877))</f>
        <v>Protección y medición</v>
      </c>
      <c r="W877" s="34" t="str">
        <f aca="false">IF(OR(S877="SIN DATO",T877="SIN DATO"),"No","Sí")</f>
        <v>Sí</v>
      </c>
    </row>
    <row r="878" customFormat="false" ht="15" hidden="false" customHeight="false" outlineLevel="0" collapsed="false">
      <c r="A878" s="34" t="s">
        <v>3313</v>
      </c>
      <c r="B878" s="34" t="s">
        <v>3314</v>
      </c>
      <c r="C878" s="34" t="s">
        <v>3315</v>
      </c>
      <c r="D878" s="34" t="s">
        <v>1909</v>
      </c>
      <c r="E878" s="34" t="s">
        <v>184</v>
      </c>
      <c r="F878" s="34" t="s">
        <v>1602</v>
      </c>
      <c r="G878" s="34" t="s">
        <v>227</v>
      </c>
      <c r="H878" s="34" t="s">
        <v>1358</v>
      </c>
      <c r="I878" s="34" t="s">
        <v>65</v>
      </c>
      <c r="J878" s="34" t="s">
        <v>228</v>
      </c>
      <c r="K878" s="34" t="s">
        <v>229</v>
      </c>
      <c r="L878" s="34" t="s">
        <v>230</v>
      </c>
      <c r="M878" s="34" t="s">
        <v>1640</v>
      </c>
      <c r="N878" s="34" t="str">
        <f aca="false">"Sector "&amp;VALUE(MID(D878,13,2))</f>
        <v>Sector 8</v>
      </c>
      <c r="O878" s="34" t="str">
        <f aca="false">IF(Dashboard!$C$5="Ubicación técnica",N878,"Sector "&amp;VALUE(RIGHT(G878,2)))</f>
        <v>Sector 8</v>
      </c>
      <c r="P878" s="34" t="str">
        <f aca="false">IF(MID(D878,15,3)="SEL","Subestación eléctrica","Área de proceso")</f>
        <v>Área de proceso</v>
      </c>
      <c r="Q878" s="34" t="str">
        <f aca="false">MID(D878,13,5)&amp;"|"&amp;MID(D878,19,5)</f>
        <v>08COG|SGELE</v>
      </c>
      <c r="R878" s="34" t="str">
        <f aca="false">IF(P878="Subestación eléctrica",IFERROR(INDEX(cat_SubN,MATCH(Q878,cat_SubK,0)),"SIN CATALOGAR"),"ÁREA DE PROCESO")</f>
        <v>ÁREA DE PROCESO</v>
      </c>
      <c r="S878" s="34" t="str">
        <f aca="false">IF(H878="","SIN DATO",IFERROR(INDEX(cat_MarcaN,MATCH(H878,cat_MarcaO,0)),H878))</f>
        <v>GENERAL ELECTRIC</v>
      </c>
      <c r="T878" s="34" t="str">
        <f aca="false">IF(I878="","SIN DATO",IFERROR(INDEX(cat_ModN,MATCH(I878,cat_ModO,0)),I878))</f>
        <v>MULTILIN T60</v>
      </c>
      <c r="U878" s="34" t="str">
        <f aca="false">IF(I878="","",IFERROR(INDEX(cat_ModG,MATCH(I878,cat_ModO,0)),"No"))</f>
        <v>No</v>
      </c>
      <c r="V878" s="34" t="str">
        <f aca="false">IF(J878="","SIN DATO",IFERROR(INDEX(cat_FunN,MATCH(J878,cat_FunO,0)),J878))</f>
        <v>Protección y medición</v>
      </c>
      <c r="W878" s="34" t="str">
        <f aca="false">IF(OR(S878="SIN DATO",T878="SIN DATO"),"No","Sí")</f>
        <v>Sí</v>
      </c>
    </row>
    <row r="879" customFormat="false" ht="15" hidden="false" customHeight="false" outlineLevel="0" collapsed="false">
      <c r="A879" s="34" t="s">
        <v>3316</v>
      </c>
      <c r="B879" s="34" t="s">
        <v>3317</v>
      </c>
      <c r="C879" s="34" t="s">
        <v>3318</v>
      </c>
      <c r="D879" s="34" t="s">
        <v>3319</v>
      </c>
      <c r="E879" s="34" t="s">
        <v>184</v>
      </c>
      <c r="F879" s="34" t="s">
        <v>1602</v>
      </c>
      <c r="G879" s="34" t="s">
        <v>227</v>
      </c>
      <c r="H879" s="34" t="s">
        <v>1358</v>
      </c>
      <c r="I879" s="34" t="s">
        <v>69</v>
      </c>
      <c r="J879" s="34" t="s">
        <v>228</v>
      </c>
      <c r="K879" s="34" t="s">
        <v>229</v>
      </c>
      <c r="L879" s="34" t="s">
        <v>230</v>
      </c>
      <c r="M879" s="34" t="s">
        <v>1640</v>
      </c>
      <c r="N879" s="34" t="str">
        <f aca="false">"Sector "&amp;VALUE(MID(D879,13,2))</f>
        <v>Sector 8</v>
      </c>
      <c r="O879" s="34" t="str">
        <f aca="false">IF(Dashboard!$C$5="Ubicación técnica",N879,"Sector "&amp;VALUE(RIGHT(G879,2)))</f>
        <v>Sector 8</v>
      </c>
      <c r="P879" s="34" t="str">
        <f aca="false">IF(MID(D879,15,3)="SEL","Subestación eléctrica","Área de proceso")</f>
        <v>Área de proceso</v>
      </c>
      <c r="Q879" s="34" t="str">
        <f aca="false">MID(D879,13,5)&amp;"|"&amp;MID(D879,19,5)</f>
        <v>08COG|SGELE</v>
      </c>
      <c r="R879" s="34" t="str">
        <f aca="false">IF(P879="Subestación eléctrica",IFERROR(INDEX(cat_SubN,MATCH(Q879,cat_SubK,0)),"SIN CATALOGAR"),"ÁREA DE PROCESO")</f>
        <v>ÁREA DE PROCESO</v>
      </c>
      <c r="S879" s="34" t="str">
        <f aca="false">IF(H879="","SIN DATO",IFERROR(INDEX(cat_MarcaN,MATCH(H879,cat_MarcaO,0)),H879))</f>
        <v>GENERAL ELECTRIC</v>
      </c>
      <c r="T879" s="34" t="str">
        <f aca="false">IF(I879="","SIN DATO",IFERROR(INDEX(cat_ModN,MATCH(I879,cat_ModO,0)),I879))</f>
        <v>MULTILIN G60</v>
      </c>
      <c r="U879" s="34" t="str">
        <f aca="false">IF(I879="","",IFERROR(INDEX(cat_ModG,MATCH(I879,cat_ModO,0)),"No"))</f>
        <v>No</v>
      </c>
      <c r="V879" s="34" t="str">
        <f aca="false">IF(J879="","SIN DATO",IFERROR(INDEX(cat_FunN,MATCH(J879,cat_FunO,0)),J879))</f>
        <v>Protección y medición</v>
      </c>
      <c r="W879" s="34" t="str">
        <f aca="false">IF(OR(S879="SIN DATO",T879="SIN DATO"),"No","Sí")</f>
        <v>Sí</v>
      </c>
    </row>
    <row r="880" customFormat="false" ht="15" hidden="false" customHeight="false" outlineLevel="0" collapsed="false">
      <c r="A880" s="34" t="s">
        <v>3320</v>
      </c>
      <c r="B880" s="34" t="s">
        <v>3321</v>
      </c>
      <c r="C880" s="34" t="s">
        <v>3322</v>
      </c>
      <c r="D880" s="34" t="s">
        <v>3319</v>
      </c>
      <c r="E880" s="34" t="s">
        <v>184</v>
      </c>
      <c r="F880" s="34" t="s">
        <v>1602</v>
      </c>
      <c r="G880" s="34" t="s">
        <v>227</v>
      </c>
      <c r="H880" s="34" t="s">
        <v>1358</v>
      </c>
      <c r="I880" s="34" t="s">
        <v>69</v>
      </c>
      <c r="J880" s="34" t="s">
        <v>228</v>
      </c>
      <c r="K880" s="34" t="s">
        <v>229</v>
      </c>
      <c r="L880" s="34" t="s">
        <v>230</v>
      </c>
      <c r="M880" s="34" t="s">
        <v>1640</v>
      </c>
      <c r="N880" s="34" t="str">
        <f aca="false">"Sector "&amp;VALUE(MID(D880,13,2))</f>
        <v>Sector 8</v>
      </c>
      <c r="O880" s="34" t="str">
        <f aca="false">IF(Dashboard!$C$5="Ubicación técnica",N880,"Sector "&amp;VALUE(RIGHT(G880,2)))</f>
        <v>Sector 8</v>
      </c>
      <c r="P880" s="34" t="str">
        <f aca="false">IF(MID(D880,15,3)="SEL","Subestación eléctrica","Área de proceso")</f>
        <v>Área de proceso</v>
      </c>
      <c r="Q880" s="34" t="str">
        <f aca="false">MID(D880,13,5)&amp;"|"&amp;MID(D880,19,5)</f>
        <v>08COG|SGELE</v>
      </c>
      <c r="R880" s="34" t="str">
        <f aca="false">IF(P880="Subestación eléctrica",IFERROR(INDEX(cat_SubN,MATCH(Q880,cat_SubK,0)),"SIN CATALOGAR"),"ÁREA DE PROCESO")</f>
        <v>ÁREA DE PROCESO</v>
      </c>
      <c r="S880" s="34" t="str">
        <f aca="false">IF(H880="","SIN DATO",IFERROR(INDEX(cat_MarcaN,MATCH(H880,cat_MarcaO,0)),H880))</f>
        <v>GENERAL ELECTRIC</v>
      </c>
      <c r="T880" s="34" t="str">
        <f aca="false">IF(I880="","SIN DATO",IFERROR(INDEX(cat_ModN,MATCH(I880,cat_ModO,0)),I880))</f>
        <v>MULTILIN G60</v>
      </c>
      <c r="U880" s="34" t="str">
        <f aca="false">IF(I880="","",IFERROR(INDEX(cat_ModG,MATCH(I880,cat_ModO,0)),"No"))</f>
        <v>No</v>
      </c>
      <c r="V880" s="34" t="str">
        <f aca="false">IF(J880="","SIN DATO",IFERROR(INDEX(cat_FunN,MATCH(J880,cat_FunO,0)),J880))</f>
        <v>Protección y medición</v>
      </c>
      <c r="W880" s="34" t="str">
        <f aca="false">IF(OR(S880="SIN DATO",T880="SIN DATO"),"No","Sí")</f>
        <v>Sí</v>
      </c>
    </row>
    <row r="881" customFormat="false" ht="15" hidden="false" customHeight="false" outlineLevel="0" collapsed="false">
      <c r="A881" s="34" t="s">
        <v>3323</v>
      </c>
      <c r="B881" s="34" t="s">
        <v>3324</v>
      </c>
      <c r="C881" s="34" t="s">
        <v>3325</v>
      </c>
      <c r="D881" s="34" t="s">
        <v>3326</v>
      </c>
      <c r="E881" s="34" t="s">
        <v>174</v>
      </c>
      <c r="F881" s="34" t="s">
        <v>1602</v>
      </c>
      <c r="G881" s="34" t="s">
        <v>227</v>
      </c>
      <c r="H881" s="34" t="s">
        <v>73</v>
      </c>
      <c r="I881" s="34" t="s">
        <v>76</v>
      </c>
      <c r="J881" s="34" t="s">
        <v>228</v>
      </c>
      <c r="K881" s="34" t="s">
        <v>229</v>
      </c>
      <c r="L881" s="34" t="s">
        <v>230</v>
      </c>
      <c r="M881" s="34" t="s">
        <v>344</v>
      </c>
      <c r="N881" s="34" t="str">
        <f aca="false">"Sector "&amp;VALUE(MID(D881,13,2))</f>
        <v>Sector 8</v>
      </c>
      <c r="O881" s="34" t="str">
        <f aca="false">IF(Dashboard!$C$5="Ubicación técnica",N881,"Sector "&amp;VALUE(RIGHT(G881,2)))</f>
        <v>Sector 8</v>
      </c>
      <c r="P881" s="34" t="str">
        <f aca="false">IF(MID(D881,15,3)="SEL","Subestación eléctrica","Área de proceso")</f>
        <v>Subestación eléctrica</v>
      </c>
      <c r="Q881" s="34" t="str">
        <f aca="false">MID(D881,13,5)&amp;"|"&amp;MID(D881,19,5)</f>
        <v>08SEL|S_018</v>
      </c>
      <c r="R881" s="34" t="str">
        <f aca="false">IF(P881="Subestación eléctrica",IFERROR(INDEX(cat_SubN,MATCH(Q881,cat_SubK,0)),"SIN CATALOGAR"),"ÁREA DE PROCESO")</f>
        <v>SE-18</v>
      </c>
      <c r="S881" s="34" t="str">
        <f aca="false">IF(H881="","SIN DATO",IFERROR(INDEX(cat_MarcaN,MATCH(H881,cat_MarcaO,0)),H881))</f>
        <v>SIEMENS</v>
      </c>
      <c r="T881" s="34" t="str">
        <f aca="false">IF(I881="","SIN DATO",IFERROR(INDEX(cat_ModN,MATCH(I881,cat_ModO,0)),I881))</f>
        <v>7SR5111</v>
      </c>
      <c r="U881" s="34" t="str">
        <f aca="false">IF(I881="","",IFERROR(INDEX(cat_ModG,MATCH(I881,cat_ModO,0)),"No"))</f>
        <v>No</v>
      </c>
      <c r="V881" s="34" t="str">
        <f aca="false">IF(J881="","SIN DATO",IFERROR(INDEX(cat_FunN,MATCH(J881,cat_FunO,0)),J881))</f>
        <v>Protección y medición</v>
      </c>
      <c r="W881" s="34" t="str">
        <f aca="false">IF(OR(S881="SIN DATO",T881="SIN DATO"),"No","Sí")</f>
        <v>Sí</v>
      </c>
    </row>
    <row r="882" customFormat="false" ht="15" hidden="false" customHeight="false" outlineLevel="0" collapsed="false">
      <c r="A882" s="34" t="s">
        <v>3327</v>
      </c>
      <c r="B882" s="34" t="s">
        <v>3328</v>
      </c>
      <c r="C882" s="34" t="s">
        <v>3329</v>
      </c>
      <c r="D882" s="34" t="s">
        <v>3326</v>
      </c>
      <c r="E882" s="34" t="s">
        <v>174</v>
      </c>
      <c r="F882" s="34" t="s">
        <v>1602</v>
      </c>
      <c r="G882" s="34" t="s">
        <v>227</v>
      </c>
      <c r="H882" s="34" t="s">
        <v>73</v>
      </c>
      <c r="I882" s="34" t="s">
        <v>80</v>
      </c>
      <c r="J882" s="34" t="s">
        <v>228</v>
      </c>
      <c r="K882" s="34" t="s">
        <v>229</v>
      </c>
      <c r="L882" s="34" t="s">
        <v>230</v>
      </c>
      <c r="M882" s="34" t="s">
        <v>344</v>
      </c>
      <c r="N882" s="34" t="str">
        <f aca="false">"Sector "&amp;VALUE(MID(D882,13,2))</f>
        <v>Sector 8</v>
      </c>
      <c r="O882" s="34" t="str">
        <f aca="false">IF(Dashboard!$C$5="Ubicación técnica",N882,"Sector "&amp;VALUE(RIGHT(G882,2)))</f>
        <v>Sector 8</v>
      </c>
      <c r="P882" s="34" t="str">
        <f aca="false">IF(MID(D882,15,3)="SEL","Subestación eléctrica","Área de proceso")</f>
        <v>Subestación eléctrica</v>
      </c>
      <c r="Q882" s="34" t="str">
        <f aca="false">MID(D882,13,5)&amp;"|"&amp;MID(D882,19,5)</f>
        <v>08SEL|S_018</v>
      </c>
      <c r="R882" s="34" t="str">
        <f aca="false">IF(P882="Subestación eléctrica",IFERROR(INDEX(cat_SubN,MATCH(Q882,cat_SubK,0)),"SIN CATALOGAR"),"ÁREA DE PROCESO")</f>
        <v>SE-18</v>
      </c>
      <c r="S882" s="34" t="str">
        <f aca="false">IF(H882="","SIN DATO",IFERROR(INDEX(cat_MarcaN,MATCH(H882,cat_MarcaO,0)),H882))</f>
        <v>SIEMENS</v>
      </c>
      <c r="T882" s="34" t="str">
        <f aca="false">IF(I882="","SIN DATO",IFERROR(INDEX(cat_ModN,MATCH(I882,cat_ModO,0)),I882))</f>
        <v>7SR5420</v>
      </c>
      <c r="U882" s="34" t="str">
        <f aca="false">IF(I882="","",IFERROR(INDEX(cat_ModG,MATCH(I882,cat_ModO,0)),"No"))</f>
        <v>No</v>
      </c>
      <c r="V882" s="34" t="str">
        <f aca="false">IF(J882="","SIN DATO",IFERROR(INDEX(cat_FunN,MATCH(J882,cat_FunO,0)),J882))</f>
        <v>Protección y medición</v>
      </c>
      <c r="W882" s="34" t="str">
        <f aca="false">IF(OR(S882="SIN DATO",T882="SIN DATO"),"No","Sí")</f>
        <v>Sí</v>
      </c>
    </row>
    <row r="883" customFormat="false" ht="15" hidden="false" customHeight="false" outlineLevel="0" collapsed="false">
      <c r="A883" s="34" t="s">
        <v>3330</v>
      </c>
      <c r="B883" s="34" t="s">
        <v>3331</v>
      </c>
      <c r="C883" s="34" t="s">
        <v>3332</v>
      </c>
      <c r="D883" s="34" t="s">
        <v>3333</v>
      </c>
      <c r="E883" s="34" t="s">
        <v>174</v>
      </c>
      <c r="F883" s="34" t="s">
        <v>1602</v>
      </c>
      <c r="G883" s="34" t="s">
        <v>227</v>
      </c>
      <c r="H883" s="34" t="s">
        <v>73</v>
      </c>
      <c r="I883" s="34" t="s">
        <v>76</v>
      </c>
      <c r="J883" s="34" t="s">
        <v>228</v>
      </c>
      <c r="K883" s="34" t="s">
        <v>229</v>
      </c>
      <c r="L883" s="34" t="s">
        <v>230</v>
      </c>
      <c r="M883" s="34" t="s">
        <v>344</v>
      </c>
      <c r="N883" s="34" t="str">
        <f aca="false">"Sector "&amp;VALUE(MID(D883,13,2))</f>
        <v>Sector 8</v>
      </c>
      <c r="O883" s="34" t="str">
        <f aca="false">IF(Dashboard!$C$5="Ubicación técnica",N883,"Sector "&amp;VALUE(RIGHT(G883,2)))</f>
        <v>Sector 8</v>
      </c>
      <c r="P883" s="34" t="str">
        <f aca="false">IF(MID(D883,15,3)="SEL","Subestación eléctrica","Área de proceso")</f>
        <v>Subestación eléctrica</v>
      </c>
      <c r="Q883" s="34" t="str">
        <f aca="false">MID(D883,13,5)&amp;"|"&amp;MID(D883,19,5)</f>
        <v>08SEL|S_018</v>
      </c>
      <c r="R883" s="34" t="str">
        <f aca="false">IF(P883="Subestación eléctrica",IFERROR(INDEX(cat_SubN,MATCH(Q883,cat_SubK,0)),"SIN CATALOGAR"),"ÁREA DE PROCESO")</f>
        <v>SE-18</v>
      </c>
      <c r="S883" s="34" t="str">
        <f aca="false">IF(H883="","SIN DATO",IFERROR(INDEX(cat_MarcaN,MATCH(H883,cat_MarcaO,0)),H883))</f>
        <v>SIEMENS</v>
      </c>
      <c r="T883" s="34" t="str">
        <f aca="false">IF(I883="","SIN DATO",IFERROR(INDEX(cat_ModN,MATCH(I883,cat_ModO,0)),I883))</f>
        <v>7SR5111</v>
      </c>
      <c r="U883" s="34" t="str">
        <f aca="false">IF(I883="","",IFERROR(INDEX(cat_ModG,MATCH(I883,cat_ModO,0)),"No"))</f>
        <v>No</v>
      </c>
      <c r="V883" s="34" t="str">
        <f aca="false">IF(J883="","SIN DATO",IFERROR(INDEX(cat_FunN,MATCH(J883,cat_FunO,0)),J883))</f>
        <v>Protección y medición</v>
      </c>
      <c r="W883" s="34" t="str">
        <f aca="false">IF(OR(S883="SIN DATO",T883="SIN DATO"),"No","Sí")</f>
        <v>Sí</v>
      </c>
    </row>
    <row r="884" customFormat="false" ht="15" hidden="false" customHeight="false" outlineLevel="0" collapsed="false">
      <c r="A884" s="34" t="s">
        <v>3334</v>
      </c>
      <c r="B884" s="34" t="s">
        <v>3335</v>
      </c>
      <c r="C884" s="34" t="s">
        <v>3336</v>
      </c>
      <c r="D884" s="34" t="s">
        <v>3333</v>
      </c>
      <c r="E884" s="34" t="s">
        <v>174</v>
      </c>
      <c r="F884" s="34" t="s">
        <v>1602</v>
      </c>
      <c r="G884" s="34" t="s">
        <v>227</v>
      </c>
      <c r="H884" s="34" t="s">
        <v>73</v>
      </c>
      <c r="I884" s="34" t="s">
        <v>80</v>
      </c>
      <c r="J884" s="34" t="s">
        <v>228</v>
      </c>
      <c r="K884" s="34" t="s">
        <v>229</v>
      </c>
      <c r="L884" s="34" t="s">
        <v>230</v>
      </c>
      <c r="M884" s="34" t="s">
        <v>344</v>
      </c>
      <c r="N884" s="34" t="str">
        <f aca="false">"Sector "&amp;VALUE(MID(D884,13,2))</f>
        <v>Sector 8</v>
      </c>
      <c r="O884" s="34" t="str">
        <f aca="false">IF(Dashboard!$C$5="Ubicación técnica",N884,"Sector "&amp;VALUE(RIGHT(G884,2)))</f>
        <v>Sector 8</v>
      </c>
      <c r="P884" s="34" t="str">
        <f aca="false">IF(MID(D884,15,3)="SEL","Subestación eléctrica","Área de proceso")</f>
        <v>Subestación eléctrica</v>
      </c>
      <c r="Q884" s="34" t="str">
        <f aca="false">MID(D884,13,5)&amp;"|"&amp;MID(D884,19,5)</f>
        <v>08SEL|S_018</v>
      </c>
      <c r="R884" s="34" t="str">
        <f aca="false">IF(P884="Subestación eléctrica",IFERROR(INDEX(cat_SubN,MATCH(Q884,cat_SubK,0)),"SIN CATALOGAR"),"ÁREA DE PROCESO")</f>
        <v>SE-18</v>
      </c>
      <c r="S884" s="34" t="str">
        <f aca="false">IF(H884="","SIN DATO",IFERROR(INDEX(cat_MarcaN,MATCH(H884,cat_MarcaO,0)),H884))</f>
        <v>SIEMENS</v>
      </c>
      <c r="T884" s="34" t="str">
        <f aca="false">IF(I884="","SIN DATO",IFERROR(INDEX(cat_ModN,MATCH(I884,cat_ModO,0)),I884))</f>
        <v>7SR5420</v>
      </c>
      <c r="U884" s="34" t="str">
        <f aca="false">IF(I884="","",IFERROR(INDEX(cat_ModG,MATCH(I884,cat_ModO,0)),"No"))</f>
        <v>No</v>
      </c>
      <c r="V884" s="34" t="str">
        <f aca="false">IF(J884="","SIN DATO",IFERROR(INDEX(cat_FunN,MATCH(J884,cat_FunO,0)),J884))</f>
        <v>Protección y medición</v>
      </c>
      <c r="W884" s="34" t="str">
        <f aca="false">IF(OR(S884="SIN DATO",T884="SIN DATO"),"No","Sí")</f>
        <v>Sí</v>
      </c>
    </row>
    <row r="885" customFormat="false" ht="15" hidden="false" customHeight="false" outlineLevel="0" collapsed="false">
      <c r="A885" s="34" t="s">
        <v>3337</v>
      </c>
      <c r="B885" s="34" t="s">
        <v>3338</v>
      </c>
      <c r="C885" s="34" t="s">
        <v>3339</v>
      </c>
      <c r="D885" s="34" t="s">
        <v>3340</v>
      </c>
      <c r="E885" s="34" t="s">
        <v>174</v>
      </c>
      <c r="F885" s="34" t="s">
        <v>1602</v>
      </c>
      <c r="G885" s="34" t="s">
        <v>227</v>
      </c>
      <c r="H885" s="34" t="s">
        <v>73</v>
      </c>
      <c r="I885" s="34" t="s">
        <v>76</v>
      </c>
      <c r="J885" s="34" t="s">
        <v>228</v>
      </c>
      <c r="K885" s="34" t="s">
        <v>229</v>
      </c>
      <c r="L885" s="34" t="s">
        <v>230</v>
      </c>
      <c r="M885" s="34" t="s">
        <v>344</v>
      </c>
      <c r="N885" s="34" t="str">
        <f aca="false">"Sector "&amp;VALUE(MID(D885,13,2))</f>
        <v>Sector 8</v>
      </c>
      <c r="O885" s="34" t="str">
        <f aca="false">IF(Dashboard!$C$5="Ubicación técnica",N885,"Sector "&amp;VALUE(RIGHT(G885,2)))</f>
        <v>Sector 8</v>
      </c>
      <c r="P885" s="34" t="str">
        <f aca="false">IF(MID(D885,15,3)="SEL","Subestación eléctrica","Área de proceso")</f>
        <v>Subestación eléctrica</v>
      </c>
      <c r="Q885" s="34" t="str">
        <f aca="false">MID(D885,13,5)&amp;"|"&amp;MID(D885,19,5)</f>
        <v>08SEL|S_018</v>
      </c>
      <c r="R885" s="34" t="str">
        <f aca="false">IF(P885="Subestación eléctrica",IFERROR(INDEX(cat_SubN,MATCH(Q885,cat_SubK,0)),"SIN CATALOGAR"),"ÁREA DE PROCESO")</f>
        <v>SE-18</v>
      </c>
      <c r="S885" s="34" t="str">
        <f aca="false">IF(H885="","SIN DATO",IFERROR(INDEX(cat_MarcaN,MATCH(H885,cat_MarcaO,0)),H885))</f>
        <v>SIEMENS</v>
      </c>
      <c r="T885" s="34" t="str">
        <f aca="false">IF(I885="","SIN DATO",IFERROR(INDEX(cat_ModN,MATCH(I885,cat_ModO,0)),I885))</f>
        <v>7SR5111</v>
      </c>
      <c r="U885" s="34" t="str">
        <f aca="false">IF(I885="","",IFERROR(INDEX(cat_ModG,MATCH(I885,cat_ModO,0)),"No"))</f>
        <v>No</v>
      </c>
      <c r="V885" s="34" t="str">
        <f aca="false">IF(J885="","SIN DATO",IFERROR(INDEX(cat_FunN,MATCH(J885,cat_FunO,0)),J885))</f>
        <v>Protección y medición</v>
      </c>
      <c r="W885" s="34" t="str">
        <f aca="false">IF(OR(S885="SIN DATO",T885="SIN DATO"),"No","Sí")</f>
        <v>Sí</v>
      </c>
    </row>
    <row r="886" customFormat="false" ht="15" hidden="false" customHeight="false" outlineLevel="0" collapsed="false">
      <c r="A886" s="34" t="s">
        <v>3341</v>
      </c>
      <c r="B886" s="34" t="s">
        <v>3342</v>
      </c>
      <c r="C886" s="34" t="s">
        <v>3343</v>
      </c>
      <c r="D886" s="34" t="s">
        <v>3340</v>
      </c>
      <c r="E886" s="34" t="s">
        <v>174</v>
      </c>
      <c r="F886" s="34" t="s">
        <v>1602</v>
      </c>
      <c r="G886" s="34" t="s">
        <v>227</v>
      </c>
      <c r="H886" s="34" t="s">
        <v>73</v>
      </c>
      <c r="I886" s="34" t="s">
        <v>76</v>
      </c>
      <c r="J886" s="34" t="s">
        <v>228</v>
      </c>
      <c r="K886" s="34" t="s">
        <v>229</v>
      </c>
      <c r="L886" s="34" t="s">
        <v>230</v>
      </c>
      <c r="M886" s="34" t="s">
        <v>344</v>
      </c>
      <c r="N886" s="34" t="str">
        <f aca="false">"Sector "&amp;VALUE(MID(D886,13,2))</f>
        <v>Sector 8</v>
      </c>
      <c r="O886" s="34" t="str">
        <f aca="false">IF(Dashboard!$C$5="Ubicación técnica",N886,"Sector "&amp;VALUE(RIGHT(G886,2)))</f>
        <v>Sector 8</v>
      </c>
      <c r="P886" s="34" t="str">
        <f aca="false">IF(MID(D886,15,3)="SEL","Subestación eléctrica","Área de proceso")</f>
        <v>Subestación eléctrica</v>
      </c>
      <c r="Q886" s="34" t="str">
        <f aca="false">MID(D886,13,5)&amp;"|"&amp;MID(D886,19,5)</f>
        <v>08SEL|S_018</v>
      </c>
      <c r="R886" s="34" t="str">
        <f aca="false">IF(P886="Subestación eléctrica",IFERROR(INDEX(cat_SubN,MATCH(Q886,cat_SubK,0)),"SIN CATALOGAR"),"ÁREA DE PROCESO")</f>
        <v>SE-18</v>
      </c>
      <c r="S886" s="34" t="str">
        <f aca="false">IF(H886="","SIN DATO",IFERROR(INDEX(cat_MarcaN,MATCH(H886,cat_MarcaO,0)),H886))</f>
        <v>SIEMENS</v>
      </c>
      <c r="T886" s="34" t="str">
        <f aca="false">IF(I886="","SIN DATO",IFERROR(INDEX(cat_ModN,MATCH(I886,cat_ModO,0)),I886))</f>
        <v>7SR5111</v>
      </c>
      <c r="U886" s="34" t="str">
        <f aca="false">IF(I886="","",IFERROR(INDEX(cat_ModG,MATCH(I886,cat_ModO,0)),"No"))</f>
        <v>No</v>
      </c>
      <c r="V886" s="34" t="str">
        <f aca="false">IF(J886="","SIN DATO",IFERROR(INDEX(cat_FunN,MATCH(J886,cat_FunO,0)),J886))</f>
        <v>Protección y medición</v>
      </c>
      <c r="W886" s="34" t="str">
        <f aca="false">IF(OR(S886="SIN DATO",T886="SIN DATO"),"No","Sí")</f>
        <v>Sí</v>
      </c>
    </row>
    <row r="887" customFormat="false" ht="15" hidden="false" customHeight="false" outlineLevel="0" collapsed="false">
      <c r="A887" s="34" t="s">
        <v>3344</v>
      </c>
      <c r="B887" s="34" t="s">
        <v>3345</v>
      </c>
      <c r="C887" s="34" t="s">
        <v>3346</v>
      </c>
      <c r="D887" s="34" t="s">
        <v>3347</v>
      </c>
      <c r="E887" s="34" t="s">
        <v>174</v>
      </c>
      <c r="F887" s="34" t="s">
        <v>1602</v>
      </c>
      <c r="G887" s="34" t="s">
        <v>227</v>
      </c>
      <c r="H887" s="34" t="s">
        <v>73</v>
      </c>
      <c r="I887" s="34" t="s">
        <v>76</v>
      </c>
      <c r="J887" s="34" t="s">
        <v>228</v>
      </c>
      <c r="K887" s="34" t="s">
        <v>229</v>
      </c>
      <c r="L887" s="34" t="s">
        <v>230</v>
      </c>
      <c r="M887" s="34" t="s">
        <v>344</v>
      </c>
      <c r="N887" s="34" t="str">
        <f aca="false">"Sector "&amp;VALUE(MID(D887,13,2))</f>
        <v>Sector 8</v>
      </c>
      <c r="O887" s="34" t="str">
        <f aca="false">IF(Dashboard!$C$5="Ubicación técnica",N887,"Sector "&amp;VALUE(RIGHT(G887,2)))</f>
        <v>Sector 8</v>
      </c>
      <c r="P887" s="34" t="str">
        <f aca="false">IF(MID(D887,15,3)="SEL","Subestación eléctrica","Área de proceso")</f>
        <v>Subestación eléctrica</v>
      </c>
      <c r="Q887" s="34" t="str">
        <f aca="false">MID(D887,13,5)&amp;"|"&amp;MID(D887,19,5)</f>
        <v>08SEL|S_018</v>
      </c>
      <c r="R887" s="34" t="str">
        <f aca="false">IF(P887="Subestación eléctrica",IFERROR(INDEX(cat_SubN,MATCH(Q887,cat_SubK,0)),"SIN CATALOGAR"),"ÁREA DE PROCESO")</f>
        <v>SE-18</v>
      </c>
      <c r="S887" s="34" t="str">
        <f aca="false">IF(H887="","SIN DATO",IFERROR(INDEX(cat_MarcaN,MATCH(H887,cat_MarcaO,0)),H887))</f>
        <v>SIEMENS</v>
      </c>
      <c r="T887" s="34" t="str">
        <f aca="false">IF(I887="","SIN DATO",IFERROR(INDEX(cat_ModN,MATCH(I887,cat_ModO,0)),I887))</f>
        <v>7SR5111</v>
      </c>
      <c r="U887" s="34" t="str">
        <f aca="false">IF(I887="","",IFERROR(INDEX(cat_ModG,MATCH(I887,cat_ModO,0)),"No"))</f>
        <v>No</v>
      </c>
      <c r="V887" s="34" t="str">
        <f aca="false">IF(J887="","SIN DATO",IFERROR(INDEX(cat_FunN,MATCH(J887,cat_FunO,0)),J887))</f>
        <v>Protección y medición</v>
      </c>
      <c r="W887" s="34" t="str">
        <f aca="false">IF(OR(S887="SIN DATO",T887="SIN DATO"),"No","Sí")</f>
        <v>Sí</v>
      </c>
    </row>
    <row r="888" customFormat="false" ht="15" hidden="false" customHeight="false" outlineLevel="0" collapsed="false">
      <c r="A888" s="34" t="s">
        <v>3348</v>
      </c>
      <c r="B888" s="34" t="s">
        <v>3349</v>
      </c>
      <c r="C888" s="34" t="s">
        <v>3350</v>
      </c>
      <c r="D888" s="34" t="s">
        <v>3351</v>
      </c>
      <c r="E888" s="34" t="s">
        <v>174</v>
      </c>
      <c r="F888" s="34" t="s">
        <v>1602</v>
      </c>
      <c r="G888" s="34" t="s">
        <v>227</v>
      </c>
      <c r="H888" s="34" t="s">
        <v>73</v>
      </c>
      <c r="I888" s="34" t="s">
        <v>76</v>
      </c>
      <c r="J888" s="34" t="s">
        <v>228</v>
      </c>
      <c r="K888" s="34" t="s">
        <v>229</v>
      </c>
      <c r="L888" s="34" t="s">
        <v>230</v>
      </c>
      <c r="M888" s="34" t="s">
        <v>344</v>
      </c>
      <c r="N888" s="34" t="str">
        <f aca="false">"Sector "&amp;VALUE(MID(D888,13,2))</f>
        <v>Sector 8</v>
      </c>
      <c r="O888" s="34" t="str">
        <f aca="false">IF(Dashboard!$C$5="Ubicación técnica",N888,"Sector "&amp;VALUE(RIGHT(G888,2)))</f>
        <v>Sector 8</v>
      </c>
      <c r="P888" s="34" t="str">
        <f aca="false">IF(MID(D888,15,3)="SEL","Subestación eléctrica","Área de proceso")</f>
        <v>Subestación eléctrica</v>
      </c>
      <c r="Q888" s="34" t="str">
        <f aca="false">MID(D888,13,5)&amp;"|"&amp;MID(D888,19,5)</f>
        <v>08SEL|S_018</v>
      </c>
      <c r="R888" s="34" t="str">
        <f aca="false">IF(P888="Subestación eléctrica",IFERROR(INDEX(cat_SubN,MATCH(Q888,cat_SubK,0)),"SIN CATALOGAR"),"ÁREA DE PROCESO")</f>
        <v>SE-18</v>
      </c>
      <c r="S888" s="34" t="str">
        <f aca="false">IF(H888="","SIN DATO",IFERROR(INDEX(cat_MarcaN,MATCH(H888,cat_MarcaO,0)),H888))</f>
        <v>SIEMENS</v>
      </c>
      <c r="T888" s="34" t="str">
        <f aca="false">IF(I888="","SIN DATO",IFERROR(INDEX(cat_ModN,MATCH(I888,cat_ModO,0)),I888))</f>
        <v>7SR5111</v>
      </c>
      <c r="U888" s="34" t="str">
        <f aca="false">IF(I888="","",IFERROR(INDEX(cat_ModG,MATCH(I888,cat_ModO,0)),"No"))</f>
        <v>No</v>
      </c>
      <c r="V888" s="34" t="str">
        <f aca="false">IF(J888="","SIN DATO",IFERROR(INDEX(cat_FunN,MATCH(J888,cat_FunO,0)),J888))</f>
        <v>Protección y medición</v>
      </c>
      <c r="W888" s="34" t="str">
        <f aca="false">IF(OR(S888="SIN DATO",T888="SIN DATO"),"No","Sí")</f>
        <v>Sí</v>
      </c>
    </row>
    <row r="889" customFormat="false" ht="15" hidden="false" customHeight="false" outlineLevel="0" collapsed="false">
      <c r="A889" s="34" t="s">
        <v>3352</v>
      </c>
      <c r="B889" s="34" t="s">
        <v>3353</v>
      </c>
      <c r="C889" s="34" t="s">
        <v>3354</v>
      </c>
      <c r="D889" s="34" t="s">
        <v>3340</v>
      </c>
      <c r="E889" s="34" t="s">
        <v>174</v>
      </c>
      <c r="F889" s="34" t="s">
        <v>1602</v>
      </c>
      <c r="G889" s="34" t="s">
        <v>227</v>
      </c>
      <c r="H889" s="34" t="s">
        <v>73</v>
      </c>
      <c r="I889" s="34" t="s">
        <v>76</v>
      </c>
      <c r="J889" s="34" t="s">
        <v>228</v>
      </c>
      <c r="K889" s="34" t="s">
        <v>229</v>
      </c>
      <c r="L889" s="34" t="s">
        <v>230</v>
      </c>
      <c r="M889" s="34" t="s">
        <v>344</v>
      </c>
      <c r="N889" s="34" t="str">
        <f aca="false">"Sector "&amp;VALUE(MID(D889,13,2))</f>
        <v>Sector 8</v>
      </c>
      <c r="O889" s="34" t="str">
        <f aca="false">IF(Dashboard!$C$5="Ubicación técnica",N889,"Sector "&amp;VALUE(RIGHT(G889,2)))</f>
        <v>Sector 8</v>
      </c>
      <c r="P889" s="34" t="str">
        <f aca="false">IF(MID(D889,15,3)="SEL","Subestación eléctrica","Área de proceso")</f>
        <v>Subestación eléctrica</v>
      </c>
      <c r="Q889" s="34" t="str">
        <f aca="false">MID(D889,13,5)&amp;"|"&amp;MID(D889,19,5)</f>
        <v>08SEL|S_018</v>
      </c>
      <c r="R889" s="34" t="str">
        <f aca="false">IF(P889="Subestación eléctrica",IFERROR(INDEX(cat_SubN,MATCH(Q889,cat_SubK,0)),"SIN CATALOGAR"),"ÁREA DE PROCESO")</f>
        <v>SE-18</v>
      </c>
      <c r="S889" s="34" t="str">
        <f aca="false">IF(H889="","SIN DATO",IFERROR(INDEX(cat_MarcaN,MATCH(H889,cat_MarcaO,0)),H889))</f>
        <v>SIEMENS</v>
      </c>
      <c r="T889" s="34" t="str">
        <f aca="false">IF(I889="","SIN DATO",IFERROR(INDEX(cat_ModN,MATCH(I889,cat_ModO,0)),I889))</f>
        <v>7SR5111</v>
      </c>
      <c r="U889" s="34" t="str">
        <f aca="false">IF(I889="","",IFERROR(INDEX(cat_ModG,MATCH(I889,cat_ModO,0)),"No"))</f>
        <v>No</v>
      </c>
      <c r="V889" s="34" t="str">
        <f aca="false">IF(J889="","SIN DATO",IFERROR(INDEX(cat_FunN,MATCH(J889,cat_FunO,0)),J889))</f>
        <v>Protección y medición</v>
      </c>
      <c r="W889" s="34" t="str">
        <f aca="false">IF(OR(S889="SIN DATO",T889="SIN DATO"),"No","Sí")</f>
        <v>Sí</v>
      </c>
    </row>
    <row r="890" customFormat="false" ht="15" hidden="false" customHeight="false" outlineLevel="0" collapsed="false">
      <c r="A890" s="34" t="s">
        <v>3355</v>
      </c>
      <c r="B890" s="34" t="s">
        <v>3356</v>
      </c>
      <c r="C890" s="34" t="s">
        <v>3357</v>
      </c>
      <c r="D890" s="34" t="s">
        <v>3340</v>
      </c>
      <c r="E890" s="34" t="s">
        <v>174</v>
      </c>
      <c r="F890" s="34" t="s">
        <v>1602</v>
      </c>
      <c r="G890" s="34" t="s">
        <v>227</v>
      </c>
      <c r="H890" s="34" t="s">
        <v>73</v>
      </c>
      <c r="I890" s="34" t="s">
        <v>76</v>
      </c>
      <c r="J890" s="34" t="s">
        <v>228</v>
      </c>
      <c r="K890" s="34" t="s">
        <v>229</v>
      </c>
      <c r="L890" s="34" t="s">
        <v>230</v>
      </c>
      <c r="M890" s="34" t="s">
        <v>344</v>
      </c>
      <c r="N890" s="34" t="str">
        <f aca="false">"Sector "&amp;VALUE(MID(D890,13,2))</f>
        <v>Sector 8</v>
      </c>
      <c r="O890" s="34" t="str">
        <f aca="false">IF(Dashboard!$C$5="Ubicación técnica",N890,"Sector "&amp;VALUE(RIGHT(G890,2)))</f>
        <v>Sector 8</v>
      </c>
      <c r="P890" s="34" t="str">
        <f aca="false">IF(MID(D890,15,3)="SEL","Subestación eléctrica","Área de proceso")</f>
        <v>Subestación eléctrica</v>
      </c>
      <c r="Q890" s="34" t="str">
        <f aca="false">MID(D890,13,5)&amp;"|"&amp;MID(D890,19,5)</f>
        <v>08SEL|S_018</v>
      </c>
      <c r="R890" s="34" t="str">
        <f aca="false">IF(P890="Subestación eléctrica",IFERROR(INDEX(cat_SubN,MATCH(Q890,cat_SubK,0)),"SIN CATALOGAR"),"ÁREA DE PROCESO")</f>
        <v>SE-18</v>
      </c>
      <c r="S890" s="34" t="str">
        <f aca="false">IF(H890="","SIN DATO",IFERROR(INDEX(cat_MarcaN,MATCH(H890,cat_MarcaO,0)),H890))</f>
        <v>SIEMENS</v>
      </c>
      <c r="T890" s="34" t="str">
        <f aca="false">IF(I890="","SIN DATO",IFERROR(INDEX(cat_ModN,MATCH(I890,cat_ModO,0)),I890))</f>
        <v>7SR5111</v>
      </c>
      <c r="U890" s="34" t="str">
        <f aca="false">IF(I890="","",IFERROR(INDEX(cat_ModG,MATCH(I890,cat_ModO,0)),"No"))</f>
        <v>No</v>
      </c>
      <c r="V890" s="34" t="str">
        <f aca="false">IF(J890="","SIN DATO",IFERROR(INDEX(cat_FunN,MATCH(J890,cat_FunO,0)),J890))</f>
        <v>Protección y medición</v>
      </c>
      <c r="W890" s="34" t="str">
        <f aca="false">IF(OR(S890="SIN DATO",T890="SIN DATO"),"No","Sí")</f>
        <v>Sí</v>
      </c>
    </row>
    <row r="891" customFormat="false" ht="15" hidden="false" customHeight="false" outlineLevel="0" collapsed="false">
      <c r="A891" s="34" t="s">
        <v>3358</v>
      </c>
      <c r="B891" s="34" t="s">
        <v>3359</v>
      </c>
      <c r="C891" s="34" t="s">
        <v>3360</v>
      </c>
      <c r="D891" s="34" t="s">
        <v>3361</v>
      </c>
      <c r="E891" s="34" t="s">
        <v>174</v>
      </c>
      <c r="F891" s="34" t="s">
        <v>1602</v>
      </c>
      <c r="G891" s="34" t="s">
        <v>227</v>
      </c>
      <c r="H891" s="34" t="s">
        <v>73</v>
      </c>
      <c r="I891" s="34" t="s">
        <v>76</v>
      </c>
      <c r="J891" s="34" t="s">
        <v>228</v>
      </c>
      <c r="K891" s="34" t="s">
        <v>229</v>
      </c>
      <c r="L891" s="34" t="s">
        <v>230</v>
      </c>
      <c r="M891" s="34" t="s">
        <v>344</v>
      </c>
      <c r="N891" s="34" t="str">
        <f aca="false">"Sector "&amp;VALUE(MID(D891,13,2))</f>
        <v>Sector 8</v>
      </c>
      <c r="O891" s="34" t="str">
        <f aca="false">IF(Dashboard!$C$5="Ubicación técnica",N891,"Sector "&amp;VALUE(RIGHT(G891,2)))</f>
        <v>Sector 8</v>
      </c>
      <c r="P891" s="34" t="str">
        <f aca="false">IF(MID(D891,15,3)="SEL","Subestación eléctrica","Área de proceso")</f>
        <v>Subestación eléctrica</v>
      </c>
      <c r="Q891" s="34" t="str">
        <f aca="false">MID(D891,13,5)&amp;"|"&amp;MID(D891,19,5)</f>
        <v>08SEL|S_018</v>
      </c>
      <c r="R891" s="34" t="str">
        <f aca="false">IF(P891="Subestación eléctrica",IFERROR(INDEX(cat_SubN,MATCH(Q891,cat_SubK,0)),"SIN CATALOGAR"),"ÁREA DE PROCESO")</f>
        <v>SE-18</v>
      </c>
      <c r="S891" s="34" t="str">
        <f aca="false">IF(H891="","SIN DATO",IFERROR(INDEX(cat_MarcaN,MATCH(H891,cat_MarcaO,0)),H891))</f>
        <v>SIEMENS</v>
      </c>
      <c r="T891" s="34" t="str">
        <f aca="false">IF(I891="","SIN DATO",IFERROR(INDEX(cat_ModN,MATCH(I891,cat_ModO,0)),I891))</f>
        <v>7SR5111</v>
      </c>
      <c r="U891" s="34" t="str">
        <f aca="false">IF(I891="","",IFERROR(INDEX(cat_ModG,MATCH(I891,cat_ModO,0)),"No"))</f>
        <v>No</v>
      </c>
      <c r="V891" s="34" t="str">
        <f aca="false">IF(J891="","SIN DATO",IFERROR(INDEX(cat_FunN,MATCH(J891,cat_FunO,0)),J891))</f>
        <v>Protección y medición</v>
      </c>
      <c r="W891" s="34" t="str">
        <f aca="false">IF(OR(S891="SIN DATO",T891="SIN DATO"),"No","Sí")</f>
        <v>Sí</v>
      </c>
    </row>
    <row r="892" customFormat="false" ht="15" hidden="false" customHeight="false" outlineLevel="0" collapsed="false">
      <c r="A892" s="34" t="s">
        <v>3362</v>
      </c>
      <c r="B892" s="34" t="s">
        <v>3363</v>
      </c>
      <c r="C892" s="34" t="s">
        <v>3364</v>
      </c>
      <c r="D892" s="34" t="s">
        <v>3365</v>
      </c>
      <c r="E892" s="34" t="s">
        <v>174</v>
      </c>
      <c r="F892" s="34" t="s">
        <v>1602</v>
      </c>
      <c r="G892" s="34" t="s">
        <v>227</v>
      </c>
      <c r="H892" s="34" t="s">
        <v>73</v>
      </c>
      <c r="I892" s="34" t="s">
        <v>76</v>
      </c>
      <c r="J892" s="34" t="s">
        <v>228</v>
      </c>
      <c r="K892" s="34" t="s">
        <v>229</v>
      </c>
      <c r="L892" s="34" t="s">
        <v>230</v>
      </c>
      <c r="M892" s="34" t="s">
        <v>344</v>
      </c>
      <c r="N892" s="34" t="str">
        <f aca="false">"Sector "&amp;VALUE(MID(D892,13,2))</f>
        <v>Sector 8</v>
      </c>
      <c r="O892" s="34" t="str">
        <f aca="false">IF(Dashboard!$C$5="Ubicación técnica",N892,"Sector "&amp;VALUE(RIGHT(G892,2)))</f>
        <v>Sector 8</v>
      </c>
      <c r="P892" s="34" t="str">
        <f aca="false">IF(MID(D892,15,3)="SEL","Subestación eléctrica","Área de proceso")</f>
        <v>Subestación eléctrica</v>
      </c>
      <c r="Q892" s="34" t="str">
        <f aca="false">MID(D892,13,5)&amp;"|"&amp;MID(D892,19,5)</f>
        <v>08SEL|S_018</v>
      </c>
      <c r="R892" s="34" t="str">
        <f aca="false">IF(P892="Subestación eléctrica",IFERROR(INDEX(cat_SubN,MATCH(Q892,cat_SubK,0)),"SIN CATALOGAR"),"ÁREA DE PROCESO")</f>
        <v>SE-18</v>
      </c>
      <c r="S892" s="34" t="str">
        <f aca="false">IF(H892="","SIN DATO",IFERROR(INDEX(cat_MarcaN,MATCH(H892,cat_MarcaO,0)),H892))</f>
        <v>SIEMENS</v>
      </c>
      <c r="T892" s="34" t="str">
        <f aca="false">IF(I892="","SIN DATO",IFERROR(INDEX(cat_ModN,MATCH(I892,cat_ModO,0)),I892))</f>
        <v>7SR5111</v>
      </c>
      <c r="U892" s="34" t="str">
        <f aca="false">IF(I892="","",IFERROR(INDEX(cat_ModG,MATCH(I892,cat_ModO,0)),"No"))</f>
        <v>No</v>
      </c>
      <c r="V892" s="34" t="str">
        <f aca="false">IF(J892="","SIN DATO",IFERROR(INDEX(cat_FunN,MATCH(J892,cat_FunO,0)),J892))</f>
        <v>Protección y medición</v>
      </c>
      <c r="W892" s="34" t="str">
        <f aca="false">IF(OR(S892="SIN DATO",T892="SIN DATO"),"No","Sí")</f>
        <v>Sí</v>
      </c>
    </row>
    <row r="893" customFormat="false" ht="15" hidden="false" customHeight="false" outlineLevel="0" collapsed="false">
      <c r="A893" s="34" t="s">
        <v>3366</v>
      </c>
      <c r="B893" s="34" t="s">
        <v>3367</v>
      </c>
      <c r="C893" s="34" t="s">
        <v>3368</v>
      </c>
      <c r="D893" s="34" t="s">
        <v>3369</v>
      </c>
      <c r="E893" s="34" t="s">
        <v>174</v>
      </c>
      <c r="F893" s="34" t="s">
        <v>1602</v>
      </c>
      <c r="G893" s="34" t="s">
        <v>227</v>
      </c>
      <c r="H893" s="34" t="s">
        <v>73</v>
      </c>
      <c r="I893" s="34" t="s">
        <v>76</v>
      </c>
      <c r="J893" s="34" t="s">
        <v>228</v>
      </c>
      <c r="K893" s="34" t="s">
        <v>229</v>
      </c>
      <c r="L893" s="34" t="s">
        <v>230</v>
      </c>
      <c r="M893" s="34" t="s">
        <v>344</v>
      </c>
      <c r="N893" s="34" t="str">
        <f aca="false">"Sector "&amp;VALUE(MID(D893,13,2))</f>
        <v>Sector 8</v>
      </c>
      <c r="O893" s="34" t="str">
        <f aca="false">IF(Dashboard!$C$5="Ubicación técnica",N893,"Sector "&amp;VALUE(RIGHT(G893,2)))</f>
        <v>Sector 8</v>
      </c>
      <c r="P893" s="34" t="str">
        <f aca="false">IF(MID(D893,15,3)="SEL","Subestación eléctrica","Área de proceso")</f>
        <v>Subestación eléctrica</v>
      </c>
      <c r="Q893" s="34" t="str">
        <f aca="false">MID(D893,13,5)&amp;"|"&amp;MID(D893,19,5)</f>
        <v>08SEL|S_018</v>
      </c>
      <c r="R893" s="34" t="str">
        <f aca="false">IF(P893="Subestación eléctrica",IFERROR(INDEX(cat_SubN,MATCH(Q893,cat_SubK,0)),"SIN CATALOGAR"),"ÁREA DE PROCESO")</f>
        <v>SE-18</v>
      </c>
      <c r="S893" s="34" t="str">
        <f aca="false">IF(H893="","SIN DATO",IFERROR(INDEX(cat_MarcaN,MATCH(H893,cat_MarcaO,0)),H893))</f>
        <v>SIEMENS</v>
      </c>
      <c r="T893" s="34" t="str">
        <f aca="false">IF(I893="","SIN DATO",IFERROR(INDEX(cat_ModN,MATCH(I893,cat_ModO,0)),I893))</f>
        <v>7SR5111</v>
      </c>
      <c r="U893" s="34" t="str">
        <f aca="false">IF(I893="","",IFERROR(INDEX(cat_ModG,MATCH(I893,cat_ModO,0)),"No"))</f>
        <v>No</v>
      </c>
      <c r="V893" s="34" t="str">
        <f aca="false">IF(J893="","SIN DATO",IFERROR(INDEX(cat_FunN,MATCH(J893,cat_FunO,0)),J893))</f>
        <v>Protección y medición</v>
      </c>
      <c r="W893" s="34" t="str">
        <f aca="false">IF(OR(S893="SIN DATO",T893="SIN DATO"),"No","Sí")</f>
        <v>Sí</v>
      </c>
    </row>
    <row r="894" customFormat="false" ht="15" hidden="false" customHeight="false" outlineLevel="0" collapsed="false">
      <c r="A894" s="34" t="s">
        <v>3370</v>
      </c>
      <c r="B894" s="34" t="s">
        <v>3371</v>
      </c>
      <c r="C894" s="34" t="s">
        <v>3372</v>
      </c>
      <c r="D894" s="34" t="s">
        <v>3361</v>
      </c>
      <c r="E894" s="34" t="s">
        <v>174</v>
      </c>
      <c r="F894" s="34" t="s">
        <v>1602</v>
      </c>
      <c r="G894" s="34" t="s">
        <v>227</v>
      </c>
      <c r="H894" s="34" t="s">
        <v>73</v>
      </c>
      <c r="I894" s="34" t="s">
        <v>76</v>
      </c>
      <c r="J894" s="34" t="s">
        <v>228</v>
      </c>
      <c r="K894" s="34" t="s">
        <v>229</v>
      </c>
      <c r="L894" s="34" t="s">
        <v>230</v>
      </c>
      <c r="M894" s="34" t="s">
        <v>344</v>
      </c>
      <c r="N894" s="34" t="str">
        <f aca="false">"Sector "&amp;VALUE(MID(D894,13,2))</f>
        <v>Sector 8</v>
      </c>
      <c r="O894" s="34" t="str">
        <f aca="false">IF(Dashboard!$C$5="Ubicación técnica",N894,"Sector "&amp;VALUE(RIGHT(G894,2)))</f>
        <v>Sector 8</v>
      </c>
      <c r="P894" s="34" t="str">
        <f aca="false">IF(MID(D894,15,3)="SEL","Subestación eléctrica","Área de proceso")</f>
        <v>Subestación eléctrica</v>
      </c>
      <c r="Q894" s="34" t="str">
        <f aca="false">MID(D894,13,5)&amp;"|"&amp;MID(D894,19,5)</f>
        <v>08SEL|S_018</v>
      </c>
      <c r="R894" s="34" t="str">
        <f aca="false">IF(P894="Subestación eléctrica",IFERROR(INDEX(cat_SubN,MATCH(Q894,cat_SubK,0)),"SIN CATALOGAR"),"ÁREA DE PROCESO")</f>
        <v>SE-18</v>
      </c>
      <c r="S894" s="34" t="str">
        <f aca="false">IF(H894="","SIN DATO",IFERROR(INDEX(cat_MarcaN,MATCH(H894,cat_MarcaO,0)),H894))</f>
        <v>SIEMENS</v>
      </c>
      <c r="T894" s="34" t="str">
        <f aca="false">IF(I894="","SIN DATO",IFERROR(INDEX(cat_ModN,MATCH(I894,cat_ModO,0)),I894))</f>
        <v>7SR5111</v>
      </c>
      <c r="U894" s="34" t="str">
        <f aca="false">IF(I894="","",IFERROR(INDEX(cat_ModG,MATCH(I894,cat_ModO,0)),"No"))</f>
        <v>No</v>
      </c>
      <c r="V894" s="34" t="str">
        <f aca="false">IF(J894="","SIN DATO",IFERROR(INDEX(cat_FunN,MATCH(J894,cat_FunO,0)),J894))</f>
        <v>Protección y medición</v>
      </c>
      <c r="W894" s="34" t="str">
        <f aca="false">IF(OR(S894="SIN DATO",T894="SIN DATO"),"No","Sí")</f>
        <v>Sí</v>
      </c>
    </row>
    <row r="895" customFormat="false" ht="15" hidden="false" customHeight="false" outlineLevel="0" collapsed="false">
      <c r="A895" s="34" t="s">
        <v>3373</v>
      </c>
      <c r="B895" s="34" t="s">
        <v>3374</v>
      </c>
      <c r="C895" s="34" t="s">
        <v>3375</v>
      </c>
      <c r="D895" s="34" t="s">
        <v>3361</v>
      </c>
      <c r="E895" s="34" t="s">
        <v>174</v>
      </c>
      <c r="F895" s="34" t="s">
        <v>1602</v>
      </c>
      <c r="G895" s="34" t="s">
        <v>227</v>
      </c>
      <c r="H895" s="34" t="s">
        <v>73</v>
      </c>
      <c r="I895" s="34" t="s">
        <v>76</v>
      </c>
      <c r="J895" s="34" t="s">
        <v>228</v>
      </c>
      <c r="K895" s="34" t="s">
        <v>229</v>
      </c>
      <c r="L895" s="34" t="s">
        <v>230</v>
      </c>
      <c r="M895" s="34" t="s">
        <v>344</v>
      </c>
      <c r="N895" s="34" t="str">
        <f aca="false">"Sector "&amp;VALUE(MID(D895,13,2))</f>
        <v>Sector 8</v>
      </c>
      <c r="O895" s="34" t="str">
        <f aca="false">IF(Dashboard!$C$5="Ubicación técnica",N895,"Sector "&amp;VALUE(RIGHT(G895,2)))</f>
        <v>Sector 8</v>
      </c>
      <c r="P895" s="34" t="str">
        <f aca="false">IF(MID(D895,15,3)="SEL","Subestación eléctrica","Área de proceso")</f>
        <v>Subestación eléctrica</v>
      </c>
      <c r="Q895" s="34" t="str">
        <f aca="false">MID(D895,13,5)&amp;"|"&amp;MID(D895,19,5)</f>
        <v>08SEL|S_018</v>
      </c>
      <c r="R895" s="34" t="str">
        <f aca="false">IF(P895="Subestación eléctrica",IFERROR(INDEX(cat_SubN,MATCH(Q895,cat_SubK,0)),"SIN CATALOGAR"),"ÁREA DE PROCESO")</f>
        <v>SE-18</v>
      </c>
      <c r="S895" s="34" t="str">
        <f aca="false">IF(H895="","SIN DATO",IFERROR(INDEX(cat_MarcaN,MATCH(H895,cat_MarcaO,0)),H895))</f>
        <v>SIEMENS</v>
      </c>
      <c r="T895" s="34" t="str">
        <f aca="false">IF(I895="","SIN DATO",IFERROR(INDEX(cat_ModN,MATCH(I895,cat_ModO,0)),I895))</f>
        <v>7SR5111</v>
      </c>
      <c r="U895" s="34" t="str">
        <f aca="false">IF(I895="","",IFERROR(INDEX(cat_ModG,MATCH(I895,cat_ModO,0)),"No"))</f>
        <v>No</v>
      </c>
      <c r="V895" s="34" t="str">
        <f aca="false">IF(J895="","SIN DATO",IFERROR(INDEX(cat_FunN,MATCH(J895,cat_FunO,0)),J895))</f>
        <v>Protección y medición</v>
      </c>
      <c r="W895" s="34" t="str">
        <f aca="false">IF(OR(S895="SIN DATO",T895="SIN DATO"),"No","Sí")</f>
        <v>Sí</v>
      </c>
    </row>
    <row r="896" customFormat="false" ht="15" hidden="false" customHeight="false" outlineLevel="0" collapsed="false">
      <c r="A896" s="34" t="s">
        <v>3376</v>
      </c>
      <c r="B896" s="34" t="s">
        <v>3377</v>
      </c>
      <c r="C896" s="34" t="s">
        <v>3378</v>
      </c>
      <c r="D896" s="34" t="s">
        <v>3379</v>
      </c>
      <c r="E896" s="34" t="s">
        <v>184</v>
      </c>
      <c r="F896" s="34" t="s">
        <v>1602</v>
      </c>
      <c r="G896" s="34" t="s">
        <v>227</v>
      </c>
      <c r="H896" s="34" t="s">
        <v>1358</v>
      </c>
      <c r="I896" s="34" t="s">
        <v>70</v>
      </c>
      <c r="J896" s="34" t="s">
        <v>228</v>
      </c>
      <c r="K896" s="34" t="s">
        <v>229</v>
      </c>
      <c r="L896" s="34" t="s">
        <v>230</v>
      </c>
      <c r="M896" s="34" t="s">
        <v>1640</v>
      </c>
      <c r="N896" s="34" t="str">
        <f aca="false">"Sector "&amp;VALUE(MID(D896,13,2))</f>
        <v>Sector 8</v>
      </c>
      <c r="O896" s="34" t="str">
        <f aca="false">IF(Dashboard!$C$5="Ubicación técnica",N896,"Sector "&amp;VALUE(RIGHT(G896,2)))</f>
        <v>Sector 8</v>
      </c>
      <c r="P896" s="34" t="str">
        <f aca="false">IF(MID(D896,15,3)="SEL","Subestación eléctrica","Área de proceso")</f>
        <v>Subestación eléctrica</v>
      </c>
      <c r="Q896" s="34" t="str">
        <f aca="false">MID(D896,13,5)&amp;"|"&amp;MID(D896,19,5)</f>
        <v>08SEL|SEP02</v>
      </c>
      <c r="R896" s="34" t="str">
        <f aca="false">IF(P896="Subestación eléctrica",IFERROR(INDEX(cat_SubN,MATCH(Q896,cat_SubK,0)),"SIN CATALOGAR"),"ÁREA DE PROCESO")</f>
        <v>SEP-02</v>
      </c>
      <c r="S896" s="34" t="str">
        <f aca="false">IF(H896="","SIN DATO",IFERROR(INDEX(cat_MarcaN,MATCH(H896,cat_MarcaO,0)),H896))</f>
        <v>GENERAL ELECTRIC</v>
      </c>
      <c r="T896" s="34" t="str">
        <f aca="false">IF(I896="","SIN DATO",IFERROR(INDEX(cat_ModN,MATCH(I896,cat_ModO,0)),I896))</f>
        <v>MULTILIN L90</v>
      </c>
      <c r="U896" s="34" t="str">
        <f aca="false">IF(I896="","",IFERROR(INDEX(cat_ModG,MATCH(I896,cat_ModO,0)),"No"))</f>
        <v>No</v>
      </c>
      <c r="V896" s="34" t="str">
        <f aca="false">IF(J896="","SIN DATO",IFERROR(INDEX(cat_FunN,MATCH(J896,cat_FunO,0)),J896))</f>
        <v>Protección y medición</v>
      </c>
      <c r="W896" s="34" t="str">
        <f aca="false">IF(OR(S896="SIN DATO",T896="SIN DATO"),"No","Sí")</f>
        <v>Sí</v>
      </c>
    </row>
    <row r="897" customFormat="false" ht="15" hidden="false" customHeight="false" outlineLevel="0" collapsed="false">
      <c r="A897" s="34" t="s">
        <v>3380</v>
      </c>
      <c r="B897" s="34" t="s">
        <v>3381</v>
      </c>
      <c r="C897" s="34" t="s">
        <v>3382</v>
      </c>
      <c r="D897" s="34" t="s">
        <v>3379</v>
      </c>
      <c r="E897" s="34" t="s">
        <v>184</v>
      </c>
      <c r="F897" s="34" t="s">
        <v>1602</v>
      </c>
      <c r="G897" s="34" t="s">
        <v>227</v>
      </c>
      <c r="H897" s="34" t="s">
        <v>55</v>
      </c>
      <c r="I897" s="34" t="s">
        <v>60</v>
      </c>
      <c r="J897" s="34" t="s">
        <v>228</v>
      </c>
      <c r="K897" s="34" t="s">
        <v>229</v>
      </c>
      <c r="L897" s="34" t="s">
        <v>230</v>
      </c>
      <c r="M897" s="34" t="s">
        <v>1640</v>
      </c>
      <c r="N897" s="34" t="str">
        <f aca="false">"Sector "&amp;VALUE(MID(D897,13,2))</f>
        <v>Sector 8</v>
      </c>
      <c r="O897" s="34" t="str">
        <f aca="false">IF(Dashboard!$C$5="Ubicación técnica",N897,"Sector "&amp;VALUE(RIGHT(G897,2)))</f>
        <v>Sector 8</v>
      </c>
      <c r="P897" s="34" t="str">
        <f aca="false">IF(MID(D897,15,3)="SEL","Subestación eléctrica","Área de proceso")</f>
        <v>Subestación eléctrica</v>
      </c>
      <c r="Q897" s="34" t="str">
        <f aca="false">MID(D897,13,5)&amp;"|"&amp;MID(D897,19,5)</f>
        <v>08SEL|SEP02</v>
      </c>
      <c r="R897" s="34" t="str">
        <f aca="false">IF(P897="Subestación eléctrica",IFERROR(INDEX(cat_SubN,MATCH(Q897,cat_SubK,0)),"SIN CATALOGAR"),"ÁREA DE PROCESO")</f>
        <v>SEP-02</v>
      </c>
      <c r="S897" s="34" t="str">
        <f aca="false">IF(H897="","SIN DATO",IFERROR(INDEX(cat_MarcaN,MATCH(H897,cat_MarcaO,0)),H897))</f>
        <v>SEL</v>
      </c>
      <c r="T897" s="34" t="str">
        <f aca="false">IF(I897="","SIN DATO",IFERROR(INDEX(cat_ModN,MATCH(I897,cat_ModO,0)),I897))</f>
        <v>SEL-411L</v>
      </c>
      <c r="U897" s="34" t="str">
        <f aca="false">IF(I897="","",IFERROR(INDEX(cat_ModG,MATCH(I897,cat_ModO,0)),"No"))</f>
        <v>No</v>
      </c>
      <c r="V897" s="34" t="str">
        <f aca="false">IF(J897="","SIN DATO",IFERROR(INDEX(cat_FunN,MATCH(J897,cat_FunO,0)),J897))</f>
        <v>Protección y medición</v>
      </c>
      <c r="W897" s="34" t="str">
        <f aca="false">IF(OR(S897="SIN DATO",T897="SIN DATO"),"No","Sí")</f>
        <v>Sí</v>
      </c>
    </row>
    <row r="898" customFormat="false" ht="15" hidden="false" customHeight="false" outlineLevel="0" collapsed="false">
      <c r="A898" s="34" t="s">
        <v>3383</v>
      </c>
      <c r="B898" s="34" t="s">
        <v>3384</v>
      </c>
      <c r="C898" s="34" t="s">
        <v>3385</v>
      </c>
      <c r="D898" s="34" t="s">
        <v>3379</v>
      </c>
      <c r="E898" s="34" t="s">
        <v>184</v>
      </c>
      <c r="F898" s="34" t="s">
        <v>1602</v>
      </c>
      <c r="G898" s="34" t="s">
        <v>227</v>
      </c>
      <c r="H898" s="34" t="s">
        <v>1358</v>
      </c>
      <c r="I898" s="34" t="s">
        <v>66</v>
      </c>
      <c r="J898" s="34" t="s">
        <v>1979</v>
      </c>
      <c r="K898" s="34" t="s">
        <v>229</v>
      </c>
      <c r="L898" s="34" t="s">
        <v>230</v>
      </c>
      <c r="M898" s="34" t="s">
        <v>1640</v>
      </c>
      <c r="N898" s="34" t="str">
        <f aca="false">"Sector "&amp;VALUE(MID(D898,13,2))</f>
        <v>Sector 8</v>
      </c>
      <c r="O898" s="34" t="str">
        <f aca="false">IF(Dashboard!$C$5="Ubicación técnica",N898,"Sector "&amp;VALUE(RIGHT(G898,2)))</f>
        <v>Sector 8</v>
      </c>
      <c r="P898" s="34" t="str">
        <f aca="false">IF(MID(D898,15,3)="SEL","Subestación eléctrica","Área de proceso")</f>
        <v>Subestación eléctrica</v>
      </c>
      <c r="Q898" s="34" t="str">
        <f aca="false">MID(D898,13,5)&amp;"|"&amp;MID(D898,19,5)</f>
        <v>08SEL|SEP02</v>
      </c>
      <c r="R898" s="34" t="str">
        <f aca="false">IF(P898="Subestación eléctrica",IFERROR(INDEX(cat_SubN,MATCH(Q898,cat_SubK,0)),"SIN CATALOGAR"),"ÁREA DE PROCESO")</f>
        <v>SEP-02</v>
      </c>
      <c r="S898" s="34" t="str">
        <f aca="false">IF(H898="","SIN DATO",IFERROR(INDEX(cat_MarcaN,MATCH(H898,cat_MarcaO,0)),H898))</f>
        <v>GENERAL ELECTRIC</v>
      </c>
      <c r="T898" s="34" t="str">
        <f aca="false">IF(I898="","SIN DATO",IFERROR(INDEX(cat_ModN,MATCH(I898,cat_ModO,0)),I898))</f>
        <v>MULTILIN C30</v>
      </c>
      <c r="U898" s="34" t="str">
        <f aca="false">IF(I898="","",IFERROR(INDEX(cat_ModG,MATCH(I898,cat_ModO,0)),"No"))</f>
        <v>No</v>
      </c>
      <c r="V898" s="34" t="str">
        <f aca="false">IF(J898="","SIN DATO",IFERROR(INDEX(cat_FunN,MATCH(J898,cat_FunO,0)),J898))</f>
        <v>Control y protección</v>
      </c>
      <c r="W898" s="34" t="str">
        <f aca="false">IF(OR(S898="SIN DATO",T898="SIN DATO"),"No","Sí")</f>
        <v>Sí</v>
      </c>
    </row>
    <row r="899" customFormat="false" ht="15" hidden="false" customHeight="false" outlineLevel="0" collapsed="false">
      <c r="A899" s="34" t="s">
        <v>3386</v>
      </c>
      <c r="B899" s="34" t="s">
        <v>3387</v>
      </c>
      <c r="C899" s="34" t="s">
        <v>3388</v>
      </c>
      <c r="D899" s="34" t="s">
        <v>3379</v>
      </c>
      <c r="E899" s="34" t="s">
        <v>184</v>
      </c>
      <c r="F899" s="34" t="s">
        <v>1602</v>
      </c>
      <c r="G899" s="34" t="s">
        <v>227</v>
      </c>
      <c r="H899" s="34" t="s">
        <v>1358</v>
      </c>
      <c r="I899" s="34" t="s">
        <v>67</v>
      </c>
      <c r="J899" s="34" t="s">
        <v>228</v>
      </c>
      <c r="K899" s="34" t="s">
        <v>229</v>
      </c>
      <c r="L899" s="34" t="s">
        <v>230</v>
      </c>
      <c r="M899" s="34" t="s">
        <v>1640</v>
      </c>
      <c r="N899" s="34" t="str">
        <f aca="false">"Sector "&amp;VALUE(MID(D899,13,2))</f>
        <v>Sector 8</v>
      </c>
      <c r="O899" s="34" t="str">
        <f aca="false">IF(Dashboard!$C$5="Ubicación técnica",N899,"Sector "&amp;VALUE(RIGHT(G899,2)))</f>
        <v>Sector 8</v>
      </c>
      <c r="P899" s="34" t="str">
        <f aca="false">IF(MID(D899,15,3)="SEL","Subestación eléctrica","Área de proceso")</f>
        <v>Subestación eléctrica</v>
      </c>
      <c r="Q899" s="34" t="str">
        <f aca="false">MID(D899,13,5)&amp;"|"&amp;MID(D899,19,5)</f>
        <v>08SEL|SEP02</v>
      </c>
      <c r="R899" s="34" t="str">
        <f aca="false">IF(P899="Subestación eléctrica",IFERROR(INDEX(cat_SubN,MATCH(Q899,cat_SubK,0)),"SIN CATALOGAR"),"ÁREA DE PROCESO")</f>
        <v>SEP-02</v>
      </c>
      <c r="S899" s="34" t="str">
        <f aca="false">IF(H899="","SIN DATO",IFERROR(INDEX(cat_MarcaN,MATCH(H899,cat_MarcaO,0)),H899))</f>
        <v>GENERAL ELECTRIC</v>
      </c>
      <c r="T899" s="34" t="str">
        <f aca="false">IF(I899="","SIN DATO",IFERROR(INDEX(cat_ModN,MATCH(I899,cat_ModO,0)),I899))</f>
        <v>MULTILIN F60</v>
      </c>
      <c r="U899" s="34" t="str">
        <f aca="false">IF(I899="","",IFERROR(INDEX(cat_ModG,MATCH(I899,cat_ModO,0)),"No"))</f>
        <v>No</v>
      </c>
      <c r="V899" s="34" t="str">
        <f aca="false">IF(J899="","SIN DATO",IFERROR(INDEX(cat_FunN,MATCH(J899,cat_FunO,0)),J899))</f>
        <v>Protección y medición</v>
      </c>
      <c r="W899" s="34" t="str">
        <f aca="false">IF(OR(S899="SIN DATO",T899="SIN DATO"),"No","Sí")</f>
        <v>Sí</v>
      </c>
    </row>
    <row r="900" customFormat="false" ht="15" hidden="false" customHeight="false" outlineLevel="0" collapsed="false">
      <c r="A900" s="34" t="s">
        <v>3389</v>
      </c>
      <c r="B900" s="34" t="s">
        <v>3390</v>
      </c>
      <c r="C900" s="34" t="s">
        <v>3391</v>
      </c>
      <c r="D900" s="34" t="s">
        <v>3379</v>
      </c>
      <c r="E900" s="34" t="s">
        <v>184</v>
      </c>
      <c r="F900" s="34" t="s">
        <v>1602</v>
      </c>
      <c r="G900" s="34" t="s">
        <v>227</v>
      </c>
      <c r="H900" s="34" t="s">
        <v>55</v>
      </c>
      <c r="I900" s="34" t="s">
        <v>57</v>
      </c>
      <c r="J900" s="34" t="s">
        <v>58</v>
      </c>
      <c r="K900" s="34" t="s">
        <v>229</v>
      </c>
      <c r="L900" s="34" t="s">
        <v>230</v>
      </c>
      <c r="M900" s="34" t="s">
        <v>237</v>
      </c>
      <c r="N900" s="34" t="str">
        <f aca="false">"Sector "&amp;VALUE(MID(D900,13,2))</f>
        <v>Sector 8</v>
      </c>
      <c r="O900" s="34" t="str">
        <f aca="false">IF(Dashboard!$C$5="Ubicación técnica",N900,"Sector "&amp;VALUE(RIGHT(G900,2)))</f>
        <v>Sector 8</v>
      </c>
      <c r="P900" s="34" t="str">
        <f aca="false">IF(MID(D900,15,3)="SEL","Subestación eléctrica","Área de proceso")</f>
        <v>Subestación eléctrica</v>
      </c>
      <c r="Q900" s="34" t="str">
        <f aca="false">MID(D900,13,5)&amp;"|"&amp;MID(D900,19,5)</f>
        <v>08SEL|SEP02</v>
      </c>
      <c r="R900" s="34" t="str">
        <f aca="false">IF(P900="Subestación eléctrica",IFERROR(INDEX(cat_SubN,MATCH(Q900,cat_SubK,0)),"SIN CATALOGAR"),"ÁREA DE PROCESO")</f>
        <v>SEP-02</v>
      </c>
      <c r="S900" s="34" t="str">
        <f aca="false">IF(H900="","SIN DATO",IFERROR(INDEX(cat_MarcaN,MATCH(H900,cat_MarcaO,0)),H900))</f>
        <v>SEL</v>
      </c>
      <c r="T900" s="34" t="str">
        <f aca="false">IF(I900="","SIN DATO",IFERROR(INDEX(cat_ModN,MATCH(I900,cat_ModO,0)),I900))</f>
        <v>SEL-735</v>
      </c>
      <c r="U900" s="34" t="str">
        <f aca="false">IF(I900="","",IFERROR(INDEX(cat_ModG,MATCH(I900,cat_ModO,0)),"No"))</f>
        <v>No</v>
      </c>
      <c r="V900" s="34" t="str">
        <f aca="false">IF(J900="","SIN DATO",IFERROR(INDEX(cat_FunN,MATCH(J900,cat_FunO,0)),J900))</f>
        <v>Medición</v>
      </c>
      <c r="W900" s="34" t="str">
        <f aca="false">IF(OR(S900="SIN DATO",T900="SIN DATO"),"No","Sí")</f>
        <v>Sí</v>
      </c>
    </row>
    <row r="901" customFormat="false" ht="15" hidden="false" customHeight="false" outlineLevel="0" collapsed="false">
      <c r="A901" s="34" t="s">
        <v>3392</v>
      </c>
      <c r="B901" s="34" t="s">
        <v>3393</v>
      </c>
      <c r="C901" s="34" t="s">
        <v>3394</v>
      </c>
      <c r="D901" s="34" t="s">
        <v>3379</v>
      </c>
      <c r="E901" s="34" t="s">
        <v>184</v>
      </c>
      <c r="F901" s="34" t="s">
        <v>1602</v>
      </c>
      <c r="G901" s="34" t="s">
        <v>227</v>
      </c>
      <c r="H901" s="34" t="s">
        <v>1358</v>
      </c>
      <c r="I901" s="34" t="s">
        <v>65</v>
      </c>
      <c r="J901" s="34" t="s">
        <v>228</v>
      </c>
      <c r="K901" s="34" t="s">
        <v>229</v>
      </c>
      <c r="L901" s="34" t="s">
        <v>230</v>
      </c>
      <c r="M901" s="34" t="s">
        <v>1640</v>
      </c>
      <c r="N901" s="34" t="str">
        <f aca="false">"Sector "&amp;VALUE(MID(D901,13,2))</f>
        <v>Sector 8</v>
      </c>
      <c r="O901" s="34" t="str">
        <f aca="false">IF(Dashboard!$C$5="Ubicación técnica",N901,"Sector "&amp;VALUE(RIGHT(G901,2)))</f>
        <v>Sector 8</v>
      </c>
      <c r="P901" s="34" t="str">
        <f aca="false">IF(MID(D901,15,3)="SEL","Subestación eléctrica","Área de proceso")</f>
        <v>Subestación eléctrica</v>
      </c>
      <c r="Q901" s="34" t="str">
        <f aca="false">MID(D901,13,5)&amp;"|"&amp;MID(D901,19,5)</f>
        <v>08SEL|SEP02</v>
      </c>
      <c r="R901" s="34" t="str">
        <f aca="false">IF(P901="Subestación eléctrica",IFERROR(INDEX(cat_SubN,MATCH(Q901,cat_SubK,0)),"SIN CATALOGAR"),"ÁREA DE PROCESO")</f>
        <v>SEP-02</v>
      </c>
      <c r="S901" s="34" t="str">
        <f aca="false">IF(H901="","SIN DATO",IFERROR(INDEX(cat_MarcaN,MATCH(H901,cat_MarcaO,0)),H901))</f>
        <v>GENERAL ELECTRIC</v>
      </c>
      <c r="T901" s="34" t="str">
        <f aca="false">IF(I901="","SIN DATO",IFERROR(INDEX(cat_ModN,MATCH(I901,cat_ModO,0)),I901))</f>
        <v>MULTILIN T60</v>
      </c>
      <c r="U901" s="34" t="str">
        <f aca="false">IF(I901="","",IFERROR(INDEX(cat_ModG,MATCH(I901,cat_ModO,0)),"No"))</f>
        <v>No</v>
      </c>
      <c r="V901" s="34" t="str">
        <f aca="false">IF(J901="","SIN DATO",IFERROR(INDEX(cat_FunN,MATCH(J901,cat_FunO,0)),J901))</f>
        <v>Protección y medición</v>
      </c>
      <c r="W901" s="34" t="str">
        <f aca="false">IF(OR(S901="SIN DATO",T901="SIN DATO"),"No","Sí")</f>
        <v>Sí</v>
      </c>
    </row>
    <row r="902" customFormat="false" ht="15" hidden="false" customHeight="false" outlineLevel="0" collapsed="false">
      <c r="A902" s="34" t="s">
        <v>3395</v>
      </c>
      <c r="B902" s="34" t="s">
        <v>3396</v>
      </c>
      <c r="C902" s="34" t="s">
        <v>3397</v>
      </c>
      <c r="D902" s="34" t="s">
        <v>3379</v>
      </c>
      <c r="E902" s="34" t="s">
        <v>184</v>
      </c>
      <c r="F902" s="34" t="s">
        <v>1602</v>
      </c>
      <c r="G902" s="34" t="s">
        <v>227</v>
      </c>
      <c r="H902" s="34" t="s">
        <v>1358</v>
      </c>
      <c r="I902" s="34" t="s">
        <v>71</v>
      </c>
      <c r="J902" s="34" t="s">
        <v>228</v>
      </c>
      <c r="K902" s="34" t="s">
        <v>229</v>
      </c>
      <c r="L902" s="34" t="s">
        <v>230</v>
      </c>
      <c r="M902" s="34" t="s">
        <v>1640</v>
      </c>
      <c r="N902" s="34" t="str">
        <f aca="false">"Sector "&amp;VALUE(MID(D902,13,2))</f>
        <v>Sector 8</v>
      </c>
      <c r="O902" s="34" t="str">
        <f aca="false">IF(Dashboard!$C$5="Ubicación técnica",N902,"Sector "&amp;VALUE(RIGHT(G902,2)))</f>
        <v>Sector 8</v>
      </c>
      <c r="P902" s="34" t="str">
        <f aca="false">IF(MID(D902,15,3)="SEL","Subestación eléctrica","Área de proceso")</f>
        <v>Subestación eléctrica</v>
      </c>
      <c r="Q902" s="34" t="str">
        <f aca="false">MID(D902,13,5)&amp;"|"&amp;MID(D902,19,5)</f>
        <v>08SEL|SEP02</v>
      </c>
      <c r="R902" s="34" t="str">
        <f aca="false">IF(P902="Subestación eléctrica",IFERROR(INDEX(cat_SubN,MATCH(Q902,cat_SubK,0)),"SIN CATALOGAR"),"ÁREA DE PROCESO")</f>
        <v>SEP-02</v>
      </c>
      <c r="S902" s="34" t="str">
        <f aca="false">IF(H902="","SIN DATO",IFERROR(INDEX(cat_MarcaN,MATCH(H902,cat_MarcaO,0)),H902))</f>
        <v>GENERAL ELECTRIC</v>
      </c>
      <c r="T902" s="34" t="str">
        <f aca="false">IF(I902="","SIN DATO",IFERROR(INDEX(cat_ModN,MATCH(I902,cat_ModO,0)),I902))</f>
        <v>MULTILIN T35</v>
      </c>
      <c r="U902" s="34" t="str">
        <f aca="false">IF(I902="","",IFERROR(INDEX(cat_ModG,MATCH(I902,cat_ModO,0)),"No"))</f>
        <v>No</v>
      </c>
      <c r="V902" s="34" t="str">
        <f aca="false">IF(J902="","SIN DATO",IFERROR(INDEX(cat_FunN,MATCH(J902,cat_FunO,0)),J902))</f>
        <v>Protección y medición</v>
      </c>
      <c r="W902" s="34" t="str">
        <f aca="false">IF(OR(S902="SIN DATO",T902="SIN DATO"),"No","Sí")</f>
        <v>Sí</v>
      </c>
    </row>
    <row r="903" customFormat="false" ht="15" hidden="false" customHeight="false" outlineLevel="0" collapsed="false">
      <c r="A903" s="34" t="s">
        <v>3398</v>
      </c>
      <c r="B903" s="34" t="s">
        <v>3399</v>
      </c>
      <c r="C903" s="34" t="s">
        <v>3400</v>
      </c>
      <c r="D903" s="34" t="s">
        <v>3379</v>
      </c>
      <c r="E903" s="34" t="s">
        <v>184</v>
      </c>
      <c r="F903" s="34" t="s">
        <v>1602</v>
      </c>
      <c r="G903" s="34" t="s">
        <v>227</v>
      </c>
      <c r="H903" s="34" t="s">
        <v>1358</v>
      </c>
      <c r="I903" s="34" t="s">
        <v>66</v>
      </c>
      <c r="J903" s="34" t="s">
        <v>1979</v>
      </c>
      <c r="K903" s="34" t="s">
        <v>229</v>
      </c>
      <c r="L903" s="34" t="s">
        <v>230</v>
      </c>
      <c r="M903" s="34" t="s">
        <v>237</v>
      </c>
      <c r="N903" s="34" t="str">
        <f aca="false">"Sector "&amp;VALUE(MID(D903,13,2))</f>
        <v>Sector 8</v>
      </c>
      <c r="O903" s="34" t="str">
        <f aca="false">IF(Dashboard!$C$5="Ubicación técnica",N903,"Sector "&amp;VALUE(RIGHT(G903,2)))</f>
        <v>Sector 8</v>
      </c>
      <c r="P903" s="34" t="str">
        <f aca="false">IF(MID(D903,15,3)="SEL","Subestación eléctrica","Área de proceso")</f>
        <v>Subestación eléctrica</v>
      </c>
      <c r="Q903" s="34" t="str">
        <f aca="false">MID(D903,13,5)&amp;"|"&amp;MID(D903,19,5)</f>
        <v>08SEL|SEP02</v>
      </c>
      <c r="R903" s="34" t="str">
        <f aca="false">IF(P903="Subestación eléctrica",IFERROR(INDEX(cat_SubN,MATCH(Q903,cat_SubK,0)),"SIN CATALOGAR"),"ÁREA DE PROCESO")</f>
        <v>SEP-02</v>
      </c>
      <c r="S903" s="34" t="str">
        <f aca="false">IF(H903="","SIN DATO",IFERROR(INDEX(cat_MarcaN,MATCH(H903,cat_MarcaO,0)),H903))</f>
        <v>GENERAL ELECTRIC</v>
      </c>
      <c r="T903" s="34" t="str">
        <f aca="false">IF(I903="","SIN DATO",IFERROR(INDEX(cat_ModN,MATCH(I903,cat_ModO,0)),I903))</f>
        <v>MULTILIN C30</v>
      </c>
      <c r="U903" s="34" t="str">
        <f aca="false">IF(I903="","",IFERROR(INDEX(cat_ModG,MATCH(I903,cat_ModO,0)),"No"))</f>
        <v>No</v>
      </c>
      <c r="V903" s="34" t="str">
        <f aca="false">IF(J903="","SIN DATO",IFERROR(INDEX(cat_FunN,MATCH(J903,cat_FunO,0)),J903))</f>
        <v>Control y protección</v>
      </c>
      <c r="W903" s="34" t="str">
        <f aca="false">IF(OR(S903="SIN DATO",T903="SIN DATO"),"No","Sí")</f>
        <v>Sí</v>
      </c>
    </row>
    <row r="904" customFormat="false" ht="15" hidden="false" customHeight="false" outlineLevel="0" collapsed="false">
      <c r="A904" s="34" t="s">
        <v>3401</v>
      </c>
      <c r="B904" s="34" t="s">
        <v>3402</v>
      </c>
      <c r="C904" s="34" t="s">
        <v>3403</v>
      </c>
      <c r="D904" s="34" t="s">
        <v>3379</v>
      </c>
      <c r="E904" s="34" t="s">
        <v>184</v>
      </c>
      <c r="F904" s="34" t="s">
        <v>1602</v>
      </c>
      <c r="G904" s="34" t="s">
        <v>227</v>
      </c>
      <c r="H904" s="34" t="s">
        <v>1358</v>
      </c>
      <c r="I904" s="34" t="s">
        <v>66</v>
      </c>
      <c r="J904" s="34" t="s">
        <v>1979</v>
      </c>
      <c r="K904" s="34" t="s">
        <v>229</v>
      </c>
      <c r="L904" s="34" t="s">
        <v>230</v>
      </c>
      <c r="M904" s="34" t="s">
        <v>237</v>
      </c>
      <c r="N904" s="34" t="str">
        <f aca="false">"Sector "&amp;VALUE(MID(D904,13,2))</f>
        <v>Sector 8</v>
      </c>
      <c r="O904" s="34" t="str">
        <f aca="false">IF(Dashboard!$C$5="Ubicación técnica",N904,"Sector "&amp;VALUE(RIGHT(G904,2)))</f>
        <v>Sector 8</v>
      </c>
      <c r="P904" s="34" t="str">
        <f aca="false">IF(MID(D904,15,3)="SEL","Subestación eléctrica","Área de proceso")</f>
        <v>Subestación eléctrica</v>
      </c>
      <c r="Q904" s="34" t="str">
        <f aca="false">MID(D904,13,5)&amp;"|"&amp;MID(D904,19,5)</f>
        <v>08SEL|SEP02</v>
      </c>
      <c r="R904" s="34" t="str">
        <f aca="false">IF(P904="Subestación eléctrica",IFERROR(INDEX(cat_SubN,MATCH(Q904,cat_SubK,0)),"SIN CATALOGAR"),"ÁREA DE PROCESO")</f>
        <v>SEP-02</v>
      </c>
      <c r="S904" s="34" t="str">
        <f aca="false">IF(H904="","SIN DATO",IFERROR(INDEX(cat_MarcaN,MATCH(H904,cat_MarcaO,0)),H904))</f>
        <v>GENERAL ELECTRIC</v>
      </c>
      <c r="T904" s="34" t="str">
        <f aca="false">IF(I904="","SIN DATO",IFERROR(INDEX(cat_ModN,MATCH(I904,cat_ModO,0)),I904))</f>
        <v>MULTILIN C30</v>
      </c>
      <c r="U904" s="34" t="str">
        <f aca="false">IF(I904="","",IFERROR(INDEX(cat_ModG,MATCH(I904,cat_ModO,0)),"No"))</f>
        <v>No</v>
      </c>
      <c r="V904" s="34" t="str">
        <f aca="false">IF(J904="","SIN DATO",IFERROR(INDEX(cat_FunN,MATCH(J904,cat_FunO,0)),J904))</f>
        <v>Control y protección</v>
      </c>
      <c r="W904" s="34" t="str">
        <f aca="false">IF(OR(S904="SIN DATO",T904="SIN DATO"),"No","Sí")</f>
        <v>Sí</v>
      </c>
    </row>
    <row r="905" customFormat="false" ht="15" hidden="false" customHeight="false" outlineLevel="0" collapsed="false">
      <c r="A905" s="34" t="s">
        <v>3404</v>
      </c>
      <c r="B905" s="34" t="s">
        <v>3405</v>
      </c>
      <c r="C905" s="34" t="s">
        <v>3406</v>
      </c>
      <c r="D905" s="34" t="s">
        <v>1954</v>
      </c>
      <c r="E905" s="34" t="s">
        <v>184</v>
      </c>
      <c r="F905" s="34" t="s">
        <v>1602</v>
      </c>
      <c r="G905" s="34" t="s">
        <v>227</v>
      </c>
      <c r="H905" s="34" t="s">
        <v>1358</v>
      </c>
      <c r="I905" s="34" t="s">
        <v>69</v>
      </c>
      <c r="J905" s="34" t="s">
        <v>228</v>
      </c>
      <c r="K905" s="34" t="s">
        <v>229</v>
      </c>
      <c r="L905" s="34" t="s">
        <v>230</v>
      </c>
      <c r="M905" s="34" t="s">
        <v>1640</v>
      </c>
      <c r="N905" s="34" t="str">
        <f aca="false">"Sector "&amp;VALUE(MID(D905,13,2))</f>
        <v>Sector 8</v>
      </c>
      <c r="O905" s="34" t="str">
        <f aca="false">IF(Dashboard!$C$5="Ubicación técnica",N905,"Sector "&amp;VALUE(RIGHT(G905,2)))</f>
        <v>Sector 8</v>
      </c>
      <c r="P905" s="34" t="str">
        <f aca="false">IF(MID(D905,15,3)="SEL","Subestación eléctrica","Área de proceso")</f>
        <v>Área de proceso</v>
      </c>
      <c r="Q905" s="34" t="str">
        <f aca="false">MID(D905,13,5)&amp;"|"&amp;MID(D905,19,5)</f>
        <v>08COG|SGELE</v>
      </c>
      <c r="R905" s="34" t="str">
        <f aca="false">IF(P905="Subestación eléctrica",IFERROR(INDEX(cat_SubN,MATCH(Q905,cat_SubK,0)),"SIN CATALOGAR"),"ÁREA DE PROCESO")</f>
        <v>ÁREA DE PROCESO</v>
      </c>
      <c r="S905" s="34" t="str">
        <f aca="false">IF(H905="","SIN DATO",IFERROR(INDEX(cat_MarcaN,MATCH(H905,cat_MarcaO,0)),H905))</f>
        <v>GENERAL ELECTRIC</v>
      </c>
      <c r="T905" s="34" t="str">
        <f aca="false">IF(I905="","SIN DATO",IFERROR(INDEX(cat_ModN,MATCH(I905,cat_ModO,0)),I905))</f>
        <v>MULTILIN G60</v>
      </c>
      <c r="U905" s="34" t="str">
        <f aca="false">IF(I905="","",IFERROR(INDEX(cat_ModG,MATCH(I905,cat_ModO,0)),"No"))</f>
        <v>No</v>
      </c>
      <c r="V905" s="34" t="str">
        <f aca="false">IF(J905="","SIN DATO",IFERROR(INDEX(cat_FunN,MATCH(J905,cat_FunO,0)),J905))</f>
        <v>Protección y medición</v>
      </c>
      <c r="W905" s="34" t="str">
        <f aca="false">IF(OR(S905="SIN DATO",T905="SIN DATO"),"No","Sí")</f>
        <v>Sí</v>
      </c>
    </row>
    <row r="906" customFormat="false" ht="15" hidden="false" customHeight="false" outlineLevel="0" collapsed="false">
      <c r="A906" s="34" t="s">
        <v>3407</v>
      </c>
      <c r="B906" s="34" t="s">
        <v>3408</v>
      </c>
      <c r="C906" s="34" t="s">
        <v>3409</v>
      </c>
      <c r="D906" s="34" t="s">
        <v>1989</v>
      </c>
      <c r="E906" s="34" t="s">
        <v>184</v>
      </c>
      <c r="F906" s="34" t="s">
        <v>1602</v>
      </c>
      <c r="G906" s="34" t="s">
        <v>227</v>
      </c>
      <c r="H906" s="34" t="s">
        <v>1358</v>
      </c>
      <c r="I906" s="34" t="s">
        <v>65</v>
      </c>
      <c r="J906" s="34" t="s">
        <v>228</v>
      </c>
      <c r="K906" s="34" t="s">
        <v>229</v>
      </c>
      <c r="L906" s="34" t="s">
        <v>230</v>
      </c>
      <c r="M906" s="34" t="s">
        <v>1640</v>
      </c>
      <c r="N906" s="34" t="str">
        <f aca="false">"Sector "&amp;VALUE(MID(D906,13,2))</f>
        <v>Sector 8</v>
      </c>
      <c r="O906" s="34" t="str">
        <f aca="false">IF(Dashboard!$C$5="Ubicación técnica",N906,"Sector "&amp;VALUE(RIGHT(G906,2)))</f>
        <v>Sector 8</v>
      </c>
      <c r="P906" s="34" t="str">
        <f aca="false">IF(MID(D906,15,3)="SEL","Subestación eléctrica","Área de proceso")</f>
        <v>Subestación eléctrica</v>
      </c>
      <c r="Q906" s="34" t="str">
        <f aca="false">MID(D906,13,5)&amp;"|"&amp;MID(D906,19,5)</f>
        <v>08SEL|SEP01</v>
      </c>
      <c r="R906" s="34" t="str">
        <f aca="false">IF(P906="Subestación eléctrica",IFERROR(INDEX(cat_SubN,MATCH(Q906,cat_SubK,0)),"SIN CATALOGAR"),"ÁREA DE PROCESO")</f>
        <v>SEP-01</v>
      </c>
      <c r="S906" s="34" t="str">
        <f aca="false">IF(H906="","SIN DATO",IFERROR(INDEX(cat_MarcaN,MATCH(H906,cat_MarcaO,0)),H906))</f>
        <v>GENERAL ELECTRIC</v>
      </c>
      <c r="T906" s="34" t="str">
        <f aca="false">IF(I906="","SIN DATO",IFERROR(INDEX(cat_ModN,MATCH(I906,cat_ModO,0)),I906))</f>
        <v>MULTILIN T60</v>
      </c>
      <c r="U906" s="34" t="str">
        <f aca="false">IF(I906="","",IFERROR(INDEX(cat_ModG,MATCH(I906,cat_ModO,0)),"No"))</f>
        <v>No</v>
      </c>
      <c r="V906" s="34" t="str">
        <f aca="false">IF(J906="","SIN DATO",IFERROR(INDEX(cat_FunN,MATCH(J906,cat_FunO,0)),J906))</f>
        <v>Protección y medición</v>
      </c>
      <c r="W906" s="34" t="str">
        <f aca="false">IF(OR(S906="SIN DATO",T906="SIN DATO"),"No","Sí")</f>
        <v>Sí</v>
      </c>
    </row>
    <row r="907" customFormat="false" ht="15" hidden="false" customHeight="false" outlineLevel="0" collapsed="false">
      <c r="A907" s="34" t="s">
        <v>3410</v>
      </c>
      <c r="B907" s="34" t="s">
        <v>3411</v>
      </c>
      <c r="C907" s="34" t="s">
        <v>3412</v>
      </c>
      <c r="D907" s="34" t="s">
        <v>1989</v>
      </c>
      <c r="E907" s="34" t="s">
        <v>184</v>
      </c>
      <c r="F907" s="34" t="s">
        <v>1602</v>
      </c>
      <c r="G907" s="34" t="s">
        <v>227</v>
      </c>
      <c r="H907" s="34" t="s">
        <v>1358</v>
      </c>
      <c r="I907" s="34" t="s">
        <v>66</v>
      </c>
      <c r="J907" s="34" t="s">
        <v>1979</v>
      </c>
      <c r="K907" s="34" t="s">
        <v>229</v>
      </c>
      <c r="L907" s="34" t="s">
        <v>230</v>
      </c>
      <c r="M907" s="34" t="s">
        <v>237</v>
      </c>
      <c r="N907" s="34" t="str">
        <f aca="false">"Sector "&amp;VALUE(MID(D907,13,2))</f>
        <v>Sector 8</v>
      </c>
      <c r="O907" s="34" t="str">
        <f aca="false">IF(Dashboard!$C$5="Ubicación técnica",N907,"Sector "&amp;VALUE(RIGHT(G907,2)))</f>
        <v>Sector 8</v>
      </c>
      <c r="P907" s="34" t="str">
        <f aca="false">IF(MID(D907,15,3)="SEL","Subestación eléctrica","Área de proceso")</f>
        <v>Subestación eléctrica</v>
      </c>
      <c r="Q907" s="34" t="str">
        <f aca="false">MID(D907,13,5)&amp;"|"&amp;MID(D907,19,5)</f>
        <v>08SEL|SEP01</v>
      </c>
      <c r="R907" s="34" t="str">
        <f aca="false">IF(P907="Subestación eléctrica",IFERROR(INDEX(cat_SubN,MATCH(Q907,cat_SubK,0)),"SIN CATALOGAR"),"ÁREA DE PROCESO")</f>
        <v>SEP-01</v>
      </c>
      <c r="S907" s="34" t="str">
        <f aca="false">IF(H907="","SIN DATO",IFERROR(INDEX(cat_MarcaN,MATCH(H907,cat_MarcaO,0)),H907))</f>
        <v>GENERAL ELECTRIC</v>
      </c>
      <c r="T907" s="34" t="str">
        <f aca="false">IF(I907="","SIN DATO",IFERROR(INDEX(cat_ModN,MATCH(I907,cat_ModO,0)),I907))</f>
        <v>MULTILIN C30</v>
      </c>
      <c r="U907" s="34" t="str">
        <f aca="false">IF(I907="","",IFERROR(INDEX(cat_ModG,MATCH(I907,cat_ModO,0)),"No"))</f>
        <v>No</v>
      </c>
      <c r="V907" s="34" t="str">
        <f aca="false">IF(J907="","SIN DATO",IFERROR(INDEX(cat_FunN,MATCH(J907,cat_FunO,0)),J907))</f>
        <v>Control y protección</v>
      </c>
      <c r="W907" s="34" t="str">
        <f aca="false">IF(OR(S907="SIN DATO",T907="SIN DATO"),"No","Sí")</f>
        <v>Sí</v>
      </c>
    </row>
    <row r="908" customFormat="false" ht="15" hidden="false" customHeight="false" outlineLevel="0" collapsed="false">
      <c r="A908" s="34" t="s">
        <v>3413</v>
      </c>
      <c r="B908" s="34" t="s">
        <v>3414</v>
      </c>
      <c r="C908" s="34" t="s">
        <v>3415</v>
      </c>
      <c r="D908" s="34" t="s">
        <v>1972</v>
      </c>
      <c r="E908" s="34" t="s">
        <v>184</v>
      </c>
      <c r="F908" s="34" t="s">
        <v>1602</v>
      </c>
      <c r="G908" s="34" t="s">
        <v>227</v>
      </c>
      <c r="H908" s="34" t="s">
        <v>1358</v>
      </c>
      <c r="I908" s="34" t="s">
        <v>66</v>
      </c>
      <c r="J908" s="34" t="s">
        <v>1979</v>
      </c>
      <c r="K908" s="34" t="s">
        <v>229</v>
      </c>
      <c r="L908" s="34" t="s">
        <v>230</v>
      </c>
      <c r="M908" s="34" t="s">
        <v>237</v>
      </c>
      <c r="N908" s="34" t="str">
        <f aca="false">"Sector "&amp;VALUE(MID(D908,13,2))</f>
        <v>Sector 8</v>
      </c>
      <c r="O908" s="34" t="str">
        <f aca="false">IF(Dashboard!$C$5="Ubicación técnica",N908,"Sector "&amp;VALUE(RIGHT(G908,2)))</f>
        <v>Sector 8</v>
      </c>
      <c r="P908" s="34" t="str">
        <f aca="false">IF(MID(D908,15,3)="SEL","Subestación eléctrica","Área de proceso")</f>
        <v>Subestación eléctrica</v>
      </c>
      <c r="Q908" s="34" t="str">
        <f aca="false">MID(D908,13,5)&amp;"|"&amp;MID(D908,19,5)</f>
        <v>08SEL|SEP01</v>
      </c>
      <c r="R908" s="34" t="str">
        <f aca="false">IF(P908="Subestación eléctrica",IFERROR(INDEX(cat_SubN,MATCH(Q908,cat_SubK,0)),"SIN CATALOGAR"),"ÁREA DE PROCESO")</f>
        <v>SEP-01</v>
      </c>
      <c r="S908" s="34" t="str">
        <f aca="false">IF(H908="","SIN DATO",IFERROR(INDEX(cat_MarcaN,MATCH(H908,cat_MarcaO,0)),H908))</f>
        <v>GENERAL ELECTRIC</v>
      </c>
      <c r="T908" s="34" t="str">
        <f aca="false">IF(I908="","SIN DATO",IFERROR(INDEX(cat_ModN,MATCH(I908,cat_ModO,0)),I908))</f>
        <v>MULTILIN C30</v>
      </c>
      <c r="U908" s="34" t="str">
        <f aca="false">IF(I908="","",IFERROR(INDEX(cat_ModG,MATCH(I908,cat_ModO,0)),"No"))</f>
        <v>No</v>
      </c>
      <c r="V908" s="34" t="str">
        <f aca="false">IF(J908="","SIN DATO",IFERROR(INDEX(cat_FunN,MATCH(J908,cat_FunO,0)),J908))</f>
        <v>Control y protección</v>
      </c>
      <c r="W908" s="34" t="str">
        <f aca="false">IF(OR(S908="SIN DATO",T908="SIN DATO"),"No","Sí")</f>
        <v>Sí</v>
      </c>
    </row>
    <row r="909" customFormat="false" ht="15" hidden="false" customHeight="false" outlineLevel="0" collapsed="false">
      <c r="A909" s="34" t="s">
        <v>3416</v>
      </c>
      <c r="B909" s="34" t="s">
        <v>3417</v>
      </c>
      <c r="C909" s="34" t="s">
        <v>3418</v>
      </c>
      <c r="D909" s="34" t="s">
        <v>1989</v>
      </c>
      <c r="E909" s="34" t="s">
        <v>184</v>
      </c>
      <c r="F909" s="34" t="s">
        <v>1602</v>
      </c>
      <c r="G909" s="34" t="s">
        <v>227</v>
      </c>
      <c r="H909" s="34" t="s">
        <v>1358</v>
      </c>
      <c r="I909" s="34" t="s">
        <v>67</v>
      </c>
      <c r="J909" s="34" t="s">
        <v>228</v>
      </c>
      <c r="K909" s="34" t="s">
        <v>229</v>
      </c>
      <c r="L909" s="34" t="s">
        <v>230</v>
      </c>
      <c r="M909" s="34" t="s">
        <v>1640</v>
      </c>
      <c r="N909" s="34" t="str">
        <f aca="false">"Sector "&amp;VALUE(MID(D909,13,2))</f>
        <v>Sector 8</v>
      </c>
      <c r="O909" s="34" t="str">
        <f aca="false">IF(Dashboard!$C$5="Ubicación técnica",N909,"Sector "&amp;VALUE(RIGHT(G909,2)))</f>
        <v>Sector 8</v>
      </c>
      <c r="P909" s="34" t="str">
        <f aca="false">IF(MID(D909,15,3)="SEL","Subestación eléctrica","Área de proceso")</f>
        <v>Subestación eléctrica</v>
      </c>
      <c r="Q909" s="34" t="str">
        <f aca="false">MID(D909,13,5)&amp;"|"&amp;MID(D909,19,5)</f>
        <v>08SEL|SEP01</v>
      </c>
      <c r="R909" s="34" t="str">
        <f aca="false">IF(P909="Subestación eléctrica",IFERROR(INDEX(cat_SubN,MATCH(Q909,cat_SubK,0)),"SIN CATALOGAR"),"ÁREA DE PROCESO")</f>
        <v>SEP-01</v>
      </c>
      <c r="S909" s="34" t="str">
        <f aca="false">IF(H909="","SIN DATO",IFERROR(INDEX(cat_MarcaN,MATCH(H909,cat_MarcaO,0)),H909))</f>
        <v>GENERAL ELECTRIC</v>
      </c>
      <c r="T909" s="34" t="str">
        <f aca="false">IF(I909="","SIN DATO",IFERROR(INDEX(cat_ModN,MATCH(I909,cat_ModO,0)),I909))</f>
        <v>MULTILIN F60</v>
      </c>
      <c r="U909" s="34" t="str">
        <f aca="false">IF(I909="","",IFERROR(INDEX(cat_ModG,MATCH(I909,cat_ModO,0)),"No"))</f>
        <v>No</v>
      </c>
      <c r="V909" s="34" t="str">
        <f aca="false">IF(J909="","SIN DATO",IFERROR(INDEX(cat_FunN,MATCH(J909,cat_FunO,0)),J909))</f>
        <v>Protección y medición</v>
      </c>
      <c r="W909" s="34" t="str">
        <f aca="false">IF(OR(S909="SIN DATO",T909="SIN DATO"),"No","Sí")</f>
        <v>Sí</v>
      </c>
    </row>
    <row r="910" customFormat="false" ht="15" hidden="false" customHeight="false" outlineLevel="0" collapsed="false">
      <c r="A910" s="34" t="s">
        <v>3419</v>
      </c>
      <c r="B910" s="34" t="s">
        <v>3420</v>
      </c>
      <c r="C910" s="34" t="s">
        <v>3421</v>
      </c>
      <c r="D910" s="34" t="s">
        <v>1972</v>
      </c>
      <c r="E910" s="34" t="s">
        <v>184</v>
      </c>
      <c r="F910" s="34" t="s">
        <v>1602</v>
      </c>
      <c r="G910" s="34" t="s">
        <v>227</v>
      </c>
      <c r="H910" s="34" t="s">
        <v>1358</v>
      </c>
      <c r="I910" s="34" t="s">
        <v>67</v>
      </c>
      <c r="J910" s="34" t="s">
        <v>228</v>
      </c>
      <c r="K910" s="34" t="s">
        <v>229</v>
      </c>
      <c r="L910" s="34" t="s">
        <v>230</v>
      </c>
      <c r="M910" s="34" t="s">
        <v>1640</v>
      </c>
      <c r="N910" s="34" t="str">
        <f aca="false">"Sector "&amp;VALUE(MID(D910,13,2))</f>
        <v>Sector 8</v>
      </c>
      <c r="O910" s="34" t="str">
        <f aca="false">IF(Dashboard!$C$5="Ubicación técnica",N910,"Sector "&amp;VALUE(RIGHT(G910,2)))</f>
        <v>Sector 8</v>
      </c>
      <c r="P910" s="34" t="str">
        <f aca="false">IF(MID(D910,15,3)="SEL","Subestación eléctrica","Área de proceso")</f>
        <v>Subestación eléctrica</v>
      </c>
      <c r="Q910" s="34" t="str">
        <f aca="false">MID(D910,13,5)&amp;"|"&amp;MID(D910,19,5)</f>
        <v>08SEL|SEP01</v>
      </c>
      <c r="R910" s="34" t="str">
        <f aca="false">IF(P910="Subestación eléctrica",IFERROR(INDEX(cat_SubN,MATCH(Q910,cat_SubK,0)),"SIN CATALOGAR"),"ÁREA DE PROCESO")</f>
        <v>SEP-01</v>
      </c>
      <c r="S910" s="34" t="str">
        <f aca="false">IF(H910="","SIN DATO",IFERROR(INDEX(cat_MarcaN,MATCH(H910,cat_MarcaO,0)),H910))</f>
        <v>GENERAL ELECTRIC</v>
      </c>
      <c r="T910" s="34" t="str">
        <f aca="false">IF(I910="","SIN DATO",IFERROR(INDEX(cat_ModN,MATCH(I910,cat_ModO,0)),I910))</f>
        <v>MULTILIN F60</v>
      </c>
      <c r="U910" s="34" t="str">
        <f aca="false">IF(I910="","",IFERROR(INDEX(cat_ModG,MATCH(I910,cat_ModO,0)),"No"))</f>
        <v>No</v>
      </c>
      <c r="V910" s="34" t="str">
        <f aca="false">IF(J910="","SIN DATO",IFERROR(INDEX(cat_FunN,MATCH(J910,cat_FunO,0)),J910))</f>
        <v>Protección y medición</v>
      </c>
      <c r="W910" s="34" t="str">
        <f aca="false">IF(OR(S910="SIN DATO",T910="SIN DATO"),"No","Sí")</f>
        <v>Sí</v>
      </c>
    </row>
    <row r="911" customFormat="false" ht="15" hidden="false" customHeight="false" outlineLevel="0" collapsed="false">
      <c r="A911" s="34" t="s">
        <v>3422</v>
      </c>
      <c r="B911" s="34" t="s">
        <v>3423</v>
      </c>
      <c r="C911" s="34" t="s">
        <v>3424</v>
      </c>
      <c r="D911" s="34" t="s">
        <v>1989</v>
      </c>
      <c r="E911" s="34" t="s">
        <v>184</v>
      </c>
      <c r="F911" s="34" t="s">
        <v>1602</v>
      </c>
      <c r="G911" s="34" t="s">
        <v>227</v>
      </c>
      <c r="H911" s="34" t="s">
        <v>55</v>
      </c>
      <c r="I911" s="34" t="s">
        <v>57</v>
      </c>
      <c r="J911" s="34" t="s">
        <v>58</v>
      </c>
      <c r="K911" s="34" t="s">
        <v>229</v>
      </c>
      <c r="L911" s="34" t="s">
        <v>230</v>
      </c>
      <c r="M911" s="34" t="s">
        <v>237</v>
      </c>
      <c r="N911" s="34" t="str">
        <f aca="false">"Sector "&amp;VALUE(MID(D911,13,2))</f>
        <v>Sector 8</v>
      </c>
      <c r="O911" s="34" t="str">
        <f aca="false">IF(Dashboard!$C$5="Ubicación técnica",N911,"Sector "&amp;VALUE(RIGHT(G911,2)))</f>
        <v>Sector 8</v>
      </c>
      <c r="P911" s="34" t="str">
        <f aca="false">IF(MID(D911,15,3)="SEL","Subestación eléctrica","Área de proceso")</f>
        <v>Subestación eléctrica</v>
      </c>
      <c r="Q911" s="34" t="str">
        <f aca="false">MID(D911,13,5)&amp;"|"&amp;MID(D911,19,5)</f>
        <v>08SEL|SEP01</v>
      </c>
      <c r="R911" s="34" t="str">
        <f aca="false">IF(P911="Subestación eléctrica",IFERROR(INDEX(cat_SubN,MATCH(Q911,cat_SubK,0)),"SIN CATALOGAR"),"ÁREA DE PROCESO")</f>
        <v>SEP-01</v>
      </c>
      <c r="S911" s="34" t="str">
        <f aca="false">IF(H911="","SIN DATO",IFERROR(INDEX(cat_MarcaN,MATCH(H911,cat_MarcaO,0)),H911))</f>
        <v>SEL</v>
      </c>
      <c r="T911" s="34" t="str">
        <f aca="false">IF(I911="","SIN DATO",IFERROR(INDEX(cat_ModN,MATCH(I911,cat_ModO,0)),I911))</f>
        <v>SEL-735</v>
      </c>
      <c r="U911" s="34" t="str">
        <f aca="false">IF(I911="","",IFERROR(INDEX(cat_ModG,MATCH(I911,cat_ModO,0)),"No"))</f>
        <v>No</v>
      </c>
      <c r="V911" s="34" t="str">
        <f aca="false">IF(J911="","SIN DATO",IFERROR(INDEX(cat_FunN,MATCH(J911,cat_FunO,0)),J911))</f>
        <v>Medición</v>
      </c>
      <c r="W911" s="34" t="str">
        <f aca="false">IF(OR(S911="SIN DATO",T911="SIN DATO"),"No","Sí")</f>
        <v>Sí</v>
      </c>
    </row>
    <row r="912" customFormat="false" ht="15" hidden="false" customHeight="false" outlineLevel="0" collapsed="false">
      <c r="A912" s="34" t="s">
        <v>3425</v>
      </c>
      <c r="B912" s="34" t="s">
        <v>3426</v>
      </c>
      <c r="C912" s="34" t="s">
        <v>3427</v>
      </c>
      <c r="D912" s="34" t="s">
        <v>1972</v>
      </c>
      <c r="E912" s="34" t="s">
        <v>184</v>
      </c>
      <c r="F912" s="34" t="s">
        <v>1602</v>
      </c>
      <c r="G912" s="34" t="s">
        <v>227</v>
      </c>
      <c r="H912" s="34" t="s">
        <v>1358</v>
      </c>
      <c r="I912" s="34" t="s">
        <v>65</v>
      </c>
      <c r="J912" s="34" t="s">
        <v>228</v>
      </c>
      <c r="K912" s="34" t="s">
        <v>229</v>
      </c>
      <c r="L912" s="34" t="s">
        <v>230</v>
      </c>
      <c r="M912" s="34" t="s">
        <v>1640</v>
      </c>
      <c r="N912" s="34" t="str">
        <f aca="false">"Sector "&amp;VALUE(MID(D912,13,2))</f>
        <v>Sector 8</v>
      </c>
      <c r="O912" s="34" t="str">
        <f aca="false">IF(Dashboard!$C$5="Ubicación técnica",N912,"Sector "&amp;VALUE(RIGHT(G912,2)))</f>
        <v>Sector 8</v>
      </c>
      <c r="P912" s="34" t="str">
        <f aca="false">IF(MID(D912,15,3)="SEL","Subestación eléctrica","Área de proceso")</f>
        <v>Subestación eléctrica</v>
      </c>
      <c r="Q912" s="34" t="str">
        <f aca="false">MID(D912,13,5)&amp;"|"&amp;MID(D912,19,5)</f>
        <v>08SEL|SEP01</v>
      </c>
      <c r="R912" s="34" t="str">
        <f aca="false">IF(P912="Subestación eléctrica",IFERROR(INDEX(cat_SubN,MATCH(Q912,cat_SubK,0)),"SIN CATALOGAR"),"ÁREA DE PROCESO")</f>
        <v>SEP-01</v>
      </c>
      <c r="S912" s="34" t="str">
        <f aca="false">IF(H912="","SIN DATO",IFERROR(INDEX(cat_MarcaN,MATCH(H912,cat_MarcaO,0)),H912))</f>
        <v>GENERAL ELECTRIC</v>
      </c>
      <c r="T912" s="34" t="str">
        <f aca="false">IF(I912="","SIN DATO",IFERROR(INDEX(cat_ModN,MATCH(I912,cat_ModO,0)),I912))</f>
        <v>MULTILIN T60</v>
      </c>
      <c r="U912" s="34" t="str">
        <f aca="false">IF(I912="","",IFERROR(INDEX(cat_ModG,MATCH(I912,cat_ModO,0)),"No"))</f>
        <v>No</v>
      </c>
      <c r="V912" s="34" t="str">
        <f aca="false">IF(J912="","SIN DATO",IFERROR(INDEX(cat_FunN,MATCH(J912,cat_FunO,0)),J912))</f>
        <v>Protección y medición</v>
      </c>
      <c r="W912" s="34" t="str">
        <f aca="false">IF(OR(S912="SIN DATO",T912="SIN DATO"),"No","Sí")</f>
        <v>Sí</v>
      </c>
    </row>
    <row r="913" customFormat="false" ht="15" hidden="false" customHeight="false" outlineLevel="0" collapsed="false">
      <c r="A913" s="34" t="s">
        <v>3428</v>
      </c>
      <c r="B913" s="34" t="s">
        <v>3429</v>
      </c>
      <c r="C913" s="34" t="s">
        <v>3430</v>
      </c>
      <c r="D913" s="34" t="s">
        <v>1972</v>
      </c>
      <c r="E913" s="34" t="s">
        <v>184</v>
      </c>
      <c r="F913" s="34" t="s">
        <v>1602</v>
      </c>
      <c r="G913" s="34" t="s">
        <v>227</v>
      </c>
      <c r="H913" s="34" t="s">
        <v>1358</v>
      </c>
      <c r="I913" s="34" t="s">
        <v>66</v>
      </c>
      <c r="J913" s="34" t="s">
        <v>1979</v>
      </c>
      <c r="K913" s="34" t="s">
        <v>229</v>
      </c>
      <c r="L913" s="34" t="s">
        <v>230</v>
      </c>
      <c r="M913" s="34" t="s">
        <v>237</v>
      </c>
      <c r="N913" s="34" t="str">
        <f aca="false">"Sector "&amp;VALUE(MID(D913,13,2))</f>
        <v>Sector 8</v>
      </c>
      <c r="O913" s="34" t="str">
        <f aca="false">IF(Dashboard!$C$5="Ubicación técnica",N913,"Sector "&amp;VALUE(RIGHT(G913,2)))</f>
        <v>Sector 8</v>
      </c>
      <c r="P913" s="34" t="str">
        <f aca="false">IF(MID(D913,15,3)="SEL","Subestación eléctrica","Área de proceso")</f>
        <v>Subestación eléctrica</v>
      </c>
      <c r="Q913" s="34" t="str">
        <f aca="false">MID(D913,13,5)&amp;"|"&amp;MID(D913,19,5)</f>
        <v>08SEL|SEP01</v>
      </c>
      <c r="R913" s="34" t="str">
        <f aca="false">IF(P913="Subestación eléctrica",IFERROR(INDEX(cat_SubN,MATCH(Q913,cat_SubK,0)),"SIN CATALOGAR"),"ÁREA DE PROCESO")</f>
        <v>SEP-01</v>
      </c>
      <c r="S913" s="34" t="str">
        <f aca="false">IF(H913="","SIN DATO",IFERROR(INDEX(cat_MarcaN,MATCH(H913,cat_MarcaO,0)),H913))</f>
        <v>GENERAL ELECTRIC</v>
      </c>
      <c r="T913" s="34" t="str">
        <f aca="false">IF(I913="","SIN DATO",IFERROR(INDEX(cat_ModN,MATCH(I913,cat_ModO,0)),I913))</f>
        <v>MULTILIN C30</v>
      </c>
      <c r="U913" s="34" t="str">
        <f aca="false">IF(I913="","",IFERROR(INDEX(cat_ModG,MATCH(I913,cat_ModO,0)),"No"))</f>
        <v>No</v>
      </c>
      <c r="V913" s="34" t="str">
        <f aca="false">IF(J913="","SIN DATO",IFERROR(INDEX(cat_FunN,MATCH(J913,cat_FunO,0)),J913))</f>
        <v>Control y protección</v>
      </c>
      <c r="W913" s="34" t="str">
        <f aca="false">IF(OR(S913="SIN DATO",T913="SIN DATO"),"No","Sí")</f>
        <v>Sí</v>
      </c>
    </row>
    <row r="914" customFormat="false" ht="15" hidden="false" customHeight="false" outlineLevel="0" collapsed="false">
      <c r="A914" s="34" t="s">
        <v>3431</v>
      </c>
      <c r="B914" s="34" t="s">
        <v>3432</v>
      </c>
      <c r="C914" s="34" t="s">
        <v>3433</v>
      </c>
      <c r="D914" s="34" t="s">
        <v>1972</v>
      </c>
      <c r="E914" s="34" t="s">
        <v>184</v>
      </c>
      <c r="F914" s="34" t="s">
        <v>1602</v>
      </c>
      <c r="G914" s="34" t="s">
        <v>227</v>
      </c>
      <c r="H914" s="34" t="s">
        <v>1358</v>
      </c>
      <c r="I914" s="34" t="s">
        <v>66</v>
      </c>
      <c r="J914" s="34" t="s">
        <v>1979</v>
      </c>
      <c r="K914" s="34" t="s">
        <v>229</v>
      </c>
      <c r="L914" s="34" t="s">
        <v>230</v>
      </c>
      <c r="M914" s="34" t="s">
        <v>237</v>
      </c>
      <c r="N914" s="34" t="str">
        <f aca="false">"Sector "&amp;VALUE(MID(D914,13,2))</f>
        <v>Sector 8</v>
      </c>
      <c r="O914" s="34" t="str">
        <f aca="false">IF(Dashboard!$C$5="Ubicación técnica",N914,"Sector "&amp;VALUE(RIGHT(G914,2)))</f>
        <v>Sector 8</v>
      </c>
      <c r="P914" s="34" t="str">
        <f aca="false">IF(MID(D914,15,3)="SEL","Subestación eléctrica","Área de proceso")</f>
        <v>Subestación eléctrica</v>
      </c>
      <c r="Q914" s="34" t="str">
        <f aca="false">MID(D914,13,5)&amp;"|"&amp;MID(D914,19,5)</f>
        <v>08SEL|SEP01</v>
      </c>
      <c r="R914" s="34" t="str">
        <f aca="false">IF(P914="Subestación eléctrica",IFERROR(INDEX(cat_SubN,MATCH(Q914,cat_SubK,0)),"SIN CATALOGAR"),"ÁREA DE PROCESO")</f>
        <v>SEP-01</v>
      </c>
      <c r="S914" s="34" t="str">
        <f aca="false">IF(H914="","SIN DATO",IFERROR(INDEX(cat_MarcaN,MATCH(H914,cat_MarcaO,0)),H914))</f>
        <v>GENERAL ELECTRIC</v>
      </c>
      <c r="T914" s="34" t="str">
        <f aca="false">IF(I914="","SIN DATO",IFERROR(INDEX(cat_ModN,MATCH(I914,cat_ModO,0)),I914))</f>
        <v>MULTILIN C30</v>
      </c>
      <c r="U914" s="34" t="str">
        <f aca="false">IF(I914="","",IFERROR(INDEX(cat_ModG,MATCH(I914,cat_ModO,0)),"No"))</f>
        <v>No</v>
      </c>
      <c r="V914" s="34" t="str">
        <f aca="false">IF(J914="","SIN DATO",IFERROR(INDEX(cat_FunN,MATCH(J914,cat_FunO,0)),J914))</f>
        <v>Control y protección</v>
      </c>
      <c r="W914" s="34" t="str">
        <f aca="false">IF(OR(S914="SIN DATO",T914="SIN DATO"),"No","Sí")</f>
        <v>Sí</v>
      </c>
    </row>
    <row r="915" customFormat="false" ht="15" hidden="false" customHeight="false" outlineLevel="0" collapsed="false">
      <c r="A915" s="34" t="s">
        <v>3434</v>
      </c>
      <c r="B915" s="34" t="s">
        <v>3435</v>
      </c>
      <c r="C915" s="34" t="s">
        <v>3436</v>
      </c>
      <c r="D915" s="34" t="s">
        <v>1972</v>
      </c>
      <c r="E915" s="34" t="s">
        <v>184</v>
      </c>
      <c r="F915" s="34" t="s">
        <v>1602</v>
      </c>
      <c r="G915" s="34" t="s">
        <v>227</v>
      </c>
      <c r="H915" s="34" t="s">
        <v>1358</v>
      </c>
      <c r="I915" s="34" t="s">
        <v>67</v>
      </c>
      <c r="J915" s="34" t="s">
        <v>228</v>
      </c>
      <c r="K915" s="34" t="s">
        <v>229</v>
      </c>
      <c r="L915" s="34" t="s">
        <v>230</v>
      </c>
      <c r="M915" s="34" t="s">
        <v>1640</v>
      </c>
      <c r="N915" s="34" t="str">
        <f aca="false">"Sector "&amp;VALUE(MID(D915,13,2))</f>
        <v>Sector 8</v>
      </c>
      <c r="O915" s="34" t="str">
        <f aca="false">IF(Dashboard!$C$5="Ubicación técnica",N915,"Sector "&amp;VALUE(RIGHT(G915,2)))</f>
        <v>Sector 8</v>
      </c>
      <c r="P915" s="34" t="str">
        <f aca="false">IF(MID(D915,15,3)="SEL","Subestación eléctrica","Área de proceso")</f>
        <v>Subestación eléctrica</v>
      </c>
      <c r="Q915" s="34" t="str">
        <f aca="false">MID(D915,13,5)&amp;"|"&amp;MID(D915,19,5)</f>
        <v>08SEL|SEP01</v>
      </c>
      <c r="R915" s="34" t="str">
        <f aca="false">IF(P915="Subestación eléctrica",IFERROR(INDEX(cat_SubN,MATCH(Q915,cat_SubK,0)),"SIN CATALOGAR"),"ÁREA DE PROCESO")</f>
        <v>SEP-01</v>
      </c>
      <c r="S915" s="34" t="str">
        <f aca="false">IF(H915="","SIN DATO",IFERROR(INDEX(cat_MarcaN,MATCH(H915,cat_MarcaO,0)),H915))</f>
        <v>GENERAL ELECTRIC</v>
      </c>
      <c r="T915" s="34" t="str">
        <f aca="false">IF(I915="","SIN DATO",IFERROR(INDEX(cat_ModN,MATCH(I915,cat_ModO,0)),I915))</f>
        <v>MULTILIN F60</v>
      </c>
      <c r="U915" s="34" t="str">
        <f aca="false">IF(I915="","",IFERROR(INDEX(cat_ModG,MATCH(I915,cat_ModO,0)),"No"))</f>
        <v>No</v>
      </c>
      <c r="V915" s="34" t="str">
        <f aca="false">IF(J915="","SIN DATO",IFERROR(INDEX(cat_FunN,MATCH(J915,cat_FunO,0)),J915))</f>
        <v>Protección y medición</v>
      </c>
      <c r="W915" s="34" t="str">
        <f aca="false">IF(OR(S915="SIN DATO",T915="SIN DATO"),"No","Sí")</f>
        <v>Sí</v>
      </c>
    </row>
    <row r="916" customFormat="false" ht="15" hidden="false" customHeight="false" outlineLevel="0" collapsed="false">
      <c r="A916" s="34" t="s">
        <v>3437</v>
      </c>
      <c r="B916" s="34" t="s">
        <v>3438</v>
      </c>
      <c r="C916" s="34" t="s">
        <v>3439</v>
      </c>
      <c r="D916" s="34" t="s">
        <v>1972</v>
      </c>
      <c r="E916" s="34" t="s">
        <v>184</v>
      </c>
      <c r="F916" s="34" t="s">
        <v>1602</v>
      </c>
      <c r="G916" s="34" t="s">
        <v>227</v>
      </c>
      <c r="H916" s="34" t="s">
        <v>1358</v>
      </c>
      <c r="I916" s="34" t="s">
        <v>67</v>
      </c>
      <c r="J916" s="34" t="s">
        <v>228</v>
      </c>
      <c r="K916" s="34" t="s">
        <v>229</v>
      </c>
      <c r="L916" s="34" t="s">
        <v>230</v>
      </c>
      <c r="M916" s="34" t="s">
        <v>1640</v>
      </c>
      <c r="N916" s="34" t="str">
        <f aca="false">"Sector "&amp;VALUE(MID(D916,13,2))</f>
        <v>Sector 8</v>
      </c>
      <c r="O916" s="34" t="str">
        <f aca="false">IF(Dashboard!$C$5="Ubicación técnica",N916,"Sector "&amp;VALUE(RIGHT(G916,2)))</f>
        <v>Sector 8</v>
      </c>
      <c r="P916" s="34" t="str">
        <f aca="false">IF(MID(D916,15,3)="SEL","Subestación eléctrica","Área de proceso")</f>
        <v>Subestación eléctrica</v>
      </c>
      <c r="Q916" s="34" t="str">
        <f aca="false">MID(D916,13,5)&amp;"|"&amp;MID(D916,19,5)</f>
        <v>08SEL|SEP01</v>
      </c>
      <c r="R916" s="34" t="str">
        <f aca="false">IF(P916="Subestación eléctrica",IFERROR(INDEX(cat_SubN,MATCH(Q916,cat_SubK,0)),"SIN CATALOGAR"),"ÁREA DE PROCESO")</f>
        <v>SEP-01</v>
      </c>
      <c r="S916" s="34" t="str">
        <f aca="false">IF(H916="","SIN DATO",IFERROR(INDEX(cat_MarcaN,MATCH(H916,cat_MarcaO,0)),H916))</f>
        <v>GENERAL ELECTRIC</v>
      </c>
      <c r="T916" s="34" t="str">
        <f aca="false">IF(I916="","SIN DATO",IFERROR(INDEX(cat_ModN,MATCH(I916,cat_ModO,0)),I916))</f>
        <v>MULTILIN F60</v>
      </c>
      <c r="U916" s="34" t="str">
        <f aca="false">IF(I916="","",IFERROR(INDEX(cat_ModG,MATCH(I916,cat_ModO,0)),"No"))</f>
        <v>No</v>
      </c>
      <c r="V916" s="34" t="str">
        <f aca="false">IF(J916="","SIN DATO",IFERROR(INDEX(cat_FunN,MATCH(J916,cat_FunO,0)),J916))</f>
        <v>Protección y medición</v>
      </c>
      <c r="W916" s="34" t="str">
        <f aca="false">IF(OR(S916="SIN DATO",T916="SIN DATO"),"No","Sí")</f>
        <v>Sí</v>
      </c>
    </row>
    <row r="917" customFormat="false" ht="15" hidden="false" customHeight="false" outlineLevel="0" collapsed="false">
      <c r="A917" s="34" t="s">
        <v>3440</v>
      </c>
      <c r="B917" s="34" t="s">
        <v>3441</v>
      </c>
      <c r="C917" s="34" t="s">
        <v>3442</v>
      </c>
      <c r="D917" s="34" t="s">
        <v>1972</v>
      </c>
      <c r="E917" s="34" t="s">
        <v>184</v>
      </c>
      <c r="F917" s="34" t="s">
        <v>1602</v>
      </c>
      <c r="G917" s="34" t="s">
        <v>227</v>
      </c>
      <c r="H917" s="34" t="s">
        <v>55</v>
      </c>
      <c r="I917" s="34" t="s">
        <v>57</v>
      </c>
      <c r="J917" s="34" t="s">
        <v>58</v>
      </c>
      <c r="K917" s="34" t="s">
        <v>229</v>
      </c>
      <c r="L917" s="34" t="s">
        <v>230</v>
      </c>
      <c r="M917" s="34" t="s">
        <v>237</v>
      </c>
      <c r="N917" s="34" t="str">
        <f aca="false">"Sector "&amp;VALUE(MID(D917,13,2))</f>
        <v>Sector 8</v>
      </c>
      <c r="O917" s="34" t="str">
        <f aca="false">IF(Dashboard!$C$5="Ubicación técnica",N917,"Sector "&amp;VALUE(RIGHT(G917,2)))</f>
        <v>Sector 8</v>
      </c>
      <c r="P917" s="34" t="str">
        <f aca="false">IF(MID(D917,15,3)="SEL","Subestación eléctrica","Área de proceso")</f>
        <v>Subestación eléctrica</v>
      </c>
      <c r="Q917" s="34" t="str">
        <f aca="false">MID(D917,13,5)&amp;"|"&amp;MID(D917,19,5)</f>
        <v>08SEL|SEP01</v>
      </c>
      <c r="R917" s="34" t="str">
        <f aca="false">IF(P917="Subestación eléctrica",IFERROR(INDEX(cat_SubN,MATCH(Q917,cat_SubK,0)),"SIN CATALOGAR"),"ÁREA DE PROCESO")</f>
        <v>SEP-01</v>
      </c>
      <c r="S917" s="34" t="str">
        <f aca="false">IF(H917="","SIN DATO",IFERROR(INDEX(cat_MarcaN,MATCH(H917,cat_MarcaO,0)),H917))</f>
        <v>SEL</v>
      </c>
      <c r="T917" s="34" t="str">
        <f aca="false">IF(I917="","SIN DATO",IFERROR(INDEX(cat_ModN,MATCH(I917,cat_ModO,0)),I917))</f>
        <v>SEL-735</v>
      </c>
      <c r="U917" s="34" t="str">
        <f aca="false">IF(I917="","",IFERROR(INDEX(cat_ModG,MATCH(I917,cat_ModO,0)),"No"))</f>
        <v>No</v>
      </c>
      <c r="V917" s="34" t="str">
        <f aca="false">IF(J917="","SIN DATO",IFERROR(INDEX(cat_FunN,MATCH(J917,cat_FunO,0)),J917))</f>
        <v>Medición</v>
      </c>
      <c r="W917" s="34" t="str">
        <f aca="false">IF(OR(S917="SIN DATO",T917="SIN DATO"),"No","Sí")</f>
        <v>Sí</v>
      </c>
    </row>
    <row r="918" customFormat="false" ht="15" hidden="false" customHeight="false" outlineLevel="0" collapsed="false">
      <c r="A918" s="34" t="s">
        <v>3443</v>
      </c>
      <c r="B918" s="34" t="s">
        <v>3444</v>
      </c>
      <c r="C918" s="34" t="s">
        <v>3445</v>
      </c>
      <c r="D918" s="34" t="s">
        <v>1989</v>
      </c>
      <c r="E918" s="34" t="s">
        <v>184</v>
      </c>
      <c r="F918" s="34" t="s">
        <v>1602</v>
      </c>
      <c r="G918" s="34" t="s">
        <v>227</v>
      </c>
      <c r="H918" s="34" t="s">
        <v>1358</v>
      </c>
      <c r="I918" s="34" t="s">
        <v>65</v>
      </c>
      <c r="J918" s="34" t="s">
        <v>228</v>
      </c>
      <c r="K918" s="34" t="s">
        <v>229</v>
      </c>
      <c r="L918" s="34" t="s">
        <v>230</v>
      </c>
      <c r="M918" s="34" t="s">
        <v>1640</v>
      </c>
      <c r="N918" s="34" t="str">
        <f aca="false">"Sector "&amp;VALUE(MID(D918,13,2))</f>
        <v>Sector 8</v>
      </c>
      <c r="O918" s="34" t="str">
        <f aca="false">IF(Dashboard!$C$5="Ubicación técnica",N918,"Sector "&amp;VALUE(RIGHT(G918,2)))</f>
        <v>Sector 8</v>
      </c>
      <c r="P918" s="34" t="str">
        <f aca="false">IF(MID(D918,15,3)="SEL","Subestación eléctrica","Área de proceso")</f>
        <v>Subestación eléctrica</v>
      </c>
      <c r="Q918" s="34" t="str">
        <f aca="false">MID(D918,13,5)&amp;"|"&amp;MID(D918,19,5)</f>
        <v>08SEL|SEP01</v>
      </c>
      <c r="R918" s="34" t="str">
        <f aca="false">IF(P918="Subestación eléctrica",IFERROR(INDEX(cat_SubN,MATCH(Q918,cat_SubK,0)),"SIN CATALOGAR"),"ÁREA DE PROCESO")</f>
        <v>SEP-01</v>
      </c>
      <c r="S918" s="34" t="str">
        <f aca="false">IF(H918="","SIN DATO",IFERROR(INDEX(cat_MarcaN,MATCH(H918,cat_MarcaO,0)),H918))</f>
        <v>GENERAL ELECTRIC</v>
      </c>
      <c r="T918" s="34" t="str">
        <f aca="false">IF(I918="","SIN DATO",IFERROR(INDEX(cat_ModN,MATCH(I918,cat_ModO,0)),I918))</f>
        <v>MULTILIN T60</v>
      </c>
      <c r="U918" s="34" t="str">
        <f aca="false">IF(I918="","",IFERROR(INDEX(cat_ModG,MATCH(I918,cat_ModO,0)),"No"))</f>
        <v>No</v>
      </c>
      <c r="V918" s="34" t="str">
        <f aca="false">IF(J918="","SIN DATO",IFERROR(INDEX(cat_FunN,MATCH(J918,cat_FunO,0)),J918))</f>
        <v>Protección y medición</v>
      </c>
      <c r="W918" s="34" t="str">
        <f aca="false">IF(OR(S918="SIN DATO",T918="SIN DATO"),"No","Sí")</f>
        <v>Sí</v>
      </c>
    </row>
    <row r="919" customFormat="false" ht="15" hidden="false" customHeight="false" outlineLevel="0" collapsed="false">
      <c r="A919" s="34" t="s">
        <v>3446</v>
      </c>
      <c r="B919" s="34" t="s">
        <v>3447</v>
      </c>
      <c r="C919" s="34" t="s">
        <v>3448</v>
      </c>
      <c r="D919" s="34" t="s">
        <v>1989</v>
      </c>
      <c r="E919" s="34" t="s">
        <v>184</v>
      </c>
      <c r="F919" s="34" t="s">
        <v>1602</v>
      </c>
      <c r="G919" s="34" t="s">
        <v>227</v>
      </c>
      <c r="H919" s="34" t="s">
        <v>1358</v>
      </c>
      <c r="I919" s="34" t="s">
        <v>66</v>
      </c>
      <c r="J919" s="34" t="s">
        <v>1979</v>
      </c>
      <c r="K919" s="34" t="s">
        <v>229</v>
      </c>
      <c r="L919" s="34" t="s">
        <v>230</v>
      </c>
      <c r="M919" s="34" t="s">
        <v>237</v>
      </c>
      <c r="N919" s="34" t="str">
        <f aca="false">"Sector "&amp;VALUE(MID(D919,13,2))</f>
        <v>Sector 8</v>
      </c>
      <c r="O919" s="34" t="str">
        <f aca="false">IF(Dashboard!$C$5="Ubicación técnica",N919,"Sector "&amp;VALUE(RIGHT(G919,2)))</f>
        <v>Sector 8</v>
      </c>
      <c r="P919" s="34" t="str">
        <f aca="false">IF(MID(D919,15,3)="SEL","Subestación eléctrica","Área de proceso")</f>
        <v>Subestación eléctrica</v>
      </c>
      <c r="Q919" s="34" t="str">
        <f aca="false">MID(D919,13,5)&amp;"|"&amp;MID(D919,19,5)</f>
        <v>08SEL|SEP01</v>
      </c>
      <c r="R919" s="34" t="str">
        <f aca="false">IF(P919="Subestación eléctrica",IFERROR(INDEX(cat_SubN,MATCH(Q919,cat_SubK,0)),"SIN CATALOGAR"),"ÁREA DE PROCESO")</f>
        <v>SEP-01</v>
      </c>
      <c r="S919" s="34" t="str">
        <f aca="false">IF(H919="","SIN DATO",IFERROR(INDEX(cat_MarcaN,MATCH(H919,cat_MarcaO,0)),H919))</f>
        <v>GENERAL ELECTRIC</v>
      </c>
      <c r="T919" s="34" t="str">
        <f aca="false">IF(I919="","SIN DATO",IFERROR(INDEX(cat_ModN,MATCH(I919,cat_ModO,0)),I919))</f>
        <v>MULTILIN C30</v>
      </c>
      <c r="U919" s="34" t="str">
        <f aca="false">IF(I919="","",IFERROR(INDEX(cat_ModG,MATCH(I919,cat_ModO,0)),"No"))</f>
        <v>No</v>
      </c>
      <c r="V919" s="34" t="str">
        <f aca="false">IF(J919="","SIN DATO",IFERROR(INDEX(cat_FunN,MATCH(J919,cat_FunO,0)),J919))</f>
        <v>Control y protección</v>
      </c>
      <c r="W919" s="34" t="str">
        <f aca="false">IF(OR(S919="SIN DATO",T919="SIN DATO"),"No","Sí")</f>
        <v>Sí</v>
      </c>
    </row>
    <row r="920" customFormat="false" ht="15" hidden="false" customHeight="false" outlineLevel="0" collapsed="false">
      <c r="A920" s="34" t="s">
        <v>3449</v>
      </c>
      <c r="B920" s="34" t="s">
        <v>3450</v>
      </c>
      <c r="C920" s="34" t="s">
        <v>3451</v>
      </c>
      <c r="D920" s="34" t="s">
        <v>1972</v>
      </c>
      <c r="E920" s="34" t="s">
        <v>184</v>
      </c>
      <c r="F920" s="34" t="s">
        <v>1602</v>
      </c>
      <c r="G920" s="34" t="s">
        <v>227</v>
      </c>
      <c r="H920" s="34" t="s">
        <v>1358</v>
      </c>
      <c r="I920" s="34" t="s">
        <v>66</v>
      </c>
      <c r="J920" s="34" t="s">
        <v>1979</v>
      </c>
      <c r="K920" s="34" t="s">
        <v>229</v>
      </c>
      <c r="L920" s="34" t="s">
        <v>230</v>
      </c>
      <c r="M920" s="34" t="s">
        <v>237</v>
      </c>
      <c r="N920" s="34" t="str">
        <f aca="false">"Sector "&amp;VALUE(MID(D920,13,2))</f>
        <v>Sector 8</v>
      </c>
      <c r="O920" s="34" t="str">
        <f aca="false">IF(Dashboard!$C$5="Ubicación técnica",N920,"Sector "&amp;VALUE(RIGHT(G920,2)))</f>
        <v>Sector 8</v>
      </c>
      <c r="P920" s="34" t="str">
        <f aca="false">IF(MID(D920,15,3)="SEL","Subestación eléctrica","Área de proceso")</f>
        <v>Subestación eléctrica</v>
      </c>
      <c r="Q920" s="34" t="str">
        <f aca="false">MID(D920,13,5)&amp;"|"&amp;MID(D920,19,5)</f>
        <v>08SEL|SEP01</v>
      </c>
      <c r="R920" s="34" t="str">
        <f aca="false">IF(P920="Subestación eléctrica",IFERROR(INDEX(cat_SubN,MATCH(Q920,cat_SubK,0)),"SIN CATALOGAR"),"ÁREA DE PROCESO")</f>
        <v>SEP-01</v>
      </c>
      <c r="S920" s="34" t="str">
        <f aca="false">IF(H920="","SIN DATO",IFERROR(INDEX(cat_MarcaN,MATCH(H920,cat_MarcaO,0)),H920))</f>
        <v>GENERAL ELECTRIC</v>
      </c>
      <c r="T920" s="34" t="str">
        <f aca="false">IF(I920="","SIN DATO",IFERROR(INDEX(cat_ModN,MATCH(I920,cat_ModO,0)),I920))</f>
        <v>MULTILIN C30</v>
      </c>
      <c r="U920" s="34" t="str">
        <f aca="false">IF(I920="","",IFERROR(INDEX(cat_ModG,MATCH(I920,cat_ModO,0)),"No"))</f>
        <v>No</v>
      </c>
      <c r="V920" s="34" t="str">
        <f aca="false">IF(J920="","SIN DATO",IFERROR(INDEX(cat_FunN,MATCH(J920,cat_FunO,0)),J920))</f>
        <v>Control y protección</v>
      </c>
      <c r="W920" s="34" t="str">
        <f aca="false">IF(OR(S920="SIN DATO",T920="SIN DATO"),"No","Sí")</f>
        <v>Sí</v>
      </c>
    </row>
    <row r="921" customFormat="false" ht="15" hidden="false" customHeight="false" outlineLevel="0" collapsed="false">
      <c r="A921" s="34" t="s">
        <v>3452</v>
      </c>
      <c r="B921" s="34" t="s">
        <v>3453</v>
      </c>
      <c r="C921" s="34" t="s">
        <v>3454</v>
      </c>
      <c r="D921" s="34" t="s">
        <v>1989</v>
      </c>
      <c r="E921" s="34" t="s">
        <v>184</v>
      </c>
      <c r="F921" s="34" t="s">
        <v>1602</v>
      </c>
      <c r="G921" s="34" t="s">
        <v>227</v>
      </c>
      <c r="H921" s="34" t="s">
        <v>1358</v>
      </c>
      <c r="I921" s="34" t="s">
        <v>67</v>
      </c>
      <c r="J921" s="34" t="s">
        <v>228</v>
      </c>
      <c r="K921" s="34" t="s">
        <v>229</v>
      </c>
      <c r="L921" s="34" t="s">
        <v>230</v>
      </c>
      <c r="M921" s="34" t="s">
        <v>1640</v>
      </c>
      <c r="N921" s="34" t="str">
        <f aca="false">"Sector "&amp;VALUE(MID(D921,13,2))</f>
        <v>Sector 8</v>
      </c>
      <c r="O921" s="34" t="str">
        <f aca="false">IF(Dashboard!$C$5="Ubicación técnica",N921,"Sector "&amp;VALUE(RIGHT(G921,2)))</f>
        <v>Sector 8</v>
      </c>
      <c r="P921" s="34" t="str">
        <f aca="false">IF(MID(D921,15,3)="SEL","Subestación eléctrica","Área de proceso")</f>
        <v>Subestación eléctrica</v>
      </c>
      <c r="Q921" s="34" t="str">
        <f aca="false">MID(D921,13,5)&amp;"|"&amp;MID(D921,19,5)</f>
        <v>08SEL|SEP01</v>
      </c>
      <c r="R921" s="34" t="str">
        <f aca="false">IF(P921="Subestación eléctrica",IFERROR(INDEX(cat_SubN,MATCH(Q921,cat_SubK,0)),"SIN CATALOGAR"),"ÁREA DE PROCESO")</f>
        <v>SEP-01</v>
      </c>
      <c r="S921" s="34" t="str">
        <f aca="false">IF(H921="","SIN DATO",IFERROR(INDEX(cat_MarcaN,MATCH(H921,cat_MarcaO,0)),H921))</f>
        <v>GENERAL ELECTRIC</v>
      </c>
      <c r="T921" s="34" t="str">
        <f aca="false">IF(I921="","SIN DATO",IFERROR(INDEX(cat_ModN,MATCH(I921,cat_ModO,0)),I921))</f>
        <v>MULTILIN F60</v>
      </c>
      <c r="U921" s="34" t="str">
        <f aca="false">IF(I921="","",IFERROR(INDEX(cat_ModG,MATCH(I921,cat_ModO,0)),"No"))</f>
        <v>No</v>
      </c>
      <c r="V921" s="34" t="str">
        <f aca="false">IF(J921="","SIN DATO",IFERROR(INDEX(cat_FunN,MATCH(J921,cat_FunO,0)),J921))</f>
        <v>Protección y medición</v>
      </c>
      <c r="W921" s="34" t="str">
        <f aca="false">IF(OR(S921="SIN DATO",T921="SIN DATO"),"No","Sí")</f>
        <v>Sí</v>
      </c>
    </row>
    <row r="922" customFormat="false" ht="15" hidden="false" customHeight="false" outlineLevel="0" collapsed="false">
      <c r="A922" s="34" t="s">
        <v>3455</v>
      </c>
      <c r="B922" s="34" t="s">
        <v>3456</v>
      </c>
      <c r="C922" s="34" t="s">
        <v>3457</v>
      </c>
      <c r="D922" s="34" t="s">
        <v>1972</v>
      </c>
      <c r="E922" s="34" t="s">
        <v>184</v>
      </c>
      <c r="F922" s="34" t="s">
        <v>1602</v>
      </c>
      <c r="G922" s="34" t="s">
        <v>227</v>
      </c>
      <c r="H922" s="34" t="s">
        <v>1358</v>
      </c>
      <c r="I922" s="34" t="s">
        <v>67</v>
      </c>
      <c r="J922" s="34" t="s">
        <v>228</v>
      </c>
      <c r="K922" s="34" t="s">
        <v>229</v>
      </c>
      <c r="L922" s="34" t="s">
        <v>230</v>
      </c>
      <c r="M922" s="34" t="s">
        <v>1640</v>
      </c>
      <c r="N922" s="34" t="str">
        <f aca="false">"Sector "&amp;VALUE(MID(D922,13,2))</f>
        <v>Sector 8</v>
      </c>
      <c r="O922" s="34" t="str">
        <f aca="false">IF(Dashboard!$C$5="Ubicación técnica",N922,"Sector "&amp;VALUE(RIGHT(G922,2)))</f>
        <v>Sector 8</v>
      </c>
      <c r="P922" s="34" t="str">
        <f aca="false">IF(MID(D922,15,3)="SEL","Subestación eléctrica","Área de proceso")</f>
        <v>Subestación eléctrica</v>
      </c>
      <c r="Q922" s="34" t="str">
        <f aca="false">MID(D922,13,5)&amp;"|"&amp;MID(D922,19,5)</f>
        <v>08SEL|SEP01</v>
      </c>
      <c r="R922" s="34" t="str">
        <f aca="false">IF(P922="Subestación eléctrica",IFERROR(INDEX(cat_SubN,MATCH(Q922,cat_SubK,0)),"SIN CATALOGAR"),"ÁREA DE PROCESO")</f>
        <v>SEP-01</v>
      </c>
      <c r="S922" s="34" t="str">
        <f aca="false">IF(H922="","SIN DATO",IFERROR(INDEX(cat_MarcaN,MATCH(H922,cat_MarcaO,0)),H922))</f>
        <v>GENERAL ELECTRIC</v>
      </c>
      <c r="T922" s="34" t="str">
        <f aca="false">IF(I922="","SIN DATO",IFERROR(INDEX(cat_ModN,MATCH(I922,cat_ModO,0)),I922))</f>
        <v>MULTILIN F60</v>
      </c>
      <c r="U922" s="34" t="str">
        <f aca="false">IF(I922="","",IFERROR(INDEX(cat_ModG,MATCH(I922,cat_ModO,0)),"No"))</f>
        <v>No</v>
      </c>
      <c r="V922" s="34" t="str">
        <f aca="false">IF(J922="","SIN DATO",IFERROR(INDEX(cat_FunN,MATCH(J922,cat_FunO,0)),J922))</f>
        <v>Protección y medición</v>
      </c>
      <c r="W922" s="34" t="str">
        <f aca="false">IF(OR(S922="SIN DATO",T922="SIN DATO"),"No","Sí")</f>
        <v>Sí</v>
      </c>
    </row>
    <row r="923" customFormat="false" ht="15" hidden="false" customHeight="false" outlineLevel="0" collapsed="false">
      <c r="A923" s="34" t="s">
        <v>3458</v>
      </c>
      <c r="B923" s="34" t="s">
        <v>3459</v>
      </c>
      <c r="C923" s="34" t="s">
        <v>3460</v>
      </c>
      <c r="D923" s="34" t="s">
        <v>1989</v>
      </c>
      <c r="E923" s="34" t="s">
        <v>184</v>
      </c>
      <c r="F923" s="34" t="s">
        <v>1602</v>
      </c>
      <c r="G923" s="34" t="s">
        <v>227</v>
      </c>
      <c r="H923" s="34" t="s">
        <v>55</v>
      </c>
      <c r="I923" s="34" t="s">
        <v>57</v>
      </c>
      <c r="J923" s="34" t="s">
        <v>58</v>
      </c>
      <c r="K923" s="34" t="s">
        <v>229</v>
      </c>
      <c r="L923" s="34" t="s">
        <v>230</v>
      </c>
      <c r="M923" s="34" t="s">
        <v>237</v>
      </c>
      <c r="N923" s="34" t="str">
        <f aca="false">"Sector "&amp;VALUE(MID(D923,13,2))</f>
        <v>Sector 8</v>
      </c>
      <c r="O923" s="34" t="str">
        <f aca="false">IF(Dashboard!$C$5="Ubicación técnica",N923,"Sector "&amp;VALUE(RIGHT(G923,2)))</f>
        <v>Sector 8</v>
      </c>
      <c r="P923" s="34" t="str">
        <f aca="false">IF(MID(D923,15,3)="SEL","Subestación eléctrica","Área de proceso")</f>
        <v>Subestación eléctrica</v>
      </c>
      <c r="Q923" s="34" t="str">
        <f aca="false">MID(D923,13,5)&amp;"|"&amp;MID(D923,19,5)</f>
        <v>08SEL|SEP01</v>
      </c>
      <c r="R923" s="34" t="str">
        <f aca="false">IF(P923="Subestación eléctrica",IFERROR(INDEX(cat_SubN,MATCH(Q923,cat_SubK,0)),"SIN CATALOGAR"),"ÁREA DE PROCESO")</f>
        <v>SEP-01</v>
      </c>
      <c r="S923" s="34" t="str">
        <f aca="false">IF(H923="","SIN DATO",IFERROR(INDEX(cat_MarcaN,MATCH(H923,cat_MarcaO,0)),H923))</f>
        <v>SEL</v>
      </c>
      <c r="T923" s="34" t="str">
        <f aca="false">IF(I923="","SIN DATO",IFERROR(INDEX(cat_ModN,MATCH(I923,cat_ModO,0)),I923))</f>
        <v>SEL-735</v>
      </c>
      <c r="U923" s="34" t="str">
        <f aca="false">IF(I923="","",IFERROR(INDEX(cat_ModG,MATCH(I923,cat_ModO,0)),"No"))</f>
        <v>No</v>
      </c>
      <c r="V923" s="34" t="str">
        <f aca="false">IF(J923="","SIN DATO",IFERROR(INDEX(cat_FunN,MATCH(J923,cat_FunO,0)),J923))</f>
        <v>Medición</v>
      </c>
      <c r="W923" s="34" t="str">
        <f aca="false">IF(OR(S923="SIN DATO",T923="SIN DATO"),"No","Sí")</f>
        <v>Sí</v>
      </c>
    </row>
    <row r="924" customFormat="false" ht="15" hidden="false" customHeight="false" outlineLevel="0" collapsed="false">
      <c r="A924" s="34" t="s">
        <v>3461</v>
      </c>
      <c r="B924" s="34" t="s">
        <v>3462</v>
      </c>
      <c r="C924" s="34" t="s">
        <v>3463</v>
      </c>
      <c r="D924" s="34" t="s">
        <v>1972</v>
      </c>
      <c r="E924" s="34" t="s">
        <v>184</v>
      </c>
      <c r="F924" s="34" t="s">
        <v>1602</v>
      </c>
      <c r="G924" s="34" t="s">
        <v>227</v>
      </c>
      <c r="H924" s="34" t="s">
        <v>1358</v>
      </c>
      <c r="I924" s="34" t="s">
        <v>65</v>
      </c>
      <c r="J924" s="34" t="s">
        <v>228</v>
      </c>
      <c r="K924" s="34" t="s">
        <v>229</v>
      </c>
      <c r="L924" s="34" t="s">
        <v>230</v>
      </c>
      <c r="M924" s="34" t="s">
        <v>1640</v>
      </c>
      <c r="N924" s="34" t="str">
        <f aca="false">"Sector "&amp;VALUE(MID(D924,13,2))</f>
        <v>Sector 8</v>
      </c>
      <c r="O924" s="34" t="str">
        <f aca="false">IF(Dashboard!$C$5="Ubicación técnica",N924,"Sector "&amp;VALUE(RIGHT(G924,2)))</f>
        <v>Sector 8</v>
      </c>
      <c r="P924" s="34" t="str">
        <f aca="false">IF(MID(D924,15,3)="SEL","Subestación eléctrica","Área de proceso")</f>
        <v>Subestación eléctrica</v>
      </c>
      <c r="Q924" s="34" t="str">
        <f aca="false">MID(D924,13,5)&amp;"|"&amp;MID(D924,19,5)</f>
        <v>08SEL|SEP01</v>
      </c>
      <c r="R924" s="34" t="str">
        <f aca="false">IF(P924="Subestación eléctrica",IFERROR(INDEX(cat_SubN,MATCH(Q924,cat_SubK,0)),"SIN CATALOGAR"),"ÁREA DE PROCESO")</f>
        <v>SEP-01</v>
      </c>
      <c r="S924" s="34" t="str">
        <f aca="false">IF(H924="","SIN DATO",IFERROR(INDEX(cat_MarcaN,MATCH(H924,cat_MarcaO,0)),H924))</f>
        <v>GENERAL ELECTRIC</v>
      </c>
      <c r="T924" s="34" t="str">
        <f aca="false">IF(I924="","SIN DATO",IFERROR(INDEX(cat_ModN,MATCH(I924,cat_ModO,0)),I924))</f>
        <v>MULTILIN T60</v>
      </c>
      <c r="U924" s="34" t="str">
        <f aca="false">IF(I924="","",IFERROR(INDEX(cat_ModG,MATCH(I924,cat_ModO,0)),"No"))</f>
        <v>No</v>
      </c>
      <c r="V924" s="34" t="str">
        <f aca="false">IF(J924="","SIN DATO",IFERROR(INDEX(cat_FunN,MATCH(J924,cat_FunO,0)),J924))</f>
        <v>Protección y medición</v>
      </c>
      <c r="W924" s="34" t="str">
        <f aca="false">IF(OR(S924="SIN DATO",T924="SIN DATO"),"No","Sí")</f>
        <v>Sí</v>
      </c>
    </row>
    <row r="925" customFormat="false" ht="15" hidden="false" customHeight="false" outlineLevel="0" collapsed="false">
      <c r="A925" s="34" t="s">
        <v>3464</v>
      </c>
      <c r="B925" s="34" t="s">
        <v>3465</v>
      </c>
      <c r="C925" s="34" t="s">
        <v>3466</v>
      </c>
      <c r="D925" s="34" t="s">
        <v>1972</v>
      </c>
      <c r="E925" s="34" t="s">
        <v>184</v>
      </c>
      <c r="F925" s="34" t="s">
        <v>1602</v>
      </c>
      <c r="G925" s="34" t="s">
        <v>227</v>
      </c>
      <c r="H925" s="34" t="s">
        <v>1358</v>
      </c>
      <c r="I925" s="34" t="s">
        <v>66</v>
      </c>
      <c r="J925" s="34" t="s">
        <v>1979</v>
      </c>
      <c r="K925" s="34" t="s">
        <v>229</v>
      </c>
      <c r="L925" s="34" t="s">
        <v>230</v>
      </c>
      <c r="M925" s="34" t="s">
        <v>237</v>
      </c>
      <c r="N925" s="34" t="str">
        <f aca="false">"Sector "&amp;VALUE(MID(D925,13,2))</f>
        <v>Sector 8</v>
      </c>
      <c r="O925" s="34" t="str">
        <f aca="false">IF(Dashboard!$C$5="Ubicación técnica",N925,"Sector "&amp;VALUE(RIGHT(G925,2)))</f>
        <v>Sector 8</v>
      </c>
      <c r="P925" s="34" t="str">
        <f aca="false">IF(MID(D925,15,3)="SEL","Subestación eléctrica","Área de proceso")</f>
        <v>Subestación eléctrica</v>
      </c>
      <c r="Q925" s="34" t="str">
        <f aca="false">MID(D925,13,5)&amp;"|"&amp;MID(D925,19,5)</f>
        <v>08SEL|SEP01</v>
      </c>
      <c r="R925" s="34" t="str">
        <f aca="false">IF(P925="Subestación eléctrica",IFERROR(INDEX(cat_SubN,MATCH(Q925,cat_SubK,0)),"SIN CATALOGAR"),"ÁREA DE PROCESO")</f>
        <v>SEP-01</v>
      </c>
      <c r="S925" s="34" t="str">
        <f aca="false">IF(H925="","SIN DATO",IFERROR(INDEX(cat_MarcaN,MATCH(H925,cat_MarcaO,0)),H925))</f>
        <v>GENERAL ELECTRIC</v>
      </c>
      <c r="T925" s="34" t="str">
        <f aca="false">IF(I925="","SIN DATO",IFERROR(INDEX(cat_ModN,MATCH(I925,cat_ModO,0)),I925))</f>
        <v>MULTILIN C30</v>
      </c>
      <c r="U925" s="34" t="str">
        <f aca="false">IF(I925="","",IFERROR(INDEX(cat_ModG,MATCH(I925,cat_ModO,0)),"No"))</f>
        <v>No</v>
      </c>
      <c r="V925" s="34" t="str">
        <f aca="false">IF(J925="","SIN DATO",IFERROR(INDEX(cat_FunN,MATCH(J925,cat_FunO,0)),J925))</f>
        <v>Control y protección</v>
      </c>
      <c r="W925" s="34" t="str">
        <f aca="false">IF(OR(S925="SIN DATO",T925="SIN DATO"),"No","Sí")</f>
        <v>Sí</v>
      </c>
    </row>
    <row r="926" customFormat="false" ht="15" hidden="false" customHeight="false" outlineLevel="0" collapsed="false">
      <c r="A926" s="34" t="s">
        <v>3467</v>
      </c>
      <c r="B926" s="34" t="s">
        <v>3468</v>
      </c>
      <c r="C926" s="34" t="s">
        <v>3469</v>
      </c>
      <c r="D926" s="34" t="s">
        <v>1972</v>
      </c>
      <c r="E926" s="34" t="s">
        <v>184</v>
      </c>
      <c r="F926" s="34" t="s">
        <v>1602</v>
      </c>
      <c r="G926" s="34" t="s">
        <v>227</v>
      </c>
      <c r="H926" s="34" t="s">
        <v>1358</v>
      </c>
      <c r="I926" s="34" t="s">
        <v>66</v>
      </c>
      <c r="J926" s="34" t="s">
        <v>1979</v>
      </c>
      <c r="K926" s="34" t="s">
        <v>229</v>
      </c>
      <c r="L926" s="34" t="s">
        <v>230</v>
      </c>
      <c r="M926" s="34" t="s">
        <v>237</v>
      </c>
      <c r="N926" s="34" t="str">
        <f aca="false">"Sector "&amp;VALUE(MID(D926,13,2))</f>
        <v>Sector 8</v>
      </c>
      <c r="O926" s="34" t="str">
        <f aca="false">IF(Dashboard!$C$5="Ubicación técnica",N926,"Sector "&amp;VALUE(RIGHT(G926,2)))</f>
        <v>Sector 8</v>
      </c>
      <c r="P926" s="34" t="str">
        <f aca="false">IF(MID(D926,15,3)="SEL","Subestación eléctrica","Área de proceso")</f>
        <v>Subestación eléctrica</v>
      </c>
      <c r="Q926" s="34" t="str">
        <f aca="false">MID(D926,13,5)&amp;"|"&amp;MID(D926,19,5)</f>
        <v>08SEL|SEP01</v>
      </c>
      <c r="R926" s="34" t="str">
        <f aca="false">IF(P926="Subestación eléctrica",IFERROR(INDEX(cat_SubN,MATCH(Q926,cat_SubK,0)),"SIN CATALOGAR"),"ÁREA DE PROCESO")</f>
        <v>SEP-01</v>
      </c>
      <c r="S926" s="34" t="str">
        <f aca="false">IF(H926="","SIN DATO",IFERROR(INDEX(cat_MarcaN,MATCH(H926,cat_MarcaO,0)),H926))</f>
        <v>GENERAL ELECTRIC</v>
      </c>
      <c r="T926" s="34" t="str">
        <f aca="false">IF(I926="","SIN DATO",IFERROR(INDEX(cat_ModN,MATCH(I926,cat_ModO,0)),I926))</f>
        <v>MULTILIN C30</v>
      </c>
      <c r="U926" s="34" t="str">
        <f aca="false">IF(I926="","",IFERROR(INDEX(cat_ModG,MATCH(I926,cat_ModO,0)),"No"))</f>
        <v>No</v>
      </c>
      <c r="V926" s="34" t="str">
        <f aca="false">IF(J926="","SIN DATO",IFERROR(INDEX(cat_FunN,MATCH(J926,cat_FunO,0)),J926))</f>
        <v>Control y protección</v>
      </c>
      <c r="W926" s="34" t="str">
        <f aca="false">IF(OR(S926="SIN DATO",T926="SIN DATO"),"No","Sí")</f>
        <v>Sí</v>
      </c>
    </row>
    <row r="927" customFormat="false" ht="15" hidden="false" customHeight="false" outlineLevel="0" collapsed="false">
      <c r="A927" s="34" t="s">
        <v>3470</v>
      </c>
      <c r="B927" s="34" t="s">
        <v>3471</v>
      </c>
      <c r="C927" s="34" t="s">
        <v>3472</v>
      </c>
      <c r="D927" s="34" t="s">
        <v>1972</v>
      </c>
      <c r="E927" s="34" t="s">
        <v>184</v>
      </c>
      <c r="F927" s="34" t="s">
        <v>1602</v>
      </c>
      <c r="G927" s="34" t="s">
        <v>227</v>
      </c>
      <c r="H927" s="34" t="s">
        <v>1358</v>
      </c>
      <c r="I927" s="34" t="s">
        <v>67</v>
      </c>
      <c r="J927" s="34" t="s">
        <v>228</v>
      </c>
      <c r="K927" s="34" t="s">
        <v>229</v>
      </c>
      <c r="L927" s="34" t="s">
        <v>230</v>
      </c>
      <c r="M927" s="34" t="s">
        <v>1640</v>
      </c>
      <c r="N927" s="34" t="str">
        <f aca="false">"Sector "&amp;VALUE(MID(D927,13,2))</f>
        <v>Sector 8</v>
      </c>
      <c r="O927" s="34" t="str">
        <f aca="false">IF(Dashboard!$C$5="Ubicación técnica",N927,"Sector "&amp;VALUE(RIGHT(G927,2)))</f>
        <v>Sector 8</v>
      </c>
      <c r="P927" s="34" t="str">
        <f aca="false">IF(MID(D927,15,3)="SEL","Subestación eléctrica","Área de proceso")</f>
        <v>Subestación eléctrica</v>
      </c>
      <c r="Q927" s="34" t="str">
        <f aca="false">MID(D927,13,5)&amp;"|"&amp;MID(D927,19,5)</f>
        <v>08SEL|SEP01</v>
      </c>
      <c r="R927" s="34" t="str">
        <f aca="false">IF(P927="Subestación eléctrica",IFERROR(INDEX(cat_SubN,MATCH(Q927,cat_SubK,0)),"SIN CATALOGAR"),"ÁREA DE PROCESO")</f>
        <v>SEP-01</v>
      </c>
      <c r="S927" s="34" t="str">
        <f aca="false">IF(H927="","SIN DATO",IFERROR(INDEX(cat_MarcaN,MATCH(H927,cat_MarcaO,0)),H927))</f>
        <v>GENERAL ELECTRIC</v>
      </c>
      <c r="T927" s="34" t="str">
        <f aca="false">IF(I927="","SIN DATO",IFERROR(INDEX(cat_ModN,MATCH(I927,cat_ModO,0)),I927))</f>
        <v>MULTILIN F60</v>
      </c>
      <c r="U927" s="34" t="str">
        <f aca="false">IF(I927="","",IFERROR(INDEX(cat_ModG,MATCH(I927,cat_ModO,0)),"No"))</f>
        <v>No</v>
      </c>
      <c r="V927" s="34" t="str">
        <f aca="false">IF(J927="","SIN DATO",IFERROR(INDEX(cat_FunN,MATCH(J927,cat_FunO,0)),J927))</f>
        <v>Protección y medición</v>
      </c>
      <c r="W927" s="34" t="str">
        <f aca="false">IF(OR(S927="SIN DATO",T927="SIN DATO"),"No","Sí")</f>
        <v>Sí</v>
      </c>
    </row>
    <row r="928" customFormat="false" ht="15" hidden="false" customHeight="false" outlineLevel="0" collapsed="false">
      <c r="A928" s="34" t="s">
        <v>3473</v>
      </c>
      <c r="B928" s="34" t="s">
        <v>3474</v>
      </c>
      <c r="C928" s="34" t="s">
        <v>3475</v>
      </c>
      <c r="D928" s="34" t="s">
        <v>1972</v>
      </c>
      <c r="E928" s="34" t="s">
        <v>184</v>
      </c>
      <c r="F928" s="34" t="s">
        <v>1602</v>
      </c>
      <c r="G928" s="34" t="s">
        <v>227</v>
      </c>
      <c r="H928" s="34" t="s">
        <v>1358</v>
      </c>
      <c r="I928" s="34" t="s">
        <v>67</v>
      </c>
      <c r="J928" s="34" t="s">
        <v>228</v>
      </c>
      <c r="K928" s="34" t="s">
        <v>229</v>
      </c>
      <c r="L928" s="34" t="s">
        <v>230</v>
      </c>
      <c r="M928" s="34" t="s">
        <v>1640</v>
      </c>
      <c r="N928" s="34" t="str">
        <f aca="false">"Sector "&amp;VALUE(MID(D928,13,2))</f>
        <v>Sector 8</v>
      </c>
      <c r="O928" s="34" t="str">
        <f aca="false">IF(Dashboard!$C$5="Ubicación técnica",N928,"Sector "&amp;VALUE(RIGHT(G928,2)))</f>
        <v>Sector 8</v>
      </c>
      <c r="P928" s="34" t="str">
        <f aca="false">IF(MID(D928,15,3)="SEL","Subestación eléctrica","Área de proceso")</f>
        <v>Subestación eléctrica</v>
      </c>
      <c r="Q928" s="34" t="str">
        <f aca="false">MID(D928,13,5)&amp;"|"&amp;MID(D928,19,5)</f>
        <v>08SEL|SEP01</v>
      </c>
      <c r="R928" s="34" t="str">
        <f aca="false">IF(P928="Subestación eléctrica",IFERROR(INDEX(cat_SubN,MATCH(Q928,cat_SubK,0)),"SIN CATALOGAR"),"ÁREA DE PROCESO")</f>
        <v>SEP-01</v>
      </c>
      <c r="S928" s="34" t="str">
        <f aca="false">IF(H928="","SIN DATO",IFERROR(INDEX(cat_MarcaN,MATCH(H928,cat_MarcaO,0)),H928))</f>
        <v>GENERAL ELECTRIC</v>
      </c>
      <c r="T928" s="34" t="str">
        <f aca="false">IF(I928="","SIN DATO",IFERROR(INDEX(cat_ModN,MATCH(I928,cat_ModO,0)),I928))</f>
        <v>MULTILIN F60</v>
      </c>
      <c r="U928" s="34" t="str">
        <f aca="false">IF(I928="","",IFERROR(INDEX(cat_ModG,MATCH(I928,cat_ModO,0)),"No"))</f>
        <v>No</v>
      </c>
      <c r="V928" s="34" t="str">
        <f aca="false">IF(J928="","SIN DATO",IFERROR(INDEX(cat_FunN,MATCH(J928,cat_FunO,0)),J928))</f>
        <v>Protección y medición</v>
      </c>
      <c r="W928" s="34" t="str">
        <f aca="false">IF(OR(S928="SIN DATO",T928="SIN DATO"),"No","Sí")</f>
        <v>Sí</v>
      </c>
    </row>
    <row r="929" customFormat="false" ht="15" hidden="false" customHeight="false" outlineLevel="0" collapsed="false">
      <c r="A929" s="34" t="s">
        <v>3476</v>
      </c>
      <c r="B929" s="34" t="s">
        <v>3477</v>
      </c>
      <c r="C929" s="34" t="s">
        <v>3478</v>
      </c>
      <c r="D929" s="34" t="s">
        <v>1972</v>
      </c>
      <c r="E929" s="34" t="s">
        <v>184</v>
      </c>
      <c r="F929" s="34" t="s">
        <v>1602</v>
      </c>
      <c r="G929" s="34" t="s">
        <v>227</v>
      </c>
      <c r="H929" s="34" t="s">
        <v>1358</v>
      </c>
      <c r="I929" s="34" t="s">
        <v>66</v>
      </c>
      <c r="J929" s="34" t="s">
        <v>1979</v>
      </c>
      <c r="K929" s="34" t="s">
        <v>229</v>
      </c>
      <c r="L929" s="34" t="s">
        <v>230</v>
      </c>
      <c r="M929" s="34" t="s">
        <v>237</v>
      </c>
      <c r="N929" s="34" t="str">
        <f aca="false">"Sector "&amp;VALUE(MID(D929,13,2))</f>
        <v>Sector 8</v>
      </c>
      <c r="O929" s="34" t="str">
        <f aca="false">IF(Dashboard!$C$5="Ubicación técnica",N929,"Sector "&amp;VALUE(RIGHT(G929,2)))</f>
        <v>Sector 8</v>
      </c>
      <c r="P929" s="34" t="str">
        <f aca="false">IF(MID(D929,15,3)="SEL","Subestación eléctrica","Área de proceso")</f>
        <v>Subestación eléctrica</v>
      </c>
      <c r="Q929" s="34" t="str">
        <f aca="false">MID(D929,13,5)&amp;"|"&amp;MID(D929,19,5)</f>
        <v>08SEL|SEP01</v>
      </c>
      <c r="R929" s="34" t="str">
        <f aca="false">IF(P929="Subestación eléctrica",IFERROR(INDEX(cat_SubN,MATCH(Q929,cat_SubK,0)),"SIN CATALOGAR"),"ÁREA DE PROCESO")</f>
        <v>SEP-01</v>
      </c>
      <c r="S929" s="34" t="str">
        <f aca="false">IF(H929="","SIN DATO",IFERROR(INDEX(cat_MarcaN,MATCH(H929,cat_MarcaO,0)),H929))</f>
        <v>GENERAL ELECTRIC</v>
      </c>
      <c r="T929" s="34" t="str">
        <f aca="false">IF(I929="","SIN DATO",IFERROR(INDEX(cat_ModN,MATCH(I929,cat_ModO,0)),I929))</f>
        <v>MULTILIN C30</v>
      </c>
      <c r="U929" s="34" t="str">
        <f aca="false">IF(I929="","",IFERROR(INDEX(cat_ModG,MATCH(I929,cat_ModO,0)),"No"))</f>
        <v>No</v>
      </c>
      <c r="V929" s="34" t="str">
        <f aca="false">IF(J929="","SIN DATO",IFERROR(INDEX(cat_FunN,MATCH(J929,cat_FunO,0)),J929))</f>
        <v>Control y protección</v>
      </c>
      <c r="W929" s="34" t="str">
        <f aca="false">IF(OR(S929="SIN DATO",T929="SIN DATO"),"No","Sí")</f>
        <v>Sí</v>
      </c>
    </row>
    <row r="930" customFormat="false" ht="15" hidden="false" customHeight="false" outlineLevel="0" collapsed="false">
      <c r="A930" s="34" t="s">
        <v>3479</v>
      </c>
      <c r="B930" s="34" t="s">
        <v>3480</v>
      </c>
      <c r="C930" s="34" t="s">
        <v>3481</v>
      </c>
      <c r="D930" s="34" t="s">
        <v>1972</v>
      </c>
      <c r="E930" s="34" t="s">
        <v>184</v>
      </c>
      <c r="F930" s="34" t="s">
        <v>1602</v>
      </c>
      <c r="G930" s="34" t="s">
        <v>227</v>
      </c>
      <c r="H930" s="34" t="s">
        <v>1358</v>
      </c>
      <c r="I930" s="34" t="s">
        <v>65</v>
      </c>
      <c r="J930" s="34" t="s">
        <v>228</v>
      </c>
      <c r="K930" s="34" t="s">
        <v>229</v>
      </c>
      <c r="L930" s="34" t="s">
        <v>230</v>
      </c>
      <c r="M930" s="34" t="s">
        <v>1640</v>
      </c>
      <c r="N930" s="34" t="str">
        <f aca="false">"Sector "&amp;VALUE(MID(D930,13,2))</f>
        <v>Sector 8</v>
      </c>
      <c r="O930" s="34" t="str">
        <f aca="false">IF(Dashboard!$C$5="Ubicación técnica",N930,"Sector "&amp;VALUE(RIGHT(G930,2)))</f>
        <v>Sector 8</v>
      </c>
      <c r="P930" s="34" t="str">
        <f aca="false">IF(MID(D930,15,3)="SEL","Subestación eléctrica","Área de proceso")</f>
        <v>Subestación eléctrica</v>
      </c>
      <c r="Q930" s="34" t="str">
        <f aca="false">MID(D930,13,5)&amp;"|"&amp;MID(D930,19,5)</f>
        <v>08SEL|SEP01</v>
      </c>
      <c r="R930" s="34" t="str">
        <f aca="false">IF(P930="Subestación eléctrica",IFERROR(INDEX(cat_SubN,MATCH(Q930,cat_SubK,0)),"SIN CATALOGAR"),"ÁREA DE PROCESO")</f>
        <v>SEP-01</v>
      </c>
      <c r="S930" s="34" t="str">
        <f aca="false">IF(H930="","SIN DATO",IFERROR(INDEX(cat_MarcaN,MATCH(H930,cat_MarcaO,0)),H930))</f>
        <v>GENERAL ELECTRIC</v>
      </c>
      <c r="T930" s="34" t="str">
        <f aca="false">IF(I930="","SIN DATO",IFERROR(INDEX(cat_ModN,MATCH(I930,cat_ModO,0)),I930))</f>
        <v>MULTILIN T60</v>
      </c>
      <c r="U930" s="34" t="str">
        <f aca="false">IF(I930="","",IFERROR(INDEX(cat_ModG,MATCH(I930,cat_ModO,0)),"No"))</f>
        <v>No</v>
      </c>
      <c r="V930" s="34" t="str">
        <f aca="false">IF(J930="","SIN DATO",IFERROR(INDEX(cat_FunN,MATCH(J930,cat_FunO,0)),J930))</f>
        <v>Protección y medición</v>
      </c>
      <c r="W930" s="34" t="str">
        <f aca="false">IF(OR(S930="SIN DATO",T930="SIN DATO"),"No","Sí")</f>
        <v>Sí</v>
      </c>
    </row>
    <row r="931" customFormat="false" ht="15" hidden="false" customHeight="false" outlineLevel="0" collapsed="false">
      <c r="A931" s="34" t="s">
        <v>3482</v>
      </c>
      <c r="B931" s="34" t="s">
        <v>3483</v>
      </c>
      <c r="C931" s="34" t="s">
        <v>3484</v>
      </c>
      <c r="D931" s="34" t="s">
        <v>1972</v>
      </c>
      <c r="E931" s="34" t="s">
        <v>184</v>
      </c>
      <c r="F931" s="34" t="s">
        <v>1602</v>
      </c>
      <c r="G931" s="34" t="s">
        <v>227</v>
      </c>
      <c r="H931" s="34" t="s">
        <v>1358</v>
      </c>
      <c r="I931" s="34" t="s">
        <v>65</v>
      </c>
      <c r="J931" s="34" t="s">
        <v>228</v>
      </c>
      <c r="K931" s="34" t="s">
        <v>229</v>
      </c>
      <c r="L931" s="34" t="s">
        <v>230</v>
      </c>
      <c r="M931" s="34" t="s">
        <v>1640</v>
      </c>
      <c r="N931" s="34" t="str">
        <f aca="false">"Sector "&amp;VALUE(MID(D931,13,2))</f>
        <v>Sector 8</v>
      </c>
      <c r="O931" s="34" t="str">
        <f aca="false">IF(Dashboard!$C$5="Ubicación técnica",N931,"Sector "&amp;VALUE(RIGHT(G931,2)))</f>
        <v>Sector 8</v>
      </c>
      <c r="P931" s="34" t="str">
        <f aca="false">IF(MID(D931,15,3)="SEL","Subestación eléctrica","Área de proceso")</f>
        <v>Subestación eléctrica</v>
      </c>
      <c r="Q931" s="34" t="str">
        <f aca="false">MID(D931,13,5)&amp;"|"&amp;MID(D931,19,5)</f>
        <v>08SEL|SEP01</v>
      </c>
      <c r="R931" s="34" t="str">
        <f aca="false">IF(P931="Subestación eléctrica",IFERROR(INDEX(cat_SubN,MATCH(Q931,cat_SubK,0)),"SIN CATALOGAR"),"ÁREA DE PROCESO")</f>
        <v>SEP-01</v>
      </c>
      <c r="S931" s="34" t="str">
        <f aca="false">IF(H931="","SIN DATO",IFERROR(INDEX(cat_MarcaN,MATCH(H931,cat_MarcaO,0)),H931))</f>
        <v>GENERAL ELECTRIC</v>
      </c>
      <c r="T931" s="34" t="str">
        <f aca="false">IF(I931="","SIN DATO",IFERROR(INDEX(cat_ModN,MATCH(I931,cat_ModO,0)),I931))</f>
        <v>MULTILIN T60</v>
      </c>
      <c r="U931" s="34" t="str">
        <f aca="false">IF(I931="","",IFERROR(INDEX(cat_ModG,MATCH(I931,cat_ModO,0)),"No"))</f>
        <v>No</v>
      </c>
      <c r="V931" s="34" t="str">
        <f aca="false">IF(J931="","SIN DATO",IFERROR(INDEX(cat_FunN,MATCH(J931,cat_FunO,0)),J931))</f>
        <v>Protección y medición</v>
      </c>
      <c r="W931" s="34" t="str">
        <f aca="false">IF(OR(S931="SIN DATO",T931="SIN DATO"),"No","Sí")</f>
        <v>Sí</v>
      </c>
    </row>
    <row r="932" customFormat="false" ht="15" hidden="false" customHeight="false" outlineLevel="0" collapsed="false">
      <c r="A932" s="34" t="s">
        <v>3485</v>
      </c>
      <c r="B932" s="34" t="s">
        <v>3486</v>
      </c>
      <c r="C932" s="34" t="s">
        <v>3487</v>
      </c>
      <c r="D932" s="34" t="s">
        <v>1972</v>
      </c>
      <c r="E932" s="34" t="s">
        <v>184</v>
      </c>
      <c r="F932" s="34" t="s">
        <v>1602</v>
      </c>
      <c r="G932" s="34" t="s">
        <v>227</v>
      </c>
      <c r="H932" s="34" t="s">
        <v>55</v>
      </c>
      <c r="I932" s="34" t="s">
        <v>57</v>
      </c>
      <c r="J932" s="34" t="s">
        <v>58</v>
      </c>
      <c r="K932" s="34" t="s">
        <v>229</v>
      </c>
      <c r="L932" s="34" t="s">
        <v>230</v>
      </c>
      <c r="M932" s="34" t="s">
        <v>237</v>
      </c>
      <c r="N932" s="34" t="str">
        <f aca="false">"Sector "&amp;VALUE(MID(D932,13,2))</f>
        <v>Sector 8</v>
      </c>
      <c r="O932" s="34" t="str">
        <f aca="false">IF(Dashboard!$C$5="Ubicación técnica",N932,"Sector "&amp;VALUE(RIGHT(G932,2)))</f>
        <v>Sector 8</v>
      </c>
      <c r="P932" s="34" t="str">
        <f aca="false">IF(MID(D932,15,3)="SEL","Subestación eléctrica","Área de proceso")</f>
        <v>Subestación eléctrica</v>
      </c>
      <c r="Q932" s="34" t="str">
        <f aca="false">MID(D932,13,5)&amp;"|"&amp;MID(D932,19,5)</f>
        <v>08SEL|SEP01</v>
      </c>
      <c r="R932" s="34" t="str">
        <f aca="false">IF(P932="Subestación eléctrica",IFERROR(INDEX(cat_SubN,MATCH(Q932,cat_SubK,0)),"SIN CATALOGAR"),"ÁREA DE PROCESO")</f>
        <v>SEP-01</v>
      </c>
      <c r="S932" s="34" t="str">
        <f aca="false">IF(H932="","SIN DATO",IFERROR(INDEX(cat_MarcaN,MATCH(H932,cat_MarcaO,0)),H932))</f>
        <v>SEL</v>
      </c>
      <c r="T932" s="34" t="str">
        <f aca="false">IF(I932="","SIN DATO",IFERROR(INDEX(cat_ModN,MATCH(I932,cat_ModO,0)),I932))</f>
        <v>SEL-735</v>
      </c>
      <c r="U932" s="34" t="str">
        <f aca="false">IF(I932="","",IFERROR(INDEX(cat_ModG,MATCH(I932,cat_ModO,0)),"No"))</f>
        <v>No</v>
      </c>
      <c r="V932" s="34" t="str">
        <f aca="false">IF(J932="","SIN DATO",IFERROR(INDEX(cat_FunN,MATCH(J932,cat_FunO,0)),J932))</f>
        <v>Medición</v>
      </c>
      <c r="W932" s="34" t="str">
        <f aca="false">IF(OR(S932="SIN DATO",T932="SIN DATO"),"No","Sí")</f>
        <v>Sí</v>
      </c>
    </row>
    <row r="933" customFormat="false" ht="15" hidden="false" customHeight="false" outlineLevel="0" collapsed="false">
      <c r="A933" s="34" t="s">
        <v>3488</v>
      </c>
      <c r="B933" s="34" t="s">
        <v>3489</v>
      </c>
      <c r="C933" s="34" t="s">
        <v>3490</v>
      </c>
      <c r="D933" s="34" t="s">
        <v>1972</v>
      </c>
      <c r="E933" s="34" t="s">
        <v>184</v>
      </c>
      <c r="F933" s="34" t="s">
        <v>1602</v>
      </c>
      <c r="G933" s="34" t="s">
        <v>227</v>
      </c>
      <c r="H933" s="34" t="s">
        <v>1358</v>
      </c>
      <c r="I933" s="34" t="s">
        <v>66</v>
      </c>
      <c r="J933" s="34" t="s">
        <v>1979</v>
      </c>
      <c r="K933" s="34" t="s">
        <v>229</v>
      </c>
      <c r="L933" s="34" t="s">
        <v>230</v>
      </c>
      <c r="M933" s="34" t="s">
        <v>237</v>
      </c>
      <c r="N933" s="34" t="str">
        <f aca="false">"Sector "&amp;VALUE(MID(D933,13,2))</f>
        <v>Sector 8</v>
      </c>
      <c r="O933" s="34" t="str">
        <f aca="false">IF(Dashboard!$C$5="Ubicación técnica",N933,"Sector "&amp;VALUE(RIGHT(G933,2)))</f>
        <v>Sector 8</v>
      </c>
      <c r="P933" s="34" t="str">
        <f aca="false">IF(MID(D933,15,3)="SEL","Subestación eléctrica","Área de proceso")</f>
        <v>Subestación eléctrica</v>
      </c>
      <c r="Q933" s="34" t="str">
        <f aca="false">MID(D933,13,5)&amp;"|"&amp;MID(D933,19,5)</f>
        <v>08SEL|SEP01</v>
      </c>
      <c r="R933" s="34" t="str">
        <f aca="false">IF(P933="Subestación eléctrica",IFERROR(INDEX(cat_SubN,MATCH(Q933,cat_SubK,0)),"SIN CATALOGAR"),"ÁREA DE PROCESO")</f>
        <v>SEP-01</v>
      </c>
      <c r="S933" s="34" t="str">
        <f aca="false">IF(H933="","SIN DATO",IFERROR(INDEX(cat_MarcaN,MATCH(H933,cat_MarcaO,0)),H933))</f>
        <v>GENERAL ELECTRIC</v>
      </c>
      <c r="T933" s="34" t="str">
        <f aca="false">IF(I933="","SIN DATO",IFERROR(INDEX(cat_ModN,MATCH(I933,cat_ModO,0)),I933))</f>
        <v>MULTILIN C30</v>
      </c>
      <c r="U933" s="34" t="str">
        <f aca="false">IF(I933="","",IFERROR(INDEX(cat_ModG,MATCH(I933,cat_ModO,0)),"No"))</f>
        <v>No</v>
      </c>
      <c r="V933" s="34" t="str">
        <f aca="false">IF(J933="","SIN DATO",IFERROR(INDEX(cat_FunN,MATCH(J933,cat_FunO,0)),J933))</f>
        <v>Control y protección</v>
      </c>
      <c r="W933" s="34" t="str">
        <f aca="false">IF(OR(S933="SIN DATO",T933="SIN DATO"),"No","Sí")</f>
        <v>Sí</v>
      </c>
    </row>
    <row r="934" customFormat="false" ht="15" hidden="false" customHeight="false" outlineLevel="0" collapsed="false">
      <c r="A934" s="34" t="s">
        <v>3491</v>
      </c>
      <c r="B934" s="34" t="s">
        <v>3492</v>
      </c>
      <c r="C934" s="34" t="s">
        <v>3493</v>
      </c>
      <c r="D934" s="34" t="s">
        <v>1972</v>
      </c>
      <c r="E934" s="34" t="s">
        <v>184</v>
      </c>
      <c r="F934" s="34" t="s">
        <v>1602</v>
      </c>
      <c r="G934" s="34" t="s">
        <v>227</v>
      </c>
      <c r="H934" s="34" t="s">
        <v>1358</v>
      </c>
      <c r="I934" s="34" t="s">
        <v>67</v>
      </c>
      <c r="J934" s="34" t="s">
        <v>228</v>
      </c>
      <c r="K934" s="34" t="s">
        <v>229</v>
      </c>
      <c r="L934" s="34" t="s">
        <v>230</v>
      </c>
      <c r="M934" s="34" t="s">
        <v>1640</v>
      </c>
      <c r="N934" s="34" t="str">
        <f aca="false">"Sector "&amp;VALUE(MID(D934,13,2))</f>
        <v>Sector 8</v>
      </c>
      <c r="O934" s="34" t="str">
        <f aca="false">IF(Dashboard!$C$5="Ubicación técnica",N934,"Sector "&amp;VALUE(RIGHT(G934,2)))</f>
        <v>Sector 8</v>
      </c>
      <c r="P934" s="34" t="str">
        <f aca="false">IF(MID(D934,15,3)="SEL","Subestación eléctrica","Área de proceso")</f>
        <v>Subestación eléctrica</v>
      </c>
      <c r="Q934" s="34" t="str">
        <f aca="false">MID(D934,13,5)&amp;"|"&amp;MID(D934,19,5)</f>
        <v>08SEL|SEP01</v>
      </c>
      <c r="R934" s="34" t="str">
        <f aca="false">IF(P934="Subestación eléctrica",IFERROR(INDEX(cat_SubN,MATCH(Q934,cat_SubK,0)),"SIN CATALOGAR"),"ÁREA DE PROCESO")</f>
        <v>SEP-01</v>
      </c>
      <c r="S934" s="34" t="str">
        <f aca="false">IF(H934="","SIN DATO",IFERROR(INDEX(cat_MarcaN,MATCH(H934,cat_MarcaO,0)),H934))</f>
        <v>GENERAL ELECTRIC</v>
      </c>
      <c r="T934" s="34" t="str">
        <f aca="false">IF(I934="","SIN DATO",IFERROR(INDEX(cat_ModN,MATCH(I934,cat_ModO,0)),I934))</f>
        <v>MULTILIN F60</v>
      </c>
      <c r="U934" s="34" t="str">
        <f aca="false">IF(I934="","",IFERROR(INDEX(cat_ModG,MATCH(I934,cat_ModO,0)),"No"))</f>
        <v>No</v>
      </c>
      <c r="V934" s="34" t="str">
        <f aca="false">IF(J934="","SIN DATO",IFERROR(INDEX(cat_FunN,MATCH(J934,cat_FunO,0)),J934))</f>
        <v>Protección y medición</v>
      </c>
      <c r="W934" s="34" t="str">
        <f aca="false">IF(OR(S934="SIN DATO",T934="SIN DATO"),"No","Sí")</f>
        <v>Sí</v>
      </c>
    </row>
    <row r="935" customFormat="false" ht="15" hidden="false" customHeight="false" outlineLevel="0" collapsed="false">
      <c r="A935" s="34" t="s">
        <v>3494</v>
      </c>
      <c r="B935" s="34" t="s">
        <v>3495</v>
      </c>
      <c r="C935" s="34" t="s">
        <v>3496</v>
      </c>
      <c r="D935" s="34" t="s">
        <v>1972</v>
      </c>
      <c r="E935" s="34" t="s">
        <v>184</v>
      </c>
      <c r="F935" s="34" t="s">
        <v>1602</v>
      </c>
      <c r="G935" s="34" t="s">
        <v>227</v>
      </c>
      <c r="H935" s="34" t="s">
        <v>1358</v>
      </c>
      <c r="I935" s="34" t="s">
        <v>70</v>
      </c>
      <c r="J935" s="34" t="s">
        <v>228</v>
      </c>
      <c r="K935" s="34" t="s">
        <v>229</v>
      </c>
      <c r="L935" s="34" t="s">
        <v>230</v>
      </c>
      <c r="M935" s="34" t="s">
        <v>1640</v>
      </c>
      <c r="N935" s="34" t="str">
        <f aca="false">"Sector "&amp;VALUE(MID(D935,13,2))</f>
        <v>Sector 8</v>
      </c>
      <c r="O935" s="34" t="str">
        <f aca="false">IF(Dashboard!$C$5="Ubicación técnica",N935,"Sector "&amp;VALUE(RIGHT(G935,2)))</f>
        <v>Sector 8</v>
      </c>
      <c r="P935" s="34" t="str">
        <f aca="false">IF(MID(D935,15,3)="SEL","Subestación eléctrica","Área de proceso")</f>
        <v>Subestación eléctrica</v>
      </c>
      <c r="Q935" s="34" t="str">
        <f aca="false">MID(D935,13,5)&amp;"|"&amp;MID(D935,19,5)</f>
        <v>08SEL|SEP01</v>
      </c>
      <c r="R935" s="34" t="str">
        <f aca="false">IF(P935="Subestación eléctrica",IFERROR(INDEX(cat_SubN,MATCH(Q935,cat_SubK,0)),"SIN CATALOGAR"),"ÁREA DE PROCESO")</f>
        <v>SEP-01</v>
      </c>
      <c r="S935" s="34" t="str">
        <f aca="false">IF(H935="","SIN DATO",IFERROR(INDEX(cat_MarcaN,MATCH(H935,cat_MarcaO,0)),H935))</f>
        <v>GENERAL ELECTRIC</v>
      </c>
      <c r="T935" s="34" t="str">
        <f aca="false">IF(I935="","SIN DATO",IFERROR(INDEX(cat_ModN,MATCH(I935,cat_ModO,0)),I935))</f>
        <v>MULTILIN L90</v>
      </c>
      <c r="U935" s="34" t="str">
        <f aca="false">IF(I935="","",IFERROR(INDEX(cat_ModG,MATCH(I935,cat_ModO,0)),"No"))</f>
        <v>No</v>
      </c>
      <c r="V935" s="34" t="str">
        <f aca="false">IF(J935="","SIN DATO",IFERROR(INDEX(cat_FunN,MATCH(J935,cat_FunO,0)),J935))</f>
        <v>Protección y medición</v>
      </c>
      <c r="W935" s="34" t="str">
        <f aca="false">IF(OR(S935="SIN DATO",T935="SIN DATO"),"No","Sí")</f>
        <v>Sí</v>
      </c>
    </row>
    <row r="936" customFormat="false" ht="15" hidden="false" customHeight="false" outlineLevel="0" collapsed="false">
      <c r="A936" s="34" t="s">
        <v>3497</v>
      </c>
      <c r="B936" s="34" t="s">
        <v>3498</v>
      </c>
      <c r="C936" s="34" t="s">
        <v>3499</v>
      </c>
      <c r="D936" s="34" t="s">
        <v>1972</v>
      </c>
      <c r="E936" s="34" t="s">
        <v>184</v>
      </c>
      <c r="F936" s="34" t="s">
        <v>1602</v>
      </c>
      <c r="G936" s="34" t="s">
        <v>227</v>
      </c>
      <c r="H936" s="34" t="s">
        <v>55</v>
      </c>
      <c r="I936" s="34" t="s">
        <v>60</v>
      </c>
      <c r="J936" s="34" t="s">
        <v>228</v>
      </c>
      <c r="K936" s="34" t="s">
        <v>229</v>
      </c>
      <c r="L936" s="34" t="s">
        <v>230</v>
      </c>
      <c r="M936" s="34" t="s">
        <v>1640</v>
      </c>
      <c r="N936" s="34" t="str">
        <f aca="false">"Sector "&amp;VALUE(MID(D936,13,2))</f>
        <v>Sector 8</v>
      </c>
      <c r="O936" s="34" t="str">
        <f aca="false">IF(Dashboard!$C$5="Ubicación técnica",N936,"Sector "&amp;VALUE(RIGHT(G936,2)))</f>
        <v>Sector 8</v>
      </c>
      <c r="P936" s="34" t="str">
        <f aca="false">IF(MID(D936,15,3)="SEL","Subestación eléctrica","Área de proceso")</f>
        <v>Subestación eléctrica</v>
      </c>
      <c r="Q936" s="34" t="str">
        <f aca="false">MID(D936,13,5)&amp;"|"&amp;MID(D936,19,5)</f>
        <v>08SEL|SEP01</v>
      </c>
      <c r="R936" s="34" t="str">
        <f aca="false">IF(P936="Subestación eléctrica",IFERROR(INDEX(cat_SubN,MATCH(Q936,cat_SubK,0)),"SIN CATALOGAR"),"ÁREA DE PROCESO")</f>
        <v>SEP-01</v>
      </c>
      <c r="S936" s="34" t="str">
        <f aca="false">IF(H936="","SIN DATO",IFERROR(INDEX(cat_MarcaN,MATCH(H936,cat_MarcaO,0)),H936))</f>
        <v>SEL</v>
      </c>
      <c r="T936" s="34" t="str">
        <f aca="false">IF(I936="","SIN DATO",IFERROR(INDEX(cat_ModN,MATCH(I936,cat_ModO,0)),I936))</f>
        <v>SEL-411L</v>
      </c>
      <c r="U936" s="34" t="str">
        <f aca="false">IF(I936="","",IFERROR(INDEX(cat_ModG,MATCH(I936,cat_ModO,0)),"No"))</f>
        <v>No</v>
      </c>
      <c r="V936" s="34" t="str">
        <f aca="false">IF(J936="","SIN DATO",IFERROR(INDEX(cat_FunN,MATCH(J936,cat_FunO,0)),J936))</f>
        <v>Protección y medición</v>
      </c>
      <c r="W936" s="34" t="str">
        <f aca="false">IF(OR(S936="SIN DATO",T936="SIN DATO"),"No","Sí")</f>
        <v>Sí</v>
      </c>
    </row>
    <row r="937" customFormat="false" ht="15" hidden="false" customHeight="false" outlineLevel="0" collapsed="false">
      <c r="A937" s="34" t="s">
        <v>3500</v>
      </c>
      <c r="B937" s="34" t="s">
        <v>3501</v>
      </c>
      <c r="C937" s="34" t="s">
        <v>3502</v>
      </c>
      <c r="D937" s="34" t="s">
        <v>1972</v>
      </c>
      <c r="E937" s="34" t="s">
        <v>184</v>
      </c>
      <c r="F937" s="34" t="s">
        <v>1602</v>
      </c>
      <c r="G937" s="34" t="s">
        <v>227</v>
      </c>
      <c r="H937" s="34" t="s">
        <v>55</v>
      </c>
      <c r="I937" s="34" t="s">
        <v>57</v>
      </c>
      <c r="J937" s="34" t="s">
        <v>58</v>
      </c>
      <c r="K937" s="34" t="s">
        <v>229</v>
      </c>
      <c r="L937" s="34" t="s">
        <v>230</v>
      </c>
      <c r="M937" s="34" t="s">
        <v>237</v>
      </c>
      <c r="N937" s="34" t="str">
        <f aca="false">"Sector "&amp;VALUE(MID(D937,13,2))</f>
        <v>Sector 8</v>
      </c>
      <c r="O937" s="34" t="str">
        <f aca="false">IF(Dashboard!$C$5="Ubicación técnica",N937,"Sector "&amp;VALUE(RIGHT(G937,2)))</f>
        <v>Sector 8</v>
      </c>
      <c r="P937" s="34" t="str">
        <f aca="false">IF(MID(D937,15,3)="SEL","Subestación eléctrica","Área de proceso")</f>
        <v>Subestación eléctrica</v>
      </c>
      <c r="Q937" s="34" t="str">
        <f aca="false">MID(D937,13,5)&amp;"|"&amp;MID(D937,19,5)</f>
        <v>08SEL|SEP01</v>
      </c>
      <c r="R937" s="34" t="str">
        <f aca="false">IF(P937="Subestación eléctrica",IFERROR(INDEX(cat_SubN,MATCH(Q937,cat_SubK,0)),"SIN CATALOGAR"),"ÁREA DE PROCESO")</f>
        <v>SEP-01</v>
      </c>
      <c r="S937" s="34" t="str">
        <f aca="false">IF(H937="","SIN DATO",IFERROR(INDEX(cat_MarcaN,MATCH(H937,cat_MarcaO,0)),H937))</f>
        <v>SEL</v>
      </c>
      <c r="T937" s="34" t="str">
        <f aca="false">IF(I937="","SIN DATO",IFERROR(INDEX(cat_ModN,MATCH(I937,cat_ModO,0)),I937))</f>
        <v>SEL-735</v>
      </c>
      <c r="U937" s="34" t="str">
        <f aca="false">IF(I937="","",IFERROR(INDEX(cat_ModG,MATCH(I937,cat_ModO,0)),"No"))</f>
        <v>No</v>
      </c>
      <c r="V937" s="34" t="str">
        <f aca="false">IF(J937="","SIN DATO",IFERROR(INDEX(cat_FunN,MATCH(J937,cat_FunO,0)),J937))</f>
        <v>Medición</v>
      </c>
      <c r="W937" s="34" t="str">
        <f aca="false">IF(OR(S937="SIN DATO",T937="SIN DATO"),"No","Sí")</f>
        <v>Sí</v>
      </c>
    </row>
    <row r="938" customFormat="false" ht="15" hidden="false" customHeight="false" outlineLevel="0" collapsed="false">
      <c r="A938" s="34" t="s">
        <v>3503</v>
      </c>
      <c r="B938" s="34" t="s">
        <v>3504</v>
      </c>
      <c r="C938" s="34" t="s">
        <v>3505</v>
      </c>
      <c r="D938" s="34" t="s">
        <v>1989</v>
      </c>
      <c r="E938" s="34" t="s">
        <v>184</v>
      </c>
      <c r="F938" s="34" t="s">
        <v>1602</v>
      </c>
      <c r="G938" s="34" t="s">
        <v>227</v>
      </c>
      <c r="H938" s="34" t="s">
        <v>1358</v>
      </c>
      <c r="I938" s="34" t="s">
        <v>66</v>
      </c>
      <c r="J938" s="34" t="s">
        <v>1979</v>
      </c>
      <c r="K938" s="34" t="s">
        <v>229</v>
      </c>
      <c r="L938" s="34" t="s">
        <v>230</v>
      </c>
      <c r="M938" s="34" t="s">
        <v>237</v>
      </c>
      <c r="N938" s="34" t="str">
        <f aca="false">"Sector "&amp;VALUE(MID(D938,13,2))</f>
        <v>Sector 8</v>
      </c>
      <c r="O938" s="34" t="str">
        <f aca="false">IF(Dashboard!$C$5="Ubicación técnica",N938,"Sector "&amp;VALUE(RIGHT(G938,2)))</f>
        <v>Sector 8</v>
      </c>
      <c r="P938" s="34" t="str">
        <f aca="false">IF(MID(D938,15,3)="SEL","Subestación eléctrica","Área de proceso")</f>
        <v>Subestación eléctrica</v>
      </c>
      <c r="Q938" s="34" t="str">
        <f aca="false">MID(D938,13,5)&amp;"|"&amp;MID(D938,19,5)</f>
        <v>08SEL|SEP01</v>
      </c>
      <c r="R938" s="34" t="str">
        <f aca="false">IF(P938="Subestación eléctrica",IFERROR(INDEX(cat_SubN,MATCH(Q938,cat_SubK,0)),"SIN CATALOGAR"),"ÁREA DE PROCESO")</f>
        <v>SEP-01</v>
      </c>
      <c r="S938" s="34" t="str">
        <f aca="false">IF(H938="","SIN DATO",IFERROR(INDEX(cat_MarcaN,MATCH(H938,cat_MarcaO,0)),H938))</f>
        <v>GENERAL ELECTRIC</v>
      </c>
      <c r="T938" s="34" t="str">
        <f aca="false">IF(I938="","SIN DATO",IFERROR(INDEX(cat_ModN,MATCH(I938,cat_ModO,0)),I938))</f>
        <v>MULTILIN C30</v>
      </c>
      <c r="U938" s="34" t="str">
        <f aca="false">IF(I938="","",IFERROR(INDEX(cat_ModG,MATCH(I938,cat_ModO,0)),"No"))</f>
        <v>No</v>
      </c>
      <c r="V938" s="34" t="str">
        <f aca="false">IF(J938="","SIN DATO",IFERROR(INDEX(cat_FunN,MATCH(J938,cat_FunO,0)),J938))</f>
        <v>Control y protección</v>
      </c>
      <c r="W938" s="34" t="str">
        <f aca="false">IF(OR(S938="SIN DATO",T938="SIN DATO"),"No","Sí")</f>
        <v>Sí</v>
      </c>
    </row>
    <row r="939" customFormat="false" ht="15" hidden="false" customHeight="false" outlineLevel="0" collapsed="false">
      <c r="A939" s="34" t="s">
        <v>3506</v>
      </c>
      <c r="B939" s="34" t="s">
        <v>3507</v>
      </c>
      <c r="C939" s="34" t="s">
        <v>3508</v>
      </c>
      <c r="D939" s="34" t="s">
        <v>1989</v>
      </c>
      <c r="E939" s="34" t="s">
        <v>184</v>
      </c>
      <c r="F939" s="34" t="s">
        <v>1602</v>
      </c>
      <c r="G939" s="34" t="s">
        <v>227</v>
      </c>
      <c r="H939" s="34" t="s">
        <v>1358</v>
      </c>
      <c r="I939" s="34" t="s">
        <v>67</v>
      </c>
      <c r="J939" s="34" t="s">
        <v>228</v>
      </c>
      <c r="K939" s="34" t="s">
        <v>229</v>
      </c>
      <c r="L939" s="34" t="s">
        <v>230</v>
      </c>
      <c r="M939" s="34" t="s">
        <v>1640</v>
      </c>
      <c r="N939" s="34" t="str">
        <f aca="false">"Sector "&amp;VALUE(MID(D939,13,2))</f>
        <v>Sector 8</v>
      </c>
      <c r="O939" s="34" t="str">
        <f aca="false">IF(Dashboard!$C$5="Ubicación técnica",N939,"Sector "&amp;VALUE(RIGHT(G939,2)))</f>
        <v>Sector 8</v>
      </c>
      <c r="P939" s="34" t="str">
        <f aca="false">IF(MID(D939,15,3)="SEL","Subestación eléctrica","Área de proceso")</f>
        <v>Subestación eléctrica</v>
      </c>
      <c r="Q939" s="34" t="str">
        <f aca="false">MID(D939,13,5)&amp;"|"&amp;MID(D939,19,5)</f>
        <v>08SEL|SEP01</v>
      </c>
      <c r="R939" s="34" t="str">
        <f aca="false">IF(P939="Subestación eléctrica",IFERROR(INDEX(cat_SubN,MATCH(Q939,cat_SubK,0)),"SIN CATALOGAR"),"ÁREA DE PROCESO")</f>
        <v>SEP-01</v>
      </c>
      <c r="S939" s="34" t="str">
        <f aca="false">IF(H939="","SIN DATO",IFERROR(INDEX(cat_MarcaN,MATCH(H939,cat_MarcaO,0)),H939))</f>
        <v>GENERAL ELECTRIC</v>
      </c>
      <c r="T939" s="34" t="str">
        <f aca="false">IF(I939="","SIN DATO",IFERROR(INDEX(cat_ModN,MATCH(I939,cat_ModO,0)),I939))</f>
        <v>MULTILIN F60</v>
      </c>
      <c r="U939" s="34" t="str">
        <f aca="false">IF(I939="","",IFERROR(INDEX(cat_ModG,MATCH(I939,cat_ModO,0)),"No"))</f>
        <v>No</v>
      </c>
      <c r="V939" s="34" t="str">
        <f aca="false">IF(J939="","SIN DATO",IFERROR(INDEX(cat_FunN,MATCH(J939,cat_FunO,0)),J939))</f>
        <v>Protección y medición</v>
      </c>
      <c r="W939" s="34" t="str">
        <f aca="false">IF(OR(S939="SIN DATO",T939="SIN DATO"),"No","Sí")</f>
        <v>Sí</v>
      </c>
    </row>
    <row r="940" customFormat="false" ht="15" hidden="false" customHeight="false" outlineLevel="0" collapsed="false">
      <c r="A940" s="34" t="s">
        <v>3509</v>
      </c>
      <c r="B940" s="34" t="s">
        <v>3510</v>
      </c>
      <c r="C940" s="34" t="s">
        <v>3511</v>
      </c>
      <c r="D940" s="34" t="s">
        <v>1989</v>
      </c>
      <c r="E940" s="34" t="s">
        <v>184</v>
      </c>
      <c r="F940" s="34" t="s">
        <v>1602</v>
      </c>
      <c r="G940" s="34" t="s">
        <v>227</v>
      </c>
      <c r="H940" s="34" t="s">
        <v>1358</v>
      </c>
      <c r="I940" s="34" t="s">
        <v>70</v>
      </c>
      <c r="J940" s="34" t="s">
        <v>228</v>
      </c>
      <c r="K940" s="34" t="s">
        <v>229</v>
      </c>
      <c r="L940" s="34" t="s">
        <v>230</v>
      </c>
      <c r="M940" s="34" t="s">
        <v>1640</v>
      </c>
      <c r="N940" s="34" t="str">
        <f aca="false">"Sector "&amp;VALUE(MID(D940,13,2))</f>
        <v>Sector 8</v>
      </c>
      <c r="O940" s="34" t="str">
        <f aca="false">IF(Dashboard!$C$5="Ubicación técnica",N940,"Sector "&amp;VALUE(RIGHT(G940,2)))</f>
        <v>Sector 8</v>
      </c>
      <c r="P940" s="34" t="str">
        <f aca="false">IF(MID(D940,15,3)="SEL","Subestación eléctrica","Área de proceso")</f>
        <v>Subestación eléctrica</v>
      </c>
      <c r="Q940" s="34" t="str">
        <f aca="false">MID(D940,13,5)&amp;"|"&amp;MID(D940,19,5)</f>
        <v>08SEL|SEP01</v>
      </c>
      <c r="R940" s="34" t="str">
        <f aca="false">IF(P940="Subestación eléctrica",IFERROR(INDEX(cat_SubN,MATCH(Q940,cat_SubK,0)),"SIN CATALOGAR"),"ÁREA DE PROCESO")</f>
        <v>SEP-01</v>
      </c>
      <c r="S940" s="34" t="str">
        <f aca="false">IF(H940="","SIN DATO",IFERROR(INDEX(cat_MarcaN,MATCH(H940,cat_MarcaO,0)),H940))</f>
        <v>GENERAL ELECTRIC</v>
      </c>
      <c r="T940" s="34" t="str">
        <f aca="false">IF(I940="","SIN DATO",IFERROR(INDEX(cat_ModN,MATCH(I940,cat_ModO,0)),I940))</f>
        <v>MULTILIN L90</v>
      </c>
      <c r="U940" s="34" t="str">
        <f aca="false">IF(I940="","",IFERROR(INDEX(cat_ModG,MATCH(I940,cat_ModO,0)),"No"))</f>
        <v>No</v>
      </c>
      <c r="V940" s="34" t="str">
        <f aca="false">IF(J940="","SIN DATO",IFERROR(INDEX(cat_FunN,MATCH(J940,cat_FunO,0)),J940))</f>
        <v>Protección y medición</v>
      </c>
      <c r="W940" s="34" t="str">
        <f aca="false">IF(OR(S940="SIN DATO",T940="SIN DATO"),"No","Sí")</f>
        <v>Sí</v>
      </c>
    </row>
    <row r="941" customFormat="false" ht="15" hidden="false" customHeight="false" outlineLevel="0" collapsed="false">
      <c r="A941" s="34" t="s">
        <v>3512</v>
      </c>
      <c r="B941" s="34" t="s">
        <v>3513</v>
      </c>
      <c r="C941" s="34" t="s">
        <v>3514</v>
      </c>
      <c r="D941" s="34" t="s">
        <v>1989</v>
      </c>
      <c r="E941" s="34" t="s">
        <v>184</v>
      </c>
      <c r="F941" s="34" t="s">
        <v>1602</v>
      </c>
      <c r="G941" s="34" t="s">
        <v>227</v>
      </c>
      <c r="H941" s="34" t="s">
        <v>55</v>
      </c>
      <c r="I941" s="34" t="s">
        <v>60</v>
      </c>
      <c r="J941" s="34" t="s">
        <v>228</v>
      </c>
      <c r="K941" s="34" t="s">
        <v>229</v>
      </c>
      <c r="L941" s="34" t="s">
        <v>230</v>
      </c>
      <c r="M941" s="34" t="s">
        <v>1640</v>
      </c>
      <c r="N941" s="34" t="str">
        <f aca="false">"Sector "&amp;VALUE(MID(D941,13,2))</f>
        <v>Sector 8</v>
      </c>
      <c r="O941" s="34" t="str">
        <f aca="false">IF(Dashboard!$C$5="Ubicación técnica",N941,"Sector "&amp;VALUE(RIGHT(G941,2)))</f>
        <v>Sector 8</v>
      </c>
      <c r="P941" s="34" t="str">
        <f aca="false">IF(MID(D941,15,3)="SEL","Subestación eléctrica","Área de proceso")</f>
        <v>Subestación eléctrica</v>
      </c>
      <c r="Q941" s="34" t="str">
        <f aca="false">MID(D941,13,5)&amp;"|"&amp;MID(D941,19,5)</f>
        <v>08SEL|SEP01</v>
      </c>
      <c r="R941" s="34" t="str">
        <f aca="false">IF(P941="Subestación eléctrica",IFERROR(INDEX(cat_SubN,MATCH(Q941,cat_SubK,0)),"SIN CATALOGAR"),"ÁREA DE PROCESO")</f>
        <v>SEP-01</v>
      </c>
      <c r="S941" s="34" t="str">
        <f aca="false">IF(H941="","SIN DATO",IFERROR(INDEX(cat_MarcaN,MATCH(H941,cat_MarcaO,0)),H941))</f>
        <v>SEL</v>
      </c>
      <c r="T941" s="34" t="str">
        <f aca="false">IF(I941="","SIN DATO",IFERROR(INDEX(cat_ModN,MATCH(I941,cat_ModO,0)),I941))</f>
        <v>SEL-411L</v>
      </c>
      <c r="U941" s="34" t="str">
        <f aca="false">IF(I941="","",IFERROR(INDEX(cat_ModG,MATCH(I941,cat_ModO,0)),"No"))</f>
        <v>No</v>
      </c>
      <c r="V941" s="34" t="str">
        <f aca="false">IF(J941="","SIN DATO",IFERROR(INDEX(cat_FunN,MATCH(J941,cat_FunO,0)),J941))</f>
        <v>Protección y medición</v>
      </c>
      <c r="W941" s="34" t="str">
        <f aca="false">IF(OR(S941="SIN DATO",T941="SIN DATO"),"No","Sí")</f>
        <v>Sí</v>
      </c>
    </row>
    <row r="942" customFormat="false" ht="15" hidden="false" customHeight="false" outlineLevel="0" collapsed="false">
      <c r="A942" s="34" t="s">
        <v>3515</v>
      </c>
      <c r="B942" s="34" t="s">
        <v>3516</v>
      </c>
      <c r="C942" s="34" t="s">
        <v>3517</v>
      </c>
      <c r="D942" s="34" t="s">
        <v>1989</v>
      </c>
      <c r="E942" s="34" t="s">
        <v>184</v>
      </c>
      <c r="F942" s="34" t="s">
        <v>1602</v>
      </c>
      <c r="G942" s="34" t="s">
        <v>227</v>
      </c>
      <c r="H942" s="34" t="s">
        <v>55</v>
      </c>
      <c r="I942" s="34" t="s">
        <v>57</v>
      </c>
      <c r="J942" s="34" t="s">
        <v>58</v>
      </c>
      <c r="K942" s="34" t="s">
        <v>229</v>
      </c>
      <c r="L942" s="34" t="s">
        <v>230</v>
      </c>
      <c r="M942" s="34" t="s">
        <v>237</v>
      </c>
      <c r="N942" s="34" t="str">
        <f aca="false">"Sector "&amp;VALUE(MID(D942,13,2))</f>
        <v>Sector 8</v>
      </c>
      <c r="O942" s="34" t="str">
        <f aca="false">IF(Dashboard!$C$5="Ubicación técnica",N942,"Sector "&amp;VALUE(RIGHT(G942,2)))</f>
        <v>Sector 8</v>
      </c>
      <c r="P942" s="34" t="str">
        <f aca="false">IF(MID(D942,15,3)="SEL","Subestación eléctrica","Área de proceso")</f>
        <v>Subestación eléctrica</v>
      </c>
      <c r="Q942" s="34" t="str">
        <f aca="false">MID(D942,13,5)&amp;"|"&amp;MID(D942,19,5)</f>
        <v>08SEL|SEP01</v>
      </c>
      <c r="R942" s="34" t="str">
        <f aca="false">IF(P942="Subestación eléctrica",IFERROR(INDEX(cat_SubN,MATCH(Q942,cat_SubK,0)),"SIN CATALOGAR"),"ÁREA DE PROCESO")</f>
        <v>SEP-01</v>
      </c>
      <c r="S942" s="34" t="str">
        <f aca="false">IF(H942="","SIN DATO",IFERROR(INDEX(cat_MarcaN,MATCH(H942,cat_MarcaO,0)),H942))</f>
        <v>SEL</v>
      </c>
      <c r="T942" s="34" t="str">
        <f aca="false">IF(I942="","SIN DATO",IFERROR(INDEX(cat_ModN,MATCH(I942,cat_ModO,0)),I942))</f>
        <v>SEL-735</v>
      </c>
      <c r="U942" s="34" t="str">
        <f aca="false">IF(I942="","",IFERROR(INDEX(cat_ModG,MATCH(I942,cat_ModO,0)),"No"))</f>
        <v>No</v>
      </c>
      <c r="V942" s="34" t="str">
        <f aca="false">IF(J942="","SIN DATO",IFERROR(INDEX(cat_FunN,MATCH(J942,cat_FunO,0)),J942))</f>
        <v>Medición</v>
      </c>
      <c r="W942" s="34" t="str">
        <f aca="false">IF(OR(S942="SIN DATO",T942="SIN DATO"),"No","Sí")</f>
        <v>Sí</v>
      </c>
    </row>
    <row r="943" customFormat="false" ht="15" hidden="false" customHeight="false" outlineLevel="0" collapsed="false">
      <c r="A943" s="34" t="s">
        <v>3518</v>
      </c>
      <c r="B943" s="34" t="s">
        <v>3519</v>
      </c>
      <c r="C943" s="34" t="s">
        <v>3520</v>
      </c>
      <c r="D943" s="34" t="s">
        <v>1954</v>
      </c>
      <c r="E943" s="34" t="s">
        <v>184</v>
      </c>
      <c r="F943" s="34" t="s">
        <v>1602</v>
      </c>
      <c r="G943" s="34" t="s">
        <v>227</v>
      </c>
      <c r="H943" s="34" t="s">
        <v>1358</v>
      </c>
      <c r="I943" s="34" t="s">
        <v>69</v>
      </c>
      <c r="J943" s="34" t="s">
        <v>228</v>
      </c>
      <c r="K943" s="34" t="s">
        <v>229</v>
      </c>
      <c r="L943" s="34" t="s">
        <v>230</v>
      </c>
      <c r="M943" s="34" t="s">
        <v>1640</v>
      </c>
      <c r="N943" s="34" t="str">
        <f aca="false">"Sector "&amp;VALUE(MID(D943,13,2))</f>
        <v>Sector 8</v>
      </c>
      <c r="O943" s="34" t="str">
        <f aca="false">IF(Dashboard!$C$5="Ubicación técnica",N943,"Sector "&amp;VALUE(RIGHT(G943,2)))</f>
        <v>Sector 8</v>
      </c>
      <c r="P943" s="34" t="str">
        <f aca="false">IF(MID(D943,15,3)="SEL","Subestación eléctrica","Área de proceso")</f>
        <v>Área de proceso</v>
      </c>
      <c r="Q943" s="34" t="str">
        <f aca="false">MID(D943,13,5)&amp;"|"&amp;MID(D943,19,5)</f>
        <v>08COG|SGELE</v>
      </c>
      <c r="R943" s="34" t="str">
        <f aca="false">IF(P943="Subestación eléctrica",IFERROR(INDEX(cat_SubN,MATCH(Q943,cat_SubK,0)),"SIN CATALOGAR"),"ÁREA DE PROCESO")</f>
        <v>ÁREA DE PROCESO</v>
      </c>
      <c r="S943" s="34" t="str">
        <f aca="false">IF(H943="","SIN DATO",IFERROR(INDEX(cat_MarcaN,MATCH(H943,cat_MarcaO,0)),H943))</f>
        <v>GENERAL ELECTRIC</v>
      </c>
      <c r="T943" s="34" t="str">
        <f aca="false">IF(I943="","SIN DATO",IFERROR(INDEX(cat_ModN,MATCH(I943,cat_ModO,0)),I943))</f>
        <v>MULTILIN G60</v>
      </c>
      <c r="U943" s="34" t="str">
        <f aca="false">IF(I943="","",IFERROR(INDEX(cat_ModG,MATCH(I943,cat_ModO,0)),"No"))</f>
        <v>No</v>
      </c>
      <c r="V943" s="34" t="str">
        <f aca="false">IF(J943="","SIN DATO",IFERROR(INDEX(cat_FunN,MATCH(J943,cat_FunO,0)),J943))</f>
        <v>Protección y medición</v>
      </c>
      <c r="W943" s="34" t="str">
        <f aca="false">IF(OR(S943="SIN DATO",T943="SIN DATO"),"No","Sí")</f>
        <v>Sí</v>
      </c>
    </row>
    <row r="944" customFormat="false" ht="15" hidden="false" customHeight="false" outlineLevel="0" collapsed="false">
      <c r="A944" s="34" t="s">
        <v>3521</v>
      </c>
      <c r="B944" s="34" t="s">
        <v>3522</v>
      </c>
      <c r="C944" s="34" t="s">
        <v>3523</v>
      </c>
      <c r="D944" s="34" t="s">
        <v>1954</v>
      </c>
      <c r="E944" s="34" t="s">
        <v>184</v>
      </c>
      <c r="F944" s="34" t="s">
        <v>1602</v>
      </c>
      <c r="G944" s="34" t="s">
        <v>227</v>
      </c>
      <c r="H944" s="34" t="s">
        <v>1358</v>
      </c>
      <c r="I944" s="34" t="s">
        <v>65</v>
      </c>
      <c r="J944" s="34" t="s">
        <v>228</v>
      </c>
      <c r="K944" s="34" t="s">
        <v>229</v>
      </c>
      <c r="L944" s="34" t="s">
        <v>230</v>
      </c>
      <c r="M944" s="34" t="s">
        <v>1640</v>
      </c>
      <c r="N944" s="34" t="str">
        <f aca="false">"Sector "&amp;VALUE(MID(D944,13,2))</f>
        <v>Sector 8</v>
      </c>
      <c r="O944" s="34" t="str">
        <f aca="false">IF(Dashboard!$C$5="Ubicación técnica",N944,"Sector "&amp;VALUE(RIGHT(G944,2)))</f>
        <v>Sector 8</v>
      </c>
      <c r="P944" s="34" t="str">
        <f aca="false">IF(MID(D944,15,3)="SEL","Subestación eléctrica","Área de proceso")</f>
        <v>Área de proceso</v>
      </c>
      <c r="Q944" s="34" t="str">
        <f aca="false">MID(D944,13,5)&amp;"|"&amp;MID(D944,19,5)</f>
        <v>08COG|SGELE</v>
      </c>
      <c r="R944" s="34" t="str">
        <f aca="false">IF(P944="Subestación eléctrica",IFERROR(INDEX(cat_SubN,MATCH(Q944,cat_SubK,0)),"SIN CATALOGAR"),"ÁREA DE PROCESO")</f>
        <v>ÁREA DE PROCESO</v>
      </c>
      <c r="S944" s="34" t="str">
        <f aca="false">IF(H944="","SIN DATO",IFERROR(INDEX(cat_MarcaN,MATCH(H944,cat_MarcaO,0)),H944))</f>
        <v>GENERAL ELECTRIC</v>
      </c>
      <c r="T944" s="34" t="str">
        <f aca="false">IF(I944="","SIN DATO",IFERROR(INDEX(cat_ModN,MATCH(I944,cat_ModO,0)),I944))</f>
        <v>MULTILIN T60</v>
      </c>
      <c r="U944" s="34" t="str">
        <f aca="false">IF(I944="","",IFERROR(INDEX(cat_ModG,MATCH(I944,cat_ModO,0)),"No"))</f>
        <v>No</v>
      </c>
      <c r="V944" s="34" t="str">
        <f aca="false">IF(J944="","SIN DATO",IFERROR(INDEX(cat_FunN,MATCH(J944,cat_FunO,0)),J944))</f>
        <v>Protección y medición</v>
      </c>
      <c r="W944" s="34" t="str">
        <f aca="false">IF(OR(S944="SIN DATO",T944="SIN DATO"),"No","Sí")</f>
        <v>Sí</v>
      </c>
    </row>
    <row r="945" customFormat="false" ht="15" hidden="false" customHeight="false" outlineLevel="0" collapsed="false">
      <c r="A945" s="34" t="s">
        <v>3524</v>
      </c>
      <c r="B945" s="34" t="s">
        <v>3525</v>
      </c>
      <c r="C945" s="34" t="s">
        <v>3526</v>
      </c>
      <c r="D945" s="34" t="s">
        <v>1954</v>
      </c>
      <c r="E945" s="34" t="s">
        <v>184</v>
      </c>
      <c r="F945" s="34" t="s">
        <v>1602</v>
      </c>
      <c r="G945" s="34" t="s">
        <v>227</v>
      </c>
      <c r="H945" s="34" t="s">
        <v>1358</v>
      </c>
      <c r="I945" s="34" t="s">
        <v>65</v>
      </c>
      <c r="J945" s="34" t="s">
        <v>228</v>
      </c>
      <c r="K945" s="34" t="s">
        <v>229</v>
      </c>
      <c r="L945" s="34" t="s">
        <v>230</v>
      </c>
      <c r="M945" s="34" t="s">
        <v>1640</v>
      </c>
      <c r="N945" s="34" t="str">
        <f aca="false">"Sector "&amp;VALUE(MID(D945,13,2))</f>
        <v>Sector 8</v>
      </c>
      <c r="O945" s="34" t="str">
        <f aca="false">IF(Dashboard!$C$5="Ubicación técnica",N945,"Sector "&amp;VALUE(RIGHT(G945,2)))</f>
        <v>Sector 8</v>
      </c>
      <c r="P945" s="34" t="str">
        <f aca="false">IF(MID(D945,15,3)="SEL","Subestación eléctrica","Área de proceso")</f>
        <v>Área de proceso</v>
      </c>
      <c r="Q945" s="34" t="str">
        <f aca="false">MID(D945,13,5)&amp;"|"&amp;MID(D945,19,5)</f>
        <v>08COG|SGELE</v>
      </c>
      <c r="R945" s="34" t="str">
        <f aca="false">IF(P945="Subestación eléctrica",IFERROR(INDEX(cat_SubN,MATCH(Q945,cat_SubK,0)),"SIN CATALOGAR"),"ÁREA DE PROCESO")</f>
        <v>ÁREA DE PROCESO</v>
      </c>
      <c r="S945" s="34" t="str">
        <f aca="false">IF(H945="","SIN DATO",IFERROR(INDEX(cat_MarcaN,MATCH(H945,cat_MarcaO,0)),H945))</f>
        <v>GENERAL ELECTRIC</v>
      </c>
      <c r="T945" s="34" t="str">
        <f aca="false">IF(I945="","SIN DATO",IFERROR(INDEX(cat_ModN,MATCH(I945,cat_ModO,0)),I945))</f>
        <v>MULTILIN T60</v>
      </c>
      <c r="U945" s="34" t="str">
        <f aca="false">IF(I945="","",IFERROR(INDEX(cat_ModG,MATCH(I945,cat_ModO,0)),"No"))</f>
        <v>No</v>
      </c>
      <c r="V945" s="34" t="str">
        <f aca="false">IF(J945="","SIN DATO",IFERROR(INDEX(cat_FunN,MATCH(J945,cat_FunO,0)),J945))</f>
        <v>Protección y medición</v>
      </c>
      <c r="W945" s="34" t="str">
        <f aca="false">IF(OR(S945="SIN DATO",T945="SIN DATO"),"No","Sí")</f>
        <v>Sí</v>
      </c>
    </row>
    <row r="946" customFormat="false" ht="15" hidden="false" customHeight="false" outlineLevel="0" collapsed="false">
      <c r="A946" s="34" t="s">
        <v>3527</v>
      </c>
      <c r="B946" s="34" t="s">
        <v>3528</v>
      </c>
      <c r="C946" s="34" t="s">
        <v>3529</v>
      </c>
      <c r="D946" s="34" t="s">
        <v>2858</v>
      </c>
      <c r="E946" s="34" t="s">
        <v>138</v>
      </c>
      <c r="F946" s="34" t="s">
        <v>1602</v>
      </c>
      <c r="G946" s="34" t="s">
        <v>300</v>
      </c>
      <c r="H946" s="34" t="s">
        <v>34</v>
      </c>
      <c r="I946" s="34" t="s">
        <v>37</v>
      </c>
      <c r="J946" s="34" t="s">
        <v>260</v>
      </c>
      <c r="K946" s="34" t="s">
        <v>236</v>
      </c>
      <c r="L946" s="34" t="s">
        <v>230</v>
      </c>
      <c r="M946" s="34" t="s">
        <v>262</v>
      </c>
      <c r="N946" s="34" t="str">
        <f aca="false">"Sector "&amp;VALUE(MID(D946,13,2))</f>
        <v>Sector 6</v>
      </c>
      <c r="O946" s="34" t="str">
        <f aca="false">IF(Dashboard!$C$5="Ubicación técnica",N946,"Sector "&amp;VALUE(RIGHT(G946,2)))</f>
        <v>Sector 6</v>
      </c>
      <c r="P946" s="34" t="str">
        <f aca="false">IF(MID(D946,15,3)="SEL","Subestación eléctrica","Área de proceso")</f>
        <v>Subestación eléctrica</v>
      </c>
      <c r="Q946" s="34" t="str">
        <f aca="false">MID(D946,13,5)&amp;"|"&amp;MID(D946,19,5)</f>
        <v>06SEL|S_002</v>
      </c>
      <c r="R946" s="34" t="str">
        <f aca="false">IF(P946="Subestación eléctrica",IFERROR(INDEX(cat_SubN,MATCH(Q946,cat_SubK,0)),"SIN CATALOGAR"),"ÁREA DE PROCESO")</f>
        <v>SE-02</v>
      </c>
      <c r="S946" s="34" t="str">
        <f aca="false">IF(H946="","SIN DATO",IFERROR(INDEX(cat_MarcaN,MATCH(H946,cat_MarcaO,0)),H946))</f>
        <v>ABB</v>
      </c>
      <c r="T946" s="34" t="str">
        <f aca="false">IF(I946="","SIN DATO",IFERROR(INDEX(cat_ModN,MATCH(I946,cat_ModO,0)),I946))</f>
        <v>REF615A_1G</v>
      </c>
      <c r="U946" s="34" t="str">
        <f aca="false">IF(I946="","",IFERROR(INDEX(cat_ModG,MATCH(I946,cat_ModO,0)),"No"))</f>
        <v>No</v>
      </c>
      <c r="V946" s="34" t="str">
        <f aca="false">IF(J946="","SIN DATO",IFERROR(INDEX(cat_FunN,MATCH(J946,cat_FunO,0)),J946))</f>
        <v>Protección y medición</v>
      </c>
      <c r="W946" s="34" t="str">
        <f aca="false">IF(OR(S946="SIN DATO",T946="SIN DATO"),"No","Sí")</f>
        <v>Sí</v>
      </c>
    </row>
    <row r="947" customFormat="false" ht="15" hidden="false" customHeight="false" outlineLevel="0" collapsed="false">
      <c r="A947" s="34" t="s">
        <v>3530</v>
      </c>
      <c r="B947" s="34" t="s">
        <v>3531</v>
      </c>
      <c r="C947" s="34" t="s">
        <v>3532</v>
      </c>
      <c r="D947" s="34" t="s">
        <v>2862</v>
      </c>
      <c r="E947" s="34" t="s">
        <v>138</v>
      </c>
      <c r="F947" s="34" t="s">
        <v>1602</v>
      </c>
      <c r="G947" s="34" t="s">
        <v>300</v>
      </c>
      <c r="H947" s="34" t="s">
        <v>34</v>
      </c>
      <c r="I947" s="34" t="s">
        <v>37</v>
      </c>
      <c r="J947" s="34" t="s">
        <v>260</v>
      </c>
      <c r="K947" s="34" t="s">
        <v>236</v>
      </c>
      <c r="L947" s="34" t="s">
        <v>230</v>
      </c>
      <c r="M947" s="34" t="s">
        <v>262</v>
      </c>
      <c r="N947" s="34" t="str">
        <f aca="false">"Sector "&amp;VALUE(MID(D947,13,2))</f>
        <v>Sector 6</v>
      </c>
      <c r="O947" s="34" t="str">
        <f aca="false">IF(Dashboard!$C$5="Ubicación técnica",N947,"Sector "&amp;VALUE(RIGHT(G947,2)))</f>
        <v>Sector 6</v>
      </c>
      <c r="P947" s="34" t="str">
        <f aca="false">IF(MID(D947,15,3)="SEL","Subestación eléctrica","Área de proceso")</f>
        <v>Subestación eléctrica</v>
      </c>
      <c r="Q947" s="34" t="str">
        <f aca="false">MID(D947,13,5)&amp;"|"&amp;MID(D947,19,5)</f>
        <v>06SEL|S_002</v>
      </c>
      <c r="R947" s="34" t="str">
        <f aca="false">IF(P947="Subestación eléctrica",IFERROR(INDEX(cat_SubN,MATCH(Q947,cat_SubK,0)),"SIN CATALOGAR"),"ÁREA DE PROCESO")</f>
        <v>SE-02</v>
      </c>
      <c r="S947" s="34" t="str">
        <f aca="false">IF(H947="","SIN DATO",IFERROR(INDEX(cat_MarcaN,MATCH(H947,cat_MarcaO,0)),H947))</f>
        <v>ABB</v>
      </c>
      <c r="T947" s="34" t="str">
        <f aca="false">IF(I947="","SIN DATO",IFERROR(INDEX(cat_ModN,MATCH(I947,cat_ModO,0)),I947))</f>
        <v>REF615A_1G</v>
      </c>
      <c r="U947" s="34" t="str">
        <f aca="false">IF(I947="","",IFERROR(INDEX(cat_ModG,MATCH(I947,cat_ModO,0)),"No"))</f>
        <v>No</v>
      </c>
      <c r="V947" s="34" t="str">
        <f aca="false">IF(J947="","SIN DATO",IFERROR(INDEX(cat_FunN,MATCH(J947,cat_FunO,0)),J947))</f>
        <v>Protección y medición</v>
      </c>
      <c r="W947" s="34" t="str">
        <f aca="false">IF(OR(S947="SIN DATO",T947="SIN DATO"),"No","Sí")</f>
        <v>Sí</v>
      </c>
    </row>
    <row r="948" customFormat="false" ht="15" hidden="false" customHeight="false" outlineLevel="0" collapsed="false">
      <c r="A948" s="34" t="s">
        <v>3533</v>
      </c>
      <c r="B948" s="34" t="s">
        <v>3534</v>
      </c>
      <c r="C948" s="34" t="s">
        <v>3535</v>
      </c>
      <c r="D948" s="34" t="s">
        <v>2858</v>
      </c>
      <c r="E948" s="34" t="s">
        <v>138</v>
      </c>
      <c r="F948" s="34" t="s">
        <v>1602</v>
      </c>
      <c r="G948" s="34" t="s">
        <v>300</v>
      </c>
      <c r="H948" s="34" t="s">
        <v>34</v>
      </c>
      <c r="I948" s="34" t="s">
        <v>37</v>
      </c>
      <c r="J948" s="34" t="s">
        <v>260</v>
      </c>
      <c r="K948" s="34" t="s">
        <v>236</v>
      </c>
      <c r="L948" s="34" t="s">
        <v>230</v>
      </c>
      <c r="M948" s="34" t="s">
        <v>262</v>
      </c>
      <c r="N948" s="34" t="str">
        <f aca="false">"Sector "&amp;VALUE(MID(D948,13,2))</f>
        <v>Sector 6</v>
      </c>
      <c r="O948" s="34" t="str">
        <f aca="false">IF(Dashboard!$C$5="Ubicación técnica",N948,"Sector "&amp;VALUE(RIGHT(G948,2)))</f>
        <v>Sector 6</v>
      </c>
      <c r="P948" s="34" t="str">
        <f aca="false">IF(MID(D948,15,3)="SEL","Subestación eléctrica","Área de proceso")</f>
        <v>Subestación eléctrica</v>
      </c>
      <c r="Q948" s="34" t="str">
        <f aca="false">MID(D948,13,5)&amp;"|"&amp;MID(D948,19,5)</f>
        <v>06SEL|S_002</v>
      </c>
      <c r="R948" s="34" t="str">
        <f aca="false">IF(P948="Subestación eléctrica",IFERROR(INDEX(cat_SubN,MATCH(Q948,cat_SubK,0)),"SIN CATALOGAR"),"ÁREA DE PROCESO")</f>
        <v>SE-02</v>
      </c>
      <c r="S948" s="34" t="str">
        <f aca="false">IF(H948="","SIN DATO",IFERROR(INDEX(cat_MarcaN,MATCH(H948,cat_MarcaO,0)),H948))</f>
        <v>ABB</v>
      </c>
      <c r="T948" s="34" t="str">
        <f aca="false">IF(I948="","SIN DATO",IFERROR(INDEX(cat_ModN,MATCH(I948,cat_ModO,0)),I948))</f>
        <v>REF615A_1G</v>
      </c>
      <c r="U948" s="34" t="str">
        <f aca="false">IF(I948="","",IFERROR(INDEX(cat_ModG,MATCH(I948,cat_ModO,0)),"No"))</f>
        <v>No</v>
      </c>
      <c r="V948" s="34" t="str">
        <f aca="false">IF(J948="","SIN DATO",IFERROR(INDEX(cat_FunN,MATCH(J948,cat_FunO,0)),J948))</f>
        <v>Protección y medición</v>
      </c>
      <c r="W948" s="34" t="str">
        <f aca="false">IF(OR(S948="SIN DATO",T948="SIN DATO"),"No","Sí")</f>
        <v>Sí</v>
      </c>
    </row>
    <row r="949" customFormat="false" ht="15" hidden="false" customHeight="false" outlineLevel="0" collapsed="false">
      <c r="A949" s="34" t="s">
        <v>3536</v>
      </c>
      <c r="B949" s="34" t="s">
        <v>3537</v>
      </c>
      <c r="C949" s="34" t="s">
        <v>3538</v>
      </c>
      <c r="D949" s="34" t="s">
        <v>3539</v>
      </c>
      <c r="E949" s="34" t="s">
        <v>140</v>
      </c>
      <c r="F949" s="34" t="s">
        <v>1602</v>
      </c>
      <c r="G949" s="34" t="s">
        <v>300</v>
      </c>
      <c r="H949" s="34" t="s">
        <v>34</v>
      </c>
      <c r="I949" s="34" t="s">
        <v>37</v>
      </c>
      <c r="J949" s="34" t="s">
        <v>260</v>
      </c>
      <c r="K949" s="34" t="s">
        <v>236</v>
      </c>
      <c r="L949" s="34" t="s">
        <v>230</v>
      </c>
      <c r="M949" s="34" t="s">
        <v>262</v>
      </c>
      <c r="N949" s="34" t="str">
        <f aca="false">"Sector "&amp;VALUE(MID(D949,13,2))</f>
        <v>Sector 6</v>
      </c>
      <c r="O949" s="34" t="str">
        <f aca="false">IF(Dashboard!$C$5="Ubicación técnica",N949,"Sector "&amp;VALUE(RIGHT(G949,2)))</f>
        <v>Sector 6</v>
      </c>
      <c r="P949" s="34" t="str">
        <f aca="false">IF(MID(D949,15,3)="SEL","Subestación eléctrica","Área de proceso")</f>
        <v>Subestación eléctrica</v>
      </c>
      <c r="Q949" s="34" t="str">
        <f aca="false">MID(D949,13,5)&amp;"|"&amp;MID(D949,19,5)</f>
        <v>06SEL|S_008</v>
      </c>
      <c r="R949" s="34" t="str">
        <f aca="false">IF(P949="Subestación eléctrica",IFERROR(INDEX(cat_SubN,MATCH(Q949,cat_SubK,0)),"SIN CATALOGAR"),"ÁREA DE PROCESO")</f>
        <v>SE-08</v>
      </c>
      <c r="S949" s="34" t="str">
        <f aca="false">IF(H949="","SIN DATO",IFERROR(INDEX(cat_MarcaN,MATCH(H949,cat_MarcaO,0)),H949))</f>
        <v>ABB</v>
      </c>
      <c r="T949" s="34" t="str">
        <f aca="false">IF(I949="","SIN DATO",IFERROR(INDEX(cat_ModN,MATCH(I949,cat_ModO,0)),I949))</f>
        <v>REF615A_1G</v>
      </c>
      <c r="U949" s="34" t="str">
        <f aca="false">IF(I949="","",IFERROR(INDEX(cat_ModG,MATCH(I949,cat_ModO,0)),"No"))</f>
        <v>No</v>
      </c>
      <c r="V949" s="34" t="str">
        <f aca="false">IF(J949="","SIN DATO",IFERROR(INDEX(cat_FunN,MATCH(J949,cat_FunO,0)),J949))</f>
        <v>Protección y medición</v>
      </c>
      <c r="W949" s="34" t="str">
        <f aca="false">IF(OR(S949="SIN DATO",T949="SIN DATO"),"No","Sí")</f>
        <v>Sí</v>
      </c>
    </row>
    <row r="950" customFormat="false" ht="15" hidden="false" customHeight="false" outlineLevel="0" collapsed="false">
      <c r="A950" s="34" t="s">
        <v>3540</v>
      </c>
      <c r="B950" s="34" t="s">
        <v>3541</v>
      </c>
      <c r="C950" s="34" t="s">
        <v>3542</v>
      </c>
      <c r="D950" s="34" t="s">
        <v>3543</v>
      </c>
      <c r="E950" s="34" t="s">
        <v>140</v>
      </c>
      <c r="F950" s="34" t="s">
        <v>1602</v>
      </c>
      <c r="G950" s="34" t="s">
        <v>300</v>
      </c>
      <c r="H950" s="34" t="s">
        <v>34</v>
      </c>
      <c r="I950" s="34" t="s">
        <v>37</v>
      </c>
      <c r="J950" s="34" t="s">
        <v>260</v>
      </c>
      <c r="K950" s="34" t="s">
        <v>236</v>
      </c>
      <c r="L950" s="34" t="s">
        <v>230</v>
      </c>
      <c r="M950" s="34" t="s">
        <v>262</v>
      </c>
      <c r="N950" s="34" t="str">
        <f aca="false">"Sector "&amp;VALUE(MID(D950,13,2))</f>
        <v>Sector 6</v>
      </c>
      <c r="O950" s="34" t="str">
        <f aca="false">IF(Dashboard!$C$5="Ubicación técnica",N950,"Sector "&amp;VALUE(RIGHT(G950,2)))</f>
        <v>Sector 6</v>
      </c>
      <c r="P950" s="34" t="str">
        <f aca="false">IF(MID(D950,15,3)="SEL","Subestación eléctrica","Área de proceso")</f>
        <v>Subestación eléctrica</v>
      </c>
      <c r="Q950" s="34" t="str">
        <f aca="false">MID(D950,13,5)&amp;"|"&amp;MID(D950,19,5)</f>
        <v>06SEL|S_008</v>
      </c>
      <c r="R950" s="34" t="str">
        <f aca="false">IF(P950="Subestación eléctrica",IFERROR(INDEX(cat_SubN,MATCH(Q950,cat_SubK,0)),"SIN CATALOGAR"),"ÁREA DE PROCESO")</f>
        <v>SE-08</v>
      </c>
      <c r="S950" s="34" t="str">
        <f aca="false">IF(H950="","SIN DATO",IFERROR(INDEX(cat_MarcaN,MATCH(H950,cat_MarcaO,0)),H950))</f>
        <v>ABB</v>
      </c>
      <c r="T950" s="34" t="str">
        <f aca="false">IF(I950="","SIN DATO",IFERROR(INDEX(cat_ModN,MATCH(I950,cat_ModO,0)),I950))</f>
        <v>REF615A_1G</v>
      </c>
      <c r="U950" s="34" t="str">
        <f aca="false">IF(I950="","",IFERROR(INDEX(cat_ModG,MATCH(I950,cat_ModO,0)),"No"))</f>
        <v>No</v>
      </c>
      <c r="V950" s="34" t="str">
        <f aca="false">IF(J950="","SIN DATO",IFERROR(INDEX(cat_FunN,MATCH(J950,cat_FunO,0)),J950))</f>
        <v>Protección y medición</v>
      </c>
      <c r="W950" s="34" t="str">
        <f aca="false">IF(OR(S950="SIN DATO",T950="SIN DATO"),"No","Sí")</f>
        <v>Sí</v>
      </c>
    </row>
    <row r="951" customFormat="false" ht="15" hidden="false" customHeight="false" outlineLevel="0" collapsed="false">
      <c r="A951" s="34" t="s">
        <v>3544</v>
      </c>
      <c r="B951" s="34" t="s">
        <v>3545</v>
      </c>
      <c r="C951" s="34" t="s">
        <v>3546</v>
      </c>
      <c r="D951" s="34" t="s">
        <v>3539</v>
      </c>
      <c r="E951" s="34" t="s">
        <v>140</v>
      </c>
      <c r="F951" s="34" t="s">
        <v>1602</v>
      </c>
      <c r="G951" s="34" t="s">
        <v>300</v>
      </c>
      <c r="H951" s="34" t="s">
        <v>34</v>
      </c>
      <c r="I951" s="34" t="s">
        <v>37</v>
      </c>
      <c r="J951" s="34" t="s">
        <v>260</v>
      </c>
      <c r="K951" s="34" t="s">
        <v>236</v>
      </c>
      <c r="L951" s="34" t="s">
        <v>230</v>
      </c>
      <c r="M951" s="34" t="s">
        <v>262</v>
      </c>
      <c r="N951" s="34" t="str">
        <f aca="false">"Sector "&amp;VALUE(MID(D951,13,2))</f>
        <v>Sector 6</v>
      </c>
      <c r="O951" s="34" t="str">
        <f aca="false">IF(Dashboard!$C$5="Ubicación técnica",N951,"Sector "&amp;VALUE(RIGHT(G951,2)))</f>
        <v>Sector 6</v>
      </c>
      <c r="P951" s="34" t="str">
        <f aca="false">IF(MID(D951,15,3)="SEL","Subestación eléctrica","Área de proceso")</f>
        <v>Subestación eléctrica</v>
      </c>
      <c r="Q951" s="34" t="str">
        <f aca="false">MID(D951,13,5)&amp;"|"&amp;MID(D951,19,5)</f>
        <v>06SEL|S_008</v>
      </c>
      <c r="R951" s="34" t="str">
        <f aca="false">IF(P951="Subestación eléctrica",IFERROR(INDEX(cat_SubN,MATCH(Q951,cat_SubK,0)),"SIN CATALOGAR"),"ÁREA DE PROCESO")</f>
        <v>SE-08</v>
      </c>
      <c r="S951" s="34" t="str">
        <f aca="false">IF(H951="","SIN DATO",IFERROR(INDEX(cat_MarcaN,MATCH(H951,cat_MarcaO,0)),H951))</f>
        <v>ABB</v>
      </c>
      <c r="T951" s="34" t="str">
        <f aca="false">IF(I951="","SIN DATO",IFERROR(INDEX(cat_ModN,MATCH(I951,cat_ModO,0)),I951))</f>
        <v>REF615A_1G</v>
      </c>
      <c r="U951" s="34" t="str">
        <f aca="false">IF(I951="","",IFERROR(INDEX(cat_ModG,MATCH(I951,cat_ModO,0)),"No"))</f>
        <v>No</v>
      </c>
      <c r="V951" s="34" t="str">
        <f aca="false">IF(J951="","SIN DATO",IFERROR(INDEX(cat_FunN,MATCH(J951,cat_FunO,0)),J951))</f>
        <v>Protección y medición</v>
      </c>
      <c r="W951" s="34" t="str">
        <f aca="false">IF(OR(S951="SIN DATO",T951="SIN DATO"),"No","Sí")</f>
        <v>Sí</v>
      </c>
    </row>
    <row r="952" customFormat="false" ht="15" hidden="false" customHeight="false" outlineLevel="0" collapsed="false">
      <c r="A952" s="34" t="s">
        <v>3547</v>
      </c>
      <c r="B952" s="34" t="s">
        <v>3548</v>
      </c>
      <c r="C952" s="34" t="s">
        <v>3549</v>
      </c>
      <c r="D952" s="34" t="s">
        <v>2882</v>
      </c>
      <c r="E952" s="34" t="s">
        <v>138</v>
      </c>
      <c r="F952" s="34" t="s">
        <v>1602</v>
      </c>
      <c r="G952" s="34" t="s">
        <v>300</v>
      </c>
      <c r="H952" s="34" t="s">
        <v>34</v>
      </c>
      <c r="I952" s="34" t="s">
        <v>37</v>
      </c>
      <c r="J952" s="34" t="s">
        <v>260</v>
      </c>
      <c r="K952" s="34" t="s">
        <v>236</v>
      </c>
      <c r="L952" s="34" t="s">
        <v>230</v>
      </c>
      <c r="M952" s="34" t="s">
        <v>262</v>
      </c>
      <c r="N952" s="34" t="str">
        <f aca="false">"Sector "&amp;VALUE(MID(D952,13,2))</f>
        <v>Sector 6</v>
      </c>
      <c r="O952" s="34" t="str">
        <f aca="false">IF(Dashboard!$C$5="Ubicación técnica",N952,"Sector "&amp;VALUE(RIGHT(G952,2)))</f>
        <v>Sector 6</v>
      </c>
      <c r="P952" s="34" t="str">
        <f aca="false">IF(MID(D952,15,3)="SEL","Subestación eléctrica","Área de proceso")</f>
        <v>Subestación eléctrica</v>
      </c>
      <c r="Q952" s="34" t="str">
        <f aca="false">MID(D952,13,5)&amp;"|"&amp;MID(D952,19,5)</f>
        <v>06SEL|S_002</v>
      </c>
      <c r="R952" s="34" t="str">
        <f aca="false">IF(P952="Subestación eléctrica",IFERROR(INDEX(cat_SubN,MATCH(Q952,cat_SubK,0)),"SIN CATALOGAR"),"ÁREA DE PROCESO")</f>
        <v>SE-02</v>
      </c>
      <c r="S952" s="34" t="str">
        <f aca="false">IF(H952="","SIN DATO",IFERROR(INDEX(cat_MarcaN,MATCH(H952,cat_MarcaO,0)),H952))</f>
        <v>ABB</v>
      </c>
      <c r="T952" s="34" t="str">
        <f aca="false">IF(I952="","SIN DATO",IFERROR(INDEX(cat_ModN,MATCH(I952,cat_ModO,0)),I952))</f>
        <v>REF615A_1G</v>
      </c>
      <c r="U952" s="34" t="str">
        <f aca="false">IF(I952="","",IFERROR(INDEX(cat_ModG,MATCH(I952,cat_ModO,0)),"No"))</f>
        <v>No</v>
      </c>
      <c r="V952" s="34" t="str">
        <f aca="false">IF(J952="","SIN DATO",IFERROR(INDEX(cat_FunN,MATCH(J952,cat_FunO,0)),J952))</f>
        <v>Protección y medición</v>
      </c>
      <c r="W952" s="34" t="str">
        <f aca="false">IF(OR(S952="SIN DATO",T952="SIN DATO"),"No","Sí")</f>
        <v>Sí</v>
      </c>
    </row>
    <row r="953" customFormat="false" ht="15" hidden="false" customHeight="false" outlineLevel="0" collapsed="false">
      <c r="A953" s="34" t="s">
        <v>3550</v>
      </c>
      <c r="B953" s="34" t="s">
        <v>3551</v>
      </c>
      <c r="C953" s="34" t="s">
        <v>3552</v>
      </c>
      <c r="D953" s="34" t="s">
        <v>2886</v>
      </c>
      <c r="E953" s="34" t="s">
        <v>138</v>
      </c>
      <c r="F953" s="34" t="s">
        <v>1602</v>
      </c>
      <c r="G953" s="34" t="s">
        <v>300</v>
      </c>
      <c r="H953" s="34" t="s">
        <v>34</v>
      </c>
      <c r="I953" s="34" t="s">
        <v>37</v>
      </c>
      <c r="J953" s="34" t="s">
        <v>260</v>
      </c>
      <c r="K953" s="34" t="s">
        <v>236</v>
      </c>
      <c r="L953" s="34" t="s">
        <v>230</v>
      </c>
      <c r="M953" s="34" t="s">
        <v>262</v>
      </c>
      <c r="N953" s="34" t="str">
        <f aca="false">"Sector "&amp;VALUE(MID(D953,13,2))</f>
        <v>Sector 6</v>
      </c>
      <c r="O953" s="34" t="str">
        <f aca="false">IF(Dashboard!$C$5="Ubicación técnica",N953,"Sector "&amp;VALUE(RIGHT(G953,2)))</f>
        <v>Sector 6</v>
      </c>
      <c r="P953" s="34" t="str">
        <f aca="false">IF(MID(D953,15,3)="SEL","Subestación eléctrica","Área de proceso")</f>
        <v>Subestación eléctrica</v>
      </c>
      <c r="Q953" s="34" t="str">
        <f aca="false">MID(D953,13,5)&amp;"|"&amp;MID(D953,19,5)</f>
        <v>06SEL|S_002</v>
      </c>
      <c r="R953" s="34" t="str">
        <f aca="false">IF(P953="Subestación eléctrica",IFERROR(INDEX(cat_SubN,MATCH(Q953,cat_SubK,0)),"SIN CATALOGAR"),"ÁREA DE PROCESO")</f>
        <v>SE-02</v>
      </c>
      <c r="S953" s="34" t="str">
        <f aca="false">IF(H953="","SIN DATO",IFERROR(INDEX(cat_MarcaN,MATCH(H953,cat_MarcaO,0)),H953))</f>
        <v>ABB</v>
      </c>
      <c r="T953" s="34" t="str">
        <f aca="false">IF(I953="","SIN DATO",IFERROR(INDEX(cat_ModN,MATCH(I953,cat_ModO,0)),I953))</f>
        <v>REF615A_1G</v>
      </c>
      <c r="U953" s="34" t="str">
        <f aca="false">IF(I953="","",IFERROR(INDEX(cat_ModG,MATCH(I953,cat_ModO,0)),"No"))</f>
        <v>No</v>
      </c>
      <c r="V953" s="34" t="str">
        <f aca="false">IF(J953="","SIN DATO",IFERROR(INDEX(cat_FunN,MATCH(J953,cat_FunO,0)),J953))</f>
        <v>Protección y medición</v>
      </c>
      <c r="W953" s="34" t="str">
        <f aca="false">IF(OR(S953="SIN DATO",T953="SIN DATO"),"No","Sí")</f>
        <v>Sí</v>
      </c>
    </row>
    <row r="954" customFormat="false" ht="15" hidden="false" customHeight="false" outlineLevel="0" collapsed="false">
      <c r="A954" s="34" t="s">
        <v>3553</v>
      </c>
      <c r="B954" s="34" t="s">
        <v>3554</v>
      </c>
      <c r="C954" s="34" t="s">
        <v>3555</v>
      </c>
      <c r="D954" s="34" t="s">
        <v>2882</v>
      </c>
      <c r="E954" s="34" t="s">
        <v>138</v>
      </c>
      <c r="F954" s="34" t="s">
        <v>1602</v>
      </c>
      <c r="G954" s="34" t="s">
        <v>300</v>
      </c>
      <c r="H954" s="34" t="s">
        <v>34</v>
      </c>
      <c r="I954" s="34" t="s">
        <v>37</v>
      </c>
      <c r="J954" s="34" t="s">
        <v>260</v>
      </c>
      <c r="K954" s="34" t="s">
        <v>236</v>
      </c>
      <c r="L954" s="34" t="s">
        <v>230</v>
      </c>
      <c r="M954" s="34" t="s">
        <v>262</v>
      </c>
      <c r="N954" s="34" t="str">
        <f aca="false">"Sector "&amp;VALUE(MID(D954,13,2))</f>
        <v>Sector 6</v>
      </c>
      <c r="O954" s="34" t="str">
        <f aca="false">IF(Dashboard!$C$5="Ubicación técnica",N954,"Sector "&amp;VALUE(RIGHT(G954,2)))</f>
        <v>Sector 6</v>
      </c>
      <c r="P954" s="34" t="str">
        <f aca="false">IF(MID(D954,15,3)="SEL","Subestación eléctrica","Área de proceso")</f>
        <v>Subestación eléctrica</v>
      </c>
      <c r="Q954" s="34" t="str">
        <f aca="false">MID(D954,13,5)&amp;"|"&amp;MID(D954,19,5)</f>
        <v>06SEL|S_002</v>
      </c>
      <c r="R954" s="34" t="str">
        <f aca="false">IF(P954="Subestación eléctrica",IFERROR(INDEX(cat_SubN,MATCH(Q954,cat_SubK,0)),"SIN CATALOGAR"),"ÁREA DE PROCESO")</f>
        <v>SE-02</v>
      </c>
      <c r="S954" s="34" t="str">
        <f aca="false">IF(H954="","SIN DATO",IFERROR(INDEX(cat_MarcaN,MATCH(H954,cat_MarcaO,0)),H954))</f>
        <v>ABB</v>
      </c>
      <c r="T954" s="34" t="str">
        <f aca="false">IF(I954="","SIN DATO",IFERROR(INDEX(cat_ModN,MATCH(I954,cat_ModO,0)),I954))</f>
        <v>REF615A_1G</v>
      </c>
      <c r="U954" s="34" t="str">
        <f aca="false">IF(I954="","",IFERROR(INDEX(cat_ModG,MATCH(I954,cat_ModO,0)),"No"))</f>
        <v>No</v>
      </c>
      <c r="V954" s="34" t="str">
        <f aca="false">IF(J954="","SIN DATO",IFERROR(INDEX(cat_FunN,MATCH(J954,cat_FunO,0)),J954))</f>
        <v>Protección y medición</v>
      </c>
      <c r="W954" s="34" t="str">
        <f aca="false">IF(OR(S954="SIN DATO",T954="SIN DATO"),"No","Sí")</f>
        <v>Sí</v>
      </c>
    </row>
    <row r="955" customFormat="false" ht="15" hidden="false" customHeight="false" outlineLevel="0" collapsed="false">
      <c r="A955" s="34" t="s">
        <v>3556</v>
      </c>
      <c r="B955" s="34" t="s">
        <v>3557</v>
      </c>
      <c r="C955" s="34" t="s">
        <v>3558</v>
      </c>
      <c r="D955" s="34" t="s">
        <v>2890</v>
      </c>
      <c r="E955" s="34" t="s">
        <v>140</v>
      </c>
      <c r="F955" s="34" t="s">
        <v>1602</v>
      </c>
      <c r="G955" s="34" t="s">
        <v>300</v>
      </c>
      <c r="H955" s="34" t="s">
        <v>34</v>
      </c>
      <c r="I955" s="34" t="s">
        <v>37</v>
      </c>
      <c r="J955" s="34" t="s">
        <v>260</v>
      </c>
      <c r="K955" s="34" t="s">
        <v>236</v>
      </c>
      <c r="L955" s="34" t="s">
        <v>230</v>
      </c>
      <c r="M955" s="34" t="s">
        <v>262</v>
      </c>
      <c r="N955" s="34" t="str">
        <f aca="false">"Sector "&amp;VALUE(MID(D955,13,2))</f>
        <v>Sector 6</v>
      </c>
      <c r="O955" s="34" t="str">
        <f aca="false">IF(Dashboard!$C$5="Ubicación técnica",N955,"Sector "&amp;VALUE(RIGHT(G955,2)))</f>
        <v>Sector 6</v>
      </c>
      <c r="P955" s="34" t="str">
        <f aca="false">IF(MID(D955,15,3)="SEL","Subestación eléctrica","Área de proceso")</f>
        <v>Subestación eléctrica</v>
      </c>
      <c r="Q955" s="34" t="str">
        <f aca="false">MID(D955,13,5)&amp;"|"&amp;MID(D955,19,5)</f>
        <v>06SEL|S_008</v>
      </c>
      <c r="R955" s="34" t="str">
        <f aca="false">IF(P955="Subestación eléctrica",IFERROR(INDEX(cat_SubN,MATCH(Q955,cat_SubK,0)),"SIN CATALOGAR"),"ÁREA DE PROCESO")</f>
        <v>SE-08</v>
      </c>
      <c r="S955" s="34" t="str">
        <f aca="false">IF(H955="","SIN DATO",IFERROR(INDEX(cat_MarcaN,MATCH(H955,cat_MarcaO,0)),H955))</f>
        <v>ABB</v>
      </c>
      <c r="T955" s="34" t="str">
        <f aca="false">IF(I955="","SIN DATO",IFERROR(INDEX(cat_ModN,MATCH(I955,cat_ModO,0)),I955))</f>
        <v>REF615A_1G</v>
      </c>
      <c r="U955" s="34" t="str">
        <f aca="false">IF(I955="","",IFERROR(INDEX(cat_ModG,MATCH(I955,cat_ModO,0)),"No"))</f>
        <v>No</v>
      </c>
      <c r="V955" s="34" t="str">
        <f aca="false">IF(J955="","SIN DATO",IFERROR(INDEX(cat_FunN,MATCH(J955,cat_FunO,0)),J955))</f>
        <v>Protección y medición</v>
      </c>
      <c r="W955" s="34" t="str">
        <f aca="false">IF(OR(S955="SIN DATO",T955="SIN DATO"),"No","Sí")</f>
        <v>Sí</v>
      </c>
    </row>
    <row r="956" customFormat="false" ht="15" hidden="false" customHeight="false" outlineLevel="0" collapsed="false">
      <c r="A956" s="34" t="s">
        <v>3559</v>
      </c>
      <c r="B956" s="34" t="s">
        <v>3560</v>
      </c>
      <c r="C956" s="34" t="s">
        <v>3561</v>
      </c>
      <c r="D956" s="34" t="s">
        <v>2894</v>
      </c>
      <c r="E956" s="34" t="s">
        <v>140</v>
      </c>
      <c r="F956" s="34" t="s">
        <v>1602</v>
      </c>
      <c r="G956" s="34" t="s">
        <v>300</v>
      </c>
      <c r="H956" s="34" t="s">
        <v>34</v>
      </c>
      <c r="I956" s="34" t="s">
        <v>37</v>
      </c>
      <c r="J956" s="34" t="s">
        <v>260</v>
      </c>
      <c r="K956" s="34" t="s">
        <v>236</v>
      </c>
      <c r="L956" s="34" t="s">
        <v>230</v>
      </c>
      <c r="M956" s="34" t="s">
        <v>262</v>
      </c>
      <c r="N956" s="34" t="str">
        <f aca="false">"Sector "&amp;VALUE(MID(D956,13,2))</f>
        <v>Sector 6</v>
      </c>
      <c r="O956" s="34" t="str">
        <f aca="false">IF(Dashboard!$C$5="Ubicación técnica",N956,"Sector "&amp;VALUE(RIGHT(G956,2)))</f>
        <v>Sector 6</v>
      </c>
      <c r="P956" s="34" t="str">
        <f aca="false">IF(MID(D956,15,3)="SEL","Subestación eléctrica","Área de proceso")</f>
        <v>Subestación eléctrica</v>
      </c>
      <c r="Q956" s="34" t="str">
        <f aca="false">MID(D956,13,5)&amp;"|"&amp;MID(D956,19,5)</f>
        <v>06SEL|S_008</v>
      </c>
      <c r="R956" s="34" t="str">
        <f aca="false">IF(P956="Subestación eléctrica",IFERROR(INDEX(cat_SubN,MATCH(Q956,cat_SubK,0)),"SIN CATALOGAR"),"ÁREA DE PROCESO")</f>
        <v>SE-08</v>
      </c>
      <c r="S956" s="34" t="str">
        <f aca="false">IF(H956="","SIN DATO",IFERROR(INDEX(cat_MarcaN,MATCH(H956,cat_MarcaO,0)),H956))</f>
        <v>ABB</v>
      </c>
      <c r="T956" s="34" t="str">
        <f aca="false">IF(I956="","SIN DATO",IFERROR(INDEX(cat_ModN,MATCH(I956,cat_ModO,0)),I956))</f>
        <v>REF615A_1G</v>
      </c>
      <c r="U956" s="34" t="str">
        <f aca="false">IF(I956="","",IFERROR(INDEX(cat_ModG,MATCH(I956,cat_ModO,0)),"No"))</f>
        <v>No</v>
      </c>
      <c r="V956" s="34" t="str">
        <f aca="false">IF(J956="","SIN DATO",IFERROR(INDEX(cat_FunN,MATCH(J956,cat_FunO,0)),J956))</f>
        <v>Protección y medición</v>
      </c>
      <c r="W956" s="34" t="str">
        <f aca="false">IF(OR(S956="SIN DATO",T956="SIN DATO"),"No","Sí")</f>
        <v>Sí</v>
      </c>
    </row>
    <row r="957" customFormat="false" ht="15" hidden="false" customHeight="false" outlineLevel="0" collapsed="false">
      <c r="A957" s="34" t="s">
        <v>3562</v>
      </c>
      <c r="B957" s="34" t="s">
        <v>3563</v>
      </c>
      <c r="C957" s="34" t="s">
        <v>3564</v>
      </c>
      <c r="D957" s="34" t="s">
        <v>2890</v>
      </c>
      <c r="E957" s="34" t="s">
        <v>140</v>
      </c>
      <c r="F957" s="34" t="s">
        <v>1602</v>
      </c>
      <c r="G957" s="34" t="s">
        <v>300</v>
      </c>
      <c r="H957" s="34" t="s">
        <v>34</v>
      </c>
      <c r="I957" s="34" t="s">
        <v>37</v>
      </c>
      <c r="J957" s="34" t="s">
        <v>260</v>
      </c>
      <c r="K957" s="34" t="s">
        <v>236</v>
      </c>
      <c r="L957" s="34" t="s">
        <v>230</v>
      </c>
      <c r="M957" s="34" t="s">
        <v>262</v>
      </c>
      <c r="N957" s="34" t="str">
        <f aca="false">"Sector "&amp;VALUE(MID(D957,13,2))</f>
        <v>Sector 6</v>
      </c>
      <c r="O957" s="34" t="str">
        <f aca="false">IF(Dashboard!$C$5="Ubicación técnica",N957,"Sector "&amp;VALUE(RIGHT(G957,2)))</f>
        <v>Sector 6</v>
      </c>
      <c r="P957" s="34" t="str">
        <f aca="false">IF(MID(D957,15,3)="SEL","Subestación eléctrica","Área de proceso")</f>
        <v>Subestación eléctrica</v>
      </c>
      <c r="Q957" s="34" t="str">
        <f aca="false">MID(D957,13,5)&amp;"|"&amp;MID(D957,19,5)</f>
        <v>06SEL|S_008</v>
      </c>
      <c r="R957" s="34" t="str">
        <f aca="false">IF(P957="Subestación eléctrica",IFERROR(INDEX(cat_SubN,MATCH(Q957,cat_SubK,0)),"SIN CATALOGAR"),"ÁREA DE PROCESO")</f>
        <v>SE-08</v>
      </c>
      <c r="S957" s="34" t="str">
        <f aca="false">IF(H957="","SIN DATO",IFERROR(INDEX(cat_MarcaN,MATCH(H957,cat_MarcaO,0)),H957))</f>
        <v>ABB</v>
      </c>
      <c r="T957" s="34" t="str">
        <f aca="false">IF(I957="","SIN DATO",IFERROR(INDEX(cat_ModN,MATCH(I957,cat_ModO,0)),I957))</f>
        <v>REF615A_1G</v>
      </c>
      <c r="U957" s="34" t="str">
        <f aca="false">IF(I957="","",IFERROR(INDEX(cat_ModG,MATCH(I957,cat_ModO,0)),"No"))</f>
        <v>No</v>
      </c>
      <c r="V957" s="34" t="str">
        <f aca="false">IF(J957="","SIN DATO",IFERROR(INDEX(cat_FunN,MATCH(J957,cat_FunO,0)),J957))</f>
        <v>Protección y medición</v>
      </c>
      <c r="W957" s="34" t="str">
        <f aca="false">IF(OR(S957="SIN DATO",T957="SIN DATO"),"No","Sí")</f>
        <v>Sí</v>
      </c>
    </row>
    <row r="958" customFormat="false" ht="15" hidden="false" customHeight="false" outlineLevel="0" collapsed="false">
      <c r="A958" s="34" t="s">
        <v>3565</v>
      </c>
      <c r="B958" s="34" t="s">
        <v>3566</v>
      </c>
      <c r="C958" s="34" t="s">
        <v>3567</v>
      </c>
      <c r="D958" s="34" t="s">
        <v>2898</v>
      </c>
      <c r="E958" s="34" t="s">
        <v>142</v>
      </c>
      <c r="F958" s="34" t="s">
        <v>1602</v>
      </c>
      <c r="G958" s="34" t="s">
        <v>300</v>
      </c>
      <c r="H958" s="34" t="s">
        <v>34</v>
      </c>
      <c r="I958" s="34" t="s">
        <v>45</v>
      </c>
      <c r="J958" s="34" t="s">
        <v>260</v>
      </c>
      <c r="K958" s="34" t="s">
        <v>236</v>
      </c>
      <c r="L958" s="34" t="s">
        <v>230</v>
      </c>
      <c r="M958" s="34" t="s">
        <v>262</v>
      </c>
      <c r="N958" s="34" t="str">
        <f aca="false">"Sector "&amp;VALUE(MID(D958,13,2))</f>
        <v>Sector 6</v>
      </c>
      <c r="O958" s="34" t="str">
        <f aca="false">IF(Dashboard!$C$5="Ubicación técnica",N958,"Sector "&amp;VALUE(RIGHT(G958,2)))</f>
        <v>Sector 6</v>
      </c>
      <c r="P958" s="34" t="str">
        <f aca="false">IF(MID(D958,15,3)="SEL","Subestación eléctrica","Área de proceso")</f>
        <v>Subestación eléctrica</v>
      </c>
      <c r="Q958" s="34" t="str">
        <f aca="false">MID(D958,13,5)&amp;"|"&amp;MID(D958,19,5)</f>
        <v>06SEL|S_009</v>
      </c>
      <c r="R958" s="34" t="str">
        <f aca="false">IF(P958="Subestación eléctrica",IFERROR(INDEX(cat_SubN,MATCH(Q958,cat_SubK,0)),"SIN CATALOGAR"),"ÁREA DE PROCESO")</f>
        <v>SE-09</v>
      </c>
      <c r="S958" s="34" t="str">
        <f aca="false">IF(H958="","SIN DATO",IFERROR(INDEX(cat_MarcaN,MATCH(H958,cat_MarcaO,0)),H958))</f>
        <v>ABB</v>
      </c>
      <c r="T958" s="34" t="str">
        <f aca="false">IF(I958="","SIN DATO",IFERROR(INDEX(cat_ModN,MATCH(I958,cat_ModO,0)),I958))</f>
        <v>REF615_1G</v>
      </c>
      <c r="U958" s="34" t="str">
        <f aca="false">IF(I958="","",IFERROR(INDEX(cat_ModG,MATCH(I958,cat_ModO,0)),"No"))</f>
        <v>No</v>
      </c>
      <c r="V958" s="34" t="str">
        <f aca="false">IF(J958="","SIN DATO",IFERROR(INDEX(cat_FunN,MATCH(J958,cat_FunO,0)),J958))</f>
        <v>Protección y medición</v>
      </c>
      <c r="W958" s="34" t="str">
        <f aca="false">IF(OR(S958="SIN DATO",T958="SIN DATO"),"No","Sí")</f>
        <v>Sí</v>
      </c>
    </row>
    <row r="959" customFormat="false" ht="15" hidden="false" customHeight="false" outlineLevel="0" collapsed="false">
      <c r="A959" s="34" t="s">
        <v>3568</v>
      </c>
      <c r="B959" s="34" t="s">
        <v>3569</v>
      </c>
      <c r="C959" s="34" t="s">
        <v>3570</v>
      </c>
      <c r="D959" s="34" t="s">
        <v>2902</v>
      </c>
      <c r="E959" s="34" t="s">
        <v>142</v>
      </c>
      <c r="F959" s="34" t="s">
        <v>1602</v>
      </c>
      <c r="G959" s="34" t="s">
        <v>300</v>
      </c>
      <c r="H959" s="34" t="s">
        <v>34</v>
      </c>
      <c r="I959" s="34" t="s">
        <v>53</v>
      </c>
      <c r="J959" s="34" t="s">
        <v>260</v>
      </c>
      <c r="K959" s="34" t="s">
        <v>236</v>
      </c>
      <c r="L959" s="34" t="s">
        <v>230</v>
      </c>
      <c r="M959" s="34" t="s">
        <v>262</v>
      </c>
      <c r="N959" s="34" t="str">
        <f aca="false">"Sector "&amp;VALUE(MID(D959,13,2))</f>
        <v>Sector 6</v>
      </c>
      <c r="O959" s="34" t="str">
        <f aca="false">IF(Dashboard!$C$5="Ubicación técnica",N959,"Sector "&amp;VALUE(RIGHT(G959,2)))</f>
        <v>Sector 6</v>
      </c>
      <c r="P959" s="34" t="str">
        <f aca="false">IF(MID(D959,15,3)="SEL","Subestación eléctrica","Área de proceso")</f>
        <v>Subestación eléctrica</v>
      </c>
      <c r="Q959" s="34" t="str">
        <f aca="false">MID(D959,13,5)&amp;"|"&amp;MID(D959,19,5)</f>
        <v>06SEL|S_009</v>
      </c>
      <c r="R959" s="34" t="str">
        <f aca="false">IF(P959="Subestación eléctrica",IFERROR(INDEX(cat_SubN,MATCH(Q959,cat_SubK,0)),"SIN CATALOGAR"),"ÁREA DE PROCESO")</f>
        <v>SE-09</v>
      </c>
      <c r="S959" s="34" t="str">
        <f aca="false">IF(H959="","SIN DATO",IFERROR(INDEX(cat_MarcaN,MATCH(H959,cat_MarcaO,0)),H959))</f>
        <v>ABB</v>
      </c>
      <c r="T959" s="34" t="str">
        <f aca="false">IF(I959="","SIN DATO",IFERROR(INDEX(cat_ModN,MATCH(I959,cat_ModO,0)),I959))</f>
        <v>REM615_1G</v>
      </c>
      <c r="U959" s="34" t="str">
        <f aca="false">IF(I959="","",IFERROR(INDEX(cat_ModG,MATCH(I959,cat_ModO,0)),"No"))</f>
        <v>No</v>
      </c>
      <c r="V959" s="34" t="str">
        <f aca="false">IF(J959="","SIN DATO",IFERROR(INDEX(cat_FunN,MATCH(J959,cat_FunO,0)),J959))</f>
        <v>Protección y medición</v>
      </c>
      <c r="W959" s="34" t="str">
        <f aca="false">IF(OR(S959="SIN DATO",T959="SIN DATO"),"No","Sí")</f>
        <v>Sí</v>
      </c>
    </row>
    <row r="960" customFormat="false" ht="15" hidden="false" customHeight="false" outlineLevel="0" collapsed="false">
      <c r="A960" s="34" t="s">
        <v>3571</v>
      </c>
      <c r="B960" s="34" t="s">
        <v>3572</v>
      </c>
      <c r="C960" s="34" t="s">
        <v>3573</v>
      </c>
      <c r="D960" s="34" t="s">
        <v>2898</v>
      </c>
      <c r="E960" s="34" t="s">
        <v>142</v>
      </c>
      <c r="F960" s="34" t="s">
        <v>1602</v>
      </c>
      <c r="G960" s="34" t="s">
        <v>300</v>
      </c>
      <c r="H960" s="34" t="s">
        <v>34</v>
      </c>
      <c r="I960" s="34" t="s">
        <v>45</v>
      </c>
      <c r="J960" s="34" t="s">
        <v>260</v>
      </c>
      <c r="K960" s="34" t="s">
        <v>236</v>
      </c>
      <c r="L960" s="34" t="s">
        <v>230</v>
      </c>
      <c r="M960" s="34" t="s">
        <v>262</v>
      </c>
      <c r="N960" s="34" t="str">
        <f aca="false">"Sector "&amp;VALUE(MID(D960,13,2))</f>
        <v>Sector 6</v>
      </c>
      <c r="O960" s="34" t="str">
        <f aca="false">IF(Dashboard!$C$5="Ubicación técnica",N960,"Sector "&amp;VALUE(RIGHT(G960,2)))</f>
        <v>Sector 6</v>
      </c>
      <c r="P960" s="34" t="str">
        <f aca="false">IF(MID(D960,15,3)="SEL","Subestación eléctrica","Área de proceso")</f>
        <v>Subestación eléctrica</v>
      </c>
      <c r="Q960" s="34" t="str">
        <f aca="false">MID(D960,13,5)&amp;"|"&amp;MID(D960,19,5)</f>
        <v>06SEL|S_009</v>
      </c>
      <c r="R960" s="34" t="str">
        <f aca="false">IF(P960="Subestación eléctrica",IFERROR(INDEX(cat_SubN,MATCH(Q960,cat_SubK,0)),"SIN CATALOGAR"),"ÁREA DE PROCESO")</f>
        <v>SE-09</v>
      </c>
      <c r="S960" s="34" t="str">
        <f aca="false">IF(H960="","SIN DATO",IFERROR(INDEX(cat_MarcaN,MATCH(H960,cat_MarcaO,0)),H960))</f>
        <v>ABB</v>
      </c>
      <c r="T960" s="34" t="str">
        <f aca="false">IF(I960="","SIN DATO",IFERROR(INDEX(cat_ModN,MATCH(I960,cat_ModO,0)),I960))</f>
        <v>REF615_1G</v>
      </c>
      <c r="U960" s="34" t="str">
        <f aca="false">IF(I960="","",IFERROR(INDEX(cat_ModG,MATCH(I960,cat_ModO,0)),"No"))</f>
        <v>No</v>
      </c>
      <c r="V960" s="34" t="str">
        <f aca="false">IF(J960="","SIN DATO",IFERROR(INDEX(cat_FunN,MATCH(J960,cat_FunO,0)),J960))</f>
        <v>Protección y medición</v>
      </c>
      <c r="W960" s="34" t="str">
        <f aca="false">IF(OR(S960="SIN DATO",T960="SIN DATO"),"No","Sí")</f>
        <v>Sí</v>
      </c>
    </row>
    <row r="961" customFormat="false" ht="15" hidden="false" customHeight="false" outlineLevel="0" collapsed="false">
      <c r="A961" s="34" t="s">
        <v>3574</v>
      </c>
      <c r="B961" s="34" t="s">
        <v>3575</v>
      </c>
      <c r="C961" s="34" t="s">
        <v>3576</v>
      </c>
      <c r="D961" s="34" t="s">
        <v>3577</v>
      </c>
      <c r="E961" s="34" t="s">
        <v>138</v>
      </c>
      <c r="F961" s="34" t="s">
        <v>1602</v>
      </c>
      <c r="G961" s="34" t="s">
        <v>300</v>
      </c>
      <c r="H961" s="34" t="s">
        <v>34</v>
      </c>
      <c r="I961" s="34" t="s">
        <v>37</v>
      </c>
      <c r="J961" s="34" t="s">
        <v>260</v>
      </c>
      <c r="K961" s="34" t="s">
        <v>236</v>
      </c>
      <c r="L961" s="34" t="s">
        <v>230</v>
      </c>
      <c r="M961" s="34" t="s">
        <v>262</v>
      </c>
      <c r="N961" s="34" t="str">
        <f aca="false">"Sector "&amp;VALUE(MID(D961,13,2))</f>
        <v>Sector 6</v>
      </c>
      <c r="O961" s="34" t="str">
        <f aca="false">IF(Dashboard!$C$5="Ubicación técnica",N961,"Sector "&amp;VALUE(RIGHT(G961,2)))</f>
        <v>Sector 6</v>
      </c>
      <c r="P961" s="34" t="str">
        <f aca="false">IF(MID(D961,15,3)="SEL","Subestación eléctrica","Área de proceso")</f>
        <v>Subestación eléctrica</v>
      </c>
      <c r="Q961" s="34" t="str">
        <f aca="false">MID(D961,13,5)&amp;"|"&amp;MID(D961,19,5)</f>
        <v>06SEL|S_002</v>
      </c>
      <c r="R961" s="34" t="str">
        <f aca="false">IF(P961="Subestación eléctrica",IFERROR(INDEX(cat_SubN,MATCH(Q961,cat_SubK,0)),"SIN CATALOGAR"),"ÁREA DE PROCESO")</f>
        <v>SE-02</v>
      </c>
      <c r="S961" s="34" t="str">
        <f aca="false">IF(H961="","SIN DATO",IFERROR(INDEX(cat_MarcaN,MATCH(H961,cat_MarcaO,0)),H961))</f>
        <v>ABB</v>
      </c>
      <c r="T961" s="34" t="str">
        <f aca="false">IF(I961="","SIN DATO",IFERROR(INDEX(cat_ModN,MATCH(I961,cat_ModO,0)),I961))</f>
        <v>REF615A_1G</v>
      </c>
      <c r="U961" s="34" t="str">
        <f aca="false">IF(I961="","",IFERROR(INDEX(cat_ModG,MATCH(I961,cat_ModO,0)),"No"))</f>
        <v>No</v>
      </c>
      <c r="V961" s="34" t="str">
        <f aca="false">IF(J961="","SIN DATO",IFERROR(INDEX(cat_FunN,MATCH(J961,cat_FunO,0)),J961))</f>
        <v>Protección y medición</v>
      </c>
      <c r="W961" s="34" t="str">
        <f aca="false">IF(OR(S961="SIN DATO",T961="SIN DATO"),"No","Sí")</f>
        <v>Sí</v>
      </c>
    </row>
    <row r="962" customFormat="false" ht="15" hidden="false" customHeight="false" outlineLevel="0" collapsed="false">
      <c r="A962" s="34" t="s">
        <v>3578</v>
      </c>
      <c r="B962" s="34" t="s">
        <v>3579</v>
      </c>
      <c r="C962" s="34" t="s">
        <v>3580</v>
      </c>
      <c r="D962" s="34" t="s">
        <v>3577</v>
      </c>
      <c r="E962" s="34" t="s">
        <v>138</v>
      </c>
      <c r="F962" s="34" t="s">
        <v>1602</v>
      </c>
      <c r="G962" s="34" t="s">
        <v>300</v>
      </c>
      <c r="H962" s="34" t="s">
        <v>34</v>
      </c>
      <c r="I962" s="34" t="s">
        <v>37</v>
      </c>
      <c r="J962" s="34" t="s">
        <v>260</v>
      </c>
      <c r="K962" s="34" t="s">
        <v>236</v>
      </c>
      <c r="L962" s="34" t="s">
        <v>230</v>
      </c>
      <c r="M962" s="34" t="s">
        <v>262</v>
      </c>
      <c r="N962" s="34" t="str">
        <f aca="false">"Sector "&amp;VALUE(MID(D962,13,2))</f>
        <v>Sector 6</v>
      </c>
      <c r="O962" s="34" t="str">
        <f aca="false">IF(Dashboard!$C$5="Ubicación técnica",N962,"Sector "&amp;VALUE(RIGHT(G962,2)))</f>
        <v>Sector 6</v>
      </c>
      <c r="P962" s="34" t="str">
        <f aca="false">IF(MID(D962,15,3)="SEL","Subestación eléctrica","Área de proceso")</f>
        <v>Subestación eléctrica</v>
      </c>
      <c r="Q962" s="34" t="str">
        <f aca="false">MID(D962,13,5)&amp;"|"&amp;MID(D962,19,5)</f>
        <v>06SEL|S_002</v>
      </c>
      <c r="R962" s="34" t="str">
        <f aca="false">IF(P962="Subestación eléctrica",IFERROR(INDEX(cat_SubN,MATCH(Q962,cat_SubK,0)),"SIN CATALOGAR"),"ÁREA DE PROCESO")</f>
        <v>SE-02</v>
      </c>
      <c r="S962" s="34" t="str">
        <f aca="false">IF(H962="","SIN DATO",IFERROR(INDEX(cat_MarcaN,MATCH(H962,cat_MarcaO,0)),H962))</f>
        <v>ABB</v>
      </c>
      <c r="T962" s="34" t="str">
        <f aca="false">IF(I962="","SIN DATO",IFERROR(INDEX(cat_ModN,MATCH(I962,cat_ModO,0)),I962))</f>
        <v>REF615A_1G</v>
      </c>
      <c r="U962" s="34" t="str">
        <f aca="false">IF(I962="","",IFERROR(INDEX(cat_ModG,MATCH(I962,cat_ModO,0)),"No"))</f>
        <v>No</v>
      </c>
      <c r="V962" s="34" t="str">
        <f aca="false">IF(J962="","SIN DATO",IFERROR(INDEX(cat_FunN,MATCH(J962,cat_FunO,0)),J962))</f>
        <v>Protección y medición</v>
      </c>
      <c r="W962" s="34" t="str">
        <f aca="false">IF(OR(S962="SIN DATO",T962="SIN DATO"),"No","Sí")</f>
        <v>Sí</v>
      </c>
    </row>
    <row r="963" customFormat="false" ht="15" hidden="false" customHeight="false" outlineLevel="0" collapsed="false">
      <c r="A963" s="34" t="s">
        <v>3581</v>
      </c>
      <c r="B963" s="34" t="s">
        <v>3582</v>
      </c>
      <c r="C963" s="34" t="s">
        <v>3583</v>
      </c>
      <c r="D963" s="34" t="s">
        <v>3584</v>
      </c>
      <c r="E963" s="34" t="s">
        <v>138</v>
      </c>
      <c r="F963" s="34" t="s">
        <v>1602</v>
      </c>
      <c r="G963" s="34" t="s">
        <v>300</v>
      </c>
      <c r="H963" s="34" t="s">
        <v>34</v>
      </c>
      <c r="I963" s="34" t="s">
        <v>37</v>
      </c>
      <c r="J963" s="34" t="s">
        <v>260</v>
      </c>
      <c r="K963" s="34" t="s">
        <v>236</v>
      </c>
      <c r="L963" s="34" t="s">
        <v>230</v>
      </c>
      <c r="M963" s="34" t="s">
        <v>262</v>
      </c>
      <c r="N963" s="34" t="str">
        <f aca="false">"Sector "&amp;VALUE(MID(D963,13,2))</f>
        <v>Sector 6</v>
      </c>
      <c r="O963" s="34" t="str">
        <f aca="false">IF(Dashboard!$C$5="Ubicación técnica",N963,"Sector "&amp;VALUE(RIGHT(G963,2)))</f>
        <v>Sector 6</v>
      </c>
      <c r="P963" s="34" t="str">
        <f aca="false">IF(MID(D963,15,3)="SEL","Subestación eléctrica","Área de proceso")</f>
        <v>Subestación eléctrica</v>
      </c>
      <c r="Q963" s="34" t="str">
        <f aca="false">MID(D963,13,5)&amp;"|"&amp;MID(D963,19,5)</f>
        <v>06SEL|S_002</v>
      </c>
      <c r="R963" s="34" t="str">
        <f aca="false">IF(P963="Subestación eléctrica",IFERROR(INDEX(cat_SubN,MATCH(Q963,cat_SubK,0)),"SIN CATALOGAR"),"ÁREA DE PROCESO")</f>
        <v>SE-02</v>
      </c>
      <c r="S963" s="34" t="str">
        <f aca="false">IF(H963="","SIN DATO",IFERROR(INDEX(cat_MarcaN,MATCH(H963,cat_MarcaO,0)),H963))</f>
        <v>ABB</v>
      </c>
      <c r="T963" s="34" t="str">
        <f aca="false">IF(I963="","SIN DATO",IFERROR(INDEX(cat_ModN,MATCH(I963,cat_ModO,0)),I963))</f>
        <v>REF615A_1G</v>
      </c>
      <c r="U963" s="34" t="str">
        <f aca="false">IF(I963="","",IFERROR(INDEX(cat_ModG,MATCH(I963,cat_ModO,0)),"No"))</f>
        <v>No</v>
      </c>
      <c r="V963" s="34" t="str">
        <f aca="false">IF(J963="","SIN DATO",IFERROR(INDEX(cat_FunN,MATCH(J963,cat_FunO,0)),J963))</f>
        <v>Protección y medición</v>
      </c>
      <c r="W963" s="34" t="str">
        <f aca="false">IF(OR(S963="SIN DATO",T963="SIN DATO"),"No","Sí")</f>
        <v>Sí</v>
      </c>
    </row>
    <row r="964" customFormat="false" ht="15" hidden="false" customHeight="false" outlineLevel="0" collapsed="false">
      <c r="A964" s="34" t="s">
        <v>3585</v>
      </c>
      <c r="B964" s="34" t="s">
        <v>3586</v>
      </c>
      <c r="C964" s="34" t="s">
        <v>3587</v>
      </c>
      <c r="D964" s="34" t="s">
        <v>3588</v>
      </c>
      <c r="E964" s="34" t="s">
        <v>138</v>
      </c>
      <c r="F964" s="34" t="s">
        <v>1602</v>
      </c>
      <c r="G964" s="34" t="s">
        <v>300</v>
      </c>
      <c r="H964" s="34" t="s">
        <v>34</v>
      </c>
      <c r="I964" s="34" t="s">
        <v>37</v>
      </c>
      <c r="J964" s="34" t="s">
        <v>260</v>
      </c>
      <c r="K964" s="34" t="s">
        <v>236</v>
      </c>
      <c r="L964" s="34" t="s">
        <v>230</v>
      </c>
      <c r="M964" s="34" t="s">
        <v>262</v>
      </c>
      <c r="N964" s="34" t="str">
        <f aca="false">"Sector "&amp;VALUE(MID(D964,13,2))</f>
        <v>Sector 6</v>
      </c>
      <c r="O964" s="34" t="str">
        <f aca="false">IF(Dashboard!$C$5="Ubicación técnica",N964,"Sector "&amp;VALUE(RIGHT(G964,2)))</f>
        <v>Sector 6</v>
      </c>
      <c r="P964" s="34" t="str">
        <f aca="false">IF(MID(D964,15,3)="SEL","Subestación eléctrica","Área de proceso")</f>
        <v>Subestación eléctrica</v>
      </c>
      <c r="Q964" s="34" t="str">
        <f aca="false">MID(D964,13,5)&amp;"|"&amp;MID(D964,19,5)</f>
        <v>06SEL|S_002</v>
      </c>
      <c r="R964" s="34" t="str">
        <f aca="false">IF(P964="Subestación eléctrica",IFERROR(INDEX(cat_SubN,MATCH(Q964,cat_SubK,0)),"SIN CATALOGAR"),"ÁREA DE PROCESO")</f>
        <v>SE-02</v>
      </c>
      <c r="S964" s="34" t="str">
        <f aca="false">IF(H964="","SIN DATO",IFERROR(INDEX(cat_MarcaN,MATCH(H964,cat_MarcaO,0)),H964))</f>
        <v>ABB</v>
      </c>
      <c r="T964" s="34" t="str">
        <f aca="false">IF(I964="","SIN DATO",IFERROR(INDEX(cat_ModN,MATCH(I964,cat_ModO,0)),I964))</f>
        <v>REF615A_1G</v>
      </c>
      <c r="U964" s="34" t="str">
        <f aca="false">IF(I964="","",IFERROR(INDEX(cat_ModG,MATCH(I964,cat_ModO,0)),"No"))</f>
        <v>No</v>
      </c>
      <c r="V964" s="34" t="str">
        <f aca="false">IF(J964="","SIN DATO",IFERROR(INDEX(cat_FunN,MATCH(J964,cat_FunO,0)),J964))</f>
        <v>Protección y medición</v>
      </c>
      <c r="W964" s="34" t="str">
        <f aca="false">IF(OR(S964="SIN DATO",T964="SIN DATO"),"No","Sí")</f>
        <v>Sí</v>
      </c>
    </row>
    <row r="965" customFormat="false" ht="15" hidden="false" customHeight="false" outlineLevel="0" collapsed="false">
      <c r="A965" s="34" t="s">
        <v>3589</v>
      </c>
      <c r="B965" s="34" t="s">
        <v>3590</v>
      </c>
      <c r="C965" s="34" t="s">
        <v>3591</v>
      </c>
      <c r="D965" s="34" t="s">
        <v>3592</v>
      </c>
      <c r="E965" s="34" t="s">
        <v>138</v>
      </c>
      <c r="F965" s="34" t="s">
        <v>1602</v>
      </c>
      <c r="G965" s="34" t="s">
        <v>300</v>
      </c>
      <c r="H965" s="34" t="s">
        <v>34</v>
      </c>
      <c r="I965" s="34" t="s">
        <v>37</v>
      </c>
      <c r="J965" s="34" t="s">
        <v>260</v>
      </c>
      <c r="K965" s="34" t="s">
        <v>236</v>
      </c>
      <c r="L965" s="34" t="s">
        <v>230</v>
      </c>
      <c r="M965" s="34" t="s">
        <v>262</v>
      </c>
      <c r="N965" s="34" t="str">
        <f aca="false">"Sector "&amp;VALUE(MID(D965,13,2))</f>
        <v>Sector 6</v>
      </c>
      <c r="O965" s="34" t="str">
        <f aca="false">IF(Dashboard!$C$5="Ubicación técnica",N965,"Sector "&amp;VALUE(RIGHT(G965,2)))</f>
        <v>Sector 6</v>
      </c>
      <c r="P965" s="34" t="str">
        <f aca="false">IF(MID(D965,15,3)="SEL","Subestación eléctrica","Área de proceso")</f>
        <v>Subestación eléctrica</v>
      </c>
      <c r="Q965" s="34" t="str">
        <f aca="false">MID(D965,13,5)&amp;"|"&amp;MID(D965,19,5)</f>
        <v>06SEL|S_002</v>
      </c>
      <c r="R965" s="34" t="str">
        <f aca="false">IF(P965="Subestación eléctrica",IFERROR(INDEX(cat_SubN,MATCH(Q965,cat_SubK,0)),"SIN CATALOGAR"),"ÁREA DE PROCESO")</f>
        <v>SE-02</v>
      </c>
      <c r="S965" s="34" t="str">
        <f aca="false">IF(H965="","SIN DATO",IFERROR(INDEX(cat_MarcaN,MATCH(H965,cat_MarcaO,0)),H965))</f>
        <v>ABB</v>
      </c>
      <c r="T965" s="34" t="str">
        <f aca="false">IF(I965="","SIN DATO",IFERROR(INDEX(cat_ModN,MATCH(I965,cat_ModO,0)),I965))</f>
        <v>REF615A_1G</v>
      </c>
      <c r="U965" s="34" t="str">
        <f aca="false">IF(I965="","",IFERROR(INDEX(cat_ModG,MATCH(I965,cat_ModO,0)),"No"))</f>
        <v>No</v>
      </c>
      <c r="V965" s="34" t="str">
        <f aca="false">IF(J965="","SIN DATO",IFERROR(INDEX(cat_FunN,MATCH(J965,cat_FunO,0)),J965))</f>
        <v>Protección y medición</v>
      </c>
      <c r="W965" s="34" t="str">
        <f aca="false">IF(OR(S965="SIN DATO",T965="SIN DATO"),"No","Sí")</f>
        <v>Sí</v>
      </c>
    </row>
    <row r="966" customFormat="false" ht="15" hidden="false" customHeight="false" outlineLevel="0" collapsed="false">
      <c r="A966" s="34" t="s">
        <v>3593</v>
      </c>
      <c r="B966" s="34" t="s">
        <v>3594</v>
      </c>
      <c r="C966" s="34" t="s">
        <v>3595</v>
      </c>
      <c r="D966" s="34" t="s">
        <v>3596</v>
      </c>
      <c r="E966" s="34" t="s">
        <v>138</v>
      </c>
      <c r="F966" s="34" t="s">
        <v>1602</v>
      </c>
      <c r="G966" s="34" t="s">
        <v>300</v>
      </c>
      <c r="H966" s="34" t="s">
        <v>34</v>
      </c>
      <c r="I966" s="34" t="s">
        <v>37</v>
      </c>
      <c r="J966" s="34" t="s">
        <v>260</v>
      </c>
      <c r="K966" s="34" t="s">
        <v>236</v>
      </c>
      <c r="L966" s="34" t="s">
        <v>230</v>
      </c>
      <c r="M966" s="34" t="s">
        <v>262</v>
      </c>
      <c r="N966" s="34" t="str">
        <f aca="false">"Sector "&amp;VALUE(MID(D966,13,2))</f>
        <v>Sector 6</v>
      </c>
      <c r="O966" s="34" t="str">
        <f aca="false">IF(Dashboard!$C$5="Ubicación técnica",N966,"Sector "&amp;VALUE(RIGHT(G966,2)))</f>
        <v>Sector 6</v>
      </c>
      <c r="P966" s="34" t="str">
        <f aca="false">IF(MID(D966,15,3)="SEL","Subestación eléctrica","Área de proceso")</f>
        <v>Subestación eléctrica</v>
      </c>
      <c r="Q966" s="34" t="str">
        <f aca="false">MID(D966,13,5)&amp;"|"&amp;MID(D966,19,5)</f>
        <v>06SEL|S_002</v>
      </c>
      <c r="R966" s="34" t="str">
        <f aca="false">IF(P966="Subestación eléctrica",IFERROR(INDEX(cat_SubN,MATCH(Q966,cat_SubK,0)),"SIN CATALOGAR"),"ÁREA DE PROCESO")</f>
        <v>SE-02</v>
      </c>
      <c r="S966" s="34" t="str">
        <f aca="false">IF(H966="","SIN DATO",IFERROR(INDEX(cat_MarcaN,MATCH(H966,cat_MarcaO,0)),H966))</f>
        <v>ABB</v>
      </c>
      <c r="T966" s="34" t="str">
        <f aca="false">IF(I966="","SIN DATO",IFERROR(INDEX(cat_ModN,MATCH(I966,cat_ModO,0)),I966))</f>
        <v>REF615A_1G</v>
      </c>
      <c r="U966" s="34" t="str">
        <f aca="false">IF(I966="","",IFERROR(INDEX(cat_ModG,MATCH(I966,cat_ModO,0)),"No"))</f>
        <v>No</v>
      </c>
      <c r="V966" s="34" t="str">
        <f aca="false">IF(J966="","SIN DATO",IFERROR(INDEX(cat_FunN,MATCH(J966,cat_FunO,0)),J966))</f>
        <v>Protección y medición</v>
      </c>
      <c r="W966" s="34" t="str">
        <f aca="false">IF(OR(S966="SIN DATO",T966="SIN DATO"),"No","Sí")</f>
        <v>Sí</v>
      </c>
    </row>
    <row r="967" customFormat="false" ht="15" hidden="false" customHeight="false" outlineLevel="0" collapsed="false">
      <c r="A967" s="34" t="s">
        <v>3597</v>
      </c>
      <c r="B967" s="34" t="s">
        <v>3598</v>
      </c>
      <c r="C967" s="34" t="s">
        <v>3599</v>
      </c>
      <c r="D967" s="34" t="s">
        <v>2906</v>
      </c>
      <c r="E967" s="34" t="s">
        <v>140</v>
      </c>
      <c r="F967" s="34" t="s">
        <v>1602</v>
      </c>
      <c r="G967" s="34" t="s">
        <v>300</v>
      </c>
      <c r="H967" s="34" t="s">
        <v>34</v>
      </c>
      <c r="I967" s="34" t="s">
        <v>37</v>
      </c>
      <c r="J967" s="34" t="s">
        <v>260</v>
      </c>
      <c r="K967" s="34" t="s">
        <v>236</v>
      </c>
      <c r="L967" s="34" t="s">
        <v>230</v>
      </c>
      <c r="M967" s="34" t="s">
        <v>262</v>
      </c>
      <c r="N967" s="34" t="str">
        <f aca="false">"Sector "&amp;VALUE(MID(D967,13,2))</f>
        <v>Sector 6</v>
      </c>
      <c r="O967" s="34" t="str">
        <f aca="false">IF(Dashboard!$C$5="Ubicación técnica",N967,"Sector "&amp;VALUE(RIGHT(G967,2)))</f>
        <v>Sector 6</v>
      </c>
      <c r="P967" s="34" t="str">
        <f aca="false">IF(MID(D967,15,3)="SEL","Subestación eléctrica","Área de proceso")</f>
        <v>Subestación eléctrica</v>
      </c>
      <c r="Q967" s="34" t="str">
        <f aca="false">MID(D967,13,5)&amp;"|"&amp;MID(D967,19,5)</f>
        <v>06SEL|S_008</v>
      </c>
      <c r="R967" s="34" t="str">
        <f aca="false">IF(P967="Subestación eléctrica",IFERROR(INDEX(cat_SubN,MATCH(Q967,cat_SubK,0)),"SIN CATALOGAR"),"ÁREA DE PROCESO")</f>
        <v>SE-08</v>
      </c>
      <c r="S967" s="34" t="str">
        <f aca="false">IF(H967="","SIN DATO",IFERROR(INDEX(cat_MarcaN,MATCH(H967,cat_MarcaO,0)),H967))</f>
        <v>ABB</v>
      </c>
      <c r="T967" s="34" t="str">
        <f aca="false">IF(I967="","SIN DATO",IFERROR(INDEX(cat_ModN,MATCH(I967,cat_ModO,0)),I967))</f>
        <v>REF615A_1G</v>
      </c>
      <c r="U967" s="34" t="str">
        <f aca="false">IF(I967="","",IFERROR(INDEX(cat_ModG,MATCH(I967,cat_ModO,0)),"No"))</f>
        <v>No</v>
      </c>
      <c r="V967" s="34" t="str">
        <f aca="false">IF(J967="","SIN DATO",IFERROR(INDEX(cat_FunN,MATCH(J967,cat_FunO,0)),J967))</f>
        <v>Protección y medición</v>
      </c>
      <c r="W967" s="34" t="str">
        <f aca="false">IF(OR(S967="SIN DATO",T967="SIN DATO"),"No","Sí")</f>
        <v>Sí</v>
      </c>
    </row>
    <row r="968" customFormat="false" ht="15" hidden="false" customHeight="false" outlineLevel="0" collapsed="false">
      <c r="A968" s="34" t="s">
        <v>3600</v>
      </c>
      <c r="B968" s="34" t="s">
        <v>3601</v>
      </c>
      <c r="C968" s="34" t="s">
        <v>3602</v>
      </c>
      <c r="D968" s="34" t="s">
        <v>2910</v>
      </c>
      <c r="E968" s="34" t="s">
        <v>140</v>
      </c>
      <c r="F968" s="34" t="s">
        <v>1602</v>
      </c>
      <c r="G968" s="34" t="s">
        <v>300</v>
      </c>
      <c r="H968" s="34" t="s">
        <v>34</v>
      </c>
      <c r="I968" s="34" t="s">
        <v>37</v>
      </c>
      <c r="J968" s="34" t="s">
        <v>260</v>
      </c>
      <c r="K968" s="34" t="s">
        <v>236</v>
      </c>
      <c r="L968" s="34" t="s">
        <v>230</v>
      </c>
      <c r="M968" s="34" t="s">
        <v>262</v>
      </c>
      <c r="N968" s="34" t="str">
        <f aca="false">"Sector "&amp;VALUE(MID(D968,13,2))</f>
        <v>Sector 6</v>
      </c>
      <c r="O968" s="34" t="str">
        <f aca="false">IF(Dashboard!$C$5="Ubicación técnica",N968,"Sector "&amp;VALUE(RIGHT(G968,2)))</f>
        <v>Sector 6</v>
      </c>
      <c r="P968" s="34" t="str">
        <f aca="false">IF(MID(D968,15,3)="SEL","Subestación eléctrica","Área de proceso")</f>
        <v>Subestación eléctrica</v>
      </c>
      <c r="Q968" s="34" t="str">
        <f aca="false">MID(D968,13,5)&amp;"|"&amp;MID(D968,19,5)</f>
        <v>06SEL|S_008</v>
      </c>
      <c r="R968" s="34" t="str">
        <f aca="false">IF(P968="Subestación eléctrica",IFERROR(INDEX(cat_SubN,MATCH(Q968,cat_SubK,0)),"SIN CATALOGAR"),"ÁREA DE PROCESO")</f>
        <v>SE-08</v>
      </c>
      <c r="S968" s="34" t="str">
        <f aca="false">IF(H968="","SIN DATO",IFERROR(INDEX(cat_MarcaN,MATCH(H968,cat_MarcaO,0)),H968))</f>
        <v>ABB</v>
      </c>
      <c r="T968" s="34" t="str">
        <f aca="false">IF(I968="","SIN DATO",IFERROR(INDEX(cat_ModN,MATCH(I968,cat_ModO,0)),I968))</f>
        <v>REF615A_1G</v>
      </c>
      <c r="U968" s="34" t="str">
        <f aca="false">IF(I968="","",IFERROR(INDEX(cat_ModG,MATCH(I968,cat_ModO,0)),"No"))</f>
        <v>No</v>
      </c>
      <c r="V968" s="34" t="str">
        <f aca="false">IF(J968="","SIN DATO",IFERROR(INDEX(cat_FunN,MATCH(J968,cat_FunO,0)),J968))</f>
        <v>Protección y medición</v>
      </c>
      <c r="W968" s="34" t="str">
        <f aca="false">IF(OR(S968="SIN DATO",T968="SIN DATO"),"No","Sí")</f>
        <v>Sí</v>
      </c>
    </row>
    <row r="969" customFormat="false" ht="15" hidden="false" customHeight="false" outlineLevel="0" collapsed="false">
      <c r="A969" s="34" t="s">
        <v>3603</v>
      </c>
      <c r="B969" s="34" t="s">
        <v>3604</v>
      </c>
      <c r="C969" s="34" t="s">
        <v>3605</v>
      </c>
      <c r="D969" s="34" t="s">
        <v>2914</v>
      </c>
      <c r="E969" s="34" t="s">
        <v>140</v>
      </c>
      <c r="F969" s="34" t="s">
        <v>1602</v>
      </c>
      <c r="G969" s="34" t="s">
        <v>300</v>
      </c>
      <c r="H969" s="34" t="s">
        <v>34</v>
      </c>
      <c r="I969" s="34" t="s">
        <v>37</v>
      </c>
      <c r="J969" s="34" t="s">
        <v>260</v>
      </c>
      <c r="K969" s="34" t="s">
        <v>236</v>
      </c>
      <c r="L969" s="34" t="s">
        <v>230</v>
      </c>
      <c r="M969" s="34" t="s">
        <v>262</v>
      </c>
      <c r="N969" s="34" t="str">
        <f aca="false">"Sector "&amp;VALUE(MID(D969,13,2))</f>
        <v>Sector 6</v>
      </c>
      <c r="O969" s="34" t="str">
        <f aca="false">IF(Dashboard!$C$5="Ubicación técnica",N969,"Sector "&amp;VALUE(RIGHT(G969,2)))</f>
        <v>Sector 6</v>
      </c>
      <c r="P969" s="34" t="str">
        <f aca="false">IF(MID(D969,15,3)="SEL","Subestación eléctrica","Área de proceso")</f>
        <v>Subestación eléctrica</v>
      </c>
      <c r="Q969" s="34" t="str">
        <f aca="false">MID(D969,13,5)&amp;"|"&amp;MID(D969,19,5)</f>
        <v>06SEL|S_008</v>
      </c>
      <c r="R969" s="34" t="str">
        <f aca="false">IF(P969="Subestación eléctrica",IFERROR(INDEX(cat_SubN,MATCH(Q969,cat_SubK,0)),"SIN CATALOGAR"),"ÁREA DE PROCESO")</f>
        <v>SE-08</v>
      </c>
      <c r="S969" s="34" t="str">
        <f aca="false">IF(H969="","SIN DATO",IFERROR(INDEX(cat_MarcaN,MATCH(H969,cat_MarcaO,0)),H969))</f>
        <v>ABB</v>
      </c>
      <c r="T969" s="34" t="str">
        <f aca="false">IF(I969="","SIN DATO",IFERROR(INDEX(cat_ModN,MATCH(I969,cat_ModO,0)),I969))</f>
        <v>REF615A_1G</v>
      </c>
      <c r="U969" s="34" t="str">
        <f aca="false">IF(I969="","",IFERROR(INDEX(cat_ModG,MATCH(I969,cat_ModO,0)),"No"))</f>
        <v>No</v>
      </c>
      <c r="V969" s="34" t="str">
        <f aca="false">IF(J969="","SIN DATO",IFERROR(INDEX(cat_FunN,MATCH(J969,cat_FunO,0)),J969))</f>
        <v>Protección y medición</v>
      </c>
      <c r="W969" s="34" t="str">
        <f aca="false">IF(OR(S969="SIN DATO",T969="SIN DATO"),"No","Sí")</f>
        <v>Sí</v>
      </c>
    </row>
    <row r="970" customFormat="false" ht="15" hidden="false" customHeight="false" outlineLevel="0" collapsed="false">
      <c r="A970" s="34" t="s">
        <v>3606</v>
      </c>
      <c r="B970" s="34" t="s">
        <v>3607</v>
      </c>
      <c r="C970" s="34" t="s">
        <v>3608</v>
      </c>
      <c r="D970" s="34" t="s">
        <v>2918</v>
      </c>
      <c r="E970" s="34" t="s">
        <v>140</v>
      </c>
      <c r="F970" s="34" t="s">
        <v>1602</v>
      </c>
      <c r="G970" s="34" t="s">
        <v>300</v>
      </c>
      <c r="H970" s="34" t="s">
        <v>34</v>
      </c>
      <c r="I970" s="34" t="s">
        <v>37</v>
      </c>
      <c r="J970" s="34" t="s">
        <v>260</v>
      </c>
      <c r="K970" s="34" t="s">
        <v>236</v>
      </c>
      <c r="L970" s="34" t="s">
        <v>230</v>
      </c>
      <c r="M970" s="34" t="s">
        <v>262</v>
      </c>
      <c r="N970" s="34" t="str">
        <f aca="false">"Sector "&amp;VALUE(MID(D970,13,2))</f>
        <v>Sector 6</v>
      </c>
      <c r="O970" s="34" t="str">
        <f aca="false">IF(Dashboard!$C$5="Ubicación técnica",N970,"Sector "&amp;VALUE(RIGHT(G970,2)))</f>
        <v>Sector 6</v>
      </c>
      <c r="P970" s="34" t="str">
        <f aca="false">IF(MID(D970,15,3)="SEL","Subestación eléctrica","Área de proceso")</f>
        <v>Subestación eléctrica</v>
      </c>
      <c r="Q970" s="34" t="str">
        <f aca="false">MID(D970,13,5)&amp;"|"&amp;MID(D970,19,5)</f>
        <v>06SEL|S_008</v>
      </c>
      <c r="R970" s="34" t="str">
        <f aca="false">IF(P970="Subestación eléctrica",IFERROR(INDEX(cat_SubN,MATCH(Q970,cat_SubK,0)),"SIN CATALOGAR"),"ÁREA DE PROCESO")</f>
        <v>SE-08</v>
      </c>
      <c r="S970" s="34" t="str">
        <f aca="false">IF(H970="","SIN DATO",IFERROR(INDEX(cat_MarcaN,MATCH(H970,cat_MarcaO,0)),H970))</f>
        <v>ABB</v>
      </c>
      <c r="T970" s="34" t="str">
        <f aca="false">IF(I970="","SIN DATO",IFERROR(INDEX(cat_ModN,MATCH(I970,cat_ModO,0)),I970))</f>
        <v>REF615A_1G</v>
      </c>
      <c r="U970" s="34" t="str">
        <f aca="false">IF(I970="","",IFERROR(INDEX(cat_ModG,MATCH(I970,cat_ModO,0)),"No"))</f>
        <v>No</v>
      </c>
      <c r="V970" s="34" t="str">
        <f aca="false">IF(J970="","SIN DATO",IFERROR(INDEX(cat_FunN,MATCH(J970,cat_FunO,0)),J970))</f>
        <v>Protección y medición</v>
      </c>
      <c r="W970" s="34" t="str">
        <f aca="false">IF(OR(S970="SIN DATO",T970="SIN DATO"),"No","Sí")</f>
        <v>Sí</v>
      </c>
    </row>
    <row r="971" customFormat="false" ht="15" hidden="false" customHeight="false" outlineLevel="0" collapsed="false">
      <c r="A971" s="34" t="s">
        <v>3609</v>
      </c>
      <c r="B971" s="34" t="s">
        <v>3610</v>
      </c>
      <c r="C971" s="34" t="s">
        <v>3611</v>
      </c>
      <c r="D971" s="34" t="s">
        <v>2922</v>
      </c>
      <c r="E971" s="34" t="s">
        <v>140</v>
      </c>
      <c r="F971" s="34" t="s">
        <v>1602</v>
      </c>
      <c r="G971" s="34" t="s">
        <v>300</v>
      </c>
      <c r="H971" s="34" t="s">
        <v>34</v>
      </c>
      <c r="I971" s="34" t="s">
        <v>37</v>
      </c>
      <c r="J971" s="34" t="s">
        <v>260</v>
      </c>
      <c r="K971" s="34" t="s">
        <v>236</v>
      </c>
      <c r="L971" s="34" t="s">
        <v>230</v>
      </c>
      <c r="M971" s="34" t="s">
        <v>262</v>
      </c>
      <c r="N971" s="34" t="str">
        <f aca="false">"Sector "&amp;VALUE(MID(D971,13,2))</f>
        <v>Sector 6</v>
      </c>
      <c r="O971" s="34" t="str">
        <f aca="false">IF(Dashboard!$C$5="Ubicación técnica",N971,"Sector "&amp;VALUE(RIGHT(G971,2)))</f>
        <v>Sector 6</v>
      </c>
      <c r="P971" s="34" t="str">
        <f aca="false">IF(MID(D971,15,3)="SEL","Subestación eléctrica","Área de proceso")</f>
        <v>Subestación eléctrica</v>
      </c>
      <c r="Q971" s="34" t="str">
        <f aca="false">MID(D971,13,5)&amp;"|"&amp;MID(D971,19,5)</f>
        <v>06SEL|S_008</v>
      </c>
      <c r="R971" s="34" t="str">
        <f aca="false">IF(P971="Subestación eléctrica",IFERROR(INDEX(cat_SubN,MATCH(Q971,cat_SubK,0)),"SIN CATALOGAR"),"ÁREA DE PROCESO")</f>
        <v>SE-08</v>
      </c>
      <c r="S971" s="34" t="str">
        <f aca="false">IF(H971="","SIN DATO",IFERROR(INDEX(cat_MarcaN,MATCH(H971,cat_MarcaO,0)),H971))</f>
        <v>ABB</v>
      </c>
      <c r="T971" s="34" t="str">
        <f aca="false">IF(I971="","SIN DATO",IFERROR(INDEX(cat_ModN,MATCH(I971,cat_ModO,0)),I971))</f>
        <v>REF615A_1G</v>
      </c>
      <c r="U971" s="34" t="str">
        <f aca="false">IF(I971="","",IFERROR(INDEX(cat_ModG,MATCH(I971,cat_ModO,0)),"No"))</f>
        <v>No</v>
      </c>
      <c r="V971" s="34" t="str">
        <f aca="false">IF(J971="","SIN DATO",IFERROR(INDEX(cat_FunN,MATCH(J971,cat_FunO,0)),J971))</f>
        <v>Protección y medición</v>
      </c>
      <c r="W971" s="34" t="str">
        <f aca="false">IF(OR(S971="SIN DATO",T971="SIN DATO"),"No","Sí")</f>
        <v>Sí</v>
      </c>
    </row>
    <row r="972" customFormat="false" ht="15" hidden="false" customHeight="false" outlineLevel="0" collapsed="false">
      <c r="A972" s="34" t="s">
        <v>3612</v>
      </c>
      <c r="B972" s="34" t="s">
        <v>3613</v>
      </c>
      <c r="C972" s="34" t="s">
        <v>3614</v>
      </c>
      <c r="D972" s="34" t="s">
        <v>2926</v>
      </c>
      <c r="E972" s="34" t="s">
        <v>140</v>
      </c>
      <c r="F972" s="34" t="s">
        <v>1602</v>
      </c>
      <c r="G972" s="34" t="s">
        <v>300</v>
      </c>
      <c r="H972" s="34" t="s">
        <v>34</v>
      </c>
      <c r="I972" s="34" t="s">
        <v>37</v>
      </c>
      <c r="J972" s="34" t="s">
        <v>260</v>
      </c>
      <c r="K972" s="34" t="s">
        <v>236</v>
      </c>
      <c r="L972" s="34" t="s">
        <v>230</v>
      </c>
      <c r="M972" s="34" t="s">
        <v>262</v>
      </c>
      <c r="N972" s="34" t="str">
        <f aca="false">"Sector "&amp;VALUE(MID(D972,13,2))</f>
        <v>Sector 6</v>
      </c>
      <c r="O972" s="34" t="str">
        <f aca="false">IF(Dashboard!$C$5="Ubicación técnica",N972,"Sector "&amp;VALUE(RIGHT(G972,2)))</f>
        <v>Sector 6</v>
      </c>
      <c r="P972" s="34" t="str">
        <f aca="false">IF(MID(D972,15,3)="SEL","Subestación eléctrica","Área de proceso")</f>
        <v>Subestación eléctrica</v>
      </c>
      <c r="Q972" s="34" t="str">
        <f aca="false">MID(D972,13,5)&amp;"|"&amp;MID(D972,19,5)</f>
        <v>06SEL|S_008</v>
      </c>
      <c r="R972" s="34" t="str">
        <f aca="false">IF(P972="Subestación eléctrica",IFERROR(INDEX(cat_SubN,MATCH(Q972,cat_SubK,0)),"SIN CATALOGAR"),"ÁREA DE PROCESO")</f>
        <v>SE-08</v>
      </c>
      <c r="S972" s="34" t="str">
        <f aca="false">IF(H972="","SIN DATO",IFERROR(INDEX(cat_MarcaN,MATCH(H972,cat_MarcaO,0)),H972))</f>
        <v>ABB</v>
      </c>
      <c r="T972" s="34" t="str">
        <f aca="false">IF(I972="","SIN DATO",IFERROR(INDEX(cat_ModN,MATCH(I972,cat_ModO,0)),I972))</f>
        <v>REF615A_1G</v>
      </c>
      <c r="U972" s="34" t="str">
        <f aca="false">IF(I972="","",IFERROR(INDEX(cat_ModG,MATCH(I972,cat_ModO,0)),"No"))</f>
        <v>No</v>
      </c>
      <c r="V972" s="34" t="str">
        <f aca="false">IF(J972="","SIN DATO",IFERROR(INDEX(cat_FunN,MATCH(J972,cat_FunO,0)),J972))</f>
        <v>Protección y medición</v>
      </c>
      <c r="W972" s="34" t="str">
        <f aca="false">IF(OR(S972="SIN DATO",T972="SIN DATO"),"No","Sí")</f>
        <v>Sí</v>
      </c>
    </row>
    <row r="973" customFormat="false" ht="15" hidden="false" customHeight="false" outlineLevel="0" collapsed="false">
      <c r="A973" s="34" t="s">
        <v>3615</v>
      </c>
      <c r="B973" s="34" t="s">
        <v>3616</v>
      </c>
      <c r="C973" s="34" t="s">
        <v>3617</v>
      </c>
      <c r="D973" s="34" t="s">
        <v>2930</v>
      </c>
      <c r="E973" s="34" t="s">
        <v>142</v>
      </c>
      <c r="F973" s="34" t="s">
        <v>1602</v>
      </c>
      <c r="G973" s="34" t="s">
        <v>300</v>
      </c>
      <c r="H973" s="34" t="s">
        <v>34</v>
      </c>
      <c r="I973" s="34" t="s">
        <v>45</v>
      </c>
      <c r="J973" s="34" t="s">
        <v>260</v>
      </c>
      <c r="K973" s="34" t="s">
        <v>236</v>
      </c>
      <c r="L973" s="34" t="s">
        <v>230</v>
      </c>
      <c r="M973" s="34" t="s">
        <v>262</v>
      </c>
      <c r="N973" s="34" t="str">
        <f aca="false">"Sector "&amp;VALUE(MID(D973,13,2))</f>
        <v>Sector 6</v>
      </c>
      <c r="O973" s="34" t="str">
        <f aca="false">IF(Dashboard!$C$5="Ubicación técnica",N973,"Sector "&amp;VALUE(RIGHT(G973,2)))</f>
        <v>Sector 6</v>
      </c>
      <c r="P973" s="34" t="str">
        <f aca="false">IF(MID(D973,15,3)="SEL","Subestación eléctrica","Área de proceso")</f>
        <v>Subestación eléctrica</v>
      </c>
      <c r="Q973" s="34" t="str">
        <f aca="false">MID(D973,13,5)&amp;"|"&amp;MID(D973,19,5)</f>
        <v>06SEL|S_009</v>
      </c>
      <c r="R973" s="34" t="str">
        <f aca="false">IF(P973="Subestación eléctrica",IFERROR(INDEX(cat_SubN,MATCH(Q973,cat_SubK,0)),"SIN CATALOGAR"),"ÁREA DE PROCESO")</f>
        <v>SE-09</v>
      </c>
      <c r="S973" s="34" t="str">
        <f aca="false">IF(H973="","SIN DATO",IFERROR(INDEX(cat_MarcaN,MATCH(H973,cat_MarcaO,0)),H973))</f>
        <v>ABB</v>
      </c>
      <c r="T973" s="34" t="str">
        <f aca="false">IF(I973="","SIN DATO",IFERROR(INDEX(cat_ModN,MATCH(I973,cat_ModO,0)),I973))</f>
        <v>REF615_1G</v>
      </c>
      <c r="U973" s="34" t="str">
        <f aca="false">IF(I973="","",IFERROR(INDEX(cat_ModG,MATCH(I973,cat_ModO,0)),"No"))</f>
        <v>No</v>
      </c>
      <c r="V973" s="34" t="str">
        <f aca="false">IF(J973="","SIN DATO",IFERROR(INDEX(cat_FunN,MATCH(J973,cat_FunO,0)),J973))</f>
        <v>Protección y medición</v>
      </c>
      <c r="W973" s="34" t="str">
        <f aca="false">IF(OR(S973="SIN DATO",T973="SIN DATO"),"No","Sí")</f>
        <v>Sí</v>
      </c>
    </row>
    <row r="974" customFormat="false" ht="15" hidden="false" customHeight="false" outlineLevel="0" collapsed="false">
      <c r="A974" s="34" t="s">
        <v>3618</v>
      </c>
      <c r="B974" s="34" t="s">
        <v>3619</v>
      </c>
      <c r="C974" s="34" t="s">
        <v>3620</v>
      </c>
      <c r="D974" s="34" t="s">
        <v>2950</v>
      </c>
      <c r="E974" s="34" t="s">
        <v>142</v>
      </c>
      <c r="F974" s="34" t="s">
        <v>1602</v>
      </c>
      <c r="G974" s="34" t="s">
        <v>300</v>
      </c>
      <c r="H974" s="34" t="s">
        <v>34</v>
      </c>
      <c r="I974" s="34" t="s">
        <v>45</v>
      </c>
      <c r="J974" s="34" t="s">
        <v>260</v>
      </c>
      <c r="K974" s="34" t="s">
        <v>236</v>
      </c>
      <c r="L974" s="34" t="s">
        <v>230</v>
      </c>
      <c r="M974" s="34" t="s">
        <v>262</v>
      </c>
      <c r="N974" s="34" t="str">
        <f aca="false">"Sector "&amp;VALUE(MID(D974,13,2))</f>
        <v>Sector 6</v>
      </c>
      <c r="O974" s="34" t="str">
        <f aca="false">IF(Dashboard!$C$5="Ubicación técnica",N974,"Sector "&amp;VALUE(RIGHT(G974,2)))</f>
        <v>Sector 6</v>
      </c>
      <c r="P974" s="34" t="str">
        <f aca="false">IF(MID(D974,15,3)="SEL","Subestación eléctrica","Área de proceso")</f>
        <v>Subestación eléctrica</v>
      </c>
      <c r="Q974" s="34" t="str">
        <f aca="false">MID(D974,13,5)&amp;"|"&amp;MID(D974,19,5)</f>
        <v>06SEL|S_009</v>
      </c>
      <c r="R974" s="34" t="str">
        <f aca="false">IF(P974="Subestación eléctrica",IFERROR(INDEX(cat_SubN,MATCH(Q974,cat_SubK,0)),"SIN CATALOGAR"),"ÁREA DE PROCESO")</f>
        <v>SE-09</v>
      </c>
      <c r="S974" s="34" t="str">
        <f aca="false">IF(H974="","SIN DATO",IFERROR(INDEX(cat_MarcaN,MATCH(H974,cat_MarcaO,0)),H974))</f>
        <v>ABB</v>
      </c>
      <c r="T974" s="34" t="str">
        <f aca="false">IF(I974="","SIN DATO",IFERROR(INDEX(cat_ModN,MATCH(I974,cat_ModO,0)),I974))</f>
        <v>REF615_1G</v>
      </c>
      <c r="U974" s="34" t="str">
        <f aca="false">IF(I974="","",IFERROR(INDEX(cat_ModG,MATCH(I974,cat_ModO,0)),"No"))</f>
        <v>No</v>
      </c>
      <c r="V974" s="34" t="str">
        <f aca="false">IF(J974="","SIN DATO",IFERROR(INDEX(cat_FunN,MATCH(J974,cat_FunO,0)),J974))</f>
        <v>Protección y medición</v>
      </c>
      <c r="W974" s="34" t="str">
        <f aca="false">IF(OR(S974="SIN DATO",T974="SIN DATO"),"No","Sí")</f>
        <v>Sí</v>
      </c>
    </row>
    <row r="975" customFormat="false" ht="15" hidden="false" customHeight="false" outlineLevel="0" collapsed="false">
      <c r="A975" s="34" t="s">
        <v>3621</v>
      </c>
      <c r="B975" s="34" t="s">
        <v>3622</v>
      </c>
      <c r="C975" s="34" t="s">
        <v>3623</v>
      </c>
      <c r="D975" s="34" t="s">
        <v>2934</v>
      </c>
      <c r="E975" s="34" t="s">
        <v>142</v>
      </c>
      <c r="F975" s="34" t="s">
        <v>1602</v>
      </c>
      <c r="G975" s="34" t="s">
        <v>300</v>
      </c>
      <c r="H975" s="34" t="s">
        <v>34</v>
      </c>
      <c r="I975" s="34" t="s">
        <v>45</v>
      </c>
      <c r="J975" s="34" t="s">
        <v>260</v>
      </c>
      <c r="K975" s="34" t="s">
        <v>236</v>
      </c>
      <c r="L975" s="34" t="s">
        <v>230</v>
      </c>
      <c r="M975" s="34" t="s">
        <v>262</v>
      </c>
      <c r="N975" s="34" t="str">
        <f aca="false">"Sector "&amp;VALUE(MID(D975,13,2))</f>
        <v>Sector 6</v>
      </c>
      <c r="O975" s="34" t="str">
        <f aca="false">IF(Dashboard!$C$5="Ubicación técnica",N975,"Sector "&amp;VALUE(RIGHT(G975,2)))</f>
        <v>Sector 6</v>
      </c>
      <c r="P975" s="34" t="str">
        <f aca="false">IF(MID(D975,15,3)="SEL","Subestación eléctrica","Área de proceso")</f>
        <v>Subestación eléctrica</v>
      </c>
      <c r="Q975" s="34" t="str">
        <f aca="false">MID(D975,13,5)&amp;"|"&amp;MID(D975,19,5)</f>
        <v>06SEL|S_009</v>
      </c>
      <c r="R975" s="34" t="str">
        <f aca="false">IF(P975="Subestación eléctrica",IFERROR(INDEX(cat_SubN,MATCH(Q975,cat_SubK,0)),"SIN CATALOGAR"),"ÁREA DE PROCESO")</f>
        <v>SE-09</v>
      </c>
      <c r="S975" s="34" t="str">
        <f aca="false">IF(H975="","SIN DATO",IFERROR(INDEX(cat_MarcaN,MATCH(H975,cat_MarcaO,0)),H975))</f>
        <v>ABB</v>
      </c>
      <c r="T975" s="34" t="str">
        <f aca="false">IF(I975="","SIN DATO",IFERROR(INDEX(cat_ModN,MATCH(I975,cat_ModO,0)),I975))</f>
        <v>REF615_1G</v>
      </c>
      <c r="U975" s="34" t="str">
        <f aca="false">IF(I975="","",IFERROR(INDEX(cat_ModG,MATCH(I975,cat_ModO,0)),"No"))</f>
        <v>No</v>
      </c>
      <c r="V975" s="34" t="str">
        <f aca="false">IF(J975="","SIN DATO",IFERROR(INDEX(cat_FunN,MATCH(J975,cat_FunO,0)),J975))</f>
        <v>Protección y medición</v>
      </c>
      <c r="W975" s="34" t="str">
        <f aca="false">IF(OR(S975="SIN DATO",T975="SIN DATO"),"No","Sí")</f>
        <v>Sí</v>
      </c>
    </row>
    <row r="976" customFormat="false" ht="15" hidden="false" customHeight="false" outlineLevel="0" collapsed="false">
      <c r="A976" s="34" t="s">
        <v>3624</v>
      </c>
      <c r="B976" s="34" t="s">
        <v>3625</v>
      </c>
      <c r="C976" s="34" t="s">
        <v>3626</v>
      </c>
      <c r="D976" s="34" t="s">
        <v>2938</v>
      </c>
      <c r="E976" s="34" t="s">
        <v>142</v>
      </c>
      <c r="F976" s="34" t="s">
        <v>1602</v>
      </c>
      <c r="G976" s="34" t="s">
        <v>300</v>
      </c>
      <c r="H976" s="34" t="s">
        <v>34</v>
      </c>
      <c r="I976" s="34" t="s">
        <v>45</v>
      </c>
      <c r="J976" s="34" t="s">
        <v>260</v>
      </c>
      <c r="K976" s="34" t="s">
        <v>236</v>
      </c>
      <c r="L976" s="34" t="s">
        <v>230</v>
      </c>
      <c r="M976" s="34" t="s">
        <v>262</v>
      </c>
      <c r="N976" s="34" t="str">
        <f aca="false">"Sector "&amp;VALUE(MID(D976,13,2))</f>
        <v>Sector 6</v>
      </c>
      <c r="O976" s="34" t="str">
        <f aca="false">IF(Dashboard!$C$5="Ubicación técnica",N976,"Sector "&amp;VALUE(RIGHT(G976,2)))</f>
        <v>Sector 6</v>
      </c>
      <c r="P976" s="34" t="str">
        <f aca="false">IF(MID(D976,15,3)="SEL","Subestación eléctrica","Área de proceso")</f>
        <v>Subestación eléctrica</v>
      </c>
      <c r="Q976" s="34" t="str">
        <f aca="false">MID(D976,13,5)&amp;"|"&amp;MID(D976,19,5)</f>
        <v>06SEL|S_009</v>
      </c>
      <c r="R976" s="34" t="str">
        <f aca="false">IF(P976="Subestación eléctrica",IFERROR(INDEX(cat_SubN,MATCH(Q976,cat_SubK,0)),"SIN CATALOGAR"),"ÁREA DE PROCESO")</f>
        <v>SE-09</v>
      </c>
      <c r="S976" s="34" t="str">
        <f aca="false">IF(H976="","SIN DATO",IFERROR(INDEX(cat_MarcaN,MATCH(H976,cat_MarcaO,0)),H976))</f>
        <v>ABB</v>
      </c>
      <c r="T976" s="34" t="str">
        <f aca="false">IF(I976="","SIN DATO",IFERROR(INDEX(cat_ModN,MATCH(I976,cat_ModO,0)),I976))</f>
        <v>REF615_1G</v>
      </c>
      <c r="U976" s="34" t="str">
        <f aca="false">IF(I976="","",IFERROR(INDEX(cat_ModG,MATCH(I976,cat_ModO,0)),"No"))</f>
        <v>No</v>
      </c>
      <c r="V976" s="34" t="str">
        <f aca="false">IF(J976="","SIN DATO",IFERROR(INDEX(cat_FunN,MATCH(J976,cat_FunO,0)),J976))</f>
        <v>Protección y medición</v>
      </c>
      <c r="W976" s="34" t="str">
        <f aca="false">IF(OR(S976="SIN DATO",T976="SIN DATO"),"No","Sí")</f>
        <v>Sí</v>
      </c>
    </row>
    <row r="977" customFormat="false" ht="15" hidden="false" customHeight="false" outlineLevel="0" collapsed="false">
      <c r="A977" s="34" t="s">
        <v>3627</v>
      </c>
      <c r="B977" s="34" t="s">
        <v>3628</v>
      </c>
      <c r="C977" s="34" t="s">
        <v>3629</v>
      </c>
      <c r="D977" s="34" t="s">
        <v>2942</v>
      </c>
      <c r="E977" s="34" t="s">
        <v>142</v>
      </c>
      <c r="F977" s="34" t="s">
        <v>1602</v>
      </c>
      <c r="G977" s="34" t="s">
        <v>300</v>
      </c>
      <c r="H977" s="34" t="s">
        <v>34</v>
      </c>
      <c r="I977" s="34" t="s">
        <v>45</v>
      </c>
      <c r="J977" s="34" t="s">
        <v>260</v>
      </c>
      <c r="K977" s="34" t="s">
        <v>236</v>
      </c>
      <c r="L977" s="34" t="s">
        <v>230</v>
      </c>
      <c r="M977" s="34" t="s">
        <v>262</v>
      </c>
      <c r="N977" s="34" t="str">
        <f aca="false">"Sector "&amp;VALUE(MID(D977,13,2))</f>
        <v>Sector 6</v>
      </c>
      <c r="O977" s="34" t="str">
        <f aca="false">IF(Dashboard!$C$5="Ubicación técnica",N977,"Sector "&amp;VALUE(RIGHT(G977,2)))</f>
        <v>Sector 6</v>
      </c>
      <c r="P977" s="34" t="str">
        <f aca="false">IF(MID(D977,15,3)="SEL","Subestación eléctrica","Área de proceso")</f>
        <v>Subestación eléctrica</v>
      </c>
      <c r="Q977" s="34" t="str">
        <f aca="false">MID(D977,13,5)&amp;"|"&amp;MID(D977,19,5)</f>
        <v>06SEL|S_009</v>
      </c>
      <c r="R977" s="34" t="str">
        <f aca="false">IF(P977="Subestación eléctrica",IFERROR(INDEX(cat_SubN,MATCH(Q977,cat_SubK,0)),"SIN CATALOGAR"),"ÁREA DE PROCESO")</f>
        <v>SE-09</v>
      </c>
      <c r="S977" s="34" t="str">
        <f aca="false">IF(H977="","SIN DATO",IFERROR(INDEX(cat_MarcaN,MATCH(H977,cat_MarcaO,0)),H977))</f>
        <v>ABB</v>
      </c>
      <c r="T977" s="34" t="str">
        <f aca="false">IF(I977="","SIN DATO",IFERROR(INDEX(cat_ModN,MATCH(I977,cat_ModO,0)),I977))</f>
        <v>REF615_1G</v>
      </c>
      <c r="U977" s="34" t="str">
        <f aca="false">IF(I977="","",IFERROR(INDEX(cat_ModG,MATCH(I977,cat_ModO,0)),"No"))</f>
        <v>No</v>
      </c>
      <c r="V977" s="34" t="str">
        <f aca="false">IF(J977="","SIN DATO",IFERROR(INDEX(cat_FunN,MATCH(J977,cat_FunO,0)),J977))</f>
        <v>Protección y medición</v>
      </c>
      <c r="W977" s="34" t="str">
        <f aca="false">IF(OR(S977="SIN DATO",T977="SIN DATO"),"No","Sí")</f>
        <v>Sí</v>
      </c>
    </row>
    <row r="978" customFormat="false" ht="15" hidden="false" customHeight="false" outlineLevel="0" collapsed="false">
      <c r="A978" s="34" t="s">
        <v>3630</v>
      </c>
      <c r="B978" s="34" t="s">
        <v>3631</v>
      </c>
      <c r="C978" s="34" t="s">
        <v>3632</v>
      </c>
      <c r="D978" s="34" t="s">
        <v>2946</v>
      </c>
      <c r="E978" s="34" t="s">
        <v>142</v>
      </c>
      <c r="F978" s="34" t="s">
        <v>1602</v>
      </c>
      <c r="G978" s="34" t="s">
        <v>300</v>
      </c>
      <c r="H978" s="34" t="s">
        <v>34</v>
      </c>
      <c r="I978" s="34" t="s">
        <v>45</v>
      </c>
      <c r="J978" s="34" t="s">
        <v>260</v>
      </c>
      <c r="K978" s="34" t="s">
        <v>236</v>
      </c>
      <c r="L978" s="34" t="s">
        <v>230</v>
      </c>
      <c r="M978" s="34" t="s">
        <v>262</v>
      </c>
      <c r="N978" s="34" t="str">
        <f aca="false">"Sector "&amp;VALUE(MID(D978,13,2))</f>
        <v>Sector 6</v>
      </c>
      <c r="O978" s="34" t="str">
        <f aca="false">IF(Dashboard!$C$5="Ubicación técnica",N978,"Sector "&amp;VALUE(RIGHT(G978,2)))</f>
        <v>Sector 6</v>
      </c>
      <c r="P978" s="34" t="str">
        <f aca="false">IF(MID(D978,15,3)="SEL","Subestación eléctrica","Área de proceso")</f>
        <v>Subestación eléctrica</v>
      </c>
      <c r="Q978" s="34" t="str">
        <f aca="false">MID(D978,13,5)&amp;"|"&amp;MID(D978,19,5)</f>
        <v>06SEL|S_009</v>
      </c>
      <c r="R978" s="34" t="str">
        <f aca="false">IF(P978="Subestación eléctrica",IFERROR(INDEX(cat_SubN,MATCH(Q978,cat_SubK,0)),"SIN CATALOGAR"),"ÁREA DE PROCESO")</f>
        <v>SE-09</v>
      </c>
      <c r="S978" s="34" t="str">
        <f aca="false">IF(H978="","SIN DATO",IFERROR(INDEX(cat_MarcaN,MATCH(H978,cat_MarcaO,0)),H978))</f>
        <v>ABB</v>
      </c>
      <c r="T978" s="34" t="str">
        <f aca="false">IF(I978="","SIN DATO",IFERROR(INDEX(cat_ModN,MATCH(I978,cat_ModO,0)),I978))</f>
        <v>REF615_1G</v>
      </c>
      <c r="U978" s="34" t="str">
        <f aca="false">IF(I978="","",IFERROR(INDEX(cat_ModG,MATCH(I978,cat_ModO,0)),"No"))</f>
        <v>No</v>
      </c>
      <c r="V978" s="34" t="str">
        <f aca="false">IF(J978="","SIN DATO",IFERROR(INDEX(cat_FunN,MATCH(J978,cat_FunO,0)),J978))</f>
        <v>Protección y medición</v>
      </c>
      <c r="W978" s="34" t="str">
        <f aca="false">IF(OR(S978="SIN DATO",T978="SIN DATO"),"No","Sí")</f>
        <v>Sí</v>
      </c>
    </row>
    <row r="979" customFormat="false" ht="15" hidden="false" customHeight="false" outlineLevel="0" collapsed="false">
      <c r="A979" s="34" t="s">
        <v>3633</v>
      </c>
      <c r="B979" s="34" t="s">
        <v>3634</v>
      </c>
      <c r="C979" s="34" t="s">
        <v>3635</v>
      </c>
      <c r="D979" s="34" t="s">
        <v>2858</v>
      </c>
      <c r="E979" s="34" t="s">
        <v>138</v>
      </c>
      <c r="F979" s="34" t="s">
        <v>1602</v>
      </c>
      <c r="G979" s="34" t="s">
        <v>300</v>
      </c>
      <c r="H979" s="34" t="s">
        <v>34</v>
      </c>
      <c r="I979" s="34" t="s">
        <v>37</v>
      </c>
      <c r="J979" s="34" t="s">
        <v>260</v>
      </c>
      <c r="K979" s="34" t="s">
        <v>236</v>
      </c>
      <c r="L979" s="34" t="s">
        <v>230</v>
      </c>
      <c r="M979" s="34" t="s">
        <v>262</v>
      </c>
      <c r="N979" s="34" t="str">
        <f aca="false">"Sector "&amp;VALUE(MID(D979,13,2))</f>
        <v>Sector 6</v>
      </c>
      <c r="O979" s="34" t="str">
        <f aca="false">IF(Dashboard!$C$5="Ubicación técnica",N979,"Sector "&amp;VALUE(RIGHT(G979,2)))</f>
        <v>Sector 6</v>
      </c>
      <c r="P979" s="34" t="str">
        <f aca="false">IF(MID(D979,15,3)="SEL","Subestación eléctrica","Área de proceso")</f>
        <v>Subestación eléctrica</v>
      </c>
      <c r="Q979" s="34" t="str">
        <f aca="false">MID(D979,13,5)&amp;"|"&amp;MID(D979,19,5)</f>
        <v>06SEL|S_002</v>
      </c>
      <c r="R979" s="34" t="str">
        <f aca="false">IF(P979="Subestación eléctrica",IFERROR(INDEX(cat_SubN,MATCH(Q979,cat_SubK,0)),"SIN CATALOGAR"),"ÁREA DE PROCESO")</f>
        <v>SE-02</v>
      </c>
      <c r="S979" s="34" t="str">
        <f aca="false">IF(H979="","SIN DATO",IFERROR(INDEX(cat_MarcaN,MATCH(H979,cat_MarcaO,0)),H979))</f>
        <v>ABB</v>
      </c>
      <c r="T979" s="34" t="str">
        <f aca="false">IF(I979="","SIN DATO",IFERROR(INDEX(cat_ModN,MATCH(I979,cat_ModO,0)),I979))</f>
        <v>REF615A_1G</v>
      </c>
      <c r="U979" s="34" t="str">
        <f aca="false">IF(I979="","",IFERROR(INDEX(cat_ModG,MATCH(I979,cat_ModO,0)),"No"))</f>
        <v>No</v>
      </c>
      <c r="V979" s="34" t="str">
        <f aca="false">IF(J979="","SIN DATO",IFERROR(INDEX(cat_FunN,MATCH(J979,cat_FunO,0)),J979))</f>
        <v>Protección y medición</v>
      </c>
      <c r="W979" s="34" t="str">
        <f aca="false">IF(OR(S979="SIN DATO",T979="SIN DATO"),"No","Sí")</f>
        <v>Sí</v>
      </c>
    </row>
    <row r="980" customFormat="false" ht="15" hidden="false" customHeight="false" outlineLevel="0" collapsed="false">
      <c r="A980" s="34" t="s">
        <v>3636</v>
      </c>
      <c r="B980" s="34" t="s">
        <v>3637</v>
      </c>
      <c r="C980" s="34" t="s">
        <v>3638</v>
      </c>
      <c r="D980" s="34" t="s">
        <v>2862</v>
      </c>
      <c r="E980" s="34" t="s">
        <v>138</v>
      </c>
      <c r="F980" s="34" t="s">
        <v>1602</v>
      </c>
      <c r="G980" s="34" t="s">
        <v>300</v>
      </c>
      <c r="H980" s="34" t="s">
        <v>34</v>
      </c>
      <c r="I980" s="34" t="s">
        <v>37</v>
      </c>
      <c r="J980" s="34" t="s">
        <v>260</v>
      </c>
      <c r="K980" s="34" t="s">
        <v>236</v>
      </c>
      <c r="L980" s="34" t="s">
        <v>230</v>
      </c>
      <c r="M980" s="34" t="s">
        <v>262</v>
      </c>
      <c r="N980" s="34" t="str">
        <f aca="false">"Sector "&amp;VALUE(MID(D980,13,2))</f>
        <v>Sector 6</v>
      </c>
      <c r="O980" s="34" t="str">
        <f aca="false">IF(Dashboard!$C$5="Ubicación técnica",N980,"Sector "&amp;VALUE(RIGHT(G980,2)))</f>
        <v>Sector 6</v>
      </c>
      <c r="P980" s="34" t="str">
        <f aca="false">IF(MID(D980,15,3)="SEL","Subestación eléctrica","Área de proceso")</f>
        <v>Subestación eléctrica</v>
      </c>
      <c r="Q980" s="34" t="str">
        <f aca="false">MID(D980,13,5)&amp;"|"&amp;MID(D980,19,5)</f>
        <v>06SEL|S_002</v>
      </c>
      <c r="R980" s="34" t="str">
        <f aca="false">IF(P980="Subestación eléctrica",IFERROR(INDEX(cat_SubN,MATCH(Q980,cat_SubK,0)),"SIN CATALOGAR"),"ÁREA DE PROCESO")</f>
        <v>SE-02</v>
      </c>
      <c r="S980" s="34" t="str">
        <f aca="false">IF(H980="","SIN DATO",IFERROR(INDEX(cat_MarcaN,MATCH(H980,cat_MarcaO,0)),H980))</f>
        <v>ABB</v>
      </c>
      <c r="T980" s="34" t="str">
        <f aca="false">IF(I980="","SIN DATO",IFERROR(INDEX(cat_ModN,MATCH(I980,cat_ModO,0)),I980))</f>
        <v>REF615A_1G</v>
      </c>
      <c r="U980" s="34" t="str">
        <f aca="false">IF(I980="","",IFERROR(INDEX(cat_ModG,MATCH(I980,cat_ModO,0)),"No"))</f>
        <v>No</v>
      </c>
      <c r="V980" s="34" t="str">
        <f aca="false">IF(J980="","SIN DATO",IFERROR(INDEX(cat_FunN,MATCH(J980,cat_FunO,0)),J980))</f>
        <v>Protección y medición</v>
      </c>
      <c r="W980" s="34" t="str">
        <f aca="false">IF(OR(S980="SIN DATO",T980="SIN DATO"),"No","Sí")</f>
        <v>Sí</v>
      </c>
    </row>
    <row r="981" customFormat="false" ht="15" hidden="false" customHeight="false" outlineLevel="0" collapsed="false">
      <c r="A981" s="34" t="s">
        <v>3639</v>
      </c>
      <c r="B981" s="34" t="s">
        <v>3640</v>
      </c>
      <c r="C981" s="34" t="s">
        <v>3641</v>
      </c>
      <c r="D981" s="34" t="s">
        <v>3577</v>
      </c>
      <c r="E981" s="34" t="s">
        <v>138</v>
      </c>
      <c r="F981" s="34" t="s">
        <v>1602</v>
      </c>
      <c r="G981" s="34" t="s">
        <v>300</v>
      </c>
      <c r="H981" s="34" t="s">
        <v>34</v>
      </c>
      <c r="I981" s="34" t="s">
        <v>43</v>
      </c>
      <c r="J981" s="34" t="s">
        <v>3642</v>
      </c>
      <c r="K981" s="34" t="s">
        <v>236</v>
      </c>
      <c r="L981" s="34" t="s">
        <v>230</v>
      </c>
      <c r="M981" s="34"/>
      <c r="N981" s="34" t="str">
        <f aca="false">"Sector "&amp;VALUE(MID(D981,13,2))</f>
        <v>Sector 6</v>
      </c>
      <c r="O981" s="34" t="str">
        <f aca="false">IF(Dashboard!$C$5="Ubicación técnica",N981,"Sector "&amp;VALUE(RIGHT(G981,2)))</f>
        <v>Sector 6</v>
      </c>
      <c r="P981" s="34" t="str">
        <f aca="false">IF(MID(D981,15,3)="SEL","Subestación eléctrica","Área de proceso")</f>
        <v>Subestación eléctrica</v>
      </c>
      <c r="Q981" s="34" t="str">
        <f aca="false">MID(D981,13,5)&amp;"|"&amp;MID(D981,19,5)</f>
        <v>06SEL|S_002</v>
      </c>
      <c r="R981" s="34" t="str">
        <f aca="false">IF(P981="Subestación eléctrica",IFERROR(INDEX(cat_SubN,MATCH(Q981,cat_SubK,0)),"SIN CATALOGAR"),"ÁREA DE PROCESO")</f>
        <v>SE-02</v>
      </c>
      <c r="S981" s="34" t="str">
        <f aca="false">IF(H981="","SIN DATO",IFERROR(INDEX(cat_MarcaN,MATCH(H981,cat_MarcaO,0)),H981))</f>
        <v>ABB</v>
      </c>
      <c r="T981" s="34" t="str">
        <f aca="false">IF(I981="","SIN DATO",IFERROR(INDEX(cat_ModN,MATCH(I981,cat_ModO,0)),I981))</f>
        <v>RET615A_1G</v>
      </c>
      <c r="U981" s="34" t="str">
        <f aca="false">IF(I981="","",IFERROR(INDEX(cat_ModG,MATCH(I981,cat_ModO,0)),"No"))</f>
        <v>No</v>
      </c>
      <c r="V981" s="34" t="str">
        <f aca="false">IF(J981="","SIN DATO",IFERROR(INDEX(cat_FunN,MATCH(J981,cat_FunO,0)),J981))</f>
        <v>Protección de transformador</v>
      </c>
      <c r="W981" s="34" t="str">
        <f aca="false">IF(OR(S981="SIN DATO",T981="SIN DATO"),"No","Sí")</f>
        <v>Sí</v>
      </c>
    </row>
    <row r="982" customFormat="false" ht="15" hidden="false" customHeight="false" outlineLevel="0" collapsed="false">
      <c r="A982" s="34" t="s">
        <v>3643</v>
      </c>
      <c r="B982" s="34" t="s">
        <v>3644</v>
      </c>
      <c r="C982" s="34" t="s">
        <v>3645</v>
      </c>
      <c r="D982" s="34" t="s">
        <v>3577</v>
      </c>
      <c r="E982" s="34" t="s">
        <v>138</v>
      </c>
      <c r="F982" s="34" t="s">
        <v>1602</v>
      </c>
      <c r="G982" s="34" t="s">
        <v>300</v>
      </c>
      <c r="H982" s="34" t="s">
        <v>34</v>
      </c>
      <c r="I982" s="34" t="s">
        <v>43</v>
      </c>
      <c r="J982" s="34" t="s">
        <v>3642</v>
      </c>
      <c r="K982" s="34" t="s">
        <v>236</v>
      </c>
      <c r="L982" s="34" t="s">
        <v>230</v>
      </c>
      <c r="M982" s="34"/>
      <c r="N982" s="34" t="str">
        <f aca="false">"Sector "&amp;VALUE(MID(D982,13,2))</f>
        <v>Sector 6</v>
      </c>
      <c r="O982" s="34" t="str">
        <f aca="false">IF(Dashboard!$C$5="Ubicación técnica",N982,"Sector "&amp;VALUE(RIGHT(G982,2)))</f>
        <v>Sector 6</v>
      </c>
      <c r="P982" s="34" t="str">
        <f aca="false">IF(MID(D982,15,3)="SEL","Subestación eléctrica","Área de proceso")</f>
        <v>Subestación eléctrica</v>
      </c>
      <c r="Q982" s="34" t="str">
        <f aca="false">MID(D982,13,5)&amp;"|"&amp;MID(D982,19,5)</f>
        <v>06SEL|S_002</v>
      </c>
      <c r="R982" s="34" t="str">
        <f aca="false">IF(P982="Subestación eléctrica",IFERROR(INDEX(cat_SubN,MATCH(Q982,cat_SubK,0)),"SIN CATALOGAR"),"ÁREA DE PROCESO")</f>
        <v>SE-02</v>
      </c>
      <c r="S982" s="34" t="str">
        <f aca="false">IF(H982="","SIN DATO",IFERROR(INDEX(cat_MarcaN,MATCH(H982,cat_MarcaO,0)),H982))</f>
        <v>ABB</v>
      </c>
      <c r="T982" s="34" t="str">
        <f aca="false">IF(I982="","SIN DATO",IFERROR(INDEX(cat_ModN,MATCH(I982,cat_ModO,0)),I982))</f>
        <v>RET615A_1G</v>
      </c>
      <c r="U982" s="34" t="str">
        <f aca="false">IF(I982="","",IFERROR(INDEX(cat_ModG,MATCH(I982,cat_ModO,0)),"No"))</f>
        <v>No</v>
      </c>
      <c r="V982" s="34" t="str">
        <f aca="false">IF(J982="","SIN DATO",IFERROR(INDEX(cat_FunN,MATCH(J982,cat_FunO,0)),J982))</f>
        <v>Protección de transformador</v>
      </c>
      <c r="W982" s="34" t="str">
        <f aca="false">IF(OR(S982="SIN DATO",T982="SIN DATO"),"No","Sí")</f>
        <v>Sí</v>
      </c>
    </row>
    <row r="983" customFormat="false" ht="15" hidden="false" customHeight="false" outlineLevel="0" collapsed="false">
      <c r="A983" s="34" t="s">
        <v>3646</v>
      </c>
      <c r="B983" s="34" t="s">
        <v>3647</v>
      </c>
      <c r="C983" s="34" t="s">
        <v>3648</v>
      </c>
      <c r="D983" s="34" t="s">
        <v>3649</v>
      </c>
      <c r="E983" s="34" t="s">
        <v>140</v>
      </c>
      <c r="F983" s="34" t="s">
        <v>1602</v>
      </c>
      <c r="G983" s="34" t="s">
        <v>300</v>
      </c>
      <c r="H983" s="34" t="s">
        <v>55</v>
      </c>
      <c r="I983" s="34" t="s">
        <v>57</v>
      </c>
      <c r="J983" s="34" t="s">
        <v>2842</v>
      </c>
      <c r="K983" s="34" t="s">
        <v>236</v>
      </c>
      <c r="L983" s="34" t="s">
        <v>230</v>
      </c>
      <c r="M983" s="34" t="s">
        <v>344</v>
      </c>
      <c r="N983" s="34" t="str">
        <f aca="false">"Sector "&amp;VALUE(MID(D983,13,2))</f>
        <v>Sector 6</v>
      </c>
      <c r="O983" s="34" t="str">
        <f aca="false">IF(Dashboard!$C$5="Ubicación técnica",N983,"Sector "&amp;VALUE(RIGHT(G983,2)))</f>
        <v>Sector 6</v>
      </c>
      <c r="P983" s="34" t="str">
        <f aca="false">IF(MID(D983,15,3)="SEL","Subestación eléctrica","Área de proceso")</f>
        <v>Subestación eléctrica</v>
      </c>
      <c r="Q983" s="34" t="str">
        <f aca="false">MID(D983,13,5)&amp;"|"&amp;MID(D983,19,5)</f>
        <v>06SEL|S_008</v>
      </c>
      <c r="R983" s="34" t="str">
        <f aca="false">IF(P983="Subestación eléctrica",IFERROR(INDEX(cat_SubN,MATCH(Q983,cat_SubK,0)),"SIN CATALOGAR"),"ÁREA DE PROCESO")</f>
        <v>SE-08</v>
      </c>
      <c r="S983" s="34" t="str">
        <f aca="false">IF(H983="","SIN DATO",IFERROR(INDEX(cat_MarcaN,MATCH(H983,cat_MarcaO,0)),H983))</f>
        <v>SEL</v>
      </c>
      <c r="T983" s="34" t="str">
        <f aca="false">IF(I983="","SIN DATO",IFERROR(INDEX(cat_ModN,MATCH(I983,cat_ModO,0)),I983))</f>
        <v>SEL-735</v>
      </c>
      <c r="U983" s="34" t="str">
        <f aca="false">IF(I983="","",IFERROR(INDEX(cat_ModG,MATCH(I983,cat_ModO,0)),"No"))</f>
        <v>No</v>
      </c>
      <c r="V983" s="34" t="str">
        <f aca="false">IF(J983="","SIN DATO",IFERROR(INDEX(cat_FunN,MATCH(J983,cat_FunO,0)),J983))</f>
        <v>Multimedidor</v>
      </c>
      <c r="W983" s="34" t="str">
        <f aca="false">IF(OR(S983="SIN DATO",T983="SIN DATO"),"No","Sí")</f>
        <v>Sí</v>
      </c>
    </row>
    <row r="984" customFormat="false" ht="15" hidden="false" customHeight="false" outlineLevel="0" collapsed="false">
      <c r="A984" s="34" t="s">
        <v>3650</v>
      </c>
      <c r="B984" s="34" t="s">
        <v>3651</v>
      </c>
      <c r="C984" s="34" t="s">
        <v>3652</v>
      </c>
      <c r="D984" s="34" t="s">
        <v>3653</v>
      </c>
      <c r="E984" s="34" t="s">
        <v>140</v>
      </c>
      <c r="F984" s="34" t="s">
        <v>1602</v>
      </c>
      <c r="G984" s="34" t="s">
        <v>300</v>
      </c>
      <c r="H984" s="34" t="s">
        <v>55</v>
      </c>
      <c r="I984" s="34" t="s">
        <v>57</v>
      </c>
      <c r="J984" s="34" t="s">
        <v>2842</v>
      </c>
      <c r="K984" s="34" t="s">
        <v>236</v>
      </c>
      <c r="L984" s="34" t="s">
        <v>230</v>
      </c>
      <c r="M984" s="34" t="s">
        <v>344</v>
      </c>
      <c r="N984" s="34" t="str">
        <f aca="false">"Sector "&amp;VALUE(MID(D984,13,2))</f>
        <v>Sector 6</v>
      </c>
      <c r="O984" s="34" t="str">
        <f aca="false">IF(Dashboard!$C$5="Ubicación técnica",N984,"Sector "&amp;VALUE(RIGHT(G984,2)))</f>
        <v>Sector 6</v>
      </c>
      <c r="P984" s="34" t="str">
        <f aca="false">IF(MID(D984,15,3)="SEL","Subestación eléctrica","Área de proceso")</f>
        <v>Subestación eléctrica</v>
      </c>
      <c r="Q984" s="34" t="str">
        <f aca="false">MID(D984,13,5)&amp;"|"&amp;MID(D984,19,5)</f>
        <v>06SEL|S_008</v>
      </c>
      <c r="R984" s="34" t="str">
        <f aca="false">IF(P984="Subestación eléctrica",IFERROR(INDEX(cat_SubN,MATCH(Q984,cat_SubK,0)),"SIN CATALOGAR"),"ÁREA DE PROCESO")</f>
        <v>SE-08</v>
      </c>
      <c r="S984" s="34" t="str">
        <f aca="false">IF(H984="","SIN DATO",IFERROR(INDEX(cat_MarcaN,MATCH(H984,cat_MarcaO,0)),H984))</f>
        <v>SEL</v>
      </c>
      <c r="T984" s="34" t="str">
        <f aca="false">IF(I984="","SIN DATO",IFERROR(INDEX(cat_ModN,MATCH(I984,cat_ModO,0)),I984))</f>
        <v>SEL-735</v>
      </c>
      <c r="U984" s="34" t="str">
        <f aca="false">IF(I984="","",IFERROR(INDEX(cat_ModG,MATCH(I984,cat_ModO,0)),"No"))</f>
        <v>No</v>
      </c>
      <c r="V984" s="34" t="str">
        <f aca="false">IF(J984="","SIN DATO",IFERROR(INDEX(cat_FunN,MATCH(J984,cat_FunO,0)),J984))</f>
        <v>Multimedidor</v>
      </c>
      <c r="W984" s="34" t="str">
        <f aca="false">IF(OR(S984="SIN DATO",T984="SIN DATO"),"No","Sí")</f>
        <v>Sí</v>
      </c>
    </row>
    <row r="985" customFormat="false" ht="15" hidden="false" customHeight="false" outlineLevel="0" collapsed="false">
      <c r="A985" s="34" t="s">
        <v>3654</v>
      </c>
      <c r="B985" s="34" t="s">
        <v>3655</v>
      </c>
      <c r="C985" s="34" t="s">
        <v>3656</v>
      </c>
      <c r="D985" s="34" t="s">
        <v>3657</v>
      </c>
      <c r="E985" s="34" t="s">
        <v>138</v>
      </c>
      <c r="F985" s="34" t="s">
        <v>1602</v>
      </c>
      <c r="G985" s="34" t="s">
        <v>300</v>
      </c>
      <c r="H985" s="34" t="s">
        <v>55</v>
      </c>
      <c r="I985" s="34" t="s">
        <v>57</v>
      </c>
      <c r="J985" s="34" t="s">
        <v>2842</v>
      </c>
      <c r="K985" s="34" t="s">
        <v>236</v>
      </c>
      <c r="L985" s="34" t="s">
        <v>230</v>
      </c>
      <c r="M985" s="34" t="s">
        <v>344</v>
      </c>
      <c r="N985" s="34" t="str">
        <f aca="false">"Sector "&amp;VALUE(MID(D985,13,2))</f>
        <v>Sector 6</v>
      </c>
      <c r="O985" s="34" t="str">
        <f aca="false">IF(Dashboard!$C$5="Ubicación técnica",N985,"Sector "&amp;VALUE(RIGHT(G985,2)))</f>
        <v>Sector 6</v>
      </c>
      <c r="P985" s="34" t="str">
        <f aca="false">IF(MID(D985,15,3)="SEL","Subestación eléctrica","Área de proceso")</f>
        <v>Subestación eléctrica</v>
      </c>
      <c r="Q985" s="34" t="str">
        <f aca="false">MID(D985,13,5)&amp;"|"&amp;MID(D985,19,5)</f>
        <v>06SEL|S_002</v>
      </c>
      <c r="R985" s="34" t="str">
        <f aca="false">IF(P985="Subestación eléctrica",IFERROR(INDEX(cat_SubN,MATCH(Q985,cat_SubK,0)),"SIN CATALOGAR"),"ÁREA DE PROCESO")</f>
        <v>SE-02</v>
      </c>
      <c r="S985" s="34" t="str">
        <f aca="false">IF(H985="","SIN DATO",IFERROR(INDEX(cat_MarcaN,MATCH(H985,cat_MarcaO,0)),H985))</f>
        <v>SEL</v>
      </c>
      <c r="T985" s="34" t="str">
        <f aca="false">IF(I985="","SIN DATO",IFERROR(INDEX(cat_ModN,MATCH(I985,cat_ModO,0)),I985))</f>
        <v>SEL-735</v>
      </c>
      <c r="U985" s="34" t="str">
        <f aca="false">IF(I985="","",IFERROR(INDEX(cat_ModG,MATCH(I985,cat_ModO,0)),"No"))</f>
        <v>No</v>
      </c>
      <c r="V985" s="34" t="str">
        <f aca="false">IF(J985="","SIN DATO",IFERROR(INDEX(cat_FunN,MATCH(J985,cat_FunO,0)),J985))</f>
        <v>Multimedidor</v>
      </c>
      <c r="W985" s="34" t="str">
        <f aca="false">IF(OR(S985="SIN DATO",T985="SIN DATO"),"No","Sí")</f>
        <v>Sí</v>
      </c>
    </row>
    <row r="986" customFormat="false" ht="15" hidden="false" customHeight="false" outlineLevel="0" collapsed="false">
      <c r="A986" s="34" t="s">
        <v>3658</v>
      </c>
      <c r="B986" s="34" t="s">
        <v>3659</v>
      </c>
      <c r="C986" s="34" t="s">
        <v>3660</v>
      </c>
      <c r="D986" s="34" t="s">
        <v>3661</v>
      </c>
      <c r="E986" s="34" t="s">
        <v>142</v>
      </c>
      <c r="F986" s="34" t="s">
        <v>1602</v>
      </c>
      <c r="G986" s="34" t="s">
        <v>300</v>
      </c>
      <c r="H986" s="34" t="s">
        <v>34</v>
      </c>
      <c r="I986" s="34" t="s">
        <v>45</v>
      </c>
      <c r="J986" s="34" t="s">
        <v>260</v>
      </c>
      <c r="K986" s="34" t="s">
        <v>236</v>
      </c>
      <c r="L986" s="34" t="s">
        <v>230</v>
      </c>
      <c r="M986" s="34" t="s">
        <v>262</v>
      </c>
      <c r="N986" s="34" t="str">
        <f aca="false">"Sector "&amp;VALUE(MID(D986,13,2))</f>
        <v>Sector 6</v>
      </c>
      <c r="O986" s="34" t="str">
        <f aca="false">IF(Dashboard!$C$5="Ubicación técnica",N986,"Sector "&amp;VALUE(RIGHT(G986,2)))</f>
        <v>Sector 6</v>
      </c>
      <c r="P986" s="34" t="str">
        <f aca="false">IF(MID(D986,15,3)="SEL","Subestación eléctrica","Área de proceso")</f>
        <v>Subestación eléctrica</v>
      </c>
      <c r="Q986" s="34" t="str">
        <f aca="false">MID(D986,13,5)&amp;"|"&amp;MID(D986,19,5)</f>
        <v>06SEL|S_009</v>
      </c>
      <c r="R986" s="34" t="str">
        <f aca="false">IF(P986="Subestación eléctrica",IFERROR(INDEX(cat_SubN,MATCH(Q986,cat_SubK,0)),"SIN CATALOGAR"),"ÁREA DE PROCESO")</f>
        <v>SE-09</v>
      </c>
      <c r="S986" s="34" t="str">
        <f aca="false">IF(H986="","SIN DATO",IFERROR(INDEX(cat_MarcaN,MATCH(H986,cat_MarcaO,0)),H986))</f>
        <v>ABB</v>
      </c>
      <c r="T986" s="34" t="str">
        <f aca="false">IF(I986="","SIN DATO",IFERROR(INDEX(cat_ModN,MATCH(I986,cat_ModO,0)),I986))</f>
        <v>REF615_1G</v>
      </c>
      <c r="U986" s="34" t="str">
        <f aca="false">IF(I986="","",IFERROR(INDEX(cat_ModG,MATCH(I986,cat_ModO,0)),"No"))</f>
        <v>No</v>
      </c>
      <c r="V986" s="34" t="str">
        <f aca="false">IF(J986="","SIN DATO",IFERROR(INDEX(cat_FunN,MATCH(J986,cat_FunO,0)),J986))</f>
        <v>Protección y medición</v>
      </c>
      <c r="W986" s="34" t="str">
        <f aca="false">IF(OR(S986="SIN DATO",T986="SIN DATO"),"No","Sí")</f>
        <v>Sí</v>
      </c>
    </row>
    <row r="987" customFormat="false" ht="15" hidden="false" customHeight="false" outlineLevel="0" collapsed="false">
      <c r="A987" s="34" t="s">
        <v>3662</v>
      </c>
      <c r="B987" s="34" t="s">
        <v>3663</v>
      </c>
      <c r="C987" s="34" t="s">
        <v>3664</v>
      </c>
      <c r="D987" s="34" t="s">
        <v>3379</v>
      </c>
      <c r="E987" s="34" t="s">
        <v>184</v>
      </c>
      <c r="F987" s="34" t="s">
        <v>1602</v>
      </c>
      <c r="G987" s="34" t="s">
        <v>227</v>
      </c>
      <c r="H987" s="34" t="s">
        <v>1358</v>
      </c>
      <c r="I987" s="34" t="s">
        <v>66</v>
      </c>
      <c r="J987" s="34" t="s">
        <v>1979</v>
      </c>
      <c r="K987" s="34" t="s">
        <v>229</v>
      </c>
      <c r="L987" s="34" t="s">
        <v>230</v>
      </c>
      <c r="M987" s="34" t="s">
        <v>237</v>
      </c>
      <c r="N987" s="34" t="str">
        <f aca="false">"Sector "&amp;VALUE(MID(D987,13,2))</f>
        <v>Sector 8</v>
      </c>
      <c r="O987" s="34" t="str">
        <f aca="false">IF(Dashboard!$C$5="Ubicación técnica",N987,"Sector "&amp;VALUE(RIGHT(G987,2)))</f>
        <v>Sector 8</v>
      </c>
      <c r="P987" s="34" t="str">
        <f aca="false">IF(MID(D987,15,3)="SEL","Subestación eléctrica","Área de proceso")</f>
        <v>Subestación eléctrica</v>
      </c>
      <c r="Q987" s="34" t="str">
        <f aca="false">MID(D987,13,5)&amp;"|"&amp;MID(D987,19,5)</f>
        <v>08SEL|SEP02</v>
      </c>
      <c r="R987" s="34" t="str">
        <f aca="false">IF(P987="Subestación eléctrica",IFERROR(INDEX(cat_SubN,MATCH(Q987,cat_SubK,0)),"SIN CATALOGAR"),"ÁREA DE PROCESO")</f>
        <v>SEP-02</v>
      </c>
      <c r="S987" s="34" t="str">
        <f aca="false">IF(H987="","SIN DATO",IFERROR(INDEX(cat_MarcaN,MATCH(H987,cat_MarcaO,0)),H987))</f>
        <v>GENERAL ELECTRIC</v>
      </c>
      <c r="T987" s="34" t="str">
        <f aca="false">IF(I987="","SIN DATO",IFERROR(INDEX(cat_ModN,MATCH(I987,cat_ModO,0)),I987))</f>
        <v>MULTILIN C30</v>
      </c>
      <c r="U987" s="34" t="str">
        <f aca="false">IF(I987="","",IFERROR(INDEX(cat_ModG,MATCH(I987,cat_ModO,0)),"No"))</f>
        <v>No</v>
      </c>
      <c r="V987" s="34" t="str">
        <f aca="false">IF(J987="","SIN DATO",IFERROR(INDEX(cat_FunN,MATCH(J987,cat_FunO,0)),J987))</f>
        <v>Control y protección</v>
      </c>
      <c r="W987" s="34" t="str">
        <f aca="false">IF(OR(S987="SIN DATO",T987="SIN DATO"),"No","Sí")</f>
        <v>Sí</v>
      </c>
    </row>
    <row r="988" customFormat="false" ht="15" hidden="false" customHeight="false" outlineLevel="0" collapsed="false">
      <c r="A988" s="34" t="s">
        <v>3665</v>
      </c>
      <c r="B988" s="34" t="s">
        <v>3666</v>
      </c>
      <c r="C988" s="34" t="s">
        <v>3667</v>
      </c>
      <c r="D988" s="34" t="s">
        <v>3668</v>
      </c>
      <c r="E988" s="34" t="s">
        <v>184</v>
      </c>
      <c r="F988" s="34" t="s">
        <v>1602</v>
      </c>
      <c r="G988" s="34" t="s">
        <v>227</v>
      </c>
      <c r="H988" s="34" t="s">
        <v>1358</v>
      </c>
      <c r="I988" s="34" t="s">
        <v>70</v>
      </c>
      <c r="J988" s="34" t="s">
        <v>228</v>
      </c>
      <c r="K988" s="34" t="s">
        <v>229</v>
      </c>
      <c r="L988" s="34" t="s">
        <v>230</v>
      </c>
      <c r="M988" s="34" t="s">
        <v>1640</v>
      </c>
      <c r="N988" s="34" t="str">
        <f aca="false">"Sector "&amp;VALUE(MID(D988,13,2))</f>
        <v>Sector 8</v>
      </c>
      <c r="O988" s="34" t="str">
        <f aca="false">IF(Dashboard!$C$5="Ubicación técnica",N988,"Sector "&amp;VALUE(RIGHT(G988,2)))</f>
        <v>Sector 8</v>
      </c>
      <c r="P988" s="34" t="str">
        <f aca="false">IF(MID(D988,15,3)="SEL","Subestación eléctrica","Área de proceso")</f>
        <v>Subestación eléctrica</v>
      </c>
      <c r="Q988" s="34" t="str">
        <f aca="false">MID(D988,13,5)&amp;"|"&amp;MID(D988,19,5)</f>
        <v>08SEL|SEP02</v>
      </c>
      <c r="R988" s="34" t="str">
        <f aca="false">IF(P988="Subestación eléctrica",IFERROR(INDEX(cat_SubN,MATCH(Q988,cat_SubK,0)),"SIN CATALOGAR"),"ÁREA DE PROCESO")</f>
        <v>SEP-02</v>
      </c>
      <c r="S988" s="34" t="str">
        <f aca="false">IF(H988="","SIN DATO",IFERROR(INDEX(cat_MarcaN,MATCH(H988,cat_MarcaO,0)),H988))</f>
        <v>GENERAL ELECTRIC</v>
      </c>
      <c r="T988" s="34" t="str">
        <f aca="false">IF(I988="","SIN DATO",IFERROR(INDEX(cat_ModN,MATCH(I988,cat_ModO,0)),I988))</f>
        <v>MULTILIN L90</v>
      </c>
      <c r="U988" s="34" t="str">
        <f aca="false">IF(I988="","",IFERROR(INDEX(cat_ModG,MATCH(I988,cat_ModO,0)),"No"))</f>
        <v>No</v>
      </c>
      <c r="V988" s="34" t="str">
        <f aca="false">IF(J988="","SIN DATO",IFERROR(INDEX(cat_FunN,MATCH(J988,cat_FunO,0)),J988))</f>
        <v>Protección y medición</v>
      </c>
      <c r="W988" s="34" t="str">
        <f aca="false">IF(OR(S988="SIN DATO",T988="SIN DATO"),"No","Sí")</f>
        <v>Sí</v>
      </c>
    </row>
    <row r="989" customFormat="false" ht="15" hidden="false" customHeight="false" outlineLevel="0" collapsed="false">
      <c r="A989" s="34" t="s">
        <v>3669</v>
      </c>
      <c r="B989" s="34" t="s">
        <v>3670</v>
      </c>
      <c r="C989" s="34" t="s">
        <v>3671</v>
      </c>
      <c r="D989" s="34" t="s">
        <v>3668</v>
      </c>
      <c r="E989" s="34" t="s">
        <v>184</v>
      </c>
      <c r="F989" s="34" t="s">
        <v>1602</v>
      </c>
      <c r="G989" s="34" t="s">
        <v>227</v>
      </c>
      <c r="H989" s="34" t="s">
        <v>55</v>
      </c>
      <c r="I989" s="34" t="s">
        <v>60</v>
      </c>
      <c r="J989" s="34" t="s">
        <v>228</v>
      </c>
      <c r="K989" s="34" t="s">
        <v>229</v>
      </c>
      <c r="L989" s="34" t="s">
        <v>230</v>
      </c>
      <c r="M989" s="34" t="s">
        <v>1640</v>
      </c>
      <c r="N989" s="34" t="str">
        <f aca="false">"Sector "&amp;VALUE(MID(D989,13,2))</f>
        <v>Sector 8</v>
      </c>
      <c r="O989" s="34" t="str">
        <f aca="false">IF(Dashboard!$C$5="Ubicación técnica",N989,"Sector "&amp;VALUE(RIGHT(G989,2)))</f>
        <v>Sector 8</v>
      </c>
      <c r="P989" s="34" t="str">
        <f aca="false">IF(MID(D989,15,3)="SEL","Subestación eléctrica","Área de proceso")</f>
        <v>Subestación eléctrica</v>
      </c>
      <c r="Q989" s="34" t="str">
        <f aca="false">MID(D989,13,5)&amp;"|"&amp;MID(D989,19,5)</f>
        <v>08SEL|SEP02</v>
      </c>
      <c r="R989" s="34" t="str">
        <f aca="false">IF(P989="Subestación eléctrica",IFERROR(INDEX(cat_SubN,MATCH(Q989,cat_SubK,0)),"SIN CATALOGAR"),"ÁREA DE PROCESO")</f>
        <v>SEP-02</v>
      </c>
      <c r="S989" s="34" t="str">
        <f aca="false">IF(H989="","SIN DATO",IFERROR(INDEX(cat_MarcaN,MATCH(H989,cat_MarcaO,0)),H989))</f>
        <v>SEL</v>
      </c>
      <c r="T989" s="34" t="str">
        <f aca="false">IF(I989="","SIN DATO",IFERROR(INDEX(cat_ModN,MATCH(I989,cat_ModO,0)),I989))</f>
        <v>SEL-411L</v>
      </c>
      <c r="U989" s="34" t="str">
        <f aca="false">IF(I989="","",IFERROR(INDEX(cat_ModG,MATCH(I989,cat_ModO,0)),"No"))</f>
        <v>No</v>
      </c>
      <c r="V989" s="34" t="str">
        <f aca="false">IF(J989="","SIN DATO",IFERROR(INDEX(cat_FunN,MATCH(J989,cat_FunO,0)),J989))</f>
        <v>Protección y medición</v>
      </c>
      <c r="W989" s="34" t="str">
        <f aca="false">IF(OR(S989="SIN DATO",T989="SIN DATO"),"No","Sí")</f>
        <v>Sí</v>
      </c>
    </row>
    <row r="990" customFormat="false" ht="15" hidden="false" customHeight="false" outlineLevel="0" collapsed="false">
      <c r="A990" s="34" t="s">
        <v>3672</v>
      </c>
      <c r="B990" s="34" t="s">
        <v>3673</v>
      </c>
      <c r="C990" s="34" t="s">
        <v>3674</v>
      </c>
      <c r="D990" s="34" t="s">
        <v>3668</v>
      </c>
      <c r="E990" s="34" t="s">
        <v>184</v>
      </c>
      <c r="F990" s="34" t="s">
        <v>1602</v>
      </c>
      <c r="G990" s="34" t="s">
        <v>227</v>
      </c>
      <c r="H990" s="34" t="s">
        <v>1358</v>
      </c>
      <c r="I990" s="34" t="s">
        <v>66</v>
      </c>
      <c r="J990" s="34" t="s">
        <v>1979</v>
      </c>
      <c r="K990" s="34" t="s">
        <v>229</v>
      </c>
      <c r="L990" s="34" t="s">
        <v>230</v>
      </c>
      <c r="M990" s="34" t="s">
        <v>1640</v>
      </c>
      <c r="N990" s="34" t="str">
        <f aca="false">"Sector "&amp;VALUE(MID(D990,13,2))</f>
        <v>Sector 8</v>
      </c>
      <c r="O990" s="34" t="str">
        <f aca="false">IF(Dashboard!$C$5="Ubicación técnica",N990,"Sector "&amp;VALUE(RIGHT(G990,2)))</f>
        <v>Sector 8</v>
      </c>
      <c r="P990" s="34" t="str">
        <f aca="false">IF(MID(D990,15,3)="SEL","Subestación eléctrica","Área de proceso")</f>
        <v>Subestación eléctrica</v>
      </c>
      <c r="Q990" s="34" t="str">
        <f aca="false">MID(D990,13,5)&amp;"|"&amp;MID(D990,19,5)</f>
        <v>08SEL|SEP02</v>
      </c>
      <c r="R990" s="34" t="str">
        <f aca="false">IF(P990="Subestación eléctrica",IFERROR(INDEX(cat_SubN,MATCH(Q990,cat_SubK,0)),"SIN CATALOGAR"),"ÁREA DE PROCESO")</f>
        <v>SEP-02</v>
      </c>
      <c r="S990" s="34" t="str">
        <f aca="false">IF(H990="","SIN DATO",IFERROR(INDEX(cat_MarcaN,MATCH(H990,cat_MarcaO,0)),H990))</f>
        <v>GENERAL ELECTRIC</v>
      </c>
      <c r="T990" s="34" t="str">
        <f aca="false">IF(I990="","SIN DATO",IFERROR(INDEX(cat_ModN,MATCH(I990,cat_ModO,0)),I990))</f>
        <v>MULTILIN C30</v>
      </c>
      <c r="U990" s="34" t="str">
        <f aca="false">IF(I990="","",IFERROR(INDEX(cat_ModG,MATCH(I990,cat_ModO,0)),"No"))</f>
        <v>No</v>
      </c>
      <c r="V990" s="34" t="str">
        <f aca="false">IF(J990="","SIN DATO",IFERROR(INDEX(cat_FunN,MATCH(J990,cat_FunO,0)),J990))</f>
        <v>Control y protección</v>
      </c>
      <c r="W990" s="34" t="str">
        <f aca="false">IF(OR(S990="SIN DATO",T990="SIN DATO"),"No","Sí")</f>
        <v>Sí</v>
      </c>
    </row>
    <row r="991" customFormat="false" ht="15" hidden="false" customHeight="false" outlineLevel="0" collapsed="false">
      <c r="A991" s="34" t="s">
        <v>3675</v>
      </c>
      <c r="B991" s="34" t="s">
        <v>3676</v>
      </c>
      <c r="C991" s="34" t="s">
        <v>3677</v>
      </c>
      <c r="D991" s="34" t="s">
        <v>3668</v>
      </c>
      <c r="E991" s="34" t="s">
        <v>184</v>
      </c>
      <c r="F991" s="34" t="s">
        <v>1602</v>
      </c>
      <c r="G991" s="34" t="s">
        <v>227</v>
      </c>
      <c r="H991" s="34" t="s">
        <v>1358</v>
      </c>
      <c r="I991" s="34" t="s">
        <v>67</v>
      </c>
      <c r="J991" s="34" t="s">
        <v>228</v>
      </c>
      <c r="K991" s="34" t="s">
        <v>229</v>
      </c>
      <c r="L991" s="34" t="s">
        <v>230</v>
      </c>
      <c r="M991" s="34" t="s">
        <v>1640</v>
      </c>
      <c r="N991" s="34" t="str">
        <f aca="false">"Sector "&amp;VALUE(MID(D991,13,2))</f>
        <v>Sector 8</v>
      </c>
      <c r="O991" s="34" t="str">
        <f aca="false">IF(Dashboard!$C$5="Ubicación técnica",N991,"Sector "&amp;VALUE(RIGHT(G991,2)))</f>
        <v>Sector 8</v>
      </c>
      <c r="P991" s="34" t="str">
        <f aca="false">IF(MID(D991,15,3)="SEL","Subestación eléctrica","Área de proceso")</f>
        <v>Subestación eléctrica</v>
      </c>
      <c r="Q991" s="34" t="str">
        <f aca="false">MID(D991,13,5)&amp;"|"&amp;MID(D991,19,5)</f>
        <v>08SEL|SEP02</v>
      </c>
      <c r="R991" s="34" t="str">
        <f aca="false">IF(P991="Subestación eléctrica",IFERROR(INDEX(cat_SubN,MATCH(Q991,cat_SubK,0)),"SIN CATALOGAR"),"ÁREA DE PROCESO")</f>
        <v>SEP-02</v>
      </c>
      <c r="S991" s="34" t="str">
        <f aca="false">IF(H991="","SIN DATO",IFERROR(INDEX(cat_MarcaN,MATCH(H991,cat_MarcaO,0)),H991))</f>
        <v>GENERAL ELECTRIC</v>
      </c>
      <c r="T991" s="34" t="str">
        <f aca="false">IF(I991="","SIN DATO",IFERROR(INDEX(cat_ModN,MATCH(I991,cat_ModO,0)),I991))</f>
        <v>MULTILIN F60</v>
      </c>
      <c r="U991" s="34" t="str">
        <f aca="false">IF(I991="","",IFERROR(INDEX(cat_ModG,MATCH(I991,cat_ModO,0)),"No"))</f>
        <v>No</v>
      </c>
      <c r="V991" s="34" t="str">
        <f aca="false">IF(J991="","SIN DATO",IFERROR(INDEX(cat_FunN,MATCH(J991,cat_FunO,0)),J991))</f>
        <v>Protección y medición</v>
      </c>
      <c r="W991" s="34" t="str">
        <f aca="false">IF(OR(S991="SIN DATO",T991="SIN DATO"),"No","Sí")</f>
        <v>Sí</v>
      </c>
    </row>
    <row r="992" customFormat="false" ht="15" hidden="false" customHeight="false" outlineLevel="0" collapsed="false">
      <c r="A992" s="34" t="s">
        <v>3678</v>
      </c>
      <c r="B992" s="34" t="s">
        <v>3679</v>
      </c>
      <c r="C992" s="34" t="s">
        <v>3680</v>
      </c>
      <c r="D992" s="34" t="s">
        <v>3668</v>
      </c>
      <c r="E992" s="34" t="s">
        <v>184</v>
      </c>
      <c r="F992" s="34" t="s">
        <v>1602</v>
      </c>
      <c r="G992" s="34" t="s">
        <v>227</v>
      </c>
      <c r="H992" s="34" t="s">
        <v>55</v>
      </c>
      <c r="I992" s="34" t="s">
        <v>57</v>
      </c>
      <c r="J992" s="34" t="s">
        <v>58</v>
      </c>
      <c r="K992" s="34" t="s">
        <v>229</v>
      </c>
      <c r="L992" s="34" t="s">
        <v>230</v>
      </c>
      <c r="M992" s="34" t="s">
        <v>237</v>
      </c>
      <c r="N992" s="34" t="str">
        <f aca="false">"Sector "&amp;VALUE(MID(D992,13,2))</f>
        <v>Sector 8</v>
      </c>
      <c r="O992" s="34" t="str">
        <f aca="false">IF(Dashboard!$C$5="Ubicación técnica",N992,"Sector "&amp;VALUE(RIGHT(G992,2)))</f>
        <v>Sector 8</v>
      </c>
      <c r="P992" s="34" t="str">
        <f aca="false">IF(MID(D992,15,3)="SEL","Subestación eléctrica","Área de proceso")</f>
        <v>Subestación eléctrica</v>
      </c>
      <c r="Q992" s="34" t="str">
        <f aca="false">MID(D992,13,5)&amp;"|"&amp;MID(D992,19,5)</f>
        <v>08SEL|SEP02</v>
      </c>
      <c r="R992" s="34" t="str">
        <f aca="false">IF(P992="Subestación eléctrica",IFERROR(INDEX(cat_SubN,MATCH(Q992,cat_SubK,0)),"SIN CATALOGAR"),"ÁREA DE PROCESO")</f>
        <v>SEP-02</v>
      </c>
      <c r="S992" s="34" t="str">
        <f aca="false">IF(H992="","SIN DATO",IFERROR(INDEX(cat_MarcaN,MATCH(H992,cat_MarcaO,0)),H992))</f>
        <v>SEL</v>
      </c>
      <c r="T992" s="34" t="str">
        <f aca="false">IF(I992="","SIN DATO",IFERROR(INDEX(cat_ModN,MATCH(I992,cat_ModO,0)),I992))</f>
        <v>SEL-735</v>
      </c>
      <c r="U992" s="34" t="str">
        <f aca="false">IF(I992="","",IFERROR(INDEX(cat_ModG,MATCH(I992,cat_ModO,0)),"No"))</f>
        <v>No</v>
      </c>
      <c r="V992" s="34" t="str">
        <f aca="false">IF(J992="","SIN DATO",IFERROR(INDEX(cat_FunN,MATCH(J992,cat_FunO,0)),J992))</f>
        <v>Medición</v>
      </c>
      <c r="W992" s="34" t="str">
        <f aca="false">IF(OR(S992="SIN DATO",T992="SIN DATO"),"No","Sí")</f>
        <v>Sí</v>
      </c>
    </row>
    <row r="993" customFormat="false" ht="15" hidden="false" customHeight="false" outlineLevel="0" collapsed="false">
      <c r="A993" s="34" t="s">
        <v>3681</v>
      </c>
      <c r="B993" s="34" t="s">
        <v>3682</v>
      </c>
      <c r="C993" s="34" t="s">
        <v>3683</v>
      </c>
      <c r="D993" s="34" t="s">
        <v>3668</v>
      </c>
      <c r="E993" s="34" t="s">
        <v>184</v>
      </c>
      <c r="F993" s="34" t="s">
        <v>1602</v>
      </c>
      <c r="G993" s="34" t="s">
        <v>227</v>
      </c>
      <c r="H993" s="34" t="s">
        <v>1358</v>
      </c>
      <c r="I993" s="34" t="s">
        <v>65</v>
      </c>
      <c r="J993" s="34" t="s">
        <v>228</v>
      </c>
      <c r="K993" s="34" t="s">
        <v>229</v>
      </c>
      <c r="L993" s="34" t="s">
        <v>230</v>
      </c>
      <c r="M993" s="34" t="s">
        <v>1640</v>
      </c>
      <c r="N993" s="34" t="str">
        <f aca="false">"Sector "&amp;VALUE(MID(D993,13,2))</f>
        <v>Sector 8</v>
      </c>
      <c r="O993" s="34" t="str">
        <f aca="false">IF(Dashboard!$C$5="Ubicación técnica",N993,"Sector "&amp;VALUE(RIGHT(G993,2)))</f>
        <v>Sector 8</v>
      </c>
      <c r="P993" s="34" t="str">
        <f aca="false">IF(MID(D993,15,3)="SEL","Subestación eléctrica","Área de proceso")</f>
        <v>Subestación eléctrica</v>
      </c>
      <c r="Q993" s="34" t="str">
        <f aca="false">MID(D993,13,5)&amp;"|"&amp;MID(D993,19,5)</f>
        <v>08SEL|SEP02</v>
      </c>
      <c r="R993" s="34" t="str">
        <f aca="false">IF(P993="Subestación eléctrica",IFERROR(INDEX(cat_SubN,MATCH(Q993,cat_SubK,0)),"SIN CATALOGAR"),"ÁREA DE PROCESO")</f>
        <v>SEP-02</v>
      </c>
      <c r="S993" s="34" t="str">
        <f aca="false">IF(H993="","SIN DATO",IFERROR(INDEX(cat_MarcaN,MATCH(H993,cat_MarcaO,0)),H993))</f>
        <v>GENERAL ELECTRIC</v>
      </c>
      <c r="T993" s="34" t="str">
        <f aca="false">IF(I993="","SIN DATO",IFERROR(INDEX(cat_ModN,MATCH(I993,cat_ModO,0)),I993))</f>
        <v>MULTILIN T60</v>
      </c>
      <c r="U993" s="34" t="str">
        <f aca="false">IF(I993="","",IFERROR(INDEX(cat_ModG,MATCH(I993,cat_ModO,0)),"No"))</f>
        <v>No</v>
      </c>
      <c r="V993" s="34" t="str">
        <f aca="false">IF(J993="","SIN DATO",IFERROR(INDEX(cat_FunN,MATCH(J993,cat_FunO,0)),J993))</f>
        <v>Protección y medición</v>
      </c>
      <c r="W993" s="34" t="str">
        <f aca="false">IF(OR(S993="SIN DATO",T993="SIN DATO"),"No","Sí")</f>
        <v>Sí</v>
      </c>
    </row>
    <row r="994" customFormat="false" ht="15" hidden="false" customHeight="false" outlineLevel="0" collapsed="false">
      <c r="A994" s="34" t="s">
        <v>3684</v>
      </c>
      <c r="B994" s="34" t="s">
        <v>3685</v>
      </c>
      <c r="C994" s="34" t="s">
        <v>3686</v>
      </c>
      <c r="D994" s="34" t="s">
        <v>3668</v>
      </c>
      <c r="E994" s="34" t="s">
        <v>184</v>
      </c>
      <c r="F994" s="34" t="s">
        <v>1602</v>
      </c>
      <c r="G994" s="34" t="s">
        <v>227</v>
      </c>
      <c r="H994" s="34" t="s">
        <v>1358</v>
      </c>
      <c r="I994" s="34" t="s">
        <v>71</v>
      </c>
      <c r="J994" s="34" t="s">
        <v>228</v>
      </c>
      <c r="K994" s="34" t="s">
        <v>229</v>
      </c>
      <c r="L994" s="34" t="s">
        <v>230</v>
      </c>
      <c r="M994" s="34" t="s">
        <v>1640</v>
      </c>
      <c r="N994" s="34" t="str">
        <f aca="false">"Sector "&amp;VALUE(MID(D994,13,2))</f>
        <v>Sector 8</v>
      </c>
      <c r="O994" s="34" t="str">
        <f aca="false">IF(Dashboard!$C$5="Ubicación técnica",N994,"Sector "&amp;VALUE(RIGHT(G994,2)))</f>
        <v>Sector 8</v>
      </c>
      <c r="P994" s="34" t="str">
        <f aca="false">IF(MID(D994,15,3)="SEL","Subestación eléctrica","Área de proceso")</f>
        <v>Subestación eléctrica</v>
      </c>
      <c r="Q994" s="34" t="str">
        <f aca="false">MID(D994,13,5)&amp;"|"&amp;MID(D994,19,5)</f>
        <v>08SEL|SEP02</v>
      </c>
      <c r="R994" s="34" t="str">
        <f aca="false">IF(P994="Subestación eléctrica",IFERROR(INDEX(cat_SubN,MATCH(Q994,cat_SubK,0)),"SIN CATALOGAR"),"ÁREA DE PROCESO")</f>
        <v>SEP-02</v>
      </c>
      <c r="S994" s="34" t="str">
        <f aca="false">IF(H994="","SIN DATO",IFERROR(INDEX(cat_MarcaN,MATCH(H994,cat_MarcaO,0)),H994))</f>
        <v>GENERAL ELECTRIC</v>
      </c>
      <c r="T994" s="34" t="str">
        <f aca="false">IF(I994="","SIN DATO",IFERROR(INDEX(cat_ModN,MATCH(I994,cat_ModO,0)),I994))</f>
        <v>MULTILIN T35</v>
      </c>
      <c r="U994" s="34" t="str">
        <f aca="false">IF(I994="","",IFERROR(INDEX(cat_ModG,MATCH(I994,cat_ModO,0)),"No"))</f>
        <v>No</v>
      </c>
      <c r="V994" s="34" t="str">
        <f aca="false">IF(J994="","SIN DATO",IFERROR(INDEX(cat_FunN,MATCH(J994,cat_FunO,0)),J994))</f>
        <v>Protección y medición</v>
      </c>
      <c r="W994" s="34" t="str">
        <f aca="false">IF(OR(S994="SIN DATO",T994="SIN DATO"),"No","Sí")</f>
        <v>Sí</v>
      </c>
    </row>
    <row r="995" customFormat="false" ht="15" hidden="false" customHeight="false" outlineLevel="0" collapsed="false">
      <c r="A995" s="34" t="s">
        <v>3687</v>
      </c>
      <c r="B995" s="34" t="s">
        <v>3688</v>
      </c>
      <c r="C995" s="34" t="s">
        <v>3689</v>
      </c>
      <c r="D995" s="34" t="s">
        <v>3668</v>
      </c>
      <c r="E995" s="34" t="s">
        <v>184</v>
      </c>
      <c r="F995" s="34" t="s">
        <v>1602</v>
      </c>
      <c r="G995" s="34" t="s">
        <v>227</v>
      </c>
      <c r="H995" s="34" t="s">
        <v>1358</v>
      </c>
      <c r="I995" s="34" t="s">
        <v>66</v>
      </c>
      <c r="J995" s="34" t="s">
        <v>1979</v>
      </c>
      <c r="K995" s="34" t="s">
        <v>229</v>
      </c>
      <c r="L995" s="34" t="s">
        <v>230</v>
      </c>
      <c r="M995" s="34" t="s">
        <v>237</v>
      </c>
      <c r="N995" s="34" t="str">
        <f aca="false">"Sector "&amp;VALUE(MID(D995,13,2))</f>
        <v>Sector 8</v>
      </c>
      <c r="O995" s="34" t="str">
        <f aca="false">IF(Dashboard!$C$5="Ubicación técnica",N995,"Sector "&amp;VALUE(RIGHT(G995,2)))</f>
        <v>Sector 8</v>
      </c>
      <c r="P995" s="34" t="str">
        <f aca="false">IF(MID(D995,15,3)="SEL","Subestación eléctrica","Área de proceso")</f>
        <v>Subestación eléctrica</v>
      </c>
      <c r="Q995" s="34" t="str">
        <f aca="false">MID(D995,13,5)&amp;"|"&amp;MID(D995,19,5)</f>
        <v>08SEL|SEP02</v>
      </c>
      <c r="R995" s="34" t="str">
        <f aca="false">IF(P995="Subestación eléctrica",IFERROR(INDEX(cat_SubN,MATCH(Q995,cat_SubK,0)),"SIN CATALOGAR"),"ÁREA DE PROCESO")</f>
        <v>SEP-02</v>
      </c>
      <c r="S995" s="34" t="str">
        <f aca="false">IF(H995="","SIN DATO",IFERROR(INDEX(cat_MarcaN,MATCH(H995,cat_MarcaO,0)),H995))</f>
        <v>GENERAL ELECTRIC</v>
      </c>
      <c r="T995" s="34" t="str">
        <f aca="false">IF(I995="","SIN DATO",IFERROR(INDEX(cat_ModN,MATCH(I995,cat_ModO,0)),I995))</f>
        <v>MULTILIN C30</v>
      </c>
      <c r="U995" s="34" t="str">
        <f aca="false">IF(I995="","",IFERROR(INDEX(cat_ModG,MATCH(I995,cat_ModO,0)),"No"))</f>
        <v>No</v>
      </c>
      <c r="V995" s="34" t="str">
        <f aca="false">IF(J995="","SIN DATO",IFERROR(INDEX(cat_FunN,MATCH(J995,cat_FunO,0)),J995))</f>
        <v>Control y protección</v>
      </c>
      <c r="W995" s="34" t="str">
        <f aca="false">IF(OR(S995="SIN DATO",T995="SIN DATO"),"No","Sí")</f>
        <v>Sí</v>
      </c>
    </row>
    <row r="996" customFormat="false" ht="15" hidden="false" customHeight="false" outlineLevel="0" collapsed="false">
      <c r="A996" s="34" t="s">
        <v>3690</v>
      </c>
      <c r="B996" s="34" t="s">
        <v>3691</v>
      </c>
      <c r="C996" s="34" t="s">
        <v>3692</v>
      </c>
      <c r="D996" s="34" t="s">
        <v>3668</v>
      </c>
      <c r="E996" s="34" t="s">
        <v>184</v>
      </c>
      <c r="F996" s="34" t="s">
        <v>1602</v>
      </c>
      <c r="G996" s="34" t="s">
        <v>227</v>
      </c>
      <c r="H996" s="34" t="s">
        <v>1358</v>
      </c>
      <c r="I996" s="34" t="s">
        <v>66</v>
      </c>
      <c r="J996" s="34" t="s">
        <v>1979</v>
      </c>
      <c r="K996" s="34" t="s">
        <v>229</v>
      </c>
      <c r="L996" s="34" t="s">
        <v>230</v>
      </c>
      <c r="M996" s="34" t="s">
        <v>237</v>
      </c>
      <c r="N996" s="34" t="str">
        <f aca="false">"Sector "&amp;VALUE(MID(D996,13,2))</f>
        <v>Sector 8</v>
      </c>
      <c r="O996" s="34" t="str">
        <f aca="false">IF(Dashboard!$C$5="Ubicación técnica",N996,"Sector "&amp;VALUE(RIGHT(G996,2)))</f>
        <v>Sector 8</v>
      </c>
      <c r="P996" s="34" t="str">
        <f aca="false">IF(MID(D996,15,3)="SEL","Subestación eléctrica","Área de proceso")</f>
        <v>Subestación eléctrica</v>
      </c>
      <c r="Q996" s="34" t="str">
        <f aca="false">MID(D996,13,5)&amp;"|"&amp;MID(D996,19,5)</f>
        <v>08SEL|SEP02</v>
      </c>
      <c r="R996" s="34" t="str">
        <f aca="false">IF(P996="Subestación eléctrica",IFERROR(INDEX(cat_SubN,MATCH(Q996,cat_SubK,0)),"SIN CATALOGAR"),"ÁREA DE PROCESO")</f>
        <v>SEP-02</v>
      </c>
      <c r="S996" s="34" t="str">
        <f aca="false">IF(H996="","SIN DATO",IFERROR(INDEX(cat_MarcaN,MATCH(H996,cat_MarcaO,0)),H996))</f>
        <v>GENERAL ELECTRIC</v>
      </c>
      <c r="T996" s="34" t="str">
        <f aca="false">IF(I996="","SIN DATO",IFERROR(INDEX(cat_ModN,MATCH(I996,cat_ModO,0)),I996))</f>
        <v>MULTILIN C30</v>
      </c>
      <c r="U996" s="34" t="str">
        <f aca="false">IF(I996="","",IFERROR(INDEX(cat_ModG,MATCH(I996,cat_ModO,0)),"No"))</f>
        <v>No</v>
      </c>
      <c r="V996" s="34" t="str">
        <f aca="false">IF(J996="","SIN DATO",IFERROR(INDEX(cat_FunN,MATCH(J996,cat_FunO,0)),J996))</f>
        <v>Control y protección</v>
      </c>
      <c r="W996" s="34" t="str">
        <f aca="false">IF(OR(S996="SIN DATO",T996="SIN DATO"),"No","Sí")</f>
        <v>Sí</v>
      </c>
    </row>
    <row r="997" customFormat="false" ht="15" hidden="false" customHeight="false" outlineLevel="0" collapsed="false">
      <c r="A997" s="34" t="s">
        <v>3693</v>
      </c>
      <c r="B997" s="34" t="s">
        <v>3694</v>
      </c>
      <c r="C997" s="34" t="s">
        <v>3695</v>
      </c>
      <c r="D997" s="34" t="s">
        <v>3668</v>
      </c>
      <c r="E997" s="34" t="s">
        <v>184</v>
      </c>
      <c r="F997" s="34" t="s">
        <v>1602</v>
      </c>
      <c r="G997" s="34" t="s">
        <v>227</v>
      </c>
      <c r="H997" s="34" t="s">
        <v>1358</v>
      </c>
      <c r="I997" s="34" t="s">
        <v>66</v>
      </c>
      <c r="J997" s="34" t="s">
        <v>1979</v>
      </c>
      <c r="K997" s="34" t="s">
        <v>229</v>
      </c>
      <c r="L997" s="34" t="s">
        <v>230</v>
      </c>
      <c r="M997" s="34" t="s">
        <v>237</v>
      </c>
      <c r="N997" s="34" t="str">
        <f aca="false">"Sector "&amp;VALUE(MID(D997,13,2))</f>
        <v>Sector 8</v>
      </c>
      <c r="O997" s="34" t="str">
        <f aca="false">IF(Dashboard!$C$5="Ubicación técnica",N997,"Sector "&amp;VALUE(RIGHT(G997,2)))</f>
        <v>Sector 8</v>
      </c>
      <c r="P997" s="34" t="str">
        <f aca="false">IF(MID(D997,15,3)="SEL","Subestación eléctrica","Área de proceso")</f>
        <v>Subestación eléctrica</v>
      </c>
      <c r="Q997" s="34" t="str">
        <f aca="false">MID(D997,13,5)&amp;"|"&amp;MID(D997,19,5)</f>
        <v>08SEL|SEP02</v>
      </c>
      <c r="R997" s="34" t="str">
        <f aca="false">IF(P997="Subestación eléctrica",IFERROR(INDEX(cat_SubN,MATCH(Q997,cat_SubK,0)),"SIN CATALOGAR"),"ÁREA DE PROCESO")</f>
        <v>SEP-02</v>
      </c>
      <c r="S997" s="34" t="str">
        <f aca="false">IF(H997="","SIN DATO",IFERROR(INDEX(cat_MarcaN,MATCH(H997,cat_MarcaO,0)),H997))</f>
        <v>GENERAL ELECTRIC</v>
      </c>
      <c r="T997" s="34" t="str">
        <f aca="false">IF(I997="","SIN DATO",IFERROR(INDEX(cat_ModN,MATCH(I997,cat_ModO,0)),I997))</f>
        <v>MULTILIN C30</v>
      </c>
      <c r="U997" s="34" t="str">
        <f aca="false">IF(I997="","",IFERROR(INDEX(cat_ModG,MATCH(I997,cat_ModO,0)),"No"))</f>
        <v>No</v>
      </c>
      <c r="V997" s="34" t="str">
        <f aca="false">IF(J997="","SIN DATO",IFERROR(INDEX(cat_FunN,MATCH(J997,cat_FunO,0)),J997))</f>
        <v>Control y protección</v>
      </c>
      <c r="W997" s="34" t="str">
        <f aca="false">IF(OR(S997="SIN DATO",T997="SIN DATO"),"No","Sí")</f>
        <v>Sí</v>
      </c>
    </row>
    <row r="998" customFormat="false" ht="15" hidden="false" customHeight="false" outlineLevel="0" collapsed="false">
      <c r="A998" s="34" t="s">
        <v>3696</v>
      </c>
      <c r="B998" s="34" t="s">
        <v>3697</v>
      </c>
      <c r="C998" s="34" t="s">
        <v>3698</v>
      </c>
      <c r="D998" s="34" t="s">
        <v>2858</v>
      </c>
      <c r="E998" s="34" t="s">
        <v>138</v>
      </c>
      <c r="F998" s="34" t="s">
        <v>1602</v>
      </c>
      <c r="G998" s="34" t="s">
        <v>300</v>
      </c>
      <c r="H998" s="34" t="s">
        <v>34</v>
      </c>
      <c r="I998" s="34" t="s">
        <v>1341</v>
      </c>
      <c r="J998" s="34" t="s">
        <v>3699</v>
      </c>
      <c r="K998" s="34" t="s">
        <v>236</v>
      </c>
      <c r="L998" s="34" t="s">
        <v>230</v>
      </c>
      <c r="M998" s="34" t="s">
        <v>262</v>
      </c>
      <c r="N998" s="34" t="str">
        <f aca="false">"Sector "&amp;VALUE(MID(D998,13,2))</f>
        <v>Sector 6</v>
      </c>
      <c r="O998" s="34" t="str">
        <f aca="false">IF(Dashboard!$C$5="Ubicación técnica",N998,"Sector "&amp;VALUE(RIGHT(G998,2)))</f>
        <v>Sector 6</v>
      </c>
      <c r="P998" s="34" t="str">
        <f aca="false">IF(MID(D998,15,3)="SEL","Subestación eléctrica","Área de proceso")</f>
        <v>Subestación eléctrica</v>
      </c>
      <c r="Q998" s="34" t="str">
        <f aca="false">MID(D998,13,5)&amp;"|"&amp;MID(D998,19,5)</f>
        <v>06SEL|S_002</v>
      </c>
      <c r="R998" s="34" t="str">
        <f aca="false">IF(P998="Subestación eléctrica",IFERROR(INDEX(cat_SubN,MATCH(Q998,cat_SubK,0)),"SIN CATALOGAR"),"ÁREA DE PROCESO")</f>
        <v>SE-02</v>
      </c>
      <c r="S998" s="34" t="str">
        <f aca="false">IF(H998="","SIN DATO",IFERROR(INDEX(cat_MarcaN,MATCH(H998,cat_MarcaO,0)),H998))</f>
        <v>ABB</v>
      </c>
      <c r="T998" s="34" t="str">
        <f aca="false">IF(I998="","SIN DATO",IFERROR(INDEX(cat_ModN,MATCH(I998,cat_ModO,0)),I998))</f>
        <v>REA 101</v>
      </c>
      <c r="U998" s="34" t="str">
        <f aca="false">IF(I998="","",IFERROR(INDEX(cat_ModG,MATCH(I998,cat_ModO,0)),"No"))</f>
        <v>No</v>
      </c>
      <c r="V998" s="34" t="str">
        <f aca="false">IF(J998="","SIN DATO",IFERROR(INDEX(cat_FunN,MATCH(J998,cat_FunO,0)),J998))</f>
        <v>Protección falla contra arco</v>
      </c>
      <c r="W998" s="34" t="str">
        <f aca="false">IF(OR(S998="SIN DATO",T998="SIN DATO"),"No","Sí")</f>
        <v>Sí</v>
      </c>
    </row>
    <row r="999" customFormat="false" ht="15" hidden="false" customHeight="false" outlineLevel="0" collapsed="false">
      <c r="A999" s="34" t="s">
        <v>3700</v>
      </c>
      <c r="B999" s="34" t="s">
        <v>3701</v>
      </c>
      <c r="C999" s="34" t="s">
        <v>3702</v>
      </c>
      <c r="D999" s="34" t="s">
        <v>2862</v>
      </c>
      <c r="E999" s="34" t="s">
        <v>138</v>
      </c>
      <c r="F999" s="34" t="s">
        <v>1602</v>
      </c>
      <c r="G999" s="34" t="s">
        <v>300</v>
      </c>
      <c r="H999" s="34" t="s">
        <v>34</v>
      </c>
      <c r="I999" s="34" t="s">
        <v>1341</v>
      </c>
      <c r="J999" s="34" t="s">
        <v>3699</v>
      </c>
      <c r="K999" s="34" t="s">
        <v>236</v>
      </c>
      <c r="L999" s="34" t="s">
        <v>230</v>
      </c>
      <c r="M999" s="34" t="s">
        <v>262</v>
      </c>
      <c r="N999" s="34" t="str">
        <f aca="false">"Sector "&amp;VALUE(MID(D999,13,2))</f>
        <v>Sector 6</v>
      </c>
      <c r="O999" s="34" t="str">
        <f aca="false">IF(Dashboard!$C$5="Ubicación técnica",N999,"Sector "&amp;VALUE(RIGHT(G999,2)))</f>
        <v>Sector 6</v>
      </c>
      <c r="P999" s="34" t="str">
        <f aca="false">IF(MID(D999,15,3)="SEL","Subestación eléctrica","Área de proceso")</f>
        <v>Subestación eléctrica</v>
      </c>
      <c r="Q999" s="34" t="str">
        <f aca="false">MID(D999,13,5)&amp;"|"&amp;MID(D999,19,5)</f>
        <v>06SEL|S_002</v>
      </c>
      <c r="R999" s="34" t="str">
        <f aca="false">IF(P999="Subestación eléctrica",IFERROR(INDEX(cat_SubN,MATCH(Q999,cat_SubK,0)),"SIN CATALOGAR"),"ÁREA DE PROCESO")</f>
        <v>SE-02</v>
      </c>
      <c r="S999" s="34" t="str">
        <f aca="false">IF(H999="","SIN DATO",IFERROR(INDEX(cat_MarcaN,MATCH(H999,cat_MarcaO,0)),H999))</f>
        <v>ABB</v>
      </c>
      <c r="T999" s="34" t="str">
        <f aca="false">IF(I999="","SIN DATO",IFERROR(INDEX(cat_ModN,MATCH(I999,cat_ModO,0)),I999))</f>
        <v>REA 101</v>
      </c>
      <c r="U999" s="34" t="str">
        <f aca="false">IF(I999="","",IFERROR(INDEX(cat_ModG,MATCH(I999,cat_ModO,0)),"No"))</f>
        <v>No</v>
      </c>
      <c r="V999" s="34" t="str">
        <f aca="false">IF(J999="","SIN DATO",IFERROR(INDEX(cat_FunN,MATCH(J999,cat_FunO,0)),J999))</f>
        <v>Protección falla contra arco</v>
      </c>
      <c r="W999" s="34" t="str">
        <f aca="false">IF(OR(S999="SIN DATO",T999="SIN DATO"),"No","Sí")</f>
        <v>Sí</v>
      </c>
    </row>
    <row r="1000" customFormat="false" ht="15" hidden="false" customHeight="false" outlineLevel="0" collapsed="false">
      <c r="A1000" s="34" t="s">
        <v>3703</v>
      </c>
      <c r="B1000" s="34" t="s">
        <v>3704</v>
      </c>
      <c r="C1000" s="34" t="s">
        <v>3705</v>
      </c>
      <c r="D1000" s="34" t="s">
        <v>2882</v>
      </c>
      <c r="E1000" s="34" t="s">
        <v>138</v>
      </c>
      <c r="F1000" s="34" t="s">
        <v>1602</v>
      </c>
      <c r="G1000" s="34" t="s">
        <v>300</v>
      </c>
      <c r="H1000" s="34" t="s">
        <v>34</v>
      </c>
      <c r="I1000" s="34" t="s">
        <v>1341</v>
      </c>
      <c r="J1000" s="34" t="s">
        <v>3699</v>
      </c>
      <c r="K1000" s="34" t="s">
        <v>236</v>
      </c>
      <c r="L1000" s="34" t="s">
        <v>230</v>
      </c>
      <c r="M1000" s="34" t="s">
        <v>262</v>
      </c>
      <c r="N1000" s="34" t="str">
        <f aca="false">"Sector "&amp;VALUE(MID(D1000,13,2))</f>
        <v>Sector 6</v>
      </c>
      <c r="O1000" s="34" t="str">
        <f aca="false">IF(Dashboard!$C$5="Ubicación técnica",N1000,"Sector "&amp;VALUE(RIGHT(G1000,2)))</f>
        <v>Sector 6</v>
      </c>
      <c r="P1000" s="34" t="str">
        <f aca="false">IF(MID(D1000,15,3)="SEL","Subestación eléctrica","Área de proceso")</f>
        <v>Subestación eléctrica</v>
      </c>
      <c r="Q1000" s="34" t="str">
        <f aca="false">MID(D1000,13,5)&amp;"|"&amp;MID(D1000,19,5)</f>
        <v>06SEL|S_002</v>
      </c>
      <c r="R1000" s="34" t="str">
        <f aca="false">IF(P1000="Subestación eléctrica",IFERROR(INDEX(cat_SubN,MATCH(Q1000,cat_SubK,0)),"SIN CATALOGAR"),"ÁREA DE PROCESO")</f>
        <v>SE-02</v>
      </c>
      <c r="S1000" s="34" t="str">
        <f aca="false">IF(H1000="","SIN DATO",IFERROR(INDEX(cat_MarcaN,MATCH(H1000,cat_MarcaO,0)),H1000))</f>
        <v>ABB</v>
      </c>
      <c r="T1000" s="34" t="str">
        <f aca="false">IF(I1000="","SIN DATO",IFERROR(INDEX(cat_ModN,MATCH(I1000,cat_ModO,0)),I1000))</f>
        <v>REA 101</v>
      </c>
      <c r="U1000" s="34" t="str">
        <f aca="false">IF(I1000="","",IFERROR(INDEX(cat_ModG,MATCH(I1000,cat_ModO,0)),"No"))</f>
        <v>No</v>
      </c>
      <c r="V1000" s="34" t="str">
        <f aca="false">IF(J1000="","SIN DATO",IFERROR(INDEX(cat_FunN,MATCH(J1000,cat_FunO,0)),J1000))</f>
        <v>Protección falla contra arco</v>
      </c>
      <c r="W1000" s="34" t="str">
        <f aca="false">IF(OR(S1000="SIN DATO",T1000="SIN DATO"),"No","Sí")</f>
        <v>Sí</v>
      </c>
    </row>
    <row r="1001" customFormat="false" ht="15" hidden="false" customHeight="false" outlineLevel="0" collapsed="false">
      <c r="A1001" s="34" t="s">
        <v>3706</v>
      </c>
      <c r="B1001" s="34" t="s">
        <v>3707</v>
      </c>
      <c r="C1001" s="34" t="s">
        <v>3708</v>
      </c>
      <c r="D1001" s="34" t="s">
        <v>2886</v>
      </c>
      <c r="E1001" s="34" t="s">
        <v>138</v>
      </c>
      <c r="F1001" s="34" t="s">
        <v>1602</v>
      </c>
      <c r="G1001" s="34" t="s">
        <v>300</v>
      </c>
      <c r="H1001" s="34" t="s">
        <v>34</v>
      </c>
      <c r="I1001" s="34" t="s">
        <v>1341</v>
      </c>
      <c r="J1001" s="34" t="s">
        <v>3699</v>
      </c>
      <c r="K1001" s="34" t="s">
        <v>236</v>
      </c>
      <c r="L1001" s="34" t="s">
        <v>230</v>
      </c>
      <c r="M1001" s="34" t="s">
        <v>262</v>
      </c>
      <c r="N1001" s="34" t="str">
        <f aca="false">"Sector "&amp;VALUE(MID(D1001,13,2))</f>
        <v>Sector 6</v>
      </c>
      <c r="O1001" s="34" t="str">
        <f aca="false">IF(Dashboard!$C$5="Ubicación técnica",N1001,"Sector "&amp;VALUE(RIGHT(G1001,2)))</f>
        <v>Sector 6</v>
      </c>
      <c r="P1001" s="34" t="str">
        <f aca="false">IF(MID(D1001,15,3)="SEL","Subestación eléctrica","Área de proceso")</f>
        <v>Subestación eléctrica</v>
      </c>
      <c r="Q1001" s="34" t="str">
        <f aca="false">MID(D1001,13,5)&amp;"|"&amp;MID(D1001,19,5)</f>
        <v>06SEL|S_002</v>
      </c>
      <c r="R1001" s="34" t="str">
        <f aca="false">IF(P1001="Subestación eléctrica",IFERROR(INDEX(cat_SubN,MATCH(Q1001,cat_SubK,0)),"SIN CATALOGAR"),"ÁREA DE PROCESO")</f>
        <v>SE-02</v>
      </c>
      <c r="S1001" s="34" t="str">
        <f aca="false">IF(H1001="","SIN DATO",IFERROR(INDEX(cat_MarcaN,MATCH(H1001,cat_MarcaO,0)),H1001))</f>
        <v>ABB</v>
      </c>
      <c r="T1001" s="34" t="str">
        <f aca="false">IF(I1001="","SIN DATO",IFERROR(INDEX(cat_ModN,MATCH(I1001,cat_ModO,0)),I1001))</f>
        <v>REA 101</v>
      </c>
      <c r="U1001" s="34" t="str">
        <f aca="false">IF(I1001="","",IFERROR(INDEX(cat_ModG,MATCH(I1001,cat_ModO,0)),"No"))</f>
        <v>No</v>
      </c>
      <c r="V1001" s="34" t="str">
        <f aca="false">IF(J1001="","SIN DATO",IFERROR(INDEX(cat_FunN,MATCH(J1001,cat_FunO,0)),J1001))</f>
        <v>Protección falla contra arco</v>
      </c>
      <c r="W1001" s="34" t="str">
        <f aca="false">IF(OR(S1001="SIN DATO",T1001="SIN DATO"),"No","Sí")</f>
        <v>Sí</v>
      </c>
    </row>
    <row r="1002" customFormat="false" ht="15" hidden="false" customHeight="false" outlineLevel="0" collapsed="false">
      <c r="A1002" s="34" t="s">
        <v>3709</v>
      </c>
      <c r="B1002" s="34" t="s">
        <v>3710</v>
      </c>
      <c r="C1002" s="34" t="s">
        <v>3711</v>
      </c>
      <c r="D1002" s="34" t="s">
        <v>2890</v>
      </c>
      <c r="E1002" s="34" t="s">
        <v>140</v>
      </c>
      <c r="F1002" s="34" t="s">
        <v>1602</v>
      </c>
      <c r="G1002" s="34" t="s">
        <v>300</v>
      </c>
      <c r="H1002" s="34" t="s">
        <v>34</v>
      </c>
      <c r="I1002" s="34" t="s">
        <v>1341</v>
      </c>
      <c r="J1002" s="34" t="s">
        <v>3699</v>
      </c>
      <c r="K1002" s="34" t="s">
        <v>236</v>
      </c>
      <c r="L1002" s="34" t="s">
        <v>230</v>
      </c>
      <c r="M1002" s="34" t="s">
        <v>262</v>
      </c>
      <c r="N1002" s="34" t="str">
        <f aca="false">"Sector "&amp;VALUE(MID(D1002,13,2))</f>
        <v>Sector 6</v>
      </c>
      <c r="O1002" s="34" t="str">
        <f aca="false">IF(Dashboard!$C$5="Ubicación técnica",N1002,"Sector "&amp;VALUE(RIGHT(G1002,2)))</f>
        <v>Sector 6</v>
      </c>
      <c r="P1002" s="34" t="str">
        <f aca="false">IF(MID(D1002,15,3)="SEL","Subestación eléctrica","Área de proceso")</f>
        <v>Subestación eléctrica</v>
      </c>
      <c r="Q1002" s="34" t="str">
        <f aca="false">MID(D1002,13,5)&amp;"|"&amp;MID(D1002,19,5)</f>
        <v>06SEL|S_008</v>
      </c>
      <c r="R1002" s="34" t="str">
        <f aca="false">IF(P1002="Subestación eléctrica",IFERROR(INDEX(cat_SubN,MATCH(Q1002,cat_SubK,0)),"SIN CATALOGAR"),"ÁREA DE PROCESO")</f>
        <v>SE-08</v>
      </c>
      <c r="S1002" s="34" t="str">
        <f aca="false">IF(H1002="","SIN DATO",IFERROR(INDEX(cat_MarcaN,MATCH(H1002,cat_MarcaO,0)),H1002))</f>
        <v>ABB</v>
      </c>
      <c r="T1002" s="34" t="str">
        <f aca="false">IF(I1002="","SIN DATO",IFERROR(INDEX(cat_ModN,MATCH(I1002,cat_ModO,0)),I1002))</f>
        <v>REA 101</v>
      </c>
      <c r="U1002" s="34" t="str">
        <f aca="false">IF(I1002="","",IFERROR(INDEX(cat_ModG,MATCH(I1002,cat_ModO,0)),"No"))</f>
        <v>No</v>
      </c>
      <c r="V1002" s="34" t="str">
        <f aca="false">IF(J1002="","SIN DATO",IFERROR(INDEX(cat_FunN,MATCH(J1002,cat_FunO,0)),J1002))</f>
        <v>Protección falla contra arco</v>
      </c>
      <c r="W1002" s="34" t="str">
        <f aca="false">IF(OR(S1002="SIN DATO",T1002="SIN DATO"),"No","Sí")</f>
        <v>Sí</v>
      </c>
    </row>
    <row r="1003" customFormat="false" ht="15" hidden="false" customHeight="false" outlineLevel="0" collapsed="false">
      <c r="A1003" s="34" t="s">
        <v>3712</v>
      </c>
      <c r="B1003" s="34" t="s">
        <v>3713</v>
      </c>
      <c r="C1003" s="34" t="s">
        <v>3714</v>
      </c>
      <c r="D1003" s="34" t="s">
        <v>2894</v>
      </c>
      <c r="E1003" s="34" t="s">
        <v>140</v>
      </c>
      <c r="F1003" s="34" t="s">
        <v>1602</v>
      </c>
      <c r="G1003" s="34" t="s">
        <v>300</v>
      </c>
      <c r="H1003" s="34" t="s">
        <v>34</v>
      </c>
      <c r="I1003" s="34" t="s">
        <v>1341</v>
      </c>
      <c r="J1003" s="34" t="s">
        <v>3699</v>
      </c>
      <c r="K1003" s="34" t="s">
        <v>236</v>
      </c>
      <c r="L1003" s="34" t="s">
        <v>230</v>
      </c>
      <c r="M1003" s="34" t="s">
        <v>262</v>
      </c>
      <c r="N1003" s="34" t="str">
        <f aca="false">"Sector "&amp;VALUE(MID(D1003,13,2))</f>
        <v>Sector 6</v>
      </c>
      <c r="O1003" s="34" t="str">
        <f aca="false">IF(Dashboard!$C$5="Ubicación técnica",N1003,"Sector "&amp;VALUE(RIGHT(G1003,2)))</f>
        <v>Sector 6</v>
      </c>
      <c r="P1003" s="34" t="str">
        <f aca="false">IF(MID(D1003,15,3)="SEL","Subestación eléctrica","Área de proceso")</f>
        <v>Subestación eléctrica</v>
      </c>
      <c r="Q1003" s="34" t="str">
        <f aca="false">MID(D1003,13,5)&amp;"|"&amp;MID(D1003,19,5)</f>
        <v>06SEL|S_008</v>
      </c>
      <c r="R1003" s="34" t="str">
        <f aca="false">IF(P1003="Subestación eléctrica",IFERROR(INDEX(cat_SubN,MATCH(Q1003,cat_SubK,0)),"SIN CATALOGAR"),"ÁREA DE PROCESO")</f>
        <v>SE-08</v>
      </c>
      <c r="S1003" s="34" t="str">
        <f aca="false">IF(H1003="","SIN DATO",IFERROR(INDEX(cat_MarcaN,MATCH(H1003,cat_MarcaO,0)),H1003))</f>
        <v>ABB</v>
      </c>
      <c r="T1003" s="34" t="str">
        <f aca="false">IF(I1003="","SIN DATO",IFERROR(INDEX(cat_ModN,MATCH(I1003,cat_ModO,0)),I1003))</f>
        <v>REA 101</v>
      </c>
      <c r="U1003" s="34" t="str">
        <f aca="false">IF(I1003="","",IFERROR(INDEX(cat_ModG,MATCH(I1003,cat_ModO,0)),"No"))</f>
        <v>No</v>
      </c>
      <c r="V1003" s="34" t="str">
        <f aca="false">IF(J1003="","SIN DATO",IFERROR(INDEX(cat_FunN,MATCH(J1003,cat_FunO,0)),J1003))</f>
        <v>Protección falla contra arco</v>
      </c>
      <c r="W1003" s="34" t="str">
        <f aca="false">IF(OR(S1003="SIN DATO",T1003="SIN DATO"),"No","Sí")</f>
        <v>Sí</v>
      </c>
    </row>
    <row r="1004" customFormat="false" ht="15" hidden="false" customHeight="false" outlineLevel="0" collapsed="false">
      <c r="A1004" s="34" t="s">
        <v>3715</v>
      </c>
      <c r="B1004" s="34" t="s">
        <v>3716</v>
      </c>
      <c r="C1004" s="34" t="s">
        <v>3717</v>
      </c>
      <c r="D1004" s="34" t="s">
        <v>2898</v>
      </c>
      <c r="E1004" s="34" t="s">
        <v>142</v>
      </c>
      <c r="F1004" s="34" t="s">
        <v>1602</v>
      </c>
      <c r="G1004" s="34" t="s">
        <v>300</v>
      </c>
      <c r="H1004" s="34" t="s">
        <v>34</v>
      </c>
      <c r="I1004" s="34" t="s">
        <v>3718</v>
      </c>
      <c r="J1004" s="34" t="s">
        <v>3699</v>
      </c>
      <c r="K1004" s="34" t="s">
        <v>236</v>
      </c>
      <c r="L1004" s="34" t="s">
        <v>230</v>
      </c>
      <c r="M1004" s="34" t="s">
        <v>262</v>
      </c>
      <c r="N1004" s="34" t="str">
        <f aca="false">"Sector "&amp;VALUE(MID(D1004,13,2))</f>
        <v>Sector 6</v>
      </c>
      <c r="O1004" s="34" t="str">
        <f aca="false">IF(Dashboard!$C$5="Ubicación técnica",N1004,"Sector "&amp;VALUE(RIGHT(G1004,2)))</f>
        <v>Sector 6</v>
      </c>
      <c r="P1004" s="34" t="str">
        <f aca="false">IF(MID(D1004,15,3)="SEL","Subestación eléctrica","Área de proceso")</f>
        <v>Subestación eléctrica</v>
      </c>
      <c r="Q1004" s="34" t="str">
        <f aca="false">MID(D1004,13,5)&amp;"|"&amp;MID(D1004,19,5)</f>
        <v>06SEL|S_009</v>
      </c>
      <c r="R1004" s="34" t="str">
        <f aca="false">IF(P1004="Subestación eléctrica",IFERROR(INDEX(cat_SubN,MATCH(Q1004,cat_SubK,0)),"SIN CATALOGAR"),"ÁREA DE PROCESO")</f>
        <v>SE-09</v>
      </c>
      <c r="S1004" s="34" t="str">
        <f aca="false">IF(H1004="","SIN DATO",IFERROR(INDEX(cat_MarcaN,MATCH(H1004,cat_MarcaO,0)),H1004))</f>
        <v>ABB</v>
      </c>
      <c r="T1004" s="34" t="str">
        <f aca="false">IF(I1004="","SIN DATO",IFERROR(INDEX(cat_ModN,MATCH(I1004,cat_ModO,0)),I1004))</f>
        <v>REA 101</v>
      </c>
      <c r="U1004" s="34" t="str">
        <f aca="false">IF(I1004="","",IFERROR(INDEX(cat_ModG,MATCH(I1004,cat_ModO,0)),"No"))</f>
        <v>No</v>
      </c>
      <c r="V1004" s="34" t="str">
        <f aca="false">IF(J1004="","SIN DATO",IFERROR(INDEX(cat_FunN,MATCH(J1004,cat_FunO,0)),J1004))</f>
        <v>Protección falla contra arco</v>
      </c>
      <c r="W1004" s="34" t="str">
        <f aca="false">IF(OR(S1004="SIN DATO",T1004="SIN DATO"),"No","Sí")</f>
        <v>Sí</v>
      </c>
    </row>
    <row r="1005" customFormat="false" ht="15" hidden="false" customHeight="false" outlineLevel="0" collapsed="false">
      <c r="A1005" s="34" t="s">
        <v>3719</v>
      </c>
      <c r="B1005" s="34" t="s">
        <v>3720</v>
      </c>
      <c r="C1005" s="34" t="s">
        <v>3721</v>
      </c>
      <c r="D1005" s="34" t="s">
        <v>2902</v>
      </c>
      <c r="E1005" s="34" t="s">
        <v>142</v>
      </c>
      <c r="F1005" s="34" t="s">
        <v>1602</v>
      </c>
      <c r="G1005" s="34" t="s">
        <v>300</v>
      </c>
      <c r="H1005" s="34" t="s">
        <v>34</v>
      </c>
      <c r="I1005" s="34" t="s">
        <v>3718</v>
      </c>
      <c r="J1005" s="34" t="s">
        <v>3699</v>
      </c>
      <c r="K1005" s="34" t="s">
        <v>236</v>
      </c>
      <c r="L1005" s="34" t="s">
        <v>230</v>
      </c>
      <c r="M1005" s="34" t="s">
        <v>262</v>
      </c>
      <c r="N1005" s="34" t="str">
        <f aca="false">"Sector "&amp;VALUE(MID(D1005,13,2))</f>
        <v>Sector 6</v>
      </c>
      <c r="O1005" s="34" t="str">
        <f aca="false">IF(Dashboard!$C$5="Ubicación técnica",N1005,"Sector "&amp;VALUE(RIGHT(G1005,2)))</f>
        <v>Sector 6</v>
      </c>
      <c r="P1005" s="34" t="str">
        <f aca="false">IF(MID(D1005,15,3)="SEL","Subestación eléctrica","Área de proceso")</f>
        <v>Subestación eléctrica</v>
      </c>
      <c r="Q1005" s="34" t="str">
        <f aca="false">MID(D1005,13,5)&amp;"|"&amp;MID(D1005,19,5)</f>
        <v>06SEL|S_009</v>
      </c>
      <c r="R1005" s="34" t="str">
        <f aca="false">IF(P1005="Subestación eléctrica",IFERROR(INDEX(cat_SubN,MATCH(Q1005,cat_SubK,0)),"SIN CATALOGAR"),"ÁREA DE PROCESO")</f>
        <v>SE-09</v>
      </c>
      <c r="S1005" s="34" t="str">
        <f aca="false">IF(H1005="","SIN DATO",IFERROR(INDEX(cat_MarcaN,MATCH(H1005,cat_MarcaO,0)),H1005))</f>
        <v>ABB</v>
      </c>
      <c r="T1005" s="34" t="str">
        <f aca="false">IF(I1005="","SIN DATO",IFERROR(INDEX(cat_ModN,MATCH(I1005,cat_ModO,0)),I1005))</f>
        <v>REA 101</v>
      </c>
      <c r="U1005" s="34" t="str">
        <f aca="false">IF(I1005="","",IFERROR(INDEX(cat_ModG,MATCH(I1005,cat_ModO,0)),"No"))</f>
        <v>No</v>
      </c>
      <c r="V1005" s="34" t="str">
        <f aca="false">IF(J1005="","SIN DATO",IFERROR(INDEX(cat_FunN,MATCH(J1005,cat_FunO,0)),J1005))</f>
        <v>Protección falla contra arco</v>
      </c>
      <c r="W1005" s="34" t="str">
        <f aca="false">IF(OR(S1005="SIN DATO",T1005="SIN DATO"),"No","Sí")</f>
        <v>Sí</v>
      </c>
    </row>
    <row r="1006" customFormat="false" ht="15" hidden="false" customHeight="false" outlineLevel="0" collapsed="false">
      <c r="A1006" s="34" t="s">
        <v>3722</v>
      </c>
      <c r="B1006" s="34" t="s">
        <v>3723</v>
      </c>
      <c r="C1006" s="34" t="s">
        <v>3724</v>
      </c>
      <c r="D1006" s="34" t="s">
        <v>3584</v>
      </c>
      <c r="E1006" s="34" t="s">
        <v>138</v>
      </c>
      <c r="F1006" s="34" t="s">
        <v>1602</v>
      </c>
      <c r="G1006" s="34" t="s">
        <v>300</v>
      </c>
      <c r="H1006" s="34" t="s">
        <v>34</v>
      </c>
      <c r="I1006" s="34" t="s">
        <v>1341</v>
      </c>
      <c r="J1006" s="34" t="s">
        <v>3699</v>
      </c>
      <c r="K1006" s="34" t="s">
        <v>236</v>
      </c>
      <c r="L1006" s="34" t="s">
        <v>230</v>
      </c>
      <c r="M1006" s="34" t="s">
        <v>262</v>
      </c>
      <c r="N1006" s="34" t="str">
        <f aca="false">"Sector "&amp;VALUE(MID(D1006,13,2))</f>
        <v>Sector 6</v>
      </c>
      <c r="O1006" s="34" t="str">
        <f aca="false">IF(Dashboard!$C$5="Ubicación técnica",N1006,"Sector "&amp;VALUE(RIGHT(G1006,2)))</f>
        <v>Sector 6</v>
      </c>
      <c r="P1006" s="34" t="str">
        <f aca="false">IF(MID(D1006,15,3)="SEL","Subestación eléctrica","Área de proceso")</f>
        <v>Subestación eléctrica</v>
      </c>
      <c r="Q1006" s="34" t="str">
        <f aca="false">MID(D1006,13,5)&amp;"|"&amp;MID(D1006,19,5)</f>
        <v>06SEL|S_002</v>
      </c>
      <c r="R1006" s="34" t="str">
        <f aca="false">IF(P1006="Subestación eléctrica",IFERROR(INDEX(cat_SubN,MATCH(Q1006,cat_SubK,0)),"SIN CATALOGAR"),"ÁREA DE PROCESO")</f>
        <v>SE-02</v>
      </c>
      <c r="S1006" s="34" t="str">
        <f aca="false">IF(H1006="","SIN DATO",IFERROR(INDEX(cat_MarcaN,MATCH(H1006,cat_MarcaO,0)),H1006))</f>
        <v>ABB</v>
      </c>
      <c r="T1006" s="34" t="str">
        <f aca="false">IF(I1006="","SIN DATO",IFERROR(INDEX(cat_ModN,MATCH(I1006,cat_ModO,0)),I1006))</f>
        <v>REA 101</v>
      </c>
      <c r="U1006" s="34" t="str">
        <f aca="false">IF(I1006="","",IFERROR(INDEX(cat_ModG,MATCH(I1006,cat_ModO,0)),"No"))</f>
        <v>No</v>
      </c>
      <c r="V1006" s="34" t="str">
        <f aca="false">IF(J1006="","SIN DATO",IFERROR(INDEX(cat_FunN,MATCH(J1006,cat_FunO,0)),J1006))</f>
        <v>Protección falla contra arco</v>
      </c>
      <c r="W1006" s="34" t="str">
        <f aca="false">IF(OR(S1006="SIN DATO",T1006="SIN DATO"),"No","Sí")</f>
        <v>Sí</v>
      </c>
    </row>
    <row r="1007" customFormat="false" ht="15" hidden="false" customHeight="false" outlineLevel="0" collapsed="false">
      <c r="A1007" s="34" t="s">
        <v>3725</v>
      </c>
      <c r="B1007" s="34" t="s">
        <v>3726</v>
      </c>
      <c r="C1007" s="34" t="s">
        <v>3727</v>
      </c>
      <c r="D1007" s="34" t="s">
        <v>3588</v>
      </c>
      <c r="E1007" s="34" t="s">
        <v>138</v>
      </c>
      <c r="F1007" s="34" t="s">
        <v>1602</v>
      </c>
      <c r="G1007" s="34" t="s">
        <v>300</v>
      </c>
      <c r="H1007" s="34" t="s">
        <v>34</v>
      </c>
      <c r="I1007" s="34" t="s">
        <v>1341</v>
      </c>
      <c r="J1007" s="34" t="s">
        <v>3699</v>
      </c>
      <c r="K1007" s="34" t="s">
        <v>236</v>
      </c>
      <c r="L1007" s="34" t="s">
        <v>230</v>
      </c>
      <c r="M1007" s="34" t="s">
        <v>262</v>
      </c>
      <c r="N1007" s="34" t="str">
        <f aca="false">"Sector "&amp;VALUE(MID(D1007,13,2))</f>
        <v>Sector 6</v>
      </c>
      <c r="O1007" s="34" t="str">
        <f aca="false">IF(Dashboard!$C$5="Ubicación técnica",N1007,"Sector "&amp;VALUE(RIGHT(G1007,2)))</f>
        <v>Sector 6</v>
      </c>
      <c r="P1007" s="34" t="str">
        <f aca="false">IF(MID(D1007,15,3)="SEL","Subestación eléctrica","Área de proceso")</f>
        <v>Subestación eléctrica</v>
      </c>
      <c r="Q1007" s="34" t="str">
        <f aca="false">MID(D1007,13,5)&amp;"|"&amp;MID(D1007,19,5)</f>
        <v>06SEL|S_002</v>
      </c>
      <c r="R1007" s="34" t="str">
        <f aca="false">IF(P1007="Subestación eléctrica",IFERROR(INDEX(cat_SubN,MATCH(Q1007,cat_SubK,0)),"SIN CATALOGAR"),"ÁREA DE PROCESO")</f>
        <v>SE-02</v>
      </c>
      <c r="S1007" s="34" t="str">
        <f aca="false">IF(H1007="","SIN DATO",IFERROR(INDEX(cat_MarcaN,MATCH(H1007,cat_MarcaO,0)),H1007))</f>
        <v>ABB</v>
      </c>
      <c r="T1007" s="34" t="str">
        <f aca="false">IF(I1007="","SIN DATO",IFERROR(INDEX(cat_ModN,MATCH(I1007,cat_ModO,0)),I1007))</f>
        <v>REA 101</v>
      </c>
      <c r="U1007" s="34" t="str">
        <f aca="false">IF(I1007="","",IFERROR(INDEX(cat_ModG,MATCH(I1007,cat_ModO,0)),"No"))</f>
        <v>No</v>
      </c>
      <c r="V1007" s="34" t="str">
        <f aca="false">IF(J1007="","SIN DATO",IFERROR(INDEX(cat_FunN,MATCH(J1007,cat_FunO,0)),J1007))</f>
        <v>Protección falla contra arco</v>
      </c>
      <c r="W1007" s="34" t="str">
        <f aca="false">IF(OR(S1007="SIN DATO",T1007="SIN DATO"),"No","Sí")</f>
        <v>Sí</v>
      </c>
    </row>
    <row r="1008" customFormat="false" ht="15" hidden="false" customHeight="false" outlineLevel="0" collapsed="false">
      <c r="A1008" s="34" t="s">
        <v>3728</v>
      </c>
      <c r="B1008" s="34" t="s">
        <v>3729</v>
      </c>
      <c r="C1008" s="34" t="s">
        <v>3730</v>
      </c>
      <c r="D1008" s="34" t="s">
        <v>3649</v>
      </c>
      <c r="E1008" s="34" t="s">
        <v>140</v>
      </c>
      <c r="F1008" s="34" t="s">
        <v>1602</v>
      </c>
      <c r="G1008" s="34" t="s">
        <v>300</v>
      </c>
      <c r="H1008" s="34" t="s">
        <v>34</v>
      </c>
      <c r="I1008" s="34" t="s">
        <v>37</v>
      </c>
      <c r="J1008" s="34" t="s">
        <v>260</v>
      </c>
      <c r="K1008" s="34" t="s">
        <v>236</v>
      </c>
      <c r="L1008" s="34" t="s">
        <v>230</v>
      </c>
      <c r="M1008" s="34" t="s">
        <v>262</v>
      </c>
      <c r="N1008" s="34" t="str">
        <f aca="false">"Sector "&amp;VALUE(MID(D1008,13,2))</f>
        <v>Sector 6</v>
      </c>
      <c r="O1008" s="34" t="str">
        <f aca="false">IF(Dashboard!$C$5="Ubicación técnica",N1008,"Sector "&amp;VALUE(RIGHT(G1008,2)))</f>
        <v>Sector 6</v>
      </c>
      <c r="P1008" s="34" t="str">
        <f aca="false">IF(MID(D1008,15,3)="SEL","Subestación eléctrica","Área de proceso")</f>
        <v>Subestación eléctrica</v>
      </c>
      <c r="Q1008" s="34" t="str">
        <f aca="false">MID(D1008,13,5)&amp;"|"&amp;MID(D1008,19,5)</f>
        <v>06SEL|S_008</v>
      </c>
      <c r="R1008" s="34" t="str">
        <f aca="false">IF(P1008="Subestación eléctrica",IFERROR(INDEX(cat_SubN,MATCH(Q1008,cat_SubK,0)),"SIN CATALOGAR"),"ÁREA DE PROCESO")</f>
        <v>SE-08</v>
      </c>
      <c r="S1008" s="34" t="str">
        <f aca="false">IF(H1008="","SIN DATO",IFERROR(INDEX(cat_MarcaN,MATCH(H1008,cat_MarcaO,0)),H1008))</f>
        <v>ABB</v>
      </c>
      <c r="T1008" s="34" t="str">
        <f aca="false">IF(I1008="","SIN DATO",IFERROR(INDEX(cat_ModN,MATCH(I1008,cat_ModO,0)),I1008))</f>
        <v>REF615A_1G</v>
      </c>
      <c r="U1008" s="34" t="str">
        <f aca="false">IF(I1008="","",IFERROR(INDEX(cat_ModG,MATCH(I1008,cat_ModO,0)),"No"))</f>
        <v>No</v>
      </c>
      <c r="V1008" s="34" t="str">
        <f aca="false">IF(J1008="","SIN DATO",IFERROR(INDEX(cat_FunN,MATCH(J1008,cat_FunO,0)),J1008))</f>
        <v>Protección y medición</v>
      </c>
      <c r="W1008" s="34" t="str">
        <f aca="false">IF(OR(S1008="SIN DATO",T1008="SIN DATO"),"No","Sí")</f>
        <v>Sí</v>
      </c>
    </row>
    <row r="1009" customFormat="false" ht="15" hidden="false" customHeight="false" outlineLevel="0" collapsed="false">
      <c r="A1009" s="34" t="s">
        <v>3731</v>
      </c>
      <c r="B1009" s="34" t="s">
        <v>3732</v>
      </c>
      <c r="C1009" s="34" t="s">
        <v>3733</v>
      </c>
      <c r="D1009" s="34" t="s">
        <v>3653</v>
      </c>
      <c r="E1009" s="34" t="s">
        <v>140</v>
      </c>
      <c r="F1009" s="34" t="s">
        <v>1602</v>
      </c>
      <c r="G1009" s="34" t="s">
        <v>300</v>
      </c>
      <c r="H1009" s="34" t="s">
        <v>34</v>
      </c>
      <c r="I1009" s="34" t="s">
        <v>37</v>
      </c>
      <c r="J1009" s="34" t="s">
        <v>260</v>
      </c>
      <c r="K1009" s="34" t="s">
        <v>236</v>
      </c>
      <c r="L1009" s="34" t="s">
        <v>230</v>
      </c>
      <c r="M1009" s="34" t="s">
        <v>262</v>
      </c>
      <c r="N1009" s="34" t="str">
        <f aca="false">"Sector "&amp;VALUE(MID(D1009,13,2))</f>
        <v>Sector 6</v>
      </c>
      <c r="O1009" s="34" t="str">
        <f aca="false">IF(Dashboard!$C$5="Ubicación técnica",N1009,"Sector "&amp;VALUE(RIGHT(G1009,2)))</f>
        <v>Sector 6</v>
      </c>
      <c r="P1009" s="34" t="str">
        <f aca="false">IF(MID(D1009,15,3)="SEL","Subestación eléctrica","Área de proceso")</f>
        <v>Subestación eléctrica</v>
      </c>
      <c r="Q1009" s="34" t="str">
        <f aca="false">MID(D1009,13,5)&amp;"|"&amp;MID(D1009,19,5)</f>
        <v>06SEL|S_008</v>
      </c>
      <c r="R1009" s="34" t="str">
        <f aca="false">IF(P1009="Subestación eléctrica",IFERROR(INDEX(cat_SubN,MATCH(Q1009,cat_SubK,0)),"SIN CATALOGAR"),"ÁREA DE PROCESO")</f>
        <v>SE-08</v>
      </c>
      <c r="S1009" s="34" t="str">
        <f aca="false">IF(H1009="","SIN DATO",IFERROR(INDEX(cat_MarcaN,MATCH(H1009,cat_MarcaO,0)),H1009))</f>
        <v>ABB</v>
      </c>
      <c r="T1009" s="34" t="str">
        <f aca="false">IF(I1009="","SIN DATO",IFERROR(INDEX(cat_ModN,MATCH(I1009,cat_ModO,0)),I1009))</f>
        <v>REF615A_1G</v>
      </c>
      <c r="U1009" s="34" t="str">
        <f aca="false">IF(I1009="","",IFERROR(INDEX(cat_ModG,MATCH(I1009,cat_ModO,0)),"No"))</f>
        <v>No</v>
      </c>
      <c r="V1009" s="34" t="str">
        <f aca="false">IF(J1009="","SIN DATO",IFERROR(INDEX(cat_FunN,MATCH(J1009,cat_FunO,0)),J1009))</f>
        <v>Protección y medición</v>
      </c>
      <c r="W1009" s="34" t="str">
        <f aca="false">IF(OR(S1009="SIN DATO",T1009="SIN DATO"),"No","Sí")</f>
        <v>Sí</v>
      </c>
    </row>
    <row r="1010" customFormat="false" ht="15" hidden="false" customHeight="false" outlineLevel="0" collapsed="false">
      <c r="A1010" s="34" t="s">
        <v>3734</v>
      </c>
      <c r="B1010" s="34" t="s">
        <v>3735</v>
      </c>
      <c r="C1010" s="34" t="s">
        <v>3736</v>
      </c>
      <c r="D1010" s="34" t="s">
        <v>3737</v>
      </c>
      <c r="E1010" s="34" t="s">
        <v>140</v>
      </c>
      <c r="F1010" s="34" t="s">
        <v>1602</v>
      </c>
      <c r="G1010" s="34" t="s">
        <v>300</v>
      </c>
      <c r="H1010" s="34" t="s">
        <v>34</v>
      </c>
      <c r="I1010" s="34" t="s">
        <v>37</v>
      </c>
      <c r="J1010" s="34" t="s">
        <v>260</v>
      </c>
      <c r="K1010" s="34" t="s">
        <v>236</v>
      </c>
      <c r="L1010" s="34" t="s">
        <v>230</v>
      </c>
      <c r="M1010" s="34" t="s">
        <v>262</v>
      </c>
      <c r="N1010" s="34" t="str">
        <f aca="false">"Sector "&amp;VALUE(MID(D1010,13,2))</f>
        <v>Sector 6</v>
      </c>
      <c r="O1010" s="34" t="str">
        <f aca="false">IF(Dashboard!$C$5="Ubicación técnica",N1010,"Sector "&amp;VALUE(RIGHT(G1010,2)))</f>
        <v>Sector 6</v>
      </c>
      <c r="P1010" s="34" t="str">
        <f aca="false">IF(MID(D1010,15,3)="SEL","Subestación eléctrica","Área de proceso")</f>
        <v>Subestación eléctrica</v>
      </c>
      <c r="Q1010" s="34" t="str">
        <f aca="false">MID(D1010,13,5)&amp;"|"&amp;MID(D1010,19,5)</f>
        <v>06SEL|S_008</v>
      </c>
      <c r="R1010" s="34" t="str">
        <f aca="false">IF(P1010="Subestación eléctrica",IFERROR(INDEX(cat_SubN,MATCH(Q1010,cat_SubK,0)),"SIN CATALOGAR"),"ÁREA DE PROCESO")</f>
        <v>SE-08</v>
      </c>
      <c r="S1010" s="34" t="str">
        <f aca="false">IF(H1010="","SIN DATO",IFERROR(INDEX(cat_MarcaN,MATCH(H1010,cat_MarcaO,0)),H1010))</f>
        <v>ABB</v>
      </c>
      <c r="T1010" s="34" t="str">
        <f aca="false">IF(I1010="","SIN DATO",IFERROR(INDEX(cat_ModN,MATCH(I1010,cat_ModO,0)),I1010))</f>
        <v>REF615A_1G</v>
      </c>
      <c r="U1010" s="34" t="str">
        <f aca="false">IF(I1010="","",IFERROR(INDEX(cat_ModG,MATCH(I1010,cat_ModO,0)),"No"))</f>
        <v>No</v>
      </c>
      <c r="V1010" s="34" t="str">
        <f aca="false">IF(J1010="","SIN DATO",IFERROR(INDEX(cat_FunN,MATCH(J1010,cat_FunO,0)),J1010))</f>
        <v>Protección y medición</v>
      </c>
      <c r="W1010" s="34" t="str">
        <f aca="false">IF(OR(S1010="SIN DATO",T1010="SIN DATO"),"No","Sí")</f>
        <v>Sí</v>
      </c>
    </row>
    <row r="1011" customFormat="false" ht="15" hidden="false" customHeight="false" outlineLevel="0" collapsed="false">
      <c r="A1011" s="34" t="s">
        <v>3738</v>
      </c>
      <c r="B1011" s="34" t="s">
        <v>3739</v>
      </c>
      <c r="C1011" s="34" t="s">
        <v>3740</v>
      </c>
      <c r="D1011" s="34" t="s">
        <v>3741</v>
      </c>
      <c r="E1011" s="34" t="s">
        <v>140</v>
      </c>
      <c r="F1011" s="34" t="s">
        <v>1602</v>
      </c>
      <c r="G1011" s="34" t="s">
        <v>300</v>
      </c>
      <c r="H1011" s="34" t="s">
        <v>34</v>
      </c>
      <c r="I1011" s="34" t="s">
        <v>37</v>
      </c>
      <c r="J1011" s="34" t="s">
        <v>260</v>
      </c>
      <c r="K1011" s="34" t="s">
        <v>236</v>
      </c>
      <c r="L1011" s="34" t="s">
        <v>230</v>
      </c>
      <c r="M1011" s="34" t="s">
        <v>262</v>
      </c>
      <c r="N1011" s="34" t="str">
        <f aca="false">"Sector "&amp;VALUE(MID(D1011,13,2))</f>
        <v>Sector 6</v>
      </c>
      <c r="O1011" s="34" t="str">
        <f aca="false">IF(Dashboard!$C$5="Ubicación técnica",N1011,"Sector "&amp;VALUE(RIGHT(G1011,2)))</f>
        <v>Sector 6</v>
      </c>
      <c r="P1011" s="34" t="str">
        <f aca="false">IF(MID(D1011,15,3)="SEL","Subestación eléctrica","Área de proceso")</f>
        <v>Subestación eléctrica</v>
      </c>
      <c r="Q1011" s="34" t="str">
        <f aca="false">MID(D1011,13,5)&amp;"|"&amp;MID(D1011,19,5)</f>
        <v>06SEL|S_008</v>
      </c>
      <c r="R1011" s="34" t="str">
        <f aca="false">IF(P1011="Subestación eléctrica",IFERROR(INDEX(cat_SubN,MATCH(Q1011,cat_SubK,0)),"SIN CATALOGAR"),"ÁREA DE PROCESO")</f>
        <v>SE-08</v>
      </c>
      <c r="S1011" s="34" t="str">
        <f aca="false">IF(H1011="","SIN DATO",IFERROR(INDEX(cat_MarcaN,MATCH(H1011,cat_MarcaO,0)),H1011))</f>
        <v>ABB</v>
      </c>
      <c r="T1011" s="34" t="str">
        <f aca="false">IF(I1011="","SIN DATO",IFERROR(INDEX(cat_ModN,MATCH(I1011,cat_ModO,0)),I1011))</f>
        <v>REF615A_1G</v>
      </c>
      <c r="U1011" s="34" t="str">
        <f aca="false">IF(I1011="","",IFERROR(INDEX(cat_ModG,MATCH(I1011,cat_ModO,0)),"No"))</f>
        <v>No</v>
      </c>
      <c r="V1011" s="34" t="str">
        <f aca="false">IF(J1011="","SIN DATO",IFERROR(INDEX(cat_FunN,MATCH(J1011,cat_FunO,0)),J1011))</f>
        <v>Protección y medición</v>
      </c>
      <c r="W1011" s="34" t="str">
        <f aca="false">IF(OR(S1011="SIN DATO",T1011="SIN DATO"),"No","Sí")</f>
        <v>Sí</v>
      </c>
    </row>
    <row r="1012" customFormat="false" ht="15" hidden="false" customHeight="false" outlineLevel="0" collapsed="false">
      <c r="A1012" s="34" t="s">
        <v>3742</v>
      </c>
      <c r="B1012" s="34" t="s">
        <v>3743</v>
      </c>
      <c r="C1012" s="34" t="s">
        <v>3744</v>
      </c>
      <c r="D1012" s="34" t="s">
        <v>3737</v>
      </c>
      <c r="E1012" s="34" t="s">
        <v>140</v>
      </c>
      <c r="F1012" s="34" t="s">
        <v>1602</v>
      </c>
      <c r="G1012" s="34" t="s">
        <v>300</v>
      </c>
      <c r="H1012" s="34" t="s">
        <v>34</v>
      </c>
      <c r="I1012" s="34" t="s">
        <v>37</v>
      </c>
      <c r="J1012" s="34" t="s">
        <v>260</v>
      </c>
      <c r="K1012" s="34" t="s">
        <v>236</v>
      </c>
      <c r="L1012" s="34" t="s">
        <v>230</v>
      </c>
      <c r="M1012" s="34" t="s">
        <v>262</v>
      </c>
      <c r="N1012" s="34" t="str">
        <f aca="false">"Sector "&amp;VALUE(MID(D1012,13,2))</f>
        <v>Sector 6</v>
      </c>
      <c r="O1012" s="34" t="str">
        <f aca="false">IF(Dashboard!$C$5="Ubicación técnica",N1012,"Sector "&amp;VALUE(RIGHT(G1012,2)))</f>
        <v>Sector 6</v>
      </c>
      <c r="P1012" s="34" t="str">
        <f aca="false">IF(MID(D1012,15,3)="SEL","Subestación eléctrica","Área de proceso")</f>
        <v>Subestación eléctrica</v>
      </c>
      <c r="Q1012" s="34" t="str">
        <f aca="false">MID(D1012,13,5)&amp;"|"&amp;MID(D1012,19,5)</f>
        <v>06SEL|S_008</v>
      </c>
      <c r="R1012" s="34" t="str">
        <f aca="false">IF(P1012="Subestación eléctrica",IFERROR(INDEX(cat_SubN,MATCH(Q1012,cat_SubK,0)),"SIN CATALOGAR"),"ÁREA DE PROCESO")</f>
        <v>SE-08</v>
      </c>
      <c r="S1012" s="34" t="str">
        <f aca="false">IF(H1012="","SIN DATO",IFERROR(INDEX(cat_MarcaN,MATCH(H1012,cat_MarcaO,0)),H1012))</f>
        <v>ABB</v>
      </c>
      <c r="T1012" s="34" t="str">
        <f aca="false">IF(I1012="","SIN DATO",IFERROR(INDEX(cat_ModN,MATCH(I1012,cat_ModO,0)),I1012))</f>
        <v>REF615A_1G</v>
      </c>
      <c r="U1012" s="34" t="str">
        <f aca="false">IF(I1012="","",IFERROR(INDEX(cat_ModG,MATCH(I1012,cat_ModO,0)),"No"))</f>
        <v>No</v>
      </c>
      <c r="V1012" s="34" t="str">
        <f aca="false">IF(J1012="","SIN DATO",IFERROR(INDEX(cat_FunN,MATCH(J1012,cat_FunO,0)),J1012))</f>
        <v>Protección y medición</v>
      </c>
      <c r="W1012" s="34" t="str">
        <f aca="false">IF(OR(S1012="SIN DATO",T1012="SIN DATO"),"No","Sí")</f>
        <v>Sí</v>
      </c>
    </row>
    <row r="1013" customFormat="false" ht="15" hidden="false" customHeight="false" outlineLevel="0" collapsed="false">
      <c r="A1013" s="34" t="s">
        <v>3745</v>
      </c>
      <c r="B1013" s="34" t="s">
        <v>3746</v>
      </c>
      <c r="C1013" s="34" t="s">
        <v>3747</v>
      </c>
      <c r="D1013" s="34" t="s">
        <v>3748</v>
      </c>
      <c r="E1013" s="34" t="s">
        <v>140</v>
      </c>
      <c r="F1013" s="34" t="s">
        <v>1602</v>
      </c>
      <c r="G1013" s="34" t="s">
        <v>300</v>
      </c>
      <c r="H1013" s="34" t="s">
        <v>34</v>
      </c>
      <c r="I1013" s="34" t="s">
        <v>37</v>
      </c>
      <c r="J1013" s="34" t="s">
        <v>260</v>
      </c>
      <c r="K1013" s="34" t="s">
        <v>236</v>
      </c>
      <c r="L1013" s="34" t="s">
        <v>230</v>
      </c>
      <c r="M1013" s="34" t="s">
        <v>262</v>
      </c>
      <c r="N1013" s="34" t="str">
        <f aca="false">"Sector "&amp;VALUE(MID(D1013,13,2))</f>
        <v>Sector 6</v>
      </c>
      <c r="O1013" s="34" t="str">
        <f aca="false">IF(Dashboard!$C$5="Ubicación técnica",N1013,"Sector "&amp;VALUE(RIGHT(G1013,2)))</f>
        <v>Sector 6</v>
      </c>
      <c r="P1013" s="34" t="str">
        <f aca="false">IF(MID(D1013,15,3)="SEL","Subestación eléctrica","Área de proceso")</f>
        <v>Subestación eléctrica</v>
      </c>
      <c r="Q1013" s="34" t="str">
        <f aca="false">MID(D1013,13,5)&amp;"|"&amp;MID(D1013,19,5)</f>
        <v>06SEL|S_008</v>
      </c>
      <c r="R1013" s="34" t="str">
        <f aca="false">IF(P1013="Subestación eléctrica",IFERROR(INDEX(cat_SubN,MATCH(Q1013,cat_SubK,0)),"SIN CATALOGAR"),"ÁREA DE PROCESO")</f>
        <v>SE-08</v>
      </c>
      <c r="S1013" s="34" t="str">
        <f aca="false">IF(H1013="","SIN DATO",IFERROR(INDEX(cat_MarcaN,MATCH(H1013,cat_MarcaO,0)),H1013))</f>
        <v>ABB</v>
      </c>
      <c r="T1013" s="34" t="str">
        <f aca="false">IF(I1013="","SIN DATO",IFERROR(INDEX(cat_ModN,MATCH(I1013,cat_ModO,0)),I1013))</f>
        <v>REF615A_1G</v>
      </c>
      <c r="U1013" s="34" t="str">
        <f aca="false">IF(I1013="","",IFERROR(INDEX(cat_ModG,MATCH(I1013,cat_ModO,0)),"No"))</f>
        <v>No</v>
      </c>
      <c r="V1013" s="34" t="str">
        <f aca="false">IF(J1013="","SIN DATO",IFERROR(INDEX(cat_FunN,MATCH(J1013,cat_FunO,0)),J1013))</f>
        <v>Protección y medición</v>
      </c>
      <c r="W1013" s="34" t="str">
        <f aca="false">IF(OR(S1013="SIN DATO",T1013="SIN DATO"),"No","Sí")</f>
        <v>Sí</v>
      </c>
    </row>
    <row r="1014" customFormat="false" ht="15" hidden="false" customHeight="false" outlineLevel="0" collapsed="false">
      <c r="A1014" s="34" t="s">
        <v>3749</v>
      </c>
      <c r="B1014" s="34" t="s">
        <v>3750</v>
      </c>
      <c r="C1014" s="34" t="s">
        <v>3751</v>
      </c>
      <c r="D1014" s="34" t="s">
        <v>3752</v>
      </c>
      <c r="E1014" s="34" t="s">
        <v>140</v>
      </c>
      <c r="F1014" s="34" t="s">
        <v>1602</v>
      </c>
      <c r="G1014" s="34" t="s">
        <v>300</v>
      </c>
      <c r="H1014" s="34" t="s">
        <v>34</v>
      </c>
      <c r="I1014" s="34" t="s">
        <v>37</v>
      </c>
      <c r="J1014" s="34" t="s">
        <v>260</v>
      </c>
      <c r="K1014" s="34" t="s">
        <v>236</v>
      </c>
      <c r="L1014" s="34" t="s">
        <v>230</v>
      </c>
      <c r="M1014" s="34" t="s">
        <v>262</v>
      </c>
      <c r="N1014" s="34" t="str">
        <f aca="false">"Sector "&amp;VALUE(MID(D1014,13,2))</f>
        <v>Sector 6</v>
      </c>
      <c r="O1014" s="34" t="str">
        <f aca="false">IF(Dashboard!$C$5="Ubicación técnica",N1014,"Sector "&amp;VALUE(RIGHT(G1014,2)))</f>
        <v>Sector 6</v>
      </c>
      <c r="P1014" s="34" t="str">
        <f aca="false">IF(MID(D1014,15,3)="SEL","Subestación eléctrica","Área de proceso")</f>
        <v>Subestación eléctrica</v>
      </c>
      <c r="Q1014" s="34" t="str">
        <f aca="false">MID(D1014,13,5)&amp;"|"&amp;MID(D1014,19,5)</f>
        <v>06SEL|S_008</v>
      </c>
      <c r="R1014" s="34" t="str">
        <f aca="false">IF(P1014="Subestación eléctrica",IFERROR(INDEX(cat_SubN,MATCH(Q1014,cat_SubK,0)),"SIN CATALOGAR"),"ÁREA DE PROCESO")</f>
        <v>SE-08</v>
      </c>
      <c r="S1014" s="34" t="str">
        <f aca="false">IF(H1014="","SIN DATO",IFERROR(INDEX(cat_MarcaN,MATCH(H1014,cat_MarcaO,0)),H1014))</f>
        <v>ABB</v>
      </c>
      <c r="T1014" s="34" t="str">
        <f aca="false">IF(I1014="","SIN DATO",IFERROR(INDEX(cat_ModN,MATCH(I1014,cat_ModO,0)),I1014))</f>
        <v>REF615A_1G</v>
      </c>
      <c r="U1014" s="34" t="str">
        <f aca="false">IF(I1014="","",IFERROR(INDEX(cat_ModG,MATCH(I1014,cat_ModO,0)),"No"))</f>
        <v>No</v>
      </c>
      <c r="V1014" s="34" t="str">
        <f aca="false">IF(J1014="","SIN DATO",IFERROR(INDEX(cat_FunN,MATCH(J1014,cat_FunO,0)),J1014))</f>
        <v>Protección y medición</v>
      </c>
      <c r="W1014" s="34" t="str">
        <f aca="false">IF(OR(S1014="SIN DATO",T1014="SIN DATO"),"No","Sí")</f>
        <v>Sí</v>
      </c>
    </row>
    <row r="1015" customFormat="false" ht="15" hidden="false" customHeight="false" outlineLevel="0" collapsed="false">
      <c r="A1015" s="34" t="s">
        <v>3753</v>
      </c>
      <c r="B1015" s="34" t="s">
        <v>3754</v>
      </c>
      <c r="C1015" s="34" t="s">
        <v>3755</v>
      </c>
      <c r="D1015" s="34" t="s">
        <v>3748</v>
      </c>
      <c r="E1015" s="34" t="s">
        <v>140</v>
      </c>
      <c r="F1015" s="34" t="s">
        <v>1602</v>
      </c>
      <c r="G1015" s="34" t="s">
        <v>300</v>
      </c>
      <c r="H1015" s="34" t="s">
        <v>34</v>
      </c>
      <c r="I1015" s="34" t="s">
        <v>37</v>
      </c>
      <c r="J1015" s="34" t="s">
        <v>260</v>
      </c>
      <c r="K1015" s="34" t="s">
        <v>236</v>
      </c>
      <c r="L1015" s="34" t="s">
        <v>230</v>
      </c>
      <c r="M1015" s="34" t="s">
        <v>262</v>
      </c>
      <c r="N1015" s="34" t="str">
        <f aca="false">"Sector "&amp;VALUE(MID(D1015,13,2))</f>
        <v>Sector 6</v>
      </c>
      <c r="O1015" s="34" t="str">
        <f aca="false">IF(Dashboard!$C$5="Ubicación técnica",N1015,"Sector "&amp;VALUE(RIGHT(G1015,2)))</f>
        <v>Sector 6</v>
      </c>
      <c r="P1015" s="34" t="str">
        <f aca="false">IF(MID(D1015,15,3)="SEL","Subestación eléctrica","Área de proceso")</f>
        <v>Subestación eléctrica</v>
      </c>
      <c r="Q1015" s="34" t="str">
        <f aca="false">MID(D1015,13,5)&amp;"|"&amp;MID(D1015,19,5)</f>
        <v>06SEL|S_008</v>
      </c>
      <c r="R1015" s="34" t="str">
        <f aca="false">IF(P1015="Subestación eléctrica",IFERROR(INDEX(cat_SubN,MATCH(Q1015,cat_SubK,0)),"SIN CATALOGAR"),"ÁREA DE PROCESO")</f>
        <v>SE-08</v>
      </c>
      <c r="S1015" s="34" t="str">
        <f aca="false">IF(H1015="","SIN DATO",IFERROR(INDEX(cat_MarcaN,MATCH(H1015,cat_MarcaO,0)),H1015))</f>
        <v>ABB</v>
      </c>
      <c r="T1015" s="34" t="str">
        <f aca="false">IF(I1015="","SIN DATO",IFERROR(INDEX(cat_ModN,MATCH(I1015,cat_ModO,0)),I1015))</f>
        <v>REF615A_1G</v>
      </c>
      <c r="U1015" s="34" t="str">
        <f aca="false">IF(I1015="","",IFERROR(INDEX(cat_ModG,MATCH(I1015,cat_ModO,0)),"No"))</f>
        <v>No</v>
      </c>
      <c r="V1015" s="34" t="str">
        <f aca="false">IF(J1015="","SIN DATO",IFERROR(INDEX(cat_FunN,MATCH(J1015,cat_FunO,0)),J1015))</f>
        <v>Protección y medición</v>
      </c>
      <c r="W1015" s="34" t="str">
        <f aca="false">IF(OR(S1015="SIN DATO",T1015="SIN DATO"),"No","Sí")</f>
        <v>Sí</v>
      </c>
    </row>
    <row r="1016" customFormat="false" ht="15" hidden="false" customHeight="false" outlineLevel="0" collapsed="false">
      <c r="A1016" s="34" t="s">
        <v>3756</v>
      </c>
      <c r="B1016" s="34" t="s">
        <v>3757</v>
      </c>
      <c r="C1016" s="34" t="s">
        <v>3758</v>
      </c>
      <c r="D1016" s="34" t="s">
        <v>3759</v>
      </c>
      <c r="E1016" s="34" t="s">
        <v>140</v>
      </c>
      <c r="F1016" s="34" t="s">
        <v>1602</v>
      </c>
      <c r="G1016" s="34" t="s">
        <v>300</v>
      </c>
      <c r="H1016" s="34" t="s">
        <v>34</v>
      </c>
      <c r="I1016" s="34" t="s">
        <v>37</v>
      </c>
      <c r="J1016" s="34" t="s">
        <v>260</v>
      </c>
      <c r="K1016" s="34" t="s">
        <v>236</v>
      </c>
      <c r="L1016" s="34" t="s">
        <v>230</v>
      </c>
      <c r="M1016" s="34" t="s">
        <v>262</v>
      </c>
      <c r="N1016" s="34" t="str">
        <f aca="false">"Sector "&amp;VALUE(MID(D1016,13,2))</f>
        <v>Sector 6</v>
      </c>
      <c r="O1016" s="34" t="str">
        <f aca="false">IF(Dashboard!$C$5="Ubicación técnica",N1016,"Sector "&amp;VALUE(RIGHT(G1016,2)))</f>
        <v>Sector 6</v>
      </c>
      <c r="P1016" s="34" t="str">
        <f aca="false">IF(MID(D1016,15,3)="SEL","Subestación eléctrica","Área de proceso")</f>
        <v>Subestación eléctrica</v>
      </c>
      <c r="Q1016" s="34" t="str">
        <f aca="false">MID(D1016,13,5)&amp;"|"&amp;MID(D1016,19,5)</f>
        <v>06SEL|S_008</v>
      </c>
      <c r="R1016" s="34" t="str">
        <f aca="false">IF(P1016="Subestación eléctrica",IFERROR(INDEX(cat_SubN,MATCH(Q1016,cat_SubK,0)),"SIN CATALOGAR"),"ÁREA DE PROCESO")</f>
        <v>SE-08</v>
      </c>
      <c r="S1016" s="34" t="str">
        <f aca="false">IF(H1016="","SIN DATO",IFERROR(INDEX(cat_MarcaN,MATCH(H1016,cat_MarcaO,0)),H1016))</f>
        <v>ABB</v>
      </c>
      <c r="T1016" s="34" t="str">
        <f aca="false">IF(I1016="","SIN DATO",IFERROR(INDEX(cat_ModN,MATCH(I1016,cat_ModO,0)),I1016))</f>
        <v>REF615A_1G</v>
      </c>
      <c r="U1016" s="34" t="str">
        <f aca="false">IF(I1016="","",IFERROR(INDEX(cat_ModG,MATCH(I1016,cat_ModO,0)),"No"))</f>
        <v>No</v>
      </c>
      <c r="V1016" s="34" t="str">
        <f aca="false">IF(J1016="","SIN DATO",IFERROR(INDEX(cat_FunN,MATCH(J1016,cat_FunO,0)),J1016))</f>
        <v>Protección y medición</v>
      </c>
      <c r="W1016" s="34" t="str">
        <f aca="false">IF(OR(S1016="SIN DATO",T1016="SIN DATO"),"No","Sí")</f>
        <v>Sí</v>
      </c>
    </row>
    <row r="1017" customFormat="false" ht="15" hidden="false" customHeight="false" outlineLevel="0" collapsed="false">
      <c r="A1017" s="34" t="s">
        <v>3760</v>
      </c>
      <c r="B1017" s="34" t="s">
        <v>3761</v>
      </c>
      <c r="C1017" s="34" t="s">
        <v>3762</v>
      </c>
      <c r="D1017" s="34" t="s">
        <v>3763</v>
      </c>
      <c r="E1017" s="34" t="s">
        <v>140</v>
      </c>
      <c r="F1017" s="34" t="s">
        <v>1602</v>
      </c>
      <c r="G1017" s="34" t="s">
        <v>300</v>
      </c>
      <c r="H1017" s="34" t="s">
        <v>34</v>
      </c>
      <c r="I1017" s="34" t="s">
        <v>37</v>
      </c>
      <c r="J1017" s="34" t="s">
        <v>260</v>
      </c>
      <c r="K1017" s="34" t="s">
        <v>236</v>
      </c>
      <c r="L1017" s="34" t="s">
        <v>230</v>
      </c>
      <c r="M1017" s="34" t="s">
        <v>262</v>
      </c>
      <c r="N1017" s="34" t="str">
        <f aca="false">"Sector "&amp;VALUE(MID(D1017,13,2))</f>
        <v>Sector 6</v>
      </c>
      <c r="O1017" s="34" t="str">
        <f aca="false">IF(Dashboard!$C$5="Ubicación técnica",N1017,"Sector "&amp;VALUE(RIGHT(G1017,2)))</f>
        <v>Sector 6</v>
      </c>
      <c r="P1017" s="34" t="str">
        <f aca="false">IF(MID(D1017,15,3)="SEL","Subestación eléctrica","Área de proceso")</f>
        <v>Subestación eléctrica</v>
      </c>
      <c r="Q1017" s="34" t="str">
        <f aca="false">MID(D1017,13,5)&amp;"|"&amp;MID(D1017,19,5)</f>
        <v>06SEL|S_008</v>
      </c>
      <c r="R1017" s="34" t="str">
        <f aca="false">IF(P1017="Subestación eléctrica",IFERROR(INDEX(cat_SubN,MATCH(Q1017,cat_SubK,0)),"SIN CATALOGAR"),"ÁREA DE PROCESO")</f>
        <v>SE-08</v>
      </c>
      <c r="S1017" s="34" t="str">
        <f aca="false">IF(H1017="","SIN DATO",IFERROR(INDEX(cat_MarcaN,MATCH(H1017,cat_MarcaO,0)),H1017))</f>
        <v>ABB</v>
      </c>
      <c r="T1017" s="34" t="str">
        <f aca="false">IF(I1017="","SIN DATO",IFERROR(INDEX(cat_ModN,MATCH(I1017,cat_ModO,0)),I1017))</f>
        <v>REF615A_1G</v>
      </c>
      <c r="U1017" s="34" t="str">
        <f aca="false">IF(I1017="","",IFERROR(INDEX(cat_ModG,MATCH(I1017,cat_ModO,0)),"No"))</f>
        <v>No</v>
      </c>
      <c r="V1017" s="34" t="str">
        <f aca="false">IF(J1017="","SIN DATO",IFERROR(INDEX(cat_FunN,MATCH(J1017,cat_FunO,0)),J1017))</f>
        <v>Protección y medición</v>
      </c>
      <c r="W1017" s="34" t="str">
        <f aca="false">IF(OR(S1017="SIN DATO",T1017="SIN DATO"),"No","Sí")</f>
        <v>Sí</v>
      </c>
    </row>
    <row r="1018" customFormat="false" ht="15" hidden="false" customHeight="false" outlineLevel="0" collapsed="false">
      <c r="A1018" s="34" t="s">
        <v>3764</v>
      </c>
      <c r="B1018" s="34" t="s">
        <v>3765</v>
      </c>
      <c r="C1018" s="34" t="s">
        <v>3766</v>
      </c>
      <c r="D1018" s="34" t="s">
        <v>3759</v>
      </c>
      <c r="E1018" s="34" t="s">
        <v>140</v>
      </c>
      <c r="F1018" s="34" t="s">
        <v>1602</v>
      </c>
      <c r="G1018" s="34" t="s">
        <v>300</v>
      </c>
      <c r="H1018" s="34" t="s">
        <v>34</v>
      </c>
      <c r="I1018" s="34" t="s">
        <v>37</v>
      </c>
      <c r="J1018" s="34" t="s">
        <v>260</v>
      </c>
      <c r="K1018" s="34" t="s">
        <v>236</v>
      </c>
      <c r="L1018" s="34" t="s">
        <v>230</v>
      </c>
      <c r="M1018" s="34" t="s">
        <v>262</v>
      </c>
      <c r="N1018" s="34" t="str">
        <f aca="false">"Sector "&amp;VALUE(MID(D1018,13,2))</f>
        <v>Sector 6</v>
      </c>
      <c r="O1018" s="34" t="str">
        <f aca="false">IF(Dashboard!$C$5="Ubicación técnica",N1018,"Sector "&amp;VALUE(RIGHT(G1018,2)))</f>
        <v>Sector 6</v>
      </c>
      <c r="P1018" s="34" t="str">
        <f aca="false">IF(MID(D1018,15,3)="SEL","Subestación eléctrica","Área de proceso")</f>
        <v>Subestación eléctrica</v>
      </c>
      <c r="Q1018" s="34" t="str">
        <f aca="false">MID(D1018,13,5)&amp;"|"&amp;MID(D1018,19,5)</f>
        <v>06SEL|S_008</v>
      </c>
      <c r="R1018" s="34" t="str">
        <f aca="false">IF(P1018="Subestación eléctrica",IFERROR(INDEX(cat_SubN,MATCH(Q1018,cat_SubK,0)),"SIN CATALOGAR"),"ÁREA DE PROCESO")</f>
        <v>SE-08</v>
      </c>
      <c r="S1018" s="34" t="str">
        <f aca="false">IF(H1018="","SIN DATO",IFERROR(INDEX(cat_MarcaN,MATCH(H1018,cat_MarcaO,0)),H1018))</f>
        <v>ABB</v>
      </c>
      <c r="T1018" s="34" t="str">
        <f aca="false">IF(I1018="","SIN DATO",IFERROR(INDEX(cat_ModN,MATCH(I1018,cat_ModO,0)),I1018))</f>
        <v>REF615A_1G</v>
      </c>
      <c r="U1018" s="34" t="str">
        <f aca="false">IF(I1018="","",IFERROR(INDEX(cat_ModG,MATCH(I1018,cat_ModO,0)),"No"))</f>
        <v>No</v>
      </c>
      <c r="V1018" s="34" t="str">
        <f aca="false">IF(J1018="","SIN DATO",IFERROR(INDEX(cat_FunN,MATCH(J1018,cat_FunO,0)),J1018))</f>
        <v>Protección y medición</v>
      </c>
      <c r="W1018" s="34" t="str">
        <f aca="false">IF(OR(S1018="SIN DATO",T1018="SIN DATO"),"No","Sí")</f>
        <v>Sí</v>
      </c>
    </row>
    <row r="1019" customFormat="false" ht="15" hidden="false" customHeight="false" outlineLevel="0" collapsed="false">
      <c r="A1019" s="34" t="s">
        <v>3767</v>
      </c>
      <c r="B1019" s="34" t="s">
        <v>3768</v>
      </c>
      <c r="C1019" s="34" t="s">
        <v>3769</v>
      </c>
      <c r="D1019" s="34" t="s">
        <v>3770</v>
      </c>
      <c r="E1019" s="34" t="s">
        <v>142</v>
      </c>
      <c r="F1019" s="34" t="s">
        <v>1602</v>
      </c>
      <c r="G1019" s="34" t="s">
        <v>300</v>
      </c>
      <c r="H1019" s="34" t="s">
        <v>34</v>
      </c>
      <c r="I1019" s="34" t="s">
        <v>45</v>
      </c>
      <c r="J1019" s="34" t="s">
        <v>260</v>
      </c>
      <c r="K1019" s="34" t="s">
        <v>236</v>
      </c>
      <c r="L1019" s="34" t="s">
        <v>230</v>
      </c>
      <c r="M1019" s="34" t="s">
        <v>262</v>
      </c>
      <c r="N1019" s="34" t="str">
        <f aca="false">"Sector "&amp;VALUE(MID(D1019,13,2))</f>
        <v>Sector 6</v>
      </c>
      <c r="O1019" s="34" t="str">
        <f aca="false">IF(Dashboard!$C$5="Ubicación técnica",N1019,"Sector "&amp;VALUE(RIGHT(G1019,2)))</f>
        <v>Sector 6</v>
      </c>
      <c r="P1019" s="34" t="str">
        <f aca="false">IF(MID(D1019,15,3)="SEL","Subestación eléctrica","Área de proceso")</f>
        <v>Subestación eléctrica</v>
      </c>
      <c r="Q1019" s="34" t="str">
        <f aca="false">MID(D1019,13,5)&amp;"|"&amp;MID(D1019,19,5)</f>
        <v>06SEL|S_009</v>
      </c>
      <c r="R1019" s="34" t="str">
        <f aca="false">IF(P1019="Subestación eléctrica",IFERROR(INDEX(cat_SubN,MATCH(Q1019,cat_SubK,0)),"SIN CATALOGAR"),"ÁREA DE PROCESO")</f>
        <v>SE-09</v>
      </c>
      <c r="S1019" s="34" t="str">
        <f aca="false">IF(H1019="","SIN DATO",IFERROR(INDEX(cat_MarcaN,MATCH(H1019,cat_MarcaO,0)),H1019))</f>
        <v>ABB</v>
      </c>
      <c r="T1019" s="34" t="str">
        <f aca="false">IF(I1019="","SIN DATO",IFERROR(INDEX(cat_ModN,MATCH(I1019,cat_ModO,0)),I1019))</f>
        <v>REF615_1G</v>
      </c>
      <c r="U1019" s="34" t="str">
        <f aca="false">IF(I1019="","",IFERROR(INDEX(cat_ModG,MATCH(I1019,cat_ModO,0)),"No"))</f>
        <v>No</v>
      </c>
      <c r="V1019" s="34" t="str">
        <f aca="false">IF(J1019="","SIN DATO",IFERROR(INDEX(cat_FunN,MATCH(J1019,cat_FunO,0)),J1019))</f>
        <v>Protección y medición</v>
      </c>
      <c r="W1019" s="34" t="str">
        <f aca="false">IF(OR(S1019="SIN DATO",T1019="SIN DATO"),"No","Sí")</f>
        <v>Sí</v>
      </c>
    </row>
    <row r="1020" customFormat="false" ht="15" hidden="false" customHeight="false" outlineLevel="0" collapsed="false">
      <c r="A1020" s="34" t="s">
        <v>3771</v>
      </c>
      <c r="B1020" s="34" t="s">
        <v>3772</v>
      </c>
      <c r="C1020" s="34" t="s">
        <v>3773</v>
      </c>
      <c r="D1020" s="34" t="s">
        <v>3774</v>
      </c>
      <c r="E1020" s="34" t="s">
        <v>142</v>
      </c>
      <c r="F1020" s="34" t="s">
        <v>1602</v>
      </c>
      <c r="G1020" s="34" t="s">
        <v>300</v>
      </c>
      <c r="H1020" s="34" t="s">
        <v>34</v>
      </c>
      <c r="I1020" s="34" t="s">
        <v>45</v>
      </c>
      <c r="J1020" s="34" t="s">
        <v>260</v>
      </c>
      <c r="K1020" s="34" t="s">
        <v>236</v>
      </c>
      <c r="L1020" s="34" t="s">
        <v>230</v>
      </c>
      <c r="M1020" s="34" t="s">
        <v>262</v>
      </c>
      <c r="N1020" s="34" t="str">
        <f aca="false">"Sector "&amp;VALUE(MID(D1020,13,2))</f>
        <v>Sector 6</v>
      </c>
      <c r="O1020" s="34" t="str">
        <f aca="false">IF(Dashboard!$C$5="Ubicación técnica",N1020,"Sector "&amp;VALUE(RIGHT(G1020,2)))</f>
        <v>Sector 6</v>
      </c>
      <c r="P1020" s="34" t="str">
        <f aca="false">IF(MID(D1020,15,3)="SEL","Subestación eléctrica","Área de proceso")</f>
        <v>Subestación eléctrica</v>
      </c>
      <c r="Q1020" s="34" t="str">
        <f aca="false">MID(D1020,13,5)&amp;"|"&amp;MID(D1020,19,5)</f>
        <v>06SEL|S_009</v>
      </c>
      <c r="R1020" s="34" t="str">
        <f aca="false">IF(P1020="Subestación eléctrica",IFERROR(INDEX(cat_SubN,MATCH(Q1020,cat_SubK,0)),"SIN CATALOGAR"),"ÁREA DE PROCESO")</f>
        <v>SE-09</v>
      </c>
      <c r="S1020" s="34" t="str">
        <f aca="false">IF(H1020="","SIN DATO",IFERROR(INDEX(cat_MarcaN,MATCH(H1020,cat_MarcaO,0)),H1020))</f>
        <v>ABB</v>
      </c>
      <c r="T1020" s="34" t="str">
        <f aca="false">IF(I1020="","SIN DATO",IFERROR(INDEX(cat_ModN,MATCH(I1020,cat_ModO,0)),I1020))</f>
        <v>REF615_1G</v>
      </c>
      <c r="U1020" s="34" t="str">
        <f aca="false">IF(I1020="","",IFERROR(INDEX(cat_ModG,MATCH(I1020,cat_ModO,0)),"No"))</f>
        <v>No</v>
      </c>
      <c r="V1020" s="34" t="str">
        <f aca="false">IF(J1020="","SIN DATO",IFERROR(INDEX(cat_FunN,MATCH(J1020,cat_FunO,0)),J1020))</f>
        <v>Protección y medición</v>
      </c>
      <c r="W1020" s="34" t="str">
        <f aca="false">IF(OR(S1020="SIN DATO",T1020="SIN DATO"),"No","Sí")</f>
        <v>Sí</v>
      </c>
    </row>
    <row r="1021" customFormat="false" ht="15" hidden="false" customHeight="false" outlineLevel="0" collapsed="false">
      <c r="A1021" s="34" t="s">
        <v>3775</v>
      </c>
      <c r="B1021" s="34" t="s">
        <v>3776</v>
      </c>
      <c r="C1021" s="34" t="s">
        <v>3777</v>
      </c>
      <c r="D1021" s="34" t="s">
        <v>3770</v>
      </c>
      <c r="E1021" s="34" t="s">
        <v>142</v>
      </c>
      <c r="F1021" s="34" t="s">
        <v>1602</v>
      </c>
      <c r="G1021" s="34" t="s">
        <v>300</v>
      </c>
      <c r="H1021" s="34" t="s">
        <v>34</v>
      </c>
      <c r="I1021" s="34" t="s">
        <v>45</v>
      </c>
      <c r="J1021" s="34" t="s">
        <v>260</v>
      </c>
      <c r="K1021" s="34" t="s">
        <v>236</v>
      </c>
      <c r="L1021" s="34" t="s">
        <v>230</v>
      </c>
      <c r="M1021" s="34" t="s">
        <v>262</v>
      </c>
      <c r="N1021" s="34" t="str">
        <f aca="false">"Sector "&amp;VALUE(MID(D1021,13,2))</f>
        <v>Sector 6</v>
      </c>
      <c r="O1021" s="34" t="str">
        <f aca="false">IF(Dashboard!$C$5="Ubicación técnica",N1021,"Sector "&amp;VALUE(RIGHT(G1021,2)))</f>
        <v>Sector 6</v>
      </c>
      <c r="P1021" s="34" t="str">
        <f aca="false">IF(MID(D1021,15,3)="SEL","Subestación eléctrica","Área de proceso")</f>
        <v>Subestación eléctrica</v>
      </c>
      <c r="Q1021" s="34" t="str">
        <f aca="false">MID(D1021,13,5)&amp;"|"&amp;MID(D1021,19,5)</f>
        <v>06SEL|S_009</v>
      </c>
      <c r="R1021" s="34" t="str">
        <f aca="false">IF(P1021="Subestación eléctrica",IFERROR(INDEX(cat_SubN,MATCH(Q1021,cat_SubK,0)),"SIN CATALOGAR"),"ÁREA DE PROCESO")</f>
        <v>SE-09</v>
      </c>
      <c r="S1021" s="34" t="str">
        <f aca="false">IF(H1021="","SIN DATO",IFERROR(INDEX(cat_MarcaN,MATCH(H1021,cat_MarcaO,0)),H1021))</f>
        <v>ABB</v>
      </c>
      <c r="T1021" s="34" t="str">
        <f aca="false">IF(I1021="","SIN DATO",IFERROR(INDEX(cat_ModN,MATCH(I1021,cat_ModO,0)),I1021))</f>
        <v>REF615_1G</v>
      </c>
      <c r="U1021" s="34" t="str">
        <f aca="false">IF(I1021="","",IFERROR(INDEX(cat_ModG,MATCH(I1021,cat_ModO,0)),"No"))</f>
        <v>No</v>
      </c>
      <c r="V1021" s="34" t="str">
        <f aca="false">IF(J1021="","SIN DATO",IFERROR(INDEX(cat_FunN,MATCH(J1021,cat_FunO,0)),J1021))</f>
        <v>Protección y medición</v>
      </c>
      <c r="W1021" s="34" t="str">
        <f aca="false">IF(OR(S1021="SIN DATO",T1021="SIN DATO"),"No","Sí")</f>
        <v>Sí</v>
      </c>
    </row>
    <row r="1022" customFormat="false" ht="15" hidden="false" customHeight="false" outlineLevel="0" collapsed="false">
      <c r="A1022" s="34" t="s">
        <v>3778</v>
      </c>
      <c r="B1022" s="34" t="s">
        <v>3779</v>
      </c>
      <c r="C1022" s="34" t="s">
        <v>3780</v>
      </c>
      <c r="D1022" s="34" t="s">
        <v>3781</v>
      </c>
      <c r="E1022" s="34" t="s">
        <v>142</v>
      </c>
      <c r="F1022" s="34" t="s">
        <v>1602</v>
      </c>
      <c r="G1022" s="34" t="s">
        <v>300</v>
      </c>
      <c r="H1022" s="34" t="s">
        <v>34</v>
      </c>
      <c r="I1022" s="34" t="s">
        <v>45</v>
      </c>
      <c r="J1022" s="34" t="s">
        <v>260</v>
      </c>
      <c r="K1022" s="34" t="s">
        <v>236</v>
      </c>
      <c r="L1022" s="34" t="s">
        <v>230</v>
      </c>
      <c r="M1022" s="34" t="s">
        <v>262</v>
      </c>
      <c r="N1022" s="34" t="str">
        <f aca="false">"Sector "&amp;VALUE(MID(D1022,13,2))</f>
        <v>Sector 6</v>
      </c>
      <c r="O1022" s="34" t="str">
        <f aca="false">IF(Dashboard!$C$5="Ubicación técnica",N1022,"Sector "&amp;VALUE(RIGHT(G1022,2)))</f>
        <v>Sector 6</v>
      </c>
      <c r="P1022" s="34" t="str">
        <f aca="false">IF(MID(D1022,15,3)="SEL","Subestación eléctrica","Área de proceso")</f>
        <v>Subestación eléctrica</v>
      </c>
      <c r="Q1022" s="34" t="str">
        <f aca="false">MID(D1022,13,5)&amp;"|"&amp;MID(D1022,19,5)</f>
        <v>06SEL|S_009</v>
      </c>
      <c r="R1022" s="34" t="str">
        <f aca="false">IF(P1022="Subestación eléctrica",IFERROR(INDEX(cat_SubN,MATCH(Q1022,cat_SubK,0)),"SIN CATALOGAR"),"ÁREA DE PROCESO")</f>
        <v>SE-09</v>
      </c>
      <c r="S1022" s="34" t="str">
        <f aca="false">IF(H1022="","SIN DATO",IFERROR(INDEX(cat_MarcaN,MATCH(H1022,cat_MarcaO,0)),H1022))</f>
        <v>ABB</v>
      </c>
      <c r="T1022" s="34" t="str">
        <f aca="false">IF(I1022="","SIN DATO",IFERROR(INDEX(cat_ModN,MATCH(I1022,cat_ModO,0)),I1022))</f>
        <v>REF615_1G</v>
      </c>
      <c r="U1022" s="34" t="str">
        <f aca="false">IF(I1022="","",IFERROR(INDEX(cat_ModG,MATCH(I1022,cat_ModO,0)),"No"))</f>
        <v>No</v>
      </c>
      <c r="V1022" s="34" t="str">
        <f aca="false">IF(J1022="","SIN DATO",IFERROR(INDEX(cat_FunN,MATCH(J1022,cat_FunO,0)),J1022))</f>
        <v>Protección y medición</v>
      </c>
      <c r="W1022" s="34" t="str">
        <f aca="false">IF(OR(S1022="SIN DATO",T1022="SIN DATO"),"No","Sí")</f>
        <v>Sí</v>
      </c>
    </row>
    <row r="1023" customFormat="false" ht="15" hidden="false" customHeight="false" outlineLevel="0" collapsed="false">
      <c r="A1023" s="34" t="s">
        <v>3782</v>
      </c>
      <c r="B1023" s="34" t="s">
        <v>3783</v>
      </c>
      <c r="C1023" s="34" t="s">
        <v>3784</v>
      </c>
      <c r="D1023" s="34" t="s">
        <v>3785</v>
      </c>
      <c r="E1023" s="34" t="s">
        <v>142</v>
      </c>
      <c r="F1023" s="34" t="s">
        <v>1602</v>
      </c>
      <c r="G1023" s="34" t="s">
        <v>300</v>
      </c>
      <c r="H1023" s="34" t="s">
        <v>34</v>
      </c>
      <c r="I1023" s="34" t="s">
        <v>45</v>
      </c>
      <c r="J1023" s="34" t="s">
        <v>260</v>
      </c>
      <c r="K1023" s="34" t="s">
        <v>236</v>
      </c>
      <c r="L1023" s="34" t="s">
        <v>230</v>
      </c>
      <c r="M1023" s="34" t="s">
        <v>262</v>
      </c>
      <c r="N1023" s="34" t="str">
        <f aca="false">"Sector "&amp;VALUE(MID(D1023,13,2))</f>
        <v>Sector 6</v>
      </c>
      <c r="O1023" s="34" t="str">
        <f aca="false">IF(Dashboard!$C$5="Ubicación técnica",N1023,"Sector "&amp;VALUE(RIGHT(G1023,2)))</f>
        <v>Sector 6</v>
      </c>
      <c r="P1023" s="34" t="str">
        <f aca="false">IF(MID(D1023,15,3)="SEL","Subestación eléctrica","Área de proceso")</f>
        <v>Subestación eléctrica</v>
      </c>
      <c r="Q1023" s="34" t="str">
        <f aca="false">MID(D1023,13,5)&amp;"|"&amp;MID(D1023,19,5)</f>
        <v>06SEL|S_009</v>
      </c>
      <c r="R1023" s="34" t="str">
        <f aca="false">IF(P1023="Subestación eléctrica",IFERROR(INDEX(cat_SubN,MATCH(Q1023,cat_SubK,0)),"SIN CATALOGAR"),"ÁREA DE PROCESO")</f>
        <v>SE-09</v>
      </c>
      <c r="S1023" s="34" t="str">
        <f aca="false">IF(H1023="","SIN DATO",IFERROR(INDEX(cat_MarcaN,MATCH(H1023,cat_MarcaO,0)),H1023))</f>
        <v>ABB</v>
      </c>
      <c r="T1023" s="34" t="str">
        <f aca="false">IF(I1023="","SIN DATO",IFERROR(INDEX(cat_ModN,MATCH(I1023,cat_ModO,0)),I1023))</f>
        <v>REF615_1G</v>
      </c>
      <c r="U1023" s="34" t="str">
        <f aca="false">IF(I1023="","",IFERROR(INDEX(cat_ModG,MATCH(I1023,cat_ModO,0)),"No"))</f>
        <v>No</v>
      </c>
      <c r="V1023" s="34" t="str">
        <f aca="false">IF(J1023="","SIN DATO",IFERROR(INDEX(cat_FunN,MATCH(J1023,cat_FunO,0)),J1023))</f>
        <v>Protección y medición</v>
      </c>
      <c r="W1023" s="34" t="str">
        <f aca="false">IF(OR(S1023="SIN DATO",T1023="SIN DATO"),"No","Sí")</f>
        <v>Sí</v>
      </c>
    </row>
    <row r="1024" customFormat="false" ht="15" hidden="false" customHeight="false" outlineLevel="0" collapsed="false">
      <c r="A1024" s="34" t="s">
        <v>3786</v>
      </c>
      <c r="B1024" s="34" t="s">
        <v>3787</v>
      </c>
      <c r="C1024" s="34" t="s">
        <v>3788</v>
      </c>
      <c r="D1024" s="34" t="s">
        <v>3781</v>
      </c>
      <c r="E1024" s="34" t="s">
        <v>142</v>
      </c>
      <c r="F1024" s="34" t="s">
        <v>1602</v>
      </c>
      <c r="G1024" s="34" t="s">
        <v>300</v>
      </c>
      <c r="H1024" s="34" t="s">
        <v>34</v>
      </c>
      <c r="I1024" s="34" t="s">
        <v>45</v>
      </c>
      <c r="J1024" s="34" t="s">
        <v>260</v>
      </c>
      <c r="K1024" s="34" t="s">
        <v>236</v>
      </c>
      <c r="L1024" s="34" t="s">
        <v>230</v>
      </c>
      <c r="M1024" s="34" t="s">
        <v>262</v>
      </c>
      <c r="N1024" s="34" t="str">
        <f aca="false">"Sector "&amp;VALUE(MID(D1024,13,2))</f>
        <v>Sector 6</v>
      </c>
      <c r="O1024" s="34" t="str">
        <f aca="false">IF(Dashboard!$C$5="Ubicación técnica",N1024,"Sector "&amp;VALUE(RIGHT(G1024,2)))</f>
        <v>Sector 6</v>
      </c>
      <c r="P1024" s="34" t="str">
        <f aca="false">IF(MID(D1024,15,3)="SEL","Subestación eléctrica","Área de proceso")</f>
        <v>Subestación eléctrica</v>
      </c>
      <c r="Q1024" s="34" t="str">
        <f aca="false">MID(D1024,13,5)&amp;"|"&amp;MID(D1024,19,5)</f>
        <v>06SEL|S_009</v>
      </c>
      <c r="R1024" s="34" t="str">
        <f aca="false">IF(P1024="Subestación eléctrica",IFERROR(INDEX(cat_SubN,MATCH(Q1024,cat_SubK,0)),"SIN CATALOGAR"),"ÁREA DE PROCESO")</f>
        <v>SE-09</v>
      </c>
      <c r="S1024" s="34" t="str">
        <f aca="false">IF(H1024="","SIN DATO",IFERROR(INDEX(cat_MarcaN,MATCH(H1024,cat_MarcaO,0)),H1024))</f>
        <v>ABB</v>
      </c>
      <c r="T1024" s="34" t="str">
        <f aca="false">IF(I1024="","SIN DATO",IFERROR(INDEX(cat_ModN,MATCH(I1024,cat_ModO,0)),I1024))</f>
        <v>REF615_1G</v>
      </c>
      <c r="U1024" s="34" t="str">
        <f aca="false">IF(I1024="","",IFERROR(INDEX(cat_ModG,MATCH(I1024,cat_ModO,0)),"No"))</f>
        <v>No</v>
      </c>
      <c r="V1024" s="34" t="str">
        <f aca="false">IF(J1024="","SIN DATO",IFERROR(INDEX(cat_FunN,MATCH(J1024,cat_FunO,0)),J1024))</f>
        <v>Protección y medición</v>
      </c>
      <c r="W1024" s="34" t="str">
        <f aca="false">IF(OR(S1024="SIN DATO",T1024="SIN DATO"),"No","Sí")</f>
        <v>Sí</v>
      </c>
    </row>
    <row r="1025" customFormat="false" ht="15" hidden="false" customHeight="false" outlineLevel="0" collapsed="false">
      <c r="A1025" s="34" t="s">
        <v>3789</v>
      </c>
      <c r="B1025" s="34" t="s">
        <v>3790</v>
      </c>
      <c r="C1025" s="34" t="s">
        <v>3791</v>
      </c>
      <c r="D1025" s="34" t="s">
        <v>3661</v>
      </c>
      <c r="E1025" s="34" t="s">
        <v>142</v>
      </c>
      <c r="F1025" s="34" t="s">
        <v>1602</v>
      </c>
      <c r="G1025" s="34" t="s">
        <v>300</v>
      </c>
      <c r="H1025" s="34" t="s">
        <v>34</v>
      </c>
      <c r="I1025" s="34" t="s">
        <v>45</v>
      </c>
      <c r="J1025" s="34" t="s">
        <v>260</v>
      </c>
      <c r="K1025" s="34" t="s">
        <v>236</v>
      </c>
      <c r="L1025" s="34" t="s">
        <v>230</v>
      </c>
      <c r="M1025" s="34" t="s">
        <v>262</v>
      </c>
      <c r="N1025" s="34" t="str">
        <f aca="false">"Sector "&amp;VALUE(MID(D1025,13,2))</f>
        <v>Sector 6</v>
      </c>
      <c r="O1025" s="34" t="str">
        <f aca="false">IF(Dashboard!$C$5="Ubicación técnica",N1025,"Sector "&amp;VALUE(RIGHT(G1025,2)))</f>
        <v>Sector 6</v>
      </c>
      <c r="P1025" s="34" t="str">
        <f aca="false">IF(MID(D1025,15,3)="SEL","Subestación eléctrica","Área de proceso")</f>
        <v>Subestación eléctrica</v>
      </c>
      <c r="Q1025" s="34" t="str">
        <f aca="false">MID(D1025,13,5)&amp;"|"&amp;MID(D1025,19,5)</f>
        <v>06SEL|S_009</v>
      </c>
      <c r="R1025" s="34" t="str">
        <f aca="false">IF(P1025="Subestación eléctrica",IFERROR(INDEX(cat_SubN,MATCH(Q1025,cat_SubK,0)),"SIN CATALOGAR"),"ÁREA DE PROCESO")</f>
        <v>SE-09</v>
      </c>
      <c r="S1025" s="34" t="str">
        <f aca="false">IF(H1025="","SIN DATO",IFERROR(INDEX(cat_MarcaN,MATCH(H1025,cat_MarcaO,0)),H1025))</f>
        <v>ABB</v>
      </c>
      <c r="T1025" s="34" t="str">
        <f aca="false">IF(I1025="","SIN DATO",IFERROR(INDEX(cat_ModN,MATCH(I1025,cat_ModO,0)),I1025))</f>
        <v>REF615_1G</v>
      </c>
      <c r="U1025" s="34" t="str">
        <f aca="false">IF(I1025="","",IFERROR(INDEX(cat_ModG,MATCH(I1025,cat_ModO,0)),"No"))</f>
        <v>No</v>
      </c>
      <c r="V1025" s="34" t="str">
        <f aca="false">IF(J1025="","SIN DATO",IFERROR(INDEX(cat_FunN,MATCH(J1025,cat_FunO,0)),J1025))</f>
        <v>Protección y medición</v>
      </c>
      <c r="W1025" s="34" t="str">
        <f aca="false">IF(OR(S1025="SIN DATO",T1025="SIN DATO"),"No","Sí")</f>
        <v>Sí</v>
      </c>
    </row>
    <row r="1026" customFormat="false" ht="15" hidden="false" customHeight="false" outlineLevel="0" collapsed="false">
      <c r="A1026" s="34" t="s">
        <v>3792</v>
      </c>
      <c r="B1026" s="34" t="s">
        <v>3793</v>
      </c>
      <c r="C1026" s="34" t="s">
        <v>3794</v>
      </c>
      <c r="D1026" s="34" t="s">
        <v>3795</v>
      </c>
      <c r="E1026" s="34" t="s">
        <v>142</v>
      </c>
      <c r="F1026" s="34" t="s">
        <v>1602</v>
      </c>
      <c r="G1026" s="34" t="s">
        <v>300</v>
      </c>
      <c r="H1026" s="34" t="s">
        <v>34</v>
      </c>
      <c r="I1026" s="34" t="s">
        <v>45</v>
      </c>
      <c r="J1026" s="34" t="s">
        <v>260</v>
      </c>
      <c r="K1026" s="34" t="s">
        <v>236</v>
      </c>
      <c r="L1026" s="34" t="s">
        <v>230</v>
      </c>
      <c r="M1026" s="34" t="s">
        <v>262</v>
      </c>
      <c r="N1026" s="34" t="str">
        <f aca="false">"Sector "&amp;VALUE(MID(D1026,13,2))</f>
        <v>Sector 6</v>
      </c>
      <c r="O1026" s="34" t="str">
        <f aca="false">IF(Dashboard!$C$5="Ubicación técnica",N1026,"Sector "&amp;VALUE(RIGHT(G1026,2)))</f>
        <v>Sector 6</v>
      </c>
      <c r="P1026" s="34" t="str">
        <f aca="false">IF(MID(D1026,15,3)="SEL","Subestación eléctrica","Área de proceso")</f>
        <v>Subestación eléctrica</v>
      </c>
      <c r="Q1026" s="34" t="str">
        <f aca="false">MID(D1026,13,5)&amp;"|"&amp;MID(D1026,19,5)</f>
        <v>06SEL|S_009</v>
      </c>
      <c r="R1026" s="34" t="str">
        <f aca="false">IF(P1026="Subestación eléctrica",IFERROR(INDEX(cat_SubN,MATCH(Q1026,cat_SubK,0)),"SIN CATALOGAR"),"ÁREA DE PROCESO")</f>
        <v>SE-09</v>
      </c>
      <c r="S1026" s="34" t="str">
        <f aca="false">IF(H1026="","SIN DATO",IFERROR(INDEX(cat_MarcaN,MATCH(H1026,cat_MarcaO,0)),H1026))</f>
        <v>ABB</v>
      </c>
      <c r="T1026" s="34" t="str">
        <f aca="false">IF(I1026="","SIN DATO",IFERROR(INDEX(cat_ModN,MATCH(I1026,cat_ModO,0)),I1026))</f>
        <v>REF615_1G</v>
      </c>
      <c r="U1026" s="34" t="str">
        <f aca="false">IF(I1026="","",IFERROR(INDEX(cat_ModG,MATCH(I1026,cat_ModO,0)),"No"))</f>
        <v>No</v>
      </c>
      <c r="V1026" s="34" t="str">
        <f aca="false">IF(J1026="","SIN DATO",IFERROR(INDEX(cat_FunN,MATCH(J1026,cat_FunO,0)),J1026))</f>
        <v>Protección y medición</v>
      </c>
      <c r="W1026" s="34" t="str">
        <f aca="false">IF(OR(S1026="SIN DATO",T1026="SIN DATO"),"No","Sí")</f>
        <v>Sí</v>
      </c>
    </row>
    <row r="1027" customFormat="false" ht="15" hidden="false" customHeight="false" outlineLevel="0" collapsed="false">
      <c r="A1027" s="34" t="s">
        <v>3796</v>
      </c>
      <c r="B1027" s="34" t="s">
        <v>3797</v>
      </c>
      <c r="C1027" s="34" t="s">
        <v>3798</v>
      </c>
      <c r="D1027" s="34" t="s">
        <v>3799</v>
      </c>
      <c r="E1027" s="34" t="s">
        <v>138</v>
      </c>
      <c r="F1027" s="34" t="s">
        <v>1602</v>
      </c>
      <c r="G1027" s="34" t="s">
        <v>227</v>
      </c>
      <c r="H1027" s="34"/>
      <c r="I1027" s="34"/>
      <c r="J1027" s="34"/>
      <c r="K1027" s="34"/>
      <c r="L1027" s="34"/>
      <c r="M1027" s="34"/>
      <c r="N1027" s="34" t="str">
        <f aca="false">"Sector "&amp;VALUE(MID(D1027,13,2))</f>
        <v>Sector 6</v>
      </c>
      <c r="O1027" s="34" t="str">
        <f aca="false">IF(Dashboard!$C$5="Ubicación técnica",N1027,"Sector "&amp;VALUE(RIGHT(G1027,2)))</f>
        <v>Sector 6</v>
      </c>
      <c r="P1027" s="34" t="str">
        <f aca="false">IF(MID(D1027,15,3)="SEL","Subestación eléctrica","Área de proceso")</f>
        <v>Subestación eléctrica</v>
      </c>
      <c r="Q1027" s="34" t="str">
        <f aca="false">MID(D1027,13,5)&amp;"|"&amp;MID(D1027,19,5)</f>
        <v>06SEL|S_002</v>
      </c>
      <c r="R1027" s="34" t="str">
        <f aca="false">IF(P1027="Subestación eléctrica",IFERROR(INDEX(cat_SubN,MATCH(Q1027,cat_SubK,0)),"SIN CATALOGAR"),"ÁREA DE PROCESO")</f>
        <v>SE-02</v>
      </c>
      <c r="S1027" s="34" t="str">
        <f aca="false">IF(H1027="","SIN DATO",IFERROR(INDEX(cat_MarcaN,MATCH(H1027,cat_MarcaO,0)),H1027))</f>
        <v>SIN DATO</v>
      </c>
      <c r="T1027" s="34" t="str">
        <f aca="false">IF(I1027="","SIN DATO",IFERROR(INDEX(cat_ModN,MATCH(I1027,cat_ModO,0)),I1027))</f>
        <v>SIN DATO</v>
      </c>
      <c r="U1027" s="34" t="str">
        <f aca="false">IF(I1027="","",IFERROR(INDEX(cat_ModG,MATCH(I1027,cat_ModO,0)),"No"))</f>
        <v/>
      </c>
      <c r="V1027" s="34" t="str">
        <f aca="false">IF(J1027="","SIN DATO",IFERROR(INDEX(cat_FunN,MATCH(J1027,cat_FunO,0)),J1027))</f>
        <v>SIN DATO</v>
      </c>
      <c r="W1027" s="34" t="str">
        <f aca="false">IF(OR(S1027="SIN DATO",T1027="SIN DATO"),"No","Sí")</f>
        <v>No</v>
      </c>
    </row>
    <row r="1028" customFormat="false" ht="15" hidden="false" customHeight="false" outlineLevel="0" collapsed="false">
      <c r="A1028" s="34" t="s">
        <v>3800</v>
      </c>
      <c r="B1028" s="34" t="s">
        <v>3801</v>
      </c>
      <c r="C1028" s="34" t="s">
        <v>3802</v>
      </c>
      <c r="D1028" s="34" t="s">
        <v>3803</v>
      </c>
      <c r="E1028" s="34" t="s">
        <v>156</v>
      </c>
      <c r="F1028" s="34" t="s">
        <v>1602</v>
      </c>
      <c r="G1028" s="34" t="s">
        <v>343</v>
      </c>
      <c r="H1028" s="34" t="s">
        <v>73</v>
      </c>
      <c r="I1028" s="34" t="s">
        <v>75</v>
      </c>
      <c r="J1028" s="34" t="s">
        <v>228</v>
      </c>
      <c r="K1028" s="34" t="s">
        <v>229</v>
      </c>
      <c r="L1028" s="34" t="s">
        <v>230</v>
      </c>
      <c r="M1028" s="34" t="s">
        <v>344</v>
      </c>
      <c r="N1028" s="34" t="str">
        <f aca="false">"Sector "&amp;VALUE(MID(D1028,13,2))</f>
        <v>Sector 7</v>
      </c>
      <c r="O1028" s="34" t="str">
        <f aca="false">IF(Dashboard!$C$5="Ubicación técnica",N1028,"Sector "&amp;VALUE(RIGHT(G1028,2)))</f>
        <v>Sector 7</v>
      </c>
      <c r="P1028" s="34" t="str">
        <f aca="false">IF(MID(D1028,15,3)="SEL","Subestación eléctrica","Área de proceso")</f>
        <v>Subestación eléctrica</v>
      </c>
      <c r="Q1028" s="34" t="str">
        <f aca="false">MID(D1028,13,5)&amp;"|"&amp;MID(D1028,19,5)</f>
        <v>07SEL|S_020</v>
      </c>
      <c r="R1028" s="34" t="str">
        <f aca="false">IF(P1028="Subestación eléctrica",IFERROR(INDEX(cat_SubN,MATCH(Q1028,cat_SubK,0)),"SIN CATALOGAR"),"ÁREA DE PROCESO")</f>
        <v>SE-20</v>
      </c>
      <c r="S1028" s="34" t="str">
        <f aca="false">IF(H1028="","SIN DATO",IFERROR(INDEX(cat_MarcaN,MATCH(H1028,cat_MarcaO,0)),H1028))</f>
        <v>SIEMENS</v>
      </c>
      <c r="T1028" s="34" t="str">
        <f aca="false">IF(I1028="","SIN DATO",IFERROR(INDEX(cat_ModN,MATCH(I1028,cat_ModO,0)),I1028))</f>
        <v>REYROLLE</v>
      </c>
      <c r="U1028" s="34" t="str">
        <f aca="false">IF(I1028="","",IFERROR(INDEX(cat_ModG,MATCH(I1028,cat_ModO,0)),"No"))</f>
        <v>Sí</v>
      </c>
      <c r="V1028" s="34" t="str">
        <f aca="false">IF(J1028="","SIN DATO",IFERROR(INDEX(cat_FunN,MATCH(J1028,cat_FunO,0)),J1028))</f>
        <v>Protección y medición</v>
      </c>
      <c r="W1028" s="34" t="str">
        <f aca="false">IF(OR(S1028="SIN DATO",T1028="SIN DATO"),"No","Sí")</f>
        <v>Sí</v>
      </c>
    </row>
    <row r="1029" customFormat="false" ht="15" hidden="false" customHeight="false" outlineLevel="0" collapsed="false">
      <c r="A1029" s="34" t="s">
        <v>3804</v>
      </c>
      <c r="B1029" s="34" t="s">
        <v>3805</v>
      </c>
      <c r="C1029" s="34" t="s">
        <v>3806</v>
      </c>
      <c r="D1029" s="34" t="s">
        <v>3807</v>
      </c>
      <c r="E1029" s="34" t="s">
        <v>156</v>
      </c>
      <c r="F1029" s="34" t="s">
        <v>1602</v>
      </c>
      <c r="G1029" s="34" t="s">
        <v>343</v>
      </c>
      <c r="H1029" s="34" t="s">
        <v>73</v>
      </c>
      <c r="I1029" s="34" t="s">
        <v>75</v>
      </c>
      <c r="J1029" s="34" t="s">
        <v>228</v>
      </c>
      <c r="K1029" s="34" t="s">
        <v>229</v>
      </c>
      <c r="L1029" s="34" t="s">
        <v>230</v>
      </c>
      <c r="M1029" s="34" t="s">
        <v>344</v>
      </c>
      <c r="N1029" s="34" t="str">
        <f aca="false">"Sector "&amp;VALUE(MID(D1029,13,2))</f>
        <v>Sector 7</v>
      </c>
      <c r="O1029" s="34" t="str">
        <f aca="false">IF(Dashboard!$C$5="Ubicación técnica",N1029,"Sector "&amp;VALUE(RIGHT(G1029,2)))</f>
        <v>Sector 7</v>
      </c>
      <c r="P1029" s="34" t="str">
        <f aca="false">IF(MID(D1029,15,3)="SEL","Subestación eléctrica","Área de proceso")</f>
        <v>Subestación eléctrica</v>
      </c>
      <c r="Q1029" s="34" t="str">
        <f aca="false">MID(D1029,13,5)&amp;"|"&amp;MID(D1029,19,5)</f>
        <v>07SEL|S_020</v>
      </c>
      <c r="R1029" s="34" t="str">
        <f aca="false">IF(P1029="Subestación eléctrica",IFERROR(INDEX(cat_SubN,MATCH(Q1029,cat_SubK,0)),"SIN CATALOGAR"),"ÁREA DE PROCESO")</f>
        <v>SE-20</v>
      </c>
      <c r="S1029" s="34" t="str">
        <f aca="false">IF(H1029="","SIN DATO",IFERROR(INDEX(cat_MarcaN,MATCH(H1029,cat_MarcaO,0)),H1029))</f>
        <v>SIEMENS</v>
      </c>
      <c r="T1029" s="34" t="str">
        <f aca="false">IF(I1029="","SIN DATO",IFERROR(INDEX(cat_ModN,MATCH(I1029,cat_ModO,0)),I1029))</f>
        <v>REYROLLE</v>
      </c>
      <c r="U1029" s="34" t="str">
        <f aca="false">IF(I1029="","",IFERROR(INDEX(cat_ModG,MATCH(I1029,cat_ModO,0)),"No"))</f>
        <v>Sí</v>
      </c>
      <c r="V1029" s="34" t="str">
        <f aca="false">IF(J1029="","SIN DATO",IFERROR(INDEX(cat_FunN,MATCH(J1029,cat_FunO,0)),J1029))</f>
        <v>Protección y medición</v>
      </c>
      <c r="W1029" s="34" t="str">
        <f aca="false">IF(OR(S1029="SIN DATO",T1029="SIN DATO"),"No","Sí")</f>
        <v>Sí</v>
      </c>
    </row>
    <row r="1030" customFormat="false" ht="15" hidden="false" customHeight="false" outlineLevel="0" collapsed="false">
      <c r="A1030" s="34" t="s">
        <v>3808</v>
      </c>
      <c r="B1030" s="34" t="s">
        <v>3809</v>
      </c>
      <c r="C1030" s="34" t="s">
        <v>3810</v>
      </c>
      <c r="D1030" s="34" t="s">
        <v>3811</v>
      </c>
      <c r="E1030" s="34" t="s">
        <v>156</v>
      </c>
      <c r="F1030" s="34" t="s">
        <v>1602</v>
      </c>
      <c r="G1030" s="34" t="s">
        <v>343</v>
      </c>
      <c r="H1030" s="34" t="s">
        <v>73</v>
      </c>
      <c r="I1030" s="34" t="s">
        <v>75</v>
      </c>
      <c r="J1030" s="34" t="s">
        <v>228</v>
      </c>
      <c r="K1030" s="34" t="s">
        <v>229</v>
      </c>
      <c r="L1030" s="34" t="s">
        <v>230</v>
      </c>
      <c r="M1030" s="34" t="s">
        <v>344</v>
      </c>
      <c r="N1030" s="34" t="str">
        <f aca="false">"Sector "&amp;VALUE(MID(D1030,13,2))</f>
        <v>Sector 7</v>
      </c>
      <c r="O1030" s="34" t="str">
        <f aca="false">IF(Dashboard!$C$5="Ubicación técnica",N1030,"Sector "&amp;VALUE(RIGHT(G1030,2)))</f>
        <v>Sector 7</v>
      </c>
      <c r="P1030" s="34" t="str">
        <f aca="false">IF(MID(D1030,15,3)="SEL","Subestación eléctrica","Área de proceso")</f>
        <v>Subestación eléctrica</v>
      </c>
      <c r="Q1030" s="34" t="str">
        <f aca="false">MID(D1030,13,5)&amp;"|"&amp;MID(D1030,19,5)</f>
        <v>07SEL|S_020</v>
      </c>
      <c r="R1030" s="34" t="str">
        <f aca="false">IF(P1030="Subestación eléctrica",IFERROR(INDEX(cat_SubN,MATCH(Q1030,cat_SubK,0)),"SIN CATALOGAR"),"ÁREA DE PROCESO")</f>
        <v>SE-20</v>
      </c>
      <c r="S1030" s="34" t="str">
        <f aca="false">IF(H1030="","SIN DATO",IFERROR(INDEX(cat_MarcaN,MATCH(H1030,cat_MarcaO,0)),H1030))</f>
        <v>SIEMENS</v>
      </c>
      <c r="T1030" s="34" t="str">
        <f aca="false">IF(I1030="","SIN DATO",IFERROR(INDEX(cat_ModN,MATCH(I1030,cat_ModO,0)),I1030))</f>
        <v>REYROLLE</v>
      </c>
      <c r="U1030" s="34" t="str">
        <f aca="false">IF(I1030="","",IFERROR(INDEX(cat_ModG,MATCH(I1030,cat_ModO,0)),"No"))</f>
        <v>Sí</v>
      </c>
      <c r="V1030" s="34" t="str">
        <f aca="false">IF(J1030="","SIN DATO",IFERROR(INDEX(cat_FunN,MATCH(J1030,cat_FunO,0)),J1030))</f>
        <v>Protección y medición</v>
      </c>
      <c r="W1030" s="34" t="str">
        <f aca="false">IF(OR(S1030="SIN DATO",T1030="SIN DATO"),"No","Sí")</f>
        <v>Sí</v>
      </c>
    </row>
    <row r="1031" customFormat="false" ht="15" hidden="false" customHeight="false" outlineLevel="0" collapsed="false">
      <c r="A1031" s="34" t="s">
        <v>3812</v>
      </c>
      <c r="B1031" s="34" t="s">
        <v>3813</v>
      </c>
      <c r="C1031" s="34" t="s">
        <v>3814</v>
      </c>
      <c r="D1031" s="34" t="s">
        <v>3815</v>
      </c>
      <c r="E1031" s="34" t="s">
        <v>156</v>
      </c>
      <c r="F1031" s="34" t="s">
        <v>1602</v>
      </c>
      <c r="G1031" s="34" t="s">
        <v>343</v>
      </c>
      <c r="H1031" s="34" t="s">
        <v>73</v>
      </c>
      <c r="I1031" s="34" t="s">
        <v>75</v>
      </c>
      <c r="J1031" s="34" t="s">
        <v>228</v>
      </c>
      <c r="K1031" s="34" t="s">
        <v>229</v>
      </c>
      <c r="L1031" s="34" t="s">
        <v>230</v>
      </c>
      <c r="M1031" s="34" t="s">
        <v>344</v>
      </c>
      <c r="N1031" s="34" t="str">
        <f aca="false">"Sector "&amp;VALUE(MID(D1031,13,2))</f>
        <v>Sector 7</v>
      </c>
      <c r="O1031" s="34" t="str">
        <f aca="false">IF(Dashboard!$C$5="Ubicación técnica",N1031,"Sector "&amp;VALUE(RIGHT(G1031,2)))</f>
        <v>Sector 7</v>
      </c>
      <c r="P1031" s="34" t="str">
        <f aca="false">IF(MID(D1031,15,3)="SEL","Subestación eléctrica","Área de proceso")</f>
        <v>Subestación eléctrica</v>
      </c>
      <c r="Q1031" s="34" t="str">
        <f aca="false">MID(D1031,13,5)&amp;"|"&amp;MID(D1031,19,5)</f>
        <v>07SEL|S_020</v>
      </c>
      <c r="R1031" s="34" t="str">
        <f aca="false">IF(P1031="Subestación eléctrica",IFERROR(INDEX(cat_SubN,MATCH(Q1031,cat_SubK,0)),"SIN CATALOGAR"),"ÁREA DE PROCESO")</f>
        <v>SE-20</v>
      </c>
      <c r="S1031" s="34" t="str">
        <f aca="false">IF(H1031="","SIN DATO",IFERROR(INDEX(cat_MarcaN,MATCH(H1031,cat_MarcaO,0)),H1031))</f>
        <v>SIEMENS</v>
      </c>
      <c r="T1031" s="34" t="str">
        <f aca="false">IF(I1031="","SIN DATO",IFERROR(INDEX(cat_ModN,MATCH(I1031,cat_ModO,0)),I1031))</f>
        <v>REYROLLE</v>
      </c>
      <c r="U1031" s="34" t="str">
        <f aca="false">IF(I1031="","",IFERROR(INDEX(cat_ModG,MATCH(I1031,cat_ModO,0)),"No"))</f>
        <v>Sí</v>
      </c>
      <c r="V1031" s="34" t="str">
        <f aca="false">IF(J1031="","SIN DATO",IFERROR(INDEX(cat_FunN,MATCH(J1031,cat_FunO,0)),J1031))</f>
        <v>Protección y medición</v>
      </c>
      <c r="W1031" s="34" t="str">
        <f aca="false">IF(OR(S1031="SIN DATO",T1031="SIN DATO"),"No","Sí")</f>
        <v>Sí</v>
      </c>
    </row>
    <row r="1032" customFormat="false" ht="15" hidden="false" customHeight="false" outlineLevel="0" collapsed="false">
      <c r="A1032" s="34" t="s">
        <v>3816</v>
      </c>
      <c r="B1032" s="34" t="s">
        <v>3817</v>
      </c>
      <c r="C1032" s="34" t="s">
        <v>3818</v>
      </c>
      <c r="D1032" s="34" t="s">
        <v>3819</v>
      </c>
      <c r="E1032" s="34" t="s">
        <v>156</v>
      </c>
      <c r="F1032" s="34" t="s">
        <v>1602</v>
      </c>
      <c r="G1032" s="34" t="s">
        <v>343</v>
      </c>
      <c r="H1032" s="34" t="s">
        <v>73</v>
      </c>
      <c r="I1032" s="34" t="s">
        <v>75</v>
      </c>
      <c r="J1032" s="34" t="s">
        <v>228</v>
      </c>
      <c r="K1032" s="34" t="s">
        <v>229</v>
      </c>
      <c r="L1032" s="34" t="s">
        <v>230</v>
      </c>
      <c r="M1032" s="34" t="s">
        <v>344</v>
      </c>
      <c r="N1032" s="34" t="str">
        <f aca="false">"Sector "&amp;VALUE(MID(D1032,13,2))</f>
        <v>Sector 7</v>
      </c>
      <c r="O1032" s="34" t="str">
        <f aca="false">IF(Dashboard!$C$5="Ubicación técnica",N1032,"Sector "&amp;VALUE(RIGHT(G1032,2)))</f>
        <v>Sector 7</v>
      </c>
      <c r="P1032" s="34" t="str">
        <f aca="false">IF(MID(D1032,15,3)="SEL","Subestación eléctrica","Área de proceso")</f>
        <v>Subestación eléctrica</v>
      </c>
      <c r="Q1032" s="34" t="str">
        <f aca="false">MID(D1032,13,5)&amp;"|"&amp;MID(D1032,19,5)</f>
        <v>07SEL|S_020</v>
      </c>
      <c r="R1032" s="34" t="str">
        <f aca="false">IF(P1032="Subestación eléctrica",IFERROR(INDEX(cat_SubN,MATCH(Q1032,cat_SubK,0)),"SIN CATALOGAR"),"ÁREA DE PROCESO")</f>
        <v>SE-20</v>
      </c>
      <c r="S1032" s="34" t="str">
        <f aca="false">IF(H1032="","SIN DATO",IFERROR(INDEX(cat_MarcaN,MATCH(H1032,cat_MarcaO,0)),H1032))</f>
        <v>SIEMENS</v>
      </c>
      <c r="T1032" s="34" t="str">
        <f aca="false">IF(I1032="","SIN DATO",IFERROR(INDEX(cat_ModN,MATCH(I1032,cat_ModO,0)),I1032))</f>
        <v>REYROLLE</v>
      </c>
      <c r="U1032" s="34" t="str">
        <f aca="false">IF(I1032="","",IFERROR(INDEX(cat_ModG,MATCH(I1032,cat_ModO,0)),"No"))</f>
        <v>Sí</v>
      </c>
      <c r="V1032" s="34" t="str">
        <f aca="false">IF(J1032="","SIN DATO",IFERROR(INDEX(cat_FunN,MATCH(J1032,cat_FunO,0)),J1032))</f>
        <v>Protección y medición</v>
      </c>
      <c r="W1032" s="34" t="str">
        <f aca="false">IF(OR(S1032="SIN DATO",T1032="SIN DATO"),"No","Sí")</f>
        <v>Sí</v>
      </c>
    </row>
    <row r="1033" customFormat="false" ht="15" hidden="false" customHeight="false" outlineLevel="0" collapsed="false">
      <c r="A1033" s="34" t="s">
        <v>3820</v>
      </c>
      <c r="B1033" s="34" t="s">
        <v>3821</v>
      </c>
      <c r="C1033" s="34" t="s">
        <v>3822</v>
      </c>
      <c r="D1033" s="34" t="s">
        <v>3823</v>
      </c>
      <c r="E1033" s="34" t="s">
        <v>156</v>
      </c>
      <c r="F1033" s="34" t="s">
        <v>1602</v>
      </c>
      <c r="G1033" s="34" t="s">
        <v>343</v>
      </c>
      <c r="H1033" s="34" t="s">
        <v>73</v>
      </c>
      <c r="I1033" s="34" t="s">
        <v>75</v>
      </c>
      <c r="J1033" s="34" t="s">
        <v>228</v>
      </c>
      <c r="K1033" s="34" t="s">
        <v>229</v>
      </c>
      <c r="L1033" s="34" t="s">
        <v>230</v>
      </c>
      <c r="M1033" s="34" t="s">
        <v>344</v>
      </c>
      <c r="N1033" s="34" t="str">
        <f aca="false">"Sector "&amp;VALUE(MID(D1033,13,2))</f>
        <v>Sector 7</v>
      </c>
      <c r="O1033" s="34" t="str">
        <f aca="false">IF(Dashboard!$C$5="Ubicación técnica",N1033,"Sector "&amp;VALUE(RIGHT(G1033,2)))</f>
        <v>Sector 7</v>
      </c>
      <c r="P1033" s="34" t="str">
        <f aca="false">IF(MID(D1033,15,3)="SEL","Subestación eléctrica","Área de proceso")</f>
        <v>Subestación eléctrica</v>
      </c>
      <c r="Q1033" s="34" t="str">
        <f aca="false">MID(D1033,13,5)&amp;"|"&amp;MID(D1033,19,5)</f>
        <v>07SEL|S_020</v>
      </c>
      <c r="R1033" s="34" t="str">
        <f aca="false">IF(P1033="Subestación eléctrica",IFERROR(INDEX(cat_SubN,MATCH(Q1033,cat_SubK,0)),"SIN CATALOGAR"),"ÁREA DE PROCESO")</f>
        <v>SE-20</v>
      </c>
      <c r="S1033" s="34" t="str">
        <f aca="false">IF(H1033="","SIN DATO",IFERROR(INDEX(cat_MarcaN,MATCH(H1033,cat_MarcaO,0)),H1033))</f>
        <v>SIEMENS</v>
      </c>
      <c r="T1033" s="34" t="str">
        <f aca="false">IF(I1033="","SIN DATO",IFERROR(INDEX(cat_ModN,MATCH(I1033,cat_ModO,0)),I1033))</f>
        <v>REYROLLE</v>
      </c>
      <c r="U1033" s="34" t="str">
        <f aca="false">IF(I1033="","",IFERROR(INDEX(cat_ModG,MATCH(I1033,cat_ModO,0)),"No"))</f>
        <v>Sí</v>
      </c>
      <c r="V1033" s="34" t="str">
        <f aca="false">IF(J1033="","SIN DATO",IFERROR(INDEX(cat_FunN,MATCH(J1033,cat_FunO,0)),J1033))</f>
        <v>Protección y medición</v>
      </c>
      <c r="W1033" s="34" t="str">
        <f aca="false">IF(OR(S1033="SIN DATO",T1033="SIN DATO"),"No","Sí")</f>
        <v>Sí</v>
      </c>
    </row>
    <row r="1034" customFormat="false" ht="15" hidden="false" customHeight="false" outlineLevel="0" collapsed="false">
      <c r="A1034" s="34" t="s">
        <v>3824</v>
      </c>
      <c r="B1034" s="34" t="s">
        <v>3825</v>
      </c>
      <c r="C1034" s="34" t="s">
        <v>3826</v>
      </c>
      <c r="D1034" s="34" t="s">
        <v>3827</v>
      </c>
      <c r="E1034" s="34" t="s">
        <v>156</v>
      </c>
      <c r="F1034" s="34" t="s">
        <v>1602</v>
      </c>
      <c r="G1034" s="34" t="s">
        <v>343</v>
      </c>
      <c r="H1034" s="34" t="s">
        <v>73</v>
      </c>
      <c r="I1034" s="34" t="s">
        <v>75</v>
      </c>
      <c r="J1034" s="34" t="s">
        <v>228</v>
      </c>
      <c r="K1034" s="34" t="s">
        <v>229</v>
      </c>
      <c r="L1034" s="34" t="s">
        <v>230</v>
      </c>
      <c r="M1034" s="34" t="s">
        <v>344</v>
      </c>
      <c r="N1034" s="34" t="str">
        <f aca="false">"Sector "&amp;VALUE(MID(D1034,13,2))</f>
        <v>Sector 7</v>
      </c>
      <c r="O1034" s="34" t="str">
        <f aca="false">IF(Dashboard!$C$5="Ubicación técnica",N1034,"Sector "&amp;VALUE(RIGHT(G1034,2)))</f>
        <v>Sector 7</v>
      </c>
      <c r="P1034" s="34" t="str">
        <f aca="false">IF(MID(D1034,15,3)="SEL","Subestación eléctrica","Área de proceso")</f>
        <v>Subestación eléctrica</v>
      </c>
      <c r="Q1034" s="34" t="str">
        <f aca="false">MID(D1034,13,5)&amp;"|"&amp;MID(D1034,19,5)</f>
        <v>07SEL|S_020</v>
      </c>
      <c r="R1034" s="34" t="str">
        <f aca="false">IF(P1034="Subestación eléctrica",IFERROR(INDEX(cat_SubN,MATCH(Q1034,cat_SubK,0)),"SIN CATALOGAR"),"ÁREA DE PROCESO")</f>
        <v>SE-20</v>
      </c>
      <c r="S1034" s="34" t="str">
        <f aca="false">IF(H1034="","SIN DATO",IFERROR(INDEX(cat_MarcaN,MATCH(H1034,cat_MarcaO,0)),H1034))</f>
        <v>SIEMENS</v>
      </c>
      <c r="T1034" s="34" t="str">
        <f aca="false">IF(I1034="","SIN DATO",IFERROR(INDEX(cat_ModN,MATCH(I1034,cat_ModO,0)),I1034))</f>
        <v>REYROLLE</v>
      </c>
      <c r="U1034" s="34" t="str">
        <f aca="false">IF(I1034="","",IFERROR(INDEX(cat_ModG,MATCH(I1034,cat_ModO,0)),"No"))</f>
        <v>Sí</v>
      </c>
      <c r="V1034" s="34" t="str">
        <f aca="false">IF(J1034="","SIN DATO",IFERROR(INDEX(cat_FunN,MATCH(J1034,cat_FunO,0)),J1034))</f>
        <v>Protección y medición</v>
      </c>
      <c r="W1034" s="34" t="str">
        <f aca="false">IF(OR(S1034="SIN DATO",T1034="SIN DATO"),"No","Sí")</f>
        <v>Sí</v>
      </c>
    </row>
    <row r="1035" customFormat="false" ht="15" hidden="false" customHeight="false" outlineLevel="0" collapsed="false">
      <c r="A1035" s="34" t="s">
        <v>3828</v>
      </c>
      <c r="B1035" s="34" t="s">
        <v>3829</v>
      </c>
      <c r="C1035" s="34" t="s">
        <v>3830</v>
      </c>
      <c r="D1035" s="34" t="s">
        <v>3831</v>
      </c>
      <c r="E1035" s="34" t="s">
        <v>156</v>
      </c>
      <c r="F1035" s="34" t="s">
        <v>1602</v>
      </c>
      <c r="G1035" s="34" t="s">
        <v>343</v>
      </c>
      <c r="H1035" s="34" t="s">
        <v>73</v>
      </c>
      <c r="I1035" s="34" t="s">
        <v>75</v>
      </c>
      <c r="J1035" s="34" t="s">
        <v>228</v>
      </c>
      <c r="K1035" s="34" t="s">
        <v>229</v>
      </c>
      <c r="L1035" s="34" t="s">
        <v>230</v>
      </c>
      <c r="M1035" s="34" t="s">
        <v>344</v>
      </c>
      <c r="N1035" s="34" t="str">
        <f aca="false">"Sector "&amp;VALUE(MID(D1035,13,2))</f>
        <v>Sector 7</v>
      </c>
      <c r="O1035" s="34" t="str">
        <f aca="false">IF(Dashboard!$C$5="Ubicación técnica",N1035,"Sector "&amp;VALUE(RIGHT(G1035,2)))</f>
        <v>Sector 7</v>
      </c>
      <c r="P1035" s="34" t="str">
        <f aca="false">IF(MID(D1035,15,3)="SEL","Subestación eléctrica","Área de proceso")</f>
        <v>Subestación eléctrica</v>
      </c>
      <c r="Q1035" s="34" t="str">
        <f aca="false">MID(D1035,13,5)&amp;"|"&amp;MID(D1035,19,5)</f>
        <v>07SEL|S_020</v>
      </c>
      <c r="R1035" s="34" t="str">
        <f aca="false">IF(P1035="Subestación eléctrica",IFERROR(INDEX(cat_SubN,MATCH(Q1035,cat_SubK,0)),"SIN CATALOGAR"),"ÁREA DE PROCESO")</f>
        <v>SE-20</v>
      </c>
      <c r="S1035" s="34" t="str">
        <f aca="false">IF(H1035="","SIN DATO",IFERROR(INDEX(cat_MarcaN,MATCH(H1035,cat_MarcaO,0)),H1035))</f>
        <v>SIEMENS</v>
      </c>
      <c r="T1035" s="34" t="str">
        <f aca="false">IF(I1035="","SIN DATO",IFERROR(INDEX(cat_ModN,MATCH(I1035,cat_ModO,0)),I1035))</f>
        <v>REYROLLE</v>
      </c>
      <c r="U1035" s="34" t="str">
        <f aca="false">IF(I1035="","",IFERROR(INDEX(cat_ModG,MATCH(I1035,cat_ModO,0)),"No"))</f>
        <v>Sí</v>
      </c>
      <c r="V1035" s="34" t="str">
        <f aca="false">IF(J1035="","SIN DATO",IFERROR(INDEX(cat_FunN,MATCH(J1035,cat_FunO,0)),J1035))</f>
        <v>Protección y medición</v>
      </c>
      <c r="W1035" s="34" t="str">
        <f aca="false">IF(OR(S1035="SIN DATO",T1035="SIN DATO"),"No","Sí")</f>
        <v>Sí</v>
      </c>
    </row>
    <row r="1036" customFormat="false" ht="15" hidden="false" customHeight="false" outlineLevel="0" collapsed="false">
      <c r="A1036" s="34" t="s">
        <v>3832</v>
      </c>
      <c r="B1036" s="34" t="s">
        <v>3833</v>
      </c>
      <c r="C1036" s="34" t="s">
        <v>3834</v>
      </c>
      <c r="D1036" s="34" t="s">
        <v>3835</v>
      </c>
      <c r="E1036" s="34" t="s">
        <v>156</v>
      </c>
      <c r="F1036" s="34" t="s">
        <v>1602</v>
      </c>
      <c r="G1036" s="34" t="s">
        <v>343</v>
      </c>
      <c r="H1036" s="34" t="s">
        <v>73</v>
      </c>
      <c r="I1036" s="34" t="s">
        <v>78</v>
      </c>
      <c r="J1036" s="34" t="s">
        <v>58</v>
      </c>
      <c r="K1036" s="34" t="s">
        <v>229</v>
      </c>
      <c r="L1036" s="34" t="s">
        <v>230</v>
      </c>
      <c r="M1036" s="34"/>
      <c r="N1036" s="34" t="str">
        <f aca="false">"Sector "&amp;VALUE(MID(D1036,13,2))</f>
        <v>Sector 7</v>
      </c>
      <c r="O1036" s="34" t="str">
        <f aca="false">IF(Dashboard!$C$5="Ubicación técnica",N1036,"Sector "&amp;VALUE(RIGHT(G1036,2)))</f>
        <v>Sector 7</v>
      </c>
      <c r="P1036" s="34" t="str">
        <f aca="false">IF(MID(D1036,15,3)="SEL","Subestación eléctrica","Área de proceso")</f>
        <v>Subestación eléctrica</v>
      </c>
      <c r="Q1036" s="34" t="str">
        <f aca="false">MID(D1036,13,5)&amp;"|"&amp;MID(D1036,19,5)</f>
        <v>07SEL|S_020</v>
      </c>
      <c r="R1036" s="34" t="str">
        <f aca="false">IF(P1036="Subestación eléctrica",IFERROR(INDEX(cat_SubN,MATCH(Q1036,cat_SubK,0)),"SIN CATALOGAR"),"ÁREA DE PROCESO")</f>
        <v>SE-20</v>
      </c>
      <c r="S1036" s="34" t="str">
        <f aca="false">IF(H1036="","SIN DATO",IFERROR(INDEX(cat_MarcaN,MATCH(H1036,cat_MarcaO,0)),H1036))</f>
        <v>SIEMENS</v>
      </c>
      <c r="T1036" s="34" t="str">
        <f aca="false">IF(I1036="","SIN DATO",IFERROR(INDEX(cat_ModN,MATCH(I1036,cat_ModO,0)),I1036))</f>
        <v>SENTRON</v>
      </c>
      <c r="U1036" s="34" t="str">
        <f aca="false">IF(I1036="","",IFERROR(INDEX(cat_ModG,MATCH(I1036,cat_ModO,0)),"No"))</f>
        <v>No</v>
      </c>
      <c r="V1036" s="34" t="str">
        <f aca="false">IF(J1036="","SIN DATO",IFERROR(INDEX(cat_FunN,MATCH(J1036,cat_FunO,0)),J1036))</f>
        <v>Medición</v>
      </c>
      <c r="W1036" s="34" t="str">
        <f aca="false">IF(OR(S1036="SIN DATO",T1036="SIN DATO"),"No","Sí")</f>
        <v>Sí</v>
      </c>
    </row>
    <row r="1037" customFormat="false" ht="15" hidden="false" customHeight="false" outlineLevel="0" collapsed="false">
      <c r="A1037" s="34" t="s">
        <v>3836</v>
      </c>
      <c r="B1037" s="34" t="s">
        <v>3837</v>
      </c>
      <c r="C1037" s="34" t="s">
        <v>3838</v>
      </c>
      <c r="D1037" s="34" t="s">
        <v>3839</v>
      </c>
      <c r="E1037" s="34" t="s">
        <v>156</v>
      </c>
      <c r="F1037" s="34" t="s">
        <v>1602</v>
      </c>
      <c r="G1037" s="34" t="s">
        <v>343</v>
      </c>
      <c r="H1037" s="34" t="s">
        <v>73</v>
      </c>
      <c r="I1037" s="34" t="s">
        <v>78</v>
      </c>
      <c r="J1037" s="34" t="s">
        <v>58</v>
      </c>
      <c r="K1037" s="34" t="s">
        <v>229</v>
      </c>
      <c r="L1037" s="34" t="s">
        <v>230</v>
      </c>
      <c r="M1037" s="34"/>
      <c r="N1037" s="34" t="str">
        <f aca="false">"Sector "&amp;VALUE(MID(D1037,13,2))</f>
        <v>Sector 7</v>
      </c>
      <c r="O1037" s="34" t="str">
        <f aca="false">IF(Dashboard!$C$5="Ubicación técnica",N1037,"Sector "&amp;VALUE(RIGHT(G1037,2)))</f>
        <v>Sector 7</v>
      </c>
      <c r="P1037" s="34" t="str">
        <f aca="false">IF(MID(D1037,15,3)="SEL","Subestación eléctrica","Área de proceso")</f>
        <v>Subestación eléctrica</v>
      </c>
      <c r="Q1037" s="34" t="str">
        <f aca="false">MID(D1037,13,5)&amp;"|"&amp;MID(D1037,19,5)</f>
        <v>07SEL|S_020</v>
      </c>
      <c r="R1037" s="34" t="str">
        <f aca="false">IF(P1037="Subestación eléctrica",IFERROR(INDEX(cat_SubN,MATCH(Q1037,cat_SubK,0)),"SIN CATALOGAR"),"ÁREA DE PROCESO")</f>
        <v>SE-20</v>
      </c>
      <c r="S1037" s="34" t="str">
        <f aca="false">IF(H1037="","SIN DATO",IFERROR(INDEX(cat_MarcaN,MATCH(H1037,cat_MarcaO,0)),H1037))</f>
        <v>SIEMENS</v>
      </c>
      <c r="T1037" s="34" t="str">
        <f aca="false">IF(I1037="","SIN DATO",IFERROR(INDEX(cat_ModN,MATCH(I1037,cat_ModO,0)),I1037))</f>
        <v>SENTRON</v>
      </c>
      <c r="U1037" s="34" t="str">
        <f aca="false">IF(I1037="","",IFERROR(INDEX(cat_ModG,MATCH(I1037,cat_ModO,0)),"No"))</f>
        <v>No</v>
      </c>
      <c r="V1037" s="34" t="str">
        <f aca="false">IF(J1037="","SIN DATO",IFERROR(INDEX(cat_FunN,MATCH(J1037,cat_FunO,0)),J1037))</f>
        <v>Medición</v>
      </c>
      <c r="W1037" s="34" t="str">
        <f aca="false">IF(OR(S1037="SIN DATO",T1037="SIN DATO"),"No","Sí")</f>
        <v>Sí</v>
      </c>
    </row>
    <row r="1038" customFormat="false" ht="15" hidden="false" customHeight="false" outlineLevel="0" collapsed="false">
      <c r="A1038" s="34" t="s">
        <v>3840</v>
      </c>
      <c r="B1038" s="34" t="s">
        <v>3841</v>
      </c>
      <c r="C1038" s="34" t="s">
        <v>3842</v>
      </c>
      <c r="D1038" s="34" t="s">
        <v>3831</v>
      </c>
      <c r="E1038" s="34" t="s">
        <v>156</v>
      </c>
      <c r="F1038" s="34" t="s">
        <v>1602</v>
      </c>
      <c r="G1038" s="34" t="s">
        <v>343</v>
      </c>
      <c r="H1038" s="34" t="s">
        <v>73</v>
      </c>
      <c r="I1038" s="34" t="s">
        <v>75</v>
      </c>
      <c r="J1038" s="34" t="s">
        <v>228</v>
      </c>
      <c r="K1038" s="34" t="s">
        <v>229</v>
      </c>
      <c r="L1038" s="34" t="s">
        <v>230</v>
      </c>
      <c r="M1038" s="34" t="s">
        <v>344</v>
      </c>
      <c r="N1038" s="34" t="str">
        <f aca="false">"Sector "&amp;VALUE(MID(D1038,13,2))</f>
        <v>Sector 7</v>
      </c>
      <c r="O1038" s="34" t="str">
        <f aca="false">IF(Dashboard!$C$5="Ubicación técnica",N1038,"Sector "&amp;VALUE(RIGHT(G1038,2)))</f>
        <v>Sector 7</v>
      </c>
      <c r="P1038" s="34" t="str">
        <f aca="false">IF(MID(D1038,15,3)="SEL","Subestación eléctrica","Área de proceso")</f>
        <v>Subestación eléctrica</v>
      </c>
      <c r="Q1038" s="34" t="str">
        <f aca="false">MID(D1038,13,5)&amp;"|"&amp;MID(D1038,19,5)</f>
        <v>07SEL|S_020</v>
      </c>
      <c r="R1038" s="34" t="str">
        <f aca="false">IF(P1038="Subestación eléctrica",IFERROR(INDEX(cat_SubN,MATCH(Q1038,cat_SubK,0)),"SIN CATALOGAR"),"ÁREA DE PROCESO")</f>
        <v>SE-20</v>
      </c>
      <c r="S1038" s="34" t="str">
        <f aca="false">IF(H1038="","SIN DATO",IFERROR(INDEX(cat_MarcaN,MATCH(H1038,cat_MarcaO,0)),H1038))</f>
        <v>SIEMENS</v>
      </c>
      <c r="T1038" s="34" t="str">
        <f aca="false">IF(I1038="","SIN DATO",IFERROR(INDEX(cat_ModN,MATCH(I1038,cat_ModO,0)),I1038))</f>
        <v>REYROLLE</v>
      </c>
      <c r="U1038" s="34" t="str">
        <f aca="false">IF(I1038="","",IFERROR(INDEX(cat_ModG,MATCH(I1038,cat_ModO,0)),"No"))</f>
        <v>Sí</v>
      </c>
      <c r="V1038" s="34" t="str">
        <f aca="false">IF(J1038="","SIN DATO",IFERROR(INDEX(cat_FunN,MATCH(J1038,cat_FunO,0)),J1038))</f>
        <v>Protección y medición</v>
      </c>
      <c r="W1038" s="34" t="str">
        <f aca="false">IF(OR(S1038="SIN DATO",T1038="SIN DATO"),"No","Sí")</f>
        <v>Sí</v>
      </c>
    </row>
    <row r="1039" customFormat="false" ht="15" hidden="false" customHeight="false" outlineLevel="0" collapsed="false">
      <c r="A1039" s="34" t="s">
        <v>3843</v>
      </c>
      <c r="B1039" s="34" t="s">
        <v>3844</v>
      </c>
      <c r="C1039" s="34" t="s">
        <v>3845</v>
      </c>
      <c r="D1039" s="34" t="s">
        <v>3819</v>
      </c>
      <c r="E1039" s="34" t="s">
        <v>156</v>
      </c>
      <c r="F1039" s="34" t="s">
        <v>1602</v>
      </c>
      <c r="G1039" s="34" t="s">
        <v>343</v>
      </c>
      <c r="H1039" s="34" t="s">
        <v>73</v>
      </c>
      <c r="I1039" s="34" t="s">
        <v>75</v>
      </c>
      <c r="J1039" s="34" t="s">
        <v>228</v>
      </c>
      <c r="K1039" s="34" t="s">
        <v>229</v>
      </c>
      <c r="L1039" s="34" t="s">
        <v>230</v>
      </c>
      <c r="M1039" s="34" t="s">
        <v>344</v>
      </c>
      <c r="N1039" s="34" t="str">
        <f aca="false">"Sector "&amp;VALUE(MID(D1039,13,2))</f>
        <v>Sector 7</v>
      </c>
      <c r="O1039" s="34" t="str">
        <f aca="false">IF(Dashboard!$C$5="Ubicación técnica",N1039,"Sector "&amp;VALUE(RIGHT(G1039,2)))</f>
        <v>Sector 7</v>
      </c>
      <c r="P1039" s="34" t="str">
        <f aca="false">IF(MID(D1039,15,3)="SEL","Subestación eléctrica","Área de proceso")</f>
        <v>Subestación eléctrica</v>
      </c>
      <c r="Q1039" s="34" t="str">
        <f aca="false">MID(D1039,13,5)&amp;"|"&amp;MID(D1039,19,5)</f>
        <v>07SEL|S_020</v>
      </c>
      <c r="R1039" s="34" t="str">
        <f aca="false">IF(P1039="Subestación eléctrica",IFERROR(INDEX(cat_SubN,MATCH(Q1039,cat_SubK,0)),"SIN CATALOGAR"),"ÁREA DE PROCESO")</f>
        <v>SE-20</v>
      </c>
      <c r="S1039" s="34" t="str">
        <f aca="false">IF(H1039="","SIN DATO",IFERROR(INDEX(cat_MarcaN,MATCH(H1039,cat_MarcaO,0)),H1039))</f>
        <v>SIEMENS</v>
      </c>
      <c r="T1039" s="34" t="str">
        <f aca="false">IF(I1039="","SIN DATO",IFERROR(INDEX(cat_ModN,MATCH(I1039,cat_ModO,0)),I1039))</f>
        <v>REYROLLE</v>
      </c>
      <c r="U1039" s="34" t="str">
        <f aca="false">IF(I1039="","",IFERROR(INDEX(cat_ModG,MATCH(I1039,cat_ModO,0)),"No"))</f>
        <v>Sí</v>
      </c>
      <c r="V1039" s="34" t="str">
        <f aca="false">IF(J1039="","SIN DATO",IFERROR(INDEX(cat_FunN,MATCH(J1039,cat_FunO,0)),J1039))</f>
        <v>Protección y medición</v>
      </c>
      <c r="W1039" s="34" t="str">
        <f aca="false">IF(OR(S1039="SIN DATO",T1039="SIN DATO"),"No","Sí")</f>
        <v>Sí</v>
      </c>
    </row>
    <row r="1040" customFormat="false" ht="15" hidden="false" customHeight="false" outlineLevel="0" collapsed="false">
      <c r="A1040" s="34" t="s">
        <v>3846</v>
      </c>
      <c r="B1040" s="34" t="s">
        <v>3847</v>
      </c>
      <c r="C1040" s="34" t="s">
        <v>3848</v>
      </c>
      <c r="D1040" s="34" t="s">
        <v>3819</v>
      </c>
      <c r="E1040" s="34" t="s">
        <v>156</v>
      </c>
      <c r="F1040" s="34" t="s">
        <v>1602</v>
      </c>
      <c r="G1040" s="34" t="s">
        <v>343</v>
      </c>
      <c r="H1040" s="34" t="s">
        <v>73</v>
      </c>
      <c r="I1040" s="34" t="s">
        <v>75</v>
      </c>
      <c r="J1040" s="34" t="s">
        <v>228</v>
      </c>
      <c r="K1040" s="34" t="s">
        <v>229</v>
      </c>
      <c r="L1040" s="34" t="s">
        <v>230</v>
      </c>
      <c r="M1040" s="34" t="s">
        <v>344</v>
      </c>
      <c r="N1040" s="34" t="str">
        <f aca="false">"Sector "&amp;VALUE(MID(D1040,13,2))</f>
        <v>Sector 7</v>
      </c>
      <c r="O1040" s="34" t="str">
        <f aca="false">IF(Dashboard!$C$5="Ubicación técnica",N1040,"Sector "&amp;VALUE(RIGHT(G1040,2)))</f>
        <v>Sector 7</v>
      </c>
      <c r="P1040" s="34" t="str">
        <f aca="false">IF(MID(D1040,15,3)="SEL","Subestación eléctrica","Área de proceso")</f>
        <v>Subestación eléctrica</v>
      </c>
      <c r="Q1040" s="34" t="str">
        <f aca="false">MID(D1040,13,5)&amp;"|"&amp;MID(D1040,19,5)</f>
        <v>07SEL|S_020</v>
      </c>
      <c r="R1040" s="34" t="str">
        <f aca="false">IF(P1040="Subestación eléctrica",IFERROR(INDEX(cat_SubN,MATCH(Q1040,cat_SubK,0)),"SIN CATALOGAR"),"ÁREA DE PROCESO")</f>
        <v>SE-20</v>
      </c>
      <c r="S1040" s="34" t="str">
        <f aca="false">IF(H1040="","SIN DATO",IFERROR(INDEX(cat_MarcaN,MATCH(H1040,cat_MarcaO,0)),H1040))</f>
        <v>SIEMENS</v>
      </c>
      <c r="T1040" s="34" t="str">
        <f aca="false">IF(I1040="","SIN DATO",IFERROR(INDEX(cat_ModN,MATCH(I1040,cat_ModO,0)),I1040))</f>
        <v>REYROLLE</v>
      </c>
      <c r="U1040" s="34" t="str">
        <f aca="false">IF(I1040="","",IFERROR(INDEX(cat_ModG,MATCH(I1040,cat_ModO,0)),"No"))</f>
        <v>Sí</v>
      </c>
      <c r="V1040" s="34" t="str">
        <f aca="false">IF(J1040="","SIN DATO",IFERROR(INDEX(cat_FunN,MATCH(J1040,cat_FunO,0)),J1040))</f>
        <v>Protección y medición</v>
      </c>
      <c r="W1040" s="34" t="str">
        <f aca="false">IF(OR(S1040="SIN DATO",T1040="SIN DATO"),"No","Sí")</f>
        <v>Sí</v>
      </c>
    </row>
    <row r="1041" customFormat="false" ht="15" hidden="false" customHeight="false" outlineLevel="0" collapsed="false">
      <c r="A1041" s="34" t="s">
        <v>3849</v>
      </c>
      <c r="B1041" s="34" t="s">
        <v>3850</v>
      </c>
      <c r="C1041" s="34" t="s">
        <v>3851</v>
      </c>
      <c r="D1041" s="34" t="s">
        <v>3852</v>
      </c>
      <c r="E1041" s="34" t="s">
        <v>156</v>
      </c>
      <c r="F1041" s="34" t="s">
        <v>1602</v>
      </c>
      <c r="G1041" s="34" t="s">
        <v>343</v>
      </c>
      <c r="H1041" s="34" t="s">
        <v>73</v>
      </c>
      <c r="I1041" s="34" t="s">
        <v>75</v>
      </c>
      <c r="J1041" s="34" t="s">
        <v>681</v>
      </c>
      <c r="K1041" s="34" t="s">
        <v>229</v>
      </c>
      <c r="L1041" s="34" t="s">
        <v>230</v>
      </c>
      <c r="M1041" s="34" t="s">
        <v>344</v>
      </c>
      <c r="N1041" s="34" t="str">
        <f aca="false">"Sector "&amp;VALUE(MID(D1041,13,2))</f>
        <v>Sector 7</v>
      </c>
      <c r="O1041" s="34" t="str">
        <f aca="false">IF(Dashboard!$C$5="Ubicación técnica",N1041,"Sector "&amp;VALUE(RIGHT(G1041,2)))</f>
        <v>Sector 7</v>
      </c>
      <c r="P1041" s="34" t="str">
        <f aca="false">IF(MID(D1041,15,3)="SEL","Subestación eléctrica","Área de proceso")</f>
        <v>Subestación eléctrica</v>
      </c>
      <c r="Q1041" s="34" t="str">
        <f aca="false">MID(D1041,13,5)&amp;"|"&amp;MID(D1041,19,5)</f>
        <v>07SEL|S_020</v>
      </c>
      <c r="R1041" s="34" t="str">
        <f aca="false">IF(P1041="Subestación eléctrica",IFERROR(INDEX(cat_SubN,MATCH(Q1041,cat_SubK,0)),"SIN CATALOGAR"),"ÁREA DE PROCESO")</f>
        <v>SE-20</v>
      </c>
      <c r="S1041" s="34" t="str">
        <f aca="false">IF(H1041="","SIN DATO",IFERROR(INDEX(cat_MarcaN,MATCH(H1041,cat_MarcaO,0)),H1041))</f>
        <v>SIEMENS</v>
      </c>
      <c r="T1041" s="34" t="str">
        <f aca="false">IF(I1041="","SIN DATO",IFERROR(INDEX(cat_ModN,MATCH(I1041,cat_ModO,0)),I1041))</f>
        <v>REYROLLE</v>
      </c>
      <c r="U1041" s="34" t="str">
        <f aca="false">IF(I1041="","",IFERROR(INDEX(cat_ModG,MATCH(I1041,cat_ModO,0)),"No"))</f>
        <v>Sí</v>
      </c>
      <c r="V1041" s="34" t="str">
        <f aca="false">IF(J1041="","SIN DATO",IFERROR(INDEX(cat_FunN,MATCH(J1041,cat_FunO,0)),J1041))</f>
        <v>Protección</v>
      </c>
      <c r="W1041" s="34" t="str">
        <f aca="false">IF(OR(S1041="SIN DATO",T1041="SIN DATO"),"No","Sí")</f>
        <v>Sí</v>
      </c>
    </row>
    <row r="1042" customFormat="false" ht="15" hidden="false" customHeight="false" outlineLevel="0" collapsed="false">
      <c r="A1042" s="34" t="s">
        <v>3853</v>
      </c>
      <c r="B1042" s="34" t="s">
        <v>3854</v>
      </c>
      <c r="C1042" s="34" t="s">
        <v>3855</v>
      </c>
      <c r="D1042" s="34" t="s">
        <v>3852</v>
      </c>
      <c r="E1042" s="34" t="s">
        <v>156</v>
      </c>
      <c r="F1042" s="34" t="s">
        <v>1602</v>
      </c>
      <c r="G1042" s="34" t="s">
        <v>343</v>
      </c>
      <c r="H1042" s="34" t="s">
        <v>73</v>
      </c>
      <c r="I1042" s="34" t="s">
        <v>75</v>
      </c>
      <c r="J1042" s="34" t="s">
        <v>228</v>
      </c>
      <c r="K1042" s="34" t="s">
        <v>229</v>
      </c>
      <c r="L1042" s="34" t="s">
        <v>230</v>
      </c>
      <c r="M1042" s="34" t="s">
        <v>344</v>
      </c>
      <c r="N1042" s="34" t="str">
        <f aca="false">"Sector "&amp;VALUE(MID(D1042,13,2))</f>
        <v>Sector 7</v>
      </c>
      <c r="O1042" s="34" t="str">
        <f aca="false">IF(Dashboard!$C$5="Ubicación técnica",N1042,"Sector "&amp;VALUE(RIGHT(G1042,2)))</f>
        <v>Sector 7</v>
      </c>
      <c r="P1042" s="34" t="str">
        <f aca="false">IF(MID(D1042,15,3)="SEL","Subestación eléctrica","Área de proceso")</f>
        <v>Subestación eléctrica</v>
      </c>
      <c r="Q1042" s="34" t="str">
        <f aca="false">MID(D1042,13,5)&amp;"|"&amp;MID(D1042,19,5)</f>
        <v>07SEL|S_020</v>
      </c>
      <c r="R1042" s="34" t="str">
        <f aca="false">IF(P1042="Subestación eléctrica",IFERROR(INDEX(cat_SubN,MATCH(Q1042,cat_SubK,0)),"SIN CATALOGAR"),"ÁREA DE PROCESO")</f>
        <v>SE-20</v>
      </c>
      <c r="S1042" s="34" t="str">
        <f aca="false">IF(H1042="","SIN DATO",IFERROR(INDEX(cat_MarcaN,MATCH(H1042,cat_MarcaO,0)),H1042))</f>
        <v>SIEMENS</v>
      </c>
      <c r="T1042" s="34" t="str">
        <f aca="false">IF(I1042="","SIN DATO",IFERROR(INDEX(cat_ModN,MATCH(I1042,cat_ModO,0)),I1042))</f>
        <v>REYROLLE</v>
      </c>
      <c r="U1042" s="34" t="str">
        <f aca="false">IF(I1042="","",IFERROR(INDEX(cat_ModG,MATCH(I1042,cat_ModO,0)),"No"))</f>
        <v>Sí</v>
      </c>
      <c r="V1042" s="34" t="str">
        <f aca="false">IF(J1042="","SIN DATO",IFERROR(INDEX(cat_FunN,MATCH(J1042,cat_FunO,0)),J1042))</f>
        <v>Protección y medición</v>
      </c>
      <c r="W1042" s="34" t="str">
        <f aca="false">IF(OR(S1042="SIN DATO",T1042="SIN DATO"),"No","Sí")</f>
        <v>Sí</v>
      </c>
    </row>
    <row r="1043" customFormat="false" ht="15" hidden="false" customHeight="false" outlineLevel="0" collapsed="false">
      <c r="A1043" s="34" t="s">
        <v>3856</v>
      </c>
      <c r="B1043" s="34" t="s">
        <v>3857</v>
      </c>
      <c r="C1043" s="34" t="s">
        <v>3858</v>
      </c>
      <c r="D1043" s="34" t="s">
        <v>3859</v>
      </c>
      <c r="E1043" s="34" t="s">
        <v>156</v>
      </c>
      <c r="F1043" s="34" t="s">
        <v>1602</v>
      </c>
      <c r="G1043" s="34" t="s">
        <v>343</v>
      </c>
      <c r="H1043" s="34" t="s">
        <v>73</v>
      </c>
      <c r="I1043" s="34" t="s">
        <v>75</v>
      </c>
      <c r="J1043" s="34" t="s">
        <v>681</v>
      </c>
      <c r="K1043" s="34" t="s">
        <v>229</v>
      </c>
      <c r="L1043" s="34" t="s">
        <v>230</v>
      </c>
      <c r="M1043" s="34" t="s">
        <v>344</v>
      </c>
      <c r="N1043" s="34" t="str">
        <f aca="false">"Sector "&amp;VALUE(MID(D1043,13,2))</f>
        <v>Sector 7</v>
      </c>
      <c r="O1043" s="34" t="str">
        <f aca="false">IF(Dashboard!$C$5="Ubicación técnica",N1043,"Sector "&amp;VALUE(RIGHT(G1043,2)))</f>
        <v>Sector 7</v>
      </c>
      <c r="P1043" s="34" t="str">
        <f aca="false">IF(MID(D1043,15,3)="SEL","Subestación eléctrica","Área de proceso")</f>
        <v>Subestación eléctrica</v>
      </c>
      <c r="Q1043" s="34" t="str">
        <f aca="false">MID(D1043,13,5)&amp;"|"&amp;MID(D1043,19,5)</f>
        <v>07SEL|S_020</v>
      </c>
      <c r="R1043" s="34" t="str">
        <f aca="false">IF(P1043="Subestación eléctrica",IFERROR(INDEX(cat_SubN,MATCH(Q1043,cat_SubK,0)),"SIN CATALOGAR"),"ÁREA DE PROCESO")</f>
        <v>SE-20</v>
      </c>
      <c r="S1043" s="34" t="str">
        <f aca="false">IF(H1043="","SIN DATO",IFERROR(INDEX(cat_MarcaN,MATCH(H1043,cat_MarcaO,0)),H1043))</f>
        <v>SIEMENS</v>
      </c>
      <c r="T1043" s="34" t="str">
        <f aca="false">IF(I1043="","SIN DATO",IFERROR(INDEX(cat_ModN,MATCH(I1043,cat_ModO,0)),I1043))</f>
        <v>REYROLLE</v>
      </c>
      <c r="U1043" s="34" t="str">
        <f aca="false">IF(I1043="","",IFERROR(INDEX(cat_ModG,MATCH(I1043,cat_ModO,0)),"No"))</f>
        <v>Sí</v>
      </c>
      <c r="V1043" s="34" t="str">
        <f aca="false">IF(J1043="","SIN DATO",IFERROR(INDEX(cat_FunN,MATCH(J1043,cat_FunO,0)),J1043))</f>
        <v>Protección</v>
      </c>
      <c r="W1043" s="34" t="str">
        <f aca="false">IF(OR(S1043="SIN DATO",T1043="SIN DATO"),"No","Sí")</f>
        <v>Sí</v>
      </c>
    </row>
    <row r="1044" customFormat="false" ht="15" hidden="false" customHeight="false" outlineLevel="0" collapsed="false">
      <c r="A1044" s="34" t="s">
        <v>3860</v>
      </c>
      <c r="B1044" s="34" t="s">
        <v>3861</v>
      </c>
      <c r="C1044" s="34" t="s">
        <v>3862</v>
      </c>
      <c r="D1044" s="34" t="s">
        <v>3859</v>
      </c>
      <c r="E1044" s="34" t="s">
        <v>156</v>
      </c>
      <c r="F1044" s="34" t="s">
        <v>1602</v>
      </c>
      <c r="G1044" s="34" t="s">
        <v>343</v>
      </c>
      <c r="H1044" s="34" t="s">
        <v>73</v>
      </c>
      <c r="I1044" s="34" t="s">
        <v>75</v>
      </c>
      <c r="J1044" s="34" t="s">
        <v>228</v>
      </c>
      <c r="K1044" s="34" t="s">
        <v>229</v>
      </c>
      <c r="L1044" s="34" t="s">
        <v>230</v>
      </c>
      <c r="M1044" s="34" t="s">
        <v>344</v>
      </c>
      <c r="N1044" s="34" t="str">
        <f aca="false">"Sector "&amp;VALUE(MID(D1044,13,2))</f>
        <v>Sector 7</v>
      </c>
      <c r="O1044" s="34" t="str">
        <f aca="false">IF(Dashboard!$C$5="Ubicación técnica",N1044,"Sector "&amp;VALUE(RIGHT(G1044,2)))</f>
        <v>Sector 7</v>
      </c>
      <c r="P1044" s="34" t="str">
        <f aca="false">IF(MID(D1044,15,3)="SEL","Subestación eléctrica","Área de proceso")</f>
        <v>Subestación eléctrica</v>
      </c>
      <c r="Q1044" s="34" t="str">
        <f aca="false">MID(D1044,13,5)&amp;"|"&amp;MID(D1044,19,5)</f>
        <v>07SEL|S_020</v>
      </c>
      <c r="R1044" s="34" t="str">
        <f aca="false">IF(P1044="Subestación eléctrica",IFERROR(INDEX(cat_SubN,MATCH(Q1044,cat_SubK,0)),"SIN CATALOGAR"),"ÁREA DE PROCESO")</f>
        <v>SE-20</v>
      </c>
      <c r="S1044" s="34" t="str">
        <f aca="false">IF(H1044="","SIN DATO",IFERROR(INDEX(cat_MarcaN,MATCH(H1044,cat_MarcaO,0)),H1044))</f>
        <v>SIEMENS</v>
      </c>
      <c r="T1044" s="34" t="str">
        <f aca="false">IF(I1044="","SIN DATO",IFERROR(INDEX(cat_ModN,MATCH(I1044,cat_ModO,0)),I1044))</f>
        <v>REYROLLE</v>
      </c>
      <c r="U1044" s="34" t="str">
        <f aca="false">IF(I1044="","",IFERROR(INDEX(cat_ModG,MATCH(I1044,cat_ModO,0)),"No"))</f>
        <v>Sí</v>
      </c>
      <c r="V1044" s="34" t="str">
        <f aca="false">IF(J1044="","SIN DATO",IFERROR(INDEX(cat_FunN,MATCH(J1044,cat_FunO,0)),J1044))</f>
        <v>Protección y medición</v>
      </c>
      <c r="W1044" s="34" t="str">
        <f aca="false">IF(OR(S1044="SIN DATO",T1044="SIN DATO"),"No","Sí")</f>
        <v>Sí</v>
      </c>
    </row>
    <row r="1045" customFormat="false" ht="15" hidden="false" customHeight="false" outlineLevel="0" collapsed="false">
      <c r="A1045" s="34" t="s">
        <v>3863</v>
      </c>
      <c r="B1045" s="34" t="s">
        <v>3864</v>
      </c>
      <c r="C1045" s="34" t="s">
        <v>3865</v>
      </c>
      <c r="D1045" s="34" t="s">
        <v>3866</v>
      </c>
      <c r="E1045" s="34" t="s">
        <v>166</v>
      </c>
      <c r="F1045" s="34" t="s">
        <v>1602</v>
      </c>
      <c r="G1045" s="34" t="s">
        <v>343</v>
      </c>
      <c r="H1045" s="34" t="s">
        <v>73</v>
      </c>
      <c r="I1045" s="34" t="s">
        <v>78</v>
      </c>
      <c r="J1045" s="34" t="s">
        <v>58</v>
      </c>
      <c r="K1045" s="34" t="s">
        <v>229</v>
      </c>
      <c r="L1045" s="34" t="s">
        <v>230</v>
      </c>
      <c r="M1045" s="34"/>
      <c r="N1045" s="34" t="str">
        <f aca="false">"Sector "&amp;VALUE(MID(D1045,13,2))</f>
        <v>Sector 7</v>
      </c>
      <c r="O1045" s="34" t="str">
        <f aca="false">IF(Dashboard!$C$5="Ubicación técnica",N1045,"Sector "&amp;VALUE(RIGHT(G1045,2)))</f>
        <v>Sector 7</v>
      </c>
      <c r="P1045" s="34" t="str">
        <f aca="false">IF(MID(D1045,15,3)="SEL","Subestación eléctrica","Área de proceso")</f>
        <v>Subestación eléctrica</v>
      </c>
      <c r="Q1045" s="34" t="str">
        <f aca="false">MID(D1045,13,5)&amp;"|"&amp;MID(D1045,19,5)</f>
        <v>07SEL|S_033</v>
      </c>
      <c r="R1045" s="34" t="str">
        <f aca="false">IF(P1045="Subestación eléctrica",IFERROR(INDEX(cat_SubN,MATCH(Q1045,cat_SubK,0)),"SIN CATALOGAR"),"ÁREA DE PROCESO")</f>
        <v>SE-33</v>
      </c>
      <c r="S1045" s="34" t="str">
        <f aca="false">IF(H1045="","SIN DATO",IFERROR(INDEX(cat_MarcaN,MATCH(H1045,cat_MarcaO,0)),H1045))</f>
        <v>SIEMENS</v>
      </c>
      <c r="T1045" s="34" t="str">
        <f aca="false">IF(I1045="","SIN DATO",IFERROR(INDEX(cat_ModN,MATCH(I1045,cat_ModO,0)),I1045))</f>
        <v>SENTRON</v>
      </c>
      <c r="U1045" s="34" t="str">
        <f aca="false">IF(I1045="","",IFERROR(INDEX(cat_ModG,MATCH(I1045,cat_ModO,0)),"No"))</f>
        <v>No</v>
      </c>
      <c r="V1045" s="34" t="str">
        <f aca="false">IF(J1045="","SIN DATO",IFERROR(INDEX(cat_FunN,MATCH(J1045,cat_FunO,0)),J1045))</f>
        <v>Medición</v>
      </c>
      <c r="W1045" s="34" t="str">
        <f aca="false">IF(OR(S1045="SIN DATO",T1045="SIN DATO"),"No","Sí")</f>
        <v>Sí</v>
      </c>
    </row>
    <row r="1046" customFormat="false" ht="15" hidden="false" customHeight="false" outlineLevel="0" collapsed="false">
      <c r="A1046" s="34" t="s">
        <v>3867</v>
      </c>
      <c r="B1046" s="34" t="s">
        <v>3868</v>
      </c>
      <c r="C1046" s="34" t="s">
        <v>3869</v>
      </c>
      <c r="D1046" s="34" t="s">
        <v>3870</v>
      </c>
      <c r="E1046" s="34" t="s">
        <v>166</v>
      </c>
      <c r="F1046" s="34" t="s">
        <v>1602</v>
      </c>
      <c r="G1046" s="34" t="s">
        <v>343</v>
      </c>
      <c r="H1046" s="34" t="s">
        <v>73</v>
      </c>
      <c r="I1046" s="34" t="s">
        <v>78</v>
      </c>
      <c r="J1046" s="34" t="s">
        <v>58</v>
      </c>
      <c r="K1046" s="34" t="s">
        <v>229</v>
      </c>
      <c r="L1046" s="34" t="s">
        <v>230</v>
      </c>
      <c r="M1046" s="34"/>
      <c r="N1046" s="34" t="str">
        <f aca="false">"Sector "&amp;VALUE(MID(D1046,13,2))</f>
        <v>Sector 7</v>
      </c>
      <c r="O1046" s="34" t="str">
        <f aca="false">IF(Dashboard!$C$5="Ubicación técnica",N1046,"Sector "&amp;VALUE(RIGHT(G1046,2)))</f>
        <v>Sector 7</v>
      </c>
      <c r="P1046" s="34" t="str">
        <f aca="false">IF(MID(D1046,15,3)="SEL","Subestación eléctrica","Área de proceso")</f>
        <v>Subestación eléctrica</v>
      </c>
      <c r="Q1046" s="34" t="str">
        <f aca="false">MID(D1046,13,5)&amp;"|"&amp;MID(D1046,19,5)</f>
        <v>07SEL|S_033</v>
      </c>
      <c r="R1046" s="34" t="str">
        <f aca="false">IF(P1046="Subestación eléctrica",IFERROR(INDEX(cat_SubN,MATCH(Q1046,cat_SubK,0)),"SIN CATALOGAR"),"ÁREA DE PROCESO")</f>
        <v>SE-33</v>
      </c>
      <c r="S1046" s="34" t="str">
        <f aca="false">IF(H1046="","SIN DATO",IFERROR(INDEX(cat_MarcaN,MATCH(H1046,cat_MarcaO,0)),H1046))</f>
        <v>SIEMENS</v>
      </c>
      <c r="T1046" s="34" t="str">
        <f aca="false">IF(I1046="","SIN DATO",IFERROR(INDEX(cat_ModN,MATCH(I1046,cat_ModO,0)),I1046))</f>
        <v>SENTRON</v>
      </c>
      <c r="U1046" s="34" t="str">
        <f aca="false">IF(I1046="","",IFERROR(INDEX(cat_ModG,MATCH(I1046,cat_ModO,0)),"No"))</f>
        <v>No</v>
      </c>
      <c r="V1046" s="34" t="str">
        <f aca="false">IF(J1046="","SIN DATO",IFERROR(INDEX(cat_FunN,MATCH(J1046,cat_FunO,0)),J1046))</f>
        <v>Medición</v>
      </c>
      <c r="W1046" s="34" t="str">
        <f aca="false">IF(OR(S1046="SIN DATO",T1046="SIN DATO"),"No","Sí")</f>
        <v>Sí</v>
      </c>
    </row>
    <row r="1047" customFormat="false" ht="15" hidden="false" customHeight="false" outlineLevel="0" collapsed="false">
      <c r="A1047" s="34" t="s">
        <v>3871</v>
      </c>
      <c r="B1047" s="34" t="s">
        <v>3872</v>
      </c>
      <c r="C1047" s="34" t="s">
        <v>3873</v>
      </c>
      <c r="D1047" s="34" t="s">
        <v>3874</v>
      </c>
      <c r="E1047" s="34" t="s">
        <v>166</v>
      </c>
      <c r="F1047" s="34" t="s">
        <v>1602</v>
      </c>
      <c r="G1047" s="34" t="s">
        <v>343</v>
      </c>
      <c r="H1047" s="34" t="s">
        <v>73</v>
      </c>
      <c r="I1047" s="34" t="s">
        <v>78</v>
      </c>
      <c r="J1047" s="34" t="s">
        <v>58</v>
      </c>
      <c r="K1047" s="34" t="s">
        <v>229</v>
      </c>
      <c r="L1047" s="34" t="s">
        <v>230</v>
      </c>
      <c r="M1047" s="34"/>
      <c r="N1047" s="34" t="str">
        <f aca="false">"Sector "&amp;VALUE(MID(D1047,13,2))</f>
        <v>Sector 7</v>
      </c>
      <c r="O1047" s="34" t="str">
        <f aca="false">IF(Dashboard!$C$5="Ubicación técnica",N1047,"Sector "&amp;VALUE(RIGHT(G1047,2)))</f>
        <v>Sector 7</v>
      </c>
      <c r="P1047" s="34" t="str">
        <f aca="false">IF(MID(D1047,15,3)="SEL","Subestación eléctrica","Área de proceso")</f>
        <v>Subestación eléctrica</v>
      </c>
      <c r="Q1047" s="34" t="str">
        <f aca="false">MID(D1047,13,5)&amp;"|"&amp;MID(D1047,19,5)</f>
        <v>07SEL|S_033</v>
      </c>
      <c r="R1047" s="34" t="str">
        <f aca="false">IF(P1047="Subestación eléctrica",IFERROR(INDEX(cat_SubN,MATCH(Q1047,cat_SubK,0)),"SIN CATALOGAR"),"ÁREA DE PROCESO")</f>
        <v>SE-33</v>
      </c>
      <c r="S1047" s="34" t="str">
        <f aca="false">IF(H1047="","SIN DATO",IFERROR(INDEX(cat_MarcaN,MATCH(H1047,cat_MarcaO,0)),H1047))</f>
        <v>SIEMENS</v>
      </c>
      <c r="T1047" s="34" t="str">
        <f aca="false">IF(I1047="","SIN DATO",IFERROR(INDEX(cat_ModN,MATCH(I1047,cat_ModO,0)),I1047))</f>
        <v>SENTRON</v>
      </c>
      <c r="U1047" s="34" t="str">
        <f aca="false">IF(I1047="","",IFERROR(INDEX(cat_ModG,MATCH(I1047,cat_ModO,0)),"No"))</f>
        <v>No</v>
      </c>
      <c r="V1047" s="34" t="str">
        <f aca="false">IF(J1047="","SIN DATO",IFERROR(INDEX(cat_FunN,MATCH(J1047,cat_FunO,0)),J1047))</f>
        <v>Medición</v>
      </c>
      <c r="W1047" s="34" t="str">
        <f aca="false">IF(OR(S1047="SIN DATO",T1047="SIN DATO"),"No","Sí")</f>
        <v>Sí</v>
      </c>
    </row>
    <row r="1048" customFormat="false" ht="15" hidden="false" customHeight="false" outlineLevel="0" collapsed="false">
      <c r="A1048" s="34" t="s">
        <v>3875</v>
      </c>
      <c r="B1048" s="34" t="s">
        <v>3876</v>
      </c>
      <c r="C1048" s="34" t="s">
        <v>3877</v>
      </c>
      <c r="D1048" s="34" t="s">
        <v>3878</v>
      </c>
      <c r="E1048" s="34" t="s">
        <v>156</v>
      </c>
      <c r="F1048" s="34" t="s">
        <v>1602</v>
      </c>
      <c r="G1048" s="34" t="s">
        <v>343</v>
      </c>
      <c r="H1048" s="34" t="s">
        <v>73</v>
      </c>
      <c r="I1048" s="34" t="s">
        <v>78</v>
      </c>
      <c r="J1048" s="34" t="s">
        <v>58</v>
      </c>
      <c r="K1048" s="34" t="s">
        <v>229</v>
      </c>
      <c r="L1048" s="34" t="s">
        <v>230</v>
      </c>
      <c r="M1048" s="34"/>
      <c r="N1048" s="34" t="str">
        <f aca="false">"Sector "&amp;VALUE(MID(D1048,13,2))</f>
        <v>Sector 7</v>
      </c>
      <c r="O1048" s="34" t="str">
        <f aca="false">IF(Dashboard!$C$5="Ubicación técnica",N1048,"Sector "&amp;VALUE(RIGHT(G1048,2)))</f>
        <v>Sector 7</v>
      </c>
      <c r="P1048" s="34" t="str">
        <f aca="false">IF(MID(D1048,15,3)="SEL","Subestación eléctrica","Área de proceso")</f>
        <v>Subestación eléctrica</v>
      </c>
      <c r="Q1048" s="34" t="str">
        <f aca="false">MID(D1048,13,5)&amp;"|"&amp;MID(D1048,19,5)</f>
        <v>07SEL|S_020</v>
      </c>
      <c r="R1048" s="34" t="str">
        <f aca="false">IF(P1048="Subestación eléctrica",IFERROR(INDEX(cat_SubN,MATCH(Q1048,cat_SubK,0)),"SIN CATALOGAR"),"ÁREA DE PROCESO")</f>
        <v>SE-20</v>
      </c>
      <c r="S1048" s="34" t="str">
        <f aca="false">IF(H1048="","SIN DATO",IFERROR(INDEX(cat_MarcaN,MATCH(H1048,cat_MarcaO,0)),H1048))</f>
        <v>SIEMENS</v>
      </c>
      <c r="T1048" s="34" t="str">
        <f aca="false">IF(I1048="","SIN DATO",IFERROR(INDEX(cat_ModN,MATCH(I1048,cat_ModO,0)),I1048))</f>
        <v>SENTRON</v>
      </c>
      <c r="U1048" s="34" t="str">
        <f aca="false">IF(I1048="","",IFERROR(INDEX(cat_ModG,MATCH(I1048,cat_ModO,0)),"No"))</f>
        <v>No</v>
      </c>
      <c r="V1048" s="34" t="str">
        <f aca="false">IF(J1048="","SIN DATO",IFERROR(INDEX(cat_FunN,MATCH(J1048,cat_FunO,0)),J1048))</f>
        <v>Medición</v>
      </c>
      <c r="W1048" s="34" t="str">
        <f aca="false">IF(OR(S1048="SIN DATO",T1048="SIN DATO"),"No","Sí")</f>
        <v>Sí</v>
      </c>
    </row>
    <row r="1049" customFormat="false" ht="15" hidden="false" customHeight="false" outlineLevel="0" collapsed="false">
      <c r="A1049" s="34" t="s">
        <v>3879</v>
      </c>
      <c r="B1049" s="34" t="s">
        <v>3880</v>
      </c>
      <c r="C1049" s="34" t="s">
        <v>3881</v>
      </c>
      <c r="D1049" s="34" t="s">
        <v>3882</v>
      </c>
      <c r="E1049" s="34" t="s">
        <v>156</v>
      </c>
      <c r="F1049" s="34" t="s">
        <v>1602</v>
      </c>
      <c r="G1049" s="34" t="s">
        <v>343</v>
      </c>
      <c r="H1049" s="34" t="s">
        <v>73</v>
      </c>
      <c r="I1049" s="34" t="s">
        <v>78</v>
      </c>
      <c r="J1049" s="34" t="s">
        <v>58</v>
      </c>
      <c r="K1049" s="34" t="s">
        <v>229</v>
      </c>
      <c r="L1049" s="34" t="s">
        <v>230</v>
      </c>
      <c r="M1049" s="34"/>
      <c r="N1049" s="34" t="str">
        <f aca="false">"Sector "&amp;VALUE(MID(D1049,13,2))</f>
        <v>Sector 7</v>
      </c>
      <c r="O1049" s="34" t="str">
        <f aca="false">IF(Dashboard!$C$5="Ubicación técnica",N1049,"Sector "&amp;VALUE(RIGHT(G1049,2)))</f>
        <v>Sector 7</v>
      </c>
      <c r="P1049" s="34" t="str">
        <f aca="false">IF(MID(D1049,15,3)="SEL","Subestación eléctrica","Área de proceso")</f>
        <v>Subestación eléctrica</v>
      </c>
      <c r="Q1049" s="34" t="str">
        <f aca="false">MID(D1049,13,5)&amp;"|"&amp;MID(D1049,19,5)</f>
        <v>07SEL|S_020</v>
      </c>
      <c r="R1049" s="34" t="str">
        <f aca="false">IF(P1049="Subestación eléctrica",IFERROR(INDEX(cat_SubN,MATCH(Q1049,cat_SubK,0)),"SIN CATALOGAR"),"ÁREA DE PROCESO")</f>
        <v>SE-20</v>
      </c>
      <c r="S1049" s="34" t="str">
        <f aca="false">IF(H1049="","SIN DATO",IFERROR(INDEX(cat_MarcaN,MATCH(H1049,cat_MarcaO,0)),H1049))</f>
        <v>SIEMENS</v>
      </c>
      <c r="T1049" s="34" t="str">
        <f aca="false">IF(I1049="","SIN DATO",IFERROR(INDEX(cat_ModN,MATCH(I1049,cat_ModO,0)),I1049))</f>
        <v>SENTRON</v>
      </c>
      <c r="U1049" s="34" t="str">
        <f aca="false">IF(I1049="","",IFERROR(INDEX(cat_ModG,MATCH(I1049,cat_ModO,0)),"No"))</f>
        <v>No</v>
      </c>
      <c r="V1049" s="34" t="str">
        <f aca="false">IF(J1049="","SIN DATO",IFERROR(INDEX(cat_FunN,MATCH(J1049,cat_FunO,0)),J1049))</f>
        <v>Medición</v>
      </c>
      <c r="W1049" s="34" t="str">
        <f aca="false">IF(OR(S1049="SIN DATO",T1049="SIN DATO"),"No","Sí")</f>
        <v>Sí</v>
      </c>
    </row>
    <row r="1050" customFormat="false" ht="15" hidden="false" customHeight="false" outlineLevel="0" collapsed="false">
      <c r="A1050" s="34" t="s">
        <v>3883</v>
      </c>
      <c r="B1050" s="34" t="s">
        <v>3884</v>
      </c>
      <c r="C1050" s="34" t="s">
        <v>3885</v>
      </c>
      <c r="D1050" s="34" t="s">
        <v>3886</v>
      </c>
      <c r="E1050" s="34" t="s">
        <v>156</v>
      </c>
      <c r="F1050" s="34" t="s">
        <v>1602</v>
      </c>
      <c r="G1050" s="34" t="s">
        <v>343</v>
      </c>
      <c r="H1050" s="34" t="s">
        <v>73</v>
      </c>
      <c r="I1050" s="34" t="s">
        <v>78</v>
      </c>
      <c r="J1050" s="34" t="s">
        <v>58</v>
      </c>
      <c r="K1050" s="34" t="s">
        <v>229</v>
      </c>
      <c r="L1050" s="34" t="s">
        <v>230</v>
      </c>
      <c r="M1050" s="34"/>
      <c r="N1050" s="34" t="str">
        <f aca="false">"Sector "&amp;VALUE(MID(D1050,13,2))</f>
        <v>Sector 7</v>
      </c>
      <c r="O1050" s="34" t="str">
        <f aca="false">IF(Dashboard!$C$5="Ubicación técnica",N1050,"Sector "&amp;VALUE(RIGHT(G1050,2)))</f>
        <v>Sector 7</v>
      </c>
      <c r="P1050" s="34" t="str">
        <f aca="false">IF(MID(D1050,15,3)="SEL","Subestación eléctrica","Área de proceso")</f>
        <v>Subestación eléctrica</v>
      </c>
      <c r="Q1050" s="34" t="str">
        <f aca="false">MID(D1050,13,5)&amp;"|"&amp;MID(D1050,19,5)</f>
        <v>07SEL|S_020</v>
      </c>
      <c r="R1050" s="34" t="str">
        <f aca="false">IF(P1050="Subestación eléctrica",IFERROR(INDEX(cat_SubN,MATCH(Q1050,cat_SubK,0)),"SIN CATALOGAR"),"ÁREA DE PROCESO")</f>
        <v>SE-20</v>
      </c>
      <c r="S1050" s="34" t="str">
        <f aca="false">IF(H1050="","SIN DATO",IFERROR(INDEX(cat_MarcaN,MATCH(H1050,cat_MarcaO,0)),H1050))</f>
        <v>SIEMENS</v>
      </c>
      <c r="T1050" s="34" t="str">
        <f aca="false">IF(I1050="","SIN DATO",IFERROR(INDEX(cat_ModN,MATCH(I1050,cat_ModO,0)),I1050))</f>
        <v>SENTRON</v>
      </c>
      <c r="U1050" s="34" t="str">
        <f aca="false">IF(I1050="","",IFERROR(INDEX(cat_ModG,MATCH(I1050,cat_ModO,0)),"No"))</f>
        <v>No</v>
      </c>
      <c r="V1050" s="34" t="str">
        <f aca="false">IF(J1050="","SIN DATO",IFERROR(INDEX(cat_FunN,MATCH(J1050,cat_FunO,0)),J1050))</f>
        <v>Medición</v>
      </c>
      <c r="W1050" s="34" t="str">
        <f aca="false">IF(OR(S1050="SIN DATO",T1050="SIN DATO"),"No","Sí")</f>
        <v>Sí</v>
      </c>
    </row>
    <row r="1051" customFormat="false" ht="15" hidden="false" customHeight="false" outlineLevel="0" collapsed="false">
      <c r="A1051" s="34" t="s">
        <v>3887</v>
      </c>
      <c r="B1051" s="34" t="s">
        <v>3888</v>
      </c>
      <c r="C1051" s="34" t="s">
        <v>3889</v>
      </c>
      <c r="D1051" s="34" t="s">
        <v>3890</v>
      </c>
      <c r="E1051" s="34" t="s">
        <v>156</v>
      </c>
      <c r="F1051" s="34" t="s">
        <v>1602</v>
      </c>
      <c r="G1051" s="34" t="s">
        <v>343</v>
      </c>
      <c r="H1051" s="34" t="s">
        <v>73</v>
      </c>
      <c r="I1051" s="34" t="s">
        <v>78</v>
      </c>
      <c r="J1051" s="34" t="s">
        <v>58</v>
      </c>
      <c r="K1051" s="34" t="s">
        <v>229</v>
      </c>
      <c r="L1051" s="34" t="s">
        <v>230</v>
      </c>
      <c r="M1051" s="34"/>
      <c r="N1051" s="34" t="str">
        <f aca="false">"Sector "&amp;VALUE(MID(D1051,13,2))</f>
        <v>Sector 7</v>
      </c>
      <c r="O1051" s="34" t="str">
        <f aca="false">IF(Dashboard!$C$5="Ubicación técnica",N1051,"Sector "&amp;VALUE(RIGHT(G1051,2)))</f>
        <v>Sector 7</v>
      </c>
      <c r="P1051" s="34" t="str">
        <f aca="false">IF(MID(D1051,15,3)="SEL","Subestación eléctrica","Área de proceso")</f>
        <v>Subestación eléctrica</v>
      </c>
      <c r="Q1051" s="34" t="str">
        <f aca="false">MID(D1051,13,5)&amp;"|"&amp;MID(D1051,19,5)</f>
        <v>07SEL|S_020</v>
      </c>
      <c r="R1051" s="34" t="str">
        <f aca="false">IF(P1051="Subestación eléctrica",IFERROR(INDEX(cat_SubN,MATCH(Q1051,cat_SubK,0)),"SIN CATALOGAR"),"ÁREA DE PROCESO")</f>
        <v>SE-20</v>
      </c>
      <c r="S1051" s="34" t="str">
        <f aca="false">IF(H1051="","SIN DATO",IFERROR(INDEX(cat_MarcaN,MATCH(H1051,cat_MarcaO,0)),H1051))</f>
        <v>SIEMENS</v>
      </c>
      <c r="T1051" s="34" t="str">
        <f aca="false">IF(I1051="","SIN DATO",IFERROR(INDEX(cat_ModN,MATCH(I1051,cat_ModO,0)),I1051))</f>
        <v>SENTRON</v>
      </c>
      <c r="U1051" s="34" t="str">
        <f aca="false">IF(I1051="","",IFERROR(INDEX(cat_ModG,MATCH(I1051,cat_ModO,0)),"No"))</f>
        <v>No</v>
      </c>
      <c r="V1051" s="34" t="str">
        <f aca="false">IF(J1051="","SIN DATO",IFERROR(INDEX(cat_FunN,MATCH(J1051,cat_FunO,0)),J1051))</f>
        <v>Medición</v>
      </c>
      <c r="W1051" s="34" t="str">
        <f aca="false">IF(OR(S1051="SIN DATO",T1051="SIN DATO"),"No","Sí")</f>
        <v>Sí</v>
      </c>
    </row>
    <row r="1052" customFormat="false" ht="15" hidden="false" customHeight="false" outlineLevel="0" collapsed="false">
      <c r="A1052" s="34" t="s">
        <v>3891</v>
      </c>
      <c r="B1052" s="34" t="s">
        <v>3892</v>
      </c>
      <c r="C1052" s="34" t="s">
        <v>3893</v>
      </c>
      <c r="D1052" s="34" t="s">
        <v>3894</v>
      </c>
      <c r="E1052" s="34" t="s">
        <v>160</v>
      </c>
      <c r="F1052" s="34" t="s">
        <v>1602</v>
      </c>
      <c r="G1052" s="34" t="s">
        <v>343</v>
      </c>
      <c r="H1052" s="34" t="s">
        <v>73</v>
      </c>
      <c r="I1052" s="34" t="s">
        <v>75</v>
      </c>
      <c r="J1052" s="34" t="s">
        <v>228</v>
      </c>
      <c r="K1052" s="34" t="s">
        <v>229</v>
      </c>
      <c r="L1052" s="34" t="s">
        <v>230</v>
      </c>
      <c r="M1052" s="34" t="s">
        <v>344</v>
      </c>
      <c r="N1052" s="34" t="str">
        <f aca="false">"Sector "&amp;VALUE(MID(D1052,13,2))</f>
        <v>Sector 7</v>
      </c>
      <c r="O1052" s="34" t="str">
        <f aca="false">IF(Dashboard!$C$5="Ubicación técnica",N1052,"Sector "&amp;VALUE(RIGHT(G1052,2)))</f>
        <v>Sector 7</v>
      </c>
      <c r="P1052" s="34" t="str">
        <f aca="false">IF(MID(D1052,15,3)="SEL","Subestación eléctrica","Área de proceso")</f>
        <v>Subestación eléctrica</v>
      </c>
      <c r="Q1052" s="34" t="str">
        <f aca="false">MID(D1052,13,5)&amp;"|"&amp;MID(D1052,19,5)</f>
        <v>07SEL|S_021</v>
      </c>
      <c r="R1052" s="34" t="str">
        <f aca="false">IF(P1052="Subestación eléctrica",IFERROR(INDEX(cat_SubN,MATCH(Q1052,cat_SubK,0)),"SIN CATALOGAR"),"ÁREA DE PROCESO")</f>
        <v>SE-21</v>
      </c>
      <c r="S1052" s="34" t="str">
        <f aca="false">IF(H1052="","SIN DATO",IFERROR(INDEX(cat_MarcaN,MATCH(H1052,cat_MarcaO,0)),H1052))</f>
        <v>SIEMENS</v>
      </c>
      <c r="T1052" s="34" t="str">
        <f aca="false">IF(I1052="","SIN DATO",IFERROR(INDEX(cat_ModN,MATCH(I1052,cat_ModO,0)),I1052))</f>
        <v>REYROLLE</v>
      </c>
      <c r="U1052" s="34" t="str">
        <f aca="false">IF(I1052="","",IFERROR(INDEX(cat_ModG,MATCH(I1052,cat_ModO,0)),"No"))</f>
        <v>Sí</v>
      </c>
      <c r="V1052" s="34" t="str">
        <f aca="false">IF(J1052="","SIN DATO",IFERROR(INDEX(cat_FunN,MATCH(J1052,cat_FunO,0)),J1052))</f>
        <v>Protección y medición</v>
      </c>
      <c r="W1052" s="34" t="str">
        <f aca="false">IF(OR(S1052="SIN DATO",T1052="SIN DATO"),"No","Sí")</f>
        <v>Sí</v>
      </c>
    </row>
    <row r="1053" customFormat="false" ht="15" hidden="false" customHeight="false" outlineLevel="0" collapsed="false">
      <c r="A1053" s="34" t="s">
        <v>3895</v>
      </c>
      <c r="B1053" s="34" t="s">
        <v>3896</v>
      </c>
      <c r="C1053" s="34" t="s">
        <v>3897</v>
      </c>
      <c r="D1053" s="34" t="s">
        <v>3894</v>
      </c>
      <c r="E1053" s="34" t="s">
        <v>160</v>
      </c>
      <c r="F1053" s="34" t="s">
        <v>1602</v>
      </c>
      <c r="G1053" s="34" t="s">
        <v>343</v>
      </c>
      <c r="H1053" s="34" t="s">
        <v>73</v>
      </c>
      <c r="I1053" s="34" t="s">
        <v>75</v>
      </c>
      <c r="J1053" s="34" t="s">
        <v>681</v>
      </c>
      <c r="K1053" s="34" t="s">
        <v>229</v>
      </c>
      <c r="L1053" s="34" t="s">
        <v>230</v>
      </c>
      <c r="M1053" s="34" t="s">
        <v>344</v>
      </c>
      <c r="N1053" s="34" t="str">
        <f aca="false">"Sector "&amp;VALUE(MID(D1053,13,2))</f>
        <v>Sector 7</v>
      </c>
      <c r="O1053" s="34" t="str">
        <f aca="false">IF(Dashboard!$C$5="Ubicación técnica",N1053,"Sector "&amp;VALUE(RIGHT(G1053,2)))</f>
        <v>Sector 7</v>
      </c>
      <c r="P1053" s="34" t="str">
        <f aca="false">IF(MID(D1053,15,3)="SEL","Subestación eléctrica","Área de proceso")</f>
        <v>Subestación eléctrica</v>
      </c>
      <c r="Q1053" s="34" t="str">
        <f aca="false">MID(D1053,13,5)&amp;"|"&amp;MID(D1053,19,5)</f>
        <v>07SEL|S_021</v>
      </c>
      <c r="R1053" s="34" t="str">
        <f aca="false">IF(P1053="Subestación eléctrica",IFERROR(INDEX(cat_SubN,MATCH(Q1053,cat_SubK,0)),"SIN CATALOGAR"),"ÁREA DE PROCESO")</f>
        <v>SE-21</v>
      </c>
      <c r="S1053" s="34" t="str">
        <f aca="false">IF(H1053="","SIN DATO",IFERROR(INDEX(cat_MarcaN,MATCH(H1053,cat_MarcaO,0)),H1053))</f>
        <v>SIEMENS</v>
      </c>
      <c r="T1053" s="34" t="str">
        <f aca="false">IF(I1053="","SIN DATO",IFERROR(INDEX(cat_ModN,MATCH(I1053,cat_ModO,0)),I1053))</f>
        <v>REYROLLE</v>
      </c>
      <c r="U1053" s="34" t="str">
        <f aca="false">IF(I1053="","",IFERROR(INDEX(cat_ModG,MATCH(I1053,cat_ModO,0)),"No"))</f>
        <v>Sí</v>
      </c>
      <c r="V1053" s="34" t="str">
        <f aca="false">IF(J1053="","SIN DATO",IFERROR(INDEX(cat_FunN,MATCH(J1053,cat_FunO,0)),J1053))</f>
        <v>Protección</v>
      </c>
      <c r="W1053" s="34" t="str">
        <f aca="false">IF(OR(S1053="SIN DATO",T1053="SIN DATO"),"No","Sí")</f>
        <v>Sí</v>
      </c>
    </row>
    <row r="1054" customFormat="false" ht="15" hidden="false" customHeight="false" outlineLevel="0" collapsed="false">
      <c r="A1054" s="34" t="s">
        <v>3898</v>
      </c>
      <c r="B1054" s="34" t="s">
        <v>3899</v>
      </c>
      <c r="C1054" s="34" t="s">
        <v>3900</v>
      </c>
      <c r="D1054" s="34" t="s">
        <v>3901</v>
      </c>
      <c r="E1054" s="34" t="s">
        <v>160</v>
      </c>
      <c r="F1054" s="34" t="s">
        <v>1602</v>
      </c>
      <c r="G1054" s="34" t="s">
        <v>343</v>
      </c>
      <c r="H1054" s="34" t="s">
        <v>73</v>
      </c>
      <c r="I1054" s="34" t="s">
        <v>75</v>
      </c>
      <c r="J1054" s="34" t="s">
        <v>228</v>
      </c>
      <c r="K1054" s="34" t="s">
        <v>229</v>
      </c>
      <c r="L1054" s="34" t="s">
        <v>230</v>
      </c>
      <c r="M1054" s="34" t="s">
        <v>344</v>
      </c>
      <c r="N1054" s="34" t="str">
        <f aca="false">"Sector "&amp;VALUE(MID(D1054,13,2))</f>
        <v>Sector 7</v>
      </c>
      <c r="O1054" s="34" t="str">
        <f aca="false">IF(Dashboard!$C$5="Ubicación técnica",N1054,"Sector "&amp;VALUE(RIGHT(G1054,2)))</f>
        <v>Sector 7</v>
      </c>
      <c r="P1054" s="34" t="str">
        <f aca="false">IF(MID(D1054,15,3)="SEL","Subestación eléctrica","Área de proceso")</f>
        <v>Subestación eléctrica</v>
      </c>
      <c r="Q1054" s="34" t="str">
        <f aca="false">MID(D1054,13,5)&amp;"|"&amp;MID(D1054,19,5)</f>
        <v>07SEL|S_021</v>
      </c>
      <c r="R1054" s="34" t="str">
        <f aca="false">IF(P1054="Subestación eléctrica",IFERROR(INDEX(cat_SubN,MATCH(Q1054,cat_SubK,0)),"SIN CATALOGAR"),"ÁREA DE PROCESO")</f>
        <v>SE-21</v>
      </c>
      <c r="S1054" s="34" t="str">
        <f aca="false">IF(H1054="","SIN DATO",IFERROR(INDEX(cat_MarcaN,MATCH(H1054,cat_MarcaO,0)),H1054))</f>
        <v>SIEMENS</v>
      </c>
      <c r="T1054" s="34" t="str">
        <f aca="false">IF(I1054="","SIN DATO",IFERROR(INDEX(cat_ModN,MATCH(I1054,cat_ModO,0)),I1054))</f>
        <v>REYROLLE</v>
      </c>
      <c r="U1054" s="34" t="str">
        <f aca="false">IF(I1054="","",IFERROR(INDEX(cat_ModG,MATCH(I1054,cat_ModO,0)),"No"))</f>
        <v>Sí</v>
      </c>
      <c r="V1054" s="34" t="str">
        <f aca="false">IF(J1054="","SIN DATO",IFERROR(INDEX(cat_FunN,MATCH(J1054,cat_FunO,0)),J1054))</f>
        <v>Protección y medición</v>
      </c>
      <c r="W1054" s="34" t="str">
        <f aca="false">IF(OR(S1054="SIN DATO",T1054="SIN DATO"),"No","Sí")</f>
        <v>Sí</v>
      </c>
    </row>
    <row r="1055" customFormat="false" ht="15" hidden="false" customHeight="false" outlineLevel="0" collapsed="false">
      <c r="A1055" s="34" t="s">
        <v>3902</v>
      </c>
      <c r="B1055" s="34" t="s">
        <v>3903</v>
      </c>
      <c r="C1055" s="34" t="s">
        <v>3904</v>
      </c>
      <c r="D1055" s="34" t="s">
        <v>3901</v>
      </c>
      <c r="E1055" s="34" t="s">
        <v>160</v>
      </c>
      <c r="F1055" s="34" t="s">
        <v>1602</v>
      </c>
      <c r="G1055" s="34" t="s">
        <v>343</v>
      </c>
      <c r="H1055" s="34" t="s">
        <v>73</v>
      </c>
      <c r="I1055" s="34" t="s">
        <v>75</v>
      </c>
      <c r="J1055" s="34" t="s">
        <v>681</v>
      </c>
      <c r="K1055" s="34" t="s">
        <v>229</v>
      </c>
      <c r="L1055" s="34" t="s">
        <v>230</v>
      </c>
      <c r="M1055" s="34" t="s">
        <v>344</v>
      </c>
      <c r="N1055" s="34" t="str">
        <f aca="false">"Sector "&amp;VALUE(MID(D1055,13,2))</f>
        <v>Sector 7</v>
      </c>
      <c r="O1055" s="34" t="str">
        <f aca="false">IF(Dashboard!$C$5="Ubicación técnica",N1055,"Sector "&amp;VALUE(RIGHT(G1055,2)))</f>
        <v>Sector 7</v>
      </c>
      <c r="P1055" s="34" t="str">
        <f aca="false">IF(MID(D1055,15,3)="SEL","Subestación eléctrica","Área de proceso")</f>
        <v>Subestación eléctrica</v>
      </c>
      <c r="Q1055" s="34" t="str">
        <f aca="false">MID(D1055,13,5)&amp;"|"&amp;MID(D1055,19,5)</f>
        <v>07SEL|S_021</v>
      </c>
      <c r="R1055" s="34" t="str">
        <f aca="false">IF(P1055="Subestación eléctrica",IFERROR(INDEX(cat_SubN,MATCH(Q1055,cat_SubK,0)),"SIN CATALOGAR"),"ÁREA DE PROCESO")</f>
        <v>SE-21</v>
      </c>
      <c r="S1055" s="34" t="str">
        <f aca="false">IF(H1055="","SIN DATO",IFERROR(INDEX(cat_MarcaN,MATCH(H1055,cat_MarcaO,0)),H1055))</f>
        <v>SIEMENS</v>
      </c>
      <c r="T1055" s="34" t="str">
        <f aca="false">IF(I1055="","SIN DATO",IFERROR(INDEX(cat_ModN,MATCH(I1055,cat_ModO,0)),I1055))</f>
        <v>REYROLLE</v>
      </c>
      <c r="U1055" s="34" t="str">
        <f aca="false">IF(I1055="","",IFERROR(INDEX(cat_ModG,MATCH(I1055,cat_ModO,0)),"No"))</f>
        <v>Sí</v>
      </c>
      <c r="V1055" s="34" t="str">
        <f aca="false">IF(J1055="","SIN DATO",IFERROR(INDEX(cat_FunN,MATCH(J1055,cat_FunO,0)),J1055))</f>
        <v>Protección</v>
      </c>
      <c r="W1055" s="34" t="str">
        <f aca="false">IF(OR(S1055="SIN DATO",T1055="SIN DATO"),"No","Sí")</f>
        <v>Sí</v>
      </c>
    </row>
    <row r="1056" customFormat="false" ht="15" hidden="false" customHeight="false" outlineLevel="0" collapsed="false">
      <c r="A1056" s="34" t="s">
        <v>3905</v>
      </c>
      <c r="B1056" s="34" t="s">
        <v>3906</v>
      </c>
      <c r="C1056" s="34" t="s">
        <v>3907</v>
      </c>
      <c r="D1056" s="34" t="s">
        <v>3908</v>
      </c>
      <c r="E1056" s="34" t="s">
        <v>160</v>
      </c>
      <c r="F1056" s="34" t="s">
        <v>1602</v>
      </c>
      <c r="G1056" s="34" t="s">
        <v>343</v>
      </c>
      <c r="H1056" s="34" t="s">
        <v>73</v>
      </c>
      <c r="I1056" s="34" t="s">
        <v>75</v>
      </c>
      <c r="J1056" s="34" t="s">
        <v>228</v>
      </c>
      <c r="K1056" s="34" t="s">
        <v>229</v>
      </c>
      <c r="L1056" s="34" t="s">
        <v>230</v>
      </c>
      <c r="M1056" s="34" t="s">
        <v>344</v>
      </c>
      <c r="N1056" s="34" t="str">
        <f aca="false">"Sector "&amp;VALUE(MID(D1056,13,2))</f>
        <v>Sector 7</v>
      </c>
      <c r="O1056" s="34" t="str">
        <f aca="false">IF(Dashboard!$C$5="Ubicación técnica",N1056,"Sector "&amp;VALUE(RIGHT(G1056,2)))</f>
        <v>Sector 7</v>
      </c>
      <c r="P1056" s="34" t="str">
        <f aca="false">IF(MID(D1056,15,3)="SEL","Subestación eléctrica","Área de proceso")</f>
        <v>Subestación eléctrica</v>
      </c>
      <c r="Q1056" s="34" t="str">
        <f aca="false">MID(D1056,13,5)&amp;"|"&amp;MID(D1056,19,5)</f>
        <v>07SEL|S_021</v>
      </c>
      <c r="R1056" s="34" t="str">
        <f aca="false">IF(P1056="Subestación eléctrica",IFERROR(INDEX(cat_SubN,MATCH(Q1056,cat_SubK,0)),"SIN CATALOGAR"),"ÁREA DE PROCESO")</f>
        <v>SE-21</v>
      </c>
      <c r="S1056" s="34" t="str">
        <f aca="false">IF(H1056="","SIN DATO",IFERROR(INDEX(cat_MarcaN,MATCH(H1056,cat_MarcaO,0)),H1056))</f>
        <v>SIEMENS</v>
      </c>
      <c r="T1056" s="34" t="str">
        <f aca="false">IF(I1056="","SIN DATO",IFERROR(INDEX(cat_ModN,MATCH(I1056,cat_ModO,0)),I1056))</f>
        <v>REYROLLE</v>
      </c>
      <c r="U1056" s="34" t="str">
        <f aca="false">IF(I1056="","",IFERROR(INDEX(cat_ModG,MATCH(I1056,cat_ModO,0)),"No"))</f>
        <v>Sí</v>
      </c>
      <c r="V1056" s="34" t="str">
        <f aca="false">IF(J1056="","SIN DATO",IFERROR(INDEX(cat_FunN,MATCH(J1056,cat_FunO,0)),J1056))</f>
        <v>Protección y medición</v>
      </c>
      <c r="W1056" s="34" t="str">
        <f aca="false">IF(OR(S1056="SIN DATO",T1056="SIN DATO"),"No","Sí")</f>
        <v>Sí</v>
      </c>
    </row>
    <row r="1057" customFormat="false" ht="15" hidden="false" customHeight="false" outlineLevel="0" collapsed="false">
      <c r="A1057" s="34" t="s">
        <v>3909</v>
      </c>
      <c r="B1057" s="34" t="s">
        <v>3910</v>
      </c>
      <c r="C1057" s="34" t="s">
        <v>3911</v>
      </c>
      <c r="D1057" s="34" t="s">
        <v>3908</v>
      </c>
      <c r="E1057" s="34" t="s">
        <v>160</v>
      </c>
      <c r="F1057" s="34" t="s">
        <v>1602</v>
      </c>
      <c r="G1057" s="34" t="s">
        <v>343</v>
      </c>
      <c r="H1057" s="34" t="s">
        <v>73</v>
      </c>
      <c r="I1057" s="34" t="s">
        <v>75</v>
      </c>
      <c r="J1057" s="34" t="s">
        <v>228</v>
      </c>
      <c r="K1057" s="34" t="s">
        <v>229</v>
      </c>
      <c r="L1057" s="34" t="s">
        <v>230</v>
      </c>
      <c r="M1057" s="34" t="s">
        <v>344</v>
      </c>
      <c r="N1057" s="34" t="str">
        <f aca="false">"Sector "&amp;VALUE(MID(D1057,13,2))</f>
        <v>Sector 7</v>
      </c>
      <c r="O1057" s="34" t="str">
        <f aca="false">IF(Dashboard!$C$5="Ubicación técnica",N1057,"Sector "&amp;VALUE(RIGHT(G1057,2)))</f>
        <v>Sector 7</v>
      </c>
      <c r="P1057" s="34" t="str">
        <f aca="false">IF(MID(D1057,15,3)="SEL","Subestación eléctrica","Área de proceso")</f>
        <v>Subestación eléctrica</v>
      </c>
      <c r="Q1057" s="34" t="str">
        <f aca="false">MID(D1057,13,5)&amp;"|"&amp;MID(D1057,19,5)</f>
        <v>07SEL|S_021</v>
      </c>
      <c r="R1057" s="34" t="str">
        <f aca="false">IF(P1057="Subestación eléctrica",IFERROR(INDEX(cat_SubN,MATCH(Q1057,cat_SubK,0)),"SIN CATALOGAR"),"ÁREA DE PROCESO")</f>
        <v>SE-21</v>
      </c>
      <c r="S1057" s="34" t="str">
        <f aca="false">IF(H1057="","SIN DATO",IFERROR(INDEX(cat_MarcaN,MATCH(H1057,cat_MarcaO,0)),H1057))</f>
        <v>SIEMENS</v>
      </c>
      <c r="T1057" s="34" t="str">
        <f aca="false">IF(I1057="","SIN DATO",IFERROR(INDEX(cat_ModN,MATCH(I1057,cat_ModO,0)),I1057))</f>
        <v>REYROLLE</v>
      </c>
      <c r="U1057" s="34" t="str">
        <f aca="false">IF(I1057="","",IFERROR(INDEX(cat_ModG,MATCH(I1057,cat_ModO,0)),"No"))</f>
        <v>Sí</v>
      </c>
      <c r="V1057" s="34" t="str">
        <f aca="false">IF(J1057="","SIN DATO",IFERROR(INDEX(cat_FunN,MATCH(J1057,cat_FunO,0)),J1057))</f>
        <v>Protección y medición</v>
      </c>
      <c r="W1057" s="34" t="str">
        <f aca="false">IF(OR(S1057="SIN DATO",T1057="SIN DATO"),"No","Sí")</f>
        <v>Sí</v>
      </c>
    </row>
    <row r="1058" customFormat="false" ht="15" hidden="false" customHeight="false" outlineLevel="0" collapsed="false">
      <c r="A1058" s="34" t="s">
        <v>3912</v>
      </c>
      <c r="B1058" s="34" t="s">
        <v>3913</v>
      </c>
      <c r="C1058" s="34" t="s">
        <v>3914</v>
      </c>
      <c r="D1058" s="34" t="s">
        <v>3915</v>
      </c>
      <c r="E1058" s="34" t="s">
        <v>160</v>
      </c>
      <c r="F1058" s="34" t="s">
        <v>1602</v>
      </c>
      <c r="G1058" s="34" t="s">
        <v>343</v>
      </c>
      <c r="H1058" s="34" t="s">
        <v>73</v>
      </c>
      <c r="I1058" s="34" t="s">
        <v>75</v>
      </c>
      <c r="J1058" s="34" t="s">
        <v>228</v>
      </c>
      <c r="K1058" s="34" t="s">
        <v>229</v>
      </c>
      <c r="L1058" s="34" t="s">
        <v>230</v>
      </c>
      <c r="M1058" s="34" t="s">
        <v>344</v>
      </c>
      <c r="N1058" s="34" t="str">
        <f aca="false">"Sector "&amp;VALUE(MID(D1058,13,2))</f>
        <v>Sector 7</v>
      </c>
      <c r="O1058" s="34" t="str">
        <f aca="false">IF(Dashboard!$C$5="Ubicación técnica",N1058,"Sector "&amp;VALUE(RIGHT(G1058,2)))</f>
        <v>Sector 7</v>
      </c>
      <c r="P1058" s="34" t="str">
        <f aca="false">IF(MID(D1058,15,3)="SEL","Subestación eléctrica","Área de proceso")</f>
        <v>Subestación eléctrica</v>
      </c>
      <c r="Q1058" s="34" t="str">
        <f aca="false">MID(D1058,13,5)&amp;"|"&amp;MID(D1058,19,5)</f>
        <v>07SEL|S_021</v>
      </c>
      <c r="R1058" s="34" t="str">
        <f aca="false">IF(P1058="Subestación eléctrica",IFERROR(INDEX(cat_SubN,MATCH(Q1058,cat_SubK,0)),"SIN CATALOGAR"),"ÁREA DE PROCESO")</f>
        <v>SE-21</v>
      </c>
      <c r="S1058" s="34" t="str">
        <f aca="false">IF(H1058="","SIN DATO",IFERROR(INDEX(cat_MarcaN,MATCH(H1058,cat_MarcaO,0)),H1058))</f>
        <v>SIEMENS</v>
      </c>
      <c r="T1058" s="34" t="str">
        <f aca="false">IF(I1058="","SIN DATO",IFERROR(INDEX(cat_ModN,MATCH(I1058,cat_ModO,0)),I1058))</f>
        <v>REYROLLE</v>
      </c>
      <c r="U1058" s="34" t="str">
        <f aca="false">IF(I1058="","",IFERROR(INDEX(cat_ModG,MATCH(I1058,cat_ModO,0)),"No"))</f>
        <v>Sí</v>
      </c>
      <c r="V1058" s="34" t="str">
        <f aca="false">IF(J1058="","SIN DATO",IFERROR(INDEX(cat_FunN,MATCH(J1058,cat_FunO,0)),J1058))</f>
        <v>Protección y medición</v>
      </c>
      <c r="W1058" s="34" t="str">
        <f aca="false">IF(OR(S1058="SIN DATO",T1058="SIN DATO"),"No","Sí")</f>
        <v>Sí</v>
      </c>
    </row>
    <row r="1059" customFormat="false" ht="15" hidden="false" customHeight="false" outlineLevel="0" collapsed="false">
      <c r="A1059" s="34" t="s">
        <v>3916</v>
      </c>
      <c r="B1059" s="34" t="s">
        <v>3917</v>
      </c>
      <c r="C1059" s="34" t="s">
        <v>3918</v>
      </c>
      <c r="D1059" s="34" t="s">
        <v>3908</v>
      </c>
      <c r="E1059" s="34" t="s">
        <v>160</v>
      </c>
      <c r="F1059" s="34" t="s">
        <v>1602</v>
      </c>
      <c r="G1059" s="34" t="s">
        <v>343</v>
      </c>
      <c r="H1059" s="34" t="s">
        <v>73</v>
      </c>
      <c r="I1059" s="34" t="s">
        <v>75</v>
      </c>
      <c r="J1059" s="34" t="s">
        <v>228</v>
      </c>
      <c r="K1059" s="34" t="s">
        <v>229</v>
      </c>
      <c r="L1059" s="34" t="s">
        <v>230</v>
      </c>
      <c r="M1059" s="34" t="s">
        <v>344</v>
      </c>
      <c r="N1059" s="34" t="str">
        <f aca="false">"Sector "&amp;VALUE(MID(D1059,13,2))</f>
        <v>Sector 7</v>
      </c>
      <c r="O1059" s="34" t="str">
        <f aca="false">IF(Dashboard!$C$5="Ubicación técnica",N1059,"Sector "&amp;VALUE(RIGHT(G1059,2)))</f>
        <v>Sector 7</v>
      </c>
      <c r="P1059" s="34" t="str">
        <f aca="false">IF(MID(D1059,15,3)="SEL","Subestación eléctrica","Área de proceso")</f>
        <v>Subestación eléctrica</v>
      </c>
      <c r="Q1059" s="34" t="str">
        <f aca="false">MID(D1059,13,5)&amp;"|"&amp;MID(D1059,19,5)</f>
        <v>07SEL|S_021</v>
      </c>
      <c r="R1059" s="34" t="str">
        <f aca="false">IF(P1059="Subestación eléctrica",IFERROR(INDEX(cat_SubN,MATCH(Q1059,cat_SubK,0)),"SIN CATALOGAR"),"ÁREA DE PROCESO")</f>
        <v>SE-21</v>
      </c>
      <c r="S1059" s="34" t="str">
        <f aca="false">IF(H1059="","SIN DATO",IFERROR(INDEX(cat_MarcaN,MATCH(H1059,cat_MarcaO,0)),H1059))</f>
        <v>SIEMENS</v>
      </c>
      <c r="T1059" s="34" t="str">
        <f aca="false">IF(I1059="","SIN DATO",IFERROR(INDEX(cat_ModN,MATCH(I1059,cat_ModO,0)),I1059))</f>
        <v>REYROLLE</v>
      </c>
      <c r="U1059" s="34" t="str">
        <f aca="false">IF(I1059="","",IFERROR(INDEX(cat_ModG,MATCH(I1059,cat_ModO,0)),"No"))</f>
        <v>Sí</v>
      </c>
      <c r="V1059" s="34" t="str">
        <f aca="false">IF(J1059="","SIN DATO",IFERROR(INDEX(cat_FunN,MATCH(J1059,cat_FunO,0)),J1059))</f>
        <v>Protección y medición</v>
      </c>
      <c r="W1059" s="34" t="str">
        <f aca="false">IF(OR(S1059="SIN DATO",T1059="SIN DATO"),"No","Sí")</f>
        <v>Sí</v>
      </c>
    </row>
    <row r="1060" customFormat="false" ht="15" hidden="false" customHeight="false" outlineLevel="0" collapsed="false">
      <c r="A1060" s="34" t="s">
        <v>3919</v>
      </c>
      <c r="B1060" s="34" t="s">
        <v>3920</v>
      </c>
      <c r="C1060" s="34" t="s">
        <v>3921</v>
      </c>
      <c r="D1060" s="34" t="s">
        <v>3922</v>
      </c>
      <c r="E1060" s="34" t="s">
        <v>160</v>
      </c>
      <c r="F1060" s="34" t="s">
        <v>1602</v>
      </c>
      <c r="G1060" s="34" t="s">
        <v>343</v>
      </c>
      <c r="H1060" s="34" t="s">
        <v>73</v>
      </c>
      <c r="I1060" s="34" t="s">
        <v>75</v>
      </c>
      <c r="J1060" s="34" t="s">
        <v>228</v>
      </c>
      <c r="K1060" s="34" t="s">
        <v>229</v>
      </c>
      <c r="L1060" s="34" t="s">
        <v>230</v>
      </c>
      <c r="M1060" s="34" t="s">
        <v>344</v>
      </c>
      <c r="N1060" s="34" t="str">
        <f aca="false">"Sector "&amp;VALUE(MID(D1060,13,2))</f>
        <v>Sector 7</v>
      </c>
      <c r="O1060" s="34" t="str">
        <f aca="false">IF(Dashboard!$C$5="Ubicación técnica",N1060,"Sector "&amp;VALUE(RIGHT(G1060,2)))</f>
        <v>Sector 7</v>
      </c>
      <c r="P1060" s="34" t="str">
        <f aca="false">IF(MID(D1060,15,3)="SEL","Subestación eléctrica","Área de proceso")</f>
        <v>Subestación eléctrica</v>
      </c>
      <c r="Q1060" s="34" t="str">
        <f aca="false">MID(D1060,13,5)&amp;"|"&amp;MID(D1060,19,5)</f>
        <v>07SEL|S_021</v>
      </c>
      <c r="R1060" s="34" t="str">
        <f aca="false">IF(P1060="Subestación eléctrica",IFERROR(INDEX(cat_SubN,MATCH(Q1060,cat_SubK,0)),"SIN CATALOGAR"),"ÁREA DE PROCESO")</f>
        <v>SE-21</v>
      </c>
      <c r="S1060" s="34" t="str">
        <f aca="false">IF(H1060="","SIN DATO",IFERROR(INDEX(cat_MarcaN,MATCH(H1060,cat_MarcaO,0)),H1060))</f>
        <v>SIEMENS</v>
      </c>
      <c r="T1060" s="34" t="str">
        <f aca="false">IF(I1060="","SIN DATO",IFERROR(INDEX(cat_ModN,MATCH(I1060,cat_ModO,0)),I1060))</f>
        <v>REYROLLE</v>
      </c>
      <c r="U1060" s="34" t="str">
        <f aca="false">IF(I1060="","",IFERROR(INDEX(cat_ModG,MATCH(I1060,cat_ModO,0)),"No"))</f>
        <v>Sí</v>
      </c>
      <c r="V1060" s="34" t="str">
        <f aca="false">IF(J1060="","SIN DATO",IFERROR(INDEX(cat_FunN,MATCH(J1060,cat_FunO,0)),J1060))</f>
        <v>Protección y medición</v>
      </c>
      <c r="W1060" s="34" t="str">
        <f aca="false">IF(OR(S1060="SIN DATO",T1060="SIN DATO"),"No","Sí")</f>
        <v>Sí</v>
      </c>
    </row>
    <row r="1061" customFormat="false" ht="15" hidden="false" customHeight="false" outlineLevel="0" collapsed="false">
      <c r="A1061" s="34" t="s">
        <v>3923</v>
      </c>
      <c r="B1061" s="34" t="s">
        <v>3924</v>
      </c>
      <c r="C1061" s="34" t="s">
        <v>3925</v>
      </c>
      <c r="D1061" s="34" t="s">
        <v>3926</v>
      </c>
      <c r="E1061" s="34" t="s">
        <v>160</v>
      </c>
      <c r="F1061" s="34" t="s">
        <v>1602</v>
      </c>
      <c r="G1061" s="34" t="s">
        <v>343</v>
      </c>
      <c r="H1061" s="34" t="s">
        <v>73</v>
      </c>
      <c r="I1061" s="34" t="s">
        <v>75</v>
      </c>
      <c r="J1061" s="34" t="s">
        <v>228</v>
      </c>
      <c r="K1061" s="34" t="s">
        <v>229</v>
      </c>
      <c r="L1061" s="34" t="s">
        <v>230</v>
      </c>
      <c r="M1061" s="34" t="s">
        <v>344</v>
      </c>
      <c r="N1061" s="34" t="str">
        <f aca="false">"Sector "&amp;VALUE(MID(D1061,13,2))</f>
        <v>Sector 7</v>
      </c>
      <c r="O1061" s="34" t="str">
        <f aca="false">IF(Dashboard!$C$5="Ubicación técnica",N1061,"Sector "&amp;VALUE(RIGHT(G1061,2)))</f>
        <v>Sector 7</v>
      </c>
      <c r="P1061" s="34" t="str">
        <f aca="false">IF(MID(D1061,15,3)="SEL","Subestación eléctrica","Área de proceso")</f>
        <v>Subestación eléctrica</v>
      </c>
      <c r="Q1061" s="34" t="str">
        <f aca="false">MID(D1061,13,5)&amp;"|"&amp;MID(D1061,19,5)</f>
        <v>07SEL|S_021</v>
      </c>
      <c r="R1061" s="34" t="str">
        <f aca="false">IF(P1061="Subestación eléctrica",IFERROR(INDEX(cat_SubN,MATCH(Q1061,cat_SubK,0)),"SIN CATALOGAR"),"ÁREA DE PROCESO")</f>
        <v>SE-21</v>
      </c>
      <c r="S1061" s="34" t="str">
        <f aca="false">IF(H1061="","SIN DATO",IFERROR(INDEX(cat_MarcaN,MATCH(H1061,cat_MarcaO,0)),H1061))</f>
        <v>SIEMENS</v>
      </c>
      <c r="T1061" s="34" t="str">
        <f aca="false">IF(I1061="","SIN DATO",IFERROR(INDEX(cat_ModN,MATCH(I1061,cat_ModO,0)),I1061))</f>
        <v>REYROLLE</v>
      </c>
      <c r="U1061" s="34" t="str">
        <f aca="false">IF(I1061="","",IFERROR(INDEX(cat_ModG,MATCH(I1061,cat_ModO,0)),"No"))</f>
        <v>Sí</v>
      </c>
      <c r="V1061" s="34" t="str">
        <f aca="false">IF(J1061="","SIN DATO",IFERROR(INDEX(cat_FunN,MATCH(J1061,cat_FunO,0)),J1061))</f>
        <v>Protección y medición</v>
      </c>
      <c r="W1061" s="34" t="str">
        <f aca="false">IF(OR(S1061="SIN DATO",T1061="SIN DATO"),"No","Sí")</f>
        <v>Sí</v>
      </c>
    </row>
    <row r="1062" customFormat="false" ht="15" hidden="false" customHeight="false" outlineLevel="0" collapsed="false">
      <c r="A1062" s="34" t="s">
        <v>3927</v>
      </c>
      <c r="B1062" s="34" t="s">
        <v>3928</v>
      </c>
      <c r="C1062" s="34" t="s">
        <v>3929</v>
      </c>
      <c r="D1062" s="34" t="s">
        <v>3930</v>
      </c>
      <c r="E1062" s="34" t="s">
        <v>160</v>
      </c>
      <c r="F1062" s="34" t="s">
        <v>1602</v>
      </c>
      <c r="G1062" s="34" t="s">
        <v>343</v>
      </c>
      <c r="H1062" s="34" t="s">
        <v>73</v>
      </c>
      <c r="I1062" s="34" t="s">
        <v>75</v>
      </c>
      <c r="J1062" s="34" t="s">
        <v>228</v>
      </c>
      <c r="K1062" s="34" t="s">
        <v>229</v>
      </c>
      <c r="L1062" s="34" t="s">
        <v>230</v>
      </c>
      <c r="M1062" s="34" t="s">
        <v>344</v>
      </c>
      <c r="N1062" s="34" t="str">
        <f aca="false">"Sector "&amp;VALUE(MID(D1062,13,2))</f>
        <v>Sector 7</v>
      </c>
      <c r="O1062" s="34" t="str">
        <f aca="false">IF(Dashboard!$C$5="Ubicación técnica",N1062,"Sector "&amp;VALUE(RIGHT(G1062,2)))</f>
        <v>Sector 7</v>
      </c>
      <c r="P1062" s="34" t="str">
        <f aca="false">IF(MID(D1062,15,3)="SEL","Subestación eléctrica","Área de proceso")</f>
        <v>Subestación eléctrica</v>
      </c>
      <c r="Q1062" s="34" t="str">
        <f aca="false">MID(D1062,13,5)&amp;"|"&amp;MID(D1062,19,5)</f>
        <v>07SEL|S_021</v>
      </c>
      <c r="R1062" s="34" t="str">
        <f aca="false">IF(P1062="Subestación eléctrica",IFERROR(INDEX(cat_SubN,MATCH(Q1062,cat_SubK,0)),"SIN CATALOGAR"),"ÁREA DE PROCESO")</f>
        <v>SE-21</v>
      </c>
      <c r="S1062" s="34" t="str">
        <f aca="false">IF(H1062="","SIN DATO",IFERROR(INDEX(cat_MarcaN,MATCH(H1062,cat_MarcaO,0)),H1062))</f>
        <v>SIEMENS</v>
      </c>
      <c r="T1062" s="34" t="str">
        <f aca="false">IF(I1062="","SIN DATO",IFERROR(INDEX(cat_ModN,MATCH(I1062,cat_ModO,0)),I1062))</f>
        <v>REYROLLE</v>
      </c>
      <c r="U1062" s="34" t="str">
        <f aca="false">IF(I1062="","",IFERROR(INDEX(cat_ModG,MATCH(I1062,cat_ModO,0)),"No"))</f>
        <v>Sí</v>
      </c>
      <c r="V1062" s="34" t="str">
        <f aca="false">IF(J1062="","SIN DATO",IFERROR(INDEX(cat_FunN,MATCH(J1062,cat_FunO,0)),J1062))</f>
        <v>Protección y medición</v>
      </c>
      <c r="W1062" s="34" t="str">
        <f aca="false">IF(OR(S1062="SIN DATO",T1062="SIN DATO"),"No","Sí")</f>
        <v>Sí</v>
      </c>
    </row>
    <row r="1063" customFormat="false" ht="15" hidden="false" customHeight="false" outlineLevel="0" collapsed="false">
      <c r="A1063" s="34" t="s">
        <v>3931</v>
      </c>
      <c r="B1063" s="34" t="s">
        <v>3932</v>
      </c>
      <c r="C1063" s="34" t="s">
        <v>3933</v>
      </c>
      <c r="D1063" s="34" t="s">
        <v>3934</v>
      </c>
      <c r="E1063" s="34" t="s">
        <v>160</v>
      </c>
      <c r="F1063" s="34" t="s">
        <v>1602</v>
      </c>
      <c r="G1063" s="34" t="s">
        <v>343</v>
      </c>
      <c r="H1063" s="34" t="s">
        <v>73</v>
      </c>
      <c r="I1063" s="34" t="s">
        <v>75</v>
      </c>
      <c r="J1063" s="34" t="s">
        <v>228</v>
      </c>
      <c r="K1063" s="34" t="s">
        <v>229</v>
      </c>
      <c r="L1063" s="34" t="s">
        <v>230</v>
      </c>
      <c r="M1063" s="34" t="s">
        <v>344</v>
      </c>
      <c r="N1063" s="34" t="str">
        <f aca="false">"Sector "&amp;VALUE(MID(D1063,13,2))</f>
        <v>Sector 7</v>
      </c>
      <c r="O1063" s="34" t="str">
        <f aca="false">IF(Dashboard!$C$5="Ubicación técnica",N1063,"Sector "&amp;VALUE(RIGHT(G1063,2)))</f>
        <v>Sector 7</v>
      </c>
      <c r="P1063" s="34" t="str">
        <f aca="false">IF(MID(D1063,15,3)="SEL","Subestación eléctrica","Área de proceso")</f>
        <v>Subestación eléctrica</v>
      </c>
      <c r="Q1063" s="34" t="str">
        <f aca="false">MID(D1063,13,5)&amp;"|"&amp;MID(D1063,19,5)</f>
        <v>07SEL|S_021</v>
      </c>
      <c r="R1063" s="34" t="str">
        <f aca="false">IF(P1063="Subestación eléctrica",IFERROR(INDEX(cat_SubN,MATCH(Q1063,cat_SubK,0)),"SIN CATALOGAR"),"ÁREA DE PROCESO")</f>
        <v>SE-21</v>
      </c>
      <c r="S1063" s="34" t="str">
        <f aca="false">IF(H1063="","SIN DATO",IFERROR(INDEX(cat_MarcaN,MATCH(H1063,cat_MarcaO,0)),H1063))</f>
        <v>SIEMENS</v>
      </c>
      <c r="T1063" s="34" t="str">
        <f aca="false">IF(I1063="","SIN DATO",IFERROR(INDEX(cat_ModN,MATCH(I1063,cat_ModO,0)),I1063))</f>
        <v>REYROLLE</v>
      </c>
      <c r="U1063" s="34" t="str">
        <f aca="false">IF(I1063="","",IFERROR(INDEX(cat_ModG,MATCH(I1063,cat_ModO,0)),"No"))</f>
        <v>Sí</v>
      </c>
      <c r="V1063" s="34" t="str">
        <f aca="false">IF(J1063="","SIN DATO",IFERROR(INDEX(cat_FunN,MATCH(J1063,cat_FunO,0)),J1063))</f>
        <v>Protección y medición</v>
      </c>
      <c r="W1063" s="34" t="str">
        <f aca="false">IF(OR(S1063="SIN DATO",T1063="SIN DATO"),"No","Sí")</f>
        <v>Sí</v>
      </c>
    </row>
    <row r="1064" customFormat="false" ht="15" hidden="false" customHeight="false" outlineLevel="0" collapsed="false">
      <c r="A1064" s="34" t="s">
        <v>3935</v>
      </c>
      <c r="B1064" s="34" t="s">
        <v>3936</v>
      </c>
      <c r="C1064" s="34" t="s">
        <v>3937</v>
      </c>
      <c r="D1064" s="34" t="s">
        <v>3915</v>
      </c>
      <c r="E1064" s="34" t="s">
        <v>160</v>
      </c>
      <c r="F1064" s="34" t="s">
        <v>1602</v>
      </c>
      <c r="G1064" s="34" t="s">
        <v>343</v>
      </c>
      <c r="H1064" s="34" t="s">
        <v>73</v>
      </c>
      <c r="I1064" s="34" t="s">
        <v>75</v>
      </c>
      <c r="J1064" s="34" t="s">
        <v>228</v>
      </c>
      <c r="K1064" s="34" t="s">
        <v>229</v>
      </c>
      <c r="L1064" s="34" t="s">
        <v>230</v>
      </c>
      <c r="M1064" s="34" t="s">
        <v>344</v>
      </c>
      <c r="N1064" s="34" t="str">
        <f aca="false">"Sector "&amp;VALUE(MID(D1064,13,2))</f>
        <v>Sector 7</v>
      </c>
      <c r="O1064" s="34" t="str">
        <f aca="false">IF(Dashboard!$C$5="Ubicación técnica",N1064,"Sector "&amp;VALUE(RIGHT(G1064,2)))</f>
        <v>Sector 7</v>
      </c>
      <c r="P1064" s="34" t="str">
        <f aca="false">IF(MID(D1064,15,3)="SEL","Subestación eléctrica","Área de proceso")</f>
        <v>Subestación eléctrica</v>
      </c>
      <c r="Q1064" s="34" t="str">
        <f aca="false">MID(D1064,13,5)&amp;"|"&amp;MID(D1064,19,5)</f>
        <v>07SEL|S_021</v>
      </c>
      <c r="R1064" s="34" t="str">
        <f aca="false">IF(P1064="Subestación eléctrica",IFERROR(INDEX(cat_SubN,MATCH(Q1064,cat_SubK,0)),"SIN CATALOGAR"),"ÁREA DE PROCESO")</f>
        <v>SE-21</v>
      </c>
      <c r="S1064" s="34" t="str">
        <f aca="false">IF(H1064="","SIN DATO",IFERROR(INDEX(cat_MarcaN,MATCH(H1064,cat_MarcaO,0)),H1064))</f>
        <v>SIEMENS</v>
      </c>
      <c r="T1064" s="34" t="str">
        <f aca="false">IF(I1064="","SIN DATO",IFERROR(INDEX(cat_ModN,MATCH(I1064,cat_ModO,0)),I1064))</f>
        <v>REYROLLE</v>
      </c>
      <c r="U1064" s="34" t="str">
        <f aca="false">IF(I1064="","",IFERROR(INDEX(cat_ModG,MATCH(I1064,cat_ModO,0)),"No"))</f>
        <v>Sí</v>
      </c>
      <c r="V1064" s="34" t="str">
        <f aca="false">IF(J1064="","SIN DATO",IFERROR(INDEX(cat_FunN,MATCH(J1064,cat_FunO,0)),J1064))</f>
        <v>Protección y medición</v>
      </c>
      <c r="W1064" s="34" t="str">
        <f aca="false">IF(OR(S1064="SIN DATO",T1064="SIN DATO"),"No","Sí")</f>
        <v>Sí</v>
      </c>
    </row>
    <row r="1065" customFormat="false" ht="15" hidden="false" customHeight="false" outlineLevel="0" collapsed="false">
      <c r="A1065" s="34" t="s">
        <v>3938</v>
      </c>
      <c r="B1065" s="34" t="s">
        <v>3939</v>
      </c>
      <c r="C1065" s="34" t="s">
        <v>3940</v>
      </c>
      <c r="D1065" s="34" t="s">
        <v>3908</v>
      </c>
      <c r="E1065" s="34" t="s">
        <v>160</v>
      </c>
      <c r="F1065" s="34" t="s">
        <v>1602</v>
      </c>
      <c r="G1065" s="34" t="s">
        <v>343</v>
      </c>
      <c r="H1065" s="34" t="s">
        <v>73</v>
      </c>
      <c r="I1065" s="34" t="s">
        <v>78</v>
      </c>
      <c r="J1065" s="34" t="s">
        <v>58</v>
      </c>
      <c r="K1065" s="34" t="s">
        <v>229</v>
      </c>
      <c r="L1065" s="34" t="s">
        <v>230</v>
      </c>
      <c r="M1065" s="34"/>
      <c r="N1065" s="34" t="str">
        <f aca="false">"Sector "&amp;VALUE(MID(D1065,13,2))</f>
        <v>Sector 7</v>
      </c>
      <c r="O1065" s="34" t="str">
        <f aca="false">IF(Dashboard!$C$5="Ubicación técnica",N1065,"Sector "&amp;VALUE(RIGHT(G1065,2)))</f>
        <v>Sector 7</v>
      </c>
      <c r="P1065" s="34" t="str">
        <f aca="false">IF(MID(D1065,15,3)="SEL","Subestación eléctrica","Área de proceso")</f>
        <v>Subestación eléctrica</v>
      </c>
      <c r="Q1065" s="34" t="str">
        <f aca="false">MID(D1065,13,5)&amp;"|"&amp;MID(D1065,19,5)</f>
        <v>07SEL|S_021</v>
      </c>
      <c r="R1065" s="34" t="str">
        <f aca="false">IF(P1065="Subestación eléctrica",IFERROR(INDEX(cat_SubN,MATCH(Q1065,cat_SubK,0)),"SIN CATALOGAR"),"ÁREA DE PROCESO")</f>
        <v>SE-21</v>
      </c>
      <c r="S1065" s="34" t="str">
        <f aca="false">IF(H1065="","SIN DATO",IFERROR(INDEX(cat_MarcaN,MATCH(H1065,cat_MarcaO,0)),H1065))</f>
        <v>SIEMENS</v>
      </c>
      <c r="T1065" s="34" t="str">
        <f aca="false">IF(I1065="","SIN DATO",IFERROR(INDEX(cat_ModN,MATCH(I1065,cat_ModO,0)),I1065))</f>
        <v>SENTRON</v>
      </c>
      <c r="U1065" s="34" t="str">
        <f aca="false">IF(I1065="","",IFERROR(INDEX(cat_ModG,MATCH(I1065,cat_ModO,0)),"No"))</f>
        <v>No</v>
      </c>
      <c r="V1065" s="34" t="str">
        <f aca="false">IF(J1065="","SIN DATO",IFERROR(INDEX(cat_FunN,MATCH(J1065,cat_FunO,0)),J1065))</f>
        <v>Medición</v>
      </c>
      <c r="W1065" s="34" t="str">
        <f aca="false">IF(OR(S1065="SIN DATO",T1065="SIN DATO"),"No","Sí")</f>
        <v>Sí</v>
      </c>
    </row>
    <row r="1066" customFormat="false" ht="15" hidden="false" customHeight="false" outlineLevel="0" collapsed="false">
      <c r="A1066" s="34" t="s">
        <v>3941</v>
      </c>
      <c r="B1066" s="34" t="s">
        <v>3942</v>
      </c>
      <c r="C1066" s="34" t="s">
        <v>3943</v>
      </c>
      <c r="D1066" s="34" t="s">
        <v>3915</v>
      </c>
      <c r="E1066" s="34" t="s">
        <v>160</v>
      </c>
      <c r="F1066" s="34" t="s">
        <v>1602</v>
      </c>
      <c r="G1066" s="34" t="s">
        <v>343</v>
      </c>
      <c r="H1066" s="34" t="s">
        <v>73</v>
      </c>
      <c r="I1066" s="34" t="s">
        <v>78</v>
      </c>
      <c r="J1066" s="34" t="s">
        <v>58</v>
      </c>
      <c r="K1066" s="34" t="s">
        <v>229</v>
      </c>
      <c r="L1066" s="34" t="s">
        <v>230</v>
      </c>
      <c r="M1066" s="34"/>
      <c r="N1066" s="34" t="str">
        <f aca="false">"Sector "&amp;VALUE(MID(D1066,13,2))</f>
        <v>Sector 7</v>
      </c>
      <c r="O1066" s="34" t="str">
        <f aca="false">IF(Dashboard!$C$5="Ubicación técnica",N1066,"Sector "&amp;VALUE(RIGHT(G1066,2)))</f>
        <v>Sector 7</v>
      </c>
      <c r="P1066" s="34" t="str">
        <f aca="false">IF(MID(D1066,15,3)="SEL","Subestación eléctrica","Área de proceso")</f>
        <v>Subestación eléctrica</v>
      </c>
      <c r="Q1066" s="34" t="str">
        <f aca="false">MID(D1066,13,5)&amp;"|"&amp;MID(D1066,19,5)</f>
        <v>07SEL|S_021</v>
      </c>
      <c r="R1066" s="34" t="str">
        <f aca="false">IF(P1066="Subestación eléctrica",IFERROR(INDEX(cat_SubN,MATCH(Q1066,cat_SubK,0)),"SIN CATALOGAR"),"ÁREA DE PROCESO")</f>
        <v>SE-21</v>
      </c>
      <c r="S1066" s="34" t="str">
        <f aca="false">IF(H1066="","SIN DATO",IFERROR(INDEX(cat_MarcaN,MATCH(H1066,cat_MarcaO,0)),H1066))</f>
        <v>SIEMENS</v>
      </c>
      <c r="T1066" s="34" t="str">
        <f aca="false">IF(I1066="","SIN DATO",IFERROR(INDEX(cat_ModN,MATCH(I1066,cat_ModO,0)),I1066))</f>
        <v>SENTRON</v>
      </c>
      <c r="U1066" s="34" t="str">
        <f aca="false">IF(I1066="","",IFERROR(INDEX(cat_ModG,MATCH(I1066,cat_ModO,0)),"No"))</f>
        <v>No</v>
      </c>
      <c r="V1066" s="34" t="str">
        <f aca="false">IF(J1066="","SIN DATO",IFERROR(INDEX(cat_FunN,MATCH(J1066,cat_FunO,0)),J1066))</f>
        <v>Medición</v>
      </c>
      <c r="W1066" s="34" t="str">
        <f aca="false">IF(OR(S1066="SIN DATO",T1066="SIN DATO"),"No","Sí")</f>
        <v>Sí</v>
      </c>
    </row>
    <row r="1067" customFormat="false" ht="15" hidden="false" customHeight="false" outlineLevel="0" collapsed="false">
      <c r="A1067" s="34" t="s">
        <v>3944</v>
      </c>
      <c r="B1067" s="34" t="s">
        <v>3945</v>
      </c>
      <c r="C1067" s="34" t="s">
        <v>3946</v>
      </c>
      <c r="D1067" s="34" t="s">
        <v>3947</v>
      </c>
      <c r="E1067" s="34" t="s">
        <v>160</v>
      </c>
      <c r="F1067" s="34" t="s">
        <v>1602</v>
      </c>
      <c r="G1067" s="34" t="s">
        <v>343</v>
      </c>
      <c r="H1067" s="34" t="s">
        <v>73</v>
      </c>
      <c r="I1067" s="34" t="s">
        <v>78</v>
      </c>
      <c r="J1067" s="34" t="s">
        <v>58</v>
      </c>
      <c r="K1067" s="34" t="s">
        <v>229</v>
      </c>
      <c r="L1067" s="34" t="s">
        <v>230</v>
      </c>
      <c r="M1067" s="34"/>
      <c r="N1067" s="34" t="str">
        <f aca="false">"Sector "&amp;VALUE(MID(D1067,13,2))</f>
        <v>Sector 7</v>
      </c>
      <c r="O1067" s="34" t="str">
        <f aca="false">IF(Dashboard!$C$5="Ubicación técnica",N1067,"Sector "&amp;VALUE(RIGHT(G1067,2)))</f>
        <v>Sector 7</v>
      </c>
      <c r="P1067" s="34" t="str">
        <f aca="false">IF(MID(D1067,15,3)="SEL","Subestación eléctrica","Área de proceso")</f>
        <v>Subestación eléctrica</v>
      </c>
      <c r="Q1067" s="34" t="str">
        <f aca="false">MID(D1067,13,5)&amp;"|"&amp;MID(D1067,19,5)</f>
        <v>07SEL|S_021</v>
      </c>
      <c r="R1067" s="34" t="str">
        <f aca="false">IF(P1067="Subestación eléctrica",IFERROR(INDEX(cat_SubN,MATCH(Q1067,cat_SubK,0)),"SIN CATALOGAR"),"ÁREA DE PROCESO")</f>
        <v>SE-21</v>
      </c>
      <c r="S1067" s="34" t="str">
        <f aca="false">IF(H1067="","SIN DATO",IFERROR(INDEX(cat_MarcaN,MATCH(H1067,cat_MarcaO,0)),H1067))</f>
        <v>SIEMENS</v>
      </c>
      <c r="T1067" s="34" t="str">
        <f aca="false">IF(I1067="","SIN DATO",IFERROR(INDEX(cat_ModN,MATCH(I1067,cat_ModO,0)),I1067))</f>
        <v>SENTRON</v>
      </c>
      <c r="U1067" s="34" t="str">
        <f aca="false">IF(I1067="","",IFERROR(INDEX(cat_ModG,MATCH(I1067,cat_ModO,0)),"No"))</f>
        <v>No</v>
      </c>
      <c r="V1067" s="34" t="str">
        <f aca="false">IF(J1067="","SIN DATO",IFERROR(INDEX(cat_FunN,MATCH(J1067,cat_FunO,0)),J1067))</f>
        <v>Medición</v>
      </c>
      <c r="W1067" s="34" t="str">
        <f aca="false">IF(OR(S1067="SIN DATO",T1067="SIN DATO"),"No","Sí")</f>
        <v>Sí</v>
      </c>
    </row>
    <row r="1068" customFormat="false" ht="15" hidden="false" customHeight="false" outlineLevel="0" collapsed="false">
      <c r="A1068" s="34" t="s">
        <v>3948</v>
      </c>
      <c r="B1068" s="34" t="s">
        <v>3949</v>
      </c>
      <c r="C1068" s="34" t="s">
        <v>3950</v>
      </c>
      <c r="D1068" s="34" t="s">
        <v>3951</v>
      </c>
      <c r="E1068" s="34" t="s">
        <v>166</v>
      </c>
      <c r="F1068" s="34" t="s">
        <v>1602</v>
      </c>
      <c r="G1068" s="34" t="s">
        <v>343</v>
      </c>
      <c r="H1068" s="34" t="s">
        <v>73</v>
      </c>
      <c r="I1068" s="34" t="s">
        <v>78</v>
      </c>
      <c r="J1068" s="34" t="s">
        <v>58</v>
      </c>
      <c r="K1068" s="34" t="s">
        <v>229</v>
      </c>
      <c r="L1068" s="34" t="s">
        <v>230</v>
      </c>
      <c r="M1068" s="34"/>
      <c r="N1068" s="34" t="str">
        <f aca="false">"Sector "&amp;VALUE(MID(D1068,13,2))</f>
        <v>Sector 7</v>
      </c>
      <c r="O1068" s="34" t="str">
        <f aca="false">IF(Dashboard!$C$5="Ubicación técnica",N1068,"Sector "&amp;VALUE(RIGHT(G1068,2)))</f>
        <v>Sector 7</v>
      </c>
      <c r="P1068" s="34" t="str">
        <f aca="false">IF(MID(D1068,15,3)="SEL","Subestación eléctrica","Área de proceso")</f>
        <v>Subestación eléctrica</v>
      </c>
      <c r="Q1068" s="34" t="str">
        <f aca="false">MID(D1068,13,5)&amp;"|"&amp;MID(D1068,19,5)</f>
        <v>07SEL|S_033</v>
      </c>
      <c r="R1068" s="34" t="str">
        <f aca="false">IF(P1068="Subestación eléctrica",IFERROR(INDEX(cat_SubN,MATCH(Q1068,cat_SubK,0)),"SIN CATALOGAR"),"ÁREA DE PROCESO")</f>
        <v>SE-33</v>
      </c>
      <c r="S1068" s="34" t="str">
        <f aca="false">IF(H1068="","SIN DATO",IFERROR(INDEX(cat_MarcaN,MATCH(H1068,cat_MarcaO,0)),H1068))</f>
        <v>SIEMENS</v>
      </c>
      <c r="T1068" s="34" t="str">
        <f aca="false">IF(I1068="","SIN DATO",IFERROR(INDEX(cat_ModN,MATCH(I1068,cat_ModO,0)),I1068))</f>
        <v>SENTRON</v>
      </c>
      <c r="U1068" s="34" t="str">
        <f aca="false">IF(I1068="","",IFERROR(INDEX(cat_ModG,MATCH(I1068,cat_ModO,0)),"No"))</f>
        <v>No</v>
      </c>
      <c r="V1068" s="34" t="str">
        <f aca="false">IF(J1068="","SIN DATO",IFERROR(INDEX(cat_FunN,MATCH(J1068,cat_FunO,0)),J1068))</f>
        <v>Medición</v>
      </c>
      <c r="W1068" s="34" t="str">
        <f aca="false">IF(OR(S1068="SIN DATO",T1068="SIN DATO"),"No","Sí")</f>
        <v>Sí</v>
      </c>
    </row>
    <row r="1069" customFormat="false" ht="15" hidden="false" customHeight="false" outlineLevel="0" collapsed="false">
      <c r="A1069" s="34" t="s">
        <v>3952</v>
      </c>
      <c r="B1069" s="34" t="s">
        <v>3953</v>
      </c>
      <c r="C1069" s="34" t="s">
        <v>3954</v>
      </c>
      <c r="D1069" s="34" t="s">
        <v>3955</v>
      </c>
      <c r="E1069" s="34" t="s">
        <v>118</v>
      </c>
      <c r="F1069" s="34" t="s">
        <v>1602</v>
      </c>
      <c r="G1069" s="34" t="s">
        <v>259</v>
      </c>
      <c r="H1069" s="34" t="s">
        <v>34</v>
      </c>
      <c r="I1069" s="34" t="s">
        <v>47</v>
      </c>
      <c r="J1069" s="34" t="s">
        <v>681</v>
      </c>
      <c r="K1069" s="34" t="s">
        <v>229</v>
      </c>
      <c r="L1069" s="34" t="s">
        <v>3198</v>
      </c>
      <c r="M1069" s="34"/>
      <c r="N1069" s="34" t="str">
        <f aca="false">"Sector "&amp;VALUE(MID(D1069,13,2))</f>
        <v>Sector 3</v>
      </c>
      <c r="O1069" s="34" t="str">
        <f aca="false">IF(Dashboard!$C$5="Ubicación técnica",N1069,"Sector "&amp;VALUE(RIGHT(G1069,2)))</f>
        <v>Sector 3</v>
      </c>
      <c r="P1069" s="34" t="str">
        <f aca="false">IF(MID(D1069,15,3)="SEL","Subestación eléctrica","Área de proceso")</f>
        <v>Subestación eléctrica</v>
      </c>
      <c r="Q1069" s="34" t="str">
        <f aca="false">MID(D1069,13,5)&amp;"|"&amp;MID(D1069,19,5)</f>
        <v>03SEL|S_014</v>
      </c>
      <c r="R1069" s="34" t="str">
        <f aca="false">IF(P1069="Subestación eléctrica",IFERROR(INDEX(cat_SubN,MATCH(Q1069,cat_SubK,0)),"SIN CATALOGAR"),"ÁREA DE PROCESO")</f>
        <v>SE-14</v>
      </c>
      <c r="S1069" s="34" t="str">
        <f aca="false">IF(H1069="","SIN DATO",IFERROR(INDEX(cat_MarcaN,MATCH(H1069,cat_MarcaO,0)),H1069))</f>
        <v>ABB</v>
      </c>
      <c r="T1069" s="34" t="str">
        <f aca="false">IF(I1069="","SIN DATO",IFERROR(INDEX(cat_ModN,MATCH(I1069,cat_ModO,0)),I1069))</f>
        <v>REA</v>
      </c>
      <c r="U1069" s="34" t="str">
        <f aca="false">IF(I1069="","",IFERROR(INDEX(cat_ModG,MATCH(I1069,cat_ModO,0)),"No"))</f>
        <v>Sí</v>
      </c>
      <c r="V1069" s="34" t="str">
        <f aca="false">IF(J1069="","SIN DATO",IFERROR(INDEX(cat_FunN,MATCH(J1069,cat_FunO,0)),J1069))</f>
        <v>Protección</v>
      </c>
      <c r="W1069" s="34" t="str">
        <f aca="false">IF(OR(S1069="SIN DATO",T1069="SIN DATO"),"No","Sí")</f>
        <v>Sí</v>
      </c>
    </row>
    <row r="1070" customFormat="false" ht="15" hidden="false" customHeight="false" outlineLevel="0" collapsed="false">
      <c r="A1070" s="34" t="s">
        <v>3956</v>
      </c>
      <c r="B1070" s="34" t="s">
        <v>3957</v>
      </c>
      <c r="C1070" s="34" t="s">
        <v>3958</v>
      </c>
      <c r="D1070" s="34" t="s">
        <v>3955</v>
      </c>
      <c r="E1070" s="34" t="s">
        <v>118</v>
      </c>
      <c r="F1070" s="34" t="s">
        <v>1602</v>
      </c>
      <c r="G1070" s="34" t="s">
        <v>259</v>
      </c>
      <c r="H1070" s="34" t="s">
        <v>34</v>
      </c>
      <c r="I1070" s="34" t="s">
        <v>39</v>
      </c>
      <c r="J1070" s="34" t="s">
        <v>260</v>
      </c>
      <c r="K1070" s="34" t="s">
        <v>229</v>
      </c>
      <c r="L1070" s="34" t="s">
        <v>230</v>
      </c>
      <c r="M1070" s="34" t="s">
        <v>262</v>
      </c>
      <c r="N1070" s="34" t="str">
        <f aca="false">"Sector "&amp;VALUE(MID(D1070,13,2))</f>
        <v>Sector 3</v>
      </c>
      <c r="O1070" s="34" t="str">
        <f aca="false">IF(Dashboard!$C$5="Ubicación técnica",N1070,"Sector "&amp;VALUE(RIGHT(G1070,2)))</f>
        <v>Sector 3</v>
      </c>
      <c r="P1070" s="34" t="str">
        <f aca="false">IF(MID(D1070,15,3)="SEL","Subestación eléctrica","Área de proceso")</f>
        <v>Subestación eléctrica</v>
      </c>
      <c r="Q1070" s="34" t="str">
        <f aca="false">MID(D1070,13,5)&amp;"|"&amp;MID(D1070,19,5)</f>
        <v>03SEL|S_014</v>
      </c>
      <c r="R1070" s="34" t="str">
        <f aca="false">IF(P1070="Subestación eléctrica",IFERROR(INDEX(cat_SubN,MATCH(Q1070,cat_SubK,0)),"SIN CATALOGAR"),"ÁREA DE PROCESO")</f>
        <v>SE-14</v>
      </c>
      <c r="S1070" s="34" t="str">
        <f aca="false">IF(H1070="","SIN DATO",IFERROR(INDEX(cat_MarcaN,MATCH(H1070,cat_MarcaO,0)),H1070))</f>
        <v>ABB</v>
      </c>
      <c r="T1070" s="34" t="str">
        <f aca="false">IF(I1070="","SIN DATO",IFERROR(INDEX(cat_ModN,MATCH(I1070,cat_ModO,0)),I1070))</f>
        <v>REF</v>
      </c>
      <c r="U1070" s="34" t="str">
        <f aca="false">IF(I1070="","",IFERROR(INDEX(cat_ModG,MATCH(I1070,cat_ModO,0)),"No"))</f>
        <v>Sí</v>
      </c>
      <c r="V1070" s="34" t="str">
        <f aca="false">IF(J1070="","SIN DATO",IFERROR(INDEX(cat_FunN,MATCH(J1070,cat_FunO,0)),J1070))</f>
        <v>Protección y medición</v>
      </c>
      <c r="W1070" s="34" t="str">
        <f aca="false">IF(OR(S1070="SIN DATO",T1070="SIN DATO"),"No","Sí")</f>
        <v>Sí</v>
      </c>
    </row>
    <row r="1071" customFormat="false" ht="15" hidden="false" customHeight="false" outlineLevel="0" collapsed="false">
      <c r="A1071" s="34" t="s">
        <v>3959</v>
      </c>
      <c r="B1071" s="34" t="s">
        <v>3960</v>
      </c>
      <c r="C1071" s="34" t="s">
        <v>3961</v>
      </c>
      <c r="D1071" s="34" t="s">
        <v>3955</v>
      </c>
      <c r="E1071" s="34" t="s">
        <v>118</v>
      </c>
      <c r="F1071" s="34" t="s">
        <v>1602</v>
      </c>
      <c r="G1071" s="34" t="s">
        <v>259</v>
      </c>
      <c r="H1071" s="34" t="s">
        <v>55</v>
      </c>
      <c r="I1071" s="34" t="s">
        <v>55</v>
      </c>
      <c r="J1071" s="34" t="s">
        <v>58</v>
      </c>
      <c r="K1071" s="34" t="s">
        <v>229</v>
      </c>
      <c r="L1071" s="34" t="s">
        <v>3198</v>
      </c>
      <c r="M1071" s="34" t="s">
        <v>344</v>
      </c>
      <c r="N1071" s="34" t="str">
        <f aca="false">"Sector "&amp;VALUE(MID(D1071,13,2))</f>
        <v>Sector 3</v>
      </c>
      <c r="O1071" s="34" t="str">
        <f aca="false">IF(Dashboard!$C$5="Ubicación técnica",N1071,"Sector "&amp;VALUE(RIGHT(G1071,2)))</f>
        <v>Sector 3</v>
      </c>
      <c r="P1071" s="34" t="str">
        <f aca="false">IF(MID(D1071,15,3)="SEL","Subestación eléctrica","Área de proceso")</f>
        <v>Subestación eléctrica</v>
      </c>
      <c r="Q1071" s="34" t="str">
        <f aca="false">MID(D1071,13,5)&amp;"|"&amp;MID(D1071,19,5)</f>
        <v>03SEL|S_014</v>
      </c>
      <c r="R1071" s="34" t="str">
        <f aca="false">IF(P1071="Subestación eléctrica",IFERROR(INDEX(cat_SubN,MATCH(Q1071,cat_SubK,0)),"SIN CATALOGAR"),"ÁREA DE PROCESO")</f>
        <v>SE-14</v>
      </c>
      <c r="S1071" s="34" t="str">
        <f aca="false">IF(H1071="","SIN DATO",IFERROR(INDEX(cat_MarcaN,MATCH(H1071,cat_MarcaO,0)),H1071))</f>
        <v>SEL</v>
      </c>
      <c r="T1071" s="34" t="str">
        <f aca="false">IF(I1071="","SIN DATO",IFERROR(INDEX(cat_ModN,MATCH(I1071,cat_ModO,0)),I1071))</f>
        <v>SEL</v>
      </c>
      <c r="U1071" s="34" t="str">
        <f aca="false">IF(I1071="","",IFERROR(INDEX(cat_ModG,MATCH(I1071,cat_ModO,0)),"No"))</f>
        <v>Sí</v>
      </c>
      <c r="V1071" s="34" t="str">
        <f aca="false">IF(J1071="","SIN DATO",IFERROR(INDEX(cat_FunN,MATCH(J1071,cat_FunO,0)),J1071))</f>
        <v>Medición</v>
      </c>
      <c r="W1071" s="34" t="str">
        <f aca="false">IF(OR(S1071="SIN DATO",T1071="SIN DATO"),"No","Sí")</f>
        <v>Sí</v>
      </c>
    </row>
    <row r="1072" customFormat="false" ht="15" hidden="false" customHeight="false" outlineLevel="0" collapsed="false">
      <c r="A1072" s="34" t="s">
        <v>3962</v>
      </c>
      <c r="B1072" s="34" t="s">
        <v>3963</v>
      </c>
      <c r="C1072" s="34" t="s">
        <v>3964</v>
      </c>
      <c r="D1072" s="34" t="s">
        <v>3955</v>
      </c>
      <c r="E1072" s="34" t="s">
        <v>118</v>
      </c>
      <c r="F1072" s="34" t="s">
        <v>1602</v>
      </c>
      <c r="G1072" s="34" t="s">
        <v>259</v>
      </c>
      <c r="H1072" s="34" t="s">
        <v>34</v>
      </c>
      <c r="I1072" s="34" t="s">
        <v>39</v>
      </c>
      <c r="J1072" s="34" t="s">
        <v>260</v>
      </c>
      <c r="K1072" s="34" t="s">
        <v>229</v>
      </c>
      <c r="L1072" s="34" t="s">
        <v>230</v>
      </c>
      <c r="M1072" s="34" t="s">
        <v>262</v>
      </c>
      <c r="N1072" s="34" t="str">
        <f aca="false">"Sector "&amp;VALUE(MID(D1072,13,2))</f>
        <v>Sector 3</v>
      </c>
      <c r="O1072" s="34" t="str">
        <f aca="false">IF(Dashboard!$C$5="Ubicación técnica",N1072,"Sector "&amp;VALUE(RIGHT(G1072,2)))</f>
        <v>Sector 3</v>
      </c>
      <c r="P1072" s="34" t="str">
        <f aca="false">IF(MID(D1072,15,3)="SEL","Subestación eléctrica","Área de proceso")</f>
        <v>Subestación eléctrica</v>
      </c>
      <c r="Q1072" s="34" t="str">
        <f aca="false">MID(D1072,13,5)&amp;"|"&amp;MID(D1072,19,5)</f>
        <v>03SEL|S_014</v>
      </c>
      <c r="R1072" s="34" t="str">
        <f aca="false">IF(P1072="Subestación eléctrica",IFERROR(INDEX(cat_SubN,MATCH(Q1072,cat_SubK,0)),"SIN CATALOGAR"),"ÁREA DE PROCESO")</f>
        <v>SE-14</v>
      </c>
      <c r="S1072" s="34" t="str">
        <f aca="false">IF(H1072="","SIN DATO",IFERROR(INDEX(cat_MarcaN,MATCH(H1072,cat_MarcaO,0)),H1072))</f>
        <v>ABB</v>
      </c>
      <c r="T1072" s="34" t="str">
        <f aca="false">IF(I1072="","SIN DATO",IFERROR(INDEX(cat_ModN,MATCH(I1072,cat_ModO,0)),I1072))</f>
        <v>REF</v>
      </c>
      <c r="U1072" s="34" t="str">
        <f aca="false">IF(I1072="","",IFERROR(INDEX(cat_ModG,MATCH(I1072,cat_ModO,0)),"No"))</f>
        <v>Sí</v>
      </c>
      <c r="V1072" s="34" t="str">
        <f aca="false">IF(J1072="","SIN DATO",IFERROR(INDEX(cat_FunN,MATCH(J1072,cat_FunO,0)),J1072))</f>
        <v>Protección y medición</v>
      </c>
      <c r="W1072" s="34" t="str">
        <f aca="false">IF(OR(S1072="SIN DATO",T1072="SIN DATO"),"No","Sí")</f>
        <v>Sí</v>
      </c>
    </row>
    <row r="1073" customFormat="false" ht="15" hidden="false" customHeight="false" outlineLevel="0" collapsed="false">
      <c r="A1073" s="34" t="s">
        <v>3965</v>
      </c>
      <c r="B1073" s="34" t="s">
        <v>3966</v>
      </c>
      <c r="C1073" s="34" t="s">
        <v>3967</v>
      </c>
      <c r="D1073" s="34" t="s">
        <v>3968</v>
      </c>
      <c r="E1073" s="34" t="s">
        <v>118</v>
      </c>
      <c r="F1073" s="34" t="s">
        <v>1602</v>
      </c>
      <c r="G1073" s="34" t="s">
        <v>259</v>
      </c>
      <c r="H1073" s="34" t="s">
        <v>34</v>
      </c>
      <c r="I1073" s="34" t="s">
        <v>47</v>
      </c>
      <c r="J1073" s="34" t="s">
        <v>681</v>
      </c>
      <c r="K1073" s="34" t="s">
        <v>229</v>
      </c>
      <c r="L1073" s="34" t="s">
        <v>261</v>
      </c>
      <c r="M1073" s="34"/>
      <c r="N1073" s="34" t="str">
        <f aca="false">"Sector "&amp;VALUE(MID(D1073,13,2))</f>
        <v>Sector 3</v>
      </c>
      <c r="O1073" s="34" t="str">
        <f aca="false">IF(Dashboard!$C$5="Ubicación técnica",N1073,"Sector "&amp;VALUE(RIGHT(G1073,2)))</f>
        <v>Sector 3</v>
      </c>
      <c r="P1073" s="34" t="str">
        <f aca="false">IF(MID(D1073,15,3)="SEL","Subestación eléctrica","Área de proceso")</f>
        <v>Subestación eléctrica</v>
      </c>
      <c r="Q1073" s="34" t="str">
        <f aca="false">MID(D1073,13,5)&amp;"|"&amp;MID(D1073,19,5)</f>
        <v>03SEL|S_014</v>
      </c>
      <c r="R1073" s="34" t="str">
        <f aca="false">IF(P1073="Subestación eléctrica",IFERROR(INDEX(cat_SubN,MATCH(Q1073,cat_SubK,0)),"SIN CATALOGAR"),"ÁREA DE PROCESO")</f>
        <v>SE-14</v>
      </c>
      <c r="S1073" s="34" t="str">
        <f aca="false">IF(H1073="","SIN DATO",IFERROR(INDEX(cat_MarcaN,MATCH(H1073,cat_MarcaO,0)),H1073))</f>
        <v>ABB</v>
      </c>
      <c r="T1073" s="34" t="str">
        <f aca="false">IF(I1073="","SIN DATO",IFERROR(INDEX(cat_ModN,MATCH(I1073,cat_ModO,0)),I1073))</f>
        <v>REA</v>
      </c>
      <c r="U1073" s="34" t="str">
        <f aca="false">IF(I1073="","",IFERROR(INDEX(cat_ModG,MATCH(I1073,cat_ModO,0)),"No"))</f>
        <v>Sí</v>
      </c>
      <c r="V1073" s="34" t="str">
        <f aca="false">IF(J1073="","SIN DATO",IFERROR(INDEX(cat_FunN,MATCH(J1073,cat_FunO,0)),J1073))</f>
        <v>Protección</v>
      </c>
      <c r="W1073" s="34" t="str">
        <f aca="false">IF(OR(S1073="SIN DATO",T1073="SIN DATO"),"No","Sí")</f>
        <v>Sí</v>
      </c>
    </row>
    <row r="1074" customFormat="false" ht="15" hidden="false" customHeight="false" outlineLevel="0" collapsed="false">
      <c r="A1074" s="34" t="s">
        <v>3969</v>
      </c>
      <c r="B1074" s="34" t="s">
        <v>3970</v>
      </c>
      <c r="C1074" s="34" t="s">
        <v>3971</v>
      </c>
      <c r="D1074" s="34" t="s">
        <v>3968</v>
      </c>
      <c r="E1074" s="34" t="s">
        <v>118</v>
      </c>
      <c r="F1074" s="34" t="s">
        <v>1602</v>
      </c>
      <c r="G1074" s="34" t="s">
        <v>259</v>
      </c>
      <c r="H1074" s="34" t="s">
        <v>34</v>
      </c>
      <c r="I1074" s="34" t="s">
        <v>39</v>
      </c>
      <c r="J1074" s="34" t="s">
        <v>260</v>
      </c>
      <c r="K1074" s="34" t="s">
        <v>229</v>
      </c>
      <c r="L1074" s="34" t="s">
        <v>230</v>
      </c>
      <c r="M1074" s="34" t="s">
        <v>262</v>
      </c>
      <c r="N1074" s="34" t="str">
        <f aca="false">"Sector "&amp;VALUE(MID(D1074,13,2))</f>
        <v>Sector 3</v>
      </c>
      <c r="O1074" s="34" t="str">
        <f aca="false">IF(Dashboard!$C$5="Ubicación técnica",N1074,"Sector "&amp;VALUE(RIGHT(G1074,2)))</f>
        <v>Sector 3</v>
      </c>
      <c r="P1074" s="34" t="str">
        <f aca="false">IF(MID(D1074,15,3)="SEL","Subestación eléctrica","Área de proceso")</f>
        <v>Subestación eléctrica</v>
      </c>
      <c r="Q1074" s="34" t="str">
        <f aca="false">MID(D1074,13,5)&amp;"|"&amp;MID(D1074,19,5)</f>
        <v>03SEL|S_014</v>
      </c>
      <c r="R1074" s="34" t="str">
        <f aca="false">IF(P1074="Subestación eléctrica",IFERROR(INDEX(cat_SubN,MATCH(Q1074,cat_SubK,0)),"SIN CATALOGAR"),"ÁREA DE PROCESO")</f>
        <v>SE-14</v>
      </c>
      <c r="S1074" s="34" t="str">
        <f aca="false">IF(H1074="","SIN DATO",IFERROR(INDEX(cat_MarcaN,MATCH(H1074,cat_MarcaO,0)),H1074))</f>
        <v>ABB</v>
      </c>
      <c r="T1074" s="34" t="str">
        <f aca="false">IF(I1074="","SIN DATO",IFERROR(INDEX(cat_ModN,MATCH(I1074,cat_ModO,0)),I1074))</f>
        <v>REF</v>
      </c>
      <c r="U1074" s="34" t="str">
        <f aca="false">IF(I1074="","",IFERROR(INDEX(cat_ModG,MATCH(I1074,cat_ModO,0)),"No"))</f>
        <v>Sí</v>
      </c>
      <c r="V1074" s="34" t="str">
        <f aca="false">IF(J1074="","SIN DATO",IFERROR(INDEX(cat_FunN,MATCH(J1074,cat_FunO,0)),J1074))</f>
        <v>Protección y medición</v>
      </c>
      <c r="W1074" s="34" t="str">
        <f aca="false">IF(OR(S1074="SIN DATO",T1074="SIN DATO"),"No","Sí")</f>
        <v>Sí</v>
      </c>
    </row>
    <row r="1075" customFormat="false" ht="15" hidden="false" customHeight="false" outlineLevel="0" collapsed="false">
      <c r="A1075" s="34" t="s">
        <v>3972</v>
      </c>
      <c r="B1075" s="34" t="s">
        <v>3973</v>
      </c>
      <c r="C1075" s="34" t="s">
        <v>3974</v>
      </c>
      <c r="D1075" s="34" t="s">
        <v>3968</v>
      </c>
      <c r="E1075" s="34" t="s">
        <v>118</v>
      </c>
      <c r="F1075" s="34" t="s">
        <v>1602</v>
      </c>
      <c r="G1075" s="34" t="s">
        <v>259</v>
      </c>
      <c r="H1075" s="34" t="s">
        <v>55</v>
      </c>
      <c r="I1075" s="34" t="s">
        <v>55</v>
      </c>
      <c r="J1075" s="34" t="s">
        <v>58</v>
      </c>
      <c r="K1075" s="34" t="s">
        <v>229</v>
      </c>
      <c r="L1075" s="34" t="s">
        <v>3198</v>
      </c>
      <c r="M1075" s="34" t="s">
        <v>344</v>
      </c>
      <c r="N1075" s="34" t="str">
        <f aca="false">"Sector "&amp;VALUE(MID(D1075,13,2))</f>
        <v>Sector 3</v>
      </c>
      <c r="O1075" s="34" t="str">
        <f aca="false">IF(Dashboard!$C$5="Ubicación técnica",N1075,"Sector "&amp;VALUE(RIGHT(G1075,2)))</f>
        <v>Sector 3</v>
      </c>
      <c r="P1075" s="34" t="str">
        <f aca="false">IF(MID(D1075,15,3)="SEL","Subestación eléctrica","Área de proceso")</f>
        <v>Subestación eléctrica</v>
      </c>
      <c r="Q1075" s="34" t="str">
        <f aca="false">MID(D1075,13,5)&amp;"|"&amp;MID(D1075,19,5)</f>
        <v>03SEL|S_014</v>
      </c>
      <c r="R1075" s="34" t="str">
        <f aca="false">IF(P1075="Subestación eléctrica",IFERROR(INDEX(cat_SubN,MATCH(Q1075,cat_SubK,0)),"SIN CATALOGAR"),"ÁREA DE PROCESO")</f>
        <v>SE-14</v>
      </c>
      <c r="S1075" s="34" t="str">
        <f aca="false">IF(H1075="","SIN DATO",IFERROR(INDEX(cat_MarcaN,MATCH(H1075,cat_MarcaO,0)),H1075))</f>
        <v>SEL</v>
      </c>
      <c r="T1075" s="34" t="str">
        <f aca="false">IF(I1075="","SIN DATO",IFERROR(INDEX(cat_ModN,MATCH(I1075,cat_ModO,0)),I1075))</f>
        <v>SEL</v>
      </c>
      <c r="U1075" s="34" t="str">
        <f aca="false">IF(I1075="","",IFERROR(INDEX(cat_ModG,MATCH(I1075,cat_ModO,0)),"No"))</f>
        <v>Sí</v>
      </c>
      <c r="V1075" s="34" t="str">
        <f aca="false">IF(J1075="","SIN DATO",IFERROR(INDEX(cat_FunN,MATCH(J1075,cat_FunO,0)),J1075))</f>
        <v>Medición</v>
      </c>
      <c r="W1075" s="34" t="str">
        <f aca="false">IF(OR(S1075="SIN DATO",T1075="SIN DATO"),"No","Sí")</f>
        <v>Sí</v>
      </c>
    </row>
    <row r="1076" customFormat="false" ht="15" hidden="false" customHeight="false" outlineLevel="0" collapsed="false">
      <c r="A1076" s="34" t="s">
        <v>3975</v>
      </c>
      <c r="B1076" s="34" t="s">
        <v>3976</v>
      </c>
      <c r="C1076" s="34" t="s">
        <v>3977</v>
      </c>
      <c r="D1076" s="34" t="s">
        <v>3978</v>
      </c>
      <c r="E1076" s="34" t="s">
        <v>118</v>
      </c>
      <c r="F1076" s="34" t="s">
        <v>1602</v>
      </c>
      <c r="G1076" s="34" t="s">
        <v>259</v>
      </c>
      <c r="H1076" s="34" t="s">
        <v>34</v>
      </c>
      <c r="I1076" s="34" t="s">
        <v>47</v>
      </c>
      <c r="J1076" s="34" t="s">
        <v>681</v>
      </c>
      <c r="K1076" s="34" t="s">
        <v>229</v>
      </c>
      <c r="L1076" s="34" t="s">
        <v>230</v>
      </c>
      <c r="M1076" s="34"/>
      <c r="N1076" s="34" t="str">
        <f aca="false">"Sector "&amp;VALUE(MID(D1076,13,2))</f>
        <v>Sector 3</v>
      </c>
      <c r="O1076" s="34" t="str">
        <f aca="false">IF(Dashboard!$C$5="Ubicación técnica",N1076,"Sector "&amp;VALUE(RIGHT(G1076,2)))</f>
        <v>Sector 3</v>
      </c>
      <c r="P1076" s="34" t="str">
        <f aca="false">IF(MID(D1076,15,3)="SEL","Subestación eléctrica","Área de proceso")</f>
        <v>Subestación eléctrica</v>
      </c>
      <c r="Q1076" s="34" t="str">
        <f aca="false">MID(D1076,13,5)&amp;"|"&amp;MID(D1076,19,5)</f>
        <v>03SEL|S_014</v>
      </c>
      <c r="R1076" s="34" t="str">
        <f aca="false">IF(P1076="Subestación eléctrica",IFERROR(INDEX(cat_SubN,MATCH(Q1076,cat_SubK,0)),"SIN CATALOGAR"),"ÁREA DE PROCESO")</f>
        <v>SE-14</v>
      </c>
      <c r="S1076" s="34" t="str">
        <f aca="false">IF(H1076="","SIN DATO",IFERROR(INDEX(cat_MarcaN,MATCH(H1076,cat_MarcaO,0)),H1076))</f>
        <v>ABB</v>
      </c>
      <c r="T1076" s="34" t="str">
        <f aca="false">IF(I1076="","SIN DATO",IFERROR(INDEX(cat_ModN,MATCH(I1076,cat_ModO,0)),I1076))</f>
        <v>REA</v>
      </c>
      <c r="U1076" s="34" t="str">
        <f aca="false">IF(I1076="","",IFERROR(INDEX(cat_ModG,MATCH(I1076,cat_ModO,0)),"No"))</f>
        <v>Sí</v>
      </c>
      <c r="V1076" s="34" t="str">
        <f aca="false">IF(J1076="","SIN DATO",IFERROR(INDEX(cat_FunN,MATCH(J1076,cat_FunO,0)),J1076))</f>
        <v>Protección</v>
      </c>
      <c r="W1076" s="34" t="str">
        <f aca="false">IF(OR(S1076="SIN DATO",T1076="SIN DATO"),"No","Sí")</f>
        <v>Sí</v>
      </c>
    </row>
    <row r="1077" customFormat="false" ht="15" hidden="false" customHeight="false" outlineLevel="0" collapsed="false">
      <c r="A1077" s="34" t="s">
        <v>3979</v>
      </c>
      <c r="B1077" s="34" t="s">
        <v>3980</v>
      </c>
      <c r="C1077" s="34" t="s">
        <v>3981</v>
      </c>
      <c r="D1077" s="34" t="s">
        <v>3982</v>
      </c>
      <c r="E1077" s="34" t="s">
        <v>118</v>
      </c>
      <c r="F1077" s="34" t="s">
        <v>1602</v>
      </c>
      <c r="G1077" s="34" t="s">
        <v>259</v>
      </c>
      <c r="H1077" s="34" t="s">
        <v>34</v>
      </c>
      <c r="I1077" s="34" t="s">
        <v>39</v>
      </c>
      <c r="J1077" s="34" t="s">
        <v>260</v>
      </c>
      <c r="K1077" s="34" t="s">
        <v>229</v>
      </c>
      <c r="L1077" s="34" t="s">
        <v>230</v>
      </c>
      <c r="M1077" s="34" t="s">
        <v>262</v>
      </c>
      <c r="N1077" s="34" t="str">
        <f aca="false">"Sector "&amp;VALUE(MID(D1077,13,2))</f>
        <v>Sector 3</v>
      </c>
      <c r="O1077" s="34" t="str">
        <f aca="false">IF(Dashboard!$C$5="Ubicación técnica",N1077,"Sector "&amp;VALUE(RIGHT(G1077,2)))</f>
        <v>Sector 3</v>
      </c>
      <c r="P1077" s="34" t="str">
        <f aca="false">IF(MID(D1077,15,3)="SEL","Subestación eléctrica","Área de proceso")</f>
        <v>Subestación eléctrica</v>
      </c>
      <c r="Q1077" s="34" t="str">
        <f aca="false">MID(D1077,13,5)&amp;"|"&amp;MID(D1077,19,5)</f>
        <v>03SEL|S_014</v>
      </c>
      <c r="R1077" s="34" t="str">
        <f aca="false">IF(P1077="Subestación eléctrica",IFERROR(INDEX(cat_SubN,MATCH(Q1077,cat_SubK,0)),"SIN CATALOGAR"),"ÁREA DE PROCESO")</f>
        <v>SE-14</v>
      </c>
      <c r="S1077" s="34" t="str">
        <f aca="false">IF(H1077="","SIN DATO",IFERROR(INDEX(cat_MarcaN,MATCH(H1077,cat_MarcaO,0)),H1077))</f>
        <v>ABB</v>
      </c>
      <c r="T1077" s="34" t="str">
        <f aca="false">IF(I1077="","SIN DATO",IFERROR(INDEX(cat_ModN,MATCH(I1077,cat_ModO,0)),I1077))</f>
        <v>REF</v>
      </c>
      <c r="U1077" s="34" t="str">
        <f aca="false">IF(I1077="","",IFERROR(INDEX(cat_ModG,MATCH(I1077,cat_ModO,0)),"No"))</f>
        <v>Sí</v>
      </c>
      <c r="V1077" s="34" t="str">
        <f aca="false">IF(J1077="","SIN DATO",IFERROR(INDEX(cat_FunN,MATCH(J1077,cat_FunO,0)),J1077))</f>
        <v>Protección y medición</v>
      </c>
      <c r="W1077" s="34" t="str">
        <f aca="false">IF(OR(S1077="SIN DATO",T1077="SIN DATO"),"No","Sí")</f>
        <v>Sí</v>
      </c>
    </row>
    <row r="1078" customFormat="false" ht="15" hidden="false" customHeight="false" outlineLevel="0" collapsed="false">
      <c r="A1078" s="34" t="s">
        <v>3983</v>
      </c>
      <c r="B1078" s="34" t="s">
        <v>3984</v>
      </c>
      <c r="C1078" s="34" t="s">
        <v>3985</v>
      </c>
      <c r="D1078" s="34" t="s">
        <v>3982</v>
      </c>
      <c r="E1078" s="34" t="s">
        <v>118</v>
      </c>
      <c r="F1078" s="34" t="s">
        <v>1602</v>
      </c>
      <c r="G1078" s="34" t="s">
        <v>259</v>
      </c>
      <c r="H1078" s="34" t="s">
        <v>34</v>
      </c>
      <c r="I1078" s="34" t="s">
        <v>47</v>
      </c>
      <c r="J1078" s="34" t="s">
        <v>681</v>
      </c>
      <c r="K1078" s="34" t="s">
        <v>229</v>
      </c>
      <c r="L1078" s="34" t="s">
        <v>261</v>
      </c>
      <c r="M1078" s="34"/>
      <c r="N1078" s="34" t="str">
        <f aca="false">"Sector "&amp;VALUE(MID(D1078,13,2))</f>
        <v>Sector 3</v>
      </c>
      <c r="O1078" s="34" t="str">
        <f aca="false">IF(Dashboard!$C$5="Ubicación técnica",N1078,"Sector "&amp;VALUE(RIGHT(G1078,2)))</f>
        <v>Sector 3</v>
      </c>
      <c r="P1078" s="34" t="str">
        <f aca="false">IF(MID(D1078,15,3)="SEL","Subestación eléctrica","Área de proceso")</f>
        <v>Subestación eléctrica</v>
      </c>
      <c r="Q1078" s="34" t="str">
        <f aca="false">MID(D1078,13,5)&amp;"|"&amp;MID(D1078,19,5)</f>
        <v>03SEL|S_014</v>
      </c>
      <c r="R1078" s="34" t="str">
        <f aca="false">IF(P1078="Subestación eléctrica",IFERROR(INDEX(cat_SubN,MATCH(Q1078,cat_SubK,0)),"SIN CATALOGAR"),"ÁREA DE PROCESO")</f>
        <v>SE-14</v>
      </c>
      <c r="S1078" s="34" t="str">
        <f aca="false">IF(H1078="","SIN DATO",IFERROR(INDEX(cat_MarcaN,MATCH(H1078,cat_MarcaO,0)),H1078))</f>
        <v>ABB</v>
      </c>
      <c r="T1078" s="34" t="str">
        <f aca="false">IF(I1078="","SIN DATO",IFERROR(INDEX(cat_ModN,MATCH(I1078,cat_ModO,0)),I1078))</f>
        <v>REA</v>
      </c>
      <c r="U1078" s="34" t="str">
        <f aca="false">IF(I1078="","",IFERROR(INDEX(cat_ModG,MATCH(I1078,cat_ModO,0)),"No"))</f>
        <v>Sí</v>
      </c>
      <c r="V1078" s="34" t="str">
        <f aca="false">IF(J1078="","SIN DATO",IFERROR(INDEX(cat_FunN,MATCH(J1078,cat_FunO,0)),J1078))</f>
        <v>Protección</v>
      </c>
      <c r="W1078" s="34" t="str">
        <f aca="false">IF(OR(S1078="SIN DATO",T1078="SIN DATO"),"No","Sí")</f>
        <v>Sí</v>
      </c>
    </row>
    <row r="1079" customFormat="false" ht="15" hidden="false" customHeight="false" outlineLevel="0" collapsed="false">
      <c r="A1079" s="34" t="s">
        <v>3986</v>
      </c>
      <c r="B1079" s="34" t="s">
        <v>3987</v>
      </c>
      <c r="C1079" s="34" t="s">
        <v>3988</v>
      </c>
      <c r="D1079" s="34" t="s">
        <v>3989</v>
      </c>
      <c r="E1079" s="34" t="s">
        <v>118</v>
      </c>
      <c r="F1079" s="34" t="s">
        <v>1602</v>
      </c>
      <c r="G1079" s="34" t="s">
        <v>259</v>
      </c>
      <c r="H1079" s="34" t="s">
        <v>34</v>
      </c>
      <c r="I1079" s="34" t="s">
        <v>39</v>
      </c>
      <c r="J1079" s="34" t="s">
        <v>260</v>
      </c>
      <c r="K1079" s="34" t="s">
        <v>229</v>
      </c>
      <c r="L1079" s="34" t="s">
        <v>230</v>
      </c>
      <c r="M1079" s="34" t="s">
        <v>262</v>
      </c>
      <c r="N1079" s="34" t="str">
        <f aca="false">"Sector "&amp;VALUE(MID(D1079,13,2))</f>
        <v>Sector 3</v>
      </c>
      <c r="O1079" s="34" t="str">
        <f aca="false">IF(Dashboard!$C$5="Ubicación técnica",N1079,"Sector "&amp;VALUE(RIGHT(G1079,2)))</f>
        <v>Sector 3</v>
      </c>
      <c r="P1079" s="34" t="str">
        <f aca="false">IF(MID(D1079,15,3)="SEL","Subestación eléctrica","Área de proceso")</f>
        <v>Subestación eléctrica</v>
      </c>
      <c r="Q1079" s="34" t="str">
        <f aca="false">MID(D1079,13,5)&amp;"|"&amp;MID(D1079,19,5)</f>
        <v>03SEL|S_014</v>
      </c>
      <c r="R1079" s="34" t="str">
        <f aca="false">IF(P1079="Subestación eléctrica",IFERROR(INDEX(cat_SubN,MATCH(Q1079,cat_SubK,0)),"SIN CATALOGAR"),"ÁREA DE PROCESO")</f>
        <v>SE-14</v>
      </c>
      <c r="S1079" s="34" t="str">
        <f aca="false">IF(H1079="","SIN DATO",IFERROR(INDEX(cat_MarcaN,MATCH(H1079,cat_MarcaO,0)),H1079))</f>
        <v>ABB</v>
      </c>
      <c r="T1079" s="34" t="str">
        <f aca="false">IF(I1079="","SIN DATO",IFERROR(INDEX(cat_ModN,MATCH(I1079,cat_ModO,0)),I1079))</f>
        <v>REF</v>
      </c>
      <c r="U1079" s="34" t="str">
        <f aca="false">IF(I1079="","",IFERROR(INDEX(cat_ModG,MATCH(I1079,cat_ModO,0)),"No"))</f>
        <v>Sí</v>
      </c>
      <c r="V1079" s="34" t="str">
        <f aca="false">IF(J1079="","SIN DATO",IFERROR(INDEX(cat_FunN,MATCH(J1079,cat_FunO,0)),J1079))</f>
        <v>Protección y medición</v>
      </c>
      <c r="W1079" s="34" t="str">
        <f aca="false">IF(OR(S1079="SIN DATO",T1079="SIN DATO"),"No","Sí")</f>
        <v>Sí</v>
      </c>
    </row>
    <row r="1080" customFormat="false" ht="15" hidden="false" customHeight="false" outlineLevel="0" collapsed="false">
      <c r="A1080" s="34" t="s">
        <v>3990</v>
      </c>
      <c r="B1080" s="34" t="s">
        <v>3991</v>
      </c>
      <c r="C1080" s="34" t="s">
        <v>3992</v>
      </c>
      <c r="D1080" s="34" t="s">
        <v>3205</v>
      </c>
      <c r="E1080" s="34" t="s">
        <v>118</v>
      </c>
      <c r="F1080" s="34" t="s">
        <v>1602</v>
      </c>
      <c r="G1080" s="34" t="s">
        <v>259</v>
      </c>
      <c r="H1080" s="34" t="s">
        <v>34</v>
      </c>
      <c r="I1080" s="34" t="s">
        <v>39</v>
      </c>
      <c r="J1080" s="34" t="s">
        <v>260</v>
      </c>
      <c r="K1080" s="34" t="s">
        <v>229</v>
      </c>
      <c r="L1080" s="34" t="s">
        <v>230</v>
      </c>
      <c r="M1080" s="34" t="s">
        <v>262</v>
      </c>
      <c r="N1080" s="34" t="str">
        <f aca="false">"Sector "&amp;VALUE(MID(D1080,13,2))</f>
        <v>Sector 3</v>
      </c>
      <c r="O1080" s="34" t="str">
        <f aca="false">IF(Dashboard!$C$5="Ubicación técnica",N1080,"Sector "&amp;VALUE(RIGHT(G1080,2)))</f>
        <v>Sector 3</v>
      </c>
      <c r="P1080" s="34" t="str">
        <f aca="false">IF(MID(D1080,15,3)="SEL","Subestación eléctrica","Área de proceso")</f>
        <v>Subestación eléctrica</v>
      </c>
      <c r="Q1080" s="34" t="str">
        <f aca="false">MID(D1080,13,5)&amp;"|"&amp;MID(D1080,19,5)</f>
        <v>03SEL|S_014</v>
      </c>
      <c r="R1080" s="34" t="str">
        <f aca="false">IF(P1080="Subestación eléctrica",IFERROR(INDEX(cat_SubN,MATCH(Q1080,cat_SubK,0)),"SIN CATALOGAR"),"ÁREA DE PROCESO")</f>
        <v>SE-14</v>
      </c>
      <c r="S1080" s="34" t="str">
        <f aca="false">IF(H1080="","SIN DATO",IFERROR(INDEX(cat_MarcaN,MATCH(H1080,cat_MarcaO,0)),H1080))</f>
        <v>ABB</v>
      </c>
      <c r="T1080" s="34" t="str">
        <f aca="false">IF(I1080="","SIN DATO",IFERROR(INDEX(cat_ModN,MATCH(I1080,cat_ModO,0)),I1080))</f>
        <v>REF</v>
      </c>
      <c r="U1080" s="34" t="str">
        <f aca="false">IF(I1080="","",IFERROR(INDEX(cat_ModG,MATCH(I1080,cat_ModO,0)),"No"))</f>
        <v>Sí</v>
      </c>
      <c r="V1080" s="34" t="str">
        <f aca="false">IF(J1080="","SIN DATO",IFERROR(INDEX(cat_FunN,MATCH(J1080,cat_FunO,0)),J1080))</f>
        <v>Protección y medición</v>
      </c>
      <c r="W1080" s="34" t="str">
        <f aca="false">IF(OR(S1080="SIN DATO",T1080="SIN DATO"),"No","Sí")</f>
        <v>Sí</v>
      </c>
    </row>
    <row r="1081" customFormat="false" ht="15" hidden="false" customHeight="false" outlineLevel="0" collapsed="false">
      <c r="A1081" s="34" t="s">
        <v>3993</v>
      </c>
      <c r="B1081" s="34" t="s">
        <v>3994</v>
      </c>
      <c r="C1081" s="34" t="s">
        <v>3995</v>
      </c>
      <c r="D1081" s="34" t="s">
        <v>3996</v>
      </c>
      <c r="E1081" s="34" t="s">
        <v>118</v>
      </c>
      <c r="F1081" s="34" t="s">
        <v>1602</v>
      </c>
      <c r="G1081" s="34" t="s">
        <v>259</v>
      </c>
      <c r="H1081" s="34" t="s">
        <v>34</v>
      </c>
      <c r="I1081" s="34" t="s">
        <v>39</v>
      </c>
      <c r="J1081" s="34" t="s">
        <v>260</v>
      </c>
      <c r="K1081" s="34" t="s">
        <v>229</v>
      </c>
      <c r="L1081" s="34" t="s">
        <v>230</v>
      </c>
      <c r="M1081" s="34" t="s">
        <v>262</v>
      </c>
      <c r="N1081" s="34" t="str">
        <f aca="false">"Sector "&amp;VALUE(MID(D1081,13,2))</f>
        <v>Sector 3</v>
      </c>
      <c r="O1081" s="34" t="str">
        <f aca="false">IF(Dashboard!$C$5="Ubicación técnica",N1081,"Sector "&amp;VALUE(RIGHT(G1081,2)))</f>
        <v>Sector 3</v>
      </c>
      <c r="P1081" s="34" t="str">
        <f aca="false">IF(MID(D1081,15,3)="SEL","Subestación eléctrica","Área de proceso")</f>
        <v>Subestación eléctrica</v>
      </c>
      <c r="Q1081" s="34" t="str">
        <f aca="false">MID(D1081,13,5)&amp;"|"&amp;MID(D1081,19,5)</f>
        <v>03SEL|S_014</v>
      </c>
      <c r="R1081" s="34" t="str">
        <f aca="false">IF(P1081="Subestación eléctrica",IFERROR(INDEX(cat_SubN,MATCH(Q1081,cat_SubK,0)),"SIN CATALOGAR"),"ÁREA DE PROCESO")</f>
        <v>SE-14</v>
      </c>
      <c r="S1081" s="34" t="str">
        <f aca="false">IF(H1081="","SIN DATO",IFERROR(INDEX(cat_MarcaN,MATCH(H1081,cat_MarcaO,0)),H1081))</f>
        <v>ABB</v>
      </c>
      <c r="T1081" s="34" t="str">
        <f aca="false">IF(I1081="","SIN DATO",IFERROR(INDEX(cat_ModN,MATCH(I1081,cat_ModO,0)),I1081))</f>
        <v>REF</v>
      </c>
      <c r="U1081" s="34" t="str">
        <f aca="false">IF(I1081="","",IFERROR(INDEX(cat_ModG,MATCH(I1081,cat_ModO,0)),"No"))</f>
        <v>Sí</v>
      </c>
      <c r="V1081" s="34" t="str">
        <f aca="false">IF(J1081="","SIN DATO",IFERROR(INDEX(cat_FunN,MATCH(J1081,cat_FunO,0)),J1081))</f>
        <v>Protección y medición</v>
      </c>
      <c r="W1081" s="34" t="str">
        <f aca="false">IF(OR(S1081="SIN DATO",T1081="SIN DATO"),"No","Sí")</f>
        <v>Sí</v>
      </c>
    </row>
    <row r="1082" customFormat="false" ht="15" hidden="false" customHeight="false" outlineLevel="0" collapsed="false">
      <c r="A1082" s="34" t="s">
        <v>3997</v>
      </c>
      <c r="B1082" s="34" t="s">
        <v>3998</v>
      </c>
      <c r="C1082" s="34" t="s">
        <v>3999</v>
      </c>
      <c r="D1082" s="34" t="s">
        <v>4000</v>
      </c>
      <c r="E1082" s="34" t="s">
        <v>118</v>
      </c>
      <c r="F1082" s="34" t="s">
        <v>1602</v>
      </c>
      <c r="G1082" s="34" t="s">
        <v>259</v>
      </c>
      <c r="H1082" s="34" t="s">
        <v>34</v>
      </c>
      <c r="I1082" s="34" t="s">
        <v>39</v>
      </c>
      <c r="J1082" s="34" t="s">
        <v>260</v>
      </c>
      <c r="K1082" s="34" t="s">
        <v>229</v>
      </c>
      <c r="L1082" s="34" t="s">
        <v>230</v>
      </c>
      <c r="M1082" s="34" t="s">
        <v>262</v>
      </c>
      <c r="N1082" s="34" t="str">
        <f aca="false">"Sector "&amp;VALUE(MID(D1082,13,2))</f>
        <v>Sector 3</v>
      </c>
      <c r="O1082" s="34" t="str">
        <f aca="false">IF(Dashboard!$C$5="Ubicación técnica",N1082,"Sector "&amp;VALUE(RIGHT(G1082,2)))</f>
        <v>Sector 3</v>
      </c>
      <c r="P1082" s="34" t="str">
        <f aca="false">IF(MID(D1082,15,3)="SEL","Subestación eléctrica","Área de proceso")</f>
        <v>Subestación eléctrica</v>
      </c>
      <c r="Q1082" s="34" t="str">
        <f aca="false">MID(D1082,13,5)&amp;"|"&amp;MID(D1082,19,5)</f>
        <v>03SEL|S_014</v>
      </c>
      <c r="R1082" s="34" t="str">
        <f aca="false">IF(P1082="Subestación eléctrica",IFERROR(INDEX(cat_SubN,MATCH(Q1082,cat_SubK,0)),"SIN CATALOGAR"),"ÁREA DE PROCESO")</f>
        <v>SE-14</v>
      </c>
      <c r="S1082" s="34" t="str">
        <f aca="false">IF(H1082="","SIN DATO",IFERROR(INDEX(cat_MarcaN,MATCH(H1082,cat_MarcaO,0)),H1082))</f>
        <v>ABB</v>
      </c>
      <c r="T1082" s="34" t="str">
        <f aca="false">IF(I1082="","SIN DATO",IFERROR(INDEX(cat_ModN,MATCH(I1082,cat_ModO,0)),I1082))</f>
        <v>REF</v>
      </c>
      <c r="U1082" s="34" t="str">
        <f aca="false">IF(I1082="","",IFERROR(INDEX(cat_ModG,MATCH(I1082,cat_ModO,0)),"No"))</f>
        <v>Sí</v>
      </c>
      <c r="V1082" s="34" t="str">
        <f aca="false">IF(J1082="","SIN DATO",IFERROR(INDEX(cat_FunN,MATCH(J1082,cat_FunO,0)),J1082))</f>
        <v>Protección y medición</v>
      </c>
      <c r="W1082" s="34" t="str">
        <f aca="false">IF(OR(S1082="SIN DATO",T1082="SIN DATO"),"No","Sí")</f>
        <v>Sí</v>
      </c>
    </row>
    <row r="1083" customFormat="false" ht="15" hidden="false" customHeight="false" outlineLevel="0" collapsed="false">
      <c r="A1083" s="34" t="s">
        <v>4001</v>
      </c>
      <c r="B1083" s="34" t="s">
        <v>4002</v>
      </c>
      <c r="C1083" s="34" t="s">
        <v>4003</v>
      </c>
      <c r="D1083" s="34" t="s">
        <v>4004</v>
      </c>
      <c r="E1083" s="34" t="s">
        <v>118</v>
      </c>
      <c r="F1083" s="34" t="s">
        <v>1602</v>
      </c>
      <c r="G1083" s="34" t="s">
        <v>259</v>
      </c>
      <c r="H1083" s="34" t="s">
        <v>34</v>
      </c>
      <c r="I1083" s="34" t="s">
        <v>39</v>
      </c>
      <c r="J1083" s="34" t="s">
        <v>260</v>
      </c>
      <c r="K1083" s="34" t="s">
        <v>229</v>
      </c>
      <c r="L1083" s="34" t="s">
        <v>230</v>
      </c>
      <c r="M1083" s="34" t="s">
        <v>262</v>
      </c>
      <c r="N1083" s="34" t="str">
        <f aca="false">"Sector "&amp;VALUE(MID(D1083,13,2))</f>
        <v>Sector 3</v>
      </c>
      <c r="O1083" s="34" t="str">
        <f aca="false">IF(Dashboard!$C$5="Ubicación técnica",N1083,"Sector "&amp;VALUE(RIGHT(G1083,2)))</f>
        <v>Sector 3</v>
      </c>
      <c r="P1083" s="34" t="str">
        <f aca="false">IF(MID(D1083,15,3)="SEL","Subestación eléctrica","Área de proceso")</f>
        <v>Subestación eléctrica</v>
      </c>
      <c r="Q1083" s="34" t="str">
        <f aca="false">MID(D1083,13,5)&amp;"|"&amp;MID(D1083,19,5)</f>
        <v>03SEL|S_014</v>
      </c>
      <c r="R1083" s="34" t="str">
        <f aca="false">IF(P1083="Subestación eléctrica",IFERROR(INDEX(cat_SubN,MATCH(Q1083,cat_SubK,0)),"SIN CATALOGAR"),"ÁREA DE PROCESO")</f>
        <v>SE-14</v>
      </c>
      <c r="S1083" s="34" t="str">
        <f aca="false">IF(H1083="","SIN DATO",IFERROR(INDEX(cat_MarcaN,MATCH(H1083,cat_MarcaO,0)),H1083))</f>
        <v>ABB</v>
      </c>
      <c r="T1083" s="34" t="str">
        <f aca="false">IF(I1083="","SIN DATO",IFERROR(INDEX(cat_ModN,MATCH(I1083,cat_ModO,0)),I1083))</f>
        <v>REF</v>
      </c>
      <c r="U1083" s="34" t="str">
        <f aca="false">IF(I1083="","",IFERROR(INDEX(cat_ModG,MATCH(I1083,cat_ModO,0)),"No"))</f>
        <v>Sí</v>
      </c>
      <c r="V1083" s="34" t="str">
        <f aca="false">IF(J1083="","SIN DATO",IFERROR(INDEX(cat_FunN,MATCH(J1083,cat_FunO,0)),J1083))</f>
        <v>Protección y medición</v>
      </c>
      <c r="W1083" s="34" t="str">
        <f aca="false">IF(OR(S1083="SIN DATO",T1083="SIN DATO"),"No","Sí")</f>
        <v>Sí</v>
      </c>
    </row>
    <row r="1084" customFormat="false" ht="15" hidden="false" customHeight="false" outlineLevel="0" collapsed="false">
      <c r="A1084" s="34" t="s">
        <v>4005</v>
      </c>
      <c r="B1084" s="34" t="s">
        <v>4006</v>
      </c>
      <c r="C1084" s="34" t="s">
        <v>4007</v>
      </c>
      <c r="D1084" s="34" t="s">
        <v>4004</v>
      </c>
      <c r="E1084" s="34" t="s">
        <v>118</v>
      </c>
      <c r="F1084" s="34" t="s">
        <v>1602</v>
      </c>
      <c r="G1084" s="34" t="s">
        <v>259</v>
      </c>
      <c r="H1084" s="34" t="s">
        <v>34</v>
      </c>
      <c r="I1084" s="34" t="s">
        <v>39</v>
      </c>
      <c r="J1084" s="34" t="s">
        <v>260</v>
      </c>
      <c r="K1084" s="34" t="s">
        <v>229</v>
      </c>
      <c r="L1084" s="34" t="s">
        <v>230</v>
      </c>
      <c r="M1084" s="34" t="s">
        <v>262</v>
      </c>
      <c r="N1084" s="34" t="str">
        <f aca="false">"Sector "&amp;VALUE(MID(D1084,13,2))</f>
        <v>Sector 3</v>
      </c>
      <c r="O1084" s="34" t="str">
        <f aca="false">IF(Dashboard!$C$5="Ubicación técnica",N1084,"Sector "&amp;VALUE(RIGHT(G1084,2)))</f>
        <v>Sector 3</v>
      </c>
      <c r="P1084" s="34" t="str">
        <f aca="false">IF(MID(D1084,15,3)="SEL","Subestación eléctrica","Área de proceso")</f>
        <v>Subestación eléctrica</v>
      </c>
      <c r="Q1084" s="34" t="str">
        <f aca="false">MID(D1084,13,5)&amp;"|"&amp;MID(D1084,19,5)</f>
        <v>03SEL|S_014</v>
      </c>
      <c r="R1084" s="34" t="str">
        <f aca="false">IF(P1084="Subestación eléctrica",IFERROR(INDEX(cat_SubN,MATCH(Q1084,cat_SubK,0)),"SIN CATALOGAR"),"ÁREA DE PROCESO")</f>
        <v>SE-14</v>
      </c>
      <c r="S1084" s="34" t="str">
        <f aca="false">IF(H1084="","SIN DATO",IFERROR(INDEX(cat_MarcaN,MATCH(H1084,cat_MarcaO,0)),H1084))</f>
        <v>ABB</v>
      </c>
      <c r="T1084" s="34" t="str">
        <f aca="false">IF(I1084="","SIN DATO",IFERROR(INDEX(cat_ModN,MATCH(I1084,cat_ModO,0)),I1084))</f>
        <v>REF</v>
      </c>
      <c r="U1084" s="34" t="str">
        <f aca="false">IF(I1084="","",IFERROR(INDEX(cat_ModG,MATCH(I1084,cat_ModO,0)),"No"))</f>
        <v>Sí</v>
      </c>
      <c r="V1084" s="34" t="str">
        <f aca="false">IF(J1084="","SIN DATO",IFERROR(INDEX(cat_FunN,MATCH(J1084,cat_FunO,0)),J1084))</f>
        <v>Protección y medición</v>
      </c>
      <c r="W1084" s="34" t="str">
        <f aca="false">IF(OR(S1084="SIN DATO",T1084="SIN DATO"),"No","Sí")</f>
        <v>Sí</v>
      </c>
    </row>
    <row r="1085" customFormat="false" ht="15" hidden="false" customHeight="false" outlineLevel="0" collapsed="false">
      <c r="A1085" s="34" t="s">
        <v>4008</v>
      </c>
      <c r="B1085" s="34" t="s">
        <v>4009</v>
      </c>
      <c r="C1085" s="34" t="s">
        <v>4010</v>
      </c>
      <c r="D1085" s="34" t="s">
        <v>4011</v>
      </c>
      <c r="E1085" s="34" t="s">
        <v>118</v>
      </c>
      <c r="F1085" s="34" t="s">
        <v>1602</v>
      </c>
      <c r="G1085" s="34" t="s">
        <v>259</v>
      </c>
      <c r="H1085" s="34" t="s">
        <v>34</v>
      </c>
      <c r="I1085" s="34" t="s">
        <v>39</v>
      </c>
      <c r="J1085" s="34" t="s">
        <v>260</v>
      </c>
      <c r="K1085" s="34" t="s">
        <v>229</v>
      </c>
      <c r="L1085" s="34" t="s">
        <v>230</v>
      </c>
      <c r="M1085" s="34" t="s">
        <v>262</v>
      </c>
      <c r="N1085" s="34" t="str">
        <f aca="false">"Sector "&amp;VALUE(MID(D1085,13,2))</f>
        <v>Sector 3</v>
      </c>
      <c r="O1085" s="34" t="str">
        <f aca="false">IF(Dashboard!$C$5="Ubicación técnica",N1085,"Sector "&amp;VALUE(RIGHT(G1085,2)))</f>
        <v>Sector 3</v>
      </c>
      <c r="P1085" s="34" t="str">
        <f aca="false">IF(MID(D1085,15,3)="SEL","Subestación eléctrica","Área de proceso")</f>
        <v>Subestación eléctrica</v>
      </c>
      <c r="Q1085" s="34" t="str">
        <f aca="false">MID(D1085,13,5)&amp;"|"&amp;MID(D1085,19,5)</f>
        <v>03SEL|S_014</v>
      </c>
      <c r="R1085" s="34" t="str">
        <f aca="false">IF(P1085="Subestación eléctrica",IFERROR(INDEX(cat_SubN,MATCH(Q1085,cat_SubK,0)),"SIN CATALOGAR"),"ÁREA DE PROCESO")</f>
        <v>SE-14</v>
      </c>
      <c r="S1085" s="34" t="str">
        <f aca="false">IF(H1085="","SIN DATO",IFERROR(INDEX(cat_MarcaN,MATCH(H1085,cat_MarcaO,0)),H1085))</f>
        <v>ABB</v>
      </c>
      <c r="T1085" s="34" t="str">
        <f aca="false">IF(I1085="","SIN DATO",IFERROR(INDEX(cat_ModN,MATCH(I1085,cat_ModO,0)),I1085))</f>
        <v>REF</v>
      </c>
      <c r="U1085" s="34" t="str">
        <f aca="false">IF(I1085="","",IFERROR(INDEX(cat_ModG,MATCH(I1085,cat_ModO,0)),"No"))</f>
        <v>Sí</v>
      </c>
      <c r="V1085" s="34" t="str">
        <f aca="false">IF(J1085="","SIN DATO",IFERROR(INDEX(cat_FunN,MATCH(J1085,cat_FunO,0)),J1085))</f>
        <v>Protección y medición</v>
      </c>
      <c r="W1085" s="34" t="str">
        <f aca="false">IF(OR(S1085="SIN DATO",T1085="SIN DATO"),"No","Sí")</f>
        <v>Sí</v>
      </c>
    </row>
    <row r="1086" customFormat="false" ht="15" hidden="false" customHeight="false" outlineLevel="0" collapsed="false">
      <c r="A1086" s="34" t="s">
        <v>4012</v>
      </c>
      <c r="B1086" s="34" t="s">
        <v>4013</v>
      </c>
      <c r="C1086" s="34" t="s">
        <v>4014</v>
      </c>
      <c r="D1086" s="34" t="s">
        <v>4015</v>
      </c>
      <c r="E1086" s="34" t="s">
        <v>118</v>
      </c>
      <c r="F1086" s="34" t="s">
        <v>1602</v>
      </c>
      <c r="G1086" s="34" t="s">
        <v>259</v>
      </c>
      <c r="H1086" s="34" t="s">
        <v>34</v>
      </c>
      <c r="I1086" s="34" t="s">
        <v>39</v>
      </c>
      <c r="J1086" s="34" t="s">
        <v>260</v>
      </c>
      <c r="K1086" s="34" t="s">
        <v>229</v>
      </c>
      <c r="L1086" s="34" t="s">
        <v>230</v>
      </c>
      <c r="M1086" s="34" t="s">
        <v>262</v>
      </c>
      <c r="N1086" s="34" t="str">
        <f aca="false">"Sector "&amp;VALUE(MID(D1086,13,2))</f>
        <v>Sector 3</v>
      </c>
      <c r="O1086" s="34" t="str">
        <f aca="false">IF(Dashboard!$C$5="Ubicación técnica",N1086,"Sector "&amp;VALUE(RIGHT(G1086,2)))</f>
        <v>Sector 3</v>
      </c>
      <c r="P1086" s="34" t="str">
        <f aca="false">IF(MID(D1086,15,3)="SEL","Subestación eléctrica","Área de proceso")</f>
        <v>Subestación eléctrica</v>
      </c>
      <c r="Q1086" s="34" t="str">
        <f aca="false">MID(D1086,13,5)&amp;"|"&amp;MID(D1086,19,5)</f>
        <v>03SEL|S_014</v>
      </c>
      <c r="R1086" s="34" t="str">
        <f aca="false">IF(P1086="Subestación eléctrica",IFERROR(INDEX(cat_SubN,MATCH(Q1086,cat_SubK,0)),"SIN CATALOGAR"),"ÁREA DE PROCESO")</f>
        <v>SE-14</v>
      </c>
      <c r="S1086" s="34" t="str">
        <f aca="false">IF(H1086="","SIN DATO",IFERROR(INDEX(cat_MarcaN,MATCH(H1086,cat_MarcaO,0)),H1086))</f>
        <v>ABB</v>
      </c>
      <c r="T1086" s="34" t="str">
        <f aca="false">IF(I1086="","SIN DATO",IFERROR(INDEX(cat_ModN,MATCH(I1086,cat_ModO,0)),I1086))</f>
        <v>REF</v>
      </c>
      <c r="U1086" s="34" t="str">
        <f aca="false">IF(I1086="","",IFERROR(INDEX(cat_ModG,MATCH(I1086,cat_ModO,0)),"No"))</f>
        <v>Sí</v>
      </c>
      <c r="V1086" s="34" t="str">
        <f aca="false">IF(J1086="","SIN DATO",IFERROR(INDEX(cat_FunN,MATCH(J1086,cat_FunO,0)),J1086))</f>
        <v>Protección y medición</v>
      </c>
      <c r="W1086" s="34" t="str">
        <f aca="false">IF(OR(S1086="SIN DATO",T1086="SIN DATO"),"No","Sí")</f>
        <v>Sí</v>
      </c>
    </row>
    <row r="1087" customFormat="false" ht="15" hidden="false" customHeight="false" outlineLevel="0" collapsed="false">
      <c r="A1087" s="34" t="s">
        <v>4016</v>
      </c>
      <c r="B1087" s="34" t="s">
        <v>4017</v>
      </c>
      <c r="C1087" s="34" t="s">
        <v>4018</v>
      </c>
      <c r="D1087" s="34" t="s">
        <v>4015</v>
      </c>
      <c r="E1087" s="34" t="s">
        <v>118</v>
      </c>
      <c r="F1087" s="34" t="s">
        <v>1602</v>
      </c>
      <c r="G1087" s="34" t="s">
        <v>259</v>
      </c>
      <c r="H1087" s="34" t="s">
        <v>34</v>
      </c>
      <c r="I1087" s="34" t="s">
        <v>39</v>
      </c>
      <c r="J1087" s="34" t="s">
        <v>260</v>
      </c>
      <c r="K1087" s="34" t="s">
        <v>229</v>
      </c>
      <c r="L1087" s="34" t="s">
        <v>230</v>
      </c>
      <c r="M1087" s="34" t="s">
        <v>262</v>
      </c>
      <c r="N1087" s="34" t="str">
        <f aca="false">"Sector "&amp;VALUE(MID(D1087,13,2))</f>
        <v>Sector 3</v>
      </c>
      <c r="O1087" s="34" t="str">
        <f aca="false">IF(Dashboard!$C$5="Ubicación técnica",N1087,"Sector "&amp;VALUE(RIGHT(G1087,2)))</f>
        <v>Sector 3</v>
      </c>
      <c r="P1087" s="34" t="str">
        <f aca="false">IF(MID(D1087,15,3)="SEL","Subestación eléctrica","Área de proceso")</f>
        <v>Subestación eléctrica</v>
      </c>
      <c r="Q1087" s="34" t="str">
        <f aca="false">MID(D1087,13,5)&amp;"|"&amp;MID(D1087,19,5)</f>
        <v>03SEL|S_014</v>
      </c>
      <c r="R1087" s="34" t="str">
        <f aca="false">IF(P1087="Subestación eléctrica",IFERROR(INDEX(cat_SubN,MATCH(Q1087,cat_SubK,0)),"SIN CATALOGAR"),"ÁREA DE PROCESO")</f>
        <v>SE-14</v>
      </c>
      <c r="S1087" s="34" t="str">
        <f aca="false">IF(H1087="","SIN DATO",IFERROR(INDEX(cat_MarcaN,MATCH(H1087,cat_MarcaO,0)),H1087))</f>
        <v>ABB</v>
      </c>
      <c r="T1087" s="34" t="str">
        <f aca="false">IF(I1087="","SIN DATO",IFERROR(INDEX(cat_ModN,MATCH(I1087,cat_ModO,0)),I1087))</f>
        <v>REF</v>
      </c>
      <c r="U1087" s="34" t="str">
        <f aca="false">IF(I1087="","",IFERROR(INDEX(cat_ModG,MATCH(I1087,cat_ModO,0)),"No"))</f>
        <v>Sí</v>
      </c>
      <c r="V1087" s="34" t="str">
        <f aca="false">IF(J1087="","SIN DATO",IFERROR(INDEX(cat_FunN,MATCH(J1087,cat_FunO,0)),J1087))</f>
        <v>Protección y medición</v>
      </c>
      <c r="W1087" s="34" t="str">
        <f aca="false">IF(OR(S1087="SIN DATO",T1087="SIN DATO"),"No","Sí")</f>
        <v>Sí</v>
      </c>
    </row>
    <row r="1088" customFormat="false" ht="15" hidden="false" customHeight="false" outlineLevel="0" collapsed="false">
      <c r="A1088" s="34" t="s">
        <v>4019</v>
      </c>
      <c r="B1088" s="34" t="s">
        <v>4020</v>
      </c>
      <c r="C1088" s="34" t="s">
        <v>4021</v>
      </c>
      <c r="D1088" s="34" t="s">
        <v>4022</v>
      </c>
      <c r="E1088" s="34" t="s">
        <v>118</v>
      </c>
      <c r="F1088" s="34" t="s">
        <v>1602</v>
      </c>
      <c r="G1088" s="34" t="s">
        <v>259</v>
      </c>
      <c r="H1088" s="34" t="s">
        <v>34</v>
      </c>
      <c r="I1088" s="34" t="s">
        <v>39</v>
      </c>
      <c r="J1088" s="34" t="s">
        <v>260</v>
      </c>
      <c r="K1088" s="34" t="s">
        <v>229</v>
      </c>
      <c r="L1088" s="34" t="s">
        <v>230</v>
      </c>
      <c r="M1088" s="34" t="s">
        <v>262</v>
      </c>
      <c r="N1088" s="34" t="str">
        <f aca="false">"Sector "&amp;VALUE(MID(D1088,13,2))</f>
        <v>Sector 3</v>
      </c>
      <c r="O1088" s="34" t="str">
        <f aca="false">IF(Dashboard!$C$5="Ubicación técnica",N1088,"Sector "&amp;VALUE(RIGHT(G1088,2)))</f>
        <v>Sector 3</v>
      </c>
      <c r="P1088" s="34" t="str">
        <f aca="false">IF(MID(D1088,15,3)="SEL","Subestación eléctrica","Área de proceso")</f>
        <v>Subestación eléctrica</v>
      </c>
      <c r="Q1088" s="34" t="str">
        <f aca="false">MID(D1088,13,5)&amp;"|"&amp;MID(D1088,19,5)</f>
        <v>03SEL|S_014</v>
      </c>
      <c r="R1088" s="34" t="str">
        <f aca="false">IF(P1088="Subestación eléctrica",IFERROR(INDEX(cat_SubN,MATCH(Q1088,cat_SubK,0)),"SIN CATALOGAR"),"ÁREA DE PROCESO")</f>
        <v>SE-14</v>
      </c>
      <c r="S1088" s="34" t="str">
        <f aca="false">IF(H1088="","SIN DATO",IFERROR(INDEX(cat_MarcaN,MATCH(H1088,cat_MarcaO,0)),H1088))</f>
        <v>ABB</v>
      </c>
      <c r="T1088" s="34" t="str">
        <f aca="false">IF(I1088="","SIN DATO",IFERROR(INDEX(cat_ModN,MATCH(I1088,cat_ModO,0)),I1088))</f>
        <v>REF</v>
      </c>
      <c r="U1088" s="34" t="str">
        <f aca="false">IF(I1088="","",IFERROR(INDEX(cat_ModG,MATCH(I1088,cat_ModO,0)),"No"))</f>
        <v>Sí</v>
      </c>
      <c r="V1088" s="34" t="str">
        <f aca="false">IF(J1088="","SIN DATO",IFERROR(INDEX(cat_FunN,MATCH(J1088,cat_FunO,0)),J1088))</f>
        <v>Protección y medición</v>
      </c>
      <c r="W1088" s="34" t="str">
        <f aca="false">IF(OR(S1088="SIN DATO",T1088="SIN DATO"),"No","Sí")</f>
        <v>Sí</v>
      </c>
    </row>
    <row r="1089" customFormat="false" ht="15" hidden="false" customHeight="false" outlineLevel="0" collapsed="false">
      <c r="A1089" s="34" t="s">
        <v>4023</v>
      </c>
      <c r="B1089" s="34" t="s">
        <v>4024</v>
      </c>
      <c r="C1089" s="34" t="s">
        <v>4025</v>
      </c>
      <c r="D1089" s="34" t="s">
        <v>4026</v>
      </c>
      <c r="E1089" s="34" t="s">
        <v>118</v>
      </c>
      <c r="F1089" s="34" t="s">
        <v>1602</v>
      </c>
      <c r="G1089" s="34" t="s">
        <v>259</v>
      </c>
      <c r="H1089" s="34" t="s">
        <v>34</v>
      </c>
      <c r="I1089" s="34" t="s">
        <v>39</v>
      </c>
      <c r="J1089" s="34" t="s">
        <v>260</v>
      </c>
      <c r="K1089" s="34" t="s">
        <v>229</v>
      </c>
      <c r="L1089" s="34" t="s">
        <v>230</v>
      </c>
      <c r="M1089" s="34" t="s">
        <v>262</v>
      </c>
      <c r="N1089" s="34" t="str">
        <f aca="false">"Sector "&amp;VALUE(MID(D1089,13,2))</f>
        <v>Sector 3</v>
      </c>
      <c r="O1089" s="34" t="str">
        <f aca="false">IF(Dashboard!$C$5="Ubicación técnica",N1089,"Sector "&amp;VALUE(RIGHT(G1089,2)))</f>
        <v>Sector 3</v>
      </c>
      <c r="P1089" s="34" t="str">
        <f aca="false">IF(MID(D1089,15,3)="SEL","Subestación eléctrica","Área de proceso")</f>
        <v>Subestación eléctrica</v>
      </c>
      <c r="Q1089" s="34" t="str">
        <f aca="false">MID(D1089,13,5)&amp;"|"&amp;MID(D1089,19,5)</f>
        <v>03SEL|S_014</v>
      </c>
      <c r="R1089" s="34" t="str">
        <f aca="false">IF(P1089="Subestación eléctrica",IFERROR(INDEX(cat_SubN,MATCH(Q1089,cat_SubK,0)),"SIN CATALOGAR"),"ÁREA DE PROCESO")</f>
        <v>SE-14</v>
      </c>
      <c r="S1089" s="34" t="str">
        <f aca="false">IF(H1089="","SIN DATO",IFERROR(INDEX(cat_MarcaN,MATCH(H1089,cat_MarcaO,0)),H1089))</f>
        <v>ABB</v>
      </c>
      <c r="T1089" s="34" t="str">
        <f aca="false">IF(I1089="","SIN DATO",IFERROR(INDEX(cat_ModN,MATCH(I1089,cat_ModO,0)),I1089))</f>
        <v>REF</v>
      </c>
      <c r="U1089" s="34" t="str">
        <f aca="false">IF(I1089="","",IFERROR(INDEX(cat_ModG,MATCH(I1089,cat_ModO,0)),"No"))</f>
        <v>Sí</v>
      </c>
      <c r="V1089" s="34" t="str">
        <f aca="false">IF(J1089="","SIN DATO",IFERROR(INDEX(cat_FunN,MATCH(J1089,cat_FunO,0)),J1089))</f>
        <v>Protección y medición</v>
      </c>
      <c r="W1089" s="34" t="str">
        <f aca="false">IF(OR(S1089="SIN DATO",T1089="SIN DATO"),"No","Sí")</f>
        <v>Sí</v>
      </c>
    </row>
    <row r="1090" customFormat="false" ht="15" hidden="false" customHeight="false" outlineLevel="0" collapsed="false">
      <c r="A1090" s="34" t="s">
        <v>4027</v>
      </c>
      <c r="B1090" s="34" t="s">
        <v>4028</v>
      </c>
      <c r="C1090" s="34" t="s">
        <v>4029</v>
      </c>
      <c r="D1090" s="34" t="s">
        <v>4026</v>
      </c>
      <c r="E1090" s="34" t="s">
        <v>118</v>
      </c>
      <c r="F1090" s="34" t="s">
        <v>1602</v>
      </c>
      <c r="G1090" s="34" t="s">
        <v>259</v>
      </c>
      <c r="H1090" s="34" t="s">
        <v>34</v>
      </c>
      <c r="I1090" s="34" t="s">
        <v>39</v>
      </c>
      <c r="J1090" s="34" t="s">
        <v>260</v>
      </c>
      <c r="K1090" s="34" t="s">
        <v>229</v>
      </c>
      <c r="L1090" s="34" t="s">
        <v>230</v>
      </c>
      <c r="M1090" s="34" t="s">
        <v>262</v>
      </c>
      <c r="N1090" s="34" t="str">
        <f aca="false">"Sector "&amp;VALUE(MID(D1090,13,2))</f>
        <v>Sector 3</v>
      </c>
      <c r="O1090" s="34" t="str">
        <f aca="false">IF(Dashboard!$C$5="Ubicación técnica",N1090,"Sector "&amp;VALUE(RIGHT(G1090,2)))</f>
        <v>Sector 3</v>
      </c>
      <c r="P1090" s="34" t="str">
        <f aca="false">IF(MID(D1090,15,3)="SEL","Subestación eléctrica","Área de proceso")</f>
        <v>Subestación eléctrica</v>
      </c>
      <c r="Q1090" s="34" t="str">
        <f aca="false">MID(D1090,13,5)&amp;"|"&amp;MID(D1090,19,5)</f>
        <v>03SEL|S_014</v>
      </c>
      <c r="R1090" s="34" t="str">
        <f aca="false">IF(P1090="Subestación eléctrica",IFERROR(INDEX(cat_SubN,MATCH(Q1090,cat_SubK,0)),"SIN CATALOGAR"),"ÁREA DE PROCESO")</f>
        <v>SE-14</v>
      </c>
      <c r="S1090" s="34" t="str">
        <f aca="false">IF(H1090="","SIN DATO",IFERROR(INDEX(cat_MarcaN,MATCH(H1090,cat_MarcaO,0)),H1090))</f>
        <v>ABB</v>
      </c>
      <c r="T1090" s="34" t="str">
        <f aca="false">IF(I1090="","SIN DATO",IFERROR(INDEX(cat_ModN,MATCH(I1090,cat_ModO,0)),I1090))</f>
        <v>REF</v>
      </c>
      <c r="U1090" s="34" t="str">
        <f aca="false">IF(I1090="","",IFERROR(INDEX(cat_ModG,MATCH(I1090,cat_ModO,0)),"No"))</f>
        <v>Sí</v>
      </c>
      <c r="V1090" s="34" t="str">
        <f aca="false">IF(J1090="","SIN DATO",IFERROR(INDEX(cat_FunN,MATCH(J1090,cat_FunO,0)),J1090))</f>
        <v>Protección y medición</v>
      </c>
      <c r="W1090" s="34" t="str">
        <f aca="false">IF(OR(S1090="SIN DATO",T1090="SIN DATO"),"No","Sí")</f>
        <v>Sí</v>
      </c>
    </row>
    <row r="1091" customFormat="false" ht="15" hidden="false" customHeight="false" outlineLevel="0" collapsed="false">
      <c r="A1091" s="34" t="s">
        <v>4030</v>
      </c>
      <c r="B1091" s="34" t="s">
        <v>4031</v>
      </c>
      <c r="C1091" s="34" t="s">
        <v>4032</v>
      </c>
      <c r="D1091" s="34" t="s">
        <v>4033</v>
      </c>
      <c r="E1091" s="34" t="s">
        <v>118</v>
      </c>
      <c r="F1091" s="34" t="s">
        <v>1602</v>
      </c>
      <c r="G1091" s="34" t="s">
        <v>259</v>
      </c>
      <c r="H1091" s="34" t="s">
        <v>34</v>
      </c>
      <c r="I1091" s="34" t="s">
        <v>39</v>
      </c>
      <c r="J1091" s="34" t="s">
        <v>260</v>
      </c>
      <c r="K1091" s="34" t="s">
        <v>229</v>
      </c>
      <c r="L1091" s="34" t="s">
        <v>230</v>
      </c>
      <c r="M1091" s="34" t="s">
        <v>262</v>
      </c>
      <c r="N1091" s="34" t="str">
        <f aca="false">"Sector "&amp;VALUE(MID(D1091,13,2))</f>
        <v>Sector 3</v>
      </c>
      <c r="O1091" s="34" t="str">
        <f aca="false">IF(Dashboard!$C$5="Ubicación técnica",N1091,"Sector "&amp;VALUE(RIGHT(G1091,2)))</f>
        <v>Sector 3</v>
      </c>
      <c r="P1091" s="34" t="str">
        <f aca="false">IF(MID(D1091,15,3)="SEL","Subestación eléctrica","Área de proceso")</f>
        <v>Subestación eléctrica</v>
      </c>
      <c r="Q1091" s="34" t="str">
        <f aca="false">MID(D1091,13,5)&amp;"|"&amp;MID(D1091,19,5)</f>
        <v>03SEL|S_014</v>
      </c>
      <c r="R1091" s="34" t="str">
        <f aca="false">IF(P1091="Subestación eléctrica",IFERROR(INDEX(cat_SubN,MATCH(Q1091,cat_SubK,0)),"SIN CATALOGAR"),"ÁREA DE PROCESO")</f>
        <v>SE-14</v>
      </c>
      <c r="S1091" s="34" t="str">
        <f aca="false">IF(H1091="","SIN DATO",IFERROR(INDEX(cat_MarcaN,MATCH(H1091,cat_MarcaO,0)),H1091))</f>
        <v>ABB</v>
      </c>
      <c r="T1091" s="34" t="str">
        <f aca="false">IF(I1091="","SIN DATO",IFERROR(INDEX(cat_ModN,MATCH(I1091,cat_ModO,0)),I1091))</f>
        <v>REF</v>
      </c>
      <c r="U1091" s="34" t="str">
        <f aca="false">IF(I1091="","",IFERROR(INDEX(cat_ModG,MATCH(I1091,cat_ModO,0)),"No"))</f>
        <v>Sí</v>
      </c>
      <c r="V1091" s="34" t="str">
        <f aca="false">IF(J1091="","SIN DATO",IFERROR(INDEX(cat_FunN,MATCH(J1091,cat_FunO,0)),J1091))</f>
        <v>Protección y medición</v>
      </c>
      <c r="W1091" s="34" t="str">
        <f aca="false">IF(OR(S1091="SIN DATO",T1091="SIN DATO"),"No","Sí")</f>
        <v>Sí</v>
      </c>
    </row>
    <row r="1092" customFormat="false" ht="15" hidden="false" customHeight="false" outlineLevel="0" collapsed="false">
      <c r="A1092" s="34" t="s">
        <v>4034</v>
      </c>
      <c r="B1092" s="34" t="s">
        <v>4035</v>
      </c>
      <c r="C1092" s="34" t="s">
        <v>4036</v>
      </c>
      <c r="D1092" s="34" t="s">
        <v>4037</v>
      </c>
      <c r="E1092" s="34" t="s">
        <v>118</v>
      </c>
      <c r="F1092" s="34" t="s">
        <v>1602</v>
      </c>
      <c r="G1092" s="34" t="s">
        <v>259</v>
      </c>
      <c r="H1092" s="34" t="s">
        <v>34</v>
      </c>
      <c r="I1092" s="34" t="s">
        <v>39</v>
      </c>
      <c r="J1092" s="34" t="s">
        <v>260</v>
      </c>
      <c r="K1092" s="34" t="s">
        <v>229</v>
      </c>
      <c r="L1092" s="34" t="s">
        <v>230</v>
      </c>
      <c r="M1092" s="34" t="s">
        <v>262</v>
      </c>
      <c r="N1092" s="34" t="str">
        <f aca="false">"Sector "&amp;VALUE(MID(D1092,13,2))</f>
        <v>Sector 3</v>
      </c>
      <c r="O1092" s="34" t="str">
        <f aca="false">IF(Dashboard!$C$5="Ubicación técnica",N1092,"Sector "&amp;VALUE(RIGHT(G1092,2)))</f>
        <v>Sector 3</v>
      </c>
      <c r="P1092" s="34" t="str">
        <f aca="false">IF(MID(D1092,15,3)="SEL","Subestación eléctrica","Área de proceso")</f>
        <v>Subestación eléctrica</v>
      </c>
      <c r="Q1092" s="34" t="str">
        <f aca="false">MID(D1092,13,5)&amp;"|"&amp;MID(D1092,19,5)</f>
        <v>03SEL|S_014</v>
      </c>
      <c r="R1092" s="34" t="str">
        <f aca="false">IF(P1092="Subestación eléctrica",IFERROR(INDEX(cat_SubN,MATCH(Q1092,cat_SubK,0)),"SIN CATALOGAR"),"ÁREA DE PROCESO")</f>
        <v>SE-14</v>
      </c>
      <c r="S1092" s="34" t="str">
        <f aca="false">IF(H1092="","SIN DATO",IFERROR(INDEX(cat_MarcaN,MATCH(H1092,cat_MarcaO,0)),H1092))</f>
        <v>ABB</v>
      </c>
      <c r="T1092" s="34" t="str">
        <f aca="false">IF(I1092="","SIN DATO",IFERROR(INDEX(cat_ModN,MATCH(I1092,cat_ModO,0)),I1092))</f>
        <v>REF</v>
      </c>
      <c r="U1092" s="34" t="str">
        <f aca="false">IF(I1092="","",IFERROR(INDEX(cat_ModG,MATCH(I1092,cat_ModO,0)),"No"))</f>
        <v>Sí</v>
      </c>
      <c r="V1092" s="34" t="str">
        <f aca="false">IF(J1092="","SIN DATO",IFERROR(INDEX(cat_FunN,MATCH(J1092,cat_FunO,0)),J1092))</f>
        <v>Protección y medición</v>
      </c>
      <c r="W1092" s="34" t="str">
        <f aca="false">IF(OR(S1092="SIN DATO",T1092="SIN DATO"),"No","Sí")</f>
        <v>Sí</v>
      </c>
    </row>
    <row r="1093" customFormat="false" ht="15" hidden="false" customHeight="false" outlineLevel="0" collapsed="false">
      <c r="A1093" s="34" t="s">
        <v>4038</v>
      </c>
      <c r="B1093" s="34" t="s">
        <v>4039</v>
      </c>
      <c r="C1093" s="34" t="s">
        <v>4040</v>
      </c>
      <c r="D1093" s="34" t="s">
        <v>4037</v>
      </c>
      <c r="E1093" s="34" t="s">
        <v>118</v>
      </c>
      <c r="F1093" s="34" t="s">
        <v>1602</v>
      </c>
      <c r="G1093" s="34" t="s">
        <v>259</v>
      </c>
      <c r="H1093" s="34" t="s">
        <v>34</v>
      </c>
      <c r="I1093" s="34" t="s">
        <v>39</v>
      </c>
      <c r="J1093" s="34" t="s">
        <v>260</v>
      </c>
      <c r="K1093" s="34" t="s">
        <v>229</v>
      </c>
      <c r="L1093" s="34" t="s">
        <v>230</v>
      </c>
      <c r="M1093" s="34" t="s">
        <v>262</v>
      </c>
      <c r="N1093" s="34" t="str">
        <f aca="false">"Sector "&amp;VALUE(MID(D1093,13,2))</f>
        <v>Sector 3</v>
      </c>
      <c r="O1093" s="34" t="str">
        <f aca="false">IF(Dashboard!$C$5="Ubicación técnica",N1093,"Sector "&amp;VALUE(RIGHT(G1093,2)))</f>
        <v>Sector 3</v>
      </c>
      <c r="P1093" s="34" t="str">
        <f aca="false">IF(MID(D1093,15,3)="SEL","Subestación eléctrica","Área de proceso")</f>
        <v>Subestación eléctrica</v>
      </c>
      <c r="Q1093" s="34" t="str">
        <f aca="false">MID(D1093,13,5)&amp;"|"&amp;MID(D1093,19,5)</f>
        <v>03SEL|S_014</v>
      </c>
      <c r="R1093" s="34" t="str">
        <f aca="false">IF(P1093="Subestación eléctrica",IFERROR(INDEX(cat_SubN,MATCH(Q1093,cat_SubK,0)),"SIN CATALOGAR"),"ÁREA DE PROCESO")</f>
        <v>SE-14</v>
      </c>
      <c r="S1093" s="34" t="str">
        <f aca="false">IF(H1093="","SIN DATO",IFERROR(INDEX(cat_MarcaN,MATCH(H1093,cat_MarcaO,0)),H1093))</f>
        <v>ABB</v>
      </c>
      <c r="T1093" s="34" t="str">
        <f aca="false">IF(I1093="","SIN DATO",IFERROR(INDEX(cat_ModN,MATCH(I1093,cat_ModO,0)),I1093))</f>
        <v>REF</v>
      </c>
      <c r="U1093" s="34" t="str">
        <f aca="false">IF(I1093="","",IFERROR(INDEX(cat_ModG,MATCH(I1093,cat_ModO,0)),"No"))</f>
        <v>Sí</v>
      </c>
      <c r="V1093" s="34" t="str">
        <f aca="false">IF(J1093="","SIN DATO",IFERROR(INDEX(cat_FunN,MATCH(J1093,cat_FunO,0)),J1093))</f>
        <v>Protección y medición</v>
      </c>
      <c r="W1093" s="34" t="str">
        <f aca="false">IF(OR(S1093="SIN DATO",T1093="SIN DATO"),"No","Sí")</f>
        <v>Sí</v>
      </c>
    </row>
    <row r="1094" customFormat="false" ht="15" hidden="false" customHeight="false" outlineLevel="0" collapsed="false">
      <c r="A1094" s="34" t="s">
        <v>4041</v>
      </c>
      <c r="B1094" s="34" t="s">
        <v>4042</v>
      </c>
      <c r="C1094" s="34" t="s">
        <v>4043</v>
      </c>
      <c r="D1094" s="34" t="s">
        <v>4044</v>
      </c>
      <c r="E1094" s="34" t="s">
        <v>118</v>
      </c>
      <c r="F1094" s="34" t="s">
        <v>1602</v>
      </c>
      <c r="G1094" s="34" t="s">
        <v>259</v>
      </c>
      <c r="H1094" s="34" t="s">
        <v>34</v>
      </c>
      <c r="I1094" s="34" t="s">
        <v>39</v>
      </c>
      <c r="J1094" s="34" t="s">
        <v>260</v>
      </c>
      <c r="K1094" s="34" t="s">
        <v>229</v>
      </c>
      <c r="L1094" s="34" t="s">
        <v>230</v>
      </c>
      <c r="M1094" s="34" t="s">
        <v>262</v>
      </c>
      <c r="N1094" s="34" t="str">
        <f aca="false">"Sector "&amp;VALUE(MID(D1094,13,2))</f>
        <v>Sector 3</v>
      </c>
      <c r="O1094" s="34" t="str">
        <f aca="false">IF(Dashboard!$C$5="Ubicación técnica",N1094,"Sector "&amp;VALUE(RIGHT(G1094,2)))</f>
        <v>Sector 3</v>
      </c>
      <c r="P1094" s="34" t="str">
        <f aca="false">IF(MID(D1094,15,3)="SEL","Subestación eléctrica","Área de proceso")</f>
        <v>Subestación eléctrica</v>
      </c>
      <c r="Q1094" s="34" t="str">
        <f aca="false">MID(D1094,13,5)&amp;"|"&amp;MID(D1094,19,5)</f>
        <v>03SEL|S_014</v>
      </c>
      <c r="R1094" s="34" t="str">
        <f aca="false">IF(P1094="Subestación eléctrica",IFERROR(INDEX(cat_SubN,MATCH(Q1094,cat_SubK,0)),"SIN CATALOGAR"),"ÁREA DE PROCESO")</f>
        <v>SE-14</v>
      </c>
      <c r="S1094" s="34" t="str">
        <f aca="false">IF(H1094="","SIN DATO",IFERROR(INDEX(cat_MarcaN,MATCH(H1094,cat_MarcaO,0)),H1094))</f>
        <v>ABB</v>
      </c>
      <c r="T1094" s="34" t="str">
        <f aca="false">IF(I1094="","SIN DATO",IFERROR(INDEX(cat_ModN,MATCH(I1094,cat_ModO,0)),I1094))</f>
        <v>REF</v>
      </c>
      <c r="U1094" s="34" t="str">
        <f aca="false">IF(I1094="","",IFERROR(INDEX(cat_ModG,MATCH(I1094,cat_ModO,0)),"No"))</f>
        <v>Sí</v>
      </c>
      <c r="V1094" s="34" t="str">
        <f aca="false">IF(J1094="","SIN DATO",IFERROR(INDEX(cat_FunN,MATCH(J1094,cat_FunO,0)),J1094))</f>
        <v>Protección y medición</v>
      </c>
      <c r="W1094" s="34" t="str">
        <f aca="false">IF(OR(S1094="SIN DATO",T1094="SIN DATO"),"No","Sí")</f>
        <v>Sí</v>
      </c>
    </row>
    <row r="1095" customFormat="false" ht="15" hidden="false" customHeight="false" outlineLevel="0" collapsed="false">
      <c r="A1095" s="34" t="s">
        <v>4045</v>
      </c>
      <c r="B1095" s="34" t="s">
        <v>4046</v>
      </c>
      <c r="C1095" s="34" t="s">
        <v>4047</v>
      </c>
      <c r="D1095" s="34" t="s">
        <v>4048</v>
      </c>
      <c r="E1095" s="34" t="s">
        <v>118</v>
      </c>
      <c r="F1095" s="34" t="s">
        <v>1602</v>
      </c>
      <c r="G1095" s="34" t="s">
        <v>259</v>
      </c>
      <c r="H1095" s="34" t="s">
        <v>34</v>
      </c>
      <c r="I1095" s="34" t="s">
        <v>39</v>
      </c>
      <c r="J1095" s="34" t="s">
        <v>260</v>
      </c>
      <c r="K1095" s="34" t="s">
        <v>229</v>
      </c>
      <c r="L1095" s="34" t="s">
        <v>230</v>
      </c>
      <c r="M1095" s="34" t="s">
        <v>262</v>
      </c>
      <c r="N1095" s="34" t="str">
        <f aca="false">"Sector "&amp;VALUE(MID(D1095,13,2))</f>
        <v>Sector 3</v>
      </c>
      <c r="O1095" s="34" t="str">
        <f aca="false">IF(Dashboard!$C$5="Ubicación técnica",N1095,"Sector "&amp;VALUE(RIGHT(G1095,2)))</f>
        <v>Sector 3</v>
      </c>
      <c r="P1095" s="34" t="str">
        <f aca="false">IF(MID(D1095,15,3)="SEL","Subestación eléctrica","Área de proceso")</f>
        <v>Subestación eléctrica</v>
      </c>
      <c r="Q1095" s="34" t="str">
        <f aca="false">MID(D1095,13,5)&amp;"|"&amp;MID(D1095,19,5)</f>
        <v>03SEL|S_014</v>
      </c>
      <c r="R1095" s="34" t="str">
        <f aca="false">IF(P1095="Subestación eléctrica",IFERROR(INDEX(cat_SubN,MATCH(Q1095,cat_SubK,0)),"SIN CATALOGAR"),"ÁREA DE PROCESO")</f>
        <v>SE-14</v>
      </c>
      <c r="S1095" s="34" t="str">
        <f aca="false">IF(H1095="","SIN DATO",IFERROR(INDEX(cat_MarcaN,MATCH(H1095,cat_MarcaO,0)),H1095))</f>
        <v>ABB</v>
      </c>
      <c r="T1095" s="34" t="str">
        <f aca="false">IF(I1095="","SIN DATO",IFERROR(INDEX(cat_ModN,MATCH(I1095,cat_ModO,0)),I1095))</f>
        <v>REF</v>
      </c>
      <c r="U1095" s="34" t="str">
        <f aca="false">IF(I1095="","",IFERROR(INDEX(cat_ModG,MATCH(I1095,cat_ModO,0)),"No"))</f>
        <v>Sí</v>
      </c>
      <c r="V1095" s="34" t="str">
        <f aca="false">IF(J1095="","SIN DATO",IFERROR(INDEX(cat_FunN,MATCH(J1095,cat_FunO,0)),J1095))</f>
        <v>Protección y medición</v>
      </c>
      <c r="W1095" s="34" t="str">
        <f aca="false">IF(OR(S1095="SIN DATO",T1095="SIN DATO"),"No","Sí")</f>
        <v>Sí</v>
      </c>
    </row>
    <row r="1096" customFormat="false" ht="15" hidden="false" customHeight="false" outlineLevel="0" collapsed="false">
      <c r="A1096" s="34" t="s">
        <v>4049</v>
      </c>
      <c r="B1096" s="34" t="s">
        <v>4050</v>
      </c>
      <c r="C1096" s="34" t="s">
        <v>4051</v>
      </c>
      <c r="D1096" s="34" t="s">
        <v>4048</v>
      </c>
      <c r="E1096" s="34" t="s">
        <v>118</v>
      </c>
      <c r="F1096" s="34" t="s">
        <v>1602</v>
      </c>
      <c r="G1096" s="34" t="s">
        <v>259</v>
      </c>
      <c r="H1096" s="34" t="s">
        <v>34</v>
      </c>
      <c r="I1096" s="34" t="s">
        <v>39</v>
      </c>
      <c r="J1096" s="34" t="s">
        <v>260</v>
      </c>
      <c r="K1096" s="34" t="s">
        <v>229</v>
      </c>
      <c r="L1096" s="34" t="s">
        <v>230</v>
      </c>
      <c r="M1096" s="34" t="s">
        <v>262</v>
      </c>
      <c r="N1096" s="34" t="str">
        <f aca="false">"Sector "&amp;VALUE(MID(D1096,13,2))</f>
        <v>Sector 3</v>
      </c>
      <c r="O1096" s="34" t="str">
        <f aca="false">IF(Dashboard!$C$5="Ubicación técnica",N1096,"Sector "&amp;VALUE(RIGHT(G1096,2)))</f>
        <v>Sector 3</v>
      </c>
      <c r="P1096" s="34" t="str">
        <f aca="false">IF(MID(D1096,15,3)="SEL","Subestación eléctrica","Área de proceso")</f>
        <v>Subestación eléctrica</v>
      </c>
      <c r="Q1096" s="34" t="str">
        <f aca="false">MID(D1096,13,5)&amp;"|"&amp;MID(D1096,19,5)</f>
        <v>03SEL|S_014</v>
      </c>
      <c r="R1096" s="34" t="str">
        <f aca="false">IF(P1096="Subestación eléctrica",IFERROR(INDEX(cat_SubN,MATCH(Q1096,cat_SubK,0)),"SIN CATALOGAR"),"ÁREA DE PROCESO")</f>
        <v>SE-14</v>
      </c>
      <c r="S1096" s="34" t="str">
        <f aca="false">IF(H1096="","SIN DATO",IFERROR(INDEX(cat_MarcaN,MATCH(H1096,cat_MarcaO,0)),H1096))</f>
        <v>ABB</v>
      </c>
      <c r="T1096" s="34" t="str">
        <f aca="false">IF(I1096="","SIN DATO",IFERROR(INDEX(cat_ModN,MATCH(I1096,cat_ModO,0)),I1096))</f>
        <v>REF</v>
      </c>
      <c r="U1096" s="34" t="str">
        <f aca="false">IF(I1096="","",IFERROR(INDEX(cat_ModG,MATCH(I1096,cat_ModO,0)),"No"))</f>
        <v>Sí</v>
      </c>
      <c r="V1096" s="34" t="str">
        <f aca="false">IF(J1096="","SIN DATO",IFERROR(INDEX(cat_FunN,MATCH(J1096,cat_FunO,0)),J1096))</f>
        <v>Protección y medición</v>
      </c>
      <c r="W1096" s="34" t="str">
        <f aca="false">IF(OR(S1096="SIN DATO",T1096="SIN DATO"),"No","Sí")</f>
        <v>Sí</v>
      </c>
    </row>
    <row r="1097" customFormat="false" ht="15" hidden="false" customHeight="false" outlineLevel="0" collapsed="false">
      <c r="A1097" s="34" t="s">
        <v>4052</v>
      </c>
      <c r="B1097" s="34" t="s">
        <v>4053</v>
      </c>
      <c r="C1097" s="34" t="s">
        <v>4054</v>
      </c>
      <c r="D1097" s="34" t="s">
        <v>4055</v>
      </c>
      <c r="E1097" s="34" t="s">
        <v>118</v>
      </c>
      <c r="F1097" s="34" t="s">
        <v>1602</v>
      </c>
      <c r="G1097" s="34" t="s">
        <v>259</v>
      </c>
      <c r="H1097" s="34" t="s">
        <v>34</v>
      </c>
      <c r="I1097" s="34" t="s">
        <v>39</v>
      </c>
      <c r="J1097" s="34" t="s">
        <v>260</v>
      </c>
      <c r="K1097" s="34" t="s">
        <v>229</v>
      </c>
      <c r="L1097" s="34" t="s">
        <v>230</v>
      </c>
      <c r="M1097" s="34" t="s">
        <v>262</v>
      </c>
      <c r="N1097" s="34" t="str">
        <f aca="false">"Sector "&amp;VALUE(MID(D1097,13,2))</f>
        <v>Sector 3</v>
      </c>
      <c r="O1097" s="34" t="str">
        <f aca="false">IF(Dashboard!$C$5="Ubicación técnica",N1097,"Sector "&amp;VALUE(RIGHT(G1097,2)))</f>
        <v>Sector 3</v>
      </c>
      <c r="P1097" s="34" t="str">
        <f aca="false">IF(MID(D1097,15,3)="SEL","Subestación eléctrica","Área de proceso")</f>
        <v>Subestación eléctrica</v>
      </c>
      <c r="Q1097" s="34" t="str">
        <f aca="false">MID(D1097,13,5)&amp;"|"&amp;MID(D1097,19,5)</f>
        <v>03SEL|S_014</v>
      </c>
      <c r="R1097" s="34" t="str">
        <f aca="false">IF(P1097="Subestación eléctrica",IFERROR(INDEX(cat_SubN,MATCH(Q1097,cat_SubK,0)),"SIN CATALOGAR"),"ÁREA DE PROCESO")</f>
        <v>SE-14</v>
      </c>
      <c r="S1097" s="34" t="str">
        <f aca="false">IF(H1097="","SIN DATO",IFERROR(INDEX(cat_MarcaN,MATCH(H1097,cat_MarcaO,0)),H1097))</f>
        <v>ABB</v>
      </c>
      <c r="T1097" s="34" t="str">
        <f aca="false">IF(I1097="","SIN DATO",IFERROR(INDEX(cat_ModN,MATCH(I1097,cat_ModO,0)),I1097))</f>
        <v>REF</v>
      </c>
      <c r="U1097" s="34" t="str">
        <f aca="false">IF(I1097="","",IFERROR(INDEX(cat_ModG,MATCH(I1097,cat_ModO,0)),"No"))</f>
        <v>Sí</v>
      </c>
      <c r="V1097" s="34" t="str">
        <f aca="false">IF(J1097="","SIN DATO",IFERROR(INDEX(cat_FunN,MATCH(J1097,cat_FunO,0)),J1097))</f>
        <v>Protección y medición</v>
      </c>
      <c r="W1097" s="34" t="str">
        <f aca="false">IF(OR(S1097="SIN DATO",T1097="SIN DATO"),"No","Sí")</f>
        <v>Sí</v>
      </c>
    </row>
    <row r="1098" customFormat="false" ht="15" hidden="false" customHeight="false" outlineLevel="0" collapsed="false">
      <c r="A1098" s="34" t="s">
        <v>4056</v>
      </c>
      <c r="B1098" s="34" t="s">
        <v>4057</v>
      </c>
      <c r="C1098" s="34" t="s">
        <v>4058</v>
      </c>
      <c r="D1098" s="34" t="s">
        <v>4059</v>
      </c>
      <c r="E1098" s="34" t="s">
        <v>118</v>
      </c>
      <c r="F1098" s="34" t="s">
        <v>1602</v>
      </c>
      <c r="G1098" s="34" t="s">
        <v>259</v>
      </c>
      <c r="H1098" s="34" t="s">
        <v>55</v>
      </c>
      <c r="I1098" s="34" t="s">
        <v>55</v>
      </c>
      <c r="J1098" s="34" t="s">
        <v>58</v>
      </c>
      <c r="K1098" s="34" t="s">
        <v>229</v>
      </c>
      <c r="L1098" s="34" t="s">
        <v>3198</v>
      </c>
      <c r="M1098" s="34" t="s">
        <v>344</v>
      </c>
      <c r="N1098" s="34" t="str">
        <f aca="false">"Sector "&amp;VALUE(MID(D1098,13,2))</f>
        <v>Sector 3</v>
      </c>
      <c r="O1098" s="34" t="str">
        <f aca="false">IF(Dashboard!$C$5="Ubicación técnica",N1098,"Sector "&amp;VALUE(RIGHT(G1098,2)))</f>
        <v>Sector 3</v>
      </c>
      <c r="P1098" s="34" t="str">
        <f aca="false">IF(MID(D1098,15,3)="SEL","Subestación eléctrica","Área de proceso")</f>
        <v>Subestación eléctrica</v>
      </c>
      <c r="Q1098" s="34" t="str">
        <f aca="false">MID(D1098,13,5)&amp;"|"&amp;MID(D1098,19,5)</f>
        <v>03SEL|S_014</v>
      </c>
      <c r="R1098" s="34" t="str">
        <f aca="false">IF(P1098="Subestación eléctrica",IFERROR(INDEX(cat_SubN,MATCH(Q1098,cat_SubK,0)),"SIN CATALOGAR"),"ÁREA DE PROCESO")</f>
        <v>SE-14</v>
      </c>
      <c r="S1098" s="34" t="str">
        <f aca="false">IF(H1098="","SIN DATO",IFERROR(INDEX(cat_MarcaN,MATCH(H1098,cat_MarcaO,0)),H1098))</f>
        <v>SEL</v>
      </c>
      <c r="T1098" s="34" t="str">
        <f aca="false">IF(I1098="","SIN DATO",IFERROR(INDEX(cat_ModN,MATCH(I1098,cat_ModO,0)),I1098))</f>
        <v>SEL</v>
      </c>
      <c r="U1098" s="34" t="str">
        <f aca="false">IF(I1098="","",IFERROR(INDEX(cat_ModG,MATCH(I1098,cat_ModO,0)),"No"))</f>
        <v>Sí</v>
      </c>
      <c r="V1098" s="34" t="str">
        <f aca="false">IF(J1098="","SIN DATO",IFERROR(INDEX(cat_FunN,MATCH(J1098,cat_FunO,0)),J1098))</f>
        <v>Medición</v>
      </c>
      <c r="W1098" s="34" t="str">
        <f aca="false">IF(OR(S1098="SIN DATO",T1098="SIN DATO"),"No","Sí")</f>
        <v>Sí</v>
      </c>
    </row>
    <row r="1099" customFormat="false" ht="15" hidden="false" customHeight="false" outlineLevel="0" collapsed="false">
      <c r="A1099" s="34" t="s">
        <v>4060</v>
      </c>
      <c r="B1099" s="34" t="s">
        <v>4061</v>
      </c>
      <c r="C1099" s="34" t="s">
        <v>4062</v>
      </c>
      <c r="D1099" s="34" t="s">
        <v>4063</v>
      </c>
      <c r="E1099" s="34" t="s">
        <v>118</v>
      </c>
      <c r="F1099" s="34" t="s">
        <v>1602</v>
      </c>
      <c r="G1099" s="34" t="s">
        <v>259</v>
      </c>
      <c r="H1099" s="34" t="s">
        <v>55</v>
      </c>
      <c r="I1099" s="34" t="s">
        <v>55</v>
      </c>
      <c r="J1099" s="34" t="s">
        <v>58</v>
      </c>
      <c r="K1099" s="34" t="s">
        <v>229</v>
      </c>
      <c r="L1099" s="34" t="s">
        <v>3198</v>
      </c>
      <c r="M1099" s="34" t="s">
        <v>344</v>
      </c>
      <c r="N1099" s="34" t="str">
        <f aca="false">"Sector "&amp;VALUE(MID(D1099,13,2))</f>
        <v>Sector 3</v>
      </c>
      <c r="O1099" s="34" t="str">
        <f aca="false">IF(Dashboard!$C$5="Ubicación técnica",N1099,"Sector "&amp;VALUE(RIGHT(G1099,2)))</f>
        <v>Sector 3</v>
      </c>
      <c r="P1099" s="34" t="str">
        <f aca="false">IF(MID(D1099,15,3)="SEL","Subestación eléctrica","Área de proceso")</f>
        <v>Subestación eléctrica</v>
      </c>
      <c r="Q1099" s="34" t="str">
        <f aca="false">MID(D1099,13,5)&amp;"|"&amp;MID(D1099,19,5)</f>
        <v>03SEL|S_014</v>
      </c>
      <c r="R1099" s="34" t="str">
        <f aca="false">IF(P1099="Subestación eléctrica",IFERROR(INDEX(cat_SubN,MATCH(Q1099,cat_SubK,0)),"SIN CATALOGAR"),"ÁREA DE PROCESO")</f>
        <v>SE-14</v>
      </c>
      <c r="S1099" s="34" t="str">
        <f aca="false">IF(H1099="","SIN DATO",IFERROR(INDEX(cat_MarcaN,MATCH(H1099,cat_MarcaO,0)),H1099))</f>
        <v>SEL</v>
      </c>
      <c r="T1099" s="34" t="str">
        <f aca="false">IF(I1099="","SIN DATO",IFERROR(INDEX(cat_ModN,MATCH(I1099,cat_ModO,0)),I1099))</f>
        <v>SEL</v>
      </c>
      <c r="U1099" s="34" t="str">
        <f aca="false">IF(I1099="","",IFERROR(INDEX(cat_ModG,MATCH(I1099,cat_ModO,0)),"No"))</f>
        <v>Sí</v>
      </c>
      <c r="V1099" s="34" t="str">
        <f aca="false">IF(J1099="","SIN DATO",IFERROR(INDEX(cat_FunN,MATCH(J1099,cat_FunO,0)),J1099))</f>
        <v>Medición</v>
      </c>
      <c r="W1099" s="34" t="str">
        <f aca="false">IF(OR(S1099="SIN DATO",T1099="SIN DATO"),"No","Sí")</f>
        <v>Sí</v>
      </c>
    </row>
    <row r="1100" customFormat="false" ht="15" hidden="false" customHeight="false" outlineLevel="0" collapsed="false">
      <c r="A1100" s="34" t="s">
        <v>4064</v>
      </c>
      <c r="B1100" s="34" t="s">
        <v>4065</v>
      </c>
      <c r="C1100" s="34" t="s">
        <v>4066</v>
      </c>
      <c r="D1100" s="34" t="s">
        <v>4067</v>
      </c>
      <c r="E1100" s="34" t="s">
        <v>166</v>
      </c>
      <c r="F1100" s="34" t="s">
        <v>1602</v>
      </c>
      <c r="G1100" s="34" t="s">
        <v>343</v>
      </c>
      <c r="H1100" s="34" t="s">
        <v>73</v>
      </c>
      <c r="I1100" s="34" t="s">
        <v>75</v>
      </c>
      <c r="J1100" s="34" t="s">
        <v>228</v>
      </c>
      <c r="K1100" s="34" t="s">
        <v>229</v>
      </c>
      <c r="L1100" s="34" t="s">
        <v>230</v>
      </c>
      <c r="M1100" s="34" t="s">
        <v>344</v>
      </c>
      <c r="N1100" s="34" t="str">
        <f aca="false">"Sector "&amp;VALUE(MID(D1100,13,2))</f>
        <v>Sector 7</v>
      </c>
      <c r="O1100" s="34" t="str">
        <f aca="false">IF(Dashboard!$C$5="Ubicación técnica",N1100,"Sector "&amp;VALUE(RIGHT(G1100,2)))</f>
        <v>Sector 7</v>
      </c>
      <c r="P1100" s="34" t="str">
        <f aca="false">IF(MID(D1100,15,3)="SEL","Subestación eléctrica","Área de proceso")</f>
        <v>Subestación eléctrica</v>
      </c>
      <c r="Q1100" s="34" t="str">
        <f aca="false">MID(D1100,13,5)&amp;"|"&amp;MID(D1100,19,5)</f>
        <v>07SEL|S_033</v>
      </c>
      <c r="R1100" s="34" t="str">
        <f aca="false">IF(P1100="Subestación eléctrica",IFERROR(INDEX(cat_SubN,MATCH(Q1100,cat_SubK,0)),"SIN CATALOGAR"),"ÁREA DE PROCESO")</f>
        <v>SE-33</v>
      </c>
      <c r="S1100" s="34" t="str">
        <f aca="false">IF(H1100="","SIN DATO",IFERROR(INDEX(cat_MarcaN,MATCH(H1100,cat_MarcaO,0)),H1100))</f>
        <v>SIEMENS</v>
      </c>
      <c r="T1100" s="34" t="str">
        <f aca="false">IF(I1100="","SIN DATO",IFERROR(INDEX(cat_ModN,MATCH(I1100,cat_ModO,0)),I1100))</f>
        <v>REYROLLE</v>
      </c>
      <c r="U1100" s="34" t="str">
        <f aca="false">IF(I1100="","",IFERROR(INDEX(cat_ModG,MATCH(I1100,cat_ModO,0)),"No"))</f>
        <v>Sí</v>
      </c>
      <c r="V1100" s="34" t="str">
        <f aca="false">IF(J1100="","SIN DATO",IFERROR(INDEX(cat_FunN,MATCH(J1100,cat_FunO,0)),J1100))</f>
        <v>Protección y medición</v>
      </c>
      <c r="W1100" s="34" t="str">
        <f aca="false">IF(OR(S1100="SIN DATO",T1100="SIN DATO"),"No","Sí")</f>
        <v>Sí</v>
      </c>
    </row>
    <row r="1101" customFormat="false" ht="15" hidden="false" customHeight="false" outlineLevel="0" collapsed="false">
      <c r="A1101" s="34" t="s">
        <v>4068</v>
      </c>
      <c r="B1101" s="34" t="s">
        <v>4069</v>
      </c>
      <c r="C1101" s="34" t="s">
        <v>4070</v>
      </c>
      <c r="D1101" s="34" t="s">
        <v>4071</v>
      </c>
      <c r="E1101" s="34" t="s">
        <v>166</v>
      </c>
      <c r="F1101" s="34" t="s">
        <v>1602</v>
      </c>
      <c r="G1101" s="34" t="s">
        <v>343</v>
      </c>
      <c r="H1101" s="34" t="s">
        <v>73</v>
      </c>
      <c r="I1101" s="34" t="s">
        <v>75</v>
      </c>
      <c r="J1101" s="34" t="s">
        <v>228</v>
      </c>
      <c r="K1101" s="34" t="s">
        <v>229</v>
      </c>
      <c r="L1101" s="34" t="s">
        <v>230</v>
      </c>
      <c r="M1101" s="34" t="s">
        <v>344</v>
      </c>
      <c r="N1101" s="34" t="str">
        <f aca="false">"Sector "&amp;VALUE(MID(D1101,13,2))</f>
        <v>Sector 7</v>
      </c>
      <c r="O1101" s="34" t="str">
        <f aca="false">IF(Dashboard!$C$5="Ubicación técnica",N1101,"Sector "&amp;VALUE(RIGHT(G1101,2)))</f>
        <v>Sector 7</v>
      </c>
      <c r="P1101" s="34" t="str">
        <f aca="false">IF(MID(D1101,15,3)="SEL","Subestación eléctrica","Área de proceso")</f>
        <v>Subestación eléctrica</v>
      </c>
      <c r="Q1101" s="34" t="str">
        <f aca="false">MID(D1101,13,5)&amp;"|"&amp;MID(D1101,19,5)</f>
        <v>07SEL|S_033</v>
      </c>
      <c r="R1101" s="34" t="str">
        <f aca="false">IF(P1101="Subestación eléctrica",IFERROR(INDEX(cat_SubN,MATCH(Q1101,cat_SubK,0)),"SIN CATALOGAR"),"ÁREA DE PROCESO")</f>
        <v>SE-33</v>
      </c>
      <c r="S1101" s="34" t="str">
        <f aca="false">IF(H1101="","SIN DATO",IFERROR(INDEX(cat_MarcaN,MATCH(H1101,cat_MarcaO,0)),H1101))</f>
        <v>SIEMENS</v>
      </c>
      <c r="T1101" s="34" t="str">
        <f aca="false">IF(I1101="","SIN DATO",IFERROR(INDEX(cat_ModN,MATCH(I1101,cat_ModO,0)),I1101))</f>
        <v>REYROLLE</v>
      </c>
      <c r="U1101" s="34" t="str">
        <f aca="false">IF(I1101="","",IFERROR(INDEX(cat_ModG,MATCH(I1101,cat_ModO,0)),"No"))</f>
        <v>Sí</v>
      </c>
      <c r="V1101" s="34" t="str">
        <f aca="false">IF(J1101="","SIN DATO",IFERROR(INDEX(cat_FunN,MATCH(J1101,cat_FunO,0)),J1101))</f>
        <v>Protección y medición</v>
      </c>
      <c r="W1101" s="34" t="str">
        <f aca="false">IF(OR(S1101="SIN DATO",T1101="SIN DATO"),"No","Sí")</f>
        <v>Sí</v>
      </c>
    </row>
    <row r="1102" customFormat="false" ht="15" hidden="false" customHeight="false" outlineLevel="0" collapsed="false">
      <c r="A1102" s="34" t="s">
        <v>4072</v>
      </c>
      <c r="B1102" s="34" t="s">
        <v>4073</v>
      </c>
      <c r="C1102" s="34" t="s">
        <v>4074</v>
      </c>
      <c r="D1102" s="34" t="s">
        <v>4075</v>
      </c>
      <c r="E1102" s="34" t="s">
        <v>166</v>
      </c>
      <c r="F1102" s="34" t="s">
        <v>1602</v>
      </c>
      <c r="G1102" s="34" t="s">
        <v>343</v>
      </c>
      <c r="H1102" s="34" t="s">
        <v>73</v>
      </c>
      <c r="I1102" s="34" t="s">
        <v>75</v>
      </c>
      <c r="J1102" s="34" t="s">
        <v>228</v>
      </c>
      <c r="K1102" s="34" t="s">
        <v>229</v>
      </c>
      <c r="L1102" s="34" t="s">
        <v>230</v>
      </c>
      <c r="M1102" s="34" t="s">
        <v>344</v>
      </c>
      <c r="N1102" s="34" t="str">
        <f aca="false">"Sector "&amp;VALUE(MID(D1102,13,2))</f>
        <v>Sector 7</v>
      </c>
      <c r="O1102" s="34" t="str">
        <f aca="false">IF(Dashboard!$C$5="Ubicación técnica",N1102,"Sector "&amp;VALUE(RIGHT(G1102,2)))</f>
        <v>Sector 7</v>
      </c>
      <c r="P1102" s="34" t="str">
        <f aca="false">IF(MID(D1102,15,3)="SEL","Subestación eléctrica","Área de proceso")</f>
        <v>Subestación eléctrica</v>
      </c>
      <c r="Q1102" s="34" t="str">
        <f aca="false">MID(D1102,13,5)&amp;"|"&amp;MID(D1102,19,5)</f>
        <v>07SEL|S_033</v>
      </c>
      <c r="R1102" s="34" t="str">
        <f aca="false">IF(P1102="Subestación eléctrica",IFERROR(INDEX(cat_SubN,MATCH(Q1102,cat_SubK,0)),"SIN CATALOGAR"),"ÁREA DE PROCESO")</f>
        <v>SE-33</v>
      </c>
      <c r="S1102" s="34" t="str">
        <f aca="false">IF(H1102="","SIN DATO",IFERROR(INDEX(cat_MarcaN,MATCH(H1102,cat_MarcaO,0)),H1102))</f>
        <v>SIEMENS</v>
      </c>
      <c r="T1102" s="34" t="str">
        <f aca="false">IF(I1102="","SIN DATO",IFERROR(INDEX(cat_ModN,MATCH(I1102,cat_ModO,0)),I1102))</f>
        <v>REYROLLE</v>
      </c>
      <c r="U1102" s="34" t="str">
        <f aca="false">IF(I1102="","",IFERROR(INDEX(cat_ModG,MATCH(I1102,cat_ModO,0)),"No"))</f>
        <v>Sí</v>
      </c>
      <c r="V1102" s="34" t="str">
        <f aca="false">IF(J1102="","SIN DATO",IFERROR(INDEX(cat_FunN,MATCH(J1102,cat_FunO,0)),J1102))</f>
        <v>Protección y medición</v>
      </c>
      <c r="W1102" s="34" t="str">
        <f aca="false">IF(OR(S1102="SIN DATO",T1102="SIN DATO"),"No","Sí")</f>
        <v>Sí</v>
      </c>
    </row>
    <row r="1103" customFormat="false" ht="15" hidden="false" customHeight="false" outlineLevel="0" collapsed="false">
      <c r="A1103" s="34" t="s">
        <v>4076</v>
      </c>
      <c r="B1103" s="34" t="s">
        <v>4077</v>
      </c>
      <c r="C1103" s="34" t="s">
        <v>4078</v>
      </c>
      <c r="D1103" s="34" t="s">
        <v>4075</v>
      </c>
      <c r="E1103" s="34" t="s">
        <v>166</v>
      </c>
      <c r="F1103" s="34" t="s">
        <v>1602</v>
      </c>
      <c r="G1103" s="34" t="s">
        <v>343</v>
      </c>
      <c r="H1103" s="34" t="s">
        <v>73</v>
      </c>
      <c r="I1103" s="34" t="s">
        <v>75</v>
      </c>
      <c r="J1103" s="34" t="s">
        <v>228</v>
      </c>
      <c r="K1103" s="34" t="s">
        <v>229</v>
      </c>
      <c r="L1103" s="34" t="s">
        <v>230</v>
      </c>
      <c r="M1103" s="34" t="s">
        <v>344</v>
      </c>
      <c r="N1103" s="34" t="str">
        <f aca="false">"Sector "&amp;VALUE(MID(D1103,13,2))</f>
        <v>Sector 7</v>
      </c>
      <c r="O1103" s="34" t="str">
        <f aca="false">IF(Dashboard!$C$5="Ubicación técnica",N1103,"Sector "&amp;VALUE(RIGHT(G1103,2)))</f>
        <v>Sector 7</v>
      </c>
      <c r="P1103" s="34" t="str">
        <f aca="false">IF(MID(D1103,15,3)="SEL","Subestación eléctrica","Área de proceso")</f>
        <v>Subestación eléctrica</v>
      </c>
      <c r="Q1103" s="34" t="str">
        <f aca="false">MID(D1103,13,5)&amp;"|"&amp;MID(D1103,19,5)</f>
        <v>07SEL|S_033</v>
      </c>
      <c r="R1103" s="34" t="str">
        <f aca="false">IF(P1103="Subestación eléctrica",IFERROR(INDEX(cat_SubN,MATCH(Q1103,cat_SubK,0)),"SIN CATALOGAR"),"ÁREA DE PROCESO")</f>
        <v>SE-33</v>
      </c>
      <c r="S1103" s="34" t="str">
        <f aca="false">IF(H1103="","SIN DATO",IFERROR(INDEX(cat_MarcaN,MATCH(H1103,cat_MarcaO,0)),H1103))</f>
        <v>SIEMENS</v>
      </c>
      <c r="T1103" s="34" t="str">
        <f aca="false">IF(I1103="","SIN DATO",IFERROR(INDEX(cat_ModN,MATCH(I1103,cat_ModO,0)),I1103))</f>
        <v>REYROLLE</v>
      </c>
      <c r="U1103" s="34" t="str">
        <f aca="false">IF(I1103="","",IFERROR(INDEX(cat_ModG,MATCH(I1103,cat_ModO,0)),"No"))</f>
        <v>Sí</v>
      </c>
      <c r="V1103" s="34" t="str">
        <f aca="false">IF(J1103="","SIN DATO",IFERROR(INDEX(cat_FunN,MATCH(J1103,cat_FunO,0)),J1103))</f>
        <v>Protección y medición</v>
      </c>
      <c r="W1103" s="34" t="str">
        <f aca="false">IF(OR(S1103="SIN DATO",T1103="SIN DATO"),"No","Sí")</f>
        <v>Sí</v>
      </c>
    </row>
    <row r="1104" customFormat="false" ht="15" hidden="false" customHeight="false" outlineLevel="0" collapsed="false">
      <c r="A1104" s="34" t="s">
        <v>4079</v>
      </c>
      <c r="B1104" s="34" t="s">
        <v>4080</v>
      </c>
      <c r="C1104" s="34" t="s">
        <v>4081</v>
      </c>
      <c r="D1104" s="34" t="s">
        <v>4082</v>
      </c>
      <c r="E1104" s="34" t="s">
        <v>166</v>
      </c>
      <c r="F1104" s="34" t="s">
        <v>1602</v>
      </c>
      <c r="G1104" s="34" t="s">
        <v>343</v>
      </c>
      <c r="H1104" s="34" t="s">
        <v>73</v>
      </c>
      <c r="I1104" s="34" t="s">
        <v>75</v>
      </c>
      <c r="J1104" s="34" t="s">
        <v>228</v>
      </c>
      <c r="K1104" s="34" t="s">
        <v>229</v>
      </c>
      <c r="L1104" s="34" t="s">
        <v>230</v>
      </c>
      <c r="M1104" s="34" t="s">
        <v>344</v>
      </c>
      <c r="N1104" s="34" t="str">
        <f aca="false">"Sector "&amp;VALUE(MID(D1104,13,2))</f>
        <v>Sector 7</v>
      </c>
      <c r="O1104" s="34" t="str">
        <f aca="false">IF(Dashboard!$C$5="Ubicación técnica",N1104,"Sector "&amp;VALUE(RIGHT(G1104,2)))</f>
        <v>Sector 7</v>
      </c>
      <c r="P1104" s="34" t="str">
        <f aca="false">IF(MID(D1104,15,3)="SEL","Subestación eléctrica","Área de proceso")</f>
        <v>Subestación eléctrica</v>
      </c>
      <c r="Q1104" s="34" t="str">
        <f aca="false">MID(D1104,13,5)&amp;"|"&amp;MID(D1104,19,5)</f>
        <v>07SEL|S_033</v>
      </c>
      <c r="R1104" s="34" t="str">
        <f aca="false">IF(P1104="Subestación eléctrica",IFERROR(INDEX(cat_SubN,MATCH(Q1104,cat_SubK,0)),"SIN CATALOGAR"),"ÁREA DE PROCESO")</f>
        <v>SE-33</v>
      </c>
      <c r="S1104" s="34" t="str">
        <f aca="false">IF(H1104="","SIN DATO",IFERROR(INDEX(cat_MarcaN,MATCH(H1104,cat_MarcaO,0)),H1104))</f>
        <v>SIEMENS</v>
      </c>
      <c r="T1104" s="34" t="str">
        <f aca="false">IF(I1104="","SIN DATO",IFERROR(INDEX(cat_ModN,MATCH(I1104,cat_ModO,0)),I1104))</f>
        <v>REYROLLE</v>
      </c>
      <c r="U1104" s="34" t="str">
        <f aca="false">IF(I1104="","",IFERROR(INDEX(cat_ModG,MATCH(I1104,cat_ModO,0)),"No"))</f>
        <v>Sí</v>
      </c>
      <c r="V1104" s="34" t="str">
        <f aca="false">IF(J1104="","SIN DATO",IFERROR(INDEX(cat_FunN,MATCH(J1104,cat_FunO,0)),J1104))</f>
        <v>Protección y medición</v>
      </c>
      <c r="W1104" s="34" t="str">
        <f aca="false">IF(OR(S1104="SIN DATO",T1104="SIN DATO"),"No","Sí")</f>
        <v>Sí</v>
      </c>
    </row>
    <row r="1105" customFormat="false" ht="15" hidden="false" customHeight="false" outlineLevel="0" collapsed="false">
      <c r="A1105" s="34" t="s">
        <v>4083</v>
      </c>
      <c r="B1105" s="34" t="s">
        <v>4084</v>
      </c>
      <c r="C1105" s="34" t="s">
        <v>4085</v>
      </c>
      <c r="D1105" s="34" t="s">
        <v>4086</v>
      </c>
      <c r="E1105" s="34" t="s">
        <v>166</v>
      </c>
      <c r="F1105" s="34" t="s">
        <v>1602</v>
      </c>
      <c r="G1105" s="34" t="s">
        <v>343</v>
      </c>
      <c r="H1105" s="34" t="s">
        <v>73</v>
      </c>
      <c r="I1105" s="34" t="s">
        <v>75</v>
      </c>
      <c r="J1105" s="34" t="s">
        <v>228</v>
      </c>
      <c r="K1105" s="34" t="s">
        <v>229</v>
      </c>
      <c r="L1105" s="34" t="s">
        <v>230</v>
      </c>
      <c r="M1105" s="34" t="s">
        <v>344</v>
      </c>
      <c r="N1105" s="34" t="str">
        <f aca="false">"Sector "&amp;VALUE(MID(D1105,13,2))</f>
        <v>Sector 7</v>
      </c>
      <c r="O1105" s="34" t="str">
        <f aca="false">IF(Dashboard!$C$5="Ubicación técnica",N1105,"Sector "&amp;VALUE(RIGHT(G1105,2)))</f>
        <v>Sector 7</v>
      </c>
      <c r="P1105" s="34" t="str">
        <f aca="false">IF(MID(D1105,15,3)="SEL","Subestación eléctrica","Área de proceso")</f>
        <v>Subestación eléctrica</v>
      </c>
      <c r="Q1105" s="34" t="str">
        <f aca="false">MID(D1105,13,5)&amp;"|"&amp;MID(D1105,19,5)</f>
        <v>07SEL|S_033</v>
      </c>
      <c r="R1105" s="34" t="str">
        <f aca="false">IF(P1105="Subestación eléctrica",IFERROR(INDEX(cat_SubN,MATCH(Q1105,cat_SubK,0)),"SIN CATALOGAR"),"ÁREA DE PROCESO")</f>
        <v>SE-33</v>
      </c>
      <c r="S1105" s="34" t="str">
        <f aca="false">IF(H1105="","SIN DATO",IFERROR(INDEX(cat_MarcaN,MATCH(H1105,cat_MarcaO,0)),H1105))</f>
        <v>SIEMENS</v>
      </c>
      <c r="T1105" s="34" t="str">
        <f aca="false">IF(I1105="","SIN DATO",IFERROR(INDEX(cat_ModN,MATCH(I1105,cat_ModO,0)),I1105))</f>
        <v>REYROLLE</v>
      </c>
      <c r="U1105" s="34" t="str">
        <f aca="false">IF(I1105="","",IFERROR(INDEX(cat_ModG,MATCH(I1105,cat_ModO,0)),"No"))</f>
        <v>Sí</v>
      </c>
      <c r="V1105" s="34" t="str">
        <f aca="false">IF(J1105="","SIN DATO",IFERROR(INDEX(cat_FunN,MATCH(J1105,cat_FunO,0)),J1105))</f>
        <v>Protección y medición</v>
      </c>
      <c r="W1105" s="34" t="str">
        <f aca="false">IF(OR(S1105="SIN DATO",T1105="SIN DATO"),"No","Sí")</f>
        <v>Sí</v>
      </c>
    </row>
    <row r="1106" customFormat="false" ht="15" hidden="false" customHeight="false" outlineLevel="0" collapsed="false">
      <c r="A1106" s="34" t="s">
        <v>4087</v>
      </c>
      <c r="B1106" s="34" t="s">
        <v>4088</v>
      </c>
      <c r="C1106" s="34" t="s">
        <v>4089</v>
      </c>
      <c r="D1106" s="34" t="s">
        <v>4090</v>
      </c>
      <c r="E1106" s="34" t="s">
        <v>166</v>
      </c>
      <c r="F1106" s="34" t="s">
        <v>1602</v>
      </c>
      <c r="G1106" s="34" t="s">
        <v>343</v>
      </c>
      <c r="H1106" s="34" t="s">
        <v>73</v>
      </c>
      <c r="I1106" s="34" t="s">
        <v>75</v>
      </c>
      <c r="J1106" s="34" t="s">
        <v>228</v>
      </c>
      <c r="K1106" s="34" t="s">
        <v>229</v>
      </c>
      <c r="L1106" s="34" t="s">
        <v>230</v>
      </c>
      <c r="M1106" s="34" t="s">
        <v>344</v>
      </c>
      <c r="N1106" s="34" t="str">
        <f aca="false">"Sector "&amp;VALUE(MID(D1106,13,2))</f>
        <v>Sector 7</v>
      </c>
      <c r="O1106" s="34" t="str">
        <f aca="false">IF(Dashboard!$C$5="Ubicación técnica",N1106,"Sector "&amp;VALUE(RIGHT(G1106,2)))</f>
        <v>Sector 7</v>
      </c>
      <c r="P1106" s="34" t="str">
        <f aca="false">IF(MID(D1106,15,3)="SEL","Subestación eléctrica","Área de proceso")</f>
        <v>Subestación eléctrica</v>
      </c>
      <c r="Q1106" s="34" t="str">
        <f aca="false">MID(D1106,13,5)&amp;"|"&amp;MID(D1106,19,5)</f>
        <v>07SEL|S_033</v>
      </c>
      <c r="R1106" s="34" t="str">
        <f aca="false">IF(P1106="Subestación eléctrica",IFERROR(INDEX(cat_SubN,MATCH(Q1106,cat_SubK,0)),"SIN CATALOGAR"),"ÁREA DE PROCESO")</f>
        <v>SE-33</v>
      </c>
      <c r="S1106" s="34" t="str">
        <f aca="false">IF(H1106="","SIN DATO",IFERROR(INDEX(cat_MarcaN,MATCH(H1106,cat_MarcaO,0)),H1106))</f>
        <v>SIEMENS</v>
      </c>
      <c r="T1106" s="34" t="str">
        <f aca="false">IF(I1106="","SIN DATO",IFERROR(INDEX(cat_ModN,MATCH(I1106,cat_ModO,0)),I1106))</f>
        <v>REYROLLE</v>
      </c>
      <c r="U1106" s="34" t="str">
        <f aca="false">IF(I1106="","",IFERROR(INDEX(cat_ModG,MATCH(I1106,cat_ModO,0)),"No"))</f>
        <v>Sí</v>
      </c>
      <c r="V1106" s="34" t="str">
        <f aca="false">IF(J1106="","SIN DATO",IFERROR(INDEX(cat_FunN,MATCH(J1106,cat_FunO,0)),J1106))</f>
        <v>Protección y medición</v>
      </c>
      <c r="W1106" s="34" t="str">
        <f aca="false">IF(OR(S1106="SIN DATO",T1106="SIN DATO"),"No","Sí")</f>
        <v>Sí</v>
      </c>
    </row>
    <row r="1107" customFormat="false" ht="15" hidden="false" customHeight="false" outlineLevel="0" collapsed="false">
      <c r="A1107" s="34" t="s">
        <v>4091</v>
      </c>
      <c r="B1107" s="34" t="s">
        <v>4092</v>
      </c>
      <c r="C1107" s="34" t="s">
        <v>4093</v>
      </c>
      <c r="D1107" s="34" t="s">
        <v>4094</v>
      </c>
      <c r="E1107" s="34" t="s">
        <v>166</v>
      </c>
      <c r="F1107" s="34" t="s">
        <v>1602</v>
      </c>
      <c r="G1107" s="34" t="s">
        <v>343</v>
      </c>
      <c r="H1107" s="34" t="s">
        <v>73</v>
      </c>
      <c r="I1107" s="34" t="s">
        <v>75</v>
      </c>
      <c r="J1107" s="34" t="s">
        <v>228</v>
      </c>
      <c r="K1107" s="34" t="s">
        <v>229</v>
      </c>
      <c r="L1107" s="34" t="s">
        <v>230</v>
      </c>
      <c r="M1107" s="34" t="s">
        <v>344</v>
      </c>
      <c r="N1107" s="34" t="str">
        <f aca="false">"Sector "&amp;VALUE(MID(D1107,13,2))</f>
        <v>Sector 7</v>
      </c>
      <c r="O1107" s="34" t="str">
        <f aca="false">IF(Dashboard!$C$5="Ubicación técnica",N1107,"Sector "&amp;VALUE(RIGHT(G1107,2)))</f>
        <v>Sector 7</v>
      </c>
      <c r="P1107" s="34" t="str">
        <f aca="false">IF(MID(D1107,15,3)="SEL","Subestación eléctrica","Área de proceso")</f>
        <v>Subestación eléctrica</v>
      </c>
      <c r="Q1107" s="34" t="str">
        <f aca="false">MID(D1107,13,5)&amp;"|"&amp;MID(D1107,19,5)</f>
        <v>07SEL|S_033</v>
      </c>
      <c r="R1107" s="34" t="str">
        <f aca="false">IF(P1107="Subestación eléctrica",IFERROR(INDEX(cat_SubN,MATCH(Q1107,cat_SubK,0)),"SIN CATALOGAR"),"ÁREA DE PROCESO")</f>
        <v>SE-33</v>
      </c>
      <c r="S1107" s="34" t="str">
        <f aca="false">IF(H1107="","SIN DATO",IFERROR(INDEX(cat_MarcaN,MATCH(H1107,cat_MarcaO,0)),H1107))</f>
        <v>SIEMENS</v>
      </c>
      <c r="T1107" s="34" t="str">
        <f aca="false">IF(I1107="","SIN DATO",IFERROR(INDEX(cat_ModN,MATCH(I1107,cat_ModO,0)),I1107))</f>
        <v>REYROLLE</v>
      </c>
      <c r="U1107" s="34" t="str">
        <f aca="false">IF(I1107="","",IFERROR(INDEX(cat_ModG,MATCH(I1107,cat_ModO,0)),"No"))</f>
        <v>Sí</v>
      </c>
      <c r="V1107" s="34" t="str">
        <f aca="false">IF(J1107="","SIN DATO",IFERROR(INDEX(cat_FunN,MATCH(J1107,cat_FunO,0)),J1107))</f>
        <v>Protección y medición</v>
      </c>
      <c r="W1107" s="34" t="str">
        <f aca="false">IF(OR(S1107="SIN DATO",T1107="SIN DATO"),"No","Sí")</f>
        <v>Sí</v>
      </c>
    </row>
    <row r="1108" customFormat="false" ht="15" hidden="false" customHeight="false" outlineLevel="0" collapsed="false">
      <c r="A1108" s="34" t="s">
        <v>4095</v>
      </c>
      <c r="B1108" s="34" t="s">
        <v>4096</v>
      </c>
      <c r="C1108" s="34" t="s">
        <v>4097</v>
      </c>
      <c r="D1108" s="34" t="s">
        <v>4086</v>
      </c>
      <c r="E1108" s="34" t="s">
        <v>166</v>
      </c>
      <c r="F1108" s="34" t="s">
        <v>1602</v>
      </c>
      <c r="G1108" s="34" t="s">
        <v>343</v>
      </c>
      <c r="H1108" s="34" t="s">
        <v>73</v>
      </c>
      <c r="I1108" s="34" t="s">
        <v>75</v>
      </c>
      <c r="J1108" s="34" t="s">
        <v>228</v>
      </c>
      <c r="K1108" s="34" t="s">
        <v>229</v>
      </c>
      <c r="L1108" s="34" t="s">
        <v>230</v>
      </c>
      <c r="M1108" s="34" t="s">
        <v>344</v>
      </c>
      <c r="N1108" s="34" t="str">
        <f aca="false">"Sector "&amp;VALUE(MID(D1108,13,2))</f>
        <v>Sector 7</v>
      </c>
      <c r="O1108" s="34" t="str">
        <f aca="false">IF(Dashboard!$C$5="Ubicación técnica",N1108,"Sector "&amp;VALUE(RIGHT(G1108,2)))</f>
        <v>Sector 7</v>
      </c>
      <c r="P1108" s="34" t="str">
        <f aca="false">IF(MID(D1108,15,3)="SEL","Subestación eléctrica","Área de proceso")</f>
        <v>Subestación eléctrica</v>
      </c>
      <c r="Q1108" s="34" t="str">
        <f aca="false">MID(D1108,13,5)&amp;"|"&amp;MID(D1108,19,5)</f>
        <v>07SEL|S_033</v>
      </c>
      <c r="R1108" s="34" t="str">
        <f aca="false">IF(P1108="Subestación eléctrica",IFERROR(INDEX(cat_SubN,MATCH(Q1108,cat_SubK,0)),"SIN CATALOGAR"),"ÁREA DE PROCESO")</f>
        <v>SE-33</v>
      </c>
      <c r="S1108" s="34" t="str">
        <f aca="false">IF(H1108="","SIN DATO",IFERROR(INDEX(cat_MarcaN,MATCH(H1108,cat_MarcaO,0)),H1108))</f>
        <v>SIEMENS</v>
      </c>
      <c r="T1108" s="34" t="str">
        <f aca="false">IF(I1108="","SIN DATO",IFERROR(INDEX(cat_ModN,MATCH(I1108,cat_ModO,0)),I1108))</f>
        <v>REYROLLE</v>
      </c>
      <c r="U1108" s="34" t="str">
        <f aca="false">IF(I1108="","",IFERROR(INDEX(cat_ModG,MATCH(I1108,cat_ModO,0)),"No"))</f>
        <v>Sí</v>
      </c>
      <c r="V1108" s="34" t="str">
        <f aca="false">IF(J1108="","SIN DATO",IFERROR(INDEX(cat_FunN,MATCH(J1108,cat_FunO,0)),J1108))</f>
        <v>Protección y medición</v>
      </c>
      <c r="W1108" s="34" t="str">
        <f aca="false">IF(OR(S1108="SIN DATO",T1108="SIN DATO"),"No","Sí")</f>
        <v>Sí</v>
      </c>
    </row>
    <row r="1109" customFormat="false" ht="15" hidden="false" customHeight="false" outlineLevel="0" collapsed="false">
      <c r="A1109" s="34" t="s">
        <v>4098</v>
      </c>
      <c r="B1109" s="34" t="s">
        <v>4099</v>
      </c>
      <c r="C1109" s="34" t="s">
        <v>4100</v>
      </c>
      <c r="D1109" s="34" t="s">
        <v>4101</v>
      </c>
      <c r="E1109" s="34" t="s">
        <v>150</v>
      </c>
      <c r="F1109" s="34" t="s">
        <v>1602</v>
      </c>
      <c r="G1109" s="34" t="s">
        <v>343</v>
      </c>
      <c r="H1109" s="34" t="s">
        <v>55</v>
      </c>
      <c r="I1109" s="34" t="s">
        <v>55</v>
      </c>
      <c r="J1109" s="34" t="s">
        <v>58</v>
      </c>
      <c r="K1109" s="34" t="s">
        <v>229</v>
      </c>
      <c r="L1109" s="34" t="s">
        <v>230</v>
      </c>
      <c r="M1109" s="34" t="s">
        <v>344</v>
      </c>
      <c r="N1109" s="34" t="str">
        <f aca="false">"Sector "&amp;VALUE(MID(D1109,13,2))</f>
        <v>Sector 7</v>
      </c>
      <c r="O1109" s="34" t="str">
        <f aca="false">IF(Dashboard!$C$5="Ubicación técnica",N1109,"Sector "&amp;VALUE(RIGHT(G1109,2)))</f>
        <v>Sector 7</v>
      </c>
      <c r="P1109" s="34" t="str">
        <f aca="false">IF(MID(D1109,15,3)="SEL","Subestación eléctrica","Área de proceso")</f>
        <v>Subestación eléctrica</v>
      </c>
      <c r="Q1109" s="34" t="str">
        <f aca="false">MID(D1109,13,5)&amp;"|"&amp;MID(D1109,19,5)</f>
        <v>07SEL|S_010</v>
      </c>
      <c r="R1109" s="34" t="str">
        <f aca="false">IF(P1109="Subestación eléctrica",IFERROR(INDEX(cat_SubN,MATCH(Q1109,cat_SubK,0)),"SIN CATALOGAR"),"ÁREA DE PROCESO")</f>
        <v>SE-10</v>
      </c>
      <c r="S1109" s="34" t="str">
        <f aca="false">IF(H1109="","SIN DATO",IFERROR(INDEX(cat_MarcaN,MATCH(H1109,cat_MarcaO,0)),H1109))</f>
        <v>SEL</v>
      </c>
      <c r="T1109" s="34" t="str">
        <f aca="false">IF(I1109="","SIN DATO",IFERROR(INDEX(cat_ModN,MATCH(I1109,cat_ModO,0)),I1109))</f>
        <v>SEL</v>
      </c>
      <c r="U1109" s="34" t="str">
        <f aca="false">IF(I1109="","",IFERROR(INDEX(cat_ModG,MATCH(I1109,cat_ModO,0)),"No"))</f>
        <v>Sí</v>
      </c>
      <c r="V1109" s="34" t="str">
        <f aca="false">IF(J1109="","SIN DATO",IFERROR(INDEX(cat_FunN,MATCH(J1109,cat_FunO,0)),J1109))</f>
        <v>Medición</v>
      </c>
      <c r="W1109" s="34" t="str">
        <f aca="false">IF(OR(S1109="SIN DATO",T1109="SIN DATO"),"No","Sí")</f>
        <v>Sí</v>
      </c>
    </row>
    <row r="1110" customFormat="false" ht="15" hidden="false" customHeight="false" outlineLevel="0" collapsed="false">
      <c r="A1110" s="34" t="s">
        <v>4102</v>
      </c>
      <c r="B1110" s="34" t="s">
        <v>4103</v>
      </c>
      <c r="C1110" s="34" t="s">
        <v>4104</v>
      </c>
      <c r="D1110" s="34" t="s">
        <v>4105</v>
      </c>
      <c r="E1110" s="34" t="s">
        <v>150</v>
      </c>
      <c r="F1110" s="34" t="s">
        <v>1602</v>
      </c>
      <c r="G1110" s="34" t="s">
        <v>343</v>
      </c>
      <c r="H1110" s="34" t="s">
        <v>55</v>
      </c>
      <c r="I1110" s="34" t="s">
        <v>55</v>
      </c>
      <c r="J1110" s="34" t="s">
        <v>58</v>
      </c>
      <c r="K1110" s="34" t="s">
        <v>229</v>
      </c>
      <c r="L1110" s="34" t="s">
        <v>230</v>
      </c>
      <c r="M1110" s="34" t="s">
        <v>344</v>
      </c>
      <c r="N1110" s="34" t="str">
        <f aca="false">"Sector "&amp;VALUE(MID(D1110,13,2))</f>
        <v>Sector 7</v>
      </c>
      <c r="O1110" s="34" t="str">
        <f aca="false">IF(Dashboard!$C$5="Ubicación técnica",N1110,"Sector "&amp;VALUE(RIGHT(G1110,2)))</f>
        <v>Sector 7</v>
      </c>
      <c r="P1110" s="34" t="str">
        <f aca="false">IF(MID(D1110,15,3)="SEL","Subestación eléctrica","Área de proceso")</f>
        <v>Subestación eléctrica</v>
      </c>
      <c r="Q1110" s="34" t="str">
        <f aca="false">MID(D1110,13,5)&amp;"|"&amp;MID(D1110,19,5)</f>
        <v>07SEL|S_010</v>
      </c>
      <c r="R1110" s="34" t="str">
        <f aca="false">IF(P1110="Subestación eléctrica",IFERROR(INDEX(cat_SubN,MATCH(Q1110,cat_SubK,0)),"SIN CATALOGAR"),"ÁREA DE PROCESO")</f>
        <v>SE-10</v>
      </c>
      <c r="S1110" s="34" t="str">
        <f aca="false">IF(H1110="","SIN DATO",IFERROR(INDEX(cat_MarcaN,MATCH(H1110,cat_MarcaO,0)),H1110))</f>
        <v>SEL</v>
      </c>
      <c r="T1110" s="34" t="str">
        <f aca="false">IF(I1110="","SIN DATO",IFERROR(INDEX(cat_ModN,MATCH(I1110,cat_ModO,0)),I1110))</f>
        <v>SEL</v>
      </c>
      <c r="U1110" s="34" t="str">
        <f aca="false">IF(I1110="","",IFERROR(INDEX(cat_ModG,MATCH(I1110,cat_ModO,0)),"No"))</f>
        <v>Sí</v>
      </c>
      <c r="V1110" s="34" t="str">
        <f aca="false">IF(J1110="","SIN DATO",IFERROR(INDEX(cat_FunN,MATCH(J1110,cat_FunO,0)),J1110))</f>
        <v>Medición</v>
      </c>
      <c r="W1110" s="34" t="str">
        <f aca="false">IF(OR(S1110="SIN DATO",T1110="SIN DATO"),"No","Sí")</f>
        <v>Sí</v>
      </c>
    </row>
    <row r="1111" customFormat="false" ht="15" hidden="false" customHeight="false" outlineLevel="0" collapsed="false">
      <c r="A1111" s="34" t="s">
        <v>4106</v>
      </c>
      <c r="B1111" s="34" t="s">
        <v>4107</v>
      </c>
      <c r="C1111" s="34" t="s">
        <v>4108</v>
      </c>
      <c r="D1111" s="34" t="s">
        <v>4109</v>
      </c>
      <c r="E1111" s="34" t="s">
        <v>158</v>
      </c>
      <c r="F1111" s="34" t="s">
        <v>1602</v>
      </c>
      <c r="G1111" s="34" t="s">
        <v>343</v>
      </c>
      <c r="H1111" s="34" t="s">
        <v>73</v>
      </c>
      <c r="I1111" s="34" t="s">
        <v>75</v>
      </c>
      <c r="J1111" s="34" t="s">
        <v>228</v>
      </c>
      <c r="K1111" s="34" t="s">
        <v>229</v>
      </c>
      <c r="L1111" s="34" t="s">
        <v>230</v>
      </c>
      <c r="M1111" s="34" t="s">
        <v>344</v>
      </c>
      <c r="N1111" s="34" t="str">
        <f aca="false">"Sector "&amp;VALUE(MID(D1111,13,2))</f>
        <v>Sector 7</v>
      </c>
      <c r="O1111" s="34" t="str">
        <f aca="false">IF(Dashboard!$C$5="Ubicación técnica",N1111,"Sector "&amp;VALUE(RIGHT(G1111,2)))</f>
        <v>Sector 7</v>
      </c>
      <c r="P1111" s="34" t="str">
        <f aca="false">IF(MID(D1111,15,3)="SEL","Subestación eléctrica","Área de proceso")</f>
        <v>Subestación eléctrica</v>
      </c>
      <c r="Q1111" s="34" t="str">
        <f aca="false">MID(D1111,13,5)&amp;"|"&amp;MID(D1111,19,5)</f>
        <v>07SEL|S20_1</v>
      </c>
      <c r="R1111" s="34" t="str">
        <f aca="false">IF(P1111="Subestación eléctrica",IFERROR(INDEX(cat_SubN,MATCH(Q1111,cat_SubK,0)),"SIN CATALOGAR"),"ÁREA DE PROCESO")</f>
        <v>SE-20-1</v>
      </c>
      <c r="S1111" s="34" t="str">
        <f aca="false">IF(H1111="","SIN DATO",IFERROR(INDEX(cat_MarcaN,MATCH(H1111,cat_MarcaO,0)),H1111))</f>
        <v>SIEMENS</v>
      </c>
      <c r="T1111" s="34" t="str">
        <f aca="false">IF(I1111="","SIN DATO",IFERROR(INDEX(cat_ModN,MATCH(I1111,cat_ModO,0)),I1111))</f>
        <v>REYROLLE</v>
      </c>
      <c r="U1111" s="34" t="str">
        <f aca="false">IF(I1111="","",IFERROR(INDEX(cat_ModG,MATCH(I1111,cat_ModO,0)),"No"))</f>
        <v>Sí</v>
      </c>
      <c r="V1111" s="34" t="str">
        <f aca="false">IF(J1111="","SIN DATO",IFERROR(INDEX(cat_FunN,MATCH(J1111,cat_FunO,0)),J1111))</f>
        <v>Protección y medición</v>
      </c>
      <c r="W1111" s="34" t="str">
        <f aca="false">IF(OR(S1111="SIN DATO",T1111="SIN DATO"),"No","Sí")</f>
        <v>Sí</v>
      </c>
    </row>
    <row r="1112" customFormat="false" ht="15" hidden="false" customHeight="false" outlineLevel="0" collapsed="false">
      <c r="A1112" s="34" t="s">
        <v>4110</v>
      </c>
      <c r="B1112" s="34" t="s">
        <v>4111</v>
      </c>
      <c r="C1112" s="34" t="s">
        <v>4112</v>
      </c>
      <c r="D1112" s="34" t="s">
        <v>4109</v>
      </c>
      <c r="E1112" s="34" t="s">
        <v>158</v>
      </c>
      <c r="F1112" s="34" t="s">
        <v>1602</v>
      </c>
      <c r="G1112" s="34" t="s">
        <v>343</v>
      </c>
      <c r="H1112" s="34" t="s">
        <v>73</v>
      </c>
      <c r="I1112" s="34" t="s">
        <v>75</v>
      </c>
      <c r="J1112" s="34" t="s">
        <v>228</v>
      </c>
      <c r="K1112" s="34" t="s">
        <v>229</v>
      </c>
      <c r="L1112" s="34" t="s">
        <v>230</v>
      </c>
      <c r="M1112" s="34" t="s">
        <v>344</v>
      </c>
      <c r="N1112" s="34" t="str">
        <f aca="false">"Sector "&amp;VALUE(MID(D1112,13,2))</f>
        <v>Sector 7</v>
      </c>
      <c r="O1112" s="34" t="str">
        <f aca="false">IF(Dashboard!$C$5="Ubicación técnica",N1112,"Sector "&amp;VALUE(RIGHT(G1112,2)))</f>
        <v>Sector 7</v>
      </c>
      <c r="P1112" s="34" t="str">
        <f aca="false">IF(MID(D1112,15,3)="SEL","Subestación eléctrica","Área de proceso")</f>
        <v>Subestación eléctrica</v>
      </c>
      <c r="Q1112" s="34" t="str">
        <f aca="false">MID(D1112,13,5)&amp;"|"&amp;MID(D1112,19,5)</f>
        <v>07SEL|S20_1</v>
      </c>
      <c r="R1112" s="34" t="str">
        <f aca="false">IF(P1112="Subestación eléctrica",IFERROR(INDEX(cat_SubN,MATCH(Q1112,cat_SubK,0)),"SIN CATALOGAR"),"ÁREA DE PROCESO")</f>
        <v>SE-20-1</v>
      </c>
      <c r="S1112" s="34" t="str">
        <f aca="false">IF(H1112="","SIN DATO",IFERROR(INDEX(cat_MarcaN,MATCH(H1112,cat_MarcaO,0)),H1112))</f>
        <v>SIEMENS</v>
      </c>
      <c r="T1112" s="34" t="str">
        <f aca="false">IF(I1112="","SIN DATO",IFERROR(INDEX(cat_ModN,MATCH(I1112,cat_ModO,0)),I1112))</f>
        <v>REYROLLE</v>
      </c>
      <c r="U1112" s="34" t="str">
        <f aca="false">IF(I1112="","",IFERROR(INDEX(cat_ModG,MATCH(I1112,cat_ModO,0)),"No"))</f>
        <v>Sí</v>
      </c>
      <c r="V1112" s="34" t="str">
        <f aca="false">IF(J1112="","SIN DATO",IFERROR(INDEX(cat_FunN,MATCH(J1112,cat_FunO,0)),J1112))</f>
        <v>Protección y medición</v>
      </c>
      <c r="W1112" s="34" t="str">
        <f aca="false">IF(OR(S1112="SIN DATO",T1112="SIN DATO"),"No","Sí")</f>
        <v>Sí</v>
      </c>
    </row>
    <row r="1113" customFormat="false" ht="15" hidden="false" customHeight="false" outlineLevel="0" collapsed="false">
      <c r="A1113" s="34" t="s">
        <v>4113</v>
      </c>
      <c r="B1113" s="34" t="s">
        <v>4114</v>
      </c>
      <c r="C1113" s="34" t="s">
        <v>4115</v>
      </c>
      <c r="D1113" s="34" t="s">
        <v>4116</v>
      </c>
      <c r="E1113" s="34" t="s">
        <v>158</v>
      </c>
      <c r="F1113" s="34" t="s">
        <v>1602</v>
      </c>
      <c r="G1113" s="34" t="s">
        <v>343</v>
      </c>
      <c r="H1113" s="34" t="s">
        <v>73</v>
      </c>
      <c r="I1113" s="34" t="s">
        <v>75</v>
      </c>
      <c r="J1113" s="34" t="s">
        <v>228</v>
      </c>
      <c r="K1113" s="34" t="s">
        <v>229</v>
      </c>
      <c r="L1113" s="34" t="s">
        <v>230</v>
      </c>
      <c r="M1113" s="34" t="s">
        <v>344</v>
      </c>
      <c r="N1113" s="34" t="str">
        <f aca="false">"Sector "&amp;VALUE(MID(D1113,13,2))</f>
        <v>Sector 7</v>
      </c>
      <c r="O1113" s="34" t="str">
        <f aca="false">IF(Dashboard!$C$5="Ubicación técnica",N1113,"Sector "&amp;VALUE(RIGHT(G1113,2)))</f>
        <v>Sector 7</v>
      </c>
      <c r="P1113" s="34" t="str">
        <f aca="false">IF(MID(D1113,15,3)="SEL","Subestación eléctrica","Área de proceso")</f>
        <v>Subestación eléctrica</v>
      </c>
      <c r="Q1113" s="34" t="str">
        <f aca="false">MID(D1113,13,5)&amp;"|"&amp;MID(D1113,19,5)</f>
        <v>07SEL|S20_1</v>
      </c>
      <c r="R1113" s="34" t="str">
        <f aca="false">IF(P1113="Subestación eléctrica",IFERROR(INDEX(cat_SubN,MATCH(Q1113,cat_SubK,0)),"SIN CATALOGAR"),"ÁREA DE PROCESO")</f>
        <v>SE-20-1</v>
      </c>
      <c r="S1113" s="34" t="str">
        <f aca="false">IF(H1113="","SIN DATO",IFERROR(INDEX(cat_MarcaN,MATCH(H1113,cat_MarcaO,0)),H1113))</f>
        <v>SIEMENS</v>
      </c>
      <c r="T1113" s="34" t="str">
        <f aca="false">IF(I1113="","SIN DATO",IFERROR(INDEX(cat_ModN,MATCH(I1113,cat_ModO,0)),I1113))</f>
        <v>REYROLLE</v>
      </c>
      <c r="U1113" s="34" t="str">
        <f aca="false">IF(I1113="","",IFERROR(INDEX(cat_ModG,MATCH(I1113,cat_ModO,0)),"No"))</f>
        <v>Sí</v>
      </c>
      <c r="V1113" s="34" t="str">
        <f aca="false">IF(J1113="","SIN DATO",IFERROR(INDEX(cat_FunN,MATCH(J1113,cat_FunO,0)),J1113))</f>
        <v>Protección y medición</v>
      </c>
      <c r="W1113" s="34" t="str">
        <f aca="false">IF(OR(S1113="SIN DATO",T1113="SIN DATO"),"No","Sí")</f>
        <v>Sí</v>
      </c>
    </row>
    <row r="1114" customFormat="false" ht="15" hidden="false" customHeight="false" outlineLevel="0" collapsed="false">
      <c r="A1114" s="34" t="s">
        <v>4117</v>
      </c>
      <c r="B1114" s="34" t="s">
        <v>4118</v>
      </c>
      <c r="C1114" s="34" t="s">
        <v>4119</v>
      </c>
      <c r="D1114" s="34" t="s">
        <v>4120</v>
      </c>
      <c r="E1114" s="34" t="s">
        <v>158</v>
      </c>
      <c r="F1114" s="34" t="s">
        <v>1602</v>
      </c>
      <c r="G1114" s="34" t="s">
        <v>343</v>
      </c>
      <c r="H1114" s="34" t="s">
        <v>73</v>
      </c>
      <c r="I1114" s="34" t="s">
        <v>75</v>
      </c>
      <c r="J1114" s="34" t="s">
        <v>228</v>
      </c>
      <c r="K1114" s="34" t="s">
        <v>229</v>
      </c>
      <c r="L1114" s="34" t="s">
        <v>230</v>
      </c>
      <c r="M1114" s="34" t="s">
        <v>344</v>
      </c>
      <c r="N1114" s="34" t="str">
        <f aca="false">"Sector "&amp;VALUE(MID(D1114,13,2))</f>
        <v>Sector 7</v>
      </c>
      <c r="O1114" s="34" t="str">
        <f aca="false">IF(Dashboard!$C$5="Ubicación técnica",N1114,"Sector "&amp;VALUE(RIGHT(G1114,2)))</f>
        <v>Sector 7</v>
      </c>
      <c r="P1114" s="34" t="str">
        <f aca="false">IF(MID(D1114,15,3)="SEL","Subestación eléctrica","Área de proceso")</f>
        <v>Subestación eléctrica</v>
      </c>
      <c r="Q1114" s="34" t="str">
        <f aca="false">MID(D1114,13,5)&amp;"|"&amp;MID(D1114,19,5)</f>
        <v>07SEL|S20_1</v>
      </c>
      <c r="R1114" s="34" t="str">
        <f aca="false">IF(P1114="Subestación eléctrica",IFERROR(INDEX(cat_SubN,MATCH(Q1114,cat_SubK,0)),"SIN CATALOGAR"),"ÁREA DE PROCESO")</f>
        <v>SE-20-1</v>
      </c>
      <c r="S1114" s="34" t="str">
        <f aca="false">IF(H1114="","SIN DATO",IFERROR(INDEX(cat_MarcaN,MATCH(H1114,cat_MarcaO,0)),H1114))</f>
        <v>SIEMENS</v>
      </c>
      <c r="T1114" s="34" t="str">
        <f aca="false">IF(I1114="","SIN DATO",IFERROR(INDEX(cat_ModN,MATCH(I1114,cat_ModO,0)),I1114))</f>
        <v>REYROLLE</v>
      </c>
      <c r="U1114" s="34" t="str">
        <f aca="false">IF(I1114="","",IFERROR(INDEX(cat_ModG,MATCH(I1114,cat_ModO,0)),"No"))</f>
        <v>Sí</v>
      </c>
      <c r="V1114" s="34" t="str">
        <f aca="false">IF(J1114="","SIN DATO",IFERROR(INDEX(cat_FunN,MATCH(J1114,cat_FunO,0)),J1114))</f>
        <v>Protección y medición</v>
      </c>
      <c r="W1114" s="34" t="str">
        <f aca="false">IF(OR(S1114="SIN DATO",T1114="SIN DATO"),"No","Sí")</f>
        <v>Sí</v>
      </c>
    </row>
    <row r="1115" customFormat="false" ht="15" hidden="false" customHeight="false" outlineLevel="0" collapsed="false">
      <c r="A1115" s="34" t="s">
        <v>4121</v>
      </c>
      <c r="B1115" s="34" t="s">
        <v>4122</v>
      </c>
      <c r="C1115" s="34" t="s">
        <v>4123</v>
      </c>
      <c r="D1115" s="34" t="s">
        <v>4124</v>
      </c>
      <c r="E1115" s="34" t="s">
        <v>158</v>
      </c>
      <c r="F1115" s="34" t="s">
        <v>1602</v>
      </c>
      <c r="G1115" s="34" t="s">
        <v>343</v>
      </c>
      <c r="H1115" s="34" t="s">
        <v>73</v>
      </c>
      <c r="I1115" s="34" t="s">
        <v>75</v>
      </c>
      <c r="J1115" s="34" t="s">
        <v>228</v>
      </c>
      <c r="K1115" s="34" t="s">
        <v>229</v>
      </c>
      <c r="L1115" s="34" t="s">
        <v>230</v>
      </c>
      <c r="M1115" s="34" t="s">
        <v>344</v>
      </c>
      <c r="N1115" s="34" t="str">
        <f aca="false">"Sector "&amp;VALUE(MID(D1115,13,2))</f>
        <v>Sector 7</v>
      </c>
      <c r="O1115" s="34" t="str">
        <f aca="false">IF(Dashboard!$C$5="Ubicación técnica",N1115,"Sector "&amp;VALUE(RIGHT(G1115,2)))</f>
        <v>Sector 7</v>
      </c>
      <c r="P1115" s="34" t="str">
        <f aca="false">IF(MID(D1115,15,3)="SEL","Subestación eléctrica","Área de proceso")</f>
        <v>Subestación eléctrica</v>
      </c>
      <c r="Q1115" s="34" t="str">
        <f aca="false">MID(D1115,13,5)&amp;"|"&amp;MID(D1115,19,5)</f>
        <v>07SEL|S20_1</v>
      </c>
      <c r="R1115" s="34" t="str">
        <f aca="false">IF(P1115="Subestación eléctrica",IFERROR(INDEX(cat_SubN,MATCH(Q1115,cat_SubK,0)),"SIN CATALOGAR"),"ÁREA DE PROCESO")</f>
        <v>SE-20-1</v>
      </c>
      <c r="S1115" s="34" t="str">
        <f aca="false">IF(H1115="","SIN DATO",IFERROR(INDEX(cat_MarcaN,MATCH(H1115,cat_MarcaO,0)),H1115))</f>
        <v>SIEMENS</v>
      </c>
      <c r="T1115" s="34" t="str">
        <f aca="false">IF(I1115="","SIN DATO",IFERROR(INDEX(cat_ModN,MATCH(I1115,cat_ModO,0)),I1115))</f>
        <v>REYROLLE</v>
      </c>
      <c r="U1115" s="34" t="str">
        <f aca="false">IF(I1115="","",IFERROR(INDEX(cat_ModG,MATCH(I1115,cat_ModO,0)),"No"))</f>
        <v>Sí</v>
      </c>
      <c r="V1115" s="34" t="str">
        <f aca="false">IF(J1115="","SIN DATO",IFERROR(INDEX(cat_FunN,MATCH(J1115,cat_FunO,0)),J1115))</f>
        <v>Protección y medición</v>
      </c>
      <c r="W1115" s="34" t="str">
        <f aca="false">IF(OR(S1115="SIN DATO",T1115="SIN DATO"),"No","Sí")</f>
        <v>Sí</v>
      </c>
    </row>
    <row r="1116" customFormat="false" ht="15" hidden="false" customHeight="false" outlineLevel="0" collapsed="false">
      <c r="A1116" s="34" t="s">
        <v>4125</v>
      </c>
      <c r="B1116" s="34" t="s">
        <v>4126</v>
      </c>
      <c r="C1116" s="34" t="s">
        <v>4127</v>
      </c>
      <c r="D1116" s="34" t="s">
        <v>4128</v>
      </c>
      <c r="E1116" s="34" t="s">
        <v>158</v>
      </c>
      <c r="F1116" s="34" t="s">
        <v>1602</v>
      </c>
      <c r="G1116" s="34" t="s">
        <v>343</v>
      </c>
      <c r="H1116" s="34" t="s">
        <v>73</v>
      </c>
      <c r="I1116" s="34" t="s">
        <v>78</v>
      </c>
      <c r="J1116" s="34" t="s">
        <v>58</v>
      </c>
      <c r="K1116" s="34" t="s">
        <v>229</v>
      </c>
      <c r="L1116" s="34" t="s">
        <v>230</v>
      </c>
      <c r="M1116" s="34"/>
      <c r="N1116" s="34" t="str">
        <f aca="false">"Sector "&amp;VALUE(MID(D1116,13,2))</f>
        <v>Sector 7</v>
      </c>
      <c r="O1116" s="34" t="str">
        <f aca="false">IF(Dashboard!$C$5="Ubicación técnica",N1116,"Sector "&amp;VALUE(RIGHT(G1116,2)))</f>
        <v>Sector 7</v>
      </c>
      <c r="P1116" s="34" t="str">
        <f aca="false">IF(MID(D1116,15,3)="SEL","Subestación eléctrica","Área de proceso")</f>
        <v>Subestación eléctrica</v>
      </c>
      <c r="Q1116" s="34" t="str">
        <f aca="false">MID(D1116,13,5)&amp;"|"&amp;MID(D1116,19,5)</f>
        <v>07SEL|S20_1</v>
      </c>
      <c r="R1116" s="34" t="str">
        <f aca="false">IF(P1116="Subestación eléctrica",IFERROR(INDEX(cat_SubN,MATCH(Q1116,cat_SubK,0)),"SIN CATALOGAR"),"ÁREA DE PROCESO")</f>
        <v>SE-20-1</v>
      </c>
      <c r="S1116" s="34" t="str">
        <f aca="false">IF(H1116="","SIN DATO",IFERROR(INDEX(cat_MarcaN,MATCH(H1116,cat_MarcaO,0)),H1116))</f>
        <v>SIEMENS</v>
      </c>
      <c r="T1116" s="34" t="str">
        <f aca="false">IF(I1116="","SIN DATO",IFERROR(INDEX(cat_ModN,MATCH(I1116,cat_ModO,0)),I1116))</f>
        <v>SENTRON</v>
      </c>
      <c r="U1116" s="34" t="str">
        <f aca="false">IF(I1116="","",IFERROR(INDEX(cat_ModG,MATCH(I1116,cat_ModO,0)),"No"))</f>
        <v>No</v>
      </c>
      <c r="V1116" s="34" t="str">
        <f aca="false">IF(J1116="","SIN DATO",IFERROR(INDEX(cat_FunN,MATCH(J1116,cat_FunO,0)),J1116))</f>
        <v>Medición</v>
      </c>
      <c r="W1116" s="34" t="str">
        <f aca="false">IF(OR(S1116="SIN DATO",T1116="SIN DATO"),"No","Sí")</f>
        <v>Sí</v>
      </c>
    </row>
    <row r="1117" customFormat="false" ht="15" hidden="false" customHeight="false" outlineLevel="0" collapsed="false">
      <c r="A1117" s="34" t="s">
        <v>4129</v>
      </c>
      <c r="B1117" s="34" t="s">
        <v>4130</v>
      </c>
      <c r="C1117" s="34" t="s">
        <v>4131</v>
      </c>
      <c r="D1117" s="34" t="s">
        <v>4132</v>
      </c>
      <c r="E1117" s="34" t="s">
        <v>158</v>
      </c>
      <c r="F1117" s="34" t="s">
        <v>1602</v>
      </c>
      <c r="G1117" s="34" t="s">
        <v>343</v>
      </c>
      <c r="H1117" s="34" t="s">
        <v>73</v>
      </c>
      <c r="I1117" s="34" t="s">
        <v>78</v>
      </c>
      <c r="J1117" s="34" t="s">
        <v>58</v>
      </c>
      <c r="K1117" s="34" t="s">
        <v>229</v>
      </c>
      <c r="L1117" s="34" t="s">
        <v>230</v>
      </c>
      <c r="M1117" s="34"/>
      <c r="N1117" s="34" t="str">
        <f aca="false">"Sector "&amp;VALUE(MID(D1117,13,2))</f>
        <v>Sector 7</v>
      </c>
      <c r="O1117" s="34" t="str">
        <f aca="false">IF(Dashboard!$C$5="Ubicación técnica",N1117,"Sector "&amp;VALUE(RIGHT(G1117,2)))</f>
        <v>Sector 7</v>
      </c>
      <c r="P1117" s="34" t="str">
        <f aca="false">IF(MID(D1117,15,3)="SEL","Subestación eléctrica","Área de proceso")</f>
        <v>Subestación eléctrica</v>
      </c>
      <c r="Q1117" s="34" t="str">
        <f aca="false">MID(D1117,13,5)&amp;"|"&amp;MID(D1117,19,5)</f>
        <v>07SEL|S20_1</v>
      </c>
      <c r="R1117" s="34" t="str">
        <f aca="false">IF(P1117="Subestación eléctrica",IFERROR(INDEX(cat_SubN,MATCH(Q1117,cat_SubK,0)),"SIN CATALOGAR"),"ÁREA DE PROCESO")</f>
        <v>SE-20-1</v>
      </c>
      <c r="S1117" s="34" t="str">
        <f aca="false">IF(H1117="","SIN DATO",IFERROR(INDEX(cat_MarcaN,MATCH(H1117,cat_MarcaO,0)),H1117))</f>
        <v>SIEMENS</v>
      </c>
      <c r="T1117" s="34" t="str">
        <f aca="false">IF(I1117="","SIN DATO",IFERROR(INDEX(cat_ModN,MATCH(I1117,cat_ModO,0)),I1117))</f>
        <v>SENTRON</v>
      </c>
      <c r="U1117" s="34" t="str">
        <f aca="false">IF(I1117="","",IFERROR(INDEX(cat_ModG,MATCH(I1117,cat_ModO,0)),"No"))</f>
        <v>No</v>
      </c>
      <c r="V1117" s="34" t="str">
        <f aca="false">IF(J1117="","SIN DATO",IFERROR(INDEX(cat_FunN,MATCH(J1117,cat_FunO,0)),J1117))</f>
        <v>Medición</v>
      </c>
      <c r="W1117" s="34" t="str">
        <f aca="false">IF(OR(S1117="SIN DATO",T1117="SIN DATO"),"No","Sí")</f>
        <v>Sí</v>
      </c>
    </row>
    <row r="1118" customFormat="false" ht="15" hidden="false" customHeight="false" outlineLevel="0" collapsed="false">
      <c r="A1118" s="34" t="s">
        <v>4133</v>
      </c>
      <c r="B1118" s="34" t="s">
        <v>4134</v>
      </c>
      <c r="C1118" s="34" t="s">
        <v>4135</v>
      </c>
      <c r="D1118" s="34" t="s">
        <v>4109</v>
      </c>
      <c r="E1118" s="34" t="s">
        <v>158</v>
      </c>
      <c r="F1118" s="34" t="s">
        <v>1602</v>
      </c>
      <c r="G1118" s="34" t="s">
        <v>343</v>
      </c>
      <c r="H1118" s="34" t="s">
        <v>73</v>
      </c>
      <c r="I1118" s="34" t="s">
        <v>78</v>
      </c>
      <c r="J1118" s="34" t="s">
        <v>58</v>
      </c>
      <c r="K1118" s="34" t="s">
        <v>229</v>
      </c>
      <c r="L1118" s="34" t="s">
        <v>230</v>
      </c>
      <c r="M1118" s="34"/>
      <c r="N1118" s="34" t="str">
        <f aca="false">"Sector "&amp;VALUE(MID(D1118,13,2))</f>
        <v>Sector 7</v>
      </c>
      <c r="O1118" s="34" t="str">
        <f aca="false">IF(Dashboard!$C$5="Ubicación técnica",N1118,"Sector "&amp;VALUE(RIGHT(G1118,2)))</f>
        <v>Sector 7</v>
      </c>
      <c r="P1118" s="34" t="str">
        <f aca="false">IF(MID(D1118,15,3)="SEL","Subestación eléctrica","Área de proceso")</f>
        <v>Subestación eléctrica</v>
      </c>
      <c r="Q1118" s="34" t="str">
        <f aca="false">MID(D1118,13,5)&amp;"|"&amp;MID(D1118,19,5)</f>
        <v>07SEL|S20_1</v>
      </c>
      <c r="R1118" s="34" t="str">
        <f aca="false">IF(P1118="Subestación eléctrica",IFERROR(INDEX(cat_SubN,MATCH(Q1118,cat_SubK,0)),"SIN CATALOGAR"),"ÁREA DE PROCESO")</f>
        <v>SE-20-1</v>
      </c>
      <c r="S1118" s="34" t="str">
        <f aca="false">IF(H1118="","SIN DATO",IFERROR(INDEX(cat_MarcaN,MATCH(H1118,cat_MarcaO,0)),H1118))</f>
        <v>SIEMENS</v>
      </c>
      <c r="T1118" s="34" t="str">
        <f aca="false">IF(I1118="","SIN DATO",IFERROR(INDEX(cat_ModN,MATCH(I1118,cat_ModO,0)),I1118))</f>
        <v>SENTRON</v>
      </c>
      <c r="U1118" s="34" t="str">
        <f aca="false">IF(I1118="","",IFERROR(INDEX(cat_ModG,MATCH(I1118,cat_ModO,0)),"No"))</f>
        <v>No</v>
      </c>
      <c r="V1118" s="34" t="str">
        <f aca="false">IF(J1118="","SIN DATO",IFERROR(INDEX(cat_FunN,MATCH(J1118,cat_FunO,0)),J1118))</f>
        <v>Medición</v>
      </c>
      <c r="W1118" s="34" t="str">
        <f aca="false">IF(OR(S1118="SIN DATO",T1118="SIN DATO"),"No","Sí")</f>
        <v>Sí</v>
      </c>
    </row>
    <row r="1119" customFormat="false" ht="15" hidden="false" customHeight="false" outlineLevel="0" collapsed="false">
      <c r="A1119" s="34" t="s">
        <v>4136</v>
      </c>
      <c r="B1119" s="34" t="s">
        <v>4137</v>
      </c>
      <c r="C1119" s="34" t="s">
        <v>4138</v>
      </c>
      <c r="D1119" s="34" t="s">
        <v>4116</v>
      </c>
      <c r="E1119" s="34" t="s">
        <v>158</v>
      </c>
      <c r="F1119" s="34" t="s">
        <v>1602</v>
      </c>
      <c r="G1119" s="34" t="s">
        <v>343</v>
      </c>
      <c r="H1119" s="34" t="s">
        <v>73</v>
      </c>
      <c r="I1119" s="34" t="s">
        <v>78</v>
      </c>
      <c r="J1119" s="34" t="s">
        <v>58</v>
      </c>
      <c r="K1119" s="34" t="s">
        <v>229</v>
      </c>
      <c r="L1119" s="34" t="s">
        <v>230</v>
      </c>
      <c r="M1119" s="34"/>
      <c r="N1119" s="34" t="str">
        <f aca="false">"Sector "&amp;VALUE(MID(D1119,13,2))</f>
        <v>Sector 7</v>
      </c>
      <c r="O1119" s="34" t="str">
        <f aca="false">IF(Dashboard!$C$5="Ubicación técnica",N1119,"Sector "&amp;VALUE(RIGHT(G1119,2)))</f>
        <v>Sector 7</v>
      </c>
      <c r="P1119" s="34" t="str">
        <f aca="false">IF(MID(D1119,15,3)="SEL","Subestación eléctrica","Área de proceso")</f>
        <v>Subestación eléctrica</v>
      </c>
      <c r="Q1119" s="34" t="str">
        <f aca="false">MID(D1119,13,5)&amp;"|"&amp;MID(D1119,19,5)</f>
        <v>07SEL|S20_1</v>
      </c>
      <c r="R1119" s="34" t="str">
        <f aca="false">IF(P1119="Subestación eléctrica",IFERROR(INDEX(cat_SubN,MATCH(Q1119,cat_SubK,0)),"SIN CATALOGAR"),"ÁREA DE PROCESO")</f>
        <v>SE-20-1</v>
      </c>
      <c r="S1119" s="34" t="str">
        <f aca="false">IF(H1119="","SIN DATO",IFERROR(INDEX(cat_MarcaN,MATCH(H1119,cat_MarcaO,0)),H1119))</f>
        <v>SIEMENS</v>
      </c>
      <c r="T1119" s="34" t="str">
        <f aca="false">IF(I1119="","SIN DATO",IFERROR(INDEX(cat_ModN,MATCH(I1119,cat_ModO,0)),I1119))</f>
        <v>SENTRON</v>
      </c>
      <c r="U1119" s="34" t="str">
        <f aca="false">IF(I1119="","",IFERROR(INDEX(cat_ModG,MATCH(I1119,cat_ModO,0)),"No"))</f>
        <v>No</v>
      </c>
      <c r="V1119" s="34" t="str">
        <f aca="false">IF(J1119="","SIN DATO",IFERROR(INDEX(cat_FunN,MATCH(J1119,cat_FunO,0)),J1119))</f>
        <v>Medición</v>
      </c>
      <c r="W1119" s="34" t="str">
        <f aca="false">IF(OR(S1119="SIN DATO",T1119="SIN DATO"),"No","Sí")</f>
        <v>Sí</v>
      </c>
    </row>
    <row r="1120" customFormat="false" ht="15" hidden="false" customHeight="false" outlineLevel="0" collapsed="false">
      <c r="A1120" s="34" t="s">
        <v>4139</v>
      </c>
      <c r="B1120" s="34" t="s">
        <v>4140</v>
      </c>
      <c r="C1120" s="34" t="s">
        <v>4141</v>
      </c>
      <c r="D1120" s="34" t="s">
        <v>4142</v>
      </c>
      <c r="E1120" s="34" t="s">
        <v>148</v>
      </c>
      <c r="F1120" s="34" t="s">
        <v>1602</v>
      </c>
      <c r="G1120" s="34" t="s">
        <v>343</v>
      </c>
      <c r="H1120" s="34" t="s">
        <v>4143</v>
      </c>
      <c r="I1120" s="34" t="s">
        <v>89</v>
      </c>
      <c r="J1120" s="34" t="s">
        <v>228</v>
      </c>
      <c r="K1120" s="34" t="s">
        <v>229</v>
      </c>
      <c r="L1120" s="34" t="s">
        <v>230</v>
      </c>
      <c r="M1120" s="34" t="s">
        <v>344</v>
      </c>
      <c r="N1120" s="34" t="str">
        <f aca="false">"Sector "&amp;VALUE(MID(D1120,13,2))</f>
        <v>Sector 7</v>
      </c>
      <c r="O1120" s="34" t="str">
        <f aca="false">IF(Dashboard!$C$5="Ubicación técnica",N1120,"Sector "&amp;VALUE(RIGHT(G1120,2)))</f>
        <v>Sector 7</v>
      </c>
      <c r="P1120" s="34" t="str">
        <f aca="false">IF(MID(D1120,15,3)="SEL","Subestación eléctrica","Área de proceso")</f>
        <v>Subestación eléctrica</v>
      </c>
      <c r="Q1120" s="34" t="str">
        <f aca="false">MID(D1120,13,5)&amp;"|"&amp;MID(D1120,19,5)</f>
        <v>07SEL|CE191</v>
      </c>
      <c r="R1120" s="34" t="str">
        <f aca="false">IF(P1120="Subestación eléctrica",IFERROR(INDEX(cat_SubN,MATCH(Q1120,cat_SubK,0)),"SIN CATALOGAR"),"ÁREA DE PROCESO")</f>
        <v>CE-19-1</v>
      </c>
      <c r="S1120" s="34" t="str">
        <f aca="false">IF(H1120="","SIN DATO",IFERROR(INDEX(cat_MarcaN,MATCH(H1120,cat_MarcaO,0)),H1120))</f>
        <v>SCHNEIDER ELECTRIC</v>
      </c>
      <c r="T1120" s="34" t="str">
        <f aca="false">IF(I1120="","SIN DATO",IFERROR(INDEX(cat_ModN,MATCH(I1120,cat_ModO,0)),I1120))</f>
        <v>POWERLOGIC</v>
      </c>
      <c r="U1120" s="34" t="str">
        <f aca="false">IF(I1120="","",IFERROR(INDEX(cat_ModG,MATCH(I1120,cat_ModO,0)),"No"))</f>
        <v>No</v>
      </c>
      <c r="V1120" s="34" t="str">
        <f aca="false">IF(J1120="","SIN DATO",IFERROR(INDEX(cat_FunN,MATCH(J1120,cat_FunO,0)),J1120))</f>
        <v>Protección y medición</v>
      </c>
      <c r="W1120" s="34" t="str">
        <f aca="false">IF(OR(S1120="SIN DATO",T1120="SIN DATO"),"No","Sí")</f>
        <v>Sí</v>
      </c>
    </row>
    <row r="1121" customFormat="false" ht="15" hidden="false" customHeight="false" outlineLevel="0" collapsed="false">
      <c r="A1121" s="34" t="s">
        <v>4144</v>
      </c>
      <c r="B1121" s="34" t="s">
        <v>4145</v>
      </c>
      <c r="C1121" s="34" t="s">
        <v>4146</v>
      </c>
      <c r="D1121" s="34" t="s">
        <v>4147</v>
      </c>
      <c r="E1121" s="34" t="s">
        <v>148</v>
      </c>
      <c r="F1121" s="34" t="s">
        <v>1602</v>
      </c>
      <c r="G1121" s="34" t="s">
        <v>343</v>
      </c>
      <c r="H1121" s="34" t="s">
        <v>4143</v>
      </c>
      <c r="I1121" s="34" t="s">
        <v>89</v>
      </c>
      <c r="J1121" s="34" t="s">
        <v>228</v>
      </c>
      <c r="K1121" s="34" t="s">
        <v>229</v>
      </c>
      <c r="L1121" s="34" t="s">
        <v>230</v>
      </c>
      <c r="M1121" s="34" t="s">
        <v>344</v>
      </c>
      <c r="N1121" s="34" t="str">
        <f aca="false">"Sector "&amp;VALUE(MID(D1121,13,2))</f>
        <v>Sector 7</v>
      </c>
      <c r="O1121" s="34" t="str">
        <f aca="false">IF(Dashboard!$C$5="Ubicación técnica",N1121,"Sector "&amp;VALUE(RIGHT(G1121,2)))</f>
        <v>Sector 7</v>
      </c>
      <c r="P1121" s="34" t="str">
        <f aca="false">IF(MID(D1121,15,3)="SEL","Subestación eléctrica","Área de proceso")</f>
        <v>Subestación eléctrica</v>
      </c>
      <c r="Q1121" s="34" t="str">
        <f aca="false">MID(D1121,13,5)&amp;"|"&amp;MID(D1121,19,5)</f>
        <v>07SEL|CE191</v>
      </c>
      <c r="R1121" s="34" t="str">
        <f aca="false">IF(P1121="Subestación eléctrica",IFERROR(INDEX(cat_SubN,MATCH(Q1121,cat_SubK,0)),"SIN CATALOGAR"),"ÁREA DE PROCESO")</f>
        <v>CE-19-1</v>
      </c>
      <c r="S1121" s="34" t="str">
        <f aca="false">IF(H1121="","SIN DATO",IFERROR(INDEX(cat_MarcaN,MATCH(H1121,cat_MarcaO,0)),H1121))</f>
        <v>SCHNEIDER ELECTRIC</v>
      </c>
      <c r="T1121" s="34" t="str">
        <f aca="false">IF(I1121="","SIN DATO",IFERROR(INDEX(cat_ModN,MATCH(I1121,cat_ModO,0)),I1121))</f>
        <v>POWERLOGIC</v>
      </c>
      <c r="U1121" s="34" t="str">
        <f aca="false">IF(I1121="","",IFERROR(INDEX(cat_ModG,MATCH(I1121,cat_ModO,0)),"No"))</f>
        <v>No</v>
      </c>
      <c r="V1121" s="34" t="str">
        <f aca="false">IF(J1121="","SIN DATO",IFERROR(INDEX(cat_FunN,MATCH(J1121,cat_FunO,0)),J1121))</f>
        <v>Protección y medición</v>
      </c>
      <c r="W1121" s="34" t="str">
        <f aca="false">IF(OR(S1121="SIN DATO",T1121="SIN DATO"),"No","Sí")</f>
        <v>Sí</v>
      </c>
    </row>
    <row r="1122" customFormat="false" ht="15" hidden="false" customHeight="false" outlineLevel="0" collapsed="false">
      <c r="A1122" s="34" t="s">
        <v>4148</v>
      </c>
      <c r="B1122" s="34" t="s">
        <v>4149</v>
      </c>
      <c r="C1122" s="34" t="s">
        <v>4150</v>
      </c>
      <c r="D1122" s="34" t="s">
        <v>4151</v>
      </c>
      <c r="E1122" s="34" t="s">
        <v>148</v>
      </c>
      <c r="F1122" s="34" t="s">
        <v>1602</v>
      </c>
      <c r="G1122" s="34" t="s">
        <v>343</v>
      </c>
      <c r="H1122" s="34" t="s">
        <v>96</v>
      </c>
      <c r="I1122" s="34" t="s">
        <v>98</v>
      </c>
      <c r="J1122" s="34" t="s">
        <v>58</v>
      </c>
      <c r="K1122" s="34" t="s">
        <v>229</v>
      </c>
      <c r="L1122" s="34" t="s">
        <v>230</v>
      </c>
      <c r="M1122" s="34" t="s">
        <v>344</v>
      </c>
      <c r="N1122" s="34" t="str">
        <f aca="false">"Sector "&amp;VALUE(MID(D1122,13,2))</f>
        <v>Sector 7</v>
      </c>
      <c r="O1122" s="34" t="str">
        <f aca="false">IF(Dashboard!$C$5="Ubicación técnica",N1122,"Sector "&amp;VALUE(RIGHT(G1122,2)))</f>
        <v>Sector 7</v>
      </c>
      <c r="P1122" s="34" t="str">
        <f aca="false">IF(MID(D1122,15,3)="SEL","Subestación eléctrica","Área de proceso")</f>
        <v>Subestación eléctrica</v>
      </c>
      <c r="Q1122" s="34" t="str">
        <f aca="false">MID(D1122,13,5)&amp;"|"&amp;MID(D1122,19,5)</f>
        <v>07SEL|CE191</v>
      </c>
      <c r="R1122" s="34" t="str">
        <f aca="false">IF(P1122="Subestación eléctrica",IFERROR(INDEX(cat_SubN,MATCH(Q1122,cat_SubK,0)),"SIN CATALOGAR"),"ÁREA DE PROCESO")</f>
        <v>CE-19-1</v>
      </c>
      <c r="S1122" s="34" t="str">
        <f aca="false">IF(H1122="","SIN DATO",IFERROR(INDEX(cat_MarcaN,MATCH(H1122,cat_MarcaO,0)),H1122))</f>
        <v>EIG</v>
      </c>
      <c r="T1122" s="34" t="str">
        <f aca="false">IF(I1122="","SIN DATO",IFERROR(INDEX(cat_ModN,MATCH(I1122,cat_ModO,0)),I1122))</f>
        <v>SHARK</v>
      </c>
      <c r="U1122" s="34" t="str">
        <f aca="false">IF(I1122="","",IFERROR(INDEX(cat_ModG,MATCH(I1122,cat_ModO,0)),"No"))</f>
        <v>No</v>
      </c>
      <c r="V1122" s="34" t="str">
        <f aca="false">IF(J1122="","SIN DATO",IFERROR(INDEX(cat_FunN,MATCH(J1122,cat_FunO,0)),J1122))</f>
        <v>Medición</v>
      </c>
      <c r="W1122" s="34" t="str">
        <f aca="false">IF(OR(S1122="SIN DATO",T1122="SIN DATO"),"No","Sí")</f>
        <v>Sí</v>
      </c>
    </row>
    <row r="1123" customFormat="false" ht="15" hidden="false" customHeight="false" outlineLevel="0" collapsed="false">
      <c r="A1123" s="34" t="s">
        <v>4152</v>
      </c>
      <c r="B1123" s="34" t="s">
        <v>4153</v>
      </c>
      <c r="C1123" s="34" t="s">
        <v>4154</v>
      </c>
      <c r="D1123" s="34" t="s">
        <v>4155</v>
      </c>
      <c r="E1123" s="34" t="s">
        <v>148</v>
      </c>
      <c r="F1123" s="34" t="s">
        <v>1602</v>
      </c>
      <c r="G1123" s="34" t="s">
        <v>343</v>
      </c>
      <c r="H1123" s="34" t="s">
        <v>96</v>
      </c>
      <c r="I1123" s="34" t="s">
        <v>98</v>
      </c>
      <c r="J1123" s="34" t="s">
        <v>58</v>
      </c>
      <c r="K1123" s="34" t="s">
        <v>229</v>
      </c>
      <c r="L1123" s="34" t="s">
        <v>230</v>
      </c>
      <c r="M1123" s="34" t="s">
        <v>344</v>
      </c>
      <c r="N1123" s="34" t="str">
        <f aca="false">"Sector "&amp;VALUE(MID(D1123,13,2))</f>
        <v>Sector 7</v>
      </c>
      <c r="O1123" s="34" t="str">
        <f aca="false">IF(Dashboard!$C$5="Ubicación técnica",N1123,"Sector "&amp;VALUE(RIGHT(G1123,2)))</f>
        <v>Sector 7</v>
      </c>
      <c r="P1123" s="34" t="str">
        <f aca="false">IF(MID(D1123,15,3)="SEL","Subestación eléctrica","Área de proceso")</f>
        <v>Subestación eléctrica</v>
      </c>
      <c r="Q1123" s="34" t="str">
        <f aca="false">MID(D1123,13,5)&amp;"|"&amp;MID(D1123,19,5)</f>
        <v>07SEL|CE191</v>
      </c>
      <c r="R1123" s="34" t="str">
        <f aca="false">IF(P1123="Subestación eléctrica",IFERROR(INDEX(cat_SubN,MATCH(Q1123,cat_SubK,0)),"SIN CATALOGAR"),"ÁREA DE PROCESO")</f>
        <v>CE-19-1</v>
      </c>
      <c r="S1123" s="34" t="str">
        <f aca="false">IF(H1123="","SIN DATO",IFERROR(INDEX(cat_MarcaN,MATCH(H1123,cat_MarcaO,0)),H1123))</f>
        <v>EIG</v>
      </c>
      <c r="T1123" s="34" t="str">
        <f aca="false">IF(I1123="","SIN DATO",IFERROR(INDEX(cat_ModN,MATCH(I1123,cat_ModO,0)),I1123))</f>
        <v>SHARK</v>
      </c>
      <c r="U1123" s="34" t="str">
        <f aca="false">IF(I1123="","",IFERROR(INDEX(cat_ModG,MATCH(I1123,cat_ModO,0)),"No"))</f>
        <v>No</v>
      </c>
      <c r="V1123" s="34" t="str">
        <f aca="false">IF(J1123="","SIN DATO",IFERROR(INDEX(cat_FunN,MATCH(J1123,cat_FunO,0)),J1123))</f>
        <v>Medición</v>
      </c>
      <c r="W1123" s="34" t="str">
        <f aca="false">IF(OR(S1123="SIN DATO",T1123="SIN DATO"),"No","Sí")</f>
        <v>Sí</v>
      </c>
    </row>
    <row r="1124" customFormat="false" ht="15" hidden="false" customHeight="false" outlineLevel="0" collapsed="false">
      <c r="A1124" s="34" t="s">
        <v>4156</v>
      </c>
      <c r="B1124" s="34" t="s">
        <v>4157</v>
      </c>
      <c r="C1124" s="34" t="s">
        <v>4158</v>
      </c>
      <c r="D1124" s="34" t="s">
        <v>4159</v>
      </c>
      <c r="E1124" s="34" t="s">
        <v>148</v>
      </c>
      <c r="F1124" s="34" t="s">
        <v>1602</v>
      </c>
      <c r="G1124" s="34" t="s">
        <v>343</v>
      </c>
      <c r="H1124" s="34" t="s">
        <v>55</v>
      </c>
      <c r="I1124" s="34" t="s">
        <v>55</v>
      </c>
      <c r="J1124" s="34" t="s">
        <v>58</v>
      </c>
      <c r="K1124" s="34" t="s">
        <v>229</v>
      </c>
      <c r="L1124" s="34" t="s">
        <v>230</v>
      </c>
      <c r="M1124" s="34" t="s">
        <v>344</v>
      </c>
      <c r="N1124" s="34" t="str">
        <f aca="false">"Sector "&amp;VALUE(MID(D1124,13,2))</f>
        <v>Sector 7</v>
      </c>
      <c r="O1124" s="34" t="str">
        <f aca="false">IF(Dashboard!$C$5="Ubicación técnica",N1124,"Sector "&amp;VALUE(RIGHT(G1124,2)))</f>
        <v>Sector 7</v>
      </c>
      <c r="P1124" s="34" t="str">
        <f aca="false">IF(MID(D1124,15,3)="SEL","Subestación eléctrica","Área de proceso")</f>
        <v>Subestación eléctrica</v>
      </c>
      <c r="Q1124" s="34" t="str">
        <f aca="false">MID(D1124,13,5)&amp;"|"&amp;MID(D1124,19,5)</f>
        <v>07SEL|CE191</v>
      </c>
      <c r="R1124" s="34" t="str">
        <f aca="false">IF(P1124="Subestación eléctrica",IFERROR(INDEX(cat_SubN,MATCH(Q1124,cat_SubK,0)),"SIN CATALOGAR"),"ÁREA DE PROCESO")</f>
        <v>CE-19-1</v>
      </c>
      <c r="S1124" s="34" t="str">
        <f aca="false">IF(H1124="","SIN DATO",IFERROR(INDEX(cat_MarcaN,MATCH(H1124,cat_MarcaO,0)),H1124))</f>
        <v>SEL</v>
      </c>
      <c r="T1124" s="34" t="str">
        <f aca="false">IF(I1124="","SIN DATO",IFERROR(INDEX(cat_ModN,MATCH(I1124,cat_ModO,0)),I1124))</f>
        <v>SEL</v>
      </c>
      <c r="U1124" s="34" t="str">
        <f aca="false">IF(I1124="","",IFERROR(INDEX(cat_ModG,MATCH(I1124,cat_ModO,0)),"No"))</f>
        <v>Sí</v>
      </c>
      <c r="V1124" s="34" t="str">
        <f aca="false">IF(J1124="","SIN DATO",IFERROR(INDEX(cat_FunN,MATCH(J1124,cat_FunO,0)),J1124))</f>
        <v>Medición</v>
      </c>
      <c r="W1124" s="34" t="str">
        <f aca="false">IF(OR(S1124="SIN DATO",T1124="SIN DATO"),"No","Sí")</f>
        <v>Sí</v>
      </c>
    </row>
    <row r="1125" customFormat="false" ht="15" hidden="false" customHeight="false" outlineLevel="0" collapsed="false">
      <c r="A1125" s="34" t="s">
        <v>4160</v>
      </c>
      <c r="B1125" s="34" t="s">
        <v>4161</v>
      </c>
      <c r="C1125" s="34" t="s">
        <v>4162</v>
      </c>
      <c r="D1125" s="34" t="s">
        <v>4163</v>
      </c>
      <c r="E1125" s="34" t="s">
        <v>148</v>
      </c>
      <c r="F1125" s="34" t="s">
        <v>1602</v>
      </c>
      <c r="G1125" s="34" t="s">
        <v>343</v>
      </c>
      <c r="H1125" s="34" t="s">
        <v>55</v>
      </c>
      <c r="I1125" s="34" t="s">
        <v>55</v>
      </c>
      <c r="J1125" s="34" t="s">
        <v>58</v>
      </c>
      <c r="K1125" s="34" t="s">
        <v>229</v>
      </c>
      <c r="L1125" s="34" t="s">
        <v>230</v>
      </c>
      <c r="M1125" s="34" t="s">
        <v>344</v>
      </c>
      <c r="N1125" s="34" t="str">
        <f aca="false">"Sector "&amp;VALUE(MID(D1125,13,2))</f>
        <v>Sector 7</v>
      </c>
      <c r="O1125" s="34" t="str">
        <f aca="false">IF(Dashboard!$C$5="Ubicación técnica",N1125,"Sector "&amp;VALUE(RIGHT(G1125,2)))</f>
        <v>Sector 7</v>
      </c>
      <c r="P1125" s="34" t="str">
        <f aca="false">IF(MID(D1125,15,3)="SEL","Subestación eléctrica","Área de proceso")</f>
        <v>Subestación eléctrica</v>
      </c>
      <c r="Q1125" s="34" t="str">
        <f aca="false">MID(D1125,13,5)&amp;"|"&amp;MID(D1125,19,5)</f>
        <v>07SEL|CE191</v>
      </c>
      <c r="R1125" s="34" t="str">
        <f aca="false">IF(P1125="Subestación eléctrica",IFERROR(INDEX(cat_SubN,MATCH(Q1125,cat_SubK,0)),"SIN CATALOGAR"),"ÁREA DE PROCESO")</f>
        <v>CE-19-1</v>
      </c>
      <c r="S1125" s="34" t="str">
        <f aca="false">IF(H1125="","SIN DATO",IFERROR(INDEX(cat_MarcaN,MATCH(H1125,cat_MarcaO,0)),H1125))</f>
        <v>SEL</v>
      </c>
      <c r="T1125" s="34" t="str">
        <f aca="false">IF(I1125="","SIN DATO",IFERROR(INDEX(cat_ModN,MATCH(I1125,cat_ModO,0)),I1125))</f>
        <v>SEL</v>
      </c>
      <c r="U1125" s="34" t="str">
        <f aca="false">IF(I1125="","",IFERROR(INDEX(cat_ModG,MATCH(I1125,cat_ModO,0)),"No"))</f>
        <v>Sí</v>
      </c>
      <c r="V1125" s="34" t="str">
        <f aca="false">IF(J1125="","SIN DATO",IFERROR(INDEX(cat_FunN,MATCH(J1125,cat_FunO,0)),J1125))</f>
        <v>Medición</v>
      </c>
      <c r="W1125" s="34" t="str">
        <f aca="false">IF(OR(S1125="SIN DATO",T1125="SIN DATO"),"No","Sí")</f>
        <v>Sí</v>
      </c>
    </row>
    <row r="1126" customFormat="false" ht="15" hidden="false" customHeight="false" outlineLevel="0" collapsed="false">
      <c r="A1126" s="34" t="s">
        <v>4164</v>
      </c>
      <c r="B1126" s="34" t="s">
        <v>4165</v>
      </c>
      <c r="C1126" s="34" t="s">
        <v>4166</v>
      </c>
      <c r="D1126" s="34" t="s">
        <v>4167</v>
      </c>
      <c r="E1126" s="34" t="s">
        <v>152</v>
      </c>
      <c r="F1126" s="34" t="s">
        <v>1602</v>
      </c>
      <c r="G1126" s="34" t="s">
        <v>343</v>
      </c>
      <c r="H1126" s="34" t="s">
        <v>73</v>
      </c>
      <c r="I1126" s="34" t="s">
        <v>75</v>
      </c>
      <c r="J1126" s="34" t="s">
        <v>228</v>
      </c>
      <c r="K1126" s="34" t="s">
        <v>229</v>
      </c>
      <c r="L1126" s="34" t="s">
        <v>230</v>
      </c>
      <c r="M1126" s="34" t="s">
        <v>344</v>
      </c>
      <c r="N1126" s="34" t="str">
        <f aca="false">"Sector "&amp;VALUE(MID(D1126,13,2))</f>
        <v>Sector 7</v>
      </c>
      <c r="O1126" s="34" t="str">
        <f aca="false">IF(Dashboard!$C$5="Ubicación técnica",N1126,"Sector "&amp;VALUE(RIGHT(G1126,2)))</f>
        <v>Sector 7</v>
      </c>
      <c r="P1126" s="34" t="str">
        <f aca="false">IF(MID(D1126,15,3)="SEL","Subestación eléctrica","Área de proceso")</f>
        <v>Subestación eléctrica</v>
      </c>
      <c r="Q1126" s="34" t="str">
        <f aca="false">MID(D1126,13,5)&amp;"|"&amp;MID(D1126,19,5)</f>
        <v>07SEL|S_013</v>
      </c>
      <c r="R1126" s="34" t="str">
        <f aca="false">IF(P1126="Subestación eléctrica",IFERROR(INDEX(cat_SubN,MATCH(Q1126,cat_SubK,0)),"SIN CATALOGAR"),"ÁREA DE PROCESO")</f>
        <v>SE-13</v>
      </c>
      <c r="S1126" s="34" t="str">
        <f aca="false">IF(H1126="","SIN DATO",IFERROR(INDEX(cat_MarcaN,MATCH(H1126,cat_MarcaO,0)),H1126))</f>
        <v>SIEMENS</v>
      </c>
      <c r="T1126" s="34" t="str">
        <f aca="false">IF(I1126="","SIN DATO",IFERROR(INDEX(cat_ModN,MATCH(I1126,cat_ModO,0)),I1126))</f>
        <v>REYROLLE</v>
      </c>
      <c r="U1126" s="34" t="str">
        <f aca="false">IF(I1126="","",IFERROR(INDEX(cat_ModG,MATCH(I1126,cat_ModO,0)),"No"))</f>
        <v>Sí</v>
      </c>
      <c r="V1126" s="34" t="str">
        <f aca="false">IF(J1126="","SIN DATO",IFERROR(INDEX(cat_FunN,MATCH(J1126,cat_FunO,0)),J1126))</f>
        <v>Protección y medición</v>
      </c>
      <c r="W1126" s="34" t="str">
        <f aca="false">IF(OR(S1126="SIN DATO",T1126="SIN DATO"),"No","Sí")</f>
        <v>Sí</v>
      </c>
    </row>
    <row r="1127" customFormat="false" ht="15" hidden="false" customHeight="false" outlineLevel="0" collapsed="false">
      <c r="A1127" s="34" t="s">
        <v>4168</v>
      </c>
      <c r="B1127" s="34" t="s">
        <v>4169</v>
      </c>
      <c r="C1127" s="34" t="s">
        <v>4170</v>
      </c>
      <c r="D1127" s="34" t="s">
        <v>4171</v>
      </c>
      <c r="E1127" s="34" t="s">
        <v>152</v>
      </c>
      <c r="F1127" s="34" t="s">
        <v>1602</v>
      </c>
      <c r="G1127" s="34" t="s">
        <v>343</v>
      </c>
      <c r="H1127" s="34" t="s">
        <v>73</v>
      </c>
      <c r="I1127" s="34" t="s">
        <v>75</v>
      </c>
      <c r="J1127" s="34" t="s">
        <v>228</v>
      </c>
      <c r="K1127" s="34" t="s">
        <v>229</v>
      </c>
      <c r="L1127" s="34" t="s">
        <v>230</v>
      </c>
      <c r="M1127" s="34" t="s">
        <v>344</v>
      </c>
      <c r="N1127" s="34" t="str">
        <f aca="false">"Sector "&amp;VALUE(MID(D1127,13,2))</f>
        <v>Sector 7</v>
      </c>
      <c r="O1127" s="34" t="str">
        <f aca="false">IF(Dashboard!$C$5="Ubicación técnica",N1127,"Sector "&amp;VALUE(RIGHT(G1127,2)))</f>
        <v>Sector 7</v>
      </c>
      <c r="P1127" s="34" t="str">
        <f aca="false">IF(MID(D1127,15,3)="SEL","Subestación eléctrica","Área de proceso")</f>
        <v>Subestación eléctrica</v>
      </c>
      <c r="Q1127" s="34" t="str">
        <f aca="false">MID(D1127,13,5)&amp;"|"&amp;MID(D1127,19,5)</f>
        <v>07SEL|S_013</v>
      </c>
      <c r="R1127" s="34" t="str">
        <f aca="false">IF(P1127="Subestación eléctrica",IFERROR(INDEX(cat_SubN,MATCH(Q1127,cat_SubK,0)),"SIN CATALOGAR"),"ÁREA DE PROCESO")</f>
        <v>SE-13</v>
      </c>
      <c r="S1127" s="34" t="str">
        <f aca="false">IF(H1127="","SIN DATO",IFERROR(INDEX(cat_MarcaN,MATCH(H1127,cat_MarcaO,0)),H1127))</f>
        <v>SIEMENS</v>
      </c>
      <c r="T1127" s="34" t="str">
        <f aca="false">IF(I1127="","SIN DATO",IFERROR(INDEX(cat_ModN,MATCH(I1127,cat_ModO,0)),I1127))</f>
        <v>REYROLLE</v>
      </c>
      <c r="U1127" s="34" t="str">
        <f aca="false">IF(I1127="","",IFERROR(INDEX(cat_ModG,MATCH(I1127,cat_ModO,0)),"No"))</f>
        <v>Sí</v>
      </c>
      <c r="V1127" s="34" t="str">
        <f aca="false">IF(J1127="","SIN DATO",IFERROR(INDEX(cat_FunN,MATCH(J1127,cat_FunO,0)),J1127))</f>
        <v>Protección y medición</v>
      </c>
      <c r="W1127" s="34" t="str">
        <f aca="false">IF(OR(S1127="SIN DATO",T1127="SIN DATO"),"No","Sí")</f>
        <v>Sí</v>
      </c>
    </row>
    <row r="1128" customFormat="false" ht="15" hidden="false" customHeight="false" outlineLevel="0" collapsed="false">
      <c r="A1128" s="34" t="s">
        <v>4172</v>
      </c>
      <c r="B1128" s="34" t="s">
        <v>4173</v>
      </c>
      <c r="C1128" s="34" t="s">
        <v>4174</v>
      </c>
      <c r="D1128" s="34" t="s">
        <v>4175</v>
      </c>
      <c r="E1128" s="34" t="s">
        <v>152</v>
      </c>
      <c r="F1128" s="34" t="s">
        <v>1602</v>
      </c>
      <c r="G1128" s="34" t="s">
        <v>343</v>
      </c>
      <c r="H1128" s="34" t="s">
        <v>73</v>
      </c>
      <c r="I1128" s="34" t="s">
        <v>75</v>
      </c>
      <c r="J1128" s="34" t="s">
        <v>228</v>
      </c>
      <c r="K1128" s="34" t="s">
        <v>229</v>
      </c>
      <c r="L1128" s="34" t="s">
        <v>230</v>
      </c>
      <c r="M1128" s="34" t="s">
        <v>344</v>
      </c>
      <c r="N1128" s="34" t="str">
        <f aca="false">"Sector "&amp;VALUE(MID(D1128,13,2))</f>
        <v>Sector 7</v>
      </c>
      <c r="O1128" s="34" t="str">
        <f aca="false">IF(Dashboard!$C$5="Ubicación técnica",N1128,"Sector "&amp;VALUE(RIGHT(G1128,2)))</f>
        <v>Sector 7</v>
      </c>
      <c r="P1128" s="34" t="str">
        <f aca="false">IF(MID(D1128,15,3)="SEL","Subestación eléctrica","Área de proceso")</f>
        <v>Subestación eléctrica</v>
      </c>
      <c r="Q1128" s="34" t="str">
        <f aca="false">MID(D1128,13,5)&amp;"|"&amp;MID(D1128,19,5)</f>
        <v>07SEL|S_013</v>
      </c>
      <c r="R1128" s="34" t="str">
        <f aca="false">IF(P1128="Subestación eléctrica",IFERROR(INDEX(cat_SubN,MATCH(Q1128,cat_SubK,0)),"SIN CATALOGAR"),"ÁREA DE PROCESO")</f>
        <v>SE-13</v>
      </c>
      <c r="S1128" s="34" t="str">
        <f aca="false">IF(H1128="","SIN DATO",IFERROR(INDEX(cat_MarcaN,MATCH(H1128,cat_MarcaO,0)),H1128))</f>
        <v>SIEMENS</v>
      </c>
      <c r="T1128" s="34" t="str">
        <f aca="false">IF(I1128="","SIN DATO",IFERROR(INDEX(cat_ModN,MATCH(I1128,cat_ModO,0)),I1128))</f>
        <v>REYROLLE</v>
      </c>
      <c r="U1128" s="34" t="str">
        <f aca="false">IF(I1128="","",IFERROR(INDEX(cat_ModG,MATCH(I1128,cat_ModO,0)),"No"))</f>
        <v>Sí</v>
      </c>
      <c r="V1128" s="34" t="str">
        <f aca="false">IF(J1128="","SIN DATO",IFERROR(INDEX(cat_FunN,MATCH(J1128,cat_FunO,0)),J1128))</f>
        <v>Protección y medición</v>
      </c>
      <c r="W1128" s="34" t="str">
        <f aca="false">IF(OR(S1128="SIN DATO",T1128="SIN DATO"),"No","Sí")</f>
        <v>Sí</v>
      </c>
    </row>
    <row r="1129" customFormat="false" ht="15" hidden="false" customHeight="false" outlineLevel="0" collapsed="false">
      <c r="A1129" s="34" t="s">
        <v>4176</v>
      </c>
      <c r="B1129" s="34" t="s">
        <v>4177</v>
      </c>
      <c r="C1129" s="34" t="s">
        <v>4178</v>
      </c>
      <c r="D1129" s="34" t="s">
        <v>4175</v>
      </c>
      <c r="E1129" s="34" t="s">
        <v>152</v>
      </c>
      <c r="F1129" s="34" t="s">
        <v>1602</v>
      </c>
      <c r="G1129" s="34" t="s">
        <v>343</v>
      </c>
      <c r="H1129" s="34" t="s">
        <v>73</v>
      </c>
      <c r="I1129" s="34" t="s">
        <v>75</v>
      </c>
      <c r="J1129" s="34" t="s">
        <v>228</v>
      </c>
      <c r="K1129" s="34" t="s">
        <v>229</v>
      </c>
      <c r="L1129" s="34" t="s">
        <v>230</v>
      </c>
      <c r="M1129" s="34" t="s">
        <v>344</v>
      </c>
      <c r="N1129" s="34" t="str">
        <f aca="false">"Sector "&amp;VALUE(MID(D1129,13,2))</f>
        <v>Sector 7</v>
      </c>
      <c r="O1129" s="34" t="str">
        <f aca="false">IF(Dashboard!$C$5="Ubicación técnica",N1129,"Sector "&amp;VALUE(RIGHT(G1129,2)))</f>
        <v>Sector 7</v>
      </c>
      <c r="P1129" s="34" t="str">
        <f aca="false">IF(MID(D1129,15,3)="SEL","Subestación eléctrica","Área de proceso")</f>
        <v>Subestación eléctrica</v>
      </c>
      <c r="Q1129" s="34" t="str">
        <f aca="false">MID(D1129,13,5)&amp;"|"&amp;MID(D1129,19,5)</f>
        <v>07SEL|S_013</v>
      </c>
      <c r="R1129" s="34" t="str">
        <f aca="false">IF(P1129="Subestación eléctrica",IFERROR(INDEX(cat_SubN,MATCH(Q1129,cat_SubK,0)),"SIN CATALOGAR"),"ÁREA DE PROCESO")</f>
        <v>SE-13</v>
      </c>
      <c r="S1129" s="34" t="str">
        <f aca="false">IF(H1129="","SIN DATO",IFERROR(INDEX(cat_MarcaN,MATCH(H1129,cat_MarcaO,0)),H1129))</f>
        <v>SIEMENS</v>
      </c>
      <c r="T1129" s="34" t="str">
        <f aca="false">IF(I1129="","SIN DATO",IFERROR(INDEX(cat_ModN,MATCH(I1129,cat_ModO,0)),I1129))</f>
        <v>REYROLLE</v>
      </c>
      <c r="U1129" s="34" t="str">
        <f aca="false">IF(I1129="","",IFERROR(INDEX(cat_ModG,MATCH(I1129,cat_ModO,0)),"No"))</f>
        <v>Sí</v>
      </c>
      <c r="V1129" s="34" t="str">
        <f aca="false">IF(J1129="","SIN DATO",IFERROR(INDEX(cat_FunN,MATCH(J1129,cat_FunO,0)),J1129))</f>
        <v>Protección y medición</v>
      </c>
      <c r="W1129" s="34" t="str">
        <f aca="false">IF(OR(S1129="SIN DATO",T1129="SIN DATO"),"No","Sí")</f>
        <v>Sí</v>
      </c>
    </row>
    <row r="1130" customFormat="false" ht="15" hidden="false" customHeight="false" outlineLevel="0" collapsed="false">
      <c r="A1130" s="34" t="s">
        <v>4179</v>
      </c>
      <c r="B1130" s="34" t="s">
        <v>4180</v>
      </c>
      <c r="C1130" s="34" t="s">
        <v>4181</v>
      </c>
      <c r="D1130" s="34" t="s">
        <v>4182</v>
      </c>
      <c r="E1130" s="34" t="s">
        <v>152</v>
      </c>
      <c r="F1130" s="34" t="s">
        <v>1602</v>
      </c>
      <c r="G1130" s="34" t="s">
        <v>343</v>
      </c>
      <c r="H1130" s="34" t="s">
        <v>73</v>
      </c>
      <c r="I1130" s="34" t="s">
        <v>75</v>
      </c>
      <c r="J1130" s="34" t="s">
        <v>228</v>
      </c>
      <c r="K1130" s="34" t="s">
        <v>229</v>
      </c>
      <c r="L1130" s="34" t="s">
        <v>230</v>
      </c>
      <c r="M1130" s="34" t="s">
        <v>344</v>
      </c>
      <c r="N1130" s="34" t="str">
        <f aca="false">"Sector "&amp;VALUE(MID(D1130,13,2))</f>
        <v>Sector 7</v>
      </c>
      <c r="O1130" s="34" t="str">
        <f aca="false">IF(Dashboard!$C$5="Ubicación técnica",N1130,"Sector "&amp;VALUE(RIGHT(G1130,2)))</f>
        <v>Sector 7</v>
      </c>
      <c r="P1130" s="34" t="str">
        <f aca="false">IF(MID(D1130,15,3)="SEL","Subestación eléctrica","Área de proceso")</f>
        <v>Subestación eléctrica</v>
      </c>
      <c r="Q1130" s="34" t="str">
        <f aca="false">MID(D1130,13,5)&amp;"|"&amp;MID(D1130,19,5)</f>
        <v>07SEL|S_013</v>
      </c>
      <c r="R1130" s="34" t="str">
        <f aca="false">IF(P1130="Subestación eléctrica",IFERROR(INDEX(cat_SubN,MATCH(Q1130,cat_SubK,0)),"SIN CATALOGAR"),"ÁREA DE PROCESO")</f>
        <v>SE-13</v>
      </c>
      <c r="S1130" s="34" t="str">
        <f aca="false">IF(H1130="","SIN DATO",IFERROR(INDEX(cat_MarcaN,MATCH(H1130,cat_MarcaO,0)),H1130))</f>
        <v>SIEMENS</v>
      </c>
      <c r="T1130" s="34" t="str">
        <f aca="false">IF(I1130="","SIN DATO",IFERROR(INDEX(cat_ModN,MATCH(I1130,cat_ModO,0)),I1130))</f>
        <v>REYROLLE</v>
      </c>
      <c r="U1130" s="34" t="str">
        <f aca="false">IF(I1130="","",IFERROR(INDEX(cat_ModG,MATCH(I1130,cat_ModO,0)),"No"))</f>
        <v>Sí</v>
      </c>
      <c r="V1130" s="34" t="str">
        <f aca="false">IF(J1130="","SIN DATO",IFERROR(INDEX(cat_FunN,MATCH(J1130,cat_FunO,0)),J1130))</f>
        <v>Protección y medición</v>
      </c>
      <c r="W1130" s="34" t="str">
        <f aca="false">IF(OR(S1130="SIN DATO",T1130="SIN DATO"),"No","Sí")</f>
        <v>Sí</v>
      </c>
    </row>
    <row r="1131" customFormat="false" ht="15" hidden="false" customHeight="false" outlineLevel="0" collapsed="false">
      <c r="A1131" s="34" t="s">
        <v>4183</v>
      </c>
      <c r="B1131" s="34" t="s">
        <v>4184</v>
      </c>
      <c r="C1131" s="34" t="s">
        <v>4185</v>
      </c>
      <c r="D1131" s="34" t="s">
        <v>4186</v>
      </c>
      <c r="E1131" s="34" t="s">
        <v>152</v>
      </c>
      <c r="F1131" s="34" t="s">
        <v>1602</v>
      </c>
      <c r="G1131" s="34" t="s">
        <v>343</v>
      </c>
      <c r="H1131" s="34" t="s">
        <v>73</v>
      </c>
      <c r="I1131" s="34" t="s">
        <v>75</v>
      </c>
      <c r="J1131" s="34" t="s">
        <v>228</v>
      </c>
      <c r="K1131" s="34" t="s">
        <v>229</v>
      </c>
      <c r="L1131" s="34" t="s">
        <v>230</v>
      </c>
      <c r="M1131" s="34" t="s">
        <v>344</v>
      </c>
      <c r="N1131" s="34" t="str">
        <f aca="false">"Sector "&amp;VALUE(MID(D1131,13,2))</f>
        <v>Sector 7</v>
      </c>
      <c r="O1131" s="34" t="str">
        <f aca="false">IF(Dashboard!$C$5="Ubicación técnica",N1131,"Sector "&amp;VALUE(RIGHT(G1131,2)))</f>
        <v>Sector 7</v>
      </c>
      <c r="P1131" s="34" t="str">
        <f aca="false">IF(MID(D1131,15,3)="SEL","Subestación eléctrica","Área de proceso")</f>
        <v>Subestación eléctrica</v>
      </c>
      <c r="Q1131" s="34" t="str">
        <f aca="false">MID(D1131,13,5)&amp;"|"&amp;MID(D1131,19,5)</f>
        <v>07SEL|S_013</v>
      </c>
      <c r="R1131" s="34" t="str">
        <f aca="false">IF(P1131="Subestación eléctrica",IFERROR(INDEX(cat_SubN,MATCH(Q1131,cat_SubK,0)),"SIN CATALOGAR"),"ÁREA DE PROCESO")</f>
        <v>SE-13</v>
      </c>
      <c r="S1131" s="34" t="str">
        <f aca="false">IF(H1131="","SIN DATO",IFERROR(INDEX(cat_MarcaN,MATCH(H1131,cat_MarcaO,0)),H1131))</f>
        <v>SIEMENS</v>
      </c>
      <c r="T1131" s="34" t="str">
        <f aca="false">IF(I1131="","SIN DATO",IFERROR(INDEX(cat_ModN,MATCH(I1131,cat_ModO,0)),I1131))</f>
        <v>REYROLLE</v>
      </c>
      <c r="U1131" s="34" t="str">
        <f aca="false">IF(I1131="","",IFERROR(INDEX(cat_ModG,MATCH(I1131,cat_ModO,0)),"No"))</f>
        <v>Sí</v>
      </c>
      <c r="V1131" s="34" t="str">
        <f aca="false">IF(J1131="","SIN DATO",IFERROR(INDEX(cat_FunN,MATCH(J1131,cat_FunO,0)),J1131))</f>
        <v>Protección y medición</v>
      </c>
      <c r="W1131" s="34" t="str">
        <f aca="false">IF(OR(S1131="SIN DATO",T1131="SIN DATO"),"No","Sí")</f>
        <v>Sí</v>
      </c>
    </row>
    <row r="1132" customFormat="false" ht="15" hidden="false" customHeight="false" outlineLevel="0" collapsed="false">
      <c r="A1132" s="34" t="s">
        <v>4187</v>
      </c>
      <c r="B1132" s="34" t="s">
        <v>4188</v>
      </c>
      <c r="C1132" s="34" t="s">
        <v>4189</v>
      </c>
      <c r="D1132" s="34" t="s">
        <v>4190</v>
      </c>
      <c r="E1132" s="34" t="s">
        <v>152</v>
      </c>
      <c r="F1132" s="34" t="s">
        <v>1602</v>
      </c>
      <c r="G1132" s="34" t="s">
        <v>343</v>
      </c>
      <c r="H1132" s="34" t="s">
        <v>73</v>
      </c>
      <c r="I1132" s="34" t="s">
        <v>75</v>
      </c>
      <c r="J1132" s="34" t="s">
        <v>228</v>
      </c>
      <c r="K1132" s="34" t="s">
        <v>229</v>
      </c>
      <c r="L1132" s="34" t="s">
        <v>230</v>
      </c>
      <c r="M1132" s="34" t="s">
        <v>344</v>
      </c>
      <c r="N1132" s="34" t="str">
        <f aca="false">"Sector "&amp;VALUE(MID(D1132,13,2))</f>
        <v>Sector 7</v>
      </c>
      <c r="O1132" s="34" t="str">
        <f aca="false">IF(Dashboard!$C$5="Ubicación técnica",N1132,"Sector "&amp;VALUE(RIGHT(G1132,2)))</f>
        <v>Sector 7</v>
      </c>
      <c r="P1132" s="34" t="str">
        <f aca="false">IF(MID(D1132,15,3)="SEL","Subestación eléctrica","Área de proceso")</f>
        <v>Subestación eléctrica</v>
      </c>
      <c r="Q1132" s="34" t="str">
        <f aca="false">MID(D1132,13,5)&amp;"|"&amp;MID(D1132,19,5)</f>
        <v>07SEL|S_013</v>
      </c>
      <c r="R1132" s="34" t="str">
        <f aca="false">IF(P1132="Subestación eléctrica",IFERROR(INDEX(cat_SubN,MATCH(Q1132,cat_SubK,0)),"SIN CATALOGAR"),"ÁREA DE PROCESO")</f>
        <v>SE-13</v>
      </c>
      <c r="S1132" s="34" t="str">
        <f aca="false">IF(H1132="","SIN DATO",IFERROR(INDEX(cat_MarcaN,MATCH(H1132,cat_MarcaO,0)),H1132))</f>
        <v>SIEMENS</v>
      </c>
      <c r="T1132" s="34" t="str">
        <f aca="false">IF(I1132="","SIN DATO",IFERROR(INDEX(cat_ModN,MATCH(I1132,cat_ModO,0)),I1132))</f>
        <v>REYROLLE</v>
      </c>
      <c r="U1132" s="34" t="str">
        <f aca="false">IF(I1132="","",IFERROR(INDEX(cat_ModG,MATCH(I1132,cat_ModO,0)),"No"))</f>
        <v>Sí</v>
      </c>
      <c r="V1132" s="34" t="str">
        <f aca="false">IF(J1132="","SIN DATO",IFERROR(INDEX(cat_FunN,MATCH(J1132,cat_FunO,0)),J1132))</f>
        <v>Protección y medición</v>
      </c>
      <c r="W1132" s="34" t="str">
        <f aca="false">IF(OR(S1132="SIN DATO",T1132="SIN DATO"),"No","Sí")</f>
        <v>Sí</v>
      </c>
    </row>
    <row r="1133" customFormat="false" ht="15" hidden="false" customHeight="false" outlineLevel="0" collapsed="false">
      <c r="A1133" s="34" t="s">
        <v>4191</v>
      </c>
      <c r="B1133" s="34" t="s">
        <v>4192</v>
      </c>
      <c r="C1133" s="34" t="s">
        <v>4193</v>
      </c>
      <c r="D1133" s="34" t="s">
        <v>4194</v>
      </c>
      <c r="E1133" s="34" t="s">
        <v>152</v>
      </c>
      <c r="F1133" s="34" t="s">
        <v>1602</v>
      </c>
      <c r="G1133" s="34" t="s">
        <v>343</v>
      </c>
      <c r="H1133" s="34" t="s">
        <v>73</v>
      </c>
      <c r="I1133" s="34" t="s">
        <v>78</v>
      </c>
      <c r="J1133" s="34" t="s">
        <v>58</v>
      </c>
      <c r="K1133" s="34" t="s">
        <v>229</v>
      </c>
      <c r="L1133" s="34" t="s">
        <v>230</v>
      </c>
      <c r="M1133" s="34"/>
      <c r="N1133" s="34" t="str">
        <f aca="false">"Sector "&amp;VALUE(MID(D1133,13,2))</f>
        <v>Sector 7</v>
      </c>
      <c r="O1133" s="34" t="str">
        <f aca="false">IF(Dashboard!$C$5="Ubicación técnica",N1133,"Sector "&amp;VALUE(RIGHT(G1133,2)))</f>
        <v>Sector 7</v>
      </c>
      <c r="P1133" s="34" t="str">
        <f aca="false">IF(MID(D1133,15,3)="SEL","Subestación eléctrica","Área de proceso")</f>
        <v>Subestación eléctrica</v>
      </c>
      <c r="Q1133" s="34" t="str">
        <f aca="false">MID(D1133,13,5)&amp;"|"&amp;MID(D1133,19,5)</f>
        <v>07SEL|S_013</v>
      </c>
      <c r="R1133" s="34" t="str">
        <f aca="false">IF(P1133="Subestación eléctrica",IFERROR(INDEX(cat_SubN,MATCH(Q1133,cat_SubK,0)),"SIN CATALOGAR"),"ÁREA DE PROCESO")</f>
        <v>SE-13</v>
      </c>
      <c r="S1133" s="34" t="str">
        <f aca="false">IF(H1133="","SIN DATO",IFERROR(INDEX(cat_MarcaN,MATCH(H1133,cat_MarcaO,0)),H1133))</f>
        <v>SIEMENS</v>
      </c>
      <c r="T1133" s="34" t="str">
        <f aca="false">IF(I1133="","SIN DATO",IFERROR(INDEX(cat_ModN,MATCH(I1133,cat_ModO,0)),I1133))</f>
        <v>SENTRON</v>
      </c>
      <c r="U1133" s="34" t="str">
        <f aca="false">IF(I1133="","",IFERROR(INDEX(cat_ModG,MATCH(I1133,cat_ModO,0)),"No"))</f>
        <v>No</v>
      </c>
      <c r="V1133" s="34" t="str">
        <f aca="false">IF(J1133="","SIN DATO",IFERROR(INDEX(cat_FunN,MATCH(J1133,cat_FunO,0)),J1133))</f>
        <v>Medición</v>
      </c>
      <c r="W1133" s="34" t="str">
        <f aca="false">IF(OR(S1133="SIN DATO",T1133="SIN DATO"),"No","Sí")</f>
        <v>Sí</v>
      </c>
    </row>
    <row r="1134" customFormat="false" ht="15" hidden="false" customHeight="false" outlineLevel="0" collapsed="false">
      <c r="A1134" s="34" t="s">
        <v>4195</v>
      </c>
      <c r="B1134" s="34" t="s">
        <v>4196</v>
      </c>
      <c r="C1134" s="34" t="s">
        <v>4197</v>
      </c>
      <c r="D1134" s="34" t="s">
        <v>4198</v>
      </c>
      <c r="E1134" s="34" t="s">
        <v>152</v>
      </c>
      <c r="F1134" s="34" t="s">
        <v>1602</v>
      </c>
      <c r="G1134" s="34" t="s">
        <v>343</v>
      </c>
      <c r="H1134" s="34" t="s">
        <v>73</v>
      </c>
      <c r="I1134" s="34" t="s">
        <v>78</v>
      </c>
      <c r="J1134" s="34" t="s">
        <v>58</v>
      </c>
      <c r="K1134" s="34" t="s">
        <v>229</v>
      </c>
      <c r="L1134" s="34" t="s">
        <v>230</v>
      </c>
      <c r="M1134" s="34"/>
      <c r="N1134" s="34" t="str">
        <f aca="false">"Sector "&amp;VALUE(MID(D1134,13,2))</f>
        <v>Sector 7</v>
      </c>
      <c r="O1134" s="34" t="str">
        <f aca="false">IF(Dashboard!$C$5="Ubicación técnica",N1134,"Sector "&amp;VALUE(RIGHT(G1134,2)))</f>
        <v>Sector 7</v>
      </c>
      <c r="P1134" s="34" t="str">
        <f aca="false">IF(MID(D1134,15,3)="SEL","Subestación eléctrica","Área de proceso")</f>
        <v>Subestación eléctrica</v>
      </c>
      <c r="Q1134" s="34" t="str">
        <f aca="false">MID(D1134,13,5)&amp;"|"&amp;MID(D1134,19,5)</f>
        <v>07SEL|S_013</v>
      </c>
      <c r="R1134" s="34" t="str">
        <f aca="false">IF(P1134="Subestación eléctrica",IFERROR(INDEX(cat_SubN,MATCH(Q1134,cat_SubK,0)),"SIN CATALOGAR"),"ÁREA DE PROCESO")</f>
        <v>SE-13</v>
      </c>
      <c r="S1134" s="34" t="str">
        <f aca="false">IF(H1134="","SIN DATO",IFERROR(INDEX(cat_MarcaN,MATCH(H1134,cat_MarcaO,0)),H1134))</f>
        <v>SIEMENS</v>
      </c>
      <c r="T1134" s="34" t="str">
        <f aca="false">IF(I1134="","SIN DATO",IFERROR(INDEX(cat_ModN,MATCH(I1134,cat_ModO,0)),I1134))</f>
        <v>SENTRON</v>
      </c>
      <c r="U1134" s="34" t="str">
        <f aca="false">IF(I1134="","",IFERROR(INDEX(cat_ModG,MATCH(I1134,cat_ModO,0)),"No"))</f>
        <v>No</v>
      </c>
      <c r="V1134" s="34" t="str">
        <f aca="false">IF(J1134="","SIN DATO",IFERROR(INDEX(cat_FunN,MATCH(J1134,cat_FunO,0)),J1134))</f>
        <v>Medición</v>
      </c>
      <c r="W1134" s="34" t="str">
        <f aca="false">IF(OR(S1134="SIN DATO",T1134="SIN DATO"),"No","Sí")</f>
        <v>Sí</v>
      </c>
    </row>
    <row r="1135" customFormat="false" ht="15" hidden="false" customHeight="false" outlineLevel="0" collapsed="false">
      <c r="A1135" s="34" t="s">
        <v>4199</v>
      </c>
      <c r="B1135" s="34" t="s">
        <v>4200</v>
      </c>
      <c r="C1135" s="34" t="s">
        <v>4201</v>
      </c>
      <c r="D1135" s="34" t="s">
        <v>4202</v>
      </c>
      <c r="E1135" s="34" t="s">
        <v>152</v>
      </c>
      <c r="F1135" s="34" t="s">
        <v>1602</v>
      </c>
      <c r="G1135" s="34" t="s">
        <v>343</v>
      </c>
      <c r="H1135" s="34" t="s">
        <v>73</v>
      </c>
      <c r="I1135" s="34" t="s">
        <v>78</v>
      </c>
      <c r="J1135" s="34" t="s">
        <v>58</v>
      </c>
      <c r="K1135" s="34" t="s">
        <v>229</v>
      </c>
      <c r="L1135" s="34" t="s">
        <v>230</v>
      </c>
      <c r="M1135" s="34"/>
      <c r="N1135" s="34" t="str">
        <f aca="false">"Sector "&amp;VALUE(MID(D1135,13,2))</f>
        <v>Sector 7</v>
      </c>
      <c r="O1135" s="34" t="str">
        <f aca="false">IF(Dashboard!$C$5="Ubicación técnica",N1135,"Sector "&amp;VALUE(RIGHT(G1135,2)))</f>
        <v>Sector 7</v>
      </c>
      <c r="P1135" s="34" t="str">
        <f aca="false">IF(MID(D1135,15,3)="SEL","Subestación eléctrica","Área de proceso")</f>
        <v>Subestación eléctrica</v>
      </c>
      <c r="Q1135" s="34" t="str">
        <f aca="false">MID(D1135,13,5)&amp;"|"&amp;MID(D1135,19,5)</f>
        <v>07SEL|S_013</v>
      </c>
      <c r="R1135" s="34" t="str">
        <f aca="false">IF(P1135="Subestación eléctrica",IFERROR(INDEX(cat_SubN,MATCH(Q1135,cat_SubK,0)),"SIN CATALOGAR"),"ÁREA DE PROCESO")</f>
        <v>SE-13</v>
      </c>
      <c r="S1135" s="34" t="str">
        <f aca="false">IF(H1135="","SIN DATO",IFERROR(INDEX(cat_MarcaN,MATCH(H1135,cat_MarcaO,0)),H1135))</f>
        <v>SIEMENS</v>
      </c>
      <c r="T1135" s="34" t="str">
        <f aca="false">IF(I1135="","SIN DATO",IFERROR(INDEX(cat_ModN,MATCH(I1135,cat_ModO,0)),I1135))</f>
        <v>SENTRON</v>
      </c>
      <c r="U1135" s="34" t="str">
        <f aca="false">IF(I1135="","",IFERROR(INDEX(cat_ModG,MATCH(I1135,cat_ModO,0)),"No"))</f>
        <v>No</v>
      </c>
      <c r="V1135" s="34" t="str">
        <f aca="false">IF(J1135="","SIN DATO",IFERROR(INDEX(cat_FunN,MATCH(J1135,cat_FunO,0)),J1135))</f>
        <v>Medición</v>
      </c>
      <c r="W1135" s="34" t="str">
        <f aca="false">IF(OR(S1135="SIN DATO",T1135="SIN DATO"),"No","Sí")</f>
        <v>Sí</v>
      </c>
    </row>
    <row r="1136" customFormat="false" ht="15" hidden="false" customHeight="false" outlineLevel="0" collapsed="false">
      <c r="A1136" s="34" t="s">
        <v>4203</v>
      </c>
      <c r="B1136" s="34" t="s">
        <v>4204</v>
      </c>
      <c r="C1136" s="34" t="s">
        <v>4205</v>
      </c>
      <c r="D1136" s="34" t="s">
        <v>4206</v>
      </c>
      <c r="E1136" s="34" t="s">
        <v>152</v>
      </c>
      <c r="F1136" s="34" t="s">
        <v>1602</v>
      </c>
      <c r="G1136" s="34" t="s">
        <v>343</v>
      </c>
      <c r="H1136" s="34" t="s">
        <v>73</v>
      </c>
      <c r="I1136" s="34" t="s">
        <v>78</v>
      </c>
      <c r="J1136" s="34" t="s">
        <v>58</v>
      </c>
      <c r="K1136" s="34" t="s">
        <v>229</v>
      </c>
      <c r="L1136" s="34" t="s">
        <v>230</v>
      </c>
      <c r="M1136" s="34"/>
      <c r="N1136" s="34" t="str">
        <f aca="false">"Sector "&amp;VALUE(MID(D1136,13,2))</f>
        <v>Sector 7</v>
      </c>
      <c r="O1136" s="34" t="str">
        <f aca="false">IF(Dashboard!$C$5="Ubicación técnica",N1136,"Sector "&amp;VALUE(RIGHT(G1136,2)))</f>
        <v>Sector 7</v>
      </c>
      <c r="P1136" s="34" t="str">
        <f aca="false">IF(MID(D1136,15,3)="SEL","Subestación eléctrica","Área de proceso")</f>
        <v>Subestación eléctrica</v>
      </c>
      <c r="Q1136" s="34" t="str">
        <f aca="false">MID(D1136,13,5)&amp;"|"&amp;MID(D1136,19,5)</f>
        <v>07SEL|S_013</v>
      </c>
      <c r="R1136" s="34" t="str">
        <f aca="false">IF(P1136="Subestación eléctrica",IFERROR(INDEX(cat_SubN,MATCH(Q1136,cat_SubK,0)),"SIN CATALOGAR"),"ÁREA DE PROCESO")</f>
        <v>SE-13</v>
      </c>
      <c r="S1136" s="34" t="str">
        <f aca="false">IF(H1136="","SIN DATO",IFERROR(INDEX(cat_MarcaN,MATCH(H1136,cat_MarcaO,0)),H1136))</f>
        <v>SIEMENS</v>
      </c>
      <c r="T1136" s="34" t="str">
        <f aca="false">IF(I1136="","SIN DATO",IFERROR(INDEX(cat_ModN,MATCH(I1136,cat_ModO,0)),I1136))</f>
        <v>SENTRON</v>
      </c>
      <c r="U1136" s="34" t="str">
        <f aca="false">IF(I1136="","",IFERROR(INDEX(cat_ModG,MATCH(I1136,cat_ModO,0)),"No"))</f>
        <v>No</v>
      </c>
      <c r="V1136" s="34" t="str">
        <f aca="false">IF(J1136="","SIN DATO",IFERROR(INDEX(cat_FunN,MATCH(J1136,cat_FunO,0)),J1136))</f>
        <v>Medición</v>
      </c>
      <c r="W1136" s="34" t="str">
        <f aca="false">IF(OR(S1136="SIN DATO",T1136="SIN DATO"),"No","Sí")</f>
        <v>Sí</v>
      </c>
    </row>
    <row r="1137" customFormat="false" ht="15" hidden="false" customHeight="false" outlineLevel="0" collapsed="false">
      <c r="A1137" s="34" t="s">
        <v>4207</v>
      </c>
      <c r="B1137" s="34" t="s">
        <v>4208</v>
      </c>
      <c r="C1137" s="34" t="s">
        <v>4209</v>
      </c>
      <c r="D1137" s="34" t="s">
        <v>4210</v>
      </c>
      <c r="E1137" s="34" t="s">
        <v>124</v>
      </c>
      <c r="F1137" s="34" t="s">
        <v>1602</v>
      </c>
      <c r="G1137" s="34" t="s">
        <v>1184</v>
      </c>
      <c r="H1137" s="34" t="s">
        <v>61</v>
      </c>
      <c r="I1137" s="34" t="s">
        <v>63</v>
      </c>
      <c r="J1137" s="34" t="s">
        <v>228</v>
      </c>
      <c r="K1137" s="34" t="s">
        <v>229</v>
      </c>
      <c r="L1137" s="34" t="s">
        <v>230</v>
      </c>
      <c r="M1137" s="34" t="s">
        <v>344</v>
      </c>
      <c r="N1137" s="34" t="str">
        <f aca="false">"Sector "&amp;VALUE(MID(D1137,13,2))</f>
        <v>Sector 4</v>
      </c>
      <c r="O1137" s="34" t="str">
        <f aca="false">IF(Dashboard!$C$5="Ubicación técnica",N1137,"Sector "&amp;VALUE(RIGHT(G1137,2)))</f>
        <v>Sector 4</v>
      </c>
      <c r="P1137" s="34" t="str">
        <f aca="false">IF(MID(D1137,15,3)="SEL","Subestación eléctrica","Área de proceso")</f>
        <v>Subestación eléctrica</v>
      </c>
      <c r="Q1137" s="34" t="str">
        <f aca="false">MID(D1137,13,5)&amp;"|"&amp;MID(D1137,19,5)</f>
        <v>04SEL|S_026</v>
      </c>
      <c r="R1137" s="34" t="str">
        <f aca="false">IF(P1137="Subestación eléctrica",IFERROR(INDEX(cat_SubN,MATCH(Q1137,cat_SubK,0)),"SIN CATALOGAR"),"ÁREA DE PROCESO")</f>
        <v>SE-26</v>
      </c>
      <c r="S1137" s="34" t="str">
        <f aca="false">IF(H1137="","SIN DATO",IFERROR(INDEX(cat_MarcaN,MATCH(H1137,cat_MarcaO,0)),H1137))</f>
        <v>GENERAL ELECTRIC</v>
      </c>
      <c r="T1137" s="34" t="str">
        <f aca="false">IF(I1137="","SIN DATO",IFERROR(INDEX(cat_ModN,MATCH(I1137,cat_ModO,0)),I1137))</f>
        <v>MULTILIN</v>
      </c>
      <c r="U1137" s="34" t="str">
        <f aca="false">IF(I1137="","",IFERROR(INDEX(cat_ModG,MATCH(I1137,cat_ModO,0)),"No"))</f>
        <v>Sí</v>
      </c>
      <c r="V1137" s="34" t="str">
        <f aca="false">IF(J1137="","SIN DATO",IFERROR(INDEX(cat_FunN,MATCH(J1137,cat_FunO,0)),J1137))</f>
        <v>Protección y medición</v>
      </c>
      <c r="W1137" s="34" t="str">
        <f aca="false">IF(OR(S1137="SIN DATO",T1137="SIN DATO"),"No","Sí")</f>
        <v>Sí</v>
      </c>
    </row>
    <row r="1138" customFormat="false" ht="15" hidden="false" customHeight="false" outlineLevel="0" collapsed="false">
      <c r="A1138" s="34" t="s">
        <v>4211</v>
      </c>
      <c r="B1138" s="34" t="s">
        <v>4212</v>
      </c>
      <c r="C1138" s="34" t="s">
        <v>4213</v>
      </c>
      <c r="D1138" s="34" t="s">
        <v>4210</v>
      </c>
      <c r="E1138" s="34" t="s">
        <v>124</v>
      </c>
      <c r="F1138" s="34" t="s">
        <v>1602</v>
      </c>
      <c r="G1138" s="34" t="s">
        <v>1184</v>
      </c>
      <c r="H1138" s="34" t="s">
        <v>61</v>
      </c>
      <c r="I1138" s="34" t="s">
        <v>63</v>
      </c>
      <c r="J1138" s="34" t="s">
        <v>228</v>
      </c>
      <c r="K1138" s="34" t="s">
        <v>229</v>
      </c>
      <c r="L1138" s="34" t="s">
        <v>230</v>
      </c>
      <c r="M1138" s="34" t="s">
        <v>344</v>
      </c>
      <c r="N1138" s="34" t="str">
        <f aca="false">"Sector "&amp;VALUE(MID(D1138,13,2))</f>
        <v>Sector 4</v>
      </c>
      <c r="O1138" s="34" t="str">
        <f aca="false">IF(Dashboard!$C$5="Ubicación técnica",N1138,"Sector "&amp;VALUE(RIGHT(G1138,2)))</f>
        <v>Sector 4</v>
      </c>
      <c r="P1138" s="34" t="str">
        <f aca="false">IF(MID(D1138,15,3)="SEL","Subestación eléctrica","Área de proceso")</f>
        <v>Subestación eléctrica</v>
      </c>
      <c r="Q1138" s="34" t="str">
        <f aca="false">MID(D1138,13,5)&amp;"|"&amp;MID(D1138,19,5)</f>
        <v>04SEL|S_026</v>
      </c>
      <c r="R1138" s="34" t="str">
        <f aca="false">IF(P1138="Subestación eléctrica",IFERROR(INDEX(cat_SubN,MATCH(Q1138,cat_SubK,0)),"SIN CATALOGAR"),"ÁREA DE PROCESO")</f>
        <v>SE-26</v>
      </c>
      <c r="S1138" s="34" t="str">
        <f aca="false">IF(H1138="","SIN DATO",IFERROR(INDEX(cat_MarcaN,MATCH(H1138,cat_MarcaO,0)),H1138))</f>
        <v>GENERAL ELECTRIC</v>
      </c>
      <c r="T1138" s="34" t="str">
        <f aca="false">IF(I1138="","SIN DATO",IFERROR(INDEX(cat_ModN,MATCH(I1138,cat_ModO,0)),I1138))</f>
        <v>MULTILIN</v>
      </c>
      <c r="U1138" s="34" t="str">
        <f aca="false">IF(I1138="","",IFERROR(INDEX(cat_ModG,MATCH(I1138,cat_ModO,0)),"No"))</f>
        <v>Sí</v>
      </c>
      <c r="V1138" s="34" t="str">
        <f aca="false">IF(J1138="","SIN DATO",IFERROR(INDEX(cat_FunN,MATCH(J1138,cat_FunO,0)),J1138))</f>
        <v>Protección y medición</v>
      </c>
      <c r="W1138" s="34" t="str">
        <f aca="false">IF(OR(S1138="SIN DATO",T1138="SIN DATO"),"No","Sí")</f>
        <v>Sí</v>
      </c>
    </row>
    <row r="1139" customFormat="false" ht="15" hidden="false" customHeight="false" outlineLevel="0" collapsed="false">
      <c r="A1139" s="34" t="s">
        <v>4214</v>
      </c>
      <c r="B1139" s="34" t="s">
        <v>4215</v>
      </c>
      <c r="C1139" s="34" t="s">
        <v>4216</v>
      </c>
      <c r="D1139" s="34" t="s">
        <v>4217</v>
      </c>
      <c r="E1139" s="34" t="s">
        <v>124</v>
      </c>
      <c r="F1139" s="34" t="s">
        <v>1602</v>
      </c>
      <c r="G1139" s="34" t="s">
        <v>1184</v>
      </c>
      <c r="H1139" s="34" t="s">
        <v>61</v>
      </c>
      <c r="I1139" s="34" t="s">
        <v>63</v>
      </c>
      <c r="J1139" s="34" t="s">
        <v>228</v>
      </c>
      <c r="K1139" s="34" t="s">
        <v>229</v>
      </c>
      <c r="L1139" s="34" t="s">
        <v>230</v>
      </c>
      <c r="M1139" s="34" t="s">
        <v>344</v>
      </c>
      <c r="N1139" s="34" t="str">
        <f aca="false">"Sector "&amp;VALUE(MID(D1139,13,2))</f>
        <v>Sector 4</v>
      </c>
      <c r="O1139" s="34" t="str">
        <f aca="false">IF(Dashboard!$C$5="Ubicación técnica",N1139,"Sector "&amp;VALUE(RIGHT(G1139,2)))</f>
        <v>Sector 4</v>
      </c>
      <c r="P1139" s="34" t="str">
        <f aca="false">IF(MID(D1139,15,3)="SEL","Subestación eléctrica","Área de proceso")</f>
        <v>Subestación eléctrica</v>
      </c>
      <c r="Q1139" s="34" t="str">
        <f aca="false">MID(D1139,13,5)&amp;"|"&amp;MID(D1139,19,5)</f>
        <v>04SEL|S_026</v>
      </c>
      <c r="R1139" s="34" t="str">
        <f aca="false">IF(P1139="Subestación eléctrica",IFERROR(INDEX(cat_SubN,MATCH(Q1139,cat_SubK,0)),"SIN CATALOGAR"),"ÁREA DE PROCESO")</f>
        <v>SE-26</v>
      </c>
      <c r="S1139" s="34" t="str">
        <f aca="false">IF(H1139="","SIN DATO",IFERROR(INDEX(cat_MarcaN,MATCH(H1139,cat_MarcaO,0)),H1139))</f>
        <v>GENERAL ELECTRIC</v>
      </c>
      <c r="T1139" s="34" t="str">
        <f aca="false">IF(I1139="","SIN DATO",IFERROR(INDEX(cat_ModN,MATCH(I1139,cat_ModO,0)),I1139))</f>
        <v>MULTILIN</v>
      </c>
      <c r="U1139" s="34" t="str">
        <f aca="false">IF(I1139="","",IFERROR(INDEX(cat_ModG,MATCH(I1139,cat_ModO,0)),"No"))</f>
        <v>Sí</v>
      </c>
      <c r="V1139" s="34" t="str">
        <f aca="false">IF(J1139="","SIN DATO",IFERROR(INDEX(cat_FunN,MATCH(J1139,cat_FunO,0)),J1139))</f>
        <v>Protección y medición</v>
      </c>
      <c r="W1139" s="34" t="str">
        <f aca="false">IF(OR(S1139="SIN DATO",T1139="SIN DATO"),"No","Sí")</f>
        <v>Sí</v>
      </c>
    </row>
    <row r="1140" customFormat="false" ht="15" hidden="false" customHeight="false" outlineLevel="0" collapsed="false">
      <c r="A1140" s="34" t="s">
        <v>4218</v>
      </c>
      <c r="B1140" s="34" t="s">
        <v>4219</v>
      </c>
      <c r="C1140" s="34" t="s">
        <v>4220</v>
      </c>
      <c r="D1140" s="34" t="s">
        <v>4217</v>
      </c>
      <c r="E1140" s="34" t="s">
        <v>124</v>
      </c>
      <c r="F1140" s="34" t="s">
        <v>1602</v>
      </c>
      <c r="G1140" s="34" t="s">
        <v>1184</v>
      </c>
      <c r="H1140" s="34" t="s">
        <v>61</v>
      </c>
      <c r="I1140" s="34" t="s">
        <v>63</v>
      </c>
      <c r="J1140" s="34" t="s">
        <v>228</v>
      </c>
      <c r="K1140" s="34" t="s">
        <v>229</v>
      </c>
      <c r="L1140" s="34" t="s">
        <v>230</v>
      </c>
      <c r="M1140" s="34" t="s">
        <v>4221</v>
      </c>
      <c r="N1140" s="34" t="str">
        <f aca="false">"Sector "&amp;VALUE(MID(D1140,13,2))</f>
        <v>Sector 4</v>
      </c>
      <c r="O1140" s="34" t="str">
        <f aca="false">IF(Dashboard!$C$5="Ubicación técnica",N1140,"Sector "&amp;VALUE(RIGHT(G1140,2)))</f>
        <v>Sector 4</v>
      </c>
      <c r="P1140" s="34" t="str">
        <f aca="false">IF(MID(D1140,15,3)="SEL","Subestación eléctrica","Área de proceso")</f>
        <v>Subestación eléctrica</v>
      </c>
      <c r="Q1140" s="34" t="str">
        <f aca="false">MID(D1140,13,5)&amp;"|"&amp;MID(D1140,19,5)</f>
        <v>04SEL|S_026</v>
      </c>
      <c r="R1140" s="34" t="str">
        <f aca="false">IF(P1140="Subestación eléctrica",IFERROR(INDEX(cat_SubN,MATCH(Q1140,cat_SubK,0)),"SIN CATALOGAR"),"ÁREA DE PROCESO")</f>
        <v>SE-26</v>
      </c>
      <c r="S1140" s="34" t="str">
        <f aca="false">IF(H1140="","SIN DATO",IFERROR(INDEX(cat_MarcaN,MATCH(H1140,cat_MarcaO,0)),H1140))</f>
        <v>GENERAL ELECTRIC</v>
      </c>
      <c r="T1140" s="34" t="str">
        <f aca="false">IF(I1140="","SIN DATO",IFERROR(INDEX(cat_ModN,MATCH(I1140,cat_ModO,0)),I1140))</f>
        <v>MULTILIN</v>
      </c>
      <c r="U1140" s="34" t="str">
        <f aca="false">IF(I1140="","",IFERROR(INDEX(cat_ModG,MATCH(I1140,cat_ModO,0)),"No"))</f>
        <v>Sí</v>
      </c>
      <c r="V1140" s="34" t="str">
        <f aca="false">IF(J1140="","SIN DATO",IFERROR(INDEX(cat_FunN,MATCH(J1140,cat_FunO,0)),J1140))</f>
        <v>Protección y medición</v>
      </c>
      <c r="W1140" s="34" t="str">
        <f aca="false">IF(OR(S1140="SIN DATO",T1140="SIN DATO"),"No","Sí")</f>
        <v>Sí</v>
      </c>
    </row>
    <row r="1141" customFormat="false" ht="15" hidden="false" customHeight="false" outlineLevel="0" collapsed="false">
      <c r="A1141" s="34" t="s">
        <v>4222</v>
      </c>
      <c r="B1141" s="34" t="s">
        <v>4223</v>
      </c>
      <c r="C1141" s="34" t="s">
        <v>4224</v>
      </c>
      <c r="D1141" s="34" t="s">
        <v>4217</v>
      </c>
      <c r="E1141" s="34" t="s">
        <v>124</v>
      </c>
      <c r="F1141" s="34" t="s">
        <v>1602</v>
      </c>
      <c r="G1141" s="34" t="s">
        <v>1184</v>
      </c>
      <c r="H1141" s="34" t="s">
        <v>61</v>
      </c>
      <c r="I1141" s="34" t="s">
        <v>63</v>
      </c>
      <c r="J1141" s="34" t="s">
        <v>228</v>
      </c>
      <c r="K1141" s="34" t="s">
        <v>229</v>
      </c>
      <c r="L1141" s="34" t="s">
        <v>230</v>
      </c>
      <c r="M1141" s="34" t="s">
        <v>344</v>
      </c>
      <c r="N1141" s="34" t="str">
        <f aca="false">"Sector "&amp;VALUE(MID(D1141,13,2))</f>
        <v>Sector 4</v>
      </c>
      <c r="O1141" s="34" t="str">
        <f aca="false">IF(Dashboard!$C$5="Ubicación técnica",N1141,"Sector "&amp;VALUE(RIGHT(G1141,2)))</f>
        <v>Sector 4</v>
      </c>
      <c r="P1141" s="34" t="str">
        <f aca="false">IF(MID(D1141,15,3)="SEL","Subestación eléctrica","Área de proceso")</f>
        <v>Subestación eléctrica</v>
      </c>
      <c r="Q1141" s="34" t="str">
        <f aca="false">MID(D1141,13,5)&amp;"|"&amp;MID(D1141,19,5)</f>
        <v>04SEL|S_026</v>
      </c>
      <c r="R1141" s="34" t="str">
        <f aca="false">IF(P1141="Subestación eléctrica",IFERROR(INDEX(cat_SubN,MATCH(Q1141,cat_SubK,0)),"SIN CATALOGAR"),"ÁREA DE PROCESO")</f>
        <v>SE-26</v>
      </c>
      <c r="S1141" s="34" t="str">
        <f aca="false">IF(H1141="","SIN DATO",IFERROR(INDEX(cat_MarcaN,MATCH(H1141,cat_MarcaO,0)),H1141))</f>
        <v>GENERAL ELECTRIC</v>
      </c>
      <c r="T1141" s="34" t="str">
        <f aca="false">IF(I1141="","SIN DATO",IFERROR(INDEX(cat_ModN,MATCH(I1141,cat_ModO,0)),I1141))</f>
        <v>MULTILIN</v>
      </c>
      <c r="U1141" s="34" t="str">
        <f aca="false">IF(I1141="","",IFERROR(INDEX(cat_ModG,MATCH(I1141,cat_ModO,0)),"No"))</f>
        <v>Sí</v>
      </c>
      <c r="V1141" s="34" t="str">
        <f aca="false">IF(J1141="","SIN DATO",IFERROR(INDEX(cat_FunN,MATCH(J1141,cat_FunO,0)),J1141))</f>
        <v>Protección y medición</v>
      </c>
      <c r="W1141" s="34" t="str">
        <f aca="false">IF(OR(S1141="SIN DATO",T1141="SIN DATO"),"No","Sí")</f>
        <v>Sí</v>
      </c>
    </row>
    <row r="1142" customFormat="false" ht="15" hidden="false" customHeight="false" outlineLevel="0" collapsed="false">
      <c r="A1142" s="34" t="s">
        <v>4225</v>
      </c>
      <c r="B1142" s="34" t="s">
        <v>4226</v>
      </c>
      <c r="C1142" s="34" t="s">
        <v>4227</v>
      </c>
      <c r="D1142" s="34" t="s">
        <v>4228</v>
      </c>
      <c r="E1142" s="34" t="s">
        <v>124</v>
      </c>
      <c r="F1142" s="34" t="s">
        <v>1602</v>
      </c>
      <c r="G1142" s="34" t="s">
        <v>1184</v>
      </c>
      <c r="H1142" s="34" t="s">
        <v>61</v>
      </c>
      <c r="I1142" s="34" t="s">
        <v>63</v>
      </c>
      <c r="J1142" s="34" t="s">
        <v>228</v>
      </c>
      <c r="K1142" s="34" t="s">
        <v>229</v>
      </c>
      <c r="L1142" s="34" t="s">
        <v>230</v>
      </c>
      <c r="M1142" s="34" t="s">
        <v>344</v>
      </c>
      <c r="N1142" s="34" t="str">
        <f aca="false">"Sector "&amp;VALUE(MID(D1142,13,2))</f>
        <v>Sector 4</v>
      </c>
      <c r="O1142" s="34" t="str">
        <f aca="false">IF(Dashboard!$C$5="Ubicación técnica",N1142,"Sector "&amp;VALUE(RIGHT(G1142,2)))</f>
        <v>Sector 4</v>
      </c>
      <c r="P1142" s="34" t="str">
        <f aca="false">IF(MID(D1142,15,3)="SEL","Subestación eléctrica","Área de proceso")</f>
        <v>Subestación eléctrica</v>
      </c>
      <c r="Q1142" s="34" t="str">
        <f aca="false">MID(D1142,13,5)&amp;"|"&amp;MID(D1142,19,5)</f>
        <v>04SEL|S_026</v>
      </c>
      <c r="R1142" s="34" t="str">
        <f aca="false">IF(P1142="Subestación eléctrica",IFERROR(INDEX(cat_SubN,MATCH(Q1142,cat_SubK,0)),"SIN CATALOGAR"),"ÁREA DE PROCESO")</f>
        <v>SE-26</v>
      </c>
      <c r="S1142" s="34" t="str">
        <f aca="false">IF(H1142="","SIN DATO",IFERROR(INDEX(cat_MarcaN,MATCH(H1142,cat_MarcaO,0)),H1142))</f>
        <v>GENERAL ELECTRIC</v>
      </c>
      <c r="T1142" s="34" t="str">
        <f aca="false">IF(I1142="","SIN DATO",IFERROR(INDEX(cat_ModN,MATCH(I1142,cat_ModO,0)),I1142))</f>
        <v>MULTILIN</v>
      </c>
      <c r="U1142" s="34" t="str">
        <f aca="false">IF(I1142="","",IFERROR(INDEX(cat_ModG,MATCH(I1142,cat_ModO,0)),"No"))</f>
        <v>Sí</v>
      </c>
      <c r="V1142" s="34" t="str">
        <f aca="false">IF(J1142="","SIN DATO",IFERROR(INDEX(cat_FunN,MATCH(J1142,cat_FunO,0)),J1142))</f>
        <v>Protección y medición</v>
      </c>
      <c r="W1142" s="34" t="str">
        <f aca="false">IF(OR(S1142="SIN DATO",T1142="SIN DATO"),"No","Sí")</f>
        <v>Sí</v>
      </c>
    </row>
    <row r="1143" customFormat="false" ht="15" hidden="false" customHeight="false" outlineLevel="0" collapsed="false">
      <c r="A1143" s="34" t="s">
        <v>4229</v>
      </c>
      <c r="B1143" s="34" t="s">
        <v>4230</v>
      </c>
      <c r="C1143" s="34" t="s">
        <v>4231</v>
      </c>
      <c r="D1143" s="34" t="s">
        <v>4228</v>
      </c>
      <c r="E1143" s="34" t="s">
        <v>124</v>
      </c>
      <c r="F1143" s="34" t="s">
        <v>1602</v>
      </c>
      <c r="G1143" s="34" t="s">
        <v>1184</v>
      </c>
      <c r="H1143" s="34" t="s">
        <v>61</v>
      </c>
      <c r="I1143" s="34" t="s">
        <v>63</v>
      </c>
      <c r="J1143" s="34" t="s">
        <v>228</v>
      </c>
      <c r="K1143" s="34" t="s">
        <v>229</v>
      </c>
      <c r="L1143" s="34" t="s">
        <v>230</v>
      </c>
      <c r="M1143" s="34" t="s">
        <v>4221</v>
      </c>
      <c r="N1143" s="34" t="str">
        <f aca="false">"Sector "&amp;VALUE(MID(D1143,13,2))</f>
        <v>Sector 4</v>
      </c>
      <c r="O1143" s="34" t="str">
        <f aca="false">IF(Dashboard!$C$5="Ubicación técnica",N1143,"Sector "&amp;VALUE(RIGHT(G1143,2)))</f>
        <v>Sector 4</v>
      </c>
      <c r="P1143" s="34" t="str">
        <f aca="false">IF(MID(D1143,15,3)="SEL","Subestación eléctrica","Área de proceso")</f>
        <v>Subestación eléctrica</v>
      </c>
      <c r="Q1143" s="34" t="str">
        <f aca="false">MID(D1143,13,5)&amp;"|"&amp;MID(D1143,19,5)</f>
        <v>04SEL|S_026</v>
      </c>
      <c r="R1143" s="34" t="str">
        <f aca="false">IF(P1143="Subestación eléctrica",IFERROR(INDEX(cat_SubN,MATCH(Q1143,cat_SubK,0)),"SIN CATALOGAR"),"ÁREA DE PROCESO")</f>
        <v>SE-26</v>
      </c>
      <c r="S1143" s="34" t="str">
        <f aca="false">IF(H1143="","SIN DATO",IFERROR(INDEX(cat_MarcaN,MATCH(H1143,cat_MarcaO,0)),H1143))</f>
        <v>GENERAL ELECTRIC</v>
      </c>
      <c r="T1143" s="34" t="str">
        <f aca="false">IF(I1143="","SIN DATO",IFERROR(INDEX(cat_ModN,MATCH(I1143,cat_ModO,0)),I1143))</f>
        <v>MULTILIN</v>
      </c>
      <c r="U1143" s="34" t="str">
        <f aca="false">IF(I1143="","",IFERROR(INDEX(cat_ModG,MATCH(I1143,cat_ModO,0)),"No"))</f>
        <v>Sí</v>
      </c>
      <c r="V1143" s="34" t="str">
        <f aca="false">IF(J1143="","SIN DATO",IFERROR(INDEX(cat_FunN,MATCH(J1143,cat_FunO,0)),J1143))</f>
        <v>Protección y medición</v>
      </c>
      <c r="W1143" s="34" t="str">
        <f aca="false">IF(OR(S1143="SIN DATO",T1143="SIN DATO"),"No","Sí")</f>
        <v>Sí</v>
      </c>
    </row>
    <row r="1144" customFormat="false" ht="15" hidden="false" customHeight="false" outlineLevel="0" collapsed="false">
      <c r="A1144" s="34" t="s">
        <v>4232</v>
      </c>
      <c r="B1144" s="34" t="s">
        <v>4233</v>
      </c>
      <c r="C1144" s="34" t="s">
        <v>4234</v>
      </c>
      <c r="D1144" s="34" t="s">
        <v>4235</v>
      </c>
      <c r="E1144" s="34" t="s">
        <v>124</v>
      </c>
      <c r="F1144" s="34" t="s">
        <v>1602</v>
      </c>
      <c r="G1144" s="34" t="s">
        <v>1184</v>
      </c>
      <c r="H1144" s="34" t="s">
        <v>61</v>
      </c>
      <c r="I1144" s="34" t="s">
        <v>63</v>
      </c>
      <c r="J1144" s="34" t="s">
        <v>228</v>
      </c>
      <c r="K1144" s="34" t="s">
        <v>229</v>
      </c>
      <c r="L1144" s="34" t="s">
        <v>230</v>
      </c>
      <c r="M1144" s="34" t="s">
        <v>344</v>
      </c>
      <c r="N1144" s="34" t="str">
        <f aca="false">"Sector "&amp;VALUE(MID(D1144,13,2))</f>
        <v>Sector 4</v>
      </c>
      <c r="O1144" s="34" t="str">
        <f aca="false">IF(Dashboard!$C$5="Ubicación técnica",N1144,"Sector "&amp;VALUE(RIGHT(G1144,2)))</f>
        <v>Sector 4</v>
      </c>
      <c r="P1144" s="34" t="str">
        <f aca="false">IF(MID(D1144,15,3)="SEL","Subestación eléctrica","Área de proceso")</f>
        <v>Subestación eléctrica</v>
      </c>
      <c r="Q1144" s="34" t="str">
        <f aca="false">MID(D1144,13,5)&amp;"|"&amp;MID(D1144,19,5)</f>
        <v>04SEL|S_026</v>
      </c>
      <c r="R1144" s="34" t="str">
        <f aca="false">IF(P1144="Subestación eléctrica",IFERROR(INDEX(cat_SubN,MATCH(Q1144,cat_SubK,0)),"SIN CATALOGAR"),"ÁREA DE PROCESO")</f>
        <v>SE-26</v>
      </c>
      <c r="S1144" s="34" t="str">
        <f aca="false">IF(H1144="","SIN DATO",IFERROR(INDEX(cat_MarcaN,MATCH(H1144,cat_MarcaO,0)),H1144))</f>
        <v>GENERAL ELECTRIC</v>
      </c>
      <c r="T1144" s="34" t="str">
        <f aca="false">IF(I1144="","SIN DATO",IFERROR(INDEX(cat_ModN,MATCH(I1144,cat_ModO,0)),I1144))</f>
        <v>MULTILIN</v>
      </c>
      <c r="U1144" s="34" t="str">
        <f aca="false">IF(I1144="","",IFERROR(INDEX(cat_ModG,MATCH(I1144,cat_ModO,0)),"No"))</f>
        <v>Sí</v>
      </c>
      <c r="V1144" s="34" t="str">
        <f aca="false">IF(J1144="","SIN DATO",IFERROR(INDEX(cat_FunN,MATCH(J1144,cat_FunO,0)),J1144))</f>
        <v>Protección y medición</v>
      </c>
      <c r="W1144" s="34" t="str">
        <f aca="false">IF(OR(S1144="SIN DATO",T1144="SIN DATO"),"No","Sí")</f>
        <v>Sí</v>
      </c>
    </row>
    <row r="1145" customFormat="false" ht="15" hidden="false" customHeight="false" outlineLevel="0" collapsed="false">
      <c r="A1145" s="34" t="s">
        <v>4236</v>
      </c>
      <c r="B1145" s="34" t="s">
        <v>4237</v>
      </c>
      <c r="C1145" s="34" t="s">
        <v>4238</v>
      </c>
      <c r="D1145" s="34" t="s">
        <v>4235</v>
      </c>
      <c r="E1145" s="34" t="s">
        <v>124</v>
      </c>
      <c r="F1145" s="34" t="s">
        <v>1602</v>
      </c>
      <c r="G1145" s="34" t="s">
        <v>1184</v>
      </c>
      <c r="H1145" s="34" t="s">
        <v>61</v>
      </c>
      <c r="I1145" s="34" t="s">
        <v>63</v>
      </c>
      <c r="J1145" s="34" t="s">
        <v>228</v>
      </c>
      <c r="K1145" s="34" t="s">
        <v>229</v>
      </c>
      <c r="L1145" s="34" t="s">
        <v>230</v>
      </c>
      <c r="M1145" s="34" t="s">
        <v>344</v>
      </c>
      <c r="N1145" s="34" t="str">
        <f aca="false">"Sector "&amp;VALUE(MID(D1145,13,2))</f>
        <v>Sector 4</v>
      </c>
      <c r="O1145" s="34" t="str">
        <f aca="false">IF(Dashboard!$C$5="Ubicación técnica",N1145,"Sector "&amp;VALUE(RIGHT(G1145,2)))</f>
        <v>Sector 4</v>
      </c>
      <c r="P1145" s="34" t="str">
        <f aca="false">IF(MID(D1145,15,3)="SEL","Subestación eléctrica","Área de proceso")</f>
        <v>Subestación eléctrica</v>
      </c>
      <c r="Q1145" s="34" t="str">
        <f aca="false">MID(D1145,13,5)&amp;"|"&amp;MID(D1145,19,5)</f>
        <v>04SEL|S_026</v>
      </c>
      <c r="R1145" s="34" t="str">
        <f aca="false">IF(P1145="Subestación eléctrica",IFERROR(INDEX(cat_SubN,MATCH(Q1145,cat_SubK,0)),"SIN CATALOGAR"),"ÁREA DE PROCESO")</f>
        <v>SE-26</v>
      </c>
      <c r="S1145" s="34" t="str">
        <f aca="false">IF(H1145="","SIN DATO",IFERROR(INDEX(cat_MarcaN,MATCH(H1145,cat_MarcaO,0)),H1145))</f>
        <v>GENERAL ELECTRIC</v>
      </c>
      <c r="T1145" s="34" t="str">
        <f aca="false">IF(I1145="","SIN DATO",IFERROR(INDEX(cat_ModN,MATCH(I1145,cat_ModO,0)),I1145))</f>
        <v>MULTILIN</v>
      </c>
      <c r="U1145" s="34" t="str">
        <f aca="false">IF(I1145="","",IFERROR(INDEX(cat_ModG,MATCH(I1145,cat_ModO,0)),"No"))</f>
        <v>Sí</v>
      </c>
      <c r="V1145" s="34" t="str">
        <f aca="false">IF(J1145="","SIN DATO",IFERROR(INDEX(cat_FunN,MATCH(J1145,cat_FunO,0)),J1145))</f>
        <v>Protección y medición</v>
      </c>
      <c r="W1145" s="34" t="str">
        <f aca="false">IF(OR(S1145="SIN DATO",T1145="SIN DATO"),"No","Sí")</f>
        <v>Sí</v>
      </c>
    </row>
    <row r="1146" customFormat="false" ht="15" hidden="false" customHeight="false" outlineLevel="0" collapsed="false">
      <c r="A1146" s="34" t="s">
        <v>4239</v>
      </c>
      <c r="B1146" s="34" t="s">
        <v>4240</v>
      </c>
      <c r="C1146" s="34" t="s">
        <v>4241</v>
      </c>
      <c r="D1146" s="34" t="s">
        <v>3249</v>
      </c>
      <c r="E1146" s="34" t="s">
        <v>124</v>
      </c>
      <c r="F1146" s="34" t="s">
        <v>1602</v>
      </c>
      <c r="G1146" s="34" t="s">
        <v>1184</v>
      </c>
      <c r="H1146" s="34" t="s">
        <v>61</v>
      </c>
      <c r="I1146" s="34" t="s">
        <v>63</v>
      </c>
      <c r="J1146" s="34" t="s">
        <v>228</v>
      </c>
      <c r="K1146" s="34" t="s">
        <v>229</v>
      </c>
      <c r="L1146" s="34" t="s">
        <v>230</v>
      </c>
      <c r="M1146" s="34" t="s">
        <v>344</v>
      </c>
      <c r="N1146" s="34" t="str">
        <f aca="false">"Sector "&amp;VALUE(MID(D1146,13,2))</f>
        <v>Sector 4</v>
      </c>
      <c r="O1146" s="34" t="str">
        <f aca="false">IF(Dashboard!$C$5="Ubicación técnica",N1146,"Sector "&amp;VALUE(RIGHT(G1146,2)))</f>
        <v>Sector 4</v>
      </c>
      <c r="P1146" s="34" t="str">
        <f aca="false">IF(MID(D1146,15,3)="SEL","Subestación eléctrica","Área de proceso")</f>
        <v>Subestación eléctrica</v>
      </c>
      <c r="Q1146" s="34" t="str">
        <f aca="false">MID(D1146,13,5)&amp;"|"&amp;MID(D1146,19,5)</f>
        <v>04SEL|S_026</v>
      </c>
      <c r="R1146" s="34" t="str">
        <f aca="false">IF(P1146="Subestación eléctrica",IFERROR(INDEX(cat_SubN,MATCH(Q1146,cat_SubK,0)),"SIN CATALOGAR"),"ÁREA DE PROCESO")</f>
        <v>SE-26</v>
      </c>
      <c r="S1146" s="34" t="str">
        <f aca="false">IF(H1146="","SIN DATO",IFERROR(INDEX(cat_MarcaN,MATCH(H1146,cat_MarcaO,0)),H1146))</f>
        <v>GENERAL ELECTRIC</v>
      </c>
      <c r="T1146" s="34" t="str">
        <f aca="false">IF(I1146="","SIN DATO",IFERROR(INDEX(cat_ModN,MATCH(I1146,cat_ModO,0)),I1146))</f>
        <v>MULTILIN</v>
      </c>
      <c r="U1146" s="34" t="str">
        <f aca="false">IF(I1146="","",IFERROR(INDEX(cat_ModG,MATCH(I1146,cat_ModO,0)),"No"))</f>
        <v>Sí</v>
      </c>
      <c r="V1146" s="34" t="str">
        <f aca="false">IF(J1146="","SIN DATO",IFERROR(INDEX(cat_FunN,MATCH(J1146,cat_FunO,0)),J1146))</f>
        <v>Protección y medición</v>
      </c>
      <c r="W1146" s="34" t="str">
        <f aca="false">IF(OR(S1146="SIN DATO",T1146="SIN DATO"),"No","Sí")</f>
        <v>Sí</v>
      </c>
    </row>
    <row r="1147" customFormat="false" ht="15" hidden="false" customHeight="false" outlineLevel="0" collapsed="false">
      <c r="A1147" s="34" t="s">
        <v>4242</v>
      </c>
      <c r="B1147" s="34" t="s">
        <v>4243</v>
      </c>
      <c r="C1147" s="34" t="s">
        <v>4244</v>
      </c>
      <c r="D1147" s="34" t="s">
        <v>4245</v>
      </c>
      <c r="E1147" s="34" t="s">
        <v>124</v>
      </c>
      <c r="F1147" s="34" t="s">
        <v>1602</v>
      </c>
      <c r="G1147" s="34" t="s">
        <v>1184</v>
      </c>
      <c r="H1147" s="34" t="s">
        <v>61</v>
      </c>
      <c r="I1147" s="34" t="s">
        <v>63</v>
      </c>
      <c r="J1147" s="34" t="s">
        <v>228</v>
      </c>
      <c r="K1147" s="34" t="s">
        <v>229</v>
      </c>
      <c r="L1147" s="34" t="s">
        <v>230</v>
      </c>
      <c r="M1147" s="34" t="s">
        <v>344</v>
      </c>
      <c r="N1147" s="34" t="str">
        <f aca="false">"Sector "&amp;VALUE(MID(D1147,13,2))</f>
        <v>Sector 4</v>
      </c>
      <c r="O1147" s="34" t="str">
        <f aca="false">IF(Dashboard!$C$5="Ubicación técnica",N1147,"Sector "&amp;VALUE(RIGHT(G1147,2)))</f>
        <v>Sector 4</v>
      </c>
      <c r="P1147" s="34" t="str">
        <f aca="false">IF(MID(D1147,15,3)="SEL","Subestación eléctrica","Área de proceso")</f>
        <v>Subestación eléctrica</v>
      </c>
      <c r="Q1147" s="34" t="str">
        <f aca="false">MID(D1147,13,5)&amp;"|"&amp;MID(D1147,19,5)</f>
        <v>04SEL|S_026</v>
      </c>
      <c r="R1147" s="34" t="str">
        <f aca="false">IF(P1147="Subestación eléctrica",IFERROR(INDEX(cat_SubN,MATCH(Q1147,cat_SubK,0)),"SIN CATALOGAR"),"ÁREA DE PROCESO")</f>
        <v>SE-26</v>
      </c>
      <c r="S1147" s="34" t="str">
        <f aca="false">IF(H1147="","SIN DATO",IFERROR(INDEX(cat_MarcaN,MATCH(H1147,cat_MarcaO,0)),H1147))</f>
        <v>GENERAL ELECTRIC</v>
      </c>
      <c r="T1147" s="34" t="str">
        <f aca="false">IF(I1147="","SIN DATO",IFERROR(INDEX(cat_ModN,MATCH(I1147,cat_ModO,0)),I1147))</f>
        <v>MULTILIN</v>
      </c>
      <c r="U1147" s="34" t="str">
        <f aca="false">IF(I1147="","",IFERROR(INDEX(cat_ModG,MATCH(I1147,cat_ModO,0)),"No"))</f>
        <v>Sí</v>
      </c>
      <c r="V1147" s="34" t="str">
        <f aca="false">IF(J1147="","SIN DATO",IFERROR(INDEX(cat_FunN,MATCH(J1147,cat_FunO,0)),J1147))</f>
        <v>Protección y medición</v>
      </c>
      <c r="W1147" s="34" t="str">
        <f aca="false">IF(OR(S1147="SIN DATO",T1147="SIN DATO"),"No","Sí")</f>
        <v>Sí</v>
      </c>
    </row>
    <row r="1148" customFormat="false" ht="15" hidden="false" customHeight="false" outlineLevel="0" collapsed="false">
      <c r="A1148" s="34" t="s">
        <v>4246</v>
      </c>
      <c r="B1148" s="34" t="s">
        <v>4247</v>
      </c>
      <c r="C1148" s="34" t="s">
        <v>4248</v>
      </c>
      <c r="D1148" s="34" t="s">
        <v>4249</v>
      </c>
      <c r="E1148" s="34" t="s">
        <v>124</v>
      </c>
      <c r="F1148" s="34" t="s">
        <v>1602</v>
      </c>
      <c r="G1148" s="34" t="s">
        <v>1184</v>
      </c>
      <c r="H1148" s="34" t="s">
        <v>61</v>
      </c>
      <c r="I1148" s="34" t="s">
        <v>63</v>
      </c>
      <c r="J1148" s="34" t="s">
        <v>228</v>
      </c>
      <c r="K1148" s="34" t="s">
        <v>229</v>
      </c>
      <c r="L1148" s="34" t="s">
        <v>230</v>
      </c>
      <c r="M1148" s="34" t="s">
        <v>344</v>
      </c>
      <c r="N1148" s="34" t="str">
        <f aca="false">"Sector "&amp;VALUE(MID(D1148,13,2))</f>
        <v>Sector 4</v>
      </c>
      <c r="O1148" s="34" t="str">
        <f aca="false">IF(Dashboard!$C$5="Ubicación técnica",N1148,"Sector "&amp;VALUE(RIGHT(G1148,2)))</f>
        <v>Sector 4</v>
      </c>
      <c r="P1148" s="34" t="str">
        <f aca="false">IF(MID(D1148,15,3)="SEL","Subestación eléctrica","Área de proceso")</f>
        <v>Subestación eléctrica</v>
      </c>
      <c r="Q1148" s="34" t="str">
        <f aca="false">MID(D1148,13,5)&amp;"|"&amp;MID(D1148,19,5)</f>
        <v>04SEL|S_026</v>
      </c>
      <c r="R1148" s="34" t="str">
        <f aca="false">IF(P1148="Subestación eléctrica",IFERROR(INDEX(cat_SubN,MATCH(Q1148,cat_SubK,0)),"SIN CATALOGAR"),"ÁREA DE PROCESO")</f>
        <v>SE-26</v>
      </c>
      <c r="S1148" s="34" t="str">
        <f aca="false">IF(H1148="","SIN DATO",IFERROR(INDEX(cat_MarcaN,MATCH(H1148,cat_MarcaO,0)),H1148))</f>
        <v>GENERAL ELECTRIC</v>
      </c>
      <c r="T1148" s="34" t="str">
        <f aca="false">IF(I1148="","SIN DATO",IFERROR(INDEX(cat_ModN,MATCH(I1148,cat_ModO,0)),I1148))</f>
        <v>MULTILIN</v>
      </c>
      <c r="U1148" s="34" t="str">
        <f aca="false">IF(I1148="","",IFERROR(INDEX(cat_ModG,MATCH(I1148,cat_ModO,0)),"No"))</f>
        <v>Sí</v>
      </c>
      <c r="V1148" s="34" t="str">
        <f aca="false">IF(J1148="","SIN DATO",IFERROR(INDEX(cat_FunN,MATCH(J1148,cat_FunO,0)),J1148))</f>
        <v>Protección y medición</v>
      </c>
      <c r="W1148" s="34" t="str">
        <f aca="false">IF(OR(S1148="SIN DATO",T1148="SIN DATO"),"No","Sí")</f>
        <v>Sí</v>
      </c>
    </row>
    <row r="1149" customFormat="false" ht="15" hidden="false" customHeight="false" outlineLevel="0" collapsed="false">
      <c r="A1149" s="34" t="s">
        <v>4250</v>
      </c>
      <c r="B1149" s="34" t="s">
        <v>4251</v>
      </c>
      <c r="C1149" s="34" t="s">
        <v>4252</v>
      </c>
      <c r="D1149" s="34" t="s">
        <v>4253</v>
      </c>
      <c r="E1149" s="34" t="s">
        <v>150</v>
      </c>
      <c r="F1149" s="34" t="s">
        <v>1602</v>
      </c>
      <c r="G1149" s="34" t="s">
        <v>343</v>
      </c>
      <c r="H1149" s="34" t="s">
        <v>93</v>
      </c>
      <c r="I1149" s="34" t="s">
        <v>95</v>
      </c>
      <c r="J1149" s="34" t="s">
        <v>681</v>
      </c>
      <c r="K1149" s="34" t="s">
        <v>229</v>
      </c>
      <c r="L1149" s="34" t="s">
        <v>230</v>
      </c>
      <c r="M1149" s="34" t="s">
        <v>4254</v>
      </c>
      <c r="N1149" s="34" t="str">
        <f aca="false">"Sector "&amp;VALUE(MID(D1149,13,2))</f>
        <v>Sector 7</v>
      </c>
      <c r="O1149" s="34" t="str">
        <f aca="false">IF(Dashboard!$C$5="Ubicación técnica",N1149,"Sector "&amp;VALUE(RIGHT(G1149,2)))</f>
        <v>Sector 7</v>
      </c>
      <c r="P1149" s="34" t="str">
        <f aca="false">IF(MID(D1149,15,3)="SEL","Subestación eléctrica","Área de proceso")</f>
        <v>Subestación eléctrica</v>
      </c>
      <c r="Q1149" s="34" t="str">
        <f aca="false">MID(D1149,13,5)&amp;"|"&amp;MID(D1149,19,5)</f>
        <v>07SEL|S_010</v>
      </c>
      <c r="R1149" s="34" t="str">
        <f aca="false">IF(P1149="Subestación eléctrica",IFERROR(INDEX(cat_SubN,MATCH(Q1149,cat_SubK,0)),"SIN CATALOGAR"),"ÁREA DE PROCESO")</f>
        <v>SE-10</v>
      </c>
      <c r="S1149" s="34" t="str">
        <f aca="false">IF(H1149="","SIN DATO",IFERROR(INDEX(cat_MarcaN,MATCH(H1149,cat_MarcaO,0)),H1149))</f>
        <v>BASLER ELECTRIC</v>
      </c>
      <c r="T1149" s="34" t="str">
        <f aca="false">IF(I1149="","SIN DATO",IFERROR(INDEX(cat_ModN,MATCH(I1149,cat_ModO,0)),I1149))</f>
        <v>BE1</v>
      </c>
      <c r="U1149" s="34" t="str">
        <f aca="false">IF(I1149="","",IFERROR(INDEX(cat_ModG,MATCH(I1149,cat_ModO,0)),"No"))</f>
        <v>No</v>
      </c>
      <c r="V1149" s="34" t="str">
        <f aca="false">IF(J1149="","SIN DATO",IFERROR(INDEX(cat_FunN,MATCH(J1149,cat_FunO,0)),J1149))</f>
        <v>Protección</v>
      </c>
      <c r="W1149" s="34" t="str">
        <f aca="false">IF(OR(S1149="SIN DATO",T1149="SIN DATO"),"No","Sí")</f>
        <v>Sí</v>
      </c>
    </row>
    <row r="1150" customFormat="false" ht="15" hidden="false" customHeight="false" outlineLevel="0" collapsed="false">
      <c r="A1150" s="34" t="s">
        <v>4255</v>
      </c>
      <c r="B1150" s="34" t="s">
        <v>4256</v>
      </c>
      <c r="C1150" s="34" t="s">
        <v>4257</v>
      </c>
      <c r="D1150" s="34" t="s">
        <v>3947</v>
      </c>
      <c r="E1150" s="34" t="s">
        <v>160</v>
      </c>
      <c r="F1150" s="34" t="s">
        <v>1602</v>
      </c>
      <c r="G1150" s="34" t="s">
        <v>343</v>
      </c>
      <c r="H1150" s="34" t="s">
        <v>73</v>
      </c>
      <c r="I1150" s="34" t="s">
        <v>78</v>
      </c>
      <c r="J1150" s="34" t="s">
        <v>58</v>
      </c>
      <c r="K1150" s="34" t="s">
        <v>229</v>
      </c>
      <c r="L1150" s="34" t="s">
        <v>230</v>
      </c>
      <c r="M1150" s="34"/>
      <c r="N1150" s="34" t="str">
        <f aca="false">"Sector "&amp;VALUE(MID(D1150,13,2))</f>
        <v>Sector 7</v>
      </c>
      <c r="O1150" s="34" t="str">
        <f aca="false">IF(Dashboard!$C$5="Ubicación técnica",N1150,"Sector "&amp;VALUE(RIGHT(G1150,2)))</f>
        <v>Sector 7</v>
      </c>
      <c r="P1150" s="34" t="str">
        <f aca="false">IF(MID(D1150,15,3)="SEL","Subestación eléctrica","Área de proceso")</f>
        <v>Subestación eléctrica</v>
      </c>
      <c r="Q1150" s="34" t="str">
        <f aca="false">MID(D1150,13,5)&amp;"|"&amp;MID(D1150,19,5)</f>
        <v>07SEL|S_021</v>
      </c>
      <c r="R1150" s="34" t="str">
        <f aca="false">IF(P1150="Subestación eléctrica",IFERROR(INDEX(cat_SubN,MATCH(Q1150,cat_SubK,0)),"SIN CATALOGAR"),"ÁREA DE PROCESO")</f>
        <v>SE-21</v>
      </c>
      <c r="S1150" s="34" t="str">
        <f aca="false">IF(H1150="","SIN DATO",IFERROR(INDEX(cat_MarcaN,MATCH(H1150,cat_MarcaO,0)),H1150))</f>
        <v>SIEMENS</v>
      </c>
      <c r="T1150" s="34" t="str">
        <f aca="false">IF(I1150="","SIN DATO",IFERROR(INDEX(cat_ModN,MATCH(I1150,cat_ModO,0)),I1150))</f>
        <v>SENTRON</v>
      </c>
      <c r="U1150" s="34" t="str">
        <f aca="false">IF(I1150="","",IFERROR(INDEX(cat_ModG,MATCH(I1150,cat_ModO,0)),"No"))</f>
        <v>No</v>
      </c>
      <c r="V1150" s="34" t="str">
        <f aca="false">IF(J1150="","SIN DATO",IFERROR(INDEX(cat_FunN,MATCH(J1150,cat_FunO,0)),J1150))</f>
        <v>Medición</v>
      </c>
      <c r="W1150" s="34" t="str">
        <f aca="false">IF(OR(S1150="SIN DATO",T1150="SIN DATO"),"No","Sí")</f>
        <v>Sí</v>
      </c>
    </row>
    <row r="1151" customFormat="false" ht="15" hidden="false" customHeight="false" outlineLevel="0" collapsed="false">
      <c r="A1151" s="34" t="s">
        <v>4258</v>
      </c>
      <c r="B1151" s="34" t="s">
        <v>4259</v>
      </c>
      <c r="C1151" s="34" t="s">
        <v>4260</v>
      </c>
      <c r="D1151" s="34" t="s">
        <v>4261</v>
      </c>
      <c r="E1151" s="34" t="s">
        <v>160</v>
      </c>
      <c r="F1151" s="34" t="s">
        <v>1602</v>
      </c>
      <c r="G1151" s="34" t="s">
        <v>343</v>
      </c>
      <c r="H1151" s="34" t="s">
        <v>73</v>
      </c>
      <c r="I1151" s="34" t="s">
        <v>75</v>
      </c>
      <c r="J1151" s="34" t="s">
        <v>228</v>
      </c>
      <c r="K1151" s="34" t="s">
        <v>229</v>
      </c>
      <c r="L1151" s="34" t="s">
        <v>230</v>
      </c>
      <c r="M1151" s="34" t="s">
        <v>344</v>
      </c>
      <c r="N1151" s="34" t="str">
        <f aca="false">"Sector "&amp;VALUE(MID(D1151,13,2))</f>
        <v>Sector 7</v>
      </c>
      <c r="O1151" s="34" t="str">
        <f aca="false">IF(Dashboard!$C$5="Ubicación técnica",N1151,"Sector "&amp;VALUE(RIGHT(G1151,2)))</f>
        <v>Sector 7</v>
      </c>
      <c r="P1151" s="34" t="str">
        <f aca="false">IF(MID(D1151,15,3)="SEL","Subestación eléctrica","Área de proceso")</f>
        <v>Subestación eléctrica</v>
      </c>
      <c r="Q1151" s="34" t="str">
        <f aca="false">MID(D1151,13,5)&amp;"|"&amp;MID(D1151,19,5)</f>
        <v>07SEL|S_021</v>
      </c>
      <c r="R1151" s="34" t="str">
        <f aca="false">IF(P1151="Subestación eléctrica",IFERROR(INDEX(cat_SubN,MATCH(Q1151,cat_SubK,0)),"SIN CATALOGAR"),"ÁREA DE PROCESO")</f>
        <v>SE-21</v>
      </c>
      <c r="S1151" s="34" t="str">
        <f aca="false">IF(H1151="","SIN DATO",IFERROR(INDEX(cat_MarcaN,MATCH(H1151,cat_MarcaO,0)),H1151))</f>
        <v>SIEMENS</v>
      </c>
      <c r="T1151" s="34" t="str">
        <f aca="false">IF(I1151="","SIN DATO",IFERROR(INDEX(cat_ModN,MATCH(I1151,cat_ModO,0)),I1151))</f>
        <v>REYROLLE</v>
      </c>
      <c r="U1151" s="34" t="str">
        <f aca="false">IF(I1151="","",IFERROR(INDEX(cat_ModG,MATCH(I1151,cat_ModO,0)),"No"))</f>
        <v>Sí</v>
      </c>
      <c r="V1151" s="34" t="str">
        <f aca="false">IF(J1151="","SIN DATO",IFERROR(INDEX(cat_FunN,MATCH(J1151,cat_FunO,0)),J1151))</f>
        <v>Protección y medición</v>
      </c>
      <c r="W1151" s="34" t="str">
        <f aca="false">IF(OR(S1151="SIN DATO",T1151="SIN DATO"),"No","Sí")</f>
        <v>Sí</v>
      </c>
    </row>
    <row r="1152" customFormat="false" ht="15" hidden="false" customHeight="false" outlineLevel="0" collapsed="false">
      <c r="A1152" s="34" t="s">
        <v>4262</v>
      </c>
      <c r="B1152" s="34" t="s">
        <v>4263</v>
      </c>
      <c r="C1152" s="34" t="s">
        <v>4264</v>
      </c>
      <c r="D1152" s="34" t="s">
        <v>4261</v>
      </c>
      <c r="E1152" s="34" t="s">
        <v>160</v>
      </c>
      <c r="F1152" s="34" t="s">
        <v>1602</v>
      </c>
      <c r="G1152" s="34" t="s">
        <v>343</v>
      </c>
      <c r="H1152" s="34" t="s">
        <v>73</v>
      </c>
      <c r="I1152" s="34" t="s">
        <v>75</v>
      </c>
      <c r="J1152" s="34" t="s">
        <v>228</v>
      </c>
      <c r="K1152" s="34" t="s">
        <v>229</v>
      </c>
      <c r="L1152" s="34" t="s">
        <v>230</v>
      </c>
      <c r="M1152" s="34" t="s">
        <v>344</v>
      </c>
      <c r="N1152" s="34" t="str">
        <f aca="false">"Sector "&amp;VALUE(MID(D1152,13,2))</f>
        <v>Sector 7</v>
      </c>
      <c r="O1152" s="34" t="str">
        <f aca="false">IF(Dashboard!$C$5="Ubicación técnica",N1152,"Sector "&amp;VALUE(RIGHT(G1152,2)))</f>
        <v>Sector 7</v>
      </c>
      <c r="P1152" s="34" t="str">
        <f aca="false">IF(MID(D1152,15,3)="SEL","Subestación eléctrica","Área de proceso")</f>
        <v>Subestación eléctrica</v>
      </c>
      <c r="Q1152" s="34" t="str">
        <f aca="false">MID(D1152,13,5)&amp;"|"&amp;MID(D1152,19,5)</f>
        <v>07SEL|S_021</v>
      </c>
      <c r="R1152" s="34" t="str">
        <f aca="false">IF(P1152="Subestación eléctrica",IFERROR(INDEX(cat_SubN,MATCH(Q1152,cat_SubK,0)),"SIN CATALOGAR"),"ÁREA DE PROCESO")</f>
        <v>SE-21</v>
      </c>
      <c r="S1152" s="34" t="str">
        <f aca="false">IF(H1152="","SIN DATO",IFERROR(INDEX(cat_MarcaN,MATCH(H1152,cat_MarcaO,0)),H1152))</f>
        <v>SIEMENS</v>
      </c>
      <c r="T1152" s="34" t="str">
        <f aca="false">IF(I1152="","SIN DATO",IFERROR(INDEX(cat_ModN,MATCH(I1152,cat_ModO,0)),I1152))</f>
        <v>REYROLLE</v>
      </c>
      <c r="U1152" s="34" t="str">
        <f aca="false">IF(I1152="","",IFERROR(INDEX(cat_ModG,MATCH(I1152,cat_ModO,0)),"No"))</f>
        <v>Sí</v>
      </c>
      <c r="V1152" s="34" t="str">
        <f aca="false">IF(J1152="","SIN DATO",IFERROR(INDEX(cat_FunN,MATCH(J1152,cat_FunO,0)),J1152))</f>
        <v>Protección y medición</v>
      </c>
      <c r="W1152" s="34" t="str">
        <f aca="false">IF(OR(S1152="SIN DATO",T1152="SIN DATO"),"No","Sí")</f>
        <v>Sí</v>
      </c>
    </row>
    <row r="1153" customFormat="false" ht="15" hidden="false" customHeight="false" outlineLevel="0" collapsed="false">
      <c r="A1153" s="34" t="s">
        <v>4265</v>
      </c>
      <c r="B1153" s="34" t="s">
        <v>4266</v>
      </c>
      <c r="C1153" s="34" t="s">
        <v>4267</v>
      </c>
      <c r="D1153" s="34" t="s">
        <v>4268</v>
      </c>
      <c r="E1153" s="34" t="s">
        <v>162</v>
      </c>
      <c r="F1153" s="34" t="s">
        <v>1602</v>
      </c>
      <c r="G1153" s="34" t="s">
        <v>343</v>
      </c>
      <c r="H1153" s="34" t="s">
        <v>73</v>
      </c>
      <c r="I1153" s="34" t="s">
        <v>75</v>
      </c>
      <c r="J1153" s="34" t="s">
        <v>228</v>
      </c>
      <c r="K1153" s="34" t="s">
        <v>229</v>
      </c>
      <c r="L1153" s="34" t="s">
        <v>230</v>
      </c>
      <c r="M1153" s="34" t="s">
        <v>344</v>
      </c>
      <c r="N1153" s="34" t="str">
        <f aca="false">"Sector "&amp;VALUE(MID(D1153,13,2))</f>
        <v>Sector 7</v>
      </c>
      <c r="O1153" s="34" t="str">
        <f aca="false">IF(Dashboard!$C$5="Ubicación técnica",N1153,"Sector "&amp;VALUE(RIGHT(G1153,2)))</f>
        <v>Sector 7</v>
      </c>
      <c r="P1153" s="34" t="str">
        <f aca="false">IF(MID(D1153,15,3)="SEL","Subestación eléctrica","Área de proceso")</f>
        <v>Subestación eléctrica</v>
      </c>
      <c r="Q1153" s="34" t="str">
        <f aca="false">MID(D1153,13,5)&amp;"|"&amp;MID(D1153,19,5)</f>
        <v>07SEL|S21_1</v>
      </c>
      <c r="R1153" s="34" t="str">
        <f aca="false">IF(P1153="Subestación eléctrica",IFERROR(INDEX(cat_SubN,MATCH(Q1153,cat_SubK,0)),"SIN CATALOGAR"),"ÁREA DE PROCESO")</f>
        <v>SE-21-1</v>
      </c>
      <c r="S1153" s="34" t="str">
        <f aca="false">IF(H1153="","SIN DATO",IFERROR(INDEX(cat_MarcaN,MATCH(H1153,cat_MarcaO,0)),H1153))</f>
        <v>SIEMENS</v>
      </c>
      <c r="T1153" s="34" t="str">
        <f aca="false">IF(I1153="","SIN DATO",IFERROR(INDEX(cat_ModN,MATCH(I1153,cat_ModO,0)),I1153))</f>
        <v>REYROLLE</v>
      </c>
      <c r="U1153" s="34" t="str">
        <f aca="false">IF(I1153="","",IFERROR(INDEX(cat_ModG,MATCH(I1153,cat_ModO,0)),"No"))</f>
        <v>Sí</v>
      </c>
      <c r="V1153" s="34" t="str">
        <f aca="false">IF(J1153="","SIN DATO",IFERROR(INDEX(cat_FunN,MATCH(J1153,cat_FunO,0)),J1153))</f>
        <v>Protección y medición</v>
      </c>
      <c r="W1153" s="34" t="str">
        <f aca="false">IF(OR(S1153="SIN DATO",T1153="SIN DATO"),"No","Sí")</f>
        <v>Sí</v>
      </c>
    </row>
    <row r="1154" customFormat="false" ht="15" hidden="false" customHeight="false" outlineLevel="0" collapsed="false">
      <c r="A1154" s="34" t="s">
        <v>4269</v>
      </c>
      <c r="B1154" s="34" t="s">
        <v>4270</v>
      </c>
      <c r="C1154" s="34" t="s">
        <v>4271</v>
      </c>
      <c r="D1154" s="34" t="s">
        <v>4272</v>
      </c>
      <c r="E1154" s="34" t="s">
        <v>162</v>
      </c>
      <c r="F1154" s="34" t="s">
        <v>1602</v>
      </c>
      <c r="G1154" s="34" t="s">
        <v>343</v>
      </c>
      <c r="H1154" s="34" t="s">
        <v>73</v>
      </c>
      <c r="I1154" s="34" t="s">
        <v>75</v>
      </c>
      <c r="J1154" s="34" t="s">
        <v>228</v>
      </c>
      <c r="K1154" s="34" t="s">
        <v>229</v>
      </c>
      <c r="L1154" s="34" t="s">
        <v>230</v>
      </c>
      <c r="M1154" s="34" t="s">
        <v>344</v>
      </c>
      <c r="N1154" s="34" t="str">
        <f aca="false">"Sector "&amp;VALUE(MID(D1154,13,2))</f>
        <v>Sector 7</v>
      </c>
      <c r="O1154" s="34" t="str">
        <f aca="false">IF(Dashboard!$C$5="Ubicación técnica",N1154,"Sector "&amp;VALUE(RIGHT(G1154,2)))</f>
        <v>Sector 7</v>
      </c>
      <c r="P1154" s="34" t="str">
        <f aca="false">IF(MID(D1154,15,3)="SEL","Subestación eléctrica","Área de proceso")</f>
        <v>Subestación eléctrica</v>
      </c>
      <c r="Q1154" s="34" t="str">
        <f aca="false">MID(D1154,13,5)&amp;"|"&amp;MID(D1154,19,5)</f>
        <v>07SEL|S21_1</v>
      </c>
      <c r="R1154" s="34" t="str">
        <f aca="false">IF(P1154="Subestación eléctrica",IFERROR(INDEX(cat_SubN,MATCH(Q1154,cat_SubK,0)),"SIN CATALOGAR"),"ÁREA DE PROCESO")</f>
        <v>SE-21-1</v>
      </c>
      <c r="S1154" s="34" t="str">
        <f aca="false">IF(H1154="","SIN DATO",IFERROR(INDEX(cat_MarcaN,MATCH(H1154,cat_MarcaO,0)),H1154))</f>
        <v>SIEMENS</v>
      </c>
      <c r="T1154" s="34" t="str">
        <f aca="false">IF(I1154="","SIN DATO",IFERROR(INDEX(cat_ModN,MATCH(I1154,cat_ModO,0)),I1154))</f>
        <v>REYROLLE</v>
      </c>
      <c r="U1154" s="34" t="str">
        <f aca="false">IF(I1154="","",IFERROR(INDEX(cat_ModG,MATCH(I1154,cat_ModO,0)),"No"))</f>
        <v>Sí</v>
      </c>
      <c r="V1154" s="34" t="str">
        <f aca="false">IF(J1154="","SIN DATO",IFERROR(INDEX(cat_FunN,MATCH(J1154,cat_FunO,0)),J1154))</f>
        <v>Protección y medición</v>
      </c>
      <c r="W1154" s="34" t="str">
        <f aca="false">IF(OR(S1154="SIN DATO",T1154="SIN DATO"),"No","Sí")</f>
        <v>Sí</v>
      </c>
    </row>
    <row r="1155" customFormat="false" ht="15" hidden="false" customHeight="false" outlineLevel="0" collapsed="false">
      <c r="A1155" s="34" t="s">
        <v>4273</v>
      </c>
      <c r="B1155" s="34" t="s">
        <v>4274</v>
      </c>
      <c r="C1155" s="34" t="s">
        <v>4275</v>
      </c>
      <c r="D1155" s="34" t="s">
        <v>4276</v>
      </c>
      <c r="E1155" s="34" t="s">
        <v>162</v>
      </c>
      <c r="F1155" s="34" t="s">
        <v>1602</v>
      </c>
      <c r="G1155" s="34" t="s">
        <v>343</v>
      </c>
      <c r="H1155" s="34" t="s">
        <v>73</v>
      </c>
      <c r="I1155" s="34" t="s">
        <v>75</v>
      </c>
      <c r="J1155" s="34" t="s">
        <v>228</v>
      </c>
      <c r="K1155" s="34" t="s">
        <v>229</v>
      </c>
      <c r="L1155" s="34" t="s">
        <v>230</v>
      </c>
      <c r="M1155" s="34" t="s">
        <v>344</v>
      </c>
      <c r="N1155" s="34" t="str">
        <f aca="false">"Sector "&amp;VALUE(MID(D1155,13,2))</f>
        <v>Sector 7</v>
      </c>
      <c r="O1155" s="34" t="str">
        <f aca="false">IF(Dashboard!$C$5="Ubicación técnica",N1155,"Sector "&amp;VALUE(RIGHT(G1155,2)))</f>
        <v>Sector 7</v>
      </c>
      <c r="P1155" s="34" t="str">
        <f aca="false">IF(MID(D1155,15,3)="SEL","Subestación eléctrica","Área de proceso")</f>
        <v>Subestación eléctrica</v>
      </c>
      <c r="Q1155" s="34" t="str">
        <f aca="false">MID(D1155,13,5)&amp;"|"&amp;MID(D1155,19,5)</f>
        <v>07SEL|S21_1</v>
      </c>
      <c r="R1155" s="34" t="str">
        <f aca="false">IF(P1155="Subestación eléctrica",IFERROR(INDEX(cat_SubN,MATCH(Q1155,cat_SubK,0)),"SIN CATALOGAR"),"ÁREA DE PROCESO")</f>
        <v>SE-21-1</v>
      </c>
      <c r="S1155" s="34" t="str">
        <f aca="false">IF(H1155="","SIN DATO",IFERROR(INDEX(cat_MarcaN,MATCH(H1155,cat_MarcaO,0)),H1155))</f>
        <v>SIEMENS</v>
      </c>
      <c r="T1155" s="34" t="str">
        <f aca="false">IF(I1155="","SIN DATO",IFERROR(INDEX(cat_ModN,MATCH(I1155,cat_ModO,0)),I1155))</f>
        <v>REYROLLE</v>
      </c>
      <c r="U1155" s="34" t="str">
        <f aca="false">IF(I1155="","",IFERROR(INDEX(cat_ModG,MATCH(I1155,cat_ModO,0)),"No"))</f>
        <v>Sí</v>
      </c>
      <c r="V1155" s="34" t="str">
        <f aca="false">IF(J1155="","SIN DATO",IFERROR(INDEX(cat_FunN,MATCH(J1155,cat_FunO,0)),J1155))</f>
        <v>Protección y medición</v>
      </c>
      <c r="W1155" s="34" t="str">
        <f aca="false">IF(OR(S1155="SIN DATO",T1155="SIN DATO"),"No","Sí")</f>
        <v>Sí</v>
      </c>
    </row>
    <row r="1156" customFormat="false" ht="15" hidden="false" customHeight="false" outlineLevel="0" collapsed="false">
      <c r="A1156" s="34" t="s">
        <v>4277</v>
      </c>
      <c r="B1156" s="34" t="s">
        <v>4278</v>
      </c>
      <c r="C1156" s="34" t="s">
        <v>4279</v>
      </c>
      <c r="D1156" s="34" t="s">
        <v>4261</v>
      </c>
      <c r="E1156" s="34" t="s">
        <v>160</v>
      </c>
      <c r="F1156" s="34" t="s">
        <v>1602</v>
      </c>
      <c r="G1156" s="34" t="s">
        <v>343</v>
      </c>
      <c r="H1156" s="34" t="s">
        <v>73</v>
      </c>
      <c r="I1156" s="34" t="s">
        <v>78</v>
      </c>
      <c r="J1156" s="34" t="s">
        <v>58</v>
      </c>
      <c r="K1156" s="34" t="s">
        <v>229</v>
      </c>
      <c r="L1156" s="34" t="s">
        <v>230</v>
      </c>
      <c r="M1156" s="34"/>
      <c r="N1156" s="34" t="str">
        <f aca="false">"Sector "&amp;VALUE(MID(D1156,13,2))</f>
        <v>Sector 7</v>
      </c>
      <c r="O1156" s="34" t="str">
        <f aca="false">IF(Dashboard!$C$5="Ubicación técnica",N1156,"Sector "&amp;VALUE(RIGHT(G1156,2)))</f>
        <v>Sector 7</v>
      </c>
      <c r="P1156" s="34" t="str">
        <f aca="false">IF(MID(D1156,15,3)="SEL","Subestación eléctrica","Área de proceso")</f>
        <v>Subestación eléctrica</v>
      </c>
      <c r="Q1156" s="34" t="str">
        <f aca="false">MID(D1156,13,5)&amp;"|"&amp;MID(D1156,19,5)</f>
        <v>07SEL|S_021</v>
      </c>
      <c r="R1156" s="34" t="str">
        <f aca="false">IF(P1156="Subestación eléctrica",IFERROR(INDEX(cat_SubN,MATCH(Q1156,cat_SubK,0)),"SIN CATALOGAR"),"ÁREA DE PROCESO")</f>
        <v>SE-21</v>
      </c>
      <c r="S1156" s="34" t="str">
        <f aca="false">IF(H1156="","SIN DATO",IFERROR(INDEX(cat_MarcaN,MATCH(H1156,cat_MarcaO,0)),H1156))</f>
        <v>SIEMENS</v>
      </c>
      <c r="T1156" s="34" t="str">
        <f aca="false">IF(I1156="","SIN DATO",IFERROR(INDEX(cat_ModN,MATCH(I1156,cat_ModO,0)),I1156))</f>
        <v>SENTRON</v>
      </c>
      <c r="U1156" s="34" t="str">
        <f aca="false">IF(I1156="","",IFERROR(INDEX(cat_ModG,MATCH(I1156,cat_ModO,0)),"No"))</f>
        <v>No</v>
      </c>
      <c r="V1156" s="34" t="str">
        <f aca="false">IF(J1156="","SIN DATO",IFERROR(INDEX(cat_FunN,MATCH(J1156,cat_FunO,0)),J1156))</f>
        <v>Medición</v>
      </c>
      <c r="W1156" s="34" t="str">
        <f aca="false">IF(OR(S1156="SIN DATO",T1156="SIN DATO"),"No","Sí")</f>
        <v>Sí</v>
      </c>
    </row>
    <row r="1157" customFormat="false" ht="15" hidden="false" customHeight="false" outlineLevel="0" collapsed="false">
      <c r="A1157" s="34" t="s">
        <v>4280</v>
      </c>
      <c r="B1157" s="34" t="s">
        <v>4281</v>
      </c>
      <c r="C1157" s="34" t="s">
        <v>4282</v>
      </c>
      <c r="D1157" s="34" t="s">
        <v>4268</v>
      </c>
      <c r="E1157" s="34" t="s">
        <v>162</v>
      </c>
      <c r="F1157" s="34" t="s">
        <v>1602</v>
      </c>
      <c r="G1157" s="34" t="s">
        <v>343</v>
      </c>
      <c r="H1157" s="34" t="s">
        <v>73</v>
      </c>
      <c r="I1157" s="34" t="s">
        <v>78</v>
      </c>
      <c r="J1157" s="34" t="s">
        <v>58</v>
      </c>
      <c r="K1157" s="34" t="s">
        <v>229</v>
      </c>
      <c r="L1157" s="34" t="s">
        <v>230</v>
      </c>
      <c r="M1157" s="34"/>
      <c r="N1157" s="34" t="str">
        <f aca="false">"Sector "&amp;VALUE(MID(D1157,13,2))</f>
        <v>Sector 7</v>
      </c>
      <c r="O1157" s="34" t="str">
        <f aca="false">IF(Dashboard!$C$5="Ubicación técnica",N1157,"Sector "&amp;VALUE(RIGHT(G1157,2)))</f>
        <v>Sector 7</v>
      </c>
      <c r="P1157" s="34" t="str">
        <f aca="false">IF(MID(D1157,15,3)="SEL","Subestación eléctrica","Área de proceso")</f>
        <v>Subestación eléctrica</v>
      </c>
      <c r="Q1157" s="34" t="str">
        <f aca="false">MID(D1157,13,5)&amp;"|"&amp;MID(D1157,19,5)</f>
        <v>07SEL|S21_1</v>
      </c>
      <c r="R1157" s="34" t="str">
        <f aca="false">IF(P1157="Subestación eléctrica",IFERROR(INDEX(cat_SubN,MATCH(Q1157,cat_SubK,0)),"SIN CATALOGAR"),"ÁREA DE PROCESO")</f>
        <v>SE-21-1</v>
      </c>
      <c r="S1157" s="34" t="str">
        <f aca="false">IF(H1157="","SIN DATO",IFERROR(INDEX(cat_MarcaN,MATCH(H1157,cat_MarcaO,0)),H1157))</f>
        <v>SIEMENS</v>
      </c>
      <c r="T1157" s="34" t="str">
        <f aca="false">IF(I1157="","SIN DATO",IFERROR(INDEX(cat_ModN,MATCH(I1157,cat_ModO,0)),I1157))</f>
        <v>SENTRON</v>
      </c>
      <c r="U1157" s="34" t="str">
        <f aca="false">IF(I1157="","",IFERROR(INDEX(cat_ModG,MATCH(I1157,cat_ModO,0)),"No"))</f>
        <v>No</v>
      </c>
      <c r="V1157" s="34" t="str">
        <f aca="false">IF(J1157="","SIN DATO",IFERROR(INDEX(cat_FunN,MATCH(J1157,cat_FunO,0)),J1157))</f>
        <v>Medición</v>
      </c>
      <c r="W1157" s="34" t="str">
        <f aca="false">IF(OR(S1157="SIN DATO",T1157="SIN DATO"),"No","Sí")</f>
        <v>Sí</v>
      </c>
    </row>
    <row r="1158" customFormat="false" ht="15" hidden="false" customHeight="false" outlineLevel="0" collapsed="false">
      <c r="A1158" s="34" t="s">
        <v>4283</v>
      </c>
      <c r="B1158" s="34" t="s">
        <v>4284</v>
      </c>
      <c r="C1158" s="34" t="s">
        <v>4285</v>
      </c>
      <c r="D1158" s="34" t="s">
        <v>4286</v>
      </c>
      <c r="E1158" s="34" t="s">
        <v>162</v>
      </c>
      <c r="F1158" s="34" t="s">
        <v>1602</v>
      </c>
      <c r="G1158" s="34" t="s">
        <v>343</v>
      </c>
      <c r="H1158" s="34" t="s">
        <v>73</v>
      </c>
      <c r="I1158" s="34" t="s">
        <v>78</v>
      </c>
      <c r="J1158" s="34" t="s">
        <v>58</v>
      </c>
      <c r="K1158" s="34" t="s">
        <v>229</v>
      </c>
      <c r="L1158" s="34" t="s">
        <v>230</v>
      </c>
      <c r="M1158" s="34"/>
      <c r="N1158" s="34" t="str">
        <f aca="false">"Sector "&amp;VALUE(MID(D1158,13,2))</f>
        <v>Sector 7</v>
      </c>
      <c r="O1158" s="34" t="str">
        <f aca="false">IF(Dashboard!$C$5="Ubicación técnica",N1158,"Sector "&amp;VALUE(RIGHT(G1158,2)))</f>
        <v>Sector 7</v>
      </c>
      <c r="P1158" s="34" t="str">
        <f aca="false">IF(MID(D1158,15,3)="SEL","Subestación eléctrica","Área de proceso")</f>
        <v>Subestación eléctrica</v>
      </c>
      <c r="Q1158" s="34" t="str">
        <f aca="false">MID(D1158,13,5)&amp;"|"&amp;MID(D1158,19,5)</f>
        <v>07SEL|S21_1</v>
      </c>
      <c r="R1158" s="34" t="str">
        <f aca="false">IF(P1158="Subestación eléctrica",IFERROR(INDEX(cat_SubN,MATCH(Q1158,cat_SubK,0)),"SIN CATALOGAR"),"ÁREA DE PROCESO")</f>
        <v>SE-21-1</v>
      </c>
      <c r="S1158" s="34" t="str">
        <f aca="false">IF(H1158="","SIN DATO",IFERROR(INDEX(cat_MarcaN,MATCH(H1158,cat_MarcaO,0)),H1158))</f>
        <v>SIEMENS</v>
      </c>
      <c r="T1158" s="34" t="str">
        <f aca="false">IF(I1158="","SIN DATO",IFERROR(INDEX(cat_ModN,MATCH(I1158,cat_ModO,0)),I1158))</f>
        <v>SENTRON</v>
      </c>
      <c r="U1158" s="34" t="str">
        <f aca="false">IF(I1158="","",IFERROR(INDEX(cat_ModG,MATCH(I1158,cat_ModO,0)),"No"))</f>
        <v>No</v>
      </c>
      <c r="V1158" s="34" t="str">
        <f aca="false">IF(J1158="","SIN DATO",IFERROR(INDEX(cat_FunN,MATCH(J1158,cat_FunO,0)),J1158))</f>
        <v>Medición</v>
      </c>
      <c r="W1158" s="34" t="str">
        <f aca="false">IF(OR(S1158="SIN DATO",T1158="SIN DATO"),"No","Sí")</f>
        <v>Sí</v>
      </c>
    </row>
    <row r="1159" customFormat="false" ht="15" hidden="false" customHeight="false" outlineLevel="0" collapsed="false">
      <c r="A1159" s="34" t="s">
        <v>4287</v>
      </c>
      <c r="B1159" s="34" t="s">
        <v>4288</v>
      </c>
      <c r="C1159" s="34" t="s">
        <v>4289</v>
      </c>
      <c r="D1159" s="34" t="s">
        <v>4290</v>
      </c>
      <c r="E1159" s="34" t="s">
        <v>162</v>
      </c>
      <c r="F1159" s="34" t="s">
        <v>1602</v>
      </c>
      <c r="G1159" s="34" t="s">
        <v>343</v>
      </c>
      <c r="H1159" s="34" t="s">
        <v>73</v>
      </c>
      <c r="I1159" s="34" t="s">
        <v>78</v>
      </c>
      <c r="J1159" s="34" t="s">
        <v>58</v>
      </c>
      <c r="K1159" s="34" t="s">
        <v>229</v>
      </c>
      <c r="L1159" s="34" t="s">
        <v>230</v>
      </c>
      <c r="M1159" s="34"/>
      <c r="N1159" s="34" t="str">
        <f aca="false">"Sector "&amp;VALUE(MID(D1159,13,2))</f>
        <v>Sector 7</v>
      </c>
      <c r="O1159" s="34" t="str">
        <f aca="false">IF(Dashboard!$C$5="Ubicación técnica",N1159,"Sector "&amp;VALUE(RIGHT(G1159,2)))</f>
        <v>Sector 7</v>
      </c>
      <c r="P1159" s="34" t="str">
        <f aca="false">IF(MID(D1159,15,3)="SEL","Subestación eléctrica","Área de proceso")</f>
        <v>Subestación eléctrica</v>
      </c>
      <c r="Q1159" s="34" t="str">
        <f aca="false">MID(D1159,13,5)&amp;"|"&amp;MID(D1159,19,5)</f>
        <v>07SEL|S21_1</v>
      </c>
      <c r="R1159" s="34" t="str">
        <f aca="false">IF(P1159="Subestación eléctrica",IFERROR(INDEX(cat_SubN,MATCH(Q1159,cat_SubK,0)),"SIN CATALOGAR"),"ÁREA DE PROCESO")</f>
        <v>SE-21-1</v>
      </c>
      <c r="S1159" s="34" t="str">
        <f aca="false">IF(H1159="","SIN DATO",IFERROR(INDEX(cat_MarcaN,MATCH(H1159,cat_MarcaO,0)),H1159))</f>
        <v>SIEMENS</v>
      </c>
      <c r="T1159" s="34" t="str">
        <f aca="false">IF(I1159="","SIN DATO",IFERROR(INDEX(cat_ModN,MATCH(I1159,cat_ModO,0)),I1159))</f>
        <v>SENTRON</v>
      </c>
      <c r="U1159" s="34" t="str">
        <f aca="false">IF(I1159="","",IFERROR(INDEX(cat_ModG,MATCH(I1159,cat_ModO,0)),"No"))</f>
        <v>No</v>
      </c>
      <c r="V1159" s="34" t="str">
        <f aca="false">IF(J1159="","SIN DATO",IFERROR(INDEX(cat_FunN,MATCH(J1159,cat_FunO,0)),J1159))</f>
        <v>Medición</v>
      </c>
      <c r="W1159" s="34" t="str">
        <f aca="false">IF(OR(S1159="SIN DATO",T1159="SIN DATO"),"No","Sí")</f>
        <v>Sí</v>
      </c>
    </row>
    <row r="1160" customFormat="false" ht="15" hidden="false" customHeight="false" outlineLevel="0" collapsed="false">
      <c r="A1160" s="34" t="s">
        <v>4291</v>
      </c>
      <c r="B1160" s="34" t="s">
        <v>4292</v>
      </c>
      <c r="C1160" s="34" t="s">
        <v>4293</v>
      </c>
      <c r="D1160" s="34" t="s">
        <v>4294</v>
      </c>
      <c r="E1160" s="34" t="s">
        <v>164</v>
      </c>
      <c r="F1160" s="34" t="s">
        <v>1602</v>
      </c>
      <c r="G1160" s="34" t="s">
        <v>343</v>
      </c>
      <c r="H1160" s="34" t="s">
        <v>73</v>
      </c>
      <c r="I1160" s="34" t="s">
        <v>75</v>
      </c>
      <c r="J1160" s="34" t="s">
        <v>228</v>
      </c>
      <c r="K1160" s="34" t="s">
        <v>229</v>
      </c>
      <c r="L1160" s="34" t="s">
        <v>230</v>
      </c>
      <c r="M1160" s="34" t="s">
        <v>344</v>
      </c>
      <c r="N1160" s="34" t="str">
        <f aca="false">"Sector "&amp;VALUE(MID(D1160,13,2))</f>
        <v>Sector 7</v>
      </c>
      <c r="O1160" s="34" t="str">
        <f aca="false">IF(Dashboard!$C$5="Ubicación técnica",N1160,"Sector "&amp;VALUE(RIGHT(G1160,2)))</f>
        <v>Sector 7</v>
      </c>
      <c r="P1160" s="34" t="str">
        <f aca="false">IF(MID(D1160,15,3)="SEL","Subestación eléctrica","Área de proceso")</f>
        <v>Subestación eléctrica</v>
      </c>
      <c r="Q1160" s="34" t="str">
        <f aca="false">MID(D1160,13,5)&amp;"|"&amp;MID(D1160,19,5)</f>
        <v>07SEL|S_022</v>
      </c>
      <c r="R1160" s="34" t="str">
        <f aca="false">IF(P1160="Subestación eléctrica",IFERROR(INDEX(cat_SubN,MATCH(Q1160,cat_SubK,0)),"SIN CATALOGAR"),"ÁREA DE PROCESO")</f>
        <v>SE-22</v>
      </c>
      <c r="S1160" s="34" t="str">
        <f aca="false">IF(H1160="","SIN DATO",IFERROR(INDEX(cat_MarcaN,MATCH(H1160,cat_MarcaO,0)),H1160))</f>
        <v>SIEMENS</v>
      </c>
      <c r="T1160" s="34" t="str">
        <f aca="false">IF(I1160="","SIN DATO",IFERROR(INDEX(cat_ModN,MATCH(I1160,cat_ModO,0)),I1160))</f>
        <v>REYROLLE</v>
      </c>
      <c r="U1160" s="34" t="str">
        <f aca="false">IF(I1160="","",IFERROR(INDEX(cat_ModG,MATCH(I1160,cat_ModO,0)),"No"))</f>
        <v>Sí</v>
      </c>
      <c r="V1160" s="34" t="str">
        <f aca="false">IF(J1160="","SIN DATO",IFERROR(INDEX(cat_FunN,MATCH(J1160,cat_FunO,0)),J1160))</f>
        <v>Protección y medición</v>
      </c>
      <c r="W1160" s="34" t="str">
        <f aca="false">IF(OR(S1160="SIN DATO",T1160="SIN DATO"),"No","Sí")</f>
        <v>Sí</v>
      </c>
    </row>
    <row r="1161" customFormat="false" ht="15" hidden="false" customHeight="false" outlineLevel="0" collapsed="false">
      <c r="A1161" s="34" t="s">
        <v>4295</v>
      </c>
      <c r="B1161" s="34" t="s">
        <v>4296</v>
      </c>
      <c r="C1161" s="34" t="s">
        <v>4297</v>
      </c>
      <c r="D1161" s="34" t="s">
        <v>4298</v>
      </c>
      <c r="E1161" s="34" t="s">
        <v>164</v>
      </c>
      <c r="F1161" s="34" t="s">
        <v>1602</v>
      </c>
      <c r="G1161" s="34" t="s">
        <v>343</v>
      </c>
      <c r="H1161" s="34" t="s">
        <v>73</v>
      </c>
      <c r="I1161" s="34" t="s">
        <v>75</v>
      </c>
      <c r="J1161" s="34" t="s">
        <v>228</v>
      </c>
      <c r="K1161" s="34" t="s">
        <v>229</v>
      </c>
      <c r="L1161" s="34" t="s">
        <v>230</v>
      </c>
      <c r="M1161" s="34" t="s">
        <v>344</v>
      </c>
      <c r="N1161" s="34" t="str">
        <f aca="false">"Sector "&amp;VALUE(MID(D1161,13,2))</f>
        <v>Sector 7</v>
      </c>
      <c r="O1161" s="34" t="str">
        <f aca="false">IF(Dashboard!$C$5="Ubicación técnica",N1161,"Sector "&amp;VALUE(RIGHT(G1161,2)))</f>
        <v>Sector 7</v>
      </c>
      <c r="P1161" s="34" t="str">
        <f aca="false">IF(MID(D1161,15,3)="SEL","Subestación eléctrica","Área de proceso")</f>
        <v>Subestación eléctrica</v>
      </c>
      <c r="Q1161" s="34" t="str">
        <f aca="false">MID(D1161,13,5)&amp;"|"&amp;MID(D1161,19,5)</f>
        <v>07SEL|S_022</v>
      </c>
      <c r="R1161" s="34" t="str">
        <f aca="false">IF(P1161="Subestación eléctrica",IFERROR(INDEX(cat_SubN,MATCH(Q1161,cat_SubK,0)),"SIN CATALOGAR"),"ÁREA DE PROCESO")</f>
        <v>SE-22</v>
      </c>
      <c r="S1161" s="34" t="str">
        <f aca="false">IF(H1161="","SIN DATO",IFERROR(INDEX(cat_MarcaN,MATCH(H1161,cat_MarcaO,0)),H1161))</f>
        <v>SIEMENS</v>
      </c>
      <c r="T1161" s="34" t="str">
        <f aca="false">IF(I1161="","SIN DATO",IFERROR(INDEX(cat_ModN,MATCH(I1161,cat_ModO,0)),I1161))</f>
        <v>REYROLLE</v>
      </c>
      <c r="U1161" s="34" t="str">
        <f aca="false">IF(I1161="","",IFERROR(INDEX(cat_ModG,MATCH(I1161,cat_ModO,0)),"No"))</f>
        <v>Sí</v>
      </c>
      <c r="V1161" s="34" t="str">
        <f aca="false">IF(J1161="","SIN DATO",IFERROR(INDEX(cat_FunN,MATCH(J1161,cat_FunO,0)),J1161))</f>
        <v>Protección y medición</v>
      </c>
      <c r="W1161" s="34" t="str">
        <f aca="false">IF(OR(S1161="SIN DATO",T1161="SIN DATO"),"No","Sí")</f>
        <v>Sí</v>
      </c>
    </row>
    <row r="1162" customFormat="false" ht="15" hidden="false" customHeight="false" outlineLevel="0" collapsed="false">
      <c r="A1162" s="34" t="s">
        <v>4299</v>
      </c>
      <c r="B1162" s="34" t="s">
        <v>4300</v>
      </c>
      <c r="C1162" s="34" t="s">
        <v>4301</v>
      </c>
      <c r="D1162" s="34" t="s">
        <v>4302</v>
      </c>
      <c r="E1162" s="34" t="s">
        <v>164</v>
      </c>
      <c r="F1162" s="34" t="s">
        <v>1602</v>
      </c>
      <c r="G1162" s="34" t="s">
        <v>343</v>
      </c>
      <c r="H1162" s="34" t="s">
        <v>73</v>
      </c>
      <c r="I1162" s="34" t="s">
        <v>78</v>
      </c>
      <c r="J1162" s="34" t="s">
        <v>58</v>
      </c>
      <c r="K1162" s="34" t="s">
        <v>229</v>
      </c>
      <c r="L1162" s="34" t="s">
        <v>230</v>
      </c>
      <c r="M1162" s="34"/>
      <c r="N1162" s="34" t="str">
        <f aca="false">"Sector "&amp;VALUE(MID(D1162,13,2))</f>
        <v>Sector 7</v>
      </c>
      <c r="O1162" s="34" t="str">
        <f aca="false">IF(Dashboard!$C$5="Ubicación técnica",N1162,"Sector "&amp;VALUE(RIGHT(G1162,2)))</f>
        <v>Sector 7</v>
      </c>
      <c r="P1162" s="34" t="str">
        <f aca="false">IF(MID(D1162,15,3)="SEL","Subestación eléctrica","Área de proceso")</f>
        <v>Subestación eléctrica</v>
      </c>
      <c r="Q1162" s="34" t="str">
        <f aca="false">MID(D1162,13,5)&amp;"|"&amp;MID(D1162,19,5)</f>
        <v>07SEL|S_022</v>
      </c>
      <c r="R1162" s="34" t="str">
        <f aca="false">IF(P1162="Subestación eléctrica",IFERROR(INDEX(cat_SubN,MATCH(Q1162,cat_SubK,0)),"SIN CATALOGAR"),"ÁREA DE PROCESO")</f>
        <v>SE-22</v>
      </c>
      <c r="S1162" s="34" t="str">
        <f aca="false">IF(H1162="","SIN DATO",IFERROR(INDEX(cat_MarcaN,MATCH(H1162,cat_MarcaO,0)),H1162))</f>
        <v>SIEMENS</v>
      </c>
      <c r="T1162" s="34" t="str">
        <f aca="false">IF(I1162="","SIN DATO",IFERROR(INDEX(cat_ModN,MATCH(I1162,cat_ModO,0)),I1162))</f>
        <v>SENTRON</v>
      </c>
      <c r="U1162" s="34" t="str">
        <f aca="false">IF(I1162="","",IFERROR(INDEX(cat_ModG,MATCH(I1162,cat_ModO,0)),"No"))</f>
        <v>No</v>
      </c>
      <c r="V1162" s="34" t="str">
        <f aca="false">IF(J1162="","SIN DATO",IFERROR(INDEX(cat_FunN,MATCH(J1162,cat_FunO,0)),J1162))</f>
        <v>Medición</v>
      </c>
      <c r="W1162" s="34" t="str">
        <f aca="false">IF(OR(S1162="SIN DATO",T1162="SIN DATO"),"No","Sí")</f>
        <v>Sí</v>
      </c>
    </row>
    <row r="1163" customFormat="false" ht="15" hidden="false" customHeight="false" outlineLevel="0" collapsed="false">
      <c r="A1163" s="34" t="s">
        <v>4303</v>
      </c>
      <c r="B1163" s="34" t="s">
        <v>4304</v>
      </c>
      <c r="C1163" s="34" t="s">
        <v>4305</v>
      </c>
      <c r="D1163" s="34" t="s">
        <v>4306</v>
      </c>
      <c r="E1163" s="34" t="s">
        <v>164</v>
      </c>
      <c r="F1163" s="34" t="s">
        <v>1602</v>
      </c>
      <c r="G1163" s="34" t="s">
        <v>343</v>
      </c>
      <c r="H1163" s="34" t="s">
        <v>73</v>
      </c>
      <c r="I1163" s="34" t="s">
        <v>78</v>
      </c>
      <c r="J1163" s="34" t="s">
        <v>58</v>
      </c>
      <c r="K1163" s="34" t="s">
        <v>229</v>
      </c>
      <c r="L1163" s="34" t="s">
        <v>230</v>
      </c>
      <c r="M1163" s="34"/>
      <c r="N1163" s="34" t="str">
        <f aca="false">"Sector "&amp;VALUE(MID(D1163,13,2))</f>
        <v>Sector 7</v>
      </c>
      <c r="O1163" s="34" t="str">
        <f aca="false">IF(Dashboard!$C$5="Ubicación técnica",N1163,"Sector "&amp;VALUE(RIGHT(G1163,2)))</f>
        <v>Sector 7</v>
      </c>
      <c r="P1163" s="34" t="str">
        <f aca="false">IF(MID(D1163,15,3)="SEL","Subestación eléctrica","Área de proceso")</f>
        <v>Subestación eléctrica</v>
      </c>
      <c r="Q1163" s="34" t="str">
        <f aca="false">MID(D1163,13,5)&amp;"|"&amp;MID(D1163,19,5)</f>
        <v>07SEL|S_022</v>
      </c>
      <c r="R1163" s="34" t="str">
        <f aca="false">IF(P1163="Subestación eléctrica",IFERROR(INDEX(cat_SubN,MATCH(Q1163,cat_SubK,0)),"SIN CATALOGAR"),"ÁREA DE PROCESO")</f>
        <v>SE-22</v>
      </c>
      <c r="S1163" s="34" t="str">
        <f aca="false">IF(H1163="","SIN DATO",IFERROR(INDEX(cat_MarcaN,MATCH(H1163,cat_MarcaO,0)),H1163))</f>
        <v>SIEMENS</v>
      </c>
      <c r="T1163" s="34" t="str">
        <f aca="false">IF(I1163="","SIN DATO",IFERROR(INDEX(cat_ModN,MATCH(I1163,cat_ModO,0)),I1163))</f>
        <v>SENTRON</v>
      </c>
      <c r="U1163" s="34" t="str">
        <f aca="false">IF(I1163="","",IFERROR(INDEX(cat_ModG,MATCH(I1163,cat_ModO,0)),"No"))</f>
        <v>No</v>
      </c>
      <c r="V1163" s="34" t="str">
        <f aca="false">IF(J1163="","SIN DATO",IFERROR(INDEX(cat_FunN,MATCH(J1163,cat_FunO,0)),J1163))</f>
        <v>Medición</v>
      </c>
      <c r="W1163" s="34" t="str">
        <f aca="false">IF(OR(S1163="SIN DATO",T1163="SIN DATO"),"No","Sí")</f>
        <v>Sí</v>
      </c>
    </row>
    <row r="1164" customFormat="false" ht="15" hidden="false" customHeight="false" outlineLevel="0" collapsed="false">
      <c r="A1164" s="34" t="s">
        <v>4307</v>
      </c>
      <c r="B1164" s="34" t="s">
        <v>4308</v>
      </c>
      <c r="C1164" s="34" t="s">
        <v>4309</v>
      </c>
      <c r="D1164" s="34" t="s">
        <v>4310</v>
      </c>
      <c r="E1164" s="34" t="s">
        <v>164</v>
      </c>
      <c r="F1164" s="34" t="s">
        <v>1602</v>
      </c>
      <c r="G1164" s="34" t="s">
        <v>343</v>
      </c>
      <c r="H1164" s="34" t="s">
        <v>73</v>
      </c>
      <c r="I1164" s="34" t="s">
        <v>78</v>
      </c>
      <c r="J1164" s="34" t="s">
        <v>58</v>
      </c>
      <c r="K1164" s="34" t="s">
        <v>229</v>
      </c>
      <c r="L1164" s="34" t="s">
        <v>230</v>
      </c>
      <c r="M1164" s="34"/>
      <c r="N1164" s="34" t="str">
        <f aca="false">"Sector "&amp;VALUE(MID(D1164,13,2))</f>
        <v>Sector 7</v>
      </c>
      <c r="O1164" s="34" t="str">
        <f aca="false">IF(Dashboard!$C$5="Ubicación técnica",N1164,"Sector "&amp;VALUE(RIGHT(G1164,2)))</f>
        <v>Sector 7</v>
      </c>
      <c r="P1164" s="34" t="str">
        <f aca="false">IF(MID(D1164,15,3)="SEL","Subestación eléctrica","Área de proceso")</f>
        <v>Subestación eléctrica</v>
      </c>
      <c r="Q1164" s="34" t="str">
        <f aca="false">MID(D1164,13,5)&amp;"|"&amp;MID(D1164,19,5)</f>
        <v>07SEL|S_022</v>
      </c>
      <c r="R1164" s="34" t="str">
        <f aca="false">IF(P1164="Subestación eléctrica",IFERROR(INDEX(cat_SubN,MATCH(Q1164,cat_SubK,0)),"SIN CATALOGAR"),"ÁREA DE PROCESO")</f>
        <v>SE-22</v>
      </c>
      <c r="S1164" s="34" t="str">
        <f aca="false">IF(H1164="","SIN DATO",IFERROR(INDEX(cat_MarcaN,MATCH(H1164,cat_MarcaO,0)),H1164))</f>
        <v>SIEMENS</v>
      </c>
      <c r="T1164" s="34" t="str">
        <f aca="false">IF(I1164="","SIN DATO",IFERROR(INDEX(cat_ModN,MATCH(I1164,cat_ModO,0)),I1164))</f>
        <v>SENTRON</v>
      </c>
      <c r="U1164" s="34" t="str">
        <f aca="false">IF(I1164="","",IFERROR(INDEX(cat_ModG,MATCH(I1164,cat_ModO,0)),"No"))</f>
        <v>No</v>
      </c>
      <c r="V1164" s="34" t="str">
        <f aca="false">IF(J1164="","SIN DATO",IFERROR(INDEX(cat_FunN,MATCH(J1164,cat_FunO,0)),J1164))</f>
        <v>Medición</v>
      </c>
      <c r="W1164" s="34" t="str">
        <f aca="false">IF(OR(S1164="SIN DATO",T1164="SIN DATO"),"No","Sí")</f>
        <v>Sí</v>
      </c>
    </row>
    <row r="1165" customFormat="false" ht="15" hidden="false" customHeight="false" outlineLevel="0" collapsed="false">
      <c r="A1165" s="34" t="s">
        <v>4311</v>
      </c>
      <c r="B1165" s="34" t="s">
        <v>4312</v>
      </c>
      <c r="C1165" s="34" t="s">
        <v>4313</v>
      </c>
      <c r="D1165" s="34" t="s">
        <v>4314</v>
      </c>
      <c r="E1165" s="34" t="s">
        <v>164</v>
      </c>
      <c r="F1165" s="34" t="s">
        <v>1602</v>
      </c>
      <c r="G1165" s="34" t="s">
        <v>343</v>
      </c>
      <c r="H1165" s="34" t="s">
        <v>73</v>
      </c>
      <c r="I1165" s="34" t="s">
        <v>78</v>
      </c>
      <c r="J1165" s="34" t="s">
        <v>58</v>
      </c>
      <c r="K1165" s="34" t="s">
        <v>229</v>
      </c>
      <c r="L1165" s="34" t="s">
        <v>230</v>
      </c>
      <c r="M1165" s="34"/>
      <c r="N1165" s="34" t="str">
        <f aca="false">"Sector "&amp;VALUE(MID(D1165,13,2))</f>
        <v>Sector 7</v>
      </c>
      <c r="O1165" s="34" t="str">
        <f aca="false">IF(Dashboard!$C$5="Ubicación técnica",N1165,"Sector "&amp;VALUE(RIGHT(G1165,2)))</f>
        <v>Sector 7</v>
      </c>
      <c r="P1165" s="34" t="str">
        <f aca="false">IF(MID(D1165,15,3)="SEL","Subestación eléctrica","Área de proceso")</f>
        <v>Subestación eléctrica</v>
      </c>
      <c r="Q1165" s="34" t="str">
        <f aca="false">MID(D1165,13,5)&amp;"|"&amp;MID(D1165,19,5)</f>
        <v>07SEL|S_022</v>
      </c>
      <c r="R1165" s="34" t="str">
        <f aca="false">IF(P1165="Subestación eléctrica",IFERROR(INDEX(cat_SubN,MATCH(Q1165,cat_SubK,0)),"SIN CATALOGAR"),"ÁREA DE PROCESO")</f>
        <v>SE-22</v>
      </c>
      <c r="S1165" s="34" t="str">
        <f aca="false">IF(H1165="","SIN DATO",IFERROR(INDEX(cat_MarcaN,MATCH(H1165,cat_MarcaO,0)),H1165))</f>
        <v>SIEMENS</v>
      </c>
      <c r="T1165" s="34" t="str">
        <f aca="false">IF(I1165="","SIN DATO",IFERROR(INDEX(cat_ModN,MATCH(I1165,cat_ModO,0)),I1165))</f>
        <v>SENTRON</v>
      </c>
      <c r="U1165" s="34" t="str">
        <f aca="false">IF(I1165="","",IFERROR(INDEX(cat_ModG,MATCH(I1165,cat_ModO,0)),"No"))</f>
        <v>No</v>
      </c>
      <c r="V1165" s="34" t="str">
        <f aca="false">IF(J1165="","SIN DATO",IFERROR(INDEX(cat_FunN,MATCH(J1165,cat_FunO,0)),J1165))</f>
        <v>Medición</v>
      </c>
      <c r="W1165" s="34" t="str">
        <f aca="false">IF(OR(S1165="SIN DATO",T1165="SIN DATO"),"No","Sí")</f>
        <v>Sí</v>
      </c>
    </row>
    <row r="1166" customFormat="false" ht="15" hidden="false" customHeight="false" outlineLevel="0" collapsed="false">
      <c r="A1166" s="34" t="s">
        <v>4315</v>
      </c>
      <c r="B1166" s="34" t="s">
        <v>4316</v>
      </c>
      <c r="C1166" s="34" t="s">
        <v>4317</v>
      </c>
      <c r="D1166" s="34" t="s">
        <v>4318</v>
      </c>
      <c r="E1166" s="34" t="s">
        <v>154</v>
      </c>
      <c r="F1166" s="34" t="s">
        <v>1602</v>
      </c>
      <c r="G1166" s="34" t="s">
        <v>343</v>
      </c>
      <c r="H1166" s="34" t="s">
        <v>34</v>
      </c>
      <c r="I1166" s="34" t="s">
        <v>39</v>
      </c>
      <c r="J1166" s="34" t="s">
        <v>228</v>
      </c>
      <c r="K1166" s="34" t="s">
        <v>229</v>
      </c>
      <c r="L1166" s="34" t="s">
        <v>230</v>
      </c>
      <c r="M1166" s="34" t="s">
        <v>231</v>
      </c>
      <c r="N1166" s="34" t="str">
        <f aca="false">"Sector "&amp;VALUE(MID(D1166,13,2))</f>
        <v>Sector 7</v>
      </c>
      <c r="O1166" s="34" t="str">
        <f aca="false">IF(Dashboard!$C$5="Ubicación técnica",N1166,"Sector "&amp;VALUE(RIGHT(G1166,2)))</f>
        <v>Sector 7</v>
      </c>
      <c r="P1166" s="34" t="str">
        <f aca="false">IF(MID(D1166,15,3)="SEL","Subestación eléctrica","Área de proceso")</f>
        <v>Subestación eléctrica</v>
      </c>
      <c r="Q1166" s="34" t="str">
        <f aca="false">MID(D1166,13,5)&amp;"|"&amp;MID(D1166,19,5)</f>
        <v>07SEL|S19_1</v>
      </c>
      <c r="R1166" s="34" t="str">
        <f aca="false">IF(P1166="Subestación eléctrica",IFERROR(INDEX(cat_SubN,MATCH(Q1166,cat_SubK,0)),"SIN CATALOGAR"),"ÁREA DE PROCESO")</f>
        <v>SE-19-1</v>
      </c>
      <c r="S1166" s="34" t="str">
        <f aca="false">IF(H1166="","SIN DATO",IFERROR(INDEX(cat_MarcaN,MATCH(H1166,cat_MarcaO,0)),H1166))</f>
        <v>ABB</v>
      </c>
      <c r="T1166" s="34" t="str">
        <f aca="false">IF(I1166="","SIN DATO",IFERROR(INDEX(cat_ModN,MATCH(I1166,cat_ModO,0)),I1166))</f>
        <v>REF</v>
      </c>
      <c r="U1166" s="34" t="str">
        <f aca="false">IF(I1166="","",IFERROR(INDEX(cat_ModG,MATCH(I1166,cat_ModO,0)),"No"))</f>
        <v>Sí</v>
      </c>
      <c r="V1166" s="34" t="str">
        <f aca="false">IF(J1166="","SIN DATO",IFERROR(INDEX(cat_FunN,MATCH(J1166,cat_FunO,0)),J1166))</f>
        <v>Protección y medición</v>
      </c>
      <c r="W1166" s="34" t="str">
        <f aca="false">IF(OR(S1166="SIN DATO",T1166="SIN DATO"),"No","Sí")</f>
        <v>Sí</v>
      </c>
    </row>
    <row r="1167" customFormat="false" ht="15" hidden="false" customHeight="false" outlineLevel="0" collapsed="false">
      <c r="A1167" s="34" t="s">
        <v>4319</v>
      </c>
      <c r="B1167" s="34" t="s">
        <v>4320</v>
      </c>
      <c r="C1167" s="34" t="s">
        <v>4321</v>
      </c>
      <c r="D1167" s="34" t="s">
        <v>4322</v>
      </c>
      <c r="E1167" s="34" t="s">
        <v>154</v>
      </c>
      <c r="F1167" s="34" t="s">
        <v>1602</v>
      </c>
      <c r="G1167" s="34" t="s">
        <v>343</v>
      </c>
      <c r="H1167" s="34" t="s">
        <v>34</v>
      </c>
      <c r="I1167" s="34" t="s">
        <v>39</v>
      </c>
      <c r="J1167" s="34" t="s">
        <v>228</v>
      </c>
      <c r="K1167" s="34" t="s">
        <v>229</v>
      </c>
      <c r="L1167" s="34" t="s">
        <v>230</v>
      </c>
      <c r="M1167" s="34" t="s">
        <v>231</v>
      </c>
      <c r="N1167" s="34" t="str">
        <f aca="false">"Sector "&amp;VALUE(MID(D1167,13,2))</f>
        <v>Sector 7</v>
      </c>
      <c r="O1167" s="34" t="str">
        <f aca="false">IF(Dashboard!$C$5="Ubicación técnica",N1167,"Sector "&amp;VALUE(RIGHT(G1167,2)))</f>
        <v>Sector 7</v>
      </c>
      <c r="P1167" s="34" t="str">
        <f aca="false">IF(MID(D1167,15,3)="SEL","Subestación eléctrica","Área de proceso")</f>
        <v>Subestación eléctrica</v>
      </c>
      <c r="Q1167" s="34" t="str">
        <f aca="false">MID(D1167,13,5)&amp;"|"&amp;MID(D1167,19,5)</f>
        <v>07SEL|S19_1</v>
      </c>
      <c r="R1167" s="34" t="str">
        <f aca="false">IF(P1167="Subestación eléctrica",IFERROR(INDEX(cat_SubN,MATCH(Q1167,cat_SubK,0)),"SIN CATALOGAR"),"ÁREA DE PROCESO")</f>
        <v>SE-19-1</v>
      </c>
      <c r="S1167" s="34" t="str">
        <f aca="false">IF(H1167="","SIN DATO",IFERROR(INDEX(cat_MarcaN,MATCH(H1167,cat_MarcaO,0)),H1167))</f>
        <v>ABB</v>
      </c>
      <c r="T1167" s="34" t="str">
        <f aca="false">IF(I1167="","SIN DATO",IFERROR(INDEX(cat_ModN,MATCH(I1167,cat_ModO,0)),I1167))</f>
        <v>REF</v>
      </c>
      <c r="U1167" s="34" t="str">
        <f aca="false">IF(I1167="","",IFERROR(INDEX(cat_ModG,MATCH(I1167,cat_ModO,0)),"No"))</f>
        <v>Sí</v>
      </c>
      <c r="V1167" s="34" t="str">
        <f aca="false">IF(J1167="","SIN DATO",IFERROR(INDEX(cat_FunN,MATCH(J1167,cat_FunO,0)),J1167))</f>
        <v>Protección y medición</v>
      </c>
      <c r="W1167" s="34" t="str">
        <f aca="false">IF(OR(S1167="SIN DATO",T1167="SIN DATO"),"No","Sí")</f>
        <v>Sí</v>
      </c>
    </row>
    <row r="1168" customFormat="false" ht="15" hidden="false" customHeight="false" outlineLevel="0" collapsed="false">
      <c r="A1168" s="34" t="s">
        <v>4323</v>
      </c>
      <c r="B1168" s="34" t="s">
        <v>4324</v>
      </c>
      <c r="C1168" s="34" t="s">
        <v>4325</v>
      </c>
      <c r="D1168" s="34" t="s">
        <v>4326</v>
      </c>
      <c r="E1168" s="34" t="s">
        <v>154</v>
      </c>
      <c r="F1168" s="34" t="s">
        <v>1602</v>
      </c>
      <c r="G1168" s="34" t="s">
        <v>343</v>
      </c>
      <c r="H1168" s="34" t="s">
        <v>34</v>
      </c>
      <c r="I1168" s="34" t="s">
        <v>39</v>
      </c>
      <c r="J1168" s="34" t="s">
        <v>228</v>
      </c>
      <c r="K1168" s="34" t="s">
        <v>229</v>
      </c>
      <c r="L1168" s="34" t="s">
        <v>230</v>
      </c>
      <c r="M1168" s="34" t="s">
        <v>231</v>
      </c>
      <c r="N1168" s="34" t="str">
        <f aca="false">"Sector "&amp;VALUE(MID(D1168,13,2))</f>
        <v>Sector 7</v>
      </c>
      <c r="O1168" s="34" t="str">
        <f aca="false">IF(Dashboard!$C$5="Ubicación técnica",N1168,"Sector "&amp;VALUE(RIGHT(G1168,2)))</f>
        <v>Sector 7</v>
      </c>
      <c r="P1168" s="34" t="str">
        <f aca="false">IF(MID(D1168,15,3)="SEL","Subestación eléctrica","Área de proceso")</f>
        <v>Subestación eléctrica</v>
      </c>
      <c r="Q1168" s="34" t="str">
        <f aca="false">MID(D1168,13,5)&amp;"|"&amp;MID(D1168,19,5)</f>
        <v>07SEL|S19_1</v>
      </c>
      <c r="R1168" s="34" t="str">
        <f aca="false">IF(P1168="Subestación eléctrica",IFERROR(INDEX(cat_SubN,MATCH(Q1168,cat_SubK,0)),"SIN CATALOGAR"),"ÁREA DE PROCESO")</f>
        <v>SE-19-1</v>
      </c>
      <c r="S1168" s="34" t="str">
        <f aca="false">IF(H1168="","SIN DATO",IFERROR(INDEX(cat_MarcaN,MATCH(H1168,cat_MarcaO,0)),H1168))</f>
        <v>ABB</v>
      </c>
      <c r="T1168" s="34" t="str">
        <f aca="false">IF(I1168="","SIN DATO",IFERROR(INDEX(cat_ModN,MATCH(I1168,cat_ModO,0)),I1168))</f>
        <v>REF</v>
      </c>
      <c r="U1168" s="34" t="str">
        <f aca="false">IF(I1168="","",IFERROR(INDEX(cat_ModG,MATCH(I1168,cat_ModO,0)),"No"))</f>
        <v>Sí</v>
      </c>
      <c r="V1168" s="34" t="str">
        <f aca="false">IF(J1168="","SIN DATO",IFERROR(INDEX(cat_FunN,MATCH(J1168,cat_FunO,0)),J1168))</f>
        <v>Protección y medición</v>
      </c>
      <c r="W1168" s="34" t="str">
        <f aca="false">IF(OR(S1168="SIN DATO",T1168="SIN DATO"),"No","Sí")</f>
        <v>Sí</v>
      </c>
    </row>
    <row r="1169" customFormat="false" ht="15" hidden="false" customHeight="false" outlineLevel="0" collapsed="false">
      <c r="A1169" s="34" t="s">
        <v>4327</v>
      </c>
      <c r="B1169" s="34" t="s">
        <v>4328</v>
      </c>
      <c r="C1169" s="34" t="s">
        <v>4329</v>
      </c>
      <c r="D1169" s="34" t="s">
        <v>4330</v>
      </c>
      <c r="E1169" s="34" t="s">
        <v>154</v>
      </c>
      <c r="F1169" s="34" t="s">
        <v>1602</v>
      </c>
      <c r="G1169" s="34" t="s">
        <v>343</v>
      </c>
      <c r="H1169" s="34" t="s">
        <v>34</v>
      </c>
      <c r="I1169" s="34" t="s">
        <v>39</v>
      </c>
      <c r="J1169" s="34" t="s">
        <v>228</v>
      </c>
      <c r="K1169" s="34" t="s">
        <v>229</v>
      </c>
      <c r="L1169" s="34" t="s">
        <v>230</v>
      </c>
      <c r="M1169" s="34" t="s">
        <v>231</v>
      </c>
      <c r="N1169" s="34" t="str">
        <f aca="false">"Sector "&amp;VALUE(MID(D1169,13,2))</f>
        <v>Sector 7</v>
      </c>
      <c r="O1169" s="34" t="str">
        <f aca="false">IF(Dashboard!$C$5="Ubicación técnica",N1169,"Sector "&amp;VALUE(RIGHT(G1169,2)))</f>
        <v>Sector 7</v>
      </c>
      <c r="P1169" s="34" t="str">
        <f aca="false">IF(MID(D1169,15,3)="SEL","Subestación eléctrica","Área de proceso")</f>
        <v>Subestación eléctrica</v>
      </c>
      <c r="Q1169" s="34" t="str">
        <f aca="false">MID(D1169,13,5)&amp;"|"&amp;MID(D1169,19,5)</f>
        <v>07SEL|S19_1</v>
      </c>
      <c r="R1169" s="34" t="str">
        <f aca="false">IF(P1169="Subestación eléctrica",IFERROR(INDEX(cat_SubN,MATCH(Q1169,cat_SubK,0)),"SIN CATALOGAR"),"ÁREA DE PROCESO")</f>
        <v>SE-19-1</v>
      </c>
      <c r="S1169" s="34" t="str">
        <f aca="false">IF(H1169="","SIN DATO",IFERROR(INDEX(cat_MarcaN,MATCH(H1169,cat_MarcaO,0)),H1169))</f>
        <v>ABB</v>
      </c>
      <c r="T1169" s="34" t="str">
        <f aca="false">IF(I1169="","SIN DATO",IFERROR(INDEX(cat_ModN,MATCH(I1169,cat_ModO,0)),I1169))</f>
        <v>REF</v>
      </c>
      <c r="U1169" s="34" t="str">
        <f aca="false">IF(I1169="","",IFERROR(INDEX(cat_ModG,MATCH(I1169,cat_ModO,0)),"No"))</f>
        <v>Sí</v>
      </c>
      <c r="V1169" s="34" t="str">
        <f aca="false">IF(J1169="","SIN DATO",IFERROR(INDEX(cat_FunN,MATCH(J1169,cat_FunO,0)),J1169))</f>
        <v>Protección y medición</v>
      </c>
      <c r="W1169" s="34" t="str">
        <f aca="false">IF(OR(S1169="SIN DATO",T1169="SIN DATO"),"No","Sí")</f>
        <v>Sí</v>
      </c>
    </row>
    <row r="1170" customFormat="false" ht="15" hidden="false" customHeight="false" outlineLevel="0" collapsed="false">
      <c r="A1170" s="34" t="s">
        <v>4331</v>
      </c>
      <c r="B1170" s="34" t="s">
        <v>4332</v>
      </c>
      <c r="C1170" s="34" t="s">
        <v>4333</v>
      </c>
      <c r="D1170" s="34" t="s">
        <v>4334</v>
      </c>
      <c r="E1170" s="34" t="s">
        <v>154</v>
      </c>
      <c r="F1170" s="34" t="s">
        <v>1602</v>
      </c>
      <c r="G1170" s="34" t="s">
        <v>343</v>
      </c>
      <c r="H1170" s="34" t="s">
        <v>61</v>
      </c>
      <c r="I1170" s="34" t="s">
        <v>63</v>
      </c>
      <c r="J1170" s="34" t="s">
        <v>58</v>
      </c>
      <c r="K1170" s="34" t="s">
        <v>229</v>
      </c>
      <c r="L1170" s="34" t="s">
        <v>230</v>
      </c>
      <c r="M1170" s="34" t="s">
        <v>231</v>
      </c>
      <c r="N1170" s="34" t="str">
        <f aca="false">"Sector "&amp;VALUE(MID(D1170,13,2))</f>
        <v>Sector 7</v>
      </c>
      <c r="O1170" s="34" t="str">
        <f aca="false">IF(Dashboard!$C$5="Ubicación técnica",N1170,"Sector "&amp;VALUE(RIGHT(G1170,2)))</f>
        <v>Sector 7</v>
      </c>
      <c r="P1170" s="34" t="str">
        <f aca="false">IF(MID(D1170,15,3)="SEL","Subestación eléctrica","Área de proceso")</f>
        <v>Subestación eléctrica</v>
      </c>
      <c r="Q1170" s="34" t="str">
        <f aca="false">MID(D1170,13,5)&amp;"|"&amp;MID(D1170,19,5)</f>
        <v>07SEL|S19_1</v>
      </c>
      <c r="R1170" s="34" t="str">
        <f aca="false">IF(P1170="Subestación eléctrica",IFERROR(INDEX(cat_SubN,MATCH(Q1170,cat_SubK,0)),"SIN CATALOGAR"),"ÁREA DE PROCESO")</f>
        <v>SE-19-1</v>
      </c>
      <c r="S1170" s="34" t="str">
        <f aca="false">IF(H1170="","SIN DATO",IFERROR(INDEX(cat_MarcaN,MATCH(H1170,cat_MarcaO,0)),H1170))</f>
        <v>GENERAL ELECTRIC</v>
      </c>
      <c r="T1170" s="34" t="str">
        <f aca="false">IF(I1170="","SIN DATO",IFERROR(INDEX(cat_ModN,MATCH(I1170,cat_ModO,0)),I1170))</f>
        <v>MULTILIN</v>
      </c>
      <c r="U1170" s="34" t="str">
        <f aca="false">IF(I1170="","",IFERROR(INDEX(cat_ModG,MATCH(I1170,cat_ModO,0)),"No"))</f>
        <v>Sí</v>
      </c>
      <c r="V1170" s="34" t="str">
        <f aca="false">IF(J1170="","SIN DATO",IFERROR(INDEX(cat_FunN,MATCH(J1170,cat_FunO,0)),J1170))</f>
        <v>Medición</v>
      </c>
      <c r="W1170" s="34" t="str">
        <f aca="false">IF(OR(S1170="SIN DATO",T1170="SIN DATO"),"No","Sí")</f>
        <v>Sí</v>
      </c>
    </row>
    <row r="1171" customFormat="false" ht="15" hidden="false" customHeight="false" outlineLevel="0" collapsed="false">
      <c r="A1171" s="34" t="s">
        <v>4335</v>
      </c>
      <c r="B1171" s="34" t="s">
        <v>4336</v>
      </c>
      <c r="C1171" s="34" t="s">
        <v>4337</v>
      </c>
      <c r="D1171" s="34" t="s">
        <v>4338</v>
      </c>
      <c r="E1171" s="34" t="s">
        <v>154</v>
      </c>
      <c r="F1171" s="34" t="s">
        <v>1602</v>
      </c>
      <c r="G1171" s="34" t="s">
        <v>343</v>
      </c>
      <c r="H1171" s="34" t="s">
        <v>61</v>
      </c>
      <c r="I1171" s="34" t="s">
        <v>63</v>
      </c>
      <c r="J1171" s="34" t="s">
        <v>58</v>
      </c>
      <c r="K1171" s="34" t="s">
        <v>229</v>
      </c>
      <c r="L1171" s="34" t="s">
        <v>230</v>
      </c>
      <c r="M1171" s="34" t="s">
        <v>231</v>
      </c>
      <c r="N1171" s="34" t="str">
        <f aca="false">"Sector "&amp;VALUE(MID(D1171,13,2))</f>
        <v>Sector 7</v>
      </c>
      <c r="O1171" s="34" t="str">
        <f aca="false">IF(Dashboard!$C$5="Ubicación técnica",N1171,"Sector "&amp;VALUE(RIGHT(G1171,2)))</f>
        <v>Sector 7</v>
      </c>
      <c r="P1171" s="34" t="str">
        <f aca="false">IF(MID(D1171,15,3)="SEL","Subestación eléctrica","Área de proceso")</f>
        <v>Subestación eléctrica</v>
      </c>
      <c r="Q1171" s="34" t="str">
        <f aca="false">MID(D1171,13,5)&amp;"|"&amp;MID(D1171,19,5)</f>
        <v>07SEL|S19_1</v>
      </c>
      <c r="R1171" s="34" t="str">
        <f aca="false">IF(P1171="Subestación eléctrica",IFERROR(INDEX(cat_SubN,MATCH(Q1171,cat_SubK,0)),"SIN CATALOGAR"),"ÁREA DE PROCESO")</f>
        <v>SE-19-1</v>
      </c>
      <c r="S1171" s="34" t="str">
        <f aca="false">IF(H1171="","SIN DATO",IFERROR(INDEX(cat_MarcaN,MATCH(H1171,cat_MarcaO,0)),H1171))</f>
        <v>GENERAL ELECTRIC</v>
      </c>
      <c r="T1171" s="34" t="str">
        <f aca="false">IF(I1171="","SIN DATO",IFERROR(INDEX(cat_ModN,MATCH(I1171,cat_ModO,0)),I1171))</f>
        <v>MULTILIN</v>
      </c>
      <c r="U1171" s="34" t="str">
        <f aca="false">IF(I1171="","",IFERROR(INDEX(cat_ModG,MATCH(I1171,cat_ModO,0)),"No"))</f>
        <v>Sí</v>
      </c>
      <c r="V1171" s="34" t="str">
        <f aca="false">IF(J1171="","SIN DATO",IFERROR(INDEX(cat_FunN,MATCH(J1171,cat_FunO,0)),J1171))</f>
        <v>Medición</v>
      </c>
      <c r="W1171" s="34" t="str">
        <f aca="false">IF(OR(S1171="SIN DATO",T1171="SIN DATO"),"No","Sí")</f>
        <v>Sí</v>
      </c>
    </row>
    <row r="1172" customFormat="false" ht="15" hidden="false" customHeight="false" outlineLevel="0" collapsed="false">
      <c r="A1172" s="34" t="s">
        <v>4339</v>
      </c>
      <c r="B1172" s="34" t="s">
        <v>4340</v>
      </c>
      <c r="C1172" s="34" t="s">
        <v>4341</v>
      </c>
      <c r="D1172" s="34" t="s">
        <v>4342</v>
      </c>
      <c r="E1172" s="34" t="s">
        <v>154</v>
      </c>
      <c r="F1172" s="34" t="s">
        <v>1602</v>
      </c>
      <c r="G1172" s="34" t="s">
        <v>343</v>
      </c>
      <c r="H1172" s="34" t="s">
        <v>55</v>
      </c>
      <c r="I1172" s="34" t="s">
        <v>55</v>
      </c>
      <c r="J1172" s="34" t="s">
        <v>58</v>
      </c>
      <c r="K1172" s="34" t="s">
        <v>229</v>
      </c>
      <c r="L1172" s="34" t="s">
        <v>230</v>
      </c>
      <c r="M1172" s="34" t="s">
        <v>4343</v>
      </c>
      <c r="N1172" s="34" t="str">
        <f aca="false">"Sector "&amp;VALUE(MID(D1172,13,2))</f>
        <v>Sector 7</v>
      </c>
      <c r="O1172" s="34" t="str">
        <f aca="false">IF(Dashboard!$C$5="Ubicación técnica",N1172,"Sector "&amp;VALUE(RIGHT(G1172,2)))</f>
        <v>Sector 7</v>
      </c>
      <c r="P1172" s="34" t="str">
        <f aca="false">IF(MID(D1172,15,3)="SEL","Subestación eléctrica","Área de proceso")</f>
        <v>Subestación eléctrica</v>
      </c>
      <c r="Q1172" s="34" t="str">
        <f aca="false">MID(D1172,13,5)&amp;"|"&amp;MID(D1172,19,5)</f>
        <v>07SEL|S19_1</v>
      </c>
      <c r="R1172" s="34" t="str">
        <f aca="false">IF(P1172="Subestación eléctrica",IFERROR(INDEX(cat_SubN,MATCH(Q1172,cat_SubK,0)),"SIN CATALOGAR"),"ÁREA DE PROCESO")</f>
        <v>SE-19-1</v>
      </c>
      <c r="S1172" s="34" t="str">
        <f aca="false">IF(H1172="","SIN DATO",IFERROR(INDEX(cat_MarcaN,MATCH(H1172,cat_MarcaO,0)),H1172))</f>
        <v>SEL</v>
      </c>
      <c r="T1172" s="34" t="str">
        <f aca="false">IF(I1172="","SIN DATO",IFERROR(INDEX(cat_ModN,MATCH(I1172,cat_ModO,0)),I1172))</f>
        <v>SEL</v>
      </c>
      <c r="U1172" s="34" t="str">
        <f aca="false">IF(I1172="","",IFERROR(INDEX(cat_ModG,MATCH(I1172,cat_ModO,0)),"No"))</f>
        <v>Sí</v>
      </c>
      <c r="V1172" s="34" t="str">
        <f aca="false">IF(J1172="","SIN DATO",IFERROR(INDEX(cat_FunN,MATCH(J1172,cat_FunO,0)),J1172))</f>
        <v>Medición</v>
      </c>
      <c r="W1172" s="34" t="str">
        <f aca="false">IF(OR(S1172="SIN DATO",T1172="SIN DATO"),"No","Sí")</f>
        <v>Sí</v>
      </c>
    </row>
    <row r="1173" customFormat="false" ht="15" hidden="false" customHeight="false" outlineLevel="0" collapsed="false">
      <c r="A1173" s="34" t="s">
        <v>4344</v>
      </c>
      <c r="B1173" s="34" t="s">
        <v>4345</v>
      </c>
      <c r="C1173" s="34" t="s">
        <v>4346</v>
      </c>
      <c r="D1173" s="34" t="s">
        <v>4347</v>
      </c>
      <c r="E1173" s="34" t="s">
        <v>154</v>
      </c>
      <c r="F1173" s="34" t="s">
        <v>1602</v>
      </c>
      <c r="G1173" s="34" t="s">
        <v>343</v>
      </c>
      <c r="H1173" s="34" t="s">
        <v>55</v>
      </c>
      <c r="I1173" s="34" t="s">
        <v>55</v>
      </c>
      <c r="J1173" s="34" t="s">
        <v>58</v>
      </c>
      <c r="K1173" s="34" t="s">
        <v>229</v>
      </c>
      <c r="L1173" s="34" t="s">
        <v>230</v>
      </c>
      <c r="M1173" s="34" t="s">
        <v>4343</v>
      </c>
      <c r="N1173" s="34" t="str">
        <f aca="false">"Sector "&amp;VALUE(MID(D1173,13,2))</f>
        <v>Sector 7</v>
      </c>
      <c r="O1173" s="34" t="str">
        <f aca="false">IF(Dashboard!$C$5="Ubicación técnica",N1173,"Sector "&amp;VALUE(RIGHT(G1173,2)))</f>
        <v>Sector 7</v>
      </c>
      <c r="P1173" s="34" t="str">
        <f aca="false">IF(MID(D1173,15,3)="SEL","Subestación eléctrica","Área de proceso")</f>
        <v>Subestación eléctrica</v>
      </c>
      <c r="Q1173" s="34" t="str">
        <f aca="false">MID(D1173,13,5)&amp;"|"&amp;MID(D1173,19,5)</f>
        <v>07SEL|S19_1</v>
      </c>
      <c r="R1173" s="34" t="str">
        <f aca="false">IF(P1173="Subestación eléctrica",IFERROR(INDEX(cat_SubN,MATCH(Q1173,cat_SubK,0)),"SIN CATALOGAR"),"ÁREA DE PROCESO")</f>
        <v>SE-19-1</v>
      </c>
      <c r="S1173" s="34" t="str">
        <f aca="false">IF(H1173="","SIN DATO",IFERROR(INDEX(cat_MarcaN,MATCH(H1173,cat_MarcaO,0)),H1173))</f>
        <v>SEL</v>
      </c>
      <c r="T1173" s="34" t="str">
        <f aca="false">IF(I1173="","SIN DATO",IFERROR(INDEX(cat_ModN,MATCH(I1173,cat_ModO,0)),I1173))</f>
        <v>SEL</v>
      </c>
      <c r="U1173" s="34" t="str">
        <f aca="false">IF(I1173="","",IFERROR(INDEX(cat_ModG,MATCH(I1173,cat_ModO,0)),"No"))</f>
        <v>Sí</v>
      </c>
      <c r="V1173" s="34" t="str">
        <f aca="false">IF(J1173="","SIN DATO",IFERROR(INDEX(cat_FunN,MATCH(J1173,cat_FunO,0)),J1173))</f>
        <v>Medición</v>
      </c>
      <c r="W1173" s="34" t="str">
        <f aca="false">IF(OR(S1173="SIN DATO",T1173="SIN DATO"),"No","Sí")</f>
        <v>Sí</v>
      </c>
    </row>
    <row r="1174" customFormat="false" ht="15" hidden="false" customHeight="false" outlineLevel="0" collapsed="false">
      <c r="A1174" s="34" t="s">
        <v>4348</v>
      </c>
      <c r="B1174" s="34" t="s">
        <v>4349</v>
      </c>
      <c r="C1174" s="34" t="s">
        <v>4350</v>
      </c>
      <c r="D1174" s="34" t="s">
        <v>4351</v>
      </c>
      <c r="E1174" s="34" t="s">
        <v>150</v>
      </c>
      <c r="F1174" s="34" t="s">
        <v>1602</v>
      </c>
      <c r="G1174" s="34" t="s">
        <v>343</v>
      </c>
      <c r="H1174" s="34" t="s">
        <v>73</v>
      </c>
      <c r="I1174" s="34" t="s">
        <v>75</v>
      </c>
      <c r="J1174" s="34" t="s">
        <v>228</v>
      </c>
      <c r="K1174" s="34" t="s">
        <v>229</v>
      </c>
      <c r="L1174" s="34" t="s">
        <v>230</v>
      </c>
      <c r="M1174" s="34" t="s">
        <v>344</v>
      </c>
      <c r="N1174" s="34" t="str">
        <f aca="false">"Sector "&amp;VALUE(MID(D1174,13,2))</f>
        <v>Sector 7</v>
      </c>
      <c r="O1174" s="34" t="str">
        <f aca="false">IF(Dashboard!$C$5="Ubicación técnica",N1174,"Sector "&amp;VALUE(RIGHT(G1174,2)))</f>
        <v>Sector 7</v>
      </c>
      <c r="P1174" s="34" t="str">
        <f aca="false">IF(MID(D1174,15,3)="SEL","Subestación eléctrica","Área de proceso")</f>
        <v>Subestación eléctrica</v>
      </c>
      <c r="Q1174" s="34" t="str">
        <f aca="false">MID(D1174,13,5)&amp;"|"&amp;MID(D1174,19,5)</f>
        <v>07SEL|S_010</v>
      </c>
      <c r="R1174" s="34" t="str">
        <f aca="false">IF(P1174="Subestación eléctrica",IFERROR(INDEX(cat_SubN,MATCH(Q1174,cat_SubK,0)),"SIN CATALOGAR"),"ÁREA DE PROCESO")</f>
        <v>SE-10</v>
      </c>
      <c r="S1174" s="34" t="str">
        <f aca="false">IF(H1174="","SIN DATO",IFERROR(INDEX(cat_MarcaN,MATCH(H1174,cat_MarcaO,0)),H1174))</f>
        <v>SIEMENS</v>
      </c>
      <c r="T1174" s="34" t="str">
        <f aca="false">IF(I1174="","SIN DATO",IFERROR(INDEX(cat_ModN,MATCH(I1174,cat_ModO,0)),I1174))</f>
        <v>REYROLLE</v>
      </c>
      <c r="U1174" s="34" t="str">
        <f aca="false">IF(I1174="","",IFERROR(INDEX(cat_ModG,MATCH(I1174,cat_ModO,0)),"No"))</f>
        <v>Sí</v>
      </c>
      <c r="V1174" s="34" t="str">
        <f aca="false">IF(J1174="","SIN DATO",IFERROR(INDEX(cat_FunN,MATCH(J1174,cat_FunO,0)),J1174))</f>
        <v>Protección y medición</v>
      </c>
      <c r="W1174" s="34" t="str">
        <f aca="false">IF(OR(S1174="SIN DATO",T1174="SIN DATO"),"No","Sí")</f>
        <v>Sí</v>
      </c>
    </row>
    <row r="1175" customFormat="false" ht="15" hidden="false" customHeight="false" outlineLevel="0" collapsed="false">
      <c r="A1175" s="34" t="s">
        <v>4352</v>
      </c>
      <c r="B1175" s="34" t="s">
        <v>4353</v>
      </c>
      <c r="C1175" s="34" t="s">
        <v>4354</v>
      </c>
      <c r="D1175" s="34" t="s">
        <v>4351</v>
      </c>
      <c r="E1175" s="34" t="s">
        <v>150</v>
      </c>
      <c r="F1175" s="34" t="s">
        <v>1602</v>
      </c>
      <c r="G1175" s="34" t="s">
        <v>343</v>
      </c>
      <c r="H1175" s="34" t="s">
        <v>73</v>
      </c>
      <c r="I1175" s="34" t="s">
        <v>75</v>
      </c>
      <c r="J1175" s="34" t="s">
        <v>228</v>
      </c>
      <c r="K1175" s="34" t="s">
        <v>229</v>
      </c>
      <c r="L1175" s="34" t="s">
        <v>230</v>
      </c>
      <c r="M1175" s="34" t="s">
        <v>344</v>
      </c>
      <c r="N1175" s="34" t="str">
        <f aca="false">"Sector "&amp;VALUE(MID(D1175,13,2))</f>
        <v>Sector 7</v>
      </c>
      <c r="O1175" s="34" t="str">
        <f aca="false">IF(Dashboard!$C$5="Ubicación técnica",N1175,"Sector "&amp;VALUE(RIGHT(G1175,2)))</f>
        <v>Sector 7</v>
      </c>
      <c r="P1175" s="34" t="str">
        <f aca="false">IF(MID(D1175,15,3)="SEL","Subestación eléctrica","Área de proceso")</f>
        <v>Subestación eléctrica</v>
      </c>
      <c r="Q1175" s="34" t="str">
        <f aca="false">MID(D1175,13,5)&amp;"|"&amp;MID(D1175,19,5)</f>
        <v>07SEL|S_010</v>
      </c>
      <c r="R1175" s="34" t="str">
        <f aca="false">IF(P1175="Subestación eléctrica",IFERROR(INDEX(cat_SubN,MATCH(Q1175,cat_SubK,0)),"SIN CATALOGAR"),"ÁREA DE PROCESO")</f>
        <v>SE-10</v>
      </c>
      <c r="S1175" s="34" t="str">
        <f aca="false">IF(H1175="","SIN DATO",IFERROR(INDEX(cat_MarcaN,MATCH(H1175,cat_MarcaO,0)),H1175))</f>
        <v>SIEMENS</v>
      </c>
      <c r="T1175" s="34" t="str">
        <f aca="false">IF(I1175="","SIN DATO",IFERROR(INDEX(cat_ModN,MATCH(I1175,cat_ModO,0)),I1175))</f>
        <v>REYROLLE</v>
      </c>
      <c r="U1175" s="34" t="str">
        <f aca="false">IF(I1175="","",IFERROR(INDEX(cat_ModG,MATCH(I1175,cat_ModO,0)),"No"))</f>
        <v>Sí</v>
      </c>
      <c r="V1175" s="34" t="str">
        <f aca="false">IF(J1175="","SIN DATO",IFERROR(INDEX(cat_FunN,MATCH(J1175,cat_FunO,0)),J1175))</f>
        <v>Protección y medición</v>
      </c>
      <c r="W1175" s="34" t="str">
        <f aca="false">IF(OR(S1175="SIN DATO",T1175="SIN DATO"),"No","Sí")</f>
        <v>Sí</v>
      </c>
    </row>
    <row r="1176" customFormat="false" ht="15" hidden="false" customHeight="false" outlineLevel="0" collapsed="false">
      <c r="A1176" s="34" t="s">
        <v>4355</v>
      </c>
      <c r="B1176" s="34" t="s">
        <v>4356</v>
      </c>
      <c r="C1176" s="34" t="s">
        <v>4357</v>
      </c>
      <c r="D1176" s="34" t="s">
        <v>4358</v>
      </c>
      <c r="E1176" s="34" t="s">
        <v>150</v>
      </c>
      <c r="F1176" s="34" t="s">
        <v>1602</v>
      </c>
      <c r="G1176" s="34" t="s">
        <v>343</v>
      </c>
      <c r="H1176" s="34" t="s">
        <v>73</v>
      </c>
      <c r="I1176" s="34" t="s">
        <v>75</v>
      </c>
      <c r="J1176" s="34" t="s">
        <v>228</v>
      </c>
      <c r="K1176" s="34" t="s">
        <v>229</v>
      </c>
      <c r="L1176" s="34" t="s">
        <v>230</v>
      </c>
      <c r="M1176" s="34" t="s">
        <v>344</v>
      </c>
      <c r="N1176" s="34" t="str">
        <f aca="false">"Sector "&amp;VALUE(MID(D1176,13,2))</f>
        <v>Sector 7</v>
      </c>
      <c r="O1176" s="34" t="str">
        <f aca="false">IF(Dashboard!$C$5="Ubicación técnica",N1176,"Sector "&amp;VALUE(RIGHT(G1176,2)))</f>
        <v>Sector 7</v>
      </c>
      <c r="P1176" s="34" t="str">
        <f aca="false">IF(MID(D1176,15,3)="SEL","Subestación eléctrica","Área de proceso")</f>
        <v>Subestación eléctrica</v>
      </c>
      <c r="Q1176" s="34" t="str">
        <f aca="false">MID(D1176,13,5)&amp;"|"&amp;MID(D1176,19,5)</f>
        <v>07SEL|S_010</v>
      </c>
      <c r="R1176" s="34" t="str">
        <f aca="false">IF(P1176="Subestación eléctrica",IFERROR(INDEX(cat_SubN,MATCH(Q1176,cat_SubK,0)),"SIN CATALOGAR"),"ÁREA DE PROCESO")</f>
        <v>SE-10</v>
      </c>
      <c r="S1176" s="34" t="str">
        <f aca="false">IF(H1176="","SIN DATO",IFERROR(INDEX(cat_MarcaN,MATCH(H1176,cat_MarcaO,0)),H1176))</f>
        <v>SIEMENS</v>
      </c>
      <c r="T1176" s="34" t="str">
        <f aca="false">IF(I1176="","SIN DATO",IFERROR(INDEX(cat_ModN,MATCH(I1176,cat_ModO,0)),I1176))</f>
        <v>REYROLLE</v>
      </c>
      <c r="U1176" s="34" t="str">
        <f aca="false">IF(I1176="","",IFERROR(INDEX(cat_ModG,MATCH(I1176,cat_ModO,0)),"No"))</f>
        <v>Sí</v>
      </c>
      <c r="V1176" s="34" t="str">
        <f aca="false">IF(J1176="","SIN DATO",IFERROR(INDEX(cat_FunN,MATCH(J1176,cat_FunO,0)),J1176))</f>
        <v>Protección y medición</v>
      </c>
      <c r="W1176" s="34" t="str">
        <f aca="false">IF(OR(S1176="SIN DATO",T1176="SIN DATO"),"No","Sí")</f>
        <v>Sí</v>
      </c>
    </row>
    <row r="1177" customFormat="false" ht="15" hidden="false" customHeight="false" outlineLevel="0" collapsed="false">
      <c r="A1177" s="34" t="s">
        <v>4359</v>
      </c>
      <c r="B1177" s="34" t="s">
        <v>4360</v>
      </c>
      <c r="C1177" s="34" t="s">
        <v>4361</v>
      </c>
      <c r="D1177" s="34" t="s">
        <v>4362</v>
      </c>
      <c r="E1177" s="34" t="s">
        <v>150</v>
      </c>
      <c r="F1177" s="34" t="s">
        <v>1602</v>
      </c>
      <c r="G1177" s="34" t="s">
        <v>343</v>
      </c>
      <c r="H1177" s="34" t="s">
        <v>73</v>
      </c>
      <c r="I1177" s="34" t="s">
        <v>75</v>
      </c>
      <c r="J1177" s="34" t="s">
        <v>228</v>
      </c>
      <c r="K1177" s="34" t="s">
        <v>229</v>
      </c>
      <c r="L1177" s="34" t="s">
        <v>230</v>
      </c>
      <c r="M1177" s="34" t="s">
        <v>344</v>
      </c>
      <c r="N1177" s="34" t="str">
        <f aca="false">"Sector "&amp;VALUE(MID(D1177,13,2))</f>
        <v>Sector 7</v>
      </c>
      <c r="O1177" s="34" t="str">
        <f aca="false">IF(Dashboard!$C$5="Ubicación técnica",N1177,"Sector "&amp;VALUE(RIGHT(G1177,2)))</f>
        <v>Sector 7</v>
      </c>
      <c r="P1177" s="34" t="str">
        <f aca="false">IF(MID(D1177,15,3)="SEL","Subestación eléctrica","Área de proceso")</f>
        <v>Subestación eléctrica</v>
      </c>
      <c r="Q1177" s="34" t="str">
        <f aca="false">MID(D1177,13,5)&amp;"|"&amp;MID(D1177,19,5)</f>
        <v>07SEL|S_010</v>
      </c>
      <c r="R1177" s="34" t="str">
        <f aca="false">IF(P1177="Subestación eléctrica",IFERROR(INDEX(cat_SubN,MATCH(Q1177,cat_SubK,0)),"SIN CATALOGAR"),"ÁREA DE PROCESO")</f>
        <v>SE-10</v>
      </c>
      <c r="S1177" s="34" t="str">
        <f aca="false">IF(H1177="","SIN DATO",IFERROR(INDEX(cat_MarcaN,MATCH(H1177,cat_MarcaO,0)),H1177))</f>
        <v>SIEMENS</v>
      </c>
      <c r="T1177" s="34" t="str">
        <f aca="false">IF(I1177="","SIN DATO",IFERROR(INDEX(cat_ModN,MATCH(I1177,cat_ModO,0)),I1177))</f>
        <v>REYROLLE</v>
      </c>
      <c r="U1177" s="34" t="str">
        <f aca="false">IF(I1177="","",IFERROR(INDEX(cat_ModG,MATCH(I1177,cat_ModO,0)),"No"))</f>
        <v>Sí</v>
      </c>
      <c r="V1177" s="34" t="str">
        <f aca="false">IF(J1177="","SIN DATO",IFERROR(INDEX(cat_FunN,MATCH(J1177,cat_FunO,0)),J1177))</f>
        <v>Protección y medición</v>
      </c>
      <c r="W1177" s="34" t="str">
        <f aca="false">IF(OR(S1177="SIN DATO",T1177="SIN DATO"),"No","Sí")</f>
        <v>Sí</v>
      </c>
    </row>
    <row r="1178" customFormat="false" ht="15" hidden="false" customHeight="false" outlineLevel="0" collapsed="false">
      <c r="A1178" s="34" t="s">
        <v>4363</v>
      </c>
      <c r="B1178" s="34" t="s">
        <v>4364</v>
      </c>
      <c r="C1178" s="34" t="s">
        <v>4365</v>
      </c>
      <c r="D1178" s="34" t="s">
        <v>4366</v>
      </c>
      <c r="E1178" s="34" t="s">
        <v>150</v>
      </c>
      <c r="F1178" s="34" t="s">
        <v>1602</v>
      </c>
      <c r="G1178" s="34" t="s">
        <v>343</v>
      </c>
      <c r="H1178" s="34" t="s">
        <v>73</v>
      </c>
      <c r="I1178" s="34" t="s">
        <v>75</v>
      </c>
      <c r="J1178" s="34" t="s">
        <v>228</v>
      </c>
      <c r="K1178" s="34" t="s">
        <v>229</v>
      </c>
      <c r="L1178" s="34" t="s">
        <v>230</v>
      </c>
      <c r="M1178" s="34" t="s">
        <v>344</v>
      </c>
      <c r="N1178" s="34" t="str">
        <f aca="false">"Sector "&amp;VALUE(MID(D1178,13,2))</f>
        <v>Sector 7</v>
      </c>
      <c r="O1178" s="34" t="str">
        <f aca="false">IF(Dashboard!$C$5="Ubicación técnica",N1178,"Sector "&amp;VALUE(RIGHT(G1178,2)))</f>
        <v>Sector 7</v>
      </c>
      <c r="P1178" s="34" t="str">
        <f aca="false">IF(MID(D1178,15,3)="SEL","Subestación eléctrica","Área de proceso")</f>
        <v>Subestación eléctrica</v>
      </c>
      <c r="Q1178" s="34" t="str">
        <f aca="false">MID(D1178,13,5)&amp;"|"&amp;MID(D1178,19,5)</f>
        <v>07SEL|S_010</v>
      </c>
      <c r="R1178" s="34" t="str">
        <f aca="false">IF(P1178="Subestación eléctrica",IFERROR(INDEX(cat_SubN,MATCH(Q1178,cat_SubK,0)),"SIN CATALOGAR"),"ÁREA DE PROCESO")</f>
        <v>SE-10</v>
      </c>
      <c r="S1178" s="34" t="str">
        <f aca="false">IF(H1178="","SIN DATO",IFERROR(INDEX(cat_MarcaN,MATCH(H1178,cat_MarcaO,0)),H1178))</f>
        <v>SIEMENS</v>
      </c>
      <c r="T1178" s="34" t="str">
        <f aca="false">IF(I1178="","SIN DATO",IFERROR(INDEX(cat_ModN,MATCH(I1178,cat_ModO,0)),I1178))</f>
        <v>REYROLLE</v>
      </c>
      <c r="U1178" s="34" t="str">
        <f aca="false">IF(I1178="","",IFERROR(INDEX(cat_ModG,MATCH(I1178,cat_ModO,0)),"No"))</f>
        <v>Sí</v>
      </c>
      <c r="V1178" s="34" t="str">
        <f aca="false">IF(J1178="","SIN DATO",IFERROR(INDEX(cat_FunN,MATCH(J1178,cat_FunO,0)),J1178))</f>
        <v>Protección y medición</v>
      </c>
      <c r="W1178" s="34" t="str">
        <f aca="false">IF(OR(S1178="SIN DATO",T1178="SIN DATO"),"No","Sí")</f>
        <v>Sí</v>
      </c>
    </row>
    <row r="1179" customFormat="false" ht="15" hidden="false" customHeight="false" outlineLevel="0" collapsed="false">
      <c r="A1179" s="34" t="s">
        <v>4367</v>
      </c>
      <c r="B1179" s="34" t="s">
        <v>4368</v>
      </c>
      <c r="C1179" s="34" t="s">
        <v>4369</v>
      </c>
      <c r="D1179" s="34" t="s">
        <v>4370</v>
      </c>
      <c r="E1179" s="34" t="s">
        <v>150</v>
      </c>
      <c r="F1179" s="34" t="s">
        <v>1602</v>
      </c>
      <c r="G1179" s="34" t="s">
        <v>343</v>
      </c>
      <c r="H1179" s="34" t="s">
        <v>73</v>
      </c>
      <c r="I1179" s="34" t="s">
        <v>75</v>
      </c>
      <c r="J1179" s="34" t="s">
        <v>228</v>
      </c>
      <c r="K1179" s="34" t="s">
        <v>229</v>
      </c>
      <c r="L1179" s="34" t="s">
        <v>230</v>
      </c>
      <c r="M1179" s="34" t="s">
        <v>344</v>
      </c>
      <c r="N1179" s="34" t="str">
        <f aca="false">"Sector "&amp;VALUE(MID(D1179,13,2))</f>
        <v>Sector 7</v>
      </c>
      <c r="O1179" s="34" t="str">
        <f aca="false">IF(Dashboard!$C$5="Ubicación técnica",N1179,"Sector "&amp;VALUE(RIGHT(G1179,2)))</f>
        <v>Sector 7</v>
      </c>
      <c r="P1179" s="34" t="str">
        <f aca="false">IF(MID(D1179,15,3)="SEL","Subestación eléctrica","Área de proceso")</f>
        <v>Subestación eléctrica</v>
      </c>
      <c r="Q1179" s="34" t="str">
        <f aca="false">MID(D1179,13,5)&amp;"|"&amp;MID(D1179,19,5)</f>
        <v>07SEL|S_010</v>
      </c>
      <c r="R1179" s="34" t="str">
        <f aca="false">IF(P1179="Subestación eléctrica",IFERROR(INDEX(cat_SubN,MATCH(Q1179,cat_SubK,0)),"SIN CATALOGAR"),"ÁREA DE PROCESO")</f>
        <v>SE-10</v>
      </c>
      <c r="S1179" s="34" t="str">
        <f aca="false">IF(H1179="","SIN DATO",IFERROR(INDEX(cat_MarcaN,MATCH(H1179,cat_MarcaO,0)),H1179))</f>
        <v>SIEMENS</v>
      </c>
      <c r="T1179" s="34" t="str">
        <f aca="false">IF(I1179="","SIN DATO",IFERROR(INDEX(cat_ModN,MATCH(I1179,cat_ModO,0)),I1179))</f>
        <v>REYROLLE</v>
      </c>
      <c r="U1179" s="34" t="str">
        <f aca="false">IF(I1179="","",IFERROR(INDEX(cat_ModG,MATCH(I1179,cat_ModO,0)),"No"))</f>
        <v>Sí</v>
      </c>
      <c r="V1179" s="34" t="str">
        <f aca="false">IF(J1179="","SIN DATO",IFERROR(INDEX(cat_FunN,MATCH(J1179,cat_FunO,0)),J1179))</f>
        <v>Protección y medición</v>
      </c>
      <c r="W1179" s="34" t="str">
        <f aca="false">IF(OR(S1179="SIN DATO",T1179="SIN DATO"),"No","Sí")</f>
        <v>Sí</v>
      </c>
    </row>
    <row r="1180" customFormat="false" ht="15" hidden="false" customHeight="false" outlineLevel="0" collapsed="false">
      <c r="A1180" s="34" t="s">
        <v>4371</v>
      </c>
      <c r="B1180" s="34" t="s">
        <v>4372</v>
      </c>
      <c r="C1180" s="34" t="s">
        <v>4373</v>
      </c>
      <c r="D1180" s="34" t="s">
        <v>4374</v>
      </c>
      <c r="E1180" s="34" t="s">
        <v>150</v>
      </c>
      <c r="F1180" s="34" t="s">
        <v>1602</v>
      </c>
      <c r="G1180" s="34" t="s">
        <v>343</v>
      </c>
      <c r="H1180" s="34" t="s">
        <v>73</v>
      </c>
      <c r="I1180" s="34" t="s">
        <v>75</v>
      </c>
      <c r="J1180" s="34" t="s">
        <v>228</v>
      </c>
      <c r="K1180" s="34" t="s">
        <v>229</v>
      </c>
      <c r="L1180" s="34" t="s">
        <v>230</v>
      </c>
      <c r="M1180" s="34" t="s">
        <v>344</v>
      </c>
      <c r="N1180" s="34" t="str">
        <f aca="false">"Sector "&amp;VALUE(MID(D1180,13,2))</f>
        <v>Sector 7</v>
      </c>
      <c r="O1180" s="34" t="str">
        <f aca="false">IF(Dashboard!$C$5="Ubicación técnica",N1180,"Sector "&amp;VALUE(RIGHT(G1180,2)))</f>
        <v>Sector 7</v>
      </c>
      <c r="P1180" s="34" t="str">
        <f aca="false">IF(MID(D1180,15,3)="SEL","Subestación eléctrica","Área de proceso")</f>
        <v>Subestación eléctrica</v>
      </c>
      <c r="Q1180" s="34" t="str">
        <f aca="false">MID(D1180,13,5)&amp;"|"&amp;MID(D1180,19,5)</f>
        <v>07SEL|S_010</v>
      </c>
      <c r="R1180" s="34" t="str">
        <f aca="false">IF(P1180="Subestación eléctrica",IFERROR(INDEX(cat_SubN,MATCH(Q1180,cat_SubK,0)),"SIN CATALOGAR"),"ÁREA DE PROCESO")</f>
        <v>SE-10</v>
      </c>
      <c r="S1180" s="34" t="str">
        <f aca="false">IF(H1180="","SIN DATO",IFERROR(INDEX(cat_MarcaN,MATCH(H1180,cat_MarcaO,0)),H1180))</f>
        <v>SIEMENS</v>
      </c>
      <c r="T1180" s="34" t="str">
        <f aca="false">IF(I1180="","SIN DATO",IFERROR(INDEX(cat_ModN,MATCH(I1180,cat_ModO,0)),I1180))</f>
        <v>REYROLLE</v>
      </c>
      <c r="U1180" s="34" t="str">
        <f aca="false">IF(I1180="","",IFERROR(INDEX(cat_ModG,MATCH(I1180,cat_ModO,0)),"No"))</f>
        <v>Sí</v>
      </c>
      <c r="V1180" s="34" t="str">
        <f aca="false">IF(J1180="","SIN DATO",IFERROR(INDEX(cat_FunN,MATCH(J1180,cat_FunO,0)),J1180))</f>
        <v>Protección y medición</v>
      </c>
      <c r="W1180" s="34" t="str">
        <f aca="false">IF(OR(S1180="SIN DATO",T1180="SIN DATO"),"No","Sí")</f>
        <v>Sí</v>
      </c>
    </row>
    <row r="1181" customFormat="false" ht="15" hidden="false" customHeight="false" outlineLevel="0" collapsed="false">
      <c r="A1181" s="34" t="s">
        <v>4375</v>
      </c>
      <c r="B1181" s="34" t="s">
        <v>4376</v>
      </c>
      <c r="C1181" s="34" t="s">
        <v>4377</v>
      </c>
      <c r="D1181" s="34" t="s">
        <v>4378</v>
      </c>
      <c r="E1181" s="34" t="s">
        <v>150</v>
      </c>
      <c r="F1181" s="34" t="s">
        <v>1602</v>
      </c>
      <c r="G1181" s="34" t="s">
        <v>343</v>
      </c>
      <c r="H1181" s="34" t="s">
        <v>73</v>
      </c>
      <c r="I1181" s="34" t="s">
        <v>75</v>
      </c>
      <c r="J1181" s="34" t="s">
        <v>228</v>
      </c>
      <c r="K1181" s="34" t="s">
        <v>229</v>
      </c>
      <c r="L1181" s="34" t="s">
        <v>230</v>
      </c>
      <c r="M1181" s="34" t="s">
        <v>344</v>
      </c>
      <c r="N1181" s="34" t="str">
        <f aca="false">"Sector "&amp;VALUE(MID(D1181,13,2))</f>
        <v>Sector 7</v>
      </c>
      <c r="O1181" s="34" t="str">
        <f aca="false">IF(Dashboard!$C$5="Ubicación técnica",N1181,"Sector "&amp;VALUE(RIGHT(G1181,2)))</f>
        <v>Sector 7</v>
      </c>
      <c r="P1181" s="34" t="str">
        <f aca="false">IF(MID(D1181,15,3)="SEL","Subestación eléctrica","Área de proceso")</f>
        <v>Subestación eléctrica</v>
      </c>
      <c r="Q1181" s="34" t="str">
        <f aca="false">MID(D1181,13,5)&amp;"|"&amp;MID(D1181,19,5)</f>
        <v>07SEL|S_010</v>
      </c>
      <c r="R1181" s="34" t="str">
        <f aca="false">IF(P1181="Subestación eléctrica",IFERROR(INDEX(cat_SubN,MATCH(Q1181,cat_SubK,0)),"SIN CATALOGAR"),"ÁREA DE PROCESO")</f>
        <v>SE-10</v>
      </c>
      <c r="S1181" s="34" t="str">
        <f aca="false">IF(H1181="","SIN DATO",IFERROR(INDEX(cat_MarcaN,MATCH(H1181,cat_MarcaO,0)),H1181))</f>
        <v>SIEMENS</v>
      </c>
      <c r="T1181" s="34" t="str">
        <f aca="false">IF(I1181="","SIN DATO",IFERROR(INDEX(cat_ModN,MATCH(I1181,cat_ModO,0)),I1181))</f>
        <v>REYROLLE</v>
      </c>
      <c r="U1181" s="34" t="str">
        <f aca="false">IF(I1181="","",IFERROR(INDEX(cat_ModG,MATCH(I1181,cat_ModO,0)),"No"))</f>
        <v>Sí</v>
      </c>
      <c r="V1181" s="34" t="str">
        <f aca="false">IF(J1181="","SIN DATO",IFERROR(INDEX(cat_FunN,MATCH(J1181,cat_FunO,0)),J1181))</f>
        <v>Protección y medición</v>
      </c>
      <c r="W1181" s="34" t="str">
        <f aca="false">IF(OR(S1181="SIN DATO",T1181="SIN DATO"),"No","Sí")</f>
        <v>Sí</v>
      </c>
    </row>
    <row r="1182" customFormat="false" ht="15" hidden="false" customHeight="false" outlineLevel="0" collapsed="false">
      <c r="A1182" s="34" t="s">
        <v>4379</v>
      </c>
      <c r="B1182" s="34" t="s">
        <v>4380</v>
      </c>
      <c r="C1182" s="34" t="s">
        <v>4381</v>
      </c>
      <c r="D1182" s="34" t="s">
        <v>4382</v>
      </c>
      <c r="E1182" s="34" t="s">
        <v>150</v>
      </c>
      <c r="F1182" s="34" t="s">
        <v>1602</v>
      </c>
      <c r="G1182" s="34" t="s">
        <v>343</v>
      </c>
      <c r="H1182" s="34" t="s">
        <v>73</v>
      </c>
      <c r="I1182" s="34" t="s">
        <v>75</v>
      </c>
      <c r="J1182" s="34" t="s">
        <v>228</v>
      </c>
      <c r="K1182" s="34" t="s">
        <v>229</v>
      </c>
      <c r="L1182" s="34" t="s">
        <v>230</v>
      </c>
      <c r="M1182" s="34" t="s">
        <v>344</v>
      </c>
      <c r="N1182" s="34" t="str">
        <f aca="false">"Sector "&amp;VALUE(MID(D1182,13,2))</f>
        <v>Sector 7</v>
      </c>
      <c r="O1182" s="34" t="str">
        <f aca="false">IF(Dashboard!$C$5="Ubicación técnica",N1182,"Sector "&amp;VALUE(RIGHT(G1182,2)))</f>
        <v>Sector 7</v>
      </c>
      <c r="P1182" s="34" t="str">
        <f aca="false">IF(MID(D1182,15,3)="SEL","Subestación eléctrica","Área de proceso")</f>
        <v>Subestación eléctrica</v>
      </c>
      <c r="Q1182" s="34" t="str">
        <f aca="false">MID(D1182,13,5)&amp;"|"&amp;MID(D1182,19,5)</f>
        <v>07SEL|S_010</v>
      </c>
      <c r="R1182" s="34" t="str">
        <f aca="false">IF(P1182="Subestación eléctrica",IFERROR(INDEX(cat_SubN,MATCH(Q1182,cat_SubK,0)),"SIN CATALOGAR"),"ÁREA DE PROCESO")</f>
        <v>SE-10</v>
      </c>
      <c r="S1182" s="34" t="str">
        <f aca="false">IF(H1182="","SIN DATO",IFERROR(INDEX(cat_MarcaN,MATCH(H1182,cat_MarcaO,0)),H1182))</f>
        <v>SIEMENS</v>
      </c>
      <c r="T1182" s="34" t="str">
        <f aca="false">IF(I1182="","SIN DATO",IFERROR(INDEX(cat_ModN,MATCH(I1182,cat_ModO,0)),I1182))</f>
        <v>REYROLLE</v>
      </c>
      <c r="U1182" s="34" t="str">
        <f aca="false">IF(I1182="","",IFERROR(INDEX(cat_ModG,MATCH(I1182,cat_ModO,0)),"No"))</f>
        <v>Sí</v>
      </c>
      <c r="V1182" s="34" t="str">
        <f aca="false">IF(J1182="","SIN DATO",IFERROR(INDEX(cat_FunN,MATCH(J1182,cat_FunO,0)),J1182))</f>
        <v>Protección y medición</v>
      </c>
      <c r="W1182" s="34" t="str">
        <f aca="false">IF(OR(S1182="SIN DATO",T1182="SIN DATO"),"No","Sí")</f>
        <v>Sí</v>
      </c>
    </row>
    <row r="1183" customFormat="false" ht="15" hidden="false" customHeight="false" outlineLevel="0" collapsed="false">
      <c r="A1183" s="34" t="s">
        <v>4383</v>
      </c>
      <c r="B1183" s="34" t="s">
        <v>4384</v>
      </c>
      <c r="C1183" s="34" t="s">
        <v>4385</v>
      </c>
      <c r="D1183" s="34" t="s">
        <v>4386</v>
      </c>
      <c r="E1183" s="34" t="s">
        <v>150</v>
      </c>
      <c r="F1183" s="34" t="s">
        <v>1602</v>
      </c>
      <c r="G1183" s="34" t="s">
        <v>343</v>
      </c>
      <c r="H1183" s="34" t="s">
        <v>73</v>
      </c>
      <c r="I1183" s="34" t="s">
        <v>75</v>
      </c>
      <c r="J1183" s="34" t="s">
        <v>228</v>
      </c>
      <c r="K1183" s="34" t="s">
        <v>229</v>
      </c>
      <c r="L1183" s="34" t="s">
        <v>230</v>
      </c>
      <c r="M1183" s="34" t="s">
        <v>344</v>
      </c>
      <c r="N1183" s="34" t="str">
        <f aca="false">"Sector "&amp;VALUE(MID(D1183,13,2))</f>
        <v>Sector 7</v>
      </c>
      <c r="O1183" s="34" t="str">
        <f aca="false">IF(Dashboard!$C$5="Ubicación técnica",N1183,"Sector "&amp;VALUE(RIGHT(G1183,2)))</f>
        <v>Sector 7</v>
      </c>
      <c r="P1183" s="34" t="str">
        <f aca="false">IF(MID(D1183,15,3)="SEL","Subestación eléctrica","Área de proceso")</f>
        <v>Subestación eléctrica</v>
      </c>
      <c r="Q1183" s="34" t="str">
        <f aca="false">MID(D1183,13,5)&amp;"|"&amp;MID(D1183,19,5)</f>
        <v>07SEL|S_010</v>
      </c>
      <c r="R1183" s="34" t="str">
        <f aca="false">IF(P1183="Subestación eléctrica",IFERROR(INDEX(cat_SubN,MATCH(Q1183,cat_SubK,0)),"SIN CATALOGAR"),"ÁREA DE PROCESO")</f>
        <v>SE-10</v>
      </c>
      <c r="S1183" s="34" t="str">
        <f aca="false">IF(H1183="","SIN DATO",IFERROR(INDEX(cat_MarcaN,MATCH(H1183,cat_MarcaO,0)),H1183))</f>
        <v>SIEMENS</v>
      </c>
      <c r="T1183" s="34" t="str">
        <f aca="false">IF(I1183="","SIN DATO",IFERROR(INDEX(cat_ModN,MATCH(I1183,cat_ModO,0)),I1183))</f>
        <v>REYROLLE</v>
      </c>
      <c r="U1183" s="34" t="str">
        <f aca="false">IF(I1183="","",IFERROR(INDEX(cat_ModG,MATCH(I1183,cat_ModO,0)),"No"))</f>
        <v>Sí</v>
      </c>
      <c r="V1183" s="34" t="str">
        <f aca="false">IF(J1183="","SIN DATO",IFERROR(INDEX(cat_FunN,MATCH(J1183,cat_FunO,0)),J1183))</f>
        <v>Protección y medición</v>
      </c>
      <c r="W1183" s="34" t="str">
        <f aca="false">IF(OR(S1183="SIN DATO",T1183="SIN DATO"),"No","Sí")</f>
        <v>Sí</v>
      </c>
    </row>
    <row r="1184" customFormat="false" ht="15" hidden="false" customHeight="false" outlineLevel="0" collapsed="false">
      <c r="A1184" s="34" t="s">
        <v>4387</v>
      </c>
      <c r="B1184" s="34" t="s">
        <v>4388</v>
      </c>
      <c r="C1184" s="34" t="s">
        <v>4389</v>
      </c>
      <c r="D1184" s="34" t="s">
        <v>4390</v>
      </c>
      <c r="E1184" s="34" t="s">
        <v>150</v>
      </c>
      <c r="F1184" s="34" t="s">
        <v>1602</v>
      </c>
      <c r="G1184" s="34" t="s">
        <v>343</v>
      </c>
      <c r="H1184" s="34" t="s">
        <v>73</v>
      </c>
      <c r="I1184" s="34" t="s">
        <v>75</v>
      </c>
      <c r="J1184" s="34" t="s">
        <v>228</v>
      </c>
      <c r="K1184" s="34" t="s">
        <v>229</v>
      </c>
      <c r="L1184" s="34" t="s">
        <v>230</v>
      </c>
      <c r="M1184" s="34" t="s">
        <v>344</v>
      </c>
      <c r="N1184" s="34" t="str">
        <f aca="false">"Sector "&amp;VALUE(MID(D1184,13,2))</f>
        <v>Sector 7</v>
      </c>
      <c r="O1184" s="34" t="str">
        <f aca="false">IF(Dashboard!$C$5="Ubicación técnica",N1184,"Sector "&amp;VALUE(RIGHT(G1184,2)))</f>
        <v>Sector 7</v>
      </c>
      <c r="P1184" s="34" t="str">
        <f aca="false">IF(MID(D1184,15,3)="SEL","Subestación eléctrica","Área de proceso")</f>
        <v>Subestación eléctrica</v>
      </c>
      <c r="Q1184" s="34" t="str">
        <f aca="false">MID(D1184,13,5)&amp;"|"&amp;MID(D1184,19,5)</f>
        <v>07SEL|S_010</v>
      </c>
      <c r="R1184" s="34" t="str">
        <f aca="false">IF(P1184="Subestación eléctrica",IFERROR(INDEX(cat_SubN,MATCH(Q1184,cat_SubK,0)),"SIN CATALOGAR"),"ÁREA DE PROCESO")</f>
        <v>SE-10</v>
      </c>
      <c r="S1184" s="34" t="str">
        <f aca="false">IF(H1184="","SIN DATO",IFERROR(INDEX(cat_MarcaN,MATCH(H1184,cat_MarcaO,0)),H1184))</f>
        <v>SIEMENS</v>
      </c>
      <c r="T1184" s="34" t="str">
        <f aca="false">IF(I1184="","SIN DATO",IFERROR(INDEX(cat_ModN,MATCH(I1184,cat_ModO,0)),I1184))</f>
        <v>REYROLLE</v>
      </c>
      <c r="U1184" s="34" t="str">
        <f aca="false">IF(I1184="","",IFERROR(INDEX(cat_ModG,MATCH(I1184,cat_ModO,0)),"No"))</f>
        <v>Sí</v>
      </c>
      <c r="V1184" s="34" t="str">
        <f aca="false">IF(J1184="","SIN DATO",IFERROR(INDEX(cat_FunN,MATCH(J1184,cat_FunO,0)),J1184))</f>
        <v>Protección y medición</v>
      </c>
      <c r="W1184" s="34" t="str">
        <f aca="false">IF(OR(S1184="SIN DATO",T1184="SIN DATO"),"No","Sí")</f>
        <v>Sí</v>
      </c>
    </row>
    <row r="1185" customFormat="false" ht="15" hidden="false" customHeight="false" outlineLevel="0" collapsed="false">
      <c r="A1185" s="34" t="s">
        <v>4391</v>
      </c>
      <c r="B1185" s="34" t="s">
        <v>4392</v>
      </c>
      <c r="C1185" s="34" t="s">
        <v>4393</v>
      </c>
      <c r="D1185" s="34" t="s">
        <v>4394</v>
      </c>
      <c r="E1185" s="34" t="s">
        <v>150</v>
      </c>
      <c r="F1185" s="34" t="s">
        <v>1602</v>
      </c>
      <c r="G1185" s="34" t="s">
        <v>343</v>
      </c>
      <c r="H1185" s="34" t="s">
        <v>93</v>
      </c>
      <c r="I1185" s="34" t="s">
        <v>95</v>
      </c>
      <c r="J1185" s="34" t="s">
        <v>681</v>
      </c>
      <c r="K1185" s="34" t="s">
        <v>229</v>
      </c>
      <c r="L1185" s="34" t="s">
        <v>230</v>
      </c>
      <c r="M1185" s="34" t="s">
        <v>4254</v>
      </c>
      <c r="N1185" s="34" t="str">
        <f aca="false">"Sector "&amp;VALUE(MID(D1185,13,2))</f>
        <v>Sector 7</v>
      </c>
      <c r="O1185" s="34" t="str">
        <f aca="false">IF(Dashboard!$C$5="Ubicación técnica",N1185,"Sector "&amp;VALUE(RIGHT(G1185,2)))</f>
        <v>Sector 7</v>
      </c>
      <c r="P1185" s="34" t="str">
        <f aca="false">IF(MID(D1185,15,3)="SEL","Subestación eléctrica","Área de proceso")</f>
        <v>Subestación eléctrica</v>
      </c>
      <c r="Q1185" s="34" t="str">
        <f aca="false">MID(D1185,13,5)&amp;"|"&amp;MID(D1185,19,5)</f>
        <v>07SEL|S_010</v>
      </c>
      <c r="R1185" s="34" t="str">
        <f aca="false">IF(P1185="Subestación eléctrica",IFERROR(INDEX(cat_SubN,MATCH(Q1185,cat_SubK,0)),"SIN CATALOGAR"),"ÁREA DE PROCESO")</f>
        <v>SE-10</v>
      </c>
      <c r="S1185" s="34" t="str">
        <f aca="false">IF(H1185="","SIN DATO",IFERROR(INDEX(cat_MarcaN,MATCH(H1185,cat_MarcaO,0)),H1185))</f>
        <v>BASLER ELECTRIC</v>
      </c>
      <c r="T1185" s="34" t="str">
        <f aca="false">IF(I1185="","SIN DATO",IFERROR(INDEX(cat_ModN,MATCH(I1185,cat_ModO,0)),I1185))</f>
        <v>BE1</v>
      </c>
      <c r="U1185" s="34" t="str">
        <f aca="false">IF(I1185="","",IFERROR(INDEX(cat_ModG,MATCH(I1185,cat_ModO,0)),"No"))</f>
        <v>No</v>
      </c>
      <c r="V1185" s="34" t="str">
        <f aca="false">IF(J1185="","SIN DATO",IFERROR(INDEX(cat_FunN,MATCH(J1185,cat_FunO,0)),J1185))</f>
        <v>Protección</v>
      </c>
      <c r="W1185" s="34" t="str">
        <f aca="false">IF(OR(S1185="SIN DATO",T1185="SIN DATO"),"No","Sí")</f>
        <v>Sí</v>
      </c>
    </row>
    <row r="1186" customFormat="false" ht="15" hidden="false" customHeight="false" outlineLevel="0" collapsed="false">
      <c r="A1186" s="34" t="s">
        <v>4395</v>
      </c>
      <c r="B1186" s="34" t="s">
        <v>4396</v>
      </c>
      <c r="C1186" s="34" t="s">
        <v>4397</v>
      </c>
      <c r="D1186" s="34" t="s">
        <v>4398</v>
      </c>
      <c r="E1186" s="34" t="s">
        <v>150</v>
      </c>
      <c r="F1186" s="34" t="s">
        <v>1602</v>
      </c>
      <c r="G1186" s="34" t="s">
        <v>343</v>
      </c>
      <c r="H1186" s="34" t="s">
        <v>93</v>
      </c>
      <c r="I1186" s="34" t="s">
        <v>95</v>
      </c>
      <c r="J1186" s="34" t="s">
        <v>681</v>
      </c>
      <c r="K1186" s="34" t="s">
        <v>229</v>
      </c>
      <c r="L1186" s="34" t="s">
        <v>230</v>
      </c>
      <c r="M1186" s="34" t="s">
        <v>4254</v>
      </c>
      <c r="N1186" s="34" t="str">
        <f aca="false">"Sector "&amp;VALUE(MID(D1186,13,2))</f>
        <v>Sector 7</v>
      </c>
      <c r="O1186" s="34" t="str">
        <f aca="false">IF(Dashboard!$C$5="Ubicación técnica",N1186,"Sector "&amp;VALUE(RIGHT(G1186,2)))</f>
        <v>Sector 7</v>
      </c>
      <c r="P1186" s="34" t="str">
        <f aca="false">IF(MID(D1186,15,3)="SEL","Subestación eléctrica","Área de proceso")</f>
        <v>Subestación eléctrica</v>
      </c>
      <c r="Q1186" s="34" t="str">
        <f aca="false">MID(D1186,13,5)&amp;"|"&amp;MID(D1186,19,5)</f>
        <v>07SEL|S_010</v>
      </c>
      <c r="R1186" s="34" t="str">
        <f aca="false">IF(P1186="Subestación eléctrica",IFERROR(INDEX(cat_SubN,MATCH(Q1186,cat_SubK,0)),"SIN CATALOGAR"),"ÁREA DE PROCESO")</f>
        <v>SE-10</v>
      </c>
      <c r="S1186" s="34" t="str">
        <f aca="false">IF(H1186="","SIN DATO",IFERROR(INDEX(cat_MarcaN,MATCH(H1186,cat_MarcaO,0)),H1186))</f>
        <v>BASLER ELECTRIC</v>
      </c>
      <c r="T1186" s="34" t="str">
        <f aca="false">IF(I1186="","SIN DATO",IFERROR(INDEX(cat_ModN,MATCH(I1186,cat_ModO,0)),I1186))</f>
        <v>BE1</v>
      </c>
      <c r="U1186" s="34" t="str">
        <f aca="false">IF(I1186="","",IFERROR(INDEX(cat_ModG,MATCH(I1186,cat_ModO,0)),"No"))</f>
        <v>No</v>
      </c>
      <c r="V1186" s="34" t="str">
        <f aca="false">IF(J1186="","SIN DATO",IFERROR(INDEX(cat_FunN,MATCH(J1186,cat_FunO,0)),J1186))</f>
        <v>Protección</v>
      </c>
      <c r="W1186" s="34" t="str">
        <f aca="false">IF(OR(S1186="SIN DATO",T1186="SIN DATO"),"No","Sí")</f>
        <v>Sí</v>
      </c>
    </row>
    <row r="1187" customFormat="false" ht="15" hidden="false" customHeight="false" outlineLevel="0" collapsed="false">
      <c r="A1187" s="34" t="s">
        <v>4399</v>
      </c>
      <c r="B1187" s="34" t="s">
        <v>4400</v>
      </c>
      <c r="C1187" s="34" t="s">
        <v>4401</v>
      </c>
      <c r="D1187" s="34" t="s">
        <v>4402</v>
      </c>
      <c r="E1187" s="34" t="s">
        <v>150</v>
      </c>
      <c r="F1187" s="34" t="s">
        <v>1602</v>
      </c>
      <c r="G1187" s="34" t="s">
        <v>343</v>
      </c>
      <c r="H1187" s="34" t="s">
        <v>93</v>
      </c>
      <c r="I1187" s="34" t="s">
        <v>95</v>
      </c>
      <c r="J1187" s="34" t="s">
        <v>681</v>
      </c>
      <c r="K1187" s="34" t="s">
        <v>229</v>
      </c>
      <c r="L1187" s="34" t="s">
        <v>230</v>
      </c>
      <c r="M1187" s="34" t="s">
        <v>4254</v>
      </c>
      <c r="N1187" s="34" t="str">
        <f aca="false">"Sector "&amp;VALUE(MID(D1187,13,2))</f>
        <v>Sector 7</v>
      </c>
      <c r="O1187" s="34" t="str">
        <f aca="false">IF(Dashboard!$C$5="Ubicación técnica",N1187,"Sector "&amp;VALUE(RIGHT(G1187,2)))</f>
        <v>Sector 7</v>
      </c>
      <c r="P1187" s="34" t="str">
        <f aca="false">IF(MID(D1187,15,3)="SEL","Subestación eléctrica","Área de proceso")</f>
        <v>Subestación eléctrica</v>
      </c>
      <c r="Q1187" s="34" t="str">
        <f aca="false">MID(D1187,13,5)&amp;"|"&amp;MID(D1187,19,5)</f>
        <v>07SEL|S_010</v>
      </c>
      <c r="R1187" s="34" t="str">
        <f aca="false">IF(P1187="Subestación eléctrica",IFERROR(INDEX(cat_SubN,MATCH(Q1187,cat_SubK,0)),"SIN CATALOGAR"),"ÁREA DE PROCESO")</f>
        <v>SE-10</v>
      </c>
      <c r="S1187" s="34" t="str">
        <f aca="false">IF(H1187="","SIN DATO",IFERROR(INDEX(cat_MarcaN,MATCH(H1187,cat_MarcaO,0)),H1187))</f>
        <v>BASLER ELECTRIC</v>
      </c>
      <c r="T1187" s="34" t="str">
        <f aca="false">IF(I1187="","SIN DATO",IFERROR(INDEX(cat_ModN,MATCH(I1187,cat_ModO,0)),I1187))</f>
        <v>BE1</v>
      </c>
      <c r="U1187" s="34" t="str">
        <f aca="false">IF(I1187="","",IFERROR(INDEX(cat_ModG,MATCH(I1187,cat_ModO,0)),"No"))</f>
        <v>No</v>
      </c>
      <c r="V1187" s="34" t="str">
        <f aca="false">IF(J1187="","SIN DATO",IFERROR(INDEX(cat_FunN,MATCH(J1187,cat_FunO,0)),J1187))</f>
        <v>Protección</v>
      </c>
      <c r="W1187" s="34" t="str">
        <f aca="false">IF(OR(S1187="SIN DATO",T1187="SIN DATO"),"No","Sí")</f>
        <v>Sí</v>
      </c>
    </row>
    <row r="1188" customFormat="false" ht="15" hidden="false" customHeight="false" outlineLevel="0" collapsed="false">
      <c r="A1188" s="34" t="s">
        <v>4403</v>
      </c>
      <c r="B1188" s="34" t="s">
        <v>4404</v>
      </c>
      <c r="C1188" s="34" t="s">
        <v>4405</v>
      </c>
      <c r="D1188" s="34" t="s">
        <v>4406</v>
      </c>
      <c r="E1188" s="34" t="s">
        <v>150</v>
      </c>
      <c r="F1188" s="34" t="s">
        <v>1602</v>
      </c>
      <c r="G1188" s="34" t="s">
        <v>343</v>
      </c>
      <c r="H1188" s="34" t="s">
        <v>93</v>
      </c>
      <c r="I1188" s="34" t="s">
        <v>95</v>
      </c>
      <c r="J1188" s="34" t="s">
        <v>681</v>
      </c>
      <c r="K1188" s="34" t="s">
        <v>229</v>
      </c>
      <c r="L1188" s="34" t="s">
        <v>230</v>
      </c>
      <c r="M1188" s="34" t="s">
        <v>4254</v>
      </c>
      <c r="N1188" s="34" t="str">
        <f aca="false">"Sector "&amp;VALUE(MID(D1188,13,2))</f>
        <v>Sector 7</v>
      </c>
      <c r="O1188" s="34" t="str">
        <f aca="false">IF(Dashboard!$C$5="Ubicación técnica",N1188,"Sector "&amp;VALUE(RIGHT(G1188,2)))</f>
        <v>Sector 7</v>
      </c>
      <c r="P1188" s="34" t="str">
        <f aca="false">IF(MID(D1188,15,3)="SEL","Subestación eléctrica","Área de proceso")</f>
        <v>Subestación eléctrica</v>
      </c>
      <c r="Q1188" s="34" t="str">
        <f aca="false">MID(D1188,13,5)&amp;"|"&amp;MID(D1188,19,5)</f>
        <v>07SEL|S_010</v>
      </c>
      <c r="R1188" s="34" t="str">
        <f aca="false">IF(P1188="Subestación eléctrica",IFERROR(INDEX(cat_SubN,MATCH(Q1188,cat_SubK,0)),"SIN CATALOGAR"),"ÁREA DE PROCESO")</f>
        <v>SE-10</v>
      </c>
      <c r="S1188" s="34" t="str">
        <f aca="false">IF(H1188="","SIN DATO",IFERROR(INDEX(cat_MarcaN,MATCH(H1188,cat_MarcaO,0)),H1188))</f>
        <v>BASLER ELECTRIC</v>
      </c>
      <c r="T1188" s="34" t="str">
        <f aca="false">IF(I1188="","SIN DATO",IFERROR(INDEX(cat_ModN,MATCH(I1188,cat_ModO,0)),I1188))</f>
        <v>BE1</v>
      </c>
      <c r="U1188" s="34" t="str">
        <f aca="false">IF(I1188="","",IFERROR(INDEX(cat_ModG,MATCH(I1188,cat_ModO,0)),"No"))</f>
        <v>No</v>
      </c>
      <c r="V1188" s="34" t="str">
        <f aca="false">IF(J1188="","SIN DATO",IFERROR(INDEX(cat_FunN,MATCH(J1188,cat_FunO,0)),J1188))</f>
        <v>Protección</v>
      </c>
      <c r="W1188" s="34" t="str">
        <f aca="false">IF(OR(S1188="SIN DATO",T1188="SIN DATO"),"No","Sí")</f>
        <v>Sí</v>
      </c>
    </row>
    <row r="1189" customFormat="false" ht="15" hidden="false" customHeight="false" outlineLevel="0" collapsed="false">
      <c r="A1189" s="34" t="s">
        <v>4407</v>
      </c>
      <c r="B1189" s="34" t="s">
        <v>4408</v>
      </c>
      <c r="C1189" s="34" t="s">
        <v>4409</v>
      </c>
      <c r="D1189" s="34" t="s">
        <v>4410</v>
      </c>
      <c r="E1189" s="34" t="s">
        <v>150</v>
      </c>
      <c r="F1189" s="34" t="s">
        <v>1602</v>
      </c>
      <c r="G1189" s="34" t="s">
        <v>343</v>
      </c>
      <c r="H1189" s="34" t="s">
        <v>93</v>
      </c>
      <c r="I1189" s="34" t="s">
        <v>95</v>
      </c>
      <c r="J1189" s="34" t="s">
        <v>681</v>
      </c>
      <c r="K1189" s="34" t="s">
        <v>229</v>
      </c>
      <c r="L1189" s="34" t="s">
        <v>230</v>
      </c>
      <c r="M1189" s="34" t="s">
        <v>4254</v>
      </c>
      <c r="N1189" s="34" t="str">
        <f aca="false">"Sector "&amp;VALUE(MID(D1189,13,2))</f>
        <v>Sector 7</v>
      </c>
      <c r="O1189" s="34" t="str">
        <f aca="false">IF(Dashboard!$C$5="Ubicación técnica",N1189,"Sector "&amp;VALUE(RIGHT(G1189,2)))</f>
        <v>Sector 7</v>
      </c>
      <c r="P1189" s="34" t="str">
        <f aca="false">IF(MID(D1189,15,3)="SEL","Subestación eléctrica","Área de proceso")</f>
        <v>Subestación eléctrica</v>
      </c>
      <c r="Q1189" s="34" t="str">
        <f aca="false">MID(D1189,13,5)&amp;"|"&amp;MID(D1189,19,5)</f>
        <v>07SEL|S_010</v>
      </c>
      <c r="R1189" s="34" t="str">
        <f aca="false">IF(P1189="Subestación eléctrica",IFERROR(INDEX(cat_SubN,MATCH(Q1189,cat_SubK,0)),"SIN CATALOGAR"),"ÁREA DE PROCESO")</f>
        <v>SE-10</v>
      </c>
      <c r="S1189" s="34" t="str">
        <f aca="false">IF(H1189="","SIN DATO",IFERROR(INDEX(cat_MarcaN,MATCH(H1189,cat_MarcaO,0)),H1189))</f>
        <v>BASLER ELECTRIC</v>
      </c>
      <c r="T1189" s="34" t="str">
        <f aca="false">IF(I1189="","SIN DATO",IFERROR(INDEX(cat_ModN,MATCH(I1189,cat_ModO,0)),I1189))</f>
        <v>BE1</v>
      </c>
      <c r="U1189" s="34" t="str">
        <f aca="false">IF(I1189="","",IFERROR(INDEX(cat_ModG,MATCH(I1189,cat_ModO,0)),"No"))</f>
        <v>No</v>
      </c>
      <c r="V1189" s="34" t="str">
        <f aca="false">IF(J1189="","SIN DATO",IFERROR(INDEX(cat_FunN,MATCH(J1189,cat_FunO,0)),J1189))</f>
        <v>Protección</v>
      </c>
      <c r="W1189" s="34" t="str">
        <f aca="false">IF(OR(S1189="SIN DATO",T1189="SIN DATO"),"No","Sí")</f>
        <v>Sí</v>
      </c>
    </row>
    <row r="1190" customFormat="false" ht="15" hidden="false" customHeight="false" outlineLevel="0" collapsed="false">
      <c r="A1190" s="34" t="s">
        <v>4411</v>
      </c>
      <c r="B1190" s="34" t="s">
        <v>4412</v>
      </c>
      <c r="C1190" s="34" t="s">
        <v>4413</v>
      </c>
      <c r="D1190" s="34" t="s">
        <v>4414</v>
      </c>
      <c r="E1190" s="34" t="s">
        <v>118</v>
      </c>
      <c r="F1190" s="34" t="s">
        <v>1602</v>
      </c>
      <c r="G1190" s="34" t="s">
        <v>259</v>
      </c>
      <c r="H1190" s="34" t="s">
        <v>34</v>
      </c>
      <c r="I1190" s="34" t="s">
        <v>39</v>
      </c>
      <c r="J1190" s="34" t="s">
        <v>260</v>
      </c>
      <c r="K1190" s="34" t="s">
        <v>229</v>
      </c>
      <c r="L1190" s="34" t="s">
        <v>230</v>
      </c>
      <c r="M1190" s="34" t="s">
        <v>262</v>
      </c>
      <c r="N1190" s="34" t="str">
        <f aca="false">"Sector "&amp;VALUE(MID(D1190,13,2))</f>
        <v>Sector 3</v>
      </c>
      <c r="O1190" s="34" t="str">
        <f aca="false">IF(Dashboard!$C$5="Ubicación técnica",N1190,"Sector "&amp;VALUE(RIGHT(G1190,2)))</f>
        <v>Sector 3</v>
      </c>
      <c r="P1190" s="34" t="str">
        <f aca="false">IF(MID(D1190,15,3)="SEL","Subestación eléctrica","Área de proceso")</f>
        <v>Subestación eléctrica</v>
      </c>
      <c r="Q1190" s="34" t="str">
        <f aca="false">MID(D1190,13,5)&amp;"|"&amp;MID(D1190,19,5)</f>
        <v>03SEL|S_014</v>
      </c>
      <c r="R1190" s="34" t="str">
        <f aca="false">IF(P1190="Subestación eléctrica",IFERROR(INDEX(cat_SubN,MATCH(Q1190,cat_SubK,0)),"SIN CATALOGAR"),"ÁREA DE PROCESO")</f>
        <v>SE-14</v>
      </c>
      <c r="S1190" s="34" t="str">
        <f aca="false">IF(H1190="","SIN DATO",IFERROR(INDEX(cat_MarcaN,MATCH(H1190,cat_MarcaO,0)),H1190))</f>
        <v>ABB</v>
      </c>
      <c r="T1190" s="34" t="str">
        <f aca="false">IF(I1190="","SIN DATO",IFERROR(INDEX(cat_ModN,MATCH(I1190,cat_ModO,0)),I1190))</f>
        <v>REF</v>
      </c>
      <c r="U1190" s="34" t="str">
        <f aca="false">IF(I1190="","",IFERROR(INDEX(cat_ModG,MATCH(I1190,cat_ModO,0)),"No"))</f>
        <v>Sí</v>
      </c>
      <c r="V1190" s="34" t="str">
        <f aca="false">IF(J1190="","SIN DATO",IFERROR(INDEX(cat_FunN,MATCH(J1190,cat_FunO,0)),J1190))</f>
        <v>Protección y medición</v>
      </c>
      <c r="W1190" s="34" t="str">
        <f aca="false">IF(OR(S1190="SIN DATO",T1190="SIN DATO"),"No","Sí")</f>
        <v>Sí</v>
      </c>
    </row>
    <row r="1191" customFormat="false" ht="15" hidden="false" customHeight="false" outlineLevel="0" collapsed="false">
      <c r="A1191" s="34" t="s">
        <v>4415</v>
      </c>
      <c r="B1191" s="34" t="s">
        <v>4416</v>
      </c>
      <c r="C1191" s="34" t="s">
        <v>4417</v>
      </c>
      <c r="D1191" s="34" t="s">
        <v>4418</v>
      </c>
      <c r="E1191" s="34" t="s">
        <v>130</v>
      </c>
      <c r="F1191" s="34" t="s">
        <v>1602</v>
      </c>
      <c r="G1191" s="34" t="s">
        <v>2983</v>
      </c>
      <c r="H1191" s="34" t="s">
        <v>61</v>
      </c>
      <c r="I1191" s="34" t="s">
        <v>63</v>
      </c>
      <c r="J1191" s="34" t="s">
        <v>681</v>
      </c>
      <c r="K1191" s="34" t="s">
        <v>229</v>
      </c>
      <c r="L1191" s="34" t="s">
        <v>3198</v>
      </c>
      <c r="M1191" s="34" t="s">
        <v>231</v>
      </c>
      <c r="N1191" s="34" t="str">
        <f aca="false">"Sector "&amp;VALUE(MID(D1191,13,2))</f>
        <v>Sector 5</v>
      </c>
      <c r="O1191" s="34" t="str">
        <f aca="false">IF(Dashboard!$C$5="Ubicación técnica",N1191,"Sector "&amp;VALUE(RIGHT(G1191,2)))</f>
        <v>Sector 5</v>
      </c>
      <c r="P1191" s="34" t="str">
        <f aca="false">IF(MID(D1191,15,3)="SEL","Subestación eléctrica","Área de proceso")</f>
        <v>Subestación eléctrica</v>
      </c>
      <c r="Q1191" s="34" t="str">
        <f aca="false">MID(D1191,13,5)&amp;"|"&amp;MID(D1191,19,5)</f>
        <v>05SEL|S_004</v>
      </c>
      <c r="R1191" s="34" t="str">
        <f aca="false">IF(P1191="Subestación eléctrica",IFERROR(INDEX(cat_SubN,MATCH(Q1191,cat_SubK,0)),"SIN CATALOGAR"),"ÁREA DE PROCESO")</f>
        <v>SE-04</v>
      </c>
      <c r="S1191" s="34" t="str">
        <f aca="false">IF(H1191="","SIN DATO",IFERROR(INDEX(cat_MarcaN,MATCH(H1191,cat_MarcaO,0)),H1191))</f>
        <v>GENERAL ELECTRIC</v>
      </c>
      <c r="T1191" s="34" t="str">
        <f aca="false">IF(I1191="","SIN DATO",IFERROR(INDEX(cat_ModN,MATCH(I1191,cat_ModO,0)),I1191))</f>
        <v>MULTILIN</v>
      </c>
      <c r="U1191" s="34" t="str">
        <f aca="false">IF(I1191="","",IFERROR(INDEX(cat_ModG,MATCH(I1191,cat_ModO,0)),"No"))</f>
        <v>Sí</v>
      </c>
      <c r="V1191" s="34" t="str">
        <f aca="false">IF(J1191="","SIN DATO",IFERROR(INDEX(cat_FunN,MATCH(J1191,cat_FunO,0)),J1191))</f>
        <v>Protección</v>
      </c>
      <c r="W1191" s="34" t="str">
        <f aca="false">IF(OR(S1191="SIN DATO",T1191="SIN DATO"),"No","Sí")</f>
        <v>Sí</v>
      </c>
    </row>
    <row r="1192" customFormat="false" ht="15" hidden="false" customHeight="false" outlineLevel="0" collapsed="false">
      <c r="A1192" s="34" t="s">
        <v>4419</v>
      </c>
      <c r="B1192" s="34" t="s">
        <v>4420</v>
      </c>
      <c r="C1192" s="34" t="s">
        <v>4421</v>
      </c>
      <c r="D1192" s="34" t="s">
        <v>4418</v>
      </c>
      <c r="E1192" s="34" t="s">
        <v>130</v>
      </c>
      <c r="F1192" s="34" t="s">
        <v>1602</v>
      </c>
      <c r="G1192" s="34" t="s">
        <v>2983</v>
      </c>
      <c r="H1192" s="34" t="s">
        <v>61</v>
      </c>
      <c r="I1192" s="34" t="s">
        <v>63</v>
      </c>
      <c r="J1192" s="34" t="s">
        <v>681</v>
      </c>
      <c r="K1192" s="34" t="s">
        <v>229</v>
      </c>
      <c r="L1192" s="34" t="s">
        <v>3198</v>
      </c>
      <c r="M1192" s="34" t="s">
        <v>231</v>
      </c>
      <c r="N1192" s="34" t="str">
        <f aca="false">"Sector "&amp;VALUE(MID(D1192,13,2))</f>
        <v>Sector 5</v>
      </c>
      <c r="O1192" s="34" t="str">
        <f aca="false">IF(Dashboard!$C$5="Ubicación técnica",N1192,"Sector "&amp;VALUE(RIGHT(G1192,2)))</f>
        <v>Sector 5</v>
      </c>
      <c r="P1192" s="34" t="str">
        <f aca="false">IF(MID(D1192,15,3)="SEL","Subestación eléctrica","Área de proceso")</f>
        <v>Subestación eléctrica</v>
      </c>
      <c r="Q1192" s="34" t="str">
        <f aca="false">MID(D1192,13,5)&amp;"|"&amp;MID(D1192,19,5)</f>
        <v>05SEL|S_004</v>
      </c>
      <c r="R1192" s="34" t="str">
        <f aca="false">IF(P1192="Subestación eléctrica",IFERROR(INDEX(cat_SubN,MATCH(Q1192,cat_SubK,0)),"SIN CATALOGAR"),"ÁREA DE PROCESO")</f>
        <v>SE-04</v>
      </c>
      <c r="S1192" s="34" t="str">
        <f aca="false">IF(H1192="","SIN DATO",IFERROR(INDEX(cat_MarcaN,MATCH(H1192,cat_MarcaO,0)),H1192))</f>
        <v>GENERAL ELECTRIC</v>
      </c>
      <c r="T1192" s="34" t="str">
        <f aca="false">IF(I1192="","SIN DATO",IFERROR(INDEX(cat_ModN,MATCH(I1192,cat_ModO,0)),I1192))</f>
        <v>MULTILIN</v>
      </c>
      <c r="U1192" s="34" t="str">
        <f aca="false">IF(I1192="","",IFERROR(INDEX(cat_ModG,MATCH(I1192,cat_ModO,0)),"No"))</f>
        <v>Sí</v>
      </c>
      <c r="V1192" s="34" t="str">
        <f aca="false">IF(J1192="","SIN DATO",IFERROR(INDEX(cat_FunN,MATCH(J1192,cat_FunO,0)),J1192))</f>
        <v>Protección</v>
      </c>
      <c r="W1192" s="34" t="str">
        <f aca="false">IF(OR(S1192="SIN DATO",T1192="SIN DATO"),"No","Sí")</f>
        <v>Sí</v>
      </c>
    </row>
    <row r="1193" customFormat="false" ht="15" hidden="false" customHeight="false" outlineLevel="0" collapsed="false">
      <c r="A1193" s="34" t="s">
        <v>4422</v>
      </c>
      <c r="B1193" s="34" t="s">
        <v>4423</v>
      </c>
      <c r="C1193" s="34" t="s">
        <v>4424</v>
      </c>
      <c r="D1193" s="34" t="s">
        <v>4425</v>
      </c>
      <c r="E1193" s="34" t="s">
        <v>130</v>
      </c>
      <c r="F1193" s="34" t="s">
        <v>1602</v>
      </c>
      <c r="G1193" s="34" t="s">
        <v>2983</v>
      </c>
      <c r="H1193" s="34" t="s">
        <v>61</v>
      </c>
      <c r="I1193" s="34" t="s">
        <v>63</v>
      </c>
      <c r="J1193" s="34" t="s">
        <v>681</v>
      </c>
      <c r="K1193" s="34" t="s">
        <v>229</v>
      </c>
      <c r="L1193" s="34" t="s">
        <v>3198</v>
      </c>
      <c r="M1193" s="34" t="s">
        <v>231</v>
      </c>
      <c r="N1193" s="34" t="str">
        <f aca="false">"Sector "&amp;VALUE(MID(D1193,13,2))</f>
        <v>Sector 5</v>
      </c>
      <c r="O1193" s="34" t="str">
        <f aca="false">IF(Dashboard!$C$5="Ubicación técnica",N1193,"Sector "&amp;VALUE(RIGHT(G1193,2)))</f>
        <v>Sector 5</v>
      </c>
      <c r="P1193" s="34" t="str">
        <f aca="false">IF(MID(D1193,15,3)="SEL","Subestación eléctrica","Área de proceso")</f>
        <v>Subestación eléctrica</v>
      </c>
      <c r="Q1193" s="34" t="str">
        <f aca="false">MID(D1193,13,5)&amp;"|"&amp;MID(D1193,19,5)</f>
        <v>05SEL|S_004</v>
      </c>
      <c r="R1193" s="34" t="str">
        <f aca="false">IF(P1193="Subestación eléctrica",IFERROR(INDEX(cat_SubN,MATCH(Q1193,cat_SubK,0)),"SIN CATALOGAR"),"ÁREA DE PROCESO")</f>
        <v>SE-04</v>
      </c>
      <c r="S1193" s="34" t="str">
        <f aca="false">IF(H1193="","SIN DATO",IFERROR(INDEX(cat_MarcaN,MATCH(H1193,cat_MarcaO,0)),H1193))</f>
        <v>GENERAL ELECTRIC</v>
      </c>
      <c r="T1193" s="34" t="str">
        <f aca="false">IF(I1193="","SIN DATO",IFERROR(INDEX(cat_ModN,MATCH(I1193,cat_ModO,0)),I1193))</f>
        <v>MULTILIN</v>
      </c>
      <c r="U1193" s="34" t="str">
        <f aca="false">IF(I1193="","",IFERROR(INDEX(cat_ModG,MATCH(I1193,cat_ModO,0)),"No"))</f>
        <v>Sí</v>
      </c>
      <c r="V1193" s="34" t="str">
        <f aca="false">IF(J1193="","SIN DATO",IFERROR(INDEX(cat_FunN,MATCH(J1193,cat_FunO,0)),J1193))</f>
        <v>Protección</v>
      </c>
      <c r="W1193" s="34" t="str">
        <f aca="false">IF(OR(S1193="SIN DATO",T1193="SIN DATO"),"No","Sí")</f>
        <v>Sí</v>
      </c>
    </row>
    <row r="1194" customFormat="false" ht="15" hidden="false" customHeight="false" outlineLevel="0" collapsed="false">
      <c r="A1194" s="34" t="s">
        <v>4426</v>
      </c>
      <c r="B1194" s="34" t="s">
        <v>4427</v>
      </c>
      <c r="C1194" s="34" t="s">
        <v>4428</v>
      </c>
      <c r="D1194" s="34" t="s">
        <v>4429</v>
      </c>
      <c r="E1194" s="34" t="s">
        <v>130</v>
      </c>
      <c r="F1194" s="34" t="s">
        <v>1602</v>
      </c>
      <c r="G1194" s="34" t="s">
        <v>2983</v>
      </c>
      <c r="H1194" s="34" t="s">
        <v>61</v>
      </c>
      <c r="I1194" s="34" t="s">
        <v>63</v>
      </c>
      <c r="J1194" s="34" t="s">
        <v>681</v>
      </c>
      <c r="K1194" s="34" t="s">
        <v>229</v>
      </c>
      <c r="L1194" s="34" t="s">
        <v>3198</v>
      </c>
      <c r="M1194" s="34" t="s">
        <v>231</v>
      </c>
      <c r="N1194" s="34" t="str">
        <f aca="false">"Sector "&amp;VALUE(MID(D1194,13,2))</f>
        <v>Sector 5</v>
      </c>
      <c r="O1194" s="34" t="str">
        <f aca="false">IF(Dashboard!$C$5="Ubicación técnica",N1194,"Sector "&amp;VALUE(RIGHT(G1194,2)))</f>
        <v>Sector 5</v>
      </c>
      <c r="P1194" s="34" t="str">
        <f aca="false">IF(MID(D1194,15,3)="SEL","Subestación eléctrica","Área de proceso")</f>
        <v>Subestación eléctrica</v>
      </c>
      <c r="Q1194" s="34" t="str">
        <f aca="false">MID(D1194,13,5)&amp;"|"&amp;MID(D1194,19,5)</f>
        <v>05SEL|S_004</v>
      </c>
      <c r="R1194" s="34" t="str">
        <f aca="false">IF(P1194="Subestación eléctrica",IFERROR(INDEX(cat_SubN,MATCH(Q1194,cat_SubK,0)),"SIN CATALOGAR"),"ÁREA DE PROCESO")</f>
        <v>SE-04</v>
      </c>
      <c r="S1194" s="34" t="str">
        <f aca="false">IF(H1194="","SIN DATO",IFERROR(INDEX(cat_MarcaN,MATCH(H1194,cat_MarcaO,0)),H1194))</f>
        <v>GENERAL ELECTRIC</v>
      </c>
      <c r="T1194" s="34" t="str">
        <f aca="false">IF(I1194="","SIN DATO",IFERROR(INDEX(cat_ModN,MATCH(I1194,cat_ModO,0)),I1194))</f>
        <v>MULTILIN</v>
      </c>
      <c r="U1194" s="34" t="str">
        <f aca="false">IF(I1194="","",IFERROR(INDEX(cat_ModG,MATCH(I1194,cat_ModO,0)),"No"))</f>
        <v>Sí</v>
      </c>
      <c r="V1194" s="34" t="str">
        <f aca="false">IF(J1194="","SIN DATO",IFERROR(INDEX(cat_FunN,MATCH(J1194,cat_FunO,0)),J1194))</f>
        <v>Protección</v>
      </c>
      <c r="W1194" s="34" t="str">
        <f aca="false">IF(OR(S1194="SIN DATO",T1194="SIN DATO"),"No","Sí")</f>
        <v>Sí</v>
      </c>
    </row>
    <row r="1195" customFormat="false" ht="15" hidden="false" customHeight="false" outlineLevel="0" collapsed="false">
      <c r="A1195" s="34" t="s">
        <v>4430</v>
      </c>
      <c r="B1195" s="34" t="s">
        <v>4431</v>
      </c>
      <c r="C1195" s="34" t="s">
        <v>4432</v>
      </c>
      <c r="D1195" s="34" t="s">
        <v>4433</v>
      </c>
      <c r="E1195" s="34" t="s">
        <v>130</v>
      </c>
      <c r="F1195" s="34" t="s">
        <v>1602</v>
      </c>
      <c r="G1195" s="34" t="s">
        <v>2983</v>
      </c>
      <c r="H1195" s="34" t="s">
        <v>61</v>
      </c>
      <c r="I1195" s="34" t="s">
        <v>63</v>
      </c>
      <c r="J1195" s="34" t="s">
        <v>681</v>
      </c>
      <c r="K1195" s="34" t="s">
        <v>229</v>
      </c>
      <c r="L1195" s="34" t="s">
        <v>3198</v>
      </c>
      <c r="M1195" s="34" t="s">
        <v>231</v>
      </c>
      <c r="N1195" s="34" t="str">
        <f aca="false">"Sector "&amp;VALUE(MID(D1195,13,2))</f>
        <v>Sector 5</v>
      </c>
      <c r="O1195" s="34" t="str">
        <f aca="false">IF(Dashboard!$C$5="Ubicación técnica",N1195,"Sector "&amp;VALUE(RIGHT(G1195,2)))</f>
        <v>Sector 5</v>
      </c>
      <c r="P1195" s="34" t="str">
        <f aca="false">IF(MID(D1195,15,3)="SEL","Subestación eléctrica","Área de proceso")</f>
        <v>Subestación eléctrica</v>
      </c>
      <c r="Q1195" s="34" t="str">
        <f aca="false">MID(D1195,13,5)&amp;"|"&amp;MID(D1195,19,5)</f>
        <v>05SEL|S_004</v>
      </c>
      <c r="R1195" s="34" t="str">
        <f aca="false">IF(P1195="Subestación eléctrica",IFERROR(INDEX(cat_SubN,MATCH(Q1195,cat_SubK,0)),"SIN CATALOGAR"),"ÁREA DE PROCESO")</f>
        <v>SE-04</v>
      </c>
      <c r="S1195" s="34" t="str">
        <f aca="false">IF(H1195="","SIN DATO",IFERROR(INDEX(cat_MarcaN,MATCH(H1195,cat_MarcaO,0)),H1195))</f>
        <v>GENERAL ELECTRIC</v>
      </c>
      <c r="T1195" s="34" t="str">
        <f aca="false">IF(I1195="","SIN DATO",IFERROR(INDEX(cat_ModN,MATCH(I1195,cat_ModO,0)),I1195))</f>
        <v>MULTILIN</v>
      </c>
      <c r="U1195" s="34" t="str">
        <f aca="false">IF(I1195="","",IFERROR(INDEX(cat_ModG,MATCH(I1195,cat_ModO,0)),"No"))</f>
        <v>Sí</v>
      </c>
      <c r="V1195" s="34" t="str">
        <f aca="false">IF(J1195="","SIN DATO",IFERROR(INDEX(cat_FunN,MATCH(J1195,cat_FunO,0)),J1195))</f>
        <v>Protección</v>
      </c>
      <c r="W1195" s="34" t="str">
        <f aca="false">IF(OR(S1195="SIN DATO",T1195="SIN DATO"),"No","Sí")</f>
        <v>Sí</v>
      </c>
    </row>
    <row r="1196" customFormat="false" ht="15" hidden="false" customHeight="false" outlineLevel="0" collapsed="false">
      <c r="A1196" s="34" t="s">
        <v>4434</v>
      </c>
      <c r="B1196" s="34" t="s">
        <v>4435</v>
      </c>
      <c r="C1196" s="34" t="s">
        <v>4436</v>
      </c>
      <c r="D1196" s="34" t="s">
        <v>4437</v>
      </c>
      <c r="E1196" s="34" t="s">
        <v>130</v>
      </c>
      <c r="F1196" s="34" t="s">
        <v>1602</v>
      </c>
      <c r="G1196" s="34" t="s">
        <v>2983</v>
      </c>
      <c r="H1196" s="34" t="s">
        <v>61</v>
      </c>
      <c r="I1196" s="34" t="s">
        <v>63</v>
      </c>
      <c r="J1196" s="34" t="s">
        <v>681</v>
      </c>
      <c r="K1196" s="34" t="s">
        <v>229</v>
      </c>
      <c r="L1196" s="34" t="s">
        <v>3198</v>
      </c>
      <c r="M1196" s="34" t="s">
        <v>231</v>
      </c>
      <c r="N1196" s="34" t="str">
        <f aca="false">"Sector "&amp;VALUE(MID(D1196,13,2))</f>
        <v>Sector 5</v>
      </c>
      <c r="O1196" s="34" t="str">
        <f aca="false">IF(Dashboard!$C$5="Ubicación técnica",N1196,"Sector "&amp;VALUE(RIGHT(G1196,2)))</f>
        <v>Sector 5</v>
      </c>
      <c r="P1196" s="34" t="str">
        <f aca="false">IF(MID(D1196,15,3)="SEL","Subestación eléctrica","Área de proceso")</f>
        <v>Subestación eléctrica</v>
      </c>
      <c r="Q1196" s="34" t="str">
        <f aca="false">MID(D1196,13,5)&amp;"|"&amp;MID(D1196,19,5)</f>
        <v>05SEL|S_004</v>
      </c>
      <c r="R1196" s="34" t="str">
        <f aca="false">IF(P1196="Subestación eléctrica",IFERROR(INDEX(cat_SubN,MATCH(Q1196,cat_SubK,0)),"SIN CATALOGAR"),"ÁREA DE PROCESO")</f>
        <v>SE-04</v>
      </c>
      <c r="S1196" s="34" t="str">
        <f aca="false">IF(H1196="","SIN DATO",IFERROR(INDEX(cat_MarcaN,MATCH(H1196,cat_MarcaO,0)),H1196))</f>
        <v>GENERAL ELECTRIC</v>
      </c>
      <c r="T1196" s="34" t="str">
        <f aca="false">IF(I1196="","SIN DATO",IFERROR(INDEX(cat_ModN,MATCH(I1196,cat_ModO,0)),I1196))</f>
        <v>MULTILIN</v>
      </c>
      <c r="U1196" s="34" t="str">
        <f aca="false">IF(I1196="","",IFERROR(INDEX(cat_ModG,MATCH(I1196,cat_ModO,0)),"No"))</f>
        <v>Sí</v>
      </c>
      <c r="V1196" s="34" t="str">
        <f aca="false">IF(J1196="","SIN DATO",IFERROR(INDEX(cat_FunN,MATCH(J1196,cat_FunO,0)),J1196))</f>
        <v>Protección</v>
      </c>
      <c r="W1196" s="34" t="str">
        <f aca="false">IF(OR(S1196="SIN DATO",T1196="SIN DATO"),"No","Sí")</f>
        <v>Sí</v>
      </c>
    </row>
    <row r="1197" customFormat="false" ht="15" hidden="false" customHeight="false" outlineLevel="0" collapsed="false">
      <c r="A1197" s="34" t="s">
        <v>4438</v>
      </c>
      <c r="B1197" s="34" t="s">
        <v>4439</v>
      </c>
      <c r="C1197" s="34" t="s">
        <v>4440</v>
      </c>
      <c r="D1197" s="34" t="s">
        <v>4441</v>
      </c>
      <c r="E1197" s="34" t="s">
        <v>130</v>
      </c>
      <c r="F1197" s="34" t="s">
        <v>1602</v>
      </c>
      <c r="G1197" s="34" t="s">
        <v>2983</v>
      </c>
      <c r="H1197" s="34" t="s">
        <v>61</v>
      </c>
      <c r="I1197" s="34" t="s">
        <v>63</v>
      </c>
      <c r="J1197" s="34" t="s">
        <v>681</v>
      </c>
      <c r="K1197" s="34" t="s">
        <v>229</v>
      </c>
      <c r="L1197" s="34" t="s">
        <v>3198</v>
      </c>
      <c r="M1197" s="34" t="s">
        <v>231</v>
      </c>
      <c r="N1197" s="34" t="str">
        <f aca="false">"Sector "&amp;VALUE(MID(D1197,13,2))</f>
        <v>Sector 5</v>
      </c>
      <c r="O1197" s="34" t="str">
        <f aca="false">IF(Dashboard!$C$5="Ubicación técnica",N1197,"Sector "&amp;VALUE(RIGHT(G1197,2)))</f>
        <v>Sector 5</v>
      </c>
      <c r="P1197" s="34" t="str">
        <f aca="false">IF(MID(D1197,15,3)="SEL","Subestación eléctrica","Área de proceso")</f>
        <v>Subestación eléctrica</v>
      </c>
      <c r="Q1197" s="34" t="str">
        <f aca="false">MID(D1197,13,5)&amp;"|"&amp;MID(D1197,19,5)</f>
        <v>05SEL|S_004</v>
      </c>
      <c r="R1197" s="34" t="str">
        <f aca="false">IF(P1197="Subestación eléctrica",IFERROR(INDEX(cat_SubN,MATCH(Q1197,cat_SubK,0)),"SIN CATALOGAR"),"ÁREA DE PROCESO")</f>
        <v>SE-04</v>
      </c>
      <c r="S1197" s="34" t="str">
        <f aca="false">IF(H1197="","SIN DATO",IFERROR(INDEX(cat_MarcaN,MATCH(H1197,cat_MarcaO,0)),H1197))</f>
        <v>GENERAL ELECTRIC</v>
      </c>
      <c r="T1197" s="34" t="str">
        <f aca="false">IF(I1197="","SIN DATO",IFERROR(INDEX(cat_ModN,MATCH(I1197,cat_ModO,0)),I1197))</f>
        <v>MULTILIN</v>
      </c>
      <c r="U1197" s="34" t="str">
        <f aca="false">IF(I1197="","",IFERROR(INDEX(cat_ModG,MATCH(I1197,cat_ModO,0)),"No"))</f>
        <v>Sí</v>
      </c>
      <c r="V1197" s="34" t="str">
        <f aca="false">IF(J1197="","SIN DATO",IFERROR(INDEX(cat_FunN,MATCH(J1197,cat_FunO,0)),J1197))</f>
        <v>Protección</v>
      </c>
      <c r="W1197" s="34" t="str">
        <f aca="false">IF(OR(S1197="SIN DATO",T1197="SIN DATO"),"No","Sí")</f>
        <v>Sí</v>
      </c>
    </row>
    <row r="1198" customFormat="false" ht="15" hidden="false" customHeight="false" outlineLevel="0" collapsed="false">
      <c r="A1198" s="34" t="s">
        <v>4442</v>
      </c>
      <c r="B1198" s="34" t="s">
        <v>4443</v>
      </c>
      <c r="C1198" s="34" t="s">
        <v>4444</v>
      </c>
      <c r="D1198" s="34" t="s">
        <v>4445</v>
      </c>
      <c r="E1198" s="34" t="s">
        <v>130</v>
      </c>
      <c r="F1198" s="34" t="s">
        <v>1602</v>
      </c>
      <c r="G1198" s="34" t="s">
        <v>2983</v>
      </c>
      <c r="H1198" s="34" t="s">
        <v>61</v>
      </c>
      <c r="I1198" s="34" t="s">
        <v>63</v>
      </c>
      <c r="J1198" s="34" t="s">
        <v>681</v>
      </c>
      <c r="K1198" s="34" t="s">
        <v>229</v>
      </c>
      <c r="L1198" s="34" t="s">
        <v>3198</v>
      </c>
      <c r="M1198" s="34" t="s">
        <v>231</v>
      </c>
      <c r="N1198" s="34" t="str">
        <f aca="false">"Sector "&amp;VALUE(MID(D1198,13,2))</f>
        <v>Sector 5</v>
      </c>
      <c r="O1198" s="34" t="str">
        <f aca="false">IF(Dashboard!$C$5="Ubicación técnica",N1198,"Sector "&amp;VALUE(RIGHT(G1198,2)))</f>
        <v>Sector 5</v>
      </c>
      <c r="P1198" s="34" t="str">
        <f aca="false">IF(MID(D1198,15,3)="SEL","Subestación eléctrica","Área de proceso")</f>
        <v>Subestación eléctrica</v>
      </c>
      <c r="Q1198" s="34" t="str">
        <f aca="false">MID(D1198,13,5)&amp;"|"&amp;MID(D1198,19,5)</f>
        <v>05SEL|S_004</v>
      </c>
      <c r="R1198" s="34" t="str">
        <f aca="false">IF(P1198="Subestación eléctrica",IFERROR(INDEX(cat_SubN,MATCH(Q1198,cat_SubK,0)),"SIN CATALOGAR"),"ÁREA DE PROCESO")</f>
        <v>SE-04</v>
      </c>
      <c r="S1198" s="34" t="str">
        <f aca="false">IF(H1198="","SIN DATO",IFERROR(INDEX(cat_MarcaN,MATCH(H1198,cat_MarcaO,0)),H1198))</f>
        <v>GENERAL ELECTRIC</v>
      </c>
      <c r="T1198" s="34" t="str">
        <f aca="false">IF(I1198="","SIN DATO",IFERROR(INDEX(cat_ModN,MATCH(I1198,cat_ModO,0)),I1198))</f>
        <v>MULTILIN</v>
      </c>
      <c r="U1198" s="34" t="str">
        <f aca="false">IF(I1198="","",IFERROR(INDEX(cat_ModG,MATCH(I1198,cat_ModO,0)),"No"))</f>
        <v>Sí</v>
      </c>
      <c r="V1198" s="34" t="str">
        <f aca="false">IF(J1198="","SIN DATO",IFERROR(INDEX(cat_FunN,MATCH(J1198,cat_FunO,0)),J1198))</f>
        <v>Protección</v>
      </c>
      <c r="W1198" s="34" t="str">
        <f aca="false">IF(OR(S1198="SIN DATO",T1198="SIN DATO"),"No","Sí")</f>
        <v>Sí</v>
      </c>
    </row>
    <row r="1199" customFormat="false" ht="15" hidden="false" customHeight="false" outlineLevel="0" collapsed="false">
      <c r="A1199" s="34" t="s">
        <v>4446</v>
      </c>
      <c r="B1199" s="34" t="s">
        <v>4447</v>
      </c>
      <c r="C1199" s="34" t="s">
        <v>4448</v>
      </c>
      <c r="D1199" s="34" t="s">
        <v>4449</v>
      </c>
      <c r="E1199" s="34" t="s">
        <v>130</v>
      </c>
      <c r="F1199" s="34" t="s">
        <v>1602</v>
      </c>
      <c r="G1199" s="34" t="s">
        <v>2983</v>
      </c>
      <c r="H1199" s="34" t="s">
        <v>61</v>
      </c>
      <c r="I1199" s="34" t="s">
        <v>63</v>
      </c>
      <c r="J1199" s="34" t="s">
        <v>681</v>
      </c>
      <c r="K1199" s="34" t="s">
        <v>229</v>
      </c>
      <c r="L1199" s="34" t="s">
        <v>3198</v>
      </c>
      <c r="M1199" s="34" t="s">
        <v>231</v>
      </c>
      <c r="N1199" s="34" t="str">
        <f aca="false">"Sector "&amp;VALUE(MID(D1199,13,2))</f>
        <v>Sector 5</v>
      </c>
      <c r="O1199" s="34" t="str">
        <f aca="false">IF(Dashboard!$C$5="Ubicación técnica",N1199,"Sector "&amp;VALUE(RIGHT(G1199,2)))</f>
        <v>Sector 5</v>
      </c>
      <c r="P1199" s="34" t="str">
        <f aca="false">IF(MID(D1199,15,3)="SEL","Subestación eléctrica","Área de proceso")</f>
        <v>Subestación eléctrica</v>
      </c>
      <c r="Q1199" s="34" t="str">
        <f aca="false">MID(D1199,13,5)&amp;"|"&amp;MID(D1199,19,5)</f>
        <v>05SEL|S_004</v>
      </c>
      <c r="R1199" s="34" t="str">
        <f aca="false">IF(P1199="Subestación eléctrica",IFERROR(INDEX(cat_SubN,MATCH(Q1199,cat_SubK,0)),"SIN CATALOGAR"),"ÁREA DE PROCESO")</f>
        <v>SE-04</v>
      </c>
      <c r="S1199" s="34" t="str">
        <f aca="false">IF(H1199="","SIN DATO",IFERROR(INDEX(cat_MarcaN,MATCH(H1199,cat_MarcaO,0)),H1199))</f>
        <v>GENERAL ELECTRIC</v>
      </c>
      <c r="T1199" s="34" t="str">
        <f aca="false">IF(I1199="","SIN DATO",IFERROR(INDEX(cat_ModN,MATCH(I1199,cat_ModO,0)),I1199))</f>
        <v>MULTILIN</v>
      </c>
      <c r="U1199" s="34" t="str">
        <f aca="false">IF(I1199="","",IFERROR(INDEX(cat_ModG,MATCH(I1199,cat_ModO,0)),"No"))</f>
        <v>Sí</v>
      </c>
      <c r="V1199" s="34" t="str">
        <f aca="false">IF(J1199="","SIN DATO",IFERROR(INDEX(cat_FunN,MATCH(J1199,cat_FunO,0)),J1199))</f>
        <v>Protección</v>
      </c>
      <c r="W1199" s="34" t="str">
        <f aca="false">IF(OR(S1199="SIN DATO",T1199="SIN DATO"),"No","Sí")</f>
        <v>Sí</v>
      </c>
    </row>
    <row r="1200" customFormat="false" ht="15" hidden="false" customHeight="false" outlineLevel="0" collapsed="false">
      <c r="A1200" s="34" t="s">
        <v>4450</v>
      </c>
      <c r="B1200" s="34" t="s">
        <v>4451</v>
      </c>
      <c r="C1200" s="34" t="s">
        <v>4452</v>
      </c>
      <c r="D1200" s="34" t="s">
        <v>4453</v>
      </c>
      <c r="E1200" s="34" t="s">
        <v>130</v>
      </c>
      <c r="F1200" s="34" t="s">
        <v>1602</v>
      </c>
      <c r="G1200" s="34" t="s">
        <v>2983</v>
      </c>
      <c r="H1200" s="34" t="s">
        <v>61</v>
      </c>
      <c r="I1200" s="34" t="s">
        <v>63</v>
      </c>
      <c r="J1200" s="34" t="s">
        <v>681</v>
      </c>
      <c r="K1200" s="34" t="s">
        <v>229</v>
      </c>
      <c r="L1200" s="34" t="s">
        <v>3198</v>
      </c>
      <c r="M1200" s="34" t="s">
        <v>231</v>
      </c>
      <c r="N1200" s="34" t="str">
        <f aca="false">"Sector "&amp;VALUE(MID(D1200,13,2))</f>
        <v>Sector 5</v>
      </c>
      <c r="O1200" s="34" t="str">
        <f aca="false">IF(Dashboard!$C$5="Ubicación técnica",N1200,"Sector "&amp;VALUE(RIGHT(G1200,2)))</f>
        <v>Sector 5</v>
      </c>
      <c r="P1200" s="34" t="str">
        <f aca="false">IF(MID(D1200,15,3)="SEL","Subestación eléctrica","Área de proceso")</f>
        <v>Subestación eléctrica</v>
      </c>
      <c r="Q1200" s="34" t="str">
        <f aca="false">MID(D1200,13,5)&amp;"|"&amp;MID(D1200,19,5)</f>
        <v>05SEL|S_004</v>
      </c>
      <c r="R1200" s="34" t="str">
        <f aca="false">IF(P1200="Subestación eléctrica",IFERROR(INDEX(cat_SubN,MATCH(Q1200,cat_SubK,0)),"SIN CATALOGAR"),"ÁREA DE PROCESO")</f>
        <v>SE-04</v>
      </c>
      <c r="S1200" s="34" t="str">
        <f aca="false">IF(H1200="","SIN DATO",IFERROR(INDEX(cat_MarcaN,MATCH(H1200,cat_MarcaO,0)),H1200))</f>
        <v>GENERAL ELECTRIC</v>
      </c>
      <c r="T1200" s="34" t="str">
        <f aca="false">IF(I1200="","SIN DATO",IFERROR(INDEX(cat_ModN,MATCH(I1200,cat_ModO,0)),I1200))</f>
        <v>MULTILIN</v>
      </c>
      <c r="U1200" s="34" t="str">
        <f aca="false">IF(I1200="","",IFERROR(INDEX(cat_ModG,MATCH(I1200,cat_ModO,0)),"No"))</f>
        <v>Sí</v>
      </c>
      <c r="V1200" s="34" t="str">
        <f aca="false">IF(J1200="","SIN DATO",IFERROR(INDEX(cat_FunN,MATCH(J1200,cat_FunO,0)),J1200))</f>
        <v>Protección</v>
      </c>
      <c r="W1200" s="34" t="str">
        <f aca="false">IF(OR(S1200="SIN DATO",T1200="SIN DATO"),"No","Sí")</f>
        <v>Sí</v>
      </c>
    </row>
    <row r="1201" customFormat="false" ht="15" hidden="false" customHeight="false" outlineLevel="0" collapsed="false">
      <c r="A1201" s="34" t="s">
        <v>4454</v>
      </c>
      <c r="B1201" s="34" t="s">
        <v>4455</v>
      </c>
      <c r="C1201" s="34" t="s">
        <v>4456</v>
      </c>
      <c r="D1201" s="34" t="s">
        <v>4457</v>
      </c>
      <c r="E1201" s="34" t="s">
        <v>130</v>
      </c>
      <c r="F1201" s="34" t="s">
        <v>1602</v>
      </c>
      <c r="G1201" s="34" t="s">
        <v>2983</v>
      </c>
      <c r="H1201" s="34" t="s">
        <v>61</v>
      </c>
      <c r="I1201" s="34" t="s">
        <v>63</v>
      </c>
      <c r="J1201" s="34" t="s">
        <v>681</v>
      </c>
      <c r="K1201" s="34" t="s">
        <v>229</v>
      </c>
      <c r="L1201" s="34" t="s">
        <v>3198</v>
      </c>
      <c r="M1201" s="34" t="s">
        <v>231</v>
      </c>
      <c r="N1201" s="34" t="str">
        <f aca="false">"Sector "&amp;VALUE(MID(D1201,13,2))</f>
        <v>Sector 5</v>
      </c>
      <c r="O1201" s="34" t="str">
        <f aca="false">IF(Dashboard!$C$5="Ubicación técnica",N1201,"Sector "&amp;VALUE(RIGHT(G1201,2)))</f>
        <v>Sector 5</v>
      </c>
      <c r="P1201" s="34" t="str">
        <f aca="false">IF(MID(D1201,15,3)="SEL","Subestación eléctrica","Área de proceso")</f>
        <v>Subestación eléctrica</v>
      </c>
      <c r="Q1201" s="34" t="str">
        <f aca="false">MID(D1201,13,5)&amp;"|"&amp;MID(D1201,19,5)</f>
        <v>05SEL|S_004</v>
      </c>
      <c r="R1201" s="34" t="str">
        <f aca="false">IF(P1201="Subestación eléctrica",IFERROR(INDEX(cat_SubN,MATCH(Q1201,cat_SubK,0)),"SIN CATALOGAR"),"ÁREA DE PROCESO")</f>
        <v>SE-04</v>
      </c>
      <c r="S1201" s="34" t="str">
        <f aca="false">IF(H1201="","SIN DATO",IFERROR(INDEX(cat_MarcaN,MATCH(H1201,cat_MarcaO,0)),H1201))</f>
        <v>GENERAL ELECTRIC</v>
      </c>
      <c r="T1201" s="34" t="str">
        <f aca="false">IF(I1201="","SIN DATO",IFERROR(INDEX(cat_ModN,MATCH(I1201,cat_ModO,0)),I1201))</f>
        <v>MULTILIN</v>
      </c>
      <c r="U1201" s="34" t="str">
        <f aca="false">IF(I1201="","",IFERROR(INDEX(cat_ModG,MATCH(I1201,cat_ModO,0)),"No"))</f>
        <v>Sí</v>
      </c>
      <c r="V1201" s="34" t="str">
        <f aca="false">IF(J1201="","SIN DATO",IFERROR(INDEX(cat_FunN,MATCH(J1201,cat_FunO,0)),J1201))</f>
        <v>Protección</v>
      </c>
      <c r="W1201" s="34" t="str">
        <f aca="false">IF(OR(S1201="SIN DATO",T1201="SIN DATO"),"No","Sí")</f>
        <v>Sí</v>
      </c>
    </row>
    <row r="1202" customFormat="false" ht="15" hidden="false" customHeight="false" outlineLevel="0" collapsed="false">
      <c r="A1202" s="34" t="s">
        <v>4458</v>
      </c>
      <c r="B1202" s="34" t="s">
        <v>4459</v>
      </c>
      <c r="C1202" s="34" t="s">
        <v>4460</v>
      </c>
      <c r="D1202" s="34" t="s">
        <v>4461</v>
      </c>
      <c r="E1202" s="34" t="s">
        <v>130</v>
      </c>
      <c r="F1202" s="34" t="s">
        <v>1602</v>
      </c>
      <c r="G1202" s="34" t="s">
        <v>2983</v>
      </c>
      <c r="H1202" s="34" t="s">
        <v>55</v>
      </c>
      <c r="I1202" s="34" t="s">
        <v>55</v>
      </c>
      <c r="J1202" s="34" t="s">
        <v>58</v>
      </c>
      <c r="K1202" s="34" t="s">
        <v>229</v>
      </c>
      <c r="L1202" s="34" t="s">
        <v>230</v>
      </c>
      <c r="M1202" s="34" t="s">
        <v>231</v>
      </c>
      <c r="N1202" s="34" t="str">
        <f aca="false">"Sector "&amp;VALUE(MID(D1202,13,2))</f>
        <v>Sector 5</v>
      </c>
      <c r="O1202" s="34" t="str">
        <f aca="false">IF(Dashboard!$C$5="Ubicación técnica",N1202,"Sector "&amp;VALUE(RIGHT(G1202,2)))</f>
        <v>Sector 5</v>
      </c>
      <c r="P1202" s="34" t="str">
        <f aca="false">IF(MID(D1202,15,3)="SEL","Subestación eléctrica","Área de proceso")</f>
        <v>Subestación eléctrica</v>
      </c>
      <c r="Q1202" s="34" t="str">
        <f aca="false">MID(D1202,13,5)&amp;"|"&amp;MID(D1202,19,5)</f>
        <v>05SEL|S_004</v>
      </c>
      <c r="R1202" s="34" t="str">
        <f aca="false">IF(P1202="Subestación eléctrica",IFERROR(INDEX(cat_SubN,MATCH(Q1202,cat_SubK,0)),"SIN CATALOGAR"),"ÁREA DE PROCESO")</f>
        <v>SE-04</v>
      </c>
      <c r="S1202" s="34" t="str">
        <f aca="false">IF(H1202="","SIN DATO",IFERROR(INDEX(cat_MarcaN,MATCH(H1202,cat_MarcaO,0)),H1202))</f>
        <v>SEL</v>
      </c>
      <c r="T1202" s="34" t="str">
        <f aca="false">IF(I1202="","SIN DATO",IFERROR(INDEX(cat_ModN,MATCH(I1202,cat_ModO,0)),I1202))</f>
        <v>SEL</v>
      </c>
      <c r="U1202" s="34" t="str">
        <f aca="false">IF(I1202="","",IFERROR(INDEX(cat_ModG,MATCH(I1202,cat_ModO,0)),"No"))</f>
        <v>Sí</v>
      </c>
      <c r="V1202" s="34" t="str">
        <f aca="false">IF(J1202="","SIN DATO",IFERROR(INDEX(cat_FunN,MATCH(J1202,cat_FunO,0)),J1202))</f>
        <v>Medición</v>
      </c>
      <c r="W1202" s="34" t="str">
        <f aca="false">IF(OR(S1202="SIN DATO",T1202="SIN DATO"),"No","Sí")</f>
        <v>Sí</v>
      </c>
    </row>
    <row r="1203" customFormat="false" ht="15" hidden="false" customHeight="false" outlineLevel="0" collapsed="false">
      <c r="A1203" s="34" t="s">
        <v>4462</v>
      </c>
      <c r="B1203" s="34" t="s">
        <v>4463</v>
      </c>
      <c r="C1203" s="34" t="s">
        <v>4464</v>
      </c>
      <c r="D1203" s="34" t="s">
        <v>4465</v>
      </c>
      <c r="E1203" s="34" t="s">
        <v>130</v>
      </c>
      <c r="F1203" s="34" t="s">
        <v>1602</v>
      </c>
      <c r="G1203" s="34" t="s">
        <v>2983</v>
      </c>
      <c r="H1203" s="34" t="s">
        <v>55</v>
      </c>
      <c r="I1203" s="34" t="s">
        <v>55</v>
      </c>
      <c r="J1203" s="34" t="s">
        <v>58</v>
      </c>
      <c r="K1203" s="34" t="s">
        <v>229</v>
      </c>
      <c r="L1203" s="34" t="s">
        <v>230</v>
      </c>
      <c r="M1203" s="34" t="s">
        <v>344</v>
      </c>
      <c r="N1203" s="34" t="str">
        <f aca="false">"Sector "&amp;VALUE(MID(D1203,13,2))</f>
        <v>Sector 5</v>
      </c>
      <c r="O1203" s="34" t="str">
        <f aca="false">IF(Dashboard!$C$5="Ubicación técnica",N1203,"Sector "&amp;VALUE(RIGHT(G1203,2)))</f>
        <v>Sector 5</v>
      </c>
      <c r="P1203" s="34" t="str">
        <f aca="false">IF(MID(D1203,15,3)="SEL","Subestación eléctrica","Área de proceso")</f>
        <v>Subestación eléctrica</v>
      </c>
      <c r="Q1203" s="34" t="str">
        <f aca="false">MID(D1203,13,5)&amp;"|"&amp;MID(D1203,19,5)</f>
        <v>05SEL|S_004</v>
      </c>
      <c r="R1203" s="34" t="str">
        <f aca="false">IF(P1203="Subestación eléctrica",IFERROR(INDEX(cat_SubN,MATCH(Q1203,cat_SubK,0)),"SIN CATALOGAR"),"ÁREA DE PROCESO")</f>
        <v>SE-04</v>
      </c>
      <c r="S1203" s="34" t="str">
        <f aca="false">IF(H1203="","SIN DATO",IFERROR(INDEX(cat_MarcaN,MATCH(H1203,cat_MarcaO,0)),H1203))</f>
        <v>SEL</v>
      </c>
      <c r="T1203" s="34" t="str">
        <f aca="false">IF(I1203="","SIN DATO",IFERROR(INDEX(cat_ModN,MATCH(I1203,cat_ModO,0)),I1203))</f>
        <v>SEL</v>
      </c>
      <c r="U1203" s="34" t="str">
        <f aca="false">IF(I1203="","",IFERROR(INDEX(cat_ModG,MATCH(I1203,cat_ModO,0)),"No"))</f>
        <v>Sí</v>
      </c>
      <c r="V1203" s="34" t="str">
        <f aca="false">IF(J1203="","SIN DATO",IFERROR(INDEX(cat_FunN,MATCH(J1203,cat_FunO,0)),J1203))</f>
        <v>Medición</v>
      </c>
      <c r="W1203" s="34" t="str">
        <f aca="false">IF(OR(S1203="SIN DATO",T1203="SIN DATO"),"No","Sí")</f>
        <v>Sí</v>
      </c>
    </row>
    <row r="1204" customFormat="false" ht="15" hidden="false" customHeight="false" outlineLevel="0" collapsed="false">
      <c r="A1204" s="34" t="s">
        <v>4466</v>
      </c>
      <c r="B1204" s="34" t="s">
        <v>4467</v>
      </c>
      <c r="C1204" s="34" t="s">
        <v>4468</v>
      </c>
      <c r="D1204" s="34" t="s">
        <v>4469</v>
      </c>
      <c r="E1204" s="34" t="s">
        <v>130</v>
      </c>
      <c r="F1204" s="34" t="s">
        <v>1602</v>
      </c>
      <c r="G1204" s="34" t="s">
        <v>2983</v>
      </c>
      <c r="H1204" s="34" t="s">
        <v>55</v>
      </c>
      <c r="I1204" s="34" t="s">
        <v>55</v>
      </c>
      <c r="J1204" s="34" t="s">
        <v>58</v>
      </c>
      <c r="K1204" s="34" t="s">
        <v>229</v>
      </c>
      <c r="L1204" s="34" t="s">
        <v>230</v>
      </c>
      <c r="M1204" s="34" t="s">
        <v>344</v>
      </c>
      <c r="N1204" s="34" t="str">
        <f aca="false">"Sector "&amp;VALUE(MID(D1204,13,2))</f>
        <v>Sector 5</v>
      </c>
      <c r="O1204" s="34" t="str">
        <f aca="false">IF(Dashboard!$C$5="Ubicación técnica",N1204,"Sector "&amp;VALUE(RIGHT(G1204,2)))</f>
        <v>Sector 5</v>
      </c>
      <c r="P1204" s="34" t="str">
        <f aca="false">IF(MID(D1204,15,3)="SEL","Subestación eléctrica","Área de proceso")</f>
        <v>Subestación eléctrica</v>
      </c>
      <c r="Q1204" s="34" t="str">
        <f aca="false">MID(D1204,13,5)&amp;"|"&amp;MID(D1204,19,5)</f>
        <v>05SEL|S_004</v>
      </c>
      <c r="R1204" s="34" t="str">
        <f aca="false">IF(P1204="Subestación eléctrica",IFERROR(INDEX(cat_SubN,MATCH(Q1204,cat_SubK,0)),"SIN CATALOGAR"),"ÁREA DE PROCESO")</f>
        <v>SE-04</v>
      </c>
      <c r="S1204" s="34" t="str">
        <f aca="false">IF(H1204="","SIN DATO",IFERROR(INDEX(cat_MarcaN,MATCH(H1204,cat_MarcaO,0)),H1204))</f>
        <v>SEL</v>
      </c>
      <c r="T1204" s="34" t="str">
        <f aca="false">IF(I1204="","SIN DATO",IFERROR(INDEX(cat_ModN,MATCH(I1204,cat_ModO,0)),I1204))</f>
        <v>SEL</v>
      </c>
      <c r="U1204" s="34" t="str">
        <f aca="false">IF(I1204="","",IFERROR(INDEX(cat_ModG,MATCH(I1204,cat_ModO,0)),"No"))</f>
        <v>Sí</v>
      </c>
      <c r="V1204" s="34" t="str">
        <f aca="false">IF(J1204="","SIN DATO",IFERROR(INDEX(cat_FunN,MATCH(J1204,cat_FunO,0)),J1204))</f>
        <v>Medición</v>
      </c>
      <c r="W1204" s="34" t="str">
        <f aca="false">IF(OR(S1204="SIN DATO",T1204="SIN DATO"),"No","Sí")</f>
        <v>Sí</v>
      </c>
    </row>
    <row r="1205" customFormat="false" ht="15" hidden="false" customHeight="false" outlineLevel="0" collapsed="false">
      <c r="A1205" s="34" t="s">
        <v>4470</v>
      </c>
      <c r="B1205" s="34" t="s">
        <v>4471</v>
      </c>
      <c r="C1205" s="34" t="s">
        <v>4472</v>
      </c>
      <c r="D1205" s="34" t="s">
        <v>4473</v>
      </c>
      <c r="E1205" s="34" t="s">
        <v>130</v>
      </c>
      <c r="F1205" s="34" t="s">
        <v>1602</v>
      </c>
      <c r="G1205" s="34" t="s">
        <v>2983</v>
      </c>
      <c r="H1205" s="34" t="s">
        <v>55</v>
      </c>
      <c r="I1205" s="34" t="s">
        <v>55</v>
      </c>
      <c r="J1205" s="34" t="s">
        <v>58</v>
      </c>
      <c r="K1205" s="34" t="s">
        <v>229</v>
      </c>
      <c r="L1205" s="34" t="s">
        <v>230</v>
      </c>
      <c r="M1205" s="34" t="s">
        <v>344</v>
      </c>
      <c r="N1205" s="34" t="str">
        <f aca="false">"Sector "&amp;VALUE(MID(D1205,13,2))</f>
        <v>Sector 5</v>
      </c>
      <c r="O1205" s="34" t="str">
        <f aca="false">IF(Dashboard!$C$5="Ubicación técnica",N1205,"Sector "&amp;VALUE(RIGHT(G1205,2)))</f>
        <v>Sector 5</v>
      </c>
      <c r="P1205" s="34" t="str">
        <f aca="false">IF(MID(D1205,15,3)="SEL","Subestación eléctrica","Área de proceso")</f>
        <v>Subestación eléctrica</v>
      </c>
      <c r="Q1205" s="34" t="str">
        <f aca="false">MID(D1205,13,5)&amp;"|"&amp;MID(D1205,19,5)</f>
        <v>05SEL|S_004</v>
      </c>
      <c r="R1205" s="34" t="str">
        <f aca="false">IF(P1205="Subestación eléctrica",IFERROR(INDEX(cat_SubN,MATCH(Q1205,cat_SubK,0)),"SIN CATALOGAR"),"ÁREA DE PROCESO")</f>
        <v>SE-04</v>
      </c>
      <c r="S1205" s="34" t="str">
        <f aca="false">IF(H1205="","SIN DATO",IFERROR(INDEX(cat_MarcaN,MATCH(H1205,cat_MarcaO,0)),H1205))</f>
        <v>SEL</v>
      </c>
      <c r="T1205" s="34" t="str">
        <f aca="false">IF(I1205="","SIN DATO",IFERROR(INDEX(cat_ModN,MATCH(I1205,cat_ModO,0)),I1205))</f>
        <v>SEL</v>
      </c>
      <c r="U1205" s="34" t="str">
        <f aca="false">IF(I1205="","",IFERROR(INDEX(cat_ModG,MATCH(I1205,cat_ModO,0)),"No"))</f>
        <v>Sí</v>
      </c>
      <c r="V1205" s="34" t="str">
        <f aca="false">IF(J1205="","SIN DATO",IFERROR(INDEX(cat_FunN,MATCH(J1205,cat_FunO,0)),J1205))</f>
        <v>Medición</v>
      </c>
      <c r="W1205" s="34" t="str">
        <f aca="false">IF(OR(S1205="SIN DATO",T1205="SIN DATO"),"No","Sí")</f>
        <v>Sí</v>
      </c>
    </row>
    <row r="1206" customFormat="false" ht="15" hidden="false" customHeight="false" outlineLevel="0" collapsed="false">
      <c r="A1206" s="34" t="s">
        <v>4474</v>
      </c>
      <c r="B1206" s="34" t="s">
        <v>4475</v>
      </c>
      <c r="C1206" s="34" t="s">
        <v>4476</v>
      </c>
      <c r="D1206" s="34" t="s">
        <v>4477</v>
      </c>
      <c r="E1206" s="34" t="s">
        <v>130</v>
      </c>
      <c r="F1206" s="34" t="s">
        <v>1602</v>
      </c>
      <c r="G1206" s="34" t="s">
        <v>2983</v>
      </c>
      <c r="H1206" s="34" t="s">
        <v>55</v>
      </c>
      <c r="I1206" s="34" t="s">
        <v>55</v>
      </c>
      <c r="J1206" s="34" t="s">
        <v>58</v>
      </c>
      <c r="K1206" s="34" t="s">
        <v>229</v>
      </c>
      <c r="L1206" s="34" t="s">
        <v>230</v>
      </c>
      <c r="M1206" s="34" t="s">
        <v>344</v>
      </c>
      <c r="N1206" s="34" t="str">
        <f aca="false">"Sector "&amp;VALUE(MID(D1206,13,2))</f>
        <v>Sector 5</v>
      </c>
      <c r="O1206" s="34" t="str">
        <f aca="false">IF(Dashboard!$C$5="Ubicación técnica",N1206,"Sector "&amp;VALUE(RIGHT(G1206,2)))</f>
        <v>Sector 5</v>
      </c>
      <c r="P1206" s="34" t="str">
        <f aca="false">IF(MID(D1206,15,3)="SEL","Subestación eléctrica","Área de proceso")</f>
        <v>Subestación eléctrica</v>
      </c>
      <c r="Q1206" s="34" t="str">
        <f aca="false">MID(D1206,13,5)&amp;"|"&amp;MID(D1206,19,5)</f>
        <v>05SEL|S_004</v>
      </c>
      <c r="R1206" s="34" t="str">
        <f aca="false">IF(P1206="Subestación eléctrica",IFERROR(INDEX(cat_SubN,MATCH(Q1206,cat_SubK,0)),"SIN CATALOGAR"),"ÁREA DE PROCESO")</f>
        <v>SE-04</v>
      </c>
      <c r="S1206" s="34" t="str">
        <f aca="false">IF(H1206="","SIN DATO",IFERROR(INDEX(cat_MarcaN,MATCH(H1206,cat_MarcaO,0)),H1206))</f>
        <v>SEL</v>
      </c>
      <c r="T1206" s="34" t="str">
        <f aca="false">IF(I1206="","SIN DATO",IFERROR(INDEX(cat_ModN,MATCH(I1206,cat_ModO,0)),I1206))</f>
        <v>SEL</v>
      </c>
      <c r="U1206" s="34" t="str">
        <f aca="false">IF(I1206="","",IFERROR(INDEX(cat_ModG,MATCH(I1206,cat_ModO,0)),"No"))</f>
        <v>Sí</v>
      </c>
      <c r="V1206" s="34" t="str">
        <f aca="false">IF(J1206="","SIN DATO",IFERROR(INDEX(cat_FunN,MATCH(J1206,cat_FunO,0)),J1206))</f>
        <v>Medición</v>
      </c>
      <c r="W1206" s="34" t="str">
        <f aca="false">IF(OR(S1206="SIN DATO",T1206="SIN DATO"),"No","Sí")</f>
        <v>Sí</v>
      </c>
    </row>
    <row r="1207" customFormat="false" ht="15" hidden="false" customHeight="false" outlineLevel="0" collapsed="false">
      <c r="A1207" s="34" t="s">
        <v>4478</v>
      </c>
      <c r="B1207" s="34" t="s">
        <v>4479</v>
      </c>
      <c r="C1207" s="34" t="s">
        <v>4480</v>
      </c>
      <c r="D1207" s="34" t="s">
        <v>4481</v>
      </c>
      <c r="E1207" s="34" t="s">
        <v>130</v>
      </c>
      <c r="F1207" s="34" t="s">
        <v>1602</v>
      </c>
      <c r="G1207" s="34" t="s">
        <v>2983</v>
      </c>
      <c r="H1207" s="34" t="s">
        <v>55</v>
      </c>
      <c r="I1207" s="34" t="s">
        <v>55</v>
      </c>
      <c r="J1207" s="34" t="s">
        <v>58</v>
      </c>
      <c r="K1207" s="34" t="s">
        <v>229</v>
      </c>
      <c r="L1207" s="34" t="s">
        <v>230</v>
      </c>
      <c r="M1207" s="34" t="s">
        <v>344</v>
      </c>
      <c r="N1207" s="34" t="str">
        <f aca="false">"Sector "&amp;VALUE(MID(D1207,13,2))</f>
        <v>Sector 5</v>
      </c>
      <c r="O1207" s="34" t="str">
        <f aca="false">IF(Dashboard!$C$5="Ubicación técnica",N1207,"Sector "&amp;VALUE(RIGHT(G1207,2)))</f>
        <v>Sector 5</v>
      </c>
      <c r="P1207" s="34" t="str">
        <f aca="false">IF(MID(D1207,15,3)="SEL","Subestación eléctrica","Área de proceso")</f>
        <v>Subestación eléctrica</v>
      </c>
      <c r="Q1207" s="34" t="str">
        <f aca="false">MID(D1207,13,5)&amp;"|"&amp;MID(D1207,19,5)</f>
        <v>05SEL|S_004</v>
      </c>
      <c r="R1207" s="34" t="str">
        <f aca="false">IF(P1207="Subestación eléctrica",IFERROR(INDEX(cat_SubN,MATCH(Q1207,cat_SubK,0)),"SIN CATALOGAR"),"ÁREA DE PROCESO")</f>
        <v>SE-04</v>
      </c>
      <c r="S1207" s="34" t="str">
        <f aca="false">IF(H1207="","SIN DATO",IFERROR(INDEX(cat_MarcaN,MATCH(H1207,cat_MarcaO,0)),H1207))</f>
        <v>SEL</v>
      </c>
      <c r="T1207" s="34" t="str">
        <f aca="false">IF(I1207="","SIN DATO",IFERROR(INDEX(cat_ModN,MATCH(I1207,cat_ModO,0)),I1207))</f>
        <v>SEL</v>
      </c>
      <c r="U1207" s="34" t="str">
        <f aca="false">IF(I1207="","",IFERROR(INDEX(cat_ModG,MATCH(I1207,cat_ModO,0)),"No"))</f>
        <v>Sí</v>
      </c>
      <c r="V1207" s="34" t="str">
        <f aca="false">IF(J1207="","SIN DATO",IFERROR(INDEX(cat_FunN,MATCH(J1207,cat_FunO,0)),J1207))</f>
        <v>Medición</v>
      </c>
      <c r="W1207" s="34" t="str">
        <f aca="false">IF(OR(S1207="SIN DATO",T1207="SIN DATO"),"No","Sí")</f>
        <v>Sí</v>
      </c>
    </row>
    <row r="1208" customFormat="false" ht="15" hidden="false" customHeight="false" outlineLevel="0" collapsed="false">
      <c r="A1208" s="34" t="s">
        <v>4482</v>
      </c>
      <c r="B1208" s="34" t="s">
        <v>4483</v>
      </c>
      <c r="C1208" s="34" t="s">
        <v>4484</v>
      </c>
      <c r="D1208" s="34" t="s">
        <v>4485</v>
      </c>
      <c r="E1208" s="34" t="s">
        <v>130</v>
      </c>
      <c r="F1208" s="34" t="s">
        <v>1602</v>
      </c>
      <c r="G1208" s="34" t="s">
        <v>2983</v>
      </c>
      <c r="H1208" s="34" t="s">
        <v>55</v>
      </c>
      <c r="I1208" s="34" t="s">
        <v>55</v>
      </c>
      <c r="J1208" s="34" t="s">
        <v>58</v>
      </c>
      <c r="K1208" s="34" t="s">
        <v>229</v>
      </c>
      <c r="L1208" s="34" t="s">
        <v>230</v>
      </c>
      <c r="M1208" s="34" t="s">
        <v>344</v>
      </c>
      <c r="N1208" s="34" t="str">
        <f aca="false">"Sector "&amp;VALUE(MID(D1208,13,2))</f>
        <v>Sector 5</v>
      </c>
      <c r="O1208" s="34" t="str">
        <f aca="false">IF(Dashboard!$C$5="Ubicación técnica",N1208,"Sector "&amp;VALUE(RIGHT(G1208,2)))</f>
        <v>Sector 5</v>
      </c>
      <c r="P1208" s="34" t="str">
        <f aca="false">IF(MID(D1208,15,3)="SEL","Subestación eléctrica","Área de proceso")</f>
        <v>Subestación eléctrica</v>
      </c>
      <c r="Q1208" s="34" t="str">
        <f aca="false">MID(D1208,13,5)&amp;"|"&amp;MID(D1208,19,5)</f>
        <v>05SEL|S_004</v>
      </c>
      <c r="R1208" s="34" t="str">
        <f aca="false">IF(P1208="Subestación eléctrica",IFERROR(INDEX(cat_SubN,MATCH(Q1208,cat_SubK,0)),"SIN CATALOGAR"),"ÁREA DE PROCESO")</f>
        <v>SE-04</v>
      </c>
      <c r="S1208" s="34" t="str">
        <f aca="false">IF(H1208="","SIN DATO",IFERROR(INDEX(cat_MarcaN,MATCH(H1208,cat_MarcaO,0)),H1208))</f>
        <v>SEL</v>
      </c>
      <c r="T1208" s="34" t="str">
        <f aca="false">IF(I1208="","SIN DATO",IFERROR(INDEX(cat_ModN,MATCH(I1208,cat_ModO,0)),I1208))</f>
        <v>SEL</v>
      </c>
      <c r="U1208" s="34" t="str">
        <f aca="false">IF(I1208="","",IFERROR(INDEX(cat_ModG,MATCH(I1208,cat_ModO,0)),"No"))</f>
        <v>Sí</v>
      </c>
      <c r="V1208" s="34" t="str">
        <f aca="false">IF(J1208="","SIN DATO",IFERROR(INDEX(cat_FunN,MATCH(J1208,cat_FunO,0)),J1208))</f>
        <v>Medición</v>
      </c>
      <c r="W1208" s="34" t="str">
        <f aca="false">IF(OR(S1208="SIN DATO",T1208="SIN DATO"),"No","Sí")</f>
        <v>Sí</v>
      </c>
    </row>
    <row r="1209" customFormat="false" ht="15" hidden="false" customHeight="false" outlineLevel="0" collapsed="false">
      <c r="A1209" s="34" t="s">
        <v>4486</v>
      </c>
      <c r="B1209" s="34" t="s">
        <v>4487</v>
      </c>
      <c r="C1209" s="34" t="s">
        <v>4488</v>
      </c>
      <c r="D1209" s="34" t="s">
        <v>4489</v>
      </c>
      <c r="E1209" s="34" t="s">
        <v>130</v>
      </c>
      <c r="F1209" s="34" t="s">
        <v>1602</v>
      </c>
      <c r="G1209" s="34" t="s">
        <v>2983</v>
      </c>
      <c r="H1209" s="34" t="s">
        <v>55</v>
      </c>
      <c r="I1209" s="34" t="s">
        <v>55</v>
      </c>
      <c r="J1209" s="34" t="s">
        <v>58</v>
      </c>
      <c r="K1209" s="34" t="s">
        <v>229</v>
      </c>
      <c r="L1209" s="34" t="s">
        <v>230</v>
      </c>
      <c r="M1209" s="34" t="s">
        <v>344</v>
      </c>
      <c r="N1209" s="34" t="str">
        <f aca="false">"Sector "&amp;VALUE(MID(D1209,13,2))</f>
        <v>Sector 5</v>
      </c>
      <c r="O1209" s="34" t="str">
        <f aca="false">IF(Dashboard!$C$5="Ubicación técnica",N1209,"Sector "&amp;VALUE(RIGHT(G1209,2)))</f>
        <v>Sector 5</v>
      </c>
      <c r="P1209" s="34" t="str">
        <f aca="false">IF(MID(D1209,15,3)="SEL","Subestación eléctrica","Área de proceso")</f>
        <v>Subestación eléctrica</v>
      </c>
      <c r="Q1209" s="34" t="str">
        <f aca="false">MID(D1209,13,5)&amp;"|"&amp;MID(D1209,19,5)</f>
        <v>05SEL|S_004</v>
      </c>
      <c r="R1209" s="34" t="str">
        <f aca="false">IF(P1209="Subestación eléctrica",IFERROR(INDEX(cat_SubN,MATCH(Q1209,cat_SubK,0)),"SIN CATALOGAR"),"ÁREA DE PROCESO")</f>
        <v>SE-04</v>
      </c>
      <c r="S1209" s="34" t="str">
        <f aca="false">IF(H1209="","SIN DATO",IFERROR(INDEX(cat_MarcaN,MATCH(H1209,cat_MarcaO,0)),H1209))</f>
        <v>SEL</v>
      </c>
      <c r="T1209" s="34" t="str">
        <f aca="false">IF(I1209="","SIN DATO",IFERROR(INDEX(cat_ModN,MATCH(I1209,cat_ModO,0)),I1209))</f>
        <v>SEL</v>
      </c>
      <c r="U1209" s="34" t="str">
        <f aca="false">IF(I1209="","",IFERROR(INDEX(cat_ModG,MATCH(I1209,cat_ModO,0)),"No"))</f>
        <v>Sí</v>
      </c>
      <c r="V1209" s="34" t="str">
        <f aca="false">IF(J1209="","SIN DATO",IFERROR(INDEX(cat_FunN,MATCH(J1209,cat_FunO,0)),J1209))</f>
        <v>Medición</v>
      </c>
      <c r="W1209" s="34" t="str">
        <f aca="false">IF(OR(S1209="SIN DATO",T1209="SIN DATO"),"No","Sí")</f>
        <v>Sí</v>
      </c>
    </row>
    <row r="1210" customFormat="false" ht="15" hidden="false" customHeight="false" outlineLevel="0" collapsed="false">
      <c r="A1210" s="34" t="s">
        <v>4490</v>
      </c>
      <c r="B1210" s="34" t="s">
        <v>4491</v>
      </c>
      <c r="C1210" s="34" t="s">
        <v>4492</v>
      </c>
      <c r="D1210" s="34" t="s">
        <v>4493</v>
      </c>
      <c r="E1210" s="34" t="s">
        <v>130</v>
      </c>
      <c r="F1210" s="34" t="s">
        <v>1602</v>
      </c>
      <c r="G1210" s="34" t="s">
        <v>2983</v>
      </c>
      <c r="H1210" s="34" t="s">
        <v>55</v>
      </c>
      <c r="I1210" s="34" t="s">
        <v>55</v>
      </c>
      <c r="J1210" s="34" t="s">
        <v>58</v>
      </c>
      <c r="K1210" s="34" t="s">
        <v>229</v>
      </c>
      <c r="L1210" s="34" t="s">
        <v>230</v>
      </c>
      <c r="M1210" s="34" t="s">
        <v>344</v>
      </c>
      <c r="N1210" s="34" t="str">
        <f aca="false">"Sector "&amp;VALUE(MID(D1210,13,2))</f>
        <v>Sector 5</v>
      </c>
      <c r="O1210" s="34" t="str">
        <f aca="false">IF(Dashboard!$C$5="Ubicación técnica",N1210,"Sector "&amp;VALUE(RIGHT(G1210,2)))</f>
        <v>Sector 5</v>
      </c>
      <c r="P1210" s="34" t="str">
        <f aca="false">IF(MID(D1210,15,3)="SEL","Subestación eléctrica","Área de proceso")</f>
        <v>Subestación eléctrica</v>
      </c>
      <c r="Q1210" s="34" t="str">
        <f aca="false">MID(D1210,13,5)&amp;"|"&amp;MID(D1210,19,5)</f>
        <v>05SEL|S_004</v>
      </c>
      <c r="R1210" s="34" t="str">
        <f aca="false">IF(P1210="Subestación eléctrica",IFERROR(INDEX(cat_SubN,MATCH(Q1210,cat_SubK,0)),"SIN CATALOGAR"),"ÁREA DE PROCESO")</f>
        <v>SE-04</v>
      </c>
      <c r="S1210" s="34" t="str">
        <f aca="false">IF(H1210="","SIN DATO",IFERROR(INDEX(cat_MarcaN,MATCH(H1210,cat_MarcaO,0)),H1210))</f>
        <v>SEL</v>
      </c>
      <c r="T1210" s="34" t="str">
        <f aca="false">IF(I1210="","SIN DATO",IFERROR(INDEX(cat_ModN,MATCH(I1210,cat_ModO,0)),I1210))</f>
        <v>SEL</v>
      </c>
      <c r="U1210" s="34" t="str">
        <f aca="false">IF(I1210="","",IFERROR(INDEX(cat_ModG,MATCH(I1210,cat_ModO,0)),"No"))</f>
        <v>Sí</v>
      </c>
      <c r="V1210" s="34" t="str">
        <f aca="false">IF(J1210="","SIN DATO",IFERROR(INDEX(cat_FunN,MATCH(J1210,cat_FunO,0)),J1210))</f>
        <v>Medición</v>
      </c>
      <c r="W1210" s="34" t="str">
        <f aca="false">IF(OR(S1210="SIN DATO",T1210="SIN DATO"),"No","Sí")</f>
        <v>Sí</v>
      </c>
    </row>
    <row r="1211" customFormat="false" ht="15" hidden="false" customHeight="false" outlineLevel="0" collapsed="false">
      <c r="A1211" s="34" t="s">
        <v>4494</v>
      </c>
      <c r="B1211" s="34" t="s">
        <v>4495</v>
      </c>
      <c r="C1211" s="34" t="s">
        <v>4496</v>
      </c>
      <c r="D1211" s="34" t="s">
        <v>4497</v>
      </c>
      <c r="E1211" s="34" t="s">
        <v>130</v>
      </c>
      <c r="F1211" s="34" t="s">
        <v>1602</v>
      </c>
      <c r="G1211" s="34" t="s">
        <v>2983</v>
      </c>
      <c r="H1211" s="34" t="s">
        <v>55</v>
      </c>
      <c r="I1211" s="34" t="s">
        <v>55</v>
      </c>
      <c r="J1211" s="34" t="s">
        <v>58</v>
      </c>
      <c r="K1211" s="34" t="s">
        <v>229</v>
      </c>
      <c r="L1211" s="34" t="s">
        <v>230</v>
      </c>
      <c r="M1211" s="34" t="s">
        <v>344</v>
      </c>
      <c r="N1211" s="34" t="str">
        <f aca="false">"Sector "&amp;VALUE(MID(D1211,13,2))</f>
        <v>Sector 5</v>
      </c>
      <c r="O1211" s="34" t="str">
        <f aca="false">IF(Dashboard!$C$5="Ubicación técnica",N1211,"Sector "&amp;VALUE(RIGHT(G1211,2)))</f>
        <v>Sector 5</v>
      </c>
      <c r="P1211" s="34" t="str">
        <f aca="false">IF(MID(D1211,15,3)="SEL","Subestación eléctrica","Área de proceso")</f>
        <v>Subestación eléctrica</v>
      </c>
      <c r="Q1211" s="34" t="str">
        <f aca="false">MID(D1211,13,5)&amp;"|"&amp;MID(D1211,19,5)</f>
        <v>05SEL|S_004</v>
      </c>
      <c r="R1211" s="34" t="str">
        <f aca="false">IF(P1211="Subestación eléctrica",IFERROR(INDEX(cat_SubN,MATCH(Q1211,cat_SubK,0)),"SIN CATALOGAR"),"ÁREA DE PROCESO")</f>
        <v>SE-04</v>
      </c>
      <c r="S1211" s="34" t="str">
        <f aca="false">IF(H1211="","SIN DATO",IFERROR(INDEX(cat_MarcaN,MATCH(H1211,cat_MarcaO,0)),H1211))</f>
        <v>SEL</v>
      </c>
      <c r="T1211" s="34" t="str">
        <f aca="false">IF(I1211="","SIN DATO",IFERROR(INDEX(cat_ModN,MATCH(I1211,cat_ModO,0)),I1211))</f>
        <v>SEL</v>
      </c>
      <c r="U1211" s="34" t="str">
        <f aca="false">IF(I1211="","",IFERROR(INDEX(cat_ModG,MATCH(I1211,cat_ModO,0)),"No"))</f>
        <v>Sí</v>
      </c>
      <c r="V1211" s="34" t="str">
        <f aca="false">IF(J1211="","SIN DATO",IFERROR(INDEX(cat_FunN,MATCH(J1211,cat_FunO,0)),J1211))</f>
        <v>Medición</v>
      </c>
      <c r="W1211" s="34" t="str">
        <f aca="false">IF(OR(S1211="SIN DATO",T1211="SIN DATO"),"No","Sí")</f>
        <v>Sí</v>
      </c>
    </row>
    <row r="1212" customFormat="false" ht="15" hidden="false" customHeight="false" outlineLevel="0" collapsed="false">
      <c r="A1212" s="34" t="s">
        <v>4498</v>
      </c>
      <c r="B1212" s="34" t="s">
        <v>4499</v>
      </c>
      <c r="C1212" s="34" t="s">
        <v>4500</v>
      </c>
      <c r="D1212" s="34" t="s">
        <v>4501</v>
      </c>
      <c r="E1212" s="34" t="s">
        <v>130</v>
      </c>
      <c r="F1212" s="34" t="s">
        <v>1602</v>
      </c>
      <c r="G1212" s="34" t="s">
        <v>2983</v>
      </c>
      <c r="H1212" s="34" t="s">
        <v>55</v>
      </c>
      <c r="I1212" s="34" t="s">
        <v>55</v>
      </c>
      <c r="J1212" s="34" t="s">
        <v>58</v>
      </c>
      <c r="K1212" s="34" t="s">
        <v>229</v>
      </c>
      <c r="L1212" s="34" t="s">
        <v>230</v>
      </c>
      <c r="M1212" s="34" t="s">
        <v>344</v>
      </c>
      <c r="N1212" s="34" t="str">
        <f aca="false">"Sector "&amp;VALUE(MID(D1212,13,2))</f>
        <v>Sector 5</v>
      </c>
      <c r="O1212" s="34" t="str">
        <f aca="false">IF(Dashboard!$C$5="Ubicación técnica",N1212,"Sector "&amp;VALUE(RIGHT(G1212,2)))</f>
        <v>Sector 5</v>
      </c>
      <c r="P1212" s="34" t="str">
        <f aca="false">IF(MID(D1212,15,3)="SEL","Subestación eléctrica","Área de proceso")</f>
        <v>Subestación eléctrica</v>
      </c>
      <c r="Q1212" s="34" t="str">
        <f aca="false">MID(D1212,13,5)&amp;"|"&amp;MID(D1212,19,5)</f>
        <v>05SEL|S_004</v>
      </c>
      <c r="R1212" s="34" t="str">
        <f aca="false">IF(P1212="Subestación eléctrica",IFERROR(INDEX(cat_SubN,MATCH(Q1212,cat_SubK,0)),"SIN CATALOGAR"),"ÁREA DE PROCESO")</f>
        <v>SE-04</v>
      </c>
      <c r="S1212" s="34" t="str">
        <f aca="false">IF(H1212="","SIN DATO",IFERROR(INDEX(cat_MarcaN,MATCH(H1212,cat_MarcaO,0)),H1212))</f>
        <v>SEL</v>
      </c>
      <c r="T1212" s="34" t="str">
        <f aca="false">IF(I1212="","SIN DATO",IFERROR(INDEX(cat_ModN,MATCH(I1212,cat_ModO,0)),I1212))</f>
        <v>SEL</v>
      </c>
      <c r="U1212" s="34" t="str">
        <f aca="false">IF(I1212="","",IFERROR(INDEX(cat_ModG,MATCH(I1212,cat_ModO,0)),"No"))</f>
        <v>Sí</v>
      </c>
      <c r="V1212" s="34" t="str">
        <f aca="false">IF(J1212="","SIN DATO",IFERROR(INDEX(cat_FunN,MATCH(J1212,cat_FunO,0)),J1212))</f>
        <v>Medición</v>
      </c>
      <c r="W1212" s="34" t="str">
        <f aca="false">IF(OR(S1212="SIN DATO",T1212="SIN DATO"),"No","Sí")</f>
        <v>Sí</v>
      </c>
    </row>
    <row r="1213" customFormat="false" ht="15" hidden="false" customHeight="false" outlineLevel="0" collapsed="false">
      <c r="A1213" s="34" t="s">
        <v>4502</v>
      </c>
      <c r="B1213" s="34" t="s">
        <v>4503</v>
      </c>
      <c r="C1213" s="34" t="s">
        <v>4504</v>
      </c>
      <c r="D1213" s="34" t="s">
        <v>4505</v>
      </c>
      <c r="E1213" s="34" t="s">
        <v>130</v>
      </c>
      <c r="F1213" s="34" t="s">
        <v>1602</v>
      </c>
      <c r="G1213" s="34" t="s">
        <v>2983</v>
      </c>
      <c r="H1213" s="34" t="s">
        <v>55</v>
      </c>
      <c r="I1213" s="34" t="s">
        <v>55</v>
      </c>
      <c r="J1213" s="34" t="s">
        <v>58</v>
      </c>
      <c r="K1213" s="34" t="s">
        <v>229</v>
      </c>
      <c r="L1213" s="34" t="s">
        <v>230</v>
      </c>
      <c r="M1213" s="34" t="s">
        <v>344</v>
      </c>
      <c r="N1213" s="34" t="str">
        <f aca="false">"Sector "&amp;VALUE(MID(D1213,13,2))</f>
        <v>Sector 5</v>
      </c>
      <c r="O1213" s="34" t="str">
        <f aca="false">IF(Dashboard!$C$5="Ubicación técnica",N1213,"Sector "&amp;VALUE(RIGHT(G1213,2)))</f>
        <v>Sector 5</v>
      </c>
      <c r="P1213" s="34" t="str">
        <f aca="false">IF(MID(D1213,15,3)="SEL","Subestación eléctrica","Área de proceso")</f>
        <v>Subestación eléctrica</v>
      </c>
      <c r="Q1213" s="34" t="str">
        <f aca="false">MID(D1213,13,5)&amp;"|"&amp;MID(D1213,19,5)</f>
        <v>05SEL|S_004</v>
      </c>
      <c r="R1213" s="34" t="str">
        <f aca="false">IF(P1213="Subestación eléctrica",IFERROR(INDEX(cat_SubN,MATCH(Q1213,cat_SubK,0)),"SIN CATALOGAR"),"ÁREA DE PROCESO")</f>
        <v>SE-04</v>
      </c>
      <c r="S1213" s="34" t="str">
        <f aca="false">IF(H1213="","SIN DATO",IFERROR(INDEX(cat_MarcaN,MATCH(H1213,cat_MarcaO,0)),H1213))</f>
        <v>SEL</v>
      </c>
      <c r="T1213" s="34" t="str">
        <f aca="false">IF(I1213="","SIN DATO",IFERROR(INDEX(cat_ModN,MATCH(I1213,cat_ModO,0)),I1213))</f>
        <v>SEL</v>
      </c>
      <c r="U1213" s="34" t="str">
        <f aca="false">IF(I1213="","",IFERROR(INDEX(cat_ModG,MATCH(I1213,cat_ModO,0)),"No"))</f>
        <v>Sí</v>
      </c>
      <c r="V1213" s="34" t="str">
        <f aca="false">IF(J1213="","SIN DATO",IFERROR(INDEX(cat_FunN,MATCH(J1213,cat_FunO,0)),J1213))</f>
        <v>Medición</v>
      </c>
      <c r="W1213" s="34" t="str">
        <f aca="false">IF(OR(S1213="SIN DATO",T1213="SIN DATO"),"No","Sí")</f>
        <v>Sí</v>
      </c>
    </row>
    <row r="1214" customFormat="false" ht="15" hidden="false" customHeight="false" outlineLevel="0" collapsed="false">
      <c r="A1214" s="34" t="s">
        <v>4506</v>
      </c>
      <c r="B1214" s="34" t="s">
        <v>4507</v>
      </c>
      <c r="C1214" s="34" t="s">
        <v>4508</v>
      </c>
      <c r="D1214" s="34" t="s">
        <v>4509</v>
      </c>
      <c r="E1214" s="34" t="s">
        <v>136</v>
      </c>
      <c r="F1214" s="34" t="s">
        <v>1602</v>
      </c>
      <c r="G1214" s="34" t="s">
        <v>2983</v>
      </c>
      <c r="H1214" s="34" t="s">
        <v>61</v>
      </c>
      <c r="I1214" s="34" t="s">
        <v>63</v>
      </c>
      <c r="J1214" s="34" t="s">
        <v>681</v>
      </c>
      <c r="K1214" s="34" t="s">
        <v>229</v>
      </c>
      <c r="L1214" s="34" t="s">
        <v>3198</v>
      </c>
      <c r="M1214" s="34" t="s">
        <v>4510</v>
      </c>
      <c r="N1214" s="34" t="str">
        <f aca="false">"Sector "&amp;VALUE(MID(D1214,13,2))</f>
        <v>Sector 5</v>
      </c>
      <c r="O1214" s="34" t="str">
        <f aca="false">IF(Dashboard!$C$5="Ubicación técnica",N1214,"Sector "&amp;VALUE(RIGHT(G1214,2)))</f>
        <v>Sector 5</v>
      </c>
      <c r="P1214" s="34" t="str">
        <f aca="false">IF(MID(D1214,15,3)="SEL","Subestación eléctrica","Área de proceso")</f>
        <v>Subestación eléctrica</v>
      </c>
      <c r="Q1214" s="34" t="str">
        <f aca="false">MID(D1214,13,5)&amp;"|"&amp;MID(D1214,19,5)</f>
        <v>05SEL|S_011</v>
      </c>
      <c r="R1214" s="34" t="str">
        <f aca="false">IF(P1214="Subestación eléctrica",IFERROR(INDEX(cat_SubN,MATCH(Q1214,cat_SubK,0)),"SIN CATALOGAR"),"ÁREA DE PROCESO")</f>
        <v>SE-11</v>
      </c>
      <c r="S1214" s="34" t="str">
        <f aca="false">IF(H1214="","SIN DATO",IFERROR(INDEX(cat_MarcaN,MATCH(H1214,cat_MarcaO,0)),H1214))</f>
        <v>GENERAL ELECTRIC</v>
      </c>
      <c r="T1214" s="34" t="str">
        <f aca="false">IF(I1214="","SIN DATO",IFERROR(INDEX(cat_ModN,MATCH(I1214,cat_ModO,0)),I1214))</f>
        <v>MULTILIN</v>
      </c>
      <c r="U1214" s="34" t="str">
        <f aca="false">IF(I1214="","",IFERROR(INDEX(cat_ModG,MATCH(I1214,cat_ModO,0)),"No"))</f>
        <v>Sí</v>
      </c>
      <c r="V1214" s="34" t="str">
        <f aca="false">IF(J1214="","SIN DATO",IFERROR(INDEX(cat_FunN,MATCH(J1214,cat_FunO,0)),J1214))</f>
        <v>Protección</v>
      </c>
      <c r="W1214" s="34" t="str">
        <f aca="false">IF(OR(S1214="SIN DATO",T1214="SIN DATO"),"No","Sí")</f>
        <v>Sí</v>
      </c>
    </row>
    <row r="1215" customFormat="false" ht="15" hidden="false" customHeight="false" outlineLevel="0" collapsed="false">
      <c r="A1215" s="34" t="s">
        <v>4511</v>
      </c>
      <c r="B1215" s="34" t="s">
        <v>4512</v>
      </c>
      <c r="C1215" s="34" t="s">
        <v>4513</v>
      </c>
      <c r="D1215" s="34" t="s">
        <v>4514</v>
      </c>
      <c r="E1215" s="34" t="s">
        <v>136</v>
      </c>
      <c r="F1215" s="34" t="s">
        <v>1602</v>
      </c>
      <c r="G1215" s="34" t="s">
        <v>2983</v>
      </c>
      <c r="H1215" s="34" t="s">
        <v>61</v>
      </c>
      <c r="I1215" s="34" t="s">
        <v>63</v>
      </c>
      <c r="J1215" s="34" t="s">
        <v>681</v>
      </c>
      <c r="K1215" s="34" t="s">
        <v>229</v>
      </c>
      <c r="L1215" s="34" t="s">
        <v>3198</v>
      </c>
      <c r="M1215" s="34" t="s">
        <v>4510</v>
      </c>
      <c r="N1215" s="34" t="str">
        <f aca="false">"Sector "&amp;VALUE(MID(D1215,13,2))</f>
        <v>Sector 5</v>
      </c>
      <c r="O1215" s="34" t="str">
        <f aca="false">IF(Dashboard!$C$5="Ubicación técnica",N1215,"Sector "&amp;VALUE(RIGHT(G1215,2)))</f>
        <v>Sector 5</v>
      </c>
      <c r="P1215" s="34" t="str">
        <f aca="false">IF(MID(D1215,15,3)="SEL","Subestación eléctrica","Área de proceso")</f>
        <v>Subestación eléctrica</v>
      </c>
      <c r="Q1215" s="34" t="str">
        <f aca="false">MID(D1215,13,5)&amp;"|"&amp;MID(D1215,19,5)</f>
        <v>05SEL|S_011</v>
      </c>
      <c r="R1215" s="34" t="str">
        <f aca="false">IF(P1215="Subestación eléctrica",IFERROR(INDEX(cat_SubN,MATCH(Q1215,cat_SubK,0)),"SIN CATALOGAR"),"ÁREA DE PROCESO")</f>
        <v>SE-11</v>
      </c>
      <c r="S1215" s="34" t="str">
        <f aca="false">IF(H1215="","SIN DATO",IFERROR(INDEX(cat_MarcaN,MATCH(H1215,cat_MarcaO,0)),H1215))</f>
        <v>GENERAL ELECTRIC</v>
      </c>
      <c r="T1215" s="34" t="str">
        <f aca="false">IF(I1215="","SIN DATO",IFERROR(INDEX(cat_ModN,MATCH(I1215,cat_ModO,0)),I1215))</f>
        <v>MULTILIN</v>
      </c>
      <c r="U1215" s="34" t="str">
        <f aca="false">IF(I1215="","",IFERROR(INDEX(cat_ModG,MATCH(I1215,cat_ModO,0)),"No"))</f>
        <v>Sí</v>
      </c>
      <c r="V1215" s="34" t="str">
        <f aca="false">IF(J1215="","SIN DATO",IFERROR(INDEX(cat_FunN,MATCH(J1215,cat_FunO,0)),J1215))</f>
        <v>Protección</v>
      </c>
      <c r="W1215" s="34" t="str">
        <f aca="false">IF(OR(S1215="SIN DATO",T1215="SIN DATO"),"No","Sí")</f>
        <v>Sí</v>
      </c>
    </row>
    <row r="1216" customFormat="false" ht="15" hidden="false" customHeight="false" outlineLevel="0" collapsed="false">
      <c r="A1216" s="34" t="s">
        <v>4515</v>
      </c>
      <c r="B1216" s="34" t="s">
        <v>4516</v>
      </c>
      <c r="C1216" s="34" t="s">
        <v>4517</v>
      </c>
      <c r="D1216" s="34" t="s">
        <v>4509</v>
      </c>
      <c r="E1216" s="34" t="s">
        <v>136</v>
      </c>
      <c r="F1216" s="34" t="s">
        <v>1602</v>
      </c>
      <c r="G1216" s="34" t="s">
        <v>2983</v>
      </c>
      <c r="H1216" s="34" t="s">
        <v>61</v>
      </c>
      <c r="I1216" s="34" t="s">
        <v>63</v>
      </c>
      <c r="J1216" s="34" t="s">
        <v>681</v>
      </c>
      <c r="K1216" s="34" t="s">
        <v>229</v>
      </c>
      <c r="L1216" s="34" t="s">
        <v>3198</v>
      </c>
      <c r="M1216" s="34" t="s">
        <v>231</v>
      </c>
      <c r="N1216" s="34" t="str">
        <f aca="false">"Sector "&amp;VALUE(MID(D1216,13,2))</f>
        <v>Sector 5</v>
      </c>
      <c r="O1216" s="34" t="str">
        <f aca="false">IF(Dashboard!$C$5="Ubicación técnica",N1216,"Sector "&amp;VALUE(RIGHT(G1216,2)))</f>
        <v>Sector 5</v>
      </c>
      <c r="P1216" s="34" t="str">
        <f aca="false">IF(MID(D1216,15,3)="SEL","Subestación eléctrica","Área de proceso")</f>
        <v>Subestación eléctrica</v>
      </c>
      <c r="Q1216" s="34" t="str">
        <f aca="false">MID(D1216,13,5)&amp;"|"&amp;MID(D1216,19,5)</f>
        <v>05SEL|S_011</v>
      </c>
      <c r="R1216" s="34" t="str">
        <f aca="false">IF(P1216="Subestación eléctrica",IFERROR(INDEX(cat_SubN,MATCH(Q1216,cat_SubK,0)),"SIN CATALOGAR"),"ÁREA DE PROCESO")</f>
        <v>SE-11</v>
      </c>
      <c r="S1216" s="34" t="str">
        <f aca="false">IF(H1216="","SIN DATO",IFERROR(INDEX(cat_MarcaN,MATCH(H1216,cat_MarcaO,0)),H1216))</f>
        <v>GENERAL ELECTRIC</v>
      </c>
      <c r="T1216" s="34" t="str">
        <f aca="false">IF(I1216="","SIN DATO",IFERROR(INDEX(cat_ModN,MATCH(I1216,cat_ModO,0)),I1216))</f>
        <v>MULTILIN</v>
      </c>
      <c r="U1216" s="34" t="str">
        <f aca="false">IF(I1216="","",IFERROR(INDEX(cat_ModG,MATCH(I1216,cat_ModO,0)),"No"))</f>
        <v>Sí</v>
      </c>
      <c r="V1216" s="34" t="str">
        <f aca="false">IF(J1216="","SIN DATO",IFERROR(INDEX(cat_FunN,MATCH(J1216,cat_FunO,0)),J1216))</f>
        <v>Protección</v>
      </c>
      <c r="W1216" s="34" t="str">
        <f aca="false">IF(OR(S1216="SIN DATO",T1216="SIN DATO"),"No","Sí")</f>
        <v>Sí</v>
      </c>
    </row>
    <row r="1217" customFormat="false" ht="15" hidden="false" customHeight="false" outlineLevel="0" collapsed="false">
      <c r="A1217" s="34" t="s">
        <v>4518</v>
      </c>
      <c r="B1217" s="34" t="s">
        <v>4519</v>
      </c>
      <c r="C1217" s="34" t="s">
        <v>4520</v>
      </c>
      <c r="D1217" s="34" t="s">
        <v>4514</v>
      </c>
      <c r="E1217" s="34" t="s">
        <v>136</v>
      </c>
      <c r="F1217" s="34" t="s">
        <v>1602</v>
      </c>
      <c r="G1217" s="34" t="s">
        <v>2983</v>
      </c>
      <c r="H1217" s="34" t="s">
        <v>61</v>
      </c>
      <c r="I1217" s="34" t="s">
        <v>63</v>
      </c>
      <c r="J1217" s="34" t="s">
        <v>681</v>
      </c>
      <c r="K1217" s="34" t="s">
        <v>229</v>
      </c>
      <c r="L1217" s="34" t="s">
        <v>3198</v>
      </c>
      <c r="M1217" s="34" t="s">
        <v>231</v>
      </c>
      <c r="N1217" s="34" t="str">
        <f aca="false">"Sector "&amp;VALUE(MID(D1217,13,2))</f>
        <v>Sector 5</v>
      </c>
      <c r="O1217" s="34" t="str">
        <f aca="false">IF(Dashboard!$C$5="Ubicación técnica",N1217,"Sector "&amp;VALUE(RIGHT(G1217,2)))</f>
        <v>Sector 5</v>
      </c>
      <c r="P1217" s="34" t="str">
        <f aca="false">IF(MID(D1217,15,3)="SEL","Subestación eléctrica","Área de proceso")</f>
        <v>Subestación eléctrica</v>
      </c>
      <c r="Q1217" s="34" t="str">
        <f aca="false">MID(D1217,13,5)&amp;"|"&amp;MID(D1217,19,5)</f>
        <v>05SEL|S_011</v>
      </c>
      <c r="R1217" s="34" t="str">
        <f aca="false">IF(P1217="Subestación eléctrica",IFERROR(INDEX(cat_SubN,MATCH(Q1217,cat_SubK,0)),"SIN CATALOGAR"),"ÁREA DE PROCESO")</f>
        <v>SE-11</v>
      </c>
      <c r="S1217" s="34" t="str">
        <f aca="false">IF(H1217="","SIN DATO",IFERROR(INDEX(cat_MarcaN,MATCH(H1217,cat_MarcaO,0)),H1217))</f>
        <v>GENERAL ELECTRIC</v>
      </c>
      <c r="T1217" s="34" t="str">
        <f aca="false">IF(I1217="","SIN DATO",IFERROR(INDEX(cat_ModN,MATCH(I1217,cat_ModO,0)),I1217))</f>
        <v>MULTILIN</v>
      </c>
      <c r="U1217" s="34" t="str">
        <f aca="false">IF(I1217="","",IFERROR(INDEX(cat_ModG,MATCH(I1217,cat_ModO,0)),"No"))</f>
        <v>Sí</v>
      </c>
      <c r="V1217" s="34" t="str">
        <f aca="false">IF(J1217="","SIN DATO",IFERROR(INDEX(cat_FunN,MATCH(J1217,cat_FunO,0)),J1217))</f>
        <v>Protección</v>
      </c>
      <c r="W1217" s="34" t="str">
        <f aca="false">IF(OR(S1217="SIN DATO",T1217="SIN DATO"),"No","Sí")</f>
        <v>Sí</v>
      </c>
    </row>
    <row r="1218" customFormat="false" ht="15" hidden="false" customHeight="false" outlineLevel="0" collapsed="false">
      <c r="A1218" s="34" t="s">
        <v>4521</v>
      </c>
      <c r="B1218" s="34" t="s">
        <v>4522</v>
      </c>
      <c r="C1218" s="34" t="s">
        <v>4523</v>
      </c>
      <c r="D1218" s="34" t="s">
        <v>4509</v>
      </c>
      <c r="E1218" s="34" t="s">
        <v>136</v>
      </c>
      <c r="F1218" s="34" t="s">
        <v>1602</v>
      </c>
      <c r="G1218" s="34" t="s">
        <v>2983</v>
      </c>
      <c r="H1218" s="34" t="s">
        <v>61</v>
      </c>
      <c r="I1218" s="34" t="s">
        <v>63</v>
      </c>
      <c r="J1218" s="34" t="s">
        <v>681</v>
      </c>
      <c r="K1218" s="34" t="s">
        <v>229</v>
      </c>
      <c r="L1218" s="34" t="s">
        <v>3198</v>
      </c>
      <c r="M1218" s="34" t="s">
        <v>231</v>
      </c>
      <c r="N1218" s="34" t="str">
        <f aca="false">"Sector "&amp;VALUE(MID(D1218,13,2))</f>
        <v>Sector 5</v>
      </c>
      <c r="O1218" s="34" t="str">
        <f aca="false">IF(Dashboard!$C$5="Ubicación técnica",N1218,"Sector "&amp;VALUE(RIGHT(G1218,2)))</f>
        <v>Sector 5</v>
      </c>
      <c r="P1218" s="34" t="str">
        <f aca="false">IF(MID(D1218,15,3)="SEL","Subestación eléctrica","Área de proceso")</f>
        <v>Subestación eléctrica</v>
      </c>
      <c r="Q1218" s="34" t="str">
        <f aca="false">MID(D1218,13,5)&amp;"|"&amp;MID(D1218,19,5)</f>
        <v>05SEL|S_011</v>
      </c>
      <c r="R1218" s="34" t="str">
        <f aca="false">IF(P1218="Subestación eléctrica",IFERROR(INDEX(cat_SubN,MATCH(Q1218,cat_SubK,0)),"SIN CATALOGAR"),"ÁREA DE PROCESO")</f>
        <v>SE-11</v>
      </c>
      <c r="S1218" s="34" t="str">
        <f aca="false">IF(H1218="","SIN DATO",IFERROR(INDEX(cat_MarcaN,MATCH(H1218,cat_MarcaO,0)),H1218))</f>
        <v>GENERAL ELECTRIC</v>
      </c>
      <c r="T1218" s="34" t="str">
        <f aca="false">IF(I1218="","SIN DATO",IFERROR(INDEX(cat_ModN,MATCH(I1218,cat_ModO,0)),I1218))</f>
        <v>MULTILIN</v>
      </c>
      <c r="U1218" s="34" t="str">
        <f aca="false">IF(I1218="","",IFERROR(INDEX(cat_ModG,MATCH(I1218,cat_ModO,0)),"No"))</f>
        <v>Sí</v>
      </c>
      <c r="V1218" s="34" t="str">
        <f aca="false">IF(J1218="","SIN DATO",IFERROR(INDEX(cat_FunN,MATCH(J1218,cat_FunO,0)),J1218))</f>
        <v>Protección</v>
      </c>
      <c r="W1218" s="34" t="str">
        <f aca="false">IF(OR(S1218="SIN DATO",T1218="SIN DATO"),"No","Sí")</f>
        <v>Sí</v>
      </c>
    </row>
    <row r="1219" customFormat="false" ht="15" hidden="false" customHeight="false" outlineLevel="0" collapsed="false">
      <c r="A1219" s="34" t="s">
        <v>4524</v>
      </c>
      <c r="B1219" s="34" t="s">
        <v>4525</v>
      </c>
      <c r="C1219" s="34" t="s">
        <v>4526</v>
      </c>
      <c r="D1219" s="34" t="s">
        <v>4527</v>
      </c>
      <c r="E1219" s="34" t="s">
        <v>136</v>
      </c>
      <c r="F1219" s="34" t="s">
        <v>1602</v>
      </c>
      <c r="G1219" s="34" t="s">
        <v>2983</v>
      </c>
      <c r="H1219" s="34" t="s">
        <v>61</v>
      </c>
      <c r="I1219" s="34" t="s">
        <v>63</v>
      </c>
      <c r="J1219" s="34" t="s">
        <v>681</v>
      </c>
      <c r="K1219" s="34" t="s">
        <v>229</v>
      </c>
      <c r="L1219" s="34" t="s">
        <v>3198</v>
      </c>
      <c r="M1219" s="34" t="s">
        <v>231</v>
      </c>
      <c r="N1219" s="34" t="str">
        <f aca="false">"Sector "&amp;VALUE(MID(D1219,13,2))</f>
        <v>Sector 5</v>
      </c>
      <c r="O1219" s="34" t="str">
        <f aca="false">IF(Dashboard!$C$5="Ubicación técnica",N1219,"Sector "&amp;VALUE(RIGHT(G1219,2)))</f>
        <v>Sector 5</v>
      </c>
      <c r="P1219" s="34" t="str">
        <f aca="false">IF(MID(D1219,15,3)="SEL","Subestación eléctrica","Área de proceso")</f>
        <v>Subestación eléctrica</v>
      </c>
      <c r="Q1219" s="34" t="str">
        <f aca="false">MID(D1219,13,5)&amp;"|"&amp;MID(D1219,19,5)</f>
        <v>05SEL|S_011</v>
      </c>
      <c r="R1219" s="34" t="str">
        <f aca="false">IF(P1219="Subestación eléctrica",IFERROR(INDEX(cat_SubN,MATCH(Q1219,cat_SubK,0)),"SIN CATALOGAR"),"ÁREA DE PROCESO")</f>
        <v>SE-11</v>
      </c>
      <c r="S1219" s="34" t="str">
        <f aca="false">IF(H1219="","SIN DATO",IFERROR(INDEX(cat_MarcaN,MATCH(H1219,cat_MarcaO,0)),H1219))</f>
        <v>GENERAL ELECTRIC</v>
      </c>
      <c r="T1219" s="34" t="str">
        <f aca="false">IF(I1219="","SIN DATO",IFERROR(INDEX(cat_ModN,MATCH(I1219,cat_ModO,0)),I1219))</f>
        <v>MULTILIN</v>
      </c>
      <c r="U1219" s="34" t="str">
        <f aca="false">IF(I1219="","",IFERROR(INDEX(cat_ModG,MATCH(I1219,cat_ModO,0)),"No"))</f>
        <v>Sí</v>
      </c>
      <c r="V1219" s="34" t="str">
        <f aca="false">IF(J1219="","SIN DATO",IFERROR(INDEX(cat_FunN,MATCH(J1219,cat_FunO,0)),J1219))</f>
        <v>Protección</v>
      </c>
      <c r="W1219" s="34" t="str">
        <f aca="false">IF(OR(S1219="SIN DATO",T1219="SIN DATO"),"No","Sí")</f>
        <v>Sí</v>
      </c>
    </row>
    <row r="1220" customFormat="false" ht="15" hidden="false" customHeight="false" outlineLevel="0" collapsed="false">
      <c r="A1220" s="34" t="s">
        <v>4528</v>
      </c>
      <c r="B1220" s="34" t="s">
        <v>4529</v>
      </c>
      <c r="C1220" s="34" t="s">
        <v>4530</v>
      </c>
      <c r="D1220" s="34" t="s">
        <v>4527</v>
      </c>
      <c r="E1220" s="34" t="s">
        <v>136</v>
      </c>
      <c r="F1220" s="34" t="s">
        <v>1602</v>
      </c>
      <c r="G1220" s="34" t="s">
        <v>2983</v>
      </c>
      <c r="H1220" s="34" t="s">
        <v>61</v>
      </c>
      <c r="I1220" s="34" t="s">
        <v>63</v>
      </c>
      <c r="J1220" s="34" t="s">
        <v>681</v>
      </c>
      <c r="K1220" s="34" t="s">
        <v>229</v>
      </c>
      <c r="L1220" s="34" t="s">
        <v>3198</v>
      </c>
      <c r="M1220" s="34" t="s">
        <v>231</v>
      </c>
      <c r="N1220" s="34" t="str">
        <f aca="false">"Sector "&amp;VALUE(MID(D1220,13,2))</f>
        <v>Sector 5</v>
      </c>
      <c r="O1220" s="34" t="str">
        <f aca="false">IF(Dashboard!$C$5="Ubicación técnica",N1220,"Sector "&amp;VALUE(RIGHT(G1220,2)))</f>
        <v>Sector 5</v>
      </c>
      <c r="P1220" s="34" t="str">
        <f aca="false">IF(MID(D1220,15,3)="SEL","Subestación eléctrica","Área de proceso")</f>
        <v>Subestación eléctrica</v>
      </c>
      <c r="Q1220" s="34" t="str">
        <f aca="false">MID(D1220,13,5)&amp;"|"&amp;MID(D1220,19,5)</f>
        <v>05SEL|S_011</v>
      </c>
      <c r="R1220" s="34" t="str">
        <f aca="false">IF(P1220="Subestación eléctrica",IFERROR(INDEX(cat_SubN,MATCH(Q1220,cat_SubK,0)),"SIN CATALOGAR"),"ÁREA DE PROCESO")</f>
        <v>SE-11</v>
      </c>
      <c r="S1220" s="34" t="str">
        <f aca="false">IF(H1220="","SIN DATO",IFERROR(INDEX(cat_MarcaN,MATCH(H1220,cat_MarcaO,0)),H1220))</f>
        <v>GENERAL ELECTRIC</v>
      </c>
      <c r="T1220" s="34" t="str">
        <f aca="false">IF(I1220="","SIN DATO",IFERROR(INDEX(cat_ModN,MATCH(I1220,cat_ModO,0)),I1220))</f>
        <v>MULTILIN</v>
      </c>
      <c r="U1220" s="34" t="str">
        <f aca="false">IF(I1220="","",IFERROR(INDEX(cat_ModG,MATCH(I1220,cat_ModO,0)),"No"))</f>
        <v>Sí</v>
      </c>
      <c r="V1220" s="34" t="str">
        <f aca="false">IF(J1220="","SIN DATO",IFERROR(INDEX(cat_FunN,MATCH(J1220,cat_FunO,0)),J1220))</f>
        <v>Protección</v>
      </c>
      <c r="W1220" s="34" t="str">
        <f aca="false">IF(OR(S1220="SIN DATO",T1220="SIN DATO"),"No","Sí")</f>
        <v>Sí</v>
      </c>
    </row>
    <row r="1221" customFormat="false" ht="15" hidden="false" customHeight="false" outlineLevel="0" collapsed="false">
      <c r="A1221" s="34" t="s">
        <v>4531</v>
      </c>
      <c r="B1221" s="34" t="s">
        <v>4532</v>
      </c>
      <c r="C1221" s="34" t="s">
        <v>4533</v>
      </c>
      <c r="D1221" s="34" t="s">
        <v>4534</v>
      </c>
      <c r="E1221" s="34" t="s">
        <v>136</v>
      </c>
      <c r="F1221" s="34" t="s">
        <v>1602</v>
      </c>
      <c r="G1221" s="34" t="s">
        <v>2983</v>
      </c>
      <c r="H1221" s="34" t="s">
        <v>61</v>
      </c>
      <c r="I1221" s="34" t="s">
        <v>63</v>
      </c>
      <c r="J1221" s="34" t="s">
        <v>681</v>
      </c>
      <c r="K1221" s="34" t="s">
        <v>229</v>
      </c>
      <c r="L1221" s="34" t="s">
        <v>3198</v>
      </c>
      <c r="M1221" s="34" t="s">
        <v>231</v>
      </c>
      <c r="N1221" s="34" t="str">
        <f aca="false">"Sector "&amp;VALUE(MID(D1221,13,2))</f>
        <v>Sector 5</v>
      </c>
      <c r="O1221" s="34" t="str">
        <f aca="false">IF(Dashboard!$C$5="Ubicación técnica",N1221,"Sector "&amp;VALUE(RIGHT(G1221,2)))</f>
        <v>Sector 5</v>
      </c>
      <c r="P1221" s="34" t="str">
        <f aca="false">IF(MID(D1221,15,3)="SEL","Subestación eléctrica","Área de proceso")</f>
        <v>Subestación eléctrica</v>
      </c>
      <c r="Q1221" s="34" t="str">
        <f aca="false">MID(D1221,13,5)&amp;"|"&amp;MID(D1221,19,5)</f>
        <v>05SEL|S_011</v>
      </c>
      <c r="R1221" s="34" t="str">
        <f aca="false">IF(P1221="Subestación eléctrica",IFERROR(INDEX(cat_SubN,MATCH(Q1221,cat_SubK,0)),"SIN CATALOGAR"),"ÁREA DE PROCESO")</f>
        <v>SE-11</v>
      </c>
      <c r="S1221" s="34" t="str">
        <f aca="false">IF(H1221="","SIN DATO",IFERROR(INDEX(cat_MarcaN,MATCH(H1221,cat_MarcaO,0)),H1221))</f>
        <v>GENERAL ELECTRIC</v>
      </c>
      <c r="T1221" s="34" t="str">
        <f aca="false">IF(I1221="","SIN DATO",IFERROR(INDEX(cat_ModN,MATCH(I1221,cat_ModO,0)),I1221))</f>
        <v>MULTILIN</v>
      </c>
      <c r="U1221" s="34" t="str">
        <f aca="false">IF(I1221="","",IFERROR(INDEX(cat_ModG,MATCH(I1221,cat_ModO,0)),"No"))</f>
        <v>Sí</v>
      </c>
      <c r="V1221" s="34" t="str">
        <f aca="false">IF(J1221="","SIN DATO",IFERROR(INDEX(cat_FunN,MATCH(J1221,cat_FunO,0)),J1221))</f>
        <v>Protección</v>
      </c>
      <c r="W1221" s="34" t="str">
        <f aca="false">IF(OR(S1221="SIN DATO",T1221="SIN DATO"),"No","Sí")</f>
        <v>Sí</v>
      </c>
    </row>
    <row r="1222" customFormat="false" ht="15" hidden="false" customHeight="false" outlineLevel="0" collapsed="false">
      <c r="A1222" s="34" t="s">
        <v>4535</v>
      </c>
      <c r="B1222" s="34" t="s">
        <v>4536</v>
      </c>
      <c r="C1222" s="34" t="s">
        <v>4537</v>
      </c>
      <c r="D1222" s="34" t="s">
        <v>4534</v>
      </c>
      <c r="E1222" s="34" t="s">
        <v>136</v>
      </c>
      <c r="F1222" s="34" t="s">
        <v>1602</v>
      </c>
      <c r="G1222" s="34" t="s">
        <v>2983</v>
      </c>
      <c r="H1222" s="34" t="s">
        <v>61</v>
      </c>
      <c r="I1222" s="34" t="s">
        <v>63</v>
      </c>
      <c r="J1222" s="34" t="s">
        <v>681</v>
      </c>
      <c r="K1222" s="34" t="s">
        <v>229</v>
      </c>
      <c r="L1222" s="34" t="s">
        <v>3198</v>
      </c>
      <c r="M1222" s="34" t="s">
        <v>231</v>
      </c>
      <c r="N1222" s="34" t="str">
        <f aca="false">"Sector "&amp;VALUE(MID(D1222,13,2))</f>
        <v>Sector 5</v>
      </c>
      <c r="O1222" s="34" t="str">
        <f aca="false">IF(Dashboard!$C$5="Ubicación técnica",N1222,"Sector "&amp;VALUE(RIGHT(G1222,2)))</f>
        <v>Sector 5</v>
      </c>
      <c r="P1222" s="34" t="str">
        <f aca="false">IF(MID(D1222,15,3)="SEL","Subestación eléctrica","Área de proceso")</f>
        <v>Subestación eléctrica</v>
      </c>
      <c r="Q1222" s="34" t="str">
        <f aca="false">MID(D1222,13,5)&amp;"|"&amp;MID(D1222,19,5)</f>
        <v>05SEL|S_011</v>
      </c>
      <c r="R1222" s="34" t="str">
        <f aca="false">IF(P1222="Subestación eléctrica",IFERROR(INDEX(cat_SubN,MATCH(Q1222,cat_SubK,0)),"SIN CATALOGAR"),"ÁREA DE PROCESO")</f>
        <v>SE-11</v>
      </c>
      <c r="S1222" s="34" t="str">
        <f aca="false">IF(H1222="","SIN DATO",IFERROR(INDEX(cat_MarcaN,MATCH(H1222,cat_MarcaO,0)),H1222))</f>
        <v>GENERAL ELECTRIC</v>
      </c>
      <c r="T1222" s="34" t="str">
        <f aca="false">IF(I1222="","SIN DATO",IFERROR(INDEX(cat_ModN,MATCH(I1222,cat_ModO,0)),I1222))</f>
        <v>MULTILIN</v>
      </c>
      <c r="U1222" s="34" t="str">
        <f aca="false">IF(I1222="","",IFERROR(INDEX(cat_ModG,MATCH(I1222,cat_ModO,0)),"No"))</f>
        <v>Sí</v>
      </c>
      <c r="V1222" s="34" t="str">
        <f aca="false">IF(J1222="","SIN DATO",IFERROR(INDEX(cat_FunN,MATCH(J1222,cat_FunO,0)),J1222))</f>
        <v>Protección</v>
      </c>
      <c r="W1222" s="34" t="str">
        <f aca="false">IF(OR(S1222="SIN DATO",T1222="SIN DATO"),"No","Sí")</f>
        <v>Sí</v>
      </c>
    </row>
    <row r="1223" customFormat="false" ht="15" hidden="false" customHeight="false" outlineLevel="0" collapsed="false">
      <c r="A1223" s="34" t="s">
        <v>4538</v>
      </c>
      <c r="B1223" s="34" t="s">
        <v>4539</v>
      </c>
      <c r="C1223" s="34" t="s">
        <v>4540</v>
      </c>
      <c r="D1223" s="34" t="s">
        <v>4541</v>
      </c>
      <c r="E1223" s="34" t="s">
        <v>136</v>
      </c>
      <c r="F1223" s="34" t="s">
        <v>1602</v>
      </c>
      <c r="G1223" s="34" t="s">
        <v>2983</v>
      </c>
      <c r="H1223" s="34" t="s">
        <v>61</v>
      </c>
      <c r="I1223" s="34" t="s">
        <v>63</v>
      </c>
      <c r="J1223" s="34" t="s">
        <v>681</v>
      </c>
      <c r="K1223" s="34" t="s">
        <v>229</v>
      </c>
      <c r="L1223" s="34" t="s">
        <v>3198</v>
      </c>
      <c r="M1223" s="34" t="s">
        <v>231</v>
      </c>
      <c r="N1223" s="34" t="str">
        <f aca="false">"Sector "&amp;VALUE(MID(D1223,13,2))</f>
        <v>Sector 5</v>
      </c>
      <c r="O1223" s="34" t="str">
        <f aca="false">IF(Dashboard!$C$5="Ubicación técnica",N1223,"Sector "&amp;VALUE(RIGHT(G1223,2)))</f>
        <v>Sector 5</v>
      </c>
      <c r="P1223" s="34" t="str">
        <f aca="false">IF(MID(D1223,15,3)="SEL","Subestación eléctrica","Área de proceso")</f>
        <v>Subestación eléctrica</v>
      </c>
      <c r="Q1223" s="34" t="str">
        <f aca="false">MID(D1223,13,5)&amp;"|"&amp;MID(D1223,19,5)</f>
        <v>05SEL|S_011</v>
      </c>
      <c r="R1223" s="34" t="str">
        <f aca="false">IF(P1223="Subestación eléctrica",IFERROR(INDEX(cat_SubN,MATCH(Q1223,cat_SubK,0)),"SIN CATALOGAR"),"ÁREA DE PROCESO")</f>
        <v>SE-11</v>
      </c>
      <c r="S1223" s="34" t="str">
        <f aca="false">IF(H1223="","SIN DATO",IFERROR(INDEX(cat_MarcaN,MATCH(H1223,cat_MarcaO,0)),H1223))</f>
        <v>GENERAL ELECTRIC</v>
      </c>
      <c r="T1223" s="34" t="str">
        <f aca="false">IF(I1223="","SIN DATO",IFERROR(INDEX(cat_ModN,MATCH(I1223,cat_ModO,0)),I1223))</f>
        <v>MULTILIN</v>
      </c>
      <c r="U1223" s="34" t="str">
        <f aca="false">IF(I1223="","",IFERROR(INDEX(cat_ModG,MATCH(I1223,cat_ModO,0)),"No"))</f>
        <v>Sí</v>
      </c>
      <c r="V1223" s="34" t="str">
        <f aca="false">IF(J1223="","SIN DATO",IFERROR(INDEX(cat_FunN,MATCH(J1223,cat_FunO,0)),J1223))</f>
        <v>Protección</v>
      </c>
      <c r="W1223" s="34" t="str">
        <f aca="false">IF(OR(S1223="SIN DATO",T1223="SIN DATO"),"No","Sí")</f>
        <v>Sí</v>
      </c>
    </row>
    <row r="1224" customFormat="false" ht="15" hidden="false" customHeight="false" outlineLevel="0" collapsed="false">
      <c r="A1224" s="34" t="s">
        <v>4542</v>
      </c>
      <c r="B1224" s="34" t="s">
        <v>4543</v>
      </c>
      <c r="C1224" s="34" t="s">
        <v>4544</v>
      </c>
      <c r="D1224" s="34" t="s">
        <v>4545</v>
      </c>
      <c r="E1224" s="34" t="s">
        <v>136</v>
      </c>
      <c r="F1224" s="34" t="s">
        <v>1602</v>
      </c>
      <c r="G1224" s="34" t="s">
        <v>2983</v>
      </c>
      <c r="H1224" s="34" t="s">
        <v>61</v>
      </c>
      <c r="I1224" s="34" t="s">
        <v>63</v>
      </c>
      <c r="J1224" s="34" t="s">
        <v>681</v>
      </c>
      <c r="K1224" s="34" t="s">
        <v>229</v>
      </c>
      <c r="L1224" s="34" t="s">
        <v>3198</v>
      </c>
      <c r="M1224" s="34" t="s">
        <v>231</v>
      </c>
      <c r="N1224" s="34" t="str">
        <f aca="false">"Sector "&amp;VALUE(MID(D1224,13,2))</f>
        <v>Sector 5</v>
      </c>
      <c r="O1224" s="34" t="str">
        <f aca="false">IF(Dashboard!$C$5="Ubicación técnica",N1224,"Sector "&amp;VALUE(RIGHT(G1224,2)))</f>
        <v>Sector 5</v>
      </c>
      <c r="P1224" s="34" t="str">
        <f aca="false">IF(MID(D1224,15,3)="SEL","Subestación eléctrica","Área de proceso")</f>
        <v>Subestación eléctrica</v>
      </c>
      <c r="Q1224" s="34" t="str">
        <f aca="false">MID(D1224,13,5)&amp;"|"&amp;MID(D1224,19,5)</f>
        <v>05SEL|S_011</v>
      </c>
      <c r="R1224" s="34" t="str">
        <f aca="false">IF(P1224="Subestación eléctrica",IFERROR(INDEX(cat_SubN,MATCH(Q1224,cat_SubK,0)),"SIN CATALOGAR"),"ÁREA DE PROCESO")</f>
        <v>SE-11</v>
      </c>
      <c r="S1224" s="34" t="str">
        <f aca="false">IF(H1224="","SIN DATO",IFERROR(INDEX(cat_MarcaN,MATCH(H1224,cat_MarcaO,0)),H1224))</f>
        <v>GENERAL ELECTRIC</v>
      </c>
      <c r="T1224" s="34" t="str">
        <f aca="false">IF(I1224="","SIN DATO",IFERROR(INDEX(cat_ModN,MATCH(I1224,cat_ModO,0)),I1224))</f>
        <v>MULTILIN</v>
      </c>
      <c r="U1224" s="34" t="str">
        <f aca="false">IF(I1224="","",IFERROR(INDEX(cat_ModG,MATCH(I1224,cat_ModO,0)),"No"))</f>
        <v>Sí</v>
      </c>
      <c r="V1224" s="34" t="str">
        <f aca="false">IF(J1224="","SIN DATO",IFERROR(INDEX(cat_FunN,MATCH(J1224,cat_FunO,0)),J1224))</f>
        <v>Protección</v>
      </c>
      <c r="W1224" s="34" t="str">
        <f aca="false">IF(OR(S1224="SIN DATO",T1224="SIN DATO"),"No","Sí")</f>
        <v>Sí</v>
      </c>
    </row>
    <row r="1225" customFormat="false" ht="15" hidden="false" customHeight="false" outlineLevel="0" collapsed="false">
      <c r="A1225" s="34" t="s">
        <v>4546</v>
      </c>
      <c r="B1225" s="34" t="s">
        <v>4547</v>
      </c>
      <c r="C1225" s="34" t="s">
        <v>4548</v>
      </c>
      <c r="D1225" s="34" t="s">
        <v>4549</v>
      </c>
      <c r="E1225" s="34" t="s">
        <v>136</v>
      </c>
      <c r="F1225" s="34" t="s">
        <v>1602</v>
      </c>
      <c r="G1225" s="34" t="s">
        <v>2983</v>
      </c>
      <c r="H1225" s="34" t="s">
        <v>61</v>
      </c>
      <c r="I1225" s="34" t="s">
        <v>63</v>
      </c>
      <c r="J1225" s="34" t="s">
        <v>681</v>
      </c>
      <c r="K1225" s="34" t="s">
        <v>229</v>
      </c>
      <c r="L1225" s="34" t="s">
        <v>3198</v>
      </c>
      <c r="M1225" s="34" t="s">
        <v>231</v>
      </c>
      <c r="N1225" s="34" t="str">
        <f aca="false">"Sector "&amp;VALUE(MID(D1225,13,2))</f>
        <v>Sector 5</v>
      </c>
      <c r="O1225" s="34" t="str">
        <f aca="false">IF(Dashboard!$C$5="Ubicación técnica",N1225,"Sector "&amp;VALUE(RIGHT(G1225,2)))</f>
        <v>Sector 5</v>
      </c>
      <c r="P1225" s="34" t="str">
        <f aca="false">IF(MID(D1225,15,3)="SEL","Subestación eléctrica","Área de proceso")</f>
        <v>Subestación eléctrica</v>
      </c>
      <c r="Q1225" s="34" t="str">
        <f aca="false">MID(D1225,13,5)&amp;"|"&amp;MID(D1225,19,5)</f>
        <v>05SEL|S_011</v>
      </c>
      <c r="R1225" s="34" t="str">
        <f aca="false">IF(P1225="Subestación eléctrica",IFERROR(INDEX(cat_SubN,MATCH(Q1225,cat_SubK,0)),"SIN CATALOGAR"),"ÁREA DE PROCESO")</f>
        <v>SE-11</v>
      </c>
      <c r="S1225" s="34" t="str">
        <f aca="false">IF(H1225="","SIN DATO",IFERROR(INDEX(cat_MarcaN,MATCH(H1225,cat_MarcaO,0)),H1225))</f>
        <v>GENERAL ELECTRIC</v>
      </c>
      <c r="T1225" s="34" t="str">
        <f aca="false">IF(I1225="","SIN DATO",IFERROR(INDEX(cat_ModN,MATCH(I1225,cat_ModO,0)),I1225))</f>
        <v>MULTILIN</v>
      </c>
      <c r="U1225" s="34" t="str">
        <f aca="false">IF(I1225="","",IFERROR(INDEX(cat_ModG,MATCH(I1225,cat_ModO,0)),"No"))</f>
        <v>Sí</v>
      </c>
      <c r="V1225" s="34" t="str">
        <f aca="false">IF(J1225="","SIN DATO",IFERROR(INDEX(cat_FunN,MATCH(J1225,cat_FunO,0)),J1225))</f>
        <v>Protección</v>
      </c>
      <c r="W1225" s="34" t="str">
        <f aca="false">IF(OR(S1225="SIN DATO",T1225="SIN DATO"),"No","Sí")</f>
        <v>Sí</v>
      </c>
    </row>
    <row r="1226" customFormat="false" ht="15" hidden="false" customHeight="false" outlineLevel="0" collapsed="false">
      <c r="A1226" s="34" t="s">
        <v>4550</v>
      </c>
      <c r="B1226" s="34" t="s">
        <v>4551</v>
      </c>
      <c r="C1226" s="34" t="s">
        <v>4552</v>
      </c>
      <c r="D1226" s="34" t="s">
        <v>4549</v>
      </c>
      <c r="E1226" s="34" t="s">
        <v>136</v>
      </c>
      <c r="F1226" s="34" t="s">
        <v>1602</v>
      </c>
      <c r="G1226" s="34" t="s">
        <v>2983</v>
      </c>
      <c r="H1226" s="34" t="s">
        <v>61</v>
      </c>
      <c r="I1226" s="34" t="s">
        <v>63</v>
      </c>
      <c r="J1226" s="34" t="s">
        <v>681</v>
      </c>
      <c r="K1226" s="34" t="s">
        <v>229</v>
      </c>
      <c r="L1226" s="34" t="s">
        <v>3198</v>
      </c>
      <c r="M1226" s="34" t="s">
        <v>231</v>
      </c>
      <c r="N1226" s="34" t="str">
        <f aca="false">"Sector "&amp;VALUE(MID(D1226,13,2))</f>
        <v>Sector 5</v>
      </c>
      <c r="O1226" s="34" t="str">
        <f aca="false">IF(Dashboard!$C$5="Ubicación técnica",N1226,"Sector "&amp;VALUE(RIGHT(G1226,2)))</f>
        <v>Sector 5</v>
      </c>
      <c r="P1226" s="34" t="str">
        <f aca="false">IF(MID(D1226,15,3)="SEL","Subestación eléctrica","Área de proceso")</f>
        <v>Subestación eléctrica</v>
      </c>
      <c r="Q1226" s="34" t="str">
        <f aca="false">MID(D1226,13,5)&amp;"|"&amp;MID(D1226,19,5)</f>
        <v>05SEL|S_011</v>
      </c>
      <c r="R1226" s="34" t="str">
        <f aca="false">IF(P1226="Subestación eléctrica",IFERROR(INDEX(cat_SubN,MATCH(Q1226,cat_SubK,0)),"SIN CATALOGAR"),"ÁREA DE PROCESO")</f>
        <v>SE-11</v>
      </c>
      <c r="S1226" s="34" t="str">
        <f aca="false">IF(H1226="","SIN DATO",IFERROR(INDEX(cat_MarcaN,MATCH(H1226,cat_MarcaO,0)),H1226))</f>
        <v>GENERAL ELECTRIC</v>
      </c>
      <c r="T1226" s="34" t="str">
        <f aca="false">IF(I1226="","SIN DATO",IFERROR(INDEX(cat_ModN,MATCH(I1226,cat_ModO,0)),I1226))</f>
        <v>MULTILIN</v>
      </c>
      <c r="U1226" s="34" t="str">
        <f aca="false">IF(I1226="","",IFERROR(INDEX(cat_ModG,MATCH(I1226,cat_ModO,0)),"No"))</f>
        <v>Sí</v>
      </c>
      <c r="V1226" s="34" t="str">
        <f aca="false">IF(J1226="","SIN DATO",IFERROR(INDEX(cat_FunN,MATCH(J1226,cat_FunO,0)),J1226))</f>
        <v>Protección</v>
      </c>
      <c r="W1226" s="34" t="str">
        <f aca="false">IF(OR(S1226="SIN DATO",T1226="SIN DATO"),"No","Sí")</f>
        <v>Sí</v>
      </c>
    </row>
    <row r="1227" customFormat="false" ht="15" hidden="false" customHeight="false" outlineLevel="0" collapsed="false">
      <c r="A1227" s="34" t="s">
        <v>4553</v>
      </c>
      <c r="B1227" s="34" t="s">
        <v>4554</v>
      </c>
      <c r="C1227" s="34" t="s">
        <v>4555</v>
      </c>
      <c r="D1227" s="34" t="s">
        <v>4556</v>
      </c>
      <c r="E1227" s="34" t="s">
        <v>136</v>
      </c>
      <c r="F1227" s="34" t="s">
        <v>1602</v>
      </c>
      <c r="G1227" s="34" t="s">
        <v>2983</v>
      </c>
      <c r="H1227" s="34" t="s">
        <v>61</v>
      </c>
      <c r="I1227" s="34" t="s">
        <v>63</v>
      </c>
      <c r="J1227" s="34" t="s">
        <v>681</v>
      </c>
      <c r="K1227" s="34" t="s">
        <v>229</v>
      </c>
      <c r="L1227" s="34" t="s">
        <v>3198</v>
      </c>
      <c r="M1227" s="34" t="s">
        <v>231</v>
      </c>
      <c r="N1227" s="34" t="str">
        <f aca="false">"Sector "&amp;VALUE(MID(D1227,13,2))</f>
        <v>Sector 5</v>
      </c>
      <c r="O1227" s="34" t="str">
        <f aca="false">IF(Dashboard!$C$5="Ubicación técnica",N1227,"Sector "&amp;VALUE(RIGHT(G1227,2)))</f>
        <v>Sector 5</v>
      </c>
      <c r="P1227" s="34" t="str">
        <f aca="false">IF(MID(D1227,15,3)="SEL","Subestación eléctrica","Área de proceso")</f>
        <v>Subestación eléctrica</v>
      </c>
      <c r="Q1227" s="34" t="str">
        <f aca="false">MID(D1227,13,5)&amp;"|"&amp;MID(D1227,19,5)</f>
        <v>05SEL|S_011</v>
      </c>
      <c r="R1227" s="34" t="str">
        <f aca="false">IF(P1227="Subestación eléctrica",IFERROR(INDEX(cat_SubN,MATCH(Q1227,cat_SubK,0)),"SIN CATALOGAR"),"ÁREA DE PROCESO")</f>
        <v>SE-11</v>
      </c>
      <c r="S1227" s="34" t="str">
        <f aca="false">IF(H1227="","SIN DATO",IFERROR(INDEX(cat_MarcaN,MATCH(H1227,cat_MarcaO,0)),H1227))</f>
        <v>GENERAL ELECTRIC</v>
      </c>
      <c r="T1227" s="34" t="str">
        <f aca="false">IF(I1227="","SIN DATO",IFERROR(INDEX(cat_ModN,MATCH(I1227,cat_ModO,0)),I1227))</f>
        <v>MULTILIN</v>
      </c>
      <c r="U1227" s="34" t="str">
        <f aca="false">IF(I1227="","",IFERROR(INDEX(cat_ModG,MATCH(I1227,cat_ModO,0)),"No"))</f>
        <v>Sí</v>
      </c>
      <c r="V1227" s="34" t="str">
        <f aca="false">IF(J1227="","SIN DATO",IFERROR(INDEX(cat_FunN,MATCH(J1227,cat_FunO,0)),J1227))</f>
        <v>Protección</v>
      </c>
      <c r="W1227" s="34" t="str">
        <f aca="false">IF(OR(S1227="SIN DATO",T1227="SIN DATO"),"No","Sí")</f>
        <v>Sí</v>
      </c>
    </row>
    <row r="1228" customFormat="false" ht="15" hidden="false" customHeight="false" outlineLevel="0" collapsed="false">
      <c r="A1228" s="34" t="s">
        <v>4557</v>
      </c>
      <c r="B1228" s="34" t="s">
        <v>4558</v>
      </c>
      <c r="C1228" s="34" t="s">
        <v>4559</v>
      </c>
      <c r="D1228" s="34" t="s">
        <v>4560</v>
      </c>
      <c r="E1228" s="34" t="s">
        <v>136</v>
      </c>
      <c r="F1228" s="34" t="s">
        <v>1602</v>
      </c>
      <c r="G1228" s="34" t="s">
        <v>2983</v>
      </c>
      <c r="H1228" s="34" t="s">
        <v>61</v>
      </c>
      <c r="I1228" s="34" t="s">
        <v>63</v>
      </c>
      <c r="J1228" s="34" t="s">
        <v>681</v>
      </c>
      <c r="K1228" s="34" t="s">
        <v>229</v>
      </c>
      <c r="L1228" s="34" t="s">
        <v>3198</v>
      </c>
      <c r="M1228" s="34" t="s">
        <v>231</v>
      </c>
      <c r="N1228" s="34" t="str">
        <f aca="false">"Sector "&amp;VALUE(MID(D1228,13,2))</f>
        <v>Sector 5</v>
      </c>
      <c r="O1228" s="34" t="str">
        <f aca="false">IF(Dashboard!$C$5="Ubicación técnica",N1228,"Sector "&amp;VALUE(RIGHT(G1228,2)))</f>
        <v>Sector 5</v>
      </c>
      <c r="P1228" s="34" t="str">
        <f aca="false">IF(MID(D1228,15,3)="SEL","Subestación eléctrica","Área de proceso")</f>
        <v>Subestación eléctrica</v>
      </c>
      <c r="Q1228" s="34" t="str">
        <f aca="false">MID(D1228,13,5)&amp;"|"&amp;MID(D1228,19,5)</f>
        <v>05SEL|S_011</v>
      </c>
      <c r="R1228" s="34" t="str">
        <f aca="false">IF(P1228="Subestación eléctrica",IFERROR(INDEX(cat_SubN,MATCH(Q1228,cat_SubK,0)),"SIN CATALOGAR"),"ÁREA DE PROCESO")</f>
        <v>SE-11</v>
      </c>
      <c r="S1228" s="34" t="str">
        <f aca="false">IF(H1228="","SIN DATO",IFERROR(INDEX(cat_MarcaN,MATCH(H1228,cat_MarcaO,0)),H1228))</f>
        <v>GENERAL ELECTRIC</v>
      </c>
      <c r="T1228" s="34" t="str">
        <f aca="false">IF(I1228="","SIN DATO",IFERROR(INDEX(cat_ModN,MATCH(I1228,cat_ModO,0)),I1228))</f>
        <v>MULTILIN</v>
      </c>
      <c r="U1228" s="34" t="str">
        <f aca="false">IF(I1228="","",IFERROR(INDEX(cat_ModG,MATCH(I1228,cat_ModO,0)),"No"))</f>
        <v>Sí</v>
      </c>
      <c r="V1228" s="34" t="str">
        <f aca="false">IF(J1228="","SIN DATO",IFERROR(INDEX(cat_FunN,MATCH(J1228,cat_FunO,0)),J1228))</f>
        <v>Protección</v>
      </c>
      <c r="W1228" s="34" t="str">
        <f aca="false">IF(OR(S1228="SIN DATO",T1228="SIN DATO"),"No","Sí")</f>
        <v>Sí</v>
      </c>
    </row>
    <row r="1229" customFormat="false" ht="15" hidden="false" customHeight="false" outlineLevel="0" collapsed="false">
      <c r="A1229" s="34" t="s">
        <v>4561</v>
      </c>
      <c r="B1229" s="34" t="s">
        <v>4562</v>
      </c>
      <c r="C1229" s="34" t="s">
        <v>4563</v>
      </c>
      <c r="D1229" s="34" t="s">
        <v>4564</v>
      </c>
      <c r="E1229" s="34" t="s">
        <v>136</v>
      </c>
      <c r="F1229" s="34" t="s">
        <v>1602</v>
      </c>
      <c r="G1229" s="34" t="s">
        <v>2983</v>
      </c>
      <c r="H1229" s="34" t="s">
        <v>61</v>
      </c>
      <c r="I1229" s="34" t="s">
        <v>63</v>
      </c>
      <c r="J1229" s="34" t="s">
        <v>681</v>
      </c>
      <c r="K1229" s="34" t="s">
        <v>229</v>
      </c>
      <c r="L1229" s="34" t="s">
        <v>3198</v>
      </c>
      <c r="M1229" s="34" t="s">
        <v>231</v>
      </c>
      <c r="N1229" s="34" t="str">
        <f aca="false">"Sector "&amp;VALUE(MID(D1229,13,2))</f>
        <v>Sector 5</v>
      </c>
      <c r="O1229" s="34" t="str">
        <f aca="false">IF(Dashboard!$C$5="Ubicación técnica",N1229,"Sector "&amp;VALUE(RIGHT(G1229,2)))</f>
        <v>Sector 5</v>
      </c>
      <c r="P1229" s="34" t="str">
        <f aca="false">IF(MID(D1229,15,3)="SEL","Subestación eléctrica","Área de proceso")</f>
        <v>Subestación eléctrica</v>
      </c>
      <c r="Q1229" s="34" t="str">
        <f aca="false">MID(D1229,13,5)&amp;"|"&amp;MID(D1229,19,5)</f>
        <v>05SEL|S_011</v>
      </c>
      <c r="R1229" s="34" t="str">
        <f aca="false">IF(P1229="Subestación eléctrica",IFERROR(INDEX(cat_SubN,MATCH(Q1229,cat_SubK,0)),"SIN CATALOGAR"),"ÁREA DE PROCESO")</f>
        <v>SE-11</v>
      </c>
      <c r="S1229" s="34" t="str">
        <f aca="false">IF(H1229="","SIN DATO",IFERROR(INDEX(cat_MarcaN,MATCH(H1229,cat_MarcaO,0)),H1229))</f>
        <v>GENERAL ELECTRIC</v>
      </c>
      <c r="T1229" s="34" t="str">
        <f aca="false">IF(I1229="","SIN DATO",IFERROR(INDEX(cat_ModN,MATCH(I1229,cat_ModO,0)),I1229))</f>
        <v>MULTILIN</v>
      </c>
      <c r="U1229" s="34" t="str">
        <f aca="false">IF(I1229="","",IFERROR(INDEX(cat_ModG,MATCH(I1229,cat_ModO,0)),"No"))</f>
        <v>Sí</v>
      </c>
      <c r="V1229" s="34" t="str">
        <f aca="false">IF(J1229="","SIN DATO",IFERROR(INDEX(cat_FunN,MATCH(J1229,cat_FunO,0)),J1229))</f>
        <v>Protección</v>
      </c>
      <c r="W1229" s="34" t="str">
        <f aca="false">IF(OR(S1229="SIN DATO",T1229="SIN DATO"),"No","Sí")</f>
        <v>Sí</v>
      </c>
    </row>
    <row r="1230" customFormat="false" ht="15" hidden="false" customHeight="false" outlineLevel="0" collapsed="false">
      <c r="A1230" s="34" t="s">
        <v>4565</v>
      </c>
      <c r="B1230" s="34" t="s">
        <v>4566</v>
      </c>
      <c r="C1230" s="34" t="s">
        <v>4567</v>
      </c>
      <c r="D1230" s="34" t="s">
        <v>4568</v>
      </c>
      <c r="E1230" s="34" t="s">
        <v>136</v>
      </c>
      <c r="F1230" s="34" t="s">
        <v>1602</v>
      </c>
      <c r="G1230" s="34" t="s">
        <v>2983</v>
      </c>
      <c r="H1230" s="34" t="s">
        <v>61</v>
      </c>
      <c r="I1230" s="34" t="s">
        <v>63</v>
      </c>
      <c r="J1230" s="34" t="s">
        <v>681</v>
      </c>
      <c r="K1230" s="34" t="s">
        <v>229</v>
      </c>
      <c r="L1230" s="34" t="s">
        <v>3198</v>
      </c>
      <c r="M1230" s="34" t="s">
        <v>231</v>
      </c>
      <c r="N1230" s="34" t="str">
        <f aca="false">"Sector "&amp;VALUE(MID(D1230,13,2))</f>
        <v>Sector 5</v>
      </c>
      <c r="O1230" s="34" t="str">
        <f aca="false">IF(Dashboard!$C$5="Ubicación técnica",N1230,"Sector "&amp;VALUE(RIGHT(G1230,2)))</f>
        <v>Sector 5</v>
      </c>
      <c r="P1230" s="34" t="str">
        <f aca="false">IF(MID(D1230,15,3)="SEL","Subestación eléctrica","Área de proceso")</f>
        <v>Subestación eléctrica</v>
      </c>
      <c r="Q1230" s="34" t="str">
        <f aca="false">MID(D1230,13,5)&amp;"|"&amp;MID(D1230,19,5)</f>
        <v>05SEL|S_011</v>
      </c>
      <c r="R1230" s="34" t="str">
        <f aca="false">IF(P1230="Subestación eléctrica",IFERROR(INDEX(cat_SubN,MATCH(Q1230,cat_SubK,0)),"SIN CATALOGAR"),"ÁREA DE PROCESO")</f>
        <v>SE-11</v>
      </c>
      <c r="S1230" s="34" t="str">
        <f aca="false">IF(H1230="","SIN DATO",IFERROR(INDEX(cat_MarcaN,MATCH(H1230,cat_MarcaO,0)),H1230))</f>
        <v>GENERAL ELECTRIC</v>
      </c>
      <c r="T1230" s="34" t="str">
        <f aca="false">IF(I1230="","SIN DATO",IFERROR(INDEX(cat_ModN,MATCH(I1230,cat_ModO,0)),I1230))</f>
        <v>MULTILIN</v>
      </c>
      <c r="U1230" s="34" t="str">
        <f aca="false">IF(I1230="","",IFERROR(INDEX(cat_ModG,MATCH(I1230,cat_ModO,0)),"No"))</f>
        <v>Sí</v>
      </c>
      <c r="V1230" s="34" t="str">
        <f aca="false">IF(J1230="","SIN DATO",IFERROR(INDEX(cat_FunN,MATCH(J1230,cat_FunO,0)),J1230))</f>
        <v>Protección</v>
      </c>
      <c r="W1230" s="34" t="str">
        <f aca="false">IF(OR(S1230="SIN DATO",T1230="SIN DATO"),"No","Sí")</f>
        <v>Sí</v>
      </c>
    </row>
    <row r="1231" customFormat="false" ht="15" hidden="false" customHeight="false" outlineLevel="0" collapsed="false">
      <c r="A1231" s="34" t="s">
        <v>4569</v>
      </c>
      <c r="B1231" s="34" t="s">
        <v>4570</v>
      </c>
      <c r="C1231" s="34" t="s">
        <v>4571</v>
      </c>
      <c r="D1231" s="34" t="s">
        <v>4572</v>
      </c>
      <c r="E1231" s="34" t="s">
        <v>130</v>
      </c>
      <c r="F1231" s="34" t="s">
        <v>1602</v>
      </c>
      <c r="G1231" s="34" t="s">
        <v>2983</v>
      </c>
      <c r="H1231" s="34" t="s">
        <v>61</v>
      </c>
      <c r="I1231" s="34" t="s">
        <v>63</v>
      </c>
      <c r="J1231" s="34" t="s">
        <v>681</v>
      </c>
      <c r="K1231" s="34" t="s">
        <v>229</v>
      </c>
      <c r="L1231" s="34" t="s">
        <v>3198</v>
      </c>
      <c r="M1231" s="34" t="s">
        <v>231</v>
      </c>
      <c r="N1231" s="34" t="str">
        <f aca="false">"Sector "&amp;VALUE(MID(D1231,13,2))</f>
        <v>Sector 5</v>
      </c>
      <c r="O1231" s="34" t="str">
        <f aca="false">IF(Dashboard!$C$5="Ubicación técnica",N1231,"Sector "&amp;VALUE(RIGHT(G1231,2)))</f>
        <v>Sector 5</v>
      </c>
      <c r="P1231" s="34" t="str">
        <f aca="false">IF(MID(D1231,15,3)="SEL","Subestación eléctrica","Área de proceso")</f>
        <v>Subestación eléctrica</v>
      </c>
      <c r="Q1231" s="34" t="str">
        <f aca="false">MID(D1231,13,5)&amp;"|"&amp;MID(D1231,19,5)</f>
        <v>05SEL|S_004</v>
      </c>
      <c r="R1231" s="34" t="str">
        <f aca="false">IF(P1231="Subestación eléctrica",IFERROR(INDEX(cat_SubN,MATCH(Q1231,cat_SubK,0)),"SIN CATALOGAR"),"ÁREA DE PROCESO")</f>
        <v>SE-04</v>
      </c>
      <c r="S1231" s="34" t="str">
        <f aca="false">IF(H1231="","SIN DATO",IFERROR(INDEX(cat_MarcaN,MATCH(H1231,cat_MarcaO,0)),H1231))</f>
        <v>GENERAL ELECTRIC</v>
      </c>
      <c r="T1231" s="34" t="str">
        <f aca="false">IF(I1231="","SIN DATO",IFERROR(INDEX(cat_ModN,MATCH(I1231,cat_ModO,0)),I1231))</f>
        <v>MULTILIN</v>
      </c>
      <c r="U1231" s="34" t="str">
        <f aca="false">IF(I1231="","",IFERROR(INDEX(cat_ModG,MATCH(I1231,cat_ModO,0)),"No"))</f>
        <v>Sí</v>
      </c>
      <c r="V1231" s="34" t="str">
        <f aca="false">IF(J1231="","SIN DATO",IFERROR(INDEX(cat_FunN,MATCH(J1231,cat_FunO,0)),J1231))</f>
        <v>Protección</v>
      </c>
      <c r="W1231" s="34" t="str">
        <f aca="false">IF(OR(S1231="SIN DATO",T1231="SIN DATO"),"No","Sí")</f>
        <v>Sí</v>
      </c>
    </row>
    <row r="1232" customFormat="false" ht="15" hidden="false" customHeight="false" outlineLevel="0" collapsed="false">
      <c r="A1232" s="34" t="s">
        <v>4573</v>
      </c>
      <c r="B1232" s="34" t="s">
        <v>4574</v>
      </c>
      <c r="C1232" s="34" t="s">
        <v>4575</v>
      </c>
      <c r="D1232" s="34" t="s">
        <v>4576</v>
      </c>
      <c r="E1232" s="34" t="s">
        <v>128</v>
      </c>
      <c r="F1232" s="34" t="s">
        <v>1602</v>
      </c>
      <c r="G1232" s="34" t="s">
        <v>2983</v>
      </c>
      <c r="H1232" s="34" t="s">
        <v>61</v>
      </c>
      <c r="I1232" s="34" t="s">
        <v>63</v>
      </c>
      <c r="J1232" s="34" t="s">
        <v>681</v>
      </c>
      <c r="K1232" s="34" t="s">
        <v>229</v>
      </c>
      <c r="L1232" s="34" t="s">
        <v>3198</v>
      </c>
      <c r="M1232" s="34" t="s">
        <v>4510</v>
      </c>
      <c r="N1232" s="34" t="str">
        <f aca="false">"Sector "&amp;VALUE(MID(D1232,13,2))</f>
        <v>Sector 5</v>
      </c>
      <c r="O1232" s="34" t="str">
        <f aca="false">IF(Dashboard!$C$5="Ubicación técnica",N1232,"Sector "&amp;VALUE(RIGHT(G1232,2)))</f>
        <v>Sector 5</v>
      </c>
      <c r="P1232" s="34" t="str">
        <f aca="false">IF(MID(D1232,15,3)="SEL","Subestación eléctrica","Área de proceso")</f>
        <v>Subestación eléctrica</v>
      </c>
      <c r="Q1232" s="34" t="str">
        <f aca="false">MID(D1232,13,5)&amp;"|"&amp;MID(D1232,19,5)</f>
        <v>05SEL|S_003</v>
      </c>
      <c r="R1232" s="34" t="str">
        <f aca="false">IF(P1232="Subestación eléctrica",IFERROR(INDEX(cat_SubN,MATCH(Q1232,cat_SubK,0)),"SIN CATALOGAR"),"ÁREA DE PROCESO")</f>
        <v>SE-03</v>
      </c>
      <c r="S1232" s="34" t="str">
        <f aca="false">IF(H1232="","SIN DATO",IFERROR(INDEX(cat_MarcaN,MATCH(H1232,cat_MarcaO,0)),H1232))</f>
        <v>GENERAL ELECTRIC</v>
      </c>
      <c r="T1232" s="34" t="str">
        <f aca="false">IF(I1232="","SIN DATO",IFERROR(INDEX(cat_ModN,MATCH(I1232,cat_ModO,0)),I1232))</f>
        <v>MULTILIN</v>
      </c>
      <c r="U1232" s="34" t="str">
        <f aca="false">IF(I1232="","",IFERROR(INDEX(cat_ModG,MATCH(I1232,cat_ModO,0)),"No"))</f>
        <v>Sí</v>
      </c>
      <c r="V1232" s="34" t="str">
        <f aca="false">IF(J1232="","SIN DATO",IFERROR(INDEX(cat_FunN,MATCH(J1232,cat_FunO,0)),J1232))</f>
        <v>Protección</v>
      </c>
      <c r="W1232" s="34" t="str">
        <f aca="false">IF(OR(S1232="SIN DATO",T1232="SIN DATO"),"No","Sí")</f>
        <v>Sí</v>
      </c>
    </row>
    <row r="1233" customFormat="false" ht="15" hidden="false" customHeight="false" outlineLevel="0" collapsed="false">
      <c r="A1233" s="34" t="s">
        <v>4577</v>
      </c>
      <c r="B1233" s="34" t="s">
        <v>4578</v>
      </c>
      <c r="C1233" s="34" t="s">
        <v>4579</v>
      </c>
      <c r="D1233" s="34" t="s">
        <v>4580</v>
      </c>
      <c r="E1233" s="34" t="s">
        <v>128</v>
      </c>
      <c r="F1233" s="34" t="s">
        <v>1602</v>
      </c>
      <c r="G1233" s="34" t="s">
        <v>2983</v>
      </c>
      <c r="H1233" s="34" t="s">
        <v>61</v>
      </c>
      <c r="I1233" s="34" t="s">
        <v>63</v>
      </c>
      <c r="J1233" s="34" t="s">
        <v>681</v>
      </c>
      <c r="K1233" s="34" t="s">
        <v>229</v>
      </c>
      <c r="L1233" s="34" t="s">
        <v>3198</v>
      </c>
      <c r="M1233" s="34" t="s">
        <v>4510</v>
      </c>
      <c r="N1233" s="34" t="str">
        <f aca="false">"Sector "&amp;VALUE(MID(D1233,13,2))</f>
        <v>Sector 5</v>
      </c>
      <c r="O1233" s="34" t="str">
        <f aca="false">IF(Dashboard!$C$5="Ubicación técnica",N1233,"Sector "&amp;VALUE(RIGHT(G1233,2)))</f>
        <v>Sector 5</v>
      </c>
      <c r="P1233" s="34" t="str">
        <f aca="false">IF(MID(D1233,15,3)="SEL","Subestación eléctrica","Área de proceso")</f>
        <v>Subestación eléctrica</v>
      </c>
      <c r="Q1233" s="34" t="str">
        <f aca="false">MID(D1233,13,5)&amp;"|"&amp;MID(D1233,19,5)</f>
        <v>05SEL|S_003</v>
      </c>
      <c r="R1233" s="34" t="str">
        <f aca="false">IF(P1233="Subestación eléctrica",IFERROR(INDEX(cat_SubN,MATCH(Q1233,cat_SubK,0)),"SIN CATALOGAR"),"ÁREA DE PROCESO")</f>
        <v>SE-03</v>
      </c>
      <c r="S1233" s="34" t="str">
        <f aca="false">IF(H1233="","SIN DATO",IFERROR(INDEX(cat_MarcaN,MATCH(H1233,cat_MarcaO,0)),H1233))</f>
        <v>GENERAL ELECTRIC</v>
      </c>
      <c r="T1233" s="34" t="str">
        <f aca="false">IF(I1233="","SIN DATO",IFERROR(INDEX(cat_ModN,MATCH(I1233,cat_ModO,0)),I1233))</f>
        <v>MULTILIN</v>
      </c>
      <c r="U1233" s="34" t="str">
        <f aca="false">IF(I1233="","",IFERROR(INDEX(cat_ModG,MATCH(I1233,cat_ModO,0)),"No"))</f>
        <v>Sí</v>
      </c>
      <c r="V1233" s="34" t="str">
        <f aca="false">IF(J1233="","SIN DATO",IFERROR(INDEX(cat_FunN,MATCH(J1233,cat_FunO,0)),J1233))</f>
        <v>Protección</v>
      </c>
      <c r="W1233" s="34" t="str">
        <f aca="false">IF(OR(S1233="SIN DATO",T1233="SIN DATO"),"No","Sí")</f>
        <v>Sí</v>
      </c>
    </row>
    <row r="1234" customFormat="false" ht="15" hidden="false" customHeight="false" outlineLevel="0" collapsed="false">
      <c r="A1234" s="34" t="s">
        <v>4581</v>
      </c>
      <c r="B1234" s="34" t="s">
        <v>4582</v>
      </c>
      <c r="C1234" s="34" t="s">
        <v>4583</v>
      </c>
      <c r="D1234" s="34" t="s">
        <v>4576</v>
      </c>
      <c r="E1234" s="34" t="s">
        <v>128</v>
      </c>
      <c r="F1234" s="34" t="s">
        <v>1602</v>
      </c>
      <c r="G1234" s="34" t="s">
        <v>2983</v>
      </c>
      <c r="H1234" s="34" t="s">
        <v>61</v>
      </c>
      <c r="I1234" s="34" t="s">
        <v>63</v>
      </c>
      <c r="J1234" s="34" t="s">
        <v>681</v>
      </c>
      <c r="K1234" s="34" t="s">
        <v>229</v>
      </c>
      <c r="L1234" s="34" t="s">
        <v>3198</v>
      </c>
      <c r="M1234" s="34" t="s">
        <v>231</v>
      </c>
      <c r="N1234" s="34" t="str">
        <f aca="false">"Sector "&amp;VALUE(MID(D1234,13,2))</f>
        <v>Sector 5</v>
      </c>
      <c r="O1234" s="34" t="str">
        <f aca="false">IF(Dashboard!$C$5="Ubicación técnica",N1234,"Sector "&amp;VALUE(RIGHT(G1234,2)))</f>
        <v>Sector 5</v>
      </c>
      <c r="P1234" s="34" t="str">
        <f aca="false">IF(MID(D1234,15,3)="SEL","Subestación eléctrica","Área de proceso")</f>
        <v>Subestación eléctrica</v>
      </c>
      <c r="Q1234" s="34" t="str">
        <f aca="false">MID(D1234,13,5)&amp;"|"&amp;MID(D1234,19,5)</f>
        <v>05SEL|S_003</v>
      </c>
      <c r="R1234" s="34" t="str">
        <f aca="false">IF(P1234="Subestación eléctrica",IFERROR(INDEX(cat_SubN,MATCH(Q1234,cat_SubK,0)),"SIN CATALOGAR"),"ÁREA DE PROCESO")</f>
        <v>SE-03</v>
      </c>
      <c r="S1234" s="34" t="str">
        <f aca="false">IF(H1234="","SIN DATO",IFERROR(INDEX(cat_MarcaN,MATCH(H1234,cat_MarcaO,0)),H1234))</f>
        <v>GENERAL ELECTRIC</v>
      </c>
      <c r="T1234" s="34" t="str">
        <f aca="false">IF(I1234="","SIN DATO",IFERROR(INDEX(cat_ModN,MATCH(I1234,cat_ModO,0)),I1234))</f>
        <v>MULTILIN</v>
      </c>
      <c r="U1234" s="34" t="str">
        <f aca="false">IF(I1234="","",IFERROR(INDEX(cat_ModG,MATCH(I1234,cat_ModO,0)),"No"))</f>
        <v>Sí</v>
      </c>
      <c r="V1234" s="34" t="str">
        <f aca="false">IF(J1234="","SIN DATO",IFERROR(INDEX(cat_FunN,MATCH(J1234,cat_FunO,0)),J1234))</f>
        <v>Protección</v>
      </c>
      <c r="W1234" s="34" t="str">
        <f aca="false">IF(OR(S1234="SIN DATO",T1234="SIN DATO"),"No","Sí")</f>
        <v>Sí</v>
      </c>
    </row>
    <row r="1235" customFormat="false" ht="15" hidden="false" customHeight="false" outlineLevel="0" collapsed="false">
      <c r="A1235" s="34" t="s">
        <v>4584</v>
      </c>
      <c r="B1235" s="34" t="s">
        <v>4585</v>
      </c>
      <c r="C1235" s="34" t="s">
        <v>4586</v>
      </c>
      <c r="D1235" s="34" t="s">
        <v>4580</v>
      </c>
      <c r="E1235" s="34" t="s">
        <v>128</v>
      </c>
      <c r="F1235" s="34" t="s">
        <v>1602</v>
      </c>
      <c r="G1235" s="34" t="s">
        <v>2983</v>
      </c>
      <c r="H1235" s="34" t="s">
        <v>61</v>
      </c>
      <c r="I1235" s="34" t="s">
        <v>63</v>
      </c>
      <c r="J1235" s="34" t="s">
        <v>681</v>
      </c>
      <c r="K1235" s="34" t="s">
        <v>229</v>
      </c>
      <c r="L1235" s="34" t="s">
        <v>3198</v>
      </c>
      <c r="M1235" s="34" t="s">
        <v>231</v>
      </c>
      <c r="N1235" s="34" t="str">
        <f aca="false">"Sector "&amp;VALUE(MID(D1235,13,2))</f>
        <v>Sector 5</v>
      </c>
      <c r="O1235" s="34" t="str">
        <f aca="false">IF(Dashboard!$C$5="Ubicación técnica",N1235,"Sector "&amp;VALUE(RIGHT(G1235,2)))</f>
        <v>Sector 5</v>
      </c>
      <c r="P1235" s="34" t="str">
        <f aca="false">IF(MID(D1235,15,3)="SEL","Subestación eléctrica","Área de proceso")</f>
        <v>Subestación eléctrica</v>
      </c>
      <c r="Q1235" s="34" t="str">
        <f aca="false">MID(D1235,13,5)&amp;"|"&amp;MID(D1235,19,5)</f>
        <v>05SEL|S_003</v>
      </c>
      <c r="R1235" s="34" t="str">
        <f aca="false">IF(P1235="Subestación eléctrica",IFERROR(INDEX(cat_SubN,MATCH(Q1235,cat_SubK,0)),"SIN CATALOGAR"),"ÁREA DE PROCESO")</f>
        <v>SE-03</v>
      </c>
      <c r="S1235" s="34" t="str">
        <f aca="false">IF(H1235="","SIN DATO",IFERROR(INDEX(cat_MarcaN,MATCH(H1235,cat_MarcaO,0)),H1235))</f>
        <v>GENERAL ELECTRIC</v>
      </c>
      <c r="T1235" s="34" t="str">
        <f aca="false">IF(I1235="","SIN DATO",IFERROR(INDEX(cat_ModN,MATCH(I1235,cat_ModO,0)),I1235))</f>
        <v>MULTILIN</v>
      </c>
      <c r="U1235" s="34" t="str">
        <f aca="false">IF(I1235="","",IFERROR(INDEX(cat_ModG,MATCH(I1235,cat_ModO,0)),"No"))</f>
        <v>Sí</v>
      </c>
      <c r="V1235" s="34" t="str">
        <f aca="false">IF(J1235="","SIN DATO",IFERROR(INDEX(cat_FunN,MATCH(J1235,cat_FunO,0)),J1235))</f>
        <v>Protección</v>
      </c>
      <c r="W1235" s="34" t="str">
        <f aca="false">IF(OR(S1235="SIN DATO",T1235="SIN DATO"),"No","Sí")</f>
        <v>Sí</v>
      </c>
    </row>
    <row r="1236" customFormat="false" ht="15" hidden="false" customHeight="false" outlineLevel="0" collapsed="false">
      <c r="A1236" s="34" t="s">
        <v>4587</v>
      </c>
      <c r="B1236" s="34" t="s">
        <v>4588</v>
      </c>
      <c r="C1236" s="34" t="s">
        <v>4589</v>
      </c>
      <c r="D1236" s="34" t="s">
        <v>4576</v>
      </c>
      <c r="E1236" s="34" t="s">
        <v>128</v>
      </c>
      <c r="F1236" s="34" t="s">
        <v>1602</v>
      </c>
      <c r="G1236" s="34" t="s">
        <v>2983</v>
      </c>
      <c r="H1236" s="34" t="s">
        <v>61</v>
      </c>
      <c r="I1236" s="34" t="s">
        <v>63</v>
      </c>
      <c r="J1236" s="34" t="s">
        <v>681</v>
      </c>
      <c r="K1236" s="34" t="s">
        <v>229</v>
      </c>
      <c r="L1236" s="34" t="s">
        <v>3198</v>
      </c>
      <c r="M1236" s="34" t="s">
        <v>231</v>
      </c>
      <c r="N1236" s="34" t="str">
        <f aca="false">"Sector "&amp;VALUE(MID(D1236,13,2))</f>
        <v>Sector 5</v>
      </c>
      <c r="O1236" s="34" t="str">
        <f aca="false">IF(Dashboard!$C$5="Ubicación técnica",N1236,"Sector "&amp;VALUE(RIGHT(G1236,2)))</f>
        <v>Sector 5</v>
      </c>
      <c r="P1236" s="34" t="str">
        <f aca="false">IF(MID(D1236,15,3)="SEL","Subestación eléctrica","Área de proceso")</f>
        <v>Subestación eléctrica</v>
      </c>
      <c r="Q1236" s="34" t="str">
        <f aca="false">MID(D1236,13,5)&amp;"|"&amp;MID(D1236,19,5)</f>
        <v>05SEL|S_003</v>
      </c>
      <c r="R1236" s="34" t="str">
        <f aca="false">IF(P1236="Subestación eléctrica",IFERROR(INDEX(cat_SubN,MATCH(Q1236,cat_SubK,0)),"SIN CATALOGAR"),"ÁREA DE PROCESO")</f>
        <v>SE-03</v>
      </c>
      <c r="S1236" s="34" t="str">
        <f aca="false">IF(H1236="","SIN DATO",IFERROR(INDEX(cat_MarcaN,MATCH(H1236,cat_MarcaO,0)),H1236))</f>
        <v>GENERAL ELECTRIC</v>
      </c>
      <c r="T1236" s="34" t="str">
        <f aca="false">IF(I1236="","SIN DATO",IFERROR(INDEX(cat_ModN,MATCH(I1236,cat_ModO,0)),I1236))</f>
        <v>MULTILIN</v>
      </c>
      <c r="U1236" s="34" t="str">
        <f aca="false">IF(I1236="","",IFERROR(INDEX(cat_ModG,MATCH(I1236,cat_ModO,0)),"No"))</f>
        <v>Sí</v>
      </c>
      <c r="V1236" s="34" t="str">
        <f aca="false">IF(J1236="","SIN DATO",IFERROR(INDEX(cat_FunN,MATCH(J1236,cat_FunO,0)),J1236))</f>
        <v>Protección</v>
      </c>
      <c r="W1236" s="34" t="str">
        <f aca="false">IF(OR(S1236="SIN DATO",T1236="SIN DATO"),"No","Sí")</f>
        <v>Sí</v>
      </c>
    </row>
    <row r="1237" customFormat="false" ht="15" hidden="false" customHeight="false" outlineLevel="0" collapsed="false">
      <c r="A1237" s="34" t="s">
        <v>4590</v>
      </c>
      <c r="B1237" s="34" t="s">
        <v>4591</v>
      </c>
      <c r="C1237" s="34" t="s">
        <v>4592</v>
      </c>
      <c r="D1237" s="34" t="s">
        <v>4593</v>
      </c>
      <c r="E1237" s="34" t="s">
        <v>128</v>
      </c>
      <c r="F1237" s="34" t="s">
        <v>1602</v>
      </c>
      <c r="G1237" s="34" t="s">
        <v>2983</v>
      </c>
      <c r="H1237" s="34" t="s">
        <v>61</v>
      </c>
      <c r="I1237" s="34" t="s">
        <v>63</v>
      </c>
      <c r="J1237" s="34" t="s">
        <v>681</v>
      </c>
      <c r="K1237" s="34" t="s">
        <v>229</v>
      </c>
      <c r="L1237" s="34" t="s">
        <v>3198</v>
      </c>
      <c r="M1237" s="34" t="s">
        <v>231</v>
      </c>
      <c r="N1237" s="34" t="str">
        <f aca="false">"Sector "&amp;VALUE(MID(D1237,13,2))</f>
        <v>Sector 5</v>
      </c>
      <c r="O1237" s="34" t="str">
        <f aca="false">IF(Dashboard!$C$5="Ubicación técnica",N1237,"Sector "&amp;VALUE(RIGHT(G1237,2)))</f>
        <v>Sector 5</v>
      </c>
      <c r="P1237" s="34" t="str">
        <f aca="false">IF(MID(D1237,15,3)="SEL","Subestación eléctrica","Área de proceso")</f>
        <v>Subestación eléctrica</v>
      </c>
      <c r="Q1237" s="34" t="str">
        <f aca="false">MID(D1237,13,5)&amp;"|"&amp;MID(D1237,19,5)</f>
        <v>05SEL|S_003</v>
      </c>
      <c r="R1237" s="34" t="str">
        <f aca="false">IF(P1237="Subestación eléctrica",IFERROR(INDEX(cat_SubN,MATCH(Q1237,cat_SubK,0)),"SIN CATALOGAR"),"ÁREA DE PROCESO")</f>
        <v>SE-03</v>
      </c>
      <c r="S1237" s="34" t="str">
        <f aca="false">IF(H1237="","SIN DATO",IFERROR(INDEX(cat_MarcaN,MATCH(H1237,cat_MarcaO,0)),H1237))</f>
        <v>GENERAL ELECTRIC</v>
      </c>
      <c r="T1237" s="34" t="str">
        <f aca="false">IF(I1237="","SIN DATO",IFERROR(INDEX(cat_ModN,MATCH(I1237,cat_ModO,0)),I1237))</f>
        <v>MULTILIN</v>
      </c>
      <c r="U1237" s="34" t="str">
        <f aca="false">IF(I1237="","",IFERROR(INDEX(cat_ModG,MATCH(I1237,cat_ModO,0)),"No"))</f>
        <v>Sí</v>
      </c>
      <c r="V1237" s="34" t="str">
        <f aca="false">IF(J1237="","SIN DATO",IFERROR(INDEX(cat_FunN,MATCH(J1237,cat_FunO,0)),J1237))</f>
        <v>Protección</v>
      </c>
      <c r="W1237" s="34" t="str">
        <f aca="false">IF(OR(S1237="SIN DATO",T1237="SIN DATO"),"No","Sí")</f>
        <v>Sí</v>
      </c>
    </row>
    <row r="1238" customFormat="false" ht="15" hidden="false" customHeight="false" outlineLevel="0" collapsed="false">
      <c r="A1238" s="34" t="s">
        <v>4594</v>
      </c>
      <c r="B1238" s="34" t="s">
        <v>4595</v>
      </c>
      <c r="C1238" s="34" t="s">
        <v>4596</v>
      </c>
      <c r="D1238" s="34" t="s">
        <v>4593</v>
      </c>
      <c r="E1238" s="34" t="s">
        <v>128</v>
      </c>
      <c r="F1238" s="34" t="s">
        <v>1602</v>
      </c>
      <c r="G1238" s="34" t="s">
        <v>2983</v>
      </c>
      <c r="H1238" s="34" t="s">
        <v>61</v>
      </c>
      <c r="I1238" s="34" t="s">
        <v>63</v>
      </c>
      <c r="J1238" s="34" t="s">
        <v>681</v>
      </c>
      <c r="K1238" s="34" t="s">
        <v>229</v>
      </c>
      <c r="L1238" s="34" t="s">
        <v>3198</v>
      </c>
      <c r="M1238" s="34" t="s">
        <v>231</v>
      </c>
      <c r="N1238" s="34" t="str">
        <f aca="false">"Sector "&amp;VALUE(MID(D1238,13,2))</f>
        <v>Sector 5</v>
      </c>
      <c r="O1238" s="34" t="str">
        <f aca="false">IF(Dashboard!$C$5="Ubicación técnica",N1238,"Sector "&amp;VALUE(RIGHT(G1238,2)))</f>
        <v>Sector 5</v>
      </c>
      <c r="P1238" s="34" t="str">
        <f aca="false">IF(MID(D1238,15,3)="SEL","Subestación eléctrica","Área de proceso")</f>
        <v>Subestación eléctrica</v>
      </c>
      <c r="Q1238" s="34" t="str">
        <f aca="false">MID(D1238,13,5)&amp;"|"&amp;MID(D1238,19,5)</f>
        <v>05SEL|S_003</v>
      </c>
      <c r="R1238" s="34" t="str">
        <f aca="false">IF(P1238="Subestación eléctrica",IFERROR(INDEX(cat_SubN,MATCH(Q1238,cat_SubK,0)),"SIN CATALOGAR"),"ÁREA DE PROCESO")</f>
        <v>SE-03</v>
      </c>
      <c r="S1238" s="34" t="str">
        <f aca="false">IF(H1238="","SIN DATO",IFERROR(INDEX(cat_MarcaN,MATCH(H1238,cat_MarcaO,0)),H1238))</f>
        <v>GENERAL ELECTRIC</v>
      </c>
      <c r="T1238" s="34" t="str">
        <f aca="false">IF(I1238="","SIN DATO",IFERROR(INDEX(cat_ModN,MATCH(I1238,cat_ModO,0)),I1238))</f>
        <v>MULTILIN</v>
      </c>
      <c r="U1238" s="34" t="str">
        <f aca="false">IF(I1238="","",IFERROR(INDEX(cat_ModG,MATCH(I1238,cat_ModO,0)),"No"))</f>
        <v>Sí</v>
      </c>
      <c r="V1238" s="34" t="str">
        <f aca="false">IF(J1238="","SIN DATO",IFERROR(INDEX(cat_FunN,MATCH(J1238,cat_FunO,0)),J1238))</f>
        <v>Protección</v>
      </c>
      <c r="W1238" s="34" t="str">
        <f aca="false">IF(OR(S1238="SIN DATO",T1238="SIN DATO"),"No","Sí")</f>
        <v>Sí</v>
      </c>
    </row>
    <row r="1239" customFormat="false" ht="15" hidden="false" customHeight="false" outlineLevel="0" collapsed="false">
      <c r="A1239" s="34" t="s">
        <v>4597</v>
      </c>
      <c r="B1239" s="34" t="s">
        <v>4598</v>
      </c>
      <c r="C1239" s="34" t="s">
        <v>4599</v>
      </c>
      <c r="D1239" s="34" t="s">
        <v>4600</v>
      </c>
      <c r="E1239" s="34" t="s">
        <v>128</v>
      </c>
      <c r="F1239" s="34" t="s">
        <v>1602</v>
      </c>
      <c r="G1239" s="34" t="s">
        <v>2983</v>
      </c>
      <c r="H1239" s="34" t="s">
        <v>61</v>
      </c>
      <c r="I1239" s="34" t="s">
        <v>63</v>
      </c>
      <c r="J1239" s="34" t="s">
        <v>681</v>
      </c>
      <c r="K1239" s="34" t="s">
        <v>229</v>
      </c>
      <c r="L1239" s="34" t="s">
        <v>3198</v>
      </c>
      <c r="M1239" s="34" t="s">
        <v>231</v>
      </c>
      <c r="N1239" s="34" t="str">
        <f aca="false">"Sector "&amp;VALUE(MID(D1239,13,2))</f>
        <v>Sector 5</v>
      </c>
      <c r="O1239" s="34" t="str">
        <f aca="false">IF(Dashboard!$C$5="Ubicación técnica",N1239,"Sector "&amp;VALUE(RIGHT(G1239,2)))</f>
        <v>Sector 5</v>
      </c>
      <c r="P1239" s="34" t="str">
        <f aca="false">IF(MID(D1239,15,3)="SEL","Subestación eléctrica","Área de proceso")</f>
        <v>Subestación eléctrica</v>
      </c>
      <c r="Q1239" s="34" t="str">
        <f aca="false">MID(D1239,13,5)&amp;"|"&amp;MID(D1239,19,5)</f>
        <v>05SEL|S_003</v>
      </c>
      <c r="R1239" s="34" t="str">
        <f aca="false">IF(P1239="Subestación eléctrica",IFERROR(INDEX(cat_SubN,MATCH(Q1239,cat_SubK,0)),"SIN CATALOGAR"),"ÁREA DE PROCESO")</f>
        <v>SE-03</v>
      </c>
      <c r="S1239" s="34" t="str">
        <f aca="false">IF(H1239="","SIN DATO",IFERROR(INDEX(cat_MarcaN,MATCH(H1239,cat_MarcaO,0)),H1239))</f>
        <v>GENERAL ELECTRIC</v>
      </c>
      <c r="T1239" s="34" t="str">
        <f aca="false">IF(I1239="","SIN DATO",IFERROR(INDEX(cat_ModN,MATCH(I1239,cat_ModO,0)),I1239))</f>
        <v>MULTILIN</v>
      </c>
      <c r="U1239" s="34" t="str">
        <f aca="false">IF(I1239="","",IFERROR(INDEX(cat_ModG,MATCH(I1239,cat_ModO,0)),"No"))</f>
        <v>Sí</v>
      </c>
      <c r="V1239" s="34" t="str">
        <f aca="false">IF(J1239="","SIN DATO",IFERROR(INDEX(cat_FunN,MATCH(J1239,cat_FunO,0)),J1239))</f>
        <v>Protección</v>
      </c>
      <c r="W1239" s="34" t="str">
        <f aca="false">IF(OR(S1239="SIN DATO",T1239="SIN DATO"),"No","Sí")</f>
        <v>Sí</v>
      </c>
    </row>
    <row r="1240" customFormat="false" ht="15" hidden="false" customHeight="false" outlineLevel="0" collapsed="false">
      <c r="A1240" s="34" t="s">
        <v>4601</v>
      </c>
      <c r="B1240" s="34" t="s">
        <v>4602</v>
      </c>
      <c r="C1240" s="34" t="s">
        <v>4603</v>
      </c>
      <c r="D1240" s="34" t="s">
        <v>4600</v>
      </c>
      <c r="E1240" s="34" t="s">
        <v>128</v>
      </c>
      <c r="F1240" s="34" t="s">
        <v>1602</v>
      </c>
      <c r="G1240" s="34" t="s">
        <v>2983</v>
      </c>
      <c r="H1240" s="34" t="s">
        <v>61</v>
      </c>
      <c r="I1240" s="34" t="s">
        <v>63</v>
      </c>
      <c r="J1240" s="34" t="s">
        <v>681</v>
      </c>
      <c r="K1240" s="34" t="s">
        <v>229</v>
      </c>
      <c r="L1240" s="34" t="s">
        <v>3198</v>
      </c>
      <c r="M1240" s="34" t="s">
        <v>231</v>
      </c>
      <c r="N1240" s="34" t="str">
        <f aca="false">"Sector "&amp;VALUE(MID(D1240,13,2))</f>
        <v>Sector 5</v>
      </c>
      <c r="O1240" s="34" t="str">
        <f aca="false">IF(Dashboard!$C$5="Ubicación técnica",N1240,"Sector "&amp;VALUE(RIGHT(G1240,2)))</f>
        <v>Sector 5</v>
      </c>
      <c r="P1240" s="34" t="str">
        <f aca="false">IF(MID(D1240,15,3)="SEL","Subestación eléctrica","Área de proceso")</f>
        <v>Subestación eléctrica</v>
      </c>
      <c r="Q1240" s="34" t="str">
        <f aca="false">MID(D1240,13,5)&amp;"|"&amp;MID(D1240,19,5)</f>
        <v>05SEL|S_003</v>
      </c>
      <c r="R1240" s="34" t="str">
        <f aca="false">IF(P1240="Subestación eléctrica",IFERROR(INDEX(cat_SubN,MATCH(Q1240,cat_SubK,0)),"SIN CATALOGAR"),"ÁREA DE PROCESO")</f>
        <v>SE-03</v>
      </c>
      <c r="S1240" s="34" t="str">
        <f aca="false">IF(H1240="","SIN DATO",IFERROR(INDEX(cat_MarcaN,MATCH(H1240,cat_MarcaO,0)),H1240))</f>
        <v>GENERAL ELECTRIC</v>
      </c>
      <c r="T1240" s="34" t="str">
        <f aca="false">IF(I1240="","SIN DATO",IFERROR(INDEX(cat_ModN,MATCH(I1240,cat_ModO,0)),I1240))</f>
        <v>MULTILIN</v>
      </c>
      <c r="U1240" s="34" t="str">
        <f aca="false">IF(I1240="","",IFERROR(INDEX(cat_ModG,MATCH(I1240,cat_ModO,0)),"No"))</f>
        <v>Sí</v>
      </c>
      <c r="V1240" s="34" t="str">
        <f aca="false">IF(J1240="","SIN DATO",IFERROR(INDEX(cat_FunN,MATCH(J1240,cat_FunO,0)),J1240))</f>
        <v>Protección</v>
      </c>
      <c r="W1240" s="34" t="str">
        <f aca="false">IF(OR(S1240="SIN DATO",T1240="SIN DATO"),"No","Sí")</f>
        <v>Sí</v>
      </c>
    </row>
    <row r="1241" customFormat="false" ht="15" hidden="false" customHeight="false" outlineLevel="0" collapsed="false">
      <c r="A1241" s="34" t="s">
        <v>4604</v>
      </c>
      <c r="B1241" s="34" t="s">
        <v>4605</v>
      </c>
      <c r="C1241" s="34" t="s">
        <v>4606</v>
      </c>
      <c r="D1241" s="34" t="s">
        <v>4607</v>
      </c>
      <c r="E1241" s="34" t="s">
        <v>128</v>
      </c>
      <c r="F1241" s="34" t="s">
        <v>1602</v>
      </c>
      <c r="G1241" s="34" t="s">
        <v>2983</v>
      </c>
      <c r="H1241" s="34" t="s">
        <v>61</v>
      </c>
      <c r="I1241" s="34" t="s">
        <v>63</v>
      </c>
      <c r="J1241" s="34" t="s">
        <v>681</v>
      </c>
      <c r="K1241" s="34" t="s">
        <v>229</v>
      </c>
      <c r="L1241" s="34" t="s">
        <v>3198</v>
      </c>
      <c r="M1241" s="34" t="s">
        <v>231</v>
      </c>
      <c r="N1241" s="34" t="str">
        <f aca="false">"Sector "&amp;VALUE(MID(D1241,13,2))</f>
        <v>Sector 5</v>
      </c>
      <c r="O1241" s="34" t="str">
        <f aca="false">IF(Dashboard!$C$5="Ubicación técnica",N1241,"Sector "&amp;VALUE(RIGHT(G1241,2)))</f>
        <v>Sector 5</v>
      </c>
      <c r="P1241" s="34" t="str">
        <f aca="false">IF(MID(D1241,15,3)="SEL","Subestación eléctrica","Área de proceso")</f>
        <v>Subestación eléctrica</v>
      </c>
      <c r="Q1241" s="34" t="str">
        <f aca="false">MID(D1241,13,5)&amp;"|"&amp;MID(D1241,19,5)</f>
        <v>05SEL|S_003</v>
      </c>
      <c r="R1241" s="34" t="str">
        <f aca="false">IF(P1241="Subestación eléctrica",IFERROR(INDEX(cat_SubN,MATCH(Q1241,cat_SubK,0)),"SIN CATALOGAR"),"ÁREA DE PROCESO")</f>
        <v>SE-03</v>
      </c>
      <c r="S1241" s="34" t="str">
        <f aca="false">IF(H1241="","SIN DATO",IFERROR(INDEX(cat_MarcaN,MATCH(H1241,cat_MarcaO,0)),H1241))</f>
        <v>GENERAL ELECTRIC</v>
      </c>
      <c r="T1241" s="34" t="str">
        <f aca="false">IF(I1241="","SIN DATO",IFERROR(INDEX(cat_ModN,MATCH(I1241,cat_ModO,0)),I1241))</f>
        <v>MULTILIN</v>
      </c>
      <c r="U1241" s="34" t="str">
        <f aca="false">IF(I1241="","",IFERROR(INDEX(cat_ModG,MATCH(I1241,cat_ModO,0)),"No"))</f>
        <v>Sí</v>
      </c>
      <c r="V1241" s="34" t="str">
        <f aca="false">IF(J1241="","SIN DATO",IFERROR(INDEX(cat_FunN,MATCH(J1241,cat_FunO,0)),J1241))</f>
        <v>Protección</v>
      </c>
      <c r="W1241" s="34" t="str">
        <f aca="false">IF(OR(S1241="SIN DATO",T1241="SIN DATO"),"No","Sí")</f>
        <v>Sí</v>
      </c>
    </row>
    <row r="1242" customFormat="false" ht="15" hidden="false" customHeight="false" outlineLevel="0" collapsed="false">
      <c r="A1242" s="34" t="s">
        <v>4608</v>
      </c>
      <c r="B1242" s="34" t="s">
        <v>4609</v>
      </c>
      <c r="C1242" s="34" t="s">
        <v>4610</v>
      </c>
      <c r="D1242" s="34" t="s">
        <v>4607</v>
      </c>
      <c r="E1242" s="34" t="s">
        <v>128</v>
      </c>
      <c r="F1242" s="34" t="s">
        <v>1602</v>
      </c>
      <c r="G1242" s="34" t="s">
        <v>2983</v>
      </c>
      <c r="H1242" s="34" t="s">
        <v>61</v>
      </c>
      <c r="I1242" s="34" t="s">
        <v>63</v>
      </c>
      <c r="J1242" s="34" t="s">
        <v>681</v>
      </c>
      <c r="K1242" s="34" t="s">
        <v>229</v>
      </c>
      <c r="L1242" s="34" t="s">
        <v>3198</v>
      </c>
      <c r="M1242" s="34" t="s">
        <v>231</v>
      </c>
      <c r="N1242" s="34" t="str">
        <f aca="false">"Sector "&amp;VALUE(MID(D1242,13,2))</f>
        <v>Sector 5</v>
      </c>
      <c r="O1242" s="34" t="str">
        <f aca="false">IF(Dashboard!$C$5="Ubicación técnica",N1242,"Sector "&amp;VALUE(RIGHT(G1242,2)))</f>
        <v>Sector 5</v>
      </c>
      <c r="P1242" s="34" t="str">
        <f aca="false">IF(MID(D1242,15,3)="SEL","Subestación eléctrica","Área de proceso")</f>
        <v>Subestación eléctrica</v>
      </c>
      <c r="Q1242" s="34" t="str">
        <f aca="false">MID(D1242,13,5)&amp;"|"&amp;MID(D1242,19,5)</f>
        <v>05SEL|S_003</v>
      </c>
      <c r="R1242" s="34" t="str">
        <f aca="false">IF(P1242="Subestación eléctrica",IFERROR(INDEX(cat_SubN,MATCH(Q1242,cat_SubK,0)),"SIN CATALOGAR"),"ÁREA DE PROCESO")</f>
        <v>SE-03</v>
      </c>
      <c r="S1242" s="34" t="str">
        <f aca="false">IF(H1242="","SIN DATO",IFERROR(INDEX(cat_MarcaN,MATCH(H1242,cat_MarcaO,0)),H1242))</f>
        <v>GENERAL ELECTRIC</v>
      </c>
      <c r="T1242" s="34" t="str">
        <f aca="false">IF(I1242="","SIN DATO",IFERROR(INDEX(cat_ModN,MATCH(I1242,cat_ModO,0)),I1242))</f>
        <v>MULTILIN</v>
      </c>
      <c r="U1242" s="34" t="str">
        <f aca="false">IF(I1242="","",IFERROR(INDEX(cat_ModG,MATCH(I1242,cat_ModO,0)),"No"))</f>
        <v>Sí</v>
      </c>
      <c r="V1242" s="34" t="str">
        <f aca="false">IF(J1242="","SIN DATO",IFERROR(INDEX(cat_FunN,MATCH(J1242,cat_FunO,0)),J1242))</f>
        <v>Protección</v>
      </c>
      <c r="W1242" s="34" t="str">
        <f aca="false">IF(OR(S1242="SIN DATO",T1242="SIN DATO"),"No","Sí")</f>
        <v>Sí</v>
      </c>
    </row>
    <row r="1243" customFormat="false" ht="15" hidden="false" customHeight="false" outlineLevel="0" collapsed="false">
      <c r="A1243" s="34" t="s">
        <v>4611</v>
      </c>
      <c r="B1243" s="34" t="s">
        <v>4612</v>
      </c>
      <c r="C1243" s="34" t="s">
        <v>4613</v>
      </c>
      <c r="D1243" s="34" t="s">
        <v>4614</v>
      </c>
      <c r="E1243" s="34" t="s">
        <v>128</v>
      </c>
      <c r="F1243" s="34" t="s">
        <v>1602</v>
      </c>
      <c r="G1243" s="34" t="s">
        <v>2983</v>
      </c>
      <c r="H1243" s="34" t="s">
        <v>61</v>
      </c>
      <c r="I1243" s="34" t="s">
        <v>63</v>
      </c>
      <c r="J1243" s="34" t="s">
        <v>681</v>
      </c>
      <c r="K1243" s="34" t="s">
        <v>229</v>
      </c>
      <c r="L1243" s="34" t="s">
        <v>3198</v>
      </c>
      <c r="M1243" s="34" t="s">
        <v>231</v>
      </c>
      <c r="N1243" s="34" t="str">
        <f aca="false">"Sector "&amp;VALUE(MID(D1243,13,2))</f>
        <v>Sector 5</v>
      </c>
      <c r="O1243" s="34" t="str">
        <f aca="false">IF(Dashboard!$C$5="Ubicación técnica",N1243,"Sector "&amp;VALUE(RIGHT(G1243,2)))</f>
        <v>Sector 5</v>
      </c>
      <c r="P1243" s="34" t="str">
        <f aca="false">IF(MID(D1243,15,3)="SEL","Subestación eléctrica","Área de proceso")</f>
        <v>Subestación eléctrica</v>
      </c>
      <c r="Q1243" s="34" t="str">
        <f aca="false">MID(D1243,13,5)&amp;"|"&amp;MID(D1243,19,5)</f>
        <v>05SEL|S_003</v>
      </c>
      <c r="R1243" s="34" t="str">
        <f aca="false">IF(P1243="Subestación eléctrica",IFERROR(INDEX(cat_SubN,MATCH(Q1243,cat_SubK,0)),"SIN CATALOGAR"),"ÁREA DE PROCESO")</f>
        <v>SE-03</v>
      </c>
      <c r="S1243" s="34" t="str">
        <f aca="false">IF(H1243="","SIN DATO",IFERROR(INDEX(cat_MarcaN,MATCH(H1243,cat_MarcaO,0)),H1243))</f>
        <v>GENERAL ELECTRIC</v>
      </c>
      <c r="T1243" s="34" t="str">
        <f aca="false">IF(I1243="","SIN DATO",IFERROR(INDEX(cat_ModN,MATCH(I1243,cat_ModO,0)),I1243))</f>
        <v>MULTILIN</v>
      </c>
      <c r="U1243" s="34" t="str">
        <f aca="false">IF(I1243="","",IFERROR(INDEX(cat_ModG,MATCH(I1243,cat_ModO,0)),"No"))</f>
        <v>Sí</v>
      </c>
      <c r="V1243" s="34" t="str">
        <f aca="false">IF(J1243="","SIN DATO",IFERROR(INDEX(cat_FunN,MATCH(J1243,cat_FunO,0)),J1243))</f>
        <v>Protección</v>
      </c>
      <c r="W1243" s="34" t="str">
        <f aca="false">IF(OR(S1243="SIN DATO",T1243="SIN DATO"),"No","Sí")</f>
        <v>Sí</v>
      </c>
    </row>
    <row r="1244" customFormat="false" ht="15" hidden="false" customHeight="false" outlineLevel="0" collapsed="false">
      <c r="A1244" s="34" t="s">
        <v>4615</v>
      </c>
      <c r="B1244" s="34" t="s">
        <v>4616</v>
      </c>
      <c r="C1244" s="34" t="s">
        <v>4617</v>
      </c>
      <c r="D1244" s="34" t="s">
        <v>4618</v>
      </c>
      <c r="E1244" s="34" t="s">
        <v>128</v>
      </c>
      <c r="F1244" s="34" t="s">
        <v>1602</v>
      </c>
      <c r="G1244" s="34" t="s">
        <v>2983</v>
      </c>
      <c r="H1244" s="34" t="s">
        <v>61</v>
      </c>
      <c r="I1244" s="34" t="s">
        <v>63</v>
      </c>
      <c r="J1244" s="34" t="s">
        <v>681</v>
      </c>
      <c r="K1244" s="34" t="s">
        <v>229</v>
      </c>
      <c r="L1244" s="34" t="s">
        <v>3198</v>
      </c>
      <c r="M1244" s="34" t="s">
        <v>231</v>
      </c>
      <c r="N1244" s="34" t="str">
        <f aca="false">"Sector "&amp;VALUE(MID(D1244,13,2))</f>
        <v>Sector 5</v>
      </c>
      <c r="O1244" s="34" t="str">
        <f aca="false">IF(Dashboard!$C$5="Ubicación técnica",N1244,"Sector "&amp;VALUE(RIGHT(G1244,2)))</f>
        <v>Sector 5</v>
      </c>
      <c r="P1244" s="34" t="str">
        <f aca="false">IF(MID(D1244,15,3)="SEL","Subestación eléctrica","Área de proceso")</f>
        <v>Subestación eléctrica</v>
      </c>
      <c r="Q1244" s="34" t="str">
        <f aca="false">MID(D1244,13,5)&amp;"|"&amp;MID(D1244,19,5)</f>
        <v>05SEL|S_003</v>
      </c>
      <c r="R1244" s="34" t="str">
        <f aca="false">IF(P1244="Subestación eléctrica",IFERROR(INDEX(cat_SubN,MATCH(Q1244,cat_SubK,0)),"SIN CATALOGAR"),"ÁREA DE PROCESO")</f>
        <v>SE-03</v>
      </c>
      <c r="S1244" s="34" t="str">
        <f aca="false">IF(H1244="","SIN DATO",IFERROR(INDEX(cat_MarcaN,MATCH(H1244,cat_MarcaO,0)),H1244))</f>
        <v>GENERAL ELECTRIC</v>
      </c>
      <c r="T1244" s="34" t="str">
        <f aca="false">IF(I1244="","SIN DATO",IFERROR(INDEX(cat_ModN,MATCH(I1244,cat_ModO,0)),I1244))</f>
        <v>MULTILIN</v>
      </c>
      <c r="U1244" s="34" t="str">
        <f aca="false">IF(I1244="","",IFERROR(INDEX(cat_ModG,MATCH(I1244,cat_ModO,0)),"No"))</f>
        <v>Sí</v>
      </c>
      <c r="V1244" s="34" t="str">
        <f aca="false">IF(J1244="","SIN DATO",IFERROR(INDEX(cat_FunN,MATCH(J1244,cat_FunO,0)),J1244))</f>
        <v>Protección</v>
      </c>
      <c r="W1244" s="34" t="str">
        <f aca="false">IF(OR(S1244="SIN DATO",T1244="SIN DATO"),"No","Sí")</f>
        <v>Sí</v>
      </c>
    </row>
    <row r="1245" customFormat="false" ht="15" hidden="false" customHeight="false" outlineLevel="0" collapsed="false">
      <c r="A1245" s="34" t="s">
        <v>4619</v>
      </c>
      <c r="B1245" s="34" t="s">
        <v>4620</v>
      </c>
      <c r="C1245" s="34" t="s">
        <v>4621</v>
      </c>
      <c r="D1245" s="34" t="s">
        <v>4622</v>
      </c>
      <c r="E1245" s="34" t="s">
        <v>128</v>
      </c>
      <c r="F1245" s="34" t="s">
        <v>1602</v>
      </c>
      <c r="G1245" s="34" t="s">
        <v>2983</v>
      </c>
      <c r="H1245" s="34" t="s">
        <v>61</v>
      </c>
      <c r="I1245" s="34" t="s">
        <v>63</v>
      </c>
      <c r="J1245" s="34" t="s">
        <v>681</v>
      </c>
      <c r="K1245" s="34" t="s">
        <v>229</v>
      </c>
      <c r="L1245" s="34" t="s">
        <v>3198</v>
      </c>
      <c r="M1245" s="34" t="s">
        <v>231</v>
      </c>
      <c r="N1245" s="34" t="str">
        <f aca="false">"Sector "&amp;VALUE(MID(D1245,13,2))</f>
        <v>Sector 5</v>
      </c>
      <c r="O1245" s="34" t="str">
        <f aca="false">IF(Dashboard!$C$5="Ubicación técnica",N1245,"Sector "&amp;VALUE(RIGHT(G1245,2)))</f>
        <v>Sector 5</v>
      </c>
      <c r="P1245" s="34" t="str">
        <f aca="false">IF(MID(D1245,15,3)="SEL","Subestación eléctrica","Área de proceso")</f>
        <v>Subestación eléctrica</v>
      </c>
      <c r="Q1245" s="34" t="str">
        <f aca="false">MID(D1245,13,5)&amp;"|"&amp;MID(D1245,19,5)</f>
        <v>05SEL|S_003</v>
      </c>
      <c r="R1245" s="34" t="str">
        <f aca="false">IF(P1245="Subestación eléctrica",IFERROR(INDEX(cat_SubN,MATCH(Q1245,cat_SubK,0)),"SIN CATALOGAR"),"ÁREA DE PROCESO")</f>
        <v>SE-03</v>
      </c>
      <c r="S1245" s="34" t="str">
        <f aca="false">IF(H1245="","SIN DATO",IFERROR(INDEX(cat_MarcaN,MATCH(H1245,cat_MarcaO,0)),H1245))</f>
        <v>GENERAL ELECTRIC</v>
      </c>
      <c r="T1245" s="34" t="str">
        <f aca="false">IF(I1245="","SIN DATO",IFERROR(INDEX(cat_ModN,MATCH(I1245,cat_ModO,0)),I1245))</f>
        <v>MULTILIN</v>
      </c>
      <c r="U1245" s="34" t="str">
        <f aca="false">IF(I1245="","",IFERROR(INDEX(cat_ModG,MATCH(I1245,cat_ModO,0)),"No"))</f>
        <v>Sí</v>
      </c>
      <c r="V1245" s="34" t="str">
        <f aca="false">IF(J1245="","SIN DATO",IFERROR(INDEX(cat_FunN,MATCH(J1245,cat_FunO,0)),J1245))</f>
        <v>Protección</v>
      </c>
      <c r="W1245" s="34" t="str">
        <f aca="false">IF(OR(S1245="SIN DATO",T1245="SIN DATO"),"No","Sí")</f>
        <v>Sí</v>
      </c>
    </row>
    <row r="1246" customFormat="false" ht="15" hidden="false" customHeight="false" outlineLevel="0" collapsed="false">
      <c r="A1246" s="34" t="s">
        <v>4623</v>
      </c>
      <c r="B1246" s="34" t="s">
        <v>4624</v>
      </c>
      <c r="C1246" s="34" t="s">
        <v>4625</v>
      </c>
      <c r="D1246" s="34" t="s">
        <v>4626</v>
      </c>
      <c r="E1246" s="34" t="s">
        <v>128</v>
      </c>
      <c r="F1246" s="34" t="s">
        <v>1602</v>
      </c>
      <c r="G1246" s="34" t="s">
        <v>2983</v>
      </c>
      <c r="H1246" s="34" t="s">
        <v>61</v>
      </c>
      <c r="I1246" s="34" t="s">
        <v>63</v>
      </c>
      <c r="J1246" s="34" t="s">
        <v>681</v>
      </c>
      <c r="K1246" s="34" t="s">
        <v>229</v>
      </c>
      <c r="L1246" s="34" t="s">
        <v>3198</v>
      </c>
      <c r="M1246" s="34" t="s">
        <v>231</v>
      </c>
      <c r="N1246" s="34" t="str">
        <f aca="false">"Sector "&amp;VALUE(MID(D1246,13,2))</f>
        <v>Sector 5</v>
      </c>
      <c r="O1246" s="34" t="str">
        <f aca="false">IF(Dashboard!$C$5="Ubicación técnica",N1246,"Sector "&amp;VALUE(RIGHT(G1246,2)))</f>
        <v>Sector 5</v>
      </c>
      <c r="P1246" s="34" t="str">
        <f aca="false">IF(MID(D1246,15,3)="SEL","Subestación eléctrica","Área de proceso")</f>
        <v>Subestación eléctrica</v>
      </c>
      <c r="Q1246" s="34" t="str">
        <f aca="false">MID(D1246,13,5)&amp;"|"&amp;MID(D1246,19,5)</f>
        <v>05SEL|S_003</v>
      </c>
      <c r="R1246" s="34" t="str">
        <f aca="false">IF(P1246="Subestación eléctrica",IFERROR(INDEX(cat_SubN,MATCH(Q1246,cat_SubK,0)),"SIN CATALOGAR"),"ÁREA DE PROCESO")</f>
        <v>SE-03</v>
      </c>
      <c r="S1246" s="34" t="str">
        <f aca="false">IF(H1246="","SIN DATO",IFERROR(INDEX(cat_MarcaN,MATCH(H1246,cat_MarcaO,0)),H1246))</f>
        <v>GENERAL ELECTRIC</v>
      </c>
      <c r="T1246" s="34" t="str">
        <f aca="false">IF(I1246="","SIN DATO",IFERROR(INDEX(cat_ModN,MATCH(I1246,cat_ModO,0)),I1246))</f>
        <v>MULTILIN</v>
      </c>
      <c r="U1246" s="34" t="str">
        <f aca="false">IF(I1246="","",IFERROR(INDEX(cat_ModG,MATCH(I1246,cat_ModO,0)),"No"))</f>
        <v>Sí</v>
      </c>
      <c r="V1246" s="34" t="str">
        <f aca="false">IF(J1246="","SIN DATO",IFERROR(INDEX(cat_FunN,MATCH(J1246,cat_FunO,0)),J1246))</f>
        <v>Protección</v>
      </c>
      <c r="W1246" s="34" t="str">
        <f aca="false">IF(OR(S1246="SIN DATO",T1246="SIN DATO"),"No","Sí")</f>
        <v>Sí</v>
      </c>
    </row>
    <row r="1247" customFormat="false" ht="15" hidden="false" customHeight="false" outlineLevel="0" collapsed="false">
      <c r="A1247" s="34" t="s">
        <v>4627</v>
      </c>
      <c r="B1247" s="34" t="s">
        <v>4628</v>
      </c>
      <c r="C1247" s="34" t="s">
        <v>4629</v>
      </c>
      <c r="D1247" s="34" t="s">
        <v>4630</v>
      </c>
      <c r="E1247" s="34" t="s">
        <v>128</v>
      </c>
      <c r="F1247" s="34" t="s">
        <v>1602</v>
      </c>
      <c r="G1247" s="34" t="s">
        <v>2983</v>
      </c>
      <c r="H1247" s="34" t="s">
        <v>61</v>
      </c>
      <c r="I1247" s="34" t="s">
        <v>63</v>
      </c>
      <c r="J1247" s="34" t="s">
        <v>681</v>
      </c>
      <c r="K1247" s="34" t="s">
        <v>229</v>
      </c>
      <c r="L1247" s="34" t="s">
        <v>3198</v>
      </c>
      <c r="M1247" s="34" t="s">
        <v>231</v>
      </c>
      <c r="N1247" s="34" t="str">
        <f aca="false">"Sector "&amp;VALUE(MID(D1247,13,2))</f>
        <v>Sector 5</v>
      </c>
      <c r="O1247" s="34" t="str">
        <f aca="false">IF(Dashboard!$C$5="Ubicación técnica",N1247,"Sector "&amp;VALUE(RIGHT(G1247,2)))</f>
        <v>Sector 5</v>
      </c>
      <c r="P1247" s="34" t="str">
        <f aca="false">IF(MID(D1247,15,3)="SEL","Subestación eléctrica","Área de proceso")</f>
        <v>Subestación eléctrica</v>
      </c>
      <c r="Q1247" s="34" t="str">
        <f aca="false">MID(D1247,13,5)&amp;"|"&amp;MID(D1247,19,5)</f>
        <v>05SEL|S_003</v>
      </c>
      <c r="R1247" s="34" t="str">
        <f aca="false">IF(P1247="Subestación eléctrica",IFERROR(INDEX(cat_SubN,MATCH(Q1247,cat_SubK,0)),"SIN CATALOGAR"),"ÁREA DE PROCESO")</f>
        <v>SE-03</v>
      </c>
      <c r="S1247" s="34" t="str">
        <f aca="false">IF(H1247="","SIN DATO",IFERROR(INDEX(cat_MarcaN,MATCH(H1247,cat_MarcaO,0)),H1247))</f>
        <v>GENERAL ELECTRIC</v>
      </c>
      <c r="T1247" s="34" t="str">
        <f aca="false">IF(I1247="","SIN DATO",IFERROR(INDEX(cat_ModN,MATCH(I1247,cat_ModO,0)),I1247))</f>
        <v>MULTILIN</v>
      </c>
      <c r="U1247" s="34" t="str">
        <f aca="false">IF(I1247="","",IFERROR(INDEX(cat_ModG,MATCH(I1247,cat_ModO,0)),"No"))</f>
        <v>Sí</v>
      </c>
      <c r="V1247" s="34" t="str">
        <f aca="false">IF(J1247="","SIN DATO",IFERROR(INDEX(cat_FunN,MATCH(J1247,cat_FunO,0)),J1247))</f>
        <v>Protección</v>
      </c>
      <c r="W1247" s="34" t="str">
        <f aca="false">IF(OR(S1247="SIN DATO",T1247="SIN DATO"),"No","Sí")</f>
        <v>Sí</v>
      </c>
    </row>
    <row r="1248" customFormat="false" ht="15" hidden="false" customHeight="false" outlineLevel="0" collapsed="false">
      <c r="A1248" s="34" t="s">
        <v>4631</v>
      </c>
      <c r="B1248" s="34" t="s">
        <v>4632</v>
      </c>
      <c r="C1248" s="34" t="s">
        <v>4633</v>
      </c>
      <c r="D1248" s="34" t="s">
        <v>4634</v>
      </c>
      <c r="E1248" s="34" t="s">
        <v>128</v>
      </c>
      <c r="F1248" s="34" t="s">
        <v>1602</v>
      </c>
      <c r="G1248" s="34" t="s">
        <v>2983</v>
      </c>
      <c r="H1248" s="34" t="s">
        <v>61</v>
      </c>
      <c r="I1248" s="34" t="s">
        <v>63</v>
      </c>
      <c r="J1248" s="34" t="s">
        <v>681</v>
      </c>
      <c r="K1248" s="34" t="s">
        <v>229</v>
      </c>
      <c r="L1248" s="34" t="s">
        <v>3198</v>
      </c>
      <c r="M1248" s="34" t="s">
        <v>231</v>
      </c>
      <c r="N1248" s="34" t="str">
        <f aca="false">"Sector "&amp;VALUE(MID(D1248,13,2))</f>
        <v>Sector 5</v>
      </c>
      <c r="O1248" s="34" t="str">
        <f aca="false">IF(Dashboard!$C$5="Ubicación técnica",N1248,"Sector "&amp;VALUE(RIGHT(G1248,2)))</f>
        <v>Sector 5</v>
      </c>
      <c r="P1248" s="34" t="str">
        <f aca="false">IF(MID(D1248,15,3)="SEL","Subestación eléctrica","Área de proceso")</f>
        <v>Subestación eléctrica</v>
      </c>
      <c r="Q1248" s="34" t="str">
        <f aca="false">MID(D1248,13,5)&amp;"|"&amp;MID(D1248,19,5)</f>
        <v>05SEL|S_003</v>
      </c>
      <c r="R1248" s="34" t="str">
        <f aca="false">IF(P1248="Subestación eléctrica",IFERROR(INDEX(cat_SubN,MATCH(Q1248,cat_SubK,0)),"SIN CATALOGAR"),"ÁREA DE PROCESO")</f>
        <v>SE-03</v>
      </c>
      <c r="S1248" s="34" t="str">
        <f aca="false">IF(H1248="","SIN DATO",IFERROR(INDEX(cat_MarcaN,MATCH(H1248,cat_MarcaO,0)),H1248))</f>
        <v>GENERAL ELECTRIC</v>
      </c>
      <c r="T1248" s="34" t="str">
        <f aca="false">IF(I1248="","SIN DATO",IFERROR(INDEX(cat_ModN,MATCH(I1248,cat_ModO,0)),I1248))</f>
        <v>MULTILIN</v>
      </c>
      <c r="U1248" s="34" t="str">
        <f aca="false">IF(I1248="","",IFERROR(INDEX(cat_ModG,MATCH(I1248,cat_ModO,0)),"No"))</f>
        <v>Sí</v>
      </c>
      <c r="V1248" s="34" t="str">
        <f aca="false">IF(J1248="","SIN DATO",IFERROR(INDEX(cat_FunN,MATCH(J1248,cat_FunO,0)),J1248))</f>
        <v>Protección</v>
      </c>
      <c r="W1248" s="34" t="str">
        <f aca="false">IF(OR(S1248="SIN DATO",T1248="SIN DATO"),"No","Sí")</f>
        <v>Sí</v>
      </c>
    </row>
    <row r="1249" customFormat="false" ht="15" hidden="false" customHeight="false" outlineLevel="0" collapsed="false">
      <c r="A1249" s="34" t="s">
        <v>4635</v>
      </c>
      <c r="B1249" s="34" t="s">
        <v>4636</v>
      </c>
      <c r="C1249" s="34" t="s">
        <v>4637</v>
      </c>
      <c r="D1249" s="34" t="s">
        <v>4638</v>
      </c>
      <c r="E1249" s="34" t="s">
        <v>128</v>
      </c>
      <c r="F1249" s="34" t="s">
        <v>1602</v>
      </c>
      <c r="G1249" s="34" t="s">
        <v>2983</v>
      </c>
      <c r="H1249" s="34" t="s">
        <v>61</v>
      </c>
      <c r="I1249" s="34" t="s">
        <v>63</v>
      </c>
      <c r="J1249" s="34" t="s">
        <v>681</v>
      </c>
      <c r="K1249" s="34" t="s">
        <v>229</v>
      </c>
      <c r="L1249" s="34" t="s">
        <v>3198</v>
      </c>
      <c r="M1249" s="34" t="s">
        <v>231</v>
      </c>
      <c r="N1249" s="34" t="str">
        <f aca="false">"Sector "&amp;VALUE(MID(D1249,13,2))</f>
        <v>Sector 5</v>
      </c>
      <c r="O1249" s="34" t="str">
        <f aca="false">IF(Dashboard!$C$5="Ubicación técnica",N1249,"Sector "&amp;VALUE(RIGHT(G1249,2)))</f>
        <v>Sector 5</v>
      </c>
      <c r="P1249" s="34" t="str">
        <f aca="false">IF(MID(D1249,15,3)="SEL","Subestación eléctrica","Área de proceso")</f>
        <v>Subestación eléctrica</v>
      </c>
      <c r="Q1249" s="34" t="str">
        <f aca="false">MID(D1249,13,5)&amp;"|"&amp;MID(D1249,19,5)</f>
        <v>05SEL|S_003</v>
      </c>
      <c r="R1249" s="34" t="str">
        <f aca="false">IF(P1249="Subestación eléctrica",IFERROR(INDEX(cat_SubN,MATCH(Q1249,cat_SubK,0)),"SIN CATALOGAR"),"ÁREA DE PROCESO")</f>
        <v>SE-03</v>
      </c>
      <c r="S1249" s="34" t="str">
        <f aca="false">IF(H1249="","SIN DATO",IFERROR(INDEX(cat_MarcaN,MATCH(H1249,cat_MarcaO,0)),H1249))</f>
        <v>GENERAL ELECTRIC</v>
      </c>
      <c r="T1249" s="34" t="str">
        <f aca="false">IF(I1249="","SIN DATO",IFERROR(INDEX(cat_ModN,MATCH(I1249,cat_ModO,0)),I1249))</f>
        <v>MULTILIN</v>
      </c>
      <c r="U1249" s="34" t="str">
        <f aca="false">IF(I1249="","",IFERROR(INDEX(cat_ModG,MATCH(I1249,cat_ModO,0)),"No"))</f>
        <v>Sí</v>
      </c>
      <c r="V1249" s="34" t="str">
        <f aca="false">IF(J1249="","SIN DATO",IFERROR(INDEX(cat_FunN,MATCH(J1249,cat_FunO,0)),J1249))</f>
        <v>Protección</v>
      </c>
      <c r="W1249" s="34" t="str">
        <f aca="false">IF(OR(S1249="SIN DATO",T1249="SIN DATO"),"No","Sí")</f>
        <v>Sí</v>
      </c>
    </row>
    <row r="1250" customFormat="false" ht="15" hidden="false" customHeight="false" outlineLevel="0" collapsed="false">
      <c r="A1250" s="34" t="s">
        <v>4639</v>
      </c>
      <c r="B1250" s="34" t="s">
        <v>4640</v>
      </c>
      <c r="C1250" s="34" t="s">
        <v>4641</v>
      </c>
      <c r="D1250" s="34" t="s">
        <v>4642</v>
      </c>
      <c r="E1250" s="34" t="s">
        <v>128</v>
      </c>
      <c r="F1250" s="34" t="s">
        <v>1602</v>
      </c>
      <c r="G1250" s="34" t="s">
        <v>2983</v>
      </c>
      <c r="H1250" s="34" t="s">
        <v>61</v>
      </c>
      <c r="I1250" s="34" t="s">
        <v>63</v>
      </c>
      <c r="J1250" s="34" t="s">
        <v>681</v>
      </c>
      <c r="K1250" s="34" t="s">
        <v>229</v>
      </c>
      <c r="L1250" s="34" t="s">
        <v>3198</v>
      </c>
      <c r="M1250" s="34" t="s">
        <v>231</v>
      </c>
      <c r="N1250" s="34" t="str">
        <f aca="false">"Sector "&amp;VALUE(MID(D1250,13,2))</f>
        <v>Sector 5</v>
      </c>
      <c r="O1250" s="34" t="str">
        <f aca="false">IF(Dashboard!$C$5="Ubicación técnica",N1250,"Sector "&amp;VALUE(RIGHT(G1250,2)))</f>
        <v>Sector 5</v>
      </c>
      <c r="P1250" s="34" t="str">
        <f aca="false">IF(MID(D1250,15,3)="SEL","Subestación eléctrica","Área de proceso")</f>
        <v>Subestación eléctrica</v>
      </c>
      <c r="Q1250" s="34" t="str">
        <f aca="false">MID(D1250,13,5)&amp;"|"&amp;MID(D1250,19,5)</f>
        <v>05SEL|S_003</v>
      </c>
      <c r="R1250" s="34" t="str">
        <f aca="false">IF(P1250="Subestación eléctrica",IFERROR(INDEX(cat_SubN,MATCH(Q1250,cat_SubK,0)),"SIN CATALOGAR"),"ÁREA DE PROCESO")</f>
        <v>SE-03</v>
      </c>
      <c r="S1250" s="34" t="str">
        <f aca="false">IF(H1250="","SIN DATO",IFERROR(INDEX(cat_MarcaN,MATCH(H1250,cat_MarcaO,0)),H1250))</f>
        <v>GENERAL ELECTRIC</v>
      </c>
      <c r="T1250" s="34" t="str">
        <f aca="false">IF(I1250="","SIN DATO",IFERROR(INDEX(cat_ModN,MATCH(I1250,cat_ModO,0)),I1250))</f>
        <v>MULTILIN</v>
      </c>
      <c r="U1250" s="34" t="str">
        <f aca="false">IF(I1250="","",IFERROR(INDEX(cat_ModG,MATCH(I1250,cat_ModO,0)),"No"))</f>
        <v>Sí</v>
      </c>
      <c r="V1250" s="34" t="str">
        <f aca="false">IF(J1250="","SIN DATO",IFERROR(INDEX(cat_FunN,MATCH(J1250,cat_FunO,0)),J1250))</f>
        <v>Protección</v>
      </c>
      <c r="W1250" s="34" t="str">
        <f aca="false">IF(OR(S1250="SIN DATO",T1250="SIN DATO"),"No","Sí")</f>
        <v>Sí</v>
      </c>
    </row>
    <row r="1251" customFormat="false" ht="15" hidden="false" customHeight="false" outlineLevel="0" collapsed="false">
      <c r="A1251" s="34" t="s">
        <v>4643</v>
      </c>
      <c r="B1251" s="34" t="s">
        <v>4644</v>
      </c>
      <c r="C1251" s="34" t="s">
        <v>4645</v>
      </c>
      <c r="D1251" s="34" t="s">
        <v>4646</v>
      </c>
      <c r="E1251" s="34" t="s">
        <v>128</v>
      </c>
      <c r="F1251" s="34" t="s">
        <v>1602</v>
      </c>
      <c r="G1251" s="34" t="s">
        <v>2983</v>
      </c>
      <c r="H1251" s="34" t="s">
        <v>61</v>
      </c>
      <c r="I1251" s="34" t="s">
        <v>63</v>
      </c>
      <c r="J1251" s="34" t="s">
        <v>681</v>
      </c>
      <c r="K1251" s="34" t="s">
        <v>229</v>
      </c>
      <c r="L1251" s="34" t="s">
        <v>3198</v>
      </c>
      <c r="M1251" s="34" t="s">
        <v>231</v>
      </c>
      <c r="N1251" s="34" t="str">
        <f aca="false">"Sector "&amp;VALUE(MID(D1251,13,2))</f>
        <v>Sector 5</v>
      </c>
      <c r="O1251" s="34" t="str">
        <f aca="false">IF(Dashboard!$C$5="Ubicación técnica",N1251,"Sector "&amp;VALUE(RIGHT(G1251,2)))</f>
        <v>Sector 5</v>
      </c>
      <c r="P1251" s="34" t="str">
        <f aca="false">IF(MID(D1251,15,3)="SEL","Subestación eléctrica","Área de proceso")</f>
        <v>Subestación eléctrica</v>
      </c>
      <c r="Q1251" s="34" t="str">
        <f aca="false">MID(D1251,13,5)&amp;"|"&amp;MID(D1251,19,5)</f>
        <v>05SEL|S_003</v>
      </c>
      <c r="R1251" s="34" t="str">
        <f aca="false">IF(P1251="Subestación eléctrica",IFERROR(INDEX(cat_SubN,MATCH(Q1251,cat_SubK,0)),"SIN CATALOGAR"),"ÁREA DE PROCESO")</f>
        <v>SE-03</v>
      </c>
      <c r="S1251" s="34" t="str">
        <f aca="false">IF(H1251="","SIN DATO",IFERROR(INDEX(cat_MarcaN,MATCH(H1251,cat_MarcaO,0)),H1251))</f>
        <v>GENERAL ELECTRIC</v>
      </c>
      <c r="T1251" s="34" t="str">
        <f aca="false">IF(I1251="","SIN DATO",IFERROR(INDEX(cat_ModN,MATCH(I1251,cat_ModO,0)),I1251))</f>
        <v>MULTILIN</v>
      </c>
      <c r="U1251" s="34" t="str">
        <f aca="false">IF(I1251="","",IFERROR(INDEX(cat_ModG,MATCH(I1251,cat_ModO,0)),"No"))</f>
        <v>Sí</v>
      </c>
      <c r="V1251" s="34" t="str">
        <f aca="false">IF(J1251="","SIN DATO",IFERROR(INDEX(cat_FunN,MATCH(J1251,cat_FunO,0)),J1251))</f>
        <v>Protección</v>
      </c>
      <c r="W1251" s="34" t="str">
        <f aca="false">IF(OR(S1251="SIN DATO",T1251="SIN DATO"),"No","Sí")</f>
        <v>Sí</v>
      </c>
    </row>
    <row r="1252" customFormat="false" ht="15" hidden="false" customHeight="false" outlineLevel="0" collapsed="false">
      <c r="A1252" s="34" t="s">
        <v>4647</v>
      </c>
      <c r="B1252" s="34" t="s">
        <v>4648</v>
      </c>
      <c r="C1252" s="34" t="s">
        <v>4649</v>
      </c>
      <c r="D1252" s="34" t="s">
        <v>4650</v>
      </c>
      <c r="E1252" s="34" t="s">
        <v>128</v>
      </c>
      <c r="F1252" s="34" t="s">
        <v>1602</v>
      </c>
      <c r="G1252" s="34" t="s">
        <v>2983</v>
      </c>
      <c r="H1252" s="34" t="s">
        <v>55</v>
      </c>
      <c r="I1252" s="34" t="s">
        <v>55</v>
      </c>
      <c r="J1252" s="34" t="s">
        <v>58</v>
      </c>
      <c r="K1252" s="34" t="s">
        <v>229</v>
      </c>
      <c r="L1252" s="34" t="s">
        <v>230</v>
      </c>
      <c r="M1252" s="34" t="s">
        <v>231</v>
      </c>
      <c r="N1252" s="34" t="str">
        <f aca="false">"Sector "&amp;VALUE(MID(D1252,13,2))</f>
        <v>Sector 5</v>
      </c>
      <c r="O1252" s="34" t="str">
        <f aca="false">IF(Dashboard!$C$5="Ubicación técnica",N1252,"Sector "&amp;VALUE(RIGHT(G1252,2)))</f>
        <v>Sector 5</v>
      </c>
      <c r="P1252" s="34" t="str">
        <f aca="false">IF(MID(D1252,15,3)="SEL","Subestación eléctrica","Área de proceso")</f>
        <v>Subestación eléctrica</v>
      </c>
      <c r="Q1252" s="34" t="str">
        <f aca="false">MID(D1252,13,5)&amp;"|"&amp;MID(D1252,19,5)</f>
        <v>05SEL|S_003</v>
      </c>
      <c r="R1252" s="34" t="str">
        <f aca="false">IF(P1252="Subestación eléctrica",IFERROR(INDEX(cat_SubN,MATCH(Q1252,cat_SubK,0)),"SIN CATALOGAR"),"ÁREA DE PROCESO")</f>
        <v>SE-03</v>
      </c>
      <c r="S1252" s="34" t="str">
        <f aca="false">IF(H1252="","SIN DATO",IFERROR(INDEX(cat_MarcaN,MATCH(H1252,cat_MarcaO,0)),H1252))</f>
        <v>SEL</v>
      </c>
      <c r="T1252" s="34" t="str">
        <f aca="false">IF(I1252="","SIN DATO",IFERROR(INDEX(cat_ModN,MATCH(I1252,cat_ModO,0)),I1252))</f>
        <v>SEL</v>
      </c>
      <c r="U1252" s="34" t="str">
        <f aca="false">IF(I1252="","",IFERROR(INDEX(cat_ModG,MATCH(I1252,cat_ModO,0)),"No"))</f>
        <v>Sí</v>
      </c>
      <c r="V1252" s="34" t="str">
        <f aca="false">IF(J1252="","SIN DATO",IFERROR(INDEX(cat_FunN,MATCH(J1252,cat_FunO,0)),J1252))</f>
        <v>Medición</v>
      </c>
      <c r="W1252" s="34" t="str">
        <f aca="false">IF(OR(S1252="SIN DATO",T1252="SIN DATO"),"No","Sí")</f>
        <v>Sí</v>
      </c>
    </row>
    <row r="1253" customFormat="false" ht="15" hidden="false" customHeight="false" outlineLevel="0" collapsed="false">
      <c r="A1253" s="34" t="s">
        <v>4651</v>
      </c>
      <c r="B1253" s="34" t="s">
        <v>4652</v>
      </c>
      <c r="C1253" s="34" t="s">
        <v>4653</v>
      </c>
      <c r="D1253" s="34" t="s">
        <v>4654</v>
      </c>
      <c r="E1253" s="34" t="s">
        <v>128</v>
      </c>
      <c r="F1253" s="34" t="s">
        <v>1602</v>
      </c>
      <c r="G1253" s="34" t="s">
        <v>2983</v>
      </c>
      <c r="H1253" s="34" t="s">
        <v>55</v>
      </c>
      <c r="I1253" s="34" t="s">
        <v>55</v>
      </c>
      <c r="J1253" s="34" t="s">
        <v>58</v>
      </c>
      <c r="K1253" s="34" t="s">
        <v>229</v>
      </c>
      <c r="L1253" s="34" t="s">
        <v>230</v>
      </c>
      <c r="M1253" s="34" t="s">
        <v>344</v>
      </c>
      <c r="N1253" s="34" t="str">
        <f aca="false">"Sector "&amp;VALUE(MID(D1253,13,2))</f>
        <v>Sector 5</v>
      </c>
      <c r="O1253" s="34" t="str">
        <f aca="false">IF(Dashboard!$C$5="Ubicación técnica",N1253,"Sector "&amp;VALUE(RIGHT(G1253,2)))</f>
        <v>Sector 5</v>
      </c>
      <c r="P1253" s="34" t="str">
        <f aca="false">IF(MID(D1253,15,3)="SEL","Subestación eléctrica","Área de proceso")</f>
        <v>Subestación eléctrica</v>
      </c>
      <c r="Q1253" s="34" t="str">
        <f aca="false">MID(D1253,13,5)&amp;"|"&amp;MID(D1253,19,5)</f>
        <v>05SEL|S_003</v>
      </c>
      <c r="R1253" s="34" t="str">
        <f aca="false">IF(P1253="Subestación eléctrica",IFERROR(INDEX(cat_SubN,MATCH(Q1253,cat_SubK,0)),"SIN CATALOGAR"),"ÁREA DE PROCESO")</f>
        <v>SE-03</v>
      </c>
      <c r="S1253" s="34" t="str">
        <f aca="false">IF(H1253="","SIN DATO",IFERROR(INDEX(cat_MarcaN,MATCH(H1253,cat_MarcaO,0)),H1253))</f>
        <v>SEL</v>
      </c>
      <c r="T1253" s="34" t="str">
        <f aca="false">IF(I1253="","SIN DATO",IFERROR(INDEX(cat_ModN,MATCH(I1253,cat_ModO,0)),I1253))</f>
        <v>SEL</v>
      </c>
      <c r="U1253" s="34" t="str">
        <f aca="false">IF(I1253="","",IFERROR(INDEX(cat_ModG,MATCH(I1253,cat_ModO,0)),"No"))</f>
        <v>Sí</v>
      </c>
      <c r="V1253" s="34" t="str">
        <f aca="false">IF(J1253="","SIN DATO",IFERROR(INDEX(cat_FunN,MATCH(J1253,cat_FunO,0)),J1253))</f>
        <v>Medición</v>
      </c>
      <c r="W1253" s="34" t="str">
        <f aca="false">IF(OR(S1253="SIN DATO",T1253="SIN DATO"),"No","Sí")</f>
        <v>Sí</v>
      </c>
    </row>
    <row r="1254" customFormat="false" ht="15" hidden="false" customHeight="false" outlineLevel="0" collapsed="false">
      <c r="A1254" s="34" t="s">
        <v>4655</v>
      </c>
      <c r="B1254" s="34" t="s">
        <v>4656</v>
      </c>
      <c r="C1254" s="34" t="s">
        <v>4657</v>
      </c>
      <c r="D1254" s="34" t="s">
        <v>4658</v>
      </c>
      <c r="E1254" s="34" t="s">
        <v>128</v>
      </c>
      <c r="F1254" s="34" t="s">
        <v>1602</v>
      </c>
      <c r="G1254" s="34" t="s">
        <v>2983</v>
      </c>
      <c r="H1254" s="34" t="s">
        <v>55</v>
      </c>
      <c r="I1254" s="34" t="s">
        <v>55</v>
      </c>
      <c r="J1254" s="34" t="s">
        <v>58</v>
      </c>
      <c r="K1254" s="34" t="s">
        <v>229</v>
      </c>
      <c r="L1254" s="34" t="s">
        <v>230</v>
      </c>
      <c r="M1254" s="34" t="s">
        <v>344</v>
      </c>
      <c r="N1254" s="34" t="str">
        <f aca="false">"Sector "&amp;VALUE(MID(D1254,13,2))</f>
        <v>Sector 5</v>
      </c>
      <c r="O1254" s="34" t="str">
        <f aca="false">IF(Dashboard!$C$5="Ubicación técnica",N1254,"Sector "&amp;VALUE(RIGHT(G1254,2)))</f>
        <v>Sector 5</v>
      </c>
      <c r="P1254" s="34" t="str">
        <f aca="false">IF(MID(D1254,15,3)="SEL","Subestación eléctrica","Área de proceso")</f>
        <v>Subestación eléctrica</v>
      </c>
      <c r="Q1254" s="34" t="str">
        <f aca="false">MID(D1254,13,5)&amp;"|"&amp;MID(D1254,19,5)</f>
        <v>05SEL|S_003</v>
      </c>
      <c r="R1254" s="34" t="str">
        <f aca="false">IF(P1254="Subestación eléctrica",IFERROR(INDEX(cat_SubN,MATCH(Q1254,cat_SubK,0)),"SIN CATALOGAR"),"ÁREA DE PROCESO")</f>
        <v>SE-03</v>
      </c>
      <c r="S1254" s="34" t="str">
        <f aca="false">IF(H1254="","SIN DATO",IFERROR(INDEX(cat_MarcaN,MATCH(H1254,cat_MarcaO,0)),H1254))</f>
        <v>SEL</v>
      </c>
      <c r="T1254" s="34" t="str">
        <f aca="false">IF(I1254="","SIN DATO",IFERROR(INDEX(cat_ModN,MATCH(I1254,cat_ModO,0)),I1254))</f>
        <v>SEL</v>
      </c>
      <c r="U1254" s="34" t="str">
        <f aca="false">IF(I1254="","",IFERROR(INDEX(cat_ModG,MATCH(I1254,cat_ModO,0)),"No"))</f>
        <v>Sí</v>
      </c>
      <c r="V1254" s="34" t="str">
        <f aca="false">IF(J1254="","SIN DATO",IFERROR(INDEX(cat_FunN,MATCH(J1254,cat_FunO,0)),J1254))</f>
        <v>Medición</v>
      </c>
      <c r="W1254" s="34" t="str">
        <f aca="false">IF(OR(S1254="SIN DATO",T1254="SIN DATO"),"No","Sí")</f>
        <v>Sí</v>
      </c>
    </row>
    <row r="1255" customFormat="false" ht="15" hidden="false" customHeight="false" outlineLevel="0" collapsed="false">
      <c r="A1255" s="34" t="s">
        <v>4659</v>
      </c>
      <c r="B1255" s="34" t="s">
        <v>4660</v>
      </c>
      <c r="C1255" s="34" t="s">
        <v>4661</v>
      </c>
      <c r="D1255" s="34" t="s">
        <v>4662</v>
      </c>
      <c r="E1255" s="34" t="s">
        <v>128</v>
      </c>
      <c r="F1255" s="34" t="s">
        <v>1602</v>
      </c>
      <c r="G1255" s="34" t="s">
        <v>2983</v>
      </c>
      <c r="H1255" s="34" t="s">
        <v>55</v>
      </c>
      <c r="I1255" s="34" t="s">
        <v>55</v>
      </c>
      <c r="J1255" s="34" t="s">
        <v>58</v>
      </c>
      <c r="K1255" s="34" t="s">
        <v>229</v>
      </c>
      <c r="L1255" s="34" t="s">
        <v>230</v>
      </c>
      <c r="M1255" s="34" t="s">
        <v>344</v>
      </c>
      <c r="N1255" s="34" t="str">
        <f aca="false">"Sector "&amp;VALUE(MID(D1255,13,2))</f>
        <v>Sector 5</v>
      </c>
      <c r="O1255" s="34" t="str">
        <f aca="false">IF(Dashboard!$C$5="Ubicación técnica",N1255,"Sector "&amp;VALUE(RIGHT(G1255,2)))</f>
        <v>Sector 5</v>
      </c>
      <c r="P1255" s="34" t="str">
        <f aca="false">IF(MID(D1255,15,3)="SEL","Subestación eléctrica","Área de proceso")</f>
        <v>Subestación eléctrica</v>
      </c>
      <c r="Q1255" s="34" t="str">
        <f aca="false">MID(D1255,13,5)&amp;"|"&amp;MID(D1255,19,5)</f>
        <v>05SEL|S_003</v>
      </c>
      <c r="R1255" s="34" t="str">
        <f aca="false">IF(P1255="Subestación eléctrica",IFERROR(INDEX(cat_SubN,MATCH(Q1255,cat_SubK,0)),"SIN CATALOGAR"),"ÁREA DE PROCESO")</f>
        <v>SE-03</v>
      </c>
      <c r="S1255" s="34" t="str">
        <f aca="false">IF(H1255="","SIN DATO",IFERROR(INDEX(cat_MarcaN,MATCH(H1255,cat_MarcaO,0)),H1255))</f>
        <v>SEL</v>
      </c>
      <c r="T1255" s="34" t="str">
        <f aca="false">IF(I1255="","SIN DATO",IFERROR(INDEX(cat_ModN,MATCH(I1255,cat_ModO,0)),I1255))</f>
        <v>SEL</v>
      </c>
      <c r="U1255" s="34" t="str">
        <f aca="false">IF(I1255="","",IFERROR(INDEX(cat_ModG,MATCH(I1255,cat_ModO,0)),"No"))</f>
        <v>Sí</v>
      </c>
      <c r="V1255" s="34" t="str">
        <f aca="false">IF(J1255="","SIN DATO",IFERROR(INDEX(cat_FunN,MATCH(J1255,cat_FunO,0)),J1255))</f>
        <v>Medición</v>
      </c>
      <c r="W1255" s="34" t="str">
        <f aca="false">IF(OR(S1255="SIN DATO",T1255="SIN DATO"),"No","Sí")</f>
        <v>Sí</v>
      </c>
    </row>
    <row r="1256" customFormat="false" ht="15" hidden="false" customHeight="false" outlineLevel="0" collapsed="false">
      <c r="A1256" s="34" t="s">
        <v>4663</v>
      </c>
      <c r="B1256" s="34" t="s">
        <v>4664</v>
      </c>
      <c r="C1256" s="34" t="s">
        <v>4665</v>
      </c>
      <c r="D1256" s="34" t="s">
        <v>4666</v>
      </c>
      <c r="E1256" s="34" t="s">
        <v>128</v>
      </c>
      <c r="F1256" s="34" t="s">
        <v>1602</v>
      </c>
      <c r="G1256" s="34" t="s">
        <v>2983</v>
      </c>
      <c r="H1256" s="34" t="s">
        <v>55</v>
      </c>
      <c r="I1256" s="34" t="s">
        <v>55</v>
      </c>
      <c r="J1256" s="34" t="s">
        <v>58</v>
      </c>
      <c r="K1256" s="34" t="s">
        <v>229</v>
      </c>
      <c r="L1256" s="34" t="s">
        <v>230</v>
      </c>
      <c r="M1256" s="34" t="s">
        <v>344</v>
      </c>
      <c r="N1256" s="34" t="str">
        <f aca="false">"Sector "&amp;VALUE(MID(D1256,13,2))</f>
        <v>Sector 5</v>
      </c>
      <c r="O1256" s="34" t="str">
        <f aca="false">IF(Dashboard!$C$5="Ubicación técnica",N1256,"Sector "&amp;VALUE(RIGHT(G1256,2)))</f>
        <v>Sector 5</v>
      </c>
      <c r="P1256" s="34" t="str">
        <f aca="false">IF(MID(D1256,15,3)="SEL","Subestación eléctrica","Área de proceso")</f>
        <v>Subestación eléctrica</v>
      </c>
      <c r="Q1256" s="34" t="str">
        <f aca="false">MID(D1256,13,5)&amp;"|"&amp;MID(D1256,19,5)</f>
        <v>05SEL|S_003</v>
      </c>
      <c r="R1256" s="34" t="str">
        <f aca="false">IF(P1256="Subestación eléctrica",IFERROR(INDEX(cat_SubN,MATCH(Q1256,cat_SubK,0)),"SIN CATALOGAR"),"ÁREA DE PROCESO")</f>
        <v>SE-03</v>
      </c>
      <c r="S1256" s="34" t="str">
        <f aca="false">IF(H1256="","SIN DATO",IFERROR(INDEX(cat_MarcaN,MATCH(H1256,cat_MarcaO,0)),H1256))</f>
        <v>SEL</v>
      </c>
      <c r="T1256" s="34" t="str">
        <f aca="false">IF(I1256="","SIN DATO",IFERROR(INDEX(cat_ModN,MATCH(I1256,cat_ModO,0)),I1256))</f>
        <v>SEL</v>
      </c>
      <c r="U1256" s="34" t="str">
        <f aca="false">IF(I1256="","",IFERROR(INDEX(cat_ModG,MATCH(I1256,cat_ModO,0)),"No"))</f>
        <v>Sí</v>
      </c>
      <c r="V1256" s="34" t="str">
        <f aca="false">IF(J1256="","SIN DATO",IFERROR(INDEX(cat_FunN,MATCH(J1256,cat_FunO,0)),J1256))</f>
        <v>Medición</v>
      </c>
      <c r="W1256" s="34" t="str">
        <f aca="false">IF(OR(S1256="SIN DATO",T1256="SIN DATO"),"No","Sí")</f>
        <v>Sí</v>
      </c>
    </row>
    <row r="1257" customFormat="false" ht="15" hidden="false" customHeight="false" outlineLevel="0" collapsed="false">
      <c r="A1257" s="34" t="s">
        <v>4667</v>
      </c>
      <c r="B1257" s="34" t="s">
        <v>4668</v>
      </c>
      <c r="C1257" s="34" t="s">
        <v>4669</v>
      </c>
      <c r="D1257" s="34" t="s">
        <v>4670</v>
      </c>
      <c r="E1257" s="34" t="s">
        <v>128</v>
      </c>
      <c r="F1257" s="34" t="s">
        <v>1602</v>
      </c>
      <c r="G1257" s="34" t="s">
        <v>2983</v>
      </c>
      <c r="H1257" s="34" t="s">
        <v>55</v>
      </c>
      <c r="I1257" s="34" t="s">
        <v>55</v>
      </c>
      <c r="J1257" s="34" t="s">
        <v>58</v>
      </c>
      <c r="K1257" s="34" t="s">
        <v>229</v>
      </c>
      <c r="L1257" s="34" t="s">
        <v>230</v>
      </c>
      <c r="M1257" s="34" t="s">
        <v>344</v>
      </c>
      <c r="N1257" s="34" t="str">
        <f aca="false">"Sector "&amp;VALUE(MID(D1257,13,2))</f>
        <v>Sector 5</v>
      </c>
      <c r="O1257" s="34" t="str">
        <f aca="false">IF(Dashboard!$C$5="Ubicación técnica",N1257,"Sector "&amp;VALUE(RIGHT(G1257,2)))</f>
        <v>Sector 5</v>
      </c>
      <c r="P1257" s="34" t="str">
        <f aca="false">IF(MID(D1257,15,3)="SEL","Subestación eléctrica","Área de proceso")</f>
        <v>Subestación eléctrica</v>
      </c>
      <c r="Q1257" s="34" t="str">
        <f aca="false">MID(D1257,13,5)&amp;"|"&amp;MID(D1257,19,5)</f>
        <v>05SEL|S_003</v>
      </c>
      <c r="R1257" s="34" t="str">
        <f aca="false">IF(P1257="Subestación eléctrica",IFERROR(INDEX(cat_SubN,MATCH(Q1257,cat_SubK,0)),"SIN CATALOGAR"),"ÁREA DE PROCESO")</f>
        <v>SE-03</v>
      </c>
      <c r="S1257" s="34" t="str">
        <f aca="false">IF(H1257="","SIN DATO",IFERROR(INDEX(cat_MarcaN,MATCH(H1257,cat_MarcaO,0)),H1257))</f>
        <v>SEL</v>
      </c>
      <c r="T1257" s="34" t="str">
        <f aca="false">IF(I1257="","SIN DATO",IFERROR(INDEX(cat_ModN,MATCH(I1257,cat_ModO,0)),I1257))</f>
        <v>SEL</v>
      </c>
      <c r="U1257" s="34" t="str">
        <f aca="false">IF(I1257="","",IFERROR(INDEX(cat_ModG,MATCH(I1257,cat_ModO,0)),"No"))</f>
        <v>Sí</v>
      </c>
      <c r="V1257" s="34" t="str">
        <f aca="false">IF(J1257="","SIN DATO",IFERROR(INDEX(cat_FunN,MATCH(J1257,cat_FunO,0)),J1257))</f>
        <v>Medición</v>
      </c>
      <c r="W1257" s="34" t="str">
        <f aca="false">IF(OR(S1257="SIN DATO",T1257="SIN DATO"),"No","Sí")</f>
        <v>Sí</v>
      </c>
    </row>
    <row r="1258" customFormat="false" ht="15" hidden="false" customHeight="false" outlineLevel="0" collapsed="false">
      <c r="A1258" s="34" t="s">
        <v>4671</v>
      </c>
      <c r="B1258" s="34" t="s">
        <v>4672</v>
      </c>
      <c r="C1258" s="34" t="s">
        <v>4673</v>
      </c>
      <c r="D1258" s="34" t="s">
        <v>4674</v>
      </c>
      <c r="E1258" s="34" t="s">
        <v>128</v>
      </c>
      <c r="F1258" s="34" t="s">
        <v>1602</v>
      </c>
      <c r="G1258" s="34" t="s">
        <v>2983</v>
      </c>
      <c r="H1258" s="34" t="s">
        <v>55</v>
      </c>
      <c r="I1258" s="34" t="s">
        <v>55</v>
      </c>
      <c r="J1258" s="34" t="s">
        <v>58</v>
      </c>
      <c r="K1258" s="34" t="s">
        <v>229</v>
      </c>
      <c r="L1258" s="34" t="s">
        <v>230</v>
      </c>
      <c r="M1258" s="34" t="s">
        <v>344</v>
      </c>
      <c r="N1258" s="34" t="str">
        <f aca="false">"Sector "&amp;VALUE(MID(D1258,13,2))</f>
        <v>Sector 5</v>
      </c>
      <c r="O1258" s="34" t="str">
        <f aca="false">IF(Dashboard!$C$5="Ubicación técnica",N1258,"Sector "&amp;VALUE(RIGHT(G1258,2)))</f>
        <v>Sector 5</v>
      </c>
      <c r="P1258" s="34" t="str">
        <f aca="false">IF(MID(D1258,15,3)="SEL","Subestación eléctrica","Área de proceso")</f>
        <v>Subestación eléctrica</v>
      </c>
      <c r="Q1258" s="34" t="str">
        <f aca="false">MID(D1258,13,5)&amp;"|"&amp;MID(D1258,19,5)</f>
        <v>05SEL|S_003</v>
      </c>
      <c r="R1258" s="34" t="str">
        <f aca="false">IF(P1258="Subestación eléctrica",IFERROR(INDEX(cat_SubN,MATCH(Q1258,cat_SubK,0)),"SIN CATALOGAR"),"ÁREA DE PROCESO")</f>
        <v>SE-03</v>
      </c>
      <c r="S1258" s="34" t="str">
        <f aca="false">IF(H1258="","SIN DATO",IFERROR(INDEX(cat_MarcaN,MATCH(H1258,cat_MarcaO,0)),H1258))</f>
        <v>SEL</v>
      </c>
      <c r="T1258" s="34" t="str">
        <f aca="false">IF(I1258="","SIN DATO",IFERROR(INDEX(cat_ModN,MATCH(I1258,cat_ModO,0)),I1258))</f>
        <v>SEL</v>
      </c>
      <c r="U1258" s="34" t="str">
        <f aca="false">IF(I1258="","",IFERROR(INDEX(cat_ModG,MATCH(I1258,cat_ModO,0)),"No"))</f>
        <v>Sí</v>
      </c>
      <c r="V1258" s="34" t="str">
        <f aca="false">IF(J1258="","SIN DATO",IFERROR(INDEX(cat_FunN,MATCH(J1258,cat_FunO,0)),J1258))</f>
        <v>Medición</v>
      </c>
      <c r="W1258" s="34" t="str">
        <f aca="false">IF(OR(S1258="SIN DATO",T1258="SIN DATO"),"No","Sí")</f>
        <v>Sí</v>
      </c>
    </row>
    <row r="1259" customFormat="false" ht="15" hidden="false" customHeight="false" outlineLevel="0" collapsed="false">
      <c r="A1259" s="34" t="s">
        <v>4675</v>
      </c>
      <c r="B1259" s="34" t="s">
        <v>4676</v>
      </c>
      <c r="C1259" s="34" t="s">
        <v>4677</v>
      </c>
      <c r="D1259" s="34" t="s">
        <v>4678</v>
      </c>
      <c r="E1259" s="34" t="s">
        <v>128</v>
      </c>
      <c r="F1259" s="34" t="s">
        <v>1602</v>
      </c>
      <c r="G1259" s="34" t="s">
        <v>2983</v>
      </c>
      <c r="H1259" s="34" t="s">
        <v>55</v>
      </c>
      <c r="I1259" s="34" t="s">
        <v>55</v>
      </c>
      <c r="J1259" s="34" t="s">
        <v>58</v>
      </c>
      <c r="K1259" s="34" t="s">
        <v>229</v>
      </c>
      <c r="L1259" s="34" t="s">
        <v>230</v>
      </c>
      <c r="M1259" s="34" t="s">
        <v>344</v>
      </c>
      <c r="N1259" s="34" t="str">
        <f aca="false">"Sector "&amp;VALUE(MID(D1259,13,2))</f>
        <v>Sector 5</v>
      </c>
      <c r="O1259" s="34" t="str">
        <f aca="false">IF(Dashboard!$C$5="Ubicación técnica",N1259,"Sector "&amp;VALUE(RIGHT(G1259,2)))</f>
        <v>Sector 5</v>
      </c>
      <c r="P1259" s="34" t="str">
        <f aca="false">IF(MID(D1259,15,3)="SEL","Subestación eléctrica","Área de proceso")</f>
        <v>Subestación eléctrica</v>
      </c>
      <c r="Q1259" s="34" t="str">
        <f aca="false">MID(D1259,13,5)&amp;"|"&amp;MID(D1259,19,5)</f>
        <v>05SEL|S_003</v>
      </c>
      <c r="R1259" s="34" t="str">
        <f aca="false">IF(P1259="Subestación eléctrica",IFERROR(INDEX(cat_SubN,MATCH(Q1259,cat_SubK,0)),"SIN CATALOGAR"),"ÁREA DE PROCESO")</f>
        <v>SE-03</v>
      </c>
      <c r="S1259" s="34" t="str">
        <f aca="false">IF(H1259="","SIN DATO",IFERROR(INDEX(cat_MarcaN,MATCH(H1259,cat_MarcaO,0)),H1259))</f>
        <v>SEL</v>
      </c>
      <c r="T1259" s="34" t="str">
        <f aca="false">IF(I1259="","SIN DATO",IFERROR(INDEX(cat_ModN,MATCH(I1259,cat_ModO,0)),I1259))</f>
        <v>SEL</v>
      </c>
      <c r="U1259" s="34" t="str">
        <f aca="false">IF(I1259="","",IFERROR(INDEX(cat_ModG,MATCH(I1259,cat_ModO,0)),"No"))</f>
        <v>Sí</v>
      </c>
      <c r="V1259" s="34" t="str">
        <f aca="false">IF(J1259="","SIN DATO",IFERROR(INDEX(cat_FunN,MATCH(J1259,cat_FunO,0)),J1259))</f>
        <v>Medición</v>
      </c>
      <c r="W1259" s="34" t="str">
        <f aca="false">IF(OR(S1259="SIN DATO",T1259="SIN DATO"),"No","Sí")</f>
        <v>Sí</v>
      </c>
    </row>
    <row r="1260" customFormat="false" ht="15" hidden="false" customHeight="false" outlineLevel="0" collapsed="false">
      <c r="A1260" s="34" t="s">
        <v>4679</v>
      </c>
      <c r="B1260" s="34" t="s">
        <v>4680</v>
      </c>
      <c r="C1260" s="34" t="s">
        <v>4681</v>
      </c>
      <c r="D1260" s="34" t="s">
        <v>4658</v>
      </c>
      <c r="E1260" s="34" t="s">
        <v>128</v>
      </c>
      <c r="F1260" s="34" t="s">
        <v>1602</v>
      </c>
      <c r="G1260" s="34" t="s">
        <v>2983</v>
      </c>
      <c r="H1260" s="34" t="s">
        <v>55</v>
      </c>
      <c r="I1260" s="34" t="s">
        <v>55</v>
      </c>
      <c r="J1260" s="34" t="s">
        <v>58</v>
      </c>
      <c r="K1260" s="34" t="s">
        <v>229</v>
      </c>
      <c r="L1260" s="34" t="s">
        <v>230</v>
      </c>
      <c r="M1260" s="34" t="s">
        <v>344</v>
      </c>
      <c r="N1260" s="34" t="str">
        <f aca="false">"Sector "&amp;VALUE(MID(D1260,13,2))</f>
        <v>Sector 5</v>
      </c>
      <c r="O1260" s="34" t="str">
        <f aca="false">IF(Dashboard!$C$5="Ubicación técnica",N1260,"Sector "&amp;VALUE(RIGHT(G1260,2)))</f>
        <v>Sector 5</v>
      </c>
      <c r="P1260" s="34" t="str">
        <f aca="false">IF(MID(D1260,15,3)="SEL","Subestación eléctrica","Área de proceso")</f>
        <v>Subestación eléctrica</v>
      </c>
      <c r="Q1260" s="34" t="str">
        <f aca="false">MID(D1260,13,5)&amp;"|"&amp;MID(D1260,19,5)</f>
        <v>05SEL|S_003</v>
      </c>
      <c r="R1260" s="34" t="str">
        <f aca="false">IF(P1260="Subestación eléctrica",IFERROR(INDEX(cat_SubN,MATCH(Q1260,cat_SubK,0)),"SIN CATALOGAR"),"ÁREA DE PROCESO")</f>
        <v>SE-03</v>
      </c>
      <c r="S1260" s="34" t="str">
        <f aca="false">IF(H1260="","SIN DATO",IFERROR(INDEX(cat_MarcaN,MATCH(H1260,cat_MarcaO,0)),H1260))</f>
        <v>SEL</v>
      </c>
      <c r="T1260" s="34" t="str">
        <f aca="false">IF(I1260="","SIN DATO",IFERROR(INDEX(cat_ModN,MATCH(I1260,cat_ModO,0)),I1260))</f>
        <v>SEL</v>
      </c>
      <c r="U1260" s="34" t="str">
        <f aca="false">IF(I1260="","",IFERROR(INDEX(cat_ModG,MATCH(I1260,cat_ModO,0)),"No"))</f>
        <v>Sí</v>
      </c>
      <c r="V1260" s="34" t="str">
        <f aca="false">IF(J1260="","SIN DATO",IFERROR(INDEX(cat_FunN,MATCH(J1260,cat_FunO,0)),J1260))</f>
        <v>Medición</v>
      </c>
      <c r="W1260" s="34" t="str">
        <f aca="false">IF(OR(S1260="SIN DATO",T1260="SIN DATO"),"No","Sí")</f>
        <v>Sí</v>
      </c>
    </row>
    <row r="1261" customFormat="false" ht="15" hidden="false" customHeight="false" outlineLevel="0" collapsed="false">
      <c r="A1261" s="34" t="s">
        <v>4682</v>
      </c>
      <c r="B1261" s="34" t="s">
        <v>4683</v>
      </c>
      <c r="C1261" s="34" t="s">
        <v>4684</v>
      </c>
      <c r="D1261" s="34" t="s">
        <v>4662</v>
      </c>
      <c r="E1261" s="34" t="s">
        <v>128</v>
      </c>
      <c r="F1261" s="34" t="s">
        <v>1602</v>
      </c>
      <c r="G1261" s="34" t="s">
        <v>2983</v>
      </c>
      <c r="H1261" s="34" t="s">
        <v>55</v>
      </c>
      <c r="I1261" s="34" t="s">
        <v>55</v>
      </c>
      <c r="J1261" s="34" t="s">
        <v>58</v>
      </c>
      <c r="K1261" s="34" t="s">
        <v>229</v>
      </c>
      <c r="L1261" s="34" t="s">
        <v>230</v>
      </c>
      <c r="M1261" s="34" t="s">
        <v>344</v>
      </c>
      <c r="N1261" s="34" t="str">
        <f aca="false">"Sector "&amp;VALUE(MID(D1261,13,2))</f>
        <v>Sector 5</v>
      </c>
      <c r="O1261" s="34" t="str">
        <f aca="false">IF(Dashboard!$C$5="Ubicación técnica",N1261,"Sector "&amp;VALUE(RIGHT(G1261,2)))</f>
        <v>Sector 5</v>
      </c>
      <c r="P1261" s="34" t="str">
        <f aca="false">IF(MID(D1261,15,3)="SEL","Subestación eléctrica","Área de proceso")</f>
        <v>Subestación eléctrica</v>
      </c>
      <c r="Q1261" s="34" t="str">
        <f aca="false">MID(D1261,13,5)&amp;"|"&amp;MID(D1261,19,5)</f>
        <v>05SEL|S_003</v>
      </c>
      <c r="R1261" s="34" t="str">
        <f aca="false">IF(P1261="Subestación eléctrica",IFERROR(INDEX(cat_SubN,MATCH(Q1261,cat_SubK,0)),"SIN CATALOGAR"),"ÁREA DE PROCESO")</f>
        <v>SE-03</v>
      </c>
      <c r="S1261" s="34" t="str">
        <f aca="false">IF(H1261="","SIN DATO",IFERROR(INDEX(cat_MarcaN,MATCH(H1261,cat_MarcaO,0)),H1261))</f>
        <v>SEL</v>
      </c>
      <c r="T1261" s="34" t="str">
        <f aca="false">IF(I1261="","SIN DATO",IFERROR(INDEX(cat_ModN,MATCH(I1261,cat_ModO,0)),I1261))</f>
        <v>SEL</v>
      </c>
      <c r="U1261" s="34" t="str">
        <f aca="false">IF(I1261="","",IFERROR(INDEX(cat_ModG,MATCH(I1261,cat_ModO,0)),"No"))</f>
        <v>Sí</v>
      </c>
      <c r="V1261" s="34" t="str">
        <f aca="false">IF(J1261="","SIN DATO",IFERROR(INDEX(cat_FunN,MATCH(J1261,cat_FunO,0)),J1261))</f>
        <v>Medición</v>
      </c>
      <c r="W1261" s="34" t="str">
        <f aca="false">IF(OR(S1261="SIN DATO",T1261="SIN DATO"),"No","Sí")</f>
        <v>Sí</v>
      </c>
    </row>
    <row r="1262" customFormat="false" ht="15" hidden="false" customHeight="false" outlineLevel="0" collapsed="false">
      <c r="A1262" s="34" t="s">
        <v>4685</v>
      </c>
      <c r="B1262" s="34" t="s">
        <v>4686</v>
      </c>
      <c r="C1262" s="34" t="s">
        <v>4687</v>
      </c>
      <c r="D1262" s="34" t="s">
        <v>4666</v>
      </c>
      <c r="E1262" s="34" t="s">
        <v>128</v>
      </c>
      <c r="F1262" s="34" t="s">
        <v>1602</v>
      </c>
      <c r="G1262" s="34" t="s">
        <v>2983</v>
      </c>
      <c r="H1262" s="34" t="s">
        <v>55</v>
      </c>
      <c r="I1262" s="34" t="s">
        <v>55</v>
      </c>
      <c r="J1262" s="34" t="s">
        <v>58</v>
      </c>
      <c r="K1262" s="34" t="s">
        <v>229</v>
      </c>
      <c r="L1262" s="34" t="s">
        <v>230</v>
      </c>
      <c r="M1262" s="34" t="s">
        <v>344</v>
      </c>
      <c r="N1262" s="34" t="str">
        <f aca="false">"Sector "&amp;VALUE(MID(D1262,13,2))</f>
        <v>Sector 5</v>
      </c>
      <c r="O1262" s="34" t="str">
        <f aca="false">IF(Dashboard!$C$5="Ubicación técnica",N1262,"Sector "&amp;VALUE(RIGHT(G1262,2)))</f>
        <v>Sector 5</v>
      </c>
      <c r="P1262" s="34" t="str">
        <f aca="false">IF(MID(D1262,15,3)="SEL","Subestación eléctrica","Área de proceso")</f>
        <v>Subestación eléctrica</v>
      </c>
      <c r="Q1262" s="34" t="str">
        <f aca="false">MID(D1262,13,5)&amp;"|"&amp;MID(D1262,19,5)</f>
        <v>05SEL|S_003</v>
      </c>
      <c r="R1262" s="34" t="str">
        <f aca="false">IF(P1262="Subestación eléctrica",IFERROR(INDEX(cat_SubN,MATCH(Q1262,cat_SubK,0)),"SIN CATALOGAR"),"ÁREA DE PROCESO")</f>
        <v>SE-03</v>
      </c>
      <c r="S1262" s="34" t="str">
        <f aca="false">IF(H1262="","SIN DATO",IFERROR(INDEX(cat_MarcaN,MATCH(H1262,cat_MarcaO,0)),H1262))</f>
        <v>SEL</v>
      </c>
      <c r="T1262" s="34" t="str">
        <f aca="false">IF(I1262="","SIN DATO",IFERROR(INDEX(cat_ModN,MATCH(I1262,cat_ModO,0)),I1262))</f>
        <v>SEL</v>
      </c>
      <c r="U1262" s="34" t="str">
        <f aca="false">IF(I1262="","",IFERROR(INDEX(cat_ModG,MATCH(I1262,cat_ModO,0)),"No"))</f>
        <v>Sí</v>
      </c>
      <c r="V1262" s="34" t="str">
        <f aca="false">IF(J1262="","SIN DATO",IFERROR(INDEX(cat_FunN,MATCH(J1262,cat_FunO,0)),J1262))</f>
        <v>Medición</v>
      </c>
      <c r="W1262" s="34" t="str">
        <f aca="false">IF(OR(S1262="SIN DATO",T1262="SIN DATO"),"No","Sí")</f>
        <v>Sí</v>
      </c>
    </row>
    <row r="1263" customFormat="false" ht="15" hidden="false" customHeight="false" outlineLevel="0" collapsed="false">
      <c r="A1263" s="34" t="s">
        <v>4688</v>
      </c>
      <c r="B1263" s="34" t="s">
        <v>4689</v>
      </c>
      <c r="C1263" s="34" t="s">
        <v>4690</v>
      </c>
      <c r="D1263" s="34" t="s">
        <v>4670</v>
      </c>
      <c r="E1263" s="34" t="s">
        <v>128</v>
      </c>
      <c r="F1263" s="34" t="s">
        <v>1602</v>
      </c>
      <c r="G1263" s="34" t="s">
        <v>2983</v>
      </c>
      <c r="H1263" s="34" t="s">
        <v>55</v>
      </c>
      <c r="I1263" s="34" t="s">
        <v>55</v>
      </c>
      <c r="J1263" s="34" t="s">
        <v>58</v>
      </c>
      <c r="K1263" s="34" t="s">
        <v>229</v>
      </c>
      <c r="L1263" s="34" t="s">
        <v>230</v>
      </c>
      <c r="M1263" s="34" t="s">
        <v>344</v>
      </c>
      <c r="N1263" s="34" t="str">
        <f aca="false">"Sector "&amp;VALUE(MID(D1263,13,2))</f>
        <v>Sector 5</v>
      </c>
      <c r="O1263" s="34" t="str">
        <f aca="false">IF(Dashboard!$C$5="Ubicación técnica",N1263,"Sector "&amp;VALUE(RIGHT(G1263,2)))</f>
        <v>Sector 5</v>
      </c>
      <c r="P1263" s="34" t="str">
        <f aca="false">IF(MID(D1263,15,3)="SEL","Subestación eléctrica","Área de proceso")</f>
        <v>Subestación eléctrica</v>
      </c>
      <c r="Q1263" s="34" t="str">
        <f aca="false">MID(D1263,13,5)&amp;"|"&amp;MID(D1263,19,5)</f>
        <v>05SEL|S_003</v>
      </c>
      <c r="R1263" s="34" t="str">
        <f aca="false">IF(P1263="Subestación eléctrica",IFERROR(INDEX(cat_SubN,MATCH(Q1263,cat_SubK,0)),"SIN CATALOGAR"),"ÁREA DE PROCESO")</f>
        <v>SE-03</v>
      </c>
      <c r="S1263" s="34" t="str">
        <f aca="false">IF(H1263="","SIN DATO",IFERROR(INDEX(cat_MarcaN,MATCH(H1263,cat_MarcaO,0)),H1263))</f>
        <v>SEL</v>
      </c>
      <c r="T1263" s="34" t="str">
        <f aca="false">IF(I1263="","SIN DATO",IFERROR(INDEX(cat_ModN,MATCH(I1263,cat_ModO,0)),I1263))</f>
        <v>SEL</v>
      </c>
      <c r="U1263" s="34" t="str">
        <f aca="false">IF(I1263="","",IFERROR(INDEX(cat_ModG,MATCH(I1263,cat_ModO,0)),"No"))</f>
        <v>Sí</v>
      </c>
      <c r="V1263" s="34" t="str">
        <f aca="false">IF(J1263="","SIN DATO",IFERROR(INDEX(cat_FunN,MATCH(J1263,cat_FunO,0)),J1263))</f>
        <v>Medición</v>
      </c>
      <c r="W1263" s="34" t="str">
        <f aca="false">IF(OR(S1263="SIN DATO",T1263="SIN DATO"),"No","Sí")</f>
        <v>Sí</v>
      </c>
    </row>
    <row r="1264" customFormat="false" ht="15" hidden="false" customHeight="false" outlineLevel="0" collapsed="false">
      <c r="A1264" s="34" t="s">
        <v>4691</v>
      </c>
      <c r="B1264" s="34" t="s">
        <v>4692</v>
      </c>
      <c r="C1264" s="34" t="s">
        <v>4693</v>
      </c>
      <c r="D1264" s="34" t="s">
        <v>4694</v>
      </c>
      <c r="E1264" s="34" t="s">
        <v>130</v>
      </c>
      <c r="F1264" s="34" t="s">
        <v>1602</v>
      </c>
      <c r="G1264" s="34" t="s">
        <v>2983</v>
      </c>
      <c r="H1264" s="34" t="s">
        <v>61</v>
      </c>
      <c r="I1264" s="34" t="s">
        <v>63</v>
      </c>
      <c r="J1264" s="34" t="s">
        <v>681</v>
      </c>
      <c r="K1264" s="34" t="s">
        <v>229</v>
      </c>
      <c r="L1264" s="34" t="s">
        <v>3198</v>
      </c>
      <c r="M1264" s="34" t="s">
        <v>4510</v>
      </c>
      <c r="N1264" s="34" t="str">
        <f aca="false">"Sector "&amp;VALUE(MID(D1264,13,2))</f>
        <v>Sector 5</v>
      </c>
      <c r="O1264" s="34" t="str">
        <f aca="false">IF(Dashboard!$C$5="Ubicación técnica",N1264,"Sector "&amp;VALUE(RIGHT(G1264,2)))</f>
        <v>Sector 5</v>
      </c>
      <c r="P1264" s="34" t="str">
        <f aca="false">IF(MID(D1264,15,3)="SEL","Subestación eléctrica","Área de proceso")</f>
        <v>Subestación eléctrica</v>
      </c>
      <c r="Q1264" s="34" t="str">
        <f aca="false">MID(D1264,13,5)&amp;"|"&amp;MID(D1264,19,5)</f>
        <v>05SEL|S_004</v>
      </c>
      <c r="R1264" s="34" t="str">
        <f aca="false">IF(P1264="Subestación eléctrica",IFERROR(INDEX(cat_SubN,MATCH(Q1264,cat_SubK,0)),"SIN CATALOGAR"),"ÁREA DE PROCESO")</f>
        <v>SE-04</v>
      </c>
      <c r="S1264" s="34" t="str">
        <f aca="false">IF(H1264="","SIN DATO",IFERROR(INDEX(cat_MarcaN,MATCH(H1264,cat_MarcaO,0)),H1264))</f>
        <v>GENERAL ELECTRIC</v>
      </c>
      <c r="T1264" s="34" t="str">
        <f aca="false">IF(I1264="","SIN DATO",IFERROR(INDEX(cat_ModN,MATCH(I1264,cat_ModO,0)),I1264))</f>
        <v>MULTILIN</v>
      </c>
      <c r="U1264" s="34" t="str">
        <f aca="false">IF(I1264="","",IFERROR(INDEX(cat_ModG,MATCH(I1264,cat_ModO,0)),"No"))</f>
        <v>Sí</v>
      </c>
      <c r="V1264" s="34" t="str">
        <f aca="false">IF(J1264="","SIN DATO",IFERROR(INDEX(cat_FunN,MATCH(J1264,cat_FunO,0)),J1264))</f>
        <v>Protección</v>
      </c>
      <c r="W1264" s="34" t="str">
        <f aca="false">IF(OR(S1264="SIN DATO",T1264="SIN DATO"),"No","Sí")</f>
        <v>Sí</v>
      </c>
    </row>
    <row r="1265" customFormat="false" ht="15" hidden="false" customHeight="false" outlineLevel="0" collapsed="false">
      <c r="A1265" s="34" t="s">
        <v>4695</v>
      </c>
      <c r="B1265" s="34" t="s">
        <v>4696</v>
      </c>
      <c r="C1265" s="34" t="s">
        <v>4697</v>
      </c>
      <c r="D1265" s="34" t="s">
        <v>4698</v>
      </c>
      <c r="E1265" s="34" t="s">
        <v>130</v>
      </c>
      <c r="F1265" s="34" t="s">
        <v>1602</v>
      </c>
      <c r="G1265" s="34" t="s">
        <v>2983</v>
      </c>
      <c r="H1265" s="34" t="s">
        <v>61</v>
      </c>
      <c r="I1265" s="34" t="s">
        <v>63</v>
      </c>
      <c r="J1265" s="34" t="s">
        <v>681</v>
      </c>
      <c r="K1265" s="34" t="s">
        <v>229</v>
      </c>
      <c r="L1265" s="34" t="s">
        <v>3198</v>
      </c>
      <c r="M1265" s="34" t="s">
        <v>4510</v>
      </c>
      <c r="N1265" s="34" t="str">
        <f aca="false">"Sector "&amp;VALUE(MID(D1265,13,2))</f>
        <v>Sector 5</v>
      </c>
      <c r="O1265" s="34" t="str">
        <f aca="false">IF(Dashboard!$C$5="Ubicación técnica",N1265,"Sector "&amp;VALUE(RIGHT(G1265,2)))</f>
        <v>Sector 5</v>
      </c>
      <c r="P1265" s="34" t="str">
        <f aca="false">IF(MID(D1265,15,3)="SEL","Subestación eléctrica","Área de proceso")</f>
        <v>Subestación eléctrica</v>
      </c>
      <c r="Q1265" s="34" t="str">
        <f aca="false">MID(D1265,13,5)&amp;"|"&amp;MID(D1265,19,5)</f>
        <v>05SEL|S_004</v>
      </c>
      <c r="R1265" s="34" t="str">
        <f aca="false">IF(P1265="Subestación eléctrica",IFERROR(INDEX(cat_SubN,MATCH(Q1265,cat_SubK,0)),"SIN CATALOGAR"),"ÁREA DE PROCESO")</f>
        <v>SE-04</v>
      </c>
      <c r="S1265" s="34" t="str">
        <f aca="false">IF(H1265="","SIN DATO",IFERROR(INDEX(cat_MarcaN,MATCH(H1265,cat_MarcaO,0)),H1265))</f>
        <v>GENERAL ELECTRIC</v>
      </c>
      <c r="T1265" s="34" t="str">
        <f aca="false">IF(I1265="","SIN DATO",IFERROR(INDEX(cat_ModN,MATCH(I1265,cat_ModO,0)),I1265))</f>
        <v>MULTILIN</v>
      </c>
      <c r="U1265" s="34" t="str">
        <f aca="false">IF(I1265="","",IFERROR(INDEX(cat_ModG,MATCH(I1265,cat_ModO,0)),"No"))</f>
        <v>Sí</v>
      </c>
      <c r="V1265" s="34" t="str">
        <f aca="false">IF(J1265="","SIN DATO",IFERROR(INDEX(cat_FunN,MATCH(J1265,cat_FunO,0)),J1265))</f>
        <v>Protección</v>
      </c>
      <c r="W1265" s="34" t="str">
        <f aca="false">IF(OR(S1265="SIN DATO",T1265="SIN DATO"),"No","Sí")</f>
        <v>Sí</v>
      </c>
    </row>
    <row r="1266" customFormat="false" ht="15" hidden="false" customHeight="false" outlineLevel="0" collapsed="false">
      <c r="A1266" s="34" t="s">
        <v>4699</v>
      </c>
      <c r="B1266" s="34" t="s">
        <v>4700</v>
      </c>
      <c r="C1266" s="34" t="s">
        <v>4701</v>
      </c>
      <c r="D1266" s="34" t="s">
        <v>4694</v>
      </c>
      <c r="E1266" s="34" t="s">
        <v>130</v>
      </c>
      <c r="F1266" s="34" t="s">
        <v>1602</v>
      </c>
      <c r="G1266" s="34" t="s">
        <v>2983</v>
      </c>
      <c r="H1266" s="34" t="s">
        <v>61</v>
      </c>
      <c r="I1266" s="34" t="s">
        <v>63</v>
      </c>
      <c r="J1266" s="34" t="s">
        <v>681</v>
      </c>
      <c r="K1266" s="34" t="s">
        <v>229</v>
      </c>
      <c r="L1266" s="34" t="s">
        <v>3198</v>
      </c>
      <c r="M1266" s="34" t="s">
        <v>231</v>
      </c>
      <c r="N1266" s="34" t="str">
        <f aca="false">"Sector "&amp;VALUE(MID(D1266,13,2))</f>
        <v>Sector 5</v>
      </c>
      <c r="O1266" s="34" t="str">
        <f aca="false">IF(Dashboard!$C$5="Ubicación técnica",N1266,"Sector "&amp;VALUE(RIGHT(G1266,2)))</f>
        <v>Sector 5</v>
      </c>
      <c r="P1266" s="34" t="str">
        <f aca="false">IF(MID(D1266,15,3)="SEL","Subestación eléctrica","Área de proceso")</f>
        <v>Subestación eléctrica</v>
      </c>
      <c r="Q1266" s="34" t="str">
        <f aca="false">MID(D1266,13,5)&amp;"|"&amp;MID(D1266,19,5)</f>
        <v>05SEL|S_004</v>
      </c>
      <c r="R1266" s="34" t="str">
        <f aca="false">IF(P1266="Subestación eléctrica",IFERROR(INDEX(cat_SubN,MATCH(Q1266,cat_SubK,0)),"SIN CATALOGAR"),"ÁREA DE PROCESO")</f>
        <v>SE-04</v>
      </c>
      <c r="S1266" s="34" t="str">
        <f aca="false">IF(H1266="","SIN DATO",IFERROR(INDEX(cat_MarcaN,MATCH(H1266,cat_MarcaO,0)),H1266))</f>
        <v>GENERAL ELECTRIC</v>
      </c>
      <c r="T1266" s="34" t="str">
        <f aca="false">IF(I1266="","SIN DATO",IFERROR(INDEX(cat_ModN,MATCH(I1266,cat_ModO,0)),I1266))</f>
        <v>MULTILIN</v>
      </c>
      <c r="U1266" s="34" t="str">
        <f aca="false">IF(I1266="","",IFERROR(INDEX(cat_ModG,MATCH(I1266,cat_ModO,0)),"No"))</f>
        <v>Sí</v>
      </c>
      <c r="V1266" s="34" t="str">
        <f aca="false">IF(J1266="","SIN DATO",IFERROR(INDEX(cat_FunN,MATCH(J1266,cat_FunO,0)),J1266))</f>
        <v>Protección</v>
      </c>
      <c r="W1266" s="34" t="str">
        <f aca="false">IF(OR(S1266="SIN DATO",T1266="SIN DATO"),"No","Sí")</f>
        <v>Sí</v>
      </c>
    </row>
    <row r="1267" customFormat="false" ht="15" hidden="false" customHeight="false" outlineLevel="0" collapsed="false">
      <c r="A1267" s="34" t="s">
        <v>4702</v>
      </c>
      <c r="B1267" s="34" t="s">
        <v>4703</v>
      </c>
      <c r="C1267" s="34" t="s">
        <v>4704</v>
      </c>
      <c r="D1267" s="34" t="s">
        <v>4698</v>
      </c>
      <c r="E1267" s="34" t="s">
        <v>130</v>
      </c>
      <c r="F1267" s="34" t="s">
        <v>1602</v>
      </c>
      <c r="G1267" s="34" t="s">
        <v>2983</v>
      </c>
      <c r="H1267" s="34" t="s">
        <v>61</v>
      </c>
      <c r="I1267" s="34" t="s">
        <v>63</v>
      </c>
      <c r="J1267" s="34" t="s">
        <v>681</v>
      </c>
      <c r="K1267" s="34" t="s">
        <v>229</v>
      </c>
      <c r="L1267" s="34" t="s">
        <v>3198</v>
      </c>
      <c r="M1267" s="34" t="s">
        <v>231</v>
      </c>
      <c r="N1267" s="34" t="str">
        <f aca="false">"Sector "&amp;VALUE(MID(D1267,13,2))</f>
        <v>Sector 5</v>
      </c>
      <c r="O1267" s="34" t="str">
        <f aca="false">IF(Dashboard!$C$5="Ubicación técnica",N1267,"Sector "&amp;VALUE(RIGHT(G1267,2)))</f>
        <v>Sector 5</v>
      </c>
      <c r="P1267" s="34" t="str">
        <f aca="false">IF(MID(D1267,15,3)="SEL","Subestación eléctrica","Área de proceso")</f>
        <v>Subestación eléctrica</v>
      </c>
      <c r="Q1267" s="34" t="str">
        <f aca="false">MID(D1267,13,5)&amp;"|"&amp;MID(D1267,19,5)</f>
        <v>05SEL|S_004</v>
      </c>
      <c r="R1267" s="34" t="str">
        <f aca="false">IF(P1267="Subestación eléctrica",IFERROR(INDEX(cat_SubN,MATCH(Q1267,cat_SubK,0)),"SIN CATALOGAR"),"ÁREA DE PROCESO")</f>
        <v>SE-04</v>
      </c>
      <c r="S1267" s="34" t="str">
        <f aca="false">IF(H1267="","SIN DATO",IFERROR(INDEX(cat_MarcaN,MATCH(H1267,cat_MarcaO,0)),H1267))</f>
        <v>GENERAL ELECTRIC</v>
      </c>
      <c r="T1267" s="34" t="str">
        <f aca="false">IF(I1267="","SIN DATO",IFERROR(INDEX(cat_ModN,MATCH(I1267,cat_ModO,0)),I1267))</f>
        <v>MULTILIN</v>
      </c>
      <c r="U1267" s="34" t="str">
        <f aca="false">IF(I1267="","",IFERROR(INDEX(cat_ModG,MATCH(I1267,cat_ModO,0)),"No"))</f>
        <v>Sí</v>
      </c>
      <c r="V1267" s="34" t="str">
        <f aca="false">IF(J1267="","SIN DATO",IFERROR(INDEX(cat_FunN,MATCH(J1267,cat_FunO,0)),J1267))</f>
        <v>Protección</v>
      </c>
      <c r="W1267" s="34" t="str">
        <f aca="false">IF(OR(S1267="SIN DATO",T1267="SIN DATO"),"No","Sí")</f>
        <v>Sí</v>
      </c>
    </row>
    <row r="1268" customFormat="false" ht="15" hidden="false" customHeight="false" outlineLevel="0" collapsed="false">
      <c r="A1268" s="34" t="s">
        <v>4705</v>
      </c>
      <c r="B1268" s="34" t="s">
        <v>4706</v>
      </c>
      <c r="C1268" s="34" t="s">
        <v>4707</v>
      </c>
      <c r="D1268" s="34" t="s">
        <v>4694</v>
      </c>
      <c r="E1268" s="34" t="s">
        <v>130</v>
      </c>
      <c r="F1268" s="34" t="s">
        <v>1602</v>
      </c>
      <c r="G1268" s="34" t="s">
        <v>2983</v>
      </c>
      <c r="H1268" s="34" t="s">
        <v>61</v>
      </c>
      <c r="I1268" s="34" t="s">
        <v>63</v>
      </c>
      <c r="J1268" s="34" t="s">
        <v>681</v>
      </c>
      <c r="K1268" s="34" t="s">
        <v>229</v>
      </c>
      <c r="L1268" s="34" t="s">
        <v>3198</v>
      </c>
      <c r="M1268" s="34" t="s">
        <v>231</v>
      </c>
      <c r="N1268" s="34" t="str">
        <f aca="false">"Sector "&amp;VALUE(MID(D1268,13,2))</f>
        <v>Sector 5</v>
      </c>
      <c r="O1268" s="34" t="str">
        <f aca="false">IF(Dashboard!$C$5="Ubicación técnica",N1268,"Sector "&amp;VALUE(RIGHT(G1268,2)))</f>
        <v>Sector 5</v>
      </c>
      <c r="P1268" s="34" t="str">
        <f aca="false">IF(MID(D1268,15,3)="SEL","Subestación eléctrica","Área de proceso")</f>
        <v>Subestación eléctrica</v>
      </c>
      <c r="Q1268" s="34" t="str">
        <f aca="false">MID(D1268,13,5)&amp;"|"&amp;MID(D1268,19,5)</f>
        <v>05SEL|S_004</v>
      </c>
      <c r="R1268" s="34" t="str">
        <f aca="false">IF(P1268="Subestación eléctrica",IFERROR(INDEX(cat_SubN,MATCH(Q1268,cat_SubK,0)),"SIN CATALOGAR"),"ÁREA DE PROCESO")</f>
        <v>SE-04</v>
      </c>
      <c r="S1268" s="34" t="str">
        <f aca="false">IF(H1268="","SIN DATO",IFERROR(INDEX(cat_MarcaN,MATCH(H1268,cat_MarcaO,0)),H1268))</f>
        <v>GENERAL ELECTRIC</v>
      </c>
      <c r="T1268" s="34" t="str">
        <f aca="false">IF(I1268="","SIN DATO",IFERROR(INDEX(cat_ModN,MATCH(I1268,cat_ModO,0)),I1268))</f>
        <v>MULTILIN</v>
      </c>
      <c r="U1268" s="34" t="str">
        <f aca="false">IF(I1268="","",IFERROR(INDEX(cat_ModG,MATCH(I1268,cat_ModO,0)),"No"))</f>
        <v>Sí</v>
      </c>
      <c r="V1268" s="34" t="str">
        <f aca="false">IF(J1268="","SIN DATO",IFERROR(INDEX(cat_FunN,MATCH(J1268,cat_FunO,0)),J1268))</f>
        <v>Protección</v>
      </c>
      <c r="W1268" s="34" t="str">
        <f aca="false">IF(OR(S1268="SIN DATO",T1268="SIN DATO"),"No","Sí")</f>
        <v>Sí</v>
      </c>
    </row>
    <row r="1269" customFormat="false" ht="15" hidden="false" customHeight="false" outlineLevel="0" collapsed="false">
      <c r="A1269" s="34" t="s">
        <v>4708</v>
      </c>
      <c r="B1269" s="34" t="s">
        <v>4709</v>
      </c>
      <c r="C1269" s="34" t="s">
        <v>4710</v>
      </c>
      <c r="D1269" s="34" t="s">
        <v>4711</v>
      </c>
      <c r="E1269" s="34" t="s">
        <v>130</v>
      </c>
      <c r="F1269" s="34" t="s">
        <v>1602</v>
      </c>
      <c r="G1269" s="34" t="s">
        <v>2983</v>
      </c>
      <c r="H1269" s="34" t="s">
        <v>61</v>
      </c>
      <c r="I1269" s="34" t="s">
        <v>63</v>
      </c>
      <c r="J1269" s="34" t="s">
        <v>681</v>
      </c>
      <c r="K1269" s="34" t="s">
        <v>229</v>
      </c>
      <c r="L1269" s="34" t="s">
        <v>3198</v>
      </c>
      <c r="M1269" s="34" t="s">
        <v>231</v>
      </c>
      <c r="N1269" s="34" t="str">
        <f aca="false">"Sector "&amp;VALUE(MID(D1269,13,2))</f>
        <v>Sector 5</v>
      </c>
      <c r="O1269" s="34" t="str">
        <f aca="false">IF(Dashboard!$C$5="Ubicación técnica",N1269,"Sector "&amp;VALUE(RIGHT(G1269,2)))</f>
        <v>Sector 5</v>
      </c>
      <c r="P1269" s="34" t="str">
        <f aca="false">IF(MID(D1269,15,3)="SEL","Subestación eléctrica","Área de proceso")</f>
        <v>Subestación eléctrica</v>
      </c>
      <c r="Q1269" s="34" t="str">
        <f aca="false">MID(D1269,13,5)&amp;"|"&amp;MID(D1269,19,5)</f>
        <v>05SEL|S_004</v>
      </c>
      <c r="R1269" s="34" t="str">
        <f aca="false">IF(P1269="Subestación eléctrica",IFERROR(INDEX(cat_SubN,MATCH(Q1269,cat_SubK,0)),"SIN CATALOGAR"),"ÁREA DE PROCESO")</f>
        <v>SE-04</v>
      </c>
      <c r="S1269" s="34" t="str">
        <f aca="false">IF(H1269="","SIN DATO",IFERROR(INDEX(cat_MarcaN,MATCH(H1269,cat_MarcaO,0)),H1269))</f>
        <v>GENERAL ELECTRIC</v>
      </c>
      <c r="T1269" s="34" t="str">
        <f aca="false">IF(I1269="","SIN DATO",IFERROR(INDEX(cat_ModN,MATCH(I1269,cat_ModO,0)),I1269))</f>
        <v>MULTILIN</v>
      </c>
      <c r="U1269" s="34" t="str">
        <f aca="false">IF(I1269="","",IFERROR(INDEX(cat_ModG,MATCH(I1269,cat_ModO,0)),"No"))</f>
        <v>Sí</v>
      </c>
      <c r="V1269" s="34" t="str">
        <f aca="false">IF(J1269="","SIN DATO",IFERROR(INDEX(cat_FunN,MATCH(J1269,cat_FunO,0)),J1269))</f>
        <v>Protección</v>
      </c>
      <c r="W1269" s="34" t="str">
        <f aca="false">IF(OR(S1269="SIN DATO",T1269="SIN DATO"),"No","Sí")</f>
        <v>Sí</v>
      </c>
    </row>
    <row r="1270" customFormat="false" ht="15" hidden="false" customHeight="false" outlineLevel="0" collapsed="false">
      <c r="A1270" s="34" t="s">
        <v>4712</v>
      </c>
      <c r="B1270" s="34" t="s">
        <v>4713</v>
      </c>
      <c r="C1270" s="34" t="s">
        <v>4714</v>
      </c>
      <c r="D1270" s="34" t="s">
        <v>4711</v>
      </c>
      <c r="E1270" s="34" t="s">
        <v>130</v>
      </c>
      <c r="F1270" s="34" t="s">
        <v>1602</v>
      </c>
      <c r="G1270" s="34" t="s">
        <v>2983</v>
      </c>
      <c r="H1270" s="34" t="s">
        <v>61</v>
      </c>
      <c r="I1270" s="34" t="s">
        <v>63</v>
      </c>
      <c r="J1270" s="34" t="s">
        <v>681</v>
      </c>
      <c r="K1270" s="34" t="s">
        <v>229</v>
      </c>
      <c r="L1270" s="34" t="s">
        <v>3198</v>
      </c>
      <c r="M1270" s="34" t="s">
        <v>231</v>
      </c>
      <c r="N1270" s="34" t="str">
        <f aca="false">"Sector "&amp;VALUE(MID(D1270,13,2))</f>
        <v>Sector 5</v>
      </c>
      <c r="O1270" s="34" t="str">
        <f aca="false">IF(Dashboard!$C$5="Ubicación técnica",N1270,"Sector "&amp;VALUE(RIGHT(G1270,2)))</f>
        <v>Sector 5</v>
      </c>
      <c r="P1270" s="34" t="str">
        <f aca="false">IF(MID(D1270,15,3)="SEL","Subestación eléctrica","Área de proceso")</f>
        <v>Subestación eléctrica</v>
      </c>
      <c r="Q1270" s="34" t="str">
        <f aca="false">MID(D1270,13,5)&amp;"|"&amp;MID(D1270,19,5)</f>
        <v>05SEL|S_004</v>
      </c>
      <c r="R1270" s="34" t="str">
        <f aca="false">IF(P1270="Subestación eléctrica",IFERROR(INDEX(cat_SubN,MATCH(Q1270,cat_SubK,0)),"SIN CATALOGAR"),"ÁREA DE PROCESO")</f>
        <v>SE-04</v>
      </c>
      <c r="S1270" s="34" t="str">
        <f aca="false">IF(H1270="","SIN DATO",IFERROR(INDEX(cat_MarcaN,MATCH(H1270,cat_MarcaO,0)),H1270))</f>
        <v>GENERAL ELECTRIC</v>
      </c>
      <c r="T1270" s="34" t="str">
        <f aca="false">IF(I1270="","SIN DATO",IFERROR(INDEX(cat_ModN,MATCH(I1270,cat_ModO,0)),I1270))</f>
        <v>MULTILIN</v>
      </c>
      <c r="U1270" s="34" t="str">
        <f aca="false">IF(I1270="","",IFERROR(INDEX(cat_ModG,MATCH(I1270,cat_ModO,0)),"No"))</f>
        <v>Sí</v>
      </c>
      <c r="V1270" s="34" t="str">
        <f aca="false">IF(J1270="","SIN DATO",IFERROR(INDEX(cat_FunN,MATCH(J1270,cat_FunO,0)),J1270))</f>
        <v>Protección</v>
      </c>
      <c r="W1270" s="34" t="str">
        <f aca="false">IF(OR(S1270="SIN DATO",T1270="SIN DATO"),"No","Sí")</f>
        <v>Sí</v>
      </c>
    </row>
    <row r="1271" customFormat="false" ht="15" hidden="false" customHeight="false" outlineLevel="0" collapsed="false">
      <c r="A1271" s="34" t="s">
        <v>4715</v>
      </c>
      <c r="B1271" s="34" t="s">
        <v>4716</v>
      </c>
      <c r="C1271" s="34" t="s">
        <v>4717</v>
      </c>
      <c r="D1271" s="34" t="s">
        <v>4572</v>
      </c>
      <c r="E1271" s="34" t="s">
        <v>130</v>
      </c>
      <c r="F1271" s="34" t="s">
        <v>1602</v>
      </c>
      <c r="G1271" s="34" t="s">
        <v>2983</v>
      </c>
      <c r="H1271" s="34" t="s">
        <v>61</v>
      </c>
      <c r="I1271" s="34" t="s">
        <v>63</v>
      </c>
      <c r="J1271" s="34" t="s">
        <v>681</v>
      </c>
      <c r="K1271" s="34" t="s">
        <v>229</v>
      </c>
      <c r="L1271" s="34" t="s">
        <v>3198</v>
      </c>
      <c r="M1271" s="34" t="s">
        <v>231</v>
      </c>
      <c r="N1271" s="34" t="str">
        <f aca="false">"Sector "&amp;VALUE(MID(D1271,13,2))</f>
        <v>Sector 5</v>
      </c>
      <c r="O1271" s="34" t="str">
        <f aca="false">IF(Dashboard!$C$5="Ubicación técnica",N1271,"Sector "&amp;VALUE(RIGHT(G1271,2)))</f>
        <v>Sector 5</v>
      </c>
      <c r="P1271" s="34" t="str">
        <f aca="false">IF(MID(D1271,15,3)="SEL","Subestación eléctrica","Área de proceso")</f>
        <v>Subestación eléctrica</v>
      </c>
      <c r="Q1271" s="34" t="str">
        <f aca="false">MID(D1271,13,5)&amp;"|"&amp;MID(D1271,19,5)</f>
        <v>05SEL|S_004</v>
      </c>
      <c r="R1271" s="34" t="str">
        <f aca="false">IF(P1271="Subestación eléctrica",IFERROR(INDEX(cat_SubN,MATCH(Q1271,cat_SubK,0)),"SIN CATALOGAR"),"ÁREA DE PROCESO")</f>
        <v>SE-04</v>
      </c>
      <c r="S1271" s="34" t="str">
        <f aca="false">IF(H1271="","SIN DATO",IFERROR(INDEX(cat_MarcaN,MATCH(H1271,cat_MarcaO,0)),H1271))</f>
        <v>GENERAL ELECTRIC</v>
      </c>
      <c r="T1271" s="34" t="str">
        <f aca="false">IF(I1271="","SIN DATO",IFERROR(INDEX(cat_ModN,MATCH(I1271,cat_ModO,0)),I1271))</f>
        <v>MULTILIN</v>
      </c>
      <c r="U1271" s="34" t="str">
        <f aca="false">IF(I1271="","",IFERROR(INDEX(cat_ModG,MATCH(I1271,cat_ModO,0)),"No"))</f>
        <v>Sí</v>
      </c>
      <c r="V1271" s="34" t="str">
        <f aca="false">IF(J1271="","SIN DATO",IFERROR(INDEX(cat_FunN,MATCH(J1271,cat_FunO,0)),J1271))</f>
        <v>Protección</v>
      </c>
      <c r="W1271" s="34" t="str">
        <f aca="false">IF(OR(S1271="SIN DATO",T1271="SIN DATO"),"No","Sí")</f>
        <v>Sí</v>
      </c>
    </row>
    <row r="1272" customFormat="false" ht="15" hidden="false" customHeight="false" outlineLevel="0" collapsed="false">
      <c r="A1272" s="34" t="s">
        <v>4718</v>
      </c>
      <c r="B1272" s="34" t="s">
        <v>4719</v>
      </c>
      <c r="C1272" s="34" t="s">
        <v>4720</v>
      </c>
      <c r="D1272" s="34" t="s">
        <v>4721</v>
      </c>
      <c r="E1272" s="34" t="s">
        <v>116</v>
      </c>
      <c r="F1272" s="34" t="s">
        <v>1602</v>
      </c>
      <c r="G1272" s="34" t="s">
        <v>259</v>
      </c>
      <c r="H1272" s="34" t="s">
        <v>61</v>
      </c>
      <c r="I1272" s="34" t="s">
        <v>63</v>
      </c>
      <c r="J1272" s="34" t="s">
        <v>260</v>
      </c>
      <c r="K1272" s="34" t="s">
        <v>229</v>
      </c>
      <c r="L1272" s="34" t="s">
        <v>230</v>
      </c>
      <c r="M1272" s="34" t="s">
        <v>231</v>
      </c>
      <c r="N1272" s="34" t="str">
        <f aca="false">"Sector "&amp;VALUE(MID(D1272,13,2))</f>
        <v>Sector 3</v>
      </c>
      <c r="O1272" s="34" t="str">
        <f aca="false">IF(Dashboard!$C$5="Ubicación técnica",N1272,"Sector "&amp;VALUE(RIGHT(G1272,2)))</f>
        <v>Sector 3</v>
      </c>
      <c r="P1272" s="34" t="str">
        <f aca="false">IF(MID(D1272,15,3)="SEL","Subestación eléctrica","Área de proceso")</f>
        <v>Subestación eléctrica</v>
      </c>
      <c r="Q1272" s="34" t="str">
        <f aca="false">MID(D1272,13,5)&amp;"|"&amp;MID(D1272,19,5)</f>
        <v>03SEL|S_007</v>
      </c>
      <c r="R1272" s="34" t="str">
        <f aca="false">IF(P1272="Subestación eléctrica",IFERROR(INDEX(cat_SubN,MATCH(Q1272,cat_SubK,0)),"SIN CATALOGAR"),"ÁREA DE PROCESO")</f>
        <v>SE-07</v>
      </c>
      <c r="S1272" s="34" t="str">
        <f aca="false">IF(H1272="","SIN DATO",IFERROR(INDEX(cat_MarcaN,MATCH(H1272,cat_MarcaO,0)),H1272))</f>
        <v>GENERAL ELECTRIC</v>
      </c>
      <c r="T1272" s="34" t="str">
        <f aca="false">IF(I1272="","SIN DATO",IFERROR(INDEX(cat_ModN,MATCH(I1272,cat_ModO,0)),I1272))</f>
        <v>MULTILIN</v>
      </c>
      <c r="U1272" s="34" t="str">
        <f aca="false">IF(I1272="","",IFERROR(INDEX(cat_ModG,MATCH(I1272,cat_ModO,0)),"No"))</f>
        <v>Sí</v>
      </c>
      <c r="V1272" s="34" t="str">
        <f aca="false">IF(J1272="","SIN DATO",IFERROR(INDEX(cat_FunN,MATCH(J1272,cat_FunO,0)),J1272))</f>
        <v>Protección y medición</v>
      </c>
      <c r="W1272" s="34" t="str">
        <f aca="false">IF(OR(S1272="SIN DATO",T1272="SIN DATO"),"No","Sí")</f>
        <v>Sí</v>
      </c>
    </row>
    <row r="1273" customFormat="false" ht="15" hidden="false" customHeight="false" outlineLevel="0" collapsed="false">
      <c r="A1273" s="34" t="s">
        <v>4722</v>
      </c>
      <c r="B1273" s="34" t="s">
        <v>4723</v>
      </c>
      <c r="C1273" s="34" t="s">
        <v>4724</v>
      </c>
      <c r="D1273" s="34" t="s">
        <v>4721</v>
      </c>
      <c r="E1273" s="34" t="s">
        <v>116</v>
      </c>
      <c r="F1273" s="34" t="s">
        <v>1602</v>
      </c>
      <c r="G1273" s="34" t="s">
        <v>259</v>
      </c>
      <c r="H1273" s="34" t="s">
        <v>61</v>
      </c>
      <c r="I1273" s="34" t="s">
        <v>63</v>
      </c>
      <c r="J1273" s="34" t="s">
        <v>260</v>
      </c>
      <c r="K1273" s="34" t="s">
        <v>229</v>
      </c>
      <c r="L1273" s="34" t="s">
        <v>230</v>
      </c>
      <c r="M1273" s="34" t="s">
        <v>231</v>
      </c>
      <c r="N1273" s="34" t="str">
        <f aca="false">"Sector "&amp;VALUE(MID(D1273,13,2))</f>
        <v>Sector 3</v>
      </c>
      <c r="O1273" s="34" t="str">
        <f aca="false">IF(Dashboard!$C$5="Ubicación técnica",N1273,"Sector "&amp;VALUE(RIGHT(G1273,2)))</f>
        <v>Sector 3</v>
      </c>
      <c r="P1273" s="34" t="str">
        <f aca="false">IF(MID(D1273,15,3)="SEL","Subestación eléctrica","Área de proceso")</f>
        <v>Subestación eléctrica</v>
      </c>
      <c r="Q1273" s="34" t="str">
        <f aca="false">MID(D1273,13,5)&amp;"|"&amp;MID(D1273,19,5)</f>
        <v>03SEL|S_007</v>
      </c>
      <c r="R1273" s="34" t="str">
        <f aca="false">IF(P1273="Subestación eléctrica",IFERROR(INDEX(cat_SubN,MATCH(Q1273,cat_SubK,0)),"SIN CATALOGAR"),"ÁREA DE PROCESO")</f>
        <v>SE-07</v>
      </c>
      <c r="S1273" s="34" t="str">
        <f aca="false">IF(H1273="","SIN DATO",IFERROR(INDEX(cat_MarcaN,MATCH(H1273,cat_MarcaO,0)),H1273))</f>
        <v>GENERAL ELECTRIC</v>
      </c>
      <c r="T1273" s="34" t="str">
        <f aca="false">IF(I1273="","SIN DATO",IFERROR(INDEX(cat_ModN,MATCH(I1273,cat_ModO,0)),I1273))</f>
        <v>MULTILIN</v>
      </c>
      <c r="U1273" s="34" t="str">
        <f aca="false">IF(I1273="","",IFERROR(INDEX(cat_ModG,MATCH(I1273,cat_ModO,0)),"No"))</f>
        <v>Sí</v>
      </c>
      <c r="V1273" s="34" t="str">
        <f aca="false">IF(J1273="","SIN DATO",IFERROR(INDEX(cat_FunN,MATCH(J1273,cat_FunO,0)),J1273))</f>
        <v>Protección y medición</v>
      </c>
      <c r="W1273" s="34" t="str">
        <f aca="false">IF(OR(S1273="SIN DATO",T1273="SIN DATO"),"No","Sí")</f>
        <v>Sí</v>
      </c>
    </row>
    <row r="1274" customFormat="false" ht="15" hidden="false" customHeight="false" outlineLevel="0" collapsed="false">
      <c r="A1274" s="34" t="s">
        <v>4725</v>
      </c>
      <c r="B1274" s="34" t="s">
        <v>4726</v>
      </c>
      <c r="C1274" s="34" t="s">
        <v>4727</v>
      </c>
      <c r="D1274" s="34" t="s">
        <v>4728</v>
      </c>
      <c r="E1274" s="34" t="s">
        <v>116</v>
      </c>
      <c r="F1274" s="34" t="s">
        <v>1602</v>
      </c>
      <c r="G1274" s="34" t="s">
        <v>259</v>
      </c>
      <c r="H1274" s="34" t="s">
        <v>61</v>
      </c>
      <c r="I1274" s="34" t="s">
        <v>63</v>
      </c>
      <c r="J1274" s="34" t="s">
        <v>260</v>
      </c>
      <c r="K1274" s="34" t="s">
        <v>229</v>
      </c>
      <c r="L1274" s="34" t="s">
        <v>230</v>
      </c>
      <c r="M1274" s="34" t="s">
        <v>231</v>
      </c>
      <c r="N1274" s="34" t="str">
        <f aca="false">"Sector "&amp;VALUE(MID(D1274,13,2))</f>
        <v>Sector 3</v>
      </c>
      <c r="O1274" s="34" t="str">
        <f aca="false">IF(Dashboard!$C$5="Ubicación técnica",N1274,"Sector "&amp;VALUE(RIGHT(G1274,2)))</f>
        <v>Sector 3</v>
      </c>
      <c r="P1274" s="34" t="str">
        <f aca="false">IF(MID(D1274,15,3)="SEL","Subestación eléctrica","Área de proceso")</f>
        <v>Subestación eléctrica</v>
      </c>
      <c r="Q1274" s="34" t="str">
        <f aca="false">MID(D1274,13,5)&amp;"|"&amp;MID(D1274,19,5)</f>
        <v>03SEL|S_007</v>
      </c>
      <c r="R1274" s="34" t="str">
        <f aca="false">IF(P1274="Subestación eléctrica",IFERROR(INDEX(cat_SubN,MATCH(Q1274,cat_SubK,0)),"SIN CATALOGAR"),"ÁREA DE PROCESO")</f>
        <v>SE-07</v>
      </c>
      <c r="S1274" s="34" t="str">
        <f aca="false">IF(H1274="","SIN DATO",IFERROR(INDEX(cat_MarcaN,MATCH(H1274,cat_MarcaO,0)),H1274))</f>
        <v>GENERAL ELECTRIC</v>
      </c>
      <c r="T1274" s="34" t="str">
        <f aca="false">IF(I1274="","SIN DATO",IFERROR(INDEX(cat_ModN,MATCH(I1274,cat_ModO,0)),I1274))</f>
        <v>MULTILIN</v>
      </c>
      <c r="U1274" s="34" t="str">
        <f aca="false">IF(I1274="","",IFERROR(INDEX(cat_ModG,MATCH(I1274,cat_ModO,0)),"No"))</f>
        <v>Sí</v>
      </c>
      <c r="V1274" s="34" t="str">
        <f aca="false">IF(J1274="","SIN DATO",IFERROR(INDEX(cat_FunN,MATCH(J1274,cat_FunO,0)),J1274))</f>
        <v>Protección y medición</v>
      </c>
      <c r="W1274" s="34" t="str">
        <f aca="false">IF(OR(S1274="SIN DATO",T1274="SIN DATO"),"No","Sí")</f>
        <v>Sí</v>
      </c>
    </row>
    <row r="1275" customFormat="false" ht="15" hidden="false" customHeight="false" outlineLevel="0" collapsed="false">
      <c r="A1275" s="34" t="s">
        <v>4729</v>
      </c>
      <c r="B1275" s="34" t="s">
        <v>4730</v>
      </c>
      <c r="C1275" s="34" t="s">
        <v>4731</v>
      </c>
      <c r="D1275" s="34" t="s">
        <v>4732</v>
      </c>
      <c r="E1275" s="34" t="s">
        <v>116</v>
      </c>
      <c r="F1275" s="34" t="s">
        <v>1602</v>
      </c>
      <c r="G1275" s="34" t="s">
        <v>259</v>
      </c>
      <c r="H1275" s="34" t="s">
        <v>61</v>
      </c>
      <c r="I1275" s="34" t="s">
        <v>63</v>
      </c>
      <c r="J1275" s="34" t="s">
        <v>260</v>
      </c>
      <c r="K1275" s="34" t="s">
        <v>229</v>
      </c>
      <c r="L1275" s="34" t="s">
        <v>230</v>
      </c>
      <c r="M1275" s="34" t="s">
        <v>231</v>
      </c>
      <c r="N1275" s="34" t="str">
        <f aca="false">"Sector "&amp;VALUE(MID(D1275,13,2))</f>
        <v>Sector 3</v>
      </c>
      <c r="O1275" s="34" t="str">
        <f aca="false">IF(Dashboard!$C$5="Ubicación técnica",N1275,"Sector "&amp;VALUE(RIGHT(G1275,2)))</f>
        <v>Sector 3</v>
      </c>
      <c r="P1275" s="34" t="str">
        <f aca="false">IF(MID(D1275,15,3)="SEL","Subestación eléctrica","Área de proceso")</f>
        <v>Subestación eléctrica</v>
      </c>
      <c r="Q1275" s="34" t="str">
        <f aca="false">MID(D1275,13,5)&amp;"|"&amp;MID(D1275,19,5)</f>
        <v>03SEL|S_007</v>
      </c>
      <c r="R1275" s="34" t="str">
        <f aca="false">IF(P1275="Subestación eléctrica",IFERROR(INDEX(cat_SubN,MATCH(Q1275,cat_SubK,0)),"SIN CATALOGAR"),"ÁREA DE PROCESO")</f>
        <v>SE-07</v>
      </c>
      <c r="S1275" s="34" t="str">
        <f aca="false">IF(H1275="","SIN DATO",IFERROR(INDEX(cat_MarcaN,MATCH(H1275,cat_MarcaO,0)),H1275))</f>
        <v>GENERAL ELECTRIC</v>
      </c>
      <c r="T1275" s="34" t="str">
        <f aca="false">IF(I1275="","SIN DATO",IFERROR(INDEX(cat_ModN,MATCH(I1275,cat_ModO,0)),I1275))</f>
        <v>MULTILIN</v>
      </c>
      <c r="U1275" s="34" t="str">
        <f aca="false">IF(I1275="","",IFERROR(INDEX(cat_ModG,MATCH(I1275,cat_ModO,0)),"No"))</f>
        <v>Sí</v>
      </c>
      <c r="V1275" s="34" t="str">
        <f aca="false">IF(J1275="","SIN DATO",IFERROR(INDEX(cat_FunN,MATCH(J1275,cat_FunO,0)),J1275))</f>
        <v>Protección y medición</v>
      </c>
      <c r="W1275" s="34" t="str">
        <f aca="false">IF(OR(S1275="SIN DATO",T1275="SIN DATO"),"No","Sí")</f>
        <v>Sí</v>
      </c>
    </row>
    <row r="1276" customFormat="false" ht="15" hidden="false" customHeight="false" outlineLevel="0" collapsed="false">
      <c r="A1276" s="34" t="s">
        <v>4733</v>
      </c>
      <c r="B1276" s="34" t="s">
        <v>4734</v>
      </c>
      <c r="C1276" s="34" t="s">
        <v>4735</v>
      </c>
      <c r="D1276" s="34" t="s">
        <v>4736</v>
      </c>
      <c r="E1276" s="34" t="s">
        <v>116</v>
      </c>
      <c r="F1276" s="34" t="s">
        <v>1602</v>
      </c>
      <c r="G1276" s="34" t="s">
        <v>259</v>
      </c>
      <c r="H1276" s="34" t="s">
        <v>61</v>
      </c>
      <c r="I1276" s="34" t="s">
        <v>63</v>
      </c>
      <c r="J1276" s="34" t="s">
        <v>260</v>
      </c>
      <c r="K1276" s="34" t="s">
        <v>229</v>
      </c>
      <c r="L1276" s="34" t="s">
        <v>230</v>
      </c>
      <c r="M1276" s="34" t="s">
        <v>231</v>
      </c>
      <c r="N1276" s="34" t="str">
        <f aca="false">"Sector "&amp;VALUE(MID(D1276,13,2))</f>
        <v>Sector 3</v>
      </c>
      <c r="O1276" s="34" t="str">
        <f aca="false">IF(Dashboard!$C$5="Ubicación técnica",N1276,"Sector "&amp;VALUE(RIGHT(G1276,2)))</f>
        <v>Sector 3</v>
      </c>
      <c r="P1276" s="34" t="str">
        <f aca="false">IF(MID(D1276,15,3)="SEL","Subestación eléctrica","Área de proceso")</f>
        <v>Subestación eléctrica</v>
      </c>
      <c r="Q1276" s="34" t="str">
        <f aca="false">MID(D1276,13,5)&amp;"|"&amp;MID(D1276,19,5)</f>
        <v>03SEL|S_007</v>
      </c>
      <c r="R1276" s="34" t="str">
        <f aca="false">IF(P1276="Subestación eléctrica",IFERROR(INDEX(cat_SubN,MATCH(Q1276,cat_SubK,0)),"SIN CATALOGAR"),"ÁREA DE PROCESO")</f>
        <v>SE-07</v>
      </c>
      <c r="S1276" s="34" t="str">
        <f aca="false">IF(H1276="","SIN DATO",IFERROR(INDEX(cat_MarcaN,MATCH(H1276,cat_MarcaO,0)),H1276))</f>
        <v>GENERAL ELECTRIC</v>
      </c>
      <c r="T1276" s="34" t="str">
        <f aca="false">IF(I1276="","SIN DATO",IFERROR(INDEX(cat_ModN,MATCH(I1276,cat_ModO,0)),I1276))</f>
        <v>MULTILIN</v>
      </c>
      <c r="U1276" s="34" t="str">
        <f aca="false">IF(I1276="","",IFERROR(INDEX(cat_ModG,MATCH(I1276,cat_ModO,0)),"No"))</f>
        <v>Sí</v>
      </c>
      <c r="V1276" s="34" t="str">
        <f aca="false">IF(J1276="","SIN DATO",IFERROR(INDEX(cat_FunN,MATCH(J1276,cat_FunO,0)),J1276))</f>
        <v>Protección y medición</v>
      </c>
      <c r="W1276" s="34" t="str">
        <f aca="false">IF(OR(S1276="SIN DATO",T1276="SIN DATO"),"No","Sí")</f>
        <v>Sí</v>
      </c>
    </row>
    <row r="1277" customFormat="false" ht="15" hidden="false" customHeight="false" outlineLevel="0" collapsed="false">
      <c r="A1277" s="34" t="s">
        <v>4737</v>
      </c>
      <c r="B1277" s="34" t="s">
        <v>4738</v>
      </c>
      <c r="C1277" s="34" t="s">
        <v>4739</v>
      </c>
      <c r="D1277" s="34" t="s">
        <v>4740</v>
      </c>
      <c r="E1277" s="34" t="s">
        <v>116</v>
      </c>
      <c r="F1277" s="34" t="s">
        <v>1602</v>
      </c>
      <c r="G1277" s="34" t="s">
        <v>259</v>
      </c>
      <c r="H1277" s="34" t="s">
        <v>61</v>
      </c>
      <c r="I1277" s="34" t="s">
        <v>63</v>
      </c>
      <c r="J1277" s="34" t="s">
        <v>260</v>
      </c>
      <c r="K1277" s="34" t="s">
        <v>229</v>
      </c>
      <c r="L1277" s="34" t="s">
        <v>230</v>
      </c>
      <c r="M1277" s="34" t="s">
        <v>231</v>
      </c>
      <c r="N1277" s="34" t="str">
        <f aca="false">"Sector "&amp;VALUE(MID(D1277,13,2))</f>
        <v>Sector 3</v>
      </c>
      <c r="O1277" s="34" t="str">
        <f aca="false">IF(Dashboard!$C$5="Ubicación técnica",N1277,"Sector "&amp;VALUE(RIGHT(G1277,2)))</f>
        <v>Sector 3</v>
      </c>
      <c r="P1277" s="34" t="str">
        <f aca="false">IF(MID(D1277,15,3)="SEL","Subestación eléctrica","Área de proceso")</f>
        <v>Subestación eléctrica</v>
      </c>
      <c r="Q1277" s="34" t="str">
        <f aca="false">MID(D1277,13,5)&amp;"|"&amp;MID(D1277,19,5)</f>
        <v>03SEL|S_007</v>
      </c>
      <c r="R1277" s="34" t="str">
        <f aca="false">IF(P1277="Subestación eléctrica",IFERROR(INDEX(cat_SubN,MATCH(Q1277,cat_SubK,0)),"SIN CATALOGAR"),"ÁREA DE PROCESO")</f>
        <v>SE-07</v>
      </c>
      <c r="S1277" s="34" t="str">
        <f aca="false">IF(H1277="","SIN DATO",IFERROR(INDEX(cat_MarcaN,MATCH(H1277,cat_MarcaO,0)),H1277))</f>
        <v>GENERAL ELECTRIC</v>
      </c>
      <c r="T1277" s="34" t="str">
        <f aca="false">IF(I1277="","SIN DATO",IFERROR(INDEX(cat_ModN,MATCH(I1277,cat_ModO,0)),I1277))</f>
        <v>MULTILIN</v>
      </c>
      <c r="U1277" s="34" t="str">
        <f aca="false">IF(I1277="","",IFERROR(INDEX(cat_ModG,MATCH(I1277,cat_ModO,0)),"No"))</f>
        <v>Sí</v>
      </c>
      <c r="V1277" s="34" t="str">
        <f aca="false">IF(J1277="","SIN DATO",IFERROR(INDEX(cat_FunN,MATCH(J1277,cat_FunO,0)),J1277))</f>
        <v>Protección y medición</v>
      </c>
      <c r="W1277" s="34" t="str">
        <f aca="false">IF(OR(S1277="SIN DATO",T1277="SIN DATO"),"No","Sí")</f>
        <v>Sí</v>
      </c>
    </row>
    <row r="1278" customFormat="false" ht="15" hidden="false" customHeight="false" outlineLevel="0" collapsed="false">
      <c r="A1278" s="34" t="s">
        <v>4741</v>
      </c>
      <c r="B1278" s="34" t="s">
        <v>4742</v>
      </c>
      <c r="C1278" s="34" t="s">
        <v>4743</v>
      </c>
      <c r="D1278" s="34" t="s">
        <v>4744</v>
      </c>
      <c r="E1278" s="34" t="s">
        <v>116</v>
      </c>
      <c r="F1278" s="34" t="s">
        <v>1602</v>
      </c>
      <c r="G1278" s="34" t="s">
        <v>259</v>
      </c>
      <c r="H1278" s="34" t="s">
        <v>61</v>
      </c>
      <c r="I1278" s="34" t="s">
        <v>63</v>
      </c>
      <c r="J1278" s="34" t="s">
        <v>260</v>
      </c>
      <c r="K1278" s="34" t="s">
        <v>229</v>
      </c>
      <c r="L1278" s="34" t="s">
        <v>230</v>
      </c>
      <c r="M1278" s="34" t="s">
        <v>231</v>
      </c>
      <c r="N1278" s="34" t="str">
        <f aca="false">"Sector "&amp;VALUE(MID(D1278,13,2))</f>
        <v>Sector 3</v>
      </c>
      <c r="O1278" s="34" t="str">
        <f aca="false">IF(Dashboard!$C$5="Ubicación técnica",N1278,"Sector "&amp;VALUE(RIGHT(G1278,2)))</f>
        <v>Sector 3</v>
      </c>
      <c r="P1278" s="34" t="str">
        <f aca="false">IF(MID(D1278,15,3)="SEL","Subestación eléctrica","Área de proceso")</f>
        <v>Subestación eléctrica</v>
      </c>
      <c r="Q1278" s="34" t="str">
        <f aca="false">MID(D1278,13,5)&amp;"|"&amp;MID(D1278,19,5)</f>
        <v>03SEL|S_007</v>
      </c>
      <c r="R1278" s="34" t="str">
        <f aca="false">IF(P1278="Subestación eléctrica",IFERROR(INDEX(cat_SubN,MATCH(Q1278,cat_SubK,0)),"SIN CATALOGAR"),"ÁREA DE PROCESO")</f>
        <v>SE-07</v>
      </c>
      <c r="S1278" s="34" t="str">
        <f aca="false">IF(H1278="","SIN DATO",IFERROR(INDEX(cat_MarcaN,MATCH(H1278,cat_MarcaO,0)),H1278))</f>
        <v>GENERAL ELECTRIC</v>
      </c>
      <c r="T1278" s="34" t="str">
        <f aca="false">IF(I1278="","SIN DATO",IFERROR(INDEX(cat_ModN,MATCH(I1278,cat_ModO,0)),I1278))</f>
        <v>MULTILIN</v>
      </c>
      <c r="U1278" s="34" t="str">
        <f aca="false">IF(I1278="","",IFERROR(INDEX(cat_ModG,MATCH(I1278,cat_ModO,0)),"No"))</f>
        <v>Sí</v>
      </c>
      <c r="V1278" s="34" t="str">
        <f aca="false">IF(J1278="","SIN DATO",IFERROR(INDEX(cat_FunN,MATCH(J1278,cat_FunO,0)),J1278))</f>
        <v>Protección y medición</v>
      </c>
      <c r="W1278" s="34" t="str">
        <f aca="false">IF(OR(S1278="SIN DATO",T1278="SIN DATO"),"No","Sí")</f>
        <v>Sí</v>
      </c>
    </row>
    <row r="1279" customFormat="false" ht="15" hidden="false" customHeight="false" outlineLevel="0" collapsed="false">
      <c r="A1279" s="34" t="s">
        <v>4745</v>
      </c>
      <c r="B1279" s="34" t="s">
        <v>4746</v>
      </c>
      <c r="C1279" s="34" t="s">
        <v>4747</v>
      </c>
      <c r="D1279" s="34" t="s">
        <v>4748</v>
      </c>
      <c r="E1279" s="34" t="s">
        <v>116</v>
      </c>
      <c r="F1279" s="34" t="s">
        <v>1602</v>
      </c>
      <c r="G1279" s="34" t="s">
        <v>259</v>
      </c>
      <c r="H1279" s="34" t="s">
        <v>61</v>
      </c>
      <c r="I1279" s="34" t="s">
        <v>63</v>
      </c>
      <c r="J1279" s="34" t="s">
        <v>260</v>
      </c>
      <c r="K1279" s="34" t="s">
        <v>229</v>
      </c>
      <c r="L1279" s="34" t="s">
        <v>230</v>
      </c>
      <c r="M1279" s="34" t="s">
        <v>231</v>
      </c>
      <c r="N1279" s="34" t="str">
        <f aca="false">"Sector "&amp;VALUE(MID(D1279,13,2))</f>
        <v>Sector 3</v>
      </c>
      <c r="O1279" s="34" t="str">
        <f aca="false">IF(Dashboard!$C$5="Ubicación técnica",N1279,"Sector "&amp;VALUE(RIGHT(G1279,2)))</f>
        <v>Sector 3</v>
      </c>
      <c r="P1279" s="34" t="str">
        <f aca="false">IF(MID(D1279,15,3)="SEL","Subestación eléctrica","Área de proceso")</f>
        <v>Subestación eléctrica</v>
      </c>
      <c r="Q1279" s="34" t="str">
        <f aca="false">MID(D1279,13,5)&amp;"|"&amp;MID(D1279,19,5)</f>
        <v>03SEL|S_007</v>
      </c>
      <c r="R1279" s="34" t="str">
        <f aca="false">IF(P1279="Subestación eléctrica",IFERROR(INDEX(cat_SubN,MATCH(Q1279,cat_SubK,0)),"SIN CATALOGAR"),"ÁREA DE PROCESO")</f>
        <v>SE-07</v>
      </c>
      <c r="S1279" s="34" t="str">
        <f aca="false">IF(H1279="","SIN DATO",IFERROR(INDEX(cat_MarcaN,MATCH(H1279,cat_MarcaO,0)),H1279))</f>
        <v>GENERAL ELECTRIC</v>
      </c>
      <c r="T1279" s="34" t="str">
        <f aca="false">IF(I1279="","SIN DATO",IFERROR(INDEX(cat_ModN,MATCH(I1279,cat_ModO,0)),I1279))</f>
        <v>MULTILIN</v>
      </c>
      <c r="U1279" s="34" t="str">
        <f aca="false">IF(I1279="","",IFERROR(INDEX(cat_ModG,MATCH(I1279,cat_ModO,0)),"No"))</f>
        <v>Sí</v>
      </c>
      <c r="V1279" s="34" t="str">
        <f aca="false">IF(J1279="","SIN DATO",IFERROR(INDEX(cat_FunN,MATCH(J1279,cat_FunO,0)),J1279))</f>
        <v>Protección y medición</v>
      </c>
      <c r="W1279" s="34" t="str">
        <f aca="false">IF(OR(S1279="SIN DATO",T1279="SIN DATO"),"No","Sí")</f>
        <v>Sí</v>
      </c>
    </row>
    <row r="1280" customFormat="false" ht="15" hidden="false" customHeight="false" outlineLevel="0" collapsed="false">
      <c r="A1280" s="34" t="s">
        <v>4749</v>
      </c>
      <c r="B1280" s="34" t="s">
        <v>4750</v>
      </c>
      <c r="C1280" s="34" t="s">
        <v>4751</v>
      </c>
      <c r="D1280" s="34" t="s">
        <v>4752</v>
      </c>
      <c r="E1280" s="34" t="s">
        <v>116</v>
      </c>
      <c r="F1280" s="34" t="s">
        <v>1602</v>
      </c>
      <c r="G1280" s="34" t="s">
        <v>259</v>
      </c>
      <c r="H1280" s="34" t="s">
        <v>61</v>
      </c>
      <c r="I1280" s="34" t="s">
        <v>63</v>
      </c>
      <c r="J1280" s="34" t="s">
        <v>260</v>
      </c>
      <c r="K1280" s="34" t="s">
        <v>229</v>
      </c>
      <c r="L1280" s="34" t="s">
        <v>230</v>
      </c>
      <c r="M1280" s="34" t="s">
        <v>231</v>
      </c>
      <c r="N1280" s="34" t="str">
        <f aca="false">"Sector "&amp;VALUE(MID(D1280,13,2))</f>
        <v>Sector 3</v>
      </c>
      <c r="O1280" s="34" t="str">
        <f aca="false">IF(Dashboard!$C$5="Ubicación técnica",N1280,"Sector "&amp;VALUE(RIGHT(G1280,2)))</f>
        <v>Sector 3</v>
      </c>
      <c r="P1280" s="34" t="str">
        <f aca="false">IF(MID(D1280,15,3)="SEL","Subestación eléctrica","Área de proceso")</f>
        <v>Subestación eléctrica</v>
      </c>
      <c r="Q1280" s="34" t="str">
        <f aca="false">MID(D1280,13,5)&amp;"|"&amp;MID(D1280,19,5)</f>
        <v>03SEL|S_007</v>
      </c>
      <c r="R1280" s="34" t="str">
        <f aca="false">IF(P1280="Subestación eléctrica",IFERROR(INDEX(cat_SubN,MATCH(Q1280,cat_SubK,0)),"SIN CATALOGAR"),"ÁREA DE PROCESO")</f>
        <v>SE-07</v>
      </c>
      <c r="S1280" s="34" t="str">
        <f aca="false">IF(H1280="","SIN DATO",IFERROR(INDEX(cat_MarcaN,MATCH(H1280,cat_MarcaO,0)),H1280))</f>
        <v>GENERAL ELECTRIC</v>
      </c>
      <c r="T1280" s="34" t="str">
        <f aca="false">IF(I1280="","SIN DATO",IFERROR(INDEX(cat_ModN,MATCH(I1280,cat_ModO,0)),I1280))</f>
        <v>MULTILIN</v>
      </c>
      <c r="U1280" s="34" t="str">
        <f aca="false">IF(I1280="","",IFERROR(INDEX(cat_ModG,MATCH(I1280,cat_ModO,0)),"No"))</f>
        <v>Sí</v>
      </c>
      <c r="V1280" s="34" t="str">
        <f aca="false">IF(J1280="","SIN DATO",IFERROR(INDEX(cat_FunN,MATCH(J1280,cat_FunO,0)),J1280))</f>
        <v>Protección y medición</v>
      </c>
      <c r="W1280" s="34" t="str">
        <f aca="false">IF(OR(S1280="SIN DATO",T1280="SIN DATO"),"No","Sí")</f>
        <v>Sí</v>
      </c>
    </row>
    <row r="1281" customFormat="false" ht="15" hidden="false" customHeight="false" outlineLevel="0" collapsed="false">
      <c r="A1281" s="34" t="s">
        <v>4753</v>
      </c>
      <c r="B1281" s="34" t="s">
        <v>4754</v>
      </c>
      <c r="C1281" s="34" t="s">
        <v>4755</v>
      </c>
      <c r="D1281" s="34" t="s">
        <v>4756</v>
      </c>
      <c r="E1281" s="34" t="s">
        <v>116</v>
      </c>
      <c r="F1281" s="34" t="s">
        <v>1602</v>
      </c>
      <c r="G1281" s="34" t="s">
        <v>259</v>
      </c>
      <c r="H1281" s="34" t="s">
        <v>61</v>
      </c>
      <c r="I1281" s="34" t="s">
        <v>63</v>
      </c>
      <c r="J1281" s="34" t="s">
        <v>260</v>
      </c>
      <c r="K1281" s="34" t="s">
        <v>229</v>
      </c>
      <c r="L1281" s="34" t="s">
        <v>230</v>
      </c>
      <c r="M1281" s="34" t="s">
        <v>231</v>
      </c>
      <c r="N1281" s="34" t="str">
        <f aca="false">"Sector "&amp;VALUE(MID(D1281,13,2))</f>
        <v>Sector 3</v>
      </c>
      <c r="O1281" s="34" t="str">
        <f aca="false">IF(Dashboard!$C$5="Ubicación técnica",N1281,"Sector "&amp;VALUE(RIGHT(G1281,2)))</f>
        <v>Sector 3</v>
      </c>
      <c r="P1281" s="34" t="str">
        <f aca="false">IF(MID(D1281,15,3)="SEL","Subestación eléctrica","Área de proceso")</f>
        <v>Subestación eléctrica</v>
      </c>
      <c r="Q1281" s="34" t="str">
        <f aca="false">MID(D1281,13,5)&amp;"|"&amp;MID(D1281,19,5)</f>
        <v>03SEL|S_007</v>
      </c>
      <c r="R1281" s="34" t="str">
        <f aca="false">IF(P1281="Subestación eléctrica",IFERROR(INDEX(cat_SubN,MATCH(Q1281,cat_SubK,0)),"SIN CATALOGAR"),"ÁREA DE PROCESO")</f>
        <v>SE-07</v>
      </c>
      <c r="S1281" s="34" t="str">
        <f aca="false">IF(H1281="","SIN DATO",IFERROR(INDEX(cat_MarcaN,MATCH(H1281,cat_MarcaO,0)),H1281))</f>
        <v>GENERAL ELECTRIC</v>
      </c>
      <c r="T1281" s="34" t="str">
        <f aca="false">IF(I1281="","SIN DATO",IFERROR(INDEX(cat_ModN,MATCH(I1281,cat_ModO,0)),I1281))</f>
        <v>MULTILIN</v>
      </c>
      <c r="U1281" s="34" t="str">
        <f aca="false">IF(I1281="","",IFERROR(INDEX(cat_ModG,MATCH(I1281,cat_ModO,0)),"No"))</f>
        <v>Sí</v>
      </c>
      <c r="V1281" s="34" t="str">
        <f aca="false">IF(J1281="","SIN DATO",IFERROR(INDEX(cat_FunN,MATCH(J1281,cat_FunO,0)),J1281))</f>
        <v>Protección y medición</v>
      </c>
      <c r="W1281" s="34" t="str">
        <f aca="false">IF(OR(S1281="SIN DATO",T1281="SIN DATO"),"No","Sí")</f>
        <v>Sí</v>
      </c>
    </row>
    <row r="1282" customFormat="false" ht="15" hidden="false" customHeight="false" outlineLevel="0" collapsed="false">
      <c r="A1282" s="34" t="s">
        <v>4757</v>
      </c>
      <c r="B1282" s="34" t="s">
        <v>4758</v>
      </c>
      <c r="C1282" s="34" t="s">
        <v>4759</v>
      </c>
      <c r="D1282" s="34" t="s">
        <v>3193</v>
      </c>
      <c r="E1282" s="34" t="s">
        <v>116</v>
      </c>
      <c r="F1282" s="34" t="s">
        <v>1602</v>
      </c>
      <c r="G1282" s="34" t="s">
        <v>259</v>
      </c>
      <c r="H1282" s="34" t="s">
        <v>61</v>
      </c>
      <c r="I1282" s="34" t="s">
        <v>63</v>
      </c>
      <c r="J1282" s="34" t="s">
        <v>260</v>
      </c>
      <c r="K1282" s="34" t="s">
        <v>229</v>
      </c>
      <c r="L1282" s="34" t="s">
        <v>230</v>
      </c>
      <c r="M1282" s="34" t="s">
        <v>231</v>
      </c>
      <c r="N1282" s="34" t="str">
        <f aca="false">"Sector "&amp;VALUE(MID(D1282,13,2))</f>
        <v>Sector 3</v>
      </c>
      <c r="O1282" s="34" t="str">
        <f aca="false">IF(Dashboard!$C$5="Ubicación técnica",N1282,"Sector "&amp;VALUE(RIGHT(G1282,2)))</f>
        <v>Sector 3</v>
      </c>
      <c r="P1282" s="34" t="str">
        <f aca="false">IF(MID(D1282,15,3)="SEL","Subestación eléctrica","Área de proceso")</f>
        <v>Subestación eléctrica</v>
      </c>
      <c r="Q1282" s="34" t="str">
        <f aca="false">MID(D1282,13,5)&amp;"|"&amp;MID(D1282,19,5)</f>
        <v>03SEL|S_007</v>
      </c>
      <c r="R1282" s="34" t="str">
        <f aca="false">IF(P1282="Subestación eléctrica",IFERROR(INDEX(cat_SubN,MATCH(Q1282,cat_SubK,0)),"SIN CATALOGAR"),"ÁREA DE PROCESO")</f>
        <v>SE-07</v>
      </c>
      <c r="S1282" s="34" t="str">
        <f aca="false">IF(H1282="","SIN DATO",IFERROR(INDEX(cat_MarcaN,MATCH(H1282,cat_MarcaO,0)),H1282))</f>
        <v>GENERAL ELECTRIC</v>
      </c>
      <c r="T1282" s="34" t="str">
        <f aca="false">IF(I1282="","SIN DATO",IFERROR(INDEX(cat_ModN,MATCH(I1282,cat_ModO,0)),I1282))</f>
        <v>MULTILIN</v>
      </c>
      <c r="U1282" s="34" t="str">
        <f aca="false">IF(I1282="","",IFERROR(INDEX(cat_ModG,MATCH(I1282,cat_ModO,0)),"No"))</f>
        <v>Sí</v>
      </c>
      <c r="V1282" s="34" t="str">
        <f aca="false">IF(J1282="","SIN DATO",IFERROR(INDEX(cat_FunN,MATCH(J1282,cat_FunO,0)),J1282))</f>
        <v>Protección y medición</v>
      </c>
      <c r="W1282" s="34" t="str">
        <f aca="false">IF(OR(S1282="SIN DATO",T1282="SIN DATO"),"No","Sí")</f>
        <v>Sí</v>
      </c>
    </row>
    <row r="1283" customFormat="false" ht="15" hidden="false" customHeight="false" outlineLevel="0" collapsed="false">
      <c r="A1283" s="34" t="s">
        <v>4760</v>
      </c>
      <c r="B1283" s="34" t="s">
        <v>4761</v>
      </c>
      <c r="C1283" s="34" t="s">
        <v>4762</v>
      </c>
      <c r="D1283" s="34" t="s">
        <v>4763</v>
      </c>
      <c r="E1283" s="34" t="s">
        <v>116</v>
      </c>
      <c r="F1283" s="34" t="s">
        <v>1602</v>
      </c>
      <c r="G1283" s="34" t="s">
        <v>259</v>
      </c>
      <c r="H1283" s="34" t="s">
        <v>55</v>
      </c>
      <c r="I1283" s="34" t="s">
        <v>55</v>
      </c>
      <c r="J1283" s="34" t="s">
        <v>58</v>
      </c>
      <c r="K1283" s="34" t="s">
        <v>229</v>
      </c>
      <c r="L1283" s="34" t="s">
        <v>230</v>
      </c>
      <c r="M1283" s="34" t="s">
        <v>344</v>
      </c>
      <c r="N1283" s="34" t="str">
        <f aca="false">"Sector "&amp;VALUE(MID(D1283,13,2))</f>
        <v>Sector 3</v>
      </c>
      <c r="O1283" s="34" t="str">
        <f aca="false">IF(Dashboard!$C$5="Ubicación técnica",N1283,"Sector "&amp;VALUE(RIGHT(G1283,2)))</f>
        <v>Sector 3</v>
      </c>
      <c r="P1283" s="34" t="str">
        <f aca="false">IF(MID(D1283,15,3)="SEL","Subestación eléctrica","Área de proceso")</f>
        <v>Subestación eléctrica</v>
      </c>
      <c r="Q1283" s="34" t="str">
        <f aca="false">MID(D1283,13,5)&amp;"|"&amp;MID(D1283,19,5)</f>
        <v>03SEL|S_007</v>
      </c>
      <c r="R1283" s="34" t="str">
        <f aca="false">IF(P1283="Subestación eléctrica",IFERROR(INDEX(cat_SubN,MATCH(Q1283,cat_SubK,0)),"SIN CATALOGAR"),"ÁREA DE PROCESO")</f>
        <v>SE-07</v>
      </c>
      <c r="S1283" s="34" t="str">
        <f aca="false">IF(H1283="","SIN DATO",IFERROR(INDEX(cat_MarcaN,MATCH(H1283,cat_MarcaO,0)),H1283))</f>
        <v>SEL</v>
      </c>
      <c r="T1283" s="34" t="str">
        <f aca="false">IF(I1283="","SIN DATO",IFERROR(INDEX(cat_ModN,MATCH(I1283,cat_ModO,0)),I1283))</f>
        <v>SEL</v>
      </c>
      <c r="U1283" s="34" t="str">
        <f aca="false">IF(I1283="","",IFERROR(INDEX(cat_ModG,MATCH(I1283,cat_ModO,0)),"No"))</f>
        <v>Sí</v>
      </c>
      <c r="V1283" s="34" t="str">
        <f aca="false">IF(J1283="","SIN DATO",IFERROR(INDEX(cat_FunN,MATCH(J1283,cat_FunO,0)),J1283))</f>
        <v>Medición</v>
      </c>
      <c r="W1283" s="34" t="str">
        <f aca="false">IF(OR(S1283="SIN DATO",T1283="SIN DATO"),"No","Sí")</f>
        <v>Sí</v>
      </c>
    </row>
    <row r="1284" customFormat="false" ht="15" hidden="false" customHeight="false" outlineLevel="0" collapsed="false">
      <c r="A1284" s="34" t="s">
        <v>4764</v>
      </c>
      <c r="B1284" s="34" t="s">
        <v>4765</v>
      </c>
      <c r="C1284" s="34" t="s">
        <v>4766</v>
      </c>
      <c r="D1284" s="34" t="s">
        <v>4767</v>
      </c>
      <c r="E1284" s="34" t="s">
        <v>116</v>
      </c>
      <c r="F1284" s="34" t="s">
        <v>1602</v>
      </c>
      <c r="G1284" s="34" t="s">
        <v>259</v>
      </c>
      <c r="H1284" s="34" t="s">
        <v>55</v>
      </c>
      <c r="I1284" s="34" t="s">
        <v>55</v>
      </c>
      <c r="J1284" s="34" t="s">
        <v>58</v>
      </c>
      <c r="K1284" s="34" t="s">
        <v>229</v>
      </c>
      <c r="L1284" s="34" t="s">
        <v>230</v>
      </c>
      <c r="M1284" s="34" t="s">
        <v>344</v>
      </c>
      <c r="N1284" s="34" t="str">
        <f aca="false">"Sector "&amp;VALUE(MID(D1284,13,2))</f>
        <v>Sector 3</v>
      </c>
      <c r="O1284" s="34" t="str">
        <f aca="false">IF(Dashboard!$C$5="Ubicación técnica",N1284,"Sector "&amp;VALUE(RIGHT(G1284,2)))</f>
        <v>Sector 3</v>
      </c>
      <c r="P1284" s="34" t="str">
        <f aca="false">IF(MID(D1284,15,3)="SEL","Subestación eléctrica","Área de proceso")</f>
        <v>Subestación eléctrica</v>
      </c>
      <c r="Q1284" s="34" t="str">
        <f aca="false">MID(D1284,13,5)&amp;"|"&amp;MID(D1284,19,5)</f>
        <v>03SEL|S_007</v>
      </c>
      <c r="R1284" s="34" t="str">
        <f aca="false">IF(P1284="Subestación eléctrica",IFERROR(INDEX(cat_SubN,MATCH(Q1284,cat_SubK,0)),"SIN CATALOGAR"),"ÁREA DE PROCESO")</f>
        <v>SE-07</v>
      </c>
      <c r="S1284" s="34" t="str">
        <f aca="false">IF(H1284="","SIN DATO",IFERROR(INDEX(cat_MarcaN,MATCH(H1284,cat_MarcaO,0)),H1284))</f>
        <v>SEL</v>
      </c>
      <c r="T1284" s="34" t="str">
        <f aca="false">IF(I1284="","SIN DATO",IFERROR(INDEX(cat_ModN,MATCH(I1284,cat_ModO,0)),I1284))</f>
        <v>SEL</v>
      </c>
      <c r="U1284" s="34" t="str">
        <f aca="false">IF(I1284="","",IFERROR(INDEX(cat_ModG,MATCH(I1284,cat_ModO,0)),"No"))</f>
        <v>Sí</v>
      </c>
      <c r="V1284" s="34" t="str">
        <f aca="false">IF(J1284="","SIN DATO",IFERROR(INDEX(cat_FunN,MATCH(J1284,cat_FunO,0)),J1284))</f>
        <v>Medición</v>
      </c>
      <c r="W1284" s="34" t="str">
        <f aca="false">IF(OR(S1284="SIN DATO",T1284="SIN DATO"),"No","Sí")</f>
        <v>Sí</v>
      </c>
    </row>
    <row r="1285" customFormat="false" ht="15" hidden="false" customHeight="false" outlineLevel="0" collapsed="false">
      <c r="A1285" s="34" t="s">
        <v>4768</v>
      </c>
      <c r="B1285" s="34" t="s">
        <v>4769</v>
      </c>
      <c r="C1285" s="34" t="s">
        <v>4770</v>
      </c>
      <c r="D1285" s="34" t="s">
        <v>4771</v>
      </c>
      <c r="E1285" s="34" t="s">
        <v>116</v>
      </c>
      <c r="F1285" s="34" t="s">
        <v>1602</v>
      </c>
      <c r="G1285" s="34" t="s">
        <v>259</v>
      </c>
      <c r="H1285" s="34" t="s">
        <v>55</v>
      </c>
      <c r="I1285" s="34" t="s">
        <v>55</v>
      </c>
      <c r="J1285" s="34" t="s">
        <v>58</v>
      </c>
      <c r="K1285" s="34" t="s">
        <v>229</v>
      </c>
      <c r="L1285" s="34" t="s">
        <v>230</v>
      </c>
      <c r="M1285" s="34" t="s">
        <v>344</v>
      </c>
      <c r="N1285" s="34" t="str">
        <f aca="false">"Sector "&amp;VALUE(MID(D1285,13,2))</f>
        <v>Sector 3</v>
      </c>
      <c r="O1285" s="34" t="str">
        <f aca="false">IF(Dashboard!$C$5="Ubicación técnica",N1285,"Sector "&amp;VALUE(RIGHT(G1285,2)))</f>
        <v>Sector 3</v>
      </c>
      <c r="P1285" s="34" t="str">
        <f aca="false">IF(MID(D1285,15,3)="SEL","Subestación eléctrica","Área de proceso")</f>
        <v>Subestación eléctrica</v>
      </c>
      <c r="Q1285" s="34" t="str">
        <f aca="false">MID(D1285,13,5)&amp;"|"&amp;MID(D1285,19,5)</f>
        <v>03SEL|S_007</v>
      </c>
      <c r="R1285" s="34" t="str">
        <f aca="false">IF(P1285="Subestación eléctrica",IFERROR(INDEX(cat_SubN,MATCH(Q1285,cat_SubK,0)),"SIN CATALOGAR"),"ÁREA DE PROCESO")</f>
        <v>SE-07</v>
      </c>
      <c r="S1285" s="34" t="str">
        <f aca="false">IF(H1285="","SIN DATO",IFERROR(INDEX(cat_MarcaN,MATCH(H1285,cat_MarcaO,0)),H1285))</f>
        <v>SEL</v>
      </c>
      <c r="T1285" s="34" t="str">
        <f aca="false">IF(I1285="","SIN DATO",IFERROR(INDEX(cat_ModN,MATCH(I1285,cat_ModO,0)),I1285))</f>
        <v>SEL</v>
      </c>
      <c r="U1285" s="34" t="str">
        <f aca="false">IF(I1285="","",IFERROR(INDEX(cat_ModG,MATCH(I1285,cat_ModO,0)),"No"))</f>
        <v>Sí</v>
      </c>
      <c r="V1285" s="34" t="str">
        <f aca="false">IF(J1285="","SIN DATO",IFERROR(INDEX(cat_FunN,MATCH(J1285,cat_FunO,0)),J1285))</f>
        <v>Medición</v>
      </c>
      <c r="W1285" s="34" t="str">
        <f aca="false">IF(OR(S1285="SIN DATO",T1285="SIN DATO"),"No","Sí")</f>
        <v>Sí</v>
      </c>
    </row>
    <row r="1286" customFormat="false" ht="15" hidden="false" customHeight="false" outlineLevel="0" collapsed="false">
      <c r="A1286" s="34" t="s">
        <v>4772</v>
      </c>
      <c r="B1286" s="34" t="s">
        <v>4773</v>
      </c>
      <c r="C1286" s="34" t="s">
        <v>4774</v>
      </c>
      <c r="D1286" s="34" t="s">
        <v>4775</v>
      </c>
      <c r="E1286" s="34" t="s">
        <v>116</v>
      </c>
      <c r="F1286" s="34" t="s">
        <v>1602</v>
      </c>
      <c r="G1286" s="34" t="s">
        <v>259</v>
      </c>
      <c r="H1286" s="34" t="s">
        <v>55</v>
      </c>
      <c r="I1286" s="34" t="s">
        <v>55</v>
      </c>
      <c r="J1286" s="34" t="s">
        <v>58</v>
      </c>
      <c r="K1286" s="34" t="s">
        <v>229</v>
      </c>
      <c r="L1286" s="34" t="s">
        <v>230</v>
      </c>
      <c r="M1286" s="34" t="s">
        <v>344</v>
      </c>
      <c r="N1286" s="34" t="str">
        <f aca="false">"Sector "&amp;VALUE(MID(D1286,13,2))</f>
        <v>Sector 3</v>
      </c>
      <c r="O1286" s="34" t="str">
        <f aca="false">IF(Dashboard!$C$5="Ubicación técnica",N1286,"Sector "&amp;VALUE(RIGHT(G1286,2)))</f>
        <v>Sector 3</v>
      </c>
      <c r="P1286" s="34" t="str">
        <f aca="false">IF(MID(D1286,15,3)="SEL","Subestación eléctrica","Área de proceso")</f>
        <v>Subestación eléctrica</v>
      </c>
      <c r="Q1286" s="34" t="str">
        <f aca="false">MID(D1286,13,5)&amp;"|"&amp;MID(D1286,19,5)</f>
        <v>03SEL|S_007</v>
      </c>
      <c r="R1286" s="34" t="str">
        <f aca="false">IF(P1286="Subestación eléctrica",IFERROR(INDEX(cat_SubN,MATCH(Q1286,cat_SubK,0)),"SIN CATALOGAR"),"ÁREA DE PROCESO")</f>
        <v>SE-07</v>
      </c>
      <c r="S1286" s="34" t="str">
        <f aca="false">IF(H1286="","SIN DATO",IFERROR(INDEX(cat_MarcaN,MATCH(H1286,cat_MarcaO,0)),H1286))</f>
        <v>SEL</v>
      </c>
      <c r="T1286" s="34" t="str">
        <f aca="false">IF(I1286="","SIN DATO",IFERROR(INDEX(cat_ModN,MATCH(I1286,cat_ModO,0)),I1286))</f>
        <v>SEL</v>
      </c>
      <c r="U1286" s="34" t="str">
        <f aca="false">IF(I1286="","",IFERROR(INDEX(cat_ModG,MATCH(I1286,cat_ModO,0)),"No"))</f>
        <v>Sí</v>
      </c>
      <c r="V1286" s="34" t="str">
        <f aca="false">IF(J1286="","SIN DATO",IFERROR(INDEX(cat_FunN,MATCH(J1286,cat_FunO,0)),J1286))</f>
        <v>Medición</v>
      </c>
      <c r="W1286" s="34" t="str">
        <f aca="false">IF(OR(S1286="SIN DATO",T1286="SIN DATO"),"No","Sí")</f>
        <v>Sí</v>
      </c>
    </row>
    <row r="1287" customFormat="false" ht="15" hidden="false" customHeight="false" outlineLevel="0" collapsed="false">
      <c r="A1287" s="34" t="s">
        <v>4776</v>
      </c>
      <c r="B1287" s="34" t="s">
        <v>4777</v>
      </c>
      <c r="C1287" s="34" t="s">
        <v>4778</v>
      </c>
      <c r="D1287" s="34" t="s">
        <v>4779</v>
      </c>
      <c r="E1287" s="34" t="s">
        <v>116</v>
      </c>
      <c r="F1287" s="34" t="s">
        <v>1602</v>
      </c>
      <c r="G1287" s="34" t="s">
        <v>259</v>
      </c>
      <c r="H1287" s="34" t="s">
        <v>55</v>
      </c>
      <c r="I1287" s="34" t="s">
        <v>55</v>
      </c>
      <c r="J1287" s="34" t="s">
        <v>58</v>
      </c>
      <c r="K1287" s="34" t="s">
        <v>229</v>
      </c>
      <c r="L1287" s="34" t="s">
        <v>230</v>
      </c>
      <c r="M1287" s="34" t="s">
        <v>344</v>
      </c>
      <c r="N1287" s="34" t="str">
        <f aca="false">"Sector "&amp;VALUE(MID(D1287,13,2))</f>
        <v>Sector 3</v>
      </c>
      <c r="O1287" s="34" t="str">
        <f aca="false">IF(Dashboard!$C$5="Ubicación técnica",N1287,"Sector "&amp;VALUE(RIGHT(G1287,2)))</f>
        <v>Sector 3</v>
      </c>
      <c r="P1287" s="34" t="str">
        <f aca="false">IF(MID(D1287,15,3)="SEL","Subestación eléctrica","Área de proceso")</f>
        <v>Subestación eléctrica</v>
      </c>
      <c r="Q1287" s="34" t="str">
        <f aca="false">MID(D1287,13,5)&amp;"|"&amp;MID(D1287,19,5)</f>
        <v>03SEL|S_007</v>
      </c>
      <c r="R1287" s="34" t="str">
        <f aca="false">IF(P1287="Subestación eléctrica",IFERROR(INDEX(cat_SubN,MATCH(Q1287,cat_SubK,0)),"SIN CATALOGAR"),"ÁREA DE PROCESO")</f>
        <v>SE-07</v>
      </c>
      <c r="S1287" s="34" t="str">
        <f aca="false">IF(H1287="","SIN DATO",IFERROR(INDEX(cat_MarcaN,MATCH(H1287,cat_MarcaO,0)),H1287))</f>
        <v>SEL</v>
      </c>
      <c r="T1287" s="34" t="str">
        <f aca="false">IF(I1287="","SIN DATO",IFERROR(INDEX(cat_ModN,MATCH(I1287,cat_ModO,0)),I1287))</f>
        <v>SEL</v>
      </c>
      <c r="U1287" s="34" t="str">
        <f aca="false">IF(I1287="","",IFERROR(INDEX(cat_ModG,MATCH(I1287,cat_ModO,0)),"No"))</f>
        <v>Sí</v>
      </c>
      <c r="V1287" s="34" t="str">
        <f aca="false">IF(J1287="","SIN DATO",IFERROR(INDEX(cat_FunN,MATCH(J1287,cat_FunO,0)),J1287))</f>
        <v>Medición</v>
      </c>
      <c r="W1287" s="34" t="str">
        <f aca="false">IF(OR(S1287="SIN DATO",T1287="SIN DATO"),"No","Sí")</f>
        <v>Sí</v>
      </c>
    </row>
    <row r="1288" customFormat="false" ht="15" hidden="false" customHeight="false" outlineLevel="0" collapsed="false">
      <c r="A1288" s="34" t="s">
        <v>4780</v>
      </c>
      <c r="B1288" s="34" t="s">
        <v>4781</v>
      </c>
      <c r="C1288" s="34" t="s">
        <v>4782</v>
      </c>
      <c r="D1288" s="34" t="s">
        <v>4783</v>
      </c>
      <c r="E1288" s="34" t="s">
        <v>116</v>
      </c>
      <c r="F1288" s="34" t="s">
        <v>1602</v>
      </c>
      <c r="G1288" s="34" t="s">
        <v>259</v>
      </c>
      <c r="H1288" s="34" t="s">
        <v>55</v>
      </c>
      <c r="I1288" s="34" t="s">
        <v>55</v>
      </c>
      <c r="J1288" s="34" t="s">
        <v>58</v>
      </c>
      <c r="K1288" s="34" t="s">
        <v>229</v>
      </c>
      <c r="L1288" s="34" t="s">
        <v>230</v>
      </c>
      <c r="M1288" s="34" t="s">
        <v>344</v>
      </c>
      <c r="N1288" s="34" t="str">
        <f aca="false">"Sector "&amp;VALUE(MID(D1288,13,2))</f>
        <v>Sector 3</v>
      </c>
      <c r="O1288" s="34" t="str">
        <f aca="false">IF(Dashboard!$C$5="Ubicación técnica",N1288,"Sector "&amp;VALUE(RIGHT(G1288,2)))</f>
        <v>Sector 3</v>
      </c>
      <c r="P1288" s="34" t="str">
        <f aca="false">IF(MID(D1288,15,3)="SEL","Subestación eléctrica","Área de proceso")</f>
        <v>Subestación eléctrica</v>
      </c>
      <c r="Q1288" s="34" t="str">
        <f aca="false">MID(D1288,13,5)&amp;"|"&amp;MID(D1288,19,5)</f>
        <v>03SEL|S_007</v>
      </c>
      <c r="R1288" s="34" t="str">
        <f aca="false">IF(P1288="Subestación eléctrica",IFERROR(INDEX(cat_SubN,MATCH(Q1288,cat_SubK,0)),"SIN CATALOGAR"),"ÁREA DE PROCESO")</f>
        <v>SE-07</v>
      </c>
      <c r="S1288" s="34" t="str">
        <f aca="false">IF(H1288="","SIN DATO",IFERROR(INDEX(cat_MarcaN,MATCH(H1288,cat_MarcaO,0)),H1288))</f>
        <v>SEL</v>
      </c>
      <c r="T1288" s="34" t="str">
        <f aca="false">IF(I1288="","SIN DATO",IFERROR(INDEX(cat_ModN,MATCH(I1288,cat_ModO,0)),I1288))</f>
        <v>SEL</v>
      </c>
      <c r="U1288" s="34" t="str">
        <f aca="false">IF(I1288="","",IFERROR(INDEX(cat_ModG,MATCH(I1288,cat_ModO,0)),"No"))</f>
        <v>Sí</v>
      </c>
      <c r="V1288" s="34" t="str">
        <f aca="false">IF(J1288="","SIN DATO",IFERROR(INDEX(cat_FunN,MATCH(J1288,cat_FunO,0)),J1288))</f>
        <v>Medición</v>
      </c>
      <c r="W1288" s="34" t="str">
        <f aca="false">IF(OR(S1288="SIN DATO",T1288="SIN DATO"),"No","Sí")</f>
        <v>Sí</v>
      </c>
    </row>
    <row r="1289" customFormat="false" ht="15" hidden="false" customHeight="false" outlineLevel="0" collapsed="false">
      <c r="A1289" s="34" t="s">
        <v>4784</v>
      </c>
      <c r="B1289" s="34" t="s">
        <v>4785</v>
      </c>
      <c r="C1289" s="34" t="s">
        <v>4786</v>
      </c>
      <c r="D1289" s="34" t="s">
        <v>4787</v>
      </c>
      <c r="E1289" s="34" t="s">
        <v>116</v>
      </c>
      <c r="F1289" s="34" t="s">
        <v>1602</v>
      </c>
      <c r="G1289" s="34" t="s">
        <v>259</v>
      </c>
      <c r="H1289" s="34" t="s">
        <v>55</v>
      </c>
      <c r="I1289" s="34" t="s">
        <v>55</v>
      </c>
      <c r="J1289" s="34" t="s">
        <v>58</v>
      </c>
      <c r="K1289" s="34" t="s">
        <v>229</v>
      </c>
      <c r="L1289" s="34" t="s">
        <v>230</v>
      </c>
      <c r="M1289" s="34" t="s">
        <v>344</v>
      </c>
      <c r="N1289" s="34" t="str">
        <f aca="false">"Sector "&amp;VALUE(MID(D1289,13,2))</f>
        <v>Sector 3</v>
      </c>
      <c r="O1289" s="34" t="str">
        <f aca="false">IF(Dashboard!$C$5="Ubicación técnica",N1289,"Sector "&amp;VALUE(RIGHT(G1289,2)))</f>
        <v>Sector 3</v>
      </c>
      <c r="P1289" s="34" t="str">
        <f aca="false">IF(MID(D1289,15,3)="SEL","Subestación eléctrica","Área de proceso")</f>
        <v>Subestación eléctrica</v>
      </c>
      <c r="Q1289" s="34" t="str">
        <f aca="false">MID(D1289,13,5)&amp;"|"&amp;MID(D1289,19,5)</f>
        <v>03SEL|S_007</v>
      </c>
      <c r="R1289" s="34" t="str">
        <f aca="false">IF(P1289="Subestación eléctrica",IFERROR(INDEX(cat_SubN,MATCH(Q1289,cat_SubK,0)),"SIN CATALOGAR"),"ÁREA DE PROCESO")</f>
        <v>SE-07</v>
      </c>
      <c r="S1289" s="34" t="str">
        <f aca="false">IF(H1289="","SIN DATO",IFERROR(INDEX(cat_MarcaN,MATCH(H1289,cat_MarcaO,0)),H1289))</f>
        <v>SEL</v>
      </c>
      <c r="T1289" s="34" t="str">
        <f aca="false">IF(I1289="","SIN DATO",IFERROR(INDEX(cat_ModN,MATCH(I1289,cat_ModO,0)),I1289))</f>
        <v>SEL</v>
      </c>
      <c r="U1289" s="34" t="str">
        <f aca="false">IF(I1289="","",IFERROR(INDEX(cat_ModG,MATCH(I1289,cat_ModO,0)),"No"))</f>
        <v>Sí</v>
      </c>
      <c r="V1289" s="34" t="str">
        <f aca="false">IF(J1289="","SIN DATO",IFERROR(INDEX(cat_FunN,MATCH(J1289,cat_FunO,0)),J1289))</f>
        <v>Medición</v>
      </c>
      <c r="W1289" s="34" t="str">
        <f aca="false">IF(OR(S1289="SIN DATO",T1289="SIN DATO"),"No","Sí")</f>
        <v>Sí</v>
      </c>
    </row>
    <row r="1290" customFormat="false" ht="15" hidden="false" customHeight="false" outlineLevel="0" collapsed="false">
      <c r="A1290" s="34" t="s">
        <v>4788</v>
      </c>
      <c r="B1290" s="34" t="s">
        <v>4789</v>
      </c>
      <c r="C1290" s="34" t="s">
        <v>4790</v>
      </c>
      <c r="D1290" s="34" t="s">
        <v>4791</v>
      </c>
      <c r="E1290" s="34" t="s">
        <v>116</v>
      </c>
      <c r="F1290" s="34" t="s">
        <v>1602</v>
      </c>
      <c r="G1290" s="34" t="s">
        <v>259</v>
      </c>
      <c r="H1290" s="34" t="s">
        <v>55</v>
      </c>
      <c r="I1290" s="34" t="s">
        <v>55</v>
      </c>
      <c r="J1290" s="34" t="s">
        <v>58</v>
      </c>
      <c r="K1290" s="34" t="s">
        <v>229</v>
      </c>
      <c r="L1290" s="34" t="s">
        <v>230</v>
      </c>
      <c r="M1290" s="34" t="s">
        <v>344</v>
      </c>
      <c r="N1290" s="34" t="str">
        <f aca="false">"Sector "&amp;VALUE(MID(D1290,13,2))</f>
        <v>Sector 3</v>
      </c>
      <c r="O1290" s="34" t="str">
        <f aca="false">IF(Dashboard!$C$5="Ubicación técnica",N1290,"Sector "&amp;VALUE(RIGHT(G1290,2)))</f>
        <v>Sector 3</v>
      </c>
      <c r="P1290" s="34" t="str">
        <f aca="false">IF(MID(D1290,15,3)="SEL","Subestación eléctrica","Área de proceso")</f>
        <v>Subestación eléctrica</v>
      </c>
      <c r="Q1290" s="34" t="str">
        <f aca="false">MID(D1290,13,5)&amp;"|"&amp;MID(D1290,19,5)</f>
        <v>03SEL|S_007</v>
      </c>
      <c r="R1290" s="34" t="str">
        <f aca="false">IF(P1290="Subestación eléctrica",IFERROR(INDEX(cat_SubN,MATCH(Q1290,cat_SubK,0)),"SIN CATALOGAR"),"ÁREA DE PROCESO")</f>
        <v>SE-07</v>
      </c>
      <c r="S1290" s="34" t="str">
        <f aca="false">IF(H1290="","SIN DATO",IFERROR(INDEX(cat_MarcaN,MATCH(H1290,cat_MarcaO,0)),H1290))</f>
        <v>SEL</v>
      </c>
      <c r="T1290" s="34" t="str">
        <f aca="false">IF(I1290="","SIN DATO",IFERROR(INDEX(cat_ModN,MATCH(I1290,cat_ModO,0)),I1290))</f>
        <v>SEL</v>
      </c>
      <c r="U1290" s="34" t="str">
        <f aca="false">IF(I1290="","",IFERROR(INDEX(cat_ModG,MATCH(I1290,cat_ModO,0)),"No"))</f>
        <v>Sí</v>
      </c>
      <c r="V1290" s="34" t="str">
        <f aca="false">IF(J1290="","SIN DATO",IFERROR(INDEX(cat_FunN,MATCH(J1290,cat_FunO,0)),J1290))</f>
        <v>Medición</v>
      </c>
      <c r="W1290" s="34" t="str">
        <f aca="false">IF(OR(S1290="SIN DATO",T1290="SIN DATO"),"No","Sí")</f>
        <v>Sí</v>
      </c>
    </row>
    <row r="1291" customFormat="false" ht="15" hidden="false" customHeight="false" outlineLevel="0" collapsed="false">
      <c r="A1291" s="34" t="s">
        <v>4792</v>
      </c>
      <c r="B1291" s="34" t="s">
        <v>4793</v>
      </c>
      <c r="C1291" s="34" t="s">
        <v>4794</v>
      </c>
      <c r="D1291" s="34" t="s">
        <v>4795</v>
      </c>
      <c r="E1291" s="34" t="s">
        <v>116</v>
      </c>
      <c r="F1291" s="34" t="s">
        <v>1602</v>
      </c>
      <c r="G1291" s="34" t="s">
        <v>259</v>
      </c>
      <c r="H1291" s="34" t="s">
        <v>55</v>
      </c>
      <c r="I1291" s="34" t="s">
        <v>55</v>
      </c>
      <c r="J1291" s="34" t="s">
        <v>58</v>
      </c>
      <c r="K1291" s="34" t="s">
        <v>229</v>
      </c>
      <c r="L1291" s="34" t="s">
        <v>230</v>
      </c>
      <c r="M1291" s="34" t="s">
        <v>344</v>
      </c>
      <c r="N1291" s="34" t="str">
        <f aca="false">"Sector "&amp;VALUE(MID(D1291,13,2))</f>
        <v>Sector 3</v>
      </c>
      <c r="O1291" s="34" t="str">
        <f aca="false">IF(Dashboard!$C$5="Ubicación técnica",N1291,"Sector "&amp;VALUE(RIGHT(G1291,2)))</f>
        <v>Sector 3</v>
      </c>
      <c r="P1291" s="34" t="str">
        <f aca="false">IF(MID(D1291,15,3)="SEL","Subestación eléctrica","Área de proceso")</f>
        <v>Subestación eléctrica</v>
      </c>
      <c r="Q1291" s="34" t="str">
        <f aca="false">MID(D1291,13,5)&amp;"|"&amp;MID(D1291,19,5)</f>
        <v>03SEL|S_007</v>
      </c>
      <c r="R1291" s="34" t="str">
        <f aca="false">IF(P1291="Subestación eléctrica",IFERROR(INDEX(cat_SubN,MATCH(Q1291,cat_SubK,0)),"SIN CATALOGAR"),"ÁREA DE PROCESO")</f>
        <v>SE-07</v>
      </c>
      <c r="S1291" s="34" t="str">
        <f aca="false">IF(H1291="","SIN DATO",IFERROR(INDEX(cat_MarcaN,MATCH(H1291,cat_MarcaO,0)),H1291))</f>
        <v>SEL</v>
      </c>
      <c r="T1291" s="34" t="str">
        <f aca="false">IF(I1291="","SIN DATO",IFERROR(INDEX(cat_ModN,MATCH(I1291,cat_ModO,0)),I1291))</f>
        <v>SEL</v>
      </c>
      <c r="U1291" s="34" t="str">
        <f aca="false">IF(I1291="","",IFERROR(INDEX(cat_ModG,MATCH(I1291,cat_ModO,0)),"No"))</f>
        <v>Sí</v>
      </c>
      <c r="V1291" s="34" t="str">
        <f aca="false">IF(J1291="","SIN DATO",IFERROR(INDEX(cat_FunN,MATCH(J1291,cat_FunO,0)),J1291))</f>
        <v>Medición</v>
      </c>
      <c r="W1291" s="34" t="str">
        <f aca="false">IF(OR(S1291="SIN DATO",T1291="SIN DATO"),"No","Sí")</f>
        <v>Sí</v>
      </c>
    </row>
    <row r="1292" customFormat="false" ht="15" hidden="false" customHeight="false" outlineLevel="0" collapsed="false">
      <c r="A1292" s="34" t="s">
        <v>4796</v>
      </c>
      <c r="B1292" s="34" t="s">
        <v>4797</v>
      </c>
      <c r="C1292" s="34" t="s">
        <v>4798</v>
      </c>
      <c r="D1292" s="34" t="s">
        <v>4799</v>
      </c>
      <c r="E1292" s="34" t="s">
        <v>116</v>
      </c>
      <c r="F1292" s="34" t="s">
        <v>1602</v>
      </c>
      <c r="G1292" s="34" t="s">
        <v>259</v>
      </c>
      <c r="H1292" s="34" t="s">
        <v>55</v>
      </c>
      <c r="I1292" s="34" t="s">
        <v>55</v>
      </c>
      <c r="J1292" s="34" t="s">
        <v>58</v>
      </c>
      <c r="K1292" s="34" t="s">
        <v>229</v>
      </c>
      <c r="L1292" s="34" t="s">
        <v>230</v>
      </c>
      <c r="M1292" s="34" t="s">
        <v>344</v>
      </c>
      <c r="N1292" s="34" t="str">
        <f aca="false">"Sector "&amp;VALUE(MID(D1292,13,2))</f>
        <v>Sector 3</v>
      </c>
      <c r="O1292" s="34" t="str">
        <f aca="false">IF(Dashboard!$C$5="Ubicación técnica",N1292,"Sector "&amp;VALUE(RIGHT(G1292,2)))</f>
        <v>Sector 3</v>
      </c>
      <c r="P1292" s="34" t="str">
        <f aca="false">IF(MID(D1292,15,3)="SEL","Subestación eléctrica","Área de proceso")</f>
        <v>Subestación eléctrica</v>
      </c>
      <c r="Q1292" s="34" t="str">
        <f aca="false">MID(D1292,13,5)&amp;"|"&amp;MID(D1292,19,5)</f>
        <v>03SEL|S_007</v>
      </c>
      <c r="R1292" s="34" t="str">
        <f aca="false">IF(P1292="Subestación eléctrica",IFERROR(INDEX(cat_SubN,MATCH(Q1292,cat_SubK,0)),"SIN CATALOGAR"),"ÁREA DE PROCESO")</f>
        <v>SE-07</v>
      </c>
      <c r="S1292" s="34" t="str">
        <f aca="false">IF(H1292="","SIN DATO",IFERROR(INDEX(cat_MarcaN,MATCH(H1292,cat_MarcaO,0)),H1292))</f>
        <v>SEL</v>
      </c>
      <c r="T1292" s="34" t="str">
        <f aca="false">IF(I1292="","SIN DATO",IFERROR(INDEX(cat_ModN,MATCH(I1292,cat_ModO,0)),I1292))</f>
        <v>SEL</v>
      </c>
      <c r="U1292" s="34" t="str">
        <f aca="false">IF(I1292="","",IFERROR(INDEX(cat_ModG,MATCH(I1292,cat_ModO,0)),"No"))</f>
        <v>Sí</v>
      </c>
      <c r="V1292" s="34" t="str">
        <f aca="false">IF(J1292="","SIN DATO",IFERROR(INDEX(cat_FunN,MATCH(J1292,cat_FunO,0)),J1292))</f>
        <v>Medición</v>
      </c>
      <c r="W1292" s="34" t="str">
        <f aca="false">IF(OR(S1292="SIN DATO",T1292="SIN DATO"),"No","Sí")</f>
        <v>Sí</v>
      </c>
    </row>
    <row r="1293" customFormat="false" ht="15" hidden="false" customHeight="false" outlineLevel="0" collapsed="false">
      <c r="A1293" s="34" t="s">
        <v>4800</v>
      </c>
      <c r="B1293" s="34" t="s">
        <v>4801</v>
      </c>
      <c r="C1293" s="34" t="s">
        <v>4802</v>
      </c>
      <c r="D1293" s="34" t="s">
        <v>4803</v>
      </c>
      <c r="E1293" s="34" t="s">
        <v>116</v>
      </c>
      <c r="F1293" s="34" t="s">
        <v>1602</v>
      </c>
      <c r="G1293" s="34" t="s">
        <v>259</v>
      </c>
      <c r="H1293" s="34" t="s">
        <v>55</v>
      </c>
      <c r="I1293" s="34" t="s">
        <v>55</v>
      </c>
      <c r="J1293" s="34" t="s">
        <v>58</v>
      </c>
      <c r="K1293" s="34" t="s">
        <v>229</v>
      </c>
      <c r="L1293" s="34" t="s">
        <v>230</v>
      </c>
      <c r="M1293" s="34" t="s">
        <v>344</v>
      </c>
      <c r="N1293" s="34" t="str">
        <f aca="false">"Sector "&amp;VALUE(MID(D1293,13,2))</f>
        <v>Sector 3</v>
      </c>
      <c r="O1293" s="34" t="str">
        <f aca="false">IF(Dashboard!$C$5="Ubicación técnica",N1293,"Sector "&amp;VALUE(RIGHT(G1293,2)))</f>
        <v>Sector 3</v>
      </c>
      <c r="P1293" s="34" t="str">
        <f aca="false">IF(MID(D1293,15,3)="SEL","Subestación eléctrica","Área de proceso")</f>
        <v>Subestación eléctrica</v>
      </c>
      <c r="Q1293" s="34" t="str">
        <f aca="false">MID(D1293,13,5)&amp;"|"&amp;MID(D1293,19,5)</f>
        <v>03SEL|S_007</v>
      </c>
      <c r="R1293" s="34" t="str">
        <f aca="false">IF(P1293="Subestación eléctrica",IFERROR(INDEX(cat_SubN,MATCH(Q1293,cat_SubK,0)),"SIN CATALOGAR"),"ÁREA DE PROCESO")</f>
        <v>SE-07</v>
      </c>
      <c r="S1293" s="34" t="str">
        <f aca="false">IF(H1293="","SIN DATO",IFERROR(INDEX(cat_MarcaN,MATCH(H1293,cat_MarcaO,0)),H1293))</f>
        <v>SEL</v>
      </c>
      <c r="T1293" s="34" t="str">
        <f aca="false">IF(I1293="","SIN DATO",IFERROR(INDEX(cat_ModN,MATCH(I1293,cat_ModO,0)),I1293))</f>
        <v>SEL</v>
      </c>
      <c r="U1293" s="34" t="str">
        <f aca="false">IF(I1293="","",IFERROR(INDEX(cat_ModG,MATCH(I1293,cat_ModO,0)),"No"))</f>
        <v>Sí</v>
      </c>
      <c r="V1293" s="34" t="str">
        <f aca="false">IF(J1293="","SIN DATO",IFERROR(INDEX(cat_FunN,MATCH(J1293,cat_FunO,0)),J1293))</f>
        <v>Medición</v>
      </c>
      <c r="W1293" s="34" t="str">
        <f aca="false">IF(OR(S1293="SIN DATO",T1293="SIN DATO"),"No","Sí")</f>
        <v>Sí</v>
      </c>
    </row>
    <row r="1294" customFormat="false" ht="15" hidden="false" customHeight="false" outlineLevel="0" collapsed="false">
      <c r="A1294" s="34" t="s">
        <v>4804</v>
      </c>
      <c r="B1294" s="34" t="s">
        <v>4805</v>
      </c>
      <c r="C1294" s="34" t="s">
        <v>4806</v>
      </c>
      <c r="D1294" s="34" t="s">
        <v>4807</v>
      </c>
      <c r="E1294" s="34" t="s">
        <v>116</v>
      </c>
      <c r="F1294" s="34" t="s">
        <v>1602</v>
      </c>
      <c r="G1294" s="34" t="s">
        <v>259</v>
      </c>
      <c r="H1294" s="34" t="s">
        <v>55</v>
      </c>
      <c r="I1294" s="34" t="s">
        <v>55</v>
      </c>
      <c r="J1294" s="34" t="s">
        <v>58</v>
      </c>
      <c r="K1294" s="34" t="s">
        <v>229</v>
      </c>
      <c r="L1294" s="34" t="s">
        <v>230</v>
      </c>
      <c r="M1294" s="34" t="s">
        <v>344</v>
      </c>
      <c r="N1294" s="34" t="str">
        <f aca="false">"Sector "&amp;VALUE(MID(D1294,13,2))</f>
        <v>Sector 3</v>
      </c>
      <c r="O1294" s="34" t="str">
        <f aca="false">IF(Dashboard!$C$5="Ubicación técnica",N1294,"Sector "&amp;VALUE(RIGHT(G1294,2)))</f>
        <v>Sector 3</v>
      </c>
      <c r="P1294" s="34" t="str">
        <f aca="false">IF(MID(D1294,15,3)="SEL","Subestación eléctrica","Área de proceso")</f>
        <v>Subestación eléctrica</v>
      </c>
      <c r="Q1294" s="34" t="str">
        <f aca="false">MID(D1294,13,5)&amp;"|"&amp;MID(D1294,19,5)</f>
        <v>03SEL|S_007</v>
      </c>
      <c r="R1294" s="34" t="str">
        <f aca="false">IF(P1294="Subestación eléctrica",IFERROR(INDEX(cat_SubN,MATCH(Q1294,cat_SubK,0)),"SIN CATALOGAR"),"ÁREA DE PROCESO")</f>
        <v>SE-07</v>
      </c>
      <c r="S1294" s="34" t="str">
        <f aca="false">IF(H1294="","SIN DATO",IFERROR(INDEX(cat_MarcaN,MATCH(H1294,cat_MarcaO,0)),H1294))</f>
        <v>SEL</v>
      </c>
      <c r="T1294" s="34" t="str">
        <f aca="false">IF(I1294="","SIN DATO",IFERROR(INDEX(cat_ModN,MATCH(I1294,cat_ModO,0)),I1294))</f>
        <v>SEL</v>
      </c>
      <c r="U1294" s="34" t="str">
        <f aca="false">IF(I1294="","",IFERROR(INDEX(cat_ModG,MATCH(I1294,cat_ModO,0)),"No"))</f>
        <v>Sí</v>
      </c>
      <c r="V1294" s="34" t="str">
        <f aca="false">IF(J1294="","SIN DATO",IFERROR(INDEX(cat_FunN,MATCH(J1294,cat_FunO,0)),J1294))</f>
        <v>Medición</v>
      </c>
      <c r="W1294" s="34" t="str">
        <f aca="false">IF(OR(S1294="SIN DATO",T1294="SIN DATO"),"No","Sí")</f>
        <v>Sí</v>
      </c>
    </row>
    <row r="1295" customFormat="false" ht="15" hidden="false" customHeight="false" outlineLevel="0" collapsed="false">
      <c r="A1295" s="34" t="s">
        <v>4808</v>
      </c>
      <c r="B1295" s="34" t="s">
        <v>4809</v>
      </c>
      <c r="C1295" s="34" t="s">
        <v>4810</v>
      </c>
      <c r="D1295" s="34" t="s">
        <v>4811</v>
      </c>
      <c r="E1295" s="34" t="s">
        <v>116</v>
      </c>
      <c r="F1295" s="34" t="s">
        <v>1602</v>
      </c>
      <c r="G1295" s="34" t="s">
        <v>259</v>
      </c>
      <c r="H1295" s="34" t="s">
        <v>55</v>
      </c>
      <c r="I1295" s="34" t="s">
        <v>55</v>
      </c>
      <c r="J1295" s="34" t="s">
        <v>58</v>
      </c>
      <c r="K1295" s="34" t="s">
        <v>229</v>
      </c>
      <c r="L1295" s="34" t="s">
        <v>230</v>
      </c>
      <c r="M1295" s="34" t="s">
        <v>344</v>
      </c>
      <c r="N1295" s="34" t="str">
        <f aca="false">"Sector "&amp;VALUE(MID(D1295,13,2))</f>
        <v>Sector 3</v>
      </c>
      <c r="O1295" s="34" t="str">
        <f aca="false">IF(Dashboard!$C$5="Ubicación técnica",N1295,"Sector "&amp;VALUE(RIGHT(G1295,2)))</f>
        <v>Sector 3</v>
      </c>
      <c r="P1295" s="34" t="str">
        <f aca="false">IF(MID(D1295,15,3)="SEL","Subestación eléctrica","Área de proceso")</f>
        <v>Subestación eléctrica</v>
      </c>
      <c r="Q1295" s="34" t="str">
        <f aca="false">MID(D1295,13,5)&amp;"|"&amp;MID(D1295,19,5)</f>
        <v>03SEL|S_007</v>
      </c>
      <c r="R1295" s="34" t="str">
        <f aca="false">IF(P1295="Subestación eléctrica",IFERROR(INDEX(cat_SubN,MATCH(Q1295,cat_SubK,0)),"SIN CATALOGAR"),"ÁREA DE PROCESO")</f>
        <v>SE-07</v>
      </c>
      <c r="S1295" s="34" t="str">
        <f aca="false">IF(H1295="","SIN DATO",IFERROR(INDEX(cat_MarcaN,MATCH(H1295,cat_MarcaO,0)),H1295))</f>
        <v>SEL</v>
      </c>
      <c r="T1295" s="34" t="str">
        <f aca="false">IF(I1295="","SIN DATO",IFERROR(INDEX(cat_ModN,MATCH(I1295,cat_ModO,0)),I1295))</f>
        <v>SEL</v>
      </c>
      <c r="U1295" s="34" t="str">
        <f aca="false">IF(I1295="","",IFERROR(INDEX(cat_ModG,MATCH(I1295,cat_ModO,0)),"No"))</f>
        <v>Sí</v>
      </c>
      <c r="V1295" s="34" t="str">
        <f aca="false">IF(J1295="","SIN DATO",IFERROR(INDEX(cat_FunN,MATCH(J1295,cat_FunO,0)),J1295))</f>
        <v>Medición</v>
      </c>
      <c r="W1295" s="34" t="str">
        <f aca="false">IF(OR(S1295="SIN DATO",T1295="SIN DATO"),"No","Sí")</f>
        <v>Sí</v>
      </c>
    </row>
    <row r="1296" customFormat="false" ht="15" hidden="false" customHeight="false" outlineLevel="0" collapsed="false">
      <c r="A1296" s="34" t="s">
        <v>4812</v>
      </c>
      <c r="B1296" s="34" t="s">
        <v>4813</v>
      </c>
      <c r="C1296" s="34" t="s">
        <v>4814</v>
      </c>
      <c r="D1296" s="34" t="s">
        <v>4815</v>
      </c>
      <c r="E1296" s="34" t="s">
        <v>116</v>
      </c>
      <c r="F1296" s="34" t="s">
        <v>1602</v>
      </c>
      <c r="G1296" s="34" t="s">
        <v>259</v>
      </c>
      <c r="H1296" s="34" t="s">
        <v>55</v>
      </c>
      <c r="I1296" s="34" t="s">
        <v>55</v>
      </c>
      <c r="J1296" s="34" t="s">
        <v>58</v>
      </c>
      <c r="K1296" s="34" t="s">
        <v>229</v>
      </c>
      <c r="L1296" s="34" t="s">
        <v>230</v>
      </c>
      <c r="M1296" s="34" t="s">
        <v>344</v>
      </c>
      <c r="N1296" s="34" t="str">
        <f aca="false">"Sector "&amp;VALUE(MID(D1296,13,2))</f>
        <v>Sector 3</v>
      </c>
      <c r="O1296" s="34" t="str">
        <f aca="false">IF(Dashboard!$C$5="Ubicación técnica",N1296,"Sector "&amp;VALUE(RIGHT(G1296,2)))</f>
        <v>Sector 3</v>
      </c>
      <c r="P1296" s="34" t="str">
        <f aca="false">IF(MID(D1296,15,3)="SEL","Subestación eléctrica","Área de proceso")</f>
        <v>Subestación eléctrica</v>
      </c>
      <c r="Q1296" s="34" t="str">
        <f aca="false">MID(D1296,13,5)&amp;"|"&amp;MID(D1296,19,5)</f>
        <v>03SEL|S_007</v>
      </c>
      <c r="R1296" s="34" t="str">
        <f aca="false">IF(P1296="Subestación eléctrica",IFERROR(INDEX(cat_SubN,MATCH(Q1296,cat_SubK,0)),"SIN CATALOGAR"),"ÁREA DE PROCESO")</f>
        <v>SE-07</v>
      </c>
      <c r="S1296" s="34" t="str">
        <f aca="false">IF(H1296="","SIN DATO",IFERROR(INDEX(cat_MarcaN,MATCH(H1296,cat_MarcaO,0)),H1296))</f>
        <v>SEL</v>
      </c>
      <c r="T1296" s="34" t="str">
        <f aca="false">IF(I1296="","SIN DATO",IFERROR(INDEX(cat_ModN,MATCH(I1296,cat_ModO,0)),I1296))</f>
        <v>SEL</v>
      </c>
      <c r="U1296" s="34" t="str">
        <f aca="false">IF(I1296="","",IFERROR(INDEX(cat_ModG,MATCH(I1296,cat_ModO,0)),"No"))</f>
        <v>Sí</v>
      </c>
      <c r="V1296" s="34" t="str">
        <f aca="false">IF(J1296="","SIN DATO",IFERROR(INDEX(cat_FunN,MATCH(J1296,cat_FunO,0)),J1296))</f>
        <v>Medición</v>
      </c>
      <c r="W1296" s="34" t="str">
        <f aca="false">IF(OR(S1296="SIN DATO",T1296="SIN DATO"),"No","Sí")</f>
        <v>Sí</v>
      </c>
    </row>
    <row r="1297" customFormat="false" ht="15" hidden="false" customHeight="false" outlineLevel="0" collapsed="false">
      <c r="A1297" s="34" t="s">
        <v>4816</v>
      </c>
      <c r="B1297" s="34" t="s">
        <v>4817</v>
      </c>
      <c r="C1297" s="34" t="s">
        <v>4818</v>
      </c>
      <c r="D1297" s="34" t="s">
        <v>4819</v>
      </c>
      <c r="E1297" s="34" t="s">
        <v>116</v>
      </c>
      <c r="F1297" s="34" t="s">
        <v>1602</v>
      </c>
      <c r="G1297" s="34" t="s">
        <v>259</v>
      </c>
      <c r="H1297" s="34" t="s">
        <v>55</v>
      </c>
      <c r="I1297" s="34" t="s">
        <v>55</v>
      </c>
      <c r="J1297" s="34" t="s">
        <v>58</v>
      </c>
      <c r="K1297" s="34" t="s">
        <v>229</v>
      </c>
      <c r="L1297" s="34" t="s">
        <v>230</v>
      </c>
      <c r="M1297" s="34" t="s">
        <v>344</v>
      </c>
      <c r="N1297" s="34" t="str">
        <f aca="false">"Sector "&amp;VALUE(MID(D1297,13,2))</f>
        <v>Sector 3</v>
      </c>
      <c r="O1297" s="34" t="str">
        <f aca="false">IF(Dashboard!$C$5="Ubicación técnica",N1297,"Sector "&amp;VALUE(RIGHT(G1297,2)))</f>
        <v>Sector 3</v>
      </c>
      <c r="P1297" s="34" t="str">
        <f aca="false">IF(MID(D1297,15,3)="SEL","Subestación eléctrica","Área de proceso")</f>
        <v>Subestación eléctrica</v>
      </c>
      <c r="Q1297" s="34" t="str">
        <f aca="false">MID(D1297,13,5)&amp;"|"&amp;MID(D1297,19,5)</f>
        <v>03SEL|S_007</v>
      </c>
      <c r="R1297" s="34" t="str">
        <f aca="false">IF(P1297="Subestación eléctrica",IFERROR(INDEX(cat_SubN,MATCH(Q1297,cat_SubK,0)),"SIN CATALOGAR"),"ÁREA DE PROCESO")</f>
        <v>SE-07</v>
      </c>
      <c r="S1297" s="34" t="str">
        <f aca="false">IF(H1297="","SIN DATO",IFERROR(INDEX(cat_MarcaN,MATCH(H1297,cat_MarcaO,0)),H1297))</f>
        <v>SEL</v>
      </c>
      <c r="T1297" s="34" t="str">
        <f aca="false">IF(I1297="","SIN DATO",IFERROR(INDEX(cat_ModN,MATCH(I1297,cat_ModO,0)),I1297))</f>
        <v>SEL</v>
      </c>
      <c r="U1297" s="34" t="str">
        <f aca="false">IF(I1297="","",IFERROR(INDEX(cat_ModG,MATCH(I1297,cat_ModO,0)),"No"))</f>
        <v>Sí</v>
      </c>
      <c r="V1297" s="34" t="str">
        <f aca="false">IF(J1297="","SIN DATO",IFERROR(INDEX(cat_FunN,MATCH(J1297,cat_FunO,0)),J1297))</f>
        <v>Medición</v>
      </c>
      <c r="W1297" s="34" t="str">
        <f aca="false">IF(OR(S1297="SIN DATO",T1297="SIN DATO"),"No","Sí")</f>
        <v>Sí</v>
      </c>
    </row>
    <row r="1298" customFormat="false" ht="15" hidden="false" customHeight="false" outlineLevel="0" collapsed="false">
      <c r="A1298" s="34" t="s">
        <v>4820</v>
      </c>
      <c r="B1298" s="34" t="s">
        <v>4821</v>
      </c>
      <c r="C1298" s="34" t="s">
        <v>4822</v>
      </c>
      <c r="D1298" s="34" t="s">
        <v>4823</v>
      </c>
      <c r="E1298" s="34" t="s">
        <v>116</v>
      </c>
      <c r="F1298" s="34" t="s">
        <v>1602</v>
      </c>
      <c r="G1298" s="34" t="s">
        <v>259</v>
      </c>
      <c r="H1298" s="34" t="s">
        <v>55</v>
      </c>
      <c r="I1298" s="34" t="s">
        <v>55</v>
      </c>
      <c r="J1298" s="34" t="s">
        <v>58</v>
      </c>
      <c r="K1298" s="34" t="s">
        <v>229</v>
      </c>
      <c r="L1298" s="34" t="s">
        <v>230</v>
      </c>
      <c r="M1298" s="34" t="s">
        <v>344</v>
      </c>
      <c r="N1298" s="34" t="str">
        <f aca="false">"Sector "&amp;VALUE(MID(D1298,13,2))</f>
        <v>Sector 3</v>
      </c>
      <c r="O1298" s="34" t="str">
        <f aca="false">IF(Dashboard!$C$5="Ubicación técnica",N1298,"Sector "&amp;VALUE(RIGHT(G1298,2)))</f>
        <v>Sector 3</v>
      </c>
      <c r="P1298" s="34" t="str">
        <f aca="false">IF(MID(D1298,15,3)="SEL","Subestación eléctrica","Área de proceso")</f>
        <v>Subestación eléctrica</v>
      </c>
      <c r="Q1298" s="34" t="str">
        <f aca="false">MID(D1298,13,5)&amp;"|"&amp;MID(D1298,19,5)</f>
        <v>03SEL|S_007</v>
      </c>
      <c r="R1298" s="34" t="str">
        <f aca="false">IF(P1298="Subestación eléctrica",IFERROR(INDEX(cat_SubN,MATCH(Q1298,cat_SubK,0)),"SIN CATALOGAR"),"ÁREA DE PROCESO")</f>
        <v>SE-07</v>
      </c>
      <c r="S1298" s="34" t="str">
        <f aca="false">IF(H1298="","SIN DATO",IFERROR(INDEX(cat_MarcaN,MATCH(H1298,cat_MarcaO,0)),H1298))</f>
        <v>SEL</v>
      </c>
      <c r="T1298" s="34" t="str">
        <f aca="false">IF(I1298="","SIN DATO",IFERROR(INDEX(cat_ModN,MATCH(I1298,cat_ModO,0)),I1298))</f>
        <v>SEL</v>
      </c>
      <c r="U1298" s="34" t="str">
        <f aca="false">IF(I1298="","",IFERROR(INDEX(cat_ModG,MATCH(I1298,cat_ModO,0)),"No"))</f>
        <v>Sí</v>
      </c>
      <c r="V1298" s="34" t="str">
        <f aca="false">IF(J1298="","SIN DATO",IFERROR(INDEX(cat_FunN,MATCH(J1298,cat_FunO,0)),J1298))</f>
        <v>Medición</v>
      </c>
      <c r="W1298" s="34" t="str">
        <f aca="false">IF(OR(S1298="SIN DATO",T1298="SIN DATO"),"No","Sí")</f>
        <v>Sí</v>
      </c>
    </row>
    <row r="1299" customFormat="false" ht="15" hidden="false" customHeight="false" outlineLevel="0" collapsed="false">
      <c r="A1299" s="34" t="s">
        <v>4824</v>
      </c>
      <c r="B1299" s="34" t="s">
        <v>4825</v>
      </c>
      <c r="C1299" s="34" t="s">
        <v>4826</v>
      </c>
      <c r="D1299" s="34" t="s">
        <v>4827</v>
      </c>
      <c r="E1299" s="34" t="s">
        <v>118</v>
      </c>
      <c r="F1299" s="34" t="s">
        <v>1602</v>
      </c>
      <c r="G1299" s="34" t="s">
        <v>259</v>
      </c>
      <c r="H1299" s="34" t="s">
        <v>34</v>
      </c>
      <c r="I1299" s="34" t="s">
        <v>52</v>
      </c>
      <c r="J1299" s="34" t="s">
        <v>260</v>
      </c>
      <c r="K1299" s="34" t="s">
        <v>229</v>
      </c>
      <c r="L1299" s="34" t="s">
        <v>230</v>
      </c>
      <c r="M1299" s="34" t="s">
        <v>262</v>
      </c>
      <c r="N1299" s="34" t="str">
        <f aca="false">"Sector "&amp;VALUE(MID(D1299,13,2))</f>
        <v>Sector 3</v>
      </c>
      <c r="O1299" s="34" t="str">
        <f aca="false">IF(Dashboard!$C$5="Ubicación técnica",N1299,"Sector "&amp;VALUE(RIGHT(G1299,2)))</f>
        <v>Sector 3</v>
      </c>
      <c r="P1299" s="34" t="str">
        <f aca="false">IF(MID(D1299,15,3)="SEL","Subestación eléctrica","Área de proceso")</f>
        <v>Subestación eléctrica</v>
      </c>
      <c r="Q1299" s="34" t="str">
        <f aca="false">MID(D1299,13,5)&amp;"|"&amp;MID(D1299,19,5)</f>
        <v>03SEL|S_014</v>
      </c>
      <c r="R1299" s="34" t="str">
        <f aca="false">IF(P1299="Subestación eléctrica",IFERROR(INDEX(cat_SubN,MATCH(Q1299,cat_SubK,0)),"SIN CATALOGAR"),"ÁREA DE PROCESO")</f>
        <v>SE-14</v>
      </c>
      <c r="S1299" s="34" t="str">
        <f aca="false">IF(H1299="","SIN DATO",IFERROR(INDEX(cat_MarcaN,MATCH(H1299,cat_MarcaO,0)),H1299))</f>
        <v>ABB</v>
      </c>
      <c r="T1299" s="34" t="str">
        <f aca="false">IF(I1299="","SIN DATO",IFERROR(INDEX(cat_ModN,MATCH(I1299,cat_ModO,0)),I1299))</f>
        <v>RET</v>
      </c>
      <c r="U1299" s="34" t="str">
        <f aca="false">IF(I1299="","",IFERROR(INDEX(cat_ModG,MATCH(I1299,cat_ModO,0)),"No"))</f>
        <v>Sí</v>
      </c>
      <c r="V1299" s="34" t="str">
        <f aca="false">IF(J1299="","SIN DATO",IFERROR(INDEX(cat_FunN,MATCH(J1299,cat_FunO,0)),J1299))</f>
        <v>Protección y medición</v>
      </c>
      <c r="W1299" s="34" t="str">
        <f aca="false">IF(OR(S1299="SIN DATO",T1299="SIN DATO"),"No","Sí")</f>
        <v>Sí</v>
      </c>
    </row>
    <row r="1300" customFormat="false" ht="15" hidden="false" customHeight="false" outlineLevel="0" collapsed="false">
      <c r="A1300" s="34" t="s">
        <v>4828</v>
      </c>
      <c r="B1300" s="34" t="s">
        <v>4829</v>
      </c>
      <c r="C1300" s="34" t="s">
        <v>4830</v>
      </c>
      <c r="D1300" s="34" t="s">
        <v>4827</v>
      </c>
      <c r="E1300" s="34" t="s">
        <v>118</v>
      </c>
      <c r="F1300" s="34" t="s">
        <v>1602</v>
      </c>
      <c r="G1300" s="34" t="s">
        <v>259</v>
      </c>
      <c r="H1300" s="34" t="s">
        <v>34</v>
      </c>
      <c r="I1300" s="34" t="s">
        <v>52</v>
      </c>
      <c r="J1300" s="34" t="s">
        <v>260</v>
      </c>
      <c r="K1300" s="34" t="s">
        <v>229</v>
      </c>
      <c r="L1300" s="34" t="s">
        <v>230</v>
      </c>
      <c r="M1300" s="34" t="s">
        <v>262</v>
      </c>
      <c r="N1300" s="34" t="str">
        <f aca="false">"Sector "&amp;VALUE(MID(D1300,13,2))</f>
        <v>Sector 3</v>
      </c>
      <c r="O1300" s="34" t="str">
        <f aca="false">IF(Dashboard!$C$5="Ubicación técnica",N1300,"Sector "&amp;VALUE(RIGHT(G1300,2)))</f>
        <v>Sector 3</v>
      </c>
      <c r="P1300" s="34" t="str">
        <f aca="false">IF(MID(D1300,15,3)="SEL","Subestación eléctrica","Área de proceso")</f>
        <v>Subestación eléctrica</v>
      </c>
      <c r="Q1300" s="34" t="str">
        <f aca="false">MID(D1300,13,5)&amp;"|"&amp;MID(D1300,19,5)</f>
        <v>03SEL|S_014</v>
      </c>
      <c r="R1300" s="34" t="str">
        <f aca="false">IF(P1300="Subestación eléctrica",IFERROR(INDEX(cat_SubN,MATCH(Q1300,cat_SubK,0)),"SIN CATALOGAR"),"ÁREA DE PROCESO")</f>
        <v>SE-14</v>
      </c>
      <c r="S1300" s="34" t="str">
        <f aca="false">IF(H1300="","SIN DATO",IFERROR(INDEX(cat_MarcaN,MATCH(H1300,cat_MarcaO,0)),H1300))</f>
        <v>ABB</v>
      </c>
      <c r="T1300" s="34" t="str">
        <f aca="false">IF(I1300="","SIN DATO",IFERROR(INDEX(cat_ModN,MATCH(I1300,cat_ModO,0)),I1300))</f>
        <v>RET</v>
      </c>
      <c r="U1300" s="34" t="str">
        <f aca="false">IF(I1300="","",IFERROR(INDEX(cat_ModG,MATCH(I1300,cat_ModO,0)),"No"))</f>
        <v>Sí</v>
      </c>
      <c r="V1300" s="34" t="str">
        <f aca="false">IF(J1300="","SIN DATO",IFERROR(INDEX(cat_FunN,MATCH(J1300,cat_FunO,0)),J1300))</f>
        <v>Protección y medición</v>
      </c>
      <c r="W1300" s="34" t="str">
        <f aca="false">IF(OR(S1300="SIN DATO",T1300="SIN DATO"),"No","Sí")</f>
        <v>Sí</v>
      </c>
    </row>
    <row r="1301" customFormat="false" ht="15" hidden="false" customHeight="false" outlineLevel="0" collapsed="false">
      <c r="A1301" s="34" t="s">
        <v>4831</v>
      </c>
      <c r="B1301" s="34" t="s">
        <v>4832</v>
      </c>
      <c r="C1301" s="34" t="s">
        <v>4833</v>
      </c>
      <c r="D1301" s="34" t="s">
        <v>4827</v>
      </c>
      <c r="E1301" s="34" t="s">
        <v>118</v>
      </c>
      <c r="F1301" s="34" t="s">
        <v>1602</v>
      </c>
      <c r="G1301" s="34" t="s">
        <v>259</v>
      </c>
      <c r="H1301" s="34" t="s">
        <v>34</v>
      </c>
      <c r="I1301" s="34" t="s">
        <v>47</v>
      </c>
      <c r="J1301" s="34" t="s">
        <v>681</v>
      </c>
      <c r="K1301" s="34" t="s">
        <v>229</v>
      </c>
      <c r="L1301" s="34" t="s">
        <v>3198</v>
      </c>
      <c r="M1301" s="34"/>
      <c r="N1301" s="34" t="str">
        <f aca="false">"Sector "&amp;VALUE(MID(D1301,13,2))</f>
        <v>Sector 3</v>
      </c>
      <c r="O1301" s="34" t="str">
        <f aca="false">IF(Dashboard!$C$5="Ubicación técnica",N1301,"Sector "&amp;VALUE(RIGHT(G1301,2)))</f>
        <v>Sector 3</v>
      </c>
      <c r="P1301" s="34" t="str">
        <f aca="false">IF(MID(D1301,15,3)="SEL","Subestación eléctrica","Área de proceso")</f>
        <v>Subestación eléctrica</v>
      </c>
      <c r="Q1301" s="34" t="str">
        <f aca="false">MID(D1301,13,5)&amp;"|"&amp;MID(D1301,19,5)</f>
        <v>03SEL|S_014</v>
      </c>
      <c r="R1301" s="34" t="str">
        <f aca="false">IF(P1301="Subestación eléctrica",IFERROR(INDEX(cat_SubN,MATCH(Q1301,cat_SubK,0)),"SIN CATALOGAR"),"ÁREA DE PROCESO")</f>
        <v>SE-14</v>
      </c>
      <c r="S1301" s="34" t="str">
        <f aca="false">IF(H1301="","SIN DATO",IFERROR(INDEX(cat_MarcaN,MATCH(H1301,cat_MarcaO,0)),H1301))</f>
        <v>ABB</v>
      </c>
      <c r="T1301" s="34" t="str">
        <f aca="false">IF(I1301="","SIN DATO",IFERROR(INDEX(cat_ModN,MATCH(I1301,cat_ModO,0)),I1301))</f>
        <v>REA</v>
      </c>
      <c r="U1301" s="34" t="str">
        <f aca="false">IF(I1301="","",IFERROR(INDEX(cat_ModG,MATCH(I1301,cat_ModO,0)),"No"))</f>
        <v>Sí</v>
      </c>
      <c r="V1301" s="34" t="str">
        <f aca="false">IF(J1301="","SIN DATO",IFERROR(INDEX(cat_FunN,MATCH(J1301,cat_FunO,0)),J1301))</f>
        <v>Protección</v>
      </c>
      <c r="W1301" s="34" t="str">
        <f aca="false">IF(OR(S1301="SIN DATO",T1301="SIN DATO"),"No","Sí")</f>
        <v>Sí</v>
      </c>
    </row>
    <row r="1302" customFormat="false" ht="15" hidden="false" customHeight="false" outlineLevel="0" collapsed="false">
      <c r="A1302" s="34" t="s">
        <v>4834</v>
      </c>
      <c r="B1302" s="34" t="s">
        <v>4835</v>
      </c>
      <c r="C1302" s="34" t="s">
        <v>4836</v>
      </c>
      <c r="D1302" s="34" t="s">
        <v>4827</v>
      </c>
      <c r="E1302" s="34" t="s">
        <v>118</v>
      </c>
      <c r="F1302" s="34" t="s">
        <v>1602</v>
      </c>
      <c r="G1302" s="34" t="s">
        <v>259</v>
      </c>
      <c r="H1302" s="34" t="s">
        <v>55</v>
      </c>
      <c r="I1302" s="34" t="s">
        <v>55</v>
      </c>
      <c r="J1302" s="34" t="s">
        <v>58</v>
      </c>
      <c r="K1302" s="34" t="s">
        <v>229</v>
      </c>
      <c r="L1302" s="34" t="s">
        <v>3198</v>
      </c>
      <c r="M1302" s="34" t="s">
        <v>344</v>
      </c>
      <c r="N1302" s="34" t="str">
        <f aca="false">"Sector "&amp;VALUE(MID(D1302,13,2))</f>
        <v>Sector 3</v>
      </c>
      <c r="O1302" s="34" t="str">
        <f aca="false">IF(Dashboard!$C$5="Ubicación técnica",N1302,"Sector "&amp;VALUE(RIGHT(G1302,2)))</f>
        <v>Sector 3</v>
      </c>
      <c r="P1302" s="34" t="str">
        <f aca="false">IF(MID(D1302,15,3)="SEL","Subestación eléctrica","Área de proceso")</f>
        <v>Subestación eléctrica</v>
      </c>
      <c r="Q1302" s="34" t="str">
        <f aca="false">MID(D1302,13,5)&amp;"|"&amp;MID(D1302,19,5)</f>
        <v>03SEL|S_014</v>
      </c>
      <c r="R1302" s="34" t="str">
        <f aca="false">IF(P1302="Subestación eléctrica",IFERROR(INDEX(cat_SubN,MATCH(Q1302,cat_SubK,0)),"SIN CATALOGAR"),"ÁREA DE PROCESO")</f>
        <v>SE-14</v>
      </c>
      <c r="S1302" s="34" t="str">
        <f aca="false">IF(H1302="","SIN DATO",IFERROR(INDEX(cat_MarcaN,MATCH(H1302,cat_MarcaO,0)),H1302))</f>
        <v>SEL</v>
      </c>
      <c r="T1302" s="34" t="str">
        <f aca="false">IF(I1302="","SIN DATO",IFERROR(INDEX(cat_ModN,MATCH(I1302,cat_ModO,0)),I1302))</f>
        <v>SEL</v>
      </c>
      <c r="U1302" s="34" t="str">
        <f aca="false">IF(I1302="","",IFERROR(INDEX(cat_ModG,MATCH(I1302,cat_ModO,0)),"No"))</f>
        <v>Sí</v>
      </c>
      <c r="V1302" s="34" t="str">
        <f aca="false">IF(J1302="","SIN DATO",IFERROR(INDEX(cat_FunN,MATCH(J1302,cat_FunO,0)),J1302))</f>
        <v>Medición</v>
      </c>
      <c r="W1302" s="34" t="str">
        <f aca="false">IF(OR(S1302="SIN DATO",T1302="SIN DATO"),"No","Sí")</f>
        <v>Sí</v>
      </c>
    </row>
    <row r="1303" customFormat="false" ht="15" hidden="false" customHeight="false" outlineLevel="0" collapsed="false">
      <c r="A1303" s="34" t="s">
        <v>4837</v>
      </c>
      <c r="B1303" s="34" t="s">
        <v>4838</v>
      </c>
      <c r="C1303" s="34" t="s">
        <v>4839</v>
      </c>
      <c r="D1303" s="34" t="s">
        <v>4840</v>
      </c>
      <c r="E1303" s="34" t="s">
        <v>118</v>
      </c>
      <c r="F1303" s="34" t="s">
        <v>1602</v>
      </c>
      <c r="G1303" s="34" t="s">
        <v>259</v>
      </c>
      <c r="H1303" s="34" t="s">
        <v>34</v>
      </c>
      <c r="I1303" s="34" t="s">
        <v>52</v>
      </c>
      <c r="J1303" s="34" t="s">
        <v>260</v>
      </c>
      <c r="K1303" s="34" t="s">
        <v>229</v>
      </c>
      <c r="L1303" s="34" t="s">
        <v>230</v>
      </c>
      <c r="M1303" s="34" t="s">
        <v>262</v>
      </c>
      <c r="N1303" s="34" t="str">
        <f aca="false">"Sector "&amp;VALUE(MID(D1303,13,2))</f>
        <v>Sector 3</v>
      </c>
      <c r="O1303" s="34" t="str">
        <f aca="false">IF(Dashboard!$C$5="Ubicación técnica",N1303,"Sector "&amp;VALUE(RIGHT(G1303,2)))</f>
        <v>Sector 3</v>
      </c>
      <c r="P1303" s="34" t="str">
        <f aca="false">IF(MID(D1303,15,3)="SEL","Subestación eléctrica","Área de proceso")</f>
        <v>Subestación eléctrica</v>
      </c>
      <c r="Q1303" s="34" t="str">
        <f aca="false">MID(D1303,13,5)&amp;"|"&amp;MID(D1303,19,5)</f>
        <v>03SEL|S_014</v>
      </c>
      <c r="R1303" s="34" t="str">
        <f aca="false">IF(P1303="Subestación eléctrica",IFERROR(INDEX(cat_SubN,MATCH(Q1303,cat_SubK,0)),"SIN CATALOGAR"),"ÁREA DE PROCESO")</f>
        <v>SE-14</v>
      </c>
      <c r="S1303" s="34" t="str">
        <f aca="false">IF(H1303="","SIN DATO",IFERROR(INDEX(cat_MarcaN,MATCH(H1303,cat_MarcaO,0)),H1303))</f>
        <v>ABB</v>
      </c>
      <c r="T1303" s="34" t="str">
        <f aca="false">IF(I1303="","SIN DATO",IFERROR(INDEX(cat_ModN,MATCH(I1303,cat_ModO,0)),I1303))</f>
        <v>RET</v>
      </c>
      <c r="U1303" s="34" t="str">
        <f aca="false">IF(I1303="","",IFERROR(INDEX(cat_ModG,MATCH(I1303,cat_ModO,0)),"No"))</f>
        <v>Sí</v>
      </c>
      <c r="V1303" s="34" t="str">
        <f aca="false">IF(J1303="","SIN DATO",IFERROR(INDEX(cat_FunN,MATCH(J1303,cat_FunO,0)),J1303))</f>
        <v>Protección y medición</v>
      </c>
      <c r="W1303" s="34" t="str">
        <f aca="false">IF(OR(S1303="SIN DATO",T1303="SIN DATO"),"No","Sí")</f>
        <v>Sí</v>
      </c>
    </row>
    <row r="1304" customFormat="false" ht="15" hidden="false" customHeight="false" outlineLevel="0" collapsed="false">
      <c r="A1304" s="34" t="s">
        <v>4841</v>
      </c>
      <c r="B1304" s="34" t="s">
        <v>4842</v>
      </c>
      <c r="C1304" s="34" t="s">
        <v>4843</v>
      </c>
      <c r="D1304" s="34" t="s">
        <v>4840</v>
      </c>
      <c r="E1304" s="34" t="s">
        <v>118</v>
      </c>
      <c r="F1304" s="34" t="s">
        <v>1602</v>
      </c>
      <c r="G1304" s="34" t="s">
        <v>259</v>
      </c>
      <c r="H1304" s="34" t="s">
        <v>34</v>
      </c>
      <c r="I1304" s="34" t="s">
        <v>52</v>
      </c>
      <c r="J1304" s="34" t="s">
        <v>260</v>
      </c>
      <c r="K1304" s="34" t="s">
        <v>229</v>
      </c>
      <c r="L1304" s="34" t="s">
        <v>230</v>
      </c>
      <c r="M1304" s="34" t="s">
        <v>262</v>
      </c>
      <c r="N1304" s="34" t="str">
        <f aca="false">"Sector "&amp;VALUE(MID(D1304,13,2))</f>
        <v>Sector 3</v>
      </c>
      <c r="O1304" s="34" t="str">
        <f aca="false">IF(Dashboard!$C$5="Ubicación técnica",N1304,"Sector "&amp;VALUE(RIGHT(G1304,2)))</f>
        <v>Sector 3</v>
      </c>
      <c r="P1304" s="34" t="str">
        <f aca="false">IF(MID(D1304,15,3)="SEL","Subestación eléctrica","Área de proceso")</f>
        <v>Subestación eléctrica</v>
      </c>
      <c r="Q1304" s="34" t="str">
        <f aca="false">MID(D1304,13,5)&amp;"|"&amp;MID(D1304,19,5)</f>
        <v>03SEL|S_014</v>
      </c>
      <c r="R1304" s="34" t="str">
        <f aca="false">IF(P1304="Subestación eléctrica",IFERROR(INDEX(cat_SubN,MATCH(Q1304,cat_SubK,0)),"SIN CATALOGAR"),"ÁREA DE PROCESO")</f>
        <v>SE-14</v>
      </c>
      <c r="S1304" s="34" t="str">
        <f aca="false">IF(H1304="","SIN DATO",IFERROR(INDEX(cat_MarcaN,MATCH(H1304,cat_MarcaO,0)),H1304))</f>
        <v>ABB</v>
      </c>
      <c r="T1304" s="34" t="str">
        <f aca="false">IF(I1304="","SIN DATO",IFERROR(INDEX(cat_ModN,MATCH(I1304,cat_ModO,0)),I1304))</f>
        <v>RET</v>
      </c>
      <c r="U1304" s="34" t="str">
        <f aca="false">IF(I1304="","",IFERROR(INDEX(cat_ModG,MATCH(I1304,cat_ModO,0)),"No"))</f>
        <v>Sí</v>
      </c>
      <c r="V1304" s="34" t="str">
        <f aca="false">IF(J1304="","SIN DATO",IFERROR(INDEX(cat_FunN,MATCH(J1304,cat_FunO,0)),J1304))</f>
        <v>Protección y medición</v>
      </c>
      <c r="W1304" s="34" t="str">
        <f aca="false">IF(OR(S1304="SIN DATO",T1304="SIN DATO"),"No","Sí")</f>
        <v>Sí</v>
      </c>
    </row>
    <row r="1305" customFormat="false" ht="15" hidden="false" customHeight="false" outlineLevel="0" collapsed="false">
      <c r="A1305" s="34" t="s">
        <v>4844</v>
      </c>
      <c r="B1305" s="34" t="s">
        <v>4845</v>
      </c>
      <c r="C1305" s="34" t="s">
        <v>4846</v>
      </c>
      <c r="D1305" s="34" t="s">
        <v>4840</v>
      </c>
      <c r="E1305" s="34" t="s">
        <v>118</v>
      </c>
      <c r="F1305" s="34" t="s">
        <v>1602</v>
      </c>
      <c r="G1305" s="34" t="s">
        <v>259</v>
      </c>
      <c r="H1305" s="34" t="s">
        <v>34</v>
      </c>
      <c r="I1305" s="34" t="s">
        <v>47</v>
      </c>
      <c r="J1305" s="34" t="s">
        <v>681</v>
      </c>
      <c r="K1305" s="34" t="s">
        <v>229</v>
      </c>
      <c r="L1305" s="34" t="s">
        <v>3198</v>
      </c>
      <c r="M1305" s="34"/>
      <c r="N1305" s="34" t="str">
        <f aca="false">"Sector "&amp;VALUE(MID(D1305,13,2))</f>
        <v>Sector 3</v>
      </c>
      <c r="O1305" s="34" t="str">
        <f aca="false">IF(Dashboard!$C$5="Ubicación técnica",N1305,"Sector "&amp;VALUE(RIGHT(G1305,2)))</f>
        <v>Sector 3</v>
      </c>
      <c r="P1305" s="34" t="str">
        <f aca="false">IF(MID(D1305,15,3)="SEL","Subestación eléctrica","Área de proceso")</f>
        <v>Subestación eléctrica</v>
      </c>
      <c r="Q1305" s="34" t="str">
        <f aca="false">MID(D1305,13,5)&amp;"|"&amp;MID(D1305,19,5)</f>
        <v>03SEL|S_014</v>
      </c>
      <c r="R1305" s="34" t="str">
        <f aca="false">IF(P1305="Subestación eléctrica",IFERROR(INDEX(cat_SubN,MATCH(Q1305,cat_SubK,0)),"SIN CATALOGAR"),"ÁREA DE PROCESO")</f>
        <v>SE-14</v>
      </c>
      <c r="S1305" s="34" t="str">
        <f aca="false">IF(H1305="","SIN DATO",IFERROR(INDEX(cat_MarcaN,MATCH(H1305,cat_MarcaO,0)),H1305))</f>
        <v>ABB</v>
      </c>
      <c r="T1305" s="34" t="str">
        <f aca="false">IF(I1305="","SIN DATO",IFERROR(INDEX(cat_ModN,MATCH(I1305,cat_ModO,0)),I1305))</f>
        <v>REA</v>
      </c>
      <c r="U1305" s="34" t="str">
        <f aca="false">IF(I1305="","",IFERROR(INDEX(cat_ModG,MATCH(I1305,cat_ModO,0)),"No"))</f>
        <v>Sí</v>
      </c>
      <c r="V1305" s="34" t="str">
        <f aca="false">IF(J1305="","SIN DATO",IFERROR(INDEX(cat_FunN,MATCH(J1305,cat_FunO,0)),J1305))</f>
        <v>Protección</v>
      </c>
      <c r="W1305" s="34" t="str">
        <f aca="false">IF(OR(S1305="SIN DATO",T1305="SIN DATO"),"No","Sí")</f>
        <v>Sí</v>
      </c>
    </row>
    <row r="1306" customFormat="false" ht="15" hidden="false" customHeight="false" outlineLevel="0" collapsed="false">
      <c r="A1306" s="34" t="s">
        <v>4847</v>
      </c>
      <c r="B1306" s="34" t="s">
        <v>4848</v>
      </c>
      <c r="C1306" s="34" t="s">
        <v>4849</v>
      </c>
      <c r="D1306" s="34" t="s">
        <v>4840</v>
      </c>
      <c r="E1306" s="34" t="s">
        <v>118</v>
      </c>
      <c r="F1306" s="34" t="s">
        <v>1602</v>
      </c>
      <c r="G1306" s="34" t="s">
        <v>259</v>
      </c>
      <c r="H1306" s="34" t="s">
        <v>55</v>
      </c>
      <c r="I1306" s="34" t="s">
        <v>55</v>
      </c>
      <c r="J1306" s="34" t="s">
        <v>58</v>
      </c>
      <c r="K1306" s="34" t="s">
        <v>229</v>
      </c>
      <c r="L1306" s="34" t="s">
        <v>3198</v>
      </c>
      <c r="M1306" s="34" t="s">
        <v>344</v>
      </c>
      <c r="N1306" s="34" t="str">
        <f aca="false">"Sector "&amp;VALUE(MID(D1306,13,2))</f>
        <v>Sector 3</v>
      </c>
      <c r="O1306" s="34" t="str">
        <f aca="false">IF(Dashboard!$C$5="Ubicación técnica",N1306,"Sector "&amp;VALUE(RIGHT(G1306,2)))</f>
        <v>Sector 3</v>
      </c>
      <c r="P1306" s="34" t="str">
        <f aca="false">IF(MID(D1306,15,3)="SEL","Subestación eléctrica","Área de proceso")</f>
        <v>Subestación eléctrica</v>
      </c>
      <c r="Q1306" s="34" t="str">
        <f aca="false">MID(D1306,13,5)&amp;"|"&amp;MID(D1306,19,5)</f>
        <v>03SEL|S_014</v>
      </c>
      <c r="R1306" s="34" t="str">
        <f aca="false">IF(P1306="Subestación eléctrica",IFERROR(INDEX(cat_SubN,MATCH(Q1306,cat_SubK,0)),"SIN CATALOGAR"),"ÁREA DE PROCESO")</f>
        <v>SE-14</v>
      </c>
      <c r="S1306" s="34" t="str">
        <f aca="false">IF(H1306="","SIN DATO",IFERROR(INDEX(cat_MarcaN,MATCH(H1306,cat_MarcaO,0)),H1306))</f>
        <v>SEL</v>
      </c>
      <c r="T1306" s="34" t="str">
        <f aca="false">IF(I1306="","SIN DATO",IFERROR(INDEX(cat_ModN,MATCH(I1306,cat_ModO,0)),I1306))</f>
        <v>SEL</v>
      </c>
      <c r="U1306" s="34" t="str">
        <f aca="false">IF(I1306="","",IFERROR(INDEX(cat_ModG,MATCH(I1306,cat_ModO,0)),"No"))</f>
        <v>Sí</v>
      </c>
      <c r="V1306" s="34" t="str">
        <f aca="false">IF(J1306="","SIN DATO",IFERROR(INDEX(cat_FunN,MATCH(J1306,cat_FunO,0)),J1306))</f>
        <v>Medición</v>
      </c>
      <c r="W1306" s="34" t="str">
        <f aca="false">IF(OR(S1306="SIN DATO",T1306="SIN DATO"),"No","Sí")</f>
        <v>Sí</v>
      </c>
    </row>
    <row r="1307" customFormat="false" ht="15" hidden="false" customHeight="false" outlineLevel="0" collapsed="false">
      <c r="A1307" s="34" t="s">
        <v>4850</v>
      </c>
      <c r="B1307" s="34" t="s">
        <v>4851</v>
      </c>
      <c r="C1307" s="34" t="s">
        <v>4852</v>
      </c>
      <c r="D1307" s="34" t="s">
        <v>4853</v>
      </c>
      <c r="E1307" s="34" t="s">
        <v>118</v>
      </c>
      <c r="F1307" s="34" t="s">
        <v>1602</v>
      </c>
      <c r="G1307" s="34" t="s">
        <v>259</v>
      </c>
      <c r="H1307" s="34" t="s">
        <v>34</v>
      </c>
      <c r="I1307" s="34" t="s">
        <v>39</v>
      </c>
      <c r="J1307" s="34" t="s">
        <v>260</v>
      </c>
      <c r="K1307" s="34" t="s">
        <v>229</v>
      </c>
      <c r="L1307" s="34" t="s">
        <v>230</v>
      </c>
      <c r="M1307" s="34" t="s">
        <v>262</v>
      </c>
      <c r="N1307" s="34" t="str">
        <f aca="false">"Sector "&amp;VALUE(MID(D1307,13,2))</f>
        <v>Sector 3</v>
      </c>
      <c r="O1307" s="34" t="str">
        <f aca="false">IF(Dashboard!$C$5="Ubicación técnica",N1307,"Sector "&amp;VALUE(RIGHT(G1307,2)))</f>
        <v>Sector 3</v>
      </c>
      <c r="P1307" s="34" t="str">
        <f aca="false">IF(MID(D1307,15,3)="SEL","Subestación eléctrica","Área de proceso")</f>
        <v>Subestación eléctrica</v>
      </c>
      <c r="Q1307" s="34" t="str">
        <f aca="false">MID(D1307,13,5)&amp;"|"&amp;MID(D1307,19,5)</f>
        <v>03SEL|S_014</v>
      </c>
      <c r="R1307" s="34" t="str">
        <f aca="false">IF(P1307="Subestación eléctrica",IFERROR(INDEX(cat_SubN,MATCH(Q1307,cat_SubK,0)),"SIN CATALOGAR"),"ÁREA DE PROCESO")</f>
        <v>SE-14</v>
      </c>
      <c r="S1307" s="34" t="str">
        <f aca="false">IF(H1307="","SIN DATO",IFERROR(INDEX(cat_MarcaN,MATCH(H1307,cat_MarcaO,0)),H1307))</f>
        <v>ABB</v>
      </c>
      <c r="T1307" s="34" t="str">
        <f aca="false">IF(I1307="","SIN DATO",IFERROR(INDEX(cat_ModN,MATCH(I1307,cat_ModO,0)),I1307))</f>
        <v>REF</v>
      </c>
      <c r="U1307" s="34" t="str">
        <f aca="false">IF(I1307="","",IFERROR(INDEX(cat_ModG,MATCH(I1307,cat_ModO,0)),"No"))</f>
        <v>Sí</v>
      </c>
      <c r="V1307" s="34" t="str">
        <f aca="false">IF(J1307="","SIN DATO",IFERROR(INDEX(cat_FunN,MATCH(J1307,cat_FunO,0)),J1307))</f>
        <v>Protección y medición</v>
      </c>
      <c r="W1307" s="34" t="str">
        <f aca="false">IF(OR(S1307="SIN DATO",T1307="SIN DATO"),"No","Sí")</f>
        <v>Sí</v>
      </c>
    </row>
    <row r="1308" customFormat="false" ht="15" hidden="false" customHeight="false" outlineLevel="0" collapsed="false">
      <c r="A1308" s="34" t="s">
        <v>4854</v>
      </c>
      <c r="B1308" s="34" t="s">
        <v>4855</v>
      </c>
      <c r="C1308" s="34" t="s">
        <v>4856</v>
      </c>
      <c r="D1308" s="34" t="s">
        <v>4857</v>
      </c>
      <c r="E1308" s="34" t="s">
        <v>118</v>
      </c>
      <c r="F1308" s="34" t="s">
        <v>1602</v>
      </c>
      <c r="G1308" s="34" t="s">
        <v>259</v>
      </c>
      <c r="H1308" s="34" t="s">
        <v>34</v>
      </c>
      <c r="I1308" s="34" t="s">
        <v>39</v>
      </c>
      <c r="J1308" s="34" t="s">
        <v>260</v>
      </c>
      <c r="K1308" s="34" t="s">
        <v>229</v>
      </c>
      <c r="L1308" s="34" t="s">
        <v>230</v>
      </c>
      <c r="M1308" s="34" t="s">
        <v>262</v>
      </c>
      <c r="N1308" s="34" t="str">
        <f aca="false">"Sector "&amp;VALUE(MID(D1308,13,2))</f>
        <v>Sector 3</v>
      </c>
      <c r="O1308" s="34" t="str">
        <f aca="false">IF(Dashboard!$C$5="Ubicación técnica",N1308,"Sector "&amp;VALUE(RIGHT(G1308,2)))</f>
        <v>Sector 3</v>
      </c>
      <c r="P1308" s="34" t="str">
        <f aca="false">IF(MID(D1308,15,3)="SEL","Subestación eléctrica","Área de proceso")</f>
        <v>Subestación eléctrica</v>
      </c>
      <c r="Q1308" s="34" t="str">
        <f aca="false">MID(D1308,13,5)&amp;"|"&amp;MID(D1308,19,5)</f>
        <v>03SEL|S_014</v>
      </c>
      <c r="R1308" s="34" t="str">
        <f aca="false">IF(P1308="Subestación eléctrica",IFERROR(INDEX(cat_SubN,MATCH(Q1308,cat_SubK,0)),"SIN CATALOGAR"),"ÁREA DE PROCESO")</f>
        <v>SE-14</v>
      </c>
      <c r="S1308" s="34" t="str">
        <f aca="false">IF(H1308="","SIN DATO",IFERROR(INDEX(cat_MarcaN,MATCH(H1308,cat_MarcaO,0)),H1308))</f>
        <v>ABB</v>
      </c>
      <c r="T1308" s="34" t="str">
        <f aca="false">IF(I1308="","SIN DATO",IFERROR(INDEX(cat_ModN,MATCH(I1308,cat_ModO,0)),I1308))</f>
        <v>REF</v>
      </c>
      <c r="U1308" s="34" t="str">
        <f aca="false">IF(I1308="","",IFERROR(INDEX(cat_ModG,MATCH(I1308,cat_ModO,0)),"No"))</f>
        <v>Sí</v>
      </c>
      <c r="V1308" s="34" t="str">
        <f aca="false">IF(J1308="","SIN DATO",IFERROR(INDEX(cat_FunN,MATCH(J1308,cat_FunO,0)),J1308))</f>
        <v>Protección y medición</v>
      </c>
      <c r="W1308" s="34" t="str">
        <f aca="false">IF(OR(S1308="SIN DATO",T1308="SIN DATO"),"No","Sí")</f>
        <v>Sí</v>
      </c>
    </row>
    <row r="1309" customFormat="false" ht="15" hidden="false" customHeight="false" outlineLevel="0" collapsed="false">
      <c r="A1309" s="34" t="s">
        <v>4858</v>
      </c>
      <c r="B1309" s="34" t="s">
        <v>4859</v>
      </c>
      <c r="C1309" s="34" t="s">
        <v>4860</v>
      </c>
      <c r="D1309" s="34" t="s">
        <v>3197</v>
      </c>
      <c r="E1309" s="34" t="s">
        <v>118</v>
      </c>
      <c r="F1309" s="34" t="s">
        <v>1602</v>
      </c>
      <c r="G1309" s="34" t="s">
        <v>259</v>
      </c>
      <c r="H1309" s="34" t="s">
        <v>34</v>
      </c>
      <c r="I1309" s="34" t="s">
        <v>39</v>
      </c>
      <c r="J1309" s="34" t="s">
        <v>260</v>
      </c>
      <c r="K1309" s="34" t="s">
        <v>229</v>
      </c>
      <c r="L1309" s="34" t="s">
        <v>230</v>
      </c>
      <c r="M1309" s="34" t="s">
        <v>262</v>
      </c>
      <c r="N1309" s="34" t="str">
        <f aca="false">"Sector "&amp;VALUE(MID(D1309,13,2))</f>
        <v>Sector 3</v>
      </c>
      <c r="O1309" s="34" t="str">
        <f aca="false">IF(Dashboard!$C$5="Ubicación técnica",N1309,"Sector "&amp;VALUE(RIGHT(G1309,2)))</f>
        <v>Sector 3</v>
      </c>
      <c r="P1309" s="34" t="str">
        <f aca="false">IF(MID(D1309,15,3)="SEL","Subestación eléctrica","Área de proceso")</f>
        <v>Subestación eléctrica</v>
      </c>
      <c r="Q1309" s="34" t="str">
        <f aca="false">MID(D1309,13,5)&amp;"|"&amp;MID(D1309,19,5)</f>
        <v>03SEL|S_014</v>
      </c>
      <c r="R1309" s="34" t="str">
        <f aca="false">IF(P1309="Subestación eléctrica",IFERROR(INDEX(cat_SubN,MATCH(Q1309,cat_SubK,0)),"SIN CATALOGAR"),"ÁREA DE PROCESO")</f>
        <v>SE-14</v>
      </c>
      <c r="S1309" s="34" t="str">
        <f aca="false">IF(H1309="","SIN DATO",IFERROR(INDEX(cat_MarcaN,MATCH(H1309,cat_MarcaO,0)),H1309))</f>
        <v>ABB</v>
      </c>
      <c r="T1309" s="34" t="str">
        <f aca="false">IF(I1309="","SIN DATO",IFERROR(INDEX(cat_ModN,MATCH(I1309,cat_ModO,0)),I1309))</f>
        <v>REF</v>
      </c>
      <c r="U1309" s="34" t="str">
        <f aca="false">IF(I1309="","",IFERROR(INDEX(cat_ModG,MATCH(I1309,cat_ModO,0)),"No"))</f>
        <v>Sí</v>
      </c>
      <c r="V1309" s="34" t="str">
        <f aca="false">IF(J1309="","SIN DATO",IFERROR(INDEX(cat_FunN,MATCH(J1309,cat_FunO,0)),J1309))</f>
        <v>Protección y medición</v>
      </c>
      <c r="W1309" s="34" t="str">
        <f aca="false">IF(OR(S1309="SIN DATO",T1309="SIN DATO"),"No","Sí")</f>
        <v>Sí</v>
      </c>
    </row>
    <row r="1310" customFormat="false" ht="15" hidden="false" customHeight="false" outlineLevel="0" collapsed="false">
      <c r="A1310" s="34" t="s">
        <v>4861</v>
      </c>
      <c r="B1310" s="34" t="s">
        <v>4862</v>
      </c>
      <c r="C1310" s="34" t="s">
        <v>4863</v>
      </c>
      <c r="D1310" s="34" t="s">
        <v>4864</v>
      </c>
      <c r="E1310" s="34" t="s">
        <v>118</v>
      </c>
      <c r="F1310" s="34" t="s">
        <v>1602</v>
      </c>
      <c r="G1310" s="34" t="s">
        <v>259</v>
      </c>
      <c r="H1310" s="34" t="s">
        <v>34</v>
      </c>
      <c r="I1310" s="34" t="s">
        <v>39</v>
      </c>
      <c r="J1310" s="34" t="s">
        <v>260</v>
      </c>
      <c r="K1310" s="34" t="s">
        <v>229</v>
      </c>
      <c r="L1310" s="34" t="s">
        <v>230</v>
      </c>
      <c r="M1310" s="34" t="s">
        <v>262</v>
      </c>
      <c r="N1310" s="34" t="str">
        <f aca="false">"Sector "&amp;VALUE(MID(D1310,13,2))</f>
        <v>Sector 3</v>
      </c>
      <c r="O1310" s="34" t="str">
        <f aca="false">IF(Dashboard!$C$5="Ubicación técnica",N1310,"Sector "&amp;VALUE(RIGHT(G1310,2)))</f>
        <v>Sector 3</v>
      </c>
      <c r="P1310" s="34" t="str">
        <f aca="false">IF(MID(D1310,15,3)="SEL","Subestación eléctrica","Área de proceso")</f>
        <v>Subestación eléctrica</v>
      </c>
      <c r="Q1310" s="34" t="str">
        <f aca="false">MID(D1310,13,5)&amp;"|"&amp;MID(D1310,19,5)</f>
        <v>03SEL|S_014</v>
      </c>
      <c r="R1310" s="34" t="str">
        <f aca="false">IF(P1310="Subestación eléctrica",IFERROR(INDEX(cat_SubN,MATCH(Q1310,cat_SubK,0)),"SIN CATALOGAR"),"ÁREA DE PROCESO")</f>
        <v>SE-14</v>
      </c>
      <c r="S1310" s="34" t="str">
        <f aca="false">IF(H1310="","SIN DATO",IFERROR(INDEX(cat_MarcaN,MATCH(H1310,cat_MarcaO,0)),H1310))</f>
        <v>ABB</v>
      </c>
      <c r="T1310" s="34" t="str">
        <f aca="false">IF(I1310="","SIN DATO",IFERROR(INDEX(cat_ModN,MATCH(I1310,cat_ModO,0)),I1310))</f>
        <v>REF</v>
      </c>
      <c r="U1310" s="34" t="str">
        <f aca="false">IF(I1310="","",IFERROR(INDEX(cat_ModG,MATCH(I1310,cat_ModO,0)),"No"))</f>
        <v>Sí</v>
      </c>
      <c r="V1310" s="34" t="str">
        <f aca="false">IF(J1310="","SIN DATO",IFERROR(INDEX(cat_FunN,MATCH(J1310,cat_FunO,0)),J1310))</f>
        <v>Protección y medición</v>
      </c>
      <c r="W1310" s="34" t="str">
        <f aca="false">IF(OR(S1310="SIN DATO",T1310="SIN DATO"),"No","Sí")</f>
        <v>Sí</v>
      </c>
    </row>
    <row r="1311" customFormat="false" ht="15" hidden="false" customHeight="false" outlineLevel="0" collapsed="false">
      <c r="A1311" s="34" t="s">
        <v>4865</v>
      </c>
      <c r="B1311" s="34" t="s">
        <v>4866</v>
      </c>
      <c r="C1311" s="34" t="s">
        <v>4867</v>
      </c>
      <c r="D1311" s="34" t="s">
        <v>4868</v>
      </c>
      <c r="E1311" s="34" t="s">
        <v>118</v>
      </c>
      <c r="F1311" s="34" t="s">
        <v>1602</v>
      </c>
      <c r="G1311" s="34" t="s">
        <v>259</v>
      </c>
      <c r="H1311" s="34" t="s">
        <v>34</v>
      </c>
      <c r="I1311" s="34" t="s">
        <v>39</v>
      </c>
      <c r="J1311" s="34" t="s">
        <v>260</v>
      </c>
      <c r="K1311" s="34" t="s">
        <v>229</v>
      </c>
      <c r="L1311" s="34" t="s">
        <v>261</v>
      </c>
      <c r="M1311" s="34" t="s">
        <v>262</v>
      </c>
      <c r="N1311" s="34" t="str">
        <f aca="false">"Sector "&amp;VALUE(MID(D1311,13,2))</f>
        <v>Sector 3</v>
      </c>
      <c r="O1311" s="34" t="str">
        <f aca="false">IF(Dashboard!$C$5="Ubicación técnica",N1311,"Sector "&amp;VALUE(RIGHT(G1311,2)))</f>
        <v>Sector 3</v>
      </c>
      <c r="P1311" s="34" t="str">
        <f aca="false">IF(MID(D1311,15,3)="SEL","Subestación eléctrica","Área de proceso")</f>
        <v>Subestación eléctrica</v>
      </c>
      <c r="Q1311" s="34" t="str">
        <f aca="false">MID(D1311,13,5)&amp;"|"&amp;MID(D1311,19,5)</f>
        <v>03SEL|S_014</v>
      </c>
      <c r="R1311" s="34" t="str">
        <f aca="false">IF(P1311="Subestación eléctrica",IFERROR(INDEX(cat_SubN,MATCH(Q1311,cat_SubK,0)),"SIN CATALOGAR"),"ÁREA DE PROCESO")</f>
        <v>SE-14</v>
      </c>
      <c r="S1311" s="34" t="str">
        <f aca="false">IF(H1311="","SIN DATO",IFERROR(INDEX(cat_MarcaN,MATCH(H1311,cat_MarcaO,0)),H1311))</f>
        <v>ABB</v>
      </c>
      <c r="T1311" s="34" t="str">
        <f aca="false">IF(I1311="","SIN DATO",IFERROR(INDEX(cat_ModN,MATCH(I1311,cat_ModO,0)),I1311))</f>
        <v>REF</v>
      </c>
      <c r="U1311" s="34" t="str">
        <f aca="false">IF(I1311="","",IFERROR(INDEX(cat_ModG,MATCH(I1311,cat_ModO,0)),"No"))</f>
        <v>Sí</v>
      </c>
      <c r="V1311" s="34" t="str">
        <f aca="false">IF(J1311="","SIN DATO",IFERROR(INDEX(cat_FunN,MATCH(J1311,cat_FunO,0)),J1311))</f>
        <v>Protección y medición</v>
      </c>
      <c r="W1311" s="34" t="str">
        <f aca="false">IF(OR(S1311="SIN DATO",T1311="SIN DATO"),"No","Sí")</f>
        <v>Sí</v>
      </c>
    </row>
    <row r="1312" customFormat="false" ht="15" hidden="false" customHeight="false" outlineLevel="0" collapsed="false">
      <c r="A1312" s="34" t="s">
        <v>4869</v>
      </c>
      <c r="B1312" s="34" t="s">
        <v>4870</v>
      </c>
      <c r="C1312" s="34" t="s">
        <v>4871</v>
      </c>
      <c r="D1312" s="34" t="s">
        <v>4872</v>
      </c>
      <c r="E1312" s="34" t="s">
        <v>116</v>
      </c>
      <c r="F1312" s="34" t="s">
        <v>1602</v>
      </c>
      <c r="G1312" s="34" t="s">
        <v>259</v>
      </c>
      <c r="H1312" s="34" t="s">
        <v>61</v>
      </c>
      <c r="I1312" s="34" t="s">
        <v>63</v>
      </c>
      <c r="J1312" s="34" t="s">
        <v>260</v>
      </c>
      <c r="K1312" s="34" t="s">
        <v>229</v>
      </c>
      <c r="L1312" s="34" t="s">
        <v>230</v>
      </c>
      <c r="M1312" s="34" t="s">
        <v>231</v>
      </c>
      <c r="N1312" s="34" t="str">
        <f aca="false">"Sector "&amp;VALUE(MID(D1312,13,2))</f>
        <v>Sector 3</v>
      </c>
      <c r="O1312" s="34" t="str">
        <f aca="false">IF(Dashboard!$C$5="Ubicación técnica",N1312,"Sector "&amp;VALUE(RIGHT(G1312,2)))</f>
        <v>Sector 3</v>
      </c>
      <c r="P1312" s="34" t="str">
        <f aca="false">IF(MID(D1312,15,3)="SEL","Subestación eléctrica","Área de proceso")</f>
        <v>Subestación eléctrica</v>
      </c>
      <c r="Q1312" s="34" t="str">
        <f aca="false">MID(D1312,13,5)&amp;"|"&amp;MID(D1312,19,5)</f>
        <v>03SEL|S_007</v>
      </c>
      <c r="R1312" s="34" t="str">
        <f aca="false">IF(P1312="Subestación eléctrica",IFERROR(INDEX(cat_SubN,MATCH(Q1312,cat_SubK,0)),"SIN CATALOGAR"),"ÁREA DE PROCESO")</f>
        <v>SE-07</v>
      </c>
      <c r="S1312" s="34" t="str">
        <f aca="false">IF(H1312="","SIN DATO",IFERROR(INDEX(cat_MarcaN,MATCH(H1312,cat_MarcaO,0)),H1312))</f>
        <v>GENERAL ELECTRIC</v>
      </c>
      <c r="T1312" s="34" t="str">
        <f aca="false">IF(I1312="","SIN DATO",IFERROR(INDEX(cat_ModN,MATCH(I1312,cat_ModO,0)),I1312))</f>
        <v>MULTILIN</v>
      </c>
      <c r="U1312" s="34" t="str">
        <f aca="false">IF(I1312="","",IFERROR(INDEX(cat_ModG,MATCH(I1312,cat_ModO,0)),"No"))</f>
        <v>Sí</v>
      </c>
      <c r="V1312" s="34" t="str">
        <f aca="false">IF(J1312="","SIN DATO",IFERROR(INDEX(cat_FunN,MATCH(J1312,cat_FunO,0)),J1312))</f>
        <v>Protección y medición</v>
      </c>
      <c r="W1312" s="34" t="str">
        <f aca="false">IF(OR(S1312="SIN DATO",T1312="SIN DATO"),"No","Sí")</f>
        <v>Sí</v>
      </c>
    </row>
    <row r="1313" customFormat="false" ht="15" hidden="false" customHeight="false" outlineLevel="0" collapsed="false">
      <c r="A1313" s="34" t="s">
        <v>4873</v>
      </c>
      <c r="B1313" s="34" t="s">
        <v>4874</v>
      </c>
      <c r="C1313" s="34" t="s">
        <v>4875</v>
      </c>
      <c r="D1313" s="34" t="s">
        <v>4876</v>
      </c>
      <c r="E1313" s="34" t="s">
        <v>136</v>
      </c>
      <c r="F1313" s="34" t="s">
        <v>1602</v>
      </c>
      <c r="G1313" s="34" t="s">
        <v>2983</v>
      </c>
      <c r="H1313" s="34" t="s">
        <v>61</v>
      </c>
      <c r="I1313" s="34" t="s">
        <v>63</v>
      </c>
      <c r="J1313" s="34" t="s">
        <v>681</v>
      </c>
      <c r="K1313" s="34" t="s">
        <v>229</v>
      </c>
      <c r="L1313" s="34" t="s">
        <v>3198</v>
      </c>
      <c r="M1313" s="34" t="s">
        <v>231</v>
      </c>
      <c r="N1313" s="34" t="str">
        <f aca="false">"Sector "&amp;VALUE(MID(D1313,13,2))</f>
        <v>Sector 5</v>
      </c>
      <c r="O1313" s="34" t="str">
        <f aca="false">IF(Dashboard!$C$5="Ubicación técnica",N1313,"Sector "&amp;VALUE(RIGHT(G1313,2)))</f>
        <v>Sector 5</v>
      </c>
      <c r="P1313" s="34" t="str">
        <f aca="false">IF(MID(D1313,15,3)="SEL","Subestación eléctrica","Área de proceso")</f>
        <v>Subestación eléctrica</v>
      </c>
      <c r="Q1313" s="34" t="str">
        <f aca="false">MID(D1313,13,5)&amp;"|"&amp;MID(D1313,19,5)</f>
        <v>05SEL|S_011</v>
      </c>
      <c r="R1313" s="34" t="str">
        <f aca="false">IF(P1313="Subestación eléctrica",IFERROR(INDEX(cat_SubN,MATCH(Q1313,cat_SubK,0)),"SIN CATALOGAR"),"ÁREA DE PROCESO")</f>
        <v>SE-11</v>
      </c>
      <c r="S1313" s="34" t="str">
        <f aca="false">IF(H1313="","SIN DATO",IFERROR(INDEX(cat_MarcaN,MATCH(H1313,cat_MarcaO,0)),H1313))</f>
        <v>GENERAL ELECTRIC</v>
      </c>
      <c r="T1313" s="34" t="str">
        <f aca="false">IF(I1313="","SIN DATO",IFERROR(INDEX(cat_ModN,MATCH(I1313,cat_ModO,0)),I1313))</f>
        <v>MULTILIN</v>
      </c>
      <c r="U1313" s="34" t="str">
        <f aca="false">IF(I1313="","",IFERROR(INDEX(cat_ModG,MATCH(I1313,cat_ModO,0)),"No"))</f>
        <v>Sí</v>
      </c>
      <c r="V1313" s="34" t="str">
        <f aca="false">IF(J1313="","SIN DATO",IFERROR(INDEX(cat_FunN,MATCH(J1313,cat_FunO,0)),J1313))</f>
        <v>Protección</v>
      </c>
      <c r="W1313" s="34" t="str">
        <f aca="false">IF(OR(S1313="SIN DATO",T1313="SIN DATO"),"No","Sí")</f>
        <v>Sí</v>
      </c>
    </row>
    <row r="1314" customFormat="false" ht="15" hidden="false" customHeight="false" outlineLevel="0" collapsed="false">
      <c r="A1314" s="34" t="s">
        <v>4877</v>
      </c>
      <c r="B1314" s="34" t="s">
        <v>4878</v>
      </c>
      <c r="C1314" s="34" t="s">
        <v>4879</v>
      </c>
      <c r="D1314" s="34" t="s">
        <v>4880</v>
      </c>
      <c r="E1314" s="34" t="s">
        <v>136</v>
      </c>
      <c r="F1314" s="34" t="s">
        <v>1602</v>
      </c>
      <c r="G1314" s="34" t="s">
        <v>2983</v>
      </c>
      <c r="H1314" s="34" t="s">
        <v>61</v>
      </c>
      <c r="I1314" s="34" t="s">
        <v>63</v>
      </c>
      <c r="J1314" s="34" t="s">
        <v>681</v>
      </c>
      <c r="K1314" s="34" t="s">
        <v>229</v>
      </c>
      <c r="L1314" s="34" t="s">
        <v>3198</v>
      </c>
      <c r="M1314" s="34" t="s">
        <v>231</v>
      </c>
      <c r="N1314" s="34" t="str">
        <f aca="false">"Sector "&amp;VALUE(MID(D1314,13,2))</f>
        <v>Sector 5</v>
      </c>
      <c r="O1314" s="34" t="str">
        <f aca="false">IF(Dashboard!$C$5="Ubicación técnica",N1314,"Sector "&amp;VALUE(RIGHT(G1314,2)))</f>
        <v>Sector 5</v>
      </c>
      <c r="P1314" s="34" t="str">
        <f aca="false">IF(MID(D1314,15,3)="SEL","Subestación eléctrica","Área de proceso")</f>
        <v>Subestación eléctrica</v>
      </c>
      <c r="Q1314" s="34" t="str">
        <f aca="false">MID(D1314,13,5)&amp;"|"&amp;MID(D1314,19,5)</f>
        <v>05SEL|S_011</v>
      </c>
      <c r="R1314" s="34" t="str">
        <f aca="false">IF(P1314="Subestación eléctrica",IFERROR(INDEX(cat_SubN,MATCH(Q1314,cat_SubK,0)),"SIN CATALOGAR"),"ÁREA DE PROCESO")</f>
        <v>SE-11</v>
      </c>
      <c r="S1314" s="34" t="str">
        <f aca="false">IF(H1314="","SIN DATO",IFERROR(INDEX(cat_MarcaN,MATCH(H1314,cat_MarcaO,0)),H1314))</f>
        <v>GENERAL ELECTRIC</v>
      </c>
      <c r="T1314" s="34" t="str">
        <f aca="false">IF(I1314="","SIN DATO",IFERROR(INDEX(cat_ModN,MATCH(I1314,cat_ModO,0)),I1314))</f>
        <v>MULTILIN</v>
      </c>
      <c r="U1314" s="34" t="str">
        <f aca="false">IF(I1314="","",IFERROR(INDEX(cat_ModG,MATCH(I1314,cat_ModO,0)),"No"))</f>
        <v>Sí</v>
      </c>
      <c r="V1314" s="34" t="str">
        <f aca="false">IF(J1314="","SIN DATO",IFERROR(INDEX(cat_FunN,MATCH(J1314,cat_FunO,0)),J1314))</f>
        <v>Protección</v>
      </c>
      <c r="W1314" s="34" t="str">
        <f aca="false">IF(OR(S1314="SIN DATO",T1314="SIN DATO"),"No","Sí")</f>
        <v>Sí</v>
      </c>
    </row>
    <row r="1315" customFormat="false" ht="15" hidden="false" customHeight="false" outlineLevel="0" collapsed="false">
      <c r="A1315" s="34" t="s">
        <v>4881</v>
      </c>
      <c r="B1315" s="34" t="s">
        <v>4882</v>
      </c>
      <c r="C1315" s="34" t="s">
        <v>4883</v>
      </c>
      <c r="D1315" s="34" t="s">
        <v>4884</v>
      </c>
      <c r="E1315" s="34" t="s">
        <v>136</v>
      </c>
      <c r="F1315" s="34" t="s">
        <v>1602</v>
      </c>
      <c r="G1315" s="34" t="s">
        <v>2983</v>
      </c>
      <c r="H1315" s="34" t="s">
        <v>61</v>
      </c>
      <c r="I1315" s="34" t="s">
        <v>63</v>
      </c>
      <c r="J1315" s="34" t="s">
        <v>681</v>
      </c>
      <c r="K1315" s="34" t="s">
        <v>229</v>
      </c>
      <c r="L1315" s="34" t="s">
        <v>3198</v>
      </c>
      <c r="M1315" s="34" t="s">
        <v>231</v>
      </c>
      <c r="N1315" s="34" t="str">
        <f aca="false">"Sector "&amp;VALUE(MID(D1315,13,2))</f>
        <v>Sector 5</v>
      </c>
      <c r="O1315" s="34" t="str">
        <f aca="false">IF(Dashboard!$C$5="Ubicación técnica",N1315,"Sector "&amp;VALUE(RIGHT(G1315,2)))</f>
        <v>Sector 5</v>
      </c>
      <c r="P1315" s="34" t="str">
        <f aca="false">IF(MID(D1315,15,3)="SEL","Subestación eléctrica","Área de proceso")</f>
        <v>Subestación eléctrica</v>
      </c>
      <c r="Q1315" s="34" t="str">
        <f aca="false">MID(D1315,13,5)&amp;"|"&amp;MID(D1315,19,5)</f>
        <v>05SEL|S_011</v>
      </c>
      <c r="R1315" s="34" t="str">
        <f aca="false">IF(P1315="Subestación eléctrica",IFERROR(INDEX(cat_SubN,MATCH(Q1315,cat_SubK,0)),"SIN CATALOGAR"),"ÁREA DE PROCESO")</f>
        <v>SE-11</v>
      </c>
      <c r="S1315" s="34" t="str">
        <f aca="false">IF(H1315="","SIN DATO",IFERROR(INDEX(cat_MarcaN,MATCH(H1315,cat_MarcaO,0)),H1315))</f>
        <v>GENERAL ELECTRIC</v>
      </c>
      <c r="T1315" s="34" t="str">
        <f aca="false">IF(I1315="","SIN DATO",IFERROR(INDEX(cat_ModN,MATCH(I1315,cat_ModO,0)),I1315))</f>
        <v>MULTILIN</v>
      </c>
      <c r="U1315" s="34" t="str">
        <f aca="false">IF(I1315="","",IFERROR(INDEX(cat_ModG,MATCH(I1315,cat_ModO,0)),"No"))</f>
        <v>Sí</v>
      </c>
      <c r="V1315" s="34" t="str">
        <f aca="false">IF(J1315="","SIN DATO",IFERROR(INDEX(cat_FunN,MATCH(J1315,cat_FunO,0)),J1315))</f>
        <v>Protección</v>
      </c>
      <c r="W1315" s="34" t="str">
        <f aca="false">IF(OR(S1315="SIN DATO",T1315="SIN DATO"),"No","Sí")</f>
        <v>Sí</v>
      </c>
    </row>
    <row r="1316" customFormat="false" ht="15" hidden="false" customHeight="false" outlineLevel="0" collapsed="false">
      <c r="A1316" s="34" t="s">
        <v>4885</v>
      </c>
      <c r="B1316" s="34" t="s">
        <v>4886</v>
      </c>
      <c r="C1316" s="34" t="s">
        <v>4887</v>
      </c>
      <c r="D1316" s="34" t="s">
        <v>4888</v>
      </c>
      <c r="E1316" s="34" t="s">
        <v>136</v>
      </c>
      <c r="F1316" s="34" t="s">
        <v>1602</v>
      </c>
      <c r="G1316" s="34" t="s">
        <v>2983</v>
      </c>
      <c r="H1316" s="34" t="s">
        <v>61</v>
      </c>
      <c r="I1316" s="34" t="s">
        <v>63</v>
      </c>
      <c r="J1316" s="34" t="s">
        <v>681</v>
      </c>
      <c r="K1316" s="34" t="s">
        <v>229</v>
      </c>
      <c r="L1316" s="34" t="s">
        <v>3198</v>
      </c>
      <c r="M1316" s="34" t="s">
        <v>231</v>
      </c>
      <c r="N1316" s="34" t="str">
        <f aca="false">"Sector "&amp;VALUE(MID(D1316,13,2))</f>
        <v>Sector 5</v>
      </c>
      <c r="O1316" s="34" t="str">
        <f aca="false">IF(Dashboard!$C$5="Ubicación técnica",N1316,"Sector "&amp;VALUE(RIGHT(G1316,2)))</f>
        <v>Sector 5</v>
      </c>
      <c r="P1316" s="34" t="str">
        <f aca="false">IF(MID(D1316,15,3)="SEL","Subestación eléctrica","Área de proceso")</f>
        <v>Subestación eléctrica</v>
      </c>
      <c r="Q1316" s="34" t="str">
        <f aca="false">MID(D1316,13,5)&amp;"|"&amp;MID(D1316,19,5)</f>
        <v>05SEL|S_011</v>
      </c>
      <c r="R1316" s="34" t="str">
        <f aca="false">IF(P1316="Subestación eléctrica",IFERROR(INDEX(cat_SubN,MATCH(Q1316,cat_SubK,0)),"SIN CATALOGAR"),"ÁREA DE PROCESO")</f>
        <v>SE-11</v>
      </c>
      <c r="S1316" s="34" t="str">
        <f aca="false">IF(H1316="","SIN DATO",IFERROR(INDEX(cat_MarcaN,MATCH(H1316,cat_MarcaO,0)),H1316))</f>
        <v>GENERAL ELECTRIC</v>
      </c>
      <c r="T1316" s="34" t="str">
        <f aca="false">IF(I1316="","SIN DATO",IFERROR(INDEX(cat_ModN,MATCH(I1316,cat_ModO,0)),I1316))</f>
        <v>MULTILIN</v>
      </c>
      <c r="U1316" s="34" t="str">
        <f aca="false">IF(I1316="","",IFERROR(INDEX(cat_ModG,MATCH(I1316,cat_ModO,0)),"No"))</f>
        <v>Sí</v>
      </c>
      <c r="V1316" s="34" t="str">
        <f aca="false">IF(J1316="","SIN DATO",IFERROR(INDEX(cat_FunN,MATCH(J1316,cat_FunO,0)),J1316))</f>
        <v>Protección</v>
      </c>
      <c r="W1316" s="34" t="str">
        <f aca="false">IF(OR(S1316="SIN DATO",T1316="SIN DATO"),"No","Sí")</f>
        <v>Sí</v>
      </c>
    </row>
    <row r="1317" customFormat="false" ht="15" hidden="false" customHeight="false" outlineLevel="0" collapsed="false">
      <c r="A1317" s="34" t="s">
        <v>4889</v>
      </c>
      <c r="B1317" s="34" t="s">
        <v>4890</v>
      </c>
      <c r="C1317" s="34" t="s">
        <v>4891</v>
      </c>
      <c r="D1317" s="34" t="s">
        <v>4892</v>
      </c>
      <c r="E1317" s="34" t="s">
        <v>136</v>
      </c>
      <c r="F1317" s="34" t="s">
        <v>1602</v>
      </c>
      <c r="G1317" s="34" t="s">
        <v>2983</v>
      </c>
      <c r="H1317" s="34" t="s">
        <v>61</v>
      </c>
      <c r="I1317" s="34" t="s">
        <v>63</v>
      </c>
      <c r="J1317" s="34" t="s">
        <v>681</v>
      </c>
      <c r="K1317" s="34" t="s">
        <v>229</v>
      </c>
      <c r="L1317" s="34" t="s">
        <v>3198</v>
      </c>
      <c r="M1317" s="34" t="s">
        <v>231</v>
      </c>
      <c r="N1317" s="34" t="str">
        <f aca="false">"Sector "&amp;VALUE(MID(D1317,13,2))</f>
        <v>Sector 5</v>
      </c>
      <c r="O1317" s="34" t="str">
        <f aca="false">IF(Dashboard!$C$5="Ubicación técnica",N1317,"Sector "&amp;VALUE(RIGHT(G1317,2)))</f>
        <v>Sector 5</v>
      </c>
      <c r="P1317" s="34" t="str">
        <f aca="false">IF(MID(D1317,15,3)="SEL","Subestación eléctrica","Área de proceso")</f>
        <v>Subestación eléctrica</v>
      </c>
      <c r="Q1317" s="34" t="str">
        <f aca="false">MID(D1317,13,5)&amp;"|"&amp;MID(D1317,19,5)</f>
        <v>05SEL|S_011</v>
      </c>
      <c r="R1317" s="34" t="str">
        <f aca="false">IF(P1317="Subestación eléctrica",IFERROR(INDEX(cat_SubN,MATCH(Q1317,cat_SubK,0)),"SIN CATALOGAR"),"ÁREA DE PROCESO")</f>
        <v>SE-11</v>
      </c>
      <c r="S1317" s="34" t="str">
        <f aca="false">IF(H1317="","SIN DATO",IFERROR(INDEX(cat_MarcaN,MATCH(H1317,cat_MarcaO,0)),H1317))</f>
        <v>GENERAL ELECTRIC</v>
      </c>
      <c r="T1317" s="34" t="str">
        <f aca="false">IF(I1317="","SIN DATO",IFERROR(INDEX(cat_ModN,MATCH(I1317,cat_ModO,0)),I1317))</f>
        <v>MULTILIN</v>
      </c>
      <c r="U1317" s="34" t="str">
        <f aca="false">IF(I1317="","",IFERROR(INDEX(cat_ModG,MATCH(I1317,cat_ModO,0)),"No"))</f>
        <v>Sí</v>
      </c>
      <c r="V1317" s="34" t="str">
        <f aca="false">IF(J1317="","SIN DATO",IFERROR(INDEX(cat_FunN,MATCH(J1317,cat_FunO,0)),J1317))</f>
        <v>Protección</v>
      </c>
      <c r="W1317" s="34" t="str">
        <f aca="false">IF(OR(S1317="SIN DATO",T1317="SIN DATO"),"No","Sí")</f>
        <v>Sí</v>
      </c>
    </row>
    <row r="1318" customFormat="false" ht="15" hidden="false" customHeight="false" outlineLevel="0" collapsed="false">
      <c r="A1318" s="34" t="s">
        <v>4893</v>
      </c>
      <c r="B1318" s="34" t="s">
        <v>4894</v>
      </c>
      <c r="C1318" s="34" t="s">
        <v>4895</v>
      </c>
      <c r="D1318" s="34" t="s">
        <v>4896</v>
      </c>
      <c r="E1318" s="34" t="s">
        <v>136</v>
      </c>
      <c r="F1318" s="34" t="s">
        <v>1602</v>
      </c>
      <c r="G1318" s="34" t="s">
        <v>2983</v>
      </c>
      <c r="H1318" s="34" t="s">
        <v>61</v>
      </c>
      <c r="I1318" s="34" t="s">
        <v>63</v>
      </c>
      <c r="J1318" s="34" t="s">
        <v>681</v>
      </c>
      <c r="K1318" s="34" t="s">
        <v>229</v>
      </c>
      <c r="L1318" s="34" t="s">
        <v>3198</v>
      </c>
      <c r="M1318" s="34" t="s">
        <v>231</v>
      </c>
      <c r="N1318" s="34" t="str">
        <f aca="false">"Sector "&amp;VALUE(MID(D1318,13,2))</f>
        <v>Sector 5</v>
      </c>
      <c r="O1318" s="34" t="str">
        <f aca="false">IF(Dashboard!$C$5="Ubicación técnica",N1318,"Sector "&amp;VALUE(RIGHT(G1318,2)))</f>
        <v>Sector 5</v>
      </c>
      <c r="P1318" s="34" t="str">
        <f aca="false">IF(MID(D1318,15,3)="SEL","Subestación eléctrica","Área de proceso")</f>
        <v>Subestación eléctrica</v>
      </c>
      <c r="Q1318" s="34" t="str">
        <f aca="false">MID(D1318,13,5)&amp;"|"&amp;MID(D1318,19,5)</f>
        <v>05SEL|S_011</v>
      </c>
      <c r="R1318" s="34" t="str">
        <f aca="false">IF(P1318="Subestación eléctrica",IFERROR(INDEX(cat_SubN,MATCH(Q1318,cat_SubK,0)),"SIN CATALOGAR"),"ÁREA DE PROCESO")</f>
        <v>SE-11</v>
      </c>
      <c r="S1318" s="34" t="str">
        <f aca="false">IF(H1318="","SIN DATO",IFERROR(INDEX(cat_MarcaN,MATCH(H1318,cat_MarcaO,0)),H1318))</f>
        <v>GENERAL ELECTRIC</v>
      </c>
      <c r="T1318" s="34" t="str">
        <f aca="false">IF(I1318="","SIN DATO",IFERROR(INDEX(cat_ModN,MATCH(I1318,cat_ModO,0)),I1318))</f>
        <v>MULTILIN</v>
      </c>
      <c r="U1318" s="34" t="str">
        <f aca="false">IF(I1318="","",IFERROR(INDEX(cat_ModG,MATCH(I1318,cat_ModO,0)),"No"))</f>
        <v>Sí</v>
      </c>
      <c r="V1318" s="34" t="str">
        <f aca="false">IF(J1318="","SIN DATO",IFERROR(INDEX(cat_FunN,MATCH(J1318,cat_FunO,0)),J1318))</f>
        <v>Protección</v>
      </c>
      <c r="W1318" s="34" t="str">
        <f aca="false">IF(OR(S1318="SIN DATO",T1318="SIN DATO"),"No","Sí")</f>
        <v>Sí</v>
      </c>
    </row>
    <row r="1319" customFormat="false" ht="15" hidden="false" customHeight="false" outlineLevel="0" collapsed="false">
      <c r="A1319" s="34" t="s">
        <v>4897</v>
      </c>
      <c r="B1319" s="34" t="s">
        <v>4898</v>
      </c>
      <c r="C1319" s="34" t="s">
        <v>4899</v>
      </c>
      <c r="D1319" s="34" t="s">
        <v>4900</v>
      </c>
      <c r="E1319" s="34" t="s">
        <v>136</v>
      </c>
      <c r="F1319" s="34" t="s">
        <v>1602</v>
      </c>
      <c r="G1319" s="34" t="s">
        <v>2983</v>
      </c>
      <c r="H1319" s="34" t="s">
        <v>61</v>
      </c>
      <c r="I1319" s="34" t="s">
        <v>63</v>
      </c>
      <c r="J1319" s="34" t="s">
        <v>681</v>
      </c>
      <c r="K1319" s="34" t="s">
        <v>229</v>
      </c>
      <c r="L1319" s="34" t="s">
        <v>3198</v>
      </c>
      <c r="M1319" s="34" t="s">
        <v>231</v>
      </c>
      <c r="N1319" s="34" t="str">
        <f aca="false">"Sector "&amp;VALUE(MID(D1319,13,2))</f>
        <v>Sector 5</v>
      </c>
      <c r="O1319" s="34" t="str">
        <f aca="false">IF(Dashboard!$C$5="Ubicación técnica",N1319,"Sector "&amp;VALUE(RIGHT(G1319,2)))</f>
        <v>Sector 5</v>
      </c>
      <c r="P1319" s="34" t="str">
        <f aca="false">IF(MID(D1319,15,3)="SEL","Subestación eléctrica","Área de proceso")</f>
        <v>Subestación eléctrica</v>
      </c>
      <c r="Q1319" s="34" t="str">
        <f aca="false">MID(D1319,13,5)&amp;"|"&amp;MID(D1319,19,5)</f>
        <v>05SEL|S_011</v>
      </c>
      <c r="R1319" s="34" t="str">
        <f aca="false">IF(P1319="Subestación eléctrica",IFERROR(INDEX(cat_SubN,MATCH(Q1319,cat_SubK,0)),"SIN CATALOGAR"),"ÁREA DE PROCESO")</f>
        <v>SE-11</v>
      </c>
      <c r="S1319" s="34" t="str">
        <f aca="false">IF(H1319="","SIN DATO",IFERROR(INDEX(cat_MarcaN,MATCH(H1319,cat_MarcaO,0)),H1319))</f>
        <v>GENERAL ELECTRIC</v>
      </c>
      <c r="T1319" s="34" t="str">
        <f aca="false">IF(I1319="","SIN DATO",IFERROR(INDEX(cat_ModN,MATCH(I1319,cat_ModO,0)),I1319))</f>
        <v>MULTILIN</v>
      </c>
      <c r="U1319" s="34" t="str">
        <f aca="false">IF(I1319="","",IFERROR(INDEX(cat_ModG,MATCH(I1319,cat_ModO,0)),"No"))</f>
        <v>Sí</v>
      </c>
      <c r="V1319" s="34" t="str">
        <f aca="false">IF(J1319="","SIN DATO",IFERROR(INDEX(cat_FunN,MATCH(J1319,cat_FunO,0)),J1319))</f>
        <v>Protección</v>
      </c>
      <c r="W1319" s="34" t="str">
        <f aca="false">IF(OR(S1319="SIN DATO",T1319="SIN DATO"),"No","Sí")</f>
        <v>Sí</v>
      </c>
    </row>
    <row r="1320" customFormat="false" ht="15" hidden="false" customHeight="false" outlineLevel="0" collapsed="false">
      <c r="A1320" s="34" t="s">
        <v>4901</v>
      </c>
      <c r="B1320" s="34" t="s">
        <v>4902</v>
      </c>
      <c r="C1320" s="34" t="s">
        <v>4903</v>
      </c>
      <c r="D1320" s="34" t="s">
        <v>4904</v>
      </c>
      <c r="E1320" s="34" t="s">
        <v>136</v>
      </c>
      <c r="F1320" s="34" t="s">
        <v>1602</v>
      </c>
      <c r="G1320" s="34" t="s">
        <v>2983</v>
      </c>
      <c r="H1320" s="34" t="s">
        <v>61</v>
      </c>
      <c r="I1320" s="34" t="s">
        <v>63</v>
      </c>
      <c r="J1320" s="34" t="s">
        <v>681</v>
      </c>
      <c r="K1320" s="34" t="s">
        <v>229</v>
      </c>
      <c r="L1320" s="34" t="s">
        <v>3198</v>
      </c>
      <c r="M1320" s="34" t="s">
        <v>231</v>
      </c>
      <c r="N1320" s="34" t="str">
        <f aca="false">"Sector "&amp;VALUE(MID(D1320,13,2))</f>
        <v>Sector 5</v>
      </c>
      <c r="O1320" s="34" t="str">
        <f aca="false">IF(Dashboard!$C$5="Ubicación técnica",N1320,"Sector "&amp;VALUE(RIGHT(G1320,2)))</f>
        <v>Sector 5</v>
      </c>
      <c r="P1320" s="34" t="str">
        <f aca="false">IF(MID(D1320,15,3)="SEL","Subestación eléctrica","Área de proceso")</f>
        <v>Subestación eléctrica</v>
      </c>
      <c r="Q1320" s="34" t="str">
        <f aca="false">MID(D1320,13,5)&amp;"|"&amp;MID(D1320,19,5)</f>
        <v>05SEL|S_011</v>
      </c>
      <c r="R1320" s="34" t="str">
        <f aca="false">IF(P1320="Subestación eléctrica",IFERROR(INDEX(cat_SubN,MATCH(Q1320,cat_SubK,0)),"SIN CATALOGAR"),"ÁREA DE PROCESO")</f>
        <v>SE-11</v>
      </c>
      <c r="S1320" s="34" t="str">
        <f aca="false">IF(H1320="","SIN DATO",IFERROR(INDEX(cat_MarcaN,MATCH(H1320,cat_MarcaO,0)),H1320))</f>
        <v>GENERAL ELECTRIC</v>
      </c>
      <c r="T1320" s="34" t="str">
        <f aca="false">IF(I1320="","SIN DATO",IFERROR(INDEX(cat_ModN,MATCH(I1320,cat_ModO,0)),I1320))</f>
        <v>MULTILIN</v>
      </c>
      <c r="U1320" s="34" t="str">
        <f aca="false">IF(I1320="","",IFERROR(INDEX(cat_ModG,MATCH(I1320,cat_ModO,0)),"No"))</f>
        <v>Sí</v>
      </c>
      <c r="V1320" s="34" t="str">
        <f aca="false">IF(J1320="","SIN DATO",IFERROR(INDEX(cat_FunN,MATCH(J1320,cat_FunO,0)),J1320))</f>
        <v>Protección</v>
      </c>
      <c r="W1320" s="34" t="str">
        <f aca="false">IF(OR(S1320="SIN DATO",T1320="SIN DATO"),"No","Sí")</f>
        <v>Sí</v>
      </c>
    </row>
    <row r="1321" customFormat="false" ht="15" hidden="false" customHeight="false" outlineLevel="0" collapsed="false">
      <c r="A1321" s="34" t="s">
        <v>4905</v>
      </c>
      <c r="B1321" s="34" t="s">
        <v>4906</v>
      </c>
      <c r="C1321" s="34" t="s">
        <v>4907</v>
      </c>
      <c r="D1321" s="34" t="s">
        <v>4908</v>
      </c>
      <c r="E1321" s="34" t="s">
        <v>136</v>
      </c>
      <c r="F1321" s="34" t="s">
        <v>1602</v>
      </c>
      <c r="G1321" s="34" t="s">
        <v>2983</v>
      </c>
      <c r="H1321" s="34" t="s">
        <v>61</v>
      </c>
      <c r="I1321" s="34" t="s">
        <v>63</v>
      </c>
      <c r="J1321" s="34" t="s">
        <v>681</v>
      </c>
      <c r="K1321" s="34" t="s">
        <v>229</v>
      </c>
      <c r="L1321" s="34" t="s">
        <v>3198</v>
      </c>
      <c r="M1321" s="34" t="s">
        <v>231</v>
      </c>
      <c r="N1321" s="34" t="str">
        <f aca="false">"Sector "&amp;VALUE(MID(D1321,13,2))</f>
        <v>Sector 5</v>
      </c>
      <c r="O1321" s="34" t="str">
        <f aca="false">IF(Dashboard!$C$5="Ubicación técnica",N1321,"Sector "&amp;VALUE(RIGHT(G1321,2)))</f>
        <v>Sector 5</v>
      </c>
      <c r="P1321" s="34" t="str">
        <f aca="false">IF(MID(D1321,15,3)="SEL","Subestación eléctrica","Área de proceso")</f>
        <v>Subestación eléctrica</v>
      </c>
      <c r="Q1321" s="34" t="str">
        <f aca="false">MID(D1321,13,5)&amp;"|"&amp;MID(D1321,19,5)</f>
        <v>05SEL|S_011</v>
      </c>
      <c r="R1321" s="34" t="str">
        <f aca="false">IF(P1321="Subestación eléctrica",IFERROR(INDEX(cat_SubN,MATCH(Q1321,cat_SubK,0)),"SIN CATALOGAR"),"ÁREA DE PROCESO")</f>
        <v>SE-11</v>
      </c>
      <c r="S1321" s="34" t="str">
        <f aca="false">IF(H1321="","SIN DATO",IFERROR(INDEX(cat_MarcaN,MATCH(H1321,cat_MarcaO,0)),H1321))</f>
        <v>GENERAL ELECTRIC</v>
      </c>
      <c r="T1321" s="34" t="str">
        <f aca="false">IF(I1321="","SIN DATO",IFERROR(INDEX(cat_ModN,MATCH(I1321,cat_ModO,0)),I1321))</f>
        <v>MULTILIN</v>
      </c>
      <c r="U1321" s="34" t="str">
        <f aca="false">IF(I1321="","",IFERROR(INDEX(cat_ModG,MATCH(I1321,cat_ModO,0)),"No"))</f>
        <v>Sí</v>
      </c>
      <c r="V1321" s="34" t="str">
        <f aca="false">IF(J1321="","SIN DATO",IFERROR(INDEX(cat_FunN,MATCH(J1321,cat_FunO,0)),J1321))</f>
        <v>Protección</v>
      </c>
      <c r="W1321" s="34" t="str">
        <f aca="false">IF(OR(S1321="SIN DATO",T1321="SIN DATO"),"No","Sí")</f>
        <v>Sí</v>
      </c>
    </row>
    <row r="1322" customFormat="false" ht="15" hidden="false" customHeight="false" outlineLevel="0" collapsed="false">
      <c r="A1322" s="34" t="s">
        <v>4909</v>
      </c>
      <c r="B1322" s="34" t="s">
        <v>4910</v>
      </c>
      <c r="C1322" s="34" t="s">
        <v>4911</v>
      </c>
      <c r="D1322" s="34" t="s">
        <v>4912</v>
      </c>
      <c r="E1322" s="34" t="s">
        <v>136</v>
      </c>
      <c r="F1322" s="34" t="s">
        <v>1602</v>
      </c>
      <c r="G1322" s="34" t="s">
        <v>2983</v>
      </c>
      <c r="H1322" s="34" t="s">
        <v>55</v>
      </c>
      <c r="I1322" s="34" t="s">
        <v>55</v>
      </c>
      <c r="J1322" s="34" t="s">
        <v>58</v>
      </c>
      <c r="K1322" s="34" t="s">
        <v>229</v>
      </c>
      <c r="L1322" s="34" t="s">
        <v>230</v>
      </c>
      <c r="M1322" s="34" t="s">
        <v>231</v>
      </c>
      <c r="N1322" s="34" t="str">
        <f aca="false">"Sector "&amp;VALUE(MID(D1322,13,2))</f>
        <v>Sector 5</v>
      </c>
      <c r="O1322" s="34" t="str">
        <f aca="false">IF(Dashboard!$C$5="Ubicación técnica",N1322,"Sector "&amp;VALUE(RIGHT(G1322,2)))</f>
        <v>Sector 5</v>
      </c>
      <c r="P1322" s="34" t="str">
        <f aca="false">IF(MID(D1322,15,3)="SEL","Subestación eléctrica","Área de proceso")</f>
        <v>Subestación eléctrica</v>
      </c>
      <c r="Q1322" s="34" t="str">
        <f aca="false">MID(D1322,13,5)&amp;"|"&amp;MID(D1322,19,5)</f>
        <v>05SEL|S_011</v>
      </c>
      <c r="R1322" s="34" t="str">
        <f aca="false">IF(P1322="Subestación eléctrica",IFERROR(INDEX(cat_SubN,MATCH(Q1322,cat_SubK,0)),"SIN CATALOGAR"),"ÁREA DE PROCESO")</f>
        <v>SE-11</v>
      </c>
      <c r="S1322" s="34" t="str">
        <f aca="false">IF(H1322="","SIN DATO",IFERROR(INDEX(cat_MarcaN,MATCH(H1322,cat_MarcaO,0)),H1322))</f>
        <v>SEL</v>
      </c>
      <c r="T1322" s="34" t="str">
        <f aca="false">IF(I1322="","SIN DATO",IFERROR(INDEX(cat_ModN,MATCH(I1322,cat_ModO,0)),I1322))</f>
        <v>SEL</v>
      </c>
      <c r="U1322" s="34" t="str">
        <f aca="false">IF(I1322="","",IFERROR(INDEX(cat_ModG,MATCH(I1322,cat_ModO,0)),"No"))</f>
        <v>Sí</v>
      </c>
      <c r="V1322" s="34" t="str">
        <f aca="false">IF(J1322="","SIN DATO",IFERROR(INDEX(cat_FunN,MATCH(J1322,cat_FunO,0)),J1322))</f>
        <v>Medición</v>
      </c>
      <c r="W1322" s="34" t="str">
        <f aca="false">IF(OR(S1322="SIN DATO",T1322="SIN DATO"),"No","Sí")</f>
        <v>Sí</v>
      </c>
    </row>
    <row r="1323" customFormat="false" ht="15" hidden="false" customHeight="false" outlineLevel="0" collapsed="false">
      <c r="A1323" s="34" t="s">
        <v>4913</v>
      </c>
      <c r="B1323" s="34" t="s">
        <v>4914</v>
      </c>
      <c r="C1323" s="34" t="s">
        <v>4915</v>
      </c>
      <c r="D1323" s="34" t="s">
        <v>4916</v>
      </c>
      <c r="E1323" s="34" t="s">
        <v>136</v>
      </c>
      <c r="F1323" s="34" t="s">
        <v>1602</v>
      </c>
      <c r="G1323" s="34" t="s">
        <v>2983</v>
      </c>
      <c r="H1323" s="34" t="s">
        <v>55</v>
      </c>
      <c r="I1323" s="34" t="s">
        <v>55</v>
      </c>
      <c r="J1323" s="34" t="s">
        <v>58</v>
      </c>
      <c r="K1323" s="34" t="s">
        <v>229</v>
      </c>
      <c r="L1323" s="34" t="s">
        <v>230</v>
      </c>
      <c r="M1323" s="34" t="s">
        <v>344</v>
      </c>
      <c r="N1323" s="34" t="str">
        <f aca="false">"Sector "&amp;VALUE(MID(D1323,13,2))</f>
        <v>Sector 5</v>
      </c>
      <c r="O1323" s="34" t="str">
        <f aca="false">IF(Dashboard!$C$5="Ubicación técnica",N1323,"Sector "&amp;VALUE(RIGHT(G1323,2)))</f>
        <v>Sector 5</v>
      </c>
      <c r="P1323" s="34" t="str">
        <f aca="false">IF(MID(D1323,15,3)="SEL","Subestación eléctrica","Área de proceso")</f>
        <v>Subestación eléctrica</v>
      </c>
      <c r="Q1323" s="34" t="str">
        <f aca="false">MID(D1323,13,5)&amp;"|"&amp;MID(D1323,19,5)</f>
        <v>05SEL|S_011</v>
      </c>
      <c r="R1323" s="34" t="str">
        <f aca="false">IF(P1323="Subestación eléctrica",IFERROR(INDEX(cat_SubN,MATCH(Q1323,cat_SubK,0)),"SIN CATALOGAR"),"ÁREA DE PROCESO")</f>
        <v>SE-11</v>
      </c>
      <c r="S1323" s="34" t="str">
        <f aca="false">IF(H1323="","SIN DATO",IFERROR(INDEX(cat_MarcaN,MATCH(H1323,cat_MarcaO,0)),H1323))</f>
        <v>SEL</v>
      </c>
      <c r="T1323" s="34" t="str">
        <f aca="false">IF(I1323="","SIN DATO",IFERROR(INDEX(cat_ModN,MATCH(I1323,cat_ModO,0)),I1323))</f>
        <v>SEL</v>
      </c>
      <c r="U1323" s="34" t="str">
        <f aca="false">IF(I1323="","",IFERROR(INDEX(cat_ModG,MATCH(I1323,cat_ModO,0)),"No"))</f>
        <v>Sí</v>
      </c>
      <c r="V1323" s="34" t="str">
        <f aca="false">IF(J1323="","SIN DATO",IFERROR(INDEX(cat_FunN,MATCH(J1323,cat_FunO,0)),J1323))</f>
        <v>Medición</v>
      </c>
      <c r="W1323" s="34" t="str">
        <f aca="false">IF(OR(S1323="SIN DATO",T1323="SIN DATO"),"No","Sí")</f>
        <v>Sí</v>
      </c>
    </row>
    <row r="1324" customFormat="false" ht="15" hidden="false" customHeight="false" outlineLevel="0" collapsed="false">
      <c r="A1324" s="34" t="s">
        <v>4917</v>
      </c>
      <c r="B1324" s="34" t="s">
        <v>4918</v>
      </c>
      <c r="C1324" s="34" t="s">
        <v>4919</v>
      </c>
      <c r="D1324" s="34" t="s">
        <v>4920</v>
      </c>
      <c r="E1324" s="34" t="s">
        <v>136</v>
      </c>
      <c r="F1324" s="34" t="s">
        <v>1602</v>
      </c>
      <c r="G1324" s="34" t="s">
        <v>2983</v>
      </c>
      <c r="H1324" s="34" t="s">
        <v>55</v>
      </c>
      <c r="I1324" s="34" t="s">
        <v>55</v>
      </c>
      <c r="J1324" s="34" t="s">
        <v>58</v>
      </c>
      <c r="K1324" s="34" t="s">
        <v>229</v>
      </c>
      <c r="L1324" s="34" t="s">
        <v>230</v>
      </c>
      <c r="M1324" s="34" t="s">
        <v>344</v>
      </c>
      <c r="N1324" s="34" t="str">
        <f aca="false">"Sector "&amp;VALUE(MID(D1324,13,2))</f>
        <v>Sector 5</v>
      </c>
      <c r="O1324" s="34" t="str">
        <f aca="false">IF(Dashboard!$C$5="Ubicación técnica",N1324,"Sector "&amp;VALUE(RIGHT(G1324,2)))</f>
        <v>Sector 5</v>
      </c>
      <c r="P1324" s="34" t="str">
        <f aca="false">IF(MID(D1324,15,3)="SEL","Subestación eléctrica","Área de proceso")</f>
        <v>Subestación eléctrica</v>
      </c>
      <c r="Q1324" s="34" t="str">
        <f aca="false">MID(D1324,13,5)&amp;"|"&amp;MID(D1324,19,5)</f>
        <v>05SEL|S_011</v>
      </c>
      <c r="R1324" s="34" t="str">
        <f aca="false">IF(P1324="Subestación eléctrica",IFERROR(INDEX(cat_SubN,MATCH(Q1324,cat_SubK,0)),"SIN CATALOGAR"),"ÁREA DE PROCESO")</f>
        <v>SE-11</v>
      </c>
      <c r="S1324" s="34" t="str">
        <f aca="false">IF(H1324="","SIN DATO",IFERROR(INDEX(cat_MarcaN,MATCH(H1324,cat_MarcaO,0)),H1324))</f>
        <v>SEL</v>
      </c>
      <c r="T1324" s="34" t="str">
        <f aca="false">IF(I1324="","SIN DATO",IFERROR(INDEX(cat_ModN,MATCH(I1324,cat_ModO,0)),I1324))</f>
        <v>SEL</v>
      </c>
      <c r="U1324" s="34" t="str">
        <f aca="false">IF(I1324="","",IFERROR(INDEX(cat_ModG,MATCH(I1324,cat_ModO,0)),"No"))</f>
        <v>Sí</v>
      </c>
      <c r="V1324" s="34" t="str">
        <f aca="false">IF(J1324="","SIN DATO",IFERROR(INDEX(cat_FunN,MATCH(J1324,cat_FunO,0)),J1324))</f>
        <v>Medición</v>
      </c>
      <c r="W1324" s="34" t="str">
        <f aca="false">IF(OR(S1324="SIN DATO",T1324="SIN DATO"),"No","Sí")</f>
        <v>Sí</v>
      </c>
    </row>
    <row r="1325" customFormat="false" ht="15" hidden="false" customHeight="false" outlineLevel="0" collapsed="false">
      <c r="A1325" s="34" t="s">
        <v>4921</v>
      </c>
      <c r="B1325" s="34" t="s">
        <v>4922</v>
      </c>
      <c r="C1325" s="34" t="s">
        <v>4923</v>
      </c>
      <c r="D1325" s="34" t="s">
        <v>4924</v>
      </c>
      <c r="E1325" s="34" t="s">
        <v>136</v>
      </c>
      <c r="F1325" s="34" t="s">
        <v>1602</v>
      </c>
      <c r="G1325" s="34" t="s">
        <v>2983</v>
      </c>
      <c r="H1325" s="34" t="s">
        <v>55</v>
      </c>
      <c r="I1325" s="34" t="s">
        <v>55</v>
      </c>
      <c r="J1325" s="34" t="s">
        <v>58</v>
      </c>
      <c r="K1325" s="34" t="s">
        <v>229</v>
      </c>
      <c r="L1325" s="34" t="s">
        <v>230</v>
      </c>
      <c r="M1325" s="34" t="s">
        <v>344</v>
      </c>
      <c r="N1325" s="34" t="str">
        <f aca="false">"Sector "&amp;VALUE(MID(D1325,13,2))</f>
        <v>Sector 5</v>
      </c>
      <c r="O1325" s="34" t="str">
        <f aca="false">IF(Dashboard!$C$5="Ubicación técnica",N1325,"Sector "&amp;VALUE(RIGHT(G1325,2)))</f>
        <v>Sector 5</v>
      </c>
      <c r="P1325" s="34" t="str">
        <f aca="false">IF(MID(D1325,15,3)="SEL","Subestación eléctrica","Área de proceso")</f>
        <v>Subestación eléctrica</v>
      </c>
      <c r="Q1325" s="34" t="str">
        <f aca="false">MID(D1325,13,5)&amp;"|"&amp;MID(D1325,19,5)</f>
        <v>05SEL|S_011</v>
      </c>
      <c r="R1325" s="34" t="str">
        <f aca="false">IF(P1325="Subestación eléctrica",IFERROR(INDEX(cat_SubN,MATCH(Q1325,cat_SubK,0)),"SIN CATALOGAR"),"ÁREA DE PROCESO")</f>
        <v>SE-11</v>
      </c>
      <c r="S1325" s="34" t="str">
        <f aca="false">IF(H1325="","SIN DATO",IFERROR(INDEX(cat_MarcaN,MATCH(H1325,cat_MarcaO,0)),H1325))</f>
        <v>SEL</v>
      </c>
      <c r="T1325" s="34" t="str">
        <f aca="false">IF(I1325="","SIN DATO",IFERROR(INDEX(cat_ModN,MATCH(I1325,cat_ModO,0)),I1325))</f>
        <v>SEL</v>
      </c>
      <c r="U1325" s="34" t="str">
        <f aca="false">IF(I1325="","",IFERROR(INDEX(cat_ModG,MATCH(I1325,cat_ModO,0)),"No"))</f>
        <v>Sí</v>
      </c>
      <c r="V1325" s="34" t="str">
        <f aca="false">IF(J1325="","SIN DATO",IFERROR(INDEX(cat_FunN,MATCH(J1325,cat_FunO,0)),J1325))</f>
        <v>Medición</v>
      </c>
      <c r="W1325" s="34" t="str">
        <f aca="false">IF(OR(S1325="SIN DATO",T1325="SIN DATO"),"No","Sí")</f>
        <v>Sí</v>
      </c>
    </row>
    <row r="1326" customFormat="false" ht="15" hidden="false" customHeight="false" outlineLevel="0" collapsed="false">
      <c r="A1326" s="34" t="s">
        <v>4925</v>
      </c>
      <c r="B1326" s="34" t="s">
        <v>4926</v>
      </c>
      <c r="C1326" s="34" t="s">
        <v>4927</v>
      </c>
      <c r="D1326" s="34" t="s">
        <v>4928</v>
      </c>
      <c r="E1326" s="34" t="s">
        <v>136</v>
      </c>
      <c r="F1326" s="34" t="s">
        <v>1602</v>
      </c>
      <c r="G1326" s="34" t="s">
        <v>2983</v>
      </c>
      <c r="H1326" s="34" t="s">
        <v>55</v>
      </c>
      <c r="I1326" s="34" t="s">
        <v>55</v>
      </c>
      <c r="J1326" s="34" t="s">
        <v>58</v>
      </c>
      <c r="K1326" s="34" t="s">
        <v>229</v>
      </c>
      <c r="L1326" s="34" t="s">
        <v>230</v>
      </c>
      <c r="M1326" s="34" t="s">
        <v>344</v>
      </c>
      <c r="N1326" s="34" t="str">
        <f aca="false">"Sector "&amp;VALUE(MID(D1326,13,2))</f>
        <v>Sector 5</v>
      </c>
      <c r="O1326" s="34" t="str">
        <f aca="false">IF(Dashboard!$C$5="Ubicación técnica",N1326,"Sector "&amp;VALUE(RIGHT(G1326,2)))</f>
        <v>Sector 5</v>
      </c>
      <c r="P1326" s="34" t="str">
        <f aca="false">IF(MID(D1326,15,3)="SEL","Subestación eléctrica","Área de proceso")</f>
        <v>Subestación eléctrica</v>
      </c>
      <c r="Q1326" s="34" t="str">
        <f aca="false">MID(D1326,13,5)&amp;"|"&amp;MID(D1326,19,5)</f>
        <v>05SEL|S_011</v>
      </c>
      <c r="R1326" s="34" t="str">
        <f aca="false">IF(P1326="Subestación eléctrica",IFERROR(INDEX(cat_SubN,MATCH(Q1326,cat_SubK,0)),"SIN CATALOGAR"),"ÁREA DE PROCESO")</f>
        <v>SE-11</v>
      </c>
      <c r="S1326" s="34" t="str">
        <f aca="false">IF(H1326="","SIN DATO",IFERROR(INDEX(cat_MarcaN,MATCH(H1326,cat_MarcaO,0)),H1326))</f>
        <v>SEL</v>
      </c>
      <c r="T1326" s="34" t="str">
        <f aca="false">IF(I1326="","SIN DATO",IFERROR(INDEX(cat_ModN,MATCH(I1326,cat_ModO,0)),I1326))</f>
        <v>SEL</v>
      </c>
      <c r="U1326" s="34" t="str">
        <f aca="false">IF(I1326="","",IFERROR(INDEX(cat_ModG,MATCH(I1326,cat_ModO,0)),"No"))</f>
        <v>Sí</v>
      </c>
      <c r="V1326" s="34" t="str">
        <f aca="false">IF(J1326="","SIN DATO",IFERROR(INDEX(cat_FunN,MATCH(J1326,cat_FunO,0)),J1326))</f>
        <v>Medición</v>
      </c>
      <c r="W1326" s="34" t="str">
        <f aca="false">IF(OR(S1326="SIN DATO",T1326="SIN DATO"),"No","Sí")</f>
        <v>Sí</v>
      </c>
    </row>
    <row r="1327" customFormat="false" ht="15" hidden="false" customHeight="false" outlineLevel="0" collapsed="false">
      <c r="A1327" s="34" t="s">
        <v>4929</v>
      </c>
      <c r="B1327" s="34" t="s">
        <v>4930</v>
      </c>
      <c r="C1327" s="34" t="s">
        <v>4931</v>
      </c>
      <c r="D1327" s="34" t="s">
        <v>4932</v>
      </c>
      <c r="E1327" s="34" t="s">
        <v>136</v>
      </c>
      <c r="F1327" s="34" t="s">
        <v>1602</v>
      </c>
      <c r="G1327" s="34" t="s">
        <v>2983</v>
      </c>
      <c r="H1327" s="34" t="s">
        <v>55</v>
      </c>
      <c r="I1327" s="34" t="s">
        <v>55</v>
      </c>
      <c r="J1327" s="34" t="s">
        <v>58</v>
      </c>
      <c r="K1327" s="34" t="s">
        <v>229</v>
      </c>
      <c r="L1327" s="34" t="s">
        <v>230</v>
      </c>
      <c r="M1327" s="34" t="s">
        <v>344</v>
      </c>
      <c r="N1327" s="34" t="str">
        <f aca="false">"Sector "&amp;VALUE(MID(D1327,13,2))</f>
        <v>Sector 5</v>
      </c>
      <c r="O1327" s="34" t="str">
        <f aca="false">IF(Dashboard!$C$5="Ubicación técnica",N1327,"Sector "&amp;VALUE(RIGHT(G1327,2)))</f>
        <v>Sector 5</v>
      </c>
      <c r="P1327" s="34" t="str">
        <f aca="false">IF(MID(D1327,15,3)="SEL","Subestación eléctrica","Área de proceso")</f>
        <v>Subestación eléctrica</v>
      </c>
      <c r="Q1327" s="34" t="str">
        <f aca="false">MID(D1327,13,5)&amp;"|"&amp;MID(D1327,19,5)</f>
        <v>05SEL|S_011</v>
      </c>
      <c r="R1327" s="34" t="str">
        <f aca="false">IF(P1327="Subestación eléctrica",IFERROR(INDEX(cat_SubN,MATCH(Q1327,cat_SubK,0)),"SIN CATALOGAR"),"ÁREA DE PROCESO")</f>
        <v>SE-11</v>
      </c>
      <c r="S1327" s="34" t="str">
        <f aca="false">IF(H1327="","SIN DATO",IFERROR(INDEX(cat_MarcaN,MATCH(H1327,cat_MarcaO,0)),H1327))</f>
        <v>SEL</v>
      </c>
      <c r="T1327" s="34" t="str">
        <f aca="false">IF(I1327="","SIN DATO",IFERROR(INDEX(cat_ModN,MATCH(I1327,cat_ModO,0)),I1327))</f>
        <v>SEL</v>
      </c>
      <c r="U1327" s="34" t="str">
        <f aca="false">IF(I1327="","",IFERROR(INDEX(cat_ModG,MATCH(I1327,cat_ModO,0)),"No"))</f>
        <v>Sí</v>
      </c>
      <c r="V1327" s="34" t="str">
        <f aca="false">IF(J1327="","SIN DATO",IFERROR(INDEX(cat_FunN,MATCH(J1327,cat_FunO,0)),J1327))</f>
        <v>Medición</v>
      </c>
      <c r="W1327" s="34" t="str">
        <f aca="false">IF(OR(S1327="SIN DATO",T1327="SIN DATO"),"No","Sí")</f>
        <v>Sí</v>
      </c>
    </row>
    <row r="1328" customFormat="false" ht="15" hidden="false" customHeight="false" outlineLevel="0" collapsed="false">
      <c r="A1328" s="34" t="s">
        <v>4933</v>
      </c>
      <c r="B1328" s="34" t="s">
        <v>4934</v>
      </c>
      <c r="C1328" s="34" t="s">
        <v>4935</v>
      </c>
      <c r="D1328" s="34" t="s">
        <v>4936</v>
      </c>
      <c r="E1328" s="34" t="s">
        <v>136</v>
      </c>
      <c r="F1328" s="34" t="s">
        <v>1602</v>
      </c>
      <c r="G1328" s="34" t="s">
        <v>2983</v>
      </c>
      <c r="H1328" s="34" t="s">
        <v>55</v>
      </c>
      <c r="I1328" s="34" t="s">
        <v>55</v>
      </c>
      <c r="J1328" s="34" t="s">
        <v>58</v>
      </c>
      <c r="K1328" s="34" t="s">
        <v>229</v>
      </c>
      <c r="L1328" s="34" t="s">
        <v>230</v>
      </c>
      <c r="M1328" s="34" t="s">
        <v>231</v>
      </c>
      <c r="N1328" s="34" t="str">
        <f aca="false">"Sector "&amp;VALUE(MID(D1328,13,2))</f>
        <v>Sector 5</v>
      </c>
      <c r="O1328" s="34" t="str">
        <f aca="false">IF(Dashboard!$C$5="Ubicación técnica",N1328,"Sector "&amp;VALUE(RIGHT(G1328,2)))</f>
        <v>Sector 5</v>
      </c>
      <c r="P1328" s="34" t="str">
        <f aca="false">IF(MID(D1328,15,3)="SEL","Subestación eléctrica","Área de proceso")</f>
        <v>Subestación eléctrica</v>
      </c>
      <c r="Q1328" s="34" t="str">
        <f aca="false">MID(D1328,13,5)&amp;"|"&amp;MID(D1328,19,5)</f>
        <v>05SEL|S_011</v>
      </c>
      <c r="R1328" s="34" t="str">
        <f aca="false">IF(P1328="Subestación eléctrica",IFERROR(INDEX(cat_SubN,MATCH(Q1328,cat_SubK,0)),"SIN CATALOGAR"),"ÁREA DE PROCESO")</f>
        <v>SE-11</v>
      </c>
      <c r="S1328" s="34" t="str">
        <f aca="false">IF(H1328="","SIN DATO",IFERROR(INDEX(cat_MarcaN,MATCH(H1328,cat_MarcaO,0)),H1328))</f>
        <v>SEL</v>
      </c>
      <c r="T1328" s="34" t="str">
        <f aca="false">IF(I1328="","SIN DATO",IFERROR(INDEX(cat_ModN,MATCH(I1328,cat_ModO,0)),I1328))</f>
        <v>SEL</v>
      </c>
      <c r="U1328" s="34" t="str">
        <f aca="false">IF(I1328="","",IFERROR(INDEX(cat_ModG,MATCH(I1328,cat_ModO,0)),"No"))</f>
        <v>Sí</v>
      </c>
      <c r="V1328" s="34" t="str">
        <f aca="false">IF(J1328="","SIN DATO",IFERROR(INDEX(cat_FunN,MATCH(J1328,cat_FunO,0)),J1328))</f>
        <v>Medición</v>
      </c>
      <c r="W1328" s="34" t="str">
        <f aca="false">IF(OR(S1328="SIN DATO",T1328="SIN DATO"),"No","Sí")</f>
        <v>Sí</v>
      </c>
    </row>
    <row r="1329" customFormat="false" ht="15" hidden="false" customHeight="false" outlineLevel="0" collapsed="false">
      <c r="A1329" s="34" t="s">
        <v>4937</v>
      </c>
      <c r="B1329" s="34" t="s">
        <v>4938</v>
      </c>
      <c r="C1329" s="34" t="s">
        <v>4939</v>
      </c>
      <c r="D1329" s="34" t="s">
        <v>4940</v>
      </c>
      <c r="E1329" s="34" t="s">
        <v>136</v>
      </c>
      <c r="F1329" s="34" t="s">
        <v>1602</v>
      </c>
      <c r="G1329" s="34" t="s">
        <v>2983</v>
      </c>
      <c r="H1329" s="34" t="s">
        <v>55</v>
      </c>
      <c r="I1329" s="34" t="s">
        <v>55</v>
      </c>
      <c r="J1329" s="34" t="s">
        <v>58</v>
      </c>
      <c r="K1329" s="34" t="s">
        <v>229</v>
      </c>
      <c r="L1329" s="34" t="s">
        <v>230</v>
      </c>
      <c r="M1329" s="34" t="s">
        <v>344</v>
      </c>
      <c r="N1329" s="34" t="str">
        <f aca="false">"Sector "&amp;VALUE(MID(D1329,13,2))</f>
        <v>Sector 5</v>
      </c>
      <c r="O1329" s="34" t="str">
        <f aca="false">IF(Dashboard!$C$5="Ubicación técnica",N1329,"Sector "&amp;VALUE(RIGHT(G1329,2)))</f>
        <v>Sector 5</v>
      </c>
      <c r="P1329" s="34" t="str">
        <f aca="false">IF(MID(D1329,15,3)="SEL","Subestación eléctrica","Área de proceso")</f>
        <v>Subestación eléctrica</v>
      </c>
      <c r="Q1329" s="34" t="str">
        <f aca="false">MID(D1329,13,5)&amp;"|"&amp;MID(D1329,19,5)</f>
        <v>05SEL|S_011</v>
      </c>
      <c r="R1329" s="34" t="str">
        <f aca="false">IF(P1329="Subestación eléctrica",IFERROR(INDEX(cat_SubN,MATCH(Q1329,cat_SubK,0)),"SIN CATALOGAR"),"ÁREA DE PROCESO")</f>
        <v>SE-11</v>
      </c>
      <c r="S1329" s="34" t="str">
        <f aca="false">IF(H1329="","SIN DATO",IFERROR(INDEX(cat_MarcaN,MATCH(H1329,cat_MarcaO,0)),H1329))</f>
        <v>SEL</v>
      </c>
      <c r="T1329" s="34" t="str">
        <f aca="false">IF(I1329="","SIN DATO",IFERROR(INDEX(cat_ModN,MATCH(I1329,cat_ModO,0)),I1329))</f>
        <v>SEL</v>
      </c>
      <c r="U1329" s="34" t="str">
        <f aca="false">IF(I1329="","",IFERROR(INDEX(cat_ModG,MATCH(I1329,cat_ModO,0)),"No"))</f>
        <v>Sí</v>
      </c>
      <c r="V1329" s="34" t="str">
        <f aca="false">IF(J1329="","SIN DATO",IFERROR(INDEX(cat_FunN,MATCH(J1329,cat_FunO,0)),J1329))</f>
        <v>Medición</v>
      </c>
      <c r="W1329" s="34" t="str">
        <f aca="false">IF(OR(S1329="SIN DATO",T1329="SIN DATO"),"No","Sí")</f>
        <v>Sí</v>
      </c>
    </row>
    <row r="1330" customFormat="false" ht="15" hidden="false" customHeight="false" outlineLevel="0" collapsed="false">
      <c r="A1330" s="34" t="s">
        <v>4941</v>
      </c>
      <c r="B1330" s="34" t="s">
        <v>4942</v>
      </c>
      <c r="C1330" s="34" t="s">
        <v>4943</v>
      </c>
      <c r="D1330" s="34" t="s">
        <v>4944</v>
      </c>
      <c r="E1330" s="34" t="s">
        <v>136</v>
      </c>
      <c r="F1330" s="34" t="s">
        <v>1602</v>
      </c>
      <c r="G1330" s="34" t="s">
        <v>2983</v>
      </c>
      <c r="H1330" s="34" t="s">
        <v>55</v>
      </c>
      <c r="I1330" s="34" t="s">
        <v>55</v>
      </c>
      <c r="J1330" s="34" t="s">
        <v>58</v>
      </c>
      <c r="K1330" s="34" t="s">
        <v>229</v>
      </c>
      <c r="L1330" s="34" t="s">
        <v>230</v>
      </c>
      <c r="M1330" s="34" t="s">
        <v>344</v>
      </c>
      <c r="N1330" s="34" t="str">
        <f aca="false">"Sector "&amp;VALUE(MID(D1330,13,2))</f>
        <v>Sector 5</v>
      </c>
      <c r="O1330" s="34" t="str">
        <f aca="false">IF(Dashboard!$C$5="Ubicación técnica",N1330,"Sector "&amp;VALUE(RIGHT(G1330,2)))</f>
        <v>Sector 5</v>
      </c>
      <c r="P1330" s="34" t="str">
        <f aca="false">IF(MID(D1330,15,3)="SEL","Subestación eléctrica","Área de proceso")</f>
        <v>Subestación eléctrica</v>
      </c>
      <c r="Q1330" s="34" t="str">
        <f aca="false">MID(D1330,13,5)&amp;"|"&amp;MID(D1330,19,5)</f>
        <v>05SEL|S_011</v>
      </c>
      <c r="R1330" s="34" t="str">
        <f aca="false">IF(P1330="Subestación eléctrica",IFERROR(INDEX(cat_SubN,MATCH(Q1330,cat_SubK,0)),"SIN CATALOGAR"),"ÁREA DE PROCESO")</f>
        <v>SE-11</v>
      </c>
      <c r="S1330" s="34" t="str">
        <f aca="false">IF(H1330="","SIN DATO",IFERROR(INDEX(cat_MarcaN,MATCH(H1330,cat_MarcaO,0)),H1330))</f>
        <v>SEL</v>
      </c>
      <c r="T1330" s="34" t="str">
        <f aca="false">IF(I1330="","SIN DATO",IFERROR(INDEX(cat_ModN,MATCH(I1330,cat_ModO,0)),I1330))</f>
        <v>SEL</v>
      </c>
      <c r="U1330" s="34" t="str">
        <f aca="false">IF(I1330="","",IFERROR(INDEX(cat_ModG,MATCH(I1330,cat_ModO,0)),"No"))</f>
        <v>Sí</v>
      </c>
      <c r="V1330" s="34" t="str">
        <f aca="false">IF(J1330="","SIN DATO",IFERROR(INDEX(cat_FunN,MATCH(J1330,cat_FunO,0)),J1330))</f>
        <v>Medición</v>
      </c>
      <c r="W1330" s="34" t="str">
        <f aca="false">IF(OR(S1330="SIN DATO",T1330="SIN DATO"),"No","Sí")</f>
        <v>Sí</v>
      </c>
    </row>
    <row r="1331" customFormat="false" ht="15" hidden="false" customHeight="false" outlineLevel="0" collapsed="false">
      <c r="A1331" s="34" t="s">
        <v>4945</v>
      </c>
      <c r="B1331" s="34" t="s">
        <v>4946</v>
      </c>
      <c r="C1331" s="34" t="s">
        <v>4947</v>
      </c>
      <c r="D1331" s="34" t="s">
        <v>4948</v>
      </c>
      <c r="E1331" s="34" t="s">
        <v>136</v>
      </c>
      <c r="F1331" s="34" t="s">
        <v>1602</v>
      </c>
      <c r="G1331" s="34" t="s">
        <v>2983</v>
      </c>
      <c r="H1331" s="34" t="s">
        <v>55</v>
      </c>
      <c r="I1331" s="34" t="s">
        <v>55</v>
      </c>
      <c r="J1331" s="34" t="s">
        <v>58</v>
      </c>
      <c r="K1331" s="34" t="s">
        <v>229</v>
      </c>
      <c r="L1331" s="34" t="s">
        <v>230</v>
      </c>
      <c r="M1331" s="34" t="s">
        <v>344</v>
      </c>
      <c r="N1331" s="34" t="str">
        <f aca="false">"Sector "&amp;VALUE(MID(D1331,13,2))</f>
        <v>Sector 5</v>
      </c>
      <c r="O1331" s="34" t="str">
        <f aca="false">IF(Dashboard!$C$5="Ubicación técnica",N1331,"Sector "&amp;VALUE(RIGHT(G1331,2)))</f>
        <v>Sector 5</v>
      </c>
      <c r="P1331" s="34" t="str">
        <f aca="false">IF(MID(D1331,15,3)="SEL","Subestación eléctrica","Área de proceso")</f>
        <v>Subestación eléctrica</v>
      </c>
      <c r="Q1331" s="34" t="str">
        <f aca="false">MID(D1331,13,5)&amp;"|"&amp;MID(D1331,19,5)</f>
        <v>05SEL|S_011</v>
      </c>
      <c r="R1331" s="34" t="str">
        <f aca="false">IF(P1331="Subestación eléctrica",IFERROR(INDEX(cat_SubN,MATCH(Q1331,cat_SubK,0)),"SIN CATALOGAR"),"ÁREA DE PROCESO")</f>
        <v>SE-11</v>
      </c>
      <c r="S1331" s="34" t="str">
        <f aca="false">IF(H1331="","SIN DATO",IFERROR(INDEX(cat_MarcaN,MATCH(H1331,cat_MarcaO,0)),H1331))</f>
        <v>SEL</v>
      </c>
      <c r="T1331" s="34" t="str">
        <f aca="false">IF(I1331="","SIN DATO",IFERROR(INDEX(cat_ModN,MATCH(I1331,cat_ModO,0)),I1331))</f>
        <v>SEL</v>
      </c>
      <c r="U1331" s="34" t="str">
        <f aca="false">IF(I1331="","",IFERROR(INDEX(cat_ModG,MATCH(I1331,cat_ModO,0)),"No"))</f>
        <v>Sí</v>
      </c>
      <c r="V1331" s="34" t="str">
        <f aca="false">IF(J1331="","SIN DATO",IFERROR(INDEX(cat_FunN,MATCH(J1331,cat_FunO,0)),J1331))</f>
        <v>Medición</v>
      </c>
      <c r="W1331" s="34" t="str">
        <f aca="false">IF(OR(S1331="SIN DATO",T1331="SIN DATO"),"No","Sí")</f>
        <v>Sí</v>
      </c>
    </row>
    <row r="1332" customFormat="false" ht="15" hidden="false" customHeight="false" outlineLevel="0" collapsed="false">
      <c r="A1332" s="34" t="s">
        <v>4949</v>
      </c>
      <c r="B1332" s="34" t="s">
        <v>4950</v>
      </c>
      <c r="C1332" s="34" t="s">
        <v>4951</v>
      </c>
      <c r="D1332" s="34" t="s">
        <v>4952</v>
      </c>
      <c r="E1332" s="34" t="s">
        <v>136</v>
      </c>
      <c r="F1332" s="34" t="s">
        <v>1602</v>
      </c>
      <c r="G1332" s="34" t="s">
        <v>2983</v>
      </c>
      <c r="H1332" s="34" t="s">
        <v>55</v>
      </c>
      <c r="I1332" s="34" t="s">
        <v>55</v>
      </c>
      <c r="J1332" s="34" t="s">
        <v>58</v>
      </c>
      <c r="K1332" s="34" t="s">
        <v>229</v>
      </c>
      <c r="L1332" s="34" t="s">
        <v>230</v>
      </c>
      <c r="M1332" s="34" t="s">
        <v>344</v>
      </c>
      <c r="N1332" s="34" t="str">
        <f aca="false">"Sector "&amp;VALUE(MID(D1332,13,2))</f>
        <v>Sector 5</v>
      </c>
      <c r="O1332" s="34" t="str">
        <f aca="false">IF(Dashboard!$C$5="Ubicación técnica",N1332,"Sector "&amp;VALUE(RIGHT(G1332,2)))</f>
        <v>Sector 5</v>
      </c>
      <c r="P1332" s="34" t="str">
        <f aca="false">IF(MID(D1332,15,3)="SEL","Subestación eléctrica","Área de proceso")</f>
        <v>Subestación eléctrica</v>
      </c>
      <c r="Q1332" s="34" t="str">
        <f aca="false">MID(D1332,13,5)&amp;"|"&amp;MID(D1332,19,5)</f>
        <v>05SEL|S_011</v>
      </c>
      <c r="R1332" s="34" t="str">
        <f aca="false">IF(P1332="Subestación eléctrica",IFERROR(INDEX(cat_SubN,MATCH(Q1332,cat_SubK,0)),"SIN CATALOGAR"),"ÁREA DE PROCESO")</f>
        <v>SE-11</v>
      </c>
      <c r="S1332" s="34" t="str">
        <f aca="false">IF(H1332="","SIN DATO",IFERROR(INDEX(cat_MarcaN,MATCH(H1332,cat_MarcaO,0)),H1332))</f>
        <v>SEL</v>
      </c>
      <c r="T1332" s="34" t="str">
        <f aca="false">IF(I1332="","SIN DATO",IFERROR(INDEX(cat_ModN,MATCH(I1332,cat_ModO,0)),I1332))</f>
        <v>SEL</v>
      </c>
      <c r="U1332" s="34" t="str">
        <f aca="false">IF(I1332="","",IFERROR(INDEX(cat_ModG,MATCH(I1332,cat_ModO,0)),"No"))</f>
        <v>Sí</v>
      </c>
      <c r="V1332" s="34" t="str">
        <f aca="false">IF(J1332="","SIN DATO",IFERROR(INDEX(cat_FunN,MATCH(J1332,cat_FunO,0)),J1332))</f>
        <v>Medición</v>
      </c>
      <c r="W1332" s="34" t="str">
        <f aca="false">IF(OR(S1332="SIN DATO",T1332="SIN DATO"),"No","Sí")</f>
        <v>Sí</v>
      </c>
    </row>
    <row r="1333" customFormat="false" ht="15" hidden="false" customHeight="false" outlineLevel="0" collapsed="false">
      <c r="A1333" s="34" t="s">
        <v>4953</v>
      </c>
      <c r="B1333" s="34" t="s">
        <v>4954</v>
      </c>
      <c r="C1333" s="34" t="s">
        <v>4955</v>
      </c>
      <c r="D1333" s="34" t="s">
        <v>4956</v>
      </c>
      <c r="E1333" s="34" t="s">
        <v>136</v>
      </c>
      <c r="F1333" s="34" t="s">
        <v>1602</v>
      </c>
      <c r="G1333" s="34" t="s">
        <v>2983</v>
      </c>
      <c r="H1333" s="34" t="s">
        <v>55</v>
      </c>
      <c r="I1333" s="34" t="s">
        <v>55</v>
      </c>
      <c r="J1333" s="34" t="s">
        <v>58</v>
      </c>
      <c r="K1333" s="34" t="s">
        <v>229</v>
      </c>
      <c r="L1333" s="34" t="s">
        <v>230</v>
      </c>
      <c r="M1333" s="34" t="s">
        <v>344</v>
      </c>
      <c r="N1333" s="34" t="str">
        <f aca="false">"Sector "&amp;VALUE(MID(D1333,13,2))</f>
        <v>Sector 5</v>
      </c>
      <c r="O1333" s="34" t="str">
        <f aca="false">IF(Dashboard!$C$5="Ubicación técnica",N1333,"Sector "&amp;VALUE(RIGHT(G1333,2)))</f>
        <v>Sector 5</v>
      </c>
      <c r="P1333" s="34" t="str">
        <f aca="false">IF(MID(D1333,15,3)="SEL","Subestación eléctrica","Área de proceso")</f>
        <v>Subestación eléctrica</v>
      </c>
      <c r="Q1333" s="34" t="str">
        <f aca="false">MID(D1333,13,5)&amp;"|"&amp;MID(D1333,19,5)</f>
        <v>05SEL|S_011</v>
      </c>
      <c r="R1333" s="34" t="str">
        <f aca="false">IF(P1333="Subestación eléctrica",IFERROR(INDEX(cat_SubN,MATCH(Q1333,cat_SubK,0)),"SIN CATALOGAR"),"ÁREA DE PROCESO")</f>
        <v>SE-11</v>
      </c>
      <c r="S1333" s="34" t="str">
        <f aca="false">IF(H1333="","SIN DATO",IFERROR(INDEX(cat_MarcaN,MATCH(H1333,cat_MarcaO,0)),H1333))</f>
        <v>SEL</v>
      </c>
      <c r="T1333" s="34" t="str">
        <f aca="false">IF(I1333="","SIN DATO",IFERROR(INDEX(cat_ModN,MATCH(I1333,cat_ModO,0)),I1333))</f>
        <v>SEL</v>
      </c>
      <c r="U1333" s="34" t="str">
        <f aca="false">IF(I1333="","",IFERROR(INDEX(cat_ModG,MATCH(I1333,cat_ModO,0)),"No"))</f>
        <v>Sí</v>
      </c>
      <c r="V1333" s="34" t="str">
        <f aca="false">IF(J1333="","SIN DATO",IFERROR(INDEX(cat_FunN,MATCH(J1333,cat_FunO,0)),J1333))</f>
        <v>Medición</v>
      </c>
      <c r="W1333" s="34" t="str">
        <f aca="false">IF(OR(S1333="SIN DATO",T1333="SIN DATO"),"No","Sí")</f>
        <v>Sí</v>
      </c>
    </row>
    <row r="1334" customFormat="false" ht="15" hidden="false" customHeight="false" outlineLevel="0" collapsed="false">
      <c r="A1334" s="34" t="s">
        <v>4957</v>
      </c>
      <c r="B1334" s="34" t="s">
        <v>4958</v>
      </c>
      <c r="C1334" s="34" t="s">
        <v>4959</v>
      </c>
      <c r="D1334" s="34" t="s">
        <v>4960</v>
      </c>
      <c r="E1334" s="34" t="s">
        <v>136</v>
      </c>
      <c r="F1334" s="34" t="s">
        <v>1602</v>
      </c>
      <c r="G1334" s="34" t="s">
        <v>2983</v>
      </c>
      <c r="H1334" s="34" t="s">
        <v>55</v>
      </c>
      <c r="I1334" s="34" t="s">
        <v>55</v>
      </c>
      <c r="J1334" s="34" t="s">
        <v>58</v>
      </c>
      <c r="K1334" s="34" t="s">
        <v>229</v>
      </c>
      <c r="L1334" s="34" t="s">
        <v>230</v>
      </c>
      <c r="M1334" s="34" t="s">
        <v>344</v>
      </c>
      <c r="N1334" s="34" t="str">
        <f aca="false">"Sector "&amp;VALUE(MID(D1334,13,2))</f>
        <v>Sector 5</v>
      </c>
      <c r="O1334" s="34" t="str">
        <f aca="false">IF(Dashboard!$C$5="Ubicación técnica",N1334,"Sector "&amp;VALUE(RIGHT(G1334,2)))</f>
        <v>Sector 5</v>
      </c>
      <c r="P1334" s="34" t="str">
        <f aca="false">IF(MID(D1334,15,3)="SEL","Subestación eléctrica","Área de proceso")</f>
        <v>Subestación eléctrica</v>
      </c>
      <c r="Q1334" s="34" t="str">
        <f aca="false">MID(D1334,13,5)&amp;"|"&amp;MID(D1334,19,5)</f>
        <v>05SEL|S_011</v>
      </c>
      <c r="R1334" s="34" t="str">
        <f aca="false">IF(P1334="Subestación eléctrica",IFERROR(INDEX(cat_SubN,MATCH(Q1334,cat_SubK,0)),"SIN CATALOGAR"),"ÁREA DE PROCESO")</f>
        <v>SE-11</v>
      </c>
      <c r="S1334" s="34" t="str">
        <f aca="false">IF(H1334="","SIN DATO",IFERROR(INDEX(cat_MarcaN,MATCH(H1334,cat_MarcaO,0)),H1334))</f>
        <v>SEL</v>
      </c>
      <c r="T1334" s="34" t="str">
        <f aca="false">IF(I1334="","SIN DATO",IFERROR(INDEX(cat_ModN,MATCH(I1334,cat_ModO,0)),I1334))</f>
        <v>SEL</v>
      </c>
      <c r="U1334" s="34" t="str">
        <f aca="false">IF(I1334="","",IFERROR(INDEX(cat_ModG,MATCH(I1334,cat_ModO,0)),"No"))</f>
        <v>Sí</v>
      </c>
      <c r="V1334" s="34" t="str">
        <f aca="false">IF(J1334="","SIN DATO",IFERROR(INDEX(cat_FunN,MATCH(J1334,cat_FunO,0)),J1334))</f>
        <v>Medición</v>
      </c>
      <c r="W1334" s="34" t="str">
        <f aca="false">IF(OR(S1334="SIN DATO",T1334="SIN DATO"),"No","Sí")</f>
        <v>Sí</v>
      </c>
    </row>
    <row r="1335" customFormat="false" ht="15" hidden="false" customHeight="false" outlineLevel="0" collapsed="false">
      <c r="A1335" s="34" t="s">
        <v>4961</v>
      </c>
      <c r="B1335" s="34" t="s">
        <v>4962</v>
      </c>
      <c r="C1335" s="34" t="s">
        <v>4963</v>
      </c>
      <c r="D1335" s="34" t="s">
        <v>4964</v>
      </c>
      <c r="E1335" s="34" t="s">
        <v>136</v>
      </c>
      <c r="F1335" s="34" t="s">
        <v>1602</v>
      </c>
      <c r="G1335" s="34" t="s">
        <v>2983</v>
      </c>
      <c r="H1335" s="34" t="s">
        <v>55</v>
      </c>
      <c r="I1335" s="34" t="s">
        <v>55</v>
      </c>
      <c r="J1335" s="34" t="s">
        <v>58</v>
      </c>
      <c r="K1335" s="34" t="s">
        <v>229</v>
      </c>
      <c r="L1335" s="34" t="s">
        <v>230</v>
      </c>
      <c r="M1335" s="34" t="s">
        <v>344</v>
      </c>
      <c r="N1335" s="34" t="str">
        <f aca="false">"Sector "&amp;VALUE(MID(D1335,13,2))</f>
        <v>Sector 5</v>
      </c>
      <c r="O1335" s="34" t="str">
        <f aca="false">IF(Dashboard!$C$5="Ubicación técnica",N1335,"Sector "&amp;VALUE(RIGHT(G1335,2)))</f>
        <v>Sector 5</v>
      </c>
      <c r="P1335" s="34" t="str">
        <f aca="false">IF(MID(D1335,15,3)="SEL","Subestación eléctrica","Área de proceso")</f>
        <v>Subestación eléctrica</v>
      </c>
      <c r="Q1335" s="34" t="str">
        <f aca="false">MID(D1335,13,5)&amp;"|"&amp;MID(D1335,19,5)</f>
        <v>05SEL|S_011</v>
      </c>
      <c r="R1335" s="34" t="str">
        <f aca="false">IF(P1335="Subestación eléctrica",IFERROR(INDEX(cat_SubN,MATCH(Q1335,cat_SubK,0)),"SIN CATALOGAR"),"ÁREA DE PROCESO")</f>
        <v>SE-11</v>
      </c>
      <c r="S1335" s="34" t="str">
        <f aca="false">IF(H1335="","SIN DATO",IFERROR(INDEX(cat_MarcaN,MATCH(H1335,cat_MarcaO,0)),H1335))</f>
        <v>SEL</v>
      </c>
      <c r="T1335" s="34" t="str">
        <f aca="false">IF(I1335="","SIN DATO",IFERROR(INDEX(cat_ModN,MATCH(I1335,cat_ModO,0)),I1335))</f>
        <v>SEL</v>
      </c>
      <c r="U1335" s="34" t="str">
        <f aca="false">IF(I1335="","",IFERROR(INDEX(cat_ModG,MATCH(I1335,cat_ModO,0)),"No"))</f>
        <v>Sí</v>
      </c>
      <c r="V1335" s="34" t="str">
        <f aca="false">IF(J1335="","SIN DATO",IFERROR(INDEX(cat_FunN,MATCH(J1335,cat_FunO,0)),J1335))</f>
        <v>Medición</v>
      </c>
      <c r="W1335" s="34" t="str">
        <f aca="false">IF(OR(S1335="SIN DATO",T1335="SIN DATO"),"No","Sí")</f>
        <v>Sí</v>
      </c>
    </row>
    <row r="1336" customFormat="false" ht="15" hidden="false" customHeight="false" outlineLevel="0" collapsed="false">
      <c r="A1336" s="34" t="s">
        <v>4965</v>
      </c>
      <c r="B1336" s="34" t="s">
        <v>4966</v>
      </c>
      <c r="C1336" s="34" t="s">
        <v>4967</v>
      </c>
      <c r="D1336" s="34" t="s">
        <v>4968</v>
      </c>
      <c r="E1336" s="34" t="s">
        <v>136</v>
      </c>
      <c r="F1336" s="34" t="s">
        <v>1602</v>
      </c>
      <c r="G1336" s="34" t="s">
        <v>2983</v>
      </c>
      <c r="H1336" s="34" t="s">
        <v>55</v>
      </c>
      <c r="I1336" s="34" t="s">
        <v>55</v>
      </c>
      <c r="J1336" s="34" t="s">
        <v>58</v>
      </c>
      <c r="K1336" s="34" t="s">
        <v>229</v>
      </c>
      <c r="L1336" s="34" t="s">
        <v>230</v>
      </c>
      <c r="M1336" s="34" t="s">
        <v>344</v>
      </c>
      <c r="N1336" s="34" t="str">
        <f aca="false">"Sector "&amp;VALUE(MID(D1336,13,2))</f>
        <v>Sector 5</v>
      </c>
      <c r="O1336" s="34" t="str">
        <f aca="false">IF(Dashboard!$C$5="Ubicación técnica",N1336,"Sector "&amp;VALUE(RIGHT(G1336,2)))</f>
        <v>Sector 5</v>
      </c>
      <c r="P1336" s="34" t="str">
        <f aca="false">IF(MID(D1336,15,3)="SEL","Subestación eléctrica","Área de proceso")</f>
        <v>Subestación eléctrica</v>
      </c>
      <c r="Q1336" s="34" t="str">
        <f aca="false">MID(D1336,13,5)&amp;"|"&amp;MID(D1336,19,5)</f>
        <v>05SEL|S_011</v>
      </c>
      <c r="R1336" s="34" t="str">
        <f aca="false">IF(P1336="Subestación eléctrica",IFERROR(INDEX(cat_SubN,MATCH(Q1336,cat_SubK,0)),"SIN CATALOGAR"),"ÁREA DE PROCESO")</f>
        <v>SE-11</v>
      </c>
      <c r="S1336" s="34" t="str">
        <f aca="false">IF(H1336="","SIN DATO",IFERROR(INDEX(cat_MarcaN,MATCH(H1336,cat_MarcaO,0)),H1336))</f>
        <v>SEL</v>
      </c>
      <c r="T1336" s="34" t="str">
        <f aca="false">IF(I1336="","SIN DATO",IFERROR(INDEX(cat_ModN,MATCH(I1336,cat_ModO,0)),I1336))</f>
        <v>SEL</v>
      </c>
      <c r="U1336" s="34" t="str">
        <f aca="false">IF(I1336="","",IFERROR(INDEX(cat_ModG,MATCH(I1336,cat_ModO,0)),"No"))</f>
        <v>Sí</v>
      </c>
      <c r="V1336" s="34" t="str">
        <f aca="false">IF(J1336="","SIN DATO",IFERROR(INDEX(cat_FunN,MATCH(J1336,cat_FunO,0)),J1336))</f>
        <v>Medición</v>
      </c>
      <c r="W1336" s="34" t="str">
        <f aca="false">IF(OR(S1336="SIN DATO",T1336="SIN DATO"),"No","Sí")</f>
        <v>Sí</v>
      </c>
    </row>
    <row r="1337" customFormat="false" ht="15" hidden="false" customHeight="false" outlineLevel="0" collapsed="false">
      <c r="A1337" s="34" t="s">
        <v>4969</v>
      </c>
      <c r="B1337" s="34" t="s">
        <v>4970</v>
      </c>
      <c r="C1337" s="34" t="s">
        <v>4971</v>
      </c>
      <c r="D1337" s="34" t="s">
        <v>4972</v>
      </c>
      <c r="E1337" s="34" t="s">
        <v>136</v>
      </c>
      <c r="F1337" s="34" t="s">
        <v>1602</v>
      </c>
      <c r="G1337" s="34" t="s">
        <v>2983</v>
      </c>
      <c r="H1337" s="34" t="s">
        <v>55</v>
      </c>
      <c r="I1337" s="34" t="s">
        <v>55</v>
      </c>
      <c r="J1337" s="34" t="s">
        <v>58</v>
      </c>
      <c r="K1337" s="34" t="s">
        <v>229</v>
      </c>
      <c r="L1337" s="34" t="s">
        <v>230</v>
      </c>
      <c r="M1337" s="34" t="s">
        <v>344</v>
      </c>
      <c r="N1337" s="34" t="str">
        <f aca="false">"Sector "&amp;VALUE(MID(D1337,13,2))</f>
        <v>Sector 5</v>
      </c>
      <c r="O1337" s="34" t="str">
        <f aca="false">IF(Dashboard!$C$5="Ubicación técnica",N1337,"Sector "&amp;VALUE(RIGHT(G1337,2)))</f>
        <v>Sector 5</v>
      </c>
      <c r="P1337" s="34" t="str">
        <f aca="false">IF(MID(D1337,15,3)="SEL","Subestación eléctrica","Área de proceso")</f>
        <v>Subestación eléctrica</v>
      </c>
      <c r="Q1337" s="34" t="str">
        <f aca="false">MID(D1337,13,5)&amp;"|"&amp;MID(D1337,19,5)</f>
        <v>05SEL|S_011</v>
      </c>
      <c r="R1337" s="34" t="str">
        <f aca="false">IF(P1337="Subestación eléctrica",IFERROR(INDEX(cat_SubN,MATCH(Q1337,cat_SubK,0)),"SIN CATALOGAR"),"ÁREA DE PROCESO")</f>
        <v>SE-11</v>
      </c>
      <c r="S1337" s="34" t="str">
        <f aca="false">IF(H1337="","SIN DATO",IFERROR(INDEX(cat_MarcaN,MATCH(H1337,cat_MarcaO,0)),H1337))</f>
        <v>SEL</v>
      </c>
      <c r="T1337" s="34" t="str">
        <f aca="false">IF(I1337="","SIN DATO",IFERROR(INDEX(cat_ModN,MATCH(I1337,cat_ModO,0)),I1337))</f>
        <v>SEL</v>
      </c>
      <c r="U1337" s="34" t="str">
        <f aca="false">IF(I1337="","",IFERROR(INDEX(cat_ModG,MATCH(I1337,cat_ModO,0)),"No"))</f>
        <v>Sí</v>
      </c>
      <c r="V1337" s="34" t="str">
        <f aca="false">IF(J1337="","SIN DATO",IFERROR(INDEX(cat_FunN,MATCH(J1337,cat_FunO,0)),J1337))</f>
        <v>Medición</v>
      </c>
      <c r="W1337" s="34" t="str">
        <f aca="false">IF(OR(S1337="SIN DATO",T1337="SIN DATO"),"No","Sí")</f>
        <v>Sí</v>
      </c>
    </row>
    <row r="1338" customFormat="false" ht="15" hidden="false" customHeight="false" outlineLevel="0" collapsed="false">
      <c r="A1338" s="34" t="s">
        <v>4973</v>
      </c>
      <c r="B1338" s="34" t="s">
        <v>4974</v>
      </c>
      <c r="C1338" s="34" t="s">
        <v>4975</v>
      </c>
      <c r="D1338" s="34" t="s">
        <v>4976</v>
      </c>
      <c r="E1338" s="34" t="s">
        <v>116</v>
      </c>
      <c r="F1338" s="34" t="s">
        <v>1602</v>
      </c>
      <c r="G1338" s="34" t="s">
        <v>259</v>
      </c>
      <c r="H1338" s="34" t="s">
        <v>61</v>
      </c>
      <c r="I1338" s="34" t="s">
        <v>63</v>
      </c>
      <c r="J1338" s="34" t="s">
        <v>260</v>
      </c>
      <c r="K1338" s="34" t="s">
        <v>229</v>
      </c>
      <c r="L1338" s="34" t="s">
        <v>230</v>
      </c>
      <c r="M1338" s="34" t="s">
        <v>231</v>
      </c>
      <c r="N1338" s="34" t="str">
        <f aca="false">"Sector "&amp;VALUE(MID(D1338,13,2))</f>
        <v>Sector 3</v>
      </c>
      <c r="O1338" s="34" t="str">
        <f aca="false">IF(Dashboard!$C$5="Ubicación técnica",N1338,"Sector "&amp;VALUE(RIGHT(G1338,2)))</f>
        <v>Sector 3</v>
      </c>
      <c r="P1338" s="34" t="str">
        <f aca="false">IF(MID(D1338,15,3)="SEL","Subestación eléctrica","Área de proceso")</f>
        <v>Subestación eléctrica</v>
      </c>
      <c r="Q1338" s="34" t="str">
        <f aca="false">MID(D1338,13,5)&amp;"|"&amp;MID(D1338,19,5)</f>
        <v>03SEL|S_007</v>
      </c>
      <c r="R1338" s="34" t="str">
        <f aca="false">IF(P1338="Subestación eléctrica",IFERROR(INDEX(cat_SubN,MATCH(Q1338,cat_SubK,0)),"SIN CATALOGAR"),"ÁREA DE PROCESO")</f>
        <v>SE-07</v>
      </c>
      <c r="S1338" s="34" t="str">
        <f aca="false">IF(H1338="","SIN DATO",IFERROR(INDEX(cat_MarcaN,MATCH(H1338,cat_MarcaO,0)),H1338))</f>
        <v>GENERAL ELECTRIC</v>
      </c>
      <c r="T1338" s="34" t="str">
        <f aca="false">IF(I1338="","SIN DATO",IFERROR(INDEX(cat_ModN,MATCH(I1338,cat_ModO,0)),I1338))</f>
        <v>MULTILIN</v>
      </c>
      <c r="U1338" s="34" t="str">
        <f aca="false">IF(I1338="","",IFERROR(INDEX(cat_ModG,MATCH(I1338,cat_ModO,0)),"No"))</f>
        <v>Sí</v>
      </c>
      <c r="V1338" s="34" t="str">
        <f aca="false">IF(J1338="","SIN DATO",IFERROR(INDEX(cat_FunN,MATCH(J1338,cat_FunO,0)),J1338))</f>
        <v>Protección y medición</v>
      </c>
      <c r="W1338" s="34" t="str">
        <f aca="false">IF(OR(S1338="SIN DATO",T1338="SIN DATO"),"No","Sí")</f>
        <v>Sí</v>
      </c>
    </row>
    <row r="1339" customFormat="false" ht="15" hidden="false" customHeight="false" outlineLevel="0" collapsed="false">
      <c r="A1339" s="34" t="s">
        <v>4977</v>
      </c>
      <c r="B1339" s="34" t="s">
        <v>4978</v>
      </c>
      <c r="C1339" s="34" t="s">
        <v>4979</v>
      </c>
      <c r="D1339" s="34" t="s">
        <v>4976</v>
      </c>
      <c r="E1339" s="34" t="s">
        <v>116</v>
      </c>
      <c r="F1339" s="34" t="s">
        <v>1602</v>
      </c>
      <c r="G1339" s="34" t="s">
        <v>259</v>
      </c>
      <c r="H1339" s="34" t="s">
        <v>61</v>
      </c>
      <c r="I1339" s="34" t="s">
        <v>63</v>
      </c>
      <c r="J1339" s="34" t="s">
        <v>260</v>
      </c>
      <c r="K1339" s="34" t="s">
        <v>229</v>
      </c>
      <c r="L1339" s="34" t="s">
        <v>230</v>
      </c>
      <c r="M1339" s="34" t="s">
        <v>231</v>
      </c>
      <c r="N1339" s="34" t="str">
        <f aca="false">"Sector "&amp;VALUE(MID(D1339,13,2))</f>
        <v>Sector 3</v>
      </c>
      <c r="O1339" s="34" t="str">
        <f aca="false">IF(Dashboard!$C$5="Ubicación técnica",N1339,"Sector "&amp;VALUE(RIGHT(G1339,2)))</f>
        <v>Sector 3</v>
      </c>
      <c r="P1339" s="34" t="str">
        <f aca="false">IF(MID(D1339,15,3)="SEL","Subestación eléctrica","Área de proceso")</f>
        <v>Subestación eléctrica</v>
      </c>
      <c r="Q1339" s="34" t="str">
        <f aca="false">MID(D1339,13,5)&amp;"|"&amp;MID(D1339,19,5)</f>
        <v>03SEL|S_007</v>
      </c>
      <c r="R1339" s="34" t="str">
        <f aca="false">IF(P1339="Subestación eléctrica",IFERROR(INDEX(cat_SubN,MATCH(Q1339,cat_SubK,0)),"SIN CATALOGAR"),"ÁREA DE PROCESO")</f>
        <v>SE-07</v>
      </c>
      <c r="S1339" s="34" t="str">
        <f aca="false">IF(H1339="","SIN DATO",IFERROR(INDEX(cat_MarcaN,MATCH(H1339,cat_MarcaO,0)),H1339))</f>
        <v>GENERAL ELECTRIC</v>
      </c>
      <c r="T1339" s="34" t="str">
        <f aca="false">IF(I1339="","SIN DATO",IFERROR(INDEX(cat_ModN,MATCH(I1339,cat_ModO,0)),I1339))</f>
        <v>MULTILIN</v>
      </c>
      <c r="U1339" s="34" t="str">
        <f aca="false">IF(I1339="","",IFERROR(INDEX(cat_ModG,MATCH(I1339,cat_ModO,0)),"No"))</f>
        <v>Sí</v>
      </c>
      <c r="V1339" s="34" t="str">
        <f aca="false">IF(J1339="","SIN DATO",IFERROR(INDEX(cat_FunN,MATCH(J1339,cat_FunO,0)),J1339))</f>
        <v>Protección y medición</v>
      </c>
      <c r="W1339" s="34" t="str">
        <f aca="false">IF(OR(S1339="SIN DATO",T1339="SIN DATO"),"No","Sí")</f>
        <v>Sí</v>
      </c>
    </row>
    <row r="1340" customFormat="false" ht="15" hidden="false" customHeight="false" outlineLevel="0" collapsed="false">
      <c r="A1340" s="34" t="s">
        <v>4980</v>
      </c>
      <c r="B1340" s="34" t="s">
        <v>4981</v>
      </c>
      <c r="C1340" s="34" t="s">
        <v>4982</v>
      </c>
      <c r="D1340" s="34" t="s">
        <v>4976</v>
      </c>
      <c r="E1340" s="34" t="s">
        <v>116</v>
      </c>
      <c r="F1340" s="34" t="s">
        <v>1602</v>
      </c>
      <c r="G1340" s="34" t="s">
        <v>259</v>
      </c>
      <c r="H1340" s="34" t="s">
        <v>61</v>
      </c>
      <c r="I1340" s="34" t="s">
        <v>63</v>
      </c>
      <c r="J1340" s="34" t="s">
        <v>260</v>
      </c>
      <c r="K1340" s="34" t="s">
        <v>229</v>
      </c>
      <c r="L1340" s="34" t="s">
        <v>230</v>
      </c>
      <c r="M1340" s="34" t="s">
        <v>4254</v>
      </c>
      <c r="N1340" s="34" t="str">
        <f aca="false">"Sector "&amp;VALUE(MID(D1340,13,2))</f>
        <v>Sector 3</v>
      </c>
      <c r="O1340" s="34" t="str">
        <f aca="false">IF(Dashboard!$C$5="Ubicación técnica",N1340,"Sector "&amp;VALUE(RIGHT(G1340,2)))</f>
        <v>Sector 3</v>
      </c>
      <c r="P1340" s="34" t="str">
        <f aca="false">IF(MID(D1340,15,3)="SEL","Subestación eléctrica","Área de proceso")</f>
        <v>Subestación eléctrica</v>
      </c>
      <c r="Q1340" s="34" t="str">
        <f aca="false">MID(D1340,13,5)&amp;"|"&amp;MID(D1340,19,5)</f>
        <v>03SEL|S_007</v>
      </c>
      <c r="R1340" s="34" t="str">
        <f aca="false">IF(P1340="Subestación eléctrica",IFERROR(INDEX(cat_SubN,MATCH(Q1340,cat_SubK,0)),"SIN CATALOGAR"),"ÁREA DE PROCESO")</f>
        <v>SE-07</v>
      </c>
      <c r="S1340" s="34" t="str">
        <f aca="false">IF(H1340="","SIN DATO",IFERROR(INDEX(cat_MarcaN,MATCH(H1340,cat_MarcaO,0)),H1340))</f>
        <v>GENERAL ELECTRIC</v>
      </c>
      <c r="T1340" s="34" t="str">
        <f aca="false">IF(I1340="","SIN DATO",IFERROR(INDEX(cat_ModN,MATCH(I1340,cat_ModO,0)),I1340))</f>
        <v>MULTILIN</v>
      </c>
      <c r="U1340" s="34" t="str">
        <f aca="false">IF(I1340="","",IFERROR(INDEX(cat_ModG,MATCH(I1340,cat_ModO,0)),"No"))</f>
        <v>Sí</v>
      </c>
      <c r="V1340" s="34" t="str">
        <f aca="false">IF(J1340="","SIN DATO",IFERROR(INDEX(cat_FunN,MATCH(J1340,cat_FunO,0)),J1340))</f>
        <v>Protección y medición</v>
      </c>
      <c r="W1340" s="34" t="str">
        <f aca="false">IF(OR(S1340="SIN DATO",T1340="SIN DATO"),"No","Sí")</f>
        <v>Sí</v>
      </c>
    </row>
    <row r="1341" customFormat="false" ht="15" hidden="false" customHeight="false" outlineLevel="0" collapsed="false">
      <c r="A1341" s="34" t="s">
        <v>4983</v>
      </c>
      <c r="B1341" s="34" t="s">
        <v>4984</v>
      </c>
      <c r="C1341" s="34" t="s">
        <v>4985</v>
      </c>
      <c r="D1341" s="34" t="s">
        <v>4976</v>
      </c>
      <c r="E1341" s="34" t="s">
        <v>116</v>
      </c>
      <c r="F1341" s="34" t="s">
        <v>1602</v>
      </c>
      <c r="G1341" s="34" t="s">
        <v>259</v>
      </c>
      <c r="H1341" s="34" t="s">
        <v>61</v>
      </c>
      <c r="I1341" s="34" t="s">
        <v>63</v>
      </c>
      <c r="J1341" s="34" t="s">
        <v>260</v>
      </c>
      <c r="K1341" s="34" t="s">
        <v>229</v>
      </c>
      <c r="L1341" s="34" t="s">
        <v>230</v>
      </c>
      <c r="M1341" s="34" t="s">
        <v>4254</v>
      </c>
      <c r="N1341" s="34" t="str">
        <f aca="false">"Sector "&amp;VALUE(MID(D1341,13,2))</f>
        <v>Sector 3</v>
      </c>
      <c r="O1341" s="34" t="str">
        <f aca="false">IF(Dashboard!$C$5="Ubicación técnica",N1341,"Sector "&amp;VALUE(RIGHT(G1341,2)))</f>
        <v>Sector 3</v>
      </c>
      <c r="P1341" s="34" t="str">
        <f aca="false">IF(MID(D1341,15,3)="SEL","Subestación eléctrica","Área de proceso")</f>
        <v>Subestación eléctrica</v>
      </c>
      <c r="Q1341" s="34" t="str">
        <f aca="false">MID(D1341,13,5)&amp;"|"&amp;MID(D1341,19,5)</f>
        <v>03SEL|S_007</v>
      </c>
      <c r="R1341" s="34" t="str">
        <f aca="false">IF(P1341="Subestación eléctrica",IFERROR(INDEX(cat_SubN,MATCH(Q1341,cat_SubK,0)),"SIN CATALOGAR"),"ÁREA DE PROCESO")</f>
        <v>SE-07</v>
      </c>
      <c r="S1341" s="34" t="str">
        <f aca="false">IF(H1341="","SIN DATO",IFERROR(INDEX(cat_MarcaN,MATCH(H1341,cat_MarcaO,0)),H1341))</f>
        <v>GENERAL ELECTRIC</v>
      </c>
      <c r="T1341" s="34" t="str">
        <f aca="false">IF(I1341="","SIN DATO",IFERROR(INDEX(cat_ModN,MATCH(I1341,cat_ModO,0)),I1341))</f>
        <v>MULTILIN</v>
      </c>
      <c r="U1341" s="34" t="str">
        <f aca="false">IF(I1341="","",IFERROR(INDEX(cat_ModG,MATCH(I1341,cat_ModO,0)),"No"))</f>
        <v>Sí</v>
      </c>
      <c r="V1341" s="34" t="str">
        <f aca="false">IF(J1341="","SIN DATO",IFERROR(INDEX(cat_FunN,MATCH(J1341,cat_FunO,0)),J1341))</f>
        <v>Protección y medición</v>
      </c>
      <c r="W1341" s="34" t="str">
        <f aca="false">IF(OR(S1341="SIN DATO",T1341="SIN DATO"),"No","Sí")</f>
        <v>Sí</v>
      </c>
    </row>
    <row r="1342" customFormat="false" ht="15" hidden="false" customHeight="false" outlineLevel="0" collapsed="false">
      <c r="A1342" s="34" t="s">
        <v>4986</v>
      </c>
      <c r="B1342" s="34" t="s">
        <v>4987</v>
      </c>
      <c r="C1342" s="34" t="s">
        <v>4988</v>
      </c>
      <c r="D1342" s="34" t="s">
        <v>4989</v>
      </c>
      <c r="E1342" s="34" t="s">
        <v>116</v>
      </c>
      <c r="F1342" s="34" t="s">
        <v>1602</v>
      </c>
      <c r="G1342" s="34" t="s">
        <v>259</v>
      </c>
      <c r="H1342" s="34" t="s">
        <v>61</v>
      </c>
      <c r="I1342" s="34" t="s">
        <v>63</v>
      </c>
      <c r="J1342" s="34" t="s">
        <v>260</v>
      </c>
      <c r="K1342" s="34" t="s">
        <v>229</v>
      </c>
      <c r="L1342" s="34" t="s">
        <v>230</v>
      </c>
      <c r="M1342" s="34" t="s">
        <v>231</v>
      </c>
      <c r="N1342" s="34" t="str">
        <f aca="false">"Sector "&amp;VALUE(MID(D1342,13,2))</f>
        <v>Sector 3</v>
      </c>
      <c r="O1342" s="34" t="str">
        <f aca="false">IF(Dashboard!$C$5="Ubicación técnica",N1342,"Sector "&amp;VALUE(RIGHT(G1342,2)))</f>
        <v>Sector 3</v>
      </c>
      <c r="P1342" s="34" t="str">
        <f aca="false">IF(MID(D1342,15,3)="SEL","Subestación eléctrica","Área de proceso")</f>
        <v>Subestación eléctrica</v>
      </c>
      <c r="Q1342" s="34" t="str">
        <f aca="false">MID(D1342,13,5)&amp;"|"&amp;MID(D1342,19,5)</f>
        <v>03SEL|S_007</v>
      </c>
      <c r="R1342" s="34" t="str">
        <f aca="false">IF(P1342="Subestación eléctrica",IFERROR(INDEX(cat_SubN,MATCH(Q1342,cat_SubK,0)),"SIN CATALOGAR"),"ÁREA DE PROCESO")</f>
        <v>SE-07</v>
      </c>
      <c r="S1342" s="34" t="str">
        <f aca="false">IF(H1342="","SIN DATO",IFERROR(INDEX(cat_MarcaN,MATCH(H1342,cat_MarcaO,0)),H1342))</f>
        <v>GENERAL ELECTRIC</v>
      </c>
      <c r="T1342" s="34" t="str">
        <f aca="false">IF(I1342="","SIN DATO",IFERROR(INDEX(cat_ModN,MATCH(I1342,cat_ModO,0)),I1342))</f>
        <v>MULTILIN</v>
      </c>
      <c r="U1342" s="34" t="str">
        <f aca="false">IF(I1342="","",IFERROR(INDEX(cat_ModG,MATCH(I1342,cat_ModO,0)),"No"))</f>
        <v>Sí</v>
      </c>
      <c r="V1342" s="34" t="str">
        <f aca="false">IF(J1342="","SIN DATO",IFERROR(INDEX(cat_FunN,MATCH(J1342,cat_FunO,0)),J1342))</f>
        <v>Protección y medición</v>
      </c>
      <c r="W1342" s="34" t="str">
        <f aca="false">IF(OR(S1342="SIN DATO",T1342="SIN DATO"),"No","Sí")</f>
        <v>Sí</v>
      </c>
    </row>
    <row r="1343" customFormat="false" ht="15" hidden="false" customHeight="false" outlineLevel="0" collapsed="false">
      <c r="A1343" s="34" t="s">
        <v>4990</v>
      </c>
      <c r="B1343" s="34" t="s">
        <v>4991</v>
      </c>
      <c r="C1343" s="34" t="s">
        <v>4992</v>
      </c>
      <c r="D1343" s="34" t="s">
        <v>4989</v>
      </c>
      <c r="E1343" s="34" t="s">
        <v>116</v>
      </c>
      <c r="F1343" s="34" t="s">
        <v>1602</v>
      </c>
      <c r="G1343" s="34" t="s">
        <v>259</v>
      </c>
      <c r="H1343" s="34" t="s">
        <v>61</v>
      </c>
      <c r="I1343" s="34" t="s">
        <v>63</v>
      </c>
      <c r="J1343" s="34" t="s">
        <v>260</v>
      </c>
      <c r="K1343" s="34" t="s">
        <v>229</v>
      </c>
      <c r="L1343" s="34" t="s">
        <v>230</v>
      </c>
      <c r="M1343" s="34" t="s">
        <v>231</v>
      </c>
      <c r="N1343" s="34" t="str">
        <f aca="false">"Sector "&amp;VALUE(MID(D1343,13,2))</f>
        <v>Sector 3</v>
      </c>
      <c r="O1343" s="34" t="str">
        <f aca="false">IF(Dashboard!$C$5="Ubicación técnica",N1343,"Sector "&amp;VALUE(RIGHT(G1343,2)))</f>
        <v>Sector 3</v>
      </c>
      <c r="P1343" s="34" t="str">
        <f aca="false">IF(MID(D1343,15,3)="SEL","Subestación eléctrica","Área de proceso")</f>
        <v>Subestación eléctrica</v>
      </c>
      <c r="Q1343" s="34" t="str">
        <f aca="false">MID(D1343,13,5)&amp;"|"&amp;MID(D1343,19,5)</f>
        <v>03SEL|S_007</v>
      </c>
      <c r="R1343" s="34" t="str">
        <f aca="false">IF(P1343="Subestación eléctrica",IFERROR(INDEX(cat_SubN,MATCH(Q1343,cat_SubK,0)),"SIN CATALOGAR"),"ÁREA DE PROCESO")</f>
        <v>SE-07</v>
      </c>
      <c r="S1343" s="34" t="str">
        <f aca="false">IF(H1343="","SIN DATO",IFERROR(INDEX(cat_MarcaN,MATCH(H1343,cat_MarcaO,0)),H1343))</f>
        <v>GENERAL ELECTRIC</v>
      </c>
      <c r="T1343" s="34" t="str">
        <f aca="false">IF(I1343="","SIN DATO",IFERROR(INDEX(cat_ModN,MATCH(I1343,cat_ModO,0)),I1343))</f>
        <v>MULTILIN</v>
      </c>
      <c r="U1343" s="34" t="str">
        <f aca="false">IF(I1343="","",IFERROR(INDEX(cat_ModG,MATCH(I1343,cat_ModO,0)),"No"))</f>
        <v>Sí</v>
      </c>
      <c r="V1343" s="34" t="str">
        <f aca="false">IF(J1343="","SIN DATO",IFERROR(INDEX(cat_FunN,MATCH(J1343,cat_FunO,0)),J1343))</f>
        <v>Protección y medición</v>
      </c>
      <c r="W1343" s="34" t="str">
        <f aca="false">IF(OR(S1343="SIN DATO",T1343="SIN DATO"),"No","Sí")</f>
        <v>Sí</v>
      </c>
    </row>
    <row r="1344" customFormat="false" ht="15" hidden="false" customHeight="false" outlineLevel="0" collapsed="false">
      <c r="A1344" s="34" t="s">
        <v>4993</v>
      </c>
      <c r="B1344" s="34" t="s">
        <v>4994</v>
      </c>
      <c r="C1344" s="34" t="s">
        <v>4995</v>
      </c>
      <c r="D1344" s="34" t="s">
        <v>4996</v>
      </c>
      <c r="E1344" s="34" t="s">
        <v>116</v>
      </c>
      <c r="F1344" s="34" t="s">
        <v>1602</v>
      </c>
      <c r="G1344" s="34" t="s">
        <v>259</v>
      </c>
      <c r="H1344" s="34" t="s">
        <v>61</v>
      </c>
      <c r="I1344" s="34" t="s">
        <v>63</v>
      </c>
      <c r="J1344" s="34" t="s">
        <v>260</v>
      </c>
      <c r="K1344" s="34" t="s">
        <v>229</v>
      </c>
      <c r="L1344" s="34" t="s">
        <v>230</v>
      </c>
      <c r="M1344" s="34" t="s">
        <v>231</v>
      </c>
      <c r="N1344" s="34" t="str">
        <f aca="false">"Sector "&amp;VALUE(MID(D1344,13,2))</f>
        <v>Sector 3</v>
      </c>
      <c r="O1344" s="34" t="str">
        <f aca="false">IF(Dashboard!$C$5="Ubicación técnica",N1344,"Sector "&amp;VALUE(RIGHT(G1344,2)))</f>
        <v>Sector 3</v>
      </c>
      <c r="P1344" s="34" t="str">
        <f aca="false">IF(MID(D1344,15,3)="SEL","Subestación eléctrica","Área de proceso")</f>
        <v>Subestación eléctrica</v>
      </c>
      <c r="Q1344" s="34" t="str">
        <f aca="false">MID(D1344,13,5)&amp;"|"&amp;MID(D1344,19,5)</f>
        <v>03SEL|S_007</v>
      </c>
      <c r="R1344" s="34" t="str">
        <f aca="false">IF(P1344="Subestación eléctrica",IFERROR(INDEX(cat_SubN,MATCH(Q1344,cat_SubK,0)),"SIN CATALOGAR"),"ÁREA DE PROCESO")</f>
        <v>SE-07</v>
      </c>
      <c r="S1344" s="34" t="str">
        <f aca="false">IF(H1344="","SIN DATO",IFERROR(INDEX(cat_MarcaN,MATCH(H1344,cat_MarcaO,0)),H1344))</f>
        <v>GENERAL ELECTRIC</v>
      </c>
      <c r="T1344" s="34" t="str">
        <f aca="false">IF(I1344="","SIN DATO",IFERROR(INDEX(cat_ModN,MATCH(I1344,cat_ModO,0)),I1344))</f>
        <v>MULTILIN</v>
      </c>
      <c r="U1344" s="34" t="str">
        <f aca="false">IF(I1344="","",IFERROR(INDEX(cat_ModG,MATCH(I1344,cat_ModO,0)),"No"))</f>
        <v>Sí</v>
      </c>
      <c r="V1344" s="34" t="str">
        <f aca="false">IF(J1344="","SIN DATO",IFERROR(INDEX(cat_FunN,MATCH(J1344,cat_FunO,0)),J1344))</f>
        <v>Protección y medición</v>
      </c>
      <c r="W1344" s="34" t="str">
        <f aca="false">IF(OR(S1344="SIN DATO",T1344="SIN DATO"),"No","Sí")</f>
        <v>Sí</v>
      </c>
    </row>
    <row r="1345" customFormat="false" ht="15" hidden="false" customHeight="false" outlineLevel="0" collapsed="false">
      <c r="A1345" s="34" t="s">
        <v>4997</v>
      </c>
      <c r="B1345" s="34" t="s">
        <v>4998</v>
      </c>
      <c r="C1345" s="34" t="s">
        <v>4999</v>
      </c>
      <c r="D1345" s="34" t="s">
        <v>5000</v>
      </c>
      <c r="E1345" s="34" t="s">
        <v>116</v>
      </c>
      <c r="F1345" s="34" t="s">
        <v>1602</v>
      </c>
      <c r="G1345" s="34" t="s">
        <v>259</v>
      </c>
      <c r="H1345" s="34" t="s">
        <v>61</v>
      </c>
      <c r="I1345" s="34" t="s">
        <v>63</v>
      </c>
      <c r="J1345" s="34" t="s">
        <v>260</v>
      </c>
      <c r="K1345" s="34" t="s">
        <v>229</v>
      </c>
      <c r="L1345" s="34" t="s">
        <v>230</v>
      </c>
      <c r="M1345" s="34" t="s">
        <v>231</v>
      </c>
      <c r="N1345" s="34" t="str">
        <f aca="false">"Sector "&amp;VALUE(MID(D1345,13,2))</f>
        <v>Sector 3</v>
      </c>
      <c r="O1345" s="34" t="str">
        <f aca="false">IF(Dashboard!$C$5="Ubicación técnica",N1345,"Sector "&amp;VALUE(RIGHT(G1345,2)))</f>
        <v>Sector 3</v>
      </c>
      <c r="P1345" s="34" t="str">
        <f aca="false">IF(MID(D1345,15,3)="SEL","Subestación eléctrica","Área de proceso")</f>
        <v>Subestación eléctrica</v>
      </c>
      <c r="Q1345" s="34" t="str">
        <f aca="false">MID(D1345,13,5)&amp;"|"&amp;MID(D1345,19,5)</f>
        <v>03SEL|S_007</v>
      </c>
      <c r="R1345" s="34" t="str">
        <f aca="false">IF(P1345="Subestación eléctrica",IFERROR(INDEX(cat_SubN,MATCH(Q1345,cat_SubK,0)),"SIN CATALOGAR"),"ÁREA DE PROCESO")</f>
        <v>SE-07</v>
      </c>
      <c r="S1345" s="34" t="str">
        <f aca="false">IF(H1345="","SIN DATO",IFERROR(INDEX(cat_MarcaN,MATCH(H1345,cat_MarcaO,0)),H1345))</f>
        <v>GENERAL ELECTRIC</v>
      </c>
      <c r="T1345" s="34" t="str">
        <f aca="false">IF(I1345="","SIN DATO",IFERROR(INDEX(cat_ModN,MATCH(I1345,cat_ModO,0)),I1345))</f>
        <v>MULTILIN</v>
      </c>
      <c r="U1345" s="34" t="str">
        <f aca="false">IF(I1345="","",IFERROR(INDEX(cat_ModG,MATCH(I1345,cat_ModO,0)),"No"))</f>
        <v>Sí</v>
      </c>
      <c r="V1345" s="34" t="str">
        <f aca="false">IF(J1345="","SIN DATO",IFERROR(INDEX(cat_FunN,MATCH(J1345,cat_FunO,0)),J1345))</f>
        <v>Protección y medición</v>
      </c>
      <c r="W1345" s="34" t="str">
        <f aca="false">IF(OR(S1345="SIN DATO",T1345="SIN DATO"),"No","Sí")</f>
        <v>Sí</v>
      </c>
    </row>
    <row r="1346" customFormat="false" ht="15" hidden="false" customHeight="false" outlineLevel="0" collapsed="false">
      <c r="A1346" s="34" t="s">
        <v>5001</v>
      </c>
      <c r="B1346" s="34" t="s">
        <v>5002</v>
      </c>
      <c r="C1346" s="34" t="s">
        <v>5003</v>
      </c>
      <c r="D1346" s="34" t="s">
        <v>5000</v>
      </c>
      <c r="E1346" s="34" t="s">
        <v>116</v>
      </c>
      <c r="F1346" s="34" t="s">
        <v>1602</v>
      </c>
      <c r="G1346" s="34" t="s">
        <v>259</v>
      </c>
      <c r="H1346" s="34" t="s">
        <v>61</v>
      </c>
      <c r="I1346" s="34" t="s">
        <v>63</v>
      </c>
      <c r="J1346" s="34" t="s">
        <v>260</v>
      </c>
      <c r="K1346" s="34" t="s">
        <v>229</v>
      </c>
      <c r="L1346" s="34" t="s">
        <v>230</v>
      </c>
      <c r="M1346" s="34" t="s">
        <v>231</v>
      </c>
      <c r="N1346" s="34" t="str">
        <f aca="false">"Sector "&amp;VALUE(MID(D1346,13,2))</f>
        <v>Sector 3</v>
      </c>
      <c r="O1346" s="34" t="str">
        <f aca="false">IF(Dashboard!$C$5="Ubicación técnica",N1346,"Sector "&amp;VALUE(RIGHT(G1346,2)))</f>
        <v>Sector 3</v>
      </c>
      <c r="P1346" s="34" t="str">
        <f aca="false">IF(MID(D1346,15,3)="SEL","Subestación eléctrica","Área de proceso")</f>
        <v>Subestación eléctrica</v>
      </c>
      <c r="Q1346" s="34" t="str">
        <f aca="false">MID(D1346,13,5)&amp;"|"&amp;MID(D1346,19,5)</f>
        <v>03SEL|S_007</v>
      </c>
      <c r="R1346" s="34" t="str">
        <f aca="false">IF(P1346="Subestación eléctrica",IFERROR(INDEX(cat_SubN,MATCH(Q1346,cat_SubK,0)),"SIN CATALOGAR"),"ÁREA DE PROCESO")</f>
        <v>SE-07</v>
      </c>
      <c r="S1346" s="34" t="str">
        <f aca="false">IF(H1346="","SIN DATO",IFERROR(INDEX(cat_MarcaN,MATCH(H1346,cat_MarcaO,0)),H1346))</f>
        <v>GENERAL ELECTRIC</v>
      </c>
      <c r="T1346" s="34" t="str">
        <f aca="false">IF(I1346="","SIN DATO",IFERROR(INDEX(cat_ModN,MATCH(I1346,cat_ModO,0)),I1346))</f>
        <v>MULTILIN</v>
      </c>
      <c r="U1346" s="34" t="str">
        <f aca="false">IF(I1346="","",IFERROR(INDEX(cat_ModG,MATCH(I1346,cat_ModO,0)),"No"))</f>
        <v>Sí</v>
      </c>
      <c r="V1346" s="34" t="str">
        <f aca="false">IF(J1346="","SIN DATO",IFERROR(INDEX(cat_FunN,MATCH(J1346,cat_FunO,0)),J1346))</f>
        <v>Protección y medición</v>
      </c>
      <c r="W1346" s="34" t="str">
        <f aca="false">IF(OR(S1346="SIN DATO",T1346="SIN DATO"),"No","Sí")</f>
        <v>Sí</v>
      </c>
    </row>
    <row r="1347" customFormat="false" ht="15" hidden="false" customHeight="false" outlineLevel="0" collapsed="false">
      <c r="A1347" s="34" t="s">
        <v>5004</v>
      </c>
      <c r="B1347" s="34" t="s">
        <v>5005</v>
      </c>
      <c r="C1347" s="34" t="s">
        <v>5006</v>
      </c>
      <c r="D1347" s="34" t="s">
        <v>3188</v>
      </c>
      <c r="E1347" s="34" t="s">
        <v>116</v>
      </c>
      <c r="F1347" s="34" t="s">
        <v>1602</v>
      </c>
      <c r="G1347" s="34" t="s">
        <v>259</v>
      </c>
      <c r="H1347" s="34" t="s">
        <v>61</v>
      </c>
      <c r="I1347" s="34" t="s">
        <v>63</v>
      </c>
      <c r="J1347" s="34" t="s">
        <v>260</v>
      </c>
      <c r="K1347" s="34" t="s">
        <v>229</v>
      </c>
      <c r="L1347" s="34" t="s">
        <v>230</v>
      </c>
      <c r="M1347" s="34" t="s">
        <v>231</v>
      </c>
      <c r="N1347" s="34" t="str">
        <f aca="false">"Sector "&amp;VALUE(MID(D1347,13,2))</f>
        <v>Sector 3</v>
      </c>
      <c r="O1347" s="34" t="str">
        <f aca="false">IF(Dashboard!$C$5="Ubicación técnica",N1347,"Sector "&amp;VALUE(RIGHT(G1347,2)))</f>
        <v>Sector 3</v>
      </c>
      <c r="P1347" s="34" t="str">
        <f aca="false">IF(MID(D1347,15,3)="SEL","Subestación eléctrica","Área de proceso")</f>
        <v>Subestación eléctrica</v>
      </c>
      <c r="Q1347" s="34" t="str">
        <f aca="false">MID(D1347,13,5)&amp;"|"&amp;MID(D1347,19,5)</f>
        <v>03SEL|S_007</v>
      </c>
      <c r="R1347" s="34" t="str">
        <f aca="false">IF(P1347="Subestación eléctrica",IFERROR(INDEX(cat_SubN,MATCH(Q1347,cat_SubK,0)),"SIN CATALOGAR"),"ÁREA DE PROCESO")</f>
        <v>SE-07</v>
      </c>
      <c r="S1347" s="34" t="str">
        <f aca="false">IF(H1347="","SIN DATO",IFERROR(INDEX(cat_MarcaN,MATCH(H1347,cat_MarcaO,0)),H1347))</f>
        <v>GENERAL ELECTRIC</v>
      </c>
      <c r="T1347" s="34" t="str">
        <f aca="false">IF(I1347="","SIN DATO",IFERROR(INDEX(cat_ModN,MATCH(I1347,cat_ModO,0)),I1347))</f>
        <v>MULTILIN</v>
      </c>
      <c r="U1347" s="34" t="str">
        <f aca="false">IF(I1347="","",IFERROR(INDEX(cat_ModG,MATCH(I1347,cat_ModO,0)),"No"))</f>
        <v>Sí</v>
      </c>
      <c r="V1347" s="34" t="str">
        <f aca="false">IF(J1347="","SIN DATO",IFERROR(INDEX(cat_FunN,MATCH(J1347,cat_FunO,0)),J1347))</f>
        <v>Protección y medición</v>
      </c>
      <c r="W1347" s="34" t="str">
        <f aca="false">IF(OR(S1347="SIN DATO",T1347="SIN DATO"),"No","Sí")</f>
        <v>Sí</v>
      </c>
    </row>
    <row r="1348" customFormat="false" ht="15" hidden="false" customHeight="false" outlineLevel="0" collapsed="false">
      <c r="A1348" s="34" t="s">
        <v>5007</v>
      </c>
      <c r="B1348" s="34" t="s">
        <v>5008</v>
      </c>
      <c r="C1348" s="34" t="s">
        <v>5009</v>
      </c>
      <c r="D1348" s="34" t="s">
        <v>5010</v>
      </c>
      <c r="E1348" s="34" t="s">
        <v>116</v>
      </c>
      <c r="F1348" s="34" t="s">
        <v>1602</v>
      </c>
      <c r="G1348" s="34" t="s">
        <v>259</v>
      </c>
      <c r="H1348" s="34" t="s">
        <v>61</v>
      </c>
      <c r="I1348" s="34" t="s">
        <v>63</v>
      </c>
      <c r="J1348" s="34" t="s">
        <v>260</v>
      </c>
      <c r="K1348" s="34" t="s">
        <v>229</v>
      </c>
      <c r="L1348" s="34" t="s">
        <v>230</v>
      </c>
      <c r="M1348" s="34" t="s">
        <v>231</v>
      </c>
      <c r="N1348" s="34" t="str">
        <f aca="false">"Sector "&amp;VALUE(MID(D1348,13,2))</f>
        <v>Sector 3</v>
      </c>
      <c r="O1348" s="34" t="str">
        <f aca="false">IF(Dashboard!$C$5="Ubicación técnica",N1348,"Sector "&amp;VALUE(RIGHT(G1348,2)))</f>
        <v>Sector 3</v>
      </c>
      <c r="P1348" s="34" t="str">
        <f aca="false">IF(MID(D1348,15,3)="SEL","Subestación eléctrica","Área de proceso")</f>
        <v>Subestación eléctrica</v>
      </c>
      <c r="Q1348" s="34" t="str">
        <f aca="false">MID(D1348,13,5)&amp;"|"&amp;MID(D1348,19,5)</f>
        <v>03SEL|S_007</v>
      </c>
      <c r="R1348" s="34" t="str">
        <f aca="false">IF(P1348="Subestación eléctrica",IFERROR(INDEX(cat_SubN,MATCH(Q1348,cat_SubK,0)),"SIN CATALOGAR"),"ÁREA DE PROCESO")</f>
        <v>SE-07</v>
      </c>
      <c r="S1348" s="34" t="str">
        <f aca="false">IF(H1348="","SIN DATO",IFERROR(INDEX(cat_MarcaN,MATCH(H1348,cat_MarcaO,0)),H1348))</f>
        <v>GENERAL ELECTRIC</v>
      </c>
      <c r="T1348" s="34" t="str">
        <f aca="false">IF(I1348="","SIN DATO",IFERROR(INDEX(cat_ModN,MATCH(I1348,cat_ModO,0)),I1348))</f>
        <v>MULTILIN</v>
      </c>
      <c r="U1348" s="34" t="str">
        <f aca="false">IF(I1348="","",IFERROR(INDEX(cat_ModG,MATCH(I1348,cat_ModO,0)),"No"))</f>
        <v>Sí</v>
      </c>
      <c r="V1348" s="34" t="str">
        <f aca="false">IF(J1348="","SIN DATO",IFERROR(INDEX(cat_FunN,MATCH(J1348,cat_FunO,0)),J1348))</f>
        <v>Protección y medición</v>
      </c>
      <c r="W1348" s="34" t="str">
        <f aca="false">IF(OR(S1348="SIN DATO",T1348="SIN DATO"),"No","Sí")</f>
        <v>Sí</v>
      </c>
    </row>
    <row r="1349" customFormat="false" ht="15" hidden="false" customHeight="false" outlineLevel="0" collapsed="false">
      <c r="A1349" s="34" t="s">
        <v>5011</v>
      </c>
      <c r="B1349" s="34" t="s">
        <v>5012</v>
      </c>
      <c r="C1349" s="34" t="s">
        <v>5013</v>
      </c>
      <c r="D1349" s="34" t="s">
        <v>5014</v>
      </c>
      <c r="E1349" s="34" t="s">
        <v>116</v>
      </c>
      <c r="F1349" s="34" t="s">
        <v>1602</v>
      </c>
      <c r="G1349" s="34" t="s">
        <v>259</v>
      </c>
      <c r="H1349" s="34" t="s">
        <v>61</v>
      </c>
      <c r="I1349" s="34" t="s">
        <v>63</v>
      </c>
      <c r="J1349" s="34" t="s">
        <v>260</v>
      </c>
      <c r="K1349" s="34" t="s">
        <v>229</v>
      </c>
      <c r="L1349" s="34" t="s">
        <v>230</v>
      </c>
      <c r="M1349" s="34" t="s">
        <v>231</v>
      </c>
      <c r="N1349" s="34" t="str">
        <f aca="false">"Sector "&amp;VALUE(MID(D1349,13,2))</f>
        <v>Sector 3</v>
      </c>
      <c r="O1349" s="34" t="str">
        <f aca="false">IF(Dashboard!$C$5="Ubicación técnica",N1349,"Sector "&amp;VALUE(RIGHT(G1349,2)))</f>
        <v>Sector 3</v>
      </c>
      <c r="P1349" s="34" t="str">
        <f aca="false">IF(MID(D1349,15,3)="SEL","Subestación eléctrica","Área de proceso")</f>
        <v>Subestación eléctrica</v>
      </c>
      <c r="Q1349" s="34" t="str">
        <f aca="false">MID(D1349,13,5)&amp;"|"&amp;MID(D1349,19,5)</f>
        <v>03SEL|S_007</v>
      </c>
      <c r="R1349" s="34" t="str">
        <f aca="false">IF(P1349="Subestación eléctrica",IFERROR(INDEX(cat_SubN,MATCH(Q1349,cat_SubK,0)),"SIN CATALOGAR"),"ÁREA DE PROCESO")</f>
        <v>SE-07</v>
      </c>
      <c r="S1349" s="34" t="str">
        <f aca="false">IF(H1349="","SIN DATO",IFERROR(INDEX(cat_MarcaN,MATCH(H1349,cat_MarcaO,0)),H1349))</f>
        <v>GENERAL ELECTRIC</v>
      </c>
      <c r="T1349" s="34" t="str">
        <f aca="false">IF(I1349="","SIN DATO",IFERROR(INDEX(cat_ModN,MATCH(I1349,cat_ModO,0)),I1349))</f>
        <v>MULTILIN</v>
      </c>
      <c r="U1349" s="34" t="str">
        <f aca="false">IF(I1349="","",IFERROR(INDEX(cat_ModG,MATCH(I1349,cat_ModO,0)),"No"))</f>
        <v>Sí</v>
      </c>
      <c r="V1349" s="34" t="str">
        <f aca="false">IF(J1349="","SIN DATO",IFERROR(INDEX(cat_FunN,MATCH(J1349,cat_FunO,0)),J1349))</f>
        <v>Protección y medición</v>
      </c>
      <c r="W1349" s="34" t="str">
        <f aca="false">IF(OR(S1349="SIN DATO",T1349="SIN DATO"),"No","Sí")</f>
        <v>Sí</v>
      </c>
    </row>
    <row r="1350" customFormat="false" ht="15" hidden="false" customHeight="false" outlineLevel="0" collapsed="false">
      <c r="A1350" s="34" t="s">
        <v>5015</v>
      </c>
      <c r="B1350" s="34" t="s">
        <v>5016</v>
      </c>
      <c r="C1350" s="34" t="s">
        <v>5017</v>
      </c>
      <c r="D1350" s="34" t="s">
        <v>5018</v>
      </c>
      <c r="E1350" s="34" t="s">
        <v>116</v>
      </c>
      <c r="F1350" s="34" t="s">
        <v>1602</v>
      </c>
      <c r="G1350" s="34" t="s">
        <v>259</v>
      </c>
      <c r="H1350" s="34" t="s">
        <v>61</v>
      </c>
      <c r="I1350" s="34" t="s">
        <v>63</v>
      </c>
      <c r="J1350" s="34" t="s">
        <v>260</v>
      </c>
      <c r="K1350" s="34" t="s">
        <v>229</v>
      </c>
      <c r="L1350" s="34" t="s">
        <v>230</v>
      </c>
      <c r="M1350" s="34" t="s">
        <v>231</v>
      </c>
      <c r="N1350" s="34" t="str">
        <f aca="false">"Sector "&amp;VALUE(MID(D1350,13,2))</f>
        <v>Sector 3</v>
      </c>
      <c r="O1350" s="34" t="str">
        <f aca="false">IF(Dashboard!$C$5="Ubicación técnica",N1350,"Sector "&amp;VALUE(RIGHT(G1350,2)))</f>
        <v>Sector 3</v>
      </c>
      <c r="P1350" s="34" t="str">
        <f aca="false">IF(MID(D1350,15,3)="SEL","Subestación eléctrica","Área de proceso")</f>
        <v>Subestación eléctrica</v>
      </c>
      <c r="Q1350" s="34" t="str">
        <f aca="false">MID(D1350,13,5)&amp;"|"&amp;MID(D1350,19,5)</f>
        <v>03SEL|S_007</v>
      </c>
      <c r="R1350" s="34" t="str">
        <f aca="false">IF(P1350="Subestación eléctrica",IFERROR(INDEX(cat_SubN,MATCH(Q1350,cat_SubK,0)),"SIN CATALOGAR"),"ÁREA DE PROCESO")</f>
        <v>SE-07</v>
      </c>
      <c r="S1350" s="34" t="str">
        <f aca="false">IF(H1350="","SIN DATO",IFERROR(INDEX(cat_MarcaN,MATCH(H1350,cat_MarcaO,0)),H1350))</f>
        <v>GENERAL ELECTRIC</v>
      </c>
      <c r="T1350" s="34" t="str">
        <f aca="false">IF(I1350="","SIN DATO",IFERROR(INDEX(cat_ModN,MATCH(I1350,cat_ModO,0)),I1350))</f>
        <v>MULTILIN</v>
      </c>
      <c r="U1350" s="34" t="str">
        <f aca="false">IF(I1350="","",IFERROR(INDEX(cat_ModG,MATCH(I1350,cat_ModO,0)),"No"))</f>
        <v>Sí</v>
      </c>
      <c r="V1350" s="34" t="str">
        <f aca="false">IF(J1350="","SIN DATO",IFERROR(INDEX(cat_FunN,MATCH(J1350,cat_FunO,0)),J1350))</f>
        <v>Protección y medición</v>
      </c>
      <c r="W1350" s="34" t="str">
        <f aca="false">IF(OR(S1350="SIN DATO",T1350="SIN DATO"),"No","Sí")</f>
        <v>Sí</v>
      </c>
    </row>
    <row r="1351" customFormat="false" ht="15" hidden="false" customHeight="false" outlineLevel="0" collapsed="false">
      <c r="A1351" s="34" t="s">
        <v>5019</v>
      </c>
      <c r="B1351" s="34" t="s">
        <v>5020</v>
      </c>
      <c r="C1351" s="34" t="s">
        <v>5021</v>
      </c>
      <c r="D1351" s="34" t="s">
        <v>5022</v>
      </c>
      <c r="E1351" s="34" t="s">
        <v>116</v>
      </c>
      <c r="F1351" s="34" t="s">
        <v>1602</v>
      </c>
      <c r="G1351" s="34" t="s">
        <v>259</v>
      </c>
      <c r="H1351" s="34" t="s">
        <v>61</v>
      </c>
      <c r="I1351" s="34" t="s">
        <v>63</v>
      </c>
      <c r="J1351" s="34" t="s">
        <v>260</v>
      </c>
      <c r="K1351" s="34" t="s">
        <v>229</v>
      </c>
      <c r="L1351" s="34" t="s">
        <v>230</v>
      </c>
      <c r="M1351" s="34" t="s">
        <v>231</v>
      </c>
      <c r="N1351" s="34" t="str">
        <f aca="false">"Sector "&amp;VALUE(MID(D1351,13,2))</f>
        <v>Sector 3</v>
      </c>
      <c r="O1351" s="34" t="str">
        <f aca="false">IF(Dashboard!$C$5="Ubicación técnica",N1351,"Sector "&amp;VALUE(RIGHT(G1351,2)))</f>
        <v>Sector 3</v>
      </c>
      <c r="P1351" s="34" t="str">
        <f aca="false">IF(MID(D1351,15,3)="SEL","Subestación eléctrica","Área de proceso")</f>
        <v>Subestación eléctrica</v>
      </c>
      <c r="Q1351" s="34" t="str">
        <f aca="false">MID(D1351,13,5)&amp;"|"&amp;MID(D1351,19,5)</f>
        <v>03SEL|S_007</v>
      </c>
      <c r="R1351" s="34" t="str">
        <f aca="false">IF(P1351="Subestación eléctrica",IFERROR(INDEX(cat_SubN,MATCH(Q1351,cat_SubK,0)),"SIN CATALOGAR"),"ÁREA DE PROCESO")</f>
        <v>SE-07</v>
      </c>
      <c r="S1351" s="34" t="str">
        <f aca="false">IF(H1351="","SIN DATO",IFERROR(INDEX(cat_MarcaN,MATCH(H1351,cat_MarcaO,0)),H1351))</f>
        <v>GENERAL ELECTRIC</v>
      </c>
      <c r="T1351" s="34" t="str">
        <f aca="false">IF(I1351="","SIN DATO",IFERROR(INDEX(cat_ModN,MATCH(I1351,cat_ModO,0)),I1351))</f>
        <v>MULTILIN</v>
      </c>
      <c r="U1351" s="34" t="str">
        <f aca="false">IF(I1351="","",IFERROR(INDEX(cat_ModG,MATCH(I1351,cat_ModO,0)),"No"))</f>
        <v>Sí</v>
      </c>
      <c r="V1351" s="34" t="str">
        <f aca="false">IF(J1351="","SIN DATO",IFERROR(INDEX(cat_FunN,MATCH(J1351,cat_FunO,0)),J1351))</f>
        <v>Protección y medición</v>
      </c>
      <c r="W1351" s="34" t="str">
        <f aca="false">IF(OR(S1351="SIN DATO",T1351="SIN DATO"),"No","Sí")</f>
        <v>Sí</v>
      </c>
    </row>
    <row r="1352" customFormat="false" ht="15" hidden="false" customHeight="false" outlineLevel="0" collapsed="false">
      <c r="A1352" s="34" t="s">
        <v>5023</v>
      </c>
      <c r="B1352" s="34" t="s">
        <v>5024</v>
      </c>
      <c r="C1352" s="34" t="s">
        <v>5025</v>
      </c>
      <c r="D1352" s="34" t="s">
        <v>5026</v>
      </c>
      <c r="E1352" s="34" t="s">
        <v>116</v>
      </c>
      <c r="F1352" s="34" t="s">
        <v>1602</v>
      </c>
      <c r="G1352" s="34" t="s">
        <v>259</v>
      </c>
      <c r="H1352" s="34" t="s">
        <v>61</v>
      </c>
      <c r="I1352" s="34" t="s">
        <v>63</v>
      </c>
      <c r="J1352" s="34" t="s">
        <v>260</v>
      </c>
      <c r="K1352" s="34" t="s">
        <v>229</v>
      </c>
      <c r="L1352" s="34" t="s">
        <v>230</v>
      </c>
      <c r="M1352" s="34" t="s">
        <v>231</v>
      </c>
      <c r="N1352" s="34" t="str">
        <f aca="false">"Sector "&amp;VALUE(MID(D1352,13,2))</f>
        <v>Sector 3</v>
      </c>
      <c r="O1352" s="34" t="str">
        <f aca="false">IF(Dashboard!$C$5="Ubicación técnica",N1352,"Sector "&amp;VALUE(RIGHT(G1352,2)))</f>
        <v>Sector 3</v>
      </c>
      <c r="P1352" s="34" t="str">
        <f aca="false">IF(MID(D1352,15,3)="SEL","Subestación eléctrica","Área de proceso")</f>
        <v>Subestación eléctrica</v>
      </c>
      <c r="Q1352" s="34" t="str">
        <f aca="false">MID(D1352,13,5)&amp;"|"&amp;MID(D1352,19,5)</f>
        <v>03SEL|S_007</v>
      </c>
      <c r="R1352" s="34" t="str">
        <f aca="false">IF(P1352="Subestación eléctrica",IFERROR(INDEX(cat_SubN,MATCH(Q1352,cat_SubK,0)),"SIN CATALOGAR"),"ÁREA DE PROCESO")</f>
        <v>SE-07</v>
      </c>
      <c r="S1352" s="34" t="str">
        <f aca="false">IF(H1352="","SIN DATO",IFERROR(INDEX(cat_MarcaN,MATCH(H1352,cat_MarcaO,0)),H1352))</f>
        <v>GENERAL ELECTRIC</v>
      </c>
      <c r="T1352" s="34" t="str">
        <f aca="false">IF(I1352="","SIN DATO",IFERROR(INDEX(cat_ModN,MATCH(I1352,cat_ModO,0)),I1352))</f>
        <v>MULTILIN</v>
      </c>
      <c r="U1352" s="34" t="str">
        <f aca="false">IF(I1352="","",IFERROR(INDEX(cat_ModG,MATCH(I1352,cat_ModO,0)),"No"))</f>
        <v>Sí</v>
      </c>
      <c r="V1352" s="34" t="str">
        <f aca="false">IF(J1352="","SIN DATO",IFERROR(INDEX(cat_FunN,MATCH(J1352,cat_FunO,0)),J1352))</f>
        <v>Protección y medición</v>
      </c>
      <c r="W1352" s="34" t="str">
        <f aca="false">IF(OR(S1352="SIN DATO",T1352="SIN DATO"),"No","Sí")</f>
        <v>Sí</v>
      </c>
    </row>
    <row r="1353" customFormat="false" ht="15" hidden="false" customHeight="false" outlineLevel="0" collapsed="false">
      <c r="A1353" s="34" t="s">
        <v>5027</v>
      </c>
      <c r="B1353" s="34" t="s">
        <v>5028</v>
      </c>
      <c r="C1353" s="34" t="s">
        <v>5029</v>
      </c>
      <c r="D1353" s="34" t="s">
        <v>5030</v>
      </c>
      <c r="E1353" s="34" t="s">
        <v>124</v>
      </c>
      <c r="F1353" s="34" t="s">
        <v>1602</v>
      </c>
      <c r="G1353" s="34" t="s">
        <v>1184</v>
      </c>
      <c r="H1353" s="34" t="s">
        <v>61</v>
      </c>
      <c r="I1353" s="34" t="s">
        <v>63</v>
      </c>
      <c r="J1353" s="34" t="s">
        <v>228</v>
      </c>
      <c r="K1353" s="34" t="s">
        <v>229</v>
      </c>
      <c r="L1353" s="34" t="s">
        <v>230</v>
      </c>
      <c r="M1353" s="34" t="s">
        <v>344</v>
      </c>
      <c r="N1353" s="34" t="str">
        <f aca="false">"Sector "&amp;VALUE(MID(D1353,13,2))</f>
        <v>Sector 4</v>
      </c>
      <c r="O1353" s="34" t="str">
        <f aca="false">IF(Dashboard!$C$5="Ubicación técnica",N1353,"Sector "&amp;VALUE(RIGHT(G1353,2)))</f>
        <v>Sector 4</v>
      </c>
      <c r="P1353" s="34" t="str">
        <f aca="false">IF(MID(D1353,15,3)="SEL","Subestación eléctrica","Área de proceso")</f>
        <v>Subestación eléctrica</v>
      </c>
      <c r="Q1353" s="34" t="str">
        <f aca="false">MID(D1353,13,5)&amp;"|"&amp;MID(D1353,19,5)</f>
        <v>04SEL|S_026</v>
      </c>
      <c r="R1353" s="34" t="str">
        <f aca="false">IF(P1353="Subestación eléctrica",IFERROR(INDEX(cat_SubN,MATCH(Q1353,cat_SubK,0)),"SIN CATALOGAR"),"ÁREA DE PROCESO")</f>
        <v>SE-26</v>
      </c>
      <c r="S1353" s="34" t="str">
        <f aca="false">IF(H1353="","SIN DATO",IFERROR(INDEX(cat_MarcaN,MATCH(H1353,cat_MarcaO,0)),H1353))</f>
        <v>GENERAL ELECTRIC</v>
      </c>
      <c r="T1353" s="34" t="str">
        <f aca="false">IF(I1353="","SIN DATO",IFERROR(INDEX(cat_ModN,MATCH(I1353,cat_ModO,0)),I1353))</f>
        <v>MULTILIN</v>
      </c>
      <c r="U1353" s="34" t="str">
        <f aca="false">IF(I1353="","",IFERROR(INDEX(cat_ModG,MATCH(I1353,cat_ModO,0)),"No"))</f>
        <v>Sí</v>
      </c>
      <c r="V1353" s="34" t="str">
        <f aca="false">IF(J1353="","SIN DATO",IFERROR(INDEX(cat_FunN,MATCH(J1353,cat_FunO,0)),J1353))</f>
        <v>Protección y medición</v>
      </c>
      <c r="W1353" s="34" t="str">
        <f aca="false">IF(OR(S1353="SIN DATO",T1353="SIN DATO"),"No","Sí")</f>
        <v>Sí</v>
      </c>
    </row>
    <row r="1354" customFormat="false" ht="15" hidden="false" customHeight="false" outlineLevel="0" collapsed="false">
      <c r="A1354" s="34" t="s">
        <v>5031</v>
      </c>
      <c r="B1354" s="34" t="s">
        <v>5032</v>
      </c>
      <c r="C1354" s="34" t="s">
        <v>5033</v>
      </c>
      <c r="D1354" s="34" t="s">
        <v>2183</v>
      </c>
      <c r="E1354" s="34" t="s">
        <v>178</v>
      </c>
      <c r="F1354" s="34" t="s">
        <v>1602</v>
      </c>
      <c r="G1354" s="34" t="s">
        <v>227</v>
      </c>
      <c r="H1354" s="34" t="s">
        <v>34</v>
      </c>
      <c r="I1354" s="34" t="s">
        <v>40</v>
      </c>
      <c r="J1354" s="34" t="s">
        <v>681</v>
      </c>
      <c r="K1354" s="34" t="s">
        <v>229</v>
      </c>
      <c r="L1354" s="34" t="s">
        <v>230</v>
      </c>
      <c r="M1354" s="34"/>
      <c r="N1354" s="34" t="str">
        <f aca="false">"Sector "&amp;VALUE(MID(D1354,13,2))</f>
        <v>Sector 8</v>
      </c>
      <c r="O1354" s="34" t="str">
        <f aca="false">IF(Dashboard!$C$5="Ubicación técnica",N1354,"Sector "&amp;VALUE(RIGHT(G1354,2)))</f>
        <v>Sector 8</v>
      </c>
      <c r="P1354" s="34" t="str">
        <f aca="false">IF(MID(D1354,15,3)="SEL","Subestación eléctrica","Área de proceso")</f>
        <v>Subestación eléctrica</v>
      </c>
      <c r="Q1354" s="34" t="str">
        <f aca="false">MID(D1354,13,5)&amp;"|"&amp;MID(D1354,19,5)</f>
        <v>08SEL|S_019</v>
      </c>
      <c r="R1354" s="34" t="str">
        <f aca="false">IF(P1354="Subestación eléctrica",IFERROR(INDEX(cat_SubN,MATCH(Q1354,cat_SubK,0)),"SIN CATALOGAR"),"ÁREA DE PROCESO")</f>
        <v>SE-19</v>
      </c>
      <c r="S1354" s="34" t="str">
        <f aca="false">IF(H1354="","SIN DATO",IFERROR(INDEX(cat_MarcaN,MATCH(H1354,cat_MarcaO,0)),H1354))</f>
        <v>ABB</v>
      </c>
      <c r="T1354" s="34" t="str">
        <f aca="false">IF(I1354="","SIN DATO",IFERROR(INDEX(cat_ModN,MATCH(I1354,cat_ModO,0)),I1354))</f>
        <v>REA 101</v>
      </c>
      <c r="U1354" s="34" t="str">
        <f aca="false">IF(I1354="","",IFERROR(INDEX(cat_ModG,MATCH(I1354,cat_ModO,0)),"No"))</f>
        <v>No</v>
      </c>
      <c r="V1354" s="34" t="str">
        <f aca="false">IF(J1354="","SIN DATO",IFERROR(INDEX(cat_FunN,MATCH(J1354,cat_FunO,0)),J1354))</f>
        <v>Protección</v>
      </c>
      <c r="W1354" s="34" t="str">
        <f aca="false">IF(OR(S1354="SIN DATO",T1354="SIN DATO"),"No","Sí")</f>
        <v>Sí</v>
      </c>
    </row>
    <row r="1355" customFormat="false" ht="15" hidden="false" customHeight="false" outlineLevel="0" collapsed="false">
      <c r="A1355" s="34" t="s">
        <v>5034</v>
      </c>
      <c r="B1355" s="34" t="s">
        <v>5035</v>
      </c>
      <c r="C1355" s="34" t="s">
        <v>5036</v>
      </c>
      <c r="D1355" s="34" t="s">
        <v>2162</v>
      </c>
      <c r="E1355" s="34" t="s">
        <v>138</v>
      </c>
      <c r="F1355" s="34" t="s">
        <v>1602</v>
      </c>
      <c r="G1355" s="34" t="s">
        <v>227</v>
      </c>
      <c r="H1355" s="34"/>
      <c r="I1355" s="34"/>
      <c r="J1355" s="34"/>
      <c r="K1355" s="34"/>
      <c r="L1355" s="34"/>
      <c r="M1355" s="34"/>
      <c r="N1355" s="34" t="str">
        <f aca="false">"Sector "&amp;VALUE(MID(D1355,13,2))</f>
        <v>Sector 6</v>
      </c>
      <c r="O1355" s="34" t="str">
        <f aca="false">IF(Dashboard!$C$5="Ubicación técnica",N1355,"Sector "&amp;VALUE(RIGHT(G1355,2)))</f>
        <v>Sector 6</v>
      </c>
      <c r="P1355" s="34" t="str">
        <f aca="false">IF(MID(D1355,15,3)="SEL","Subestación eléctrica","Área de proceso")</f>
        <v>Subestación eléctrica</v>
      </c>
      <c r="Q1355" s="34" t="str">
        <f aca="false">MID(D1355,13,5)&amp;"|"&amp;MID(D1355,19,5)</f>
        <v>06SEL|S_002</v>
      </c>
      <c r="R1355" s="34" t="str">
        <f aca="false">IF(P1355="Subestación eléctrica",IFERROR(INDEX(cat_SubN,MATCH(Q1355,cat_SubK,0)),"SIN CATALOGAR"),"ÁREA DE PROCESO")</f>
        <v>SE-02</v>
      </c>
      <c r="S1355" s="34" t="str">
        <f aca="false">IF(H1355="","SIN DATO",IFERROR(INDEX(cat_MarcaN,MATCH(H1355,cat_MarcaO,0)),H1355))</f>
        <v>SIN DATO</v>
      </c>
      <c r="T1355" s="34" t="str">
        <f aca="false">IF(I1355="","SIN DATO",IFERROR(INDEX(cat_ModN,MATCH(I1355,cat_ModO,0)),I1355))</f>
        <v>SIN DATO</v>
      </c>
      <c r="U1355" s="34" t="str">
        <f aca="false">IF(I1355="","",IFERROR(INDEX(cat_ModG,MATCH(I1355,cat_ModO,0)),"No"))</f>
        <v/>
      </c>
      <c r="V1355" s="34" t="str">
        <f aca="false">IF(J1355="","SIN DATO",IFERROR(INDEX(cat_FunN,MATCH(J1355,cat_FunO,0)),J1355))</f>
        <v>SIN DATO</v>
      </c>
      <c r="W1355" s="34" t="str">
        <f aca="false">IF(OR(S1355="SIN DATO",T1355="SIN DATO"),"No","Sí")</f>
        <v>No</v>
      </c>
    </row>
    <row r="1356" customFormat="false" ht="15" hidden="false" customHeight="false" outlineLevel="0" collapsed="false">
      <c r="A1356" s="34" t="s">
        <v>5037</v>
      </c>
      <c r="B1356" s="34" t="s">
        <v>5038</v>
      </c>
      <c r="C1356" s="34" t="s">
        <v>5039</v>
      </c>
      <c r="D1356" s="34" t="s">
        <v>2166</v>
      </c>
      <c r="E1356" s="34" t="s">
        <v>138</v>
      </c>
      <c r="F1356" s="34" t="s">
        <v>1602</v>
      </c>
      <c r="G1356" s="34" t="s">
        <v>227</v>
      </c>
      <c r="H1356" s="34"/>
      <c r="I1356" s="34"/>
      <c r="J1356" s="34"/>
      <c r="K1356" s="34"/>
      <c r="L1356" s="34"/>
      <c r="M1356" s="34"/>
      <c r="N1356" s="34" t="str">
        <f aca="false">"Sector "&amp;VALUE(MID(D1356,13,2))</f>
        <v>Sector 6</v>
      </c>
      <c r="O1356" s="34" t="str">
        <f aca="false">IF(Dashboard!$C$5="Ubicación técnica",N1356,"Sector "&amp;VALUE(RIGHT(G1356,2)))</f>
        <v>Sector 6</v>
      </c>
      <c r="P1356" s="34" t="str">
        <f aca="false">IF(MID(D1356,15,3)="SEL","Subestación eléctrica","Área de proceso")</f>
        <v>Subestación eléctrica</v>
      </c>
      <c r="Q1356" s="34" t="str">
        <f aca="false">MID(D1356,13,5)&amp;"|"&amp;MID(D1356,19,5)</f>
        <v>06SEL|S_002</v>
      </c>
      <c r="R1356" s="34" t="str">
        <f aca="false">IF(P1356="Subestación eléctrica",IFERROR(INDEX(cat_SubN,MATCH(Q1356,cat_SubK,0)),"SIN CATALOGAR"),"ÁREA DE PROCESO")</f>
        <v>SE-02</v>
      </c>
      <c r="S1356" s="34" t="str">
        <f aca="false">IF(H1356="","SIN DATO",IFERROR(INDEX(cat_MarcaN,MATCH(H1356,cat_MarcaO,0)),H1356))</f>
        <v>SIN DATO</v>
      </c>
      <c r="T1356" s="34" t="str">
        <f aca="false">IF(I1356="","SIN DATO",IFERROR(INDEX(cat_ModN,MATCH(I1356,cat_ModO,0)),I1356))</f>
        <v>SIN DATO</v>
      </c>
      <c r="U1356" s="34" t="str">
        <f aca="false">IF(I1356="","",IFERROR(INDEX(cat_ModG,MATCH(I1356,cat_ModO,0)),"No"))</f>
        <v/>
      </c>
      <c r="V1356" s="34" t="str">
        <f aca="false">IF(J1356="","SIN DATO",IFERROR(INDEX(cat_FunN,MATCH(J1356,cat_FunO,0)),J1356))</f>
        <v>SIN DATO</v>
      </c>
      <c r="W1356" s="34" t="str">
        <f aca="false">IF(OR(S1356="SIN DATO",T1356="SIN DATO"),"No","Sí")</f>
        <v>No</v>
      </c>
    </row>
    <row r="1357" customFormat="false" ht="15" hidden="false" customHeight="false" outlineLevel="0" collapsed="false">
      <c r="A1357" s="34" t="s">
        <v>5040</v>
      </c>
      <c r="B1357" s="34" t="s">
        <v>5041</v>
      </c>
      <c r="C1357" s="34" t="s">
        <v>5042</v>
      </c>
      <c r="D1357" s="34" t="s">
        <v>2170</v>
      </c>
      <c r="E1357" s="34" t="s">
        <v>170</v>
      </c>
      <c r="F1357" s="34" t="s">
        <v>1602</v>
      </c>
      <c r="G1357" s="34" t="s">
        <v>227</v>
      </c>
      <c r="H1357" s="34" t="s">
        <v>34</v>
      </c>
      <c r="I1357" s="34" t="s">
        <v>40</v>
      </c>
      <c r="J1357" s="34" t="s">
        <v>2231</v>
      </c>
      <c r="K1357" s="34" t="s">
        <v>229</v>
      </c>
      <c r="L1357" s="34" t="s">
        <v>230</v>
      </c>
      <c r="M1357" s="34"/>
      <c r="N1357" s="34" t="str">
        <f aca="false">"Sector "&amp;VALUE(MID(D1357,13,2))</f>
        <v>Sector 8</v>
      </c>
      <c r="O1357" s="34" t="str">
        <f aca="false">IF(Dashboard!$C$5="Ubicación técnica",N1357,"Sector "&amp;VALUE(RIGHT(G1357,2)))</f>
        <v>Sector 8</v>
      </c>
      <c r="P1357" s="34" t="str">
        <f aca="false">IF(MID(D1357,15,3)="SEL","Subestación eléctrica","Área de proceso")</f>
        <v>Subestación eléctrica</v>
      </c>
      <c r="Q1357" s="34" t="str">
        <f aca="false">MID(D1357,13,5)&amp;"|"&amp;MID(D1357,19,5)</f>
        <v>08SEL|S_016</v>
      </c>
      <c r="R1357" s="34" t="str">
        <f aca="false">IF(P1357="Subestación eléctrica",IFERROR(INDEX(cat_SubN,MATCH(Q1357,cat_SubK,0)),"SIN CATALOGAR"),"ÁREA DE PROCESO")</f>
        <v>SE-16</v>
      </c>
      <c r="S1357" s="34" t="str">
        <f aca="false">IF(H1357="","SIN DATO",IFERROR(INDEX(cat_MarcaN,MATCH(H1357,cat_MarcaO,0)),H1357))</f>
        <v>ABB</v>
      </c>
      <c r="T1357" s="34" t="str">
        <f aca="false">IF(I1357="","SIN DATO",IFERROR(INDEX(cat_ModN,MATCH(I1357,cat_ModO,0)),I1357))</f>
        <v>REA 101</v>
      </c>
      <c r="U1357" s="34" t="str">
        <f aca="false">IF(I1357="","",IFERROR(INDEX(cat_ModG,MATCH(I1357,cat_ModO,0)),"No"))</f>
        <v>No</v>
      </c>
      <c r="V1357" s="34" t="str">
        <f aca="false">IF(J1357="","SIN DATO",IFERROR(INDEX(cat_FunN,MATCH(J1357,cat_FunO,0)),J1357))</f>
        <v>Protección</v>
      </c>
      <c r="W1357" s="34" t="str">
        <f aca="false">IF(OR(S1357="SIN DATO",T1357="SIN DATO"),"No","Sí")</f>
        <v>Sí</v>
      </c>
    </row>
    <row r="1358" customFormat="false" ht="15" hidden="false" customHeight="false" outlineLevel="0" collapsed="false">
      <c r="A1358" s="34" t="s">
        <v>5043</v>
      </c>
      <c r="B1358" s="34" t="s">
        <v>5044</v>
      </c>
      <c r="C1358" s="34" t="s">
        <v>5045</v>
      </c>
      <c r="D1358" s="34" t="s">
        <v>2175</v>
      </c>
      <c r="E1358" s="34" t="s">
        <v>170</v>
      </c>
      <c r="F1358" s="34" t="s">
        <v>1602</v>
      </c>
      <c r="G1358" s="34" t="s">
        <v>227</v>
      </c>
      <c r="H1358" s="34" t="s">
        <v>34</v>
      </c>
      <c r="I1358" s="34" t="s">
        <v>40</v>
      </c>
      <c r="J1358" s="34" t="s">
        <v>2231</v>
      </c>
      <c r="K1358" s="34" t="s">
        <v>229</v>
      </c>
      <c r="L1358" s="34" t="s">
        <v>230</v>
      </c>
      <c r="M1358" s="34"/>
      <c r="N1358" s="34" t="str">
        <f aca="false">"Sector "&amp;VALUE(MID(D1358,13,2))</f>
        <v>Sector 8</v>
      </c>
      <c r="O1358" s="34" t="str">
        <f aca="false">IF(Dashboard!$C$5="Ubicación técnica",N1358,"Sector "&amp;VALUE(RIGHT(G1358,2)))</f>
        <v>Sector 8</v>
      </c>
      <c r="P1358" s="34" t="str">
        <f aca="false">IF(MID(D1358,15,3)="SEL","Subestación eléctrica","Área de proceso")</f>
        <v>Subestación eléctrica</v>
      </c>
      <c r="Q1358" s="34" t="str">
        <f aca="false">MID(D1358,13,5)&amp;"|"&amp;MID(D1358,19,5)</f>
        <v>08SEL|S_016</v>
      </c>
      <c r="R1358" s="34" t="str">
        <f aca="false">IF(P1358="Subestación eléctrica",IFERROR(INDEX(cat_SubN,MATCH(Q1358,cat_SubK,0)),"SIN CATALOGAR"),"ÁREA DE PROCESO")</f>
        <v>SE-16</v>
      </c>
      <c r="S1358" s="34" t="str">
        <f aca="false">IF(H1358="","SIN DATO",IFERROR(INDEX(cat_MarcaN,MATCH(H1358,cat_MarcaO,0)),H1358))</f>
        <v>ABB</v>
      </c>
      <c r="T1358" s="34" t="str">
        <f aca="false">IF(I1358="","SIN DATO",IFERROR(INDEX(cat_ModN,MATCH(I1358,cat_ModO,0)),I1358))</f>
        <v>REA 101</v>
      </c>
      <c r="U1358" s="34" t="str">
        <f aca="false">IF(I1358="","",IFERROR(INDEX(cat_ModG,MATCH(I1358,cat_ModO,0)),"No"))</f>
        <v>No</v>
      </c>
      <c r="V1358" s="34" t="str">
        <f aca="false">IF(J1358="","SIN DATO",IFERROR(INDEX(cat_FunN,MATCH(J1358,cat_FunO,0)),J1358))</f>
        <v>Protección</v>
      </c>
      <c r="W1358" s="34" t="str">
        <f aca="false">IF(OR(S1358="SIN DATO",T1358="SIN DATO"),"No","Sí")</f>
        <v>Sí</v>
      </c>
    </row>
    <row r="1359" customFormat="false" ht="15" hidden="false" customHeight="false" outlineLevel="0" collapsed="false">
      <c r="A1359" s="34" t="s">
        <v>5046</v>
      </c>
      <c r="B1359" s="34" t="s">
        <v>5047</v>
      </c>
      <c r="C1359" s="34" t="s">
        <v>5048</v>
      </c>
      <c r="D1359" s="34" t="s">
        <v>2179</v>
      </c>
      <c r="E1359" s="34" t="s">
        <v>178</v>
      </c>
      <c r="F1359" s="34" t="s">
        <v>1602</v>
      </c>
      <c r="G1359" s="34" t="s">
        <v>227</v>
      </c>
      <c r="H1359" s="34" t="s">
        <v>34</v>
      </c>
      <c r="I1359" s="34" t="s">
        <v>40</v>
      </c>
      <c r="J1359" s="34" t="s">
        <v>681</v>
      </c>
      <c r="K1359" s="34" t="s">
        <v>229</v>
      </c>
      <c r="L1359" s="34" t="s">
        <v>230</v>
      </c>
      <c r="M1359" s="34"/>
      <c r="N1359" s="34" t="str">
        <f aca="false">"Sector "&amp;VALUE(MID(D1359,13,2))</f>
        <v>Sector 8</v>
      </c>
      <c r="O1359" s="34" t="str">
        <f aca="false">IF(Dashboard!$C$5="Ubicación técnica",N1359,"Sector "&amp;VALUE(RIGHT(G1359,2)))</f>
        <v>Sector 8</v>
      </c>
      <c r="P1359" s="34" t="str">
        <f aca="false">IF(MID(D1359,15,3)="SEL","Subestación eléctrica","Área de proceso")</f>
        <v>Subestación eléctrica</v>
      </c>
      <c r="Q1359" s="34" t="str">
        <f aca="false">MID(D1359,13,5)&amp;"|"&amp;MID(D1359,19,5)</f>
        <v>08SEL|S_019</v>
      </c>
      <c r="R1359" s="34" t="str">
        <f aca="false">IF(P1359="Subestación eléctrica",IFERROR(INDEX(cat_SubN,MATCH(Q1359,cat_SubK,0)),"SIN CATALOGAR"),"ÁREA DE PROCESO")</f>
        <v>SE-19</v>
      </c>
      <c r="S1359" s="34" t="str">
        <f aca="false">IF(H1359="","SIN DATO",IFERROR(INDEX(cat_MarcaN,MATCH(H1359,cat_MarcaO,0)),H1359))</f>
        <v>ABB</v>
      </c>
      <c r="T1359" s="34" t="str">
        <f aca="false">IF(I1359="","SIN DATO",IFERROR(INDEX(cat_ModN,MATCH(I1359,cat_ModO,0)),I1359))</f>
        <v>REA 101</v>
      </c>
      <c r="U1359" s="34" t="str">
        <f aca="false">IF(I1359="","",IFERROR(INDEX(cat_ModG,MATCH(I1359,cat_ModO,0)),"No"))</f>
        <v>No</v>
      </c>
      <c r="V1359" s="34" t="str">
        <f aca="false">IF(J1359="","SIN DATO",IFERROR(INDEX(cat_FunN,MATCH(J1359,cat_FunO,0)),J1359))</f>
        <v>Protección</v>
      </c>
      <c r="W1359" s="34" t="str">
        <f aca="false">IF(OR(S1359="SIN DATO",T1359="SIN DATO"),"No","Sí")</f>
        <v>Sí</v>
      </c>
    </row>
    <row r="1360" customFormat="false" ht="15" hidden="false" customHeight="false" outlineLevel="0" collapsed="false">
      <c r="A1360" s="34" t="s">
        <v>5049</v>
      </c>
      <c r="B1360" s="34" t="s">
        <v>5050</v>
      </c>
      <c r="C1360" s="34" t="s">
        <v>5051</v>
      </c>
      <c r="D1360" s="34" t="s">
        <v>2183</v>
      </c>
      <c r="E1360" s="34" t="s">
        <v>178</v>
      </c>
      <c r="F1360" s="34" t="s">
        <v>1602</v>
      </c>
      <c r="G1360" s="34" t="s">
        <v>227</v>
      </c>
      <c r="H1360" s="34" t="s">
        <v>34</v>
      </c>
      <c r="I1360" s="34" t="s">
        <v>40</v>
      </c>
      <c r="J1360" s="34" t="s">
        <v>2231</v>
      </c>
      <c r="K1360" s="34" t="s">
        <v>229</v>
      </c>
      <c r="L1360" s="34" t="s">
        <v>230</v>
      </c>
      <c r="M1360" s="34"/>
      <c r="N1360" s="34" t="str">
        <f aca="false">"Sector "&amp;VALUE(MID(D1360,13,2))</f>
        <v>Sector 8</v>
      </c>
      <c r="O1360" s="34" t="str">
        <f aca="false">IF(Dashboard!$C$5="Ubicación técnica",N1360,"Sector "&amp;VALUE(RIGHT(G1360,2)))</f>
        <v>Sector 8</v>
      </c>
      <c r="P1360" s="34" t="str">
        <f aca="false">IF(MID(D1360,15,3)="SEL","Subestación eléctrica","Área de proceso")</f>
        <v>Subestación eléctrica</v>
      </c>
      <c r="Q1360" s="34" t="str">
        <f aca="false">MID(D1360,13,5)&amp;"|"&amp;MID(D1360,19,5)</f>
        <v>08SEL|S_019</v>
      </c>
      <c r="R1360" s="34" t="str">
        <f aca="false">IF(P1360="Subestación eléctrica",IFERROR(INDEX(cat_SubN,MATCH(Q1360,cat_SubK,0)),"SIN CATALOGAR"),"ÁREA DE PROCESO")</f>
        <v>SE-19</v>
      </c>
      <c r="S1360" s="34" t="str">
        <f aca="false">IF(H1360="","SIN DATO",IFERROR(INDEX(cat_MarcaN,MATCH(H1360,cat_MarcaO,0)),H1360))</f>
        <v>ABB</v>
      </c>
      <c r="T1360" s="34" t="str">
        <f aca="false">IF(I1360="","SIN DATO",IFERROR(INDEX(cat_ModN,MATCH(I1360,cat_ModO,0)),I1360))</f>
        <v>REA 101</v>
      </c>
      <c r="U1360" s="34" t="str">
        <f aca="false">IF(I1360="","",IFERROR(INDEX(cat_ModG,MATCH(I1360,cat_ModO,0)),"No"))</f>
        <v>No</v>
      </c>
      <c r="V1360" s="34" t="str">
        <f aca="false">IF(J1360="","SIN DATO",IFERROR(INDEX(cat_FunN,MATCH(J1360,cat_FunO,0)),J1360))</f>
        <v>Protección</v>
      </c>
      <c r="W1360" s="34" t="str">
        <f aca="false">IF(OR(S1360="SIN DATO",T1360="SIN DATO"),"No","Sí")</f>
        <v>Sí</v>
      </c>
    </row>
    <row r="1361" customFormat="false" ht="15" hidden="false" customHeight="false" outlineLevel="0" collapsed="false">
      <c r="A1361" s="34" t="s">
        <v>5052</v>
      </c>
      <c r="B1361" s="34" t="s">
        <v>5053</v>
      </c>
      <c r="C1361" s="34" t="s">
        <v>5054</v>
      </c>
      <c r="D1361" s="34" t="s">
        <v>2337</v>
      </c>
      <c r="E1361" s="34" t="s">
        <v>184</v>
      </c>
      <c r="F1361" s="34" t="s">
        <v>1602</v>
      </c>
      <c r="G1361" s="34" t="s">
        <v>227</v>
      </c>
      <c r="H1361" s="34" t="s">
        <v>34</v>
      </c>
      <c r="I1361" s="34" t="s">
        <v>50</v>
      </c>
      <c r="J1361" s="34" t="s">
        <v>228</v>
      </c>
      <c r="K1361" s="34" t="s">
        <v>229</v>
      </c>
      <c r="L1361" s="34" t="s">
        <v>230</v>
      </c>
      <c r="M1361" s="34" t="s">
        <v>1663</v>
      </c>
      <c r="N1361" s="34" t="str">
        <f aca="false">"Sector "&amp;VALUE(MID(D1361,13,2))</f>
        <v>Sector 8</v>
      </c>
      <c r="O1361" s="34" t="str">
        <f aca="false">IF(Dashboard!$C$5="Ubicación técnica",N1361,"Sector "&amp;VALUE(RIGHT(G1361,2)))</f>
        <v>Sector 8</v>
      </c>
      <c r="P1361" s="34" t="str">
        <f aca="false">IF(MID(D1361,15,3)="SEL","Subestación eléctrica","Área de proceso")</f>
        <v>Subestación eléctrica</v>
      </c>
      <c r="Q1361" s="34" t="str">
        <f aca="false">MID(D1361,13,5)&amp;"|"&amp;MID(D1361,19,5)</f>
        <v>08SEL|SEP02</v>
      </c>
      <c r="R1361" s="34" t="str">
        <f aca="false">IF(P1361="Subestación eléctrica",IFERROR(INDEX(cat_SubN,MATCH(Q1361,cat_SubK,0)),"SIN CATALOGAR"),"ÁREA DE PROCESO")</f>
        <v>SEP-02</v>
      </c>
      <c r="S1361" s="34" t="str">
        <f aca="false">IF(H1361="","SIN DATO",IFERROR(INDEX(cat_MarcaN,MATCH(H1361,cat_MarcaO,0)),H1361))</f>
        <v>ABB</v>
      </c>
      <c r="T1361" s="34" t="str">
        <f aca="false">IF(I1361="","SIN DATO",IFERROR(INDEX(cat_ModN,MATCH(I1361,cat_ModO,0)),I1361))</f>
        <v>REB670</v>
      </c>
      <c r="U1361" s="34" t="str">
        <f aca="false">IF(I1361="","",IFERROR(INDEX(cat_ModG,MATCH(I1361,cat_ModO,0)),"No"))</f>
        <v>No</v>
      </c>
      <c r="V1361" s="34" t="str">
        <f aca="false">IF(J1361="","SIN DATO",IFERROR(INDEX(cat_FunN,MATCH(J1361,cat_FunO,0)),J1361))</f>
        <v>Protección y medición</v>
      </c>
      <c r="W1361" s="34" t="str">
        <f aca="false">IF(OR(S1361="SIN DATO",T1361="SIN DATO"),"No","Sí")</f>
        <v>Sí</v>
      </c>
    </row>
    <row r="1362" customFormat="false" ht="15" hidden="false" customHeight="false" outlineLevel="0" collapsed="false">
      <c r="A1362" s="34" t="s">
        <v>5055</v>
      </c>
      <c r="B1362" s="34" t="s">
        <v>5056</v>
      </c>
      <c r="C1362" s="34" t="s">
        <v>5057</v>
      </c>
      <c r="D1362" s="34" t="s">
        <v>2337</v>
      </c>
      <c r="E1362" s="34" t="s">
        <v>184</v>
      </c>
      <c r="F1362" s="34" t="s">
        <v>1602</v>
      </c>
      <c r="G1362" s="34" t="s">
        <v>227</v>
      </c>
      <c r="H1362" s="34" t="s">
        <v>34</v>
      </c>
      <c r="I1362" s="34" t="s">
        <v>50</v>
      </c>
      <c r="J1362" s="34" t="s">
        <v>228</v>
      </c>
      <c r="K1362" s="34" t="s">
        <v>229</v>
      </c>
      <c r="L1362" s="34" t="s">
        <v>230</v>
      </c>
      <c r="M1362" s="34" t="s">
        <v>1663</v>
      </c>
      <c r="N1362" s="34" t="str">
        <f aca="false">"Sector "&amp;VALUE(MID(D1362,13,2))</f>
        <v>Sector 8</v>
      </c>
      <c r="O1362" s="34" t="str">
        <f aca="false">IF(Dashboard!$C$5="Ubicación técnica",N1362,"Sector "&amp;VALUE(RIGHT(G1362,2)))</f>
        <v>Sector 8</v>
      </c>
      <c r="P1362" s="34" t="str">
        <f aca="false">IF(MID(D1362,15,3)="SEL","Subestación eléctrica","Área de proceso")</f>
        <v>Subestación eléctrica</v>
      </c>
      <c r="Q1362" s="34" t="str">
        <f aca="false">MID(D1362,13,5)&amp;"|"&amp;MID(D1362,19,5)</f>
        <v>08SEL|SEP02</v>
      </c>
      <c r="R1362" s="34" t="str">
        <f aca="false">IF(P1362="Subestación eléctrica",IFERROR(INDEX(cat_SubN,MATCH(Q1362,cat_SubK,0)),"SIN CATALOGAR"),"ÁREA DE PROCESO")</f>
        <v>SEP-02</v>
      </c>
      <c r="S1362" s="34" t="str">
        <f aca="false">IF(H1362="","SIN DATO",IFERROR(INDEX(cat_MarcaN,MATCH(H1362,cat_MarcaO,0)),H1362))</f>
        <v>ABB</v>
      </c>
      <c r="T1362" s="34" t="str">
        <f aca="false">IF(I1362="","SIN DATO",IFERROR(INDEX(cat_ModN,MATCH(I1362,cat_ModO,0)),I1362))</f>
        <v>REB670</v>
      </c>
      <c r="U1362" s="34" t="str">
        <f aca="false">IF(I1362="","",IFERROR(INDEX(cat_ModG,MATCH(I1362,cat_ModO,0)),"No"))</f>
        <v>No</v>
      </c>
      <c r="V1362" s="34" t="str">
        <f aca="false">IF(J1362="","SIN DATO",IFERROR(INDEX(cat_FunN,MATCH(J1362,cat_FunO,0)),J1362))</f>
        <v>Protección y medición</v>
      </c>
      <c r="W1362" s="34" t="str">
        <f aca="false">IF(OR(S1362="SIN DATO",T1362="SIN DATO"),"No","Sí")</f>
        <v>Sí</v>
      </c>
    </row>
    <row r="1363" customFormat="false" ht="15" hidden="false" customHeight="false" outlineLevel="0" collapsed="false">
      <c r="A1363" s="34" t="s">
        <v>5058</v>
      </c>
      <c r="B1363" s="34" t="s">
        <v>5059</v>
      </c>
      <c r="C1363" s="34" t="s">
        <v>5060</v>
      </c>
      <c r="D1363" s="34" t="s">
        <v>2293</v>
      </c>
      <c r="E1363" s="34" t="s">
        <v>184</v>
      </c>
      <c r="F1363" s="34" t="s">
        <v>1602</v>
      </c>
      <c r="G1363" s="34" t="s">
        <v>227</v>
      </c>
      <c r="H1363" s="34" t="s">
        <v>34</v>
      </c>
      <c r="I1363" s="34" t="s">
        <v>50</v>
      </c>
      <c r="J1363" s="34" t="s">
        <v>228</v>
      </c>
      <c r="K1363" s="34" t="s">
        <v>229</v>
      </c>
      <c r="L1363" s="34" t="s">
        <v>230</v>
      </c>
      <c r="M1363" s="34" t="s">
        <v>1663</v>
      </c>
      <c r="N1363" s="34" t="str">
        <f aca="false">"Sector "&amp;VALUE(MID(D1363,13,2))</f>
        <v>Sector 8</v>
      </c>
      <c r="O1363" s="34" t="str">
        <f aca="false">IF(Dashboard!$C$5="Ubicación técnica",N1363,"Sector "&amp;VALUE(RIGHT(G1363,2)))</f>
        <v>Sector 8</v>
      </c>
      <c r="P1363" s="34" t="str">
        <f aca="false">IF(MID(D1363,15,3)="SEL","Subestación eléctrica","Área de proceso")</f>
        <v>Subestación eléctrica</v>
      </c>
      <c r="Q1363" s="34" t="str">
        <f aca="false">MID(D1363,13,5)&amp;"|"&amp;MID(D1363,19,5)</f>
        <v>08SEL|SEP02</v>
      </c>
      <c r="R1363" s="34" t="str">
        <f aca="false">IF(P1363="Subestación eléctrica",IFERROR(INDEX(cat_SubN,MATCH(Q1363,cat_SubK,0)),"SIN CATALOGAR"),"ÁREA DE PROCESO")</f>
        <v>SEP-02</v>
      </c>
      <c r="S1363" s="34" t="str">
        <f aca="false">IF(H1363="","SIN DATO",IFERROR(INDEX(cat_MarcaN,MATCH(H1363,cat_MarcaO,0)),H1363))</f>
        <v>ABB</v>
      </c>
      <c r="T1363" s="34" t="str">
        <f aca="false">IF(I1363="","SIN DATO",IFERROR(INDEX(cat_ModN,MATCH(I1363,cat_ModO,0)),I1363))</f>
        <v>REB670</v>
      </c>
      <c r="U1363" s="34" t="str">
        <f aca="false">IF(I1363="","",IFERROR(INDEX(cat_ModG,MATCH(I1363,cat_ModO,0)),"No"))</f>
        <v>No</v>
      </c>
      <c r="V1363" s="34" t="str">
        <f aca="false">IF(J1363="","SIN DATO",IFERROR(INDEX(cat_FunN,MATCH(J1363,cat_FunO,0)),J1363))</f>
        <v>Protección y medición</v>
      </c>
      <c r="W1363" s="34" t="str">
        <f aca="false">IF(OR(S1363="SIN DATO",T1363="SIN DATO"),"No","Sí")</f>
        <v>Sí</v>
      </c>
    </row>
    <row r="1364" customFormat="false" ht="15" hidden="false" customHeight="false" outlineLevel="0" collapsed="false">
      <c r="A1364" s="34" t="s">
        <v>5061</v>
      </c>
      <c r="B1364" s="34" t="s">
        <v>5062</v>
      </c>
      <c r="C1364" s="34" t="s">
        <v>5063</v>
      </c>
      <c r="D1364" s="34" t="s">
        <v>2293</v>
      </c>
      <c r="E1364" s="34" t="s">
        <v>184</v>
      </c>
      <c r="F1364" s="34" t="s">
        <v>1602</v>
      </c>
      <c r="G1364" s="34" t="s">
        <v>227</v>
      </c>
      <c r="H1364" s="34" t="s">
        <v>34</v>
      </c>
      <c r="I1364" s="34" t="s">
        <v>50</v>
      </c>
      <c r="J1364" s="34" t="s">
        <v>228</v>
      </c>
      <c r="K1364" s="34" t="s">
        <v>229</v>
      </c>
      <c r="L1364" s="34" t="s">
        <v>230</v>
      </c>
      <c r="M1364" s="34" t="s">
        <v>1663</v>
      </c>
      <c r="N1364" s="34" t="str">
        <f aca="false">"Sector "&amp;VALUE(MID(D1364,13,2))</f>
        <v>Sector 8</v>
      </c>
      <c r="O1364" s="34" t="str">
        <f aca="false">IF(Dashboard!$C$5="Ubicación técnica",N1364,"Sector "&amp;VALUE(RIGHT(G1364,2)))</f>
        <v>Sector 8</v>
      </c>
      <c r="P1364" s="34" t="str">
        <f aca="false">IF(MID(D1364,15,3)="SEL","Subestación eléctrica","Área de proceso")</f>
        <v>Subestación eléctrica</v>
      </c>
      <c r="Q1364" s="34" t="str">
        <f aca="false">MID(D1364,13,5)&amp;"|"&amp;MID(D1364,19,5)</f>
        <v>08SEL|SEP02</v>
      </c>
      <c r="R1364" s="34" t="str">
        <f aca="false">IF(P1364="Subestación eléctrica",IFERROR(INDEX(cat_SubN,MATCH(Q1364,cat_SubK,0)),"SIN CATALOGAR"),"ÁREA DE PROCESO")</f>
        <v>SEP-02</v>
      </c>
      <c r="S1364" s="34" t="str">
        <f aca="false">IF(H1364="","SIN DATO",IFERROR(INDEX(cat_MarcaN,MATCH(H1364,cat_MarcaO,0)),H1364))</f>
        <v>ABB</v>
      </c>
      <c r="T1364" s="34" t="str">
        <f aca="false">IF(I1364="","SIN DATO",IFERROR(INDEX(cat_ModN,MATCH(I1364,cat_ModO,0)),I1364))</f>
        <v>REB670</v>
      </c>
      <c r="U1364" s="34" t="str">
        <f aca="false">IF(I1364="","",IFERROR(INDEX(cat_ModG,MATCH(I1364,cat_ModO,0)),"No"))</f>
        <v>No</v>
      </c>
      <c r="V1364" s="34" t="str">
        <f aca="false">IF(J1364="","SIN DATO",IFERROR(INDEX(cat_FunN,MATCH(J1364,cat_FunO,0)),J1364))</f>
        <v>Protección y medición</v>
      </c>
      <c r="W1364" s="34" t="str">
        <f aca="false">IF(OR(S1364="SIN DATO",T1364="SIN DATO"),"No","Sí")</f>
        <v>Sí</v>
      </c>
    </row>
    <row r="1365" customFormat="false" ht="15" hidden="false" customHeight="false" outlineLevel="0" collapsed="false">
      <c r="A1365" s="34" t="s">
        <v>5064</v>
      </c>
      <c r="B1365" s="34" t="s">
        <v>5065</v>
      </c>
      <c r="C1365" s="34" t="s">
        <v>5066</v>
      </c>
      <c r="D1365" s="34" t="s">
        <v>2344</v>
      </c>
      <c r="E1365" s="34" t="s">
        <v>184</v>
      </c>
      <c r="F1365" s="34" t="s">
        <v>1602</v>
      </c>
      <c r="G1365" s="34" t="s">
        <v>227</v>
      </c>
      <c r="H1365" s="34" t="s">
        <v>34</v>
      </c>
      <c r="I1365" s="34" t="s">
        <v>50</v>
      </c>
      <c r="J1365" s="34" t="s">
        <v>228</v>
      </c>
      <c r="K1365" s="34" t="s">
        <v>229</v>
      </c>
      <c r="L1365" s="34" t="s">
        <v>230</v>
      </c>
      <c r="M1365" s="34" t="s">
        <v>1663</v>
      </c>
      <c r="N1365" s="34" t="str">
        <f aca="false">"Sector "&amp;VALUE(MID(D1365,13,2))</f>
        <v>Sector 8</v>
      </c>
      <c r="O1365" s="34" t="str">
        <f aca="false">IF(Dashboard!$C$5="Ubicación técnica",N1365,"Sector "&amp;VALUE(RIGHT(G1365,2)))</f>
        <v>Sector 8</v>
      </c>
      <c r="P1365" s="34" t="str">
        <f aca="false">IF(MID(D1365,15,3)="SEL","Subestación eléctrica","Área de proceso")</f>
        <v>Subestación eléctrica</v>
      </c>
      <c r="Q1365" s="34" t="str">
        <f aca="false">MID(D1365,13,5)&amp;"|"&amp;MID(D1365,19,5)</f>
        <v>08SEL|SEP02</v>
      </c>
      <c r="R1365" s="34" t="str">
        <f aca="false">IF(P1365="Subestación eléctrica",IFERROR(INDEX(cat_SubN,MATCH(Q1365,cat_SubK,0)),"SIN CATALOGAR"),"ÁREA DE PROCESO")</f>
        <v>SEP-02</v>
      </c>
      <c r="S1365" s="34" t="str">
        <f aca="false">IF(H1365="","SIN DATO",IFERROR(INDEX(cat_MarcaN,MATCH(H1365,cat_MarcaO,0)),H1365))</f>
        <v>ABB</v>
      </c>
      <c r="T1365" s="34" t="str">
        <f aca="false">IF(I1365="","SIN DATO",IFERROR(INDEX(cat_ModN,MATCH(I1365,cat_ModO,0)),I1365))</f>
        <v>REB670</v>
      </c>
      <c r="U1365" s="34" t="str">
        <f aca="false">IF(I1365="","",IFERROR(INDEX(cat_ModG,MATCH(I1365,cat_ModO,0)),"No"))</f>
        <v>No</v>
      </c>
      <c r="V1365" s="34" t="str">
        <f aca="false">IF(J1365="","SIN DATO",IFERROR(INDEX(cat_FunN,MATCH(J1365,cat_FunO,0)),J1365))</f>
        <v>Protección y medición</v>
      </c>
      <c r="W1365" s="34" t="str">
        <f aca="false">IF(OR(S1365="SIN DATO",T1365="SIN DATO"),"No","Sí")</f>
        <v>Sí</v>
      </c>
    </row>
    <row r="1366" customFormat="false" ht="15" hidden="false" customHeight="false" outlineLevel="0" collapsed="false">
      <c r="A1366" s="34" t="s">
        <v>5067</v>
      </c>
      <c r="B1366" s="34" t="s">
        <v>5068</v>
      </c>
      <c r="C1366" s="34" t="s">
        <v>5069</v>
      </c>
      <c r="D1366" s="34" t="s">
        <v>2344</v>
      </c>
      <c r="E1366" s="34" t="s">
        <v>184</v>
      </c>
      <c r="F1366" s="34" t="s">
        <v>1602</v>
      </c>
      <c r="G1366" s="34" t="s">
        <v>227</v>
      </c>
      <c r="H1366" s="34" t="s">
        <v>34</v>
      </c>
      <c r="I1366" s="34" t="s">
        <v>50</v>
      </c>
      <c r="J1366" s="34" t="s">
        <v>228</v>
      </c>
      <c r="K1366" s="34" t="s">
        <v>229</v>
      </c>
      <c r="L1366" s="34" t="s">
        <v>230</v>
      </c>
      <c r="M1366" s="34" t="s">
        <v>1663</v>
      </c>
      <c r="N1366" s="34" t="str">
        <f aca="false">"Sector "&amp;VALUE(MID(D1366,13,2))</f>
        <v>Sector 8</v>
      </c>
      <c r="O1366" s="34" t="str">
        <f aca="false">IF(Dashboard!$C$5="Ubicación técnica",N1366,"Sector "&amp;VALUE(RIGHT(G1366,2)))</f>
        <v>Sector 8</v>
      </c>
      <c r="P1366" s="34" t="str">
        <f aca="false">IF(MID(D1366,15,3)="SEL","Subestación eléctrica","Área de proceso")</f>
        <v>Subestación eléctrica</v>
      </c>
      <c r="Q1366" s="34" t="str">
        <f aca="false">MID(D1366,13,5)&amp;"|"&amp;MID(D1366,19,5)</f>
        <v>08SEL|SEP02</v>
      </c>
      <c r="R1366" s="34" t="str">
        <f aca="false">IF(P1366="Subestación eléctrica",IFERROR(INDEX(cat_SubN,MATCH(Q1366,cat_SubK,0)),"SIN CATALOGAR"),"ÁREA DE PROCESO")</f>
        <v>SEP-02</v>
      </c>
      <c r="S1366" s="34" t="str">
        <f aca="false">IF(H1366="","SIN DATO",IFERROR(INDEX(cat_MarcaN,MATCH(H1366,cat_MarcaO,0)),H1366))</f>
        <v>ABB</v>
      </c>
      <c r="T1366" s="34" t="str">
        <f aca="false">IF(I1366="","SIN DATO",IFERROR(INDEX(cat_ModN,MATCH(I1366,cat_ModO,0)),I1366))</f>
        <v>REB670</v>
      </c>
      <c r="U1366" s="34" t="str">
        <f aca="false">IF(I1366="","",IFERROR(INDEX(cat_ModG,MATCH(I1366,cat_ModO,0)),"No"))</f>
        <v>No</v>
      </c>
      <c r="V1366" s="34" t="str">
        <f aca="false">IF(J1366="","SIN DATO",IFERROR(INDEX(cat_FunN,MATCH(J1366,cat_FunO,0)),J1366))</f>
        <v>Protección y medición</v>
      </c>
      <c r="W1366" s="34" t="str">
        <f aca="false">IF(OR(S1366="SIN DATO",T1366="SIN DATO"),"No","Sí")</f>
        <v>Sí</v>
      </c>
    </row>
    <row r="1367" customFormat="false" ht="15" hidden="false" customHeight="false" outlineLevel="0" collapsed="false">
      <c r="A1367" s="34" t="s">
        <v>5070</v>
      </c>
      <c r="B1367" s="34" t="s">
        <v>5071</v>
      </c>
      <c r="C1367" s="34" t="s">
        <v>5072</v>
      </c>
      <c r="D1367" s="34" t="s">
        <v>2145</v>
      </c>
      <c r="E1367" s="34" t="s">
        <v>184</v>
      </c>
      <c r="F1367" s="34" t="s">
        <v>1602</v>
      </c>
      <c r="G1367" s="34" t="s">
        <v>227</v>
      </c>
      <c r="H1367" s="34" t="s">
        <v>34</v>
      </c>
      <c r="I1367" s="34" t="s">
        <v>50</v>
      </c>
      <c r="J1367" s="34" t="s">
        <v>228</v>
      </c>
      <c r="K1367" s="34" t="s">
        <v>229</v>
      </c>
      <c r="L1367" s="34" t="s">
        <v>230</v>
      </c>
      <c r="M1367" s="34" t="s">
        <v>1663</v>
      </c>
      <c r="N1367" s="34" t="str">
        <f aca="false">"Sector "&amp;VALUE(MID(D1367,13,2))</f>
        <v>Sector 8</v>
      </c>
      <c r="O1367" s="34" t="str">
        <f aca="false">IF(Dashboard!$C$5="Ubicación técnica",N1367,"Sector "&amp;VALUE(RIGHT(G1367,2)))</f>
        <v>Sector 8</v>
      </c>
      <c r="P1367" s="34" t="str">
        <f aca="false">IF(MID(D1367,15,3)="SEL","Subestación eléctrica","Área de proceso")</f>
        <v>Subestación eléctrica</v>
      </c>
      <c r="Q1367" s="34" t="str">
        <f aca="false">MID(D1367,13,5)&amp;"|"&amp;MID(D1367,19,5)</f>
        <v>08SEL|SEP02</v>
      </c>
      <c r="R1367" s="34" t="str">
        <f aca="false">IF(P1367="Subestación eléctrica",IFERROR(INDEX(cat_SubN,MATCH(Q1367,cat_SubK,0)),"SIN CATALOGAR"),"ÁREA DE PROCESO")</f>
        <v>SEP-02</v>
      </c>
      <c r="S1367" s="34" t="str">
        <f aca="false">IF(H1367="","SIN DATO",IFERROR(INDEX(cat_MarcaN,MATCH(H1367,cat_MarcaO,0)),H1367))</f>
        <v>ABB</v>
      </c>
      <c r="T1367" s="34" t="str">
        <f aca="false">IF(I1367="","SIN DATO",IFERROR(INDEX(cat_ModN,MATCH(I1367,cat_ModO,0)),I1367))</f>
        <v>REB670</v>
      </c>
      <c r="U1367" s="34" t="str">
        <f aca="false">IF(I1367="","",IFERROR(INDEX(cat_ModG,MATCH(I1367,cat_ModO,0)),"No"))</f>
        <v>No</v>
      </c>
      <c r="V1367" s="34" t="str">
        <f aca="false">IF(J1367="","SIN DATO",IFERROR(INDEX(cat_FunN,MATCH(J1367,cat_FunO,0)),J1367))</f>
        <v>Protección y medición</v>
      </c>
      <c r="W1367" s="34" t="str">
        <f aca="false">IF(OR(S1367="SIN DATO",T1367="SIN DATO"),"No","Sí")</f>
        <v>Sí</v>
      </c>
    </row>
    <row r="1368" customFormat="false" ht="15" hidden="false" customHeight="false" outlineLevel="0" collapsed="false">
      <c r="A1368" s="34" t="s">
        <v>5073</v>
      </c>
      <c r="B1368" s="34" t="s">
        <v>5074</v>
      </c>
      <c r="C1368" s="34" t="s">
        <v>5075</v>
      </c>
      <c r="D1368" s="34" t="s">
        <v>2145</v>
      </c>
      <c r="E1368" s="34" t="s">
        <v>184</v>
      </c>
      <c r="F1368" s="34" t="s">
        <v>1602</v>
      </c>
      <c r="G1368" s="34" t="s">
        <v>227</v>
      </c>
      <c r="H1368" s="34" t="s">
        <v>34</v>
      </c>
      <c r="I1368" s="34" t="s">
        <v>50</v>
      </c>
      <c r="J1368" s="34" t="s">
        <v>228</v>
      </c>
      <c r="K1368" s="34" t="s">
        <v>229</v>
      </c>
      <c r="L1368" s="34" t="s">
        <v>230</v>
      </c>
      <c r="M1368" s="34" t="s">
        <v>1663</v>
      </c>
      <c r="N1368" s="34" t="str">
        <f aca="false">"Sector "&amp;VALUE(MID(D1368,13,2))</f>
        <v>Sector 8</v>
      </c>
      <c r="O1368" s="34" t="str">
        <f aca="false">IF(Dashboard!$C$5="Ubicación técnica",N1368,"Sector "&amp;VALUE(RIGHT(G1368,2)))</f>
        <v>Sector 8</v>
      </c>
      <c r="P1368" s="34" t="str">
        <f aca="false">IF(MID(D1368,15,3)="SEL","Subestación eléctrica","Área de proceso")</f>
        <v>Subestación eléctrica</v>
      </c>
      <c r="Q1368" s="34" t="str">
        <f aca="false">MID(D1368,13,5)&amp;"|"&amp;MID(D1368,19,5)</f>
        <v>08SEL|SEP02</v>
      </c>
      <c r="R1368" s="34" t="str">
        <f aca="false">IF(P1368="Subestación eléctrica",IFERROR(INDEX(cat_SubN,MATCH(Q1368,cat_SubK,0)),"SIN CATALOGAR"),"ÁREA DE PROCESO")</f>
        <v>SEP-02</v>
      </c>
      <c r="S1368" s="34" t="str">
        <f aca="false">IF(H1368="","SIN DATO",IFERROR(INDEX(cat_MarcaN,MATCH(H1368,cat_MarcaO,0)),H1368))</f>
        <v>ABB</v>
      </c>
      <c r="T1368" s="34" t="str">
        <f aca="false">IF(I1368="","SIN DATO",IFERROR(INDEX(cat_ModN,MATCH(I1368,cat_ModO,0)),I1368))</f>
        <v>REB670</v>
      </c>
      <c r="U1368" s="34" t="str">
        <f aca="false">IF(I1368="","",IFERROR(INDEX(cat_ModG,MATCH(I1368,cat_ModO,0)),"No"))</f>
        <v>No</v>
      </c>
      <c r="V1368" s="34" t="str">
        <f aca="false">IF(J1368="","SIN DATO",IFERROR(INDEX(cat_FunN,MATCH(J1368,cat_FunO,0)),J1368))</f>
        <v>Protección y medición</v>
      </c>
      <c r="W1368" s="34" t="str">
        <f aca="false">IF(OR(S1368="SIN DATO",T1368="SIN DATO"),"No","Sí")</f>
        <v>Sí</v>
      </c>
    </row>
    <row r="1369" customFormat="false" ht="15" hidden="false" customHeight="false" outlineLevel="0" collapsed="false">
      <c r="A1369" s="34" t="s">
        <v>5076</v>
      </c>
      <c r="B1369" s="34" t="s">
        <v>5077</v>
      </c>
      <c r="C1369" s="34" t="s">
        <v>5078</v>
      </c>
      <c r="D1369" s="34" t="s">
        <v>2150</v>
      </c>
      <c r="E1369" s="34" t="s">
        <v>184</v>
      </c>
      <c r="F1369" s="34" t="s">
        <v>1602</v>
      </c>
      <c r="G1369" s="34" t="s">
        <v>227</v>
      </c>
      <c r="H1369" s="34" t="s">
        <v>34</v>
      </c>
      <c r="I1369" s="34" t="s">
        <v>37</v>
      </c>
      <c r="J1369" s="34" t="s">
        <v>228</v>
      </c>
      <c r="K1369" s="34" t="s">
        <v>229</v>
      </c>
      <c r="L1369" s="34" t="s">
        <v>230</v>
      </c>
      <c r="M1369" s="34" t="s">
        <v>231</v>
      </c>
      <c r="N1369" s="34" t="str">
        <f aca="false">"Sector "&amp;VALUE(MID(D1369,13,2))</f>
        <v>Sector 8</v>
      </c>
      <c r="O1369" s="34" t="str">
        <f aca="false">IF(Dashboard!$C$5="Ubicación técnica",N1369,"Sector "&amp;VALUE(RIGHT(G1369,2)))</f>
        <v>Sector 8</v>
      </c>
      <c r="P1369" s="34" t="str">
        <f aca="false">IF(MID(D1369,15,3)="SEL","Subestación eléctrica","Área de proceso")</f>
        <v>Subestación eléctrica</v>
      </c>
      <c r="Q1369" s="34" t="str">
        <f aca="false">MID(D1369,13,5)&amp;"|"&amp;MID(D1369,19,5)</f>
        <v>08SEL|SEP02</v>
      </c>
      <c r="R1369" s="34" t="str">
        <f aca="false">IF(P1369="Subestación eléctrica",IFERROR(INDEX(cat_SubN,MATCH(Q1369,cat_SubK,0)),"SIN CATALOGAR"),"ÁREA DE PROCESO")</f>
        <v>SEP-02</v>
      </c>
      <c r="S1369" s="34" t="str">
        <f aca="false">IF(H1369="","SIN DATO",IFERROR(INDEX(cat_MarcaN,MATCH(H1369,cat_MarcaO,0)),H1369))</f>
        <v>ABB</v>
      </c>
      <c r="T1369" s="34" t="str">
        <f aca="false">IF(I1369="","SIN DATO",IFERROR(INDEX(cat_ModN,MATCH(I1369,cat_ModO,0)),I1369))</f>
        <v>REF615A_1G</v>
      </c>
      <c r="U1369" s="34" t="str">
        <f aca="false">IF(I1369="","",IFERROR(INDEX(cat_ModG,MATCH(I1369,cat_ModO,0)),"No"))</f>
        <v>No</v>
      </c>
      <c r="V1369" s="34" t="str">
        <f aca="false">IF(J1369="","SIN DATO",IFERROR(INDEX(cat_FunN,MATCH(J1369,cat_FunO,0)),J1369))</f>
        <v>Protección y medición</v>
      </c>
      <c r="W1369" s="34" t="str">
        <f aca="false">IF(OR(S1369="SIN DATO",T1369="SIN DATO"),"No","Sí")</f>
        <v>Sí</v>
      </c>
    </row>
    <row r="1370" customFormat="false" ht="15" hidden="false" customHeight="false" outlineLevel="0" collapsed="false">
      <c r="A1370" s="34" t="s">
        <v>5079</v>
      </c>
      <c r="B1370" s="34" t="s">
        <v>5080</v>
      </c>
      <c r="C1370" s="34" t="s">
        <v>5081</v>
      </c>
      <c r="D1370" s="34" t="s">
        <v>2150</v>
      </c>
      <c r="E1370" s="34" t="s">
        <v>184</v>
      </c>
      <c r="F1370" s="34" t="s">
        <v>1602</v>
      </c>
      <c r="G1370" s="34" t="s">
        <v>227</v>
      </c>
      <c r="H1370" s="34" t="s">
        <v>34</v>
      </c>
      <c r="I1370" s="34" t="s">
        <v>37</v>
      </c>
      <c r="J1370" s="34" t="s">
        <v>228</v>
      </c>
      <c r="K1370" s="34" t="s">
        <v>229</v>
      </c>
      <c r="L1370" s="34" t="s">
        <v>230</v>
      </c>
      <c r="M1370" s="34" t="s">
        <v>231</v>
      </c>
      <c r="N1370" s="34" t="str">
        <f aca="false">"Sector "&amp;VALUE(MID(D1370,13,2))</f>
        <v>Sector 8</v>
      </c>
      <c r="O1370" s="34" t="str">
        <f aca="false">IF(Dashboard!$C$5="Ubicación técnica",N1370,"Sector "&amp;VALUE(RIGHT(G1370,2)))</f>
        <v>Sector 8</v>
      </c>
      <c r="P1370" s="34" t="str">
        <f aca="false">IF(MID(D1370,15,3)="SEL","Subestación eléctrica","Área de proceso")</f>
        <v>Subestación eléctrica</v>
      </c>
      <c r="Q1370" s="34" t="str">
        <f aca="false">MID(D1370,13,5)&amp;"|"&amp;MID(D1370,19,5)</f>
        <v>08SEL|SEP02</v>
      </c>
      <c r="R1370" s="34" t="str">
        <f aca="false">IF(P1370="Subestación eléctrica",IFERROR(INDEX(cat_SubN,MATCH(Q1370,cat_SubK,0)),"SIN CATALOGAR"),"ÁREA DE PROCESO")</f>
        <v>SEP-02</v>
      </c>
      <c r="S1370" s="34" t="str">
        <f aca="false">IF(H1370="","SIN DATO",IFERROR(INDEX(cat_MarcaN,MATCH(H1370,cat_MarcaO,0)),H1370))</f>
        <v>ABB</v>
      </c>
      <c r="T1370" s="34" t="str">
        <f aca="false">IF(I1370="","SIN DATO",IFERROR(INDEX(cat_ModN,MATCH(I1370,cat_ModO,0)),I1370))</f>
        <v>REF615A_1G</v>
      </c>
      <c r="U1370" s="34" t="str">
        <f aca="false">IF(I1370="","",IFERROR(INDEX(cat_ModG,MATCH(I1370,cat_ModO,0)),"No"))</f>
        <v>No</v>
      </c>
      <c r="V1370" s="34" t="str">
        <f aca="false">IF(J1370="","SIN DATO",IFERROR(INDEX(cat_FunN,MATCH(J1370,cat_FunO,0)),J1370))</f>
        <v>Protección y medición</v>
      </c>
      <c r="W1370" s="34" t="str">
        <f aca="false">IF(OR(S1370="SIN DATO",T1370="SIN DATO"),"No","Sí")</f>
        <v>Sí</v>
      </c>
    </row>
    <row r="1371" customFormat="false" ht="15" hidden="false" customHeight="false" outlineLevel="0" collapsed="false">
      <c r="A1371" s="34" t="s">
        <v>5082</v>
      </c>
      <c r="B1371" s="34" t="s">
        <v>5083</v>
      </c>
      <c r="C1371" s="34" t="s">
        <v>5084</v>
      </c>
      <c r="D1371" s="34" t="s">
        <v>2150</v>
      </c>
      <c r="E1371" s="34" t="s">
        <v>184</v>
      </c>
      <c r="F1371" s="34" t="s">
        <v>1602</v>
      </c>
      <c r="G1371" s="34" t="s">
        <v>227</v>
      </c>
      <c r="H1371" s="34" t="s">
        <v>34</v>
      </c>
      <c r="I1371" s="34" t="s">
        <v>37</v>
      </c>
      <c r="J1371" s="34" t="s">
        <v>228</v>
      </c>
      <c r="K1371" s="34" t="s">
        <v>229</v>
      </c>
      <c r="L1371" s="34" t="s">
        <v>230</v>
      </c>
      <c r="M1371" s="34" t="s">
        <v>231</v>
      </c>
      <c r="N1371" s="34" t="str">
        <f aca="false">"Sector "&amp;VALUE(MID(D1371,13,2))</f>
        <v>Sector 8</v>
      </c>
      <c r="O1371" s="34" t="str">
        <f aca="false">IF(Dashboard!$C$5="Ubicación técnica",N1371,"Sector "&amp;VALUE(RIGHT(G1371,2)))</f>
        <v>Sector 8</v>
      </c>
      <c r="P1371" s="34" t="str">
        <f aca="false">IF(MID(D1371,15,3)="SEL","Subestación eléctrica","Área de proceso")</f>
        <v>Subestación eléctrica</v>
      </c>
      <c r="Q1371" s="34" t="str">
        <f aca="false">MID(D1371,13,5)&amp;"|"&amp;MID(D1371,19,5)</f>
        <v>08SEL|SEP02</v>
      </c>
      <c r="R1371" s="34" t="str">
        <f aca="false">IF(P1371="Subestación eléctrica",IFERROR(INDEX(cat_SubN,MATCH(Q1371,cat_SubK,0)),"SIN CATALOGAR"),"ÁREA DE PROCESO")</f>
        <v>SEP-02</v>
      </c>
      <c r="S1371" s="34" t="str">
        <f aca="false">IF(H1371="","SIN DATO",IFERROR(INDEX(cat_MarcaN,MATCH(H1371,cat_MarcaO,0)),H1371))</f>
        <v>ABB</v>
      </c>
      <c r="T1371" s="34" t="str">
        <f aca="false">IF(I1371="","SIN DATO",IFERROR(INDEX(cat_ModN,MATCH(I1371,cat_ModO,0)),I1371))</f>
        <v>REF615A_1G</v>
      </c>
      <c r="U1371" s="34" t="str">
        <f aca="false">IF(I1371="","",IFERROR(INDEX(cat_ModG,MATCH(I1371,cat_ModO,0)),"No"))</f>
        <v>No</v>
      </c>
      <c r="V1371" s="34" t="str">
        <f aca="false">IF(J1371="","SIN DATO",IFERROR(INDEX(cat_FunN,MATCH(J1371,cat_FunO,0)),J1371))</f>
        <v>Protección y medición</v>
      </c>
      <c r="W1371" s="34" t="str">
        <f aca="false">IF(OR(S1371="SIN DATO",T1371="SIN DATO"),"No","Sí")</f>
        <v>Sí</v>
      </c>
    </row>
    <row r="1372" customFormat="false" ht="15" hidden="false" customHeight="false" outlineLevel="0" collapsed="false">
      <c r="A1372" s="34" t="s">
        <v>5085</v>
      </c>
      <c r="B1372" s="34" t="s">
        <v>5086</v>
      </c>
      <c r="C1372" s="34" t="s">
        <v>5087</v>
      </c>
      <c r="D1372" s="34" t="s">
        <v>2162</v>
      </c>
      <c r="E1372" s="34" t="s">
        <v>138</v>
      </c>
      <c r="F1372" s="34" t="s">
        <v>1602</v>
      </c>
      <c r="G1372" s="34" t="s">
        <v>227</v>
      </c>
      <c r="H1372" s="34"/>
      <c r="I1372" s="34"/>
      <c r="J1372" s="34"/>
      <c r="K1372" s="34"/>
      <c r="L1372" s="34"/>
      <c r="M1372" s="34"/>
      <c r="N1372" s="34" t="str">
        <f aca="false">"Sector "&amp;VALUE(MID(D1372,13,2))</f>
        <v>Sector 6</v>
      </c>
      <c r="O1372" s="34" t="str">
        <f aca="false">IF(Dashboard!$C$5="Ubicación técnica",N1372,"Sector "&amp;VALUE(RIGHT(G1372,2)))</f>
        <v>Sector 6</v>
      </c>
      <c r="P1372" s="34" t="str">
        <f aca="false">IF(MID(D1372,15,3)="SEL","Subestación eléctrica","Área de proceso")</f>
        <v>Subestación eléctrica</v>
      </c>
      <c r="Q1372" s="34" t="str">
        <f aca="false">MID(D1372,13,5)&amp;"|"&amp;MID(D1372,19,5)</f>
        <v>06SEL|S_002</v>
      </c>
      <c r="R1372" s="34" t="str">
        <f aca="false">IF(P1372="Subestación eléctrica",IFERROR(INDEX(cat_SubN,MATCH(Q1372,cat_SubK,0)),"SIN CATALOGAR"),"ÁREA DE PROCESO")</f>
        <v>SE-02</v>
      </c>
      <c r="S1372" s="34" t="str">
        <f aca="false">IF(H1372="","SIN DATO",IFERROR(INDEX(cat_MarcaN,MATCH(H1372,cat_MarcaO,0)),H1372))</f>
        <v>SIN DATO</v>
      </c>
      <c r="T1372" s="34" t="str">
        <f aca="false">IF(I1372="","SIN DATO",IFERROR(INDEX(cat_ModN,MATCH(I1372,cat_ModO,0)),I1372))</f>
        <v>SIN DATO</v>
      </c>
      <c r="U1372" s="34" t="str">
        <f aca="false">IF(I1372="","",IFERROR(INDEX(cat_ModG,MATCH(I1372,cat_ModO,0)),"No"))</f>
        <v/>
      </c>
      <c r="V1372" s="34" t="str">
        <f aca="false">IF(J1372="","SIN DATO",IFERROR(INDEX(cat_FunN,MATCH(J1372,cat_FunO,0)),J1372))</f>
        <v>SIN DATO</v>
      </c>
      <c r="W1372" s="34" t="str">
        <f aca="false">IF(OR(S1372="SIN DATO",T1372="SIN DATO"),"No","Sí")</f>
        <v>No</v>
      </c>
    </row>
    <row r="1373" customFormat="false" ht="15" hidden="false" customHeight="false" outlineLevel="0" collapsed="false">
      <c r="A1373" s="34" t="s">
        <v>5088</v>
      </c>
      <c r="B1373" s="34" t="s">
        <v>5089</v>
      </c>
      <c r="C1373" s="34" t="s">
        <v>5090</v>
      </c>
      <c r="D1373" s="34" t="s">
        <v>2166</v>
      </c>
      <c r="E1373" s="34" t="s">
        <v>138</v>
      </c>
      <c r="F1373" s="34" t="s">
        <v>1602</v>
      </c>
      <c r="G1373" s="34" t="s">
        <v>227</v>
      </c>
      <c r="H1373" s="34"/>
      <c r="I1373" s="34"/>
      <c r="J1373" s="34"/>
      <c r="K1373" s="34"/>
      <c r="L1373" s="34"/>
      <c r="M1373" s="34"/>
      <c r="N1373" s="34" t="str">
        <f aca="false">"Sector "&amp;VALUE(MID(D1373,13,2))</f>
        <v>Sector 6</v>
      </c>
      <c r="O1373" s="34" t="str">
        <f aca="false">IF(Dashboard!$C$5="Ubicación técnica",N1373,"Sector "&amp;VALUE(RIGHT(G1373,2)))</f>
        <v>Sector 6</v>
      </c>
      <c r="P1373" s="34" t="str">
        <f aca="false">IF(MID(D1373,15,3)="SEL","Subestación eléctrica","Área de proceso")</f>
        <v>Subestación eléctrica</v>
      </c>
      <c r="Q1373" s="34" t="str">
        <f aca="false">MID(D1373,13,5)&amp;"|"&amp;MID(D1373,19,5)</f>
        <v>06SEL|S_002</v>
      </c>
      <c r="R1373" s="34" t="str">
        <f aca="false">IF(P1373="Subestación eléctrica",IFERROR(INDEX(cat_SubN,MATCH(Q1373,cat_SubK,0)),"SIN CATALOGAR"),"ÁREA DE PROCESO")</f>
        <v>SE-02</v>
      </c>
      <c r="S1373" s="34" t="str">
        <f aca="false">IF(H1373="","SIN DATO",IFERROR(INDEX(cat_MarcaN,MATCH(H1373,cat_MarcaO,0)),H1373))</f>
        <v>SIN DATO</v>
      </c>
      <c r="T1373" s="34" t="str">
        <f aca="false">IF(I1373="","SIN DATO",IFERROR(INDEX(cat_ModN,MATCH(I1373,cat_ModO,0)),I1373))</f>
        <v>SIN DATO</v>
      </c>
      <c r="U1373" s="34" t="str">
        <f aca="false">IF(I1373="","",IFERROR(INDEX(cat_ModG,MATCH(I1373,cat_ModO,0)),"No"))</f>
        <v/>
      </c>
      <c r="V1373" s="34" t="str">
        <f aca="false">IF(J1373="","SIN DATO",IFERROR(INDEX(cat_FunN,MATCH(J1373,cat_FunO,0)),J1373))</f>
        <v>SIN DATO</v>
      </c>
      <c r="W1373" s="34" t="str">
        <f aca="false">IF(OR(S1373="SIN DATO",T1373="SIN DATO"),"No","Sí")</f>
        <v>No</v>
      </c>
    </row>
    <row r="1374" customFormat="false" ht="15" hidden="false" customHeight="false" outlineLevel="0" collapsed="false">
      <c r="A1374" s="34" t="s">
        <v>5091</v>
      </c>
      <c r="B1374" s="34" t="s">
        <v>5092</v>
      </c>
      <c r="C1374" s="34" t="s">
        <v>5093</v>
      </c>
      <c r="D1374" s="34" t="s">
        <v>2170</v>
      </c>
      <c r="E1374" s="34" t="s">
        <v>170</v>
      </c>
      <c r="F1374" s="34" t="s">
        <v>1602</v>
      </c>
      <c r="G1374" s="34" t="s">
        <v>227</v>
      </c>
      <c r="H1374" s="34" t="s">
        <v>34</v>
      </c>
      <c r="I1374" s="34" t="s">
        <v>37</v>
      </c>
      <c r="J1374" s="34" t="s">
        <v>228</v>
      </c>
      <c r="K1374" s="34" t="s">
        <v>229</v>
      </c>
      <c r="L1374" s="34" t="s">
        <v>230</v>
      </c>
      <c r="M1374" s="34" t="s">
        <v>1663</v>
      </c>
      <c r="N1374" s="34" t="str">
        <f aca="false">"Sector "&amp;VALUE(MID(D1374,13,2))</f>
        <v>Sector 8</v>
      </c>
      <c r="O1374" s="34" t="str">
        <f aca="false">IF(Dashboard!$C$5="Ubicación técnica",N1374,"Sector "&amp;VALUE(RIGHT(G1374,2)))</f>
        <v>Sector 8</v>
      </c>
      <c r="P1374" s="34" t="str">
        <f aca="false">IF(MID(D1374,15,3)="SEL","Subestación eléctrica","Área de proceso")</f>
        <v>Subestación eléctrica</v>
      </c>
      <c r="Q1374" s="34" t="str">
        <f aca="false">MID(D1374,13,5)&amp;"|"&amp;MID(D1374,19,5)</f>
        <v>08SEL|S_016</v>
      </c>
      <c r="R1374" s="34" t="str">
        <f aca="false">IF(P1374="Subestación eléctrica",IFERROR(INDEX(cat_SubN,MATCH(Q1374,cat_SubK,0)),"SIN CATALOGAR"),"ÁREA DE PROCESO")</f>
        <v>SE-16</v>
      </c>
      <c r="S1374" s="34" t="str">
        <f aca="false">IF(H1374="","SIN DATO",IFERROR(INDEX(cat_MarcaN,MATCH(H1374,cat_MarcaO,0)),H1374))</f>
        <v>ABB</v>
      </c>
      <c r="T1374" s="34" t="str">
        <f aca="false">IF(I1374="","SIN DATO",IFERROR(INDEX(cat_ModN,MATCH(I1374,cat_ModO,0)),I1374))</f>
        <v>REF615A_1G</v>
      </c>
      <c r="U1374" s="34" t="str">
        <f aca="false">IF(I1374="","",IFERROR(INDEX(cat_ModG,MATCH(I1374,cat_ModO,0)),"No"))</f>
        <v>No</v>
      </c>
      <c r="V1374" s="34" t="str">
        <f aca="false">IF(J1374="","SIN DATO",IFERROR(INDEX(cat_FunN,MATCH(J1374,cat_FunO,0)),J1374))</f>
        <v>Protección y medición</v>
      </c>
      <c r="W1374" s="34" t="str">
        <f aca="false">IF(OR(S1374="SIN DATO",T1374="SIN DATO"),"No","Sí")</f>
        <v>Sí</v>
      </c>
    </row>
    <row r="1375" customFormat="false" ht="15" hidden="false" customHeight="false" outlineLevel="0" collapsed="false">
      <c r="A1375" s="34" t="s">
        <v>5094</v>
      </c>
      <c r="B1375" s="34" t="s">
        <v>5095</v>
      </c>
      <c r="C1375" s="34" t="s">
        <v>5096</v>
      </c>
      <c r="D1375" s="34" t="s">
        <v>2175</v>
      </c>
      <c r="E1375" s="34" t="s">
        <v>170</v>
      </c>
      <c r="F1375" s="34" t="s">
        <v>1602</v>
      </c>
      <c r="G1375" s="34" t="s">
        <v>227</v>
      </c>
      <c r="H1375" s="34" t="s">
        <v>34</v>
      </c>
      <c r="I1375" s="34" t="s">
        <v>37</v>
      </c>
      <c r="J1375" s="34" t="s">
        <v>228</v>
      </c>
      <c r="K1375" s="34" t="s">
        <v>229</v>
      </c>
      <c r="L1375" s="34" t="s">
        <v>230</v>
      </c>
      <c r="M1375" s="34" t="s">
        <v>1663</v>
      </c>
      <c r="N1375" s="34" t="str">
        <f aca="false">"Sector "&amp;VALUE(MID(D1375,13,2))</f>
        <v>Sector 8</v>
      </c>
      <c r="O1375" s="34" t="str">
        <f aca="false">IF(Dashboard!$C$5="Ubicación técnica",N1375,"Sector "&amp;VALUE(RIGHT(G1375,2)))</f>
        <v>Sector 8</v>
      </c>
      <c r="P1375" s="34" t="str">
        <f aca="false">IF(MID(D1375,15,3)="SEL","Subestación eléctrica","Área de proceso")</f>
        <v>Subestación eléctrica</v>
      </c>
      <c r="Q1375" s="34" t="str">
        <f aca="false">MID(D1375,13,5)&amp;"|"&amp;MID(D1375,19,5)</f>
        <v>08SEL|S_016</v>
      </c>
      <c r="R1375" s="34" t="str">
        <f aca="false">IF(P1375="Subestación eléctrica",IFERROR(INDEX(cat_SubN,MATCH(Q1375,cat_SubK,0)),"SIN CATALOGAR"),"ÁREA DE PROCESO")</f>
        <v>SE-16</v>
      </c>
      <c r="S1375" s="34" t="str">
        <f aca="false">IF(H1375="","SIN DATO",IFERROR(INDEX(cat_MarcaN,MATCH(H1375,cat_MarcaO,0)),H1375))</f>
        <v>ABB</v>
      </c>
      <c r="T1375" s="34" t="str">
        <f aca="false">IF(I1375="","SIN DATO",IFERROR(INDEX(cat_ModN,MATCH(I1375,cat_ModO,0)),I1375))</f>
        <v>REF615A_1G</v>
      </c>
      <c r="U1375" s="34" t="str">
        <f aca="false">IF(I1375="","",IFERROR(INDEX(cat_ModG,MATCH(I1375,cat_ModO,0)),"No"))</f>
        <v>No</v>
      </c>
      <c r="V1375" s="34" t="str">
        <f aca="false">IF(J1375="","SIN DATO",IFERROR(INDEX(cat_FunN,MATCH(J1375,cat_FunO,0)),J1375))</f>
        <v>Protección y medición</v>
      </c>
      <c r="W1375" s="34" t="str">
        <f aca="false">IF(OR(S1375="SIN DATO",T1375="SIN DATO"),"No","Sí")</f>
        <v>Sí</v>
      </c>
    </row>
    <row r="1376" customFormat="false" ht="15" hidden="false" customHeight="false" outlineLevel="0" collapsed="false">
      <c r="A1376" s="34" t="s">
        <v>5097</v>
      </c>
      <c r="B1376" s="34" t="s">
        <v>5098</v>
      </c>
      <c r="C1376" s="34" t="s">
        <v>5099</v>
      </c>
      <c r="D1376" s="34" t="s">
        <v>2179</v>
      </c>
      <c r="E1376" s="34" t="s">
        <v>178</v>
      </c>
      <c r="F1376" s="34" t="s">
        <v>1602</v>
      </c>
      <c r="G1376" s="34" t="s">
        <v>227</v>
      </c>
      <c r="H1376" s="34" t="s">
        <v>34</v>
      </c>
      <c r="I1376" s="34" t="s">
        <v>37</v>
      </c>
      <c r="J1376" s="34" t="s">
        <v>228</v>
      </c>
      <c r="K1376" s="34" t="s">
        <v>229</v>
      </c>
      <c r="L1376" s="34" t="s">
        <v>230</v>
      </c>
      <c r="M1376" s="34" t="s">
        <v>1663</v>
      </c>
      <c r="N1376" s="34" t="str">
        <f aca="false">"Sector "&amp;VALUE(MID(D1376,13,2))</f>
        <v>Sector 8</v>
      </c>
      <c r="O1376" s="34" t="str">
        <f aca="false">IF(Dashboard!$C$5="Ubicación técnica",N1376,"Sector "&amp;VALUE(RIGHT(G1376,2)))</f>
        <v>Sector 8</v>
      </c>
      <c r="P1376" s="34" t="str">
        <f aca="false">IF(MID(D1376,15,3)="SEL","Subestación eléctrica","Área de proceso")</f>
        <v>Subestación eléctrica</v>
      </c>
      <c r="Q1376" s="34" t="str">
        <f aca="false">MID(D1376,13,5)&amp;"|"&amp;MID(D1376,19,5)</f>
        <v>08SEL|S_019</v>
      </c>
      <c r="R1376" s="34" t="str">
        <f aca="false">IF(P1376="Subestación eléctrica",IFERROR(INDEX(cat_SubN,MATCH(Q1376,cat_SubK,0)),"SIN CATALOGAR"),"ÁREA DE PROCESO")</f>
        <v>SE-19</v>
      </c>
      <c r="S1376" s="34" t="str">
        <f aca="false">IF(H1376="","SIN DATO",IFERROR(INDEX(cat_MarcaN,MATCH(H1376,cat_MarcaO,0)),H1376))</f>
        <v>ABB</v>
      </c>
      <c r="T1376" s="34" t="str">
        <f aca="false">IF(I1376="","SIN DATO",IFERROR(INDEX(cat_ModN,MATCH(I1376,cat_ModO,0)),I1376))</f>
        <v>REF615A_1G</v>
      </c>
      <c r="U1376" s="34" t="str">
        <f aca="false">IF(I1376="","",IFERROR(INDEX(cat_ModG,MATCH(I1376,cat_ModO,0)),"No"))</f>
        <v>No</v>
      </c>
      <c r="V1376" s="34" t="str">
        <f aca="false">IF(J1376="","SIN DATO",IFERROR(INDEX(cat_FunN,MATCH(J1376,cat_FunO,0)),J1376))</f>
        <v>Protección y medición</v>
      </c>
      <c r="W1376" s="34" t="str">
        <f aca="false">IF(OR(S1376="SIN DATO",T1376="SIN DATO"),"No","Sí")</f>
        <v>Sí</v>
      </c>
    </row>
    <row r="1377" customFormat="false" ht="15" hidden="false" customHeight="false" outlineLevel="0" collapsed="false">
      <c r="A1377" s="34" t="s">
        <v>5100</v>
      </c>
      <c r="B1377" s="34" t="s">
        <v>5101</v>
      </c>
      <c r="C1377" s="34" t="s">
        <v>5102</v>
      </c>
      <c r="D1377" s="34" t="s">
        <v>2183</v>
      </c>
      <c r="E1377" s="34" t="s">
        <v>178</v>
      </c>
      <c r="F1377" s="34" t="s">
        <v>1602</v>
      </c>
      <c r="G1377" s="34" t="s">
        <v>227</v>
      </c>
      <c r="H1377" s="34" t="s">
        <v>34</v>
      </c>
      <c r="I1377" s="34" t="s">
        <v>37</v>
      </c>
      <c r="J1377" s="34" t="s">
        <v>228</v>
      </c>
      <c r="K1377" s="34" t="s">
        <v>229</v>
      </c>
      <c r="L1377" s="34" t="s">
        <v>230</v>
      </c>
      <c r="M1377" s="34" t="s">
        <v>1663</v>
      </c>
      <c r="N1377" s="34" t="str">
        <f aca="false">"Sector "&amp;VALUE(MID(D1377,13,2))</f>
        <v>Sector 8</v>
      </c>
      <c r="O1377" s="34" t="str">
        <f aca="false">IF(Dashboard!$C$5="Ubicación técnica",N1377,"Sector "&amp;VALUE(RIGHT(G1377,2)))</f>
        <v>Sector 8</v>
      </c>
      <c r="P1377" s="34" t="str">
        <f aca="false">IF(MID(D1377,15,3)="SEL","Subestación eléctrica","Área de proceso")</f>
        <v>Subestación eléctrica</v>
      </c>
      <c r="Q1377" s="34" t="str">
        <f aca="false">MID(D1377,13,5)&amp;"|"&amp;MID(D1377,19,5)</f>
        <v>08SEL|S_019</v>
      </c>
      <c r="R1377" s="34" t="str">
        <f aca="false">IF(P1377="Subestación eléctrica",IFERROR(INDEX(cat_SubN,MATCH(Q1377,cat_SubK,0)),"SIN CATALOGAR"),"ÁREA DE PROCESO")</f>
        <v>SE-19</v>
      </c>
      <c r="S1377" s="34" t="str">
        <f aca="false">IF(H1377="","SIN DATO",IFERROR(INDEX(cat_MarcaN,MATCH(H1377,cat_MarcaO,0)),H1377))</f>
        <v>ABB</v>
      </c>
      <c r="T1377" s="34" t="str">
        <f aca="false">IF(I1377="","SIN DATO",IFERROR(INDEX(cat_ModN,MATCH(I1377,cat_ModO,0)),I1377))</f>
        <v>REF615A_1G</v>
      </c>
      <c r="U1377" s="34" t="str">
        <f aca="false">IF(I1377="","",IFERROR(INDEX(cat_ModG,MATCH(I1377,cat_ModO,0)),"No"))</f>
        <v>No</v>
      </c>
      <c r="V1377" s="34" t="str">
        <f aca="false">IF(J1377="","SIN DATO",IFERROR(INDEX(cat_FunN,MATCH(J1377,cat_FunO,0)),J1377))</f>
        <v>Protección y medición</v>
      </c>
      <c r="W1377" s="34" t="str">
        <f aca="false">IF(OR(S1377="SIN DATO",T1377="SIN DATO"),"No","Sí")</f>
        <v>Sí</v>
      </c>
    </row>
    <row r="1378" customFormat="false" ht="15" hidden="false" customHeight="false" outlineLevel="0" collapsed="false">
      <c r="A1378" s="34" t="s">
        <v>5103</v>
      </c>
      <c r="B1378" s="34" t="s">
        <v>5104</v>
      </c>
      <c r="C1378" s="34" t="s">
        <v>5105</v>
      </c>
      <c r="D1378" s="34" t="s">
        <v>5106</v>
      </c>
      <c r="E1378" s="34" t="s">
        <v>170</v>
      </c>
      <c r="F1378" s="34" t="s">
        <v>1602</v>
      </c>
      <c r="G1378" s="34" t="s">
        <v>227</v>
      </c>
      <c r="H1378" s="34" t="s">
        <v>34</v>
      </c>
      <c r="I1378" s="34" t="s">
        <v>37</v>
      </c>
      <c r="J1378" s="34" t="s">
        <v>228</v>
      </c>
      <c r="K1378" s="34" t="s">
        <v>229</v>
      </c>
      <c r="L1378" s="34" t="s">
        <v>230</v>
      </c>
      <c r="M1378" s="34" t="s">
        <v>1663</v>
      </c>
      <c r="N1378" s="34" t="str">
        <f aca="false">"Sector "&amp;VALUE(MID(D1378,13,2))</f>
        <v>Sector 8</v>
      </c>
      <c r="O1378" s="34" t="str">
        <f aca="false">IF(Dashboard!$C$5="Ubicación técnica",N1378,"Sector "&amp;VALUE(RIGHT(G1378,2)))</f>
        <v>Sector 8</v>
      </c>
      <c r="P1378" s="34" t="str">
        <f aca="false">IF(MID(D1378,15,3)="SEL","Subestación eléctrica","Área de proceso")</f>
        <v>Subestación eléctrica</v>
      </c>
      <c r="Q1378" s="34" t="str">
        <f aca="false">MID(D1378,13,5)&amp;"|"&amp;MID(D1378,19,5)</f>
        <v>08SEL|S_016</v>
      </c>
      <c r="R1378" s="34" t="str">
        <f aca="false">IF(P1378="Subestación eléctrica",IFERROR(INDEX(cat_SubN,MATCH(Q1378,cat_SubK,0)),"SIN CATALOGAR"),"ÁREA DE PROCESO")</f>
        <v>SE-16</v>
      </c>
      <c r="S1378" s="34" t="str">
        <f aca="false">IF(H1378="","SIN DATO",IFERROR(INDEX(cat_MarcaN,MATCH(H1378,cat_MarcaO,0)),H1378))</f>
        <v>ABB</v>
      </c>
      <c r="T1378" s="34" t="str">
        <f aca="false">IF(I1378="","SIN DATO",IFERROR(INDEX(cat_ModN,MATCH(I1378,cat_ModO,0)),I1378))</f>
        <v>REF615A_1G</v>
      </c>
      <c r="U1378" s="34" t="str">
        <f aca="false">IF(I1378="","",IFERROR(INDEX(cat_ModG,MATCH(I1378,cat_ModO,0)),"No"))</f>
        <v>No</v>
      </c>
      <c r="V1378" s="34" t="str">
        <f aca="false">IF(J1378="","SIN DATO",IFERROR(INDEX(cat_FunN,MATCH(J1378,cat_FunO,0)),J1378))</f>
        <v>Protección y medición</v>
      </c>
      <c r="W1378" s="34" t="str">
        <f aca="false">IF(OR(S1378="SIN DATO",T1378="SIN DATO"),"No","Sí")</f>
        <v>Sí</v>
      </c>
    </row>
    <row r="1379" customFormat="false" ht="15" hidden="false" customHeight="false" outlineLevel="0" collapsed="false">
      <c r="A1379" s="34" t="s">
        <v>5107</v>
      </c>
      <c r="B1379" s="34" t="s">
        <v>5108</v>
      </c>
      <c r="C1379" s="34" t="s">
        <v>5109</v>
      </c>
      <c r="D1379" s="34" t="s">
        <v>5110</v>
      </c>
      <c r="E1379" s="34" t="s">
        <v>178</v>
      </c>
      <c r="F1379" s="34" t="s">
        <v>1602</v>
      </c>
      <c r="G1379" s="34" t="s">
        <v>227</v>
      </c>
      <c r="H1379" s="34" t="s">
        <v>34</v>
      </c>
      <c r="I1379" s="34" t="s">
        <v>37</v>
      </c>
      <c r="J1379" s="34" t="s">
        <v>228</v>
      </c>
      <c r="K1379" s="34" t="s">
        <v>229</v>
      </c>
      <c r="L1379" s="34" t="s">
        <v>230</v>
      </c>
      <c r="M1379" s="34" t="s">
        <v>1663</v>
      </c>
      <c r="N1379" s="34" t="str">
        <f aca="false">"Sector "&amp;VALUE(MID(D1379,13,2))</f>
        <v>Sector 8</v>
      </c>
      <c r="O1379" s="34" t="str">
        <f aca="false">IF(Dashboard!$C$5="Ubicación técnica",N1379,"Sector "&amp;VALUE(RIGHT(G1379,2)))</f>
        <v>Sector 8</v>
      </c>
      <c r="P1379" s="34" t="str">
        <f aca="false">IF(MID(D1379,15,3)="SEL","Subestación eléctrica","Área de proceso")</f>
        <v>Subestación eléctrica</v>
      </c>
      <c r="Q1379" s="34" t="str">
        <f aca="false">MID(D1379,13,5)&amp;"|"&amp;MID(D1379,19,5)</f>
        <v>08SEL|S_019</v>
      </c>
      <c r="R1379" s="34" t="str">
        <f aca="false">IF(P1379="Subestación eléctrica",IFERROR(INDEX(cat_SubN,MATCH(Q1379,cat_SubK,0)),"SIN CATALOGAR"),"ÁREA DE PROCESO")</f>
        <v>SE-19</v>
      </c>
      <c r="S1379" s="34" t="str">
        <f aca="false">IF(H1379="","SIN DATO",IFERROR(INDEX(cat_MarcaN,MATCH(H1379,cat_MarcaO,0)),H1379))</f>
        <v>ABB</v>
      </c>
      <c r="T1379" s="34" t="str">
        <f aca="false">IF(I1379="","SIN DATO",IFERROR(INDEX(cat_ModN,MATCH(I1379,cat_ModO,0)),I1379))</f>
        <v>REF615A_1G</v>
      </c>
      <c r="U1379" s="34" t="str">
        <f aca="false">IF(I1379="","",IFERROR(INDEX(cat_ModG,MATCH(I1379,cat_ModO,0)),"No"))</f>
        <v>No</v>
      </c>
      <c r="V1379" s="34" t="str">
        <f aca="false">IF(J1379="","SIN DATO",IFERROR(INDEX(cat_FunN,MATCH(J1379,cat_FunO,0)),J1379))</f>
        <v>Protección y medición</v>
      </c>
      <c r="W1379" s="34" t="str">
        <f aca="false">IF(OR(S1379="SIN DATO",T1379="SIN DATO"),"No","Sí")</f>
        <v>Sí</v>
      </c>
    </row>
    <row r="1380" customFormat="false" ht="15" hidden="false" customHeight="false" outlineLevel="0" collapsed="false">
      <c r="A1380" s="34" t="s">
        <v>5111</v>
      </c>
      <c r="B1380" s="34" t="s">
        <v>5112</v>
      </c>
      <c r="C1380" s="34" t="s">
        <v>5113</v>
      </c>
      <c r="D1380" s="34" t="s">
        <v>5114</v>
      </c>
      <c r="E1380" s="34" t="s">
        <v>170</v>
      </c>
      <c r="F1380" s="34" t="s">
        <v>1602</v>
      </c>
      <c r="G1380" s="34" t="s">
        <v>227</v>
      </c>
      <c r="H1380" s="34" t="s">
        <v>34</v>
      </c>
      <c r="I1380" s="34" t="s">
        <v>37</v>
      </c>
      <c r="J1380" s="34" t="s">
        <v>228</v>
      </c>
      <c r="K1380" s="34" t="s">
        <v>229</v>
      </c>
      <c r="L1380" s="34" t="s">
        <v>230</v>
      </c>
      <c r="M1380" s="34" t="s">
        <v>1663</v>
      </c>
      <c r="N1380" s="34" t="str">
        <f aca="false">"Sector "&amp;VALUE(MID(D1380,13,2))</f>
        <v>Sector 8</v>
      </c>
      <c r="O1380" s="34" t="str">
        <f aca="false">IF(Dashboard!$C$5="Ubicación técnica",N1380,"Sector "&amp;VALUE(RIGHT(G1380,2)))</f>
        <v>Sector 8</v>
      </c>
      <c r="P1380" s="34" t="str">
        <f aca="false">IF(MID(D1380,15,3)="SEL","Subestación eléctrica","Área de proceso")</f>
        <v>Subestación eléctrica</v>
      </c>
      <c r="Q1380" s="34" t="str">
        <f aca="false">MID(D1380,13,5)&amp;"|"&amp;MID(D1380,19,5)</f>
        <v>08SEL|S_016</v>
      </c>
      <c r="R1380" s="34" t="str">
        <f aca="false">IF(P1380="Subestación eléctrica",IFERROR(INDEX(cat_SubN,MATCH(Q1380,cat_SubK,0)),"SIN CATALOGAR"),"ÁREA DE PROCESO")</f>
        <v>SE-16</v>
      </c>
      <c r="S1380" s="34" t="str">
        <f aca="false">IF(H1380="","SIN DATO",IFERROR(INDEX(cat_MarcaN,MATCH(H1380,cat_MarcaO,0)),H1380))</f>
        <v>ABB</v>
      </c>
      <c r="T1380" s="34" t="str">
        <f aca="false">IF(I1380="","SIN DATO",IFERROR(INDEX(cat_ModN,MATCH(I1380,cat_ModO,0)),I1380))</f>
        <v>REF615A_1G</v>
      </c>
      <c r="U1380" s="34" t="str">
        <f aca="false">IF(I1380="","",IFERROR(INDEX(cat_ModG,MATCH(I1380,cat_ModO,0)),"No"))</f>
        <v>No</v>
      </c>
      <c r="V1380" s="34" t="str">
        <f aca="false">IF(J1380="","SIN DATO",IFERROR(INDEX(cat_FunN,MATCH(J1380,cat_FunO,0)),J1380))</f>
        <v>Protección y medición</v>
      </c>
      <c r="W1380" s="34" t="str">
        <f aca="false">IF(OR(S1380="SIN DATO",T1380="SIN DATO"),"No","Sí")</f>
        <v>Sí</v>
      </c>
    </row>
    <row r="1381" customFormat="false" ht="15" hidden="false" customHeight="false" outlineLevel="0" collapsed="false">
      <c r="A1381" s="34" t="s">
        <v>5115</v>
      </c>
      <c r="B1381" s="34" t="s">
        <v>5116</v>
      </c>
      <c r="C1381" s="34" t="s">
        <v>5117</v>
      </c>
      <c r="D1381" s="34" t="s">
        <v>5118</v>
      </c>
      <c r="E1381" s="34" t="s">
        <v>178</v>
      </c>
      <c r="F1381" s="34" t="s">
        <v>1602</v>
      </c>
      <c r="G1381" s="34" t="s">
        <v>227</v>
      </c>
      <c r="H1381" s="34" t="s">
        <v>34</v>
      </c>
      <c r="I1381" s="34" t="s">
        <v>37</v>
      </c>
      <c r="J1381" s="34" t="s">
        <v>228</v>
      </c>
      <c r="K1381" s="34" t="s">
        <v>229</v>
      </c>
      <c r="L1381" s="34" t="s">
        <v>230</v>
      </c>
      <c r="M1381" s="34" t="s">
        <v>1663</v>
      </c>
      <c r="N1381" s="34" t="str">
        <f aca="false">"Sector "&amp;VALUE(MID(D1381,13,2))</f>
        <v>Sector 8</v>
      </c>
      <c r="O1381" s="34" t="str">
        <f aca="false">IF(Dashboard!$C$5="Ubicación técnica",N1381,"Sector "&amp;VALUE(RIGHT(G1381,2)))</f>
        <v>Sector 8</v>
      </c>
      <c r="P1381" s="34" t="str">
        <f aca="false">IF(MID(D1381,15,3)="SEL","Subestación eléctrica","Área de proceso")</f>
        <v>Subestación eléctrica</v>
      </c>
      <c r="Q1381" s="34" t="str">
        <f aca="false">MID(D1381,13,5)&amp;"|"&amp;MID(D1381,19,5)</f>
        <v>08SEL|S_019</v>
      </c>
      <c r="R1381" s="34" t="str">
        <f aca="false">IF(P1381="Subestación eléctrica",IFERROR(INDEX(cat_SubN,MATCH(Q1381,cat_SubK,0)),"SIN CATALOGAR"),"ÁREA DE PROCESO")</f>
        <v>SE-19</v>
      </c>
      <c r="S1381" s="34" t="str">
        <f aca="false">IF(H1381="","SIN DATO",IFERROR(INDEX(cat_MarcaN,MATCH(H1381,cat_MarcaO,0)),H1381))</f>
        <v>ABB</v>
      </c>
      <c r="T1381" s="34" t="str">
        <f aca="false">IF(I1381="","SIN DATO",IFERROR(INDEX(cat_ModN,MATCH(I1381,cat_ModO,0)),I1381))</f>
        <v>REF615A_1G</v>
      </c>
      <c r="U1381" s="34" t="str">
        <f aca="false">IF(I1381="","",IFERROR(INDEX(cat_ModG,MATCH(I1381,cat_ModO,0)),"No"))</f>
        <v>No</v>
      </c>
      <c r="V1381" s="34" t="str">
        <f aca="false">IF(J1381="","SIN DATO",IFERROR(INDEX(cat_FunN,MATCH(J1381,cat_FunO,0)),J1381))</f>
        <v>Protección y medición</v>
      </c>
      <c r="W1381" s="34" t="str">
        <f aca="false">IF(OR(S1381="SIN DATO",T1381="SIN DATO"),"No","Sí")</f>
        <v>Sí</v>
      </c>
    </row>
    <row r="1382" customFormat="false" ht="15" hidden="false" customHeight="false" outlineLevel="0" collapsed="false">
      <c r="A1382" s="34" t="s">
        <v>5119</v>
      </c>
      <c r="B1382" s="34" t="s">
        <v>5120</v>
      </c>
      <c r="C1382" s="34" t="s">
        <v>5121</v>
      </c>
      <c r="D1382" s="34" t="s">
        <v>5106</v>
      </c>
      <c r="E1382" s="34" t="s">
        <v>170</v>
      </c>
      <c r="F1382" s="34" t="s">
        <v>1602</v>
      </c>
      <c r="G1382" s="34" t="s">
        <v>227</v>
      </c>
      <c r="H1382" s="34" t="s">
        <v>34</v>
      </c>
      <c r="I1382" s="34" t="s">
        <v>37</v>
      </c>
      <c r="J1382" s="34" t="s">
        <v>228</v>
      </c>
      <c r="K1382" s="34" t="s">
        <v>229</v>
      </c>
      <c r="L1382" s="34" t="s">
        <v>230</v>
      </c>
      <c r="M1382" s="34" t="s">
        <v>1663</v>
      </c>
      <c r="N1382" s="34" t="str">
        <f aca="false">"Sector "&amp;VALUE(MID(D1382,13,2))</f>
        <v>Sector 8</v>
      </c>
      <c r="O1382" s="34" t="str">
        <f aca="false">IF(Dashboard!$C$5="Ubicación técnica",N1382,"Sector "&amp;VALUE(RIGHT(G1382,2)))</f>
        <v>Sector 8</v>
      </c>
      <c r="P1382" s="34" t="str">
        <f aca="false">IF(MID(D1382,15,3)="SEL","Subestación eléctrica","Área de proceso")</f>
        <v>Subestación eléctrica</v>
      </c>
      <c r="Q1382" s="34" t="str">
        <f aca="false">MID(D1382,13,5)&amp;"|"&amp;MID(D1382,19,5)</f>
        <v>08SEL|S_016</v>
      </c>
      <c r="R1382" s="34" t="str">
        <f aca="false">IF(P1382="Subestación eléctrica",IFERROR(INDEX(cat_SubN,MATCH(Q1382,cat_SubK,0)),"SIN CATALOGAR"),"ÁREA DE PROCESO")</f>
        <v>SE-16</v>
      </c>
      <c r="S1382" s="34" t="str">
        <f aca="false">IF(H1382="","SIN DATO",IFERROR(INDEX(cat_MarcaN,MATCH(H1382,cat_MarcaO,0)),H1382))</f>
        <v>ABB</v>
      </c>
      <c r="T1382" s="34" t="str">
        <f aca="false">IF(I1382="","SIN DATO",IFERROR(INDEX(cat_ModN,MATCH(I1382,cat_ModO,0)),I1382))</f>
        <v>REF615A_1G</v>
      </c>
      <c r="U1382" s="34" t="str">
        <f aca="false">IF(I1382="","",IFERROR(INDEX(cat_ModG,MATCH(I1382,cat_ModO,0)),"No"))</f>
        <v>No</v>
      </c>
      <c r="V1382" s="34" t="str">
        <f aca="false">IF(J1382="","SIN DATO",IFERROR(INDEX(cat_FunN,MATCH(J1382,cat_FunO,0)),J1382))</f>
        <v>Protección y medición</v>
      </c>
      <c r="W1382" s="34" t="str">
        <f aca="false">IF(OR(S1382="SIN DATO",T1382="SIN DATO"),"No","Sí")</f>
        <v>Sí</v>
      </c>
    </row>
    <row r="1383" customFormat="false" ht="15" hidden="false" customHeight="false" outlineLevel="0" collapsed="false">
      <c r="A1383" s="34" t="s">
        <v>5122</v>
      </c>
      <c r="B1383" s="34" t="s">
        <v>5123</v>
      </c>
      <c r="C1383" s="34" t="s">
        <v>5124</v>
      </c>
      <c r="D1383" s="34" t="s">
        <v>5110</v>
      </c>
      <c r="E1383" s="34" t="s">
        <v>178</v>
      </c>
      <c r="F1383" s="34" t="s">
        <v>1602</v>
      </c>
      <c r="G1383" s="34" t="s">
        <v>227</v>
      </c>
      <c r="H1383" s="34" t="s">
        <v>34</v>
      </c>
      <c r="I1383" s="34" t="s">
        <v>37</v>
      </c>
      <c r="J1383" s="34" t="s">
        <v>228</v>
      </c>
      <c r="K1383" s="34" t="s">
        <v>229</v>
      </c>
      <c r="L1383" s="34" t="s">
        <v>230</v>
      </c>
      <c r="M1383" s="34" t="s">
        <v>1663</v>
      </c>
      <c r="N1383" s="34" t="str">
        <f aca="false">"Sector "&amp;VALUE(MID(D1383,13,2))</f>
        <v>Sector 8</v>
      </c>
      <c r="O1383" s="34" t="str">
        <f aca="false">IF(Dashboard!$C$5="Ubicación técnica",N1383,"Sector "&amp;VALUE(RIGHT(G1383,2)))</f>
        <v>Sector 8</v>
      </c>
      <c r="P1383" s="34" t="str">
        <f aca="false">IF(MID(D1383,15,3)="SEL","Subestación eléctrica","Área de proceso")</f>
        <v>Subestación eléctrica</v>
      </c>
      <c r="Q1383" s="34" t="str">
        <f aca="false">MID(D1383,13,5)&amp;"|"&amp;MID(D1383,19,5)</f>
        <v>08SEL|S_019</v>
      </c>
      <c r="R1383" s="34" t="str">
        <f aca="false">IF(P1383="Subestación eléctrica",IFERROR(INDEX(cat_SubN,MATCH(Q1383,cat_SubK,0)),"SIN CATALOGAR"),"ÁREA DE PROCESO")</f>
        <v>SE-19</v>
      </c>
      <c r="S1383" s="34" t="str">
        <f aca="false">IF(H1383="","SIN DATO",IFERROR(INDEX(cat_MarcaN,MATCH(H1383,cat_MarcaO,0)),H1383))</f>
        <v>ABB</v>
      </c>
      <c r="T1383" s="34" t="str">
        <f aca="false">IF(I1383="","SIN DATO",IFERROR(INDEX(cat_ModN,MATCH(I1383,cat_ModO,0)),I1383))</f>
        <v>REF615A_1G</v>
      </c>
      <c r="U1383" s="34" t="str">
        <f aca="false">IF(I1383="","",IFERROR(INDEX(cat_ModG,MATCH(I1383,cat_ModO,0)),"No"))</f>
        <v>No</v>
      </c>
      <c r="V1383" s="34" t="str">
        <f aca="false">IF(J1383="","SIN DATO",IFERROR(INDEX(cat_FunN,MATCH(J1383,cat_FunO,0)),J1383))</f>
        <v>Protección y medición</v>
      </c>
      <c r="W1383" s="34" t="str">
        <f aca="false">IF(OR(S1383="SIN DATO",T1383="SIN DATO"),"No","Sí")</f>
        <v>Sí</v>
      </c>
    </row>
    <row r="1384" customFormat="false" ht="15" hidden="false" customHeight="false" outlineLevel="0" collapsed="false">
      <c r="A1384" s="34" t="s">
        <v>5125</v>
      </c>
      <c r="B1384" s="34" t="s">
        <v>5126</v>
      </c>
      <c r="C1384" s="34" t="s">
        <v>5127</v>
      </c>
      <c r="D1384" s="34" t="s">
        <v>2313</v>
      </c>
      <c r="E1384" s="34" t="s">
        <v>138</v>
      </c>
      <c r="F1384" s="34" t="s">
        <v>1602</v>
      </c>
      <c r="G1384" s="34" t="s">
        <v>227</v>
      </c>
      <c r="H1384" s="34"/>
      <c r="I1384" s="34"/>
      <c r="J1384" s="34"/>
      <c r="K1384" s="34"/>
      <c r="L1384" s="34"/>
      <c r="M1384" s="34"/>
      <c r="N1384" s="34" t="str">
        <f aca="false">"Sector "&amp;VALUE(MID(D1384,13,2))</f>
        <v>Sector 6</v>
      </c>
      <c r="O1384" s="34" t="str">
        <f aca="false">IF(Dashboard!$C$5="Ubicación técnica",N1384,"Sector "&amp;VALUE(RIGHT(G1384,2)))</f>
        <v>Sector 6</v>
      </c>
      <c r="P1384" s="34" t="str">
        <f aca="false">IF(MID(D1384,15,3)="SEL","Subestación eléctrica","Área de proceso")</f>
        <v>Subestación eléctrica</v>
      </c>
      <c r="Q1384" s="34" t="str">
        <f aca="false">MID(D1384,13,5)&amp;"|"&amp;MID(D1384,19,5)</f>
        <v>06SEL|S_002</v>
      </c>
      <c r="R1384" s="34" t="str">
        <f aca="false">IF(P1384="Subestación eléctrica",IFERROR(INDEX(cat_SubN,MATCH(Q1384,cat_SubK,0)),"SIN CATALOGAR"),"ÁREA DE PROCESO")</f>
        <v>SE-02</v>
      </c>
      <c r="S1384" s="34" t="str">
        <f aca="false">IF(H1384="","SIN DATO",IFERROR(INDEX(cat_MarcaN,MATCH(H1384,cat_MarcaO,0)),H1384))</f>
        <v>SIN DATO</v>
      </c>
      <c r="T1384" s="34" t="str">
        <f aca="false">IF(I1384="","SIN DATO",IFERROR(INDEX(cat_ModN,MATCH(I1384,cat_ModO,0)),I1384))</f>
        <v>SIN DATO</v>
      </c>
      <c r="U1384" s="34" t="str">
        <f aca="false">IF(I1384="","",IFERROR(INDEX(cat_ModG,MATCH(I1384,cat_ModO,0)),"No"))</f>
        <v/>
      </c>
      <c r="V1384" s="34" t="str">
        <f aca="false">IF(J1384="","SIN DATO",IFERROR(INDEX(cat_FunN,MATCH(J1384,cat_FunO,0)),J1384))</f>
        <v>SIN DATO</v>
      </c>
      <c r="W1384" s="34" t="str">
        <f aca="false">IF(OR(S1384="SIN DATO",T1384="SIN DATO"),"No","Sí")</f>
        <v>No</v>
      </c>
    </row>
    <row r="1385" customFormat="false" ht="15" hidden="false" customHeight="false" outlineLevel="0" collapsed="false">
      <c r="A1385" s="34" t="s">
        <v>5128</v>
      </c>
      <c r="B1385" s="34" t="s">
        <v>5129</v>
      </c>
      <c r="C1385" s="34" t="s">
        <v>5130</v>
      </c>
      <c r="D1385" s="34" t="s">
        <v>2317</v>
      </c>
      <c r="E1385" s="34" t="s">
        <v>138</v>
      </c>
      <c r="F1385" s="34" t="s">
        <v>1602</v>
      </c>
      <c r="G1385" s="34" t="s">
        <v>227</v>
      </c>
      <c r="H1385" s="34"/>
      <c r="I1385" s="34"/>
      <c r="J1385" s="34"/>
      <c r="K1385" s="34"/>
      <c r="L1385" s="34"/>
      <c r="M1385" s="34"/>
      <c r="N1385" s="34" t="str">
        <f aca="false">"Sector "&amp;VALUE(MID(D1385,13,2))</f>
        <v>Sector 6</v>
      </c>
      <c r="O1385" s="34" t="str">
        <f aca="false">IF(Dashboard!$C$5="Ubicación técnica",N1385,"Sector "&amp;VALUE(RIGHT(G1385,2)))</f>
        <v>Sector 6</v>
      </c>
      <c r="P1385" s="34" t="str">
        <f aca="false">IF(MID(D1385,15,3)="SEL","Subestación eléctrica","Área de proceso")</f>
        <v>Subestación eléctrica</v>
      </c>
      <c r="Q1385" s="34" t="str">
        <f aca="false">MID(D1385,13,5)&amp;"|"&amp;MID(D1385,19,5)</f>
        <v>06SEL|S_002</v>
      </c>
      <c r="R1385" s="34" t="str">
        <f aca="false">IF(P1385="Subestación eléctrica",IFERROR(INDEX(cat_SubN,MATCH(Q1385,cat_SubK,0)),"SIN CATALOGAR"),"ÁREA DE PROCESO")</f>
        <v>SE-02</v>
      </c>
      <c r="S1385" s="34" t="str">
        <f aca="false">IF(H1385="","SIN DATO",IFERROR(INDEX(cat_MarcaN,MATCH(H1385,cat_MarcaO,0)),H1385))</f>
        <v>SIN DATO</v>
      </c>
      <c r="T1385" s="34" t="str">
        <f aca="false">IF(I1385="","SIN DATO",IFERROR(INDEX(cat_ModN,MATCH(I1385,cat_ModO,0)),I1385))</f>
        <v>SIN DATO</v>
      </c>
      <c r="U1385" s="34" t="str">
        <f aca="false">IF(I1385="","",IFERROR(INDEX(cat_ModG,MATCH(I1385,cat_ModO,0)),"No"))</f>
        <v/>
      </c>
      <c r="V1385" s="34" t="str">
        <f aca="false">IF(J1385="","SIN DATO",IFERROR(INDEX(cat_FunN,MATCH(J1385,cat_FunO,0)),J1385))</f>
        <v>SIN DATO</v>
      </c>
      <c r="W1385" s="34" t="str">
        <f aca="false">IF(OR(S1385="SIN DATO",T1385="SIN DATO"),"No","Sí")</f>
        <v>No</v>
      </c>
    </row>
    <row r="1386" customFormat="false" ht="15" hidden="false" customHeight="false" outlineLevel="0" collapsed="false">
      <c r="A1386" s="34" t="s">
        <v>5131</v>
      </c>
      <c r="B1386" s="34" t="s">
        <v>5132</v>
      </c>
      <c r="C1386" s="34" t="s">
        <v>5133</v>
      </c>
      <c r="D1386" s="34" t="s">
        <v>2321</v>
      </c>
      <c r="E1386" s="34" t="s">
        <v>170</v>
      </c>
      <c r="F1386" s="34" t="s">
        <v>1602</v>
      </c>
      <c r="G1386" s="34" t="s">
        <v>227</v>
      </c>
      <c r="H1386" s="34" t="s">
        <v>34</v>
      </c>
      <c r="I1386" s="34" t="s">
        <v>37</v>
      </c>
      <c r="J1386" s="34" t="s">
        <v>228</v>
      </c>
      <c r="K1386" s="34" t="s">
        <v>229</v>
      </c>
      <c r="L1386" s="34" t="s">
        <v>230</v>
      </c>
      <c r="M1386" s="34" t="s">
        <v>1663</v>
      </c>
      <c r="N1386" s="34" t="str">
        <f aca="false">"Sector "&amp;VALUE(MID(D1386,13,2))</f>
        <v>Sector 8</v>
      </c>
      <c r="O1386" s="34" t="str">
        <f aca="false">IF(Dashboard!$C$5="Ubicación técnica",N1386,"Sector "&amp;VALUE(RIGHT(G1386,2)))</f>
        <v>Sector 8</v>
      </c>
      <c r="P1386" s="34" t="str">
        <f aca="false">IF(MID(D1386,15,3)="SEL","Subestación eléctrica","Área de proceso")</f>
        <v>Subestación eléctrica</v>
      </c>
      <c r="Q1386" s="34" t="str">
        <f aca="false">MID(D1386,13,5)&amp;"|"&amp;MID(D1386,19,5)</f>
        <v>08SEL|S_016</v>
      </c>
      <c r="R1386" s="34" t="str">
        <f aca="false">IF(P1386="Subestación eléctrica",IFERROR(INDEX(cat_SubN,MATCH(Q1386,cat_SubK,0)),"SIN CATALOGAR"),"ÁREA DE PROCESO")</f>
        <v>SE-16</v>
      </c>
      <c r="S1386" s="34" t="str">
        <f aca="false">IF(H1386="","SIN DATO",IFERROR(INDEX(cat_MarcaN,MATCH(H1386,cat_MarcaO,0)),H1386))</f>
        <v>ABB</v>
      </c>
      <c r="T1386" s="34" t="str">
        <f aca="false">IF(I1386="","SIN DATO",IFERROR(INDEX(cat_ModN,MATCH(I1386,cat_ModO,0)),I1386))</f>
        <v>REF615A_1G</v>
      </c>
      <c r="U1386" s="34" t="str">
        <f aca="false">IF(I1386="","",IFERROR(INDEX(cat_ModG,MATCH(I1386,cat_ModO,0)),"No"))</f>
        <v>No</v>
      </c>
      <c r="V1386" s="34" t="str">
        <f aca="false">IF(J1386="","SIN DATO",IFERROR(INDEX(cat_FunN,MATCH(J1386,cat_FunO,0)),J1386))</f>
        <v>Protección y medición</v>
      </c>
      <c r="W1386" s="34" t="str">
        <f aca="false">IF(OR(S1386="SIN DATO",T1386="SIN DATO"),"No","Sí")</f>
        <v>Sí</v>
      </c>
    </row>
    <row r="1387" customFormat="false" ht="15" hidden="false" customHeight="false" outlineLevel="0" collapsed="false">
      <c r="A1387" s="34" t="s">
        <v>5134</v>
      </c>
      <c r="B1387" s="34" t="s">
        <v>5135</v>
      </c>
      <c r="C1387" s="34" t="s">
        <v>5136</v>
      </c>
      <c r="D1387" s="34" t="s">
        <v>2325</v>
      </c>
      <c r="E1387" s="34" t="s">
        <v>170</v>
      </c>
      <c r="F1387" s="34" t="s">
        <v>1602</v>
      </c>
      <c r="G1387" s="34" t="s">
        <v>227</v>
      </c>
      <c r="H1387" s="34" t="s">
        <v>34</v>
      </c>
      <c r="I1387" s="34" t="s">
        <v>37</v>
      </c>
      <c r="J1387" s="34" t="s">
        <v>228</v>
      </c>
      <c r="K1387" s="34" t="s">
        <v>229</v>
      </c>
      <c r="L1387" s="34" t="s">
        <v>230</v>
      </c>
      <c r="M1387" s="34" t="s">
        <v>1663</v>
      </c>
      <c r="N1387" s="34" t="str">
        <f aca="false">"Sector "&amp;VALUE(MID(D1387,13,2))</f>
        <v>Sector 8</v>
      </c>
      <c r="O1387" s="34" t="str">
        <f aca="false">IF(Dashboard!$C$5="Ubicación técnica",N1387,"Sector "&amp;VALUE(RIGHT(G1387,2)))</f>
        <v>Sector 8</v>
      </c>
      <c r="P1387" s="34" t="str">
        <f aca="false">IF(MID(D1387,15,3)="SEL","Subestación eléctrica","Área de proceso")</f>
        <v>Subestación eléctrica</v>
      </c>
      <c r="Q1387" s="34" t="str">
        <f aca="false">MID(D1387,13,5)&amp;"|"&amp;MID(D1387,19,5)</f>
        <v>08SEL|S_016</v>
      </c>
      <c r="R1387" s="34" t="str">
        <f aca="false">IF(P1387="Subestación eléctrica",IFERROR(INDEX(cat_SubN,MATCH(Q1387,cat_SubK,0)),"SIN CATALOGAR"),"ÁREA DE PROCESO")</f>
        <v>SE-16</v>
      </c>
      <c r="S1387" s="34" t="str">
        <f aca="false">IF(H1387="","SIN DATO",IFERROR(INDEX(cat_MarcaN,MATCH(H1387,cat_MarcaO,0)),H1387))</f>
        <v>ABB</v>
      </c>
      <c r="T1387" s="34" t="str">
        <f aca="false">IF(I1387="","SIN DATO",IFERROR(INDEX(cat_ModN,MATCH(I1387,cat_ModO,0)),I1387))</f>
        <v>REF615A_1G</v>
      </c>
      <c r="U1387" s="34" t="str">
        <f aca="false">IF(I1387="","",IFERROR(INDEX(cat_ModG,MATCH(I1387,cat_ModO,0)),"No"))</f>
        <v>No</v>
      </c>
      <c r="V1387" s="34" t="str">
        <f aca="false">IF(J1387="","SIN DATO",IFERROR(INDEX(cat_FunN,MATCH(J1387,cat_FunO,0)),J1387))</f>
        <v>Protección y medición</v>
      </c>
      <c r="W1387" s="34" t="str">
        <f aca="false">IF(OR(S1387="SIN DATO",T1387="SIN DATO"),"No","Sí")</f>
        <v>Sí</v>
      </c>
    </row>
    <row r="1388" customFormat="false" ht="15" hidden="false" customHeight="false" outlineLevel="0" collapsed="false">
      <c r="A1388" s="34" t="s">
        <v>5137</v>
      </c>
      <c r="B1388" s="34" t="s">
        <v>5138</v>
      </c>
      <c r="C1388" s="34" t="s">
        <v>5139</v>
      </c>
      <c r="D1388" s="34" t="s">
        <v>2329</v>
      </c>
      <c r="E1388" s="34" t="s">
        <v>178</v>
      </c>
      <c r="F1388" s="34" t="s">
        <v>1602</v>
      </c>
      <c r="G1388" s="34" t="s">
        <v>227</v>
      </c>
      <c r="H1388" s="34" t="s">
        <v>34</v>
      </c>
      <c r="I1388" s="34" t="s">
        <v>37</v>
      </c>
      <c r="J1388" s="34" t="s">
        <v>228</v>
      </c>
      <c r="K1388" s="34" t="s">
        <v>229</v>
      </c>
      <c r="L1388" s="34" t="s">
        <v>230</v>
      </c>
      <c r="M1388" s="34" t="s">
        <v>1663</v>
      </c>
      <c r="N1388" s="34" t="str">
        <f aca="false">"Sector "&amp;VALUE(MID(D1388,13,2))</f>
        <v>Sector 8</v>
      </c>
      <c r="O1388" s="34" t="str">
        <f aca="false">IF(Dashboard!$C$5="Ubicación técnica",N1388,"Sector "&amp;VALUE(RIGHT(G1388,2)))</f>
        <v>Sector 8</v>
      </c>
      <c r="P1388" s="34" t="str">
        <f aca="false">IF(MID(D1388,15,3)="SEL","Subestación eléctrica","Área de proceso")</f>
        <v>Subestación eléctrica</v>
      </c>
      <c r="Q1388" s="34" t="str">
        <f aca="false">MID(D1388,13,5)&amp;"|"&amp;MID(D1388,19,5)</f>
        <v>08SEL|S_019</v>
      </c>
      <c r="R1388" s="34" t="str">
        <f aca="false">IF(P1388="Subestación eléctrica",IFERROR(INDEX(cat_SubN,MATCH(Q1388,cat_SubK,0)),"SIN CATALOGAR"),"ÁREA DE PROCESO")</f>
        <v>SE-19</v>
      </c>
      <c r="S1388" s="34" t="str">
        <f aca="false">IF(H1388="","SIN DATO",IFERROR(INDEX(cat_MarcaN,MATCH(H1388,cat_MarcaO,0)),H1388))</f>
        <v>ABB</v>
      </c>
      <c r="T1388" s="34" t="str">
        <f aca="false">IF(I1388="","SIN DATO",IFERROR(INDEX(cat_ModN,MATCH(I1388,cat_ModO,0)),I1388))</f>
        <v>REF615A_1G</v>
      </c>
      <c r="U1388" s="34" t="str">
        <f aca="false">IF(I1388="","",IFERROR(INDEX(cat_ModG,MATCH(I1388,cat_ModO,0)),"No"))</f>
        <v>No</v>
      </c>
      <c r="V1388" s="34" t="str">
        <f aca="false">IF(J1388="","SIN DATO",IFERROR(INDEX(cat_FunN,MATCH(J1388,cat_FunO,0)),J1388))</f>
        <v>Protección y medición</v>
      </c>
      <c r="W1388" s="34" t="str">
        <f aca="false">IF(OR(S1388="SIN DATO",T1388="SIN DATO"),"No","Sí")</f>
        <v>Sí</v>
      </c>
    </row>
    <row r="1389" customFormat="false" ht="15" hidden="false" customHeight="false" outlineLevel="0" collapsed="false">
      <c r="A1389" s="34" t="s">
        <v>5140</v>
      </c>
      <c r="B1389" s="34" t="s">
        <v>5141</v>
      </c>
      <c r="C1389" s="34" t="s">
        <v>5142</v>
      </c>
      <c r="D1389" s="34" t="s">
        <v>2333</v>
      </c>
      <c r="E1389" s="34" t="s">
        <v>178</v>
      </c>
      <c r="F1389" s="34" t="s">
        <v>1602</v>
      </c>
      <c r="G1389" s="34" t="s">
        <v>227</v>
      </c>
      <c r="H1389" s="34" t="s">
        <v>34</v>
      </c>
      <c r="I1389" s="34" t="s">
        <v>37</v>
      </c>
      <c r="J1389" s="34" t="s">
        <v>228</v>
      </c>
      <c r="K1389" s="34" t="s">
        <v>229</v>
      </c>
      <c r="L1389" s="34" t="s">
        <v>230</v>
      </c>
      <c r="M1389" s="34" t="s">
        <v>1663</v>
      </c>
      <c r="N1389" s="34" t="str">
        <f aca="false">"Sector "&amp;VALUE(MID(D1389,13,2))</f>
        <v>Sector 8</v>
      </c>
      <c r="O1389" s="34" t="str">
        <f aca="false">IF(Dashboard!$C$5="Ubicación técnica",N1389,"Sector "&amp;VALUE(RIGHT(G1389,2)))</f>
        <v>Sector 8</v>
      </c>
      <c r="P1389" s="34" t="str">
        <f aca="false">IF(MID(D1389,15,3)="SEL","Subestación eléctrica","Área de proceso")</f>
        <v>Subestación eléctrica</v>
      </c>
      <c r="Q1389" s="34" t="str">
        <f aca="false">MID(D1389,13,5)&amp;"|"&amp;MID(D1389,19,5)</f>
        <v>08SEL|S_019</v>
      </c>
      <c r="R1389" s="34" t="str">
        <f aca="false">IF(P1389="Subestación eléctrica",IFERROR(INDEX(cat_SubN,MATCH(Q1389,cat_SubK,0)),"SIN CATALOGAR"),"ÁREA DE PROCESO")</f>
        <v>SE-19</v>
      </c>
      <c r="S1389" s="34" t="str">
        <f aca="false">IF(H1389="","SIN DATO",IFERROR(INDEX(cat_MarcaN,MATCH(H1389,cat_MarcaO,0)),H1389))</f>
        <v>ABB</v>
      </c>
      <c r="T1389" s="34" t="str">
        <f aca="false">IF(I1389="","SIN DATO",IFERROR(INDEX(cat_ModN,MATCH(I1389,cat_ModO,0)),I1389))</f>
        <v>REF615A_1G</v>
      </c>
      <c r="U1389" s="34" t="str">
        <f aca="false">IF(I1389="","",IFERROR(INDEX(cat_ModG,MATCH(I1389,cat_ModO,0)),"No"))</f>
        <v>No</v>
      </c>
      <c r="V1389" s="34" t="str">
        <f aca="false">IF(J1389="","SIN DATO",IFERROR(INDEX(cat_FunN,MATCH(J1389,cat_FunO,0)),J1389))</f>
        <v>Protección y medición</v>
      </c>
      <c r="W1389" s="34" t="str">
        <f aca="false">IF(OR(S1389="SIN DATO",T1389="SIN DATO"),"No","Sí")</f>
        <v>Sí</v>
      </c>
    </row>
    <row r="1390" customFormat="false" ht="15" hidden="false" customHeight="false" outlineLevel="0" collapsed="false">
      <c r="A1390" s="34" t="s">
        <v>5143</v>
      </c>
      <c r="B1390" s="34" t="s">
        <v>5144</v>
      </c>
      <c r="C1390" s="34" t="s">
        <v>5145</v>
      </c>
      <c r="D1390" s="34" t="s">
        <v>2179</v>
      </c>
      <c r="E1390" s="34" t="s">
        <v>178</v>
      </c>
      <c r="F1390" s="34" t="s">
        <v>1602</v>
      </c>
      <c r="G1390" s="34" t="s">
        <v>227</v>
      </c>
      <c r="H1390" s="34" t="s">
        <v>34</v>
      </c>
      <c r="I1390" s="34" t="s">
        <v>37</v>
      </c>
      <c r="J1390" s="34" t="s">
        <v>228</v>
      </c>
      <c r="K1390" s="34" t="s">
        <v>229</v>
      </c>
      <c r="L1390" s="34" t="s">
        <v>230</v>
      </c>
      <c r="M1390" s="34" t="s">
        <v>1663</v>
      </c>
      <c r="N1390" s="34" t="str">
        <f aca="false">"Sector "&amp;VALUE(MID(D1390,13,2))</f>
        <v>Sector 8</v>
      </c>
      <c r="O1390" s="34" t="str">
        <f aca="false">IF(Dashboard!$C$5="Ubicación técnica",N1390,"Sector "&amp;VALUE(RIGHT(G1390,2)))</f>
        <v>Sector 8</v>
      </c>
      <c r="P1390" s="34" t="str">
        <f aca="false">IF(MID(D1390,15,3)="SEL","Subestación eléctrica","Área de proceso")</f>
        <v>Subestación eléctrica</v>
      </c>
      <c r="Q1390" s="34" t="str">
        <f aca="false">MID(D1390,13,5)&amp;"|"&amp;MID(D1390,19,5)</f>
        <v>08SEL|S_019</v>
      </c>
      <c r="R1390" s="34" t="str">
        <f aca="false">IF(P1390="Subestación eléctrica",IFERROR(INDEX(cat_SubN,MATCH(Q1390,cat_SubK,0)),"SIN CATALOGAR"),"ÁREA DE PROCESO")</f>
        <v>SE-19</v>
      </c>
      <c r="S1390" s="34" t="str">
        <f aca="false">IF(H1390="","SIN DATO",IFERROR(INDEX(cat_MarcaN,MATCH(H1390,cat_MarcaO,0)),H1390))</f>
        <v>ABB</v>
      </c>
      <c r="T1390" s="34" t="str">
        <f aca="false">IF(I1390="","SIN DATO",IFERROR(INDEX(cat_ModN,MATCH(I1390,cat_ModO,0)),I1390))</f>
        <v>REF615A_1G</v>
      </c>
      <c r="U1390" s="34" t="str">
        <f aca="false">IF(I1390="","",IFERROR(INDEX(cat_ModG,MATCH(I1390,cat_ModO,0)),"No"))</f>
        <v>No</v>
      </c>
      <c r="V1390" s="34" t="str">
        <f aca="false">IF(J1390="","SIN DATO",IFERROR(INDEX(cat_FunN,MATCH(J1390,cat_FunO,0)),J1390))</f>
        <v>Protección y medición</v>
      </c>
      <c r="W1390" s="34" t="str">
        <f aca="false">IF(OR(S1390="SIN DATO",T1390="SIN DATO"),"No","Sí")</f>
        <v>Sí</v>
      </c>
    </row>
    <row r="1391" customFormat="false" ht="15" hidden="false" customHeight="false" outlineLevel="0" collapsed="false">
      <c r="A1391" s="34" t="s">
        <v>5146</v>
      </c>
      <c r="B1391" s="34" t="s">
        <v>5147</v>
      </c>
      <c r="C1391" s="34" t="s">
        <v>5148</v>
      </c>
      <c r="D1391" s="34" t="s">
        <v>2183</v>
      </c>
      <c r="E1391" s="34" t="s">
        <v>178</v>
      </c>
      <c r="F1391" s="34" t="s">
        <v>1602</v>
      </c>
      <c r="G1391" s="34" t="s">
        <v>227</v>
      </c>
      <c r="H1391" s="34" t="s">
        <v>34</v>
      </c>
      <c r="I1391" s="34" t="s">
        <v>37</v>
      </c>
      <c r="J1391" s="34" t="s">
        <v>228</v>
      </c>
      <c r="K1391" s="34" t="s">
        <v>229</v>
      </c>
      <c r="L1391" s="34" t="s">
        <v>230</v>
      </c>
      <c r="M1391" s="34" t="s">
        <v>1663</v>
      </c>
      <c r="N1391" s="34" t="str">
        <f aca="false">"Sector "&amp;VALUE(MID(D1391,13,2))</f>
        <v>Sector 8</v>
      </c>
      <c r="O1391" s="34" t="str">
        <f aca="false">IF(Dashboard!$C$5="Ubicación técnica",N1391,"Sector "&amp;VALUE(RIGHT(G1391,2)))</f>
        <v>Sector 8</v>
      </c>
      <c r="P1391" s="34" t="str">
        <f aca="false">IF(MID(D1391,15,3)="SEL","Subestación eléctrica","Área de proceso")</f>
        <v>Subestación eléctrica</v>
      </c>
      <c r="Q1391" s="34" t="str">
        <f aca="false">MID(D1391,13,5)&amp;"|"&amp;MID(D1391,19,5)</f>
        <v>08SEL|S_019</v>
      </c>
      <c r="R1391" s="34" t="str">
        <f aca="false">IF(P1391="Subestación eléctrica",IFERROR(INDEX(cat_SubN,MATCH(Q1391,cat_SubK,0)),"SIN CATALOGAR"),"ÁREA DE PROCESO")</f>
        <v>SE-19</v>
      </c>
      <c r="S1391" s="34" t="str">
        <f aca="false">IF(H1391="","SIN DATO",IFERROR(INDEX(cat_MarcaN,MATCH(H1391,cat_MarcaO,0)),H1391))</f>
        <v>ABB</v>
      </c>
      <c r="T1391" s="34" t="str">
        <f aca="false">IF(I1391="","SIN DATO",IFERROR(INDEX(cat_ModN,MATCH(I1391,cat_ModO,0)),I1391))</f>
        <v>REF615A_1G</v>
      </c>
      <c r="U1391" s="34" t="str">
        <f aca="false">IF(I1391="","",IFERROR(INDEX(cat_ModG,MATCH(I1391,cat_ModO,0)),"No"))</f>
        <v>No</v>
      </c>
      <c r="V1391" s="34" t="str">
        <f aca="false">IF(J1391="","SIN DATO",IFERROR(INDEX(cat_FunN,MATCH(J1391,cat_FunO,0)),J1391))</f>
        <v>Protección y medición</v>
      </c>
      <c r="W1391" s="34" t="str">
        <f aca="false">IF(OR(S1391="SIN DATO",T1391="SIN DATO"),"No","Sí")</f>
        <v>Sí</v>
      </c>
    </row>
    <row r="1392" customFormat="false" ht="15" hidden="false" customHeight="false" outlineLevel="0" collapsed="false">
      <c r="A1392" s="34" t="s">
        <v>5149</v>
      </c>
      <c r="B1392" s="34" t="s">
        <v>5150</v>
      </c>
      <c r="C1392" s="34" t="s">
        <v>5151</v>
      </c>
      <c r="D1392" s="34" t="s">
        <v>2337</v>
      </c>
      <c r="E1392" s="34" t="s">
        <v>184</v>
      </c>
      <c r="F1392" s="34" t="s">
        <v>1602</v>
      </c>
      <c r="G1392" s="34" t="s">
        <v>227</v>
      </c>
      <c r="H1392" s="34" t="s">
        <v>34</v>
      </c>
      <c r="I1392" s="34" t="s">
        <v>37</v>
      </c>
      <c r="J1392" s="34" t="s">
        <v>228</v>
      </c>
      <c r="K1392" s="34" t="s">
        <v>229</v>
      </c>
      <c r="L1392" s="34" t="s">
        <v>230</v>
      </c>
      <c r="M1392" s="34" t="s">
        <v>231</v>
      </c>
      <c r="N1392" s="34" t="str">
        <f aca="false">"Sector "&amp;VALUE(MID(D1392,13,2))</f>
        <v>Sector 8</v>
      </c>
      <c r="O1392" s="34" t="str">
        <f aca="false">IF(Dashboard!$C$5="Ubicación técnica",N1392,"Sector "&amp;VALUE(RIGHT(G1392,2)))</f>
        <v>Sector 8</v>
      </c>
      <c r="P1392" s="34" t="str">
        <f aca="false">IF(MID(D1392,15,3)="SEL","Subestación eléctrica","Área de proceso")</f>
        <v>Subestación eléctrica</v>
      </c>
      <c r="Q1392" s="34" t="str">
        <f aca="false">MID(D1392,13,5)&amp;"|"&amp;MID(D1392,19,5)</f>
        <v>08SEL|SEP02</v>
      </c>
      <c r="R1392" s="34" t="str">
        <f aca="false">IF(P1392="Subestación eléctrica",IFERROR(INDEX(cat_SubN,MATCH(Q1392,cat_SubK,0)),"SIN CATALOGAR"),"ÁREA DE PROCESO")</f>
        <v>SEP-02</v>
      </c>
      <c r="S1392" s="34" t="str">
        <f aca="false">IF(H1392="","SIN DATO",IFERROR(INDEX(cat_MarcaN,MATCH(H1392,cat_MarcaO,0)),H1392))</f>
        <v>ABB</v>
      </c>
      <c r="T1392" s="34" t="str">
        <f aca="false">IF(I1392="","SIN DATO",IFERROR(INDEX(cat_ModN,MATCH(I1392,cat_ModO,0)),I1392))</f>
        <v>REF615A_1G</v>
      </c>
      <c r="U1392" s="34" t="str">
        <f aca="false">IF(I1392="","",IFERROR(INDEX(cat_ModG,MATCH(I1392,cat_ModO,0)),"No"))</f>
        <v>No</v>
      </c>
      <c r="V1392" s="34" t="str">
        <f aca="false">IF(J1392="","SIN DATO",IFERROR(INDEX(cat_FunN,MATCH(J1392,cat_FunO,0)),J1392))</f>
        <v>Protección y medición</v>
      </c>
      <c r="W1392" s="34" t="str">
        <f aca="false">IF(OR(S1392="SIN DATO",T1392="SIN DATO"),"No","Sí")</f>
        <v>Sí</v>
      </c>
    </row>
    <row r="1393" customFormat="false" ht="15" hidden="false" customHeight="false" outlineLevel="0" collapsed="false">
      <c r="A1393" s="34" t="s">
        <v>5152</v>
      </c>
      <c r="B1393" s="34" t="s">
        <v>5153</v>
      </c>
      <c r="C1393" s="34" t="s">
        <v>5154</v>
      </c>
      <c r="D1393" s="34" t="s">
        <v>2293</v>
      </c>
      <c r="E1393" s="34" t="s">
        <v>184</v>
      </c>
      <c r="F1393" s="34" t="s">
        <v>1602</v>
      </c>
      <c r="G1393" s="34" t="s">
        <v>227</v>
      </c>
      <c r="H1393" s="34" t="s">
        <v>34</v>
      </c>
      <c r="I1393" s="34" t="s">
        <v>37</v>
      </c>
      <c r="J1393" s="34" t="s">
        <v>228</v>
      </c>
      <c r="K1393" s="34" t="s">
        <v>229</v>
      </c>
      <c r="L1393" s="34" t="s">
        <v>230</v>
      </c>
      <c r="M1393" s="34" t="s">
        <v>231</v>
      </c>
      <c r="N1393" s="34" t="str">
        <f aca="false">"Sector "&amp;VALUE(MID(D1393,13,2))</f>
        <v>Sector 8</v>
      </c>
      <c r="O1393" s="34" t="str">
        <f aca="false">IF(Dashboard!$C$5="Ubicación técnica",N1393,"Sector "&amp;VALUE(RIGHT(G1393,2)))</f>
        <v>Sector 8</v>
      </c>
      <c r="P1393" s="34" t="str">
        <f aca="false">IF(MID(D1393,15,3)="SEL","Subestación eléctrica","Área de proceso")</f>
        <v>Subestación eléctrica</v>
      </c>
      <c r="Q1393" s="34" t="str">
        <f aca="false">MID(D1393,13,5)&amp;"|"&amp;MID(D1393,19,5)</f>
        <v>08SEL|SEP02</v>
      </c>
      <c r="R1393" s="34" t="str">
        <f aca="false">IF(P1393="Subestación eléctrica",IFERROR(INDEX(cat_SubN,MATCH(Q1393,cat_SubK,0)),"SIN CATALOGAR"),"ÁREA DE PROCESO")</f>
        <v>SEP-02</v>
      </c>
      <c r="S1393" s="34" t="str">
        <f aca="false">IF(H1393="","SIN DATO",IFERROR(INDEX(cat_MarcaN,MATCH(H1393,cat_MarcaO,0)),H1393))</f>
        <v>ABB</v>
      </c>
      <c r="T1393" s="34" t="str">
        <f aca="false">IF(I1393="","SIN DATO",IFERROR(INDEX(cat_ModN,MATCH(I1393,cat_ModO,0)),I1393))</f>
        <v>REF615A_1G</v>
      </c>
      <c r="U1393" s="34" t="str">
        <f aca="false">IF(I1393="","",IFERROR(INDEX(cat_ModG,MATCH(I1393,cat_ModO,0)),"No"))</f>
        <v>No</v>
      </c>
      <c r="V1393" s="34" t="str">
        <f aca="false">IF(J1393="","SIN DATO",IFERROR(INDEX(cat_FunN,MATCH(J1393,cat_FunO,0)),J1393))</f>
        <v>Protección y medición</v>
      </c>
      <c r="W1393" s="34" t="str">
        <f aca="false">IF(OR(S1393="SIN DATO",T1393="SIN DATO"),"No","Sí")</f>
        <v>Sí</v>
      </c>
    </row>
    <row r="1394" customFormat="false" ht="15" hidden="false" customHeight="false" outlineLevel="0" collapsed="false">
      <c r="A1394" s="34" t="s">
        <v>5155</v>
      </c>
      <c r="B1394" s="34" t="s">
        <v>5156</v>
      </c>
      <c r="C1394" s="34" t="s">
        <v>5157</v>
      </c>
      <c r="D1394" s="34" t="s">
        <v>2179</v>
      </c>
      <c r="E1394" s="34" t="s">
        <v>178</v>
      </c>
      <c r="F1394" s="34" t="s">
        <v>1602</v>
      </c>
      <c r="G1394" s="34" t="s">
        <v>227</v>
      </c>
      <c r="H1394" s="34" t="s">
        <v>34</v>
      </c>
      <c r="I1394" s="34" t="s">
        <v>40</v>
      </c>
      <c r="J1394" s="34" t="s">
        <v>681</v>
      </c>
      <c r="K1394" s="34" t="s">
        <v>229</v>
      </c>
      <c r="L1394" s="34" t="s">
        <v>230</v>
      </c>
      <c r="M1394" s="34"/>
      <c r="N1394" s="34" t="str">
        <f aca="false">"Sector "&amp;VALUE(MID(D1394,13,2))</f>
        <v>Sector 8</v>
      </c>
      <c r="O1394" s="34" t="str">
        <f aca="false">IF(Dashboard!$C$5="Ubicación técnica",N1394,"Sector "&amp;VALUE(RIGHT(G1394,2)))</f>
        <v>Sector 8</v>
      </c>
      <c r="P1394" s="34" t="str">
        <f aca="false">IF(MID(D1394,15,3)="SEL","Subestación eléctrica","Área de proceso")</f>
        <v>Subestación eléctrica</v>
      </c>
      <c r="Q1394" s="34" t="str">
        <f aca="false">MID(D1394,13,5)&amp;"|"&amp;MID(D1394,19,5)</f>
        <v>08SEL|S_019</v>
      </c>
      <c r="R1394" s="34" t="str">
        <f aca="false">IF(P1394="Subestación eléctrica",IFERROR(INDEX(cat_SubN,MATCH(Q1394,cat_SubK,0)),"SIN CATALOGAR"),"ÁREA DE PROCESO")</f>
        <v>SE-19</v>
      </c>
      <c r="S1394" s="34" t="str">
        <f aca="false">IF(H1394="","SIN DATO",IFERROR(INDEX(cat_MarcaN,MATCH(H1394,cat_MarcaO,0)),H1394))</f>
        <v>ABB</v>
      </c>
      <c r="T1394" s="34" t="str">
        <f aca="false">IF(I1394="","SIN DATO",IFERROR(INDEX(cat_ModN,MATCH(I1394,cat_ModO,0)),I1394))</f>
        <v>REA 101</v>
      </c>
      <c r="U1394" s="34" t="str">
        <f aca="false">IF(I1394="","",IFERROR(INDEX(cat_ModG,MATCH(I1394,cat_ModO,0)),"No"))</f>
        <v>No</v>
      </c>
      <c r="V1394" s="34" t="str">
        <f aca="false">IF(J1394="","SIN DATO",IFERROR(INDEX(cat_FunN,MATCH(J1394,cat_FunO,0)),J1394))</f>
        <v>Protección</v>
      </c>
      <c r="W1394" s="34" t="str">
        <f aca="false">IF(OR(S1394="SIN DATO",T1394="SIN DATO"),"No","Sí")</f>
        <v>Sí</v>
      </c>
    </row>
    <row r="1395" customFormat="false" ht="15" hidden="false" customHeight="false" outlineLevel="0" collapsed="false">
      <c r="A1395" s="34" t="s">
        <v>5158</v>
      </c>
      <c r="B1395" s="34" t="s">
        <v>5159</v>
      </c>
      <c r="C1395" s="34" t="s">
        <v>5160</v>
      </c>
      <c r="D1395" s="34" t="s">
        <v>5161</v>
      </c>
      <c r="E1395" s="34" t="s">
        <v>182</v>
      </c>
      <c r="F1395" s="34" t="s">
        <v>1602</v>
      </c>
      <c r="G1395" s="34" t="s">
        <v>227</v>
      </c>
      <c r="H1395" s="34" t="s">
        <v>73</v>
      </c>
      <c r="I1395" s="34" t="s">
        <v>77</v>
      </c>
      <c r="J1395" s="34" t="s">
        <v>228</v>
      </c>
      <c r="K1395" s="34" t="s">
        <v>236</v>
      </c>
      <c r="L1395" s="34" t="s">
        <v>230</v>
      </c>
      <c r="M1395" s="34" t="s">
        <v>237</v>
      </c>
      <c r="N1395" s="34" t="str">
        <f aca="false">"Sector "&amp;VALUE(MID(D1395,13,2))</f>
        <v>Sector 8</v>
      </c>
      <c r="O1395" s="34" t="str">
        <f aca="false">IF(Dashboard!$C$5="Ubicación técnica",N1395,"Sector "&amp;VALUE(RIGHT(G1395,2)))</f>
        <v>Sector 8</v>
      </c>
      <c r="P1395" s="34" t="str">
        <f aca="false">IF(MID(D1395,15,3)="SEL","Subestación eléctrica","Área de proceso")</f>
        <v>Subestación eléctrica</v>
      </c>
      <c r="Q1395" s="34" t="str">
        <f aca="false">MID(D1395,13,5)&amp;"|"&amp;MID(D1395,19,5)</f>
        <v>08SEL|S_030</v>
      </c>
      <c r="R1395" s="34" t="str">
        <f aca="false">IF(P1395="Subestación eléctrica",IFERROR(INDEX(cat_SubN,MATCH(Q1395,cat_SubK,0)),"SIN CATALOGAR"),"ÁREA DE PROCESO")</f>
        <v>SE-30</v>
      </c>
      <c r="S1395" s="34" t="str">
        <f aca="false">IF(H1395="","SIN DATO",IFERROR(INDEX(cat_MarcaN,MATCH(H1395,cat_MarcaO,0)),H1395))</f>
        <v>SIEMENS</v>
      </c>
      <c r="T1395" s="34" t="str">
        <f aca="false">IF(I1395="","SIN DATO",IFERROR(INDEX(cat_ModN,MATCH(I1395,cat_ModO,0)),I1395))</f>
        <v>7SR5711</v>
      </c>
      <c r="U1395" s="34" t="str">
        <f aca="false">IF(I1395="","",IFERROR(INDEX(cat_ModG,MATCH(I1395,cat_ModO,0)),"No"))</f>
        <v>No</v>
      </c>
      <c r="V1395" s="34" t="str">
        <f aca="false">IF(J1395="","SIN DATO",IFERROR(INDEX(cat_FunN,MATCH(J1395,cat_FunO,0)),J1395))</f>
        <v>Protección y medición</v>
      </c>
      <c r="W1395" s="34" t="str">
        <f aca="false">IF(OR(S1395="SIN DATO",T1395="SIN DATO"),"No","Sí")</f>
        <v>Sí</v>
      </c>
    </row>
    <row r="1396" customFormat="false" ht="15" hidden="false" customHeight="false" outlineLevel="0" collapsed="false">
      <c r="A1396" s="34" t="s">
        <v>5162</v>
      </c>
      <c r="B1396" s="34" t="s">
        <v>5163</v>
      </c>
      <c r="C1396" s="34" t="s">
        <v>5164</v>
      </c>
      <c r="D1396" s="34" t="s">
        <v>5161</v>
      </c>
      <c r="E1396" s="34" t="s">
        <v>182</v>
      </c>
      <c r="F1396" s="34" t="s">
        <v>1602</v>
      </c>
      <c r="G1396" s="34" t="s">
        <v>227</v>
      </c>
      <c r="H1396" s="34" t="s">
        <v>73</v>
      </c>
      <c r="I1396" s="34" t="s">
        <v>77</v>
      </c>
      <c r="J1396" s="34" t="s">
        <v>228</v>
      </c>
      <c r="K1396" s="34" t="s">
        <v>236</v>
      </c>
      <c r="L1396" s="34" t="s">
        <v>230</v>
      </c>
      <c r="M1396" s="34" t="s">
        <v>237</v>
      </c>
      <c r="N1396" s="34" t="str">
        <f aca="false">"Sector "&amp;VALUE(MID(D1396,13,2))</f>
        <v>Sector 8</v>
      </c>
      <c r="O1396" s="34" t="str">
        <f aca="false">IF(Dashboard!$C$5="Ubicación técnica",N1396,"Sector "&amp;VALUE(RIGHT(G1396,2)))</f>
        <v>Sector 8</v>
      </c>
      <c r="P1396" s="34" t="str">
        <f aca="false">IF(MID(D1396,15,3)="SEL","Subestación eléctrica","Área de proceso")</f>
        <v>Subestación eléctrica</v>
      </c>
      <c r="Q1396" s="34" t="str">
        <f aca="false">MID(D1396,13,5)&amp;"|"&amp;MID(D1396,19,5)</f>
        <v>08SEL|S_030</v>
      </c>
      <c r="R1396" s="34" t="str">
        <f aca="false">IF(P1396="Subestación eléctrica",IFERROR(INDEX(cat_SubN,MATCH(Q1396,cat_SubK,0)),"SIN CATALOGAR"),"ÁREA DE PROCESO")</f>
        <v>SE-30</v>
      </c>
      <c r="S1396" s="34" t="str">
        <f aca="false">IF(H1396="","SIN DATO",IFERROR(INDEX(cat_MarcaN,MATCH(H1396,cat_MarcaO,0)),H1396))</f>
        <v>SIEMENS</v>
      </c>
      <c r="T1396" s="34" t="str">
        <f aca="false">IF(I1396="","SIN DATO",IFERROR(INDEX(cat_ModN,MATCH(I1396,cat_ModO,0)),I1396))</f>
        <v>7SR5711</v>
      </c>
      <c r="U1396" s="34" t="str">
        <f aca="false">IF(I1396="","",IFERROR(INDEX(cat_ModG,MATCH(I1396,cat_ModO,0)),"No"))</f>
        <v>No</v>
      </c>
      <c r="V1396" s="34" t="str">
        <f aca="false">IF(J1396="","SIN DATO",IFERROR(INDEX(cat_FunN,MATCH(J1396,cat_FunO,0)),J1396))</f>
        <v>Protección y medición</v>
      </c>
      <c r="W1396" s="34" t="str">
        <f aca="false">IF(OR(S1396="SIN DATO",T1396="SIN DATO"),"No","Sí")</f>
        <v>Sí</v>
      </c>
    </row>
    <row r="1397" customFormat="false" ht="15" hidden="false" customHeight="false" outlineLevel="0" collapsed="false">
      <c r="A1397" s="34" t="s">
        <v>5165</v>
      </c>
      <c r="B1397" s="34" t="s">
        <v>5166</v>
      </c>
      <c r="C1397" s="34" t="s">
        <v>5167</v>
      </c>
      <c r="D1397" s="34" t="s">
        <v>2337</v>
      </c>
      <c r="E1397" s="34" t="s">
        <v>184</v>
      </c>
      <c r="F1397" s="34" t="s">
        <v>1602</v>
      </c>
      <c r="G1397" s="34" t="s">
        <v>227</v>
      </c>
      <c r="H1397" s="34" t="s">
        <v>1358</v>
      </c>
      <c r="I1397" s="34" t="s">
        <v>64</v>
      </c>
      <c r="J1397" s="34" t="s">
        <v>228</v>
      </c>
      <c r="K1397" s="34" t="s">
        <v>229</v>
      </c>
      <c r="L1397" s="34" t="s">
        <v>230</v>
      </c>
      <c r="M1397" s="34" t="s">
        <v>237</v>
      </c>
      <c r="N1397" s="34" t="str">
        <f aca="false">"Sector "&amp;VALUE(MID(D1397,13,2))</f>
        <v>Sector 8</v>
      </c>
      <c r="O1397" s="34" t="str">
        <f aca="false">IF(Dashboard!$C$5="Ubicación técnica",N1397,"Sector "&amp;VALUE(RIGHT(G1397,2)))</f>
        <v>Sector 8</v>
      </c>
      <c r="P1397" s="34" t="str">
        <f aca="false">IF(MID(D1397,15,3)="SEL","Subestación eléctrica","Área de proceso")</f>
        <v>Subestación eléctrica</v>
      </c>
      <c r="Q1397" s="34" t="str">
        <f aca="false">MID(D1397,13,5)&amp;"|"&amp;MID(D1397,19,5)</f>
        <v>08SEL|SEP02</v>
      </c>
      <c r="R1397" s="34" t="str">
        <f aca="false">IF(P1397="Subestación eléctrica",IFERROR(INDEX(cat_SubN,MATCH(Q1397,cat_SubK,0)),"SIN CATALOGAR"),"ÁREA DE PROCESO")</f>
        <v>SEP-02</v>
      </c>
      <c r="S1397" s="34" t="str">
        <f aca="false">IF(H1397="","SIN DATO",IFERROR(INDEX(cat_MarcaN,MATCH(H1397,cat_MarcaO,0)),H1397))</f>
        <v>GENERAL ELECTRIC</v>
      </c>
      <c r="T1397" s="34" t="str">
        <f aca="false">IF(I1397="","SIN DATO",IFERROR(INDEX(cat_ModN,MATCH(I1397,cat_ModO,0)),I1397))</f>
        <v>MULTILIN 350</v>
      </c>
      <c r="U1397" s="34" t="str">
        <f aca="false">IF(I1397="","",IFERROR(INDEX(cat_ModG,MATCH(I1397,cat_ModO,0)),"No"))</f>
        <v>No</v>
      </c>
      <c r="V1397" s="34" t="str">
        <f aca="false">IF(J1397="","SIN DATO",IFERROR(INDEX(cat_FunN,MATCH(J1397,cat_FunO,0)),J1397))</f>
        <v>Protección y medición</v>
      </c>
      <c r="W1397" s="34" t="str">
        <f aca="false">IF(OR(S1397="SIN DATO",T1397="SIN DATO"),"No","Sí")</f>
        <v>Sí</v>
      </c>
    </row>
    <row r="1398" customFormat="false" ht="15" hidden="false" customHeight="false" outlineLevel="0" collapsed="false">
      <c r="A1398" s="34" t="s">
        <v>5168</v>
      </c>
      <c r="B1398" s="34" t="s">
        <v>5169</v>
      </c>
      <c r="C1398" s="34" t="s">
        <v>5170</v>
      </c>
      <c r="D1398" s="34" t="s">
        <v>2337</v>
      </c>
      <c r="E1398" s="34" t="s">
        <v>184</v>
      </c>
      <c r="F1398" s="34" t="s">
        <v>1602</v>
      </c>
      <c r="G1398" s="34" t="s">
        <v>227</v>
      </c>
      <c r="H1398" s="34" t="s">
        <v>1358</v>
      </c>
      <c r="I1398" s="34" t="s">
        <v>64</v>
      </c>
      <c r="J1398" s="34" t="s">
        <v>228</v>
      </c>
      <c r="K1398" s="34" t="s">
        <v>229</v>
      </c>
      <c r="L1398" s="34" t="s">
        <v>230</v>
      </c>
      <c r="M1398" s="34" t="s">
        <v>237</v>
      </c>
      <c r="N1398" s="34" t="str">
        <f aca="false">"Sector "&amp;VALUE(MID(D1398,13,2))</f>
        <v>Sector 8</v>
      </c>
      <c r="O1398" s="34" t="str">
        <f aca="false">IF(Dashboard!$C$5="Ubicación técnica",N1398,"Sector "&amp;VALUE(RIGHT(G1398,2)))</f>
        <v>Sector 8</v>
      </c>
      <c r="P1398" s="34" t="str">
        <f aca="false">IF(MID(D1398,15,3)="SEL","Subestación eléctrica","Área de proceso")</f>
        <v>Subestación eléctrica</v>
      </c>
      <c r="Q1398" s="34" t="str">
        <f aca="false">MID(D1398,13,5)&amp;"|"&amp;MID(D1398,19,5)</f>
        <v>08SEL|SEP02</v>
      </c>
      <c r="R1398" s="34" t="str">
        <f aca="false">IF(P1398="Subestación eléctrica",IFERROR(INDEX(cat_SubN,MATCH(Q1398,cat_SubK,0)),"SIN CATALOGAR"),"ÁREA DE PROCESO")</f>
        <v>SEP-02</v>
      </c>
      <c r="S1398" s="34" t="str">
        <f aca="false">IF(H1398="","SIN DATO",IFERROR(INDEX(cat_MarcaN,MATCH(H1398,cat_MarcaO,0)),H1398))</f>
        <v>GENERAL ELECTRIC</v>
      </c>
      <c r="T1398" s="34" t="str">
        <f aca="false">IF(I1398="","SIN DATO",IFERROR(INDEX(cat_ModN,MATCH(I1398,cat_ModO,0)),I1398))</f>
        <v>MULTILIN 350</v>
      </c>
      <c r="U1398" s="34" t="str">
        <f aca="false">IF(I1398="","",IFERROR(INDEX(cat_ModG,MATCH(I1398,cat_ModO,0)),"No"))</f>
        <v>No</v>
      </c>
      <c r="V1398" s="34" t="str">
        <f aca="false">IF(J1398="","SIN DATO",IFERROR(INDEX(cat_FunN,MATCH(J1398,cat_FunO,0)),J1398))</f>
        <v>Protección y medición</v>
      </c>
      <c r="W1398" s="34" t="str">
        <f aca="false">IF(OR(S1398="SIN DATO",T1398="SIN DATO"),"No","Sí")</f>
        <v>Sí</v>
      </c>
    </row>
    <row r="1399" customFormat="false" ht="15" hidden="false" customHeight="false" outlineLevel="0" collapsed="false">
      <c r="A1399" s="34" t="s">
        <v>5171</v>
      </c>
      <c r="B1399" s="34" t="s">
        <v>5172</v>
      </c>
      <c r="C1399" s="34" t="s">
        <v>5173</v>
      </c>
      <c r="D1399" s="34" t="s">
        <v>2293</v>
      </c>
      <c r="E1399" s="34" t="s">
        <v>184</v>
      </c>
      <c r="F1399" s="34" t="s">
        <v>1602</v>
      </c>
      <c r="G1399" s="34" t="s">
        <v>227</v>
      </c>
      <c r="H1399" s="34" t="s">
        <v>1358</v>
      </c>
      <c r="I1399" s="34" t="s">
        <v>64</v>
      </c>
      <c r="J1399" s="34" t="s">
        <v>228</v>
      </c>
      <c r="K1399" s="34" t="s">
        <v>229</v>
      </c>
      <c r="L1399" s="34" t="s">
        <v>230</v>
      </c>
      <c r="M1399" s="34" t="s">
        <v>237</v>
      </c>
      <c r="N1399" s="34" t="str">
        <f aca="false">"Sector "&amp;VALUE(MID(D1399,13,2))</f>
        <v>Sector 8</v>
      </c>
      <c r="O1399" s="34" t="str">
        <f aca="false">IF(Dashboard!$C$5="Ubicación técnica",N1399,"Sector "&amp;VALUE(RIGHT(G1399,2)))</f>
        <v>Sector 8</v>
      </c>
      <c r="P1399" s="34" t="str">
        <f aca="false">IF(MID(D1399,15,3)="SEL","Subestación eléctrica","Área de proceso")</f>
        <v>Subestación eléctrica</v>
      </c>
      <c r="Q1399" s="34" t="str">
        <f aca="false">MID(D1399,13,5)&amp;"|"&amp;MID(D1399,19,5)</f>
        <v>08SEL|SEP02</v>
      </c>
      <c r="R1399" s="34" t="str">
        <f aca="false">IF(P1399="Subestación eléctrica",IFERROR(INDEX(cat_SubN,MATCH(Q1399,cat_SubK,0)),"SIN CATALOGAR"),"ÁREA DE PROCESO")</f>
        <v>SEP-02</v>
      </c>
      <c r="S1399" s="34" t="str">
        <f aca="false">IF(H1399="","SIN DATO",IFERROR(INDEX(cat_MarcaN,MATCH(H1399,cat_MarcaO,0)),H1399))</f>
        <v>GENERAL ELECTRIC</v>
      </c>
      <c r="T1399" s="34" t="str">
        <f aca="false">IF(I1399="","SIN DATO",IFERROR(INDEX(cat_ModN,MATCH(I1399,cat_ModO,0)),I1399))</f>
        <v>MULTILIN 350</v>
      </c>
      <c r="U1399" s="34" t="str">
        <f aca="false">IF(I1399="","",IFERROR(INDEX(cat_ModG,MATCH(I1399,cat_ModO,0)),"No"))</f>
        <v>No</v>
      </c>
      <c r="V1399" s="34" t="str">
        <f aca="false">IF(J1399="","SIN DATO",IFERROR(INDEX(cat_FunN,MATCH(J1399,cat_FunO,0)),J1399))</f>
        <v>Protección y medición</v>
      </c>
      <c r="W1399" s="34" t="str">
        <f aca="false">IF(OR(S1399="SIN DATO",T1399="SIN DATO"),"No","Sí")</f>
        <v>Sí</v>
      </c>
    </row>
    <row r="1400" customFormat="false" ht="15" hidden="false" customHeight="false" outlineLevel="0" collapsed="false">
      <c r="A1400" s="34" t="s">
        <v>5174</v>
      </c>
      <c r="B1400" s="34" t="s">
        <v>5175</v>
      </c>
      <c r="C1400" s="34" t="s">
        <v>5176</v>
      </c>
      <c r="D1400" s="34" t="s">
        <v>2293</v>
      </c>
      <c r="E1400" s="34" t="s">
        <v>184</v>
      </c>
      <c r="F1400" s="34" t="s">
        <v>1602</v>
      </c>
      <c r="G1400" s="34" t="s">
        <v>227</v>
      </c>
      <c r="H1400" s="34" t="s">
        <v>1358</v>
      </c>
      <c r="I1400" s="34" t="s">
        <v>64</v>
      </c>
      <c r="J1400" s="34" t="s">
        <v>228</v>
      </c>
      <c r="K1400" s="34" t="s">
        <v>229</v>
      </c>
      <c r="L1400" s="34" t="s">
        <v>230</v>
      </c>
      <c r="M1400" s="34" t="s">
        <v>237</v>
      </c>
      <c r="N1400" s="34" t="str">
        <f aca="false">"Sector "&amp;VALUE(MID(D1400,13,2))</f>
        <v>Sector 8</v>
      </c>
      <c r="O1400" s="34" t="str">
        <f aca="false">IF(Dashboard!$C$5="Ubicación técnica",N1400,"Sector "&amp;VALUE(RIGHT(G1400,2)))</f>
        <v>Sector 8</v>
      </c>
      <c r="P1400" s="34" t="str">
        <f aca="false">IF(MID(D1400,15,3)="SEL","Subestación eléctrica","Área de proceso")</f>
        <v>Subestación eléctrica</v>
      </c>
      <c r="Q1400" s="34" t="str">
        <f aca="false">MID(D1400,13,5)&amp;"|"&amp;MID(D1400,19,5)</f>
        <v>08SEL|SEP02</v>
      </c>
      <c r="R1400" s="34" t="str">
        <f aca="false">IF(P1400="Subestación eléctrica",IFERROR(INDEX(cat_SubN,MATCH(Q1400,cat_SubK,0)),"SIN CATALOGAR"),"ÁREA DE PROCESO")</f>
        <v>SEP-02</v>
      </c>
      <c r="S1400" s="34" t="str">
        <f aca="false">IF(H1400="","SIN DATO",IFERROR(INDEX(cat_MarcaN,MATCH(H1400,cat_MarcaO,0)),H1400))</f>
        <v>GENERAL ELECTRIC</v>
      </c>
      <c r="T1400" s="34" t="str">
        <f aca="false">IF(I1400="","SIN DATO",IFERROR(INDEX(cat_ModN,MATCH(I1400,cat_ModO,0)),I1400))</f>
        <v>MULTILIN 350</v>
      </c>
      <c r="U1400" s="34" t="str">
        <f aca="false">IF(I1400="","",IFERROR(INDEX(cat_ModG,MATCH(I1400,cat_ModO,0)),"No"))</f>
        <v>No</v>
      </c>
      <c r="V1400" s="34" t="str">
        <f aca="false">IF(J1400="","SIN DATO",IFERROR(INDEX(cat_FunN,MATCH(J1400,cat_FunO,0)),J1400))</f>
        <v>Protección y medición</v>
      </c>
      <c r="W1400" s="34" t="str">
        <f aca="false">IF(OR(S1400="SIN DATO",T1400="SIN DATO"),"No","Sí")</f>
        <v>Sí</v>
      </c>
    </row>
    <row r="1401" customFormat="false" ht="15" hidden="false" customHeight="false" outlineLevel="0" collapsed="false">
      <c r="A1401" s="34" t="s">
        <v>5177</v>
      </c>
      <c r="B1401" s="34" t="s">
        <v>5178</v>
      </c>
      <c r="C1401" s="34" t="s">
        <v>5179</v>
      </c>
      <c r="D1401" s="34" t="s">
        <v>2344</v>
      </c>
      <c r="E1401" s="34" t="s">
        <v>184</v>
      </c>
      <c r="F1401" s="34" t="s">
        <v>1602</v>
      </c>
      <c r="G1401" s="34" t="s">
        <v>227</v>
      </c>
      <c r="H1401" s="34" t="s">
        <v>1358</v>
      </c>
      <c r="I1401" s="34" t="s">
        <v>64</v>
      </c>
      <c r="J1401" s="34" t="s">
        <v>228</v>
      </c>
      <c r="K1401" s="34" t="s">
        <v>229</v>
      </c>
      <c r="L1401" s="34" t="s">
        <v>230</v>
      </c>
      <c r="M1401" s="34" t="s">
        <v>237</v>
      </c>
      <c r="N1401" s="34" t="str">
        <f aca="false">"Sector "&amp;VALUE(MID(D1401,13,2))</f>
        <v>Sector 8</v>
      </c>
      <c r="O1401" s="34" t="str">
        <f aca="false">IF(Dashboard!$C$5="Ubicación técnica",N1401,"Sector "&amp;VALUE(RIGHT(G1401,2)))</f>
        <v>Sector 8</v>
      </c>
      <c r="P1401" s="34" t="str">
        <f aca="false">IF(MID(D1401,15,3)="SEL","Subestación eléctrica","Área de proceso")</f>
        <v>Subestación eléctrica</v>
      </c>
      <c r="Q1401" s="34" t="str">
        <f aca="false">MID(D1401,13,5)&amp;"|"&amp;MID(D1401,19,5)</f>
        <v>08SEL|SEP02</v>
      </c>
      <c r="R1401" s="34" t="str">
        <f aca="false">IF(P1401="Subestación eléctrica",IFERROR(INDEX(cat_SubN,MATCH(Q1401,cat_SubK,0)),"SIN CATALOGAR"),"ÁREA DE PROCESO")</f>
        <v>SEP-02</v>
      </c>
      <c r="S1401" s="34" t="str">
        <f aca="false">IF(H1401="","SIN DATO",IFERROR(INDEX(cat_MarcaN,MATCH(H1401,cat_MarcaO,0)),H1401))</f>
        <v>GENERAL ELECTRIC</v>
      </c>
      <c r="T1401" s="34" t="str">
        <f aca="false">IF(I1401="","SIN DATO",IFERROR(INDEX(cat_ModN,MATCH(I1401,cat_ModO,0)),I1401))</f>
        <v>MULTILIN 350</v>
      </c>
      <c r="U1401" s="34" t="str">
        <f aca="false">IF(I1401="","",IFERROR(INDEX(cat_ModG,MATCH(I1401,cat_ModO,0)),"No"))</f>
        <v>No</v>
      </c>
      <c r="V1401" s="34" t="str">
        <f aca="false">IF(J1401="","SIN DATO",IFERROR(INDEX(cat_FunN,MATCH(J1401,cat_FunO,0)),J1401))</f>
        <v>Protección y medición</v>
      </c>
      <c r="W1401" s="34" t="str">
        <f aca="false">IF(OR(S1401="SIN DATO",T1401="SIN DATO"),"No","Sí")</f>
        <v>Sí</v>
      </c>
    </row>
    <row r="1402" customFormat="false" ht="15" hidden="false" customHeight="false" outlineLevel="0" collapsed="false">
      <c r="A1402" s="34" t="s">
        <v>5180</v>
      </c>
      <c r="B1402" s="34" t="s">
        <v>5181</v>
      </c>
      <c r="C1402" s="34" t="s">
        <v>5182</v>
      </c>
      <c r="D1402" s="34" t="s">
        <v>2344</v>
      </c>
      <c r="E1402" s="34" t="s">
        <v>184</v>
      </c>
      <c r="F1402" s="34" t="s">
        <v>1602</v>
      </c>
      <c r="G1402" s="34" t="s">
        <v>227</v>
      </c>
      <c r="H1402" s="34" t="s">
        <v>1358</v>
      </c>
      <c r="I1402" s="34" t="s">
        <v>64</v>
      </c>
      <c r="J1402" s="34" t="s">
        <v>228</v>
      </c>
      <c r="K1402" s="34" t="s">
        <v>229</v>
      </c>
      <c r="L1402" s="34" t="s">
        <v>230</v>
      </c>
      <c r="M1402" s="34" t="s">
        <v>237</v>
      </c>
      <c r="N1402" s="34" t="str">
        <f aca="false">"Sector "&amp;VALUE(MID(D1402,13,2))</f>
        <v>Sector 8</v>
      </c>
      <c r="O1402" s="34" t="str">
        <f aca="false">IF(Dashboard!$C$5="Ubicación técnica",N1402,"Sector "&amp;VALUE(RIGHT(G1402,2)))</f>
        <v>Sector 8</v>
      </c>
      <c r="P1402" s="34" t="str">
        <f aca="false">IF(MID(D1402,15,3)="SEL","Subestación eléctrica","Área de proceso")</f>
        <v>Subestación eléctrica</v>
      </c>
      <c r="Q1402" s="34" t="str">
        <f aca="false">MID(D1402,13,5)&amp;"|"&amp;MID(D1402,19,5)</f>
        <v>08SEL|SEP02</v>
      </c>
      <c r="R1402" s="34" t="str">
        <f aca="false">IF(P1402="Subestación eléctrica",IFERROR(INDEX(cat_SubN,MATCH(Q1402,cat_SubK,0)),"SIN CATALOGAR"),"ÁREA DE PROCESO")</f>
        <v>SEP-02</v>
      </c>
      <c r="S1402" s="34" t="str">
        <f aca="false">IF(H1402="","SIN DATO",IFERROR(INDEX(cat_MarcaN,MATCH(H1402,cat_MarcaO,0)),H1402))</f>
        <v>GENERAL ELECTRIC</v>
      </c>
      <c r="T1402" s="34" t="str">
        <f aca="false">IF(I1402="","SIN DATO",IFERROR(INDEX(cat_ModN,MATCH(I1402,cat_ModO,0)),I1402))</f>
        <v>MULTILIN 350</v>
      </c>
      <c r="U1402" s="34" t="str">
        <f aca="false">IF(I1402="","",IFERROR(INDEX(cat_ModG,MATCH(I1402,cat_ModO,0)),"No"))</f>
        <v>No</v>
      </c>
      <c r="V1402" s="34" t="str">
        <f aca="false">IF(J1402="","SIN DATO",IFERROR(INDEX(cat_FunN,MATCH(J1402,cat_FunO,0)),J1402))</f>
        <v>Protección y medición</v>
      </c>
      <c r="W1402" s="34" t="str">
        <f aca="false">IF(OR(S1402="SIN DATO",T1402="SIN DATO"),"No","Sí")</f>
        <v>Sí</v>
      </c>
    </row>
    <row r="1403" customFormat="false" ht="15" hidden="false" customHeight="false" outlineLevel="0" collapsed="false">
      <c r="A1403" s="34" t="s">
        <v>5183</v>
      </c>
      <c r="B1403" s="34" t="s">
        <v>5184</v>
      </c>
      <c r="C1403" s="34" t="s">
        <v>5185</v>
      </c>
      <c r="D1403" s="34" t="s">
        <v>2145</v>
      </c>
      <c r="E1403" s="34" t="s">
        <v>184</v>
      </c>
      <c r="F1403" s="34" t="s">
        <v>1602</v>
      </c>
      <c r="G1403" s="34" t="s">
        <v>227</v>
      </c>
      <c r="H1403" s="34" t="s">
        <v>1358</v>
      </c>
      <c r="I1403" s="34" t="s">
        <v>64</v>
      </c>
      <c r="J1403" s="34" t="s">
        <v>228</v>
      </c>
      <c r="K1403" s="34" t="s">
        <v>229</v>
      </c>
      <c r="L1403" s="34" t="s">
        <v>230</v>
      </c>
      <c r="M1403" s="34" t="s">
        <v>237</v>
      </c>
      <c r="N1403" s="34" t="str">
        <f aca="false">"Sector "&amp;VALUE(MID(D1403,13,2))</f>
        <v>Sector 8</v>
      </c>
      <c r="O1403" s="34" t="str">
        <f aca="false">IF(Dashboard!$C$5="Ubicación técnica",N1403,"Sector "&amp;VALUE(RIGHT(G1403,2)))</f>
        <v>Sector 8</v>
      </c>
      <c r="P1403" s="34" t="str">
        <f aca="false">IF(MID(D1403,15,3)="SEL","Subestación eléctrica","Área de proceso")</f>
        <v>Subestación eléctrica</v>
      </c>
      <c r="Q1403" s="34" t="str">
        <f aca="false">MID(D1403,13,5)&amp;"|"&amp;MID(D1403,19,5)</f>
        <v>08SEL|SEP02</v>
      </c>
      <c r="R1403" s="34" t="str">
        <f aca="false">IF(P1403="Subestación eléctrica",IFERROR(INDEX(cat_SubN,MATCH(Q1403,cat_SubK,0)),"SIN CATALOGAR"),"ÁREA DE PROCESO")</f>
        <v>SEP-02</v>
      </c>
      <c r="S1403" s="34" t="str">
        <f aca="false">IF(H1403="","SIN DATO",IFERROR(INDEX(cat_MarcaN,MATCH(H1403,cat_MarcaO,0)),H1403))</f>
        <v>GENERAL ELECTRIC</v>
      </c>
      <c r="T1403" s="34" t="str">
        <f aca="false">IF(I1403="","SIN DATO",IFERROR(INDEX(cat_ModN,MATCH(I1403,cat_ModO,0)),I1403))</f>
        <v>MULTILIN 350</v>
      </c>
      <c r="U1403" s="34" t="str">
        <f aca="false">IF(I1403="","",IFERROR(INDEX(cat_ModG,MATCH(I1403,cat_ModO,0)),"No"))</f>
        <v>No</v>
      </c>
      <c r="V1403" s="34" t="str">
        <f aca="false">IF(J1403="","SIN DATO",IFERROR(INDEX(cat_FunN,MATCH(J1403,cat_FunO,0)),J1403))</f>
        <v>Protección y medición</v>
      </c>
      <c r="W1403" s="34" t="str">
        <f aca="false">IF(OR(S1403="SIN DATO",T1403="SIN DATO"),"No","Sí")</f>
        <v>Sí</v>
      </c>
    </row>
    <row r="1404" customFormat="false" ht="15" hidden="false" customHeight="false" outlineLevel="0" collapsed="false">
      <c r="A1404" s="34" t="s">
        <v>5186</v>
      </c>
      <c r="B1404" s="34" t="s">
        <v>5187</v>
      </c>
      <c r="C1404" s="34" t="s">
        <v>5188</v>
      </c>
      <c r="D1404" s="34" t="s">
        <v>2145</v>
      </c>
      <c r="E1404" s="34" t="s">
        <v>184</v>
      </c>
      <c r="F1404" s="34" t="s">
        <v>1602</v>
      </c>
      <c r="G1404" s="34" t="s">
        <v>227</v>
      </c>
      <c r="H1404" s="34" t="s">
        <v>1358</v>
      </c>
      <c r="I1404" s="34" t="s">
        <v>64</v>
      </c>
      <c r="J1404" s="34" t="s">
        <v>228</v>
      </c>
      <c r="K1404" s="34" t="s">
        <v>229</v>
      </c>
      <c r="L1404" s="34" t="s">
        <v>230</v>
      </c>
      <c r="M1404" s="34" t="s">
        <v>237</v>
      </c>
      <c r="N1404" s="34" t="str">
        <f aca="false">"Sector "&amp;VALUE(MID(D1404,13,2))</f>
        <v>Sector 8</v>
      </c>
      <c r="O1404" s="34" t="str">
        <f aca="false">IF(Dashboard!$C$5="Ubicación técnica",N1404,"Sector "&amp;VALUE(RIGHT(G1404,2)))</f>
        <v>Sector 8</v>
      </c>
      <c r="P1404" s="34" t="str">
        <f aca="false">IF(MID(D1404,15,3)="SEL","Subestación eléctrica","Área de proceso")</f>
        <v>Subestación eléctrica</v>
      </c>
      <c r="Q1404" s="34" t="str">
        <f aca="false">MID(D1404,13,5)&amp;"|"&amp;MID(D1404,19,5)</f>
        <v>08SEL|SEP02</v>
      </c>
      <c r="R1404" s="34" t="str">
        <f aca="false">IF(P1404="Subestación eléctrica",IFERROR(INDEX(cat_SubN,MATCH(Q1404,cat_SubK,0)),"SIN CATALOGAR"),"ÁREA DE PROCESO")</f>
        <v>SEP-02</v>
      </c>
      <c r="S1404" s="34" t="str">
        <f aca="false">IF(H1404="","SIN DATO",IFERROR(INDEX(cat_MarcaN,MATCH(H1404,cat_MarcaO,0)),H1404))</f>
        <v>GENERAL ELECTRIC</v>
      </c>
      <c r="T1404" s="34" t="str">
        <f aca="false">IF(I1404="","SIN DATO",IFERROR(INDEX(cat_ModN,MATCH(I1404,cat_ModO,0)),I1404))</f>
        <v>MULTILIN 350</v>
      </c>
      <c r="U1404" s="34" t="str">
        <f aca="false">IF(I1404="","",IFERROR(INDEX(cat_ModG,MATCH(I1404,cat_ModO,0)),"No"))</f>
        <v>No</v>
      </c>
      <c r="V1404" s="34" t="str">
        <f aca="false">IF(J1404="","SIN DATO",IFERROR(INDEX(cat_FunN,MATCH(J1404,cat_FunO,0)),J1404))</f>
        <v>Protección y medición</v>
      </c>
      <c r="W1404" s="34" t="str">
        <f aca="false">IF(OR(S1404="SIN DATO",T1404="SIN DATO"),"No","Sí")</f>
        <v>Sí</v>
      </c>
    </row>
    <row r="1405" customFormat="false" ht="15" hidden="false" customHeight="false" outlineLevel="0" collapsed="false">
      <c r="A1405" s="34" t="s">
        <v>5189</v>
      </c>
      <c r="B1405" s="34" t="s">
        <v>5190</v>
      </c>
      <c r="C1405" s="34" t="s">
        <v>5191</v>
      </c>
      <c r="D1405" s="34" t="s">
        <v>5192</v>
      </c>
      <c r="E1405" s="34" t="s">
        <v>176</v>
      </c>
      <c r="F1405" s="34" t="s">
        <v>1602</v>
      </c>
      <c r="G1405" s="34" t="s">
        <v>227</v>
      </c>
      <c r="H1405" s="34"/>
      <c r="I1405" s="34"/>
      <c r="J1405" s="34"/>
      <c r="K1405" s="34"/>
      <c r="L1405" s="34"/>
      <c r="M1405" s="34"/>
      <c r="N1405" s="34" t="str">
        <f aca="false">"Sector "&amp;VALUE(MID(D1405,13,2))</f>
        <v>Sector 8</v>
      </c>
      <c r="O1405" s="34" t="str">
        <f aca="false">IF(Dashboard!$C$5="Ubicación técnica",N1405,"Sector "&amp;VALUE(RIGHT(G1405,2)))</f>
        <v>Sector 8</v>
      </c>
      <c r="P1405" s="34" t="str">
        <f aca="false">IF(MID(D1405,15,3)="SEL","Subestación eléctrica","Área de proceso")</f>
        <v>Subestación eléctrica</v>
      </c>
      <c r="Q1405" s="34" t="str">
        <f aca="false">MID(D1405,13,5)&amp;"|"&amp;MID(D1405,19,5)</f>
        <v>08SEL|S18_1</v>
      </c>
      <c r="R1405" s="34" t="str">
        <f aca="false">IF(P1405="Subestación eléctrica",IFERROR(INDEX(cat_SubN,MATCH(Q1405,cat_SubK,0)),"SIN CATALOGAR"),"ÁREA DE PROCESO")</f>
        <v>SE-18-1</v>
      </c>
      <c r="S1405" s="34" t="str">
        <f aca="false">IF(H1405="","SIN DATO",IFERROR(INDEX(cat_MarcaN,MATCH(H1405,cat_MarcaO,0)),H1405))</f>
        <v>SIN DATO</v>
      </c>
      <c r="T1405" s="34" t="str">
        <f aca="false">IF(I1405="","SIN DATO",IFERROR(INDEX(cat_ModN,MATCH(I1405,cat_ModO,0)),I1405))</f>
        <v>SIN DATO</v>
      </c>
      <c r="U1405" s="34" t="str">
        <f aca="false">IF(I1405="","",IFERROR(INDEX(cat_ModG,MATCH(I1405,cat_ModO,0)),"No"))</f>
        <v/>
      </c>
      <c r="V1405" s="34" t="str">
        <f aca="false">IF(J1405="","SIN DATO",IFERROR(INDEX(cat_FunN,MATCH(J1405,cat_FunO,0)),J1405))</f>
        <v>SIN DATO</v>
      </c>
      <c r="W1405" s="34" t="str">
        <f aca="false">IF(OR(S1405="SIN DATO",T1405="SIN DATO"),"No","Sí")</f>
        <v>No</v>
      </c>
    </row>
    <row r="1406" customFormat="false" ht="15" hidden="false" customHeight="false" outlineLevel="0" collapsed="false">
      <c r="A1406" s="34" t="s">
        <v>5193</v>
      </c>
      <c r="B1406" s="34" t="s">
        <v>5194</v>
      </c>
      <c r="C1406" s="34" t="s">
        <v>5195</v>
      </c>
      <c r="D1406" s="34" t="s">
        <v>5196</v>
      </c>
      <c r="E1406" s="34" t="s">
        <v>176</v>
      </c>
      <c r="F1406" s="34" t="s">
        <v>1602</v>
      </c>
      <c r="G1406" s="34" t="s">
        <v>227</v>
      </c>
      <c r="H1406" s="34"/>
      <c r="I1406" s="34"/>
      <c r="J1406" s="34"/>
      <c r="K1406" s="34"/>
      <c r="L1406" s="34"/>
      <c r="M1406" s="34"/>
      <c r="N1406" s="34" t="str">
        <f aca="false">"Sector "&amp;VALUE(MID(D1406,13,2))</f>
        <v>Sector 8</v>
      </c>
      <c r="O1406" s="34" t="str">
        <f aca="false">IF(Dashboard!$C$5="Ubicación técnica",N1406,"Sector "&amp;VALUE(RIGHT(G1406,2)))</f>
        <v>Sector 8</v>
      </c>
      <c r="P1406" s="34" t="str">
        <f aca="false">IF(MID(D1406,15,3)="SEL","Subestación eléctrica","Área de proceso")</f>
        <v>Subestación eléctrica</v>
      </c>
      <c r="Q1406" s="34" t="str">
        <f aca="false">MID(D1406,13,5)&amp;"|"&amp;MID(D1406,19,5)</f>
        <v>08SEL|S18_1</v>
      </c>
      <c r="R1406" s="34" t="str">
        <f aca="false">IF(P1406="Subestación eléctrica",IFERROR(INDEX(cat_SubN,MATCH(Q1406,cat_SubK,0)),"SIN CATALOGAR"),"ÁREA DE PROCESO")</f>
        <v>SE-18-1</v>
      </c>
      <c r="S1406" s="34" t="str">
        <f aca="false">IF(H1406="","SIN DATO",IFERROR(INDEX(cat_MarcaN,MATCH(H1406,cat_MarcaO,0)),H1406))</f>
        <v>SIN DATO</v>
      </c>
      <c r="T1406" s="34" t="str">
        <f aca="false">IF(I1406="","SIN DATO",IFERROR(INDEX(cat_ModN,MATCH(I1406,cat_ModO,0)),I1406))</f>
        <v>SIN DATO</v>
      </c>
      <c r="U1406" s="34" t="str">
        <f aca="false">IF(I1406="","",IFERROR(INDEX(cat_ModG,MATCH(I1406,cat_ModO,0)),"No"))</f>
        <v/>
      </c>
      <c r="V1406" s="34" t="str">
        <f aca="false">IF(J1406="","SIN DATO",IFERROR(INDEX(cat_FunN,MATCH(J1406,cat_FunO,0)),J1406))</f>
        <v>SIN DATO</v>
      </c>
      <c r="W1406" s="34" t="str">
        <f aca="false">IF(OR(S1406="SIN DATO",T1406="SIN DATO"),"No","Sí")</f>
        <v>No</v>
      </c>
    </row>
    <row r="1407" customFormat="false" ht="15" hidden="false" customHeight="false" outlineLevel="0" collapsed="false">
      <c r="A1407" s="34" t="s">
        <v>5197</v>
      </c>
      <c r="B1407" s="34" t="s">
        <v>5198</v>
      </c>
      <c r="C1407" s="34" t="s">
        <v>5199</v>
      </c>
      <c r="D1407" s="34" t="s">
        <v>2313</v>
      </c>
      <c r="E1407" s="34" t="s">
        <v>138</v>
      </c>
      <c r="F1407" s="34" t="s">
        <v>1602</v>
      </c>
      <c r="G1407" s="34" t="s">
        <v>227</v>
      </c>
      <c r="H1407" s="34"/>
      <c r="I1407" s="34"/>
      <c r="J1407" s="34"/>
      <c r="K1407" s="34"/>
      <c r="L1407" s="34"/>
      <c r="M1407" s="34"/>
      <c r="N1407" s="34" t="str">
        <f aca="false">"Sector "&amp;VALUE(MID(D1407,13,2))</f>
        <v>Sector 6</v>
      </c>
      <c r="O1407" s="34" t="str">
        <f aca="false">IF(Dashboard!$C$5="Ubicación técnica",N1407,"Sector "&amp;VALUE(RIGHT(G1407,2)))</f>
        <v>Sector 6</v>
      </c>
      <c r="P1407" s="34" t="str">
        <f aca="false">IF(MID(D1407,15,3)="SEL","Subestación eléctrica","Área de proceso")</f>
        <v>Subestación eléctrica</v>
      </c>
      <c r="Q1407" s="34" t="str">
        <f aca="false">MID(D1407,13,5)&amp;"|"&amp;MID(D1407,19,5)</f>
        <v>06SEL|S_002</v>
      </c>
      <c r="R1407" s="34" t="str">
        <f aca="false">IF(P1407="Subestación eléctrica",IFERROR(INDEX(cat_SubN,MATCH(Q1407,cat_SubK,0)),"SIN CATALOGAR"),"ÁREA DE PROCESO")</f>
        <v>SE-02</v>
      </c>
      <c r="S1407" s="34" t="str">
        <f aca="false">IF(H1407="","SIN DATO",IFERROR(INDEX(cat_MarcaN,MATCH(H1407,cat_MarcaO,0)),H1407))</f>
        <v>SIN DATO</v>
      </c>
      <c r="T1407" s="34" t="str">
        <f aca="false">IF(I1407="","SIN DATO",IFERROR(INDEX(cat_ModN,MATCH(I1407,cat_ModO,0)),I1407))</f>
        <v>SIN DATO</v>
      </c>
      <c r="U1407" s="34" t="str">
        <f aca="false">IF(I1407="","",IFERROR(INDEX(cat_ModG,MATCH(I1407,cat_ModO,0)),"No"))</f>
        <v/>
      </c>
      <c r="V1407" s="34" t="str">
        <f aca="false">IF(J1407="","SIN DATO",IFERROR(INDEX(cat_FunN,MATCH(J1407,cat_FunO,0)),J1407))</f>
        <v>SIN DATO</v>
      </c>
      <c r="W1407" s="34" t="str">
        <f aca="false">IF(OR(S1407="SIN DATO",T1407="SIN DATO"),"No","Sí")</f>
        <v>No</v>
      </c>
    </row>
    <row r="1408" customFormat="false" ht="15" hidden="false" customHeight="false" outlineLevel="0" collapsed="false">
      <c r="A1408" s="34" t="s">
        <v>5200</v>
      </c>
      <c r="B1408" s="34" t="s">
        <v>5201</v>
      </c>
      <c r="C1408" s="34" t="s">
        <v>5202</v>
      </c>
      <c r="D1408" s="34" t="s">
        <v>2317</v>
      </c>
      <c r="E1408" s="34" t="s">
        <v>138</v>
      </c>
      <c r="F1408" s="34" t="s">
        <v>1602</v>
      </c>
      <c r="G1408" s="34" t="s">
        <v>227</v>
      </c>
      <c r="H1408" s="34"/>
      <c r="I1408" s="34"/>
      <c r="J1408" s="34"/>
      <c r="K1408" s="34"/>
      <c r="L1408" s="34"/>
      <c r="M1408" s="34"/>
      <c r="N1408" s="34" t="str">
        <f aca="false">"Sector "&amp;VALUE(MID(D1408,13,2))</f>
        <v>Sector 6</v>
      </c>
      <c r="O1408" s="34" t="str">
        <f aca="false">IF(Dashboard!$C$5="Ubicación técnica",N1408,"Sector "&amp;VALUE(RIGHT(G1408,2)))</f>
        <v>Sector 6</v>
      </c>
      <c r="P1408" s="34" t="str">
        <f aca="false">IF(MID(D1408,15,3)="SEL","Subestación eléctrica","Área de proceso")</f>
        <v>Subestación eléctrica</v>
      </c>
      <c r="Q1408" s="34" t="str">
        <f aca="false">MID(D1408,13,5)&amp;"|"&amp;MID(D1408,19,5)</f>
        <v>06SEL|S_002</v>
      </c>
      <c r="R1408" s="34" t="str">
        <f aca="false">IF(P1408="Subestación eléctrica",IFERROR(INDEX(cat_SubN,MATCH(Q1408,cat_SubK,0)),"SIN CATALOGAR"),"ÁREA DE PROCESO")</f>
        <v>SE-02</v>
      </c>
      <c r="S1408" s="34" t="str">
        <f aca="false">IF(H1408="","SIN DATO",IFERROR(INDEX(cat_MarcaN,MATCH(H1408,cat_MarcaO,0)),H1408))</f>
        <v>SIN DATO</v>
      </c>
      <c r="T1408" s="34" t="str">
        <f aca="false">IF(I1408="","SIN DATO",IFERROR(INDEX(cat_ModN,MATCH(I1408,cat_ModO,0)),I1408))</f>
        <v>SIN DATO</v>
      </c>
      <c r="U1408" s="34" t="str">
        <f aca="false">IF(I1408="","",IFERROR(INDEX(cat_ModG,MATCH(I1408,cat_ModO,0)),"No"))</f>
        <v/>
      </c>
      <c r="V1408" s="34" t="str">
        <f aca="false">IF(J1408="","SIN DATO",IFERROR(INDEX(cat_FunN,MATCH(J1408,cat_FunO,0)),J1408))</f>
        <v>SIN DATO</v>
      </c>
      <c r="W1408" s="34" t="str">
        <f aca="false">IF(OR(S1408="SIN DATO",T1408="SIN DATO"),"No","Sí")</f>
        <v>No</v>
      </c>
    </row>
    <row r="1409" customFormat="false" ht="15" hidden="false" customHeight="false" outlineLevel="0" collapsed="false">
      <c r="A1409" s="34" t="s">
        <v>5203</v>
      </c>
      <c r="B1409" s="34" t="s">
        <v>5204</v>
      </c>
      <c r="C1409" s="34" t="s">
        <v>5205</v>
      </c>
      <c r="D1409" s="34" t="s">
        <v>2321</v>
      </c>
      <c r="E1409" s="34" t="s">
        <v>170</v>
      </c>
      <c r="F1409" s="34" t="s">
        <v>1602</v>
      </c>
      <c r="G1409" s="34" t="s">
        <v>227</v>
      </c>
      <c r="H1409" s="34" t="s">
        <v>34</v>
      </c>
      <c r="I1409" s="34" t="s">
        <v>40</v>
      </c>
      <c r="J1409" s="34" t="s">
        <v>2231</v>
      </c>
      <c r="K1409" s="34" t="s">
        <v>229</v>
      </c>
      <c r="L1409" s="34" t="s">
        <v>230</v>
      </c>
      <c r="M1409" s="34"/>
      <c r="N1409" s="34" t="str">
        <f aca="false">"Sector "&amp;VALUE(MID(D1409,13,2))</f>
        <v>Sector 8</v>
      </c>
      <c r="O1409" s="34" t="str">
        <f aca="false">IF(Dashboard!$C$5="Ubicación técnica",N1409,"Sector "&amp;VALUE(RIGHT(G1409,2)))</f>
        <v>Sector 8</v>
      </c>
      <c r="P1409" s="34" t="str">
        <f aca="false">IF(MID(D1409,15,3)="SEL","Subestación eléctrica","Área de proceso")</f>
        <v>Subestación eléctrica</v>
      </c>
      <c r="Q1409" s="34" t="str">
        <f aca="false">MID(D1409,13,5)&amp;"|"&amp;MID(D1409,19,5)</f>
        <v>08SEL|S_016</v>
      </c>
      <c r="R1409" s="34" t="str">
        <f aca="false">IF(P1409="Subestación eléctrica",IFERROR(INDEX(cat_SubN,MATCH(Q1409,cat_SubK,0)),"SIN CATALOGAR"),"ÁREA DE PROCESO")</f>
        <v>SE-16</v>
      </c>
      <c r="S1409" s="34" t="str">
        <f aca="false">IF(H1409="","SIN DATO",IFERROR(INDEX(cat_MarcaN,MATCH(H1409,cat_MarcaO,0)),H1409))</f>
        <v>ABB</v>
      </c>
      <c r="T1409" s="34" t="str">
        <f aca="false">IF(I1409="","SIN DATO",IFERROR(INDEX(cat_ModN,MATCH(I1409,cat_ModO,0)),I1409))</f>
        <v>REA 101</v>
      </c>
      <c r="U1409" s="34" t="str">
        <f aca="false">IF(I1409="","",IFERROR(INDEX(cat_ModG,MATCH(I1409,cat_ModO,0)),"No"))</f>
        <v>No</v>
      </c>
      <c r="V1409" s="34" t="str">
        <f aca="false">IF(J1409="","SIN DATO",IFERROR(INDEX(cat_FunN,MATCH(J1409,cat_FunO,0)),J1409))</f>
        <v>Protección</v>
      </c>
      <c r="W1409" s="34" t="str">
        <f aca="false">IF(OR(S1409="SIN DATO",T1409="SIN DATO"),"No","Sí")</f>
        <v>Sí</v>
      </c>
    </row>
    <row r="1410" customFormat="false" ht="15" hidden="false" customHeight="false" outlineLevel="0" collapsed="false">
      <c r="A1410" s="34" t="s">
        <v>5206</v>
      </c>
      <c r="B1410" s="34" t="s">
        <v>5207</v>
      </c>
      <c r="C1410" s="34" t="s">
        <v>5208</v>
      </c>
      <c r="D1410" s="34" t="s">
        <v>2325</v>
      </c>
      <c r="E1410" s="34" t="s">
        <v>170</v>
      </c>
      <c r="F1410" s="34" t="s">
        <v>1602</v>
      </c>
      <c r="G1410" s="34" t="s">
        <v>227</v>
      </c>
      <c r="H1410" s="34" t="s">
        <v>34</v>
      </c>
      <c r="I1410" s="34" t="s">
        <v>40</v>
      </c>
      <c r="J1410" s="34" t="s">
        <v>2231</v>
      </c>
      <c r="K1410" s="34" t="s">
        <v>229</v>
      </c>
      <c r="L1410" s="34" t="s">
        <v>230</v>
      </c>
      <c r="M1410" s="34"/>
      <c r="N1410" s="34" t="str">
        <f aca="false">"Sector "&amp;VALUE(MID(D1410,13,2))</f>
        <v>Sector 8</v>
      </c>
      <c r="O1410" s="34" t="str">
        <f aca="false">IF(Dashboard!$C$5="Ubicación técnica",N1410,"Sector "&amp;VALUE(RIGHT(G1410,2)))</f>
        <v>Sector 8</v>
      </c>
      <c r="P1410" s="34" t="str">
        <f aca="false">IF(MID(D1410,15,3)="SEL","Subestación eléctrica","Área de proceso")</f>
        <v>Subestación eléctrica</v>
      </c>
      <c r="Q1410" s="34" t="str">
        <f aca="false">MID(D1410,13,5)&amp;"|"&amp;MID(D1410,19,5)</f>
        <v>08SEL|S_016</v>
      </c>
      <c r="R1410" s="34" t="str">
        <f aca="false">IF(P1410="Subestación eléctrica",IFERROR(INDEX(cat_SubN,MATCH(Q1410,cat_SubK,0)),"SIN CATALOGAR"),"ÁREA DE PROCESO")</f>
        <v>SE-16</v>
      </c>
      <c r="S1410" s="34" t="str">
        <f aca="false">IF(H1410="","SIN DATO",IFERROR(INDEX(cat_MarcaN,MATCH(H1410,cat_MarcaO,0)),H1410))</f>
        <v>ABB</v>
      </c>
      <c r="T1410" s="34" t="str">
        <f aca="false">IF(I1410="","SIN DATO",IFERROR(INDEX(cat_ModN,MATCH(I1410,cat_ModO,0)),I1410))</f>
        <v>REA 101</v>
      </c>
      <c r="U1410" s="34" t="str">
        <f aca="false">IF(I1410="","",IFERROR(INDEX(cat_ModG,MATCH(I1410,cat_ModO,0)),"No"))</f>
        <v>No</v>
      </c>
      <c r="V1410" s="34" t="str">
        <f aca="false">IF(J1410="","SIN DATO",IFERROR(INDEX(cat_FunN,MATCH(J1410,cat_FunO,0)),J1410))</f>
        <v>Protección</v>
      </c>
      <c r="W1410" s="34" t="str">
        <f aca="false">IF(OR(S1410="SIN DATO",T1410="SIN DATO"),"No","Sí")</f>
        <v>Sí</v>
      </c>
    </row>
    <row r="1411" customFormat="false" ht="15" hidden="false" customHeight="false" outlineLevel="0" collapsed="false">
      <c r="A1411" s="34" t="s">
        <v>5209</v>
      </c>
      <c r="B1411" s="34" t="s">
        <v>5210</v>
      </c>
      <c r="C1411" s="34" t="s">
        <v>5211</v>
      </c>
      <c r="D1411" s="34" t="s">
        <v>2329</v>
      </c>
      <c r="E1411" s="34" t="s">
        <v>178</v>
      </c>
      <c r="F1411" s="34" t="s">
        <v>1602</v>
      </c>
      <c r="G1411" s="34" t="s">
        <v>227</v>
      </c>
      <c r="H1411" s="34" t="s">
        <v>34</v>
      </c>
      <c r="I1411" s="34" t="s">
        <v>40</v>
      </c>
      <c r="J1411" s="34" t="s">
        <v>681</v>
      </c>
      <c r="K1411" s="34" t="s">
        <v>229</v>
      </c>
      <c r="L1411" s="34" t="s">
        <v>230</v>
      </c>
      <c r="M1411" s="34"/>
      <c r="N1411" s="34" t="str">
        <f aca="false">"Sector "&amp;VALUE(MID(D1411,13,2))</f>
        <v>Sector 8</v>
      </c>
      <c r="O1411" s="34" t="str">
        <f aca="false">IF(Dashboard!$C$5="Ubicación técnica",N1411,"Sector "&amp;VALUE(RIGHT(G1411,2)))</f>
        <v>Sector 8</v>
      </c>
      <c r="P1411" s="34" t="str">
        <f aca="false">IF(MID(D1411,15,3)="SEL","Subestación eléctrica","Área de proceso")</f>
        <v>Subestación eléctrica</v>
      </c>
      <c r="Q1411" s="34" t="str">
        <f aca="false">MID(D1411,13,5)&amp;"|"&amp;MID(D1411,19,5)</f>
        <v>08SEL|S_019</v>
      </c>
      <c r="R1411" s="34" t="str">
        <f aca="false">IF(P1411="Subestación eléctrica",IFERROR(INDEX(cat_SubN,MATCH(Q1411,cat_SubK,0)),"SIN CATALOGAR"),"ÁREA DE PROCESO")</f>
        <v>SE-19</v>
      </c>
      <c r="S1411" s="34" t="str">
        <f aca="false">IF(H1411="","SIN DATO",IFERROR(INDEX(cat_MarcaN,MATCH(H1411,cat_MarcaO,0)),H1411))</f>
        <v>ABB</v>
      </c>
      <c r="T1411" s="34" t="str">
        <f aca="false">IF(I1411="","SIN DATO",IFERROR(INDEX(cat_ModN,MATCH(I1411,cat_ModO,0)),I1411))</f>
        <v>REA 101</v>
      </c>
      <c r="U1411" s="34" t="str">
        <f aca="false">IF(I1411="","",IFERROR(INDEX(cat_ModG,MATCH(I1411,cat_ModO,0)),"No"))</f>
        <v>No</v>
      </c>
      <c r="V1411" s="34" t="str">
        <f aca="false">IF(J1411="","SIN DATO",IFERROR(INDEX(cat_FunN,MATCH(J1411,cat_FunO,0)),J1411))</f>
        <v>Protección</v>
      </c>
      <c r="W1411" s="34" t="str">
        <f aca="false">IF(OR(S1411="SIN DATO",T1411="SIN DATO"),"No","Sí")</f>
        <v>Sí</v>
      </c>
    </row>
    <row r="1412" customFormat="false" ht="15" hidden="false" customHeight="false" outlineLevel="0" collapsed="false">
      <c r="A1412" s="34" t="s">
        <v>5212</v>
      </c>
      <c r="B1412" s="34" t="s">
        <v>5213</v>
      </c>
      <c r="C1412" s="34" t="s">
        <v>5214</v>
      </c>
      <c r="D1412" s="34" t="s">
        <v>2333</v>
      </c>
      <c r="E1412" s="34" t="s">
        <v>178</v>
      </c>
      <c r="F1412" s="34" t="s">
        <v>1602</v>
      </c>
      <c r="G1412" s="34" t="s">
        <v>227</v>
      </c>
      <c r="H1412" s="34" t="s">
        <v>34</v>
      </c>
      <c r="I1412" s="34" t="s">
        <v>40</v>
      </c>
      <c r="J1412" s="34" t="s">
        <v>681</v>
      </c>
      <c r="K1412" s="34" t="s">
        <v>229</v>
      </c>
      <c r="L1412" s="34" t="s">
        <v>230</v>
      </c>
      <c r="M1412" s="34"/>
      <c r="N1412" s="34" t="str">
        <f aca="false">"Sector "&amp;VALUE(MID(D1412,13,2))</f>
        <v>Sector 8</v>
      </c>
      <c r="O1412" s="34" t="str">
        <f aca="false">IF(Dashboard!$C$5="Ubicación técnica",N1412,"Sector "&amp;VALUE(RIGHT(G1412,2)))</f>
        <v>Sector 8</v>
      </c>
      <c r="P1412" s="34" t="str">
        <f aca="false">IF(MID(D1412,15,3)="SEL","Subestación eléctrica","Área de proceso")</f>
        <v>Subestación eléctrica</v>
      </c>
      <c r="Q1412" s="34" t="str">
        <f aca="false">MID(D1412,13,5)&amp;"|"&amp;MID(D1412,19,5)</f>
        <v>08SEL|S_019</v>
      </c>
      <c r="R1412" s="34" t="str">
        <f aca="false">IF(P1412="Subestación eléctrica",IFERROR(INDEX(cat_SubN,MATCH(Q1412,cat_SubK,0)),"SIN CATALOGAR"),"ÁREA DE PROCESO")</f>
        <v>SE-19</v>
      </c>
      <c r="S1412" s="34" t="str">
        <f aca="false">IF(H1412="","SIN DATO",IFERROR(INDEX(cat_MarcaN,MATCH(H1412,cat_MarcaO,0)),H1412))</f>
        <v>ABB</v>
      </c>
      <c r="T1412" s="34" t="str">
        <f aca="false">IF(I1412="","SIN DATO",IFERROR(INDEX(cat_ModN,MATCH(I1412,cat_ModO,0)),I1412))</f>
        <v>REA 101</v>
      </c>
      <c r="U1412" s="34" t="str">
        <f aca="false">IF(I1412="","",IFERROR(INDEX(cat_ModG,MATCH(I1412,cat_ModO,0)),"No"))</f>
        <v>No</v>
      </c>
      <c r="V1412" s="34" t="str">
        <f aca="false">IF(J1412="","SIN DATO",IFERROR(INDEX(cat_FunN,MATCH(J1412,cat_FunO,0)),J1412))</f>
        <v>Protección</v>
      </c>
      <c r="W1412" s="34" t="str">
        <f aca="false">IF(OR(S1412="SIN DATO",T1412="SIN DATO"),"No","Sí")</f>
        <v>Sí</v>
      </c>
    </row>
    <row r="1413" customFormat="false" ht="15" hidden="false" customHeight="false" outlineLevel="0" collapsed="false">
      <c r="A1413" s="34" t="s">
        <v>5215</v>
      </c>
      <c r="B1413" s="34" t="s">
        <v>5216</v>
      </c>
      <c r="C1413" s="34" t="s">
        <v>5217</v>
      </c>
      <c r="D1413" s="34" t="s">
        <v>2337</v>
      </c>
      <c r="E1413" s="34" t="s">
        <v>184</v>
      </c>
      <c r="F1413" s="34" t="s">
        <v>1602</v>
      </c>
      <c r="G1413" s="34" t="s">
        <v>227</v>
      </c>
      <c r="H1413" s="34" t="s">
        <v>34</v>
      </c>
      <c r="I1413" s="34" t="s">
        <v>40</v>
      </c>
      <c r="J1413" s="34" t="s">
        <v>228</v>
      </c>
      <c r="K1413" s="34" t="s">
        <v>229</v>
      </c>
      <c r="L1413" s="34" t="s">
        <v>230</v>
      </c>
      <c r="M1413" s="34" t="s">
        <v>1825</v>
      </c>
      <c r="N1413" s="34" t="str">
        <f aca="false">"Sector "&amp;VALUE(MID(D1413,13,2))</f>
        <v>Sector 8</v>
      </c>
      <c r="O1413" s="34" t="str">
        <f aca="false">IF(Dashboard!$C$5="Ubicación técnica",N1413,"Sector "&amp;VALUE(RIGHT(G1413,2)))</f>
        <v>Sector 8</v>
      </c>
      <c r="P1413" s="34" t="str">
        <f aca="false">IF(MID(D1413,15,3)="SEL","Subestación eléctrica","Área de proceso")</f>
        <v>Subestación eléctrica</v>
      </c>
      <c r="Q1413" s="34" t="str">
        <f aca="false">MID(D1413,13,5)&amp;"|"&amp;MID(D1413,19,5)</f>
        <v>08SEL|SEP02</v>
      </c>
      <c r="R1413" s="34" t="str">
        <f aca="false">IF(P1413="Subestación eléctrica",IFERROR(INDEX(cat_SubN,MATCH(Q1413,cat_SubK,0)),"SIN CATALOGAR"),"ÁREA DE PROCESO")</f>
        <v>SEP-02</v>
      </c>
      <c r="S1413" s="34" t="str">
        <f aca="false">IF(H1413="","SIN DATO",IFERROR(INDEX(cat_MarcaN,MATCH(H1413,cat_MarcaO,0)),H1413))</f>
        <v>ABB</v>
      </c>
      <c r="T1413" s="34" t="str">
        <f aca="false">IF(I1413="","SIN DATO",IFERROR(INDEX(cat_ModN,MATCH(I1413,cat_ModO,0)),I1413))</f>
        <v>REA 101</v>
      </c>
      <c r="U1413" s="34" t="str">
        <f aca="false">IF(I1413="","",IFERROR(INDEX(cat_ModG,MATCH(I1413,cat_ModO,0)),"No"))</f>
        <v>No</v>
      </c>
      <c r="V1413" s="34" t="str">
        <f aca="false">IF(J1413="","SIN DATO",IFERROR(INDEX(cat_FunN,MATCH(J1413,cat_FunO,0)),J1413))</f>
        <v>Protección y medición</v>
      </c>
      <c r="W1413" s="34" t="str">
        <f aca="false">IF(OR(S1413="SIN DATO",T1413="SIN DATO"),"No","Sí")</f>
        <v>Sí</v>
      </c>
    </row>
    <row r="1414" customFormat="false" ht="15" hidden="false" customHeight="false" outlineLevel="0" collapsed="false">
      <c r="A1414" s="34" t="s">
        <v>5218</v>
      </c>
      <c r="B1414" s="34" t="s">
        <v>5219</v>
      </c>
      <c r="C1414" s="34" t="s">
        <v>5220</v>
      </c>
      <c r="D1414" s="34" t="s">
        <v>2293</v>
      </c>
      <c r="E1414" s="34" t="s">
        <v>184</v>
      </c>
      <c r="F1414" s="34" t="s">
        <v>1602</v>
      </c>
      <c r="G1414" s="34" t="s">
        <v>227</v>
      </c>
      <c r="H1414" s="34" t="s">
        <v>34</v>
      </c>
      <c r="I1414" s="34" t="s">
        <v>40</v>
      </c>
      <c r="J1414" s="34" t="s">
        <v>228</v>
      </c>
      <c r="K1414" s="34" t="s">
        <v>229</v>
      </c>
      <c r="L1414" s="34" t="s">
        <v>230</v>
      </c>
      <c r="M1414" s="34" t="s">
        <v>1825</v>
      </c>
      <c r="N1414" s="34" t="str">
        <f aca="false">"Sector "&amp;VALUE(MID(D1414,13,2))</f>
        <v>Sector 8</v>
      </c>
      <c r="O1414" s="34" t="str">
        <f aca="false">IF(Dashboard!$C$5="Ubicación técnica",N1414,"Sector "&amp;VALUE(RIGHT(G1414,2)))</f>
        <v>Sector 8</v>
      </c>
      <c r="P1414" s="34" t="str">
        <f aca="false">IF(MID(D1414,15,3)="SEL","Subestación eléctrica","Área de proceso")</f>
        <v>Subestación eléctrica</v>
      </c>
      <c r="Q1414" s="34" t="str">
        <f aca="false">MID(D1414,13,5)&amp;"|"&amp;MID(D1414,19,5)</f>
        <v>08SEL|SEP02</v>
      </c>
      <c r="R1414" s="34" t="str">
        <f aca="false">IF(P1414="Subestación eléctrica",IFERROR(INDEX(cat_SubN,MATCH(Q1414,cat_SubK,0)),"SIN CATALOGAR"),"ÁREA DE PROCESO")</f>
        <v>SEP-02</v>
      </c>
      <c r="S1414" s="34" t="str">
        <f aca="false">IF(H1414="","SIN DATO",IFERROR(INDEX(cat_MarcaN,MATCH(H1414,cat_MarcaO,0)),H1414))</f>
        <v>ABB</v>
      </c>
      <c r="T1414" s="34" t="str">
        <f aca="false">IF(I1414="","SIN DATO",IFERROR(INDEX(cat_ModN,MATCH(I1414,cat_ModO,0)),I1414))</f>
        <v>REA 101</v>
      </c>
      <c r="U1414" s="34" t="str">
        <f aca="false">IF(I1414="","",IFERROR(INDEX(cat_ModG,MATCH(I1414,cat_ModO,0)),"No"))</f>
        <v>No</v>
      </c>
      <c r="V1414" s="34" t="str">
        <f aca="false">IF(J1414="","SIN DATO",IFERROR(INDEX(cat_FunN,MATCH(J1414,cat_FunO,0)),J1414))</f>
        <v>Protección y medición</v>
      </c>
      <c r="W1414" s="34" t="str">
        <f aca="false">IF(OR(S1414="SIN DATO",T1414="SIN DATO"),"No","Sí")</f>
        <v>Sí</v>
      </c>
    </row>
    <row r="1415" customFormat="false" ht="15" hidden="false" customHeight="false" outlineLevel="0" collapsed="false">
      <c r="A1415" s="34" t="s">
        <v>5221</v>
      </c>
      <c r="B1415" s="34" t="s">
        <v>5222</v>
      </c>
      <c r="C1415" s="34" t="s">
        <v>5223</v>
      </c>
      <c r="D1415" s="34" t="s">
        <v>2344</v>
      </c>
      <c r="E1415" s="34" t="s">
        <v>184</v>
      </c>
      <c r="F1415" s="34" t="s">
        <v>1602</v>
      </c>
      <c r="G1415" s="34" t="s">
        <v>227</v>
      </c>
      <c r="H1415" s="34" t="s">
        <v>34</v>
      </c>
      <c r="I1415" s="34" t="s">
        <v>40</v>
      </c>
      <c r="J1415" s="34" t="s">
        <v>228</v>
      </c>
      <c r="K1415" s="34" t="s">
        <v>229</v>
      </c>
      <c r="L1415" s="34" t="s">
        <v>230</v>
      </c>
      <c r="M1415" s="34" t="s">
        <v>1825</v>
      </c>
      <c r="N1415" s="34" t="str">
        <f aca="false">"Sector "&amp;VALUE(MID(D1415,13,2))</f>
        <v>Sector 8</v>
      </c>
      <c r="O1415" s="34" t="str">
        <f aca="false">IF(Dashboard!$C$5="Ubicación técnica",N1415,"Sector "&amp;VALUE(RIGHT(G1415,2)))</f>
        <v>Sector 8</v>
      </c>
      <c r="P1415" s="34" t="str">
        <f aca="false">IF(MID(D1415,15,3)="SEL","Subestación eléctrica","Área de proceso")</f>
        <v>Subestación eléctrica</v>
      </c>
      <c r="Q1415" s="34" t="str">
        <f aca="false">MID(D1415,13,5)&amp;"|"&amp;MID(D1415,19,5)</f>
        <v>08SEL|SEP02</v>
      </c>
      <c r="R1415" s="34" t="str">
        <f aca="false">IF(P1415="Subestación eléctrica",IFERROR(INDEX(cat_SubN,MATCH(Q1415,cat_SubK,0)),"SIN CATALOGAR"),"ÁREA DE PROCESO")</f>
        <v>SEP-02</v>
      </c>
      <c r="S1415" s="34" t="str">
        <f aca="false">IF(H1415="","SIN DATO",IFERROR(INDEX(cat_MarcaN,MATCH(H1415,cat_MarcaO,0)),H1415))</f>
        <v>ABB</v>
      </c>
      <c r="T1415" s="34" t="str">
        <f aca="false">IF(I1415="","SIN DATO",IFERROR(INDEX(cat_ModN,MATCH(I1415,cat_ModO,0)),I1415))</f>
        <v>REA 101</v>
      </c>
      <c r="U1415" s="34" t="str">
        <f aca="false">IF(I1415="","",IFERROR(INDEX(cat_ModG,MATCH(I1415,cat_ModO,0)),"No"))</f>
        <v>No</v>
      </c>
      <c r="V1415" s="34" t="str">
        <f aca="false">IF(J1415="","SIN DATO",IFERROR(INDEX(cat_FunN,MATCH(J1415,cat_FunO,0)),J1415))</f>
        <v>Protección y medición</v>
      </c>
      <c r="W1415" s="34" t="str">
        <f aca="false">IF(OR(S1415="SIN DATO",T1415="SIN DATO"),"No","Sí")</f>
        <v>Sí</v>
      </c>
    </row>
    <row r="1416" customFormat="false" ht="15" hidden="false" customHeight="false" outlineLevel="0" collapsed="false">
      <c r="A1416" s="34" t="s">
        <v>5224</v>
      </c>
      <c r="B1416" s="34" t="s">
        <v>5225</v>
      </c>
      <c r="C1416" s="34" t="s">
        <v>5226</v>
      </c>
      <c r="D1416" s="34" t="s">
        <v>2145</v>
      </c>
      <c r="E1416" s="34" t="s">
        <v>184</v>
      </c>
      <c r="F1416" s="34" t="s">
        <v>1602</v>
      </c>
      <c r="G1416" s="34" t="s">
        <v>227</v>
      </c>
      <c r="H1416" s="34" t="s">
        <v>34</v>
      </c>
      <c r="I1416" s="34" t="s">
        <v>40</v>
      </c>
      <c r="J1416" s="34" t="s">
        <v>228</v>
      </c>
      <c r="K1416" s="34" t="s">
        <v>229</v>
      </c>
      <c r="L1416" s="34" t="s">
        <v>230</v>
      </c>
      <c r="M1416" s="34" t="s">
        <v>1825</v>
      </c>
      <c r="N1416" s="34" t="str">
        <f aca="false">"Sector "&amp;VALUE(MID(D1416,13,2))</f>
        <v>Sector 8</v>
      </c>
      <c r="O1416" s="34" t="str">
        <f aca="false">IF(Dashboard!$C$5="Ubicación técnica",N1416,"Sector "&amp;VALUE(RIGHT(G1416,2)))</f>
        <v>Sector 8</v>
      </c>
      <c r="P1416" s="34" t="str">
        <f aca="false">IF(MID(D1416,15,3)="SEL","Subestación eléctrica","Área de proceso")</f>
        <v>Subestación eléctrica</v>
      </c>
      <c r="Q1416" s="34" t="str">
        <f aca="false">MID(D1416,13,5)&amp;"|"&amp;MID(D1416,19,5)</f>
        <v>08SEL|SEP02</v>
      </c>
      <c r="R1416" s="34" t="str">
        <f aca="false">IF(P1416="Subestación eléctrica",IFERROR(INDEX(cat_SubN,MATCH(Q1416,cat_SubK,0)),"SIN CATALOGAR"),"ÁREA DE PROCESO")</f>
        <v>SEP-02</v>
      </c>
      <c r="S1416" s="34" t="str">
        <f aca="false">IF(H1416="","SIN DATO",IFERROR(INDEX(cat_MarcaN,MATCH(H1416,cat_MarcaO,0)),H1416))</f>
        <v>ABB</v>
      </c>
      <c r="T1416" s="34" t="str">
        <f aca="false">IF(I1416="","SIN DATO",IFERROR(INDEX(cat_ModN,MATCH(I1416,cat_ModO,0)),I1416))</f>
        <v>REA 101</v>
      </c>
      <c r="U1416" s="34" t="str">
        <f aca="false">IF(I1416="","",IFERROR(INDEX(cat_ModG,MATCH(I1416,cat_ModO,0)),"No"))</f>
        <v>No</v>
      </c>
      <c r="V1416" s="34" t="str">
        <f aca="false">IF(J1416="","SIN DATO",IFERROR(INDEX(cat_FunN,MATCH(J1416,cat_FunO,0)),J1416))</f>
        <v>Protección y medición</v>
      </c>
      <c r="W1416" s="34" t="str">
        <f aca="false">IF(OR(S1416="SIN DATO",T1416="SIN DATO"),"No","Sí")</f>
        <v>Sí</v>
      </c>
    </row>
    <row r="1417" customFormat="false" ht="15" hidden="false" customHeight="false" outlineLevel="0" collapsed="false">
      <c r="A1417" s="34" t="s">
        <v>5227</v>
      </c>
      <c r="B1417" s="34" t="s">
        <v>5228</v>
      </c>
      <c r="C1417" s="34" t="s">
        <v>5229</v>
      </c>
      <c r="D1417" s="34" t="s">
        <v>2150</v>
      </c>
      <c r="E1417" s="34" t="s">
        <v>184</v>
      </c>
      <c r="F1417" s="34" t="s">
        <v>1602</v>
      </c>
      <c r="G1417" s="34" t="s">
        <v>227</v>
      </c>
      <c r="H1417" s="34" t="s">
        <v>34</v>
      </c>
      <c r="I1417" s="34" t="s">
        <v>40</v>
      </c>
      <c r="J1417" s="34" t="s">
        <v>228</v>
      </c>
      <c r="K1417" s="34" t="s">
        <v>229</v>
      </c>
      <c r="L1417" s="34" t="s">
        <v>230</v>
      </c>
      <c r="M1417" s="34" t="s">
        <v>1825</v>
      </c>
      <c r="N1417" s="34" t="str">
        <f aca="false">"Sector "&amp;VALUE(MID(D1417,13,2))</f>
        <v>Sector 8</v>
      </c>
      <c r="O1417" s="34" t="str">
        <f aca="false">IF(Dashboard!$C$5="Ubicación técnica",N1417,"Sector "&amp;VALUE(RIGHT(G1417,2)))</f>
        <v>Sector 8</v>
      </c>
      <c r="P1417" s="34" t="str">
        <f aca="false">IF(MID(D1417,15,3)="SEL","Subestación eléctrica","Área de proceso")</f>
        <v>Subestación eléctrica</v>
      </c>
      <c r="Q1417" s="34" t="str">
        <f aca="false">MID(D1417,13,5)&amp;"|"&amp;MID(D1417,19,5)</f>
        <v>08SEL|SEP02</v>
      </c>
      <c r="R1417" s="34" t="str">
        <f aca="false">IF(P1417="Subestación eléctrica",IFERROR(INDEX(cat_SubN,MATCH(Q1417,cat_SubK,0)),"SIN CATALOGAR"),"ÁREA DE PROCESO")</f>
        <v>SEP-02</v>
      </c>
      <c r="S1417" s="34" t="str">
        <f aca="false">IF(H1417="","SIN DATO",IFERROR(INDEX(cat_MarcaN,MATCH(H1417,cat_MarcaO,0)),H1417))</f>
        <v>ABB</v>
      </c>
      <c r="T1417" s="34" t="str">
        <f aca="false">IF(I1417="","SIN DATO",IFERROR(INDEX(cat_ModN,MATCH(I1417,cat_ModO,0)),I1417))</f>
        <v>REA 101</v>
      </c>
      <c r="U1417" s="34" t="str">
        <f aca="false">IF(I1417="","",IFERROR(INDEX(cat_ModG,MATCH(I1417,cat_ModO,0)),"No"))</f>
        <v>No</v>
      </c>
      <c r="V1417" s="34" t="str">
        <f aca="false">IF(J1417="","SIN DATO",IFERROR(INDEX(cat_FunN,MATCH(J1417,cat_FunO,0)),J1417))</f>
        <v>Protección y medición</v>
      </c>
      <c r="W1417" s="34" t="str">
        <f aca="false">IF(OR(S1417="SIN DATO",T1417="SIN DATO"),"No","Sí")</f>
        <v>Sí</v>
      </c>
    </row>
    <row r="1418" customFormat="false" ht="15" hidden="false" customHeight="false" outlineLevel="0" collapsed="false">
      <c r="A1418" s="34" t="s">
        <v>5230</v>
      </c>
      <c r="B1418" s="34" t="s">
        <v>5231</v>
      </c>
      <c r="C1418" s="34" t="s">
        <v>5232</v>
      </c>
      <c r="D1418" s="34" t="s">
        <v>2154</v>
      </c>
      <c r="E1418" s="34" t="s">
        <v>184</v>
      </c>
      <c r="F1418" s="34" t="s">
        <v>1602</v>
      </c>
      <c r="G1418" s="34" t="s">
        <v>227</v>
      </c>
      <c r="H1418" s="34" t="s">
        <v>34</v>
      </c>
      <c r="I1418" s="34" t="s">
        <v>40</v>
      </c>
      <c r="J1418" s="34" t="s">
        <v>228</v>
      </c>
      <c r="K1418" s="34" t="s">
        <v>229</v>
      </c>
      <c r="L1418" s="34" t="s">
        <v>230</v>
      </c>
      <c r="M1418" s="34" t="s">
        <v>1825</v>
      </c>
      <c r="N1418" s="34" t="str">
        <f aca="false">"Sector "&amp;VALUE(MID(D1418,13,2))</f>
        <v>Sector 8</v>
      </c>
      <c r="O1418" s="34" t="str">
        <f aca="false">IF(Dashboard!$C$5="Ubicación técnica",N1418,"Sector "&amp;VALUE(RIGHT(G1418,2)))</f>
        <v>Sector 8</v>
      </c>
      <c r="P1418" s="34" t="str">
        <f aca="false">IF(MID(D1418,15,3)="SEL","Subestación eléctrica","Área de proceso")</f>
        <v>Subestación eléctrica</v>
      </c>
      <c r="Q1418" s="34" t="str">
        <f aca="false">MID(D1418,13,5)&amp;"|"&amp;MID(D1418,19,5)</f>
        <v>08SEL|SEP02</v>
      </c>
      <c r="R1418" s="34" t="str">
        <f aca="false">IF(P1418="Subestación eléctrica",IFERROR(INDEX(cat_SubN,MATCH(Q1418,cat_SubK,0)),"SIN CATALOGAR"),"ÁREA DE PROCESO")</f>
        <v>SEP-02</v>
      </c>
      <c r="S1418" s="34" t="str">
        <f aca="false">IF(H1418="","SIN DATO",IFERROR(INDEX(cat_MarcaN,MATCH(H1418,cat_MarcaO,0)),H1418))</f>
        <v>ABB</v>
      </c>
      <c r="T1418" s="34" t="str">
        <f aca="false">IF(I1418="","SIN DATO",IFERROR(INDEX(cat_ModN,MATCH(I1418,cat_ModO,0)),I1418))</f>
        <v>REA 101</v>
      </c>
      <c r="U1418" s="34" t="str">
        <f aca="false">IF(I1418="","",IFERROR(INDEX(cat_ModG,MATCH(I1418,cat_ModO,0)),"No"))</f>
        <v>No</v>
      </c>
      <c r="V1418" s="34" t="str">
        <f aca="false">IF(J1418="","SIN DATO",IFERROR(INDEX(cat_FunN,MATCH(J1418,cat_FunO,0)),J1418))</f>
        <v>Protección y medición</v>
      </c>
      <c r="W1418" s="34" t="str">
        <f aca="false">IF(OR(S1418="SIN DATO",T1418="SIN DATO"),"No","Sí")</f>
        <v>Sí</v>
      </c>
    </row>
    <row r="1419" customFormat="false" ht="15" hidden="false" customHeight="false" outlineLevel="0" collapsed="false">
      <c r="A1419" s="34" t="s">
        <v>5233</v>
      </c>
      <c r="B1419" s="34" t="s">
        <v>5234</v>
      </c>
      <c r="C1419" s="34" t="s">
        <v>5235</v>
      </c>
      <c r="D1419" s="34" t="s">
        <v>2372</v>
      </c>
      <c r="E1419" s="34" t="s">
        <v>184</v>
      </c>
      <c r="F1419" s="34" t="s">
        <v>1602</v>
      </c>
      <c r="G1419" s="34" t="s">
        <v>227</v>
      </c>
      <c r="H1419" s="34" t="s">
        <v>34</v>
      </c>
      <c r="I1419" s="34" t="s">
        <v>40</v>
      </c>
      <c r="J1419" s="34" t="s">
        <v>228</v>
      </c>
      <c r="K1419" s="34" t="s">
        <v>229</v>
      </c>
      <c r="L1419" s="34" t="s">
        <v>230</v>
      </c>
      <c r="M1419" s="34" t="s">
        <v>1825</v>
      </c>
      <c r="N1419" s="34" t="str">
        <f aca="false">"Sector "&amp;VALUE(MID(D1419,13,2))</f>
        <v>Sector 8</v>
      </c>
      <c r="O1419" s="34" t="str">
        <f aca="false">IF(Dashboard!$C$5="Ubicación técnica",N1419,"Sector "&amp;VALUE(RIGHT(G1419,2)))</f>
        <v>Sector 8</v>
      </c>
      <c r="P1419" s="34" t="str">
        <f aca="false">IF(MID(D1419,15,3)="SEL","Subestación eléctrica","Área de proceso")</f>
        <v>Subestación eléctrica</v>
      </c>
      <c r="Q1419" s="34" t="str">
        <f aca="false">MID(D1419,13,5)&amp;"|"&amp;MID(D1419,19,5)</f>
        <v>08SEL|SEP02</v>
      </c>
      <c r="R1419" s="34" t="str">
        <f aca="false">IF(P1419="Subestación eléctrica",IFERROR(INDEX(cat_SubN,MATCH(Q1419,cat_SubK,0)),"SIN CATALOGAR"),"ÁREA DE PROCESO")</f>
        <v>SEP-02</v>
      </c>
      <c r="S1419" s="34" t="str">
        <f aca="false">IF(H1419="","SIN DATO",IFERROR(INDEX(cat_MarcaN,MATCH(H1419,cat_MarcaO,0)),H1419))</f>
        <v>ABB</v>
      </c>
      <c r="T1419" s="34" t="str">
        <f aca="false">IF(I1419="","SIN DATO",IFERROR(INDEX(cat_ModN,MATCH(I1419,cat_ModO,0)),I1419))</f>
        <v>REA 101</v>
      </c>
      <c r="U1419" s="34" t="str">
        <f aca="false">IF(I1419="","",IFERROR(INDEX(cat_ModG,MATCH(I1419,cat_ModO,0)),"No"))</f>
        <v>No</v>
      </c>
      <c r="V1419" s="34" t="str">
        <f aca="false">IF(J1419="","SIN DATO",IFERROR(INDEX(cat_FunN,MATCH(J1419,cat_FunO,0)),J1419))</f>
        <v>Protección y medición</v>
      </c>
      <c r="W1419" s="34" t="str">
        <f aca="false">IF(OR(S1419="SIN DATO",T1419="SIN DATO"),"No","Sí")</f>
        <v>Sí</v>
      </c>
    </row>
    <row r="1420" customFormat="false" ht="15" hidden="false" customHeight="false" outlineLevel="0" collapsed="false">
      <c r="A1420" s="34" t="s">
        <v>5236</v>
      </c>
      <c r="B1420" s="34" t="s">
        <v>5237</v>
      </c>
      <c r="C1420" s="34" t="s">
        <v>5238</v>
      </c>
      <c r="D1420" s="34" t="s">
        <v>2158</v>
      </c>
      <c r="E1420" s="34" t="s">
        <v>184</v>
      </c>
      <c r="F1420" s="34" t="s">
        <v>1602</v>
      </c>
      <c r="G1420" s="34" t="s">
        <v>227</v>
      </c>
      <c r="H1420" s="34" t="s">
        <v>34</v>
      </c>
      <c r="I1420" s="34" t="s">
        <v>40</v>
      </c>
      <c r="J1420" s="34" t="s">
        <v>228</v>
      </c>
      <c r="K1420" s="34" t="s">
        <v>229</v>
      </c>
      <c r="L1420" s="34" t="s">
        <v>230</v>
      </c>
      <c r="M1420" s="34" t="s">
        <v>1825</v>
      </c>
      <c r="N1420" s="34" t="str">
        <f aca="false">"Sector "&amp;VALUE(MID(D1420,13,2))</f>
        <v>Sector 8</v>
      </c>
      <c r="O1420" s="34" t="str">
        <f aca="false">IF(Dashboard!$C$5="Ubicación técnica",N1420,"Sector "&amp;VALUE(RIGHT(G1420,2)))</f>
        <v>Sector 8</v>
      </c>
      <c r="P1420" s="34" t="str">
        <f aca="false">IF(MID(D1420,15,3)="SEL","Subestación eléctrica","Área de proceso")</f>
        <v>Subestación eléctrica</v>
      </c>
      <c r="Q1420" s="34" t="str">
        <f aca="false">MID(D1420,13,5)&amp;"|"&amp;MID(D1420,19,5)</f>
        <v>08SEL|SEP02</v>
      </c>
      <c r="R1420" s="34" t="str">
        <f aca="false">IF(P1420="Subestación eléctrica",IFERROR(INDEX(cat_SubN,MATCH(Q1420,cat_SubK,0)),"SIN CATALOGAR"),"ÁREA DE PROCESO")</f>
        <v>SEP-02</v>
      </c>
      <c r="S1420" s="34" t="str">
        <f aca="false">IF(H1420="","SIN DATO",IFERROR(INDEX(cat_MarcaN,MATCH(H1420,cat_MarcaO,0)),H1420))</f>
        <v>ABB</v>
      </c>
      <c r="T1420" s="34" t="str">
        <f aca="false">IF(I1420="","SIN DATO",IFERROR(INDEX(cat_ModN,MATCH(I1420,cat_ModO,0)),I1420))</f>
        <v>REA 101</v>
      </c>
      <c r="U1420" s="34" t="str">
        <f aca="false">IF(I1420="","",IFERROR(INDEX(cat_ModG,MATCH(I1420,cat_ModO,0)),"No"))</f>
        <v>No</v>
      </c>
      <c r="V1420" s="34" t="str">
        <f aca="false">IF(J1420="","SIN DATO",IFERROR(INDEX(cat_FunN,MATCH(J1420,cat_FunO,0)),J1420))</f>
        <v>Protección y medición</v>
      </c>
      <c r="W1420" s="34" t="str">
        <f aca="false">IF(OR(S1420="SIN DATO",T1420="SIN DATO"),"No","Sí")</f>
        <v>Sí</v>
      </c>
    </row>
    <row r="1421" customFormat="false" ht="15" hidden="false" customHeight="false" outlineLevel="0" collapsed="false">
      <c r="A1421" s="34" t="s">
        <v>5239</v>
      </c>
      <c r="B1421" s="34" t="s">
        <v>5240</v>
      </c>
      <c r="C1421" s="34" t="s">
        <v>5241</v>
      </c>
      <c r="D1421" s="34" t="s">
        <v>2344</v>
      </c>
      <c r="E1421" s="34" t="s">
        <v>184</v>
      </c>
      <c r="F1421" s="34" t="s">
        <v>1602</v>
      </c>
      <c r="G1421" s="34" t="s">
        <v>227</v>
      </c>
      <c r="H1421" s="34" t="s">
        <v>34</v>
      </c>
      <c r="I1421" s="34" t="s">
        <v>40</v>
      </c>
      <c r="J1421" s="34" t="s">
        <v>228</v>
      </c>
      <c r="K1421" s="34" t="s">
        <v>229</v>
      </c>
      <c r="L1421" s="34" t="s">
        <v>230</v>
      </c>
      <c r="M1421" s="34" t="s">
        <v>1825</v>
      </c>
      <c r="N1421" s="34" t="str">
        <f aca="false">"Sector "&amp;VALUE(MID(D1421,13,2))</f>
        <v>Sector 8</v>
      </c>
      <c r="O1421" s="34" t="str">
        <f aca="false">IF(Dashboard!$C$5="Ubicación técnica",N1421,"Sector "&amp;VALUE(RIGHT(G1421,2)))</f>
        <v>Sector 8</v>
      </c>
      <c r="P1421" s="34" t="str">
        <f aca="false">IF(MID(D1421,15,3)="SEL","Subestación eléctrica","Área de proceso")</f>
        <v>Subestación eléctrica</v>
      </c>
      <c r="Q1421" s="34" t="str">
        <f aca="false">MID(D1421,13,5)&amp;"|"&amp;MID(D1421,19,5)</f>
        <v>08SEL|SEP02</v>
      </c>
      <c r="R1421" s="34" t="str">
        <f aca="false">IF(P1421="Subestación eléctrica",IFERROR(INDEX(cat_SubN,MATCH(Q1421,cat_SubK,0)),"SIN CATALOGAR"),"ÁREA DE PROCESO")</f>
        <v>SEP-02</v>
      </c>
      <c r="S1421" s="34" t="str">
        <f aca="false">IF(H1421="","SIN DATO",IFERROR(INDEX(cat_MarcaN,MATCH(H1421,cat_MarcaO,0)),H1421))</f>
        <v>ABB</v>
      </c>
      <c r="T1421" s="34" t="str">
        <f aca="false">IF(I1421="","SIN DATO",IFERROR(INDEX(cat_ModN,MATCH(I1421,cat_ModO,0)),I1421))</f>
        <v>REA 101</v>
      </c>
      <c r="U1421" s="34" t="str">
        <f aca="false">IF(I1421="","",IFERROR(INDEX(cat_ModG,MATCH(I1421,cat_ModO,0)),"No"))</f>
        <v>No</v>
      </c>
      <c r="V1421" s="34" t="str">
        <f aca="false">IF(J1421="","SIN DATO",IFERROR(INDEX(cat_FunN,MATCH(J1421,cat_FunO,0)),J1421))</f>
        <v>Protección y medición</v>
      </c>
      <c r="W1421" s="34" t="str">
        <f aca="false">IF(OR(S1421="SIN DATO",T1421="SIN DATO"),"No","Sí")</f>
        <v>Sí</v>
      </c>
    </row>
    <row r="1422" customFormat="false" ht="15" hidden="false" customHeight="false" outlineLevel="0" collapsed="false">
      <c r="A1422" s="34" t="s">
        <v>5242</v>
      </c>
      <c r="B1422" s="34" t="s">
        <v>5243</v>
      </c>
      <c r="C1422" s="34" t="s">
        <v>5244</v>
      </c>
      <c r="D1422" s="34" t="s">
        <v>2372</v>
      </c>
      <c r="E1422" s="34" t="s">
        <v>184</v>
      </c>
      <c r="F1422" s="34" t="s">
        <v>1602</v>
      </c>
      <c r="G1422" s="34" t="s">
        <v>227</v>
      </c>
      <c r="H1422" s="34" t="s">
        <v>34</v>
      </c>
      <c r="I1422" s="34" t="s">
        <v>40</v>
      </c>
      <c r="J1422" s="34" t="s">
        <v>228</v>
      </c>
      <c r="K1422" s="34" t="s">
        <v>229</v>
      </c>
      <c r="L1422" s="34" t="s">
        <v>230</v>
      </c>
      <c r="M1422" s="34" t="s">
        <v>1825</v>
      </c>
      <c r="N1422" s="34" t="str">
        <f aca="false">"Sector "&amp;VALUE(MID(D1422,13,2))</f>
        <v>Sector 8</v>
      </c>
      <c r="O1422" s="34" t="str">
        <f aca="false">IF(Dashboard!$C$5="Ubicación técnica",N1422,"Sector "&amp;VALUE(RIGHT(G1422,2)))</f>
        <v>Sector 8</v>
      </c>
      <c r="P1422" s="34" t="str">
        <f aca="false">IF(MID(D1422,15,3)="SEL","Subestación eléctrica","Área de proceso")</f>
        <v>Subestación eléctrica</v>
      </c>
      <c r="Q1422" s="34" t="str">
        <f aca="false">MID(D1422,13,5)&amp;"|"&amp;MID(D1422,19,5)</f>
        <v>08SEL|SEP02</v>
      </c>
      <c r="R1422" s="34" t="str">
        <f aca="false">IF(P1422="Subestación eléctrica",IFERROR(INDEX(cat_SubN,MATCH(Q1422,cat_SubK,0)),"SIN CATALOGAR"),"ÁREA DE PROCESO")</f>
        <v>SEP-02</v>
      </c>
      <c r="S1422" s="34" t="str">
        <f aca="false">IF(H1422="","SIN DATO",IFERROR(INDEX(cat_MarcaN,MATCH(H1422,cat_MarcaO,0)),H1422))</f>
        <v>ABB</v>
      </c>
      <c r="T1422" s="34" t="str">
        <f aca="false">IF(I1422="","SIN DATO",IFERROR(INDEX(cat_ModN,MATCH(I1422,cat_ModO,0)),I1422))</f>
        <v>REA 101</v>
      </c>
      <c r="U1422" s="34" t="str">
        <f aca="false">IF(I1422="","",IFERROR(INDEX(cat_ModG,MATCH(I1422,cat_ModO,0)),"No"))</f>
        <v>No</v>
      </c>
      <c r="V1422" s="34" t="str">
        <f aca="false">IF(J1422="","SIN DATO",IFERROR(INDEX(cat_FunN,MATCH(J1422,cat_FunO,0)),J1422))</f>
        <v>Protección y medición</v>
      </c>
      <c r="W1422" s="34" t="str">
        <f aca="false">IF(OR(S1422="SIN DATO",T1422="SIN DATO"),"No","Sí")</f>
        <v>Sí</v>
      </c>
    </row>
    <row r="1423" customFormat="false" ht="15" hidden="false" customHeight="false" outlineLevel="0" collapsed="false">
      <c r="A1423" s="34" t="s">
        <v>5245</v>
      </c>
      <c r="B1423" s="34" t="s">
        <v>5246</v>
      </c>
      <c r="C1423" s="34" t="s">
        <v>5247</v>
      </c>
      <c r="D1423" s="34" t="s">
        <v>2337</v>
      </c>
      <c r="E1423" s="34" t="s">
        <v>184</v>
      </c>
      <c r="F1423" s="34" t="s">
        <v>1602</v>
      </c>
      <c r="G1423" s="34" t="s">
        <v>227</v>
      </c>
      <c r="H1423" s="34" t="s">
        <v>34</v>
      </c>
      <c r="I1423" s="34" t="s">
        <v>40</v>
      </c>
      <c r="J1423" s="34" t="s">
        <v>228</v>
      </c>
      <c r="K1423" s="34" t="s">
        <v>229</v>
      </c>
      <c r="L1423" s="34" t="s">
        <v>230</v>
      </c>
      <c r="M1423" s="34" t="s">
        <v>1825</v>
      </c>
      <c r="N1423" s="34" t="str">
        <f aca="false">"Sector "&amp;VALUE(MID(D1423,13,2))</f>
        <v>Sector 8</v>
      </c>
      <c r="O1423" s="34" t="str">
        <f aca="false">IF(Dashboard!$C$5="Ubicación técnica",N1423,"Sector "&amp;VALUE(RIGHT(G1423,2)))</f>
        <v>Sector 8</v>
      </c>
      <c r="P1423" s="34" t="str">
        <f aca="false">IF(MID(D1423,15,3)="SEL","Subestación eléctrica","Área de proceso")</f>
        <v>Subestación eléctrica</v>
      </c>
      <c r="Q1423" s="34" t="str">
        <f aca="false">MID(D1423,13,5)&amp;"|"&amp;MID(D1423,19,5)</f>
        <v>08SEL|SEP02</v>
      </c>
      <c r="R1423" s="34" t="str">
        <f aca="false">IF(P1423="Subestación eléctrica",IFERROR(INDEX(cat_SubN,MATCH(Q1423,cat_SubK,0)),"SIN CATALOGAR"),"ÁREA DE PROCESO")</f>
        <v>SEP-02</v>
      </c>
      <c r="S1423" s="34" t="str">
        <f aca="false">IF(H1423="","SIN DATO",IFERROR(INDEX(cat_MarcaN,MATCH(H1423,cat_MarcaO,0)),H1423))</f>
        <v>ABB</v>
      </c>
      <c r="T1423" s="34" t="str">
        <f aca="false">IF(I1423="","SIN DATO",IFERROR(INDEX(cat_ModN,MATCH(I1423,cat_ModO,0)),I1423))</f>
        <v>REA 101</v>
      </c>
      <c r="U1423" s="34" t="str">
        <f aca="false">IF(I1423="","",IFERROR(INDEX(cat_ModG,MATCH(I1423,cat_ModO,0)),"No"))</f>
        <v>No</v>
      </c>
      <c r="V1423" s="34" t="str">
        <f aca="false">IF(J1423="","SIN DATO",IFERROR(INDEX(cat_FunN,MATCH(J1423,cat_FunO,0)),J1423))</f>
        <v>Protección y medición</v>
      </c>
      <c r="W1423" s="34" t="str">
        <f aca="false">IF(OR(S1423="SIN DATO",T1423="SIN DATO"),"No","Sí")</f>
        <v>Sí</v>
      </c>
    </row>
    <row r="1424" customFormat="false" ht="15" hidden="false" customHeight="false" outlineLevel="0" collapsed="false">
      <c r="A1424" s="34" t="s">
        <v>5248</v>
      </c>
      <c r="B1424" s="34" t="s">
        <v>5249</v>
      </c>
      <c r="C1424" s="34" t="s">
        <v>5250</v>
      </c>
      <c r="D1424" s="34" t="s">
        <v>2293</v>
      </c>
      <c r="E1424" s="34" t="s">
        <v>184</v>
      </c>
      <c r="F1424" s="34" t="s">
        <v>1602</v>
      </c>
      <c r="G1424" s="34" t="s">
        <v>227</v>
      </c>
      <c r="H1424" s="34" t="s">
        <v>34</v>
      </c>
      <c r="I1424" s="34" t="s">
        <v>40</v>
      </c>
      <c r="J1424" s="34" t="s">
        <v>228</v>
      </c>
      <c r="K1424" s="34" t="s">
        <v>229</v>
      </c>
      <c r="L1424" s="34" t="s">
        <v>230</v>
      </c>
      <c r="M1424" s="34" t="s">
        <v>1825</v>
      </c>
      <c r="N1424" s="34" t="str">
        <f aca="false">"Sector "&amp;VALUE(MID(D1424,13,2))</f>
        <v>Sector 8</v>
      </c>
      <c r="O1424" s="34" t="str">
        <f aca="false">IF(Dashboard!$C$5="Ubicación técnica",N1424,"Sector "&amp;VALUE(RIGHT(G1424,2)))</f>
        <v>Sector 8</v>
      </c>
      <c r="P1424" s="34" t="str">
        <f aca="false">IF(MID(D1424,15,3)="SEL","Subestación eléctrica","Área de proceso")</f>
        <v>Subestación eléctrica</v>
      </c>
      <c r="Q1424" s="34" t="str">
        <f aca="false">MID(D1424,13,5)&amp;"|"&amp;MID(D1424,19,5)</f>
        <v>08SEL|SEP02</v>
      </c>
      <c r="R1424" s="34" t="str">
        <f aca="false">IF(P1424="Subestación eléctrica",IFERROR(INDEX(cat_SubN,MATCH(Q1424,cat_SubK,0)),"SIN CATALOGAR"),"ÁREA DE PROCESO")</f>
        <v>SEP-02</v>
      </c>
      <c r="S1424" s="34" t="str">
        <f aca="false">IF(H1424="","SIN DATO",IFERROR(INDEX(cat_MarcaN,MATCH(H1424,cat_MarcaO,0)),H1424))</f>
        <v>ABB</v>
      </c>
      <c r="T1424" s="34" t="str">
        <f aca="false">IF(I1424="","SIN DATO",IFERROR(INDEX(cat_ModN,MATCH(I1424,cat_ModO,0)),I1424))</f>
        <v>REA 101</v>
      </c>
      <c r="U1424" s="34" t="str">
        <f aca="false">IF(I1424="","",IFERROR(INDEX(cat_ModG,MATCH(I1424,cat_ModO,0)),"No"))</f>
        <v>No</v>
      </c>
      <c r="V1424" s="34" t="str">
        <f aca="false">IF(J1424="","SIN DATO",IFERROR(INDEX(cat_FunN,MATCH(J1424,cat_FunO,0)),J1424))</f>
        <v>Protección y medición</v>
      </c>
      <c r="W1424" s="34" t="str">
        <f aca="false">IF(OR(S1424="SIN DATO",T1424="SIN DATO"),"No","Sí")</f>
        <v>Sí</v>
      </c>
    </row>
    <row r="1425" customFormat="false" ht="15" hidden="false" customHeight="false" outlineLevel="0" collapsed="false">
      <c r="A1425" s="34" t="s">
        <v>5251</v>
      </c>
      <c r="B1425" s="34" t="s">
        <v>5252</v>
      </c>
      <c r="C1425" s="34" t="s">
        <v>5253</v>
      </c>
      <c r="D1425" s="34" t="s">
        <v>2145</v>
      </c>
      <c r="E1425" s="34" t="s">
        <v>184</v>
      </c>
      <c r="F1425" s="34" t="s">
        <v>1602</v>
      </c>
      <c r="G1425" s="34" t="s">
        <v>227</v>
      </c>
      <c r="H1425" s="34" t="s">
        <v>34</v>
      </c>
      <c r="I1425" s="34" t="s">
        <v>40</v>
      </c>
      <c r="J1425" s="34" t="s">
        <v>228</v>
      </c>
      <c r="K1425" s="34" t="s">
        <v>229</v>
      </c>
      <c r="L1425" s="34" t="s">
        <v>230</v>
      </c>
      <c r="M1425" s="34" t="s">
        <v>1825</v>
      </c>
      <c r="N1425" s="34" t="str">
        <f aca="false">"Sector "&amp;VALUE(MID(D1425,13,2))</f>
        <v>Sector 8</v>
      </c>
      <c r="O1425" s="34" t="str">
        <f aca="false">IF(Dashboard!$C$5="Ubicación técnica",N1425,"Sector "&amp;VALUE(RIGHT(G1425,2)))</f>
        <v>Sector 8</v>
      </c>
      <c r="P1425" s="34" t="str">
        <f aca="false">IF(MID(D1425,15,3)="SEL","Subestación eléctrica","Área de proceso")</f>
        <v>Subestación eléctrica</v>
      </c>
      <c r="Q1425" s="34" t="str">
        <f aca="false">MID(D1425,13,5)&amp;"|"&amp;MID(D1425,19,5)</f>
        <v>08SEL|SEP02</v>
      </c>
      <c r="R1425" s="34" t="str">
        <f aca="false">IF(P1425="Subestación eléctrica",IFERROR(INDEX(cat_SubN,MATCH(Q1425,cat_SubK,0)),"SIN CATALOGAR"),"ÁREA DE PROCESO")</f>
        <v>SEP-02</v>
      </c>
      <c r="S1425" s="34" t="str">
        <f aca="false">IF(H1425="","SIN DATO",IFERROR(INDEX(cat_MarcaN,MATCH(H1425,cat_MarcaO,0)),H1425))</f>
        <v>ABB</v>
      </c>
      <c r="T1425" s="34" t="str">
        <f aca="false">IF(I1425="","SIN DATO",IFERROR(INDEX(cat_ModN,MATCH(I1425,cat_ModO,0)),I1425))</f>
        <v>REA 101</v>
      </c>
      <c r="U1425" s="34" t="str">
        <f aca="false">IF(I1425="","",IFERROR(INDEX(cat_ModG,MATCH(I1425,cat_ModO,0)),"No"))</f>
        <v>No</v>
      </c>
      <c r="V1425" s="34" t="str">
        <f aca="false">IF(J1425="","SIN DATO",IFERROR(INDEX(cat_FunN,MATCH(J1425,cat_FunO,0)),J1425))</f>
        <v>Protección y medición</v>
      </c>
      <c r="W1425" s="34" t="str">
        <f aca="false">IF(OR(S1425="SIN DATO",T1425="SIN DATO"),"No","Sí")</f>
        <v>Sí</v>
      </c>
    </row>
    <row r="1426" customFormat="false" ht="15" hidden="false" customHeight="false" outlineLevel="0" collapsed="false">
      <c r="A1426" s="34" t="s">
        <v>5254</v>
      </c>
      <c r="B1426" s="34" t="s">
        <v>5255</v>
      </c>
      <c r="C1426" s="34" t="s">
        <v>5256</v>
      </c>
      <c r="D1426" s="34" t="s">
        <v>2150</v>
      </c>
      <c r="E1426" s="34" t="s">
        <v>184</v>
      </c>
      <c r="F1426" s="34" t="s">
        <v>1602</v>
      </c>
      <c r="G1426" s="34" t="s">
        <v>227</v>
      </c>
      <c r="H1426" s="34" t="s">
        <v>34</v>
      </c>
      <c r="I1426" s="34" t="s">
        <v>40</v>
      </c>
      <c r="J1426" s="34" t="s">
        <v>228</v>
      </c>
      <c r="K1426" s="34" t="s">
        <v>229</v>
      </c>
      <c r="L1426" s="34" t="s">
        <v>230</v>
      </c>
      <c r="M1426" s="34" t="s">
        <v>1825</v>
      </c>
      <c r="N1426" s="34" t="str">
        <f aca="false">"Sector "&amp;VALUE(MID(D1426,13,2))</f>
        <v>Sector 8</v>
      </c>
      <c r="O1426" s="34" t="str">
        <f aca="false">IF(Dashboard!$C$5="Ubicación técnica",N1426,"Sector "&amp;VALUE(RIGHT(G1426,2)))</f>
        <v>Sector 8</v>
      </c>
      <c r="P1426" s="34" t="str">
        <f aca="false">IF(MID(D1426,15,3)="SEL","Subestación eléctrica","Área de proceso")</f>
        <v>Subestación eléctrica</v>
      </c>
      <c r="Q1426" s="34" t="str">
        <f aca="false">MID(D1426,13,5)&amp;"|"&amp;MID(D1426,19,5)</f>
        <v>08SEL|SEP02</v>
      </c>
      <c r="R1426" s="34" t="str">
        <f aca="false">IF(P1426="Subestación eléctrica",IFERROR(INDEX(cat_SubN,MATCH(Q1426,cat_SubK,0)),"SIN CATALOGAR"),"ÁREA DE PROCESO")</f>
        <v>SEP-02</v>
      </c>
      <c r="S1426" s="34" t="str">
        <f aca="false">IF(H1426="","SIN DATO",IFERROR(INDEX(cat_MarcaN,MATCH(H1426,cat_MarcaO,0)),H1426))</f>
        <v>ABB</v>
      </c>
      <c r="T1426" s="34" t="str">
        <f aca="false">IF(I1426="","SIN DATO",IFERROR(INDEX(cat_ModN,MATCH(I1426,cat_ModO,0)),I1426))</f>
        <v>REA 101</v>
      </c>
      <c r="U1426" s="34" t="str">
        <f aca="false">IF(I1426="","",IFERROR(INDEX(cat_ModG,MATCH(I1426,cat_ModO,0)),"No"))</f>
        <v>No</v>
      </c>
      <c r="V1426" s="34" t="str">
        <f aca="false">IF(J1426="","SIN DATO",IFERROR(INDEX(cat_FunN,MATCH(J1426,cat_FunO,0)),J1426))</f>
        <v>Protección y medición</v>
      </c>
      <c r="W1426" s="34" t="str">
        <f aca="false">IF(OR(S1426="SIN DATO",T1426="SIN DATO"),"No","Sí")</f>
        <v>Sí</v>
      </c>
    </row>
    <row r="1427" customFormat="false" ht="15" hidden="false" customHeight="false" outlineLevel="0" collapsed="false">
      <c r="A1427" s="34" t="s">
        <v>5257</v>
      </c>
      <c r="B1427" s="34" t="s">
        <v>5258</v>
      </c>
      <c r="C1427" s="34" t="s">
        <v>5259</v>
      </c>
      <c r="D1427" s="34" t="s">
        <v>2154</v>
      </c>
      <c r="E1427" s="34" t="s">
        <v>184</v>
      </c>
      <c r="F1427" s="34" t="s">
        <v>1602</v>
      </c>
      <c r="G1427" s="34" t="s">
        <v>227</v>
      </c>
      <c r="H1427" s="34" t="s">
        <v>34</v>
      </c>
      <c r="I1427" s="34" t="s">
        <v>40</v>
      </c>
      <c r="J1427" s="34" t="s">
        <v>228</v>
      </c>
      <c r="K1427" s="34" t="s">
        <v>229</v>
      </c>
      <c r="L1427" s="34" t="s">
        <v>230</v>
      </c>
      <c r="M1427" s="34" t="s">
        <v>1825</v>
      </c>
      <c r="N1427" s="34" t="str">
        <f aca="false">"Sector "&amp;VALUE(MID(D1427,13,2))</f>
        <v>Sector 8</v>
      </c>
      <c r="O1427" s="34" t="str">
        <f aca="false">IF(Dashboard!$C$5="Ubicación técnica",N1427,"Sector "&amp;VALUE(RIGHT(G1427,2)))</f>
        <v>Sector 8</v>
      </c>
      <c r="P1427" s="34" t="str">
        <f aca="false">IF(MID(D1427,15,3)="SEL","Subestación eléctrica","Área de proceso")</f>
        <v>Subestación eléctrica</v>
      </c>
      <c r="Q1427" s="34" t="str">
        <f aca="false">MID(D1427,13,5)&amp;"|"&amp;MID(D1427,19,5)</f>
        <v>08SEL|SEP02</v>
      </c>
      <c r="R1427" s="34" t="str">
        <f aca="false">IF(P1427="Subestación eléctrica",IFERROR(INDEX(cat_SubN,MATCH(Q1427,cat_SubK,0)),"SIN CATALOGAR"),"ÁREA DE PROCESO")</f>
        <v>SEP-02</v>
      </c>
      <c r="S1427" s="34" t="str">
        <f aca="false">IF(H1427="","SIN DATO",IFERROR(INDEX(cat_MarcaN,MATCH(H1427,cat_MarcaO,0)),H1427))</f>
        <v>ABB</v>
      </c>
      <c r="T1427" s="34" t="str">
        <f aca="false">IF(I1427="","SIN DATO",IFERROR(INDEX(cat_ModN,MATCH(I1427,cat_ModO,0)),I1427))</f>
        <v>REA 101</v>
      </c>
      <c r="U1427" s="34" t="str">
        <f aca="false">IF(I1427="","",IFERROR(INDEX(cat_ModG,MATCH(I1427,cat_ModO,0)),"No"))</f>
        <v>No</v>
      </c>
      <c r="V1427" s="34" t="str">
        <f aca="false">IF(J1427="","SIN DATO",IFERROR(INDEX(cat_FunN,MATCH(J1427,cat_FunO,0)),J1427))</f>
        <v>Protección y medición</v>
      </c>
      <c r="W1427" s="34" t="str">
        <f aca="false">IF(OR(S1427="SIN DATO",T1427="SIN DATO"),"No","Sí")</f>
        <v>Sí</v>
      </c>
    </row>
    <row r="1428" customFormat="false" ht="15" hidden="false" customHeight="false" outlineLevel="0" collapsed="false">
      <c r="A1428" s="34" t="s">
        <v>5260</v>
      </c>
      <c r="B1428" s="34" t="s">
        <v>5261</v>
      </c>
      <c r="C1428" s="34" t="s">
        <v>5262</v>
      </c>
      <c r="D1428" s="34" t="s">
        <v>2158</v>
      </c>
      <c r="E1428" s="34" t="s">
        <v>184</v>
      </c>
      <c r="F1428" s="34" t="s">
        <v>1602</v>
      </c>
      <c r="G1428" s="34" t="s">
        <v>227</v>
      </c>
      <c r="H1428" s="34" t="s">
        <v>34</v>
      </c>
      <c r="I1428" s="34" t="s">
        <v>40</v>
      </c>
      <c r="J1428" s="34" t="s">
        <v>228</v>
      </c>
      <c r="K1428" s="34" t="s">
        <v>229</v>
      </c>
      <c r="L1428" s="34" t="s">
        <v>230</v>
      </c>
      <c r="M1428" s="34" t="s">
        <v>1825</v>
      </c>
      <c r="N1428" s="34" t="str">
        <f aca="false">"Sector "&amp;VALUE(MID(D1428,13,2))</f>
        <v>Sector 8</v>
      </c>
      <c r="O1428" s="34" t="str">
        <f aca="false">IF(Dashboard!$C$5="Ubicación técnica",N1428,"Sector "&amp;VALUE(RIGHT(G1428,2)))</f>
        <v>Sector 8</v>
      </c>
      <c r="P1428" s="34" t="str">
        <f aca="false">IF(MID(D1428,15,3)="SEL","Subestación eléctrica","Área de proceso")</f>
        <v>Subestación eléctrica</v>
      </c>
      <c r="Q1428" s="34" t="str">
        <f aca="false">MID(D1428,13,5)&amp;"|"&amp;MID(D1428,19,5)</f>
        <v>08SEL|SEP02</v>
      </c>
      <c r="R1428" s="34" t="str">
        <f aca="false">IF(P1428="Subestación eléctrica",IFERROR(INDEX(cat_SubN,MATCH(Q1428,cat_SubK,0)),"SIN CATALOGAR"),"ÁREA DE PROCESO")</f>
        <v>SEP-02</v>
      </c>
      <c r="S1428" s="34" t="str">
        <f aca="false">IF(H1428="","SIN DATO",IFERROR(INDEX(cat_MarcaN,MATCH(H1428,cat_MarcaO,0)),H1428))</f>
        <v>ABB</v>
      </c>
      <c r="T1428" s="34" t="str">
        <f aca="false">IF(I1428="","SIN DATO",IFERROR(INDEX(cat_ModN,MATCH(I1428,cat_ModO,0)),I1428))</f>
        <v>REA 101</v>
      </c>
      <c r="U1428" s="34" t="str">
        <f aca="false">IF(I1428="","",IFERROR(INDEX(cat_ModG,MATCH(I1428,cat_ModO,0)),"No"))</f>
        <v>No</v>
      </c>
      <c r="V1428" s="34" t="str">
        <f aca="false">IF(J1428="","SIN DATO",IFERROR(INDEX(cat_FunN,MATCH(J1428,cat_FunO,0)),J1428))</f>
        <v>Protección y medición</v>
      </c>
      <c r="W1428" s="34" t="str">
        <f aca="false">IF(OR(S1428="SIN DATO",T1428="SIN DATO"),"No","Sí")</f>
        <v>Sí</v>
      </c>
    </row>
    <row r="1429" customFormat="false" ht="15" hidden="false" customHeight="false" outlineLevel="0" collapsed="false">
      <c r="A1429" s="34" t="s">
        <v>5263</v>
      </c>
      <c r="B1429" s="34" t="s">
        <v>5264</v>
      </c>
      <c r="C1429" s="34" t="s">
        <v>5265</v>
      </c>
      <c r="D1429" s="34" t="s">
        <v>2179</v>
      </c>
      <c r="E1429" s="34" t="s">
        <v>178</v>
      </c>
      <c r="F1429" s="34" t="s">
        <v>1602</v>
      </c>
      <c r="G1429" s="34" t="s">
        <v>227</v>
      </c>
      <c r="H1429" s="34" t="s">
        <v>34</v>
      </c>
      <c r="I1429" s="34" t="s">
        <v>40</v>
      </c>
      <c r="J1429" s="34" t="s">
        <v>681</v>
      </c>
      <c r="K1429" s="34" t="s">
        <v>229</v>
      </c>
      <c r="L1429" s="34" t="s">
        <v>230</v>
      </c>
      <c r="M1429" s="34"/>
      <c r="N1429" s="34" t="str">
        <f aca="false">"Sector "&amp;VALUE(MID(D1429,13,2))</f>
        <v>Sector 8</v>
      </c>
      <c r="O1429" s="34" t="str">
        <f aca="false">IF(Dashboard!$C$5="Ubicación técnica",N1429,"Sector "&amp;VALUE(RIGHT(G1429,2)))</f>
        <v>Sector 8</v>
      </c>
      <c r="P1429" s="34" t="str">
        <f aca="false">IF(MID(D1429,15,3)="SEL","Subestación eléctrica","Área de proceso")</f>
        <v>Subestación eléctrica</v>
      </c>
      <c r="Q1429" s="34" t="str">
        <f aca="false">MID(D1429,13,5)&amp;"|"&amp;MID(D1429,19,5)</f>
        <v>08SEL|S_019</v>
      </c>
      <c r="R1429" s="34" t="str">
        <f aca="false">IF(P1429="Subestación eléctrica",IFERROR(INDEX(cat_SubN,MATCH(Q1429,cat_SubK,0)),"SIN CATALOGAR"),"ÁREA DE PROCESO")</f>
        <v>SE-19</v>
      </c>
      <c r="S1429" s="34" t="str">
        <f aca="false">IF(H1429="","SIN DATO",IFERROR(INDEX(cat_MarcaN,MATCH(H1429,cat_MarcaO,0)),H1429))</f>
        <v>ABB</v>
      </c>
      <c r="T1429" s="34" t="str">
        <f aca="false">IF(I1429="","SIN DATO",IFERROR(INDEX(cat_ModN,MATCH(I1429,cat_ModO,0)),I1429))</f>
        <v>REA 101</v>
      </c>
      <c r="U1429" s="34" t="str">
        <f aca="false">IF(I1429="","",IFERROR(INDEX(cat_ModG,MATCH(I1429,cat_ModO,0)),"No"))</f>
        <v>No</v>
      </c>
      <c r="V1429" s="34" t="str">
        <f aca="false">IF(J1429="","SIN DATO",IFERROR(INDEX(cat_FunN,MATCH(J1429,cat_FunO,0)),J1429))</f>
        <v>Protección</v>
      </c>
      <c r="W1429" s="34" t="str">
        <f aca="false">IF(OR(S1429="SIN DATO",T1429="SIN DATO"),"No","Sí")</f>
        <v>Sí</v>
      </c>
    </row>
    <row r="1430" customFormat="false" ht="15" hidden="false" customHeight="false" outlineLevel="0" collapsed="false">
      <c r="A1430" s="34" t="s">
        <v>5266</v>
      </c>
      <c r="B1430" s="34" t="s">
        <v>5267</v>
      </c>
      <c r="C1430" s="34" t="s">
        <v>5268</v>
      </c>
      <c r="D1430" s="34" t="s">
        <v>2162</v>
      </c>
      <c r="E1430" s="34" t="s">
        <v>138</v>
      </c>
      <c r="F1430" s="34" t="s">
        <v>1602</v>
      </c>
      <c r="G1430" s="34" t="s">
        <v>227</v>
      </c>
      <c r="H1430" s="34"/>
      <c r="I1430" s="34"/>
      <c r="J1430" s="34"/>
      <c r="K1430" s="34"/>
      <c r="L1430" s="34"/>
      <c r="M1430" s="34"/>
      <c r="N1430" s="34" t="str">
        <f aca="false">"Sector "&amp;VALUE(MID(D1430,13,2))</f>
        <v>Sector 6</v>
      </c>
      <c r="O1430" s="34" t="str">
        <f aca="false">IF(Dashboard!$C$5="Ubicación técnica",N1430,"Sector "&amp;VALUE(RIGHT(G1430,2)))</f>
        <v>Sector 6</v>
      </c>
      <c r="P1430" s="34" t="str">
        <f aca="false">IF(MID(D1430,15,3)="SEL","Subestación eléctrica","Área de proceso")</f>
        <v>Subestación eléctrica</v>
      </c>
      <c r="Q1430" s="34" t="str">
        <f aca="false">MID(D1430,13,5)&amp;"|"&amp;MID(D1430,19,5)</f>
        <v>06SEL|S_002</v>
      </c>
      <c r="R1430" s="34" t="str">
        <f aca="false">IF(P1430="Subestación eléctrica",IFERROR(INDEX(cat_SubN,MATCH(Q1430,cat_SubK,0)),"SIN CATALOGAR"),"ÁREA DE PROCESO")</f>
        <v>SE-02</v>
      </c>
      <c r="S1430" s="34" t="str">
        <f aca="false">IF(H1430="","SIN DATO",IFERROR(INDEX(cat_MarcaN,MATCH(H1430,cat_MarcaO,0)),H1430))</f>
        <v>SIN DATO</v>
      </c>
      <c r="T1430" s="34" t="str">
        <f aca="false">IF(I1430="","SIN DATO",IFERROR(INDEX(cat_ModN,MATCH(I1430,cat_ModO,0)),I1430))</f>
        <v>SIN DATO</v>
      </c>
      <c r="U1430" s="34" t="str">
        <f aca="false">IF(I1430="","",IFERROR(INDEX(cat_ModG,MATCH(I1430,cat_ModO,0)),"No"))</f>
        <v/>
      </c>
      <c r="V1430" s="34" t="str">
        <f aca="false">IF(J1430="","SIN DATO",IFERROR(INDEX(cat_FunN,MATCH(J1430,cat_FunO,0)),J1430))</f>
        <v>SIN DATO</v>
      </c>
      <c r="W1430" s="34" t="str">
        <f aca="false">IF(OR(S1430="SIN DATO",T1430="SIN DATO"),"No","Sí")</f>
        <v>No</v>
      </c>
    </row>
    <row r="1431" customFormat="false" ht="15" hidden="false" customHeight="false" outlineLevel="0" collapsed="false">
      <c r="A1431" s="34" t="s">
        <v>5269</v>
      </c>
      <c r="B1431" s="34" t="s">
        <v>5270</v>
      </c>
      <c r="C1431" s="34" t="s">
        <v>5271</v>
      </c>
      <c r="D1431" s="34" t="s">
        <v>2162</v>
      </c>
      <c r="E1431" s="34" t="s">
        <v>138</v>
      </c>
      <c r="F1431" s="34" t="s">
        <v>1602</v>
      </c>
      <c r="G1431" s="34" t="s">
        <v>227</v>
      </c>
      <c r="H1431" s="34"/>
      <c r="I1431" s="34"/>
      <c r="J1431" s="34"/>
      <c r="K1431" s="34"/>
      <c r="L1431" s="34"/>
      <c r="M1431" s="34"/>
      <c r="N1431" s="34" t="str">
        <f aca="false">"Sector "&amp;VALUE(MID(D1431,13,2))</f>
        <v>Sector 6</v>
      </c>
      <c r="O1431" s="34" t="str">
        <f aca="false">IF(Dashboard!$C$5="Ubicación técnica",N1431,"Sector "&amp;VALUE(RIGHT(G1431,2)))</f>
        <v>Sector 6</v>
      </c>
      <c r="P1431" s="34" t="str">
        <f aca="false">IF(MID(D1431,15,3)="SEL","Subestación eléctrica","Área de proceso")</f>
        <v>Subestación eléctrica</v>
      </c>
      <c r="Q1431" s="34" t="str">
        <f aca="false">MID(D1431,13,5)&amp;"|"&amp;MID(D1431,19,5)</f>
        <v>06SEL|S_002</v>
      </c>
      <c r="R1431" s="34" t="str">
        <f aca="false">IF(P1431="Subestación eléctrica",IFERROR(INDEX(cat_SubN,MATCH(Q1431,cat_SubK,0)),"SIN CATALOGAR"),"ÁREA DE PROCESO")</f>
        <v>SE-02</v>
      </c>
      <c r="S1431" s="34" t="str">
        <f aca="false">IF(H1431="","SIN DATO",IFERROR(INDEX(cat_MarcaN,MATCH(H1431,cat_MarcaO,0)),H1431))</f>
        <v>SIN DATO</v>
      </c>
      <c r="T1431" s="34" t="str">
        <f aca="false">IF(I1431="","SIN DATO",IFERROR(INDEX(cat_ModN,MATCH(I1431,cat_ModO,0)),I1431))</f>
        <v>SIN DATO</v>
      </c>
      <c r="U1431" s="34" t="str">
        <f aca="false">IF(I1431="","",IFERROR(INDEX(cat_ModG,MATCH(I1431,cat_ModO,0)),"No"))</f>
        <v/>
      </c>
      <c r="V1431" s="34" t="str">
        <f aca="false">IF(J1431="","SIN DATO",IFERROR(INDEX(cat_FunN,MATCH(J1431,cat_FunO,0)),J1431))</f>
        <v>SIN DATO</v>
      </c>
      <c r="W1431" s="34" t="str">
        <f aca="false">IF(OR(S1431="SIN DATO",T1431="SIN DATO"),"No","Sí")</f>
        <v>No</v>
      </c>
    </row>
    <row r="1432" customFormat="false" ht="15" hidden="false" customHeight="false" outlineLevel="0" collapsed="false">
      <c r="A1432" s="34" t="s">
        <v>5272</v>
      </c>
      <c r="B1432" s="34" t="s">
        <v>5273</v>
      </c>
      <c r="C1432" s="34" t="s">
        <v>5274</v>
      </c>
      <c r="D1432" s="34" t="s">
        <v>2166</v>
      </c>
      <c r="E1432" s="34" t="s">
        <v>138</v>
      </c>
      <c r="F1432" s="34" t="s">
        <v>1602</v>
      </c>
      <c r="G1432" s="34" t="s">
        <v>227</v>
      </c>
      <c r="H1432" s="34"/>
      <c r="I1432" s="34"/>
      <c r="J1432" s="34"/>
      <c r="K1432" s="34"/>
      <c r="L1432" s="34"/>
      <c r="M1432" s="34"/>
      <c r="N1432" s="34" t="str">
        <f aca="false">"Sector "&amp;VALUE(MID(D1432,13,2))</f>
        <v>Sector 6</v>
      </c>
      <c r="O1432" s="34" t="str">
        <f aca="false">IF(Dashboard!$C$5="Ubicación técnica",N1432,"Sector "&amp;VALUE(RIGHT(G1432,2)))</f>
        <v>Sector 6</v>
      </c>
      <c r="P1432" s="34" t="str">
        <f aca="false">IF(MID(D1432,15,3)="SEL","Subestación eléctrica","Área de proceso")</f>
        <v>Subestación eléctrica</v>
      </c>
      <c r="Q1432" s="34" t="str">
        <f aca="false">MID(D1432,13,5)&amp;"|"&amp;MID(D1432,19,5)</f>
        <v>06SEL|S_002</v>
      </c>
      <c r="R1432" s="34" t="str">
        <f aca="false">IF(P1432="Subestación eléctrica",IFERROR(INDEX(cat_SubN,MATCH(Q1432,cat_SubK,0)),"SIN CATALOGAR"),"ÁREA DE PROCESO")</f>
        <v>SE-02</v>
      </c>
      <c r="S1432" s="34" t="str">
        <f aca="false">IF(H1432="","SIN DATO",IFERROR(INDEX(cat_MarcaN,MATCH(H1432,cat_MarcaO,0)),H1432))</f>
        <v>SIN DATO</v>
      </c>
      <c r="T1432" s="34" t="str">
        <f aca="false">IF(I1432="","SIN DATO",IFERROR(INDEX(cat_ModN,MATCH(I1432,cat_ModO,0)),I1432))</f>
        <v>SIN DATO</v>
      </c>
      <c r="U1432" s="34" t="str">
        <f aca="false">IF(I1432="","",IFERROR(INDEX(cat_ModG,MATCH(I1432,cat_ModO,0)),"No"))</f>
        <v/>
      </c>
      <c r="V1432" s="34" t="str">
        <f aca="false">IF(J1432="","SIN DATO",IFERROR(INDEX(cat_FunN,MATCH(J1432,cat_FunO,0)),J1432))</f>
        <v>SIN DATO</v>
      </c>
      <c r="W1432" s="34" t="str">
        <f aca="false">IF(OR(S1432="SIN DATO",T1432="SIN DATO"),"No","Sí")</f>
        <v>No</v>
      </c>
    </row>
    <row r="1433" customFormat="false" ht="15" hidden="false" customHeight="false" outlineLevel="0" collapsed="false">
      <c r="A1433" s="34" t="s">
        <v>5275</v>
      </c>
      <c r="B1433" s="34" t="s">
        <v>5276</v>
      </c>
      <c r="C1433" s="34" t="s">
        <v>5277</v>
      </c>
      <c r="D1433" s="34" t="s">
        <v>2170</v>
      </c>
      <c r="E1433" s="34" t="s">
        <v>170</v>
      </c>
      <c r="F1433" s="34" t="s">
        <v>1602</v>
      </c>
      <c r="G1433" s="34" t="s">
        <v>227</v>
      </c>
      <c r="H1433" s="34" t="s">
        <v>34</v>
      </c>
      <c r="I1433" s="34" t="s">
        <v>40</v>
      </c>
      <c r="J1433" s="34" t="s">
        <v>2231</v>
      </c>
      <c r="K1433" s="34" t="s">
        <v>229</v>
      </c>
      <c r="L1433" s="34" t="s">
        <v>230</v>
      </c>
      <c r="M1433" s="34"/>
      <c r="N1433" s="34" t="str">
        <f aca="false">"Sector "&amp;VALUE(MID(D1433,13,2))</f>
        <v>Sector 8</v>
      </c>
      <c r="O1433" s="34" t="str">
        <f aca="false">IF(Dashboard!$C$5="Ubicación técnica",N1433,"Sector "&amp;VALUE(RIGHT(G1433,2)))</f>
        <v>Sector 8</v>
      </c>
      <c r="P1433" s="34" t="str">
        <f aca="false">IF(MID(D1433,15,3)="SEL","Subestación eléctrica","Área de proceso")</f>
        <v>Subestación eléctrica</v>
      </c>
      <c r="Q1433" s="34" t="str">
        <f aca="false">MID(D1433,13,5)&amp;"|"&amp;MID(D1433,19,5)</f>
        <v>08SEL|S_016</v>
      </c>
      <c r="R1433" s="34" t="str">
        <f aca="false">IF(P1433="Subestación eléctrica",IFERROR(INDEX(cat_SubN,MATCH(Q1433,cat_SubK,0)),"SIN CATALOGAR"),"ÁREA DE PROCESO")</f>
        <v>SE-16</v>
      </c>
      <c r="S1433" s="34" t="str">
        <f aca="false">IF(H1433="","SIN DATO",IFERROR(INDEX(cat_MarcaN,MATCH(H1433,cat_MarcaO,0)),H1433))</f>
        <v>ABB</v>
      </c>
      <c r="T1433" s="34" t="str">
        <f aca="false">IF(I1433="","SIN DATO",IFERROR(INDEX(cat_ModN,MATCH(I1433,cat_ModO,0)),I1433))</f>
        <v>REA 101</v>
      </c>
      <c r="U1433" s="34" t="str">
        <f aca="false">IF(I1433="","",IFERROR(INDEX(cat_ModG,MATCH(I1433,cat_ModO,0)),"No"))</f>
        <v>No</v>
      </c>
      <c r="V1433" s="34" t="str">
        <f aca="false">IF(J1433="","SIN DATO",IFERROR(INDEX(cat_FunN,MATCH(J1433,cat_FunO,0)),J1433))</f>
        <v>Protección</v>
      </c>
      <c r="W1433" s="34" t="str">
        <f aca="false">IF(OR(S1433="SIN DATO",T1433="SIN DATO"),"No","Sí")</f>
        <v>Sí</v>
      </c>
    </row>
    <row r="1434" customFormat="false" ht="15" hidden="false" customHeight="false" outlineLevel="0" collapsed="false">
      <c r="A1434" s="34" t="s">
        <v>5278</v>
      </c>
      <c r="B1434" s="34" t="s">
        <v>5279</v>
      </c>
      <c r="C1434" s="34" t="s">
        <v>5280</v>
      </c>
      <c r="D1434" s="34" t="s">
        <v>2175</v>
      </c>
      <c r="E1434" s="34" t="s">
        <v>170</v>
      </c>
      <c r="F1434" s="34" t="s">
        <v>1602</v>
      </c>
      <c r="G1434" s="34" t="s">
        <v>227</v>
      </c>
      <c r="H1434" s="34" t="s">
        <v>34</v>
      </c>
      <c r="I1434" s="34" t="s">
        <v>40</v>
      </c>
      <c r="J1434" s="34" t="s">
        <v>2231</v>
      </c>
      <c r="K1434" s="34" t="s">
        <v>229</v>
      </c>
      <c r="L1434" s="34" t="s">
        <v>230</v>
      </c>
      <c r="M1434" s="34"/>
      <c r="N1434" s="34" t="str">
        <f aca="false">"Sector "&amp;VALUE(MID(D1434,13,2))</f>
        <v>Sector 8</v>
      </c>
      <c r="O1434" s="34" t="str">
        <f aca="false">IF(Dashboard!$C$5="Ubicación técnica",N1434,"Sector "&amp;VALUE(RIGHT(G1434,2)))</f>
        <v>Sector 8</v>
      </c>
      <c r="P1434" s="34" t="str">
        <f aca="false">IF(MID(D1434,15,3)="SEL","Subestación eléctrica","Área de proceso")</f>
        <v>Subestación eléctrica</v>
      </c>
      <c r="Q1434" s="34" t="str">
        <f aca="false">MID(D1434,13,5)&amp;"|"&amp;MID(D1434,19,5)</f>
        <v>08SEL|S_016</v>
      </c>
      <c r="R1434" s="34" t="str">
        <f aca="false">IF(P1434="Subestación eléctrica",IFERROR(INDEX(cat_SubN,MATCH(Q1434,cat_SubK,0)),"SIN CATALOGAR"),"ÁREA DE PROCESO")</f>
        <v>SE-16</v>
      </c>
      <c r="S1434" s="34" t="str">
        <f aca="false">IF(H1434="","SIN DATO",IFERROR(INDEX(cat_MarcaN,MATCH(H1434,cat_MarcaO,0)),H1434))</f>
        <v>ABB</v>
      </c>
      <c r="T1434" s="34" t="str">
        <f aca="false">IF(I1434="","SIN DATO",IFERROR(INDEX(cat_ModN,MATCH(I1434,cat_ModO,0)),I1434))</f>
        <v>REA 101</v>
      </c>
      <c r="U1434" s="34" t="str">
        <f aca="false">IF(I1434="","",IFERROR(INDEX(cat_ModG,MATCH(I1434,cat_ModO,0)),"No"))</f>
        <v>No</v>
      </c>
      <c r="V1434" s="34" t="str">
        <f aca="false">IF(J1434="","SIN DATO",IFERROR(INDEX(cat_FunN,MATCH(J1434,cat_FunO,0)),J1434))</f>
        <v>Protección</v>
      </c>
      <c r="W1434" s="34" t="str">
        <f aca="false">IF(OR(S1434="SIN DATO",T1434="SIN DATO"),"No","Sí")</f>
        <v>Sí</v>
      </c>
    </row>
    <row r="1435" customFormat="false" ht="15" hidden="false" customHeight="false" outlineLevel="0" collapsed="false">
      <c r="A1435" s="34" t="s">
        <v>5281</v>
      </c>
      <c r="B1435" s="34" t="s">
        <v>5282</v>
      </c>
      <c r="C1435" s="34" t="s">
        <v>5283</v>
      </c>
      <c r="D1435" s="34" t="s">
        <v>2170</v>
      </c>
      <c r="E1435" s="34" t="s">
        <v>170</v>
      </c>
      <c r="F1435" s="34" t="s">
        <v>1602</v>
      </c>
      <c r="G1435" s="34" t="s">
        <v>227</v>
      </c>
      <c r="H1435" s="34" t="s">
        <v>34</v>
      </c>
      <c r="I1435" s="34" t="s">
        <v>37</v>
      </c>
      <c r="J1435" s="34" t="s">
        <v>228</v>
      </c>
      <c r="K1435" s="34" t="s">
        <v>229</v>
      </c>
      <c r="L1435" s="34" t="s">
        <v>230</v>
      </c>
      <c r="M1435" s="34" t="s">
        <v>1663</v>
      </c>
      <c r="N1435" s="34" t="str">
        <f aca="false">"Sector "&amp;VALUE(MID(D1435,13,2))</f>
        <v>Sector 8</v>
      </c>
      <c r="O1435" s="34" t="str">
        <f aca="false">IF(Dashboard!$C$5="Ubicación técnica",N1435,"Sector "&amp;VALUE(RIGHT(G1435,2)))</f>
        <v>Sector 8</v>
      </c>
      <c r="P1435" s="34" t="str">
        <f aca="false">IF(MID(D1435,15,3)="SEL","Subestación eléctrica","Área de proceso")</f>
        <v>Subestación eléctrica</v>
      </c>
      <c r="Q1435" s="34" t="str">
        <f aca="false">MID(D1435,13,5)&amp;"|"&amp;MID(D1435,19,5)</f>
        <v>08SEL|S_016</v>
      </c>
      <c r="R1435" s="34" t="str">
        <f aca="false">IF(P1435="Subestación eléctrica",IFERROR(INDEX(cat_SubN,MATCH(Q1435,cat_SubK,0)),"SIN CATALOGAR"),"ÁREA DE PROCESO")</f>
        <v>SE-16</v>
      </c>
      <c r="S1435" s="34" t="str">
        <f aca="false">IF(H1435="","SIN DATO",IFERROR(INDEX(cat_MarcaN,MATCH(H1435,cat_MarcaO,0)),H1435))</f>
        <v>ABB</v>
      </c>
      <c r="T1435" s="34" t="str">
        <f aca="false">IF(I1435="","SIN DATO",IFERROR(INDEX(cat_ModN,MATCH(I1435,cat_ModO,0)),I1435))</f>
        <v>REF615A_1G</v>
      </c>
      <c r="U1435" s="34" t="str">
        <f aca="false">IF(I1435="","",IFERROR(INDEX(cat_ModG,MATCH(I1435,cat_ModO,0)),"No"))</f>
        <v>No</v>
      </c>
      <c r="V1435" s="34" t="str">
        <f aca="false">IF(J1435="","SIN DATO",IFERROR(INDEX(cat_FunN,MATCH(J1435,cat_FunO,0)),J1435))</f>
        <v>Protección y medición</v>
      </c>
      <c r="W1435" s="34" t="str">
        <f aca="false">IF(OR(S1435="SIN DATO",T1435="SIN DATO"),"No","Sí")</f>
        <v>Sí</v>
      </c>
    </row>
    <row r="1436" customFormat="false" ht="15" hidden="false" customHeight="false" outlineLevel="0" collapsed="false">
      <c r="A1436" s="34" t="s">
        <v>5284</v>
      </c>
      <c r="B1436" s="34" t="s">
        <v>5285</v>
      </c>
      <c r="C1436" s="34" t="s">
        <v>5286</v>
      </c>
      <c r="D1436" s="34" t="s">
        <v>2179</v>
      </c>
      <c r="E1436" s="34" t="s">
        <v>178</v>
      </c>
      <c r="F1436" s="34" t="s">
        <v>1602</v>
      </c>
      <c r="G1436" s="34" t="s">
        <v>227</v>
      </c>
      <c r="H1436" s="34" t="s">
        <v>34</v>
      </c>
      <c r="I1436" s="34" t="s">
        <v>37</v>
      </c>
      <c r="J1436" s="34" t="s">
        <v>228</v>
      </c>
      <c r="K1436" s="34" t="s">
        <v>229</v>
      </c>
      <c r="L1436" s="34" t="s">
        <v>230</v>
      </c>
      <c r="M1436" s="34" t="s">
        <v>1663</v>
      </c>
      <c r="N1436" s="34" t="str">
        <f aca="false">"Sector "&amp;VALUE(MID(D1436,13,2))</f>
        <v>Sector 8</v>
      </c>
      <c r="O1436" s="34" t="str">
        <f aca="false">IF(Dashboard!$C$5="Ubicación técnica",N1436,"Sector "&amp;VALUE(RIGHT(G1436,2)))</f>
        <v>Sector 8</v>
      </c>
      <c r="P1436" s="34" t="str">
        <f aca="false">IF(MID(D1436,15,3)="SEL","Subestación eléctrica","Área de proceso")</f>
        <v>Subestación eléctrica</v>
      </c>
      <c r="Q1436" s="34" t="str">
        <f aca="false">MID(D1436,13,5)&amp;"|"&amp;MID(D1436,19,5)</f>
        <v>08SEL|S_019</v>
      </c>
      <c r="R1436" s="34" t="str">
        <f aca="false">IF(P1436="Subestación eléctrica",IFERROR(INDEX(cat_SubN,MATCH(Q1436,cat_SubK,0)),"SIN CATALOGAR"),"ÁREA DE PROCESO")</f>
        <v>SE-19</v>
      </c>
      <c r="S1436" s="34" t="str">
        <f aca="false">IF(H1436="","SIN DATO",IFERROR(INDEX(cat_MarcaN,MATCH(H1436,cat_MarcaO,0)),H1436))</f>
        <v>ABB</v>
      </c>
      <c r="T1436" s="34" t="str">
        <f aca="false">IF(I1436="","SIN DATO",IFERROR(INDEX(cat_ModN,MATCH(I1436,cat_ModO,0)),I1436))</f>
        <v>REF615A_1G</v>
      </c>
      <c r="U1436" s="34" t="str">
        <f aca="false">IF(I1436="","",IFERROR(INDEX(cat_ModG,MATCH(I1436,cat_ModO,0)),"No"))</f>
        <v>No</v>
      </c>
      <c r="V1436" s="34" t="str">
        <f aca="false">IF(J1436="","SIN DATO",IFERROR(INDEX(cat_FunN,MATCH(J1436,cat_FunO,0)),J1436))</f>
        <v>Protección y medición</v>
      </c>
      <c r="W1436" s="34" t="str">
        <f aca="false">IF(OR(S1436="SIN DATO",T1436="SIN DATO"),"No","Sí")</f>
        <v>Sí</v>
      </c>
    </row>
    <row r="1437" customFormat="false" ht="15" hidden="false" customHeight="false" outlineLevel="0" collapsed="false">
      <c r="A1437" s="34" t="s">
        <v>5287</v>
      </c>
      <c r="B1437" s="34" t="s">
        <v>5288</v>
      </c>
      <c r="C1437" s="34" t="s">
        <v>5289</v>
      </c>
      <c r="D1437" s="34" t="s">
        <v>2183</v>
      </c>
      <c r="E1437" s="34" t="s">
        <v>178</v>
      </c>
      <c r="F1437" s="34" t="s">
        <v>1602</v>
      </c>
      <c r="G1437" s="34" t="s">
        <v>227</v>
      </c>
      <c r="H1437" s="34" t="s">
        <v>34</v>
      </c>
      <c r="I1437" s="34" t="s">
        <v>37</v>
      </c>
      <c r="J1437" s="34" t="s">
        <v>228</v>
      </c>
      <c r="K1437" s="34" t="s">
        <v>229</v>
      </c>
      <c r="L1437" s="34" t="s">
        <v>230</v>
      </c>
      <c r="M1437" s="34" t="s">
        <v>1663</v>
      </c>
      <c r="N1437" s="34" t="str">
        <f aca="false">"Sector "&amp;VALUE(MID(D1437,13,2))</f>
        <v>Sector 8</v>
      </c>
      <c r="O1437" s="34" t="str">
        <f aca="false">IF(Dashboard!$C$5="Ubicación técnica",N1437,"Sector "&amp;VALUE(RIGHT(G1437,2)))</f>
        <v>Sector 8</v>
      </c>
      <c r="P1437" s="34" t="str">
        <f aca="false">IF(MID(D1437,15,3)="SEL","Subestación eléctrica","Área de proceso")</f>
        <v>Subestación eléctrica</v>
      </c>
      <c r="Q1437" s="34" t="str">
        <f aca="false">MID(D1437,13,5)&amp;"|"&amp;MID(D1437,19,5)</f>
        <v>08SEL|S_019</v>
      </c>
      <c r="R1437" s="34" t="str">
        <f aca="false">IF(P1437="Subestación eléctrica",IFERROR(INDEX(cat_SubN,MATCH(Q1437,cat_SubK,0)),"SIN CATALOGAR"),"ÁREA DE PROCESO")</f>
        <v>SE-19</v>
      </c>
      <c r="S1437" s="34" t="str">
        <f aca="false">IF(H1437="","SIN DATO",IFERROR(INDEX(cat_MarcaN,MATCH(H1437,cat_MarcaO,0)),H1437))</f>
        <v>ABB</v>
      </c>
      <c r="T1437" s="34" t="str">
        <f aca="false">IF(I1437="","SIN DATO",IFERROR(INDEX(cat_ModN,MATCH(I1437,cat_ModO,0)),I1437))</f>
        <v>REF615A_1G</v>
      </c>
      <c r="U1437" s="34" t="str">
        <f aca="false">IF(I1437="","",IFERROR(INDEX(cat_ModG,MATCH(I1437,cat_ModO,0)),"No"))</f>
        <v>No</v>
      </c>
      <c r="V1437" s="34" t="str">
        <f aca="false">IF(J1437="","SIN DATO",IFERROR(INDEX(cat_FunN,MATCH(J1437,cat_FunO,0)),J1437))</f>
        <v>Protección y medición</v>
      </c>
      <c r="W1437" s="34" t="str">
        <f aca="false">IF(OR(S1437="SIN DATO",T1437="SIN DATO"),"No","Sí")</f>
        <v>Sí</v>
      </c>
    </row>
    <row r="1438" customFormat="false" ht="15" hidden="false" customHeight="false" outlineLevel="0" collapsed="false">
      <c r="A1438" s="34" t="s">
        <v>5290</v>
      </c>
      <c r="B1438" s="34" t="s">
        <v>5291</v>
      </c>
      <c r="C1438" s="34" t="s">
        <v>5292</v>
      </c>
      <c r="D1438" s="34" t="s">
        <v>2179</v>
      </c>
      <c r="E1438" s="34" t="s">
        <v>178</v>
      </c>
      <c r="F1438" s="34" t="s">
        <v>1602</v>
      </c>
      <c r="G1438" s="34" t="s">
        <v>227</v>
      </c>
      <c r="H1438" s="34" t="s">
        <v>34</v>
      </c>
      <c r="I1438" s="34" t="s">
        <v>37</v>
      </c>
      <c r="J1438" s="34" t="s">
        <v>228</v>
      </c>
      <c r="K1438" s="34" t="s">
        <v>229</v>
      </c>
      <c r="L1438" s="34" t="s">
        <v>230</v>
      </c>
      <c r="M1438" s="34" t="s">
        <v>1663</v>
      </c>
      <c r="N1438" s="34" t="str">
        <f aca="false">"Sector "&amp;VALUE(MID(D1438,13,2))</f>
        <v>Sector 8</v>
      </c>
      <c r="O1438" s="34" t="str">
        <f aca="false">IF(Dashboard!$C$5="Ubicación técnica",N1438,"Sector "&amp;VALUE(RIGHT(G1438,2)))</f>
        <v>Sector 8</v>
      </c>
      <c r="P1438" s="34" t="str">
        <f aca="false">IF(MID(D1438,15,3)="SEL","Subestación eléctrica","Área de proceso")</f>
        <v>Subestación eléctrica</v>
      </c>
      <c r="Q1438" s="34" t="str">
        <f aca="false">MID(D1438,13,5)&amp;"|"&amp;MID(D1438,19,5)</f>
        <v>08SEL|S_019</v>
      </c>
      <c r="R1438" s="34" t="str">
        <f aca="false">IF(P1438="Subestación eléctrica",IFERROR(INDEX(cat_SubN,MATCH(Q1438,cat_SubK,0)),"SIN CATALOGAR"),"ÁREA DE PROCESO")</f>
        <v>SE-19</v>
      </c>
      <c r="S1438" s="34" t="str">
        <f aca="false">IF(H1438="","SIN DATO",IFERROR(INDEX(cat_MarcaN,MATCH(H1438,cat_MarcaO,0)),H1438))</f>
        <v>ABB</v>
      </c>
      <c r="T1438" s="34" t="str">
        <f aca="false">IF(I1438="","SIN DATO",IFERROR(INDEX(cat_ModN,MATCH(I1438,cat_ModO,0)),I1438))</f>
        <v>REF615A_1G</v>
      </c>
      <c r="U1438" s="34" t="str">
        <f aca="false">IF(I1438="","",IFERROR(INDEX(cat_ModG,MATCH(I1438,cat_ModO,0)),"No"))</f>
        <v>No</v>
      </c>
      <c r="V1438" s="34" t="str">
        <f aca="false">IF(J1438="","SIN DATO",IFERROR(INDEX(cat_FunN,MATCH(J1438,cat_FunO,0)),J1438))</f>
        <v>Protección y medición</v>
      </c>
      <c r="W1438" s="34" t="str">
        <f aca="false">IF(OR(S1438="SIN DATO",T1438="SIN DATO"),"No","Sí")</f>
        <v>Sí</v>
      </c>
    </row>
    <row r="1439" customFormat="false" ht="15" hidden="false" customHeight="false" outlineLevel="0" collapsed="false">
      <c r="A1439" s="34" t="s">
        <v>5293</v>
      </c>
      <c r="B1439" s="34" t="s">
        <v>4316</v>
      </c>
      <c r="C1439" s="34" t="s">
        <v>4317</v>
      </c>
      <c r="D1439" s="34" t="s">
        <v>2179</v>
      </c>
      <c r="E1439" s="34" t="s">
        <v>178</v>
      </c>
      <c r="F1439" s="34" t="s">
        <v>1602</v>
      </c>
      <c r="G1439" s="34" t="s">
        <v>227</v>
      </c>
      <c r="H1439" s="34" t="s">
        <v>34</v>
      </c>
      <c r="I1439" s="34" t="s">
        <v>37</v>
      </c>
      <c r="J1439" s="34" t="s">
        <v>228</v>
      </c>
      <c r="K1439" s="34" t="s">
        <v>229</v>
      </c>
      <c r="L1439" s="34" t="s">
        <v>230</v>
      </c>
      <c r="M1439" s="34" t="s">
        <v>1663</v>
      </c>
      <c r="N1439" s="34" t="str">
        <f aca="false">"Sector "&amp;VALUE(MID(D1439,13,2))</f>
        <v>Sector 8</v>
      </c>
      <c r="O1439" s="34" t="str">
        <f aca="false">IF(Dashboard!$C$5="Ubicación técnica",N1439,"Sector "&amp;VALUE(RIGHT(G1439,2)))</f>
        <v>Sector 8</v>
      </c>
      <c r="P1439" s="34" t="str">
        <f aca="false">IF(MID(D1439,15,3)="SEL","Subestación eléctrica","Área de proceso")</f>
        <v>Subestación eléctrica</v>
      </c>
      <c r="Q1439" s="34" t="str">
        <f aca="false">MID(D1439,13,5)&amp;"|"&amp;MID(D1439,19,5)</f>
        <v>08SEL|S_019</v>
      </c>
      <c r="R1439" s="34" t="str">
        <f aca="false">IF(P1439="Subestación eléctrica",IFERROR(INDEX(cat_SubN,MATCH(Q1439,cat_SubK,0)),"SIN CATALOGAR"),"ÁREA DE PROCESO")</f>
        <v>SE-19</v>
      </c>
      <c r="S1439" s="34" t="str">
        <f aca="false">IF(H1439="","SIN DATO",IFERROR(INDEX(cat_MarcaN,MATCH(H1439,cat_MarcaO,0)),H1439))</f>
        <v>ABB</v>
      </c>
      <c r="T1439" s="34" t="str">
        <f aca="false">IF(I1439="","SIN DATO",IFERROR(INDEX(cat_ModN,MATCH(I1439,cat_ModO,0)),I1439))</f>
        <v>REF615A_1G</v>
      </c>
      <c r="U1439" s="34" t="str">
        <f aca="false">IF(I1439="","",IFERROR(INDEX(cat_ModG,MATCH(I1439,cat_ModO,0)),"No"))</f>
        <v>No</v>
      </c>
      <c r="V1439" s="34" t="str">
        <f aca="false">IF(J1439="","SIN DATO",IFERROR(INDEX(cat_FunN,MATCH(J1439,cat_FunO,0)),J1439))</f>
        <v>Protección y medición</v>
      </c>
      <c r="W1439" s="34" t="str">
        <f aca="false">IF(OR(S1439="SIN DATO",T1439="SIN DATO"),"No","Sí")</f>
        <v>Sí</v>
      </c>
    </row>
    <row r="1440" customFormat="false" ht="15" hidden="false" customHeight="false" outlineLevel="0" collapsed="false">
      <c r="A1440" s="34" t="s">
        <v>5294</v>
      </c>
      <c r="B1440" s="34" t="s">
        <v>4320</v>
      </c>
      <c r="C1440" s="34" t="s">
        <v>4321</v>
      </c>
      <c r="D1440" s="34" t="s">
        <v>2183</v>
      </c>
      <c r="E1440" s="34" t="s">
        <v>178</v>
      </c>
      <c r="F1440" s="34" t="s">
        <v>1602</v>
      </c>
      <c r="G1440" s="34" t="s">
        <v>227</v>
      </c>
      <c r="H1440" s="34" t="s">
        <v>34</v>
      </c>
      <c r="I1440" s="34" t="s">
        <v>37</v>
      </c>
      <c r="J1440" s="34" t="s">
        <v>228</v>
      </c>
      <c r="K1440" s="34" t="s">
        <v>229</v>
      </c>
      <c r="L1440" s="34" t="s">
        <v>230</v>
      </c>
      <c r="M1440" s="34" t="s">
        <v>1663</v>
      </c>
      <c r="N1440" s="34" t="str">
        <f aca="false">"Sector "&amp;VALUE(MID(D1440,13,2))</f>
        <v>Sector 8</v>
      </c>
      <c r="O1440" s="34" t="str">
        <f aca="false">IF(Dashboard!$C$5="Ubicación técnica",N1440,"Sector "&amp;VALUE(RIGHT(G1440,2)))</f>
        <v>Sector 8</v>
      </c>
      <c r="P1440" s="34" t="str">
        <f aca="false">IF(MID(D1440,15,3)="SEL","Subestación eléctrica","Área de proceso")</f>
        <v>Subestación eléctrica</v>
      </c>
      <c r="Q1440" s="34" t="str">
        <f aca="false">MID(D1440,13,5)&amp;"|"&amp;MID(D1440,19,5)</f>
        <v>08SEL|S_019</v>
      </c>
      <c r="R1440" s="34" t="str">
        <f aca="false">IF(P1440="Subestación eléctrica",IFERROR(INDEX(cat_SubN,MATCH(Q1440,cat_SubK,0)),"SIN CATALOGAR"),"ÁREA DE PROCESO")</f>
        <v>SE-19</v>
      </c>
      <c r="S1440" s="34" t="str">
        <f aca="false">IF(H1440="","SIN DATO",IFERROR(INDEX(cat_MarcaN,MATCH(H1440,cat_MarcaO,0)),H1440))</f>
        <v>ABB</v>
      </c>
      <c r="T1440" s="34" t="str">
        <f aca="false">IF(I1440="","SIN DATO",IFERROR(INDEX(cat_ModN,MATCH(I1440,cat_ModO,0)),I1440))</f>
        <v>REF615A_1G</v>
      </c>
      <c r="U1440" s="34" t="str">
        <f aca="false">IF(I1440="","",IFERROR(INDEX(cat_ModG,MATCH(I1440,cat_ModO,0)),"No"))</f>
        <v>No</v>
      </c>
      <c r="V1440" s="34" t="str">
        <f aca="false">IF(J1440="","SIN DATO",IFERROR(INDEX(cat_FunN,MATCH(J1440,cat_FunO,0)),J1440))</f>
        <v>Protección y medición</v>
      </c>
      <c r="W1440" s="34" t="str">
        <f aca="false">IF(OR(S1440="SIN DATO",T1440="SIN DATO"),"No","Sí")</f>
        <v>Sí</v>
      </c>
    </row>
    <row r="1441" customFormat="false" ht="15" hidden="false" customHeight="false" outlineLevel="0" collapsed="false">
      <c r="A1441" s="34" t="s">
        <v>5295</v>
      </c>
      <c r="B1441" s="34" t="s">
        <v>5296</v>
      </c>
      <c r="C1441" s="34" t="s">
        <v>5297</v>
      </c>
      <c r="D1441" s="34" t="s">
        <v>2162</v>
      </c>
      <c r="E1441" s="34" t="s">
        <v>138</v>
      </c>
      <c r="F1441" s="34" t="s">
        <v>1602</v>
      </c>
      <c r="G1441" s="34" t="s">
        <v>227</v>
      </c>
      <c r="H1441" s="34"/>
      <c r="I1441" s="34"/>
      <c r="J1441" s="34"/>
      <c r="K1441" s="34"/>
      <c r="L1441" s="34"/>
      <c r="M1441" s="34"/>
      <c r="N1441" s="34" t="str">
        <f aca="false">"Sector "&amp;VALUE(MID(D1441,13,2))</f>
        <v>Sector 6</v>
      </c>
      <c r="O1441" s="34" t="str">
        <f aca="false">IF(Dashboard!$C$5="Ubicación técnica",N1441,"Sector "&amp;VALUE(RIGHT(G1441,2)))</f>
        <v>Sector 6</v>
      </c>
      <c r="P1441" s="34" t="str">
        <f aca="false">IF(MID(D1441,15,3)="SEL","Subestación eléctrica","Área de proceso")</f>
        <v>Subestación eléctrica</v>
      </c>
      <c r="Q1441" s="34" t="str">
        <f aca="false">MID(D1441,13,5)&amp;"|"&amp;MID(D1441,19,5)</f>
        <v>06SEL|S_002</v>
      </c>
      <c r="R1441" s="34" t="str">
        <f aca="false">IF(P1441="Subestación eléctrica",IFERROR(INDEX(cat_SubN,MATCH(Q1441,cat_SubK,0)),"SIN CATALOGAR"),"ÁREA DE PROCESO")</f>
        <v>SE-02</v>
      </c>
      <c r="S1441" s="34" t="str">
        <f aca="false">IF(H1441="","SIN DATO",IFERROR(INDEX(cat_MarcaN,MATCH(H1441,cat_MarcaO,0)),H1441))</f>
        <v>SIN DATO</v>
      </c>
      <c r="T1441" s="34" t="str">
        <f aca="false">IF(I1441="","SIN DATO",IFERROR(INDEX(cat_ModN,MATCH(I1441,cat_ModO,0)),I1441))</f>
        <v>SIN DATO</v>
      </c>
      <c r="U1441" s="34" t="str">
        <f aca="false">IF(I1441="","",IFERROR(INDEX(cat_ModG,MATCH(I1441,cat_ModO,0)),"No"))</f>
        <v/>
      </c>
      <c r="V1441" s="34" t="str">
        <f aca="false">IF(J1441="","SIN DATO",IFERROR(INDEX(cat_FunN,MATCH(J1441,cat_FunO,0)),J1441))</f>
        <v>SIN DATO</v>
      </c>
      <c r="W1441" s="34" t="str">
        <f aca="false">IF(OR(S1441="SIN DATO",T1441="SIN DATO"),"No","Sí")</f>
        <v>No</v>
      </c>
    </row>
    <row r="1442" customFormat="false" ht="15" hidden="false" customHeight="false" outlineLevel="0" collapsed="false">
      <c r="A1442" s="34" t="s">
        <v>5298</v>
      </c>
      <c r="B1442" s="34" t="s">
        <v>5299</v>
      </c>
      <c r="C1442" s="34" t="s">
        <v>5300</v>
      </c>
      <c r="D1442" s="34" t="s">
        <v>2166</v>
      </c>
      <c r="E1442" s="34" t="s">
        <v>138</v>
      </c>
      <c r="F1442" s="34" t="s">
        <v>1602</v>
      </c>
      <c r="G1442" s="34" t="s">
        <v>227</v>
      </c>
      <c r="H1442" s="34"/>
      <c r="I1442" s="34"/>
      <c r="J1442" s="34"/>
      <c r="K1442" s="34"/>
      <c r="L1442" s="34"/>
      <c r="M1442" s="34"/>
      <c r="N1442" s="34" t="str">
        <f aca="false">"Sector "&amp;VALUE(MID(D1442,13,2))</f>
        <v>Sector 6</v>
      </c>
      <c r="O1442" s="34" t="str">
        <f aca="false">IF(Dashboard!$C$5="Ubicación técnica",N1442,"Sector "&amp;VALUE(RIGHT(G1442,2)))</f>
        <v>Sector 6</v>
      </c>
      <c r="P1442" s="34" t="str">
        <f aca="false">IF(MID(D1442,15,3)="SEL","Subestación eléctrica","Área de proceso")</f>
        <v>Subestación eléctrica</v>
      </c>
      <c r="Q1442" s="34" t="str">
        <f aca="false">MID(D1442,13,5)&amp;"|"&amp;MID(D1442,19,5)</f>
        <v>06SEL|S_002</v>
      </c>
      <c r="R1442" s="34" t="str">
        <f aca="false">IF(P1442="Subestación eléctrica",IFERROR(INDEX(cat_SubN,MATCH(Q1442,cat_SubK,0)),"SIN CATALOGAR"),"ÁREA DE PROCESO")</f>
        <v>SE-02</v>
      </c>
      <c r="S1442" s="34" t="str">
        <f aca="false">IF(H1442="","SIN DATO",IFERROR(INDEX(cat_MarcaN,MATCH(H1442,cat_MarcaO,0)),H1442))</f>
        <v>SIN DATO</v>
      </c>
      <c r="T1442" s="34" t="str">
        <f aca="false">IF(I1442="","SIN DATO",IFERROR(INDEX(cat_ModN,MATCH(I1442,cat_ModO,0)),I1442))</f>
        <v>SIN DATO</v>
      </c>
      <c r="U1442" s="34" t="str">
        <f aca="false">IF(I1442="","",IFERROR(INDEX(cat_ModG,MATCH(I1442,cat_ModO,0)),"No"))</f>
        <v/>
      </c>
      <c r="V1442" s="34" t="str">
        <f aca="false">IF(J1442="","SIN DATO",IFERROR(INDEX(cat_FunN,MATCH(J1442,cat_FunO,0)),J1442))</f>
        <v>SIN DATO</v>
      </c>
      <c r="W1442" s="34" t="str">
        <f aca="false">IF(OR(S1442="SIN DATO",T1442="SIN DATO"),"No","Sí")</f>
        <v>No</v>
      </c>
    </row>
    <row r="1443" customFormat="false" ht="15" hidden="false" customHeight="false" outlineLevel="0" collapsed="false">
      <c r="A1443" s="34" t="s">
        <v>5301</v>
      </c>
      <c r="B1443" s="34" t="s">
        <v>5302</v>
      </c>
      <c r="C1443" s="34" t="s">
        <v>5303</v>
      </c>
      <c r="D1443" s="34" t="s">
        <v>2170</v>
      </c>
      <c r="E1443" s="34" t="s">
        <v>170</v>
      </c>
      <c r="F1443" s="34" t="s">
        <v>1602</v>
      </c>
      <c r="G1443" s="34" t="s">
        <v>227</v>
      </c>
      <c r="H1443" s="34" t="s">
        <v>34</v>
      </c>
      <c r="I1443" s="34" t="s">
        <v>37</v>
      </c>
      <c r="J1443" s="34" t="s">
        <v>228</v>
      </c>
      <c r="K1443" s="34" t="s">
        <v>229</v>
      </c>
      <c r="L1443" s="34" t="s">
        <v>230</v>
      </c>
      <c r="M1443" s="34" t="s">
        <v>1663</v>
      </c>
      <c r="N1443" s="34" t="str">
        <f aca="false">"Sector "&amp;VALUE(MID(D1443,13,2))</f>
        <v>Sector 8</v>
      </c>
      <c r="O1443" s="34" t="str">
        <f aca="false">IF(Dashboard!$C$5="Ubicación técnica",N1443,"Sector "&amp;VALUE(RIGHT(G1443,2)))</f>
        <v>Sector 8</v>
      </c>
      <c r="P1443" s="34" t="str">
        <f aca="false">IF(MID(D1443,15,3)="SEL","Subestación eléctrica","Área de proceso")</f>
        <v>Subestación eléctrica</v>
      </c>
      <c r="Q1443" s="34" t="str">
        <f aca="false">MID(D1443,13,5)&amp;"|"&amp;MID(D1443,19,5)</f>
        <v>08SEL|S_016</v>
      </c>
      <c r="R1443" s="34" t="str">
        <f aca="false">IF(P1443="Subestación eléctrica",IFERROR(INDEX(cat_SubN,MATCH(Q1443,cat_SubK,0)),"SIN CATALOGAR"),"ÁREA DE PROCESO")</f>
        <v>SE-16</v>
      </c>
      <c r="S1443" s="34" t="str">
        <f aca="false">IF(H1443="","SIN DATO",IFERROR(INDEX(cat_MarcaN,MATCH(H1443,cat_MarcaO,0)),H1443))</f>
        <v>ABB</v>
      </c>
      <c r="T1443" s="34" t="str">
        <f aca="false">IF(I1443="","SIN DATO",IFERROR(INDEX(cat_ModN,MATCH(I1443,cat_ModO,0)),I1443))</f>
        <v>REF615A_1G</v>
      </c>
      <c r="U1443" s="34" t="str">
        <f aca="false">IF(I1443="","",IFERROR(INDEX(cat_ModG,MATCH(I1443,cat_ModO,0)),"No"))</f>
        <v>No</v>
      </c>
      <c r="V1443" s="34" t="str">
        <f aca="false">IF(J1443="","SIN DATO",IFERROR(INDEX(cat_FunN,MATCH(J1443,cat_FunO,0)),J1443))</f>
        <v>Protección y medición</v>
      </c>
      <c r="W1443" s="34" t="str">
        <f aca="false">IF(OR(S1443="SIN DATO",T1443="SIN DATO"),"No","Sí")</f>
        <v>Sí</v>
      </c>
    </row>
    <row r="1444" customFormat="false" ht="15" hidden="false" customHeight="false" outlineLevel="0" collapsed="false">
      <c r="A1444" s="34" t="s">
        <v>5304</v>
      </c>
      <c r="B1444" s="34" t="s">
        <v>5305</v>
      </c>
      <c r="C1444" s="34" t="s">
        <v>5306</v>
      </c>
      <c r="D1444" s="34" t="s">
        <v>2175</v>
      </c>
      <c r="E1444" s="34" t="s">
        <v>170</v>
      </c>
      <c r="F1444" s="34" t="s">
        <v>1602</v>
      </c>
      <c r="G1444" s="34" t="s">
        <v>227</v>
      </c>
      <c r="H1444" s="34" t="s">
        <v>34</v>
      </c>
      <c r="I1444" s="34" t="s">
        <v>37</v>
      </c>
      <c r="J1444" s="34" t="s">
        <v>228</v>
      </c>
      <c r="K1444" s="34" t="s">
        <v>229</v>
      </c>
      <c r="L1444" s="34" t="s">
        <v>230</v>
      </c>
      <c r="M1444" s="34" t="s">
        <v>1663</v>
      </c>
      <c r="N1444" s="34" t="str">
        <f aca="false">"Sector "&amp;VALUE(MID(D1444,13,2))</f>
        <v>Sector 8</v>
      </c>
      <c r="O1444" s="34" t="str">
        <f aca="false">IF(Dashboard!$C$5="Ubicación técnica",N1444,"Sector "&amp;VALUE(RIGHT(G1444,2)))</f>
        <v>Sector 8</v>
      </c>
      <c r="P1444" s="34" t="str">
        <f aca="false">IF(MID(D1444,15,3)="SEL","Subestación eléctrica","Área de proceso")</f>
        <v>Subestación eléctrica</v>
      </c>
      <c r="Q1444" s="34" t="str">
        <f aca="false">MID(D1444,13,5)&amp;"|"&amp;MID(D1444,19,5)</f>
        <v>08SEL|S_016</v>
      </c>
      <c r="R1444" s="34" t="str">
        <f aca="false">IF(P1444="Subestación eléctrica",IFERROR(INDEX(cat_SubN,MATCH(Q1444,cat_SubK,0)),"SIN CATALOGAR"),"ÁREA DE PROCESO")</f>
        <v>SE-16</v>
      </c>
      <c r="S1444" s="34" t="str">
        <f aca="false">IF(H1444="","SIN DATO",IFERROR(INDEX(cat_MarcaN,MATCH(H1444,cat_MarcaO,0)),H1444))</f>
        <v>ABB</v>
      </c>
      <c r="T1444" s="34" t="str">
        <f aca="false">IF(I1444="","SIN DATO",IFERROR(INDEX(cat_ModN,MATCH(I1444,cat_ModO,0)),I1444))</f>
        <v>REF615A_1G</v>
      </c>
      <c r="U1444" s="34" t="str">
        <f aca="false">IF(I1444="","",IFERROR(INDEX(cat_ModG,MATCH(I1444,cat_ModO,0)),"No"))</f>
        <v>No</v>
      </c>
      <c r="V1444" s="34" t="str">
        <f aca="false">IF(J1444="","SIN DATO",IFERROR(INDEX(cat_FunN,MATCH(J1444,cat_FunO,0)),J1444))</f>
        <v>Protección y medición</v>
      </c>
      <c r="W1444" s="34" t="str">
        <f aca="false">IF(OR(S1444="SIN DATO",T1444="SIN DATO"),"No","Sí")</f>
        <v>Sí</v>
      </c>
    </row>
    <row r="1445" customFormat="false" ht="15" hidden="false" customHeight="false" outlineLevel="0" collapsed="false">
      <c r="A1445" s="34" t="s">
        <v>5307</v>
      </c>
      <c r="B1445" s="34" t="s">
        <v>5308</v>
      </c>
      <c r="C1445" s="34" t="s">
        <v>5309</v>
      </c>
      <c r="D1445" s="34" t="s">
        <v>2170</v>
      </c>
      <c r="E1445" s="34" t="s">
        <v>170</v>
      </c>
      <c r="F1445" s="34" t="s">
        <v>1602</v>
      </c>
      <c r="G1445" s="34" t="s">
        <v>227</v>
      </c>
      <c r="H1445" s="34" t="s">
        <v>34</v>
      </c>
      <c r="I1445" s="34" t="s">
        <v>37</v>
      </c>
      <c r="J1445" s="34" t="s">
        <v>228</v>
      </c>
      <c r="K1445" s="34" t="s">
        <v>229</v>
      </c>
      <c r="L1445" s="34" t="s">
        <v>230</v>
      </c>
      <c r="M1445" s="34" t="s">
        <v>1663</v>
      </c>
      <c r="N1445" s="34" t="str">
        <f aca="false">"Sector "&amp;VALUE(MID(D1445,13,2))</f>
        <v>Sector 8</v>
      </c>
      <c r="O1445" s="34" t="str">
        <f aca="false">IF(Dashboard!$C$5="Ubicación técnica",N1445,"Sector "&amp;VALUE(RIGHT(G1445,2)))</f>
        <v>Sector 8</v>
      </c>
      <c r="P1445" s="34" t="str">
        <f aca="false">IF(MID(D1445,15,3)="SEL","Subestación eléctrica","Área de proceso")</f>
        <v>Subestación eléctrica</v>
      </c>
      <c r="Q1445" s="34" t="str">
        <f aca="false">MID(D1445,13,5)&amp;"|"&amp;MID(D1445,19,5)</f>
        <v>08SEL|S_016</v>
      </c>
      <c r="R1445" s="34" t="str">
        <f aca="false">IF(P1445="Subestación eléctrica",IFERROR(INDEX(cat_SubN,MATCH(Q1445,cat_SubK,0)),"SIN CATALOGAR"),"ÁREA DE PROCESO")</f>
        <v>SE-16</v>
      </c>
      <c r="S1445" s="34" t="str">
        <f aca="false">IF(H1445="","SIN DATO",IFERROR(INDEX(cat_MarcaN,MATCH(H1445,cat_MarcaO,0)),H1445))</f>
        <v>ABB</v>
      </c>
      <c r="T1445" s="34" t="str">
        <f aca="false">IF(I1445="","SIN DATO",IFERROR(INDEX(cat_ModN,MATCH(I1445,cat_ModO,0)),I1445))</f>
        <v>REF615A_1G</v>
      </c>
      <c r="U1445" s="34" t="str">
        <f aca="false">IF(I1445="","",IFERROR(INDEX(cat_ModG,MATCH(I1445,cat_ModO,0)),"No"))</f>
        <v>No</v>
      </c>
      <c r="V1445" s="34" t="str">
        <f aca="false">IF(J1445="","SIN DATO",IFERROR(INDEX(cat_FunN,MATCH(J1445,cat_FunO,0)),J1445))</f>
        <v>Protección y medición</v>
      </c>
      <c r="W1445" s="34" t="str">
        <f aca="false">IF(OR(S1445="SIN DATO",T1445="SIN DATO"),"No","Sí")</f>
        <v>Sí</v>
      </c>
    </row>
    <row r="1446" customFormat="false" ht="15" hidden="false" customHeight="false" outlineLevel="0" collapsed="false">
      <c r="A1446" s="34" t="s">
        <v>5310</v>
      </c>
      <c r="B1446" s="34" t="s">
        <v>5311</v>
      </c>
      <c r="C1446" s="34" t="s">
        <v>5312</v>
      </c>
      <c r="D1446" s="34" t="s">
        <v>2175</v>
      </c>
      <c r="E1446" s="34" t="s">
        <v>170</v>
      </c>
      <c r="F1446" s="34" t="s">
        <v>1602</v>
      </c>
      <c r="G1446" s="34" t="s">
        <v>227</v>
      </c>
      <c r="H1446" s="34" t="s">
        <v>34</v>
      </c>
      <c r="I1446" s="34" t="s">
        <v>37</v>
      </c>
      <c r="J1446" s="34" t="s">
        <v>228</v>
      </c>
      <c r="K1446" s="34" t="s">
        <v>229</v>
      </c>
      <c r="L1446" s="34" t="s">
        <v>230</v>
      </c>
      <c r="M1446" s="34" t="s">
        <v>1663</v>
      </c>
      <c r="N1446" s="34" t="str">
        <f aca="false">"Sector "&amp;VALUE(MID(D1446,13,2))</f>
        <v>Sector 8</v>
      </c>
      <c r="O1446" s="34" t="str">
        <f aca="false">IF(Dashboard!$C$5="Ubicación técnica",N1446,"Sector "&amp;VALUE(RIGHT(G1446,2)))</f>
        <v>Sector 8</v>
      </c>
      <c r="P1446" s="34" t="str">
        <f aca="false">IF(MID(D1446,15,3)="SEL","Subestación eléctrica","Área de proceso")</f>
        <v>Subestación eléctrica</v>
      </c>
      <c r="Q1446" s="34" t="str">
        <f aca="false">MID(D1446,13,5)&amp;"|"&amp;MID(D1446,19,5)</f>
        <v>08SEL|S_016</v>
      </c>
      <c r="R1446" s="34" t="str">
        <f aca="false">IF(P1446="Subestación eléctrica",IFERROR(INDEX(cat_SubN,MATCH(Q1446,cat_SubK,0)),"SIN CATALOGAR"),"ÁREA DE PROCESO")</f>
        <v>SE-16</v>
      </c>
      <c r="S1446" s="34" t="str">
        <f aca="false">IF(H1446="","SIN DATO",IFERROR(INDEX(cat_MarcaN,MATCH(H1446,cat_MarcaO,0)),H1446))</f>
        <v>ABB</v>
      </c>
      <c r="T1446" s="34" t="str">
        <f aca="false">IF(I1446="","SIN DATO",IFERROR(INDEX(cat_ModN,MATCH(I1446,cat_ModO,0)),I1446))</f>
        <v>REF615A_1G</v>
      </c>
      <c r="U1446" s="34" t="str">
        <f aca="false">IF(I1446="","",IFERROR(INDEX(cat_ModG,MATCH(I1446,cat_ModO,0)),"No"))</f>
        <v>No</v>
      </c>
      <c r="V1446" s="34" t="str">
        <f aca="false">IF(J1446="","SIN DATO",IFERROR(INDEX(cat_FunN,MATCH(J1446,cat_FunO,0)),J1446))</f>
        <v>Protección y medición</v>
      </c>
      <c r="W1446" s="34" t="str">
        <f aca="false">IF(OR(S1446="SIN DATO",T1446="SIN DATO"),"No","Sí")</f>
        <v>Sí</v>
      </c>
    </row>
    <row r="1447" customFormat="false" ht="15" hidden="false" customHeight="false" outlineLevel="0" collapsed="false">
      <c r="A1447" s="34" t="s">
        <v>5313</v>
      </c>
      <c r="B1447" s="34" t="s">
        <v>5314</v>
      </c>
      <c r="C1447" s="34" t="s">
        <v>5315</v>
      </c>
      <c r="D1447" s="34" t="s">
        <v>2179</v>
      </c>
      <c r="E1447" s="34" t="s">
        <v>178</v>
      </c>
      <c r="F1447" s="34" t="s">
        <v>1602</v>
      </c>
      <c r="G1447" s="34" t="s">
        <v>227</v>
      </c>
      <c r="H1447" s="34" t="s">
        <v>34</v>
      </c>
      <c r="I1447" s="34" t="s">
        <v>37</v>
      </c>
      <c r="J1447" s="34" t="s">
        <v>228</v>
      </c>
      <c r="K1447" s="34" t="s">
        <v>229</v>
      </c>
      <c r="L1447" s="34" t="s">
        <v>230</v>
      </c>
      <c r="M1447" s="34" t="s">
        <v>1663</v>
      </c>
      <c r="N1447" s="34" t="str">
        <f aca="false">"Sector "&amp;VALUE(MID(D1447,13,2))</f>
        <v>Sector 8</v>
      </c>
      <c r="O1447" s="34" t="str">
        <f aca="false">IF(Dashboard!$C$5="Ubicación técnica",N1447,"Sector "&amp;VALUE(RIGHT(G1447,2)))</f>
        <v>Sector 8</v>
      </c>
      <c r="P1447" s="34" t="str">
        <f aca="false">IF(MID(D1447,15,3)="SEL","Subestación eléctrica","Área de proceso")</f>
        <v>Subestación eléctrica</v>
      </c>
      <c r="Q1447" s="34" t="str">
        <f aca="false">MID(D1447,13,5)&amp;"|"&amp;MID(D1447,19,5)</f>
        <v>08SEL|S_019</v>
      </c>
      <c r="R1447" s="34" t="str">
        <f aca="false">IF(P1447="Subestación eléctrica",IFERROR(INDEX(cat_SubN,MATCH(Q1447,cat_SubK,0)),"SIN CATALOGAR"),"ÁREA DE PROCESO")</f>
        <v>SE-19</v>
      </c>
      <c r="S1447" s="34" t="str">
        <f aca="false">IF(H1447="","SIN DATO",IFERROR(INDEX(cat_MarcaN,MATCH(H1447,cat_MarcaO,0)),H1447))</f>
        <v>ABB</v>
      </c>
      <c r="T1447" s="34" t="str">
        <f aca="false">IF(I1447="","SIN DATO",IFERROR(INDEX(cat_ModN,MATCH(I1447,cat_ModO,0)),I1447))</f>
        <v>REF615A_1G</v>
      </c>
      <c r="U1447" s="34" t="str">
        <f aca="false">IF(I1447="","",IFERROR(INDEX(cat_ModG,MATCH(I1447,cat_ModO,0)),"No"))</f>
        <v>No</v>
      </c>
      <c r="V1447" s="34" t="str">
        <f aca="false">IF(J1447="","SIN DATO",IFERROR(INDEX(cat_FunN,MATCH(J1447,cat_FunO,0)),J1447))</f>
        <v>Protección y medición</v>
      </c>
      <c r="W1447" s="34" t="str">
        <f aca="false">IF(OR(S1447="SIN DATO",T1447="SIN DATO"),"No","Sí")</f>
        <v>Sí</v>
      </c>
    </row>
    <row r="1448" customFormat="false" ht="15" hidden="false" customHeight="false" outlineLevel="0" collapsed="false">
      <c r="A1448" s="34" t="s">
        <v>5316</v>
      </c>
      <c r="B1448" s="34" t="s">
        <v>5317</v>
      </c>
      <c r="C1448" s="34" t="s">
        <v>5318</v>
      </c>
      <c r="D1448" s="34" t="s">
        <v>2183</v>
      </c>
      <c r="E1448" s="34" t="s">
        <v>178</v>
      </c>
      <c r="F1448" s="34" t="s">
        <v>1602</v>
      </c>
      <c r="G1448" s="34" t="s">
        <v>227</v>
      </c>
      <c r="H1448" s="34" t="s">
        <v>34</v>
      </c>
      <c r="I1448" s="34" t="s">
        <v>37</v>
      </c>
      <c r="J1448" s="34" t="s">
        <v>228</v>
      </c>
      <c r="K1448" s="34" t="s">
        <v>229</v>
      </c>
      <c r="L1448" s="34" t="s">
        <v>230</v>
      </c>
      <c r="M1448" s="34" t="s">
        <v>1663</v>
      </c>
      <c r="N1448" s="34" t="str">
        <f aca="false">"Sector "&amp;VALUE(MID(D1448,13,2))</f>
        <v>Sector 8</v>
      </c>
      <c r="O1448" s="34" t="str">
        <f aca="false">IF(Dashboard!$C$5="Ubicación técnica",N1448,"Sector "&amp;VALUE(RIGHT(G1448,2)))</f>
        <v>Sector 8</v>
      </c>
      <c r="P1448" s="34" t="str">
        <f aca="false">IF(MID(D1448,15,3)="SEL","Subestación eléctrica","Área de proceso")</f>
        <v>Subestación eléctrica</v>
      </c>
      <c r="Q1448" s="34" t="str">
        <f aca="false">MID(D1448,13,5)&amp;"|"&amp;MID(D1448,19,5)</f>
        <v>08SEL|S_019</v>
      </c>
      <c r="R1448" s="34" t="str">
        <f aca="false">IF(P1448="Subestación eléctrica",IFERROR(INDEX(cat_SubN,MATCH(Q1448,cat_SubK,0)),"SIN CATALOGAR"),"ÁREA DE PROCESO")</f>
        <v>SE-19</v>
      </c>
      <c r="S1448" s="34" t="str">
        <f aca="false">IF(H1448="","SIN DATO",IFERROR(INDEX(cat_MarcaN,MATCH(H1448,cat_MarcaO,0)),H1448))</f>
        <v>ABB</v>
      </c>
      <c r="T1448" s="34" t="str">
        <f aca="false">IF(I1448="","SIN DATO",IFERROR(INDEX(cat_ModN,MATCH(I1448,cat_ModO,0)),I1448))</f>
        <v>REF615A_1G</v>
      </c>
      <c r="U1448" s="34" t="str">
        <f aca="false">IF(I1448="","",IFERROR(INDEX(cat_ModG,MATCH(I1448,cat_ModO,0)),"No"))</f>
        <v>No</v>
      </c>
      <c r="V1448" s="34" t="str">
        <f aca="false">IF(J1448="","SIN DATO",IFERROR(INDEX(cat_FunN,MATCH(J1448,cat_FunO,0)),J1448))</f>
        <v>Protección y medición</v>
      </c>
      <c r="W1448" s="34" t="str">
        <f aca="false">IF(OR(S1448="SIN DATO",T1448="SIN DATO"),"No","Sí")</f>
        <v>Sí</v>
      </c>
    </row>
    <row r="1449" customFormat="false" ht="15" hidden="false" customHeight="false" outlineLevel="0" collapsed="false">
      <c r="A1449" s="34" t="s">
        <v>5319</v>
      </c>
      <c r="B1449" s="34" t="s">
        <v>5320</v>
      </c>
      <c r="C1449" s="34" t="s">
        <v>5321</v>
      </c>
      <c r="D1449" s="34" t="s">
        <v>2179</v>
      </c>
      <c r="E1449" s="34" t="s">
        <v>178</v>
      </c>
      <c r="F1449" s="34" t="s">
        <v>1602</v>
      </c>
      <c r="G1449" s="34" t="s">
        <v>227</v>
      </c>
      <c r="H1449" s="34" t="s">
        <v>34</v>
      </c>
      <c r="I1449" s="34" t="s">
        <v>37</v>
      </c>
      <c r="J1449" s="34" t="s">
        <v>228</v>
      </c>
      <c r="K1449" s="34" t="s">
        <v>229</v>
      </c>
      <c r="L1449" s="34" t="s">
        <v>230</v>
      </c>
      <c r="M1449" s="34" t="s">
        <v>1663</v>
      </c>
      <c r="N1449" s="34" t="str">
        <f aca="false">"Sector "&amp;VALUE(MID(D1449,13,2))</f>
        <v>Sector 8</v>
      </c>
      <c r="O1449" s="34" t="str">
        <f aca="false">IF(Dashboard!$C$5="Ubicación técnica",N1449,"Sector "&amp;VALUE(RIGHT(G1449,2)))</f>
        <v>Sector 8</v>
      </c>
      <c r="P1449" s="34" t="str">
        <f aca="false">IF(MID(D1449,15,3)="SEL","Subestación eléctrica","Área de proceso")</f>
        <v>Subestación eléctrica</v>
      </c>
      <c r="Q1449" s="34" t="str">
        <f aca="false">MID(D1449,13,5)&amp;"|"&amp;MID(D1449,19,5)</f>
        <v>08SEL|S_019</v>
      </c>
      <c r="R1449" s="34" t="str">
        <f aca="false">IF(P1449="Subestación eléctrica",IFERROR(INDEX(cat_SubN,MATCH(Q1449,cat_SubK,0)),"SIN CATALOGAR"),"ÁREA DE PROCESO")</f>
        <v>SE-19</v>
      </c>
      <c r="S1449" s="34" t="str">
        <f aca="false">IF(H1449="","SIN DATO",IFERROR(INDEX(cat_MarcaN,MATCH(H1449,cat_MarcaO,0)),H1449))</f>
        <v>ABB</v>
      </c>
      <c r="T1449" s="34" t="str">
        <f aca="false">IF(I1449="","SIN DATO",IFERROR(INDEX(cat_ModN,MATCH(I1449,cat_ModO,0)),I1449))</f>
        <v>REF615A_1G</v>
      </c>
      <c r="U1449" s="34" t="str">
        <f aca="false">IF(I1449="","",IFERROR(INDEX(cat_ModG,MATCH(I1449,cat_ModO,0)),"No"))</f>
        <v>No</v>
      </c>
      <c r="V1449" s="34" t="str">
        <f aca="false">IF(J1449="","SIN DATO",IFERROR(INDEX(cat_FunN,MATCH(J1449,cat_FunO,0)),J1449))</f>
        <v>Protección y medición</v>
      </c>
      <c r="W1449" s="34" t="str">
        <f aca="false">IF(OR(S1449="SIN DATO",T1449="SIN DATO"),"No","Sí")</f>
        <v>Sí</v>
      </c>
    </row>
    <row r="1450" customFormat="false" ht="15" hidden="false" customHeight="false" outlineLevel="0" collapsed="false">
      <c r="A1450" s="34" t="s">
        <v>5322</v>
      </c>
      <c r="B1450" s="34" t="s">
        <v>5323</v>
      </c>
      <c r="C1450" s="34" t="s">
        <v>5324</v>
      </c>
      <c r="D1450" s="34" t="s">
        <v>2183</v>
      </c>
      <c r="E1450" s="34" t="s">
        <v>178</v>
      </c>
      <c r="F1450" s="34" t="s">
        <v>1602</v>
      </c>
      <c r="G1450" s="34" t="s">
        <v>227</v>
      </c>
      <c r="H1450" s="34" t="s">
        <v>34</v>
      </c>
      <c r="I1450" s="34" t="s">
        <v>37</v>
      </c>
      <c r="J1450" s="34" t="s">
        <v>228</v>
      </c>
      <c r="K1450" s="34" t="s">
        <v>229</v>
      </c>
      <c r="L1450" s="34" t="s">
        <v>230</v>
      </c>
      <c r="M1450" s="34" t="s">
        <v>1663</v>
      </c>
      <c r="N1450" s="34" t="str">
        <f aca="false">"Sector "&amp;VALUE(MID(D1450,13,2))</f>
        <v>Sector 8</v>
      </c>
      <c r="O1450" s="34" t="str">
        <f aca="false">IF(Dashboard!$C$5="Ubicación técnica",N1450,"Sector "&amp;VALUE(RIGHT(G1450,2)))</f>
        <v>Sector 8</v>
      </c>
      <c r="P1450" s="34" t="str">
        <f aca="false">IF(MID(D1450,15,3)="SEL","Subestación eléctrica","Área de proceso")</f>
        <v>Subestación eléctrica</v>
      </c>
      <c r="Q1450" s="34" t="str">
        <f aca="false">MID(D1450,13,5)&amp;"|"&amp;MID(D1450,19,5)</f>
        <v>08SEL|S_019</v>
      </c>
      <c r="R1450" s="34" t="str">
        <f aca="false">IF(P1450="Subestación eléctrica",IFERROR(INDEX(cat_SubN,MATCH(Q1450,cat_SubK,0)),"SIN CATALOGAR"),"ÁREA DE PROCESO")</f>
        <v>SE-19</v>
      </c>
      <c r="S1450" s="34" t="str">
        <f aca="false">IF(H1450="","SIN DATO",IFERROR(INDEX(cat_MarcaN,MATCH(H1450,cat_MarcaO,0)),H1450))</f>
        <v>ABB</v>
      </c>
      <c r="T1450" s="34" t="str">
        <f aca="false">IF(I1450="","SIN DATO",IFERROR(INDEX(cat_ModN,MATCH(I1450,cat_ModO,0)),I1450))</f>
        <v>REF615A_1G</v>
      </c>
      <c r="U1450" s="34" t="str">
        <f aca="false">IF(I1450="","",IFERROR(INDEX(cat_ModG,MATCH(I1450,cat_ModO,0)),"No"))</f>
        <v>No</v>
      </c>
      <c r="V1450" s="34" t="str">
        <f aca="false">IF(J1450="","SIN DATO",IFERROR(INDEX(cat_FunN,MATCH(J1450,cat_FunO,0)),J1450))</f>
        <v>Protección y medición</v>
      </c>
      <c r="W1450" s="34" t="str">
        <f aca="false">IF(OR(S1450="SIN DATO",T1450="SIN DATO"),"No","Sí")</f>
        <v>Sí</v>
      </c>
    </row>
    <row r="1451" customFormat="false" ht="15" hidden="false" customHeight="false" outlineLevel="0" collapsed="false">
      <c r="A1451" s="34" t="s">
        <v>5325</v>
      </c>
      <c r="B1451" s="34" t="s">
        <v>5326</v>
      </c>
      <c r="C1451" s="34" t="s">
        <v>5327</v>
      </c>
      <c r="D1451" s="34" t="s">
        <v>5192</v>
      </c>
      <c r="E1451" s="34" t="s">
        <v>176</v>
      </c>
      <c r="F1451" s="34" t="s">
        <v>1602</v>
      </c>
      <c r="G1451" s="34" t="s">
        <v>227</v>
      </c>
      <c r="H1451" s="34"/>
      <c r="I1451" s="34"/>
      <c r="J1451" s="34"/>
      <c r="K1451" s="34"/>
      <c r="L1451" s="34"/>
      <c r="M1451" s="34"/>
      <c r="N1451" s="34" t="str">
        <f aca="false">"Sector "&amp;VALUE(MID(D1451,13,2))</f>
        <v>Sector 8</v>
      </c>
      <c r="O1451" s="34" t="str">
        <f aca="false">IF(Dashboard!$C$5="Ubicación técnica",N1451,"Sector "&amp;VALUE(RIGHT(G1451,2)))</f>
        <v>Sector 8</v>
      </c>
      <c r="P1451" s="34" t="str">
        <f aca="false">IF(MID(D1451,15,3)="SEL","Subestación eléctrica","Área de proceso")</f>
        <v>Subestación eléctrica</v>
      </c>
      <c r="Q1451" s="34" t="str">
        <f aca="false">MID(D1451,13,5)&amp;"|"&amp;MID(D1451,19,5)</f>
        <v>08SEL|S18_1</v>
      </c>
      <c r="R1451" s="34" t="str">
        <f aca="false">IF(P1451="Subestación eléctrica",IFERROR(INDEX(cat_SubN,MATCH(Q1451,cat_SubK,0)),"SIN CATALOGAR"),"ÁREA DE PROCESO")</f>
        <v>SE-18-1</v>
      </c>
      <c r="S1451" s="34" t="str">
        <f aca="false">IF(H1451="","SIN DATO",IFERROR(INDEX(cat_MarcaN,MATCH(H1451,cat_MarcaO,0)),H1451))</f>
        <v>SIN DATO</v>
      </c>
      <c r="T1451" s="34" t="str">
        <f aca="false">IF(I1451="","SIN DATO",IFERROR(INDEX(cat_ModN,MATCH(I1451,cat_ModO,0)),I1451))</f>
        <v>SIN DATO</v>
      </c>
      <c r="U1451" s="34" t="str">
        <f aca="false">IF(I1451="","",IFERROR(INDEX(cat_ModG,MATCH(I1451,cat_ModO,0)),"No"))</f>
        <v/>
      </c>
      <c r="V1451" s="34" t="str">
        <f aca="false">IF(J1451="","SIN DATO",IFERROR(INDEX(cat_FunN,MATCH(J1451,cat_FunO,0)),J1451))</f>
        <v>SIN DATO</v>
      </c>
      <c r="W1451" s="34" t="str">
        <f aca="false">IF(OR(S1451="SIN DATO",T1451="SIN DATO"),"No","Sí")</f>
        <v>No</v>
      </c>
    </row>
    <row r="1452" customFormat="false" ht="15" hidden="false" customHeight="false" outlineLevel="0" collapsed="false">
      <c r="A1452" s="34" t="s">
        <v>5328</v>
      </c>
      <c r="B1452" s="34" t="s">
        <v>5329</v>
      </c>
      <c r="C1452" s="34" t="s">
        <v>5330</v>
      </c>
      <c r="D1452" s="34" t="s">
        <v>5192</v>
      </c>
      <c r="E1452" s="34" t="s">
        <v>176</v>
      </c>
      <c r="F1452" s="34" t="s">
        <v>1602</v>
      </c>
      <c r="G1452" s="34" t="s">
        <v>227</v>
      </c>
      <c r="H1452" s="34"/>
      <c r="I1452" s="34"/>
      <c r="J1452" s="34"/>
      <c r="K1452" s="34"/>
      <c r="L1452" s="34"/>
      <c r="M1452" s="34"/>
      <c r="N1452" s="34" t="str">
        <f aca="false">"Sector "&amp;VALUE(MID(D1452,13,2))</f>
        <v>Sector 8</v>
      </c>
      <c r="O1452" s="34" t="str">
        <f aca="false">IF(Dashboard!$C$5="Ubicación técnica",N1452,"Sector "&amp;VALUE(RIGHT(G1452,2)))</f>
        <v>Sector 8</v>
      </c>
      <c r="P1452" s="34" t="str">
        <f aca="false">IF(MID(D1452,15,3)="SEL","Subestación eléctrica","Área de proceso")</f>
        <v>Subestación eléctrica</v>
      </c>
      <c r="Q1452" s="34" t="str">
        <f aca="false">MID(D1452,13,5)&amp;"|"&amp;MID(D1452,19,5)</f>
        <v>08SEL|S18_1</v>
      </c>
      <c r="R1452" s="34" t="str">
        <f aca="false">IF(P1452="Subestación eléctrica",IFERROR(INDEX(cat_SubN,MATCH(Q1452,cat_SubK,0)),"SIN CATALOGAR"),"ÁREA DE PROCESO")</f>
        <v>SE-18-1</v>
      </c>
      <c r="S1452" s="34" t="str">
        <f aca="false">IF(H1452="","SIN DATO",IFERROR(INDEX(cat_MarcaN,MATCH(H1452,cat_MarcaO,0)),H1452))</f>
        <v>SIN DATO</v>
      </c>
      <c r="T1452" s="34" t="str">
        <f aca="false">IF(I1452="","SIN DATO",IFERROR(INDEX(cat_ModN,MATCH(I1452,cat_ModO,0)),I1452))</f>
        <v>SIN DATO</v>
      </c>
      <c r="U1452" s="34" t="str">
        <f aca="false">IF(I1452="","",IFERROR(INDEX(cat_ModG,MATCH(I1452,cat_ModO,0)),"No"))</f>
        <v/>
      </c>
      <c r="V1452" s="34" t="str">
        <f aca="false">IF(J1452="","SIN DATO",IFERROR(INDEX(cat_FunN,MATCH(J1452,cat_FunO,0)),J1452))</f>
        <v>SIN DATO</v>
      </c>
      <c r="W1452" s="34" t="str">
        <f aca="false">IF(OR(S1452="SIN DATO",T1452="SIN DATO"),"No","Sí")</f>
        <v>No</v>
      </c>
    </row>
    <row r="1453" customFormat="false" ht="15" hidden="false" customHeight="false" outlineLevel="0" collapsed="false">
      <c r="A1453" s="34" t="s">
        <v>5331</v>
      </c>
      <c r="B1453" s="34" t="s">
        <v>5332</v>
      </c>
      <c r="C1453" s="34" t="s">
        <v>5333</v>
      </c>
      <c r="D1453" s="34" t="s">
        <v>5192</v>
      </c>
      <c r="E1453" s="34" t="s">
        <v>176</v>
      </c>
      <c r="F1453" s="34" t="s">
        <v>1602</v>
      </c>
      <c r="G1453" s="34" t="s">
        <v>227</v>
      </c>
      <c r="H1453" s="34"/>
      <c r="I1453" s="34"/>
      <c r="J1453" s="34"/>
      <c r="K1453" s="34"/>
      <c r="L1453" s="34"/>
      <c r="M1453" s="34"/>
      <c r="N1453" s="34" t="str">
        <f aca="false">"Sector "&amp;VALUE(MID(D1453,13,2))</f>
        <v>Sector 8</v>
      </c>
      <c r="O1453" s="34" t="str">
        <f aca="false">IF(Dashboard!$C$5="Ubicación técnica",N1453,"Sector "&amp;VALUE(RIGHT(G1453,2)))</f>
        <v>Sector 8</v>
      </c>
      <c r="P1453" s="34" t="str">
        <f aca="false">IF(MID(D1453,15,3)="SEL","Subestación eléctrica","Área de proceso")</f>
        <v>Subestación eléctrica</v>
      </c>
      <c r="Q1453" s="34" t="str">
        <f aca="false">MID(D1453,13,5)&amp;"|"&amp;MID(D1453,19,5)</f>
        <v>08SEL|S18_1</v>
      </c>
      <c r="R1453" s="34" t="str">
        <f aca="false">IF(P1453="Subestación eléctrica",IFERROR(INDEX(cat_SubN,MATCH(Q1453,cat_SubK,0)),"SIN CATALOGAR"),"ÁREA DE PROCESO")</f>
        <v>SE-18-1</v>
      </c>
      <c r="S1453" s="34" t="str">
        <f aca="false">IF(H1453="","SIN DATO",IFERROR(INDEX(cat_MarcaN,MATCH(H1453,cat_MarcaO,0)),H1453))</f>
        <v>SIN DATO</v>
      </c>
      <c r="T1453" s="34" t="str">
        <f aca="false">IF(I1453="","SIN DATO",IFERROR(INDEX(cat_ModN,MATCH(I1453,cat_ModO,0)),I1453))</f>
        <v>SIN DATO</v>
      </c>
      <c r="U1453" s="34" t="str">
        <f aca="false">IF(I1453="","",IFERROR(INDEX(cat_ModG,MATCH(I1453,cat_ModO,0)),"No"))</f>
        <v/>
      </c>
      <c r="V1453" s="34" t="str">
        <f aca="false">IF(J1453="","SIN DATO",IFERROR(INDEX(cat_FunN,MATCH(J1453,cat_FunO,0)),J1453))</f>
        <v>SIN DATO</v>
      </c>
      <c r="W1453" s="34" t="str">
        <f aca="false">IF(OR(S1453="SIN DATO",T1453="SIN DATO"),"No","Sí")</f>
        <v>No</v>
      </c>
    </row>
    <row r="1454" customFormat="false" ht="15" hidden="false" customHeight="false" outlineLevel="0" collapsed="false">
      <c r="A1454" s="34" t="s">
        <v>5334</v>
      </c>
      <c r="B1454" s="34" t="s">
        <v>5335</v>
      </c>
      <c r="C1454" s="34" t="s">
        <v>5336</v>
      </c>
      <c r="D1454" s="34" t="s">
        <v>5192</v>
      </c>
      <c r="E1454" s="34" t="s">
        <v>176</v>
      </c>
      <c r="F1454" s="34" t="s">
        <v>1602</v>
      </c>
      <c r="G1454" s="34" t="s">
        <v>227</v>
      </c>
      <c r="H1454" s="34"/>
      <c r="I1454" s="34"/>
      <c r="J1454" s="34"/>
      <c r="K1454" s="34"/>
      <c r="L1454" s="34"/>
      <c r="M1454" s="34"/>
      <c r="N1454" s="34" t="str">
        <f aca="false">"Sector "&amp;VALUE(MID(D1454,13,2))</f>
        <v>Sector 8</v>
      </c>
      <c r="O1454" s="34" t="str">
        <f aca="false">IF(Dashboard!$C$5="Ubicación técnica",N1454,"Sector "&amp;VALUE(RIGHT(G1454,2)))</f>
        <v>Sector 8</v>
      </c>
      <c r="P1454" s="34" t="str">
        <f aca="false">IF(MID(D1454,15,3)="SEL","Subestación eléctrica","Área de proceso")</f>
        <v>Subestación eléctrica</v>
      </c>
      <c r="Q1454" s="34" t="str">
        <f aca="false">MID(D1454,13,5)&amp;"|"&amp;MID(D1454,19,5)</f>
        <v>08SEL|S18_1</v>
      </c>
      <c r="R1454" s="34" t="str">
        <f aca="false">IF(P1454="Subestación eléctrica",IFERROR(INDEX(cat_SubN,MATCH(Q1454,cat_SubK,0)),"SIN CATALOGAR"),"ÁREA DE PROCESO")</f>
        <v>SE-18-1</v>
      </c>
      <c r="S1454" s="34" t="str">
        <f aca="false">IF(H1454="","SIN DATO",IFERROR(INDEX(cat_MarcaN,MATCH(H1454,cat_MarcaO,0)),H1454))</f>
        <v>SIN DATO</v>
      </c>
      <c r="T1454" s="34" t="str">
        <f aca="false">IF(I1454="","SIN DATO",IFERROR(INDEX(cat_ModN,MATCH(I1454,cat_ModO,0)),I1454))</f>
        <v>SIN DATO</v>
      </c>
      <c r="U1454" s="34" t="str">
        <f aca="false">IF(I1454="","",IFERROR(INDEX(cat_ModG,MATCH(I1454,cat_ModO,0)),"No"))</f>
        <v/>
      </c>
      <c r="V1454" s="34" t="str">
        <f aca="false">IF(J1454="","SIN DATO",IFERROR(INDEX(cat_FunN,MATCH(J1454,cat_FunO,0)),J1454))</f>
        <v>SIN DATO</v>
      </c>
      <c r="W1454" s="34" t="str">
        <f aca="false">IF(OR(S1454="SIN DATO",T1454="SIN DATO"),"No","Sí")</f>
        <v>No</v>
      </c>
    </row>
    <row r="1455" customFormat="false" ht="15" hidden="false" customHeight="false" outlineLevel="0" collapsed="false">
      <c r="A1455" s="34" t="s">
        <v>5337</v>
      </c>
      <c r="B1455" s="34" t="s">
        <v>5338</v>
      </c>
      <c r="C1455" s="34" t="s">
        <v>5339</v>
      </c>
      <c r="D1455" s="34" t="s">
        <v>5192</v>
      </c>
      <c r="E1455" s="34" t="s">
        <v>176</v>
      </c>
      <c r="F1455" s="34" t="s">
        <v>1602</v>
      </c>
      <c r="G1455" s="34" t="s">
        <v>227</v>
      </c>
      <c r="H1455" s="34"/>
      <c r="I1455" s="34"/>
      <c r="J1455" s="34"/>
      <c r="K1455" s="34"/>
      <c r="L1455" s="34"/>
      <c r="M1455" s="34"/>
      <c r="N1455" s="34" t="str">
        <f aca="false">"Sector "&amp;VALUE(MID(D1455,13,2))</f>
        <v>Sector 8</v>
      </c>
      <c r="O1455" s="34" t="str">
        <f aca="false">IF(Dashboard!$C$5="Ubicación técnica",N1455,"Sector "&amp;VALUE(RIGHT(G1455,2)))</f>
        <v>Sector 8</v>
      </c>
      <c r="P1455" s="34" t="str">
        <f aca="false">IF(MID(D1455,15,3)="SEL","Subestación eléctrica","Área de proceso")</f>
        <v>Subestación eléctrica</v>
      </c>
      <c r="Q1455" s="34" t="str">
        <f aca="false">MID(D1455,13,5)&amp;"|"&amp;MID(D1455,19,5)</f>
        <v>08SEL|S18_1</v>
      </c>
      <c r="R1455" s="34" t="str">
        <f aca="false">IF(P1455="Subestación eléctrica",IFERROR(INDEX(cat_SubN,MATCH(Q1455,cat_SubK,0)),"SIN CATALOGAR"),"ÁREA DE PROCESO")</f>
        <v>SE-18-1</v>
      </c>
      <c r="S1455" s="34" t="str">
        <f aca="false">IF(H1455="","SIN DATO",IFERROR(INDEX(cat_MarcaN,MATCH(H1455,cat_MarcaO,0)),H1455))</f>
        <v>SIN DATO</v>
      </c>
      <c r="T1455" s="34" t="str">
        <f aca="false">IF(I1455="","SIN DATO",IFERROR(INDEX(cat_ModN,MATCH(I1455,cat_ModO,0)),I1455))</f>
        <v>SIN DATO</v>
      </c>
      <c r="U1455" s="34" t="str">
        <f aca="false">IF(I1455="","",IFERROR(INDEX(cat_ModG,MATCH(I1455,cat_ModO,0)),"No"))</f>
        <v/>
      </c>
      <c r="V1455" s="34" t="str">
        <f aca="false">IF(J1455="","SIN DATO",IFERROR(INDEX(cat_FunN,MATCH(J1455,cat_FunO,0)),J1455))</f>
        <v>SIN DATO</v>
      </c>
      <c r="W1455" s="34" t="str">
        <f aca="false">IF(OR(S1455="SIN DATO",T1455="SIN DATO"),"No","Sí")</f>
        <v>No</v>
      </c>
    </row>
    <row r="1456" customFormat="false" ht="15" hidden="false" customHeight="false" outlineLevel="0" collapsed="false">
      <c r="A1456" s="34" t="s">
        <v>5340</v>
      </c>
      <c r="B1456" s="34" t="s">
        <v>5341</v>
      </c>
      <c r="C1456" s="34" t="s">
        <v>5342</v>
      </c>
      <c r="D1456" s="34" t="s">
        <v>5192</v>
      </c>
      <c r="E1456" s="34" t="s">
        <v>176</v>
      </c>
      <c r="F1456" s="34" t="s">
        <v>1602</v>
      </c>
      <c r="G1456" s="34" t="s">
        <v>227</v>
      </c>
      <c r="H1456" s="34"/>
      <c r="I1456" s="34"/>
      <c r="J1456" s="34"/>
      <c r="K1456" s="34"/>
      <c r="L1456" s="34"/>
      <c r="M1456" s="34"/>
      <c r="N1456" s="34" t="str">
        <f aca="false">"Sector "&amp;VALUE(MID(D1456,13,2))</f>
        <v>Sector 8</v>
      </c>
      <c r="O1456" s="34" t="str">
        <f aca="false">IF(Dashboard!$C$5="Ubicación técnica",N1456,"Sector "&amp;VALUE(RIGHT(G1456,2)))</f>
        <v>Sector 8</v>
      </c>
      <c r="P1456" s="34" t="str">
        <f aca="false">IF(MID(D1456,15,3)="SEL","Subestación eléctrica","Área de proceso")</f>
        <v>Subestación eléctrica</v>
      </c>
      <c r="Q1456" s="34" t="str">
        <f aca="false">MID(D1456,13,5)&amp;"|"&amp;MID(D1456,19,5)</f>
        <v>08SEL|S18_1</v>
      </c>
      <c r="R1456" s="34" t="str">
        <f aca="false">IF(P1456="Subestación eléctrica",IFERROR(INDEX(cat_SubN,MATCH(Q1456,cat_SubK,0)),"SIN CATALOGAR"),"ÁREA DE PROCESO")</f>
        <v>SE-18-1</v>
      </c>
      <c r="S1456" s="34" t="str">
        <f aca="false">IF(H1456="","SIN DATO",IFERROR(INDEX(cat_MarcaN,MATCH(H1456,cat_MarcaO,0)),H1456))</f>
        <v>SIN DATO</v>
      </c>
      <c r="T1456" s="34" t="str">
        <f aca="false">IF(I1456="","SIN DATO",IFERROR(INDEX(cat_ModN,MATCH(I1456,cat_ModO,0)),I1456))</f>
        <v>SIN DATO</v>
      </c>
      <c r="U1456" s="34" t="str">
        <f aca="false">IF(I1456="","",IFERROR(INDEX(cat_ModG,MATCH(I1456,cat_ModO,0)),"No"))</f>
        <v/>
      </c>
      <c r="V1456" s="34" t="str">
        <f aca="false">IF(J1456="","SIN DATO",IFERROR(INDEX(cat_FunN,MATCH(J1456,cat_FunO,0)),J1456))</f>
        <v>SIN DATO</v>
      </c>
      <c r="W1456" s="34" t="str">
        <f aca="false">IF(OR(S1456="SIN DATO",T1456="SIN DATO"),"No","Sí")</f>
        <v>No</v>
      </c>
    </row>
    <row r="1457" customFormat="false" ht="15" hidden="false" customHeight="false" outlineLevel="0" collapsed="false">
      <c r="A1457" s="34" t="s">
        <v>5343</v>
      </c>
      <c r="B1457" s="34" t="s">
        <v>5344</v>
      </c>
      <c r="C1457" s="34" t="s">
        <v>5345</v>
      </c>
      <c r="D1457" s="34" t="s">
        <v>5196</v>
      </c>
      <c r="E1457" s="34" t="s">
        <v>176</v>
      </c>
      <c r="F1457" s="34" t="s">
        <v>1602</v>
      </c>
      <c r="G1457" s="34" t="s">
        <v>227</v>
      </c>
      <c r="H1457" s="34"/>
      <c r="I1457" s="34"/>
      <c r="J1457" s="34"/>
      <c r="K1457" s="34"/>
      <c r="L1457" s="34"/>
      <c r="M1457" s="34"/>
      <c r="N1457" s="34" t="str">
        <f aca="false">"Sector "&amp;VALUE(MID(D1457,13,2))</f>
        <v>Sector 8</v>
      </c>
      <c r="O1457" s="34" t="str">
        <f aca="false">IF(Dashboard!$C$5="Ubicación técnica",N1457,"Sector "&amp;VALUE(RIGHT(G1457,2)))</f>
        <v>Sector 8</v>
      </c>
      <c r="P1457" s="34" t="str">
        <f aca="false">IF(MID(D1457,15,3)="SEL","Subestación eléctrica","Área de proceso")</f>
        <v>Subestación eléctrica</v>
      </c>
      <c r="Q1457" s="34" t="str">
        <f aca="false">MID(D1457,13,5)&amp;"|"&amp;MID(D1457,19,5)</f>
        <v>08SEL|S18_1</v>
      </c>
      <c r="R1457" s="34" t="str">
        <f aca="false">IF(P1457="Subestación eléctrica",IFERROR(INDEX(cat_SubN,MATCH(Q1457,cat_SubK,0)),"SIN CATALOGAR"),"ÁREA DE PROCESO")</f>
        <v>SE-18-1</v>
      </c>
      <c r="S1457" s="34" t="str">
        <f aca="false">IF(H1457="","SIN DATO",IFERROR(INDEX(cat_MarcaN,MATCH(H1457,cat_MarcaO,0)),H1457))</f>
        <v>SIN DATO</v>
      </c>
      <c r="T1457" s="34" t="str">
        <f aca="false">IF(I1457="","SIN DATO",IFERROR(INDEX(cat_ModN,MATCH(I1457,cat_ModO,0)),I1457))</f>
        <v>SIN DATO</v>
      </c>
      <c r="U1457" s="34" t="str">
        <f aca="false">IF(I1457="","",IFERROR(INDEX(cat_ModG,MATCH(I1457,cat_ModO,0)),"No"))</f>
        <v/>
      </c>
      <c r="V1457" s="34" t="str">
        <f aca="false">IF(J1457="","SIN DATO",IFERROR(INDEX(cat_FunN,MATCH(J1457,cat_FunO,0)),J1457))</f>
        <v>SIN DATO</v>
      </c>
      <c r="W1457" s="34" t="str">
        <f aca="false">IF(OR(S1457="SIN DATO",T1457="SIN DATO"),"No","Sí")</f>
        <v>No</v>
      </c>
    </row>
    <row r="1458" customFormat="false" ht="15" hidden="false" customHeight="false" outlineLevel="0" collapsed="false">
      <c r="A1458" s="34" t="s">
        <v>5346</v>
      </c>
      <c r="B1458" s="34" t="s">
        <v>5347</v>
      </c>
      <c r="C1458" s="34" t="s">
        <v>5348</v>
      </c>
      <c r="D1458" s="34" t="s">
        <v>5196</v>
      </c>
      <c r="E1458" s="34" t="s">
        <v>176</v>
      </c>
      <c r="F1458" s="34" t="s">
        <v>1602</v>
      </c>
      <c r="G1458" s="34" t="s">
        <v>227</v>
      </c>
      <c r="H1458" s="34"/>
      <c r="I1458" s="34"/>
      <c r="J1458" s="34"/>
      <c r="K1458" s="34"/>
      <c r="L1458" s="34"/>
      <c r="M1458" s="34"/>
      <c r="N1458" s="34" t="str">
        <f aca="false">"Sector "&amp;VALUE(MID(D1458,13,2))</f>
        <v>Sector 8</v>
      </c>
      <c r="O1458" s="34" t="str">
        <f aca="false">IF(Dashboard!$C$5="Ubicación técnica",N1458,"Sector "&amp;VALUE(RIGHT(G1458,2)))</f>
        <v>Sector 8</v>
      </c>
      <c r="P1458" s="34" t="str">
        <f aca="false">IF(MID(D1458,15,3)="SEL","Subestación eléctrica","Área de proceso")</f>
        <v>Subestación eléctrica</v>
      </c>
      <c r="Q1458" s="34" t="str">
        <f aca="false">MID(D1458,13,5)&amp;"|"&amp;MID(D1458,19,5)</f>
        <v>08SEL|S18_1</v>
      </c>
      <c r="R1458" s="34" t="str">
        <f aca="false">IF(P1458="Subestación eléctrica",IFERROR(INDEX(cat_SubN,MATCH(Q1458,cat_SubK,0)),"SIN CATALOGAR"),"ÁREA DE PROCESO")</f>
        <v>SE-18-1</v>
      </c>
      <c r="S1458" s="34" t="str">
        <f aca="false">IF(H1458="","SIN DATO",IFERROR(INDEX(cat_MarcaN,MATCH(H1458,cat_MarcaO,0)),H1458))</f>
        <v>SIN DATO</v>
      </c>
      <c r="T1458" s="34" t="str">
        <f aca="false">IF(I1458="","SIN DATO",IFERROR(INDEX(cat_ModN,MATCH(I1458,cat_ModO,0)),I1458))</f>
        <v>SIN DATO</v>
      </c>
      <c r="U1458" s="34" t="str">
        <f aca="false">IF(I1458="","",IFERROR(INDEX(cat_ModG,MATCH(I1458,cat_ModO,0)),"No"))</f>
        <v/>
      </c>
      <c r="V1458" s="34" t="str">
        <f aca="false">IF(J1458="","SIN DATO",IFERROR(INDEX(cat_FunN,MATCH(J1458,cat_FunO,0)),J1458))</f>
        <v>SIN DATO</v>
      </c>
      <c r="W1458" s="34" t="str">
        <f aca="false">IF(OR(S1458="SIN DATO",T1458="SIN DATO"),"No","Sí")</f>
        <v>No</v>
      </c>
    </row>
    <row r="1459" customFormat="false" ht="15" hidden="false" customHeight="false" outlineLevel="0" collapsed="false">
      <c r="A1459" s="34" t="s">
        <v>5349</v>
      </c>
      <c r="B1459" s="34" t="s">
        <v>5350</v>
      </c>
      <c r="C1459" s="34" t="s">
        <v>5351</v>
      </c>
      <c r="D1459" s="34" t="s">
        <v>5196</v>
      </c>
      <c r="E1459" s="34" t="s">
        <v>176</v>
      </c>
      <c r="F1459" s="34" t="s">
        <v>1602</v>
      </c>
      <c r="G1459" s="34" t="s">
        <v>227</v>
      </c>
      <c r="H1459" s="34"/>
      <c r="I1459" s="34"/>
      <c r="J1459" s="34"/>
      <c r="K1459" s="34"/>
      <c r="L1459" s="34"/>
      <c r="M1459" s="34"/>
      <c r="N1459" s="34" t="str">
        <f aca="false">"Sector "&amp;VALUE(MID(D1459,13,2))</f>
        <v>Sector 8</v>
      </c>
      <c r="O1459" s="34" t="str">
        <f aca="false">IF(Dashboard!$C$5="Ubicación técnica",N1459,"Sector "&amp;VALUE(RIGHT(G1459,2)))</f>
        <v>Sector 8</v>
      </c>
      <c r="P1459" s="34" t="str">
        <f aca="false">IF(MID(D1459,15,3)="SEL","Subestación eléctrica","Área de proceso")</f>
        <v>Subestación eléctrica</v>
      </c>
      <c r="Q1459" s="34" t="str">
        <f aca="false">MID(D1459,13,5)&amp;"|"&amp;MID(D1459,19,5)</f>
        <v>08SEL|S18_1</v>
      </c>
      <c r="R1459" s="34" t="str">
        <f aca="false">IF(P1459="Subestación eléctrica",IFERROR(INDEX(cat_SubN,MATCH(Q1459,cat_SubK,0)),"SIN CATALOGAR"),"ÁREA DE PROCESO")</f>
        <v>SE-18-1</v>
      </c>
      <c r="S1459" s="34" t="str">
        <f aca="false">IF(H1459="","SIN DATO",IFERROR(INDEX(cat_MarcaN,MATCH(H1459,cat_MarcaO,0)),H1459))</f>
        <v>SIN DATO</v>
      </c>
      <c r="T1459" s="34" t="str">
        <f aca="false">IF(I1459="","SIN DATO",IFERROR(INDEX(cat_ModN,MATCH(I1459,cat_ModO,0)),I1459))</f>
        <v>SIN DATO</v>
      </c>
      <c r="U1459" s="34" t="str">
        <f aca="false">IF(I1459="","",IFERROR(INDEX(cat_ModG,MATCH(I1459,cat_ModO,0)),"No"))</f>
        <v/>
      </c>
      <c r="V1459" s="34" t="str">
        <f aca="false">IF(J1459="","SIN DATO",IFERROR(INDEX(cat_FunN,MATCH(J1459,cat_FunO,0)),J1459))</f>
        <v>SIN DATO</v>
      </c>
      <c r="W1459" s="34" t="str">
        <f aca="false">IF(OR(S1459="SIN DATO",T1459="SIN DATO"),"No","Sí")</f>
        <v>No</v>
      </c>
    </row>
    <row r="1460" customFormat="false" ht="15" hidden="false" customHeight="false" outlineLevel="0" collapsed="false">
      <c r="A1460" s="34" t="s">
        <v>5352</v>
      </c>
      <c r="B1460" s="34" t="s">
        <v>5353</v>
      </c>
      <c r="C1460" s="34" t="s">
        <v>5354</v>
      </c>
      <c r="D1460" s="34" t="s">
        <v>5196</v>
      </c>
      <c r="E1460" s="34" t="s">
        <v>176</v>
      </c>
      <c r="F1460" s="34" t="s">
        <v>1602</v>
      </c>
      <c r="G1460" s="34" t="s">
        <v>227</v>
      </c>
      <c r="H1460" s="34"/>
      <c r="I1460" s="34"/>
      <c r="J1460" s="34"/>
      <c r="K1460" s="34"/>
      <c r="L1460" s="34"/>
      <c r="M1460" s="34"/>
      <c r="N1460" s="34" t="str">
        <f aca="false">"Sector "&amp;VALUE(MID(D1460,13,2))</f>
        <v>Sector 8</v>
      </c>
      <c r="O1460" s="34" t="str">
        <f aca="false">IF(Dashboard!$C$5="Ubicación técnica",N1460,"Sector "&amp;VALUE(RIGHT(G1460,2)))</f>
        <v>Sector 8</v>
      </c>
      <c r="P1460" s="34" t="str">
        <f aca="false">IF(MID(D1460,15,3)="SEL","Subestación eléctrica","Área de proceso")</f>
        <v>Subestación eléctrica</v>
      </c>
      <c r="Q1460" s="34" t="str">
        <f aca="false">MID(D1460,13,5)&amp;"|"&amp;MID(D1460,19,5)</f>
        <v>08SEL|S18_1</v>
      </c>
      <c r="R1460" s="34" t="str">
        <f aca="false">IF(P1460="Subestación eléctrica",IFERROR(INDEX(cat_SubN,MATCH(Q1460,cat_SubK,0)),"SIN CATALOGAR"),"ÁREA DE PROCESO")</f>
        <v>SE-18-1</v>
      </c>
      <c r="S1460" s="34" t="str">
        <f aca="false">IF(H1460="","SIN DATO",IFERROR(INDEX(cat_MarcaN,MATCH(H1460,cat_MarcaO,0)),H1460))</f>
        <v>SIN DATO</v>
      </c>
      <c r="T1460" s="34" t="str">
        <f aca="false">IF(I1460="","SIN DATO",IFERROR(INDEX(cat_ModN,MATCH(I1460,cat_ModO,0)),I1460))</f>
        <v>SIN DATO</v>
      </c>
      <c r="U1460" s="34" t="str">
        <f aca="false">IF(I1460="","",IFERROR(INDEX(cat_ModG,MATCH(I1460,cat_ModO,0)),"No"))</f>
        <v/>
      </c>
      <c r="V1460" s="34" t="str">
        <f aca="false">IF(J1460="","SIN DATO",IFERROR(INDEX(cat_FunN,MATCH(J1460,cat_FunO,0)),J1460))</f>
        <v>SIN DATO</v>
      </c>
      <c r="W1460" s="34" t="str">
        <f aca="false">IF(OR(S1460="SIN DATO",T1460="SIN DATO"),"No","Sí")</f>
        <v>No</v>
      </c>
    </row>
    <row r="1461" customFormat="false" ht="15" hidden="false" customHeight="false" outlineLevel="0" collapsed="false">
      <c r="A1461" s="34" t="s">
        <v>5355</v>
      </c>
      <c r="B1461" s="34" t="s">
        <v>5356</v>
      </c>
      <c r="C1461" s="34" t="s">
        <v>5357</v>
      </c>
      <c r="D1461" s="34" t="s">
        <v>2313</v>
      </c>
      <c r="E1461" s="34" t="s">
        <v>138</v>
      </c>
      <c r="F1461" s="34" t="s">
        <v>1602</v>
      </c>
      <c r="G1461" s="34" t="s">
        <v>227</v>
      </c>
      <c r="H1461" s="34"/>
      <c r="I1461" s="34"/>
      <c r="J1461" s="34"/>
      <c r="K1461" s="34"/>
      <c r="L1461" s="34"/>
      <c r="M1461" s="34"/>
      <c r="N1461" s="34" t="str">
        <f aca="false">"Sector "&amp;VALUE(MID(D1461,13,2))</f>
        <v>Sector 6</v>
      </c>
      <c r="O1461" s="34" t="str">
        <f aca="false">IF(Dashboard!$C$5="Ubicación técnica",N1461,"Sector "&amp;VALUE(RIGHT(G1461,2)))</f>
        <v>Sector 6</v>
      </c>
      <c r="P1461" s="34" t="str">
        <f aca="false">IF(MID(D1461,15,3)="SEL","Subestación eléctrica","Área de proceso")</f>
        <v>Subestación eléctrica</v>
      </c>
      <c r="Q1461" s="34" t="str">
        <f aca="false">MID(D1461,13,5)&amp;"|"&amp;MID(D1461,19,5)</f>
        <v>06SEL|S_002</v>
      </c>
      <c r="R1461" s="34" t="str">
        <f aca="false">IF(P1461="Subestación eléctrica",IFERROR(INDEX(cat_SubN,MATCH(Q1461,cat_SubK,0)),"SIN CATALOGAR"),"ÁREA DE PROCESO")</f>
        <v>SE-02</v>
      </c>
      <c r="S1461" s="34" t="str">
        <f aca="false">IF(H1461="","SIN DATO",IFERROR(INDEX(cat_MarcaN,MATCH(H1461,cat_MarcaO,0)),H1461))</f>
        <v>SIN DATO</v>
      </c>
      <c r="T1461" s="34" t="str">
        <f aca="false">IF(I1461="","SIN DATO",IFERROR(INDEX(cat_ModN,MATCH(I1461,cat_ModO,0)),I1461))</f>
        <v>SIN DATO</v>
      </c>
      <c r="U1461" s="34" t="str">
        <f aca="false">IF(I1461="","",IFERROR(INDEX(cat_ModG,MATCH(I1461,cat_ModO,0)),"No"))</f>
        <v/>
      </c>
      <c r="V1461" s="34" t="str">
        <f aca="false">IF(J1461="","SIN DATO",IFERROR(INDEX(cat_FunN,MATCH(J1461,cat_FunO,0)),J1461))</f>
        <v>SIN DATO</v>
      </c>
      <c r="W1461" s="34" t="str">
        <f aca="false">IF(OR(S1461="SIN DATO",T1461="SIN DATO"),"No","Sí")</f>
        <v>No</v>
      </c>
    </row>
    <row r="1462" customFormat="false" ht="15" hidden="false" customHeight="false" outlineLevel="0" collapsed="false">
      <c r="A1462" s="34" t="s">
        <v>5358</v>
      </c>
      <c r="B1462" s="34" t="s">
        <v>5359</v>
      </c>
      <c r="C1462" s="34" t="s">
        <v>5360</v>
      </c>
      <c r="D1462" s="34" t="s">
        <v>2317</v>
      </c>
      <c r="E1462" s="34" t="s">
        <v>138</v>
      </c>
      <c r="F1462" s="34" t="s">
        <v>1602</v>
      </c>
      <c r="G1462" s="34" t="s">
        <v>227</v>
      </c>
      <c r="H1462" s="34"/>
      <c r="I1462" s="34"/>
      <c r="J1462" s="34"/>
      <c r="K1462" s="34"/>
      <c r="L1462" s="34"/>
      <c r="M1462" s="34"/>
      <c r="N1462" s="34" t="str">
        <f aca="false">"Sector "&amp;VALUE(MID(D1462,13,2))</f>
        <v>Sector 6</v>
      </c>
      <c r="O1462" s="34" t="str">
        <f aca="false">IF(Dashboard!$C$5="Ubicación técnica",N1462,"Sector "&amp;VALUE(RIGHT(G1462,2)))</f>
        <v>Sector 6</v>
      </c>
      <c r="P1462" s="34" t="str">
        <f aca="false">IF(MID(D1462,15,3)="SEL","Subestación eléctrica","Área de proceso")</f>
        <v>Subestación eléctrica</v>
      </c>
      <c r="Q1462" s="34" t="str">
        <f aca="false">MID(D1462,13,5)&amp;"|"&amp;MID(D1462,19,5)</f>
        <v>06SEL|S_002</v>
      </c>
      <c r="R1462" s="34" t="str">
        <f aca="false">IF(P1462="Subestación eléctrica",IFERROR(INDEX(cat_SubN,MATCH(Q1462,cat_SubK,0)),"SIN CATALOGAR"),"ÁREA DE PROCESO")</f>
        <v>SE-02</v>
      </c>
      <c r="S1462" s="34" t="str">
        <f aca="false">IF(H1462="","SIN DATO",IFERROR(INDEX(cat_MarcaN,MATCH(H1462,cat_MarcaO,0)),H1462))</f>
        <v>SIN DATO</v>
      </c>
      <c r="T1462" s="34" t="str">
        <f aca="false">IF(I1462="","SIN DATO",IFERROR(INDEX(cat_ModN,MATCH(I1462,cat_ModO,0)),I1462))</f>
        <v>SIN DATO</v>
      </c>
      <c r="U1462" s="34" t="str">
        <f aca="false">IF(I1462="","",IFERROR(INDEX(cat_ModG,MATCH(I1462,cat_ModO,0)),"No"))</f>
        <v/>
      </c>
      <c r="V1462" s="34" t="str">
        <f aca="false">IF(J1462="","SIN DATO",IFERROR(INDEX(cat_FunN,MATCH(J1462,cat_FunO,0)),J1462))</f>
        <v>SIN DATO</v>
      </c>
      <c r="W1462" s="34" t="str">
        <f aca="false">IF(OR(S1462="SIN DATO",T1462="SIN DATO"),"No","Sí")</f>
        <v>No</v>
      </c>
    </row>
    <row r="1463" customFormat="false" ht="15" hidden="false" customHeight="false" outlineLevel="0" collapsed="false">
      <c r="A1463" s="34" t="s">
        <v>5361</v>
      </c>
      <c r="B1463" s="34" t="s">
        <v>5362</v>
      </c>
      <c r="C1463" s="34" t="s">
        <v>5363</v>
      </c>
      <c r="D1463" s="34" t="s">
        <v>2321</v>
      </c>
      <c r="E1463" s="34" t="s">
        <v>170</v>
      </c>
      <c r="F1463" s="34" t="s">
        <v>1602</v>
      </c>
      <c r="G1463" s="34" t="s">
        <v>227</v>
      </c>
      <c r="H1463" s="34" t="s">
        <v>34</v>
      </c>
      <c r="I1463" s="34" t="s">
        <v>43</v>
      </c>
      <c r="J1463" s="34" t="s">
        <v>228</v>
      </c>
      <c r="K1463" s="34" t="s">
        <v>229</v>
      </c>
      <c r="L1463" s="34" t="s">
        <v>230</v>
      </c>
      <c r="M1463" s="34" t="s">
        <v>1663</v>
      </c>
      <c r="N1463" s="34" t="str">
        <f aca="false">"Sector "&amp;VALUE(MID(D1463,13,2))</f>
        <v>Sector 8</v>
      </c>
      <c r="O1463" s="34" t="str">
        <f aca="false">IF(Dashboard!$C$5="Ubicación técnica",N1463,"Sector "&amp;VALUE(RIGHT(G1463,2)))</f>
        <v>Sector 8</v>
      </c>
      <c r="P1463" s="34" t="str">
        <f aca="false">IF(MID(D1463,15,3)="SEL","Subestación eléctrica","Área de proceso")</f>
        <v>Subestación eléctrica</v>
      </c>
      <c r="Q1463" s="34" t="str">
        <f aca="false">MID(D1463,13,5)&amp;"|"&amp;MID(D1463,19,5)</f>
        <v>08SEL|S_016</v>
      </c>
      <c r="R1463" s="34" t="str">
        <f aca="false">IF(P1463="Subestación eléctrica",IFERROR(INDEX(cat_SubN,MATCH(Q1463,cat_SubK,0)),"SIN CATALOGAR"),"ÁREA DE PROCESO")</f>
        <v>SE-16</v>
      </c>
      <c r="S1463" s="34" t="str">
        <f aca="false">IF(H1463="","SIN DATO",IFERROR(INDEX(cat_MarcaN,MATCH(H1463,cat_MarcaO,0)),H1463))</f>
        <v>ABB</v>
      </c>
      <c r="T1463" s="34" t="str">
        <f aca="false">IF(I1463="","SIN DATO",IFERROR(INDEX(cat_ModN,MATCH(I1463,cat_ModO,0)),I1463))</f>
        <v>RET615A_1G</v>
      </c>
      <c r="U1463" s="34" t="str">
        <f aca="false">IF(I1463="","",IFERROR(INDEX(cat_ModG,MATCH(I1463,cat_ModO,0)),"No"))</f>
        <v>No</v>
      </c>
      <c r="V1463" s="34" t="str">
        <f aca="false">IF(J1463="","SIN DATO",IFERROR(INDEX(cat_FunN,MATCH(J1463,cat_FunO,0)),J1463))</f>
        <v>Protección y medición</v>
      </c>
      <c r="W1463" s="34" t="str">
        <f aca="false">IF(OR(S1463="SIN DATO",T1463="SIN DATO"),"No","Sí")</f>
        <v>Sí</v>
      </c>
    </row>
    <row r="1464" customFormat="false" ht="15" hidden="false" customHeight="false" outlineLevel="0" collapsed="false">
      <c r="A1464" s="34" t="s">
        <v>5364</v>
      </c>
      <c r="B1464" s="34" t="s">
        <v>5365</v>
      </c>
      <c r="C1464" s="34" t="s">
        <v>5366</v>
      </c>
      <c r="D1464" s="34" t="s">
        <v>2325</v>
      </c>
      <c r="E1464" s="34" t="s">
        <v>170</v>
      </c>
      <c r="F1464" s="34" t="s">
        <v>1602</v>
      </c>
      <c r="G1464" s="34" t="s">
        <v>227</v>
      </c>
      <c r="H1464" s="34" t="s">
        <v>34</v>
      </c>
      <c r="I1464" s="34" t="s">
        <v>43</v>
      </c>
      <c r="J1464" s="34" t="s">
        <v>228</v>
      </c>
      <c r="K1464" s="34" t="s">
        <v>229</v>
      </c>
      <c r="L1464" s="34" t="s">
        <v>230</v>
      </c>
      <c r="M1464" s="34" t="s">
        <v>1663</v>
      </c>
      <c r="N1464" s="34" t="str">
        <f aca="false">"Sector "&amp;VALUE(MID(D1464,13,2))</f>
        <v>Sector 8</v>
      </c>
      <c r="O1464" s="34" t="str">
        <f aca="false">IF(Dashboard!$C$5="Ubicación técnica",N1464,"Sector "&amp;VALUE(RIGHT(G1464,2)))</f>
        <v>Sector 8</v>
      </c>
      <c r="P1464" s="34" t="str">
        <f aca="false">IF(MID(D1464,15,3)="SEL","Subestación eléctrica","Área de proceso")</f>
        <v>Subestación eléctrica</v>
      </c>
      <c r="Q1464" s="34" t="str">
        <f aca="false">MID(D1464,13,5)&amp;"|"&amp;MID(D1464,19,5)</f>
        <v>08SEL|S_016</v>
      </c>
      <c r="R1464" s="34" t="str">
        <f aca="false">IF(P1464="Subestación eléctrica",IFERROR(INDEX(cat_SubN,MATCH(Q1464,cat_SubK,0)),"SIN CATALOGAR"),"ÁREA DE PROCESO")</f>
        <v>SE-16</v>
      </c>
      <c r="S1464" s="34" t="str">
        <f aca="false">IF(H1464="","SIN DATO",IFERROR(INDEX(cat_MarcaN,MATCH(H1464,cat_MarcaO,0)),H1464))</f>
        <v>ABB</v>
      </c>
      <c r="T1464" s="34" t="str">
        <f aca="false">IF(I1464="","SIN DATO",IFERROR(INDEX(cat_ModN,MATCH(I1464,cat_ModO,0)),I1464))</f>
        <v>RET615A_1G</v>
      </c>
      <c r="U1464" s="34" t="str">
        <f aca="false">IF(I1464="","",IFERROR(INDEX(cat_ModG,MATCH(I1464,cat_ModO,0)),"No"))</f>
        <v>No</v>
      </c>
      <c r="V1464" s="34" t="str">
        <f aca="false">IF(J1464="","SIN DATO",IFERROR(INDEX(cat_FunN,MATCH(J1464,cat_FunO,0)),J1464))</f>
        <v>Protección y medición</v>
      </c>
      <c r="W1464" s="34" t="str">
        <f aca="false">IF(OR(S1464="SIN DATO",T1464="SIN DATO"),"No","Sí")</f>
        <v>Sí</v>
      </c>
    </row>
    <row r="1465" customFormat="false" ht="15" hidden="false" customHeight="false" outlineLevel="0" collapsed="false">
      <c r="A1465" s="34" t="s">
        <v>5367</v>
      </c>
      <c r="B1465" s="34" t="s">
        <v>5368</v>
      </c>
      <c r="C1465" s="34" t="s">
        <v>5369</v>
      </c>
      <c r="D1465" s="34" t="s">
        <v>2329</v>
      </c>
      <c r="E1465" s="34" t="s">
        <v>178</v>
      </c>
      <c r="F1465" s="34" t="s">
        <v>1602</v>
      </c>
      <c r="G1465" s="34" t="s">
        <v>227</v>
      </c>
      <c r="H1465" s="34" t="s">
        <v>34</v>
      </c>
      <c r="I1465" s="34" t="s">
        <v>43</v>
      </c>
      <c r="J1465" s="34" t="s">
        <v>228</v>
      </c>
      <c r="K1465" s="34" t="s">
        <v>229</v>
      </c>
      <c r="L1465" s="34" t="s">
        <v>230</v>
      </c>
      <c r="M1465" s="34" t="s">
        <v>1663</v>
      </c>
      <c r="N1465" s="34" t="str">
        <f aca="false">"Sector "&amp;VALUE(MID(D1465,13,2))</f>
        <v>Sector 8</v>
      </c>
      <c r="O1465" s="34" t="str">
        <f aca="false">IF(Dashboard!$C$5="Ubicación técnica",N1465,"Sector "&amp;VALUE(RIGHT(G1465,2)))</f>
        <v>Sector 8</v>
      </c>
      <c r="P1465" s="34" t="str">
        <f aca="false">IF(MID(D1465,15,3)="SEL","Subestación eléctrica","Área de proceso")</f>
        <v>Subestación eléctrica</v>
      </c>
      <c r="Q1465" s="34" t="str">
        <f aca="false">MID(D1465,13,5)&amp;"|"&amp;MID(D1465,19,5)</f>
        <v>08SEL|S_019</v>
      </c>
      <c r="R1465" s="34" t="str">
        <f aca="false">IF(P1465="Subestación eléctrica",IFERROR(INDEX(cat_SubN,MATCH(Q1465,cat_SubK,0)),"SIN CATALOGAR"),"ÁREA DE PROCESO")</f>
        <v>SE-19</v>
      </c>
      <c r="S1465" s="34" t="str">
        <f aca="false">IF(H1465="","SIN DATO",IFERROR(INDEX(cat_MarcaN,MATCH(H1465,cat_MarcaO,0)),H1465))</f>
        <v>ABB</v>
      </c>
      <c r="T1465" s="34" t="str">
        <f aca="false">IF(I1465="","SIN DATO",IFERROR(INDEX(cat_ModN,MATCH(I1465,cat_ModO,0)),I1465))</f>
        <v>RET615A_1G</v>
      </c>
      <c r="U1465" s="34" t="str">
        <f aca="false">IF(I1465="","",IFERROR(INDEX(cat_ModG,MATCH(I1465,cat_ModO,0)),"No"))</f>
        <v>No</v>
      </c>
      <c r="V1465" s="34" t="str">
        <f aca="false">IF(J1465="","SIN DATO",IFERROR(INDEX(cat_FunN,MATCH(J1465,cat_FunO,0)),J1465))</f>
        <v>Protección y medición</v>
      </c>
      <c r="W1465" s="34" t="str">
        <f aca="false">IF(OR(S1465="SIN DATO",T1465="SIN DATO"),"No","Sí")</f>
        <v>Sí</v>
      </c>
    </row>
    <row r="1466" customFormat="false" ht="15" hidden="false" customHeight="false" outlineLevel="0" collapsed="false">
      <c r="A1466" s="34" t="s">
        <v>5370</v>
      </c>
      <c r="B1466" s="34" t="s">
        <v>5371</v>
      </c>
      <c r="C1466" s="34" t="s">
        <v>5372</v>
      </c>
      <c r="D1466" s="34" t="s">
        <v>2333</v>
      </c>
      <c r="E1466" s="34" t="s">
        <v>178</v>
      </c>
      <c r="F1466" s="34" t="s">
        <v>1602</v>
      </c>
      <c r="G1466" s="34" t="s">
        <v>227</v>
      </c>
      <c r="H1466" s="34" t="s">
        <v>34</v>
      </c>
      <c r="I1466" s="34" t="s">
        <v>43</v>
      </c>
      <c r="J1466" s="34" t="s">
        <v>228</v>
      </c>
      <c r="K1466" s="34" t="s">
        <v>229</v>
      </c>
      <c r="L1466" s="34" t="s">
        <v>230</v>
      </c>
      <c r="M1466" s="34" t="s">
        <v>1663</v>
      </c>
      <c r="N1466" s="34" t="str">
        <f aca="false">"Sector "&amp;VALUE(MID(D1466,13,2))</f>
        <v>Sector 8</v>
      </c>
      <c r="O1466" s="34" t="str">
        <f aca="false">IF(Dashboard!$C$5="Ubicación técnica",N1466,"Sector "&amp;VALUE(RIGHT(G1466,2)))</f>
        <v>Sector 8</v>
      </c>
      <c r="P1466" s="34" t="str">
        <f aca="false">IF(MID(D1466,15,3)="SEL","Subestación eléctrica","Área de proceso")</f>
        <v>Subestación eléctrica</v>
      </c>
      <c r="Q1466" s="34" t="str">
        <f aca="false">MID(D1466,13,5)&amp;"|"&amp;MID(D1466,19,5)</f>
        <v>08SEL|S_019</v>
      </c>
      <c r="R1466" s="34" t="str">
        <f aca="false">IF(P1466="Subestación eléctrica",IFERROR(INDEX(cat_SubN,MATCH(Q1466,cat_SubK,0)),"SIN CATALOGAR"),"ÁREA DE PROCESO")</f>
        <v>SE-19</v>
      </c>
      <c r="S1466" s="34" t="str">
        <f aca="false">IF(H1466="","SIN DATO",IFERROR(INDEX(cat_MarcaN,MATCH(H1466,cat_MarcaO,0)),H1466))</f>
        <v>ABB</v>
      </c>
      <c r="T1466" s="34" t="str">
        <f aca="false">IF(I1466="","SIN DATO",IFERROR(INDEX(cat_ModN,MATCH(I1466,cat_ModO,0)),I1466))</f>
        <v>RET615A_1G</v>
      </c>
      <c r="U1466" s="34" t="str">
        <f aca="false">IF(I1466="","",IFERROR(INDEX(cat_ModG,MATCH(I1466,cat_ModO,0)),"No"))</f>
        <v>No</v>
      </c>
      <c r="V1466" s="34" t="str">
        <f aca="false">IF(J1466="","SIN DATO",IFERROR(INDEX(cat_FunN,MATCH(J1466,cat_FunO,0)),J1466))</f>
        <v>Protección y medición</v>
      </c>
      <c r="W1466" s="34" t="str">
        <f aca="false">IF(OR(S1466="SIN DATO",T1466="SIN DATO"),"No","Sí")</f>
        <v>Sí</v>
      </c>
    </row>
    <row r="1467" customFormat="false" ht="15" hidden="false" customHeight="false" outlineLevel="0" collapsed="false">
      <c r="A1467" s="34" t="s">
        <v>5373</v>
      </c>
      <c r="B1467" s="34" t="s">
        <v>5374</v>
      </c>
      <c r="C1467" s="34" t="s">
        <v>5375</v>
      </c>
      <c r="D1467" s="34" t="s">
        <v>5376</v>
      </c>
      <c r="E1467" s="34" t="s">
        <v>182</v>
      </c>
      <c r="F1467" s="34" t="s">
        <v>1602</v>
      </c>
      <c r="G1467" s="34" t="s">
        <v>227</v>
      </c>
      <c r="H1467" s="34"/>
      <c r="I1467" s="34"/>
      <c r="J1467" s="34"/>
      <c r="K1467" s="34"/>
      <c r="L1467" s="34"/>
      <c r="M1467" s="34"/>
      <c r="N1467" s="34" t="str">
        <f aca="false">"Sector "&amp;VALUE(MID(D1467,13,2))</f>
        <v>Sector 8</v>
      </c>
      <c r="O1467" s="34" t="str">
        <f aca="false">IF(Dashboard!$C$5="Ubicación técnica",N1467,"Sector "&amp;VALUE(RIGHT(G1467,2)))</f>
        <v>Sector 8</v>
      </c>
      <c r="P1467" s="34" t="str">
        <f aca="false">IF(MID(D1467,15,3)="SEL","Subestación eléctrica","Área de proceso")</f>
        <v>Subestación eléctrica</v>
      </c>
      <c r="Q1467" s="34" t="str">
        <f aca="false">MID(D1467,13,5)&amp;"|"&amp;MID(D1467,19,5)</f>
        <v>08SEL|S_030</v>
      </c>
      <c r="R1467" s="34" t="str">
        <f aca="false">IF(P1467="Subestación eléctrica",IFERROR(INDEX(cat_SubN,MATCH(Q1467,cat_SubK,0)),"SIN CATALOGAR"),"ÁREA DE PROCESO")</f>
        <v>SE-30</v>
      </c>
      <c r="S1467" s="34" t="str">
        <f aca="false">IF(H1467="","SIN DATO",IFERROR(INDEX(cat_MarcaN,MATCH(H1467,cat_MarcaO,0)),H1467))</f>
        <v>SIN DATO</v>
      </c>
      <c r="T1467" s="34" t="str">
        <f aca="false">IF(I1467="","SIN DATO",IFERROR(INDEX(cat_ModN,MATCH(I1467,cat_ModO,0)),I1467))</f>
        <v>SIN DATO</v>
      </c>
      <c r="U1467" s="34" t="str">
        <f aca="false">IF(I1467="","",IFERROR(INDEX(cat_ModG,MATCH(I1467,cat_ModO,0)),"No"))</f>
        <v/>
      </c>
      <c r="V1467" s="34" t="str">
        <f aca="false">IF(J1467="","SIN DATO",IFERROR(INDEX(cat_FunN,MATCH(J1467,cat_FunO,0)),J1467))</f>
        <v>SIN DATO</v>
      </c>
      <c r="W1467" s="34" t="str">
        <f aca="false">IF(OR(S1467="SIN DATO",T1467="SIN DATO"),"No","Sí")</f>
        <v>No</v>
      </c>
    </row>
    <row r="1468" customFormat="false" ht="15" hidden="false" customHeight="false" outlineLevel="0" collapsed="false">
      <c r="A1468" s="34" t="s">
        <v>5377</v>
      </c>
      <c r="B1468" s="34" t="s">
        <v>5378</v>
      </c>
      <c r="C1468" s="34" t="s">
        <v>5379</v>
      </c>
      <c r="D1468" s="34" t="s">
        <v>5380</v>
      </c>
      <c r="E1468" s="34" t="s">
        <v>168</v>
      </c>
      <c r="F1468" s="34" t="s">
        <v>1602</v>
      </c>
      <c r="G1468" s="34" t="s">
        <v>227</v>
      </c>
      <c r="H1468" s="34" t="s">
        <v>55</v>
      </c>
      <c r="I1468" s="34" t="s">
        <v>57</v>
      </c>
      <c r="J1468" s="34" t="s">
        <v>58</v>
      </c>
      <c r="K1468" s="34" t="s">
        <v>229</v>
      </c>
      <c r="L1468" s="34" t="s">
        <v>230</v>
      </c>
      <c r="M1468" s="34" t="s">
        <v>237</v>
      </c>
      <c r="N1468" s="34" t="str">
        <f aca="false">"Sector "&amp;VALUE(MID(D1468,13,2))</f>
        <v>Sector 8</v>
      </c>
      <c r="O1468" s="34" t="str">
        <f aca="false">IF(Dashboard!$C$5="Ubicación técnica",N1468,"Sector "&amp;VALUE(RIGHT(G1468,2)))</f>
        <v>Sector 8</v>
      </c>
      <c r="P1468" s="34" t="str">
        <f aca="false">IF(MID(D1468,15,3)="SEL","Subestación eléctrica","Área de proceso")</f>
        <v>Subestación eléctrica</v>
      </c>
      <c r="Q1468" s="34" t="str">
        <f aca="false">MID(D1468,13,5)&amp;"|"&amp;MID(D1468,19,5)</f>
        <v>08SEL|S_001</v>
      </c>
      <c r="R1468" s="34" t="str">
        <f aca="false">IF(P1468="Subestación eléctrica",IFERROR(INDEX(cat_SubN,MATCH(Q1468,cat_SubK,0)),"SIN CATALOGAR"),"ÁREA DE PROCESO")</f>
        <v>SE-01</v>
      </c>
      <c r="S1468" s="34" t="str">
        <f aca="false">IF(H1468="","SIN DATO",IFERROR(INDEX(cat_MarcaN,MATCH(H1468,cat_MarcaO,0)),H1468))</f>
        <v>SEL</v>
      </c>
      <c r="T1468" s="34" t="str">
        <f aca="false">IF(I1468="","SIN DATO",IFERROR(INDEX(cat_ModN,MATCH(I1468,cat_ModO,0)),I1468))</f>
        <v>SEL-735</v>
      </c>
      <c r="U1468" s="34" t="str">
        <f aca="false">IF(I1468="","",IFERROR(INDEX(cat_ModG,MATCH(I1468,cat_ModO,0)),"No"))</f>
        <v>No</v>
      </c>
      <c r="V1468" s="34" t="str">
        <f aca="false">IF(J1468="","SIN DATO",IFERROR(INDEX(cat_FunN,MATCH(J1468,cat_FunO,0)),J1468))</f>
        <v>Medición</v>
      </c>
      <c r="W1468" s="34" t="str">
        <f aca="false">IF(OR(S1468="SIN DATO",T1468="SIN DATO"),"No","Sí")</f>
        <v>Sí</v>
      </c>
    </row>
    <row r="1469" customFormat="false" ht="15" hidden="false" customHeight="false" outlineLevel="0" collapsed="false">
      <c r="A1469" s="34" t="s">
        <v>5381</v>
      </c>
      <c r="B1469" s="34" t="s">
        <v>5382</v>
      </c>
      <c r="C1469" s="34" t="s">
        <v>5383</v>
      </c>
      <c r="D1469" s="34" t="s">
        <v>5384</v>
      </c>
      <c r="E1469" s="34" t="s">
        <v>168</v>
      </c>
      <c r="F1469" s="34" t="s">
        <v>1602</v>
      </c>
      <c r="G1469" s="34" t="s">
        <v>227</v>
      </c>
      <c r="H1469" s="34" t="s">
        <v>55</v>
      </c>
      <c r="I1469" s="34" t="s">
        <v>57</v>
      </c>
      <c r="J1469" s="34" t="s">
        <v>58</v>
      </c>
      <c r="K1469" s="34" t="s">
        <v>229</v>
      </c>
      <c r="L1469" s="34" t="s">
        <v>230</v>
      </c>
      <c r="M1469" s="34" t="s">
        <v>237</v>
      </c>
      <c r="N1469" s="34" t="str">
        <f aca="false">"Sector "&amp;VALUE(MID(D1469,13,2))</f>
        <v>Sector 8</v>
      </c>
      <c r="O1469" s="34" t="str">
        <f aca="false">IF(Dashboard!$C$5="Ubicación técnica",N1469,"Sector "&amp;VALUE(RIGHT(G1469,2)))</f>
        <v>Sector 8</v>
      </c>
      <c r="P1469" s="34" t="str">
        <f aca="false">IF(MID(D1469,15,3)="SEL","Subestación eléctrica","Área de proceso")</f>
        <v>Subestación eléctrica</v>
      </c>
      <c r="Q1469" s="34" t="str">
        <f aca="false">MID(D1469,13,5)&amp;"|"&amp;MID(D1469,19,5)</f>
        <v>08SEL|S_001</v>
      </c>
      <c r="R1469" s="34" t="str">
        <f aca="false">IF(P1469="Subestación eléctrica",IFERROR(INDEX(cat_SubN,MATCH(Q1469,cat_SubK,0)),"SIN CATALOGAR"),"ÁREA DE PROCESO")</f>
        <v>SE-01</v>
      </c>
      <c r="S1469" s="34" t="str">
        <f aca="false">IF(H1469="","SIN DATO",IFERROR(INDEX(cat_MarcaN,MATCH(H1469,cat_MarcaO,0)),H1469))</f>
        <v>SEL</v>
      </c>
      <c r="T1469" s="34" t="str">
        <f aca="false">IF(I1469="","SIN DATO",IFERROR(INDEX(cat_ModN,MATCH(I1469,cat_ModO,0)),I1469))</f>
        <v>SEL-735</v>
      </c>
      <c r="U1469" s="34" t="str">
        <f aca="false">IF(I1469="","",IFERROR(INDEX(cat_ModG,MATCH(I1469,cat_ModO,0)),"No"))</f>
        <v>No</v>
      </c>
      <c r="V1469" s="34" t="str">
        <f aca="false">IF(J1469="","SIN DATO",IFERROR(INDEX(cat_FunN,MATCH(J1469,cat_FunO,0)),J1469))</f>
        <v>Medición</v>
      </c>
      <c r="W1469" s="34" t="str">
        <f aca="false">IF(OR(S1469="SIN DATO",T1469="SIN DATO"),"No","Sí")</f>
        <v>Sí</v>
      </c>
    </row>
    <row r="1470" customFormat="false" ht="15" hidden="false" customHeight="false" outlineLevel="0" collapsed="false">
      <c r="A1470" s="34" t="s">
        <v>5385</v>
      </c>
      <c r="B1470" s="34" t="s">
        <v>5386</v>
      </c>
      <c r="C1470" s="34" t="s">
        <v>5387</v>
      </c>
      <c r="D1470" s="34" t="s">
        <v>5388</v>
      </c>
      <c r="E1470" s="34" t="s">
        <v>138</v>
      </c>
      <c r="F1470" s="34" t="s">
        <v>1602</v>
      </c>
      <c r="G1470" s="34" t="s">
        <v>227</v>
      </c>
      <c r="H1470" s="34"/>
      <c r="I1470" s="34"/>
      <c r="J1470" s="34"/>
      <c r="K1470" s="34"/>
      <c r="L1470" s="34"/>
      <c r="M1470" s="34"/>
      <c r="N1470" s="34" t="str">
        <f aca="false">"Sector "&amp;VALUE(MID(D1470,13,2))</f>
        <v>Sector 6</v>
      </c>
      <c r="O1470" s="34" t="str">
        <f aca="false">IF(Dashboard!$C$5="Ubicación técnica",N1470,"Sector "&amp;VALUE(RIGHT(G1470,2)))</f>
        <v>Sector 6</v>
      </c>
      <c r="P1470" s="34" t="str">
        <f aca="false">IF(MID(D1470,15,3)="SEL","Subestación eléctrica","Área de proceso")</f>
        <v>Subestación eléctrica</v>
      </c>
      <c r="Q1470" s="34" t="str">
        <f aca="false">MID(D1470,13,5)&amp;"|"&amp;MID(D1470,19,5)</f>
        <v>06SEL|S_002</v>
      </c>
      <c r="R1470" s="34" t="str">
        <f aca="false">IF(P1470="Subestación eléctrica",IFERROR(INDEX(cat_SubN,MATCH(Q1470,cat_SubK,0)),"SIN CATALOGAR"),"ÁREA DE PROCESO")</f>
        <v>SE-02</v>
      </c>
      <c r="S1470" s="34" t="str">
        <f aca="false">IF(H1470="","SIN DATO",IFERROR(INDEX(cat_MarcaN,MATCH(H1470,cat_MarcaO,0)),H1470))</f>
        <v>SIN DATO</v>
      </c>
      <c r="T1470" s="34" t="str">
        <f aca="false">IF(I1470="","SIN DATO",IFERROR(INDEX(cat_ModN,MATCH(I1470,cat_ModO,0)),I1470))</f>
        <v>SIN DATO</v>
      </c>
      <c r="U1470" s="34" t="str">
        <f aca="false">IF(I1470="","",IFERROR(INDEX(cat_ModG,MATCH(I1470,cat_ModO,0)),"No"))</f>
        <v/>
      </c>
      <c r="V1470" s="34" t="str">
        <f aca="false">IF(J1470="","SIN DATO",IFERROR(INDEX(cat_FunN,MATCH(J1470,cat_FunO,0)),J1470))</f>
        <v>SIN DATO</v>
      </c>
      <c r="W1470" s="34" t="str">
        <f aca="false">IF(OR(S1470="SIN DATO",T1470="SIN DATO"),"No","Sí")</f>
        <v>No</v>
      </c>
    </row>
    <row r="1471" customFormat="false" ht="15" hidden="false" customHeight="false" outlineLevel="0" collapsed="false">
      <c r="A1471" s="34" t="s">
        <v>5389</v>
      </c>
      <c r="B1471" s="34" t="s">
        <v>5390</v>
      </c>
      <c r="C1471" s="34" t="s">
        <v>5391</v>
      </c>
      <c r="D1471" s="34" t="s">
        <v>5392</v>
      </c>
      <c r="E1471" s="34" t="s">
        <v>170</v>
      </c>
      <c r="F1471" s="34" t="s">
        <v>1602</v>
      </c>
      <c r="G1471" s="34" t="s">
        <v>227</v>
      </c>
      <c r="H1471" s="34" t="s">
        <v>55</v>
      </c>
      <c r="I1471" s="34" t="s">
        <v>57</v>
      </c>
      <c r="J1471" s="34" t="s">
        <v>2171</v>
      </c>
      <c r="K1471" s="34" t="s">
        <v>229</v>
      </c>
      <c r="L1471" s="34" t="s">
        <v>230</v>
      </c>
      <c r="M1471" s="34" t="s">
        <v>237</v>
      </c>
      <c r="N1471" s="34" t="str">
        <f aca="false">"Sector "&amp;VALUE(MID(D1471,13,2))</f>
        <v>Sector 8</v>
      </c>
      <c r="O1471" s="34" t="str">
        <f aca="false">IF(Dashboard!$C$5="Ubicación técnica",N1471,"Sector "&amp;VALUE(RIGHT(G1471,2)))</f>
        <v>Sector 8</v>
      </c>
      <c r="P1471" s="34" t="str">
        <f aca="false">IF(MID(D1471,15,3)="SEL","Subestación eléctrica","Área de proceso")</f>
        <v>Subestación eléctrica</v>
      </c>
      <c r="Q1471" s="34" t="str">
        <f aca="false">MID(D1471,13,5)&amp;"|"&amp;MID(D1471,19,5)</f>
        <v>08SEL|S_016</v>
      </c>
      <c r="R1471" s="34" t="str">
        <f aca="false">IF(P1471="Subestación eléctrica",IFERROR(INDEX(cat_SubN,MATCH(Q1471,cat_SubK,0)),"SIN CATALOGAR"),"ÁREA DE PROCESO")</f>
        <v>SE-16</v>
      </c>
      <c r="S1471" s="34" t="str">
        <f aca="false">IF(H1471="","SIN DATO",IFERROR(INDEX(cat_MarcaN,MATCH(H1471,cat_MarcaO,0)),H1471))</f>
        <v>SEL</v>
      </c>
      <c r="T1471" s="34" t="str">
        <f aca="false">IF(I1471="","SIN DATO",IFERROR(INDEX(cat_ModN,MATCH(I1471,cat_ModO,0)),I1471))</f>
        <v>SEL-735</v>
      </c>
      <c r="U1471" s="34" t="str">
        <f aca="false">IF(I1471="","",IFERROR(INDEX(cat_ModG,MATCH(I1471,cat_ModO,0)),"No"))</f>
        <v>No</v>
      </c>
      <c r="V1471" s="34" t="str">
        <f aca="false">IF(J1471="","SIN DATO",IFERROR(INDEX(cat_FunN,MATCH(J1471,cat_FunO,0)),J1471))</f>
        <v>Medición</v>
      </c>
      <c r="W1471" s="34" t="str">
        <f aca="false">IF(OR(S1471="SIN DATO",T1471="SIN DATO"),"No","Sí")</f>
        <v>Sí</v>
      </c>
    </row>
    <row r="1472" customFormat="false" ht="15" hidden="false" customHeight="false" outlineLevel="0" collapsed="false">
      <c r="A1472" s="34" t="s">
        <v>5393</v>
      </c>
      <c r="B1472" s="34" t="s">
        <v>5394</v>
      </c>
      <c r="C1472" s="34" t="s">
        <v>5395</v>
      </c>
      <c r="D1472" s="34" t="s">
        <v>5396</v>
      </c>
      <c r="E1472" s="34" t="s">
        <v>170</v>
      </c>
      <c r="F1472" s="34" t="s">
        <v>1602</v>
      </c>
      <c r="G1472" s="34" t="s">
        <v>227</v>
      </c>
      <c r="H1472" s="34" t="s">
        <v>55</v>
      </c>
      <c r="I1472" s="34" t="s">
        <v>57</v>
      </c>
      <c r="J1472" s="34" t="s">
        <v>2171</v>
      </c>
      <c r="K1472" s="34" t="s">
        <v>229</v>
      </c>
      <c r="L1472" s="34" t="s">
        <v>230</v>
      </c>
      <c r="M1472" s="34" t="s">
        <v>237</v>
      </c>
      <c r="N1472" s="34" t="str">
        <f aca="false">"Sector "&amp;VALUE(MID(D1472,13,2))</f>
        <v>Sector 8</v>
      </c>
      <c r="O1472" s="34" t="str">
        <f aca="false">IF(Dashboard!$C$5="Ubicación técnica",N1472,"Sector "&amp;VALUE(RIGHT(G1472,2)))</f>
        <v>Sector 8</v>
      </c>
      <c r="P1472" s="34" t="str">
        <f aca="false">IF(MID(D1472,15,3)="SEL","Subestación eléctrica","Área de proceso")</f>
        <v>Subestación eléctrica</v>
      </c>
      <c r="Q1472" s="34" t="str">
        <f aca="false">MID(D1472,13,5)&amp;"|"&amp;MID(D1472,19,5)</f>
        <v>08SEL|S_016</v>
      </c>
      <c r="R1472" s="34" t="str">
        <f aca="false">IF(P1472="Subestación eléctrica",IFERROR(INDEX(cat_SubN,MATCH(Q1472,cat_SubK,0)),"SIN CATALOGAR"),"ÁREA DE PROCESO")</f>
        <v>SE-16</v>
      </c>
      <c r="S1472" s="34" t="str">
        <f aca="false">IF(H1472="","SIN DATO",IFERROR(INDEX(cat_MarcaN,MATCH(H1472,cat_MarcaO,0)),H1472))</f>
        <v>SEL</v>
      </c>
      <c r="T1472" s="34" t="str">
        <f aca="false">IF(I1472="","SIN DATO",IFERROR(INDEX(cat_ModN,MATCH(I1472,cat_ModO,0)),I1472))</f>
        <v>SEL-735</v>
      </c>
      <c r="U1472" s="34" t="str">
        <f aca="false">IF(I1472="","",IFERROR(INDEX(cat_ModG,MATCH(I1472,cat_ModO,0)),"No"))</f>
        <v>No</v>
      </c>
      <c r="V1472" s="34" t="str">
        <f aca="false">IF(J1472="","SIN DATO",IFERROR(INDEX(cat_FunN,MATCH(J1472,cat_FunO,0)),J1472))</f>
        <v>Medición</v>
      </c>
      <c r="W1472" s="34" t="str">
        <f aca="false">IF(OR(S1472="SIN DATO",T1472="SIN DATO"),"No","Sí")</f>
        <v>Sí</v>
      </c>
    </row>
    <row r="1473" customFormat="false" ht="15" hidden="false" customHeight="false" outlineLevel="0" collapsed="false">
      <c r="A1473" s="34" t="s">
        <v>5397</v>
      </c>
      <c r="B1473" s="34" t="s">
        <v>5398</v>
      </c>
      <c r="C1473" s="34" t="s">
        <v>5399</v>
      </c>
      <c r="D1473" s="34" t="s">
        <v>5400</v>
      </c>
      <c r="E1473" s="34" t="s">
        <v>178</v>
      </c>
      <c r="F1473" s="34" t="s">
        <v>1602</v>
      </c>
      <c r="G1473" s="34" t="s">
        <v>227</v>
      </c>
      <c r="H1473" s="34" t="s">
        <v>55</v>
      </c>
      <c r="I1473" s="34" t="s">
        <v>57</v>
      </c>
      <c r="J1473" s="34" t="s">
        <v>2171</v>
      </c>
      <c r="K1473" s="34" t="s">
        <v>229</v>
      </c>
      <c r="L1473" s="34" t="s">
        <v>230</v>
      </c>
      <c r="M1473" s="34" t="s">
        <v>237</v>
      </c>
      <c r="N1473" s="34" t="str">
        <f aca="false">"Sector "&amp;VALUE(MID(D1473,13,2))</f>
        <v>Sector 8</v>
      </c>
      <c r="O1473" s="34" t="str">
        <f aca="false">IF(Dashboard!$C$5="Ubicación técnica",N1473,"Sector "&amp;VALUE(RIGHT(G1473,2)))</f>
        <v>Sector 8</v>
      </c>
      <c r="P1473" s="34" t="str">
        <f aca="false">IF(MID(D1473,15,3)="SEL","Subestación eléctrica","Área de proceso")</f>
        <v>Subestación eléctrica</v>
      </c>
      <c r="Q1473" s="34" t="str">
        <f aca="false">MID(D1473,13,5)&amp;"|"&amp;MID(D1473,19,5)</f>
        <v>08SEL|S_019</v>
      </c>
      <c r="R1473" s="34" t="str">
        <f aca="false">IF(P1473="Subestación eléctrica",IFERROR(INDEX(cat_SubN,MATCH(Q1473,cat_SubK,0)),"SIN CATALOGAR"),"ÁREA DE PROCESO")</f>
        <v>SE-19</v>
      </c>
      <c r="S1473" s="34" t="str">
        <f aca="false">IF(H1473="","SIN DATO",IFERROR(INDEX(cat_MarcaN,MATCH(H1473,cat_MarcaO,0)),H1473))</f>
        <v>SEL</v>
      </c>
      <c r="T1473" s="34" t="str">
        <f aca="false">IF(I1473="","SIN DATO",IFERROR(INDEX(cat_ModN,MATCH(I1473,cat_ModO,0)),I1473))</f>
        <v>SEL-735</v>
      </c>
      <c r="U1473" s="34" t="str">
        <f aca="false">IF(I1473="","",IFERROR(INDEX(cat_ModG,MATCH(I1473,cat_ModO,0)),"No"))</f>
        <v>No</v>
      </c>
      <c r="V1473" s="34" t="str">
        <f aca="false">IF(J1473="","SIN DATO",IFERROR(INDEX(cat_FunN,MATCH(J1473,cat_FunO,0)),J1473))</f>
        <v>Medición</v>
      </c>
      <c r="W1473" s="34" t="str">
        <f aca="false">IF(OR(S1473="SIN DATO",T1473="SIN DATO"),"No","Sí")</f>
        <v>Sí</v>
      </c>
    </row>
    <row r="1474" customFormat="false" ht="15" hidden="false" customHeight="false" outlineLevel="0" collapsed="false">
      <c r="A1474" s="34" t="s">
        <v>5401</v>
      </c>
      <c r="B1474" s="34" t="s">
        <v>5402</v>
      </c>
      <c r="C1474" s="34" t="s">
        <v>5403</v>
      </c>
      <c r="D1474" s="34" t="s">
        <v>5404</v>
      </c>
      <c r="E1474" s="34" t="s">
        <v>178</v>
      </c>
      <c r="F1474" s="34" t="s">
        <v>1602</v>
      </c>
      <c r="G1474" s="34" t="s">
        <v>227</v>
      </c>
      <c r="H1474" s="34" t="s">
        <v>55</v>
      </c>
      <c r="I1474" s="34" t="s">
        <v>57</v>
      </c>
      <c r="J1474" s="34" t="s">
        <v>2171</v>
      </c>
      <c r="K1474" s="34" t="s">
        <v>229</v>
      </c>
      <c r="L1474" s="34" t="s">
        <v>230</v>
      </c>
      <c r="M1474" s="34" t="s">
        <v>237</v>
      </c>
      <c r="N1474" s="34" t="str">
        <f aca="false">"Sector "&amp;VALUE(MID(D1474,13,2))</f>
        <v>Sector 8</v>
      </c>
      <c r="O1474" s="34" t="str">
        <f aca="false">IF(Dashboard!$C$5="Ubicación técnica",N1474,"Sector "&amp;VALUE(RIGHT(G1474,2)))</f>
        <v>Sector 8</v>
      </c>
      <c r="P1474" s="34" t="str">
        <f aca="false">IF(MID(D1474,15,3)="SEL","Subestación eléctrica","Área de proceso")</f>
        <v>Subestación eléctrica</v>
      </c>
      <c r="Q1474" s="34" t="str">
        <f aca="false">MID(D1474,13,5)&amp;"|"&amp;MID(D1474,19,5)</f>
        <v>08SEL|S_019</v>
      </c>
      <c r="R1474" s="34" t="str">
        <f aca="false">IF(P1474="Subestación eléctrica",IFERROR(INDEX(cat_SubN,MATCH(Q1474,cat_SubK,0)),"SIN CATALOGAR"),"ÁREA DE PROCESO")</f>
        <v>SE-19</v>
      </c>
      <c r="S1474" s="34" t="str">
        <f aca="false">IF(H1474="","SIN DATO",IFERROR(INDEX(cat_MarcaN,MATCH(H1474,cat_MarcaO,0)),H1474))</f>
        <v>SEL</v>
      </c>
      <c r="T1474" s="34" t="str">
        <f aca="false">IF(I1474="","SIN DATO",IFERROR(INDEX(cat_ModN,MATCH(I1474,cat_ModO,0)),I1474))</f>
        <v>SEL-735</v>
      </c>
      <c r="U1474" s="34" t="str">
        <f aca="false">IF(I1474="","",IFERROR(INDEX(cat_ModG,MATCH(I1474,cat_ModO,0)),"No"))</f>
        <v>No</v>
      </c>
      <c r="V1474" s="34" t="str">
        <f aca="false">IF(J1474="","SIN DATO",IFERROR(INDEX(cat_FunN,MATCH(J1474,cat_FunO,0)),J1474))</f>
        <v>Medición</v>
      </c>
      <c r="W1474" s="34" t="str">
        <f aca="false">IF(OR(S1474="SIN DATO",T1474="SIN DATO"),"No","Sí")</f>
        <v>Sí</v>
      </c>
    </row>
    <row r="1475" customFormat="false" ht="15" hidden="false" customHeight="false" outlineLevel="0" collapsed="false">
      <c r="A1475" s="34" t="s">
        <v>5405</v>
      </c>
      <c r="B1475" s="34" t="s">
        <v>5406</v>
      </c>
      <c r="C1475" s="34" t="s">
        <v>5407</v>
      </c>
      <c r="D1475" s="34" t="s">
        <v>2175</v>
      </c>
      <c r="E1475" s="34" t="s">
        <v>170</v>
      </c>
      <c r="F1475" s="34" t="s">
        <v>1602</v>
      </c>
      <c r="G1475" s="34" t="s">
        <v>227</v>
      </c>
      <c r="H1475" s="34" t="s">
        <v>34</v>
      </c>
      <c r="I1475" s="34" t="s">
        <v>37</v>
      </c>
      <c r="J1475" s="34" t="s">
        <v>228</v>
      </c>
      <c r="K1475" s="34" t="s">
        <v>229</v>
      </c>
      <c r="L1475" s="34" t="s">
        <v>230</v>
      </c>
      <c r="M1475" s="34" t="s">
        <v>1663</v>
      </c>
      <c r="N1475" s="34" t="str">
        <f aca="false">"Sector "&amp;VALUE(MID(D1475,13,2))</f>
        <v>Sector 8</v>
      </c>
      <c r="O1475" s="34" t="str">
        <f aca="false">IF(Dashboard!$C$5="Ubicación técnica",N1475,"Sector "&amp;VALUE(RIGHT(G1475,2)))</f>
        <v>Sector 8</v>
      </c>
      <c r="P1475" s="34" t="str">
        <f aca="false">IF(MID(D1475,15,3)="SEL","Subestación eléctrica","Área de proceso")</f>
        <v>Subestación eléctrica</v>
      </c>
      <c r="Q1475" s="34" t="str">
        <f aca="false">MID(D1475,13,5)&amp;"|"&amp;MID(D1475,19,5)</f>
        <v>08SEL|S_016</v>
      </c>
      <c r="R1475" s="34" t="str">
        <f aca="false">IF(P1475="Subestación eléctrica",IFERROR(INDEX(cat_SubN,MATCH(Q1475,cat_SubK,0)),"SIN CATALOGAR"),"ÁREA DE PROCESO")</f>
        <v>SE-16</v>
      </c>
      <c r="S1475" s="34" t="str">
        <f aca="false">IF(H1475="","SIN DATO",IFERROR(INDEX(cat_MarcaN,MATCH(H1475,cat_MarcaO,0)),H1475))</f>
        <v>ABB</v>
      </c>
      <c r="T1475" s="34" t="str">
        <f aca="false">IF(I1475="","SIN DATO",IFERROR(INDEX(cat_ModN,MATCH(I1475,cat_ModO,0)),I1475))</f>
        <v>REF615A_1G</v>
      </c>
      <c r="U1475" s="34" t="str">
        <f aca="false">IF(I1475="","",IFERROR(INDEX(cat_ModG,MATCH(I1475,cat_ModO,0)),"No"))</f>
        <v>No</v>
      </c>
      <c r="V1475" s="34" t="str">
        <f aca="false">IF(J1475="","SIN DATO",IFERROR(INDEX(cat_FunN,MATCH(J1475,cat_FunO,0)),J1475))</f>
        <v>Protección y medición</v>
      </c>
      <c r="W1475" s="34" t="str">
        <f aca="false">IF(OR(S1475="SIN DATO",T1475="SIN DATO"),"No","Sí")</f>
        <v>Sí</v>
      </c>
    </row>
    <row r="1476" customFormat="false" ht="15" hidden="false" customHeight="false" outlineLevel="0" collapsed="false">
      <c r="A1476" s="34" t="s">
        <v>5408</v>
      </c>
      <c r="B1476" s="34" t="s">
        <v>5409</v>
      </c>
      <c r="C1476" s="34" t="s">
        <v>5410</v>
      </c>
      <c r="D1476" s="34" t="s">
        <v>2344</v>
      </c>
      <c r="E1476" s="34" t="s">
        <v>184</v>
      </c>
      <c r="F1476" s="34" t="s">
        <v>1602</v>
      </c>
      <c r="G1476" s="34" t="s">
        <v>227</v>
      </c>
      <c r="H1476" s="34" t="s">
        <v>34</v>
      </c>
      <c r="I1476" s="34" t="s">
        <v>37</v>
      </c>
      <c r="J1476" s="34" t="s">
        <v>228</v>
      </c>
      <c r="K1476" s="34" t="s">
        <v>229</v>
      </c>
      <c r="L1476" s="34" t="s">
        <v>230</v>
      </c>
      <c r="M1476" s="34" t="s">
        <v>231</v>
      </c>
      <c r="N1476" s="34" t="str">
        <f aca="false">"Sector "&amp;VALUE(MID(D1476,13,2))</f>
        <v>Sector 8</v>
      </c>
      <c r="O1476" s="34" t="str">
        <f aca="false">IF(Dashboard!$C$5="Ubicación técnica",N1476,"Sector "&amp;VALUE(RIGHT(G1476,2)))</f>
        <v>Sector 8</v>
      </c>
      <c r="P1476" s="34" t="str">
        <f aca="false">IF(MID(D1476,15,3)="SEL","Subestación eléctrica","Área de proceso")</f>
        <v>Subestación eléctrica</v>
      </c>
      <c r="Q1476" s="34" t="str">
        <f aca="false">MID(D1476,13,5)&amp;"|"&amp;MID(D1476,19,5)</f>
        <v>08SEL|SEP02</v>
      </c>
      <c r="R1476" s="34" t="str">
        <f aca="false">IF(P1476="Subestación eléctrica",IFERROR(INDEX(cat_SubN,MATCH(Q1476,cat_SubK,0)),"SIN CATALOGAR"),"ÁREA DE PROCESO")</f>
        <v>SEP-02</v>
      </c>
      <c r="S1476" s="34" t="str">
        <f aca="false">IF(H1476="","SIN DATO",IFERROR(INDEX(cat_MarcaN,MATCH(H1476,cat_MarcaO,0)),H1476))</f>
        <v>ABB</v>
      </c>
      <c r="T1476" s="34" t="str">
        <f aca="false">IF(I1476="","SIN DATO",IFERROR(INDEX(cat_ModN,MATCH(I1476,cat_ModO,0)),I1476))</f>
        <v>REF615A_1G</v>
      </c>
      <c r="U1476" s="34" t="str">
        <f aca="false">IF(I1476="","",IFERROR(INDEX(cat_ModG,MATCH(I1476,cat_ModO,0)),"No"))</f>
        <v>No</v>
      </c>
      <c r="V1476" s="34" t="str">
        <f aca="false">IF(J1476="","SIN DATO",IFERROR(INDEX(cat_FunN,MATCH(J1476,cat_FunO,0)),J1476))</f>
        <v>Protección y medición</v>
      </c>
      <c r="W1476" s="34" t="str">
        <f aca="false">IF(OR(S1476="SIN DATO",T1476="SIN DATO"),"No","Sí")</f>
        <v>Sí</v>
      </c>
    </row>
    <row r="1477" customFormat="false" ht="15" hidden="false" customHeight="false" outlineLevel="0" collapsed="false">
      <c r="A1477" s="34" t="s">
        <v>5411</v>
      </c>
      <c r="B1477" s="34" t="s">
        <v>5412</v>
      </c>
      <c r="C1477" s="34" t="s">
        <v>5413</v>
      </c>
      <c r="D1477" s="34" t="s">
        <v>2145</v>
      </c>
      <c r="E1477" s="34" t="s">
        <v>184</v>
      </c>
      <c r="F1477" s="34" t="s">
        <v>1602</v>
      </c>
      <c r="G1477" s="34" t="s">
        <v>227</v>
      </c>
      <c r="H1477" s="34" t="s">
        <v>34</v>
      </c>
      <c r="I1477" s="34" t="s">
        <v>37</v>
      </c>
      <c r="J1477" s="34" t="s">
        <v>228</v>
      </c>
      <c r="K1477" s="34" t="s">
        <v>229</v>
      </c>
      <c r="L1477" s="34" t="s">
        <v>230</v>
      </c>
      <c r="M1477" s="34" t="s">
        <v>231</v>
      </c>
      <c r="N1477" s="34" t="str">
        <f aca="false">"Sector "&amp;VALUE(MID(D1477,13,2))</f>
        <v>Sector 8</v>
      </c>
      <c r="O1477" s="34" t="str">
        <f aca="false">IF(Dashboard!$C$5="Ubicación técnica",N1477,"Sector "&amp;VALUE(RIGHT(G1477,2)))</f>
        <v>Sector 8</v>
      </c>
      <c r="P1477" s="34" t="str">
        <f aca="false">IF(MID(D1477,15,3)="SEL","Subestación eléctrica","Área de proceso")</f>
        <v>Subestación eléctrica</v>
      </c>
      <c r="Q1477" s="34" t="str">
        <f aca="false">MID(D1477,13,5)&amp;"|"&amp;MID(D1477,19,5)</f>
        <v>08SEL|SEP02</v>
      </c>
      <c r="R1477" s="34" t="str">
        <f aca="false">IF(P1477="Subestación eléctrica",IFERROR(INDEX(cat_SubN,MATCH(Q1477,cat_SubK,0)),"SIN CATALOGAR"),"ÁREA DE PROCESO")</f>
        <v>SEP-02</v>
      </c>
      <c r="S1477" s="34" t="str">
        <f aca="false">IF(H1477="","SIN DATO",IFERROR(INDEX(cat_MarcaN,MATCH(H1477,cat_MarcaO,0)),H1477))</f>
        <v>ABB</v>
      </c>
      <c r="T1477" s="34" t="str">
        <f aca="false">IF(I1477="","SIN DATO",IFERROR(INDEX(cat_ModN,MATCH(I1477,cat_ModO,0)),I1477))</f>
        <v>REF615A_1G</v>
      </c>
      <c r="U1477" s="34" t="str">
        <f aca="false">IF(I1477="","",IFERROR(INDEX(cat_ModG,MATCH(I1477,cat_ModO,0)),"No"))</f>
        <v>No</v>
      </c>
      <c r="V1477" s="34" t="str">
        <f aca="false">IF(J1477="","SIN DATO",IFERROR(INDEX(cat_FunN,MATCH(J1477,cat_FunO,0)),J1477))</f>
        <v>Protección y medición</v>
      </c>
      <c r="W1477" s="34" t="str">
        <f aca="false">IF(OR(S1477="SIN DATO",T1477="SIN DATO"),"No","Sí")</f>
        <v>Sí</v>
      </c>
    </row>
    <row r="1478" customFormat="false" ht="15" hidden="false" customHeight="false" outlineLevel="0" collapsed="false">
      <c r="A1478" s="34" t="s">
        <v>5414</v>
      </c>
      <c r="B1478" s="34" t="s">
        <v>5415</v>
      </c>
      <c r="C1478" s="34" t="s">
        <v>5416</v>
      </c>
      <c r="D1478" s="34" t="s">
        <v>2337</v>
      </c>
      <c r="E1478" s="34" t="s">
        <v>184</v>
      </c>
      <c r="F1478" s="34" t="s">
        <v>1602</v>
      </c>
      <c r="G1478" s="34" t="s">
        <v>227</v>
      </c>
      <c r="H1478" s="34" t="s">
        <v>34</v>
      </c>
      <c r="I1478" s="34" t="s">
        <v>37</v>
      </c>
      <c r="J1478" s="34" t="s">
        <v>228</v>
      </c>
      <c r="K1478" s="34" t="s">
        <v>229</v>
      </c>
      <c r="L1478" s="34" t="s">
        <v>230</v>
      </c>
      <c r="M1478" s="34" t="s">
        <v>231</v>
      </c>
      <c r="N1478" s="34" t="str">
        <f aca="false">"Sector "&amp;VALUE(MID(D1478,13,2))</f>
        <v>Sector 8</v>
      </c>
      <c r="O1478" s="34" t="str">
        <f aca="false">IF(Dashboard!$C$5="Ubicación técnica",N1478,"Sector "&amp;VALUE(RIGHT(G1478,2)))</f>
        <v>Sector 8</v>
      </c>
      <c r="P1478" s="34" t="str">
        <f aca="false">IF(MID(D1478,15,3)="SEL","Subestación eléctrica","Área de proceso")</f>
        <v>Subestación eléctrica</v>
      </c>
      <c r="Q1478" s="34" t="str">
        <f aca="false">MID(D1478,13,5)&amp;"|"&amp;MID(D1478,19,5)</f>
        <v>08SEL|SEP02</v>
      </c>
      <c r="R1478" s="34" t="str">
        <f aca="false">IF(P1478="Subestación eléctrica",IFERROR(INDEX(cat_SubN,MATCH(Q1478,cat_SubK,0)),"SIN CATALOGAR"),"ÁREA DE PROCESO")</f>
        <v>SEP-02</v>
      </c>
      <c r="S1478" s="34" t="str">
        <f aca="false">IF(H1478="","SIN DATO",IFERROR(INDEX(cat_MarcaN,MATCH(H1478,cat_MarcaO,0)),H1478))</f>
        <v>ABB</v>
      </c>
      <c r="T1478" s="34" t="str">
        <f aca="false">IF(I1478="","SIN DATO",IFERROR(INDEX(cat_ModN,MATCH(I1478,cat_ModO,0)),I1478))</f>
        <v>REF615A_1G</v>
      </c>
      <c r="U1478" s="34" t="str">
        <f aca="false">IF(I1478="","",IFERROR(INDEX(cat_ModG,MATCH(I1478,cat_ModO,0)),"No"))</f>
        <v>No</v>
      </c>
      <c r="V1478" s="34" t="str">
        <f aca="false">IF(J1478="","SIN DATO",IFERROR(INDEX(cat_FunN,MATCH(J1478,cat_FunO,0)),J1478))</f>
        <v>Protección y medición</v>
      </c>
      <c r="W1478" s="34" t="str">
        <f aca="false">IF(OR(S1478="SIN DATO",T1478="SIN DATO"),"No","Sí")</f>
        <v>Sí</v>
      </c>
    </row>
    <row r="1479" customFormat="false" ht="15" hidden="false" customHeight="false" outlineLevel="0" collapsed="false">
      <c r="A1479" s="34" t="s">
        <v>5417</v>
      </c>
      <c r="B1479" s="34" t="s">
        <v>5418</v>
      </c>
      <c r="C1479" s="34" t="s">
        <v>5419</v>
      </c>
      <c r="D1479" s="34" t="s">
        <v>2154</v>
      </c>
      <c r="E1479" s="34" t="s">
        <v>184</v>
      </c>
      <c r="F1479" s="34" t="s">
        <v>1602</v>
      </c>
      <c r="G1479" s="34" t="s">
        <v>227</v>
      </c>
      <c r="H1479" s="34" t="s">
        <v>34</v>
      </c>
      <c r="I1479" s="34" t="s">
        <v>37</v>
      </c>
      <c r="J1479" s="34" t="s">
        <v>228</v>
      </c>
      <c r="K1479" s="34" t="s">
        <v>229</v>
      </c>
      <c r="L1479" s="34" t="s">
        <v>230</v>
      </c>
      <c r="M1479" s="34" t="s">
        <v>231</v>
      </c>
      <c r="N1479" s="34" t="str">
        <f aca="false">"Sector "&amp;VALUE(MID(D1479,13,2))</f>
        <v>Sector 8</v>
      </c>
      <c r="O1479" s="34" t="str">
        <f aca="false">IF(Dashboard!$C$5="Ubicación técnica",N1479,"Sector "&amp;VALUE(RIGHT(G1479,2)))</f>
        <v>Sector 8</v>
      </c>
      <c r="P1479" s="34" t="str">
        <f aca="false">IF(MID(D1479,15,3)="SEL","Subestación eléctrica","Área de proceso")</f>
        <v>Subestación eléctrica</v>
      </c>
      <c r="Q1479" s="34" t="str">
        <f aca="false">MID(D1479,13,5)&amp;"|"&amp;MID(D1479,19,5)</f>
        <v>08SEL|SEP02</v>
      </c>
      <c r="R1479" s="34" t="str">
        <f aca="false">IF(P1479="Subestación eléctrica",IFERROR(INDEX(cat_SubN,MATCH(Q1479,cat_SubK,0)),"SIN CATALOGAR"),"ÁREA DE PROCESO")</f>
        <v>SEP-02</v>
      </c>
      <c r="S1479" s="34" t="str">
        <f aca="false">IF(H1479="","SIN DATO",IFERROR(INDEX(cat_MarcaN,MATCH(H1479,cat_MarcaO,0)),H1479))</f>
        <v>ABB</v>
      </c>
      <c r="T1479" s="34" t="str">
        <f aca="false">IF(I1479="","SIN DATO",IFERROR(INDEX(cat_ModN,MATCH(I1479,cat_ModO,0)),I1479))</f>
        <v>REF615A_1G</v>
      </c>
      <c r="U1479" s="34" t="str">
        <f aca="false">IF(I1479="","",IFERROR(INDEX(cat_ModG,MATCH(I1479,cat_ModO,0)),"No"))</f>
        <v>No</v>
      </c>
      <c r="V1479" s="34" t="str">
        <f aca="false">IF(J1479="","SIN DATO",IFERROR(INDEX(cat_FunN,MATCH(J1479,cat_FunO,0)),J1479))</f>
        <v>Protección y medición</v>
      </c>
      <c r="W1479" s="34" t="str">
        <f aca="false">IF(OR(S1479="SIN DATO",T1479="SIN DATO"),"No","Sí")</f>
        <v>Sí</v>
      </c>
    </row>
    <row r="1480" customFormat="false" ht="15" hidden="false" customHeight="false" outlineLevel="0" collapsed="false">
      <c r="A1480" s="34" t="s">
        <v>5420</v>
      </c>
      <c r="B1480" s="34" t="s">
        <v>5421</v>
      </c>
      <c r="C1480" s="34" t="s">
        <v>5422</v>
      </c>
      <c r="D1480" s="34" t="s">
        <v>2337</v>
      </c>
      <c r="E1480" s="34" t="s">
        <v>184</v>
      </c>
      <c r="F1480" s="34" t="s">
        <v>1602</v>
      </c>
      <c r="G1480" s="34" t="s">
        <v>227</v>
      </c>
      <c r="H1480" s="34" t="s">
        <v>34</v>
      </c>
      <c r="I1480" s="34" t="s">
        <v>37</v>
      </c>
      <c r="J1480" s="34" t="s">
        <v>228</v>
      </c>
      <c r="K1480" s="34" t="s">
        <v>229</v>
      </c>
      <c r="L1480" s="34" t="s">
        <v>230</v>
      </c>
      <c r="M1480" s="34" t="s">
        <v>231</v>
      </c>
      <c r="N1480" s="34" t="str">
        <f aca="false">"Sector "&amp;VALUE(MID(D1480,13,2))</f>
        <v>Sector 8</v>
      </c>
      <c r="O1480" s="34" t="str">
        <f aca="false">IF(Dashboard!$C$5="Ubicación técnica",N1480,"Sector "&amp;VALUE(RIGHT(G1480,2)))</f>
        <v>Sector 8</v>
      </c>
      <c r="P1480" s="34" t="str">
        <f aca="false">IF(MID(D1480,15,3)="SEL","Subestación eléctrica","Área de proceso")</f>
        <v>Subestación eléctrica</v>
      </c>
      <c r="Q1480" s="34" t="str">
        <f aca="false">MID(D1480,13,5)&amp;"|"&amp;MID(D1480,19,5)</f>
        <v>08SEL|SEP02</v>
      </c>
      <c r="R1480" s="34" t="str">
        <f aca="false">IF(P1480="Subestación eléctrica",IFERROR(INDEX(cat_SubN,MATCH(Q1480,cat_SubK,0)),"SIN CATALOGAR"),"ÁREA DE PROCESO")</f>
        <v>SEP-02</v>
      </c>
      <c r="S1480" s="34" t="str">
        <f aca="false">IF(H1480="","SIN DATO",IFERROR(INDEX(cat_MarcaN,MATCH(H1480,cat_MarcaO,0)),H1480))</f>
        <v>ABB</v>
      </c>
      <c r="T1480" s="34" t="str">
        <f aca="false">IF(I1480="","SIN DATO",IFERROR(INDEX(cat_ModN,MATCH(I1480,cat_ModO,0)),I1480))</f>
        <v>REF615A_1G</v>
      </c>
      <c r="U1480" s="34" t="str">
        <f aca="false">IF(I1480="","",IFERROR(INDEX(cat_ModG,MATCH(I1480,cat_ModO,0)),"No"))</f>
        <v>No</v>
      </c>
      <c r="V1480" s="34" t="str">
        <f aca="false">IF(J1480="","SIN DATO",IFERROR(INDEX(cat_FunN,MATCH(J1480,cat_FunO,0)),J1480))</f>
        <v>Protección y medición</v>
      </c>
      <c r="W1480" s="34" t="str">
        <f aca="false">IF(OR(S1480="SIN DATO",T1480="SIN DATO"),"No","Sí")</f>
        <v>Sí</v>
      </c>
    </row>
    <row r="1481" customFormat="false" ht="15" hidden="false" customHeight="false" outlineLevel="0" collapsed="false">
      <c r="A1481" s="34" t="s">
        <v>5423</v>
      </c>
      <c r="B1481" s="34" t="s">
        <v>5424</v>
      </c>
      <c r="C1481" s="34" t="s">
        <v>5425</v>
      </c>
      <c r="D1481" s="34" t="s">
        <v>2154</v>
      </c>
      <c r="E1481" s="34" t="s">
        <v>184</v>
      </c>
      <c r="F1481" s="34" t="s">
        <v>1602</v>
      </c>
      <c r="G1481" s="34" t="s">
        <v>227</v>
      </c>
      <c r="H1481" s="34" t="s">
        <v>34</v>
      </c>
      <c r="I1481" s="34" t="s">
        <v>37</v>
      </c>
      <c r="J1481" s="34" t="s">
        <v>228</v>
      </c>
      <c r="K1481" s="34" t="s">
        <v>229</v>
      </c>
      <c r="L1481" s="34" t="s">
        <v>230</v>
      </c>
      <c r="M1481" s="34" t="s">
        <v>231</v>
      </c>
      <c r="N1481" s="34" t="str">
        <f aca="false">"Sector "&amp;VALUE(MID(D1481,13,2))</f>
        <v>Sector 8</v>
      </c>
      <c r="O1481" s="34" t="str">
        <f aca="false">IF(Dashboard!$C$5="Ubicación técnica",N1481,"Sector "&amp;VALUE(RIGHT(G1481,2)))</f>
        <v>Sector 8</v>
      </c>
      <c r="P1481" s="34" t="str">
        <f aca="false">IF(MID(D1481,15,3)="SEL","Subestación eléctrica","Área de proceso")</f>
        <v>Subestación eléctrica</v>
      </c>
      <c r="Q1481" s="34" t="str">
        <f aca="false">MID(D1481,13,5)&amp;"|"&amp;MID(D1481,19,5)</f>
        <v>08SEL|SEP02</v>
      </c>
      <c r="R1481" s="34" t="str">
        <f aca="false">IF(P1481="Subestación eléctrica",IFERROR(INDEX(cat_SubN,MATCH(Q1481,cat_SubK,0)),"SIN CATALOGAR"),"ÁREA DE PROCESO")</f>
        <v>SEP-02</v>
      </c>
      <c r="S1481" s="34" t="str">
        <f aca="false">IF(H1481="","SIN DATO",IFERROR(INDEX(cat_MarcaN,MATCH(H1481,cat_MarcaO,0)),H1481))</f>
        <v>ABB</v>
      </c>
      <c r="T1481" s="34" t="str">
        <f aca="false">IF(I1481="","SIN DATO",IFERROR(INDEX(cat_ModN,MATCH(I1481,cat_ModO,0)),I1481))</f>
        <v>REF615A_1G</v>
      </c>
      <c r="U1481" s="34" t="str">
        <f aca="false">IF(I1481="","",IFERROR(INDEX(cat_ModG,MATCH(I1481,cat_ModO,0)),"No"))</f>
        <v>No</v>
      </c>
      <c r="V1481" s="34" t="str">
        <f aca="false">IF(J1481="","SIN DATO",IFERROR(INDEX(cat_FunN,MATCH(J1481,cat_FunO,0)),J1481))</f>
        <v>Protección y medición</v>
      </c>
      <c r="W1481" s="34" t="str">
        <f aca="false">IF(OR(S1481="SIN DATO",T1481="SIN DATO"),"No","Sí")</f>
        <v>Sí</v>
      </c>
    </row>
    <row r="1482" customFormat="false" ht="15" hidden="false" customHeight="false" outlineLevel="0" collapsed="false">
      <c r="A1482" s="34" t="s">
        <v>5426</v>
      </c>
      <c r="B1482" s="34" t="s">
        <v>5427</v>
      </c>
      <c r="C1482" s="34" t="s">
        <v>5428</v>
      </c>
      <c r="D1482" s="34" t="s">
        <v>2150</v>
      </c>
      <c r="E1482" s="34" t="s">
        <v>184</v>
      </c>
      <c r="F1482" s="34" t="s">
        <v>1602</v>
      </c>
      <c r="G1482" s="34" t="s">
        <v>227</v>
      </c>
      <c r="H1482" s="34" t="s">
        <v>34</v>
      </c>
      <c r="I1482" s="34" t="s">
        <v>37</v>
      </c>
      <c r="J1482" s="34" t="s">
        <v>228</v>
      </c>
      <c r="K1482" s="34" t="s">
        <v>229</v>
      </c>
      <c r="L1482" s="34" t="s">
        <v>230</v>
      </c>
      <c r="M1482" s="34" t="s">
        <v>231</v>
      </c>
      <c r="N1482" s="34" t="str">
        <f aca="false">"Sector "&amp;VALUE(MID(D1482,13,2))</f>
        <v>Sector 8</v>
      </c>
      <c r="O1482" s="34" t="str">
        <f aca="false">IF(Dashboard!$C$5="Ubicación técnica",N1482,"Sector "&amp;VALUE(RIGHT(G1482,2)))</f>
        <v>Sector 8</v>
      </c>
      <c r="P1482" s="34" t="str">
        <f aca="false">IF(MID(D1482,15,3)="SEL","Subestación eléctrica","Área de proceso")</f>
        <v>Subestación eléctrica</v>
      </c>
      <c r="Q1482" s="34" t="str">
        <f aca="false">MID(D1482,13,5)&amp;"|"&amp;MID(D1482,19,5)</f>
        <v>08SEL|SEP02</v>
      </c>
      <c r="R1482" s="34" t="str">
        <f aca="false">IF(P1482="Subestación eléctrica",IFERROR(INDEX(cat_SubN,MATCH(Q1482,cat_SubK,0)),"SIN CATALOGAR"),"ÁREA DE PROCESO")</f>
        <v>SEP-02</v>
      </c>
      <c r="S1482" s="34" t="str">
        <f aca="false">IF(H1482="","SIN DATO",IFERROR(INDEX(cat_MarcaN,MATCH(H1482,cat_MarcaO,0)),H1482))</f>
        <v>ABB</v>
      </c>
      <c r="T1482" s="34" t="str">
        <f aca="false">IF(I1482="","SIN DATO",IFERROR(INDEX(cat_ModN,MATCH(I1482,cat_ModO,0)),I1482))</f>
        <v>REF615A_1G</v>
      </c>
      <c r="U1482" s="34" t="str">
        <f aca="false">IF(I1482="","",IFERROR(INDEX(cat_ModG,MATCH(I1482,cat_ModO,0)),"No"))</f>
        <v>No</v>
      </c>
      <c r="V1482" s="34" t="str">
        <f aca="false">IF(J1482="","SIN DATO",IFERROR(INDEX(cat_FunN,MATCH(J1482,cat_FunO,0)),J1482))</f>
        <v>Protección y medición</v>
      </c>
      <c r="W1482" s="34" t="str">
        <f aca="false">IF(OR(S1482="SIN DATO",T1482="SIN DATO"),"No","Sí")</f>
        <v>Sí</v>
      </c>
    </row>
    <row r="1483" customFormat="false" ht="15" hidden="false" customHeight="false" outlineLevel="0" collapsed="false">
      <c r="A1483" s="34" t="s">
        <v>5429</v>
      </c>
      <c r="B1483" s="34" t="s">
        <v>5430</v>
      </c>
      <c r="C1483" s="34" t="s">
        <v>5431</v>
      </c>
      <c r="D1483" s="34" t="s">
        <v>2154</v>
      </c>
      <c r="E1483" s="34" t="s">
        <v>184</v>
      </c>
      <c r="F1483" s="34" t="s">
        <v>1602</v>
      </c>
      <c r="G1483" s="34" t="s">
        <v>227</v>
      </c>
      <c r="H1483" s="34" t="s">
        <v>34</v>
      </c>
      <c r="I1483" s="34" t="s">
        <v>37</v>
      </c>
      <c r="J1483" s="34" t="s">
        <v>228</v>
      </c>
      <c r="K1483" s="34" t="s">
        <v>229</v>
      </c>
      <c r="L1483" s="34" t="s">
        <v>230</v>
      </c>
      <c r="M1483" s="34" t="s">
        <v>231</v>
      </c>
      <c r="N1483" s="34" t="str">
        <f aca="false">"Sector "&amp;VALUE(MID(D1483,13,2))</f>
        <v>Sector 8</v>
      </c>
      <c r="O1483" s="34" t="str">
        <f aca="false">IF(Dashboard!$C$5="Ubicación técnica",N1483,"Sector "&amp;VALUE(RIGHT(G1483,2)))</f>
        <v>Sector 8</v>
      </c>
      <c r="P1483" s="34" t="str">
        <f aca="false">IF(MID(D1483,15,3)="SEL","Subestación eléctrica","Área de proceso")</f>
        <v>Subestación eléctrica</v>
      </c>
      <c r="Q1483" s="34" t="str">
        <f aca="false">MID(D1483,13,5)&amp;"|"&amp;MID(D1483,19,5)</f>
        <v>08SEL|SEP02</v>
      </c>
      <c r="R1483" s="34" t="str">
        <f aca="false">IF(P1483="Subestación eléctrica",IFERROR(INDEX(cat_SubN,MATCH(Q1483,cat_SubK,0)),"SIN CATALOGAR"),"ÁREA DE PROCESO")</f>
        <v>SEP-02</v>
      </c>
      <c r="S1483" s="34" t="str">
        <f aca="false">IF(H1483="","SIN DATO",IFERROR(INDEX(cat_MarcaN,MATCH(H1483,cat_MarcaO,0)),H1483))</f>
        <v>ABB</v>
      </c>
      <c r="T1483" s="34" t="str">
        <f aca="false">IF(I1483="","SIN DATO",IFERROR(INDEX(cat_ModN,MATCH(I1483,cat_ModO,0)),I1483))</f>
        <v>REF615A_1G</v>
      </c>
      <c r="U1483" s="34" t="str">
        <f aca="false">IF(I1483="","",IFERROR(INDEX(cat_ModG,MATCH(I1483,cat_ModO,0)),"No"))</f>
        <v>No</v>
      </c>
      <c r="V1483" s="34" t="str">
        <f aca="false">IF(J1483="","SIN DATO",IFERROR(INDEX(cat_FunN,MATCH(J1483,cat_FunO,0)),J1483))</f>
        <v>Protección y medición</v>
      </c>
      <c r="W1483" s="34" t="str">
        <f aca="false">IF(OR(S1483="SIN DATO",T1483="SIN DATO"),"No","Sí")</f>
        <v>Sí</v>
      </c>
    </row>
    <row r="1484" customFormat="false" ht="15" hidden="false" customHeight="false" outlineLevel="0" collapsed="false">
      <c r="A1484" s="34" t="s">
        <v>5432</v>
      </c>
      <c r="B1484" s="34" t="s">
        <v>5433</v>
      </c>
      <c r="C1484" s="34" t="s">
        <v>5434</v>
      </c>
      <c r="D1484" s="34" t="s">
        <v>2372</v>
      </c>
      <c r="E1484" s="34" t="s">
        <v>184</v>
      </c>
      <c r="F1484" s="34" t="s">
        <v>1602</v>
      </c>
      <c r="G1484" s="34" t="s">
        <v>227</v>
      </c>
      <c r="H1484" s="34" t="s">
        <v>34</v>
      </c>
      <c r="I1484" s="34" t="s">
        <v>37</v>
      </c>
      <c r="J1484" s="34" t="s">
        <v>228</v>
      </c>
      <c r="K1484" s="34" t="s">
        <v>229</v>
      </c>
      <c r="L1484" s="34" t="s">
        <v>230</v>
      </c>
      <c r="M1484" s="34" t="s">
        <v>231</v>
      </c>
      <c r="N1484" s="34" t="str">
        <f aca="false">"Sector "&amp;VALUE(MID(D1484,13,2))</f>
        <v>Sector 8</v>
      </c>
      <c r="O1484" s="34" t="str">
        <f aca="false">IF(Dashboard!$C$5="Ubicación técnica",N1484,"Sector "&amp;VALUE(RIGHT(G1484,2)))</f>
        <v>Sector 8</v>
      </c>
      <c r="P1484" s="34" t="str">
        <f aca="false">IF(MID(D1484,15,3)="SEL","Subestación eléctrica","Área de proceso")</f>
        <v>Subestación eléctrica</v>
      </c>
      <c r="Q1484" s="34" t="str">
        <f aca="false">MID(D1484,13,5)&amp;"|"&amp;MID(D1484,19,5)</f>
        <v>08SEL|SEP02</v>
      </c>
      <c r="R1484" s="34" t="str">
        <f aca="false">IF(P1484="Subestación eléctrica",IFERROR(INDEX(cat_SubN,MATCH(Q1484,cat_SubK,0)),"SIN CATALOGAR"),"ÁREA DE PROCESO")</f>
        <v>SEP-02</v>
      </c>
      <c r="S1484" s="34" t="str">
        <f aca="false">IF(H1484="","SIN DATO",IFERROR(INDEX(cat_MarcaN,MATCH(H1484,cat_MarcaO,0)),H1484))</f>
        <v>ABB</v>
      </c>
      <c r="T1484" s="34" t="str">
        <f aca="false">IF(I1484="","SIN DATO",IFERROR(INDEX(cat_ModN,MATCH(I1484,cat_ModO,0)),I1484))</f>
        <v>REF615A_1G</v>
      </c>
      <c r="U1484" s="34" t="str">
        <f aca="false">IF(I1484="","",IFERROR(INDEX(cat_ModG,MATCH(I1484,cat_ModO,0)),"No"))</f>
        <v>No</v>
      </c>
      <c r="V1484" s="34" t="str">
        <f aca="false">IF(J1484="","SIN DATO",IFERROR(INDEX(cat_FunN,MATCH(J1484,cat_FunO,0)),J1484))</f>
        <v>Protección y medición</v>
      </c>
      <c r="W1484" s="34" t="str">
        <f aca="false">IF(OR(S1484="SIN DATO",T1484="SIN DATO"),"No","Sí")</f>
        <v>Sí</v>
      </c>
    </row>
    <row r="1485" customFormat="false" ht="15" hidden="false" customHeight="false" outlineLevel="0" collapsed="false">
      <c r="A1485" s="34" t="s">
        <v>5435</v>
      </c>
      <c r="B1485" s="34" t="s">
        <v>5436</v>
      </c>
      <c r="C1485" s="34" t="s">
        <v>5437</v>
      </c>
      <c r="D1485" s="34" t="s">
        <v>2158</v>
      </c>
      <c r="E1485" s="34" t="s">
        <v>184</v>
      </c>
      <c r="F1485" s="34" t="s">
        <v>1602</v>
      </c>
      <c r="G1485" s="34" t="s">
        <v>227</v>
      </c>
      <c r="H1485" s="34" t="s">
        <v>34</v>
      </c>
      <c r="I1485" s="34" t="s">
        <v>37</v>
      </c>
      <c r="J1485" s="34" t="s">
        <v>228</v>
      </c>
      <c r="K1485" s="34" t="s">
        <v>229</v>
      </c>
      <c r="L1485" s="34" t="s">
        <v>230</v>
      </c>
      <c r="M1485" s="34" t="s">
        <v>231</v>
      </c>
      <c r="N1485" s="34" t="str">
        <f aca="false">"Sector "&amp;VALUE(MID(D1485,13,2))</f>
        <v>Sector 8</v>
      </c>
      <c r="O1485" s="34" t="str">
        <f aca="false">IF(Dashboard!$C$5="Ubicación técnica",N1485,"Sector "&amp;VALUE(RIGHT(G1485,2)))</f>
        <v>Sector 8</v>
      </c>
      <c r="P1485" s="34" t="str">
        <f aca="false">IF(MID(D1485,15,3)="SEL","Subestación eléctrica","Área de proceso")</f>
        <v>Subestación eléctrica</v>
      </c>
      <c r="Q1485" s="34" t="str">
        <f aca="false">MID(D1485,13,5)&amp;"|"&amp;MID(D1485,19,5)</f>
        <v>08SEL|SEP02</v>
      </c>
      <c r="R1485" s="34" t="str">
        <f aca="false">IF(P1485="Subestación eléctrica",IFERROR(INDEX(cat_SubN,MATCH(Q1485,cat_SubK,0)),"SIN CATALOGAR"),"ÁREA DE PROCESO")</f>
        <v>SEP-02</v>
      </c>
      <c r="S1485" s="34" t="str">
        <f aca="false">IF(H1485="","SIN DATO",IFERROR(INDEX(cat_MarcaN,MATCH(H1485,cat_MarcaO,0)),H1485))</f>
        <v>ABB</v>
      </c>
      <c r="T1485" s="34" t="str">
        <f aca="false">IF(I1485="","SIN DATO",IFERROR(INDEX(cat_ModN,MATCH(I1485,cat_ModO,0)),I1485))</f>
        <v>REF615A_1G</v>
      </c>
      <c r="U1485" s="34" t="str">
        <f aca="false">IF(I1485="","",IFERROR(INDEX(cat_ModG,MATCH(I1485,cat_ModO,0)),"No"))</f>
        <v>No</v>
      </c>
      <c r="V1485" s="34" t="str">
        <f aca="false">IF(J1485="","SIN DATO",IFERROR(INDEX(cat_FunN,MATCH(J1485,cat_FunO,0)),J1485))</f>
        <v>Protección y medición</v>
      </c>
      <c r="W1485" s="34" t="str">
        <f aca="false">IF(OR(S1485="SIN DATO",T1485="SIN DATO"),"No","Sí")</f>
        <v>Sí</v>
      </c>
    </row>
    <row r="1486" customFormat="false" ht="15" hidden="false" customHeight="false" outlineLevel="0" collapsed="false">
      <c r="A1486" s="34" t="s">
        <v>5438</v>
      </c>
      <c r="B1486" s="34" t="s">
        <v>5439</v>
      </c>
      <c r="C1486" s="34" t="s">
        <v>5440</v>
      </c>
      <c r="D1486" s="34" t="s">
        <v>2337</v>
      </c>
      <c r="E1486" s="34" t="s">
        <v>184</v>
      </c>
      <c r="F1486" s="34" t="s">
        <v>1602</v>
      </c>
      <c r="G1486" s="34" t="s">
        <v>227</v>
      </c>
      <c r="H1486" s="34" t="s">
        <v>34</v>
      </c>
      <c r="I1486" s="34" t="s">
        <v>37</v>
      </c>
      <c r="J1486" s="34" t="s">
        <v>228</v>
      </c>
      <c r="K1486" s="34" t="s">
        <v>229</v>
      </c>
      <c r="L1486" s="34" t="s">
        <v>230</v>
      </c>
      <c r="M1486" s="34" t="s">
        <v>231</v>
      </c>
      <c r="N1486" s="34" t="str">
        <f aca="false">"Sector "&amp;VALUE(MID(D1486,13,2))</f>
        <v>Sector 8</v>
      </c>
      <c r="O1486" s="34" t="str">
        <f aca="false">IF(Dashboard!$C$5="Ubicación técnica",N1486,"Sector "&amp;VALUE(RIGHT(G1486,2)))</f>
        <v>Sector 8</v>
      </c>
      <c r="P1486" s="34" t="str">
        <f aca="false">IF(MID(D1486,15,3)="SEL","Subestación eléctrica","Área de proceso")</f>
        <v>Subestación eléctrica</v>
      </c>
      <c r="Q1486" s="34" t="str">
        <f aca="false">MID(D1486,13,5)&amp;"|"&amp;MID(D1486,19,5)</f>
        <v>08SEL|SEP02</v>
      </c>
      <c r="R1486" s="34" t="str">
        <f aca="false">IF(P1486="Subestación eléctrica",IFERROR(INDEX(cat_SubN,MATCH(Q1486,cat_SubK,0)),"SIN CATALOGAR"),"ÁREA DE PROCESO")</f>
        <v>SEP-02</v>
      </c>
      <c r="S1486" s="34" t="str">
        <f aca="false">IF(H1486="","SIN DATO",IFERROR(INDEX(cat_MarcaN,MATCH(H1486,cat_MarcaO,0)),H1486))</f>
        <v>ABB</v>
      </c>
      <c r="T1486" s="34" t="str">
        <f aca="false">IF(I1486="","SIN DATO",IFERROR(INDEX(cat_ModN,MATCH(I1486,cat_ModO,0)),I1486))</f>
        <v>REF615A_1G</v>
      </c>
      <c r="U1486" s="34" t="str">
        <f aca="false">IF(I1486="","",IFERROR(INDEX(cat_ModG,MATCH(I1486,cat_ModO,0)),"No"))</f>
        <v>No</v>
      </c>
      <c r="V1486" s="34" t="str">
        <f aca="false">IF(J1486="","SIN DATO",IFERROR(INDEX(cat_FunN,MATCH(J1486,cat_FunO,0)),J1486))</f>
        <v>Protección y medición</v>
      </c>
      <c r="W1486" s="34" t="str">
        <f aca="false">IF(OR(S1486="SIN DATO",T1486="SIN DATO"),"No","Sí")</f>
        <v>Sí</v>
      </c>
    </row>
    <row r="1487" customFormat="false" ht="15" hidden="false" customHeight="false" outlineLevel="0" collapsed="false">
      <c r="A1487" s="34" t="s">
        <v>5441</v>
      </c>
      <c r="B1487" s="34" t="s">
        <v>5442</v>
      </c>
      <c r="C1487" s="34" t="s">
        <v>5443</v>
      </c>
      <c r="D1487" s="34" t="s">
        <v>2293</v>
      </c>
      <c r="E1487" s="34" t="s">
        <v>184</v>
      </c>
      <c r="F1487" s="34" t="s">
        <v>1602</v>
      </c>
      <c r="G1487" s="34" t="s">
        <v>227</v>
      </c>
      <c r="H1487" s="34" t="s">
        <v>34</v>
      </c>
      <c r="I1487" s="34" t="s">
        <v>37</v>
      </c>
      <c r="J1487" s="34" t="s">
        <v>228</v>
      </c>
      <c r="K1487" s="34" t="s">
        <v>229</v>
      </c>
      <c r="L1487" s="34" t="s">
        <v>230</v>
      </c>
      <c r="M1487" s="34" t="s">
        <v>231</v>
      </c>
      <c r="N1487" s="34" t="str">
        <f aca="false">"Sector "&amp;VALUE(MID(D1487,13,2))</f>
        <v>Sector 8</v>
      </c>
      <c r="O1487" s="34" t="str">
        <f aca="false">IF(Dashboard!$C$5="Ubicación técnica",N1487,"Sector "&amp;VALUE(RIGHT(G1487,2)))</f>
        <v>Sector 8</v>
      </c>
      <c r="P1487" s="34" t="str">
        <f aca="false">IF(MID(D1487,15,3)="SEL","Subestación eléctrica","Área de proceso")</f>
        <v>Subestación eléctrica</v>
      </c>
      <c r="Q1487" s="34" t="str">
        <f aca="false">MID(D1487,13,5)&amp;"|"&amp;MID(D1487,19,5)</f>
        <v>08SEL|SEP02</v>
      </c>
      <c r="R1487" s="34" t="str">
        <f aca="false">IF(P1487="Subestación eléctrica",IFERROR(INDEX(cat_SubN,MATCH(Q1487,cat_SubK,0)),"SIN CATALOGAR"),"ÁREA DE PROCESO")</f>
        <v>SEP-02</v>
      </c>
      <c r="S1487" s="34" t="str">
        <f aca="false">IF(H1487="","SIN DATO",IFERROR(INDEX(cat_MarcaN,MATCH(H1487,cat_MarcaO,0)),H1487))</f>
        <v>ABB</v>
      </c>
      <c r="T1487" s="34" t="str">
        <f aca="false">IF(I1487="","SIN DATO",IFERROR(INDEX(cat_ModN,MATCH(I1487,cat_ModO,0)),I1487))</f>
        <v>REF615A_1G</v>
      </c>
      <c r="U1487" s="34" t="str">
        <f aca="false">IF(I1487="","",IFERROR(INDEX(cat_ModG,MATCH(I1487,cat_ModO,0)),"No"))</f>
        <v>No</v>
      </c>
      <c r="V1487" s="34" t="str">
        <f aca="false">IF(J1487="","SIN DATO",IFERROR(INDEX(cat_FunN,MATCH(J1487,cat_FunO,0)),J1487))</f>
        <v>Protección y medición</v>
      </c>
      <c r="W1487" s="34" t="str">
        <f aca="false">IF(OR(S1487="SIN DATO",T1487="SIN DATO"),"No","Sí")</f>
        <v>Sí</v>
      </c>
    </row>
    <row r="1488" customFormat="false" ht="15" hidden="false" customHeight="false" outlineLevel="0" collapsed="false">
      <c r="A1488" s="34" t="s">
        <v>5444</v>
      </c>
      <c r="B1488" s="34" t="s">
        <v>5445</v>
      </c>
      <c r="C1488" s="34" t="s">
        <v>5446</v>
      </c>
      <c r="D1488" s="34" t="s">
        <v>2344</v>
      </c>
      <c r="E1488" s="34" t="s">
        <v>184</v>
      </c>
      <c r="F1488" s="34" t="s">
        <v>1602</v>
      </c>
      <c r="G1488" s="34" t="s">
        <v>227</v>
      </c>
      <c r="H1488" s="34" t="s">
        <v>34</v>
      </c>
      <c r="I1488" s="34" t="s">
        <v>37</v>
      </c>
      <c r="J1488" s="34" t="s">
        <v>228</v>
      </c>
      <c r="K1488" s="34" t="s">
        <v>229</v>
      </c>
      <c r="L1488" s="34" t="s">
        <v>230</v>
      </c>
      <c r="M1488" s="34" t="s">
        <v>231</v>
      </c>
      <c r="N1488" s="34" t="str">
        <f aca="false">"Sector "&amp;VALUE(MID(D1488,13,2))</f>
        <v>Sector 8</v>
      </c>
      <c r="O1488" s="34" t="str">
        <f aca="false">IF(Dashboard!$C$5="Ubicación técnica",N1488,"Sector "&amp;VALUE(RIGHT(G1488,2)))</f>
        <v>Sector 8</v>
      </c>
      <c r="P1488" s="34" t="str">
        <f aca="false">IF(MID(D1488,15,3)="SEL","Subestación eléctrica","Área de proceso")</f>
        <v>Subestación eléctrica</v>
      </c>
      <c r="Q1488" s="34" t="str">
        <f aca="false">MID(D1488,13,5)&amp;"|"&amp;MID(D1488,19,5)</f>
        <v>08SEL|SEP02</v>
      </c>
      <c r="R1488" s="34" t="str">
        <f aca="false">IF(P1488="Subestación eléctrica",IFERROR(INDEX(cat_SubN,MATCH(Q1488,cat_SubK,0)),"SIN CATALOGAR"),"ÁREA DE PROCESO")</f>
        <v>SEP-02</v>
      </c>
      <c r="S1488" s="34" t="str">
        <f aca="false">IF(H1488="","SIN DATO",IFERROR(INDEX(cat_MarcaN,MATCH(H1488,cat_MarcaO,0)),H1488))</f>
        <v>ABB</v>
      </c>
      <c r="T1488" s="34" t="str">
        <f aca="false">IF(I1488="","SIN DATO",IFERROR(INDEX(cat_ModN,MATCH(I1488,cat_ModO,0)),I1488))</f>
        <v>REF615A_1G</v>
      </c>
      <c r="U1488" s="34" t="str">
        <f aca="false">IF(I1488="","",IFERROR(INDEX(cat_ModG,MATCH(I1488,cat_ModO,0)),"No"))</f>
        <v>No</v>
      </c>
      <c r="V1488" s="34" t="str">
        <f aca="false">IF(J1488="","SIN DATO",IFERROR(INDEX(cat_FunN,MATCH(J1488,cat_FunO,0)),J1488))</f>
        <v>Protección y medición</v>
      </c>
      <c r="W1488" s="34" t="str">
        <f aca="false">IF(OR(S1488="SIN DATO",T1488="SIN DATO"),"No","Sí")</f>
        <v>Sí</v>
      </c>
    </row>
    <row r="1489" customFormat="false" ht="15" hidden="false" customHeight="false" outlineLevel="0" collapsed="false">
      <c r="A1489" s="34" t="s">
        <v>5447</v>
      </c>
      <c r="B1489" s="34" t="s">
        <v>5448</v>
      </c>
      <c r="C1489" s="34" t="s">
        <v>5449</v>
      </c>
      <c r="D1489" s="34" t="s">
        <v>2145</v>
      </c>
      <c r="E1489" s="34" t="s">
        <v>184</v>
      </c>
      <c r="F1489" s="34" t="s">
        <v>1602</v>
      </c>
      <c r="G1489" s="34" t="s">
        <v>227</v>
      </c>
      <c r="H1489" s="34" t="s">
        <v>34</v>
      </c>
      <c r="I1489" s="34" t="s">
        <v>37</v>
      </c>
      <c r="J1489" s="34" t="s">
        <v>228</v>
      </c>
      <c r="K1489" s="34" t="s">
        <v>229</v>
      </c>
      <c r="L1489" s="34" t="s">
        <v>230</v>
      </c>
      <c r="M1489" s="34" t="s">
        <v>231</v>
      </c>
      <c r="N1489" s="34" t="str">
        <f aca="false">"Sector "&amp;VALUE(MID(D1489,13,2))</f>
        <v>Sector 8</v>
      </c>
      <c r="O1489" s="34" t="str">
        <f aca="false">IF(Dashboard!$C$5="Ubicación técnica",N1489,"Sector "&amp;VALUE(RIGHT(G1489,2)))</f>
        <v>Sector 8</v>
      </c>
      <c r="P1489" s="34" t="str">
        <f aca="false">IF(MID(D1489,15,3)="SEL","Subestación eléctrica","Área de proceso")</f>
        <v>Subestación eléctrica</v>
      </c>
      <c r="Q1489" s="34" t="str">
        <f aca="false">MID(D1489,13,5)&amp;"|"&amp;MID(D1489,19,5)</f>
        <v>08SEL|SEP02</v>
      </c>
      <c r="R1489" s="34" t="str">
        <f aca="false">IF(P1489="Subestación eléctrica",IFERROR(INDEX(cat_SubN,MATCH(Q1489,cat_SubK,0)),"SIN CATALOGAR"),"ÁREA DE PROCESO")</f>
        <v>SEP-02</v>
      </c>
      <c r="S1489" s="34" t="str">
        <f aca="false">IF(H1489="","SIN DATO",IFERROR(INDEX(cat_MarcaN,MATCH(H1489,cat_MarcaO,0)),H1489))</f>
        <v>ABB</v>
      </c>
      <c r="T1489" s="34" t="str">
        <f aca="false">IF(I1489="","SIN DATO",IFERROR(INDEX(cat_ModN,MATCH(I1489,cat_ModO,0)),I1489))</f>
        <v>REF615A_1G</v>
      </c>
      <c r="U1489" s="34" t="str">
        <f aca="false">IF(I1489="","",IFERROR(INDEX(cat_ModG,MATCH(I1489,cat_ModO,0)),"No"))</f>
        <v>No</v>
      </c>
      <c r="V1489" s="34" t="str">
        <f aca="false">IF(J1489="","SIN DATO",IFERROR(INDEX(cat_FunN,MATCH(J1489,cat_FunO,0)),J1489))</f>
        <v>Protección y medición</v>
      </c>
      <c r="W1489" s="34" t="str">
        <f aca="false">IF(OR(S1489="SIN DATO",T1489="SIN DATO"),"No","Sí")</f>
        <v>Sí</v>
      </c>
    </row>
    <row r="1490" customFormat="false" ht="15" hidden="false" customHeight="false" outlineLevel="0" collapsed="false">
      <c r="A1490" s="34" t="s">
        <v>5450</v>
      </c>
      <c r="B1490" s="34" t="s">
        <v>5451</v>
      </c>
      <c r="C1490" s="34" t="s">
        <v>5452</v>
      </c>
      <c r="D1490" s="34" t="s">
        <v>2337</v>
      </c>
      <c r="E1490" s="34" t="s">
        <v>184</v>
      </c>
      <c r="F1490" s="34" t="s">
        <v>1602</v>
      </c>
      <c r="G1490" s="34" t="s">
        <v>227</v>
      </c>
      <c r="H1490" s="34" t="s">
        <v>34</v>
      </c>
      <c r="I1490" s="34" t="s">
        <v>37</v>
      </c>
      <c r="J1490" s="34" t="s">
        <v>228</v>
      </c>
      <c r="K1490" s="34" t="s">
        <v>229</v>
      </c>
      <c r="L1490" s="34" t="s">
        <v>230</v>
      </c>
      <c r="M1490" s="34" t="s">
        <v>231</v>
      </c>
      <c r="N1490" s="34" t="str">
        <f aca="false">"Sector "&amp;VALUE(MID(D1490,13,2))</f>
        <v>Sector 8</v>
      </c>
      <c r="O1490" s="34" t="str">
        <f aca="false">IF(Dashboard!$C$5="Ubicación técnica",N1490,"Sector "&amp;VALUE(RIGHT(G1490,2)))</f>
        <v>Sector 8</v>
      </c>
      <c r="P1490" s="34" t="str">
        <f aca="false">IF(MID(D1490,15,3)="SEL","Subestación eléctrica","Área de proceso")</f>
        <v>Subestación eléctrica</v>
      </c>
      <c r="Q1490" s="34" t="str">
        <f aca="false">MID(D1490,13,5)&amp;"|"&amp;MID(D1490,19,5)</f>
        <v>08SEL|SEP02</v>
      </c>
      <c r="R1490" s="34" t="str">
        <f aca="false">IF(P1490="Subestación eléctrica",IFERROR(INDEX(cat_SubN,MATCH(Q1490,cat_SubK,0)),"SIN CATALOGAR"),"ÁREA DE PROCESO")</f>
        <v>SEP-02</v>
      </c>
      <c r="S1490" s="34" t="str">
        <f aca="false">IF(H1490="","SIN DATO",IFERROR(INDEX(cat_MarcaN,MATCH(H1490,cat_MarcaO,0)),H1490))</f>
        <v>ABB</v>
      </c>
      <c r="T1490" s="34" t="str">
        <f aca="false">IF(I1490="","SIN DATO",IFERROR(INDEX(cat_ModN,MATCH(I1490,cat_ModO,0)),I1490))</f>
        <v>REF615A_1G</v>
      </c>
      <c r="U1490" s="34" t="str">
        <f aca="false">IF(I1490="","",IFERROR(INDEX(cat_ModG,MATCH(I1490,cat_ModO,0)),"No"))</f>
        <v>No</v>
      </c>
      <c r="V1490" s="34" t="str">
        <f aca="false">IF(J1490="","SIN DATO",IFERROR(INDEX(cat_FunN,MATCH(J1490,cat_FunO,0)),J1490))</f>
        <v>Protección y medición</v>
      </c>
      <c r="W1490" s="34" t="str">
        <f aca="false">IF(OR(S1490="SIN DATO",T1490="SIN DATO"),"No","Sí")</f>
        <v>Sí</v>
      </c>
    </row>
    <row r="1491" customFormat="false" ht="15" hidden="false" customHeight="false" outlineLevel="0" collapsed="false">
      <c r="A1491" s="34" t="s">
        <v>5453</v>
      </c>
      <c r="B1491" s="34" t="s">
        <v>5454</v>
      </c>
      <c r="C1491" s="34" t="s">
        <v>5455</v>
      </c>
      <c r="D1491" s="34" t="s">
        <v>2293</v>
      </c>
      <c r="E1491" s="34" t="s">
        <v>184</v>
      </c>
      <c r="F1491" s="34" t="s">
        <v>1602</v>
      </c>
      <c r="G1491" s="34" t="s">
        <v>227</v>
      </c>
      <c r="H1491" s="34" t="s">
        <v>34</v>
      </c>
      <c r="I1491" s="34" t="s">
        <v>37</v>
      </c>
      <c r="J1491" s="34" t="s">
        <v>228</v>
      </c>
      <c r="K1491" s="34" t="s">
        <v>229</v>
      </c>
      <c r="L1491" s="34" t="s">
        <v>230</v>
      </c>
      <c r="M1491" s="34" t="s">
        <v>231</v>
      </c>
      <c r="N1491" s="34" t="str">
        <f aca="false">"Sector "&amp;VALUE(MID(D1491,13,2))</f>
        <v>Sector 8</v>
      </c>
      <c r="O1491" s="34" t="str">
        <f aca="false">IF(Dashboard!$C$5="Ubicación técnica",N1491,"Sector "&amp;VALUE(RIGHT(G1491,2)))</f>
        <v>Sector 8</v>
      </c>
      <c r="P1491" s="34" t="str">
        <f aca="false">IF(MID(D1491,15,3)="SEL","Subestación eléctrica","Área de proceso")</f>
        <v>Subestación eléctrica</v>
      </c>
      <c r="Q1491" s="34" t="str">
        <f aca="false">MID(D1491,13,5)&amp;"|"&amp;MID(D1491,19,5)</f>
        <v>08SEL|SEP02</v>
      </c>
      <c r="R1491" s="34" t="str">
        <f aca="false">IF(P1491="Subestación eléctrica",IFERROR(INDEX(cat_SubN,MATCH(Q1491,cat_SubK,0)),"SIN CATALOGAR"),"ÁREA DE PROCESO")</f>
        <v>SEP-02</v>
      </c>
      <c r="S1491" s="34" t="str">
        <f aca="false">IF(H1491="","SIN DATO",IFERROR(INDEX(cat_MarcaN,MATCH(H1491,cat_MarcaO,0)),H1491))</f>
        <v>ABB</v>
      </c>
      <c r="T1491" s="34" t="str">
        <f aca="false">IF(I1491="","SIN DATO",IFERROR(INDEX(cat_ModN,MATCH(I1491,cat_ModO,0)),I1491))</f>
        <v>REF615A_1G</v>
      </c>
      <c r="U1491" s="34" t="str">
        <f aca="false">IF(I1491="","",IFERROR(INDEX(cat_ModG,MATCH(I1491,cat_ModO,0)),"No"))</f>
        <v>No</v>
      </c>
      <c r="V1491" s="34" t="str">
        <f aca="false">IF(J1491="","SIN DATO",IFERROR(INDEX(cat_FunN,MATCH(J1491,cat_FunO,0)),J1491))</f>
        <v>Protección y medición</v>
      </c>
      <c r="W1491" s="34" t="str">
        <f aca="false">IF(OR(S1491="SIN DATO",T1491="SIN DATO"),"No","Sí")</f>
        <v>Sí</v>
      </c>
    </row>
    <row r="1492" customFormat="false" ht="15" hidden="false" customHeight="false" outlineLevel="0" collapsed="false">
      <c r="A1492" s="34" t="s">
        <v>5456</v>
      </c>
      <c r="B1492" s="34" t="s">
        <v>5457</v>
      </c>
      <c r="C1492" s="34" t="s">
        <v>5458</v>
      </c>
      <c r="D1492" s="34" t="s">
        <v>2344</v>
      </c>
      <c r="E1492" s="34" t="s">
        <v>184</v>
      </c>
      <c r="F1492" s="34" t="s">
        <v>1602</v>
      </c>
      <c r="G1492" s="34" t="s">
        <v>227</v>
      </c>
      <c r="H1492" s="34" t="s">
        <v>34</v>
      </c>
      <c r="I1492" s="34" t="s">
        <v>37</v>
      </c>
      <c r="J1492" s="34" t="s">
        <v>228</v>
      </c>
      <c r="K1492" s="34" t="s">
        <v>229</v>
      </c>
      <c r="L1492" s="34" t="s">
        <v>230</v>
      </c>
      <c r="M1492" s="34" t="s">
        <v>231</v>
      </c>
      <c r="N1492" s="34" t="str">
        <f aca="false">"Sector "&amp;VALUE(MID(D1492,13,2))</f>
        <v>Sector 8</v>
      </c>
      <c r="O1492" s="34" t="str">
        <f aca="false">IF(Dashboard!$C$5="Ubicación técnica",N1492,"Sector "&amp;VALUE(RIGHT(G1492,2)))</f>
        <v>Sector 8</v>
      </c>
      <c r="P1492" s="34" t="str">
        <f aca="false">IF(MID(D1492,15,3)="SEL","Subestación eléctrica","Área de proceso")</f>
        <v>Subestación eléctrica</v>
      </c>
      <c r="Q1492" s="34" t="str">
        <f aca="false">MID(D1492,13,5)&amp;"|"&amp;MID(D1492,19,5)</f>
        <v>08SEL|SEP02</v>
      </c>
      <c r="R1492" s="34" t="str">
        <f aca="false">IF(P1492="Subestación eléctrica",IFERROR(INDEX(cat_SubN,MATCH(Q1492,cat_SubK,0)),"SIN CATALOGAR"),"ÁREA DE PROCESO")</f>
        <v>SEP-02</v>
      </c>
      <c r="S1492" s="34" t="str">
        <f aca="false">IF(H1492="","SIN DATO",IFERROR(INDEX(cat_MarcaN,MATCH(H1492,cat_MarcaO,0)),H1492))</f>
        <v>ABB</v>
      </c>
      <c r="T1492" s="34" t="str">
        <f aca="false">IF(I1492="","SIN DATO",IFERROR(INDEX(cat_ModN,MATCH(I1492,cat_ModO,0)),I1492))</f>
        <v>REF615A_1G</v>
      </c>
      <c r="U1492" s="34" t="str">
        <f aca="false">IF(I1492="","",IFERROR(INDEX(cat_ModG,MATCH(I1492,cat_ModO,0)),"No"))</f>
        <v>No</v>
      </c>
      <c r="V1492" s="34" t="str">
        <f aca="false">IF(J1492="","SIN DATO",IFERROR(INDEX(cat_FunN,MATCH(J1492,cat_FunO,0)),J1492))</f>
        <v>Protección y medición</v>
      </c>
      <c r="W1492" s="34" t="str">
        <f aca="false">IF(OR(S1492="SIN DATO",T1492="SIN DATO"),"No","Sí")</f>
        <v>Sí</v>
      </c>
    </row>
    <row r="1493" customFormat="false" ht="15" hidden="false" customHeight="false" outlineLevel="0" collapsed="false">
      <c r="A1493" s="34" t="s">
        <v>5459</v>
      </c>
      <c r="B1493" s="34" t="s">
        <v>5460</v>
      </c>
      <c r="C1493" s="34" t="s">
        <v>5461</v>
      </c>
      <c r="D1493" s="34" t="s">
        <v>2145</v>
      </c>
      <c r="E1493" s="34" t="s">
        <v>184</v>
      </c>
      <c r="F1493" s="34" t="s">
        <v>1602</v>
      </c>
      <c r="G1493" s="34" t="s">
        <v>227</v>
      </c>
      <c r="H1493" s="34" t="s">
        <v>34</v>
      </c>
      <c r="I1493" s="34" t="s">
        <v>37</v>
      </c>
      <c r="J1493" s="34" t="s">
        <v>228</v>
      </c>
      <c r="K1493" s="34" t="s">
        <v>229</v>
      </c>
      <c r="L1493" s="34" t="s">
        <v>230</v>
      </c>
      <c r="M1493" s="34" t="s">
        <v>231</v>
      </c>
      <c r="N1493" s="34" t="str">
        <f aca="false">"Sector "&amp;VALUE(MID(D1493,13,2))</f>
        <v>Sector 8</v>
      </c>
      <c r="O1493" s="34" t="str">
        <f aca="false">IF(Dashboard!$C$5="Ubicación técnica",N1493,"Sector "&amp;VALUE(RIGHT(G1493,2)))</f>
        <v>Sector 8</v>
      </c>
      <c r="P1493" s="34" t="str">
        <f aca="false">IF(MID(D1493,15,3)="SEL","Subestación eléctrica","Área de proceso")</f>
        <v>Subestación eléctrica</v>
      </c>
      <c r="Q1493" s="34" t="str">
        <f aca="false">MID(D1493,13,5)&amp;"|"&amp;MID(D1493,19,5)</f>
        <v>08SEL|SEP02</v>
      </c>
      <c r="R1493" s="34" t="str">
        <f aca="false">IF(P1493="Subestación eléctrica",IFERROR(INDEX(cat_SubN,MATCH(Q1493,cat_SubK,0)),"SIN CATALOGAR"),"ÁREA DE PROCESO")</f>
        <v>SEP-02</v>
      </c>
      <c r="S1493" s="34" t="str">
        <f aca="false">IF(H1493="","SIN DATO",IFERROR(INDEX(cat_MarcaN,MATCH(H1493,cat_MarcaO,0)),H1493))</f>
        <v>ABB</v>
      </c>
      <c r="T1493" s="34" t="str">
        <f aca="false">IF(I1493="","SIN DATO",IFERROR(INDEX(cat_ModN,MATCH(I1493,cat_ModO,0)),I1493))</f>
        <v>REF615A_1G</v>
      </c>
      <c r="U1493" s="34" t="str">
        <f aca="false">IF(I1493="","",IFERROR(INDEX(cat_ModG,MATCH(I1493,cat_ModO,0)),"No"))</f>
        <v>No</v>
      </c>
      <c r="V1493" s="34" t="str">
        <f aca="false">IF(J1493="","SIN DATO",IFERROR(INDEX(cat_FunN,MATCH(J1493,cat_FunO,0)),J1493))</f>
        <v>Protección y medición</v>
      </c>
      <c r="W1493" s="34" t="str">
        <f aca="false">IF(OR(S1493="SIN DATO",T1493="SIN DATO"),"No","Sí")</f>
        <v>Sí</v>
      </c>
    </row>
    <row r="1494" customFormat="false" ht="15" hidden="false" customHeight="false" outlineLevel="0" collapsed="false">
      <c r="A1494" s="34" t="s">
        <v>5462</v>
      </c>
      <c r="B1494" s="34" t="s">
        <v>5463</v>
      </c>
      <c r="C1494" s="34" t="s">
        <v>5464</v>
      </c>
      <c r="D1494" s="34" t="s">
        <v>2150</v>
      </c>
      <c r="E1494" s="34" t="s">
        <v>184</v>
      </c>
      <c r="F1494" s="34" t="s">
        <v>1602</v>
      </c>
      <c r="G1494" s="34" t="s">
        <v>227</v>
      </c>
      <c r="H1494" s="34" t="s">
        <v>34</v>
      </c>
      <c r="I1494" s="34" t="s">
        <v>37</v>
      </c>
      <c r="J1494" s="34" t="s">
        <v>228</v>
      </c>
      <c r="K1494" s="34" t="s">
        <v>229</v>
      </c>
      <c r="L1494" s="34" t="s">
        <v>230</v>
      </c>
      <c r="M1494" s="34" t="s">
        <v>231</v>
      </c>
      <c r="N1494" s="34" t="str">
        <f aca="false">"Sector "&amp;VALUE(MID(D1494,13,2))</f>
        <v>Sector 8</v>
      </c>
      <c r="O1494" s="34" t="str">
        <f aca="false">IF(Dashboard!$C$5="Ubicación técnica",N1494,"Sector "&amp;VALUE(RIGHT(G1494,2)))</f>
        <v>Sector 8</v>
      </c>
      <c r="P1494" s="34" t="str">
        <f aca="false">IF(MID(D1494,15,3)="SEL","Subestación eléctrica","Área de proceso")</f>
        <v>Subestación eléctrica</v>
      </c>
      <c r="Q1494" s="34" t="str">
        <f aca="false">MID(D1494,13,5)&amp;"|"&amp;MID(D1494,19,5)</f>
        <v>08SEL|SEP02</v>
      </c>
      <c r="R1494" s="34" t="str">
        <f aca="false">IF(P1494="Subestación eléctrica",IFERROR(INDEX(cat_SubN,MATCH(Q1494,cat_SubK,0)),"SIN CATALOGAR"),"ÁREA DE PROCESO")</f>
        <v>SEP-02</v>
      </c>
      <c r="S1494" s="34" t="str">
        <f aca="false">IF(H1494="","SIN DATO",IFERROR(INDEX(cat_MarcaN,MATCH(H1494,cat_MarcaO,0)),H1494))</f>
        <v>ABB</v>
      </c>
      <c r="T1494" s="34" t="str">
        <f aca="false">IF(I1494="","SIN DATO",IFERROR(INDEX(cat_ModN,MATCH(I1494,cat_ModO,0)),I1494))</f>
        <v>REF615A_1G</v>
      </c>
      <c r="U1494" s="34" t="str">
        <f aca="false">IF(I1494="","",IFERROR(INDEX(cat_ModG,MATCH(I1494,cat_ModO,0)),"No"))</f>
        <v>No</v>
      </c>
      <c r="V1494" s="34" t="str">
        <f aca="false">IF(J1494="","SIN DATO",IFERROR(INDEX(cat_FunN,MATCH(J1494,cat_FunO,0)),J1494))</f>
        <v>Protección y medición</v>
      </c>
      <c r="W1494" s="34" t="str">
        <f aca="false">IF(OR(S1494="SIN DATO",T1494="SIN DATO"),"No","Sí")</f>
        <v>Sí</v>
      </c>
    </row>
    <row r="1495" customFormat="false" ht="15" hidden="false" customHeight="false" outlineLevel="0" collapsed="false">
      <c r="A1495" s="34" t="s">
        <v>5465</v>
      </c>
      <c r="B1495" s="34" t="s">
        <v>5466</v>
      </c>
      <c r="C1495" s="34" t="s">
        <v>5467</v>
      </c>
      <c r="D1495" s="34" t="s">
        <v>2154</v>
      </c>
      <c r="E1495" s="34" t="s">
        <v>184</v>
      </c>
      <c r="F1495" s="34" t="s">
        <v>1602</v>
      </c>
      <c r="G1495" s="34" t="s">
        <v>227</v>
      </c>
      <c r="H1495" s="34" t="s">
        <v>34</v>
      </c>
      <c r="I1495" s="34" t="s">
        <v>37</v>
      </c>
      <c r="J1495" s="34" t="s">
        <v>228</v>
      </c>
      <c r="K1495" s="34" t="s">
        <v>229</v>
      </c>
      <c r="L1495" s="34" t="s">
        <v>230</v>
      </c>
      <c r="M1495" s="34" t="s">
        <v>231</v>
      </c>
      <c r="N1495" s="34" t="str">
        <f aca="false">"Sector "&amp;VALUE(MID(D1495,13,2))</f>
        <v>Sector 8</v>
      </c>
      <c r="O1495" s="34" t="str">
        <f aca="false">IF(Dashboard!$C$5="Ubicación técnica",N1495,"Sector "&amp;VALUE(RIGHT(G1495,2)))</f>
        <v>Sector 8</v>
      </c>
      <c r="P1495" s="34" t="str">
        <f aca="false">IF(MID(D1495,15,3)="SEL","Subestación eléctrica","Área de proceso")</f>
        <v>Subestación eléctrica</v>
      </c>
      <c r="Q1495" s="34" t="str">
        <f aca="false">MID(D1495,13,5)&amp;"|"&amp;MID(D1495,19,5)</f>
        <v>08SEL|SEP02</v>
      </c>
      <c r="R1495" s="34" t="str">
        <f aca="false">IF(P1495="Subestación eléctrica",IFERROR(INDEX(cat_SubN,MATCH(Q1495,cat_SubK,0)),"SIN CATALOGAR"),"ÁREA DE PROCESO")</f>
        <v>SEP-02</v>
      </c>
      <c r="S1495" s="34" t="str">
        <f aca="false">IF(H1495="","SIN DATO",IFERROR(INDEX(cat_MarcaN,MATCH(H1495,cat_MarcaO,0)),H1495))</f>
        <v>ABB</v>
      </c>
      <c r="T1495" s="34" t="str">
        <f aca="false">IF(I1495="","SIN DATO",IFERROR(INDEX(cat_ModN,MATCH(I1495,cat_ModO,0)),I1495))</f>
        <v>REF615A_1G</v>
      </c>
      <c r="U1495" s="34" t="str">
        <f aca="false">IF(I1495="","",IFERROR(INDEX(cat_ModG,MATCH(I1495,cat_ModO,0)),"No"))</f>
        <v>No</v>
      </c>
      <c r="V1495" s="34" t="str">
        <f aca="false">IF(J1495="","SIN DATO",IFERROR(INDEX(cat_FunN,MATCH(J1495,cat_FunO,0)),J1495))</f>
        <v>Protección y medición</v>
      </c>
      <c r="W1495" s="34" t="str">
        <f aca="false">IF(OR(S1495="SIN DATO",T1495="SIN DATO"),"No","Sí")</f>
        <v>Sí</v>
      </c>
    </row>
    <row r="1496" customFormat="false" ht="15" hidden="false" customHeight="false" outlineLevel="0" collapsed="false">
      <c r="A1496" s="34" t="s">
        <v>5468</v>
      </c>
      <c r="B1496" s="34" t="s">
        <v>5469</v>
      </c>
      <c r="C1496" s="34" t="s">
        <v>5470</v>
      </c>
      <c r="D1496" s="34" t="s">
        <v>2372</v>
      </c>
      <c r="E1496" s="34" t="s">
        <v>184</v>
      </c>
      <c r="F1496" s="34" t="s">
        <v>1602</v>
      </c>
      <c r="G1496" s="34" t="s">
        <v>227</v>
      </c>
      <c r="H1496" s="34" t="s">
        <v>34</v>
      </c>
      <c r="I1496" s="34" t="s">
        <v>37</v>
      </c>
      <c r="J1496" s="34" t="s">
        <v>228</v>
      </c>
      <c r="K1496" s="34" t="s">
        <v>229</v>
      </c>
      <c r="L1496" s="34" t="s">
        <v>230</v>
      </c>
      <c r="M1496" s="34" t="s">
        <v>231</v>
      </c>
      <c r="N1496" s="34" t="str">
        <f aca="false">"Sector "&amp;VALUE(MID(D1496,13,2))</f>
        <v>Sector 8</v>
      </c>
      <c r="O1496" s="34" t="str">
        <f aca="false">IF(Dashboard!$C$5="Ubicación técnica",N1496,"Sector "&amp;VALUE(RIGHT(G1496,2)))</f>
        <v>Sector 8</v>
      </c>
      <c r="P1496" s="34" t="str">
        <f aca="false">IF(MID(D1496,15,3)="SEL","Subestación eléctrica","Área de proceso")</f>
        <v>Subestación eléctrica</v>
      </c>
      <c r="Q1496" s="34" t="str">
        <f aca="false">MID(D1496,13,5)&amp;"|"&amp;MID(D1496,19,5)</f>
        <v>08SEL|SEP02</v>
      </c>
      <c r="R1496" s="34" t="str">
        <f aca="false">IF(P1496="Subestación eléctrica",IFERROR(INDEX(cat_SubN,MATCH(Q1496,cat_SubK,0)),"SIN CATALOGAR"),"ÁREA DE PROCESO")</f>
        <v>SEP-02</v>
      </c>
      <c r="S1496" s="34" t="str">
        <f aca="false">IF(H1496="","SIN DATO",IFERROR(INDEX(cat_MarcaN,MATCH(H1496,cat_MarcaO,0)),H1496))</f>
        <v>ABB</v>
      </c>
      <c r="T1496" s="34" t="str">
        <f aca="false">IF(I1496="","SIN DATO",IFERROR(INDEX(cat_ModN,MATCH(I1496,cat_ModO,0)),I1496))</f>
        <v>REF615A_1G</v>
      </c>
      <c r="U1496" s="34" t="str">
        <f aca="false">IF(I1496="","",IFERROR(INDEX(cat_ModG,MATCH(I1496,cat_ModO,0)),"No"))</f>
        <v>No</v>
      </c>
      <c r="V1496" s="34" t="str">
        <f aca="false">IF(J1496="","SIN DATO",IFERROR(INDEX(cat_FunN,MATCH(J1496,cat_FunO,0)),J1496))</f>
        <v>Protección y medición</v>
      </c>
      <c r="W1496" s="34" t="str">
        <f aca="false">IF(OR(S1496="SIN DATO",T1496="SIN DATO"),"No","Sí")</f>
        <v>Sí</v>
      </c>
    </row>
    <row r="1497" customFormat="false" ht="15" hidden="false" customHeight="false" outlineLevel="0" collapsed="false">
      <c r="A1497" s="34" t="s">
        <v>5471</v>
      </c>
      <c r="B1497" s="34" t="s">
        <v>5472</v>
      </c>
      <c r="C1497" s="34" t="s">
        <v>5473</v>
      </c>
      <c r="D1497" s="34" t="s">
        <v>2158</v>
      </c>
      <c r="E1497" s="34" t="s">
        <v>184</v>
      </c>
      <c r="F1497" s="34" t="s">
        <v>1602</v>
      </c>
      <c r="G1497" s="34" t="s">
        <v>227</v>
      </c>
      <c r="H1497" s="34" t="s">
        <v>34</v>
      </c>
      <c r="I1497" s="34" t="s">
        <v>37</v>
      </c>
      <c r="J1497" s="34" t="s">
        <v>228</v>
      </c>
      <c r="K1497" s="34" t="s">
        <v>229</v>
      </c>
      <c r="L1497" s="34" t="s">
        <v>230</v>
      </c>
      <c r="M1497" s="34" t="s">
        <v>231</v>
      </c>
      <c r="N1497" s="34" t="str">
        <f aca="false">"Sector "&amp;VALUE(MID(D1497,13,2))</f>
        <v>Sector 8</v>
      </c>
      <c r="O1497" s="34" t="str">
        <f aca="false">IF(Dashboard!$C$5="Ubicación técnica",N1497,"Sector "&amp;VALUE(RIGHT(G1497,2)))</f>
        <v>Sector 8</v>
      </c>
      <c r="P1497" s="34" t="str">
        <f aca="false">IF(MID(D1497,15,3)="SEL","Subestación eléctrica","Área de proceso")</f>
        <v>Subestación eléctrica</v>
      </c>
      <c r="Q1497" s="34" t="str">
        <f aca="false">MID(D1497,13,5)&amp;"|"&amp;MID(D1497,19,5)</f>
        <v>08SEL|SEP02</v>
      </c>
      <c r="R1497" s="34" t="str">
        <f aca="false">IF(P1497="Subestación eléctrica",IFERROR(INDEX(cat_SubN,MATCH(Q1497,cat_SubK,0)),"SIN CATALOGAR"),"ÁREA DE PROCESO")</f>
        <v>SEP-02</v>
      </c>
      <c r="S1497" s="34" t="str">
        <f aca="false">IF(H1497="","SIN DATO",IFERROR(INDEX(cat_MarcaN,MATCH(H1497,cat_MarcaO,0)),H1497))</f>
        <v>ABB</v>
      </c>
      <c r="T1497" s="34" t="str">
        <f aca="false">IF(I1497="","SIN DATO",IFERROR(INDEX(cat_ModN,MATCH(I1497,cat_ModO,0)),I1497))</f>
        <v>REF615A_1G</v>
      </c>
      <c r="U1497" s="34" t="str">
        <f aca="false">IF(I1497="","",IFERROR(INDEX(cat_ModG,MATCH(I1497,cat_ModO,0)),"No"))</f>
        <v>No</v>
      </c>
      <c r="V1497" s="34" t="str">
        <f aca="false">IF(J1497="","SIN DATO",IFERROR(INDEX(cat_FunN,MATCH(J1497,cat_FunO,0)),J1497))</f>
        <v>Protección y medición</v>
      </c>
      <c r="W1497" s="34" t="str">
        <f aca="false">IF(OR(S1497="SIN DATO",T1497="SIN DATO"),"No","Sí")</f>
        <v>Sí</v>
      </c>
    </row>
    <row r="1498" customFormat="false" ht="15" hidden="false" customHeight="false" outlineLevel="0" collapsed="false">
      <c r="A1498" s="34" t="s">
        <v>5474</v>
      </c>
      <c r="B1498" s="34" t="s">
        <v>5475</v>
      </c>
      <c r="C1498" s="34" t="s">
        <v>5476</v>
      </c>
      <c r="D1498" s="34" t="s">
        <v>2337</v>
      </c>
      <c r="E1498" s="34" t="s">
        <v>184</v>
      </c>
      <c r="F1498" s="34" t="s">
        <v>1602</v>
      </c>
      <c r="G1498" s="34" t="s">
        <v>227</v>
      </c>
      <c r="H1498" s="34" t="s">
        <v>34</v>
      </c>
      <c r="I1498" s="34" t="s">
        <v>37</v>
      </c>
      <c r="J1498" s="34" t="s">
        <v>228</v>
      </c>
      <c r="K1498" s="34" t="s">
        <v>229</v>
      </c>
      <c r="L1498" s="34" t="s">
        <v>230</v>
      </c>
      <c r="M1498" s="34" t="s">
        <v>231</v>
      </c>
      <c r="N1498" s="34" t="str">
        <f aca="false">"Sector "&amp;VALUE(MID(D1498,13,2))</f>
        <v>Sector 8</v>
      </c>
      <c r="O1498" s="34" t="str">
        <f aca="false">IF(Dashboard!$C$5="Ubicación técnica",N1498,"Sector "&amp;VALUE(RIGHT(G1498,2)))</f>
        <v>Sector 8</v>
      </c>
      <c r="P1498" s="34" t="str">
        <f aca="false">IF(MID(D1498,15,3)="SEL","Subestación eléctrica","Área de proceso")</f>
        <v>Subestación eléctrica</v>
      </c>
      <c r="Q1498" s="34" t="str">
        <f aca="false">MID(D1498,13,5)&amp;"|"&amp;MID(D1498,19,5)</f>
        <v>08SEL|SEP02</v>
      </c>
      <c r="R1498" s="34" t="str">
        <f aca="false">IF(P1498="Subestación eléctrica",IFERROR(INDEX(cat_SubN,MATCH(Q1498,cat_SubK,0)),"SIN CATALOGAR"),"ÁREA DE PROCESO")</f>
        <v>SEP-02</v>
      </c>
      <c r="S1498" s="34" t="str">
        <f aca="false">IF(H1498="","SIN DATO",IFERROR(INDEX(cat_MarcaN,MATCH(H1498,cat_MarcaO,0)),H1498))</f>
        <v>ABB</v>
      </c>
      <c r="T1498" s="34" t="str">
        <f aca="false">IF(I1498="","SIN DATO",IFERROR(INDEX(cat_ModN,MATCH(I1498,cat_ModO,0)),I1498))</f>
        <v>REF615A_1G</v>
      </c>
      <c r="U1498" s="34" t="str">
        <f aca="false">IF(I1498="","",IFERROR(INDEX(cat_ModG,MATCH(I1498,cat_ModO,0)),"No"))</f>
        <v>No</v>
      </c>
      <c r="V1498" s="34" t="str">
        <f aca="false">IF(J1498="","SIN DATO",IFERROR(INDEX(cat_FunN,MATCH(J1498,cat_FunO,0)),J1498))</f>
        <v>Protección y medición</v>
      </c>
      <c r="W1498" s="34" t="str">
        <f aca="false">IF(OR(S1498="SIN DATO",T1498="SIN DATO"),"No","Sí")</f>
        <v>Sí</v>
      </c>
    </row>
    <row r="1499" customFormat="false" ht="15" hidden="false" customHeight="false" outlineLevel="0" collapsed="false">
      <c r="A1499" s="34" t="s">
        <v>5477</v>
      </c>
      <c r="B1499" s="34" t="s">
        <v>5478</v>
      </c>
      <c r="C1499" s="34" t="s">
        <v>5479</v>
      </c>
      <c r="D1499" s="34" t="s">
        <v>2293</v>
      </c>
      <c r="E1499" s="34" t="s">
        <v>184</v>
      </c>
      <c r="F1499" s="34" t="s">
        <v>1602</v>
      </c>
      <c r="G1499" s="34" t="s">
        <v>227</v>
      </c>
      <c r="H1499" s="34" t="s">
        <v>34</v>
      </c>
      <c r="I1499" s="34" t="s">
        <v>37</v>
      </c>
      <c r="J1499" s="34" t="s">
        <v>228</v>
      </c>
      <c r="K1499" s="34" t="s">
        <v>229</v>
      </c>
      <c r="L1499" s="34" t="s">
        <v>230</v>
      </c>
      <c r="M1499" s="34" t="s">
        <v>231</v>
      </c>
      <c r="N1499" s="34" t="str">
        <f aca="false">"Sector "&amp;VALUE(MID(D1499,13,2))</f>
        <v>Sector 8</v>
      </c>
      <c r="O1499" s="34" t="str">
        <f aca="false">IF(Dashboard!$C$5="Ubicación técnica",N1499,"Sector "&amp;VALUE(RIGHT(G1499,2)))</f>
        <v>Sector 8</v>
      </c>
      <c r="P1499" s="34" t="str">
        <f aca="false">IF(MID(D1499,15,3)="SEL","Subestación eléctrica","Área de proceso")</f>
        <v>Subestación eléctrica</v>
      </c>
      <c r="Q1499" s="34" t="str">
        <f aca="false">MID(D1499,13,5)&amp;"|"&amp;MID(D1499,19,5)</f>
        <v>08SEL|SEP02</v>
      </c>
      <c r="R1499" s="34" t="str">
        <f aca="false">IF(P1499="Subestación eléctrica",IFERROR(INDEX(cat_SubN,MATCH(Q1499,cat_SubK,0)),"SIN CATALOGAR"),"ÁREA DE PROCESO")</f>
        <v>SEP-02</v>
      </c>
      <c r="S1499" s="34" t="str">
        <f aca="false">IF(H1499="","SIN DATO",IFERROR(INDEX(cat_MarcaN,MATCH(H1499,cat_MarcaO,0)),H1499))</f>
        <v>ABB</v>
      </c>
      <c r="T1499" s="34" t="str">
        <f aca="false">IF(I1499="","SIN DATO",IFERROR(INDEX(cat_ModN,MATCH(I1499,cat_ModO,0)),I1499))</f>
        <v>REF615A_1G</v>
      </c>
      <c r="U1499" s="34" t="str">
        <f aca="false">IF(I1499="","",IFERROR(INDEX(cat_ModG,MATCH(I1499,cat_ModO,0)),"No"))</f>
        <v>No</v>
      </c>
      <c r="V1499" s="34" t="str">
        <f aca="false">IF(J1499="","SIN DATO",IFERROR(INDEX(cat_FunN,MATCH(J1499,cat_FunO,0)),J1499))</f>
        <v>Protección y medición</v>
      </c>
      <c r="W1499" s="34" t="str">
        <f aca="false">IF(OR(S1499="SIN DATO",T1499="SIN DATO"),"No","Sí")</f>
        <v>Sí</v>
      </c>
    </row>
    <row r="1500" customFormat="false" ht="15" hidden="false" customHeight="false" outlineLevel="0" collapsed="false">
      <c r="A1500" s="34" t="s">
        <v>5480</v>
      </c>
      <c r="B1500" s="34" t="s">
        <v>5481</v>
      </c>
      <c r="C1500" s="34" t="s">
        <v>5482</v>
      </c>
      <c r="D1500" s="34" t="s">
        <v>2344</v>
      </c>
      <c r="E1500" s="34" t="s">
        <v>184</v>
      </c>
      <c r="F1500" s="34" t="s">
        <v>1602</v>
      </c>
      <c r="G1500" s="34" t="s">
        <v>227</v>
      </c>
      <c r="H1500" s="34" t="s">
        <v>34</v>
      </c>
      <c r="I1500" s="34" t="s">
        <v>37</v>
      </c>
      <c r="J1500" s="34" t="s">
        <v>228</v>
      </c>
      <c r="K1500" s="34" t="s">
        <v>229</v>
      </c>
      <c r="L1500" s="34" t="s">
        <v>230</v>
      </c>
      <c r="M1500" s="34" t="s">
        <v>231</v>
      </c>
      <c r="N1500" s="34" t="str">
        <f aca="false">"Sector "&amp;VALUE(MID(D1500,13,2))</f>
        <v>Sector 8</v>
      </c>
      <c r="O1500" s="34" t="str">
        <f aca="false">IF(Dashboard!$C$5="Ubicación técnica",N1500,"Sector "&amp;VALUE(RIGHT(G1500,2)))</f>
        <v>Sector 8</v>
      </c>
      <c r="P1500" s="34" t="str">
        <f aca="false">IF(MID(D1500,15,3)="SEL","Subestación eléctrica","Área de proceso")</f>
        <v>Subestación eléctrica</v>
      </c>
      <c r="Q1500" s="34" t="str">
        <f aca="false">MID(D1500,13,5)&amp;"|"&amp;MID(D1500,19,5)</f>
        <v>08SEL|SEP02</v>
      </c>
      <c r="R1500" s="34" t="str">
        <f aca="false">IF(P1500="Subestación eléctrica",IFERROR(INDEX(cat_SubN,MATCH(Q1500,cat_SubK,0)),"SIN CATALOGAR"),"ÁREA DE PROCESO")</f>
        <v>SEP-02</v>
      </c>
      <c r="S1500" s="34" t="str">
        <f aca="false">IF(H1500="","SIN DATO",IFERROR(INDEX(cat_MarcaN,MATCH(H1500,cat_MarcaO,0)),H1500))</f>
        <v>ABB</v>
      </c>
      <c r="T1500" s="34" t="str">
        <f aca="false">IF(I1500="","SIN DATO",IFERROR(INDEX(cat_ModN,MATCH(I1500,cat_ModO,0)),I1500))</f>
        <v>REF615A_1G</v>
      </c>
      <c r="U1500" s="34" t="str">
        <f aca="false">IF(I1500="","",IFERROR(INDEX(cat_ModG,MATCH(I1500,cat_ModO,0)),"No"))</f>
        <v>No</v>
      </c>
      <c r="V1500" s="34" t="str">
        <f aca="false">IF(J1500="","SIN DATO",IFERROR(INDEX(cat_FunN,MATCH(J1500,cat_FunO,0)),J1500))</f>
        <v>Protección y medición</v>
      </c>
      <c r="W1500" s="34" t="str">
        <f aca="false">IF(OR(S1500="SIN DATO",T1500="SIN DATO"),"No","Sí")</f>
        <v>Sí</v>
      </c>
    </row>
    <row r="1501" customFormat="false" ht="15" hidden="false" customHeight="false" outlineLevel="0" collapsed="false">
      <c r="A1501" s="34" t="s">
        <v>5483</v>
      </c>
      <c r="B1501" s="34" t="s">
        <v>5484</v>
      </c>
      <c r="C1501" s="34" t="s">
        <v>5485</v>
      </c>
      <c r="D1501" s="34" t="s">
        <v>2145</v>
      </c>
      <c r="E1501" s="34" t="s">
        <v>184</v>
      </c>
      <c r="F1501" s="34" t="s">
        <v>1602</v>
      </c>
      <c r="G1501" s="34" t="s">
        <v>227</v>
      </c>
      <c r="H1501" s="34" t="s">
        <v>34</v>
      </c>
      <c r="I1501" s="34" t="s">
        <v>37</v>
      </c>
      <c r="J1501" s="34" t="s">
        <v>228</v>
      </c>
      <c r="K1501" s="34" t="s">
        <v>229</v>
      </c>
      <c r="L1501" s="34" t="s">
        <v>230</v>
      </c>
      <c r="M1501" s="34" t="s">
        <v>231</v>
      </c>
      <c r="N1501" s="34" t="str">
        <f aca="false">"Sector "&amp;VALUE(MID(D1501,13,2))</f>
        <v>Sector 8</v>
      </c>
      <c r="O1501" s="34" t="str">
        <f aca="false">IF(Dashboard!$C$5="Ubicación técnica",N1501,"Sector "&amp;VALUE(RIGHT(G1501,2)))</f>
        <v>Sector 8</v>
      </c>
      <c r="P1501" s="34" t="str">
        <f aca="false">IF(MID(D1501,15,3)="SEL","Subestación eléctrica","Área de proceso")</f>
        <v>Subestación eléctrica</v>
      </c>
      <c r="Q1501" s="34" t="str">
        <f aca="false">MID(D1501,13,5)&amp;"|"&amp;MID(D1501,19,5)</f>
        <v>08SEL|SEP02</v>
      </c>
      <c r="R1501" s="34" t="str">
        <f aca="false">IF(P1501="Subestación eléctrica",IFERROR(INDEX(cat_SubN,MATCH(Q1501,cat_SubK,0)),"SIN CATALOGAR"),"ÁREA DE PROCESO")</f>
        <v>SEP-02</v>
      </c>
      <c r="S1501" s="34" t="str">
        <f aca="false">IF(H1501="","SIN DATO",IFERROR(INDEX(cat_MarcaN,MATCH(H1501,cat_MarcaO,0)),H1501))</f>
        <v>ABB</v>
      </c>
      <c r="T1501" s="34" t="str">
        <f aca="false">IF(I1501="","SIN DATO",IFERROR(INDEX(cat_ModN,MATCH(I1501,cat_ModO,0)),I1501))</f>
        <v>REF615A_1G</v>
      </c>
      <c r="U1501" s="34" t="str">
        <f aca="false">IF(I1501="","",IFERROR(INDEX(cat_ModG,MATCH(I1501,cat_ModO,0)),"No"))</f>
        <v>No</v>
      </c>
      <c r="V1501" s="34" t="str">
        <f aca="false">IF(J1501="","SIN DATO",IFERROR(INDEX(cat_FunN,MATCH(J1501,cat_FunO,0)),J1501))</f>
        <v>Protección y medición</v>
      </c>
      <c r="W1501" s="34" t="str">
        <f aca="false">IF(OR(S1501="SIN DATO",T1501="SIN DATO"),"No","Sí")</f>
        <v>Sí</v>
      </c>
    </row>
    <row r="1502" customFormat="false" ht="15" hidden="false" customHeight="false" outlineLevel="0" collapsed="false">
      <c r="A1502" s="34" t="s">
        <v>5486</v>
      </c>
      <c r="B1502" s="34" t="s">
        <v>5487</v>
      </c>
      <c r="C1502" s="34" t="s">
        <v>5488</v>
      </c>
      <c r="D1502" s="34" t="s">
        <v>2154</v>
      </c>
      <c r="E1502" s="34" t="s">
        <v>184</v>
      </c>
      <c r="F1502" s="34" t="s">
        <v>1602</v>
      </c>
      <c r="G1502" s="34" t="s">
        <v>227</v>
      </c>
      <c r="H1502" s="34" t="s">
        <v>34</v>
      </c>
      <c r="I1502" s="34" t="s">
        <v>37</v>
      </c>
      <c r="J1502" s="34" t="s">
        <v>228</v>
      </c>
      <c r="K1502" s="34" t="s">
        <v>229</v>
      </c>
      <c r="L1502" s="34" t="s">
        <v>230</v>
      </c>
      <c r="M1502" s="34" t="s">
        <v>231</v>
      </c>
      <c r="N1502" s="34" t="str">
        <f aca="false">"Sector "&amp;VALUE(MID(D1502,13,2))</f>
        <v>Sector 8</v>
      </c>
      <c r="O1502" s="34" t="str">
        <f aca="false">IF(Dashboard!$C$5="Ubicación técnica",N1502,"Sector "&amp;VALUE(RIGHT(G1502,2)))</f>
        <v>Sector 8</v>
      </c>
      <c r="P1502" s="34" t="str">
        <f aca="false">IF(MID(D1502,15,3)="SEL","Subestación eléctrica","Área de proceso")</f>
        <v>Subestación eléctrica</v>
      </c>
      <c r="Q1502" s="34" t="str">
        <f aca="false">MID(D1502,13,5)&amp;"|"&amp;MID(D1502,19,5)</f>
        <v>08SEL|SEP02</v>
      </c>
      <c r="R1502" s="34" t="str">
        <f aca="false">IF(P1502="Subestación eléctrica",IFERROR(INDEX(cat_SubN,MATCH(Q1502,cat_SubK,0)),"SIN CATALOGAR"),"ÁREA DE PROCESO")</f>
        <v>SEP-02</v>
      </c>
      <c r="S1502" s="34" t="str">
        <f aca="false">IF(H1502="","SIN DATO",IFERROR(INDEX(cat_MarcaN,MATCH(H1502,cat_MarcaO,0)),H1502))</f>
        <v>ABB</v>
      </c>
      <c r="T1502" s="34" t="str">
        <f aca="false">IF(I1502="","SIN DATO",IFERROR(INDEX(cat_ModN,MATCH(I1502,cat_ModO,0)),I1502))</f>
        <v>REF615A_1G</v>
      </c>
      <c r="U1502" s="34" t="str">
        <f aca="false">IF(I1502="","",IFERROR(INDEX(cat_ModG,MATCH(I1502,cat_ModO,0)),"No"))</f>
        <v>No</v>
      </c>
      <c r="V1502" s="34" t="str">
        <f aca="false">IF(J1502="","SIN DATO",IFERROR(INDEX(cat_FunN,MATCH(J1502,cat_FunO,0)),J1502))</f>
        <v>Protección y medición</v>
      </c>
      <c r="W1502" s="34" t="str">
        <f aca="false">IF(OR(S1502="SIN DATO",T1502="SIN DATO"),"No","Sí")</f>
        <v>Sí</v>
      </c>
    </row>
    <row r="1503" customFormat="false" ht="15" hidden="false" customHeight="false" outlineLevel="0" collapsed="false">
      <c r="A1503" s="34" t="s">
        <v>5489</v>
      </c>
      <c r="B1503" s="34" t="s">
        <v>5490</v>
      </c>
      <c r="C1503" s="34" t="s">
        <v>5491</v>
      </c>
      <c r="D1503" s="34" t="s">
        <v>2372</v>
      </c>
      <c r="E1503" s="34" t="s">
        <v>184</v>
      </c>
      <c r="F1503" s="34" t="s">
        <v>1602</v>
      </c>
      <c r="G1503" s="34" t="s">
        <v>227</v>
      </c>
      <c r="H1503" s="34" t="s">
        <v>34</v>
      </c>
      <c r="I1503" s="34" t="s">
        <v>37</v>
      </c>
      <c r="J1503" s="34" t="s">
        <v>228</v>
      </c>
      <c r="K1503" s="34" t="s">
        <v>229</v>
      </c>
      <c r="L1503" s="34" t="s">
        <v>230</v>
      </c>
      <c r="M1503" s="34" t="s">
        <v>231</v>
      </c>
      <c r="N1503" s="34" t="str">
        <f aca="false">"Sector "&amp;VALUE(MID(D1503,13,2))</f>
        <v>Sector 8</v>
      </c>
      <c r="O1503" s="34" t="str">
        <f aca="false">IF(Dashboard!$C$5="Ubicación técnica",N1503,"Sector "&amp;VALUE(RIGHT(G1503,2)))</f>
        <v>Sector 8</v>
      </c>
      <c r="P1503" s="34" t="str">
        <f aca="false">IF(MID(D1503,15,3)="SEL","Subestación eléctrica","Área de proceso")</f>
        <v>Subestación eléctrica</v>
      </c>
      <c r="Q1503" s="34" t="str">
        <f aca="false">MID(D1503,13,5)&amp;"|"&amp;MID(D1503,19,5)</f>
        <v>08SEL|SEP02</v>
      </c>
      <c r="R1503" s="34" t="str">
        <f aca="false">IF(P1503="Subestación eléctrica",IFERROR(INDEX(cat_SubN,MATCH(Q1503,cat_SubK,0)),"SIN CATALOGAR"),"ÁREA DE PROCESO")</f>
        <v>SEP-02</v>
      </c>
      <c r="S1503" s="34" t="str">
        <f aca="false">IF(H1503="","SIN DATO",IFERROR(INDEX(cat_MarcaN,MATCH(H1503,cat_MarcaO,0)),H1503))</f>
        <v>ABB</v>
      </c>
      <c r="T1503" s="34" t="str">
        <f aca="false">IF(I1503="","SIN DATO",IFERROR(INDEX(cat_ModN,MATCH(I1503,cat_ModO,0)),I1503))</f>
        <v>REF615A_1G</v>
      </c>
      <c r="U1503" s="34" t="str">
        <f aca="false">IF(I1503="","",IFERROR(INDEX(cat_ModG,MATCH(I1503,cat_ModO,0)),"No"))</f>
        <v>No</v>
      </c>
      <c r="V1503" s="34" t="str">
        <f aca="false">IF(J1503="","SIN DATO",IFERROR(INDEX(cat_FunN,MATCH(J1503,cat_FunO,0)),J1503))</f>
        <v>Protección y medición</v>
      </c>
      <c r="W1503" s="34" t="str">
        <f aca="false">IF(OR(S1503="SIN DATO",T1503="SIN DATO"),"No","Sí")</f>
        <v>Sí</v>
      </c>
    </row>
    <row r="1504" customFormat="false" ht="15" hidden="false" customHeight="false" outlineLevel="0" collapsed="false">
      <c r="A1504" s="34" t="s">
        <v>5492</v>
      </c>
      <c r="B1504" s="34" t="s">
        <v>5493</v>
      </c>
      <c r="C1504" s="34" t="s">
        <v>5494</v>
      </c>
      <c r="D1504" s="34" t="s">
        <v>2158</v>
      </c>
      <c r="E1504" s="34" t="s">
        <v>184</v>
      </c>
      <c r="F1504" s="34" t="s">
        <v>1602</v>
      </c>
      <c r="G1504" s="34" t="s">
        <v>227</v>
      </c>
      <c r="H1504" s="34" t="s">
        <v>34</v>
      </c>
      <c r="I1504" s="34" t="s">
        <v>37</v>
      </c>
      <c r="J1504" s="34" t="s">
        <v>228</v>
      </c>
      <c r="K1504" s="34" t="s">
        <v>229</v>
      </c>
      <c r="L1504" s="34" t="s">
        <v>230</v>
      </c>
      <c r="M1504" s="34" t="s">
        <v>231</v>
      </c>
      <c r="N1504" s="34" t="str">
        <f aca="false">"Sector "&amp;VALUE(MID(D1504,13,2))</f>
        <v>Sector 8</v>
      </c>
      <c r="O1504" s="34" t="str">
        <f aca="false">IF(Dashboard!$C$5="Ubicación técnica",N1504,"Sector "&amp;VALUE(RIGHT(G1504,2)))</f>
        <v>Sector 8</v>
      </c>
      <c r="P1504" s="34" t="str">
        <f aca="false">IF(MID(D1504,15,3)="SEL","Subestación eléctrica","Área de proceso")</f>
        <v>Subestación eléctrica</v>
      </c>
      <c r="Q1504" s="34" t="str">
        <f aca="false">MID(D1504,13,5)&amp;"|"&amp;MID(D1504,19,5)</f>
        <v>08SEL|SEP02</v>
      </c>
      <c r="R1504" s="34" t="str">
        <f aca="false">IF(P1504="Subestación eléctrica",IFERROR(INDEX(cat_SubN,MATCH(Q1504,cat_SubK,0)),"SIN CATALOGAR"),"ÁREA DE PROCESO")</f>
        <v>SEP-02</v>
      </c>
      <c r="S1504" s="34" t="str">
        <f aca="false">IF(H1504="","SIN DATO",IFERROR(INDEX(cat_MarcaN,MATCH(H1504,cat_MarcaO,0)),H1504))</f>
        <v>ABB</v>
      </c>
      <c r="T1504" s="34" t="str">
        <f aca="false">IF(I1504="","SIN DATO",IFERROR(INDEX(cat_ModN,MATCH(I1504,cat_ModO,0)),I1504))</f>
        <v>REF615A_1G</v>
      </c>
      <c r="U1504" s="34" t="str">
        <f aca="false">IF(I1504="","",IFERROR(INDEX(cat_ModG,MATCH(I1504,cat_ModO,0)),"No"))</f>
        <v>No</v>
      </c>
      <c r="V1504" s="34" t="str">
        <f aca="false">IF(J1504="","SIN DATO",IFERROR(INDEX(cat_FunN,MATCH(J1504,cat_FunO,0)),J1504))</f>
        <v>Protección y medición</v>
      </c>
      <c r="W1504" s="34" t="str">
        <f aca="false">IF(OR(S1504="SIN DATO",T1504="SIN DATO"),"No","Sí")</f>
        <v>Sí</v>
      </c>
    </row>
    <row r="1505" customFormat="false" ht="15" hidden="false" customHeight="false" outlineLevel="0" collapsed="false">
      <c r="A1505" s="34" t="s">
        <v>5495</v>
      </c>
      <c r="B1505" s="34" t="s">
        <v>5496</v>
      </c>
      <c r="C1505" s="34" t="s">
        <v>5497</v>
      </c>
      <c r="D1505" s="34" t="s">
        <v>2337</v>
      </c>
      <c r="E1505" s="34" t="s">
        <v>184</v>
      </c>
      <c r="F1505" s="34" t="s">
        <v>1602</v>
      </c>
      <c r="G1505" s="34" t="s">
        <v>227</v>
      </c>
      <c r="H1505" s="34" t="s">
        <v>34</v>
      </c>
      <c r="I1505" s="34" t="s">
        <v>37</v>
      </c>
      <c r="J1505" s="34" t="s">
        <v>228</v>
      </c>
      <c r="K1505" s="34" t="s">
        <v>229</v>
      </c>
      <c r="L1505" s="34" t="s">
        <v>230</v>
      </c>
      <c r="M1505" s="34" t="s">
        <v>231</v>
      </c>
      <c r="N1505" s="34" t="str">
        <f aca="false">"Sector "&amp;VALUE(MID(D1505,13,2))</f>
        <v>Sector 8</v>
      </c>
      <c r="O1505" s="34" t="str">
        <f aca="false">IF(Dashboard!$C$5="Ubicación técnica",N1505,"Sector "&amp;VALUE(RIGHT(G1505,2)))</f>
        <v>Sector 8</v>
      </c>
      <c r="P1505" s="34" t="str">
        <f aca="false">IF(MID(D1505,15,3)="SEL","Subestación eléctrica","Área de proceso")</f>
        <v>Subestación eléctrica</v>
      </c>
      <c r="Q1505" s="34" t="str">
        <f aca="false">MID(D1505,13,5)&amp;"|"&amp;MID(D1505,19,5)</f>
        <v>08SEL|SEP02</v>
      </c>
      <c r="R1505" s="34" t="str">
        <f aca="false">IF(P1505="Subestación eléctrica",IFERROR(INDEX(cat_SubN,MATCH(Q1505,cat_SubK,0)),"SIN CATALOGAR"),"ÁREA DE PROCESO")</f>
        <v>SEP-02</v>
      </c>
      <c r="S1505" s="34" t="str">
        <f aca="false">IF(H1505="","SIN DATO",IFERROR(INDEX(cat_MarcaN,MATCH(H1505,cat_MarcaO,0)),H1505))</f>
        <v>ABB</v>
      </c>
      <c r="T1505" s="34" t="str">
        <f aca="false">IF(I1505="","SIN DATO",IFERROR(INDEX(cat_ModN,MATCH(I1505,cat_ModO,0)),I1505))</f>
        <v>REF615A_1G</v>
      </c>
      <c r="U1505" s="34" t="str">
        <f aca="false">IF(I1505="","",IFERROR(INDEX(cat_ModG,MATCH(I1505,cat_ModO,0)),"No"))</f>
        <v>No</v>
      </c>
      <c r="V1505" s="34" t="str">
        <f aca="false">IF(J1505="","SIN DATO",IFERROR(INDEX(cat_FunN,MATCH(J1505,cat_FunO,0)),J1505))</f>
        <v>Protección y medición</v>
      </c>
      <c r="W1505" s="34" t="str">
        <f aca="false">IF(OR(S1505="SIN DATO",T1505="SIN DATO"),"No","Sí")</f>
        <v>Sí</v>
      </c>
    </row>
    <row r="1506" customFormat="false" ht="15" hidden="false" customHeight="false" outlineLevel="0" collapsed="false">
      <c r="A1506" s="34" t="s">
        <v>5498</v>
      </c>
      <c r="B1506" s="34" t="s">
        <v>5499</v>
      </c>
      <c r="C1506" s="34" t="s">
        <v>5500</v>
      </c>
      <c r="D1506" s="34" t="s">
        <v>2293</v>
      </c>
      <c r="E1506" s="34" t="s">
        <v>184</v>
      </c>
      <c r="F1506" s="34" t="s">
        <v>1602</v>
      </c>
      <c r="G1506" s="34" t="s">
        <v>227</v>
      </c>
      <c r="H1506" s="34" t="s">
        <v>34</v>
      </c>
      <c r="I1506" s="34" t="s">
        <v>37</v>
      </c>
      <c r="J1506" s="34" t="s">
        <v>228</v>
      </c>
      <c r="K1506" s="34" t="s">
        <v>229</v>
      </c>
      <c r="L1506" s="34" t="s">
        <v>230</v>
      </c>
      <c r="M1506" s="34" t="s">
        <v>231</v>
      </c>
      <c r="N1506" s="34" t="str">
        <f aca="false">"Sector "&amp;VALUE(MID(D1506,13,2))</f>
        <v>Sector 8</v>
      </c>
      <c r="O1506" s="34" t="str">
        <f aca="false">IF(Dashboard!$C$5="Ubicación técnica",N1506,"Sector "&amp;VALUE(RIGHT(G1506,2)))</f>
        <v>Sector 8</v>
      </c>
      <c r="P1506" s="34" t="str">
        <f aca="false">IF(MID(D1506,15,3)="SEL","Subestación eléctrica","Área de proceso")</f>
        <v>Subestación eléctrica</v>
      </c>
      <c r="Q1506" s="34" t="str">
        <f aca="false">MID(D1506,13,5)&amp;"|"&amp;MID(D1506,19,5)</f>
        <v>08SEL|SEP02</v>
      </c>
      <c r="R1506" s="34" t="str">
        <f aca="false">IF(P1506="Subestación eléctrica",IFERROR(INDEX(cat_SubN,MATCH(Q1506,cat_SubK,0)),"SIN CATALOGAR"),"ÁREA DE PROCESO")</f>
        <v>SEP-02</v>
      </c>
      <c r="S1506" s="34" t="str">
        <f aca="false">IF(H1506="","SIN DATO",IFERROR(INDEX(cat_MarcaN,MATCH(H1506,cat_MarcaO,0)),H1506))</f>
        <v>ABB</v>
      </c>
      <c r="T1506" s="34" t="str">
        <f aca="false">IF(I1506="","SIN DATO",IFERROR(INDEX(cat_ModN,MATCH(I1506,cat_ModO,0)),I1506))</f>
        <v>REF615A_1G</v>
      </c>
      <c r="U1506" s="34" t="str">
        <f aca="false">IF(I1506="","",IFERROR(INDEX(cat_ModG,MATCH(I1506,cat_ModO,0)),"No"))</f>
        <v>No</v>
      </c>
      <c r="V1506" s="34" t="str">
        <f aca="false">IF(J1506="","SIN DATO",IFERROR(INDEX(cat_FunN,MATCH(J1506,cat_FunO,0)),J1506))</f>
        <v>Protección y medición</v>
      </c>
      <c r="W1506" s="34" t="str">
        <f aca="false">IF(OR(S1506="SIN DATO",T1506="SIN DATO"),"No","Sí")</f>
        <v>Sí</v>
      </c>
    </row>
    <row r="1507" customFormat="false" ht="15" hidden="false" customHeight="false" outlineLevel="0" collapsed="false">
      <c r="A1507" s="34" t="s">
        <v>5501</v>
      </c>
      <c r="B1507" s="34" t="s">
        <v>5502</v>
      </c>
      <c r="C1507" s="34" t="s">
        <v>5503</v>
      </c>
      <c r="D1507" s="34" t="s">
        <v>2145</v>
      </c>
      <c r="E1507" s="34" t="s">
        <v>184</v>
      </c>
      <c r="F1507" s="34" t="s">
        <v>1602</v>
      </c>
      <c r="G1507" s="34" t="s">
        <v>227</v>
      </c>
      <c r="H1507" s="34" t="s">
        <v>34</v>
      </c>
      <c r="I1507" s="34" t="s">
        <v>37</v>
      </c>
      <c r="J1507" s="34" t="s">
        <v>228</v>
      </c>
      <c r="K1507" s="34" t="s">
        <v>229</v>
      </c>
      <c r="L1507" s="34" t="s">
        <v>230</v>
      </c>
      <c r="M1507" s="34" t="s">
        <v>231</v>
      </c>
      <c r="N1507" s="34" t="str">
        <f aca="false">"Sector "&amp;VALUE(MID(D1507,13,2))</f>
        <v>Sector 8</v>
      </c>
      <c r="O1507" s="34" t="str">
        <f aca="false">IF(Dashboard!$C$5="Ubicación técnica",N1507,"Sector "&amp;VALUE(RIGHT(G1507,2)))</f>
        <v>Sector 8</v>
      </c>
      <c r="P1507" s="34" t="str">
        <f aca="false">IF(MID(D1507,15,3)="SEL","Subestación eléctrica","Área de proceso")</f>
        <v>Subestación eléctrica</v>
      </c>
      <c r="Q1507" s="34" t="str">
        <f aca="false">MID(D1507,13,5)&amp;"|"&amp;MID(D1507,19,5)</f>
        <v>08SEL|SEP02</v>
      </c>
      <c r="R1507" s="34" t="str">
        <f aca="false">IF(P1507="Subestación eléctrica",IFERROR(INDEX(cat_SubN,MATCH(Q1507,cat_SubK,0)),"SIN CATALOGAR"),"ÁREA DE PROCESO")</f>
        <v>SEP-02</v>
      </c>
      <c r="S1507" s="34" t="str">
        <f aca="false">IF(H1507="","SIN DATO",IFERROR(INDEX(cat_MarcaN,MATCH(H1507,cat_MarcaO,0)),H1507))</f>
        <v>ABB</v>
      </c>
      <c r="T1507" s="34" t="str">
        <f aca="false">IF(I1507="","SIN DATO",IFERROR(INDEX(cat_ModN,MATCH(I1507,cat_ModO,0)),I1507))</f>
        <v>REF615A_1G</v>
      </c>
      <c r="U1507" s="34" t="str">
        <f aca="false">IF(I1507="","",IFERROR(INDEX(cat_ModG,MATCH(I1507,cat_ModO,0)),"No"))</f>
        <v>No</v>
      </c>
      <c r="V1507" s="34" t="str">
        <f aca="false">IF(J1507="","SIN DATO",IFERROR(INDEX(cat_FunN,MATCH(J1507,cat_FunO,0)),J1507))</f>
        <v>Protección y medición</v>
      </c>
      <c r="W1507" s="34" t="str">
        <f aca="false">IF(OR(S1507="SIN DATO",T1507="SIN DATO"),"No","Sí")</f>
        <v>Sí</v>
      </c>
    </row>
    <row r="1508" customFormat="false" ht="15" hidden="false" customHeight="false" outlineLevel="0" collapsed="false">
      <c r="A1508" s="34" t="s">
        <v>5504</v>
      </c>
      <c r="B1508" s="34" t="s">
        <v>5505</v>
      </c>
      <c r="C1508" s="34" t="s">
        <v>5506</v>
      </c>
      <c r="D1508" s="34" t="s">
        <v>2154</v>
      </c>
      <c r="E1508" s="34" t="s">
        <v>184</v>
      </c>
      <c r="F1508" s="34" t="s">
        <v>1602</v>
      </c>
      <c r="G1508" s="34" t="s">
        <v>227</v>
      </c>
      <c r="H1508" s="34" t="s">
        <v>34</v>
      </c>
      <c r="I1508" s="34" t="s">
        <v>37</v>
      </c>
      <c r="J1508" s="34" t="s">
        <v>228</v>
      </c>
      <c r="K1508" s="34" t="s">
        <v>229</v>
      </c>
      <c r="L1508" s="34" t="s">
        <v>230</v>
      </c>
      <c r="M1508" s="34" t="s">
        <v>231</v>
      </c>
      <c r="N1508" s="34" t="str">
        <f aca="false">"Sector "&amp;VALUE(MID(D1508,13,2))</f>
        <v>Sector 8</v>
      </c>
      <c r="O1508" s="34" t="str">
        <f aca="false">IF(Dashboard!$C$5="Ubicación técnica",N1508,"Sector "&amp;VALUE(RIGHT(G1508,2)))</f>
        <v>Sector 8</v>
      </c>
      <c r="P1508" s="34" t="str">
        <f aca="false">IF(MID(D1508,15,3)="SEL","Subestación eléctrica","Área de proceso")</f>
        <v>Subestación eléctrica</v>
      </c>
      <c r="Q1508" s="34" t="str">
        <f aca="false">MID(D1508,13,5)&amp;"|"&amp;MID(D1508,19,5)</f>
        <v>08SEL|SEP02</v>
      </c>
      <c r="R1508" s="34" t="str">
        <f aca="false">IF(P1508="Subestación eléctrica",IFERROR(INDEX(cat_SubN,MATCH(Q1508,cat_SubK,0)),"SIN CATALOGAR"),"ÁREA DE PROCESO")</f>
        <v>SEP-02</v>
      </c>
      <c r="S1508" s="34" t="str">
        <f aca="false">IF(H1508="","SIN DATO",IFERROR(INDEX(cat_MarcaN,MATCH(H1508,cat_MarcaO,0)),H1508))</f>
        <v>ABB</v>
      </c>
      <c r="T1508" s="34" t="str">
        <f aca="false">IF(I1508="","SIN DATO",IFERROR(INDEX(cat_ModN,MATCH(I1508,cat_ModO,0)),I1508))</f>
        <v>REF615A_1G</v>
      </c>
      <c r="U1508" s="34" t="str">
        <f aca="false">IF(I1508="","",IFERROR(INDEX(cat_ModG,MATCH(I1508,cat_ModO,0)),"No"))</f>
        <v>No</v>
      </c>
      <c r="V1508" s="34" t="str">
        <f aca="false">IF(J1508="","SIN DATO",IFERROR(INDEX(cat_FunN,MATCH(J1508,cat_FunO,0)),J1508))</f>
        <v>Protección y medición</v>
      </c>
      <c r="W1508" s="34" t="str">
        <f aca="false">IF(OR(S1508="SIN DATO",T1508="SIN DATO"),"No","Sí")</f>
        <v>Sí</v>
      </c>
    </row>
    <row r="1509" customFormat="false" ht="15" hidden="false" customHeight="false" outlineLevel="0" collapsed="false">
      <c r="A1509" s="34" t="s">
        <v>5507</v>
      </c>
      <c r="B1509" s="34" t="s">
        <v>5508</v>
      </c>
      <c r="C1509" s="34" t="s">
        <v>5509</v>
      </c>
      <c r="D1509" s="34" t="s">
        <v>2158</v>
      </c>
      <c r="E1509" s="34" t="s">
        <v>184</v>
      </c>
      <c r="F1509" s="34" t="s">
        <v>1602</v>
      </c>
      <c r="G1509" s="34" t="s">
        <v>227</v>
      </c>
      <c r="H1509" s="34" t="s">
        <v>34</v>
      </c>
      <c r="I1509" s="34" t="s">
        <v>37</v>
      </c>
      <c r="J1509" s="34" t="s">
        <v>228</v>
      </c>
      <c r="K1509" s="34" t="s">
        <v>229</v>
      </c>
      <c r="L1509" s="34" t="s">
        <v>230</v>
      </c>
      <c r="M1509" s="34" t="s">
        <v>231</v>
      </c>
      <c r="N1509" s="34" t="str">
        <f aca="false">"Sector "&amp;VALUE(MID(D1509,13,2))</f>
        <v>Sector 8</v>
      </c>
      <c r="O1509" s="34" t="str">
        <f aca="false">IF(Dashboard!$C$5="Ubicación técnica",N1509,"Sector "&amp;VALUE(RIGHT(G1509,2)))</f>
        <v>Sector 8</v>
      </c>
      <c r="P1509" s="34" t="str">
        <f aca="false">IF(MID(D1509,15,3)="SEL","Subestación eléctrica","Área de proceso")</f>
        <v>Subestación eléctrica</v>
      </c>
      <c r="Q1509" s="34" t="str">
        <f aca="false">MID(D1509,13,5)&amp;"|"&amp;MID(D1509,19,5)</f>
        <v>08SEL|SEP02</v>
      </c>
      <c r="R1509" s="34" t="str">
        <f aca="false">IF(P1509="Subestación eléctrica",IFERROR(INDEX(cat_SubN,MATCH(Q1509,cat_SubK,0)),"SIN CATALOGAR"),"ÁREA DE PROCESO")</f>
        <v>SEP-02</v>
      </c>
      <c r="S1509" s="34" t="str">
        <f aca="false">IF(H1509="","SIN DATO",IFERROR(INDEX(cat_MarcaN,MATCH(H1509,cat_MarcaO,0)),H1509))</f>
        <v>ABB</v>
      </c>
      <c r="T1509" s="34" t="str">
        <f aca="false">IF(I1509="","SIN DATO",IFERROR(INDEX(cat_ModN,MATCH(I1509,cat_ModO,0)),I1509))</f>
        <v>REF615A_1G</v>
      </c>
      <c r="U1509" s="34" t="str">
        <f aca="false">IF(I1509="","",IFERROR(INDEX(cat_ModG,MATCH(I1509,cat_ModO,0)),"No"))</f>
        <v>No</v>
      </c>
      <c r="V1509" s="34" t="str">
        <f aca="false">IF(J1509="","SIN DATO",IFERROR(INDEX(cat_FunN,MATCH(J1509,cat_FunO,0)),J1509))</f>
        <v>Protección y medición</v>
      </c>
      <c r="W1509" s="34" t="str">
        <f aca="false">IF(OR(S1509="SIN DATO",T1509="SIN DATO"),"No","Sí")</f>
        <v>Sí</v>
      </c>
    </row>
    <row r="1510" customFormat="false" ht="15" hidden="false" customHeight="false" outlineLevel="0" collapsed="false">
      <c r="A1510" s="34" t="s">
        <v>5510</v>
      </c>
      <c r="B1510" s="34" t="s">
        <v>5511</v>
      </c>
      <c r="C1510" s="34" t="s">
        <v>5512</v>
      </c>
      <c r="D1510" s="34" t="s">
        <v>2179</v>
      </c>
      <c r="E1510" s="34" t="s">
        <v>178</v>
      </c>
      <c r="F1510" s="34" t="s">
        <v>1602</v>
      </c>
      <c r="G1510" s="34" t="s">
        <v>227</v>
      </c>
      <c r="H1510" s="34" t="s">
        <v>34</v>
      </c>
      <c r="I1510" s="34" t="s">
        <v>37</v>
      </c>
      <c r="J1510" s="34" t="s">
        <v>228</v>
      </c>
      <c r="K1510" s="34" t="s">
        <v>229</v>
      </c>
      <c r="L1510" s="34" t="s">
        <v>230</v>
      </c>
      <c r="M1510" s="34" t="s">
        <v>1663</v>
      </c>
      <c r="N1510" s="34" t="str">
        <f aca="false">"Sector "&amp;VALUE(MID(D1510,13,2))</f>
        <v>Sector 8</v>
      </c>
      <c r="O1510" s="34" t="str">
        <f aca="false">IF(Dashboard!$C$5="Ubicación técnica",N1510,"Sector "&amp;VALUE(RIGHT(G1510,2)))</f>
        <v>Sector 8</v>
      </c>
      <c r="P1510" s="34" t="str">
        <f aca="false">IF(MID(D1510,15,3)="SEL","Subestación eléctrica","Área de proceso")</f>
        <v>Subestación eléctrica</v>
      </c>
      <c r="Q1510" s="34" t="str">
        <f aca="false">MID(D1510,13,5)&amp;"|"&amp;MID(D1510,19,5)</f>
        <v>08SEL|S_019</v>
      </c>
      <c r="R1510" s="34" t="str">
        <f aca="false">IF(P1510="Subestación eléctrica",IFERROR(INDEX(cat_SubN,MATCH(Q1510,cat_SubK,0)),"SIN CATALOGAR"),"ÁREA DE PROCESO")</f>
        <v>SE-19</v>
      </c>
      <c r="S1510" s="34" t="str">
        <f aca="false">IF(H1510="","SIN DATO",IFERROR(INDEX(cat_MarcaN,MATCH(H1510,cat_MarcaO,0)),H1510))</f>
        <v>ABB</v>
      </c>
      <c r="T1510" s="34" t="str">
        <f aca="false">IF(I1510="","SIN DATO",IFERROR(INDEX(cat_ModN,MATCH(I1510,cat_ModO,0)),I1510))</f>
        <v>REF615A_1G</v>
      </c>
      <c r="U1510" s="34" t="str">
        <f aca="false">IF(I1510="","",IFERROR(INDEX(cat_ModG,MATCH(I1510,cat_ModO,0)),"No"))</f>
        <v>No</v>
      </c>
      <c r="V1510" s="34" t="str">
        <f aca="false">IF(J1510="","SIN DATO",IFERROR(INDEX(cat_FunN,MATCH(J1510,cat_FunO,0)),J1510))</f>
        <v>Protección y medición</v>
      </c>
      <c r="W1510" s="34" t="str">
        <f aca="false">IF(OR(S1510="SIN DATO",T1510="SIN DATO"),"No","Sí")</f>
        <v>Sí</v>
      </c>
    </row>
    <row r="1511" customFormat="false" ht="15" hidden="false" customHeight="false" outlineLevel="0" collapsed="false">
      <c r="A1511" s="34" t="s">
        <v>5513</v>
      </c>
      <c r="B1511" s="34" t="s">
        <v>5514</v>
      </c>
      <c r="C1511" s="34" t="s">
        <v>5515</v>
      </c>
      <c r="D1511" s="34" t="s">
        <v>2162</v>
      </c>
      <c r="E1511" s="34" t="s">
        <v>138</v>
      </c>
      <c r="F1511" s="34" t="s">
        <v>1602</v>
      </c>
      <c r="G1511" s="34" t="s">
        <v>227</v>
      </c>
      <c r="H1511" s="34"/>
      <c r="I1511" s="34"/>
      <c r="J1511" s="34"/>
      <c r="K1511" s="34"/>
      <c r="L1511" s="34"/>
      <c r="M1511" s="34"/>
      <c r="N1511" s="34" t="str">
        <f aca="false">"Sector "&amp;VALUE(MID(D1511,13,2))</f>
        <v>Sector 6</v>
      </c>
      <c r="O1511" s="34" t="str">
        <f aca="false">IF(Dashboard!$C$5="Ubicación técnica",N1511,"Sector "&amp;VALUE(RIGHT(G1511,2)))</f>
        <v>Sector 6</v>
      </c>
      <c r="P1511" s="34" t="str">
        <f aca="false">IF(MID(D1511,15,3)="SEL","Subestación eléctrica","Área de proceso")</f>
        <v>Subestación eléctrica</v>
      </c>
      <c r="Q1511" s="34" t="str">
        <f aca="false">MID(D1511,13,5)&amp;"|"&amp;MID(D1511,19,5)</f>
        <v>06SEL|S_002</v>
      </c>
      <c r="R1511" s="34" t="str">
        <f aca="false">IF(P1511="Subestación eléctrica",IFERROR(INDEX(cat_SubN,MATCH(Q1511,cat_SubK,0)),"SIN CATALOGAR"),"ÁREA DE PROCESO")</f>
        <v>SE-02</v>
      </c>
      <c r="S1511" s="34" t="str">
        <f aca="false">IF(H1511="","SIN DATO",IFERROR(INDEX(cat_MarcaN,MATCH(H1511,cat_MarcaO,0)),H1511))</f>
        <v>SIN DATO</v>
      </c>
      <c r="T1511" s="34" t="str">
        <f aca="false">IF(I1511="","SIN DATO",IFERROR(INDEX(cat_ModN,MATCH(I1511,cat_ModO,0)),I1511))</f>
        <v>SIN DATO</v>
      </c>
      <c r="U1511" s="34" t="str">
        <f aca="false">IF(I1511="","",IFERROR(INDEX(cat_ModG,MATCH(I1511,cat_ModO,0)),"No"))</f>
        <v/>
      </c>
      <c r="V1511" s="34" t="str">
        <f aca="false">IF(J1511="","SIN DATO",IFERROR(INDEX(cat_FunN,MATCH(J1511,cat_FunO,0)),J1511))</f>
        <v>SIN DATO</v>
      </c>
      <c r="W1511" s="34" t="str">
        <f aca="false">IF(OR(S1511="SIN DATO",T1511="SIN DATO"),"No","Sí")</f>
        <v>No</v>
      </c>
    </row>
    <row r="1512" customFormat="false" ht="15" hidden="false" customHeight="false" outlineLevel="0" collapsed="false">
      <c r="A1512" s="34" t="s">
        <v>5516</v>
      </c>
      <c r="B1512" s="34" t="s">
        <v>5517</v>
      </c>
      <c r="C1512" s="34" t="s">
        <v>5518</v>
      </c>
      <c r="D1512" s="34" t="s">
        <v>2162</v>
      </c>
      <c r="E1512" s="34" t="s">
        <v>138</v>
      </c>
      <c r="F1512" s="34" t="s">
        <v>1602</v>
      </c>
      <c r="G1512" s="34" t="s">
        <v>227</v>
      </c>
      <c r="H1512" s="34"/>
      <c r="I1512" s="34"/>
      <c r="J1512" s="34"/>
      <c r="K1512" s="34"/>
      <c r="L1512" s="34"/>
      <c r="M1512" s="34"/>
      <c r="N1512" s="34" t="str">
        <f aca="false">"Sector "&amp;VALUE(MID(D1512,13,2))</f>
        <v>Sector 6</v>
      </c>
      <c r="O1512" s="34" t="str">
        <f aca="false">IF(Dashboard!$C$5="Ubicación técnica",N1512,"Sector "&amp;VALUE(RIGHT(G1512,2)))</f>
        <v>Sector 6</v>
      </c>
      <c r="P1512" s="34" t="str">
        <f aca="false">IF(MID(D1512,15,3)="SEL","Subestación eléctrica","Área de proceso")</f>
        <v>Subestación eléctrica</v>
      </c>
      <c r="Q1512" s="34" t="str">
        <f aca="false">MID(D1512,13,5)&amp;"|"&amp;MID(D1512,19,5)</f>
        <v>06SEL|S_002</v>
      </c>
      <c r="R1512" s="34" t="str">
        <f aca="false">IF(P1512="Subestación eléctrica",IFERROR(INDEX(cat_SubN,MATCH(Q1512,cat_SubK,0)),"SIN CATALOGAR"),"ÁREA DE PROCESO")</f>
        <v>SE-02</v>
      </c>
      <c r="S1512" s="34" t="str">
        <f aca="false">IF(H1512="","SIN DATO",IFERROR(INDEX(cat_MarcaN,MATCH(H1512,cat_MarcaO,0)),H1512))</f>
        <v>SIN DATO</v>
      </c>
      <c r="T1512" s="34" t="str">
        <f aca="false">IF(I1512="","SIN DATO",IFERROR(INDEX(cat_ModN,MATCH(I1512,cat_ModO,0)),I1512))</f>
        <v>SIN DATO</v>
      </c>
      <c r="U1512" s="34" t="str">
        <f aca="false">IF(I1512="","",IFERROR(INDEX(cat_ModG,MATCH(I1512,cat_ModO,0)),"No"))</f>
        <v/>
      </c>
      <c r="V1512" s="34" t="str">
        <f aca="false">IF(J1512="","SIN DATO",IFERROR(INDEX(cat_FunN,MATCH(J1512,cat_FunO,0)),J1512))</f>
        <v>SIN DATO</v>
      </c>
      <c r="W1512" s="34" t="str">
        <f aca="false">IF(OR(S1512="SIN DATO",T1512="SIN DATO"),"No","Sí")</f>
        <v>No</v>
      </c>
    </row>
    <row r="1513" customFormat="false" ht="15" hidden="false" customHeight="false" outlineLevel="0" collapsed="false">
      <c r="A1513" s="34" t="s">
        <v>5519</v>
      </c>
      <c r="B1513" s="34" t="s">
        <v>5520</v>
      </c>
      <c r="C1513" s="34" t="s">
        <v>5521</v>
      </c>
      <c r="D1513" s="34" t="s">
        <v>2166</v>
      </c>
      <c r="E1513" s="34" t="s">
        <v>138</v>
      </c>
      <c r="F1513" s="34" t="s">
        <v>1602</v>
      </c>
      <c r="G1513" s="34" t="s">
        <v>227</v>
      </c>
      <c r="H1513" s="34"/>
      <c r="I1513" s="34"/>
      <c r="J1513" s="34"/>
      <c r="K1513" s="34"/>
      <c r="L1513" s="34"/>
      <c r="M1513" s="34"/>
      <c r="N1513" s="34" t="str">
        <f aca="false">"Sector "&amp;VALUE(MID(D1513,13,2))</f>
        <v>Sector 6</v>
      </c>
      <c r="O1513" s="34" t="str">
        <f aca="false">IF(Dashboard!$C$5="Ubicación técnica",N1513,"Sector "&amp;VALUE(RIGHT(G1513,2)))</f>
        <v>Sector 6</v>
      </c>
      <c r="P1513" s="34" t="str">
        <f aca="false">IF(MID(D1513,15,3)="SEL","Subestación eléctrica","Área de proceso")</f>
        <v>Subestación eléctrica</v>
      </c>
      <c r="Q1513" s="34" t="str">
        <f aca="false">MID(D1513,13,5)&amp;"|"&amp;MID(D1513,19,5)</f>
        <v>06SEL|S_002</v>
      </c>
      <c r="R1513" s="34" t="str">
        <f aca="false">IF(P1513="Subestación eléctrica",IFERROR(INDEX(cat_SubN,MATCH(Q1513,cat_SubK,0)),"SIN CATALOGAR"),"ÁREA DE PROCESO")</f>
        <v>SE-02</v>
      </c>
      <c r="S1513" s="34" t="str">
        <f aca="false">IF(H1513="","SIN DATO",IFERROR(INDEX(cat_MarcaN,MATCH(H1513,cat_MarcaO,0)),H1513))</f>
        <v>SIN DATO</v>
      </c>
      <c r="T1513" s="34" t="str">
        <f aca="false">IF(I1513="","SIN DATO",IFERROR(INDEX(cat_ModN,MATCH(I1513,cat_ModO,0)),I1513))</f>
        <v>SIN DATO</v>
      </c>
      <c r="U1513" s="34" t="str">
        <f aca="false">IF(I1513="","",IFERROR(INDEX(cat_ModG,MATCH(I1513,cat_ModO,0)),"No"))</f>
        <v/>
      </c>
      <c r="V1513" s="34" t="str">
        <f aca="false">IF(J1513="","SIN DATO",IFERROR(INDEX(cat_FunN,MATCH(J1513,cat_FunO,0)),J1513))</f>
        <v>SIN DATO</v>
      </c>
      <c r="W1513" s="34" t="str">
        <f aca="false">IF(OR(S1513="SIN DATO",T1513="SIN DATO"),"No","Sí")</f>
        <v>No</v>
      </c>
    </row>
    <row r="1514" customFormat="false" ht="15" hidden="false" customHeight="false" outlineLevel="0" collapsed="false">
      <c r="A1514" s="34" t="s">
        <v>5522</v>
      </c>
      <c r="B1514" s="34" t="s">
        <v>5523</v>
      </c>
      <c r="C1514" s="34" t="s">
        <v>5524</v>
      </c>
      <c r="D1514" s="34" t="s">
        <v>2162</v>
      </c>
      <c r="E1514" s="34" t="s">
        <v>138</v>
      </c>
      <c r="F1514" s="34" t="s">
        <v>1602</v>
      </c>
      <c r="G1514" s="34" t="s">
        <v>227</v>
      </c>
      <c r="H1514" s="34"/>
      <c r="I1514" s="34"/>
      <c r="J1514" s="34"/>
      <c r="K1514" s="34"/>
      <c r="L1514" s="34"/>
      <c r="M1514" s="34"/>
      <c r="N1514" s="34" t="str">
        <f aca="false">"Sector "&amp;VALUE(MID(D1514,13,2))</f>
        <v>Sector 6</v>
      </c>
      <c r="O1514" s="34" t="str">
        <f aca="false">IF(Dashboard!$C$5="Ubicación técnica",N1514,"Sector "&amp;VALUE(RIGHT(G1514,2)))</f>
        <v>Sector 6</v>
      </c>
      <c r="P1514" s="34" t="str">
        <f aca="false">IF(MID(D1514,15,3)="SEL","Subestación eléctrica","Área de proceso")</f>
        <v>Subestación eléctrica</v>
      </c>
      <c r="Q1514" s="34" t="str">
        <f aca="false">MID(D1514,13,5)&amp;"|"&amp;MID(D1514,19,5)</f>
        <v>06SEL|S_002</v>
      </c>
      <c r="R1514" s="34" t="str">
        <f aca="false">IF(P1514="Subestación eléctrica",IFERROR(INDEX(cat_SubN,MATCH(Q1514,cat_SubK,0)),"SIN CATALOGAR"),"ÁREA DE PROCESO")</f>
        <v>SE-02</v>
      </c>
      <c r="S1514" s="34" t="str">
        <f aca="false">IF(H1514="","SIN DATO",IFERROR(INDEX(cat_MarcaN,MATCH(H1514,cat_MarcaO,0)),H1514))</f>
        <v>SIN DATO</v>
      </c>
      <c r="T1514" s="34" t="str">
        <f aca="false">IF(I1514="","SIN DATO",IFERROR(INDEX(cat_ModN,MATCH(I1514,cat_ModO,0)),I1514))</f>
        <v>SIN DATO</v>
      </c>
      <c r="U1514" s="34" t="str">
        <f aca="false">IF(I1514="","",IFERROR(INDEX(cat_ModG,MATCH(I1514,cat_ModO,0)),"No"))</f>
        <v/>
      </c>
      <c r="V1514" s="34" t="str">
        <f aca="false">IF(J1514="","SIN DATO",IFERROR(INDEX(cat_FunN,MATCH(J1514,cat_FunO,0)),J1514))</f>
        <v>SIN DATO</v>
      </c>
      <c r="W1514" s="34" t="str">
        <f aca="false">IF(OR(S1514="SIN DATO",T1514="SIN DATO"),"No","Sí")</f>
        <v>No</v>
      </c>
    </row>
    <row r="1515" customFormat="false" ht="15" hidden="false" customHeight="false" outlineLevel="0" collapsed="false">
      <c r="A1515" s="34" t="s">
        <v>5525</v>
      </c>
      <c r="B1515" s="34" t="s">
        <v>5526</v>
      </c>
      <c r="C1515" s="34" t="s">
        <v>5527</v>
      </c>
      <c r="D1515" s="34" t="s">
        <v>2170</v>
      </c>
      <c r="E1515" s="34" t="s">
        <v>170</v>
      </c>
      <c r="F1515" s="34" t="s">
        <v>1602</v>
      </c>
      <c r="G1515" s="34" t="s">
        <v>227</v>
      </c>
      <c r="H1515" s="34" t="s">
        <v>34</v>
      </c>
      <c r="I1515" s="34" t="s">
        <v>37</v>
      </c>
      <c r="J1515" s="34" t="s">
        <v>228</v>
      </c>
      <c r="K1515" s="34" t="s">
        <v>229</v>
      </c>
      <c r="L1515" s="34" t="s">
        <v>230</v>
      </c>
      <c r="M1515" s="34" t="s">
        <v>1663</v>
      </c>
      <c r="N1515" s="34" t="str">
        <f aca="false">"Sector "&amp;VALUE(MID(D1515,13,2))</f>
        <v>Sector 8</v>
      </c>
      <c r="O1515" s="34" t="str">
        <f aca="false">IF(Dashboard!$C$5="Ubicación técnica",N1515,"Sector "&amp;VALUE(RIGHT(G1515,2)))</f>
        <v>Sector 8</v>
      </c>
      <c r="P1515" s="34" t="str">
        <f aca="false">IF(MID(D1515,15,3)="SEL","Subestación eléctrica","Área de proceso")</f>
        <v>Subestación eléctrica</v>
      </c>
      <c r="Q1515" s="34" t="str">
        <f aca="false">MID(D1515,13,5)&amp;"|"&amp;MID(D1515,19,5)</f>
        <v>08SEL|S_016</v>
      </c>
      <c r="R1515" s="34" t="str">
        <f aca="false">IF(P1515="Subestación eléctrica",IFERROR(INDEX(cat_SubN,MATCH(Q1515,cat_SubK,0)),"SIN CATALOGAR"),"ÁREA DE PROCESO")</f>
        <v>SE-16</v>
      </c>
      <c r="S1515" s="34" t="str">
        <f aca="false">IF(H1515="","SIN DATO",IFERROR(INDEX(cat_MarcaN,MATCH(H1515,cat_MarcaO,0)),H1515))</f>
        <v>ABB</v>
      </c>
      <c r="T1515" s="34" t="str">
        <f aca="false">IF(I1515="","SIN DATO",IFERROR(INDEX(cat_ModN,MATCH(I1515,cat_ModO,0)),I1515))</f>
        <v>REF615A_1G</v>
      </c>
      <c r="U1515" s="34" t="str">
        <f aca="false">IF(I1515="","",IFERROR(INDEX(cat_ModG,MATCH(I1515,cat_ModO,0)),"No"))</f>
        <v>No</v>
      </c>
      <c r="V1515" s="34" t="str">
        <f aca="false">IF(J1515="","SIN DATO",IFERROR(INDEX(cat_FunN,MATCH(J1515,cat_FunO,0)),J1515))</f>
        <v>Protección y medición</v>
      </c>
      <c r="W1515" s="34" t="str">
        <f aca="false">IF(OR(S1515="SIN DATO",T1515="SIN DATO"),"No","Sí")</f>
        <v>Sí</v>
      </c>
    </row>
    <row r="1516" customFormat="false" ht="15" hidden="false" customHeight="false" outlineLevel="0" collapsed="false">
      <c r="A1516" s="34" t="s">
        <v>5528</v>
      </c>
      <c r="B1516" s="34" t="s">
        <v>5529</v>
      </c>
      <c r="C1516" s="34" t="s">
        <v>5530</v>
      </c>
      <c r="D1516" s="34" t="s">
        <v>5376</v>
      </c>
      <c r="E1516" s="34" t="s">
        <v>182</v>
      </c>
      <c r="F1516" s="34" t="s">
        <v>1602</v>
      </c>
      <c r="G1516" s="34" t="s">
        <v>227</v>
      </c>
      <c r="H1516" s="34" t="s">
        <v>73</v>
      </c>
      <c r="I1516" s="34" t="s">
        <v>77</v>
      </c>
      <c r="J1516" s="34" t="s">
        <v>228</v>
      </c>
      <c r="K1516" s="34" t="s">
        <v>236</v>
      </c>
      <c r="L1516" s="34" t="s">
        <v>230</v>
      </c>
      <c r="M1516" s="34" t="s">
        <v>237</v>
      </c>
      <c r="N1516" s="34" t="str">
        <f aca="false">"Sector "&amp;VALUE(MID(D1516,13,2))</f>
        <v>Sector 8</v>
      </c>
      <c r="O1516" s="34" t="str">
        <f aca="false">IF(Dashboard!$C$5="Ubicación técnica",N1516,"Sector "&amp;VALUE(RIGHT(G1516,2)))</f>
        <v>Sector 8</v>
      </c>
      <c r="P1516" s="34" t="str">
        <f aca="false">IF(MID(D1516,15,3)="SEL","Subestación eléctrica","Área de proceso")</f>
        <v>Subestación eléctrica</v>
      </c>
      <c r="Q1516" s="34" t="str">
        <f aca="false">MID(D1516,13,5)&amp;"|"&amp;MID(D1516,19,5)</f>
        <v>08SEL|S_030</v>
      </c>
      <c r="R1516" s="34" t="str">
        <f aca="false">IF(P1516="Subestación eléctrica",IFERROR(INDEX(cat_SubN,MATCH(Q1516,cat_SubK,0)),"SIN CATALOGAR"),"ÁREA DE PROCESO")</f>
        <v>SE-30</v>
      </c>
      <c r="S1516" s="34" t="str">
        <f aca="false">IF(H1516="","SIN DATO",IFERROR(INDEX(cat_MarcaN,MATCH(H1516,cat_MarcaO,0)),H1516))</f>
        <v>SIEMENS</v>
      </c>
      <c r="T1516" s="34" t="str">
        <f aca="false">IF(I1516="","SIN DATO",IFERROR(INDEX(cat_ModN,MATCH(I1516,cat_ModO,0)),I1516))</f>
        <v>7SR5711</v>
      </c>
      <c r="U1516" s="34" t="str">
        <f aca="false">IF(I1516="","",IFERROR(INDEX(cat_ModG,MATCH(I1516,cat_ModO,0)),"No"))</f>
        <v>No</v>
      </c>
      <c r="V1516" s="34" t="str">
        <f aca="false">IF(J1516="","SIN DATO",IFERROR(INDEX(cat_FunN,MATCH(J1516,cat_FunO,0)),J1516))</f>
        <v>Protección y medición</v>
      </c>
      <c r="W1516" s="34" t="str">
        <f aca="false">IF(OR(S1516="SIN DATO",T1516="SIN DATO"),"No","Sí")</f>
        <v>Sí</v>
      </c>
    </row>
    <row r="1517" customFormat="false" ht="15" hidden="false" customHeight="false" outlineLevel="0" collapsed="false">
      <c r="A1517" s="34" t="s">
        <v>5531</v>
      </c>
      <c r="B1517" s="34" t="s">
        <v>5532</v>
      </c>
      <c r="C1517" s="34" t="s">
        <v>5533</v>
      </c>
      <c r="D1517" s="34" t="s">
        <v>5534</v>
      </c>
      <c r="E1517" s="34" t="s">
        <v>126</v>
      </c>
      <c r="F1517" s="34" t="s">
        <v>1602</v>
      </c>
      <c r="G1517" s="34" t="s">
        <v>1184</v>
      </c>
      <c r="H1517" s="34" t="s">
        <v>55</v>
      </c>
      <c r="I1517" s="34" t="s">
        <v>55</v>
      </c>
      <c r="J1517" s="34" t="s">
        <v>58</v>
      </c>
      <c r="K1517" s="34" t="s">
        <v>229</v>
      </c>
      <c r="L1517" s="34" t="s">
        <v>230</v>
      </c>
      <c r="M1517" s="34" t="s">
        <v>344</v>
      </c>
      <c r="N1517" s="34" t="str">
        <f aca="false">"Sector "&amp;VALUE(MID(D1517,13,2))</f>
        <v>Sector 4</v>
      </c>
      <c r="O1517" s="34" t="str">
        <f aca="false">IF(Dashboard!$C$5="Ubicación técnica",N1517,"Sector "&amp;VALUE(RIGHT(G1517,2)))</f>
        <v>Sector 4</v>
      </c>
      <c r="P1517" s="34" t="str">
        <f aca="false">IF(MID(D1517,15,3)="SEL","Subestación eléctrica","Área de proceso")</f>
        <v>Subestación eléctrica</v>
      </c>
      <c r="Q1517" s="34" t="str">
        <f aca="false">MID(D1517,13,5)&amp;"|"&amp;MID(D1517,19,5)</f>
        <v>04SEL|S_027</v>
      </c>
      <c r="R1517" s="34" t="str">
        <f aca="false">IF(P1517="Subestación eléctrica",IFERROR(INDEX(cat_SubN,MATCH(Q1517,cat_SubK,0)),"SIN CATALOGAR"),"ÁREA DE PROCESO")</f>
        <v>SE-27</v>
      </c>
      <c r="S1517" s="34" t="str">
        <f aca="false">IF(H1517="","SIN DATO",IFERROR(INDEX(cat_MarcaN,MATCH(H1517,cat_MarcaO,0)),H1517))</f>
        <v>SEL</v>
      </c>
      <c r="T1517" s="34" t="str">
        <f aca="false">IF(I1517="","SIN DATO",IFERROR(INDEX(cat_ModN,MATCH(I1517,cat_ModO,0)),I1517))</f>
        <v>SEL</v>
      </c>
      <c r="U1517" s="34" t="str">
        <f aca="false">IF(I1517="","",IFERROR(INDEX(cat_ModG,MATCH(I1517,cat_ModO,0)),"No"))</f>
        <v>Sí</v>
      </c>
      <c r="V1517" s="34" t="str">
        <f aca="false">IF(J1517="","SIN DATO",IFERROR(INDEX(cat_FunN,MATCH(J1517,cat_FunO,0)),J1517))</f>
        <v>Medición</v>
      </c>
      <c r="W1517" s="34" t="str">
        <f aca="false">IF(OR(S1517="SIN DATO",T1517="SIN DATO"),"No","Sí")</f>
        <v>Sí</v>
      </c>
    </row>
    <row r="1518" customFormat="false" ht="15" hidden="false" customHeight="false" outlineLevel="0" collapsed="false">
      <c r="A1518" s="34" t="s">
        <v>5535</v>
      </c>
      <c r="B1518" s="34" t="s">
        <v>5536</v>
      </c>
      <c r="C1518" s="34" t="s">
        <v>5537</v>
      </c>
      <c r="D1518" s="34" t="s">
        <v>5538</v>
      </c>
      <c r="E1518" s="34" t="s">
        <v>126</v>
      </c>
      <c r="F1518" s="34" t="s">
        <v>1602</v>
      </c>
      <c r="G1518" s="34" t="s">
        <v>1184</v>
      </c>
      <c r="H1518" s="34" t="s">
        <v>55</v>
      </c>
      <c r="I1518" s="34" t="s">
        <v>55</v>
      </c>
      <c r="J1518" s="34" t="s">
        <v>58</v>
      </c>
      <c r="K1518" s="34" t="s">
        <v>229</v>
      </c>
      <c r="L1518" s="34" t="s">
        <v>230</v>
      </c>
      <c r="M1518" s="34" t="s">
        <v>344</v>
      </c>
      <c r="N1518" s="34" t="str">
        <f aca="false">"Sector "&amp;VALUE(MID(D1518,13,2))</f>
        <v>Sector 4</v>
      </c>
      <c r="O1518" s="34" t="str">
        <f aca="false">IF(Dashboard!$C$5="Ubicación técnica",N1518,"Sector "&amp;VALUE(RIGHT(G1518,2)))</f>
        <v>Sector 4</v>
      </c>
      <c r="P1518" s="34" t="str">
        <f aca="false">IF(MID(D1518,15,3)="SEL","Subestación eléctrica","Área de proceso")</f>
        <v>Subestación eléctrica</v>
      </c>
      <c r="Q1518" s="34" t="str">
        <f aca="false">MID(D1518,13,5)&amp;"|"&amp;MID(D1518,19,5)</f>
        <v>04SEL|S_027</v>
      </c>
      <c r="R1518" s="34" t="str">
        <f aca="false">IF(P1518="Subestación eléctrica",IFERROR(INDEX(cat_SubN,MATCH(Q1518,cat_SubK,0)),"SIN CATALOGAR"),"ÁREA DE PROCESO")</f>
        <v>SE-27</v>
      </c>
      <c r="S1518" s="34" t="str">
        <f aca="false">IF(H1518="","SIN DATO",IFERROR(INDEX(cat_MarcaN,MATCH(H1518,cat_MarcaO,0)),H1518))</f>
        <v>SEL</v>
      </c>
      <c r="T1518" s="34" t="str">
        <f aca="false">IF(I1518="","SIN DATO",IFERROR(INDEX(cat_ModN,MATCH(I1518,cat_ModO,0)),I1518))</f>
        <v>SEL</v>
      </c>
      <c r="U1518" s="34" t="str">
        <f aca="false">IF(I1518="","",IFERROR(INDEX(cat_ModG,MATCH(I1518,cat_ModO,0)),"No"))</f>
        <v>Sí</v>
      </c>
      <c r="V1518" s="34" t="str">
        <f aca="false">IF(J1518="","SIN DATO",IFERROR(INDEX(cat_FunN,MATCH(J1518,cat_FunO,0)),J1518))</f>
        <v>Medición</v>
      </c>
      <c r="W1518" s="34" t="str">
        <f aca="false">IF(OR(S1518="SIN DATO",T1518="SIN DATO"),"No","Sí")</f>
        <v>Sí</v>
      </c>
    </row>
    <row r="1519" customFormat="false" ht="15" hidden="false" customHeight="false" outlineLevel="0" collapsed="false">
      <c r="A1519" s="34" t="s">
        <v>5539</v>
      </c>
      <c r="B1519" s="34" t="s">
        <v>5540</v>
      </c>
      <c r="C1519" s="34" t="s">
        <v>5541</v>
      </c>
      <c r="D1519" s="34" t="s">
        <v>5542</v>
      </c>
      <c r="E1519" s="34" t="s">
        <v>126</v>
      </c>
      <c r="F1519" s="34" t="s">
        <v>1602</v>
      </c>
      <c r="G1519" s="34" t="s">
        <v>1184</v>
      </c>
      <c r="H1519" s="34" t="s">
        <v>55</v>
      </c>
      <c r="I1519" s="34" t="s">
        <v>55</v>
      </c>
      <c r="J1519" s="34" t="s">
        <v>58</v>
      </c>
      <c r="K1519" s="34" t="s">
        <v>229</v>
      </c>
      <c r="L1519" s="34" t="s">
        <v>230</v>
      </c>
      <c r="M1519" s="34" t="s">
        <v>344</v>
      </c>
      <c r="N1519" s="34" t="str">
        <f aca="false">"Sector "&amp;VALUE(MID(D1519,13,2))</f>
        <v>Sector 4</v>
      </c>
      <c r="O1519" s="34" t="str">
        <f aca="false">IF(Dashboard!$C$5="Ubicación técnica",N1519,"Sector "&amp;VALUE(RIGHT(G1519,2)))</f>
        <v>Sector 4</v>
      </c>
      <c r="P1519" s="34" t="str">
        <f aca="false">IF(MID(D1519,15,3)="SEL","Subestación eléctrica","Área de proceso")</f>
        <v>Subestación eléctrica</v>
      </c>
      <c r="Q1519" s="34" t="str">
        <f aca="false">MID(D1519,13,5)&amp;"|"&amp;MID(D1519,19,5)</f>
        <v>04SEL|S_027</v>
      </c>
      <c r="R1519" s="34" t="str">
        <f aca="false">IF(P1519="Subestación eléctrica",IFERROR(INDEX(cat_SubN,MATCH(Q1519,cat_SubK,0)),"SIN CATALOGAR"),"ÁREA DE PROCESO")</f>
        <v>SE-27</v>
      </c>
      <c r="S1519" s="34" t="str">
        <f aca="false">IF(H1519="","SIN DATO",IFERROR(INDEX(cat_MarcaN,MATCH(H1519,cat_MarcaO,0)),H1519))</f>
        <v>SEL</v>
      </c>
      <c r="T1519" s="34" t="str">
        <f aca="false">IF(I1519="","SIN DATO",IFERROR(INDEX(cat_ModN,MATCH(I1519,cat_ModO,0)),I1519))</f>
        <v>SEL</v>
      </c>
      <c r="U1519" s="34" t="str">
        <f aca="false">IF(I1519="","",IFERROR(INDEX(cat_ModG,MATCH(I1519,cat_ModO,0)),"No"))</f>
        <v>Sí</v>
      </c>
      <c r="V1519" s="34" t="str">
        <f aca="false">IF(J1519="","SIN DATO",IFERROR(INDEX(cat_FunN,MATCH(J1519,cat_FunO,0)),J1519))</f>
        <v>Medición</v>
      </c>
      <c r="W1519" s="34" t="str">
        <f aca="false">IF(OR(S1519="SIN DATO",T1519="SIN DATO"),"No","Sí")</f>
        <v>Sí</v>
      </c>
    </row>
    <row r="1520" customFormat="false" ht="15" hidden="false" customHeight="false" outlineLevel="0" collapsed="false">
      <c r="A1520" s="34" t="s">
        <v>5543</v>
      </c>
      <c r="B1520" s="34" t="s">
        <v>5544</v>
      </c>
      <c r="C1520" s="34" t="s">
        <v>5545</v>
      </c>
      <c r="D1520" s="34" t="s">
        <v>5546</v>
      </c>
      <c r="E1520" s="34" t="s">
        <v>126</v>
      </c>
      <c r="F1520" s="34" t="s">
        <v>1602</v>
      </c>
      <c r="G1520" s="34" t="s">
        <v>1184</v>
      </c>
      <c r="H1520" s="34" t="s">
        <v>55</v>
      </c>
      <c r="I1520" s="34" t="s">
        <v>55</v>
      </c>
      <c r="J1520" s="34" t="s">
        <v>58</v>
      </c>
      <c r="K1520" s="34" t="s">
        <v>229</v>
      </c>
      <c r="L1520" s="34" t="s">
        <v>230</v>
      </c>
      <c r="M1520" s="34" t="s">
        <v>344</v>
      </c>
      <c r="N1520" s="34" t="str">
        <f aca="false">"Sector "&amp;VALUE(MID(D1520,13,2))</f>
        <v>Sector 4</v>
      </c>
      <c r="O1520" s="34" t="str">
        <f aca="false">IF(Dashboard!$C$5="Ubicación técnica",N1520,"Sector "&amp;VALUE(RIGHT(G1520,2)))</f>
        <v>Sector 4</v>
      </c>
      <c r="P1520" s="34" t="str">
        <f aca="false">IF(MID(D1520,15,3)="SEL","Subestación eléctrica","Área de proceso")</f>
        <v>Subestación eléctrica</v>
      </c>
      <c r="Q1520" s="34" t="str">
        <f aca="false">MID(D1520,13,5)&amp;"|"&amp;MID(D1520,19,5)</f>
        <v>04SEL|S_027</v>
      </c>
      <c r="R1520" s="34" t="str">
        <f aca="false">IF(P1520="Subestación eléctrica",IFERROR(INDEX(cat_SubN,MATCH(Q1520,cat_SubK,0)),"SIN CATALOGAR"),"ÁREA DE PROCESO")</f>
        <v>SE-27</v>
      </c>
      <c r="S1520" s="34" t="str">
        <f aca="false">IF(H1520="","SIN DATO",IFERROR(INDEX(cat_MarcaN,MATCH(H1520,cat_MarcaO,0)),H1520))</f>
        <v>SEL</v>
      </c>
      <c r="T1520" s="34" t="str">
        <f aca="false">IF(I1520="","SIN DATO",IFERROR(INDEX(cat_ModN,MATCH(I1520,cat_ModO,0)),I1520))</f>
        <v>SEL</v>
      </c>
      <c r="U1520" s="34" t="str">
        <f aca="false">IF(I1520="","",IFERROR(INDEX(cat_ModG,MATCH(I1520,cat_ModO,0)),"No"))</f>
        <v>Sí</v>
      </c>
      <c r="V1520" s="34" t="str">
        <f aca="false">IF(J1520="","SIN DATO",IFERROR(INDEX(cat_FunN,MATCH(J1520,cat_FunO,0)),J1520))</f>
        <v>Medición</v>
      </c>
      <c r="W1520" s="34" t="str">
        <f aca="false">IF(OR(S1520="SIN DATO",T1520="SIN DATO"),"No","Sí")</f>
        <v>Sí</v>
      </c>
    </row>
    <row r="1521" customFormat="false" ht="15" hidden="false" customHeight="false" outlineLevel="0" collapsed="false">
      <c r="A1521" s="34" t="s">
        <v>5547</v>
      </c>
      <c r="B1521" s="34" t="s">
        <v>5548</v>
      </c>
      <c r="C1521" s="34" t="s">
        <v>5549</v>
      </c>
      <c r="D1521" s="34" t="s">
        <v>5550</v>
      </c>
      <c r="E1521" s="34" t="s">
        <v>126</v>
      </c>
      <c r="F1521" s="34" t="s">
        <v>1602</v>
      </c>
      <c r="G1521" s="34" t="s">
        <v>1184</v>
      </c>
      <c r="H1521" s="34" t="s">
        <v>55</v>
      </c>
      <c r="I1521" s="34" t="s">
        <v>55</v>
      </c>
      <c r="J1521" s="34" t="s">
        <v>58</v>
      </c>
      <c r="K1521" s="34" t="s">
        <v>229</v>
      </c>
      <c r="L1521" s="34" t="s">
        <v>230</v>
      </c>
      <c r="M1521" s="34" t="s">
        <v>344</v>
      </c>
      <c r="N1521" s="34" t="str">
        <f aca="false">"Sector "&amp;VALUE(MID(D1521,13,2))</f>
        <v>Sector 4</v>
      </c>
      <c r="O1521" s="34" t="str">
        <f aca="false">IF(Dashboard!$C$5="Ubicación técnica",N1521,"Sector "&amp;VALUE(RIGHT(G1521,2)))</f>
        <v>Sector 4</v>
      </c>
      <c r="P1521" s="34" t="str">
        <f aca="false">IF(MID(D1521,15,3)="SEL","Subestación eléctrica","Área de proceso")</f>
        <v>Subestación eléctrica</v>
      </c>
      <c r="Q1521" s="34" t="str">
        <f aca="false">MID(D1521,13,5)&amp;"|"&amp;MID(D1521,19,5)</f>
        <v>04SEL|S_027</v>
      </c>
      <c r="R1521" s="34" t="str">
        <f aca="false">IF(P1521="Subestación eléctrica",IFERROR(INDEX(cat_SubN,MATCH(Q1521,cat_SubK,0)),"SIN CATALOGAR"),"ÁREA DE PROCESO")</f>
        <v>SE-27</v>
      </c>
      <c r="S1521" s="34" t="str">
        <f aca="false">IF(H1521="","SIN DATO",IFERROR(INDEX(cat_MarcaN,MATCH(H1521,cat_MarcaO,0)),H1521))</f>
        <v>SEL</v>
      </c>
      <c r="T1521" s="34" t="str">
        <f aca="false">IF(I1521="","SIN DATO",IFERROR(INDEX(cat_ModN,MATCH(I1521,cat_ModO,0)),I1521))</f>
        <v>SEL</v>
      </c>
      <c r="U1521" s="34" t="str">
        <f aca="false">IF(I1521="","",IFERROR(INDEX(cat_ModG,MATCH(I1521,cat_ModO,0)),"No"))</f>
        <v>Sí</v>
      </c>
      <c r="V1521" s="34" t="str">
        <f aca="false">IF(J1521="","SIN DATO",IFERROR(INDEX(cat_FunN,MATCH(J1521,cat_FunO,0)),J1521))</f>
        <v>Medición</v>
      </c>
      <c r="W1521" s="34" t="str">
        <f aca="false">IF(OR(S1521="SIN DATO",T1521="SIN DATO"),"No","Sí")</f>
        <v>Sí</v>
      </c>
    </row>
    <row r="1522" customFormat="false" ht="15" hidden="false" customHeight="false" outlineLevel="0" collapsed="false">
      <c r="A1522" s="34" t="s">
        <v>5551</v>
      </c>
      <c r="B1522" s="34" t="s">
        <v>5552</v>
      </c>
      <c r="C1522" s="34" t="s">
        <v>5553</v>
      </c>
      <c r="D1522" s="34" t="s">
        <v>5554</v>
      </c>
      <c r="E1522" s="34" t="s">
        <v>126</v>
      </c>
      <c r="F1522" s="34" t="s">
        <v>1602</v>
      </c>
      <c r="G1522" s="34" t="s">
        <v>1184</v>
      </c>
      <c r="H1522" s="34" t="s">
        <v>55</v>
      </c>
      <c r="I1522" s="34" t="s">
        <v>55</v>
      </c>
      <c r="J1522" s="34" t="s">
        <v>58</v>
      </c>
      <c r="K1522" s="34" t="s">
        <v>229</v>
      </c>
      <c r="L1522" s="34" t="s">
        <v>230</v>
      </c>
      <c r="M1522" s="34" t="s">
        <v>344</v>
      </c>
      <c r="N1522" s="34" t="str">
        <f aca="false">"Sector "&amp;VALUE(MID(D1522,13,2))</f>
        <v>Sector 4</v>
      </c>
      <c r="O1522" s="34" t="str">
        <f aca="false">IF(Dashboard!$C$5="Ubicación técnica",N1522,"Sector "&amp;VALUE(RIGHT(G1522,2)))</f>
        <v>Sector 4</v>
      </c>
      <c r="P1522" s="34" t="str">
        <f aca="false">IF(MID(D1522,15,3)="SEL","Subestación eléctrica","Área de proceso")</f>
        <v>Subestación eléctrica</v>
      </c>
      <c r="Q1522" s="34" t="str">
        <f aca="false">MID(D1522,13,5)&amp;"|"&amp;MID(D1522,19,5)</f>
        <v>04SEL|S_027</v>
      </c>
      <c r="R1522" s="34" t="str">
        <f aca="false">IF(P1522="Subestación eléctrica",IFERROR(INDEX(cat_SubN,MATCH(Q1522,cat_SubK,0)),"SIN CATALOGAR"),"ÁREA DE PROCESO")</f>
        <v>SE-27</v>
      </c>
      <c r="S1522" s="34" t="str">
        <f aca="false">IF(H1522="","SIN DATO",IFERROR(INDEX(cat_MarcaN,MATCH(H1522,cat_MarcaO,0)),H1522))</f>
        <v>SEL</v>
      </c>
      <c r="T1522" s="34" t="str">
        <f aca="false">IF(I1522="","SIN DATO",IFERROR(INDEX(cat_ModN,MATCH(I1522,cat_ModO,0)),I1522))</f>
        <v>SEL</v>
      </c>
      <c r="U1522" s="34" t="str">
        <f aca="false">IF(I1522="","",IFERROR(INDEX(cat_ModG,MATCH(I1522,cat_ModO,0)),"No"))</f>
        <v>Sí</v>
      </c>
      <c r="V1522" s="34" t="str">
        <f aca="false">IF(J1522="","SIN DATO",IFERROR(INDEX(cat_FunN,MATCH(J1522,cat_FunO,0)),J1522))</f>
        <v>Medición</v>
      </c>
      <c r="W1522" s="34" t="str">
        <f aca="false">IF(OR(S1522="SIN DATO",T1522="SIN DATO"),"No","Sí")</f>
        <v>Sí</v>
      </c>
    </row>
    <row r="1523" customFormat="false" ht="15" hidden="false" customHeight="false" outlineLevel="0" collapsed="false">
      <c r="A1523" s="34" t="s">
        <v>5555</v>
      </c>
      <c r="B1523" s="34" t="s">
        <v>5556</v>
      </c>
      <c r="C1523" s="34" t="s">
        <v>5557</v>
      </c>
      <c r="D1523" s="34" t="s">
        <v>5558</v>
      </c>
      <c r="E1523" s="34" t="s">
        <v>126</v>
      </c>
      <c r="F1523" s="34" t="s">
        <v>1602</v>
      </c>
      <c r="G1523" s="34" t="s">
        <v>1184</v>
      </c>
      <c r="H1523" s="34" t="s">
        <v>55</v>
      </c>
      <c r="I1523" s="34" t="s">
        <v>55</v>
      </c>
      <c r="J1523" s="34" t="s">
        <v>58</v>
      </c>
      <c r="K1523" s="34" t="s">
        <v>229</v>
      </c>
      <c r="L1523" s="34" t="s">
        <v>230</v>
      </c>
      <c r="M1523" s="34" t="s">
        <v>344</v>
      </c>
      <c r="N1523" s="34" t="str">
        <f aca="false">"Sector "&amp;VALUE(MID(D1523,13,2))</f>
        <v>Sector 4</v>
      </c>
      <c r="O1523" s="34" t="str">
        <f aca="false">IF(Dashboard!$C$5="Ubicación técnica",N1523,"Sector "&amp;VALUE(RIGHT(G1523,2)))</f>
        <v>Sector 4</v>
      </c>
      <c r="P1523" s="34" t="str">
        <f aca="false">IF(MID(D1523,15,3)="SEL","Subestación eléctrica","Área de proceso")</f>
        <v>Subestación eléctrica</v>
      </c>
      <c r="Q1523" s="34" t="str">
        <f aca="false">MID(D1523,13,5)&amp;"|"&amp;MID(D1523,19,5)</f>
        <v>04SEL|S_027</v>
      </c>
      <c r="R1523" s="34" t="str">
        <f aca="false">IF(P1523="Subestación eléctrica",IFERROR(INDEX(cat_SubN,MATCH(Q1523,cat_SubK,0)),"SIN CATALOGAR"),"ÁREA DE PROCESO")</f>
        <v>SE-27</v>
      </c>
      <c r="S1523" s="34" t="str">
        <f aca="false">IF(H1523="","SIN DATO",IFERROR(INDEX(cat_MarcaN,MATCH(H1523,cat_MarcaO,0)),H1523))</f>
        <v>SEL</v>
      </c>
      <c r="T1523" s="34" t="str">
        <f aca="false">IF(I1523="","SIN DATO",IFERROR(INDEX(cat_ModN,MATCH(I1523,cat_ModO,0)),I1523))</f>
        <v>SEL</v>
      </c>
      <c r="U1523" s="34" t="str">
        <f aca="false">IF(I1523="","",IFERROR(INDEX(cat_ModG,MATCH(I1523,cat_ModO,0)),"No"))</f>
        <v>Sí</v>
      </c>
      <c r="V1523" s="34" t="str">
        <f aca="false">IF(J1523="","SIN DATO",IFERROR(INDEX(cat_FunN,MATCH(J1523,cat_FunO,0)),J1523))</f>
        <v>Medición</v>
      </c>
      <c r="W1523" s="34" t="str">
        <f aca="false">IF(OR(S1523="SIN DATO",T1523="SIN DATO"),"No","Sí")</f>
        <v>Sí</v>
      </c>
    </row>
    <row r="1524" customFormat="false" ht="15" hidden="false" customHeight="false" outlineLevel="0" collapsed="false">
      <c r="A1524" s="34" t="s">
        <v>5559</v>
      </c>
      <c r="B1524" s="34" t="s">
        <v>5560</v>
      </c>
      <c r="C1524" s="34" t="s">
        <v>5561</v>
      </c>
      <c r="D1524" s="34" t="s">
        <v>5562</v>
      </c>
      <c r="E1524" s="34" t="s">
        <v>126</v>
      </c>
      <c r="F1524" s="34" t="s">
        <v>1602</v>
      </c>
      <c r="G1524" s="34" t="s">
        <v>1184</v>
      </c>
      <c r="H1524" s="34" t="s">
        <v>55</v>
      </c>
      <c r="I1524" s="34" t="s">
        <v>55</v>
      </c>
      <c r="J1524" s="34" t="s">
        <v>58</v>
      </c>
      <c r="K1524" s="34" t="s">
        <v>229</v>
      </c>
      <c r="L1524" s="34" t="s">
        <v>230</v>
      </c>
      <c r="M1524" s="34" t="s">
        <v>344</v>
      </c>
      <c r="N1524" s="34" t="str">
        <f aca="false">"Sector "&amp;VALUE(MID(D1524,13,2))</f>
        <v>Sector 4</v>
      </c>
      <c r="O1524" s="34" t="str">
        <f aca="false">IF(Dashboard!$C$5="Ubicación técnica",N1524,"Sector "&amp;VALUE(RIGHT(G1524,2)))</f>
        <v>Sector 4</v>
      </c>
      <c r="P1524" s="34" t="str">
        <f aca="false">IF(MID(D1524,15,3)="SEL","Subestación eléctrica","Área de proceso")</f>
        <v>Subestación eléctrica</v>
      </c>
      <c r="Q1524" s="34" t="str">
        <f aca="false">MID(D1524,13,5)&amp;"|"&amp;MID(D1524,19,5)</f>
        <v>04SEL|S_027</v>
      </c>
      <c r="R1524" s="34" t="str">
        <f aca="false">IF(P1524="Subestación eléctrica",IFERROR(INDEX(cat_SubN,MATCH(Q1524,cat_SubK,0)),"SIN CATALOGAR"),"ÁREA DE PROCESO")</f>
        <v>SE-27</v>
      </c>
      <c r="S1524" s="34" t="str">
        <f aca="false">IF(H1524="","SIN DATO",IFERROR(INDEX(cat_MarcaN,MATCH(H1524,cat_MarcaO,0)),H1524))</f>
        <v>SEL</v>
      </c>
      <c r="T1524" s="34" t="str">
        <f aca="false">IF(I1524="","SIN DATO",IFERROR(INDEX(cat_ModN,MATCH(I1524,cat_ModO,0)),I1524))</f>
        <v>SEL</v>
      </c>
      <c r="U1524" s="34" t="str">
        <f aca="false">IF(I1524="","",IFERROR(INDEX(cat_ModG,MATCH(I1524,cat_ModO,0)),"No"))</f>
        <v>Sí</v>
      </c>
      <c r="V1524" s="34" t="str">
        <f aca="false">IF(J1524="","SIN DATO",IFERROR(INDEX(cat_FunN,MATCH(J1524,cat_FunO,0)),J1524))</f>
        <v>Medición</v>
      </c>
      <c r="W1524" s="34" t="str">
        <f aca="false">IF(OR(S1524="SIN DATO",T1524="SIN DATO"),"No","Sí")</f>
        <v>Sí</v>
      </c>
    </row>
    <row r="1525" customFormat="false" ht="15" hidden="false" customHeight="false" outlineLevel="0" collapsed="false">
      <c r="A1525" s="34" t="s">
        <v>5563</v>
      </c>
      <c r="B1525" s="34" t="s">
        <v>5564</v>
      </c>
      <c r="C1525" s="34" t="s">
        <v>5565</v>
      </c>
      <c r="D1525" s="34" t="s">
        <v>5566</v>
      </c>
      <c r="E1525" s="34" t="s">
        <v>126</v>
      </c>
      <c r="F1525" s="34" t="s">
        <v>1602</v>
      </c>
      <c r="G1525" s="34" t="s">
        <v>1184</v>
      </c>
      <c r="H1525" s="34" t="s">
        <v>55</v>
      </c>
      <c r="I1525" s="34" t="s">
        <v>55</v>
      </c>
      <c r="J1525" s="34" t="s">
        <v>58</v>
      </c>
      <c r="K1525" s="34" t="s">
        <v>229</v>
      </c>
      <c r="L1525" s="34" t="s">
        <v>230</v>
      </c>
      <c r="M1525" s="34" t="s">
        <v>344</v>
      </c>
      <c r="N1525" s="34" t="str">
        <f aca="false">"Sector "&amp;VALUE(MID(D1525,13,2))</f>
        <v>Sector 4</v>
      </c>
      <c r="O1525" s="34" t="str">
        <f aca="false">IF(Dashboard!$C$5="Ubicación técnica",N1525,"Sector "&amp;VALUE(RIGHT(G1525,2)))</f>
        <v>Sector 4</v>
      </c>
      <c r="P1525" s="34" t="str">
        <f aca="false">IF(MID(D1525,15,3)="SEL","Subestación eléctrica","Área de proceso")</f>
        <v>Subestación eléctrica</v>
      </c>
      <c r="Q1525" s="34" t="str">
        <f aca="false">MID(D1525,13,5)&amp;"|"&amp;MID(D1525,19,5)</f>
        <v>04SEL|S_027</v>
      </c>
      <c r="R1525" s="34" t="str">
        <f aca="false">IF(P1525="Subestación eléctrica",IFERROR(INDEX(cat_SubN,MATCH(Q1525,cat_SubK,0)),"SIN CATALOGAR"),"ÁREA DE PROCESO")</f>
        <v>SE-27</v>
      </c>
      <c r="S1525" s="34" t="str">
        <f aca="false">IF(H1525="","SIN DATO",IFERROR(INDEX(cat_MarcaN,MATCH(H1525,cat_MarcaO,0)),H1525))</f>
        <v>SEL</v>
      </c>
      <c r="T1525" s="34" t="str">
        <f aca="false">IF(I1525="","SIN DATO",IFERROR(INDEX(cat_ModN,MATCH(I1525,cat_ModO,0)),I1525))</f>
        <v>SEL</v>
      </c>
      <c r="U1525" s="34" t="str">
        <f aca="false">IF(I1525="","",IFERROR(INDEX(cat_ModG,MATCH(I1525,cat_ModO,0)),"No"))</f>
        <v>Sí</v>
      </c>
      <c r="V1525" s="34" t="str">
        <f aca="false">IF(J1525="","SIN DATO",IFERROR(INDEX(cat_FunN,MATCH(J1525,cat_FunO,0)),J1525))</f>
        <v>Medición</v>
      </c>
      <c r="W1525" s="34" t="str">
        <f aca="false">IF(OR(S1525="SIN DATO",T1525="SIN DATO"),"No","Sí")</f>
        <v>Sí</v>
      </c>
    </row>
    <row r="1526" customFormat="false" ht="15" hidden="false" customHeight="false" outlineLevel="0" collapsed="false">
      <c r="A1526" s="34" t="s">
        <v>5567</v>
      </c>
      <c r="B1526" s="34" t="s">
        <v>5568</v>
      </c>
      <c r="C1526" s="34" t="s">
        <v>5569</v>
      </c>
      <c r="D1526" s="34" t="s">
        <v>5570</v>
      </c>
      <c r="E1526" s="34" t="s">
        <v>126</v>
      </c>
      <c r="F1526" s="34" t="s">
        <v>1602</v>
      </c>
      <c r="G1526" s="34" t="s">
        <v>1184</v>
      </c>
      <c r="H1526" s="34" t="s">
        <v>55</v>
      </c>
      <c r="I1526" s="34" t="s">
        <v>55</v>
      </c>
      <c r="J1526" s="34" t="s">
        <v>58</v>
      </c>
      <c r="K1526" s="34" t="s">
        <v>229</v>
      </c>
      <c r="L1526" s="34" t="s">
        <v>230</v>
      </c>
      <c r="M1526" s="34" t="s">
        <v>344</v>
      </c>
      <c r="N1526" s="34" t="str">
        <f aca="false">"Sector "&amp;VALUE(MID(D1526,13,2))</f>
        <v>Sector 4</v>
      </c>
      <c r="O1526" s="34" t="str">
        <f aca="false">IF(Dashboard!$C$5="Ubicación técnica",N1526,"Sector "&amp;VALUE(RIGHT(G1526,2)))</f>
        <v>Sector 4</v>
      </c>
      <c r="P1526" s="34" t="str">
        <f aca="false">IF(MID(D1526,15,3)="SEL","Subestación eléctrica","Área de proceso")</f>
        <v>Subestación eléctrica</v>
      </c>
      <c r="Q1526" s="34" t="str">
        <f aca="false">MID(D1526,13,5)&amp;"|"&amp;MID(D1526,19,5)</f>
        <v>04SEL|S_027</v>
      </c>
      <c r="R1526" s="34" t="str">
        <f aca="false">IF(P1526="Subestación eléctrica",IFERROR(INDEX(cat_SubN,MATCH(Q1526,cat_SubK,0)),"SIN CATALOGAR"),"ÁREA DE PROCESO")</f>
        <v>SE-27</v>
      </c>
      <c r="S1526" s="34" t="str">
        <f aca="false">IF(H1526="","SIN DATO",IFERROR(INDEX(cat_MarcaN,MATCH(H1526,cat_MarcaO,0)),H1526))</f>
        <v>SEL</v>
      </c>
      <c r="T1526" s="34" t="str">
        <f aca="false">IF(I1526="","SIN DATO",IFERROR(INDEX(cat_ModN,MATCH(I1526,cat_ModO,0)),I1526))</f>
        <v>SEL</v>
      </c>
      <c r="U1526" s="34" t="str">
        <f aca="false">IF(I1526="","",IFERROR(INDEX(cat_ModG,MATCH(I1526,cat_ModO,0)),"No"))</f>
        <v>Sí</v>
      </c>
      <c r="V1526" s="34" t="str">
        <f aca="false">IF(J1526="","SIN DATO",IFERROR(INDEX(cat_FunN,MATCH(J1526,cat_FunO,0)),J1526))</f>
        <v>Medición</v>
      </c>
      <c r="W1526" s="34" t="str">
        <f aca="false">IF(OR(S1526="SIN DATO",T1526="SIN DATO"),"No","Sí")</f>
        <v>Sí</v>
      </c>
    </row>
    <row r="1527" customFormat="false" ht="15" hidden="false" customHeight="false" outlineLevel="0" collapsed="false">
      <c r="A1527" s="34" t="s">
        <v>5571</v>
      </c>
      <c r="B1527" s="34" t="s">
        <v>5572</v>
      </c>
      <c r="C1527" s="34" t="s">
        <v>5573</v>
      </c>
      <c r="D1527" s="34" t="s">
        <v>5574</v>
      </c>
      <c r="E1527" s="34" t="s">
        <v>122</v>
      </c>
      <c r="F1527" s="34" t="s">
        <v>1602</v>
      </c>
      <c r="G1527" s="34" t="s">
        <v>1184</v>
      </c>
      <c r="H1527" s="34" t="s">
        <v>61</v>
      </c>
      <c r="I1527" s="34" t="s">
        <v>63</v>
      </c>
      <c r="J1527" s="34" t="s">
        <v>228</v>
      </c>
      <c r="K1527" s="34" t="s">
        <v>229</v>
      </c>
      <c r="L1527" s="34" t="s">
        <v>230</v>
      </c>
      <c r="M1527" s="34" t="s">
        <v>344</v>
      </c>
      <c r="N1527" s="34" t="str">
        <f aca="false">"Sector "&amp;VALUE(MID(D1527,13,2))</f>
        <v>Sector 4</v>
      </c>
      <c r="O1527" s="34" t="str">
        <f aca="false">IF(Dashboard!$C$5="Ubicación técnica",N1527,"Sector "&amp;VALUE(RIGHT(G1527,2)))</f>
        <v>Sector 4</v>
      </c>
      <c r="P1527" s="34" t="str">
        <f aca="false">IF(MID(D1527,15,3)="SEL","Subestación eléctrica","Área de proceso")</f>
        <v>Subestación eléctrica</v>
      </c>
      <c r="Q1527" s="34" t="str">
        <f aca="false">MID(D1527,13,5)&amp;"|"&amp;MID(D1527,19,5)</f>
        <v>04SEL|S_024</v>
      </c>
      <c r="R1527" s="34" t="str">
        <f aca="false">IF(P1527="Subestación eléctrica",IFERROR(INDEX(cat_SubN,MATCH(Q1527,cat_SubK,0)),"SIN CATALOGAR"),"ÁREA DE PROCESO")</f>
        <v>SE-24</v>
      </c>
      <c r="S1527" s="34" t="str">
        <f aca="false">IF(H1527="","SIN DATO",IFERROR(INDEX(cat_MarcaN,MATCH(H1527,cat_MarcaO,0)),H1527))</f>
        <v>GENERAL ELECTRIC</v>
      </c>
      <c r="T1527" s="34" t="str">
        <f aca="false">IF(I1527="","SIN DATO",IFERROR(INDEX(cat_ModN,MATCH(I1527,cat_ModO,0)),I1527))</f>
        <v>MULTILIN</v>
      </c>
      <c r="U1527" s="34" t="str">
        <f aca="false">IF(I1527="","",IFERROR(INDEX(cat_ModG,MATCH(I1527,cat_ModO,0)),"No"))</f>
        <v>Sí</v>
      </c>
      <c r="V1527" s="34" t="str">
        <f aca="false">IF(J1527="","SIN DATO",IFERROR(INDEX(cat_FunN,MATCH(J1527,cat_FunO,0)),J1527))</f>
        <v>Protección y medición</v>
      </c>
      <c r="W1527" s="34" t="str">
        <f aca="false">IF(OR(S1527="SIN DATO",T1527="SIN DATO"),"No","Sí")</f>
        <v>Sí</v>
      </c>
    </row>
    <row r="1528" customFormat="false" ht="15" hidden="false" customHeight="false" outlineLevel="0" collapsed="false">
      <c r="A1528" s="34" t="s">
        <v>5575</v>
      </c>
      <c r="B1528" s="34" t="s">
        <v>5576</v>
      </c>
      <c r="C1528" s="34" t="s">
        <v>5577</v>
      </c>
      <c r="D1528" s="34" t="s">
        <v>5574</v>
      </c>
      <c r="E1528" s="34" t="s">
        <v>122</v>
      </c>
      <c r="F1528" s="34" t="s">
        <v>1602</v>
      </c>
      <c r="G1528" s="34" t="s">
        <v>1184</v>
      </c>
      <c r="H1528" s="34" t="s">
        <v>61</v>
      </c>
      <c r="I1528" s="34" t="s">
        <v>63</v>
      </c>
      <c r="J1528" s="34" t="s">
        <v>228</v>
      </c>
      <c r="K1528" s="34" t="s">
        <v>229</v>
      </c>
      <c r="L1528" s="34" t="s">
        <v>230</v>
      </c>
      <c r="M1528" s="34" t="s">
        <v>344</v>
      </c>
      <c r="N1528" s="34" t="str">
        <f aca="false">"Sector "&amp;VALUE(MID(D1528,13,2))</f>
        <v>Sector 4</v>
      </c>
      <c r="O1528" s="34" t="str">
        <f aca="false">IF(Dashboard!$C$5="Ubicación técnica",N1528,"Sector "&amp;VALUE(RIGHT(G1528,2)))</f>
        <v>Sector 4</v>
      </c>
      <c r="P1528" s="34" t="str">
        <f aca="false">IF(MID(D1528,15,3)="SEL","Subestación eléctrica","Área de proceso")</f>
        <v>Subestación eléctrica</v>
      </c>
      <c r="Q1528" s="34" t="str">
        <f aca="false">MID(D1528,13,5)&amp;"|"&amp;MID(D1528,19,5)</f>
        <v>04SEL|S_024</v>
      </c>
      <c r="R1528" s="34" t="str">
        <f aca="false">IF(P1528="Subestación eléctrica",IFERROR(INDEX(cat_SubN,MATCH(Q1528,cat_SubK,0)),"SIN CATALOGAR"),"ÁREA DE PROCESO")</f>
        <v>SE-24</v>
      </c>
      <c r="S1528" s="34" t="str">
        <f aca="false">IF(H1528="","SIN DATO",IFERROR(INDEX(cat_MarcaN,MATCH(H1528,cat_MarcaO,0)),H1528))</f>
        <v>GENERAL ELECTRIC</v>
      </c>
      <c r="T1528" s="34" t="str">
        <f aca="false">IF(I1528="","SIN DATO",IFERROR(INDEX(cat_ModN,MATCH(I1528,cat_ModO,0)),I1528))</f>
        <v>MULTILIN</v>
      </c>
      <c r="U1528" s="34" t="str">
        <f aca="false">IF(I1528="","",IFERROR(INDEX(cat_ModG,MATCH(I1528,cat_ModO,0)),"No"))</f>
        <v>Sí</v>
      </c>
      <c r="V1528" s="34" t="str">
        <f aca="false">IF(J1528="","SIN DATO",IFERROR(INDEX(cat_FunN,MATCH(J1528,cat_FunO,0)),J1528))</f>
        <v>Protección y medición</v>
      </c>
      <c r="W1528" s="34" t="str">
        <f aca="false">IF(OR(S1528="SIN DATO",T1528="SIN DATO"),"No","Sí")</f>
        <v>Sí</v>
      </c>
    </row>
    <row r="1529" customFormat="false" ht="15" hidden="false" customHeight="false" outlineLevel="0" collapsed="false">
      <c r="A1529" s="34" t="s">
        <v>5578</v>
      </c>
      <c r="B1529" s="34" t="s">
        <v>5579</v>
      </c>
      <c r="C1529" s="34" t="s">
        <v>5580</v>
      </c>
      <c r="D1529" s="34" t="s">
        <v>5581</v>
      </c>
      <c r="E1529" s="34" t="s">
        <v>122</v>
      </c>
      <c r="F1529" s="34" t="s">
        <v>1602</v>
      </c>
      <c r="G1529" s="34" t="s">
        <v>1184</v>
      </c>
      <c r="H1529" s="34" t="s">
        <v>61</v>
      </c>
      <c r="I1529" s="34" t="s">
        <v>63</v>
      </c>
      <c r="J1529" s="34" t="s">
        <v>228</v>
      </c>
      <c r="K1529" s="34" t="s">
        <v>229</v>
      </c>
      <c r="L1529" s="34" t="s">
        <v>230</v>
      </c>
      <c r="M1529" s="34" t="s">
        <v>344</v>
      </c>
      <c r="N1529" s="34" t="str">
        <f aca="false">"Sector "&amp;VALUE(MID(D1529,13,2))</f>
        <v>Sector 4</v>
      </c>
      <c r="O1529" s="34" t="str">
        <f aca="false">IF(Dashboard!$C$5="Ubicación técnica",N1529,"Sector "&amp;VALUE(RIGHT(G1529,2)))</f>
        <v>Sector 4</v>
      </c>
      <c r="P1529" s="34" t="str">
        <f aca="false">IF(MID(D1529,15,3)="SEL","Subestación eléctrica","Área de proceso")</f>
        <v>Subestación eléctrica</v>
      </c>
      <c r="Q1529" s="34" t="str">
        <f aca="false">MID(D1529,13,5)&amp;"|"&amp;MID(D1529,19,5)</f>
        <v>04SEL|S_024</v>
      </c>
      <c r="R1529" s="34" t="str">
        <f aca="false">IF(P1529="Subestación eléctrica",IFERROR(INDEX(cat_SubN,MATCH(Q1529,cat_SubK,0)),"SIN CATALOGAR"),"ÁREA DE PROCESO")</f>
        <v>SE-24</v>
      </c>
      <c r="S1529" s="34" t="str">
        <f aca="false">IF(H1529="","SIN DATO",IFERROR(INDEX(cat_MarcaN,MATCH(H1529,cat_MarcaO,0)),H1529))</f>
        <v>GENERAL ELECTRIC</v>
      </c>
      <c r="T1529" s="34" t="str">
        <f aca="false">IF(I1529="","SIN DATO",IFERROR(INDEX(cat_ModN,MATCH(I1529,cat_ModO,0)),I1529))</f>
        <v>MULTILIN</v>
      </c>
      <c r="U1529" s="34" t="str">
        <f aca="false">IF(I1529="","",IFERROR(INDEX(cat_ModG,MATCH(I1529,cat_ModO,0)),"No"))</f>
        <v>Sí</v>
      </c>
      <c r="V1529" s="34" t="str">
        <f aca="false">IF(J1529="","SIN DATO",IFERROR(INDEX(cat_FunN,MATCH(J1529,cat_FunO,0)),J1529))</f>
        <v>Protección y medición</v>
      </c>
      <c r="W1529" s="34" t="str">
        <f aca="false">IF(OR(S1529="SIN DATO",T1529="SIN DATO"),"No","Sí")</f>
        <v>Sí</v>
      </c>
    </row>
    <row r="1530" customFormat="false" ht="15" hidden="false" customHeight="false" outlineLevel="0" collapsed="false">
      <c r="A1530" s="34" t="s">
        <v>5582</v>
      </c>
      <c r="B1530" s="34" t="s">
        <v>5583</v>
      </c>
      <c r="C1530" s="34" t="s">
        <v>5584</v>
      </c>
      <c r="D1530" s="34" t="s">
        <v>5581</v>
      </c>
      <c r="E1530" s="34" t="s">
        <v>122</v>
      </c>
      <c r="F1530" s="34" t="s">
        <v>1602</v>
      </c>
      <c r="G1530" s="34" t="s">
        <v>1184</v>
      </c>
      <c r="H1530" s="34" t="s">
        <v>61</v>
      </c>
      <c r="I1530" s="34" t="s">
        <v>63</v>
      </c>
      <c r="J1530" s="34" t="s">
        <v>228</v>
      </c>
      <c r="K1530" s="34" t="s">
        <v>229</v>
      </c>
      <c r="L1530" s="34" t="s">
        <v>230</v>
      </c>
      <c r="M1530" s="34" t="s">
        <v>4221</v>
      </c>
      <c r="N1530" s="34" t="str">
        <f aca="false">"Sector "&amp;VALUE(MID(D1530,13,2))</f>
        <v>Sector 4</v>
      </c>
      <c r="O1530" s="34" t="str">
        <f aca="false">IF(Dashboard!$C$5="Ubicación técnica",N1530,"Sector "&amp;VALUE(RIGHT(G1530,2)))</f>
        <v>Sector 4</v>
      </c>
      <c r="P1530" s="34" t="str">
        <f aca="false">IF(MID(D1530,15,3)="SEL","Subestación eléctrica","Área de proceso")</f>
        <v>Subestación eléctrica</v>
      </c>
      <c r="Q1530" s="34" t="str">
        <f aca="false">MID(D1530,13,5)&amp;"|"&amp;MID(D1530,19,5)</f>
        <v>04SEL|S_024</v>
      </c>
      <c r="R1530" s="34" t="str">
        <f aca="false">IF(P1530="Subestación eléctrica",IFERROR(INDEX(cat_SubN,MATCH(Q1530,cat_SubK,0)),"SIN CATALOGAR"),"ÁREA DE PROCESO")</f>
        <v>SE-24</v>
      </c>
      <c r="S1530" s="34" t="str">
        <f aca="false">IF(H1530="","SIN DATO",IFERROR(INDEX(cat_MarcaN,MATCH(H1530,cat_MarcaO,0)),H1530))</f>
        <v>GENERAL ELECTRIC</v>
      </c>
      <c r="T1530" s="34" t="str">
        <f aca="false">IF(I1530="","SIN DATO",IFERROR(INDEX(cat_ModN,MATCH(I1530,cat_ModO,0)),I1530))</f>
        <v>MULTILIN</v>
      </c>
      <c r="U1530" s="34" t="str">
        <f aca="false">IF(I1530="","",IFERROR(INDEX(cat_ModG,MATCH(I1530,cat_ModO,0)),"No"))</f>
        <v>Sí</v>
      </c>
      <c r="V1530" s="34" t="str">
        <f aca="false">IF(J1530="","SIN DATO",IFERROR(INDEX(cat_FunN,MATCH(J1530,cat_FunO,0)),J1530))</f>
        <v>Protección y medición</v>
      </c>
      <c r="W1530" s="34" t="str">
        <f aca="false">IF(OR(S1530="SIN DATO",T1530="SIN DATO"),"No","Sí")</f>
        <v>Sí</v>
      </c>
    </row>
    <row r="1531" customFormat="false" ht="15" hidden="false" customHeight="false" outlineLevel="0" collapsed="false">
      <c r="A1531" s="34" t="s">
        <v>5585</v>
      </c>
      <c r="B1531" s="34" t="s">
        <v>5586</v>
      </c>
      <c r="C1531" s="34" t="s">
        <v>5587</v>
      </c>
      <c r="D1531" s="34" t="s">
        <v>5581</v>
      </c>
      <c r="E1531" s="34" t="s">
        <v>122</v>
      </c>
      <c r="F1531" s="34" t="s">
        <v>1602</v>
      </c>
      <c r="G1531" s="34" t="s">
        <v>1184</v>
      </c>
      <c r="H1531" s="34" t="s">
        <v>61</v>
      </c>
      <c r="I1531" s="34" t="s">
        <v>63</v>
      </c>
      <c r="J1531" s="34" t="s">
        <v>228</v>
      </c>
      <c r="K1531" s="34" t="s">
        <v>229</v>
      </c>
      <c r="L1531" s="34" t="s">
        <v>230</v>
      </c>
      <c r="M1531" s="34" t="s">
        <v>4221</v>
      </c>
      <c r="N1531" s="34" t="str">
        <f aca="false">"Sector "&amp;VALUE(MID(D1531,13,2))</f>
        <v>Sector 4</v>
      </c>
      <c r="O1531" s="34" t="str">
        <f aca="false">IF(Dashboard!$C$5="Ubicación técnica",N1531,"Sector "&amp;VALUE(RIGHT(G1531,2)))</f>
        <v>Sector 4</v>
      </c>
      <c r="P1531" s="34" t="str">
        <f aca="false">IF(MID(D1531,15,3)="SEL","Subestación eléctrica","Área de proceso")</f>
        <v>Subestación eléctrica</v>
      </c>
      <c r="Q1531" s="34" t="str">
        <f aca="false">MID(D1531,13,5)&amp;"|"&amp;MID(D1531,19,5)</f>
        <v>04SEL|S_024</v>
      </c>
      <c r="R1531" s="34" t="str">
        <f aca="false">IF(P1531="Subestación eléctrica",IFERROR(INDEX(cat_SubN,MATCH(Q1531,cat_SubK,0)),"SIN CATALOGAR"),"ÁREA DE PROCESO")</f>
        <v>SE-24</v>
      </c>
      <c r="S1531" s="34" t="str">
        <f aca="false">IF(H1531="","SIN DATO",IFERROR(INDEX(cat_MarcaN,MATCH(H1531,cat_MarcaO,0)),H1531))</f>
        <v>GENERAL ELECTRIC</v>
      </c>
      <c r="T1531" s="34" t="str">
        <f aca="false">IF(I1531="","SIN DATO",IFERROR(INDEX(cat_ModN,MATCH(I1531,cat_ModO,0)),I1531))</f>
        <v>MULTILIN</v>
      </c>
      <c r="U1531" s="34" t="str">
        <f aca="false">IF(I1531="","",IFERROR(INDEX(cat_ModG,MATCH(I1531,cat_ModO,0)),"No"))</f>
        <v>Sí</v>
      </c>
      <c r="V1531" s="34" t="str">
        <f aca="false">IF(J1531="","SIN DATO",IFERROR(INDEX(cat_FunN,MATCH(J1531,cat_FunO,0)),J1531))</f>
        <v>Protección y medición</v>
      </c>
      <c r="W1531" s="34" t="str">
        <f aca="false">IF(OR(S1531="SIN DATO",T1531="SIN DATO"),"No","Sí")</f>
        <v>Sí</v>
      </c>
    </row>
    <row r="1532" customFormat="false" ht="15" hidden="false" customHeight="false" outlineLevel="0" collapsed="false">
      <c r="A1532" s="34" t="s">
        <v>5588</v>
      </c>
      <c r="B1532" s="34" t="s">
        <v>5589</v>
      </c>
      <c r="C1532" s="34" t="s">
        <v>5590</v>
      </c>
      <c r="D1532" s="34" t="s">
        <v>5581</v>
      </c>
      <c r="E1532" s="34" t="s">
        <v>122</v>
      </c>
      <c r="F1532" s="34" t="s">
        <v>1602</v>
      </c>
      <c r="G1532" s="34" t="s">
        <v>1184</v>
      </c>
      <c r="H1532" s="34" t="s">
        <v>61</v>
      </c>
      <c r="I1532" s="34" t="s">
        <v>63</v>
      </c>
      <c r="J1532" s="34" t="s">
        <v>228</v>
      </c>
      <c r="K1532" s="34" t="s">
        <v>229</v>
      </c>
      <c r="L1532" s="34" t="s">
        <v>230</v>
      </c>
      <c r="M1532" s="34" t="s">
        <v>344</v>
      </c>
      <c r="N1532" s="34" t="str">
        <f aca="false">"Sector "&amp;VALUE(MID(D1532,13,2))</f>
        <v>Sector 4</v>
      </c>
      <c r="O1532" s="34" t="str">
        <f aca="false">IF(Dashboard!$C$5="Ubicación técnica",N1532,"Sector "&amp;VALUE(RIGHT(G1532,2)))</f>
        <v>Sector 4</v>
      </c>
      <c r="P1532" s="34" t="str">
        <f aca="false">IF(MID(D1532,15,3)="SEL","Subestación eléctrica","Área de proceso")</f>
        <v>Subestación eléctrica</v>
      </c>
      <c r="Q1532" s="34" t="str">
        <f aca="false">MID(D1532,13,5)&amp;"|"&amp;MID(D1532,19,5)</f>
        <v>04SEL|S_024</v>
      </c>
      <c r="R1532" s="34" t="str">
        <f aca="false">IF(P1532="Subestación eléctrica",IFERROR(INDEX(cat_SubN,MATCH(Q1532,cat_SubK,0)),"SIN CATALOGAR"),"ÁREA DE PROCESO")</f>
        <v>SE-24</v>
      </c>
      <c r="S1532" s="34" t="str">
        <f aca="false">IF(H1532="","SIN DATO",IFERROR(INDEX(cat_MarcaN,MATCH(H1532,cat_MarcaO,0)),H1532))</f>
        <v>GENERAL ELECTRIC</v>
      </c>
      <c r="T1532" s="34" t="str">
        <f aca="false">IF(I1532="","SIN DATO",IFERROR(INDEX(cat_ModN,MATCH(I1532,cat_ModO,0)),I1532))</f>
        <v>MULTILIN</v>
      </c>
      <c r="U1532" s="34" t="str">
        <f aca="false">IF(I1532="","",IFERROR(INDEX(cat_ModG,MATCH(I1532,cat_ModO,0)),"No"))</f>
        <v>Sí</v>
      </c>
      <c r="V1532" s="34" t="str">
        <f aca="false">IF(J1532="","SIN DATO",IFERROR(INDEX(cat_FunN,MATCH(J1532,cat_FunO,0)),J1532))</f>
        <v>Protección y medición</v>
      </c>
      <c r="W1532" s="34" t="str">
        <f aca="false">IF(OR(S1532="SIN DATO",T1532="SIN DATO"),"No","Sí")</f>
        <v>Sí</v>
      </c>
    </row>
    <row r="1533" customFormat="false" ht="15" hidden="false" customHeight="false" outlineLevel="0" collapsed="false">
      <c r="A1533" s="34" t="s">
        <v>5591</v>
      </c>
      <c r="B1533" s="34" t="s">
        <v>5592</v>
      </c>
      <c r="C1533" s="34" t="s">
        <v>5593</v>
      </c>
      <c r="D1533" s="34" t="s">
        <v>5594</v>
      </c>
      <c r="E1533" s="34" t="s">
        <v>122</v>
      </c>
      <c r="F1533" s="34" t="s">
        <v>1602</v>
      </c>
      <c r="G1533" s="34" t="s">
        <v>1184</v>
      </c>
      <c r="H1533" s="34" t="s">
        <v>61</v>
      </c>
      <c r="I1533" s="34" t="s">
        <v>63</v>
      </c>
      <c r="J1533" s="34" t="s">
        <v>228</v>
      </c>
      <c r="K1533" s="34" t="s">
        <v>229</v>
      </c>
      <c r="L1533" s="34" t="s">
        <v>230</v>
      </c>
      <c r="M1533" s="34" t="s">
        <v>344</v>
      </c>
      <c r="N1533" s="34" t="str">
        <f aca="false">"Sector "&amp;VALUE(MID(D1533,13,2))</f>
        <v>Sector 4</v>
      </c>
      <c r="O1533" s="34" t="str">
        <f aca="false">IF(Dashboard!$C$5="Ubicación técnica",N1533,"Sector "&amp;VALUE(RIGHT(G1533,2)))</f>
        <v>Sector 4</v>
      </c>
      <c r="P1533" s="34" t="str">
        <f aca="false">IF(MID(D1533,15,3)="SEL","Subestación eléctrica","Área de proceso")</f>
        <v>Subestación eléctrica</v>
      </c>
      <c r="Q1533" s="34" t="str">
        <f aca="false">MID(D1533,13,5)&amp;"|"&amp;MID(D1533,19,5)</f>
        <v>04SEL|S_024</v>
      </c>
      <c r="R1533" s="34" t="str">
        <f aca="false">IF(P1533="Subestación eléctrica",IFERROR(INDEX(cat_SubN,MATCH(Q1533,cat_SubK,0)),"SIN CATALOGAR"),"ÁREA DE PROCESO")</f>
        <v>SE-24</v>
      </c>
      <c r="S1533" s="34" t="str">
        <f aca="false">IF(H1533="","SIN DATO",IFERROR(INDEX(cat_MarcaN,MATCH(H1533,cat_MarcaO,0)),H1533))</f>
        <v>GENERAL ELECTRIC</v>
      </c>
      <c r="T1533" s="34" t="str">
        <f aca="false">IF(I1533="","SIN DATO",IFERROR(INDEX(cat_ModN,MATCH(I1533,cat_ModO,0)),I1533))</f>
        <v>MULTILIN</v>
      </c>
      <c r="U1533" s="34" t="str">
        <f aca="false">IF(I1533="","",IFERROR(INDEX(cat_ModG,MATCH(I1533,cat_ModO,0)),"No"))</f>
        <v>Sí</v>
      </c>
      <c r="V1533" s="34" t="str">
        <f aca="false">IF(J1533="","SIN DATO",IFERROR(INDEX(cat_FunN,MATCH(J1533,cat_FunO,0)),J1533))</f>
        <v>Protección y medición</v>
      </c>
      <c r="W1533" s="34" t="str">
        <f aca="false">IF(OR(S1533="SIN DATO",T1533="SIN DATO"),"No","Sí")</f>
        <v>Sí</v>
      </c>
    </row>
    <row r="1534" customFormat="false" ht="15" hidden="false" customHeight="false" outlineLevel="0" collapsed="false">
      <c r="A1534" s="34" t="s">
        <v>5595</v>
      </c>
      <c r="B1534" s="34" t="s">
        <v>5596</v>
      </c>
      <c r="C1534" s="34" t="s">
        <v>5597</v>
      </c>
      <c r="D1534" s="34" t="s">
        <v>5594</v>
      </c>
      <c r="E1534" s="34" t="s">
        <v>122</v>
      </c>
      <c r="F1534" s="34" t="s">
        <v>1602</v>
      </c>
      <c r="G1534" s="34" t="s">
        <v>1184</v>
      </c>
      <c r="H1534" s="34" t="s">
        <v>61</v>
      </c>
      <c r="I1534" s="34" t="s">
        <v>63</v>
      </c>
      <c r="J1534" s="34" t="s">
        <v>228</v>
      </c>
      <c r="K1534" s="34" t="s">
        <v>229</v>
      </c>
      <c r="L1534" s="34" t="s">
        <v>230</v>
      </c>
      <c r="M1534" s="34" t="s">
        <v>4221</v>
      </c>
      <c r="N1534" s="34" t="str">
        <f aca="false">"Sector "&amp;VALUE(MID(D1534,13,2))</f>
        <v>Sector 4</v>
      </c>
      <c r="O1534" s="34" t="str">
        <f aca="false">IF(Dashboard!$C$5="Ubicación técnica",N1534,"Sector "&amp;VALUE(RIGHT(G1534,2)))</f>
        <v>Sector 4</v>
      </c>
      <c r="P1534" s="34" t="str">
        <f aca="false">IF(MID(D1534,15,3)="SEL","Subestación eléctrica","Área de proceso")</f>
        <v>Subestación eléctrica</v>
      </c>
      <c r="Q1534" s="34" t="str">
        <f aca="false">MID(D1534,13,5)&amp;"|"&amp;MID(D1534,19,5)</f>
        <v>04SEL|S_024</v>
      </c>
      <c r="R1534" s="34" t="str">
        <f aca="false">IF(P1534="Subestación eléctrica",IFERROR(INDEX(cat_SubN,MATCH(Q1534,cat_SubK,0)),"SIN CATALOGAR"),"ÁREA DE PROCESO")</f>
        <v>SE-24</v>
      </c>
      <c r="S1534" s="34" t="str">
        <f aca="false">IF(H1534="","SIN DATO",IFERROR(INDEX(cat_MarcaN,MATCH(H1534,cat_MarcaO,0)),H1534))</f>
        <v>GENERAL ELECTRIC</v>
      </c>
      <c r="T1534" s="34" t="str">
        <f aca="false">IF(I1534="","SIN DATO",IFERROR(INDEX(cat_ModN,MATCH(I1534,cat_ModO,0)),I1534))</f>
        <v>MULTILIN</v>
      </c>
      <c r="U1534" s="34" t="str">
        <f aca="false">IF(I1534="","",IFERROR(INDEX(cat_ModG,MATCH(I1534,cat_ModO,0)),"No"))</f>
        <v>Sí</v>
      </c>
      <c r="V1534" s="34" t="str">
        <f aca="false">IF(J1534="","SIN DATO",IFERROR(INDEX(cat_FunN,MATCH(J1534,cat_FunO,0)),J1534))</f>
        <v>Protección y medición</v>
      </c>
      <c r="W1534" s="34" t="str">
        <f aca="false">IF(OR(S1534="SIN DATO",T1534="SIN DATO"),"No","Sí")</f>
        <v>Sí</v>
      </c>
    </row>
    <row r="1535" customFormat="false" ht="15" hidden="false" customHeight="false" outlineLevel="0" collapsed="false">
      <c r="A1535" s="34" t="s">
        <v>5598</v>
      </c>
      <c r="B1535" s="34" t="s">
        <v>5599</v>
      </c>
      <c r="C1535" s="34" t="s">
        <v>5600</v>
      </c>
      <c r="D1535" s="34" t="s">
        <v>5594</v>
      </c>
      <c r="E1535" s="34" t="s">
        <v>122</v>
      </c>
      <c r="F1535" s="34" t="s">
        <v>1602</v>
      </c>
      <c r="G1535" s="34" t="s">
        <v>1184</v>
      </c>
      <c r="H1535" s="34" t="s">
        <v>61</v>
      </c>
      <c r="I1535" s="34" t="s">
        <v>63</v>
      </c>
      <c r="J1535" s="34" t="s">
        <v>228</v>
      </c>
      <c r="K1535" s="34" t="s">
        <v>229</v>
      </c>
      <c r="L1535" s="34" t="s">
        <v>230</v>
      </c>
      <c r="M1535" s="34" t="s">
        <v>4221</v>
      </c>
      <c r="N1535" s="34" t="str">
        <f aca="false">"Sector "&amp;VALUE(MID(D1535,13,2))</f>
        <v>Sector 4</v>
      </c>
      <c r="O1535" s="34" t="str">
        <f aca="false">IF(Dashboard!$C$5="Ubicación técnica",N1535,"Sector "&amp;VALUE(RIGHT(G1535,2)))</f>
        <v>Sector 4</v>
      </c>
      <c r="P1535" s="34" t="str">
        <f aca="false">IF(MID(D1535,15,3)="SEL","Subestación eléctrica","Área de proceso")</f>
        <v>Subestación eléctrica</v>
      </c>
      <c r="Q1535" s="34" t="str">
        <f aca="false">MID(D1535,13,5)&amp;"|"&amp;MID(D1535,19,5)</f>
        <v>04SEL|S_024</v>
      </c>
      <c r="R1535" s="34" t="str">
        <f aca="false">IF(P1535="Subestación eléctrica",IFERROR(INDEX(cat_SubN,MATCH(Q1535,cat_SubK,0)),"SIN CATALOGAR"),"ÁREA DE PROCESO")</f>
        <v>SE-24</v>
      </c>
      <c r="S1535" s="34" t="str">
        <f aca="false">IF(H1535="","SIN DATO",IFERROR(INDEX(cat_MarcaN,MATCH(H1535,cat_MarcaO,0)),H1535))</f>
        <v>GENERAL ELECTRIC</v>
      </c>
      <c r="T1535" s="34" t="str">
        <f aca="false">IF(I1535="","SIN DATO",IFERROR(INDEX(cat_ModN,MATCH(I1535,cat_ModO,0)),I1535))</f>
        <v>MULTILIN</v>
      </c>
      <c r="U1535" s="34" t="str">
        <f aca="false">IF(I1535="","",IFERROR(INDEX(cat_ModG,MATCH(I1535,cat_ModO,0)),"No"))</f>
        <v>Sí</v>
      </c>
      <c r="V1535" s="34" t="str">
        <f aca="false">IF(J1535="","SIN DATO",IFERROR(INDEX(cat_FunN,MATCH(J1535,cat_FunO,0)),J1535))</f>
        <v>Protección y medición</v>
      </c>
      <c r="W1535" s="34" t="str">
        <f aca="false">IF(OR(S1535="SIN DATO",T1535="SIN DATO"),"No","Sí")</f>
        <v>Sí</v>
      </c>
    </row>
    <row r="1536" customFormat="false" ht="15" hidden="false" customHeight="false" outlineLevel="0" collapsed="false">
      <c r="A1536" s="34" t="s">
        <v>5601</v>
      </c>
      <c r="B1536" s="34" t="s">
        <v>5602</v>
      </c>
      <c r="C1536" s="34" t="s">
        <v>5603</v>
      </c>
      <c r="D1536" s="34" t="s">
        <v>5604</v>
      </c>
      <c r="E1536" s="34" t="s">
        <v>122</v>
      </c>
      <c r="F1536" s="34" t="s">
        <v>1602</v>
      </c>
      <c r="G1536" s="34" t="s">
        <v>1184</v>
      </c>
      <c r="H1536" s="34" t="s">
        <v>61</v>
      </c>
      <c r="I1536" s="34" t="s">
        <v>63</v>
      </c>
      <c r="J1536" s="34" t="s">
        <v>228</v>
      </c>
      <c r="K1536" s="34" t="s">
        <v>229</v>
      </c>
      <c r="L1536" s="34" t="s">
        <v>230</v>
      </c>
      <c r="M1536" s="34" t="s">
        <v>344</v>
      </c>
      <c r="N1536" s="34" t="str">
        <f aca="false">"Sector "&amp;VALUE(MID(D1536,13,2))</f>
        <v>Sector 4</v>
      </c>
      <c r="O1536" s="34" t="str">
        <f aca="false">IF(Dashboard!$C$5="Ubicación técnica",N1536,"Sector "&amp;VALUE(RIGHT(G1536,2)))</f>
        <v>Sector 4</v>
      </c>
      <c r="P1536" s="34" t="str">
        <f aca="false">IF(MID(D1536,15,3)="SEL","Subestación eléctrica","Área de proceso")</f>
        <v>Subestación eléctrica</v>
      </c>
      <c r="Q1536" s="34" t="str">
        <f aca="false">MID(D1536,13,5)&amp;"|"&amp;MID(D1536,19,5)</f>
        <v>04SEL|S_024</v>
      </c>
      <c r="R1536" s="34" t="str">
        <f aca="false">IF(P1536="Subestación eléctrica",IFERROR(INDEX(cat_SubN,MATCH(Q1536,cat_SubK,0)),"SIN CATALOGAR"),"ÁREA DE PROCESO")</f>
        <v>SE-24</v>
      </c>
      <c r="S1536" s="34" t="str">
        <f aca="false">IF(H1536="","SIN DATO",IFERROR(INDEX(cat_MarcaN,MATCH(H1536,cat_MarcaO,0)),H1536))</f>
        <v>GENERAL ELECTRIC</v>
      </c>
      <c r="T1536" s="34" t="str">
        <f aca="false">IF(I1536="","SIN DATO",IFERROR(INDEX(cat_ModN,MATCH(I1536,cat_ModO,0)),I1536))</f>
        <v>MULTILIN</v>
      </c>
      <c r="U1536" s="34" t="str">
        <f aca="false">IF(I1536="","",IFERROR(INDEX(cat_ModG,MATCH(I1536,cat_ModO,0)),"No"))</f>
        <v>Sí</v>
      </c>
      <c r="V1536" s="34" t="str">
        <f aca="false">IF(J1536="","SIN DATO",IFERROR(INDEX(cat_FunN,MATCH(J1536,cat_FunO,0)),J1536))</f>
        <v>Protección y medición</v>
      </c>
      <c r="W1536" s="34" t="str">
        <f aca="false">IF(OR(S1536="SIN DATO",T1536="SIN DATO"),"No","Sí")</f>
        <v>Sí</v>
      </c>
    </row>
    <row r="1537" customFormat="false" ht="15" hidden="false" customHeight="false" outlineLevel="0" collapsed="false">
      <c r="A1537" s="34" t="s">
        <v>5605</v>
      </c>
      <c r="B1537" s="34" t="s">
        <v>5606</v>
      </c>
      <c r="C1537" s="34" t="s">
        <v>5607</v>
      </c>
      <c r="D1537" s="34" t="s">
        <v>5604</v>
      </c>
      <c r="E1537" s="34" t="s">
        <v>122</v>
      </c>
      <c r="F1537" s="34" t="s">
        <v>1602</v>
      </c>
      <c r="G1537" s="34" t="s">
        <v>1184</v>
      </c>
      <c r="H1537" s="34" t="s">
        <v>61</v>
      </c>
      <c r="I1537" s="34" t="s">
        <v>63</v>
      </c>
      <c r="J1537" s="34" t="s">
        <v>228</v>
      </c>
      <c r="K1537" s="34" t="s">
        <v>229</v>
      </c>
      <c r="L1537" s="34" t="s">
        <v>230</v>
      </c>
      <c r="M1537" s="34" t="s">
        <v>344</v>
      </c>
      <c r="N1537" s="34" t="str">
        <f aca="false">"Sector "&amp;VALUE(MID(D1537,13,2))</f>
        <v>Sector 4</v>
      </c>
      <c r="O1537" s="34" t="str">
        <f aca="false">IF(Dashboard!$C$5="Ubicación técnica",N1537,"Sector "&amp;VALUE(RIGHT(G1537,2)))</f>
        <v>Sector 4</v>
      </c>
      <c r="P1537" s="34" t="str">
        <f aca="false">IF(MID(D1537,15,3)="SEL","Subestación eléctrica","Área de proceso")</f>
        <v>Subestación eléctrica</v>
      </c>
      <c r="Q1537" s="34" t="str">
        <f aca="false">MID(D1537,13,5)&amp;"|"&amp;MID(D1537,19,5)</f>
        <v>04SEL|S_024</v>
      </c>
      <c r="R1537" s="34" t="str">
        <f aca="false">IF(P1537="Subestación eléctrica",IFERROR(INDEX(cat_SubN,MATCH(Q1537,cat_SubK,0)),"SIN CATALOGAR"),"ÁREA DE PROCESO")</f>
        <v>SE-24</v>
      </c>
      <c r="S1537" s="34" t="str">
        <f aca="false">IF(H1537="","SIN DATO",IFERROR(INDEX(cat_MarcaN,MATCH(H1537,cat_MarcaO,0)),H1537))</f>
        <v>GENERAL ELECTRIC</v>
      </c>
      <c r="T1537" s="34" t="str">
        <f aca="false">IF(I1537="","SIN DATO",IFERROR(INDEX(cat_ModN,MATCH(I1537,cat_ModO,0)),I1537))</f>
        <v>MULTILIN</v>
      </c>
      <c r="U1537" s="34" t="str">
        <f aca="false">IF(I1537="","",IFERROR(INDEX(cat_ModG,MATCH(I1537,cat_ModO,0)),"No"))</f>
        <v>Sí</v>
      </c>
      <c r="V1537" s="34" t="str">
        <f aca="false">IF(J1537="","SIN DATO",IFERROR(INDEX(cat_FunN,MATCH(J1537,cat_FunO,0)),J1537))</f>
        <v>Protección y medición</v>
      </c>
      <c r="W1537" s="34" t="str">
        <f aca="false">IF(OR(S1537="SIN DATO",T1537="SIN DATO"),"No","Sí")</f>
        <v>Sí</v>
      </c>
    </row>
    <row r="1538" customFormat="false" ht="15" hidden="false" customHeight="false" outlineLevel="0" collapsed="false">
      <c r="A1538" s="34" t="s">
        <v>5608</v>
      </c>
      <c r="B1538" s="34" t="s">
        <v>5609</v>
      </c>
      <c r="C1538" s="34" t="s">
        <v>5610</v>
      </c>
      <c r="D1538" s="34" t="s">
        <v>3241</v>
      </c>
      <c r="E1538" s="34" t="s">
        <v>122</v>
      </c>
      <c r="F1538" s="34" t="s">
        <v>1602</v>
      </c>
      <c r="G1538" s="34" t="s">
        <v>1184</v>
      </c>
      <c r="H1538" s="34" t="s">
        <v>61</v>
      </c>
      <c r="I1538" s="34" t="s">
        <v>63</v>
      </c>
      <c r="J1538" s="34" t="s">
        <v>228</v>
      </c>
      <c r="K1538" s="34" t="s">
        <v>229</v>
      </c>
      <c r="L1538" s="34" t="s">
        <v>230</v>
      </c>
      <c r="M1538" s="34" t="s">
        <v>344</v>
      </c>
      <c r="N1538" s="34" t="str">
        <f aca="false">"Sector "&amp;VALUE(MID(D1538,13,2))</f>
        <v>Sector 4</v>
      </c>
      <c r="O1538" s="34" t="str">
        <f aca="false">IF(Dashboard!$C$5="Ubicación técnica",N1538,"Sector "&amp;VALUE(RIGHT(G1538,2)))</f>
        <v>Sector 4</v>
      </c>
      <c r="P1538" s="34" t="str">
        <f aca="false">IF(MID(D1538,15,3)="SEL","Subestación eléctrica","Área de proceso")</f>
        <v>Subestación eléctrica</v>
      </c>
      <c r="Q1538" s="34" t="str">
        <f aca="false">MID(D1538,13,5)&amp;"|"&amp;MID(D1538,19,5)</f>
        <v>04SEL|S_024</v>
      </c>
      <c r="R1538" s="34" t="str">
        <f aca="false">IF(P1538="Subestación eléctrica",IFERROR(INDEX(cat_SubN,MATCH(Q1538,cat_SubK,0)),"SIN CATALOGAR"),"ÁREA DE PROCESO")</f>
        <v>SE-24</v>
      </c>
      <c r="S1538" s="34" t="str">
        <f aca="false">IF(H1538="","SIN DATO",IFERROR(INDEX(cat_MarcaN,MATCH(H1538,cat_MarcaO,0)),H1538))</f>
        <v>GENERAL ELECTRIC</v>
      </c>
      <c r="T1538" s="34" t="str">
        <f aca="false">IF(I1538="","SIN DATO",IFERROR(INDEX(cat_ModN,MATCH(I1538,cat_ModO,0)),I1538))</f>
        <v>MULTILIN</v>
      </c>
      <c r="U1538" s="34" t="str">
        <f aca="false">IF(I1538="","",IFERROR(INDEX(cat_ModG,MATCH(I1538,cat_ModO,0)),"No"))</f>
        <v>Sí</v>
      </c>
      <c r="V1538" s="34" t="str">
        <f aca="false">IF(J1538="","SIN DATO",IFERROR(INDEX(cat_FunN,MATCH(J1538,cat_FunO,0)),J1538))</f>
        <v>Protección y medición</v>
      </c>
      <c r="W1538" s="34" t="str">
        <f aca="false">IF(OR(S1538="SIN DATO",T1538="SIN DATO"),"No","Sí")</f>
        <v>Sí</v>
      </c>
    </row>
    <row r="1539" customFormat="false" ht="15" hidden="false" customHeight="false" outlineLevel="0" collapsed="false">
      <c r="A1539" s="34" t="s">
        <v>5611</v>
      </c>
      <c r="B1539" s="34" t="s">
        <v>5612</v>
      </c>
      <c r="C1539" s="34" t="s">
        <v>5613</v>
      </c>
      <c r="D1539" s="34" t="s">
        <v>5614</v>
      </c>
      <c r="E1539" s="34" t="s">
        <v>122</v>
      </c>
      <c r="F1539" s="34" t="s">
        <v>1602</v>
      </c>
      <c r="G1539" s="34" t="s">
        <v>1184</v>
      </c>
      <c r="H1539" s="34" t="s">
        <v>61</v>
      </c>
      <c r="I1539" s="34" t="s">
        <v>63</v>
      </c>
      <c r="J1539" s="34" t="s">
        <v>228</v>
      </c>
      <c r="K1539" s="34" t="s">
        <v>229</v>
      </c>
      <c r="L1539" s="34" t="s">
        <v>230</v>
      </c>
      <c r="M1539" s="34" t="s">
        <v>344</v>
      </c>
      <c r="N1539" s="34" t="str">
        <f aca="false">"Sector "&amp;VALUE(MID(D1539,13,2))</f>
        <v>Sector 4</v>
      </c>
      <c r="O1539" s="34" t="str">
        <f aca="false">IF(Dashboard!$C$5="Ubicación técnica",N1539,"Sector "&amp;VALUE(RIGHT(G1539,2)))</f>
        <v>Sector 4</v>
      </c>
      <c r="P1539" s="34" t="str">
        <f aca="false">IF(MID(D1539,15,3)="SEL","Subestación eléctrica","Área de proceso")</f>
        <v>Subestación eléctrica</v>
      </c>
      <c r="Q1539" s="34" t="str">
        <f aca="false">MID(D1539,13,5)&amp;"|"&amp;MID(D1539,19,5)</f>
        <v>04SEL|S_024</v>
      </c>
      <c r="R1539" s="34" t="str">
        <f aca="false">IF(P1539="Subestación eléctrica",IFERROR(INDEX(cat_SubN,MATCH(Q1539,cat_SubK,0)),"SIN CATALOGAR"),"ÁREA DE PROCESO")</f>
        <v>SE-24</v>
      </c>
      <c r="S1539" s="34" t="str">
        <f aca="false">IF(H1539="","SIN DATO",IFERROR(INDEX(cat_MarcaN,MATCH(H1539,cat_MarcaO,0)),H1539))</f>
        <v>GENERAL ELECTRIC</v>
      </c>
      <c r="T1539" s="34" t="str">
        <f aca="false">IF(I1539="","SIN DATO",IFERROR(INDEX(cat_ModN,MATCH(I1539,cat_ModO,0)),I1539))</f>
        <v>MULTILIN</v>
      </c>
      <c r="U1539" s="34" t="str">
        <f aca="false">IF(I1539="","",IFERROR(INDEX(cat_ModG,MATCH(I1539,cat_ModO,0)),"No"))</f>
        <v>Sí</v>
      </c>
      <c r="V1539" s="34" t="str">
        <f aca="false">IF(J1539="","SIN DATO",IFERROR(INDEX(cat_FunN,MATCH(J1539,cat_FunO,0)),J1539))</f>
        <v>Protección y medición</v>
      </c>
      <c r="W1539" s="34" t="str">
        <f aca="false">IF(OR(S1539="SIN DATO",T1539="SIN DATO"),"No","Sí")</f>
        <v>Sí</v>
      </c>
    </row>
    <row r="1540" customFormat="false" ht="15" hidden="false" customHeight="false" outlineLevel="0" collapsed="false">
      <c r="A1540" s="34" t="s">
        <v>5615</v>
      </c>
      <c r="B1540" s="34" t="s">
        <v>5616</v>
      </c>
      <c r="C1540" s="34" t="s">
        <v>5617</v>
      </c>
      <c r="D1540" s="34" t="s">
        <v>5618</v>
      </c>
      <c r="E1540" s="34" t="s">
        <v>122</v>
      </c>
      <c r="F1540" s="34" t="s">
        <v>1602</v>
      </c>
      <c r="G1540" s="34" t="s">
        <v>1184</v>
      </c>
      <c r="H1540" s="34" t="s">
        <v>61</v>
      </c>
      <c r="I1540" s="34" t="s">
        <v>63</v>
      </c>
      <c r="J1540" s="34" t="s">
        <v>228</v>
      </c>
      <c r="K1540" s="34" t="s">
        <v>229</v>
      </c>
      <c r="L1540" s="34" t="s">
        <v>230</v>
      </c>
      <c r="M1540" s="34" t="s">
        <v>344</v>
      </c>
      <c r="N1540" s="34" t="str">
        <f aca="false">"Sector "&amp;VALUE(MID(D1540,13,2))</f>
        <v>Sector 4</v>
      </c>
      <c r="O1540" s="34" t="str">
        <f aca="false">IF(Dashboard!$C$5="Ubicación técnica",N1540,"Sector "&amp;VALUE(RIGHT(G1540,2)))</f>
        <v>Sector 4</v>
      </c>
      <c r="P1540" s="34" t="str">
        <f aca="false">IF(MID(D1540,15,3)="SEL","Subestación eléctrica","Área de proceso")</f>
        <v>Subestación eléctrica</v>
      </c>
      <c r="Q1540" s="34" t="str">
        <f aca="false">MID(D1540,13,5)&amp;"|"&amp;MID(D1540,19,5)</f>
        <v>04SEL|S_024</v>
      </c>
      <c r="R1540" s="34" t="str">
        <f aca="false">IF(P1540="Subestación eléctrica",IFERROR(INDEX(cat_SubN,MATCH(Q1540,cat_SubK,0)),"SIN CATALOGAR"),"ÁREA DE PROCESO")</f>
        <v>SE-24</v>
      </c>
      <c r="S1540" s="34" t="str">
        <f aca="false">IF(H1540="","SIN DATO",IFERROR(INDEX(cat_MarcaN,MATCH(H1540,cat_MarcaO,0)),H1540))</f>
        <v>GENERAL ELECTRIC</v>
      </c>
      <c r="T1540" s="34" t="str">
        <f aca="false">IF(I1540="","SIN DATO",IFERROR(INDEX(cat_ModN,MATCH(I1540,cat_ModO,0)),I1540))</f>
        <v>MULTILIN</v>
      </c>
      <c r="U1540" s="34" t="str">
        <f aca="false">IF(I1540="","",IFERROR(INDEX(cat_ModG,MATCH(I1540,cat_ModO,0)),"No"))</f>
        <v>Sí</v>
      </c>
      <c r="V1540" s="34" t="str">
        <f aca="false">IF(J1540="","SIN DATO",IFERROR(INDEX(cat_FunN,MATCH(J1540,cat_FunO,0)),J1540))</f>
        <v>Protección y medición</v>
      </c>
      <c r="W1540" s="34" t="str">
        <f aca="false">IF(OR(S1540="SIN DATO",T1540="SIN DATO"),"No","Sí")</f>
        <v>Sí</v>
      </c>
    </row>
    <row r="1541" customFormat="false" ht="15" hidden="false" customHeight="false" outlineLevel="0" collapsed="false">
      <c r="A1541" s="34" t="s">
        <v>5619</v>
      </c>
      <c r="B1541" s="34" t="s">
        <v>5620</v>
      </c>
      <c r="C1541" s="34" t="s">
        <v>5621</v>
      </c>
      <c r="D1541" s="34" t="s">
        <v>5622</v>
      </c>
      <c r="E1541" s="34" t="s">
        <v>122</v>
      </c>
      <c r="F1541" s="34" t="s">
        <v>1602</v>
      </c>
      <c r="G1541" s="34" t="s">
        <v>1184</v>
      </c>
      <c r="H1541" s="34" t="s">
        <v>61</v>
      </c>
      <c r="I1541" s="34" t="s">
        <v>63</v>
      </c>
      <c r="J1541" s="34" t="s">
        <v>228</v>
      </c>
      <c r="K1541" s="34" t="s">
        <v>229</v>
      </c>
      <c r="L1541" s="34" t="s">
        <v>230</v>
      </c>
      <c r="M1541" s="34" t="s">
        <v>344</v>
      </c>
      <c r="N1541" s="34" t="str">
        <f aca="false">"Sector "&amp;VALUE(MID(D1541,13,2))</f>
        <v>Sector 4</v>
      </c>
      <c r="O1541" s="34" t="str">
        <f aca="false">IF(Dashboard!$C$5="Ubicación técnica",N1541,"Sector "&amp;VALUE(RIGHT(G1541,2)))</f>
        <v>Sector 4</v>
      </c>
      <c r="P1541" s="34" t="str">
        <f aca="false">IF(MID(D1541,15,3)="SEL","Subestación eléctrica","Área de proceso")</f>
        <v>Subestación eléctrica</v>
      </c>
      <c r="Q1541" s="34" t="str">
        <f aca="false">MID(D1541,13,5)&amp;"|"&amp;MID(D1541,19,5)</f>
        <v>04SEL|S_024</v>
      </c>
      <c r="R1541" s="34" t="str">
        <f aca="false">IF(P1541="Subestación eléctrica",IFERROR(INDEX(cat_SubN,MATCH(Q1541,cat_SubK,0)),"SIN CATALOGAR"),"ÁREA DE PROCESO")</f>
        <v>SE-24</v>
      </c>
      <c r="S1541" s="34" t="str">
        <f aca="false">IF(H1541="","SIN DATO",IFERROR(INDEX(cat_MarcaN,MATCH(H1541,cat_MarcaO,0)),H1541))</f>
        <v>GENERAL ELECTRIC</v>
      </c>
      <c r="T1541" s="34" t="str">
        <f aca="false">IF(I1541="","SIN DATO",IFERROR(INDEX(cat_ModN,MATCH(I1541,cat_ModO,0)),I1541))</f>
        <v>MULTILIN</v>
      </c>
      <c r="U1541" s="34" t="str">
        <f aca="false">IF(I1541="","",IFERROR(INDEX(cat_ModG,MATCH(I1541,cat_ModO,0)),"No"))</f>
        <v>Sí</v>
      </c>
      <c r="V1541" s="34" t="str">
        <f aca="false">IF(J1541="","SIN DATO",IFERROR(INDEX(cat_FunN,MATCH(J1541,cat_FunO,0)),J1541))</f>
        <v>Protección y medición</v>
      </c>
      <c r="W1541" s="34" t="str">
        <f aca="false">IF(OR(S1541="SIN DATO",T1541="SIN DATO"),"No","Sí")</f>
        <v>Sí</v>
      </c>
    </row>
    <row r="1542" customFormat="false" ht="15" hidden="false" customHeight="false" outlineLevel="0" collapsed="false">
      <c r="A1542" s="34" t="s">
        <v>5623</v>
      </c>
      <c r="B1542" s="34" t="s">
        <v>5624</v>
      </c>
      <c r="C1542" s="34" t="s">
        <v>5625</v>
      </c>
      <c r="D1542" s="34" t="s">
        <v>5626</v>
      </c>
      <c r="E1542" s="34" t="s">
        <v>122</v>
      </c>
      <c r="F1542" s="34" t="s">
        <v>1602</v>
      </c>
      <c r="G1542" s="34" t="s">
        <v>1184</v>
      </c>
      <c r="H1542" s="34" t="s">
        <v>61</v>
      </c>
      <c r="I1542" s="34" t="s">
        <v>63</v>
      </c>
      <c r="J1542" s="34" t="s">
        <v>228</v>
      </c>
      <c r="K1542" s="34" t="s">
        <v>229</v>
      </c>
      <c r="L1542" s="34" t="s">
        <v>230</v>
      </c>
      <c r="M1542" s="34" t="s">
        <v>344</v>
      </c>
      <c r="N1542" s="34" t="str">
        <f aca="false">"Sector "&amp;VALUE(MID(D1542,13,2))</f>
        <v>Sector 4</v>
      </c>
      <c r="O1542" s="34" t="str">
        <f aca="false">IF(Dashboard!$C$5="Ubicación técnica",N1542,"Sector "&amp;VALUE(RIGHT(G1542,2)))</f>
        <v>Sector 4</v>
      </c>
      <c r="P1542" s="34" t="str">
        <f aca="false">IF(MID(D1542,15,3)="SEL","Subestación eléctrica","Área de proceso")</f>
        <v>Subestación eléctrica</v>
      </c>
      <c r="Q1542" s="34" t="str">
        <f aca="false">MID(D1542,13,5)&amp;"|"&amp;MID(D1542,19,5)</f>
        <v>04SEL|S_024</v>
      </c>
      <c r="R1542" s="34" t="str">
        <f aca="false">IF(P1542="Subestación eléctrica",IFERROR(INDEX(cat_SubN,MATCH(Q1542,cat_SubK,0)),"SIN CATALOGAR"),"ÁREA DE PROCESO")</f>
        <v>SE-24</v>
      </c>
      <c r="S1542" s="34" t="str">
        <f aca="false">IF(H1542="","SIN DATO",IFERROR(INDEX(cat_MarcaN,MATCH(H1542,cat_MarcaO,0)),H1542))</f>
        <v>GENERAL ELECTRIC</v>
      </c>
      <c r="T1542" s="34" t="str">
        <f aca="false">IF(I1542="","SIN DATO",IFERROR(INDEX(cat_ModN,MATCH(I1542,cat_ModO,0)),I1542))</f>
        <v>MULTILIN</v>
      </c>
      <c r="U1542" s="34" t="str">
        <f aca="false">IF(I1542="","",IFERROR(INDEX(cat_ModG,MATCH(I1542,cat_ModO,0)),"No"))</f>
        <v>Sí</v>
      </c>
      <c r="V1542" s="34" t="str">
        <f aca="false">IF(J1542="","SIN DATO",IFERROR(INDEX(cat_FunN,MATCH(J1542,cat_FunO,0)),J1542))</f>
        <v>Protección y medición</v>
      </c>
      <c r="W1542" s="34" t="str">
        <f aca="false">IF(OR(S1542="SIN DATO",T1542="SIN DATO"),"No","Sí")</f>
        <v>Sí</v>
      </c>
    </row>
    <row r="1543" customFormat="false" ht="15" hidden="false" customHeight="false" outlineLevel="0" collapsed="false">
      <c r="A1543" s="34" t="s">
        <v>5627</v>
      </c>
      <c r="B1543" s="34" t="s">
        <v>5628</v>
      </c>
      <c r="C1543" s="34" t="s">
        <v>5629</v>
      </c>
      <c r="D1543" s="34" t="s">
        <v>5630</v>
      </c>
      <c r="E1543" s="34" t="s">
        <v>122</v>
      </c>
      <c r="F1543" s="34" t="s">
        <v>1602</v>
      </c>
      <c r="G1543" s="34" t="s">
        <v>1184</v>
      </c>
      <c r="H1543" s="34" t="s">
        <v>61</v>
      </c>
      <c r="I1543" s="34" t="s">
        <v>63</v>
      </c>
      <c r="J1543" s="34" t="s">
        <v>228</v>
      </c>
      <c r="K1543" s="34" t="s">
        <v>229</v>
      </c>
      <c r="L1543" s="34" t="s">
        <v>230</v>
      </c>
      <c r="M1543" s="34" t="s">
        <v>344</v>
      </c>
      <c r="N1543" s="34" t="str">
        <f aca="false">"Sector "&amp;VALUE(MID(D1543,13,2))</f>
        <v>Sector 4</v>
      </c>
      <c r="O1543" s="34" t="str">
        <f aca="false">IF(Dashboard!$C$5="Ubicación técnica",N1543,"Sector "&amp;VALUE(RIGHT(G1543,2)))</f>
        <v>Sector 4</v>
      </c>
      <c r="P1543" s="34" t="str">
        <f aca="false">IF(MID(D1543,15,3)="SEL","Subestación eléctrica","Área de proceso")</f>
        <v>Subestación eléctrica</v>
      </c>
      <c r="Q1543" s="34" t="str">
        <f aca="false">MID(D1543,13,5)&amp;"|"&amp;MID(D1543,19,5)</f>
        <v>04SEL|S_024</v>
      </c>
      <c r="R1543" s="34" t="str">
        <f aca="false">IF(P1543="Subestación eléctrica",IFERROR(INDEX(cat_SubN,MATCH(Q1543,cat_SubK,0)),"SIN CATALOGAR"),"ÁREA DE PROCESO")</f>
        <v>SE-24</v>
      </c>
      <c r="S1543" s="34" t="str">
        <f aca="false">IF(H1543="","SIN DATO",IFERROR(INDEX(cat_MarcaN,MATCH(H1543,cat_MarcaO,0)),H1543))</f>
        <v>GENERAL ELECTRIC</v>
      </c>
      <c r="T1543" s="34" t="str">
        <f aca="false">IF(I1543="","SIN DATO",IFERROR(INDEX(cat_ModN,MATCH(I1543,cat_ModO,0)),I1543))</f>
        <v>MULTILIN</v>
      </c>
      <c r="U1543" s="34" t="str">
        <f aca="false">IF(I1543="","",IFERROR(INDEX(cat_ModG,MATCH(I1543,cat_ModO,0)),"No"))</f>
        <v>Sí</v>
      </c>
      <c r="V1543" s="34" t="str">
        <f aca="false">IF(J1543="","SIN DATO",IFERROR(INDEX(cat_FunN,MATCH(J1543,cat_FunO,0)),J1543))</f>
        <v>Protección y medición</v>
      </c>
      <c r="W1543" s="34" t="str">
        <f aca="false">IF(OR(S1543="SIN DATO",T1543="SIN DATO"),"No","Sí")</f>
        <v>Sí</v>
      </c>
    </row>
    <row r="1544" customFormat="false" ht="15" hidden="false" customHeight="false" outlineLevel="0" collapsed="false">
      <c r="A1544" s="34" t="s">
        <v>5631</v>
      </c>
      <c r="B1544" s="34" t="s">
        <v>5632</v>
      </c>
      <c r="C1544" s="34" t="s">
        <v>5633</v>
      </c>
      <c r="D1544" s="34" t="s">
        <v>5630</v>
      </c>
      <c r="E1544" s="34" t="s">
        <v>122</v>
      </c>
      <c r="F1544" s="34" t="s">
        <v>1602</v>
      </c>
      <c r="G1544" s="34" t="s">
        <v>1184</v>
      </c>
      <c r="H1544" s="34" t="s">
        <v>61</v>
      </c>
      <c r="I1544" s="34" t="s">
        <v>63</v>
      </c>
      <c r="J1544" s="34" t="s">
        <v>228</v>
      </c>
      <c r="K1544" s="34" t="s">
        <v>229</v>
      </c>
      <c r="L1544" s="34" t="s">
        <v>230</v>
      </c>
      <c r="M1544" s="34" t="s">
        <v>344</v>
      </c>
      <c r="N1544" s="34" t="str">
        <f aca="false">"Sector "&amp;VALUE(MID(D1544,13,2))</f>
        <v>Sector 4</v>
      </c>
      <c r="O1544" s="34" t="str">
        <f aca="false">IF(Dashboard!$C$5="Ubicación técnica",N1544,"Sector "&amp;VALUE(RIGHT(G1544,2)))</f>
        <v>Sector 4</v>
      </c>
      <c r="P1544" s="34" t="str">
        <f aca="false">IF(MID(D1544,15,3)="SEL","Subestación eléctrica","Área de proceso")</f>
        <v>Subestación eléctrica</v>
      </c>
      <c r="Q1544" s="34" t="str">
        <f aca="false">MID(D1544,13,5)&amp;"|"&amp;MID(D1544,19,5)</f>
        <v>04SEL|S_024</v>
      </c>
      <c r="R1544" s="34" t="str">
        <f aca="false">IF(P1544="Subestación eléctrica",IFERROR(INDEX(cat_SubN,MATCH(Q1544,cat_SubK,0)),"SIN CATALOGAR"),"ÁREA DE PROCESO")</f>
        <v>SE-24</v>
      </c>
      <c r="S1544" s="34" t="str">
        <f aca="false">IF(H1544="","SIN DATO",IFERROR(INDEX(cat_MarcaN,MATCH(H1544,cat_MarcaO,0)),H1544))</f>
        <v>GENERAL ELECTRIC</v>
      </c>
      <c r="T1544" s="34" t="str">
        <f aca="false">IF(I1544="","SIN DATO",IFERROR(INDEX(cat_ModN,MATCH(I1544,cat_ModO,0)),I1544))</f>
        <v>MULTILIN</v>
      </c>
      <c r="U1544" s="34" t="str">
        <f aca="false">IF(I1544="","",IFERROR(INDEX(cat_ModG,MATCH(I1544,cat_ModO,0)),"No"))</f>
        <v>Sí</v>
      </c>
      <c r="V1544" s="34" t="str">
        <f aca="false">IF(J1544="","SIN DATO",IFERROR(INDEX(cat_FunN,MATCH(J1544,cat_FunO,0)),J1544))</f>
        <v>Protección y medición</v>
      </c>
      <c r="W1544" s="34" t="str">
        <f aca="false">IF(OR(S1544="SIN DATO",T1544="SIN DATO"),"No","Sí")</f>
        <v>Sí</v>
      </c>
    </row>
    <row r="1545" customFormat="false" ht="15" hidden="false" customHeight="false" outlineLevel="0" collapsed="false">
      <c r="A1545" s="34" t="s">
        <v>5634</v>
      </c>
      <c r="B1545" s="34" t="s">
        <v>5635</v>
      </c>
      <c r="C1545" s="34" t="s">
        <v>5636</v>
      </c>
      <c r="D1545" s="34" t="s">
        <v>5637</v>
      </c>
      <c r="E1545" s="34" t="s">
        <v>122</v>
      </c>
      <c r="F1545" s="34" t="s">
        <v>1602</v>
      </c>
      <c r="G1545" s="34" t="s">
        <v>1184</v>
      </c>
      <c r="H1545" s="34" t="s">
        <v>61</v>
      </c>
      <c r="I1545" s="34" t="s">
        <v>63</v>
      </c>
      <c r="J1545" s="34" t="s">
        <v>228</v>
      </c>
      <c r="K1545" s="34" t="s">
        <v>229</v>
      </c>
      <c r="L1545" s="34" t="s">
        <v>230</v>
      </c>
      <c r="M1545" s="34" t="s">
        <v>344</v>
      </c>
      <c r="N1545" s="34" t="str">
        <f aca="false">"Sector "&amp;VALUE(MID(D1545,13,2))</f>
        <v>Sector 4</v>
      </c>
      <c r="O1545" s="34" t="str">
        <f aca="false">IF(Dashboard!$C$5="Ubicación técnica",N1545,"Sector "&amp;VALUE(RIGHT(G1545,2)))</f>
        <v>Sector 4</v>
      </c>
      <c r="P1545" s="34" t="str">
        <f aca="false">IF(MID(D1545,15,3)="SEL","Subestación eléctrica","Área de proceso")</f>
        <v>Subestación eléctrica</v>
      </c>
      <c r="Q1545" s="34" t="str">
        <f aca="false">MID(D1545,13,5)&amp;"|"&amp;MID(D1545,19,5)</f>
        <v>04SEL|S_024</v>
      </c>
      <c r="R1545" s="34" t="str">
        <f aca="false">IF(P1545="Subestación eléctrica",IFERROR(INDEX(cat_SubN,MATCH(Q1545,cat_SubK,0)),"SIN CATALOGAR"),"ÁREA DE PROCESO")</f>
        <v>SE-24</v>
      </c>
      <c r="S1545" s="34" t="str">
        <f aca="false">IF(H1545="","SIN DATO",IFERROR(INDEX(cat_MarcaN,MATCH(H1545,cat_MarcaO,0)),H1545))</f>
        <v>GENERAL ELECTRIC</v>
      </c>
      <c r="T1545" s="34" t="str">
        <f aca="false">IF(I1545="","SIN DATO",IFERROR(INDEX(cat_ModN,MATCH(I1545,cat_ModO,0)),I1545))</f>
        <v>MULTILIN</v>
      </c>
      <c r="U1545" s="34" t="str">
        <f aca="false">IF(I1545="","",IFERROR(INDEX(cat_ModG,MATCH(I1545,cat_ModO,0)),"No"))</f>
        <v>Sí</v>
      </c>
      <c r="V1545" s="34" t="str">
        <f aca="false">IF(J1545="","SIN DATO",IFERROR(INDEX(cat_FunN,MATCH(J1545,cat_FunO,0)),J1545))</f>
        <v>Protección y medición</v>
      </c>
      <c r="W1545" s="34" t="str">
        <f aca="false">IF(OR(S1545="SIN DATO",T1545="SIN DATO"),"No","Sí")</f>
        <v>Sí</v>
      </c>
    </row>
    <row r="1546" customFormat="false" ht="15" hidden="false" customHeight="false" outlineLevel="0" collapsed="false">
      <c r="A1546" s="34" t="s">
        <v>5638</v>
      </c>
      <c r="B1546" s="34" t="s">
        <v>5639</v>
      </c>
      <c r="C1546" s="34" t="s">
        <v>5640</v>
      </c>
      <c r="D1546" s="34" t="s">
        <v>5641</v>
      </c>
      <c r="E1546" s="34" t="s">
        <v>122</v>
      </c>
      <c r="F1546" s="34" t="s">
        <v>1602</v>
      </c>
      <c r="G1546" s="34" t="s">
        <v>1184</v>
      </c>
      <c r="H1546" s="34" t="s">
        <v>61</v>
      </c>
      <c r="I1546" s="34" t="s">
        <v>63</v>
      </c>
      <c r="J1546" s="34" t="s">
        <v>228</v>
      </c>
      <c r="K1546" s="34" t="s">
        <v>229</v>
      </c>
      <c r="L1546" s="34" t="s">
        <v>230</v>
      </c>
      <c r="M1546" s="34" t="s">
        <v>344</v>
      </c>
      <c r="N1546" s="34" t="str">
        <f aca="false">"Sector "&amp;VALUE(MID(D1546,13,2))</f>
        <v>Sector 4</v>
      </c>
      <c r="O1546" s="34" t="str">
        <f aca="false">IF(Dashboard!$C$5="Ubicación técnica",N1546,"Sector "&amp;VALUE(RIGHT(G1546,2)))</f>
        <v>Sector 4</v>
      </c>
      <c r="P1546" s="34" t="str">
        <f aca="false">IF(MID(D1546,15,3)="SEL","Subestación eléctrica","Área de proceso")</f>
        <v>Subestación eléctrica</v>
      </c>
      <c r="Q1546" s="34" t="str">
        <f aca="false">MID(D1546,13,5)&amp;"|"&amp;MID(D1546,19,5)</f>
        <v>04SEL|S_024</v>
      </c>
      <c r="R1546" s="34" t="str">
        <f aca="false">IF(P1546="Subestación eléctrica",IFERROR(INDEX(cat_SubN,MATCH(Q1546,cat_SubK,0)),"SIN CATALOGAR"),"ÁREA DE PROCESO")</f>
        <v>SE-24</v>
      </c>
      <c r="S1546" s="34" t="str">
        <f aca="false">IF(H1546="","SIN DATO",IFERROR(INDEX(cat_MarcaN,MATCH(H1546,cat_MarcaO,0)),H1546))</f>
        <v>GENERAL ELECTRIC</v>
      </c>
      <c r="T1546" s="34" t="str">
        <f aca="false">IF(I1546="","SIN DATO",IFERROR(INDEX(cat_ModN,MATCH(I1546,cat_ModO,0)),I1546))</f>
        <v>MULTILIN</v>
      </c>
      <c r="U1546" s="34" t="str">
        <f aca="false">IF(I1546="","",IFERROR(INDEX(cat_ModG,MATCH(I1546,cat_ModO,0)),"No"))</f>
        <v>Sí</v>
      </c>
      <c r="V1546" s="34" t="str">
        <f aca="false">IF(J1546="","SIN DATO",IFERROR(INDEX(cat_FunN,MATCH(J1546,cat_FunO,0)),J1546))</f>
        <v>Protección y medición</v>
      </c>
      <c r="W1546" s="34" t="str">
        <f aca="false">IF(OR(S1546="SIN DATO",T1546="SIN DATO"),"No","Sí")</f>
        <v>Sí</v>
      </c>
    </row>
    <row r="1547" customFormat="false" ht="15" hidden="false" customHeight="false" outlineLevel="0" collapsed="false">
      <c r="A1547" s="34" t="s">
        <v>5642</v>
      </c>
      <c r="B1547" s="34" t="s">
        <v>5643</v>
      </c>
      <c r="C1547" s="34" t="s">
        <v>5644</v>
      </c>
      <c r="D1547" s="34" t="s">
        <v>5645</v>
      </c>
      <c r="E1547" s="34" t="s">
        <v>122</v>
      </c>
      <c r="F1547" s="34" t="s">
        <v>1602</v>
      </c>
      <c r="G1547" s="34" t="s">
        <v>1184</v>
      </c>
      <c r="H1547" s="34" t="s">
        <v>61</v>
      </c>
      <c r="I1547" s="34" t="s">
        <v>63</v>
      </c>
      <c r="J1547" s="34" t="s">
        <v>228</v>
      </c>
      <c r="K1547" s="34" t="s">
        <v>229</v>
      </c>
      <c r="L1547" s="34" t="s">
        <v>230</v>
      </c>
      <c r="M1547" s="34" t="s">
        <v>344</v>
      </c>
      <c r="N1547" s="34" t="str">
        <f aca="false">"Sector "&amp;VALUE(MID(D1547,13,2))</f>
        <v>Sector 4</v>
      </c>
      <c r="O1547" s="34" t="str">
        <f aca="false">IF(Dashboard!$C$5="Ubicación técnica",N1547,"Sector "&amp;VALUE(RIGHT(G1547,2)))</f>
        <v>Sector 4</v>
      </c>
      <c r="P1547" s="34" t="str">
        <f aca="false">IF(MID(D1547,15,3)="SEL","Subestación eléctrica","Área de proceso")</f>
        <v>Subestación eléctrica</v>
      </c>
      <c r="Q1547" s="34" t="str">
        <f aca="false">MID(D1547,13,5)&amp;"|"&amp;MID(D1547,19,5)</f>
        <v>04SEL|S_024</v>
      </c>
      <c r="R1547" s="34" t="str">
        <f aca="false">IF(P1547="Subestación eléctrica",IFERROR(INDEX(cat_SubN,MATCH(Q1547,cat_SubK,0)),"SIN CATALOGAR"),"ÁREA DE PROCESO")</f>
        <v>SE-24</v>
      </c>
      <c r="S1547" s="34" t="str">
        <f aca="false">IF(H1547="","SIN DATO",IFERROR(INDEX(cat_MarcaN,MATCH(H1547,cat_MarcaO,0)),H1547))</f>
        <v>GENERAL ELECTRIC</v>
      </c>
      <c r="T1547" s="34" t="str">
        <f aca="false">IF(I1547="","SIN DATO",IFERROR(INDEX(cat_ModN,MATCH(I1547,cat_ModO,0)),I1547))</f>
        <v>MULTILIN</v>
      </c>
      <c r="U1547" s="34" t="str">
        <f aca="false">IF(I1547="","",IFERROR(INDEX(cat_ModG,MATCH(I1547,cat_ModO,0)),"No"))</f>
        <v>Sí</v>
      </c>
      <c r="V1547" s="34" t="str">
        <f aca="false">IF(J1547="","SIN DATO",IFERROR(INDEX(cat_FunN,MATCH(J1547,cat_FunO,0)),J1547))</f>
        <v>Protección y medición</v>
      </c>
      <c r="W1547" s="34" t="str">
        <f aca="false">IF(OR(S1547="SIN DATO",T1547="SIN DATO"),"No","Sí")</f>
        <v>Sí</v>
      </c>
    </row>
    <row r="1548" customFormat="false" ht="15" hidden="false" customHeight="false" outlineLevel="0" collapsed="false">
      <c r="A1548" s="34" t="s">
        <v>5646</v>
      </c>
      <c r="B1548" s="34" t="s">
        <v>5647</v>
      </c>
      <c r="C1548" s="34" t="s">
        <v>5648</v>
      </c>
      <c r="D1548" s="34" t="s">
        <v>5649</v>
      </c>
      <c r="E1548" s="34" t="s">
        <v>122</v>
      </c>
      <c r="F1548" s="34" t="s">
        <v>1602</v>
      </c>
      <c r="G1548" s="34" t="s">
        <v>1184</v>
      </c>
      <c r="H1548" s="34" t="s">
        <v>61</v>
      </c>
      <c r="I1548" s="34" t="s">
        <v>63</v>
      </c>
      <c r="J1548" s="34" t="s">
        <v>228</v>
      </c>
      <c r="K1548" s="34" t="s">
        <v>229</v>
      </c>
      <c r="L1548" s="34" t="s">
        <v>230</v>
      </c>
      <c r="M1548" s="34" t="s">
        <v>344</v>
      </c>
      <c r="N1548" s="34" t="str">
        <f aca="false">"Sector "&amp;VALUE(MID(D1548,13,2))</f>
        <v>Sector 4</v>
      </c>
      <c r="O1548" s="34" t="str">
        <f aca="false">IF(Dashboard!$C$5="Ubicación técnica",N1548,"Sector "&amp;VALUE(RIGHT(G1548,2)))</f>
        <v>Sector 4</v>
      </c>
      <c r="P1548" s="34" t="str">
        <f aca="false">IF(MID(D1548,15,3)="SEL","Subestación eléctrica","Área de proceso")</f>
        <v>Subestación eléctrica</v>
      </c>
      <c r="Q1548" s="34" t="str">
        <f aca="false">MID(D1548,13,5)&amp;"|"&amp;MID(D1548,19,5)</f>
        <v>04SEL|S_024</v>
      </c>
      <c r="R1548" s="34" t="str">
        <f aca="false">IF(P1548="Subestación eléctrica",IFERROR(INDEX(cat_SubN,MATCH(Q1548,cat_SubK,0)),"SIN CATALOGAR"),"ÁREA DE PROCESO")</f>
        <v>SE-24</v>
      </c>
      <c r="S1548" s="34" t="str">
        <f aca="false">IF(H1548="","SIN DATO",IFERROR(INDEX(cat_MarcaN,MATCH(H1548,cat_MarcaO,0)),H1548))</f>
        <v>GENERAL ELECTRIC</v>
      </c>
      <c r="T1548" s="34" t="str">
        <f aca="false">IF(I1548="","SIN DATO",IFERROR(INDEX(cat_ModN,MATCH(I1548,cat_ModO,0)),I1548))</f>
        <v>MULTILIN</v>
      </c>
      <c r="U1548" s="34" t="str">
        <f aca="false">IF(I1548="","",IFERROR(INDEX(cat_ModG,MATCH(I1548,cat_ModO,0)),"No"))</f>
        <v>Sí</v>
      </c>
      <c r="V1548" s="34" t="str">
        <f aca="false">IF(J1548="","SIN DATO",IFERROR(INDEX(cat_FunN,MATCH(J1548,cat_FunO,0)),J1548))</f>
        <v>Protección y medición</v>
      </c>
      <c r="W1548" s="34" t="str">
        <f aca="false">IF(OR(S1548="SIN DATO",T1548="SIN DATO"),"No","Sí")</f>
        <v>Sí</v>
      </c>
    </row>
    <row r="1549" customFormat="false" ht="15" hidden="false" customHeight="false" outlineLevel="0" collapsed="false">
      <c r="A1549" s="34" t="s">
        <v>5650</v>
      </c>
      <c r="B1549" s="34" t="s">
        <v>5651</v>
      </c>
      <c r="C1549" s="34" t="s">
        <v>5652</v>
      </c>
      <c r="D1549" s="34" t="s">
        <v>5653</v>
      </c>
      <c r="E1549" s="34" t="s">
        <v>122</v>
      </c>
      <c r="F1549" s="34" t="s">
        <v>1602</v>
      </c>
      <c r="G1549" s="34" t="s">
        <v>1184</v>
      </c>
      <c r="H1549" s="34" t="s">
        <v>61</v>
      </c>
      <c r="I1549" s="34" t="s">
        <v>63</v>
      </c>
      <c r="J1549" s="34" t="s">
        <v>228</v>
      </c>
      <c r="K1549" s="34" t="s">
        <v>229</v>
      </c>
      <c r="L1549" s="34" t="s">
        <v>230</v>
      </c>
      <c r="M1549" s="34" t="s">
        <v>344</v>
      </c>
      <c r="N1549" s="34" t="str">
        <f aca="false">"Sector "&amp;VALUE(MID(D1549,13,2))</f>
        <v>Sector 4</v>
      </c>
      <c r="O1549" s="34" t="str">
        <f aca="false">IF(Dashboard!$C$5="Ubicación técnica",N1549,"Sector "&amp;VALUE(RIGHT(G1549,2)))</f>
        <v>Sector 4</v>
      </c>
      <c r="P1549" s="34" t="str">
        <f aca="false">IF(MID(D1549,15,3)="SEL","Subestación eléctrica","Área de proceso")</f>
        <v>Subestación eléctrica</v>
      </c>
      <c r="Q1549" s="34" t="str">
        <f aca="false">MID(D1549,13,5)&amp;"|"&amp;MID(D1549,19,5)</f>
        <v>04SEL|S_024</v>
      </c>
      <c r="R1549" s="34" t="str">
        <f aca="false">IF(P1549="Subestación eléctrica",IFERROR(INDEX(cat_SubN,MATCH(Q1549,cat_SubK,0)),"SIN CATALOGAR"),"ÁREA DE PROCESO")</f>
        <v>SE-24</v>
      </c>
      <c r="S1549" s="34" t="str">
        <f aca="false">IF(H1549="","SIN DATO",IFERROR(INDEX(cat_MarcaN,MATCH(H1549,cat_MarcaO,0)),H1549))</f>
        <v>GENERAL ELECTRIC</v>
      </c>
      <c r="T1549" s="34" t="str">
        <f aca="false">IF(I1549="","SIN DATO",IFERROR(INDEX(cat_ModN,MATCH(I1549,cat_ModO,0)),I1549))</f>
        <v>MULTILIN</v>
      </c>
      <c r="U1549" s="34" t="str">
        <f aca="false">IF(I1549="","",IFERROR(INDEX(cat_ModG,MATCH(I1549,cat_ModO,0)),"No"))</f>
        <v>Sí</v>
      </c>
      <c r="V1549" s="34" t="str">
        <f aca="false">IF(J1549="","SIN DATO",IFERROR(INDEX(cat_FunN,MATCH(J1549,cat_FunO,0)),J1549))</f>
        <v>Protección y medición</v>
      </c>
      <c r="W1549" s="34" t="str">
        <f aca="false">IF(OR(S1549="SIN DATO",T1549="SIN DATO"),"No","Sí")</f>
        <v>Sí</v>
      </c>
    </row>
    <row r="1550" customFormat="false" ht="15" hidden="false" customHeight="false" outlineLevel="0" collapsed="false">
      <c r="A1550" s="34" t="s">
        <v>5654</v>
      </c>
      <c r="B1550" s="34" t="s">
        <v>5655</v>
      </c>
      <c r="C1550" s="34" t="s">
        <v>5656</v>
      </c>
      <c r="D1550" s="34" t="s">
        <v>3245</v>
      </c>
      <c r="E1550" s="34" t="s">
        <v>122</v>
      </c>
      <c r="F1550" s="34" t="s">
        <v>1602</v>
      </c>
      <c r="G1550" s="34" t="s">
        <v>1184</v>
      </c>
      <c r="H1550" s="34" t="s">
        <v>61</v>
      </c>
      <c r="I1550" s="34" t="s">
        <v>63</v>
      </c>
      <c r="J1550" s="34" t="s">
        <v>228</v>
      </c>
      <c r="K1550" s="34" t="s">
        <v>229</v>
      </c>
      <c r="L1550" s="34" t="s">
        <v>230</v>
      </c>
      <c r="M1550" s="34" t="s">
        <v>344</v>
      </c>
      <c r="N1550" s="34" t="str">
        <f aca="false">"Sector "&amp;VALUE(MID(D1550,13,2))</f>
        <v>Sector 4</v>
      </c>
      <c r="O1550" s="34" t="str">
        <f aca="false">IF(Dashboard!$C$5="Ubicación técnica",N1550,"Sector "&amp;VALUE(RIGHT(G1550,2)))</f>
        <v>Sector 4</v>
      </c>
      <c r="P1550" s="34" t="str">
        <f aca="false">IF(MID(D1550,15,3)="SEL","Subestación eléctrica","Área de proceso")</f>
        <v>Subestación eléctrica</v>
      </c>
      <c r="Q1550" s="34" t="str">
        <f aca="false">MID(D1550,13,5)&amp;"|"&amp;MID(D1550,19,5)</f>
        <v>04SEL|S_024</v>
      </c>
      <c r="R1550" s="34" t="str">
        <f aca="false">IF(P1550="Subestación eléctrica",IFERROR(INDEX(cat_SubN,MATCH(Q1550,cat_SubK,0)),"SIN CATALOGAR"),"ÁREA DE PROCESO")</f>
        <v>SE-24</v>
      </c>
      <c r="S1550" s="34" t="str">
        <f aca="false">IF(H1550="","SIN DATO",IFERROR(INDEX(cat_MarcaN,MATCH(H1550,cat_MarcaO,0)),H1550))</f>
        <v>GENERAL ELECTRIC</v>
      </c>
      <c r="T1550" s="34" t="str">
        <f aca="false">IF(I1550="","SIN DATO",IFERROR(INDEX(cat_ModN,MATCH(I1550,cat_ModO,0)),I1550))</f>
        <v>MULTILIN</v>
      </c>
      <c r="U1550" s="34" t="str">
        <f aca="false">IF(I1550="","",IFERROR(INDEX(cat_ModG,MATCH(I1550,cat_ModO,0)),"No"))</f>
        <v>Sí</v>
      </c>
      <c r="V1550" s="34" t="str">
        <f aca="false">IF(J1550="","SIN DATO",IFERROR(INDEX(cat_FunN,MATCH(J1550,cat_FunO,0)),J1550))</f>
        <v>Protección y medición</v>
      </c>
      <c r="W1550" s="34" t="str">
        <f aca="false">IF(OR(S1550="SIN DATO",T1550="SIN DATO"),"No","Sí")</f>
        <v>Sí</v>
      </c>
    </row>
    <row r="1551" customFormat="false" ht="15" hidden="false" customHeight="false" outlineLevel="0" collapsed="false">
      <c r="A1551" s="34" t="s">
        <v>5657</v>
      </c>
      <c r="B1551" s="34" t="s">
        <v>5658</v>
      </c>
      <c r="C1551" s="34" t="s">
        <v>5659</v>
      </c>
      <c r="D1551" s="34" t="s">
        <v>5660</v>
      </c>
      <c r="E1551" s="34" t="s">
        <v>122</v>
      </c>
      <c r="F1551" s="34" t="s">
        <v>1602</v>
      </c>
      <c r="G1551" s="34" t="s">
        <v>1184</v>
      </c>
      <c r="H1551" s="34" t="s">
        <v>55</v>
      </c>
      <c r="I1551" s="34" t="s">
        <v>55</v>
      </c>
      <c r="J1551" s="34" t="s">
        <v>58</v>
      </c>
      <c r="K1551" s="34" t="s">
        <v>229</v>
      </c>
      <c r="L1551" s="34" t="s">
        <v>230</v>
      </c>
      <c r="M1551" s="34" t="s">
        <v>344</v>
      </c>
      <c r="N1551" s="34" t="str">
        <f aca="false">"Sector "&amp;VALUE(MID(D1551,13,2))</f>
        <v>Sector 4</v>
      </c>
      <c r="O1551" s="34" t="str">
        <f aca="false">IF(Dashboard!$C$5="Ubicación técnica",N1551,"Sector "&amp;VALUE(RIGHT(G1551,2)))</f>
        <v>Sector 4</v>
      </c>
      <c r="P1551" s="34" t="str">
        <f aca="false">IF(MID(D1551,15,3)="SEL","Subestación eléctrica","Área de proceso")</f>
        <v>Subestación eléctrica</v>
      </c>
      <c r="Q1551" s="34" t="str">
        <f aca="false">MID(D1551,13,5)&amp;"|"&amp;MID(D1551,19,5)</f>
        <v>04SEL|S_024</v>
      </c>
      <c r="R1551" s="34" t="str">
        <f aca="false">IF(P1551="Subestación eléctrica",IFERROR(INDEX(cat_SubN,MATCH(Q1551,cat_SubK,0)),"SIN CATALOGAR"),"ÁREA DE PROCESO")</f>
        <v>SE-24</v>
      </c>
      <c r="S1551" s="34" t="str">
        <f aca="false">IF(H1551="","SIN DATO",IFERROR(INDEX(cat_MarcaN,MATCH(H1551,cat_MarcaO,0)),H1551))</f>
        <v>SEL</v>
      </c>
      <c r="T1551" s="34" t="str">
        <f aca="false">IF(I1551="","SIN DATO",IFERROR(INDEX(cat_ModN,MATCH(I1551,cat_ModO,0)),I1551))</f>
        <v>SEL</v>
      </c>
      <c r="U1551" s="34" t="str">
        <f aca="false">IF(I1551="","",IFERROR(INDEX(cat_ModG,MATCH(I1551,cat_ModO,0)),"No"))</f>
        <v>Sí</v>
      </c>
      <c r="V1551" s="34" t="str">
        <f aca="false">IF(J1551="","SIN DATO",IFERROR(INDEX(cat_FunN,MATCH(J1551,cat_FunO,0)),J1551))</f>
        <v>Medición</v>
      </c>
      <c r="W1551" s="34" t="str">
        <f aca="false">IF(OR(S1551="SIN DATO",T1551="SIN DATO"),"No","Sí")</f>
        <v>Sí</v>
      </c>
    </row>
    <row r="1552" customFormat="false" ht="15" hidden="false" customHeight="false" outlineLevel="0" collapsed="false">
      <c r="A1552" s="34" t="s">
        <v>5661</v>
      </c>
      <c r="B1552" s="34" t="s">
        <v>5662</v>
      </c>
      <c r="C1552" s="34" t="s">
        <v>5663</v>
      </c>
      <c r="D1552" s="34" t="s">
        <v>5664</v>
      </c>
      <c r="E1552" s="34" t="s">
        <v>122</v>
      </c>
      <c r="F1552" s="34" t="s">
        <v>1602</v>
      </c>
      <c r="G1552" s="34" t="s">
        <v>1184</v>
      </c>
      <c r="H1552" s="34" t="s">
        <v>55</v>
      </c>
      <c r="I1552" s="34" t="s">
        <v>55</v>
      </c>
      <c r="J1552" s="34" t="s">
        <v>58</v>
      </c>
      <c r="K1552" s="34" t="s">
        <v>229</v>
      </c>
      <c r="L1552" s="34" t="s">
        <v>230</v>
      </c>
      <c r="M1552" s="34" t="s">
        <v>344</v>
      </c>
      <c r="N1552" s="34" t="str">
        <f aca="false">"Sector "&amp;VALUE(MID(D1552,13,2))</f>
        <v>Sector 4</v>
      </c>
      <c r="O1552" s="34" t="str">
        <f aca="false">IF(Dashboard!$C$5="Ubicación técnica",N1552,"Sector "&amp;VALUE(RIGHT(G1552,2)))</f>
        <v>Sector 4</v>
      </c>
      <c r="P1552" s="34" t="str">
        <f aca="false">IF(MID(D1552,15,3)="SEL","Subestación eléctrica","Área de proceso")</f>
        <v>Subestación eléctrica</v>
      </c>
      <c r="Q1552" s="34" t="str">
        <f aca="false">MID(D1552,13,5)&amp;"|"&amp;MID(D1552,19,5)</f>
        <v>04SEL|S_024</v>
      </c>
      <c r="R1552" s="34" t="str">
        <f aca="false">IF(P1552="Subestación eléctrica",IFERROR(INDEX(cat_SubN,MATCH(Q1552,cat_SubK,0)),"SIN CATALOGAR"),"ÁREA DE PROCESO")</f>
        <v>SE-24</v>
      </c>
      <c r="S1552" s="34" t="str">
        <f aca="false">IF(H1552="","SIN DATO",IFERROR(INDEX(cat_MarcaN,MATCH(H1552,cat_MarcaO,0)),H1552))</f>
        <v>SEL</v>
      </c>
      <c r="T1552" s="34" t="str">
        <f aca="false">IF(I1552="","SIN DATO",IFERROR(INDEX(cat_ModN,MATCH(I1552,cat_ModO,0)),I1552))</f>
        <v>SEL</v>
      </c>
      <c r="U1552" s="34" t="str">
        <f aca="false">IF(I1552="","",IFERROR(INDEX(cat_ModG,MATCH(I1552,cat_ModO,0)),"No"))</f>
        <v>Sí</v>
      </c>
      <c r="V1552" s="34" t="str">
        <f aca="false">IF(J1552="","SIN DATO",IFERROR(INDEX(cat_FunN,MATCH(J1552,cat_FunO,0)),J1552))</f>
        <v>Medición</v>
      </c>
      <c r="W1552" s="34" t="str">
        <f aca="false">IF(OR(S1552="SIN DATO",T1552="SIN DATO"),"No","Sí")</f>
        <v>Sí</v>
      </c>
    </row>
    <row r="1553" customFormat="false" ht="15" hidden="false" customHeight="false" outlineLevel="0" collapsed="false">
      <c r="A1553" s="34" t="s">
        <v>5665</v>
      </c>
      <c r="B1553" s="34" t="s">
        <v>5666</v>
      </c>
      <c r="C1553" s="34" t="s">
        <v>5667</v>
      </c>
      <c r="D1553" s="34" t="s">
        <v>5668</v>
      </c>
      <c r="E1553" s="34" t="s">
        <v>122</v>
      </c>
      <c r="F1553" s="34" t="s">
        <v>1602</v>
      </c>
      <c r="G1553" s="34" t="s">
        <v>1184</v>
      </c>
      <c r="H1553" s="34" t="s">
        <v>55</v>
      </c>
      <c r="I1553" s="34" t="s">
        <v>55</v>
      </c>
      <c r="J1553" s="34" t="s">
        <v>58</v>
      </c>
      <c r="K1553" s="34" t="s">
        <v>229</v>
      </c>
      <c r="L1553" s="34" t="s">
        <v>230</v>
      </c>
      <c r="M1553" s="34" t="s">
        <v>344</v>
      </c>
      <c r="N1553" s="34" t="str">
        <f aca="false">"Sector "&amp;VALUE(MID(D1553,13,2))</f>
        <v>Sector 4</v>
      </c>
      <c r="O1553" s="34" t="str">
        <f aca="false">IF(Dashboard!$C$5="Ubicación técnica",N1553,"Sector "&amp;VALUE(RIGHT(G1553,2)))</f>
        <v>Sector 4</v>
      </c>
      <c r="P1553" s="34" t="str">
        <f aca="false">IF(MID(D1553,15,3)="SEL","Subestación eléctrica","Área de proceso")</f>
        <v>Subestación eléctrica</v>
      </c>
      <c r="Q1553" s="34" t="str">
        <f aca="false">MID(D1553,13,5)&amp;"|"&amp;MID(D1553,19,5)</f>
        <v>04SEL|S_024</v>
      </c>
      <c r="R1553" s="34" t="str">
        <f aca="false">IF(P1553="Subestación eléctrica",IFERROR(INDEX(cat_SubN,MATCH(Q1553,cat_SubK,0)),"SIN CATALOGAR"),"ÁREA DE PROCESO")</f>
        <v>SE-24</v>
      </c>
      <c r="S1553" s="34" t="str">
        <f aca="false">IF(H1553="","SIN DATO",IFERROR(INDEX(cat_MarcaN,MATCH(H1553,cat_MarcaO,0)),H1553))</f>
        <v>SEL</v>
      </c>
      <c r="T1553" s="34" t="str">
        <f aca="false">IF(I1553="","SIN DATO",IFERROR(INDEX(cat_ModN,MATCH(I1553,cat_ModO,0)),I1553))</f>
        <v>SEL</v>
      </c>
      <c r="U1553" s="34" t="str">
        <f aca="false">IF(I1553="","",IFERROR(INDEX(cat_ModG,MATCH(I1553,cat_ModO,0)),"No"))</f>
        <v>Sí</v>
      </c>
      <c r="V1553" s="34" t="str">
        <f aca="false">IF(J1553="","SIN DATO",IFERROR(INDEX(cat_FunN,MATCH(J1553,cat_FunO,0)),J1553))</f>
        <v>Medición</v>
      </c>
      <c r="W1553" s="34" t="str">
        <f aca="false">IF(OR(S1553="SIN DATO",T1553="SIN DATO"),"No","Sí")</f>
        <v>Sí</v>
      </c>
    </row>
    <row r="1554" customFormat="false" ht="15" hidden="false" customHeight="false" outlineLevel="0" collapsed="false">
      <c r="A1554" s="34" t="s">
        <v>5669</v>
      </c>
      <c r="B1554" s="34" t="s">
        <v>5670</v>
      </c>
      <c r="C1554" s="34" t="s">
        <v>5671</v>
      </c>
      <c r="D1554" s="34" t="s">
        <v>5672</v>
      </c>
      <c r="E1554" s="34" t="s">
        <v>122</v>
      </c>
      <c r="F1554" s="34" t="s">
        <v>1602</v>
      </c>
      <c r="G1554" s="34" t="s">
        <v>1184</v>
      </c>
      <c r="H1554" s="34" t="s">
        <v>55</v>
      </c>
      <c r="I1554" s="34" t="s">
        <v>55</v>
      </c>
      <c r="J1554" s="34" t="s">
        <v>58</v>
      </c>
      <c r="K1554" s="34" t="s">
        <v>229</v>
      </c>
      <c r="L1554" s="34" t="s">
        <v>230</v>
      </c>
      <c r="M1554" s="34" t="s">
        <v>344</v>
      </c>
      <c r="N1554" s="34" t="str">
        <f aca="false">"Sector "&amp;VALUE(MID(D1554,13,2))</f>
        <v>Sector 4</v>
      </c>
      <c r="O1554" s="34" t="str">
        <f aca="false">IF(Dashboard!$C$5="Ubicación técnica",N1554,"Sector "&amp;VALUE(RIGHT(G1554,2)))</f>
        <v>Sector 4</v>
      </c>
      <c r="P1554" s="34" t="str">
        <f aca="false">IF(MID(D1554,15,3)="SEL","Subestación eléctrica","Área de proceso")</f>
        <v>Subestación eléctrica</v>
      </c>
      <c r="Q1554" s="34" t="str">
        <f aca="false">MID(D1554,13,5)&amp;"|"&amp;MID(D1554,19,5)</f>
        <v>04SEL|S_024</v>
      </c>
      <c r="R1554" s="34" t="str">
        <f aca="false">IF(P1554="Subestación eléctrica",IFERROR(INDEX(cat_SubN,MATCH(Q1554,cat_SubK,0)),"SIN CATALOGAR"),"ÁREA DE PROCESO")</f>
        <v>SE-24</v>
      </c>
      <c r="S1554" s="34" t="str">
        <f aca="false">IF(H1554="","SIN DATO",IFERROR(INDEX(cat_MarcaN,MATCH(H1554,cat_MarcaO,0)),H1554))</f>
        <v>SEL</v>
      </c>
      <c r="T1554" s="34" t="str">
        <f aca="false">IF(I1554="","SIN DATO",IFERROR(INDEX(cat_ModN,MATCH(I1554,cat_ModO,0)),I1554))</f>
        <v>SEL</v>
      </c>
      <c r="U1554" s="34" t="str">
        <f aca="false">IF(I1554="","",IFERROR(INDEX(cat_ModG,MATCH(I1554,cat_ModO,0)),"No"))</f>
        <v>Sí</v>
      </c>
      <c r="V1554" s="34" t="str">
        <f aca="false">IF(J1554="","SIN DATO",IFERROR(INDEX(cat_FunN,MATCH(J1554,cat_FunO,0)),J1554))</f>
        <v>Medición</v>
      </c>
      <c r="W1554" s="34" t="str">
        <f aca="false">IF(OR(S1554="SIN DATO",T1554="SIN DATO"),"No","Sí")</f>
        <v>Sí</v>
      </c>
    </row>
    <row r="1555" customFormat="false" ht="15" hidden="false" customHeight="false" outlineLevel="0" collapsed="false">
      <c r="A1555" s="34" t="s">
        <v>5673</v>
      </c>
      <c r="B1555" s="34" t="s">
        <v>5674</v>
      </c>
      <c r="C1555" s="34" t="s">
        <v>5675</v>
      </c>
      <c r="D1555" s="34" t="s">
        <v>5676</v>
      </c>
      <c r="E1555" s="34" t="s">
        <v>122</v>
      </c>
      <c r="F1555" s="34" t="s">
        <v>1602</v>
      </c>
      <c r="G1555" s="34" t="s">
        <v>1184</v>
      </c>
      <c r="H1555" s="34" t="s">
        <v>55</v>
      </c>
      <c r="I1555" s="34" t="s">
        <v>55</v>
      </c>
      <c r="J1555" s="34" t="s">
        <v>58</v>
      </c>
      <c r="K1555" s="34" t="s">
        <v>229</v>
      </c>
      <c r="L1555" s="34" t="s">
        <v>230</v>
      </c>
      <c r="M1555" s="34" t="s">
        <v>344</v>
      </c>
      <c r="N1555" s="34" t="str">
        <f aca="false">"Sector "&amp;VALUE(MID(D1555,13,2))</f>
        <v>Sector 4</v>
      </c>
      <c r="O1555" s="34" t="str">
        <f aca="false">IF(Dashboard!$C$5="Ubicación técnica",N1555,"Sector "&amp;VALUE(RIGHT(G1555,2)))</f>
        <v>Sector 4</v>
      </c>
      <c r="P1555" s="34" t="str">
        <f aca="false">IF(MID(D1555,15,3)="SEL","Subestación eléctrica","Área de proceso")</f>
        <v>Subestación eléctrica</v>
      </c>
      <c r="Q1555" s="34" t="str">
        <f aca="false">MID(D1555,13,5)&amp;"|"&amp;MID(D1555,19,5)</f>
        <v>04SEL|S_024</v>
      </c>
      <c r="R1555" s="34" t="str">
        <f aca="false">IF(P1555="Subestación eléctrica",IFERROR(INDEX(cat_SubN,MATCH(Q1555,cat_SubK,0)),"SIN CATALOGAR"),"ÁREA DE PROCESO")</f>
        <v>SE-24</v>
      </c>
      <c r="S1555" s="34" t="str">
        <f aca="false">IF(H1555="","SIN DATO",IFERROR(INDEX(cat_MarcaN,MATCH(H1555,cat_MarcaO,0)),H1555))</f>
        <v>SEL</v>
      </c>
      <c r="T1555" s="34" t="str">
        <f aca="false">IF(I1555="","SIN DATO",IFERROR(INDEX(cat_ModN,MATCH(I1555,cat_ModO,0)),I1555))</f>
        <v>SEL</v>
      </c>
      <c r="U1555" s="34" t="str">
        <f aca="false">IF(I1555="","",IFERROR(INDEX(cat_ModG,MATCH(I1555,cat_ModO,0)),"No"))</f>
        <v>Sí</v>
      </c>
      <c r="V1555" s="34" t="str">
        <f aca="false">IF(J1555="","SIN DATO",IFERROR(INDEX(cat_FunN,MATCH(J1555,cat_FunO,0)),J1555))</f>
        <v>Medición</v>
      </c>
      <c r="W1555" s="34" t="str">
        <f aca="false">IF(OR(S1555="SIN DATO",T1555="SIN DATO"),"No","Sí")</f>
        <v>Sí</v>
      </c>
    </row>
    <row r="1556" customFormat="false" ht="15" hidden="false" customHeight="false" outlineLevel="0" collapsed="false">
      <c r="A1556" s="34" t="s">
        <v>5677</v>
      </c>
      <c r="B1556" s="34" t="s">
        <v>5678</v>
      </c>
      <c r="C1556" s="34" t="s">
        <v>5679</v>
      </c>
      <c r="D1556" s="34" t="s">
        <v>5680</v>
      </c>
      <c r="E1556" s="34" t="s">
        <v>122</v>
      </c>
      <c r="F1556" s="34" t="s">
        <v>1602</v>
      </c>
      <c r="G1556" s="34" t="s">
        <v>1184</v>
      </c>
      <c r="H1556" s="34" t="s">
        <v>55</v>
      </c>
      <c r="I1556" s="34" t="s">
        <v>55</v>
      </c>
      <c r="J1556" s="34" t="s">
        <v>58</v>
      </c>
      <c r="K1556" s="34" t="s">
        <v>229</v>
      </c>
      <c r="L1556" s="34" t="s">
        <v>230</v>
      </c>
      <c r="M1556" s="34" t="s">
        <v>344</v>
      </c>
      <c r="N1556" s="34" t="str">
        <f aca="false">"Sector "&amp;VALUE(MID(D1556,13,2))</f>
        <v>Sector 4</v>
      </c>
      <c r="O1556" s="34" t="str">
        <f aca="false">IF(Dashboard!$C$5="Ubicación técnica",N1556,"Sector "&amp;VALUE(RIGHT(G1556,2)))</f>
        <v>Sector 4</v>
      </c>
      <c r="P1556" s="34" t="str">
        <f aca="false">IF(MID(D1556,15,3)="SEL","Subestación eléctrica","Área de proceso")</f>
        <v>Subestación eléctrica</v>
      </c>
      <c r="Q1556" s="34" t="str">
        <f aca="false">MID(D1556,13,5)&amp;"|"&amp;MID(D1556,19,5)</f>
        <v>04SEL|S_024</v>
      </c>
      <c r="R1556" s="34" t="str">
        <f aca="false">IF(P1556="Subestación eléctrica",IFERROR(INDEX(cat_SubN,MATCH(Q1556,cat_SubK,0)),"SIN CATALOGAR"),"ÁREA DE PROCESO")</f>
        <v>SE-24</v>
      </c>
      <c r="S1556" s="34" t="str">
        <f aca="false">IF(H1556="","SIN DATO",IFERROR(INDEX(cat_MarcaN,MATCH(H1556,cat_MarcaO,0)),H1556))</f>
        <v>SEL</v>
      </c>
      <c r="T1556" s="34" t="str">
        <f aca="false">IF(I1556="","SIN DATO",IFERROR(INDEX(cat_ModN,MATCH(I1556,cat_ModO,0)),I1556))</f>
        <v>SEL</v>
      </c>
      <c r="U1556" s="34" t="str">
        <f aca="false">IF(I1556="","",IFERROR(INDEX(cat_ModG,MATCH(I1556,cat_ModO,0)),"No"))</f>
        <v>Sí</v>
      </c>
      <c r="V1556" s="34" t="str">
        <f aca="false">IF(J1556="","SIN DATO",IFERROR(INDEX(cat_FunN,MATCH(J1556,cat_FunO,0)),J1556))</f>
        <v>Medición</v>
      </c>
      <c r="W1556" s="34" t="str">
        <f aca="false">IF(OR(S1556="SIN DATO",T1556="SIN DATO"),"No","Sí")</f>
        <v>Sí</v>
      </c>
    </row>
    <row r="1557" customFormat="false" ht="15" hidden="false" customHeight="false" outlineLevel="0" collapsed="false">
      <c r="A1557" s="34" t="s">
        <v>5681</v>
      </c>
      <c r="B1557" s="34" t="s">
        <v>5682</v>
      </c>
      <c r="C1557" s="34" t="s">
        <v>5683</v>
      </c>
      <c r="D1557" s="34" t="s">
        <v>5684</v>
      </c>
      <c r="E1557" s="34" t="s">
        <v>126</v>
      </c>
      <c r="F1557" s="34" t="s">
        <v>1602</v>
      </c>
      <c r="G1557" s="34" t="s">
        <v>1184</v>
      </c>
      <c r="H1557" s="34" t="s">
        <v>55</v>
      </c>
      <c r="I1557" s="34" t="s">
        <v>55</v>
      </c>
      <c r="J1557" s="34" t="s">
        <v>58</v>
      </c>
      <c r="K1557" s="34" t="s">
        <v>229</v>
      </c>
      <c r="L1557" s="34" t="s">
        <v>230</v>
      </c>
      <c r="M1557" s="34" t="s">
        <v>344</v>
      </c>
      <c r="N1557" s="34" t="str">
        <f aca="false">"Sector "&amp;VALUE(MID(D1557,13,2))</f>
        <v>Sector 4</v>
      </c>
      <c r="O1557" s="34" t="str">
        <f aca="false">IF(Dashboard!$C$5="Ubicación técnica",N1557,"Sector "&amp;VALUE(RIGHT(G1557,2)))</f>
        <v>Sector 4</v>
      </c>
      <c r="P1557" s="34" t="str">
        <f aca="false">IF(MID(D1557,15,3)="SEL","Subestación eléctrica","Área de proceso")</f>
        <v>Subestación eléctrica</v>
      </c>
      <c r="Q1557" s="34" t="str">
        <f aca="false">MID(D1557,13,5)&amp;"|"&amp;MID(D1557,19,5)</f>
        <v>04SEL|S_027</v>
      </c>
      <c r="R1557" s="34" t="str">
        <f aca="false">IF(P1557="Subestación eléctrica",IFERROR(INDEX(cat_SubN,MATCH(Q1557,cat_SubK,0)),"SIN CATALOGAR"),"ÁREA DE PROCESO")</f>
        <v>SE-27</v>
      </c>
      <c r="S1557" s="34" t="str">
        <f aca="false">IF(H1557="","SIN DATO",IFERROR(INDEX(cat_MarcaN,MATCH(H1557,cat_MarcaO,0)),H1557))</f>
        <v>SEL</v>
      </c>
      <c r="T1557" s="34" t="str">
        <f aca="false">IF(I1557="","SIN DATO",IFERROR(INDEX(cat_ModN,MATCH(I1557,cat_ModO,0)),I1557))</f>
        <v>SEL</v>
      </c>
      <c r="U1557" s="34" t="str">
        <f aca="false">IF(I1557="","",IFERROR(INDEX(cat_ModG,MATCH(I1557,cat_ModO,0)),"No"))</f>
        <v>Sí</v>
      </c>
      <c r="V1557" s="34" t="str">
        <f aca="false">IF(J1557="","SIN DATO",IFERROR(INDEX(cat_FunN,MATCH(J1557,cat_FunO,0)),J1557))</f>
        <v>Medición</v>
      </c>
      <c r="W1557" s="34" t="str">
        <f aca="false">IF(OR(S1557="SIN DATO",T1557="SIN DATO"),"No","Sí")</f>
        <v>Sí</v>
      </c>
    </row>
    <row r="1558" customFormat="false" ht="15" hidden="false" customHeight="false" outlineLevel="0" collapsed="false">
      <c r="A1558" s="34" t="s">
        <v>5685</v>
      </c>
      <c r="B1558" s="34" t="s">
        <v>5686</v>
      </c>
      <c r="C1558" s="34" t="s">
        <v>5687</v>
      </c>
      <c r="D1558" s="34" t="s">
        <v>5688</v>
      </c>
      <c r="E1558" s="34" t="s">
        <v>124</v>
      </c>
      <c r="F1558" s="34" t="s">
        <v>1602</v>
      </c>
      <c r="G1558" s="34" t="s">
        <v>1184</v>
      </c>
      <c r="H1558" s="34" t="s">
        <v>61</v>
      </c>
      <c r="I1558" s="34" t="s">
        <v>63</v>
      </c>
      <c r="J1558" s="34" t="s">
        <v>228</v>
      </c>
      <c r="K1558" s="34" t="s">
        <v>229</v>
      </c>
      <c r="L1558" s="34" t="s">
        <v>230</v>
      </c>
      <c r="M1558" s="34" t="s">
        <v>344</v>
      </c>
      <c r="N1558" s="34" t="str">
        <f aca="false">"Sector "&amp;VALUE(MID(D1558,13,2))</f>
        <v>Sector 4</v>
      </c>
      <c r="O1558" s="34" t="str">
        <f aca="false">IF(Dashboard!$C$5="Ubicación técnica",N1558,"Sector "&amp;VALUE(RIGHT(G1558,2)))</f>
        <v>Sector 4</v>
      </c>
      <c r="P1558" s="34" t="str">
        <f aca="false">IF(MID(D1558,15,3)="SEL","Subestación eléctrica","Área de proceso")</f>
        <v>Subestación eléctrica</v>
      </c>
      <c r="Q1558" s="34" t="str">
        <f aca="false">MID(D1558,13,5)&amp;"|"&amp;MID(D1558,19,5)</f>
        <v>04SEL|S_026</v>
      </c>
      <c r="R1558" s="34" t="str">
        <f aca="false">IF(P1558="Subestación eléctrica",IFERROR(INDEX(cat_SubN,MATCH(Q1558,cat_SubK,0)),"SIN CATALOGAR"),"ÁREA DE PROCESO")</f>
        <v>SE-26</v>
      </c>
      <c r="S1558" s="34" t="str">
        <f aca="false">IF(H1558="","SIN DATO",IFERROR(INDEX(cat_MarcaN,MATCH(H1558,cat_MarcaO,0)),H1558))</f>
        <v>GENERAL ELECTRIC</v>
      </c>
      <c r="T1558" s="34" t="str">
        <f aca="false">IF(I1558="","SIN DATO",IFERROR(INDEX(cat_ModN,MATCH(I1558,cat_ModO,0)),I1558))</f>
        <v>MULTILIN</v>
      </c>
      <c r="U1558" s="34" t="str">
        <f aca="false">IF(I1558="","",IFERROR(INDEX(cat_ModG,MATCH(I1558,cat_ModO,0)),"No"))</f>
        <v>Sí</v>
      </c>
      <c r="V1558" s="34" t="str">
        <f aca="false">IF(J1558="","SIN DATO",IFERROR(INDEX(cat_FunN,MATCH(J1558,cat_FunO,0)),J1558))</f>
        <v>Protección y medición</v>
      </c>
      <c r="W1558" s="34" t="str">
        <f aca="false">IF(OR(S1558="SIN DATO",T1558="SIN DATO"),"No","Sí")</f>
        <v>Sí</v>
      </c>
    </row>
    <row r="1559" customFormat="false" ht="15" hidden="false" customHeight="false" outlineLevel="0" collapsed="false">
      <c r="A1559" s="34" t="s">
        <v>5689</v>
      </c>
      <c r="B1559" s="34" t="s">
        <v>5690</v>
      </c>
      <c r="C1559" s="34" t="s">
        <v>5691</v>
      </c>
      <c r="D1559" s="34" t="s">
        <v>5688</v>
      </c>
      <c r="E1559" s="34" t="s">
        <v>124</v>
      </c>
      <c r="F1559" s="34" t="s">
        <v>1602</v>
      </c>
      <c r="G1559" s="34" t="s">
        <v>1184</v>
      </c>
      <c r="H1559" s="34" t="s">
        <v>61</v>
      </c>
      <c r="I1559" s="34" t="s">
        <v>63</v>
      </c>
      <c r="J1559" s="34" t="s">
        <v>228</v>
      </c>
      <c r="K1559" s="34" t="s">
        <v>229</v>
      </c>
      <c r="L1559" s="34" t="s">
        <v>230</v>
      </c>
      <c r="M1559" s="34" t="s">
        <v>344</v>
      </c>
      <c r="N1559" s="34" t="str">
        <f aca="false">"Sector "&amp;VALUE(MID(D1559,13,2))</f>
        <v>Sector 4</v>
      </c>
      <c r="O1559" s="34" t="str">
        <f aca="false">IF(Dashboard!$C$5="Ubicación técnica",N1559,"Sector "&amp;VALUE(RIGHT(G1559,2)))</f>
        <v>Sector 4</v>
      </c>
      <c r="P1559" s="34" t="str">
        <f aca="false">IF(MID(D1559,15,3)="SEL","Subestación eléctrica","Área de proceso")</f>
        <v>Subestación eléctrica</v>
      </c>
      <c r="Q1559" s="34" t="str">
        <f aca="false">MID(D1559,13,5)&amp;"|"&amp;MID(D1559,19,5)</f>
        <v>04SEL|S_026</v>
      </c>
      <c r="R1559" s="34" t="str">
        <f aca="false">IF(P1559="Subestación eléctrica",IFERROR(INDEX(cat_SubN,MATCH(Q1559,cat_SubK,0)),"SIN CATALOGAR"),"ÁREA DE PROCESO")</f>
        <v>SE-26</v>
      </c>
      <c r="S1559" s="34" t="str">
        <f aca="false">IF(H1559="","SIN DATO",IFERROR(INDEX(cat_MarcaN,MATCH(H1559,cat_MarcaO,0)),H1559))</f>
        <v>GENERAL ELECTRIC</v>
      </c>
      <c r="T1559" s="34" t="str">
        <f aca="false">IF(I1559="","SIN DATO",IFERROR(INDEX(cat_ModN,MATCH(I1559,cat_ModO,0)),I1559))</f>
        <v>MULTILIN</v>
      </c>
      <c r="U1559" s="34" t="str">
        <f aca="false">IF(I1559="","",IFERROR(INDEX(cat_ModG,MATCH(I1559,cat_ModO,0)),"No"))</f>
        <v>Sí</v>
      </c>
      <c r="V1559" s="34" t="str">
        <f aca="false">IF(J1559="","SIN DATO",IFERROR(INDEX(cat_FunN,MATCH(J1559,cat_FunO,0)),J1559))</f>
        <v>Protección y medición</v>
      </c>
      <c r="W1559" s="34" t="str">
        <f aca="false">IF(OR(S1559="SIN DATO",T1559="SIN DATO"),"No","Sí")</f>
        <v>Sí</v>
      </c>
    </row>
    <row r="1560" customFormat="false" ht="15" hidden="false" customHeight="false" outlineLevel="0" collapsed="false">
      <c r="A1560" s="34" t="s">
        <v>5692</v>
      </c>
      <c r="B1560" s="34" t="s">
        <v>5693</v>
      </c>
      <c r="C1560" s="34" t="s">
        <v>5694</v>
      </c>
      <c r="D1560" s="34" t="s">
        <v>5695</v>
      </c>
      <c r="E1560" s="34" t="s">
        <v>124</v>
      </c>
      <c r="F1560" s="34" t="s">
        <v>1602</v>
      </c>
      <c r="G1560" s="34" t="s">
        <v>1184</v>
      </c>
      <c r="H1560" s="34" t="s">
        <v>61</v>
      </c>
      <c r="I1560" s="34" t="s">
        <v>63</v>
      </c>
      <c r="J1560" s="34" t="s">
        <v>228</v>
      </c>
      <c r="K1560" s="34" t="s">
        <v>229</v>
      </c>
      <c r="L1560" s="34" t="s">
        <v>230</v>
      </c>
      <c r="M1560" s="34" t="s">
        <v>344</v>
      </c>
      <c r="N1560" s="34" t="str">
        <f aca="false">"Sector "&amp;VALUE(MID(D1560,13,2))</f>
        <v>Sector 4</v>
      </c>
      <c r="O1560" s="34" t="str">
        <f aca="false">IF(Dashboard!$C$5="Ubicación técnica",N1560,"Sector "&amp;VALUE(RIGHT(G1560,2)))</f>
        <v>Sector 4</v>
      </c>
      <c r="P1560" s="34" t="str">
        <f aca="false">IF(MID(D1560,15,3)="SEL","Subestación eléctrica","Área de proceso")</f>
        <v>Subestación eléctrica</v>
      </c>
      <c r="Q1560" s="34" t="str">
        <f aca="false">MID(D1560,13,5)&amp;"|"&amp;MID(D1560,19,5)</f>
        <v>04SEL|S_026</v>
      </c>
      <c r="R1560" s="34" t="str">
        <f aca="false">IF(P1560="Subestación eléctrica",IFERROR(INDEX(cat_SubN,MATCH(Q1560,cat_SubK,0)),"SIN CATALOGAR"),"ÁREA DE PROCESO")</f>
        <v>SE-26</v>
      </c>
      <c r="S1560" s="34" t="str">
        <f aca="false">IF(H1560="","SIN DATO",IFERROR(INDEX(cat_MarcaN,MATCH(H1560,cat_MarcaO,0)),H1560))</f>
        <v>GENERAL ELECTRIC</v>
      </c>
      <c r="T1560" s="34" t="str">
        <f aca="false">IF(I1560="","SIN DATO",IFERROR(INDEX(cat_ModN,MATCH(I1560,cat_ModO,0)),I1560))</f>
        <v>MULTILIN</v>
      </c>
      <c r="U1560" s="34" t="str">
        <f aca="false">IF(I1560="","",IFERROR(INDEX(cat_ModG,MATCH(I1560,cat_ModO,0)),"No"))</f>
        <v>Sí</v>
      </c>
      <c r="V1560" s="34" t="str">
        <f aca="false">IF(J1560="","SIN DATO",IFERROR(INDEX(cat_FunN,MATCH(J1560,cat_FunO,0)),J1560))</f>
        <v>Protección y medición</v>
      </c>
      <c r="W1560" s="34" t="str">
        <f aca="false">IF(OR(S1560="SIN DATO",T1560="SIN DATO"),"No","Sí")</f>
        <v>Sí</v>
      </c>
    </row>
    <row r="1561" customFormat="false" ht="15" hidden="false" customHeight="false" outlineLevel="0" collapsed="false">
      <c r="A1561" s="34" t="s">
        <v>5696</v>
      </c>
      <c r="B1561" s="34" t="s">
        <v>5697</v>
      </c>
      <c r="C1561" s="34" t="s">
        <v>5698</v>
      </c>
      <c r="D1561" s="34" t="s">
        <v>5699</v>
      </c>
      <c r="E1561" s="34" t="s">
        <v>124</v>
      </c>
      <c r="F1561" s="34" t="s">
        <v>1602</v>
      </c>
      <c r="G1561" s="34" t="s">
        <v>1184</v>
      </c>
      <c r="H1561" s="34" t="s">
        <v>61</v>
      </c>
      <c r="I1561" s="34" t="s">
        <v>63</v>
      </c>
      <c r="J1561" s="34" t="s">
        <v>228</v>
      </c>
      <c r="K1561" s="34" t="s">
        <v>229</v>
      </c>
      <c r="L1561" s="34" t="s">
        <v>230</v>
      </c>
      <c r="M1561" s="34" t="s">
        <v>344</v>
      </c>
      <c r="N1561" s="34" t="str">
        <f aca="false">"Sector "&amp;VALUE(MID(D1561,13,2))</f>
        <v>Sector 4</v>
      </c>
      <c r="O1561" s="34" t="str">
        <f aca="false">IF(Dashboard!$C$5="Ubicación técnica",N1561,"Sector "&amp;VALUE(RIGHT(G1561,2)))</f>
        <v>Sector 4</v>
      </c>
      <c r="P1561" s="34" t="str">
        <f aca="false">IF(MID(D1561,15,3)="SEL","Subestación eléctrica","Área de proceso")</f>
        <v>Subestación eléctrica</v>
      </c>
      <c r="Q1561" s="34" t="str">
        <f aca="false">MID(D1561,13,5)&amp;"|"&amp;MID(D1561,19,5)</f>
        <v>04SEL|S_026</v>
      </c>
      <c r="R1561" s="34" t="str">
        <f aca="false">IF(P1561="Subestación eléctrica",IFERROR(INDEX(cat_SubN,MATCH(Q1561,cat_SubK,0)),"SIN CATALOGAR"),"ÁREA DE PROCESO")</f>
        <v>SE-26</v>
      </c>
      <c r="S1561" s="34" t="str">
        <f aca="false">IF(H1561="","SIN DATO",IFERROR(INDEX(cat_MarcaN,MATCH(H1561,cat_MarcaO,0)),H1561))</f>
        <v>GENERAL ELECTRIC</v>
      </c>
      <c r="T1561" s="34" t="str">
        <f aca="false">IF(I1561="","SIN DATO",IFERROR(INDEX(cat_ModN,MATCH(I1561,cat_ModO,0)),I1561))</f>
        <v>MULTILIN</v>
      </c>
      <c r="U1561" s="34" t="str">
        <f aca="false">IF(I1561="","",IFERROR(INDEX(cat_ModG,MATCH(I1561,cat_ModO,0)),"No"))</f>
        <v>Sí</v>
      </c>
      <c r="V1561" s="34" t="str">
        <f aca="false">IF(J1561="","SIN DATO",IFERROR(INDEX(cat_FunN,MATCH(J1561,cat_FunO,0)),J1561))</f>
        <v>Protección y medición</v>
      </c>
      <c r="W1561" s="34" t="str">
        <f aca="false">IF(OR(S1561="SIN DATO",T1561="SIN DATO"),"No","Sí")</f>
        <v>Sí</v>
      </c>
    </row>
    <row r="1562" customFormat="false" ht="15" hidden="false" customHeight="false" outlineLevel="0" collapsed="false">
      <c r="A1562" s="34" t="s">
        <v>5700</v>
      </c>
      <c r="B1562" s="34" t="s">
        <v>5701</v>
      </c>
      <c r="C1562" s="34" t="s">
        <v>5702</v>
      </c>
      <c r="D1562" s="34" t="s">
        <v>5703</v>
      </c>
      <c r="E1562" s="34" t="s">
        <v>124</v>
      </c>
      <c r="F1562" s="34" t="s">
        <v>1602</v>
      </c>
      <c r="G1562" s="34" t="s">
        <v>1184</v>
      </c>
      <c r="H1562" s="34" t="s">
        <v>61</v>
      </c>
      <c r="I1562" s="34" t="s">
        <v>63</v>
      </c>
      <c r="J1562" s="34" t="s">
        <v>228</v>
      </c>
      <c r="K1562" s="34" t="s">
        <v>229</v>
      </c>
      <c r="L1562" s="34" t="s">
        <v>230</v>
      </c>
      <c r="M1562" s="34" t="s">
        <v>344</v>
      </c>
      <c r="N1562" s="34" t="str">
        <f aca="false">"Sector "&amp;VALUE(MID(D1562,13,2))</f>
        <v>Sector 4</v>
      </c>
      <c r="O1562" s="34" t="str">
        <f aca="false">IF(Dashboard!$C$5="Ubicación técnica",N1562,"Sector "&amp;VALUE(RIGHT(G1562,2)))</f>
        <v>Sector 4</v>
      </c>
      <c r="P1562" s="34" t="str">
        <f aca="false">IF(MID(D1562,15,3)="SEL","Subestación eléctrica","Área de proceso")</f>
        <v>Subestación eléctrica</v>
      </c>
      <c r="Q1562" s="34" t="str">
        <f aca="false">MID(D1562,13,5)&amp;"|"&amp;MID(D1562,19,5)</f>
        <v>04SEL|S_026</v>
      </c>
      <c r="R1562" s="34" t="str">
        <f aca="false">IF(P1562="Subestación eléctrica",IFERROR(INDEX(cat_SubN,MATCH(Q1562,cat_SubK,0)),"SIN CATALOGAR"),"ÁREA DE PROCESO")</f>
        <v>SE-26</v>
      </c>
      <c r="S1562" s="34" t="str">
        <f aca="false">IF(H1562="","SIN DATO",IFERROR(INDEX(cat_MarcaN,MATCH(H1562,cat_MarcaO,0)),H1562))</f>
        <v>GENERAL ELECTRIC</v>
      </c>
      <c r="T1562" s="34" t="str">
        <f aca="false">IF(I1562="","SIN DATO",IFERROR(INDEX(cat_ModN,MATCH(I1562,cat_ModO,0)),I1562))</f>
        <v>MULTILIN</v>
      </c>
      <c r="U1562" s="34" t="str">
        <f aca="false">IF(I1562="","",IFERROR(INDEX(cat_ModG,MATCH(I1562,cat_ModO,0)),"No"))</f>
        <v>Sí</v>
      </c>
      <c r="V1562" s="34" t="str">
        <f aca="false">IF(J1562="","SIN DATO",IFERROR(INDEX(cat_FunN,MATCH(J1562,cat_FunO,0)),J1562))</f>
        <v>Protección y medición</v>
      </c>
      <c r="W1562" s="34" t="str">
        <f aca="false">IF(OR(S1562="SIN DATO",T1562="SIN DATO"),"No","Sí")</f>
        <v>Sí</v>
      </c>
    </row>
    <row r="1563" customFormat="false" ht="15" hidden="false" customHeight="false" outlineLevel="0" collapsed="false">
      <c r="A1563" s="34" t="s">
        <v>5704</v>
      </c>
      <c r="B1563" s="34" t="s">
        <v>5705</v>
      </c>
      <c r="C1563" s="34" t="s">
        <v>5706</v>
      </c>
      <c r="D1563" s="34" t="s">
        <v>5707</v>
      </c>
      <c r="E1563" s="34" t="s">
        <v>124</v>
      </c>
      <c r="F1563" s="34" t="s">
        <v>1602</v>
      </c>
      <c r="G1563" s="34" t="s">
        <v>1184</v>
      </c>
      <c r="H1563" s="34" t="s">
        <v>61</v>
      </c>
      <c r="I1563" s="34" t="s">
        <v>63</v>
      </c>
      <c r="J1563" s="34" t="s">
        <v>228</v>
      </c>
      <c r="K1563" s="34" t="s">
        <v>229</v>
      </c>
      <c r="L1563" s="34" t="s">
        <v>230</v>
      </c>
      <c r="M1563" s="34" t="s">
        <v>344</v>
      </c>
      <c r="N1563" s="34" t="str">
        <f aca="false">"Sector "&amp;VALUE(MID(D1563,13,2))</f>
        <v>Sector 4</v>
      </c>
      <c r="O1563" s="34" t="str">
        <f aca="false">IF(Dashboard!$C$5="Ubicación técnica",N1563,"Sector "&amp;VALUE(RIGHT(G1563,2)))</f>
        <v>Sector 4</v>
      </c>
      <c r="P1563" s="34" t="str">
        <f aca="false">IF(MID(D1563,15,3)="SEL","Subestación eléctrica","Área de proceso")</f>
        <v>Subestación eléctrica</v>
      </c>
      <c r="Q1563" s="34" t="str">
        <f aca="false">MID(D1563,13,5)&amp;"|"&amp;MID(D1563,19,5)</f>
        <v>04SEL|S_026</v>
      </c>
      <c r="R1563" s="34" t="str">
        <f aca="false">IF(P1563="Subestación eléctrica",IFERROR(INDEX(cat_SubN,MATCH(Q1563,cat_SubK,0)),"SIN CATALOGAR"),"ÁREA DE PROCESO")</f>
        <v>SE-26</v>
      </c>
      <c r="S1563" s="34" t="str">
        <f aca="false">IF(H1563="","SIN DATO",IFERROR(INDEX(cat_MarcaN,MATCH(H1563,cat_MarcaO,0)),H1563))</f>
        <v>GENERAL ELECTRIC</v>
      </c>
      <c r="T1563" s="34" t="str">
        <f aca="false">IF(I1563="","SIN DATO",IFERROR(INDEX(cat_ModN,MATCH(I1563,cat_ModO,0)),I1563))</f>
        <v>MULTILIN</v>
      </c>
      <c r="U1563" s="34" t="str">
        <f aca="false">IF(I1563="","",IFERROR(INDEX(cat_ModG,MATCH(I1563,cat_ModO,0)),"No"))</f>
        <v>Sí</v>
      </c>
      <c r="V1563" s="34" t="str">
        <f aca="false">IF(J1563="","SIN DATO",IFERROR(INDEX(cat_FunN,MATCH(J1563,cat_FunO,0)),J1563))</f>
        <v>Protección y medición</v>
      </c>
      <c r="W1563" s="34" t="str">
        <f aca="false">IF(OR(S1563="SIN DATO",T1563="SIN DATO"),"No","Sí")</f>
        <v>Sí</v>
      </c>
    </row>
    <row r="1564" customFormat="false" ht="15" hidden="false" customHeight="false" outlineLevel="0" collapsed="false">
      <c r="A1564" s="34" t="s">
        <v>5708</v>
      </c>
      <c r="B1564" s="34" t="s">
        <v>5709</v>
      </c>
      <c r="C1564" s="34" t="s">
        <v>5710</v>
      </c>
      <c r="D1564" s="34" t="s">
        <v>3253</v>
      </c>
      <c r="E1564" s="34" t="s">
        <v>124</v>
      </c>
      <c r="F1564" s="34" t="s">
        <v>1602</v>
      </c>
      <c r="G1564" s="34" t="s">
        <v>1184</v>
      </c>
      <c r="H1564" s="34" t="s">
        <v>61</v>
      </c>
      <c r="I1564" s="34" t="s">
        <v>63</v>
      </c>
      <c r="J1564" s="34" t="s">
        <v>228</v>
      </c>
      <c r="K1564" s="34" t="s">
        <v>229</v>
      </c>
      <c r="L1564" s="34" t="s">
        <v>230</v>
      </c>
      <c r="M1564" s="34" t="s">
        <v>344</v>
      </c>
      <c r="N1564" s="34" t="str">
        <f aca="false">"Sector "&amp;VALUE(MID(D1564,13,2))</f>
        <v>Sector 4</v>
      </c>
      <c r="O1564" s="34" t="str">
        <f aca="false">IF(Dashboard!$C$5="Ubicación técnica",N1564,"Sector "&amp;VALUE(RIGHT(G1564,2)))</f>
        <v>Sector 4</v>
      </c>
      <c r="P1564" s="34" t="str">
        <f aca="false">IF(MID(D1564,15,3)="SEL","Subestación eléctrica","Área de proceso")</f>
        <v>Subestación eléctrica</v>
      </c>
      <c r="Q1564" s="34" t="str">
        <f aca="false">MID(D1564,13,5)&amp;"|"&amp;MID(D1564,19,5)</f>
        <v>04SEL|S_026</v>
      </c>
      <c r="R1564" s="34" t="str">
        <f aca="false">IF(P1564="Subestación eléctrica",IFERROR(INDEX(cat_SubN,MATCH(Q1564,cat_SubK,0)),"SIN CATALOGAR"),"ÁREA DE PROCESO")</f>
        <v>SE-26</v>
      </c>
      <c r="S1564" s="34" t="str">
        <f aca="false">IF(H1564="","SIN DATO",IFERROR(INDEX(cat_MarcaN,MATCH(H1564,cat_MarcaO,0)),H1564))</f>
        <v>GENERAL ELECTRIC</v>
      </c>
      <c r="T1564" s="34" t="str">
        <f aca="false">IF(I1564="","SIN DATO",IFERROR(INDEX(cat_ModN,MATCH(I1564,cat_ModO,0)),I1564))</f>
        <v>MULTILIN</v>
      </c>
      <c r="U1564" s="34" t="str">
        <f aca="false">IF(I1564="","",IFERROR(INDEX(cat_ModG,MATCH(I1564,cat_ModO,0)),"No"))</f>
        <v>Sí</v>
      </c>
      <c r="V1564" s="34" t="str">
        <f aca="false">IF(J1564="","SIN DATO",IFERROR(INDEX(cat_FunN,MATCH(J1564,cat_FunO,0)),J1564))</f>
        <v>Protección y medición</v>
      </c>
      <c r="W1564" s="34" t="str">
        <f aca="false">IF(OR(S1564="SIN DATO",T1564="SIN DATO"),"No","Sí")</f>
        <v>Sí</v>
      </c>
    </row>
    <row r="1565" customFormat="false" ht="15" hidden="false" customHeight="false" outlineLevel="0" collapsed="false">
      <c r="A1565" s="34" t="s">
        <v>5711</v>
      </c>
      <c r="B1565" s="34" t="s">
        <v>5712</v>
      </c>
      <c r="C1565" s="34" t="s">
        <v>5713</v>
      </c>
      <c r="D1565" s="34" t="s">
        <v>5714</v>
      </c>
      <c r="E1565" s="34" t="s">
        <v>124</v>
      </c>
      <c r="F1565" s="34" t="s">
        <v>1602</v>
      </c>
      <c r="G1565" s="34" t="s">
        <v>1184</v>
      </c>
      <c r="H1565" s="34" t="s">
        <v>55</v>
      </c>
      <c r="I1565" s="34" t="s">
        <v>55</v>
      </c>
      <c r="J1565" s="34" t="s">
        <v>58</v>
      </c>
      <c r="K1565" s="34" t="s">
        <v>229</v>
      </c>
      <c r="L1565" s="34" t="s">
        <v>230</v>
      </c>
      <c r="M1565" s="34" t="s">
        <v>344</v>
      </c>
      <c r="N1565" s="34" t="str">
        <f aca="false">"Sector "&amp;VALUE(MID(D1565,13,2))</f>
        <v>Sector 4</v>
      </c>
      <c r="O1565" s="34" t="str">
        <f aca="false">IF(Dashboard!$C$5="Ubicación técnica",N1565,"Sector "&amp;VALUE(RIGHT(G1565,2)))</f>
        <v>Sector 4</v>
      </c>
      <c r="P1565" s="34" t="str">
        <f aca="false">IF(MID(D1565,15,3)="SEL","Subestación eléctrica","Área de proceso")</f>
        <v>Subestación eléctrica</v>
      </c>
      <c r="Q1565" s="34" t="str">
        <f aca="false">MID(D1565,13,5)&amp;"|"&amp;MID(D1565,19,5)</f>
        <v>04SEL|S_026</v>
      </c>
      <c r="R1565" s="34" t="str">
        <f aca="false">IF(P1565="Subestación eléctrica",IFERROR(INDEX(cat_SubN,MATCH(Q1565,cat_SubK,0)),"SIN CATALOGAR"),"ÁREA DE PROCESO")</f>
        <v>SE-26</v>
      </c>
      <c r="S1565" s="34" t="str">
        <f aca="false">IF(H1565="","SIN DATO",IFERROR(INDEX(cat_MarcaN,MATCH(H1565,cat_MarcaO,0)),H1565))</f>
        <v>SEL</v>
      </c>
      <c r="T1565" s="34" t="str">
        <f aca="false">IF(I1565="","SIN DATO",IFERROR(INDEX(cat_ModN,MATCH(I1565,cat_ModO,0)),I1565))</f>
        <v>SEL</v>
      </c>
      <c r="U1565" s="34" t="str">
        <f aca="false">IF(I1565="","",IFERROR(INDEX(cat_ModG,MATCH(I1565,cat_ModO,0)),"No"))</f>
        <v>Sí</v>
      </c>
      <c r="V1565" s="34" t="str">
        <f aca="false">IF(J1565="","SIN DATO",IFERROR(INDEX(cat_FunN,MATCH(J1565,cat_FunO,0)),J1565))</f>
        <v>Medición</v>
      </c>
      <c r="W1565" s="34" t="str">
        <f aca="false">IF(OR(S1565="SIN DATO",T1565="SIN DATO"),"No","Sí")</f>
        <v>Sí</v>
      </c>
    </row>
    <row r="1566" customFormat="false" ht="15" hidden="false" customHeight="false" outlineLevel="0" collapsed="false">
      <c r="A1566" s="34" t="s">
        <v>5715</v>
      </c>
      <c r="B1566" s="34" t="s">
        <v>5716</v>
      </c>
      <c r="C1566" s="34" t="s">
        <v>5717</v>
      </c>
      <c r="D1566" s="34" t="s">
        <v>5718</v>
      </c>
      <c r="E1566" s="34" t="s">
        <v>124</v>
      </c>
      <c r="F1566" s="34" t="s">
        <v>1602</v>
      </c>
      <c r="G1566" s="34" t="s">
        <v>1184</v>
      </c>
      <c r="H1566" s="34" t="s">
        <v>55</v>
      </c>
      <c r="I1566" s="34" t="s">
        <v>55</v>
      </c>
      <c r="J1566" s="34" t="s">
        <v>58</v>
      </c>
      <c r="K1566" s="34" t="s">
        <v>229</v>
      </c>
      <c r="L1566" s="34" t="s">
        <v>230</v>
      </c>
      <c r="M1566" s="34" t="s">
        <v>344</v>
      </c>
      <c r="N1566" s="34" t="str">
        <f aca="false">"Sector "&amp;VALUE(MID(D1566,13,2))</f>
        <v>Sector 4</v>
      </c>
      <c r="O1566" s="34" t="str">
        <f aca="false">IF(Dashboard!$C$5="Ubicación técnica",N1566,"Sector "&amp;VALUE(RIGHT(G1566,2)))</f>
        <v>Sector 4</v>
      </c>
      <c r="P1566" s="34" t="str">
        <f aca="false">IF(MID(D1566,15,3)="SEL","Subestación eléctrica","Área de proceso")</f>
        <v>Subestación eléctrica</v>
      </c>
      <c r="Q1566" s="34" t="str">
        <f aca="false">MID(D1566,13,5)&amp;"|"&amp;MID(D1566,19,5)</f>
        <v>04SEL|S_026</v>
      </c>
      <c r="R1566" s="34" t="str">
        <f aca="false">IF(P1566="Subestación eléctrica",IFERROR(INDEX(cat_SubN,MATCH(Q1566,cat_SubK,0)),"SIN CATALOGAR"),"ÁREA DE PROCESO")</f>
        <v>SE-26</v>
      </c>
      <c r="S1566" s="34" t="str">
        <f aca="false">IF(H1566="","SIN DATO",IFERROR(INDEX(cat_MarcaN,MATCH(H1566,cat_MarcaO,0)),H1566))</f>
        <v>SEL</v>
      </c>
      <c r="T1566" s="34" t="str">
        <f aca="false">IF(I1566="","SIN DATO",IFERROR(INDEX(cat_ModN,MATCH(I1566,cat_ModO,0)),I1566))</f>
        <v>SEL</v>
      </c>
      <c r="U1566" s="34" t="str">
        <f aca="false">IF(I1566="","",IFERROR(INDEX(cat_ModG,MATCH(I1566,cat_ModO,0)),"No"))</f>
        <v>Sí</v>
      </c>
      <c r="V1566" s="34" t="str">
        <f aca="false">IF(J1566="","SIN DATO",IFERROR(INDEX(cat_FunN,MATCH(J1566,cat_FunO,0)),J1566))</f>
        <v>Medición</v>
      </c>
      <c r="W1566" s="34" t="str">
        <f aca="false">IF(OR(S1566="SIN DATO",T1566="SIN DATO"),"No","Sí")</f>
        <v>Sí</v>
      </c>
    </row>
    <row r="1567" customFormat="false" ht="15" hidden="false" customHeight="false" outlineLevel="0" collapsed="false">
      <c r="A1567" s="34" t="s">
        <v>5719</v>
      </c>
      <c r="B1567" s="34" t="s">
        <v>5720</v>
      </c>
      <c r="C1567" s="34" t="s">
        <v>5721</v>
      </c>
      <c r="D1567" s="34" t="s">
        <v>5722</v>
      </c>
      <c r="E1567" s="34" t="s">
        <v>124</v>
      </c>
      <c r="F1567" s="34" t="s">
        <v>1602</v>
      </c>
      <c r="G1567" s="34" t="s">
        <v>1184</v>
      </c>
      <c r="H1567" s="34" t="s">
        <v>55</v>
      </c>
      <c r="I1567" s="34" t="s">
        <v>55</v>
      </c>
      <c r="J1567" s="34" t="s">
        <v>58</v>
      </c>
      <c r="K1567" s="34" t="s">
        <v>229</v>
      </c>
      <c r="L1567" s="34" t="s">
        <v>230</v>
      </c>
      <c r="M1567" s="34" t="s">
        <v>344</v>
      </c>
      <c r="N1567" s="34" t="str">
        <f aca="false">"Sector "&amp;VALUE(MID(D1567,13,2))</f>
        <v>Sector 4</v>
      </c>
      <c r="O1567" s="34" t="str">
        <f aca="false">IF(Dashboard!$C$5="Ubicación técnica",N1567,"Sector "&amp;VALUE(RIGHT(G1567,2)))</f>
        <v>Sector 4</v>
      </c>
      <c r="P1567" s="34" t="str">
        <f aca="false">IF(MID(D1567,15,3)="SEL","Subestación eléctrica","Área de proceso")</f>
        <v>Subestación eléctrica</v>
      </c>
      <c r="Q1567" s="34" t="str">
        <f aca="false">MID(D1567,13,5)&amp;"|"&amp;MID(D1567,19,5)</f>
        <v>04SEL|S_026</v>
      </c>
      <c r="R1567" s="34" t="str">
        <f aca="false">IF(P1567="Subestación eléctrica",IFERROR(INDEX(cat_SubN,MATCH(Q1567,cat_SubK,0)),"SIN CATALOGAR"),"ÁREA DE PROCESO")</f>
        <v>SE-26</v>
      </c>
      <c r="S1567" s="34" t="str">
        <f aca="false">IF(H1567="","SIN DATO",IFERROR(INDEX(cat_MarcaN,MATCH(H1567,cat_MarcaO,0)),H1567))</f>
        <v>SEL</v>
      </c>
      <c r="T1567" s="34" t="str">
        <f aca="false">IF(I1567="","SIN DATO",IFERROR(INDEX(cat_ModN,MATCH(I1567,cat_ModO,0)),I1567))</f>
        <v>SEL</v>
      </c>
      <c r="U1567" s="34" t="str">
        <f aca="false">IF(I1567="","",IFERROR(INDEX(cat_ModG,MATCH(I1567,cat_ModO,0)),"No"))</f>
        <v>Sí</v>
      </c>
      <c r="V1567" s="34" t="str">
        <f aca="false">IF(J1567="","SIN DATO",IFERROR(INDEX(cat_FunN,MATCH(J1567,cat_FunO,0)),J1567))</f>
        <v>Medición</v>
      </c>
      <c r="W1567" s="34" t="str">
        <f aca="false">IF(OR(S1567="SIN DATO",T1567="SIN DATO"),"No","Sí")</f>
        <v>Sí</v>
      </c>
    </row>
    <row r="1568" customFormat="false" ht="15" hidden="false" customHeight="false" outlineLevel="0" collapsed="false">
      <c r="A1568" s="34" t="s">
        <v>5723</v>
      </c>
      <c r="B1568" s="34" t="s">
        <v>5724</v>
      </c>
      <c r="C1568" s="34" t="s">
        <v>5725</v>
      </c>
      <c r="D1568" s="34" t="s">
        <v>5726</v>
      </c>
      <c r="E1568" s="34" t="s">
        <v>124</v>
      </c>
      <c r="F1568" s="34" t="s">
        <v>1602</v>
      </c>
      <c r="G1568" s="34" t="s">
        <v>1184</v>
      </c>
      <c r="H1568" s="34" t="s">
        <v>55</v>
      </c>
      <c r="I1568" s="34" t="s">
        <v>55</v>
      </c>
      <c r="J1568" s="34" t="s">
        <v>58</v>
      </c>
      <c r="K1568" s="34" t="s">
        <v>229</v>
      </c>
      <c r="L1568" s="34" t="s">
        <v>230</v>
      </c>
      <c r="M1568" s="34" t="s">
        <v>344</v>
      </c>
      <c r="N1568" s="34" t="str">
        <f aca="false">"Sector "&amp;VALUE(MID(D1568,13,2))</f>
        <v>Sector 4</v>
      </c>
      <c r="O1568" s="34" t="str">
        <f aca="false">IF(Dashboard!$C$5="Ubicación técnica",N1568,"Sector "&amp;VALUE(RIGHT(G1568,2)))</f>
        <v>Sector 4</v>
      </c>
      <c r="P1568" s="34" t="str">
        <f aca="false">IF(MID(D1568,15,3)="SEL","Subestación eléctrica","Área de proceso")</f>
        <v>Subestación eléctrica</v>
      </c>
      <c r="Q1568" s="34" t="str">
        <f aca="false">MID(D1568,13,5)&amp;"|"&amp;MID(D1568,19,5)</f>
        <v>04SEL|S_026</v>
      </c>
      <c r="R1568" s="34" t="str">
        <f aca="false">IF(P1568="Subestación eléctrica",IFERROR(INDEX(cat_SubN,MATCH(Q1568,cat_SubK,0)),"SIN CATALOGAR"),"ÁREA DE PROCESO")</f>
        <v>SE-26</v>
      </c>
      <c r="S1568" s="34" t="str">
        <f aca="false">IF(H1568="","SIN DATO",IFERROR(INDEX(cat_MarcaN,MATCH(H1568,cat_MarcaO,0)),H1568))</f>
        <v>SEL</v>
      </c>
      <c r="T1568" s="34" t="str">
        <f aca="false">IF(I1568="","SIN DATO",IFERROR(INDEX(cat_ModN,MATCH(I1568,cat_ModO,0)),I1568))</f>
        <v>SEL</v>
      </c>
      <c r="U1568" s="34" t="str">
        <f aca="false">IF(I1568="","",IFERROR(INDEX(cat_ModG,MATCH(I1568,cat_ModO,0)),"No"))</f>
        <v>Sí</v>
      </c>
      <c r="V1568" s="34" t="str">
        <f aca="false">IF(J1568="","SIN DATO",IFERROR(INDEX(cat_FunN,MATCH(J1568,cat_FunO,0)),J1568))</f>
        <v>Medición</v>
      </c>
      <c r="W1568" s="34" t="str">
        <f aca="false">IF(OR(S1568="SIN DATO",T1568="SIN DATO"),"No","Sí")</f>
        <v>Sí</v>
      </c>
    </row>
    <row r="1569" customFormat="false" ht="15" hidden="false" customHeight="false" outlineLevel="0" collapsed="false">
      <c r="A1569" s="34" t="s">
        <v>5727</v>
      </c>
      <c r="B1569" s="34" t="s">
        <v>5728</v>
      </c>
      <c r="C1569" s="34" t="s">
        <v>5729</v>
      </c>
      <c r="D1569" s="34" t="s">
        <v>5730</v>
      </c>
      <c r="E1569" s="34" t="s">
        <v>124</v>
      </c>
      <c r="F1569" s="34" t="s">
        <v>1602</v>
      </c>
      <c r="G1569" s="34" t="s">
        <v>1184</v>
      </c>
      <c r="H1569" s="34" t="s">
        <v>55</v>
      </c>
      <c r="I1569" s="34" t="s">
        <v>55</v>
      </c>
      <c r="J1569" s="34" t="s">
        <v>58</v>
      </c>
      <c r="K1569" s="34" t="s">
        <v>229</v>
      </c>
      <c r="L1569" s="34" t="s">
        <v>230</v>
      </c>
      <c r="M1569" s="34" t="s">
        <v>344</v>
      </c>
      <c r="N1569" s="34" t="str">
        <f aca="false">"Sector "&amp;VALUE(MID(D1569,13,2))</f>
        <v>Sector 4</v>
      </c>
      <c r="O1569" s="34" t="str">
        <f aca="false">IF(Dashboard!$C$5="Ubicación técnica",N1569,"Sector "&amp;VALUE(RIGHT(G1569,2)))</f>
        <v>Sector 4</v>
      </c>
      <c r="P1569" s="34" t="str">
        <f aca="false">IF(MID(D1569,15,3)="SEL","Subestación eléctrica","Área de proceso")</f>
        <v>Subestación eléctrica</v>
      </c>
      <c r="Q1569" s="34" t="str">
        <f aca="false">MID(D1569,13,5)&amp;"|"&amp;MID(D1569,19,5)</f>
        <v>04SEL|S_026</v>
      </c>
      <c r="R1569" s="34" t="str">
        <f aca="false">IF(P1569="Subestación eléctrica",IFERROR(INDEX(cat_SubN,MATCH(Q1569,cat_SubK,0)),"SIN CATALOGAR"),"ÁREA DE PROCESO")</f>
        <v>SE-26</v>
      </c>
      <c r="S1569" s="34" t="str">
        <f aca="false">IF(H1569="","SIN DATO",IFERROR(INDEX(cat_MarcaN,MATCH(H1569,cat_MarcaO,0)),H1569))</f>
        <v>SEL</v>
      </c>
      <c r="T1569" s="34" t="str">
        <f aca="false">IF(I1569="","SIN DATO",IFERROR(INDEX(cat_ModN,MATCH(I1569,cat_ModO,0)),I1569))</f>
        <v>SEL</v>
      </c>
      <c r="U1569" s="34" t="str">
        <f aca="false">IF(I1569="","",IFERROR(INDEX(cat_ModG,MATCH(I1569,cat_ModO,0)),"No"))</f>
        <v>Sí</v>
      </c>
      <c r="V1569" s="34" t="str">
        <f aca="false">IF(J1569="","SIN DATO",IFERROR(INDEX(cat_FunN,MATCH(J1569,cat_FunO,0)),J1569))</f>
        <v>Medición</v>
      </c>
      <c r="W1569" s="34" t="str">
        <f aca="false">IF(OR(S1569="SIN DATO",T1569="SIN DATO"),"No","Sí")</f>
        <v>Sí</v>
      </c>
    </row>
    <row r="1570" customFormat="false" ht="15" hidden="false" customHeight="false" outlineLevel="0" collapsed="false">
      <c r="A1570" s="34" t="s">
        <v>5731</v>
      </c>
      <c r="B1570" s="34" t="s">
        <v>5732</v>
      </c>
      <c r="C1570" s="34" t="s">
        <v>5733</v>
      </c>
      <c r="D1570" s="34" t="s">
        <v>5734</v>
      </c>
      <c r="E1570" s="34" t="s">
        <v>124</v>
      </c>
      <c r="F1570" s="34" t="s">
        <v>1602</v>
      </c>
      <c r="G1570" s="34" t="s">
        <v>1184</v>
      </c>
      <c r="H1570" s="34" t="s">
        <v>55</v>
      </c>
      <c r="I1570" s="34" t="s">
        <v>55</v>
      </c>
      <c r="J1570" s="34" t="s">
        <v>58</v>
      </c>
      <c r="K1570" s="34" t="s">
        <v>229</v>
      </c>
      <c r="L1570" s="34" t="s">
        <v>230</v>
      </c>
      <c r="M1570" s="34" t="s">
        <v>344</v>
      </c>
      <c r="N1570" s="34" t="str">
        <f aca="false">"Sector "&amp;VALUE(MID(D1570,13,2))</f>
        <v>Sector 4</v>
      </c>
      <c r="O1570" s="34" t="str">
        <f aca="false">IF(Dashboard!$C$5="Ubicación técnica",N1570,"Sector "&amp;VALUE(RIGHT(G1570,2)))</f>
        <v>Sector 4</v>
      </c>
      <c r="P1570" s="34" t="str">
        <f aca="false">IF(MID(D1570,15,3)="SEL","Subestación eléctrica","Área de proceso")</f>
        <v>Subestación eléctrica</v>
      </c>
      <c r="Q1570" s="34" t="str">
        <f aca="false">MID(D1570,13,5)&amp;"|"&amp;MID(D1570,19,5)</f>
        <v>04SEL|S_026</v>
      </c>
      <c r="R1570" s="34" t="str">
        <f aca="false">IF(P1570="Subestación eléctrica",IFERROR(INDEX(cat_SubN,MATCH(Q1570,cat_SubK,0)),"SIN CATALOGAR"),"ÁREA DE PROCESO")</f>
        <v>SE-26</v>
      </c>
      <c r="S1570" s="34" t="str">
        <f aca="false">IF(H1570="","SIN DATO",IFERROR(INDEX(cat_MarcaN,MATCH(H1570,cat_MarcaO,0)),H1570))</f>
        <v>SEL</v>
      </c>
      <c r="T1570" s="34" t="str">
        <f aca="false">IF(I1570="","SIN DATO",IFERROR(INDEX(cat_ModN,MATCH(I1570,cat_ModO,0)),I1570))</f>
        <v>SEL</v>
      </c>
      <c r="U1570" s="34" t="str">
        <f aca="false">IF(I1570="","",IFERROR(INDEX(cat_ModG,MATCH(I1570,cat_ModO,0)),"No"))</f>
        <v>Sí</v>
      </c>
      <c r="V1570" s="34" t="str">
        <f aca="false">IF(J1570="","SIN DATO",IFERROR(INDEX(cat_FunN,MATCH(J1570,cat_FunO,0)),J1570))</f>
        <v>Medición</v>
      </c>
      <c r="W1570" s="34" t="str">
        <f aca="false">IF(OR(S1570="SIN DATO",T1570="SIN DATO"),"No","Sí")</f>
        <v>Sí</v>
      </c>
    </row>
    <row r="1571" customFormat="false" ht="15" hidden="false" customHeight="false" outlineLevel="0" collapsed="false">
      <c r="A1571" s="34" t="s">
        <v>5735</v>
      </c>
      <c r="B1571" s="34" t="s">
        <v>5736</v>
      </c>
      <c r="C1571" s="34" t="s">
        <v>5737</v>
      </c>
      <c r="D1571" s="34" t="s">
        <v>5738</v>
      </c>
      <c r="E1571" s="34" t="s">
        <v>124</v>
      </c>
      <c r="F1571" s="34" t="s">
        <v>1602</v>
      </c>
      <c r="G1571" s="34" t="s">
        <v>1184</v>
      </c>
      <c r="H1571" s="34" t="s">
        <v>55</v>
      </c>
      <c r="I1571" s="34" t="s">
        <v>55</v>
      </c>
      <c r="J1571" s="34" t="s">
        <v>58</v>
      </c>
      <c r="K1571" s="34" t="s">
        <v>229</v>
      </c>
      <c r="L1571" s="34" t="s">
        <v>230</v>
      </c>
      <c r="M1571" s="34" t="s">
        <v>344</v>
      </c>
      <c r="N1571" s="34" t="str">
        <f aca="false">"Sector "&amp;VALUE(MID(D1571,13,2))</f>
        <v>Sector 4</v>
      </c>
      <c r="O1571" s="34" t="str">
        <f aca="false">IF(Dashboard!$C$5="Ubicación técnica",N1571,"Sector "&amp;VALUE(RIGHT(G1571,2)))</f>
        <v>Sector 4</v>
      </c>
      <c r="P1571" s="34" t="str">
        <f aca="false">IF(MID(D1571,15,3)="SEL","Subestación eléctrica","Área de proceso")</f>
        <v>Subestación eléctrica</v>
      </c>
      <c r="Q1571" s="34" t="str">
        <f aca="false">MID(D1571,13,5)&amp;"|"&amp;MID(D1571,19,5)</f>
        <v>04SEL|S_026</v>
      </c>
      <c r="R1571" s="34" t="str">
        <f aca="false">IF(P1571="Subestación eléctrica",IFERROR(INDEX(cat_SubN,MATCH(Q1571,cat_SubK,0)),"SIN CATALOGAR"),"ÁREA DE PROCESO")</f>
        <v>SE-26</v>
      </c>
      <c r="S1571" s="34" t="str">
        <f aca="false">IF(H1571="","SIN DATO",IFERROR(INDEX(cat_MarcaN,MATCH(H1571,cat_MarcaO,0)),H1571))</f>
        <v>SEL</v>
      </c>
      <c r="T1571" s="34" t="str">
        <f aca="false">IF(I1571="","SIN DATO",IFERROR(INDEX(cat_ModN,MATCH(I1571,cat_ModO,0)),I1571))</f>
        <v>SEL</v>
      </c>
      <c r="U1571" s="34" t="str">
        <f aca="false">IF(I1571="","",IFERROR(INDEX(cat_ModG,MATCH(I1571,cat_ModO,0)),"No"))</f>
        <v>Sí</v>
      </c>
      <c r="V1571" s="34" t="str">
        <f aca="false">IF(J1571="","SIN DATO",IFERROR(INDEX(cat_FunN,MATCH(J1571,cat_FunO,0)),J1571))</f>
        <v>Medición</v>
      </c>
      <c r="W1571" s="34" t="str">
        <f aca="false">IF(OR(S1571="SIN DATO",T1571="SIN DATO"),"No","Sí")</f>
        <v>Sí</v>
      </c>
    </row>
    <row r="1572" customFormat="false" ht="15" hidden="false" customHeight="false" outlineLevel="0" collapsed="false">
      <c r="A1572" s="34" t="s">
        <v>5739</v>
      </c>
      <c r="B1572" s="34" t="s">
        <v>5740</v>
      </c>
      <c r="C1572" s="34" t="s">
        <v>5741</v>
      </c>
      <c r="D1572" s="34" t="s">
        <v>5742</v>
      </c>
      <c r="E1572" s="34" t="s">
        <v>124</v>
      </c>
      <c r="F1572" s="34" t="s">
        <v>1602</v>
      </c>
      <c r="G1572" s="34" t="s">
        <v>1184</v>
      </c>
      <c r="H1572" s="34" t="s">
        <v>55</v>
      </c>
      <c r="I1572" s="34" t="s">
        <v>55</v>
      </c>
      <c r="J1572" s="34" t="s">
        <v>58</v>
      </c>
      <c r="K1572" s="34" t="s">
        <v>229</v>
      </c>
      <c r="L1572" s="34" t="s">
        <v>230</v>
      </c>
      <c r="M1572" s="34" t="s">
        <v>344</v>
      </c>
      <c r="N1572" s="34" t="str">
        <f aca="false">"Sector "&amp;VALUE(MID(D1572,13,2))</f>
        <v>Sector 4</v>
      </c>
      <c r="O1572" s="34" t="str">
        <f aca="false">IF(Dashboard!$C$5="Ubicación técnica",N1572,"Sector "&amp;VALUE(RIGHT(G1572,2)))</f>
        <v>Sector 4</v>
      </c>
      <c r="P1572" s="34" t="str">
        <f aca="false">IF(MID(D1572,15,3)="SEL","Subestación eléctrica","Área de proceso")</f>
        <v>Subestación eléctrica</v>
      </c>
      <c r="Q1572" s="34" t="str">
        <f aca="false">MID(D1572,13,5)&amp;"|"&amp;MID(D1572,19,5)</f>
        <v>04SEL|S_026</v>
      </c>
      <c r="R1572" s="34" t="str">
        <f aca="false">IF(P1572="Subestación eléctrica",IFERROR(INDEX(cat_SubN,MATCH(Q1572,cat_SubK,0)),"SIN CATALOGAR"),"ÁREA DE PROCESO")</f>
        <v>SE-26</v>
      </c>
      <c r="S1572" s="34" t="str">
        <f aca="false">IF(H1572="","SIN DATO",IFERROR(INDEX(cat_MarcaN,MATCH(H1572,cat_MarcaO,0)),H1572))</f>
        <v>SEL</v>
      </c>
      <c r="T1572" s="34" t="str">
        <f aca="false">IF(I1572="","SIN DATO",IFERROR(INDEX(cat_ModN,MATCH(I1572,cat_ModO,0)),I1572))</f>
        <v>SEL</v>
      </c>
      <c r="U1572" s="34" t="str">
        <f aca="false">IF(I1572="","",IFERROR(INDEX(cat_ModG,MATCH(I1572,cat_ModO,0)),"No"))</f>
        <v>Sí</v>
      </c>
      <c r="V1572" s="34" t="str">
        <f aca="false">IF(J1572="","SIN DATO",IFERROR(INDEX(cat_FunN,MATCH(J1572,cat_FunO,0)),J1572))</f>
        <v>Medición</v>
      </c>
      <c r="W1572" s="34" t="str">
        <f aca="false">IF(OR(S1572="SIN DATO",T1572="SIN DATO"),"No","Sí")</f>
        <v>Sí</v>
      </c>
    </row>
    <row r="1573" customFormat="false" ht="15" hidden="false" customHeight="false" outlineLevel="0" collapsed="false">
      <c r="A1573" s="34" t="s">
        <v>5743</v>
      </c>
      <c r="B1573" s="34" t="s">
        <v>5744</v>
      </c>
      <c r="C1573" s="34" t="s">
        <v>5745</v>
      </c>
      <c r="D1573" s="34" t="s">
        <v>5746</v>
      </c>
      <c r="E1573" s="34" t="s">
        <v>124</v>
      </c>
      <c r="F1573" s="34" t="s">
        <v>1602</v>
      </c>
      <c r="G1573" s="34" t="s">
        <v>1184</v>
      </c>
      <c r="H1573" s="34" t="s">
        <v>55</v>
      </c>
      <c r="I1573" s="34" t="s">
        <v>55</v>
      </c>
      <c r="J1573" s="34" t="s">
        <v>58</v>
      </c>
      <c r="K1573" s="34" t="s">
        <v>229</v>
      </c>
      <c r="L1573" s="34" t="s">
        <v>230</v>
      </c>
      <c r="M1573" s="34" t="s">
        <v>344</v>
      </c>
      <c r="N1573" s="34" t="str">
        <f aca="false">"Sector "&amp;VALUE(MID(D1573,13,2))</f>
        <v>Sector 4</v>
      </c>
      <c r="O1573" s="34" t="str">
        <f aca="false">IF(Dashboard!$C$5="Ubicación técnica",N1573,"Sector "&amp;VALUE(RIGHT(G1573,2)))</f>
        <v>Sector 4</v>
      </c>
      <c r="P1573" s="34" t="str">
        <f aca="false">IF(MID(D1573,15,3)="SEL","Subestación eléctrica","Área de proceso")</f>
        <v>Subestación eléctrica</v>
      </c>
      <c r="Q1573" s="34" t="str">
        <f aca="false">MID(D1573,13,5)&amp;"|"&amp;MID(D1573,19,5)</f>
        <v>04SEL|S_026</v>
      </c>
      <c r="R1573" s="34" t="str">
        <f aca="false">IF(P1573="Subestación eléctrica",IFERROR(INDEX(cat_SubN,MATCH(Q1573,cat_SubK,0)),"SIN CATALOGAR"),"ÁREA DE PROCESO")</f>
        <v>SE-26</v>
      </c>
      <c r="S1573" s="34" t="str">
        <f aca="false">IF(H1573="","SIN DATO",IFERROR(INDEX(cat_MarcaN,MATCH(H1573,cat_MarcaO,0)),H1573))</f>
        <v>SEL</v>
      </c>
      <c r="T1573" s="34" t="str">
        <f aca="false">IF(I1573="","SIN DATO",IFERROR(INDEX(cat_ModN,MATCH(I1573,cat_ModO,0)),I1573))</f>
        <v>SEL</v>
      </c>
      <c r="U1573" s="34" t="str">
        <f aca="false">IF(I1573="","",IFERROR(INDEX(cat_ModG,MATCH(I1573,cat_ModO,0)),"No"))</f>
        <v>Sí</v>
      </c>
      <c r="V1573" s="34" t="str">
        <f aca="false">IF(J1573="","SIN DATO",IFERROR(INDEX(cat_FunN,MATCH(J1573,cat_FunO,0)),J1573))</f>
        <v>Medición</v>
      </c>
      <c r="W1573" s="34" t="str">
        <f aca="false">IF(OR(S1573="SIN DATO",T1573="SIN DATO"),"No","Sí")</f>
        <v>Sí</v>
      </c>
    </row>
    <row r="1574" customFormat="false" ht="15" hidden="false" customHeight="false" outlineLevel="0" collapsed="false">
      <c r="A1574" s="34" t="s">
        <v>5747</v>
      </c>
      <c r="B1574" s="34" t="s">
        <v>5748</v>
      </c>
      <c r="C1574" s="34" t="s">
        <v>5749</v>
      </c>
      <c r="D1574" s="34" t="s">
        <v>5750</v>
      </c>
      <c r="E1574" s="34" t="s">
        <v>124</v>
      </c>
      <c r="F1574" s="34" t="s">
        <v>1602</v>
      </c>
      <c r="G1574" s="34" t="s">
        <v>1184</v>
      </c>
      <c r="H1574" s="34" t="s">
        <v>55</v>
      </c>
      <c r="I1574" s="34" t="s">
        <v>55</v>
      </c>
      <c r="J1574" s="34" t="s">
        <v>58</v>
      </c>
      <c r="K1574" s="34" t="s">
        <v>229</v>
      </c>
      <c r="L1574" s="34" t="s">
        <v>230</v>
      </c>
      <c r="M1574" s="34" t="s">
        <v>344</v>
      </c>
      <c r="N1574" s="34" t="str">
        <f aca="false">"Sector "&amp;VALUE(MID(D1574,13,2))</f>
        <v>Sector 4</v>
      </c>
      <c r="O1574" s="34" t="str">
        <f aca="false">IF(Dashboard!$C$5="Ubicación técnica",N1574,"Sector "&amp;VALUE(RIGHT(G1574,2)))</f>
        <v>Sector 4</v>
      </c>
      <c r="P1574" s="34" t="str">
        <f aca="false">IF(MID(D1574,15,3)="SEL","Subestación eléctrica","Área de proceso")</f>
        <v>Subestación eléctrica</v>
      </c>
      <c r="Q1574" s="34" t="str">
        <f aca="false">MID(D1574,13,5)&amp;"|"&amp;MID(D1574,19,5)</f>
        <v>04SEL|S_026</v>
      </c>
      <c r="R1574" s="34" t="str">
        <f aca="false">IF(P1574="Subestación eléctrica",IFERROR(INDEX(cat_SubN,MATCH(Q1574,cat_SubK,0)),"SIN CATALOGAR"),"ÁREA DE PROCESO")</f>
        <v>SE-26</v>
      </c>
      <c r="S1574" s="34" t="str">
        <f aca="false">IF(H1574="","SIN DATO",IFERROR(INDEX(cat_MarcaN,MATCH(H1574,cat_MarcaO,0)),H1574))</f>
        <v>SEL</v>
      </c>
      <c r="T1574" s="34" t="str">
        <f aca="false">IF(I1574="","SIN DATO",IFERROR(INDEX(cat_ModN,MATCH(I1574,cat_ModO,0)),I1574))</f>
        <v>SEL</v>
      </c>
      <c r="U1574" s="34" t="str">
        <f aca="false">IF(I1574="","",IFERROR(INDEX(cat_ModG,MATCH(I1574,cat_ModO,0)),"No"))</f>
        <v>Sí</v>
      </c>
      <c r="V1574" s="34" t="str">
        <f aca="false">IF(J1574="","SIN DATO",IFERROR(INDEX(cat_FunN,MATCH(J1574,cat_FunO,0)),J1574))</f>
        <v>Medición</v>
      </c>
      <c r="W1574" s="34" t="str">
        <f aca="false">IF(OR(S1574="SIN DATO",T1574="SIN DATO"),"No","Sí")</f>
        <v>Sí</v>
      </c>
    </row>
    <row r="1575" customFormat="false" ht="15" hidden="false" customHeight="false" outlineLevel="0" collapsed="false">
      <c r="A1575" s="34" t="s">
        <v>5751</v>
      </c>
      <c r="B1575" s="34" t="s">
        <v>5752</v>
      </c>
      <c r="C1575" s="34" t="s">
        <v>5753</v>
      </c>
      <c r="D1575" s="34" t="s">
        <v>5754</v>
      </c>
      <c r="E1575" s="34" t="s">
        <v>124</v>
      </c>
      <c r="F1575" s="34" t="s">
        <v>1602</v>
      </c>
      <c r="G1575" s="34" t="s">
        <v>1184</v>
      </c>
      <c r="H1575" s="34" t="s">
        <v>55</v>
      </c>
      <c r="I1575" s="34" t="s">
        <v>55</v>
      </c>
      <c r="J1575" s="34" t="s">
        <v>58</v>
      </c>
      <c r="K1575" s="34" t="s">
        <v>229</v>
      </c>
      <c r="L1575" s="34" t="s">
        <v>230</v>
      </c>
      <c r="M1575" s="34" t="s">
        <v>344</v>
      </c>
      <c r="N1575" s="34" t="str">
        <f aca="false">"Sector "&amp;VALUE(MID(D1575,13,2))</f>
        <v>Sector 4</v>
      </c>
      <c r="O1575" s="34" t="str">
        <f aca="false">IF(Dashboard!$C$5="Ubicación técnica",N1575,"Sector "&amp;VALUE(RIGHT(G1575,2)))</f>
        <v>Sector 4</v>
      </c>
      <c r="P1575" s="34" t="str">
        <f aca="false">IF(MID(D1575,15,3)="SEL","Subestación eléctrica","Área de proceso")</f>
        <v>Subestación eléctrica</v>
      </c>
      <c r="Q1575" s="34" t="str">
        <f aca="false">MID(D1575,13,5)&amp;"|"&amp;MID(D1575,19,5)</f>
        <v>04SEL|S_026</v>
      </c>
      <c r="R1575" s="34" t="str">
        <f aca="false">IF(P1575="Subestación eléctrica",IFERROR(INDEX(cat_SubN,MATCH(Q1575,cat_SubK,0)),"SIN CATALOGAR"),"ÁREA DE PROCESO")</f>
        <v>SE-26</v>
      </c>
      <c r="S1575" s="34" t="str">
        <f aca="false">IF(H1575="","SIN DATO",IFERROR(INDEX(cat_MarcaN,MATCH(H1575,cat_MarcaO,0)),H1575))</f>
        <v>SEL</v>
      </c>
      <c r="T1575" s="34" t="str">
        <f aca="false">IF(I1575="","SIN DATO",IFERROR(INDEX(cat_ModN,MATCH(I1575,cat_ModO,0)),I1575))</f>
        <v>SEL</v>
      </c>
      <c r="U1575" s="34" t="str">
        <f aca="false">IF(I1575="","",IFERROR(INDEX(cat_ModG,MATCH(I1575,cat_ModO,0)),"No"))</f>
        <v>Sí</v>
      </c>
      <c r="V1575" s="34" t="str">
        <f aca="false">IF(J1575="","SIN DATO",IFERROR(INDEX(cat_FunN,MATCH(J1575,cat_FunO,0)),J1575))</f>
        <v>Medición</v>
      </c>
      <c r="W1575" s="34" t="str">
        <f aca="false">IF(OR(S1575="SIN DATO",T1575="SIN DATO"),"No","Sí")</f>
        <v>Sí</v>
      </c>
    </row>
    <row r="1576" customFormat="false" ht="15" hidden="false" customHeight="false" outlineLevel="0" collapsed="false">
      <c r="A1576" s="34" t="s">
        <v>5755</v>
      </c>
      <c r="B1576" s="34" t="s">
        <v>5756</v>
      </c>
      <c r="C1576" s="34" t="s">
        <v>5757</v>
      </c>
      <c r="D1576" s="34" t="s">
        <v>5758</v>
      </c>
      <c r="E1576" s="34" t="s">
        <v>124</v>
      </c>
      <c r="F1576" s="34" t="s">
        <v>1602</v>
      </c>
      <c r="G1576" s="34" t="s">
        <v>1184</v>
      </c>
      <c r="H1576" s="34" t="s">
        <v>55</v>
      </c>
      <c r="I1576" s="34" t="s">
        <v>55</v>
      </c>
      <c r="J1576" s="34" t="s">
        <v>58</v>
      </c>
      <c r="K1576" s="34" t="s">
        <v>229</v>
      </c>
      <c r="L1576" s="34" t="s">
        <v>230</v>
      </c>
      <c r="M1576" s="34" t="s">
        <v>344</v>
      </c>
      <c r="N1576" s="34" t="str">
        <f aca="false">"Sector "&amp;VALUE(MID(D1576,13,2))</f>
        <v>Sector 4</v>
      </c>
      <c r="O1576" s="34" t="str">
        <f aca="false">IF(Dashboard!$C$5="Ubicación técnica",N1576,"Sector "&amp;VALUE(RIGHT(G1576,2)))</f>
        <v>Sector 4</v>
      </c>
      <c r="P1576" s="34" t="str">
        <f aca="false">IF(MID(D1576,15,3)="SEL","Subestación eléctrica","Área de proceso")</f>
        <v>Subestación eléctrica</v>
      </c>
      <c r="Q1576" s="34" t="str">
        <f aca="false">MID(D1576,13,5)&amp;"|"&amp;MID(D1576,19,5)</f>
        <v>04SEL|S_026</v>
      </c>
      <c r="R1576" s="34" t="str">
        <f aca="false">IF(P1576="Subestación eléctrica",IFERROR(INDEX(cat_SubN,MATCH(Q1576,cat_SubK,0)),"SIN CATALOGAR"),"ÁREA DE PROCESO")</f>
        <v>SE-26</v>
      </c>
      <c r="S1576" s="34" t="str">
        <f aca="false">IF(H1576="","SIN DATO",IFERROR(INDEX(cat_MarcaN,MATCH(H1576,cat_MarcaO,0)),H1576))</f>
        <v>SEL</v>
      </c>
      <c r="T1576" s="34" t="str">
        <f aca="false">IF(I1576="","SIN DATO",IFERROR(INDEX(cat_ModN,MATCH(I1576,cat_ModO,0)),I1576))</f>
        <v>SEL</v>
      </c>
      <c r="U1576" s="34" t="str">
        <f aca="false">IF(I1576="","",IFERROR(INDEX(cat_ModG,MATCH(I1576,cat_ModO,0)),"No"))</f>
        <v>Sí</v>
      </c>
      <c r="V1576" s="34" t="str">
        <f aca="false">IF(J1576="","SIN DATO",IFERROR(INDEX(cat_FunN,MATCH(J1576,cat_FunO,0)),J1576))</f>
        <v>Medición</v>
      </c>
      <c r="W1576" s="34" t="str">
        <f aca="false">IF(OR(S1576="SIN DATO",T1576="SIN DATO"),"No","Sí")</f>
        <v>Sí</v>
      </c>
    </row>
    <row r="1577" customFormat="false" ht="15" hidden="false" customHeight="false" outlineLevel="0" collapsed="false">
      <c r="A1577" s="34" t="s">
        <v>5759</v>
      </c>
      <c r="B1577" s="34" t="s">
        <v>5760</v>
      </c>
      <c r="C1577" s="34" t="s">
        <v>5761</v>
      </c>
      <c r="D1577" s="34" t="s">
        <v>5762</v>
      </c>
      <c r="E1577" s="34" t="s">
        <v>126</v>
      </c>
      <c r="F1577" s="34" t="s">
        <v>1602</v>
      </c>
      <c r="G1577" s="34" t="s">
        <v>1184</v>
      </c>
      <c r="H1577" s="34" t="s">
        <v>61</v>
      </c>
      <c r="I1577" s="34" t="s">
        <v>63</v>
      </c>
      <c r="J1577" s="34" t="s">
        <v>228</v>
      </c>
      <c r="K1577" s="34" t="s">
        <v>229</v>
      </c>
      <c r="L1577" s="34" t="s">
        <v>230</v>
      </c>
      <c r="M1577" s="34" t="s">
        <v>344</v>
      </c>
      <c r="N1577" s="34" t="str">
        <f aca="false">"Sector "&amp;VALUE(MID(D1577,13,2))</f>
        <v>Sector 4</v>
      </c>
      <c r="O1577" s="34" t="str">
        <f aca="false">IF(Dashboard!$C$5="Ubicación técnica",N1577,"Sector "&amp;VALUE(RIGHT(G1577,2)))</f>
        <v>Sector 4</v>
      </c>
      <c r="P1577" s="34" t="str">
        <f aca="false">IF(MID(D1577,15,3)="SEL","Subestación eléctrica","Área de proceso")</f>
        <v>Subestación eléctrica</v>
      </c>
      <c r="Q1577" s="34" t="str">
        <f aca="false">MID(D1577,13,5)&amp;"|"&amp;MID(D1577,19,5)</f>
        <v>04SEL|S_027</v>
      </c>
      <c r="R1577" s="34" t="str">
        <f aca="false">IF(P1577="Subestación eléctrica",IFERROR(INDEX(cat_SubN,MATCH(Q1577,cat_SubK,0)),"SIN CATALOGAR"),"ÁREA DE PROCESO")</f>
        <v>SE-27</v>
      </c>
      <c r="S1577" s="34" t="str">
        <f aca="false">IF(H1577="","SIN DATO",IFERROR(INDEX(cat_MarcaN,MATCH(H1577,cat_MarcaO,0)),H1577))</f>
        <v>GENERAL ELECTRIC</v>
      </c>
      <c r="T1577" s="34" t="str">
        <f aca="false">IF(I1577="","SIN DATO",IFERROR(INDEX(cat_ModN,MATCH(I1577,cat_ModO,0)),I1577))</f>
        <v>MULTILIN</v>
      </c>
      <c r="U1577" s="34" t="str">
        <f aca="false">IF(I1577="","",IFERROR(INDEX(cat_ModG,MATCH(I1577,cat_ModO,0)),"No"))</f>
        <v>Sí</v>
      </c>
      <c r="V1577" s="34" t="str">
        <f aca="false">IF(J1577="","SIN DATO",IFERROR(INDEX(cat_FunN,MATCH(J1577,cat_FunO,0)),J1577))</f>
        <v>Protección y medición</v>
      </c>
      <c r="W1577" s="34" t="str">
        <f aca="false">IF(OR(S1577="SIN DATO",T1577="SIN DATO"),"No","Sí")</f>
        <v>Sí</v>
      </c>
    </row>
    <row r="1578" customFormat="false" ht="15" hidden="false" customHeight="false" outlineLevel="0" collapsed="false">
      <c r="A1578" s="34" t="s">
        <v>5763</v>
      </c>
      <c r="B1578" s="34" t="s">
        <v>5764</v>
      </c>
      <c r="C1578" s="34" t="s">
        <v>5765</v>
      </c>
      <c r="D1578" s="34" t="s">
        <v>5762</v>
      </c>
      <c r="E1578" s="34" t="s">
        <v>126</v>
      </c>
      <c r="F1578" s="34" t="s">
        <v>1602</v>
      </c>
      <c r="G1578" s="34" t="s">
        <v>1184</v>
      </c>
      <c r="H1578" s="34" t="s">
        <v>61</v>
      </c>
      <c r="I1578" s="34" t="s">
        <v>63</v>
      </c>
      <c r="J1578" s="34" t="s">
        <v>228</v>
      </c>
      <c r="K1578" s="34" t="s">
        <v>229</v>
      </c>
      <c r="L1578" s="34" t="s">
        <v>230</v>
      </c>
      <c r="M1578" s="34" t="s">
        <v>344</v>
      </c>
      <c r="N1578" s="34" t="str">
        <f aca="false">"Sector "&amp;VALUE(MID(D1578,13,2))</f>
        <v>Sector 4</v>
      </c>
      <c r="O1578" s="34" t="str">
        <f aca="false">IF(Dashboard!$C$5="Ubicación técnica",N1578,"Sector "&amp;VALUE(RIGHT(G1578,2)))</f>
        <v>Sector 4</v>
      </c>
      <c r="P1578" s="34" t="str">
        <f aca="false">IF(MID(D1578,15,3)="SEL","Subestación eléctrica","Área de proceso")</f>
        <v>Subestación eléctrica</v>
      </c>
      <c r="Q1578" s="34" t="str">
        <f aca="false">MID(D1578,13,5)&amp;"|"&amp;MID(D1578,19,5)</f>
        <v>04SEL|S_027</v>
      </c>
      <c r="R1578" s="34" t="str">
        <f aca="false">IF(P1578="Subestación eléctrica",IFERROR(INDEX(cat_SubN,MATCH(Q1578,cat_SubK,0)),"SIN CATALOGAR"),"ÁREA DE PROCESO")</f>
        <v>SE-27</v>
      </c>
      <c r="S1578" s="34" t="str">
        <f aca="false">IF(H1578="","SIN DATO",IFERROR(INDEX(cat_MarcaN,MATCH(H1578,cat_MarcaO,0)),H1578))</f>
        <v>GENERAL ELECTRIC</v>
      </c>
      <c r="T1578" s="34" t="str">
        <f aca="false">IF(I1578="","SIN DATO",IFERROR(INDEX(cat_ModN,MATCH(I1578,cat_ModO,0)),I1578))</f>
        <v>MULTILIN</v>
      </c>
      <c r="U1578" s="34" t="str">
        <f aca="false">IF(I1578="","",IFERROR(INDEX(cat_ModG,MATCH(I1578,cat_ModO,0)),"No"))</f>
        <v>Sí</v>
      </c>
      <c r="V1578" s="34" t="str">
        <f aca="false">IF(J1578="","SIN DATO",IFERROR(INDEX(cat_FunN,MATCH(J1578,cat_FunO,0)),J1578))</f>
        <v>Protección y medición</v>
      </c>
      <c r="W1578" s="34" t="str">
        <f aca="false">IF(OR(S1578="SIN DATO",T1578="SIN DATO"),"No","Sí")</f>
        <v>Sí</v>
      </c>
    </row>
    <row r="1579" customFormat="false" ht="15" hidden="false" customHeight="false" outlineLevel="0" collapsed="false">
      <c r="A1579" s="34" t="s">
        <v>5766</v>
      </c>
      <c r="B1579" s="34" t="s">
        <v>5767</v>
      </c>
      <c r="C1579" s="34" t="s">
        <v>5768</v>
      </c>
      <c r="D1579" s="34" t="s">
        <v>5769</v>
      </c>
      <c r="E1579" s="34" t="s">
        <v>126</v>
      </c>
      <c r="F1579" s="34" t="s">
        <v>1602</v>
      </c>
      <c r="G1579" s="34" t="s">
        <v>1184</v>
      </c>
      <c r="H1579" s="34" t="s">
        <v>61</v>
      </c>
      <c r="I1579" s="34" t="s">
        <v>63</v>
      </c>
      <c r="J1579" s="34" t="s">
        <v>228</v>
      </c>
      <c r="K1579" s="34" t="s">
        <v>229</v>
      </c>
      <c r="L1579" s="34" t="s">
        <v>230</v>
      </c>
      <c r="M1579" s="34" t="s">
        <v>344</v>
      </c>
      <c r="N1579" s="34" t="str">
        <f aca="false">"Sector "&amp;VALUE(MID(D1579,13,2))</f>
        <v>Sector 4</v>
      </c>
      <c r="O1579" s="34" t="str">
        <f aca="false">IF(Dashboard!$C$5="Ubicación técnica",N1579,"Sector "&amp;VALUE(RIGHT(G1579,2)))</f>
        <v>Sector 4</v>
      </c>
      <c r="P1579" s="34" t="str">
        <f aca="false">IF(MID(D1579,15,3)="SEL","Subestación eléctrica","Área de proceso")</f>
        <v>Subestación eléctrica</v>
      </c>
      <c r="Q1579" s="34" t="str">
        <f aca="false">MID(D1579,13,5)&amp;"|"&amp;MID(D1579,19,5)</f>
        <v>04SEL|S_027</v>
      </c>
      <c r="R1579" s="34" t="str">
        <f aca="false">IF(P1579="Subestación eléctrica",IFERROR(INDEX(cat_SubN,MATCH(Q1579,cat_SubK,0)),"SIN CATALOGAR"),"ÁREA DE PROCESO")</f>
        <v>SE-27</v>
      </c>
      <c r="S1579" s="34" t="str">
        <f aca="false">IF(H1579="","SIN DATO",IFERROR(INDEX(cat_MarcaN,MATCH(H1579,cat_MarcaO,0)),H1579))</f>
        <v>GENERAL ELECTRIC</v>
      </c>
      <c r="T1579" s="34" t="str">
        <f aca="false">IF(I1579="","SIN DATO",IFERROR(INDEX(cat_ModN,MATCH(I1579,cat_ModO,0)),I1579))</f>
        <v>MULTILIN</v>
      </c>
      <c r="U1579" s="34" t="str">
        <f aca="false">IF(I1579="","",IFERROR(INDEX(cat_ModG,MATCH(I1579,cat_ModO,0)),"No"))</f>
        <v>Sí</v>
      </c>
      <c r="V1579" s="34" t="str">
        <f aca="false">IF(J1579="","SIN DATO",IFERROR(INDEX(cat_FunN,MATCH(J1579,cat_FunO,0)),J1579))</f>
        <v>Protección y medición</v>
      </c>
      <c r="W1579" s="34" t="str">
        <f aca="false">IF(OR(S1579="SIN DATO",T1579="SIN DATO"),"No","Sí")</f>
        <v>Sí</v>
      </c>
    </row>
    <row r="1580" customFormat="false" ht="15" hidden="false" customHeight="false" outlineLevel="0" collapsed="false">
      <c r="A1580" s="34" t="s">
        <v>5770</v>
      </c>
      <c r="B1580" s="34" t="s">
        <v>5771</v>
      </c>
      <c r="C1580" s="34" t="s">
        <v>5772</v>
      </c>
      <c r="D1580" s="34" t="s">
        <v>5769</v>
      </c>
      <c r="E1580" s="34" t="s">
        <v>126</v>
      </c>
      <c r="F1580" s="34" t="s">
        <v>1602</v>
      </c>
      <c r="G1580" s="34" t="s">
        <v>1184</v>
      </c>
      <c r="H1580" s="34" t="s">
        <v>61</v>
      </c>
      <c r="I1580" s="34" t="s">
        <v>63</v>
      </c>
      <c r="J1580" s="34" t="s">
        <v>228</v>
      </c>
      <c r="K1580" s="34" t="s">
        <v>229</v>
      </c>
      <c r="L1580" s="34" t="s">
        <v>230</v>
      </c>
      <c r="M1580" s="34" t="s">
        <v>4221</v>
      </c>
      <c r="N1580" s="34" t="str">
        <f aca="false">"Sector "&amp;VALUE(MID(D1580,13,2))</f>
        <v>Sector 4</v>
      </c>
      <c r="O1580" s="34" t="str">
        <f aca="false">IF(Dashboard!$C$5="Ubicación técnica",N1580,"Sector "&amp;VALUE(RIGHT(G1580,2)))</f>
        <v>Sector 4</v>
      </c>
      <c r="P1580" s="34" t="str">
        <f aca="false">IF(MID(D1580,15,3)="SEL","Subestación eléctrica","Área de proceso")</f>
        <v>Subestación eléctrica</v>
      </c>
      <c r="Q1580" s="34" t="str">
        <f aca="false">MID(D1580,13,5)&amp;"|"&amp;MID(D1580,19,5)</f>
        <v>04SEL|S_027</v>
      </c>
      <c r="R1580" s="34" t="str">
        <f aca="false">IF(P1580="Subestación eléctrica",IFERROR(INDEX(cat_SubN,MATCH(Q1580,cat_SubK,0)),"SIN CATALOGAR"),"ÁREA DE PROCESO")</f>
        <v>SE-27</v>
      </c>
      <c r="S1580" s="34" t="str">
        <f aca="false">IF(H1580="","SIN DATO",IFERROR(INDEX(cat_MarcaN,MATCH(H1580,cat_MarcaO,0)),H1580))</f>
        <v>GENERAL ELECTRIC</v>
      </c>
      <c r="T1580" s="34" t="str">
        <f aca="false">IF(I1580="","SIN DATO",IFERROR(INDEX(cat_ModN,MATCH(I1580,cat_ModO,0)),I1580))</f>
        <v>MULTILIN</v>
      </c>
      <c r="U1580" s="34" t="str">
        <f aca="false">IF(I1580="","",IFERROR(INDEX(cat_ModG,MATCH(I1580,cat_ModO,0)),"No"))</f>
        <v>Sí</v>
      </c>
      <c r="V1580" s="34" t="str">
        <f aca="false">IF(J1580="","SIN DATO",IFERROR(INDEX(cat_FunN,MATCH(J1580,cat_FunO,0)),J1580))</f>
        <v>Protección y medición</v>
      </c>
      <c r="W1580" s="34" t="str">
        <f aca="false">IF(OR(S1580="SIN DATO",T1580="SIN DATO"),"No","Sí")</f>
        <v>Sí</v>
      </c>
    </row>
    <row r="1581" customFormat="false" ht="15" hidden="false" customHeight="false" outlineLevel="0" collapsed="false">
      <c r="A1581" s="34" t="s">
        <v>5773</v>
      </c>
      <c r="B1581" s="34" t="s">
        <v>5774</v>
      </c>
      <c r="C1581" s="34" t="s">
        <v>5775</v>
      </c>
      <c r="D1581" s="34" t="s">
        <v>5769</v>
      </c>
      <c r="E1581" s="34" t="s">
        <v>126</v>
      </c>
      <c r="F1581" s="34" t="s">
        <v>1602</v>
      </c>
      <c r="G1581" s="34" t="s">
        <v>1184</v>
      </c>
      <c r="H1581" s="34" t="s">
        <v>61</v>
      </c>
      <c r="I1581" s="34" t="s">
        <v>63</v>
      </c>
      <c r="J1581" s="34" t="s">
        <v>228</v>
      </c>
      <c r="K1581" s="34" t="s">
        <v>229</v>
      </c>
      <c r="L1581" s="34" t="s">
        <v>230</v>
      </c>
      <c r="M1581" s="34" t="s">
        <v>344</v>
      </c>
      <c r="N1581" s="34" t="str">
        <f aca="false">"Sector "&amp;VALUE(MID(D1581,13,2))</f>
        <v>Sector 4</v>
      </c>
      <c r="O1581" s="34" t="str">
        <f aca="false">IF(Dashboard!$C$5="Ubicación técnica",N1581,"Sector "&amp;VALUE(RIGHT(G1581,2)))</f>
        <v>Sector 4</v>
      </c>
      <c r="P1581" s="34" t="str">
        <f aca="false">IF(MID(D1581,15,3)="SEL","Subestación eléctrica","Área de proceso")</f>
        <v>Subestación eléctrica</v>
      </c>
      <c r="Q1581" s="34" t="str">
        <f aca="false">MID(D1581,13,5)&amp;"|"&amp;MID(D1581,19,5)</f>
        <v>04SEL|S_027</v>
      </c>
      <c r="R1581" s="34" t="str">
        <f aca="false">IF(P1581="Subestación eléctrica",IFERROR(INDEX(cat_SubN,MATCH(Q1581,cat_SubK,0)),"SIN CATALOGAR"),"ÁREA DE PROCESO")</f>
        <v>SE-27</v>
      </c>
      <c r="S1581" s="34" t="str">
        <f aca="false">IF(H1581="","SIN DATO",IFERROR(INDEX(cat_MarcaN,MATCH(H1581,cat_MarcaO,0)),H1581))</f>
        <v>GENERAL ELECTRIC</v>
      </c>
      <c r="T1581" s="34" t="str">
        <f aca="false">IF(I1581="","SIN DATO",IFERROR(INDEX(cat_ModN,MATCH(I1581,cat_ModO,0)),I1581))</f>
        <v>MULTILIN</v>
      </c>
      <c r="U1581" s="34" t="str">
        <f aca="false">IF(I1581="","",IFERROR(INDEX(cat_ModG,MATCH(I1581,cat_ModO,0)),"No"))</f>
        <v>Sí</v>
      </c>
      <c r="V1581" s="34" t="str">
        <f aca="false">IF(J1581="","SIN DATO",IFERROR(INDEX(cat_FunN,MATCH(J1581,cat_FunO,0)),J1581))</f>
        <v>Protección y medición</v>
      </c>
      <c r="W1581" s="34" t="str">
        <f aca="false">IF(OR(S1581="SIN DATO",T1581="SIN DATO"),"No","Sí")</f>
        <v>Sí</v>
      </c>
    </row>
    <row r="1582" customFormat="false" ht="15" hidden="false" customHeight="false" outlineLevel="0" collapsed="false">
      <c r="A1582" s="34" t="s">
        <v>5776</v>
      </c>
      <c r="B1582" s="34" t="s">
        <v>5777</v>
      </c>
      <c r="C1582" s="34" t="s">
        <v>5778</v>
      </c>
      <c r="D1582" s="34" t="s">
        <v>5779</v>
      </c>
      <c r="E1582" s="34" t="s">
        <v>126</v>
      </c>
      <c r="F1582" s="34" t="s">
        <v>1602</v>
      </c>
      <c r="G1582" s="34" t="s">
        <v>1184</v>
      </c>
      <c r="H1582" s="34" t="s">
        <v>61</v>
      </c>
      <c r="I1582" s="34" t="s">
        <v>63</v>
      </c>
      <c r="J1582" s="34" t="s">
        <v>228</v>
      </c>
      <c r="K1582" s="34" t="s">
        <v>229</v>
      </c>
      <c r="L1582" s="34" t="s">
        <v>230</v>
      </c>
      <c r="M1582" s="34" t="s">
        <v>344</v>
      </c>
      <c r="N1582" s="34" t="str">
        <f aca="false">"Sector "&amp;VALUE(MID(D1582,13,2))</f>
        <v>Sector 4</v>
      </c>
      <c r="O1582" s="34" t="str">
        <f aca="false">IF(Dashboard!$C$5="Ubicación técnica",N1582,"Sector "&amp;VALUE(RIGHT(G1582,2)))</f>
        <v>Sector 4</v>
      </c>
      <c r="P1582" s="34" t="str">
        <f aca="false">IF(MID(D1582,15,3)="SEL","Subestación eléctrica","Área de proceso")</f>
        <v>Subestación eléctrica</v>
      </c>
      <c r="Q1582" s="34" t="str">
        <f aca="false">MID(D1582,13,5)&amp;"|"&amp;MID(D1582,19,5)</f>
        <v>04SEL|S_027</v>
      </c>
      <c r="R1582" s="34" t="str">
        <f aca="false">IF(P1582="Subestación eléctrica",IFERROR(INDEX(cat_SubN,MATCH(Q1582,cat_SubK,0)),"SIN CATALOGAR"),"ÁREA DE PROCESO")</f>
        <v>SE-27</v>
      </c>
      <c r="S1582" s="34" t="str">
        <f aca="false">IF(H1582="","SIN DATO",IFERROR(INDEX(cat_MarcaN,MATCH(H1582,cat_MarcaO,0)),H1582))</f>
        <v>GENERAL ELECTRIC</v>
      </c>
      <c r="T1582" s="34" t="str">
        <f aca="false">IF(I1582="","SIN DATO",IFERROR(INDEX(cat_ModN,MATCH(I1582,cat_ModO,0)),I1582))</f>
        <v>MULTILIN</v>
      </c>
      <c r="U1582" s="34" t="str">
        <f aca="false">IF(I1582="","",IFERROR(INDEX(cat_ModG,MATCH(I1582,cat_ModO,0)),"No"))</f>
        <v>Sí</v>
      </c>
      <c r="V1582" s="34" t="str">
        <f aca="false">IF(J1582="","SIN DATO",IFERROR(INDEX(cat_FunN,MATCH(J1582,cat_FunO,0)),J1582))</f>
        <v>Protección y medición</v>
      </c>
      <c r="W1582" s="34" t="str">
        <f aca="false">IF(OR(S1582="SIN DATO",T1582="SIN DATO"),"No","Sí")</f>
        <v>Sí</v>
      </c>
    </row>
    <row r="1583" customFormat="false" ht="15" hidden="false" customHeight="false" outlineLevel="0" collapsed="false">
      <c r="A1583" s="34" t="s">
        <v>5780</v>
      </c>
      <c r="B1583" s="34" t="s">
        <v>5781</v>
      </c>
      <c r="C1583" s="34" t="s">
        <v>5782</v>
      </c>
      <c r="D1583" s="34" t="s">
        <v>5779</v>
      </c>
      <c r="E1583" s="34" t="s">
        <v>126</v>
      </c>
      <c r="F1583" s="34" t="s">
        <v>1602</v>
      </c>
      <c r="G1583" s="34" t="s">
        <v>1184</v>
      </c>
      <c r="H1583" s="34" t="s">
        <v>61</v>
      </c>
      <c r="I1583" s="34" t="s">
        <v>63</v>
      </c>
      <c r="J1583" s="34" t="s">
        <v>228</v>
      </c>
      <c r="K1583" s="34" t="s">
        <v>229</v>
      </c>
      <c r="L1583" s="34" t="s">
        <v>230</v>
      </c>
      <c r="M1583" s="34" t="s">
        <v>4221</v>
      </c>
      <c r="N1583" s="34" t="str">
        <f aca="false">"Sector "&amp;VALUE(MID(D1583,13,2))</f>
        <v>Sector 4</v>
      </c>
      <c r="O1583" s="34" t="str">
        <f aca="false">IF(Dashboard!$C$5="Ubicación técnica",N1583,"Sector "&amp;VALUE(RIGHT(G1583,2)))</f>
        <v>Sector 4</v>
      </c>
      <c r="P1583" s="34" t="str">
        <f aca="false">IF(MID(D1583,15,3)="SEL","Subestación eléctrica","Área de proceso")</f>
        <v>Subestación eléctrica</v>
      </c>
      <c r="Q1583" s="34" t="str">
        <f aca="false">MID(D1583,13,5)&amp;"|"&amp;MID(D1583,19,5)</f>
        <v>04SEL|S_027</v>
      </c>
      <c r="R1583" s="34" t="str">
        <f aca="false">IF(P1583="Subestación eléctrica",IFERROR(INDEX(cat_SubN,MATCH(Q1583,cat_SubK,0)),"SIN CATALOGAR"),"ÁREA DE PROCESO")</f>
        <v>SE-27</v>
      </c>
      <c r="S1583" s="34" t="str">
        <f aca="false">IF(H1583="","SIN DATO",IFERROR(INDEX(cat_MarcaN,MATCH(H1583,cat_MarcaO,0)),H1583))</f>
        <v>GENERAL ELECTRIC</v>
      </c>
      <c r="T1583" s="34" t="str">
        <f aca="false">IF(I1583="","SIN DATO",IFERROR(INDEX(cat_ModN,MATCH(I1583,cat_ModO,0)),I1583))</f>
        <v>MULTILIN</v>
      </c>
      <c r="U1583" s="34" t="str">
        <f aca="false">IF(I1583="","",IFERROR(INDEX(cat_ModG,MATCH(I1583,cat_ModO,0)),"No"))</f>
        <v>Sí</v>
      </c>
      <c r="V1583" s="34" t="str">
        <f aca="false">IF(J1583="","SIN DATO",IFERROR(INDEX(cat_FunN,MATCH(J1583,cat_FunO,0)),J1583))</f>
        <v>Protección y medición</v>
      </c>
      <c r="W1583" s="34" t="str">
        <f aca="false">IF(OR(S1583="SIN DATO",T1583="SIN DATO"),"No","Sí")</f>
        <v>Sí</v>
      </c>
    </row>
    <row r="1584" customFormat="false" ht="15" hidden="false" customHeight="false" outlineLevel="0" collapsed="false">
      <c r="A1584" s="34" t="s">
        <v>5783</v>
      </c>
      <c r="B1584" s="34" t="s">
        <v>5784</v>
      </c>
      <c r="C1584" s="34" t="s">
        <v>5785</v>
      </c>
      <c r="D1584" s="34" t="s">
        <v>5786</v>
      </c>
      <c r="E1584" s="34" t="s">
        <v>126</v>
      </c>
      <c r="F1584" s="34" t="s">
        <v>1602</v>
      </c>
      <c r="G1584" s="34" t="s">
        <v>1184</v>
      </c>
      <c r="H1584" s="34" t="s">
        <v>61</v>
      </c>
      <c r="I1584" s="34" t="s">
        <v>63</v>
      </c>
      <c r="J1584" s="34" t="s">
        <v>228</v>
      </c>
      <c r="K1584" s="34" t="s">
        <v>229</v>
      </c>
      <c r="L1584" s="34" t="s">
        <v>230</v>
      </c>
      <c r="M1584" s="34" t="s">
        <v>344</v>
      </c>
      <c r="N1584" s="34" t="str">
        <f aca="false">"Sector "&amp;VALUE(MID(D1584,13,2))</f>
        <v>Sector 4</v>
      </c>
      <c r="O1584" s="34" t="str">
        <f aca="false">IF(Dashboard!$C$5="Ubicación técnica",N1584,"Sector "&amp;VALUE(RIGHT(G1584,2)))</f>
        <v>Sector 4</v>
      </c>
      <c r="P1584" s="34" t="str">
        <f aca="false">IF(MID(D1584,15,3)="SEL","Subestación eléctrica","Área de proceso")</f>
        <v>Subestación eléctrica</v>
      </c>
      <c r="Q1584" s="34" t="str">
        <f aca="false">MID(D1584,13,5)&amp;"|"&amp;MID(D1584,19,5)</f>
        <v>04SEL|S_027</v>
      </c>
      <c r="R1584" s="34" t="str">
        <f aca="false">IF(P1584="Subestación eléctrica",IFERROR(INDEX(cat_SubN,MATCH(Q1584,cat_SubK,0)),"SIN CATALOGAR"),"ÁREA DE PROCESO")</f>
        <v>SE-27</v>
      </c>
      <c r="S1584" s="34" t="str">
        <f aca="false">IF(H1584="","SIN DATO",IFERROR(INDEX(cat_MarcaN,MATCH(H1584,cat_MarcaO,0)),H1584))</f>
        <v>GENERAL ELECTRIC</v>
      </c>
      <c r="T1584" s="34" t="str">
        <f aca="false">IF(I1584="","SIN DATO",IFERROR(INDEX(cat_ModN,MATCH(I1584,cat_ModO,0)),I1584))</f>
        <v>MULTILIN</v>
      </c>
      <c r="U1584" s="34" t="str">
        <f aca="false">IF(I1584="","",IFERROR(INDEX(cat_ModG,MATCH(I1584,cat_ModO,0)),"No"))</f>
        <v>Sí</v>
      </c>
      <c r="V1584" s="34" t="str">
        <f aca="false">IF(J1584="","SIN DATO",IFERROR(INDEX(cat_FunN,MATCH(J1584,cat_FunO,0)),J1584))</f>
        <v>Protección y medición</v>
      </c>
      <c r="W1584" s="34" t="str">
        <f aca="false">IF(OR(S1584="SIN DATO",T1584="SIN DATO"),"No","Sí")</f>
        <v>Sí</v>
      </c>
    </row>
    <row r="1585" customFormat="false" ht="15" hidden="false" customHeight="false" outlineLevel="0" collapsed="false">
      <c r="A1585" s="34" t="s">
        <v>5787</v>
      </c>
      <c r="B1585" s="34" t="s">
        <v>5788</v>
      </c>
      <c r="C1585" s="34" t="s">
        <v>5789</v>
      </c>
      <c r="D1585" s="34" t="s">
        <v>5786</v>
      </c>
      <c r="E1585" s="34" t="s">
        <v>126</v>
      </c>
      <c r="F1585" s="34" t="s">
        <v>1602</v>
      </c>
      <c r="G1585" s="34" t="s">
        <v>1184</v>
      </c>
      <c r="H1585" s="34" t="s">
        <v>61</v>
      </c>
      <c r="I1585" s="34" t="s">
        <v>63</v>
      </c>
      <c r="J1585" s="34" t="s">
        <v>228</v>
      </c>
      <c r="K1585" s="34" t="s">
        <v>229</v>
      </c>
      <c r="L1585" s="34" t="s">
        <v>230</v>
      </c>
      <c r="M1585" s="34" t="s">
        <v>344</v>
      </c>
      <c r="N1585" s="34" t="str">
        <f aca="false">"Sector "&amp;VALUE(MID(D1585,13,2))</f>
        <v>Sector 4</v>
      </c>
      <c r="O1585" s="34" t="str">
        <f aca="false">IF(Dashboard!$C$5="Ubicación técnica",N1585,"Sector "&amp;VALUE(RIGHT(G1585,2)))</f>
        <v>Sector 4</v>
      </c>
      <c r="P1585" s="34" t="str">
        <f aca="false">IF(MID(D1585,15,3)="SEL","Subestación eléctrica","Área de proceso")</f>
        <v>Subestación eléctrica</v>
      </c>
      <c r="Q1585" s="34" t="str">
        <f aca="false">MID(D1585,13,5)&amp;"|"&amp;MID(D1585,19,5)</f>
        <v>04SEL|S_027</v>
      </c>
      <c r="R1585" s="34" t="str">
        <f aca="false">IF(P1585="Subestación eléctrica",IFERROR(INDEX(cat_SubN,MATCH(Q1585,cat_SubK,0)),"SIN CATALOGAR"),"ÁREA DE PROCESO")</f>
        <v>SE-27</v>
      </c>
      <c r="S1585" s="34" t="str">
        <f aca="false">IF(H1585="","SIN DATO",IFERROR(INDEX(cat_MarcaN,MATCH(H1585,cat_MarcaO,0)),H1585))</f>
        <v>GENERAL ELECTRIC</v>
      </c>
      <c r="T1585" s="34" t="str">
        <f aca="false">IF(I1585="","SIN DATO",IFERROR(INDEX(cat_ModN,MATCH(I1585,cat_ModO,0)),I1585))</f>
        <v>MULTILIN</v>
      </c>
      <c r="U1585" s="34" t="str">
        <f aca="false">IF(I1585="","",IFERROR(INDEX(cat_ModG,MATCH(I1585,cat_ModO,0)),"No"))</f>
        <v>Sí</v>
      </c>
      <c r="V1585" s="34" t="str">
        <f aca="false">IF(J1585="","SIN DATO",IFERROR(INDEX(cat_FunN,MATCH(J1585,cat_FunO,0)),J1585))</f>
        <v>Protección y medición</v>
      </c>
      <c r="W1585" s="34" t="str">
        <f aca="false">IF(OR(S1585="SIN DATO",T1585="SIN DATO"),"No","Sí")</f>
        <v>Sí</v>
      </c>
    </row>
    <row r="1586" customFormat="false" ht="15" hidden="false" customHeight="false" outlineLevel="0" collapsed="false">
      <c r="A1586" s="34" t="s">
        <v>5790</v>
      </c>
      <c r="B1586" s="34" t="s">
        <v>5791</v>
      </c>
      <c r="C1586" s="34" t="s">
        <v>5792</v>
      </c>
      <c r="D1586" s="34" t="s">
        <v>3257</v>
      </c>
      <c r="E1586" s="34" t="s">
        <v>126</v>
      </c>
      <c r="F1586" s="34" t="s">
        <v>1602</v>
      </c>
      <c r="G1586" s="34" t="s">
        <v>1184</v>
      </c>
      <c r="H1586" s="34" t="s">
        <v>61</v>
      </c>
      <c r="I1586" s="34" t="s">
        <v>63</v>
      </c>
      <c r="J1586" s="34" t="s">
        <v>228</v>
      </c>
      <c r="K1586" s="34" t="s">
        <v>229</v>
      </c>
      <c r="L1586" s="34" t="s">
        <v>230</v>
      </c>
      <c r="M1586" s="34" t="s">
        <v>344</v>
      </c>
      <c r="N1586" s="34" t="str">
        <f aca="false">"Sector "&amp;VALUE(MID(D1586,13,2))</f>
        <v>Sector 4</v>
      </c>
      <c r="O1586" s="34" t="str">
        <f aca="false">IF(Dashboard!$C$5="Ubicación técnica",N1586,"Sector "&amp;VALUE(RIGHT(G1586,2)))</f>
        <v>Sector 4</v>
      </c>
      <c r="P1586" s="34" t="str">
        <f aca="false">IF(MID(D1586,15,3)="SEL","Subestación eléctrica","Área de proceso")</f>
        <v>Subestación eléctrica</v>
      </c>
      <c r="Q1586" s="34" t="str">
        <f aca="false">MID(D1586,13,5)&amp;"|"&amp;MID(D1586,19,5)</f>
        <v>04SEL|S_027</v>
      </c>
      <c r="R1586" s="34" t="str">
        <f aca="false">IF(P1586="Subestación eléctrica",IFERROR(INDEX(cat_SubN,MATCH(Q1586,cat_SubK,0)),"SIN CATALOGAR"),"ÁREA DE PROCESO")</f>
        <v>SE-27</v>
      </c>
      <c r="S1586" s="34" t="str">
        <f aca="false">IF(H1586="","SIN DATO",IFERROR(INDEX(cat_MarcaN,MATCH(H1586,cat_MarcaO,0)),H1586))</f>
        <v>GENERAL ELECTRIC</v>
      </c>
      <c r="T1586" s="34" t="str">
        <f aca="false">IF(I1586="","SIN DATO",IFERROR(INDEX(cat_ModN,MATCH(I1586,cat_ModO,0)),I1586))</f>
        <v>MULTILIN</v>
      </c>
      <c r="U1586" s="34" t="str">
        <f aca="false">IF(I1586="","",IFERROR(INDEX(cat_ModG,MATCH(I1586,cat_ModO,0)),"No"))</f>
        <v>Sí</v>
      </c>
      <c r="V1586" s="34" t="str">
        <f aca="false">IF(J1586="","SIN DATO",IFERROR(INDEX(cat_FunN,MATCH(J1586,cat_FunO,0)),J1586))</f>
        <v>Protección y medición</v>
      </c>
      <c r="W1586" s="34" t="str">
        <f aca="false">IF(OR(S1586="SIN DATO",T1586="SIN DATO"),"No","Sí")</f>
        <v>Sí</v>
      </c>
    </row>
    <row r="1587" customFormat="false" ht="15" hidden="false" customHeight="false" outlineLevel="0" collapsed="false">
      <c r="A1587" s="34" t="s">
        <v>5793</v>
      </c>
      <c r="B1587" s="34" t="s">
        <v>5794</v>
      </c>
      <c r="C1587" s="34" t="s">
        <v>5795</v>
      </c>
      <c r="D1587" s="34" t="s">
        <v>5796</v>
      </c>
      <c r="E1587" s="34" t="s">
        <v>126</v>
      </c>
      <c r="F1587" s="34" t="s">
        <v>1602</v>
      </c>
      <c r="G1587" s="34" t="s">
        <v>1184</v>
      </c>
      <c r="H1587" s="34" t="s">
        <v>61</v>
      </c>
      <c r="I1587" s="34" t="s">
        <v>63</v>
      </c>
      <c r="J1587" s="34" t="s">
        <v>228</v>
      </c>
      <c r="K1587" s="34" t="s">
        <v>229</v>
      </c>
      <c r="L1587" s="34" t="s">
        <v>230</v>
      </c>
      <c r="M1587" s="34" t="s">
        <v>344</v>
      </c>
      <c r="N1587" s="34" t="str">
        <f aca="false">"Sector "&amp;VALUE(MID(D1587,13,2))</f>
        <v>Sector 4</v>
      </c>
      <c r="O1587" s="34" t="str">
        <f aca="false">IF(Dashboard!$C$5="Ubicación técnica",N1587,"Sector "&amp;VALUE(RIGHT(G1587,2)))</f>
        <v>Sector 4</v>
      </c>
      <c r="P1587" s="34" t="str">
        <f aca="false">IF(MID(D1587,15,3)="SEL","Subestación eléctrica","Área de proceso")</f>
        <v>Subestación eléctrica</v>
      </c>
      <c r="Q1587" s="34" t="str">
        <f aca="false">MID(D1587,13,5)&amp;"|"&amp;MID(D1587,19,5)</f>
        <v>04SEL|S_027</v>
      </c>
      <c r="R1587" s="34" t="str">
        <f aca="false">IF(P1587="Subestación eléctrica",IFERROR(INDEX(cat_SubN,MATCH(Q1587,cat_SubK,0)),"SIN CATALOGAR"),"ÁREA DE PROCESO")</f>
        <v>SE-27</v>
      </c>
      <c r="S1587" s="34" t="str">
        <f aca="false">IF(H1587="","SIN DATO",IFERROR(INDEX(cat_MarcaN,MATCH(H1587,cat_MarcaO,0)),H1587))</f>
        <v>GENERAL ELECTRIC</v>
      </c>
      <c r="T1587" s="34" t="str">
        <f aca="false">IF(I1587="","SIN DATO",IFERROR(INDEX(cat_ModN,MATCH(I1587,cat_ModO,0)),I1587))</f>
        <v>MULTILIN</v>
      </c>
      <c r="U1587" s="34" t="str">
        <f aca="false">IF(I1587="","",IFERROR(INDEX(cat_ModG,MATCH(I1587,cat_ModO,0)),"No"))</f>
        <v>Sí</v>
      </c>
      <c r="V1587" s="34" t="str">
        <f aca="false">IF(J1587="","SIN DATO",IFERROR(INDEX(cat_FunN,MATCH(J1587,cat_FunO,0)),J1587))</f>
        <v>Protección y medición</v>
      </c>
      <c r="W1587" s="34" t="str">
        <f aca="false">IF(OR(S1587="SIN DATO",T1587="SIN DATO"),"No","Sí")</f>
        <v>Sí</v>
      </c>
    </row>
    <row r="1588" customFormat="false" ht="15" hidden="false" customHeight="false" outlineLevel="0" collapsed="false">
      <c r="A1588" s="34" t="s">
        <v>5797</v>
      </c>
      <c r="B1588" s="34" t="s">
        <v>5798</v>
      </c>
      <c r="C1588" s="34" t="s">
        <v>5799</v>
      </c>
      <c r="D1588" s="34" t="s">
        <v>5800</v>
      </c>
      <c r="E1588" s="34" t="s">
        <v>126</v>
      </c>
      <c r="F1588" s="34" t="s">
        <v>1602</v>
      </c>
      <c r="G1588" s="34" t="s">
        <v>1184</v>
      </c>
      <c r="H1588" s="34" t="s">
        <v>61</v>
      </c>
      <c r="I1588" s="34" t="s">
        <v>63</v>
      </c>
      <c r="J1588" s="34" t="s">
        <v>228</v>
      </c>
      <c r="K1588" s="34" t="s">
        <v>229</v>
      </c>
      <c r="L1588" s="34" t="s">
        <v>230</v>
      </c>
      <c r="M1588" s="34" t="s">
        <v>344</v>
      </c>
      <c r="N1588" s="34" t="str">
        <f aca="false">"Sector "&amp;VALUE(MID(D1588,13,2))</f>
        <v>Sector 4</v>
      </c>
      <c r="O1588" s="34" t="str">
        <f aca="false">IF(Dashboard!$C$5="Ubicación técnica",N1588,"Sector "&amp;VALUE(RIGHT(G1588,2)))</f>
        <v>Sector 4</v>
      </c>
      <c r="P1588" s="34" t="str">
        <f aca="false">IF(MID(D1588,15,3)="SEL","Subestación eléctrica","Área de proceso")</f>
        <v>Subestación eléctrica</v>
      </c>
      <c r="Q1588" s="34" t="str">
        <f aca="false">MID(D1588,13,5)&amp;"|"&amp;MID(D1588,19,5)</f>
        <v>04SEL|S_027</v>
      </c>
      <c r="R1588" s="34" t="str">
        <f aca="false">IF(P1588="Subestación eléctrica",IFERROR(INDEX(cat_SubN,MATCH(Q1588,cat_SubK,0)),"SIN CATALOGAR"),"ÁREA DE PROCESO")</f>
        <v>SE-27</v>
      </c>
      <c r="S1588" s="34" t="str">
        <f aca="false">IF(H1588="","SIN DATO",IFERROR(INDEX(cat_MarcaN,MATCH(H1588,cat_MarcaO,0)),H1588))</f>
        <v>GENERAL ELECTRIC</v>
      </c>
      <c r="T1588" s="34" t="str">
        <f aca="false">IF(I1588="","SIN DATO",IFERROR(INDEX(cat_ModN,MATCH(I1588,cat_ModO,0)),I1588))</f>
        <v>MULTILIN</v>
      </c>
      <c r="U1588" s="34" t="str">
        <f aca="false">IF(I1588="","",IFERROR(INDEX(cat_ModG,MATCH(I1588,cat_ModO,0)),"No"))</f>
        <v>Sí</v>
      </c>
      <c r="V1588" s="34" t="str">
        <f aca="false">IF(J1588="","SIN DATO",IFERROR(INDEX(cat_FunN,MATCH(J1588,cat_FunO,0)),J1588))</f>
        <v>Protección y medición</v>
      </c>
      <c r="W1588" s="34" t="str">
        <f aca="false">IF(OR(S1588="SIN DATO",T1588="SIN DATO"),"No","Sí")</f>
        <v>Sí</v>
      </c>
    </row>
    <row r="1589" customFormat="false" ht="15" hidden="false" customHeight="false" outlineLevel="0" collapsed="false">
      <c r="A1589" s="34" t="s">
        <v>5801</v>
      </c>
      <c r="B1589" s="34" t="s">
        <v>5802</v>
      </c>
      <c r="C1589" s="34" t="s">
        <v>5803</v>
      </c>
      <c r="D1589" s="34" t="s">
        <v>5804</v>
      </c>
      <c r="E1589" s="34" t="s">
        <v>126</v>
      </c>
      <c r="F1589" s="34" t="s">
        <v>1602</v>
      </c>
      <c r="G1589" s="34" t="s">
        <v>1184</v>
      </c>
      <c r="H1589" s="34" t="s">
        <v>61</v>
      </c>
      <c r="I1589" s="34" t="s">
        <v>63</v>
      </c>
      <c r="J1589" s="34" t="s">
        <v>228</v>
      </c>
      <c r="K1589" s="34" t="s">
        <v>229</v>
      </c>
      <c r="L1589" s="34" t="s">
        <v>230</v>
      </c>
      <c r="M1589" s="34" t="s">
        <v>344</v>
      </c>
      <c r="N1589" s="34" t="str">
        <f aca="false">"Sector "&amp;VALUE(MID(D1589,13,2))</f>
        <v>Sector 4</v>
      </c>
      <c r="O1589" s="34" t="str">
        <f aca="false">IF(Dashboard!$C$5="Ubicación técnica",N1589,"Sector "&amp;VALUE(RIGHT(G1589,2)))</f>
        <v>Sector 4</v>
      </c>
      <c r="P1589" s="34" t="str">
        <f aca="false">IF(MID(D1589,15,3)="SEL","Subestación eléctrica","Área de proceso")</f>
        <v>Subestación eléctrica</v>
      </c>
      <c r="Q1589" s="34" t="str">
        <f aca="false">MID(D1589,13,5)&amp;"|"&amp;MID(D1589,19,5)</f>
        <v>04SEL|S_027</v>
      </c>
      <c r="R1589" s="34" t="str">
        <f aca="false">IF(P1589="Subestación eléctrica",IFERROR(INDEX(cat_SubN,MATCH(Q1589,cat_SubK,0)),"SIN CATALOGAR"),"ÁREA DE PROCESO")</f>
        <v>SE-27</v>
      </c>
      <c r="S1589" s="34" t="str">
        <f aca="false">IF(H1589="","SIN DATO",IFERROR(INDEX(cat_MarcaN,MATCH(H1589,cat_MarcaO,0)),H1589))</f>
        <v>GENERAL ELECTRIC</v>
      </c>
      <c r="T1589" s="34" t="str">
        <f aca="false">IF(I1589="","SIN DATO",IFERROR(INDEX(cat_ModN,MATCH(I1589,cat_ModO,0)),I1589))</f>
        <v>MULTILIN</v>
      </c>
      <c r="U1589" s="34" t="str">
        <f aca="false">IF(I1589="","",IFERROR(INDEX(cat_ModG,MATCH(I1589,cat_ModO,0)),"No"))</f>
        <v>Sí</v>
      </c>
      <c r="V1589" s="34" t="str">
        <f aca="false">IF(J1589="","SIN DATO",IFERROR(INDEX(cat_FunN,MATCH(J1589,cat_FunO,0)),J1589))</f>
        <v>Protección y medición</v>
      </c>
      <c r="W1589" s="34" t="str">
        <f aca="false">IF(OR(S1589="SIN DATO",T1589="SIN DATO"),"No","Sí")</f>
        <v>Sí</v>
      </c>
    </row>
    <row r="1590" customFormat="false" ht="15" hidden="false" customHeight="false" outlineLevel="0" collapsed="false">
      <c r="A1590" s="34" t="s">
        <v>5805</v>
      </c>
      <c r="B1590" s="34" t="s">
        <v>5806</v>
      </c>
      <c r="C1590" s="34" t="s">
        <v>5807</v>
      </c>
      <c r="D1590" s="34" t="s">
        <v>5808</v>
      </c>
      <c r="E1590" s="34" t="s">
        <v>126</v>
      </c>
      <c r="F1590" s="34" t="s">
        <v>1602</v>
      </c>
      <c r="G1590" s="34" t="s">
        <v>1184</v>
      </c>
      <c r="H1590" s="34" t="s">
        <v>61</v>
      </c>
      <c r="I1590" s="34" t="s">
        <v>63</v>
      </c>
      <c r="J1590" s="34" t="s">
        <v>228</v>
      </c>
      <c r="K1590" s="34" t="s">
        <v>229</v>
      </c>
      <c r="L1590" s="34" t="s">
        <v>230</v>
      </c>
      <c r="M1590" s="34" t="s">
        <v>344</v>
      </c>
      <c r="N1590" s="34" t="str">
        <f aca="false">"Sector "&amp;VALUE(MID(D1590,13,2))</f>
        <v>Sector 4</v>
      </c>
      <c r="O1590" s="34" t="str">
        <f aca="false">IF(Dashboard!$C$5="Ubicación técnica",N1590,"Sector "&amp;VALUE(RIGHT(G1590,2)))</f>
        <v>Sector 4</v>
      </c>
      <c r="P1590" s="34" t="str">
        <f aca="false">IF(MID(D1590,15,3)="SEL","Subestación eléctrica","Área de proceso")</f>
        <v>Subestación eléctrica</v>
      </c>
      <c r="Q1590" s="34" t="str">
        <f aca="false">MID(D1590,13,5)&amp;"|"&amp;MID(D1590,19,5)</f>
        <v>04SEL|S_027</v>
      </c>
      <c r="R1590" s="34" t="str">
        <f aca="false">IF(P1590="Subestación eléctrica",IFERROR(INDEX(cat_SubN,MATCH(Q1590,cat_SubK,0)),"SIN CATALOGAR"),"ÁREA DE PROCESO")</f>
        <v>SE-27</v>
      </c>
      <c r="S1590" s="34" t="str">
        <f aca="false">IF(H1590="","SIN DATO",IFERROR(INDEX(cat_MarcaN,MATCH(H1590,cat_MarcaO,0)),H1590))</f>
        <v>GENERAL ELECTRIC</v>
      </c>
      <c r="T1590" s="34" t="str">
        <f aca="false">IF(I1590="","SIN DATO",IFERROR(INDEX(cat_ModN,MATCH(I1590,cat_ModO,0)),I1590))</f>
        <v>MULTILIN</v>
      </c>
      <c r="U1590" s="34" t="str">
        <f aca="false">IF(I1590="","",IFERROR(INDEX(cat_ModG,MATCH(I1590,cat_ModO,0)),"No"))</f>
        <v>Sí</v>
      </c>
      <c r="V1590" s="34" t="str">
        <f aca="false">IF(J1590="","SIN DATO",IFERROR(INDEX(cat_FunN,MATCH(J1590,cat_FunO,0)),J1590))</f>
        <v>Protección y medición</v>
      </c>
      <c r="W1590" s="34" t="str">
        <f aca="false">IF(OR(S1590="SIN DATO",T1590="SIN DATO"),"No","Sí")</f>
        <v>Sí</v>
      </c>
    </row>
    <row r="1591" customFormat="false" ht="15" hidden="false" customHeight="false" outlineLevel="0" collapsed="false">
      <c r="A1591" s="34" t="s">
        <v>5809</v>
      </c>
      <c r="B1591" s="34" t="s">
        <v>5810</v>
      </c>
      <c r="C1591" s="34" t="s">
        <v>5811</v>
      </c>
      <c r="D1591" s="34" t="s">
        <v>5808</v>
      </c>
      <c r="E1591" s="34" t="s">
        <v>126</v>
      </c>
      <c r="F1591" s="34" t="s">
        <v>1602</v>
      </c>
      <c r="G1591" s="34" t="s">
        <v>1184</v>
      </c>
      <c r="H1591" s="34" t="s">
        <v>61</v>
      </c>
      <c r="I1591" s="34" t="s">
        <v>63</v>
      </c>
      <c r="J1591" s="34" t="s">
        <v>228</v>
      </c>
      <c r="K1591" s="34" t="s">
        <v>229</v>
      </c>
      <c r="L1591" s="34" t="s">
        <v>230</v>
      </c>
      <c r="M1591" s="34" t="s">
        <v>344</v>
      </c>
      <c r="N1591" s="34" t="str">
        <f aca="false">"Sector "&amp;VALUE(MID(D1591,13,2))</f>
        <v>Sector 4</v>
      </c>
      <c r="O1591" s="34" t="str">
        <f aca="false">IF(Dashboard!$C$5="Ubicación técnica",N1591,"Sector "&amp;VALUE(RIGHT(G1591,2)))</f>
        <v>Sector 4</v>
      </c>
      <c r="P1591" s="34" t="str">
        <f aca="false">IF(MID(D1591,15,3)="SEL","Subestación eléctrica","Área de proceso")</f>
        <v>Subestación eléctrica</v>
      </c>
      <c r="Q1591" s="34" t="str">
        <f aca="false">MID(D1591,13,5)&amp;"|"&amp;MID(D1591,19,5)</f>
        <v>04SEL|S_027</v>
      </c>
      <c r="R1591" s="34" t="str">
        <f aca="false">IF(P1591="Subestación eléctrica",IFERROR(INDEX(cat_SubN,MATCH(Q1591,cat_SubK,0)),"SIN CATALOGAR"),"ÁREA DE PROCESO")</f>
        <v>SE-27</v>
      </c>
      <c r="S1591" s="34" t="str">
        <f aca="false">IF(H1591="","SIN DATO",IFERROR(INDEX(cat_MarcaN,MATCH(H1591,cat_MarcaO,0)),H1591))</f>
        <v>GENERAL ELECTRIC</v>
      </c>
      <c r="T1591" s="34" t="str">
        <f aca="false">IF(I1591="","SIN DATO",IFERROR(INDEX(cat_ModN,MATCH(I1591,cat_ModO,0)),I1591))</f>
        <v>MULTILIN</v>
      </c>
      <c r="U1591" s="34" t="str">
        <f aca="false">IF(I1591="","",IFERROR(INDEX(cat_ModG,MATCH(I1591,cat_ModO,0)),"No"))</f>
        <v>Sí</v>
      </c>
      <c r="V1591" s="34" t="str">
        <f aca="false">IF(J1591="","SIN DATO",IFERROR(INDEX(cat_FunN,MATCH(J1591,cat_FunO,0)),J1591))</f>
        <v>Protección y medición</v>
      </c>
      <c r="W1591" s="34" t="str">
        <f aca="false">IF(OR(S1591="SIN DATO",T1591="SIN DATO"),"No","Sí")</f>
        <v>Sí</v>
      </c>
    </row>
    <row r="1592" customFormat="false" ht="15" hidden="false" customHeight="false" outlineLevel="0" collapsed="false">
      <c r="A1592" s="34" t="s">
        <v>5812</v>
      </c>
      <c r="B1592" s="34" t="s">
        <v>5813</v>
      </c>
      <c r="C1592" s="34" t="s">
        <v>5814</v>
      </c>
      <c r="D1592" s="34" t="s">
        <v>5815</v>
      </c>
      <c r="E1592" s="34" t="s">
        <v>126</v>
      </c>
      <c r="F1592" s="34" t="s">
        <v>1602</v>
      </c>
      <c r="G1592" s="34" t="s">
        <v>1184</v>
      </c>
      <c r="H1592" s="34" t="s">
        <v>61</v>
      </c>
      <c r="I1592" s="34" t="s">
        <v>63</v>
      </c>
      <c r="J1592" s="34" t="s">
        <v>228</v>
      </c>
      <c r="K1592" s="34" t="s">
        <v>229</v>
      </c>
      <c r="L1592" s="34" t="s">
        <v>230</v>
      </c>
      <c r="M1592" s="34" t="s">
        <v>344</v>
      </c>
      <c r="N1592" s="34" t="str">
        <f aca="false">"Sector "&amp;VALUE(MID(D1592,13,2))</f>
        <v>Sector 4</v>
      </c>
      <c r="O1592" s="34" t="str">
        <f aca="false">IF(Dashboard!$C$5="Ubicación técnica",N1592,"Sector "&amp;VALUE(RIGHT(G1592,2)))</f>
        <v>Sector 4</v>
      </c>
      <c r="P1592" s="34" t="str">
        <f aca="false">IF(MID(D1592,15,3)="SEL","Subestación eléctrica","Área de proceso")</f>
        <v>Subestación eléctrica</v>
      </c>
      <c r="Q1592" s="34" t="str">
        <f aca="false">MID(D1592,13,5)&amp;"|"&amp;MID(D1592,19,5)</f>
        <v>04SEL|S_027</v>
      </c>
      <c r="R1592" s="34" t="str">
        <f aca="false">IF(P1592="Subestación eléctrica",IFERROR(INDEX(cat_SubN,MATCH(Q1592,cat_SubK,0)),"SIN CATALOGAR"),"ÁREA DE PROCESO")</f>
        <v>SE-27</v>
      </c>
      <c r="S1592" s="34" t="str">
        <f aca="false">IF(H1592="","SIN DATO",IFERROR(INDEX(cat_MarcaN,MATCH(H1592,cat_MarcaO,0)),H1592))</f>
        <v>GENERAL ELECTRIC</v>
      </c>
      <c r="T1592" s="34" t="str">
        <f aca="false">IF(I1592="","SIN DATO",IFERROR(INDEX(cat_ModN,MATCH(I1592,cat_ModO,0)),I1592))</f>
        <v>MULTILIN</v>
      </c>
      <c r="U1592" s="34" t="str">
        <f aca="false">IF(I1592="","",IFERROR(INDEX(cat_ModG,MATCH(I1592,cat_ModO,0)),"No"))</f>
        <v>Sí</v>
      </c>
      <c r="V1592" s="34" t="str">
        <f aca="false">IF(J1592="","SIN DATO",IFERROR(INDEX(cat_FunN,MATCH(J1592,cat_FunO,0)),J1592))</f>
        <v>Protección y medición</v>
      </c>
      <c r="W1592" s="34" t="str">
        <f aca="false">IF(OR(S1592="SIN DATO",T1592="SIN DATO"),"No","Sí")</f>
        <v>Sí</v>
      </c>
    </row>
    <row r="1593" customFormat="false" ht="15" hidden="false" customHeight="false" outlineLevel="0" collapsed="false">
      <c r="A1593" s="34" t="s">
        <v>5816</v>
      </c>
      <c r="B1593" s="34" t="s">
        <v>5817</v>
      </c>
      <c r="C1593" s="34" t="s">
        <v>5818</v>
      </c>
      <c r="D1593" s="34" t="s">
        <v>5819</v>
      </c>
      <c r="E1593" s="34" t="s">
        <v>126</v>
      </c>
      <c r="F1593" s="34" t="s">
        <v>1602</v>
      </c>
      <c r="G1593" s="34" t="s">
        <v>1184</v>
      </c>
      <c r="H1593" s="34" t="s">
        <v>61</v>
      </c>
      <c r="I1593" s="34" t="s">
        <v>63</v>
      </c>
      <c r="J1593" s="34" t="s">
        <v>228</v>
      </c>
      <c r="K1593" s="34" t="s">
        <v>229</v>
      </c>
      <c r="L1593" s="34" t="s">
        <v>230</v>
      </c>
      <c r="M1593" s="34" t="s">
        <v>344</v>
      </c>
      <c r="N1593" s="34" t="str">
        <f aca="false">"Sector "&amp;VALUE(MID(D1593,13,2))</f>
        <v>Sector 4</v>
      </c>
      <c r="O1593" s="34" t="str">
        <f aca="false">IF(Dashboard!$C$5="Ubicación técnica",N1593,"Sector "&amp;VALUE(RIGHT(G1593,2)))</f>
        <v>Sector 4</v>
      </c>
      <c r="P1593" s="34" t="str">
        <f aca="false">IF(MID(D1593,15,3)="SEL","Subestación eléctrica","Área de proceso")</f>
        <v>Subestación eléctrica</v>
      </c>
      <c r="Q1593" s="34" t="str">
        <f aca="false">MID(D1593,13,5)&amp;"|"&amp;MID(D1593,19,5)</f>
        <v>04SEL|S_027</v>
      </c>
      <c r="R1593" s="34" t="str">
        <f aca="false">IF(P1593="Subestación eléctrica",IFERROR(INDEX(cat_SubN,MATCH(Q1593,cat_SubK,0)),"SIN CATALOGAR"),"ÁREA DE PROCESO")</f>
        <v>SE-27</v>
      </c>
      <c r="S1593" s="34" t="str">
        <f aca="false">IF(H1593="","SIN DATO",IFERROR(INDEX(cat_MarcaN,MATCH(H1593,cat_MarcaO,0)),H1593))</f>
        <v>GENERAL ELECTRIC</v>
      </c>
      <c r="T1593" s="34" t="str">
        <f aca="false">IF(I1593="","SIN DATO",IFERROR(INDEX(cat_ModN,MATCH(I1593,cat_ModO,0)),I1593))</f>
        <v>MULTILIN</v>
      </c>
      <c r="U1593" s="34" t="str">
        <f aca="false">IF(I1593="","",IFERROR(INDEX(cat_ModG,MATCH(I1593,cat_ModO,0)),"No"))</f>
        <v>Sí</v>
      </c>
      <c r="V1593" s="34" t="str">
        <f aca="false">IF(J1593="","SIN DATO",IFERROR(INDEX(cat_FunN,MATCH(J1593,cat_FunO,0)),J1593))</f>
        <v>Protección y medición</v>
      </c>
      <c r="W1593" s="34" t="str">
        <f aca="false">IF(OR(S1593="SIN DATO",T1593="SIN DATO"),"No","Sí")</f>
        <v>Sí</v>
      </c>
    </row>
    <row r="1594" customFormat="false" ht="15" hidden="false" customHeight="false" outlineLevel="0" collapsed="false">
      <c r="A1594" s="34" t="s">
        <v>5820</v>
      </c>
      <c r="B1594" s="34" t="s">
        <v>5821</v>
      </c>
      <c r="C1594" s="34" t="s">
        <v>5822</v>
      </c>
      <c r="D1594" s="34" t="s">
        <v>5823</v>
      </c>
      <c r="E1594" s="34" t="s">
        <v>126</v>
      </c>
      <c r="F1594" s="34" t="s">
        <v>1602</v>
      </c>
      <c r="G1594" s="34" t="s">
        <v>1184</v>
      </c>
      <c r="H1594" s="34" t="s">
        <v>61</v>
      </c>
      <c r="I1594" s="34" t="s">
        <v>63</v>
      </c>
      <c r="J1594" s="34" t="s">
        <v>228</v>
      </c>
      <c r="K1594" s="34" t="s">
        <v>229</v>
      </c>
      <c r="L1594" s="34" t="s">
        <v>230</v>
      </c>
      <c r="M1594" s="34" t="s">
        <v>344</v>
      </c>
      <c r="N1594" s="34" t="str">
        <f aca="false">"Sector "&amp;VALUE(MID(D1594,13,2))</f>
        <v>Sector 4</v>
      </c>
      <c r="O1594" s="34" t="str">
        <f aca="false">IF(Dashboard!$C$5="Ubicación técnica",N1594,"Sector "&amp;VALUE(RIGHT(G1594,2)))</f>
        <v>Sector 4</v>
      </c>
      <c r="P1594" s="34" t="str">
        <f aca="false">IF(MID(D1594,15,3)="SEL","Subestación eléctrica","Área de proceso")</f>
        <v>Subestación eléctrica</v>
      </c>
      <c r="Q1594" s="34" t="str">
        <f aca="false">MID(D1594,13,5)&amp;"|"&amp;MID(D1594,19,5)</f>
        <v>04SEL|S_027</v>
      </c>
      <c r="R1594" s="34" t="str">
        <f aca="false">IF(P1594="Subestación eléctrica",IFERROR(INDEX(cat_SubN,MATCH(Q1594,cat_SubK,0)),"SIN CATALOGAR"),"ÁREA DE PROCESO")</f>
        <v>SE-27</v>
      </c>
      <c r="S1594" s="34" t="str">
        <f aca="false">IF(H1594="","SIN DATO",IFERROR(INDEX(cat_MarcaN,MATCH(H1594,cat_MarcaO,0)),H1594))</f>
        <v>GENERAL ELECTRIC</v>
      </c>
      <c r="T1594" s="34" t="str">
        <f aca="false">IF(I1594="","SIN DATO",IFERROR(INDEX(cat_ModN,MATCH(I1594,cat_ModO,0)),I1594))</f>
        <v>MULTILIN</v>
      </c>
      <c r="U1594" s="34" t="str">
        <f aca="false">IF(I1594="","",IFERROR(INDEX(cat_ModG,MATCH(I1594,cat_ModO,0)),"No"))</f>
        <v>Sí</v>
      </c>
      <c r="V1594" s="34" t="str">
        <f aca="false">IF(J1594="","SIN DATO",IFERROR(INDEX(cat_FunN,MATCH(J1594,cat_FunO,0)),J1594))</f>
        <v>Protección y medición</v>
      </c>
      <c r="W1594" s="34" t="str">
        <f aca="false">IF(OR(S1594="SIN DATO",T1594="SIN DATO"),"No","Sí")</f>
        <v>Sí</v>
      </c>
    </row>
    <row r="1595" customFormat="false" ht="15" hidden="false" customHeight="false" outlineLevel="0" collapsed="false">
      <c r="A1595" s="34" t="s">
        <v>5824</v>
      </c>
      <c r="B1595" s="34" t="s">
        <v>5825</v>
      </c>
      <c r="C1595" s="34" t="s">
        <v>5826</v>
      </c>
      <c r="D1595" s="34" t="s">
        <v>5827</v>
      </c>
      <c r="E1595" s="34" t="s">
        <v>126</v>
      </c>
      <c r="F1595" s="34" t="s">
        <v>1602</v>
      </c>
      <c r="G1595" s="34" t="s">
        <v>1184</v>
      </c>
      <c r="H1595" s="34" t="s">
        <v>61</v>
      </c>
      <c r="I1595" s="34" t="s">
        <v>63</v>
      </c>
      <c r="J1595" s="34" t="s">
        <v>228</v>
      </c>
      <c r="K1595" s="34" t="s">
        <v>229</v>
      </c>
      <c r="L1595" s="34" t="s">
        <v>230</v>
      </c>
      <c r="M1595" s="34" t="s">
        <v>344</v>
      </c>
      <c r="N1595" s="34" t="str">
        <f aca="false">"Sector "&amp;VALUE(MID(D1595,13,2))</f>
        <v>Sector 4</v>
      </c>
      <c r="O1595" s="34" t="str">
        <f aca="false">IF(Dashboard!$C$5="Ubicación técnica",N1595,"Sector "&amp;VALUE(RIGHT(G1595,2)))</f>
        <v>Sector 4</v>
      </c>
      <c r="P1595" s="34" t="str">
        <f aca="false">IF(MID(D1595,15,3)="SEL","Subestación eléctrica","Área de proceso")</f>
        <v>Subestación eléctrica</v>
      </c>
      <c r="Q1595" s="34" t="str">
        <f aca="false">MID(D1595,13,5)&amp;"|"&amp;MID(D1595,19,5)</f>
        <v>04SEL|S_027</v>
      </c>
      <c r="R1595" s="34" t="str">
        <f aca="false">IF(P1595="Subestación eléctrica",IFERROR(INDEX(cat_SubN,MATCH(Q1595,cat_SubK,0)),"SIN CATALOGAR"),"ÁREA DE PROCESO")</f>
        <v>SE-27</v>
      </c>
      <c r="S1595" s="34" t="str">
        <f aca="false">IF(H1595="","SIN DATO",IFERROR(INDEX(cat_MarcaN,MATCH(H1595,cat_MarcaO,0)),H1595))</f>
        <v>GENERAL ELECTRIC</v>
      </c>
      <c r="T1595" s="34" t="str">
        <f aca="false">IF(I1595="","SIN DATO",IFERROR(INDEX(cat_ModN,MATCH(I1595,cat_ModO,0)),I1595))</f>
        <v>MULTILIN</v>
      </c>
      <c r="U1595" s="34" t="str">
        <f aca="false">IF(I1595="","",IFERROR(INDEX(cat_ModG,MATCH(I1595,cat_ModO,0)),"No"))</f>
        <v>Sí</v>
      </c>
      <c r="V1595" s="34" t="str">
        <f aca="false">IF(J1595="","SIN DATO",IFERROR(INDEX(cat_FunN,MATCH(J1595,cat_FunO,0)),J1595))</f>
        <v>Protección y medición</v>
      </c>
      <c r="W1595" s="34" t="str">
        <f aca="false">IF(OR(S1595="SIN DATO",T1595="SIN DATO"),"No","Sí")</f>
        <v>Sí</v>
      </c>
    </row>
    <row r="1596" customFormat="false" ht="15" hidden="false" customHeight="false" outlineLevel="0" collapsed="false">
      <c r="A1596" s="34" t="s">
        <v>5828</v>
      </c>
      <c r="B1596" s="34" t="s">
        <v>5829</v>
      </c>
      <c r="C1596" s="34" t="s">
        <v>5830</v>
      </c>
      <c r="D1596" s="34" t="s">
        <v>3261</v>
      </c>
      <c r="E1596" s="34" t="s">
        <v>126</v>
      </c>
      <c r="F1596" s="34" t="s">
        <v>1602</v>
      </c>
      <c r="G1596" s="34" t="s">
        <v>1184</v>
      </c>
      <c r="H1596" s="34" t="s">
        <v>61</v>
      </c>
      <c r="I1596" s="34" t="s">
        <v>63</v>
      </c>
      <c r="J1596" s="34" t="s">
        <v>228</v>
      </c>
      <c r="K1596" s="34" t="s">
        <v>229</v>
      </c>
      <c r="L1596" s="34" t="s">
        <v>230</v>
      </c>
      <c r="M1596" s="34" t="s">
        <v>344</v>
      </c>
      <c r="N1596" s="34" t="str">
        <f aca="false">"Sector "&amp;VALUE(MID(D1596,13,2))</f>
        <v>Sector 4</v>
      </c>
      <c r="O1596" s="34" t="str">
        <f aca="false">IF(Dashboard!$C$5="Ubicación técnica",N1596,"Sector "&amp;VALUE(RIGHT(G1596,2)))</f>
        <v>Sector 4</v>
      </c>
      <c r="P1596" s="34" t="str">
        <f aca="false">IF(MID(D1596,15,3)="SEL","Subestación eléctrica","Área de proceso")</f>
        <v>Subestación eléctrica</v>
      </c>
      <c r="Q1596" s="34" t="str">
        <f aca="false">MID(D1596,13,5)&amp;"|"&amp;MID(D1596,19,5)</f>
        <v>04SEL|S_027</v>
      </c>
      <c r="R1596" s="34" t="str">
        <f aca="false">IF(P1596="Subestación eléctrica",IFERROR(INDEX(cat_SubN,MATCH(Q1596,cat_SubK,0)),"SIN CATALOGAR"),"ÁREA DE PROCESO")</f>
        <v>SE-27</v>
      </c>
      <c r="S1596" s="34" t="str">
        <f aca="false">IF(H1596="","SIN DATO",IFERROR(INDEX(cat_MarcaN,MATCH(H1596,cat_MarcaO,0)),H1596))</f>
        <v>GENERAL ELECTRIC</v>
      </c>
      <c r="T1596" s="34" t="str">
        <f aca="false">IF(I1596="","SIN DATO",IFERROR(INDEX(cat_ModN,MATCH(I1596,cat_ModO,0)),I1596))</f>
        <v>MULTILIN</v>
      </c>
      <c r="U1596" s="34" t="str">
        <f aca="false">IF(I1596="","",IFERROR(INDEX(cat_ModG,MATCH(I1596,cat_ModO,0)),"No"))</f>
        <v>Sí</v>
      </c>
      <c r="V1596" s="34" t="str">
        <f aca="false">IF(J1596="","SIN DATO",IFERROR(INDEX(cat_FunN,MATCH(J1596,cat_FunO,0)),J1596))</f>
        <v>Protección y medición</v>
      </c>
      <c r="W1596" s="34" t="str">
        <f aca="false">IF(OR(S1596="SIN DATO",T1596="SIN DATO"),"No","Sí")</f>
        <v>Sí</v>
      </c>
    </row>
    <row r="1597" customFormat="false" ht="15" hidden="false" customHeight="false" outlineLevel="0" collapsed="false">
      <c r="A1597" s="34" t="s">
        <v>5831</v>
      </c>
      <c r="B1597" s="34" t="s">
        <v>5832</v>
      </c>
      <c r="C1597" s="34" t="s">
        <v>5833</v>
      </c>
      <c r="D1597" s="34" t="s">
        <v>5834</v>
      </c>
      <c r="E1597" s="34" t="s">
        <v>126</v>
      </c>
      <c r="F1597" s="34" t="s">
        <v>1602</v>
      </c>
      <c r="G1597" s="34" t="s">
        <v>1184</v>
      </c>
      <c r="H1597" s="34" t="s">
        <v>55</v>
      </c>
      <c r="I1597" s="34" t="s">
        <v>55</v>
      </c>
      <c r="J1597" s="34" t="s">
        <v>58</v>
      </c>
      <c r="K1597" s="34" t="s">
        <v>229</v>
      </c>
      <c r="L1597" s="34" t="s">
        <v>230</v>
      </c>
      <c r="M1597" s="34" t="s">
        <v>344</v>
      </c>
      <c r="N1597" s="34" t="str">
        <f aca="false">"Sector "&amp;VALUE(MID(D1597,13,2))</f>
        <v>Sector 4</v>
      </c>
      <c r="O1597" s="34" t="str">
        <f aca="false">IF(Dashboard!$C$5="Ubicación técnica",N1597,"Sector "&amp;VALUE(RIGHT(G1597,2)))</f>
        <v>Sector 4</v>
      </c>
      <c r="P1597" s="34" t="str">
        <f aca="false">IF(MID(D1597,15,3)="SEL","Subestación eléctrica","Área de proceso")</f>
        <v>Subestación eléctrica</v>
      </c>
      <c r="Q1597" s="34" t="str">
        <f aca="false">MID(D1597,13,5)&amp;"|"&amp;MID(D1597,19,5)</f>
        <v>04SEL|S_027</v>
      </c>
      <c r="R1597" s="34" t="str">
        <f aca="false">IF(P1597="Subestación eléctrica",IFERROR(INDEX(cat_SubN,MATCH(Q1597,cat_SubK,0)),"SIN CATALOGAR"),"ÁREA DE PROCESO")</f>
        <v>SE-27</v>
      </c>
      <c r="S1597" s="34" t="str">
        <f aca="false">IF(H1597="","SIN DATO",IFERROR(INDEX(cat_MarcaN,MATCH(H1597,cat_MarcaO,0)),H1597))</f>
        <v>SEL</v>
      </c>
      <c r="T1597" s="34" t="str">
        <f aca="false">IF(I1597="","SIN DATO",IFERROR(INDEX(cat_ModN,MATCH(I1597,cat_ModO,0)),I1597))</f>
        <v>SEL</v>
      </c>
      <c r="U1597" s="34" t="str">
        <f aca="false">IF(I1597="","",IFERROR(INDEX(cat_ModG,MATCH(I1597,cat_ModO,0)),"No"))</f>
        <v>Sí</v>
      </c>
      <c r="V1597" s="34" t="str">
        <f aca="false">IF(J1597="","SIN DATO",IFERROR(INDEX(cat_FunN,MATCH(J1597,cat_FunO,0)),J1597))</f>
        <v>Medición</v>
      </c>
      <c r="W1597" s="34" t="str">
        <f aca="false">IF(OR(S1597="SIN DATO",T1597="SIN DATO"),"No","Sí")</f>
        <v>Sí</v>
      </c>
    </row>
    <row r="1598" customFormat="false" ht="15" hidden="false" customHeight="false" outlineLevel="0" collapsed="false">
      <c r="A1598" s="34" t="s">
        <v>5835</v>
      </c>
      <c r="B1598" s="34" t="s">
        <v>5836</v>
      </c>
      <c r="C1598" s="34" t="s">
        <v>5837</v>
      </c>
      <c r="D1598" s="34" t="s">
        <v>5838</v>
      </c>
      <c r="E1598" s="34" t="s">
        <v>132</v>
      </c>
      <c r="F1598" s="34" t="s">
        <v>1602</v>
      </c>
      <c r="G1598" s="34" t="s">
        <v>2983</v>
      </c>
      <c r="H1598" s="34" t="s">
        <v>55</v>
      </c>
      <c r="I1598" s="34" t="s">
        <v>55</v>
      </c>
      <c r="J1598" s="34" t="s">
        <v>228</v>
      </c>
      <c r="K1598" s="34" t="s">
        <v>229</v>
      </c>
      <c r="L1598" s="34" t="s">
        <v>230</v>
      </c>
      <c r="M1598" s="34" t="s">
        <v>4510</v>
      </c>
      <c r="N1598" s="34" t="str">
        <f aca="false">"Sector "&amp;VALUE(MID(D1598,13,2))</f>
        <v>Sector 5</v>
      </c>
      <c r="O1598" s="34" t="str">
        <f aca="false">IF(Dashboard!$C$5="Ubicación técnica",N1598,"Sector "&amp;VALUE(RIGHT(G1598,2)))</f>
        <v>Sector 5</v>
      </c>
      <c r="P1598" s="34" t="str">
        <f aca="false">IF(MID(D1598,15,3)="SEL","Subestación eléctrica","Área de proceso")</f>
        <v>Subestación eléctrica</v>
      </c>
      <c r="Q1598" s="34" t="str">
        <f aca="false">MID(D1598,13,5)&amp;"|"&amp;MID(D1598,19,5)</f>
        <v>05SEL|S_005</v>
      </c>
      <c r="R1598" s="34" t="str">
        <f aca="false">IF(P1598="Subestación eléctrica",IFERROR(INDEX(cat_SubN,MATCH(Q1598,cat_SubK,0)),"SIN CATALOGAR"),"ÁREA DE PROCESO")</f>
        <v>SE-05</v>
      </c>
      <c r="S1598" s="34" t="str">
        <f aca="false">IF(H1598="","SIN DATO",IFERROR(INDEX(cat_MarcaN,MATCH(H1598,cat_MarcaO,0)),H1598))</f>
        <v>SEL</v>
      </c>
      <c r="T1598" s="34" t="str">
        <f aca="false">IF(I1598="","SIN DATO",IFERROR(INDEX(cat_ModN,MATCH(I1598,cat_ModO,0)),I1598))</f>
        <v>SEL</v>
      </c>
      <c r="U1598" s="34" t="str">
        <f aca="false">IF(I1598="","",IFERROR(INDEX(cat_ModG,MATCH(I1598,cat_ModO,0)),"No"))</f>
        <v>Sí</v>
      </c>
      <c r="V1598" s="34" t="str">
        <f aca="false">IF(J1598="","SIN DATO",IFERROR(INDEX(cat_FunN,MATCH(J1598,cat_FunO,0)),J1598))</f>
        <v>Protección y medición</v>
      </c>
      <c r="W1598" s="34" t="str">
        <f aca="false">IF(OR(S1598="SIN DATO",T1598="SIN DATO"),"No","Sí")</f>
        <v>Sí</v>
      </c>
    </row>
    <row r="1599" customFormat="false" ht="15" hidden="false" customHeight="false" outlineLevel="0" collapsed="false">
      <c r="A1599" s="34" t="s">
        <v>5839</v>
      </c>
      <c r="B1599" s="34" t="s">
        <v>5840</v>
      </c>
      <c r="C1599" s="34" t="s">
        <v>5841</v>
      </c>
      <c r="D1599" s="34" t="s">
        <v>3265</v>
      </c>
      <c r="E1599" s="34" t="s">
        <v>134</v>
      </c>
      <c r="F1599" s="34" t="s">
        <v>1602</v>
      </c>
      <c r="G1599" s="34" t="s">
        <v>2983</v>
      </c>
      <c r="H1599" s="34" t="s">
        <v>55</v>
      </c>
      <c r="I1599" s="34" t="s">
        <v>55</v>
      </c>
      <c r="J1599" s="34" t="s">
        <v>228</v>
      </c>
      <c r="K1599" s="34" t="s">
        <v>229</v>
      </c>
      <c r="L1599" s="34" t="s">
        <v>230</v>
      </c>
      <c r="M1599" s="34" t="s">
        <v>4510</v>
      </c>
      <c r="N1599" s="34" t="str">
        <f aca="false">"Sector "&amp;VALUE(MID(D1599,13,2))</f>
        <v>Sector 5</v>
      </c>
      <c r="O1599" s="34" t="str">
        <f aca="false">IF(Dashboard!$C$5="Ubicación técnica",N1599,"Sector "&amp;VALUE(RIGHT(G1599,2)))</f>
        <v>Sector 5</v>
      </c>
      <c r="P1599" s="34" t="str">
        <f aca="false">IF(MID(D1599,15,3)="SEL","Subestación eléctrica","Área de proceso")</f>
        <v>Subestación eléctrica</v>
      </c>
      <c r="Q1599" s="34" t="str">
        <f aca="false">MID(D1599,13,5)&amp;"|"&amp;MID(D1599,19,5)</f>
        <v>05SEL|S_006</v>
      </c>
      <c r="R1599" s="34" t="str">
        <f aca="false">IF(P1599="Subestación eléctrica",IFERROR(INDEX(cat_SubN,MATCH(Q1599,cat_SubK,0)),"SIN CATALOGAR"),"ÁREA DE PROCESO")</f>
        <v>SE-06</v>
      </c>
      <c r="S1599" s="34" t="str">
        <f aca="false">IF(H1599="","SIN DATO",IFERROR(INDEX(cat_MarcaN,MATCH(H1599,cat_MarcaO,0)),H1599))</f>
        <v>SEL</v>
      </c>
      <c r="T1599" s="34" t="str">
        <f aca="false">IF(I1599="","SIN DATO",IFERROR(INDEX(cat_ModN,MATCH(I1599,cat_ModO,0)),I1599))</f>
        <v>SEL</v>
      </c>
      <c r="U1599" s="34" t="str">
        <f aca="false">IF(I1599="","",IFERROR(INDEX(cat_ModG,MATCH(I1599,cat_ModO,0)),"No"))</f>
        <v>Sí</v>
      </c>
      <c r="V1599" s="34" t="str">
        <f aca="false">IF(J1599="","SIN DATO",IFERROR(INDEX(cat_FunN,MATCH(J1599,cat_FunO,0)),J1599))</f>
        <v>Protección y medición</v>
      </c>
      <c r="W1599" s="34" t="str">
        <f aca="false">IF(OR(S1599="SIN DATO",T1599="SIN DATO"),"No","Sí")</f>
        <v>Sí</v>
      </c>
    </row>
    <row r="1600" customFormat="false" ht="15" hidden="false" customHeight="false" outlineLevel="0" collapsed="false">
      <c r="A1600" s="34" t="s">
        <v>5842</v>
      </c>
      <c r="B1600" s="34" t="s">
        <v>5843</v>
      </c>
      <c r="C1600" s="34" t="s">
        <v>5844</v>
      </c>
      <c r="D1600" s="34" t="s">
        <v>3269</v>
      </c>
      <c r="E1600" s="34" t="s">
        <v>134</v>
      </c>
      <c r="F1600" s="34" t="s">
        <v>1602</v>
      </c>
      <c r="G1600" s="34" t="s">
        <v>2983</v>
      </c>
      <c r="H1600" s="34" t="s">
        <v>55</v>
      </c>
      <c r="I1600" s="34" t="s">
        <v>55</v>
      </c>
      <c r="J1600" s="34" t="s">
        <v>228</v>
      </c>
      <c r="K1600" s="34" t="s">
        <v>229</v>
      </c>
      <c r="L1600" s="34" t="s">
        <v>230</v>
      </c>
      <c r="M1600" s="34" t="s">
        <v>4510</v>
      </c>
      <c r="N1600" s="34" t="str">
        <f aca="false">"Sector "&amp;VALUE(MID(D1600,13,2))</f>
        <v>Sector 5</v>
      </c>
      <c r="O1600" s="34" t="str">
        <f aca="false">IF(Dashboard!$C$5="Ubicación técnica",N1600,"Sector "&amp;VALUE(RIGHT(G1600,2)))</f>
        <v>Sector 5</v>
      </c>
      <c r="P1600" s="34" t="str">
        <f aca="false">IF(MID(D1600,15,3)="SEL","Subestación eléctrica","Área de proceso")</f>
        <v>Subestación eléctrica</v>
      </c>
      <c r="Q1600" s="34" t="str">
        <f aca="false">MID(D1600,13,5)&amp;"|"&amp;MID(D1600,19,5)</f>
        <v>05SEL|S_006</v>
      </c>
      <c r="R1600" s="34" t="str">
        <f aca="false">IF(P1600="Subestación eléctrica",IFERROR(INDEX(cat_SubN,MATCH(Q1600,cat_SubK,0)),"SIN CATALOGAR"),"ÁREA DE PROCESO")</f>
        <v>SE-06</v>
      </c>
      <c r="S1600" s="34" t="str">
        <f aca="false">IF(H1600="","SIN DATO",IFERROR(INDEX(cat_MarcaN,MATCH(H1600,cat_MarcaO,0)),H1600))</f>
        <v>SEL</v>
      </c>
      <c r="T1600" s="34" t="str">
        <f aca="false">IF(I1600="","SIN DATO",IFERROR(INDEX(cat_ModN,MATCH(I1600,cat_ModO,0)),I1600))</f>
        <v>SEL</v>
      </c>
      <c r="U1600" s="34" t="str">
        <f aca="false">IF(I1600="","",IFERROR(INDEX(cat_ModG,MATCH(I1600,cat_ModO,0)),"No"))</f>
        <v>Sí</v>
      </c>
      <c r="V1600" s="34" t="str">
        <f aca="false">IF(J1600="","SIN DATO",IFERROR(INDEX(cat_FunN,MATCH(J1600,cat_FunO,0)),J1600))</f>
        <v>Protección y medición</v>
      </c>
      <c r="W1600" s="34" t="str">
        <f aca="false">IF(OR(S1600="SIN DATO",T1600="SIN DATO"),"No","Sí")</f>
        <v>Sí</v>
      </c>
    </row>
    <row r="1601" customFormat="false" ht="15" hidden="false" customHeight="false" outlineLevel="0" collapsed="false">
      <c r="A1601" s="34" t="s">
        <v>5845</v>
      </c>
      <c r="B1601" s="34" t="s">
        <v>5846</v>
      </c>
      <c r="C1601" s="34" t="s">
        <v>5847</v>
      </c>
      <c r="D1601" s="34" t="s">
        <v>5848</v>
      </c>
      <c r="E1601" s="34" t="s">
        <v>180</v>
      </c>
      <c r="F1601" s="34" t="s">
        <v>1602</v>
      </c>
      <c r="G1601" s="34" t="s">
        <v>227</v>
      </c>
      <c r="H1601" s="34" t="s">
        <v>73</v>
      </c>
      <c r="I1601" s="34" t="s">
        <v>76</v>
      </c>
      <c r="J1601" s="34" t="s">
        <v>228</v>
      </c>
      <c r="K1601" s="34" t="s">
        <v>229</v>
      </c>
      <c r="L1601" s="34" t="s">
        <v>230</v>
      </c>
      <c r="M1601" s="34" t="s">
        <v>237</v>
      </c>
      <c r="N1601" s="34" t="str">
        <f aca="false">"Sector "&amp;VALUE(MID(D1601,13,2))</f>
        <v>Sector 8</v>
      </c>
      <c r="O1601" s="34" t="str">
        <f aca="false">IF(Dashboard!$C$5="Ubicación técnica",N1601,"Sector "&amp;VALUE(RIGHT(G1601,2)))</f>
        <v>Sector 8</v>
      </c>
      <c r="P1601" s="34" t="str">
        <f aca="false">IF(MID(D1601,15,3)="SEL","Subestación eléctrica","Área de proceso")</f>
        <v>Subestación eléctrica</v>
      </c>
      <c r="Q1601" s="34" t="str">
        <f aca="false">MID(D1601,13,5)&amp;"|"&amp;MID(D1601,19,5)</f>
        <v>08SEL|S_025</v>
      </c>
      <c r="R1601" s="34" t="str">
        <f aca="false">IF(P1601="Subestación eléctrica",IFERROR(INDEX(cat_SubN,MATCH(Q1601,cat_SubK,0)),"SIN CATALOGAR"),"ÁREA DE PROCESO")</f>
        <v>SE-25</v>
      </c>
      <c r="S1601" s="34" t="str">
        <f aca="false">IF(H1601="","SIN DATO",IFERROR(INDEX(cat_MarcaN,MATCH(H1601,cat_MarcaO,0)),H1601))</f>
        <v>SIEMENS</v>
      </c>
      <c r="T1601" s="34" t="str">
        <f aca="false">IF(I1601="","SIN DATO",IFERROR(INDEX(cat_ModN,MATCH(I1601,cat_ModO,0)),I1601))</f>
        <v>7SR5111</v>
      </c>
      <c r="U1601" s="34" t="str">
        <f aca="false">IF(I1601="","",IFERROR(INDEX(cat_ModG,MATCH(I1601,cat_ModO,0)),"No"))</f>
        <v>No</v>
      </c>
      <c r="V1601" s="34" t="str">
        <f aca="false">IF(J1601="","SIN DATO",IFERROR(INDEX(cat_FunN,MATCH(J1601,cat_FunO,0)),J1601))</f>
        <v>Protección y medición</v>
      </c>
      <c r="W1601" s="34" t="str">
        <f aca="false">IF(OR(S1601="SIN DATO",T1601="SIN DATO"),"No","Sí")</f>
        <v>Sí</v>
      </c>
    </row>
    <row r="1602" customFormat="false" ht="15" hidden="false" customHeight="false" outlineLevel="0" collapsed="false">
      <c r="A1602" s="34" t="s">
        <v>5849</v>
      </c>
      <c r="B1602" s="34" t="s">
        <v>5850</v>
      </c>
      <c r="C1602" s="34" t="s">
        <v>5851</v>
      </c>
      <c r="D1602" s="34" t="s">
        <v>5848</v>
      </c>
      <c r="E1602" s="34" t="s">
        <v>180</v>
      </c>
      <c r="F1602" s="34" t="s">
        <v>1602</v>
      </c>
      <c r="G1602" s="34" t="s">
        <v>227</v>
      </c>
      <c r="H1602" s="34" t="s">
        <v>73</v>
      </c>
      <c r="I1602" s="34" t="s">
        <v>76</v>
      </c>
      <c r="J1602" s="34" t="s">
        <v>228</v>
      </c>
      <c r="K1602" s="34" t="s">
        <v>229</v>
      </c>
      <c r="L1602" s="34" t="s">
        <v>230</v>
      </c>
      <c r="M1602" s="34" t="s">
        <v>237</v>
      </c>
      <c r="N1602" s="34" t="str">
        <f aca="false">"Sector "&amp;VALUE(MID(D1602,13,2))</f>
        <v>Sector 8</v>
      </c>
      <c r="O1602" s="34" t="str">
        <f aca="false">IF(Dashboard!$C$5="Ubicación técnica",N1602,"Sector "&amp;VALUE(RIGHT(G1602,2)))</f>
        <v>Sector 8</v>
      </c>
      <c r="P1602" s="34" t="str">
        <f aca="false">IF(MID(D1602,15,3)="SEL","Subestación eléctrica","Área de proceso")</f>
        <v>Subestación eléctrica</v>
      </c>
      <c r="Q1602" s="34" t="str">
        <f aca="false">MID(D1602,13,5)&amp;"|"&amp;MID(D1602,19,5)</f>
        <v>08SEL|S_025</v>
      </c>
      <c r="R1602" s="34" t="str">
        <f aca="false">IF(P1602="Subestación eléctrica",IFERROR(INDEX(cat_SubN,MATCH(Q1602,cat_SubK,0)),"SIN CATALOGAR"),"ÁREA DE PROCESO")</f>
        <v>SE-25</v>
      </c>
      <c r="S1602" s="34" t="str">
        <f aca="false">IF(H1602="","SIN DATO",IFERROR(INDEX(cat_MarcaN,MATCH(H1602,cat_MarcaO,0)),H1602))</f>
        <v>SIEMENS</v>
      </c>
      <c r="T1602" s="34" t="str">
        <f aca="false">IF(I1602="","SIN DATO",IFERROR(INDEX(cat_ModN,MATCH(I1602,cat_ModO,0)),I1602))</f>
        <v>7SR5111</v>
      </c>
      <c r="U1602" s="34" t="str">
        <f aca="false">IF(I1602="","",IFERROR(INDEX(cat_ModG,MATCH(I1602,cat_ModO,0)),"No"))</f>
        <v>No</v>
      </c>
      <c r="V1602" s="34" t="str">
        <f aca="false">IF(J1602="","SIN DATO",IFERROR(INDEX(cat_FunN,MATCH(J1602,cat_FunO,0)),J1602))</f>
        <v>Protección y medición</v>
      </c>
      <c r="W1602" s="34" t="str">
        <f aca="false">IF(OR(S1602="SIN DATO",T1602="SIN DATO"),"No","Sí")</f>
        <v>Sí</v>
      </c>
    </row>
    <row r="1603" customFormat="false" ht="15" hidden="false" customHeight="false" outlineLevel="0" collapsed="false">
      <c r="A1603" s="34" t="s">
        <v>5852</v>
      </c>
      <c r="B1603" s="34" t="s">
        <v>5853</v>
      </c>
      <c r="C1603" s="34" t="s">
        <v>5854</v>
      </c>
      <c r="D1603" s="34" t="s">
        <v>5855</v>
      </c>
      <c r="E1603" s="34" t="s">
        <v>180</v>
      </c>
      <c r="F1603" s="34" t="s">
        <v>1602</v>
      </c>
      <c r="G1603" s="34" t="s">
        <v>227</v>
      </c>
      <c r="H1603" s="34" t="s">
        <v>73</v>
      </c>
      <c r="I1603" s="34" t="s">
        <v>76</v>
      </c>
      <c r="J1603" s="34" t="s">
        <v>228</v>
      </c>
      <c r="K1603" s="34" t="s">
        <v>229</v>
      </c>
      <c r="L1603" s="34" t="s">
        <v>230</v>
      </c>
      <c r="M1603" s="34" t="s">
        <v>237</v>
      </c>
      <c r="N1603" s="34" t="str">
        <f aca="false">"Sector "&amp;VALUE(MID(D1603,13,2))</f>
        <v>Sector 8</v>
      </c>
      <c r="O1603" s="34" t="str">
        <f aca="false">IF(Dashboard!$C$5="Ubicación técnica",N1603,"Sector "&amp;VALUE(RIGHT(G1603,2)))</f>
        <v>Sector 8</v>
      </c>
      <c r="P1603" s="34" t="str">
        <f aca="false">IF(MID(D1603,15,3)="SEL","Subestación eléctrica","Área de proceso")</f>
        <v>Subestación eléctrica</v>
      </c>
      <c r="Q1603" s="34" t="str">
        <f aca="false">MID(D1603,13,5)&amp;"|"&amp;MID(D1603,19,5)</f>
        <v>08SEL|S_025</v>
      </c>
      <c r="R1603" s="34" t="str">
        <f aca="false">IF(P1603="Subestación eléctrica",IFERROR(INDEX(cat_SubN,MATCH(Q1603,cat_SubK,0)),"SIN CATALOGAR"),"ÁREA DE PROCESO")</f>
        <v>SE-25</v>
      </c>
      <c r="S1603" s="34" t="str">
        <f aca="false">IF(H1603="","SIN DATO",IFERROR(INDEX(cat_MarcaN,MATCH(H1603,cat_MarcaO,0)),H1603))</f>
        <v>SIEMENS</v>
      </c>
      <c r="T1603" s="34" t="str">
        <f aca="false">IF(I1603="","SIN DATO",IFERROR(INDEX(cat_ModN,MATCH(I1603,cat_ModO,0)),I1603))</f>
        <v>7SR5111</v>
      </c>
      <c r="U1603" s="34" t="str">
        <f aca="false">IF(I1603="","",IFERROR(INDEX(cat_ModG,MATCH(I1603,cat_ModO,0)),"No"))</f>
        <v>No</v>
      </c>
      <c r="V1603" s="34" t="str">
        <f aca="false">IF(J1603="","SIN DATO",IFERROR(INDEX(cat_FunN,MATCH(J1603,cat_FunO,0)),J1603))</f>
        <v>Protección y medición</v>
      </c>
      <c r="W1603" s="34" t="str">
        <f aca="false">IF(OR(S1603="SIN DATO",T1603="SIN DATO"),"No","Sí")</f>
        <v>Sí</v>
      </c>
    </row>
    <row r="1604" customFormat="false" ht="15" hidden="false" customHeight="false" outlineLevel="0" collapsed="false">
      <c r="A1604" s="34" t="s">
        <v>5856</v>
      </c>
      <c r="B1604" s="34" t="s">
        <v>5857</v>
      </c>
      <c r="C1604" s="34" t="s">
        <v>5858</v>
      </c>
      <c r="D1604" s="34" t="s">
        <v>5859</v>
      </c>
      <c r="E1604" s="34" t="s">
        <v>180</v>
      </c>
      <c r="F1604" s="34" t="s">
        <v>1602</v>
      </c>
      <c r="G1604" s="34" t="s">
        <v>227</v>
      </c>
      <c r="H1604" s="34" t="s">
        <v>73</v>
      </c>
      <c r="I1604" s="34" t="s">
        <v>76</v>
      </c>
      <c r="J1604" s="34" t="s">
        <v>228</v>
      </c>
      <c r="K1604" s="34" t="s">
        <v>229</v>
      </c>
      <c r="L1604" s="34" t="s">
        <v>230</v>
      </c>
      <c r="M1604" s="34" t="s">
        <v>237</v>
      </c>
      <c r="N1604" s="34" t="str">
        <f aca="false">"Sector "&amp;VALUE(MID(D1604,13,2))</f>
        <v>Sector 8</v>
      </c>
      <c r="O1604" s="34" t="str">
        <f aca="false">IF(Dashboard!$C$5="Ubicación técnica",N1604,"Sector "&amp;VALUE(RIGHT(G1604,2)))</f>
        <v>Sector 8</v>
      </c>
      <c r="P1604" s="34" t="str">
        <f aca="false">IF(MID(D1604,15,3)="SEL","Subestación eléctrica","Área de proceso")</f>
        <v>Subestación eléctrica</v>
      </c>
      <c r="Q1604" s="34" t="str">
        <f aca="false">MID(D1604,13,5)&amp;"|"&amp;MID(D1604,19,5)</f>
        <v>08SEL|S_025</v>
      </c>
      <c r="R1604" s="34" t="str">
        <f aca="false">IF(P1604="Subestación eléctrica",IFERROR(INDEX(cat_SubN,MATCH(Q1604,cat_SubK,0)),"SIN CATALOGAR"),"ÁREA DE PROCESO")</f>
        <v>SE-25</v>
      </c>
      <c r="S1604" s="34" t="str">
        <f aca="false">IF(H1604="","SIN DATO",IFERROR(INDEX(cat_MarcaN,MATCH(H1604,cat_MarcaO,0)),H1604))</f>
        <v>SIEMENS</v>
      </c>
      <c r="T1604" s="34" t="str">
        <f aca="false">IF(I1604="","SIN DATO",IFERROR(INDEX(cat_ModN,MATCH(I1604,cat_ModO,0)),I1604))</f>
        <v>7SR5111</v>
      </c>
      <c r="U1604" s="34" t="str">
        <f aca="false">IF(I1604="","",IFERROR(INDEX(cat_ModG,MATCH(I1604,cat_ModO,0)),"No"))</f>
        <v>No</v>
      </c>
      <c r="V1604" s="34" t="str">
        <f aca="false">IF(J1604="","SIN DATO",IFERROR(INDEX(cat_FunN,MATCH(J1604,cat_FunO,0)),J1604))</f>
        <v>Protección y medición</v>
      </c>
      <c r="W1604" s="34" t="str">
        <f aca="false">IF(OR(S1604="SIN DATO",T1604="SIN DATO"),"No","Sí")</f>
        <v>Sí</v>
      </c>
    </row>
    <row r="1605" customFormat="false" ht="15" hidden="false" customHeight="false" outlineLevel="0" collapsed="false">
      <c r="A1605" s="34" t="s">
        <v>5860</v>
      </c>
      <c r="B1605" s="34" t="s">
        <v>5861</v>
      </c>
      <c r="C1605" s="34" t="s">
        <v>5862</v>
      </c>
      <c r="D1605" s="34" t="s">
        <v>2288</v>
      </c>
      <c r="E1605" s="34" t="s">
        <v>168</v>
      </c>
      <c r="F1605" s="34" t="s">
        <v>1602</v>
      </c>
      <c r="G1605" s="34" t="s">
        <v>227</v>
      </c>
      <c r="H1605" s="34" t="s">
        <v>73</v>
      </c>
      <c r="I1605" s="34" t="s">
        <v>76</v>
      </c>
      <c r="J1605" s="34" t="s">
        <v>228</v>
      </c>
      <c r="K1605" s="34" t="s">
        <v>229</v>
      </c>
      <c r="L1605" s="34" t="s">
        <v>230</v>
      </c>
      <c r="M1605" s="34" t="s">
        <v>237</v>
      </c>
      <c r="N1605" s="34" t="str">
        <f aca="false">"Sector "&amp;VALUE(MID(D1605,13,2))</f>
        <v>Sector 8</v>
      </c>
      <c r="O1605" s="34" t="str">
        <f aca="false">IF(Dashboard!$C$5="Ubicación técnica",N1605,"Sector "&amp;VALUE(RIGHT(G1605,2)))</f>
        <v>Sector 8</v>
      </c>
      <c r="P1605" s="34" t="str">
        <f aca="false">IF(MID(D1605,15,3)="SEL","Subestación eléctrica","Área de proceso")</f>
        <v>Subestación eléctrica</v>
      </c>
      <c r="Q1605" s="34" t="str">
        <f aca="false">MID(D1605,13,5)&amp;"|"&amp;MID(D1605,19,5)</f>
        <v>08SEL|S_001</v>
      </c>
      <c r="R1605" s="34" t="str">
        <f aca="false">IF(P1605="Subestación eléctrica",IFERROR(INDEX(cat_SubN,MATCH(Q1605,cat_SubK,0)),"SIN CATALOGAR"),"ÁREA DE PROCESO")</f>
        <v>SE-01</v>
      </c>
      <c r="S1605" s="34" t="str">
        <f aca="false">IF(H1605="","SIN DATO",IFERROR(INDEX(cat_MarcaN,MATCH(H1605,cat_MarcaO,0)),H1605))</f>
        <v>SIEMENS</v>
      </c>
      <c r="T1605" s="34" t="str">
        <f aca="false">IF(I1605="","SIN DATO",IFERROR(INDEX(cat_ModN,MATCH(I1605,cat_ModO,0)),I1605))</f>
        <v>7SR5111</v>
      </c>
      <c r="U1605" s="34" t="str">
        <f aca="false">IF(I1605="","",IFERROR(INDEX(cat_ModG,MATCH(I1605,cat_ModO,0)),"No"))</f>
        <v>No</v>
      </c>
      <c r="V1605" s="34" t="str">
        <f aca="false">IF(J1605="","SIN DATO",IFERROR(INDEX(cat_FunN,MATCH(J1605,cat_FunO,0)),J1605))</f>
        <v>Protección y medición</v>
      </c>
      <c r="W1605" s="34" t="str">
        <f aca="false">IF(OR(S1605="SIN DATO",T1605="SIN DATO"),"No","Sí")</f>
        <v>Sí</v>
      </c>
    </row>
    <row r="1606" customFormat="false" ht="15" hidden="false" customHeight="false" outlineLevel="0" collapsed="false">
      <c r="A1606" s="34" t="s">
        <v>5863</v>
      </c>
      <c r="B1606" s="34" t="s">
        <v>5864</v>
      </c>
      <c r="C1606" s="34" t="s">
        <v>5865</v>
      </c>
      <c r="D1606" s="34" t="s">
        <v>5866</v>
      </c>
      <c r="E1606" s="34" t="s">
        <v>168</v>
      </c>
      <c r="F1606" s="34" t="s">
        <v>1602</v>
      </c>
      <c r="G1606" s="34" t="s">
        <v>227</v>
      </c>
      <c r="H1606" s="34" t="s">
        <v>73</v>
      </c>
      <c r="I1606" s="34" t="s">
        <v>76</v>
      </c>
      <c r="J1606" s="34" t="s">
        <v>228</v>
      </c>
      <c r="K1606" s="34" t="s">
        <v>229</v>
      </c>
      <c r="L1606" s="34" t="s">
        <v>230</v>
      </c>
      <c r="M1606" s="34" t="s">
        <v>237</v>
      </c>
      <c r="N1606" s="34" t="str">
        <f aca="false">"Sector "&amp;VALUE(MID(D1606,13,2))</f>
        <v>Sector 8</v>
      </c>
      <c r="O1606" s="34" t="str">
        <f aca="false">IF(Dashboard!$C$5="Ubicación técnica",N1606,"Sector "&amp;VALUE(RIGHT(G1606,2)))</f>
        <v>Sector 8</v>
      </c>
      <c r="P1606" s="34" t="str">
        <f aca="false">IF(MID(D1606,15,3)="SEL","Subestación eléctrica","Área de proceso")</f>
        <v>Subestación eléctrica</v>
      </c>
      <c r="Q1606" s="34" t="str">
        <f aca="false">MID(D1606,13,5)&amp;"|"&amp;MID(D1606,19,5)</f>
        <v>08SEL|S_001</v>
      </c>
      <c r="R1606" s="34" t="str">
        <f aca="false">IF(P1606="Subestación eléctrica",IFERROR(INDEX(cat_SubN,MATCH(Q1606,cat_SubK,0)),"SIN CATALOGAR"),"ÁREA DE PROCESO")</f>
        <v>SE-01</v>
      </c>
      <c r="S1606" s="34" t="str">
        <f aca="false">IF(H1606="","SIN DATO",IFERROR(INDEX(cat_MarcaN,MATCH(H1606,cat_MarcaO,0)),H1606))</f>
        <v>SIEMENS</v>
      </c>
      <c r="T1606" s="34" t="str">
        <f aca="false">IF(I1606="","SIN DATO",IFERROR(INDEX(cat_ModN,MATCH(I1606,cat_ModO,0)),I1606))</f>
        <v>7SR5111</v>
      </c>
      <c r="U1606" s="34" t="str">
        <f aca="false">IF(I1606="","",IFERROR(INDEX(cat_ModG,MATCH(I1606,cat_ModO,0)),"No"))</f>
        <v>No</v>
      </c>
      <c r="V1606" s="34" t="str">
        <f aca="false">IF(J1606="","SIN DATO",IFERROR(INDEX(cat_FunN,MATCH(J1606,cat_FunO,0)),J1606))</f>
        <v>Protección y medición</v>
      </c>
      <c r="W1606" s="34" t="str">
        <f aca="false">IF(OR(S1606="SIN DATO",T1606="SIN DATO"),"No","Sí")</f>
        <v>Sí</v>
      </c>
    </row>
    <row r="1607" customFormat="false" ht="15" hidden="false" customHeight="false" outlineLevel="0" collapsed="false">
      <c r="A1607" s="34" t="s">
        <v>5867</v>
      </c>
      <c r="B1607" s="34" t="s">
        <v>5868</v>
      </c>
      <c r="C1607" s="34" t="s">
        <v>5869</v>
      </c>
      <c r="D1607" s="34" t="s">
        <v>2187</v>
      </c>
      <c r="E1607" s="34" t="s">
        <v>184</v>
      </c>
      <c r="F1607" s="34" t="s">
        <v>1602</v>
      </c>
      <c r="G1607" s="34" t="s">
        <v>227</v>
      </c>
      <c r="H1607" s="34" t="s">
        <v>73</v>
      </c>
      <c r="I1607" s="34" t="s">
        <v>76</v>
      </c>
      <c r="J1607" s="34" t="s">
        <v>228</v>
      </c>
      <c r="K1607" s="34" t="s">
        <v>229</v>
      </c>
      <c r="L1607" s="34" t="s">
        <v>230</v>
      </c>
      <c r="M1607" s="34" t="s">
        <v>344</v>
      </c>
      <c r="N1607" s="34" t="str">
        <f aca="false">"Sector "&amp;VALUE(MID(D1607,13,2))</f>
        <v>Sector 8</v>
      </c>
      <c r="O1607" s="34" t="str">
        <f aca="false">IF(Dashboard!$C$5="Ubicación técnica",N1607,"Sector "&amp;VALUE(RIGHT(G1607,2)))</f>
        <v>Sector 8</v>
      </c>
      <c r="P1607" s="34" t="str">
        <f aca="false">IF(MID(D1607,15,3)="SEL","Subestación eléctrica","Área de proceso")</f>
        <v>Subestación eléctrica</v>
      </c>
      <c r="Q1607" s="34" t="str">
        <f aca="false">MID(D1607,13,5)&amp;"|"&amp;MID(D1607,19,5)</f>
        <v>08SEL|SEP02</v>
      </c>
      <c r="R1607" s="34" t="str">
        <f aca="false">IF(P1607="Subestación eléctrica",IFERROR(INDEX(cat_SubN,MATCH(Q1607,cat_SubK,0)),"SIN CATALOGAR"),"ÁREA DE PROCESO")</f>
        <v>SEP-02</v>
      </c>
      <c r="S1607" s="34" t="str">
        <f aca="false">IF(H1607="","SIN DATO",IFERROR(INDEX(cat_MarcaN,MATCH(H1607,cat_MarcaO,0)),H1607))</f>
        <v>SIEMENS</v>
      </c>
      <c r="T1607" s="34" t="str">
        <f aca="false">IF(I1607="","SIN DATO",IFERROR(INDEX(cat_ModN,MATCH(I1607,cat_ModO,0)),I1607))</f>
        <v>7SR5111</v>
      </c>
      <c r="U1607" s="34" t="str">
        <f aca="false">IF(I1607="","",IFERROR(INDEX(cat_ModG,MATCH(I1607,cat_ModO,0)),"No"))</f>
        <v>No</v>
      </c>
      <c r="V1607" s="34" t="str">
        <f aca="false">IF(J1607="","SIN DATO",IFERROR(INDEX(cat_FunN,MATCH(J1607,cat_FunO,0)),J1607))</f>
        <v>Protección y medición</v>
      </c>
      <c r="W1607" s="34" t="str">
        <f aca="false">IF(OR(S1607="SIN DATO",T1607="SIN DATO"),"No","Sí")</f>
        <v>Sí</v>
      </c>
    </row>
    <row r="1608" customFormat="false" ht="15" hidden="false" customHeight="false" outlineLevel="0" collapsed="false">
      <c r="A1608" s="34" t="s">
        <v>5870</v>
      </c>
      <c r="B1608" s="34" t="s">
        <v>5871</v>
      </c>
      <c r="C1608" s="34" t="s">
        <v>5872</v>
      </c>
      <c r="D1608" s="34" t="s">
        <v>2187</v>
      </c>
      <c r="E1608" s="34" t="s">
        <v>184</v>
      </c>
      <c r="F1608" s="34" t="s">
        <v>1602</v>
      </c>
      <c r="G1608" s="34" t="s">
        <v>227</v>
      </c>
      <c r="H1608" s="34" t="s">
        <v>73</v>
      </c>
      <c r="I1608" s="34" t="s">
        <v>76</v>
      </c>
      <c r="J1608" s="34" t="s">
        <v>228</v>
      </c>
      <c r="K1608" s="34" t="s">
        <v>229</v>
      </c>
      <c r="L1608" s="34" t="s">
        <v>230</v>
      </c>
      <c r="M1608" s="34" t="s">
        <v>344</v>
      </c>
      <c r="N1608" s="34" t="str">
        <f aca="false">"Sector "&amp;VALUE(MID(D1608,13,2))</f>
        <v>Sector 8</v>
      </c>
      <c r="O1608" s="34" t="str">
        <f aca="false">IF(Dashboard!$C$5="Ubicación técnica",N1608,"Sector "&amp;VALUE(RIGHT(G1608,2)))</f>
        <v>Sector 8</v>
      </c>
      <c r="P1608" s="34" t="str">
        <f aca="false">IF(MID(D1608,15,3)="SEL","Subestación eléctrica","Área de proceso")</f>
        <v>Subestación eléctrica</v>
      </c>
      <c r="Q1608" s="34" t="str">
        <f aca="false">MID(D1608,13,5)&amp;"|"&amp;MID(D1608,19,5)</f>
        <v>08SEL|SEP02</v>
      </c>
      <c r="R1608" s="34" t="str">
        <f aca="false">IF(P1608="Subestación eléctrica",IFERROR(INDEX(cat_SubN,MATCH(Q1608,cat_SubK,0)),"SIN CATALOGAR"),"ÁREA DE PROCESO")</f>
        <v>SEP-02</v>
      </c>
      <c r="S1608" s="34" t="str">
        <f aca="false">IF(H1608="","SIN DATO",IFERROR(INDEX(cat_MarcaN,MATCH(H1608,cat_MarcaO,0)),H1608))</f>
        <v>SIEMENS</v>
      </c>
      <c r="T1608" s="34" t="str">
        <f aca="false">IF(I1608="","SIN DATO",IFERROR(INDEX(cat_ModN,MATCH(I1608,cat_ModO,0)),I1608))</f>
        <v>7SR5111</v>
      </c>
      <c r="U1608" s="34" t="str">
        <f aca="false">IF(I1608="","",IFERROR(INDEX(cat_ModG,MATCH(I1608,cat_ModO,0)),"No"))</f>
        <v>No</v>
      </c>
      <c r="V1608" s="34" t="str">
        <f aca="false">IF(J1608="","SIN DATO",IFERROR(INDEX(cat_FunN,MATCH(J1608,cat_FunO,0)),J1608))</f>
        <v>Protección y medición</v>
      </c>
      <c r="W1608" s="34" t="str">
        <f aca="false">IF(OR(S1608="SIN DATO",T1608="SIN DATO"),"No","Sí")</f>
        <v>Sí</v>
      </c>
    </row>
    <row r="1609" customFormat="false" ht="15" hidden="false" customHeight="false" outlineLevel="0" collapsed="false">
      <c r="A1609" s="34" t="s">
        <v>5873</v>
      </c>
      <c r="B1609" s="34" t="s">
        <v>5874</v>
      </c>
      <c r="C1609" s="34" t="s">
        <v>5875</v>
      </c>
      <c r="D1609" s="34" t="s">
        <v>2194</v>
      </c>
      <c r="E1609" s="34" t="s">
        <v>184</v>
      </c>
      <c r="F1609" s="34" t="s">
        <v>1602</v>
      </c>
      <c r="G1609" s="34" t="s">
        <v>227</v>
      </c>
      <c r="H1609" s="34" t="s">
        <v>73</v>
      </c>
      <c r="I1609" s="34" t="s">
        <v>76</v>
      </c>
      <c r="J1609" s="34" t="s">
        <v>228</v>
      </c>
      <c r="K1609" s="34" t="s">
        <v>229</v>
      </c>
      <c r="L1609" s="34" t="s">
        <v>230</v>
      </c>
      <c r="M1609" s="34" t="s">
        <v>344</v>
      </c>
      <c r="N1609" s="34" t="str">
        <f aca="false">"Sector "&amp;VALUE(MID(D1609,13,2))</f>
        <v>Sector 8</v>
      </c>
      <c r="O1609" s="34" t="str">
        <f aca="false">IF(Dashboard!$C$5="Ubicación técnica",N1609,"Sector "&amp;VALUE(RIGHT(G1609,2)))</f>
        <v>Sector 8</v>
      </c>
      <c r="P1609" s="34" t="str">
        <f aca="false">IF(MID(D1609,15,3)="SEL","Subestación eléctrica","Área de proceso")</f>
        <v>Subestación eléctrica</v>
      </c>
      <c r="Q1609" s="34" t="str">
        <f aca="false">MID(D1609,13,5)&amp;"|"&amp;MID(D1609,19,5)</f>
        <v>08SEL|SEP02</v>
      </c>
      <c r="R1609" s="34" t="str">
        <f aca="false">IF(P1609="Subestación eléctrica",IFERROR(INDEX(cat_SubN,MATCH(Q1609,cat_SubK,0)),"SIN CATALOGAR"),"ÁREA DE PROCESO")</f>
        <v>SEP-02</v>
      </c>
      <c r="S1609" s="34" t="str">
        <f aca="false">IF(H1609="","SIN DATO",IFERROR(INDEX(cat_MarcaN,MATCH(H1609,cat_MarcaO,0)),H1609))</f>
        <v>SIEMENS</v>
      </c>
      <c r="T1609" s="34" t="str">
        <f aca="false">IF(I1609="","SIN DATO",IFERROR(INDEX(cat_ModN,MATCH(I1609,cat_ModO,0)),I1609))</f>
        <v>7SR5111</v>
      </c>
      <c r="U1609" s="34" t="str">
        <f aca="false">IF(I1609="","",IFERROR(INDEX(cat_ModG,MATCH(I1609,cat_ModO,0)),"No"))</f>
        <v>No</v>
      </c>
      <c r="V1609" s="34" t="str">
        <f aca="false">IF(J1609="","SIN DATO",IFERROR(INDEX(cat_FunN,MATCH(J1609,cat_FunO,0)),J1609))</f>
        <v>Protección y medición</v>
      </c>
      <c r="W1609" s="34" t="str">
        <f aca="false">IF(OR(S1609="SIN DATO",T1609="SIN DATO"),"No","Sí")</f>
        <v>Sí</v>
      </c>
    </row>
    <row r="1610" customFormat="false" ht="15" hidden="false" customHeight="false" outlineLevel="0" collapsed="false">
      <c r="A1610" s="34" t="s">
        <v>5876</v>
      </c>
      <c r="B1610" s="34" t="s">
        <v>5877</v>
      </c>
      <c r="C1610" s="34" t="s">
        <v>5878</v>
      </c>
      <c r="D1610" s="34" t="s">
        <v>2187</v>
      </c>
      <c r="E1610" s="34" t="s">
        <v>184</v>
      </c>
      <c r="F1610" s="34" t="s">
        <v>1602</v>
      </c>
      <c r="G1610" s="34" t="s">
        <v>227</v>
      </c>
      <c r="H1610" s="34" t="s">
        <v>73</v>
      </c>
      <c r="I1610" s="34" t="s">
        <v>76</v>
      </c>
      <c r="J1610" s="34" t="s">
        <v>228</v>
      </c>
      <c r="K1610" s="34" t="s">
        <v>229</v>
      </c>
      <c r="L1610" s="34" t="s">
        <v>230</v>
      </c>
      <c r="M1610" s="34" t="s">
        <v>344</v>
      </c>
      <c r="N1610" s="34" t="str">
        <f aca="false">"Sector "&amp;VALUE(MID(D1610,13,2))</f>
        <v>Sector 8</v>
      </c>
      <c r="O1610" s="34" t="str">
        <f aca="false">IF(Dashboard!$C$5="Ubicación técnica",N1610,"Sector "&amp;VALUE(RIGHT(G1610,2)))</f>
        <v>Sector 8</v>
      </c>
      <c r="P1610" s="34" t="str">
        <f aca="false">IF(MID(D1610,15,3)="SEL","Subestación eléctrica","Área de proceso")</f>
        <v>Subestación eléctrica</v>
      </c>
      <c r="Q1610" s="34" t="str">
        <f aca="false">MID(D1610,13,5)&amp;"|"&amp;MID(D1610,19,5)</f>
        <v>08SEL|SEP02</v>
      </c>
      <c r="R1610" s="34" t="str">
        <f aca="false">IF(P1610="Subestación eléctrica",IFERROR(INDEX(cat_SubN,MATCH(Q1610,cat_SubK,0)),"SIN CATALOGAR"),"ÁREA DE PROCESO")</f>
        <v>SEP-02</v>
      </c>
      <c r="S1610" s="34" t="str">
        <f aca="false">IF(H1610="","SIN DATO",IFERROR(INDEX(cat_MarcaN,MATCH(H1610,cat_MarcaO,0)),H1610))</f>
        <v>SIEMENS</v>
      </c>
      <c r="T1610" s="34" t="str">
        <f aca="false">IF(I1610="","SIN DATO",IFERROR(INDEX(cat_ModN,MATCH(I1610,cat_ModO,0)),I1610))</f>
        <v>7SR5111</v>
      </c>
      <c r="U1610" s="34" t="str">
        <f aca="false">IF(I1610="","",IFERROR(INDEX(cat_ModG,MATCH(I1610,cat_ModO,0)),"No"))</f>
        <v>No</v>
      </c>
      <c r="V1610" s="34" t="str">
        <f aca="false">IF(J1610="","SIN DATO",IFERROR(INDEX(cat_FunN,MATCH(J1610,cat_FunO,0)),J1610))</f>
        <v>Protección y medición</v>
      </c>
      <c r="W1610" s="34" t="str">
        <f aca="false">IF(OR(S1610="SIN DATO",T1610="SIN DATO"),"No","Sí")</f>
        <v>Sí</v>
      </c>
    </row>
    <row r="1611" customFormat="false" ht="15" hidden="false" customHeight="false" outlineLevel="0" collapsed="false">
      <c r="A1611" s="34" t="s">
        <v>5879</v>
      </c>
      <c r="B1611" s="34" t="s">
        <v>5880</v>
      </c>
      <c r="C1611" s="34" t="s">
        <v>5881</v>
      </c>
      <c r="D1611" s="34" t="s">
        <v>5848</v>
      </c>
      <c r="E1611" s="34" t="s">
        <v>180</v>
      </c>
      <c r="F1611" s="34" t="s">
        <v>1602</v>
      </c>
      <c r="G1611" s="34" t="s">
        <v>227</v>
      </c>
      <c r="H1611" s="34" t="s">
        <v>73</v>
      </c>
      <c r="I1611" s="34" t="s">
        <v>76</v>
      </c>
      <c r="J1611" s="34" t="s">
        <v>228</v>
      </c>
      <c r="K1611" s="34" t="s">
        <v>229</v>
      </c>
      <c r="L1611" s="34" t="s">
        <v>230</v>
      </c>
      <c r="M1611" s="34" t="s">
        <v>237</v>
      </c>
      <c r="N1611" s="34" t="str">
        <f aca="false">"Sector "&amp;VALUE(MID(D1611,13,2))</f>
        <v>Sector 8</v>
      </c>
      <c r="O1611" s="34" t="str">
        <f aca="false">IF(Dashboard!$C$5="Ubicación técnica",N1611,"Sector "&amp;VALUE(RIGHT(G1611,2)))</f>
        <v>Sector 8</v>
      </c>
      <c r="P1611" s="34" t="str">
        <f aca="false">IF(MID(D1611,15,3)="SEL","Subestación eléctrica","Área de proceso")</f>
        <v>Subestación eléctrica</v>
      </c>
      <c r="Q1611" s="34" t="str">
        <f aca="false">MID(D1611,13,5)&amp;"|"&amp;MID(D1611,19,5)</f>
        <v>08SEL|S_025</v>
      </c>
      <c r="R1611" s="34" t="str">
        <f aca="false">IF(P1611="Subestación eléctrica",IFERROR(INDEX(cat_SubN,MATCH(Q1611,cat_SubK,0)),"SIN CATALOGAR"),"ÁREA DE PROCESO")</f>
        <v>SE-25</v>
      </c>
      <c r="S1611" s="34" t="str">
        <f aca="false">IF(H1611="","SIN DATO",IFERROR(INDEX(cat_MarcaN,MATCH(H1611,cat_MarcaO,0)),H1611))</f>
        <v>SIEMENS</v>
      </c>
      <c r="T1611" s="34" t="str">
        <f aca="false">IF(I1611="","SIN DATO",IFERROR(INDEX(cat_ModN,MATCH(I1611,cat_ModO,0)),I1611))</f>
        <v>7SR5111</v>
      </c>
      <c r="U1611" s="34" t="str">
        <f aca="false">IF(I1611="","",IFERROR(INDEX(cat_ModG,MATCH(I1611,cat_ModO,0)),"No"))</f>
        <v>No</v>
      </c>
      <c r="V1611" s="34" t="str">
        <f aca="false">IF(J1611="","SIN DATO",IFERROR(INDEX(cat_FunN,MATCH(J1611,cat_FunO,0)),J1611))</f>
        <v>Protección y medición</v>
      </c>
      <c r="W1611" s="34" t="str">
        <f aca="false">IF(OR(S1611="SIN DATO",T1611="SIN DATO"),"No","Sí")</f>
        <v>Sí</v>
      </c>
    </row>
    <row r="1612" customFormat="false" ht="15" hidden="false" customHeight="false" outlineLevel="0" collapsed="false">
      <c r="A1612" s="34" t="s">
        <v>5882</v>
      </c>
      <c r="B1612" s="34" t="s">
        <v>5883</v>
      </c>
      <c r="C1612" s="34" t="s">
        <v>5884</v>
      </c>
      <c r="D1612" s="34" t="s">
        <v>2187</v>
      </c>
      <c r="E1612" s="34" t="s">
        <v>184</v>
      </c>
      <c r="F1612" s="34" t="s">
        <v>1602</v>
      </c>
      <c r="G1612" s="34" t="s">
        <v>227</v>
      </c>
      <c r="H1612" s="34" t="s">
        <v>73</v>
      </c>
      <c r="I1612" s="34" t="s">
        <v>76</v>
      </c>
      <c r="J1612" s="34" t="s">
        <v>228</v>
      </c>
      <c r="K1612" s="34" t="s">
        <v>229</v>
      </c>
      <c r="L1612" s="34" t="s">
        <v>230</v>
      </c>
      <c r="M1612" s="34" t="s">
        <v>344</v>
      </c>
      <c r="N1612" s="34" t="str">
        <f aca="false">"Sector "&amp;VALUE(MID(D1612,13,2))</f>
        <v>Sector 8</v>
      </c>
      <c r="O1612" s="34" t="str">
        <f aca="false">IF(Dashboard!$C$5="Ubicación técnica",N1612,"Sector "&amp;VALUE(RIGHT(G1612,2)))</f>
        <v>Sector 8</v>
      </c>
      <c r="P1612" s="34" t="str">
        <f aca="false">IF(MID(D1612,15,3)="SEL","Subestación eléctrica","Área de proceso")</f>
        <v>Subestación eléctrica</v>
      </c>
      <c r="Q1612" s="34" t="str">
        <f aca="false">MID(D1612,13,5)&amp;"|"&amp;MID(D1612,19,5)</f>
        <v>08SEL|SEP02</v>
      </c>
      <c r="R1612" s="34" t="str">
        <f aca="false">IF(P1612="Subestación eléctrica",IFERROR(INDEX(cat_SubN,MATCH(Q1612,cat_SubK,0)),"SIN CATALOGAR"),"ÁREA DE PROCESO")</f>
        <v>SEP-02</v>
      </c>
      <c r="S1612" s="34" t="str">
        <f aca="false">IF(H1612="","SIN DATO",IFERROR(INDEX(cat_MarcaN,MATCH(H1612,cat_MarcaO,0)),H1612))</f>
        <v>SIEMENS</v>
      </c>
      <c r="T1612" s="34" t="str">
        <f aca="false">IF(I1612="","SIN DATO",IFERROR(INDEX(cat_ModN,MATCH(I1612,cat_ModO,0)),I1612))</f>
        <v>7SR5111</v>
      </c>
      <c r="U1612" s="34" t="str">
        <f aca="false">IF(I1612="","",IFERROR(INDEX(cat_ModG,MATCH(I1612,cat_ModO,0)),"No"))</f>
        <v>No</v>
      </c>
      <c r="V1612" s="34" t="str">
        <f aca="false">IF(J1612="","SIN DATO",IFERROR(INDEX(cat_FunN,MATCH(J1612,cat_FunO,0)),J1612))</f>
        <v>Protección y medición</v>
      </c>
      <c r="W1612" s="34" t="str">
        <f aca="false">IF(OR(S1612="SIN DATO",T1612="SIN DATO"),"No","Sí")</f>
        <v>Sí</v>
      </c>
    </row>
    <row r="1613" customFormat="false" ht="15" hidden="false" customHeight="false" outlineLevel="0" collapsed="false">
      <c r="A1613" s="34" t="s">
        <v>5885</v>
      </c>
      <c r="B1613" s="34" t="s">
        <v>5886</v>
      </c>
      <c r="C1613" s="34" t="s">
        <v>5887</v>
      </c>
      <c r="D1613" s="34" t="s">
        <v>2194</v>
      </c>
      <c r="E1613" s="34" t="s">
        <v>184</v>
      </c>
      <c r="F1613" s="34" t="s">
        <v>1602</v>
      </c>
      <c r="G1613" s="34" t="s">
        <v>227</v>
      </c>
      <c r="H1613" s="34" t="s">
        <v>73</v>
      </c>
      <c r="I1613" s="34" t="s">
        <v>76</v>
      </c>
      <c r="J1613" s="34" t="s">
        <v>228</v>
      </c>
      <c r="K1613" s="34" t="s">
        <v>229</v>
      </c>
      <c r="L1613" s="34" t="s">
        <v>230</v>
      </c>
      <c r="M1613" s="34" t="s">
        <v>344</v>
      </c>
      <c r="N1613" s="34" t="str">
        <f aca="false">"Sector "&amp;VALUE(MID(D1613,13,2))</f>
        <v>Sector 8</v>
      </c>
      <c r="O1613" s="34" t="str">
        <f aca="false">IF(Dashboard!$C$5="Ubicación técnica",N1613,"Sector "&amp;VALUE(RIGHT(G1613,2)))</f>
        <v>Sector 8</v>
      </c>
      <c r="P1613" s="34" t="str">
        <f aca="false">IF(MID(D1613,15,3)="SEL","Subestación eléctrica","Área de proceso")</f>
        <v>Subestación eléctrica</v>
      </c>
      <c r="Q1613" s="34" t="str">
        <f aca="false">MID(D1613,13,5)&amp;"|"&amp;MID(D1613,19,5)</f>
        <v>08SEL|SEP02</v>
      </c>
      <c r="R1613" s="34" t="str">
        <f aca="false">IF(P1613="Subestación eléctrica",IFERROR(INDEX(cat_SubN,MATCH(Q1613,cat_SubK,0)),"SIN CATALOGAR"),"ÁREA DE PROCESO")</f>
        <v>SEP-02</v>
      </c>
      <c r="S1613" s="34" t="str">
        <f aca="false">IF(H1613="","SIN DATO",IFERROR(INDEX(cat_MarcaN,MATCH(H1613,cat_MarcaO,0)),H1613))</f>
        <v>SIEMENS</v>
      </c>
      <c r="T1613" s="34" t="str">
        <f aca="false">IF(I1613="","SIN DATO",IFERROR(INDEX(cat_ModN,MATCH(I1613,cat_ModO,0)),I1613))</f>
        <v>7SR5111</v>
      </c>
      <c r="U1613" s="34" t="str">
        <f aca="false">IF(I1613="","",IFERROR(INDEX(cat_ModG,MATCH(I1613,cat_ModO,0)),"No"))</f>
        <v>No</v>
      </c>
      <c r="V1613" s="34" t="str">
        <f aca="false">IF(J1613="","SIN DATO",IFERROR(INDEX(cat_FunN,MATCH(J1613,cat_FunO,0)),J1613))</f>
        <v>Protección y medición</v>
      </c>
      <c r="W1613" s="34" t="str">
        <f aca="false">IF(OR(S1613="SIN DATO",T1613="SIN DATO"),"No","Sí")</f>
        <v>Sí</v>
      </c>
    </row>
    <row r="1614" customFormat="false" ht="15" hidden="false" customHeight="false" outlineLevel="0" collapsed="false">
      <c r="A1614" s="34" t="s">
        <v>5888</v>
      </c>
      <c r="B1614" s="34" t="s">
        <v>5889</v>
      </c>
      <c r="C1614" s="34" t="s">
        <v>5890</v>
      </c>
      <c r="D1614" s="34" t="s">
        <v>2187</v>
      </c>
      <c r="E1614" s="34" t="s">
        <v>184</v>
      </c>
      <c r="F1614" s="34" t="s">
        <v>1602</v>
      </c>
      <c r="G1614" s="34" t="s">
        <v>227</v>
      </c>
      <c r="H1614" s="34" t="s">
        <v>73</v>
      </c>
      <c r="I1614" s="34" t="s">
        <v>76</v>
      </c>
      <c r="J1614" s="34" t="s">
        <v>228</v>
      </c>
      <c r="K1614" s="34" t="s">
        <v>229</v>
      </c>
      <c r="L1614" s="34" t="s">
        <v>230</v>
      </c>
      <c r="M1614" s="34" t="s">
        <v>344</v>
      </c>
      <c r="N1614" s="34" t="str">
        <f aca="false">"Sector "&amp;VALUE(MID(D1614,13,2))</f>
        <v>Sector 8</v>
      </c>
      <c r="O1614" s="34" t="str">
        <f aca="false">IF(Dashboard!$C$5="Ubicación técnica",N1614,"Sector "&amp;VALUE(RIGHT(G1614,2)))</f>
        <v>Sector 8</v>
      </c>
      <c r="P1614" s="34" t="str">
        <f aca="false">IF(MID(D1614,15,3)="SEL","Subestación eléctrica","Área de proceso")</f>
        <v>Subestación eléctrica</v>
      </c>
      <c r="Q1614" s="34" t="str">
        <f aca="false">MID(D1614,13,5)&amp;"|"&amp;MID(D1614,19,5)</f>
        <v>08SEL|SEP02</v>
      </c>
      <c r="R1614" s="34" t="str">
        <f aca="false">IF(P1614="Subestación eléctrica",IFERROR(INDEX(cat_SubN,MATCH(Q1614,cat_SubK,0)),"SIN CATALOGAR"),"ÁREA DE PROCESO")</f>
        <v>SEP-02</v>
      </c>
      <c r="S1614" s="34" t="str">
        <f aca="false">IF(H1614="","SIN DATO",IFERROR(INDEX(cat_MarcaN,MATCH(H1614,cat_MarcaO,0)),H1614))</f>
        <v>SIEMENS</v>
      </c>
      <c r="T1614" s="34" t="str">
        <f aca="false">IF(I1614="","SIN DATO",IFERROR(INDEX(cat_ModN,MATCH(I1614,cat_ModO,0)),I1614))</f>
        <v>7SR5111</v>
      </c>
      <c r="U1614" s="34" t="str">
        <f aca="false">IF(I1614="","",IFERROR(INDEX(cat_ModG,MATCH(I1614,cat_ModO,0)),"No"))</f>
        <v>No</v>
      </c>
      <c r="V1614" s="34" t="str">
        <f aca="false">IF(J1614="","SIN DATO",IFERROR(INDEX(cat_FunN,MATCH(J1614,cat_FunO,0)),J1614))</f>
        <v>Protección y medición</v>
      </c>
      <c r="W1614" s="34" t="str">
        <f aca="false">IF(OR(S1614="SIN DATO",T1614="SIN DATO"),"No","Sí")</f>
        <v>Sí</v>
      </c>
    </row>
    <row r="1615" customFormat="false" ht="15" hidden="false" customHeight="false" outlineLevel="0" collapsed="false">
      <c r="A1615" s="34" t="s">
        <v>5891</v>
      </c>
      <c r="B1615" s="34" t="s">
        <v>5892</v>
      </c>
      <c r="C1615" s="34" t="s">
        <v>5893</v>
      </c>
      <c r="D1615" s="34" t="s">
        <v>2194</v>
      </c>
      <c r="E1615" s="34" t="s">
        <v>184</v>
      </c>
      <c r="F1615" s="34" t="s">
        <v>1602</v>
      </c>
      <c r="G1615" s="34" t="s">
        <v>227</v>
      </c>
      <c r="H1615" s="34" t="s">
        <v>73</v>
      </c>
      <c r="I1615" s="34" t="s">
        <v>76</v>
      </c>
      <c r="J1615" s="34" t="s">
        <v>228</v>
      </c>
      <c r="K1615" s="34" t="s">
        <v>229</v>
      </c>
      <c r="L1615" s="34" t="s">
        <v>230</v>
      </c>
      <c r="M1615" s="34" t="s">
        <v>344</v>
      </c>
      <c r="N1615" s="34" t="str">
        <f aca="false">"Sector "&amp;VALUE(MID(D1615,13,2))</f>
        <v>Sector 8</v>
      </c>
      <c r="O1615" s="34" t="str">
        <f aca="false">IF(Dashboard!$C$5="Ubicación técnica",N1615,"Sector "&amp;VALUE(RIGHT(G1615,2)))</f>
        <v>Sector 8</v>
      </c>
      <c r="P1615" s="34" t="str">
        <f aca="false">IF(MID(D1615,15,3)="SEL","Subestación eléctrica","Área de proceso")</f>
        <v>Subestación eléctrica</v>
      </c>
      <c r="Q1615" s="34" t="str">
        <f aca="false">MID(D1615,13,5)&amp;"|"&amp;MID(D1615,19,5)</f>
        <v>08SEL|SEP02</v>
      </c>
      <c r="R1615" s="34" t="str">
        <f aca="false">IF(P1615="Subestación eléctrica",IFERROR(INDEX(cat_SubN,MATCH(Q1615,cat_SubK,0)),"SIN CATALOGAR"),"ÁREA DE PROCESO")</f>
        <v>SEP-02</v>
      </c>
      <c r="S1615" s="34" t="str">
        <f aca="false">IF(H1615="","SIN DATO",IFERROR(INDEX(cat_MarcaN,MATCH(H1615,cat_MarcaO,0)),H1615))</f>
        <v>SIEMENS</v>
      </c>
      <c r="T1615" s="34" t="str">
        <f aca="false">IF(I1615="","SIN DATO",IFERROR(INDEX(cat_ModN,MATCH(I1615,cat_ModO,0)),I1615))</f>
        <v>7SR5111</v>
      </c>
      <c r="U1615" s="34" t="str">
        <f aca="false">IF(I1615="","",IFERROR(INDEX(cat_ModG,MATCH(I1615,cat_ModO,0)),"No"))</f>
        <v>No</v>
      </c>
      <c r="V1615" s="34" t="str">
        <f aca="false">IF(J1615="","SIN DATO",IFERROR(INDEX(cat_FunN,MATCH(J1615,cat_FunO,0)),J1615))</f>
        <v>Protección y medición</v>
      </c>
      <c r="W1615" s="34" t="str">
        <f aca="false">IF(OR(S1615="SIN DATO",T1615="SIN DATO"),"No","Sí")</f>
        <v>Sí</v>
      </c>
    </row>
    <row r="1616" customFormat="false" ht="15" hidden="false" customHeight="false" outlineLevel="0" collapsed="false">
      <c r="A1616" s="34" t="s">
        <v>5894</v>
      </c>
      <c r="B1616" s="34" t="s">
        <v>5895</v>
      </c>
      <c r="C1616" s="34" t="s">
        <v>5896</v>
      </c>
      <c r="D1616" s="34" t="s">
        <v>2187</v>
      </c>
      <c r="E1616" s="34" t="s">
        <v>184</v>
      </c>
      <c r="F1616" s="34" t="s">
        <v>1602</v>
      </c>
      <c r="G1616" s="34" t="s">
        <v>227</v>
      </c>
      <c r="H1616" s="34" t="s">
        <v>73</v>
      </c>
      <c r="I1616" s="34" t="s">
        <v>76</v>
      </c>
      <c r="J1616" s="34" t="s">
        <v>228</v>
      </c>
      <c r="K1616" s="34" t="s">
        <v>229</v>
      </c>
      <c r="L1616" s="34" t="s">
        <v>230</v>
      </c>
      <c r="M1616" s="34" t="s">
        <v>344</v>
      </c>
      <c r="N1616" s="34" t="str">
        <f aca="false">"Sector "&amp;VALUE(MID(D1616,13,2))</f>
        <v>Sector 8</v>
      </c>
      <c r="O1616" s="34" t="str">
        <f aca="false">IF(Dashboard!$C$5="Ubicación técnica",N1616,"Sector "&amp;VALUE(RIGHT(G1616,2)))</f>
        <v>Sector 8</v>
      </c>
      <c r="P1616" s="34" t="str">
        <f aca="false">IF(MID(D1616,15,3)="SEL","Subestación eléctrica","Área de proceso")</f>
        <v>Subestación eléctrica</v>
      </c>
      <c r="Q1616" s="34" t="str">
        <f aca="false">MID(D1616,13,5)&amp;"|"&amp;MID(D1616,19,5)</f>
        <v>08SEL|SEP02</v>
      </c>
      <c r="R1616" s="34" t="str">
        <f aca="false">IF(P1616="Subestación eléctrica",IFERROR(INDEX(cat_SubN,MATCH(Q1616,cat_SubK,0)),"SIN CATALOGAR"),"ÁREA DE PROCESO")</f>
        <v>SEP-02</v>
      </c>
      <c r="S1616" s="34" t="str">
        <f aca="false">IF(H1616="","SIN DATO",IFERROR(INDEX(cat_MarcaN,MATCH(H1616,cat_MarcaO,0)),H1616))</f>
        <v>SIEMENS</v>
      </c>
      <c r="T1616" s="34" t="str">
        <f aca="false">IF(I1616="","SIN DATO",IFERROR(INDEX(cat_ModN,MATCH(I1616,cat_ModO,0)),I1616))</f>
        <v>7SR5111</v>
      </c>
      <c r="U1616" s="34" t="str">
        <f aca="false">IF(I1616="","",IFERROR(INDEX(cat_ModG,MATCH(I1616,cat_ModO,0)),"No"))</f>
        <v>No</v>
      </c>
      <c r="V1616" s="34" t="str">
        <f aca="false">IF(J1616="","SIN DATO",IFERROR(INDEX(cat_FunN,MATCH(J1616,cat_FunO,0)),J1616))</f>
        <v>Protección y medición</v>
      </c>
      <c r="W1616" s="34" t="str">
        <f aca="false">IF(OR(S1616="SIN DATO",T1616="SIN DATO"),"No","Sí")</f>
        <v>Sí</v>
      </c>
    </row>
    <row r="1617" customFormat="false" ht="15" hidden="false" customHeight="false" outlineLevel="0" collapsed="false">
      <c r="A1617" s="34" t="s">
        <v>5897</v>
      </c>
      <c r="B1617" s="34" t="s">
        <v>5898</v>
      </c>
      <c r="C1617" s="34" t="s">
        <v>5899</v>
      </c>
      <c r="D1617" s="34" t="s">
        <v>2194</v>
      </c>
      <c r="E1617" s="34" t="s">
        <v>184</v>
      </c>
      <c r="F1617" s="34" t="s">
        <v>1602</v>
      </c>
      <c r="G1617" s="34" t="s">
        <v>227</v>
      </c>
      <c r="H1617" s="34" t="s">
        <v>73</v>
      </c>
      <c r="I1617" s="34" t="s">
        <v>76</v>
      </c>
      <c r="J1617" s="34" t="s">
        <v>228</v>
      </c>
      <c r="K1617" s="34" t="s">
        <v>229</v>
      </c>
      <c r="L1617" s="34" t="s">
        <v>230</v>
      </c>
      <c r="M1617" s="34" t="s">
        <v>344</v>
      </c>
      <c r="N1617" s="34" t="str">
        <f aca="false">"Sector "&amp;VALUE(MID(D1617,13,2))</f>
        <v>Sector 8</v>
      </c>
      <c r="O1617" s="34" t="str">
        <f aca="false">IF(Dashboard!$C$5="Ubicación técnica",N1617,"Sector "&amp;VALUE(RIGHT(G1617,2)))</f>
        <v>Sector 8</v>
      </c>
      <c r="P1617" s="34" t="str">
        <f aca="false">IF(MID(D1617,15,3)="SEL","Subestación eléctrica","Área de proceso")</f>
        <v>Subestación eléctrica</v>
      </c>
      <c r="Q1617" s="34" t="str">
        <f aca="false">MID(D1617,13,5)&amp;"|"&amp;MID(D1617,19,5)</f>
        <v>08SEL|SEP02</v>
      </c>
      <c r="R1617" s="34" t="str">
        <f aca="false">IF(P1617="Subestación eléctrica",IFERROR(INDEX(cat_SubN,MATCH(Q1617,cat_SubK,0)),"SIN CATALOGAR"),"ÁREA DE PROCESO")</f>
        <v>SEP-02</v>
      </c>
      <c r="S1617" s="34" t="str">
        <f aca="false">IF(H1617="","SIN DATO",IFERROR(INDEX(cat_MarcaN,MATCH(H1617,cat_MarcaO,0)),H1617))</f>
        <v>SIEMENS</v>
      </c>
      <c r="T1617" s="34" t="str">
        <f aca="false">IF(I1617="","SIN DATO",IFERROR(INDEX(cat_ModN,MATCH(I1617,cat_ModO,0)),I1617))</f>
        <v>7SR5111</v>
      </c>
      <c r="U1617" s="34" t="str">
        <f aca="false">IF(I1617="","",IFERROR(INDEX(cat_ModG,MATCH(I1617,cat_ModO,0)),"No"))</f>
        <v>No</v>
      </c>
      <c r="V1617" s="34" t="str">
        <f aca="false">IF(J1617="","SIN DATO",IFERROR(INDEX(cat_FunN,MATCH(J1617,cat_FunO,0)),J1617))</f>
        <v>Protección y medición</v>
      </c>
      <c r="W1617" s="34" t="str">
        <f aca="false">IF(OR(S1617="SIN DATO",T1617="SIN DATO"),"No","Sí")</f>
        <v>Sí</v>
      </c>
    </row>
    <row r="1618" customFormat="false" ht="15" hidden="false" customHeight="false" outlineLevel="0" collapsed="false">
      <c r="A1618" s="34" t="s">
        <v>5900</v>
      </c>
      <c r="B1618" s="34" t="s">
        <v>5901</v>
      </c>
      <c r="C1618" s="34" t="s">
        <v>5902</v>
      </c>
      <c r="D1618" s="34" t="s">
        <v>2187</v>
      </c>
      <c r="E1618" s="34" t="s">
        <v>184</v>
      </c>
      <c r="F1618" s="34" t="s">
        <v>1602</v>
      </c>
      <c r="G1618" s="34" t="s">
        <v>227</v>
      </c>
      <c r="H1618" s="34" t="s">
        <v>73</v>
      </c>
      <c r="I1618" s="34" t="s">
        <v>76</v>
      </c>
      <c r="J1618" s="34" t="s">
        <v>228</v>
      </c>
      <c r="K1618" s="34" t="s">
        <v>229</v>
      </c>
      <c r="L1618" s="34" t="s">
        <v>230</v>
      </c>
      <c r="M1618" s="34" t="s">
        <v>344</v>
      </c>
      <c r="N1618" s="34" t="str">
        <f aca="false">"Sector "&amp;VALUE(MID(D1618,13,2))</f>
        <v>Sector 8</v>
      </c>
      <c r="O1618" s="34" t="str">
        <f aca="false">IF(Dashboard!$C$5="Ubicación técnica",N1618,"Sector "&amp;VALUE(RIGHT(G1618,2)))</f>
        <v>Sector 8</v>
      </c>
      <c r="P1618" s="34" t="str">
        <f aca="false">IF(MID(D1618,15,3)="SEL","Subestación eléctrica","Área de proceso")</f>
        <v>Subestación eléctrica</v>
      </c>
      <c r="Q1618" s="34" t="str">
        <f aca="false">MID(D1618,13,5)&amp;"|"&amp;MID(D1618,19,5)</f>
        <v>08SEL|SEP02</v>
      </c>
      <c r="R1618" s="34" t="str">
        <f aca="false">IF(P1618="Subestación eléctrica",IFERROR(INDEX(cat_SubN,MATCH(Q1618,cat_SubK,0)),"SIN CATALOGAR"),"ÁREA DE PROCESO")</f>
        <v>SEP-02</v>
      </c>
      <c r="S1618" s="34" t="str">
        <f aca="false">IF(H1618="","SIN DATO",IFERROR(INDEX(cat_MarcaN,MATCH(H1618,cat_MarcaO,0)),H1618))</f>
        <v>SIEMENS</v>
      </c>
      <c r="T1618" s="34" t="str">
        <f aca="false">IF(I1618="","SIN DATO",IFERROR(INDEX(cat_ModN,MATCH(I1618,cat_ModO,0)),I1618))</f>
        <v>7SR5111</v>
      </c>
      <c r="U1618" s="34" t="str">
        <f aca="false">IF(I1618="","",IFERROR(INDEX(cat_ModG,MATCH(I1618,cat_ModO,0)),"No"))</f>
        <v>No</v>
      </c>
      <c r="V1618" s="34" t="str">
        <f aca="false">IF(J1618="","SIN DATO",IFERROR(INDEX(cat_FunN,MATCH(J1618,cat_FunO,0)),J1618))</f>
        <v>Protección y medición</v>
      </c>
      <c r="W1618" s="34" t="str">
        <f aca="false">IF(OR(S1618="SIN DATO",T1618="SIN DATO"),"No","Sí")</f>
        <v>Sí</v>
      </c>
    </row>
    <row r="1619" customFormat="false" ht="15" hidden="false" customHeight="false" outlineLevel="0" collapsed="false">
      <c r="A1619" s="34" t="s">
        <v>5903</v>
      </c>
      <c r="B1619" s="34" t="s">
        <v>5904</v>
      </c>
      <c r="C1619" s="34" t="s">
        <v>5905</v>
      </c>
      <c r="D1619" s="34" t="s">
        <v>2194</v>
      </c>
      <c r="E1619" s="34" t="s">
        <v>184</v>
      </c>
      <c r="F1619" s="34" t="s">
        <v>1602</v>
      </c>
      <c r="G1619" s="34" t="s">
        <v>227</v>
      </c>
      <c r="H1619" s="34" t="s">
        <v>73</v>
      </c>
      <c r="I1619" s="34" t="s">
        <v>76</v>
      </c>
      <c r="J1619" s="34" t="s">
        <v>228</v>
      </c>
      <c r="K1619" s="34" t="s">
        <v>229</v>
      </c>
      <c r="L1619" s="34" t="s">
        <v>230</v>
      </c>
      <c r="M1619" s="34" t="s">
        <v>344</v>
      </c>
      <c r="N1619" s="34" t="str">
        <f aca="false">"Sector "&amp;VALUE(MID(D1619,13,2))</f>
        <v>Sector 8</v>
      </c>
      <c r="O1619" s="34" t="str">
        <f aca="false">IF(Dashboard!$C$5="Ubicación técnica",N1619,"Sector "&amp;VALUE(RIGHT(G1619,2)))</f>
        <v>Sector 8</v>
      </c>
      <c r="P1619" s="34" t="str">
        <f aca="false">IF(MID(D1619,15,3)="SEL","Subestación eléctrica","Área de proceso")</f>
        <v>Subestación eléctrica</v>
      </c>
      <c r="Q1619" s="34" t="str">
        <f aca="false">MID(D1619,13,5)&amp;"|"&amp;MID(D1619,19,5)</f>
        <v>08SEL|SEP02</v>
      </c>
      <c r="R1619" s="34" t="str">
        <f aca="false">IF(P1619="Subestación eléctrica",IFERROR(INDEX(cat_SubN,MATCH(Q1619,cat_SubK,0)),"SIN CATALOGAR"),"ÁREA DE PROCESO")</f>
        <v>SEP-02</v>
      </c>
      <c r="S1619" s="34" t="str">
        <f aca="false">IF(H1619="","SIN DATO",IFERROR(INDEX(cat_MarcaN,MATCH(H1619,cat_MarcaO,0)),H1619))</f>
        <v>SIEMENS</v>
      </c>
      <c r="T1619" s="34" t="str">
        <f aca="false">IF(I1619="","SIN DATO",IFERROR(INDEX(cat_ModN,MATCH(I1619,cat_ModO,0)),I1619))</f>
        <v>7SR5111</v>
      </c>
      <c r="U1619" s="34" t="str">
        <f aca="false">IF(I1619="","",IFERROR(INDEX(cat_ModG,MATCH(I1619,cat_ModO,0)),"No"))</f>
        <v>No</v>
      </c>
      <c r="V1619" s="34" t="str">
        <f aca="false">IF(J1619="","SIN DATO",IFERROR(INDEX(cat_FunN,MATCH(J1619,cat_FunO,0)),J1619))</f>
        <v>Protección y medición</v>
      </c>
      <c r="W1619" s="34" t="str">
        <f aca="false">IF(OR(S1619="SIN DATO",T1619="SIN DATO"),"No","Sí")</f>
        <v>Sí</v>
      </c>
    </row>
    <row r="1620" customFormat="false" ht="15" hidden="false" customHeight="false" outlineLevel="0" collapsed="false">
      <c r="A1620" s="34" t="s">
        <v>5906</v>
      </c>
      <c r="B1620" s="34" t="s">
        <v>5907</v>
      </c>
      <c r="C1620" s="34" t="s">
        <v>5908</v>
      </c>
      <c r="D1620" s="34" t="s">
        <v>5855</v>
      </c>
      <c r="E1620" s="34" t="s">
        <v>180</v>
      </c>
      <c r="F1620" s="34" t="s">
        <v>1602</v>
      </c>
      <c r="G1620" s="34" t="s">
        <v>227</v>
      </c>
      <c r="H1620" s="34" t="s">
        <v>73</v>
      </c>
      <c r="I1620" s="34" t="s">
        <v>80</v>
      </c>
      <c r="J1620" s="34" t="s">
        <v>228</v>
      </c>
      <c r="K1620" s="34" t="s">
        <v>229</v>
      </c>
      <c r="L1620" s="34" t="s">
        <v>230</v>
      </c>
      <c r="M1620" s="34" t="s">
        <v>237</v>
      </c>
      <c r="N1620" s="34" t="str">
        <f aca="false">"Sector "&amp;VALUE(MID(D1620,13,2))</f>
        <v>Sector 8</v>
      </c>
      <c r="O1620" s="34" t="str">
        <f aca="false">IF(Dashboard!$C$5="Ubicación técnica",N1620,"Sector "&amp;VALUE(RIGHT(G1620,2)))</f>
        <v>Sector 8</v>
      </c>
      <c r="P1620" s="34" t="str">
        <f aca="false">IF(MID(D1620,15,3)="SEL","Subestación eléctrica","Área de proceso")</f>
        <v>Subestación eléctrica</v>
      </c>
      <c r="Q1620" s="34" t="str">
        <f aca="false">MID(D1620,13,5)&amp;"|"&amp;MID(D1620,19,5)</f>
        <v>08SEL|S_025</v>
      </c>
      <c r="R1620" s="34" t="str">
        <f aca="false">IF(P1620="Subestación eléctrica",IFERROR(INDEX(cat_SubN,MATCH(Q1620,cat_SubK,0)),"SIN CATALOGAR"),"ÁREA DE PROCESO")</f>
        <v>SE-25</v>
      </c>
      <c r="S1620" s="34" t="str">
        <f aca="false">IF(H1620="","SIN DATO",IFERROR(INDEX(cat_MarcaN,MATCH(H1620,cat_MarcaO,0)),H1620))</f>
        <v>SIEMENS</v>
      </c>
      <c r="T1620" s="34" t="str">
        <f aca="false">IF(I1620="","SIN DATO",IFERROR(INDEX(cat_ModN,MATCH(I1620,cat_ModO,0)),I1620))</f>
        <v>7SR5420</v>
      </c>
      <c r="U1620" s="34" t="str">
        <f aca="false">IF(I1620="","",IFERROR(INDEX(cat_ModG,MATCH(I1620,cat_ModO,0)),"No"))</f>
        <v>No</v>
      </c>
      <c r="V1620" s="34" t="str">
        <f aca="false">IF(J1620="","SIN DATO",IFERROR(INDEX(cat_FunN,MATCH(J1620,cat_FunO,0)),J1620))</f>
        <v>Protección y medición</v>
      </c>
      <c r="W1620" s="34" t="str">
        <f aca="false">IF(OR(S1620="SIN DATO",T1620="SIN DATO"),"No","Sí")</f>
        <v>Sí</v>
      </c>
    </row>
    <row r="1621" customFormat="false" ht="15" hidden="false" customHeight="false" outlineLevel="0" collapsed="false">
      <c r="A1621" s="34" t="s">
        <v>5909</v>
      </c>
      <c r="B1621" s="34" t="s">
        <v>5910</v>
      </c>
      <c r="C1621" s="34" t="s">
        <v>5911</v>
      </c>
      <c r="D1621" s="34" t="s">
        <v>5859</v>
      </c>
      <c r="E1621" s="34" t="s">
        <v>180</v>
      </c>
      <c r="F1621" s="34" t="s">
        <v>1602</v>
      </c>
      <c r="G1621" s="34" t="s">
        <v>227</v>
      </c>
      <c r="H1621" s="34" t="s">
        <v>73</v>
      </c>
      <c r="I1621" s="34" t="s">
        <v>80</v>
      </c>
      <c r="J1621" s="34" t="s">
        <v>228</v>
      </c>
      <c r="K1621" s="34" t="s">
        <v>229</v>
      </c>
      <c r="L1621" s="34" t="s">
        <v>230</v>
      </c>
      <c r="M1621" s="34" t="s">
        <v>237</v>
      </c>
      <c r="N1621" s="34" t="str">
        <f aca="false">"Sector "&amp;VALUE(MID(D1621,13,2))</f>
        <v>Sector 8</v>
      </c>
      <c r="O1621" s="34" t="str">
        <f aca="false">IF(Dashboard!$C$5="Ubicación técnica",N1621,"Sector "&amp;VALUE(RIGHT(G1621,2)))</f>
        <v>Sector 8</v>
      </c>
      <c r="P1621" s="34" t="str">
        <f aca="false">IF(MID(D1621,15,3)="SEL","Subestación eléctrica","Área de proceso")</f>
        <v>Subestación eléctrica</v>
      </c>
      <c r="Q1621" s="34" t="str">
        <f aca="false">MID(D1621,13,5)&amp;"|"&amp;MID(D1621,19,5)</f>
        <v>08SEL|S_025</v>
      </c>
      <c r="R1621" s="34" t="str">
        <f aca="false">IF(P1621="Subestación eléctrica",IFERROR(INDEX(cat_SubN,MATCH(Q1621,cat_SubK,0)),"SIN CATALOGAR"),"ÁREA DE PROCESO")</f>
        <v>SE-25</v>
      </c>
      <c r="S1621" s="34" t="str">
        <f aca="false">IF(H1621="","SIN DATO",IFERROR(INDEX(cat_MarcaN,MATCH(H1621,cat_MarcaO,0)),H1621))</f>
        <v>SIEMENS</v>
      </c>
      <c r="T1621" s="34" t="str">
        <f aca="false">IF(I1621="","SIN DATO",IFERROR(INDEX(cat_ModN,MATCH(I1621,cat_ModO,0)),I1621))</f>
        <v>7SR5420</v>
      </c>
      <c r="U1621" s="34" t="str">
        <f aca="false">IF(I1621="","",IFERROR(INDEX(cat_ModG,MATCH(I1621,cat_ModO,0)),"No"))</f>
        <v>No</v>
      </c>
      <c r="V1621" s="34" t="str">
        <f aca="false">IF(J1621="","SIN DATO",IFERROR(INDEX(cat_FunN,MATCH(J1621,cat_FunO,0)),J1621))</f>
        <v>Protección y medición</v>
      </c>
      <c r="W1621" s="34" t="str">
        <f aca="false">IF(OR(S1621="SIN DATO",T1621="SIN DATO"),"No","Sí")</f>
        <v>Sí</v>
      </c>
    </row>
    <row r="1622" customFormat="false" ht="15" hidden="false" customHeight="false" outlineLevel="0" collapsed="false">
      <c r="A1622" s="34" t="s">
        <v>5912</v>
      </c>
      <c r="B1622" s="34" t="s">
        <v>5913</v>
      </c>
      <c r="C1622" s="34" t="s">
        <v>5914</v>
      </c>
      <c r="D1622" s="34" t="s">
        <v>2187</v>
      </c>
      <c r="E1622" s="34" t="s">
        <v>184</v>
      </c>
      <c r="F1622" s="34" t="s">
        <v>1602</v>
      </c>
      <c r="G1622" s="34" t="s">
        <v>227</v>
      </c>
      <c r="H1622" s="34" t="s">
        <v>73</v>
      </c>
      <c r="I1622" s="34" t="s">
        <v>76</v>
      </c>
      <c r="J1622" s="34" t="s">
        <v>228</v>
      </c>
      <c r="K1622" s="34" t="s">
        <v>229</v>
      </c>
      <c r="L1622" s="34" t="s">
        <v>230</v>
      </c>
      <c r="M1622" s="34" t="s">
        <v>344</v>
      </c>
      <c r="N1622" s="34" t="str">
        <f aca="false">"Sector "&amp;VALUE(MID(D1622,13,2))</f>
        <v>Sector 8</v>
      </c>
      <c r="O1622" s="34" t="str">
        <f aca="false">IF(Dashboard!$C$5="Ubicación técnica",N1622,"Sector "&amp;VALUE(RIGHT(G1622,2)))</f>
        <v>Sector 8</v>
      </c>
      <c r="P1622" s="34" t="str">
        <f aca="false">IF(MID(D1622,15,3)="SEL","Subestación eléctrica","Área de proceso")</f>
        <v>Subestación eléctrica</v>
      </c>
      <c r="Q1622" s="34" t="str">
        <f aca="false">MID(D1622,13,5)&amp;"|"&amp;MID(D1622,19,5)</f>
        <v>08SEL|SEP02</v>
      </c>
      <c r="R1622" s="34" t="str">
        <f aca="false">IF(P1622="Subestación eléctrica",IFERROR(INDEX(cat_SubN,MATCH(Q1622,cat_SubK,0)),"SIN CATALOGAR"),"ÁREA DE PROCESO")</f>
        <v>SEP-02</v>
      </c>
      <c r="S1622" s="34" t="str">
        <f aca="false">IF(H1622="","SIN DATO",IFERROR(INDEX(cat_MarcaN,MATCH(H1622,cat_MarcaO,0)),H1622))</f>
        <v>SIEMENS</v>
      </c>
      <c r="T1622" s="34" t="str">
        <f aca="false">IF(I1622="","SIN DATO",IFERROR(INDEX(cat_ModN,MATCH(I1622,cat_ModO,0)),I1622))</f>
        <v>7SR5111</v>
      </c>
      <c r="U1622" s="34" t="str">
        <f aca="false">IF(I1622="","",IFERROR(INDEX(cat_ModG,MATCH(I1622,cat_ModO,0)),"No"))</f>
        <v>No</v>
      </c>
      <c r="V1622" s="34" t="str">
        <f aca="false">IF(J1622="","SIN DATO",IFERROR(INDEX(cat_FunN,MATCH(J1622,cat_FunO,0)),J1622))</f>
        <v>Protección y medición</v>
      </c>
      <c r="W1622" s="34" t="str">
        <f aca="false">IF(OR(S1622="SIN DATO",T1622="SIN DATO"),"No","Sí")</f>
        <v>Sí</v>
      </c>
    </row>
    <row r="1623" customFormat="false" ht="15" hidden="false" customHeight="false" outlineLevel="0" collapsed="false">
      <c r="A1623" s="34" t="s">
        <v>5915</v>
      </c>
      <c r="B1623" s="34" t="s">
        <v>5916</v>
      </c>
      <c r="C1623" s="34" t="s">
        <v>5917</v>
      </c>
      <c r="D1623" s="34" t="s">
        <v>2194</v>
      </c>
      <c r="E1623" s="34" t="s">
        <v>184</v>
      </c>
      <c r="F1623" s="34" t="s">
        <v>1602</v>
      </c>
      <c r="G1623" s="34" t="s">
        <v>227</v>
      </c>
      <c r="H1623" s="34" t="s">
        <v>73</v>
      </c>
      <c r="I1623" s="34" t="s">
        <v>76</v>
      </c>
      <c r="J1623" s="34" t="s">
        <v>228</v>
      </c>
      <c r="K1623" s="34" t="s">
        <v>229</v>
      </c>
      <c r="L1623" s="34" t="s">
        <v>230</v>
      </c>
      <c r="M1623" s="34" t="s">
        <v>344</v>
      </c>
      <c r="N1623" s="34" t="str">
        <f aca="false">"Sector "&amp;VALUE(MID(D1623,13,2))</f>
        <v>Sector 8</v>
      </c>
      <c r="O1623" s="34" t="str">
        <f aca="false">IF(Dashboard!$C$5="Ubicación técnica",N1623,"Sector "&amp;VALUE(RIGHT(G1623,2)))</f>
        <v>Sector 8</v>
      </c>
      <c r="P1623" s="34" t="str">
        <f aca="false">IF(MID(D1623,15,3)="SEL","Subestación eléctrica","Área de proceso")</f>
        <v>Subestación eléctrica</v>
      </c>
      <c r="Q1623" s="34" t="str">
        <f aca="false">MID(D1623,13,5)&amp;"|"&amp;MID(D1623,19,5)</f>
        <v>08SEL|SEP02</v>
      </c>
      <c r="R1623" s="34" t="str">
        <f aca="false">IF(P1623="Subestación eléctrica",IFERROR(INDEX(cat_SubN,MATCH(Q1623,cat_SubK,0)),"SIN CATALOGAR"),"ÁREA DE PROCESO")</f>
        <v>SEP-02</v>
      </c>
      <c r="S1623" s="34" t="str">
        <f aca="false">IF(H1623="","SIN DATO",IFERROR(INDEX(cat_MarcaN,MATCH(H1623,cat_MarcaO,0)),H1623))</f>
        <v>SIEMENS</v>
      </c>
      <c r="T1623" s="34" t="str">
        <f aca="false">IF(I1623="","SIN DATO",IFERROR(INDEX(cat_ModN,MATCH(I1623,cat_ModO,0)),I1623))</f>
        <v>7SR5111</v>
      </c>
      <c r="U1623" s="34" t="str">
        <f aca="false">IF(I1623="","",IFERROR(INDEX(cat_ModG,MATCH(I1623,cat_ModO,0)),"No"))</f>
        <v>No</v>
      </c>
      <c r="V1623" s="34" t="str">
        <f aca="false">IF(J1623="","SIN DATO",IFERROR(INDEX(cat_FunN,MATCH(J1623,cat_FunO,0)),J1623))</f>
        <v>Protección y medición</v>
      </c>
      <c r="W1623" s="34" t="str">
        <f aca="false">IF(OR(S1623="SIN DATO",T1623="SIN DATO"),"No","Sí")</f>
        <v>Sí</v>
      </c>
    </row>
    <row r="1624" customFormat="false" ht="15" hidden="false" customHeight="false" outlineLevel="0" collapsed="false">
      <c r="A1624" s="34" t="s">
        <v>5918</v>
      </c>
      <c r="B1624" s="34" t="s">
        <v>5919</v>
      </c>
      <c r="C1624" s="34" t="s">
        <v>5920</v>
      </c>
      <c r="D1624" s="34" t="s">
        <v>2187</v>
      </c>
      <c r="E1624" s="34" t="s">
        <v>184</v>
      </c>
      <c r="F1624" s="34" t="s">
        <v>1602</v>
      </c>
      <c r="G1624" s="34" t="s">
        <v>227</v>
      </c>
      <c r="H1624" s="34" t="s">
        <v>73</v>
      </c>
      <c r="I1624" s="34" t="s">
        <v>76</v>
      </c>
      <c r="J1624" s="34" t="s">
        <v>228</v>
      </c>
      <c r="K1624" s="34" t="s">
        <v>229</v>
      </c>
      <c r="L1624" s="34" t="s">
        <v>230</v>
      </c>
      <c r="M1624" s="34" t="s">
        <v>344</v>
      </c>
      <c r="N1624" s="34" t="str">
        <f aca="false">"Sector "&amp;VALUE(MID(D1624,13,2))</f>
        <v>Sector 8</v>
      </c>
      <c r="O1624" s="34" t="str">
        <f aca="false">IF(Dashboard!$C$5="Ubicación técnica",N1624,"Sector "&amp;VALUE(RIGHT(G1624,2)))</f>
        <v>Sector 8</v>
      </c>
      <c r="P1624" s="34" t="str">
        <f aca="false">IF(MID(D1624,15,3)="SEL","Subestación eléctrica","Área de proceso")</f>
        <v>Subestación eléctrica</v>
      </c>
      <c r="Q1624" s="34" t="str">
        <f aca="false">MID(D1624,13,5)&amp;"|"&amp;MID(D1624,19,5)</f>
        <v>08SEL|SEP02</v>
      </c>
      <c r="R1624" s="34" t="str">
        <f aca="false">IF(P1624="Subestación eléctrica",IFERROR(INDEX(cat_SubN,MATCH(Q1624,cat_SubK,0)),"SIN CATALOGAR"),"ÁREA DE PROCESO")</f>
        <v>SEP-02</v>
      </c>
      <c r="S1624" s="34" t="str">
        <f aca="false">IF(H1624="","SIN DATO",IFERROR(INDEX(cat_MarcaN,MATCH(H1624,cat_MarcaO,0)),H1624))</f>
        <v>SIEMENS</v>
      </c>
      <c r="T1624" s="34" t="str">
        <f aca="false">IF(I1624="","SIN DATO",IFERROR(INDEX(cat_ModN,MATCH(I1624,cat_ModO,0)),I1624))</f>
        <v>7SR5111</v>
      </c>
      <c r="U1624" s="34" t="str">
        <f aca="false">IF(I1624="","",IFERROR(INDEX(cat_ModG,MATCH(I1624,cat_ModO,0)),"No"))</f>
        <v>No</v>
      </c>
      <c r="V1624" s="34" t="str">
        <f aca="false">IF(J1624="","SIN DATO",IFERROR(INDEX(cat_FunN,MATCH(J1624,cat_FunO,0)),J1624))</f>
        <v>Protección y medición</v>
      </c>
      <c r="W1624" s="34" t="str">
        <f aca="false">IF(OR(S1624="SIN DATO",T1624="SIN DATO"),"No","Sí")</f>
        <v>Sí</v>
      </c>
    </row>
    <row r="1625" customFormat="false" ht="15" hidden="false" customHeight="false" outlineLevel="0" collapsed="false">
      <c r="A1625" s="34" t="s">
        <v>5921</v>
      </c>
      <c r="B1625" s="34" t="s">
        <v>5922</v>
      </c>
      <c r="C1625" s="34" t="s">
        <v>5923</v>
      </c>
      <c r="D1625" s="34" t="s">
        <v>2194</v>
      </c>
      <c r="E1625" s="34" t="s">
        <v>184</v>
      </c>
      <c r="F1625" s="34" t="s">
        <v>1602</v>
      </c>
      <c r="G1625" s="34" t="s">
        <v>227</v>
      </c>
      <c r="H1625" s="34" t="s">
        <v>73</v>
      </c>
      <c r="I1625" s="34" t="s">
        <v>76</v>
      </c>
      <c r="J1625" s="34" t="s">
        <v>228</v>
      </c>
      <c r="K1625" s="34" t="s">
        <v>229</v>
      </c>
      <c r="L1625" s="34" t="s">
        <v>230</v>
      </c>
      <c r="M1625" s="34" t="s">
        <v>344</v>
      </c>
      <c r="N1625" s="34" t="str">
        <f aca="false">"Sector "&amp;VALUE(MID(D1625,13,2))</f>
        <v>Sector 8</v>
      </c>
      <c r="O1625" s="34" t="str">
        <f aca="false">IF(Dashboard!$C$5="Ubicación técnica",N1625,"Sector "&amp;VALUE(RIGHT(G1625,2)))</f>
        <v>Sector 8</v>
      </c>
      <c r="P1625" s="34" t="str">
        <f aca="false">IF(MID(D1625,15,3)="SEL","Subestación eléctrica","Área de proceso")</f>
        <v>Subestación eléctrica</v>
      </c>
      <c r="Q1625" s="34" t="str">
        <f aca="false">MID(D1625,13,5)&amp;"|"&amp;MID(D1625,19,5)</f>
        <v>08SEL|SEP02</v>
      </c>
      <c r="R1625" s="34" t="str">
        <f aca="false">IF(P1625="Subestación eléctrica",IFERROR(INDEX(cat_SubN,MATCH(Q1625,cat_SubK,0)),"SIN CATALOGAR"),"ÁREA DE PROCESO")</f>
        <v>SEP-02</v>
      </c>
      <c r="S1625" s="34" t="str">
        <f aca="false">IF(H1625="","SIN DATO",IFERROR(INDEX(cat_MarcaN,MATCH(H1625,cat_MarcaO,0)),H1625))</f>
        <v>SIEMENS</v>
      </c>
      <c r="T1625" s="34" t="str">
        <f aca="false">IF(I1625="","SIN DATO",IFERROR(INDEX(cat_ModN,MATCH(I1625,cat_ModO,0)),I1625))</f>
        <v>7SR5111</v>
      </c>
      <c r="U1625" s="34" t="str">
        <f aca="false">IF(I1625="","",IFERROR(INDEX(cat_ModG,MATCH(I1625,cat_ModO,0)),"No"))</f>
        <v>No</v>
      </c>
      <c r="V1625" s="34" t="str">
        <f aca="false">IF(J1625="","SIN DATO",IFERROR(INDEX(cat_FunN,MATCH(J1625,cat_FunO,0)),J1625))</f>
        <v>Protección y medición</v>
      </c>
      <c r="W1625" s="34" t="str">
        <f aca="false">IF(OR(S1625="SIN DATO",T1625="SIN DATO"),"No","Sí")</f>
        <v>Sí</v>
      </c>
    </row>
    <row r="1626" customFormat="false" ht="15" hidden="false" customHeight="false" outlineLevel="0" collapsed="false">
      <c r="A1626" s="34" t="s">
        <v>5924</v>
      </c>
      <c r="B1626" s="34" t="s">
        <v>5925</v>
      </c>
      <c r="C1626" s="34" t="s">
        <v>5926</v>
      </c>
      <c r="D1626" s="34" t="s">
        <v>2187</v>
      </c>
      <c r="E1626" s="34" t="s">
        <v>184</v>
      </c>
      <c r="F1626" s="34" t="s">
        <v>1602</v>
      </c>
      <c r="G1626" s="34" t="s">
        <v>227</v>
      </c>
      <c r="H1626" s="34" t="s">
        <v>73</v>
      </c>
      <c r="I1626" s="34" t="s">
        <v>76</v>
      </c>
      <c r="J1626" s="34" t="s">
        <v>228</v>
      </c>
      <c r="K1626" s="34" t="s">
        <v>229</v>
      </c>
      <c r="L1626" s="34" t="s">
        <v>230</v>
      </c>
      <c r="M1626" s="34" t="s">
        <v>344</v>
      </c>
      <c r="N1626" s="34" t="str">
        <f aca="false">"Sector "&amp;VALUE(MID(D1626,13,2))</f>
        <v>Sector 8</v>
      </c>
      <c r="O1626" s="34" t="str">
        <f aca="false">IF(Dashboard!$C$5="Ubicación técnica",N1626,"Sector "&amp;VALUE(RIGHT(G1626,2)))</f>
        <v>Sector 8</v>
      </c>
      <c r="P1626" s="34" t="str">
        <f aca="false">IF(MID(D1626,15,3)="SEL","Subestación eléctrica","Área de proceso")</f>
        <v>Subestación eléctrica</v>
      </c>
      <c r="Q1626" s="34" t="str">
        <f aca="false">MID(D1626,13,5)&amp;"|"&amp;MID(D1626,19,5)</f>
        <v>08SEL|SEP02</v>
      </c>
      <c r="R1626" s="34" t="str">
        <f aca="false">IF(P1626="Subestación eléctrica",IFERROR(INDEX(cat_SubN,MATCH(Q1626,cat_SubK,0)),"SIN CATALOGAR"),"ÁREA DE PROCESO")</f>
        <v>SEP-02</v>
      </c>
      <c r="S1626" s="34" t="str">
        <f aca="false">IF(H1626="","SIN DATO",IFERROR(INDEX(cat_MarcaN,MATCH(H1626,cat_MarcaO,0)),H1626))</f>
        <v>SIEMENS</v>
      </c>
      <c r="T1626" s="34" t="str">
        <f aca="false">IF(I1626="","SIN DATO",IFERROR(INDEX(cat_ModN,MATCH(I1626,cat_ModO,0)),I1626))</f>
        <v>7SR5111</v>
      </c>
      <c r="U1626" s="34" t="str">
        <f aca="false">IF(I1626="","",IFERROR(INDEX(cat_ModG,MATCH(I1626,cat_ModO,0)),"No"))</f>
        <v>No</v>
      </c>
      <c r="V1626" s="34" t="str">
        <f aca="false">IF(J1626="","SIN DATO",IFERROR(INDEX(cat_FunN,MATCH(J1626,cat_FunO,0)),J1626))</f>
        <v>Protección y medición</v>
      </c>
      <c r="W1626" s="34" t="str">
        <f aca="false">IF(OR(S1626="SIN DATO",T1626="SIN DATO"),"No","Sí")</f>
        <v>Sí</v>
      </c>
    </row>
    <row r="1627" customFormat="false" ht="15" hidden="false" customHeight="false" outlineLevel="0" collapsed="false">
      <c r="A1627" s="34" t="s">
        <v>5927</v>
      </c>
      <c r="B1627" s="34" t="s">
        <v>5928</v>
      </c>
      <c r="C1627" s="34" t="s">
        <v>5929</v>
      </c>
      <c r="D1627" s="34" t="s">
        <v>2194</v>
      </c>
      <c r="E1627" s="34" t="s">
        <v>184</v>
      </c>
      <c r="F1627" s="34" t="s">
        <v>1602</v>
      </c>
      <c r="G1627" s="34" t="s">
        <v>227</v>
      </c>
      <c r="H1627" s="34" t="s">
        <v>73</v>
      </c>
      <c r="I1627" s="34" t="s">
        <v>76</v>
      </c>
      <c r="J1627" s="34" t="s">
        <v>228</v>
      </c>
      <c r="K1627" s="34" t="s">
        <v>229</v>
      </c>
      <c r="L1627" s="34" t="s">
        <v>230</v>
      </c>
      <c r="M1627" s="34" t="s">
        <v>344</v>
      </c>
      <c r="N1627" s="34" t="str">
        <f aca="false">"Sector "&amp;VALUE(MID(D1627,13,2))</f>
        <v>Sector 8</v>
      </c>
      <c r="O1627" s="34" t="str">
        <f aca="false">IF(Dashboard!$C$5="Ubicación técnica",N1627,"Sector "&amp;VALUE(RIGHT(G1627,2)))</f>
        <v>Sector 8</v>
      </c>
      <c r="P1627" s="34" t="str">
        <f aca="false">IF(MID(D1627,15,3)="SEL","Subestación eléctrica","Área de proceso")</f>
        <v>Subestación eléctrica</v>
      </c>
      <c r="Q1627" s="34" t="str">
        <f aca="false">MID(D1627,13,5)&amp;"|"&amp;MID(D1627,19,5)</f>
        <v>08SEL|SEP02</v>
      </c>
      <c r="R1627" s="34" t="str">
        <f aca="false">IF(P1627="Subestación eléctrica",IFERROR(INDEX(cat_SubN,MATCH(Q1627,cat_SubK,0)),"SIN CATALOGAR"),"ÁREA DE PROCESO")</f>
        <v>SEP-02</v>
      </c>
      <c r="S1627" s="34" t="str">
        <f aca="false">IF(H1627="","SIN DATO",IFERROR(INDEX(cat_MarcaN,MATCH(H1627,cat_MarcaO,0)),H1627))</f>
        <v>SIEMENS</v>
      </c>
      <c r="T1627" s="34" t="str">
        <f aca="false">IF(I1627="","SIN DATO",IFERROR(INDEX(cat_ModN,MATCH(I1627,cat_ModO,0)),I1627))</f>
        <v>7SR5111</v>
      </c>
      <c r="U1627" s="34" t="str">
        <f aca="false">IF(I1627="","",IFERROR(INDEX(cat_ModG,MATCH(I1627,cat_ModO,0)),"No"))</f>
        <v>No</v>
      </c>
      <c r="V1627" s="34" t="str">
        <f aca="false">IF(J1627="","SIN DATO",IFERROR(INDEX(cat_FunN,MATCH(J1627,cat_FunO,0)),J1627))</f>
        <v>Protección y medición</v>
      </c>
      <c r="W1627" s="34" t="str">
        <f aca="false">IF(OR(S1627="SIN DATO",T1627="SIN DATO"),"No","Sí")</f>
        <v>Sí</v>
      </c>
    </row>
    <row r="1628" customFormat="false" ht="15" hidden="false" customHeight="false" outlineLevel="0" collapsed="false">
      <c r="A1628" s="34" t="s">
        <v>5930</v>
      </c>
      <c r="B1628" s="34" t="s">
        <v>5931</v>
      </c>
      <c r="C1628" s="34" t="s">
        <v>5932</v>
      </c>
      <c r="D1628" s="34" t="s">
        <v>2187</v>
      </c>
      <c r="E1628" s="34" t="s">
        <v>184</v>
      </c>
      <c r="F1628" s="34" t="s">
        <v>1602</v>
      </c>
      <c r="G1628" s="34" t="s">
        <v>227</v>
      </c>
      <c r="H1628" s="34" t="s">
        <v>73</v>
      </c>
      <c r="I1628" s="34" t="s">
        <v>76</v>
      </c>
      <c r="J1628" s="34" t="s">
        <v>228</v>
      </c>
      <c r="K1628" s="34" t="s">
        <v>229</v>
      </c>
      <c r="L1628" s="34" t="s">
        <v>230</v>
      </c>
      <c r="M1628" s="34" t="s">
        <v>344</v>
      </c>
      <c r="N1628" s="34" t="str">
        <f aca="false">"Sector "&amp;VALUE(MID(D1628,13,2))</f>
        <v>Sector 8</v>
      </c>
      <c r="O1628" s="34" t="str">
        <f aca="false">IF(Dashboard!$C$5="Ubicación técnica",N1628,"Sector "&amp;VALUE(RIGHT(G1628,2)))</f>
        <v>Sector 8</v>
      </c>
      <c r="P1628" s="34" t="str">
        <f aca="false">IF(MID(D1628,15,3)="SEL","Subestación eléctrica","Área de proceso")</f>
        <v>Subestación eléctrica</v>
      </c>
      <c r="Q1628" s="34" t="str">
        <f aca="false">MID(D1628,13,5)&amp;"|"&amp;MID(D1628,19,5)</f>
        <v>08SEL|SEP02</v>
      </c>
      <c r="R1628" s="34" t="str">
        <f aca="false">IF(P1628="Subestación eléctrica",IFERROR(INDEX(cat_SubN,MATCH(Q1628,cat_SubK,0)),"SIN CATALOGAR"),"ÁREA DE PROCESO")</f>
        <v>SEP-02</v>
      </c>
      <c r="S1628" s="34" t="str">
        <f aca="false">IF(H1628="","SIN DATO",IFERROR(INDEX(cat_MarcaN,MATCH(H1628,cat_MarcaO,0)),H1628))</f>
        <v>SIEMENS</v>
      </c>
      <c r="T1628" s="34" t="str">
        <f aca="false">IF(I1628="","SIN DATO",IFERROR(INDEX(cat_ModN,MATCH(I1628,cat_ModO,0)),I1628))</f>
        <v>7SR5111</v>
      </c>
      <c r="U1628" s="34" t="str">
        <f aca="false">IF(I1628="","",IFERROR(INDEX(cat_ModG,MATCH(I1628,cat_ModO,0)),"No"))</f>
        <v>No</v>
      </c>
      <c r="V1628" s="34" t="str">
        <f aca="false">IF(J1628="","SIN DATO",IFERROR(INDEX(cat_FunN,MATCH(J1628,cat_FunO,0)),J1628))</f>
        <v>Protección y medición</v>
      </c>
      <c r="W1628" s="34" t="str">
        <f aca="false">IF(OR(S1628="SIN DATO",T1628="SIN DATO"),"No","Sí")</f>
        <v>Sí</v>
      </c>
    </row>
    <row r="1629" customFormat="false" ht="15" hidden="false" customHeight="false" outlineLevel="0" collapsed="false">
      <c r="A1629" s="34" t="s">
        <v>5933</v>
      </c>
      <c r="B1629" s="34" t="s">
        <v>5934</v>
      </c>
      <c r="C1629" s="34" t="s">
        <v>5935</v>
      </c>
      <c r="D1629" s="34" t="s">
        <v>2194</v>
      </c>
      <c r="E1629" s="34" t="s">
        <v>184</v>
      </c>
      <c r="F1629" s="34" t="s">
        <v>1602</v>
      </c>
      <c r="G1629" s="34" t="s">
        <v>227</v>
      </c>
      <c r="H1629" s="34" t="s">
        <v>73</v>
      </c>
      <c r="I1629" s="34" t="s">
        <v>76</v>
      </c>
      <c r="J1629" s="34" t="s">
        <v>228</v>
      </c>
      <c r="K1629" s="34" t="s">
        <v>229</v>
      </c>
      <c r="L1629" s="34" t="s">
        <v>230</v>
      </c>
      <c r="M1629" s="34" t="s">
        <v>344</v>
      </c>
      <c r="N1629" s="34" t="str">
        <f aca="false">"Sector "&amp;VALUE(MID(D1629,13,2))</f>
        <v>Sector 8</v>
      </c>
      <c r="O1629" s="34" t="str">
        <f aca="false">IF(Dashboard!$C$5="Ubicación técnica",N1629,"Sector "&amp;VALUE(RIGHT(G1629,2)))</f>
        <v>Sector 8</v>
      </c>
      <c r="P1629" s="34" t="str">
        <f aca="false">IF(MID(D1629,15,3)="SEL","Subestación eléctrica","Área de proceso")</f>
        <v>Subestación eléctrica</v>
      </c>
      <c r="Q1629" s="34" t="str">
        <f aca="false">MID(D1629,13,5)&amp;"|"&amp;MID(D1629,19,5)</f>
        <v>08SEL|SEP02</v>
      </c>
      <c r="R1629" s="34" t="str">
        <f aca="false">IF(P1629="Subestación eléctrica",IFERROR(INDEX(cat_SubN,MATCH(Q1629,cat_SubK,0)),"SIN CATALOGAR"),"ÁREA DE PROCESO")</f>
        <v>SEP-02</v>
      </c>
      <c r="S1629" s="34" t="str">
        <f aca="false">IF(H1629="","SIN DATO",IFERROR(INDEX(cat_MarcaN,MATCH(H1629,cat_MarcaO,0)),H1629))</f>
        <v>SIEMENS</v>
      </c>
      <c r="T1629" s="34" t="str">
        <f aca="false">IF(I1629="","SIN DATO",IFERROR(INDEX(cat_ModN,MATCH(I1629,cat_ModO,0)),I1629))</f>
        <v>7SR5111</v>
      </c>
      <c r="U1629" s="34" t="str">
        <f aca="false">IF(I1629="","",IFERROR(INDEX(cat_ModG,MATCH(I1629,cat_ModO,0)),"No"))</f>
        <v>No</v>
      </c>
      <c r="V1629" s="34" t="str">
        <f aca="false">IF(J1629="","SIN DATO",IFERROR(INDEX(cat_FunN,MATCH(J1629,cat_FunO,0)),J1629))</f>
        <v>Protección y medición</v>
      </c>
      <c r="W1629" s="34" t="str">
        <f aca="false">IF(OR(S1629="SIN DATO",T1629="SIN DATO"),"No","Sí")</f>
        <v>Sí</v>
      </c>
    </row>
    <row r="1630" customFormat="false" ht="15" hidden="false" customHeight="false" outlineLevel="0" collapsed="false">
      <c r="A1630" s="34" t="s">
        <v>5936</v>
      </c>
      <c r="B1630" s="34" t="s">
        <v>5937</v>
      </c>
      <c r="C1630" s="34" t="s">
        <v>5938</v>
      </c>
      <c r="D1630" s="34" t="s">
        <v>2288</v>
      </c>
      <c r="E1630" s="34" t="s">
        <v>168</v>
      </c>
      <c r="F1630" s="34" t="s">
        <v>1602</v>
      </c>
      <c r="G1630" s="34" t="s">
        <v>227</v>
      </c>
      <c r="H1630" s="34" t="s">
        <v>73</v>
      </c>
      <c r="I1630" s="34" t="s">
        <v>79</v>
      </c>
      <c r="J1630" s="34" t="s">
        <v>228</v>
      </c>
      <c r="K1630" s="34" t="s">
        <v>229</v>
      </c>
      <c r="L1630" s="34" t="s">
        <v>230</v>
      </c>
      <c r="M1630" s="34" t="s">
        <v>237</v>
      </c>
      <c r="N1630" s="34" t="str">
        <f aca="false">"Sector "&amp;VALUE(MID(D1630,13,2))</f>
        <v>Sector 8</v>
      </c>
      <c r="O1630" s="34" t="str">
        <f aca="false">IF(Dashboard!$C$5="Ubicación técnica",N1630,"Sector "&amp;VALUE(RIGHT(G1630,2)))</f>
        <v>Sector 8</v>
      </c>
      <c r="P1630" s="34" t="str">
        <f aca="false">IF(MID(D1630,15,3)="SEL","Subestación eléctrica","Área de proceso")</f>
        <v>Subestación eléctrica</v>
      </c>
      <c r="Q1630" s="34" t="str">
        <f aca="false">MID(D1630,13,5)&amp;"|"&amp;MID(D1630,19,5)</f>
        <v>08SEL|S_001</v>
      </c>
      <c r="R1630" s="34" t="str">
        <f aca="false">IF(P1630="Subestación eléctrica",IFERROR(INDEX(cat_SubN,MATCH(Q1630,cat_SubK,0)),"SIN CATALOGAR"),"ÁREA DE PROCESO")</f>
        <v>SE-01</v>
      </c>
      <c r="S1630" s="34" t="str">
        <f aca="false">IF(H1630="","SIN DATO",IFERROR(INDEX(cat_MarcaN,MATCH(H1630,cat_MarcaO,0)),H1630))</f>
        <v>SIEMENS</v>
      </c>
      <c r="T1630" s="34" t="str">
        <f aca="false">IF(I1630="","SIN DATO",IFERROR(INDEX(cat_ModN,MATCH(I1630,cat_ModO,0)),I1630))</f>
        <v>7SR5421</v>
      </c>
      <c r="U1630" s="34" t="str">
        <f aca="false">IF(I1630="","",IFERROR(INDEX(cat_ModG,MATCH(I1630,cat_ModO,0)),"No"))</f>
        <v>No</v>
      </c>
      <c r="V1630" s="34" t="str">
        <f aca="false">IF(J1630="","SIN DATO",IFERROR(INDEX(cat_FunN,MATCH(J1630,cat_FunO,0)),J1630))</f>
        <v>Protección y medición</v>
      </c>
      <c r="W1630" s="34" t="str">
        <f aca="false">IF(OR(S1630="SIN DATO",T1630="SIN DATO"),"No","Sí")</f>
        <v>Sí</v>
      </c>
    </row>
    <row r="1631" customFormat="false" ht="15" hidden="false" customHeight="false" outlineLevel="0" collapsed="false">
      <c r="A1631" s="34" t="s">
        <v>5939</v>
      </c>
      <c r="B1631" s="34" t="s">
        <v>5940</v>
      </c>
      <c r="C1631" s="34" t="s">
        <v>5941</v>
      </c>
      <c r="D1631" s="34" t="s">
        <v>2288</v>
      </c>
      <c r="E1631" s="34" t="s">
        <v>168</v>
      </c>
      <c r="F1631" s="34" t="s">
        <v>1602</v>
      </c>
      <c r="G1631" s="34" t="s">
        <v>227</v>
      </c>
      <c r="H1631" s="34" t="s">
        <v>73</v>
      </c>
      <c r="I1631" s="34" t="s">
        <v>79</v>
      </c>
      <c r="J1631" s="34" t="s">
        <v>228</v>
      </c>
      <c r="K1631" s="34" t="s">
        <v>229</v>
      </c>
      <c r="L1631" s="34" t="s">
        <v>230</v>
      </c>
      <c r="M1631" s="34" t="s">
        <v>237</v>
      </c>
      <c r="N1631" s="34" t="str">
        <f aca="false">"Sector "&amp;VALUE(MID(D1631,13,2))</f>
        <v>Sector 8</v>
      </c>
      <c r="O1631" s="34" t="str">
        <f aca="false">IF(Dashboard!$C$5="Ubicación técnica",N1631,"Sector "&amp;VALUE(RIGHT(G1631,2)))</f>
        <v>Sector 8</v>
      </c>
      <c r="P1631" s="34" t="str">
        <f aca="false">IF(MID(D1631,15,3)="SEL","Subestación eléctrica","Área de proceso")</f>
        <v>Subestación eléctrica</v>
      </c>
      <c r="Q1631" s="34" t="str">
        <f aca="false">MID(D1631,13,5)&amp;"|"&amp;MID(D1631,19,5)</f>
        <v>08SEL|S_001</v>
      </c>
      <c r="R1631" s="34" t="str">
        <f aca="false">IF(P1631="Subestación eléctrica",IFERROR(INDEX(cat_SubN,MATCH(Q1631,cat_SubK,0)),"SIN CATALOGAR"),"ÁREA DE PROCESO")</f>
        <v>SE-01</v>
      </c>
      <c r="S1631" s="34" t="str">
        <f aca="false">IF(H1631="","SIN DATO",IFERROR(INDEX(cat_MarcaN,MATCH(H1631,cat_MarcaO,0)),H1631))</f>
        <v>SIEMENS</v>
      </c>
      <c r="T1631" s="34" t="str">
        <f aca="false">IF(I1631="","SIN DATO",IFERROR(INDEX(cat_ModN,MATCH(I1631,cat_ModO,0)),I1631))</f>
        <v>7SR5421</v>
      </c>
      <c r="U1631" s="34" t="str">
        <f aca="false">IF(I1631="","",IFERROR(INDEX(cat_ModG,MATCH(I1631,cat_ModO,0)),"No"))</f>
        <v>No</v>
      </c>
      <c r="V1631" s="34" t="str">
        <f aca="false">IF(J1631="","SIN DATO",IFERROR(INDEX(cat_FunN,MATCH(J1631,cat_FunO,0)),J1631))</f>
        <v>Protección y medición</v>
      </c>
      <c r="W1631" s="34" t="str">
        <f aca="false">IF(OR(S1631="SIN DATO",T1631="SIN DATO"),"No","Sí")</f>
        <v>Sí</v>
      </c>
    </row>
    <row r="1632" customFormat="false" ht="15" hidden="false" customHeight="false" outlineLevel="0" collapsed="false">
      <c r="A1632" s="34" t="s">
        <v>5942</v>
      </c>
      <c r="B1632" s="34" t="s">
        <v>5943</v>
      </c>
      <c r="C1632" s="34" t="s">
        <v>5944</v>
      </c>
      <c r="D1632" s="34" t="s">
        <v>2288</v>
      </c>
      <c r="E1632" s="34" t="s">
        <v>168</v>
      </c>
      <c r="F1632" s="34" t="s">
        <v>1602</v>
      </c>
      <c r="G1632" s="34" t="s">
        <v>227</v>
      </c>
      <c r="H1632" s="34" t="s">
        <v>73</v>
      </c>
      <c r="I1632" s="34" t="s">
        <v>79</v>
      </c>
      <c r="J1632" s="34" t="s">
        <v>228</v>
      </c>
      <c r="K1632" s="34" t="s">
        <v>229</v>
      </c>
      <c r="L1632" s="34" t="s">
        <v>230</v>
      </c>
      <c r="M1632" s="34" t="s">
        <v>237</v>
      </c>
      <c r="N1632" s="34" t="str">
        <f aca="false">"Sector "&amp;VALUE(MID(D1632,13,2))</f>
        <v>Sector 8</v>
      </c>
      <c r="O1632" s="34" t="str">
        <f aca="false">IF(Dashboard!$C$5="Ubicación técnica",N1632,"Sector "&amp;VALUE(RIGHT(G1632,2)))</f>
        <v>Sector 8</v>
      </c>
      <c r="P1632" s="34" t="str">
        <f aca="false">IF(MID(D1632,15,3)="SEL","Subestación eléctrica","Área de proceso")</f>
        <v>Subestación eléctrica</v>
      </c>
      <c r="Q1632" s="34" t="str">
        <f aca="false">MID(D1632,13,5)&amp;"|"&amp;MID(D1632,19,5)</f>
        <v>08SEL|S_001</v>
      </c>
      <c r="R1632" s="34" t="str">
        <f aca="false">IF(P1632="Subestación eléctrica",IFERROR(INDEX(cat_SubN,MATCH(Q1632,cat_SubK,0)),"SIN CATALOGAR"),"ÁREA DE PROCESO")</f>
        <v>SE-01</v>
      </c>
      <c r="S1632" s="34" t="str">
        <f aca="false">IF(H1632="","SIN DATO",IFERROR(INDEX(cat_MarcaN,MATCH(H1632,cat_MarcaO,0)),H1632))</f>
        <v>SIEMENS</v>
      </c>
      <c r="T1632" s="34" t="str">
        <f aca="false">IF(I1632="","SIN DATO",IFERROR(INDEX(cat_ModN,MATCH(I1632,cat_ModO,0)),I1632))</f>
        <v>7SR5421</v>
      </c>
      <c r="U1632" s="34" t="str">
        <f aca="false">IF(I1632="","",IFERROR(INDEX(cat_ModG,MATCH(I1632,cat_ModO,0)),"No"))</f>
        <v>No</v>
      </c>
      <c r="V1632" s="34" t="str">
        <f aca="false">IF(J1632="","SIN DATO",IFERROR(INDEX(cat_FunN,MATCH(J1632,cat_FunO,0)),J1632))</f>
        <v>Protección y medición</v>
      </c>
      <c r="W1632" s="34" t="str">
        <f aca="false">IF(OR(S1632="SIN DATO",T1632="SIN DATO"),"No","Sí")</f>
        <v>Sí</v>
      </c>
    </row>
    <row r="1633" customFormat="false" ht="15" hidden="false" customHeight="false" outlineLevel="0" collapsed="false">
      <c r="A1633" s="34" t="s">
        <v>5945</v>
      </c>
      <c r="B1633" s="34" t="s">
        <v>5946</v>
      </c>
      <c r="C1633" s="34" t="s">
        <v>5947</v>
      </c>
      <c r="D1633" s="34" t="s">
        <v>2288</v>
      </c>
      <c r="E1633" s="34" t="s">
        <v>168</v>
      </c>
      <c r="F1633" s="34" t="s">
        <v>1602</v>
      </c>
      <c r="G1633" s="34" t="s">
        <v>227</v>
      </c>
      <c r="H1633" s="34" t="s">
        <v>73</v>
      </c>
      <c r="I1633" s="34" t="s">
        <v>79</v>
      </c>
      <c r="J1633" s="34" t="s">
        <v>228</v>
      </c>
      <c r="K1633" s="34" t="s">
        <v>229</v>
      </c>
      <c r="L1633" s="34" t="s">
        <v>230</v>
      </c>
      <c r="M1633" s="34" t="s">
        <v>237</v>
      </c>
      <c r="N1633" s="34" t="str">
        <f aca="false">"Sector "&amp;VALUE(MID(D1633,13,2))</f>
        <v>Sector 8</v>
      </c>
      <c r="O1633" s="34" t="str">
        <f aca="false">IF(Dashboard!$C$5="Ubicación técnica",N1633,"Sector "&amp;VALUE(RIGHT(G1633,2)))</f>
        <v>Sector 8</v>
      </c>
      <c r="P1633" s="34" t="str">
        <f aca="false">IF(MID(D1633,15,3)="SEL","Subestación eléctrica","Área de proceso")</f>
        <v>Subestación eléctrica</v>
      </c>
      <c r="Q1633" s="34" t="str">
        <f aca="false">MID(D1633,13,5)&amp;"|"&amp;MID(D1633,19,5)</f>
        <v>08SEL|S_001</v>
      </c>
      <c r="R1633" s="34" t="str">
        <f aca="false">IF(P1633="Subestación eléctrica",IFERROR(INDEX(cat_SubN,MATCH(Q1633,cat_SubK,0)),"SIN CATALOGAR"),"ÁREA DE PROCESO")</f>
        <v>SE-01</v>
      </c>
      <c r="S1633" s="34" t="str">
        <f aca="false">IF(H1633="","SIN DATO",IFERROR(INDEX(cat_MarcaN,MATCH(H1633,cat_MarcaO,0)),H1633))</f>
        <v>SIEMENS</v>
      </c>
      <c r="T1633" s="34" t="str">
        <f aca="false">IF(I1633="","SIN DATO",IFERROR(INDEX(cat_ModN,MATCH(I1633,cat_ModO,0)),I1633))</f>
        <v>7SR5421</v>
      </c>
      <c r="U1633" s="34" t="str">
        <f aca="false">IF(I1633="","",IFERROR(INDEX(cat_ModG,MATCH(I1633,cat_ModO,0)),"No"))</f>
        <v>No</v>
      </c>
      <c r="V1633" s="34" t="str">
        <f aca="false">IF(J1633="","SIN DATO",IFERROR(INDEX(cat_FunN,MATCH(J1633,cat_FunO,0)),J1633))</f>
        <v>Protección y medición</v>
      </c>
      <c r="W1633" s="34" t="str">
        <f aca="false">IF(OR(S1633="SIN DATO",T1633="SIN DATO"),"No","Sí")</f>
        <v>Sí</v>
      </c>
    </row>
    <row r="1634" customFormat="false" ht="15" hidden="false" customHeight="false" outlineLevel="0" collapsed="false">
      <c r="A1634" s="34" t="s">
        <v>5948</v>
      </c>
      <c r="B1634" s="34" t="s">
        <v>5949</v>
      </c>
      <c r="C1634" s="34" t="s">
        <v>5950</v>
      </c>
      <c r="D1634" s="34" t="s">
        <v>5866</v>
      </c>
      <c r="E1634" s="34" t="s">
        <v>168</v>
      </c>
      <c r="F1634" s="34" t="s">
        <v>1602</v>
      </c>
      <c r="G1634" s="34" t="s">
        <v>227</v>
      </c>
      <c r="H1634" s="34" t="s">
        <v>73</v>
      </c>
      <c r="I1634" s="34" t="s">
        <v>79</v>
      </c>
      <c r="J1634" s="34" t="s">
        <v>228</v>
      </c>
      <c r="K1634" s="34" t="s">
        <v>229</v>
      </c>
      <c r="L1634" s="34" t="s">
        <v>230</v>
      </c>
      <c r="M1634" s="34" t="s">
        <v>237</v>
      </c>
      <c r="N1634" s="34" t="str">
        <f aca="false">"Sector "&amp;VALUE(MID(D1634,13,2))</f>
        <v>Sector 8</v>
      </c>
      <c r="O1634" s="34" t="str">
        <f aca="false">IF(Dashboard!$C$5="Ubicación técnica",N1634,"Sector "&amp;VALUE(RIGHT(G1634,2)))</f>
        <v>Sector 8</v>
      </c>
      <c r="P1634" s="34" t="str">
        <f aca="false">IF(MID(D1634,15,3)="SEL","Subestación eléctrica","Área de proceso")</f>
        <v>Subestación eléctrica</v>
      </c>
      <c r="Q1634" s="34" t="str">
        <f aca="false">MID(D1634,13,5)&amp;"|"&amp;MID(D1634,19,5)</f>
        <v>08SEL|S_001</v>
      </c>
      <c r="R1634" s="34" t="str">
        <f aca="false">IF(P1634="Subestación eléctrica",IFERROR(INDEX(cat_SubN,MATCH(Q1634,cat_SubK,0)),"SIN CATALOGAR"),"ÁREA DE PROCESO")</f>
        <v>SE-01</v>
      </c>
      <c r="S1634" s="34" t="str">
        <f aca="false">IF(H1634="","SIN DATO",IFERROR(INDEX(cat_MarcaN,MATCH(H1634,cat_MarcaO,0)),H1634))</f>
        <v>SIEMENS</v>
      </c>
      <c r="T1634" s="34" t="str">
        <f aca="false">IF(I1634="","SIN DATO",IFERROR(INDEX(cat_ModN,MATCH(I1634,cat_ModO,0)),I1634))</f>
        <v>7SR5421</v>
      </c>
      <c r="U1634" s="34" t="str">
        <f aca="false">IF(I1634="","",IFERROR(INDEX(cat_ModG,MATCH(I1634,cat_ModO,0)),"No"))</f>
        <v>No</v>
      </c>
      <c r="V1634" s="34" t="str">
        <f aca="false">IF(J1634="","SIN DATO",IFERROR(INDEX(cat_FunN,MATCH(J1634,cat_FunO,0)),J1634))</f>
        <v>Protección y medición</v>
      </c>
      <c r="W1634" s="34" t="str">
        <f aca="false">IF(OR(S1634="SIN DATO",T1634="SIN DATO"),"No","Sí")</f>
        <v>Sí</v>
      </c>
    </row>
    <row r="1635" customFormat="false" ht="15" hidden="false" customHeight="false" outlineLevel="0" collapsed="false">
      <c r="A1635" s="34" t="s">
        <v>5951</v>
      </c>
      <c r="B1635" s="34" t="s">
        <v>5952</v>
      </c>
      <c r="C1635" s="34" t="s">
        <v>5953</v>
      </c>
      <c r="D1635" s="34" t="s">
        <v>5866</v>
      </c>
      <c r="E1635" s="34" t="s">
        <v>168</v>
      </c>
      <c r="F1635" s="34" t="s">
        <v>1602</v>
      </c>
      <c r="G1635" s="34" t="s">
        <v>227</v>
      </c>
      <c r="H1635" s="34" t="s">
        <v>73</v>
      </c>
      <c r="I1635" s="34" t="s">
        <v>79</v>
      </c>
      <c r="J1635" s="34" t="s">
        <v>228</v>
      </c>
      <c r="K1635" s="34" t="s">
        <v>229</v>
      </c>
      <c r="L1635" s="34" t="s">
        <v>230</v>
      </c>
      <c r="M1635" s="34" t="s">
        <v>237</v>
      </c>
      <c r="N1635" s="34" t="str">
        <f aca="false">"Sector "&amp;VALUE(MID(D1635,13,2))</f>
        <v>Sector 8</v>
      </c>
      <c r="O1635" s="34" t="str">
        <f aca="false">IF(Dashboard!$C$5="Ubicación técnica",N1635,"Sector "&amp;VALUE(RIGHT(G1635,2)))</f>
        <v>Sector 8</v>
      </c>
      <c r="P1635" s="34" t="str">
        <f aca="false">IF(MID(D1635,15,3)="SEL","Subestación eléctrica","Área de proceso")</f>
        <v>Subestación eléctrica</v>
      </c>
      <c r="Q1635" s="34" t="str">
        <f aca="false">MID(D1635,13,5)&amp;"|"&amp;MID(D1635,19,5)</f>
        <v>08SEL|S_001</v>
      </c>
      <c r="R1635" s="34" t="str">
        <f aca="false">IF(P1635="Subestación eléctrica",IFERROR(INDEX(cat_SubN,MATCH(Q1635,cat_SubK,0)),"SIN CATALOGAR"),"ÁREA DE PROCESO")</f>
        <v>SE-01</v>
      </c>
      <c r="S1635" s="34" t="str">
        <f aca="false">IF(H1635="","SIN DATO",IFERROR(INDEX(cat_MarcaN,MATCH(H1635,cat_MarcaO,0)),H1635))</f>
        <v>SIEMENS</v>
      </c>
      <c r="T1635" s="34" t="str">
        <f aca="false">IF(I1635="","SIN DATO",IFERROR(INDEX(cat_ModN,MATCH(I1635,cat_ModO,0)),I1635))</f>
        <v>7SR5421</v>
      </c>
      <c r="U1635" s="34" t="str">
        <f aca="false">IF(I1635="","",IFERROR(INDEX(cat_ModG,MATCH(I1635,cat_ModO,0)),"No"))</f>
        <v>No</v>
      </c>
      <c r="V1635" s="34" t="str">
        <f aca="false">IF(J1635="","SIN DATO",IFERROR(INDEX(cat_FunN,MATCH(J1635,cat_FunO,0)),J1635))</f>
        <v>Protección y medición</v>
      </c>
      <c r="W1635" s="34" t="str">
        <f aca="false">IF(OR(S1635="SIN DATO",T1635="SIN DATO"),"No","Sí")</f>
        <v>Sí</v>
      </c>
    </row>
    <row r="1636" customFormat="false" ht="15" hidden="false" customHeight="false" outlineLevel="0" collapsed="false">
      <c r="A1636" s="34" t="s">
        <v>5954</v>
      </c>
      <c r="B1636" s="34" t="s">
        <v>5955</v>
      </c>
      <c r="C1636" s="34" t="s">
        <v>5956</v>
      </c>
      <c r="D1636" s="34" t="s">
        <v>5866</v>
      </c>
      <c r="E1636" s="34" t="s">
        <v>168</v>
      </c>
      <c r="F1636" s="34" t="s">
        <v>1602</v>
      </c>
      <c r="G1636" s="34" t="s">
        <v>227</v>
      </c>
      <c r="H1636" s="34" t="s">
        <v>73</v>
      </c>
      <c r="I1636" s="34" t="s">
        <v>79</v>
      </c>
      <c r="J1636" s="34" t="s">
        <v>228</v>
      </c>
      <c r="K1636" s="34" t="s">
        <v>229</v>
      </c>
      <c r="L1636" s="34" t="s">
        <v>230</v>
      </c>
      <c r="M1636" s="34" t="s">
        <v>237</v>
      </c>
      <c r="N1636" s="34" t="str">
        <f aca="false">"Sector "&amp;VALUE(MID(D1636,13,2))</f>
        <v>Sector 8</v>
      </c>
      <c r="O1636" s="34" t="str">
        <f aca="false">IF(Dashboard!$C$5="Ubicación técnica",N1636,"Sector "&amp;VALUE(RIGHT(G1636,2)))</f>
        <v>Sector 8</v>
      </c>
      <c r="P1636" s="34" t="str">
        <f aca="false">IF(MID(D1636,15,3)="SEL","Subestación eléctrica","Área de proceso")</f>
        <v>Subestación eléctrica</v>
      </c>
      <c r="Q1636" s="34" t="str">
        <f aca="false">MID(D1636,13,5)&amp;"|"&amp;MID(D1636,19,5)</f>
        <v>08SEL|S_001</v>
      </c>
      <c r="R1636" s="34" t="str">
        <f aca="false">IF(P1636="Subestación eléctrica",IFERROR(INDEX(cat_SubN,MATCH(Q1636,cat_SubK,0)),"SIN CATALOGAR"),"ÁREA DE PROCESO")</f>
        <v>SE-01</v>
      </c>
      <c r="S1636" s="34" t="str">
        <f aca="false">IF(H1636="","SIN DATO",IFERROR(INDEX(cat_MarcaN,MATCH(H1636,cat_MarcaO,0)),H1636))</f>
        <v>SIEMENS</v>
      </c>
      <c r="T1636" s="34" t="str">
        <f aca="false">IF(I1636="","SIN DATO",IFERROR(INDEX(cat_ModN,MATCH(I1636,cat_ModO,0)),I1636))</f>
        <v>7SR5421</v>
      </c>
      <c r="U1636" s="34" t="str">
        <f aca="false">IF(I1636="","",IFERROR(INDEX(cat_ModG,MATCH(I1636,cat_ModO,0)),"No"))</f>
        <v>No</v>
      </c>
      <c r="V1636" s="34" t="str">
        <f aca="false">IF(J1636="","SIN DATO",IFERROR(INDEX(cat_FunN,MATCH(J1636,cat_FunO,0)),J1636))</f>
        <v>Protección y medición</v>
      </c>
      <c r="W1636" s="34" t="str">
        <f aca="false">IF(OR(S1636="SIN DATO",T1636="SIN DATO"),"No","Sí")</f>
        <v>Sí</v>
      </c>
    </row>
    <row r="1637" customFormat="false" ht="15" hidden="false" customHeight="false" outlineLevel="0" collapsed="false">
      <c r="A1637" s="34" t="s">
        <v>5957</v>
      </c>
      <c r="B1637" s="34" t="s">
        <v>5958</v>
      </c>
      <c r="C1637" s="34" t="s">
        <v>5959</v>
      </c>
      <c r="D1637" s="34" t="s">
        <v>5866</v>
      </c>
      <c r="E1637" s="34" t="s">
        <v>168</v>
      </c>
      <c r="F1637" s="34" t="s">
        <v>1602</v>
      </c>
      <c r="G1637" s="34" t="s">
        <v>227</v>
      </c>
      <c r="H1637" s="34" t="s">
        <v>73</v>
      </c>
      <c r="I1637" s="34" t="s">
        <v>79</v>
      </c>
      <c r="J1637" s="34" t="s">
        <v>228</v>
      </c>
      <c r="K1637" s="34" t="s">
        <v>229</v>
      </c>
      <c r="L1637" s="34" t="s">
        <v>230</v>
      </c>
      <c r="M1637" s="34" t="s">
        <v>237</v>
      </c>
      <c r="N1637" s="34" t="str">
        <f aca="false">"Sector "&amp;VALUE(MID(D1637,13,2))</f>
        <v>Sector 8</v>
      </c>
      <c r="O1637" s="34" t="str">
        <f aca="false">IF(Dashboard!$C$5="Ubicación técnica",N1637,"Sector "&amp;VALUE(RIGHT(G1637,2)))</f>
        <v>Sector 8</v>
      </c>
      <c r="P1637" s="34" t="str">
        <f aca="false">IF(MID(D1637,15,3)="SEL","Subestación eléctrica","Área de proceso")</f>
        <v>Subestación eléctrica</v>
      </c>
      <c r="Q1637" s="34" t="str">
        <f aca="false">MID(D1637,13,5)&amp;"|"&amp;MID(D1637,19,5)</f>
        <v>08SEL|S_001</v>
      </c>
      <c r="R1637" s="34" t="str">
        <f aca="false">IF(P1637="Subestación eléctrica",IFERROR(INDEX(cat_SubN,MATCH(Q1637,cat_SubK,0)),"SIN CATALOGAR"),"ÁREA DE PROCESO")</f>
        <v>SE-01</v>
      </c>
      <c r="S1637" s="34" t="str">
        <f aca="false">IF(H1637="","SIN DATO",IFERROR(INDEX(cat_MarcaN,MATCH(H1637,cat_MarcaO,0)),H1637))</f>
        <v>SIEMENS</v>
      </c>
      <c r="T1637" s="34" t="str">
        <f aca="false">IF(I1637="","SIN DATO",IFERROR(INDEX(cat_ModN,MATCH(I1637,cat_ModO,0)),I1637))</f>
        <v>7SR5421</v>
      </c>
      <c r="U1637" s="34" t="str">
        <f aca="false">IF(I1637="","",IFERROR(INDEX(cat_ModG,MATCH(I1637,cat_ModO,0)),"No"))</f>
        <v>No</v>
      </c>
      <c r="V1637" s="34" t="str">
        <f aca="false">IF(J1637="","SIN DATO",IFERROR(INDEX(cat_FunN,MATCH(J1637,cat_FunO,0)),J1637))</f>
        <v>Protección y medición</v>
      </c>
      <c r="W1637" s="34" t="str">
        <f aca="false">IF(OR(S1637="SIN DATO",T1637="SIN DATO"),"No","Sí")</f>
        <v>Sí</v>
      </c>
    </row>
    <row r="1638" customFormat="false" ht="15" hidden="false" customHeight="false" outlineLevel="0" collapsed="false">
      <c r="A1638" s="34" t="s">
        <v>5960</v>
      </c>
      <c r="B1638" s="34" t="s">
        <v>5961</v>
      </c>
      <c r="C1638" s="34" t="s">
        <v>5962</v>
      </c>
      <c r="D1638" s="34" t="s">
        <v>5963</v>
      </c>
      <c r="E1638" s="34" t="s">
        <v>132</v>
      </c>
      <c r="F1638" s="34" t="s">
        <v>1602</v>
      </c>
      <c r="G1638" s="34" t="s">
        <v>2983</v>
      </c>
      <c r="H1638" s="34" t="s">
        <v>55</v>
      </c>
      <c r="I1638" s="34" t="s">
        <v>55</v>
      </c>
      <c r="J1638" s="34" t="s">
        <v>228</v>
      </c>
      <c r="K1638" s="34" t="s">
        <v>229</v>
      </c>
      <c r="L1638" s="34" t="s">
        <v>230</v>
      </c>
      <c r="M1638" s="34" t="s">
        <v>4510</v>
      </c>
      <c r="N1638" s="34" t="str">
        <f aca="false">"Sector "&amp;VALUE(MID(D1638,13,2))</f>
        <v>Sector 5</v>
      </c>
      <c r="O1638" s="34" t="str">
        <f aca="false">IF(Dashboard!$C$5="Ubicación técnica",N1638,"Sector "&amp;VALUE(RIGHT(G1638,2)))</f>
        <v>Sector 5</v>
      </c>
      <c r="P1638" s="34" t="str">
        <f aca="false">IF(MID(D1638,15,3)="SEL","Subestación eléctrica","Área de proceso")</f>
        <v>Subestación eléctrica</v>
      </c>
      <c r="Q1638" s="34" t="str">
        <f aca="false">MID(D1638,13,5)&amp;"|"&amp;MID(D1638,19,5)</f>
        <v>05SEL|S_005</v>
      </c>
      <c r="R1638" s="34" t="str">
        <f aca="false">IF(P1638="Subestación eléctrica",IFERROR(INDEX(cat_SubN,MATCH(Q1638,cat_SubK,0)),"SIN CATALOGAR"),"ÁREA DE PROCESO")</f>
        <v>SE-05</v>
      </c>
      <c r="S1638" s="34" t="str">
        <f aca="false">IF(H1638="","SIN DATO",IFERROR(INDEX(cat_MarcaN,MATCH(H1638,cat_MarcaO,0)),H1638))</f>
        <v>SEL</v>
      </c>
      <c r="T1638" s="34" t="str">
        <f aca="false">IF(I1638="","SIN DATO",IFERROR(INDEX(cat_ModN,MATCH(I1638,cat_ModO,0)),I1638))</f>
        <v>SEL</v>
      </c>
      <c r="U1638" s="34" t="str">
        <f aca="false">IF(I1638="","",IFERROR(INDEX(cat_ModG,MATCH(I1638,cat_ModO,0)),"No"))</f>
        <v>Sí</v>
      </c>
      <c r="V1638" s="34" t="str">
        <f aca="false">IF(J1638="","SIN DATO",IFERROR(INDEX(cat_FunN,MATCH(J1638,cat_FunO,0)),J1638))</f>
        <v>Protección y medición</v>
      </c>
      <c r="W1638" s="34" t="str">
        <f aca="false">IF(OR(S1638="SIN DATO",T1638="SIN DATO"),"No","Sí")</f>
        <v>Sí</v>
      </c>
    </row>
    <row r="1639" customFormat="false" ht="15" hidden="false" customHeight="false" outlineLevel="0" collapsed="false">
      <c r="A1639" s="34" t="s">
        <v>5964</v>
      </c>
      <c r="B1639" s="34" t="s">
        <v>5965</v>
      </c>
      <c r="C1639" s="34" t="s">
        <v>5966</v>
      </c>
      <c r="D1639" s="34" t="s">
        <v>5967</v>
      </c>
      <c r="E1639" s="34" t="s">
        <v>122</v>
      </c>
      <c r="F1639" s="34" t="s">
        <v>1602</v>
      </c>
      <c r="G1639" s="34" t="s">
        <v>1184</v>
      </c>
      <c r="H1639" s="34" t="s">
        <v>55</v>
      </c>
      <c r="I1639" s="34" t="s">
        <v>55</v>
      </c>
      <c r="J1639" s="34" t="s">
        <v>58</v>
      </c>
      <c r="K1639" s="34" t="s">
        <v>229</v>
      </c>
      <c r="L1639" s="34" t="s">
        <v>230</v>
      </c>
      <c r="M1639" s="34" t="s">
        <v>344</v>
      </c>
      <c r="N1639" s="34" t="str">
        <f aca="false">"Sector "&amp;VALUE(MID(D1639,13,2))</f>
        <v>Sector 4</v>
      </c>
      <c r="O1639" s="34" t="str">
        <f aca="false">IF(Dashboard!$C$5="Ubicación técnica",N1639,"Sector "&amp;VALUE(RIGHT(G1639,2)))</f>
        <v>Sector 4</v>
      </c>
      <c r="P1639" s="34" t="str">
        <f aca="false">IF(MID(D1639,15,3)="SEL","Subestación eléctrica","Área de proceso")</f>
        <v>Subestación eléctrica</v>
      </c>
      <c r="Q1639" s="34" t="str">
        <f aca="false">MID(D1639,13,5)&amp;"|"&amp;MID(D1639,19,5)</f>
        <v>04SEL|S_024</v>
      </c>
      <c r="R1639" s="34" t="str">
        <f aca="false">IF(P1639="Subestación eléctrica",IFERROR(INDEX(cat_SubN,MATCH(Q1639,cat_SubK,0)),"SIN CATALOGAR"),"ÁREA DE PROCESO")</f>
        <v>SE-24</v>
      </c>
      <c r="S1639" s="34" t="str">
        <f aca="false">IF(H1639="","SIN DATO",IFERROR(INDEX(cat_MarcaN,MATCH(H1639,cat_MarcaO,0)),H1639))</f>
        <v>SEL</v>
      </c>
      <c r="T1639" s="34" t="str">
        <f aca="false">IF(I1639="","SIN DATO",IFERROR(INDEX(cat_ModN,MATCH(I1639,cat_ModO,0)),I1639))</f>
        <v>SEL</v>
      </c>
      <c r="U1639" s="34" t="str">
        <f aca="false">IF(I1639="","",IFERROR(INDEX(cat_ModG,MATCH(I1639,cat_ModO,0)),"No"))</f>
        <v>Sí</v>
      </c>
      <c r="V1639" s="34" t="str">
        <f aca="false">IF(J1639="","SIN DATO",IFERROR(INDEX(cat_FunN,MATCH(J1639,cat_FunO,0)),J1639))</f>
        <v>Medición</v>
      </c>
      <c r="W1639" s="34" t="str">
        <f aca="false">IF(OR(S1639="SIN DATO",T1639="SIN DATO"),"No","Sí")</f>
        <v>Sí</v>
      </c>
    </row>
    <row r="1640" customFormat="false" ht="15" hidden="false" customHeight="false" outlineLevel="0" collapsed="false">
      <c r="A1640" s="34" t="s">
        <v>5968</v>
      </c>
      <c r="B1640" s="34" t="s">
        <v>5969</v>
      </c>
      <c r="C1640" s="34" t="s">
        <v>5970</v>
      </c>
      <c r="D1640" s="34" t="s">
        <v>5971</v>
      </c>
      <c r="E1640" s="34" t="s">
        <v>122</v>
      </c>
      <c r="F1640" s="34" t="s">
        <v>1602</v>
      </c>
      <c r="G1640" s="34" t="s">
        <v>1184</v>
      </c>
      <c r="H1640" s="34" t="s">
        <v>55</v>
      </c>
      <c r="I1640" s="34" t="s">
        <v>55</v>
      </c>
      <c r="J1640" s="34" t="s">
        <v>58</v>
      </c>
      <c r="K1640" s="34" t="s">
        <v>229</v>
      </c>
      <c r="L1640" s="34" t="s">
        <v>230</v>
      </c>
      <c r="M1640" s="34" t="s">
        <v>344</v>
      </c>
      <c r="N1640" s="34" t="str">
        <f aca="false">"Sector "&amp;VALUE(MID(D1640,13,2))</f>
        <v>Sector 4</v>
      </c>
      <c r="O1640" s="34" t="str">
        <f aca="false">IF(Dashboard!$C$5="Ubicación técnica",N1640,"Sector "&amp;VALUE(RIGHT(G1640,2)))</f>
        <v>Sector 4</v>
      </c>
      <c r="P1640" s="34" t="str">
        <f aca="false">IF(MID(D1640,15,3)="SEL","Subestación eléctrica","Área de proceso")</f>
        <v>Subestación eléctrica</v>
      </c>
      <c r="Q1640" s="34" t="str">
        <f aca="false">MID(D1640,13,5)&amp;"|"&amp;MID(D1640,19,5)</f>
        <v>04SEL|S_024</v>
      </c>
      <c r="R1640" s="34" t="str">
        <f aca="false">IF(P1640="Subestación eléctrica",IFERROR(INDEX(cat_SubN,MATCH(Q1640,cat_SubK,0)),"SIN CATALOGAR"),"ÁREA DE PROCESO")</f>
        <v>SE-24</v>
      </c>
      <c r="S1640" s="34" t="str">
        <f aca="false">IF(H1640="","SIN DATO",IFERROR(INDEX(cat_MarcaN,MATCH(H1640,cat_MarcaO,0)),H1640))</f>
        <v>SEL</v>
      </c>
      <c r="T1640" s="34" t="str">
        <f aca="false">IF(I1640="","SIN DATO",IFERROR(INDEX(cat_ModN,MATCH(I1640,cat_ModO,0)),I1640))</f>
        <v>SEL</v>
      </c>
      <c r="U1640" s="34" t="str">
        <f aca="false">IF(I1640="","",IFERROR(INDEX(cat_ModG,MATCH(I1640,cat_ModO,0)),"No"))</f>
        <v>Sí</v>
      </c>
      <c r="V1640" s="34" t="str">
        <f aca="false">IF(J1640="","SIN DATO",IFERROR(INDEX(cat_FunN,MATCH(J1640,cat_FunO,0)),J1640))</f>
        <v>Medición</v>
      </c>
      <c r="W1640" s="34" t="str">
        <f aca="false">IF(OR(S1640="SIN DATO",T1640="SIN DATO"),"No","Sí")</f>
        <v>Sí</v>
      </c>
    </row>
    <row r="1641" customFormat="false" ht="15" hidden="false" customHeight="false" outlineLevel="0" collapsed="false">
      <c r="A1641" s="34" t="s">
        <v>5972</v>
      </c>
      <c r="B1641" s="34" t="s">
        <v>5973</v>
      </c>
      <c r="C1641" s="34" t="s">
        <v>5974</v>
      </c>
      <c r="D1641" s="34" t="s">
        <v>5975</v>
      </c>
      <c r="E1641" s="34" t="s">
        <v>122</v>
      </c>
      <c r="F1641" s="34" t="s">
        <v>1602</v>
      </c>
      <c r="G1641" s="34" t="s">
        <v>1184</v>
      </c>
      <c r="H1641" s="34" t="s">
        <v>55</v>
      </c>
      <c r="I1641" s="34" t="s">
        <v>55</v>
      </c>
      <c r="J1641" s="34" t="s">
        <v>58</v>
      </c>
      <c r="K1641" s="34" t="s">
        <v>229</v>
      </c>
      <c r="L1641" s="34" t="s">
        <v>230</v>
      </c>
      <c r="M1641" s="34" t="s">
        <v>344</v>
      </c>
      <c r="N1641" s="34" t="str">
        <f aca="false">"Sector "&amp;VALUE(MID(D1641,13,2))</f>
        <v>Sector 4</v>
      </c>
      <c r="O1641" s="34" t="str">
        <f aca="false">IF(Dashboard!$C$5="Ubicación técnica",N1641,"Sector "&amp;VALUE(RIGHT(G1641,2)))</f>
        <v>Sector 4</v>
      </c>
      <c r="P1641" s="34" t="str">
        <f aca="false">IF(MID(D1641,15,3)="SEL","Subestación eléctrica","Área de proceso")</f>
        <v>Subestación eléctrica</v>
      </c>
      <c r="Q1641" s="34" t="str">
        <f aca="false">MID(D1641,13,5)&amp;"|"&amp;MID(D1641,19,5)</f>
        <v>04SEL|S_024</v>
      </c>
      <c r="R1641" s="34" t="str">
        <f aca="false">IF(P1641="Subestación eléctrica",IFERROR(INDEX(cat_SubN,MATCH(Q1641,cat_SubK,0)),"SIN CATALOGAR"),"ÁREA DE PROCESO")</f>
        <v>SE-24</v>
      </c>
      <c r="S1641" s="34" t="str">
        <f aca="false">IF(H1641="","SIN DATO",IFERROR(INDEX(cat_MarcaN,MATCH(H1641,cat_MarcaO,0)),H1641))</f>
        <v>SEL</v>
      </c>
      <c r="T1641" s="34" t="str">
        <f aca="false">IF(I1641="","SIN DATO",IFERROR(INDEX(cat_ModN,MATCH(I1641,cat_ModO,0)),I1641))</f>
        <v>SEL</v>
      </c>
      <c r="U1641" s="34" t="str">
        <f aca="false">IF(I1641="","",IFERROR(INDEX(cat_ModG,MATCH(I1641,cat_ModO,0)),"No"))</f>
        <v>Sí</v>
      </c>
      <c r="V1641" s="34" t="str">
        <f aca="false">IF(J1641="","SIN DATO",IFERROR(INDEX(cat_FunN,MATCH(J1641,cat_FunO,0)),J1641))</f>
        <v>Medición</v>
      </c>
      <c r="W1641" s="34" t="str">
        <f aca="false">IF(OR(S1641="SIN DATO",T1641="SIN DATO"),"No","Sí")</f>
        <v>Sí</v>
      </c>
    </row>
    <row r="1642" customFormat="false" ht="15" hidden="false" customHeight="false" outlineLevel="0" collapsed="false">
      <c r="A1642" s="34" t="s">
        <v>5976</v>
      </c>
      <c r="B1642" s="34" t="s">
        <v>5977</v>
      </c>
      <c r="C1642" s="34" t="s">
        <v>5978</v>
      </c>
      <c r="D1642" s="34" t="s">
        <v>5979</v>
      </c>
      <c r="E1642" s="34" t="s">
        <v>122</v>
      </c>
      <c r="F1642" s="34" t="s">
        <v>1602</v>
      </c>
      <c r="G1642" s="34" t="s">
        <v>1184</v>
      </c>
      <c r="H1642" s="34" t="s">
        <v>55</v>
      </c>
      <c r="I1642" s="34" t="s">
        <v>55</v>
      </c>
      <c r="J1642" s="34" t="s">
        <v>58</v>
      </c>
      <c r="K1642" s="34" t="s">
        <v>229</v>
      </c>
      <c r="L1642" s="34" t="s">
        <v>230</v>
      </c>
      <c r="M1642" s="34" t="s">
        <v>344</v>
      </c>
      <c r="N1642" s="34" t="str">
        <f aca="false">"Sector "&amp;VALUE(MID(D1642,13,2))</f>
        <v>Sector 4</v>
      </c>
      <c r="O1642" s="34" t="str">
        <f aca="false">IF(Dashboard!$C$5="Ubicación técnica",N1642,"Sector "&amp;VALUE(RIGHT(G1642,2)))</f>
        <v>Sector 4</v>
      </c>
      <c r="P1642" s="34" t="str">
        <f aca="false">IF(MID(D1642,15,3)="SEL","Subestación eléctrica","Área de proceso")</f>
        <v>Subestación eléctrica</v>
      </c>
      <c r="Q1642" s="34" t="str">
        <f aca="false">MID(D1642,13,5)&amp;"|"&amp;MID(D1642,19,5)</f>
        <v>04SEL|S_024</v>
      </c>
      <c r="R1642" s="34" t="str">
        <f aca="false">IF(P1642="Subestación eléctrica",IFERROR(INDEX(cat_SubN,MATCH(Q1642,cat_SubK,0)),"SIN CATALOGAR"),"ÁREA DE PROCESO")</f>
        <v>SE-24</v>
      </c>
      <c r="S1642" s="34" t="str">
        <f aca="false">IF(H1642="","SIN DATO",IFERROR(INDEX(cat_MarcaN,MATCH(H1642,cat_MarcaO,0)),H1642))</f>
        <v>SEL</v>
      </c>
      <c r="T1642" s="34" t="str">
        <f aca="false">IF(I1642="","SIN DATO",IFERROR(INDEX(cat_ModN,MATCH(I1642,cat_ModO,0)),I1642))</f>
        <v>SEL</v>
      </c>
      <c r="U1642" s="34" t="str">
        <f aca="false">IF(I1642="","",IFERROR(INDEX(cat_ModG,MATCH(I1642,cat_ModO,0)),"No"))</f>
        <v>Sí</v>
      </c>
      <c r="V1642" s="34" t="str">
        <f aca="false">IF(J1642="","SIN DATO",IFERROR(INDEX(cat_FunN,MATCH(J1642,cat_FunO,0)),J1642))</f>
        <v>Medición</v>
      </c>
      <c r="W1642" s="34" t="str">
        <f aca="false">IF(OR(S1642="SIN DATO",T1642="SIN DATO"),"No","Sí")</f>
        <v>Sí</v>
      </c>
    </row>
    <row r="1643" customFormat="false" ht="15" hidden="false" customHeight="false" outlineLevel="0" collapsed="false">
      <c r="A1643" s="34" t="s">
        <v>5980</v>
      </c>
      <c r="B1643" s="34" t="s">
        <v>5981</v>
      </c>
      <c r="C1643" s="34" t="s">
        <v>5982</v>
      </c>
      <c r="D1643" s="34" t="s">
        <v>5983</v>
      </c>
      <c r="E1643" s="34" t="s">
        <v>122</v>
      </c>
      <c r="F1643" s="34" t="s">
        <v>1602</v>
      </c>
      <c r="G1643" s="34" t="s">
        <v>1184</v>
      </c>
      <c r="H1643" s="34" t="s">
        <v>55</v>
      </c>
      <c r="I1643" s="34" t="s">
        <v>55</v>
      </c>
      <c r="J1643" s="34" t="s">
        <v>58</v>
      </c>
      <c r="K1643" s="34" t="s">
        <v>229</v>
      </c>
      <c r="L1643" s="34" t="s">
        <v>230</v>
      </c>
      <c r="M1643" s="34" t="s">
        <v>344</v>
      </c>
      <c r="N1643" s="34" t="str">
        <f aca="false">"Sector "&amp;VALUE(MID(D1643,13,2))</f>
        <v>Sector 4</v>
      </c>
      <c r="O1643" s="34" t="str">
        <f aca="false">IF(Dashboard!$C$5="Ubicación técnica",N1643,"Sector "&amp;VALUE(RIGHT(G1643,2)))</f>
        <v>Sector 4</v>
      </c>
      <c r="P1643" s="34" t="str">
        <f aca="false">IF(MID(D1643,15,3)="SEL","Subestación eléctrica","Área de proceso")</f>
        <v>Subestación eléctrica</v>
      </c>
      <c r="Q1643" s="34" t="str">
        <f aca="false">MID(D1643,13,5)&amp;"|"&amp;MID(D1643,19,5)</f>
        <v>04SEL|S_024</v>
      </c>
      <c r="R1643" s="34" t="str">
        <f aca="false">IF(P1643="Subestación eléctrica",IFERROR(INDEX(cat_SubN,MATCH(Q1643,cat_SubK,0)),"SIN CATALOGAR"),"ÁREA DE PROCESO")</f>
        <v>SE-24</v>
      </c>
      <c r="S1643" s="34" t="str">
        <f aca="false">IF(H1643="","SIN DATO",IFERROR(INDEX(cat_MarcaN,MATCH(H1643,cat_MarcaO,0)),H1643))</f>
        <v>SEL</v>
      </c>
      <c r="T1643" s="34" t="str">
        <f aca="false">IF(I1643="","SIN DATO",IFERROR(INDEX(cat_ModN,MATCH(I1643,cat_ModO,0)),I1643))</f>
        <v>SEL</v>
      </c>
      <c r="U1643" s="34" t="str">
        <f aca="false">IF(I1643="","",IFERROR(INDEX(cat_ModG,MATCH(I1643,cat_ModO,0)),"No"))</f>
        <v>Sí</v>
      </c>
      <c r="V1643" s="34" t="str">
        <f aca="false">IF(J1643="","SIN DATO",IFERROR(INDEX(cat_FunN,MATCH(J1643,cat_FunO,0)),J1643))</f>
        <v>Medición</v>
      </c>
      <c r="W1643" s="34" t="str">
        <f aca="false">IF(OR(S1643="SIN DATO",T1643="SIN DATO"),"No","Sí")</f>
        <v>Sí</v>
      </c>
    </row>
    <row r="1644" customFormat="false" ht="15" hidden="false" customHeight="false" outlineLevel="0" collapsed="false">
      <c r="A1644" s="34" t="s">
        <v>5984</v>
      </c>
      <c r="B1644" s="34" t="s">
        <v>5985</v>
      </c>
      <c r="C1644" s="34" t="s">
        <v>5986</v>
      </c>
      <c r="D1644" s="34" t="s">
        <v>5987</v>
      </c>
      <c r="E1644" s="34" t="s">
        <v>122</v>
      </c>
      <c r="F1644" s="34" t="s">
        <v>1602</v>
      </c>
      <c r="G1644" s="34" t="s">
        <v>1184</v>
      </c>
      <c r="H1644" s="34" t="s">
        <v>55</v>
      </c>
      <c r="I1644" s="34" t="s">
        <v>55</v>
      </c>
      <c r="J1644" s="34" t="s">
        <v>58</v>
      </c>
      <c r="K1644" s="34" t="s">
        <v>229</v>
      </c>
      <c r="L1644" s="34" t="s">
        <v>230</v>
      </c>
      <c r="M1644" s="34" t="s">
        <v>344</v>
      </c>
      <c r="N1644" s="34" t="str">
        <f aca="false">"Sector "&amp;VALUE(MID(D1644,13,2))</f>
        <v>Sector 4</v>
      </c>
      <c r="O1644" s="34" t="str">
        <f aca="false">IF(Dashboard!$C$5="Ubicación técnica",N1644,"Sector "&amp;VALUE(RIGHT(G1644,2)))</f>
        <v>Sector 4</v>
      </c>
      <c r="P1644" s="34" t="str">
        <f aca="false">IF(MID(D1644,15,3)="SEL","Subestación eléctrica","Área de proceso")</f>
        <v>Subestación eléctrica</v>
      </c>
      <c r="Q1644" s="34" t="str">
        <f aca="false">MID(D1644,13,5)&amp;"|"&amp;MID(D1644,19,5)</f>
        <v>04SEL|S_024</v>
      </c>
      <c r="R1644" s="34" t="str">
        <f aca="false">IF(P1644="Subestación eléctrica",IFERROR(INDEX(cat_SubN,MATCH(Q1644,cat_SubK,0)),"SIN CATALOGAR"),"ÁREA DE PROCESO")</f>
        <v>SE-24</v>
      </c>
      <c r="S1644" s="34" t="str">
        <f aca="false">IF(H1644="","SIN DATO",IFERROR(INDEX(cat_MarcaN,MATCH(H1644,cat_MarcaO,0)),H1644))</f>
        <v>SEL</v>
      </c>
      <c r="T1644" s="34" t="str">
        <f aca="false">IF(I1644="","SIN DATO",IFERROR(INDEX(cat_ModN,MATCH(I1644,cat_ModO,0)),I1644))</f>
        <v>SEL</v>
      </c>
      <c r="U1644" s="34" t="str">
        <f aca="false">IF(I1644="","",IFERROR(INDEX(cat_ModG,MATCH(I1644,cat_ModO,0)),"No"))</f>
        <v>Sí</v>
      </c>
      <c r="V1644" s="34" t="str">
        <f aca="false">IF(J1644="","SIN DATO",IFERROR(INDEX(cat_FunN,MATCH(J1644,cat_FunO,0)),J1644))</f>
        <v>Medición</v>
      </c>
      <c r="W1644" s="34" t="str">
        <f aca="false">IF(OR(S1644="SIN DATO",T1644="SIN DATO"),"No","Sí")</f>
        <v>Sí</v>
      </c>
    </row>
    <row r="1645" customFormat="false" ht="15" hidden="false" customHeight="false" outlineLevel="0" collapsed="false">
      <c r="A1645" s="34" t="s">
        <v>5988</v>
      </c>
      <c r="B1645" s="34" t="s">
        <v>5989</v>
      </c>
      <c r="C1645" s="34" t="s">
        <v>5990</v>
      </c>
      <c r="D1645" s="34" t="s">
        <v>5991</v>
      </c>
      <c r="E1645" s="34" t="s">
        <v>120</v>
      </c>
      <c r="F1645" s="34" t="s">
        <v>1602</v>
      </c>
      <c r="G1645" s="34" t="s">
        <v>1184</v>
      </c>
      <c r="H1645" s="34" t="s">
        <v>34</v>
      </c>
      <c r="I1645" s="34" t="s">
        <v>52</v>
      </c>
      <c r="J1645" s="34" t="s">
        <v>228</v>
      </c>
      <c r="K1645" s="34" t="s">
        <v>229</v>
      </c>
      <c r="L1645" s="34" t="s">
        <v>230</v>
      </c>
      <c r="M1645" s="34" t="s">
        <v>262</v>
      </c>
      <c r="N1645" s="34" t="str">
        <f aca="false">"Sector "&amp;VALUE(MID(D1645,13,2))</f>
        <v>Sector 4</v>
      </c>
      <c r="O1645" s="34" t="str">
        <f aca="false">IF(Dashboard!$C$5="Ubicación técnica",N1645,"Sector "&amp;VALUE(RIGHT(G1645,2)))</f>
        <v>Sector 4</v>
      </c>
      <c r="P1645" s="34" t="str">
        <f aca="false">IF(MID(D1645,15,3)="SEL","Subestación eléctrica","Área de proceso")</f>
        <v>Subestación eléctrica</v>
      </c>
      <c r="Q1645" s="34" t="str">
        <f aca="false">MID(D1645,13,5)&amp;"|"&amp;MID(D1645,19,5)</f>
        <v>04SEL|S_023</v>
      </c>
      <c r="R1645" s="34" t="str">
        <f aca="false">IF(P1645="Subestación eléctrica",IFERROR(INDEX(cat_SubN,MATCH(Q1645,cat_SubK,0)),"SIN CATALOGAR"),"ÁREA DE PROCESO")</f>
        <v>SE-23</v>
      </c>
      <c r="S1645" s="34" t="str">
        <f aca="false">IF(H1645="","SIN DATO",IFERROR(INDEX(cat_MarcaN,MATCH(H1645,cat_MarcaO,0)),H1645))</f>
        <v>ABB</v>
      </c>
      <c r="T1645" s="34" t="str">
        <f aca="false">IF(I1645="","SIN DATO",IFERROR(INDEX(cat_ModN,MATCH(I1645,cat_ModO,0)),I1645))</f>
        <v>RET</v>
      </c>
      <c r="U1645" s="34" t="str">
        <f aca="false">IF(I1645="","",IFERROR(INDEX(cat_ModG,MATCH(I1645,cat_ModO,0)),"No"))</f>
        <v>Sí</v>
      </c>
      <c r="V1645" s="34" t="str">
        <f aca="false">IF(J1645="","SIN DATO",IFERROR(INDEX(cat_FunN,MATCH(J1645,cat_FunO,0)),J1645))</f>
        <v>Protección y medición</v>
      </c>
      <c r="W1645" s="34" t="str">
        <f aca="false">IF(OR(S1645="SIN DATO",T1645="SIN DATO"),"No","Sí")</f>
        <v>Sí</v>
      </c>
    </row>
    <row r="1646" customFormat="false" ht="15" hidden="false" customHeight="false" outlineLevel="0" collapsed="false">
      <c r="A1646" s="34" t="s">
        <v>5992</v>
      </c>
      <c r="B1646" s="34" t="s">
        <v>5993</v>
      </c>
      <c r="C1646" s="34" t="s">
        <v>5994</v>
      </c>
      <c r="D1646" s="34" t="s">
        <v>5991</v>
      </c>
      <c r="E1646" s="34" t="s">
        <v>120</v>
      </c>
      <c r="F1646" s="34" t="s">
        <v>1602</v>
      </c>
      <c r="G1646" s="34" t="s">
        <v>1184</v>
      </c>
      <c r="H1646" s="34" t="s">
        <v>34</v>
      </c>
      <c r="I1646" s="34" t="s">
        <v>39</v>
      </c>
      <c r="J1646" s="34" t="s">
        <v>228</v>
      </c>
      <c r="K1646" s="34" t="s">
        <v>229</v>
      </c>
      <c r="L1646" s="34" t="s">
        <v>230</v>
      </c>
      <c r="M1646" s="34" t="s">
        <v>262</v>
      </c>
      <c r="N1646" s="34" t="str">
        <f aca="false">"Sector "&amp;VALUE(MID(D1646,13,2))</f>
        <v>Sector 4</v>
      </c>
      <c r="O1646" s="34" t="str">
        <f aca="false">IF(Dashboard!$C$5="Ubicación técnica",N1646,"Sector "&amp;VALUE(RIGHT(G1646,2)))</f>
        <v>Sector 4</v>
      </c>
      <c r="P1646" s="34" t="str">
        <f aca="false">IF(MID(D1646,15,3)="SEL","Subestación eléctrica","Área de proceso")</f>
        <v>Subestación eléctrica</v>
      </c>
      <c r="Q1646" s="34" t="str">
        <f aca="false">MID(D1646,13,5)&amp;"|"&amp;MID(D1646,19,5)</f>
        <v>04SEL|S_023</v>
      </c>
      <c r="R1646" s="34" t="str">
        <f aca="false">IF(P1646="Subestación eléctrica",IFERROR(INDEX(cat_SubN,MATCH(Q1646,cat_SubK,0)),"SIN CATALOGAR"),"ÁREA DE PROCESO")</f>
        <v>SE-23</v>
      </c>
      <c r="S1646" s="34" t="str">
        <f aca="false">IF(H1646="","SIN DATO",IFERROR(INDEX(cat_MarcaN,MATCH(H1646,cat_MarcaO,0)),H1646))</f>
        <v>ABB</v>
      </c>
      <c r="T1646" s="34" t="str">
        <f aca="false">IF(I1646="","SIN DATO",IFERROR(INDEX(cat_ModN,MATCH(I1646,cat_ModO,0)),I1646))</f>
        <v>REF</v>
      </c>
      <c r="U1646" s="34" t="str">
        <f aca="false">IF(I1646="","",IFERROR(INDEX(cat_ModG,MATCH(I1646,cat_ModO,0)),"No"))</f>
        <v>Sí</v>
      </c>
      <c r="V1646" s="34" t="str">
        <f aca="false">IF(J1646="","SIN DATO",IFERROR(INDEX(cat_FunN,MATCH(J1646,cat_FunO,0)),J1646))</f>
        <v>Protección y medición</v>
      </c>
      <c r="W1646" s="34" t="str">
        <f aca="false">IF(OR(S1646="SIN DATO",T1646="SIN DATO"),"No","Sí")</f>
        <v>Sí</v>
      </c>
    </row>
    <row r="1647" customFormat="false" ht="15" hidden="false" customHeight="false" outlineLevel="0" collapsed="false">
      <c r="A1647" s="34" t="s">
        <v>5995</v>
      </c>
      <c r="B1647" s="34" t="s">
        <v>5996</v>
      </c>
      <c r="C1647" s="34" t="s">
        <v>5997</v>
      </c>
      <c r="D1647" s="34" t="s">
        <v>5991</v>
      </c>
      <c r="E1647" s="34" t="s">
        <v>120</v>
      </c>
      <c r="F1647" s="34" t="s">
        <v>1602</v>
      </c>
      <c r="G1647" s="34" t="s">
        <v>1184</v>
      </c>
      <c r="H1647" s="34" t="s">
        <v>55</v>
      </c>
      <c r="I1647" s="34" t="s">
        <v>55</v>
      </c>
      <c r="J1647" s="34" t="s">
        <v>58</v>
      </c>
      <c r="K1647" s="34" t="s">
        <v>229</v>
      </c>
      <c r="L1647" s="34" t="s">
        <v>230</v>
      </c>
      <c r="M1647" s="34" t="s">
        <v>344</v>
      </c>
      <c r="N1647" s="34" t="str">
        <f aca="false">"Sector "&amp;VALUE(MID(D1647,13,2))</f>
        <v>Sector 4</v>
      </c>
      <c r="O1647" s="34" t="str">
        <f aca="false">IF(Dashboard!$C$5="Ubicación técnica",N1647,"Sector "&amp;VALUE(RIGHT(G1647,2)))</f>
        <v>Sector 4</v>
      </c>
      <c r="P1647" s="34" t="str">
        <f aca="false">IF(MID(D1647,15,3)="SEL","Subestación eléctrica","Área de proceso")</f>
        <v>Subestación eléctrica</v>
      </c>
      <c r="Q1647" s="34" t="str">
        <f aca="false">MID(D1647,13,5)&amp;"|"&amp;MID(D1647,19,5)</f>
        <v>04SEL|S_023</v>
      </c>
      <c r="R1647" s="34" t="str">
        <f aca="false">IF(P1647="Subestación eléctrica",IFERROR(INDEX(cat_SubN,MATCH(Q1647,cat_SubK,0)),"SIN CATALOGAR"),"ÁREA DE PROCESO")</f>
        <v>SE-23</v>
      </c>
      <c r="S1647" s="34" t="str">
        <f aca="false">IF(H1647="","SIN DATO",IFERROR(INDEX(cat_MarcaN,MATCH(H1647,cat_MarcaO,0)),H1647))</f>
        <v>SEL</v>
      </c>
      <c r="T1647" s="34" t="str">
        <f aca="false">IF(I1647="","SIN DATO",IFERROR(INDEX(cat_ModN,MATCH(I1647,cat_ModO,0)),I1647))</f>
        <v>SEL</v>
      </c>
      <c r="U1647" s="34" t="str">
        <f aca="false">IF(I1647="","",IFERROR(INDEX(cat_ModG,MATCH(I1647,cat_ModO,0)),"No"))</f>
        <v>Sí</v>
      </c>
      <c r="V1647" s="34" t="str">
        <f aca="false">IF(J1647="","SIN DATO",IFERROR(INDEX(cat_FunN,MATCH(J1647,cat_FunO,0)),J1647))</f>
        <v>Medición</v>
      </c>
      <c r="W1647" s="34" t="str">
        <f aca="false">IF(OR(S1647="SIN DATO",T1647="SIN DATO"),"No","Sí")</f>
        <v>Sí</v>
      </c>
    </row>
    <row r="1648" customFormat="false" ht="15" hidden="false" customHeight="false" outlineLevel="0" collapsed="false">
      <c r="A1648" s="34" t="s">
        <v>5998</v>
      </c>
      <c r="B1648" s="34" t="s">
        <v>5999</v>
      </c>
      <c r="C1648" s="34" t="s">
        <v>6000</v>
      </c>
      <c r="D1648" s="34" t="s">
        <v>5991</v>
      </c>
      <c r="E1648" s="34" t="s">
        <v>120</v>
      </c>
      <c r="F1648" s="34" t="s">
        <v>1602</v>
      </c>
      <c r="G1648" s="34" t="s">
        <v>1184</v>
      </c>
      <c r="H1648" s="34" t="s">
        <v>34</v>
      </c>
      <c r="I1648" s="34" t="s">
        <v>47</v>
      </c>
      <c r="J1648" s="34" t="s">
        <v>681</v>
      </c>
      <c r="K1648" s="34" t="s">
        <v>229</v>
      </c>
      <c r="L1648" s="34" t="s">
        <v>230</v>
      </c>
      <c r="M1648" s="34"/>
      <c r="N1648" s="34" t="str">
        <f aca="false">"Sector "&amp;VALUE(MID(D1648,13,2))</f>
        <v>Sector 4</v>
      </c>
      <c r="O1648" s="34" t="str">
        <f aca="false">IF(Dashboard!$C$5="Ubicación técnica",N1648,"Sector "&amp;VALUE(RIGHT(G1648,2)))</f>
        <v>Sector 4</v>
      </c>
      <c r="P1648" s="34" t="str">
        <f aca="false">IF(MID(D1648,15,3)="SEL","Subestación eléctrica","Área de proceso")</f>
        <v>Subestación eléctrica</v>
      </c>
      <c r="Q1648" s="34" t="str">
        <f aca="false">MID(D1648,13,5)&amp;"|"&amp;MID(D1648,19,5)</f>
        <v>04SEL|S_023</v>
      </c>
      <c r="R1648" s="34" t="str">
        <f aca="false">IF(P1648="Subestación eléctrica",IFERROR(INDEX(cat_SubN,MATCH(Q1648,cat_SubK,0)),"SIN CATALOGAR"),"ÁREA DE PROCESO")</f>
        <v>SE-23</v>
      </c>
      <c r="S1648" s="34" t="str">
        <f aca="false">IF(H1648="","SIN DATO",IFERROR(INDEX(cat_MarcaN,MATCH(H1648,cat_MarcaO,0)),H1648))</f>
        <v>ABB</v>
      </c>
      <c r="T1648" s="34" t="str">
        <f aca="false">IF(I1648="","SIN DATO",IFERROR(INDEX(cat_ModN,MATCH(I1648,cat_ModO,0)),I1648))</f>
        <v>REA</v>
      </c>
      <c r="U1648" s="34" t="str">
        <f aca="false">IF(I1648="","",IFERROR(INDEX(cat_ModG,MATCH(I1648,cat_ModO,0)),"No"))</f>
        <v>Sí</v>
      </c>
      <c r="V1648" s="34" t="str">
        <f aca="false">IF(J1648="","SIN DATO",IFERROR(INDEX(cat_FunN,MATCH(J1648,cat_FunO,0)),J1648))</f>
        <v>Protección</v>
      </c>
      <c r="W1648" s="34" t="str">
        <f aca="false">IF(OR(S1648="SIN DATO",T1648="SIN DATO"),"No","Sí")</f>
        <v>Sí</v>
      </c>
    </row>
    <row r="1649" customFormat="false" ht="15" hidden="false" customHeight="false" outlineLevel="0" collapsed="false">
      <c r="A1649" s="34" t="s">
        <v>6001</v>
      </c>
      <c r="B1649" s="34" t="s">
        <v>6002</v>
      </c>
      <c r="C1649" s="34" t="s">
        <v>6003</v>
      </c>
      <c r="D1649" s="34" t="s">
        <v>6004</v>
      </c>
      <c r="E1649" s="34" t="s">
        <v>120</v>
      </c>
      <c r="F1649" s="34" t="s">
        <v>1602</v>
      </c>
      <c r="G1649" s="34" t="s">
        <v>1184</v>
      </c>
      <c r="H1649" s="34" t="s">
        <v>34</v>
      </c>
      <c r="I1649" s="34" t="s">
        <v>52</v>
      </c>
      <c r="J1649" s="34" t="s">
        <v>228</v>
      </c>
      <c r="K1649" s="34" t="s">
        <v>229</v>
      </c>
      <c r="L1649" s="34" t="s">
        <v>230</v>
      </c>
      <c r="M1649" s="34" t="s">
        <v>262</v>
      </c>
      <c r="N1649" s="34" t="str">
        <f aca="false">"Sector "&amp;VALUE(MID(D1649,13,2))</f>
        <v>Sector 4</v>
      </c>
      <c r="O1649" s="34" t="str">
        <f aca="false">IF(Dashboard!$C$5="Ubicación técnica",N1649,"Sector "&amp;VALUE(RIGHT(G1649,2)))</f>
        <v>Sector 4</v>
      </c>
      <c r="P1649" s="34" t="str">
        <f aca="false">IF(MID(D1649,15,3)="SEL","Subestación eléctrica","Área de proceso")</f>
        <v>Subestación eléctrica</v>
      </c>
      <c r="Q1649" s="34" t="str">
        <f aca="false">MID(D1649,13,5)&amp;"|"&amp;MID(D1649,19,5)</f>
        <v>04SEL|S_023</v>
      </c>
      <c r="R1649" s="34" t="str">
        <f aca="false">IF(P1649="Subestación eléctrica",IFERROR(INDEX(cat_SubN,MATCH(Q1649,cat_SubK,0)),"SIN CATALOGAR"),"ÁREA DE PROCESO")</f>
        <v>SE-23</v>
      </c>
      <c r="S1649" s="34" t="str">
        <f aca="false">IF(H1649="","SIN DATO",IFERROR(INDEX(cat_MarcaN,MATCH(H1649,cat_MarcaO,0)),H1649))</f>
        <v>ABB</v>
      </c>
      <c r="T1649" s="34" t="str">
        <f aca="false">IF(I1649="","SIN DATO",IFERROR(INDEX(cat_ModN,MATCH(I1649,cat_ModO,0)),I1649))</f>
        <v>RET</v>
      </c>
      <c r="U1649" s="34" t="str">
        <f aca="false">IF(I1649="","",IFERROR(INDEX(cat_ModG,MATCH(I1649,cat_ModO,0)),"No"))</f>
        <v>Sí</v>
      </c>
      <c r="V1649" s="34" t="str">
        <f aca="false">IF(J1649="","SIN DATO",IFERROR(INDEX(cat_FunN,MATCH(J1649,cat_FunO,0)),J1649))</f>
        <v>Protección y medición</v>
      </c>
      <c r="W1649" s="34" t="str">
        <f aca="false">IF(OR(S1649="SIN DATO",T1649="SIN DATO"),"No","Sí")</f>
        <v>Sí</v>
      </c>
    </row>
    <row r="1650" customFormat="false" ht="15" hidden="false" customHeight="false" outlineLevel="0" collapsed="false">
      <c r="A1650" s="34" t="s">
        <v>6005</v>
      </c>
      <c r="B1650" s="34" t="s">
        <v>6006</v>
      </c>
      <c r="C1650" s="34" t="s">
        <v>6007</v>
      </c>
      <c r="D1650" s="34" t="s">
        <v>6004</v>
      </c>
      <c r="E1650" s="34" t="s">
        <v>120</v>
      </c>
      <c r="F1650" s="34" t="s">
        <v>1602</v>
      </c>
      <c r="G1650" s="34" t="s">
        <v>1184</v>
      </c>
      <c r="H1650" s="34" t="s">
        <v>34</v>
      </c>
      <c r="I1650" s="34" t="s">
        <v>39</v>
      </c>
      <c r="J1650" s="34" t="s">
        <v>228</v>
      </c>
      <c r="K1650" s="34" t="s">
        <v>229</v>
      </c>
      <c r="L1650" s="34" t="s">
        <v>230</v>
      </c>
      <c r="M1650" s="34" t="s">
        <v>262</v>
      </c>
      <c r="N1650" s="34" t="str">
        <f aca="false">"Sector "&amp;VALUE(MID(D1650,13,2))</f>
        <v>Sector 4</v>
      </c>
      <c r="O1650" s="34" t="str">
        <f aca="false">IF(Dashboard!$C$5="Ubicación técnica",N1650,"Sector "&amp;VALUE(RIGHT(G1650,2)))</f>
        <v>Sector 4</v>
      </c>
      <c r="P1650" s="34" t="str">
        <f aca="false">IF(MID(D1650,15,3)="SEL","Subestación eléctrica","Área de proceso")</f>
        <v>Subestación eléctrica</v>
      </c>
      <c r="Q1650" s="34" t="str">
        <f aca="false">MID(D1650,13,5)&amp;"|"&amp;MID(D1650,19,5)</f>
        <v>04SEL|S_023</v>
      </c>
      <c r="R1650" s="34" t="str">
        <f aca="false">IF(P1650="Subestación eléctrica",IFERROR(INDEX(cat_SubN,MATCH(Q1650,cat_SubK,0)),"SIN CATALOGAR"),"ÁREA DE PROCESO")</f>
        <v>SE-23</v>
      </c>
      <c r="S1650" s="34" t="str">
        <f aca="false">IF(H1650="","SIN DATO",IFERROR(INDEX(cat_MarcaN,MATCH(H1650,cat_MarcaO,0)),H1650))</f>
        <v>ABB</v>
      </c>
      <c r="T1650" s="34" t="str">
        <f aca="false">IF(I1650="","SIN DATO",IFERROR(INDEX(cat_ModN,MATCH(I1650,cat_ModO,0)),I1650))</f>
        <v>REF</v>
      </c>
      <c r="U1650" s="34" t="str">
        <f aca="false">IF(I1650="","",IFERROR(INDEX(cat_ModG,MATCH(I1650,cat_ModO,0)),"No"))</f>
        <v>Sí</v>
      </c>
      <c r="V1650" s="34" t="str">
        <f aca="false">IF(J1650="","SIN DATO",IFERROR(INDEX(cat_FunN,MATCH(J1650,cat_FunO,0)),J1650))</f>
        <v>Protección y medición</v>
      </c>
      <c r="W1650" s="34" t="str">
        <f aca="false">IF(OR(S1650="SIN DATO",T1650="SIN DATO"),"No","Sí")</f>
        <v>Sí</v>
      </c>
    </row>
    <row r="1651" customFormat="false" ht="15" hidden="false" customHeight="false" outlineLevel="0" collapsed="false">
      <c r="A1651" s="34" t="s">
        <v>6008</v>
      </c>
      <c r="B1651" s="34" t="s">
        <v>6009</v>
      </c>
      <c r="C1651" s="34" t="s">
        <v>6010</v>
      </c>
      <c r="D1651" s="34" t="s">
        <v>6004</v>
      </c>
      <c r="E1651" s="34" t="s">
        <v>120</v>
      </c>
      <c r="F1651" s="34" t="s">
        <v>1602</v>
      </c>
      <c r="G1651" s="34" t="s">
        <v>1184</v>
      </c>
      <c r="H1651" s="34" t="s">
        <v>55</v>
      </c>
      <c r="I1651" s="34" t="s">
        <v>55</v>
      </c>
      <c r="J1651" s="34" t="s">
        <v>58</v>
      </c>
      <c r="K1651" s="34" t="s">
        <v>229</v>
      </c>
      <c r="L1651" s="34" t="s">
        <v>230</v>
      </c>
      <c r="M1651" s="34" t="s">
        <v>344</v>
      </c>
      <c r="N1651" s="34" t="str">
        <f aca="false">"Sector "&amp;VALUE(MID(D1651,13,2))</f>
        <v>Sector 4</v>
      </c>
      <c r="O1651" s="34" t="str">
        <f aca="false">IF(Dashboard!$C$5="Ubicación técnica",N1651,"Sector "&amp;VALUE(RIGHT(G1651,2)))</f>
        <v>Sector 4</v>
      </c>
      <c r="P1651" s="34" t="str">
        <f aca="false">IF(MID(D1651,15,3)="SEL","Subestación eléctrica","Área de proceso")</f>
        <v>Subestación eléctrica</v>
      </c>
      <c r="Q1651" s="34" t="str">
        <f aca="false">MID(D1651,13,5)&amp;"|"&amp;MID(D1651,19,5)</f>
        <v>04SEL|S_023</v>
      </c>
      <c r="R1651" s="34" t="str">
        <f aca="false">IF(P1651="Subestación eléctrica",IFERROR(INDEX(cat_SubN,MATCH(Q1651,cat_SubK,0)),"SIN CATALOGAR"),"ÁREA DE PROCESO")</f>
        <v>SE-23</v>
      </c>
      <c r="S1651" s="34" t="str">
        <f aca="false">IF(H1651="","SIN DATO",IFERROR(INDEX(cat_MarcaN,MATCH(H1651,cat_MarcaO,0)),H1651))</f>
        <v>SEL</v>
      </c>
      <c r="T1651" s="34" t="str">
        <f aca="false">IF(I1651="","SIN DATO",IFERROR(INDEX(cat_ModN,MATCH(I1651,cat_ModO,0)),I1651))</f>
        <v>SEL</v>
      </c>
      <c r="U1651" s="34" t="str">
        <f aca="false">IF(I1651="","",IFERROR(INDEX(cat_ModG,MATCH(I1651,cat_ModO,0)),"No"))</f>
        <v>Sí</v>
      </c>
      <c r="V1651" s="34" t="str">
        <f aca="false">IF(J1651="","SIN DATO",IFERROR(INDEX(cat_FunN,MATCH(J1651,cat_FunO,0)),J1651))</f>
        <v>Medición</v>
      </c>
      <c r="W1651" s="34" t="str">
        <f aca="false">IF(OR(S1651="SIN DATO",T1651="SIN DATO"),"No","Sí")</f>
        <v>Sí</v>
      </c>
    </row>
    <row r="1652" customFormat="false" ht="15" hidden="false" customHeight="false" outlineLevel="0" collapsed="false">
      <c r="A1652" s="34" t="s">
        <v>6011</v>
      </c>
      <c r="B1652" s="34" t="s">
        <v>6012</v>
      </c>
      <c r="C1652" s="34" t="s">
        <v>6013</v>
      </c>
      <c r="D1652" s="34" t="s">
        <v>6004</v>
      </c>
      <c r="E1652" s="34" t="s">
        <v>120</v>
      </c>
      <c r="F1652" s="34" t="s">
        <v>1602</v>
      </c>
      <c r="G1652" s="34" t="s">
        <v>1184</v>
      </c>
      <c r="H1652" s="34" t="s">
        <v>34</v>
      </c>
      <c r="I1652" s="34" t="s">
        <v>47</v>
      </c>
      <c r="J1652" s="34" t="s">
        <v>681</v>
      </c>
      <c r="K1652" s="34" t="s">
        <v>229</v>
      </c>
      <c r="L1652" s="34" t="s">
        <v>230</v>
      </c>
      <c r="M1652" s="34"/>
      <c r="N1652" s="34" t="str">
        <f aca="false">"Sector "&amp;VALUE(MID(D1652,13,2))</f>
        <v>Sector 4</v>
      </c>
      <c r="O1652" s="34" t="str">
        <f aca="false">IF(Dashboard!$C$5="Ubicación técnica",N1652,"Sector "&amp;VALUE(RIGHT(G1652,2)))</f>
        <v>Sector 4</v>
      </c>
      <c r="P1652" s="34" t="str">
        <f aca="false">IF(MID(D1652,15,3)="SEL","Subestación eléctrica","Área de proceso")</f>
        <v>Subestación eléctrica</v>
      </c>
      <c r="Q1652" s="34" t="str">
        <f aca="false">MID(D1652,13,5)&amp;"|"&amp;MID(D1652,19,5)</f>
        <v>04SEL|S_023</v>
      </c>
      <c r="R1652" s="34" t="str">
        <f aca="false">IF(P1652="Subestación eléctrica",IFERROR(INDEX(cat_SubN,MATCH(Q1652,cat_SubK,0)),"SIN CATALOGAR"),"ÁREA DE PROCESO")</f>
        <v>SE-23</v>
      </c>
      <c r="S1652" s="34" t="str">
        <f aca="false">IF(H1652="","SIN DATO",IFERROR(INDEX(cat_MarcaN,MATCH(H1652,cat_MarcaO,0)),H1652))</f>
        <v>ABB</v>
      </c>
      <c r="T1652" s="34" t="str">
        <f aca="false">IF(I1652="","SIN DATO",IFERROR(INDEX(cat_ModN,MATCH(I1652,cat_ModO,0)),I1652))</f>
        <v>REA</v>
      </c>
      <c r="U1652" s="34" t="str">
        <f aca="false">IF(I1652="","",IFERROR(INDEX(cat_ModG,MATCH(I1652,cat_ModO,0)),"No"))</f>
        <v>Sí</v>
      </c>
      <c r="V1652" s="34" t="str">
        <f aca="false">IF(J1652="","SIN DATO",IFERROR(INDEX(cat_FunN,MATCH(J1652,cat_FunO,0)),J1652))</f>
        <v>Protección</v>
      </c>
      <c r="W1652" s="34" t="str">
        <f aca="false">IF(OR(S1652="SIN DATO",T1652="SIN DATO"),"No","Sí")</f>
        <v>Sí</v>
      </c>
    </row>
    <row r="1653" customFormat="false" ht="15" hidden="false" customHeight="false" outlineLevel="0" collapsed="false">
      <c r="A1653" s="34" t="s">
        <v>6014</v>
      </c>
      <c r="B1653" s="34" t="s">
        <v>6015</v>
      </c>
      <c r="C1653" s="34" t="s">
        <v>6016</v>
      </c>
      <c r="D1653" s="34" t="s">
        <v>6017</v>
      </c>
      <c r="E1653" s="34" t="s">
        <v>120</v>
      </c>
      <c r="F1653" s="34" t="s">
        <v>1602</v>
      </c>
      <c r="G1653" s="34" t="s">
        <v>1184</v>
      </c>
      <c r="H1653" s="34" t="s">
        <v>34</v>
      </c>
      <c r="I1653" s="34" t="s">
        <v>39</v>
      </c>
      <c r="J1653" s="34" t="s">
        <v>228</v>
      </c>
      <c r="K1653" s="34" t="s">
        <v>229</v>
      </c>
      <c r="L1653" s="34" t="s">
        <v>230</v>
      </c>
      <c r="M1653" s="34" t="s">
        <v>262</v>
      </c>
      <c r="N1653" s="34" t="str">
        <f aca="false">"Sector "&amp;VALUE(MID(D1653,13,2))</f>
        <v>Sector 4</v>
      </c>
      <c r="O1653" s="34" t="str">
        <f aca="false">IF(Dashboard!$C$5="Ubicación técnica",N1653,"Sector "&amp;VALUE(RIGHT(G1653,2)))</f>
        <v>Sector 4</v>
      </c>
      <c r="P1653" s="34" t="str">
        <f aca="false">IF(MID(D1653,15,3)="SEL","Subestación eléctrica","Área de proceso")</f>
        <v>Subestación eléctrica</v>
      </c>
      <c r="Q1653" s="34" t="str">
        <f aca="false">MID(D1653,13,5)&amp;"|"&amp;MID(D1653,19,5)</f>
        <v>04SEL|S_023</v>
      </c>
      <c r="R1653" s="34" t="str">
        <f aca="false">IF(P1653="Subestación eléctrica",IFERROR(INDEX(cat_SubN,MATCH(Q1653,cat_SubK,0)),"SIN CATALOGAR"),"ÁREA DE PROCESO")</f>
        <v>SE-23</v>
      </c>
      <c r="S1653" s="34" t="str">
        <f aca="false">IF(H1653="","SIN DATO",IFERROR(INDEX(cat_MarcaN,MATCH(H1653,cat_MarcaO,0)),H1653))</f>
        <v>ABB</v>
      </c>
      <c r="T1653" s="34" t="str">
        <f aca="false">IF(I1653="","SIN DATO",IFERROR(INDEX(cat_ModN,MATCH(I1653,cat_ModO,0)),I1653))</f>
        <v>REF</v>
      </c>
      <c r="U1653" s="34" t="str">
        <f aca="false">IF(I1653="","",IFERROR(INDEX(cat_ModG,MATCH(I1653,cat_ModO,0)),"No"))</f>
        <v>Sí</v>
      </c>
      <c r="V1653" s="34" t="str">
        <f aca="false">IF(J1653="","SIN DATO",IFERROR(INDEX(cat_FunN,MATCH(J1653,cat_FunO,0)),J1653))</f>
        <v>Protección y medición</v>
      </c>
      <c r="W1653" s="34" t="str">
        <f aca="false">IF(OR(S1653="SIN DATO",T1653="SIN DATO"),"No","Sí")</f>
        <v>Sí</v>
      </c>
    </row>
    <row r="1654" customFormat="false" ht="15" hidden="false" customHeight="false" outlineLevel="0" collapsed="false">
      <c r="A1654" s="34" t="s">
        <v>6018</v>
      </c>
      <c r="B1654" s="34" t="s">
        <v>6019</v>
      </c>
      <c r="C1654" s="34" t="s">
        <v>6020</v>
      </c>
      <c r="D1654" s="34" t="s">
        <v>6021</v>
      </c>
      <c r="E1654" s="34" t="s">
        <v>120</v>
      </c>
      <c r="F1654" s="34" t="s">
        <v>1602</v>
      </c>
      <c r="G1654" s="34" t="s">
        <v>1184</v>
      </c>
      <c r="H1654" s="34" t="s">
        <v>34</v>
      </c>
      <c r="I1654" s="34" t="s">
        <v>39</v>
      </c>
      <c r="J1654" s="34" t="s">
        <v>228</v>
      </c>
      <c r="K1654" s="34" t="s">
        <v>229</v>
      </c>
      <c r="L1654" s="34" t="s">
        <v>230</v>
      </c>
      <c r="M1654" s="34" t="s">
        <v>262</v>
      </c>
      <c r="N1654" s="34" t="str">
        <f aca="false">"Sector "&amp;VALUE(MID(D1654,13,2))</f>
        <v>Sector 4</v>
      </c>
      <c r="O1654" s="34" t="str">
        <f aca="false">IF(Dashboard!$C$5="Ubicación técnica",N1654,"Sector "&amp;VALUE(RIGHT(G1654,2)))</f>
        <v>Sector 4</v>
      </c>
      <c r="P1654" s="34" t="str">
        <f aca="false">IF(MID(D1654,15,3)="SEL","Subestación eléctrica","Área de proceso")</f>
        <v>Subestación eléctrica</v>
      </c>
      <c r="Q1654" s="34" t="str">
        <f aca="false">MID(D1654,13,5)&amp;"|"&amp;MID(D1654,19,5)</f>
        <v>04SEL|S_023</v>
      </c>
      <c r="R1654" s="34" t="str">
        <f aca="false">IF(P1654="Subestación eléctrica",IFERROR(INDEX(cat_SubN,MATCH(Q1654,cat_SubK,0)),"SIN CATALOGAR"),"ÁREA DE PROCESO")</f>
        <v>SE-23</v>
      </c>
      <c r="S1654" s="34" t="str">
        <f aca="false">IF(H1654="","SIN DATO",IFERROR(INDEX(cat_MarcaN,MATCH(H1654,cat_MarcaO,0)),H1654))</f>
        <v>ABB</v>
      </c>
      <c r="T1654" s="34" t="str">
        <f aca="false">IF(I1654="","SIN DATO",IFERROR(INDEX(cat_ModN,MATCH(I1654,cat_ModO,0)),I1654))</f>
        <v>REF</v>
      </c>
      <c r="U1654" s="34" t="str">
        <f aca="false">IF(I1654="","",IFERROR(INDEX(cat_ModG,MATCH(I1654,cat_ModO,0)),"No"))</f>
        <v>Sí</v>
      </c>
      <c r="V1654" s="34" t="str">
        <f aca="false">IF(J1654="","SIN DATO",IFERROR(INDEX(cat_FunN,MATCH(J1654,cat_FunO,0)),J1654))</f>
        <v>Protección y medición</v>
      </c>
      <c r="W1654" s="34" t="str">
        <f aca="false">IF(OR(S1654="SIN DATO",T1654="SIN DATO"),"No","Sí")</f>
        <v>Sí</v>
      </c>
    </row>
    <row r="1655" customFormat="false" ht="15" hidden="false" customHeight="false" outlineLevel="0" collapsed="false">
      <c r="A1655" s="34" t="s">
        <v>6022</v>
      </c>
      <c r="B1655" s="34" t="s">
        <v>6023</v>
      </c>
      <c r="C1655" s="34" t="s">
        <v>6024</v>
      </c>
      <c r="D1655" s="34" t="s">
        <v>3227</v>
      </c>
      <c r="E1655" s="34" t="s">
        <v>120</v>
      </c>
      <c r="F1655" s="34" t="s">
        <v>1602</v>
      </c>
      <c r="G1655" s="34" t="s">
        <v>1184</v>
      </c>
      <c r="H1655" s="34" t="s">
        <v>34</v>
      </c>
      <c r="I1655" s="34" t="s">
        <v>39</v>
      </c>
      <c r="J1655" s="34" t="s">
        <v>228</v>
      </c>
      <c r="K1655" s="34" t="s">
        <v>229</v>
      </c>
      <c r="L1655" s="34" t="s">
        <v>230</v>
      </c>
      <c r="M1655" s="34" t="s">
        <v>262</v>
      </c>
      <c r="N1655" s="34" t="str">
        <f aca="false">"Sector "&amp;VALUE(MID(D1655,13,2))</f>
        <v>Sector 4</v>
      </c>
      <c r="O1655" s="34" t="str">
        <f aca="false">IF(Dashboard!$C$5="Ubicación técnica",N1655,"Sector "&amp;VALUE(RIGHT(G1655,2)))</f>
        <v>Sector 4</v>
      </c>
      <c r="P1655" s="34" t="str">
        <f aca="false">IF(MID(D1655,15,3)="SEL","Subestación eléctrica","Área de proceso")</f>
        <v>Subestación eléctrica</v>
      </c>
      <c r="Q1655" s="34" t="str">
        <f aca="false">MID(D1655,13,5)&amp;"|"&amp;MID(D1655,19,5)</f>
        <v>04SEL|S_023</v>
      </c>
      <c r="R1655" s="34" t="str">
        <f aca="false">IF(P1655="Subestación eléctrica",IFERROR(INDEX(cat_SubN,MATCH(Q1655,cat_SubK,0)),"SIN CATALOGAR"),"ÁREA DE PROCESO")</f>
        <v>SE-23</v>
      </c>
      <c r="S1655" s="34" t="str">
        <f aca="false">IF(H1655="","SIN DATO",IFERROR(INDEX(cat_MarcaN,MATCH(H1655,cat_MarcaO,0)),H1655))</f>
        <v>ABB</v>
      </c>
      <c r="T1655" s="34" t="str">
        <f aca="false">IF(I1655="","SIN DATO",IFERROR(INDEX(cat_ModN,MATCH(I1655,cat_ModO,0)),I1655))</f>
        <v>REF</v>
      </c>
      <c r="U1655" s="34" t="str">
        <f aca="false">IF(I1655="","",IFERROR(INDEX(cat_ModG,MATCH(I1655,cat_ModO,0)),"No"))</f>
        <v>Sí</v>
      </c>
      <c r="V1655" s="34" t="str">
        <f aca="false">IF(J1655="","SIN DATO",IFERROR(INDEX(cat_FunN,MATCH(J1655,cat_FunO,0)),J1655))</f>
        <v>Protección y medición</v>
      </c>
      <c r="W1655" s="34" t="str">
        <f aca="false">IF(OR(S1655="SIN DATO",T1655="SIN DATO"),"No","Sí")</f>
        <v>Sí</v>
      </c>
    </row>
    <row r="1656" customFormat="false" ht="15" hidden="false" customHeight="false" outlineLevel="0" collapsed="false">
      <c r="A1656" s="34" t="s">
        <v>6025</v>
      </c>
      <c r="B1656" s="34" t="s">
        <v>6026</v>
      </c>
      <c r="C1656" s="34" t="s">
        <v>6027</v>
      </c>
      <c r="D1656" s="34" t="s">
        <v>6028</v>
      </c>
      <c r="E1656" s="34" t="s">
        <v>120</v>
      </c>
      <c r="F1656" s="34" t="s">
        <v>1602</v>
      </c>
      <c r="G1656" s="34" t="s">
        <v>1184</v>
      </c>
      <c r="H1656" s="34" t="s">
        <v>34</v>
      </c>
      <c r="I1656" s="34" t="s">
        <v>39</v>
      </c>
      <c r="J1656" s="34" t="s">
        <v>228</v>
      </c>
      <c r="K1656" s="34" t="s">
        <v>229</v>
      </c>
      <c r="L1656" s="34" t="s">
        <v>230</v>
      </c>
      <c r="M1656" s="34" t="s">
        <v>262</v>
      </c>
      <c r="N1656" s="34" t="str">
        <f aca="false">"Sector "&amp;VALUE(MID(D1656,13,2))</f>
        <v>Sector 4</v>
      </c>
      <c r="O1656" s="34" t="str">
        <f aca="false">IF(Dashboard!$C$5="Ubicación técnica",N1656,"Sector "&amp;VALUE(RIGHT(G1656,2)))</f>
        <v>Sector 4</v>
      </c>
      <c r="P1656" s="34" t="str">
        <f aca="false">IF(MID(D1656,15,3)="SEL","Subestación eléctrica","Área de proceso")</f>
        <v>Subestación eléctrica</v>
      </c>
      <c r="Q1656" s="34" t="str">
        <f aca="false">MID(D1656,13,5)&amp;"|"&amp;MID(D1656,19,5)</f>
        <v>04SEL|S_023</v>
      </c>
      <c r="R1656" s="34" t="str">
        <f aca="false">IF(P1656="Subestación eléctrica",IFERROR(INDEX(cat_SubN,MATCH(Q1656,cat_SubK,0)),"SIN CATALOGAR"),"ÁREA DE PROCESO")</f>
        <v>SE-23</v>
      </c>
      <c r="S1656" s="34" t="str">
        <f aca="false">IF(H1656="","SIN DATO",IFERROR(INDEX(cat_MarcaN,MATCH(H1656,cat_MarcaO,0)),H1656))</f>
        <v>ABB</v>
      </c>
      <c r="T1656" s="34" t="str">
        <f aca="false">IF(I1656="","SIN DATO",IFERROR(INDEX(cat_ModN,MATCH(I1656,cat_ModO,0)),I1656))</f>
        <v>REF</v>
      </c>
      <c r="U1656" s="34" t="str">
        <f aca="false">IF(I1656="","",IFERROR(INDEX(cat_ModG,MATCH(I1656,cat_ModO,0)),"No"))</f>
        <v>Sí</v>
      </c>
      <c r="V1656" s="34" t="str">
        <f aca="false">IF(J1656="","SIN DATO",IFERROR(INDEX(cat_FunN,MATCH(J1656,cat_FunO,0)),J1656))</f>
        <v>Protección y medición</v>
      </c>
      <c r="W1656" s="34" t="str">
        <f aca="false">IF(OR(S1656="SIN DATO",T1656="SIN DATO"),"No","Sí")</f>
        <v>Sí</v>
      </c>
    </row>
    <row r="1657" customFormat="false" ht="15" hidden="false" customHeight="false" outlineLevel="0" collapsed="false">
      <c r="A1657" s="34" t="s">
        <v>6029</v>
      </c>
      <c r="B1657" s="34" t="s">
        <v>6030</v>
      </c>
      <c r="C1657" s="34" t="s">
        <v>6031</v>
      </c>
      <c r="D1657" s="34" t="s">
        <v>6028</v>
      </c>
      <c r="E1657" s="34" t="s">
        <v>120</v>
      </c>
      <c r="F1657" s="34" t="s">
        <v>1602</v>
      </c>
      <c r="G1657" s="34" t="s">
        <v>1184</v>
      </c>
      <c r="H1657" s="34" t="s">
        <v>55</v>
      </c>
      <c r="I1657" s="34" t="s">
        <v>55</v>
      </c>
      <c r="J1657" s="34" t="s">
        <v>58</v>
      </c>
      <c r="K1657" s="34" t="s">
        <v>229</v>
      </c>
      <c r="L1657" s="34" t="s">
        <v>230</v>
      </c>
      <c r="M1657" s="34" t="s">
        <v>344</v>
      </c>
      <c r="N1657" s="34" t="str">
        <f aca="false">"Sector "&amp;VALUE(MID(D1657,13,2))</f>
        <v>Sector 4</v>
      </c>
      <c r="O1657" s="34" t="str">
        <f aca="false">IF(Dashboard!$C$5="Ubicación técnica",N1657,"Sector "&amp;VALUE(RIGHT(G1657,2)))</f>
        <v>Sector 4</v>
      </c>
      <c r="P1657" s="34" t="str">
        <f aca="false">IF(MID(D1657,15,3)="SEL","Subestación eléctrica","Área de proceso")</f>
        <v>Subestación eléctrica</v>
      </c>
      <c r="Q1657" s="34" t="str">
        <f aca="false">MID(D1657,13,5)&amp;"|"&amp;MID(D1657,19,5)</f>
        <v>04SEL|S_023</v>
      </c>
      <c r="R1657" s="34" t="str">
        <f aca="false">IF(P1657="Subestación eléctrica",IFERROR(INDEX(cat_SubN,MATCH(Q1657,cat_SubK,0)),"SIN CATALOGAR"),"ÁREA DE PROCESO")</f>
        <v>SE-23</v>
      </c>
      <c r="S1657" s="34" t="str">
        <f aca="false">IF(H1657="","SIN DATO",IFERROR(INDEX(cat_MarcaN,MATCH(H1657,cat_MarcaO,0)),H1657))</f>
        <v>SEL</v>
      </c>
      <c r="T1657" s="34" t="str">
        <f aca="false">IF(I1657="","SIN DATO",IFERROR(INDEX(cat_ModN,MATCH(I1657,cat_ModO,0)),I1657))</f>
        <v>SEL</v>
      </c>
      <c r="U1657" s="34" t="str">
        <f aca="false">IF(I1657="","",IFERROR(INDEX(cat_ModG,MATCH(I1657,cat_ModO,0)),"No"))</f>
        <v>Sí</v>
      </c>
      <c r="V1657" s="34" t="str">
        <f aca="false">IF(J1657="","SIN DATO",IFERROR(INDEX(cat_FunN,MATCH(J1657,cat_FunO,0)),J1657))</f>
        <v>Medición</v>
      </c>
      <c r="W1657" s="34" t="str">
        <f aca="false">IF(OR(S1657="SIN DATO",T1657="SIN DATO"),"No","Sí")</f>
        <v>Sí</v>
      </c>
    </row>
    <row r="1658" customFormat="false" ht="15" hidden="false" customHeight="false" outlineLevel="0" collapsed="false">
      <c r="A1658" s="34" t="s">
        <v>6032</v>
      </c>
      <c r="B1658" s="34" t="s">
        <v>6033</v>
      </c>
      <c r="C1658" s="34" t="s">
        <v>6034</v>
      </c>
      <c r="D1658" s="34" t="s">
        <v>6028</v>
      </c>
      <c r="E1658" s="34" t="s">
        <v>120</v>
      </c>
      <c r="F1658" s="34" t="s">
        <v>1602</v>
      </c>
      <c r="G1658" s="34" t="s">
        <v>1184</v>
      </c>
      <c r="H1658" s="34" t="s">
        <v>34</v>
      </c>
      <c r="I1658" s="34" t="s">
        <v>47</v>
      </c>
      <c r="J1658" s="34" t="s">
        <v>681</v>
      </c>
      <c r="K1658" s="34" t="s">
        <v>229</v>
      </c>
      <c r="L1658" s="34" t="s">
        <v>230</v>
      </c>
      <c r="M1658" s="34"/>
      <c r="N1658" s="34" t="str">
        <f aca="false">"Sector "&amp;VALUE(MID(D1658,13,2))</f>
        <v>Sector 4</v>
      </c>
      <c r="O1658" s="34" t="str">
        <f aca="false">IF(Dashboard!$C$5="Ubicación técnica",N1658,"Sector "&amp;VALUE(RIGHT(G1658,2)))</f>
        <v>Sector 4</v>
      </c>
      <c r="P1658" s="34" t="str">
        <f aca="false">IF(MID(D1658,15,3)="SEL","Subestación eléctrica","Área de proceso")</f>
        <v>Subestación eléctrica</v>
      </c>
      <c r="Q1658" s="34" t="str">
        <f aca="false">MID(D1658,13,5)&amp;"|"&amp;MID(D1658,19,5)</f>
        <v>04SEL|S_023</v>
      </c>
      <c r="R1658" s="34" t="str">
        <f aca="false">IF(P1658="Subestación eléctrica",IFERROR(INDEX(cat_SubN,MATCH(Q1658,cat_SubK,0)),"SIN CATALOGAR"),"ÁREA DE PROCESO")</f>
        <v>SE-23</v>
      </c>
      <c r="S1658" s="34" t="str">
        <f aca="false">IF(H1658="","SIN DATO",IFERROR(INDEX(cat_MarcaN,MATCH(H1658,cat_MarcaO,0)),H1658))</f>
        <v>ABB</v>
      </c>
      <c r="T1658" s="34" t="str">
        <f aca="false">IF(I1658="","SIN DATO",IFERROR(INDEX(cat_ModN,MATCH(I1658,cat_ModO,0)),I1658))</f>
        <v>REA</v>
      </c>
      <c r="U1658" s="34" t="str">
        <f aca="false">IF(I1658="","",IFERROR(INDEX(cat_ModG,MATCH(I1658,cat_ModO,0)),"No"))</f>
        <v>Sí</v>
      </c>
      <c r="V1658" s="34" t="str">
        <f aca="false">IF(J1658="","SIN DATO",IFERROR(INDEX(cat_FunN,MATCH(J1658,cat_FunO,0)),J1658))</f>
        <v>Protección</v>
      </c>
      <c r="W1658" s="34" t="str">
        <f aca="false">IF(OR(S1658="SIN DATO",T1658="SIN DATO"),"No","Sí")</f>
        <v>Sí</v>
      </c>
    </row>
    <row r="1659" customFormat="false" ht="15" hidden="false" customHeight="false" outlineLevel="0" collapsed="false">
      <c r="A1659" s="34" t="s">
        <v>6035</v>
      </c>
      <c r="B1659" s="34" t="s">
        <v>6036</v>
      </c>
      <c r="C1659" s="34" t="s">
        <v>6037</v>
      </c>
      <c r="D1659" s="34" t="s">
        <v>4545</v>
      </c>
      <c r="E1659" s="34" t="s">
        <v>136</v>
      </c>
      <c r="F1659" s="34" t="s">
        <v>1602</v>
      </c>
      <c r="G1659" s="34" t="s">
        <v>2983</v>
      </c>
      <c r="H1659" s="34" t="s">
        <v>73</v>
      </c>
      <c r="I1659" s="34" t="s">
        <v>81</v>
      </c>
      <c r="J1659" s="34" t="s">
        <v>681</v>
      </c>
      <c r="K1659" s="34" t="s">
        <v>229</v>
      </c>
      <c r="L1659" s="34" t="s">
        <v>3198</v>
      </c>
      <c r="M1659" s="34" t="s">
        <v>344</v>
      </c>
      <c r="N1659" s="34" t="str">
        <f aca="false">"Sector "&amp;VALUE(MID(D1659,13,2))</f>
        <v>Sector 5</v>
      </c>
      <c r="O1659" s="34" t="str">
        <f aca="false">IF(Dashboard!$C$5="Ubicación técnica",N1659,"Sector "&amp;VALUE(RIGHT(G1659,2)))</f>
        <v>Sector 5</v>
      </c>
      <c r="P1659" s="34" t="str">
        <f aca="false">IF(MID(D1659,15,3)="SEL","Subestación eléctrica","Área de proceso")</f>
        <v>Subestación eléctrica</v>
      </c>
      <c r="Q1659" s="34" t="str">
        <f aca="false">MID(D1659,13,5)&amp;"|"&amp;MID(D1659,19,5)</f>
        <v>05SEL|S_011</v>
      </c>
      <c r="R1659" s="34" t="str">
        <f aca="false">IF(P1659="Subestación eléctrica",IFERROR(INDEX(cat_SubN,MATCH(Q1659,cat_SubK,0)),"SIN CATALOGAR"),"ÁREA DE PROCESO")</f>
        <v>SE-11</v>
      </c>
      <c r="S1659" s="34" t="str">
        <f aca="false">IF(H1659="","SIN DATO",IFERROR(INDEX(cat_MarcaN,MATCH(H1659,cat_MarcaO,0)),H1659))</f>
        <v>SIEMENS</v>
      </c>
      <c r="T1659" s="34" t="str">
        <f aca="false">IF(I1659="","SIN DATO",IFERROR(INDEX(cat_ModN,MATCH(I1659,cat_ModO,0)),I1659))</f>
        <v>ARGUS</v>
      </c>
      <c r="U1659" s="34" t="str">
        <f aca="false">IF(I1659="","",IFERROR(INDEX(cat_ModG,MATCH(I1659,cat_ModO,0)),"No"))</f>
        <v>No</v>
      </c>
      <c r="V1659" s="34" t="str">
        <f aca="false">IF(J1659="","SIN DATO",IFERROR(INDEX(cat_FunN,MATCH(J1659,cat_FunO,0)),J1659))</f>
        <v>Protección</v>
      </c>
      <c r="W1659" s="34" t="str">
        <f aca="false">IF(OR(S1659="SIN DATO",T1659="SIN DATO"),"No","Sí")</f>
        <v>Sí</v>
      </c>
    </row>
    <row r="1660" customFormat="false" ht="15" hidden="false" customHeight="false" outlineLevel="0" collapsed="false">
      <c r="A1660" s="34" t="s">
        <v>6038</v>
      </c>
      <c r="B1660" s="34" t="s">
        <v>6039</v>
      </c>
      <c r="C1660" s="34" t="s">
        <v>6040</v>
      </c>
      <c r="D1660" s="34" t="s">
        <v>4541</v>
      </c>
      <c r="E1660" s="34" t="s">
        <v>136</v>
      </c>
      <c r="F1660" s="34" t="s">
        <v>1602</v>
      </c>
      <c r="G1660" s="34" t="s">
        <v>2983</v>
      </c>
      <c r="H1660" s="34" t="s">
        <v>73</v>
      </c>
      <c r="I1660" s="34" t="s">
        <v>81</v>
      </c>
      <c r="J1660" s="34" t="s">
        <v>681</v>
      </c>
      <c r="K1660" s="34" t="s">
        <v>229</v>
      </c>
      <c r="L1660" s="34" t="s">
        <v>3198</v>
      </c>
      <c r="M1660" s="34" t="s">
        <v>344</v>
      </c>
      <c r="N1660" s="34" t="str">
        <f aca="false">"Sector "&amp;VALUE(MID(D1660,13,2))</f>
        <v>Sector 5</v>
      </c>
      <c r="O1660" s="34" t="str">
        <f aca="false">IF(Dashboard!$C$5="Ubicación técnica",N1660,"Sector "&amp;VALUE(RIGHT(G1660,2)))</f>
        <v>Sector 5</v>
      </c>
      <c r="P1660" s="34" t="str">
        <f aca="false">IF(MID(D1660,15,3)="SEL","Subestación eléctrica","Área de proceso")</f>
        <v>Subestación eléctrica</v>
      </c>
      <c r="Q1660" s="34" t="str">
        <f aca="false">MID(D1660,13,5)&amp;"|"&amp;MID(D1660,19,5)</f>
        <v>05SEL|S_011</v>
      </c>
      <c r="R1660" s="34" t="str">
        <f aca="false">IF(P1660="Subestación eléctrica",IFERROR(INDEX(cat_SubN,MATCH(Q1660,cat_SubK,0)),"SIN CATALOGAR"),"ÁREA DE PROCESO")</f>
        <v>SE-11</v>
      </c>
      <c r="S1660" s="34" t="str">
        <f aca="false">IF(H1660="","SIN DATO",IFERROR(INDEX(cat_MarcaN,MATCH(H1660,cat_MarcaO,0)),H1660))</f>
        <v>SIEMENS</v>
      </c>
      <c r="T1660" s="34" t="str">
        <f aca="false">IF(I1660="","SIN DATO",IFERROR(INDEX(cat_ModN,MATCH(I1660,cat_ModO,0)),I1660))</f>
        <v>ARGUS</v>
      </c>
      <c r="U1660" s="34" t="str">
        <f aca="false">IF(I1660="","",IFERROR(INDEX(cat_ModG,MATCH(I1660,cat_ModO,0)),"No"))</f>
        <v>No</v>
      </c>
      <c r="V1660" s="34" t="str">
        <f aca="false">IF(J1660="","SIN DATO",IFERROR(INDEX(cat_FunN,MATCH(J1660,cat_FunO,0)),J1660))</f>
        <v>Protección</v>
      </c>
      <c r="W1660" s="34" t="str">
        <f aca="false">IF(OR(S1660="SIN DATO",T1660="SIN DATO"),"No","Sí")</f>
        <v>Sí</v>
      </c>
    </row>
    <row r="1661" customFormat="false" ht="15" hidden="false" customHeight="false" outlineLevel="0" collapsed="false">
      <c r="A1661" s="34" t="s">
        <v>6041</v>
      </c>
      <c r="B1661" s="34" t="s">
        <v>6042</v>
      </c>
      <c r="C1661" s="34" t="s">
        <v>6043</v>
      </c>
      <c r="D1661" s="34" t="s">
        <v>4457</v>
      </c>
      <c r="E1661" s="34" t="s">
        <v>130</v>
      </c>
      <c r="F1661" s="34" t="s">
        <v>1602</v>
      </c>
      <c r="G1661" s="34" t="s">
        <v>2983</v>
      </c>
      <c r="H1661" s="34" t="s">
        <v>73</v>
      </c>
      <c r="I1661" s="34" t="s">
        <v>81</v>
      </c>
      <c r="J1661" s="34" t="s">
        <v>681</v>
      </c>
      <c r="K1661" s="34" t="s">
        <v>229</v>
      </c>
      <c r="L1661" s="34" t="s">
        <v>3198</v>
      </c>
      <c r="M1661" s="34" t="s">
        <v>344</v>
      </c>
      <c r="N1661" s="34" t="str">
        <f aca="false">"Sector "&amp;VALUE(MID(D1661,13,2))</f>
        <v>Sector 5</v>
      </c>
      <c r="O1661" s="34" t="str">
        <f aca="false">IF(Dashboard!$C$5="Ubicación técnica",N1661,"Sector "&amp;VALUE(RIGHT(G1661,2)))</f>
        <v>Sector 5</v>
      </c>
      <c r="P1661" s="34" t="str">
        <f aca="false">IF(MID(D1661,15,3)="SEL","Subestación eléctrica","Área de proceso")</f>
        <v>Subestación eléctrica</v>
      </c>
      <c r="Q1661" s="34" t="str">
        <f aca="false">MID(D1661,13,5)&amp;"|"&amp;MID(D1661,19,5)</f>
        <v>05SEL|S_004</v>
      </c>
      <c r="R1661" s="34" t="str">
        <f aca="false">IF(P1661="Subestación eléctrica",IFERROR(INDEX(cat_SubN,MATCH(Q1661,cat_SubK,0)),"SIN CATALOGAR"),"ÁREA DE PROCESO")</f>
        <v>SE-04</v>
      </c>
      <c r="S1661" s="34" t="str">
        <f aca="false">IF(H1661="","SIN DATO",IFERROR(INDEX(cat_MarcaN,MATCH(H1661,cat_MarcaO,0)),H1661))</f>
        <v>SIEMENS</v>
      </c>
      <c r="T1661" s="34" t="str">
        <f aca="false">IF(I1661="","SIN DATO",IFERROR(INDEX(cat_ModN,MATCH(I1661,cat_ModO,0)),I1661))</f>
        <v>ARGUS</v>
      </c>
      <c r="U1661" s="34" t="str">
        <f aca="false">IF(I1661="","",IFERROR(INDEX(cat_ModG,MATCH(I1661,cat_ModO,0)),"No"))</f>
        <v>No</v>
      </c>
      <c r="V1661" s="34" t="str">
        <f aca="false">IF(J1661="","SIN DATO",IFERROR(INDEX(cat_FunN,MATCH(J1661,cat_FunO,0)),J1661))</f>
        <v>Protección</v>
      </c>
      <c r="W1661" s="34" t="str">
        <f aca="false">IF(OR(S1661="SIN DATO",T1661="SIN DATO"),"No","Sí")</f>
        <v>Sí</v>
      </c>
    </row>
    <row r="1662" customFormat="false" ht="15" hidden="false" customHeight="false" outlineLevel="0" collapsed="false">
      <c r="A1662" s="34" t="s">
        <v>6044</v>
      </c>
      <c r="B1662" s="34" t="s">
        <v>6045</v>
      </c>
      <c r="C1662" s="34" t="s">
        <v>6046</v>
      </c>
      <c r="D1662" s="34" t="s">
        <v>4453</v>
      </c>
      <c r="E1662" s="34" t="s">
        <v>130</v>
      </c>
      <c r="F1662" s="34" t="s">
        <v>1602</v>
      </c>
      <c r="G1662" s="34" t="s">
        <v>2983</v>
      </c>
      <c r="H1662" s="34" t="s">
        <v>73</v>
      </c>
      <c r="I1662" s="34" t="s">
        <v>81</v>
      </c>
      <c r="J1662" s="34" t="s">
        <v>681</v>
      </c>
      <c r="K1662" s="34" t="s">
        <v>229</v>
      </c>
      <c r="L1662" s="34" t="s">
        <v>3198</v>
      </c>
      <c r="M1662" s="34" t="s">
        <v>344</v>
      </c>
      <c r="N1662" s="34" t="str">
        <f aca="false">"Sector "&amp;VALUE(MID(D1662,13,2))</f>
        <v>Sector 5</v>
      </c>
      <c r="O1662" s="34" t="str">
        <f aca="false">IF(Dashboard!$C$5="Ubicación técnica",N1662,"Sector "&amp;VALUE(RIGHT(G1662,2)))</f>
        <v>Sector 5</v>
      </c>
      <c r="P1662" s="34" t="str">
        <f aca="false">IF(MID(D1662,15,3)="SEL","Subestación eléctrica","Área de proceso")</f>
        <v>Subestación eléctrica</v>
      </c>
      <c r="Q1662" s="34" t="str">
        <f aca="false">MID(D1662,13,5)&amp;"|"&amp;MID(D1662,19,5)</f>
        <v>05SEL|S_004</v>
      </c>
      <c r="R1662" s="34" t="str">
        <f aca="false">IF(P1662="Subestación eléctrica",IFERROR(INDEX(cat_SubN,MATCH(Q1662,cat_SubK,0)),"SIN CATALOGAR"),"ÁREA DE PROCESO")</f>
        <v>SE-04</v>
      </c>
      <c r="S1662" s="34" t="str">
        <f aca="false">IF(H1662="","SIN DATO",IFERROR(INDEX(cat_MarcaN,MATCH(H1662,cat_MarcaO,0)),H1662))</f>
        <v>SIEMENS</v>
      </c>
      <c r="T1662" s="34" t="str">
        <f aca="false">IF(I1662="","SIN DATO",IFERROR(INDEX(cat_ModN,MATCH(I1662,cat_ModO,0)),I1662))</f>
        <v>ARGUS</v>
      </c>
      <c r="U1662" s="34" t="str">
        <f aca="false">IF(I1662="","",IFERROR(INDEX(cat_ModG,MATCH(I1662,cat_ModO,0)),"No"))</f>
        <v>No</v>
      </c>
      <c r="V1662" s="34" t="str">
        <f aca="false">IF(J1662="","SIN DATO",IFERROR(INDEX(cat_FunN,MATCH(J1662,cat_FunO,0)),J1662))</f>
        <v>Protección</v>
      </c>
      <c r="W1662" s="34" t="str">
        <f aca="false">IF(OR(S1662="SIN DATO",T1662="SIN DATO"),"No","Sí")</f>
        <v>Sí</v>
      </c>
    </row>
    <row r="1663" customFormat="false" ht="15" hidden="false" customHeight="false" outlineLevel="0" collapsed="false">
      <c r="A1663" s="34" t="s">
        <v>6047</v>
      </c>
      <c r="B1663" s="34" t="s">
        <v>6048</v>
      </c>
      <c r="C1663" s="34" t="s">
        <v>6049</v>
      </c>
      <c r="D1663" s="34" t="s">
        <v>4646</v>
      </c>
      <c r="E1663" s="34" t="s">
        <v>128</v>
      </c>
      <c r="F1663" s="34" t="s">
        <v>1602</v>
      </c>
      <c r="G1663" s="34" t="s">
        <v>2983</v>
      </c>
      <c r="H1663" s="34" t="s">
        <v>73</v>
      </c>
      <c r="I1663" s="34" t="s">
        <v>81</v>
      </c>
      <c r="J1663" s="34" t="s">
        <v>681</v>
      </c>
      <c r="K1663" s="34" t="s">
        <v>229</v>
      </c>
      <c r="L1663" s="34" t="s">
        <v>3198</v>
      </c>
      <c r="M1663" s="34" t="s">
        <v>344</v>
      </c>
      <c r="N1663" s="34" t="str">
        <f aca="false">"Sector "&amp;VALUE(MID(D1663,13,2))</f>
        <v>Sector 5</v>
      </c>
      <c r="O1663" s="34" t="str">
        <f aca="false">IF(Dashboard!$C$5="Ubicación técnica",N1663,"Sector "&amp;VALUE(RIGHT(G1663,2)))</f>
        <v>Sector 5</v>
      </c>
      <c r="P1663" s="34" t="str">
        <f aca="false">IF(MID(D1663,15,3)="SEL","Subestación eléctrica","Área de proceso")</f>
        <v>Subestación eléctrica</v>
      </c>
      <c r="Q1663" s="34" t="str">
        <f aca="false">MID(D1663,13,5)&amp;"|"&amp;MID(D1663,19,5)</f>
        <v>05SEL|S_003</v>
      </c>
      <c r="R1663" s="34" t="str">
        <f aca="false">IF(P1663="Subestación eléctrica",IFERROR(INDEX(cat_SubN,MATCH(Q1663,cat_SubK,0)),"SIN CATALOGAR"),"ÁREA DE PROCESO")</f>
        <v>SE-03</v>
      </c>
      <c r="S1663" s="34" t="str">
        <f aca="false">IF(H1663="","SIN DATO",IFERROR(INDEX(cat_MarcaN,MATCH(H1663,cat_MarcaO,0)),H1663))</f>
        <v>SIEMENS</v>
      </c>
      <c r="T1663" s="34" t="str">
        <f aca="false">IF(I1663="","SIN DATO",IFERROR(INDEX(cat_ModN,MATCH(I1663,cat_ModO,0)),I1663))</f>
        <v>ARGUS</v>
      </c>
      <c r="U1663" s="34" t="str">
        <f aca="false">IF(I1663="","",IFERROR(INDEX(cat_ModG,MATCH(I1663,cat_ModO,0)),"No"))</f>
        <v>No</v>
      </c>
      <c r="V1663" s="34" t="str">
        <f aca="false">IF(J1663="","SIN DATO",IFERROR(INDEX(cat_FunN,MATCH(J1663,cat_FunO,0)),J1663))</f>
        <v>Protección</v>
      </c>
      <c r="W1663" s="34" t="str">
        <f aca="false">IF(OR(S1663="SIN DATO",T1663="SIN DATO"),"No","Sí")</f>
        <v>Sí</v>
      </c>
    </row>
    <row r="1664" customFormat="false" ht="15" hidden="false" customHeight="false" outlineLevel="0" collapsed="false">
      <c r="A1664" s="34" t="s">
        <v>6050</v>
      </c>
      <c r="B1664" s="34" t="s">
        <v>6051</v>
      </c>
      <c r="C1664" s="34" t="s">
        <v>6052</v>
      </c>
      <c r="D1664" s="34" t="s">
        <v>4642</v>
      </c>
      <c r="E1664" s="34" t="s">
        <v>128</v>
      </c>
      <c r="F1664" s="34" t="s">
        <v>1602</v>
      </c>
      <c r="G1664" s="34" t="s">
        <v>2983</v>
      </c>
      <c r="H1664" s="34" t="s">
        <v>73</v>
      </c>
      <c r="I1664" s="34" t="s">
        <v>81</v>
      </c>
      <c r="J1664" s="34" t="s">
        <v>681</v>
      </c>
      <c r="K1664" s="34" t="s">
        <v>229</v>
      </c>
      <c r="L1664" s="34" t="s">
        <v>3198</v>
      </c>
      <c r="M1664" s="34" t="s">
        <v>344</v>
      </c>
      <c r="N1664" s="34" t="str">
        <f aca="false">"Sector "&amp;VALUE(MID(D1664,13,2))</f>
        <v>Sector 5</v>
      </c>
      <c r="O1664" s="34" t="str">
        <f aca="false">IF(Dashboard!$C$5="Ubicación técnica",N1664,"Sector "&amp;VALUE(RIGHT(G1664,2)))</f>
        <v>Sector 5</v>
      </c>
      <c r="P1664" s="34" t="str">
        <f aca="false">IF(MID(D1664,15,3)="SEL","Subestación eléctrica","Área de proceso")</f>
        <v>Subestación eléctrica</v>
      </c>
      <c r="Q1664" s="34" t="str">
        <f aca="false">MID(D1664,13,5)&amp;"|"&amp;MID(D1664,19,5)</f>
        <v>05SEL|S_003</v>
      </c>
      <c r="R1664" s="34" t="str">
        <f aca="false">IF(P1664="Subestación eléctrica",IFERROR(INDEX(cat_SubN,MATCH(Q1664,cat_SubK,0)),"SIN CATALOGAR"),"ÁREA DE PROCESO")</f>
        <v>SE-03</v>
      </c>
      <c r="S1664" s="34" t="str">
        <f aca="false">IF(H1664="","SIN DATO",IFERROR(INDEX(cat_MarcaN,MATCH(H1664,cat_MarcaO,0)),H1664))</f>
        <v>SIEMENS</v>
      </c>
      <c r="T1664" s="34" t="str">
        <f aca="false">IF(I1664="","SIN DATO",IFERROR(INDEX(cat_ModN,MATCH(I1664,cat_ModO,0)),I1664))</f>
        <v>ARGUS</v>
      </c>
      <c r="U1664" s="34" t="str">
        <f aca="false">IF(I1664="","",IFERROR(INDEX(cat_ModG,MATCH(I1664,cat_ModO,0)),"No"))</f>
        <v>No</v>
      </c>
      <c r="V1664" s="34" t="str">
        <f aca="false">IF(J1664="","SIN DATO",IFERROR(INDEX(cat_FunN,MATCH(J1664,cat_FunO,0)),J1664))</f>
        <v>Protección</v>
      </c>
      <c r="W1664" s="34" t="str">
        <f aca="false">IF(OR(S1664="SIN DATO",T1664="SIN DATO"),"No","Sí")</f>
        <v>Sí</v>
      </c>
    </row>
    <row r="1665" customFormat="false" ht="15" hidden="false" customHeight="false" outlineLevel="0" collapsed="false">
      <c r="A1665" s="34" t="s">
        <v>6053</v>
      </c>
      <c r="B1665" s="34" t="s">
        <v>6054</v>
      </c>
      <c r="C1665" s="34" t="s">
        <v>6055</v>
      </c>
      <c r="D1665" s="34" t="s">
        <v>6056</v>
      </c>
      <c r="E1665" s="34" t="s">
        <v>120</v>
      </c>
      <c r="F1665" s="34" t="s">
        <v>1602</v>
      </c>
      <c r="G1665" s="34" t="s">
        <v>1184</v>
      </c>
      <c r="H1665" s="34" t="s">
        <v>55</v>
      </c>
      <c r="I1665" s="34" t="s">
        <v>55</v>
      </c>
      <c r="J1665" s="34" t="s">
        <v>58</v>
      </c>
      <c r="K1665" s="34" t="s">
        <v>229</v>
      </c>
      <c r="L1665" s="34" t="s">
        <v>230</v>
      </c>
      <c r="M1665" s="34" t="s">
        <v>344</v>
      </c>
      <c r="N1665" s="34" t="str">
        <f aca="false">"Sector "&amp;VALUE(MID(D1665,13,2))</f>
        <v>Sector 4</v>
      </c>
      <c r="O1665" s="34" t="str">
        <f aca="false">IF(Dashboard!$C$5="Ubicación técnica",N1665,"Sector "&amp;VALUE(RIGHT(G1665,2)))</f>
        <v>Sector 4</v>
      </c>
      <c r="P1665" s="34" t="str">
        <f aca="false">IF(MID(D1665,15,3)="SEL","Subestación eléctrica","Área de proceso")</f>
        <v>Subestación eléctrica</v>
      </c>
      <c r="Q1665" s="34" t="str">
        <f aca="false">MID(D1665,13,5)&amp;"|"&amp;MID(D1665,19,5)</f>
        <v>04SEL|S_023</v>
      </c>
      <c r="R1665" s="34" t="str">
        <f aca="false">IF(P1665="Subestación eléctrica",IFERROR(INDEX(cat_SubN,MATCH(Q1665,cat_SubK,0)),"SIN CATALOGAR"),"ÁREA DE PROCESO")</f>
        <v>SE-23</v>
      </c>
      <c r="S1665" s="34" t="str">
        <f aca="false">IF(H1665="","SIN DATO",IFERROR(INDEX(cat_MarcaN,MATCH(H1665,cat_MarcaO,0)),H1665))</f>
        <v>SEL</v>
      </c>
      <c r="T1665" s="34" t="str">
        <f aca="false">IF(I1665="","SIN DATO",IFERROR(INDEX(cat_ModN,MATCH(I1665,cat_ModO,0)),I1665))</f>
        <v>SEL</v>
      </c>
      <c r="U1665" s="34" t="str">
        <f aca="false">IF(I1665="","",IFERROR(INDEX(cat_ModG,MATCH(I1665,cat_ModO,0)),"No"))</f>
        <v>Sí</v>
      </c>
      <c r="V1665" s="34" t="str">
        <f aca="false">IF(J1665="","SIN DATO",IFERROR(INDEX(cat_FunN,MATCH(J1665,cat_FunO,0)),J1665))</f>
        <v>Medición</v>
      </c>
      <c r="W1665" s="34" t="str">
        <f aca="false">IF(OR(S1665="SIN DATO",T1665="SIN DATO"),"No","Sí")</f>
        <v>Sí</v>
      </c>
    </row>
    <row r="1666" customFormat="false" ht="15" hidden="false" customHeight="false" outlineLevel="0" collapsed="false">
      <c r="A1666" s="34" t="s">
        <v>6057</v>
      </c>
      <c r="B1666" s="34" t="s">
        <v>6058</v>
      </c>
      <c r="C1666" s="34" t="s">
        <v>6059</v>
      </c>
      <c r="D1666" s="34" t="s">
        <v>6060</v>
      </c>
      <c r="E1666" s="34" t="s">
        <v>120</v>
      </c>
      <c r="F1666" s="34" t="s">
        <v>1602</v>
      </c>
      <c r="G1666" s="34" t="s">
        <v>1184</v>
      </c>
      <c r="H1666" s="34" t="s">
        <v>55</v>
      </c>
      <c r="I1666" s="34" t="s">
        <v>55</v>
      </c>
      <c r="J1666" s="34" t="s">
        <v>58</v>
      </c>
      <c r="K1666" s="34" t="s">
        <v>229</v>
      </c>
      <c r="L1666" s="34" t="s">
        <v>230</v>
      </c>
      <c r="M1666" s="34" t="s">
        <v>344</v>
      </c>
      <c r="N1666" s="34" t="str">
        <f aca="false">"Sector "&amp;VALUE(MID(D1666,13,2))</f>
        <v>Sector 4</v>
      </c>
      <c r="O1666" s="34" t="str">
        <f aca="false">IF(Dashboard!$C$5="Ubicación técnica",N1666,"Sector "&amp;VALUE(RIGHT(G1666,2)))</f>
        <v>Sector 4</v>
      </c>
      <c r="P1666" s="34" t="str">
        <f aca="false">IF(MID(D1666,15,3)="SEL","Subestación eléctrica","Área de proceso")</f>
        <v>Subestación eléctrica</v>
      </c>
      <c r="Q1666" s="34" t="str">
        <f aca="false">MID(D1666,13,5)&amp;"|"&amp;MID(D1666,19,5)</f>
        <v>04SEL|S_023</v>
      </c>
      <c r="R1666" s="34" t="str">
        <f aca="false">IF(P1666="Subestación eléctrica",IFERROR(INDEX(cat_SubN,MATCH(Q1666,cat_SubK,0)),"SIN CATALOGAR"),"ÁREA DE PROCESO")</f>
        <v>SE-23</v>
      </c>
      <c r="S1666" s="34" t="str">
        <f aca="false">IF(H1666="","SIN DATO",IFERROR(INDEX(cat_MarcaN,MATCH(H1666,cat_MarcaO,0)),H1666))</f>
        <v>SEL</v>
      </c>
      <c r="T1666" s="34" t="str">
        <f aca="false">IF(I1666="","SIN DATO",IFERROR(INDEX(cat_ModN,MATCH(I1666,cat_ModO,0)),I1666))</f>
        <v>SEL</v>
      </c>
      <c r="U1666" s="34" t="str">
        <f aca="false">IF(I1666="","",IFERROR(INDEX(cat_ModG,MATCH(I1666,cat_ModO,0)),"No"))</f>
        <v>Sí</v>
      </c>
      <c r="V1666" s="34" t="str">
        <f aca="false">IF(J1666="","SIN DATO",IFERROR(INDEX(cat_FunN,MATCH(J1666,cat_FunO,0)),J1666))</f>
        <v>Medición</v>
      </c>
      <c r="W1666" s="34" t="str">
        <f aca="false">IF(OR(S1666="SIN DATO",T1666="SIN DATO"),"No","Sí")</f>
        <v>Sí</v>
      </c>
    </row>
    <row r="1667" customFormat="false" ht="15" hidden="false" customHeight="false" outlineLevel="0" collapsed="false">
      <c r="A1667" s="34" t="s">
        <v>6061</v>
      </c>
      <c r="B1667" s="34" t="s">
        <v>6062</v>
      </c>
      <c r="C1667" s="34" t="s">
        <v>6063</v>
      </c>
      <c r="D1667" s="34" t="s">
        <v>6064</v>
      </c>
      <c r="E1667" s="34" t="s">
        <v>120</v>
      </c>
      <c r="F1667" s="34" t="s">
        <v>1602</v>
      </c>
      <c r="G1667" s="34" t="s">
        <v>1184</v>
      </c>
      <c r="H1667" s="34" t="s">
        <v>55</v>
      </c>
      <c r="I1667" s="34" t="s">
        <v>55</v>
      </c>
      <c r="J1667" s="34" t="s">
        <v>58</v>
      </c>
      <c r="K1667" s="34" t="s">
        <v>229</v>
      </c>
      <c r="L1667" s="34" t="s">
        <v>230</v>
      </c>
      <c r="M1667" s="34" t="s">
        <v>344</v>
      </c>
      <c r="N1667" s="34" t="str">
        <f aca="false">"Sector "&amp;VALUE(MID(D1667,13,2))</f>
        <v>Sector 4</v>
      </c>
      <c r="O1667" s="34" t="str">
        <f aca="false">IF(Dashboard!$C$5="Ubicación técnica",N1667,"Sector "&amp;VALUE(RIGHT(G1667,2)))</f>
        <v>Sector 4</v>
      </c>
      <c r="P1667" s="34" t="str">
        <f aca="false">IF(MID(D1667,15,3)="SEL","Subestación eléctrica","Área de proceso")</f>
        <v>Subestación eléctrica</v>
      </c>
      <c r="Q1667" s="34" t="str">
        <f aca="false">MID(D1667,13,5)&amp;"|"&amp;MID(D1667,19,5)</f>
        <v>04SEL|S_023</v>
      </c>
      <c r="R1667" s="34" t="str">
        <f aca="false">IF(P1667="Subestación eléctrica",IFERROR(INDEX(cat_SubN,MATCH(Q1667,cat_SubK,0)),"SIN CATALOGAR"),"ÁREA DE PROCESO")</f>
        <v>SE-23</v>
      </c>
      <c r="S1667" s="34" t="str">
        <f aca="false">IF(H1667="","SIN DATO",IFERROR(INDEX(cat_MarcaN,MATCH(H1667,cat_MarcaO,0)),H1667))</f>
        <v>SEL</v>
      </c>
      <c r="T1667" s="34" t="str">
        <f aca="false">IF(I1667="","SIN DATO",IFERROR(INDEX(cat_ModN,MATCH(I1667,cat_ModO,0)),I1667))</f>
        <v>SEL</v>
      </c>
      <c r="U1667" s="34" t="str">
        <f aca="false">IF(I1667="","",IFERROR(INDEX(cat_ModG,MATCH(I1667,cat_ModO,0)),"No"))</f>
        <v>Sí</v>
      </c>
      <c r="V1667" s="34" t="str">
        <f aca="false">IF(J1667="","SIN DATO",IFERROR(INDEX(cat_FunN,MATCH(J1667,cat_FunO,0)),J1667))</f>
        <v>Medición</v>
      </c>
      <c r="W1667" s="34" t="str">
        <f aca="false">IF(OR(S1667="SIN DATO",T1667="SIN DATO"),"No","Sí")</f>
        <v>Sí</v>
      </c>
    </row>
    <row r="1668" customFormat="false" ht="15" hidden="false" customHeight="false" outlineLevel="0" collapsed="false">
      <c r="A1668" s="34" t="s">
        <v>6065</v>
      </c>
      <c r="B1668" s="34" t="s">
        <v>6066</v>
      </c>
      <c r="C1668" s="34" t="s">
        <v>6067</v>
      </c>
      <c r="D1668" s="34" t="s">
        <v>6068</v>
      </c>
      <c r="E1668" s="34" t="s">
        <v>120</v>
      </c>
      <c r="F1668" s="34" t="s">
        <v>1602</v>
      </c>
      <c r="G1668" s="34" t="s">
        <v>1184</v>
      </c>
      <c r="H1668" s="34" t="s">
        <v>55</v>
      </c>
      <c r="I1668" s="34" t="s">
        <v>55</v>
      </c>
      <c r="J1668" s="34" t="s">
        <v>58</v>
      </c>
      <c r="K1668" s="34" t="s">
        <v>229</v>
      </c>
      <c r="L1668" s="34" t="s">
        <v>230</v>
      </c>
      <c r="M1668" s="34" t="s">
        <v>344</v>
      </c>
      <c r="N1668" s="34" t="str">
        <f aca="false">"Sector "&amp;VALUE(MID(D1668,13,2))</f>
        <v>Sector 4</v>
      </c>
      <c r="O1668" s="34" t="str">
        <f aca="false">IF(Dashboard!$C$5="Ubicación técnica",N1668,"Sector "&amp;VALUE(RIGHT(G1668,2)))</f>
        <v>Sector 4</v>
      </c>
      <c r="P1668" s="34" t="str">
        <f aca="false">IF(MID(D1668,15,3)="SEL","Subestación eléctrica","Área de proceso")</f>
        <v>Subestación eléctrica</v>
      </c>
      <c r="Q1668" s="34" t="str">
        <f aca="false">MID(D1668,13,5)&amp;"|"&amp;MID(D1668,19,5)</f>
        <v>04SEL|S_023</v>
      </c>
      <c r="R1668" s="34" t="str">
        <f aca="false">IF(P1668="Subestación eléctrica",IFERROR(INDEX(cat_SubN,MATCH(Q1668,cat_SubK,0)),"SIN CATALOGAR"),"ÁREA DE PROCESO")</f>
        <v>SE-23</v>
      </c>
      <c r="S1668" s="34" t="str">
        <f aca="false">IF(H1668="","SIN DATO",IFERROR(INDEX(cat_MarcaN,MATCH(H1668,cat_MarcaO,0)),H1668))</f>
        <v>SEL</v>
      </c>
      <c r="T1668" s="34" t="str">
        <f aca="false">IF(I1668="","SIN DATO",IFERROR(INDEX(cat_ModN,MATCH(I1668,cat_ModO,0)),I1668))</f>
        <v>SEL</v>
      </c>
      <c r="U1668" s="34" t="str">
        <f aca="false">IF(I1668="","",IFERROR(INDEX(cat_ModG,MATCH(I1668,cat_ModO,0)),"No"))</f>
        <v>Sí</v>
      </c>
      <c r="V1668" s="34" t="str">
        <f aca="false">IF(J1668="","SIN DATO",IFERROR(INDEX(cat_FunN,MATCH(J1668,cat_FunO,0)),J1668))</f>
        <v>Medición</v>
      </c>
      <c r="W1668" s="34" t="str">
        <f aca="false">IF(OR(S1668="SIN DATO",T1668="SIN DATO"),"No","Sí")</f>
        <v>Sí</v>
      </c>
    </row>
    <row r="1669" customFormat="false" ht="15" hidden="false" customHeight="false" outlineLevel="0" collapsed="false">
      <c r="A1669" s="34" t="s">
        <v>6069</v>
      </c>
      <c r="B1669" s="34" t="s">
        <v>6070</v>
      </c>
      <c r="C1669" s="34" t="s">
        <v>6071</v>
      </c>
      <c r="D1669" s="34" t="s">
        <v>6072</v>
      </c>
      <c r="E1669" s="34" t="s">
        <v>120</v>
      </c>
      <c r="F1669" s="34" t="s">
        <v>1602</v>
      </c>
      <c r="G1669" s="34" t="s">
        <v>1184</v>
      </c>
      <c r="H1669" s="34" t="s">
        <v>55</v>
      </c>
      <c r="I1669" s="34" t="s">
        <v>55</v>
      </c>
      <c r="J1669" s="34" t="s">
        <v>58</v>
      </c>
      <c r="K1669" s="34" t="s">
        <v>229</v>
      </c>
      <c r="L1669" s="34" t="s">
        <v>230</v>
      </c>
      <c r="M1669" s="34" t="s">
        <v>344</v>
      </c>
      <c r="N1669" s="34" t="str">
        <f aca="false">"Sector "&amp;VALUE(MID(D1669,13,2))</f>
        <v>Sector 4</v>
      </c>
      <c r="O1669" s="34" t="str">
        <f aca="false">IF(Dashboard!$C$5="Ubicación técnica",N1669,"Sector "&amp;VALUE(RIGHT(G1669,2)))</f>
        <v>Sector 4</v>
      </c>
      <c r="P1669" s="34" t="str">
        <f aca="false">IF(MID(D1669,15,3)="SEL","Subestación eléctrica","Área de proceso")</f>
        <v>Subestación eléctrica</v>
      </c>
      <c r="Q1669" s="34" t="str">
        <f aca="false">MID(D1669,13,5)&amp;"|"&amp;MID(D1669,19,5)</f>
        <v>04SEL|S_023</v>
      </c>
      <c r="R1669" s="34" t="str">
        <f aca="false">IF(P1669="Subestación eléctrica",IFERROR(INDEX(cat_SubN,MATCH(Q1669,cat_SubK,0)),"SIN CATALOGAR"),"ÁREA DE PROCESO")</f>
        <v>SE-23</v>
      </c>
      <c r="S1669" s="34" t="str">
        <f aca="false">IF(H1669="","SIN DATO",IFERROR(INDEX(cat_MarcaN,MATCH(H1669,cat_MarcaO,0)),H1669))</f>
        <v>SEL</v>
      </c>
      <c r="T1669" s="34" t="str">
        <f aca="false">IF(I1669="","SIN DATO",IFERROR(INDEX(cat_ModN,MATCH(I1669,cat_ModO,0)),I1669))</f>
        <v>SEL</v>
      </c>
      <c r="U1669" s="34" t="str">
        <f aca="false">IF(I1669="","",IFERROR(INDEX(cat_ModG,MATCH(I1669,cat_ModO,0)),"No"))</f>
        <v>Sí</v>
      </c>
      <c r="V1669" s="34" t="str">
        <f aca="false">IF(J1669="","SIN DATO",IFERROR(INDEX(cat_FunN,MATCH(J1669,cat_FunO,0)),J1669))</f>
        <v>Medición</v>
      </c>
      <c r="W1669" s="34" t="str">
        <f aca="false">IF(OR(S1669="SIN DATO",T1669="SIN DATO"),"No","Sí")</f>
        <v>Sí</v>
      </c>
    </row>
    <row r="1670" customFormat="false" ht="15" hidden="false" customHeight="false" outlineLevel="0" collapsed="false">
      <c r="A1670" s="34" t="s">
        <v>6073</v>
      </c>
      <c r="B1670" s="34" t="s">
        <v>6074</v>
      </c>
      <c r="C1670" s="34" t="s">
        <v>6075</v>
      </c>
      <c r="D1670" s="34" t="s">
        <v>6076</v>
      </c>
      <c r="E1670" s="34" t="s">
        <v>120</v>
      </c>
      <c r="F1670" s="34" t="s">
        <v>1602</v>
      </c>
      <c r="G1670" s="34" t="s">
        <v>1184</v>
      </c>
      <c r="H1670" s="34" t="s">
        <v>55</v>
      </c>
      <c r="I1670" s="34" t="s">
        <v>55</v>
      </c>
      <c r="J1670" s="34" t="s">
        <v>58</v>
      </c>
      <c r="K1670" s="34" t="s">
        <v>229</v>
      </c>
      <c r="L1670" s="34" t="s">
        <v>230</v>
      </c>
      <c r="M1670" s="34" t="s">
        <v>344</v>
      </c>
      <c r="N1670" s="34" t="str">
        <f aca="false">"Sector "&amp;VALUE(MID(D1670,13,2))</f>
        <v>Sector 4</v>
      </c>
      <c r="O1670" s="34" t="str">
        <f aca="false">IF(Dashboard!$C$5="Ubicación técnica",N1670,"Sector "&amp;VALUE(RIGHT(G1670,2)))</f>
        <v>Sector 4</v>
      </c>
      <c r="P1670" s="34" t="str">
        <f aca="false">IF(MID(D1670,15,3)="SEL","Subestación eléctrica","Área de proceso")</f>
        <v>Subestación eléctrica</v>
      </c>
      <c r="Q1670" s="34" t="str">
        <f aca="false">MID(D1670,13,5)&amp;"|"&amp;MID(D1670,19,5)</f>
        <v>04SEL|S_023</v>
      </c>
      <c r="R1670" s="34" t="str">
        <f aca="false">IF(P1670="Subestación eléctrica",IFERROR(INDEX(cat_SubN,MATCH(Q1670,cat_SubK,0)),"SIN CATALOGAR"),"ÁREA DE PROCESO")</f>
        <v>SE-23</v>
      </c>
      <c r="S1670" s="34" t="str">
        <f aca="false">IF(H1670="","SIN DATO",IFERROR(INDEX(cat_MarcaN,MATCH(H1670,cat_MarcaO,0)),H1670))</f>
        <v>SEL</v>
      </c>
      <c r="T1670" s="34" t="str">
        <f aca="false">IF(I1670="","SIN DATO",IFERROR(INDEX(cat_ModN,MATCH(I1670,cat_ModO,0)),I1670))</f>
        <v>SEL</v>
      </c>
      <c r="U1670" s="34" t="str">
        <f aca="false">IF(I1670="","",IFERROR(INDEX(cat_ModG,MATCH(I1670,cat_ModO,0)),"No"))</f>
        <v>Sí</v>
      </c>
      <c r="V1670" s="34" t="str">
        <f aca="false">IF(J1670="","SIN DATO",IFERROR(INDEX(cat_FunN,MATCH(J1670,cat_FunO,0)),J1670))</f>
        <v>Medición</v>
      </c>
      <c r="W1670" s="34" t="str">
        <f aca="false">IF(OR(S1670="SIN DATO",T1670="SIN DATO"),"No","Sí")</f>
        <v>Sí</v>
      </c>
    </row>
    <row r="1671" customFormat="false" ht="15" hidden="false" customHeight="false" outlineLevel="0" collapsed="false">
      <c r="A1671" s="34" t="s">
        <v>6077</v>
      </c>
      <c r="B1671" s="34" t="s">
        <v>6078</v>
      </c>
      <c r="C1671" s="34" t="s">
        <v>6079</v>
      </c>
      <c r="D1671" s="34" t="s">
        <v>6080</v>
      </c>
      <c r="E1671" s="34" t="s">
        <v>120</v>
      </c>
      <c r="F1671" s="34" t="s">
        <v>1602</v>
      </c>
      <c r="G1671" s="34" t="s">
        <v>1184</v>
      </c>
      <c r="H1671" s="34" t="s">
        <v>34</v>
      </c>
      <c r="I1671" s="34" t="s">
        <v>39</v>
      </c>
      <c r="J1671" s="34" t="s">
        <v>228</v>
      </c>
      <c r="K1671" s="34" t="s">
        <v>229</v>
      </c>
      <c r="L1671" s="34" t="s">
        <v>230</v>
      </c>
      <c r="M1671" s="34" t="s">
        <v>262</v>
      </c>
      <c r="N1671" s="34" t="str">
        <f aca="false">"Sector "&amp;VALUE(MID(D1671,13,2))</f>
        <v>Sector 4</v>
      </c>
      <c r="O1671" s="34" t="str">
        <f aca="false">IF(Dashboard!$C$5="Ubicación técnica",N1671,"Sector "&amp;VALUE(RIGHT(G1671,2)))</f>
        <v>Sector 4</v>
      </c>
      <c r="P1671" s="34" t="str">
        <f aca="false">IF(MID(D1671,15,3)="SEL","Subestación eléctrica","Área de proceso")</f>
        <v>Subestación eléctrica</v>
      </c>
      <c r="Q1671" s="34" t="str">
        <f aca="false">MID(D1671,13,5)&amp;"|"&amp;MID(D1671,19,5)</f>
        <v>04SEL|S_023</v>
      </c>
      <c r="R1671" s="34" t="str">
        <f aca="false">IF(P1671="Subestación eléctrica",IFERROR(INDEX(cat_SubN,MATCH(Q1671,cat_SubK,0)),"SIN CATALOGAR"),"ÁREA DE PROCESO")</f>
        <v>SE-23</v>
      </c>
      <c r="S1671" s="34" t="str">
        <f aca="false">IF(H1671="","SIN DATO",IFERROR(INDEX(cat_MarcaN,MATCH(H1671,cat_MarcaO,0)),H1671))</f>
        <v>ABB</v>
      </c>
      <c r="T1671" s="34" t="str">
        <f aca="false">IF(I1671="","SIN DATO",IFERROR(INDEX(cat_ModN,MATCH(I1671,cat_ModO,0)),I1671))</f>
        <v>REF</v>
      </c>
      <c r="U1671" s="34" t="str">
        <f aca="false">IF(I1671="","",IFERROR(INDEX(cat_ModG,MATCH(I1671,cat_ModO,0)),"No"))</f>
        <v>Sí</v>
      </c>
      <c r="V1671" s="34" t="str">
        <f aca="false">IF(J1671="","SIN DATO",IFERROR(INDEX(cat_FunN,MATCH(J1671,cat_FunO,0)),J1671))</f>
        <v>Protección y medición</v>
      </c>
      <c r="W1671" s="34" t="str">
        <f aca="false">IF(OR(S1671="SIN DATO",T1671="SIN DATO"),"No","Sí")</f>
        <v>Sí</v>
      </c>
    </row>
    <row r="1672" customFormat="false" ht="15" hidden="false" customHeight="false" outlineLevel="0" collapsed="false">
      <c r="A1672" s="34" t="s">
        <v>6081</v>
      </c>
      <c r="B1672" s="34" t="s">
        <v>6082</v>
      </c>
      <c r="C1672" s="34" t="s">
        <v>6083</v>
      </c>
      <c r="D1672" s="34" t="s">
        <v>6084</v>
      </c>
      <c r="E1672" s="34" t="s">
        <v>120</v>
      </c>
      <c r="F1672" s="34" t="s">
        <v>1602</v>
      </c>
      <c r="G1672" s="34" t="s">
        <v>1184</v>
      </c>
      <c r="H1672" s="34" t="s">
        <v>34</v>
      </c>
      <c r="I1672" s="34" t="s">
        <v>47</v>
      </c>
      <c r="J1672" s="34" t="s">
        <v>681</v>
      </c>
      <c r="K1672" s="34" t="s">
        <v>229</v>
      </c>
      <c r="L1672" s="34" t="s">
        <v>230</v>
      </c>
      <c r="M1672" s="34"/>
      <c r="N1672" s="34" t="str">
        <f aca="false">"Sector "&amp;VALUE(MID(D1672,13,2))</f>
        <v>Sector 4</v>
      </c>
      <c r="O1672" s="34" t="str">
        <f aca="false">IF(Dashboard!$C$5="Ubicación técnica",N1672,"Sector "&amp;VALUE(RIGHT(G1672,2)))</f>
        <v>Sector 4</v>
      </c>
      <c r="P1672" s="34" t="str">
        <f aca="false">IF(MID(D1672,15,3)="SEL","Subestación eléctrica","Área de proceso")</f>
        <v>Subestación eléctrica</v>
      </c>
      <c r="Q1672" s="34" t="str">
        <f aca="false">MID(D1672,13,5)&amp;"|"&amp;MID(D1672,19,5)</f>
        <v>04SEL|S_023</v>
      </c>
      <c r="R1672" s="34" t="str">
        <f aca="false">IF(P1672="Subestación eléctrica",IFERROR(INDEX(cat_SubN,MATCH(Q1672,cat_SubK,0)),"SIN CATALOGAR"),"ÁREA DE PROCESO")</f>
        <v>SE-23</v>
      </c>
      <c r="S1672" s="34" t="str">
        <f aca="false">IF(H1672="","SIN DATO",IFERROR(INDEX(cat_MarcaN,MATCH(H1672,cat_MarcaO,0)),H1672))</f>
        <v>ABB</v>
      </c>
      <c r="T1672" s="34" t="str">
        <f aca="false">IF(I1672="","SIN DATO",IFERROR(INDEX(cat_ModN,MATCH(I1672,cat_ModO,0)),I1672))</f>
        <v>REA</v>
      </c>
      <c r="U1672" s="34" t="str">
        <f aca="false">IF(I1672="","",IFERROR(INDEX(cat_ModG,MATCH(I1672,cat_ModO,0)),"No"))</f>
        <v>Sí</v>
      </c>
      <c r="V1672" s="34" t="str">
        <f aca="false">IF(J1672="","SIN DATO",IFERROR(INDEX(cat_FunN,MATCH(J1672,cat_FunO,0)),J1672))</f>
        <v>Protección</v>
      </c>
      <c r="W1672" s="34" t="str">
        <f aca="false">IF(OR(S1672="SIN DATO",T1672="SIN DATO"),"No","Sí")</f>
        <v>Sí</v>
      </c>
    </row>
    <row r="1673" customFormat="false" ht="15" hidden="false" customHeight="false" outlineLevel="0" collapsed="false">
      <c r="A1673" s="34" t="s">
        <v>6085</v>
      </c>
      <c r="B1673" s="34" t="s">
        <v>6086</v>
      </c>
      <c r="C1673" s="34" t="s">
        <v>6087</v>
      </c>
      <c r="D1673" s="34" t="s">
        <v>6084</v>
      </c>
      <c r="E1673" s="34" t="s">
        <v>120</v>
      </c>
      <c r="F1673" s="34" t="s">
        <v>1602</v>
      </c>
      <c r="G1673" s="34" t="s">
        <v>1184</v>
      </c>
      <c r="H1673" s="34" t="s">
        <v>34</v>
      </c>
      <c r="I1673" s="34" t="s">
        <v>39</v>
      </c>
      <c r="J1673" s="34" t="s">
        <v>228</v>
      </c>
      <c r="K1673" s="34" t="s">
        <v>229</v>
      </c>
      <c r="L1673" s="34" t="s">
        <v>230</v>
      </c>
      <c r="M1673" s="34" t="s">
        <v>262</v>
      </c>
      <c r="N1673" s="34" t="str">
        <f aca="false">"Sector "&amp;VALUE(MID(D1673,13,2))</f>
        <v>Sector 4</v>
      </c>
      <c r="O1673" s="34" t="str">
        <f aca="false">IF(Dashboard!$C$5="Ubicación técnica",N1673,"Sector "&amp;VALUE(RIGHT(G1673,2)))</f>
        <v>Sector 4</v>
      </c>
      <c r="P1673" s="34" t="str">
        <f aca="false">IF(MID(D1673,15,3)="SEL","Subestación eléctrica","Área de proceso")</f>
        <v>Subestación eléctrica</v>
      </c>
      <c r="Q1673" s="34" t="str">
        <f aca="false">MID(D1673,13,5)&amp;"|"&amp;MID(D1673,19,5)</f>
        <v>04SEL|S_023</v>
      </c>
      <c r="R1673" s="34" t="str">
        <f aca="false">IF(P1673="Subestación eléctrica",IFERROR(INDEX(cat_SubN,MATCH(Q1673,cat_SubK,0)),"SIN CATALOGAR"),"ÁREA DE PROCESO")</f>
        <v>SE-23</v>
      </c>
      <c r="S1673" s="34" t="str">
        <f aca="false">IF(H1673="","SIN DATO",IFERROR(INDEX(cat_MarcaN,MATCH(H1673,cat_MarcaO,0)),H1673))</f>
        <v>ABB</v>
      </c>
      <c r="T1673" s="34" t="str">
        <f aca="false">IF(I1673="","SIN DATO",IFERROR(INDEX(cat_ModN,MATCH(I1673,cat_ModO,0)),I1673))</f>
        <v>REF</v>
      </c>
      <c r="U1673" s="34" t="str">
        <f aca="false">IF(I1673="","",IFERROR(INDEX(cat_ModG,MATCH(I1673,cat_ModO,0)),"No"))</f>
        <v>Sí</v>
      </c>
      <c r="V1673" s="34" t="str">
        <f aca="false">IF(J1673="","SIN DATO",IFERROR(INDEX(cat_FunN,MATCH(J1673,cat_FunO,0)),J1673))</f>
        <v>Protección y medición</v>
      </c>
      <c r="W1673" s="34" t="str">
        <f aca="false">IF(OR(S1673="SIN DATO",T1673="SIN DATO"),"No","Sí")</f>
        <v>Sí</v>
      </c>
    </row>
    <row r="1674" customFormat="false" ht="15" hidden="false" customHeight="false" outlineLevel="0" collapsed="false">
      <c r="A1674" s="34" t="s">
        <v>6088</v>
      </c>
      <c r="B1674" s="34" t="s">
        <v>6089</v>
      </c>
      <c r="C1674" s="34" t="s">
        <v>6090</v>
      </c>
      <c r="D1674" s="34" t="s">
        <v>3234</v>
      </c>
      <c r="E1674" s="34" t="s">
        <v>120</v>
      </c>
      <c r="F1674" s="34" t="s">
        <v>1602</v>
      </c>
      <c r="G1674" s="34" t="s">
        <v>1184</v>
      </c>
      <c r="H1674" s="34" t="s">
        <v>34</v>
      </c>
      <c r="I1674" s="34" t="s">
        <v>39</v>
      </c>
      <c r="J1674" s="34" t="s">
        <v>228</v>
      </c>
      <c r="K1674" s="34" t="s">
        <v>229</v>
      </c>
      <c r="L1674" s="34" t="s">
        <v>230</v>
      </c>
      <c r="M1674" s="34" t="s">
        <v>262</v>
      </c>
      <c r="N1674" s="34" t="str">
        <f aca="false">"Sector "&amp;VALUE(MID(D1674,13,2))</f>
        <v>Sector 4</v>
      </c>
      <c r="O1674" s="34" t="str">
        <f aca="false">IF(Dashboard!$C$5="Ubicación técnica",N1674,"Sector "&amp;VALUE(RIGHT(G1674,2)))</f>
        <v>Sector 4</v>
      </c>
      <c r="P1674" s="34" t="str">
        <f aca="false">IF(MID(D1674,15,3)="SEL","Subestación eléctrica","Área de proceso")</f>
        <v>Subestación eléctrica</v>
      </c>
      <c r="Q1674" s="34" t="str">
        <f aca="false">MID(D1674,13,5)&amp;"|"&amp;MID(D1674,19,5)</f>
        <v>04SEL|S_023</v>
      </c>
      <c r="R1674" s="34" t="str">
        <f aca="false">IF(P1674="Subestación eléctrica",IFERROR(INDEX(cat_SubN,MATCH(Q1674,cat_SubK,0)),"SIN CATALOGAR"),"ÁREA DE PROCESO")</f>
        <v>SE-23</v>
      </c>
      <c r="S1674" s="34" t="str">
        <f aca="false">IF(H1674="","SIN DATO",IFERROR(INDEX(cat_MarcaN,MATCH(H1674,cat_MarcaO,0)),H1674))</f>
        <v>ABB</v>
      </c>
      <c r="T1674" s="34" t="str">
        <f aca="false">IF(I1674="","SIN DATO",IFERROR(INDEX(cat_ModN,MATCH(I1674,cat_ModO,0)),I1674))</f>
        <v>REF</v>
      </c>
      <c r="U1674" s="34" t="str">
        <f aca="false">IF(I1674="","",IFERROR(INDEX(cat_ModG,MATCH(I1674,cat_ModO,0)),"No"))</f>
        <v>Sí</v>
      </c>
      <c r="V1674" s="34" t="str">
        <f aca="false">IF(J1674="","SIN DATO",IFERROR(INDEX(cat_FunN,MATCH(J1674,cat_FunO,0)),J1674))</f>
        <v>Protección y medición</v>
      </c>
      <c r="W1674" s="34" t="str">
        <f aca="false">IF(OR(S1674="SIN DATO",T1674="SIN DATO"),"No","Sí")</f>
        <v>Sí</v>
      </c>
    </row>
    <row r="1675" customFormat="false" ht="15" hidden="false" customHeight="false" outlineLevel="0" collapsed="false">
      <c r="A1675" s="34" t="s">
        <v>6091</v>
      </c>
      <c r="B1675" s="34" t="s">
        <v>6092</v>
      </c>
      <c r="C1675" s="34" t="s">
        <v>6093</v>
      </c>
      <c r="D1675" s="34" t="s">
        <v>6094</v>
      </c>
      <c r="E1675" s="34" t="s">
        <v>120</v>
      </c>
      <c r="F1675" s="34" t="s">
        <v>1602</v>
      </c>
      <c r="G1675" s="34" t="s">
        <v>1184</v>
      </c>
      <c r="H1675" s="34" t="s">
        <v>34</v>
      </c>
      <c r="I1675" s="34" t="s">
        <v>47</v>
      </c>
      <c r="J1675" s="34" t="s">
        <v>681</v>
      </c>
      <c r="K1675" s="34" t="s">
        <v>229</v>
      </c>
      <c r="L1675" s="34" t="s">
        <v>230</v>
      </c>
      <c r="M1675" s="34"/>
      <c r="N1675" s="34" t="str">
        <f aca="false">"Sector "&amp;VALUE(MID(D1675,13,2))</f>
        <v>Sector 4</v>
      </c>
      <c r="O1675" s="34" t="str">
        <f aca="false">IF(Dashboard!$C$5="Ubicación técnica",N1675,"Sector "&amp;VALUE(RIGHT(G1675,2)))</f>
        <v>Sector 4</v>
      </c>
      <c r="P1675" s="34" t="str">
        <f aca="false">IF(MID(D1675,15,3)="SEL","Subestación eléctrica","Área de proceso")</f>
        <v>Subestación eléctrica</v>
      </c>
      <c r="Q1675" s="34" t="str">
        <f aca="false">MID(D1675,13,5)&amp;"|"&amp;MID(D1675,19,5)</f>
        <v>04SEL|S_023</v>
      </c>
      <c r="R1675" s="34" t="str">
        <f aca="false">IF(P1675="Subestación eléctrica",IFERROR(INDEX(cat_SubN,MATCH(Q1675,cat_SubK,0)),"SIN CATALOGAR"),"ÁREA DE PROCESO")</f>
        <v>SE-23</v>
      </c>
      <c r="S1675" s="34" t="str">
        <f aca="false">IF(H1675="","SIN DATO",IFERROR(INDEX(cat_MarcaN,MATCH(H1675,cat_MarcaO,0)),H1675))</f>
        <v>ABB</v>
      </c>
      <c r="T1675" s="34" t="str">
        <f aca="false">IF(I1675="","SIN DATO",IFERROR(INDEX(cat_ModN,MATCH(I1675,cat_ModO,0)),I1675))</f>
        <v>REA</v>
      </c>
      <c r="U1675" s="34" t="str">
        <f aca="false">IF(I1675="","",IFERROR(INDEX(cat_ModG,MATCH(I1675,cat_ModO,0)),"No"))</f>
        <v>Sí</v>
      </c>
      <c r="V1675" s="34" t="str">
        <f aca="false">IF(J1675="","SIN DATO",IFERROR(INDEX(cat_FunN,MATCH(J1675,cat_FunO,0)),J1675))</f>
        <v>Protección</v>
      </c>
      <c r="W1675" s="34" t="str">
        <f aca="false">IF(OR(S1675="SIN DATO",T1675="SIN DATO"),"No","Sí")</f>
        <v>Sí</v>
      </c>
    </row>
    <row r="1676" customFormat="false" ht="15" hidden="false" customHeight="false" outlineLevel="0" collapsed="false">
      <c r="A1676" s="34" t="s">
        <v>6095</v>
      </c>
      <c r="B1676" s="34" t="s">
        <v>6096</v>
      </c>
      <c r="C1676" s="34" t="s">
        <v>6097</v>
      </c>
      <c r="D1676" s="34" t="s">
        <v>6094</v>
      </c>
      <c r="E1676" s="34" t="s">
        <v>120</v>
      </c>
      <c r="F1676" s="34" t="s">
        <v>1602</v>
      </c>
      <c r="G1676" s="34" t="s">
        <v>1184</v>
      </c>
      <c r="H1676" s="34" t="s">
        <v>55</v>
      </c>
      <c r="I1676" s="34" t="s">
        <v>55</v>
      </c>
      <c r="J1676" s="34" t="s">
        <v>58</v>
      </c>
      <c r="K1676" s="34" t="s">
        <v>229</v>
      </c>
      <c r="L1676" s="34" t="s">
        <v>230</v>
      </c>
      <c r="M1676" s="34" t="s">
        <v>344</v>
      </c>
      <c r="N1676" s="34" t="str">
        <f aca="false">"Sector "&amp;VALUE(MID(D1676,13,2))</f>
        <v>Sector 4</v>
      </c>
      <c r="O1676" s="34" t="str">
        <f aca="false">IF(Dashboard!$C$5="Ubicación técnica",N1676,"Sector "&amp;VALUE(RIGHT(G1676,2)))</f>
        <v>Sector 4</v>
      </c>
      <c r="P1676" s="34" t="str">
        <f aca="false">IF(MID(D1676,15,3)="SEL","Subestación eléctrica","Área de proceso")</f>
        <v>Subestación eléctrica</v>
      </c>
      <c r="Q1676" s="34" t="str">
        <f aca="false">MID(D1676,13,5)&amp;"|"&amp;MID(D1676,19,5)</f>
        <v>04SEL|S_023</v>
      </c>
      <c r="R1676" s="34" t="str">
        <f aca="false">IF(P1676="Subestación eléctrica",IFERROR(INDEX(cat_SubN,MATCH(Q1676,cat_SubK,0)),"SIN CATALOGAR"),"ÁREA DE PROCESO")</f>
        <v>SE-23</v>
      </c>
      <c r="S1676" s="34" t="str">
        <f aca="false">IF(H1676="","SIN DATO",IFERROR(INDEX(cat_MarcaN,MATCH(H1676,cat_MarcaO,0)),H1676))</f>
        <v>SEL</v>
      </c>
      <c r="T1676" s="34" t="str">
        <f aca="false">IF(I1676="","SIN DATO",IFERROR(INDEX(cat_ModN,MATCH(I1676,cat_ModO,0)),I1676))</f>
        <v>SEL</v>
      </c>
      <c r="U1676" s="34" t="str">
        <f aca="false">IF(I1676="","",IFERROR(INDEX(cat_ModG,MATCH(I1676,cat_ModO,0)),"No"))</f>
        <v>Sí</v>
      </c>
      <c r="V1676" s="34" t="str">
        <f aca="false">IF(J1676="","SIN DATO",IFERROR(INDEX(cat_FunN,MATCH(J1676,cat_FunO,0)),J1676))</f>
        <v>Medición</v>
      </c>
      <c r="W1676" s="34" t="str">
        <f aca="false">IF(OR(S1676="SIN DATO",T1676="SIN DATO"),"No","Sí")</f>
        <v>Sí</v>
      </c>
    </row>
    <row r="1677" customFormat="false" ht="15" hidden="false" customHeight="false" outlineLevel="0" collapsed="false">
      <c r="A1677" s="34" t="s">
        <v>6098</v>
      </c>
      <c r="B1677" s="34" t="s">
        <v>6099</v>
      </c>
      <c r="C1677" s="34" t="s">
        <v>6100</v>
      </c>
      <c r="D1677" s="34" t="s">
        <v>6094</v>
      </c>
      <c r="E1677" s="34" t="s">
        <v>120</v>
      </c>
      <c r="F1677" s="34" t="s">
        <v>1602</v>
      </c>
      <c r="G1677" s="34" t="s">
        <v>1184</v>
      </c>
      <c r="H1677" s="34" t="s">
        <v>34</v>
      </c>
      <c r="I1677" s="34" t="s">
        <v>39</v>
      </c>
      <c r="J1677" s="34" t="s">
        <v>228</v>
      </c>
      <c r="K1677" s="34" t="s">
        <v>229</v>
      </c>
      <c r="L1677" s="34" t="s">
        <v>230</v>
      </c>
      <c r="M1677" s="34" t="s">
        <v>262</v>
      </c>
      <c r="N1677" s="34" t="str">
        <f aca="false">"Sector "&amp;VALUE(MID(D1677,13,2))</f>
        <v>Sector 4</v>
      </c>
      <c r="O1677" s="34" t="str">
        <f aca="false">IF(Dashboard!$C$5="Ubicación técnica",N1677,"Sector "&amp;VALUE(RIGHT(G1677,2)))</f>
        <v>Sector 4</v>
      </c>
      <c r="P1677" s="34" t="str">
        <f aca="false">IF(MID(D1677,15,3)="SEL","Subestación eléctrica","Área de proceso")</f>
        <v>Subestación eléctrica</v>
      </c>
      <c r="Q1677" s="34" t="str">
        <f aca="false">MID(D1677,13,5)&amp;"|"&amp;MID(D1677,19,5)</f>
        <v>04SEL|S_023</v>
      </c>
      <c r="R1677" s="34" t="str">
        <f aca="false">IF(P1677="Subestación eléctrica",IFERROR(INDEX(cat_SubN,MATCH(Q1677,cat_SubK,0)),"SIN CATALOGAR"),"ÁREA DE PROCESO")</f>
        <v>SE-23</v>
      </c>
      <c r="S1677" s="34" t="str">
        <f aca="false">IF(H1677="","SIN DATO",IFERROR(INDEX(cat_MarcaN,MATCH(H1677,cat_MarcaO,0)),H1677))</f>
        <v>ABB</v>
      </c>
      <c r="T1677" s="34" t="str">
        <f aca="false">IF(I1677="","SIN DATO",IFERROR(INDEX(cat_ModN,MATCH(I1677,cat_ModO,0)),I1677))</f>
        <v>REF</v>
      </c>
      <c r="U1677" s="34" t="str">
        <f aca="false">IF(I1677="","",IFERROR(INDEX(cat_ModG,MATCH(I1677,cat_ModO,0)),"No"))</f>
        <v>Sí</v>
      </c>
      <c r="V1677" s="34" t="str">
        <f aca="false">IF(J1677="","SIN DATO",IFERROR(INDEX(cat_FunN,MATCH(J1677,cat_FunO,0)),J1677))</f>
        <v>Protección y medición</v>
      </c>
      <c r="W1677" s="34" t="str">
        <f aca="false">IF(OR(S1677="SIN DATO",T1677="SIN DATO"),"No","Sí")</f>
        <v>Sí</v>
      </c>
    </row>
    <row r="1678" customFormat="false" ht="15" hidden="false" customHeight="false" outlineLevel="0" collapsed="false">
      <c r="A1678" s="34" t="s">
        <v>6101</v>
      </c>
      <c r="B1678" s="34" t="s">
        <v>6102</v>
      </c>
      <c r="C1678" s="34" t="s">
        <v>6103</v>
      </c>
      <c r="D1678" s="34" t="s">
        <v>6028</v>
      </c>
      <c r="E1678" s="34" t="s">
        <v>120</v>
      </c>
      <c r="F1678" s="34" t="s">
        <v>1602</v>
      </c>
      <c r="G1678" s="34" t="s">
        <v>1184</v>
      </c>
      <c r="H1678" s="34" t="s">
        <v>34</v>
      </c>
      <c r="I1678" s="34" t="s">
        <v>39</v>
      </c>
      <c r="J1678" s="34" t="s">
        <v>228</v>
      </c>
      <c r="K1678" s="34" t="s">
        <v>229</v>
      </c>
      <c r="L1678" s="34" t="s">
        <v>230</v>
      </c>
      <c r="M1678" s="34" t="s">
        <v>262</v>
      </c>
      <c r="N1678" s="34" t="str">
        <f aca="false">"Sector "&amp;VALUE(MID(D1678,13,2))</f>
        <v>Sector 4</v>
      </c>
      <c r="O1678" s="34" t="str">
        <f aca="false">IF(Dashboard!$C$5="Ubicación técnica",N1678,"Sector "&amp;VALUE(RIGHT(G1678,2)))</f>
        <v>Sector 4</v>
      </c>
      <c r="P1678" s="34" t="str">
        <f aca="false">IF(MID(D1678,15,3)="SEL","Subestación eléctrica","Área de proceso")</f>
        <v>Subestación eléctrica</v>
      </c>
      <c r="Q1678" s="34" t="str">
        <f aca="false">MID(D1678,13,5)&amp;"|"&amp;MID(D1678,19,5)</f>
        <v>04SEL|S_023</v>
      </c>
      <c r="R1678" s="34" t="str">
        <f aca="false">IF(P1678="Subestación eléctrica",IFERROR(INDEX(cat_SubN,MATCH(Q1678,cat_SubK,0)),"SIN CATALOGAR"),"ÁREA DE PROCESO")</f>
        <v>SE-23</v>
      </c>
      <c r="S1678" s="34" t="str">
        <f aca="false">IF(H1678="","SIN DATO",IFERROR(INDEX(cat_MarcaN,MATCH(H1678,cat_MarcaO,0)),H1678))</f>
        <v>ABB</v>
      </c>
      <c r="T1678" s="34" t="str">
        <f aca="false">IF(I1678="","SIN DATO",IFERROR(INDEX(cat_ModN,MATCH(I1678,cat_ModO,0)),I1678))</f>
        <v>REF</v>
      </c>
      <c r="U1678" s="34" t="str">
        <f aca="false">IF(I1678="","",IFERROR(INDEX(cat_ModG,MATCH(I1678,cat_ModO,0)),"No"))</f>
        <v>Sí</v>
      </c>
      <c r="V1678" s="34" t="str">
        <f aca="false">IF(J1678="","SIN DATO",IFERROR(INDEX(cat_FunN,MATCH(J1678,cat_FunO,0)),J1678))</f>
        <v>Protección y medición</v>
      </c>
      <c r="W1678" s="34" t="str">
        <f aca="false">IF(OR(S1678="SIN DATO",T1678="SIN DATO"),"No","Sí")</f>
        <v>Sí</v>
      </c>
    </row>
    <row r="1679" customFormat="false" ht="15" hidden="false" customHeight="false" outlineLevel="0" collapsed="false">
      <c r="A1679" s="34" t="s">
        <v>6104</v>
      </c>
      <c r="B1679" s="34" t="s">
        <v>6105</v>
      </c>
      <c r="C1679" s="34" t="s">
        <v>6106</v>
      </c>
      <c r="D1679" s="34" t="s">
        <v>6107</v>
      </c>
      <c r="E1679" s="34" t="s">
        <v>120</v>
      </c>
      <c r="F1679" s="34" t="s">
        <v>6108</v>
      </c>
      <c r="G1679" s="34" t="s">
        <v>1184</v>
      </c>
      <c r="H1679" s="34" t="s">
        <v>34</v>
      </c>
      <c r="I1679" s="34" t="s">
        <v>44</v>
      </c>
      <c r="J1679" s="34" t="s">
        <v>228</v>
      </c>
      <c r="K1679" s="34" t="s">
        <v>229</v>
      </c>
      <c r="L1679" s="34" t="s">
        <v>230</v>
      </c>
      <c r="M1679" s="34" t="s">
        <v>262</v>
      </c>
      <c r="N1679" s="34" t="str">
        <f aca="false">"Sector "&amp;VALUE(MID(D1679,13,2))</f>
        <v>Sector 4</v>
      </c>
      <c r="O1679" s="34" t="str">
        <f aca="false">IF(Dashboard!$C$5="Ubicación técnica",N1679,"Sector "&amp;VALUE(RIGHT(G1679,2)))</f>
        <v>Sector 4</v>
      </c>
      <c r="P1679" s="34" t="str">
        <f aca="false">IF(MID(D1679,15,3)="SEL","Subestación eléctrica","Área de proceso")</f>
        <v>Área de proceso</v>
      </c>
      <c r="Q1679" s="34" t="str">
        <f aca="false">MID(D1679,13,5)&amp;"|"&amp;MID(D1679,19,5)</f>
        <v>04GHA|SCOMP</v>
      </c>
      <c r="R1679" s="34" t="str">
        <f aca="false">IF(P1679="Subestación eléctrica",IFERROR(INDEX(cat_SubN,MATCH(Q1679,cat_SubK,0)),"SIN CATALOGAR"),"ÁREA DE PROCESO")</f>
        <v>ÁREA DE PROCESO</v>
      </c>
      <c r="S1679" s="34" t="str">
        <f aca="false">IF(H1679="","SIN DATO",IFERROR(INDEX(cat_MarcaN,MATCH(H1679,cat_MarcaO,0)),H1679))</f>
        <v>ABB</v>
      </c>
      <c r="T1679" s="34" t="str">
        <f aca="false">IF(I1679="","SIN DATO",IFERROR(INDEX(cat_ModN,MATCH(I1679,cat_ModO,0)),I1679))</f>
        <v>REM</v>
      </c>
      <c r="U1679" s="34" t="str">
        <f aca="false">IF(I1679="","",IFERROR(INDEX(cat_ModG,MATCH(I1679,cat_ModO,0)),"No"))</f>
        <v>Sí</v>
      </c>
      <c r="V1679" s="34" t="str">
        <f aca="false">IF(J1679="","SIN DATO",IFERROR(INDEX(cat_FunN,MATCH(J1679,cat_FunO,0)),J1679))</f>
        <v>Protección y medición</v>
      </c>
      <c r="W1679" s="34" t="str">
        <f aca="false">IF(OR(S1679="SIN DATO",T1679="SIN DATO"),"No","Sí")</f>
        <v>Sí</v>
      </c>
    </row>
    <row r="1680" customFormat="false" ht="15" hidden="false" customHeight="false" outlineLevel="0" collapsed="false">
      <c r="A1680" s="34" t="s">
        <v>6109</v>
      </c>
      <c r="B1680" s="34" t="s">
        <v>6110</v>
      </c>
      <c r="C1680" s="34" t="s">
        <v>6111</v>
      </c>
      <c r="D1680" s="34" t="s">
        <v>6112</v>
      </c>
      <c r="E1680" s="34" t="s">
        <v>120</v>
      </c>
      <c r="F1680" s="34" t="s">
        <v>6108</v>
      </c>
      <c r="G1680" s="34" t="s">
        <v>1184</v>
      </c>
      <c r="H1680" s="34" t="s">
        <v>34</v>
      </c>
      <c r="I1680" s="34" t="s">
        <v>44</v>
      </c>
      <c r="J1680" s="34" t="s">
        <v>228</v>
      </c>
      <c r="K1680" s="34" t="s">
        <v>229</v>
      </c>
      <c r="L1680" s="34" t="s">
        <v>230</v>
      </c>
      <c r="M1680" s="34" t="s">
        <v>262</v>
      </c>
      <c r="N1680" s="34" t="str">
        <f aca="false">"Sector "&amp;VALUE(MID(D1680,13,2))</f>
        <v>Sector 4</v>
      </c>
      <c r="O1680" s="34" t="str">
        <f aca="false">IF(Dashboard!$C$5="Ubicación técnica",N1680,"Sector "&amp;VALUE(RIGHT(G1680,2)))</f>
        <v>Sector 4</v>
      </c>
      <c r="P1680" s="34" t="str">
        <f aca="false">IF(MID(D1680,15,3)="SEL","Subestación eléctrica","Área de proceso")</f>
        <v>Área de proceso</v>
      </c>
      <c r="Q1680" s="34" t="str">
        <f aca="false">MID(D1680,13,5)&amp;"|"&amp;MID(D1680,19,5)</f>
        <v>04GHA|SDESF</v>
      </c>
      <c r="R1680" s="34" t="str">
        <f aca="false">IF(P1680="Subestación eléctrica",IFERROR(INDEX(cat_SubN,MATCH(Q1680,cat_SubK,0)),"SIN CATALOGAR"),"ÁREA DE PROCESO")</f>
        <v>ÁREA DE PROCESO</v>
      </c>
      <c r="S1680" s="34" t="str">
        <f aca="false">IF(H1680="","SIN DATO",IFERROR(INDEX(cat_MarcaN,MATCH(H1680,cat_MarcaO,0)),H1680))</f>
        <v>ABB</v>
      </c>
      <c r="T1680" s="34" t="str">
        <f aca="false">IF(I1680="","SIN DATO",IFERROR(INDEX(cat_ModN,MATCH(I1680,cat_ModO,0)),I1680))</f>
        <v>REM</v>
      </c>
      <c r="U1680" s="34" t="str">
        <f aca="false">IF(I1680="","",IFERROR(INDEX(cat_ModG,MATCH(I1680,cat_ModO,0)),"No"))</f>
        <v>Sí</v>
      </c>
      <c r="V1680" s="34" t="str">
        <f aca="false">IF(J1680="","SIN DATO",IFERROR(INDEX(cat_FunN,MATCH(J1680,cat_FunO,0)),J1680))</f>
        <v>Protección y medición</v>
      </c>
      <c r="W1680" s="34" t="str">
        <f aca="false">IF(OR(S1680="SIN DATO",T1680="SIN DATO"),"No","Sí")</f>
        <v>Sí</v>
      </c>
    </row>
    <row r="1681" customFormat="false" ht="15" hidden="false" customHeight="false" outlineLevel="0" collapsed="false">
      <c r="A1681" s="34" t="s">
        <v>6113</v>
      </c>
      <c r="B1681" s="34" t="s">
        <v>6114</v>
      </c>
      <c r="C1681" s="34" t="s">
        <v>6115</v>
      </c>
      <c r="D1681" s="34" t="s">
        <v>6116</v>
      </c>
      <c r="E1681" s="34" t="s">
        <v>120</v>
      </c>
      <c r="F1681" s="34" t="s">
        <v>6108</v>
      </c>
      <c r="G1681" s="34" t="s">
        <v>1184</v>
      </c>
      <c r="H1681" s="34" t="s">
        <v>34</v>
      </c>
      <c r="I1681" s="34" t="s">
        <v>44</v>
      </c>
      <c r="J1681" s="34" t="s">
        <v>228</v>
      </c>
      <c r="K1681" s="34" t="s">
        <v>229</v>
      </c>
      <c r="L1681" s="34" t="s">
        <v>230</v>
      </c>
      <c r="M1681" s="34" t="s">
        <v>262</v>
      </c>
      <c r="N1681" s="34" t="str">
        <f aca="false">"Sector "&amp;VALUE(MID(D1681,13,2))</f>
        <v>Sector 4</v>
      </c>
      <c r="O1681" s="34" t="str">
        <f aca="false">IF(Dashboard!$C$5="Ubicación técnica",N1681,"Sector "&amp;VALUE(RIGHT(G1681,2)))</f>
        <v>Sector 4</v>
      </c>
      <c r="P1681" s="34" t="str">
        <f aca="false">IF(MID(D1681,15,3)="SEL","Subestación eléctrica","Área de proceso")</f>
        <v>Área de proceso</v>
      </c>
      <c r="Q1681" s="34" t="str">
        <f aca="false">MID(D1681,13,5)&amp;"|"&amp;MID(D1681,19,5)</f>
        <v>04GHA|SDESF</v>
      </c>
      <c r="R1681" s="34" t="str">
        <f aca="false">IF(P1681="Subestación eléctrica",IFERROR(INDEX(cat_SubN,MATCH(Q1681,cat_SubK,0)),"SIN CATALOGAR"),"ÁREA DE PROCESO")</f>
        <v>ÁREA DE PROCESO</v>
      </c>
      <c r="S1681" s="34" t="str">
        <f aca="false">IF(H1681="","SIN DATO",IFERROR(INDEX(cat_MarcaN,MATCH(H1681,cat_MarcaO,0)),H1681))</f>
        <v>ABB</v>
      </c>
      <c r="T1681" s="34" t="str">
        <f aca="false">IF(I1681="","SIN DATO",IFERROR(INDEX(cat_ModN,MATCH(I1681,cat_ModO,0)),I1681))</f>
        <v>REM</v>
      </c>
      <c r="U1681" s="34" t="str">
        <f aca="false">IF(I1681="","",IFERROR(INDEX(cat_ModG,MATCH(I1681,cat_ModO,0)),"No"))</f>
        <v>Sí</v>
      </c>
      <c r="V1681" s="34" t="str">
        <f aca="false">IF(J1681="","SIN DATO",IFERROR(INDEX(cat_FunN,MATCH(J1681,cat_FunO,0)),J1681))</f>
        <v>Protección y medición</v>
      </c>
      <c r="W1681" s="34" t="str">
        <f aca="false">IF(OR(S1681="SIN DATO",T1681="SIN DATO"),"No","Sí")</f>
        <v>Sí</v>
      </c>
    </row>
    <row r="1682" customFormat="false" ht="15" hidden="false" customHeight="false" outlineLevel="0" collapsed="false">
      <c r="A1682" s="34" t="s">
        <v>6117</v>
      </c>
      <c r="B1682" s="34" t="s">
        <v>6118</v>
      </c>
      <c r="C1682" s="34" t="s">
        <v>6119</v>
      </c>
      <c r="D1682" s="34" t="s">
        <v>6120</v>
      </c>
      <c r="E1682" s="34" t="s">
        <v>6121</v>
      </c>
      <c r="F1682" s="34" t="s">
        <v>6122</v>
      </c>
      <c r="G1682" s="34" t="s">
        <v>1184</v>
      </c>
      <c r="H1682" s="34" t="s">
        <v>34</v>
      </c>
      <c r="I1682" s="34" t="s">
        <v>44</v>
      </c>
      <c r="J1682" s="34" t="s">
        <v>228</v>
      </c>
      <c r="K1682" s="34" t="s">
        <v>229</v>
      </c>
      <c r="L1682" s="34" t="s">
        <v>230</v>
      </c>
      <c r="M1682" s="34" t="s">
        <v>262</v>
      </c>
      <c r="N1682" s="34" t="str">
        <f aca="false">"Sector "&amp;VALUE(MID(D1682,13,2))</f>
        <v>Sector 4</v>
      </c>
      <c r="O1682" s="34" t="str">
        <f aca="false">IF(Dashboard!$C$5="Ubicación técnica",N1682,"Sector "&amp;VALUE(RIGHT(G1682,2)))</f>
        <v>Sector 4</v>
      </c>
      <c r="P1682" s="34" t="str">
        <f aca="false">IF(MID(D1682,15,3)="SEL","Subestación eléctrica","Área de proceso")</f>
        <v>Área de proceso</v>
      </c>
      <c r="Q1682" s="34" t="str">
        <f aca="false">MID(D1682,13,5)&amp;"|"&amp;MID(D1682,19,5)</f>
        <v>04GHB|SDESF</v>
      </c>
      <c r="R1682" s="34" t="str">
        <f aca="false">IF(P1682="Subestación eléctrica",IFERROR(INDEX(cat_SubN,MATCH(Q1682,cat_SubK,0)),"SIN CATALOGAR"),"ÁREA DE PROCESO")</f>
        <v>ÁREA DE PROCESO</v>
      </c>
      <c r="S1682" s="34" t="str">
        <f aca="false">IF(H1682="","SIN DATO",IFERROR(INDEX(cat_MarcaN,MATCH(H1682,cat_MarcaO,0)),H1682))</f>
        <v>ABB</v>
      </c>
      <c r="T1682" s="34" t="str">
        <f aca="false">IF(I1682="","SIN DATO",IFERROR(INDEX(cat_ModN,MATCH(I1682,cat_ModO,0)),I1682))</f>
        <v>REM</v>
      </c>
      <c r="U1682" s="34" t="str">
        <f aca="false">IF(I1682="","",IFERROR(INDEX(cat_ModG,MATCH(I1682,cat_ModO,0)),"No"))</f>
        <v>Sí</v>
      </c>
      <c r="V1682" s="34" t="str">
        <f aca="false">IF(J1682="","SIN DATO",IFERROR(INDEX(cat_FunN,MATCH(J1682,cat_FunO,0)),J1682))</f>
        <v>Protección y medición</v>
      </c>
      <c r="W1682" s="34" t="str">
        <f aca="false">IF(OR(S1682="SIN DATO",T1682="SIN DATO"),"No","Sí")</f>
        <v>Sí</v>
      </c>
    </row>
    <row r="1683" customFormat="false" ht="15" hidden="false" customHeight="false" outlineLevel="0" collapsed="false">
      <c r="A1683" s="34" t="s">
        <v>6123</v>
      </c>
      <c r="B1683" s="34" t="s">
        <v>6124</v>
      </c>
      <c r="C1683" s="34" t="s">
        <v>6125</v>
      </c>
      <c r="D1683" s="34" t="s">
        <v>6126</v>
      </c>
      <c r="E1683" s="34" t="s">
        <v>6121</v>
      </c>
      <c r="F1683" s="34" t="s">
        <v>6122</v>
      </c>
      <c r="G1683" s="34" t="s">
        <v>1184</v>
      </c>
      <c r="H1683" s="34" t="s">
        <v>34</v>
      </c>
      <c r="I1683" s="34" t="s">
        <v>44</v>
      </c>
      <c r="J1683" s="34" t="s">
        <v>228</v>
      </c>
      <c r="K1683" s="34" t="s">
        <v>229</v>
      </c>
      <c r="L1683" s="34" t="s">
        <v>230</v>
      </c>
      <c r="M1683" s="34" t="s">
        <v>262</v>
      </c>
      <c r="N1683" s="34" t="str">
        <f aca="false">"Sector "&amp;VALUE(MID(D1683,13,2))</f>
        <v>Sector 4</v>
      </c>
      <c r="O1683" s="34" t="str">
        <f aca="false">IF(Dashboard!$C$5="Ubicación técnica",N1683,"Sector "&amp;VALUE(RIGHT(G1683,2)))</f>
        <v>Sector 4</v>
      </c>
      <c r="P1683" s="34" t="str">
        <f aca="false">IF(MID(D1683,15,3)="SEL","Subestación eléctrica","Área de proceso")</f>
        <v>Área de proceso</v>
      </c>
      <c r="Q1683" s="34" t="str">
        <f aca="false">MID(D1683,13,5)&amp;"|"&amp;MID(D1683,19,5)</f>
        <v>04GHB|SDESF</v>
      </c>
      <c r="R1683" s="34" t="str">
        <f aca="false">IF(P1683="Subestación eléctrica",IFERROR(INDEX(cat_SubN,MATCH(Q1683,cat_SubK,0)),"SIN CATALOGAR"),"ÁREA DE PROCESO")</f>
        <v>ÁREA DE PROCESO</v>
      </c>
      <c r="S1683" s="34" t="str">
        <f aca="false">IF(H1683="","SIN DATO",IFERROR(INDEX(cat_MarcaN,MATCH(H1683,cat_MarcaO,0)),H1683))</f>
        <v>ABB</v>
      </c>
      <c r="T1683" s="34" t="str">
        <f aca="false">IF(I1683="","SIN DATO",IFERROR(INDEX(cat_ModN,MATCH(I1683,cat_ModO,0)),I1683))</f>
        <v>REM</v>
      </c>
      <c r="U1683" s="34" t="str">
        <f aca="false">IF(I1683="","",IFERROR(INDEX(cat_ModG,MATCH(I1683,cat_ModO,0)),"No"))</f>
        <v>Sí</v>
      </c>
      <c r="V1683" s="34" t="str">
        <f aca="false">IF(J1683="","SIN DATO",IFERROR(INDEX(cat_FunN,MATCH(J1683,cat_FunO,0)),J1683))</f>
        <v>Protección y medición</v>
      </c>
      <c r="W1683" s="34" t="str">
        <f aca="false">IF(OR(S1683="SIN DATO",T1683="SIN DATO"),"No","Sí")</f>
        <v>Sí</v>
      </c>
    </row>
    <row r="1684" customFormat="false" ht="15" hidden="false" customHeight="false" outlineLevel="0" collapsed="false">
      <c r="A1684" s="34" t="s">
        <v>6127</v>
      </c>
      <c r="B1684" s="34" t="s">
        <v>6128</v>
      </c>
      <c r="C1684" s="34" t="s">
        <v>6129</v>
      </c>
      <c r="D1684" s="34" t="s">
        <v>6130</v>
      </c>
      <c r="E1684" s="34" t="s">
        <v>122</v>
      </c>
      <c r="F1684" s="34" t="s">
        <v>6131</v>
      </c>
      <c r="G1684" s="34" t="s">
        <v>1184</v>
      </c>
      <c r="H1684" s="34" t="s">
        <v>61</v>
      </c>
      <c r="I1684" s="34" t="s">
        <v>63</v>
      </c>
      <c r="J1684" s="34" t="s">
        <v>228</v>
      </c>
      <c r="K1684" s="34" t="s">
        <v>229</v>
      </c>
      <c r="L1684" s="34" t="s">
        <v>230</v>
      </c>
      <c r="M1684" s="34" t="s">
        <v>344</v>
      </c>
      <c r="N1684" s="34" t="str">
        <f aca="false">"Sector "&amp;VALUE(MID(D1684,13,2))</f>
        <v>Sector 4</v>
      </c>
      <c r="O1684" s="34" t="str">
        <f aca="false">IF(Dashboard!$C$5="Ubicación técnica",N1684,"Sector "&amp;VALUE(RIGHT(G1684,2)))</f>
        <v>Sector 4</v>
      </c>
      <c r="P1684" s="34" t="str">
        <f aca="false">IF(MID(D1684,15,3)="SEL","Subestación eléctrica","Área de proceso")</f>
        <v>Área de proceso</v>
      </c>
      <c r="Q1684" s="34" t="str">
        <f aca="false">MID(D1684,13,5)&amp;"|"&amp;MID(D1684,19,5)</f>
        <v>04HCA|SFRAC</v>
      </c>
      <c r="R1684" s="34" t="str">
        <f aca="false">IF(P1684="Subestación eléctrica",IFERROR(INDEX(cat_SubN,MATCH(Q1684,cat_SubK,0)),"SIN CATALOGAR"),"ÁREA DE PROCESO")</f>
        <v>ÁREA DE PROCESO</v>
      </c>
      <c r="S1684" s="34" t="str">
        <f aca="false">IF(H1684="","SIN DATO",IFERROR(INDEX(cat_MarcaN,MATCH(H1684,cat_MarcaO,0)),H1684))</f>
        <v>GENERAL ELECTRIC</v>
      </c>
      <c r="T1684" s="34" t="str">
        <f aca="false">IF(I1684="","SIN DATO",IFERROR(INDEX(cat_ModN,MATCH(I1684,cat_ModO,0)),I1684))</f>
        <v>MULTILIN</v>
      </c>
      <c r="U1684" s="34" t="str">
        <f aca="false">IF(I1684="","",IFERROR(INDEX(cat_ModG,MATCH(I1684,cat_ModO,0)),"No"))</f>
        <v>Sí</v>
      </c>
      <c r="V1684" s="34" t="str">
        <f aca="false">IF(J1684="","SIN DATO",IFERROR(INDEX(cat_FunN,MATCH(J1684,cat_FunO,0)),J1684))</f>
        <v>Protección y medición</v>
      </c>
      <c r="W1684" s="34" t="str">
        <f aca="false">IF(OR(S1684="SIN DATO",T1684="SIN DATO"),"No","Sí")</f>
        <v>Sí</v>
      </c>
    </row>
    <row r="1685" customFormat="false" ht="15" hidden="false" customHeight="false" outlineLevel="0" collapsed="false">
      <c r="A1685" s="34" t="s">
        <v>6132</v>
      </c>
      <c r="B1685" s="34" t="s">
        <v>6133</v>
      </c>
      <c r="C1685" s="34" t="s">
        <v>6134</v>
      </c>
      <c r="D1685" s="34" t="s">
        <v>6135</v>
      </c>
      <c r="E1685" s="34" t="s">
        <v>122</v>
      </c>
      <c r="F1685" s="34" t="s">
        <v>6131</v>
      </c>
      <c r="G1685" s="34" t="s">
        <v>1184</v>
      </c>
      <c r="H1685" s="34" t="s">
        <v>61</v>
      </c>
      <c r="I1685" s="34" t="s">
        <v>63</v>
      </c>
      <c r="J1685" s="34" t="s">
        <v>228</v>
      </c>
      <c r="K1685" s="34" t="s">
        <v>229</v>
      </c>
      <c r="L1685" s="34" t="s">
        <v>230</v>
      </c>
      <c r="M1685" s="34" t="s">
        <v>344</v>
      </c>
      <c r="N1685" s="34" t="str">
        <f aca="false">"Sector "&amp;VALUE(MID(D1685,13,2))</f>
        <v>Sector 4</v>
      </c>
      <c r="O1685" s="34" t="str">
        <f aca="false">IF(Dashboard!$C$5="Ubicación técnica",N1685,"Sector "&amp;VALUE(RIGHT(G1685,2)))</f>
        <v>Sector 4</v>
      </c>
      <c r="P1685" s="34" t="str">
        <f aca="false">IF(MID(D1685,15,3)="SEL","Subestación eléctrica","Área de proceso")</f>
        <v>Área de proceso</v>
      </c>
      <c r="Q1685" s="34" t="str">
        <f aca="false">MID(D1685,13,5)&amp;"|"&amp;MID(D1685,19,5)</f>
        <v>04HCA|SFRAC</v>
      </c>
      <c r="R1685" s="34" t="str">
        <f aca="false">IF(P1685="Subestación eléctrica",IFERROR(INDEX(cat_SubN,MATCH(Q1685,cat_SubK,0)),"SIN CATALOGAR"),"ÁREA DE PROCESO")</f>
        <v>ÁREA DE PROCESO</v>
      </c>
      <c r="S1685" s="34" t="str">
        <f aca="false">IF(H1685="","SIN DATO",IFERROR(INDEX(cat_MarcaN,MATCH(H1685,cat_MarcaO,0)),H1685))</f>
        <v>GENERAL ELECTRIC</v>
      </c>
      <c r="T1685" s="34" t="str">
        <f aca="false">IF(I1685="","SIN DATO",IFERROR(INDEX(cat_ModN,MATCH(I1685,cat_ModO,0)),I1685))</f>
        <v>MULTILIN</v>
      </c>
      <c r="U1685" s="34" t="str">
        <f aca="false">IF(I1685="","",IFERROR(INDEX(cat_ModG,MATCH(I1685,cat_ModO,0)),"No"))</f>
        <v>Sí</v>
      </c>
      <c r="V1685" s="34" t="str">
        <f aca="false">IF(J1685="","SIN DATO",IFERROR(INDEX(cat_FunN,MATCH(J1685,cat_FunO,0)),J1685))</f>
        <v>Protección y medición</v>
      </c>
      <c r="W1685" s="34" t="str">
        <f aca="false">IF(OR(S1685="SIN DATO",T1685="SIN DATO"),"No","Sí")</f>
        <v>Sí</v>
      </c>
    </row>
    <row r="1686" customFormat="false" ht="15" hidden="false" customHeight="false" outlineLevel="0" collapsed="false">
      <c r="A1686" s="34" t="s">
        <v>6136</v>
      </c>
      <c r="B1686" s="34" t="s">
        <v>6137</v>
      </c>
      <c r="C1686" s="34" t="s">
        <v>6138</v>
      </c>
      <c r="D1686" s="34" t="s">
        <v>6139</v>
      </c>
      <c r="E1686" s="34" t="s">
        <v>122</v>
      </c>
      <c r="F1686" s="34" t="s">
        <v>6131</v>
      </c>
      <c r="G1686" s="34" t="s">
        <v>1184</v>
      </c>
      <c r="H1686" s="34" t="s">
        <v>61</v>
      </c>
      <c r="I1686" s="34" t="s">
        <v>63</v>
      </c>
      <c r="J1686" s="34" t="s">
        <v>228</v>
      </c>
      <c r="K1686" s="34" t="s">
        <v>229</v>
      </c>
      <c r="L1686" s="34" t="s">
        <v>230</v>
      </c>
      <c r="M1686" s="34" t="s">
        <v>344</v>
      </c>
      <c r="N1686" s="34" t="str">
        <f aca="false">"Sector "&amp;VALUE(MID(D1686,13,2))</f>
        <v>Sector 4</v>
      </c>
      <c r="O1686" s="34" t="str">
        <f aca="false">IF(Dashboard!$C$5="Ubicación técnica",N1686,"Sector "&amp;VALUE(RIGHT(G1686,2)))</f>
        <v>Sector 4</v>
      </c>
      <c r="P1686" s="34" t="str">
        <f aca="false">IF(MID(D1686,15,3)="SEL","Subestación eléctrica","Área de proceso")</f>
        <v>Área de proceso</v>
      </c>
      <c r="Q1686" s="34" t="str">
        <f aca="false">MID(D1686,13,5)&amp;"|"&amp;MID(D1686,19,5)</f>
        <v>04HCA|SFRAC</v>
      </c>
      <c r="R1686" s="34" t="str">
        <f aca="false">IF(P1686="Subestación eléctrica",IFERROR(INDEX(cat_SubN,MATCH(Q1686,cat_SubK,0)),"SIN CATALOGAR"),"ÁREA DE PROCESO")</f>
        <v>ÁREA DE PROCESO</v>
      </c>
      <c r="S1686" s="34" t="str">
        <f aca="false">IF(H1686="","SIN DATO",IFERROR(INDEX(cat_MarcaN,MATCH(H1686,cat_MarcaO,0)),H1686))</f>
        <v>GENERAL ELECTRIC</v>
      </c>
      <c r="T1686" s="34" t="str">
        <f aca="false">IF(I1686="","SIN DATO",IFERROR(INDEX(cat_ModN,MATCH(I1686,cat_ModO,0)),I1686))</f>
        <v>MULTILIN</v>
      </c>
      <c r="U1686" s="34" t="str">
        <f aca="false">IF(I1686="","",IFERROR(INDEX(cat_ModG,MATCH(I1686,cat_ModO,0)),"No"))</f>
        <v>Sí</v>
      </c>
      <c r="V1686" s="34" t="str">
        <f aca="false">IF(J1686="","SIN DATO",IFERROR(INDEX(cat_FunN,MATCH(J1686,cat_FunO,0)),J1686))</f>
        <v>Protección y medición</v>
      </c>
      <c r="W1686" s="34" t="str">
        <f aca="false">IF(OR(S1686="SIN DATO",T1686="SIN DATO"),"No","Sí")</f>
        <v>Sí</v>
      </c>
    </row>
    <row r="1687" customFormat="false" ht="15" hidden="false" customHeight="false" outlineLevel="0" collapsed="false">
      <c r="A1687" s="34" t="s">
        <v>6140</v>
      </c>
      <c r="B1687" s="34" t="s">
        <v>6141</v>
      </c>
      <c r="C1687" s="34" t="s">
        <v>6142</v>
      </c>
      <c r="D1687" s="34" t="s">
        <v>6143</v>
      </c>
      <c r="E1687" s="34" t="s">
        <v>122</v>
      </c>
      <c r="F1687" s="34" t="s">
        <v>6131</v>
      </c>
      <c r="G1687" s="34" t="s">
        <v>1184</v>
      </c>
      <c r="H1687" s="34" t="s">
        <v>61</v>
      </c>
      <c r="I1687" s="34" t="s">
        <v>63</v>
      </c>
      <c r="J1687" s="34" t="s">
        <v>228</v>
      </c>
      <c r="K1687" s="34" t="s">
        <v>229</v>
      </c>
      <c r="L1687" s="34" t="s">
        <v>230</v>
      </c>
      <c r="M1687" s="34" t="s">
        <v>344</v>
      </c>
      <c r="N1687" s="34" t="str">
        <f aca="false">"Sector "&amp;VALUE(MID(D1687,13,2))</f>
        <v>Sector 4</v>
      </c>
      <c r="O1687" s="34" t="str">
        <f aca="false">IF(Dashboard!$C$5="Ubicación técnica",N1687,"Sector "&amp;VALUE(RIGHT(G1687,2)))</f>
        <v>Sector 4</v>
      </c>
      <c r="P1687" s="34" t="str">
        <f aca="false">IF(MID(D1687,15,3)="SEL","Subestación eléctrica","Área de proceso")</f>
        <v>Área de proceso</v>
      </c>
      <c r="Q1687" s="34" t="str">
        <f aca="false">MID(D1687,13,5)&amp;"|"&amp;MID(D1687,19,5)</f>
        <v>04HCA|SFRAC</v>
      </c>
      <c r="R1687" s="34" t="str">
        <f aca="false">IF(P1687="Subestación eléctrica",IFERROR(INDEX(cat_SubN,MATCH(Q1687,cat_SubK,0)),"SIN CATALOGAR"),"ÁREA DE PROCESO")</f>
        <v>ÁREA DE PROCESO</v>
      </c>
      <c r="S1687" s="34" t="str">
        <f aca="false">IF(H1687="","SIN DATO",IFERROR(INDEX(cat_MarcaN,MATCH(H1687,cat_MarcaO,0)),H1687))</f>
        <v>GENERAL ELECTRIC</v>
      </c>
      <c r="T1687" s="34" t="str">
        <f aca="false">IF(I1687="","SIN DATO",IFERROR(INDEX(cat_ModN,MATCH(I1687,cat_ModO,0)),I1687))</f>
        <v>MULTILIN</v>
      </c>
      <c r="U1687" s="34" t="str">
        <f aca="false">IF(I1687="","",IFERROR(INDEX(cat_ModG,MATCH(I1687,cat_ModO,0)),"No"))</f>
        <v>Sí</v>
      </c>
      <c r="V1687" s="34" t="str">
        <f aca="false">IF(J1687="","SIN DATO",IFERROR(INDEX(cat_FunN,MATCH(J1687,cat_FunO,0)),J1687))</f>
        <v>Protección y medición</v>
      </c>
      <c r="W1687" s="34" t="str">
        <f aca="false">IF(OR(S1687="SIN DATO",T1687="SIN DATO"),"No","Sí")</f>
        <v>Sí</v>
      </c>
    </row>
    <row r="1688" customFormat="false" ht="15" hidden="false" customHeight="false" outlineLevel="0" collapsed="false">
      <c r="A1688" s="34" t="s">
        <v>6144</v>
      </c>
      <c r="B1688" s="34" t="s">
        <v>6145</v>
      </c>
      <c r="C1688" s="34" t="s">
        <v>6146</v>
      </c>
      <c r="D1688" s="34" t="s">
        <v>6147</v>
      </c>
      <c r="E1688" s="34" t="s">
        <v>122</v>
      </c>
      <c r="F1688" s="34" t="s">
        <v>6131</v>
      </c>
      <c r="G1688" s="34" t="s">
        <v>1184</v>
      </c>
      <c r="H1688" s="34" t="s">
        <v>61</v>
      </c>
      <c r="I1688" s="34" t="s">
        <v>63</v>
      </c>
      <c r="J1688" s="34" t="s">
        <v>228</v>
      </c>
      <c r="K1688" s="34" t="s">
        <v>229</v>
      </c>
      <c r="L1688" s="34" t="s">
        <v>230</v>
      </c>
      <c r="M1688" s="34" t="s">
        <v>344</v>
      </c>
      <c r="N1688" s="34" t="str">
        <f aca="false">"Sector "&amp;VALUE(MID(D1688,13,2))</f>
        <v>Sector 4</v>
      </c>
      <c r="O1688" s="34" t="str">
        <f aca="false">IF(Dashboard!$C$5="Ubicación técnica",N1688,"Sector "&amp;VALUE(RIGHT(G1688,2)))</f>
        <v>Sector 4</v>
      </c>
      <c r="P1688" s="34" t="str">
        <f aca="false">IF(MID(D1688,15,3)="SEL","Subestación eléctrica","Área de proceso")</f>
        <v>Área de proceso</v>
      </c>
      <c r="Q1688" s="34" t="str">
        <f aca="false">MID(D1688,13,5)&amp;"|"&amp;MID(D1688,19,5)</f>
        <v>04HCA|SFRAC</v>
      </c>
      <c r="R1688" s="34" t="str">
        <f aca="false">IF(P1688="Subestación eléctrica",IFERROR(INDEX(cat_SubN,MATCH(Q1688,cat_SubK,0)),"SIN CATALOGAR"),"ÁREA DE PROCESO")</f>
        <v>ÁREA DE PROCESO</v>
      </c>
      <c r="S1688" s="34" t="str">
        <f aca="false">IF(H1688="","SIN DATO",IFERROR(INDEX(cat_MarcaN,MATCH(H1688,cat_MarcaO,0)),H1688))</f>
        <v>GENERAL ELECTRIC</v>
      </c>
      <c r="T1688" s="34" t="str">
        <f aca="false">IF(I1688="","SIN DATO",IFERROR(INDEX(cat_ModN,MATCH(I1688,cat_ModO,0)),I1688))</f>
        <v>MULTILIN</v>
      </c>
      <c r="U1688" s="34" t="str">
        <f aca="false">IF(I1688="","",IFERROR(INDEX(cat_ModG,MATCH(I1688,cat_ModO,0)),"No"))</f>
        <v>Sí</v>
      </c>
      <c r="V1688" s="34" t="str">
        <f aca="false">IF(J1688="","SIN DATO",IFERROR(INDEX(cat_FunN,MATCH(J1688,cat_FunO,0)),J1688))</f>
        <v>Protección y medición</v>
      </c>
      <c r="W1688" s="34" t="str">
        <f aca="false">IF(OR(S1688="SIN DATO",T1688="SIN DATO"),"No","Sí")</f>
        <v>Sí</v>
      </c>
    </row>
    <row r="1689" customFormat="false" ht="15" hidden="false" customHeight="false" outlineLevel="0" collapsed="false">
      <c r="A1689" s="34" t="s">
        <v>6148</v>
      </c>
      <c r="B1689" s="34" t="s">
        <v>6149</v>
      </c>
      <c r="C1689" s="34" t="s">
        <v>6150</v>
      </c>
      <c r="D1689" s="34" t="s">
        <v>6151</v>
      </c>
      <c r="E1689" s="34" t="s">
        <v>122</v>
      </c>
      <c r="F1689" s="34" t="s">
        <v>6131</v>
      </c>
      <c r="G1689" s="34" t="s">
        <v>1184</v>
      </c>
      <c r="H1689" s="34" t="s">
        <v>61</v>
      </c>
      <c r="I1689" s="34" t="s">
        <v>63</v>
      </c>
      <c r="J1689" s="34" t="s">
        <v>228</v>
      </c>
      <c r="K1689" s="34" t="s">
        <v>229</v>
      </c>
      <c r="L1689" s="34" t="s">
        <v>230</v>
      </c>
      <c r="M1689" s="34" t="s">
        <v>344</v>
      </c>
      <c r="N1689" s="34" t="str">
        <f aca="false">"Sector "&amp;VALUE(MID(D1689,13,2))</f>
        <v>Sector 4</v>
      </c>
      <c r="O1689" s="34" t="str">
        <f aca="false">IF(Dashboard!$C$5="Ubicación técnica",N1689,"Sector "&amp;VALUE(RIGHT(G1689,2)))</f>
        <v>Sector 4</v>
      </c>
      <c r="P1689" s="34" t="str">
        <f aca="false">IF(MID(D1689,15,3)="SEL","Subestación eléctrica","Área de proceso")</f>
        <v>Área de proceso</v>
      </c>
      <c r="Q1689" s="34" t="str">
        <f aca="false">MID(D1689,13,5)&amp;"|"&amp;MID(D1689,19,5)</f>
        <v>04HCA|SFRAC</v>
      </c>
      <c r="R1689" s="34" t="str">
        <f aca="false">IF(P1689="Subestación eléctrica",IFERROR(INDEX(cat_SubN,MATCH(Q1689,cat_SubK,0)),"SIN CATALOGAR"),"ÁREA DE PROCESO")</f>
        <v>ÁREA DE PROCESO</v>
      </c>
      <c r="S1689" s="34" t="str">
        <f aca="false">IF(H1689="","SIN DATO",IFERROR(INDEX(cat_MarcaN,MATCH(H1689,cat_MarcaO,0)),H1689))</f>
        <v>GENERAL ELECTRIC</v>
      </c>
      <c r="T1689" s="34" t="str">
        <f aca="false">IF(I1689="","SIN DATO",IFERROR(INDEX(cat_ModN,MATCH(I1689,cat_ModO,0)),I1689))</f>
        <v>MULTILIN</v>
      </c>
      <c r="U1689" s="34" t="str">
        <f aca="false">IF(I1689="","",IFERROR(INDEX(cat_ModG,MATCH(I1689,cat_ModO,0)),"No"))</f>
        <v>Sí</v>
      </c>
      <c r="V1689" s="34" t="str">
        <f aca="false">IF(J1689="","SIN DATO",IFERROR(INDEX(cat_FunN,MATCH(J1689,cat_FunO,0)),J1689))</f>
        <v>Protección y medición</v>
      </c>
      <c r="W1689" s="34" t="str">
        <f aca="false">IF(OR(S1689="SIN DATO",T1689="SIN DATO"),"No","Sí")</f>
        <v>Sí</v>
      </c>
    </row>
    <row r="1690" customFormat="false" ht="15" hidden="false" customHeight="false" outlineLevel="0" collapsed="false">
      <c r="A1690" s="34" t="s">
        <v>6152</v>
      </c>
      <c r="B1690" s="34" t="s">
        <v>6153</v>
      </c>
      <c r="C1690" s="34" t="s">
        <v>6154</v>
      </c>
      <c r="D1690" s="34" t="s">
        <v>6155</v>
      </c>
      <c r="E1690" s="34" t="s">
        <v>122</v>
      </c>
      <c r="F1690" s="34" t="s">
        <v>6131</v>
      </c>
      <c r="G1690" s="34" t="s">
        <v>1184</v>
      </c>
      <c r="H1690" s="34" t="s">
        <v>61</v>
      </c>
      <c r="I1690" s="34" t="s">
        <v>63</v>
      </c>
      <c r="J1690" s="34" t="s">
        <v>228</v>
      </c>
      <c r="K1690" s="34" t="s">
        <v>229</v>
      </c>
      <c r="L1690" s="34" t="s">
        <v>230</v>
      </c>
      <c r="M1690" s="34" t="s">
        <v>344</v>
      </c>
      <c r="N1690" s="34" t="str">
        <f aca="false">"Sector "&amp;VALUE(MID(D1690,13,2))</f>
        <v>Sector 4</v>
      </c>
      <c r="O1690" s="34" t="str">
        <f aca="false">IF(Dashboard!$C$5="Ubicación técnica",N1690,"Sector "&amp;VALUE(RIGHT(G1690,2)))</f>
        <v>Sector 4</v>
      </c>
      <c r="P1690" s="34" t="str">
        <f aca="false">IF(MID(D1690,15,3)="SEL","Subestación eléctrica","Área de proceso")</f>
        <v>Área de proceso</v>
      </c>
      <c r="Q1690" s="34" t="str">
        <f aca="false">MID(D1690,13,5)&amp;"|"&amp;MID(D1690,19,5)</f>
        <v>04HCA|SFRAC</v>
      </c>
      <c r="R1690" s="34" t="str">
        <f aca="false">IF(P1690="Subestación eléctrica",IFERROR(INDEX(cat_SubN,MATCH(Q1690,cat_SubK,0)),"SIN CATALOGAR"),"ÁREA DE PROCESO")</f>
        <v>ÁREA DE PROCESO</v>
      </c>
      <c r="S1690" s="34" t="str">
        <f aca="false">IF(H1690="","SIN DATO",IFERROR(INDEX(cat_MarcaN,MATCH(H1690,cat_MarcaO,0)),H1690))</f>
        <v>GENERAL ELECTRIC</v>
      </c>
      <c r="T1690" s="34" t="str">
        <f aca="false">IF(I1690="","SIN DATO",IFERROR(INDEX(cat_ModN,MATCH(I1690,cat_ModO,0)),I1690))</f>
        <v>MULTILIN</v>
      </c>
      <c r="U1690" s="34" t="str">
        <f aca="false">IF(I1690="","",IFERROR(INDEX(cat_ModG,MATCH(I1690,cat_ModO,0)),"No"))</f>
        <v>Sí</v>
      </c>
      <c r="V1690" s="34" t="str">
        <f aca="false">IF(J1690="","SIN DATO",IFERROR(INDEX(cat_FunN,MATCH(J1690,cat_FunO,0)),J1690))</f>
        <v>Protección y medición</v>
      </c>
      <c r="W1690" s="34" t="str">
        <f aca="false">IF(OR(S1690="SIN DATO",T1690="SIN DATO"),"No","Sí")</f>
        <v>Sí</v>
      </c>
    </row>
    <row r="1691" customFormat="false" ht="15" hidden="false" customHeight="false" outlineLevel="0" collapsed="false">
      <c r="A1691" s="34" t="s">
        <v>6156</v>
      </c>
      <c r="B1691" s="34" t="s">
        <v>6157</v>
      </c>
      <c r="C1691" s="34" t="s">
        <v>6158</v>
      </c>
      <c r="D1691" s="34" t="s">
        <v>6159</v>
      </c>
      <c r="E1691" s="34" t="s">
        <v>122</v>
      </c>
      <c r="F1691" s="34" t="s">
        <v>6131</v>
      </c>
      <c r="G1691" s="34" t="s">
        <v>1184</v>
      </c>
      <c r="H1691" s="34" t="s">
        <v>61</v>
      </c>
      <c r="I1691" s="34" t="s">
        <v>63</v>
      </c>
      <c r="J1691" s="34" t="s">
        <v>228</v>
      </c>
      <c r="K1691" s="34" t="s">
        <v>229</v>
      </c>
      <c r="L1691" s="34" t="s">
        <v>230</v>
      </c>
      <c r="M1691" s="34" t="s">
        <v>344</v>
      </c>
      <c r="N1691" s="34" t="str">
        <f aca="false">"Sector "&amp;VALUE(MID(D1691,13,2))</f>
        <v>Sector 4</v>
      </c>
      <c r="O1691" s="34" t="str">
        <f aca="false">IF(Dashboard!$C$5="Ubicación técnica",N1691,"Sector "&amp;VALUE(RIGHT(G1691,2)))</f>
        <v>Sector 4</v>
      </c>
      <c r="P1691" s="34" t="str">
        <f aca="false">IF(MID(D1691,15,3)="SEL","Subestación eléctrica","Área de proceso")</f>
        <v>Área de proceso</v>
      </c>
      <c r="Q1691" s="34" t="str">
        <f aca="false">MID(D1691,13,5)&amp;"|"&amp;MID(D1691,19,5)</f>
        <v>04HCA|SFRAC</v>
      </c>
      <c r="R1691" s="34" t="str">
        <f aca="false">IF(P1691="Subestación eléctrica",IFERROR(INDEX(cat_SubN,MATCH(Q1691,cat_SubK,0)),"SIN CATALOGAR"),"ÁREA DE PROCESO")</f>
        <v>ÁREA DE PROCESO</v>
      </c>
      <c r="S1691" s="34" t="str">
        <f aca="false">IF(H1691="","SIN DATO",IFERROR(INDEX(cat_MarcaN,MATCH(H1691,cat_MarcaO,0)),H1691))</f>
        <v>GENERAL ELECTRIC</v>
      </c>
      <c r="T1691" s="34" t="str">
        <f aca="false">IF(I1691="","SIN DATO",IFERROR(INDEX(cat_ModN,MATCH(I1691,cat_ModO,0)),I1691))</f>
        <v>MULTILIN</v>
      </c>
      <c r="U1691" s="34" t="str">
        <f aca="false">IF(I1691="","",IFERROR(INDEX(cat_ModG,MATCH(I1691,cat_ModO,0)),"No"))</f>
        <v>Sí</v>
      </c>
      <c r="V1691" s="34" t="str">
        <f aca="false">IF(J1691="","SIN DATO",IFERROR(INDEX(cat_FunN,MATCH(J1691,cat_FunO,0)),J1691))</f>
        <v>Protección y medición</v>
      </c>
      <c r="W1691" s="34" t="str">
        <f aca="false">IF(OR(S1691="SIN DATO",T1691="SIN DATO"),"No","Sí")</f>
        <v>Sí</v>
      </c>
    </row>
    <row r="1692" customFormat="false" ht="15" hidden="false" customHeight="false" outlineLevel="0" collapsed="false">
      <c r="A1692" s="34" t="s">
        <v>6160</v>
      </c>
      <c r="B1692" s="34" t="s">
        <v>6161</v>
      </c>
      <c r="C1692" s="34" t="s">
        <v>6162</v>
      </c>
      <c r="D1692" s="34" t="s">
        <v>6163</v>
      </c>
      <c r="E1692" s="34" t="s">
        <v>122</v>
      </c>
      <c r="F1692" s="34" t="s">
        <v>6131</v>
      </c>
      <c r="G1692" s="34" t="s">
        <v>1184</v>
      </c>
      <c r="H1692" s="34" t="s">
        <v>61</v>
      </c>
      <c r="I1692" s="34" t="s">
        <v>63</v>
      </c>
      <c r="J1692" s="34" t="s">
        <v>228</v>
      </c>
      <c r="K1692" s="34" t="s">
        <v>229</v>
      </c>
      <c r="L1692" s="34" t="s">
        <v>230</v>
      </c>
      <c r="M1692" s="34" t="s">
        <v>344</v>
      </c>
      <c r="N1692" s="34" t="str">
        <f aca="false">"Sector "&amp;VALUE(MID(D1692,13,2))</f>
        <v>Sector 4</v>
      </c>
      <c r="O1692" s="34" t="str">
        <f aca="false">IF(Dashboard!$C$5="Ubicación técnica",N1692,"Sector "&amp;VALUE(RIGHT(G1692,2)))</f>
        <v>Sector 4</v>
      </c>
      <c r="P1692" s="34" t="str">
        <f aca="false">IF(MID(D1692,15,3)="SEL","Subestación eléctrica","Área de proceso")</f>
        <v>Área de proceso</v>
      </c>
      <c r="Q1692" s="34" t="str">
        <f aca="false">MID(D1692,13,5)&amp;"|"&amp;MID(D1692,19,5)</f>
        <v>04HCA|SREA2</v>
      </c>
      <c r="R1692" s="34" t="str">
        <f aca="false">IF(P1692="Subestación eléctrica",IFERROR(INDEX(cat_SubN,MATCH(Q1692,cat_SubK,0)),"SIN CATALOGAR"),"ÁREA DE PROCESO")</f>
        <v>ÁREA DE PROCESO</v>
      </c>
      <c r="S1692" s="34" t="str">
        <f aca="false">IF(H1692="","SIN DATO",IFERROR(INDEX(cat_MarcaN,MATCH(H1692,cat_MarcaO,0)),H1692))</f>
        <v>GENERAL ELECTRIC</v>
      </c>
      <c r="T1692" s="34" t="str">
        <f aca="false">IF(I1692="","SIN DATO",IFERROR(INDEX(cat_ModN,MATCH(I1692,cat_ModO,0)),I1692))</f>
        <v>MULTILIN</v>
      </c>
      <c r="U1692" s="34" t="str">
        <f aca="false">IF(I1692="","",IFERROR(INDEX(cat_ModG,MATCH(I1692,cat_ModO,0)),"No"))</f>
        <v>Sí</v>
      </c>
      <c r="V1692" s="34" t="str">
        <f aca="false">IF(J1692="","SIN DATO",IFERROR(INDEX(cat_FunN,MATCH(J1692,cat_FunO,0)),J1692))</f>
        <v>Protección y medición</v>
      </c>
      <c r="W1692" s="34" t="str">
        <f aca="false">IF(OR(S1692="SIN DATO",T1692="SIN DATO"),"No","Sí")</f>
        <v>Sí</v>
      </c>
    </row>
    <row r="1693" customFormat="false" ht="15" hidden="false" customHeight="false" outlineLevel="0" collapsed="false">
      <c r="A1693" s="34" t="s">
        <v>6164</v>
      </c>
      <c r="B1693" s="34" t="s">
        <v>6165</v>
      </c>
      <c r="C1693" s="34" t="s">
        <v>6166</v>
      </c>
      <c r="D1693" s="34" t="s">
        <v>6163</v>
      </c>
      <c r="E1693" s="34" t="s">
        <v>122</v>
      </c>
      <c r="F1693" s="34" t="s">
        <v>6131</v>
      </c>
      <c r="G1693" s="34" t="s">
        <v>1184</v>
      </c>
      <c r="H1693" s="34" t="s">
        <v>61</v>
      </c>
      <c r="I1693" s="34" t="s">
        <v>63</v>
      </c>
      <c r="J1693" s="34" t="s">
        <v>228</v>
      </c>
      <c r="K1693" s="34" t="s">
        <v>229</v>
      </c>
      <c r="L1693" s="34" t="s">
        <v>230</v>
      </c>
      <c r="M1693" s="34" t="s">
        <v>344</v>
      </c>
      <c r="N1693" s="34" t="str">
        <f aca="false">"Sector "&amp;VALUE(MID(D1693,13,2))</f>
        <v>Sector 4</v>
      </c>
      <c r="O1693" s="34" t="str">
        <f aca="false">IF(Dashboard!$C$5="Ubicación técnica",N1693,"Sector "&amp;VALUE(RIGHT(G1693,2)))</f>
        <v>Sector 4</v>
      </c>
      <c r="P1693" s="34" t="str">
        <f aca="false">IF(MID(D1693,15,3)="SEL","Subestación eléctrica","Área de proceso")</f>
        <v>Área de proceso</v>
      </c>
      <c r="Q1693" s="34" t="str">
        <f aca="false">MID(D1693,13,5)&amp;"|"&amp;MID(D1693,19,5)</f>
        <v>04HCA|SREA2</v>
      </c>
      <c r="R1693" s="34" t="str">
        <f aca="false">IF(P1693="Subestación eléctrica",IFERROR(INDEX(cat_SubN,MATCH(Q1693,cat_SubK,0)),"SIN CATALOGAR"),"ÁREA DE PROCESO")</f>
        <v>ÁREA DE PROCESO</v>
      </c>
      <c r="S1693" s="34" t="str">
        <f aca="false">IF(H1693="","SIN DATO",IFERROR(INDEX(cat_MarcaN,MATCH(H1693,cat_MarcaO,0)),H1693))</f>
        <v>GENERAL ELECTRIC</v>
      </c>
      <c r="T1693" s="34" t="str">
        <f aca="false">IF(I1693="","SIN DATO",IFERROR(INDEX(cat_ModN,MATCH(I1693,cat_ModO,0)),I1693))</f>
        <v>MULTILIN</v>
      </c>
      <c r="U1693" s="34" t="str">
        <f aca="false">IF(I1693="","",IFERROR(INDEX(cat_ModG,MATCH(I1693,cat_ModO,0)),"No"))</f>
        <v>Sí</v>
      </c>
      <c r="V1693" s="34" t="str">
        <f aca="false">IF(J1693="","SIN DATO",IFERROR(INDEX(cat_FunN,MATCH(J1693,cat_FunO,0)),J1693))</f>
        <v>Protección y medición</v>
      </c>
      <c r="W1693" s="34" t="str">
        <f aca="false">IF(OR(S1693="SIN DATO",T1693="SIN DATO"),"No","Sí")</f>
        <v>Sí</v>
      </c>
    </row>
    <row r="1694" customFormat="false" ht="15" hidden="false" customHeight="false" outlineLevel="0" collapsed="false">
      <c r="A1694" s="34" t="s">
        <v>6167</v>
      </c>
      <c r="B1694" s="34" t="s">
        <v>6168</v>
      </c>
      <c r="C1694" s="34" t="s">
        <v>6169</v>
      </c>
      <c r="D1694" s="34" t="s">
        <v>6170</v>
      </c>
      <c r="E1694" s="34" t="s">
        <v>122</v>
      </c>
      <c r="F1694" s="34" t="s">
        <v>6131</v>
      </c>
      <c r="G1694" s="34" t="s">
        <v>1184</v>
      </c>
      <c r="H1694" s="34" t="s">
        <v>61</v>
      </c>
      <c r="I1694" s="34" t="s">
        <v>63</v>
      </c>
      <c r="J1694" s="34" t="s">
        <v>228</v>
      </c>
      <c r="K1694" s="34" t="s">
        <v>229</v>
      </c>
      <c r="L1694" s="34" t="s">
        <v>230</v>
      </c>
      <c r="M1694" s="34" t="s">
        <v>344</v>
      </c>
      <c r="N1694" s="34" t="str">
        <f aca="false">"Sector "&amp;VALUE(MID(D1694,13,2))</f>
        <v>Sector 4</v>
      </c>
      <c r="O1694" s="34" t="str">
        <f aca="false">IF(Dashboard!$C$5="Ubicación técnica",N1694,"Sector "&amp;VALUE(RIGHT(G1694,2)))</f>
        <v>Sector 4</v>
      </c>
      <c r="P1694" s="34" t="str">
        <f aca="false">IF(MID(D1694,15,3)="SEL","Subestación eléctrica","Área de proceso")</f>
        <v>Área de proceso</v>
      </c>
      <c r="Q1694" s="34" t="str">
        <f aca="false">MID(D1694,13,5)&amp;"|"&amp;MID(D1694,19,5)</f>
        <v>04HCA|SREA1</v>
      </c>
      <c r="R1694" s="34" t="str">
        <f aca="false">IF(P1694="Subestación eléctrica",IFERROR(INDEX(cat_SubN,MATCH(Q1694,cat_SubK,0)),"SIN CATALOGAR"),"ÁREA DE PROCESO")</f>
        <v>ÁREA DE PROCESO</v>
      </c>
      <c r="S1694" s="34" t="str">
        <f aca="false">IF(H1694="","SIN DATO",IFERROR(INDEX(cat_MarcaN,MATCH(H1694,cat_MarcaO,0)),H1694))</f>
        <v>GENERAL ELECTRIC</v>
      </c>
      <c r="T1694" s="34" t="str">
        <f aca="false">IF(I1694="","SIN DATO",IFERROR(INDEX(cat_ModN,MATCH(I1694,cat_ModO,0)),I1694))</f>
        <v>MULTILIN</v>
      </c>
      <c r="U1694" s="34" t="str">
        <f aca="false">IF(I1694="","",IFERROR(INDEX(cat_ModG,MATCH(I1694,cat_ModO,0)),"No"))</f>
        <v>Sí</v>
      </c>
      <c r="V1694" s="34" t="str">
        <f aca="false">IF(J1694="","SIN DATO",IFERROR(INDEX(cat_FunN,MATCH(J1694,cat_FunO,0)),J1694))</f>
        <v>Protección y medición</v>
      </c>
      <c r="W1694" s="34" t="str">
        <f aca="false">IF(OR(S1694="SIN DATO",T1694="SIN DATO"),"No","Sí")</f>
        <v>Sí</v>
      </c>
    </row>
    <row r="1695" customFormat="false" ht="15" hidden="false" customHeight="false" outlineLevel="0" collapsed="false">
      <c r="A1695" s="34" t="s">
        <v>6171</v>
      </c>
      <c r="B1695" s="34" t="s">
        <v>6172</v>
      </c>
      <c r="C1695" s="34" t="s">
        <v>6173</v>
      </c>
      <c r="D1695" s="34" t="s">
        <v>6170</v>
      </c>
      <c r="E1695" s="34" t="s">
        <v>122</v>
      </c>
      <c r="F1695" s="34" t="s">
        <v>6131</v>
      </c>
      <c r="G1695" s="34" t="s">
        <v>1184</v>
      </c>
      <c r="H1695" s="34" t="s">
        <v>61</v>
      </c>
      <c r="I1695" s="34" t="s">
        <v>63</v>
      </c>
      <c r="J1695" s="34" t="s">
        <v>228</v>
      </c>
      <c r="K1695" s="34" t="s">
        <v>229</v>
      </c>
      <c r="L1695" s="34" t="s">
        <v>230</v>
      </c>
      <c r="M1695" s="34" t="s">
        <v>344</v>
      </c>
      <c r="N1695" s="34" t="str">
        <f aca="false">"Sector "&amp;VALUE(MID(D1695,13,2))</f>
        <v>Sector 4</v>
      </c>
      <c r="O1695" s="34" t="str">
        <f aca="false">IF(Dashboard!$C$5="Ubicación técnica",N1695,"Sector "&amp;VALUE(RIGHT(G1695,2)))</f>
        <v>Sector 4</v>
      </c>
      <c r="P1695" s="34" t="str">
        <f aca="false">IF(MID(D1695,15,3)="SEL","Subestación eléctrica","Área de proceso")</f>
        <v>Área de proceso</v>
      </c>
      <c r="Q1695" s="34" t="str">
        <f aca="false">MID(D1695,13,5)&amp;"|"&amp;MID(D1695,19,5)</f>
        <v>04HCA|SREA1</v>
      </c>
      <c r="R1695" s="34" t="str">
        <f aca="false">IF(P1695="Subestación eléctrica",IFERROR(INDEX(cat_SubN,MATCH(Q1695,cat_SubK,0)),"SIN CATALOGAR"),"ÁREA DE PROCESO")</f>
        <v>ÁREA DE PROCESO</v>
      </c>
      <c r="S1695" s="34" t="str">
        <f aca="false">IF(H1695="","SIN DATO",IFERROR(INDEX(cat_MarcaN,MATCH(H1695,cat_MarcaO,0)),H1695))</f>
        <v>GENERAL ELECTRIC</v>
      </c>
      <c r="T1695" s="34" t="str">
        <f aca="false">IF(I1695="","SIN DATO",IFERROR(INDEX(cat_ModN,MATCH(I1695,cat_ModO,0)),I1695))</f>
        <v>MULTILIN</v>
      </c>
      <c r="U1695" s="34" t="str">
        <f aca="false">IF(I1695="","",IFERROR(INDEX(cat_ModG,MATCH(I1695,cat_ModO,0)),"No"))</f>
        <v>Sí</v>
      </c>
      <c r="V1695" s="34" t="str">
        <f aca="false">IF(J1695="","SIN DATO",IFERROR(INDEX(cat_FunN,MATCH(J1695,cat_FunO,0)),J1695))</f>
        <v>Protección y medición</v>
      </c>
      <c r="W1695" s="34" t="str">
        <f aca="false">IF(OR(S1695="SIN DATO",T1695="SIN DATO"),"No","Sí")</f>
        <v>Sí</v>
      </c>
    </row>
    <row r="1696" customFormat="false" ht="15" hidden="false" customHeight="false" outlineLevel="0" collapsed="false">
      <c r="A1696" s="34" t="s">
        <v>6174</v>
      </c>
      <c r="B1696" s="34" t="s">
        <v>6175</v>
      </c>
      <c r="C1696" s="34" t="s">
        <v>6176</v>
      </c>
      <c r="D1696" s="34" t="s">
        <v>6177</v>
      </c>
      <c r="E1696" s="34" t="s">
        <v>122</v>
      </c>
      <c r="F1696" s="34" t="s">
        <v>6131</v>
      </c>
      <c r="G1696" s="34" t="s">
        <v>1184</v>
      </c>
      <c r="H1696" s="34" t="s">
        <v>61</v>
      </c>
      <c r="I1696" s="34" t="s">
        <v>63</v>
      </c>
      <c r="J1696" s="34" t="s">
        <v>228</v>
      </c>
      <c r="K1696" s="34" t="s">
        <v>229</v>
      </c>
      <c r="L1696" s="34" t="s">
        <v>230</v>
      </c>
      <c r="M1696" s="34" t="s">
        <v>344</v>
      </c>
      <c r="N1696" s="34" t="str">
        <f aca="false">"Sector "&amp;VALUE(MID(D1696,13,2))</f>
        <v>Sector 4</v>
      </c>
      <c r="O1696" s="34" t="str">
        <f aca="false">IF(Dashboard!$C$5="Ubicación técnica",N1696,"Sector "&amp;VALUE(RIGHT(G1696,2)))</f>
        <v>Sector 4</v>
      </c>
      <c r="P1696" s="34" t="str">
        <f aca="false">IF(MID(D1696,15,3)="SEL","Subestación eléctrica","Área de proceso")</f>
        <v>Área de proceso</v>
      </c>
      <c r="Q1696" s="34" t="str">
        <f aca="false">MID(D1696,13,5)&amp;"|"&amp;MID(D1696,19,5)</f>
        <v>04HCA|SCOMP</v>
      </c>
      <c r="R1696" s="34" t="str">
        <f aca="false">IF(P1696="Subestación eléctrica",IFERROR(INDEX(cat_SubN,MATCH(Q1696,cat_SubK,0)),"SIN CATALOGAR"),"ÁREA DE PROCESO")</f>
        <v>ÁREA DE PROCESO</v>
      </c>
      <c r="S1696" s="34" t="str">
        <f aca="false">IF(H1696="","SIN DATO",IFERROR(INDEX(cat_MarcaN,MATCH(H1696,cat_MarcaO,0)),H1696))</f>
        <v>GENERAL ELECTRIC</v>
      </c>
      <c r="T1696" s="34" t="str">
        <f aca="false">IF(I1696="","SIN DATO",IFERROR(INDEX(cat_ModN,MATCH(I1696,cat_ModO,0)),I1696))</f>
        <v>MULTILIN</v>
      </c>
      <c r="U1696" s="34" t="str">
        <f aca="false">IF(I1696="","",IFERROR(INDEX(cat_ModG,MATCH(I1696,cat_ModO,0)),"No"))</f>
        <v>Sí</v>
      </c>
      <c r="V1696" s="34" t="str">
        <f aca="false">IF(J1696="","SIN DATO",IFERROR(INDEX(cat_FunN,MATCH(J1696,cat_FunO,0)),J1696))</f>
        <v>Protección y medición</v>
      </c>
      <c r="W1696" s="34" t="str">
        <f aca="false">IF(OR(S1696="SIN DATO",T1696="SIN DATO"),"No","Sí")</f>
        <v>Sí</v>
      </c>
    </row>
    <row r="1697" customFormat="false" ht="15" hidden="false" customHeight="false" outlineLevel="0" collapsed="false">
      <c r="A1697" s="34" t="s">
        <v>6178</v>
      </c>
      <c r="B1697" s="34" t="s">
        <v>6179</v>
      </c>
      <c r="C1697" s="34" t="s">
        <v>6180</v>
      </c>
      <c r="D1697" s="34" t="s">
        <v>6177</v>
      </c>
      <c r="E1697" s="34" t="s">
        <v>122</v>
      </c>
      <c r="F1697" s="34" t="s">
        <v>6131</v>
      </c>
      <c r="G1697" s="34" t="s">
        <v>1184</v>
      </c>
      <c r="H1697" s="34" t="s">
        <v>61</v>
      </c>
      <c r="I1697" s="34" t="s">
        <v>63</v>
      </c>
      <c r="J1697" s="34" t="s">
        <v>228</v>
      </c>
      <c r="K1697" s="34" t="s">
        <v>229</v>
      </c>
      <c r="L1697" s="34" t="s">
        <v>230</v>
      </c>
      <c r="M1697" s="34" t="s">
        <v>344</v>
      </c>
      <c r="N1697" s="34" t="str">
        <f aca="false">"Sector "&amp;VALUE(MID(D1697,13,2))</f>
        <v>Sector 4</v>
      </c>
      <c r="O1697" s="34" t="str">
        <f aca="false">IF(Dashboard!$C$5="Ubicación técnica",N1697,"Sector "&amp;VALUE(RIGHT(G1697,2)))</f>
        <v>Sector 4</v>
      </c>
      <c r="P1697" s="34" t="str">
        <f aca="false">IF(MID(D1697,15,3)="SEL","Subestación eléctrica","Área de proceso")</f>
        <v>Área de proceso</v>
      </c>
      <c r="Q1697" s="34" t="str">
        <f aca="false">MID(D1697,13,5)&amp;"|"&amp;MID(D1697,19,5)</f>
        <v>04HCA|SCOMP</v>
      </c>
      <c r="R1697" s="34" t="str">
        <f aca="false">IF(P1697="Subestación eléctrica",IFERROR(INDEX(cat_SubN,MATCH(Q1697,cat_SubK,0)),"SIN CATALOGAR"),"ÁREA DE PROCESO")</f>
        <v>ÁREA DE PROCESO</v>
      </c>
      <c r="S1697" s="34" t="str">
        <f aca="false">IF(H1697="","SIN DATO",IFERROR(INDEX(cat_MarcaN,MATCH(H1697,cat_MarcaO,0)),H1697))</f>
        <v>GENERAL ELECTRIC</v>
      </c>
      <c r="T1697" s="34" t="str">
        <f aca="false">IF(I1697="","SIN DATO",IFERROR(INDEX(cat_ModN,MATCH(I1697,cat_ModO,0)),I1697))</f>
        <v>MULTILIN</v>
      </c>
      <c r="U1697" s="34" t="str">
        <f aca="false">IF(I1697="","",IFERROR(INDEX(cat_ModG,MATCH(I1697,cat_ModO,0)),"No"))</f>
        <v>Sí</v>
      </c>
      <c r="V1697" s="34" t="str">
        <f aca="false">IF(J1697="","SIN DATO",IFERROR(INDEX(cat_FunN,MATCH(J1697,cat_FunO,0)),J1697))</f>
        <v>Protección y medición</v>
      </c>
      <c r="W1697" s="34" t="str">
        <f aca="false">IF(OR(S1697="SIN DATO",T1697="SIN DATO"),"No","Sí")</f>
        <v>Sí</v>
      </c>
    </row>
    <row r="1698" customFormat="false" ht="15" hidden="false" customHeight="false" outlineLevel="0" collapsed="false">
      <c r="A1698" s="34" t="s">
        <v>6181</v>
      </c>
      <c r="B1698" s="34" t="s">
        <v>6182</v>
      </c>
      <c r="C1698" s="34" t="s">
        <v>6183</v>
      </c>
      <c r="D1698" s="34" t="s">
        <v>6184</v>
      </c>
      <c r="E1698" s="34" t="s">
        <v>122</v>
      </c>
      <c r="F1698" s="34" t="s">
        <v>6131</v>
      </c>
      <c r="G1698" s="34" t="s">
        <v>1184</v>
      </c>
      <c r="H1698" s="34" t="s">
        <v>61</v>
      </c>
      <c r="I1698" s="34" t="s">
        <v>63</v>
      </c>
      <c r="J1698" s="34" t="s">
        <v>228</v>
      </c>
      <c r="K1698" s="34" t="s">
        <v>229</v>
      </c>
      <c r="L1698" s="34" t="s">
        <v>230</v>
      </c>
      <c r="M1698" s="34" t="s">
        <v>344</v>
      </c>
      <c r="N1698" s="34" t="str">
        <f aca="false">"Sector "&amp;VALUE(MID(D1698,13,2))</f>
        <v>Sector 4</v>
      </c>
      <c r="O1698" s="34" t="str">
        <f aca="false">IF(Dashboard!$C$5="Ubicación técnica",N1698,"Sector "&amp;VALUE(RIGHT(G1698,2)))</f>
        <v>Sector 4</v>
      </c>
      <c r="P1698" s="34" t="str">
        <f aca="false">IF(MID(D1698,15,3)="SEL","Subestación eléctrica","Área de proceso")</f>
        <v>Área de proceso</v>
      </c>
      <c r="Q1698" s="34" t="str">
        <f aca="false">MID(D1698,13,5)&amp;"|"&amp;MID(D1698,19,5)</f>
        <v>04HCA|SFRAC</v>
      </c>
      <c r="R1698" s="34" t="str">
        <f aca="false">IF(P1698="Subestación eléctrica",IFERROR(INDEX(cat_SubN,MATCH(Q1698,cat_SubK,0)),"SIN CATALOGAR"),"ÁREA DE PROCESO")</f>
        <v>ÁREA DE PROCESO</v>
      </c>
      <c r="S1698" s="34" t="str">
        <f aca="false">IF(H1698="","SIN DATO",IFERROR(INDEX(cat_MarcaN,MATCH(H1698,cat_MarcaO,0)),H1698))</f>
        <v>GENERAL ELECTRIC</v>
      </c>
      <c r="T1698" s="34" t="str">
        <f aca="false">IF(I1698="","SIN DATO",IFERROR(INDEX(cat_ModN,MATCH(I1698,cat_ModO,0)),I1698))</f>
        <v>MULTILIN</v>
      </c>
      <c r="U1698" s="34" t="str">
        <f aca="false">IF(I1698="","",IFERROR(INDEX(cat_ModG,MATCH(I1698,cat_ModO,0)),"No"))</f>
        <v>Sí</v>
      </c>
      <c r="V1698" s="34" t="str">
        <f aca="false">IF(J1698="","SIN DATO",IFERROR(INDEX(cat_FunN,MATCH(J1698,cat_FunO,0)),J1698))</f>
        <v>Protección y medición</v>
      </c>
      <c r="W1698" s="34" t="str">
        <f aca="false">IF(OR(S1698="SIN DATO",T1698="SIN DATO"),"No","Sí")</f>
        <v>Sí</v>
      </c>
    </row>
    <row r="1699" customFormat="false" ht="15" hidden="false" customHeight="false" outlineLevel="0" collapsed="false">
      <c r="A1699" s="34" t="s">
        <v>6185</v>
      </c>
      <c r="B1699" s="34" t="s">
        <v>6186</v>
      </c>
      <c r="C1699" s="34" t="s">
        <v>6187</v>
      </c>
      <c r="D1699" s="34" t="s">
        <v>6184</v>
      </c>
      <c r="E1699" s="34" t="s">
        <v>122</v>
      </c>
      <c r="F1699" s="34" t="s">
        <v>6131</v>
      </c>
      <c r="G1699" s="34" t="s">
        <v>1184</v>
      </c>
      <c r="H1699" s="34" t="s">
        <v>61</v>
      </c>
      <c r="I1699" s="34" t="s">
        <v>63</v>
      </c>
      <c r="J1699" s="34" t="s">
        <v>228</v>
      </c>
      <c r="K1699" s="34" t="s">
        <v>229</v>
      </c>
      <c r="L1699" s="34" t="s">
        <v>230</v>
      </c>
      <c r="M1699" s="34" t="s">
        <v>344</v>
      </c>
      <c r="N1699" s="34" t="str">
        <f aca="false">"Sector "&amp;VALUE(MID(D1699,13,2))</f>
        <v>Sector 4</v>
      </c>
      <c r="O1699" s="34" t="str">
        <f aca="false">IF(Dashboard!$C$5="Ubicación técnica",N1699,"Sector "&amp;VALUE(RIGHT(G1699,2)))</f>
        <v>Sector 4</v>
      </c>
      <c r="P1699" s="34" t="str">
        <f aca="false">IF(MID(D1699,15,3)="SEL","Subestación eléctrica","Área de proceso")</f>
        <v>Área de proceso</v>
      </c>
      <c r="Q1699" s="34" t="str">
        <f aca="false">MID(D1699,13,5)&amp;"|"&amp;MID(D1699,19,5)</f>
        <v>04HCA|SFRAC</v>
      </c>
      <c r="R1699" s="34" t="str">
        <f aca="false">IF(P1699="Subestación eléctrica",IFERROR(INDEX(cat_SubN,MATCH(Q1699,cat_SubK,0)),"SIN CATALOGAR"),"ÁREA DE PROCESO")</f>
        <v>ÁREA DE PROCESO</v>
      </c>
      <c r="S1699" s="34" t="str">
        <f aca="false">IF(H1699="","SIN DATO",IFERROR(INDEX(cat_MarcaN,MATCH(H1699,cat_MarcaO,0)),H1699))</f>
        <v>GENERAL ELECTRIC</v>
      </c>
      <c r="T1699" s="34" t="str">
        <f aca="false">IF(I1699="","SIN DATO",IFERROR(INDEX(cat_ModN,MATCH(I1699,cat_ModO,0)),I1699))</f>
        <v>MULTILIN</v>
      </c>
      <c r="U1699" s="34" t="str">
        <f aca="false">IF(I1699="","",IFERROR(INDEX(cat_ModG,MATCH(I1699,cat_ModO,0)),"No"))</f>
        <v>Sí</v>
      </c>
      <c r="V1699" s="34" t="str">
        <f aca="false">IF(J1699="","SIN DATO",IFERROR(INDEX(cat_FunN,MATCH(J1699,cat_FunO,0)),J1699))</f>
        <v>Protección y medición</v>
      </c>
      <c r="W1699" s="34" t="str">
        <f aca="false">IF(OR(S1699="SIN DATO",T1699="SIN DATO"),"No","Sí")</f>
        <v>Sí</v>
      </c>
    </row>
    <row r="1700" customFormat="false" ht="15" hidden="false" customHeight="false" outlineLevel="0" collapsed="false">
      <c r="A1700" s="34" t="s">
        <v>6188</v>
      </c>
      <c r="B1700" s="34" t="s">
        <v>6189</v>
      </c>
      <c r="C1700" s="34" t="s">
        <v>6190</v>
      </c>
      <c r="D1700" s="34" t="s">
        <v>6191</v>
      </c>
      <c r="E1700" s="34" t="s">
        <v>122</v>
      </c>
      <c r="F1700" s="34" t="s">
        <v>6131</v>
      </c>
      <c r="G1700" s="34" t="s">
        <v>1184</v>
      </c>
      <c r="H1700" s="34" t="s">
        <v>61</v>
      </c>
      <c r="I1700" s="34" t="s">
        <v>63</v>
      </c>
      <c r="J1700" s="34" t="s">
        <v>228</v>
      </c>
      <c r="K1700" s="34" t="s">
        <v>229</v>
      </c>
      <c r="L1700" s="34" t="s">
        <v>230</v>
      </c>
      <c r="M1700" s="34" t="s">
        <v>344</v>
      </c>
      <c r="N1700" s="34" t="str">
        <f aca="false">"Sector "&amp;VALUE(MID(D1700,13,2))</f>
        <v>Sector 4</v>
      </c>
      <c r="O1700" s="34" t="str">
        <f aca="false">IF(Dashboard!$C$5="Ubicación técnica",N1700,"Sector "&amp;VALUE(RIGHT(G1700,2)))</f>
        <v>Sector 4</v>
      </c>
      <c r="P1700" s="34" t="str">
        <f aca="false">IF(MID(D1700,15,3)="SEL","Subestación eléctrica","Área de proceso")</f>
        <v>Área de proceso</v>
      </c>
      <c r="Q1700" s="34" t="str">
        <f aca="false">MID(D1700,13,5)&amp;"|"&amp;MID(D1700,19,5)</f>
        <v>04HCA|SREA1</v>
      </c>
      <c r="R1700" s="34" t="str">
        <f aca="false">IF(P1700="Subestación eléctrica",IFERROR(INDEX(cat_SubN,MATCH(Q1700,cat_SubK,0)),"SIN CATALOGAR"),"ÁREA DE PROCESO")</f>
        <v>ÁREA DE PROCESO</v>
      </c>
      <c r="S1700" s="34" t="str">
        <f aca="false">IF(H1700="","SIN DATO",IFERROR(INDEX(cat_MarcaN,MATCH(H1700,cat_MarcaO,0)),H1700))</f>
        <v>GENERAL ELECTRIC</v>
      </c>
      <c r="T1700" s="34" t="str">
        <f aca="false">IF(I1700="","SIN DATO",IFERROR(INDEX(cat_ModN,MATCH(I1700,cat_ModO,0)),I1700))</f>
        <v>MULTILIN</v>
      </c>
      <c r="U1700" s="34" t="str">
        <f aca="false">IF(I1700="","",IFERROR(INDEX(cat_ModG,MATCH(I1700,cat_ModO,0)),"No"))</f>
        <v>Sí</v>
      </c>
      <c r="V1700" s="34" t="str">
        <f aca="false">IF(J1700="","SIN DATO",IFERROR(INDEX(cat_FunN,MATCH(J1700,cat_FunO,0)),J1700))</f>
        <v>Protección y medición</v>
      </c>
      <c r="W1700" s="34" t="str">
        <f aca="false">IF(OR(S1700="SIN DATO",T1700="SIN DATO"),"No","Sí")</f>
        <v>Sí</v>
      </c>
    </row>
    <row r="1701" customFormat="false" ht="15" hidden="false" customHeight="false" outlineLevel="0" collapsed="false">
      <c r="A1701" s="34" t="s">
        <v>6192</v>
      </c>
      <c r="B1701" s="34" t="s">
        <v>6193</v>
      </c>
      <c r="C1701" s="34" t="s">
        <v>6194</v>
      </c>
      <c r="D1701" s="34" t="s">
        <v>6191</v>
      </c>
      <c r="E1701" s="34" t="s">
        <v>122</v>
      </c>
      <c r="F1701" s="34" t="s">
        <v>6131</v>
      </c>
      <c r="G1701" s="34" t="s">
        <v>1184</v>
      </c>
      <c r="H1701" s="34" t="s">
        <v>61</v>
      </c>
      <c r="I1701" s="34" t="s">
        <v>63</v>
      </c>
      <c r="J1701" s="34" t="s">
        <v>228</v>
      </c>
      <c r="K1701" s="34" t="s">
        <v>229</v>
      </c>
      <c r="L1701" s="34" t="s">
        <v>230</v>
      </c>
      <c r="M1701" s="34" t="s">
        <v>344</v>
      </c>
      <c r="N1701" s="34" t="str">
        <f aca="false">"Sector "&amp;VALUE(MID(D1701,13,2))</f>
        <v>Sector 4</v>
      </c>
      <c r="O1701" s="34" t="str">
        <f aca="false">IF(Dashboard!$C$5="Ubicación técnica",N1701,"Sector "&amp;VALUE(RIGHT(G1701,2)))</f>
        <v>Sector 4</v>
      </c>
      <c r="P1701" s="34" t="str">
        <f aca="false">IF(MID(D1701,15,3)="SEL","Subestación eléctrica","Área de proceso")</f>
        <v>Área de proceso</v>
      </c>
      <c r="Q1701" s="34" t="str">
        <f aca="false">MID(D1701,13,5)&amp;"|"&amp;MID(D1701,19,5)</f>
        <v>04HCA|SREA1</v>
      </c>
      <c r="R1701" s="34" t="str">
        <f aca="false">IF(P1701="Subestación eléctrica",IFERROR(INDEX(cat_SubN,MATCH(Q1701,cat_SubK,0)),"SIN CATALOGAR"),"ÁREA DE PROCESO")</f>
        <v>ÁREA DE PROCESO</v>
      </c>
      <c r="S1701" s="34" t="str">
        <f aca="false">IF(H1701="","SIN DATO",IFERROR(INDEX(cat_MarcaN,MATCH(H1701,cat_MarcaO,0)),H1701))</f>
        <v>GENERAL ELECTRIC</v>
      </c>
      <c r="T1701" s="34" t="str">
        <f aca="false">IF(I1701="","SIN DATO",IFERROR(INDEX(cat_ModN,MATCH(I1701,cat_ModO,0)),I1701))</f>
        <v>MULTILIN</v>
      </c>
      <c r="U1701" s="34" t="str">
        <f aca="false">IF(I1701="","",IFERROR(INDEX(cat_ModG,MATCH(I1701,cat_ModO,0)),"No"))</f>
        <v>Sí</v>
      </c>
      <c r="V1701" s="34" t="str">
        <f aca="false">IF(J1701="","SIN DATO",IFERROR(INDEX(cat_FunN,MATCH(J1701,cat_FunO,0)),J1701))</f>
        <v>Protección y medición</v>
      </c>
      <c r="W1701" s="34" t="str">
        <f aca="false">IF(OR(S1701="SIN DATO",T1701="SIN DATO"),"No","Sí")</f>
        <v>Sí</v>
      </c>
    </row>
    <row r="1702" customFormat="false" ht="15" hidden="false" customHeight="false" outlineLevel="0" collapsed="false">
      <c r="A1702" s="34" t="s">
        <v>6195</v>
      </c>
      <c r="B1702" s="34" t="s">
        <v>6196</v>
      </c>
      <c r="C1702" s="34" t="s">
        <v>6197</v>
      </c>
      <c r="D1702" s="34" t="s">
        <v>6198</v>
      </c>
      <c r="E1702" s="34" t="s">
        <v>122</v>
      </c>
      <c r="F1702" s="34" t="s">
        <v>6131</v>
      </c>
      <c r="G1702" s="34" t="s">
        <v>1184</v>
      </c>
      <c r="H1702" s="34" t="s">
        <v>61</v>
      </c>
      <c r="I1702" s="34" t="s">
        <v>63</v>
      </c>
      <c r="J1702" s="34" t="s">
        <v>228</v>
      </c>
      <c r="K1702" s="34" t="s">
        <v>229</v>
      </c>
      <c r="L1702" s="34" t="s">
        <v>230</v>
      </c>
      <c r="M1702" s="34" t="s">
        <v>344</v>
      </c>
      <c r="N1702" s="34" t="str">
        <f aca="false">"Sector "&amp;VALUE(MID(D1702,13,2))</f>
        <v>Sector 4</v>
      </c>
      <c r="O1702" s="34" t="str">
        <f aca="false">IF(Dashboard!$C$5="Ubicación técnica",N1702,"Sector "&amp;VALUE(RIGHT(G1702,2)))</f>
        <v>Sector 4</v>
      </c>
      <c r="P1702" s="34" t="str">
        <f aca="false">IF(MID(D1702,15,3)="SEL","Subestación eléctrica","Área de proceso")</f>
        <v>Área de proceso</v>
      </c>
      <c r="Q1702" s="34" t="str">
        <f aca="false">MID(D1702,13,5)&amp;"|"&amp;MID(D1702,19,5)</f>
        <v>04HCA|SCOMP</v>
      </c>
      <c r="R1702" s="34" t="str">
        <f aca="false">IF(P1702="Subestación eléctrica",IFERROR(INDEX(cat_SubN,MATCH(Q1702,cat_SubK,0)),"SIN CATALOGAR"),"ÁREA DE PROCESO")</f>
        <v>ÁREA DE PROCESO</v>
      </c>
      <c r="S1702" s="34" t="str">
        <f aca="false">IF(H1702="","SIN DATO",IFERROR(INDEX(cat_MarcaN,MATCH(H1702,cat_MarcaO,0)),H1702))</f>
        <v>GENERAL ELECTRIC</v>
      </c>
      <c r="T1702" s="34" t="str">
        <f aca="false">IF(I1702="","SIN DATO",IFERROR(INDEX(cat_ModN,MATCH(I1702,cat_ModO,0)),I1702))</f>
        <v>MULTILIN</v>
      </c>
      <c r="U1702" s="34" t="str">
        <f aca="false">IF(I1702="","",IFERROR(INDEX(cat_ModG,MATCH(I1702,cat_ModO,0)),"No"))</f>
        <v>Sí</v>
      </c>
      <c r="V1702" s="34" t="str">
        <f aca="false">IF(J1702="","SIN DATO",IFERROR(INDEX(cat_FunN,MATCH(J1702,cat_FunO,0)),J1702))</f>
        <v>Protección y medición</v>
      </c>
      <c r="W1702" s="34" t="str">
        <f aca="false">IF(OR(S1702="SIN DATO",T1702="SIN DATO"),"No","Sí")</f>
        <v>Sí</v>
      </c>
    </row>
    <row r="1703" customFormat="false" ht="15" hidden="false" customHeight="false" outlineLevel="0" collapsed="false">
      <c r="A1703" s="34" t="s">
        <v>6199</v>
      </c>
      <c r="B1703" s="34" t="s">
        <v>6200</v>
      </c>
      <c r="C1703" s="34" t="s">
        <v>6201</v>
      </c>
      <c r="D1703" s="34" t="s">
        <v>6198</v>
      </c>
      <c r="E1703" s="34" t="s">
        <v>122</v>
      </c>
      <c r="F1703" s="34" t="s">
        <v>6131</v>
      </c>
      <c r="G1703" s="34" t="s">
        <v>1184</v>
      </c>
      <c r="H1703" s="34" t="s">
        <v>61</v>
      </c>
      <c r="I1703" s="34" t="s">
        <v>63</v>
      </c>
      <c r="J1703" s="34" t="s">
        <v>228</v>
      </c>
      <c r="K1703" s="34" t="s">
        <v>229</v>
      </c>
      <c r="L1703" s="34" t="s">
        <v>230</v>
      </c>
      <c r="M1703" s="34" t="s">
        <v>344</v>
      </c>
      <c r="N1703" s="34" t="str">
        <f aca="false">"Sector "&amp;VALUE(MID(D1703,13,2))</f>
        <v>Sector 4</v>
      </c>
      <c r="O1703" s="34" t="str">
        <f aca="false">IF(Dashboard!$C$5="Ubicación técnica",N1703,"Sector "&amp;VALUE(RIGHT(G1703,2)))</f>
        <v>Sector 4</v>
      </c>
      <c r="P1703" s="34" t="str">
        <f aca="false">IF(MID(D1703,15,3)="SEL","Subestación eléctrica","Área de proceso")</f>
        <v>Área de proceso</v>
      </c>
      <c r="Q1703" s="34" t="str">
        <f aca="false">MID(D1703,13,5)&amp;"|"&amp;MID(D1703,19,5)</f>
        <v>04HCA|SCOMP</v>
      </c>
      <c r="R1703" s="34" t="str">
        <f aca="false">IF(P1703="Subestación eléctrica",IFERROR(INDEX(cat_SubN,MATCH(Q1703,cat_SubK,0)),"SIN CATALOGAR"),"ÁREA DE PROCESO")</f>
        <v>ÁREA DE PROCESO</v>
      </c>
      <c r="S1703" s="34" t="str">
        <f aca="false">IF(H1703="","SIN DATO",IFERROR(INDEX(cat_MarcaN,MATCH(H1703,cat_MarcaO,0)),H1703))</f>
        <v>GENERAL ELECTRIC</v>
      </c>
      <c r="T1703" s="34" t="str">
        <f aca="false">IF(I1703="","SIN DATO",IFERROR(INDEX(cat_ModN,MATCH(I1703,cat_ModO,0)),I1703))</f>
        <v>MULTILIN</v>
      </c>
      <c r="U1703" s="34" t="str">
        <f aca="false">IF(I1703="","",IFERROR(INDEX(cat_ModG,MATCH(I1703,cat_ModO,0)),"No"))</f>
        <v>Sí</v>
      </c>
      <c r="V1703" s="34" t="str">
        <f aca="false">IF(J1703="","SIN DATO",IFERROR(INDEX(cat_FunN,MATCH(J1703,cat_FunO,0)),J1703))</f>
        <v>Protección y medición</v>
      </c>
      <c r="W1703" s="34" t="str">
        <f aca="false">IF(OR(S1703="SIN DATO",T1703="SIN DATO"),"No","Sí")</f>
        <v>Sí</v>
      </c>
    </row>
    <row r="1704" customFormat="false" ht="15" hidden="false" customHeight="false" outlineLevel="0" collapsed="false">
      <c r="A1704" s="34" t="s">
        <v>6202</v>
      </c>
      <c r="B1704" s="34" t="s">
        <v>6203</v>
      </c>
      <c r="C1704" s="34" t="s">
        <v>6204</v>
      </c>
      <c r="D1704" s="34" t="s">
        <v>6205</v>
      </c>
      <c r="E1704" s="34" t="s">
        <v>122</v>
      </c>
      <c r="F1704" s="34" t="s">
        <v>6131</v>
      </c>
      <c r="G1704" s="34" t="s">
        <v>1184</v>
      </c>
      <c r="H1704" s="34" t="s">
        <v>61</v>
      </c>
      <c r="I1704" s="34" t="s">
        <v>63</v>
      </c>
      <c r="J1704" s="34" t="s">
        <v>228</v>
      </c>
      <c r="K1704" s="34" t="s">
        <v>229</v>
      </c>
      <c r="L1704" s="34" t="s">
        <v>230</v>
      </c>
      <c r="M1704" s="34" t="s">
        <v>344</v>
      </c>
      <c r="N1704" s="34" t="str">
        <f aca="false">"Sector "&amp;VALUE(MID(D1704,13,2))</f>
        <v>Sector 4</v>
      </c>
      <c r="O1704" s="34" t="str">
        <f aca="false">IF(Dashboard!$C$5="Ubicación técnica",N1704,"Sector "&amp;VALUE(RIGHT(G1704,2)))</f>
        <v>Sector 4</v>
      </c>
      <c r="P1704" s="34" t="str">
        <f aca="false">IF(MID(D1704,15,3)="SEL","Subestación eléctrica","Área de proceso")</f>
        <v>Área de proceso</v>
      </c>
      <c r="Q1704" s="34" t="str">
        <f aca="false">MID(D1704,13,5)&amp;"|"&amp;MID(D1704,19,5)</f>
        <v>04HCA|SCOMP</v>
      </c>
      <c r="R1704" s="34" t="str">
        <f aca="false">IF(P1704="Subestación eléctrica",IFERROR(INDEX(cat_SubN,MATCH(Q1704,cat_SubK,0)),"SIN CATALOGAR"),"ÁREA DE PROCESO")</f>
        <v>ÁREA DE PROCESO</v>
      </c>
      <c r="S1704" s="34" t="str">
        <f aca="false">IF(H1704="","SIN DATO",IFERROR(INDEX(cat_MarcaN,MATCH(H1704,cat_MarcaO,0)),H1704))</f>
        <v>GENERAL ELECTRIC</v>
      </c>
      <c r="T1704" s="34" t="str">
        <f aca="false">IF(I1704="","SIN DATO",IFERROR(INDEX(cat_ModN,MATCH(I1704,cat_ModO,0)),I1704))</f>
        <v>MULTILIN</v>
      </c>
      <c r="U1704" s="34" t="str">
        <f aca="false">IF(I1704="","",IFERROR(INDEX(cat_ModG,MATCH(I1704,cat_ModO,0)),"No"))</f>
        <v>Sí</v>
      </c>
      <c r="V1704" s="34" t="str">
        <f aca="false">IF(J1704="","SIN DATO",IFERROR(INDEX(cat_FunN,MATCH(J1704,cat_FunO,0)),J1704))</f>
        <v>Protección y medición</v>
      </c>
      <c r="W1704" s="34" t="str">
        <f aca="false">IF(OR(S1704="SIN DATO",T1704="SIN DATO"),"No","Sí")</f>
        <v>Sí</v>
      </c>
    </row>
    <row r="1705" customFormat="false" ht="15" hidden="false" customHeight="false" outlineLevel="0" collapsed="false">
      <c r="A1705" s="34" t="s">
        <v>6206</v>
      </c>
      <c r="B1705" s="34" t="s">
        <v>6207</v>
      </c>
      <c r="C1705" s="34" t="s">
        <v>6208</v>
      </c>
      <c r="D1705" s="34" t="s">
        <v>6205</v>
      </c>
      <c r="E1705" s="34" t="s">
        <v>122</v>
      </c>
      <c r="F1705" s="34" t="s">
        <v>6131</v>
      </c>
      <c r="G1705" s="34" t="s">
        <v>1184</v>
      </c>
      <c r="H1705" s="34" t="s">
        <v>61</v>
      </c>
      <c r="I1705" s="34" t="s">
        <v>63</v>
      </c>
      <c r="J1705" s="34" t="s">
        <v>228</v>
      </c>
      <c r="K1705" s="34" t="s">
        <v>229</v>
      </c>
      <c r="L1705" s="34" t="s">
        <v>230</v>
      </c>
      <c r="M1705" s="34" t="s">
        <v>344</v>
      </c>
      <c r="N1705" s="34" t="str">
        <f aca="false">"Sector "&amp;VALUE(MID(D1705,13,2))</f>
        <v>Sector 4</v>
      </c>
      <c r="O1705" s="34" t="str">
        <f aca="false">IF(Dashboard!$C$5="Ubicación técnica",N1705,"Sector "&amp;VALUE(RIGHT(G1705,2)))</f>
        <v>Sector 4</v>
      </c>
      <c r="P1705" s="34" t="str">
        <f aca="false">IF(MID(D1705,15,3)="SEL","Subestación eléctrica","Área de proceso")</f>
        <v>Área de proceso</v>
      </c>
      <c r="Q1705" s="34" t="str">
        <f aca="false">MID(D1705,13,5)&amp;"|"&amp;MID(D1705,19,5)</f>
        <v>04HCA|SCOMP</v>
      </c>
      <c r="R1705" s="34" t="str">
        <f aca="false">IF(P1705="Subestación eléctrica",IFERROR(INDEX(cat_SubN,MATCH(Q1705,cat_SubK,0)),"SIN CATALOGAR"),"ÁREA DE PROCESO")</f>
        <v>ÁREA DE PROCESO</v>
      </c>
      <c r="S1705" s="34" t="str">
        <f aca="false">IF(H1705="","SIN DATO",IFERROR(INDEX(cat_MarcaN,MATCH(H1705,cat_MarcaO,0)),H1705))</f>
        <v>GENERAL ELECTRIC</v>
      </c>
      <c r="T1705" s="34" t="str">
        <f aca="false">IF(I1705="","SIN DATO",IFERROR(INDEX(cat_ModN,MATCH(I1705,cat_ModO,0)),I1705))</f>
        <v>MULTILIN</v>
      </c>
      <c r="U1705" s="34" t="str">
        <f aca="false">IF(I1705="","",IFERROR(INDEX(cat_ModG,MATCH(I1705,cat_ModO,0)),"No"))</f>
        <v>Sí</v>
      </c>
      <c r="V1705" s="34" t="str">
        <f aca="false">IF(J1705="","SIN DATO",IFERROR(INDEX(cat_FunN,MATCH(J1705,cat_FunO,0)),J1705))</f>
        <v>Protección y medición</v>
      </c>
      <c r="W1705" s="34" t="str">
        <f aca="false">IF(OR(S1705="SIN DATO",T1705="SIN DATO"),"No","Sí")</f>
        <v>Sí</v>
      </c>
    </row>
    <row r="1706" customFormat="false" ht="15" hidden="false" customHeight="false" outlineLevel="0" collapsed="false">
      <c r="A1706" s="34" t="s">
        <v>6209</v>
      </c>
      <c r="B1706" s="34" t="s">
        <v>6210</v>
      </c>
      <c r="C1706" s="34" t="s">
        <v>6211</v>
      </c>
      <c r="D1706" s="34" t="s">
        <v>6212</v>
      </c>
      <c r="E1706" s="34" t="s">
        <v>122</v>
      </c>
      <c r="F1706" s="34" t="s">
        <v>6131</v>
      </c>
      <c r="G1706" s="34" t="s">
        <v>1184</v>
      </c>
      <c r="H1706" s="34" t="s">
        <v>61</v>
      </c>
      <c r="I1706" s="34" t="s">
        <v>63</v>
      </c>
      <c r="J1706" s="34" t="s">
        <v>228</v>
      </c>
      <c r="K1706" s="34" t="s">
        <v>229</v>
      </c>
      <c r="L1706" s="34" t="s">
        <v>230</v>
      </c>
      <c r="M1706" s="34" t="s">
        <v>344</v>
      </c>
      <c r="N1706" s="34" t="str">
        <f aca="false">"Sector "&amp;VALUE(MID(D1706,13,2))</f>
        <v>Sector 4</v>
      </c>
      <c r="O1706" s="34" t="str">
        <f aca="false">IF(Dashboard!$C$5="Ubicación técnica",N1706,"Sector "&amp;VALUE(RIGHT(G1706,2)))</f>
        <v>Sector 4</v>
      </c>
      <c r="P1706" s="34" t="str">
        <f aca="false">IF(MID(D1706,15,3)="SEL","Subestación eléctrica","Área de proceso")</f>
        <v>Área de proceso</v>
      </c>
      <c r="Q1706" s="34" t="str">
        <f aca="false">MID(D1706,13,5)&amp;"|"&amp;MID(D1706,19,5)</f>
        <v>04HCA|SREA2</v>
      </c>
      <c r="R1706" s="34" t="str">
        <f aca="false">IF(P1706="Subestación eléctrica",IFERROR(INDEX(cat_SubN,MATCH(Q1706,cat_SubK,0)),"SIN CATALOGAR"),"ÁREA DE PROCESO")</f>
        <v>ÁREA DE PROCESO</v>
      </c>
      <c r="S1706" s="34" t="str">
        <f aca="false">IF(H1706="","SIN DATO",IFERROR(INDEX(cat_MarcaN,MATCH(H1706,cat_MarcaO,0)),H1706))</f>
        <v>GENERAL ELECTRIC</v>
      </c>
      <c r="T1706" s="34" t="str">
        <f aca="false">IF(I1706="","SIN DATO",IFERROR(INDEX(cat_ModN,MATCH(I1706,cat_ModO,0)),I1706))</f>
        <v>MULTILIN</v>
      </c>
      <c r="U1706" s="34" t="str">
        <f aca="false">IF(I1706="","",IFERROR(INDEX(cat_ModG,MATCH(I1706,cat_ModO,0)),"No"))</f>
        <v>Sí</v>
      </c>
      <c r="V1706" s="34" t="str">
        <f aca="false">IF(J1706="","SIN DATO",IFERROR(INDEX(cat_FunN,MATCH(J1706,cat_FunO,0)),J1706))</f>
        <v>Protección y medición</v>
      </c>
      <c r="W1706" s="34" t="str">
        <f aca="false">IF(OR(S1706="SIN DATO",T1706="SIN DATO"),"No","Sí")</f>
        <v>Sí</v>
      </c>
    </row>
    <row r="1707" customFormat="false" ht="15" hidden="false" customHeight="false" outlineLevel="0" collapsed="false">
      <c r="A1707" s="34" t="s">
        <v>6213</v>
      </c>
      <c r="B1707" s="34" t="s">
        <v>6214</v>
      </c>
      <c r="C1707" s="34" t="s">
        <v>6215</v>
      </c>
      <c r="D1707" s="34" t="s">
        <v>6212</v>
      </c>
      <c r="E1707" s="34" t="s">
        <v>122</v>
      </c>
      <c r="F1707" s="34" t="s">
        <v>6131</v>
      </c>
      <c r="G1707" s="34" t="s">
        <v>1184</v>
      </c>
      <c r="H1707" s="34" t="s">
        <v>61</v>
      </c>
      <c r="I1707" s="34" t="s">
        <v>63</v>
      </c>
      <c r="J1707" s="34" t="s">
        <v>228</v>
      </c>
      <c r="K1707" s="34" t="s">
        <v>229</v>
      </c>
      <c r="L1707" s="34" t="s">
        <v>230</v>
      </c>
      <c r="M1707" s="34" t="s">
        <v>344</v>
      </c>
      <c r="N1707" s="34" t="str">
        <f aca="false">"Sector "&amp;VALUE(MID(D1707,13,2))</f>
        <v>Sector 4</v>
      </c>
      <c r="O1707" s="34" t="str">
        <f aca="false">IF(Dashboard!$C$5="Ubicación técnica",N1707,"Sector "&amp;VALUE(RIGHT(G1707,2)))</f>
        <v>Sector 4</v>
      </c>
      <c r="P1707" s="34" t="str">
        <f aca="false">IF(MID(D1707,15,3)="SEL","Subestación eléctrica","Área de proceso")</f>
        <v>Área de proceso</v>
      </c>
      <c r="Q1707" s="34" t="str">
        <f aca="false">MID(D1707,13,5)&amp;"|"&amp;MID(D1707,19,5)</f>
        <v>04HCA|SREA2</v>
      </c>
      <c r="R1707" s="34" t="str">
        <f aca="false">IF(P1707="Subestación eléctrica",IFERROR(INDEX(cat_SubN,MATCH(Q1707,cat_SubK,0)),"SIN CATALOGAR"),"ÁREA DE PROCESO")</f>
        <v>ÁREA DE PROCESO</v>
      </c>
      <c r="S1707" s="34" t="str">
        <f aca="false">IF(H1707="","SIN DATO",IFERROR(INDEX(cat_MarcaN,MATCH(H1707,cat_MarcaO,0)),H1707))</f>
        <v>GENERAL ELECTRIC</v>
      </c>
      <c r="T1707" s="34" t="str">
        <f aca="false">IF(I1707="","SIN DATO",IFERROR(INDEX(cat_ModN,MATCH(I1707,cat_ModO,0)),I1707))</f>
        <v>MULTILIN</v>
      </c>
      <c r="U1707" s="34" t="str">
        <f aca="false">IF(I1707="","",IFERROR(INDEX(cat_ModG,MATCH(I1707,cat_ModO,0)),"No"))</f>
        <v>Sí</v>
      </c>
      <c r="V1707" s="34" t="str">
        <f aca="false">IF(J1707="","SIN DATO",IFERROR(INDEX(cat_FunN,MATCH(J1707,cat_FunO,0)),J1707))</f>
        <v>Protección y medición</v>
      </c>
      <c r="W1707" s="34" t="str">
        <f aca="false">IF(OR(S1707="SIN DATO",T1707="SIN DATO"),"No","Sí")</f>
        <v>Sí</v>
      </c>
    </row>
    <row r="1708" customFormat="false" ht="15" hidden="false" customHeight="false" outlineLevel="0" collapsed="false">
      <c r="A1708" s="34" t="s">
        <v>6216</v>
      </c>
      <c r="B1708" s="34" t="s">
        <v>6217</v>
      </c>
      <c r="C1708" s="34" t="s">
        <v>6218</v>
      </c>
      <c r="D1708" s="34" t="s">
        <v>6219</v>
      </c>
      <c r="E1708" s="34" t="s">
        <v>122</v>
      </c>
      <c r="F1708" s="34" t="s">
        <v>6131</v>
      </c>
      <c r="G1708" s="34" t="s">
        <v>1184</v>
      </c>
      <c r="H1708" s="34" t="s">
        <v>61</v>
      </c>
      <c r="I1708" s="34" t="s">
        <v>63</v>
      </c>
      <c r="J1708" s="34" t="s">
        <v>228</v>
      </c>
      <c r="K1708" s="34" t="s">
        <v>229</v>
      </c>
      <c r="L1708" s="34" t="s">
        <v>230</v>
      </c>
      <c r="M1708" s="34" t="s">
        <v>344</v>
      </c>
      <c r="N1708" s="34" t="str">
        <f aca="false">"Sector "&amp;VALUE(MID(D1708,13,2))</f>
        <v>Sector 4</v>
      </c>
      <c r="O1708" s="34" t="str">
        <f aca="false">IF(Dashboard!$C$5="Ubicación técnica",N1708,"Sector "&amp;VALUE(RIGHT(G1708,2)))</f>
        <v>Sector 4</v>
      </c>
      <c r="P1708" s="34" t="str">
        <f aca="false">IF(MID(D1708,15,3)="SEL","Subestación eléctrica","Área de proceso")</f>
        <v>Área de proceso</v>
      </c>
      <c r="Q1708" s="34" t="str">
        <f aca="false">MID(D1708,13,5)&amp;"|"&amp;MID(D1708,19,5)</f>
        <v>04HCA|SFRAC</v>
      </c>
      <c r="R1708" s="34" t="str">
        <f aca="false">IF(P1708="Subestación eléctrica",IFERROR(INDEX(cat_SubN,MATCH(Q1708,cat_SubK,0)),"SIN CATALOGAR"),"ÁREA DE PROCESO")</f>
        <v>ÁREA DE PROCESO</v>
      </c>
      <c r="S1708" s="34" t="str">
        <f aca="false">IF(H1708="","SIN DATO",IFERROR(INDEX(cat_MarcaN,MATCH(H1708,cat_MarcaO,0)),H1708))</f>
        <v>GENERAL ELECTRIC</v>
      </c>
      <c r="T1708" s="34" t="str">
        <f aca="false">IF(I1708="","SIN DATO",IFERROR(INDEX(cat_ModN,MATCH(I1708,cat_ModO,0)),I1708))</f>
        <v>MULTILIN</v>
      </c>
      <c r="U1708" s="34" t="str">
        <f aca="false">IF(I1708="","",IFERROR(INDEX(cat_ModG,MATCH(I1708,cat_ModO,0)),"No"))</f>
        <v>Sí</v>
      </c>
      <c r="V1708" s="34" t="str">
        <f aca="false">IF(J1708="","SIN DATO",IFERROR(INDEX(cat_FunN,MATCH(J1708,cat_FunO,0)),J1708))</f>
        <v>Protección y medición</v>
      </c>
      <c r="W1708" s="34" t="str">
        <f aca="false">IF(OR(S1708="SIN DATO",T1708="SIN DATO"),"No","Sí")</f>
        <v>Sí</v>
      </c>
    </row>
    <row r="1709" customFormat="false" ht="15" hidden="false" customHeight="false" outlineLevel="0" collapsed="false">
      <c r="A1709" s="34" t="s">
        <v>6220</v>
      </c>
      <c r="B1709" s="34" t="s">
        <v>6221</v>
      </c>
      <c r="C1709" s="34" t="s">
        <v>6222</v>
      </c>
      <c r="D1709" s="34" t="s">
        <v>6219</v>
      </c>
      <c r="E1709" s="34" t="s">
        <v>122</v>
      </c>
      <c r="F1709" s="34" t="s">
        <v>6131</v>
      </c>
      <c r="G1709" s="34" t="s">
        <v>1184</v>
      </c>
      <c r="H1709" s="34" t="s">
        <v>61</v>
      </c>
      <c r="I1709" s="34" t="s">
        <v>63</v>
      </c>
      <c r="J1709" s="34" t="s">
        <v>228</v>
      </c>
      <c r="K1709" s="34" t="s">
        <v>229</v>
      </c>
      <c r="L1709" s="34" t="s">
        <v>230</v>
      </c>
      <c r="M1709" s="34" t="s">
        <v>344</v>
      </c>
      <c r="N1709" s="34" t="str">
        <f aca="false">"Sector "&amp;VALUE(MID(D1709,13,2))</f>
        <v>Sector 4</v>
      </c>
      <c r="O1709" s="34" t="str">
        <f aca="false">IF(Dashboard!$C$5="Ubicación técnica",N1709,"Sector "&amp;VALUE(RIGHT(G1709,2)))</f>
        <v>Sector 4</v>
      </c>
      <c r="P1709" s="34" t="str">
        <f aca="false">IF(MID(D1709,15,3)="SEL","Subestación eléctrica","Área de proceso")</f>
        <v>Área de proceso</v>
      </c>
      <c r="Q1709" s="34" t="str">
        <f aca="false">MID(D1709,13,5)&amp;"|"&amp;MID(D1709,19,5)</f>
        <v>04HCA|SFRAC</v>
      </c>
      <c r="R1709" s="34" t="str">
        <f aca="false">IF(P1709="Subestación eléctrica",IFERROR(INDEX(cat_SubN,MATCH(Q1709,cat_SubK,0)),"SIN CATALOGAR"),"ÁREA DE PROCESO")</f>
        <v>ÁREA DE PROCESO</v>
      </c>
      <c r="S1709" s="34" t="str">
        <f aca="false">IF(H1709="","SIN DATO",IFERROR(INDEX(cat_MarcaN,MATCH(H1709,cat_MarcaO,0)),H1709))</f>
        <v>GENERAL ELECTRIC</v>
      </c>
      <c r="T1709" s="34" t="str">
        <f aca="false">IF(I1709="","SIN DATO",IFERROR(INDEX(cat_ModN,MATCH(I1709,cat_ModO,0)),I1709))</f>
        <v>MULTILIN</v>
      </c>
      <c r="U1709" s="34" t="str">
        <f aca="false">IF(I1709="","",IFERROR(INDEX(cat_ModG,MATCH(I1709,cat_ModO,0)),"No"))</f>
        <v>Sí</v>
      </c>
      <c r="V1709" s="34" t="str">
        <f aca="false">IF(J1709="","SIN DATO",IFERROR(INDEX(cat_FunN,MATCH(J1709,cat_FunO,0)),J1709))</f>
        <v>Protección y medición</v>
      </c>
      <c r="W1709" s="34" t="str">
        <f aca="false">IF(OR(S1709="SIN DATO",T1709="SIN DATO"),"No","Sí")</f>
        <v>Sí</v>
      </c>
    </row>
    <row r="1710" customFormat="false" ht="15" hidden="false" customHeight="false" outlineLevel="0" collapsed="false">
      <c r="A1710" s="34" t="s">
        <v>6223</v>
      </c>
      <c r="B1710" s="34" t="s">
        <v>6224</v>
      </c>
      <c r="C1710" s="34" t="s">
        <v>6225</v>
      </c>
      <c r="D1710" s="34" t="s">
        <v>6226</v>
      </c>
      <c r="E1710" s="34" t="s">
        <v>122</v>
      </c>
      <c r="F1710" s="34" t="s">
        <v>6131</v>
      </c>
      <c r="G1710" s="34" t="s">
        <v>1184</v>
      </c>
      <c r="H1710" s="34" t="s">
        <v>61</v>
      </c>
      <c r="I1710" s="34" t="s">
        <v>63</v>
      </c>
      <c r="J1710" s="34" t="s">
        <v>228</v>
      </c>
      <c r="K1710" s="34" t="s">
        <v>229</v>
      </c>
      <c r="L1710" s="34" t="s">
        <v>230</v>
      </c>
      <c r="M1710" s="34" t="s">
        <v>344</v>
      </c>
      <c r="N1710" s="34" t="str">
        <f aca="false">"Sector "&amp;VALUE(MID(D1710,13,2))</f>
        <v>Sector 4</v>
      </c>
      <c r="O1710" s="34" t="str">
        <f aca="false">IF(Dashboard!$C$5="Ubicación técnica",N1710,"Sector "&amp;VALUE(RIGHT(G1710,2)))</f>
        <v>Sector 4</v>
      </c>
      <c r="P1710" s="34" t="str">
        <f aca="false">IF(MID(D1710,15,3)="SEL","Subestación eléctrica","Área de proceso")</f>
        <v>Área de proceso</v>
      </c>
      <c r="Q1710" s="34" t="str">
        <f aca="false">MID(D1710,13,5)&amp;"|"&amp;MID(D1710,19,5)</f>
        <v>04HCA|SCOMP</v>
      </c>
      <c r="R1710" s="34" t="str">
        <f aca="false">IF(P1710="Subestación eléctrica",IFERROR(INDEX(cat_SubN,MATCH(Q1710,cat_SubK,0)),"SIN CATALOGAR"),"ÁREA DE PROCESO")</f>
        <v>ÁREA DE PROCESO</v>
      </c>
      <c r="S1710" s="34" t="str">
        <f aca="false">IF(H1710="","SIN DATO",IFERROR(INDEX(cat_MarcaN,MATCH(H1710,cat_MarcaO,0)),H1710))</f>
        <v>GENERAL ELECTRIC</v>
      </c>
      <c r="T1710" s="34" t="str">
        <f aca="false">IF(I1710="","SIN DATO",IFERROR(INDEX(cat_ModN,MATCH(I1710,cat_ModO,0)),I1710))</f>
        <v>MULTILIN</v>
      </c>
      <c r="U1710" s="34" t="str">
        <f aca="false">IF(I1710="","",IFERROR(INDEX(cat_ModG,MATCH(I1710,cat_ModO,0)),"No"))</f>
        <v>Sí</v>
      </c>
      <c r="V1710" s="34" t="str">
        <f aca="false">IF(J1710="","SIN DATO",IFERROR(INDEX(cat_FunN,MATCH(J1710,cat_FunO,0)),J1710))</f>
        <v>Protección y medición</v>
      </c>
      <c r="W1710" s="34" t="str">
        <f aca="false">IF(OR(S1710="SIN DATO",T1710="SIN DATO"),"No","Sí")</f>
        <v>Sí</v>
      </c>
    </row>
    <row r="1711" customFormat="false" ht="15" hidden="false" customHeight="false" outlineLevel="0" collapsed="false">
      <c r="A1711" s="34" t="s">
        <v>6227</v>
      </c>
      <c r="B1711" s="34" t="s">
        <v>6228</v>
      </c>
      <c r="C1711" s="34" t="s">
        <v>6229</v>
      </c>
      <c r="D1711" s="34" t="s">
        <v>6226</v>
      </c>
      <c r="E1711" s="34" t="s">
        <v>122</v>
      </c>
      <c r="F1711" s="34" t="s">
        <v>6131</v>
      </c>
      <c r="G1711" s="34" t="s">
        <v>1184</v>
      </c>
      <c r="H1711" s="34" t="s">
        <v>61</v>
      </c>
      <c r="I1711" s="34" t="s">
        <v>63</v>
      </c>
      <c r="J1711" s="34" t="s">
        <v>228</v>
      </c>
      <c r="K1711" s="34" t="s">
        <v>229</v>
      </c>
      <c r="L1711" s="34" t="s">
        <v>230</v>
      </c>
      <c r="M1711" s="34" t="s">
        <v>344</v>
      </c>
      <c r="N1711" s="34" t="str">
        <f aca="false">"Sector "&amp;VALUE(MID(D1711,13,2))</f>
        <v>Sector 4</v>
      </c>
      <c r="O1711" s="34" t="str">
        <f aca="false">IF(Dashboard!$C$5="Ubicación técnica",N1711,"Sector "&amp;VALUE(RIGHT(G1711,2)))</f>
        <v>Sector 4</v>
      </c>
      <c r="P1711" s="34" t="str">
        <f aca="false">IF(MID(D1711,15,3)="SEL","Subestación eléctrica","Área de proceso")</f>
        <v>Área de proceso</v>
      </c>
      <c r="Q1711" s="34" t="str">
        <f aca="false">MID(D1711,13,5)&amp;"|"&amp;MID(D1711,19,5)</f>
        <v>04HCA|SCOMP</v>
      </c>
      <c r="R1711" s="34" t="str">
        <f aca="false">IF(P1711="Subestación eléctrica",IFERROR(INDEX(cat_SubN,MATCH(Q1711,cat_SubK,0)),"SIN CATALOGAR"),"ÁREA DE PROCESO")</f>
        <v>ÁREA DE PROCESO</v>
      </c>
      <c r="S1711" s="34" t="str">
        <f aca="false">IF(H1711="","SIN DATO",IFERROR(INDEX(cat_MarcaN,MATCH(H1711,cat_MarcaO,0)),H1711))</f>
        <v>GENERAL ELECTRIC</v>
      </c>
      <c r="T1711" s="34" t="str">
        <f aca="false">IF(I1711="","SIN DATO",IFERROR(INDEX(cat_ModN,MATCH(I1711,cat_ModO,0)),I1711))</f>
        <v>MULTILIN</v>
      </c>
      <c r="U1711" s="34" t="str">
        <f aca="false">IF(I1711="","",IFERROR(INDEX(cat_ModG,MATCH(I1711,cat_ModO,0)),"No"))</f>
        <v>Sí</v>
      </c>
      <c r="V1711" s="34" t="str">
        <f aca="false">IF(J1711="","SIN DATO",IFERROR(INDEX(cat_FunN,MATCH(J1711,cat_FunO,0)),J1711))</f>
        <v>Protección y medición</v>
      </c>
      <c r="W1711" s="34" t="str">
        <f aca="false">IF(OR(S1711="SIN DATO",T1711="SIN DATO"),"No","Sí")</f>
        <v>Sí</v>
      </c>
    </row>
    <row r="1712" customFormat="false" ht="15" hidden="false" customHeight="false" outlineLevel="0" collapsed="false">
      <c r="A1712" s="34" t="s">
        <v>6230</v>
      </c>
      <c r="B1712" s="34" t="s">
        <v>6231</v>
      </c>
      <c r="C1712" s="34" t="s">
        <v>6232</v>
      </c>
      <c r="D1712" s="34" t="s">
        <v>6233</v>
      </c>
      <c r="E1712" s="34" t="s">
        <v>128</v>
      </c>
      <c r="F1712" s="34" t="s">
        <v>6234</v>
      </c>
      <c r="G1712" s="34" t="s">
        <v>2983</v>
      </c>
      <c r="H1712" s="34" t="s">
        <v>61</v>
      </c>
      <c r="I1712" s="34" t="s">
        <v>63</v>
      </c>
      <c r="J1712" s="34" t="s">
        <v>681</v>
      </c>
      <c r="K1712" s="34" t="s">
        <v>229</v>
      </c>
      <c r="L1712" s="34" t="s">
        <v>3198</v>
      </c>
      <c r="M1712" s="34" t="s">
        <v>231</v>
      </c>
      <c r="N1712" s="34" t="str">
        <f aca="false">"Sector "&amp;VALUE(MID(D1712,13,2))</f>
        <v>Sector 5</v>
      </c>
      <c r="O1712" s="34" t="str">
        <f aca="false">IF(Dashboard!$C$5="Ubicación técnica",N1712,"Sector "&amp;VALUE(RIGHT(G1712,2)))</f>
        <v>Sector 5</v>
      </c>
      <c r="P1712" s="34" t="str">
        <f aca="false">IF(MID(D1712,15,3)="SEL","Subestación eléctrica","Área de proceso")</f>
        <v>Área de proceso</v>
      </c>
      <c r="Q1712" s="34" t="str">
        <f aca="false">MID(D1712,13,5)&amp;"|"&amp;MID(D1712,19,5)</f>
        <v>05HGA|SFRAC</v>
      </c>
      <c r="R1712" s="34" t="str">
        <f aca="false">IF(P1712="Subestación eléctrica",IFERROR(INDEX(cat_SubN,MATCH(Q1712,cat_SubK,0)),"SIN CATALOGAR"),"ÁREA DE PROCESO")</f>
        <v>ÁREA DE PROCESO</v>
      </c>
      <c r="S1712" s="34" t="str">
        <f aca="false">IF(H1712="","SIN DATO",IFERROR(INDEX(cat_MarcaN,MATCH(H1712,cat_MarcaO,0)),H1712))</f>
        <v>GENERAL ELECTRIC</v>
      </c>
      <c r="T1712" s="34" t="str">
        <f aca="false">IF(I1712="","SIN DATO",IFERROR(INDEX(cat_ModN,MATCH(I1712,cat_ModO,0)),I1712))</f>
        <v>MULTILIN</v>
      </c>
      <c r="U1712" s="34" t="str">
        <f aca="false">IF(I1712="","",IFERROR(INDEX(cat_ModG,MATCH(I1712,cat_ModO,0)),"No"))</f>
        <v>Sí</v>
      </c>
      <c r="V1712" s="34" t="str">
        <f aca="false">IF(J1712="","SIN DATO",IFERROR(INDEX(cat_FunN,MATCH(J1712,cat_FunO,0)),J1712))</f>
        <v>Protección</v>
      </c>
      <c r="W1712" s="34" t="str">
        <f aca="false">IF(OR(S1712="SIN DATO",T1712="SIN DATO"),"No","Sí")</f>
        <v>Sí</v>
      </c>
    </row>
    <row r="1713" customFormat="false" ht="15" hidden="false" customHeight="false" outlineLevel="0" collapsed="false">
      <c r="A1713" s="34" t="s">
        <v>6235</v>
      </c>
      <c r="B1713" s="34" t="s">
        <v>6236</v>
      </c>
      <c r="C1713" s="34" t="s">
        <v>6237</v>
      </c>
      <c r="D1713" s="34" t="s">
        <v>6238</v>
      </c>
      <c r="E1713" s="34" t="s">
        <v>128</v>
      </c>
      <c r="F1713" s="34" t="s">
        <v>6234</v>
      </c>
      <c r="G1713" s="34" t="s">
        <v>2983</v>
      </c>
      <c r="H1713" s="34" t="s">
        <v>61</v>
      </c>
      <c r="I1713" s="34" t="s">
        <v>63</v>
      </c>
      <c r="J1713" s="34" t="s">
        <v>681</v>
      </c>
      <c r="K1713" s="34" t="s">
        <v>229</v>
      </c>
      <c r="L1713" s="34" t="s">
        <v>3198</v>
      </c>
      <c r="M1713" s="34" t="s">
        <v>231</v>
      </c>
      <c r="N1713" s="34" t="str">
        <f aca="false">"Sector "&amp;VALUE(MID(D1713,13,2))</f>
        <v>Sector 5</v>
      </c>
      <c r="O1713" s="34" t="str">
        <f aca="false">IF(Dashboard!$C$5="Ubicación técnica",N1713,"Sector "&amp;VALUE(RIGHT(G1713,2)))</f>
        <v>Sector 5</v>
      </c>
      <c r="P1713" s="34" t="str">
        <f aca="false">IF(MID(D1713,15,3)="SEL","Subestación eléctrica","Área de proceso")</f>
        <v>Área de proceso</v>
      </c>
      <c r="Q1713" s="34" t="str">
        <f aca="false">MID(D1713,13,5)&amp;"|"&amp;MID(D1713,19,5)</f>
        <v>05HGA|SFRAC</v>
      </c>
      <c r="R1713" s="34" t="str">
        <f aca="false">IF(P1713="Subestación eléctrica",IFERROR(INDEX(cat_SubN,MATCH(Q1713,cat_SubK,0)),"SIN CATALOGAR"),"ÁREA DE PROCESO")</f>
        <v>ÁREA DE PROCESO</v>
      </c>
      <c r="S1713" s="34" t="str">
        <f aca="false">IF(H1713="","SIN DATO",IFERROR(INDEX(cat_MarcaN,MATCH(H1713,cat_MarcaO,0)),H1713))</f>
        <v>GENERAL ELECTRIC</v>
      </c>
      <c r="T1713" s="34" t="str">
        <f aca="false">IF(I1713="","SIN DATO",IFERROR(INDEX(cat_ModN,MATCH(I1713,cat_ModO,0)),I1713))</f>
        <v>MULTILIN</v>
      </c>
      <c r="U1713" s="34" t="str">
        <f aca="false">IF(I1713="","",IFERROR(INDEX(cat_ModG,MATCH(I1713,cat_ModO,0)),"No"))</f>
        <v>Sí</v>
      </c>
      <c r="V1713" s="34" t="str">
        <f aca="false">IF(J1713="","SIN DATO",IFERROR(INDEX(cat_FunN,MATCH(J1713,cat_FunO,0)),J1713))</f>
        <v>Protección</v>
      </c>
      <c r="W1713" s="34" t="str">
        <f aca="false">IF(OR(S1713="SIN DATO",T1713="SIN DATO"),"No","Sí")</f>
        <v>Sí</v>
      </c>
    </row>
    <row r="1714" customFormat="false" ht="15" hidden="false" customHeight="false" outlineLevel="0" collapsed="false">
      <c r="A1714" s="34" t="s">
        <v>6239</v>
      </c>
      <c r="B1714" s="34" t="s">
        <v>6240</v>
      </c>
      <c r="C1714" s="34" t="s">
        <v>6241</v>
      </c>
      <c r="D1714" s="34" t="s">
        <v>6242</v>
      </c>
      <c r="E1714" s="34" t="s">
        <v>128</v>
      </c>
      <c r="F1714" s="34" t="s">
        <v>6234</v>
      </c>
      <c r="G1714" s="34" t="s">
        <v>2983</v>
      </c>
      <c r="H1714" s="34" t="s">
        <v>61</v>
      </c>
      <c r="I1714" s="34" t="s">
        <v>63</v>
      </c>
      <c r="J1714" s="34" t="s">
        <v>681</v>
      </c>
      <c r="K1714" s="34" t="s">
        <v>229</v>
      </c>
      <c r="L1714" s="34" t="s">
        <v>3198</v>
      </c>
      <c r="M1714" s="34" t="s">
        <v>231</v>
      </c>
      <c r="N1714" s="34" t="str">
        <f aca="false">"Sector "&amp;VALUE(MID(D1714,13,2))</f>
        <v>Sector 5</v>
      </c>
      <c r="O1714" s="34" t="str">
        <f aca="false">IF(Dashboard!$C$5="Ubicación técnica",N1714,"Sector "&amp;VALUE(RIGHT(G1714,2)))</f>
        <v>Sector 5</v>
      </c>
      <c r="P1714" s="34" t="str">
        <f aca="false">IF(MID(D1714,15,3)="SEL","Subestación eléctrica","Área de proceso")</f>
        <v>Área de proceso</v>
      </c>
      <c r="Q1714" s="34" t="str">
        <f aca="false">MID(D1714,13,5)&amp;"|"&amp;MID(D1714,19,5)</f>
        <v>05HGA|SFRAC</v>
      </c>
      <c r="R1714" s="34" t="str">
        <f aca="false">IF(P1714="Subestación eléctrica",IFERROR(INDEX(cat_SubN,MATCH(Q1714,cat_SubK,0)),"SIN CATALOGAR"),"ÁREA DE PROCESO")</f>
        <v>ÁREA DE PROCESO</v>
      </c>
      <c r="S1714" s="34" t="str">
        <f aca="false">IF(H1714="","SIN DATO",IFERROR(INDEX(cat_MarcaN,MATCH(H1714,cat_MarcaO,0)),H1714))</f>
        <v>GENERAL ELECTRIC</v>
      </c>
      <c r="T1714" s="34" t="str">
        <f aca="false">IF(I1714="","SIN DATO",IFERROR(INDEX(cat_ModN,MATCH(I1714,cat_ModO,0)),I1714))</f>
        <v>MULTILIN</v>
      </c>
      <c r="U1714" s="34" t="str">
        <f aca="false">IF(I1714="","",IFERROR(INDEX(cat_ModG,MATCH(I1714,cat_ModO,0)),"No"))</f>
        <v>Sí</v>
      </c>
      <c r="V1714" s="34" t="str">
        <f aca="false">IF(J1714="","SIN DATO",IFERROR(INDEX(cat_FunN,MATCH(J1714,cat_FunO,0)),J1714))</f>
        <v>Protección</v>
      </c>
      <c r="W1714" s="34" t="str">
        <f aca="false">IF(OR(S1714="SIN DATO",T1714="SIN DATO"),"No","Sí")</f>
        <v>Sí</v>
      </c>
    </row>
    <row r="1715" customFormat="false" ht="15" hidden="false" customHeight="false" outlineLevel="0" collapsed="false">
      <c r="A1715" s="34" t="s">
        <v>6243</v>
      </c>
      <c r="B1715" s="34" t="s">
        <v>6244</v>
      </c>
      <c r="C1715" s="34" t="s">
        <v>6245</v>
      </c>
      <c r="D1715" s="34" t="s">
        <v>6246</v>
      </c>
      <c r="E1715" s="34" t="s">
        <v>128</v>
      </c>
      <c r="F1715" s="34" t="s">
        <v>6234</v>
      </c>
      <c r="G1715" s="34" t="s">
        <v>2983</v>
      </c>
      <c r="H1715" s="34" t="s">
        <v>61</v>
      </c>
      <c r="I1715" s="34" t="s">
        <v>63</v>
      </c>
      <c r="J1715" s="34" t="s">
        <v>681</v>
      </c>
      <c r="K1715" s="34" t="s">
        <v>229</v>
      </c>
      <c r="L1715" s="34" t="s">
        <v>3198</v>
      </c>
      <c r="M1715" s="34" t="s">
        <v>231</v>
      </c>
      <c r="N1715" s="34" t="str">
        <f aca="false">"Sector "&amp;VALUE(MID(D1715,13,2))</f>
        <v>Sector 5</v>
      </c>
      <c r="O1715" s="34" t="str">
        <f aca="false">IF(Dashboard!$C$5="Ubicación técnica",N1715,"Sector "&amp;VALUE(RIGHT(G1715,2)))</f>
        <v>Sector 5</v>
      </c>
      <c r="P1715" s="34" t="str">
        <f aca="false">IF(MID(D1715,15,3)="SEL","Subestación eléctrica","Área de proceso")</f>
        <v>Área de proceso</v>
      </c>
      <c r="Q1715" s="34" t="str">
        <f aca="false">MID(D1715,13,5)&amp;"|"&amp;MID(D1715,19,5)</f>
        <v>05HGA|SFRAC</v>
      </c>
      <c r="R1715" s="34" t="str">
        <f aca="false">IF(P1715="Subestación eléctrica",IFERROR(INDEX(cat_SubN,MATCH(Q1715,cat_SubK,0)),"SIN CATALOGAR"),"ÁREA DE PROCESO")</f>
        <v>ÁREA DE PROCESO</v>
      </c>
      <c r="S1715" s="34" t="str">
        <f aca="false">IF(H1715="","SIN DATO",IFERROR(INDEX(cat_MarcaN,MATCH(H1715,cat_MarcaO,0)),H1715))</f>
        <v>GENERAL ELECTRIC</v>
      </c>
      <c r="T1715" s="34" t="str">
        <f aca="false">IF(I1715="","SIN DATO",IFERROR(INDEX(cat_ModN,MATCH(I1715,cat_ModO,0)),I1715))</f>
        <v>MULTILIN</v>
      </c>
      <c r="U1715" s="34" t="str">
        <f aca="false">IF(I1715="","",IFERROR(INDEX(cat_ModG,MATCH(I1715,cat_ModO,0)),"No"))</f>
        <v>Sí</v>
      </c>
      <c r="V1715" s="34" t="str">
        <f aca="false">IF(J1715="","SIN DATO",IFERROR(INDEX(cat_FunN,MATCH(J1715,cat_FunO,0)),J1715))</f>
        <v>Protección</v>
      </c>
      <c r="W1715" s="34" t="str">
        <f aca="false">IF(OR(S1715="SIN DATO",T1715="SIN DATO"),"No","Sí")</f>
        <v>Sí</v>
      </c>
    </row>
    <row r="1716" customFormat="false" ht="15" hidden="false" customHeight="false" outlineLevel="0" collapsed="false">
      <c r="A1716" s="34" t="s">
        <v>6247</v>
      </c>
      <c r="B1716" s="34" t="s">
        <v>6248</v>
      </c>
      <c r="C1716" s="34" t="s">
        <v>6249</v>
      </c>
      <c r="D1716" s="34" t="s">
        <v>6250</v>
      </c>
      <c r="E1716" s="34" t="s">
        <v>128</v>
      </c>
      <c r="F1716" s="34" t="s">
        <v>6234</v>
      </c>
      <c r="G1716" s="34" t="s">
        <v>2983</v>
      </c>
      <c r="H1716" s="34" t="s">
        <v>61</v>
      </c>
      <c r="I1716" s="34" t="s">
        <v>63</v>
      </c>
      <c r="J1716" s="34" t="s">
        <v>681</v>
      </c>
      <c r="K1716" s="34" t="s">
        <v>229</v>
      </c>
      <c r="L1716" s="34" t="s">
        <v>3198</v>
      </c>
      <c r="M1716" s="34" t="s">
        <v>231</v>
      </c>
      <c r="N1716" s="34" t="str">
        <f aca="false">"Sector "&amp;VALUE(MID(D1716,13,2))</f>
        <v>Sector 5</v>
      </c>
      <c r="O1716" s="34" t="str">
        <f aca="false">IF(Dashboard!$C$5="Ubicación técnica",N1716,"Sector "&amp;VALUE(RIGHT(G1716,2)))</f>
        <v>Sector 5</v>
      </c>
      <c r="P1716" s="34" t="str">
        <f aca="false">IF(MID(D1716,15,3)="SEL","Subestación eléctrica","Área de proceso")</f>
        <v>Área de proceso</v>
      </c>
      <c r="Q1716" s="34" t="str">
        <f aca="false">MID(D1716,13,5)&amp;"|"&amp;MID(D1716,19,5)</f>
        <v>05HGA|SFRAC</v>
      </c>
      <c r="R1716" s="34" t="str">
        <f aca="false">IF(P1716="Subestación eléctrica",IFERROR(INDEX(cat_SubN,MATCH(Q1716,cat_SubK,0)),"SIN CATALOGAR"),"ÁREA DE PROCESO")</f>
        <v>ÁREA DE PROCESO</v>
      </c>
      <c r="S1716" s="34" t="str">
        <f aca="false">IF(H1716="","SIN DATO",IFERROR(INDEX(cat_MarcaN,MATCH(H1716,cat_MarcaO,0)),H1716))</f>
        <v>GENERAL ELECTRIC</v>
      </c>
      <c r="T1716" s="34" t="str">
        <f aca="false">IF(I1716="","SIN DATO",IFERROR(INDEX(cat_ModN,MATCH(I1716,cat_ModO,0)),I1716))</f>
        <v>MULTILIN</v>
      </c>
      <c r="U1716" s="34" t="str">
        <f aca="false">IF(I1716="","",IFERROR(INDEX(cat_ModG,MATCH(I1716,cat_ModO,0)),"No"))</f>
        <v>Sí</v>
      </c>
      <c r="V1716" s="34" t="str">
        <f aca="false">IF(J1716="","SIN DATO",IFERROR(INDEX(cat_FunN,MATCH(J1716,cat_FunO,0)),J1716))</f>
        <v>Protección</v>
      </c>
      <c r="W1716" s="34" t="str">
        <f aca="false">IF(OR(S1716="SIN DATO",T1716="SIN DATO"),"No","Sí")</f>
        <v>Sí</v>
      </c>
    </row>
    <row r="1717" customFormat="false" ht="15" hidden="false" customHeight="false" outlineLevel="0" collapsed="false">
      <c r="A1717" s="34" t="s">
        <v>6251</v>
      </c>
      <c r="B1717" s="34" t="s">
        <v>6252</v>
      </c>
      <c r="C1717" s="34" t="s">
        <v>6253</v>
      </c>
      <c r="D1717" s="34" t="s">
        <v>6254</v>
      </c>
      <c r="E1717" s="34" t="s">
        <v>128</v>
      </c>
      <c r="F1717" s="34" t="s">
        <v>6234</v>
      </c>
      <c r="G1717" s="34" t="s">
        <v>2983</v>
      </c>
      <c r="H1717" s="34" t="s">
        <v>61</v>
      </c>
      <c r="I1717" s="34" t="s">
        <v>63</v>
      </c>
      <c r="J1717" s="34" t="s">
        <v>681</v>
      </c>
      <c r="K1717" s="34" t="s">
        <v>229</v>
      </c>
      <c r="L1717" s="34" t="s">
        <v>3198</v>
      </c>
      <c r="M1717" s="34" t="s">
        <v>231</v>
      </c>
      <c r="N1717" s="34" t="str">
        <f aca="false">"Sector "&amp;VALUE(MID(D1717,13,2))</f>
        <v>Sector 5</v>
      </c>
      <c r="O1717" s="34" t="str">
        <f aca="false">IF(Dashboard!$C$5="Ubicación técnica",N1717,"Sector "&amp;VALUE(RIGHT(G1717,2)))</f>
        <v>Sector 5</v>
      </c>
      <c r="P1717" s="34" t="str">
        <f aca="false">IF(MID(D1717,15,3)="SEL","Subestación eléctrica","Área de proceso")</f>
        <v>Área de proceso</v>
      </c>
      <c r="Q1717" s="34" t="str">
        <f aca="false">MID(D1717,13,5)&amp;"|"&amp;MID(D1717,19,5)</f>
        <v>05HGA|SFRAC</v>
      </c>
      <c r="R1717" s="34" t="str">
        <f aca="false">IF(P1717="Subestación eléctrica",IFERROR(INDEX(cat_SubN,MATCH(Q1717,cat_SubK,0)),"SIN CATALOGAR"),"ÁREA DE PROCESO")</f>
        <v>ÁREA DE PROCESO</v>
      </c>
      <c r="S1717" s="34" t="str">
        <f aca="false">IF(H1717="","SIN DATO",IFERROR(INDEX(cat_MarcaN,MATCH(H1717,cat_MarcaO,0)),H1717))</f>
        <v>GENERAL ELECTRIC</v>
      </c>
      <c r="T1717" s="34" t="str">
        <f aca="false">IF(I1717="","SIN DATO",IFERROR(INDEX(cat_ModN,MATCH(I1717,cat_ModO,0)),I1717))</f>
        <v>MULTILIN</v>
      </c>
      <c r="U1717" s="34" t="str">
        <f aca="false">IF(I1717="","",IFERROR(INDEX(cat_ModG,MATCH(I1717,cat_ModO,0)),"No"))</f>
        <v>Sí</v>
      </c>
      <c r="V1717" s="34" t="str">
        <f aca="false">IF(J1717="","SIN DATO",IFERROR(INDEX(cat_FunN,MATCH(J1717,cat_FunO,0)),J1717))</f>
        <v>Protección</v>
      </c>
      <c r="W1717" s="34" t="str">
        <f aca="false">IF(OR(S1717="SIN DATO",T1717="SIN DATO"),"No","Sí")</f>
        <v>Sí</v>
      </c>
    </row>
    <row r="1718" customFormat="false" ht="15" hidden="false" customHeight="false" outlineLevel="0" collapsed="false">
      <c r="A1718" s="34" t="s">
        <v>6255</v>
      </c>
      <c r="B1718" s="34" t="s">
        <v>6256</v>
      </c>
      <c r="C1718" s="34" t="s">
        <v>6257</v>
      </c>
      <c r="D1718" s="34" t="s">
        <v>6258</v>
      </c>
      <c r="E1718" s="34" t="s">
        <v>128</v>
      </c>
      <c r="F1718" s="34" t="s">
        <v>6234</v>
      </c>
      <c r="G1718" s="34" t="s">
        <v>2983</v>
      </c>
      <c r="H1718" s="34" t="s">
        <v>61</v>
      </c>
      <c r="I1718" s="34" t="s">
        <v>63</v>
      </c>
      <c r="J1718" s="34" t="s">
        <v>681</v>
      </c>
      <c r="K1718" s="34" t="s">
        <v>229</v>
      </c>
      <c r="L1718" s="34" t="s">
        <v>3198</v>
      </c>
      <c r="M1718" s="34" t="s">
        <v>231</v>
      </c>
      <c r="N1718" s="34" t="str">
        <f aca="false">"Sector "&amp;VALUE(MID(D1718,13,2))</f>
        <v>Sector 5</v>
      </c>
      <c r="O1718" s="34" t="str">
        <f aca="false">IF(Dashboard!$C$5="Ubicación técnica",N1718,"Sector "&amp;VALUE(RIGHT(G1718,2)))</f>
        <v>Sector 5</v>
      </c>
      <c r="P1718" s="34" t="str">
        <f aca="false">IF(MID(D1718,15,3)="SEL","Subestación eléctrica","Área de proceso")</f>
        <v>Área de proceso</v>
      </c>
      <c r="Q1718" s="34" t="str">
        <f aca="false">MID(D1718,13,5)&amp;"|"&amp;MID(D1718,19,5)</f>
        <v>05HGA|SCOMP</v>
      </c>
      <c r="R1718" s="34" t="str">
        <f aca="false">IF(P1718="Subestación eléctrica",IFERROR(INDEX(cat_SubN,MATCH(Q1718,cat_SubK,0)),"SIN CATALOGAR"),"ÁREA DE PROCESO")</f>
        <v>ÁREA DE PROCESO</v>
      </c>
      <c r="S1718" s="34" t="str">
        <f aca="false">IF(H1718="","SIN DATO",IFERROR(INDEX(cat_MarcaN,MATCH(H1718,cat_MarcaO,0)),H1718))</f>
        <v>GENERAL ELECTRIC</v>
      </c>
      <c r="T1718" s="34" t="str">
        <f aca="false">IF(I1718="","SIN DATO",IFERROR(INDEX(cat_ModN,MATCH(I1718,cat_ModO,0)),I1718))</f>
        <v>MULTILIN</v>
      </c>
      <c r="U1718" s="34" t="str">
        <f aca="false">IF(I1718="","",IFERROR(INDEX(cat_ModG,MATCH(I1718,cat_ModO,0)),"No"))</f>
        <v>Sí</v>
      </c>
      <c r="V1718" s="34" t="str">
        <f aca="false">IF(J1718="","SIN DATO",IFERROR(INDEX(cat_FunN,MATCH(J1718,cat_FunO,0)),J1718))</f>
        <v>Protección</v>
      </c>
      <c r="W1718" s="34" t="str">
        <f aca="false">IF(OR(S1718="SIN DATO",T1718="SIN DATO"),"No","Sí")</f>
        <v>Sí</v>
      </c>
    </row>
    <row r="1719" customFormat="false" ht="15" hidden="false" customHeight="false" outlineLevel="0" collapsed="false">
      <c r="A1719" s="34" t="s">
        <v>6259</v>
      </c>
      <c r="B1719" s="34" t="s">
        <v>6260</v>
      </c>
      <c r="C1719" s="34" t="s">
        <v>6261</v>
      </c>
      <c r="D1719" s="34" t="s">
        <v>6262</v>
      </c>
      <c r="E1719" s="34" t="s">
        <v>128</v>
      </c>
      <c r="F1719" s="34" t="s">
        <v>6234</v>
      </c>
      <c r="G1719" s="34" t="s">
        <v>2983</v>
      </c>
      <c r="H1719" s="34" t="s">
        <v>61</v>
      </c>
      <c r="I1719" s="34" t="s">
        <v>63</v>
      </c>
      <c r="J1719" s="34" t="s">
        <v>681</v>
      </c>
      <c r="K1719" s="34" t="s">
        <v>229</v>
      </c>
      <c r="L1719" s="34" t="s">
        <v>3198</v>
      </c>
      <c r="M1719" s="34" t="s">
        <v>231</v>
      </c>
      <c r="N1719" s="34" t="str">
        <f aca="false">"Sector "&amp;VALUE(MID(D1719,13,2))</f>
        <v>Sector 5</v>
      </c>
      <c r="O1719" s="34" t="str">
        <f aca="false">IF(Dashboard!$C$5="Ubicación técnica",N1719,"Sector "&amp;VALUE(RIGHT(G1719,2)))</f>
        <v>Sector 5</v>
      </c>
      <c r="P1719" s="34" t="str">
        <f aca="false">IF(MID(D1719,15,3)="SEL","Subestación eléctrica","Área de proceso")</f>
        <v>Área de proceso</v>
      </c>
      <c r="Q1719" s="34" t="str">
        <f aca="false">MID(D1719,13,5)&amp;"|"&amp;MID(D1719,19,5)</f>
        <v>05HGA|SCOMP</v>
      </c>
      <c r="R1719" s="34" t="str">
        <f aca="false">IF(P1719="Subestación eléctrica",IFERROR(INDEX(cat_SubN,MATCH(Q1719,cat_SubK,0)),"SIN CATALOGAR"),"ÁREA DE PROCESO")</f>
        <v>ÁREA DE PROCESO</v>
      </c>
      <c r="S1719" s="34" t="str">
        <f aca="false">IF(H1719="","SIN DATO",IFERROR(INDEX(cat_MarcaN,MATCH(H1719,cat_MarcaO,0)),H1719))</f>
        <v>GENERAL ELECTRIC</v>
      </c>
      <c r="T1719" s="34" t="str">
        <f aca="false">IF(I1719="","SIN DATO",IFERROR(INDEX(cat_ModN,MATCH(I1719,cat_ModO,0)),I1719))</f>
        <v>MULTILIN</v>
      </c>
      <c r="U1719" s="34" t="str">
        <f aca="false">IF(I1719="","",IFERROR(INDEX(cat_ModG,MATCH(I1719,cat_ModO,0)),"No"))</f>
        <v>Sí</v>
      </c>
      <c r="V1719" s="34" t="str">
        <f aca="false">IF(J1719="","SIN DATO",IFERROR(INDEX(cat_FunN,MATCH(J1719,cat_FunO,0)),J1719))</f>
        <v>Protección</v>
      </c>
      <c r="W1719" s="34" t="str">
        <f aca="false">IF(OR(S1719="SIN DATO",T1719="SIN DATO"),"No","Sí")</f>
        <v>Sí</v>
      </c>
    </row>
    <row r="1720" customFormat="false" ht="15" hidden="false" customHeight="false" outlineLevel="0" collapsed="false">
      <c r="A1720" s="34" t="s">
        <v>6263</v>
      </c>
      <c r="B1720" s="34" t="s">
        <v>6264</v>
      </c>
      <c r="C1720" s="34" t="s">
        <v>6265</v>
      </c>
      <c r="D1720" s="34" t="s">
        <v>6233</v>
      </c>
      <c r="E1720" s="34" t="s">
        <v>128</v>
      </c>
      <c r="F1720" s="34" t="s">
        <v>6234</v>
      </c>
      <c r="G1720" s="34" t="s">
        <v>2983</v>
      </c>
      <c r="H1720" s="34" t="s">
        <v>61</v>
      </c>
      <c r="I1720" s="34" t="s">
        <v>63</v>
      </c>
      <c r="J1720" s="34" t="s">
        <v>681</v>
      </c>
      <c r="K1720" s="34" t="s">
        <v>229</v>
      </c>
      <c r="L1720" s="34" t="s">
        <v>3198</v>
      </c>
      <c r="M1720" s="34" t="s">
        <v>231</v>
      </c>
      <c r="N1720" s="34" t="str">
        <f aca="false">"Sector "&amp;VALUE(MID(D1720,13,2))</f>
        <v>Sector 5</v>
      </c>
      <c r="O1720" s="34" t="str">
        <f aca="false">IF(Dashboard!$C$5="Ubicación técnica",N1720,"Sector "&amp;VALUE(RIGHT(G1720,2)))</f>
        <v>Sector 5</v>
      </c>
      <c r="P1720" s="34" t="str">
        <f aca="false">IF(MID(D1720,15,3)="SEL","Subestación eléctrica","Área de proceso")</f>
        <v>Área de proceso</v>
      </c>
      <c r="Q1720" s="34" t="str">
        <f aca="false">MID(D1720,13,5)&amp;"|"&amp;MID(D1720,19,5)</f>
        <v>05HGA|SFRAC</v>
      </c>
      <c r="R1720" s="34" t="str">
        <f aca="false">IF(P1720="Subestación eléctrica",IFERROR(INDEX(cat_SubN,MATCH(Q1720,cat_SubK,0)),"SIN CATALOGAR"),"ÁREA DE PROCESO")</f>
        <v>ÁREA DE PROCESO</v>
      </c>
      <c r="S1720" s="34" t="str">
        <f aca="false">IF(H1720="","SIN DATO",IFERROR(INDEX(cat_MarcaN,MATCH(H1720,cat_MarcaO,0)),H1720))</f>
        <v>GENERAL ELECTRIC</v>
      </c>
      <c r="T1720" s="34" t="str">
        <f aca="false">IF(I1720="","SIN DATO",IFERROR(INDEX(cat_ModN,MATCH(I1720,cat_ModO,0)),I1720))</f>
        <v>MULTILIN</v>
      </c>
      <c r="U1720" s="34" t="str">
        <f aca="false">IF(I1720="","",IFERROR(INDEX(cat_ModG,MATCH(I1720,cat_ModO,0)),"No"))</f>
        <v>Sí</v>
      </c>
      <c r="V1720" s="34" t="str">
        <f aca="false">IF(J1720="","SIN DATO",IFERROR(INDEX(cat_FunN,MATCH(J1720,cat_FunO,0)),J1720))</f>
        <v>Protección</v>
      </c>
      <c r="W1720" s="34" t="str">
        <f aca="false">IF(OR(S1720="SIN DATO",T1720="SIN DATO"),"No","Sí")</f>
        <v>Sí</v>
      </c>
    </row>
    <row r="1721" customFormat="false" ht="15" hidden="false" customHeight="false" outlineLevel="0" collapsed="false">
      <c r="A1721" s="34" t="s">
        <v>6266</v>
      </c>
      <c r="B1721" s="34" t="s">
        <v>6267</v>
      </c>
      <c r="C1721" s="34" t="s">
        <v>6268</v>
      </c>
      <c r="D1721" s="34" t="s">
        <v>6238</v>
      </c>
      <c r="E1721" s="34" t="s">
        <v>128</v>
      </c>
      <c r="F1721" s="34" t="s">
        <v>6234</v>
      </c>
      <c r="G1721" s="34" t="s">
        <v>2983</v>
      </c>
      <c r="H1721" s="34" t="s">
        <v>61</v>
      </c>
      <c r="I1721" s="34" t="s">
        <v>63</v>
      </c>
      <c r="J1721" s="34" t="s">
        <v>681</v>
      </c>
      <c r="K1721" s="34" t="s">
        <v>229</v>
      </c>
      <c r="L1721" s="34" t="s">
        <v>3198</v>
      </c>
      <c r="M1721" s="34" t="s">
        <v>231</v>
      </c>
      <c r="N1721" s="34" t="str">
        <f aca="false">"Sector "&amp;VALUE(MID(D1721,13,2))</f>
        <v>Sector 5</v>
      </c>
      <c r="O1721" s="34" t="str">
        <f aca="false">IF(Dashboard!$C$5="Ubicación técnica",N1721,"Sector "&amp;VALUE(RIGHT(G1721,2)))</f>
        <v>Sector 5</v>
      </c>
      <c r="P1721" s="34" t="str">
        <f aca="false">IF(MID(D1721,15,3)="SEL","Subestación eléctrica","Área de proceso")</f>
        <v>Área de proceso</v>
      </c>
      <c r="Q1721" s="34" t="str">
        <f aca="false">MID(D1721,13,5)&amp;"|"&amp;MID(D1721,19,5)</f>
        <v>05HGA|SFRAC</v>
      </c>
      <c r="R1721" s="34" t="str">
        <f aca="false">IF(P1721="Subestación eléctrica",IFERROR(INDEX(cat_SubN,MATCH(Q1721,cat_SubK,0)),"SIN CATALOGAR"),"ÁREA DE PROCESO")</f>
        <v>ÁREA DE PROCESO</v>
      </c>
      <c r="S1721" s="34" t="str">
        <f aca="false">IF(H1721="","SIN DATO",IFERROR(INDEX(cat_MarcaN,MATCH(H1721,cat_MarcaO,0)),H1721))</f>
        <v>GENERAL ELECTRIC</v>
      </c>
      <c r="T1721" s="34" t="str">
        <f aca="false">IF(I1721="","SIN DATO",IFERROR(INDEX(cat_ModN,MATCH(I1721,cat_ModO,0)),I1721))</f>
        <v>MULTILIN</v>
      </c>
      <c r="U1721" s="34" t="str">
        <f aca="false">IF(I1721="","",IFERROR(INDEX(cat_ModG,MATCH(I1721,cat_ModO,0)),"No"))</f>
        <v>Sí</v>
      </c>
      <c r="V1721" s="34" t="str">
        <f aca="false">IF(J1721="","SIN DATO",IFERROR(INDEX(cat_FunN,MATCH(J1721,cat_FunO,0)),J1721))</f>
        <v>Protección</v>
      </c>
      <c r="W1721" s="34" t="str">
        <f aca="false">IF(OR(S1721="SIN DATO",T1721="SIN DATO"),"No","Sí")</f>
        <v>Sí</v>
      </c>
    </row>
    <row r="1722" customFormat="false" ht="15" hidden="false" customHeight="false" outlineLevel="0" collapsed="false">
      <c r="A1722" s="34" t="s">
        <v>6269</v>
      </c>
      <c r="B1722" s="34" t="s">
        <v>6270</v>
      </c>
      <c r="C1722" s="34" t="s">
        <v>6271</v>
      </c>
      <c r="D1722" s="34" t="s">
        <v>6242</v>
      </c>
      <c r="E1722" s="34" t="s">
        <v>128</v>
      </c>
      <c r="F1722" s="34" t="s">
        <v>6234</v>
      </c>
      <c r="G1722" s="34" t="s">
        <v>2983</v>
      </c>
      <c r="H1722" s="34" t="s">
        <v>61</v>
      </c>
      <c r="I1722" s="34" t="s">
        <v>63</v>
      </c>
      <c r="J1722" s="34" t="s">
        <v>681</v>
      </c>
      <c r="K1722" s="34" t="s">
        <v>229</v>
      </c>
      <c r="L1722" s="34" t="s">
        <v>3198</v>
      </c>
      <c r="M1722" s="34" t="s">
        <v>231</v>
      </c>
      <c r="N1722" s="34" t="str">
        <f aca="false">"Sector "&amp;VALUE(MID(D1722,13,2))</f>
        <v>Sector 5</v>
      </c>
      <c r="O1722" s="34" t="str">
        <f aca="false">IF(Dashboard!$C$5="Ubicación técnica",N1722,"Sector "&amp;VALUE(RIGHT(G1722,2)))</f>
        <v>Sector 5</v>
      </c>
      <c r="P1722" s="34" t="str">
        <f aca="false">IF(MID(D1722,15,3)="SEL","Subestación eléctrica","Área de proceso")</f>
        <v>Área de proceso</v>
      </c>
      <c r="Q1722" s="34" t="str">
        <f aca="false">MID(D1722,13,5)&amp;"|"&amp;MID(D1722,19,5)</f>
        <v>05HGA|SFRAC</v>
      </c>
      <c r="R1722" s="34" t="str">
        <f aca="false">IF(P1722="Subestación eléctrica",IFERROR(INDEX(cat_SubN,MATCH(Q1722,cat_SubK,0)),"SIN CATALOGAR"),"ÁREA DE PROCESO")</f>
        <v>ÁREA DE PROCESO</v>
      </c>
      <c r="S1722" s="34" t="str">
        <f aca="false">IF(H1722="","SIN DATO",IFERROR(INDEX(cat_MarcaN,MATCH(H1722,cat_MarcaO,0)),H1722))</f>
        <v>GENERAL ELECTRIC</v>
      </c>
      <c r="T1722" s="34" t="str">
        <f aca="false">IF(I1722="","SIN DATO",IFERROR(INDEX(cat_ModN,MATCH(I1722,cat_ModO,0)),I1722))</f>
        <v>MULTILIN</v>
      </c>
      <c r="U1722" s="34" t="str">
        <f aca="false">IF(I1722="","",IFERROR(INDEX(cat_ModG,MATCH(I1722,cat_ModO,0)),"No"))</f>
        <v>Sí</v>
      </c>
      <c r="V1722" s="34" t="str">
        <f aca="false">IF(J1722="","SIN DATO",IFERROR(INDEX(cat_FunN,MATCH(J1722,cat_FunO,0)),J1722))</f>
        <v>Protección</v>
      </c>
      <c r="W1722" s="34" t="str">
        <f aca="false">IF(OR(S1722="SIN DATO",T1722="SIN DATO"),"No","Sí")</f>
        <v>Sí</v>
      </c>
    </row>
    <row r="1723" customFormat="false" ht="15" hidden="false" customHeight="false" outlineLevel="0" collapsed="false">
      <c r="A1723" s="34" t="s">
        <v>6272</v>
      </c>
      <c r="B1723" s="34" t="s">
        <v>6273</v>
      </c>
      <c r="C1723" s="34" t="s">
        <v>6274</v>
      </c>
      <c r="D1723" s="34" t="s">
        <v>6246</v>
      </c>
      <c r="E1723" s="34" t="s">
        <v>128</v>
      </c>
      <c r="F1723" s="34" t="s">
        <v>6234</v>
      </c>
      <c r="G1723" s="34" t="s">
        <v>2983</v>
      </c>
      <c r="H1723" s="34" t="s">
        <v>61</v>
      </c>
      <c r="I1723" s="34" t="s">
        <v>63</v>
      </c>
      <c r="J1723" s="34" t="s">
        <v>681</v>
      </c>
      <c r="K1723" s="34" t="s">
        <v>229</v>
      </c>
      <c r="L1723" s="34" t="s">
        <v>3198</v>
      </c>
      <c r="M1723" s="34" t="s">
        <v>231</v>
      </c>
      <c r="N1723" s="34" t="str">
        <f aca="false">"Sector "&amp;VALUE(MID(D1723,13,2))</f>
        <v>Sector 5</v>
      </c>
      <c r="O1723" s="34" t="str">
        <f aca="false">IF(Dashboard!$C$5="Ubicación técnica",N1723,"Sector "&amp;VALUE(RIGHT(G1723,2)))</f>
        <v>Sector 5</v>
      </c>
      <c r="P1723" s="34" t="str">
        <f aca="false">IF(MID(D1723,15,3)="SEL","Subestación eléctrica","Área de proceso")</f>
        <v>Área de proceso</v>
      </c>
      <c r="Q1723" s="34" t="str">
        <f aca="false">MID(D1723,13,5)&amp;"|"&amp;MID(D1723,19,5)</f>
        <v>05HGA|SFRAC</v>
      </c>
      <c r="R1723" s="34" t="str">
        <f aca="false">IF(P1723="Subestación eléctrica",IFERROR(INDEX(cat_SubN,MATCH(Q1723,cat_SubK,0)),"SIN CATALOGAR"),"ÁREA DE PROCESO")</f>
        <v>ÁREA DE PROCESO</v>
      </c>
      <c r="S1723" s="34" t="str">
        <f aca="false">IF(H1723="","SIN DATO",IFERROR(INDEX(cat_MarcaN,MATCH(H1723,cat_MarcaO,0)),H1723))</f>
        <v>GENERAL ELECTRIC</v>
      </c>
      <c r="T1723" s="34" t="str">
        <f aca="false">IF(I1723="","SIN DATO",IFERROR(INDEX(cat_ModN,MATCH(I1723,cat_ModO,0)),I1723))</f>
        <v>MULTILIN</v>
      </c>
      <c r="U1723" s="34" t="str">
        <f aca="false">IF(I1723="","",IFERROR(INDEX(cat_ModG,MATCH(I1723,cat_ModO,0)),"No"))</f>
        <v>Sí</v>
      </c>
      <c r="V1723" s="34" t="str">
        <f aca="false">IF(J1723="","SIN DATO",IFERROR(INDEX(cat_FunN,MATCH(J1723,cat_FunO,0)),J1723))</f>
        <v>Protección</v>
      </c>
      <c r="W1723" s="34" t="str">
        <f aca="false">IF(OR(S1723="SIN DATO",T1723="SIN DATO"),"No","Sí")</f>
        <v>Sí</v>
      </c>
    </row>
    <row r="1724" customFormat="false" ht="15" hidden="false" customHeight="false" outlineLevel="0" collapsed="false">
      <c r="A1724" s="34" t="s">
        <v>6275</v>
      </c>
      <c r="B1724" s="34" t="s">
        <v>6276</v>
      </c>
      <c r="C1724" s="34" t="s">
        <v>6277</v>
      </c>
      <c r="D1724" s="34" t="s">
        <v>6250</v>
      </c>
      <c r="E1724" s="34" t="s">
        <v>128</v>
      </c>
      <c r="F1724" s="34" t="s">
        <v>6234</v>
      </c>
      <c r="G1724" s="34" t="s">
        <v>2983</v>
      </c>
      <c r="H1724" s="34" t="s">
        <v>61</v>
      </c>
      <c r="I1724" s="34" t="s">
        <v>63</v>
      </c>
      <c r="J1724" s="34" t="s">
        <v>681</v>
      </c>
      <c r="K1724" s="34" t="s">
        <v>229</v>
      </c>
      <c r="L1724" s="34" t="s">
        <v>3198</v>
      </c>
      <c r="M1724" s="34" t="s">
        <v>231</v>
      </c>
      <c r="N1724" s="34" t="str">
        <f aca="false">"Sector "&amp;VALUE(MID(D1724,13,2))</f>
        <v>Sector 5</v>
      </c>
      <c r="O1724" s="34" t="str">
        <f aca="false">IF(Dashboard!$C$5="Ubicación técnica",N1724,"Sector "&amp;VALUE(RIGHT(G1724,2)))</f>
        <v>Sector 5</v>
      </c>
      <c r="P1724" s="34" t="str">
        <f aca="false">IF(MID(D1724,15,3)="SEL","Subestación eléctrica","Área de proceso")</f>
        <v>Área de proceso</v>
      </c>
      <c r="Q1724" s="34" t="str">
        <f aca="false">MID(D1724,13,5)&amp;"|"&amp;MID(D1724,19,5)</f>
        <v>05HGA|SFRAC</v>
      </c>
      <c r="R1724" s="34" t="str">
        <f aca="false">IF(P1724="Subestación eléctrica",IFERROR(INDEX(cat_SubN,MATCH(Q1724,cat_SubK,0)),"SIN CATALOGAR"),"ÁREA DE PROCESO")</f>
        <v>ÁREA DE PROCESO</v>
      </c>
      <c r="S1724" s="34" t="str">
        <f aca="false">IF(H1724="","SIN DATO",IFERROR(INDEX(cat_MarcaN,MATCH(H1724,cat_MarcaO,0)),H1724))</f>
        <v>GENERAL ELECTRIC</v>
      </c>
      <c r="T1724" s="34" t="str">
        <f aca="false">IF(I1724="","SIN DATO",IFERROR(INDEX(cat_ModN,MATCH(I1724,cat_ModO,0)),I1724))</f>
        <v>MULTILIN</v>
      </c>
      <c r="U1724" s="34" t="str">
        <f aca="false">IF(I1724="","",IFERROR(INDEX(cat_ModG,MATCH(I1724,cat_ModO,0)),"No"))</f>
        <v>Sí</v>
      </c>
      <c r="V1724" s="34" t="str">
        <f aca="false">IF(J1724="","SIN DATO",IFERROR(INDEX(cat_FunN,MATCH(J1724,cat_FunO,0)),J1724))</f>
        <v>Protección</v>
      </c>
      <c r="W1724" s="34" t="str">
        <f aca="false">IF(OR(S1724="SIN DATO",T1724="SIN DATO"),"No","Sí")</f>
        <v>Sí</v>
      </c>
    </row>
    <row r="1725" customFormat="false" ht="15" hidden="false" customHeight="false" outlineLevel="0" collapsed="false">
      <c r="A1725" s="34" t="s">
        <v>6278</v>
      </c>
      <c r="B1725" s="34" t="s">
        <v>6279</v>
      </c>
      <c r="C1725" s="34" t="s">
        <v>6280</v>
      </c>
      <c r="D1725" s="34" t="s">
        <v>6254</v>
      </c>
      <c r="E1725" s="34" t="s">
        <v>128</v>
      </c>
      <c r="F1725" s="34" t="s">
        <v>6234</v>
      </c>
      <c r="G1725" s="34" t="s">
        <v>2983</v>
      </c>
      <c r="H1725" s="34" t="s">
        <v>61</v>
      </c>
      <c r="I1725" s="34" t="s">
        <v>63</v>
      </c>
      <c r="J1725" s="34" t="s">
        <v>681</v>
      </c>
      <c r="K1725" s="34" t="s">
        <v>229</v>
      </c>
      <c r="L1725" s="34" t="s">
        <v>3198</v>
      </c>
      <c r="M1725" s="34" t="s">
        <v>231</v>
      </c>
      <c r="N1725" s="34" t="str">
        <f aca="false">"Sector "&amp;VALUE(MID(D1725,13,2))</f>
        <v>Sector 5</v>
      </c>
      <c r="O1725" s="34" t="str">
        <f aca="false">IF(Dashboard!$C$5="Ubicación técnica",N1725,"Sector "&amp;VALUE(RIGHT(G1725,2)))</f>
        <v>Sector 5</v>
      </c>
      <c r="P1725" s="34" t="str">
        <f aca="false">IF(MID(D1725,15,3)="SEL","Subestación eléctrica","Área de proceso")</f>
        <v>Área de proceso</v>
      </c>
      <c r="Q1725" s="34" t="str">
        <f aca="false">MID(D1725,13,5)&amp;"|"&amp;MID(D1725,19,5)</f>
        <v>05HGA|SFRAC</v>
      </c>
      <c r="R1725" s="34" t="str">
        <f aca="false">IF(P1725="Subestación eléctrica",IFERROR(INDEX(cat_SubN,MATCH(Q1725,cat_SubK,0)),"SIN CATALOGAR"),"ÁREA DE PROCESO")</f>
        <v>ÁREA DE PROCESO</v>
      </c>
      <c r="S1725" s="34" t="str">
        <f aca="false">IF(H1725="","SIN DATO",IFERROR(INDEX(cat_MarcaN,MATCH(H1725,cat_MarcaO,0)),H1725))</f>
        <v>GENERAL ELECTRIC</v>
      </c>
      <c r="T1725" s="34" t="str">
        <f aca="false">IF(I1725="","SIN DATO",IFERROR(INDEX(cat_ModN,MATCH(I1725,cat_ModO,0)),I1725))</f>
        <v>MULTILIN</v>
      </c>
      <c r="U1725" s="34" t="str">
        <f aca="false">IF(I1725="","",IFERROR(INDEX(cat_ModG,MATCH(I1725,cat_ModO,0)),"No"))</f>
        <v>Sí</v>
      </c>
      <c r="V1725" s="34" t="str">
        <f aca="false">IF(J1725="","SIN DATO",IFERROR(INDEX(cat_FunN,MATCH(J1725,cat_FunO,0)),J1725))</f>
        <v>Protección</v>
      </c>
      <c r="W1725" s="34" t="str">
        <f aca="false">IF(OR(S1725="SIN DATO",T1725="SIN DATO"),"No","Sí")</f>
        <v>Sí</v>
      </c>
    </row>
    <row r="1726" customFormat="false" ht="15" hidden="false" customHeight="false" outlineLevel="0" collapsed="false">
      <c r="A1726" s="34" t="s">
        <v>6281</v>
      </c>
      <c r="B1726" s="34" t="s">
        <v>6282</v>
      </c>
      <c r="C1726" s="34" t="s">
        <v>6283</v>
      </c>
      <c r="D1726" s="34" t="s">
        <v>6284</v>
      </c>
      <c r="E1726" s="34" t="s">
        <v>128</v>
      </c>
      <c r="F1726" s="34" t="s">
        <v>6234</v>
      </c>
      <c r="G1726" s="34" t="s">
        <v>2983</v>
      </c>
      <c r="H1726" s="34" t="s">
        <v>61</v>
      </c>
      <c r="I1726" s="34" t="s">
        <v>63</v>
      </c>
      <c r="J1726" s="34" t="s">
        <v>681</v>
      </c>
      <c r="K1726" s="34" t="s">
        <v>229</v>
      </c>
      <c r="L1726" s="34" t="s">
        <v>3198</v>
      </c>
      <c r="M1726" s="34" t="s">
        <v>231</v>
      </c>
      <c r="N1726" s="34" t="str">
        <f aca="false">"Sector "&amp;VALUE(MID(D1726,13,2))</f>
        <v>Sector 5</v>
      </c>
      <c r="O1726" s="34" t="str">
        <f aca="false">IF(Dashboard!$C$5="Ubicación técnica",N1726,"Sector "&amp;VALUE(RIGHT(G1726,2)))</f>
        <v>Sector 5</v>
      </c>
      <c r="P1726" s="34" t="str">
        <f aca="false">IF(MID(D1726,15,3)="SEL","Subestación eléctrica","Área de proceso")</f>
        <v>Área de proceso</v>
      </c>
      <c r="Q1726" s="34" t="str">
        <f aca="false">MID(D1726,13,5)&amp;"|"&amp;MID(D1726,19,5)</f>
        <v>05HGA|SCARG</v>
      </c>
      <c r="R1726" s="34" t="str">
        <f aca="false">IF(P1726="Subestación eléctrica",IFERROR(INDEX(cat_SubN,MATCH(Q1726,cat_SubK,0)),"SIN CATALOGAR"),"ÁREA DE PROCESO")</f>
        <v>ÁREA DE PROCESO</v>
      </c>
      <c r="S1726" s="34" t="str">
        <f aca="false">IF(H1726="","SIN DATO",IFERROR(INDEX(cat_MarcaN,MATCH(H1726,cat_MarcaO,0)),H1726))</f>
        <v>GENERAL ELECTRIC</v>
      </c>
      <c r="T1726" s="34" t="str">
        <f aca="false">IF(I1726="","SIN DATO",IFERROR(INDEX(cat_ModN,MATCH(I1726,cat_ModO,0)),I1726))</f>
        <v>MULTILIN</v>
      </c>
      <c r="U1726" s="34" t="str">
        <f aca="false">IF(I1726="","",IFERROR(INDEX(cat_ModG,MATCH(I1726,cat_ModO,0)),"No"))</f>
        <v>Sí</v>
      </c>
      <c r="V1726" s="34" t="str">
        <f aca="false">IF(J1726="","SIN DATO",IFERROR(INDEX(cat_FunN,MATCH(J1726,cat_FunO,0)),J1726))</f>
        <v>Protección</v>
      </c>
      <c r="W1726" s="34" t="str">
        <f aca="false">IF(OR(S1726="SIN DATO",T1726="SIN DATO"),"No","Sí")</f>
        <v>Sí</v>
      </c>
    </row>
    <row r="1727" customFormat="false" ht="15" hidden="false" customHeight="false" outlineLevel="0" collapsed="false">
      <c r="A1727" s="34" t="s">
        <v>6285</v>
      </c>
      <c r="B1727" s="34" t="s">
        <v>6286</v>
      </c>
      <c r="C1727" s="34" t="s">
        <v>6287</v>
      </c>
      <c r="D1727" s="34" t="s">
        <v>6284</v>
      </c>
      <c r="E1727" s="34" t="s">
        <v>128</v>
      </c>
      <c r="F1727" s="34" t="s">
        <v>6234</v>
      </c>
      <c r="G1727" s="34" t="s">
        <v>2983</v>
      </c>
      <c r="H1727" s="34" t="s">
        <v>61</v>
      </c>
      <c r="I1727" s="34" t="s">
        <v>63</v>
      </c>
      <c r="J1727" s="34" t="s">
        <v>681</v>
      </c>
      <c r="K1727" s="34" t="s">
        <v>229</v>
      </c>
      <c r="L1727" s="34" t="s">
        <v>3198</v>
      </c>
      <c r="M1727" s="34" t="s">
        <v>231</v>
      </c>
      <c r="N1727" s="34" t="str">
        <f aca="false">"Sector "&amp;VALUE(MID(D1727,13,2))</f>
        <v>Sector 5</v>
      </c>
      <c r="O1727" s="34" t="str">
        <f aca="false">IF(Dashboard!$C$5="Ubicación técnica",N1727,"Sector "&amp;VALUE(RIGHT(G1727,2)))</f>
        <v>Sector 5</v>
      </c>
      <c r="P1727" s="34" t="str">
        <f aca="false">IF(MID(D1727,15,3)="SEL","Subestación eléctrica","Área de proceso")</f>
        <v>Área de proceso</v>
      </c>
      <c r="Q1727" s="34" t="str">
        <f aca="false">MID(D1727,13,5)&amp;"|"&amp;MID(D1727,19,5)</f>
        <v>05HGA|SCARG</v>
      </c>
      <c r="R1727" s="34" t="str">
        <f aca="false">IF(P1727="Subestación eléctrica",IFERROR(INDEX(cat_SubN,MATCH(Q1727,cat_SubK,0)),"SIN CATALOGAR"),"ÁREA DE PROCESO")</f>
        <v>ÁREA DE PROCESO</v>
      </c>
      <c r="S1727" s="34" t="str">
        <f aca="false">IF(H1727="","SIN DATO",IFERROR(INDEX(cat_MarcaN,MATCH(H1727,cat_MarcaO,0)),H1727))</f>
        <v>GENERAL ELECTRIC</v>
      </c>
      <c r="T1727" s="34" t="str">
        <f aca="false">IF(I1727="","SIN DATO",IFERROR(INDEX(cat_ModN,MATCH(I1727,cat_ModO,0)),I1727))</f>
        <v>MULTILIN</v>
      </c>
      <c r="U1727" s="34" t="str">
        <f aca="false">IF(I1727="","",IFERROR(INDEX(cat_ModG,MATCH(I1727,cat_ModO,0)),"No"))</f>
        <v>Sí</v>
      </c>
      <c r="V1727" s="34" t="str">
        <f aca="false">IF(J1727="","SIN DATO",IFERROR(INDEX(cat_FunN,MATCH(J1727,cat_FunO,0)),J1727))</f>
        <v>Protección</v>
      </c>
      <c r="W1727" s="34" t="str">
        <f aca="false">IF(OR(S1727="SIN DATO",T1727="SIN DATO"),"No","Sí")</f>
        <v>Sí</v>
      </c>
    </row>
    <row r="1728" customFormat="false" ht="15" hidden="false" customHeight="false" outlineLevel="0" collapsed="false">
      <c r="A1728" s="34" t="s">
        <v>6288</v>
      </c>
      <c r="B1728" s="34" t="s">
        <v>6289</v>
      </c>
      <c r="C1728" s="34" t="s">
        <v>6290</v>
      </c>
      <c r="D1728" s="34" t="s">
        <v>6291</v>
      </c>
      <c r="E1728" s="34" t="s">
        <v>128</v>
      </c>
      <c r="F1728" s="34" t="s">
        <v>6234</v>
      </c>
      <c r="G1728" s="34" t="s">
        <v>2983</v>
      </c>
      <c r="H1728" s="34" t="s">
        <v>61</v>
      </c>
      <c r="I1728" s="34" t="s">
        <v>63</v>
      </c>
      <c r="J1728" s="34" t="s">
        <v>681</v>
      </c>
      <c r="K1728" s="34" t="s">
        <v>229</v>
      </c>
      <c r="L1728" s="34" t="s">
        <v>3198</v>
      </c>
      <c r="M1728" s="34" t="s">
        <v>231</v>
      </c>
      <c r="N1728" s="34" t="str">
        <f aca="false">"Sector "&amp;VALUE(MID(D1728,13,2))</f>
        <v>Sector 5</v>
      </c>
      <c r="O1728" s="34" t="str">
        <f aca="false">IF(Dashboard!$C$5="Ubicación técnica",N1728,"Sector "&amp;VALUE(RIGHT(G1728,2)))</f>
        <v>Sector 5</v>
      </c>
      <c r="P1728" s="34" t="str">
        <f aca="false">IF(MID(D1728,15,3)="SEL","Subestación eléctrica","Área de proceso")</f>
        <v>Área de proceso</v>
      </c>
      <c r="Q1728" s="34" t="str">
        <f aca="false">MID(D1728,13,5)&amp;"|"&amp;MID(D1728,19,5)</f>
        <v>05HGA|SCARG</v>
      </c>
      <c r="R1728" s="34" t="str">
        <f aca="false">IF(P1728="Subestación eléctrica",IFERROR(INDEX(cat_SubN,MATCH(Q1728,cat_SubK,0)),"SIN CATALOGAR"),"ÁREA DE PROCESO")</f>
        <v>ÁREA DE PROCESO</v>
      </c>
      <c r="S1728" s="34" t="str">
        <f aca="false">IF(H1728="","SIN DATO",IFERROR(INDEX(cat_MarcaN,MATCH(H1728,cat_MarcaO,0)),H1728))</f>
        <v>GENERAL ELECTRIC</v>
      </c>
      <c r="T1728" s="34" t="str">
        <f aca="false">IF(I1728="","SIN DATO",IFERROR(INDEX(cat_ModN,MATCH(I1728,cat_ModO,0)),I1728))</f>
        <v>MULTILIN</v>
      </c>
      <c r="U1728" s="34" t="str">
        <f aca="false">IF(I1728="","",IFERROR(INDEX(cat_ModG,MATCH(I1728,cat_ModO,0)),"No"))</f>
        <v>Sí</v>
      </c>
      <c r="V1728" s="34" t="str">
        <f aca="false">IF(J1728="","SIN DATO",IFERROR(INDEX(cat_FunN,MATCH(J1728,cat_FunO,0)),J1728))</f>
        <v>Protección</v>
      </c>
      <c r="W1728" s="34" t="str">
        <f aca="false">IF(OR(S1728="SIN DATO",T1728="SIN DATO"),"No","Sí")</f>
        <v>Sí</v>
      </c>
    </row>
    <row r="1729" customFormat="false" ht="15" hidden="false" customHeight="false" outlineLevel="0" collapsed="false">
      <c r="A1729" s="34" t="s">
        <v>6292</v>
      </c>
      <c r="B1729" s="34" t="s">
        <v>6293</v>
      </c>
      <c r="C1729" s="34" t="s">
        <v>6294</v>
      </c>
      <c r="D1729" s="34" t="s">
        <v>6291</v>
      </c>
      <c r="E1729" s="34" t="s">
        <v>128</v>
      </c>
      <c r="F1729" s="34" t="s">
        <v>6234</v>
      </c>
      <c r="G1729" s="34" t="s">
        <v>2983</v>
      </c>
      <c r="H1729" s="34" t="s">
        <v>61</v>
      </c>
      <c r="I1729" s="34" t="s">
        <v>63</v>
      </c>
      <c r="J1729" s="34" t="s">
        <v>681</v>
      </c>
      <c r="K1729" s="34" t="s">
        <v>229</v>
      </c>
      <c r="L1729" s="34" t="s">
        <v>3198</v>
      </c>
      <c r="M1729" s="34" t="s">
        <v>231</v>
      </c>
      <c r="N1729" s="34" t="str">
        <f aca="false">"Sector "&amp;VALUE(MID(D1729,13,2))</f>
        <v>Sector 5</v>
      </c>
      <c r="O1729" s="34" t="str">
        <f aca="false">IF(Dashboard!$C$5="Ubicación técnica",N1729,"Sector "&amp;VALUE(RIGHT(G1729,2)))</f>
        <v>Sector 5</v>
      </c>
      <c r="P1729" s="34" t="str">
        <f aca="false">IF(MID(D1729,15,3)="SEL","Subestación eléctrica","Área de proceso")</f>
        <v>Área de proceso</v>
      </c>
      <c r="Q1729" s="34" t="str">
        <f aca="false">MID(D1729,13,5)&amp;"|"&amp;MID(D1729,19,5)</f>
        <v>05HGA|SCARG</v>
      </c>
      <c r="R1729" s="34" t="str">
        <f aca="false">IF(P1729="Subestación eléctrica",IFERROR(INDEX(cat_SubN,MATCH(Q1729,cat_SubK,0)),"SIN CATALOGAR"),"ÁREA DE PROCESO")</f>
        <v>ÁREA DE PROCESO</v>
      </c>
      <c r="S1729" s="34" t="str">
        <f aca="false">IF(H1729="","SIN DATO",IFERROR(INDEX(cat_MarcaN,MATCH(H1729,cat_MarcaO,0)),H1729))</f>
        <v>GENERAL ELECTRIC</v>
      </c>
      <c r="T1729" s="34" t="str">
        <f aca="false">IF(I1729="","SIN DATO",IFERROR(INDEX(cat_ModN,MATCH(I1729,cat_ModO,0)),I1729))</f>
        <v>MULTILIN</v>
      </c>
      <c r="U1729" s="34" t="str">
        <f aca="false">IF(I1729="","",IFERROR(INDEX(cat_ModG,MATCH(I1729,cat_ModO,0)),"No"))</f>
        <v>Sí</v>
      </c>
      <c r="V1729" s="34" t="str">
        <f aca="false">IF(J1729="","SIN DATO",IFERROR(INDEX(cat_FunN,MATCH(J1729,cat_FunO,0)),J1729))</f>
        <v>Protección</v>
      </c>
      <c r="W1729" s="34" t="str">
        <f aca="false">IF(OR(S1729="SIN DATO",T1729="SIN DATO"),"No","Sí")</f>
        <v>Sí</v>
      </c>
    </row>
    <row r="1730" customFormat="false" ht="15" hidden="false" customHeight="false" outlineLevel="0" collapsed="false">
      <c r="A1730" s="34" t="s">
        <v>6295</v>
      </c>
      <c r="B1730" s="34" t="s">
        <v>6296</v>
      </c>
      <c r="C1730" s="34" t="s">
        <v>6297</v>
      </c>
      <c r="D1730" s="34" t="s">
        <v>6298</v>
      </c>
      <c r="E1730" s="34" t="s">
        <v>130</v>
      </c>
      <c r="F1730" s="34" t="s">
        <v>6299</v>
      </c>
      <c r="G1730" s="34" t="s">
        <v>2983</v>
      </c>
      <c r="H1730" s="34" t="s">
        <v>61</v>
      </c>
      <c r="I1730" s="34" t="s">
        <v>63</v>
      </c>
      <c r="J1730" s="34" t="s">
        <v>681</v>
      </c>
      <c r="K1730" s="34" t="s">
        <v>229</v>
      </c>
      <c r="L1730" s="34" t="s">
        <v>3198</v>
      </c>
      <c r="M1730" s="34" t="s">
        <v>231</v>
      </c>
      <c r="N1730" s="34" t="str">
        <f aca="false">"Sector "&amp;VALUE(MID(D1730,13,2))</f>
        <v>Sector 5</v>
      </c>
      <c r="O1730" s="34" t="str">
        <f aca="false">IF(Dashboard!$C$5="Ubicación técnica",N1730,"Sector "&amp;VALUE(RIGHT(G1730,2)))</f>
        <v>Sector 5</v>
      </c>
      <c r="P1730" s="34" t="str">
        <f aca="false">IF(MID(D1730,15,3)="SEL","Subestación eléctrica","Área de proceso")</f>
        <v>Área de proceso</v>
      </c>
      <c r="Q1730" s="34" t="str">
        <f aca="false">MID(D1730,13,5)&amp;"|"&amp;MID(D1730,19,5)</f>
        <v>05HGB|SCARG</v>
      </c>
      <c r="R1730" s="34" t="str">
        <f aca="false">IF(P1730="Subestación eléctrica",IFERROR(INDEX(cat_SubN,MATCH(Q1730,cat_SubK,0)),"SIN CATALOGAR"),"ÁREA DE PROCESO")</f>
        <v>ÁREA DE PROCESO</v>
      </c>
      <c r="S1730" s="34" t="str">
        <f aca="false">IF(H1730="","SIN DATO",IFERROR(INDEX(cat_MarcaN,MATCH(H1730,cat_MarcaO,0)),H1730))</f>
        <v>GENERAL ELECTRIC</v>
      </c>
      <c r="T1730" s="34" t="str">
        <f aca="false">IF(I1730="","SIN DATO",IFERROR(INDEX(cat_ModN,MATCH(I1730,cat_ModO,0)),I1730))</f>
        <v>MULTILIN</v>
      </c>
      <c r="U1730" s="34" t="str">
        <f aca="false">IF(I1730="","",IFERROR(INDEX(cat_ModG,MATCH(I1730,cat_ModO,0)),"No"))</f>
        <v>Sí</v>
      </c>
      <c r="V1730" s="34" t="str">
        <f aca="false">IF(J1730="","SIN DATO",IFERROR(INDEX(cat_FunN,MATCH(J1730,cat_FunO,0)),J1730))</f>
        <v>Protección</v>
      </c>
      <c r="W1730" s="34" t="str">
        <f aca="false">IF(OR(S1730="SIN DATO",T1730="SIN DATO"),"No","Sí")</f>
        <v>Sí</v>
      </c>
    </row>
    <row r="1731" customFormat="false" ht="15" hidden="false" customHeight="false" outlineLevel="0" collapsed="false">
      <c r="A1731" s="34" t="s">
        <v>6300</v>
      </c>
      <c r="B1731" s="34" t="s">
        <v>6301</v>
      </c>
      <c r="C1731" s="34" t="s">
        <v>6302</v>
      </c>
      <c r="D1731" s="34" t="s">
        <v>6303</v>
      </c>
      <c r="E1731" s="34" t="s">
        <v>130</v>
      </c>
      <c r="F1731" s="34" t="s">
        <v>6299</v>
      </c>
      <c r="G1731" s="34" t="s">
        <v>2983</v>
      </c>
      <c r="H1731" s="34" t="s">
        <v>61</v>
      </c>
      <c r="I1731" s="34" t="s">
        <v>63</v>
      </c>
      <c r="J1731" s="34" t="s">
        <v>681</v>
      </c>
      <c r="K1731" s="34" t="s">
        <v>229</v>
      </c>
      <c r="L1731" s="34" t="s">
        <v>3198</v>
      </c>
      <c r="M1731" s="34" t="s">
        <v>231</v>
      </c>
      <c r="N1731" s="34" t="str">
        <f aca="false">"Sector "&amp;VALUE(MID(D1731,13,2))</f>
        <v>Sector 5</v>
      </c>
      <c r="O1731" s="34" t="str">
        <f aca="false">IF(Dashboard!$C$5="Ubicación técnica",N1731,"Sector "&amp;VALUE(RIGHT(G1731,2)))</f>
        <v>Sector 5</v>
      </c>
      <c r="P1731" s="34" t="str">
        <f aca="false">IF(MID(D1731,15,3)="SEL","Subestación eléctrica","Área de proceso")</f>
        <v>Área de proceso</v>
      </c>
      <c r="Q1731" s="34" t="str">
        <f aca="false">MID(D1731,13,5)&amp;"|"&amp;MID(D1731,19,5)</f>
        <v>05HGB|SCOMP</v>
      </c>
      <c r="R1731" s="34" t="str">
        <f aca="false">IF(P1731="Subestación eléctrica",IFERROR(INDEX(cat_SubN,MATCH(Q1731,cat_SubK,0)),"SIN CATALOGAR"),"ÁREA DE PROCESO")</f>
        <v>ÁREA DE PROCESO</v>
      </c>
      <c r="S1731" s="34" t="str">
        <f aca="false">IF(H1731="","SIN DATO",IFERROR(INDEX(cat_MarcaN,MATCH(H1731,cat_MarcaO,0)),H1731))</f>
        <v>GENERAL ELECTRIC</v>
      </c>
      <c r="T1731" s="34" t="str">
        <f aca="false">IF(I1731="","SIN DATO",IFERROR(INDEX(cat_ModN,MATCH(I1731,cat_ModO,0)),I1731))</f>
        <v>MULTILIN</v>
      </c>
      <c r="U1731" s="34" t="str">
        <f aca="false">IF(I1731="","",IFERROR(INDEX(cat_ModG,MATCH(I1731,cat_ModO,0)),"No"))</f>
        <v>Sí</v>
      </c>
      <c r="V1731" s="34" t="str">
        <f aca="false">IF(J1731="","SIN DATO",IFERROR(INDEX(cat_FunN,MATCH(J1731,cat_FunO,0)),J1731))</f>
        <v>Protección</v>
      </c>
      <c r="W1731" s="34" t="str">
        <f aca="false">IF(OR(S1731="SIN DATO",T1731="SIN DATO"),"No","Sí")</f>
        <v>Sí</v>
      </c>
    </row>
    <row r="1732" customFormat="false" ht="15" hidden="false" customHeight="false" outlineLevel="0" collapsed="false">
      <c r="A1732" s="34" t="s">
        <v>6304</v>
      </c>
      <c r="B1732" s="34" t="s">
        <v>6305</v>
      </c>
      <c r="C1732" s="34" t="s">
        <v>6306</v>
      </c>
      <c r="D1732" s="34" t="s">
        <v>6307</v>
      </c>
      <c r="E1732" s="34" t="s">
        <v>130</v>
      </c>
      <c r="F1732" s="34" t="s">
        <v>6299</v>
      </c>
      <c r="G1732" s="34" t="s">
        <v>2983</v>
      </c>
      <c r="H1732" s="34" t="s">
        <v>61</v>
      </c>
      <c r="I1732" s="34" t="s">
        <v>63</v>
      </c>
      <c r="J1732" s="34" t="s">
        <v>681</v>
      </c>
      <c r="K1732" s="34" t="s">
        <v>229</v>
      </c>
      <c r="L1732" s="34" t="s">
        <v>3198</v>
      </c>
      <c r="M1732" s="34" t="s">
        <v>231</v>
      </c>
      <c r="N1732" s="34" t="str">
        <f aca="false">"Sector "&amp;VALUE(MID(D1732,13,2))</f>
        <v>Sector 5</v>
      </c>
      <c r="O1732" s="34" t="str">
        <f aca="false">IF(Dashboard!$C$5="Ubicación técnica",N1732,"Sector "&amp;VALUE(RIGHT(G1732,2)))</f>
        <v>Sector 5</v>
      </c>
      <c r="P1732" s="34" t="str">
        <f aca="false">IF(MID(D1732,15,3)="SEL","Subestación eléctrica","Área de proceso")</f>
        <v>Área de proceso</v>
      </c>
      <c r="Q1732" s="34" t="str">
        <f aca="false">MID(D1732,13,5)&amp;"|"&amp;MID(D1732,19,5)</f>
        <v>05HGB|SCOMP</v>
      </c>
      <c r="R1732" s="34" t="str">
        <f aca="false">IF(P1732="Subestación eléctrica",IFERROR(INDEX(cat_SubN,MATCH(Q1732,cat_SubK,0)),"SIN CATALOGAR"),"ÁREA DE PROCESO")</f>
        <v>ÁREA DE PROCESO</v>
      </c>
      <c r="S1732" s="34" t="str">
        <f aca="false">IF(H1732="","SIN DATO",IFERROR(INDEX(cat_MarcaN,MATCH(H1732,cat_MarcaO,0)),H1732))</f>
        <v>GENERAL ELECTRIC</v>
      </c>
      <c r="T1732" s="34" t="str">
        <f aca="false">IF(I1732="","SIN DATO",IFERROR(INDEX(cat_ModN,MATCH(I1732,cat_ModO,0)),I1732))</f>
        <v>MULTILIN</v>
      </c>
      <c r="U1732" s="34" t="str">
        <f aca="false">IF(I1732="","",IFERROR(INDEX(cat_ModG,MATCH(I1732,cat_ModO,0)),"No"))</f>
        <v>Sí</v>
      </c>
      <c r="V1732" s="34" t="str">
        <f aca="false">IF(J1732="","SIN DATO",IFERROR(INDEX(cat_FunN,MATCH(J1732,cat_FunO,0)),J1732))</f>
        <v>Protección</v>
      </c>
      <c r="W1732" s="34" t="str">
        <f aca="false">IF(OR(S1732="SIN DATO",T1732="SIN DATO"),"No","Sí")</f>
        <v>Sí</v>
      </c>
    </row>
    <row r="1733" customFormat="false" ht="15" hidden="false" customHeight="false" outlineLevel="0" collapsed="false">
      <c r="A1733" s="34" t="s">
        <v>6308</v>
      </c>
      <c r="B1733" s="34" t="s">
        <v>6309</v>
      </c>
      <c r="C1733" s="34" t="s">
        <v>6310</v>
      </c>
      <c r="D1733" s="34" t="s">
        <v>6311</v>
      </c>
      <c r="E1733" s="34" t="s">
        <v>130</v>
      </c>
      <c r="F1733" s="34" t="s">
        <v>6299</v>
      </c>
      <c r="G1733" s="34" t="s">
        <v>2983</v>
      </c>
      <c r="H1733" s="34" t="s">
        <v>61</v>
      </c>
      <c r="I1733" s="34" t="s">
        <v>63</v>
      </c>
      <c r="J1733" s="34" t="s">
        <v>681</v>
      </c>
      <c r="K1733" s="34" t="s">
        <v>229</v>
      </c>
      <c r="L1733" s="34" t="s">
        <v>3198</v>
      </c>
      <c r="M1733" s="34" t="s">
        <v>231</v>
      </c>
      <c r="N1733" s="34" t="str">
        <f aca="false">"Sector "&amp;VALUE(MID(D1733,13,2))</f>
        <v>Sector 5</v>
      </c>
      <c r="O1733" s="34" t="str">
        <f aca="false">IF(Dashboard!$C$5="Ubicación técnica",N1733,"Sector "&amp;VALUE(RIGHT(G1733,2)))</f>
        <v>Sector 5</v>
      </c>
      <c r="P1733" s="34" t="str">
        <f aca="false">IF(MID(D1733,15,3)="SEL","Subestación eléctrica","Área de proceso")</f>
        <v>Área de proceso</v>
      </c>
      <c r="Q1733" s="34" t="str">
        <f aca="false">MID(D1733,13,5)&amp;"|"&amp;MID(D1733,19,5)</f>
        <v>05HGB|SFRAC</v>
      </c>
      <c r="R1733" s="34" t="str">
        <f aca="false">IF(P1733="Subestación eléctrica",IFERROR(INDEX(cat_SubN,MATCH(Q1733,cat_SubK,0)),"SIN CATALOGAR"),"ÁREA DE PROCESO")</f>
        <v>ÁREA DE PROCESO</v>
      </c>
      <c r="S1733" s="34" t="str">
        <f aca="false">IF(H1733="","SIN DATO",IFERROR(INDEX(cat_MarcaN,MATCH(H1733,cat_MarcaO,0)),H1733))</f>
        <v>GENERAL ELECTRIC</v>
      </c>
      <c r="T1733" s="34" t="str">
        <f aca="false">IF(I1733="","SIN DATO",IFERROR(INDEX(cat_ModN,MATCH(I1733,cat_ModO,0)),I1733))</f>
        <v>MULTILIN</v>
      </c>
      <c r="U1733" s="34" t="str">
        <f aca="false">IF(I1733="","",IFERROR(INDEX(cat_ModG,MATCH(I1733,cat_ModO,0)),"No"))</f>
        <v>Sí</v>
      </c>
      <c r="V1733" s="34" t="str">
        <f aca="false">IF(J1733="","SIN DATO",IFERROR(INDEX(cat_FunN,MATCH(J1733,cat_FunO,0)),J1733))</f>
        <v>Protección</v>
      </c>
      <c r="W1733" s="34" t="str">
        <f aca="false">IF(OR(S1733="SIN DATO",T1733="SIN DATO"),"No","Sí")</f>
        <v>Sí</v>
      </c>
    </row>
    <row r="1734" customFormat="false" ht="15" hidden="false" customHeight="false" outlineLevel="0" collapsed="false">
      <c r="A1734" s="34" t="s">
        <v>6312</v>
      </c>
      <c r="B1734" s="34" t="s">
        <v>6313</v>
      </c>
      <c r="C1734" s="34" t="s">
        <v>6314</v>
      </c>
      <c r="D1734" s="34" t="s">
        <v>6315</v>
      </c>
      <c r="E1734" s="34" t="s">
        <v>130</v>
      </c>
      <c r="F1734" s="34" t="s">
        <v>6299</v>
      </c>
      <c r="G1734" s="34" t="s">
        <v>2983</v>
      </c>
      <c r="H1734" s="34" t="s">
        <v>61</v>
      </c>
      <c r="I1734" s="34" t="s">
        <v>63</v>
      </c>
      <c r="J1734" s="34" t="s">
        <v>681</v>
      </c>
      <c r="K1734" s="34" t="s">
        <v>229</v>
      </c>
      <c r="L1734" s="34" t="s">
        <v>3198</v>
      </c>
      <c r="M1734" s="34" t="s">
        <v>231</v>
      </c>
      <c r="N1734" s="34" t="str">
        <f aca="false">"Sector "&amp;VALUE(MID(D1734,13,2))</f>
        <v>Sector 5</v>
      </c>
      <c r="O1734" s="34" t="str">
        <f aca="false">IF(Dashboard!$C$5="Ubicación técnica",N1734,"Sector "&amp;VALUE(RIGHT(G1734,2)))</f>
        <v>Sector 5</v>
      </c>
      <c r="P1734" s="34" t="str">
        <f aca="false">IF(MID(D1734,15,3)="SEL","Subestación eléctrica","Área de proceso")</f>
        <v>Área de proceso</v>
      </c>
      <c r="Q1734" s="34" t="str">
        <f aca="false">MID(D1734,13,5)&amp;"|"&amp;MID(D1734,19,5)</f>
        <v>05HGB|SFRAC</v>
      </c>
      <c r="R1734" s="34" t="str">
        <f aca="false">IF(P1734="Subestación eléctrica",IFERROR(INDEX(cat_SubN,MATCH(Q1734,cat_SubK,0)),"SIN CATALOGAR"),"ÁREA DE PROCESO")</f>
        <v>ÁREA DE PROCESO</v>
      </c>
      <c r="S1734" s="34" t="str">
        <f aca="false">IF(H1734="","SIN DATO",IFERROR(INDEX(cat_MarcaN,MATCH(H1734,cat_MarcaO,0)),H1734))</f>
        <v>GENERAL ELECTRIC</v>
      </c>
      <c r="T1734" s="34" t="str">
        <f aca="false">IF(I1734="","SIN DATO",IFERROR(INDEX(cat_ModN,MATCH(I1734,cat_ModO,0)),I1734))</f>
        <v>MULTILIN</v>
      </c>
      <c r="U1734" s="34" t="str">
        <f aca="false">IF(I1734="","",IFERROR(INDEX(cat_ModG,MATCH(I1734,cat_ModO,0)),"No"))</f>
        <v>Sí</v>
      </c>
      <c r="V1734" s="34" t="str">
        <f aca="false">IF(J1734="","SIN DATO",IFERROR(INDEX(cat_FunN,MATCH(J1734,cat_FunO,0)),J1734))</f>
        <v>Protección</v>
      </c>
      <c r="W1734" s="34" t="str">
        <f aca="false">IF(OR(S1734="SIN DATO",T1734="SIN DATO"),"No","Sí")</f>
        <v>Sí</v>
      </c>
    </row>
    <row r="1735" customFormat="false" ht="15" hidden="false" customHeight="false" outlineLevel="0" collapsed="false">
      <c r="A1735" s="34" t="s">
        <v>6316</v>
      </c>
      <c r="B1735" s="34" t="s">
        <v>6317</v>
      </c>
      <c r="C1735" s="34" t="s">
        <v>6318</v>
      </c>
      <c r="D1735" s="34" t="s">
        <v>6319</v>
      </c>
      <c r="E1735" s="34" t="s">
        <v>130</v>
      </c>
      <c r="F1735" s="34" t="s">
        <v>6299</v>
      </c>
      <c r="G1735" s="34" t="s">
        <v>2983</v>
      </c>
      <c r="H1735" s="34" t="s">
        <v>61</v>
      </c>
      <c r="I1735" s="34" t="s">
        <v>63</v>
      </c>
      <c r="J1735" s="34" t="s">
        <v>681</v>
      </c>
      <c r="K1735" s="34" t="s">
        <v>229</v>
      </c>
      <c r="L1735" s="34" t="s">
        <v>3198</v>
      </c>
      <c r="M1735" s="34" t="s">
        <v>231</v>
      </c>
      <c r="N1735" s="34" t="str">
        <f aca="false">"Sector "&amp;VALUE(MID(D1735,13,2))</f>
        <v>Sector 5</v>
      </c>
      <c r="O1735" s="34" t="str">
        <f aca="false">IF(Dashboard!$C$5="Ubicación técnica",N1735,"Sector "&amp;VALUE(RIGHT(G1735,2)))</f>
        <v>Sector 5</v>
      </c>
      <c r="P1735" s="34" t="str">
        <f aca="false">IF(MID(D1735,15,3)="SEL","Subestación eléctrica","Área de proceso")</f>
        <v>Área de proceso</v>
      </c>
      <c r="Q1735" s="34" t="str">
        <f aca="false">MID(D1735,13,5)&amp;"|"&amp;MID(D1735,19,5)</f>
        <v>05HGB|SFRAC</v>
      </c>
      <c r="R1735" s="34" t="str">
        <f aca="false">IF(P1735="Subestación eléctrica",IFERROR(INDEX(cat_SubN,MATCH(Q1735,cat_SubK,0)),"SIN CATALOGAR"),"ÁREA DE PROCESO")</f>
        <v>ÁREA DE PROCESO</v>
      </c>
      <c r="S1735" s="34" t="str">
        <f aca="false">IF(H1735="","SIN DATO",IFERROR(INDEX(cat_MarcaN,MATCH(H1735,cat_MarcaO,0)),H1735))</f>
        <v>GENERAL ELECTRIC</v>
      </c>
      <c r="T1735" s="34" t="str">
        <f aca="false">IF(I1735="","SIN DATO",IFERROR(INDEX(cat_ModN,MATCH(I1735,cat_ModO,0)),I1735))</f>
        <v>MULTILIN</v>
      </c>
      <c r="U1735" s="34" t="str">
        <f aca="false">IF(I1735="","",IFERROR(INDEX(cat_ModG,MATCH(I1735,cat_ModO,0)),"No"))</f>
        <v>Sí</v>
      </c>
      <c r="V1735" s="34" t="str">
        <f aca="false">IF(J1735="","SIN DATO",IFERROR(INDEX(cat_FunN,MATCH(J1735,cat_FunO,0)),J1735))</f>
        <v>Protección</v>
      </c>
      <c r="W1735" s="34" t="str">
        <f aca="false">IF(OR(S1735="SIN DATO",T1735="SIN DATO"),"No","Sí")</f>
        <v>Sí</v>
      </c>
    </row>
    <row r="1736" customFormat="false" ht="15" hidden="false" customHeight="false" outlineLevel="0" collapsed="false">
      <c r="A1736" s="34" t="s">
        <v>6320</v>
      </c>
      <c r="B1736" s="34" t="s">
        <v>6321</v>
      </c>
      <c r="C1736" s="34" t="s">
        <v>6322</v>
      </c>
      <c r="D1736" s="34" t="s">
        <v>6323</v>
      </c>
      <c r="E1736" s="34" t="s">
        <v>130</v>
      </c>
      <c r="F1736" s="34" t="s">
        <v>6299</v>
      </c>
      <c r="G1736" s="34" t="s">
        <v>2983</v>
      </c>
      <c r="H1736" s="34" t="s">
        <v>61</v>
      </c>
      <c r="I1736" s="34" t="s">
        <v>63</v>
      </c>
      <c r="J1736" s="34" t="s">
        <v>681</v>
      </c>
      <c r="K1736" s="34" t="s">
        <v>229</v>
      </c>
      <c r="L1736" s="34" t="s">
        <v>3198</v>
      </c>
      <c r="M1736" s="34" t="s">
        <v>231</v>
      </c>
      <c r="N1736" s="34" t="str">
        <f aca="false">"Sector "&amp;VALUE(MID(D1736,13,2))</f>
        <v>Sector 5</v>
      </c>
      <c r="O1736" s="34" t="str">
        <f aca="false">IF(Dashboard!$C$5="Ubicación técnica",N1736,"Sector "&amp;VALUE(RIGHT(G1736,2)))</f>
        <v>Sector 5</v>
      </c>
      <c r="P1736" s="34" t="str">
        <f aca="false">IF(MID(D1736,15,3)="SEL","Subestación eléctrica","Área de proceso")</f>
        <v>Área de proceso</v>
      </c>
      <c r="Q1736" s="34" t="str">
        <f aca="false">MID(D1736,13,5)&amp;"|"&amp;MID(D1736,19,5)</f>
        <v>05HGB|SFRAC</v>
      </c>
      <c r="R1736" s="34" t="str">
        <f aca="false">IF(P1736="Subestación eléctrica",IFERROR(INDEX(cat_SubN,MATCH(Q1736,cat_SubK,0)),"SIN CATALOGAR"),"ÁREA DE PROCESO")</f>
        <v>ÁREA DE PROCESO</v>
      </c>
      <c r="S1736" s="34" t="str">
        <f aca="false">IF(H1736="","SIN DATO",IFERROR(INDEX(cat_MarcaN,MATCH(H1736,cat_MarcaO,0)),H1736))</f>
        <v>GENERAL ELECTRIC</v>
      </c>
      <c r="T1736" s="34" t="str">
        <f aca="false">IF(I1736="","SIN DATO",IFERROR(INDEX(cat_ModN,MATCH(I1736,cat_ModO,0)),I1736))</f>
        <v>MULTILIN</v>
      </c>
      <c r="U1736" s="34" t="str">
        <f aca="false">IF(I1736="","",IFERROR(INDEX(cat_ModG,MATCH(I1736,cat_ModO,0)),"No"))</f>
        <v>Sí</v>
      </c>
      <c r="V1736" s="34" t="str">
        <f aca="false">IF(J1736="","SIN DATO",IFERROR(INDEX(cat_FunN,MATCH(J1736,cat_FunO,0)),J1736))</f>
        <v>Protección</v>
      </c>
      <c r="W1736" s="34" t="str">
        <f aca="false">IF(OR(S1736="SIN DATO",T1736="SIN DATO"),"No","Sí")</f>
        <v>Sí</v>
      </c>
    </row>
    <row r="1737" customFormat="false" ht="15" hidden="false" customHeight="false" outlineLevel="0" collapsed="false">
      <c r="A1737" s="34" t="s">
        <v>6324</v>
      </c>
      <c r="B1737" s="34" t="s">
        <v>6325</v>
      </c>
      <c r="C1737" s="34" t="s">
        <v>6326</v>
      </c>
      <c r="D1737" s="34" t="s">
        <v>6327</v>
      </c>
      <c r="E1737" s="34" t="s">
        <v>130</v>
      </c>
      <c r="F1737" s="34" t="s">
        <v>6299</v>
      </c>
      <c r="G1737" s="34" t="s">
        <v>2983</v>
      </c>
      <c r="H1737" s="34" t="s">
        <v>61</v>
      </c>
      <c r="I1737" s="34" t="s">
        <v>63</v>
      </c>
      <c r="J1737" s="34" t="s">
        <v>681</v>
      </c>
      <c r="K1737" s="34" t="s">
        <v>229</v>
      </c>
      <c r="L1737" s="34" t="s">
        <v>3198</v>
      </c>
      <c r="M1737" s="34" t="s">
        <v>231</v>
      </c>
      <c r="N1737" s="34" t="str">
        <f aca="false">"Sector "&amp;VALUE(MID(D1737,13,2))</f>
        <v>Sector 5</v>
      </c>
      <c r="O1737" s="34" t="str">
        <f aca="false">IF(Dashboard!$C$5="Ubicación técnica",N1737,"Sector "&amp;VALUE(RIGHT(G1737,2)))</f>
        <v>Sector 5</v>
      </c>
      <c r="P1737" s="34" t="str">
        <f aca="false">IF(MID(D1737,15,3)="SEL","Subestación eléctrica","Área de proceso")</f>
        <v>Área de proceso</v>
      </c>
      <c r="Q1737" s="34" t="str">
        <f aca="false">MID(D1737,13,5)&amp;"|"&amp;MID(D1737,19,5)</f>
        <v>05HGB|SFRAC</v>
      </c>
      <c r="R1737" s="34" t="str">
        <f aca="false">IF(P1737="Subestación eléctrica",IFERROR(INDEX(cat_SubN,MATCH(Q1737,cat_SubK,0)),"SIN CATALOGAR"),"ÁREA DE PROCESO")</f>
        <v>ÁREA DE PROCESO</v>
      </c>
      <c r="S1737" s="34" t="str">
        <f aca="false">IF(H1737="","SIN DATO",IFERROR(INDEX(cat_MarcaN,MATCH(H1737,cat_MarcaO,0)),H1737))</f>
        <v>GENERAL ELECTRIC</v>
      </c>
      <c r="T1737" s="34" t="str">
        <f aca="false">IF(I1737="","SIN DATO",IFERROR(INDEX(cat_ModN,MATCH(I1737,cat_ModO,0)),I1737))</f>
        <v>MULTILIN</v>
      </c>
      <c r="U1737" s="34" t="str">
        <f aca="false">IF(I1737="","",IFERROR(INDEX(cat_ModG,MATCH(I1737,cat_ModO,0)),"No"))</f>
        <v>Sí</v>
      </c>
      <c r="V1737" s="34" t="str">
        <f aca="false">IF(J1737="","SIN DATO",IFERROR(INDEX(cat_FunN,MATCH(J1737,cat_FunO,0)),J1737))</f>
        <v>Protección</v>
      </c>
      <c r="W1737" s="34" t="str">
        <f aca="false">IF(OR(S1737="SIN DATO",T1737="SIN DATO"),"No","Sí")</f>
        <v>Sí</v>
      </c>
    </row>
    <row r="1738" customFormat="false" ht="15" hidden="false" customHeight="false" outlineLevel="0" collapsed="false">
      <c r="A1738" s="34" t="s">
        <v>6328</v>
      </c>
      <c r="B1738" s="34" t="s">
        <v>6329</v>
      </c>
      <c r="C1738" s="34" t="s">
        <v>6330</v>
      </c>
      <c r="D1738" s="34" t="s">
        <v>6331</v>
      </c>
      <c r="E1738" s="34" t="s">
        <v>130</v>
      </c>
      <c r="F1738" s="34" t="s">
        <v>6299</v>
      </c>
      <c r="G1738" s="34" t="s">
        <v>2983</v>
      </c>
      <c r="H1738" s="34" t="s">
        <v>61</v>
      </c>
      <c r="I1738" s="34" t="s">
        <v>63</v>
      </c>
      <c r="J1738" s="34" t="s">
        <v>681</v>
      </c>
      <c r="K1738" s="34" t="s">
        <v>229</v>
      </c>
      <c r="L1738" s="34" t="s">
        <v>3198</v>
      </c>
      <c r="M1738" s="34" t="s">
        <v>231</v>
      </c>
      <c r="N1738" s="34" t="str">
        <f aca="false">"Sector "&amp;VALUE(MID(D1738,13,2))</f>
        <v>Sector 5</v>
      </c>
      <c r="O1738" s="34" t="str">
        <f aca="false">IF(Dashboard!$C$5="Ubicación técnica",N1738,"Sector "&amp;VALUE(RIGHT(G1738,2)))</f>
        <v>Sector 5</v>
      </c>
      <c r="P1738" s="34" t="str">
        <f aca="false">IF(MID(D1738,15,3)="SEL","Subestación eléctrica","Área de proceso")</f>
        <v>Área de proceso</v>
      </c>
      <c r="Q1738" s="34" t="str">
        <f aca="false">MID(D1738,13,5)&amp;"|"&amp;MID(D1738,19,5)</f>
        <v>05HGB|SFRAC</v>
      </c>
      <c r="R1738" s="34" t="str">
        <f aca="false">IF(P1738="Subestación eléctrica",IFERROR(INDEX(cat_SubN,MATCH(Q1738,cat_SubK,0)),"SIN CATALOGAR"),"ÁREA DE PROCESO")</f>
        <v>ÁREA DE PROCESO</v>
      </c>
      <c r="S1738" s="34" t="str">
        <f aca="false">IF(H1738="","SIN DATO",IFERROR(INDEX(cat_MarcaN,MATCH(H1738,cat_MarcaO,0)),H1738))</f>
        <v>GENERAL ELECTRIC</v>
      </c>
      <c r="T1738" s="34" t="str">
        <f aca="false">IF(I1738="","SIN DATO",IFERROR(INDEX(cat_ModN,MATCH(I1738,cat_ModO,0)),I1738))</f>
        <v>MULTILIN</v>
      </c>
      <c r="U1738" s="34" t="str">
        <f aca="false">IF(I1738="","",IFERROR(INDEX(cat_ModG,MATCH(I1738,cat_ModO,0)),"No"))</f>
        <v>Sí</v>
      </c>
      <c r="V1738" s="34" t="str">
        <f aca="false">IF(J1738="","SIN DATO",IFERROR(INDEX(cat_FunN,MATCH(J1738,cat_FunO,0)),J1738))</f>
        <v>Protección</v>
      </c>
      <c r="W1738" s="34" t="str">
        <f aca="false">IF(OR(S1738="SIN DATO",T1738="SIN DATO"),"No","Sí")</f>
        <v>Sí</v>
      </c>
    </row>
    <row r="1739" customFormat="false" ht="15" hidden="false" customHeight="false" outlineLevel="0" collapsed="false">
      <c r="A1739" s="34" t="s">
        <v>6332</v>
      </c>
      <c r="B1739" s="34" t="s">
        <v>6333</v>
      </c>
      <c r="C1739" s="34" t="s">
        <v>6334</v>
      </c>
      <c r="D1739" s="34" t="s">
        <v>6335</v>
      </c>
      <c r="E1739" s="34" t="s">
        <v>130</v>
      </c>
      <c r="F1739" s="34" t="s">
        <v>6299</v>
      </c>
      <c r="G1739" s="34" t="s">
        <v>2983</v>
      </c>
      <c r="H1739" s="34" t="s">
        <v>61</v>
      </c>
      <c r="I1739" s="34" t="s">
        <v>63</v>
      </c>
      <c r="J1739" s="34" t="s">
        <v>681</v>
      </c>
      <c r="K1739" s="34" t="s">
        <v>229</v>
      </c>
      <c r="L1739" s="34" t="s">
        <v>3198</v>
      </c>
      <c r="M1739" s="34" t="s">
        <v>231</v>
      </c>
      <c r="N1739" s="34" t="str">
        <f aca="false">"Sector "&amp;VALUE(MID(D1739,13,2))</f>
        <v>Sector 5</v>
      </c>
      <c r="O1739" s="34" t="str">
        <f aca="false">IF(Dashboard!$C$5="Ubicación técnica",N1739,"Sector "&amp;VALUE(RIGHT(G1739,2)))</f>
        <v>Sector 5</v>
      </c>
      <c r="P1739" s="34" t="str">
        <f aca="false">IF(MID(D1739,15,3)="SEL","Subestación eléctrica","Área de proceso")</f>
        <v>Área de proceso</v>
      </c>
      <c r="Q1739" s="34" t="str">
        <f aca="false">MID(D1739,13,5)&amp;"|"&amp;MID(D1739,19,5)</f>
        <v>05HGB|SCARG</v>
      </c>
      <c r="R1739" s="34" t="str">
        <f aca="false">IF(P1739="Subestación eléctrica",IFERROR(INDEX(cat_SubN,MATCH(Q1739,cat_SubK,0)),"SIN CATALOGAR"),"ÁREA DE PROCESO")</f>
        <v>ÁREA DE PROCESO</v>
      </c>
      <c r="S1739" s="34" t="str">
        <f aca="false">IF(H1739="","SIN DATO",IFERROR(INDEX(cat_MarcaN,MATCH(H1739,cat_MarcaO,0)),H1739))</f>
        <v>GENERAL ELECTRIC</v>
      </c>
      <c r="T1739" s="34" t="str">
        <f aca="false">IF(I1739="","SIN DATO",IFERROR(INDEX(cat_ModN,MATCH(I1739,cat_ModO,0)),I1739))</f>
        <v>MULTILIN</v>
      </c>
      <c r="U1739" s="34" t="str">
        <f aca="false">IF(I1739="","",IFERROR(INDEX(cat_ModG,MATCH(I1739,cat_ModO,0)),"No"))</f>
        <v>Sí</v>
      </c>
      <c r="V1739" s="34" t="str">
        <f aca="false">IF(J1739="","SIN DATO",IFERROR(INDEX(cat_FunN,MATCH(J1739,cat_FunO,0)),J1739))</f>
        <v>Protección</v>
      </c>
      <c r="W1739" s="34" t="str">
        <f aca="false">IF(OR(S1739="SIN DATO",T1739="SIN DATO"),"No","Sí")</f>
        <v>Sí</v>
      </c>
    </row>
    <row r="1740" customFormat="false" ht="15" hidden="false" customHeight="false" outlineLevel="0" collapsed="false">
      <c r="A1740" s="34" t="s">
        <v>6336</v>
      </c>
      <c r="B1740" s="34" t="s">
        <v>6337</v>
      </c>
      <c r="C1740" s="34" t="s">
        <v>6338</v>
      </c>
      <c r="D1740" s="34" t="s">
        <v>6335</v>
      </c>
      <c r="E1740" s="34" t="s">
        <v>130</v>
      </c>
      <c r="F1740" s="34" t="s">
        <v>6299</v>
      </c>
      <c r="G1740" s="34" t="s">
        <v>2983</v>
      </c>
      <c r="H1740" s="34" t="s">
        <v>61</v>
      </c>
      <c r="I1740" s="34" t="s">
        <v>63</v>
      </c>
      <c r="J1740" s="34" t="s">
        <v>681</v>
      </c>
      <c r="K1740" s="34" t="s">
        <v>229</v>
      </c>
      <c r="L1740" s="34" t="s">
        <v>3198</v>
      </c>
      <c r="M1740" s="34" t="s">
        <v>231</v>
      </c>
      <c r="N1740" s="34" t="str">
        <f aca="false">"Sector "&amp;VALUE(MID(D1740,13,2))</f>
        <v>Sector 5</v>
      </c>
      <c r="O1740" s="34" t="str">
        <f aca="false">IF(Dashboard!$C$5="Ubicación técnica",N1740,"Sector "&amp;VALUE(RIGHT(G1740,2)))</f>
        <v>Sector 5</v>
      </c>
      <c r="P1740" s="34" t="str">
        <f aca="false">IF(MID(D1740,15,3)="SEL","Subestación eléctrica","Área de proceso")</f>
        <v>Área de proceso</v>
      </c>
      <c r="Q1740" s="34" t="str">
        <f aca="false">MID(D1740,13,5)&amp;"|"&amp;MID(D1740,19,5)</f>
        <v>05HGB|SCARG</v>
      </c>
      <c r="R1740" s="34" t="str">
        <f aca="false">IF(P1740="Subestación eléctrica",IFERROR(INDEX(cat_SubN,MATCH(Q1740,cat_SubK,0)),"SIN CATALOGAR"),"ÁREA DE PROCESO")</f>
        <v>ÁREA DE PROCESO</v>
      </c>
      <c r="S1740" s="34" t="str">
        <f aca="false">IF(H1740="","SIN DATO",IFERROR(INDEX(cat_MarcaN,MATCH(H1740,cat_MarcaO,0)),H1740))</f>
        <v>GENERAL ELECTRIC</v>
      </c>
      <c r="T1740" s="34" t="str">
        <f aca="false">IF(I1740="","SIN DATO",IFERROR(INDEX(cat_ModN,MATCH(I1740,cat_ModO,0)),I1740))</f>
        <v>MULTILIN</v>
      </c>
      <c r="U1740" s="34" t="str">
        <f aca="false">IF(I1740="","",IFERROR(INDEX(cat_ModG,MATCH(I1740,cat_ModO,0)),"No"))</f>
        <v>Sí</v>
      </c>
      <c r="V1740" s="34" t="str">
        <f aca="false">IF(J1740="","SIN DATO",IFERROR(INDEX(cat_FunN,MATCH(J1740,cat_FunO,0)),J1740))</f>
        <v>Protección</v>
      </c>
      <c r="W1740" s="34" t="str">
        <f aca="false">IF(OR(S1740="SIN DATO",T1740="SIN DATO"),"No","Sí")</f>
        <v>Sí</v>
      </c>
    </row>
    <row r="1741" customFormat="false" ht="15" hidden="false" customHeight="false" outlineLevel="0" collapsed="false">
      <c r="A1741" s="34" t="s">
        <v>6339</v>
      </c>
      <c r="B1741" s="34" t="s">
        <v>6340</v>
      </c>
      <c r="C1741" s="34" t="s">
        <v>6341</v>
      </c>
      <c r="D1741" s="34" t="s">
        <v>6298</v>
      </c>
      <c r="E1741" s="34" t="s">
        <v>130</v>
      </c>
      <c r="F1741" s="34" t="s">
        <v>6299</v>
      </c>
      <c r="G1741" s="34" t="s">
        <v>2983</v>
      </c>
      <c r="H1741" s="34" t="s">
        <v>61</v>
      </c>
      <c r="I1741" s="34" t="s">
        <v>63</v>
      </c>
      <c r="J1741" s="34" t="s">
        <v>681</v>
      </c>
      <c r="K1741" s="34" t="s">
        <v>229</v>
      </c>
      <c r="L1741" s="34" t="s">
        <v>3198</v>
      </c>
      <c r="M1741" s="34" t="s">
        <v>231</v>
      </c>
      <c r="N1741" s="34" t="str">
        <f aca="false">"Sector "&amp;VALUE(MID(D1741,13,2))</f>
        <v>Sector 5</v>
      </c>
      <c r="O1741" s="34" t="str">
        <f aca="false">IF(Dashboard!$C$5="Ubicación técnica",N1741,"Sector "&amp;VALUE(RIGHT(G1741,2)))</f>
        <v>Sector 5</v>
      </c>
      <c r="P1741" s="34" t="str">
        <f aca="false">IF(MID(D1741,15,3)="SEL","Subestación eléctrica","Área de proceso")</f>
        <v>Área de proceso</v>
      </c>
      <c r="Q1741" s="34" t="str">
        <f aca="false">MID(D1741,13,5)&amp;"|"&amp;MID(D1741,19,5)</f>
        <v>05HGB|SCARG</v>
      </c>
      <c r="R1741" s="34" t="str">
        <f aca="false">IF(P1741="Subestación eléctrica",IFERROR(INDEX(cat_SubN,MATCH(Q1741,cat_SubK,0)),"SIN CATALOGAR"),"ÁREA DE PROCESO")</f>
        <v>ÁREA DE PROCESO</v>
      </c>
      <c r="S1741" s="34" t="str">
        <f aca="false">IF(H1741="","SIN DATO",IFERROR(INDEX(cat_MarcaN,MATCH(H1741,cat_MarcaO,0)),H1741))</f>
        <v>GENERAL ELECTRIC</v>
      </c>
      <c r="T1741" s="34" t="str">
        <f aca="false">IF(I1741="","SIN DATO",IFERROR(INDEX(cat_ModN,MATCH(I1741,cat_ModO,0)),I1741))</f>
        <v>MULTILIN</v>
      </c>
      <c r="U1741" s="34" t="str">
        <f aca="false">IF(I1741="","",IFERROR(INDEX(cat_ModG,MATCH(I1741,cat_ModO,0)),"No"))</f>
        <v>Sí</v>
      </c>
      <c r="V1741" s="34" t="str">
        <f aca="false">IF(J1741="","SIN DATO",IFERROR(INDEX(cat_FunN,MATCH(J1741,cat_FunO,0)),J1741))</f>
        <v>Protección</v>
      </c>
      <c r="W1741" s="34" t="str">
        <f aca="false">IF(OR(S1741="SIN DATO",T1741="SIN DATO"),"No","Sí")</f>
        <v>Sí</v>
      </c>
    </row>
    <row r="1742" customFormat="false" ht="15" hidden="false" customHeight="false" outlineLevel="0" collapsed="false">
      <c r="A1742" s="34" t="s">
        <v>6342</v>
      </c>
      <c r="B1742" s="34" t="s">
        <v>6343</v>
      </c>
      <c r="C1742" s="34" t="s">
        <v>6344</v>
      </c>
      <c r="D1742" s="34" t="s">
        <v>6298</v>
      </c>
      <c r="E1742" s="34" t="s">
        <v>130</v>
      </c>
      <c r="F1742" s="34" t="s">
        <v>6299</v>
      </c>
      <c r="G1742" s="34" t="s">
        <v>2983</v>
      </c>
      <c r="H1742" s="34" t="s">
        <v>61</v>
      </c>
      <c r="I1742" s="34" t="s">
        <v>63</v>
      </c>
      <c r="J1742" s="34" t="s">
        <v>681</v>
      </c>
      <c r="K1742" s="34" t="s">
        <v>229</v>
      </c>
      <c r="L1742" s="34" t="s">
        <v>3198</v>
      </c>
      <c r="M1742" s="34" t="s">
        <v>231</v>
      </c>
      <c r="N1742" s="34" t="str">
        <f aca="false">"Sector "&amp;VALUE(MID(D1742,13,2))</f>
        <v>Sector 5</v>
      </c>
      <c r="O1742" s="34" t="str">
        <f aca="false">IF(Dashboard!$C$5="Ubicación técnica",N1742,"Sector "&amp;VALUE(RIGHT(G1742,2)))</f>
        <v>Sector 5</v>
      </c>
      <c r="P1742" s="34" t="str">
        <f aca="false">IF(MID(D1742,15,3)="SEL","Subestación eléctrica","Área de proceso")</f>
        <v>Área de proceso</v>
      </c>
      <c r="Q1742" s="34" t="str">
        <f aca="false">MID(D1742,13,5)&amp;"|"&amp;MID(D1742,19,5)</f>
        <v>05HGB|SCARG</v>
      </c>
      <c r="R1742" s="34" t="str">
        <f aca="false">IF(P1742="Subestación eléctrica",IFERROR(INDEX(cat_SubN,MATCH(Q1742,cat_SubK,0)),"SIN CATALOGAR"),"ÁREA DE PROCESO")</f>
        <v>ÁREA DE PROCESO</v>
      </c>
      <c r="S1742" s="34" t="str">
        <f aca="false">IF(H1742="","SIN DATO",IFERROR(INDEX(cat_MarcaN,MATCH(H1742,cat_MarcaO,0)),H1742))</f>
        <v>GENERAL ELECTRIC</v>
      </c>
      <c r="T1742" s="34" t="str">
        <f aca="false">IF(I1742="","SIN DATO",IFERROR(INDEX(cat_ModN,MATCH(I1742,cat_ModO,0)),I1742))</f>
        <v>MULTILIN</v>
      </c>
      <c r="U1742" s="34" t="str">
        <f aca="false">IF(I1742="","",IFERROR(INDEX(cat_ModG,MATCH(I1742,cat_ModO,0)),"No"))</f>
        <v>Sí</v>
      </c>
      <c r="V1742" s="34" t="str">
        <f aca="false">IF(J1742="","SIN DATO",IFERROR(INDEX(cat_FunN,MATCH(J1742,cat_FunO,0)),J1742))</f>
        <v>Protección</v>
      </c>
      <c r="W1742" s="34" t="str">
        <f aca="false">IF(OR(S1742="SIN DATO",T1742="SIN DATO"),"No","Sí")</f>
        <v>Sí</v>
      </c>
    </row>
    <row r="1743" customFormat="false" ht="15" hidden="false" customHeight="false" outlineLevel="0" collapsed="false">
      <c r="A1743" s="34" t="s">
        <v>6345</v>
      </c>
      <c r="B1743" s="34" t="s">
        <v>6346</v>
      </c>
      <c r="C1743" s="34" t="s">
        <v>6347</v>
      </c>
      <c r="D1743" s="34" t="s">
        <v>6348</v>
      </c>
      <c r="E1743" s="34" t="s">
        <v>134</v>
      </c>
      <c r="F1743" s="34" t="s">
        <v>6349</v>
      </c>
      <c r="G1743" s="34" t="s">
        <v>2983</v>
      </c>
      <c r="H1743" s="34" t="s">
        <v>34</v>
      </c>
      <c r="I1743" s="34" t="s">
        <v>44</v>
      </c>
      <c r="J1743" s="34" t="s">
        <v>228</v>
      </c>
      <c r="K1743" s="34" t="s">
        <v>229</v>
      </c>
      <c r="L1743" s="34" t="s">
        <v>230</v>
      </c>
      <c r="M1743" s="34" t="s">
        <v>231</v>
      </c>
      <c r="N1743" s="34" t="str">
        <f aca="false">"Sector "&amp;VALUE(MID(D1743,13,2))</f>
        <v>Sector 5</v>
      </c>
      <c r="O1743" s="34" t="str">
        <f aca="false">IF(Dashboard!$C$5="Ubicación técnica",N1743,"Sector "&amp;VALUE(RIGHT(G1743,2)))</f>
        <v>Sector 5</v>
      </c>
      <c r="P1743" s="34" t="str">
        <f aca="false">IF(MID(D1743,15,3)="SEL","Subestación eléctrica","Área de proceso")</f>
        <v>Área de proceso</v>
      </c>
      <c r="Q1743" s="34" t="str">
        <f aca="false">MID(D1743,13,5)&amp;"|"&amp;MID(D1743,19,5)</f>
        <v>05ISA|SCARG</v>
      </c>
      <c r="R1743" s="34" t="str">
        <f aca="false">IF(P1743="Subestación eléctrica",IFERROR(INDEX(cat_SubN,MATCH(Q1743,cat_SubK,0)),"SIN CATALOGAR"),"ÁREA DE PROCESO")</f>
        <v>ÁREA DE PROCESO</v>
      </c>
      <c r="S1743" s="34" t="str">
        <f aca="false">IF(H1743="","SIN DATO",IFERROR(INDEX(cat_MarcaN,MATCH(H1743,cat_MarcaO,0)),H1743))</f>
        <v>ABB</v>
      </c>
      <c r="T1743" s="34" t="str">
        <f aca="false">IF(I1743="","SIN DATO",IFERROR(INDEX(cat_ModN,MATCH(I1743,cat_ModO,0)),I1743))</f>
        <v>REM</v>
      </c>
      <c r="U1743" s="34" t="str">
        <f aca="false">IF(I1743="","",IFERROR(INDEX(cat_ModG,MATCH(I1743,cat_ModO,0)),"No"))</f>
        <v>Sí</v>
      </c>
      <c r="V1743" s="34" t="str">
        <f aca="false">IF(J1743="","SIN DATO",IFERROR(INDEX(cat_FunN,MATCH(J1743,cat_FunO,0)),J1743))</f>
        <v>Protección y medición</v>
      </c>
      <c r="W1743" s="34" t="str">
        <f aca="false">IF(OR(S1743="SIN DATO",T1743="SIN DATO"),"No","Sí")</f>
        <v>Sí</v>
      </c>
    </row>
    <row r="1744" customFormat="false" ht="15" hidden="false" customHeight="false" outlineLevel="0" collapsed="false">
      <c r="A1744" s="34" t="s">
        <v>6350</v>
      </c>
      <c r="B1744" s="34" t="s">
        <v>6351</v>
      </c>
      <c r="C1744" s="34" t="s">
        <v>6352</v>
      </c>
      <c r="D1744" s="34" t="s">
        <v>6353</v>
      </c>
      <c r="E1744" s="34" t="s">
        <v>134</v>
      </c>
      <c r="F1744" s="34" t="s">
        <v>6349</v>
      </c>
      <c r="G1744" s="34" t="s">
        <v>2983</v>
      </c>
      <c r="H1744" s="34" t="s">
        <v>34</v>
      </c>
      <c r="I1744" s="34" t="s">
        <v>44</v>
      </c>
      <c r="J1744" s="34" t="s">
        <v>228</v>
      </c>
      <c r="K1744" s="34" t="s">
        <v>229</v>
      </c>
      <c r="L1744" s="34" t="s">
        <v>230</v>
      </c>
      <c r="M1744" s="34" t="s">
        <v>231</v>
      </c>
      <c r="N1744" s="34" t="str">
        <f aca="false">"Sector "&amp;VALUE(MID(D1744,13,2))</f>
        <v>Sector 5</v>
      </c>
      <c r="O1744" s="34" t="str">
        <f aca="false">IF(Dashboard!$C$5="Ubicación técnica",N1744,"Sector "&amp;VALUE(RIGHT(G1744,2)))</f>
        <v>Sector 5</v>
      </c>
      <c r="P1744" s="34" t="str">
        <f aca="false">IF(MID(D1744,15,3)="SEL","Subestación eléctrica","Área de proceso")</f>
        <v>Área de proceso</v>
      </c>
      <c r="Q1744" s="34" t="str">
        <f aca="false">MID(D1744,13,5)&amp;"|"&amp;MID(D1744,19,5)</f>
        <v>05ISA|SCARG</v>
      </c>
      <c r="R1744" s="34" t="str">
        <f aca="false">IF(P1744="Subestación eléctrica",IFERROR(INDEX(cat_SubN,MATCH(Q1744,cat_SubK,0)),"SIN CATALOGAR"),"ÁREA DE PROCESO")</f>
        <v>ÁREA DE PROCESO</v>
      </c>
      <c r="S1744" s="34" t="str">
        <f aca="false">IF(H1744="","SIN DATO",IFERROR(INDEX(cat_MarcaN,MATCH(H1744,cat_MarcaO,0)),H1744))</f>
        <v>ABB</v>
      </c>
      <c r="T1744" s="34" t="str">
        <f aca="false">IF(I1744="","SIN DATO",IFERROR(INDEX(cat_ModN,MATCH(I1744,cat_ModO,0)),I1744))</f>
        <v>REM</v>
      </c>
      <c r="U1744" s="34" t="str">
        <f aca="false">IF(I1744="","",IFERROR(INDEX(cat_ModG,MATCH(I1744,cat_ModO,0)),"No"))</f>
        <v>Sí</v>
      </c>
      <c r="V1744" s="34" t="str">
        <f aca="false">IF(J1744="","SIN DATO",IFERROR(INDEX(cat_FunN,MATCH(J1744,cat_FunO,0)),J1744))</f>
        <v>Protección y medición</v>
      </c>
      <c r="W1744" s="34" t="str">
        <f aca="false">IF(OR(S1744="SIN DATO",T1744="SIN DATO"),"No","Sí")</f>
        <v>Sí</v>
      </c>
    </row>
    <row r="1745" customFormat="false" ht="15" hidden="false" customHeight="false" outlineLevel="0" collapsed="false">
      <c r="A1745" s="34" t="s">
        <v>6354</v>
      </c>
      <c r="B1745" s="34" t="s">
        <v>6355</v>
      </c>
      <c r="C1745" s="34" t="s">
        <v>6356</v>
      </c>
      <c r="D1745" s="34" t="s">
        <v>6357</v>
      </c>
      <c r="E1745" s="34" t="s">
        <v>134</v>
      </c>
      <c r="F1745" s="34" t="s">
        <v>6349</v>
      </c>
      <c r="G1745" s="34" t="s">
        <v>2983</v>
      </c>
      <c r="H1745" s="34" t="s">
        <v>34</v>
      </c>
      <c r="I1745" s="34" t="s">
        <v>44</v>
      </c>
      <c r="J1745" s="34" t="s">
        <v>228</v>
      </c>
      <c r="K1745" s="34" t="s">
        <v>229</v>
      </c>
      <c r="L1745" s="34" t="s">
        <v>230</v>
      </c>
      <c r="M1745" s="34" t="s">
        <v>231</v>
      </c>
      <c r="N1745" s="34" t="str">
        <f aca="false">"Sector "&amp;VALUE(MID(D1745,13,2))</f>
        <v>Sector 5</v>
      </c>
      <c r="O1745" s="34" t="str">
        <f aca="false">IF(Dashboard!$C$5="Ubicación técnica",N1745,"Sector "&amp;VALUE(RIGHT(G1745,2)))</f>
        <v>Sector 5</v>
      </c>
      <c r="P1745" s="34" t="str">
        <f aca="false">IF(MID(D1745,15,3)="SEL","Subestación eléctrica","Área de proceso")</f>
        <v>Área de proceso</v>
      </c>
      <c r="Q1745" s="34" t="str">
        <f aca="false">MID(D1745,13,5)&amp;"|"&amp;MID(D1745,19,5)</f>
        <v>05ISA|SCOMP</v>
      </c>
      <c r="R1745" s="34" t="str">
        <f aca="false">IF(P1745="Subestación eléctrica",IFERROR(INDEX(cat_SubN,MATCH(Q1745,cat_SubK,0)),"SIN CATALOGAR"),"ÁREA DE PROCESO")</f>
        <v>ÁREA DE PROCESO</v>
      </c>
      <c r="S1745" s="34" t="str">
        <f aca="false">IF(H1745="","SIN DATO",IFERROR(INDEX(cat_MarcaN,MATCH(H1745,cat_MarcaO,0)),H1745))</f>
        <v>ABB</v>
      </c>
      <c r="T1745" s="34" t="str">
        <f aca="false">IF(I1745="","SIN DATO",IFERROR(INDEX(cat_ModN,MATCH(I1745,cat_ModO,0)),I1745))</f>
        <v>REM</v>
      </c>
      <c r="U1745" s="34" t="str">
        <f aca="false">IF(I1745="","",IFERROR(INDEX(cat_ModG,MATCH(I1745,cat_ModO,0)),"No"))</f>
        <v>Sí</v>
      </c>
      <c r="V1745" s="34" t="str">
        <f aca="false">IF(J1745="","SIN DATO",IFERROR(INDEX(cat_FunN,MATCH(J1745,cat_FunO,0)),J1745))</f>
        <v>Protección y medición</v>
      </c>
      <c r="W1745" s="34" t="str">
        <f aca="false">IF(OR(S1745="SIN DATO",T1745="SIN DATO"),"No","Sí")</f>
        <v>Sí</v>
      </c>
    </row>
    <row r="1746" customFormat="false" ht="15" hidden="false" customHeight="false" outlineLevel="0" collapsed="false">
      <c r="A1746" s="34" t="s">
        <v>6358</v>
      </c>
      <c r="B1746" s="34" t="s">
        <v>6359</v>
      </c>
      <c r="C1746" s="34" t="s">
        <v>6360</v>
      </c>
      <c r="D1746" s="34" t="s">
        <v>6361</v>
      </c>
      <c r="E1746" s="34" t="s">
        <v>134</v>
      </c>
      <c r="F1746" s="34" t="s">
        <v>6349</v>
      </c>
      <c r="G1746" s="34" t="s">
        <v>2983</v>
      </c>
      <c r="H1746" s="34" t="s">
        <v>34</v>
      </c>
      <c r="I1746" s="34" t="s">
        <v>44</v>
      </c>
      <c r="J1746" s="34" t="s">
        <v>228</v>
      </c>
      <c r="K1746" s="34" t="s">
        <v>229</v>
      </c>
      <c r="L1746" s="34" t="s">
        <v>230</v>
      </c>
      <c r="M1746" s="34" t="s">
        <v>231</v>
      </c>
      <c r="N1746" s="34" t="str">
        <f aca="false">"Sector "&amp;VALUE(MID(D1746,13,2))</f>
        <v>Sector 5</v>
      </c>
      <c r="O1746" s="34" t="str">
        <f aca="false">IF(Dashboard!$C$5="Ubicación técnica",N1746,"Sector "&amp;VALUE(RIGHT(G1746,2)))</f>
        <v>Sector 5</v>
      </c>
      <c r="P1746" s="34" t="str">
        <f aca="false">IF(MID(D1746,15,3)="SEL","Subestación eléctrica","Área de proceso")</f>
        <v>Área de proceso</v>
      </c>
      <c r="Q1746" s="34" t="str">
        <f aca="false">MID(D1746,13,5)&amp;"|"&amp;MID(D1746,19,5)</f>
        <v>05ISA|SCOMP</v>
      </c>
      <c r="R1746" s="34" t="str">
        <f aca="false">IF(P1746="Subestación eléctrica",IFERROR(INDEX(cat_SubN,MATCH(Q1746,cat_SubK,0)),"SIN CATALOGAR"),"ÁREA DE PROCESO")</f>
        <v>ÁREA DE PROCESO</v>
      </c>
      <c r="S1746" s="34" t="str">
        <f aca="false">IF(H1746="","SIN DATO",IFERROR(INDEX(cat_MarcaN,MATCH(H1746,cat_MarcaO,0)),H1746))</f>
        <v>ABB</v>
      </c>
      <c r="T1746" s="34" t="str">
        <f aca="false">IF(I1746="","SIN DATO",IFERROR(INDEX(cat_ModN,MATCH(I1746,cat_ModO,0)),I1746))</f>
        <v>REM</v>
      </c>
      <c r="U1746" s="34" t="str">
        <f aca="false">IF(I1746="","",IFERROR(INDEX(cat_ModG,MATCH(I1746,cat_ModO,0)),"No"))</f>
        <v>Sí</v>
      </c>
      <c r="V1746" s="34" t="str">
        <f aca="false">IF(J1746="","SIN DATO",IFERROR(INDEX(cat_FunN,MATCH(J1746,cat_FunO,0)),J1746))</f>
        <v>Protección y medición</v>
      </c>
      <c r="W1746" s="34" t="str">
        <f aca="false">IF(OR(S1746="SIN DATO",T1746="SIN DATO"),"No","Sí")</f>
        <v>Sí</v>
      </c>
    </row>
    <row r="1747" customFormat="false" ht="15" hidden="false" customHeight="false" outlineLevel="0" collapsed="false">
      <c r="A1747" s="34" t="s">
        <v>6362</v>
      </c>
      <c r="B1747" s="34" t="s">
        <v>6363</v>
      </c>
      <c r="C1747" s="34" t="s">
        <v>6364</v>
      </c>
      <c r="D1747" s="34" t="s">
        <v>6365</v>
      </c>
      <c r="E1747" s="34" t="s">
        <v>134</v>
      </c>
      <c r="F1747" s="34" t="s">
        <v>6349</v>
      </c>
      <c r="G1747" s="34" t="s">
        <v>2983</v>
      </c>
      <c r="H1747" s="34" t="s">
        <v>34</v>
      </c>
      <c r="I1747" s="34" t="s">
        <v>44</v>
      </c>
      <c r="J1747" s="34" t="s">
        <v>228</v>
      </c>
      <c r="K1747" s="34" t="s">
        <v>229</v>
      </c>
      <c r="L1747" s="34" t="s">
        <v>230</v>
      </c>
      <c r="M1747" s="34" t="s">
        <v>231</v>
      </c>
      <c r="N1747" s="34" t="str">
        <f aca="false">"Sector "&amp;VALUE(MID(D1747,13,2))</f>
        <v>Sector 5</v>
      </c>
      <c r="O1747" s="34" t="str">
        <f aca="false">IF(Dashboard!$C$5="Ubicación técnica",N1747,"Sector "&amp;VALUE(RIGHT(G1747,2)))</f>
        <v>Sector 5</v>
      </c>
      <c r="P1747" s="34" t="str">
        <f aca="false">IF(MID(D1747,15,3)="SEL","Subestación eléctrica","Área de proceso")</f>
        <v>Área de proceso</v>
      </c>
      <c r="Q1747" s="34" t="str">
        <f aca="false">MID(D1747,13,5)&amp;"|"&amp;MID(D1747,19,5)</f>
        <v>05ISA|SDIHX</v>
      </c>
      <c r="R1747" s="34" t="str">
        <f aca="false">IF(P1747="Subestación eléctrica",IFERROR(INDEX(cat_SubN,MATCH(Q1747,cat_SubK,0)),"SIN CATALOGAR"),"ÁREA DE PROCESO")</f>
        <v>ÁREA DE PROCESO</v>
      </c>
      <c r="S1747" s="34" t="str">
        <f aca="false">IF(H1747="","SIN DATO",IFERROR(INDEX(cat_MarcaN,MATCH(H1747,cat_MarcaO,0)),H1747))</f>
        <v>ABB</v>
      </c>
      <c r="T1747" s="34" t="str">
        <f aca="false">IF(I1747="","SIN DATO",IFERROR(INDEX(cat_ModN,MATCH(I1747,cat_ModO,0)),I1747))</f>
        <v>REM</v>
      </c>
      <c r="U1747" s="34" t="str">
        <f aca="false">IF(I1747="","",IFERROR(INDEX(cat_ModG,MATCH(I1747,cat_ModO,0)),"No"))</f>
        <v>Sí</v>
      </c>
      <c r="V1747" s="34" t="str">
        <f aca="false">IF(J1747="","SIN DATO",IFERROR(INDEX(cat_FunN,MATCH(J1747,cat_FunO,0)),J1747))</f>
        <v>Protección y medición</v>
      </c>
      <c r="W1747" s="34" t="str">
        <f aca="false">IF(OR(S1747="SIN DATO",T1747="SIN DATO"),"No","Sí")</f>
        <v>Sí</v>
      </c>
    </row>
    <row r="1748" customFormat="false" ht="15" hidden="false" customHeight="false" outlineLevel="0" collapsed="false">
      <c r="A1748" s="34" t="s">
        <v>6366</v>
      </c>
      <c r="B1748" s="34" t="s">
        <v>6367</v>
      </c>
      <c r="C1748" s="34" t="s">
        <v>6368</v>
      </c>
      <c r="D1748" s="34" t="s">
        <v>6369</v>
      </c>
      <c r="E1748" s="34" t="s">
        <v>134</v>
      </c>
      <c r="F1748" s="34" t="s">
        <v>6349</v>
      </c>
      <c r="G1748" s="34" t="s">
        <v>2983</v>
      </c>
      <c r="H1748" s="34" t="s">
        <v>34</v>
      </c>
      <c r="I1748" s="34" t="s">
        <v>44</v>
      </c>
      <c r="J1748" s="34" t="s">
        <v>228</v>
      </c>
      <c r="K1748" s="34" t="s">
        <v>229</v>
      </c>
      <c r="L1748" s="34" t="s">
        <v>6370</v>
      </c>
      <c r="M1748" s="34" t="s">
        <v>231</v>
      </c>
      <c r="N1748" s="34" t="str">
        <f aca="false">"Sector "&amp;VALUE(MID(D1748,13,2))</f>
        <v>Sector 5</v>
      </c>
      <c r="O1748" s="34" t="str">
        <f aca="false">IF(Dashboard!$C$5="Ubicación técnica",N1748,"Sector "&amp;VALUE(RIGHT(G1748,2)))</f>
        <v>Sector 5</v>
      </c>
      <c r="P1748" s="34" t="str">
        <f aca="false">IF(MID(D1748,15,3)="SEL","Subestación eléctrica","Área de proceso")</f>
        <v>Área de proceso</v>
      </c>
      <c r="Q1748" s="34" t="str">
        <f aca="false">MID(D1748,13,5)&amp;"|"&amp;MID(D1748,19,5)</f>
        <v>05ISA|SDIHX</v>
      </c>
      <c r="R1748" s="34" t="str">
        <f aca="false">IF(P1748="Subestación eléctrica",IFERROR(INDEX(cat_SubN,MATCH(Q1748,cat_SubK,0)),"SIN CATALOGAR"),"ÁREA DE PROCESO")</f>
        <v>ÁREA DE PROCESO</v>
      </c>
      <c r="S1748" s="34" t="str">
        <f aca="false">IF(H1748="","SIN DATO",IFERROR(INDEX(cat_MarcaN,MATCH(H1748,cat_MarcaO,0)),H1748))</f>
        <v>ABB</v>
      </c>
      <c r="T1748" s="34" t="str">
        <f aca="false">IF(I1748="","SIN DATO",IFERROR(INDEX(cat_ModN,MATCH(I1748,cat_ModO,0)),I1748))</f>
        <v>REM</v>
      </c>
      <c r="U1748" s="34" t="str">
        <f aca="false">IF(I1748="","",IFERROR(INDEX(cat_ModG,MATCH(I1748,cat_ModO,0)),"No"))</f>
        <v>Sí</v>
      </c>
      <c r="V1748" s="34" t="str">
        <f aca="false">IF(J1748="","SIN DATO",IFERROR(INDEX(cat_FunN,MATCH(J1748,cat_FunO,0)),J1748))</f>
        <v>Protección y medición</v>
      </c>
      <c r="W1748" s="34" t="str">
        <f aca="false">IF(OR(S1748="SIN DATO",T1748="SIN DATO"),"No","Sí")</f>
        <v>Sí</v>
      </c>
    </row>
    <row r="1749" customFormat="false" ht="15" hidden="false" customHeight="false" outlineLevel="0" collapsed="false">
      <c r="A1749" s="34" t="s">
        <v>6371</v>
      </c>
      <c r="B1749" s="34" t="s">
        <v>6372</v>
      </c>
      <c r="C1749" s="34" t="s">
        <v>6373</v>
      </c>
      <c r="D1749" s="34" t="s">
        <v>6374</v>
      </c>
      <c r="E1749" s="34" t="s">
        <v>111</v>
      </c>
      <c r="F1749" s="34" t="s">
        <v>6375</v>
      </c>
      <c r="G1749" s="34" t="s">
        <v>2431</v>
      </c>
      <c r="H1749" s="34" t="s">
        <v>34</v>
      </c>
      <c r="I1749" s="34" t="s">
        <v>36</v>
      </c>
      <c r="J1749" s="34" t="s">
        <v>681</v>
      </c>
      <c r="K1749" s="34" t="s">
        <v>229</v>
      </c>
      <c r="L1749" s="34" t="s">
        <v>230</v>
      </c>
      <c r="M1749" s="34" t="s">
        <v>682</v>
      </c>
      <c r="N1749" s="34" t="str">
        <f aca="false">"Sector "&amp;VALUE(MID(D1749,13,2))</f>
        <v>Sector 1</v>
      </c>
      <c r="O1749" s="34" t="str">
        <f aca="false">IF(Dashboard!$C$5="Ubicación técnica",N1749,"Sector "&amp;VALUE(RIGHT(G1749,2)))</f>
        <v>Sector 1</v>
      </c>
      <c r="P1749" s="34" t="str">
        <f aca="false">IF(MID(D1749,15,3)="SEL","Subestación eléctrica","Área de proceso")</f>
        <v>Área de proceso</v>
      </c>
      <c r="Q1749" s="34" t="str">
        <f aca="false">MID(D1749,13,5)&amp;"|"&amp;MID(D1749,19,5)</f>
        <v>01PRA|SATMO</v>
      </c>
      <c r="R1749" s="34" t="str">
        <f aca="false">IF(P1749="Subestación eléctrica",IFERROR(INDEX(cat_SubN,MATCH(Q1749,cat_SubK,0)),"SIN CATALOGAR"),"ÁREA DE PROCESO")</f>
        <v>ÁREA DE PROCESO</v>
      </c>
      <c r="S1749" s="34" t="str">
        <f aca="false">IF(H1749="","SIN DATO",IFERROR(INDEX(cat_MarcaN,MATCH(H1749,cat_MarcaO,0)),H1749))</f>
        <v>ABB</v>
      </c>
      <c r="T1749" s="34" t="str">
        <f aca="false">IF(I1749="","SIN DATO",IFERROR(INDEX(cat_ModN,MATCH(I1749,cat_ModO,0)),I1749))</f>
        <v>1AFFAEAGNEC5BNA11G</v>
      </c>
      <c r="U1749" s="34" t="str">
        <f aca="false">IF(I1749="","",IFERROR(INDEX(cat_ModG,MATCH(I1749,cat_ModO,0)),"No"))</f>
        <v>No</v>
      </c>
      <c r="V1749" s="34" t="str">
        <f aca="false">IF(J1749="","SIN DATO",IFERROR(INDEX(cat_FunN,MATCH(J1749,cat_FunO,0)),J1749))</f>
        <v>Protección</v>
      </c>
      <c r="W1749" s="34" t="str">
        <f aca="false">IF(OR(S1749="SIN DATO",T1749="SIN DATO"),"No","Sí")</f>
        <v>Sí</v>
      </c>
    </row>
    <row r="1750" customFormat="false" ht="15" hidden="false" customHeight="false" outlineLevel="0" collapsed="false">
      <c r="A1750" s="34" t="s">
        <v>6376</v>
      </c>
      <c r="B1750" s="34" t="s">
        <v>6377</v>
      </c>
      <c r="C1750" s="34" t="s">
        <v>6378</v>
      </c>
      <c r="D1750" s="34" t="s">
        <v>6374</v>
      </c>
      <c r="E1750" s="34" t="s">
        <v>111</v>
      </c>
      <c r="F1750" s="34" t="s">
        <v>6375</v>
      </c>
      <c r="G1750" s="34" t="s">
        <v>2431</v>
      </c>
      <c r="H1750" s="34" t="s">
        <v>34</v>
      </c>
      <c r="I1750" s="34" t="s">
        <v>36</v>
      </c>
      <c r="J1750" s="34" t="s">
        <v>681</v>
      </c>
      <c r="K1750" s="34" t="s">
        <v>229</v>
      </c>
      <c r="L1750" s="34" t="s">
        <v>230</v>
      </c>
      <c r="M1750" s="34" t="s">
        <v>682</v>
      </c>
      <c r="N1750" s="34" t="str">
        <f aca="false">"Sector "&amp;VALUE(MID(D1750,13,2))</f>
        <v>Sector 1</v>
      </c>
      <c r="O1750" s="34" t="str">
        <f aca="false">IF(Dashboard!$C$5="Ubicación técnica",N1750,"Sector "&amp;VALUE(RIGHT(G1750,2)))</f>
        <v>Sector 1</v>
      </c>
      <c r="P1750" s="34" t="str">
        <f aca="false">IF(MID(D1750,15,3)="SEL","Subestación eléctrica","Área de proceso")</f>
        <v>Área de proceso</v>
      </c>
      <c r="Q1750" s="34" t="str">
        <f aca="false">MID(D1750,13,5)&amp;"|"&amp;MID(D1750,19,5)</f>
        <v>01PRA|SATMO</v>
      </c>
      <c r="R1750" s="34" t="str">
        <f aca="false">IF(P1750="Subestación eléctrica",IFERROR(INDEX(cat_SubN,MATCH(Q1750,cat_SubK,0)),"SIN CATALOGAR"),"ÁREA DE PROCESO")</f>
        <v>ÁREA DE PROCESO</v>
      </c>
      <c r="S1750" s="34" t="str">
        <f aca="false">IF(H1750="","SIN DATO",IFERROR(INDEX(cat_MarcaN,MATCH(H1750,cat_MarcaO,0)),H1750))</f>
        <v>ABB</v>
      </c>
      <c r="T1750" s="34" t="str">
        <f aca="false">IF(I1750="","SIN DATO",IFERROR(INDEX(cat_ModN,MATCH(I1750,cat_ModO,0)),I1750))</f>
        <v>1AFFAEAGNEC5BNA11G</v>
      </c>
      <c r="U1750" s="34" t="str">
        <f aca="false">IF(I1750="","",IFERROR(INDEX(cat_ModG,MATCH(I1750,cat_ModO,0)),"No"))</f>
        <v>No</v>
      </c>
      <c r="V1750" s="34" t="str">
        <f aca="false">IF(J1750="","SIN DATO",IFERROR(INDEX(cat_FunN,MATCH(J1750,cat_FunO,0)),J1750))</f>
        <v>Protección</v>
      </c>
      <c r="W1750" s="34" t="str">
        <f aca="false">IF(OR(S1750="SIN DATO",T1750="SIN DATO"),"No","Sí")</f>
        <v>Sí</v>
      </c>
    </row>
    <row r="1751" customFormat="false" ht="15" hidden="false" customHeight="false" outlineLevel="0" collapsed="false">
      <c r="A1751" s="34" t="s">
        <v>6379</v>
      </c>
      <c r="B1751" s="34" t="s">
        <v>6380</v>
      </c>
      <c r="C1751" s="34" t="s">
        <v>6381</v>
      </c>
      <c r="D1751" s="34" t="s">
        <v>6382</v>
      </c>
      <c r="E1751" s="34" t="s">
        <v>111</v>
      </c>
      <c r="F1751" s="34" t="s">
        <v>6375</v>
      </c>
      <c r="G1751" s="34" t="s">
        <v>2431</v>
      </c>
      <c r="H1751" s="34" t="s">
        <v>34</v>
      </c>
      <c r="I1751" s="34" t="s">
        <v>38</v>
      </c>
      <c r="J1751" s="34" t="s">
        <v>228</v>
      </c>
      <c r="K1751" s="34" t="s">
        <v>229</v>
      </c>
      <c r="L1751" s="34" t="s">
        <v>230</v>
      </c>
      <c r="M1751" s="34" t="s">
        <v>231</v>
      </c>
      <c r="N1751" s="34" t="str">
        <f aca="false">"Sector "&amp;VALUE(MID(D1751,13,2))</f>
        <v>Sector 1</v>
      </c>
      <c r="O1751" s="34" t="str">
        <f aca="false">IF(Dashboard!$C$5="Ubicación técnica",N1751,"Sector "&amp;VALUE(RIGHT(G1751,2)))</f>
        <v>Sector 1</v>
      </c>
      <c r="P1751" s="34" t="str">
        <f aca="false">IF(MID(D1751,15,3)="SEL","Subestación eléctrica","Área de proceso")</f>
        <v>Área de proceso</v>
      </c>
      <c r="Q1751" s="34" t="str">
        <f aca="false">MID(D1751,13,5)&amp;"|"&amp;MID(D1751,19,5)</f>
        <v>01PRA|SATMO</v>
      </c>
      <c r="R1751" s="34" t="str">
        <f aca="false">IF(P1751="Subestación eléctrica",IFERROR(INDEX(cat_SubN,MATCH(Q1751,cat_SubK,0)),"SIN CATALOGAR"),"ÁREA DE PROCESO")</f>
        <v>ÁREA DE PROCESO</v>
      </c>
      <c r="S1751" s="34" t="str">
        <f aca="false">IF(H1751="","SIN DATO",IFERROR(INDEX(cat_MarcaN,MATCH(H1751,cat_MarcaO,0)),H1751))</f>
        <v>ABB</v>
      </c>
      <c r="T1751" s="34" t="str">
        <f aca="false">IF(I1751="","SIN DATO",IFERROR(INDEX(cat_ModN,MATCH(I1751,cat_ModO,0)),I1751))</f>
        <v>1AMEBCADNEC5BNN11G</v>
      </c>
      <c r="U1751" s="34" t="str">
        <f aca="false">IF(I1751="","",IFERROR(INDEX(cat_ModG,MATCH(I1751,cat_ModO,0)),"No"))</f>
        <v>No</v>
      </c>
      <c r="V1751" s="34" t="str">
        <f aca="false">IF(J1751="","SIN DATO",IFERROR(INDEX(cat_FunN,MATCH(J1751,cat_FunO,0)),J1751))</f>
        <v>Protección y medición</v>
      </c>
      <c r="W1751" s="34" t="str">
        <f aca="false">IF(OR(S1751="SIN DATO",T1751="SIN DATO"),"No","Sí")</f>
        <v>Sí</v>
      </c>
    </row>
    <row r="1752" customFormat="false" ht="15" hidden="false" customHeight="false" outlineLevel="0" collapsed="false">
      <c r="A1752" s="34" t="s">
        <v>6383</v>
      </c>
      <c r="B1752" s="34" t="s">
        <v>6384</v>
      </c>
      <c r="C1752" s="34" t="s">
        <v>6385</v>
      </c>
      <c r="D1752" s="34" t="s">
        <v>6382</v>
      </c>
      <c r="E1752" s="34" t="s">
        <v>111</v>
      </c>
      <c r="F1752" s="34" t="s">
        <v>6375</v>
      </c>
      <c r="G1752" s="34" t="s">
        <v>2431</v>
      </c>
      <c r="H1752" s="34" t="s">
        <v>34</v>
      </c>
      <c r="I1752" s="34" t="s">
        <v>36</v>
      </c>
      <c r="J1752" s="34" t="s">
        <v>681</v>
      </c>
      <c r="K1752" s="34" t="s">
        <v>229</v>
      </c>
      <c r="L1752" s="34" t="s">
        <v>230</v>
      </c>
      <c r="M1752" s="34" t="s">
        <v>682</v>
      </c>
      <c r="N1752" s="34" t="str">
        <f aca="false">"Sector "&amp;VALUE(MID(D1752,13,2))</f>
        <v>Sector 1</v>
      </c>
      <c r="O1752" s="34" t="str">
        <f aca="false">IF(Dashboard!$C$5="Ubicación técnica",N1752,"Sector "&amp;VALUE(RIGHT(G1752,2)))</f>
        <v>Sector 1</v>
      </c>
      <c r="P1752" s="34" t="str">
        <f aca="false">IF(MID(D1752,15,3)="SEL","Subestación eléctrica","Área de proceso")</f>
        <v>Área de proceso</v>
      </c>
      <c r="Q1752" s="34" t="str">
        <f aca="false">MID(D1752,13,5)&amp;"|"&amp;MID(D1752,19,5)</f>
        <v>01PRA|SATMO</v>
      </c>
      <c r="R1752" s="34" t="str">
        <f aca="false">IF(P1752="Subestación eléctrica",IFERROR(INDEX(cat_SubN,MATCH(Q1752,cat_SubK,0)),"SIN CATALOGAR"),"ÁREA DE PROCESO")</f>
        <v>ÁREA DE PROCESO</v>
      </c>
      <c r="S1752" s="34" t="str">
        <f aca="false">IF(H1752="","SIN DATO",IFERROR(INDEX(cat_MarcaN,MATCH(H1752,cat_MarcaO,0)),H1752))</f>
        <v>ABB</v>
      </c>
      <c r="T1752" s="34" t="str">
        <f aca="false">IF(I1752="","SIN DATO",IFERROR(INDEX(cat_ModN,MATCH(I1752,cat_ModO,0)),I1752))</f>
        <v>1AFFAEAGNEC5BNA11G</v>
      </c>
      <c r="U1752" s="34" t="str">
        <f aca="false">IF(I1752="","",IFERROR(INDEX(cat_ModG,MATCH(I1752,cat_ModO,0)),"No"))</f>
        <v>No</v>
      </c>
      <c r="V1752" s="34" t="str">
        <f aca="false">IF(J1752="","SIN DATO",IFERROR(INDEX(cat_FunN,MATCH(J1752,cat_FunO,0)),J1752))</f>
        <v>Protección</v>
      </c>
      <c r="W1752" s="34" t="str">
        <f aca="false">IF(OR(S1752="SIN DATO",T1752="SIN DATO"),"No","Sí")</f>
        <v>Sí</v>
      </c>
    </row>
    <row r="1753" customFormat="false" ht="15" hidden="false" customHeight="false" outlineLevel="0" collapsed="false">
      <c r="A1753" s="34" t="s">
        <v>6386</v>
      </c>
      <c r="B1753" s="34" t="s">
        <v>6387</v>
      </c>
      <c r="C1753" s="34" t="s">
        <v>6388</v>
      </c>
      <c r="D1753" s="34" t="s">
        <v>6389</v>
      </c>
      <c r="E1753" s="34" t="s">
        <v>111</v>
      </c>
      <c r="F1753" s="34" t="s">
        <v>6375</v>
      </c>
      <c r="G1753" s="34" t="s">
        <v>2431</v>
      </c>
      <c r="H1753" s="34" t="s">
        <v>34</v>
      </c>
      <c r="I1753" s="34" t="s">
        <v>38</v>
      </c>
      <c r="J1753" s="34" t="s">
        <v>228</v>
      </c>
      <c r="K1753" s="34" t="s">
        <v>229</v>
      </c>
      <c r="L1753" s="34" t="s">
        <v>230</v>
      </c>
      <c r="M1753" s="34" t="s">
        <v>231</v>
      </c>
      <c r="N1753" s="34" t="str">
        <f aca="false">"Sector "&amp;VALUE(MID(D1753,13,2))</f>
        <v>Sector 1</v>
      </c>
      <c r="O1753" s="34" t="str">
        <f aca="false">IF(Dashboard!$C$5="Ubicación técnica",N1753,"Sector "&amp;VALUE(RIGHT(G1753,2)))</f>
        <v>Sector 1</v>
      </c>
      <c r="P1753" s="34" t="str">
        <f aca="false">IF(MID(D1753,15,3)="SEL","Subestación eléctrica","Área de proceso")</f>
        <v>Área de proceso</v>
      </c>
      <c r="Q1753" s="34" t="str">
        <f aca="false">MID(D1753,13,5)&amp;"|"&amp;MID(D1753,19,5)</f>
        <v>01PRA|SATMO</v>
      </c>
      <c r="R1753" s="34" t="str">
        <f aca="false">IF(P1753="Subestación eléctrica",IFERROR(INDEX(cat_SubN,MATCH(Q1753,cat_SubK,0)),"SIN CATALOGAR"),"ÁREA DE PROCESO")</f>
        <v>ÁREA DE PROCESO</v>
      </c>
      <c r="S1753" s="34" t="str">
        <f aca="false">IF(H1753="","SIN DATO",IFERROR(INDEX(cat_MarcaN,MATCH(H1753,cat_MarcaO,0)),H1753))</f>
        <v>ABB</v>
      </c>
      <c r="T1753" s="34" t="str">
        <f aca="false">IF(I1753="","SIN DATO",IFERROR(INDEX(cat_ModN,MATCH(I1753,cat_ModO,0)),I1753))</f>
        <v>1AMEBCADNEC5BNN11G</v>
      </c>
      <c r="U1753" s="34" t="str">
        <f aca="false">IF(I1753="","",IFERROR(INDEX(cat_ModG,MATCH(I1753,cat_ModO,0)),"No"))</f>
        <v>No</v>
      </c>
      <c r="V1753" s="34" t="str">
        <f aca="false">IF(J1753="","SIN DATO",IFERROR(INDEX(cat_FunN,MATCH(J1753,cat_FunO,0)),J1753))</f>
        <v>Protección y medición</v>
      </c>
      <c r="W1753" s="34" t="str">
        <f aca="false">IF(OR(S1753="SIN DATO",T1753="SIN DATO"),"No","Sí")</f>
        <v>Sí</v>
      </c>
    </row>
    <row r="1754" customFormat="false" ht="15" hidden="false" customHeight="false" outlineLevel="0" collapsed="false">
      <c r="A1754" s="34" t="s">
        <v>6390</v>
      </c>
      <c r="B1754" s="34" t="s">
        <v>6391</v>
      </c>
      <c r="C1754" s="34" t="s">
        <v>6392</v>
      </c>
      <c r="D1754" s="34" t="s">
        <v>6389</v>
      </c>
      <c r="E1754" s="34" t="s">
        <v>111</v>
      </c>
      <c r="F1754" s="34" t="s">
        <v>6375</v>
      </c>
      <c r="G1754" s="34" t="s">
        <v>2431</v>
      </c>
      <c r="H1754" s="34" t="s">
        <v>34</v>
      </c>
      <c r="I1754" s="34" t="s">
        <v>36</v>
      </c>
      <c r="J1754" s="34" t="s">
        <v>681</v>
      </c>
      <c r="K1754" s="34" t="s">
        <v>229</v>
      </c>
      <c r="L1754" s="34" t="s">
        <v>230</v>
      </c>
      <c r="M1754" s="34" t="s">
        <v>682</v>
      </c>
      <c r="N1754" s="34" t="str">
        <f aca="false">"Sector "&amp;VALUE(MID(D1754,13,2))</f>
        <v>Sector 1</v>
      </c>
      <c r="O1754" s="34" t="str">
        <f aca="false">IF(Dashboard!$C$5="Ubicación técnica",N1754,"Sector "&amp;VALUE(RIGHT(G1754,2)))</f>
        <v>Sector 1</v>
      </c>
      <c r="P1754" s="34" t="str">
        <f aca="false">IF(MID(D1754,15,3)="SEL","Subestación eléctrica","Área de proceso")</f>
        <v>Área de proceso</v>
      </c>
      <c r="Q1754" s="34" t="str">
        <f aca="false">MID(D1754,13,5)&amp;"|"&amp;MID(D1754,19,5)</f>
        <v>01PRA|SATMO</v>
      </c>
      <c r="R1754" s="34" t="str">
        <f aca="false">IF(P1754="Subestación eléctrica",IFERROR(INDEX(cat_SubN,MATCH(Q1754,cat_SubK,0)),"SIN CATALOGAR"),"ÁREA DE PROCESO")</f>
        <v>ÁREA DE PROCESO</v>
      </c>
      <c r="S1754" s="34" t="str">
        <f aca="false">IF(H1754="","SIN DATO",IFERROR(INDEX(cat_MarcaN,MATCH(H1754,cat_MarcaO,0)),H1754))</f>
        <v>ABB</v>
      </c>
      <c r="T1754" s="34" t="str">
        <f aca="false">IF(I1754="","SIN DATO",IFERROR(INDEX(cat_ModN,MATCH(I1754,cat_ModO,0)),I1754))</f>
        <v>1AFFAEAGNEC5BNA11G</v>
      </c>
      <c r="U1754" s="34" t="str">
        <f aca="false">IF(I1754="","",IFERROR(INDEX(cat_ModG,MATCH(I1754,cat_ModO,0)),"No"))</f>
        <v>No</v>
      </c>
      <c r="V1754" s="34" t="str">
        <f aca="false">IF(J1754="","SIN DATO",IFERROR(INDEX(cat_FunN,MATCH(J1754,cat_FunO,0)),J1754))</f>
        <v>Protección</v>
      </c>
      <c r="W1754" s="34" t="str">
        <f aca="false">IF(OR(S1754="SIN DATO",T1754="SIN DATO"),"No","Sí")</f>
        <v>Sí</v>
      </c>
    </row>
    <row r="1755" customFormat="false" ht="15" hidden="false" customHeight="false" outlineLevel="0" collapsed="false">
      <c r="A1755" s="34" t="s">
        <v>6393</v>
      </c>
      <c r="B1755" s="34" t="s">
        <v>6394</v>
      </c>
      <c r="C1755" s="34" t="s">
        <v>6395</v>
      </c>
      <c r="D1755" s="34" t="s">
        <v>6396</v>
      </c>
      <c r="E1755" s="34" t="s">
        <v>111</v>
      </c>
      <c r="F1755" s="34" t="s">
        <v>6375</v>
      </c>
      <c r="G1755" s="34" t="s">
        <v>2431</v>
      </c>
      <c r="H1755" s="34" t="s">
        <v>34</v>
      </c>
      <c r="I1755" s="34" t="s">
        <v>38</v>
      </c>
      <c r="J1755" s="34" t="s">
        <v>228</v>
      </c>
      <c r="K1755" s="34" t="s">
        <v>229</v>
      </c>
      <c r="L1755" s="34" t="s">
        <v>230</v>
      </c>
      <c r="M1755" s="34" t="s">
        <v>231</v>
      </c>
      <c r="N1755" s="34" t="str">
        <f aca="false">"Sector "&amp;VALUE(MID(D1755,13,2))</f>
        <v>Sector 1</v>
      </c>
      <c r="O1755" s="34" t="str">
        <f aca="false">IF(Dashboard!$C$5="Ubicación técnica",N1755,"Sector "&amp;VALUE(RIGHT(G1755,2)))</f>
        <v>Sector 1</v>
      </c>
      <c r="P1755" s="34" t="str">
        <f aca="false">IF(MID(D1755,15,3)="SEL","Subestación eléctrica","Área de proceso")</f>
        <v>Área de proceso</v>
      </c>
      <c r="Q1755" s="34" t="str">
        <f aca="false">MID(D1755,13,5)&amp;"|"&amp;MID(D1755,19,5)</f>
        <v>01PRA|SATMO</v>
      </c>
      <c r="R1755" s="34" t="str">
        <f aca="false">IF(P1755="Subestación eléctrica",IFERROR(INDEX(cat_SubN,MATCH(Q1755,cat_SubK,0)),"SIN CATALOGAR"),"ÁREA DE PROCESO")</f>
        <v>ÁREA DE PROCESO</v>
      </c>
      <c r="S1755" s="34" t="str">
        <f aca="false">IF(H1755="","SIN DATO",IFERROR(INDEX(cat_MarcaN,MATCH(H1755,cat_MarcaO,0)),H1755))</f>
        <v>ABB</v>
      </c>
      <c r="T1755" s="34" t="str">
        <f aca="false">IF(I1755="","SIN DATO",IFERROR(INDEX(cat_ModN,MATCH(I1755,cat_ModO,0)),I1755))</f>
        <v>1AMEBCADNEC5BNN11G</v>
      </c>
      <c r="U1755" s="34" t="str">
        <f aca="false">IF(I1755="","",IFERROR(INDEX(cat_ModG,MATCH(I1755,cat_ModO,0)),"No"))</f>
        <v>No</v>
      </c>
      <c r="V1755" s="34" t="str">
        <f aca="false">IF(J1755="","SIN DATO",IFERROR(INDEX(cat_FunN,MATCH(J1755,cat_FunO,0)),J1755))</f>
        <v>Protección y medición</v>
      </c>
      <c r="W1755" s="34" t="str">
        <f aca="false">IF(OR(S1755="SIN DATO",T1755="SIN DATO"),"No","Sí")</f>
        <v>Sí</v>
      </c>
    </row>
    <row r="1756" customFormat="false" ht="15" hidden="false" customHeight="false" outlineLevel="0" collapsed="false">
      <c r="A1756" s="34" t="s">
        <v>6397</v>
      </c>
      <c r="B1756" s="34" t="s">
        <v>6398</v>
      </c>
      <c r="C1756" s="34" t="s">
        <v>6399</v>
      </c>
      <c r="D1756" s="34" t="s">
        <v>6396</v>
      </c>
      <c r="E1756" s="34" t="s">
        <v>111</v>
      </c>
      <c r="F1756" s="34" t="s">
        <v>6375</v>
      </c>
      <c r="G1756" s="34" t="s">
        <v>2431</v>
      </c>
      <c r="H1756" s="34" t="s">
        <v>34</v>
      </c>
      <c r="I1756" s="34" t="s">
        <v>36</v>
      </c>
      <c r="J1756" s="34" t="s">
        <v>681</v>
      </c>
      <c r="K1756" s="34" t="s">
        <v>229</v>
      </c>
      <c r="L1756" s="34" t="s">
        <v>230</v>
      </c>
      <c r="M1756" s="34" t="s">
        <v>682</v>
      </c>
      <c r="N1756" s="34" t="str">
        <f aca="false">"Sector "&amp;VALUE(MID(D1756,13,2))</f>
        <v>Sector 1</v>
      </c>
      <c r="O1756" s="34" t="str">
        <f aca="false">IF(Dashboard!$C$5="Ubicación técnica",N1756,"Sector "&amp;VALUE(RIGHT(G1756,2)))</f>
        <v>Sector 1</v>
      </c>
      <c r="P1756" s="34" t="str">
        <f aca="false">IF(MID(D1756,15,3)="SEL","Subestación eléctrica","Área de proceso")</f>
        <v>Área de proceso</v>
      </c>
      <c r="Q1756" s="34" t="str">
        <f aca="false">MID(D1756,13,5)&amp;"|"&amp;MID(D1756,19,5)</f>
        <v>01PRA|SATMO</v>
      </c>
      <c r="R1756" s="34" t="str">
        <f aca="false">IF(P1756="Subestación eléctrica",IFERROR(INDEX(cat_SubN,MATCH(Q1756,cat_SubK,0)),"SIN CATALOGAR"),"ÁREA DE PROCESO")</f>
        <v>ÁREA DE PROCESO</v>
      </c>
      <c r="S1756" s="34" t="str">
        <f aca="false">IF(H1756="","SIN DATO",IFERROR(INDEX(cat_MarcaN,MATCH(H1756,cat_MarcaO,0)),H1756))</f>
        <v>ABB</v>
      </c>
      <c r="T1756" s="34" t="str">
        <f aca="false">IF(I1756="","SIN DATO",IFERROR(INDEX(cat_ModN,MATCH(I1756,cat_ModO,0)),I1756))</f>
        <v>1AFFAEAGNEC5BNA11G</v>
      </c>
      <c r="U1756" s="34" t="str">
        <f aca="false">IF(I1756="","",IFERROR(INDEX(cat_ModG,MATCH(I1756,cat_ModO,0)),"No"))</f>
        <v>No</v>
      </c>
      <c r="V1756" s="34" t="str">
        <f aca="false">IF(J1756="","SIN DATO",IFERROR(INDEX(cat_FunN,MATCH(J1756,cat_FunO,0)),J1756))</f>
        <v>Protección</v>
      </c>
      <c r="W1756" s="34" t="str">
        <f aca="false">IF(OR(S1756="SIN DATO",T1756="SIN DATO"),"No","Sí")</f>
        <v>Sí</v>
      </c>
    </row>
    <row r="1757" customFormat="false" ht="15" hidden="false" customHeight="false" outlineLevel="0" collapsed="false">
      <c r="A1757" s="34" t="s">
        <v>6400</v>
      </c>
      <c r="B1757" s="34" t="s">
        <v>6401</v>
      </c>
      <c r="C1757" s="34" t="s">
        <v>6402</v>
      </c>
      <c r="D1757" s="34" t="s">
        <v>6403</v>
      </c>
      <c r="E1757" s="34" t="s">
        <v>111</v>
      </c>
      <c r="F1757" s="34" t="s">
        <v>6375</v>
      </c>
      <c r="G1757" s="34" t="s">
        <v>2431</v>
      </c>
      <c r="H1757" s="34" t="s">
        <v>34</v>
      </c>
      <c r="I1757" s="34" t="s">
        <v>38</v>
      </c>
      <c r="J1757" s="34" t="s">
        <v>228</v>
      </c>
      <c r="K1757" s="34" t="s">
        <v>229</v>
      </c>
      <c r="L1757" s="34" t="s">
        <v>230</v>
      </c>
      <c r="M1757" s="34" t="s">
        <v>231</v>
      </c>
      <c r="N1757" s="34" t="str">
        <f aca="false">"Sector "&amp;VALUE(MID(D1757,13,2))</f>
        <v>Sector 1</v>
      </c>
      <c r="O1757" s="34" t="str">
        <f aca="false">IF(Dashboard!$C$5="Ubicación técnica",N1757,"Sector "&amp;VALUE(RIGHT(G1757,2)))</f>
        <v>Sector 1</v>
      </c>
      <c r="P1757" s="34" t="str">
        <f aca="false">IF(MID(D1757,15,3)="SEL","Subestación eléctrica","Área de proceso")</f>
        <v>Área de proceso</v>
      </c>
      <c r="Q1757" s="34" t="str">
        <f aca="false">MID(D1757,13,5)&amp;"|"&amp;MID(D1757,19,5)</f>
        <v>01PRA|SATMO</v>
      </c>
      <c r="R1757" s="34" t="str">
        <f aca="false">IF(P1757="Subestación eléctrica",IFERROR(INDEX(cat_SubN,MATCH(Q1757,cat_SubK,0)),"SIN CATALOGAR"),"ÁREA DE PROCESO")</f>
        <v>ÁREA DE PROCESO</v>
      </c>
      <c r="S1757" s="34" t="str">
        <f aca="false">IF(H1757="","SIN DATO",IFERROR(INDEX(cat_MarcaN,MATCH(H1757,cat_MarcaO,0)),H1757))</f>
        <v>ABB</v>
      </c>
      <c r="T1757" s="34" t="str">
        <f aca="false">IF(I1757="","SIN DATO",IFERROR(INDEX(cat_ModN,MATCH(I1757,cat_ModO,0)),I1757))</f>
        <v>1AMEBCADNEC5BNN11G</v>
      </c>
      <c r="U1757" s="34" t="str">
        <f aca="false">IF(I1757="","",IFERROR(INDEX(cat_ModG,MATCH(I1757,cat_ModO,0)),"No"))</f>
        <v>No</v>
      </c>
      <c r="V1757" s="34" t="str">
        <f aca="false">IF(J1757="","SIN DATO",IFERROR(INDEX(cat_FunN,MATCH(J1757,cat_FunO,0)),J1757))</f>
        <v>Protección y medición</v>
      </c>
      <c r="W1757" s="34" t="str">
        <f aca="false">IF(OR(S1757="SIN DATO",T1757="SIN DATO"),"No","Sí")</f>
        <v>Sí</v>
      </c>
    </row>
    <row r="1758" customFormat="false" ht="15" hidden="false" customHeight="false" outlineLevel="0" collapsed="false">
      <c r="A1758" s="34" t="s">
        <v>6404</v>
      </c>
      <c r="B1758" s="34" t="s">
        <v>6405</v>
      </c>
      <c r="C1758" s="34" t="s">
        <v>6406</v>
      </c>
      <c r="D1758" s="34" t="s">
        <v>6403</v>
      </c>
      <c r="E1758" s="34" t="s">
        <v>111</v>
      </c>
      <c r="F1758" s="34" t="s">
        <v>6375</v>
      </c>
      <c r="G1758" s="34" t="s">
        <v>2431</v>
      </c>
      <c r="H1758" s="34" t="s">
        <v>34</v>
      </c>
      <c r="I1758" s="34" t="s">
        <v>36</v>
      </c>
      <c r="J1758" s="34" t="s">
        <v>681</v>
      </c>
      <c r="K1758" s="34" t="s">
        <v>229</v>
      </c>
      <c r="L1758" s="34" t="s">
        <v>230</v>
      </c>
      <c r="M1758" s="34" t="s">
        <v>682</v>
      </c>
      <c r="N1758" s="34" t="str">
        <f aca="false">"Sector "&amp;VALUE(MID(D1758,13,2))</f>
        <v>Sector 1</v>
      </c>
      <c r="O1758" s="34" t="str">
        <f aca="false">IF(Dashboard!$C$5="Ubicación técnica",N1758,"Sector "&amp;VALUE(RIGHT(G1758,2)))</f>
        <v>Sector 1</v>
      </c>
      <c r="P1758" s="34" t="str">
        <f aca="false">IF(MID(D1758,15,3)="SEL","Subestación eléctrica","Área de proceso")</f>
        <v>Área de proceso</v>
      </c>
      <c r="Q1758" s="34" t="str">
        <f aca="false">MID(D1758,13,5)&amp;"|"&amp;MID(D1758,19,5)</f>
        <v>01PRA|SATMO</v>
      </c>
      <c r="R1758" s="34" t="str">
        <f aca="false">IF(P1758="Subestación eléctrica",IFERROR(INDEX(cat_SubN,MATCH(Q1758,cat_SubK,0)),"SIN CATALOGAR"),"ÁREA DE PROCESO")</f>
        <v>ÁREA DE PROCESO</v>
      </c>
      <c r="S1758" s="34" t="str">
        <f aca="false">IF(H1758="","SIN DATO",IFERROR(INDEX(cat_MarcaN,MATCH(H1758,cat_MarcaO,0)),H1758))</f>
        <v>ABB</v>
      </c>
      <c r="T1758" s="34" t="str">
        <f aca="false">IF(I1758="","SIN DATO",IFERROR(INDEX(cat_ModN,MATCH(I1758,cat_ModO,0)),I1758))</f>
        <v>1AFFAEAGNEC5BNA11G</v>
      </c>
      <c r="U1758" s="34" t="str">
        <f aca="false">IF(I1758="","",IFERROR(INDEX(cat_ModG,MATCH(I1758,cat_ModO,0)),"No"))</f>
        <v>No</v>
      </c>
      <c r="V1758" s="34" t="str">
        <f aca="false">IF(J1758="","SIN DATO",IFERROR(INDEX(cat_FunN,MATCH(J1758,cat_FunO,0)),J1758))</f>
        <v>Protección</v>
      </c>
      <c r="W1758" s="34" t="str">
        <f aca="false">IF(OR(S1758="SIN DATO",T1758="SIN DATO"),"No","Sí")</f>
        <v>Sí</v>
      </c>
    </row>
    <row r="1759" customFormat="false" ht="15" hidden="false" customHeight="false" outlineLevel="0" collapsed="false">
      <c r="A1759" s="34" t="s">
        <v>6407</v>
      </c>
      <c r="B1759" s="34" t="s">
        <v>6408</v>
      </c>
      <c r="C1759" s="34" t="s">
        <v>6409</v>
      </c>
      <c r="D1759" s="34" t="s">
        <v>6403</v>
      </c>
      <c r="E1759" s="34" t="s">
        <v>111</v>
      </c>
      <c r="F1759" s="34" t="s">
        <v>6375</v>
      </c>
      <c r="G1759" s="34" t="s">
        <v>2431</v>
      </c>
      <c r="H1759" s="34" t="s">
        <v>34</v>
      </c>
      <c r="I1759" s="34" t="s">
        <v>36</v>
      </c>
      <c r="J1759" s="34" t="s">
        <v>681</v>
      </c>
      <c r="K1759" s="34" t="s">
        <v>229</v>
      </c>
      <c r="L1759" s="34" t="s">
        <v>230</v>
      </c>
      <c r="M1759" s="34" t="s">
        <v>682</v>
      </c>
      <c r="N1759" s="34" t="str">
        <f aca="false">"Sector "&amp;VALUE(MID(D1759,13,2))</f>
        <v>Sector 1</v>
      </c>
      <c r="O1759" s="34" t="str">
        <f aca="false">IF(Dashboard!$C$5="Ubicación técnica",N1759,"Sector "&amp;VALUE(RIGHT(G1759,2)))</f>
        <v>Sector 1</v>
      </c>
      <c r="P1759" s="34" t="str">
        <f aca="false">IF(MID(D1759,15,3)="SEL","Subestación eléctrica","Área de proceso")</f>
        <v>Área de proceso</v>
      </c>
      <c r="Q1759" s="34" t="str">
        <f aca="false">MID(D1759,13,5)&amp;"|"&amp;MID(D1759,19,5)</f>
        <v>01PRA|SATMO</v>
      </c>
      <c r="R1759" s="34" t="str">
        <f aca="false">IF(P1759="Subestación eléctrica",IFERROR(INDEX(cat_SubN,MATCH(Q1759,cat_SubK,0)),"SIN CATALOGAR"),"ÁREA DE PROCESO")</f>
        <v>ÁREA DE PROCESO</v>
      </c>
      <c r="S1759" s="34" t="str">
        <f aca="false">IF(H1759="","SIN DATO",IFERROR(INDEX(cat_MarcaN,MATCH(H1759,cat_MarcaO,0)),H1759))</f>
        <v>ABB</v>
      </c>
      <c r="T1759" s="34" t="str">
        <f aca="false">IF(I1759="","SIN DATO",IFERROR(INDEX(cat_ModN,MATCH(I1759,cat_ModO,0)),I1759))</f>
        <v>1AFFAEAGNEC5BNA11G</v>
      </c>
      <c r="U1759" s="34" t="str">
        <f aca="false">IF(I1759="","",IFERROR(INDEX(cat_ModG,MATCH(I1759,cat_ModO,0)),"No"))</f>
        <v>No</v>
      </c>
      <c r="V1759" s="34" t="str">
        <f aca="false">IF(J1759="","SIN DATO",IFERROR(INDEX(cat_FunN,MATCH(J1759,cat_FunO,0)),J1759))</f>
        <v>Protección</v>
      </c>
      <c r="W1759" s="34" t="str">
        <f aca="false">IF(OR(S1759="SIN DATO",T1759="SIN DATO"),"No","Sí")</f>
        <v>Sí</v>
      </c>
    </row>
    <row r="1760" customFormat="false" ht="15" hidden="false" customHeight="false" outlineLevel="0" collapsed="false">
      <c r="A1760" s="34" t="s">
        <v>6410</v>
      </c>
      <c r="B1760" s="34" t="s">
        <v>6411</v>
      </c>
      <c r="C1760" s="34" t="s">
        <v>6412</v>
      </c>
      <c r="D1760" s="34" t="s">
        <v>6413</v>
      </c>
      <c r="E1760" s="34" t="s">
        <v>111</v>
      </c>
      <c r="F1760" s="34" t="s">
        <v>6375</v>
      </c>
      <c r="G1760" s="34" t="s">
        <v>2431</v>
      </c>
      <c r="H1760" s="34" t="s">
        <v>34</v>
      </c>
      <c r="I1760" s="34" t="s">
        <v>36</v>
      </c>
      <c r="J1760" s="34" t="s">
        <v>228</v>
      </c>
      <c r="K1760" s="34" t="s">
        <v>229</v>
      </c>
      <c r="L1760" s="34" t="s">
        <v>230</v>
      </c>
      <c r="M1760" s="34" t="s">
        <v>231</v>
      </c>
      <c r="N1760" s="34" t="str">
        <f aca="false">"Sector "&amp;VALUE(MID(D1760,13,2))</f>
        <v>Sector 1</v>
      </c>
      <c r="O1760" s="34" t="str">
        <f aca="false">IF(Dashboard!$C$5="Ubicación técnica",N1760,"Sector "&amp;VALUE(RIGHT(G1760,2)))</f>
        <v>Sector 1</v>
      </c>
      <c r="P1760" s="34" t="str">
        <f aca="false">IF(MID(D1760,15,3)="SEL","Subestación eléctrica","Área de proceso")</f>
        <v>Área de proceso</v>
      </c>
      <c r="Q1760" s="34" t="str">
        <f aca="false">MID(D1760,13,5)&amp;"|"&amp;MID(D1760,19,5)</f>
        <v>01PRA|SCARG</v>
      </c>
      <c r="R1760" s="34" t="str">
        <f aca="false">IF(P1760="Subestación eléctrica",IFERROR(INDEX(cat_SubN,MATCH(Q1760,cat_SubK,0)),"SIN CATALOGAR"),"ÁREA DE PROCESO")</f>
        <v>ÁREA DE PROCESO</v>
      </c>
      <c r="S1760" s="34" t="str">
        <f aca="false">IF(H1760="","SIN DATO",IFERROR(INDEX(cat_MarcaN,MATCH(H1760,cat_MarcaO,0)),H1760))</f>
        <v>ABB</v>
      </c>
      <c r="T1760" s="34" t="str">
        <f aca="false">IF(I1760="","SIN DATO",IFERROR(INDEX(cat_ModN,MATCH(I1760,cat_ModO,0)),I1760))</f>
        <v>1AFFAEAGNEC5BNA11G</v>
      </c>
      <c r="U1760" s="34" t="str">
        <f aca="false">IF(I1760="","",IFERROR(INDEX(cat_ModG,MATCH(I1760,cat_ModO,0)),"No"))</f>
        <v>No</v>
      </c>
      <c r="V1760" s="34" t="str">
        <f aca="false">IF(J1760="","SIN DATO",IFERROR(INDEX(cat_FunN,MATCH(J1760,cat_FunO,0)),J1760))</f>
        <v>Protección y medición</v>
      </c>
      <c r="W1760" s="34" t="str">
        <f aca="false">IF(OR(S1760="SIN DATO",T1760="SIN DATO"),"No","Sí")</f>
        <v>Sí</v>
      </c>
    </row>
    <row r="1761" customFormat="false" ht="15" hidden="false" customHeight="false" outlineLevel="0" collapsed="false">
      <c r="A1761" s="34" t="s">
        <v>6414</v>
      </c>
      <c r="B1761" s="34" t="s">
        <v>6415</v>
      </c>
      <c r="C1761" s="34" t="s">
        <v>6416</v>
      </c>
      <c r="D1761" s="34" t="s">
        <v>6413</v>
      </c>
      <c r="E1761" s="34" t="s">
        <v>111</v>
      </c>
      <c r="F1761" s="34" t="s">
        <v>6375</v>
      </c>
      <c r="G1761" s="34" t="s">
        <v>2431</v>
      </c>
      <c r="H1761" s="34" t="s">
        <v>34</v>
      </c>
      <c r="I1761" s="34" t="s">
        <v>36</v>
      </c>
      <c r="J1761" s="34" t="s">
        <v>681</v>
      </c>
      <c r="K1761" s="34" t="s">
        <v>229</v>
      </c>
      <c r="L1761" s="34" t="s">
        <v>230</v>
      </c>
      <c r="M1761" s="34" t="s">
        <v>682</v>
      </c>
      <c r="N1761" s="34" t="str">
        <f aca="false">"Sector "&amp;VALUE(MID(D1761,13,2))</f>
        <v>Sector 1</v>
      </c>
      <c r="O1761" s="34" t="str">
        <f aca="false">IF(Dashboard!$C$5="Ubicación técnica",N1761,"Sector "&amp;VALUE(RIGHT(G1761,2)))</f>
        <v>Sector 1</v>
      </c>
      <c r="P1761" s="34" t="str">
        <f aca="false">IF(MID(D1761,15,3)="SEL","Subestación eléctrica","Área de proceso")</f>
        <v>Área de proceso</v>
      </c>
      <c r="Q1761" s="34" t="str">
        <f aca="false">MID(D1761,13,5)&amp;"|"&amp;MID(D1761,19,5)</f>
        <v>01PRA|SCARG</v>
      </c>
      <c r="R1761" s="34" t="str">
        <f aca="false">IF(P1761="Subestación eléctrica",IFERROR(INDEX(cat_SubN,MATCH(Q1761,cat_SubK,0)),"SIN CATALOGAR"),"ÁREA DE PROCESO")</f>
        <v>ÁREA DE PROCESO</v>
      </c>
      <c r="S1761" s="34" t="str">
        <f aca="false">IF(H1761="","SIN DATO",IFERROR(INDEX(cat_MarcaN,MATCH(H1761,cat_MarcaO,0)),H1761))</f>
        <v>ABB</v>
      </c>
      <c r="T1761" s="34" t="str">
        <f aca="false">IF(I1761="","SIN DATO",IFERROR(INDEX(cat_ModN,MATCH(I1761,cat_ModO,0)),I1761))</f>
        <v>1AFFAEAGNEC5BNA11G</v>
      </c>
      <c r="U1761" s="34" t="str">
        <f aca="false">IF(I1761="","",IFERROR(INDEX(cat_ModG,MATCH(I1761,cat_ModO,0)),"No"))</f>
        <v>No</v>
      </c>
      <c r="V1761" s="34" t="str">
        <f aca="false">IF(J1761="","SIN DATO",IFERROR(INDEX(cat_FunN,MATCH(J1761,cat_FunO,0)),J1761))</f>
        <v>Protección</v>
      </c>
      <c r="W1761" s="34" t="str">
        <f aca="false">IF(OR(S1761="SIN DATO",T1761="SIN DATO"),"No","Sí")</f>
        <v>Sí</v>
      </c>
    </row>
    <row r="1762" customFormat="false" ht="15" hidden="false" customHeight="false" outlineLevel="0" collapsed="false">
      <c r="A1762" s="34" t="s">
        <v>6417</v>
      </c>
      <c r="B1762" s="34" t="s">
        <v>6418</v>
      </c>
      <c r="C1762" s="34" t="s">
        <v>6419</v>
      </c>
      <c r="D1762" s="34" t="s">
        <v>6374</v>
      </c>
      <c r="E1762" s="34" t="s">
        <v>111</v>
      </c>
      <c r="F1762" s="34" t="s">
        <v>6375</v>
      </c>
      <c r="G1762" s="34" t="s">
        <v>2431</v>
      </c>
      <c r="H1762" s="34" t="s">
        <v>34</v>
      </c>
      <c r="I1762" s="34" t="s">
        <v>38</v>
      </c>
      <c r="J1762" s="34" t="s">
        <v>228</v>
      </c>
      <c r="K1762" s="34" t="s">
        <v>229</v>
      </c>
      <c r="L1762" s="34" t="s">
        <v>230</v>
      </c>
      <c r="M1762" s="34" t="s">
        <v>231</v>
      </c>
      <c r="N1762" s="34" t="str">
        <f aca="false">"Sector "&amp;VALUE(MID(D1762,13,2))</f>
        <v>Sector 1</v>
      </c>
      <c r="O1762" s="34" t="str">
        <f aca="false">IF(Dashboard!$C$5="Ubicación técnica",N1762,"Sector "&amp;VALUE(RIGHT(G1762,2)))</f>
        <v>Sector 1</v>
      </c>
      <c r="P1762" s="34" t="str">
        <f aca="false">IF(MID(D1762,15,3)="SEL","Subestación eléctrica","Área de proceso")</f>
        <v>Área de proceso</v>
      </c>
      <c r="Q1762" s="34" t="str">
        <f aca="false">MID(D1762,13,5)&amp;"|"&amp;MID(D1762,19,5)</f>
        <v>01PRA|SATMO</v>
      </c>
      <c r="R1762" s="34" t="str">
        <f aca="false">IF(P1762="Subestación eléctrica",IFERROR(INDEX(cat_SubN,MATCH(Q1762,cat_SubK,0)),"SIN CATALOGAR"),"ÁREA DE PROCESO")</f>
        <v>ÁREA DE PROCESO</v>
      </c>
      <c r="S1762" s="34" t="str">
        <f aca="false">IF(H1762="","SIN DATO",IFERROR(INDEX(cat_MarcaN,MATCH(H1762,cat_MarcaO,0)),H1762))</f>
        <v>ABB</v>
      </c>
      <c r="T1762" s="34" t="str">
        <f aca="false">IF(I1762="","SIN DATO",IFERROR(INDEX(cat_ModN,MATCH(I1762,cat_ModO,0)),I1762))</f>
        <v>1AMEBCADNEC5BNN11G</v>
      </c>
      <c r="U1762" s="34" t="str">
        <f aca="false">IF(I1762="","",IFERROR(INDEX(cat_ModG,MATCH(I1762,cat_ModO,0)),"No"))</f>
        <v>No</v>
      </c>
      <c r="V1762" s="34" t="str">
        <f aca="false">IF(J1762="","SIN DATO",IFERROR(INDEX(cat_FunN,MATCH(J1762,cat_FunO,0)),J1762))</f>
        <v>Protección y medición</v>
      </c>
      <c r="W1762" s="34" t="str">
        <f aca="false">IF(OR(S1762="SIN DATO",T1762="SIN DATO"),"No","Sí")</f>
        <v>Sí</v>
      </c>
    </row>
    <row r="1763" customFormat="false" ht="15" hidden="false" customHeight="false" outlineLevel="0" collapsed="false">
      <c r="A1763" s="34" t="s">
        <v>6420</v>
      </c>
      <c r="B1763" s="34" t="s">
        <v>6421</v>
      </c>
      <c r="C1763" s="34" t="s">
        <v>6422</v>
      </c>
      <c r="D1763" s="34" t="s">
        <v>6423</v>
      </c>
      <c r="E1763" s="34" t="s">
        <v>111</v>
      </c>
      <c r="F1763" s="34" t="s">
        <v>6375</v>
      </c>
      <c r="G1763" s="34" t="s">
        <v>2431</v>
      </c>
      <c r="H1763" s="34" t="s">
        <v>34</v>
      </c>
      <c r="I1763" s="34" t="s">
        <v>36</v>
      </c>
      <c r="J1763" s="34" t="s">
        <v>681</v>
      </c>
      <c r="K1763" s="34" t="s">
        <v>229</v>
      </c>
      <c r="L1763" s="34" t="s">
        <v>230</v>
      </c>
      <c r="M1763" s="34" t="s">
        <v>682</v>
      </c>
      <c r="N1763" s="34" t="str">
        <f aca="false">"Sector "&amp;VALUE(MID(D1763,13,2))</f>
        <v>Sector 1</v>
      </c>
      <c r="O1763" s="34" t="str">
        <f aca="false">IF(Dashboard!$C$5="Ubicación técnica",N1763,"Sector "&amp;VALUE(RIGHT(G1763,2)))</f>
        <v>Sector 1</v>
      </c>
      <c r="P1763" s="34" t="str">
        <f aca="false">IF(MID(D1763,15,3)="SEL","Subestación eléctrica","Área de proceso")</f>
        <v>Área de proceso</v>
      </c>
      <c r="Q1763" s="34" t="str">
        <f aca="false">MID(D1763,13,5)&amp;"|"&amp;MID(D1763,19,5)</f>
        <v>01PRA|SATMO</v>
      </c>
      <c r="R1763" s="34" t="str">
        <f aca="false">IF(P1763="Subestación eléctrica",IFERROR(INDEX(cat_SubN,MATCH(Q1763,cat_SubK,0)),"SIN CATALOGAR"),"ÁREA DE PROCESO")</f>
        <v>ÁREA DE PROCESO</v>
      </c>
      <c r="S1763" s="34" t="str">
        <f aca="false">IF(H1763="","SIN DATO",IFERROR(INDEX(cat_MarcaN,MATCH(H1763,cat_MarcaO,0)),H1763))</f>
        <v>ABB</v>
      </c>
      <c r="T1763" s="34" t="str">
        <f aca="false">IF(I1763="","SIN DATO",IFERROR(INDEX(cat_ModN,MATCH(I1763,cat_ModO,0)),I1763))</f>
        <v>1AFFAEAGNEC5BNA11G</v>
      </c>
      <c r="U1763" s="34" t="str">
        <f aca="false">IF(I1763="","",IFERROR(INDEX(cat_ModG,MATCH(I1763,cat_ModO,0)),"No"))</f>
        <v>No</v>
      </c>
      <c r="V1763" s="34" t="str">
        <f aca="false">IF(J1763="","SIN DATO",IFERROR(INDEX(cat_FunN,MATCH(J1763,cat_FunO,0)),J1763))</f>
        <v>Protección</v>
      </c>
      <c r="W1763" s="34" t="str">
        <f aca="false">IF(OR(S1763="SIN DATO",T1763="SIN DATO"),"No","Sí")</f>
        <v>Sí</v>
      </c>
    </row>
    <row r="1764" customFormat="false" ht="15" hidden="false" customHeight="false" outlineLevel="0" collapsed="false">
      <c r="A1764" s="34" t="s">
        <v>6424</v>
      </c>
      <c r="B1764" s="34" t="s">
        <v>6425</v>
      </c>
      <c r="C1764" s="34" t="s">
        <v>6426</v>
      </c>
      <c r="D1764" s="34" t="s">
        <v>6423</v>
      </c>
      <c r="E1764" s="34" t="s">
        <v>111</v>
      </c>
      <c r="F1764" s="34" t="s">
        <v>6375</v>
      </c>
      <c r="G1764" s="34" t="s">
        <v>2431</v>
      </c>
      <c r="H1764" s="34" t="s">
        <v>34</v>
      </c>
      <c r="I1764" s="34" t="s">
        <v>36</v>
      </c>
      <c r="J1764" s="34" t="s">
        <v>681</v>
      </c>
      <c r="K1764" s="34" t="s">
        <v>229</v>
      </c>
      <c r="L1764" s="34" t="s">
        <v>230</v>
      </c>
      <c r="M1764" s="34" t="s">
        <v>682</v>
      </c>
      <c r="N1764" s="34" t="str">
        <f aca="false">"Sector "&amp;VALUE(MID(D1764,13,2))</f>
        <v>Sector 1</v>
      </c>
      <c r="O1764" s="34" t="str">
        <f aca="false">IF(Dashboard!$C$5="Ubicación técnica",N1764,"Sector "&amp;VALUE(RIGHT(G1764,2)))</f>
        <v>Sector 1</v>
      </c>
      <c r="P1764" s="34" t="str">
        <f aca="false">IF(MID(D1764,15,3)="SEL","Subestación eléctrica","Área de proceso")</f>
        <v>Área de proceso</v>
      </c>
      <c r="Q1764" s="34" t="str">
        <f aca="false">MID(D1764,13,5)&amp;"|"&amp;MID(D1764,19,5)</f>
        <v>01PRA|SATMO</v>
      </c>
      <c r="R1764" s="34" t="str">
        <f aca="false">IF(P1764="Subestación eléctrica",IFERROR(INDEX(cat_SubN,MATCH(Q1764,cat_SubK,0)),"SIN CATALOGAR"),"ÁREA DE PROCESO")</f>
        <v>ÁREA DE PROCESO</v>
      </c>
      <c r="S1764" s="34" t="str">
        <f aca="false">IF(H1764="","SIN DATO",IFERROR(INDEX(cat_MarcaN,MATCH(H1764,cat_MarcaO,0)),H1764))</f>
        <v>ABB</v>
      </c>
      <c r="T1764" s="34" t="str">
        <f aca="false">IF(I1764="","SIN DATO",IFERROR(INDEX(cat_ModN,MATCH(I1764,cat_ModO,0)),I1764))</f>
        <v>1AFFAEAGNEC5BNA11G</v>
      </c>
      <c r="U1764" s="34" t="str">
        <f aca="false">IF(I1764="","",IFERROR(INDEX(cat_ModG,MATCH(I1764,cat_ModO,0)),"No"))</f>
        <v>No</v>
      </c>
      <c r="V1764" s="34" t="str">
        <f aca="false">IF(J1764="","SIN DATO",IFERROR(INDEX(cat_FunN,MATCH(J1764,cat_FunO,0)),J1764))</f>
        <v>Protección</v>
      </c>
      <c r="W1764" s="34" t="str">
        <f aca="false">IF(OR(S1764="SIN DATO",T1764="SIN DATO"),"No","Sí")</f>
        <v>Sí</v>
      </c>
    </row>
    <row r="1765" customFormat="false" ht="15" hidden="false" customHeight="false" outlineLevel="0" collapsed="false">
      <c r="A1765" s="34" t="s">
        <v>6427</v>
      </c>
      <c r="B1765" s="34" t="s">
        <v>6428</v>
      </c>
      <c r="C1765" s="34" t="s">
        <v>6429</v>
      </c>
      <c r="D1765" s="34" t="s">
        <v>6423</v>
      </c>
      <c r="E1765" s="34" t="s">
        <v>111</v>
      </c>
      <c r="F1765" s="34" t="s">
        <v>6375</v>
      </c>
      <c r="G1765" s="34" t="s">
        <v>2431</v>
      </c>
      <c r="H1765" s="34" t="s">
        <v>34</v>
      </c>
      <c r="I1765" s="34" t="s">
        <v>38</v>
      </c>
      <c r="J1765" s="34" t="s">
        <v>228</v>
      </c>
      <c r="K1765" s="34" t="s">
        <v>229</v>
      </c>
      <c r="L1765" s="34" t="s">
        <v>230</v>
      </c>
      <c r="M1765" s="34" t="s">
        <v>231</v>
      </c>
      <c r="N1765" s="34" t="str">
        <f aca="false">"Sector "&amp;VALUE(MID(D1765,13,2))</f>
        <v>Sector 1</v>
      </c>
      <c r="O1765" s="34" t="str">
        <f aca="false">IF(Dashboard!$C$5="Ubicación técnica",N1765,"Sector "&amp;VALUE(RIGHT(G1765,2)))</f>
        <v>Sector 1</v>
      </c>
      <c r="P1765" s="34" t="str">
        <f aca="false">IF(MID(D1765,15,3)="SEL","Subestación eléctrica","Área de proceso")</f>
        <v>Área de proceso</v>
      </c>
      <c r="Q1765" s="34" t="str">
        <f aca="false">MID(D1765,13,5)&amp;"|"&amp;MID(D1765,19,5)</f>
        <v>01PRA|SATMO</v>
      </c>
      <c r="R1765" s="34" t="str">
        <f aca="false">IF(P1765="Subestación eléctrica",IFERROR(INDEX(cat_SubN,MATCH(Q1765,cat_SubK,0)),"SIN CATALOGAR"),"ÁREA DE PROCESO")</f>
        <v>ÁREA DE PROCESO</v>
      </c>
      <c r="S1765" s="34" t="str">
        <f aca="false">IF(H1765="","SIN DATO",IFERROR(INDEX(cat_MarcaN,MATCH(H1765,cat_MarcaO,0)),H1765))</f>
        <v>ABB</v>
      </c>
      <c r="T1765" s="34" t="str">
        <f aca="false">IF(I1765="","SIN DATO",IFERROR(INDEX(cat_ModN,MATCH(I1765,cat_ModO,0)),I1765))</f>
        <v>1AMEBCADNEC5BNN11G</v>
      </c>
      <c r="U1765" s="34" t="str">
        <f aca="false">IF(I1765="","",IFERROR(INDEX(cat_ModG,MATCH(I1765,cat_ModO,0)),"No"))</f>
        <v>No</v>
      </c>
      <c r="V1765" s="34" t="str">
        <f aca="false">IF(J1765="","SIN DATO",IFERROR(INDEX(cat_FunN,MATCH(J1765,cat_FunO,0)),J1765))</f>
        <v>Protección y medición</v>
      </c>
      <c r="W1765" s="34" t="str">
        <f aca="false">IF(OR(S1765="SIN DATO",T1765="SIN DATO"),"No","Sí")</f>
        <v>Sí</v>
      </c>
    </row>
    <row r="1766" customFormat="false" ht="15" hidden="false" customHeight="false" outlineLevel="0" collapsed="false">
      <c r="A1766" s="34" t="s">
        <v>6430</v>
      </c>
      <c r="B1766" s="34" t="s">
        <v>6431</v>
      </c>
      <c r="C1766" s="34" t="s">
        <v>6432</v>
      </c>
      <c r="D1766" s="34" t="s">
        <v>6433</v>
      </c>
      <c r="E1766" s="34" t="s">
        <v>111</v>
      </c>
      <c r="F1766" s="34" t="s">
        <v>6375</v>
      </c>
      <c r="G1766" s="34" t="s">
        <v>2431</v>
      </c>
      <c r="H1766" s="34" t="s">
        <v>34</v>
      </c>
      <c r="I1766" s="34" t="s">
        <v>36</v>
      </c>
      <c r="J1766" s="34" t="s">
        <v>681</v>
      </c>
      <c r="K1766" s="34" t="s">
        <v>229</v>
      </c>
      <c r="L1766" s="34" t="s">
        <v>230</v>
      </c>
      <c r="M1766" s="34" t="s">
        <v>682</v>
      </c>
      <c r="N1766" s="34" t="str">
        <f aca="false">"Sector "&amp;VALUE(MID(D1766,13,2))</f>
        <v>Sector 1</v>
      </c>
      <c r="O1766" s="34" t="str">
        <f aca="false">IF(Dashboard!$C$5="Ubicación técnica",N1766,"Sector "&amp;VALUE(RIGHT(G1766,2)))</f>
        <v>Sector 1</v>
      </c>
      <c r="P1766" s="34" t="str">
        <f aca="false">IF(MID(D1766,15,3)="SEL","Subestación eléctrica","Área de proceso")</f>
        <v>Área de proceso</v>
      </c>
      <c r="Q1766" s="34" t="str">
        <f aca="false">MID(D1766,13,5)&amp;"|"&amp;MID(D1766,19,5)</f>
        <v>01PRA|SVACI</v>
      </c>
      <c r="R1766" s="34" t="str">
        <f aca="false">IF(P1766="Subestación eléctrica",IFERROR(INDEX(cat_SubN,MATCH(Q1766,cat_SubK,0)),"SIN CATALOGAR"),"ÁREA DE PROCESO")</f>
        <v>ÁREA DE PROCESO</v>
      </c>
      <c r="S1766" s="34" t="str">
        <f aca="false">IF(H1766="","SIN DATO",IFERROR(INDEX(cat_MarcaN,MATCH(H1766,cat_MarcaO,0)),H1766))</f>
        <v>ABB</v>
      </c>
      <c r="T1766" s="34" t="str">
        <f aca="false">IF(I1766="","SIN DATO",IFERROR(INDEX(cat_ModN,MATCH(I1766,cat_ModO,0)),I1766))</f>
        <v>1AFFAEAGNEC5BNA11G</v>
      </c>
      <c r="U1766" s="34" t="str">
        <f aca="false">IF(I1766="","",IFERROR(INDEX(cat_ModG,MATCH(I1766,cat_ModO,0)),"No"))</f>
        <v>No</v>
      </c>
      <c r="V1766" s="34" t="str">
        <f aca="false">IF(J1766="","SIN DATO",IFERROR(INDEX(cat_FunN,MATCH(J1766,cat_FunO,0)),J1766))</f>
        <v>Protección</v>
      </c>
      <c r="W1766" s="34" t="str">
        <f aca="false">IF(OR(S1766="SIN DATO",T1766="SIN DATO"),"No","Sí")</f>
        <v>Sí</v>
      </c>
    </row>
    <row r="1767" customFormat="false" ht="15" hidden="false" customHeight="false" outlineLevel="0" collapsed="false">
      <c r="A1767" s="34" t="s">
        <v>6434</v>
      </c>
      <c r="B1767" s="34" t="s">
        <v>6435</v>
      </c>
      <c r="C1767" s="34" t="s">
        <v>6436</v>
      </c>
      <c r="D1767" s="34" t="s">
        <v>6433</v>
      </c>
      <c r="E1767" s="34" t="s">
        <v>111</v>
      </c>
      <c r="F1767" s="34" t="s">
        <v>6375</v>
      </c>
      <c r="G1767" s="34" t="s">
        <v>2431</v>
      </c>
      <c r="H1767" s="34" t="s">
        <v>34</v>
      </c>
      <c r="I1767" s="34" t="s">
        <v>38</v>
      </c>
      <c r="J1767" s="34" t="s">
        <v>228</v>
      </c>
      <c r="K1767" s="34" t="s">
        <v>229</v>
      </c>
      <c r="L1767" s="34" t="s">
        <v>230</v>
      </c>
      <c r="M1767" s="34" t="s">
        <v>231</v>
      </c>
      <c r="N1767" s="34" t="str">
        <f aca="false">"Sector "&amp;VALUE(MID(D1767,13,2))</f>
        <v>Sector 1</v>
      </c>
      <c r="O1767" s="34" t="str">
        <f aca="false">IF(Dashboard!$C$5="Ubicación técnica",N1767,"Sector "&amp;VALUE(RIGHT(G1767,2)))</f>
        <v>Sector 1</v>
      </c>
      <c r="P1767" s="34" t="str">
        <f aca="false">IF(MID(D1767,15,3)="SEL","Subestación eléctrica","Área de proceso")</f>
        <v>Área de proceso</v>
      </c>
      <c r="Q1767" s="34" t="str">
        <f aca="false">MID(D1767,13,5)&amp;"|"&amp;MID(D1767,19,5)</f>
        <v>01PRA|SVACI</v>
      </c>
      <c r="R1767" s="34" t="str">
        <f aca="false">IF(P1767="Subestación eléctrica",IFERROR(INDEX(cat_SubN,MATCH(Q1767,cat_SubK,0)),"SIN CATALOGAR"),"ÁREA DE PROCESO")</f>
        <v>ÁREA DE PROCESO</v>
      </c>
      <c r="S1767" s="34" t="str">
        <f aca="false">IF(H1767="","SIN DATO",IFERROR(INDEX(cat_MarcaN,MATCH(H1767,cat_MarcaO,0)),H1767))</f>
        <v>ABB</v>
      </c>
      <c r="T1767" s="34" t="str">
        <f aca="false">IF(I1767="","SIN DATO",IFERROR(INDEX(cat_ModN,MATCH(I1767,cat_ModO,0)),I1767))</f>
        <v>1AMEBCADNEC5BNN11G</v>
      </c>
      <c r="U1767" s="34" t="str">
        <f aca="false">IF(I1767="","",IFERROR(INDEX(cat_ModG,MATCH(I1767,cat_ModO,0)),"No"))</f>
        <v>No</v>
      </c>
      <c r="V1767" s="34" t="str">
        <f aca="false">IF(J1767="","SIN DATO",IFERROR(INDEX(cat_FunN,MATCH(J1767,cat_FunO,0)),J1767))</f>
        <v>Protección y medición</v>
      </c>
      <c r="W1767" s="34" t="str">
        <f aca="false">IF(OR(S1767="SIN DATO",T1767="SIN DATO"),"No","Sí")</f>
        <v>Sí</v>
      </c>
    </row>
    <row r="1768" customFormat="false" ht="15" hidden="false" customHeight="false" outlineLevel="0" collapsed="false">
      <c r="A1768" s="34" t="s">
        <v>6437</v>
      </c>
      <c r="B1768" s="34" t="s">
        <v>6438</v>
      </c>
      <c r="C1768" s="34" t="s">
        <v>6439</v>
      </c>
      <c r="D1768" s="34" t="s">
        <v>6440</v>
      </c>
      <c r="E1768" s="34" t="s">
        <v>111</v>
      </c>
      <c r="F1768" s="34" t="s">
        <v>6375</v>
      </c>
      <c r="G1768" s="34" t="s">
        <v>2431</v>
      </c>
      <c r="H1768" s="34" t="s">
        <v>34</v>
      </c>
      <c r="I1768" s="34" t="s">
        <v>36</v>
      </c>
      <c r="J1768" s="34" t="s">
        <v>681</v>
      </c>
      <c r="K1768" s="34" t="s">
        <v>229</v>
      </c>
      <c r="L1768" s="34" t="s">
        <v>230</v>
      </c>
      <c r="M1768" s="34" t="s">
        <v>682</v>
      </c>
      <c r="N1768" s="34" t="str">
        <f aca="false">"Sector "&amp;VALUE(MID(D1768,13,2))</f>
        <v>Sector 1</v>
      </c>
      <c r="O1768" s="34" t="str">
        <f aca="false">IF(Dashboard!$C$5="Ubicación técnica",N1768,"Sector "&amp;VALUE(RIGHT(G1768,2)))</f>
        <v>Sector 1</v>
      </c>
      <c r="P1768" s="34" t="str">
        <f aca="false">IF(MID(D1768,15,3)="SEL","Subestación eléctrica","Área de proceso")</f>
        <v>Área de proceso</v>
      </c>
      <c r="Q1768" s="34" t="str">
        <f aca="false">MID(D1768,13,5)&amp;"|"&amp;MID(D1768,19,5)</f>
        <v>01PRA|SVACI</v>
      </c>
      <c r="R1768" s="34" t="str">
        <f aca="false">IF(P1768="Subestación eléctrica",IFERROR(INDEX(cat_SubN,MATCH(Q1768,cat_SubK,0)),"SIN CATALOGAR"),"ÁREA DE PROCESO")</f>
        <v>ÁREA DE PROCESO</v>
      </c>
      <c r="S1768" s="34" t="str">
        <f aca="false">IF(H1768="","SIN DATO",IFERROR(INDEX(cat_MarcaN,MATCH(H1768,cat_MarcaO,0)),H1768))</f>
        <v>ABB</v>
      </c>
      <c r="T1768" s="34" t="str">
        <f aca="false">IF(I1768="","SIN DATO",IFERROR(INDEX(cat_ModN,MATCH(I1768,cat_ModO,0)),I1768))</f>
        <v>1AFFAEAGNEC5BNA11G</v>
      </c>
      <c r="U1768" s="34" t="str">
        <f aca="false">IF(I1768="","",IFERROR(INDEX(cat_ModG,MATCH(I1768,cat_ModO,0)),"No"))</f>
        <v>No</v>
      </c>
      <c r="V1768" s="34" t="str">
        <f aca="false">IF(J1768="","SIN DATO",IFERROR(INDEX(cat_FunN,MATCH(J1768,cat_FunO,0)),J1768))</f>
        <v>Protección</v>
      </c>
      <c r="W1768" s="34" t="str">
        <f aca="false">IF(OR(S1768="SIN DATO",T1768="SIN DATO"),"No","Sí")</f>
        <v>Sí</v>
      </c>
    </row>
    <row r="1769" customFormat="false" ht="15" hidden="false" customHeight="false" outlineLevel="0" collapsed="false">
      <c r="A1769" s="34" t="s">
        <v>6441</v>
      </c>
      <c r="B1769" s="34" t="s">
        <v>6442</v>
      </c>
      <c r="C1769" s="34" t="s">
        <v>6443</v>
      </c>
      <c r="D1769" s="34" t="s">
        <v>6440</v>
      </c>
      <c r="E1769" s="34" t="s">
        <v>111</v>
      </c>
      <c r="F1769" s="34" t="s">
        <v>6375</v>
      </c>
      <c r="G1769" s="34" t="s">
        <v>2431</v>
      </c>
      <c r="H1769" s="34" t="s">
        <v>34</v>
      </c>
      <c r="I1769" s="34" t="s">
        <v>38</v>
      </c>
      <c r="J1769" s="34" t="s">
        <v>228</v>
      </c>
      <c r="K1769" s="34" t="s">
        <v>229</v>
      </c>
      <c r="L1769" s="34" t="s">
        <v>230</v>
      </c>
      <c r="M1769" s="34" t="s">
        <v>231</v>
      </c>
      <c r="N1769" s="34" t="str">
        <f aca="false">"Sector "&amp;VALUE(MID(D1769,13,2))</f>
        <v>Sector 1</v>
      </c>
      <c r="O1769" s="34" t="str">
        <f aca="false">IF(Dashboard!$C$5="Ubicación técnica",N1769,"Sector "&amp;VALUE(RIGHT(G1769,2)))</f>
        <v>Sector 1</v>
      </c>
      <c r="P1769" s="34" t="str">
        <f aca="false">IF(MID(D1769,15,3)="SEL","Subestación eléctrica","Área de proceso")</f>
        <v>Área de proceso</v>
      </c>
      <c r="Q1769" s="34" t="str">
        <f aca="false">MID(D1769,13,5)&amp;"|"&amp;MID(D1769,19,5)</f>
        <v>01PRA|SVACI</v>
      </c>
      <c r="R1769" s="34" t="str">
        <f aca="false">IF(P1769="Subestación eléctrica",IFERROR(INDEX(cat_SubN,MATCH(Q1769,cat_SubK,0)),"SIN CATALOGAR"),"ÁREA DE PROCESO")</f>
        <v>ÁREA DE PROCESO</v>
      </c>
      <c r="S1769" s="34" t="str">
        <f aca="false">IF(H1769="","SIN DATO",IFERROR(INDEX(cat_MarcaN,MATCH(H1769,cat_MarcaO,0)),H1769))</f>
        <v>ABB</v>
      </c>
      <c r="T1769" s="34" t="str">
        <f aca="false">IF(I1769="","SIN DATO",IFERROR(INDEX(cat_ModN,MATCH(I1769,cat_ModO,0)),I1769))</f>
        <v>1AMEBCADNEC5BNN11G</v>
      </c>
      <c r="U1769" s="34" t="str">
        <f aca="false">IF(I1769="","",IFERROR(INDEX(cat_ModG,MATCH(I1769,cat_ModO,0)),"No"))</f>
        <v>No</v>
      </c>
      <c r="V1769" s="34" t="str">
        <f aca="false">IF(J1769="","SIN DATO",IFERROR(INDEX(cat_FunN,MATCH(J1769,cat_FunO,0)),J1769))</f>
        <v>Protección y medición</v>
      </c>
      <c r="W1769" s="34" t="str">
        <f aca="false">IF(OR(S1769="SIN DATO",T1769="SIN DATO"),"No","Sí")</f>
        <v>Sí</v>
      </c>
    </row>
    <row r="1770" customFormat="false" ht="15" hidden="false" customHeight="false" outlineLevel="0" collapsed="false">
      <c r="A1770" s="34" t="s">
        <v>6444</v>
      </c>
      <c r="B1770" s="34" t="s">
        <v>6445</v>
      </c>
      <c r="C1770" s="34" t="s">
        <v>6446</v>
      </c>
      <c r="D1770" s="34" t="s">
        <v>6447</v>
      </c>
      <c r="E1770" s="34" t="s">
        <v>111</v>
      </c>
      <c r="F1770" s="34" t="s">
        <v>6375</v>
      </c>
      <c r="G1770" s="34" t="s">
        <v>2431</v>
      </c>
      <c r="H1770" s="34" t="s">
        <v>34</v>
      </c>
      <c r="I1770" s="34" t="s">
        <v>36</v>
      </c>
      <c r="J1770" s="34" t="s">
        <v>681</v>
      </c>
      <c r="K1770" s="34" t="s">
        <v>229</v>
      </c>
      <c r="L1770" s="34" t="s">
        <v>230</v>
      </c>
      <c r="M1770" s="34" t="s">
        <v>682</v>
      </c>
      <c r="N1770" s="34" t="str">
        <f aca="false">"Sector "&amp;VALUE(MID(D1770,13,2))</f>
        <v>Sector 1</v>
      </c>
      <c r="O1770" s="34" t="str">
        <f aca="false">IF(Dashboard!$C$5="Ubicación técnica",N1770,"Sector "&amp;VALUE(RIGHT(G1770,2)))</f>
        <v>Sector 1</v>
      </c>
      <c r="P1770" s="34" t="str">
        <f aca="false">IF(MID(D1770,15,3)="SEL","Subestación eléctrica","Área de proceso")</f>
        <v>Área de proceso</v>
      </c>
      <c r="Q1770" s="34" t="str">
        <f aca="false">MID(D1770,13,5)&amp;"|"&amp;MID(D1770,19,5)</f>
        <v>01PRA|SATMO</v>
      </c>
      <c r="R1770" s="34" t="str">
        <f aca="false">IF(P1770="Subestación eléctrica",IFERROR(INDEX(cat_SubN,MATCH(Q1770,cat_SubK,0)),"SIN CATALOGAR"),"ÁREA DE PROCESO")</f>
        <v>ÁREA DE PROCESO</v>
      </c>
      <c r="S1770" s="34" t="str">
        <f aca="false">IF(H1770="","SIN DATO",IFERROR(INDEX(cat_MarcaN,MATCH(H1770,cat_MarcaO,0)),H1770))</f>
        <v>ABB</v>
      </c>
      <c r="T1770" s="34" t="str">
        <f aca="false">IF(I1770="","SIN DATO",IFERROR(INDEX(cat_ModN,MATCH(I1770,cat_ModO,0)),I1770))</f>
        <v>1AFFAEAGNEC5BNA11G</v>
      </c>
      <c r="U1770" s="34" t="str">
        <f aca="false">IF(I1770="","",IFERROR(INDEX(cat_ModG,MATCH(I1770,cat_ModO,0)),"No"))</f>
        <v>No</v>
      </c>
      <c r="V1770" s="34" t="str">
        <f aca="false">IF(J1770="","SIN DATO",IFERROR(INDEX(cat_FunN,MATCH(J1770,cat_FunO,0)),J1770))</f>
        <v>Protección</v>
      </c>
      <c r="W1770" s="34" t="str">
        <f aca="false">IF(OR(S1770="SIN DATO",T1770="SIN DATO"),"No","Sí")</f>
        <v>Sí</v>
      </c>
    </row>
    <row r="1771" customFormat="false" ht="15" hidden="false" customHeight="false" outlineLevel="0" collapsed="false">
      <c r="A1771" s="34" t="s">
        <v>6448</v>
      </c>
      <c r="B1771" s="34" t="s">
        <v>6449</v>
      </c>
      <c r="C1771" s="34" t="s">
        <v>6450</v>
      </c>
      <c r="D1771" s="34" t="s">
        <v>6447</v>
      </c>
      <c r="E1771" s="34" t="s">
        <v>111</v>
      </c>
      <c r="F1771" s="34" t="s">
        <v>6375</v>
      </c>
      <c r="G1771" s="34" t="s">
        <v>2431</v>
      </c>
      <c r="H1771" s="34" t="s">
        <v>34</v>
      </c>
      <c r="I1771" s="34" t="s">
        <v>36</v>
      </c>
      <c r="J1771" s="34" t="s">
        <v>681</v>
      </c>
      <c r="K1771" s="34" t="s">
        <v>229</v>
      </c>
      <c r="L1771" s="34" t="s">
        <v>230</v>
      </c>
      <c r="M1771" s="34" t="s">
        <v>682</v>
      </c>
      <c r="N1771" s="34" t="str">
        <f aca="false">"Sector "&amp;VALUE(MID(D1771,13,2))</f>
        <v>Sector 1</v>
      </c>
      <c r="O1771" s="34" t="str">
        <f aca="false">IF(Dashboard!$C$5="Ubicación técnica",N1771,"Sector "&amp;VALUE(RIGHT(G1771,2)))</f>
        <v>Sector 1</v>
      </c>
      <c r="P1771" s="34" t="str">
        <f aca="false">IF(MID(D1771,15,3)="SEL","Subestación eléctrica","Área de proceso")</f>
        <v>Área de proceso</v>
      </c>
      <c r="Q1771" s="34" t="str">
        <f aca="false">MID(D1771,13,5)&amp;"|"&amp;MID(D1771,19,5)</f>
        <v>01PRA|SATMO</v>
      </c>
      <c r="R1771" s="34" t="str">
        <f aca="false">IF(P1771="Subestación eléctrica",IFERROR(INDEX(cat_SubN,MATCH(Q1771,cat_SubK,0)),"SIN CATALOGAR"),"ÁREA DE PROCESO")</f>
        <v>ÁREA DE PROCESO</v>
      </c>
      <c r="S1771" s="34" t="str">
        <f aca="false">IF(H1771="","SIN DATO",IFERROR(INDEX(cat_MarcaN,MATCH(H1771,cat_MarcaO,0)),H1771))</f>
        <v>ABB</v>
      </c>
      <c r="T1771" s="34" t="str">
        <f aca="false">IF(I1771="","SIN DATO",IFERROR(INDEX(cat_ModN,MATCH(I1771,cat_ModO,0)),I1771))</f>
        <v>1AFFAEAGNEC5BNA11G</v>
      </c>
      <c r="U1771" s="34" t="str">
        <f aca="false">IF(I1771="","",IFERROR(INDEX(cat_ModG,MATCH(I1771,cat_ModO,0)),"No"))</f>
        <v>No</v>
      </c>
      <c r="V1771" s="34" t="str">
        <f aca="false">IF(J1771="","SIN DATO",IFERROR(INDEX(cat_FunN,MATCH(J1771,cat_FunO,0)),J1771))</f>
        <v>Protección</v>
      </c>
      <c r="W1771" s="34" t="str">
        <f aca="false">IF(OR(S1771="SIN DATO",T1771="SIN DATO"),"No","Sí")</f>
        <v>Sí</v>
      </c>
    </row>
    <row r="1772" customFormat="false" ht="15" hidden="false" customHeight="false" outlineLevel="0" collapsed="false">
      <c r="A1772" s="34" t="s">
        <v>6451</v>
      </c>
      <c r="B1772" s="34" t="s">
        <v>6452</v>
      </c>
      <c r="C1772" s="34" t="s">
        <v>6453</v>
      </c>
      <c r="D1772" s="34" t="s">
        <v>6447</v>
      </c>
      <c r="E1772" s="34" t="s">
        <v>111</v>
      </c>
      <c r="F1772" s="34" t="s">
        <v>6375</v>
      </c>
      <c r="G1772" s="34" t="s">
        <v>2431</v>
      </c>
      <c r="H1772" s="34" t="s">
        <v>34</v>
      </c>
      <c r="I1772" s="34" t="s">
        <v>38</v>
      </c>
      <c r="J1772" s="34" t="s">
        <v>228</v>
      </c>
      <c r="K1772" s="34" t="s">
        <v>229</v>
      </c>
      <c r="L1772" s="34" t="s">
        <v>230</v>
      </c>
      <c r="M1772" s="34" t="s">
        <v>231</v>
      </c>
      <c r="N1772" s="34" t="str">
        <f aca="false">"Sector "&amp;VALUE(MID(D1772,13,2))</f>
        <v>Sector 1</v>
      </c>
      <c r="O1772" s="34" t="str">
        <f aca="false">IF(Dashboard!$C$5="Ubicación técnica",N1772,"Sector "&amp;VALUE(RIGHT(G1772,2)))</f>
        <v>Sector 1</v>
      </c>
      <c r="P1772" s="34" t="str">
        <f aca="false">IF(MID(D1772,15,3)="SEL","Subestación eléctrica","Área de proceso")</f>
        <v>Área de proceso</v>
      </c>
      <c r="Q1772" s="34" t="str">
        <f aca="false">MID(D1772,13,5)&amp;"|"&amp;MID(D1772,19,5)</f>
        <v>01PRA|SATMO</v>
      </c>
      <c r="R1772" s="34" t="str">
        <f aca="false">IF(P1772="Subestación eléctrica",IFERROR(INDEX(cat_SubN,MATCH(Q1772,cat_SubK,0)),"SIN CATALOGAR"),"ÁREA DE PROCESO")</f>
        <v>ÁREA DE PROCESO</v>
      </c>
      <c r="S1772" s="34" t="str">
        <f aca="false">IF(H1772="","SIN DATO",IFERROR(INDEX(cat_MarcaN,MATCH(H1772,cat_MarcaO,0)),H1772))</f>
        <v>ABB</v>
      </c>
      <c r="T1772" s="34" t="str">
        <f aca="false">IF(I1772="","SIN DATO",IFERROR(INDEX(cat_ModN,MATCH(I1772,cat_ModO,0)),I1772))</f>
        <v>1AMEBCADNEC5BNN11G</v>
      </c>
      <c r="U1772" s="34" t="str">
        <f aca="false">IF(I1772="","",IFERROR(INDEX(cat_ModG,MATCH(I1772,cat_ModO,0)),"No"))</f>
        <v>No</v>
      </c>
      <c r="V1772" s="34" t="str">
        <f aca="false">IF(J1772="","SIN DATO",IFERROR(INDEX(cat_FunN,MATCH(J1772,cat_FunO,0)),J1772))</f>
        <v>Protección y medición</v>
      </c>
      <c r="W1772" s="34" t="str">
        <f aca="false">IF(OR(S1772="SIN DATO",T1772="SIN DATO"),"No","Sí")</f>
        <v>Sí</v>
      </c>
    </row>
    <row r="1773" customFormat="false" ht="15" hidden="false" customHeight="false" outlineLevel="0" collapsed="false">
      <c r="A1773" s="34" t="s">
        <v>6454</v>
      </c>
      <c r="B1773" s="34" t="s">
        <v>6455</v>
      </c>
      <c r="C1773" s="34" t="s">
        <v>6456</v>
      </c>
      <c r="D1773" s="34" t="s">
        <v>6457</v>
      </c>
      <c r="E1773" s="34" t="s">
        <v>111</v>
      </c>
      <c r="F1773" s="34" t="s">
        <v>6375</v>
      </c>
      <c r="G1773" s="34" t="s">
        <v>2431</v>
      </c>
      <c r="H1773" s="34" t="s">
        <v>34</v>
      </c>
      <c r="I1773" s="34" t="s">
        <v>36</v>
      </c>
      <c r="J1773" s="34" t="s">
        <v>681</v>
      </c>
      <c r="K1773" s="34" t="s">
        <v>229</v>
      </c>
      <c r="L1773" s="34" t="s">
        <v>230</v>
      </c>
      <c r="M1773" s="34" t="s">
        <v>682</v>
      </c>
      <c r="N1773" s="34" t="str">
        <f aca="false">"Sector "&amp;VALUE(MID(D1773,13,2))</f>
        <v>Sector 1</v>
      </c>
      <c r="O1773" s="34" t="str">
        <f aca="false">IF(Dashboard!$C$5="Ubicación técnica",N1773,"Sector "&amp;VALUE(RIGHT(G1773,2)))</f>
        <v>Sector 1</v>
      </c>
      <c r="P1773" s="34" t="str">
        <f aca="false">IF(MID(D1773,15,3)="SEL","Subestación eléctrica","Área de proceso")</f>
        <v>Área de proceso</v>
      </c>
      <c r="Q1773" s="34" t="str">
        <f aca="false">MID(D1773,13,5)&amp;"|"&amp;MID(D1773,19,5)</f>
        <v>01PRA|SCOMP</v>
      </c>
      <c r="R1773" s="34" t="str">
        <f aca="false">IF(P1773="Subestación eléctrica",IFERROR(INDEX(cat_SubN,MATCH(Q1773,cat_SubK,0)),"SIN CATALOGAR"),"ÁREA DE PROCESO")</f>
        <v>ÁREA DE PROCESO</v>
      </c>
      <c r="S1773" s="34" t="str">
        <f aca="false">IF(H1773="","SIN DATO",IFERROR(INDEX(cat_MarcaN,MATCH(H1773,cat_MarcaO,0)),H1773))</f>
        <v>ABB</v>
      </c>
      <c r="T1773" s="34" t="str">
        <f aca="false">IF(I1773="","SIN DATO",IFERROR(INDEX(cat_ModN,MATCH(I1773,cat_ModO,0)),I1773))</f>
        <v>1AFFAEAGNEC5BNA11G</v>
      </c>
      <c r="U1773" s="34" t="str">
        <f aca="false">IF(I1773="","",IFERROR(INDEX(cat_ModG,MATCH(I1773,cat_ModO,0)),"No"))</f>
        <v>No</v>
      </c>
      <c r="V1773" s="34" t="str">
        <f aca="false">IF(J1773="","SIN DATO",IFERROR(INDEX(cat_FunN,MATCH(J1773,cat_FunO,0)),J1773))</f>
        <v>Protección</v>
      </c>
      <c r="W1773" s="34" t="str">
        <f aca="false">IF(OR(S1773="SIN DATO",T1773="SIN DATO"),"No","Sí")</f>
        <v>Sí</v>
      </c>
    </row>
    <row r="1774" customFormat="false" ht="15" hidden="false" customHeight="false" outlineLevel="0" collapsed="false">
      <c r="A1774" s="34" t="s">
        <v>6458</v>
      </c>
      <c r="B1774" s="34" t="s">
        <v>6459</v>
      </c>
      <c r="C1774" s="34" t="s">
        <v>6460</v>
      </c>
      <c r="D1774" s="34" t="s">
        <v>6457</v>
      </c>
      <c r="E1774" s="34" t="s">
        <v>111</v>
      </c>
      <c r="F1774" s="34" t="s">
        <v>6375</v>
      </c>
      <c r="G1774" s="34" t="s">
        <v>2431</v>
      </c>
      <c r="H1774" s="34" t="s">
        <v>34</v>
      </c>
      <c r="I1774" s="34" t="s">
        <v>38</v>
      </c>
      <c r="J1774" s="34" t="s">
        <v>228</v>
      </c>
      <c r="K1774" s="34" t="s">
        <v>229</v>
      </c>
      <c r="L1774" s="34" t="s">
        <v>230</v>
      </c>
      <c r="M1774" s="34" t="s">
        <v>231</v>
      </c>
      <c r="N1774" s="34" t="str">
        <f aca="false">"Sector "&amp;VALUE(MID(D1774,13,2))</f>
        <v>Sector 1</v>
      </c>
      <c r="O1774" s="34" t="str">
        <f aca="false">IF(Dashboard!$C$5="Ubicación técnica",N1774,"Sector "&amp;VALUE(RIGHT(G1774,2)))</f>
        <v>Sector 1</v>
      </c>
      <c r="P1774" s="34" t="str">
        <f aca="false">IF(MID(D1774,15,3)="SEL","Subestación eléctrica","Área de proceso")</f>
        <v>Área de proceso</v>
      </c>
      <c r="Q1774" s="34" t="str">
        <f aca="false">MID(D1774,13,5)&amp;"|"&amp;MID(D1774,19,5)</f>
        <v>01PRA|SCOMP</v>
      </c>
      <c r="R1774" s="34" t="str">
        <f aca="false">IF(P1774="Subestación eléctrica",IFERROR(INDEX(cat_SubN,MATCH(Q1774,cat_SubK,0)),"SIN CATALOGAR"),"ÁREA DE PROCESO")</f>
        <v>ÁREA DE PROCESO</v>
      </c>
      <c r="S1774" s="34" t="str">
        <f aca="false">IF(H1774="","SIN DATO",IFERROR(INDEX(cat_MarcaN,MATCH(H1774,cat_MarcaO,0)),H1774))</f>
        <v>ABB</v>
      </c>
      <c r="T1774" s="34" t="str">
        <f aca="false">IF(I1774="","SIN DATO",IFERROR(INDEX(cat_ModN,MATCH(I1774,cat_ModO,0)),I1774))</f>
        <v>1AMEBCADNEC5BNN11G</v>
      </c>
      <c r="U1774" s="34" t="str">
        <f aca="false">IF(I1774="","",IFERROR(INDEX(cat_ModG,MATCH(I1774,cat_ModO,0)),"No"))</f>
        <v>No</v>
      </c>
      <c r="V1774" s="34" t="str">
        <f aca="false">IF(J1774="","SIN DATO",IFERROR(INDEX(cat_FunN,MATCH(J1774,cat_FunO,0)),J1774))</f>
        <v>Protección y medición</v>
      </c>
      <c r="W1774" s="34" t="str">
        <f aca="false">IF(OR(S1774="SIN DATO",T1774="SIN DATO"),"No","Sí")</f>
        <v>Sí</v>
      </c>
    </row>
    <row r="1775" customFormat="false" ht="15" hidden="false" customHeight="false" outlineLevel="0" collapsed="false">
      <c r="A1775" s="34" t="s">
        <v>6461</v>
      </c>
      <c r="B1775" s="34" t="s">
        <v>6462</v>
      </c>
      <c r="C1775" s="34" t="s">
        <v>6463</v>
      </c>
      <c r="D1775" s="34" t="s">
        <v>6413</v>
      </c>
      <c r="E1775" s="34" t="s">
        <v>111</v>
      </c>
      <c r="F1775" s="34" t="s">
        <v>6375</v>
      </c>
      <c r="G1775" s="34" t="s">
        <v>2431</v>
      </c>
      <c r="H1775" s="34" t="s">
        <v>90</v>
      </c>
      <c r="I1775" s="34" t="s">
        <v>92</v>
      </c>
      <c r="J1775" s="34" t="s">
        <v>681</v>
      </c>
      <c r="K1775" s="34" t="s">
        <v>229</v>
      </c>
      <c r="L1775" s="34" t="s">
        <v>230</v>
      </c>
      <c r="M1775" s="34" t="s">
        <v>4254</v>
      </c>
      <c r="N1775" s="34" t="str">
        <f aca="false">"Sector "&amp;VALUE(MID(D1775,13,2))</f>
        <v>Sector 1</v>
      </c>
      <c r="O1775" s="34" t="str">
        <f aca="false">IF(Dashboard!$C$5="Ubicación técnica",N1775,"Sector "&amp;VALUE(RIGHT(G1775,2)))</f>
        <v>Sector 1</v>
      </c>
      <c r="P1775" s="34" t="str">
        <f aca="false">IF(MID(D1775,15,3)="SEL","Subestación eléctrica","Área de proceso")</f>
        <v>Área de proceso</v>
      </c>
      <c r="Q1775" s="34" t="str">
        <f aca="false">MID(D1775,13,5)&amp;"|"&amp;MID(D1775,19,5)</f>
        <v>01PRA|SCARG</v>
      </c>
      <c r="R1775" s="34" t="str">
        <f aca="false">IF(P1775="Subestación eléctrica",IFERROR(INDEX(cat_SubN,MATCH(Q1775,cat_SubK,0)),"SIN CATALOGAR"),"ÁREA DE PROCESO")</f>
        <v>ÁREA DE PROCESO</v>
      </c>
      <c r="S1775" s="34" t="str">
        <f aca="false">IF(H1775="","SIN DATO",IFERROR(INDEX(cat_MarcaN,MATCH(H1775,cat_MarcaO,0)),H1775))</f>
        <v>ALLEN-BRADLEY</v>
      </c>
      <c r="T1775" s="34" t="str">
        <f aca="false">IF(I1775="","SIN DATO",IFERROR(INDEX(cat_ModN,MATCH(I1775,cat_ModO,0)),I1775))</f>
        <v>857</v>
      </c>
      <c r="U1775" s="34" t="str">
        <f aca="false">IF(I1775="","",IFERROR(INDEX(cat_ModG,MATCH(I1775,cat_ModO,0)),"No"))</f>
        <v>No</v>
      </c>
      <c r="V1775" s="34" t="str">
        <f aca="false">IF(J1775="","SIN DATO",IFERROR(INDEX(cat_FunN,MATCH(J1775,cat_FunO,0)),J1775))</f>
        <v>Protección</v>
      </c>
      <c r="W1775" s="34" t="str">
        <f aca="false">IF(OR(S1775="SIN DATO",T1775="SIN DATO"),"No","Sí")</f>
        <v>Sí</v>
      </c>
    </row>
    <row r="1776" customFormat="false" ht="15" hidden="false" customHeight="false" outlineLevel="0" collapsed="false">
      <c r="A1776" s="34" t="s">
        <v>6464</v>
      </c>
      <c r="B1776" s="34" t="s">
        <v>6465</v>
      </c>
      <c r="C1776" s="34" t="s">
        <v>6466</v>
      </c>
      <c r="D1776" s="34" t="s">
        <v>6467</v>
      </c>
      <c r="E1776" s="34" t="s">
        <v>111</v>
      </c>
      <c r="F1776" s="34" t="s">
        <v>6375</v>
      </c>
      <c r="G1776" s="34" t="s">
        <v>2431</v>
      </c>
      <c r="H1776" s="34" t="s">
        <v>34</v>
      </c>
      <c r="I1776" s="34" t="s">
        <v>36</v>
      </c>
      <c r="J1776" s="34" t="s">
        <v>681</v>
      </c>
      <c r="K1776" s="34" t="s">
        <v>229</v>
      </c>
      <c r="L1776" s="34" t="s">
        <v>230</v>
      </c>
      <c r="M1776" s="34" t="s">
        <v>682</v>
      </c>
      <c r="N1776" s="34" t="str">
        <f aca="false">"Sector "&amp;VALUE(MID(D1776,13,2))</f>
        <v>Sector 1</v>
      </c>
      <c r="O1776" s="34" t="str">
        <f aca="false">IF(Dashboard!$C$5="Ubicación técnica",N1776,"Sector "&amp;VALUE(RIGHT(G1776,2)))</f>
        <v>Sector 1</v>
      </c>
      <c r="P1776" s="34" t="str">
        <f aca="false">IF(MID(D1776,15,3)="SEL","Subestación eléctrica","Área de proceso")</f>
        <v>Área de proceso</v>
      </c>
      <c r="Q1776" s="34" t="str">
        <f aca="false">MID(D1776,13,5)&amp;"|"&amp;MID(D1776,19,5)</f>
        <v>01PRA|SATMO</v>
      </c>
      <c r="R1776" s="34" t="str">
        <f aca="false">IF(P1776="Subestación eléctrica",IFERROR(INDEX(cat_SubN,MATCH(Q1776,cat_SubK,0)),"SIN CATALOGAR"),"ÁREA DE PROCESO")</f>
        <v>ÁREA DE PROCESO</v>
      </c>
      <c r="S1776" s="34" t="str">
        <f aca="false">IF(H1776="","SIN DATO",IFERROR(INDEX(cat_MarcaN,MATCH(H1776,cat_MarcaO,0)),H1776))</f>
        <v>ABB</v>
      </c>
      <c r="T1776" s="34" t="str">
        <f aca="false">IF(I1776="","SIN DATO",IFERROR(INDEX(cat_ModN,MATCH(I1776,cat_ModO,0)),I1776))</f>
        <v>1AFFAEAGNEC5BNA11G</v>
      </c>
      <c r="U1776" s="34" t="str">
        <f aca="false">IF(I1776="","",IFERROR(INDEX(cat_ModG,MATCH(I1776,cat_ModO,0)),"No"))</f>
        <v>No</v>
      </c>
      <c r="V1776" s="34" t="str">
        <f aca="false">IF(J1776="","SIN DATO",IFERROR(INDEX(cat_FunN,MATCH(J1776,cat_FunO,0)),J1776))</f>
        <v>Protección</v>
      </c>
      <c r="W1776" s="34" t="str">
        <f aca="false">IF(OR(S1776="SIN DATO",T1776="SIN DATO"),"No","Sí")</f>
        <v>Sí</v>
      </c>
    </row>
    <row r="1777" customFormat="false" ht="15" hidden="false" customHeight="false" outlineLevel="0" collapsed="false">
      <c r="A1777" s="34" t="s">
        <v>6468</v>
      </c>
      <c r="B1777" s="34" t="s">
        <v>6469</v>
      </c>
      <c r="C1777" s="34" t="s">
        <v>6470</v>
      </c>
      <c r="D1777" s="34" t="s">
        <v>6467</v>
      </c>
      <c r="E1777" s="34" t="s">
        <v>111</v>
      </c>
      <c r="F1777" s="34" t="s">
        <v>6375</v>
      </c>
      <c r="G1777" s="34" t="s">
        <v>2431</v>
      </c>
      <c r="H1777" s="34" t="s">
        <v>34</v>
      </c>
      <c r="I1777" s="34" t="s">
        <v>38</v>
      </c>
      <c r="J1777" s="34" t="s">
        <v>228</v>
      </c>
      <c r="K1777" s="34" t="s">
        <v>229</v>
      </c>
      <c r="L1777" s="34" t="s">
        <v>230</v>
      </c>
      <c r="M1777" s="34" t="s">
        <v>231</v>
      </c>
      <c r="N1777" s="34" t="str">
        <f aca="false">"Sector "&amp;VALUE(MID(D1777,13,2))</f>
        <v>Sector 1</v>
      </c>
      <c r="O1777" s="34" t="str">
        <f aca="false">IF(Dashboard!$C$5="Ubicación técnica",N1777,"Sector "&amp;VALUE(RIGHT(G1777,2)))</f>
        <v>Sector 1</v>
      </c>
      <c r="P1777" s="34" t="str">
        <f aca="false">IF(MID(D1777,15,3)="SEL","Subestación eléctrica","Área de proceso")</f>
        <v>Área de proceso</v>
      </c>
      <c r="Q1777" s="34" t="str">
        <f aca="false">MID(D1777,13,5)&amp;"|"&amp;MID(D1777,19,5)</f>
        <v>01PRA|SATMO</v>
      </c>
      <c r="R1777" s="34" t="str">
        <f aca="false">IF(P1777="Subestación eléctrica",IFERROR(INDEX(cat_SubN,MATCH(Q1777,cat_SubK,0)),"SIN CATALOGAR"),"ÁREA DE PROCESO")</f>
        <v>ÁREA DE PROCESO</v>
      </c>
      <c r="S1777" s="34" t="str">
        <f aca="false">IF(H1777="","SIN DATO",IFERROR(INDEX(cat_MarcaN,MATCH(H1777,cat_MarcaO,0)),H1777))</f>
        <v>ABB</v>
      </c>
      <c r="T1777" s="34" t="str">
        <f aca="false">IF(I1777="","SIN DATO",IFERROR(INDEX(cat_ModN,MATCH(I1777,cat_ModO,0)),I1777))</f>
        <v>1AMEBCADNEC5BNN11G</v>
      </c>
      <c r="U1777" s="34" t="str">
        <f aca="false">IF(I1777="","",IFERROR(INDEX(cat_ModG,MATCH(I1777,cat_ModO,0)),"No"))</f>
        <v>No</v>
      </c>
      <c r="V1777" s="34" t="str">
        <f aca="false">IF(J1777="","SIN DATO",IFERROR(INDEX(cat_FunN,MATCH(J1777,cat_FunO,0)),J1777))</f>
        <v>Protección y medición</v>
      </c>
      <c r="W1777" s="34" t="str">
        <f aca="false">IF(OR(S1777="SIN DATO",T1777="SIN DATO"),"No","Sí")</f>
        <v>Sí</v>
      </c>
    </row>
    <row r="1778" customFormat="false" ht="15" hidden="false" customHeight="false" outlineLevel="0" collapsed="false">
      <c r="A1778" s="34" t="s">
        <v>6471</v>
      </c>
      <c r="B1778" s="34" t="s">
        <v>6472</v>
      </c>
      <c r="C1778" s="34" t="s">
        <v>6473</v>
      </c>
      <c r="D1778" s="34" t="s">
        <v>6474</v>
      </c>
      <c r="E1778" s="34" t="s">
        <v>111</v>
      </c>
      <c r="F1778" s="34" t="s">
        <v>6375</v>
      </c>
      <c r="G1778" s="34" t="s">
        <v>2431</v>
      </c>
      <c r="H1778" s="34" t="s">
        <v>34</v>
      </c>
      <c r="I1778" s="34" t="s">
        <v>36</v>
      </c>
      <c r="J1778" s="34" t="s">
        <v>681</v>
      </c>
      <c r="K1778" s="34" t="s">
        <v>229</v>
      </c>
      <c r="L1778" s="34" t="s">
        <v>230</v>
      </c>
      <c r="M1778" s="34" t="s">
        <v>682</v>
      </c>
      <c r="N1778" s="34" t="str">
        <f aca="false">"Sector "&amp;VALUE(MID(D1778,13,2))</f>
        <v>Sector 1</v>
      </c>
      <c r="O1778" s="34" t="str">
        <f aca="false">IF(Dashboard!$C$5="Ubicación técnica",N1778,"Sector "&amp;VALUE(RIGHT(G1778,2)))</f>
        <v>Sector 1</v>
      </c>
      <c r="P1778" s="34" t="str">
        <f aca="false">IF(MID(D1778,15,3)="SEL","Subestación eléctrica","Área de proceso")</f>
        <v>Área de proceso</v>
      </c>
      <c r="Q1778" s="34" t="str">
        <f aca="false">MID(D1778,13,5)&amp;"|"&amp;MID(D1778,19,5)</f>
        <v>01PRA|SVACI</v>
      </c>
      <c r="R1778" s="34" t="str">
        <f aca="false">IF(P1778="Subestación eléctrica",IFERROR(INDEX(cat_SubN,MATCH(Q1778,cat_SubK,0)),"SIN CATALOGAR"),"ÁREA DE PROCESO")</f>
        <v>ÁREA DE PROCESO</v>
      </c>
      <c r="S1778" s="34" t="str">
        <f aca="false">IF(H1778="","SIN DATO",IFERROR(INDEX(cat_MarcaN,MATCH(H1778,cat_MarcaO,0)),H1778))</f>
        <v>ABB</v>
      </c>
      <c r="T1778" s="34" t="str">
        <f aca="false">IF(I1778="","SIN DATO",IFERROR(INDEX(cat_ModN,MATCH(I1778,cat_ModO,0)),I1778))</f>
        <v>1AFFAEAGNEC5BNA11G</v>
      </c>
      <c r="U1778" s="34" t="str">
        <f aca="false">IF(I1778="","",IFERROR(INDEX(cat_ModG,MATCH(I1778,cat_ModO,0)),"No"))</f>
        <v>No</v>
      </c>
      <c r="V1778" s="34" t="str">
        <f aca="false">IF(J1778="","SIN DATO",IFERROR(INDEX(cat_FunN,MATCH(J1778,cat_FunO,0)),J1778))</f>
        <v>Protección</v>
      </c>
      <c r="W1778" s="34" t="str">
        <f aca="false">IF(OR(S1778="SIN DATO",T1778="SIN DATO"),"No","Sí")</f>
        <v>Sí</v>
      </c>
    </row>
    <row r="1779" customFormat="false" ht="15" hidden="false" customHeight="false" outlineLevel="0" collapsed="false">
      <c r="A1779" s="34" t="s">
        <v>6475</v>
      </c>
      <c r="B1779" s="34" t="s">
        <v>6476</v>
      </c>
      <c r="C1779" s="34" t="s">
        <v>6477</v>
      </c>
      <c r="D1779" s="34" t="s">
        <v>6474</v>
      </c>
      <c r="E1779" s="34" t="s">
        <v>111</v>
      </c>
      <c r="F1779" s="34" t="s">
        <v>6375</v>
      </c>
      <c r="G1779" s="34" t="s">
        <v>2431</v>
      </c>
      <c r="H1779" s="34" t="s">
        <v>34</v>
      </c>
      <c r="I1779" s="34" t="s">
        <v>38</v>
      </c>
      <c r="J1779" s="34" t="s">
        <v>228</v>
      </c>
      <c r="K1779" s="34" t="s">
        <v>229</v>
      </c>
      <c r="L1779" s="34" t="s">
        <v>230</v>
      </c>
      <c r="M1779" s="34" t="s">
        <v>231</v>
      </c>
      <c r="N1779" s="34" t="str">
        <f aca="false">"Sector "&amp;VALUE(MID(D1779,13,2))</f>
        <v>Sector 1</v>
      </c>
      <c r="O1779" s="34" t="str">
        <f aca="false">IF(Dashboard!$C$5="Ubicación técnica",N1779,"Sector "&amp;VALUE(RIGHT(G1779,2)))</f>
        <v>Sector 1</v>
      </c>
      <c r="P1779" s="34" t="str">
        <f aca="false">IF(MID(D1779,15,3)="SEL","Subestación eléctrica","Área de proceso")</f>
        <v>Área de proceso</v>
      </c>
      <c r="Q1779" s="34" t="str">
        <f aca="false">MID(D1779,13,5)&amp;"|"&amp;MID(D1779,19,5)</f>
        <v>01PRA|SVACI</v>
      </c>
      <c r="R1779" s="34" t="str">
        <f aca="false">IF(P1779="Subestación eléctrica",IFERROR(INDEX(cat_SubN,MATCH(Q1779,cat_SubK,0)),"SIN CATALOGAR"),"ÁREA DE PROCESO")</f>
        <v>ÁREA DE PROCESO</v>
      </c>
      <c r="S1779" s="34" t="str">
        <f aca="false">IF(H1779="","SIN DATO",IFERROR(INDEX(cat_MarcaN,MATCH(H1779,cat_MarcaO,0)),H1779))</f>
        <v>ABB</v>
      </c>
      <c r="T1779" s="34" t="str">
        <f aca="false">IF(I1779="","SIN DATO",IFERROR(INDEX(cat_ModN,MATCH(I1779,cat_ModO,0)),I1779))</f>
        <v>1AMEBCADNEC5BNN11G</v>
      </c>
      <c r="U1779" s="34" t="str">
        <f aca="false">IF(I1779="","",IFERROR(INDEX(cat_ModG,MATCH(I1779,cat_ModO,0)),"No"))</f>
        <v>No</v>
      </c>
      <c r="V1779" s="34" t="str">
        <f aca="false">IF(J1779="","SIN DATO",IFERROR(INDEX(cat_FunN,MATCH(J1779,cat_FunO,0)),J1779))</f>
        <v>Protección y medición</v>
      </c>
      <c r="W1779" s="34" t="str">
        <f aca="false">IF(OR(S1779="SIN DATO",T1779="SIN DATO"),"No","Sí")</f>
        <v>Sí</v>
      </c>
    </row>
    <row r="1780" customFormat="false" ht="15" hidden="false" customHeight="false" outlineLevel="0" collapsed="false">
      <c r="A1780" s="34" t="s">
        <v>6478</v>
      </c>
      <c r="B1780" s="34" t="s">
        <v>6479</v>
      </c>
      <c r="C1780" s="34" t="s">
        <v>6480</v>
      </c>
      <c r="D1780" s="34" t="s">
        <v>6481</v>
      </c>
      <c r="E1780" s="34" t="s">
        <v>111</v>
      </c>
      <c r="F1780" s="34" t="s">
        <v>6375</v>
      </c>
      <c r="G1780" s="34" t="s">
        <v>2431</v>
      </c>
      <c r="H1780" s="34" t="s">
        <v>34</v>
      </c>
      <c r="I1780" s="34" t="s">
        <v>36</v>
      </c>
      <c r="J1780" s="34" t="s">
        <v>681</v>
      </c>
      <c r="K1780" s="34" t="s">
        <v>229</v>
      </c>
      <c r="L1780" s="34" t="s">
        <v>230</v>
      </c>
      <c r="M1780" s="34" t="s">
        <v>682</v>
      </c>
      <c r="N1780" s="34" t="str">
        <f aca="false">"Sector "&amp;VALUE(MID(D1780,13,2))</f>
        <v>Sector 1</v>
      </c>
      <c r="O1780" s="34" t="str">
        <f aca="false">IF(Dashboard!$C$5="Ubicación técnica",N1780,"Sector "&amp;VALUE(RIGHT(G1780,2)))</f>
        <v>Sector 1</v>
      </c>
      <c r="P1780" s="34" t="str">
        <f aca="false">IF(MID(D1780,15,3)="SEL","Subestación eléctrica","Área de proceso")</f>
        <v>Área de proceso</v>
      </c>
      <c r="Q1780" s="34" t="str">
        <f aca="false">MID(D1780,13,5)&amp;"|"&amp;MID(D1780,19,5)</f>
        <v>01PRA|SVACI</v>
      </c>
      <c r="R1780" s="34" t="str">
        <f aca="false">IF(P1780="Subestación eléctrica",IFERROR(INDEX(cat_SubN,MATCH(Q1780,cat_SubK,0)),"SIN CATALOGAR"),"ÁREA DE PROCESO")</f>
        <v>ÁREA DE PROCESO</v>
      </c>
      <c r="S1780" s="34" t="str">
        <f aca="false">IF(H1780="","SIN DATO",IFERROR(INDEX(cat_MarcaN,MATCH(H1780,cat_MarcaO,0)),H1780))</f>
        <v>ABB</v>
      </c>
      <c r="T1780" s="34" t="str">
        <f aca="false">IF(I1780="","SIN DATO",IFERROR(INDEX(cat_ModN,MATCH(I1780,cat_ModO,0)),I1780))</f>
        <v>1AFFAEAGNEC5BNA11G</v>
      </c>
      <c r="U1780" s="34" t="str">
        <f aca="false">IF(I1780="","",IFERROR(INDEX(cat_ModG,MATCH(I1780,cat_ModO,0)),"No"))</f>
        <v>No</v>
      </c>
      <c r="V1780" s="34" t="str">
        <f aca="false">IF(J1780="","SIN DATO",IFERROR(INDEX(cat_FunN,MATCH(J1780,cat_FunO,0)),J1780))</f>
        <v>Protección</v>
      </c>
      <c r="W1780" s="34" t="str">
        <f aca="false">IF(OR(S1780="SIN DATO",T1780="SIN DATO"),"No","Sí")</f>
        <v>Sí</v>
      </c>
    </row>
    <row r="1781" customFormat="false" ht="15" hidden="false" customHeight="false" outlineLevel="0" collapsed="false">
      <c r="A1781" s="34" t="s">
        <v>6482</v>
      </c>
      <c r="B1781" s="34" t="s">
        <v>6483</v>
      </c>
      <c r="C1781" s="34" t="s">
        <v>6484</v>
      </c>
      <c r="D1781" s="34" t="s">
        <v>6481</v>
      </c>
      <c r="E1781" s="34" t="s">
        <v>111</v>
      </c>
      <c r="F1781" s="34" t="s">
        <v>6375</v>
      </c>
      <c r="G1781" s="34" t="s">
        <v>2431</v>
      </c>
      <c r="H1781" s="34" t="s">
        <v>34</v>
      </c>
      <c r="I1781" s="34" t="s">
        <v>38</v>
      </c>
      <c r="J1781" s="34" t="s">
        <v>228</v>
      </c>
      <c r="K1781" s="34" t="s">
        <v>229</v>
      </c>
      <c r="L1781" s="34" t="s">
        <v>230</v>
      </c>
      <c r="M1781" s="34" t="s">
        <v>231</v>
      </c>
      <c r="N1781" s="34" t="str">
        <f aca="false">"Sector "&amp;VALUE(MID(D1781,13,2))</f>
        <v>Sector 1</v>
      </c>
      <c r="O1781" s="34" t="str">
        <f aca="false">IF(Dashboard!$C$5="Ubicación técnica",N1781,"Sector "&amp;VALUE(RIGHT(G1781,2)))</f>
        <v>Sector 1</v>
      </c>
      <c r="P1781" s="34" t="str">
        <f aca="false">IF(MID(D1781,15,3)="SEL","Subestación eléctrica","Área de proceso")</f>
        <v>Área de proceso</v>
      </c>
      <c r="Q1781" s="34" t="str">
        <f aca="false">MID(D1781,13,5)&amp;"|"&amp;MID(D1781,19,5)</f>
        <v>01PRA|SVACI</v>
      </c>
      <c r="R1781" s="34" t="str">
        <f aca="false">IF(P1781="Subestación eléctrica",IFERROR(INDEX(cat_SubN,MATCH(Q1781,cat_SubK,0)),"SIN CATALOGAR"),"ÁREA DE PROCESO")</f>
        <v>ÁREA DE PROCESO</v>
      </c>
      <c r="S1781" s="34" t="str">
        <f aca="false">IF(H1781="","SIN DATO",IFERROR(INDEX(cat_MarcaN,MATCH(H1781,cat_MarcaO,0)),H1781))</f>
        <v>ABB</v>
      </c>
      <c r="T1781" s="34" t="str">
        <f aca="false">IF(I1781="","SIN DATO",IFERROR(INDEX(cat_ModN,MATCH(I1781,cat_ModO,0)),I1781))</f>
        <v>1AMEBCADNEC5BNN11G</v>
      </c>
      <c r="U1781" s="34" t="str">
        <f aca="false">IF(I1781="","",IFERROR(INDEX(cat_ModG,MATCH(I1781,cat_ModO,0)),"No"))</f>
        <v>No</v>
      </c>
      <c r="V1781" s="34" t="str">
        <f aca="false">IF(J1781="","SIN DATO",IFERROR(INDEX(cat_FunN,MATCH(J1781,cat_FunO,0)),J1781))</f>
        <v>Protección y medición</v>
      </c>
      <c r="W1781" s="34" t="str">
        <f aca="false">IF(OR(S1781="SIN DATO",T1781="SIN DATO"),"No","Sí")</f>
        <v>Sí</v>
      </c>
    </row>
    <row r="1782" customFormat="false" ht="15" hidden="false" customHeight="false" outlineLevel="0" collapsed="false">
      <c r="A1782" s="34" t="s">
        <v>6485</v>
      </c>
      <c r="B1782" s="34" t="s">
        <v>6486</v>
      </c>
      <c r="C1782" s="34" t="s">
        <v>6487</v>
      </c>
      <c r="D1782" s="34" t="s">
        <v>6488</v>
      </c>
      <c r="E1782" s="34" t="s">
        <v>111</v>
      </c>
      <c r="F1782" s="34" t="s">
        <v>6375</v>
      </c>
      <c r="G1782" s="34" t="s">
        <v>2431</v>
      </c>
      <c r="H1782" s="34" t="s">
        <v>34</v>
      </c>
      <c r="I1782" s="34" t="s">
        <v>36</v>
      </c>
      <c r="J1782" s="34" t="s">
        <v>681</v>
      </c>
      <c r="K1782" s="34" t="s">
        <v>229</v>
      </c>
      <c r="L1782" s="34" t="s">
        <v>230</v>
      </c>
      <c r="M1782" s="34" t="s">
        <v>682</v>
      </c>
      <c r="N1782" s="34" t="str">
        <f aca="false">"Sector "&amp;VALUE(MID(D1782,13,2))</f>
        <v>Sector 1</v>
      </c>
      <c r="O1782" s="34" t="str">
        <f aca="false">IF(Dashboard!$C$5="Ubicación técnica",N1782,"Sector "&amp;VALUE(RIGHT(G1782,2)))</f>
        <v>Sector 1</v>
      </c>
      <c r="P1782" s="34" t="str">
        <f aca="false">IF(MID(D1782,15,3)="SEL","Subestación eléctrica","Área de proceso")</f>
        <v>Área de proceso</v>
      </c>
      <c r="Q1782" s="34" t="str">
        <f aca="false">MID(D1782,13,5)&amp;"|"&amp;MID(D1782,19,5)</f>
        <v>01PRA|SATMO</v>
      </c>
      <c r="R1782" s="34" t="str">
        <f aca="false">IF(P1782="Subestación eléctrica",IFERROR(INDEX(cat_SubN,MATCH(Q1782,cat_SubK,0)),"SIN CATALOGAR"),"ÁREA DE PROCESO")</f>
        <v>ÁREA DE PROCESO</v>
      </c>
      <c r="S1782" s="34" t="str">
        <f aca="false">IF(H1782="","SIN DATO",IFERROR(INDEX(cat_MarcaN,MATCH(H1782,cat_MarcaO,0)),H1782))</f>
        <v>ABB</v>
      </c>
      <c r="T1782" s="34" t="str">
        <f aca="false">IF(I1782="","SIN DATO",IFERROR(INDEX(cat_ModN,MATCH(I1782,cat_ModO,0)),I1782))</f>
        <v>1AFFAEAGNEC5BNA11G</v>
      </c>
      <c r="U1782" s="34" t="str">
        <f aca="false">IF(I1782="","",IFERROR(INDEX(cat_ModG,MATCH(I1782,cat_ModO,0)),"No"))</f>
        <v>No</v>
      </c>
      <c r="V1782" s="34" t="str">
        <f aca="false">IF(J1782="","SIN DATO",IFERROR(INDEX(cat_FunN,MATCH(J1782,cat_FunO,0)),J1782))</f>
        <v>Protección</v>
      </c>
      <c r="W1782" s="34" t="str">
        <f aca="false">IF(OR(S1782="SIN DATO",T1782="SIN DATO"),"No","Sí")</f>
        <v>Sí</v>
      </c>
    </row>
    <row r="1783" customFormat="false" ht="15" hidden="false" customHeight="false" outlineLevel="0" collapsed="false">
      <c r="A1783" s="34" t="s">
        <v>6489</v>
      </c>
      <c r="B1783" s="34" t="s">
        <v>6490</v>
      </c>
      <c r="C1783" s="34" t="s">
        <v>6491</v>
      </c>
      <c r="D1783" s="34" t="s">
        <v>6488</v>
      </c>
      <c r="E1783" s="34" t="s">
        <v>111</v>
      </c>
      <c r="F1783" s="34" t="s">
        <v>6375</v>
      </c>
      <c r="G1783" s="34" t="s">
        <v>2431</v>
      </c>
      <c r="H1783" s="34" t="s">
        <v>34</v>
      </c>
      <c r="I1783" s="34" t="s">
        <v>38</v>
      </c>
      <c r="J1783" s="34" t="s">
        <v>228</v>
      </c>
      <c r="K1783" s="34" t="s">
        <v>229</v>
      </c>
      <c r="L1783" s="34" t="s">
        <v>230</v>
      </c>
      <c r="M1783" s="34" t="s">
        <v>231</v>
      </c>
      <c r="N1783" s="34" t="str">
        <f aca="false">"Sector "&amp;VALUE(MID(D1783,13,2))</f>
        <v>Sector 1</v>
      </c>
      <c r="O1783" s="34" t="str">
        <f aca="false">IF(Dashboard!$C$5="Ubicación técnica",N1783,"Sector "&amp;VALUE(RIGHT(G1783,2)))</f>
        <v>Sector 1</v>
      </c>
      <c r="P1783" s="34" t="str">
        <f aca="false">IF(MID(D1783,15,3)="SEL","Subestación eléctrica","Área de proceso")</f>
        <v>Área de proceso</v>
      </c>
      <c r="Q1783" s="34" t="str">
        <f aca="false">MID(D1783,13,5)&amp;"|"&amp;MID(D1783,19,5)</f>
        <v>01PRA|SATMO</v>
      </c>
      <c r="R1783" s="34" t="str">
        <f aca="false">IF(P1783="Subestación eléctrica",IFERROR(INDEX(cat_SubN,MATCH(Q1783,cat_SubK,0)),"SIN CATALOGAR"),"ÁREA DE PROCESO")</f>
        <v>ÁREA DE PROCESO</v>
      </c>
      <c r="S1783" s="34" t="str">
        <f aca="false">IF(H1783="","SIN DATO",IFERROR(INDEX(cat_MarcaN,MATCH(H1783,cat_MarcaO,0)),H1783))</f>
        <v>ABB</v>
      </c>
      <c r="T1783" s="34" t="str">
        <f aca="false">IF(I1783="","SIN DATO",IFERROR(INDEX(cat_ModN,MATCH(I1783,cat_ModO,0)),I1783))</f>
        <v>1AMEBCADNEC5BNN11G</v>
      </c>
      <c r="U1783" s="34" t="str">
        <f aca="false">IF(I1783="","",IFERROR(INDEX(cat_ModG,MATCH(I1783,cat_ModO,0)),"No"))</f>
        <v>No</v>
      </c>
      <c r="V1783" s="34" t="str">
        <f aca="false">IF(J1783="","SIN DATO",IFERROR(INDEX(cat_FunN,MATCH(J1783,cat_FunO,0)),J1783))</f>
        <v>Protección y medición</v>
      </c>
      <c r="W1783" s="34" t="str">
        <f aca="false">IF(OR(S1783="SIN DATO",T1783="SIN DATO"),"No","Sí")</f>
        <v>Sí</v>
      </c>
    </row>
    <row r="1784" customFormat="false" ht="15" hidden="false" customHeight="false" outlineLevel="0" collapsed="false">
      <c r="A1784" s="34" t="s">
        <v>6492</v>
      </c>
      <c r="B1784" s="34" t="s">
        <v>6493</v>
      </c>
      <c r="C1784" s="34" t="s">
        <v>6494</v>
      </c>
      <c r="D1784" s="34" t="s">
        <v>6495</v>
      </c>
      <c r="E1784" s="34" t="s">
        <v>111</v>
      </c>
      <c r="F1784" s="34" t="s">
        <v>6375</v>
      </c>
      <c r="G1784" s="34" t="s">
        <v>2431</v>
      </c>
      <c r="H1784" s="34" t="s">
        <v>34</v>
      </c>
      <c r="I1784" s="34" t="s">
        <v>36</v>
      </c>
      <c r="J1784" s="34" t="s">
        <v>681</v>
      </c>
      <c r="K1784" s="34" t="s">
        <v>229</v>
      </c>
      <c r="L1784" s="34" t="s">
        <v>230</v>
      </c>
      <c r="M1784" s="34" t="s">
        <v>682</v>
      </c>
      <c r="N1784" s="34" t="str">
        <f aca="false">"Sector "&amp;VALUE(MID(D1784,13,2))</f>
        <v>Sector 1</v>
      </c>
      <c r="O1784" s="34" t="str">
        <f aca="false">IF(Dashboard!$C$5="Ubicación técnica",N1784,"Sector "&amp;VALUE(RIGHT(G1784,2)))</f>
        <v>Sector 1</v>
      </c>
      <c r="P1784" s="34" t="str">
        <f aca="false">IF(MID(D1784,15,3)="SEL","Subestación eléctrica","Área de proceso")</f>
        <v>Área de proceso</v>
      </c>
      <c r="Q1784" s="34" t="str">
        <f aca="false">MID(D1784,13,5)&amp;"|"&amp;MID(D1784,19,5)</f>
        <v>01PRA|SATMO</v>
      </c>
      <c r="R1784" s="34" t="str">
        <f aca="false">IF(P1784="Subestación eléctrica",IFERROR(INDEX(cat_SubN,MATCH(Q1784,cat_SubK,0)),"SIN CATALOGAR"),"ÁREA DE PROCESO")</f>
        <v>ÁREA DE PROCESO</v>
      </c>
      <c r="S1784" s="34" t="str">
        <f aca="false">IF(H1784="","SIN DATO",IFERROR(INDEX(cat_MarcaN,MATCH(H1784,cat_MarcaO,0)),H1784))</f>
        <v>ABB</v>
      </c>
      <c r="T1784" s="34" t="str">
        <f aca="false">IF(I1784="","SIN DATO",IFERROR(INDEX(cat_ModN,MATCH(I1784,cat_ModO,0)),I1784))</f>
        <v>1AFFAEAGNEC5BNA11G</v>
      </c>
      <c r="U1784" s="34" t="str">
        <f aca="false">IF(I1784="","",IFERROR(INDEX(cat_ModG,MATCH(I1784,cat_ModO,0)),"No"))</f>
        <v>No</v>
      </c>
      <c r="V1784" s="34" t="str">
        <f aca="false">IF(J1784="","SIN DATO",IFERROR(INDEX(cat_FunN,MATCH(J1784,cat_FunO,0)),J1784))</f>
        <v>Protección</v>
      </c>
      <c r="W1784" s="34" t="str">
        <f aca="false">IF(OR(S1784="SIN DATO",T1784="SIN DATO"),"No","Sí")</f>
        <v>Sí</v>
      </c>
    </row>
    <row r="1785" customFormat="false" ht="15" hidden="false" customHeight="false" outlineLevel="0" collapsed="false">
      <c r="A1785" s="34" t="s">
        <v>6496</v>
      </c>
      <c r="B1785" s="34" t="s">
        <v>6497</v>
      </c>
      <c r="C1785" s="34" t="s">
        <v>6498</v>
      </c>
      <c r="D1785" s="34" t="s">
        <v>6495</v>
      </c>
      <c r="E1785" s="34" t="s">
        <v>111</v>
      </c>
      <c r="F1785" s="34" t="s">
        <v>6375</v>
      </c>
      <c r="G1785" s="34" t="s">
        <v>2431</v>
      </c>
      <c r="H1785" s="34" t="s">
        <v>34</v>
      </c>
      <c r="I1785" s="34" t="s">
        <v>38</v>
      </c>
      <c r="J1785" s="34" t="s">
        <v>228</v>
      </c>
      <c r="K1785" s="34" t="s">
        <v>229</v>
      </c>
      <c r="L1785" s="34" t="s">
        <v>230</v>
      </c>
      <c r="M1785" s="34" t="s">
        <v>231</v>
      </c>
      <c r="N1785" s="34" t="str">
        <f aca="false">"Sector "&amp;VALUE(MID(D1785,13,2))</f>
        <v>Sector 1</v>
      </c>
      <c r="O1785" s="34" t="str">
        <f aca="false">IF(Dashboard!$C$5="Ubicación técnica",N1785,"Sector "&amp;VALUE(RIGHT(G1785,2)))</f>
        <v>Sector 1</v>
      </c>
      <c r="P1785" s="34" t="str">
        <f aca="false">IF(MID(D1785,15,3)="SEL","Subestación eléctrica","Área de proceso")</f>
        <v>Área de proceso</v>
      </c>
      <c r="Q1785" s="34" t="str">
        <f aca="false">MID(D1785,13,5)&amp;"|"&amp;MID(D1785,19,5)</f>
        <v>01PRA|SATMO</v>
      </c>
      <c r="R1785" s="34" t="str">
        <f aca="false">IF(P1785="Subestación eléctrica",IFERROR(INDEX(cat_SubN,MATCH(Q1785,cat_SubK,0)),"SIN CATALOGAR"),"ÁREA DE PROCESO")</f>
        <v>ÁREA DE PROCESO</v>
      </c>
      <c r="S1785" s="34" t="str">
        <f aca="false">IF(H1785="","SIN DATO",IFERROR(INDEX(cat_MarcaN,MATCH(H1785,cat_MarcaO,0)),H1785))</f>
        <v>ABB</v>
      </c>
      <c r="T1785" s="34" t="str">
        <f aca="false">IF(I1785="","SIN DATO",IFERROR(INDEX(cat_ModN,MATCH(I1785,cat_ModO,0)),I1785))</f>
        <v>1AMEBCADNEC5BNN11G</v>
      </c>
      <c r="U1785" s="34" t="str">
        <f aca="false">IF(I1785="","",IFERROR(INDEX(cat_ModG,MATCH(I1785,cat_ModO,0)),"No"))</f>
        <v>No</v>
      </c>
      <c r="V1785" s="34" t="str">
        <f aca="false">IF(J1785="","SIN DATO",IFERROR(INDEX(cat_FunN,MATCH(J1785,cat_FunO,0)),J1785))</f>
        <v>Protección y medición</v>
      </c>
      <c r="W1785" s="34" t="str">
        <f aca="false">IF(OR(S1785="SIN DATO",T1785="SIN DATO"),"No","Sí")</f>
        <v>Sí</v>
      </c>
    </row>
    <row r="1786" customFormat="false" ht="15" hidden="false" customHeight="false" outlineLevel="0" collapsed="false">
      <c r="A1786" s="34" t="s">
        <v>6499</v>
      </c>
      <c r="B1786" s="34" t="s">
        <v>6500</v>
      </c>
      <c r="C1786" s="34" t="s">
        <v>6501</v>
      </c>
      <c r="D1786" s="34" t="s">
        <v>6502</v>
      </c>
      <c r="E1786" s="34" t="s">
        <v>111</v>
      </c>
      <c r="F1786" s="34" t="s">
        <v>6375</v>
      </c>
      <c r="G1786" s="34" t="s">
        <v>2431</v>
      </c>
      <c r="H1786" s="34" t="s">
        <v>34</v>
      </c>
      <c r="I1786" s="34" t="s">
        <v>36</v>
      </c>
      <c r="J1786" s="34" t="s">
        <v>681</v>
      </c>
      <c r="K1786" s="34" t="s">
        <v>229</v>
      </c>
      <c r="L1786" s="34" t="s">
        <v>230</v>
      </c>
      <c r="M1786" s="34" t="s">
        <v>682</v>
      </c>
      <c r="N1786" s="34" t="str">
        <f aca="false">"Sector "&amp;VALUE(MID(D1786,13,2))</f>
        <v>Sector 1</v>
      </c>
      <c r="O1786" s="34" t="str">
        <f aca="false">IF(Dashboard!$C$5="Ubicación técnica",N1786,"Sector "&amp;VALUE(RIGHT(G1786,2)))</f>
        <v>Sector 1</v>
      </c>
      <c r="P1786" s="34" t="str">
        <f aca="false">IF(MID(D1786,15,3)="SEL","Subestación eléctrica","Área de proceso")</f>
        <v>Área de proceso</v>
      </c>
      <c r="Q1786" s="34" t="str">
        <f aca="false">MID(D1786,13,5)&amp;"|"&amp;MID(D1786,19,5)</f>
        <v>01PRA|SATMO</v>
      </c>
      <c r="R1786" s="34" t="str">
        <f aca="false">IF(P1786="Subestación eléctrica",IFERROR(INDEX(cat_SubN,MATCH(Q1786,cat_SubK,0)),"SIN CATALOGAR"),"ÁREA DE PROCESO")</f>
        <v>ÁREA DE PROCESO</v>
      </c>
      <c r="S1786" s="34" t="str">
        <f aca="false">IF(H1786="","SIN DATO",IFERROR(INDEX(cat_MarcaN,MATCH(H1786,cat_MarcaO,0)),H1786))</f>
        <v>ABB</v>
      </c>
      <c r="T1786" s="34" t="str">
        <f aca="false">IF(I1786="","SIN DATO",IFERROR(INDEX(cat_ModN,MATCH(I1786,cat_ModO,0)),I1786))</f>
        <v>1AFFAEAGNEC5BNA11G</v>
      </c>
      <c r="U1786" s="34" t="str">
        <f aca="false">IF(I1786="","",IFERROR(INDEX(cat_ModG,MATCH(I1786,cat_ModO,0)),"No"))</f>
        <v>No</v>
      </c>
      <c r="V1786" s="34" t="str">
        <f aca="false">IF(J1786="","SIN DATO",IFERROR(INDEX(cat_FunN,MATCH(J1786,cat_FunO,0)),J1786))</f>
        <v>Protección</v>
      </c>
      <c r="W1786" s="34" t="str">
        <f aca="false">IF(OR(S1786="SIN DATO",T1786="SIN DATO"),"No","Sí")</f>
        <v>Sí</v>
      </c>
    </row>
    <row r="1787" customFormat="false" ht="15" hidden="false" customHeight="false" outlineLevel="0" collapsed="false">
      <c r="A1787" s="34" t="s">
        <v>6503</v>
      </c>
      <c r="B1787" s="34" t="s">
        <v>6504</v>
      </c>
      <c r="C1787" s="34" t="s">
        <v>6505</v>
      </c>
      <c r="D1787" s="34" t="s">
        <v>6502</v>
      </c>
      <c r="E1787" s="34" t="s">
        <v>111</v>
      </c>
      <c r="F1787" s="34" t="s">
        <v>6375</v>
      </c>
      <c r="G1787" s="34" t="s">
        <v>2431</v>
      </c>
      <c r="H1787" s="34" t="s">
        <v>34</v>
      </c>
      <c r="I1787" s="34" t="s">
        <v>38</v>
      </c>
      <c r="J1787" s="34" t="s">
        <v>228</v>
      </c>
      <c r="K1787" s="34" t="s">
        <v>229</v>
      </c>
      <c r="L1787" s="34" t="s">
        <v>230</v>
      </c>
      <c r="M1787" s="34" t="s">
        <v>231</v>
      </c>
      <c r="N1787" s="34" t="str">
        <f aca="false">"Sector "&amp;VALUE(MID(D1787,13,2))</f>
        <v>Sector 1</v>
      </c>
      <c r="O1787" s="34" t="str">
        <f aca="false">IF(Dashboard!$C$5="Ubicación técnica",N1787,"Sector "&amp;VALUE(RIGHT(G1787,2)))</f>
        <v>Sector 1</v>
      </c>
      <c r="P1787" s="34" t="str">
        <f aca="false">IF(MID(D1787,15,3)="SEL","Subestación eléctrica","Área de proceso")</f>
        <v>Área de proceso</v>
      </c>
      <c r="Q1787" s="34" t="str">
        <f aca="false">MID(D1787,13,5)&amp;"|"&amp;MID(D1787,19,5)</f>
        <v>01PRA|SATMO</v>
      </c>
      <c r="R1787" s="34" t="str">
        <f aca="false">IF(P1787="Subestación eléctrica",IFERROR(INDEX(cat_SubN,MATCH(Q1787,cat_SubK,0)),"SIN CATALOGAR"),"ÁREA DE PROCESO")</f>
        <v>ÁREA DE PROCESO</v>
      </c>
      <c r="S1787" s="34" t="str">
        <f aca="false">IF(H1787="","SIN DATO",IFERROR(INDEX(cat_MarcaN,MATCH(H1787,cat_MarcaO,0)),H1787))</f>
        <v>ABB</v>
      </c>
      <c r="T1787" s="34" t="str">
        <f aca="false">IF(I1787="","SIN DATO",IFERROR(INDEX(cat_ModN,MATCH(I1787,cat_ModO,0)),I1787))</f>
        <v>1AMEBCADNEC5BNN11G</v>
      </c>
      <c r="U1787" s="34" t="str">
        <f aca="false">IF(I1787="","",IFERROR(INDEX(cat_ModG,MATCH(I1787,cat_ModO,0)),"No"))</f>
        <v>No</v>
      </c>
      <c r="V1787" s="34" t="str">
        <f aca="false">IF(J1787="","SIN DATO",IFERROR(INDEX(cat_FunN,MATCH(J1787,cat_FunO,0)),J1787))</f>
        <v>Protección y medición</v>
      </c>
      <c r="W1787" s="34" t="str">
        <f aca="false">IF(OR(S1787="SIN DATO",T1787="SIN DATO"),"No","Sí")</f>
        <v>Sí</v>
      </c>
    </row>
    <row r="1788" customFormat="false" ht="15" hidden="false" customHeight="false" outlineLevel="0" collapsed="false">
      <c r="A1788" s="34" t="s">
        <v>6506</v>
      </c>
      <c r="B1788" s="34" t="s">
        <v>6507</v>
      </c>
      <c r="C1788" s="34" t="s">
        <v>6508</v>
      </c>
      <c r="D1788" s="34" t="s">
        <v>6509</v>
      </c>
      <c r="E1788" s="34" t="s">
        <v>111</v>
      </c>
      <c r="F1788" s="34" t="s">
        <v>6375</v>
      </c>
      <c r="G1788" s="34" t="s">
        <v>2431</v>
      </c>
      <c r="H1788" s="34" t="s">
        <v>34</v>
      </c>
      <c r="I1788" s="34" t="s">
        <v>36</v>
      </c>
      <c r="J1788" s="34" t="s">
        <v>681</v>
      </c>
      <c r="K1788" s="34" t="s">
        <v>229</v>
      </c>
      <c r="L1788" s="34" t="s">
        <v>230</v>
      </c>
      <c r="M1788" s="34" t="s">
        <v>682</v>
      </c>
      <c r="N1788" s="34" t="str">
        <f aca="false">"Sector "&amp;VALUE(MID(D1788,13,2))</f>
        <v>Sector 1</v>
      </c>
      <c r="O1788" s="34" t="str">
        <f aca="false">IF(Dashboard!$C$5="Ubicación técnica",N1788,"Sector "&amp;VALUE(RIGHT(G1788,2)))</f>
        <v>Sector 1</v>
      </c>
      <c r="P1788" s="34" t="str">
        <f aca="false">IF(MID(D1788,15,3)="SEL","Subestación eléctrica","Área de proceso")</f>
        <v>Área de proceso</v>
      </c>
      <c r="Q1788" s="34" t="str">
        <f aca="false">MID(D1788,13,5)&amp;"|"&amp;MID(D1788,19,5)</f>
        <v>01PRA|SATMO</v>
      </c>
      <c r="R1788" s="34" t="str">
        <f aca="false">IF(P1788="Subestación eléctrica",IFERROR(INDEX(cat_SubN,MATCH(Q1788,cat_SubK,0)),"SIN CATALOGAR"),"ÁREA DE PROCESO")</f>
        <v>ÁREA DE PROCESO</v>
      </c>
      <c r="S1788" s="34" t="str">
        <f aca="false">IF(H1788="","SIN DATO",IFERROR(INDEX(cat_MarcaN,MATCH(H1788,cat_MarcaO,0)),H1788))</f>
        <v>ABB</v>
      </c>
      <c r="T1788" s="34" t="str">
        <f aca="false">IF(I1788="","SIN DATO",IFERROR(INDEX(cat_ModN,MATCH(I1788,cat_ModO,0)),I1788))</f>
        <v>1AFFAEAGNEC5BNA11G</v>
      </c>
      <c r="U1788" s="34" t="str">
        <f aca="false">IF(I1788="","",IFERROR(INDEX(cat_ModG,MATCH(I1788,cat_ModO,0)),"No"))</f>
        <v>No</v>
      </c>
      <c r="V1788" s="34" t="str">
        <f aca="false">IF(J1788="","SIN DATO",IFERROR(INDEX(cat_FunN,MATCH(J1788,cat_FunO,0)),J1788))</f>
        <v>Protección</v>
      </c>
      <c r="W1788" s="34" t="str">
        <f aca="false">IF(OR(S1788="SIN DATO",T1788="SIN DATO"),"No","Sí")</f>
        <v>Sí</v>
      </c>
    </row>
    <row r="1789" customFormat="false" ht="15" hidden="false" customHeight="false" outlineLevel="0" collapsed="false">
      <c r="A1789" s="34" t="s">
        <v>6510</v>
      </c>
      <c r="B1789" s="34" t="s">
        <v>6511</v>
      </c>
      <c r="C1789" s="34" t="s">
        <v>6512</v>
      </c>
      <c r="D1789" s="34" t="s">
        <v>6509</v>
      </c>
      <c r="E1789" s="34" t="s">
        <v>111</v>
      </c>
      <c r="F1789" s="34" t="s">
        <v>6375</v>
      </c>
      <c r="G1789" s="34" t="s">
        <v>2431</v>
      </c>
      <c r="H1789" s="34" t="s">
        <v>34</v>
      </c>
      <c r="I1789" s="34" t="s">
        <v>38</v>
      </c>
      <c r="J1789" s="34" t="s">
        <v>228</v>
      </c>
      <c r="K1789" s="34" t="s">
        <v>229</v>
      </c>
      <c r="L1789" s="34" t="s">
        <v>230</v>
      </c>
      <c r="M1789" s="34" t="s">
        <v>231</v>
      </c>
      <c r="N1789" s="34" t="str">
        <f aca="false">"Sector "&amp;VALUE(MID(D1789,13,2))</f>
        <v>Sector 1</v>
      </c>
      <c r="O1789" s="34" t="str">
        <f aca="false">IF(Dashboard!$C$5="Ubicación técnica",N1789,"Sector "&amp;VALUE(RIGHT(G1789,2)))</f>
        <v>Sector 1</v>
      </c>
      <c r="P1789" s="34" t="str">
        <f aca="false">IF(MID(D1789,15,3)="SEL","Subestación eléctrica","Área de proceso")</f>
        <v>Área de proceso</v>
      </c>
      <c r="Q1789" s="34" t="str">
        <f aca="false">MID(D1789,13,5)&amp;"|"&amp;MID(D1789,19,5)</f>
        <v>01PRA|SATMO</v>
      </c>
      <c r="R1789" s="34" t="str">
        <f aca="false">IF(P1789="Subestación eléctrica",IFERROR(INDEX(cat_SubN,MATCH(Q1789,cat_SubK,0)),"SIN CATALOGAR"),"ÁREA DE PROCESO")</f>
        <v>ÁREA DE PROCESO</v>
      </c>
      <c r="S1789" s="34" t="str">
        <f aca="false">IF(H1789="","SIN DATO",IFERROR(INDEX(cat_MarcaN,MATCH(H1789,cat_MarcaO,0)),H1789))</f>
        <v>ABB</v>
      </c>
      <c r="T1789" s="34" t="str">
        <f aca="false">IF(I1789="","SIN DATO",IFERROR(INDEX(cat_ModN,MATCH(I1789,cat_ModO,0)),I1789))</f>
        <v>1AMEBCADNEC5BNN11G</v>
      </c>
      <c r="U1789" s="34" t="str">
        <f aca="false">IF(I1789="","",IFERROR(INDEX(cat_ModG,MATCH(I1789,cat_ModO,0)),"No"))</f>
        <v>No</v>
      </c>
      <c r="V1789" s="34" t="str">
        <f aca="false">IF(J1789="","SIN DATO",IFERROR(INDEX(cat_FunN,MATCH(J1789,cat_FunO,0)),J1789))</f>
        <v>Protección y medición</v>
      </c>
      <c r="W1789" s="34" t="str">
        <f aca="false">IF(OR(S1789="SIN DATO",T1789="SIN DATO"),"No","Sí")</f>
        <v>Sí</v>
      </c>
    </row>
    <row r="1790" customFormat="false" ht="15" hidden="false" customHeight="false" outlineLevel="0" collapsed="false">
      <c r="A1790" s="34" t="s">
        <v>6513</v>
      </c>
      <c r="B1790" s="34" t="s">
        <v>6514</v>
      </c>
      <c r="C1790" s="34" t="s">
        <v>6515</v>
      </c>
      <c r="D1790" s="34" t="s">
        <v>6516</v>
      </c>
      <c r="E1790" s="34" t="s">
        <v>111</v>
      </c>
      <c r="F1790" s="34" t="s">
        <v>6375</v>
      </c>
      <c r="G1790" s="34" t="s">
        <v>2431</v>
      </c>
      <c r="H1790" s="34" t="s">
        <v>34</v>
      </c>
      <c r="I1790" s="34" t="s">
        <v>36</v>
      </c>
      <c r="J1790" s="34" t="s">
        <v>681</v>
      </c>
      <c r="K1790" s="34" t="s">
        <v>229</v>
      </c>
      <c r="L1790" s="34" t="s">
        <v>230</v>
      </c>
      <c r="M1790" s="34" t="s">
        <v>682</v>
      </c>
      <c r="N1790" s="34" t="str">
        <f aca="false">"Sector "&amp;VALUE(MID(D1790,13,2))</f>
        <v>Sector 1</v>
      </c>
      <c r="O1790" s="34" t="str">
        <f aca="false">IF(Dashboard!$C$5="Ubicación técnica",N1790,"Sector "&amp;VALUE(RIGHT(G1790,2)))</f>
        <v>Sector 1</v>
      </c>
      <c r="P1790" s="34" t="str">
        <f aca="false">IF(MID(D1790,15,3)="SEL","Subestación eléctrica","Área de proceso")</f>
        <v>Área de proceso</v>
      </c>
      <c r="Q1790" s="34" t="str">
        <f aca="false">MID(D1790,13,5)&amp;"|"&amp;MID(D1790,19,5)</f>
        <v>01PRA|SATMO</v>
      </c>
      <c r="R1790" s="34" t="str">
        <f aca="false">IF(P1790="Subestación eléctrica",IFERROR(INDEX(cat_SubN,MATCH(Q1790,cat_SubK,0)),"SIN CATALOGAR"),"ÁREA DE PROCESO")</f>
        <v>ÁREA DE PROCESO</v>
      </c>
      <c r="S1790" s="34" t="str">
        <f aca="false">IF(H1790="","SIN DATO",IFERROR(INDEX(cat_MarcaN,MATCH(H1790,cat_MarcaO,0)),H1790))</f>
        <v>ABB</v>
      </c>
      <c r="T1790" s="34" t="str">
        <f aca="false">IF(I1790="","SIN DATO",IFERROR(INDEX(cat_ModN,MATCH(I1790,cat_ModO,0)),I1790))</f>
        <v>1AFFAEAGNEC5BNA11G</v>
      </c>
      <c r="U1790" s="34" t="str">
        <f aca="false">IF(I1790="","",IFERROR(INDEX(cat_ModG,MATCH(I1790,cat_ModO,0)),"No"))</f>
        <v>No</v>
      </c>
      <c r="V1790" s="34" t="str">
        <f aca="false">IF(J1790="","SIN DATO",IFERROR(INDEX(cat_FunN,MATCH(J1790,cat_FunO,0)),J1790))</f>
        <v>Protección</v>
      </c>
      <c r="W1790" s="34" t="str">
        <f aca="false">IF(OR(S1790="SIN DATO",T1790="SIN DATO"),"No","Sí")</f>
        <v>Sí</v>
      </c>
    </row>
    <row r="1791" customFormat="false" ht="15" hidden="false" customHeight="false" outlineLevel="0" collapsed="false">
      <c r="A1791" s="34" t="s">
        <v>6517</v>
      </c>
      <c r="B1791" s="34" t="s">
        <v>6518</v>
      </c>
      <c r="C1791" s="34" t="s">
        <v>6519</v>
      </c>
      <c r="D1791" s="34" t="s">
        <v>6516</v>
      </c>
      <c r="E1791" s="34" t="s">
        <v>111</v>
      </c>
      <c r="F1791" s="34" t="s">
        <v>6375</v>
      </c>
      <c r="G1791" s="34" t="s">
        <v>2431</v>
      </c>
      <c r="H1791" s="34" t="s">
        <v>34</v>
      </c>
      <c r="I1791" s="34" t="s">
        <v>36</v>
      </c>
      <c r="J1791" s="34" t="s">
        <v>681</v>
      </c>
      <c r="K1791" s="34" t="s">
        <v>229</v>
      </c>
      <c r="L1791" s="34" t="s">
        <v>230</v>
      </c>
      <c r="M1791" s="34" t="s">
        <v>682</v>
      </c>
      <c r="N1791" s="34" t="str">
        <f aca="false">"Sector "&amp;VALUE(MID(D1791,13,2))</f>
        <v>Sector 1</v>
      </c>
      <c r="O1791" s="34" t="str">
        <f aca="false">IF(Dashboard!$C$5="Ubicación técnica",N1791,"Sector "&amp;VALUE(RIGHT(G1791,2)))</f>
        <v>Sector 1</v>
      </c>
      <c r="P1791" s="34" t="str">
        <f aca="false">IF(MID(D1791,15,3)="SEL","Subestación eléctrica","Área de proceso")</f>
        <v>Área de proceso</v>
      </c>
      <c r="Q1791" s="34" t="str">
        <f aca="false">MID(D1791,13,5)&amp;"|"&amp;MID(D1791,19,5)</f>
        <v>01PRA|SATMO</v>
      </c>
      <c r="R1791" s="34" t="str">
        <f aca="false">IF(P1791="Subestación eléctrica",IFERROR(INDEX(cat_SubN,MATCH(Q1791,cat_SubK,0)),"SIN CATALOGAR"),"ÁREA DE PROCESO")</f>
        <v>ÁREA DE PROCESO</v>
      </c>
      <c r="S1791" s="34" t="str">
        <f aca="false">IF(H1791="","SIN DATO",IFERROR(INDEX(cat_MarcaN,MATCH(H1791,cat_MarcaO,0)),H1791))</f>
        <v>ABB</v>
      </c>
      <c r="T1791" s="34" t="str">
        <f aca="false">IF(I1791="","SIN DATO",IFERROR(INDEX(cat_ModN,MATCH(I1791,cat_ModO,0)),I1791))</f>
        <v>1AFFAEAGNEC5BNA11G</v>
      </c>
      <c r="U1791" s="34" t="str">
        <f aca="false">IF(I1791="","",IFERROR(INDEX(cat_ModG,MATCH(I1791,cat_ModO,0)),"No"))</f>
        <v>No</v>
      </c>
      <c r="V1791" s="34" t="str">
        <f aca="false">IF(J1791="","SIN DATO",IFERROR(INDEX(cat_FunN,MATCH(J1791,cat_FunO,0)),J1791))</f>
        <v>Protección</v>
      </c>
      <c r="W1791" s="34" t="str">
        <f aca="false">IF(OR(S1791="SIN DATO",T1791="SIN DATO"),"No","Sí")</f>
        <v>Sí</v>
      </c>
    </row>
    <row r="1792" customFormat="false" ht="15" hidden="false" customHeight="false" outlineLevel="0" collapsed="false">
      <c r="A1792" s="34" t="s">
        <v>6520</v>
      </c>
      <c r="B1792" s="34" t="s">
        <v>6521</v>
      </c>
      <c r="C1792" s="34" t="s">
        <v>6522</v>
      </c>
      <c r="D1792" s="34" t="s">
        <v>6516</v>
      </c>
      <c r="E1792" s="34" t="s">
        <v>111</v>
      </c>
      <c r="F1792" s="34" t="s">
        <v>6375</v>
      </c>
      <c r="G1792" s="34" t="s">
        <v>2431</v>
      </c>
      <c r="H1792" s="34" t="s">
        <v>34</v>
      </c>
      <c r="I1792" s="34" t="s">
        <v>38</v>
      </c>
      <c r="J1792" s="34" t="s">
        <v>228</v>
      </c>
      <c r="K1792" s="34" t="s">
        <v>229</v>
      </c>
      <c r="L1792" s="34" t="s">
        <v>230</v>
      </c>
      <c r="M1792" s="34" t="s">
        <v>231</v>
      </c>
      <c r="N1792" s="34" t="str">
        <f aca="false">"Sector "&amp;VALUE(MID(D1792,13,2))</f>
        <v>Sector 1</v>
      </c>
      <c r="O1792" s="34" t="str">
        <f aca="false">IF(Dashboard!$C$5="Ubicación técnica",N1792,"Sector "&amp;VALUE(RIGHT(G1792,2)))</f>
        <v>Sector 1</v>
      </c>
      <c r="P1792" s="34" t="str">
        <f aca="false">IF(MID(D1792,15,3)="SEL","Subestación eléctrica","Área de proceso")</f>
        <v>Área de proceso</v>
      </c>
      <c r="Q1792" s="34" t="str">
        <f aca="false">MID(D1792,13,5)&amp;"|"&amp;MID(D1792,19,5)</f>
        <v>01PRA|SATMO</v>
      </c>
      <c r="R1792" s="34" t="str">
        <f aca="false">IF(P1792="Subestación eléctrica",IFERROR(INDEX(cat_SubN,MATCH(Q1792,cat_SubK,0)),"SIN CATALOGAR"),"ÁREA DE PROCESO")</f>
        <v>ÁREA DE PROCESO</v>
      </c>
      <c r="S1792" s="34" t="str">
        <f aca="false">IF(H1792="","SIN DATO",IFERROR(INDEX(cat_MarcaN,MATCH(H1792,cat_MarcaO,0)),H1792))</f>
        <v>ABB</v>
      </c>
      <c r="T1792" s="34" t="str">
        <f aca="false">IF(I1792="","SIN DATO",IFERROR(INDEX(cat_ModN,MATCH(I1792,cat_ModO,0)),I1792))</f>
        <v>1AMEBCADNEC5BNN11G</v>
      </c>
      <c r="U1792" s="34" t="str">
        <f aca="false">IF(I1792="","",IFERROR(INDEX(cat_ModG,MATCH(I1792,cat_ModO,0)),"No"))</f>
        <v>No</v>
      </c>
      <c r="V1792" s="34" t="str">
        <f aca="false">IF(J1792="","SIN DATO",IFERROR(INDEX(cat_FunN,MATCH(J1792,cat_FunO,0)),J1792))</f>
        <v>Protección y medición</v>
      </c>
      <c r="W1792" s="34" t="str">
        <f aca="false">IF(OR(S1792="SIN DATO",T1792="SIN DATO"),"No","Sí")</f>
        <v>Sí</v>
      </c>
    </row>
    <row r="1793" customFormat="false" ht="15" hidden="false" customHeight="false" outlineLevel="0" collapsed="false">
      <c r="A1793" s="34" t="s">
        <v>6523</v>
      </c>
      <c r="B1793" s="34" t="s">
        <v>6524</v>
      </c>
      <c r="C1793" s="34" t="s">
        <v>6525</v>
      </c>
      <c r="D1793" s="34" t="s">
        <v>6526</v>
      </c>
      <c r="E1793" s="34" t="s">
        <v>111</v>
      </c>
      <c r="F1793" s="34" t="s">
        <v>6375</v>
      </c>
      <c r="G1793" s="34" t="s">
        <v>2431</v>
      </c>
      <c r="H1793" s="34" t="s">
        <v>90</v>
      </c>
      <c r="I1793" s="34" t="s">
        <v>92</v>
      </c>
      <c r="J1793" s="34" t="s">
        <v>681</v>
      </c>
      <c r="K1793" s="34" t="s">
        <v>229</v>
      </c>
      <c r="L1793" s="34" t="s">
        <v>230</v>
      </c>
      <c r="M1793" s="34" t="s">
        <v>4254</v>
      </c>
      <c r="N1793" s="34" t="str">
        <f aca="false">"Sector "&amp;VALUE(MID(D1793,13,2))</f>
        <v>Sector 1</v>
      </c>
      <c r="O1793" s="34" t="str">
        <f aca="false">IF(Dashboard!$C$5="Ubicación técnica",N1793,"Sector "&amp;VALUE(RIGHT(G1793,2)))</f>
        <v>Sector 1</v>
      </c>
      <c r="P1793" s="34" t="str">
        <f aca="false">IF(MID(D1793,15,3)="SEL","Subestación eléctrica","Área de proceso")</f>
        <v>Área de proceso</v>
      </c>
      <c r="Q1793" s="34" t="str">
        <f aca="false">MID(D1793,13,5)&amp;"|"&amp;MID(D1793,19,5)</f>
        <v>01PRA|SCARG</v>
      </c>
      <c r="R1793" s="34" t="str">
        <f aca="false">IF(P1793="Subestación eléctrica",IFERROR(INDEX(cat_SubN,MATCH(Q1793,cat_SubK,0)),"SIN CATALOGAR"),"ÁREA DE PROCESO")</f>
        <v>ÁREA DE PROCESO</v>
      </c>
      <c r="S1793" s="34" t="str">
        <f aca="false">IF(H1793="","SIN DATO",IFERROR(INDEX(cat_MarcaN,MATCH(H1793,cat_MarcaO,0)),H1793))</f>
        <v>ALLEN-BRADLEY</v>
      </c>
      <c r="T1793" s="34" t="str">
        <f aca="false">IF(I1793="","SIN DATO",IFERROR(INDEX(cat_ModN,MATCH(I1793,cat_ModO,0)),I1793))</f>
        <v>857</v>
      </c>
      <c r="U1793" s="34" t="str">
        <f aca="false">IF(I1793="","",IFERROR(INDEX(cat_ModG,MATCH(I1793,cat_ModO,0)),"No"))</f>
        <v>No</v>
      </c>
      <c r="V1793" s="34" t="str">
        <f aca="false">IF(J1793="","SIN DATO",IFERROR(INDEX(cat_FunN,MATCH(J1793,cat_FunO,0)),J1793))</f>
        <v>Protección</v>
      </c>
      <c r="W1793" s="34" t="str">
        <f aca="false">IF(OR(S1793="SIN DATO",T1793="SIN DATO"),"No","Sí")</f>
        <v>Sí</v>
      </c>
    </row>
    <row r="1794" customFormat="false" ht="15" hidden="false" customHeight="false" outlineLevel="0" collapsed="false">
      <c r="A1794" s="34" t="s">
        <v>6527</v>
      </c>
      <c r="B1794" s="34" t="s">
        <v>6528</v>
      </c>
      <c r="C1794" s="34" t="s">
        <v>6529</v>
      </c>
      <c r="D1794" s="34" t="s">
        <v>6526</v>
      </c>
      <c r="E1794" s="34" t="s">
        <v>111</v>
      </c>
      <c r="F1794" s="34" t="s">
        <v>6375</v>
      </c>
      <c r="G1794" s="34" t="s">
        <v>2431</v>
      </c>
      <c r="H1794" s="34" t="s">
        <v>34</v>
      </c>
      <c r="I1794" s="34" t="s">
        <v>36</v>
      </c>
      <c r="J1794" s="34" t="s">
        <v>681</v>
      </c>
      <c r="K1794" s="34" t="s">
        <v>229</v>
      </c>
      <c r="L1794" s="34" t="s">
        <v>230</v>
      </c>
      <c r="M1794" s="34" t="s">
        <v>682</v>
      </c>
      <c r="N1794" s="34" t="str">
        <f aca="false">"Sector "&amp;VALUE(MID(D1794,13,2))</f>
        <v>Sector 1</v>
      </c>
      <c r="O1794" s="34" t="str">
        <f aca="false">IF(Dashboard!$C$5="Ubicación técnica",N1794,"Sector "&amp;VALUE(RIGHT(G1794,2)))</f>
        <v>Sector 1</v>
      </c>
      <c r="P1794" s="34" t="str">
        <f aca="false">IF(MID(D1794,15,3)="SEL","Subestación eléctrica","Área de proceso")</f>
        <v>Área de proceso</v>
      </c>
      <c r="Q1794" s="34" t="str">
        <f aca="false">MID(D1794,13,5)&amp;"|"&amp;MID(D1794,19,5)</f>
        <v>01PRA|SCARG</v>
      </c>
      <c r="R1794" s="34" t="str">
        <f aca="false">IF(P1794="Subestación eléctrica",IFERROR(INDEX(cat_SubN,MATCH(Q1794,cat_SubK,0)),"SIN CATALOGAR"),"ÁREA DE PROCESO")</f>
        <v>ÁREA DE PROCESO</v>
      </c>
      <c r="S1794" s="34" t="str">
        <f aca="false">IF(H1794="","SIN DATO",IFERROR(INDEX(cat_MarcaN,MATCH(H1794,cat_MarcaO,0)),H1794))</f>
        <v>ABB</v>
      </c>
      <c r="T1794" s="34" t="str">
        <f aca="false">IF(I1794="","SIN DATO",IFERROR(INDEX(cat_ModN,MATCH(I1794,cat_ModO,0)),I1794))</f>
        <v>1AFFAEAGNEC5BNA11G</v>
      </c>
      <c r="U1794" s="34" t="str">
        <f aca="false">IF(I1794="","",IFERROR(INDEX(cat_ModG,MATCH(I1794,cat_ModO,0)),"No"))</f>
        <v>No</v>
      </c>
      <c r="V1794" s="34" t="str">
        <f aca="false">IF(J1794="","SIN DATO",IFERROR(INDEX(cat_FunN,MATCH(J1794,cat_FunO,0)),J1794))</f>
        <v>Protección</v>
      </c>
      <c r="W1794" s="34" t="str">
        <f aca="false">IF(OR(S1794="SIN DATO",T1794="SIN DATO"),"No","Sí")</f>
        <v>Sí</v>
      </c>
    </row>
    <row r="1795" customFormat="false" ht="15" hidden="false" customHeight="false" outlineLevel="0" collapsed="false">
      <c r="A1795" s="34" t="s">
        <v>6530</v>
      </c>
      <c r="B1795" s="34" t="s">
        <v>6531</v>
      </c>
      <c r="C1795" s="34" t="s">
        <v>6532</v>
      </c>
      <c r="D1795" s="34" t="s">
        <v>6526</v>
      </c>
      <c r="E1795" s="34" t="s">
        <v>111</v>
      </c>
      <c r="F1795" s="34" t="s">
        <v>6375</v>
      </c>
      <c r="G1795" s="34" t="s">
        <v>2431</v>
      </c>
      <c r="H1795" s="34" t="s">
        <v>34</v>
      </c>
      <c r="I1795" s="34" t="s">
        <v>36</v>
      </c>
      <c r="J1795" s="34" t="s">
        <v>228</v>
      </c>
      <c r="K1795" s="34" t="s">
        <v>229</v>
      </c>
      <c r="L1795" s="34" t="s">
        <v>230</v>
      </c>
      <c r="M1795" s="34" t="s">
        <v>231</v>
      </c>
      <c r="N1795" s="34" t="str">
        <f aca="false">"Sector "&amp;VALUE(MID(D1795,13,2))</f>
        <v>Sector 1</v>
      </c>
      <c r="O1795" s="34" t="str">
        <f aca="false">IF(Dashboard!$C$5="Ubicación técnica",N1795,"Sector "&amp;VALUE(RIGHT(G1795,2)))</f>
        <v>Sector 1</v>
      </c>
      <c r="P1795" s="34" t="str">
        <f aca="false">IF(MID(D1795,15,3)="SEL","Subestación eléctrica","Área de proceso")</f>
        <v>Área de proceso</v>
      </c>
      <c r="Q1795" s="34" t="str">
        <f aca="false">MID(D1795,13,5)&amp;"|"&amp;MID(D1795,19,5)</f>
        <v>01PRA|SCARG</v>
      </c>
      <c r="R1795" s="34" t="str">
        <f aca="false">IF(P1795="Subestación eléctrica",IFERROR(INDEX(cat_SubN,MATCH(Q1795,cat_SubK,0)),"SIN CATALOGAR"),"ÁREA DE PROCESO")</f>
        <v>ÁREA DE PROCESO</v>
      </c>
      <c r="S1795" s="34" t="str">
        <f aca="false">IF(H1795="","SIN DATO",IFERROR(INDEX(cat_MarcaN,MATCH(H1795,cat_MarcaO,0)),H1795))</f>
        <v>ABB</v>
      </c>
      <c r="T1795" s="34" t="str">
        <f aca="false">IF(I1795="","SIN DATO",IFERROR(INDEX(cat_ModN,MATCH(I1795,cat_ModO,0)),I1795))</f>
        <v>1AFFAEAGNEC5BNA11G</v>
      </c>
      <c r="U1795" s="34" t="str">
        <f aca="false">IF(I1795="","",IFERROR(INDEX(cat_ModG,MATCH(I1795,cat_ModO,0)),"No"))</f>
        <v>No</v>
      </c>
      <c r="V1795" s="34" t="str">
        <f aca="false">IF(J1795="","SIN DATO",IFERROR(INDEX(cat_FunN,MATCH(J1795,cat_FunO,0)),J1795))</f>
        <v>Protección y medición</v>
      </c>
      <c r="W1795" s="34" t="str">
        <f aca="false">IF(OR(S1795="SIN DATO",T1795="SIN DATO"),"No","Sí")</f>
        <v>Sí</v>
      </c>
    </row>
    <row r="1796" customFormat="false" ht="15" hidden="false" customHeight="false" outlineLevel="0" collapsed="false">
      <c r="A1796" s="34" t="s">
        <v>6533</v>
      </c>
      <c r="B1796" s="34" t="s">
        <v>6534</v>
      </c>
      <c r="C1796" s="34" t="s">
        <v>6535</v>
      </c>
      <c r="D1796" s="34" t="s">
        <v>6536</v>
      </c>
      <c r="E1796" s="34" t="s">
        <v>111</v>
      </c>
      <c r="F1796" s="34" t="s">
        <v>6375</v>
      </c>
      <c r="G1796" s="34" t="s">
        <v>2431</v>
      </c>
      <c r="H1796" s="34" t="s">
        <v>90</v>
      </c>
      <c r="I1796" s="34" t="s">
        <v>92</v>
      </c>
      <c r="J1796" s="34" t="s">
        <v>681</v>
      </c>
      <c r="K1796" s="34" t="s">
        <v>229</v>
      </c>
      <c r="L1796" s="34" t="s">
        <v>230</v>
      </c>
      <c r="M1796" s="34" t="s">
        <v>4254</v>
      </c>
      <c r="N1796" s="34" t="str">
        <f aca="false">"Sector "&amp;VALUE(MID(D1796,13,2))</f>
        <v>Sector 1</v>
      </c>
      <c r="O1796" s="34" t="str">
        <f aca="false">IF(Dashboard!$C$5="Ubicación técnica",N1796,"Sector "&amp;VALUE(RIGHT(G1796,2)))</f>
        <v>Sector 1</v>
      </c>
      <c r="P1796" s="34" t="str">
        <f aca="false">IF(MID(D1796,15,3)="SEL","Subestación eléctrica","Área de proceso")</f>
        <v>Área de proceso</v>
      </c>
      <c r="Q1796" s="34" t="str">
        <f aca="false">MID(D1796,13,5)&amp;"|"&amp;MID(D1796,19,5)</f>
        <v>01PRA|SCARG</v>
      </c>
      <c r="R1796" s="34" t="str">
        <f aca="false">IF(P1796="Subestación eléctrica",IFERROR(INDEX(cat_SubN,MATCH(Q1796,cat_SubK,0)),"SIN CATALOGAR"),"ÁREA DE PROCESO")</f>
        <v>ÁREA DE PROCESO</v>
      </c>
      <c r="S1796" s="34" t="str">
        <f aca="false">IF(H1796="","SIN DATO",IFERROR(INDEX(cat_MarcaN,MATCH(H1796,cat_MarcaO,0)),H1796))</f>
        <v>ALLEN-BRADLEY</v>
      </c>
      <c r="T1796" s="34" t="str">
        <f aca="false">IF(I1796="","SIN DATO",IFERROR(INDEX(cat_ModN,MATCH(I1796,cat_ModO,0)),I1796))</f>
        <v>857</v>
      </c>
      <c r="U1796" s="34" t="str">
        <f aca="false">IF(I1796="","",IFERROR(INDEX(cat_ModG,MATCH(I1796,cat_ModO,0)),"No"))</f>
        <v>No</v>
      </c>
      <c r="V1796" s="34" t="str">
        <f aca="false">IF(J1796="","SIN DATO",IFERROR(INDEX(cat_FunN,MATCH(J1796,cat_FunO,0)),J1796))</f>
        <v>Protección</v>
      </c>
      <c r="W1796" s="34" t="str">
        <f aca="false">IF(OR(S1796="SIN DATO",T1796="SIN DATO"),"No","Sí")</f>
        <v>Sí</v>
      </c>
    </row>
    <row r="1797" customFormat="false" ht="15" hidden="false" customHeight="false" outlineLevel="0" collapsed="false">
      <c r="A1797" s="34" t="s">
        <v>6537</v>
      </c>
      <c r="B1797" s="34" t="s">
        <v>6538</v>
      </c>
      <c r="C1797" s="34" t="s">
        <v>6539</v>
      </c>
      <c r="D1797" s="34" t="s">
        <v>6536</v>
      </c>
      <c r="E1797" s="34" t="s">
        <v>111</v>
      </c>
      <c r="F1797" s="34" t="s">
        <v>6375</v>
      </c>
      <c r="G1797" s="34" t="s">
        <v>2431</v>
      </c>
      <c r="H1797" s="34" t="s">
        <v>34</v>
      </c>
      <c r="I1797" s="34" t="s">
        <v>36</v>
      </c>
      <c r="J1797" s="34" t="s">
        <v>681</v>
      </c>
      <c r="K1797" s="34" t="s">
        <v>229</v>
      </c>
      <c r="L1797" s="34" t="s">
        <v>230</v>
      </c>
      <c r="M1797" s="34" t="s">
        <v>682</v>
      </c>
      <c r="N1797" s="34" t="str">
        <f aca="false">"Sector "&amp;VALUE(MID(D1797,13,2))</f>
        <v>Sector 1</v>
      </c>
      <c r="O1797" s="34" t="str">
        <f aca="false">IF(Dashboard!$C$5="Ubicación técnica",N1797,"Sector "&amp;VALUE(RIGHT(G1797,2)))</f>
        <v>Sector 1</v>
      </c>
      <c r="P1797" s="34" t="str">
        <f aca="false">IF(MID(D1797,15,3)="SEL","Subestación eléctrica","Área de proceso")</f>
        <v>Área de proceso</v>
      </c>
      <c r="Q1797" s="34" t="str">
        <f aca="false">MID(D1797,13,5)&amp;"|"&amp;MID(D1797,19,5)</f>
        <v>01PRA|SCARG</v>
      </c>
      <c r="R1797" s="34" t="str">
        <f aca="false">IF(P1797="Subestación eléctrica",IFERROR(INDEX(cat_SubN,MATCH(Q1797,cat_SubK,0)),"SIN CATALOGAR"),"ÁREA DE PROCESO")</f>
        <v>ÁREA DE PROCESO</v>
      </c>
      <c r="S1797" s="34" t="str">
        <f aca="false">IF(H1797="","SIN DATO",IFERROR(INDEX(cat_MarcaN,MATCH(H1797,cat_MarcaO,0)),H1797))</f>
        <v>ABB</v>
      </c>
      <c r="T1797" s="34" t="str">
        <f aca="false">IF(I1797="","SIN DATO",IFERROR(INDEX(cat_ModN,MATCH(I1797,cat_ModO,0)),I1797))</f>
        <v>1AFFAEAGNEC5BNA11G</v>
      </c>
      <c r="U1797" s="34" t="str">
        <f aca="false">IF(I1797="","",IFERROR(INDEX(cat_ModG,MATCH(I1797,cat_ModO,0)),"No"))</f>
        <v>No</v>
      </c>
      <c r="V1797" s="34" t="str">
        <f aca="false">IF(J1797="","SIN DATO",IFERROR(INDEX(cat_FunN,MATCH(J1797,cat_FunO,0)),J1797))</f>
        <v>Protección</v>
      </c>
      <c r="W1797" s="34" t="str">
        <f aca="false">IF(OR(S1797="SIN DATO",T1797="SIN DATO"),"No","Sí")</f>
        <v>Sí</v>
      </c>
    </row>
    <row r="1798" customFormat="false" ht="15" hidden="false" customHeight="false" outlineLevel="0" collapsed="false">
      <c r="A1798" s="34" t="s">
        <v>6540</v>
      </c>
      <c r="B1798" s="34" t="s">
        <v>6541</v>
      </c>
      <c r="C1798" s="34" t="s">
        <v>6542</v>
      </c>
      <c r="D1798" s="34" t="s">
        <v>6536</v>
      </c>
      <c r="E1798" s="34" t="s">
        <v>111</v>
      </c>
      <c r="F1798" s="34" t="s">
        <v>6375</v>
      </c>
      <c r="G1798" s="34" t="s">
        <v>2431</v>
      </c>
      <c r="H1798" s="34" t="s">
        <v>34</v>
      </c>
      <c r="I1798" s="34" t="s">
        <v>36</v>
      </c>
      <c r="J1798" s="34" t="s">
        <v>228</v>
      </c>
      <c r="K1798" s="34" t="s">
        <v>229</v>
      </c>
      <c r="L1798" s="34" t="s">
        <v>230</v>
      </c>
      <c r="M1798" s="34" t="s">
        <v>231</v>
      </c>
      <c r="N1798" s="34" t="str">
        <f aca="false">"Sector "&amp;VALUE(MID(D1798,13,2))</f>
        <v>Sector 1</v>
      </c>
      <c r="O1798" s="34" t="str">
        <f aca="false">IF(Dashboard!$C$5="Ubicación técnica",N1798,"Sector "&amp;VALUE(RIGHT(G1798,2)))</f>
        <v>Sector 1</v>
      </c>
      <c r="P1798" s="34" t="str">
        <f aca="false">IF(MID(D1798,15,3)="SEL","Subestación eléctrica","Área de proceso")</f>
        <v>Área de proceso</v>
      </c>
      <c r="Q1798" s="34" t="str">
        <f aca="false">MID(D1798,13,5)&amp;"|"&amp;MID(D1798,19,5)</f>
        <v>01PRA|SCARG</v>
      </c>
      <c r="R1798" s="34" t="str">
        <f aca="false">IF(P1798="Subestación eléctrica",IFERROR(INDEX(cat_SubN,MATCH(Q1798,cat_SubK,0)),"SIN CATALOGAR"),"ÁREA DE PROCESO")</f>
        <v>ÁREA DE PROCESO</v>
      </c>
      <c r="S1798" s="34" t="str">
        <f aca="false">IF(H1798="","SIN DATO",IFERROR(INDEX(cat_MarcaN,MATCH(H1798,cat_MarcaO,0)),H1798))</f>
        <v>ABB</v>
      </c>
      <c r="T1798" s="34" t="str">
        <f aca="false">IF(I1798="","SIN DATO",IFERROR(INDEX(cat_ModN,MATCH(I1798,cat_ModO,0)),I1798))</f>
        <v>1AFFAEAGNEC5BNA11G</v>
      </c>
      <c r="U1798" s="34" t="str">
        <f aca="false">IF(I1798="","",IFERROR(INDEX(cat_ModG,MATCH(I1798,cat_ModO,0)),"No"))</f>
        <v>No</v>
      </c>
      <c r="V1798" s="34" t="str">
        <f aca="false">IF(J1798="","SIN DATO",IFERROR(INDEX(cat_FunN,MATCH(J1798,cat_FunO,0)),J1798))</f>
        <v>Protección y medición</v>
      </c>
      <c r="W1798" s="34" t="str">
        <f aca="false">IF(OR(S1798="SIN DATO",T1798="SIN DATO"),"No","Sí")</f>
        <v>Sí</v>
      </c>
    </row>
    <row r="1799" customFormat="false" ht="15" hidden="false" customHeight="false" outlineLevel="0" collapsed="false">
      <c r="A1799" s="34" t="s">
        <v>6543</v>
      </c>
      <c r="B1799" s="34" t="s">
        <v>6544</v>
      </c>
      <c r="C1799" s="34" t="s">
        <v>6545</v>
      </c>
      <c r="D1799" s="34" t="s">
        <v>6546</v>
      </c>
      <c r="E1799" s="34" t="s">
        <v>111</v>
      </c>
      <c r="F1799" s="34" t="s">
        <v>6375</v>
      </c>
      <c r="G1799" s="34" t="s">
        <v>2431</v>
      </c>
      <c r="H1799" s="34" t="s">
        <v>90</v>
      </c>
      <c r="I1799" s="34" t="s">
        <v>92</v>
      </c>
      <c r="J1799" s="34" t="s">
        <v>681</v>
      </c>
      <c r="K1799" s="34" t="s">
        <v>229</v>
      </c>
      <c r="L1799" s="34" t="s">
        <v>230</v>
      </c>
      <c r="M1799" s="34" t="s">
        <v>4254</v>
      </c>
      <c r="N1799" s="34" t="str">
        <f aca="false">"Sector "&amp;VALUE(MID(D1799,13,2))</f>
        <v>Sector 1</v>
      </c>
      <c r="O1799" s="34" t="str">
        <f aca="false">IF(Dashboard!$C$5="Ubicación técnica",N1799,"Sector "&amp;VALUE(RIGHT(G1799,2)))</f>
        <v>Sector 1</v>
      </c>
      <c r="P1799" s="34" t="str">
        <f aca="false">IF(MID(D1799,15,3)="SEL","Subestación eléctrica","Área de proceso")</f>
        <v>Área de proceso</v>
      </c>
      <c r="Q1799" s="34" t="str">
        <f aca="false">MID(D1799,13,5)&amp;"|"&amp;MID(D1799,19,5)</f>
        <v>01PRA|SCARG</v>
      </c>
      <c r="R1799" s="34" t="str">
        <f aca="false">IF(P1799="Subestación eléctrica",IFERROR(INDEX(cat_SubN,MATCH(Q1799,cat_SubK,0)),"SIN CATALOGAR"),"ÁREA DE PROCESO")</f>
        <v>ÁREA DE PROCESO</v>
      </c>
      <c r="S1799" s="34" t="str">
        <f aca="false">IF(H1799="","SIN DATO",IFERROR(INDEX(cat_MarcaN,MATCH(H1799,cat_MarcaO,0)),H1799))</f>
        <v>ALLEN-BRADLEY</v>
      </c>
      <c r="T1799" s="34" t="str">
        <f aca="false">IF(I1799="","SIN DATO",IFERROR(INDEX(cat_ModN,MATCH(I1799,cat_ModO,0)),I1799))</f>
        <v>857</v>
      </c>
      <c r="U1799" s="34" t="str">
        <f aca="false">IF(I1799="","",IFERROR(INDEX(cat_ModG,MATCH(I1799,cat_ModO,0)),"No"))</f>
        <v>No</v>
      </c>
      <c r="V1799" s="34" t="str">
        <f aca="false">IF(J1799="","SIN DATO",IFERROR(INDEX(cat_FunN,MATCH(J1799,cat_FunO,0)),J1799))</f>
        <v>Protección</v>
      </c>
      <c r="W1799" s="34" t="str">
        <f aca="false">IF(OR(S1799="SIN DATO",T1799="SIN DATO"),"No","Sí")</f>
        <v>Sí</v>
      </c>
    </row>
    <row r="1800" customFormat="false" ht="15" hidden="false" customHeight="false" outlineLevel="0" collapsed="false">
      <c r="A1800" s="34" t="s">
        <v>6547</v>
      </c>
      <c r="B1800" s="34" t="s">
        <v>6548</v>
      </c>
      <c r="C1800" s="34" t="s">
        <v>6549</v>
      </c>
      <c r="D1800" s="34" t="s">
        <v>6546</v>
      </c>
      <c r="E1800" s="34" t="s">
        <v>111</v>
      </c>
      <c r="F1800" s="34" t="s">
        <v>6375</v>
      </c>
      <c r="G1800" s="34" t="s">
        <v>2431</v>
      </c>
      <c r="H1800" s="34" t="s">
        <v>34</v>
      </c>
      <c r="I1800" s="34" t="s">
        <v>36</v>
      </c>
      <c r="J1800" s="34" t="s">
        <v>681</v>
      </c>
      <c r="K1800" s="34" t="s">
        <v>229</v>
      </c>
      <c r="L1800" s="34" t="s">
        <v>230</v>
      </c>
      <c r="M1800" s="34" t="s">
        <v>682</v>
      </c>
      <c r="N1800" s="34" t="str">
        <f aca="false">"Sector "&amp;VALUE(MID(D1800,13,2))</f>
        <v>Sector 1</v>
      </c>
      <c r="O1800" s="34" t="str">
        <f aca="false">IF(Dashboard!$C$5="Ubicación técnica",N1800,"Sector "&amp;VALUE(RIGHT(G1800,2)))</f>
        <v>Sector 1</v>
      </c>
      <c r="P1800" s="34" t="str">
        <f aca="false">IF(MID(D1800,15,3)="SEL","Subestación eléctrica","Área de proceso")</f>
        <v>Área de proceso</v>
      </c>
      <c r="Q1800" s="34" t="str">
        <f aca="false">MID(D1800,13,5)&amp;"|"&amp;MID(D1800,19,5)</f>
        <v>01PRA|SCARG</v>
      </c>
      <c r="R1800" s="34" t="str">
        <f aca="false">IF(P1800="Subestación eléctrica",IFERROR(INDEX(cat_SubN,MATCH(Q1800,cat_SubK,0)),"SIN CATALOGAR"),"ÁREA DE PROCESO")</f>
        <v>ÁREA DE PROCESO</v>
      </c>
      <c r="S1800" s="34" t="str">
        <f aca="false">IF(H1800="","SIN DATO",IFERROR(INDEX(cat_MarcaN,MATCH(H1800,cat_MarcaO,0)),H1800))</f>
        <v>ABB</v>
      </c>
      <c r="T1800" s="34" t="str">
        <f aca="false">IF(I1800="","SIN DATO",IFERROR(INDEX(cat_ModN,MATCH(I1800,cat_ModO,0)),I1800))</f>
        <v>1AFFAEAGNEC5BNA11G</v>
      </c>
      <c r="U1800" s="34" t="str">
        <f aca="false">IF(I1800="","",IFERROR(INDEX(cat_ModG,MATCH(I1800,cat_ModO,0)),"No"))</f>
        <v>No</v>
      </c>
      <c r="V1800" s="34" t="str">
        <f aca="false">IF(J1800="","SIN DATO",IFERROR(INDEX(cat_FunN,MATCH(J1800,cat_FunO,0)),J1800))</f>
        <v>Protección</v>
      </c>
      <c r="W1800" s="34" t="str">
        <f aca="false">IF(OR(S1800="SIN DATO",T1800="SIN DATO"),"No","Sí")</f>
        <v>Sí</v>
      </c>
    </row>
    <row r="1801" customFormat="false" ht="15" hidden="false" customHeight="false" outlineLevel="0" collapsed="false">
      <c r="A1801" s="34" t="s">
        <v>6550</v>
      </c>
      <c r="B1801" s="34" t="s">
        <v>6551</v>
      </c>
      <c r="C1801" s="34" t="s">
        <v>6552</v>
      </c>
      <c r="D1801" s="34" t="s">
        <v>6546</v>
      </c>
      <c r="E1801" s="34" t="s">
        <v>111</v>
      </c>
      <c r="F1801" s="34" t="s">
        <v>6375</v>
      </c>
      <c r="G1801" s="34" t="s">
        <v>2431</v>
      </c>
      <c r="H1801" s="34" t="s">
        <v>34</v>
      </c>
      <c r="I1801" s="34" t="s">
        <v>36</v>
      </c>
      <c r="J1801" s="34" t="s">
        <v>228</v>
      </c>
      <c r="K1801" s="34" t="s">
        <v>229</v>
      </c>
      <c r="L1801" s="34" t="s">
        <v>230</v>
      </c>
      <c r="M1801" s="34" t="s">
        <v>231</v>
      </c>
      <c r="N1801" s="34" t="str">
        <f aca="false">"Sector "&amp;VALUE(MID(D1801,13,2))</f>
        <v>Sector 1</v>
      </c>
      <c r="O1801" s="34" t="str">
        <f aca="false">IF(Dashboard!$C$5="Ubicación técnica",N1801,"Sector "&amp;VALUE(RIGHT(G1801,2)))</f>
        <v>Sector 1</v>
      </c>
      <c r="P1801" s="34" t="str">
        <f aca="false">IF(MID(D1801,15,3)="SEL","Subestación eléctrica","Área de proceso")</f>
        <v>Área de proceso</v>
      </c>
      <c r="Q1801" s="34" t="str">
        <f aca="false">MID(D1801,13,5)&amp;"|"&amp;MID(D1801,19,5)</f>
        <v>01PRA|SCARG</v>
      </c>
      <c r="R1801" s="34" t="str">
        <f aca="false">IF(P1801="Subestación eléctrica",IFERROR(INDEX(cat_SubN,MATCH(Q1801,cat_SubK,0)),"SIN CATALOGAR"),"ÁREA DE PROCESO")</f>
        <v>ÁREA DE PROCESO</v>
      </c>
      <c r="S1801" s="34" t="str">
        <f aca="false">IF(H1801="","SIN DATO",IFERROR(INDEX(cat_MarcaN,MATCH(H1801,cat_MarcaO,0)),H1801))</f>
        <v>ABB</v>
      </c>
      <c r="T1801" s="34" t="str">
        <f aca="false">IF(I1801="","SIN DATO",IFERROR(INDEX(cat_ModN,MATCH(I1801,cat_ModO,0)),I1801))</f>
        <v>1AFFAEAGNEC5BNA11G</v>
      </c>
      <c r="U1801" s="34" t="str">
        <f aca="false">IF(I1801="","",IFERROR(INDEX(cat_ModG,MATCH(I1801,cat_ModO,0)),"No"))</f>
        <v>No</v>
      </c>
      <c r="V1801" s="34" t="str">
        <f aca="false">IF(J1801="","SIN DATO",IFERROR(INDEX(cat_FunN,MATCH(J1801,cat_FunO,0)),J1801))</f>
        <v>Protección y medición</v>
      </c>
      <c r="W1801" s="34" t="str">
        <f aca="false">IF(OR(S1801="SIN DATO",T1801="SIN DATO"),"No","Sí")</f>
        <v>Sí</v>
      </c>
    </row>
    <row r="1802" customFormat="false" ht="15" hidden="false" customHeight="false" outlineLevel="0" collapsed="false">
      <c r="A1802" s="34" t="s">
        <v>6553</v>
      </c>
      <c r="B1802" s="34" t="s">
        <v>6554</v>
      </c>
      <c r="C1802" s="34" t="s">
        <v>6555</v>
      </c>
      <c r="D1802" s="34" t="s">
        <v>6556</v>
      </c>
      <c r="E1802" s="34" t="s">
        <v>109</v>
      </c>
      <c r="F1802" s="34" t="s">
        <v>6557</v>
      </c>
      <c r="G1802" s="34" t="s">
        <v>2431</v>
      </c>
      <c r="H1802" s="34" t="s">
        <v>34</v>
      </c>
      <c r="I1802" s="34" t="s">
        <v>38</v>
      </c>
      <c r="J1802" s="34" t="s">
        <v>228</v>
      </c>
      <c r="K1802" s="34" t="s">
        <v>229</v>
      </c>
      <c r="L1802" s="34" t="s">
        <v>230</v>
      </c>
      <c r="M1802" s="34" t="s">
        <v>231</v>
      </c>
      <c r="N1802" s="34" t="str">
        <f aca="false">"Sector "&amp;VALUE(MID(D1802,13,2))</f>
        <v>Sector 1</v>
      </c>
      <c r="O1802" s="34" t="str">
        <f aca="false">IF(Dashboard!$C$5="Ubicación técnica",N1802,"Sector "&amp;VALUE(RIGHT(G1802,2)))</f>
        <v>Sector 1</v>
      </c>
      <c r="P1802" s="34" t="str">
        <f aca="false">IF(MID(D1802,15,3)="SEL","Subestación eléctrica","Área de proceso")</f>
        <v>Área de proceso</v>
      </c>
      <c r="Q1802" s="34" t="str">
        <f aca="false">MID(D1802,13,5)&amp;"|"&amp;MID(D1802,19,5)</f>
        <v>01PRB|SATMO</v>
      </c>
      <c r="R1802" s="34" t="str">
        <f aca="false">IF(P1802="Subestación eléctrica",IFERROR(INDEX(cat_SubN,MATCH(Q1802,cat_SubK,0)),"SIN CATALOGAR"),"ÁREA DE PROCESO")</f>
        <v>ÁREA DE PROCESO</v>
      </c>
      <c r="S1802" s="34" t="str">
        <f aca="false">IF(H1802="","SIN DATO",IFERROR(INDEX(cat_MarcaN,MATCH(H1802,cat_MarcaO,0)),H1802))</f>
        <v>ABB</v>
      </c>
      <c r="T1802" s="34" t="str">
        <f aca="false">IF(I1802="","SIN DATO",IFERROR(INDEX(cat_ModN,MATCH(I1802,cat_ModO,0)),I1802))</f>
        <v>1AMEBCADNEC5BNN11G</v>
      </c>
      <c r="U1802" s="34" t="str">
        <f aca="false">IF(I1802="","",IFERROR(INDEX(cat_ModG,MATCH(I1802,cat_ModO,0)),"No"))</f>
        <v>No</v>
      </c>
      <c r="V1802" s="34" t="str">
        <f aca="false">IF(J1802="","SIN DATO",IFERROR(INDEX(cat_FunN,MATCH(J1802,cat_FunO,0)),J1802))</f>
        <v>Protección y medición</v>
      </c>
      <c r="W1802" s="34" t="str">
        <f aca="false">IF(OR(S1802="SIN DATO",T1802="SIN DATO"),"No","Sí")</f>
        <v>Sí</v>
      </c>
    </row>
    <row r="1803" customFormat="false" ht="15" hidden="false" customHeight="false" outlineLevel="0" collapsed="false">
      <c r="A1803" s="34" t="s">
        <v>6558</v>
      </c>
      <c r="B1803" s="34" t="s">
        <v>6559</v>
      </c>
      <c r="C1803" s="34" t="s">
        <v>6560</v>
      </c>
      <c r="D1803" s="34" t="s">
        <v>6556</v>
      </c>
      <c r="E1803" s="34" t="s">
        <v>109</v>
      </c>
      <c r="F1803" s="34" t="s">
        <v>6557</v>
      </c>
      <c r="G1803" s="34" t="s">
        <v>2431</v>
      </c>
      <c r="H1803" s="34" t="s">
        <v>34</v>
      </c>
      <c r="I1803" s="34" t="s">
        <v>36</v>
      </c>
      <c r="J1803" s="34" t="s">
        <v>681</v>
      </c>
      <c r="K1803" s="34" t="s">
        <v>229</v>
      </c>
      <c r="L1803" s="34" t="s">
        <v>230</v>
      </c>
      <c r="M1803" s="34" t="s">
        <v>682</v>
      </c>
      <c r="N1803" s="34" t="str">
        <f aca="false">"Sector "&amp;VALUE(MID(D1803,13,2))</f>
        <v>Sector 1</v>
      </c>
      <c r="O1803" s="34" t="str">
        <f aca="false">IF(Dashboard!$C$5="Ubicación técnica",N1803,"Sector "&amp;VALUE(RIGHT(G1803,2)))</f>
        <v>Sector 1</v>
      </c>
      <c r="P1803" s="34" t="str">
        <f aca="false">IF(MID(D1803,15,3)="SEL","Subestación eléctrica","Área de proceso")</f>
        <v>Área de proceso</v>
      </c>
      <c r="Q1803" s="34" t="str">
        <f aca="false">MID(D1803,13,5)&amp;"|"&amp;MID(D1803,19,5)</f>
        <v>01PRB|SATMO</v>
      </c>
      <c r="R1803" s="34" t="str">
        <f aca="false">IF(P1803="Subestación eléctrica",IFERROR(INDEX(cat_SubN,MATCH(Q1803,cat_SubK,0)),"SIN CATALOGAR"),"ÁREA DE PROCESO")</f>
        <v>ÁREA DE PROCESO</v>
      </c>
      <c r="S1803" s="34" t="str">
        <f aca="false">IF(H1803="","SIN DATO",IFERROR(INDEX(cat_MarcaN,MATCH(H1803,cat_MarcaO,0)),H1803))</f>
        <v>ABB</v>
      </c>
      <c r="T1803" s="34" t="str">
        <f aca="false">IF(I1803="","SIN DATO",IFERROR(INDEX(cat_ModN,MATCH(I1803,cat_ModO,0)),I1803))</f>
        <v>1AFFAEAGNEC5BNA11G</v>
      </c>
      <c r="U1803" s="34" t="str">
        <f aca="false">IF(I1803="","",IFERROR(INDEX(cat_ModG,MATCH(I1803,cat_ModO,0)),"No"))</f>
        <v>No</v>
      </c>
      <c r="V1803" s="34" t="str">
        <f aca="false">IF(J1803="","SIN DATO",IFERROR(INDEX(cat_FunN,MATCH(J1803,cat_FunO,0)),J1803))</f>
        <v>Protección</v>
      </c>
      <c r="W1803" s="34" t="str">
        <f aca="false">IF(OR(S1803="SIN DATO",T1803="SIN DATO"),"No","Sí")</f>
        <v>Sí</v>
      </c>
    </row>
    <row r="1804" customFormat="false" ht="15" hidden="false" customHeight="false" outlineLevel="0" collapsed="false">
      <c r="A1804" s="34" t="s">
        <v>6561</v>
      </c>
      <c r="B1804" s="34" t="s">
        <v>6562</v>
      </c>
      <c r="C1804" s="34" t="s">
        <v>6563</v>
      </c>
      <c r="D1804" s="34" t="s">
        <v>6564</v>
      </c>
      <c r="E1804" s="34" t="s">
        <v>109</v>
      </c>
      <c r="F1804" s="34" t="s">
        <v>6557</v>
      </c>
      <c r="G1804" s="34" t="s">
        <v>2431</v>
      </c>
      <c r="H1804" s="34" t="s">
        <v>34</v>
      </c>
      <c r="I1804" s="34" t="s">
        <v>38</v>
      </c>
      <c r="J1804" s="34" t="s">
        <v>228</v>
      </c>
      <c r="K1804" s="34" t="s">
        <v>229</v>
      </c>
      <c r="L1804" s="34" t="s">
        <v>230</v>
      </c>
      <c r="M1804" s="34" t="s">
        <v>231</v>
      </c>
      <c r="N1804" s="34" t="str">
        <f aca="false">"Sector "&amp;VALUE(MID(D1804,13,2))</f>
        <v>Sector 1</v>
      </c>
      <c r="O1804" s="34" t="str">
        <f aca="false">IF(Dashboard!$C$5="Ubicación técnica",N1804,"Sector "&amp;VALUE(RIGHT(G1804,2)))</f>
        <v>Sector 1</v>
      </c>
      <c r="P1804" s="34" t="str">
        <f aca="false">IF(MID(D1804,15,3)="SEL","Subestación eléctrica","Área de proceso")</f>
        <v>Área de proceso</v>
      </c>
      <c r="Q1804" s="34" t="str">
        <f aca="false">MID(D1804,13,5)&amp;"|"&amp;MID(D1804,19,5)</f>
        <v>01PRB|SATMO</v>
      </c>
      <c r="R1804" s="34" t="str">
        <f aca="false">IF(P1804="Subestación eléctrica",IFERROR(INDEX(cat_SubN,MATCH(Q1804,cat_SubK,0)),"SIN CATALOGAR"),"ÁREA DE PROCESO")</f>
        <v>ÁREA DE PROCESO</v>
      </c>
      <c r="S1804" s="34" t="str">
        <f aca="false">IF(H1804="","SIN DATO",IFERROR(INDEX(cat_MarcaN,MATCH(H1804,cat_MarcaO,0)),H1804))</f>
        <v>ABB</v>
      </c>
      <c r="T1804" s="34" t="str">
        <f aca="false">IF(I1804="","SIN DATO",IFERROR(INDEX(cat_ModN,MATCH(I1804,cat_ModO,0)),I1804))</f>
        <v>1AMEBCADNEC5BNN11G</v>
      </c>
      <c r="U1804" s="34" t="str">
        <f aca="false">IF(I1804="","",IFERROR(INDEX(cat_ModG,MATCH(I1804,cat_ModO,0)),"No"))</f>
        <v>No</v>
      </c>
      <c r="V1804" s="34" t="str">
        <f aca="false">IF(J1804="","SIN DATO",IFERROR(INDEX(cat_FunN,MATCH(J1804,cat_FunO,0)),J1804))</f>
        <v>Protección y medición</v>
      </c>
      <c r="W1804" s="34" t="str">
        <f aca="false">IF(OR(S1804="SIN DATO",T1804="SIN DATO"),"No","Sí")</f>
        <v>Sí</v>
      </c>
    </row>
    <row r="1805" customFormat="false" ht="15" hidden="false" customHeight="false" outlineLevel="0" collapsed="false">
      <c r="A1805" s="34" t="s">
        <v>6565</v>
      </c>
      <c r="B1805" s="34" t="s">
        <v>6566</v>
      </c>
      <c r="C1805" s="34" t="s">
        <v>6567</v>
      </c>
      <c r="D1805" s="34" t="s">
        <v>6564</v>
      </c>
      <c r="E1805" s="34" t="s">
        <v>109</v>
      </c>
      <c r="F1805" s="34" t="s">
        <v>6557</v>
      </c>
      <c r="G1805" s="34" t="s">
        <v>2431</v>
      </c>
      <c r="H1805" s="34" t="s">
        <v>34</v>
      </c>
      <c r="I1805" s="34" t="s">
        <v>36</v>
      </c>
      <c r="J1805" s="34" t="s">
        <v>681</v>
      </c>
      <c r="K1805" s="34" t="s">
        <v>229</v>
      </c>
      <c r="L1805" s="34" t="s">
        <v>230</v>
      </c>
      <c r="M1805" s="34" t="s">
        <v>682</v>
      </c>
      <c r="N1805" s="34" t="str">
        <f aca="false">"Sector "&amp;VALUE(MID(D1805,13,2))</f>
        <v>Sector 1</v>
      </c>
      <c r="O1805" s="34" t="str">
        <f aca="false">IF(Dashboard!$C$5="Ubicación técnica",N1805,"Sector "&amp;VALUE(RIGHT(G1805,2)))</f>
        <v>Sector 1</v>
      </c>
      <c r="P1805" s="34" t="str">
        <f aca="false">IF(MID(D1805,15,3)="SEL","Subestación eléctrica","Área de proceso")</f>
        <v>Área de proceso</v>
      </c>
      <c r="Q1805" s="34" t="str">
        <f aca="false">MID(D1805,13,5)&amp;"|"&amp;MID(D1805,19,5)</f>
        <v>01PRB|SATMO</v>
      </c>
      <c r="R1805" s="34" t="str">
        <f aca="false">IF(P1805="Subestación eléctrica",IFERROR(INDEX(cat_SubN,MATCH(Q1805,cat_SubK,0)),"SIN CATALOGAR"),"ÁREA DE PROCESO")</f>
        <v>ÁREA DE PROCESO</v>
      </c>
      <c r="S1805" s="34" t="str">
        <f aca="false">IF(H1805="","SIN DATO",IFERROR(INDEX(cat_MarcaN,MATCH(H1805,cat_MarcaO,0)),H1805))</f>
        <v>ABB</v>
      </c>
      <c r="T1805" s="34" t="str">
        <f aca="false">IF(I1805="","SIN DATO",IFERROR(INDEX(cat_ModN,MATCH(I1805,cat_ModO,0)),I1805))</f>
        <v>1AFFAEAGNEC5BNA11G</v>
      </c>
      <c r="U1805" s="34" t="str">
        <f aca="false">IF(I1805="","",IFERROR(INDEX(cat_ModG,MATCH(I1805,cat_ModO,0)),"No"))</f>
        <v>No</v>
      </c>
      <c r="V1805" s="34" t="str">
        <f aca="false">IF(J1805="","SIN DATO",IFERROR(INDEX(cat_FunN,MATCH(J1805,cat_FunO,0)),J1805))</f>
        <v>Protección</v>
      </c>
      <c r="W1805" s="34" t="str">
        <f aca="false">IF(OR(S1805="SIN DATO",T1805="SIN DATO"),"No","Sí")</f>
        <v>Sí</v>
      </c>
    </row>
    <row r="1806" customFormat="false" ht="15" hidden="false" customHeight="false" outlineLevel="0" collapsed="false">
      <c r="A1806" s="34" t="s">
        <v>6568</v>
      </c>
      <c r="B1806" s="34" t="s">
        <v>6569</v>
      </c>
      <c r="C1806" s="34" t="s">
        <v>6570</v>
      </c>
      <c r="D1806" s="34" t="s">
        <v>6571</v>
      </c>
      <c r="E1806" s="34" t="s">
        <v>109</v>
      </c>
      <c r="F1806" s="34" t="s">
        <v>6557</v>
      </c>
      <c r="G1806" s="34" t="s">
        <v>2431</v>
      </c>
      <c r="H1806" s="34" t="s">
        <v>34</v>
      </c>
      <c r="I1806" s="34" t="s">
        <v>38</v>
      </c>
      <c r="J1806" s="34" t="s">
        <v>228</v>
      </c>
      <c r="K1806" s="34" t="s">
        <v>229</v>
      </c>
      <c r="L1806" s="34" t="s">
        <v>230</v>
      </c>
      <c r="M1806" s="34" t="s">
        <v>231</v>
      </c>
      <c r="N1806" s="34" t="str">
        <f aca="false">"Sector "&amp;VALUE(MID(D1806,13,2))</f>
        <v>Sector 1</v>
      </c>
      <c r="O1806" s="34" t="str">
        <f aca="false">IF(Dashboard!$C$5="Ubicación técnica",N1806,"Sector "&amp;VALUE(RIGHT(G1806,2)))</f>
        <v>Sector 1</v>
      </c>
      <c r="P1806" s="34" t="str">
        <f aca="false">IF(MID(D1806,15,3)="SEL","Subestación eléctrica","Área de proceso")</f>
        <v>Área de proceso</v>
      </c>
      <c r="Q1806" s="34" t="str">
        <f aca="false">MID(D1806,13,5)&amp;"|"&amp;MID(D1806,19,5)</f>
        <v>01PRB|SATMO</v>
      </c>
      <c r="R1806" s="34" t="str">
        <f aca="false">IF(P1806="Subestación eléctrica",IFERROR(INDEX(cat_SubN,MATCH(Q1806,cat_SubK,0)),"SIN CATALOGAR"),"ÁREA DE PROCESO")</f>
        <v>ÁREA DE PROCESO</v>
      </c>
      <c r="S1806" s="34" t="str">
        <f aca="false">IF(H1806="","SIN DATO",IFERROR(INDEX(cat_MarcaN,MATCH(H1806,cat_MarcaO,0)),H1806))</f>
        <v>ABB</v>
      </c>
      <c r="T1806" s="34" t="str">
        <f aca="false">IF(I1806="","SIN DATO",IFERROR(INDEX(cat_ModN,MATCH(I1806,cat_ModO,0)),I1806))</f>
        <v>1AMEBCADNEC5BNN11G</v>
      </c>
      <c r="U1806" s="34" t="str">
        <f aca="false">IF(I1806="","",IFERROR(INDEX(cat_ModG,MATCH(I1806,cat_ModO,0)),"No"))</f>
        <v>No</v>
      </c>
      <c r="V1806" s="34" t="str">
        <f aca="false">IF(J1806="","SIN DATO",IFERROR(INDEX(cat_FunN,MATCH(J1806,cat_FunO,0)),J1806))</f>
        <v>Protección y medición</v>
      </c>
      <c r="W1806" s="34" t="str">
        <f aca="false">IF(OR(S1806="SIN DATO",T1806="SIN DATO"),"No","Sí")</f>
        <v>Sí</v>
      </c>
    </row>
    <row r="1807" customFormat="false" ht="15" hidden="false" customHeight="false" outlineLevel="0" collapsed="false">
      <c r="A1807" s="34" t="s">
        <v>6572</v>
      </c>
      <c r="B1807" s="34" t="s">
        <v>6573</v>
      </c>
      <c r="C1807" s="34" t="s">
        <v>6574</v>
      </c>
      <c r="D1807" s="34" t="s">
        <v>6571</v>
      </c>
      <c r="E1807" s="34" t="s">
        <v>109</v>
      </c>
      <c r="F1807" s="34" t="s">
        <v>6557</v>
      </c>
      <c r="G1807" s="34" t="s">
        <v>2431</v>
      </c>
      <c r="H1807" s="34" t="s">
        <v>34</v>
      </c>
      <c r="I1807" s="34" t="s">
        <v>36</v>
      </c>
      <c r="J1807" s="34" t="s">
        <v>681</v>
      </c>
      <c r="K1807" s="34" t="s">
        <v>229</v>
      </c>
      <c r="L1807" s="34" t="s">
        <v>230</v>
      </c>
      <c r="M1807" s="34" t="s">
        <v>682</v>
      </c>
      <c r="N1807" s="34" t="str">
        <f aca="false">"Sector "&amp;VALUE(MID(D1807,13,2))</f>
        <v>Sector 1</v>
      </c>
      <c r="O1807" s="34" t="str">
        <f aca="false">IF(Dashboard!$C$5="Ubicación técnica",N1807,"Sector "&amp;VALUE(RIGHT(G1807,2)))</f>
        <v>Sector 1</v>
      </c>
      <c r="P1807" s="34" t="str">
        <f aca="false">IF(MID(D1807,15,3)="SEL","Subestación eléctrica","Área de proceso")</f>
        <v>Área de proceso</v>
      </c>
      <c r="Q1807" s="34" t="str">
        <f aca="false">MID(D1807,13,5)&amp;"|"&amp;MID(D1807,19,5)</f>
        <v>01PRB|SATMO</v>
      </c>
      <c r="R1807" s="34" t="str">
        <f aca="false">IF(P1807="Subestación eléctrica",IFERROR(INDEX(cat_SubN,MATCH(Q1807,cat_SubK,0)),"SIN CATALOGAR"),"ÁREA DE PROCESO")</f>
        <v>ÁREA DE PROCESO</v>
      </c>
      <c r="S1807" s="34" t="str">
        <f aca="false">IF(H1807="","SIN DATO",IFERROR(INDEX(cat_MarcaN,MATCH(H1807,cat_MarcaO,0)),H1807))</f>
        <v>ABB</v>
      </c>
      <c r="T1807" s="34" t="str">
        <f aca="false">IF(I1807="","SIN DATO",IFERROR(INDEX(cat_ModN,MATCH(I1807,cat_ModO,0)),I1807))</f>
        <v>1AFFAEAGNEC5BNA11G</v>
      </c>
      <c r="U1807" s="34" t="str">
        <f aca="false">IF(I1807="","",IFERROR(INDEX(cat_ModG,MATCH(I1807,cat_ModO,0)),"No"))</f>
        <v>No</v>
      </c>
      <c r="V1807" s="34" t="str">
        <f aca="false">IF(J1807="","SIN DATO",IFERROR(INDEX(cat_FunN,MATCH(J1807,cat_FunO,0)),J1807))</f>
        <v>Protección</v>
      </c>
      <c r="W1807" s="34" t="str">
        <f aca="false">IF(OR(S1807="SIN DATO",T1807="SIN DATO"),"No","Sí")</f>
        <v>Sí</v>
      </c>
    </row>
    <row r="1808" customFormat="false" ht="15" hidden="false" customHeight="false" outlineLevel="0" collapsed="false">
      <c r="A1808" s="34" t="s">
        <v>6575</v>
      </c>
      <c r="B1808" s="34" t="s">
        <v>6576</v>
      </c>
      <c r="C1808" s="34" t="s">
        <v>6577</v>
      </c>
      <c r="D1808" s="34" t="s">
        <v>6578</v>
      </c>
      <c r="E1808" s="34" t="s">
        <v>109</v>
      </c>
      <c r="F1808" s="34" t="s">
        <v>6557</v>
      </c>
      <c r="G1808" s="34" t="s">
        <v>2431</v>
      </c>
      <c r="H1808" s="34" t="s">
        <v>34</v>
      </c>
      <c r="I1808" s="34" t="s">
        <v>38</v>
      </c>
      <c r="J1808" s="34" t="s">
        <v>228</v>
      </c>
      <c r="K1808" s="34" t="s">
        <v>229</v>
      </c>
      <c r="L1808" s="34" t="s">
        <v>230</v>
      </c>
      <c r="M1808" s="34" t="s">
        <v>231</v>
      </c>
      <c r="N1808" s="34" t="str">
        <f aca="false">"Sector "&amp;VALUE(MID(D1808,13,2))</f>
        <v>Sector 1</v>
      </c>
      <c r="O1808" s="34" t="str">
        <f aca="false">IF(Dashboard!$C$5="Ubicación técnica",N1808,"Sector "&amp;VALUE(RIGHT(G1808,2)))</f>
        <v>Sector 1</v>
      </c>
      <c r="P1808" s="34" t="str">
        <f aca="false">IF(MID(D1808,15,3)="SEL","Subestación eléctrica","Área de proceso")</f>
        <v>Área de proceso</v>
      </c>
      <c r="Q1808" s="34" t="str">
        <f aca="false">MID(D1808,13,5)&amp;"|"&amp;MID(D1808,19,5)</f>
        <v>01PRB|SATMO</v>
      </c>
      <c r="R1808" s="34" t="str">
        <f aca="false">IF(P1808="Subestación eléctrica",IFERROR(INDEX(cat_SubN,MATCH(Q1808,cat_SubK,0)),"SIN CATALOGAR"),"ÁREA DE PROCESO")</f>
        <v>ÁREA DE PROCESO</v>
      </c>
      <c r="S1808" s="34" t="str">
        <f aca="false">IF(H1808="","SIN DATO",IFERROR(INDEX(cat_MarcaN,MATCH(H1808,cat_MarcaO,0)),H1808))</f>
        <v>ABB</v>
      </c>
      <c r="T1808" s="34" t="str">
        <f aca="false">IF(I1808="","SIN DATO",IFERROR(INDEX(cat_ModN,MATCH(I1808,cat_ModO,0)),I1808))</f>
        <v>1AMEBCADNEC5BNN11G</v>
      </c>
      <c r="U1808" s="34" t="str">
        <f aca="false">IF(I1808="","",IFERROR(INDEX(cat_ModG,MATCH(I1808,cat_ModO,0)),"No"))</f>
        <v>No</v>
      </c>
      <c r="V1808" s="34" t="str">
        <f aca="false">IF(J1808="","SIN DATO",IFERROR(INDEX(cat_FunN,MATCH(J1808,cat_FunO,0)),J1808))</f>
        <v>Protección y medición</v>
      </c>
      <c r="W1808" s="34" t="str">
        <f aca="false">IF(OR(S1808="SIN DATO",T1808="SIN DATO"),"No","Sí")</f>
        <v>Sí</v>
      </c>
    </row>
    <row r="1809" customFormat="false" ht="15" hidden="false" customHeight="false" outlineLevel="0" collapsed="false">
      <c r="A1809" s="34" t="s">
        <v>6579</v>
      </c>
      <c r="B1809" s="34" t="s">
        <v>6580</v>
      </c>
      <c r="C1809" s="34" t="s">
        <v>6581</v>
      </c>
      <c r="D1809" s="34" t="s">
        <v>6578</v>
      </c>
      <c r="E1809" s="34" t="s">
        <v>109</v>
      </c>
      <c r="F1809" s="34" t="s">
        <v>6557</v>
      </c>
      <c r="G1809" s="34" t="s">
        <v>2431</v>
      </c>
      <c r="H1809" s="34" t="s">
        <v>34</v>
      </c>
      <c r="I1809" s="34" t="s">
        <v>36</v>
      </c>
      <c r="J1809" s="34" t="s">
        <v>681</v>
      </c>
      <c r="K1809" s="34" t="s">
        <v>229</v>
      </c>
      <c r="L1809" s="34" t="s">
        <v>230</v>
      </c>
      <c r="M1809" s="34" t="s">
        <v>682</v>
      </c>
      <c r="N1809" s="34" t="str">
        <f aca="false">"Sector "&amp;VALUE(MID(D1809,13,2))</f>
        <v>Sector 1</v>
      </c>
      <c r="O1809" s="34" t="str">
        <f aca="false">IF(Dashboard!$C$5="Ubicación técnica",N1809,"Sector "&amp;VALUE(RIGHT(G1809,2)))</f>
        <v>Sector 1</v>
      </c>
      <c r="P1809" s="34" t="str">
        <f aca="false">IF(MID(D1809,15,3)="SEL","Subestación eléctrica","Área de proceso")</f>
        <v>Área de proceso</v>
      </c>
      <c r="Q1809" s="34" t="str">
        <f aca="false">MID(D1809,13,5)&amp;"|"&amp;MID(D1809,19,5)</f>
        <v>01PRB|SATMO</v>
      </c>
      <c r="R1809" s="34" t="str">
        <f aca="false">IF(P1809="Subestación eléctrica",IFERROR(INDEX(cat_SubN,MATCH(Q1809,cat_SubK,0)),"SIN CATALOGAR"),"ÁREA DE PROCESO")</f>
        <v>ÁREA DE PROCESO</v>
      </c>
      <c r="S1809" s="34" t="str">
        <f aca="false">IF(H1809="","SIN DATO",IFERROR(INDEX(cat_MarcaN,MATCH(H1809,cat_MarcaO,0)),H1809))</f>
        <v>ABB</v>
      </c>
      <c r="T1809" s="34" t="str">
        <f aca="false">IF(I1809="","SIN DATO",IFERROR(INDEX(cat_ModN,MATCH(I1809,cat_ModO,0)),I1809))</f>
        <v>1AFFAEAGNEC5BNA11G</v>
      </c>
      <c r="U1809" s="34" t="str">
        <f aca="false">IF(I1809="","",IFERROR(INDEX(cat_ModG,MATCH(I1809,cat_ModO,0)),"No"))</f>
        <v>No</v>
      </c>
      <c r="V1809" s="34" t="str">
        <f aca="false">IF(J1809="","SIN DATO",IFERROR(INDEX(cat_FunN,MATCH(J1809,cat_FunO,0)),J1809))</f>
        <v>Protección</v>
      </c>
      <c r="W1809" s="34" t="str">
        <f aca="false">IF(OR(S1809="SIN DATO",T1809="SIN DATO"),"No","Sí")</f>
        <v>Sí</v>
      </c>
    </row>
    <row r="1810" customFormat="false" ht="15" hidden="false" customHeight="false" outlineLevel="0" collapsed="false">
      <c r="A1810" s="34" t="s">
        <v>6582</v>
      </c>
      <c r="B1810" s="34" t="s">
        <v>6583</v>
      </c>
      <c r="C1810" s="34" t="s">
        <v>6584</v>
      </c>
      <c r="D1810" s="34" t="s">
        <v>6578</v>
      </c>
      <c r="E1810" s="34" t="s">
        <v>109</v>
      </c>
      <c r="F1810" s="34" t="s">
        <v>6557</v>
      </c>
      <c r="G1810" s="34" t="s">
        <v>2431</v>
      </c>
      <c r="H1810" s="34" t="s">
        <v>34</v>
      </c>
      <c r="I1810" s="34" t="s">
        <v>36</v>
      </c>
      <c r="J1810" s="34" t="s">
        <v>681</v>
      </c>
      <c r="K1810" s="34" t="s">
        <v>229</v>
      </c>
      <c r="L1810" s="34" t="s">
        <v>230</v>
      </c>
      <c r="M1810" s="34" t="s">
        <v>682</v>
      </c>
      <c r="N1810" s="34" t="str">
        <f aca="false">"Sector "&amp;VALUE(MID(D1810,13,2))</f>
        <v>Sector 1</v>
      </c>
      <c r="O1810" s="34" t="str">
        <f aca="false">IF(Dashboard!$C$5="Ubicación técnica",N1810,"Sector "&amp;VALUE(RIGHT(G1810,2)))</f>
        <v>Sector 1</v>
      </c>
      <c r="P1810" s="34" t="str">
        <f aca="false">IF(MID(D1810,15,3)="SEL","Subestación eléctrica","Área de proceso")</f>
        <v>Área de proceso</v>
      </c>
      <c r="Q1810" s="34" t="str">
        <f aca="false">MID(D1810,13,5)&amp;"|"&amp;MID(D1810,19,5)</f>
        <v>01PRB|SATMO</v>
      </c>
      <c r="R1810" s="34" t="str">
        <f aca="false">IF(P1810="Subestación eléctrica",IFERROR(INDEX(cat_SubN,MATCH(Q1810,cat_SubK,0)),"SIN CATALOGAR"),"ÁREA DE PROCESO")</f>
        <v>ÁREA DE PROCESO</v>
      </c>
      <c r="S1810" s="34" t="str">
        <f aca="false">IF(H1810="","SIN DATO",IFERROR(INDEX(cat_MarcaN,MATCH(H1810,cat_MarcaO,0)),H1810))</f>
        <v>ABB</v>
      </c>
      <c r="T1810" s="34" t="str">
        <f aca="false">IF(I1810="","SIN DATO",IFERROR(INDEX(cat_ModN,MATCH(I1810,cat_ModO,0)),I1810))</f>
        <v>1AFFAEAGNEC5BNA11G</v>
      </c>
      <c r="U1810" s="34" t="str">
        <f aca="false">IF(I1810="","",IFERROR(INDEX(cat_ModG,MATCH(I1810,cat_ModO,0)),"No"))</f>
        <v>No</v>
      </c>
      <c r="V1810" s="34" t="str">
        <f aca="false">IF(J1810="","SIN DATO",IFERROR(INDEX(cat_FunN,MATCH(J1810,cat_FunO,0)),J1810))</f>
        <v>Protección</v>
      </c>
      <c r="W1810" s="34" t="str">
        <f aca="false">IF(OR(S1810="SIN DATO",T1810="SIN DATO"),"No","Sí")</f>
        <v>Sí</v>
      </c>
    </row>
    <row r="1811" customFormat="false" ht="15" hidden="false" customHeight="false" outlineLevel="0" collapsed="false">
      <c r="A1811" s="34" t="s">
        <v>6585</v>
      </c>
      <c r="B1811" s="34" t="s">
        <v>6586</v>
      </c>
      <c r="C1811" s="34" t="s">
        <v>6587</v>
      </c>
      <c r="D1811" s="34" t="s">
        <v>6588</v>
      </c>
      <c r="E1811" s="34" t="s">
        <v>109</v>
      </c>
      <c r="F1811" s="34" t="s">
        <v>6557</v>
      </c>
      <c r="G1811" s="34" t="s">
        <v>2431</v>
      </c>
      <c r="H1811" s="34" t="s">
        <v>34</v>
      </c>
      <c r="I1811" s="34" t="s">
        <v>36</v>
      </c>
      <c r="J1811" s="34" t="s">
        <v>228</v>
      </c>
      <c r="K1811" s="34" t="s">
        <v>229</v>
      </c>
      <c r="L1811" s="34" t="s">
        <v>230</v>
      </c>
      <c r="M1811" s="34" t="s">
        <v>231</v>
      </c>
      <c r="N1811" s="34" t="str">
        <f aca="false">"Sector "&amp;VALUE(MID(D1811,13,2))</f>
        <v>Sector 1</v>
      </c>
      <c r="O1811" s="34" t="str">
        <f aca="false">IF(Dashboard!$C$5="Ubicación técnica",N1811,"Sector "&amp;VALUE(RIGHT(G1811,2)))</f>
        <v>Sector 1</v>
      </c>
      <c r="P1811" s="34" t="str">
        <f aca="false">IF(MID(D1811,15,3)="SEL","Subestación eléctrica","Área de proceso")</f>
        <v>Área de proceso</v>
      </c>
      <c r="Q1811" s="34" t="str">
        <f aca="false">MID(D1811,13,5)&amp;"|"&amp;MID(D1811,19,5)</f>
        <v>01PRB|SCARG</v>
      </c>
      <c r="R1811" s="34" t="str">
        <f aca="false">IF(P1811="Subestación eléctrica",IFERROR(INDEX(cat_SubN,MATCH(Q1811,cat_SubK,0)),"SIN CATALOGAR"),"ÁREA DE PROCESO")</f>
        <v>ÁREA DE PROCESO</v>
      </c>
      <c r="S1811" s="34" t="str">
        <f aca="false">IF(H1811="","SIN DATO",IFERROR(INDEX(cat_MarcaN,MATCH(H1811,cat_MarcaO,0)),H1811))</f>
        <v>ABB</v>
      </c>
      <c r="T1811" s="34" t="str">
        <f aca="false">IF(I1811="","SIN DATO",IFERROR(INDEX(cat_ModN,MATCH(I1811,cat_ModO,0)),I1811))</f>
        <v>1AFFAEAGNEC5BNA11G</v>
      </c>
      <c r="U1811" s="34" t="str">
        <f aca="false">IF(I1811="","",IFERROR(INDEX(cat_ModG,MATCH(I1811,cat_ModO,0)),"No"))</f>
        <v>No</v>
      </c>
      <c r="V1811" s="34" t="str">
        <f aca="false">IF(J1811="","SIN DATO",IFERROR(INDEX(cat_FunN,MATCH(J1811,cat_FunO,0)),J1811))</f>
        <v>Protección y medición</v>
      </c>
      <c r="W1811" s="34" t="str">
        <f aca="false">IF(OR(S1811="SIN DATO",T1811="SIN DATO"),"No","Sí")</f>
        <v>Sí</v>
      </c>
    </row>
    <row r="1812" customFormat="false" ht="15" hidden="false" customHeight="false" outlineLevel="0" collapsed="false">
      <c r="A1812" s="34" t="s">
        <v>6589</v>
      </c>
      <c r="B1812" s="34" t="s">
        <v>6590</v>
      </c>
      <c r="C1812" s="34" t="s">
        <v>6591</v>
      </c>
      <c r="D1812" s="34" t="s">
        <v>6588</v>
      </c>
      <c r="E1812" s="34" t="s">
        <v>109</v>
      </c>
      <c r="F1812" s="34" t="s">
        <v>6557</v>
      </c>
      <c r="G1812" s="34" t="s">
        <v>2431</v>
      </c>
      <c r="H1812" s="34" t="s">
        <v>34</v>
      </c>
      <c r="I1812" s="34" t="s">
        <v>36</v>
      </c>
      <c r="J1812" s="34" t="s">
        <v>681</v>
      </c>
      <c r="K1812" s="34" t="s">
        <v>229</v>
      </c>
      <c r="L1812" s="34" t="s">
        <v>230</v>
      </c>
      <c r="M1812" s="34" t="s">
        <v>682</v>
      </c>
      <c r="N1812" s="34" t="str">
        <f aca="false">"Sector "&amp;VALUE(MID(D1812,13,2))</f>
        <v>Sector 1</v>
      </c>
      <c r="O1812" s="34" t="str">
        <f aca="false">IF(Dashboard!$C$5="Ubicación técnica",N1812,"Sector "&amp;VALUE(RIGHT(G1812,2)))</f>
        <v>Sector 1</v>
      </c>
      <c r="P1812" s="34" t="str">
        <f aca="false">IF(MID(D1812,15,3)="SEL","Subestación eléctrica","Área de proceso")</f>
        <v>Área de proceso</v>
      </c>
      <c r="Q1812" s="34" t="str">
        <f aca="false">MID(D1812,13,5)&amp;"|"&amp;MID(D1812,19,5)</f>
        <v>01PRB|SCARG</v>
      </c>
      <c r="R1812" s="34" t="str">
        <f aca="false">IF(P1812="Subestación eléctrica",IFERROR(INDEX(cat_SubN,MATCH(Q1812,cat_SubK,0)),"SIN CATALOGAR"),"ÁREA DE PROCESO")</f>
        <v>ÁREA DE PROCESO</v>
      </c>
      <c r="S1812" s="34" t="str">
        <f aca="false">IF(H1812="","SIN DATO",IFERROR(INDEX(cat_MarcaN,MATCH(H1812,cat_MarcaO,0)),H1812))</f>
        <v>ABB</v>
      </c>
      <c r="T1812" s="34" t="str">
        <f aca="false">IF(I1812="","SIN DATO",IFERROR(INDEX(cat_ModN,MATCH(I1812,cat_ModO,0)),I1812))</f>
        <v>1AFFAEAGNEC5BNA11G</v>
      </c>
      <c r="U1812" s="34" t="str">
        <f aca="false">IF(I1812="","",IFERROR(INDEX(cat_ModG,MATCH(I1812,cat_ModO,0)),"No"))</f>
        <v>No</v>
      </c>
      <c r="V1812" s="34" t="str">
        <f aca="false">IF(J1812="","SIN DATO",IFERROR(INDEX(cat_FunN,MATCH(J1812,cat_FunO,0)),J1812))</f>
        <v>Protección</v>
      </c>
      <c r="W1812" s="34" t="str">
        <f aca="false">IF(OR(S1812="SIN DATO",T1812="SIN DATO"),"No","Sí")</f>
        <v>Sí</v>
      </c>
    </row>
    <row r="1813" customFormat="false" ht="15" hidden="false" customHeight="false" outlineLevel="0" collapsed="false">
      <c r="A1813" s="34" t="s">
        <v>6592</v>
      </c>
      <c r="B1813" s="34" t="s">
        <v>6593</v>
      </c>
      <c r="C1813" s="34" t="s">
        <v>6594</v>
      </c>
      <c r="D1813" s="34" t="s">
        <v>6588</v>
      </c>
      <c r="E1813" s="34" t="s">
        <v>109</v>
      </c>
      <c r="F1813" s="34" t="s">
        <v>6557</v>
      </c>
      <c r="G1813" s="34" t="s">
        <v>2431</v>
      </c>
      <c r="H1813" s="34" t="s">
        <v>90</v>
      </c>
      <c r="I1813" s="34" t="s">
        <v>92</v>
      </c>
      <c r="J1813" s="34" t="s">
        <v>681</v>
      </c>
      <c r="K1813" s="34" t="s">
        <v>229</v>
      </c>
      <c r="L1813" s="34" t="s">
        <v>230</v>
      </c>
      <c r="M1813" s="34" t="s">
        <v>4254</v>
      </c>
      <c r="N1813" s="34" t="str">
        <f aca="false">"Sector "&amp;VALUE(MID(D1813,13,2))</f>
        <v>Sector 1</v>
      </c>
      <c r="O1813" s="34" t="str">
        <f aca="false">IF(Dashboard!$C$5="Ubicación técnica",N1813,"Sector "&amp;VALUE(RIGHT(G1813,2)))</f>
        <v>Sector 1</v>
      </c>
      <c r="P1813" s="34" t="str">
        <f aca="false">IF(MID(D1813,15,3)="SEL","Subestación eléctrica","Área de proceso")</f>
        <v>Área de proceso</v>
      </c>
      <c r="Q1813" s="34" t="str">
        <f aca="false">MID(D1813,13,5)&amp;"|"&amp;MID(D1813,19,5)</f>
        <v>01PRB|SCARG</v>
      </c>
      <c r="R1813" s="34" t="str">
        <f aca="false">IF(P1813="Subestación eléctrica",IFERROR(INDEX(cat_SubN,MATCH(Q1813,cat_SubK,0)),"SIN CATALOGAR"),"ÁREA DE PROCESO")</f>
        <v>ÁREA DE PROCESO</v>
      </c>
      <c r="S1813" s="34" t="str">
        <f aca="false">IF(H1813="","SIN DATO",IFERROR(INDEX(cat_MarcaN,MATCH(H1813,cat_MarcaO,0)),H1813))</f>
        <v>ALLEN-BRADLEY</v>
      </c>
      <c r="T1813" s="34" t="str">
        <f aca="false">IF(I1813="","SIN DATO",IFERROR(INDEX(cat_ModN,MATCH(I1813,cat_ModO,0)),I1813))</f>
        <v>857</v>
      </c>
      <c r="U1813" s="34" t="str">
        <f aca="false">IF(I1813="","",IFERROR(INDEX(cat_ModG,MATCH(I1813,cat_ModO,0)),"No"))</f>
        <v>No</v>
      </c>
      <c r="V1813" s="34" t="str">
        <f aca="false">IF(J1813="","SIN DATO",IFERROR(INDEX(cat_FunN,MATCH(J1813,cat_FunO,0)),J1813))</f>
        <v>Protección</v>
      </c>
      <c r="W1813" s="34" t="str">
        <f aca="false">IF(OR(S1813="SIN DATO",T1813="SIN DATO"),"No","Sí")</f>
        <v>Sí</v>
      </c>
    </row>
    <row r="1814" customFormat="false" ht="15" hidden="false" customHeight="false" outlineLevel="0" collapsed="false">
      <c r="A1814" s="34" t="s">
        <v>6595</v>
      </c>
      <c r="B1814" s="34" t="s">
        <v>6596</v>
      </c>
      <c r="C1814" s="34" t="s">
        <v>6597</v>
      </c>
      <c r="D1814" s="34" t="s">
        <v>6598</v>
      </c>
      <c r="E1814" s="34" t="s">
        <v>109</v>
      </c>
      <c r="F1814" s="34" t="s">
        <v>6557</v>
      </c>
      <c r="G1814" s="34" t="s">
        <v>2431</v>
      </c>
      <c r="H1814" s="34" t="s">
        <v>34</v>
      </c>
      <c r="I1814" s="34" t="s">
        <v>36</v>
      </c>
      <c r="J1814" s="34" t="s">
        <v>228</v>
      </c>
      <c r="K1814" s="34" t="s">
        <v>229</v>
      </c>
      <c r="L1814" s="34" t="s">
        <v>230</v>
      </c>
      <c r="M1814" s="34" t="s">
        <v>231</v>
      </c>
      <c r="N1814" s="34" t="str">
        <f aca="false">"Sector "&amp;VALUE(MID(D1814,13,2))</f>
        <v>Sector 1</v>
      </c>
      <c r="O1814" s="34" t="str">
        <f aca="false">IF(Dashboard!$C$5="Ubicación técnica",N1814,"Sector "&amp;VALUE(RIGHT(G1814,2)))</f>
        <v>Sector 1</v>
      </c>
      <c r="P1814" s="34" t="str">
        <f aca="false">IF(MID(D1814,15,3)="SEL","Subestación eléctrica","Área de proceso")</f>
        <v>Área de proceso</v>
      </c>
      <c r="Q1814" s="34" t="str">
        <f aca="false">MID(D1814,13,5)&amp;"|"&amp;MID(D1814,19,5)</f>
        <v>01PRB|SCARG</v>
      </c>
      <c r="R1814" s="34" t="str">
        <f aca="false">IF(P1814="Subestación eléctrica",IFERROR(INDEX(cat_SubN,MATCH(Q1814,cat_SubK,0)),"SIN CATALOGAR"),"ÁREA DE PROCESO")</f>
        <v>ÁREA DE PROCESO</v>
      </c>
      <c r="S1814" s="34" t="str">
        <f aca="false">IF(H1814="","SIN DATO",IFERROR(INDEX(cat_MarcaN,MATCH(H1814,cat_MarcaO,0)),H1814))</f>
        <v>ABB</v>
      </c>
      <c r="T1814" s="34" t="str">
        <f aca="false">IF(I1814="","SIN DATO",IFERROR(INDEX(cat_ModN,MATCH(I1814,cat_ModO,0)),I1814))</f>
        <v>1AFFAEAGNEC5BNA11G</v>
      </c>
      <c r="U1814" s="34" t="str">
        <f aca="false">IF(I1814="","",IFERROR(INDEX(cat_ModG,MATCH(I1814,cat_ModO,0)),"No"))</f>
        <v>No</v>
      </c>
      <c r="V1814" s="34" t="str">
        <f aca="false">IF(J1814="","SIN DATO",IFERROR(INDEX(cat_FunN,MATCH(J1814,cat_FunO,0)),J1814))</f>
        <v>Protección y medición</v>
      </c>
      <c r="W1814" s="34" t="str">
        <f aca="false">IF(OR(S1814="SIN DATO",T1814="SIN DATO"),"No","Sí")</f>
        <v>Sí</v>
      </c>
    </row>
    <row r="1815" customFormat="false" ht="15" hidden="false" customHeight="false" outlineLevel="0" collapsed="false">
      <c r="A1815" s="34" t="s">
        <v>6599</v>
      </c>
      <c r="B1815" s="34" t="s">
        <v>6600</v>
      </c>
      <c r="C1815" s="34" t="s">
        <v>6601</v>
      </c>
      <c r="D1815" s="34" t="s">
        <v>6598</v>
      </c>
      <c r="E1815" s="34" t="s">
        <v>109</v>
      </c>
      <c r="F1815" s="34" t="s">
        <v>6557</v>
      </c>
      <c r="G1815" s="34" t="s">
        <v>2431</v>
      </c>
      <c r="H1815" s="34" t="s">
        <v>34</v>
      </c>
      <c r="I1815" s="34" t="s">
        <v>36</v>
      </c>
      <c r="J1815" s="34" t="s">
        <v>681</v>
      </c>
      <c r="K1815" s="34" t="s">
        <v>229</v>
      </c>
      <c r="L1815" s="34" t="s">
        <v>230</v>
      </c>
      <c r="M1815" s="34" t="s">
        <v>682</v>
      </c>
      <c r="N1815" s="34" t="str">
        <f aca="false">"Sector "&amp;VALUE(MID(D1815,13,2))</f>
        <v>Sector 1</v>
      </c>
      <c r="O1815" s="34" t="str">
        <f aca="false">IF(Dashboard!$C$5="Ubicación técnica",N1815,"Sector "&amp;VALUE(RIGHT(G1815,2)))</f>
        <v>Sector 1</v>
      </c>
      <c r="P1815" s="34" t="str">
        <f aca="false">IF(MID(D1815,15,3)="SEL","Subestación eléctrica","Área de proceso")</f>
        <v>Área de proceso</v>
      </c>
      <c r="Q1815" s="34" t="str">
        <f aca="false">MID(D1815,13,5)&amp;"|"&amp;MID(D1815,19,5)</f>
        <v>01PRB|SCARG</v>
      </c>
      <c r="R1815" s="34" t="str">
        <f aca="false">IF(P1815="Subestación eléctrica",IFERROR(INDEX(cat_SubN,MATCH(Q1815,cat_SubK,0)),"SIN CATALOGAR"),"ÁREA DE PROCESO")</f>
        <v>ÁREA DE PROCESO</v>
      </c>
      <c r="S1815" s="34" t="str">
        <f aca="false">IF(H1815="","SIN DATO",IFERROR(INDEX(cat_MarcaN,MATCH(H1815,cat_MarcaO,0)),H1815))</f>
        <v>ABB</v>
      </c>
      <c r="T1815" s="34" t="str">
        <f aca="false">IF(I1815="","SIN DATO",IFERROR(INDEX(cat_ModN,MATCH(I1815,cat_ModO,0)),I1815))</f>
        <v>1AFFAEAGNEC5BNA11G</v>
      </c>
      <c r="U1815" s="34" t="str">
        <f aca="false">IF(I1815="","",IFERROR(INDEX(cat_ModG,MATCH(I1815,cat_ModO,0)),"No"))</f>
        <v>No</v>
      </c>
      <c r="V1815" s="34" t="str">
        <f aca="false">IF(J1815="","SIN DATO",IFERROR(INDEX(cat_FunN,MATCH(J1815,cat_FunO,0)),J1815))</f>
        <v>Protección</v>
      </c>
      <c r="W1815" s="34" t="str">
        <f aca="false">IF(OR(S1815="SIN DATO",T1815="SIN DATO"),"No","Sí")</f>
        <v>Sí</v>
      </c>
    </row>
    <row r="1816" customFormat="false" ht="15" hidden="false" customHeight="false" outlineLevel="0" collapsed="false">
      <c r="A1816" s="34" t="s">
        <v>6602</v>
      </c>
      <c r="B1816" s="34" t="s">
        <v>6603</v>
      </c>
      <c r="C1816" s="34" t="s">
        <v>6604</v>
      </c>
      <c r="D1816" s="34" t="s">
        <v>6605</v>
      </c>
      <c r="E1816" s="34" t="s">
        <v>109</v>
      </c>
      <c r="F1816" s="34" t="s">
        <v>6557</v>
      </c>
      <c r="G1816" s="34" t="s">
        <v>2431</v>
      </c>
      <c r="H1816" s="34" t="s">
        <v>34</v>
      </c>
      <c r="I1816" s="34" t="s">
        <v>36</v>
      </c>
      <c r="J1816" s="34" t="s">
        <v>681</v>
      </c>
      <c r="K1816" s="34" t="s">
        <v>229</v>
      </c>
      <c r="L1816" s="34" t="s">
        <v>230</v>
      </c>
      <c r="M1816" s="34" t="s">
        <v>682</v>
      </c>
      <c r="N1816" s="34" t="str">
        <f aca="false">"Sector "&amp;VALUE(MID(D1816,13,2))</f>
        <v>Sector 1</v>
      </c>
      <c r="O1816" s="34" t="str">
        <f aca="false">IF(Dashboard!$C$5="Ubicación técnica",N1816,"Sector "&amp;VALUE(RIGHT(G1816,2)))</f>
        <v>Sector 1</v>
      </c>
      <c r="P1816" s="34" t="str">
        <f aca="false">IF(MID(D1816,15,3)="SEL","Subestación eléctrica","Área de proceso")</f>
        <v>Área de proceso</v>
      </c>
      <c r="Q1816" s="34" t="str">
        <f aca="false">MID(D1816,13,5)&amp;"|"&amp;MID(D1816,19,5)</f>
        <v>01PRB|SATMO</v>
      </c>
      <c r="R1816" s="34" t="str">
        <f aca="false">IF(P1816="Subestación eléctrica",IFERROR(INDEX(cat_SubN,MATCH(Q1816,cat_SubK,0)),"SIN CATALOGAR"),"ÁREA DE PROCESO")</f>
        <v>ÁREA DE PROCESO</v>
      </c>
      <c r="S1816" s="34" t="str">
        <f aca="false">IF(H1816="","SIN DATO",IFERROR(INDEX(cat_MarcaN,MATCH(H1816,cat_MarcaO,0)),H1816))</f>
        <v>ABB</v>
      </c>
      <c r="T1816" s="34" t="str">
        <f aca="false">IF(I1816="","SIN DATO",IFERROR(INDEX(cat_ModN,MATCH(I1816,cat_ModO,0)),I1816))</f>
        <v>1AFFAEAGNEC5BNA11G</v>
      </c>
      <c r="U1816" s="34" t="str">
        <f aca="false">IF(I1816="","",IFERROR(INDEX(cat_ModG,MATCH(I1816,cat_ModO,0)),"No"))</f>
        <v>No</v>
      </c>
      <c r="V1816" s="34" t="str">
        <f aca="false">IF(J1816="","SIN DATO",IFERROR(INDEX(cat_FunN,MATCH(J1816,cat_FunO,0)),J1816))</f>
        <v>Protección</v>
      </c>
      <c r="W1816" s="34" t="str">
        <f aca="false">IF(OR(S1816="SIN DATO",T1816="SIN DATO"),"No","Sí")</f>
        <v>Sí</v>
      </c>
    </row>
    <row r="1817" customFormat="false" ht="15" hidden="false" customHeight="false" outlineLevel="0" collapsed="false">
      <c r="A1817" s="34" t="s">
        <v>6606</v>
      </c>
      <c r="B1817" s="34" t="s">
        <v>6607</v>
      </c>
      <c r="C1817" s="34" t="s">
        <v>6608</v>
      </c>
      <c r="D1817" s="34" t="s">
        <v>6605</v>
      </c>
      <c r="E1817" s="34" t="s">
        <v>109</v>
      </c>
      <c r="F1817" s="34" t="s">
        <v>6557</v>
      </c>
      <c r="G1817" s="34" t="s">
        <v>2431</v>
      </c>
      <c r="H1817" s="34" t="s">
        <v>34</v>
      </c>
      <c r="I1817" s="34" t="s">
        <v>36</v>
      </c>
      <c r="J1817" s="34" t="s">
        <v>681</v>
      </c>
      <c r="K1817" s="34" t="s">
        <v>229</v>
      </c>
      <c r="L1817" s="34" t="s">
        <v>230</v>
      </c>
      <c r="M1817" s="34" t="s">
        <v>682</v>
      </c>
      <c r="N1817" s="34" t="str">
        <f aca="false">"Sector "&amp;VALUE(MID(D1817,13,2))</f>
        <v>Sector 1</v>
      </c>
      <c r="O1817" s="34" t="str">
        <f aca="false">IF(Dashboard!$C$5="Ubicación técnica",N1817,"Sector "&amp;VALUE(RIGHT(G1817,2)))</f>
        <v>Sector 1</v>
      </c>
      <c r="P1817" s="34" t="str">
        <f aca="false">IF(MID(D1817,15,3)="SEL","Subestación eléctrica","Área de proceso")</f>
        <v>Área de proceso</v>
      </c>
      <c r="Q1817" s="34" t="str">
        <f aca="false">MID(D1817,13,5)&amp;"|"&amp;MID(D1817,19,5)</f>
        <v>01PRB|SATMO</v>
      </c>
      <c r="R1817" s="34" t="str">
        <f aca="false">IF(P1817="Subestación eléctrica",IFERROR(INDEX(cat_SubN,MATCH(Q1817,cat_SubK,0)),"SIN CATALOGAR"),"ÁREA DE PROCESO")</f>
        <v>ÁREA DE PROCESO</v>
      </c>
      <c r="S1817" s="34" t="str">
        <f aca="false">IF(H1817="","SIN DATO",IFERROR(INDEX(cat_MarcaN,MATCH(H1817,cat_MarcaO,0)),H1817))</f>
        <v>ABB</v>
      </c>
      <c r="T1817" s="34" t="str">
        <f aca="false">IF(I1817="","SIN DATO",IFERROR(INDEX(cat_ModN,MATCH(I1817,cat_ModO,0)),I1817))</f>
        <v>1AFFAEAGNEC5BNA11G</v>
      </c>
      <c r="U1817" s="34" t="str">
        <f aca="false">IF(I1817="","",IFERROR(INDEX(cat_ModG,MATCH(I1817,cat_ModO,0)),"No"))</f>
        <v>No</v>
      </c>
      <c r="V1817" s="34" t="str">
        <f aca="false">IF(J1817="","SIN DATO",IFERROR(INDEX(cat_FunN,MATCH(J1817,cat_FunO,0)),J1817))</f>
        <v>Protección</v>
      </c>
      <c r="W1817" s="34" t="str">
        <f aca="false">IF(OR(S1817="SIN DATO",T1817="SIN DATO"),"No","Sí")</f>
        <v>Sí</v>
      </c>
    </row>
    <row r="1818" customFormat="false" ht="15" hidden="false" customHeight="false" outlineLevel="0" collapsed="false">
      <c r="A1818" s="34" t="s">
        <v>6609</v>
      </c>
      <c r="B1818" s="34" t="s">
        <v>6610</v>
      </c>
      <c r="C1818" s="34" t="s">
        <v>6611</v>
      </c>
      <c r="D1818" s="34" t="s">
        <v>6605</v>
      </c>
      <c r="E1818" s="34" t="s">
        <v>109</v>
      </c>
      <c r="F1818" s="34" t="s">
        <v>6557</v>
      </c>
      <c r="G1818" s="34" t="s">
        <v>2431</v>
      </c>
      <c r="H1818" s="34" t="s">
        <v>34</v>
      </c>
      <c r="I1818" s="34" t="s">
        <v>38</v>
      </c>
      <c r="J1818" s="34" t="s">
        <v>228</v>
      </c>
      <c r="K1818" s="34" t="s">
        <v>229</v>
      </c>
      <c r="L1818" s="34" t="s">
        <v>230</v>
      </c>
      <c r="M1818" s="34" t="s">
        <v>231</v>
      </c>
      <c r="N1818" s="34" t="str">
        <f aca="false">"Sector "&amp;VALUE(MID(D1818,13,2))</f>
        <v>Sector 1</v>
      </c>
      <c r="O1818" s="34" t="str">
        <f aca="false">IF(Dashboard!$C$5="Ubicación técnica",N1818,"Sector "&amp;VALUE(RIGHT(G1818,2)))</f>
        <v>Sector 1</v>
      </c>
      <c r="P1818" s="34" t="str">
        <f aca="false">IF(MID(D1818,15,3)="SEL","Subestación eléctrica","Área de proceso")</f>
        <v>Área de proceso</v>
      </c>
      <c r="Q1818" s="34" t="str">
        <f aca="false">MID(D1818,13,5)&amp;"|"&amp;MID(D1818,19,5)</f>
        <v>01PRB|SATMO</v>
      </c>
      <c r="R1818" s="34" t="str">
        <f aca="false">IF(P1818="Subestación eléctrica",IFERROR(INDEX(cat_SubN,MATCH(Q1818,cat_SubK,0)),"SIN CATALOGAR"),"ÁREA DE PROCESO")</f>
        <v>ÁREA DE PROCESO</v>
      </c>
      <c r="S1818" s="34" t="str">
        <f aca="false">IF(H1818="","SIN DATO",IFERROR(INDEX(cat_MarcaN,MATCH(H1818,cat_MarcaO,0)),H1818))</f>
        <v>ABB</v>
      </c>
      <c r="T1818" s="34" t="str">
        <f aca="false">IF(I1818="","SIN DATO",IFERROR(INDEX(cat_ModN,MATCH(I1818,cat_ModO,0)),I1818))</f>
        <v>1AMEBCADNEC5BNN11G</v>
      </c>
      <c r="U1818" s="34" t="str">
        <f aca="false">IF(I1818="","",IFERROR(INDEX(cat_ModG,MATCH(I1818,cat_ModO,0)),"No"))</f>
        <v>No</v>
      </c>
      <c r="V1818" s="34" t="str">
        <f aca="false">IF(J1818="","SIN DATO",IFERROR(INDEX(cat_FunN,MATCH(J1818,cat_FunO,0)),J1818))</f>
        <v>Protección y medición</v>
      </c>
      <c r="W1818" s="34" t="str">
        <f aca="false">IF(OR(S1818="SIN DATO",T1818="SIN DATO"),"No","Sí")</f>
        <v>Sí</v>
      </c>
    </row>
    <row r="1819" customFormat="false" ht="15" hidden="false" customHeight="false" outlineLevel="0" collapsed="false">
      <c r="A1819" s="34" t="s">
        <v>6612</v>
      </c>
      <c r="B1819" s="34" t="s">
        <v>6613</v>
      </c>
      <c r="C1819" s="34" t="s">
        <v>6614</v>
      </c>
      <c r="D1819" s="34" t="s">
        <v>6615</v>
      </c>
      <c r="E1819" s="34" t="s">
        <v>109</v>
      </c>
      <c r="F1819" s="34" t="s">
        <v>6557</v>
      </c>
      <c r="G1819" s="34" t="s">
        <v>2431</v>
      </c>
      <c r="H1819" s="34" t="s">
        <v>34</v>
      </c>
      <c r="I1819" s="34" t="s">
        <v>36</v>
      </c>
      <c r="J1819" s="34" t="s">
        <v>681</v>
      </c>
      <c r="K1819" s="34" t="s">
        <v>229</v>
      </c>
      <c r="L1819" s="34" t="s">
        <v>230</v>
      </c>
      <c r="M1819" s="34" t="s">
        <v>682</v>
      </c>
      <c r="N1819" s="34" t="str">
        <f aca="false">"Sector "&amp;VALUE(MID(D1819,13,2))</f>
        <v>Sector 1</v>
      </c>
      <c r="O1819" s="34" t="str">
        <f aca="false">IF(Dashboard!$C$5="Ubicación técnica",N1819,"Sector "&amp;VALUE(RIGHT(G1819,2)))</f>
        <v>Sector 1</v>
      </c>
      <c r="P1819" s="34" t="str">
        <f aca="false">IF(MID(D1819,15,3)="SEL","Subestación eléctrica","Área de proceso")</f>
        <v>Área de proceso</v>
      </c>
      <c r="Q1819" s="34" t="str">
        <f aca="false">MID(D1819,13,5)&amp;"|"&amp;MID(D1819,19,5)</f>
        <v>01PRB|SATMO</v>
      </c>
      <c r="R1819" s="34" t="str">
        <f aca="false">IF(P1819="Subestación eléctrica",IFERROR(INDEX(cat_SubN,MATCH(Q1819,cat_SubK,0)),"SIN CATALOGAR"),"ÁREA DE PROCESO")</f>
        <v>ÁREA DE PROCESO</v>
      </c>
      <c r="S1819" s="34" t="str">
        <f aca="false">IF(H1819="","SIN DATO",IFERROR(INDEX(cat_MarcaN,MATCH(H1819,cat_MarcaO,0)),H1819))</f>
        <v>ABB</v>
      </c>
      <c r="T1819" s="34" t="str">
        <f aca="false">IF(I1819="","SIN DATO",IFERROR(INDEX(cat_ModN,MATCH(I1819,cat_ModO,0)),I1819))</f>
        <v>1AFFAEAGNEC5BNA11G</v>
      </c>
      <c r="U1819" s="34" t="str">
        <f aca="false">IF(I1819="","",IFERROR(INDEX(cat_ModG,MATCH(I1819,cat_ModO,0)),"No"))</f>
        <v>No</v>
      </c>
      <c r="V1819" s="34" t="str">
        <f aca="false">IF(J1819="","SIN DATO",IFERROR(INDEX(cat_FunN,MATCH(J1819,cat_FunO,0)),J1819))</f>
        <v>Protección</v>
      </c>
      <c r="W1819" s="34" t="str">
        <f aca="false">IF(OR(S1819="SIN DATO",T1819="SIN DATO"),"No","Sí")</f>
        <v>Sí</v>
      </c>
    </row>
    <row r="1820" customFormat="false" ht="15" hidden="false" customHeight="false" outlineLevel="0" collapsed="false">
      <c r="A1820" s="34" t="s">
        <v>6616</v>
      </c>
      <c r="B1820" s="34" t="s">
        <v>6617</v>
      </c>
      <c r="C1820" s="34" t="s">
        <v>6618</v>
      </c>
      <c r="D1820" s="34" t="s">
        <v>6615</v>
      </c>
      <c r="E1820" s="34" t="s">
        <v>109</v>
      </c>
      <c r="F1820" s="34" t="s">
        <v>6557</v>
      </c>
      <c r="G1820" s="34" t="s">
        <v>2431</v>
      </c>
      <c r="H1820" s="34" t="s">
        <v>34</v>
      </c>
      <c r="I1820" s="34" t="s">
        <v>36</v>
      </c>
      <c r="J1820" s="34" t="s">
        <v>681</v>
      </c>
      <c r="K1820" s="34" t="s">
        <v>229</v>
      </c>
      <c r="L1820" s="34" t="s">
        <v>230</v>
      </c>
      <c r="M1820" s="34" t="s">
        <v>682</v>
      </c>
      <c r="N1820" s="34" t="str">
        <f aca="false">"Sector "&amp;VALUE(MID(D1820,13,2))</f>
        <v>Sector 1</v>
      </c>
      <c r="O1820" s="34" t="str">
        <f aca="false">IF(Dashboard!$C$5="Ubicación técnica",N1820,"Sector "&amp;VALUE(RIGHT(G1820,2)))</f>
        <v>Sector 1</v>
      </c>
      <c r="P1820" s="34" t="str">
        <f aca="false">IF(MID(D1820,15,3)="SEL","Subestación eléctrica","Área de proceso")</f>
        <v>Área de proceso</v>
      </c>
      <c r="Q1820" s="34" t="str">
        <f aca="false">MID(D1820,13,5)&amp;"|"&amp;MID(D1820,19,5)</f>
        <v>01PRB|SATMO</v>
      </c>
      <c r="R1820" s="34" t="str">
        <f aca="false">IF(P1820="Subestación eléctrica",IFERROR(INDEX(cat_SubN,MATCH(Q1820,cat_SubK,0)),"SIN CATALOGAR"),"ÁREA DE PROCESO")</f>
        <v>ÁREA DE PROCESO</v>
      </c>
      <c r="S1820" s="34" t="str">
        <f aca="false">IF(H1820="","SIN DATO",IFERROR(INDEX(cat_MarcaN,MATCH(H1820,cat_MarcaO,0)),H1820))</f>
        <v>ABB</v>
      </c>
      <c r="T1820" s="34" t="str">
        <f aca="false">IF(I1820="","SIN DATO",IFERROR(INDEX(cat_ModN,MATCH(I1820,cat_ModO,0)),I1820))</f>
        <v>1AFFAEAGNEC5BNA11G</v>
      </c>
      <c r="U1820" s="34" t="str">
        <f aca="false">IF(I1820="","",IFERROR(INDEX(cat_ModG,MATCH(I1820,cat_ModO,0)),"No"))</f>
        <v>No</v>
      </c>
      <c r="V1820" s="34" t="str">
        <f aca="false">IF(J1820="","SIN DATO",IFERROR(INDEX(cat_FunN,MATCH(J1820,cat_FunO,0)),J1820))</f>
        <v>Protección</v>
      </c>
      <c r="W1820" s="34" t="str">
        <f aca="false">IF(OR(S1820="SIN DATO",T1820="SIN DATO"),"No","Sí")</f>
        <v>Sí</v>
      </c>
    </row>
    <row r="1821" customFormat="false" ht="15" hidden="false" customHeight="false" outlineLevel="0" collapsed="false">
      <c r="A1821" s="34" t="s">
        <v>6619</v>
      </c>
      <c r="B1821" s="34" t="s">
        <v>6620</v>
      </c>
      <c r="C1821" s="34" t="s">
        <v>6621</v>
      </c>
      <c r="D1821" s="34" t="s">
        <v>6615</v>
      </c>
      <c r="E1821" s="34" t="s">
        <v>109</v>
      </c>
      <c r="F1821" s="34" t="s">
        <v>6557</v>
      </c>
      <c r="G1821" s="34" t="s">
        <v>2431</v>
      </c>
      <c r="H1821" s="34" t="s">
        <v>34</v>
      </c>
      <c r="I1821" s="34" t="s">
        <v>38</v>
      </c>
      <c r="J1821" s="34" t="s">
        <v>228</v>
      </c>
      <c r="K1821" s="34" t="s">
        <v>229</v>
      </c>
      <c r="L1821" s="34" t="s">
        <v>230</v>
      </c>
      <c r="M1821" s="34" t="s">
        <v>231</v>
      </c>
      <c r="N1821" s="34" t="str">
        <f aca="false">"Sector "&amp;VALUE(MID(D1821,13,2))</f>
        <v>Sector 1</v>
      </c>
      <c r="O1821" s="34" t="str">
        <f aca="false">IF(Dashboard!$C$5="Ubicación técnica",N1821,"Sector "&amp;VALUE(RIGHT(G1821,2)))</f>
        <v>Sector 1</v>
      </c>
      <c r="P1821" s="34" t="str">
        <f aca="false">IF(MID(D1821,15,3)="SEL","Subestación eléctrica","Área de proceso")</f>
        <v>Área de proceso</v>
      </c>
      <c r="Q1821" s="34" t="str">
        <f aca="false">MID(D1821,13,5)&amp;"|"&amp;MID(D1821,19,5)</f>
        <v>01PRB|SATMO</v>
      </c>
      <c r="R1821" s="34" t="str">
        <f aca="false">IF(P1821="Subestación eléctrica",IFERROR(INDEX(cat_SubN,MATCH(Q1821,cat_SubK,0)),"SIN CATALOGAR"),"ÁREA DE PROCESO")</f>
        <v>ÁREA DE PROCESO</v>
      </c>
      <c r="S1821" s="34" t="str">
        <f aca="false">IF(H1821="","SIN DATO",IFERROR(INDEX(cat_MarcaN,MATCH(H1821,cat_MarcaO,0)),H1821))</f>
        <v>ABB</v>
      </c>
      <c r="T1821" s="34" t="str">
        <f aca="false">IF(I1821="","SIN DATO",IFERROR(INDEX(cat_ModN,MATCH(I1821,cat_ModO,0)),I1821))</f>
        <v>1AMEBCADNEC5BNN11G</v>
      </c>
      <c r="U1821" s="34" t="str">
        <f aca="false">IF(I1821="","",IFERROR(INDEX(cat_ModG,MATCH(I1821,cat_ModO,0)),"No"))</f>
        <v>No</v>
      </c>
      <c r="V1821" s="34" t="str">
        <f aca="false">IF(J1821="","SIN DATO",IFERROR(INDEX(cat_FunN,MATCH(J1821,cat_FunO,0)),J1821))</f>
        <v>Protección y medición</v>
      </c>
      <c r="W1821" s="34" t="str">
        <f aca="false">IF(OR(S1821="SIN DATO",T1821="SIN DATO"),"No","Sí")</f>
        <v>Sí</v>
      </c>
    </row>
    <row r="1822" customFormat="false" ht="15" hidden="false" customHeight="false" outlineLevel="0" collapsed="false">
      <c r="A1822" s="34" t="s">
        <v>6622</v>
      </c>
      <c r="B1822" s="34" t="s">
        <v>6623</v>
      </c>
      <c r="C1822" s="34" t="s">
        <v>6624</v>
      </c>
      <c r="D1822" s="34" t="s">
        <v>6625</v>
      </c>
      <c r="E1822" s="34" t="s">
        <v>109</v>
      </c>
      <c r="F1822" s="34" t="s">
        <v>6557</v>
      </c>
      <c r="G1822" s="34" t="s">
        <v>2431</v>
      </c>
      <c r="H1822" s="34" t="s">
        <v>34</v>
      </c>
      <c r="I1822" s="34" t="s">
        <v>36</v>
      </c>
      <c r="J1822" s="34" t="s">
        <v>681</v>
      </c>
      <c r="K1822" s="34" t="s">
        <v>229</v>
      </c>
      <c r="L1822" s="34" t="s">
        <v>230</v>
      </c>
      <c r="M1822" s="34" t="s">
        <v>682</v>
      </c>
      <c r="N1822" s="34" t="str">
        <f aca="false">"Sector "&amp;VALUE(MID(D1822,13,2))</f>
        <v>Sector 1</v>
      </c>
      <c r="O1822" s="34" t="str">
        <f aca="false">IF(Dashboard!$C$5="Ubicación técnica",N1822,"Sector "&amp;VALUE(RIGHT(G1822,2)))</f>
        <v>Sector 1</v>
      </c>
      <c r="P1822" s="34" t="str">
        <f aca="false">IF(MID(D1822,15,3)="SEL","Subestación eléctrica","Área de proceso")</f>
        <v>Área de proceso</v>
      </c>
      <c r="Q1822" s="34" t="str">
        <f aca="false">MID(D1822,13,5)&amp;"|"&amp;MID(D1822,19,5)</f>
        <v>01PRB|SVACI</v>
      </c>
      <c r="R1822" s="34" t="str">
        <f aca="false">IF(P1822="Subestación eléctrica",IFERROR(INDEX(cat_SubN,MATCH(Q1822,cat_SubK,0)),"SIN CATALOGAR"),"ÁREA DE PROCESO")</f>
        <v>ÁREA DE PROCESO</v>
      </c>
      <c r="S1822" s="34" t="str">
        <f aca="false">IF(H1822="","SIN DATO",IFERROR(INDEX(cat_MarcaN,MATCH(H1822,cat_MarcaO,0)),H1822))</f>
        <v>ABB</v>
      </c>
      <c r="T1822" s="34" t="str">
        <f aca="false">IF(I1822="","SIN DATO",IFERROR(INDEX(cat_ModN,MATCH(I1822,cat_ModO,0)),I1822))</f>
        <v>1AFFAEAGNEC5BNA11G</v>
      </c>
      <c r="U1822" s="34" t="str">
        <f aca="false">IF(I1822="","",IFERROR(INDEX(cat_ModG,MATCH(I1822,cat_ModO,0)),"No"))</f>
        <v>No</v>
      </c>
      <c r="V1822" s="34" t="str">
        <f aca="false">IF(J1822="","SIN DATO",IFERROR(INDEX(cat_FunN,MATCH(J1822,cat_FunO,0)),J1822))</f>
        <v>Protección</v>
      </c>
      <c r="W1822" s="34" t="str">
        <f aca="false">IF(OR(S1822="SIN DATO",T1822="SIN DATO"),"No","Sí")</f>
        <v>Sí</v>
      </c>
    </row>
    <row r="1823" customFormat="false" ht="15" hidden="false" customHeight="false" outlineLevel="0" collapsed="false">
      <c r="A1823" s="34" t="s">
        <v>6626</v>
      </c>
      <c r="B1823" s="34" t="s">
        <v>6627</v>
      </c>
      <c r="C1823" s="34" t="s">
        <v>6628</v>
      </c>
      <c r="D1823" s="34" t="s">
        <v>6625</v>
      </c>
      <c r="E1823" s="34" t="s">
        <v>109</v>
      </c>
      <c r="F1823" s="34" t="s">
        <v>6557</v>
      </c>
      <c r="G1823" s="34" t="s">
        <v>2431</v>
      </c>
      <c r="H1823" s="34" t="s">
        <v>34</v>
      </c>
      <c r="I1823" s="34" t="s">
        <v>38</v>
      </c>
      <c r="J1823" s="34" t="s">
        <v>228</v>
      </c>
      <c r="K1823" s="34" t="s">
        <v>229</v>
      </c>
      <c r="L1823" s="34" t="s">
        <v>230</v>
      </c>
      <c r="M1823" s="34" t="s">
        <v>231</v>
      </c>
      <c r="N1823" s="34" t="str">
        <f aca="false">"Sector "&amp;VALUE(MID(D1823,13,2))</f>
        <v>Sector 1</v>
      </c>
      <c r="O1823" s="34" t="str">
        <f aca="false">IF(Dashboard!$C$5="Ubicación técnica",N1823,"Sector "&amp;VALUE(RIGHT(G1823,2)))</f>
        <v>Sector 1</v>
      </c>
      <c r="P1823" s="34" t="str">
        <f aca="false">IF(MID(D1823,15,3)="SEL","Subestación eléctrica","Área de proceso")</f>
        <v>Área de proceso</v>
      </c>
      <c r="Q1823" s="34" t="str">
        <f aca="false">MID(D1823,13,5)&amp;"|"&amp;MID(D1823,19,5)</f>
        <v>01PRB|SVACI</v>
      </c>
      <c r="R1823" s="34" t="str">
        <f aca="false">IF(P1823="Subestación eléctrica",IFERROR(INDEX(cat_SubN,MATCH(Q1823,cat_SubK,0)),"SIN CATALOGAR"),"ÁREA DE PROCESO")</f>
        <v>ÁREA DE PROCESO</v>
      </c>
      <c r="S1823" s="34" t="str">
        <f aca="false">IF(H1823="","SIN DATO",IFERROR(INDEX(cat_MarcaN,MATCH(H1823,cat_MarcaO,0)),H1823))</f>
        <v>ABB</v>
      </c>
      <c r="T1823" s="34" t="str">
        <f aca="false">IF(I1823="","SIN DATO",IFERROR(INDEX(cat_ModN,MATCH(I1823,cat_ModO,0)),I1823))</f>
        <v>1AMEBCADNEC5BNN11G</v>
      </c>
      <c r="U1823" s="34" t="str">
        <f aca="false">IF(I1823="","",IFERROR(INDEX(cat_ModG,MATCH(I1823,cat_ModO,0)),"No"))</f>
        <v>No</v>
      </c>
      <c r="V1823" s="34" t="str">
        <f aca="false">IF(J1823="","SIN DATO",IFERROR(INDEX(cat_FunN,MATCH(J1823,cat_FunO,0)),J1823))</f>
        <v>Protección y medición</v>
      </c>
      <c r="W1823" s="34" t="str">
        <f aca="false">IF(OR(S1823="SIN DATO",T1823="SIN DATO"),"No","Sí")</f>
        <v>Sí</v>
      </c>
    </row>
    <row r="1824" customFormat="false" ht="15" hidden="false" customHeight="false" outlineLevel="0" collapsed="false">
      <c r="A1824" s="34" t="s">
        <v>6629</v>
      </c>
      <c r="B1824" s="34" t="s">
        <v>6630</v>
      </c>
      <c r="C1824" s="34" t="s">
        <v>6631</v>
      </c>
      <c r="D1824" s="34" t="s">
        <v>6632</v>
      </c>
      <c r="E1824" s="34" t="s">
        <v>109</v>
      </c>
      <c r="F1824" s="34" t="s">
        <v>6557</v>
      </c>
      <c r="G1824" s="34" t="s">
        <v>2431</v>
      </c>
      <c r="H1824" s="34" t="s">
        <v>34</v>
      </c>
      <c r="I1824" s="34" t="s">
        <v>36</v>
      </c>
      <c r="J1824" s="34" t="s">
        <v>681</v>
      </c>
      <c r="K1824" s="34" t="s">
        <v>229</v>
      </c>
      <c r="L1824" s="34" t="s">
        <v>230</v>
      </c>
      <c r="M1824" s="34" t="s">
        <v>682</v>
      </c>
      <c r="N1824" s="34" t="str">
        <f aca="false">"Sector "&amp;VALUE(MID(D1824,13,2))</f>
        <v>Sector 1</v>
      </c>
      <c r="O1824" s="34" t="str">
        <f aca="false">IF(Dashboard!$C$5="Ubicación técnica",N1824,"Sector "&amp;VALUE(RIGHT(G1824,2)))</f>
        <v>Sector 1</v>
      </c>
      <c r="P1824" s="34" t="str">
        <f aca="false">IF(MID(D1824,15,3)="SEL","Subestación eléctrica","Área de proceso")</f>
        <v>Área de proceso</v>
      </c>
      <c r="Q1824" s="34" t="str">
        <f aca="false">MID(D1824,13,5)&amp;"|"&amp;MID(D1824,19,5)</f>
        <v>01PRB|SVACI</v>
      </c>
      <c r="R1824" s="34" t="str">
        <f aca="false">IF(P1824="Subestación eléctrica",IFERROR(INDEX(cat_SubN,MATCH(Q1824,cat_SubK,0)),"SIN CATALOGAR"),"ÁREA DE PROCESO")</f>
        <v>ÁREA DE PROCESO</v>
      </c>
      <c r="S1824" s="34" t="str">
        <f aca="false">IF(H1824="","SIN DATO",IFERROR(INDEX(cat_MarcaN,MATCH(H1824,cat_MarcaO,0)),H1824))</f>
        <v>ABB</v>
      </c>
      <c r="T1824" s="34" t="str">
        <f aca="false">IF(I1824="","SIN DATO",IFERROR(INDEX(cat_ModN,MATCH(I1824,cat_ModO,0)),I1824))</f>
        <v>1AFFAEAGNEC5BNA11G</v>
      </c>
      <c r="U1824" s="34" t="str">
        <f aca="false">IF(I1824="","",IFERROR(INDEX(cat_ModG,MATCH(I1824,cat_ModO,0)),"No"))</f>
        <v>No</v>
      </c>
      <c r="V1824" s="34" t="str">
        <f aca="false">IF(J1824="","SIN DATO",IFERROR(INDEX(cat_FunN,MATCH(J1824,cat_FunO,0)),J1824))</f>
        <v>Protección</v>
      </c>
      <c r="W1824" s="34" t="str">
        <f aca="false">IF(OR(S1824="SIN DATO",T1824="SIN DATO"),"No","Sí")</f>
        <v>Sí</v>
      </c>
    </row>
    <row r="1825" customFormat="false" ht="15" hidden="false" customHeight="false" outlineLevel="0" collapsed="false">
      <c r="A1825" s="34" t="s">
        <v>6633</v>
      </c>
      <c r="B1825" s="34" t="s">
        <v>6634</v>
      </c>
      <c r="C1825" s="34" t="s">
        <v>6635</v>
      </c>
      <c r="D1825" s="34" t="s">
        <v>6632</v>
      </c>
      <c r="E1825" s="34" t="s">
        <v>109</v>
      </c>
      <c r="F1825" s="34" t="s">
        <v>6557</v>
      </c>
      <c r="G1825" s="34" t="s">
        <v>2431</v>
      </c>
      <c r="H1825" s="34" t="s">
        <v>34</v>
      </c>
      <c r="I1825" s="34" t="s">
        <v>38</v>
      </c>
      <c r="J1825" s="34" t="s">
        <v>228</v>
      </c>
      <c r="K1825" s="34" t="s">
        <v>229</v>
      </c>
      <c r="L1825" s="34" t="s">
        <v>230</v>
      </c>
      <c r="M1825" s="34" t="s">
        <v>231</v>
      </c>
      <c r="N1825" s="34" t="str">
        <f aca="false">"Sector "&amp;VALUE(MID(D1825,13,2))</f>
        <v>Sector 1</v>
      </c>
      <c r="O1825" s="34" t="str">
        <f aca="false">IF(Dashboard!$C$5="Ubicación técnica",N1825,"Sector "&amp;VALUE(RIGHT(G1825,2)))</f>
        <v>Sector 1</v>
      </c>
      <c r="P1825" s="34" t="str">
        <f aca="false">IF(MID(D1825,15,3)="SEL","Subestación eléctrica","Área de proceso")</f>
        <v>Área de proceso</v>
      </c>
      <c r="Q1825" s="34" t="str">
        <f aca="false">MID(D1825,13,5)&amp;"|"&amp;MID(D1825,19,5)</f>
        <v>01PRB|SVACI</v>
      </c>
      <c r="R1825" s="34" t="str">
        <f aca="false">IF(P1825="Subestación eléctrica",IFERROR(INDEX(cat_SubN,MATCH(Q1825,cat_SubK,0)),"SIN CATALOGAR"),"ÁREA DE PROCESO")</f>
        <v>ÁREA DE PROCESO</v>
      </c>
      <c r="S1825" s="34" t="str">
        <f aca="false">IF(H1825="","SIN DATO",IFERROR(INDEX(cat_MarcaN,MATCH(H1825,cat_MarcaO,0)),H1825))</f>
        <v>ABB</v>
      </c>
      <c r="T1825" s="34" t="str">
        <f aca="false">IF(I1825="","SIN DATO",IFERROR(INDEX(cat_ModN,MATCH(I1825,cat_ModO,0)),I1825))</f>
        <v>1AMEBCADNEC5BNN11G</v>
      </c>
      <c r="U1825" s="34" t="str">
        <f aca="false">IF(I1825="","",IFERROR(INDEX(cat_ModG,MATCH(I1825,cat_ModO,0)),"No"))</f>
        <v>No</v>
      </c>
      <c r="V1825" s="34" t="str">
        <f aca="false">IF(J1825="","SIN DATO",IFERROR(INDEX(cat_FunN,MATCH(J1825,cat_FunO,0)),J1825))</f>
        <v>Protección y medición</v>
      </c>
      <c r="W1825" s="34" t="str">
        <f aca="false">IF(OR(S1825="SIN DATO",T1825="SIN DATO"),"No","Sí")</f>
        <v>Sí</v>
      </c>
    </row>
    <row r="1826" customFormat="false" ht="15" hidden="false" customHeight="false" outlineLevel="0" collapsed="false">
      <c r="A1826" s="34" t="s">
        <v>6636</v>
      </c>
      <c r="B1826" s="34" t="s">
        <v>6637</v>
      </c>
      <c r="C1826" s="34" t="s">
        <v>6638</v>
      </c>
      <c r="D1826" s="34" t="s">
        <v>6639</v>
      </c>
      <c r="E1826" s="34" t="s">
        <v>109</v>
      </c>
      <c r="F1826" s="34" t="s">
        <v>6557</v>
      </c>
      <c r="G1826" s="34" t="s">
        <v>2431</v>
      </c>
      <c r="H1826" s="34" t="s">
        <v>34</v>
      </c>
      <c r="I1826" s="34" t="s">
        <v>36</v>
      </c>
      <c r="J1826" s="34" t="s">
        <v>681</v>
      </c>
      <c r="K1826" s="34" t="s">
        <v>229</v>
      </c>
      <c r="L1826" s="34" t="s">
        <v>230</v>
      </c>
      <c r="M1826" s="34" t="s">
        <v>682</v>
      </c>
      <c r="N1826" s="34" t="str">
        <f aca="false">"Sector "&amp;VALUE(MID(D1826,13,2))</f>
        <v>Sector 1</v>
      </c>
      <c r="O1826" s="34" t="str">
        <f aca="false">IF(Dashboard!$C$5="Ubicación técnica",N1826,"Sector "&amp;VALUE(RIGHT(G1826,2)))</f>
        <v>Sector 1</v>
      </c>
      <c r="P1826" s="34" t="str">
        <f aca="false">IF(MID(D1826,15,3)="SEL","Subestación eléctrica","Área de proceso")</f>
        <v>Área de proceso</v>
      </c>
      <c r="Q1826" s="34" t="str">
        <f aca="false">MID(D1826,13,5)&amp;"|"&amp;MID(D1826,19,5)</f>
        <v>01PRB|SATMO</v>
      </c>
      <c r="R1826" s="34" t="str">
        <f aca="false">IF(P1826="Subestación eléctrica",IFERROR(INDEX(cat_SubN,MATCH(Q1826,cat_SubK,0)),"SIN CATALOGAR"),"ÁREA DE PROCESO")</f>
        <v>ÁREA DE PROCESO</v>
      </c>
      <c r="S1826" s="34" t="str">
        <f aca="false">IF(H1826="","SIN DATO",IFERROR(INDEX(cat_MarcaN,MATCH(H1826,cat_MarcaO,0)),H1826))</f>
        <v>ABB</v>
      </c>
      <c r="T1826" s="34" t="str">
        <f aca="false">IF(I1826="","SIN DATO",IFERROR(INDEX(cat_ModN,MATCH(I1826,cat_ModO,0)),I1826))</f>
        <v>1AFFAEAGNEC5BNA11G</v>
      </c>
      <c r="U1826" s="34" t="str">
        <f aca="false">IF(I1826="","",IFERROR(INDEX(cat_ModG,MATCH(I1826,cat_ModO,0)),"No"))</f>
        <v>No</v>
      </c>
      <c r="V1826" s="34" t="str">
        <f aca="false">IF(J1826="","SIN DATO",IFERROR(INDEX(cat_FunN,MATCH(J1826,cat_FunO,0)),J1826))</f>
        <v>Protección</v>
      </c>
      <c r="W1826" s="34" t="str">
        <f aca="false">IF(OR(S1826="SIN DATO",T1826="SIN DATO"),"No","Sí")</f>
        <v>Sí</v>
      </c>
    </row>
    <row r="1827" customFormat="false" ht="15" hidden="false" customHeight="false" outlineLevel="0" collapsed="false">
      <c r="A1827" s="34" t="s">
        <v>6640</v>
      </c>
      <c r="B1827" s="34" t="s">
        <v>6641</v>
      </c>
      <c r="C1827" s="34" t="s">
        <v>6642</v>
      </c>
      <c r="D1827" s="34" t="s">
        <v>6639</v>
      </c>
      <c r="E1827" s="34" t="s">
        <v>109</v>
      </c>
      <c r="F1827" s="34" t="s">
        <v>6557</v>
      </c>
      <c r="G1827" s="34" t="s">
        <v>2431</v>
      </c>
      <c r="H1827" s="34" t="s">
        <v>34</v>
      </c>
      <c r="I1827" s="34" t="s">
        <v>36</v>
      </c>
      <c r="J1827" s="34" t="s">
        <v>681</v>
      </c>
      <c r="K1827" s="34" t="s">
        <v>229</v>
      </c>
      <c r="L1827" s="34" t="s">
        <v>230</v>
      </c>
      <c r="M1827" s="34" t="s">
        <v>682</v>
      </c>
      <c r="N1827" s="34" t="str">
        <f aca="false">"Sector "&amp;VALUE(MID(D1827,13,2))</f>
        <v>Sector 1</v>
      </c>
      <c r="O1827" s="34" t="str">
        <f aca="false">IF(Dashboard!$C$5="Ubicación técnica",N1827,"Sector "&amp;VALUE(RIGHT(G1827,2)))</f>
        <v>Sector 1</v>
      </c>
      <c r="P1827" s="34" t="str">
        <f aca="false">IF(MID(D1827,15,3)="SEL","Subestación eléctrica","Área de proceso")</f>
        <v>Área de proceso</v>
      </c>
      <c r="Q1827" s="34" t="str">
        <f aca="false">MID(D1827,13,5)&amp;"|"&amp;MID(D1827,19,5)</f>
        <v>01PRB|SATMO</v>
      </c>
      <c r="R1827" s="34" t="str">
        <f aca="false">IF(P1827="Subestación eléctrica",IFERROR(INDEX(cat_SubN,MATCH(Q1827,cat_SubK,0)),"SIN CATALOGAR"),"ÁREA DE PROCESO")</f>
        <v>ÁREA DE PROCESO</v>
      </c>
      <c r="S1827" s="34" t="str">
        <f aca="false">IF(H1827="","SIN DATO",IFERROR(INDEX(cat_MarcaN,MATCH(H1827,cat_MarcaO,0)),H1827))</f>
        <v>ABB</v>
      </c>
      <c r="T1827" s="34" t="str">
        <f aca="false">IF(I1827="","SIN DATO",IFERROR(INDEX(cat_ModN,MATCH(I1827,cat_ModO,0)),I1827))</f>
        <v>1AFFAEAGNEC5BNA11G</v>
      </c>
      <c r="U1827" s="34" t="str">
        <f aca="false">IF(I1827="","",IFERROR(INDEX(cat_ModG,MATCH(I1827,cat_ModO,0)),"No"))</f>
        <v>No</v>
      </c>
      <c r="V1827" s="34" t="str">
        <f aca="false">IF(J1827="","SIN DATO",IFERROR(INDEX(cat_FunN,MATCH(J1827,cat_FunO,0)),J1827))</f>
        <v>Protección</v>
      </c>
      <c r="W1827" s="34" t="str">
        <f aca="false">IF(OR(S1827="SIN DATO",T1827="SIN DATO"),"No","Sí")</f>
        <v>Sí</v>
      </c>
    </row>
    <row r="1828" customFormat="false" ht="15" hidden="false" customHeight="false" outlineLevel="0" collapsed="false">
      <c r="A1828" s="34" t="s">
        <v>6643</v>
      </c>
      <c r="B1828" s="34" t="s">
        <v>6644</v>
      </c>
      <c r="C1828" s="34" t="s">
        <v>6453</v>
      </c>
      <c r="D1828" s="34" t="s">
        <v>6639</v>
      </c>
      <c r="E1828" s="34" t="s">
        <v>109</v>
      </c>
      <c r="F1828" s="34" t="s">
        <v>6557</v>
      </c>
      <c r="G1828" s="34" t="s">
        <v>2431</v>
      </c>
      <c r="H1828" s="34" t="s">
        <v>34</v>
      </c>
      <c r="I1828" s="34" t="s">
        <v>38</v>
      </c>
      <c r="J1828" s="34" t="s">
        <v>228</v>
      </c>
      <c r="K1828" s="34" t="s">
        <v>229</v>
      </c>
      <c r="L1828" s="34" t="s">
        <v>230</v>
      </c>
      <c r="M1828" s="34" t="s">
        <v>231</v>
      </c>
      <c r="N1828" s="34" t="str">
        <f aca="false">"Sector "&amp;VALUE(MID(D1828,13,2))</f>
        <v>Sector 1</v>
      </c>
      <c r="O1828" s="34" t="str">
        <f aca="false">IF(Dashboard!$C$5="Ubicación técnica",N1828,"Sector "&amp;VALUE(RIGHT(G1828,2)))</f>
        <v>Sector 1</v>
      </c>
      <c r="P1828" s="34" t="str">
        <f aca="false">IF(MID(D1828,15,3)="SEL","Subestación eléctrica","Área de proceso")</f>
        <v>Área de proceso</v>
      </c>
      <c r="Q1828" s="34" t="str">
        <f aca="false">MID(D1828,13,5)&amp;"|"&amp;MID(D1828,19,5)</f>
        <v>01PRB|SATMO</v>
      </c>
      <c r="R1828" s="34" t="str">
        <f aca="false">IF(P1828="Subestación eléctrica",IFERROR(INDEX(cat_SubN,MATCH(Q1828,cat_SubK,0)),"SIN CATALOGAR"),"ÁREA DE PROCESO")</f>
        <v>ÁREA DE PROCESO</v>
      </c>
      <c r="S1828" s="34" t="str">
        <f aca="false">IF(H1828="","SIN DATO",IFERROR(INDEX(cat_MarcaN,MATCH(H1828,cat_MarcaO,0)),H1828))</f>
        <v>ABB</v>
      </c>
      <c r="T1828" s="34" t="str">
        <f aca="false">IF(I1828="","SIN DATO",IFERROR(INDEX(cat_ModN,MATCH(I1828,cat_ModO,0)),I1828))</f>
        <v>1AMEBCADNEC5BNN11G</v>
      </c>
      <c r="U1828" s="34" t="str">
        <f aca="false">IF(I1828="","",IFERROR(INDEX(cat_ModG,MATCH(I1828,cat_ModO,0)),"No"))</f>
        <v>No</v>
      </c>
      <c r="V1828" s="34" t="str">
        <f aca="false">IF(J1828="","SIN DATO",IFERROR(INDEX(cat_FunN,MATCH(J1828,cat_FunO,0)),J1828))</f>
        <v>Protección y medición</v>
      </c>
      <c r="W1828" s="34" t="str">
        <f aca="false">IF(OR(S1828="SIN DATO",T1828="SIN DATO"),"No","Sí")</f>
        <v>Sí</v>
      </c>
    </row>
    <row r="1829" customFormat="false" ht="15" hidden="false" customHeight="false" outlineLevel="0" collapsed="false">
      <c r="A1829" s="34" t="s">
        <v>6645</v>
      </c>
      <c r="B1829" s="34" t="s">
        <v>6646</v>
      </c>
      <c r="C1829" s="34" t="s">
        <v>6647</v>
      </c>
      <c r="D1829" s="34" t="s">
        <v>6648</v>
      </c>
      <c r="E1829" s="34" t="s">
        <v>109</v>
      </c>
      <c r="F1829" s="34" t="s">
        <v>6557</v>
      </c>
      <c r="G1829" s="34" t="s">
        <v>2431</v>
      </c>
      <c r="H1829" s="34" t="s">
        <v>34</v>
      </c>
      <c r="I1829" s="34" t="s">
        <v>36</v>
      </c>
      <c r="J1829" s="34" t="s">
        <v>681</v>
      </c>
      <c r="K1829" s="34" t="s">
        <v>229</v>
      </c>
      <c r="L1829" s="34" t="s">
        <v>230</v>
      </c>
      <c r="M1829" s="34" t="s">
        <v>682</v>
      </c>
      <c r="N1829" s="34" t="str">
        <f aca="false">"Sector "&amp;VALUE(MID(D1829,13,2))</f>
        <v>Sector 1</v>
      </c>
      <c r="O1829" s="34" t="str">
        <f aca="false">IF(Dashboard!$C$5="Ubicación técnica",N1829,"Sector "&amp;VALUE(RIGHT(G1829,2)))</f>
        <v>Sector 1</v>
      </c>
      <c r="P1829" s="34" t="str">
        <f aca="false">IF(MID(D1829,15,3)="SEL","Subestación eléctrica","Área de proceso")</f>
        <v>Área de proceso</v>
      </c>
      <c r="Q1829" s="34" t="str">
        <f aca="false">MID(D1829,13,5)&amp;"|"&amp;MID(D1829,19,5)</f>
        <v>01PRB|SCOMP</v>
      </c>
      <c r="R1829" s="34" t="str">
        <f aca="false">IF(P1829="Subestación eléctrica",IFERROR(INDEX(cat_SubN,MATCH(Q1829,cat_SubK,0)),"SIN CATALOGAR"),"ÁREA DE PROCESO")</f>
        <v>ÁREA DE PROCESO</v>
      </c>
      <c r="S1829" s="34" t="str">
        <f aca="false">IF(H1829="","SIN DATO",IFERROR(INDEX(cat_MarcaN,MATCH(H1829,cat_MarcaO,0)),H1829))</f>
        <v>ABB</v>
      </c>
      <c r="T1829" s="34" t="str">
        <f aca="false">IF(I1829="","SIN DATO",IFERROR(INDEX(cat_ModN,MATCH(I1829,cat_ModO,0)),I1829))</f>
        <v>1AFFAEAGNEC5BNA11G</v>
      </c>
      <c r="U1829" s="34" t="str">
        <f aca="false">IF(I1829="","",IFERROR(INDEX(cat_ModG,MATCH(I1829,cat_ModO,0)),"No"))</f>
        <v>No</v>
      </c>
      <c r="V1829" s="34" t="str">
        <f aca="false">IF(J1829="","SIN DATO",IFERROR(INDEX(cat_FunN,MATCH(J1829,cat_FunO,0)),J1829))</f>
        <v>Protección</v>
      </c>
      <c r="W1829" s="34" t="str">
        <f aca="false">IF(OR(S1829="SIN DATO",T1829="SIN DATO"),"No","Sí")</f>
        <v>Sí</v>
      </c>
    </row>
    <row r="1830" customFormat="false" ht="15" hidden="false" customHeight="false" outlineLevel="0" collapsed="false">
      <c r="A1830" s="34" t="s">
        <v>6649</v>
      </c>
      <c r="B1830" s="34" t="s">
        <v>6650</v>
      </c>
      <c r="C1830" s="34" t="s">
        <v>6651</v>
      </c>
      <c r="D1830" s="34" t="s">
        <v>6648</v>
      </c>
      <c r="E1830" s="34" t="s">
        <v>109</v>
      </c>
      <c r="F1830" s="34" t="s">
        <v>6557</v>
      </c>
      <c r="G1830" s="34" t="s">
        <v>2431</v>
      </c>
      <c r="H1830" s="34" t="s">
        <v>34</v>
      </c>
      <c r="I1830" s="34" t="s">
        <v>38</v>
      </c>
      <c r="J1830" s="34" t="s">
        <v>228</v>
      </c>
      <c r="K1830" s="34" t="s">
        <v>229</v>
      </c>
      <c r="L1830" s="34" t="s">
        <v>230</v>
      </c>
      <c r="M1830" s="34" t="s">
        <v>231</v>
      </c>
      <c r="N1830" s="34" t="str">
        <f aca="false">"Sector "&amp;VALUE(MID(D1830,13,2))</f>
        <v>Sector 1</v>
      </c>
      <c r="O1830" s="34" t="str">
        <f aca="false">IF(Dashboard!$C$5="Ubicación técnica",N1830,"Sector "&amp;VALUE(RIGHT(G1830,2)))</f>
        <v>Sector 1</v>
      </c>
      <c r="P1830" s="34" t="str">
        <f aca="false">IF(MID(D1830,15,3)="SEL","Subestación eléctrica","Área de proceso")</f>
        <v>Área de proceso</v>
      </c>
      <c r="Q1830" s="34" t="str">
        <f aca="false">MID(D1830,13,5)&amp;"|"&amp;MID(D1830,19,5)</f>
        <v>01PRB|SCOMP</v>
      </c>
      <c r="R1830" s="34" t="str">
        <f aca="false">IF(P1830="Subestación eléctrica",IFERROR(INDEX(cat_SubN,MATCH(Q1830,cat_SubK,0)),"SIN CATALOGAR"),"ÁREA DE PROCESO")</f>
        <v>ÁREA DE PROCESO</v>
      </c>
      <c r="S1830" s="34" t="str">
        <f aca="false">IF(H1830="","SIN DATO",IFERROR(INDEX(cat_MarcaN,MATCH(H1830,cat_MarcaO,0)),H1830))</f>
        <v>ABB</v>
      </c>
      <c r="T1830" s="34" t="str">
        <f aca="false">IF(I1830="","SIN DATO",IFERROR(INDEX(cat_ModN,MATCH(I1830,cat_ModO,0)),I1830))</f>
        <v>1AMEBCADNEC5BNN11G</v>
      </c>
      <c r="U1830" s="34" t="str">
        <f aca="false">IF(I1830="","",IFERROR(INDEX(cat_ModG,MATCH(I1830,cat_ModO,0)),"No"))</f>
        <v>No</v>
      </c>
      <c r="V1830" s="34" t="str">
        <f aca="false">IF(J1830="","SIN DATO",IFERROR(INDEX(cat_FunN,MATCH(J1830,cat_FunO,0)),J1830))</f>
        <v>Protección y medición</v>
      </c>
      <c r="W1830" s="34" t="str">
        <f aca="false">IF(OR(S1830="SIN DATO",T1830="SIN DATO"),"No","Sí")</f>
        <v>Sí</v>
      </c>
    </row>
    <row r="1831" customFormat="false" ht="15" hidden="false" customHeight="false" outlineLevel="0" collapsed="false">
      <c r="A1831" s="34" t="s">
        <v>6652</v>
      </c>
      <c r="B1831" s="34" t="s">
        <v>6653</v>
      </c>
      <c r="C1831" s="34" t="s">
        <v>6654</v>
      </c>
      <c r="D1831" s="34" t="s">
        <v>6655</v>
      </c>
      <c r="E1831" s="34" t="s">
        <v>109</v>
      </c>
      <c r="F1831" s="34" t="s">
        <v>6557</v>
      </c>
      <c r="G1831" s="34" t="s">
        <v>2431</v>
      </c>
      <c r="H1831" s="34" t="s">
        <v>34</v>
      </c>
      <c r="I1831" s="34" t="s">
        <v>36</v>
      </c>
      <c r="J1831" s="34" t="s">
        <v>681</v>
      </c>
      <c r="K1831" s="34" t="s">
        <v>229</v>
      </c>
      <c r="L1831" s="34" t="s">
        <v>230</v>
      </c>
      <c r="M1831" s="34" t="s">
        <v>682</v>
      </c>
      <c r="N1831" s="34" t="str">
        <f aca="false">"Sector "&amp;VALUE(MID(D1831,13,2))</f>
        <v>Sector 1</v>
      </c>
      <c r="O1831" s="34" t="str">
        <f aca="false">IF(Dashboard!$C$5="Ubicación técnica",N1831,"Sector "&amp;VALUE(RIGHT(G1831,2)))</f>
        <v>Sector 1</v>
      </c>
      <c r="P1831" s="34" t="str">
        <f aca="false">IF(MID(D1831,15,3)="SEL","Subestación eléctrica","Área de proceso")</f>
        <v>Área de proceso</v>
      </c>
      <c r="Q1831" s="34" t="str">
        <f aca="false">MID(D1831,13,5)&amp;"|"&amp;MID(D1831,19,5)</f>
        <v>01PRB|SATMO</v>
      </c>
      <c r="R1831" s="34" t="str">
        <f aca="false">IF(P1831="Subestación eléctrica",IFERROR(INDEX(cat_SubN,MATCH(Q1831,cat_SubK,0)),"SIN CATALOGAR"),"ÁREA DE PROCESO")</f>
        <v>ÁREA DE PROCESO</v>
      </c>
      <c r="S1831" s="34" t="str">
        <f aca="false">IF(H1831="","SIN DATO",IFERROR(INDEX(cat_MarcaN,MATCH(H1831,cat_MarcaO,0)),H1831))</f>
        <v>ABB</v>
      </c>
      <c r="T1831" s="34" t="str">
        <f aca="false">IF(I1831="","SIN DATO",IFERROR(INDEX(cat_ModN,MATCH(I1831,cat_ModO,0)),I1831))</f>
        <v>1AFFAEAGNEC5BNA11G</v>
      </c>
      <c r="U1831" s="34" t="str">
        <f aca="false">IF(I1831="","",IFERROR(INDEX(cat_ModG,MATCH(I1831,cat_ModO,0)),"No"))</f>
        <v>No</v>
      </c>
      <c r="V1831" s="34" t="str">
        <f aca="false">IF(J1831="","SIN DATO",IFERROR(INDEX(cat_FunN,MATCH(J1831,cat_FunO,0)),J1831))</f>
        <v>Protección</v>
      </c>
      <c r="W1831" s="34" t="str">
        <f aca="false">IF(OR(S1831="SIN DATO",T1831="SIN DATO"),"No","Sí")</f>
        <v>Sí</v>
      </c>
    </row>
    <row r="1832" customFormat="false" ht="15" hidden="false" customHeight="false" outlineLevel="0" collapsed="false">
      <c r="A1832" s="34" t="s">
        <v>6656</v>
      </c>
      <c r="B1832" s="34" t="s">
        <v>6657</v>
      </c>
      <c r="C1832" s="34" t="s">
        <v>6658</v>
      </c>
      <c r="D1832" s="34" t="s">
        <v>6655</v>
      </c>
      <c r="E1832" s="34" t="s">
        <v>109</v>
      </c>
      <c r="F1832" s="34" t="s">
        <v>6557</v>
      </c>
      <c r="G1832" s="34" t="s">
        <v>2431</v>
      </c>
      <c r="H1832" s="34" t="s">
        <v>34</v>
      </c>
      <c r="I1832" s="34" t="s">
        <v>38</v>
      </c>
      <c r="J1832" s="34" t="s">
        <v>228</v>
      </c>
      <c r="K1832" s="34" t="s">
        <v>229</v>
      </c>
      <c r="L1832" s="34" t="s">
        <v>230</v>
      </c>
      <c r="M1832" s="34" t="s">
        <v>231</v>
      </c>
      <c r="N1832" s="34" t="str">
        <f aca="false">"Sector "&amp;VALUE(MID(D1832,13,2))</f>
        <v>Sector 1</v>
      </c>
      <c r="O1832" s="34" t="str">
        <f aca="false">IF(Dashboard!$C$5="Ubicación técnica",N1832,"Sector "&amp;VALUE(RIGHT(G1832,2)))</f>
        <v>Sector 1</v>
      </c>
      <c r="P1832" s="34" t="str">
        <f aca="false">IF(MID(D1832,15,3)="SEL","Subestación eléctrica","Área de proceso")</f>
        <v>Área de proceso</v>
      </c>
      <c r="Q1832" s="34" t="str">
        <f aca="false">MID(D1832,13,5)&amp;"|"&amp;MID(D1832,19,5)</f>
        <v>01PRB|SATMO</v>
      </c>
      <c r="R1832" s="34" t="str">
        <f aca="false">IF(P1832="Subestación eléctrica",IFERROR(INDEX(cat_SubN,MATCH(Q1832,cat_SubK,0)),"SIN CATALOGAR"),"ÁREA DE PROCESO")</f>
        <v>ÁREA DE PROCESO</v>
      </c>
      <c r="S1832" s="34" t="str">
        <f aca="false">IF(H1832="","SIN DATO",IFERROR(INDEX(cat_MarcaN,MATCH(H1832,cat_MarcaO,0)),H1832))</f>
        <v>ABB</v>
      </c>
      <c r="T1832" s="34" t="str">
        <f aca="false">IF(I1832="","SIN DATO",IFERROR(INDEX(cat_ModN,MATCH(I1832,cat_ModO,0)),I1832))</f>
        <v>1AMEBCADNEC5BNN11G</v>
      </c>
      <c r="U1832" s="34" t="str">
        <f aca="false">IF(I1832="","",IFERROR(INDEX(cat_ModG,MATCH(I1832,cat_ModO,0)),"No"))</f>
        <v>No</v>
      </c>
      <c r="V1832" s="34" t="str">
        <f aca="false">IF(J1832="","SIN DATO",IFERROR(INDEX(cat_FunN,MATCH(J1832,cat_FunO,0)),J1832))</f>
        <v>Protección y medición</v>
      </c>
      <c r="W1832" s="34" t="str">
        <f aca="false">IF(OR(S1832="SIN DATO",T1832="SIN DATO"),"No","Sí")</f>
        <v>Sí</v>
      </c>
    </row>
    <row r="1833" customFormat="false" ht="15" hidden="false" customHeight="false" outlineLevel="0" collapsed="false">
      <c r="A1833" s="34" t="s">
        <v>6659</v>
      </c>
      <c r="B1833" s="34" t="s">
        <v>6660</v>
      </c>
      <c r="C1833" s="34" t="s">
        <v>6661</v>
      </c>
      <c r="D1833" s="34" t="s">
        <v>6655</v>
      </c>
      <c r="E1833" s="34" t="s">
        <v>109</v>
      </c>
      <c r="F1833" s="34" t="s">
        <v>6557</v>
      </c>
      <c r="G1833" s="34" t="s">
        <v>2431</v>
      </c>
      <c r="H1833" s="34" t="s">
        <v>34</v>
      </c>
      <c r="I1833" s="34" t="s">
        <v>36</v>
      </c>
      <c r="J1833" s="34" t="s">
        <v>681</v>
      </c>
      <c r="K1833" s="34" t="s">
        <v>229</v>
      </c>
      <c r="L1833" s="34" t="s">
        <v>230</v>
      </c>
      <c r="M1833" s="34" t="s">
        <v>682</v>
      </c>
      <c r="N1833" s="34" t="str">
        <f aca="false">"Sector "&amp;VALUE(MID(D1833,13,2))</f>
        <v>Sector 1</v>
      </c>
      <c r="O1833" s="34" t="str">
        <f aca="false">IF(Dashboard!$C$5="Ubicación técnica",N1833,"Sector "&amp;VALUE(RIGHT(G1833,2)))</f>
        <v>Sector 1</v>
      </c>
      <c r="P1833" s="34" t="str">
        <f aca="false">IF(MID(D1833,15,3)="SEL","Subestación eléctrica","Área de proceso")</f>
        <v>Área de proceso</v>
      </c>
      <c r="Q1833" s="34" t="str">
        <f aca="false">MID(D1833,13,5)&amp;"|"&amp;MID(D1833,19,5)</f>
        <v>01PRB|SATMO</v>
      </c>
      <c r="R1833" s="34" t="str">
        <f aca="false">IF(P1833="Subestación eléctrica",IFERROR(INDEX(cat_SubN,MATCH(Q1833,cat_SubK,0)),"SIN CATALOGAR"),"ÁREA DE PROCESO")</f>
        <v>ÁREA DE PROCESO</v>
      </c>
      <c r="S1833" s="34" t="str">
        <f aca="false">IF(H1833="","SIN DATO",IFERROR(INDEX(cat_MarcaN,MATCH(H1833,cat_MarcaO,0)),H1833))</f>
        <v>ABB</v>
      </c>
      <c r="T1833" s="34" t="str">
        <f aca="false">IF(I1833="","SIN DATO",IFERROR(INDEX(cat_ModN,MATCH(I1833,cat_ModO,0)),I1833))</f>
        <v>1AFFAEAGNEC5BNA11G</v>
      </c>
      <c r="U1833" s="34" t="str">
        <f aca="false">IF(I1833="","",IFERROR(INDEX(cat_ModG,MATCH(I1833,cat_ModO,0)),"No"))</f>
        <v>No</v>
      </c>
      <c r="V1833" s="34" t="str">
        <f aca="false">IF(J1833="","SIN DATO",IFERROR(INDEX(cat_FunN,MATCH(J1833,cat_FunO,0)),J1833))</f>
        <v>Protección</v>
      </c>
      <c r="W1833" s="34" t="str">
        <f aca="false">IF(OR(S1833="SIN DATO",T1833="SIN DATO"),"No","Sí")</f>
        <v>Sí</v>
      </c>
    </row>
    <row r="1834" customFormat="false" ht="15" hidden="false" customHeight="false" outlineLevel="0" collapsed="false">
      <c r="A1834" s="34" t="s">
        <v>6662</v>
      </c>
      <c r="B1834" s="34" t="s">
        <v>6663</v>
      </c>
      <c r="C1834" s="34" t="s">
        <v>6664</v>
      </c>
      <c r="D1834" s="34" t="s">
        <v>6665</v>
      </c>
      <c r="E1834" s="34" t="s">
        <v>109</v>
      </c>
      <c r="F1834" s="34" t="s">
        <v>6557</v>
      </c>
      <c r="G1834" s="34" t="s">
        <v>2431</v>
      </c>
      <c r="H1834" s="34" t="s">
        <v>34</v>
      </c>
      <c r="I1834" s="34" t="s">
        <v>36</v>
      </c>
      <c r="J1834" s="34" t="s">
        <v>681</v>
      </c>
      <c r="K1834" s="34" t="s">
        <v>229</v>
      </c>
      <c r="L1834" s="34" t="s">
        <v>230</v>
      </c>
      <c r="M1834" s="34" t="s">
        <v>682</v>
      </c>
      <c r="N1834" s="34" t="str">
        <f aca="false">"Sector "&amp;VALUE(MID(D1834,13,2))</f>
        <v>Sector 1</v>
      </c>
      <c r="O1834" s="34" t="str">
        <f aca="false">IF(Dashboard!$C$5="Ubicación técnica",N1834,"Sector "&amp;VALUE(RIGHT(G1834,2)))</f>
        <v>Sector 1</v>
      </c>
      <c r="P1834" s="34" t="str">
        <f aca="false">IF(MID(D1834,15,3)="SEL","Subestación eléctrica","Área de proceso")</f>
        <v>Área de proceso</v>
      </c>
      <c r="Q1834" s="34" t="str">
        <f aca="false">MID(D1834,13,5)&amp;"|"&amp;MID(D1834,19,5)</f>
        <v>01PRB|SSERV</v>
      </c>
      <c r="R1834" s="34" t="str">
        <f aca="false">IF(P1834="Subestación eléctrica",IFERROR(INDEX(cat_SubN,MATCH(Q1834,cat_SubK,0)),"SIN CATALOGAR"),"ÁREA DE PROCESO")</f>
        <v>ÁREA DE PROCESO</v>
      </c>
      <c r="S1834" s="34" t="str">
        <f aca="false">IF(H1834="","SIN DATO",IFERROR(INDEX(cat_MarcaN,MATCH(H1834,cat_MarcaO,0)),H1834))</f>
        <v>ABB</v>
      </c>
      <c r="T1834" s="34" t="str">
        <f aca="false">IF(I1834="","SIN DATO",IFERROR(INDEX(cat_ModN,MATCH(I1834,cat_ModO,0)),I1834))</f>
        <v>1AFFAEAGNEC5BNA11G</v>
      </c>
      <c r="U1834" s="34" t="str">
        <f aca="false">IF(I1834="","",IFERROR(INDEX(cat_ModG,MATCH(I1834,cat_ModO,0)),"No"))</f>
        <v>No</v>
      </c>
      <c r="V1834" s="34" t="str">
        <f aca="false">IF(J1834="","SIN DATO",IFERROR(INDEX(cat_FunN,MATCH(J1834,cat_FunO,0)),J1834))</f>
        <v>Protección</v>
      </c>
      <c r="W1834" s="34" t="str">
        <f aca="false">IF(OR(S1834="SIN DATO",T1834="SIN DATO"),"No","Sí")</f>
        <v>Sí</v>
      </c>
    </row>
    <row r="1835" customFormat="false" ht="15" hidden="false" customHeight="false" outlineLevel="0" collapsed="false">
      <c r="A1835" s="34" t="s">
        <v>6666</v>
      </c>
      <c r="B1835" s="34" t="s">
        <v>6667</v>
      </c>
      <c r="C1835" s="34" t="s">
        <v>6668</v>
      </c>
      <c r="D1835" s="34" t="s">
        <v>6665</v>
      </c>
      <c r="E1835" s="34" t="s">
        <v>109</v>
      </c>
      <c r="F1835" s="34" t="s">
        <v>6557</v>
      </c>
      <c r="G1835" s="34" t="s">
        <v>2431</v>
      </c>
      <c r="H1835" s="34" t="s">
        <v>34</v>
      </c>
      <c r="I1835" s="34" t="s">
        <v>38</v>
      </c>
      <c r="J1835" s="34" t="s">
        <v>228</v>
      </c>
      <c r="K1835" s="34" t="s">
        <v>229</v>
      </c>
      <c r="L1835" s="34" t="s">
        <v>230</v>
      </c>
      <c r="M1835" s="34" t="s">
        <v>231</v>
      </c>
      <c r="N1835" s="34" t="str">
        <f aca="false">"Sector "&amp;VALUE(MID(D1835,13,2))</f>
        <v>Sector 1</v>
      </c>
      <c r="O1835" s="34" t="str">
        <f aca="false">IF(Dashboard!$C$5="Ubicación técnica",N1835,"Sector "&amp;VALUE(RIGHT(G1835,2)))</f>
        <v>Sector 1</v>
      </c>
      <c r="P1835" s="34" t="str">
        <f aca="false">IF(MID(D1835,15,3)="SEL","Subestación eléctrica","Área de proceso")</f>
        <v>Área de proceso</v>
      </c>
      <c r="Q1835" s="34" t="str">
        <f aca="false">MID(D1835,13,5)&amp;"|"&amp;MID(D1835,19,5)</f>
        <v>01PRB|SSERV</v>
      </c>
      <c r="R1835" s="34" t="str">
        <f aca="false">IF(P1835="Subestación eléctrica",IFERROR(INDEX(cat_SubN,MATCH(Q1835,cat_SubK,0)),"SIN CATALOGAR"),"ÁREA DE PROCESO")</f>
        <v>ÁREA DE PROCESO</v>
      </c>
      <c r="S1835" s="34" t="str">
        <f aca="false">IF(H1835="","SIN DATO",IFERROR(INDEX(cat_MarcaN,MATCH(H1835,cat_MarcaO,0)),H1835))</f>
        <v>ABB</v>
      </c>
      <c r="T1835" s="34" t="str">
        <f aca="false">IF(I1835="","SIN DATO",IFERROR(INDEX(cat_ModN,MATCH(I1835,cat_ModO,0)),I1835))</f>
        <v>1AMEBCADNEC5BNN11G</v>
      </c>
      <c r="U1835" s="34" t="str">
        <f aca="false">IF(I1835="","",IFERROR(INDEX(cat_ModG,MATCH(I1835,cat_ModO,0)),"No"))</f>
        <v>No</v>
      </c>
      <c r="V1835" s="34" t="str">
        <f aca="false">IF(J1835="","SIN DATO",IFERROR(INDEX(cat_FunN,MATCH(J1835,cat_FunO,0)),J1835))</f>
        <v>Protección y medición</v>
      </c>
      <c r="W1835" s="34" t="str">
        <f aca="false">IF(OR(S1835="SIN DATO",T1835="SIN DATO"),"No","Sí")</f>
        <v>Sí</v>
      </c>
    </row>
    <row r="1836" customFormat="false" ht="15" hidden="false" customHeight="false" outlineLevel="0" collapsed="false">
      <c r="A1836" s="34" t="s">
        <v>6669</v>
      </c>
      <c r="B1836" s="34" t="s">
        <v>6670</v>
      </c>
      <c r="C1836" s="34" t="s">
        <v>6671</v>
      </c>
      <c r="D1836" s="34" t="s">
        <v>6672</v>
      </c>
      <c r="E1836" s="34" t="s">
        <v>109</v>
      </c>
      <c r="F1836" s="34" t="s">
        <v>6557</v>
      </c>
      <c r="G1836" s="34" t="s">
        <v>2431</v>
      </c>
      <c r="H1836" s="34" t="s">
        <v>34</v>
      </c>
      <c r="I1836" s="34" t="s">
        <v>36</v>
      </c>
      <c r="J1836" s="34" t="s">
        <v>681</v>
      </c>
      <c r="K1836" s="34" t="s">
        <v>229</v>
      </c>
      <c r="L1836" s="34" t="s">
        <v>230</v>
      </c>
      <c r="M1836" s="34" t="s">
        <v>682</v>
      </c>
      <c r="N1836" s="34" t="str">
        <f aca="false">"Sector "&amp;VALUE(MID(D1836,13,2))</f>
        <v>Sector 1</v>
      </c>
      <c r="O1836" s="34" t="str">
        <f aca="false">IF(Dashboard!$C$5="Ubicación técnica",N1836,"Sector "&amp;VALUE(RIGHT(G1836,2)))</f>
        <v>Sector 1</v>
      </c>
      <c r="P1836" s="34" t="str">
        <f aca="false">IF(MID(D1836,15,3)="SEL","Subestación eléctrica","Área de proceso")</f>
        <v>Área de proceso</v>
      </c>
      <c r="Q1836" s="34" t="str">
        <f aca="false">MID(D1836,13,5)&amp;"|"&amp;MID(D1836,19,5)</f>
        <v>01PRB|SVACI</v>
      </c>
      <c r="R1836" s="34" t="str">
        <f aca="false">IF(P1836="Subestación eléctrica",IFERROR(INDEX(cat_SubN,MATCH(Q1836,cat_SubK,0)),"SIN CATALOGAR"),"ÁREA DE PROCESO")</f>
        <v>ÁREA DE PROCESO</v>
      </c>
      <c r="S1836" s="34" t="str">
        <f aca="false">IF(H1836="","SIN DATO",IFERROR(INDEX(cat_MarcaN,MATCH(H1836,cat_MarcaO,0)),H1836))</f>
        <v>ABB</v>
      </c>
      <c r="T1836" s="34" t="str">
        <f aca="false">IF(I1836="","SIN DATO",IFERROR(INDEX(cat_ModN,MATCH(I1836,cat_ModO,0)),I1836))</f>
        <v>1AFFAEAGNEC5BNA11G</v>
      </c>
      <c r="U1836" s="34" t="str">
        <f aca="false">IF(I1836="","",IFERROR(INDEX(cat_ModG,MATCH(I1836,cat_ModO,0)),"No"))</f>
        <v>No</v>
      </c>
      <c r="V1836" s="34" t="str">
        <f aca="false">IF(J1836="","SIN DATO",IFERROR(INDEX(cat_FunN,MATCH(J1836,cat_FunO,0)),J1836))</f>
        <v>Protección</v>
      </c>
      <c r="W1836" s="34" t="str">
        <f aca="false">IF(OR(S1836="SIN DATO",T1836="SIN DATO"),"No","Sí")</f>
        <v>Sí</v>
      </c>
    </row>
    <row r="1837" customFormat="false" ht="15" hidden="false" customHeight="false" outlineLevel="0" collapsed="false">
      <c r="A1837" s="34" t="s">
        <v>6673</v>
      </c>
      <c r="B1837" s="34" t="s">
        <v>6674</v>
      </c>
      <c r="C1837" s="34" t="s">
        <v>6675</v>
      </c>
      <c r="D1837" s="34" t="s">
        <v>6672</v>
      </c>
      <c r="E1837" s="34" t="s">
        <v>109</v>
      </c>
      <c r="F1837" s="34" t="s">
        <v>6557</v>
      </c>
      <c r="G1837" s="34" t="s">
        <v>2431</v>
      </c>
      <c r="H1837" s="34" t="s">
        <v>34</v>
      </c>
      <c r="I1837" s="34" t="s">
        <v>38</v>
      </c>
      <c r="J1837" s="34" t="s">
        <v>228</v>
      </c>
      <c r="K1837" s="34" t="s">
        <v>229</v>
      </c>
      <c r="L1837" s="34" t="s">
        <v>230</v>
      </c>
      <c r="M1837" s="34" t="s">
        <v>231</v>
      </c>
      <c r="N1837" s="34" t="str">
        <f aca="false">"Sector "&amp;VALUE(MID(D1837,13,2))</f>
        <v>Sector 1</v>
      </c>
      <c r="O1837" s="34" t="str">
        <f aca="false">IF(Dashboard!$C$5="Ubicación técnica",N1837,"Sector "&amp;VALUE(RIGHT(G1837,2)))</f>
        <v>Sector 1</v>
      </c>
      <c r="P1837" s="34" t="str">
        <f aca="false">IF(MID(D1837,15,3)="SEL","Subestación eléctrica","Área de proceso")</f>
        <v>Área de proceso</v>
      </c>
      <c r="Q1837" s="34" t="str">
        <f aca="false">MID(D1837,13,5)&amp;"|"&amp;MID(D1837,19,5)</f>
        <v>01PRB|SVACI</v>
      </c>
      <c r="R1837" s="34" t="str">
        <f aca="false">IF(P1837="Subestación eléctrica",IFERROR(INDEX(cat_SubN,MATCH(Q1837,cat_SubK,0)),"SIN CATALOGAR"),"ÁREA DE PROCESO")</f>
        <v>ÁREA DE PROCESO</v>
      </c>
      <c r="S1837" s="34" t="str">
        <f aca="false">IF(H1837="","SIN DATO",IFERROR(INDEX(cat_MarcaN,MATCH(H1837,cat_MarcaO,0)),H1837))</f>
        <v>ABB</v>
      </c>
      <c r="T1837" s="34" t="str">
        <f aca="false">IF(I1837="","SIN DATO",IFERROR(INDEX(cat_ModN,MATCH(I1837,cat_ModO,0)),I1837))</f>
        <v>1AMEBCADNEC5BNN11G</v>
      </c>
      <c r="U1837" s="34" t="str">
        <f aca="false">IF(I1837="","",IFERROR(INDEX(cat_ModG,MATCH(I1837,cat_ModO,0)),"No"))</f>
        <v>No</v>
      </c>
      <c r="V1837" s="34" t="str">
        <f aca="false">IF(J1837="","SIN DATO",IFERROR(INDEX(cat_FunN,MATCH(J1837,cat_FunO,0)),J1837))</f>
        <v>Protección y medición</v>
      </c>
      <c r="W1837" s="34" t="str">
        <f aca="false">IF(OR(S1837="SIN DATO",T1837="SIN DATO"),"No","Sí")</f>
        <v>Sí</v>
      </c>
    </row>
    <row r="1838" customFormat="false" ht="15" hidden="false" customHeight="false" outlineLevel="0" collapsed="false">
      <c r="A1838" s="34" t="s">
        <v>6676</v>
      </c>
      <c r="B1838" s="34" t="s">
        <v>6677</v>
      </c>
      <c r="C1838" s="34" t="s">
        <v>6678</v>
      </c>
      <c r="D1838" s="34" t="s">
        <v>6679</v>
      </c>
      <c r="E1838" s="34" t="s">
        <v>109</v>
      </c>
      <c r="F1838" s="34" t="s">
        <v>6557</v>
      </c>
      <c r="G1838" s="34" t="s">
        <v>2431</v>
      </c>
      <c r="H1838" s="34" t="s">
        <v>34</v>
      </c>
      <c r="I1838" s="34" t="s">
        <v>36</v>
      </c>
      <c r="J1838" s="34" t="s">
        <v>681</v>
      </c>
      <c r="K1838" s="34" t="s">
        <v>229</v>
      </c>
      <c r="L1838" s="34" t="s">
        <v>230</v>
      </c>
      <c r="M1838" s="34" t="s">
        <v>682</v>
      </c>
      <c r="N1838" s="34" t="str">
        <f aca="false">"Sector "&amp;VALUE(MID(D1838,13,2))</f>
        <v>Sector 1</v>
      </c>
      <c r="O1838" s="34" t="str">
        <f aca="false">IF(Dashboard!$C$5="Ubicación técnica",N1838,"Sector "&amp;VALUE(RIGHT(G1838,2)))</f>
        <v>Sector 1</v>
      </c>
      <c r="P1838" s="34" t="str">
        <f aca="false">IF(MID(D1838,15,3)="SEL","Subestación eléctrica","Área de proceso")</f>
        <v>Área de proceso</v>
      </c>
      <c r="Q1838" s="34" t="str">
        <f aca="false">MID(D1838,13,5)&amp;"|"&amp;MID(D1838,19,5)</f>
        <v>01PRB|SVACI</v>
      </c>
      <c r="R1838" s="34" t="str">
        <f aca="false">IF(P1838="Subestación eléctrica",IFERROR(INDEX(cat_SubN,MATCH(Q1838,cat_SubK,0)),"SIN CATALOGAR"),"ÁREA DE PROCESO")</f>
        <v>ÁREA DE PROCESO</v>
      </c>
      <c r="S1838" s="34" t="str">
        <f aca="false">IF(H1838="","SIN DATO",IFERROR(INDEX(cat_MarcaN,MATCH(H1838,cat_MarcaO,0)),H1838))</f>
        <v>ABB</v>
      </c>
      <c r="T1838" s="34" t="str">
        <f aca="false">IF(I1838="","SIN DATO",IFERROR(INDEX(cat_ModN,MATCH(I1838,cat_ModO,0)),I1838))</f>
        <v>1AFFAEAGNEC5BNA11G</v>
      </c>
      <c r="U1838" s="34" t="str">
        <f aca="false">IF(I1838="","",IFERROR(INDEX(cat_ModG,MATCH(I1838,cat_ModO,0)),"No"))</f>
        <v>No</v>
      </c>
      <c r="V1838" s="34" t="str">
        <f aca="false">IF(J1838="","SIN DATO",IFERROR(INDEX(cat_FunN,MATCH(J1838,cat_FunO,0)),J1838))</f>
        <v>Protección</v>
      </c>
      <c r="W1838" s="34" t="str">
        <f aca="false">IF(OR(S1838="SIN DATO",T1838="SIN DATO"),"No","Sí")</f>
        <v>Sí</v>
      </c>
    </row>
    <row r="1839" customFormat="false" ht="15" hidden="false" customHeight="false" outlineLevel="0" collapsed="false">
      <c r="A1839" s="34" t="s">
        <v>6680</v>
      </c>
      <c r="B1839" s="34" t="s">
        <v>6681</v>
      </c>
      <c r="C1839" s="34" t="s">
        <v>6682</v>
      </c>
      <c r="D1839" s="34" t="s">
        <v>6679</v>
      </c>
      <c r="E1839" s="34" t="s">
        <v>109</v>
      </c>
      <c r="F1839" s="34" t="s">
        <v>6557</v>
      </c>
      <c r="G1839" s="34" t="s">
        <v>2431</v>
      </c>
      <c r="H1839" s="34" t="s">
        <v>34</v>
      </c>
      <c r="I1839" s="34" t="s">
        <v>38</v>
      </c>
      <c r="J1839" s="34" t="s">
        <v>228</v>
      </c>
      <c r="K1839" s="34" t="s">
        <v>229</v>
      </c>
      <c r="L1839" s="34" t="s">
        <v>230</v>
      </c>
      <c r="M1839" s="34" t="s">
        <v>231</v>
      </c>
      <c r="N1839" s="34" t="str">
        <f aca="false">"Sector "&amp;VALUE(MID(D1839,13,2))</f>
        <v>Sector 1</v>
      </c>
      <c r="O1839" s="34" t="str">
        <f aca="false">IF(Dashboard!$C$5="Ubicación técnica",N1839,"Sector "&amp;VALUE(RIGHT(G1839,2)))</f>
        <v>Sector 1</v>
      </c>
      <c r="P1839" s="34" t="str">
        <f aca="false">IF(MID(D1839,15,3)="SEL","Subestación eléctrica","Área de proceso")</f>
        <v>Área de proceso</v>
      </c>
      <c r="Q1839" s="34" t="str">
        <f aca="false">MID(D1839,13,5)&amp;"|"&amp;MID(D1839,19,5)</f>
        <v>01PRB|SVACI</v>
      </c>
      <c r="R1839" s="34" t="str">
        <f aca="false">IF(P1839="Subestación eléctrica",IFERROR(INDEX(cat_SubN,MATCH(Q1839,cat_SubK,0)),"SIN CATALOGAR"),"ÁREA DE PROCESO")</f>
        <v>ÁREA DE PROCESO</v>
      </c>
      <c r="S1839" s="34" t="str">
        <f aca="false">IF(H1839="","SIN DATO",IFERROR(INDEX(cat_MarcaN,MATCH(H1839,cat_MarcaO,0)),H1839))</f>
        <v>ABB</v>
      </c>
      <c r="T1839" s="34" t="str">
        <f aca="false">IF(I1839="","SIN DATO",IFERROR(INDEX(cat_ModN,MATCH(I1839,cat_ModO,0)),I1839))</f>
        <v>1AMEBCADNEC5BNN11G</v>
      </c>
      <c r="U1839" s="34" t="str">
        <f aca="false">IF(I1839="","",IFERROR(INDEX(cat_ModG,MATCH(I1839,cat_ModO,0)),"No"))</f>
        <v>No</v>
      </c>
      <c r="V1839" s="34" t="str">
        <f aca="false">IF(J1839="","SIN DATO",IFERROR(INDEX(cat_FunN,MATCH(J1839,cat_FunO,0)),J1839))</f>
        <v>Protección y medición</v>
      </c>
      <c r="W1839" s="34" t="str">
        <f aca="false">IF(OR(S1839="SIN DATO",T1839="SIN DATO"),"No","Sí")</f>
        <v>Sí</v>
      </c>
    </row>
    <row r="1840" customFormat="false" ht="15" hidden="false" customHeight="false" outlineLevel="0" collapsed="false">
      <c r="A1840" s="34" t="s">
        <v>6683</v>
      </c>
      <c r="B1840" s="34" t="s">
        <v>6684</v>
      </c>
      <c r="C1840" s="34" t="s">
        <v>6685</v>
      </c>
      <c r="D1840" s="34" t="s">
        <v>6686</v>
      </c>
      <c r="E1840" s="34" t="s">
        <v>109</v>
      </c>
      <c r="F1840" s="34" t="s">
        <v>6557</v>
      </c>
      <c r="G1840" s="34" t="s">
        <v>2431</v>
      </c>
      <c r="H1840" s="34" t="s">
        <v>34</v>
      </c>
      <c r="I1840" s="34" t="s">
        <v>36</v>
      </c>
      <c r="J1840" s="34" t="s">
        <v>681</v>
      </c>
      <c r="K1840" s="34" t="s">
        <v>229</v>
      </c>
      <c r="L1840" s="34" t="s">
        <v>230</v>
      </c>
      <c r="M1840" s="34" t="s">
        <v>682</v>
      </c>
      <c r="N1840" s="34" t="str">
        <f aca="false">"Sector "&amp;VALUE(MID(D1840,13,2))</f>
        <v>Sector 1</v>
      </c>
      <c r="O1840" s="34" t="str">
        <f aca="false">IF(Dashboard!$C$5="Ubicación técnica",N1840,"Sector "&amp;VALUE(RIGHT(G1840,2)))</f>
        <v>Sector 1</v>
      </c>
      <c r="P1840" s="34" t="str">
        <f aca="false">IF(MID(D1840,15,3)="SEL","Subestación eléctrica","Área de proceso")</f>
        <v>Área de proceso</v>
      </c>
      <c r="Q1840" s="34" t="str">
        <f aca="false">MID(D1840,13,5)&amp;"|"&amp;MID(D1840,19,5)</f>
        <v>01PRB|SATMO</v>
      </c>
      <c r="R1840" s="34" t="str">
        <f aca="false">IF(P1840="Subestación eléctrica",IFERROR(INDEX(cat_SubN,MATCH(Q1840,cat_SubK,0)),"SIN CATALOGAR"),"ÁREA DE PROCESO")</f>
        <v>ÁREA DE PROCESO</v>
      </c>
      <c r="S1840" s="34" t="str">
        <f aca="false">IF(H1840="","SIN DATO",IFERROR(INDEX(cat_MarcaN,MATCH(H1840,cat_MarcaO,0)),H1840))</f>
        <v>ABB</v>
      </c>
      <c r="T1840" s="34" t="str">
        <f aca="false">IF(I1840="","SIN DATO",IFERROR(INDEX(cat_ModN,MATCH(I1840,cat_ModO,0)),I1840))</f>
        <v>1AFFAEAGNEC5BNA11G</v>
      </c>
      <c r="U1840" s="34" t="str">
        <f aca="false">IF(I1840="","",IFERROR(INDEX(cat_ModG,MATCH(I1840,cat_ModO,0)),"No"))</f>
        <v>No</v>
      </c>
      <c r="V1840" s="34" t="str">
        <f aca="false">IF(J1840="","SIN DATO",IFERROR(INDEX(cat_FunN,MATCH(J1840,cat_FunO,0)),J1840))</f>
        <v>Protección</v>
      </c>
      <c r="W1840" s="34" t="str">
        <f aca="false">IF(OR(S1840="SIN DATO",T1840="SIN DATO"),"No","Sí")</f>
        <v>Sí</v>
      </c>
    </row>
    <row r="1841" customFormat="false" ht="15" hidden="false" customHeight="false" outlineLevel="0" collapsed="false">
      <c r="A1841" s="34" t="s">
        <v>6687</v>
      </c>
      <c r="B1841" s="34" t="s">
        <v>6688</v>
      </c>
      <c r="C1841" s="34" t="s">
        <v>6689</v>
      </c>
      <c r="D1841" s="34" t="s">
        <v>6686</v>
      </c>
      <c r="E1841" s="34" t="s">
        <v>109</v>
      </c>
      <c r="F1841" s="34" t="s">
        <v>6557</v>
      </c>
      <c r="G1841" s="34" t="s">
        <v>2431</v>
      </c>
      <c r="H1841" s="34" t="s">
        <v>34</v>
      </c>
      <c r="I1841" s="34" t="s">
        <v>36</v>
      </c>
      <c r="J1841" s="34" t="s">
        <v>681</v>
      </c>
      <c r="K1841" s="34" t="s">
        <v>229</v>
      </c>
      <c r="L1841" s="34" t="s">
        <v>230</v>
      </c>
      <c r="M1841" s="34" t="s">
        <v>682</v>
      </c>
      <c r="N1841" s="34" t="str">
        <f aca="false">"Sector "&amp;VALUE(MID(D1841,13,2))</f>
        <v>Sector 1</v>
      </c>
      <c r="O1841" s="34" t="str">
        <f aca="false">IF(Dashboard!$C$5="Ubicación técnica",N1841,"Sector "&amp;VALUE(RIGHT(G1841,2)))</f>
        <v>Sector 1</v>
      </c>
      <c r="P1841" s="34" t="str">
        <f aca="false">IF(MID(D1841,15,3)="SEL","Subestación eléctrica","Área de proceso")</f>
        <v>Área de proceso</v>
      </c>
      <c r="Q1841" s="34" t="str">
        <f aca="false">MID(D1841,13,5)&amp;"|"&amp;MID(D1841,19,5)</f>
        <v>01PRB|SATMO</v>
      </c>
      <c r="R1841" s="34" t="str">
        <f aca="false">IF(P1841="Subestación eléctrica",IFERROR(INDEX(cat_SubN,MATCH(Q1841,cat_SubK,0)),"SIN CATALOGAR"),"ÁREA DE PROCESO")</f>
        <v>ÁREA DE PROCESO</v>
      </c>
      <c r="S1841" s="34" t="str">
        <f aca="false">IF(H1841="","SIN DATO",IFERROR(INDEX(cat_MarcaN,MATCH(H1841,cat_MarcaO,0)),H1841))</f>
        <v>ABB</v>
      </c>
      <c r="T1841" s="34" t="str">
        <f aca="false">IF(I1841="","SIN DATO",IFERROR(INDEX(cat_ModN,MATCH(I1841,cat_ModO,0)),I1841))</f>
        <v>1AFFAEAGNEC5BNA11G</v>
      </c>
      <c r="U1841" s="34" t="str">
        <f aca="false">IF(I1841="","",IFERROR(INDEX(cat_ModG,MATCH(I1841,cat_ModO,0)),"No"))</f>
        <v>No</v>
      </c>
      <c r="V1841" s="34" t="str">
        <f aca="false">IF(J1841="","SIN DATO",IFERROR(INDEX(cat_FunN,MATCH(J1841,cat_FunO,0)),J1841))</f>
        <v>Protección</v>
      </c>
      <c r="W1841" s="34" t="str">
        <f aca="false">IF(OR(S1841="SIN DATO",T1841="SIN DATO"),"No","Sí")</f>
        <v>Sí</v>
      </c>
    </row>
    <row r="1842" customFormat="false" ht="15" hidden="false" customHeight="false" outlineLevel="0" collapsed="false">
      <c r="A1842" s="34" t="s">
        <v>6690</v>
      </c>
      <c r="B1842" s="34" t="s">
        <v>6691</v>
      </c>
      <c r="C1842" s="34" t="s">
        <v>6692</v>
      </c>
      <c r="D1842" s="34" t="s">
        <v>6686</v>
      </c>
      <c r="E1842" s="34" t="s">
        <v>109</v>
      </c>
      <c r="F1842" s="34" t="s">
        <v>6557</v>
      </c>
      <c r="G1842" s="34" t="s">
        <v>2431</v>
      </c>
      <c r="H1842" s="34" t="s">
        <v>34</v>
      </c>
      <c r="I1842" s="34" t="s">
        <v>36</v>
      </c>
      <c r="J1842" s="34" t="s">
        <v>681</v>
      </c>
      <c r="K1842" s="34" t="s">
        <v>229</v>
      </c>
      <c r="L1842" s="34" t="s">
        <v>230</v>
      </c>
      <c r="M1842" s="34" t="s">
        <v>682</v>
      </c>
      <c r="N1842" s="34" t="str">
        <f aca="false">"Sector "&amp;VALUE(MID(D1842,13,2))</f>
        <v>Sector 1</v>
      </c>
      <c r="O1842" s="34" t="str">
        <f aca="false">IF(Dashboard!$C$5="Ubicación técnica",N1842,"Sector "&amp;VALUE(RIGHT(G1842,2)))</f>
        <v>Sector 1</v>
      </c>
      <c r="P1842" s="34" t="str">
        <f aca="false">IF(MID(D1842,15,3)="SEL","Subestación eléctrica","Área de proceso")</f>
        <v>Área de proceso</v>
      </c>
      <c r="Q1842" s="34" t="str">
        <f aca="false">MID(D1842,13,5)&amp;"|"&amp;MID(D1842,19,5)</f>
        <v>01PRB|SATMO</v>
      </c>
      <c r="R1842" s="34" t="str">
        <f aca="false">IF(P1842="Subestación eléctrica",IFERROR(INDEX(cat_SubN,MATCH(Q1842,cat_SubK,0)),"SIN CATALOGAR"),"ÁREA DE PROCESO")</f>
        <v>ÁREA DE PROCESO</v>
      </c>
      <c r="S1842" s="34" t="str">
        <f aca="false">IF(H1842="","SIN DATO",IFERROR(INDEX(cat_MarcaN,MATCH(H1842,cat_MarcaO,0)),H1842))</f>
        <v>ABB</v>
      </c>
      <c r="T1842" s="34" t="str">
        <f aca="false">IF(I1842="","SIN DATO",IFERROR(INDEX(cat_ModN,MATCH(I1842,cat_ModO,0)),I1842))</f>
        <v>1AFFAEAGNEC5BNA11G</v>
      </c>
      <c r="U1842" s="34" t="str">
        <f aca="false">IF(I1842="","",IFERROR(INDEX(cat_ModG,MATCH(I1842,cat_ModO,0)),"No"))</f>
        <v>No</v>
      </c>
      <c r="V1842" s="34" t="str">
        <f aca="false">IF(J1842="","SIN DATO",IFERROR(INDEX(cat_FunN,MATCH(J1842,cat_FunO,0)),J1842))</f>
        <v>Protección</v>
      </c>
      <c r="W1842" s="34" t="str">
        <f aca="false">IF(OR(S1842="SIN DATO",T1842="SIN DATO"),"No","Sí")</f>
        <v>Sí</v>
      </c>
    </row>
    <row r="1843" customFormat="false" ht="15" hidden="false" customHeight="false" outlineLevel="0" collapsed="false">
      <c r="A1843" s="34" t="s">
        <v>6693</v>
      </c>
      <c r="B1843" s="34" t="s">
        <v>6694</v>
      </c>
      <c r="C1843" s="34" t="s">
        <v>6695</v>
      </c>
      <c r="D1843" s="34" t="s">
        <v>6686</v>
      </c>
      <c r="E1843" s="34" t="s">
        <v>109</v>
      </c>
      <c r="F1843" s="34" t="s">
        <v>6557</v>
      </c>
      <c r="G1843" s="34" t="s">
        <v>2431</v>
      </c>
      <c r="H1843" s="34" t="s">
        <v>34</v>
      </c>
      <c r="I1843" s="34" t="s">
        <v>38</v>
      </c>
      <c r="J1843" s="34" t="s">
        <v>228</v>
      </c>
      <c r="K1843" s="34" t="s">
        <v>229</v>
      </c>
      <c r="L1843" s="34" t="s">
        <v>230</v>
      </c>
      <c r="M1843" s="34" t="s">
        <v>231</v>
      </c>
      <c r="N1843" s="34" t="str">
        <f aca="false">"Sector "&amp;VALUE(MID(D1843,13,2))</f>
        <v>Sector 1</v>
      </c>
      <c r="O1843" s="34" t="str">
        <f aca="false">IF(Dashboard!$C$5="Ubicación técnica",N1843,"Sector "&amp;VALUE(RIGHT(G1843,2)))</f>
        <v>Sector 1</v>
      </c>
      <c r="P1843" s="34" t="str">
        <f aca="false">IF(MID(D1843,15,3)="SEL","Subestación eléctrica","Área de proceso")</f>
        <v>Área de proceso</v>
      </c>
      <c r="Q1843" s="34" t="str">
        <f aca="false">MID(D1843,13,5)&amp;"|"&amp;MID(D1843,19,5)</f>
        <v>01PRB|SATMO</v>
      </c>
      <c r="R1843" s="34" t="str">
        <f aca="false">IF(P1843="Subestación eléctrica",IFERROR(INDEX(cat_SubN,MATCH(Q1843,cat_SubK,0)),"SIN CATALOGAR"),"ÁREA DE PROCESO")</f>
        <v>ÁREA DE PROCESO</v>
      </c>
      <c r="S1843" s="34" t="str">
        <f aca="false">IF(H1843="","SIN DATO",IFERROR(INDEX(cat_MarcaN,MATCH(H1843,cat_MarcaO,0)),H1843))</f>
        <v>ABB</v>
      </c>
      <c r="T1843" s="34" t="str">
        <f aca="false">IF(I1843="","SIN DATO",IFERROR(INDEX(cat_ModN,MATCH(I1843,cat_ModO,0)),I1843))</f>
        <v>1AMEBCADNEC5BNN11G</v>
      </c>
      <c r="U1843" s="34" t="str">
        <f aca="false">IF(I1843="","",IFERROR(INDEX(cat_ModG,MATCH(I1843,cat_ModO,0)),"No"))</f>
        <v>No</v>
      </c>
      <c r="V1843" s="34" t="str">
        <f aca="false">IF(J1843="","SIN DATO",IFERROR(INDEX(cat_FunN,MATCH(J1843,cat_FunO,0)),J1843))</f>
        <v>Protección y medición</v>
      </c>
      <c r="W1843" s="34" t="str">
        <f aca="false">IF(OR(S1843="SIN DATO",T1843="SIN DATO"),"No","Sí")</f>
        <v>Sí</v>
      </c>
    </row>
    <row r="1844" customFormat="false" ht="15" hidden="false" customHeight="false" outlineLevel="0" collapsed="false">
      <c r="A1844" s="34" t="s">
        <v>6696</v>
      </c>
      <c r="B1844" s="34" t="s">
        <v>6697</v>
      </c>
      <c r="C1844" s="34" t="s">
        <v>6698</v>
      </c>
      <c r="D1844" s="34" t="s">
        <v>6699</v>
      </c>
      <c r="E1844" s="34" t="s">
        <v>109</v>
      </c>
      <c r="F1844" s="34" t="s">
        <v>6557</v>
      </c>
      <c r="G1844" s="34" t="s">
        <v>2431</v>
      </c>
      <c r="H1844" s="34" t="s">
        <v>34</v>
      </c>
      <c r="I1844" s="34" t="s">
        <v>36</v>
      </c>
      <c r="J1844" s="34" t="s">
        <v>681</v>
      </c>
      <c r="K1844" s="34" t="s">
        <v>229</v>
      </c>
      <c r="L1844" s="34" t="s">
        <v>230</v>
      </c>
      <c r="M1844" s="34" t="s">
        <v>682</v>
      </c>
      <c r="N1844" s="34" t="str">
        <f aca="false">"Sector "&amp;VALUE(MID(D1844,13,2))</f>
        <v>Sector 1</v>
      </c>
      <c r="O1844" s="34" t="str">
        <f aca="false">IF(Dashboard!$C$5="Ubicación técnica",N1844,"Sector "&amp;VALUE(RIGHT(G1844,2)))</f>
        <v>Sector 1</v>
      </c>
      <c r="P1844" s="34" t="str">
        <f aca="false">IF(MID(D1844,15,3)="SEL","Subestación eléctrica","Área de proceso")</f>
        <v>Área de proceso</v>
      </c>
      <c r="Q1844" s="34" t="str">
        <f aca="false">MID(D1844,13,5)&amp;"|"&amp;MID(D1844,19,5)</f>
        <v>01PRB|SATMO</v>
      </c>
      <c r="R1844" s="34" t="str">
        <f aca="false">IF(P1844="Subestación eléctrica",IFERROR(INDEX(cat_SubN,MATCH(Q1844,cat_SubK,0)),"SIN CATALOGAR"),"ÁREA DE PROCESO")</f>
        <v>ÁREA DE PROCESO</v>
      </c>
      <c r="S1844" s="34" t="str">
        <f aca="false">IF(H1844="","SIN DATO",IFERROR(INDEX(cat_MarcaN,MATCH(H1844,cat_MarcaO,0)),H1844))</f>
        <v>ABB</v>
      </c>
      <c r="T1844" s="34" t="str">
        <f aca="false">IF(I1844="","SIN DATO",IFERROR(INDEX(cat_ModN,MATCH(I1844,cat_ModO,0)),I1844))</f>
        <v>1AFFAEAGNEC5BNA11G</v>
      </c>
      <c r="U1844" s="34" t="str">
        <f aca="false">IF(I1844="","",IFERROR(INDEX(cat_ModG,MATCH(I1844,cat_ModO,0)),"No"))</f>
        <v>No</v>
      </c>
      <c r="V1844" s="34" t="str">
        <f aca="false">IF(J1844="","SIN DATO",IFERROR(INDEX(cat_FunN,MATCH(J1844,cat_FunO,0)),J1844))</f>
        <v>Protección</v>
      </c>
      <c r="W1844" s="34" t="str">
        <f aca="false">IF(OR(S1844="SIN DATO",T1844="SIN DATO"),"No","Sí")</f>
        <v>Sí</v>
      </c>
    </row>
    <row r="1845" customFormat="false" ht="15" hidden="false" customHeight="false" outlineLevel="0" collapsed="false">
      <c r="A1845" s="34" t="s">
        <v>6700</v>
      </c>
      <c r="B1845" s="34" t="s">
        <v>6701</v>
      </c>
      <c r="C1845" s="34" t="s">
        <v>6702</v>
      </c>
      <c r="D1845" s="34" t="s">
        <v>6699</v>
      </c>
      <c r="E1845" s="34" t="s">
        <v>109</v>
      </c>
      <c r="F1845" s="34" t="s">
        <v>6557</v>
      </c>
      <c r="G1845" s="34" t="s">
        <v>2431</v>
      </c>
      <c r="H1845" s="34" t="s">
        <v>34</v>
      </c>
      <c r="I1845" s="34" t="s">
        <v>38</v>
      </c>
      <c r="J1845" s="34" t="s">
        <v>228</v>
      </c>
      <c r="K1845" s="34" t="s">
        <v>229</v>
      </c>
      <c r="L1845" s="34" t="s">
        <v>230</v>
      </c>
      <c r="M1845" s="34" t="s">
        <v>231</v>
      </c>
      <c r="N1845" s="34" t="str">
        <f aca="false">"Sector "&amp;VALUE(MID(D1845,13,2))</f>
        <v>Sector 1</v>
      </c>
      <c r="O1845" s="34" t="str">
        <f aca="false">IF(Dashboard!$C$5="Ubicación técnica",N1845,"Sector "&amp;VALUE(RIGHT(G1845,2)))</f>
        <v>Sector 1</v>
      </c>
      <c r="P1845" s="34" t="str">
        <f aca="false">IF(MID(D1845,15,3)="SEL","Subestación eléctrica","Área de proceso")</f>
        <v>Área de proceso</v>
      </c>
      <c r="Q1845" s="34" t="str">
        <f aca="false">MID(D1845,13,5)&amp;"|"&amp;MID(D1845,19,5)</f>
        <v>01PRB|SATMO</v>
      </c>
      <c r="R1845" s="34" t="str">
        <f aca="false">IF(P1845="Subestación eléctrica",IFERROR(INDEX(cat_SubN,MATCH(Q1845,cat_SubK,0)),"SIN CATALOGAR"),"ÁREA DE PROCESO")</f>
        <v>ÁREA DE PROCESO</v>
      </c>
      <c r="S1845" s="34" t="str">
        <f aca="false">IF(H1845="","SIN DATO",IFERROR(INDEX(cat_MarcaN,MATCH(H1845,cat_MarcaO,0)),H1845))</f>
        <v>ABB</v>
      </c>
      <c r="T1845" s="34" t="str">
        <f aca="false">IF(I1845="","SIN DATO",IFERROR(INDEX(cat_ModN,MATCH(I1845,cat_ModO,0)),I1845))</f>
        <v>1AMEBCADNEC5BNN11G</v>
      </c>
      <c r="U1845" s="34" t="str">
        <f aca="false">IF(I1845="","",IFERROR(INDEX(cat_ModG,MATCH(I1845,cat_ModO,0)),"No"))</f>
        <v>No</v>
      </c>
      <c r="V1845" s="34" t="str">
        <f aca="false">IF(J1845="","SIN DATO",IFERROR(INDEX(cat_FunN,MATCH(J1845,cat_FunO,0)),J1845))</f>
        <v>Protección y medición</v>
      </c>
      <c r="W1845" s="34" t="str">
        <f aca="false">IF(OR(S1845="SIN DATO",T1845="SIN DATO"),"No","Sí")</f>
        <v>Sí</v>
      </c>
    </row>
    <row r="1846" customFormat="false" ht="15" hidden="false" customHeight="false" outlineLevel="0" collapsed="false">
      <c r="A1846" s="34" t="s">
        <v>6703</v>
      </c>
      <c r="B1846" s="34" t="s">
        <v>6704</v>
      </c>
      <c r="C1846" s="34" t="s">
        <v>6705</v>
      </c>
      <c r="D1846" s="34" t="s">
        <v>6706</v>
      </c>
      <c r="E1846" s="34" t="s">
        <v>109</v>
      </c>
      <c r="F1846" s="34" t="s">
        <v>6557</v>
      </c>
      <c r="G1846" s="34" t="s">
        <v>2431</v>
      </c>
      <c r="H1846" s="34" t="s">
        <v>34</v>
      </c>
      <c r="I1846" s="34" t="s">
        <v>36</v>
      </c>
      <c r="J1846" s="34" t="s">
        <v>681</v>
      </c>
      <c r="K1846" s="34" t="s">
        <v>229</v>
      </c>
      <c r="L1846" s="34" t="s">
        <v>230</v>
      </c>
      <c r="M1846" s="34" t="s">
        <v>682</v>
      </c>
      <c r="N1846" s="34" t="str">
        <f aca="false">"Sector "&amp;VALUE(MID(D1846,13,2))</f>
        <v>Sector 1</v>
      </c>
      <c r="O1846" s="34" t="str">
        <f aca="false">IF(Dashboard!$C$5="Ubicación técnica",N1846,"Sector "&amp;VALUE(RIGHT(G1846,2)))</f>
        <v>Sector 1</v>
      </c>
      <c r="P1846" s="34" t="str">
        <f aca="false">IF(MID(D1846,15,3)="SEL","Subestación eléctrica","Área de proceso")</f>
        <v>Área de proceso</v>
      </c>
      <c r="Q1846" s="34" t="str">
        <f aca="false">MID(D1846,13,5)&amp;"|"&amp;MID(D1846,19,5)</f>
        <v>01PRB|SATMO</v>
      </c>
      <c r="R1846" s="34" t="str">
        <f aca="false">IF(P1846="Subestación eléctrica",IFERROR(INDEX(cat_SubN,MATCH(Q1846,cat_SubK,0)),"SIN CATALOGAR"),"ÁREA DE PROCESO")</f>
        <v>ÁREA DE PROCESO</v>
      </c>
      <c r="S1846" s="34" t="str">
        <f aca="false">IF(H1846="","SIN DATO",IFERROR(INDEX(cat_MarcaN,MATCH(H1846,cat_MarcaO,0)),H1846))</f>
        <v>ABB</v>
      </c>
      <c r="T1846" s="34" t="str">
        <f aca="false">IF(I1846="","SIN DATO",IFERROR(INDEX(cat_ModN,MATCH(I1846,cat_ModO,0)),I1846))</f>
        <v>1AFFAEAGNEC5BNA11G</v>
      </c>
      <c r="U1846" s="34" t="str">
        <f aca="false">IF(I1846="","",IFERROR(INDEX(cat_ModG,MATCH(I1846,cat_ModO,0)),"No"))</f>
        <v>No</v>
      </c>
      <c r="V1846" s="34" t="str">
        <f aca="false">IF(J1846="","SIN DATO",IFERROR(INDEX(cat_FunN,MATCH(J1846,cat_FunO,0)),J1846))</f>
        <v>Protección</v>
      </c>
      <c r="W1846" s="34" t="str">
        <f aca="false">IF(OR(S1846="SIN DATO",T1846="SIN DATO"),"No","Sí")</f>
        <v>Sí</v>
      </c>
    </row>
    <row r="1847" customFormat="false" ht="15" hidden="false" customHeight="false" outlineLevel="0" collapsed="false">
      <c r="A1847" s="34" t="s">
        <v>6707</v>
      </c>
      <c r="B1847" s="34" t="s">
        <v>6708</v>
      </c>
      <c r="C1847" s="34" t="s">
        <v>6709</v>
      </c>
      <c r="D1847" s="34" t="s">
        <v>6706</v>
      </c>
      <c r="E1847" s="34" t="s">
        <v>109</v>
      </c>
      <c r="F1847" s="34" t="s">
        <v>6557</v>
      </c>
      <c r="G1847" s="34" t="s">
        <v>2431</v>
      </c>
      <c r="H1847" s="34" t="s">
        <v>34</v>
      </c>
      <c r="I1847" s="34" t="s">
        <v>38</v>
      </c>
      <c r="J1847" s="34" t="s">
        <v>228</v>
      </c>
      <c r="K1847" s="34" t="s">
        <v>229</v>
      </c>
      <c r="L1847" s="34" t="s">
        <v>230</v>
      </c>
      <c r="M1847" s="34" t="s">
        <v>231</v>
      </c>
      <c r="N1847" s="34" t="str">
        <f aca="false">"Sector "&amp;VALUE(MID(D1847,13,2))</f>
        <v>Sector 1</v>
      </c>
      <c r="O1847" s="34" t="str">
        <f aca="false">IF(Dashboard!$C$5="Ubicación técnica",N1847,"Sector "&amp;VALUE(RIGHT(G1847,2)))</f>
        <v>Sector 1</v>
      </c>
      <c r="P1847" s="34" t="str">
        <f aca="false">IF(MID(D1847,15,3)="SEL","Subestación eléctrica","Área de proceso")</f>
        <v>Área de proceso</v>
      </c>
      <c r="Q1847" s="34" t="str">
        <f aca="false">MID(D1847,13,5)&amp;"|"&amp;MID(D1847,19,5)</f>
        <v>01PRB|SATMO</v>
      </c>
      <c r="R1847" s="34" t="str">
        <f aca="false">IF(P1847="Subestación eléctrica",IFERROR(INDEX(cat_SubN,MATCH(Q1847,cat_SubK,0)),"SIN CATALOGAR"),"ÁREA DE PROCESO")</f>
        <v>ÁREA DE PROCESO</v>
      </c>
      <c r="S1847" s="34" t="str">
        <f aca="false">IF(H1847="","SIN DATO",IFERROR(INDEX(cat_MarcaN,MATCH(H1847,cat_MarcaO,0)),H1847))</f>
        <v>ABB</v>
      </c>
      <c r="T1847" s="34" t="str">
        <f aca="false">IF(I1847="","SIN DATO",IFERROR(INDEX(cat_ModN,MATCH(I1847,cat_ModO,0)),I1847))</f>
        <v>1AMEBCADNEC5BNN11G</v>
      </c>
      <c r="U1847" s="34" t="str">
        <f aca="false">IF(I1847="","",IFERROR(INDEX(cat_ModG,MATCH(I1847,cat_ModO,0)),"No"))</f>
        <v>No</v>
      </c>
      <c r="V1847" s="34" t="str">
        <f aca="false">IF(J1847="","SIN DATO",IFERROR(INDEX(cat_FunN,MATCH(J1847,cat_FunO,0)),J1847))</f>
        <v>Protección y medición</v>
      </c>
      <c r="W1847" s="34" t="str">
        <f aca="false">IF(OR(S1847="SIN DATO",T1847="SIN DATO"),"No","Sí")</f>
        <v>Sí</v>
      </c>
    </row>
    <row r="1848" customFormat="false" ht="15" hidden="false" customHeight="false" outlineLevel="0" collapsed="false">
      <c r="A1848" s="34" t="s">
        <v>6710</v>
      </c>
      <c r="B1848" s="34" t="s">
        <v>6711</v>
      </c>
      <c r="C1848" s="34" t="s">
        <v>6712</v>
      </c>
      <c r="D1848" s="34" t="s">
        <v>6713</v>
      </c>
      <c r="E1848" s="34" t="s">
        <v>109</v>
      </c>
      <c r="F1848" s="34" t="s">
        <v>6557</v>
      </c>
      <c r="G1848" s="34" t="s">
        <v>2431</v>
      </c>
      <c r="H1848" s="34" t="s">
        <v>34</v>
      </c>
      <c r="I1848" s="34" t="s">
        <v>36</v>
      </c>
      <c r="J1848" s="34" t="s">
        <v>681</v>
      </c>
      <c r="K1848" s="34" t="s">
        <v>229</v>
      </c>
      <c r="L1848" s="34" t="s">
        <v>230</v>
      </c>
      <c r="M1848" s="34" t="s">
        <v>682</v>
      </c>
      <c r="N1848" s="34" t="str">
        <f aca="false">"Sector "&amp;VALUE(MID(D1848,13,2))</f>
        <v>Sector 1</v>
      </c>
      <c r="O1848" s="34" t="str">
        <f aca="false">IF(Dashboard!$C$5="Ubicación técnica",N1848,"Sector "&amp;VALUE(RIGHT(G1848,2)))</f>
        <v>Sector 1</v>
      </c>
      <c r="P1848" s="34" t="str">
        <f aca="false">IF(MID(D1848,15,3)="SEL","Subestación eléctrica","Área de proceso")</f>
        <v>Área de proceso</v>
      </c>
      <c r="Q1848" s="34" t="str">
        <f aca="false">MID(D1848,13,5)&amp;"|"&amp;MID(D1848,19,5)</f>
        <v>01PRB|SATMO</v>
      </c>
      <c r="R1848" s="34" t="str">
        <f aca="false">IF(P1848="Subestación eléctrica",IFERROR(INDEX(cat_SubN,MATCH(Q1848,cat_SubK,0)),"SIN CATALOGAR"),"ÁREA DE PROCESO")</f>
        <v>ÁREA DE PROCESO</v>
      </c>
      <c r="S1848" s="34" t="str">
        <f aca="false">IF(H1848="","SIN DATO",IFERROR(INDEX(cat_MarcaN,MATCH(H1848,cat_MarcaO,0)),H1848))</f>
        <v>ABB</v>
      </c>
      <c r="T1848" s="34" t="str">
        <f aca="false">IF(I1848="","SIN DATO",IFERROR(INDEX(cat_ModN,MATCH(I1848,cat_ModO,0)),I1848))</f>
        <v>1AFFAEAGNEC5BNA11G</v>
      </c>
      <c r="U1848" s="34" t="str">
        <f aca="false">IF(I1848="","",IFERROR(INDEX(cat_ModG,MATCH(I1848,cat_ModO,0)),"No"))</f>
        <v>No</v>
      </c>
      <c r="V1848" s="34" t="str">
        <f aca="false">IF(J1848="","SIN DATO",IFERROR(INDEX(cat_FunN,MATCH(J1848,cat_FunO,0)),J1848))</f>
        <v>Protección</v>
      </c>
      <c r="W1848" s="34" t="str">
        <f aca="false">IF(OR(S1848="SIN DATO",T1848="SIN DATO"),"No","Sí")</f>
        <v>Sí</v>
      </c>
    </row>
    <row r="1849" customFormat="false" ht="15" hidden="false" customHeight="false" outlineLevel="0" collapsed="false">
      <c r="A1849" s="34" t="s">
        <v>6714</v>
      </c>
      <c r="B1849" s="34" t="s">
        <v>6715</v>
      </c>
      <c r="C1849" s="34" t="s">
        <v>6716</v>
      </c>
      <c r="D1849" s="34" t="s">
        <v>6713</v>
      </c>
      <c r="E1849" s="34" t="s">
        <v>109</v>
      </c>
      <c r="F1849" s="34" t="s">
        <v>6557</v>
      </c>
      <c r="G1849" s="34" t="s">
        <v>2431</v>
      </c>
      <c r="H1849" s="34" t="s">
        <v>34</v>
      </c>
      <c r="I1849" s="34" t="s">
        <v>38</v>
      </c>
      <c r="J1849" s="34" t="s">
        <v>228</v>
      </c>
      <c r="K1849" s="34" t="s">
        <v>229</v>
      </c>
      <c r="L1849" s="34" t="s">
        <v>230</v>
      </c>
      <c r="M1849" s="34" t="s">
        <v>231</v>
      </c>
      <c r="N1849" s="34" t="str">
        <f aca="false">"Sector "&amp;VALUE(MID(D1849,13,2))</f>
        <v>Sector 1</v>
      </c>
      <c r="O1849" s="34" t="str">
        <f aca="false">IF(Dashboard!$C$5="Ubicación técnica",N1849,"Sector "&amp;VALUE(RIGHT(G1849,2)))</f>
        <v>Sector 1</v>
      </c>
      <c r="P1849" s="34" t="str">
        <f aca="false">IF(MID(D1849,15,3)="SEL","Subestación eléctrica","Área de proceso")</f>
        <v>Área de proceso</v>
      </c>
      <c r="Q1849" s="34" t="str">
        <f aca="false">MID(D1849,13,5)&amp;"|"&amp;MID(D1849,19,5)</f>
        <v>01PRB|SATMO</v>
      </c>
      <c r="R1849" s="34" t="str">
        <f aca="false">IF(P1849="Subestación eléctrica",IFERROR(INDEX(cat_SubN,MATCH(Q1849,cat_SubK,0)),"SIN CATALOGAR"),"ÁREA DE PROCESO")</f>
        <v>ÁREA DE PROCESO</v>
      </c>
      <c r="S1849" s="34" t="str">
        <f aca="false">IF(H1849="","SIN DATO",IFERROR(INDEX(cat_MarcaN,MATCH(H1849,cat_MarcaO,0)),H1849))</f>
        <v>ABB</v>
      </c>
      <c r="T1849" s="34" t="str">
        <f aca="false">IF(I1849="","SIN DATO",IFERROR(INDEX(cat_ModN,MATCH(I1849,cat_ModO,0)),I1849))</f>
        <v>1AMEBCADNEC5BNN11G</v>
      </c>
      <c r="U1849" s="34" t="str">
        <f aca="false">IF(I1849="","",IFERROR(INDEX(cat_ModG,MATCH(I1849,cat_ModO,0)),"No"))</f>
        <v>No</v>
      </c>
      <c r="V1849" s="34" t="str">
        <f aca="false">IF(J1849="","SIN DATO",IFERROR(INDEX(cat_FunN,MATCH(J1849,cat_FunO,0)),J1849))</f>
        <v>Protección y medición</v>
      </c>
      <c r="W1849" s="34" t="str">
        <f aca="false">IF(OR(S1849="SIN DATO",T1849="SIN DATO"),"No","Sí")</f>
        <v>Sí</v>
      </c>
    </row>
    <row r="1850" customFormat="false" ht="15" hidden="false" customHeight="false" outlineLevel="0" collapsed="false">
      <c r="A1850" s="34" t="s">
        <v>6717</v>
      </c>
      <c r="B1850" s="34" t="s">
        <v>6718</v>
      </c>
      <c r="C1850" s="34" t="s">
        <v>6719</v>
      </c>
      <c r="D1850" s="34" t="s">
        <v>6720</v>
      </c>
      <c r="E1850" s="34" t="s">
        <v>109</v>
      </c>
      <c r="F1850" s="34" t="s">
        <v>6557</v>
      </c>
      <c r="G1850" s="34" t="s">
        <v>2431</v>
      </c>
      <c r="H1850" s="34" t="s">
        <v>34</v>
      </c>
      <c r="I1850" s="34" t="s">
        <v>36</v>
      </c>
      <c r="J1850" s="34" t="s">
        <v>681</v>
      </c>
      <c r="K1850" s="34" t="s">
        <v>229</v>
      </c>
      <c r="L1850" s="34" t="s">
        <v>230</v>
      </c>
      <c r="M1850" s="34" t="s">
        <v>682</v>
      </c>
      <c r="N1850" s="34" t="str">
        <f aca="false">"Sector "&amp;VALUE(MID(D1850,13,2))</f>
        <v>Sector 1</v>
      </c>
      <c r="O1850" s="34" t="str">
        <f aca="false">IF(Dashboard!$C$5="Ubicación técnica",N1850,"Sector "&amp;VALUE(RIGHT(G1850,2)))</f>
        <v>Sector 1</v>
      </c>
      <c r="P1850" s="34" t="str">
        <f aca="false">IF(MID(D1850,15,3)="SEL","Subestación eléctrica","Área de proceso")</f>
        <v>Área de proceso</v>
      </c>
      <c r="Q1850" s="34" t="str">
        <f aca="false">MID(D1850,13,5)&amp;"|"&amp;MID(D1850,19,5)</f>
        <v>01PRB|SATMO</v>
      </c>
      <c r="R1850" s="34" t="str">
        <f aca="false">IF(P1850="Subestación eléctrica",IFERROR(INDEX(cat_SubN,MATCH(Q1850,cat_SubK,0)),"SIN CATALOGAR"),"ÁREA DE PROCESO")</f>
        <v>ÁREA DE PROCESO</v>
      </c>
      <c r="S1850" s="34" t="str">
        <f aca="false">IF(H1850="","SIN DATO",IFERROR(INDEX(cat_MarcaN,MATCH(H1850,cat_MarcaO,0)),H1850))</f>
        <v>ABB</v>
      </c>
      <c r="T1850" s="34" t="str">
        <f aca="false">IF(I1850="","SIN DATO",IFERROR(INDEX(cat_ModN,MATCH(I1850,cat_ModO,0)),I1850))</f>
        <v>1AFFAEAGNEC5BNA11G</v>
      </c>
      <c r="U1850" s="34" t="str">
        <f aca="false">IF(I1850="","",IFERROR(INDEX(cat_ModG,MATCH(I1850,cat_ModO,0)),"No"))</f>
        <v>No</v>
      </c>
      <c r="V1850" s="34" t="str">
        <f aca="false">IF(J1850="","SIN DATO",IFERROR(INDEX(cat_FunN,MATCH(J1850,cat_FunO,0)),J1850))</f>
        <v>Protección</v>
      </c>
      <c r="W1850" s="34" t="str">
        <f aca="false">IF(OR(S1850="SIN DATO",T1850="SIN DATO"),"No","Sí")</f>
        <v>Sí</v>
      </c>
    </row>
    <row r="1851" customFormat="false" ht="15" hidden="false" customHeight="false" outlineLevel="0" collapsed="false">
      <c r="A1851" s="34" t="s">
        <v>6721</v>
      </c>
      <c r="B1851" s="34" t="s">
        <v>6722</v>
      </c>
      <c r="C1851" s="34" t="s">
        <v>6723</v>
      </c>
      <c r="D1851" s="34" t="s">
        <v>6720</v>
      </c>
      <c r="E1851" s="34" t="s">
        <v>109</v>
      </c>
      <c r="F1851" s="34" t="s">
        <v>6557</v>
      </c>
      <c r="G1851" s="34" t="s">
        <v>2431</v>
      </c>
      <c r="H1851" s="34" t="s">
        <v>34</v>
      </c>
      <c r="I1851" s="34" t="s">
        <v>36</v>
      </c>
      <c r="J1851" s="34" t="s">
        <v>681</v>
      </c>
      <c r="K1851" s="34" t="s">
        <v>229</v>
      </c>
      <c r="L1851" s="34" t="s">
        <v>230</v>
      </c>
      <c r="M1851" s="34" t="s">
        <v>682</v>
      </c>
      <c r="N1851" s="34" t="str">
        <f aca="false">"Sector "&amp;VALUE(MID(D1851,13,2))</f>
        <v>Sector 1</v>
      </c>
      <c r="O1851" s="34" t="str">
        <f aca="false">IF(Dashboard!$C$5="Ubicación técnica",N1851,"Sector "&amp;VALUE(RIGHT(G1851,2)))</f>
        <v>Sector 1</v>
      </c>
      <c r="P1851" s="34" t="str">
        <f aca="false">IF(MID(D1851,15,3)="SEL","Subestación eléctrica","Área de proceso")</f>
        <v>Área de proceso</v>
      </c>
      <c r="Q1851" s="34" t="str">
        <f aca="false">MID(D1851,13,5)&amp;"|"&amp;MID(D1851,19,5)</f>
        <v>01PRB|SATMO</v>
      </c>
      <c r="R1851" s="34" t="str">
        <f aca="false">IF(P1851="Subestación eléctrica",IFERROR(INDEX(cat_SubN,MATCH(Q1851,cat_SubK,0)),"SIN CATALOGAR"),"ÁREA DE PROCESO")</f>
        <v>ÁREA DE PROCESO</v>
      </c>
      <c r="S1851" s="34" t="str">
        <f aca="false">IF(H1851="","SIN DATO",IFERROR(INDEX(cat_MarcaN,MATCH(H1851,cat_MarcaO,0)),H1851))</f>
        <v>ABB</v>
      </c>
      <c r="T1851" s="34" t="str">
        <f aca="false">IF(I1851="","SIN DATO",IFERROR(INDEX(cat_ModN,MATCH(I1851,cat_ModO,0)),I1851))</f>
        <v>1AFFAEAGNEC5BNA11G</v>
      </c>
      <c r="U1851" s="34" t="str">
        <f aca="false">IF(I1851="","",IFERROR(INDEX(cat_ModG,MATCH(I1851,cat_ModO,0)),"No"))</f>
        <v>No</v>
      </c>
      <c r="V1851" s="34" t="str">
        <f aca="false">IF(J1851="","SIN DATO",IFERROR(INDEX(cat_FunN,MATCH(J1851,cat_FunO,0)),J1851))</f>
        <v>Protección</v>
      </c>
      <c r="W1851" s="34" t="str">
        <f aca="false">IF(OR(S1851="SIN DATO",T1851="SIN DATO"),"No","Sí")</f>
        <v>Sí</v>
      </c>
    </row>
    <row r="1852" customFormat="false" ht="15" hidden="false" customHeight="false" outlineLevel="0" collapsed="false">
      <c r="A1852" s="34" t="s">
        <v>6724</v>
      </c>
      <c r="B1852" s="34" t="s">
        <v>6725</v>
      </c>
      <c r="C1852" s="34" t="s">
        <v>6726</v>
      </c>
      <c r="D1852" s="34" t="s">
        <v>6720</v>
      </c>
      <c r="E1852" s="34" t="s">
        <v>109</v>
      </c>
      <c r="F1852" s="34" t="s">
        <v>6557</v>
      </c>
      <c r="G1852" s="34" t="s">
        <v>2431</v>
      </c>
      <c r="H1852" s="34" t="s">
        <v>34</v>
      </c>
      <c r="I1852" s="34" t="s">
        <v>38</v>
      </c>
      <c r="J1852" s="34" t="s">
        <v>228</v>
      </c>
      <c r="K1852" s="34" t="s">
        <v>229</v>
      </c>
      <c r="L1852" s="34" t="s">
        <v>230</v>
      </c>
      <c r="M1852" s="34" t="s">
        <v>231</v>
      </c>
      <c r="N1852" s="34" t="str">
        <f aca="false">"Sector "&amp;VALUE(MID(D1852,13,2))</f>
        <v>Sector 1</v>
      </c>
      <c r="O1852" s="34" t="str">
        <f aca="false">IF(Dashboard!$C$5="Ubicación técnica",N1852,"Sector "&amp;VALUE(RIGHT(G1852,2)))</f>
        <v>Sector 1</v>
      </c>
      <c r="P1852" s="34" t="str">
        <f aca="false">IF(MID(D1852,15,3)="SEL","Subestación eléctrica","Área de proceso")</f>
        <v>Área de proceso</v>
      </c>
      <c r="Q1852" s="34" t="str">
        <f aca="false">MID(D1852,13,5)&amp;"|"&amp;MID(D1852,19,5)</f>
        <v>01PRB|SATMO</v>
      </c>
      <c r="R1852" s="34" t="str">
        <f aca="false">IF(P1852="Subestación eléctrica",IFERROR(INDEX(cat_SubN,MATCH(Q1852,cat_SubK,0)),"SIN CATALOGAR"),"ÁREA DE PROCESO")</f>
        <v>ÁREA DE PROCESO</v>
      </c>
      <c r="S1852" s="34" t="str">
        <f aca="false">IF(H1852="","SIN DATO",IFERROR(INDEX(cat_MarcaN,MATCH(H1852,cat_MarcaO,0)),H1852))</f>
        <v>ABB</v>
      </c>
      <c r="T1852" s="34" t="str">
        <f aca="false">IF(I1852="","SIN DATO",IFERROR(INDEX(cat_ModN,MATCH(I1852,cat_ModO,0)),I1852))</f>
        <v>1AMEBCADNEC5BNN11G</v>
      </c>
      <c r="U1852" s="34" t="str">
        <f aca="false">IF(I1852="","",IFERROR(INDEX(cat_ModG,MATCH(I1852,cat_ModO,0)),"No"))</f>
        <v>No</v>
      </c>
      <c r="V1852" s="34" t="str">
        <f aca="false">IF(J1852="","SIN DATO",IFERROR(INDEX(cat_FunN,MATCH(J1852,cat_FunO,0)),J1852))</f>
        <v>Protección y medición</v>
      </c>
      <c r="W1852" s="34" t="str">
        <f aca="false">IF(OR(S1852="SIN DATO",T1852="SIN DATO"),"No","Sí")</f>
        <v>Sí</v>
      </c>
    </row>
    <row r="1853" customFormat="false" ht="15" hidden="false" customHeight="false" outlineLevel="0" collapsed="false">
      <c r="A1853" s="34" t="s">
        <v>6727</v>
      </c>
      <c r="B1853" s="34" t="s">
        <v>6728</v>
      </c>
      <c r="C1853" s="34" t="s">
        <v>6729</v>
      </c>
      <c r="D1853" s="34" t="s">
        <v>6730</v>
      </c>
      <c r="E1853" s="34" t="s">
        <v>109</v>
      </c>
      <c r="F1853" s="34" t="s">
        <v>6557</v>
      </c>
      <c r="G1853" s="34" t="s">
        <v>2431</v>
      </c>
      <c r="H1853" s="34" t="s">
        <v>90</v>
      </c>
      <c r="I1853" s="34" t="s">
        <v>92</v>
      </c>
      <c r="J1853" s="34" t="s">
        <v>681</v>
      </c>
      <c r="K1853" s="34" t="s">
        <v>229</v>
      </c>
      <c r="L1853" s="34" t="s">
        <v>230</v>
      </c>
      <c r="M1853" s="34" t="s">
        <v>4254</v>
      </c>
      <c r="N1853" s="34" t="str">
        <f aca="false">"Sector "&amp;VALUE(MID(D1853,13,2))</f>
        <v>Sector 1</v>
      </c>
      <c r="O1853" s="34" t="str">
        <f aca="false">IF(Dashboard!$C$5="Ubicación técnica",N1853,"Sector "&amp;VALUE(RIGHT(G1853,2)))</f>
        <v>Sector 1</v>
      </c>
      <c r="P1853" s="34" t="str">
        <f aca="false">IF(MID(D1853,15,3)="SEL","Subestación eléctrica","Área de proceso")</f>
        <v>Área de proceso</v>
      </c>
      <c r="Q1853" s="34" t="str">
        <f aca="false">MID(D1853,13,5)&amp;"|"&amp;MID(D1853,19,5)</f>
        <v>01PRB|SCARG</v>
      </c>
      <c r="R1853" s="34" t="str">
        <f aca="false">IF(P1853="Subestación eléctrica",IFERROR(INDEX(cat_SubN,MATCH(Q1853,cat_SubK,0)),"SIN CATALOGAR"),"ÁREA DE PROCESO")</f>
        <v>ÁREA DE PROCESO</v>
      </c>
      <c r="S1853" s="34" t="str">
        <f aca="false">IF(H1853="","SIN DATO",IFERROR(INDEX(cat_MarcaN,MATCH(H1853,cat_MarcaO,0)),H1853))</f>
        <v>ALLEN-BRADLEY</v>
      </c>
      <c r="T1853" s="34" t="str">
        <f aca="false">IF(I1853="","SIN DATO",IFERROR(INDEX(cat_ModN,MATCH(I1853,cat_ModO,0)),I1853))</f>
        <v>857</v>
      </c>
      <c r="U1853" s="34" t="str">
        <f aca="false">IF(I1853="","",IFERROR(INDEX(cat_ModG,MATCH(I1853,cat_ModO,0)),"No"))</f>
        <v>No</v>
      </c>
      <c r="V1853" s="34" t="str">
        <f aca="false">IF(J1853="","SIN DATO",IFERROR(INDEX(cat_FunN,MATCH(J1853,cat_FunO,0)),J1853))</f>
        <v>Protección</v>
      </c>
      <c r="W1853" s="34" t="str">
        <f aca="false">IF(OR(S1853="SIN DATO",T1853="SIN DATO"),"No","Sí")</f>
        <v>Sí</v>
      </c>
    </row>
    <row r="1854" customFormat="false" ht="15" hidden="false" customHeight="false" outlineLevel="0" collapsed="false">
      <c r="A1854" s="34" t="s">
        <v>6731</v>
      </c>
      <c r="B1854" s="34" t="s">
        <v>6732</v>
      </c>
      <c r="C1854" s="34" t="s">
        <v>6733</v>
      </c>
      <c r="D1854" s="34" t="s">
        <v>6730</v>
      </c>
      <c r="E1854" s="34" t="s">
        <v>109</v>
      </c>
      <c r="F1854" s="34" t="s">
        <v>6557</v>
      </c>
      <c r="G1854" s="34" t="s">
        <v>2431</v>
      </c>
      <c r="H1854" s="34" t="s">
        <v>34</v>
      </c>
      <c r="I1854" s="34" t="s">
        <v>36</v>
      </c>
      <c r="J1854" s="34" t="s">
        <v>681</v>
      </c>
      <c r="K1854" s="34" t="s">
        <v>229</v>
      </c>
      <c r="L1854" s="34" t="s">
        <v>230</v>
      </c>
      <c r="M1854" s="34" t="s">
        <v>682</v>
      </c>
      <c r="N1854" s="34" t="str">
        <f aca="false">"Sector "&amp;VALUE(MID(D1854,13,2))</f>
        <v>Sector 1</v>
      </c>
      <c r="O1854" s="34" t="str">
        <f aca="false">IF(Dashboard!$C$5="Ubicación técnica",N1854,"Sector "&amp;VALUE(RIGHT(G1854,2)))</f>
        <v>Sector 1</v>
      </c>
      <c r="P1854" s="34" t="str">
        <f aca="false">IF(MID(D1854,15,3)="SEL","Subestación eléctrica","Área de proceso")</f>
        <v>Área de proceso</v>
      </c>
      <c r="Q1854" s="34" t="str">
        <f aca="false">MID(D1854,13,5)&amp;"|"&amp;MID(D1854,19,5)</f>
        <v>01PRB|SCARG</v>
      </c>
      <c r="R1854" s="34" t="str">
        <f aca="false">IF(P1854="Subestación eléctrica",IFERROR(INDEX(cat_SubN,MATCH(Q1854,cat_SubK,0)),"SIN CATALOGAR"),"ÁREA DE PROCESO")</f>
        <v>ÁREA DE PROCESO</v>
      </c>
      <c r="S1854" s="34" t="str">
        <f aca="false">IF(H1854="","SIN DATO",IFERROR(INDEX(cat_MarcaN,MATCH(H1854,cat_MarcaO,0)),H1854))</f>
        <v>ABB</v>
      </c>
      <c r="T1854" s="34" t="str">
        <f aca="false">IF(I1854="","SIN DATO",IFERROR(INDEX(cat_ModN,MATCH(I1854,cat_ModO,0)),I1854))</f>
        <v>1AFFAEAGNEC5BNA11G</v>
      </c>
      <c r="U1854" s="34" t="str">
        <f aca="false">IF(I1854="","",IFERROR(INDEX(cat_ModG,MATCH(I1854,cat_ModO,0)),"No"))</f>
        <v>No</v>
      </c>
      <c r="V1854" s="34" t="str">
        <f aca="false">IF(J1854="","SIN DATO",IFERROR(INDEX(cat_FunN,MATCH(J1854,cat_FunO,0)),J1854))</f>
        <v>Protección</v>
      </c>
      <c r="W1854" s="34" t="str">
        <f aca="false">IF(OR(S1854="SIN DATO",T1854="SIN DATO"),"No","Sí")</f>
        <v>Sí</v>
      </c>
    </row>
    <row r="1855" customFormat="false" ht="15" hidden="false" customHeight="false" outlineLevel="0" collapsed="false">
      <c r="A1855" s="34" t="s">
        <v>6734</v>
      </c>
      <c r="B1855" s="34" t="s">
        <v>6735</v>
      </c>
      <c r="C1855" s="34" t="s">
        <v>6736</v>
      </c>
      <c r="D1855" s="34" t="s">
        <v>6730</v>
      </c>
      <c r="E1855" s="34" t="s">
        <v>109</v>
      </c>
      <c r="F1855" s="34" t="s">
        <v>6557</v>
      </c>
      <c r="G1855" s="34" t="s">
        <v>2431</v>
      </c>
      <c r="H1855" s="34" t="s">
        <v>34</v>
      </c>
      <c r="I1855" s="34" t="s">
        <v>36</v>
      </c>
      <c r="J1855" s="34" t="s">
        <v>228</v>
      </c>
      <c r="K1855" s="34" t="s">
        <v>229</v>
      </c>
      <c r="L1855" s="34" t="s">
        <v>230</v>
      </c>
      <c r="M1855" s="34" t="s">
        <v>231</v>
      </c>
      <c r="N1855" s="34" t="str">
        <f aca="false">"Sector "&amp;VALUE(MID(D1855,13,2))</f>
        <v>Sector 1</v>
      </c>
      <c r="O1855" s="34" t="str">
        <f aca="false">IF(Dashboard!$C$5="Ubicación técnica",N1855,"Sector "&amp;VALUE(RIGHT(G1855,2)))</f>
        <v>Sector 1</v>
      </c>
      <c r="P1855" s="34" t="str">
        <f aca="false">IF(MID(D1855,15,3)="SEL","Subestación eléctrica","Área de proceso")</f>
        <v>Área de proceso</v>
      </c>
      <c r="Q1855" s="34" t="str">
        <f aca="false">MID(D1855,13,5)&amp;"|"&amp;MID(D1855,19,5)</f>
        <v>01PRB|SCARG</v>
      </c>
      <c r="R1855" s="34" t="str">
        <f aca="false">IF(P1855="Subestación eléctrica",IFERROR(INDEX(cat_SubN,MATCH(Q1855,cat_SubK,0)),"SIN CATALOGAR"),"ÁREA DE PROCESO")</f>
        <v>ÁREA DE PROCESO</v>
      </c>
      <c r="S1855" s="34" t="str">
        <f aca="false">IF(H1855="","SIN DATO",IFERROR(INDEX(cat_MarcaN,MATCH(H1855,cat_MarcaO,0)),H1855))</f>
        <v>ABB</v>
      </c>
      <c r="T1855" s="34" t="str">
        <f aca="false">IF(I1855="","SIN DATO",IFERROR(INDEX(cat_ModN,MATCH(I1855,cat_ModO,0)),I1855))</f>
        <v>1AFFAEAGNEC5BNA11G</v>
      </c>
      <c r="U1855" s="34" t="str">
        <f aca="false">IF(I1855="","",IFERROR(INDEX(cat_ModG,MATCH(I1855,cat_ModO,0)),"No"))</f>
        <v>No</v>
      </c>
      <c r="V1855" s="34" t="str">
        <f aca="false">IF(J1855="","SIN DATO",IFERROR(INDEX(cat_FunN,MATCH(J1855,cat_FunO,0)),J1855))</f>
        <v>Protección y medición</v>
      </c>
      <c r="W1855" s="34" t="str">
        <f aca="false">IF(OR(S1855="SIN DATO",T1855="SIN DATO"),"No","Sí")</f>
        <v>Sí</v>
      </c>
    </row>
    <row r="1856" customFormat="false" ht="15" hidden="false" customHeight="false" outlineLevel="0" collapsed="false">
      <c r="A1856" s="34" t="s">
        <v>6737</v>
      </c>
      <c r="B1856" s="34" t="s">
        <v>6738</v>
      </c>
      <c r="C1856" s="34" t="s">
        <v>6739</v>
      </c>
      <c r="D1856" s="34" t="s">
        <v>6740</v>
      </c>
      <c r="E1856" s="34" t="s">
        <v>109</v>
      </c>
      <c r="F1856" s="34" t="s">
        <v>6557</v>
      </c>
      <c r="G1856" s="34" t="s">
        <v>2431</v>
      </c>
      <c r="H1856" s="34" t="s">
        <v>90</v>
      </c>
      <c r="I1856" s="34" t="s">
        <v>92</v>
      </c>
      <c r="J1856" s="34" t="s">
        <v>681</v>
      </c>
      <c r="K1856" s="34" t="s">
        <v>229</v>
      </c>
      <c r="L1856" s="34" t="s">
        <v>230</v>
      </c>
      <c r="M1856" s="34" t="s">
        <v>4254</v>
      </c>
      <c r="N1856" s="34" t="str">
        <f aca="false">"Sector "&amp;VALUE(MID(D1856,13,2))</f>
        <v>Sector 1</v>
      </c>
      <c r="O1856" s="34" t="str">
        <f aca="false">IF(Dashboard!$C$5="Ubicación técnica",N1856,"Sector "&amp;VALUE(RIGHT(G1856,2)))</f>
        <v>Sector 1</v>
      </c>
      <c r="P1856" s="34" t="str">
        <f aca="false">IF(MID(D1856,15,3)="SEL","Subestación eléctrica","Área de proceso")</f>
        <v>Área de proceso</v>
      </c>
      <c r="Q1856" s="34" t="str">
        <f aca="false">MID(D1856,13,5)&amp;"|"&amp;MID(D1856,19,5)</f>
        <v>01PRB|SCARG</v>
      </c>
      <c r="R1856" s="34" t="str">
        <f aca="false">IF(P1856="Subestación eléctrica",IFERROR(INDEX(cat_SubN,MATCH(Q1856,cat_SubK,0)),"SIN CATALOGAR"),"ÁREA DE PROCESO")</f>
        <v>ÁREA DE PROCESO</v>
      </c>
      <c r="S1856" s="34" t="str">
        <f aca="false">IF(H1856="","SIN DATO",IFERROR(INDEX(cat_MarcaN,MATCH(H1856,cat_MarcaO,0)),H1856))</f>
        <v>ALLEN-BRADLEY</v>
      </c>
      <c r="T1856" s="34" t="str">
        <f aca="false">IF(I1856="","SIN DATO",IFERROR(INDEX(cat_ModN,MATCH(I1856,cat_ModO,0)),I1856))</f>
        <v>857</v>
      </c>
      <c r="U1856" s="34" t="str">
        <f aca="false">IF(I1856="","",IFERROR(INDEX(cat_ModG,MATCH(I1856,cat_ModO,0)),"No"))</f>
        <v>No</v>
      </c>
      <c r="V1856" s="34" t="str">
        <f aca="false">IF(J1856="","SIN DATO",IFERROR(INDEX(cat_FunN,MATCH(J1856,cat_FunO,0)),J1856))</f>
        <v>Protección</v>
      </c>
      <c r="W1856" s="34" t="str">
        <f aca="false">IF(OR(S1856="SIN DATO",T1856="SIN DATO"),"No","Sí")</f>
        <v>Sí</v>
      </c>
    </row>
    <row r="1857" customFormat="false" ht="15" hidden="false" customHeight="false" outlineLevel="0" collapsed="false">
      <c r="A1857" s="34" t="s">
        <v>6741</v>
      </c>
      <c r="B1857" s="34" t="s">
        <v>6742</v>
      </c>
      <c r="C1857" s="34" t="s">
        <v>6743</v>
      </c>
      <c r="D1857" s="34" t="s">
        <v>6740</v>
      </c>
      <c r="E1857" s="34" t="s">
        <v>109</v>
      </c>
      <c r="F1857" s="34" t="s">
        <v>6557</v>
      </c>
      <c r="G1857" s="34" t="s">
        <v>2431</v>
      </c>
      <c r="H1857" s="34" t="s">
        <v>34</v>
      </c>
      <c r="I1857" s="34" t="s">
        <v>36</v>
      </c>
      <c r="J1857" s="34" t="s">
        <v>681</v>
      </c>
      <c r="K1857" s="34" t="s">
        <v>229</v>
      </c>
      <c r="L1857" s="34" t="s">
        <v>230</v>
      </c>
      <c r="M1857" s="34" t="s">
        <v>682</v>
      </c>
      <c r="N1857" s="34" t="str">
        <f aca="false">"Sector "&amp;VALUE(MID(D1857,13,2))</f>
        <v>Sector 1</v>
      </c>
      <c r="O1857" s="34" t="str">
        <f aca="false">IF(Dashboard!$C$5="Ubicación técnica",N1857,"Sector "&amp;VALUE(RIGHT(G1857,2)))</f>
        <v>Sector 1</v>
      </c>
      <c r="P1857" s="34" t="str">
        <f aca="false">IF(MID(D1857,15,3)="SEL","Subestación eléctrica","Área de proceso")</f>
        <v>Área de proceso</v>
      </c>
      <c r="Q1857" s="34" t="str">
        <f aca="false">MID(D1857,13,5)&amp;"|"&amp;MID(D1857,19,5)</f>
        <v>01PRB|SCARG</v>
      </c>
      <c r="R1857" s="34" t="str">
        <f aca="false">IF(P1857="Subestación eléctrica",IFERROR(INDEX(cat_SubN,MATCH(Q1857,cat_SubK,0)),"SIN CATALOGAR"),"ÁREA DE PROCESO")</f>
        <v>ÁREA DE PROCESO</v>
      </c>
      <c r="S1857" s="34" t="str">
        <f aca="false">IF(H1857="","SIN DATO",IFERROR(INDEX(cat_MarcaN,MATCH(H1857,cat_MarcaO,0)),H1857))</f>
        <v>ABB</v>
      </c>
      <c r="T1857" s="34" t="str">
        <f aca="false">IF(I1857="","SIN DATO",IFERROR(INDEX(cat_ModN,MATCH(I1857,cat_ModO,0)),I1857))</f>
        <v>1AFFAEAGNEC5BNA11G</v>
      </c>
      <c r="U1857" s="34" t="str">
        <f aca="false">IF(I1857="","",IFERROR(INDEX(cat_ModG,MATCH(I1857,cat_ModO,0)),"No"))</f>
        <v>No</v>
      </c>
      <c r="V1857" s="34" t="str">
        <f aca="false">IF(J1857="","SIN DATO",IFERROR(INDEX(cat_FunN,MATCH(J1857,cat_FunO,0)),J1857))</f>
        <v>Protección</v>
      </c>
      <c r="W1857" s="34" t="str">
        <f aca="false">IF(OR(S1857="SIN DATO",T1857="SIN DATO"),"No","Sí")</f>
        <v>Sí</v>
      </c>
    </row>
    <row r="1858" customFormat="false" ht="15" hidden="false" customHeight="false" outlineLevel="0" collapsed="false">
      <c r="A1858" s="34" t="s">
        <v>6744</v>
      </c>
      <c r="B1858" s="34" t="s">
        <v>6745</v>
      </c>
      <c r="C1858" s="34" t="s">
        <v>6746</v>
      </c>
      <c r="D1858" s="34" t="s">
        <v>6740</v>
      </c>
      <c r="E1858" s="34" t="s">
        <v>109</v>
      </c>
      <c r="F1858" s="34" t="s">
        <v>6557</v>
      </c>
      <c r="G1858" s="34" t="s">
        <v>2431</v>
      </c>
      <c r="H1858" s="34" t="s">
        <v>34</v>
      </c>
      <c r="I1858" s="34" t="s">
        <v>36</v>
      </c>
      <c r="J1858" s="34" t="s">
        <v>228</v>
      </c>
      <c r="K1858" s="34" t="s">
        <v>229</v>
      </c>
      <c r="L1858" s="34" t="s">
        <v>230</v>
      </c>
      <c r="M1858" s="34" t="s">
        <v>231</v>
      </c>
      <c r="N1858" s="34" t="str">
        <f aca="false">"Sector "&amp;VALUE(MID(D1858,13,2))</f>
        <v>Sector 1</v>
      </c>
      <c r="O1858" s="34" t="str">
        <f aca="false">IF(Dashboard!$C$5="Ubicación técnica",N1858,"Sector "&amp;VALUE(RIGHT(G1858,2)))</f>
        <v>Sector 1</v>
      </c>
      <c r="P1858" s="34" t="str">
        <f aca="false">IF(MID(D1858,15,3)="SEL","Subestación eléctrica","Área de proceso")</f>
        <v>Área de proceso</v>
      </c>
      <c r="Q1858" s="34" t="str">
        <f aca="false">MID(D1858,13,5)&amp;"|"&amp;MID(D1858,19,5)</f>
        <v>01PRB|SCARG</v>
      </c>
      <c r="R1858" s="34" t="str">
        <f aca="false">IF(P1858="Subestación eléctrica",IFERROR(INDEX(cat_SubN,MATCH(Q1858,cat_SubK,0)),"SIN CATALOGAR"),"ÁREA DE PROCESO")</f>
        <v>ÁREA DE PROCESO</v>
      </c>
      <c r="S1858" s="34" t="str">
        <f aca="false">IF(H1858="","SIN DATO",IFERROR(INDEX(cat_MarcaN,MATCH(H1858,cat_MarcaO,0)),H1858))</f>
        <v>ABB</v>
      </c>
      <c r="T1858" s="34" t="str">
        <f aca="false">IF(I1858="","SIN DATO",IFERROR(INDEX(cat_ModN,MATCH(I1858,cat_ModO,0)),I1858))</f>
        <v>1AFFAEAGNEC5BNA11G</v>
      </c>
      <c r="U1858" s="34" t="str">
        <f aca="false">IF(I1858="","",IFERROR(INDEX(cat_ModG,MATCH(I1858,cat_ModO,0)),"No"))</f>
        <v>No</v>
      </c>
      <c r="V1858" s="34" t="str">
        <f aca="false">IF(J1858="","SIN DATO",IFERROR(INDEX(cat_FunN,MATCH(J1858,cat_FunO,0)),J1858))</f>
        <v>Protección y medición</v>
      </c>
      <c r="W1858" s="34" t="str">
        <f aca="false">IF(OR(S1858="SIN DATO",T1858="SIN DATO"),"No","Sí")</f>
        <v>Sí</v>
      </c>
    </row>
    <row r="1859" customFormat="false" ht="15" hidden="false" customHeight="false" outlineLevel="0" collapsed="false">
      <c r="A1859" s="34" t="s">
        <v>6747</v>
      </c>
      <c r="B1859" s="34" t="s">
        <v>6748</v>
      </c>
      <c r="C1859" s="34" t="s">
        <v>6749</v>
      </c>
      <c r="D1859" s="34" t="s">
        <v>6598</v>
      </c>
      <c r="E1859" s="34" t="s">
        <v>109</v>
      </c>
      <c r="F1859" s="34" t="s">
        <v>6557</v>
      </c>
      <c r="G1859" s="34" t="s">
        <v>2431</v>
      </c>
      <c r="H1859" s="34" t="s">
        <v>90</v>
      </c>
      <c r="I1859" s="34" t="s">
        <v>92</v>
      </c>
      <c r="J1859" s="34" t="s">
        <v>681</v>
      </c>
      <c r="K1859" s="34" t="s">
        <v>229</v>
      </c>
      <c r="L1859" s="34" t="s">
        <v>230</v>
      </c>
      <c r="M1859" s="34" t="s">
        <v>4254</v>
      </c>
      <c r="N1859" s="34" t="str">
        <f aca="false">"Sector "&amp;VALUE(MID(D1859,13,2))</f>
        <v>Sector 1</v>
      </c>
      <c r="O1859" s="34" t="str">
        <f aca="false">IF(Dashboard!$C$5="Ubicación técnica",N1859,"Sector "&amp;VALUE(RIGHT(G1859,2)))</f>
        <v>Sector 1</v>
      </c>
      <c r="P1859" s="34" t="str">
        <f aca="false">IF(MID(D1859,15,3)="SEL","Subestación eléctrica","Área de proceso")</f>
        <v>Área de proceso</v>
      </c>
      <c r="Q1859" s="34" t="str">
        <f aca="false">MID(D1859,13,5)&amp;"|"&amp;MID(D1859,19,5)</f>
        <v>01PRB|SCARG</v>
      </c>
      <c r="R1859" s="34" t="str">
        <f aca="false">IF(P1859="Subestación eléctrica",IFERROR(INDEX(cat_SubN,MATCH(Q1859,cat_SubK,0)),"SIN CATALOGAR"),"ÁREA DE PROCESO")</f>
        <v>ÁREA DE PROCESO</v>
      </c>
      <c r="S1859" s="34" t="str">
        <f aca="false">IF(H1859="","SIN DATO",IFERROR(INDEX(cat_MarcaN,MATCH(H1859,cat_MarcaO,0)),H1859))</f>
        <v>ALLEN-BRADLEY</v>
      </c>
      <c r="T1859" s="34" t="str">
        <f aca="false">IF(I1859="","SIN DATO",IFERROR(INDEX(cat_ModN,MATCH(I1859,cat_ModO,0)),I1859))</f>
        <v>857</v>
      </c>
      <c r="U1859" s="34" t="str">
        <f aca="false">IF(I1859="","",IFERROR(INDEX(cat_ModG,MATCH(I1859,cat_ModO,0)),"No"))</f>
        <v>No</v>
      </c>
      <c r="V1859" s="34" t="str">
        <f aca="false">IF(J1859="","SIN DATO",IFERROR(INDEX(cat_FunN,MATCH(J1859,cat_FunO,0)),J1859))</f>
        <v>Protección</v>
      </c>
      <c r="W1859" s="34" t="str">
        <f aca="false">IF(OR(S1859="SIN DATO",T1859="SIN DATO"),"No","Sí")</f>
        <v>Sí</v>
      </c>
    </row>
    <row r="1860" customFormat="false" ht="15" hidden="false" customHeight="false" outlineLevel="0" collapsed="false">
      <c r="A1860" s="34" t="s">
        <v>6750</v>
      </c>
      <c r="B1860" s="34" t="s">
        <v>6751</v>
      </c>
      <c r="C1860" s="34" t="s">
        <v>6752</v>
      </c>
      <c r="D1860" s="34" t="s">
        <v>6753</v>
      </c>
      <c r="E1860" s="34" t="s">
        <v>176</v>
      </c>
      <c r="F1860" s="34" t="s">
        <v>6754</v>
      </c>
      <c r="G1860" s="34" t="s">
        <v>227</v>
      </c>
      <c r="H1860" s="34"/>
      <c r="I1860" s="34"/>
      <c r="J1860" s="34"/>
      <c r="K1860" s="34"/>
      <c r="L1860" s="34"/>
      <c r="M1860" s="34"/>
      <c r="N1860" s="34" t="str">
        <f aca="false">"Sector "&amp;VALUE(MID(D1860,13,2))</f>
        <v>Sector 8</v>
      </c>
      <c r="O1860" s="34" t="str">
        <f aca="false">IF(Dashboard!$C$5="Ubicación técnica",N1860,"Sector "&amp;VALUE(RIGHT(G1860,2)))</f>
        <v>Sector 8</v>
      </c>
      <c r="P1860" s="34" t="str">
        <f aca="false">IF(MID(D1860,15,3)="SEL","Subestación eléctrica","Área de proceso")</f>
        <v>Área de proceso</v>
      </c>
      <c r="Q1860" s="34" t="str">
        <f aca="false">MID(D1860,13,5)&amp;"|"&amp;MID(D1860,19,5)</f>
        <v>08PPA|SALMD</v>
      </c>
      <c r="R1860" s="34" t="str">
        <f aca="false">IF(P1860="Subestación eléctrica",IFERROR(INDEX(cat_SubN,MATCH(Q1860,cat_SubK,0)),"SIN CATALOGAR"),"ÁREA DE PROCESO")</f>
        <v>ÁREA DE PROCESO</v>
      </c>
      <c r="S1860" s="34" t="str">
        <f aca="false">IF(H1860="","SIN DATO",IFERROR(INDEX(cat_MarcaN,MATCH(H1860,cat_MarcaO,0)),H1860))</f>
        <v>SIN DATO</v>
      </c>
      <c r="T1860" s="34" t="str">
        <f aca="false">IF(I1860="","SIN DATO",IFERROR(INDEX(cat_ModN,MATCH(I1860,cat_ModO,0)),I1860))</f>
        <v>SIN DATO</v>
      </c>
      <c r="U1860" s="34" t="str">
        <f aca="false">IF(I1860="","",IFERROR(INDEX(cat_ModG,MATCH(I1860,cat_ModO,0)),"No"))</f>
        <v/>
      </c>
      <c r="V1860" s="34" t="str">
        <f aca="false">IF(J1860="","SIN DATO",IFERROR(INDEX(cat_FunN,MATCH(J1860,cat_FunO,0)),J1860))</f>
        <v>SIN DATO</v>
      </c>
      <c r="W1860" s="34" t="str">
        <f aca="false">IF(OR(S1860="SIN DATO",T1860="SIN DATO"),"No","Sí")</f>
        <v>No</v>
      </c>
    </row>
    <row r="1861" customFormat="false" ht="15" hidden="false" customHeight="false" outlineLevel="0" collapsed="false">
      <c r="A1861" s="34" t="s">
        <v>6755</v>
      </c>
      <c r="B1861" s="34" t="s">
        <v>6756</v>
      </c>
      <c r="C1861" s="34" t="s">
        <v>6757</v>
      </c>
      <c r="D1861" s="34" t="s">
        <v>6758</v>
      </c>
      <c r="E1861" s="34" t="s">
        <v>176</v>
      </c>
      <c r="F1861" s="34" t="s">
        <v>6754</v>
      </c>
      <c r="G1861" s="34" t="s">
        <v>227</v>
      </c>
      <c r="H1861" s="34"/>
      <c r="I1861" s="34"/>
      <c r="J1861" s="34"/>
      <c r="K1861" s="34"/>
      <c r="L1861" s="34"/>
      <c r="M1861" s="34"/>
      <c r="N1861" s="34" t="str">
        <f aca="false">"Sector "&amp;VALUE(MID(D1861,13,2))</f>
        <v>Sector 8</v>
      </c>
      <c r="O1861" s="34" t="str">
        <f aca="false">IF(Dashboard!$C$5="Ubicación técnica",N1861,"Sector "&amp;VALUE(RIGHT(G1861,2)))</f>
        <v>Sector 8</v>
      </c>
      <c r="P1861" s="34" t="str">
        <f aca="false">IF(MID(D1861,15,3)="SEL","Subestación eléctrica","Área de proceso")</f>
        <v>Área de proceso</v>
      </c>
      <c r="Q1861" s="34" t="str">
        <f aca="false">MID(D1861,13,5)&amp;"|"&amp;MID(D1861,19,5)</f>
        <v>08PPA|SALMD</v>
      </c>
      <c r="R1861" s="34" t="str">
        <f aca="false">IF(P1861="Subestación eléctrica",IFERROR(INDEX(cat_SubN,MATCH(Q1861,cat_SubK,0)),"SIN CATALOGAR"),"ÁREA DE PROCESO")</f>
        <v>ÁREA DE PROCESO</v>
      </c>
      <c r="S1861" s="34" t="str">
        <f aca="false">IF(H1861="","SIN DATO",IFERROR(INDEX(cat_MarcaN,MATCH(H1861,cat_MarcaO,0)),H1861))</f>
        <v>SIN DATO</v>
      </c>
      <c r="T1861" s="34" t="str">
        <f aca="false">IF(I1861="","SIN DATO",IFERROR(INDEX(cat_ModN,MATCH(I1861,cat_ModO,0)),I1861))</f>
        <v>SIN DATO</v>
      </c>
      <c r="U1861" s="34" t="str">
        <f aca="false">IF(I1861="","",IFERROR(INDEX(cat_ModG,MATCH(I1861,cat_ModO,0)),"No"))</f>
        <v/>
      </c>
      <c r="V1861" s="34" t="str">
        <f aca="false">IF(J1861="","SIN DATO",IFERROR(INDEX(cat_FunN,MATCH(J1861,cat_FunO,0)),J1861))</f>
        <v>SIN DATO</v>
      </c>
      <c r="W1861" s="34" t="str">
        <f aca="false">IF(OR(S1861="SIN DATO",T1861="SIN DATO"),"No","Sí")</f>
        <v>No</v>
      </c>
    </row>
    <row r="1862" customFormat="false" ht="15" hidden="false" customHeight="false" outlineLevel="0" collapsed="false">
      <c r="A1862" s="34" t="s">
        <v>6759</v>
      </c>
      <c r="B1862" s="34" t="s">
        <v>6760</v>
      </c>
      <c r="C1862" s="34" t="s">
        <v>6761</v>
      </c>
      <c r="D1862" s="34" t="s">
        <v>6762</v>
      </c>
      <c r="E1862" s="34" t="s">
        <v>176</v>
      </c>
      <c r="F1862" s="34" t="s">
        <v>6754</v>
      </c>
      <c r="G1862" s="34" t="s">
        <v>227</v>
      </c>
      <c r="H1862" s="34"/>
      <c r="I1862" s="34"/>
      <c r="J1862" s="34"/>
      <c r="K1862" s="34"/>
      <c r="L1862" s="34"/>
      <c r="M1862" s="34"/>
      <c r="N1862" s="34" t="str">
        <f aca="false">"Sector "&amp;VALUE(MID(D1862,13,2))</f>
        <v>Sector 8</v>
      </c>
      <c r="O1862" s="34" t="str">
        <f aca="false">IF(Dashboard!$C$5="Ubicación técnica",N1862,"Sector "&amp;VALUE(RIGHT(G1862,2)))</f>
        <v>Sector 8</v>
      </c>
      <c r="P1862" s="34" t="str">
        <f aca="false">IF(MID(D1862,15,3)="SEL","Subestación eléctrica","Área de proceso")</f>
        <v>Área de proceso</v>
      </c>
      <c r="Q1862" s="34" t="str">
        <f aca="false">MID(D1862,13,5)&amp;"|"&amp;MID(D1862,19,5)</f>
        <v>08PPA|SALMD</v>
      </c>
      <c r="R1862" s="34" t="str">
        <f aca="false">IF(P1862="Subestación eléctrica",IFERROR(INDEX(cat_SubN,MATCH(Q1862,cat_SubK,0)),"SIN CATALOGAR"),"ÁREA DE PROCESO")</f>
        <v>ÁREA DE PROCESO</v>
      </c>
      <c r="S1862" s="34" t="str">
        <f aca="false">IF(H1862="","SIN DATO",IFERROR(INDEX(cat_MarcaN,MATCH(H1862,cat_MarcaO,0)),H1862))</f>
        <v>SIN DATO</v>
      </c>
      <c r="T1862" s="34" t="str">
        <f aca="false">IF(I1862="","SIN DATO",IFERROR(INDEX(cat_ModN,MATCH(I1862,cat_ModO,0)),I1862))</f>
        <v>SIN DATO</v>
      </c>
      <c r="U1862" s="34" t="str">
        <f aca="false">IF(I1862="","",IFERROR(INDEX(cat_ModG,MATCH(I1862,cat_ModO,0)),"No"))</f>
        <v/>
      </c>
      <c r="V1862" s="34" t="str">
        <f aca="false">IF(J1862="","SIN DATO",IFERROR(INDEX(cat_FunN,MATCH(J1862,cat_FunO,0)),J1862))</f>
        <v>SIN DATO</v>
      </c>
      <c r="W1862" s="34" t="str">
        <f aca="false">IF(OR(S1862="SIN DATO",T1862="SIN DATO"),"No","Sí")</f>
        <v>No</v>
      </c>
    </row>
    <row r="1863" customFormat="false" ht="15" hidden="false" customHeight="false" outlineLevel="0" collapsed="false">
      <c r="A1863" s="34" t="s">
        <v>6763</v>
      </c>
      <c r="B1863" s="34" t="s">
        <v>6764</v>
      </c>
      <c r="C1863" s="34" t="s">
        <v>6765</v>
      </c>
      <c r="D1863" s="34" t="s">
        <v>6766</v>
      </c>
      <c r="E1863" s="34" t="s">
        <v>176</v>
      </c>
      <c r="F1863" s="34" t="s">
        <v>6754</v>
      </c>
      <c r="G1863" s="34" t="s">
        <v>227</v>
      </c>
      <c r="H1863" s="34"/>
      <c r="I1863" s="34"/>
      <c r="J1863" s="34"/>
      <c r="K1863" s="34"/>
      <c r="L1863" s="34"/>
      <c r="M1863" s="34"/>
      <c r="N1863" s="34" t="str">
        <f aca="false">"Sector "&amp;VALUE(MID(D1863,13,2))</f>
        <v>Sector 8</v>
      </c>
      <c r="O1863" s="34" t="str">
        <f aca="false">IF(Dashboard!$C$5="Ubicación técnica",N1863,"Sector "&amp;VALUE(RIGHT(G1863,2)))</f>
        <v>Sector 8</v>
      </c>
      <c r="P1863" s="34" t="str">
        <f aca="false">IF(MID(D1863,15,3)="SEL","Subestación eléctrica","Área de proceso")</f>
        <v>Área de proceso</v>
      </c>
      <c r="Q1863" s="34" t="str">
        <f aca="false">MID(D1863,13,5)&amp;"|"&amp;MID(D1863,19,5)</f>
        <v>08PPA|SALMD</v>
      </c>
      <c r="R1863" s="34" t="str">
        <f aca="false">IF(P1863="Subestación eléctrica",IFERROR(INDEX(cat_SubN,MATCH(Q1863,cat_SubK,0)),"SIN CATALOGAR"),"ÁREA DE PROCESO")</f>
        <v>ÁREA DE PROCESO</v>
      </c>
      <c r="S1863" s="34" t="str">
        <f aca="false">IF(H1863="","SIN DATO",IFERROR(INDEX(cat_MarcaN,MATCH(H1863,cat_MarcaO,0)),H1863))</f>
        <v>SIN DATO</v>
      </c>
      <c r="T1863" s="34" t="str">
        <f aca="false">IF(I1863="","SIN DATO",IFERROR(INDEX(cat_ModN,MATCH(I1863,cat_ModO,0)),I1863))</f>
        <v>SIN DATO</v>
      </c>
      <c r="U1863" s="34" t="str">
        <f aca="false">IF(I1863="","",IFERROR(INDEX(cat_ModG,MATCH(I1863,cat_ModO,0)),"No"))</f>
        <v/>
      </c>
      <c r="V1863" s="34" t="str">
        <f aca="false">IF(J1863="","SIN DATO",IFERROR(INDEX(cat_FunN,MATCH(J1863,cat_FunO,0)),J1863))</f>
        <v>SIN DATO</v>
      </c>
      <c r="W1863" s="34" t="str">
        <f aca="false">IF(OR(S1863="SIN DATO",T1863="SIN DATO"),"No","Sí")</f>
        <v>No</v>
      </c>
    </row>
    <row r="1864" customFormat="false" ht="15" hidden="false" customHeight="false" outlineLevel="0" collapsed="false">
      <c r="A1864" s="34" t="s">
        <v>6767</v>
      </c>
      <c r="B1864" s="34" t="s">
        <v>6768</v>
      </c>
      <c r="C1864" s="34" t="s">
        <v>6769</v>
      </c>
      <c r="D1864" s="34" t="s">
        <v>6770</v>
      </c>
      <c r="E1864" s="34" t="s">
        <v>176</v>
      </c>
      <c r="F1864" s="34" t="s">
        <v>6754</v>
      </c>
      <c r="G1864" s="34" t="s">
        <v>227</v>
      </c>
      <c r="H1864" s="34"/>
      <c r="I1864" s="34"/>
      <c r="J1864" s="34"/>
      <c r="K1864" s="34"/>
      <c r="L1864" s="34"/>
      <c r="M1864" s="34"/>
      <c r="N1864" s="34" t="str">
        <f aca="false">"Sector "&amp;VALUE(MID(D1864,13,2))</f>
        <v>Sector 8</v>
      </c>
      <c r="O1864" s="34" t="str">
        <f aca="false">IF(Dashboard!$C$5="Ubicación técnica",N1864,"Sector "&amp;VALUE(RIGHT(G1864,2)))</f>
        <v>Sector 8</v>
      </c>
      <c r="P1864" s="34" t="str">
        <f aca="false">IF(MID(D1864,15,3)="SEL","Subestación eléctrica","Área de proceso")</f>
        <v>Área de proceso</v>
      </c>
      <c r="Q1864" s="34" t="str">
        <f aca="false">MID(D1864,13,5)&amp;"|"&amp;MID(D1864,19,5)</f>
        <v>08PPA|SALMD</v>
      </c>
      <c r="R1864" s="34" t="str">
        <f aca="false">IF(P1864="Subestación eléctrica",IFERROR(INDEX(cat_SubN,MATCH(Q1864,cat_SubK,0)),"SIN CATALOGAR"),"ÁREA DE PROCESO")</f>
        <v>ÁREA DE PROCESO</v>
      </c>
      <c r="S1864" s="34" t="str">
        <f aca="false">IF(H1864="","SIN DATO",IFERROR(INDEX(cat_MarcaN,MATCH(H1864,cat_MarcaO,0)),H1864))</f>
        <v>SIN DATO</v>
      </c>
      <c r="T1864" s="34" t="str">
        <f aca="false">IF(I1864="","SIN DATO",IFERROR(INDEX(cat_ModN,MATCH(I1864,cat_ModO,0)),I1864))</f>
        <v>SIN DATO</v>
      </c>
      <c r="U1864" s="34" t="str">
        <f aca="false">IF(I1864="","",IFERROR(INDEX(cat_ModG,MATCH(I1864,cat_ModO,0)),"No"))</f>
        <v/>
      </c>
      <c r="V1864" s="34" t="str">
        <f aca="false">IF(J1864="","SIN DATO",IFERROR(INDEX(cat_FunN,MATCH(J1864,cat_FunO,0)),J1864))</f>
        <v>SIN DATO</v>
      </c>
      <c r="W1864" s="34" t="str">
        <f aca="false">IF(OR(S1864="SIN DATO",T1864="SIN DATO"),"No","Sí")</f>
        <v>No</v>
      </c>
    </row>
    <row r="1865" customFormat="false" ht="15" hidden="false" customHeight="false" outlineLevel="0" collapsed="false">
      <c r="A1865" s="34" t="s">
        <v>6771</v>
      </c>
      <c r="B1865" s="34" t="s">
        <v>6772</v>
      </c>
      <c r="C1865" s="34" t="s">
        <v>6773</v>
      </c>
      <c r="D1865" s="34" t="s">
        <v>6774</v>
      </c>
      <c r="E1865" s="34" t="s">
        <v>176</v>
      </c>
      <c r="F1865" s="34" t="s">
        <v>6754</v>
      </c>
      <c r="G1865" s="34" t="s">
        <v>227</v>
      </c>
      <c r="H1865" s="34"/>
      <c r="I1865" s="34"/>
      <c r="J1865" s="34"/>
      <c r="K1865" s="34"/>
      <c r="L1865" s="34"/>
      <c r="M1865" s="34"/>
      <c r="N1865" s="34" t="str">
        <f aca="false">"Sector "&amp;VALUE(MID(D1865,13,2))</f>
        <v>Sector 8</v>
      </c>
      <c r="O1865" s="34" t="str">
        <f aca="false">IF(Dashboard!$C$5="Ubicación técnica",N1865,"Sector "&amp;VALUE(RIGHT(G1865,2)))</f>
        <v>Sector 8</v>
      </c>
      <c r="P1865" s="34" t="str">
        <f aca="false">IF(MID(D1865,15,3)="SEL","Subestación eléctrica","Área de proceso")</f>
        <v>Área de proceso</v>
      </c>
      <c r="Q1865" s="34" t="str">
        <f aca="false">MID(D1865,13,5)&amp;"|"&amp;MID(D1865,19,5)</f>
        <v>08PPA|SALMD</v>
      </c>
      <c r="R1865" s="34" t="str">
        <f aca="false">IF(P1865="Subestación eléctrica",IFERROR(INDEX(cat_SubN,MATCH(Q1865,cat_SubK,0)),"SIN CATALOGAR"),"ÁREA DE PROCESO")</f>
        <v>ÁREA DE PROCESO</v>
      </c>
      <c r="S1865" s="34" t="str">
        <f aca="false">IF(H1865="","SIN DATO",IFERROR(INDEX(cat_MarcaN,MATCH(H1865,cat_MarcaO,0)),H1865))</f>
        <v>SIN DATO</v>
      </c>
      <c r="T1865" s="34" t="str">
        <f aca="false">IF(I1865="","SIN DATO",IFERROR(INDEX(cat_ModN,MATCH(I1865,cat_ModO,0)),I1865))</f>
        <v>SIN DATO</v>
      </c>
      <c r="U1865" s="34" t="str">
        <f aca="false">IF(I1865="","",IFERROR(INDEX(cat_ModG,MATCH(I1865,cat_ModO,0)),"No"))</f>
        <v/>
      </c>
      <c r="V1865" s="34" t="str">
        <f aca="false">IF(J1865="","SIN DATO",IFERROR(INDEX(cat_FunN,MATCH(J1865,cat_FunO,0)),J1865))</f>
        <v>SIN DATO</v>
      </c>
      <c r="W1865" s="34" t="str">
        <f aca="false">IF(OR(S1865="SIN DATO",T1865="SIN DATO"),"No","Sí")</f>
        <v>No</v>
      </c>
    </row>
    <row r="1866" customFormat="false" ht="15" hidden="false" customHeight="false" outlineLevel="0" collapsed="false">
      <c r="A1866" s="34" t="s">
        <v>6775</v>
      </c>
      <c r="B1866" s="34" t="s">
        <v>6776</v>
      </c>
      <c r="C1866" s="34" t="s">
        <v>6777</v>
      </c>
      <c r="D1866" s="34" t="s">
        <v>6778</v>
      </c>
      <c r="E1866" s="34" t="s">
        <v>182</v>
      </c>
      <c r="F1866" s="34" t="s">
        <v>6754</v>
      </c>
      <c r="G1866" s="34" t="s">
        <v>227</v>
      </c>
      <c r="H1866" s="34"/>
      <c r="I1866" s="34"/>
      <c r="J1866" s="34"/>
      <c r="K1866" s="34"/>
      <c r="L1866" s="34"/>
      <c r="M1866" s="34"/>
      <c r="N1866" s="34" t="str">
        <f aca="false">"Sector "&amp;VALUE(MID(D1866,13,2))</f>
        <v>Sector 8</v>
      </c>
      <c r="O1866" s="34" t="str">
        <f aca="false">IF(Dashboard!$C$5="Ubicación técnica",N1866,"Sector "&amp;VALUE(RIGHT(G1866,2)))</f>
        <v>Sector 8</v>
      </c>
      <c r="P1866" s="34" t="str">
        <f aca="false">IF(MID(D1866,15,3)="SEL","Subestación eléctrica","Área de proceso")</f>
        <v>Área de proceso</v>
      </c>
      <c r="Q1866" s="34" t="str">
        <f aca="false">MID(D1866,13,5)&amp;"|"&amp;MID(D1866,19,5)</f>
        <v>08SUA|SALMD</v>
      </c>
      <c r="R1866" s="34" t="str">
        <f aca="false">IF(P1866="Subestación eléctrica",IFERROR(INDEX(cat_SubN,MATCH(Q1866,cat_SubK,0)),"SIN CATALOGAR"),"ÁREA DE PROCESO")</f>
        <v>ÁREA DE PROCESO</v>
      </c>
      <c r="S1866" s="34" t="str">
        <f aca="false">IF(H1866="","SIN DATO",IFERROR(INDEX(cat_MarcaN,MATCH(H1866,cat_MarcaO,0)),H1866))</f>
        <v>SIN DATO</v>
      </c>
      <c r="T1866" s="34" t="str">
        <f aca="false">IF(I1866="","SIN DATO",IFERROR(INDEX(cat_ModN,MATCH(I1866,cat_ModO,0)),I1866))</f>
        <v>SIN DATO</v>
      </c>
      <c r="U1866" s="34" t="str">
        <f aca="false">IF(I1866="","",IFERROR(INDEX(cat_ModG,MATCH(I1866,cat_ModO,0)),"No"))</f>
        <v/>
      </c>
      <c r="V1866" s="34" t="str">
        <f aca="false">IF(J1866="","SIN DATO",IFERROR(INDEX(cat_FunN,MATCH(J1866,cat_FunO,0)),J1866))</f>
        <v>SIN DATO</v>
      </c>
      <c r="W1866" s="34" t="str">
        <f aca="false">IF(OR(S1866="SIN DATO",T1866="SIN DATO"),"No","Sí")</f>
        <v>No</v>
      </c>
    </row>
    <row r="1867" customFormat="false" ht="15" hidden="false" customHeight="false" outlineLevel="0" collapsed="false">
      <c r="A1867" s="34" t="s">
        <v>6779</v>
      </c>
      <c r="B1867" s="34" t="s">
        <v>6780</v>
      </c>
      <c r="C1867" s="34" t="s">
        <v>6781</v>
      </c>
      <c r="D1867" s="34" t="s">
        <v>6782</v>
      </c>
      <c r="E1867" s="34" t="s">
        <v>182</v>
      </c>
      <c r="F1867" s="34" t="s">
        <v>6754</v>
      </c>
      <c r="G1867" s="34" t="s">
        <v>227</v>
      </c>
      <c r="H1867" s="34"/>
      <c r="I1867" s="34"/>
      <c r="J1867" s="34"/>
      <c r="K1867" s="34"/>
      <c r="L1867" s="34"/>
      <c r="M1867" s="34"/>
      <c r="N1867" s="34" t="str">
        <f aca="false">"Sector "&amp;VALUE(MID(D1867,13,2))</f>
        <v>Sector 8</v>
      </c>
      <c r="O1867" s="34" t="str">
        <f aca="false">IF(Dashboard!$C$5="Ubicación técnica",N1867,"Sector "&amp;VALUE(RIGHT(G1867,2)))</f>
        <v>Sector 8</v>
      </c>
      <c r="P1867" s="34" t="str">
        <f aca="false">IF(MID(D1867,15,3)="SEL","Subestación eléctrica","Área de proceso")</f>
        <v>Área de proceso</v>
      </c>
      <c r="Q1867" s="34" t="str">
        <f aca="false">MID(D1867,13,5)&amp;"|"&amp;MID(D1867,19,5)</f>
        <v>08SUA|SALMD</v>
      </c>
      <c r="R1867" s="34" t="str">
        <f aca="false">IF(P1867="Subestación eléctrica",IFERROR(INDEX(cat_SubN,MATCH(Q1867,cat_SubK,0)),"SIN CATALOGAR"),"ÁREA DE PROCESO")</f>
        <v>ÁREA DE PROCESO</v>
      </c>
      <c r="S1867" s="34" t="str">
        <f aca="false">IF(H1867="","SIN DATO",IFERROR(INDEX(cat_MarcaN,MATCH(H1867,cat_MarcaO,0)),H1867))</f>
        <v>SIN DATO</v>
      </c>
      <c r="T1867" s="34" t="str">
        <f aca="false">IF(I1867="","SIN DATO",IFERROR(INDEX(cat_ModN,MATCH(I1867,cat_ModO,0)),I1867))</f>
        <v>SIN DATO</v>
      </c>
      <c r="U1867" s="34" t="str">
        <f aca="false">IF(I1867="","",IFERROR(INDEX(cat_ModG,MATCH(I1867,cat_ModO,0)),"No"))</f>
        <v/>
      </c>
      <c r="V1867" s="34" t="str">
        <f aca="false">IF(J1867="","SIN DATO",IFERROR(INDEX(cat_FunN,MATCH(J1867,cat_FunO,0)),J1867))</f>
        <v>SIN DATO</v>
      </c>
      <c r="W1867" s="34" t="str">
        <f aca="false">IF(OR(S1867="SIN DATO",T1867="SIN DATO"),"No","Sí")</f>
        <v>No</v>
      </c>
    </row>
    <row r="1868" customFormat="false" ht="15" hidden="false" customHeight="false" outlineLevel="0" collapsed="false">
      <c r="A1868" s="34" t="s">
        <v>6783</v>
      </c>
      <c r="B1868" s="34" t="s">
        <v>6784</v>
      </c>
      <c r="C1868" s="34" t="s">
        <v>6785</v>
      </c>
      <c r="D1868" s="34" t="s">
        <v>6786</v>
      </c>
      <c r="E1868" s="34" t="s">
        <v>182</v>
      </c>
      <c r="F1868" s="34" t="s">
        <v>6754</v>
      </c>
      <c r="G1868" s="34" t="s">
        <v>227</v>
      </c>
      <c r="H1868" s="34"/>
      <c r="I1868" s="34"/>
      <c r="J1868" s="34"/>
      <c r="K1868" s="34"/>
      <c r="L1868" s="34"/>
      <c r="M1868" s="34"/>
      <c r="N1868" s="34" t="str">
        <f aca="false">"Sector "&amp;VALUE(MID(D1868,13,2))</f>
        <v>Sector 8</v>
      </c>
      <c r="O1868" s="34" t="str">
        <f aca="false">IF(Dashboard!$C$5="Ubicación técnica",N1868,"Sector "&amp;VALUE(RIGHT(G1868,2)))</f>
        <v>Sector 8</v>
      </c>
      <c r="P1868" s="34" t="str">
        <f aca="false">IF(MID(D1868,15,3)="SEL","Subestación eléctrica","Área de proceso")</f>
        <v>Área de proceso</v>
      </c>
      <c r="Q1868" s="34" t="str">
        <f aca="false">MID(D1868,13,5)&amp;"|"&amp;MID(D1868,19,5)</f>
        <v>08SUA|SALMD</v>
      </c>
      <c r="R1868" s="34" t="str">
        <f aca="false">IF(P1868="Subestación eléctrica",IFERROR(INDEX(cat_SubN,MATCH(Q1868,cat_SubK,0)),"SIN CATALOGAR"),"ÁREA DE PROCESO")</f>
        <v>ÁREA DE PROCESO</v>
      </c>
      <c r="S1868" s="34" t="str">
        <f aca="false">IF(H1868="","SIN DATO",IFERROR(INDEX(cat_MarcaN,MATCH(H1868,cat_MarcaO,0)),H1868))</f>
        <v>SIN DATO</v>
      </c>
      <c r="T1868" s="34" t="str">
        <f aca="false">IF(I1868="","SIN DATO",IFERROR(INDEX(cat_ModN,MATCH(I1868,cat_ModO,0)),I1868))</f>
        <v>SIN DATO</v>
      </c>
      <c r="U1868" s="34" t="str">
        <f aca="false">IF(I1868="","",IFERROR(INDEX(cat_ModG,MATCH(I1868,cat_ModO,0)),"No"))</f>
        <v/>
      </c>
      <c r="V1868" s="34" t="str">
        <f aca="false">IF(J1868="","SIN DATO",IFERROR(INDEX(cat_FunN,MATCH(J1868,cat_FunO,0)),J1868))</f>
        <v>SIN DATO</v>
      </c>
      <c r="W1868" s="34" t="str">
        <f aca="false">IF(OR(S1868="SIN DATO",T1868="SIN DATO"),"No","Sí")</f>
        <v>No</v>
      </c>
    </row>
    <row r="1869" customFormat="false" ht="15" hidden="false" customHeight="false" outlineLevel="0" collapsed="false">
      <c r="A1869" s="34" t="s">
        <v>6787</v>
      </c>
      <c r="B1869" s="34" t="s">
        <v>6788</v>
      </c>
      <c r="C1869" s="34" t="s">
        <v>6789</v>
      </c>
      <c r="D1869" s="34" t="s">
        <v>6790</v>
      </c>
      <c r="E1869" s="34" t="s">
        <v>182</v>
      </c>
      <c r="F1869" s="34" t="s">
        <v>6754</v>
      </c>
      <c r="G1869" s="34" t="s">
        <v>227</v>
      </c>
      <c r="H1869" s="34"/>
      <c r="I1869" s="34"/>
      <c r="J1869" s="34"/>
      <c r="K1869" s="34"/>
      <c r="L1869" s="34"/>
      <c r="M1869" s="34"/>
      <c r="N1869" s="34" t="str">
        <f aca="false">"Sector "&amp;VALUE(MID(D1869,13,2))</f>
        <v>Sector 8</v>
      </c>
      <c r="O1869" s="34" t="str">
        <f aca="false">IF(Dashboard!$C$5="Ubicación técnica",N1869,"Sector "&amp;VALUE(RIGHT(G1869,2)))</f>
        <v>Sector 8</v>
      </c>
      <c r="P1869" s="34" t="str">
        <f aca="false">IF(MID(D1869,15,3)="SEL","Subestación eléctrica","Área de proceso")</f>
        <v>Área de proceso</v>
      </c>
      <c r="Q1869" s="34" t="str">
        <f aca="false">MID(D1869,13,5)&amp;"|"&amp;MID(D1869,19,5)</f>
        <v>08SUA|SALMD</v>
      </c>
      <c r="R1869" s="34" t="str">
        <f aca="false">IF(P1869="Subestación eléctrica",IFERROR(INDEX(cat_SubN,MATCH(Q1869,cat_SubK,0)),"SIN CATALOGAR"),"ÁREA DE PROCESO")</f>
        <v>ÁREA DE PROCESO</v>
      </c>
      <c r="S1869" s="34" t="str">
        <f aca="false">IF(H1869="","SIN DATO",IFERROR(INDEX(cat_MarcaN,MATCH(H1869,cat_MarcaO,0)),H1869))</f>
        <v>SIN DATO</v>
      </c>
      <c r="T1869" s="34" t="str">
        <f aca="false">IF(I1869="","SIN DATO",IFERROR(INDEX(cat_ModN,MATCH(I1869,cat_ModO,0)),I1869))</f>
        <v>SIN DATO</v>
      </c>
      <c r="U1869" s="34" t="str">
        <f aca="false">IF(I1869="","",IFERROR(INDEX(cat_ModG,MATCH(I1869,cat_ModO,0)),"No"))</f>
        <v/>
      </c>
      <c r="V1869" s="34" t="str">
        <f aca="false">IF(J1869="","SIN DATO",IFERROR(INDEX(cat_FunN,MATCH(J1869,cat_FunO,0)),J1869))</f>
        <v>SIN DATO</v>
      </c>
      <c r="W1869" s="34" t="str">
        <f aca="false">IF(OR(S1869="SIN DATO",T1869="SIN DATO"),"No","Sí")</f>
        <v>No</v>
      </c>
    </row>
    <row r="1870" customFormat="false" ht="15" hidden="false" customHeight="false" outlineLevel="0" collapsed="false">
      <c r="A1870" s="34" t="s">
        <v>6791</v>
      </c>
      <c r="B1870" s="34" t="s">
        <v>6792</v>
      </c>
      <c r="C1870" s="34" t="s">
        <v>6793</v>
      </c>
      <c r="D1870" s="34" t="s">
        <v>6794</v>
      </c>
      <c r="E1870" s="34" t="s">
        <v>182</v>
      </c>
      <c r="F1870" s="34" t="s">
        <v>6754</v>
      </c>
      <c r="G1870" s="34" t="s">
        <v>227</v>
      </c>
      <c r="H1870" s="34"/>
      <c r="I1870" s="34"/>
      <c r="J1870" s="34"/>
      <c r="K1870" s="34"/>
      <c r="L1870" s="34"/>
      <c r="M1870" s="34"/>
      <c r="N1870" s="34" t="str">
        <f aca="false">"Sector "&amp;VALUE(MID(D1870,13,2))</f>
        <v>Sector 8</v>
      </c>
      <c r="O1870" s="34" t="str">
        <f aca="false">IF(Dashboard!$C$5="Ubicación técnica",N1870,"Sector "&amp;VALUE(RIGHT(G1870,2)))</f>
        <v>Sector 8</v>
      </c>
      <c r="P1870" s="34" t="str">
        <f aca="false">IF(MID(D1870,15,3)="SEL","Subestación eléctrica","Área de proceso")</f>
        <v>Área de proceso</v>
      </c>
      <c r="Q1870" s="34" t="str">
        <f aca="false">MID(D1870,13,5)&amp;"|"&amp;MID(D1870,19,5)</f>
        <v>08SUA|SALMD</v>
      </c>
      <c r="R1870" s="34" t="str">
        <f aca="false">IF(P1870="Subestación eléctrica",IFERROR(INDEX(cat_SubN,MATCH(Q1870,cat_SubK,0)),"SIN CATALOGAR"),"ÁREA DE PROCESO")</f>
        <v>ÁREA DE PROCESO</v>
      </c>
      <c r="S1870" s="34" t="str">
        <f aca="false">IF(H1870="","SIN DATO",IFERROR(INDEX(cat_MarcaN,MATCH(H1870,cat_MarcaO,0)),H1870))</f>
        <v>SIN DATO</v>
      </c>
      <c r="T1870" s="34" t="str">
        <f aca="false">IF(I1870="","SIN DATO",IFERROR(INDEX(cat_ModN,MATCH(I1870,cat_ModO,0)),I1870))</f>
        <v>SIN DATO</v>
      </c>
      <c r="U1870" s="34" t="str">
        <f aca="false">IF(I1870="","",IFERROR(INDEX(cat_ModG,MATCH(I1870,cat_ModO,0)),"No"))</f>
        <v/>
      </c>
      <c r="V1870" s="34" t="str">
        <f aca="false">IF(J1870="","SIN DATO",IFERROR(INDEX(cat_FunN,MATCH(J1870,cat_FunO,0)),J1870))</f>
        <v>SIN DATO</v>
      </c>
      <c r="W1870" s="34" t="str">
        <f aca="false">IF(OR(S1870="SIN DATO",T1870="SIN DATO"),"No","Sí")</f>
        <v>No</v>
      </c>
    </row>
    <row r="1871" customFormat="false" ht="15" hidden="false" customHeight="false" outlineLevel="0" collapsed="false">
      <c r="A1871" s="34" t="s">
        <v>6795</v>
      </c>
      <c r="B1871" s="34" t="s">
        <v>6796</v>
      </c>
      <c r="C1871" s="34" t="s">
        <v>6797</v>
      </c>
      <c r="D1871" s="34" t="s">
        <v>6798</v>
      </c>
      <c r="E1871" s="34" t="s">
        <v>136</v>
      </c>
      <c r="F1871" s="34" t="s">
        <v>6799</v>
      </c>
      <c r="G1871" s="34" t="s">
        <v>2983</v>
      </c>
      <c r="H1871" s="34" t="s">
        <v>61</v>
      </c>
      <c r="I1871" s="34" t="s">
        <v>63</v>
      </c>
      <c r="J1871" s="34" t="s">
        <v>681</v>
      </c>
      <c r="K1871" s="34" t="s">
        <v>229</v>
      </c>
      <c r="L1871" s="34" t="s">
        <v>3198</v>
      </c>
      <c r="M1871" s="34" t="s">
        <v>231</v>
      </c>
      <c r="N1871" s="34" t="str">
        <f aca="false">"Sector "&amp;VALUE(MID(D1871,13,2))</f>
        <v>Sector 5</v>
      </c>
      <c r="O1871" s="34" t="str">
        <f aca="false">IF(Dashboard!$C$5="Ubicación técnica",N1871,"Sector "&amp;VALUE(RIGHT(G1871,2)))</f>
        <v>Sector 5</v>
      </c>
      <c r="P1871" s="34" t="str">
        <f aca="false">IF(MID(D1871,15,3)="SEL","Subestación eléctrica","Área de proceso")</f>
        <v>Área de proceso</v>
      </c>
      <c r="Q1871" s="34" t="str">
        <f aca="false">MID(D1871,13,5)&amp;"|"&amp;MID(D1871,19,5)</f>
        <v>05RRA|SRECO</v>
      </c>
      <c r="R1871" s="34" t="str">
        <f aca="false">IF(P1871="Subestación eléctrica",IFERROR(INDEX(cat_SubN,MATCH(Q1871,cat_SubK,0)),"SIN CATALOGAR"),"ÁREA DE PROCESO")</f>
        <v>ÁREA DE PROCESO</v>
      </c>
      <c r="S1871" s="34" t="str">
        <f aca="false">IF(H1871="","SIN DATO",IFERROR(INDEX(cat_MarcaN,MATCH(H1871,cat_MarcaO,0)),H1871))</f>
        <v>GENERAL ELECTRIC</v>
      </c>
      <c r="T1871" s="34" t="str">
        <f aca="false">IF(I1871="","SIN DATO",IFERROR(INDEX(cat_ModN,MATCH(I1871,cat_ModO,0)),I1871))</f>
        <v>MULTILIN</v>
      </c>
      <c r="U1871" s="34" t="str">
        <f aca="false">IF(I1871="","",IFERROR(INDEX(cat_ModG,MATCH(I1871,cat_ModO,0)),"No"))</f>
        <v>Sí</v>
      </c>
      <c r="V1871" s="34" t="str">
        <f aca="false">IF(J1871="","SIN DATO",IFERROR(INDEX(cat_FunN,MATCH(J1871,cat_FunO,0)),J1871))</f>
        <v>Protección</v>
      </c>
      <c r="W1871" s="34" t="str">
        <f aca="false">IF(OR(S1871="SIN DATO",T1871="SIN DATO"),"No","Sí")</f>
        <v>Sí</v>
      </c>
    </row>
    <row r="1872" customFormat="false" ht="15" hidden="false" customHeight="false" outlineLevel="0" collapsed="false">
      <c r="A1872" s="34" t="s">
        <v>6800</v>
      </c>
      <c r="B1872" s="34" t="s">
        <v>6801</v>
      </c>
      <c r="C1872" s="34" t="s">
        <v>6802</v>
      </c>
      <c r="D1872" s="34" t="s">
        <v>6798</v>
      </c>
      <c r="E1872" s="34" t="s">
        <v>136</v>
      </c>
      <c r="F1872" s="34" t="s">
        <v>6799</v>
      </c>
      <c r="G1872" s="34" t="s">
        <v>2983</v>
      </c>
      <c r="H1872" s="34" t="s">
        <v>61</v>
      </c>
      <c r="I1872" s="34" t="s">
        <v>63</v>
      </c>
      <c r="J1872" s="34" t="s">
        <v>681</v>
      </c>
      <c r="K1872" s="34" t="s">
        <v>229</v>
      </c>
      <c r="L1872" s="34" t="s">
        <v>3198</v>
      </c>
      <c r="M1872" s="34" t="s">
        <v>231</v>
      </c>
      <c r="N1872" s="34" t="str">
        <f aca="false">"Sector "&amp;VALUE(MID(D1872,13,2))</f>
        <v>Sector 5</v>
      </c>
      <c r="O1872" s="34" t="str">
        <f aca="false">IF(Dashboard!$C$5="Ubicación técnica",N1872,"Sector "&amp;VALUE(RIGHT(G1872,2)))</f>
        <v>Sector 5</v>
      </c>
      <c r="P1872" s="34" t="str">
        <f aca="false">IF(MID(D1872,15,3)="SEL","Subestación eléctrica","Área de proceso")</f>
        <v>Área de proceso</v>
      </c>
      <c r="Q1872" s="34" t="str">
        <f aca="false">MID(D1872,13,5)&amp;"|"&amp;MID(D1872,19,5)</f>
        <v>05RRA|SRECO</v>
      </c>
      <c r="R1872" s="34" t="str">
        <f aca="false">IF(P1872="Subestación eléctrica",IFERROR(INDEX(cat_SubN,MATCH(Q1872,cat_SubK,0)),"SIN CATALOGAR"),"ÁREA DE PROCESO")</f>
        <v>ÁREA DE PROCESO</v>
      </c>
      <c r="S1872" s="34" t="str">
        <f aca="false">IF(H1872="","SIN DATO",IFERROR(INDEX(cat_MarcaN,MATCH(H1872,cat_MarcaO,0)),H1872))</f>
        <v>GENERAL ELECTRIC</v>
      </c>
      <c r="T1872" s="34" t="str">
        <f aca="false">IF(I1872="","SIN DATO",IFERROR(INDEX(cat_ModN,MATCH(I1872,cat_ModO,0)),I1872))</f>
        <v>MULTILIN</v>
      </c>
      <c r="U1872" s="34" t="str">
        <f aca="false">IF(I1872="","",IFERROR(INDEX(cat_ModG,MATCH(I1872,cat_ModO,0)),"No"))</f>
        <v>Sí</v>
      </c>
      <c r="V1872" s="34" t="str">
        <f aca="false">IF(J1872="","SIN DATO",IFERROR(INDEX(cat_FunN,MATCH(J1872,cat_FunO,0)),J1872))</f>
        <v>Protección</v>
      </c>
      <c r="W1872" s="34" t="str">
        <f aca="false">IF(OR(S1872="SIN DATO",T1872="SIN DATO"),"No","Sí")</f>
        <v>Sí</v>
      </c>
    </row>
    <row r="1873" customFormat="false" ht="15" hidden="false" customHeight="false" outlineLevel="0" collapsed="false">
      <c r="A1873" s="34" t="s">
        <v>6803</v>
      </c>
      <c r="B1873" s="34" t="s">
        <v>6804</v>
      </c>
      <c r="C1873" s="34" t="s">
        <v>6805</v>
      </c>
      <c r="D1873" s="34" t="s">
        <v>6806</v>
      </c>
      <c r="E1873" s="34" t="s">
        <v>136</v>
      </c>
      <c r="F1873" s="34" t="s">
        <v>6799</v>
      </c>
      <c r="G1873" s="34" t="s">
        <v>2983</v>
      </c>
      <c r="H1873" s="34" t="s">
        <v>61</v>
      </c>
      <c r="I1873" s="34" t="s">
        <v>63</v>
      </c>
      <c r="J1873" s="34" t="s">
        <v>681</v>
      </c>
      <c r="K1873" s="34" t="s">
        <v>229</v>
      </c>
      <c r="L1873" s="34" t="s">
        <v>3198</v>
      </c>
      <c r="M1873" s="34" t="s">
        <v>231</v>
      </c>
      <c r="N1873" s="34" t="str">
        <f aca="false">"Sector "&amp;VALUE(MID(D1873,13,2))</f>
        <v>Sector 5</v>
      </c>
      <c r="O1873" s="34" t="str">
        <f aca="false">IF(Dashboard!$C$5="Ubicación técnica",N1873,"Sector "&amp;VALUE(RIGHT(G1873,2)))</f>
        <v>Sector 5</v>
      </c>
      <c r="P1873" s="34" t="str">
        <f aca="false">IF(MID(D1873,15,3)="SEL","Subestación eléctrica","Área de proceso")</f>
        <v>Área de proceso</v>
      </c>
      <c r="Q1873" s="34" t="str">
        <f aca="false">MID(D1873,13,5)&amp;"|"&amp;MID(D1873,19,5)</f>
        <v>05RRA|SRECO</v>
      </c>
      <c r="R1873" s="34" t="str">
        <f aca="false">IF(P1873="Subestación eléctrica",IFERROR(INDEX(cat_SubN,MATCH(Q1873,cat_SubK,0)),"SIN CATALOGAR"),"ÁREA DE PROCESO")</f>
        <v>ÁREA DE PROCESO</v>
      </c>
      <c r="S1873" s="34" t="str">
        <f aca="false">IF(H1873="","SIN DATO",IFERROR(INDEX(cat_MarcaN,MATCH(H1873,cat_MarcaO,0)),H1873))</f>
        <v>GENERAL ELECTRIC</v>
      </c>
      <c r="T1873" s="34" t="str">
        <f aca="false">IF(I1873="","SIN DATO",IFERROR(INDEX(cat_ModN,MATCH(I1873,cat_ModO,0)),I1873))</f>
        <v>MULTILIN</v>
      </c>
      <c r="U1873" s="34" t="str">
        <f aca="false">IF(I1873="","",IFERROR(INDEX(cat_ModG,MATCH(I1873,cat_ModO,0)),"No"))</f>
        <v>Sí</v>
      </c>
      <c r="V1873" s="34" t="str">
        <f aca="false">IF(J1873="","SIN DATO",IFERROR(INDEX(cat_FunN,MATCH(J1873,cat_FunO,0)),J1873))</f>
        <v>Protección</v>
      </c>
      <c r="W1873" s="34" t="str">
        <f aca="false">IF(OR(S1873="SIN DATO",T1873="SIN DATO"),"No","Sí")</f>
        <v>Sí</v>
      </c>
    </row>
    <row r="1874" customFormat="false" ht="15" hidden="false" customHeight="false" outlineLevel="0" collapsed="false">
      <c r="A1874" s="34" t="s">
        <v>6807</v>
      </c>
      <c r="B1874" s="34" t="s">
        <v>6808</v>
      </c>
      <c r="C1874" s="34" t="s">
        <v>6809</v>
      </c>
      <c r="D1874" s="34" t="s">
        <v>6806</v>
      </c>
      <c r="E1874" s="34" t="s">
        <v>136</v>
      </c>
      <c r="F1874" s="34" t="s">
        <v>6799</v>
      </c>
      <c r="G1874" s="34" t="s">
        <v>2983</v>
      </c>
      <c r="H1874" s="34" t="s">
        <v>61</v>
      </c>
      <c r="I1874" s="34" t="s">
        <v>63</v>
      </c>
      <c r="J1874" s="34" t="s">
        <v>681</v>
      </c>
      <c r="K1874" s="34" t="s">
        <v>229</v>
      </c>
      <c r="L1874" s="34" t="s">
        <v>3198</v>
      </c>
      <c r="M1874" s="34" t="s">
        <v>231</v>
      </c>
      <c r="N1874" s="34" t="str">
        <f aca="false">"Sector "&amp;VALUE(MID(D1874,13,2))</f>
        <v>Sector 5</v>
      </c>
      <c r="O1874" s="34" t="str">
        <f aca="false">IF(Dashboard!$C$5="Ubicación técnica",N1874,"Sector "&amp;VALUE(RIGHT(G1874,2)))</f>
        <v>Sector 5</v>
      </c>
      <c r="P1874" s="34" t="str">
        <f aca="false">IF(MID(D1874,15,3)="SEL","Subestación eléctrica","Área de proceso")</f>
        <v>Área de proceso</v>
      </c>
      <c r="Q1874" s="34" t="str">
        <f aca="false">MID(D1874,13,5)&amp;"|"&amp;MID(D1874,19,5)</f>
        <v>05RRA|SRECO</v>
      </c>
      <c r="R1874" s="34" t="str">
        <f aca="false">IF(P1874="Subestación eléctrica",IFERROR(INDEX(cat_SubN,MATCH(Q1874,cat_SubK,0)),"SIN CATALOGAR"),"ÁREA DE PROCESO")</f>
        <v>ÁREA DE PROCESO</v>
      </c>
      <c r="S1874" s="34" t="str">
        <f aca="false">IF(H1874="","SIN DATO",IFERROR(INDEX(cat_MarcaN,MATCH(H1874,cat_MarcaO,0)),H1874))</f>
        <v>GENERAL ELECTRIC</v>
      </c>
      <c r="T1874" s="34" t="str">
        <f aca="false">IF(I1874="","SIN DATO",IFERROR(INDEX(cat_ModN,MATCH(I1874,cat_ModO,0)),I1874))</f>
        <v>MULTILIN</v>
      </c>
      <c r="U1874" s="34" t="str">
        <f aca="false">IF(I1874="","",IFERROR(INDEX(cat_ModG,MATCH(I1874,cat_ModO,0)),"No"))</f>
        <v>Sí</v>
      </c>
      <c r="V1874" s="34" t="str">
        <f aca="false">IF(J1874="","SIN DATO",IFERROR(INDEX(cat_FunN,MATCH(J1874,cat_FunO,0)),J1874))</f>
        <v>Protección</v>
      </c>
      <c r="W1874" s="34" t="str">
        <f aca="false">IF(OR(S1874="SIN DATO",T1874="SIN DATO"),"No","Sí")</f>
        <v>Sí</v>
      </c>
    </row>
    <row r="1875" customFormat="false" ht="15" hidden="false" customHeight="false" outlineLevel="0" collapsed="false">
      <c r="A1875" s="34" t="s">
        <v>6810</v>
      </c>
      <c r="B1875" s="34" t="s">
        <v>6811</v>
      </c>
      <c r="C1875" s="34" t="s">
        <v>6812</v>
      </c>
      <c r="D1875" s="34" t="s">
        <v>6813</v>
      </c>
      <c r="E1875" s="34" t="s">
        <v>136</v>
      </c>
      <c r="F1875" s="34" t="s">
        <v>6799</v>
      </c>
      <c r="G1875" s="34" t="s">
        <v>2983</v>
      </c>
      <c r="H1875" s="34" t="s">
        <v>61</v>
      </c>
      <c r="I1875" s="34" t="s">
        <v>63</v>
      </c>
      <c r="J1875" s="34" t="s">
        <v>681</v>
      </c>
      <c r="K1875" s="34" t="s">
        <v>229</v>
      </c>
      <c r="L1875" s="34" t="s">
        <v>3198</v>
      </c>
      <c r="M1875" s="34" t="s">
        <v>231</v>
      </c>
      <c r="N1875" s="34" t="str">
        <f aca="false">"Sector "&amp;VALUE(MID(D1875,13,2))</f>
        <v>Sector 5</v>
      </c>
      <c r="O1875" s="34" t="str">
        <f aca="false">IF(Dashboard!$C$5="Ubicación técnica",N1875,"Sector "&amp;VALUE(RIGHT(G1875,2)))</f>
        <v>Sector 5</v>
      </c>
      <c r="P1875" s="34" t="str">
        <f aca="false">IF(MID(D1875,15,3)="SEL","Subestación eléctrica","Área de proceso")</f>
        <v>Área de proceso</v>
      </c>
      <c r="Q1875" s="34" t="str">
        <f aca="false">MID(D1875,13,5)&amp;"|"&amp;MID(D1875,19,5)</f>
        <v>05RRA|SCOMP</v>
      </c>
      <c r="R1875" s="34" t="str">
        <f aca="false">IF(P1875="Subestación eléctrica",IFERROR(INDEX(cat_SubN,MATCH(Q1875,cat_SubK,0)),"SIN CATALOGAR"),"ÁREA DE PROCESO")</f>
        <v>ÁREA DE PROCESO</v>
      </c>
      <c r="S1875" s="34" t="str">
        <f aca="false">IF(H1875="","SIN DATO",IFERROR(INDEX(cat_MarcaN,MATCH(H1875,cat_MarcaO,0)),H1875))</f>
        <v>GENERAL ELECTRIC</v>
      </c>
      <c r="T1875" s="34" t="str">
        <f aca="false">IF(I1875="","SIN DATO",IFERROR(INDEX(cat_ModN,MATCH(I1875,cat_ModO,0)),I1875))</f>
        <v>MULTILIN</v>
      </c>
      <c r="U1875" s="34" t="str">
        <f aca="false">IF(I1875="","",IFERROR(INDEX(cat_ModG,MATCH(I1875,cat_ModO,0)),"No"))</f>
        <v>Sí</v>
      </c>
      <c r="V1875" s="34" t="str">
        <f aca="false">IF(J1875="","SIN DATO",IFERROR(INDEX(cat_FunN,MATCH(J1875,cat_FunO,0)),J1875))</f>
        <v>Protección</v>
      </c>
      <c r="W1875" s="34" t="str">
        <f aca="false">IF(OR(S1875="SIN DATO",T1875="SIN DATO"),"No","Sí")</f>
        <v>Sí</v>
      </c>
    </row>
    <row r="1876" customFormat="false" ht="15" hidden="false" customHeight="false" outlineLevel="0" collapsed="false">
      <c r="A1876" s="34" t="s">
        <v>6814</v>
      </c>
      <c r="B1876" s="34" t="s">
        <v>6815</v>
      </c>
      <c r="C1876" s="34" t="s">
        <v>6816</v>
      </c>
      <c r="D1876" s="34" t="s">
        <v>6813</v>
      </c>
      <c r="E1876" s="34" t="s">
        <v>136</v>
      </c>
      <c r="F1876" s="34" t="s">
        <v>6799</v>
      </c>
      <c r="G1876" s="34" t="s">
        <v>2983</v>
      </c>
      <c r="H1876" s="34" t="s">
        <v>61</v>
      </c>
      <c r="I1876" s="34" t="s">
        <v>63</v>
      </c>
      <c r="J1876" s="34" t="s">
        <v>681</v>
      </c>
      <c r="K1876" s="34" t="s">
        <v>229</v>
      </c>
      <c r="L1876" s="34" t="s">
        <v>3198</v>
      </c>
      <c r="M1876" s="34" t="s">
        <v>231</v>
      </c>
      <c r="N1876" s="34" t="str">
        <f aca="false">"Sector "&amp;VALUE(MID(D1876,13,2))</f>
        <v>Sector 5</v>
      </c>
      <c r="O1876" s="34" t="str">
        <f aca="false">IF(Dashboard!$C$5="Ubicación técnica",N1876,"Sector "&amp;VALUE(RIGHT(G1876,2)))</f>
        <v>Sector 5</v>
      </c>
      <c r="P1876" s="34" t="str">
        <f aca="false">IF(MID(D1876,15,3)="SEL","Subestación eléctrica","Área de proceso")</f>
        <v>Área de proceso</v>
      </c>
      <c r="Q1876" s="34" t="str">
        <f aca="false">MID(D1876,13,5)&amp;"|"&amp;MID(D1876,19,5)</f>
        <v>05RRA|SCOMP</v>
      </c>
      <c r="R1876" s="34" t="str">
        <f aca="false">IF(P1876="Subestación eléctrica",IFERROR(INDEX(cat_SubN,MATCH(Q1876,cat_SubK,0)),"SIN CATALOGAR"),"ÁREA DE PROCESO")</f>
        <v>ÁREA DE PROCESO</v>
      </c>
      <c r="S1876" s="34" t="str">
        <f aca="false">IF(H1876="","SIN DATO",IFERROR(INDEX(cat_MarcaN,MATCH(H1876,cat_MarcaO,0)),H1876))</f>
        <v>GENERAL ELECTRIC</v>
      </c>
      <c r="T1876" s="34" t="str">
        <f aca="false">IF(I1876="","SIN DATO",IFERROR(INDEX(cat_ModN,MATCH(I1876,cat_ModO,0)),I1876))</f>
        <v>MULTILIN</v>
      </c>
      <c r="U1876" s="34" t="str">
        <f aca="false">IF(I1876="","",IFERROR(INDEX(cat_ModG,MATCH(I1876,cat_ModO,0)),"No"))</f>
        <v>Sí</v>
      </c>
      <c r="V1876" s="34" t="str">
        <f aca="false">IF(J1876="","SIN DATO",IFERROR(INDEX(cat_FunN,MATCH(J1876,cat_FunO,0)),J1876))</f>
        <v>Protección</v>
      </c>
      <c r="W1876" s="34" t="str">
        <f aca="false">IF(OR(S1876="SIN DATO",T1876="SIN DATO"),"No","Sí")</f>
        <v>Sí</v>
      </c>
    </row>
    <row r="1877" customFormat="false" ht="15" hidden="false" customHeight="false" outlineLevel="0" collapsed="false">
      <c r="A1877" s="34" t="s">
        <v>6817</v>
      </c>
      <c r="B1877" s="34" t="s">
        <v>6818</v>
      </c>
      <c r="C1877" s="34" t="s">
        <v>6819</v>
      </c>
      <c r="D1877" s="34" t="s">
        <v>6813</v>
      </c>
      <c r="E1877" s="34" t="s">
        <v>136</v>
      </c>
      <c r="F1877" s="34" t="s">
        <v>6799</v>
      </c>
      <c r="G1877" s="34" t="s">
        <v>2983</v>
      </c>
      <c r="H1877" s="34" t="s">
        <v>61</v>
      </c>
      <c r="I1877" s="34" t="s">
        <v>63</v>
      </c>
      <c r="J1877" s="34" t="s">
        <v>681</v>
      </c>
      <c r="K1877" s="34" t="s">
        <v>229</v>
      </c>
      <c r="L1877" s="34" t="s">
        <v>3198</v>
      </c>
      <c r="M1877" s="34" t="s">
        <v>231</v>
      </c>
      <c r="N1877" s="34" t="str">
        <f aca="false">"Sector "&amp;VALUE(MID(D1877,13,2))</f>
        <v>Sector 5</v>
      </c>
      <c r="O1877" s="34" t="str">
        <f aca="false">IF(Dashboard!$C$5="Ubicación técnica",N1877,"Sector "&amp;VALUE(RIGHT(G1877,2)))</f>
        <v>Sector 5</v>
      </c>
      <c r="P1877" s="34" t="str">
        <f aca="false">IF(MID(D1877,15,3)="SEL","Subestación eléctrica","Área de proceso")</f>
        <v>Área de proceso</v>
      </c>
      <c r="Q1877" s="34" t="str">
        <f aca="false">MID(D1877,13,5)&amp;"|"&amp;MID(D1877,19,5)</f>
        <v>05RRA|SCOMP</v>
      </c>
      <c r="R1877" s="34" t="str">
        <f aca="false">IF(P1877="Subestación eléctrica",IFERROR(INDEX(cat_SubN,MATCH(Q1877,cat_SubK,0)),"SIN CATALOGAR"),"ÁREA DE PROCESO")</f>
        <v>ÁREA DE PROCESO</v>
      </c>
      <c r="S1877" s="34" t="str">
        <f aca="false">IF(H1877="","SIN DATO",IFERROR(INDEX(cat_MarcaN,MATCH(H1877,cat_MarcaO,0)),H1877))</f>
        <v>GENERAL ELECTRIC</v>
      </c>
      <c r="T1877" s="34" t="str">
        <f aca="false">IF(I1877="","SIN DATO",IFERROR(INDEX(cat_ModN,MATCH(I1877,cat_ModO,0)),I1877))</f>
        <v>MULTILIN</v>
      </c>
      <c r="U1877" s="34" t="str">
        <f aca="false">IF(I1877="","",IFERROR(INDEX(cat_ModG,MATCH(I1877,cat_ModO,0)),"No"))</f>
        <v>Sí</v>
      </c>
      <c r="V1877" s="34" t="str">
        <f aca="false">IF(J1877="","SIN DATO",IFERROR(INDEX(cat_FunN,MATCH(J1877,cat_FunO,0)),J1877))</f>
        <v>Protección</v>
      </c>
      <c r="W1877" s="34" t="str">
        <f aca="false">IF(OR(S1877="SIN DATO",T1877="SIN DATO"),"No","Sí")</f>
        <v>Sí</v>
      </c>
    </row>
    <row r="1878" customFormat="false" ht="15" hidden="false" customHeight="false" outlineLevel="0" collapsed="false">
      <c r="A1878" s="34" t="s">
        <v>6820</v>
      </c>
      <c r="B1878" s="34" t="s">
        <v>6821</v>
      </c>
      <c r="C1878" s="34" t="s">
        <v>6822</v>
      </c>
      <c r="D1878" s="34" t="s">
        <v>6823</v>
      </c>
      <c r="E1878" s="34" t="s">
        <v>174</v>
      </c>
      <c r="F1878" s="34" t="s">
        <v>6824</v>
      </c>
      <c r="G1878" s="34" t="s">
        <v>227</v>
      </c>
      <c r="H1878" s="34" t="s">
        <v>73</v>
      </c>
      <c r="I1878" s="34" t="s">
        <v>76</v>
      </c>
      <c r="J1878" s="34" t="s">
        <v>228</v>
      </c>
      <c r="K1878" s="34" t="s">
        <v>229</v>
      </c>
      <c r="L1878" s="34" t="s">
        <v>230</v>
      </c>
      <c r="M1878" s="34" t="s">
        <v>344</v>
      </c>
      <c r="N1878" s="34" t="str">
        <f aca="false">"Sector "&amp;VALUE(MID(D1878,13,2))</f>
        <v>Sector 8</v>
      </c>
      <c r="O1878" s="34" t="str">
        <f aca="false">IF(Dashboard!$C$5="Ubicación técnica",N1878,"Sector "&amp;VALUE(RIGHT(G1878,2)))</f>
        <v>Sector 8</v>
      </c>
      <c r="P1878" s="34" t="str">
        <f aca="false">IF(MID(D1878,15,3)="SEL","Subestación eléctrica","Área de proceso")</f>
        <v>Área de proceso</v>
      </c>
      <c r="Q1878" s="34" t="str">
        <f aca="false">MID(D1878,13,5)&amp;"|"&amp;MID(D1878,19,5)</f>
        <v>08SCI|CBSCI</v>
      </c>
      <c r="R1878" s="34" t="str">
        <f aca="false">IF(P1878="Subestación eléctrica",IFERROR(INDEX(cat_SubN,MATCH(Q1878,cat_SubK,0)),"SIN CATALOGAR"),"ÁREA DE PROCESO")</f>
        <v>ÁREA DE PROCESO</v>
      </c>
      <c r="S1878" s="34" t="str">
        <f aca="false">IF(H1878="","SIN DATO",IFERROR(INDEX(cat_MarcaN,MATCH(H1878,cat_MarcaO,0)),H1878))</f>
        <v>SIEMENS</v>
      </c>
      <c r="T1878" s="34" t="str">
        <f aca="false">IF(I1878="","SIN DATO",IFERROR(INDEX(cat_ModN,MATCH(I1878,cat_ModO,0)),I1878))</f>
        <v>7SR5111</v>
      </c>
      <c r="U1878" s="34" t="str">
        <f aca="false">IF(I1878="","",IFERROR(INDEX(cat_ModG,MATCH(I1878,cat_ModO,0)),"No"))</f>
        <v>No</v>
      </c>
      <c r="V1878" s="34" t="str">
        <f aca="false">IF(J1878="","SIN DATO",IFERROR(INDEX(cat_FunN,MATCH(J1878,cat_FunO,0)),J1878))</f>
        <v>Protección y medición</v>
      </c>
      <c r="W1878" s="34" t="str">
        <f aca="false">IF(OR(S1878="SIN DATO",T1878="SIN DATO"),"No","Sí")</f>
        <v>Sí</v>
      </c>
    </row>
    <row r="1879" customFormat="false" ht="15" hidden="false" customHeight="false" outlineLevel="0" collapsed="false">
      <c r="A1879" s="34" t="s">
        <v>6825</v>
      </c>
      <c r="B1879" s="34" t="s">
        <v>6826</v>
      </c>
      <c r="C1879" s="34" t="s">
        <v>6827</v>
      </c>
      <c r="D1879" s="34" t="s">
        <v>6828</v>
      </c>
      <c r="E1879" s="34" t="s">
        <v>174</v>
      </c>
      <c r="F1879" s="34" t="s">
        <v>6824</v>
      </c>
      <c r="G1879" s="34" t="s">
        <v>227</v>
      </c>
      <c r="H1879" s="34" t="s">
        <v>73</v>
      </c>
      <c r="I1879" s="34" t="s">
        <v>76</v>
      </c>
      <c r="J1879" s="34" t="s">
        <v>228</v>
      </c>
      <c r="K1879" s="34" t="s">
        <v>229</v>
      </c>
      <c r="L1879" s="34" t="s">
        <v>230</v>
      </c>
      <c r="M1879" s="34" t="s">
        <v>344</v>
      </c>
      <c r="N1879" s="34" t="str">
        <f aca="false">"Sector "&amp;VALUE(MID(D1879,13,2))</f>
        <v>Sector 8</v>
      </c>
      <c r="O1879" s="34" t="str">
        <f aca="false">IF(Dashboard!$C$5="Ubicación técnica",N1879,"Sector "&amp;VALUE(RIGHT(G1879,2)))</f>
        <v>Sector 8</v>
      </c>
      <c r="P1879" s="34" t="str">
        <f aca="false">IF(MID(D1879,15,3)="SEL","Subestación eléctrica","Área de proceso")</f>
        <v>Área de proceso</v>
      </c>
      <c r="Q1879" s="34" t="str">
        <f aca="false">MID(D1879,13,5)&amp;"|"&amp;MID(D1879,19,5)</f>
        <v>08SCI|CBSCI</v>
      </c>
      <c r="R1879" s="34" t="str">
        <f aca="false">IF(P1879="Subestación eléctrica",IFERROR(INDEX(cat_SubN,MATCH(Q1879,cat_SubK,0)),"SIN CATALOGAR"),"ÁREA DE PROCESO")</f>
        <v>ÁREA DE PROCESO</v>
      </c>
      <c r="S1879" s="34" t="str">
        <f aca="false">IF(H1879="","SIN DATO",IFERROR(INDEX(cat_MarcaN,MATCH(H1879,cat_MarcaO,0)),H1879))</f>
        <v>SIEMENS</v>
      </c>
      <c r="T1879" s="34" t="str">
        <f aca="false">IF(I1879="","SIN DATO",IFERROR(INDEX(cat_ModN,MATCH(I1879,cat_ModO,0)),I1879))</f>
        <v>7SR5111</v>
      </c>
      <c r="U1879" s="34" t="str">
        <f aca="false">IF(I1879="","",IFERROR(INDEX(cat_ModG,MATCH(I1879,cat_ModO,0)),"No"))</f>
        <v>No</v>
      </c>
      <c r="V1879" s="34" t="str">
        <f aca="false">IF(J1879="","SIN DATO",IFERROR(INDEX(cat_FunN,MATCH(J1879,cat_FunO,0)),J1879))</f>
        <v>Protección y medición</v>
      </c>
      <c r="W1879" s="34" t="str">
        <f aca="false">IF(OR(S1879="SIN DATO",T1879="SIN DATO"),"No","Sí")</f>
        <v>Sí</v>
      </c>
    </row>
    <row r="1880" customFormat="false" ht="15" hidden="false" customHeight="false" outlineLevel="0" collapsed="false">
      <c r="A1880" s="34" t="s">
        <v>6829</v>
      </c>
      <c r="B1880" s="34" t="s">
        <v>6830</v>
      </c>
      <c r="C1880" s="34" t="s">
        <v>6831</v>
      </c>
      <c r="D1880" s="34" t="s">
        <v>6832</v>
      </c>
      <c r="E1880" s="34" t="s">
        <v>174</v>
      </c>
      <c r="F1880" s="34" t="s">
        <v>6824</v>
      </c>
      <c r="G1880" s="34" t="s">
        <v>227</v>
      </c>
      <c r="H1880" s="34" t="s">
        <v>73</v>
      </c>
      <c r="I1880" s="34" t="s">
        <v>76</v>
      </c>
      <c r="J1880" s="34" t="s">
        <v>228</v>
      </c>
      <c r="K1880" s="34" t="s">
        <v>229</v>
      </c>
      <c r="L1880" s="34" t="s">
        <v>230</v>
      </c>
      <c r="M1880" s="34" t="s">
        <v>344</v>
      </c>
      <c r="N1880" s="34" t="str">
        <f aca="false">"Sector "&amp;VALUE(MID(D1880,13,2))</f>
        <v>Sector 8</v>
      </c>
      <c r="O1880" s="34" t="str">
        <f aca="false">IF(Dashboard!$C$5="Ubicación técnica",N1880,"Sector "&amp;VALUE(RIGHT(G1880,2)))</f>
        <v>Sector 8</v>
      </c>
      <c r="P1880" s="34" t="str">
        <f aca="false">IF(MID(D1880,15,3)="SEL","Subestación eléctrica","Área de proceso")</f>
        <v>Área de proceso</v>
      </c>
      <c r="Q1880" s="34" t="str">
        <f aca="false">MID(D1880,13,5)&amp;"|"&amp;MID(D1880,19,5)</f>
        <v>08SCI|CBSCI</v>
      </c>
      <c r="R1880" s="34" t="str">
        <f aca="false">IF(P1880="Subestación eléctrica",IFERROR(INDEX(cat_SubN,MATCH(Q1880,cat_SubK,0)),"SIN CATALOGAR"),"ÁREA DE PROCESO")</f>
        <v>ÁREA DE PROCESO</v>
      </c>
      <c r="S1880" s="34" t="str">
        <f aca="false">IF(H1880="","SIN DATO",IFERROR(INDEX(cat_MarcaN,MATCH(H1880,cat_MarcaO,0)),H1880))</f>
        <v>SIEMENS</v>
      </c>
      <c r="T1880" s="34" t="str">
        <f aca="false">IF(I1880="","SIN DATO",IFERROR(INDEX(cat_ModN,MATCH(I1880,cat_ModO,0)),I1880))</f>
        <v>7SR5111</v>
      </c>
      <c r="U1880" s="34" t="str">
        <f aca="false">IF(I1880="","",IFERROR(INDEX(cat_ModG,MATCH(I1880,cat_ModO,0)),"No"))</f>
        <v>No</v>
      </c>
      <c r="V1880" s="34" t="str">
        <f aca="false">IF(J1880="","SIN DATO",IFERROR(INDEX(cat_FunN,MATCH(J1880,cat_FunO,0)),J1880))</f>
        <v>Protección y medición</v>
      </c>
      <c r="W1880" s="34" t="str">
        <f aca="false">IF(OR(S1880="SIN DATO",T1880="SIN DATO"),"No","Sí")</f>
        <v>Sí</v>
      </c>
    </row>
    <row r="1881" customFormat="false" ht="15" hidden="false" customHeight="false" outlineLevel="0" collapsed="false">
      <c r="A1881" s="34" t="s">
        <v>6833</v>
      </c>
      <c r="B1881" s="34" t="s">
        <v>6834</v>
      </c>
      <c r="C1881" s="34" t="s">
        <v>6835</v>
      </c>
      <c r="D1881" s="34" t="s">
        <v>6836</v>
      </c>
      <c r="E1881" s="34" t="s">
        <v>174</v>
      </c>
      <c r="F1881" s="34" t="s">
        <v>6824</v>
      </c>
      <c r="G1881" s="34" t="s">
        <v>227</v>
      </c>
      <c r="H1881" s="34" t="s">
        <v>73</v>
      </c>
      <c r="I1881" s="34" t="s">
        <v>76</v>
      </c>
      <c r="J1881" s="34" t="s">
        <v>228</v>
      </c>
      <c r="K1881" s="34" t="s">
        <v>229</v>
      </c>
      <c r="L1881" s="34" t="s">
        <v>230</v>
      </c>
      <c r="M1881" s="34" t="s">
        <v>344</v>
      </c>
      <c r="N1881" s="34" t="str">
        <f aca="false">"Sector "&amp;VALUE(MID(D1881,13,2))</f>
        <v>Sector 8</v>
      </c>
      <c r="O1881" s="34" t="str">
        <f aca="false">IF(Dashboard!$C$5="Ubicación técnica",N1881,"Sector "&amp;VALUE(RIGHT(G1881,2)))</f>
        <v>Sector 8</v>
      </c>
      <c r="P1881" s="34" t="str">
        <f aca="false">IF(MID(D1881,15,3)="SEL","Subestación eléctrica","Área de proceso")</f>
        <v>Área de proceso</v>
      </c>
      <c r="Q1881" s="34" t="str">
        <f aca="false">MID(D1881,13,5)&amp;"|"&amp;MID(D1881,19,5)</f>
        <v>08SCI|CBSCI</v>
      </c>
      <c r="R1881" s="34" t="str">
        <f aca="false">IF(P1881="Subestación eléctrica",IFERROR(INDEX(cat_SubN,MATCH(Q1881,cat_SubK,0)),"SIN CATALOGAR"),"ÁREA DE PROCESO")</f>
        <v>ÁREA DE PROCESO</v>
      </c>
      <c r="S1881" s="34" t="str">
        <f aca="false">IF(H1881="","SIN DATO",IFERROR(INDEX(cat_MarcaN,MATCH(H1881,cat_MarcaO,0)),H1881))</f>
        <v>SIEMENS</v>
      </c>
      <c r="T1881" s="34" t="str">
        <f aca="false">IF(I1881="","SIN DATO",IFERROR(INDEX(cat_ModN,MATCH(I1881,cat_ModO,0)),I1881))</f>
        <v>7SR5111</v>
      </c>
      <c r="U1881" s="34" t="str">
        <f aca="false">IF(I1881="","",IFERROR(INDEX(cat_ModG,MATCH(I1881,cat_ModO,0)),"No"))</f>
        <v>No</v>
      </c>
      <c r="V1881" s="34" t="str">
        <f aca="false">IF(J1881="","SIN DATO",IFERROR(INDEX(cat_FunN,MATCH(J1881,cat_FunO,0)),J1881))</f>
        <v>Protección y medición</v>
      </c>
      <c r="W1881" s="34" t="str">
        <f aca="false">IF(OR(S1881="SIN DATO",T1881="SIN DATO"),"No","Sí")</f>
        <v>Sí</v>
      </c>
    </row>
    <row r="1882" customFormat="false" ht="15" hidden="false" customHeight="false" outlineLevel="0" collapsed="false">
      <c r="A1882" s="34" t="s">
        <v>6837</v>
      </c>
      <c r="B1882" s="34" t="s">
        <v>6838</v>
      </c>
      <c r="C1882" s="34" t="s">
        <v>6839</v>
      </c>
      <c r="D1882" s="34" t="s">
        <v>6840</v>
      </c>
      <c r="E1882" s="34" t="s">
        <v>174</v>
      </c>
      <c r="F1882" s="34" t="s">
        <v>6824</v>
      </c>
      <c r="G1882" s="34" t="s">
        <v>227</v>
      </c>
      <c r="H1882" s="34" t="s">
        <v>73</v>
      </c>
      <c r="I1882" s="34" t="s">
        <v>76</v>
      </c>
      <c r="J1882" s="34" t="s">
        <v>228</v>
      </c>
      <c r="K1882" s="34" t="s">
        <v>229</v>
      </c>
      <c r="L1882" s="34" t="s">
        <v>230</v>
      </c>
      <c r="M1882" s="34" t="s">
        <v>344</v>
      </c>
      <c r="N1882" s="34" t="str">
        <f aca="false">"Sector "&amp;VALUE(MID(D1882,13,2))</f>
        <v>Sector 8</v>
      </c>
      <c r="O1882" s="34" t="str">
        <f aca="false">IF(Dashboard!$C$5="Ubicación técnica",N1882,"Sector "&amp;VALUE(RIGHT(G1882,2)))</f>
        <v>Sector 8</v>
      </c>
      <c r="P1882" s="34" t="str">
        <f aca="false">IF(MID(D1882,15,3)="SEL","Subestación eléctrica","Área de proceso")</f>
        <v>Área de proceso</v>
      </c>
      <c r="Q1882" s="34" t="str">
        <f aca="false">MID(D1882,13,5)&amp;"|"&amp;MID(D1882,19,5)</f>
        <v>08SCI|CBSCI</v>
      </c>
      <c r="R1882" s="34" t="str">
        <f aca="false">IF(P1882="Subestación eléctrica",IFERROR(INDEX(cat_SubN,MATCH(Q1882,cat_SubK,0)),"SIN CATALOGAR"),"ÁREA DE PROCESO")</f>
        <v>ÁREA DE PROCESO</v>
      </c>
      <c r="S1882" s="34" t="str">
        <f aca="false">IF(H1882="","SIN DATO",IFERROR(INDEX(cat_MarcaN,MATCH(H1882,cat_MarcaO,0)),H1882))</f>
        <v>SIEMENS</v>
      </c>
      <c r="T1882" s="34" t="str">
        <f aca="false">IF(I1882="","SIN DATO",IFERROR(INDEX(cat_ModN,MATCH(I1882,cat_ModO,0)),I1882))</f>
        <v>7SR5111</v>
      </c>
      <c r="U1882" s="34" t="str">
        <f aca="false">IF(I1882="","",IFERROR(INDEX(cat_ModG,MATCH(I1882,cat_ModO,0)),"No"))</f>
        <v>No</v>
      </c>
      <c r="V1882" s="34" t="str">
        <f aca="false">IF(J1882="","SIN DATO",IFERROR(INDEX(cat_FunN,MATCH(J1882,cat_FunO,0)),J1882))</f>
        <v>Protección y medición</v>
      </c>
      <c r="W1882" s="34" t="str">
        <f aca="false">IF(OR(S1882="SIN DATO",T1882="SIN DATO"),"No","Sí")</f>
        <v>Sí</v>
      </c>
    </row>
    <row r="1883" customFormat="false" ht="15" hidden="false" customHeight="false" outlineLevel="0" collapsed="false">
      <c r="A1883" s="34" t="s">
        <v>6841</v>
      </c>
      <c r="B1883" s="34" t="s">
        <v>6842</v>
      </c>
      <c r="C1883" s="34" t="s">
        <v>6843</v>
      </c>
      <c r="D1883" s="34" t="s">
        <v>6844</v>
      </c>
      <c r="E1883" s="34" t="s">
        <v>6845</v>
      </c>
      <c r="F1883" s="34" t="s">
        <v>6846</v>
      </c>
      <c r="G1883" s="34" t="s">
        <v>300</v>
      </c>
      <c r="H1883" s="34" t="s">
        <v>34</v>
      </c>
      <c r="I1883" s="34" t="s">
        <v>53</v>
      </c>
      <c r="J1883" s="34" t="s">
        <v>260</v>
      </c>
      <c r="K1883" s="34" t="s">
        <v>236</v>
      </c>
      <c r="L1883" s="34" t="s">
        <v>230</v>
      </c>
      <c r="M1883" s="34" t="s">
        <v>262</v>
      </c>
      <c r="N1883" s="34" t="str">
        <f aca="false">"Sector "&amp;VALUE(MID(D1883,13,2))</f>
        <v>Sector 6</v>
      </c>
      <c r="O1883" s="34" t="str">
        <f aca="false">IF(Dashboard!$C$5="Ubicación técnica",N1883,"Sector "&amp;VALUE(RIGHT(G1883,2)))</f>
        <v>Sector 6</v>
      </c>
      <c r="P1883" s="34" t="str">
        <f aca="false">IF(MID(D1883,15,3)="SEL","Subestación eléctrica","Área de proceso")</f>
        <v>Área de proceso</v>
      </c>
      <c r="Q1883" s="34" t="str">
        <f aca="false">MID(D1883,13,5)&amp;"|"&amp;MID(D1883,19,5)</f>
        <v>06TDA|SCARG</v>
      </c>
      <c r="R1883" s="34" t="str">
        <f aca="false">IF(P1883="Subestación eléctrica",IFERROR(INDEX(cat_SubN,MATCH(Q1883,cat_SubK,0)),"SIN CATALOGAR"),"ÁREA DE PROCESO")</f>
        <v>ÁREA DE PROCESO</v>
      </c>
      <c r="S1883" s="34" t="str">
        <f aca="false">IF(H1883="","SIN DATO",IFERROR(INDEX(cat_MarcaN,MATCH(H1883,cat_MarcaO,0)),H1883))</f>
        <v>ABB</v>
      </c>
      <c r="T1883" s="34" t="str">
        <f aca="false">IF(I1883="","SIN DATO",IFERROR(INDEX(cat_ModN,MATCH(I1883,cat_ModO,0)),I1883))</f>
        <v>REM615_1G</v>
      </c>
      <c r="U1883" s="34" t="str">
        <f aca="false">IF(I1883="","",IFERROR(INDEX(cat_ModG,MATCH(I1883,cat_ModO,0)),"No"))</f>
        <v>No</v>
      </c>
      <c r="V1883" s="34" t="str">
        <f aca="false">IF(J1883="","SIN DATO",IFERROR(INDEX(cat_FunN,MATCH(J1883,cat_FunO,0)),J1883))</f>
        <v>Protección y medición</v>
      </c>
      <c r="W1883" s="34" t="str">
        <f aca="false">IF(OR(S1883="SIN DATO",T1883="SIN DATO"),"No","Sí")</f>
        <v>Sí</v>
      </c>
    </row>
    <row r="1884" customFormat="false" ht="15" hidden="false" customHeight="false" outlineLevel="0" collapsed="false">
      <c r="A1884" s="34" t="s">
        <v>6847</v>
      </c>
      <c r="B1884" s="34" t="s">
        <v>6848</v>
      </c>
      <c r="C1884" s="34" t="s">
        <v>6849</v>
      </c>
      <c r="D1884" s="34" t="s">
        <v>6850</v>
      </c>
      <c r="E1884" s="34" t="s">
        <v>6845</v>
      </c>
      <c r="F1884" s="34" t="s">
        <v>6846</v>
      </c>
      <c r="G1884" s="34" t="s">
        <v>300</v>
      </c>
      <c r="H1884" s="34" t="s">
        <v>34</v>
      </c>
      <c r="I1884" s="34" t="s">
        <v>53</v>
      </c>
      <c r="J1884" s="34" t="s">
        <v>260</v>
      </c>
      <c r="K1884" s="34" t="s">
        <v>236</v>
      </c>
      <c r="L1884" s="34" t="s">
        <v>230</v>
      </c>
      <c r="M1884" s="34" t="s">
        <v>262</v>
      </c>
      <c r="N1884" s="34" t="str">
        <f aca="false">"Sector "&amp;VALUE(MID(D1884,13,2))</f>
        <v>Sector 6</v>
      </c>
      <c r="O1884" s="34" t="str">
        <f aca="false">IF(Dashboard!$C$5="Ubicación técnica",N1884,"Sector "&amp;VALUE(RIGHT(G1884,2)))</f>
        <v>Sector 6</v>
      </c>
      <c r="P1884" s="34" t="str">
        <f aca="false">IF(MID(D1884,15,3)="SEL","Subestación eléctrica","Área de proceso")</f>
        <v>Área de proceso</v>
      </c>
      <c r="Q1884" s="34" t="str">
        <f aca="false">MID(D1884,13,5)&amp;"|"&amp;MID(D1884,19,5)</f>
        <v>06TDA|SCARG</v>
      </c>
      <c r="R1884" s="34" t="str">
        <f aca="false">IF(P1884="Subestación eléctrica",IFERROR(INDEX(cat_SubN,MATCH(Q1884,cat_SubK,0)),"SIN CATALOGAR"),"ÁREA DE PROCESO")</f>
        <v>ÁREA DE PROCESO</v>
      </c>
      <c r="S1884" s="34" t="str">
        <f aca="false">IF(H1884="","SIN DATO",IFERROR(INDEX(cat_MarcaN,MATCH(H1884,cat_MarcaO,0)),H1884))</f>
        <v>ABB</v>
      </c>
      <c r="T1884" s="34" t="str">
        <f aca="false">IF(I1884="","SIN DATO",IFERROR(INDEX(cat_ModN,MATCH(I1884,cat_ModO,0)),I1884))</f>
        <v>REM615_1G</v>
      </c>
      <c r="U1884" s="34" t="str">
        <f aca="false">IF(I1884="","",IFERROR(INDEX(cat_ModG,MATCH(I1884,cat_ModO,0)),"No"))</f>
        <v>No</v>
      </c>
      <c r="V1884" s="34" t="str">
        <f aca="false">IF(J1884="","SIN DATO",IFERROR(INDEX(cat_FunN,MATCH(J1884,cat_FunO,0)),J1884))</f>
        <v>Protección y medición</v>
      </c>
      <c r="W1884" s="34" t="str">
        <f aca="false">IF(OR(S1884="SIN DATO",T1884="SIN DATO"),"No","Sí")</f>
        <v>Sí</v>
      </c>
    </row>
    <row r="1885" customFormat="false" ht="15" hidden="false" customHeight="false" outlineLevel="0" collapsed="false">
      <c r="A1885" s="34" t="s">
        <v>6851</v>
      </c>
      <c r="B1885" s="34" t="s">
        <v>6852</v>
      </c>
      <c r="C1885" s="34" t="s">
        <v>6853</v>
      </c>
      <c r="D1885" s="34" t="s">
        <v>6844</v>
      </c>
      <c r="E1885" s="34" t="s">
        <v>6845</v>
      </c>
      <c r="F1885" s="34" t="s">
        <v>6846</v>
      </c>
      <c r="G1885" s="34" t="s">
        <v>300</v>
      </c>
      <c r="H1885" s="34" t="s">
        <v>55</v>
      </c>
      <c r="I1885" s="34" t="s">
        <v>2146</v>
      </c>
      <c r="J1885" s="34" t="s">
        <v>2842</v>
      </c>
      <c r="K1885" s="34" t="s">
        <v>236</v>
      </c>
      <c r="L1885" s="34" t="s">
        <v>230</v>
      </c>
      <c r="M1885" s="34" t="s">
        <v>344</v>
      </c>
      <c r="N1885" s="34" t="str">
        <f aca="false">"Sector "&amp;VALUE(MID(D1885,13,2))</f>
        <v>Sector 6</v>
      </c>
      <c r="O1885" s="34" t="str">
        <f aca="false">IF(Dashboard!$C$5="Ubicación técnica",N1885,"Sector "&amp;VALUE(RIGHT(G1885,2)))</f>
        <v>Sector 6</v>
      </c>
      <c r="P1885" s="34" t="str">
        <f aca="false">IF(MID(D1885,15,3)="SEL","Subestación eléctrica","Área de proceso")</f>
        <v>Área de proceso</v>
      </c>
      <c r="Q1885" s="34" t="str">
        <f aca="false">MID(D1885,13,5)&amp;"|"&amp;MID(D1885,19,5)</f>
        <v>06TDA|SCARG</v>
      </c>
      <c r="R1885" s="34" t="str">
        <f aca="false">IF(P1885="Subestación eléctrica",IFERROR(INDEX(cat_SubN,MATCH(Q1885,cat_SubK,0)),"SIN CATALOGAR"),"ÁREA DE PROCESO")</f>
        <v>ÁREA DE PROCESO</v>
      </c>
      <c r="S1885" s="34" t="str">
        <f aca="false">IF(H1885="","SIN DATO",IFERROR(INDEX(cat_MarcaN,MATCH(H1885,cat_MarcaO,0)),H1885))</f>
        <v>SEL</v>
      </c>
      <c r="T1885" s="34" t="str">
        <f aca="false">IF(I1885="","SIN DATO",IFERROR(INDEX(cat_ModN,MATCH(I1885,cat_ModO,0)),I1885))</f>
        <v>SEL-735</v>
      </c>
      <c r="U1885" s="34" t="str">
        <f aca="false">IF(I1885="","",IFERROR(INDEX(cat_ModG,MATCH(I1885,cat_ModO,0)),"No"))</f>
        <v>No</v>
      </c>
      <c r="V1885" s="34" t="str">
        <f aca="false">IF(J1885="","SIN DATO",IFERROR(INDEX(cat_FunN,MATCH(J1885,cat_FunO,0)),J1885))</f>
        <v>Multimedidor</v>
      </c>
      <c r="W1885" s="34" t="str">
        <f aca="false">IF(OR(S1885="SIN DATO",T1885="SIN DATO"),"No","Sí")</f>
        <v>Sí</v>
      </c>
    </row>
    <row r="1886" customFormat="false" ht="15" hidden="false" customHeight="false" outlineLevel="0" collapsed="false">
      <c r="A1886" s="34" t="s">
        <v>6854</v>
      </c>
      <c r="B1886" s="34" t="s">
        <v>6855</v>
      </c>
      <c r="C1886" s="34" t="s">
        <v>6856</v>
      </c>
      <c r="D1886" s="34" t="s">
        <v>6850</v>
      </c>
      <c r="E1886" s="34" t="s">
        <v>6845</v>
      </c>
      <c r="F1886" s="34" t="s">
        <v>6846</v>
      </c>
      <c r="G1886" s="34" t="s">
        <v>300</v>
      </c>
      <c r="H1886" s="34" t="s">
        <v>55</v>
      </c>
      <c r="I1886" s="34" t="s">
        <v>2146</v>
      </c>
      <c r="J1886" s="34" t="s">
        <v>2842</v>
      </c>
      <c r="K1886" s="34" t="s">
        <v>236</v>
      </c>
      <c r="L1886" s="34" t="s">
        <v>230</v>
      </c>
      <c r="M1886" s="34" t="s">
        <v>344</v>
      </c>
      <c r="N1886" s="34" t="str">
        <f aca="false">"Sector "&amp;VALUE(MID(D1886,13,2))</f>
        <v>Sector 6</v>
      </c>
      <c r="O1886" s="34" t="str">
        <f aca="false">IF(Dashboard!$C$5="Ubicación técnica",N1886,"Sector "&amp;VALUE(RIGHT(G1886,2)))</f>
        <v>Sector 6</v>
      </c>
      <c r="P1886" s="34" t="str">
        <f aca="false">IF(MID(D1886,15,3)="SEL","Subestación eléctrica","Área de proceso")</f>
        <v>Área de proceso</v>
      </c>
      <c r="Q1886" s="34" t="str">
        <f aca="false">MID(D1886,13,5)&amp;"|"&amp;MID(D1886,19,5)</f>
        <v>06TDA|SCARG</v>
      </c>
      <c r="R1886" s="34" t="str">
        <f aca="false">IF(P1886="Subestación eléctrica",IFERROR(INDEX(cat_SubN,MATCH(Q1886,cat_SubK,0)),"SIN CATALOGAR"),"ÁREA DE PROCESO")</f>
        <v>ÁREA DE PROCESO</v>
      </c>
      <c r="S1886" s="34" t="str">
        <f aca="false">IF(H1886="","SIN DATO",IFERROR(INDEX(cat_MarcaN,MATCH(H1886,cat_MarcaO,0)),H1886))</f>
        <v>SEL</v>
      </c>
      <c r="T1886" s="34" t="str">
        <f aca="false">IF(I1886="","SIN DATO",IFERROR(INDEX(cat_ModN,MATCH(I1886,cat_ModO,0)),I1886))</f>
        <v>SEL-735</v>
      </c>
      <c r="U1886" s="34" t="str">
        <f aca="false">IF(I1886="","",IFERROR(INDEX(cat_ModG,MATCH(I1886,cat_ModO,0)),"No"))</f>
        <v>No</v>
      </c>
      <c r="V1886" s="34" t="str">
        <f aca="false">IF(J1886="","SIN DATO",IFERROR(INDEX(cat_FunN,MATCH(J1886,cat_FunO,0)),J1886))</f>
        <v>Multimedidor</v>
      </c>
      <c r="W1886" s="34" t="str">
        <f aca="false">IF(OR(S1886="SIN DATO",T1886="SIN DATO"),"No","Sí")</f>
        <v>Sí</v>
      </c>
    </row>
    <row r="1887" customFormat="false" ht="15" hidden="false" customHeight="false" outlineLevel="0" collapsed="false">
      <c r="A1887" s="34" t="s">
        <v>6857</v>
      </c>
      <c r="B1887" s="34" t="s">
        <v>6858</v>
      </c>
      <c r="C1887" s="34" t="s">
        <v>6859</v>
      </c>
      <c r="D1887" s="34" t="s">
        <v>6860</v>
      </c>
      <c r="E1887" s="34" t="s">
        <v>6861</v>
      </c>
      <c r="F1887" s="34" t="s">
        <v>6862</v>
      </c>
      <c r="G1887" s="34" t="s">
        <v>300</v>
      </c>
      <c r="H1887" s="34" t="s">
        <v>34</v>
      </c>
      <c r="I1887" s="34" t="s">
        <v>53</v>
      </c>
      <c r="J1887" s="34" t="s">
        <v>260</v>
      </c>
      <c r="K1887" s="34" t="s">
        <v>236</v>
      </c>
      <c r="L1887" s="34" t="s">
        <v>230</v>
      </c>
      <c r="M1887" s="34" t="s">
        <v>262</v>
      </c>
      <c r="N1887" s="34" t="str">
        <f aca="false">"Sector "&amp;VALUE(MID(D1887,13,2))</f>
        <v>Sector 6</v>
      </c>
      <c r="O1887" s="34" t="str">
        <f aca="false">IF(Dashboard!$C$5="Ubicación técnica",N1887,"Sector "&amp;VALUE(RIGHT(G1887,2)))</f>
        <v>Sector 6</v>
      </c>
      <c r="P1887" s="34" t="str">
        <f aca="false">IF(MID(D1887,15,3)="SEL","Subestación eléctrica","Área de proceso")</f>
        <v>Área de proceso</v>
      </c>
      <c r="Q1887" s="34" t="str">
        <f aca="false">MID(D1887,13,5)&amp;"|"&amp;MID(D1887,19,5)</f>
        <v>06TDB|SCARG</v>
      </c>
      <c r="R1887" s="34" t="str">
        <f aca="false">IF(P1887="Subestación eléctrica",IFERROR(INDEX(cat_SubN,MATCH(Q1887,cat_SubK,0)),"SIN CATALOGAR"),"ÁREA DE PROCESO")</f>
        <v>ÁREA DE PROCESO</v>
      </c>
      <c r="S1887" s="34" t="str">
        <f aca="false">IF(H1887="","SIN DATO",IFERROR(INDEX(cat_MarcaN,MATCH(H1887,cat_MarcaO,0)),H1887))</f>
        <v>ABB</v>
      </c>
      <c r="T1887" s="34" t="str">
        <f aca="false">IF(I1887="","SIN DATO",IFERROR(INDEX(cat_ModN,MATCH(I1887,cat_ModO,0)),I1887))</f>
        <v>REM615_1G</v>
      </c>
      <c r="U1887" s="34" t="str">
        <f aca="false">IF(I1887="","",IFERROR(INDEX(cat_ModG,MATCH(I1887,cat_ModO,0)),"No"))</f>
        <v>No</v>
      </c>
      <c r="V1887" s="34" t="str">
        <f aca="false">IF(J1887="","SIN DATO",IFERROR(INDEX(cat_FunN,MATCH(J1887,cat_FunO,0)),J1887))</f>
        <v>Protección y medición</v>
      </c>
      <c r="W1887" s="34" t="str">
        <f aca="false">IF(OR(S1887="SIN DATO",T1887="SIN DATO"),"No","Sí")</f>
        <v>Sí</v>
      </c>
    </row>
    <row r="1888" customFormat="false" ht="15" hidden="false" customHeight="false" outlineLevel="0" collapsed="false">
      <c r="A1888" s="34" t="s">
        <v>6863</v>
      </c>
      <c r="B1888" s="34" t="s">
        <v>6864</v>
      </c>
      <c r="C1888" s="34" t="s">
        <v>6865</v>
      </c>
      <c r="D1888" s="34" t="s">
        <v>6866</v>
      </c>
      <c r="E1888" s="34" t="s">
        <v>6861</v>
      </c>
      <c r="F1888" s="34" t="s">
        <v>6862</v>
      </c>
      <c r="G1888" s="34" t="s">
        <v>300</v>
      </c>
      <c r="H1888" s="34" t="s">
        <v>34</v>
      </c>
      <c r="I1888" s="34" t="s">
        <v>53</v>
      </c>
      <c r="J1888" s="34" t="s">
        <v>260</v>
      </c>
      <c r="K1888" s="34" t="s">
        <v>236</v>
      </c>
      <c r="L1888" s="34" t="s">
        <v>230</v>
      </c>
      <c r="M1888" s="34" t="s">
        <v>262</v>
      </c>
      <c r="N1888" s="34" t="str">
        <f aca="false">"Sector "&amp;VALUE(MID(D1888,13,2))</f>
        <v>Sector 6</v>
      </c>
      <c r="O1888" s="34" t="str">
        <f aca="false">IF(Dashboard!$C$5="Ubicación técnica",N1888,"Sector "&amp;VALUE(RIGHT(G1888,2)))</f>
        <v>Sector 6</v>
      </c>
      <c r="P1888" s="34" t="str">
        <f aca="false">IF(MID(D1888,15,3)="SEL","Subestación eléctrica","Área de proceso")</f>
        <v>Área de proceso</v>
      </c>
      <c r="Q1888" s="34" t="str">
        <f aca="false">MID(D1888,13,5)&amp;"|"&amp;MID(D1888,19,5)</f>
        <v>06TDB|SCARG</v>
      </c>
      <c r="R1888" s="34" t="str">
        <f aca="false">IF(P1888="Subestación eléctrica",IFERROR(INDEX(cat_SubN,MATCH(Q1888,cat_SubK,0)),"SIN CATALOGAR"),"ÁREA DE PROCESO")</f>
        <v>ÁREA DE PROCESO</v>
      </c>
      <c r="S1888" s="34" t="str">
        <f aca="false">IF(H1888="","SIN DATO",IFERROR(INDEX(cat_MarcaN,MATCH(H1888,cat_MarcaO,0)),H1888))</f>
        <v>ABB</v>
      </c>
      <c r="T1888" s="34" t="str">
        <f aca="false">IF(I1888="","SIN DATO",IFERROR(INDEX(cat_ModN,MATCH(I1888,cat_ModO,0)),I1888))</f>
        <v>REM615_1G</v>
      </c>
      <c r="U1888" s="34" t="str">
        <f aca="false">IF(I1888="","",IFERROR(INDEX(cat_ModG,MATCH(I1888,cat_ModO,0)),"No"))</f>
        <v>No</v>
      </c>
      <c r="V1888" s="34" t="str">
        <f aca="false">IF(J1888="","SIN DATO",IFERROR(INDEX(cat_FunN,MATCH(J1888,cat_FunO,0)),J1888))</f>
        <v>Protección y medición</v>
      </c>
      <c r="W1888" s="34" t="str">
        <f aca="false">IF(OR(S1888="SIN DATO",T1888="SIN DATO"),"No","Sí")</f>
        <v>Sí</v>
      </c>
    </row>
    <row r="1889" customFormat="false" ht="15" hidden="false" customHeight="false" outlineLevel="0" collapsed="false">
      <c r="A1889" s="34" t="s">
        <v>6867</v>
      </c>
      <c r="B1889" s="34" t="s">
        <v>6868</v>
      </c>
      <c r="C1889" s="34" t="s">
        <v>6869</v>
      </c>
      <c r="D1889" s="34" t="s">
        <v>6860</v>
      </c>
      <c r="E1889" s="34" t="s">
        <v>6861</v>
      </c>
      <c r="F1889" s="34" t="s">
        <v>6862</v>
      </c>
      <c r="G1889" s="34" t="s">
        <v>300</v>
      </c>
      <c r="H1889" s="34" t="s">
        <v>55</v>
      </c>
      <c r="I1889" s="34" t="s">
        <v>2146</v>
      </c>
      <c r="J1889" s="34" t="s">
        <v>2842</v>
      </c>
      <c r="K1889" s="34" t="s">
        <v>236</v>
      </c>
      <c r="L1889" s="34" t="s">
        <v>230</v>
      </c>
      <c r="M1889" s="34" t="s">
        <v>344</v>
      </c>
      <c r="N1889" s="34" t="str">
        <f aca="false">"Sector "&amp;VALUE(MID(D1889,13,2))</f>
        <v>Sector 6</v>
      </c>
      <c r="O1889" s="34" t="str">
        <f aca="false">IF(Dashboard!$C$5="Ubicación técnica",N1889,"Sector "&amp;VALUE(RIGHT(G1889,2)))</f>
        <v>Sector 6</v>
      </c>
      <c r="P1889" s="34" t="str">
        <f aca="false">IF(MID(D1889,15,3)="SEL","Subestación eléctrica","Área de proceso")</f>
        <v>Área de proceso</v>
      </c>
      <c r="Q1889" s="34" t="str">
        <f aca="false">MID(D1889,13,5)&amp;"|"&amp;MID(D1889,19,5)</f>
        <v>06TDB|SCARG</v>
      </c>
      <c r="R1889" s="34" t="str">
        <f aca="false">IF(P1889="Subestación eléctrica",IFERROR(INDEX(cat_SubN,MATCH(Q1889,cat_SubK,0)),"SIN CATALOGAR"),"ÁREA DE PROCESO")</f>
        <v>ÁREA DE PROCESO</v>
      </c>
      <c r="S1889" s="34" t="str">
        <f aca="false">IF(H1889="","SIN DATO",IFERROR(INDEX(cat_MarcaN,MATCH(H1889,cat_MarcaO,0)),H1889))</f>
        <v>SEL</v>
      </c>
      <c r="T1889" s="34" t="str">
        <f aca="false">IF(I1889="","SIN DATO",IFERROR(INDEX(cat_ModN,MATCH(I1889,cat_ModO,0)),I1889))</f>
        <v>SEL-735</v>
      </c>
      <c r="U1889" s="34" t="str">
        <f aca="false">IF(I1889="","",IFERROR(INDEX(cat_ModG,MATCH(I1889,cat_ModO,0)),"No"))</f>
        <v>No</v>
      </c>
      <c r="V1889" s="34" t="str">
        <f aca="false">IF(J1889="","SIN DATO",IFERROR(INDEX(cat_FunN,MATCH(J1889,cat_FunO,0)),J1889))</f>
        <v>Multimedidor</v>
      </c>
      <c r="W1889" s="34" t="str">
        <f aca="false">IF(OR(S1889="SIN DATO",T1889="SIN DATO"),"No","Sí")</f>
        <v>Sí</v>
      </c>
    </row>
    <row r="1890" customFormat="false" ht="15" hidden="false" customHeight="false" outlineLevel="0" collapsed="false">
      <c r="A1890" s="34" t="s">
        <v>6870</v>
      </c>
      <c r="B1890" s="34" t="s">
        <v>6871</v>
      </c>
      <c r="C1890" s="34" t="s">
        <v>6872</v>
      </c>
      <c r="D1890" s="34" t="s">
        <v>6866</v>
      </c>
      <c r="E1890" s="34" t="s">
        <v>6861</v>
      </c>
      <c r="F1890" s="34" t="s">
        <v>6862</v>
      </c>
      <c r="G1890" s="34" t="s">
        <v>300</v>
      </c>
      <c r="H1890" s="34" t="s">
        <v>55</v>
      </c>
      <c r="I1890" s="34" t="s">
        <v>2146</v>
      </c>
      <c r="J1890" s="34" t="s">
        <v>2842</v>
      </c>
      <c r="K1890" s="34" t="s">
        <v>236</v>
      </c>
      <c r="L1890" s="34" t="s">
        <v>230</v>
      </c>
      <c r="M1890" s="34" t="s">
        <v>344</v>
      </c>
      <c r="N1890" s="34" t="str">
        <f aca="false">"Sector "&amp;VALUE(MID(D1890,13,2))</f>
        <v>Sector 6</v>
      </c>
      <c r="O1890" s="34" t="str">
        <f aca="false">IF(Dashboard!$C$5="Ubicación técnica",N1890,"Sector "&amp;VALUE(RIGHT(G1890,2)))</f>
        <v>Sector 6</v>
      </c>
      <c r="P1890" s="34" t="str">
        <f aca="false">IF(MID(D1890,15,3)="SEL","Subestación eléctrica","Área de proceso")</f>
        <v>Área de proceso</v>
      </c>
      <c r="Q1890" s="34" t="str">
        <f aca="false">MID(D1890,13,5)&amp;"|"&amp;MID(D1890,19,5)</f>
        <v>06TDB|SCARG</v>
      </c>
      <c r="R1890" s="34" t="str">
        <f aca="false">IF(P1890="Subestación eléctrica",IFERROR(INDEX(cat_SubN,MATCH(Q1890,cat_SubK,0)),"SIN CATALOGAR"),"ÁREA DE PROCESO")</f>
        <v>ÁREA DE PROCESO</v>
      </c>
      <c r="S1890" s="34" t="str">
        <f aca="false">IF(H1890="","SIN DATO",IFERROR(INDEX(cat_MarcaN,MATCH(H1890,cat_MarcaO,0)),H1890))</f>
        <v>SEL</v>
      </c>
      <c r="T1890" s="34" t="str">
        <f aca="false">IF(I1890="","SIN DATO",IFERROR(INDEX(cat_ModN,MATCH(I1890,cat_ModO,0)),I1890))</f>
        <v>SEL-735</v>
      </c>
      <c r="U1890" s="34" t="str">
        <f aca="false">IF(I1890="","",IFERROR(INDEX(cat_ModG,MATCH(I1890,cat_ModO,0)),"No"))</f>
        <v>No</v>
      </c>
      <c r="V1890" s="34" t="str">
        <f aca="false">IF(J1890="","SIN DATO",IFERROR(INDEX(cat_FunN,MATCH(J1890,cat_FunO,0)),J1890))</f>
        <v>Multimedidor</v>
      </c>
      <c r="W1890" s="34" t="str">
        <f aca="false">IF(OR(S1890="SIN DATO",T1890="SIN DATO"),"No","Sí")</f>
        <v>Sí</v>
      </c>
    </row>
    <row r="1891" customFormat="false" ht="15" hidden="false" customHeight="false" outlineLevel="0" collapsed="false">
      <c r="A1891" s="34" t="s">
        <v>6873</v>
      </c>
      <c r="B1891" s="34" t="s">
        <v>6874</v>
      </c>
      <c r="C1891" s="34" t="s">
        <v>6875</v>
      </c>
      <c r="D1891" s="34" t="s">
        <v>6876</v>
      </c>
      <c r="E1891" s="34" t="s">
        <v>150</v>
      </c>
      <c r="F1891" s="34" t="s">
        <v>6877</v>
      </c>
      <c r="G1891" s="34" t="s">
        <v>343</v>
      </c>
      <c r="H1891" s="34" t="s">
        <v>73</v>
      </c>
      <c r="I1891" s="34" t="s">
        <v>75</v>
      </c>
      <c r="J1891" s="34" t="s">
        <v>228</v>
      </c>
      <c r="K1891" s="34" t="s">
        <v>229</v>
      </c>
      <c r="L1891" s="34" t="s">
        <v>230</v>
      </c>
      <c r="M1891" s="34" t="s">
        <v>344</v>
      </c>
      <c r="N1891" s="34" t="str">
        <f aca="false">"Sector "&amp;VALUE(MID(D1891,13,2))</f>
        <v>Sector 7</v>
      </c>
      <c r="O1891" s="34" t="str">
        <f aca="false">IF(Dashboard!$C$5="Ubicación técnica",N1891,"Sector "&amp;VALUE(RIGHT(G1891,2)))</f>
        <v>Sector 7</v>
      </c>
      <c r="P1891" s="34" t="str">
        <f aca="false">IF(MID(D1891,15,3)="SEL","Subestación eléctrica","Área de proceso")</f>
        <v>Área de proceso</v>
      </c>
      <c r="Q1891" s="34" t="str">
        <f aca="false">MID(D1891,13,5)&amp;"|"&amp;MID(D1891,19,5)</f>
        <v>07TDE|SCADB</v>
      </c>
      <c r="R1891" s="34" t="str">
        <f aca="false">IF(P1891="Subestación eléctrica",IFERROR(INDEX(cat_SubN,MATCH(Q1891,cat_SubK,0)),"SIN CATALOGAR"),"ÁREA DE PROCESO")</f>
        <v>ÁREA DE PROCESO</v>
      </c>
      <c r="S1891" s="34" t="str">
        <f aca="false">IF(H1891="","SIN DATO",IFERROR(INDEX(cat_MarcaN,MATCH(H1891,cat_MarcaO,0)),H1891))</f>
        <v>SIEMENS</v>
      </c>
      <c r="T1891" s="34" t="str">
        <f aca="false">IF(I1891="","SIN DATO",IFERROR(INDEX(cat_ModN,MATCH(I1891,cat_ModO,0)),I1891))</f>
        <v>REYROLLE</v>
      </c>
      <c r="U1891" s="34" t="str">
        <f aca="false">IF(I1891="","",IFERROR(INDEX(cat_ModG,MATCH(I1891,cat_ModO,0)),"No"))</f>
        <v>Sí</v>
      </c>
      <c r="V1891" s="34" t="str">
        <f aca="false">IF(J1891="","SIN DATO",IFERROR(INDEX(cat_FunN,MATCH(J1891,cat_FunO,0)),J1891))</f>
        <v>Protección y medición</v>
      </c>
      <c r="W1891" s="34" t="str">
        <f aca="false">IF(OR(S1891="SIN DATO",T1891="SIN DATO"),"No","Sí")</f>
        <v>Sí</v>
      </c>
    </row>
    <row r="1892" customFormat="false" ht="15" hidden="false" customHeight="false" outlineLevel="0" collapsed="false">
      <c r="A1892" s="34" t="s">
        <v>6878</v>
      </c>
      <c r="B1892" s="34" t="s">
        <v>6879</v>
      </c>
      <c r="C1892" s="34" t="s">
        <v>6880</v>
      </c>
      <c r="D1892" s="34" t="s">
        <v>6881</v>
      </c>
      <c r="E1892" s="34" t="s">
        <v>150</v>
      </c>
      <c r="F1892" s="34" t="s">
        <v>6877</v>
      </c>
      <c r="G1892" s="34" t="s">
        <v>343</v>
      </c>
      <c r="H1892" s="34" t="s">
        <v>73</v>
      </c>
      <c r="I1892" s="34" t="s">
        <v>75</v>
      </c>
      <c r="J1892" s="34" t="s">
        <v>228</v>
      </c>
      <c r="K1892" s="34" t="s">
        <v>229</v>
      </c>
      <c r="L1892" s="34" t="s">
        <v>230</v>
      </c>
      <c r="M1892" s="34" t="s">
        <v>344</v>
      </c>
      <c r="N1892" s="34" t="str">
        <f aca="false">"Sector "&amp;VALUE(MID(D1892,13,2))</f>
        <v>Sector 7</v>
      </c>
      <c r="O1892" s="34" t="str">
        <f aca="false">IF(Dashboard!$C$5="Ubicación técnica",N1892,"Sector "&amp;VALUE(RIGHT(G1892,2)))</f>
        <v>Sector 7</v>
      </c>
      <c r="P1892" s="34" t="str">
        <f aca="false">IF(MID(D1892,15,3)="SEL","Subestación eléctrica","Área de proceso")</f>
        <v>Área de proceso</v>
      </c>
      <c r="Q1892" s="34" t="str">
        <f aca="false">MID(D1892,13,5)&amp;"|"&amp;MID(D1892,19,5)</f>
        <v>07TDE|SCADB</v>
      </c>
      <c r="R1892" s="34" t="str">
        <f aca="false">IF(P1892="Subestación eléctrica",IFERROR(INDEX(cat_SubN,MATCH(Q1892,cat_SubK,0)),"SIN CATALOGAR"),"ÁREA DE PROCESO")</f>
        <v>ÁREA DE PROCESO</v>
      </c>
      <c r="S1892" s="34" t="str">
        <f aca="false">IF(H1892="","SIN DATO",IFERROR(INDEX(cat_MarcaN,MATCH(H1892,cat_MarcaO,0)),H1892))</f>
        <v>SIEMENS</v>
      </c>
      <c r="T1892" s="34" t="str">
        <f aca="false">IF(I1892="","SIN DATO",IFERROR(INDEX(cat_ModN,MATCH(I1892,cat_ModO,0)),I1892))</f>
        <v>REYROLLE</v>
      </c>
      <c r="U1892" s="34" t="str">
        <f aca="false">IF(I1892="","",IFERROR(INDEX(cat_ModG,MATCH(I1892,cat_ModO,0)),"No"))</f>
        <v>Sí</v>
      </c>
      <c r="V1892" s="34" t="str">
        <f aca="false">IF(J1892="","SIN DATO",IFERROR(INDEX(cat_FunN,MATCH(J1892,cat_FunO,0)),J1892))</f>
        <v>Protección y medición</v>
      </c>
      <c r="W1892" s="34" t="str">
        <f aca="false">IF(OR(S1892="SIN DATO",T1892="SIN DATO"),"No","Sí")</f>
        <v>Sí</v>
      </c>
    </row>
    <row r="1893" customFormat="false" ht="15" hidden="false" customHeight="false" outlineLevel="0" collapsed="false">
      <c r="A1893" s="34" t="s">
        <v>6882</v>
      </c>
      <c r="B1893" s="34" t="s">
        <v>6883</v>
      </c>
      <c r="C1893" s="34" t="s">
        <v>6884</v>
      </c>
      <c r="D1893" s="34" t="s">
        <v>6885</v>
      </c>
      <c r="E1893" s="34" t="s">
        <v>150</v>
      </c>
      <c r="F1893" s="34" t="s">
        <v>6877</v>
      </c>
      <c r="G1893" s="34" t="s">
        <v>343</v>
      </c>
      <c r="H1893" s="34" t="s">
        <v>73</v>
      </c>
      <c r="I1893" s="34" t="s">
        <v>75</v>
      </c>
      <c r="J1893" s="34" t="s">
        <v>228</v>
      </c>
      <c r="K1893" s="34" t="s">
        <v>229</v>
      </c>
      <c r="L1893" s="34" t="s">
        <v>230</v>
      </c>
      <c r="M1893" s="34" t="s">
        <v>344</v>
      </c>
      <c r="N1893" s="34" t="str">
        <f aca="false">"Sector "&amp;VALUE(MID(D1893,13,2))</f>
        <v>Sector 7</v>
      </c>
      <c r="O1893" s="34" t="str">
        <f aca="false">IF(Dashboard!$C$5="Ubicación técnica",N1893,"Sector "&amp;VALUE(RIGHT(G1893,2)))</f>
        <v>Sector 7</v>
      </c>
      <c r="P1893" s="34" t="str">
        <f aca="false">IF(MID(D1893,15,3)="SEL","Subestación eléctrica","Área de proceso")</f>
        <v>Área de proceso</v>
      </c>
      <c r="Q1893" s="34" t="str">
        <f aca="false">MID(D1893,13,5)&amp;"|"&amp;MID(D1893,19,5)</f>
        <v>07TDE|SCADB</v>
      </c>
      <c r="R1893" s="34" t="str">
        <f aca="false">IF(P1893="Subestación eléctrica",IFERROR(INDEX(cat_SubN,MATCH(Q1893,cat_SubK,0)),"SIN CATALOGAR"),"ÁREA DE PROCESO")</f>
        <v>ÁREA DE PROCESO</v>
      </c>
      <c r="S1893" s="34" t="str">
        <f aca="false">IF(H1893="","SIN DATO",IFERROR(INDEX(cat_MarcaN,MATCH(H1893,cat_MarcaO,0)),H1893))</f>
        <v>SIEMENS</v>
      </c>
      <c r="T1893" s="34" t="str">
        <f aca="false">IF(I1893="","SIN DATO",IFERROR(INDEX(cat_ModN,MATCH(I1893,cat_ModO,0)),I1893))</f>
        <v>REYROLLE</v>
      </c>
      <c r="U1893" s="34" t="str">
        <f aca="false">IF(I1893="","",IFERROR(INDEX(cat_ModG,MATCH(I1893,cat_ModO,0)),"No"))</f>
        <v>Sí</v>
      </c>
      <c r="V1893" s="34" t="str">
        <f aca="false">IF(J1893="","SIN DATO",IFERROR(INDEX(cat_FunN,MATCH(J1893,cat_FunO,0)),J1893))</f>
        <v>Protección y medición</v>
      </c>
      <c r="W1893" s="34" t="str">
        <f aca="false">IF(OR(S1893="SIN DATO",T1893="SIN DATO"),"No","Sí")</f>
        <v>Sí</v>
      </c>
    </row>
    <row r="1894" customFormat="false" ht="15" hidden="false" customHeight="false" outlineLevel="0" collapsed="false">
      <c r="A1894" s="34" t="s">
        <v>6886</v>
      </c>
      <c r="B1894" s="34" t="s">
        <v>6887</v>
      </c>
      <c r="C1894" s="34" t="s">
        <v>6888</v>
      </c>
      <c r="D1894" s="34" t="s">
        <v>6889</v>
      </c>
      <c r="E1894" s="34" t="s">
        <v>150</v>
      </c>
      <c r="F1894" s="34" t="s">
        <v>6877</v>
      </c>
      <c r="G1894" s="34" t="s">
        <v>343</v>
      </c>
      <c r="H1894" s="34" t="s">
        <v>73</v>
      </c>
      <c r="I1894" s="34" t="s">
        <v>75</v>
      </c>
      <c r="J1894" s="34" t="s">
        <v>228</v>
      </c>
      <c r="K1894" s="34" t="s">
        <v>229</v>
      </c>
      <c r="L1894" s="34" t="s">
        <v>230</v>
      </c>
      <c r="M1894" s="34" t="s">
        <v>344</v>
      </c>
      <c r="N1894" s="34" t="str">
        <f aca="false">"Sector "&amp;VALUE(MID(D1894,13,2))</f>
        <v>Sector 7</v>
      </c>
      <c r="O1894" s="34" t="str">
        <f aca="false">IF(Dashboard!$C$5="Ubicación técnica",N1894,"Sector "&amp;VALUE(RIGHT(G1894,2)))</f>
        <v>Sector 7</v>
      </c>
      <c r="P1894" s="34" t="str">
        <f aca="false">IF(MID(D1894,15,3)="SEL","Subestación eléctrica","Área de proceso")</f>
        <v>Área de proceso</v>
      </c>
      <c r="Q1894" s="34" t="str">
        <f aca="false">MID(D1894,13,5)&amp;"|"&amp;MID(D1894,19,5)</f>
        <v>07TDE|SCADB</v>
      </c>
      <c r="R1894" s="34" t="str">
        <f aca="false">IF(P1894="Subestación eléctrica",IFERROR(INDEX(cat_SubN,MATCH(Q1894,cat_SubK,0)),"SIN CATALOGAR"),"ÁREA DE PROCESO")</f>
        <v>ÁREA DE PROCESO</v>
      </c>
      <c r="S1894" s="34" t="str">
        <f aca="false">IF(H1894="","SIN DATO",IFERROR(INDEX(cat_MarcaN,MATCH(H1894,cat_MarcaO,0)),H1894))</f>
        <v>SIEMENS</v>
      </c>
      <c r="T1894" s="34" t="str">
        <f aca="false">IF(I1894="","SIN DATO",IFERROR(INDEX(cat_ModN,MATCH(I1894,cat_ModO,0)),I1894))</f>
        <v>REYROLLE</v>
      </c>
      <c r="U1894" s="34" t="str">
        <f aca="false">IF(I1894="","",IFERROR(INDEX(cat_ModG,MATCH(I1894,cat_ModO,0)),"No"))</f>
        <v>Sí</v>
      </c>
      <c r="V1894" s="34" t="str">
        <f aca="false">IF(J1894="","SIN DATO",IFERROR(INDEX(cat_FunN,MATCH(J1894,cat_FunO,0)),J1894))</f>
        <v>Protección y medición</v>
      </c>
      <c r="W1894" s="34" t="str">
        <f aca="false">IF(OR(S1894="SIN DATO",T1894="SIN DATO"),"No","Sí")</f>
        <v>Sí</v>
      </c>
    </row>
    <row r="1895" customFormat="false" ht="15" hidden="false" customHeight="false" outlineLevel="0" collapsed="false">
      <c r="A1895" s="34" t="s">
        <v>6890</v>
      </c>
      <c r="B1895" s="34" t="s">
        <v>6891</v>
      </c>
      <c r="C1895" s="34" t="s">
        <v>6892</v>
      </c>
      <c r="D1895" s="34" t="s">
        <v>6893</v>
      </c>
      <c r="E1895" s="34" t="s">
        <v>150</v>
      </c>
      <c r="F1895" s="34" t="s">
        <v>6877</v>
      </c>
      <c r="G1895" s="34" t="s">
        <v>343</v>
      </c>
      <c r="H1895" s="34" t="s">
        <v>73</v>
      </c>
      <c r="I1895" s="34" t="s">
        <v>75</v>
      </c>
      <c r="J1895" s="34" t="s">
        <v>228</v>
      </c>
      <c r="K1895" s="34" t="s">
        <v>229</v>
      </c>
      <c r="L1895" s="34" t="s">
        <v>230</v>
      </c>
      <c r="M1895" s="34" t="s">
        <v>344</v>
      </c>
      <c r="N1895" s="34" t="str">
        <f aca="false">"Sector "&amp;VALUE(MID(D1895,13,2))</f>
        <v>Sector 7</v>
      </c>
      <c r="O1895" s="34" t="str">
        <f aca="false">IF(Dashboard!$C$5="Ubicación técnica",N1895,"Sector "&amp;VALUE(RIGHT(G1895,2)))</f>
        <v>Sector 7</v>
      </c>
      <c r="P1895" s="34" t="str">
        <f aca="false">IF(MID(D1895,15,3)="SEL","Subestación eléctrica","Área de proceso")</f>
        <v>Área de proceso</v>
      </c>
      <c r="Q1895" s="34" t="str">
        <f aca="false">MID(D1895,13,5)&amp;"|"&amp;MID(D1895,19,5)</f>
        <v>07TDE|SCADB</v>
      </c>
      <c r="R1895" s="34" t="str">
        <f aca="false">IF(P1895="Subestación eléctrica",IFERROR(INDEX(cat_SubN,MATCH(Q1895,cat_SubK,0)),"SIN CATALOGAR"),"ÁREA DE PROCESO")</f>
        <v>ÁREA DE PROCESO</v>
      </c>
      <c r="S1895" s="34" t="str">
        <f aca="false">IF(H1895="","SIN DATO",IFERROR(INDEX(cat_MarcaN,MATCH(H1895,cat_MarcaO,0)),H1895))</f>
        <v>SIEMENS</v>
      </c>
      <c r="T1895" s="34" t="str">
        <f aca="false">IF(I1895="","SIN DATO",IFERROR(INDEX(cat_ModN,MATCH(I1895,cat_ModO,0)),I1895))</f>
        <v>REYROLLE</v>
      </c>
      <c r="U1895" s="34" t="str">
        <f aca="false">IF(I1895="","",IFERROR(INDEX(cat_ModG,MATCH(I1895,cat_ModO,0)),"No"))</f>
        <v>Sí</v>
      </c>
      <c r="V1895" s="34" t="str">
        <f aca="false">IF(J1895="","SIN DATO",IFERROR(INDEX(cat_FunN,MATCH(J1895,cat_FunO,0)),J1895))</f>
        <v>Protección y medición</v>
      </c>
      <c r="W1895" s="34" t="str">
        <f aca="false">IF(OR(S1895="SIN DATO",T1895="SIN DATO"),"No","Sí")</f>
        <v>Sí</v>
      </c>
    </row>
    <row r="1896" customFormat="false" ht="15" hidden="false" customHeight="false" outlineLevel="0" collapsed="false">
      <c r="A1896" s="34" t="s">
        <v>6894</v>
      </c>
      <c r="B1896" s="34" t="s">
        <v>6895</v>
      </c>
      <c r="C1896" s="34" t="s">
        <v>6896</v>
      </c>
      <c r="D1896" s="34" t="s">
        <v>6897</v>
      </c>
      <c r="E1896" s="34" t="s">
        <v>150</v>
      </c>
      <c r="F1896" s="34" t="s">
        <v>6877</v>
      </c>
      <c r="G1896" s="34" t="s">
        <v>343</v>
      </c>
      <c r="H1896" s="34" t="s">
        <v>73</v>
      </c>
      <c r="I1896" s="34" t="s">
        <v>75</v>
      </c>
      <c r="J1896" s="34" t="s">
        <v>228</v>
      </c>
      <c r="K1896" s="34" t="s">
        <v>229</v>
      </c>
      <c r="L1896" s="34" t="s">
        <v>230</v>
      </c>
      <c r="M1896" s="34" t="s">
        <v>344</v>
      </c>
      <c r="N1896" s="34" t="str">
        <f aca="false">"Sector "&amp;VALUE(MID(D1896,13,2))</f>
        <v>Sector 7</v>
      </c>
      <c r="O1896" s="34" t="str">
        <f aca="false">IF(Dashboard!$C$5="Ubicación técnica",N1896,"Sector "&amp;VALUE(RIGHT(G1896,2)))</f>
        <v>Sector 7</v>
      </c>
      <c r="P1896" s="34" t="str">
        <f aca="false">IF(MID(D1896,15,3)="SEL","Subestación eléctrica","Área de proceso")</f>
        <v>Área de proceso</v>
      </c>
      <c r="Q1896" s="34" t="str">
        <f aca="false">MID(D1896,13,5)&amp;"|"&amp;MID(D1896,19,5)</f>
        <v>07TDE|SCADB</v>
      </c>
      <c r="R1896" s="34" t="str">
        <f aca="false">IF(P1896="Subestación eléctrica",IFERROR(INDEX(cat_SubN,MATCH(Q1896,cat_SubK,0)),"SIN CATALOGAR"),"ÁREA DE PROCESO")</f>
        <v>ÁREA DE PROCESO</v>
      </c>
      <c r="S1896" s="34" t="str">
        <f aca="false">IF(H1896="","SIN DATO",IFERROR(INDEX(cat_MarcaN,MATCH(H1896,cat_MarcaO,0)),H1896))</f>
        <v>SIEMENS</v>
      </c>
      <c r="T1896" s="34" t="str">
        <f aca="false">IF(I1896="","SIN DATO",IFERROR(INDEX(cat_ModN,MATCH(I1896,cat_ModO,0)),I1896))</f>
        <v>REYROLLE</v>
      </c>
      <c r="U1896" s="34" t="str">
        <f aca="false">IF(I1896="","",IFERROR(INDEX(cat_ModG,MATCH(I1896,cat_ModO,0)),"No"))</f>
        <v>Sí</v>
      </c>
      <c r="V1896" s="34" t="str">
        <f aca="false">IF(J1896="","SIN DATO",IFERROR(INDEX(cat_FunN,MATCH(J1896,cat_FunO,0)),J1896))</f>
        <v>Protección y medición</v>
      </c>
      <c r="W1896" s="34" t="str">
        <f aca="false">IF(OR(S1896="SIN DATO",T1896="SIN DATO"),"No","Sí")</f>
        <v>Sí</v>
      </c>
    </row>
    <row r="1897" customFormat="false" ht="15" hidden="false" customHeight="false" outlineLevel="0" collapsed="false">
      <c r="A1897" s="34" t="s">
        <v>6898</v>
      </c>
      <c r="B1897" s="34" t="s">
        <v>6899</v>
      </c>
      <c r="C1897" s="34" t="s">
        <v>6900</v>
      </c>
      <c r="D1897" s="34" t="s">
        <v>6901</v>
      </c>
      <c r="E1897" s="34" t="s">
        <v>150</v>
      </c>
      <c r="F1897" s="34" t="s">
        <v>6877</v>
      </c>
      <c r="G1897" s="34" t="s">
        <v>343</v>
      </c>
      <c r="H1897" s="34" t="s">
        <v>73</v>
      </c>
      <c r="I1897" s="34" t="s">
        <v>75</v>
      </c>
      <c r="J1897" s="34" t="s">
        <v>228</v>
      </c>
      <c r="K1897" s="34" t="s">
        <v>229</v>
      </c>
      <c r="L1897" s="34" t="s">
        <v>230</v>
      </c>
      <c r="M1897" s="34" t="s">
        <v>344</v>
      </c>
      <c r="N1897" s="34" t="str">
        <f aca="false">"Sector "&amp;VALUE(MID(D1897,13,2))</f>
        <v>Sector 7</v>
      </c>
      <c r="O1897" s="34" t="str">
        <f aca="false">IF(Dashboard!$C$5="Ubicación técnica",N1897,"Sector "&amp;VALUE(RIGHT(G1897,2)))</f>
        <v>Sector 7</v>
      </c>
      <c r="P1897" s="34" t="str">
        <f aca="false">IF(MID(D1897,15,3)="SEL","Subestación eléctrica","Área de proceso")</f>
        <v>Área de proceso</v>
      </c>
      <c r="Q1897" s="34" t="str">
        <f aca="false">MID(D1897,13,5)&amp;"|"&amp;MID(D1897,19,5)</f>
        <v>07TDE|SCADB</v>
      </c>
      <c r="R1897" s="34" t="str">
        <f aca="false">IF(P1897="Subestación eléctrica",IFERROR(INDEX(cat_SubN,MATCH(Q1897,cat_SubK,0)),"SIN CATALOGAR"),"ÁREA DE PROCESO")</f>
        <v>ÁREA DE PROCESO</v>
      </c>
      <c r="S1897" s="34" t="str">
        <f aca="false">IF(H1897="","SIN DATO",IFERROR(INDEX(cat_MarcaN,MATCH(H1897,cat_MarcaO,0)),H1897))</f>
        <v>SIEMENS</v>
      </c>
      <c r="T1897" s="34" t="str">
        <f aca="false">IF(I1897="","SIN DATO",IFERROR(INDEX(cat_ModN,MATCH(I1897,cat_ModO,0)),I1897))</f>
        <v>REYROLLE</v>
      </c>
      <c r="U1897" s="34" t="str">
        <f aca="false">IF(I1897="","",IFERROR(INDEX(cat_ModG,MATCH(I1897,cat_ModO,0)),"No"))</f>
        <v>Sí</v>
      </c>
      <c r="V1897" s="34" t="str">
        <f aca="false">IF(J1897="","SIN DATO",IFERROR(INDEX(cat_FunN,MATCH(J1897,cat_FunO,0)),J1897))</f>
        <v>Protección y medición</v>
      </c>
      <c r="W1897" s="34" t="str">
        <f aca="false">IF(OR(S1897="SIN DATO",T1897="SIN DATO"),"No","Sí")</f>
        <v>Sí</v>
      </c>
    </row>
    <row r="1898" customFormat="false" ht="15" hidden="false" customHeight="false" outlineLevel="0" collapsed="false">
      <c r="A1898" s="34" t="s">
        <v>6902</v>
      </c>
      <c r="B1898" s="34" t="s">
        <v>6903</v>
      </c>
      <c r="C1898" s="34" t="s">
        <v>6904</v>
      </c>
      <c r="D1898" s="34" t="s">
        <v>6905</v>
      </c>
      <c r="E1898" s="34" t="s">
        <v>150</v>
      </c>
      <c r="F1898" s="34" t="s">
        <v>6877</v>
      </c>
      <c r="G1898" s="34" t="s">
        <v>343</v>
      </c>
      <c r="H1898" s="34" t="s">
        <v>73</v>
      </c>
      <c r="I1898" s="34" t="s">
        <v>75</v>
      </c>
      <c r="J1898" s="34" t="s">
        <v>228</v>
      </c>
      <c r="K1898" s="34" t="s">
        <v>229</v>
      </c>
      <c r="L1898" s="34" t="s">
        <v>230</v>
      </c>
      <c r="M1898" s="34" t="s">
        <v>344</v>
      </c>
      <c r="N1898" s="34" t="str">
        <f aca="false">"Sector "&amp;VALUE(MID(D1898,13,2))</f>
        <v>Sector 7</v>
      </c>
      <c r="O1898" s="34" t="str">
        <f aca="false">IF(Dashboard!$C$5="Ubicación técnica",N1898,"Sector "&amp;VALUE(RIGHT(G1898,2)))</f>
        <v>Sector 7</v>
      </c>
      <c r="P1898" s="34" t="str">
        <f aca="false">IF(MID(D1898,15,3)="SEL","Subestación eléctrica","Área de proceso")</f>
        <v>Área de proceso</v>
      </c>
      <c r="Q1898" s="34" t="str">
        <f aca="false">MID(D1898,13,5)&amp;"|"&amp;MID(D1898,19,5)</f>
        <v>07TDE|SCADB</v>
      </c>
      <c r="R1898" s="34" t="str">
        <f aca="false">IF(P1898="Subestación eléctrica",IFERROR(INDEX(cat_SubN,MATCH(Q1898,cat_SubK,0)),"SIN CATALOGAR"),"ÁREA DE PROCESO")</f>
        <v>ÁREA DE PROCESO</v>
      </c>
      <c r="S1898" s="34" t="str">
        <f aca="false">IF(H1898="","SIN DATO",IFERROR(INDEX(cat_MarcaN,MATCH(H1898,cat_MarcaO,0)),H1898))</f>
        <v>SIEMENS</v>
      </c>
      <c r="T1898" s="34" t="str">
        <f aca="false">IF(I1898="","SIN DATO",IFERROR(INDEX(cat_ModN,MATCH(I1898,cat_ModO,0)),I1898))</f>
        <v>REYROLLE</v>
      </c>
      <c r="U1898" s="34" t="str">
        <f aca="false">IF(I1898="","",IFERROR(INDEX(cat_ModG,MATCH(I1898,cat_ModO,0)),"No"))</f>
        <v>Sí</v>
      </c>
      <c r="V1898" s="34" t="str">
        <f aca="false">IF(J1898="","SIN DATO",IFERROR(INDEX(cat_FunN,MATCH(J1898,cat_FunO,0)),J1898))</f>
        <v>Protección y medición</v>
      </c>
      <c r="W1898" s="34" t="str">
        <f aca="false">IF(OR(S1898="SIN DATO",T1898="SIN DATO"),"No","Sí")</f>
        <v>Sí</v>
      </c>
    </row>
    <row r="1899" customFormat="false" ht="15" hidden="false" customHeight="false" outlineLevel="0" collapsed="false">
      <c r="A1899" s="34" t="s">
        <v>6906</v>
      </c>
      <c r="B1899" s="34" t="s">
        <v>6907</v>
      </c>
      <c r="C1899" s="34" t="s">
        <v>6908</v>
      </c>
      <c r="D1899" s="34" t="s">
        <v>6909</v>
      </c>
      <c r="E1899" s="34" t="s">
        <v>150</v>
      </c>
      <c r="F1899" s="34" t="s">
        <v>6877</v>
      </c>
      <c r="G1899" s="34" t="s">
        <v>343</v>
      </c>
      <c r="H1899" s="34" t="s">
        <v>73</v>
      </c>
      <c r="I1899" s="34" t="s">
        <v>75</v>
      </c>
      <c r="J1899" s="34" t="s">
        <v>228</v>
      </c>
      <c r="K1899" s="34" t="s">
        <v>229</v>
      </c>
      <c r="L1899" s="34" t="s">
        <v>230</v>
      </c>
      <c r="M1899" s="34" t="s">
        <v>344</v>
      </c>
      <c r="N1899" s="34" t="str">
        <f aca="false">"Sector "&amp;VALUE(MID(D1899,13,2))</f>
        <v>Sector 7</v>
      </c>
      <c r="O1899" s="34" t="str">
        <f aca="false">IF(Dashboard!$C$5="Ubicación técnica",N1899,"Sector "&amp;VALUE(RIGHT(G1899,2)))</f>
        <v>Sector 7</v>
      </c>
      <c r="P1899" s="34" t="str">
        <f aca="false">IF(MID(D1899,15,3)="SEL","Subestación eléctrica","Área de proceso")</f>
        <v>Área de proceso</v>
      </c>
      <c r="Q1899" s="34" t="str">
        <f aca="false">MID(D1899,13,5)&amp;"|"&amp;MID(D1899,19,5)</f>
        <v>07TDE|SCADB</v>
      </c>
      <c r="R1899" s="34" t="str">
        <f aca="false">IF(P1899="Subestación eléctrica",IFERROR(INDEX(cat_SubN,MATCH(Q1899,cat_SubK,0)),"SIN CATALOGAR"),"ÁREA DE PROCESO")</f>
        <v>ÁREA DE PROCESO</v>
      </c>
      <c r="S1899" s="34" t="str">
        <f aca="false">IF(H1899="","SIN DATO",IFERROR(INDEX(cat_MarcaN,MATCH(H1899,cat_MarcaO,0)),H1899))</f>
        <v>SIEMENS</v>
      </c>
      <c r="T1899" s="34" t="str">
        <f aca="false">IF(I1899="","SIN DATO",IFERROR(INDEX(cat_ModN,MATCH(I1899,cat_ModO,0)),I1899))</f>
        <v>REYROLLE</v>
      </c>
      <c r="U1899" s="34" t="str">
        <f aca="false">IF(I1899="","",IFERROR(INDEX(cat_ModG,MATCH(I1899,cat_ModO,0)),"No"))</f>
        <v>Sí</v>
      </c>
      <c r="V1899" s="34" t="str">
        <f aca="false">IF(J1899="","SIN DATO",IFERROR(INDEX(cat_FunN,MATCH(J1899,cat_FunO,0)),J1899))</f>
        <v>Protección y medición</v>
      </c>
      <c r="W1899" s="34" t="str">
        <f aca="false">IF(OR(S1899="SIN DATO",T1899="SIN DATO"),"No","Sí")</f>
        <v>Sí</v>
      </c>
    </row>
    <row r="1900" customFormat="false" ht="15" hidden="false" customHeight="false" outlineLevel="0" collapsed="false">
      <c r="A1900" s="34" t="s">
        <v>6910</v>
      </c>
      <c r="B1900" s="34" t="s">
        <v>6911</v>
      </c>
      <c r="C1900" s="34" t="s">
        <v>6912</v>
      </c>
      <c r="D1900" s="34" t="s">
        <v>6913</v>
      </c>
      <c r="E1900" s="34" t="s">
        <v>150</v>
      </c>
      <c r="F1900" s="34" t="s">
        <v>6877</v>
      </c>
      <c r="G1900" s="34" t="s">
        <v>343</v>
      </c>
      <c r="H1900" s="34" t="s">
        <v>73</v>
      </c>
      <c r="I1900" s="34" t="s">
        <v>75</v>
      </c>
      <c r="J1900" s="34" t="s">
        <v>228</v>
      </c>
      <c r="K1900" s="34" t="s">
        <v>229</v>
      </c>
      <c r="L1900" s="34" t="s">
        <v>230</v>
      </c>
      <c r="M1900" s="34" t="s">
        <v>344</v>
      </c>
      <c r="N1900" s="34" t="str">
        <f aca="false">"Sector "&amp;VALUE(MID(D1900,13,2))</f>
        <v>Sector 7</v>
      </c>
      <c r="O1900" s="34" t="str">
        <f aca="false">IF(Dashboard!$C$5="Ubicación técnica",N1900,"Sector "&amp;VALUE(RIGHT(G1900,2)))</f>
        <v>Sector 7</v>
      </c>
      <c r="P1900" s="34" t="str">
        <f aca="false">IF(MID(D1900,15,3)="SEL","Subestación eléctrica","Área de proceso")</f>
        <v>Área de proceso</v>
      </c>
      <c r="Q1900" s="34" t="str">
        <f aca="false">MID(D1900,13,5)&amp;"|"&amp;MID(D1900,19,5)</f>
        <v>07TDE|SCADB</v>
      </c>
      <c r="R1900" s="34" t="str">
        <f aca="false">IF(P1900="Subestación eléctrica",IFERROR(INDEX(cat_SubN,MATCH(Q1900,cat_SubK,0)),"SIN CATALOGAR"),"ÁREA DE PROCESO")</f>
        <v>ÁREA DE PROCESO</v>
      </c>
      <c r="S1900" s="34" t="str">
        <f aca="false">IF(H1900="","SIN DATO",IFERROR(INDEX(cat_MarcaN,MATCH(H1900,cat_MarcaO,0)),H1900))</f>
        <v>SIEMENS</v>
      </c>
      <c r="T1900" s="34" t="str">
        <f aca="false">IF(I1900="","SIN DATO",IFERROR(INDEX(cat_ModN,MATCH(I1900,cat_ModO,0)),I1900))</f>
        <v>REYROLLE</v>
      </c>
      <c r="U1900" s="34" t="str">
        <f aca="false">IF(I1900="","",IFERROR(INDEX(cat_ModG,MATCH(I1900,cat_ModO,0)),"No"))</f>
        <v>Sí</v>
      </c>
      <c r="V1900" s="34" t="str">
        <f aca="false">IF(J1900="","SIN DATO",IFERROR(INDEX(cat_FunN,MATCH(J1900,cat_FunO,0)),J1900))</f>
        <v>Protección y medición</v>
      </c>
      <c r="W1900" s="34" t="str">
        <f aca="false">IF(OR(S1900="SIN DATO",T1900="SIN DATO"),"No","Sí")</f>
        <v>Sí</v>
      </c>
    </row>
    <row r="1901" customFormat="false" ht="15" hidden="false" customHeight="false" outlineLevel="0" collapsed="false">
      <c r="A1901" s="34" t="s">
        <v>6914</v>
      </c>
      <c r="B1901" s="34" t="s">
        <v>6915</v>
      </c>
      <c r="C1901" s="34" t="s">
        <v>6916</v>
      </c>
      <c r="D1901" s="34" t="s">
        <v>6917</v>
      </c>
      <c r="E1901" s="34" t="s">
        <v>142</v>
      </c>
      <c r="F1901" s="34" t="s">
        <v>6918</v>
      </c>
      <c r="G1901" s="34" t="s">
        <v>300</v>
      </c>
      <c r="H1901" s="34" t="s">
        <v>55</v>
      </c>
      <c r="I1901" s="34" t="s">
        <v>2146</v>
      </c>
      <c r="J1901" s="34" t="s">
        <v>2842</v>
      </c>
      <c r="K1901" s="34" t="s">
        <v>236</v>
      </c>
      <c r="L1901" s="34" t="s">
        <v>230</v>
      </c>
      <c r="M1901" s="34" t="s">
        <v>344</v>
      </c>
      <c r="N1901" s="34" t="str">
        <f aca="false">"Sector "&amp;VALUE(MID(D1901,13,2))</f>
        <v>Sector 6</v>
      </c>
      <c r="O1901" s="34" t="str">
        <f aca="false">IF(Dashboard!$C$5="Ubicación técnica",N1901,"Sector "&amp;VALUE(RIGHT(G1901,2)))</f>
        <v>Sector 6</v>
      </c>
      <c r="P1901" s="34" t="str">
        <f aca="false">IF(MID(D1901,15,3)="SEL","Subestación eléctrica","Área de proceso")</f>
        <v>Área de proceso</v>
      </c>
      <c r="Q1901" s="34" t="str">
        <f aca="false">MID(D1901,13,5)&amp;"|"&amp;MID(D1901,19,5)</f>
        <v>06TDF|SALMC</v>
      </c>
      <c r="R1901" s="34" t="str">
        <f aca="false">IF(P1901="Subestación eléctrica",IFERROR(INDEX(cat_SubN,MATCH(Q1901,cat_SubK,0)),"SIN CATALOGAR"),"ÁREA DE PROCESO")</f>
        <v>ÁREA DE PROCESO</v>
      </c>
      <c r="S1901" s="34" t="str">
        <f aca="false">IF(H1901="","SIN DATO",IFERROR(INDEX(cat_MarcaN,MATCH(H1901,cat_MarcaO,0)),H1901))</f>
        <v>SEL</v>
      </c>
      <c r="T1901" s="34" t="str">
        <f aca="false">IF(I1901="","SIN DATO",IFERROR(INDEX(cat_ModN,MATCH(I1901,cat_ModO,0)),I1901))</f>
        <v>SEL-735</v>
      </c>
      <c r="U1901" s="34" t="str">
        <f aca="false">IF(I1901="","",IFERROR(INDEX(cat_ModG,MATCH(I1901,cat_ModO,0)),"No"))</f>
        <v>No</v>
      </c>
      <c r="V1901" s="34" t="str">
        <f aca="false">IF(J1901="","SIN DATO",IFERROR(INDEX(cat_FunN,MATCH(J1901,cat_FunO,0)),J1901))</f>
        <v>Multimedidor</v>
      </c>
      <c r="W1901" s="34" t="str">
        <f aca="false">IF(OR(S1901="SIN DATO",T1901="SIN DATO"),"No","Sí")</f>
        <v>Sí</v>
      </c>
    </row>
    <row r="1902" customFormat="false" ht="15" hidden="false" customHeight="false" outlineLevel="0" collapsed="false">
      <c r="A1902" s="34" t="s">
        <v>6919</v>
      </c>
      <c r="B1902" s="34" t="s">
        <v>6920</v>
      </c>
      <c r="C1902" s="34" t="s">
        <v>6921</v>
      </c>
      <c r="D1902" s="34" t="s">
        <v>6917</v>
      </c>
      <c r="E1902" s="34" t="s">
        <v>142</v>
      </c>
      <c r="F1902" s="34" t="s">
        <v>6918</v>
      </c>
      <c r="G1902" s="34" t="s">
        <v>300</v>
      </c>
      <c r="H1902" s="34" t="s">
        <v>34</v>
      </c>
      <c r="I1902" s="34" t="s">
        <v>53</v>
      </c>
      <c r="J1902" s="34" t="s">
        <v>260</v>
      </c>
      <c r="K1902" s="34" t="s">
        <v>236</v>
      </c>
      <c r="L1902" s="34" t="s">
        <v>230</v>
      </c>
      <c r="M1902" s="34" t="s">
        <v>262</v>
      </c>
      <c r="N1902" s="34" t="str">
        <f aca="false">"Sector "&amp;VALUE(MID(D1902,13,2))</f>
        <v>Sector 6</v>
      </c>
      <c r="O1902" s="34" t="str">
        <f aca="false">IF(Dashboard!$C$5="Ubicación técnica",N1902,"Sector "&amp;VALUE(RIGHT(G1902,2)))</f>
        <v>Sector 6</v>
      </c>
      <c r="P1902" s="34" t="str">
        <f aca="false">IF(MID(D1902,15,3)="SEL","Subestación eléctrica","Área de proceso")</f>
        <v>Área de proceso</v>
      </c>
      <c r="Q1902" s="34" t="str">
        <f aca="false">MID(D1902,13,5)&amp;"|"&amp;MID(D1902,19,5)</f>
        <v>06TDF|SALMC</v>
      </c>
      <c r="R1902" s="34" t="str">
        <f aca="false">IF(P1902="Subestación eléctrica",IFERROR(INDEX(cat_SubN,MATCH(Q1902,cat_SubK,0)),"SIN CATALOGAR"),"ÁREA DE PROCESO")</f>
        <v>ÁREA DE PROCESO</v>
      </c>
      <c r="S1902" s="34" t="str">
        <f aca="false">IF(H1902="","SIN DATO",IFERROR(INDEX(cat_MarcaN,MATCH(H1902,cat_MarcaO,0)),H1902))</f>
        <v>ABB</v>
      </c>
      <c r="T1902" s="34" t="str">
        <f aca="false">IF(I1902="","SIN DATO",IFERROR(INDEX(cat_ModN,MATCH(I1902,cat_ModO,0)),I1902))</f>
        <v>REM615_1G</v>
      </c>
      <c r="U1902" s="34" t="str">
        <f aca="false">IF(I1902="","",IFERROR(INDEX(cat_ModG,MATCH(I1902,cat_ModO,0)),"No"))</f>
        <v>No</v>
      </c>
      <c r="V1902" s="34" t="str">
        <f aca="false">IF(J1902="","SIN DATO",IFERROR(INDEX(cat_FunN,MATCH(J1902,cat_FunO,0)),J1902))</f>
        <v>Protección y medición</v>
      </c>
      <c r="W1902" s="34" t="str">
        <f aca="false">IF(OR(S1902="SIN DATO",T1902="SIN DATO"),"No","Sí")</f>
        <v>Sí</v>
      </c>
    </row>
    <row r="1903" customFormat="false" ht="15" hidden="false" customHeight="false" outlineLevel="0" collapsed="false">
      <c r="A1903" s="34" t="s">
        <v>6922</v>
      </c>
      <c r="B1903" s="34" t="s">
        <v>6923</v>
      </c>
      <c r="C1903" s="34" t="s">
        <v>6924</v>
      </c>
      <c r="D1903" s="34" t="s">
        <v>6925</v>
      </c>
      <c r="E1903" s="34" t="s">
        <v>142</v>
      </c>
      <c r="F1903" s="34" t="s">
        <v>6918</v>
      </c>
      <c r="G1903" s="34" t="s">
        <v>300</v>
      </c>
      <c r="H1903" s="34" t="s">
        <v>34</v>
      </c>
      <c r="I1903" s="34" t="s">
        <v>53</v>
      </c>
      <c r="J1903" s="34" t="s">
        <v>260</v>
      </c>
      <c r="K1903" s="34" t="s">
        <v>236</v>
      </c>
      <c r="L1903" s="34" t="s">
        <v>230</v>
      </c>
      <c r="M1903" s="34" t="s">
        <v>262</v>
      </c>
      <c r="N1903" s="34" t="str">
        <f aca="false">"Sector "&amp;VALUE(MID(D1903,13,2))</f>
        <v>Sector 6</v>
      </c>
      <c r="O1903" s="34" t="str">
        <f aca="false">IF(Dashboard!$C$5="Ubicación técnica",N1903,"Sector "&amp;VALUE(RIGHT(G1903,2)))</f>
        <v>Sector 6</v>
      </c>
      <c r="P1903" s="34" t="str">
        <f aca="false">IF(MID(D1903,15,3)="SEL","Subestación eléctrica","Área de proceso")</f>
        <v>Área de proceso</v>
      </c>
      <c r="Q1903" s="34" t="str">
        <f aca="false">MID(D1903,13,5)&amp;"|"&amp;MID(D1903,19,5)</f>
        <v>06TDF|SALMC</v>
      </c>
      <c r="R1903" s="34" t="str">
        <f aca="false">IF(P1903="Subestación eléctrica",IFERROR(INDEX(cat_SubN,MATCH(Q1903,cat_SubK,0)),"SIN CATALOGAR"),"ÁREA DE PROCESO")</f>
        <v>ÁREA DE PROCESO</v>
      </c>
      <c r="S1903" s="34" t="str">
        <f aca="false">IF(H1903="","SIN DATO",IFERROR(INDEX(cat_MarcaN,MATCH(H1903,cat_MarcaO,0)),H1903))</f>
        <v>ABB</v>
      </c>
      <c r="T1903" s="34" t="str">
        <f aca="false">IF(I1903="","SIN DATO",IFERROR(INDEX(cat_ModN,MATCH(I1903,cat_ModO,0)),I1903))</f>
        <v>REM615_1G</v>
      </c>
      <c r="U1903" s="34" t="str">
        <f aca="false">IF(I1903="","",IFERROR(INDEX(cat_ModG,MATCH(I1903,cat_ModO,0)),"No"))</f>
        <v>No</v>
      </c>
      <c r="V1903" s="34" t="str">
        <f aca="false">IF(J1903="","SIN DATO",IFERROR(INDEX(cat_FunN,MATCH(J1903,cat_FunO,0)),J1903))</f>
        <v>Protección y medición</v>
      </c>
      <c r="W1903" s="34" t="str">
        <f aca="false">IF(OR(S1903="SIN DATO",T1903="SIN DATO"),"No","Sí")</f>
        <v>Sí</v>
      </c>
    </row>
    <row r="1904" customFormat="false" ht="15" hidden="false" customHeight="false" outlineLevel="0" collapsed="false">
      <c r="A1904" s="34" t="s">
        <v>6926</v>
      </c>
      <c r="B1904" s="34" t="s">
        <v>6927</v>
      </c>
      <c r="C1904" s="34" t="s">
        <v>6928</v>
      </c>
      <c r="D1904" s="34" t="s">
        <v>6925</v>
      </c>
      <c r="E1904" s="34" t="s">
        <v>142</v>
      </c>
      <c r="F1904" s="34" t="s">
        <v>6918</v>
      </c>
      <c r="G1904" s="34" t="s">
        <v>300</v>
      </c>
      <c r="H1904" s="34" t="s">
        <v>55</v>
      </c>
      <c r="I1904" s="34" t="s">
        <v>2146</v>
      </c>
      <c r="J1904" s="34" t="s">
        <v>2842</v>
      </c>
      <c r="K1904" s="34" t="s">
        <v>236</v>
      </c>
      <c r="L1904" s="34" t="s">
        <v>230</v>
      </c>
      <c r="M1904" s="34" t="s">
        <v>344</v>
      </c>
      <c r="N1904" s="34" t="str">
        <f aca="false">"Sector "&amp;VALUE(MID(D1904,13,2))</f>
        <v>Sector 6</v>
      </c>
      <c r="O1904" s="34" t="str">
        <f aca="false">IF(Dashboard!$C$5="Ubicación técnica",N1904,"Sector "&amp;VALUE(RIGHT(G1904,2)))</f>
        <v>Sector 6</v>
      </c>
      <c r="P1904" s="34" t="str">
        <f aca="false">IF(MID(D1904,15,3)="SEL","Subestación eléctrica","Área de proceso")</f>
        <v>Área de proceso</v>
      </c>
      <c r="Q1904" s="34" t="str">
        <f aca="false">MID(D1904,13,5)&amp;"|"&amp;MID(D1904,19,5)</f>
        <v>06TDF|SALMC</v>
      </c>
      <c r="R1904" s="34" t="str">
        <f aca="false">IF(P1904="Subestación eléctrica",IFERROR(INDEX(cat_SubN,MATCH(Q1904,cat_SubK,0)),"SIN CATALOGAR"),"ÁREA DE PROCESO")</f>
        <v>ÁREA DE PROCESO</v>
      </c>
      <c r="S1904" s="34" t="str">
        <f aca="false">IF(H1904="","SIN DATO",IFERROR(INDEX(cat_MarcaN,MATCH(H1904,cat_MarcaO,0)),H1904))</f>
        <v>SEL</v>
      </c>
      <c r="T1904" s="34" t="str">
        <f aca="false">IF(I1904="","SIN DATO",IFERROR(INDEX(cat_ModN,MATCH(I1904,cat_ModO,0)),I1904))</f>
        <v>SEL-735</v>
      </c>
      <c r="U1904" s="34" t="str">
        <f aca="false">IF(I1904="","",IFERROR(INDEX(cat_ModG,MATCH(I1904,cat_ModO,0)),"No"))</f>
        <v>No</v>
      </c>
      <c r="V1904" s="34" t="str">
        <f aca="false">IF(J1904="","SIN DATO",IFERROR(INDEX(cat_FunN,MATCH(J1904,cat_FunO,0)),J1904))</f>
        <v>Multimedidor</v>
      </c>
      <c r="W1904" s="34" t="str">
        <f aca="false">IF(OR(S1904="SIN DATO",T1904="SIN DATO"),"No","Sí")</f>
        <v>Sí</v>
      </c>
    </row>
    <row r="1905" customFormat="false" ht="15" hidden="false" customHeight="false" outlineLevel="0" collapsed="false">
      <c r="A1905" s="34" t="s">
        <v>6929</v>
      </c>
      <c r="B1905" s="34" t="s">
        <v>6930</v>
      </c>
      <c r="C1905" s="34" t="s">
        <v>6931</v>
      </c>
      <c r="D1905" s="34" t="s">
        <v>6932</v>
      </c>
      <c r="E1905" s="34" t="s">
        <v>6933</v>
      </c>
      <c r="F1905" s="34" t="s">
        <v>6934</v>
      </c>
      <c r="G1905" s="34" t="s">
        <v>227</v>
      </c>
      <c r="H1905" s="34" t="s">
        <v>34</v>
      </c>
      <c r="I1905" s="34" t="s">
        <v>41</v>
      </c>
      <c r="J1905" s="34" t="s">
        <v>228</v>
      </c>
      <c r="K1905" s="34" t="s">
        <v>229</v>
      </c>
      <c r="L1905" s="34" t="s">
        <v>230</v>
      </c>
      <c r="M1905" s="34" t="s">
        <v>1663</v>
      </c>
      <c r="N1905" s="34" t="str">
        <f aca="false">"Sector "&amp;VALUE(MID(D1905,13,2))</f>
        <v>Sector 8</v>
      </c>
      <c r="O1905" s="34" t="str">
        <f aca="false">IF(Dashboard!$C$5="Ubicación técnica",N1905,"Sector "&amp;VALUE(RIGHT(G1905,2)))</f>
        <v>Sector 8</v>
      </c>
      <c r="P1905" s="34" t="str">
        <f aca="false">IF(MID(D1905,15,3)="SEL","Subestación eléctrica","Área de proceso")</f>
        <v>Área de proceso</v>
      </c>
      <c r="Q1905" s="34" t="str">
        <f aca="false">MID(D1905,13,5)&amp;"|"&amp;MID(D1905,19,5)</f>
        <v>08TEA|CT205</v>
      </c>
      <c r="R1905" s="34" t="str">
        <f aca="false">IF(P1905="Subestación eléctrica",IFERROR(INDEX(cat_SubN,MATCH(Q1905,cat_SubK,0)),"SIN CATALOGAR"),"ÁREA DE PROCESO")</f>
        <v>ÁREA DE PROCESO</v>
      </c>
      <c r="S1905" s="34" t="str">
        <f aca="false">IF(H1905="","SIN DATO",IFERROR(INDEX(cat_MarcaN,MATCH(H1905,cat_MarcaO,0)),H1905))</f>
        <v>ABB</v>
      </c>
      <c r="T1905" s="34" t="str">
        <f aca="false">IF(I1905="","SIN DATO",IFERROR(INDEX(cat_ModN,MATCH(I1905,cat_ModO,0)),I1905))</f>
        <v>REM615A_1G</v>
      </c>
      <c r="U1905" s="34" t="str">
        <f aca="false">IF(I1905="","",IFERROR(INDEX(cat_ModG,MATCH(I1905,cat_ModO,0)),"No"))</f>
        <v>No</v>
      </c>
      <c r="V1905" s="34" t="str">
        <f aca="false">IF(J1905="","SIN DATO",IFERROR(INDEX(cat_FunN,MATCH(J1905,cat_FunO,0)),J1905))</f>
        <v>Protección y medición</v>
      </c>
      <c r="W1905" s="34" t="str">
        <f aca="false">IF(OR(S1905="SIN DATO",T1905="SIN DATO"),"No","Sí")</f>
        <v>Sí</v>
      </c>
    </row>
    <row r="1906" customFormat="false" ht="15" hidden="false" customHeight="false" outlineLevel="0" collapsed="false">
      <c r="A1906" s="34" t="s">
        <v>6935</v>
      </c>
      <c r="B1906" s="34" t="s">
        <v>6936</v>
      </c>
      <c r="C1906" s="34" t="s">
        <v>6937</v>
      </c>
      <c r="D1906" s="34" t="s">
        <v>6938</v>
      </c>
      <c r="E1906" s="34" t="s">
        <v>6933</v>
      </c>
      <c r="F1906" s="34" t="s">
        <v>6934</v>
      </c>
      <c r="G1906" s="34" t="s">
        <v>227</v>
      </c>
      <c r="H1906" s="34" t="s">
        <v>34</v>
      </c>
      <c r="I1906" s="34" t="s">
        <v>41</v>
      </c>
      <c r="J1906" s="34" t="s">
        <v>228</v>
      </c>
      <c r="K1906" s="34" t="s">
        <v>229</v>
      </c>
      <c r="L1906" s="34" t="s">
        <v>230</v>
      </c>
      <c r="M1906" s="34" t="s">
        <v>1663</v>
      </c>
      <c r="N1906" s="34" t="str">
        <f aca="false">"Sector "&amp;VALUE(MID(D1906,13,2))</f>
        <v>Sector 8</v>
      </c>
      <c r="O1906" s="34" t="str">
        <f aca="false">IF(Dashboard!$C$5="Ubicación técnica",N1906,"Sector "&amp;VALUE(RIGHT(G1906,2)))</f>
        <v>Sector 8</v>
      </c>
      <c r="P1906" s="34" t="str">
        <f aca="false">IF(MID(D1906,15,3)="SEL","Subestación eléctrica","Área de proceso")</f>
        <v>Área de proceso</v>
      </c>
      <c r="Q1906" s="34" t="str">
        <f aca="false">MID(D1906,13,5)&amp;"|"&amp;MID(D1906,19,5)</f>
        <v>08TEA|CT205</v>
      </c>
      <c r="R1906" s="34" t="str">
        <f aca="false">IF(P1906="Subestación eléctrica",IFERROR(INDEX(cat_SubN,MATCH(Q1906,cat_SubK,0)),"SIN CATALOGAR"),"ÁREA DE PROCESO")</f>
        <v>ÁREA DE PROCESO</v>
      </c>
      <c r="S1906" s="34" t="str">
        <f aca="false">IF(H1906="","SIN DATO",IFERROR(INDEX(cat_MarcaN,MATCH(H1906,cat_MarcaO,0)),H1906))</f>
        <v>ABB</v>
      </c>
      <c r="T1906" s="34" t="str">
        <f aca="false">IF(I1906="","SIN DATO",IFERROR(INDEX(cat_ModN,MATCH(I1906,cat_ModO,0)),I1906))</f>
        <v>REM615A_1G</v>
      </c>
      <c r="U1906" s="34" t="str">
        <f aca="false">IF(I1906="","",IFERROR(INDEX(cat_ModG,MATCH(I1906,cat_ModO,0)),"No"))</f>
        <v>No</v>
      </c>
      <c r="V1906" s="34" t="str">
        <f aca="false">IF(J1906="","SIN DATO",IFERROR(INDEX(cat_FunN,MATCH(J1906,cat_FunO,0)),J1906))</f>
        <v>Protección y medición</v>
      </c>
      <c r="W1906" s="34" t="str">
        <f aca="false">IF(OR(S1906="SIN DATO",T1906="SIN DATO"),"No","Sí")</f>
        <v>Sí</v>
      </c>
    </row>
    <row r="1907" customFormat="false" ht="15" hidden="false" customHeight="false" outlineLevel="0" collapsed="false">
      <c r="A1907" s="34" t="s">
        <v>6939</v>
      </c>
      <c r="B1907" s="34" t="s">
        <v>6940</v>
      </c>
      <c r="C1907" s="34" t="s">
        <v>6941</v>
      </c>
      <c r="D1907" s="34" t="s">
        <v>6942</v>
      </c>
      <c r="E1907" s="34" t="s">
        <v>6933</v>
      </c>
      <c r="F1907" s="34" t="s">
        <v>6934</v>
      </c>
      <c r="G1907" s="34" t="s">
        <v>227</v>
      </c>
      <c r="H1907" s="34" t="s">
        <v>34</v>
      </c>
      <c r="I1907" s="34" t="s">
        <v>41</v>
      </c>
      <c r="J1907" s="34" t="s">
        <v>228</v>
      </c>
      <c r="K1907" s="34" t="s">
        <v>229</v>
      </c>
      <c r="L1907" s="34" t="s">
        <v>230</v>
      </c>
      <c r="M1907" s="34" t="s">
        <v>1663</v>
      </c>
      <c r="N1907" s="34" t="str">
        <f aca="false">"Sector "&amp;VALUE(MID(D1907,13,2))</f>
        <v>Sector 8</v>
      </c>
      <c r="O1907" s="34" t="str">
        <f aca="false">IF(Dashboard!$C$5="Ubicación técnica",N1907,"Sector "&amp;VALUE(RIGHT(G1907,2)))</f>
        <v>Sector 8</v>
      </c>
      <c r="P1907" s="34" t="str">
        <f aca="false">IF(MID(D1907,15,3)="SEL","Subestación eléctrica","Área de proceso")</f>
        <v>Área de proceso</v>
      </c>
      <c r="Q1907" s="34" t="str">
        <f aca="false">MID(D1907,13,5)&amp;"|"&amp;MID(D1907,19,5)</f>
        <v>08TEA|CT205</v>
      </c>
      <c r="R1907" s="34" t="str">
        <f aca="false">IF(P1907="Subestación eléctrica",IFERROR(INDEX(cat_SubN,MATCH(Q1907,cat_SubK,0)),"SIN CATALOGAR"),"ÁREA DE PROCESO")</f>
        <v>ÁREA DE PROCESO</v>
      </c>
      <c r="S1907" s="34" t="str">
        <f aca="false">IF(H1907="","SIN DATO",IFERROR(INDEX(cat_MarcaN,MATCH(H1907,cat_MarcaO,0)),H1907))</f>
        <v>ABB</v>
      </c>
      <c r="T1907" s="34" t="str">
        <f aca="false">IF(I1907="","SIN DATO",IFERROR(INDEX(cat_ModN,MATCH(I1907,cat_ModO,0)),I1907))</f>
        <v>REM615A_1G</v>
      </c>
      <c r="U1907" s="34" t="str">
        <f aca="false">IF(I1907="","",IFERROR(INDEX(cat_ModG,MATCH(I1907,cat_ModO,0)),"No"))</f>
        <v>No</v>
      </c>
      <c r="V1907" s="34" t="str">
        <f aca="false">IF(J1907="","SIN DATO",IFERROR(INDEX(cat_FunN,MATCH(J1907,cat_FunO,0)),J1907))</f>
        <v>Protección y medición</v>
      </c>
      <c r="W1907" s="34" t="str">
        <f aca="false">IF(OR(S1907="SIN DATO",T1907="SIN DATO"),"No","Sí")</f>
        <v>Sí</v>
      </c>
    </row>
    <row r="1908" customFormat="false" ht="15" hidden="false" customHeight="false" outlineLevel="0" collapsed="false">
      <c r="A1908" s="34" t="s">
        <v>6943</v>
      </c>
      <c r="B1908" s="34" t="s">
        <v>6944</v>
      </c>
      <c r="C1908" s="34" t="s">
        <v>6945</v>
      </c>
      <c r="D1908" s="34" t="s">
        <v>6946</v>
      </c>
      <c r="E1908" s="34" t="s">
        <v>6933</v>
      </c>
      <c r="F1908" s="34" t="s">
        <v>6934</v>
      </c>
      <c r="G1908" s="34" t="s">
        <v>227</v>
      </c>
      <c r="H1908" s="34" t="s">
        <v>34</v>
      </c>
      <c r="I1908" s="34" t="s">
        <v>41</v>
      </c>
      <c r="J1908" s="34" t="s">
        <v>228</v>
      </c>
      <c r="K1908" s="34" t="s">
        <v>229</v>
      </c>
      <c r="L1908" s="34" t="s">
        <v>230</v>
      </c>
      <c r="M1908" s="34" t="s">
        <v>1663</v>
      </c>
      <c r="N1908" s="34" t="str">
        <f aca="false">"Sector "&amp;VALUE(MID(D1908,13,2))</f>
        <v>Sector 8</v>
      </c>
      <c r="O1908" s="34" t="str">
        <f aca="false">IF(Dashboard!$C$5="Ubicación técnica",N1908,"Sector "&amp;VALUE(RIGHT(G1908,2)))</f>
        <v>Sector 8</v>
      </c>
      <c r="P1908" s="34" t="str">
        <f aca="false">IF(MID(D1908,15,3)="SEL","Subestación eléctrica","Área de proceso")</f>
        <v>Área de proceso</v>
      </c>
      <c r="Q1908" s="34" t="str">
        <f aca="false">MID(D1908,13,5)&amp;"|"&amp;MID(D1908,19,5)</f>
        <v>08TEA|CT205</v>
      </c>
      <c r="R1908" s="34" t="str">
        <f aca="false">IF(P1908="Subestación eléctrica",IFERROR(INDEX(cat_SubN,MATCH(Q1908,cat_SubK,0)),"SIN CATALOGAR"),"ÁREA DE PROCESO")</f>
        <v>ÁREA DE PROCESO</v>
      </c>
      <c r="S1908" s="34" t="str">
        <f aca="false">IF(H1908="","SIN DATO",IFERROR(INDEX(cat_MarcaN,MATCH(H1908,cat_MarcaO,0)),H1908))</f>
        <v>ABB</v>
      </c>
      <c r="T1908" s="34" t="str">
        <f aca="false">IF(I1908="","SIN DATO",IFERROR(INDEX(cat_ModN,MATCH(I1908,cat_ModO,0)),I1908))</f>
        <v>REM615A_1G</v>
      </c>
      <c r="U1908" s="34" t="str">
        <f aca="false">IF(I1908="","",IFERROR(INDEX(cat_ModG,MATCH(I1908,cat_ModO,0)),"No"))</f>
        <v>No</v>
      </c>
      <c r="V1908" s="34" t="str">
        <f aca="false">IF(J1908="","SIN DATO",IFERROR(INDEX(cat_FunN,MATCH(J1908,cat_FunO,0)),J1908))</f>
        <v>Protección y medición</v>
      </c>
      <c r="W1908" s="34" t="str">
        <f aca="false">IF(OR(S1908="SIN DATO",T1908="SIN DATO"),"No","Sí")</f>
        <v>Sí</v>
      </c>
    </row>
    <row r="1909" customFormat="false" ht="15" hidden="false" customHeight="false" outlineLevel="0" collapsed="false">
      <c r="A1909" s="34" t="s">
        <v>6947</v>
      </c>
      <c r="B1909" s="34" t="s">
        <v>6948</v>
      </c>
      <c r="C1909" s="34" t="s">
        <v>6949</v>
      </c>
      <c r="D1909" s="34" t="s">
        <v>6950</v>
      </c>
      <c r="E1909" s="34" t="s">
        <v>6933</v>
      </c>
      <c r="F1909" s="34" t="s">
        <v>6934</v>
      </c>
      <c r="G1909" s="34" t="s">
        <v>227</v>
      </c>
      <c r="H1909" s="34" t="s">
        <v>34</v>
      </c>
      <c r="I1909" s="34" t="s">
        <v>41</v>
      </c>
      <c r="J1909" s="34" t="s">
        <v>228</v>
      </c>
      <c r="K1909" s="34" t="s">
        <v>229</v>
      </c>
      <c r="L1909" s="34" t="s">
        <v>230</v>
      </c>
      <c r="M1909" s="34" t="s">
        <v>1663</v>
      </c>
      <c r="N1909" s="34" t="str">
        <f aca="false">"Sector "&amp;VALUE(MID(D1909,13,2))</f>
        <v>Sector 8</v>
      </c>
      <c r="O1909" s="34" t="str">
        <f aca="false">IF(Dashboard!$C$5="Ubicación técnica",N1909,"Sector "&amp;VALUE(RIGHT(G1909,2)))</f>
        <v>Sector 8</v>
      </c>
      <c r="P1909" s="34" t="str">
        <f aca="false">IF(MID(D1909,15,3)="SEL","Subestación eléctrica","Área de proceso")</f>
        <v>Área de proceso</v>
      </c>
      <c r="Q1909" s="34" t="str">
        <f aca="false">MID(D1909,13,5)&amp;"|"&amp;MID(D1909,19,5)</f>
        <v>08TEA|CT205</v>
      </c>
      <c r="R1909" s="34" t="str">
        <f aca="false">IF(P1909="Subestación eléctrica",IFERROR(INDEX(cat_SubN,MATCH(Q1909,cat_SubK,0)),"SIN CATALOGAR"),"ÁREA DE PROCESO")</f>
        <v>ÁREA DE PROCESO</v>
      </c>
      <c r="S1909" s="34" t="str">
        <f aca="false">IF(H1909="","SIN DATO",IFERROR(INDEX(cat_MarcaN,MATCH(H1909,cat_MarcaO,0)),H1909))</f>
        <v>ABB</v>
      </c>
      <c r="T1909" s="34" t="str">
        <f aca="false">IF(I1909="","SIN DATO",IFERROR(INDEX(cat_ModN,MATCH(I1909,cat_ModO,0)),I1909))</f>
        <v>REM615A_1G</v>
      </c>
      <c r="U1909" s="34" t="str">
        <f aca="false">IF(I1909="","",IFERROR(INDEX(cat_ModG,MATCH(I1909,cat_ModO,0)),"No"))</f>
        <v>No</v>
      </c>
      <c r="V1909" s="34" t="str">
        <f aca="false">IF(J1909="","SIN DATO",IFERROR(INDEX(cat_FunN,MATCH(J1909,cat_FunO,0)),J1909))</f>
        <v>Protección y medición</v>
      </c>
      <c r="W1909" s="34" t="str">
        <f aca="false">IF(OR(S1909="SIN DATO",T1909="SIN DATO"),"No","Sí")</f>
        <v>Sí</v>
      </c>
    </row>
    <row r="1910" customFormat="false" ht="15" hidden="false" customHeight="false" outlineLevel="0" collapsed="false">
      <c r="A1910" s="34" t="s">
        <v>6951</v>
      </c>
      <c r="B1910" s="34" t="s">
        <v>6952</v>
      </c>
      <c r="C1910" s="34" t="s">
        <v>6953</v>
      </c>
      <c r="D1910" s="34" t="s">
        <v>6954</v>
      </c>
      <c r="E1910" s="34" t="s">
        <v>6933</v>
      </c>
      <c r="F1910" s="34" t="s">
        <v>6934</v>
      </c>
      <c r="G1910" s="34" t="s">
        <v>227</v>
      </c>
      <c r="H1910" s="34" t="s">
        <v>34</v>
      </c>
      <c r="I1910" s="34" t="s">
        <v>41</v>
      </c>
      <c r="J1910" s="34" t="s">
        <v>228</v>
      </c>
      <c r="K1910" s="34" t="s">
        <v>229</v>
      </c>
      <c r="L1910" s="34" t="s">
        <v>230</v>
      </c>
      <c r="M1910" s="34" t="s">
        <v>1663</v>
      </c>
      <c r="N1910" s="34" t="str">
        <f aca="false">"Sector "&amp;VALUE(MID(D1910,13,2))</f>
        <v>Sector 8</v>
      </c>
      <c r="O1910" s="34" t="str">
        <f aca="false">IF(Dashboard!$C$5="Ubicación técnica",N1910,"Sector "&amp;VALUE(RIGHT(G1910,2)))</f>
        <v>Sector 8</v>
      </c>
      <c r="P1910" s="34" t="str">
        <f aca="false">IF(MID(D1910,15,3)="SEL","Subestación eléctrica","Área de proceso")</f>
        <v>Área de proceso</v>
      </c>
      <c r="Q1910" s="34" t="str">
        <f aca="false">MID(D1910,13,5)&amp;"|"&amp;MID(D1910,19,5)</f>
        <v>08TEA|CT205</v>
      </c>
      <c r="R1910" s="34" t="str">
        <f aca="false">IF(P1910="Subestación eléctrica",IFERROR(INDEX(cat_SubN,MATCH(Q1910,cat_SubK,0)),"SIN CATALOGAR"),"ÁREA DE PROCESO")</f>
        <v>ÁREA DE PROCESO</v>
      </c>
      <c r="S1910" s="34" t="str">
        <f aca="false">IF(H1910="","SIN DATO",IFERROR(INDEX(cat_MarcaN,MATCH(H1910,cat_MarcaO,0)),H1910))</f>
        <v>ABB</v>
      </c>
      <c r="T1910" s="34" t="str">
        <f aca="false">IF(I1910="","SIN DATO",IFERROR(INDEX(cat_ModN,MATCH(I1910,cat_ModO,0)),I1910))</f>
        <v>REM615A_1G</v>
      </c>
      <c r="U1910" s="34" t="str">
        <f aca="false">IF(I1910="","",IFERROR(INDEX(cat_ModG,MATCH(I1910,cat_ModO,0)),"No"))</f>
        <v>No</v>
      </c>
      <c r="V1910" s="34" t="str">
        <f aca="false">IF(J1910="","SIN DATO",IFERROR(INDEX(cat_FunN,MATCH(J1910,cat_FunO,0)),J1910))</f>
        <v>Protección y medición</v>
      </c>
      <c r="W1910" s="34" t="str">
        <f aca="false">IF(OR(S1910="SIN DATO",T1910="SIN DATO"),"No","Sí")</f>
        <v>Sí</v>
      </c>
    </row>
    <row r="1911" customFormat="false" ht="15" hidden="false" customHeight="false" outlineLevel="0" collapsed="false">
      <c r="A1911" s="34" t="s">
        <v>6955</v>
      </c>
      <c r="B1911" s="34" t="s">
        <v>6956</v>
      </c>
      <c r="C1911" s="34" t="s">
        <v>6957</v>
      </c>
      <c r="D1911" s="34" t="s">
        <v>6958</v>
      </c>
      <c r="E1911" s="34" t="s">
        <v>6933</v>
      </c>
      <c r="F1911" s="34" t="s">
        <v>6934</v>
      </c>
      <c r="G1911" s="34" t="s">
        <v>227</v>
      </c>
      <c r="H1911" s="34" t="s">
        <v>34</v>
      </c>
      <c r="I1911" s="34" t="s">
        <v>41</v>
      </c>
      <c r="J1911" s="34" t="s">
        <v>228</v>
      </c>
      <c r="K1911" s="34" t="s">
        <v>229</v>
      </c>
      <c r="L1911" s="34" t="s">
        <v>230</v>
      </c>
      <c r="M1911" s="34" t="s">
        <v>1663</v>
      </c>
      <c r="N1911" s="34" t="str">
        <f aca="false">"Sector "&amp;VALUE(MID(D1911,13,2))</f>
        <v>Sector 8</v>
      </c>
      <c r="O1911" s="34" t="str">
        <f aca="false">IF(Dashboard!$C$5="Ubicación técnica",N1911,"Sector "&amp;VALUE(RIGHT(G1911,2)))</f>
        <v>Sector 8</v>
      </c>
      <c r="P1911" s="34" t="str">
        <f aca="false">IF(MID(D1911,15,3)="SEL","Subestación eléctrica","Área de proceso")</f>
        <v>Área de proceso</v>
      </c>
      <c r="Q1911" s="34" t="str">
        <f aca="false">MID(D1911,13,5)&amp;"|"&amp;MID(D1911,19,5)</f>
        <v>08TEA|CT205</v>
      </c>
      <c r="R1911" s="34" t="str">
        <f aca="false">IF(P1911="Subestación eléctrica",IFERROR(INDEX(cat_SubN,MATCH(Q1911,cat_SubK,0)),"SIN CATALOGAR"),"ÁREA DE PROCESO")</f>
        <v>ÁREA DE PROCESO</v>
      </c>
      <c r="S1911" s="34" t="str">
        <f aca="false">IF(H1911="","SIN DATO",IFERROR(INDEX(cat_MarcaN,MATCH(H1911,cat_MarcaO,0)),H1911))</f>
        <v>ABB</v>
      </c>
      <c r="T1911" s="34" t="str">
        <f aca="false">IF(I1911="","SIN DATO",IFERROR(INDEX(cat_ModN,MATCH(I1911,cat_ModO,0)),I1911))</f>
        <v>REM615A_1G</v>
      </c>
      <c r="U1911" s="34" t="str">
        <f aca="false">IF(I1911="","",IFERROR(INDEX(cat_ModG,MATCH(I1911,cat_ModO,0)),"No"))</f>
        <v>No</v>
      </c>
      <c r="V1911" s="34" t="str">
        <f aca="false">IF(J1911="","SIN DATO",IFERROR(INDEX(cat_FunN,MATCH(J1911,cat_FunO,0)),J1911))</f>
        <v>Protección y medición</v>
      </c>
      <c r="W1911" s="34" t="str">
        <f aca="false">IF(OR(S1911="SIN DATO",T1911="SIN DATO"),"No","Sí")</f>
        <v>Sí</v>
      </c>
    </row>
    <row r="1912" customFormat="false" ht="15" hidden="false" customHeight="false" outlineLevel="0" collapsed="false">
      <c r="A1912" s="34" t="s">
        <v>6959</v>
      </c>
      <c r="B1912" s="34" t="s">
        <v>6960</v>
      </c>
      <c r="C1912" s="34" t="s">
        <v>6961</v>
      </c>
      <c r="D1912" s="34" t="s">
        <v>6962</v>
      </c>
      <c r="E1912" s="34" t="s">
        <v>6933</v>
      </c>
      <c r="F1912" s="34" t="s">
        <v>6934</v>
      </c>
      <c r="G1912" s="34" t="s">
        <v>227</v>
      </c>
      <c r="H1912" s="34" t="s">
        <v>34</v>
      </c>
      <c r="I1912" s="34" t="s">
        <v>41</v>
      </c>
      <c r="J1912" s="34" t="s">
        <v>228</v>
      </c>
      <c r="K1912" s="34" t="s">
        <v>229</v>
      </c>
      <c r="L1912" s="34" t="s">
        <v>230</v>
      </c>
      <c r="M1912" s="34" t="s">
        <v>1663</v>
      </c>
      <c r="N1912" s="34" t="str">
        <f aca="false">"Sector "&amp;VALUE(MID(D1912,13,2))</f>
        <v>Sector 8</v>
      </c>
      <c r="O1912" s="34" t="str">
        <f aca="false">IF(Dashboard!$C$5="Ubicación técnica",N1912,"Sector "&amp;VALUE(RIGHT(G1912,2)))</f>
        <v>Sector 8</v>
      </c>
      <c r="P1912" s="34" t="str">
        <f aca="false">IF(MID(D1912,15,3)="SEL","Subestación eléctrica","Área de proceso")</f>
        <v>Área de proceso</v>
      </c>
      <c r="Q1912" s="34" t="str">
        <f aca="false">MID(D1912,13,5)&amp;"|"&amp;MID(D1912,19,5)</f>
        <v>08TEA|CT205</v>
      </c>
      <c r="R1912" s="34" t="str">
        <f aca="false">IF(P1912="Subestación eléctrica",IFERROR(INDEX(cat_SubN,MATCH(Q1912,cat_SubK,0)),"SIN CATALOGAR"),"ÁREA DE PROCESO")</f>
        <v>ÁREA DE PROCESO</v>
      </c>
      <c r="S1912" s="34" t="str">
        <f aca="false">IF(H1912="","SIN DATO",IFERROR(INDEX(cat_MarcaN,MATCH(H1912,cat_MarcaO,0)),H1912))</f>
        <v>ABB</v>
      </c>
      <c r="T1912" s="34" t="str">
        <f aca="false">IF(I1912="","SIN DATO",IFERROR(INDEX(cat_ModN,MATCH(I1912,cat_ModO,0)),I1912))</f>
        <v>REM615A_1G</v>
      </c>
      <c r="U1912" s="34" t="str">
        <f aca="false">IF(I1912="","",IFERROR(INDEX(cat_ModG,MATCH(I1912,cat_ModO,0)),"No"))</f>
        <v>No</v>
      </c>
      <c r="V1912" s="34" t="str">
        <f aca="false">IF(J1912="","SIN DATO",IFERROR(INDEX(cat_FunN,MATCH(J1912,cat_FunO,0)),J1912))</f>
        <v>Protección y medición</v>
      </c>
      <c r="W1912" s="34" t="str">
        <f aca="false">IF(OR(S1912="SIN DATO",T1912="SIN DATO"),"No","Sí")</f>
        <v>Sí</v>
      </c>
    </row>
    <row r="1913" customFormat="false" ht="15" hidden="false" customHeight="false" outlineLevel="0" collapsed="false">
      <c r="A1913" s="34" t="s">
        <v>6963</v>
      </c>
      <c r="B1913" s="34" t="s">
        <v>6964</v>
      </c>
      <c r="C1913" s="34" t="s">
        <v>6965</v>
      </c>
      <c r="D1913" s="34" t="s">
        <v>6966</v>
      </c>
      <c r="E1913" s="34" t="s">
        <v>6933</v>
      </c>
      <c r="F1913" s="34" t="s">
        <v>6934</v>
      </c>
      <c r="G1913" s="34" t="s">
        <v>227</v>
      </c>
      <c r="H1913" s="34" t="s">
        <v>34</v>
      </c>
      <c r="I1913" s="34" t="s">
        <v>41</v>
      </c>
      <c r="J1913" s="34" t="s">
        <v>228</v>
      </c>
      <c r="K1913" s="34" t="s">
        <v>229</v>
      </c>
      <c r="L1913" s="34" t="s">
        <v>230</v>
      </c>
      <c r="M1913" s="34" t="s">
        <v>1663</v>
      </c>
      <c r="N1913" s="34" t="str">
        <f aca="false">"Sector "&amp;VALUE(MID(D1913,13,2))</f>
        <v>Sector 8</v>
      </c>
      <c r="O1913" s="34" t="str">
        <f aca="false">IF(Dashboard!$C$5="Ubicación técnica",N1913,"Sector "&amp;VALUE(RIGHT(G1913,2)))</f>
        <v>Sector 8</v>
      </c>
      <c r="P1913" s="34" t="str">
        <f aca="false">IF(MID(D1913,15,3)="SEL","Subestación eléctrica","Área de proceso")</f>
        <v>Área de proceso</v>
      </c>
      <c r="Q1913" s="34" t="str">
        <f aca="false">MID(D1913,13,5)&amp;"|"&amp;MID(D1913,19,5)</f>
        <v>08TEA|CT205</v>
      </c>
      <c r="R1913" s="34" t="str">
        <f aca="false">IF(P1913="Subestación eléctrica",IFERROR(INDEX(cat_SubN,MATCH(Q1913,cat_SubK,0)),"SIN CATALOGAR"),"ÁREA DE PROCESO")</f>
        <v>ÁREA DE PROCESO</v>
      </c>
      <c r="S1913" s="34" t="str">
        <f aca="false">IF(H1913="","SIN DATO",IFERROR(INDEX(cat_MarcaN,MATCH(H1913,cat_MarcaO,0)),H1913))</f>
        <v>ABB</v>
      </c>
      <c r="T1913" s="34" t="str">
        <f aca="false">IF(I1913="","SIN DATO",IFERROR(INDEX(cat_ModN,MATCH(I1913,cat_ModO,0)),I1913))</f>
        <v>REM615A_1G</v>
      </c>
      <c r="U1913" s="34" t="str">
        <f aca="false">IF(I1913="","",IFERROR(INDEX(cat_ModG,MATCH(I1913,cat_ModO,0)),"No"))</f>
        <v>No</v>
      </c>
      <c r="V1913" s="34" t="str">
        <f aca="false">IF(J1913="","SIN DATO",IFERROR(INDEX(cat_FunN,MATCH(J1913,cat_FunO,0)),J1913))</f>
        <v>Protección y medición</v>
      </c>
      <c r="W1913" s="34" t="str">
        <f aca="false">IF(OR(S1913="SIN DATO",T1913="SIN DATO"),"No","Sí")</f>
        <v>Sí</v>
      </c>
    </row>
    <row r="1914" customFormat="false" ht="15" hidden="false" customHeight="false" outlineLevel="0" collapsed="false">
      <c r="A1914" s="34" t="s">
        <v>6967</v>
      </c>
      <c r="B1914" s="34" t="s">
        <v>6968</v>
      </c>
      <c r="C1914" s="34" t="s">
        <v>6969</v>
      </c>
      <c r="D1914" s="34" t="s">
        <v>6970</v>
      </c>
      <c r="E1914" s="34" t="s">
        <v>6933</v>
      </c>
      <c r="F1914" s="34" t="s">
        <v>6934</v>
      </c>
      <c r="G1914" s="34" t="s">
        <v>227</v>
      </c>
      <c r="H1914" s="34" t="s">
        <v>34</v>
      </c>
      <c r="I1914" s="34" t="s">
        <v>41</v>
      </c>
      <c r="J1914" s="34" t="s">
        <v>228</v>
      </c>
      <c r="K1914" s="34" t="s">
        <v>229</v>
      </c>
      <c r="L1914" s="34" t="s">
        <v>230</v>
      </c>
      <c r="M1914" s="34" t="s">
        <v>1663</v>
      </c>
      <c r="N1914" s="34" t="str">
        <f aca="false">"Sector "&amp;VALUE(MID(D1914,13,2))</f>
        <v>Sector 8</v>
      </c>
      <c r="O1914" s="34" t="str">
        <f aca="false">IF(Dashboard!$C$5="Ubicación técnica",N1914,"Sector "&amp;VALUE(RIGHT(G1914,2)))</f>
        <v>Sector 8</v>
      </c>
      <c r="P1914" s="34" t="str">
        <f aca="false">IF(MID(D1914,15,3)="SEL","Subestación eléctrica","Área de proceso")</f>
        <v>Área de proceso</v>
      </c>
      <c r="Q1914" s="34" t="str">
        <f aca="false">MID(D1914,13,5)&amp;"|"&amp;MID(D1914,19,5)</f>
        <v>08TEA|CT205</v>
      </c>
      <c r="R1914" s="34" t="str">
        <f aca="false">IF(P1914="Subestación eléctrica",IFERROR(INDEX(cat_SubN,MATCH(Q1914,cat_SubK,0)),"SIN CATALOGAR"),"ÁREA DE PROCESO")</f>
        <v>ÁREA DE PROCESO</v>
      </c>
      <c r="S1914" s="34" t="str">
        <f aca="false">IF(H1914="","SIN DATO",IFERROR(INDEX(cat_MarcaN,MATCH(H1914,cat_MarcaO,0)),H1914))</f>
        <v>ABB</v>
      </c>
      <c r="T1914" s="34" t="str">
        <f aca="false">IF(I1914="","SIN DATO",IFERROR(INDEX(cat_ModN,MATCH(I1914,cat_ModO,0)),I1914))</f>
        <v>REM615A_1G</v>
      </c>
      <c r="U1914" s="34" t="str">
        <f aca="false">IF(I1914="","",IFERROR(INDEX(cat_ModG,MATCH(I1914,cat_ModO,0)),"No"))</f>
        <v>No</v>
      </c>
      <c r="V1914" s="34" t="str">
        <f aca="false">IF(J1914="","SIN DATO",IFERROR(INDEX(cat_FunN,MATCH(J1914,cat_FunO,0)),J1914))</f>
        <v>Protección y medición</v>
      </c>
      <c r="W1914" s="34" t="str">
        <f aca="false">IF(OR(S1914="SIN DATO",T1914="SIN DATO"),"No","Sí")</f>
        <v>Sí</v>
      </c>
    </row>
    <row r="1915" customFormat="false" ht="15" hidden="false" customHeight="false" outlineLevel="0" collapsed="false">
      <c r="A1915" s="34" t="s">
        <v>6971</v>
      </c>
      <c r="B1915" s="34" t="s">
        <v>6972</v>
      </c>
      <c r="C1915" s="34" t="s">
        <v>6973</v>
      </c>
      <c r="D1915" s="34" t="s">
        <v>6974</v>
      </c>
      <c r="E1915" s="34" t="s">
        <v>6933</v>
      </c>
      <c r="F1915" s="34" t="s">
        <v>6934</v>
      </c>
      <c r="G1915" s="34" t="s">
        <v>227</v>
      </c>
      <c r="H1915" s="34" t="s">
        <v>34</v>
      </c>
      <c r="I1915" s="34" t="s">
        <v>41</v>
      </c>
      <c r="J1915" s="34" t="s">
        <v>228</v>
      </c>
      <c r="K1915" s="34" t="s">
        <v>229</v>
      </c>
      <c r="L1915" s="34" t="s">
        <v>230</v>
      </c>
      <c r="M1915" s="34" t="s">
        <v>1663</v>
      </c>
      <c r="N1915" s="34" t="str">
        <f aca="false">"Sector "&amp;VALUE(MID(D1915,13,2))</f>
        <v>Sector 8</v>
      </c>
      <c r="O1915" s="34" t="str">
        <f aca="false">IF(Dashboard!$C$5="Ubicación técnica",N1915,"Sector "&amp;VALUE(RIGHT(G1915,2)))</f>
        <v>Sector 8</v>
      </c>
      <c r="P1915" s="34" t="str">
        <f aca="false">IF(MID(D1915,15,3)="SEL","Subestación eléctrica","Área de proceso")</f>
        <v>Área de proceso</v>
      </c>
      <c r="Q1915" s="34" t="str">
        <f aca="false">MID(D1915,13,5)&amp;"|"&amp;MID(D1915,19,5)</f>
        <v>08TEA|CT205</v>
      </c>
      <c r="R1915" s="34" t="str">
        <f aca="false">IF(P1915="Subestación eléctrica",IFERROR(INDEX(cat_SubN,MATCH(Q1915,cat_SubK,0)),"SIN CATALOGAR"),"ÁREA DE PROCESO")</f>
        <v>ÁREA DE PROCESO</v>
      </c>
      <c r="S1915" s="34" t="str">
        <f aca="false">IF(H1915="","SIN DATO",IFERROR(INDEX(cat_MarcaN,MATCH(H1915,cat_MarcaO,0)),H1915))</f>
        <v>ABB</v>
      </c>
      <c r="T1915" s="34" t="str">
        <f aca="false">IF(I1915="","SIN DATO",IFERROR(INDEX(cat_ModN,MATCH(I1915,cat_ModO,0)),I1915))</f>
        <v>REM615A_1G</v>
      </c>
      <c r="U1915" s="34" t="str">
        <f aca="false">IF(I1915="","",IFERROR(INDEX(cat_ModG,MATCH(I1915,cat_ModO,0)),"No"))</f>
        <v>No</v>
      </c>
      <c r="V1915" s="34" t="str">
        <f aca="false">IF(J1915="","SIN DATO",IFERROR(INDEX(cat_FunN,MATCH(J1915,cat_FunO,0)),J1915))</f>
        <v>Protección y medición</v>
      </c>
      <c r="W1915" s="34" t="str">
        <f aca="false">IF(OR(S1915="SIN DATO",T1915="SIN DATO"),"No","Sí")</f>
        <v>Sí</v>
      </c>
    </row>
    <row r="1916" customFormat="false" ht="15" hidden="false" customHeight="false" outlineLevel="0" collapsed="false">
      <c r="A1916" s="34" t="s">
        <v>6975</v>
      </c>
      <c r="B1916" s="34" t="s">
        <v>6976</v>
      </c>
      <c r="C1916" s="34" t="s">
        <v>6977</v>
      </c>
      <c r="D1916" s="34" t="s">
        <v>6978</v>
      </c>
      <c r="E1916" s="34" t="s">
        <v>178</v>
      </c>
      <c r="F1916" s="34" t="s">
        <v>6934</v>
      </c>
      <c r="G1916" s="34" t="s">
        <v>227</v>
      </c>
      <c r="H1916" s="34" t="s">
        <v>34</v>
      </c>
      <c r="I1916" s="34" t="s">
        <v>41</v>
      </c>
      <c r="J1916" s="34" t="s">
        <v>228</v>
      </c>
      <c r="K1916" s="34" t="s">
        <v>229</v>
      </c>
      <c r="L1916" s="34" t="s">
        <v>230</v>
      </c>
      <c r="M1916" s="34" t="s">
        <v>1663</v>
      </c>
      <c r="N1916" s="34" t="str">
        <f aca="false">"Sector "&amp;VALUE(MID(D1916,13,2))</f>
        <v>Sector 8</v>
      </c>
      <c r="O1916" s="34" t="str">
        <f aca="false">IF(Dashboard!$C$5="Ubicación técnica",N1916,"Sector "&amp;VALUE(RIGHT(G1916,2)))</f>
        <v>Sector 8</v>
      </c>
      <c r="P1916" s="34" t="str">
        <f aca="false">IF(MID(D1916,15,3)="SEL","Subestación eléctrica","Área de proceso")</f>
        <v>Área de proceso</v>
      </c>
      <c r="Q1916" s="34" t="str">
        <f aca="false">MID(D1916,13,5)&amp;"|"&amp;MID(D1916,19,5)</f>
        <v>08TEA|CT202</v>
      </c>
      <c r="R1916" s="34" t="str">
        <f aca="false">IF(P1916="Subestación eléctrica",IFERROR(INDEX(cat_SubN,MATCH(Q1916,cat_SubK,0)),"SIN CATALOGAR"),"ÁREA DE PROCESO")</f>
        <v>ÁREA DE PROCESO</v>
      </c>
      <c r="S1916" s="34" t="str">
        <f aca="false">IF(H1916="","SIN DATO",IFERROR(INDEX(cat_MarcaN,MATCH(H1916,cat_MarcaO,0)),H1916))</f>
        <v>ABB</v>
      </c>
      <c r="T1916" s="34" t="str">
        <f aca="false">IF(I1916="","SIN DATO",IFERROR(INDEX(cat_ModN,MATCH(I1916,cat_ModO,0)),I1916))</f>
        <v>REM615A_1G</v>
      </c>
      <c r="U1916" s="34" t="str">
        <f aca="false">IF(I1916="","",IFERROR(INDEX(cat_ModG,MATCH(I1916,cat_ModO,0)),"No"))</f>
        <v>No</v>
      </c>
      <c r="V1916" s="34" t="str">
        <f aca="false">IF(J1916="","SIN DATO",IFERROR(INDEX(cat_FunN,MATCH(J1916,cat_FunO,0)),J1916))</f>
        <v>Protección y medición</v>
      </c>
      <c r="W1916" s="34" t="str">
        <f aca="false">IF(OR(S1916="SIN DATO",T1916="SIN DATO"),"No","Sí")</f>
        <v>Sí</v>
      </c>
    </row>
    <row r="1917" customFormat="false" ht="15" hidden="false" customHeight="false" outlineLevel="0" collapsed="false">
      <c r="A1917" s="34" t="s">
        <v>6979</v>
      </c>
      <c r="B1917" s="34" t="s">
        <v>6980</v>
      </c>
      <c r="C1917" s="34" t="s">
        <v>6981</v>
      </c>
      <c r="D1917" s="34" t="s">
        <v>6982</v>
      </c>
      <c r="E1917" s="34" t="s">
        <v>178</v>
      </c>
      <c r="F1917" s="34" t="s">
        <v>6934</v>
      </c>
      <c r="G1917" s="34" t="s">
        <v>227</v>
      </c>
      <c r="H1917" s="34" t="s">
        <v>34</v>
      </c>
      <c r="I1917" s="34" t="s">
        <v>41</v>
      </c>
      <c r="J1917" s="34" t="s">
        <v>228</v>
      </c>
      <c r="K1917" s="34" t="s">
        <v>229</v>
      </c>
      <c r="L1917" s="34" t="s">
        <v>230</v>
      </c>
      <c r="M1917" s="34" t="s">
        <v>1663</v>
      </c>
      <c r="N1917" s="34" t="str">
        <f aca="false">"Sector "&amp;VALUE(MID(D1917,13,2))</f>
        <v>Sector 8</v>
      </c>
      <c r="O1917" s="34" t="str">
        <f aca="false">IF(Dashboard!$C$5="Ubicación técnica",N1917,"Sector "&amp;VALUE(RIGHT(G1917,2)))</f>
        <v>Sector 8</v>
      </c>
      <c r="P1917" s="34" t="str">
        <f aca="false">IF(MID(D1917,15,3)="SEL","Subestación eléctrica","Área de proceso")</f>
        <v>Área de proceso</v>
      </c>
      <c r="Q1917" s="34" t="str">
        <f aca="false">MID(D1917,13,5)&amp;"|"&amp;MID(D1917,19,5)</f>
        <v>08TEA|CT202</v>
      </c>
      <c r="R1917" s="34" t="str">
        <f aca="false">IF(P1917="Subestación eléctrica",IFERROR(INDEX(cat_SubN,MATCH(Q1917,cat_SubK,0)),"SIN CATALOGAR"),"ÁREA DE PROCESO")</f>
        <v>ÁREA DE PROCESO</v>
      </c>
      <c r="S1917" s="34" t="str">
        <f aca="false">IF(H1917="","SIN DATO",IFERROR(INDEX(cat_MarcaN,MATCH(H1917,cat_MarcaO,0)),H1917))</f>
        <v>ABB</v>
      </c>
      <c r="T1917" s="34" t="str">
        <f aca="false">IF(I1917="","SIN DATO",IFERROR(INDEX(cat_ModN,MATCH(I1917,cat_ModO,0)),I1917))</f>
        <v>REM615A_1G</v>
      </c>
      <c r="U1917" s="34" t="str">
        <f aca="false">IF(I1917="","",IFERROR(INDEX(cat_ModG,MATCH(I1917,cat_ModO,0)),"No"))</f>
        <v>No</v>
      </c>
      <c r="V1917" s="34" t="str">
        <f aca="false">IF(J1917="","SIN DATO",IFERROR(INDEX(cat_FunN,MATCH(J1917,cat_FunO,0)),J1917))</f>
        <v>Protección y medición</v>
      </c>
      <c r="W1917" s="34" t="str">
        <f aca="false">IF(OR(S1917="SIN DATO",T1917="SIN DATO"),"No","Sí")</f>
        <v>Sí</v>
      </c>
    </row>
    <row r="1918" customFormat="false" ht="15" hidden="false" customHeight="false" outlineLevel="0" collapsed="false">
      <c r="A1918" s="34" t="s">
        <v>6983</v>
      </c>
      <c r="B1918" s="34" t="s">
        <v>6984</v>
      </c>
      <c r="C1918" s="34" t="s">
        <v>6985</v>
      </c>
      <c r="D1918" s="34" t="s">
        <v>6986</v>
      </c>
      <c r="E1918" s="34" t="s">
        <v>178</v>
      </c>
      <c r="F1918" s="34" t="s">
        <v>6934</v>
      </c>
      <c r="G1918" s="34" t="s">
        <v>227</v>
      </c>
      <c r="H1918" s="34" t="s">
        <v>34</v>
      </c>
      <c r="I1918" s="34" t="s">
        <v>41</v>
      </c>
      <c r="J1918" s="34" t="s">
        <v>228</v>
      </c>
      <c r="K1918" s="34" t="s">
        <v>229</v>
      </c>
      <c r="L1918" s="34" t="s">
        <v>230</v>
      </c>
      <c r="M1918" s="34" t="s">
        <v>1663</v>
      </c>
      <c r="N1918" s="34" t="str">
        <f aca="false">"Sector "&amp;VALUE(MID(D1918,13,2))</f>
        <v>Sector 8</v>
      </c>
      <c r="O1918" s="34" t="str">
        <f aca="false">IF(Dashboard!$C$5="Ubicación técnica",N1918,"Sector "&amp;VALUE(RIGHT(G1918,2)))</f>
        <v>Sector 8</v>
      </c>
      <c r="P1918" s="34" t="str">
        <f aca="false">IF(MID(D1918,15,3)="SEL","Subestación eléctrica","Área de proceso")</f>
        <v>Área de proceso</v>
      </c>
      <c r="Q1918" s="34" t="str">
        <f aca="false">MID(D1918,13,5)&amp;"|"&amp;MID(D1918,19,5)</f>
        <v>08TEA|CT202</v>
      </c>
      <c r="R1918" s="34" t="str">
        <f aca="false">IF(P1918="Subestación eléctrica",IFERROR(INDEX(cat_SubN,MATCH(Q1918,cat_SubK,0)),"SIN CATALOGAR"),"ÁREA DE PROCESO")</f>
        <v>ÁREA DE PROCESO</v>
      </c>
      <c r="S1918" s="34" t="str">
        <f aca="false">IF(H1918="","SIN DATO",IFERROR(INDEX(cat_MarcaN,MATCH(H1918,cat_MarcaO,0)),H1918))</f>
        <v>ABB</v>
      </c>
      <c r="T1918" s="34" t="str">
        <f aca="false">IF(I1918="","SIN DATO",IFERROR(INDEX(cat_ModN,MATCH(I1918,cat_ModO,0)),I1918))</f>
        <v>REM615A_1G</v>
      </c>
      <c r="U1918" s="34" t="str">
        <f aca="false">IF(I1918="","",IFERROR(INDEX(cat_ModG,MATCH(I1918,cat_ModO,0)),"No"))</f>
        <v>No</v>
      </c>
      <c r="V1918" s="34" t="str">
        <f aca="false">IF(J1918="","SIN DATO",IFERROR(INDEX(cat_FunN,MATCH(J1918,cat_FunO,0)),J1918))</f>
        <v>Protección y medición</v>
      </c>
      <c r="W1918" s="34" t="str">
        <f aca="false">IF(OR(S1918="SIN DATO",T1918="SIN DATO"),"No","Sí")</f>
        <v>Sí</v>
      </c>
    </row>
    <row r="1919" customFormat="false" ht="15" hidden="false" customHeight="false" outlineLevel="0" collapsed="false">
      <c r="A1919" s="34" t="s">
        <v>6987</v>
      </c>
      <c r="B1919" s="34" t="s">
        <v>6988</v>
      </c>
      <c r="C1919" s="34" t="s">
        <v>6989</v>
      </c>
      <c r="D1919" s="34" t="s">
        <v>6990</v>
      </c>
      <c r="E1919" s="34" t="s">
        <v>6933</v>
      </c>
      <c r="F1919" s="34" t="s">
        <v>6934</v>
      </c>
      <c r="G1919" s="34" t="s">
        <v>227</v>
      </c>
      <c r="H1919" s="34" t="s">
        <v>34</v>
      </c>
      <c r="I1919" s="34" t="s">
        <v>41</v>
      </c>
      <c r="J1919" s="34" t="s">
        <v>228</v>
      </c>
      <c r="K1919" s="34" t="s">
        <v>229</v>
      </c>
      <c r="L1919" s="34" t="s">
        <v>230</v>
      </c>
      <c r="M1919" s="34" t="s">
        <v>1663</v>
      </c>
      <c r="N1919" s="34" t="str">
        <f aca="false">"Sector "&amp;VALUE(MID(D1919,13,2))</f>
        <v>Sector 8</v>
      </c>
      <c r="O1919" s="34" t="str">
        <f aca="false">IF(Dashboard!$C$5="Ubicación técnica",N1919,"Sector "&amp;VALUE(RIGHT(G1919,2)))</f>
        <v>Sector 8</v>
      </c>
      <c r="P1919" s="34" t="str">
        <f aca="false">IF(MID(D1919,15,3)="SEL","Subestación eléctrica","Área de proceso")</f>
        <v>Área de proceso</v>
      </c>
      <c r="Q1919" s="34" t="str">
        <f aca="false">MID(D1919,13,5)&amp;"|"&amp;MID(D1919,19,5)</f>
        <v>08TEA|CT205</v>
      </c>
      <c r="R1919" s="34" t="str">
        <f aca="false">IF(P1919="Subestación eléctrica",IFERROR(INDEX(cat_SubN,MATCH(Q1919,cat_SubK,0)),"SIN CATALOGAR"),"ÁREA DE PROCESO")</f>
        <v>ÁREA DE PROCESO</v>
      </c>
      <c r="S1919" s="34" t="str">
        <f aca="false">IF(H1919="","SIN DATO",IFERROR(INDEX(cat_MarcaN,MATCH(H1919,cat_MarcaO,0)),H1919))</f>
        <v>ABB</v>
      </c>
      <c r="T1919" s="34" t="str">
        <f aca="false">IF(I1919="","SIN DATO",IFERROR(INDEX(cat_ModN,MATCH(I1919,cat_ModO,0)),I1919))</f>
        <v>REM615A_1G</v>
      </c>
      <c r="U1919" s="34" t="str">
        <f aca="false">IF(I1919="","",IFERROR(INDEX(cat_ModG,MATCH(I1919,cat_ModO,0)),"No"))</f>
        <v>No</v>
      </c>
      <c r="V1919" s="34" t="str">
        <f aca="false">IF(J1919="","SIN DATO",IFERROR(INDEX(cat_FunN,MATCH(J1919,cat_FunO,0)),J1919))</f>
        <v>Protección y medición</v>
      </c>
      <c r="W1919" s="34" t="str">
        <f aca="false">IF(OR(S1919="SIN DATO",T1919="SIN DATO"),"No","Sí")</f>
        <v>Sí</v>
      </c>
    </row>
    <row r="1920" customFormat="false" ht="15" hidden="false" customHeight="false" outlineLevel="0" collapsed="false">
      <c r="A1920" s="34" t="s">
        <v>6991</v>
      </c>
      <c r="B1920" s="34" t="s">
        <v>6992</v>
      </c>
      <c r="C1920" s="34" t="s">
        <v>6993</v>
      </c>
      <c r="D1920" s="34" t="s">
        <v>6994</v>
      </c>
      <c r="E1920" s="34" t="s">
        <v>6933</v>
      </c>
      <c r="F1920" s="34" t="s">
        <v>6934</v>
      </c>
      <c r="G1920" s="34" t="s">
        <v>227</v>
      </c>
      <c r="H1920" s="34" t="s">
        <v>34</v>
      </c>
      <c r="I1920" s="34" t="s">
        <v>41</v>
      </c>
      <c r="J1920" s="34" t="s">
        <v>228</v>
      </c>
      <c r="K1920" s="34" t="s">
        <v>229</v>
      </c>
      <c r="L1920" s="34" t="s">
        <v>230</v>
      </c>
      <c r="M1920" s="34" t="s">
        <v>1663</v>
      </c>
      <c r="N1920" s="34" t="str">
        <f aca="false">"Sector "&amp;VALUE(MID(D1920,13,2))</f>
        <v>Sector 8</v>
      </c>
      <c r="O1920" s="34" t="str">
        <f aca="false">IF(Dashboard!$C$5="Ubicación técnica",N1920,"Sector "&amp;VALUE(RIGHT(G1920,2)))</f>
        <v>Sector 8</v>
      </c>
      <c r="P1920" s="34" t="str">
        <f aca="false">IF(MID(D1920,15,3)="SEL","Subestación eléctrica","Área de proceso")</f>
        <v>Área de proceso</v>
      </c>
      <c r="Q1920" s="34" t="str">
        <f aca="false">MID(D1920,13,5)&amp;"|"&amp;MID(D1920,19,5)</f>
        <v>08TEA|CT205</v>
      </c>
      <c r="R1920" s="34" t="str">
        <f aca="false">IF(P1920="Subestación eléctrica",IFERROR(INDEX(cat_SubN,MATCH(Q1920,cat_SubK,0)),"SIN CATALOGAR"),"ÁREA DE PROCESO")</f>
        <v>ÁREA DE PROCESO</v>
      </c>
      <c r="S1920" s="34" t="str">
        <f aca="false">IF(H1920="","SIN DATO",IFERROR(INDEX(cat_MarcaN,MATCH(H1920,cat_MarcaO,0)),H1920))</f>
        <v>ABB</v>
      </c>
      <c r="T1920" s="34" t="str">
        <f aca="false">IF(I1920="","SIN DATO",IFERROR(INDEX(cat_ModN,MATCH(I1920,cat_ModO,0)),I1920))</f>
        <v>REM615A_1G</v>
      </c>
      <c r="U1920" s="34" t="str">
        <f aca="false">IF(I1920="","",IFERROR(INDEX(cat_ModG,MATCH(I1920,cat_ModO,0)),"No"))</f>
        <v>No</v>
      </c>
      <c r="V1920" s="34" t="str">
        <f aca="false">IF(J1920="","SIN DATO",IFERROR(INDEX(cat_FunN,MATCH(J1920,cat_FunO,0)),J1920))</f>
        <v>Protección y medición</v>
      </c>
      <c r="W1920" s="34" t="str">
        <f aca="false">IF(OR(S1920="SIN DATO",T1920="SIN DATO"),"No","Sí")</f>
        <v>Sí</v>
      </c>
    </row>
    <row r="1921" customFormat="false" ht="15" hidden="false" customHeight="false" outlineLevel="0" collapsed="false">
      <c r="A1921" s="34" t="s">
        <v>6995</v>
      </c>
      <c r="B1921" s="34" t="s">
        <v>6996</v>
      </c>
      <c r="C1921" s="34" t="s">
        <v>6997</v>
      </c>
      <c r="D1921" s="34" t="s">
        <v>6998</v>
      </c>
      <c r="E1921" s="34" t="s">
        <v>6933</v>
      </c>
      <c r="F1921" s="34" t="s">
        <v>6934</v>
      </c>
      <c r="G1921" s="34" t="s">
        <v>227</v>
      </c>
      <c r="H1921" s="34" t="s">
        <v>34</v>
      </c>
      <c r="I1921" s="34" t="s">
        <v>41</v>
      </c>
      <c r="J1921" s="34" t="s">
        <v>228</v>
      </c>
      <c r="K1921" s="34" t="s">
        <v>229</v>
      </c>
      <c r="L1921" s="34" t="s">
        <v>230</v>
      </c>
      <c r="M1921" s="34" t="s">
        <v>1663</v>
      </c>
      <c r="N1921" s="34" t="str">
        <f aca="false">"Sector "&amp;VALUE(MID(D1921,13,2))</f>
        <v>Sector 8</v>
      </c>
      <c r="O1921" s="34" t="str">
        <f aca="false">IF(Dashboard!$C$5="Ubicación técnica",N1921,"Sector "&amp;VALUE(RIGHT(G1921,2)))</f>
        <v>Sector 8</v>
      </c>
      <c r="P1921" s="34" t="str">
        <f aca="false">IF(MID(D1921,15,3)="SEL","Subestación eléctrica","Área de proceso")</f>
        <v>Área de proceso</v>
      </c>
      <c r="Q1921" s="34" t="str">
        <f aca="false">MID(D1921,13,5)&amp;"|"&amp;MID(D1921,19,5)</f>
        <v>08TEA|CT205</v>
      </c>
      <c r="R1921" s="34" t="str">
        <f aca="false">IF(P1921="Subestación eléctrica",IFERROR(INDEX(cat_SubN,MATCH(Q1921,cat_SubK,0)),"SIN CATALOGAR"),"ÁREA DE PROCESO")</f>
        <v>ÁREA DE PROCESO</v>
      </c>
      <c r="S1921" s="34" t="str">
        <f aca="false">IF(H1921="","SIN DATO",IFERROR(INDEX(cat_MarcaN,MATCH(H1921,cat_MarcaO,0)),H1921))</f>
        <v>ABB</v>
      </c>
      <c r="T1921" s="34" t="str">
        <f aca="false">IF(I1921="","SIN DATO",IFERROR(INDEX(cat_ModN,MATCH(I1921,cat_ModO,0)),I1921))</f>
        <v>REM615A_1G</v>
      </c>
      <c r="U1921" s="34" t="str">
        <f aca="false">IF(I1921="","",IFERROR(INDEX(cat_ModG,MATCH(I1921,cat_ModO,0)),"No"))</f>
        <v>No</v>
      </c>
      <c r="V1921" s="34" t="str">
        <f aca="false">IF(J1921="","SIN DATO",IFERROR(INDEX(cat_FunN,MATCH(J1921,cat_FunO,0)),J1921))</f>
        <v>Protección y medición</v>
      </c>
      <c r="W1921" s="34" t="str">
        <f aca="false">IF(OR(S1921="SIN DATO",T1921="SIN DATO"),"No","Sí")</f>
        <v>Sí</v>
      </c>
    </row>
    <row r="1922" customFormat="false" ht="15" hidden="false" customHeight="false" outlineLevel="0" collapsed="false">
      <c r="A1922" s="34" t="s">
        <v>6999</v>
      </c>
      <c r="B1922" s="34" t="s">
        <v>7000</v>
      </c>
      <c r="C1922" s="34" t="s">
        <v>7001</v>
      </c>
      <c r="D1922" s="34" t="s">
        <v>7002</v>
      </c>
      <c r="E1922" s="34" t="s">
        <v>6933</v>
      </c>
      <c r="F1922" s="34" t="s">
        <v>6934</v>
      </c>
      <c r="G1922" s="34" t="s">
        <v>227</v>
      </c>
      <c r="H1922" s="34" t="s">
        <v>34</v>
      </c>
      <c r="I1922" s="34" t="s">
        <v>41</v>
      </c>
      <c r="J1922" s="34" t="s">
        <v>228</v>
      </c>
      <c r="K1922" s="34" t="s">
        <v>229</v>
      </c>
      <c r="L1922" s="34" t="s">
        <v>230</v>
      </c>
      <c r="M1922" s="34" t="s">
        <v>1663</v>
      </c>
      <c r="N1922" s="34" t="str">
        <f aca="false">"Sector "&amp;VALUE(MID(D1922,13,2))</f>
        <v>Sector 8</v>
      </c>
      <c r="O1922" s="34" t="str">
        <f aca="false">IF(Dashboard!$C$5="Ubicación técnica",N1922,"Sector "&amp;VALUE(RIGHT(G1922,2)))</f>
        <v>Sector 8</v>
      </c>
      <c r="P1922" s="34" t="str">
        <f aca="false">IF(MID(D1922,15,3)="SEL","Subestación eléctrica","Área de proceso")</f>
        <v>Área de proceso</v>
      </c>
      <c r="Q1922" s="34" t="str">
        <f aca="false">MID(D1922,13,5)&amp;"|"&amp;MID(D1922,19,5)</f>
        <v>08TEA|CT205</v>
      </c>
      <c r="R1922" s="34" t="str">
        <f aca="false">IF(P1922="Subestación eléctrica",IFERROR(INDEX(cat_SubN,MATCH(Q1922,cat_SubK,0)),"SIN CATALOGAR"),"ÁREA DE PROCESO")</f>
        <v>ÁREA DE PROCESO</v>
      </c>
      <c r="S1922" s="34" t="str">
        <f aca="false">IF(H1922="","SIN DATO",IFERROR(INDEX(cat_MarcaN,MATCH(H1922,cat_MarcaO,0)),H1922))</f>
        <v>ABB</v>
      </c>
      <c r="T1922" s="34" t="str">
        <f aca="false">IF(I1922="","SIN DATO",IFERROR(INDEX(cat_ModN,MATCH(I1922,cat_ModO,0)),I1922))</f>
        <v>REM615A_1G</v>
      </c>
      <c r="U1922" s="34" t="str">
        <f aca="false">IF(I1922="","",IFERROR(INDEX(cat_ModG,MATCH(I1922,cat_ModO,0)),"No"))</f>
        <v>No</v>
      </c>
      <c r="V1922" s="34" t="str">
        <f aca="false">IF(J1922="","SIN DATO",IFERROR(INDEX(cat_FunN,MATCH(J1922,cat_FunO,0)),J1922))</f>
        <v>Protección y medición</v>
      </c>
      <c r="W1922" s="34" t="str">
        <f aca="false">IF(OR(S1922="SIN DATO",T1922="SIN DATO"),"No","Sí")</f>
        <v>Sí</v>
      </c>
    </row>
    <row r="1923" customFormat="false" ht="15" hidden="false" customHeight="false" outlineLevel="0" collapsed="false">
      <c r="A1923" s="34" t="s">
        <v>7003</v>
      </c>
      <c r="B1923" s="34" t="s">
        <v>7004</v>
      </c>
      <c r="C1923" s="34" t="s">
        <v>7005</v>
      </c>
      <c r="D1923" s="34" t="s">
        <v>7006</v>
      </c>
      <c r="E1923" s="34" t="s">
        <v>6933</v>
      </c>
      <c r="F1923" s="34" t="s">
        <v>6934</v>
      </c>
      <c r="G1923" s="34" t="s">
        <v>227</v>
      </c>
      <c r="H1923" s="34" t="s">
        <v>34</v>
      </c>
      <c r="I1923" s="34" t="s">
        <v>41</v>
      </c>
      <c r="J1923" s="34" t="s">
        <v>228</v>
      </c>
      <c r="K1923" s="34" t="s">
        <v>229</v>
      </c>
      <c r="L1923" s="34" t="s">
        <v>230</v>
      </c>
      <c r="M1923" s="34" t="s">
        <v>1663</v>
      </c>
      <c r="N1923" s="34" t="str">
        <f aca="false">"Sector "&amp;VALUE(MID(D1923,13,2))</f>
        <v>Sector 8</v>
      </c>
      <c r="O1923" s="34" t="str">
        <f aca="false">IF(Dashboard!$C$5="Ubicación técnica",N1923,"Sector "&amp;VALUE(RIGHT(G1923,2)))</f>
        <v>Sector 8</v>
      </c>
      <c r="P1923" s="34" t="str">
        <f aca="false">IF(MID(D1923,15,3)="SEL","Subestación eléctrica","Área de proceso")</f>
        <v>Área de proceso</v>
      </c>
      <c r="Q1923" s="34" t="str">
        <f aca="false">MID(D1923,13,5)&amp;"|"&amp;MID(D1923,19,5)</f>
        <v>08TEA|CT205</v>
      </c>
      <c r="R1923" s="34" t="str">
        <f aca="false">IF(P1923="Subestación eléctrica",IFERROR(INDEX(cat_SubN,MATCH(Q1923,cat_SubK,0)),"SIN CATALOGAR"),"ÁREA DE PROCESO")</f>
        <v>ÁREA DE PROCESO</v>
      </c>
      <c r="S1923" s="34" t="str">
        <f aca="false">IF(H1923="","SIN DATO",IFERROR(INDEX(cat_MarcaN,MATCH(H1923,cat_MarcaO,0)),H1923))</f>
        <v>ABB</v>
      </c>
      <c r="T1923" s="34" t="str">
        <f aca="false">IF(I1923="","SIN DATO",IFERROR(INDEX(cat_ModN,MATCH(I1923,cat_ModO,0)),I1923))</f>
        <v>REM615A_1G</v>
      </c>
      <c r="U1923" s="34" t="str">
        <f aca="false">IF(I1923="","",IFERROR(INDEX(cat_ModG,MATCH(I1923,cat_ModO,0)),"No"))</f>
        <v>No</v>
      </c>
      <c r="V1923" s="34" t="str">
        <f aca="false">IF(J1923="","SIN DATO",IFERROR(INDEX(cat_FunN,MATCH(J1923,cat_FunO,0)),J1923))</f>
        <v>Protección y medición</v>
      </c>
      <c r="W1923" s="34" t="str">
        <f aca="false">IF(OR(S1923="SIN DATO",T1923="SIN DATO"),"No","Sí")</f>
        <v>Sí</v>
      </c>
    </row>
    <row r="1924" customFormat="false" ht="15" hidden="false" customHeight="false" outlineLevel="0" collapsed="false">
      <c r="A1924" s="34" t="s">
        <v>7007</v>
      </c>
      <c r="B1924" s="34" t="s">
        <v>7008</v>
      </c>
      <c r="C1924" s="34" t="s">
        <v>7009</v>
      </c>
      <c r="D1924" s="34" t="s">
        <v>7010</v>
      </c>
      <c r="E1924" s="34" t="s">
        <v>6933</v>
      </c>
      <c r="F1924" s="34" t="s">
        <v>6934</v>
      </c>
      <c r="G1924" s="34" t="s">
        <v>227</v>
      </c>
      <c r="H1924" s="34" t="s">
        <v>34</v>
      </c>
      <c r="I1924" s="34" t="s">
        <v>41</v>
      </c>
      <c r="J1924" s="34" t="s">
        <v>228</v>
      </c>
      <c r="K1924" s="34" t="s">
        <v>229</v>
      </c>
      <c r="L1924" s="34" t="s">
        <v>230</v>
      </c>
      <c r="M1924" s="34" t="s">
        <v>1663</v>
      </c>
      <c r="N1924" s="34" t="str">
        <f aca="false">"Sector "&amp;VALUE(MID(D1924,13,2))</f>
        <v>Sector 8</v>
      </c>
      <c r="O1924" s="34" t="str">
        <f aca="false">IF(Dashboard!$C$5="Ubicación técnica",N1924,"Sector "&amp;VALUE(RIGHT(G1924,2)))</f>
        <v>Sector 8</v>
      </c>
      <c r="P1924" s="34" t="str">
        <f aca="false">IF(MID(D1924,15,3)="SEL","Subestación eléctrica","Área de proceso")</f>
        <v>Área de proceso</v>
      </c>
      <c r="Q1924" s="34" t="str">
        <f aca="false">MID(D1924,13,5)&amp;"|"&amp;MID(D1924,19,5)</f>
        <v>08TEA|CT205</v>
      </c>
      <c r="R1924" s="34" t="str">
        <f aca="false">IF(P1924="Subestación eléctrica",IFERROR(INDEX(cat_SubN,MATCH(Q1924,cat_SubK,0)),"SIN CATALOGAR"),"ÁREA DE PROCESO")</f>
        <v>ÁREA DE PROCESO</v>
      </c>
      <c r="S1924" s="34" t="str">
        <f aca="false">IF(H1924="","SIN DATO",IFERROR(INDEX(cat_MarcaN,MATCH(H1924,cat_MarcaO,0)),H1924))</f>
        <v>ABB</v>
      </c>
      <c r="T1924" s="34" t="str">
        <f aca="false">IF(I1924="","SIN DATO",IFERROR(INDEX(cat_ModN,MATCH(I1924,cat_ModO,0)),I1924))</f>
        <v>REM615A_1G</v>
      </c>
      <c r="U1924" s="34" t="str">
        <f aca="false">IF(I1924="","",IFERROR(INDEX(cat_ModG,MATCH(I1924,cat_ModO,0)),"No"))</f>
        <v>No</v>
      </c>
      <c r="V1924" s="34" t="str">
        <f aca="false">IF(J1924="","SIN DATO",IFERROR(INDEX(cat_FunN,MATCH(J1924,cat_FunO,0)),J1924))</f>
        <v>Protección y medición</v>
      </c>
      <c r="W1924" s="34" t="str">
        <f aca="false">IF(OR(S1924="SIN DATO",T1924="SIN DATO"),"No","Sí")</f>
        <v>Sí</v>
      </c>
    </row>
    <row r="1925" customFormat="false" ht="15" hidden="false" customHeight="false" outlineLevel="0" collapsed="false">
      <c r="A1925" s="34" t="s">
        <v>7011</v>
      </c>
      <c r="B1925" s="34" t="s">
        <v>7012</v>
      </c>
      <c r="C1925" s="34" t="s">
        <v>7013</v>
      </c>
      <c r="D1925" s="34" t="s">
        <v>7014</v>
      </c>
      <c r="E1925" s="34" t="s">
        <v>6933</v>
      </c>
      <c r="F1925" s="34" t="s">
        <v>6934</v>
      </c>
      <c r="G1925" s="34" t="s">
        <v>227</v>
      </c>
      <c r="H1925" s="34" t="s">
        <v>34</v>
      </c>
      <c r="I1925" s="34" t="s">
        <v>41</v>
      </c>
      <c r="J1925" s="34" t="s">
        <v>228</v>
      </c>
      <c r="K1925" s="34" t="s">
        <v>229</v>
      </c>
      <c r="L1925" s="34" t="s">
        <v>230</v>
      </c>
      <c r="M1925" s="34" t="s">
        <v>1663</v>
      </c>
      <c r="N1925" s="34" t="str">
        <f aca="false">"Sector "&amp;VALUE(MID(D1925,13,2))</f>
        <v>Sector 8</v>
      </c>
      <c r="O1925" s="34" t="str">
        <f aca="false">IF(Dashboard!$C$5="Ubicación técnica",N1925,"Sector "&amp;VALUE(RIGHT(G1925,2)))</f>
        <v>Sector 8</v>
      </c>
      <c r="P1925" s="34" t="str">
        <f aca="false">IF(MID(D1925,15,3)="SEL","Subestación eléctrica","Área de proceso")</f>
        <v>Área de proceso</v>
      </c>
      <c r="Q1925" s="34" t="str">
        <f aca="false">MID(D1925,13,5)&amp;"|"&amp;MID(D1925,19,5)</f>
        <v>08TEA|CT205</v>
      </c>
      <c r="R1925" s="34" t="str">
        <f aca="false">IF(P1925="Subestación eléctrica",IFERROR(INDEX(cat_SubN,MATCH(Q1925,cat_SubK,0)),"SIN CATALOGAR"),"ÁREA DE PROCESO")</f>
        <v>ÁREA DE PROCESO</v>
      </c>
      <c r="S1925" s="34" t="str">
        <f aca="false">IF(H1925="","SIN DATO",IFERROR(INDEX(cat_MarcaN,MATCH(H1925,cat_MarcaO,0)),H1925))</f>
        <v>ABB</v>
      </c>
      <c r="T1925" s="34" t="str">
        <f aca="false">IF(I1925="","SIN DATO",IFERROR(INDEX(cat_ModN,MATCH(I1925,cat_ModO,0)),I1925))</f>
        <v>REM615A_1G</v>
      </c>
      <c r="U1925" s="34" t="str">
        <f aca="false">IF(I1925="","",IFERROR(INDEX(cat_ModG,MATCH(I1925,cat_ModO,0)),"No"))</f>
        <v>No</v>
      </c>
      <c r="V1925" s="34" t="str">
        <f aca="false">IF(J1925="","SIN DATO",IFERROR(INDEX(cat_FunN,MATCH(J1925,cat_FunO,0)),J1925))</f>
        <v>Protección y medición</v>
      </c>
      <c r="W1925" s="34" t="str">
        <f aca="false">IF(OR(S1925="SIN DATO",T1925="SIN DATO"),"No","Sí")</f>
        <v>Sí</v>
      </c>
    </row>
    <row r="1926" customFormat="false" ht="15" hidden="false" customHeight="false" outlineLevel="0" collapsed="false">
      <c r="A1926" s="34" t="s">
        <v>7015</v>
      </c>
      <c r="B1926" s="34" t="s">
        <v>7016</v>
      </c>
      <c r="C1926" s="34" t="s">
        <v>7017</v>
      </c>
      <c r="D1926" s="34" t="s">
        <v>7018</v>
      </c>
      <c r="E1926" s="34" t="s">
        <v>6933</v>
      </c>
      <c r="F1926" s="34" t="s">
        <v>6934</v>
      </c>
      <c r="G1926" s="34" t="s">
        <v>227</v>
      </c>
      <c r="H1926" s="34" t="s">
        <v>34</v>
      </c>
      <c r="I1926" s="34" t="s">
        <v>41</v>
      </c>
      <c r="J1926" s="34" t="s">
        <v>228</v>
      </c>
      <c r="K1926" s="34" t="s">
        <v>229</v>
      </c>
      <c r="L1926" s="34" t="s">
        <v>230</v>
      </c>
      <c r="M1926" s="34" t="s">
        <v>1663</v>
      </c>
      <c r="N1926" s="34" t="str">
        <f aca="false">"Sector "&amp;VALUE(MID(D1926,13,2))</f>
        <v>Sector 8</v>
      </c>
      <c r="O1926" s="34" t="str">
        <f aca="false">IF(Dashboard!$C$5="Ubicación técnica",N1926,"Sector "&amp;VALUE(RIGHT(G1926,2)))</f>
        <v>Sector 8</v>
      </c>
      <c r="P1926" s="34" t="str">
        <f aca="false">IF(MID(D1926,15,3)="SEL","Subestación eléctrica","Área de proceso")</f>
        <v>Área de proceso</v>
      </c>
      <c r="Q1926" s="34" t="str">
        <f aca="false">MID(D1926,13,5)&amp;"|"&amp;MID(D1926,19,5)</f>
        <v>08TEA|CT205</v>
      </c>
      <c r="R1926" s="34" t="str">
        <f aca="false">IF(P1926="Subestación eléctrica",IFERROR(INDEX(cat_SubN,MATCH(Q1926,cat_SubK,0)),"SIN CATALOGAR"),"ÁREA DE PROCESO")</f>
        <v>ÁREA DE PROCESO</v>
      </c>
      <c r="S1926" s="34" t="str">
        <f aca="false">IF(H1926="","SIN DATO",IFERROR(INDEX(cat_MarcaN,MATCH(H1926,cat_MarcaO,0)),H1926))</f>
        <v>ABB</v>
      </c>
      <c r="T1926" s="34" t="str">
        <f aca="false">IF(I1926="","SIN DATO",IFERROR(INDEX(cat_ModN,MATCH(I1926,cat_ModO,0)),I1926))</f>
        <v>REM615A_1G</v>
      </c>
      <c r="U1926" s="34" t="str">
        <f aca="false">IF(I1926="","",IFERROR(INDEX(cat_ModG,MATCH(I1926,cat_ModO,0)),"No"))</f>
        <v>No</v>
      </c>
      <c r="V1926" s="34" t="str">
        <f aca="false">IF(J1926="","SIN DATO",IFERROR(INDEX(cat_FunN,MATCH(J1926,cat_FunO,0)),J1926))</f>
        <v>Protección y medición</v>
      </c>
      <c r="W1926" s="34" t="str">
        <f aca="false">IF(OR(S1926="SIN DATO",T1926="SIN DATO"),"No","Sí")</f>
        <v>Sí</v>
      </c>
    </row>
    <row r="1927" customFormat="false" ht="15" hidden="false" customHeight="false" outlineLevel="0" collapsed="false">
      <c r="A1927" s="34" t="s">
        <v>7019</v>
      </c>
      <c r="B1927" s="34" t="s">
        <v>7020</v>
      </c>
      <c r="C1927" s="34" t="s">
        <v>7021</v>
      </c>
      <c r="D1927" s="34" t="s">
        <v>7022</v>
      </c>
      <c r="E1927" s="34" t="s">
        <v>6933</v>
      </c>
      <c r="F1927" s="34" t="s">
        <v>6934</v>
      </c>
      <c r="G1927" s="34" t="s">
        <v>227</v>
      </c>
      <c r="H1927" s="34" t="s">
        <v>34</v>
      </c>
      <c r="I1927" s="34" t="s">
        <v>41</v>
      </c>
      <c r="J1927" s="34" t="s">
        <v>228</v>
      </c>
      <c r="K1927" s="34" t="s">
        <v>229</v>
      </c>
      <c r="L1927" s="34" t="s">
        <v>230</v>
      </c>
      <c r="M1927" s="34" t="s">
        <v>1663</v>
      </c>
      <c r="N1927" s="34" t="str">
        <f aca="false">"Sector "&amp;VALUE(MID(D1927,13,2))</f>
        <v>Sector 8</v>
      </c>
      <c r="O1927" s="34" t="str">
        <f aca="false">IF(Dashboard!$C$5="Ubicación técnica",N1927,"Sector "&amp;VALUE(RIGHT(G1927,2)))</f>
        <v>Sector 8</v>
      </c>
      <c r="P1927" s="34" t="str">
        <f aca="false">IF(MID(D1927,15,3)="SEL","Subestación eléctrica","Área de proceso")</f>
        <v>Área de proceso</v>
      </c>
      <c r="Q1927" s="34" t="str">
        <f aca="false">MID(D1927,13,5)&amp;"|"&amp;MID(D1927,19,5)</f>
        <v>08TEA|CT205</v>
      </c>
      <c r="R1927" s="34" t="str">
        <f aca="false">IF(P1927="Subestación eléctrica",IFERROR(INDEX(cat_SubN,MATCH(Q1927,cat_SubK,0)),"SIN CATALOGAR"),"ÁREA DE PROCESO")</f>
        <v>ÁREA DE PROCESO</v>
      </c>
      <c r="S1927" s="34" t="str">
        <f aca="false">IF(H1927="","SIN DATO",IFERROR(INDEX(cat_MarcaN,MATCH(H1927,cat_MarcaO,0)),H1927))</f>
        <v>ABB</v>
      </c>
      <c r="T1927" s="34" t="str">
        <f aca="false">IF(I1927="","SIN DATO",IFERROR(INDEX(cat_ModN,MATCH(I1927,cat_ModO,0)),I1927))</f>
        <v>REM615A_1G</v>
      </c>
      <c r="U1927" s="34" t="str">
        <f aca="false">IF(I1927="","",IFERROR(INDEX(cat_ModG,MATCH(I1927,cat_ModO,0)),"No"))</f>
        <v>No</v>
      </c>
      <c r="V1927" s="34" t="str">
        <f aca="false">IF(J1927="","SIN DATO",IFERROR(INDEX(cat_FunN,MATCH(J1927,cat_FunO,0)),J1927))</f>
        <v>Protección y medición</v>
      </c>
      <c r="W1927" s="34" t="str">
        <f aca="false">IF(OR(S1927="SIN DATO",T1927="SIN DATO"),"No","Sí")</f>
        <v>Sí</v>
      </c>
    </row>
    <row r="1928" customFormat="false" ht="15" hidden="false" customHeight="false" outlineLevel="0" collapsed="false">
      <c r="A1928" s="34" t="s">
        <v>7023</v>
      </c>
      <c r="B1928" s="34" t="s">
        <v>7024</v>
      </c>
      <c r="C1928" s="34" t="s">
        <v>7025</v>
      </c>
      <c r="D1928" s="34" t="s">
        <v>7026</v>
      </c>
      <c r="E1928" s="34" t="s">
        <v>170</v>
      </c>
      <c r="F1928" s="34" t="s">
        <v>6934</v>
      </c>
      <c r="G1928" s="34" t="s">
        <v>227</v>
      </c>
      <c r="H1928" s="34" t="s">
        <v>34</v>
      </c>
      <c r="I1928" s="34" t="s">
        <v>54</v>
      </c>
      <c r="J1928" s="34" t="s">
        <v>228</v>
      </c>
      <c r="K1928" s="34" t="s">
        <v>229</v>
      </c>
      <c r="L1928" s="34" t="s">
        <v>230</v>
      </c>
      <c r="M1928" s="34" t="s">
        <v>1663</v>
      </c>
      <c r="N1928" s="34" t="str">
        <f aca="false">"Sector "&amp;VALUE(MID(D1928,13,2))</f>
        <v>Sector 8</v>
      </c>
      <c r="O1928" s="34" t="str">
        <f aca="false">IF(Dashboard!$C$5="Ubicación técnica",N1928,"Sector "&amp;VALUE(RIGHT(G1928,2)))</f>
        <v>Sector 8</v>
      </c>
      <c r="P1928" s="34" t="str">
        <f aca="false">IF(MID(D1928,15,3)="SEL","Subestación eléctrica","Área de proceso")</f>
        <v>Área de proceso</v>
      </c>
      <c r="Q1928" s="34" t="str">
        <f aca="false">MID(D1928,13,5)&amp;"|"&amp;MID(D1928,19,5)</f>
        <v>08TEA|CT201</v>
      </c>
      <c r="R1928" s="34" t="str">
        <f aca="false">IF(P1928="Subestación eléctrica",IFERROR(INDEX(cat_SubN,MATCH(Q1928,cat_SubK,0)),"SIN CATALOGAR"),"ÁREA DE PROCESO")</f>
        <v>ÁREA DE PROCESO</v>
      </c>
      <c r="S1928" s="34" t="str">
        <f aca="false">IF(H1928="","SIN DATO",IFERROR(INDEX(cat_MarcaN,MATCH(H1928,cat_MarcaO,0)),H1928))</f>
        <v>ABB</v>
      </c>
      <c r="T1928" s="34" t="str">
        <f aca="false">IF(I1928="","SIN DATO",IFERROR(INDEX(cat_ModN,MATCH(I1928,cat_ModO,0)),I1928))</f>
        <v>REM620A_F</v>
      </c>
      <c r="U1928" s="34" t="str">
        <f aca="false">IF(I1928="","",IFERROR(INDEX(cat_ModG,MATCH(I1928,cat_ModO,0)),"No"))</f>
        <v>No</v>
      </c>
      <c r="V1928" s="34" t="str">
        <f aca="false">IF(J1928="","SIN DATO",IFERROR(INDEX(cat_FunN,MATCH(J1928,cat_FunO,0)),J1928))</f>
        <v>Protección y medición</v>
      </c>
      <c r="W1928" s="34" t="str">
        <f aca="false">IF(OR(S1928="SIN DATO",T1928="SIN DATO"),"No","Sí")</f>
        <v>Sí</v>
      </c>
    </row>
    <row r="1929" customFormat="false" ht="15" hidden="false" customHeight="false" outlineLevel="0" collapsed="false">
      <c r="A1929" s="34" t="s">
        <v>7027</v>
      </c>
      <c r="B1929" s="34" t="s">
        <v>7028</v>
      </c>
      <c r="C1929" s="34" t="s">
        <v>7029</v>
      </c>
      <c r="D1929" s="34" t="s">
        <v>7030</v>
      </c>
      <c r="E1929" s="34" t="s">
        <v>170</v>
      </c>
      <c r="F1929" s="34" t="s">
        <v>6934</v>
      </c>
      <c r="G1929" s="34" t="s">
        <v>227</v>
      </c>
      <c r="H1929" s="34" t="s">
        <v>34</v>
      </c>
      <c r="I1929" s="34" t="s">
        <v>54</v>
      </c>
      <c r="J1929" s="34" t="s">
        <v>228</v>
      </c>
      <c r="K1929" s="34" t="s">
        <v>229</v>
      </c>
      <c r="L1929" s="34" t="s">
        <v>230</v>
      </c>
      <c r="M1929" s="34" t="s">
        <v>1663</v>
      </c>
      <c r="N1929" s="34" t="str">
        <f aca="false">"Sector "&amp;VALUE(MID(D1929,13,2))</f>
        <v>Sector 8</v>
      </c>
      <c r="O1929" s="34" t="str">
        <f aca="false">IF(Dashboard!$C$5="Ubicación técnica",N1929,"Sector "&amp;VALUE(RIGHT(G1929,2)))</f>
        <v>Sector 8</v>
      </c>
      <c r="P1929" s="34" t="str">
        <f aca="false">IF(MID(D1929,15,3)="SEL","Subestación eléctrica","Área de proceso")</f>
        <v>Área de proceso</v>
      </c>
      <c r="Q1929" s="34" t="str">
        <f aca="false">MID(D1929,13,5)&amp;"|"&amp;MID(D1929,19,5)</f>
        <v>08TEA|CT201</v>
      </c>
      <c r="R1929" s="34" t="str">
        <f aca="false">IF(P1929="Subestación eléctrica",IFERROR(INDEX(cat_SubN,MATCH(Q1929,cat_SubK,0)),"SIN CATALOGAR"),"ÁREA DE PROCESO")</f>
        <v>ÁREA DE PROCESO</v>
      </c>
      <c r="S1929" s="34" t="str">
        <f aca="false">IF(H1929="","SIN DATO",IFERROR(INDEX(cat_MarcaN,MATCH(H1929,cat_MarcaO,0)),H1929))</f>
        <v>ABB</v>
      </c>
      <c r="T1929" s="34" t="str">
        <f aca="false">IF(I1929="","SIN DATO",IFERROR(INDEX(cat_ModN,MATCH(I1929,cat_ModO,0)),I1929))</f>
        <v>REM620A_F</v>
      </c>
      <c r="U1929" s="34" t="str">
        <f aca="false">IF(I1929="","",IFERROR(INDEX(cat_ModG,MATCH(I1929,cat_ModO,0)),"No"))</f>
        <v>No</v>
      </c>
      <c r="V1929" s="34" t="str">
        <f aca="false">IF(J1929="","SIN DATO",IFERROR(INDEX(cat_FunN,MATCH(J1929,cat_FunO,0)),J1929))</f>
        <v>Protección y medición</v>
      </c>
      <c r="W1929" s="34" t="str">
        <f aca="false">IF(OR(S1929="SIN DATO",T1929="SIN DATO"),"No","Sí")</f>
        <v>Sí</v>
      </c>
    </row>
    <row r="1930" customFormat="false" ht="15" hidden="false" customHeight="false" outlineLevel="0" collapsed="false">
      <c r="A1930" s="34" t="s">
        <v>7031</v>
      </c>
      <c r="B1930" s="34" t="s">
        <v>7032</v>
      </c>
      <c r="C1930" s="34" t="s">
        <v>7033</v>
      </c>
      <c r="D1930" s="34" t="s">
        <v>7034</v>
      </c>
      <c r="E1930" s="34" t="s">
        <v>170</v>
      </c>
      <c r="F1930" s="34" t="s">
        <v>6934</v>
      </c>
      <c r="G1930" s="34" t="s">
        <v>227</v>
      </c>
      <c r="H1930" s="34" t="s">
        <v>34</v>
      </c>
      <c r="I1930" s="34" t="s">
        <v>54</v>
      </c>
      <c r="J1930" s="34" t="s">
        <v>228</v>
      </c>
      <c r="K1930" s="34" t="s">
        <v>229</v>
      </c>
      <c r="L1930" s="34" t="s">
        <v>230</v>
      </c>
      <c r="M1930" s="34" t="s">
        <v>1663</v>
      </c>
      <c r="N1930" s="34" t="str">
        <f aca="false">"Sector "&amp;VALUE(MID(D1930,13,2))</f>
        <v>Sector 8</v>
      </c>
      <c r="O1930" s="34" t="str">
        <f aca="false">IF(Dashboard!$C$5="Ubicación técnica",N1930,"Sector "&amp;VALUE(RIGHT(G1930,2)))</f>
        <v>Sector 8</v>
      </c>
      <c r="P1930" s="34" t="str">
        <f aca="false">IF(MID(D1930,15,3)="SEL","Subestación eléctrica","Área de proceso")</f>
        <v>Área de proceso</v>
      </c>
      <c r="Q1930" s="34" t="str">
        <f aca="false">MID(D1930,13,5)&amp;"|"&amp;MID(D1930,19,5)</f>
        <v>08TEA|CT201</v>
      </c>
      <c r="R1930" s="34" t="str">
        <f aca="false">IF(P1930="Subestación eléctrica",IFERROR(INDEX(cat_SubN,MATCH(Q1930,cat_SubK,0)),"SIN CATALOGAR"),"ÁREA DE PROCESO")</f>
        <v>ÁREA DE PROCESO</v>
      </c>
      <c r="S1930" s="34" t="str">
        <f aca="false">IF(H1930="","SIN DATO",IFERROR(INDEX(cat_MarcaN,MATCH(H1930,cat_MarcaO,0)),H1930))</f>
        <v>ABB</v>
      </c>
      <c r="T1930" s="34" t="str">
        <f aca="false">IF(I1930="","SIN DATO",IFERROR(INDEX(cat_ModN,MATCH(I1930,cat_ModO,0)),I1930))</f>
        <v>REM620A_F</v>
      </c>
      <c r="U1930" s="34" t="str">
        <f aca="false">IF(I1930="","",IFERROR(INDEX(cat_ModG,MATCH(I1930,cat_ModO,0)),"No"))</f>
        <v>No</v>
      </c>
      <c r="V1930" s="34" t="str">
        <f aca="false">IF(J1930="","SIN DATO",IFERROR(INDEX(cat_FunN,MATCH(J1930,cat_FunO,0)),J1930))</f>
        <v>Protección y medición</v>
      </c>
      <c r="W1930" s="34" t="str">
        <f aca="false">IF(OR(S1930="SIN DATO",T1930="SIN DATO"),"No","Sí")</f>
        <v>Sí</v>
      </c>
    </row>
    <row r="1931" customFormat="false" ht="15" hidden="false" customHeight="false" outlineLevel="0" collapsed="false">
      <c r="A1931" s="34" t="s">
        <v>7035</v>
      </c>
      <c r="B1931" s="34" t="s">
        <v>7036</v>
      </c>
      <c r="C1931" s="34" t="s">
        <v>7037</v>
      </c>
      <c r="D1931" s="34" t="s">
        <v>7038</v>
      </c>
      <c r="E1931" s="34" t="s">
        <v>170</v>
      </c>
      <c r="F1931" s="34" t="s">
        <v>6934</v>
      </c>
      <c r="G1931" s="34" t="s">
        <v>227</v>
      </c>
      <c r="H1931" s="34" t="s">
        <v>34</v>
      </c>
      <c r="I1931" s="34" t="s">
        <v>54</v>
      </c>
      <c r="J1931" s="34" t="s">
        <v>228</v>
      </c>
      <c r="K1931" s="34" t="s">
        <v>229</v>
      </c>
      <c r="L1931" s="34" t="s">
        <v>230</v>
      </c>
      <c r="M1931" s="34" t="s">
        <v>1663</v>
      </c>
      <c r="N1931" s="34" t="str">
        <f aca="false">"Sector "&amp;VALUE(MID(D1931,13,2))</f>
        <v>Sector 8</v>
      </c>
      <c r="O1931" s="34" t="str">
        <f aca="false">IF(Dashboard!$C$5="Ubicación técnica",N1931,"Sector "&amp;VALUE(RIGHT(G1931,2)))</f>
        <v>Sector 8</v>
      </c>
      <c r="P1931" s="34" t="str">
        <f aca="false">IF(MID(D1931,15,3)="SEL","Subestación eléctrica","Área de proceso")</f>
        <v>Área de proceso</v>
      </c>
      <c r="Q1931" s="34" t="str">
        <f aca="false">MID(D1931,13,5)&amp;"|"&amp;MID(D1931,19,5)</f>
        <v>08TEA|CT201</v>
      </c>
      <c r="R1931" s="34" t="str">
        <f aca="false">IF(P1931="Subestación eléctrica",IFERROR(INDEX(cat_SubN,MATCH(Q1931,cat_SubK,0)),"SIN CATALOGAR"),"ÁREA DE PROCESO")</f>
        <v>ÁREA DE PROCESO</v>
      </c>
      <c r="S1931" s="34" t="str">
        <f aca="false">IF(H1931="","SIN DATO",IFERROR(INDEX(cat_MarcaN,MATCH(H1931,cat_MarcaO,0)),H1931))</f>
        <v>ABB</v>
      </c>
      <c r="T1931" s="34" t="str">
        <f aca="false">IF(I1931="","SIN DATO",IFERROR(INDEX(cat_ModN,MATCH(I1931,cat_ModO,0)),I1931))</f>
        <v>REM620A_F</v>
      </c>
      <c r="U1931" s="34" t="str">
        <f aca="false">IF(I1931="","",IFERROR(INDEX(cat_ModG,MATCH(I1931,cat_ModO,0)),"No"))</f>
        <v>No</v>
      </c>
      <c r="V1931" s="34" t="str">
        <f aca="false">IF(J1931="","SIN DATO",IFERROR(INDEX(cat_FunN,MATCH(J1931,cat_FunO,0)),J1931))</f>
        <v>Protección y medición</v>
      </c>
      <c r="W1931" s="34" t="str">
        <f aca="false">IF(OR(S1931="SIN DATO",T1931="SIN DATO"),"No","Sí")</f>
        <v>Sí</v>
      </c>
    </row>
    <row r="1932" customFormat="false" ht="15" hidden="false" customHeight="false" outlineLevel="0" collapsed="false">
      <c r="A1932" s="34" t="s">
        <v>7039</v>
      </c>
      <c r="B1932" s="34" t="s">
        <v>7040</v>
      </c>
      <c r="C1932" s="34" t="s">
        <v>7041</v>
      </c>
      <c r="D1932" s="34" t="s">
        <v>7042</v>
      </c>
      <c r="E1932" s="34" t="s">
        <v>170</v>
      </c>
      <c r="F1932" s="34" t="s">
        <v>6934</v>
      </c>
      <c r="G1932" s="34" t="s">
        <v>227</v>
      </c>
      <c r="H1932" s="34" t="s">
        <v>34</v>
      </c>
      <c r="I1932" s="34" t="s">
        <v>54</v>
      </c>
      <c r="J1932" s="34" t="s">
        <v>228</v>
      </c>
      <c r="K1932" s="34" t="s">
        <v>229</v>
      </c>
      <c r="L1932" s="34" t="s">
        <v>230</v>
      </c>
      <c r="M1932" s="34" t="s">
        <v>1663</v>
      </c>
      <c r="N1932" s="34" t="str">
        <f aca="false">"Sector "&amp;VALUE(MID(D1932,13,2))</f>
        <v>Sector 8</v>
      </c>
      <c r="O1932" s="34" t="str">
        <f aca="false">IF(Dashboard!$C$5="Ubicación técnica",N1932,"Sector "&amp;VALUE(RIGHT(G1932,2)))</f>
        <v>Sector 8</v>
      </c>
      <c r="P1932" s="34" t="str">
        <f aca="false">IF(MID(D1932,15,3)="SEL","Subestación eléctrica","Área de proceso")</f>
        <v>Área de proceso</v>
      </c>
      <c r="Q1932" s="34" t="str">
        <f aca="false">MID(D1932,13,5)&amp;"|"&amp;MID(D1932,19,5)</f>
        <v>08TEA|CT201</v>
      </c>
      <c r="R1932" s="34" t="str">
        <f aca="false">IF(P1932="Subestación eléctrica",IFERROR(INDEX(cat_SubN,MATCH(Q1932,cat_SubK,0)),"SIN CATALOGAR"),"ÁREA DE PROCESO")</f>
        <v>ÁREA DE PROCESO</v>
      </c>
      <c r="S1932" s="34" t="str">
        <f aca="false">IF(H1932="","SIN DATO",IFERROR(INDEX(cat_MarcaN,MATCH(H1932,cat_MarcaO,0)),H1932))</f>
        <v>ABB</v>
      </c>
      <c r="T1932" s="34" t="str">
        <f aca="false">IF(I1932="","SIN DATO",IFERROR(INDEX(cat_ModN,MATCH(I1932,cat_ModO,0)),I1932))</f>
        <v>REM620A_F</v>
      </c>
      <c r="U1932" s="34" t="str">
        <f aca="false">IF(I1932="","",IFERROR(INDEX(cat_ModG,MATCH(I1932,cat_ModO,0)),"No"))</f>
        <v>No</v>
      </c>
      <c r="V1932" s="34" t="str">
        <f aca="false">IF(J1932="","SIN DATO",IFERROR(INDEX(cat_FunN,MATCH(J1932,cat_FunO,0)),J1932))</f>
        <v>Protección y medición</v>
      </c>
      <c r="W1932" s="34" t="str">
        <f aca="false">IF(OR(S1932="SIN DATO",T1932="SIN DATO"),"No","Sí")</f>
        <v>Sí</v>
      </c>
    </row>
    <row r="1933" customFormat="false" ht="15" hidden="false" customHeight="false" outlineLevel="0" collapsed="false">
      <c r="A1933" s="34" t="s">
        <v>7043</v>
      </c>
      <c r="B1933" s="34" t="s">
        <v>7044</v>
      </c>
      <c r="C1933" s="34" t="s">
        <v>7045</v>
      </c>
      <c r="D1933" s="34" t="s">
        <v>7046</v>
      </c>
      <c r="E1933" s="34" t="s">
        <v>178</v>
      </c>
      <c r="F1933" s="34" t="s">
        <v>6934</v>
      </c>
      <c r="G1933" s="34" t="s">
        <v>227</v>
      </c>
      <c r="H1933" s="34" t="s">
        <v>34</v>
      </c>
      <c r="I1933" s="34" t="s">
        <v>41</v>
      </c>
      <c r="J1933" s="34" t="s">
        <v>228</v>
      </c>
      <c r="K1933" s="34" t="s">
        <v>229</v>
      </c>
      <c r="L1933" s="34" t="s">
        <v>230</v>
      </c>
      <c r="M1933" s="34" t="s">
        <v>1663</v>
      </c>
      <c r="N1933" s="34" t="str">
        <f aca="false">"Sector "&amp;VALUE(MID(D1933,13,2))</f>
        <v>Sector 8</v>
      </c>
      <c r="O1933" s="34" t="str">
        <f aca="false">IF(Dashboard!$C$5="Ubicación técnica",N1933,"Sector "&amp;VALUE(RIGHT(G1933,2)))</f>
        <v>Sector 8</v>
      </c>
      <c r="P1933" s="34" t="str">
        <f aca="false">IF(MID(D1933,15,3)="SEL","Subestación eléctrica","Área de proceso")</f>
        <v>Área de proceso</v>
      </c>
      <c r="Q1933" s="34" t="str">
        <f aca="false">MID(D1933,13,5)&amp;"|"&amp;MID(D1933,19,5)</f>
        <v>08TEA|CT202</v>
      </c>
      <c r="R1933" s="34" t="str">
        <f aca="false">IF(P1933="Subestación eléctrica",IFERROR(INDEX(cat_SubN,MATCH(Q1933,cat_SubK,0)),"SIN CATALOGAR"),"ÁREA DE PROCESO")</f>
        <v>ÁREA DE PROCESO</v>
      </c>
      <c r="S1933" s="34" t="str">
        <f aca="false">IF(H1933="","SIN DATO",IFERROR(INDEX(cat_MarcaN,MATCH(H1933,cat_MarcaO,0)),H1933))</f>
        <v>ABB</v>
      </c>
      <c r="T1933" s="34" t="str">
        <f aca="false">IF(I1933="","SIN DATO",IFERROR(INDEX(cat_ModN,MATCH(I1933,cat_ModO,0)),I1933))</f>
        <v>REM615A_1G</v>
      </c>
      <c r="U1933" s="34" t="str">
        <f aca="false">IF(I1933="","",IFERROR(INDEX(cat_ModG,MATCH(I1933,cat_ModO,0)),"No"))</f>
        <v>No</v>
      </c>
      <c r="V1933" s="34" t="str">
        <f aca="false">IF(J1933="","SIN DATO",IFERROR(INDEX(cat_FunN,MATCH(J1933,cat_FunO,0)),J1933))</f>
        <v>Protección y medición</v>
      </c>
      <c r="W1933" s="34" t="str">
        <f aca="false">IF(OR(S1933="SIN DATO",T1933="SIN DATO"),"No","Sí")</f>
        <v>Sí</v>
      </c>
    </row>
    <row r="1934" customFormat="false" ht="15" hidden="false" customHeight="false" outlineLevel="0" collapsed="false">
      <c r="A1934" s="34" t="s">
        <v>7047</v>
      </c>
      <c r="B1934" s="34" t="s">
        <v>7048</v>
      </c>
      <c r="C1934" s="34" t="s">
        <v>7049</v>
      </c>
      <c r="D1934" s="34" t="s">
        <v>7050</v>
      </c>
      <c r="E1934" s="34" t="s">
        <v>180</v>
      </c>
      <c r="F1934" s="34" t="s">
        <v>6934</v>
      </c>
      <c r="G1934" s="34" t="s">
        <v>227</v>
      </c>
      <c r="H1934" s="34" t="s">
        <v>73</v>
      </c>
      <c r="I1934" s="34" t="s">
        <v>77</v>
      </c>
      <c r="J1934" s="34" t="s">
        <v>228</v>
      </c>
      <c r="K1934" s="34" t="s">
        <v>229</v>
      </c>
      <c r="L1934" s="34" t="s">
        <v>230</v>
      </c>
      <c r="M1934" s="34" t="s">
        <v>237</v>
      </c>
      <c r="N1934" s="34" t="str">
        <f aca="false">"Sector "&amp;VALUE(MID(D1934,13,2))</f>
        <v>Sector 8</v>
      </c>
      <c r="O1934" s="34" t="str">
        <f aca="false">IF(Dashboard!$C$5="Ubicación técnica",N1934,"Sector "&amp;VALUE(RIGHT(G1934,2)))</f>
        <v>Sector 8</v>
      </c>
      <c r="P1934" s="34" t="str">
        <f aca="false">IF(MID(D1934,15,3)="SEL","Subestación eléctrica","Área de proceso")</f>
        <v>Área de proceso</v>
      </c>
      <c r="Q1934" s="34" t="str">
        <f aca="false">MID(D1934,13,5)&amp;"|"&amp;MID(D1934,19,5)</f>
        <v>08TEA|CT203</v>
      </c>
      <c r="R1934" s="34" t="str">
        <f aca="false">IF(P1934="Subestación eléctrica",IFERROR(INDEX(cat_SubN,MATCH(Q1934,cat_SubK,0)),"SIN CATALOGAR"),"ÁREA DE PROCESO")</f>
        <v>ÁREA DE PROCESO</v>
      </c>
      <c r="S1934" s="34" t="str">
        <f aca="false">IF(H1934="","SIN DATO",IFERROR(INDEX(cat_MarcaN,MATCH(H1934,cat_MarcaO,0)),H1934))</f>
        <v>SIEMENS</v>
      </c>
      <c r="T1934" s="34" t="str">
        <f aca="false">IF(I1934="","SIN DATO",IFERROR(INDEX(cat_ModN,MATCH(I1934,cat_ModO,0)),I1934))</f>
        <v>7SR5711</v>
      </c>
      <c r="U1934" s="34" t="str">
        <f aca="false">IF(I1934="","",IFERROR(INDEX(cat_ModG,MATCH(I1934,cat_ModO,0)),"No"))</f>
        <v>No</v>
      </c>
      <c r="V1934" s="34" t="str">
        <f aca="false">IF(J1934="","SIN DATO",IFERROR(INDEX(cat_FunN,MATCH(J1934,cat_FunO,0)),J1934))</f>
        <v>Protección y medición</v>
      </c>
      <c r="W1934" s="34" t="str">
        <f aca="false">IF(OR(S1934="SIN DATO",T1934="SIN DATO"),"No","Sí")</f>
        <v>Sí</v>
      </c>
    </row>
    <row r="1935" customFormat="false" ht="15" hidden="false" customHeight="false" outlineLevel="0" collapsed="false">
      <c r="A1935" s="34" t="s">
        <v>7051</v>
      </c>
      <c r="B1935" s="34" t="s">
        <v>7052</v>
      </c>
      <c r="C1935" s="34" t="s">
        <v>7053</v>
      </c>
      <c r="D1935" s="34" t="s">
        <v>7054</v>
      </c>
      <c r="E1935" s="34" t="s">
        <v>180</v>
      </c>
      <c r="F1935" s="34" t="s">
        <v>6934</v>
      </c>
      <c r="G1935" s="34" t="s">
        <v>227</v>
      </c>
      <c r="H1935" s="34" t="s">
        <v>73</v>
      </c>
      <c r="I1935" s="34" t="s">
        <v>77</v>
      </c>
      <c r="J1935" s="34" t="s">
        <v>228</v>
      </c>
      <c r="K1935" s="34" t="s">
        <v>229</v>
      </c>
      <c r="L1935" s="34" t="s">
        <v>230</v>
      </c>
      <c r="M1935" s="34" t="s">
        <v>237</v>
      </c>
      <c r="N1935" s="34" t="str">
        <f aca="false">"Sector "&amp;VALUE(MID(D1935,13,2))</f>
        <v>Sector 8</v>
      </c>
      <c r="O1935" s="34" t="str">
        <f aca="false">IF(Dashboard!$C$5="Ubicación técnica",N1935,"Sector "&amp;VALUE(RIGHT(G1935,2)))</f>
        <v>Sector 8</v>
      </c>
      <c r="P1935" s="34" t="str">
        <f aca="false">IF(MID(D1935,15,3)="SEL","Subestación eléctrica","Área de proceso")</f>
        <v>Área de proceso</v>
      </c>
      <c r="Q1935" s="34" t="str">
        <f aca="false">MID(D1935,13,5)&amp;"|"&amp;MID(D1935,19,5)</f>
        <v>08TEA|CT203</v>
      </c>
      <c r="R1935" s="34" t="str">
        <f aca="false">IF(P1935="Subestación eléctrica",IFERROR(INDEX(cat_SubN,MATCH(Q1935,cat_SubK,0)),"SIN CATALOGAR"),"ÁREA DE PROCESO")</f>
        <v>ÁREA DE PROCESO</v>
      </c>
      <c r="S1935" s="34" t="str">
        <f aca="false">IF(H1935="","SIN DATO",IFERROR(INDEX(cat_MarcaN,MATCH(H1935,cat_MarcaO,0)),H1935))</f>
        <v>SIEMENS</v>
      </c>
      <c r="T1935" s="34" t="str">
        <f aca="false">IF(I1935="","SIN DATO",IFERROR(INDEX(cat_ModN,MATCH(I1935,cat_ModO,0)),I1935))</f>
        <v>7SR5711</v>
      </c>
      <c r="U1935" s="34" t="str">
        <f aca="false">IF(I1935="","",IFERROR(INDEX(cat_ModG,MATCH(I1935,cat_ModO,0)),"No"))</f>
        <v>No</v>
      </c>
      <c r="V1935" s="34" t="str">
        <f aca="false">IF(J1935="","SIN DATO",IFERROR(INDEX(cat_FunN,MATCH(J1935,cat_FunO,0)),J1935))</f>
        <v>Protección y medición</v>
      </c>
      <c r="W1935" s="34" t="str">
        <f aca="false">IF(OR(S1935="SIN DATO",T1935="SIN DATO"),"No","Sí")</f>
        <v>Sí</v>
      </c>
    </row>
    <row r="1936" customFormat="false" ht="15" hidden="false" customHeight="false" outlineLevel="0" collapsed="false">
      <c r="A1936" s="34" t="s">
        <v>7055</v>
      </c>
      <c r="B1936" s="34" t="s">
        <v>7056</v>
      </c>
      <c r="C1936" s="34" t="s">
        <v>7057</v>
      </c>
      <c r="D1936" s="34" t="s">
        <v>7058</v>
      </c>
      <c r="E1936" s="34" t="s">
        <v>180</v>
      </c>
      <c r="F1936" s="34" t="s">
        <v>6934</v>
      </c>
      <c r="G1936" s="34" t="s">
        <v>227</v>
      </c>
      <c r="H1936" s="34" t="s">
        <v>73</v>
      </c>
      <c r="I1936" s="34" t="s">
        <v>77</v>
      </c>
      <c r="J1936" s="34" t="s">
        <v>228</v>
      </c>
      <c r="K1936" s="34" t="s">
        <v>229</v>
      </c>
      <c r="L1936" s="34" t="s">
        <v>230</v>
      </c>
      <c r="M1936" s="34" t="s">
        <v>237</v>
      </c>
      <c r="N1936" s="34" t="str">
        <f aca="false">"Sector "&amp;VALUE(MID(D1936,13,2))</f>
        <v>Sector 8</v>
      </c>
      <c r="O1936" s="34" t="str">
        <f aca="false">IF(Dashboard!$C$5="Ubicación técnica",N1936,"Sector "&amp;VALUE(RIGHT(G1936,2)))</f>
        <v>Sector 8</v>
      </c>
      <c r="P1936" s="34" t="str">
        <f aca="false">IF(MID(D1936,15,3)="SEL","Subestación eléctrica","Área de proceso")</f>
        <v>Área de proceso</v>
      </c>
      <c r="Q1936" s="34" t="str">
        <f aca="false">MID(D1936,13,5)&amp;"|"&amp;MID(D1936,19,5)</f>
        <v>08TEA|CT203</v>
      </c>
      <c r="R1936" s="34" t="str">
        <f aca="false">IF(P1936="Subestación eléctrica",IFERROR(INDEX(cat_SubN,MATCH(Q1936,cat_SubK,0)),"SIN CATALOGAR"),"ÁREA DE PROCESO")</f>
        <v>ÁREA DE PROCESO</v>
      </c>
      <c r="S1936" s="34" t="str">
        <f aca="false">IF(H1936="","SIN DATO",IFERROR(INDEX(cat_MarcaN,MATCH(H1936,cat_MarcaO,0)),H1936))</f>
        <v>SIEMENS</v>
      </c>
      <c r="T1936" s="34" t="str">
        <f aca="false">IF(I1936="","SIN DATO",IFERROR(INDEX(cat_ModN,MATCH(I1936,cat_ModO,0)),I1936))</f>
        <v>7SR5711</v>
      </c>
      <c r="U1936" s="34" t="str">
        <f aca="false">IF(I1936="","",IFERROR(INDEX(cat_ModG,MATCH(I1936,cat_ModO,0)),"No"))</f>
        <v>No</v>
      </c>
      <c r="V1936" s="34" t="str">
        <f aca="false">IF(J1936="","SIN DATO",IFERROR(INDEX(cat_FunN,MATCH(J1936,cat_FunO,0)),J1936))</f>
        <v>Protección y medición</v>
      </c>
      <c r="W1936" s="34" t="str">
        <f aca="false">IF(OR(S1936="SIN DATO",T1936="SIN DATO"),"No","Sí")</f>
        <v>Sí</v>
      </c>
    </row>
    <row r="1937" customFormat="false" ht="15" hidden="false" customHeight="false" outlineLevel="0" collapsed="false">
      <c r="A1937" s="34" t="s">
        <v>7059</v>
      </c>
      <c r="B1937" s="34" t="s">
        <v>7060</v>
      </c>
      <c r="C1937" s="34" t="s">
        <v>7061</v>
      </c>
      <c r="D1937" s="34" t="s">
        <v>7062</v>
      </c>
      <c r="E1937" s="34" t="s">
        <v>180</v>
      </c>
      <c r="F1937" s="34" t="s">
        <v>6934</v>
      </c>
      <c r="G1937" s="34" t="s">
        <v>227</v>
      </c>
      <c r="H1937" s="34" t="s">
        <v>73</v>
      </c>
      <c r="I1937" s="34" t="s">
        <v>77</v>
      </c>
      <c r="J1937" s="34" t="s">
        <v>228</v>
      </c>
      <c r="K1937" s="34" t="s">
        <v>229</v>
      </c>
      <c r="L1937" s="34" t="s">
        <v>230</v>
      </c>
      <c r="M1937" s="34" t="s">
        <v>237</v>
      </c>
      <c r="N1937" s="34" t="str">
        <f aca="false">"Sector "&amp;VALUE(MID(D1937,13,2))</f>
        <v>Sector 8</v>
      </c>
      <c r="O1937" s="34" t="str">
        <f aca="false">IF(Dashboard!$C$5="Ubicación técnica",N1937,"Sector "&amp;VALUE(RIGHT(G1937,2)))</f>
        <v>Sector 8</v>
      </c>
      <c r="P1937" s="34" t="str">
        <f aca="false">IF(MID(D1937,15,3)="SEL","Subestación eléctrica","Área de proceso")</f>
        <v>Área de proceso</v>
      </c>
      <c r="Q1937" s="34" t="str">
        <f aca="false">MID(D1937,13,5)&amp;"|"&amp;MID(D1937,19,5)</f>
        <v>08TEA|CT203</v>
      </c>
      <c r="R1937" s="34" t="str">
        <f aca="false">IF(P1937="Subestación eléctrica",IFERROR(INDEX(cat_SubN,MATCH(Q1937,cat_SubK,0)),"SIN CATALOGAR"),"ÁREA DE PROCESO")</f>
        <v>ÁREA DE PROCESO</v>
      </c>
      <c r="S1937" s="34" t="str">
        <f aca="false">IF(H1937="","SIN DATO",IFERROR(INDEX(cat_MarcaN,MATCH(H1937,cat_MarcaO,0)),H1937))</f>
        <v>SIEMENS</v>
      </c>
      <c r="T1937" s="34" t="str">
        <f aca="false">IF(I1937="","SIN DATO",IFERROR(INDEX(cat_ModN,MATCH(I1937,cat_ModO,0)),I1937))</f>
        <v>7SR5711</v>
      </c>
      <c r="U1937" s="34" t="str">
        <f aca="false">IF(I1937="","",IFERROR(INDEX(cat_ModG,MATCH(I1937,cat_ModO,0)),"No"))</f>
        <v>No</v>
      </c>
      <c r="V1937" s="34" t="str">
        <f aca="false">IF(J1937="","SIN DATO",IFERROR(INDEX(cat_FunN,MATCH(J1937,cat_FunO,0)),J1937))</f>
        <v>Protección y medición</v>
      </c>
      <c r="W1937" s="34" t="str">
        <f aca="false">IF(OR(S1937="SIN DATO",T1937="SIN DATO"),"No","Sí")</f>
        <v>Sí</v>
      </c>
    </row>
    <row r="1938" customFormat="false" ht="15" hidden="false" customHeight="false" outlineLevel="0" collapsed="false">
      <c r="A1938" s="34" t="s">
        <v>7063</v>
      </c>
      <c r="B1938" s="34" t="s">
        <v>7064</v>
      </c>
      <c r="C1938" s="34" t="s">
        <v>7065</v>
      </c>
      <c r="D1938" s="34" t="s">
        <v>7066</v>
      </c>
      <c r="E1938" s="34" t="s">
        <v>180</v>
      </c>
      <c r="F1938" s="34" t="s">
        <v>6934</v>
      </c>
      <c r="G1938" s="34" t="s">
        <v>227</v>
      </c>
      <c r="H1938" s="34" t="s">
        <v>73</v>
      </c>
      <c r="I1938" s="34" t="s">
        <v>77</v>
      </c>
      <c r="J1938" s="34" t="s">
        <v>228</v>
      </c>
      <c r="K1938" s="34" t="s">
        <v>229</v>
      </c>
      <c r="L1938" s="34" t="s">
        <v>230</v>
      </c>
      <c r="M1938" s="34" t="s">
        <v>237</v>
      </c>
      <c r="N1938" s="34" t="str">
        <f aca="false">"Sector "&amp;VALUE(MID(D1938,13,2))</f>
        <v>Sector 8</v>
      </c>
      <c r="O1938" s="34" t="str">
        <f aca="false">IF(Dashboard!$C$5="Ubicación técnica",N1938,"Sector "&amp;VALUE(RIGHT(G1938,2)))</f>
        <v>Sector 8</v>
      </c>
      <c r="P1938" s="34" t="str">
        <f aca="false">IF(MID(D1938,15,3)="SEL","Subestación eléctrica","Área de proceso")</f>
        <v>Área de proceso</v>
      </c>
      <c r="Q1938" s="34" t="str">
        <f aca="false">MID(D1938,13,5)&amp;"|"&amp;MID(D1938,19,5)</f>
        <v>08TEA|CT203</v>
      </c>
      <c r="R1938" s="34" t="str">
        <f aca="false">IF(P1938="Subestación eléctrica",IFERROR(INDEX(cat_SubN,MATCH(Q1938,cat_SubK,0)),"SIN CATALOGAR"),"ÁREA DE PROCESO")</f>
        <v>ÁREA DE PROCESO</v>
      </c>
      <c r="S1938" s="34" t="str">
        <f aca="false">IF(H1938="","SIN DATO",IFERROR(INDEX(cat_MarcaN,MATCH(H1938,cat_MarcaO,0)),H1938))</f>
        <v>SIEMENS</v>
      </c>
      <c r="T1938" s="34" t="str">
        <f aca="false">IF(I1938="","SIN DATO",IFERROR(INDEX(cat_ModN,MATCH(I1938,cat_ModO,0)),I1938))</f>
        <v>7SR5711</v>
      </c>
      <c r="U1938" s="34" t="str">
        <f aca="false">IF(I1938="","",IFERROR(INDEX(cat_ModG,MATCH(I1938,cat_ModO,0)),"No"))</f>
        <v>No</v>
      </c>
      <c r="V1938" s="34" t="str">
        <f aca="false">IF(J1938="","SIN DATO",IFERROR(INDEX(cat_FunN,MATCH(J1938,cat_FunO,0)),J1938))</f>
        <v>Protección y medición</v>
      </c>
      <c r="W1938" s="34" t="str">
        <f aca="false">IF(OR(S1938="SIN DATO",T1938="SIN DATO"),"No","Sí")</f>
        <v>Sí</v>
      </c>
    </row>
    <row r="1939" customFormat="false" ht="15" hidden="false" customHeight="false" outlineLevel="0" collapsed="false">
      <c r="A1939" s="34" t="s">
        <v>7067</v>
      </c>
      <c r="B1939" s="34" t="s">
        <v>7068</v>
      </c>
      <c r="C1939" s="34" t="s">
        <v>7069</v>
      </c>
      <c r="D1939" s="34" t="s">
        <v>7070</v>
      </c>
      <c r="E1939" s="34" t="s">
        <v>180</v>
      </c>
      <c r="F1939" s="34" t="s">
        <v>6934</v>
      </c>
      <c r="G1939" s="34" t="s">
        <v>227</v>
      </c>
      <c r="H1939" s="34" t="s">
        <v>73</v>
      </c>
      <c r="I1939" s="34" t="s">
        <v>77</v>
      </c>
      <c r="J1939" s="34" t="s">
        <v>228</v>
      </c>
      <c r="K1939" s="34" t="s">
        <v>229</v>
      </c>
      <c r="L1939" s="34" t="s">
        <v>230</v>
      </c>
      <c r="M1939" s="34" t="s">
        <v>237</v>
      </c>
      <c r="N1939" s="34" t="str">
        <f aca="false">"Sector "&amp;VALUE(MID(D1939,13,2))</f>
        <v>Sector 8</v>
      </c>
      <c r="O1939" s="34" t="str">
        <f aca="false">IF(Dashboard!$C$5="Ubicación técnica",N1939,"Sector "&amp;VALUE(RIGHT(G1939,2)))</f>
        <v>Sector 8</v>
      </c>
      <c r="P1939" s="34" t="str">
        <f aca="false">IF(MID(D1939,15,3)="SEL","Subestación eléctrica","Área de proceso")</f>
        <v>Área de proceso</v>
      </c>
      <c r="Q1939" s="34" t="str">
        <f aca="false">MID(D1939,13,5)&amp;"|"&amp;MID(D1939,19,5)</f>
        <v>08TEA|CT203</v>
      </c>
      <c r="R1939" s="34" t="str">
        <f aca="false">IF(P1939="Subestación eléctrica",IFERROR(INDEX(cat_SubN,MATCH(Q1939,cat_SubK,0)),"SIN CATALOGAR"),"ÁREA DE PROCESO")</f>
        <v>ÁREA DE PROCESO</v>
      </c>
      <c r="S1939" s="34" t="str">
        <f aca="false">IF(H1939="","SIN DATO",IFERROR(INDEX(cat_MarcaN,MATCH(H1939,cat_MarcaO,0)),H1939))</f>
        <v>SIEMENS</v>
      </c>
      <c r="T1939" s="34" t="str">
        <f aca="false">IF(I1939="","SIN DATO",IFERROR(INDEX(cat_ModN,MATCH(I1939,cat_ModO,0)),I1939))</f>
        <v>7SR5711</v>
      </c>
      <c r="U1939" s="34" t="str">
        <f aca="false">IF(I1939="","",IFERROR(INDEX(cat_ModG,MATCH(I1939,cat_ModO,0)),"No"))</f>
        <v>No</v>
      </c>
      <c r="V1939" s="34" t="str">
        <f aca="false">IF(J1939="","SIN DATO",IFERROR(INDEX(cat_FunN,MATCH(J1939,cat_FunO,0)),J1939))</f>
        <v>Protección y medición</v>
      </c>
      <c r="W1939" s="34" t="str">
        <f aca="false">IF(OR(S1939="SIN DATO",T1939="SIN DATO"),"No","Sí")</f>
        <v>Sí</v>
      </c>
    </row>
    <row r="1940" customFormat="false" ht="15" hidden="false" customHeight="false" outlineLevel="0" collapsed="false">
      <c r="A1940" s="34" t="s">
        <v>7071</v>
      </c>
      <c r="B1940" s="34" t="s">
        <v>7072</v>
      </c>
      <c r="C1940" s="34" t="s">
        <v>7073</v>
      </c>
      <c r="D1940" s="34" t="s">
        <v>7074</v>
      </c>
      <c r="E1940" s="34" t="s">
        <v>180</v>
      </c>
      <c r="F1940" s="34" t="s">
        <v>6934</v>
      </c>
      <c r="G1940" s="34" t="s">
        <v>227</v>
      </c>
      <c r="H1940" s="34" t="s">
        <v>73</v>
      </c>
      <c r="I1940" s="34" t="s">
        <v>77</v>
      </c>
      <c r="J1940" s="34" t="s">
        <v>228</v>
      </c>
      <c r="K1940" s="34" t="s">
        <v>229</v>
      </c>
      <c r="L1940" s="34" t="s">
        <v>230</v>
      </c>
      <c r="M1940" s="34" t="s">
        <v>237</v>
      </c>
      <c r="N1940" s="34" t="str">
        <f aca="false">"Sector "&amp;VALUE(MID(D1940,13,2))</f>
        <v>Sector 8</v>
      </c>
      <c r="O1940" s="34" t="str">
        <f aca="false">IF(Dashboard!$C$5="Ubicación técnica",N1940,"Sector "&amp;VALUE(RIGHT(G1940,2)))</f>
        <v>Sector 8</v>
      </c>
      <c r="P1940" s="34" t="str">
        <f aca="false">IF(MID(D1940,15,3)="SEL","Subestación eléctrica","Área de proceso")</f>
        <v>Área de proceso</v>
      </c>
      <c r="Q1940" s="34" t="str">
        <f aca="false">MID(D1940,13,5)&amp;"|"&amp;MID(D1940,19,5)</f>
        <v>08TEA|CT203</v>
      </c>
      <c r="R1940" s="34" t="str">
        <f aca="false">IF(P1940="Subestación eléctrica",IFERROR(INDEX(cat_SubN,MATCH(Q1940,cat_SubK,0)),"SIN CATALOGAR"),"ÁREA DE PROCESO")</f>
        <v>ÁREA DE PROCESO</v>
      </c>
      <c r="S1940" s="34" t="str">
        <f aca="false">IF(H1940="","SIN DATO",IFERROR(INDEX(cat_MarcaN,MATCH(H1940,cat_MarcaO,0)),H1940))</f>
        <v>SIEMENS</v>
      </c>
      <c r="T1940" s="34" t="str">
        <f aca="false">IF(I1940="","SIN DATO",IFERROR(INDEX(cat_ModN,MATCH(I1940,cat_ModO,0)),I1940))</f>
        <v>7SR5711</v>
      </c>
      <c r="U1940" s="34" t="str">
        <f aca="false">IF(I1940="","",IFERROR(INDEX(cat_ModG,MATCH(I1940,cat_ModO,0)),"No"))</f>
        <v>No</v>
      </c>
      <c r="V1940" s="34" t="str">
        <f aca="false">IF(J1940="","SIN DATO",IFERROR(INDEX(cat_FunN,MATCH(J1940,cat_FunO,0)),J1940))</f>
        <v>Protección y medición</v>
      </c>
      <c r="W1940" s="34" t="str">
        <f aca="false">IF(OR(S1940="SIN DATO",T1940="SIN DATO"),"No","Sí")</f>
        <v>Sí</v>
      </c>
    </row>
    <row r="1941" customFormat="false" ht="15" hidden="false" customHeight="false" outlineLevel="0" collapsed="false">
      <c r="A1941" s="34" t="s">
        <v>7075</v>
      </c>
      <c r="B1941" s="34" t="s">
        <v>7076</v>
      </c>
      <c r="C1941" s="34" t="s">
        <v>7077</v>
      </c>
      <c r="D1941" s="34" t="s">
        <v>7078</v>
      </c>
      <c r="E1941" s="34" t="s">
        <v>180</v>
      </c>
      <c r="F1941" s="34" t="s">
        <v>6934</v>
      </c>
      <c r="G1941" s="34" t="s">
        <v>227</v>
      </c>
      <c r="H1941" s="34" t="s">
        <v>73</v>
      </c>
      <c r="I1941" s="34" t="s">
        <v>77</v>
      </c>
      <c r="J1941" s="34" t="s">
        <v>228</v>
      </c>
      <c r="K1941" s="34" t="s">
        <v>229</v>
      </c>
      <c r="L1941" s="34" t="s">
        <v>230</v>
      </c>
      <c r="M1941" s="34" t="s">
        <v>237</v>
      </c>
      <c r="N1941" s="34" t="str">
        <f aca="false">"Sector "&amp;VALUE(MID(D1941,13,2))</f>
        <v>Sector 8</v>
      </c>
      <c r="O1941" s="34" t="str">
        <f aca="false">IF(Dashboard!$C$5="Ubicación técnica",N1941,"Sector "&amp;VALUE(RIGHT(G1941,2)))</f>
        <v>Sector 8</v>
      </c>
      <c r="P1941" s="34" t="str">
        <f aca="false">IF(MID(D1941,15,3)="SEL","Subestación eléctrica","Área de proceso")</f>
        <v>Área de proceso</v>
      </c>
      <c r="Q1941" s="34" t="str">
        <f aca="false">MID(D1941,13,5)&amp;"|"&amp;MID(D1941,19,5)</f>
        <v>08TEA|CT203</v>
      </c>
      <c r="R1941" s="34" t="str">
        <f aca="false">IF(P1941="Subestación eléctrica",IFERROR(INDEX(cat_SubN,MATCH(Q1941,cat_SubK,0)),"SIN CATALOGAR"),"ÁREA DE PROCESO")</f>
        <v>ÁREA DE PROCESO</v>
      </c>
      <c r="S1941" s="34" t="str">
        <f aca="false">IF(H1941="","SIN DATO",IFERROR(INDEX(cat_MarcaN,MATCH(H1941,cat_MarcaO,0)),H1941))</f>
        <v>SIEMENS</v>
      </c>
      <c r="T1941" s="34" t="str">
        <f aca="false">IF(I1941="","SIN DATO",IFERROR(INDEX(cat_ModN,MATCH(I1941,cat_ModO,0)),I1941))</f>
        <v>7SR5711</v>
      </c>
      <c r="U1941" s="34" t="str">
        <f aca="false">IF(I1941="","",IFERROR(INDEX(cat_ModG,MATCH(I1941,cat_ModO,0)),"No"))</f>
        <v>No</v>
      </c>
      <c r="V1941" s="34" t="str">
        <f aca="false">IF(J1941="","SIN DATO",IFERROR(INDEX(cat_FunN,MATCH(J1941,cat_FunO,0)),J1941))</f>
        <v>Protección y medición</v>
      </c>
      <c r="W1941" s="34" t="str">
        <f aca="false">IF(OR(S1941="SIN DATO",T1941="SIN DATO"),"No","Sí")</f>
        <v>Sí</v>
      </c>
    </row>
    <row r="1942" customFormat="false" ht="15" hidden="false" customHeight="false" outlineLevel="0" collapsed="false">
      <c r="A1942" s="34" t="s">
        <v>7079</v>
      </c>
      <c r="B1942" s="34" t="s">
        <v>7080</v>
      </c>
      <c r="C1942" s="34" t="s">
        <v>7081</v>
      </c>
      <c r="D1942" s="34" t="s">
        <v>7082</v>
      </c>
      <c r="E1942" s="34" t="s">
        <v>180</v>
      </c>
      <c r="F1942" s="34" t="s">
        <v>6934</v>
      </c>
      <c r="G1942" s="34" t="s">
        <v>227</v>
      </c>
      <c r="H1942" s="34" t="s">
        <v>73</v>
      </c>
      <c r="I1942" s="34" t="s">
        <v>77</v>
      </c>
      <c r="J1942" s="34" t="s">
        <v>228</v>
      </c>
      <c r="K1942" s="34" t="s">
        <v>229</v>
      </c>
      <c r="L1942" s="34" t="s">
        <v>230</v>
      </c>
      <c r="M1942" s="34" t="s">
        <v>237</v>
      </c>
      <c r="N1942" s="34" t="str">
        <f aca="false">"Sector "&amp;VALUE(MID(D1942,13,2))</f>
        <v>Sector 8</v>
      </c>
      <c r="O1942" s="34" t="str">
        <f aca="false">IF(Dashboard!$C$5="Ubicación técnica",N1942,"Sector "&amp;VALUE(RIGHT(G1942,2)))</f>
        <v>Sector 8</v>
      </c>
      <c r="P1942" s="34" t="str">
        <f aca="false">IF(MID(D1942,15,3)="SEL","Subestación eléctrica","Área de proceso")</f>
        <v>Área de proceso</v>
      </c>
      <c r="Q1942" s="34" t="str">
        <f aca="false">MID(D1942,13,5)&amp;"|"&amp;MID(D1942,19,5)</f>
        <v>08TEA|CT203</v>
      </c>
      <c r="R1942" s="34" t="str">
        <f aca="false">IF(P1942="Subestación eléctrica",IFERROR(INDEX(cat_SubN,MATCH(Q1942,cat_SubK,0)),"SIN CATALOGAR"),"ÁREA DE PROCESO")</f>
        <v>ÁREA DE PROCESO</v>
      </c>
      <c r="S1942" s="34" t="str">
        <f aca="false">IF(H1942="","SIN DATO",IFERROR(INDEX(cat_MarcaN,MATCH(H1942,cat_MarcaO,0)),H1942))</f>
        <v>SIEMENS</v>
      </c>
      <c r="T1942" s="34" t="str">
        <f aca="false">IF(I1942="","SIN DATO",IFERROR(INDEX(cat_ModN,MATCH(I1942,cat_ModO,0)),I1942))</f>
        <v>7SR5711</v>
      </c>
      <c r="U1942" s="34" t="str">
        <f aca="false">IF(I1942="","",IFERROR(INDEX(cat_ModG,MATCH(I1942,cat_ModO,0)),"No"))</f>
        <v>No</v>
      </c>
      <c r="V1942" s="34" t="str">
        <f aca="false">IF(J1942="","SIN DATO",IFERROR(INDEX(cat_FunN,MATCH(J1942,cat_FunO,0)),J1942))</f>
        <v>Protección y medición</v>
      </c>
      <c r="W1942" s="34" t="str">
        <f aca="false">IF(OR(S1942="SIN DATO",T1942="SIN DATO"),"No","Sí")</f>
        <v>Sí</v>
      </c>
    </row>
    <row r="1943" customFormat="false" ht="15" hidden="false" customHeight="false" outlineLevel="0" collapsed="false">
      <c r="A1943" s="34" t="s">
        <v>7083</v>
      </c>
      <c r="B1943" s="34" t="s">
        <v>7084</v>
      </c>
      <c r="C1943" s="34" t="s">
        <v>7085</v>
      </c>
      <c r="D1943" s="34" t="s">
        <v>7086</v>
      </c>
      <c r="E1943" s="34" t="s">
        <v>180</v>
      </c>
      <c r="F1943" s="34" t="s">
        <v>6934</v>
      </c>
      <c r="G1943" s="34" t="s">
        <v>227</v>
      </c>
      <c r="H1943" s="34" t="s">
        <v>73</v>
      </c>
      <c r="I1943" s="34" t="s">
        <v>77</v>
      </c>
      <c r="J1943" s="34" t="s">
        <v>228</v>
      </c>
      <c r="K1943" s="34" t="s">
        <v>229</v>
      </c>
      <c r="L1943" s="34" t="s">
        <v>230</v>
      </c>
      <c r="M1943" s="34" t="s">
        <v>237</v>
      </c>
      <c r="N1943" s="34" t="str">
        <f aca="false">"Sector "&amp;VALUE(MID(D1943,13,2))</f>
        <v>Sector 8</v>
      </c>
      <c r="O1943" s="34" t="str">
        <f aca="false">IF(Dashboard!$C$5="Ubicación técnica",N1943,"Sector "&amp;VALUE(RIGHT(G1943,2)))</f>
        <v>Sector 8</v>
      </c>
      <c r="P1943" s="34" t="str">
        <f aca="false">IF(MID(D1943,15,3)="SEL","Subestación eléctrica","Área de proceso")</f>
        <v>Área de proceso</v>
      </c>
      <c r="Q1943" s="34" t="str">
        <f aca="false">MID(D1943,13,5)&amp;"|"&amp;MID(D1943,19,5)</f>
        <v>08TEA|CT203</v>
      </c>
      <c r="R1943" s="34" t="str">
        <f aca="false">IF(P1943="Subestación eléctrica",IFERROR(INDEX(cat_SubN,MATCH(Q1943,cat_SubK,0)),"SIN CATALOGAR"),"ÁREA DE PROCESO")</f>
        <v>ÁREA DE PROCESO</v>
      </c>
      <c r="S1943" s="34" t="str">
        <f aca="false">IF(H1943="","SIN DATO",IFERROR(INDEX(cat_MarcaN,MATCH(H1943,cat_MarcaO,0)),H1943))</f>
        <v>SIEMENS</v>
      </c>
      <c r="T1943" s="34" t="str">
        <f aca="false">IF(I1943="","SIN DATO",IFERROR(INDEX(cat_ModN,MATCH(I1943,cat_ModO,0)),I1943))</f>
        <v>7SR5711</v>
      </c>
      <c r="U1943" s="34" t="str">
        <f aca="false">IF(I1943="","",IFERROR(INDEX(cat_ModG,MATCH(I1943,cat_ModO,0)),"No"))</f>
        <v>No</v>
      </c>
      <c r="V1943" s="34" t="str">
        <f aca="false">IF(J1943="","SIN DATO",IFERROR(INDEX(cat_FunN,MATCH(J1943,cat_FunO,0)),J1943))</f>
        <v>Protección y medición</v>
      </c>
      <c r="W1943" s="34" t="str">
        <f aca="false">IF(OR(S1943="SIN DATO",T1943="SIN DATO"),"No","Sí")</f>
        <v>Sí</v>
      </c>
    </row>
    <row r="1944" customFormat="false" ht="15" hidden="false" customHeight="false" outlineLevel="0" collapsed="false">
      <c r="A1944" s="34" t="s">
        <v>7087</v>
      </c>
      <c r="B1944" s="34" t="s">
        <v>7088</v>
      </c>
      <c r="C1944" s="34" t="s">
        <v>7089</v>
      </c>
      <c r="D1944" s="34" t="s">
        <v>7090</v>
      </c>
      <c r="E1944" s="34" t="s">
        <v>180</v>
      </c>
      <c r="F1944" s="34" t="s">
        <v>6934</v>
      </c>
      <c r="G1944" s="34" t="s">
        <v>227</v>
      </c>
      <c r="H1944" s="34" t="s">
        <v>73</v>
      </c>
      <c r="I1944" s="34" t="s">
        <v>77</v>
      </c>
      <c r="J1944" s="34" t="s">
        <v>228</v>
      </c>
      <c r="K1944" s="34" t="s">
        <v>229</v>
      </c>
      <c r="L1944" s="34" t="s">
        <v>230</v>
      </c>
      <c r="M1944" s="34" t="s">
        <v>237</v>
      </c>
      <c r="N1944" s="34" t="str">
        <f aca="false">"Sector "&amp;VALUE(MID(D1944,13,2))</f>
        <v>Sector 8</v>
      </c>
      <c r="O1944" s="34" t="str">
        <f aca="false">IF(Dashboard!$C$5="Ubicación técnica",N1944,"Sector "&amp;VALUE(RIGHT(G1944,2)))</f>
        <v>Sector 8</v>
      </c>
      <c r="P1944" s="34" t="str">
        <f aca="false">IF(MID(D1944,15,3)="SEL","Subestación eléctrica","Área de proceso")</f>
        <v>Área de proceso</v>
      </c>
      <c r="Q1944" s="34" t="str">
        <f aca="false">MID(D1944,13,5)&amp;"|"&amp;MID(D1944,19,5)</f>
        <v>08TEA|CT203</v>
      </c>
      <c r="R1944" s="34" t="str">
        <f aca="false">IF(P1944="Subestación eléctrica",IFERROR(INDEX(cat_SubN,MATCH(Q1944,cat_SubK,0)),"SIN CATALOGAR"),"ÁREA DE PROCESO")</f>
        <v>ÁREA DE PROCESO</v>
      </c>
      <c r="S1944" s="34" t="str">
        <f aca="false">IF(H1944="","SIN DATO",IFERROR(INDEX(cat_MarcaN,MATCH(H1944,cat_MarcaO,0)),H1944))</f>
        <v>SIEMENS</v>
      </c>
      <c r="T1944" s="34" t="str">
        <f aca="false">IF(I1944="","SIN DATO",IFERROR(INDEX(cat_ModN,MATCH(I1944,cat_ModO,0)),I1944))</f>
        <v>7SR5711</v>
      </c>
      <c r="U1944" s="34" t="str">
        <f aca="false">IF(I1944="","",IFERROR(INDEX(cat_ModG,MATCH(I1944,cat_ModO,0)),"No"))</f>
        <v>No</v>
      </c>
      <c r="V1944" s="34" t="str">
        <f aca="false">IF(J1944="","SIN DATO",IFERROR(INDEX(cat_FunN,MATCH(J1944,cat_FunO,0)),J1944))</f>
        <v>Protección y medición</v>
      </c>
      <c r="W1944" s="34" t="str">
        <f aca="false">IF(OR(S1944="SIN DATO",T1944="SIN DATO"),"No","Sí")</f>
        <v>Sí</v>
      </c>
    </row>
    <row r="1945" customFormat="false" ht="15" hidden="false" customHeight="false" outlineLevel="0" collapsed="false">
      <c r="A1945" s="34" t="s">
        <v>7091</v>
      </c>
      <c r="B1945" s="34" t="s">
        <v>7092</v>
      </c>
      <c r="C1945" s="34" t="s">
        <v>7093</v>
      </c>
      <c r="D1945" s="34" t="s">
        <v>7094</v>
      </c>
      <c r="E1945" s="34" t="s">
        <v>180</v>
      </c>
      <c r="F1945" s="34" t="s">
        <v>6934</v>
      </c>
      <c r="G1945" s="34" t="s">
        <v>227</v>
      </c>
      <c r="H1945" s="34" t="s">
        <v>73</v>
      </c>
      <c r="I1945" s="34" t="s">
        <v>77</v>
      </c>
      <c r="J1945" s="34" t="s">
        <v>228</v>
      </c>
      <c r="K1945" s="34" t="s">
        <v>229</v>
      </c>
      <c r="L1945" s="34" t="s">
        <v>230</v>
      </c>
      <c r="M1945" s="34" t="s">
        <v>237</v>
      </c>
      <c r="N1945" s="34" t="str">
        <f aca="false">"Sector "&amp;VALUE(MID(D1945,13,2))</f>
        <v>Sector 8</v>
      </c>
      <c r="O1945" s="34" t="str">
        <f aca="false">IF(Dashboard!$C$5="Ubicación técnica",N1945,"Sector "&amp;VALUE(RIGHT(G1945,2)))</f>
        <v>Sector 8</v>
      </c>
      <c r="P1945" s="34" t="str">
        <f aca="false">IF(MID(D1945,15,3)="SEL","Subestación eléctrica","Área de proceso")</f>
        <v>Área de proceso</v>
      </c>
      <c r="Q1945" s="34" t="str">
        <f aca="false">MID(D1945,13,5)&amp;"|"&amp;MID(D1945,19,5)</f>
        <v>08TEA|CT203</v>
      </c>
      <c r="R1945" s="34" t="str">
        <f aca="false">IF(P1945="Subestación eléctrica",IFERROR(INDEX(cat_SubN,MATCH(Q1945,cat_SubK,0)),"SIN CATALOGAR"),"ÁREA DE PROCESO")</f>
        <v>ÁREA DE PROCESO</v>
      </c>
      <c r="S1945" s="34" t="str">
        <f aca="false">IF(H1945="","SIN DATO",IFERROR(INDEX(cat_MarcaN,MATCH(H1945,cat_MarcaO,0)),H1945))</f>
        <v>SIEMENS</v>
      </c>
      <c r="T1945" s="34" t="str">
        <f aca="false">IF(I1945="","SIN DATO",IFERROR(INDEX(cat_ModN,MATCH(I1945,cat_ModO,0)),I1945))</f>
        <v>7SR5711</v>
      </c>
      <c r="U1945" s="34" t="str">
        <f aca="false">IF(I1945="","",IFERROR(INDEX(cat_ModG,MATCH(I1945,cat_ModO,0)),"No"))</f>
        <v>No</v>
      </c>
      <c r="V1945" s="34" t="str">
        <f aca="false">IF(J1945="","SIN DATO",IFERROR(INDEX(cat_FunN,MATCH(J1945,cat_FunO,0)),J1945))</f>
        <v>Protección y medición</v>
      </c>
      <c r="W1945" s="34" t="str">
        <f aca="false">IF(OR(S1945="SIN DATO",T1945="SIN DATO"),"No","Sí")</f>
        <v>Sí</v>
      </c>
    </row>
    <row r="1946" customFormat="false" ht="15" hidden="false" customHeight="false" outlineLevel="0" collapsed="false">
      <c r="A1946" s="34" t="s">
        <v>7095</v>
      </c>
      <c r="B1946" s="34" t="s">
        <v>7096</v>
      </c>
      <c r="C1946" s="34" t="s">
        <v>7097</v>
      </c>
      <c r="D1946" s="34" t="s">
        <v>7098</v>
      </c>
      <c r="E1946" s="34" t="s">
        <v>180</v>
      </c>
      <c r="F1946" s="34" t="s">
        <v>6934</v>
      </c>
      <c r="G1946" s="34" t="s">
        <v>227</v>
      </c>
      <c r="H1946" s="34" t="s">
        <v>73</v>
      </c>
      <c r="I1946" s="34" t="s">
        <v>77</v>
      </c>
      <c r="J1946" s="34" t="s">
        <v>228</v>
      </c>
      <c r="K1946" s="34" t="s">
        <v>229</v>
      </c>
      <c r="L1946" s="34" t="s">
        <v>230</v>
      </c>
      <c r="M1946" s="34" t="s">
        <v>237</v>
      </c>
      <c r="N1946" s="34" t="str">
        <f aca="false">"Sector "&amp;VALUE(MID(D1946,13,2))</f>
        <v>Sector 8</v>
      </c>
      <c r="O1946" s="34" t="str">
        <f aca="false">IF(Dashboard!$C$5="Ubicación técnica",N1946,"Sector "&amp;VALUE(RIGHT(G1946,2)))</f>
        <v>Sector 8</v>
      </c>
      <c r="P1946" s="34" t="str">
        <f aca="false">IF(MID(D1946,15,3)="SEL","Subestación eléctrica","Área de proceso")</f>
        <v>Área de proceso</v>
      </c>
      <c r="Q1946" s="34" t="str">
        <f aca="false">MID(D1946,13,5)&amp;"|"&amp;MID(D1946,19,5)</f>
        <v>08TEA|CT203</v>
      </c>
      <c r="R1946" s="34" t="str">
        <f aca="false">IF(P1946="Subestación eléctrica",IFERROR(INDEX(cat_SubN,MATCH(Q1946,cat_SubK,0)),"SIN CATALOGAR"),"ÁREA DE PROCESO")</f>
        <v>ÁREA DE PROCESO</v>
      </c>
      <c r="S1946" s="34" t="str">
        <f aca="false">IF(H1946="","SIN DATO",IFERROR(INDEX(cat_MarcaN,MATCH(H1946,cat_MarcaO,0)),H1946))</f>
        <v>SIEMENS</v>
      </c>
      <c r="T1946" s="34" t="str">
        <f aca="false">IF(I1946="","SIN DATO",IFERROR(INDEX(cat_ModN,MATCH(I1946,cat_ModO,0)),I1946))</f>
        <v>7SR5711</v>
      </c>
      <c r="U1946" s="34" t="str">
        <f aca="false">IF(I1946="","",IFERROR(INDEX(cat_ModG,MATCH(I1946,cat_ModO,0)),"No"))</f>
        <v>No</v>
      </c>
      <c r="V1946" s="34" t="str">
        <f aca="false">IF(J1946="","SIN DATO",IFERROR(INDEX(cat_FunN,MATCH(J1946,cat_FunO,0)),J1946))</f>
        <v>Protección y medición</v>
      </c>
      <c r="W1946" s="34" t="str">
        <f aca="false">IF(OR(S1946="SIN DATO",T1946="SIN DATO"),"No","Sí")</f>
        <v>Sí</v>
      </c>
    </row>
    <row r="1947" customFormat="false" ht="15" hidden="false" customHeight="false" outlineLevel="0" collapsed="false">
      <c r="A1947" s="34" t="s">
        <v>7099</v>
      </c>
      <c r="B1947" s="34" t="s">
        <v>7100</v>
      </c>
      <c r="C1947" s="34" t="s">
        <v>7101</v>
      </c>
      <c r="D1947" s="34" t="s">
        <v>7102</v>
      </c>
      <c r="E1947" s="34" t="s">
        <v>180</v>
      </c>
      <c r="F1947" s="34" t="s">
        <v>6934</v>
      </c>
      <c r="G1947" s="34" t="s">
        <v>227</v>
      </c>
      <c r="H1947" s="34" t="s">
        <v>73</v>
      </c>
      <c r="I1947" s="34" t="s">
        <v>77</v>
      </c>
      <c r="J1947" s="34" t="s">
        <v>228</v>
      </c>
      <c r="K1947" s="34" t="s">
        <v>229</v>
      </c>
      <c r="L1947" s="34" t="s">
        <v>230</v>
      </c>
      <c r="M1947" s="34" t="s">
        <v>237</v>
      </c>
      <c r="N1947" s="34" t="str">
        <f aca="false">"Sector "&amp;VALUE(MID(D1947,13,2))</f>
        <v>Sector 8</v>
      </c>
      <c r="O1947" s="34" t="str">
        <f aca="false">IF(Dashboard!$C$5="Ubicación técnica",N1947,"Sector "&amp;VALUE(RIGHT(G1947,2)))</f>
        <v>Sector 8</v>
      </c>
      <c r="P1947" s="34" t="str">
        <f aca="false">IF(MID(D1947,15,3)="SEL","Subestación eléctrica","Área de proceso")</f>
        <v>Área de proceso</v>
      </c>
      <c r="Q1947" s="34" t="str">
        <f aca="false">MID(D1947,13,5)&amp;"|"&amp;MID(D1947,19,5)</f>
        <v>08TEA|CT203</v>
      </c>
      <c r="R1947" s="34" t="str">
        <f aca="false">IF(P1947="Subestación eléctrica",IFERROR(INDEX(cat_SubN,MATCH(Q1947,cat_SubK,0)),"SIN CATALOGAR"),"ÁREA DE PROCESO")</f>
        <v>ÁREA DE PROCESO</v>
      </c>
      <c r="S1947" s="34" t="str">
        <f aca="false">IF(H1947="","SIN DATO",IFERROR(INDEX(cat_MarcaN,MATCH(H1947,cat_MarcaO,0)),H1947))</f>
        <v>SIEMENS</v>
      </c>
      <c r="T1947" s="34" t="str">
        <f aca="false">IF(I1947="","SIN DATO",IFERROR(INDEX(cat_ModN,MATCH(I1947,cat_ModO,0)),I1947))</f>
        <v>7SR5711</v>
      </c>
      <c r="U1947" s="34" t="str">
        <f aca="false">IF(I1947="","",IFERROR(INDEX(cat_ModG,MATCH(I1947,cat_ModO,0)),"No"))</f>
        <v>No</v>
      </c>
      <c r="V1947" s="34" t="str">
        <f aca="false">IF(J1947="","SIN DATO",IFERROR(INDEX(cat_FunN,MATCH(J1947,cat_FunO,0)),J1947))</f>
        <v>Protección y medición</v>
      </c>
      <c r="W1947" s="34" t="str">
        <f aca="false">IF(OR(S1947="SIN DATO",T1947="SIN DATO"),"No","Sí")</f>
        <v>Sí</v>
      </c>
    </row>
    <row r="1948" customFormat="false" ht="15" hidden="false" customHeight="false" outlineLevel="0" collapsed="false">
      <c r="A1948" s="34" t="s">
        <v>7103</v>
      </c>
      <c r="B1948" s="34" t="s">
        <v>7104</v>
      </c>
      <c r="C1948" s="34" t="s">
        <v>7105</v>
      </c>
      <c r="D1948" s="34" t="s">
        <v>7106</v>
      </c>
      <c r="E1948" s="34" t="s">
        <v>180</v>
      </c>
      <c r="F1948" s="34" t="s">
        <v>6934</v>
      </c>
      <c r="G1948" s="34" t="s">
        <v>227</v>
      </c>
      <c r="H1948" s="34" t="s">
        <v>73</v>
      </c>
      <c r="I1948" s="34" t="s">
        <v>77</v>
      </c>
      <c r="J1948" s="34" t="s">
        <v>228</v>
      </c>
      <c r="K1948" s="34" t="s">
        <v>229</v>
      </c>
      <c r="L1948" s="34" t="s">
        <v>230</v>
      </c>
      <c r="M1948" s="34" t="s">
        <v>237</v>
      </c>
      <c r="N1948" s="34" t="str">
        <f aca="false">"Sector "&amp;VALUE(MID(D1948,13,2))</f>
        <v>Sector 8</v>
      </c>
      <c r="O1948" s="34" t="str">
        <f aca="false">IF(Dashboard!$C$5="Ubicación técnica",N1948,"Sector "&amp;VALUE(RIGHT(G1948,2)))</f>
        <v>Sector 8</v>
      </c>
      <c r="P1948" s="34" t="str">
        <f aca="false">IF(MID(D1948,15,3)="SEL","Subestación eléctrica","Área de proceso")</f>
        <v>Área de proceso</v>
      </c>
      <c r="Q1948" s="34" t="str">
        <f aca="false">MID(D1948,13,5)&amp;"|"&amp;MID(D1948,19,5)</f>
        <v>08TEA|CT203</v>
      </c>
      <c r="R1948" s="34" t="str">
        <f aca="false">IF(P1948="Subestación eléctrica",IFERROR(INDEX(cat_SubN,MATCH(Q1948,cat_SubK,0)),"SIN CATALOGAR"),"ÁREA DE PROCESO")</f>
        <v>ÁREA DE PROCESO</v>
      </c>
      <c r="S1948" s="34" t="str">
        <f aca="false">IF(H1948="","SIN DATO",IFERROR(INDEX(cat_MarcaN,MATCH(H1948,cat_MarcaO,0)),H1948))</f>
        <v>SIEMENS</v>
      </c>
      <c r="T1948" s="34" t="str">
        <f aca="false">IF(I1948="","SIN DATO",IFERROR(INDEX(cat_ModN,MATCH(I1948,cat_ModO,0)),I1948))</f>
        <v>7SR5711</v>
      </c>
      <c r="U1948" s="34" t="str">
        <f aca="false">IF(I1948="","",IFERROR(INDEX(cat_ModG,MATCH(I1948,cat_ModO,0)),"No"))</f>
        <v>No</v>
      </c>
      <c r="V1948" s="34" t="str">
        <f aca="false">IF(J1948="","SIN DATO",IFERROR(INDEX(cat_FunN,MATCH(J1948,cat_FunO,0)),J1948))</f>
        <v>Protección y medición</v>
      </c>
      <c r="W1948" s="34" t="str">
        <f aca="false">IF(OR(S1948="SIN DATO",T1948="SIN DATO"),"No","Sí")</f>
        <v>Sí</v>
      </c>
    </row>
    <row r="1949" customFormat="false" ht="15" hidden="false" customHeight="false" outlineLevel="0" collapsed="false">
      <c r="A1949" s="34" t="s">
        <v>7107</v>
      </c>
      <c r="B1949" s="34" t="s">
        <v>7108</v>
      </c>
      <c r="C1949" s="34" t="s">
        <v>7109</v>
      </c>
      <c r="D1949" s="34" t="s">
        <v>7110</v>
      </c>
      <c r="E1949" s="34" t="s">
        <v>180</v>
      </c>
      <c r="F1949" s="34" t="s">
        <v>6934</v>
      </c>
      <c r="G1949" s="34" t="s">
        <v>227</v>
      </c>
      <c r="H1949" s="34" t="s">
        <v>73</v>
      </c>
      <c r="I1949" s="34" t="s">
        <v>77</v>
      </c>
      <c r="J1949" s="34" t="s">
        <v>228</v>
      </c>
      <c r="K1949" s="34" t="s">
        <v>229</v>
      </c>
      <c r="L1949" s="34" t="s">
        <v>230</v>
      </c>
      <c r="M1949" s="34" t="s">
        <v>237</v>
      </c>
      <c r="N1949" s="34" t="str">
        <f aca="false">"Sector "&amp;VALUE(MID(D1949,13,2))</f>
        <v>Sector 8</v>
      </c>
      <c r="O1949" s="34" t="str">
        <f aca="false">IF(Dashboard!$C$5="Ubicación técnica",N1949,"Sector "&amp;VALUE(RIGHT(G1949,2)))</f>
        <v>Sector 8</v>
      </c>
      <c r="P1949" s="34" t="str">
        <f aca="false">IF(MID(D1949,15,3)="SEL","Subestación eléctrica","Área de proceso")</f>
        <v>Área de proceso</v>
      </c>
      <c r="Q1949" s="34" t="str">
        <f aca="false">MID(D1949,13,5)&amp;"|"&amp;MID(D1949,19,5)</f>
        <v>08TEA|CT203</v>
      </c>
      <c r="R1949" s="34" t="str">
        <f aca="false">IF(P1949="Subestación eléctrica",IFERROR(INDEX(cat_SubN,MATCH(Q1949,cat_SubK,0)),"SIN CATALOGAR"),"ÁREA DE PROCESO")</f>
        <v>ÁREA DE PROCESO</v>
      </c>
      <c r="S1949" s="34" t="str">
        <f aca="false">IF(H1949="","SIN DATO",IFERROR(INDEX(cat_MarcaN,MATCH(H1949,cat_MarcaO,0)),H1949))</f>
        <v>SIEMENS</v>
      </c>
      <c r="T1949" s="34" t="str">
        <f aca="false">IF(I1949="","SIN DATO",IFERROR(INDEX(cat_ModN,MATCH(I1949,cat_ModO,0)),I1949))</f>
        <v>7SR5711</v>
      </c>
      <c r="U1949" s="34" t="str">
        <f aca="false">IF(I1949="","",IFERROR(INDEX(cat_ModG,MATCH(I1949,cat_ModO,0)),"No"))</f>
        <v>No</v>
      </c>
      <c r="V1949" s="34" t="str">
        <f aca="false">IF(J1949="","SIN DATO",IFERROR(INDEX(cat_FunN,MATCH(J1949,cat_FunO,0)),J1949))</f>
        <v>Protección y medición</v>
      </c>
      <c r="W1949" s="34" t="str">
        <f aca="false">IF(OR(S1949="SIN DATO",T1949="SIN DATO"),"No","Sí")</f>
        <v>Sí</v>
      </c>
    </row>
    <row r="1950" customFormat="false" ht="15" hidden="false" customHeight="false" outlineLevel="0" collapsed="false">
      <c r="A1950" s="34" t="s">
        <v>7111</v>
      </c>
      <c r="B1950" s="34" t="s">
        <v>7112</v>
      </c>
      <c r="C1950" s="34" t="s">
        <v>7113</v>
      </c>
      <c r="D1950" s="34" t="s">
        <v>7114</v>
      </c>
      <c r="E1950" s="34" t="s">
        <v>180</v>
      </c>
      <c r="F1950" s="34" t="s">
        <v>6934</v>
      </c>
      <c r="G1950" s="34" t="s">
        <v>227</v>
      </c>
      <c r="H1950" s="34" t="s">
        <v>73</v>
      </c>
      <c r="I1950" s="34" t="s">
        <v>77</v>
      </c>
      <c r="J1950" s="34" t="s">
        <v>228</v>
      </c>
      <c r="K1950" s="34" t="s">
        <v>229</v>
      </c>
      <c r="L1950" s="34" t="s">
        <v>230</v>
      </c>
      <c r="M1950" s="34" t="s">
        <v>237</v>
      </c>
      <c r="N1950" s="34" t="str">
        <f aca="false">"Sector "&amp;VALUE(MID(D1950,13,2))</f>
        <v>Sector 8</v>
      </c>
      <c r="O1950" s="34" t="str">
        <f aca="false">IF(Dashboard!$C$5="Ubicación técnica",N1950,"Sector "&amp;VALUE(RIGHT(G1950,2)))</f>
        <v>Sector 8</v>
      </c>
      <c r="P1950" s="34" t="str">
        <f aca="false">IF(MID(D1950,15,3)="SEL","Subestación eléctrica","Área de proceso")</f>
        <v>Área de proceso</v>
      </c>
      <c r="Q1950" s="34" t="str">
        <f aca="false">MID(D1950,13,5)&amp;"|"&amp;MID(D1950,19,5)</f>
        <v>08TEA|CT203</v>
      </c>
      <c r="R1950" s="34" t="str">
        <f aca="false">IF(P1950="Subestación eléctrica",IFERROR(INDEX(cat_SubN,MATCH(Q1950,cat_SubK,0)),"SIN CATALOGAR"),"ÁREA DE PROCESO")</f>
        <v>ÁREA DE PROCESO</v>
      </c>
      <c r="S1950" s="34" t="str">
        <f aca="false">IF(H1950="","SIN DATO",IFERROR(INDEX(cat_MarcaN,MATCH(H1950,cat_MarcaO,0)),H1950))</f>
        <v>SIEMENS</v>
      </c>
      <c r="T1950" s="34" t="str">
        <f aca="false">IF(I1950="","SIN DATO",IFERROR(INDEX(cat_ModN,MATCH(I1950,cat_ModO,0)),I1950))</f>
        <v>7SR5711</v>
      </c>
      <c r="U1950" s="34" t="str">
        <f aca="false">IF(I1950="","",IFERROR(INDEX(cat_ModG,MATCH(I1950,cat_ModO,0)),"No"))</f>
        <v>No</v>
      </c>
      <c r="V1950" s="34" t="str">
        <f aca="false">IF(J1950="","SIN DATO",IFERROR(INDEX(cat_FunN,MATCH(J1950,cat_FunO,0)),J1950))</f>
        <v>Protección y medición</v>
      </c>
      <c r="W1950" s="34" t="str">
        <f aca="false">IF(OR(S1950="SIN DATO",T1950="SIN DATO"),"No","Sí")</f>
        <v>Sí</v>
      </c>
    </row>
    <row r="1951" customFormat="false" ht="15" hidden="false" customHeight="false" outlineLevel="0" collapsed="false">
      <c r="A1951" s="34" t="s">
        <v>7115</v>
      </c>
      <c r="B1951" s="34" t="s">
        <v>7116</v>
      </c>
      <c r="C1951" s="34" t="s">
        <v>7117</v>
      </c>
      <c r="D1951" s="34" t="s">
        <v>6982</v>
      </c>
      <c r="E1951" s="34" t="s">
        <v>178</v>
      </c>
      <c r="F1951" s="34" t="s">
        <v>6934</v>
      </c>
      <c r="G1951" s="34" t="s">
        <v>227</v>
      </c>
      <c r="H1951" s="34" t="s">
        <v>34</v>
      </c>
      <c r="I1951" s="34" t="s">
        <v>40</v>
      </c>
      <c r="J1951" s="34" t="s">
        <v>681</v>
      </c>
      <c r="K1951" s="34" t="s">
        <v>229</v>
      </c>
      <c r="L1951" s="34" t="s">
        <v>230</v>
      </c>
      <c r="M1951" s="34"/>
      <c r="N1951" s="34" t="str">
        <f aca="false">"Sector "&amp;VALUE(MID(D1951,13,2))</f>
        <v>Sector 8</v>
      </c>
      <c r="O1951" s="34" t="str">
        <f aca="false">IF(Dashboard!$C$5="Ubicación técnica",N1951,"Sector "&amp;VALUE(RIGHT(G1951,2)))</f>
        <v>Sector 8</v>
      </c>
      <c r="P1951" s="34" t="str">
        <f aca="false">IF(MID(D1951,15,3)="SEL","Subestación eléctrica","Área de proceso")</f>
        <v>Área de proceso</v>
      </c>
      <c r="Q1951" s="34" t="str">
        <f aca="false">MID(D1951,13,5)&amp;"|"&amp;MID(D1951,19,5)</f>
        <v>08TEA|CT202</v>
      </c>
      <c r="R1951" s="34" t="str">
        <f aca="false">IF(P1951="Subestación eléctrica",IFERROR(INDEX(cat_SubN,MATCH(Q1951,cat_SubK,0)),"SIN CATALOGAR"),"ÁREA DE PROCESO")</f>
        <v>ÁREA DE PROCESO</v>
      </c>
      <c r="S1951" s="34" t="str">
        <f aca="false">IF(H1951="","SIN DATO",IFERROR(INDEX(cat_MarcaN,MATCH(H1951,cat_MarcaO,0)),H1951))</f>
        <v>ABB</v>
      </c>
      <c r="T1951" s="34" t="str">
        <f aca="false">IF(I1951="","SIN DATO",IFERROR(INDEX(cat_ModN,MATCH(I1951,cat_ModO,0)),I1951))</f>
        <v>REA 101</v>
      </c>
      <c r="U1951" s="34" t="str">
        <f aca="false">IF(I1951="","",IFERROR(INDEX(cat_ModG,MATCH(I1951,cat_ModO,0)),"No"))</f>
        <v>No</v>
      </c>
      <c r="V1951" s="34" t="str">
        <f aca="false">IF(J1951="","SIN DATO",IFERROR(INDEX(cat_FunN,MATCH(J1951,cat_FunO,0)),J1951))</f>
        <v>Protección</v>
      </c>
      <c r="W1951" s="34" t="str">
        <f aca="false">IF(OR(S1951="SIN DATO",T1951="SIN DATO"),"No","Sí")</f>
        <v>Sí</v>
      </c>
    </row>
    <row r="1952" customFormat="false" ht="15" hidden="false" customHeight="false" outlineLevel="0" collapsed="false">
      <c r="A1952" s="34" t="s">
        <v>7118</v>
      </c>
      <c r="B1952" s="34" t="s">
        <v>7119</v>
      </c>
      <c r="C1952" s="34" t="s">
        <v>7120</v>
      </c>
      <c r="D1952" s="34" t="s">
        <v>6978</v>
      </c>
      <c r="E1952" s="34" t="s">
        <v>178</v>
      </c>
      <c r="F1952" s="34" t="s">
        <v>6934</v>
      </c>
      <c r="G1952" s="34" t="s">
        <v>227</v>
      </c>
      <c r="H1952" s="34" t="s">
        <v>34</v>
      </c>
      <c r="I1952" s="34" t="s">
        <v>40</v>
      </c>
      <c r="J1952" s="34" t="s">
        <v>681</v>
      </c>
      <c r="K1952" s="34" t="s">
        <v>229</v>
      </c>
      <c r="L1952" s="34" t="s">
        <v>230</v>
      </c>
      <c r="M1952" s="34"/>
      <c r="N1952" s="34" t="str">
        <f aca="false">"Sector "&amp;VALUE(MID(D1952,13,2))</f>
        <v>Sector 8</v>
      </c>
      <c r="O1952" s="34" t="str">
        <f aca="false">IF(Dashboard!$C$5="Ubicación técnica",N1952,"Sector "&amp;VALUE(RIGHT(G1952,2)))</f>
        <v>Sector 8</v>
      </c>
      <c r="P1952" s="34" t="str">
        <f aca="false">IF(MID(D1952,15,3)="SEL","Subestación eléctrica","Área de proceso")</f>
        <v>Área de proceso</v>
      </c>
      <c r="Q1952" s="34" t="str">
        <f aca="false">MID(D1952,13,5)&amp;"|"&amp;MID(D1952,19,5)</f>
        <v>08TEA|CT202</v>
      </c>
      <c r="R1952" s="34" t="str">
        <f aca="false">IF(P1952="Subestación eléctrica",IFERROR(INDEX(cat_SubN,MATCH(Q1952,cat_SubK,0)),"SIN CATALOGAR"),"ÁREA DE PROCESO")</f>
        <v>ÁREA DE PROCESO</v>
      </c>
      <c r="S1952" s="34" t="str">
        <f aca="false">IF(H1952="","SIN DATO",IFERROR(INDEX(cat_MarcaN,MATCH(H1952,cat_MarcaO,0)),H1952))</f>
        <v>ABB</v>
      </c>
      <c r="T1952" s="34" t="str">
        <f aca="false">IF(I1952="","SIN DATO",IFERROR(INDEX(cat_ModN,MATCH(I1952,cat_ModO,0)),I1952))</f>
        <v>REA 101</v>
      </c>
      <c r="U1952" s="34" t="str">
        <f aca="false">IF(I1952="","",IFERROR(INDEX(cat_ModG,MATCH(I1952,cat_ModO,0)),"No"))</f>
        <v>No</v>
      </c>
      <c r="V1952" s="34" t="str">
        <f aca="false">IF(J1952="","SIN DATO",IFERROR(INDEX(cat_FunN,MATCH(J1952,cat_FunO,0)),J1952))</f>
        <v>Protección</v>
      </c>
      <c r="W1952" s="34" t="str">
        <f aca="false">IF(OR(S1952="SIN DATO",T1952="SIN DATO"),"No","Sí")</f>
        <v>Sí</v>
      </c>
    </row>
    <row r="1953" customFormat="false" ht="15" hidden="false" customHeight="false" outlineLevel="0" collapsed="false">
      <c r="A1953" s="34" t="s">
        <v>7121</v>
      </c>
      <c r="B1953" s="34" t="s">
        <v>7122</v>
      </c>
      <c r="C1953" s="34" t="s">
        <v>7123</v>
      </c>
      <c r="D1953" s="34" t="s">
        <v>6970</v>
      </c>
      <c r="E1953" s="34" t="s">
        <v>6933</v>
      </c>
      <c r="F1953" s="34" t="s">
        <v>6934</v>
      </c>
      <c r="G1953" s="34" t="s">
        <v>227</v>
      </c>
      <c r="H1953" s="34" t="s">
        <v>34</v>
      </c>
      <c r="I1953" s="34" t="s">
        <v>40</v>
      </c>
      <c r="J1953" s="34" t="s">
        <v>2231</v>
      </c>
      <c r="K1953" s="34" t="s">
        <v>229</v>
      </c>
      <c r="L1953" s="34" t="s">
        <v>230</v>
      </c>
      <c r="M1953" s="34"/>
      <c r="N1953" s="34" t="str">
        <f aca="false">"Sector "&amp;VALUE(MID(D1953,13,2))</f>
        <v>Sector 8</v>
      </c>
      <c r="O1953" s="34" t="str">
        <f aca="false">IF(Dashboard!$C$5="Ubicación técnica",N1953,"Sector "&amp;VALUE(RIGHT(G1953,2)))</f>
        <v>Sector 8</v>
      </c>
      <c r="P1953" s="34" t="str">
        <f aca="false">IF(MID(D1953,15,3)="SEL","Subestación eléctrica","Área de proceso")</f>
        <v>Área de proceso</v>
      </c>
      <c r="Q1953" s="34" t="str">
        <f aca="false">MID(D1953,13,5)&amp;"|"&amp;MID(D1953,19,5)</f>
        <v>08TEA|CT205</v>
      </c>
      <c r="R1953" s="34" t="str">
        <f aca="false">IF(P1953="Subestación eléctrica",IFERROR(INDEX(cat_SubN,MATCH(Q1953,cat_SubK,0)),"SIN CATALOGAR"),"ÁREA DE PROCESO")</f>
        <v>ÁREA DE PROCESO</v>
      </c>
      <c r="S1953" s="34" t="str">
        <f aca="false">IF(H1953="","SIN DATO",IFERROR(INDEX(cat_MarcaN,MATCH(H1953,cat_MarcaO,0)),H1953))</f>
        <v>ABB</v>
      </c>
      <c r="T1953" s="34" t="str">
        <f aca="false">IF(I1953="","SIN DATO",IFERROR(INDEX(cat_ModN,MATCH(I1953,cat_ModO,0)),I1953))</f>
        <v>REA 101</v>
      </c>
      <c r="U1953" s="34" t="str">
        <f aca="false">IF(I1953="","",IFERROR(INDEX(cat_ModG,MATCH(I1953,cat_ModO,0)),"No"))</f>
        <v>No</v>
      </c>
      <c r="V1953" s="34" t="str">
        <f aca="false">IF(J1953="","SIN DATO",IFERROR(INDEX(cat_FunN,MATCH(J1953,cat_FunO,0)),J1953))</f>
        <v>Protección</v>
      </c>
      <c r="W1953" s="34" t="str">
        <f aca="false">IF(OR(S1953="SIN DATO",T1953="SIN DATO"),"No","Sí")</f>
        <v>Sí</v>
      </c>
    </row>
    <row r="1954" customFormat="false" ht="15" hidden="false" customHeight="false" outlineLevel="0" collapsed="false">
      <c r="A1954" s="34" t="s">
        <v>7124</v>
      </c>
      <c r="B1954" s="34" t="s">
        <v>7125</v>
      </c>
      <c r="C1954" s="34" t="s">
        <v>7126</v>
      </c>
      <c r="D1954" s="34" t="s">
        <v>6966</v>
      </c>
      <c r="E1954" s="34" t="s">
        <v>6933</v>
      </c>
      <c r="F1954" s="34" t="s">
        <v>6934</v>
      </c>
      <c r="G1954" s="34" t="s">
        <v>227</v>
      </c>
      <c r="H1954" s="34" t="s">
        <v>34</v>
      </c>
      <c r="I1954" s="34" t="s">
        <v>40</v>
      </c>
      <c r="J1954" s="34" t="s">
        <v>2231</v>
      </c>
      <c r="K1954" s="34" t="s">
        <v>229</v>
      </c>
      <c r="L1954" s="34" t="s">
        <v>230</v>
      </c>
      <c r="M1954" s="34"/>
      <c r="N1954" s="34" t="str">
        <f aca="false">"Sector "&amp;VALUE(MID(D1954,13,2))</f>
        <v>Sector 8</v>
      </c>
      <c r="O1954" s="34" t="str">
        <f aca="false">IF(Dashboard!$C$5="Ubicación técnica",N1954,"Sector "&amp;VALUE(RIGHT(G1954,2)))</f>
        <v>Sector 8</v>
      </c>
      <c r="P1954" s="34" t="str">
        <f aca="false">IF(MID(D1954,15,3)="SEL","Subestación eléctrica","Área de proceso")</f>
        <v>Área de proceso</v>
      </c>
      <c r="Q1954" s="34" t="str">
        <f aca="false">MID(D1954,13,5)&amp;"|"&amp;MID(D1954,19,5)</f>
        <v>08TEA|CT205</v>
      </c>
      <c r="R1954" s="34" t="str">
        <f aca="false">IF(P1954="Subestación eléctrica",IFERROR(INDEX(cat_SubN,MATCH(Q1954,cat_SubK,0)),"SIN CATALOGAR"),"ÁREA DE PROCESO")</f>
        <v>ÁREA DE PROCESO</v>
      </c>
      <c r="S1954" s="34" t="str">
        <f aca="false">IF(H1954="","SIN DATO",IFERROR(INDEX(cat_MarcaN,MATCH(H1954,cat_MarcaO,0)),H1954))</f>
        <v>ABB</v>
      </c>
      <c r="T1954" s="34" t="str">
        <f aca="false">IF(I1954="","SIN DATO",IFERROR(INDEX(cat_ModN,MATCH(I1954,cat_ModO,0)),I1954))</f>
        <v>REA 101</v>
      </c>
      <c r="U1954" s="34" t="str">
        <f aca="false">IF(I1954="","",IFERROR(INDEX(cat_ModG,MATCH(I1954,cat_ModO,0)),"No"))</f>
        <v>No</v>
      </c>
      <c r="V1954" s="34" t="str">
        <f aca="false">IF(J1954="","SIN DATO",IFERROR(INDEX(cat_FunN,MATCH(J1954,cat_FunO,0)),J1954))</f>
        <v>Protección</v>
      </c>
      <c r="W1954" s="34" t="str">
        <f aca="false">IF(OR(S1954="SIN DATO",T1954="SIN DATO"),"No","Sí")</f>
        <v>Sí</v>
      </c>
    </row>
    <row r="1955" customFormat="false" ht="15" hidden="false" customHeight="false" outlineLevel="0" collapsed="false">
      <c r="A1955" s="34" t="s">
        <v>7127</v>
      </c>
      <c r="B1955" s="34" t="s">
        <v>7128</v>
      </c>
      <c r="C1955" s="34" t="s">
        <v>7129</v>
      </c>
      <c r="D1955" s="34" t="s">
        <v>7130</v>
      </c>
      <c r="E1955" s="34" t="s">
        <v>178</v>
      </c>
      <c r="F1955" s="34" t="s">
        <v>6934</v>
      </c>
      <c r="G1955" s="34" t="s">
        <v>227</v>
      </c>
      <c r="H1955" s="34" t="s">
        <v>34</v>
      </c>
      <c r="I1955" s="34" t="s">
        <v>41</v>
      </c>
      <c r="J1955" s="34" t="s">
        <v>228</v>
      </c>
      <c r="K1955" s="34" t="s">
        <v>229</v>
      </c>
      <c r="L1955" s="34" t="s">
        <v>230</v>
      </c>
      <c r="M1955" s="34" t="s">
        <v>1663</v>
      </c>
      <c r="N1955" s="34" t="str">
        <f aca="false">"Sector "&amp;VALUE(MID(D1955,13,2))</f>
        <v>Sector 8</v>
      </c>
      <c r="O1955" s="34" t="str">
        <f aca="false">IF(Dashboard!$C$5="Ubicación técnica",N1955,"Sector "&amp;VALUE(RIGHT(G1955,2)))</f>
        <v>Sector 8</v>
      </c>
      <c r="P1955" s="34" t="str">
        <f aca="false">IF(MID(D1955,15,3)="SEL","Subestación eléctrica","Área de proceso")</f>
        <v>Área de proceso</v>
      </c>
      <c r="Q1955" s="34" t="str">
        <f aca="false">MID(D1955,13,5)&amp;"|"&amp;MID(D1955,19,5)</f>
        <v>08TEA|CT202</v>
      </c>
      <c r="R1955" s="34" t="str">
        <f aca="false">IF(P1955="Subestación eléctrica",IFERROR(INDEX(cat_SubN,MATCH(Q1955,cat_SubK,0)),"SIN CATALOGAR"),"ÁREA DE PROCESO")</f>
        <v>ÁREA DE PROCESO</v>
      </c>
      <c r="S1955" s="34" t="str">
        <f aca="false">IF(H1955="","SIN DATO",IFERROR(INDEX(cat_MarcaN,MATCH(H1955,cat_MarcaO,0)),H1955))</f>
        <v>ABB</v>
      </c>
      <c r="T1955" s="34" t="str">
        <f aca="false">IF(I1955="","SIN DATO",IFERROR(INDEX(cat_ModN,MATCH(I1955,cat_ModO,0)),I1955))</f>
        <v>REM615A_1G</v>
      </c>
      <c r="U1955" s="34" t="str">
        <f aca="false">IF(I1955="","",IFERROR(INDEX(cat_ModG,MATCH(I1955,cat_ModO,0)),"No"))</f>
        <v>No</v>
      </c>
      <c r="V1955" s="34" t="str">
        <f aca="false">IF(J1955="","SIN DATO",IFERROR(INDEX(cat_FunN,MATCH(J1955,cat_FunO,0)),J1955))</f>
        <v>Protección y medición</v>
      </c>
      <c r="W1955" s="34" t="str">
        <f aca="false">IF(OR(S1955="SIN DATO",T1955="SIN DATO"),"No","Sí")</f>
        <v>Sí</v>
      </c>
    </row>
    <row r="1956" customFormat="false" ht="15" hidden="false" customHeight="false" outlineLevel="0" collapsed="false">
      <c r="A1956" s="34" t="s">
        <v>7131</v>
      </c>
      <c r="B1956" s="34" t="s">
        <v>7132</v>
      </c>
      <c r="C1956" s="34" t="s">
        <v>7133</v>
      </c>
      <c r="D1956" s="34" t="s">
        <v>7134</v>
      </c>
      <c r="E1956" s="34" t="s">
        <v>178</v>
      </c>
      <c r="F1956" s="34" t="s">
        <v>6934</v>
      </c>
      <c r="G1956" s="34" t="s">
        <v>227</v>
      </c>
      <c r="H1956" s="34" t="s">
        <v>34</v>
      </c>
      <c r="I1956" s="34" t="s">
        <v>41</v>
      </c>
      <c r="J1956" s="34" t="s">
        <v>228</v>
      </c>
      <c r="K1956" s="34" t="s">
        <v>229</v>
      </c>
      <c r="L1956" s="34" t="s">
        <v>230</v>
      </c>
      <c r="M1956" s="34" t="s">
        <v>1663</v>
      </c>
      <c r="N1956" s="34" t="str">
        <f aca="false">"Sector "&amp;VALUE(MID(D1956,13,2))</f>
        <v>Sector 8</v>
      </c>
      <c r="O1956" s="34" t="str">
        <f aca="false">IF(Dashboard!$C$5="Ubicación técnica",N1956,"Sector "&amp;VALUE(RIGHT(G1956,2)))</f>
        <v>Sector 8</v>
      </c>
      <c r="P1956" s="34" t="str">
        <f aca="false">IF(MID(D1956,15,3)="SEL","Subestación eléctrica","Área de proceso")</f>
        <v>Área de proceso</v>
      </c>
      <c r="Q1956" s="34" t="str">
        <f aca="false">MID(D1956,13,5)&amp;"|"&amp;MID(D1956,19,5)</f>
        <v>08TEA|CT202</v>
      </c>
      <c r="R1956" s="34" t="str">
        <f aca="false">IF(P1956="Subestación eléctrica",IFERROR(INDEX(cat_SubN,MATCH(Q1956,cat_SubK,0)),"SIN CATALOGAR"),"ÁREA DE PROCESO")</f>
        <v>ÁREA DE PROCESO</v>
      </c>
      <c r="S1956" s="34" t="str">
        <f aca="false">IF(H1956="","SIN DATO",IFERROR(INDEX(cat_MarcaN,MATCH(H1956,cat_MarcaO,0)),H1956))</f>
        <v>ABB</v>
      </c>
      <c r="T1956" s="34" t="str">
        <f aca="false">IF(I1956="","SIN DATO",IFERROR(INDEX(cat_ModN,MATCH(I1956,cat_ModO,0)),I1956))</f>
        <v>REM615A_1G</v>
      </c>
      <c r="U1956" s="34" t="str">
        <f aca="false">IF(I1956="","",IFERROR(INDEX(cat_ModG,MATCH(I1956,cat_ModO,0)),"No"))</f>
        <v>No</v>
      </c>
      <c r="V1956" s="34" t="str">
        <f aca="false">IF(J1956="","SIN DATO",IFERROR(INDEX(cat_FunN,MATCH(J1956,cat_FunO,0)),J1956))</f>
        <v>Protección y medición</v>
      </c>
      <c r="W1956" s="34" t="str">
        <f aca="false">IF(OR(S1956="SIN DATO",T1956="SIN DATO"),"No","Sí")</f>
        <v>Sí</v>
      </c>
    </row>
    <row r="1957" customFormat="false" ht="15" hidden="false" customHeight="false" outlineLevel="0" collapsed="false">
      <c r="A1957" s="34" t="s">
        <v>7135</v>
      </c>
      <c r="B1957" s="34" t="s">
        <v>7136</v>
      </c>
      <c r="C1957" s="34" t="s">
        <v>7137</v>
      </c>
      <c r="D1957" s="34" t="s">
        <v>7138</v>
      </c>
      <c r="E1957" s="34" t="s">
        <v>178</v>
      </c>
      <c r="F1957" s="34" t="s">
        <v>6934</v>
      </c>
      <c r="G1957" s="34" t="s">
        <v>227</v>
      </c>
      <c r="H1957" s="34" t="s">
        <v>34</v>
      </c>
      <c r="I1957" s="34" t="s">
        <v>41</v>
      </c>
      <c r="J1957" s="34" t="s">
        <v>228</v>
      </c>
      <c r="K1957" s="34" t="s">
        <v>229</v>
      </c>
      <c r="L1957" s="34" t="s">
        <v>230</v>
      </c>
      <c r="M1957" s="34" t="s">
        <v>1663</v>
      </c>
      <c r="N1957" s="34" t="str">
        <f aca="false">"Sector "&amp;VALUE(MID(D1957,13,2))</f>
        <v>Sector 8</v>
      </c>
      <c r="O1957" s="34" t="str">
        <f aca="false">IF(Dashboard!$C$5="Ubicación técnica",N1957,"Sector "&amp;VALUE(RIGHT(G1957,2)))</f>
        <v>Sector 8</v>
      </c>
      <c r="P1957" s="34" t="str">
        <f aca="false">IF(MID(D1957,15,3)="SEL","Subestación eléctrica","Área de proceso")</f>
        <v>Área de proceso</v>
      </c>
      <c r="Q1957" s="34" t="str">
        <f aca="false">MID(D1957,13,5)&amp;"|"&amp;MID(D1957,19,5)</f>
        <v>08TEA|CT202</v>
      </c>
      <c r="R1957" s="34" t="str">
        <f aca="false">IF(P1957="Subestación eléctrica",IFERROR(INDEX(cat_SubN,MATCH(Q1957,cat_SubK,0)),"SIN CATALOGAR"),"ÁREA DE PROCESO")</f>
        <v>ÁREA DE PROCESO</v>
      </c>
      <c r="S1957" s="34" t="str">
        <f aca="false">IF(H1957="","SIN DATO",IFERROR(INDEX(cat_MarcaN,MATCH(H1957,cat_MarcaO,0)),H1957))</f>
        <v>ABB</v>
      </c>
      <c r="T1957" s="34" t="str">
        <f aca="false">IF(I1957="","SIN DATO",IFERROR(INDEX(cat_ModN,MATCH(I1957,cat_ModO,0)),I1957))</f>
        <v>REM615A_1G</v>
      </c>
      <c r="U1957" s="34" t="str">
        <f aca="false">IF(I1957="","",IFERROR(INDEX(cat_ModG,MATCH(I1957,cat_ModO,0)),"No"))</f>
        <v>No</v>
      </c>
      <c r="V1957" s="34" t="str">
        <f aca="false">IF(J1957="","SIN DATO",IFERROR(INDEX(cat_FunN,MATCH(J1957,cat_FunO,0)),J1957))</f>
        <v>Protección y medición</v>
      </c>
      <c r="W1957" s="34" t="str">
        <f aca="false">IF(OR(S1957="SIN DATO",T1957="SIN DATO"),"No","Sí")</f>
        <v>Sí</v>
      </c>
    </row>
    <row r="1958" customFormat="false" ht="15" hidden="false" customHeight="false" outlineLevel="0" collapsed="false">
      <c r="A1958" s="34" t="s">
        <v>7139</v>
      </c>
      <c r="B1958" s="34" t="s">
        <v>7140</v>
      </c>
      <c r="C1958" s="34" t="s">
        <v>7141</v>
      </c>
      <c r="D1958" s="34" t="s">
        <v>7142</v>
      </c>
      <c r="E1958" s="34" t="s">
        <v>178</v>
      </c>
      <c r="F1958" s="34" t="s">
        <v>6934</v>
      </c>
      <c r="G1958" s="34" t="s">
        <v>227</v>
      </c>
      <c r="H1958" s="34" t="s">
        <v>34</v>
      </c>
      <c r="I1958" s="34" t="s">
        <v>41</v>
      </c>
      <c r="J1958" s="34" t="s">
        <v>228</v>
      </c>
      <c r="K1958" s="34" t="s">
        <v>229</v>
      </c>
      <c r="L1958" s="34" t="s">
        <v>230</v>
      </c>
      <c r="M1958" s="34" t="s">
        <v>1663</v>
      </c>
      <c r="N1958" s="34" t="str">
        <f aca="false">"Sector "&amp;VALUE(MID(D1958,13,2))</f>
        <v>Sector 8</v>
      </c>
      <c r="O1958" s="34" t="str">
        <f aca="false">IF(Dashboard!$C$5="Ubicación técnica",N1958,"Sector "&amp;VALUE(RIGHT(G1958,2)))</f>
        <v>Sector 8</v>
      </c>
      <c r="P1958" s="34" t="str">
        <f aca="false">IF(MID(D1958,15,3)="SEL","Subestación eléctrica","Área de proceso")</f>
        <v>Área de proceso</v>
      </c>
      <c r="Q1958" s="34" t="str">
        <f aca="false">MID(D1958,13,5)&amp;"|"&amp;MID(D1958,19,5)</f>
        <v>08TEA|CT202</v>
      </c>
      <c r="R1958" s="34" t="str">
        <f aca="false">IF(P1958="Subestación eléctrica",IFERROR(INDEX(cat_SubN,MATCH(Q1958,cat_SubK,0)),"SIN CATALOGAR"),"ÁREA DE PROCESO")</f>
        <v>ÁREA DE PROCESO</v>
      </c>
      <c r="S1958" s="34" t="str">
        <f aca="false">IF(H1958="","SIN DATO",IFERROR(INDEX(cat_MarcaN,MATCH(H1958,cat_MarcaO,0)),H1958))</f>
        <v>ABB</v>
      </c>
      <c r="T1958" s="34" t="str">
        <f aca="false">IF(I1958="","SIN DATO",IFERROR(INDEX(cat_ModN,MATCH(I1958,cat_ModO,0)),I1958))</f>
        <v>REM615A_1G</v>
      </c>
      <c r="U1958" s="34" t="str">
        <f aca="false">IF(I1958="","",IFERROR(INDEX(cat_ModG,MATCH(I1958,cat_ModO,0)),"No"))</f>
        <v>No</v>
      </c>
      <c r="V1958" s="34" t="str">
        <f aca="false">IF(J1958="","SIN DATO",IFERROR(INDEX(cat_FunN,MATCH(J1958,cat_FunO,0)),J1958))</f>
        <v>Protección y medición</v>
      </c>
      <c r="W1958" s="34" t="str">
        <f aca="false">IF(OR(S1958="SIN DATO",T1958="SIN DATO"),"No","Sí")</f>
        <v>Sí</v>
      </c>
    </row>
    <row r="1959" customFormat="false" ht="15" hidden="false" customHeight="false" outlineLevel="0" collapsed="false">
      <c r="A1959" s="34" t="s">
        <v>7143</v>
      </c>
      <c r="B1959" s="34" t="s">
        <v>7144</v>
      </c>
      <c r="C1959" s="34" t="s">
        <v>7145</v>
      </c>
      <c r="D1959" s="34" t="s">
        <v>7146</v>
      </c>
      <c r="E1959" s="34" t="s">
        <v>178</v>
      </c>
      <c r="F1959" s="34" t="s">
        <v>6934</v>
      </c>
      <c r="G1959" s="34" t="s">
        <v>227</v>
      </c>
      <c r="H1959" s="34" t="s">
        <v>34</v>
      </c>
      <c r="I1959" s="34" t="s">
        <v>41</v>
      </c>
      <c r="J1959" s="34" t="s">
        <v>228</v>
      </c>
      <c r="K1959" s="34" t="s">
        <v>229</v>
      </c>
      <c r="L1959" s="34" t="s">
        <v>230</v>
      </c>
      <c r="M1959" s="34" t="s">
        <v>1663</v>
      </c>
      <c r="N1959" s="34" t="str">
        <f aca="false">"Sector "&amp;VALUE(MID(D1959,13,2))</f>
        <v>Sector 8</v>
      </c>
      <c r="O1959" s="34" t="str">
        <f aca="false">IF(Dashboard!$C$5="Ubicación técnica",N1959,"Sector "&amp;VALUE(RIGHT(G1959,2)))</f>
        <v>Sector 8</v>
      </c>
      <c r="P1959" s="34" t="str">
        <f aca="false">IF(MID(D1959,15,3)="SEL","Subestación eléctrica","Área de proceso")</f>
        <v>Área de proceso</v>
      </c>
      <c r="Q1959" s="34" t="str">
        <f aca="false">MID(D1959,13,5)&amp;"|"&amp;MID(D1959,19,5)</f>
        <v>08TEA|CT202</v>
      </c>
      <c r="R1959" s="34" t="str">
        <f aca="false">IF(P1959="Subestación eléctrica",IFERROR(INDEX(cat_SubN,MATCH(Q1959,cat_SubK,0)),"SIN CATALOGAR"),"ÁREA DE PROCESO")</f>
        <v>ÁREA DE PROCESO</v>
      </c>
      <c r="S1959" s="34" t="str">
        <f aca="false">IF(H1959="","SIN DATO",IFERROR(INDEX(cat_MarcaN,MATCH(H1959,cat_MarcaO,0)),H1959))</f>
        <v>ABB</v>
      </c>
      <c r="T1959" s="34" t="str">
        <f aca="false">IF(I1959="","SIN DATO",IFERROR(INDEX(cat_ModN,MATCH(I1959,cat_ModO,0)),I1959))</f>
        <v>REM615A_1G</v>
      </c>
      <c r="U1959" s="34" t="str">
        <f aca="false">IF(I1959="","",IFERROR(INDEX(cat_ModG,MATCH(I1959,cat_ModO,0)),"No"))</f>
        <v>No</v>
      </c>
      <c r="V1959" s="34" t="str">
        <f aca="false">IF(J1959="","SIN DATO",IFERROR(INDEX(cat_FunN,MATCH(J1959,cat_FunO,0)),J1959))</f>
        <v>Protección y medición</v>
      </c>
      <c r="W1959" s="34" t="str">
        <f aca="false">IF(OR(S1959="SIN DATO",T1959="SIN DATO"),"No","Sí")</f>
        <v>Sí</v>
      </c>
    </row>
    <row r="1960" customFormat="false" ht="15" hidden="false" customHeight="false" outlineLevel="0" collapsed="false">
      <c r="A1960" s="34" t="s">
        <v>7147</v>
      </c>
      <c r="B1960" s="34" t="s">
        <v>7148</v>
      </c>
      <c r="C1960" s="34" t="s">
        <v>7149</v>
      </c>
      <c r="D1960" s="34" t="s">
        <v>7150</v>
      </c>
      <c r="E1960" s="34" t="s">
        <v>178</v>
      </c>
      <c r="F1960" s="34" t="s">
        <v>6934</v>
      </c>
      <c r="G1960" s="34" t="s">
        <v>227</v>
      </c>
      <c r="H1960" s="34" t="s">
        <v>34</v>
      </c>
      <c r="I1960" s="34" t="s">
        <v>41</v>
      </c>
      <c r="J1960" s="34" t="s">
        <v>228</v>
      </c>
      <c r="K1960" s="34" t="s">
        <v>229</v>
      </c>
      <c r="L1960" s="34" t="s">
        <v>230</v>
      </c>
      <c r="M1960" s="34" t="s">
        <v>1663</v>
      </c>
      <c r="N1960" s="34" t="str">
        <f aca="false">"Sector "&amp;VALUE(MID(D1960,13,2))</f>
        <v>Sector 8</v>
      </c>
      <c r="O1960" s="34" t="str">
        <f aca="false">IF(Dashboard!$C$5="Ubicación técnica",N1960,"Sector "&amp;VALUE(RIGHT(G1960,2)))</f>
        <v>Sector 8</v>
      </c>
      <c r="P1960" s="34" t="str">
        <f aca="false">IF(MID(D1960,15,3)="SEL","Subestación eléctrica","Área de proceso")</f>
        <v>Área de proceso</v>
      </c>
      <c r="Q1960" s="34" t="str">
        <f aca="false">MID(D1960,13,5)&amp;"|"&amp;MID(D1960,19,5)</f>
        <v>08TEA|CT202</v>
      </c>
      <c r="R1960" s="34" t="str">
        <f aca="false">IF(P1960="Subestación eléctrica",IFERROR(INDEX(cat_SubN,MATCH(Q1960,cat_SubK,0)),"SIN CATALOGAR"),"ÁREA DE PROCESO")</f>
        <v>ÁREA DE PROCESO</v>
      </c>
      <c r="S1960" s="34" t="str">
        <f aca="false">IF(H1960="","SIN DATO",IFERROR(INDEX(cat_MarcaN,MATCH(H1960,cat_MarcaO,0)),H1960))</f>
        <v>ABB</v>
      </c>
      <c r="T1960" s="34" t="str">
        <f aca="false">IF(I1960="","SIN DATO",IFERROR(INDEX(cat_ModN,MATCH(I1960,cat_ModO,0)),I1960))</f>
        <v>REM615A_1G</v>
      </c>
      <c r="U1960" s="34" t="str">
        <f aca="false">IF(I1960="","",IFERROR(INDEX(cat_ModG,MATCH(I1960,cat_ModO,0)),"No"))</f>
        <v>No</v>
      </c>
      <c r="V1960" s="34" t="str">
        <f aca="false">IF(J1960="","SIN DATO",IFERROR(INDEX(cat_FunN,MATCH(J1960,cat_FunO,0)),J1960))</f>
        <v>Protección y medición</v>
      </c>
      <c r="W1960" s="34" t="str">
        <f aca="false">IF(OR(S1960="SIN DATO",T1960="SIN DATO"),"No","Sí")</f>
        <v>Sí</v>
      </c>
    </row>
    <row r="1961" customFormat="false" ht="15" hidden="false" customHeight="false" outlineLevel="0" collapsed="false">
      <c r="A1961" s="34" t="s">
        <v>7151</v>
      </c>
      <c r="B1961" s="34" t="s">
        <v>7152</v>
      </c>
      <c r="C1961" s="34" t="s">
        <v>7153</v>
      </c>
      <c r="D1961" s="34" t="s">
        <v>7154</v>
      </c>
      <c r="E1961" s="34" t="s">
        <v>178</v>
      </c>
      <c r="F1961" s="34" t="s">
        <v>6934</v>
      </c>
      <c r="G1961" s="34" t="s">
        <v>227</v>
      </c>
      <c r="H1961" s="34" t="s">
        <v>34</v>
      </c>
      <c r="I1961" s="34" t="s">
        <v>41</v>
      </c>
      <c r="J1961" s="34" t="s">
        <v>228</v>
      </c>
      <c r="K1961" s="34" t="s">
        <v>229</v>
      </c>
      <c r="L1961" s="34" t="s">
        <v>230</v>
      </c>
      <c r="M1961" s="34" t="s">
        <v>1663</v>
      </c>
      <c r="N1961" s="34" t="str">
        <f aca="false">"Sector "&amp;VALUE(MID(D1961,13,2))</f>
        <v>Sector 8</v>
      </c>
      <c r="O1961" s="34" t="str">
        <f aca="false">IF(Dashboard!$C$5="Ubicación técnica",N1961,"Sector "&amp;VALUE(RIGHT(G1961,2)))</f>
        <v>Sector 8</v>
      </c>
      <c r="P1961" s="34" t="str">
        <f aca="false">IF(MID(D1961,15,3)="SEL","Subestación eléctrica","Área de proceso")</f>
        <v>Área de proceso</v>
      </c>
      <c r="Q1961" s="34" t="str">
        <f aca="false">MID(D1961,13,5)&amp;"|"&amp;MID(D1961,19,5)</f>
        <v>08TEA|CT202</v>
      </c>
      <c r="R1961" s="34" t="str">
        <f aca="false">IF(P1961="Subestación eléctrica",IFERROR(INDEX(cat_SubN,MATCH(Q1961,cat_SubK,0)),"SIN CATALOGAR"),"ÁREA DE PROCESO")</f>
        <v>ÁREA DE PROCESO</v>
      </c>
      <c r="S1961" s="34" t="str">
        <f aca="false">IF(H1961="","SIN DATO",IFERROR(INDEX(cat_MarcaN,MATCH(H1961,cat_MarcaO,0)),H1961))</f>
        <v>ABB</v>
      </c>
      <c r="T1961" s="34" t="str">
        <f aca="false">IF(I1961="","SIN DATO",IFERROR(INDEX(cat_ModN,MATCH(I1961,cat_ModO,0)),I1961))</f>
        <v>REM615A_1G</v>
      </c>
      <c r="U1961" s="34" t="str">
        <f aca="false">IF(I1961="","",IFERROR(INDEX(cat_ModG,MATCH(I1961,cat_ModO,0)),"No"))</f>
        <v>No</v>
      </c>
      <c r="V1961" s="34" t="str">
        <f aca="false">IF(J1961="","SIN DATO",IFERROR(INDEX(cat_FunN,MATCH(J1961,cat_FunO,0)),J1961))</f>
        <v>Protección y medición</v>
      </c>
      <c r="W1961" s="34" t="str">
        <f aca="false">IF(OR(S1961="SIN DATO",T1961="SIN DATO"),"No","Sí")</f>
        <v>Sí</v>
      </c>
    </row>
  </sheetData>
  <autoFilter ref="A1:W19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5" min="4" style="0" width="24"/>
    <col collapsed="false" customWidth="true" hidden="false" outlineLevel="0" max="6" min="6" style="0" width="16"/>
    <col collapsed="false" customWidth="true" hidden="false" outlineLevel="0" max="9" min="8" style="0" width="30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46"/>
    <col collapsed="false" customWidth="true" hidden="false" outlineLevel="0" max="16" min="16" style="0" width="12"/>
    <col collapsed="false" customWidth="true" hidden="false" outlineLevel="0" max="18" min="18" style="0" width="22"/>
    <col collapsed="false" customWidth="true" hidden="false" outlineLevel="0" max="20" min="20" style="0" width="22"/>
    <col collapsed="false" customWidth="true" hidden="false" outlineLevel="0" max="22" min="22" style="0" width="22"/>
    <col collapsed="false" customWidth="true" hidden="false" outlineLevel="0" max="24" min="24" style="0" width="22"/>
  </cols>
  <sheetData>
    <row r="1" customFormat="false" ht="19.7" hidden="false" customHeight="false" outlineLevel="0" collapsed="false">
      <c r="A1" s="11" t="s">
        <v>7155</v>
      </c>
    </row>
    <row r="2" customFormat="false" ht="15" hidden="false" customHeight="false" outlineLevel="0" collapsed="false">
      <c r="A2" s="12" t="s">
        <v>7156</v>
      </c>
    </row>
    <row r="4" customFormat="false" ht="23.85" hidden="false" customHeight="false" outlineLevel="0" collapsed="false">
      <c r="A4" s="15" t="s">
        <v>7157</v>
      </c>
      <c r="B4" s="15" t="s">
        <v>7158</v>
      </c>
      <c r="D4" s="15" t="s">
        <v>7159</v>
      </c>
      <c r="E4" s="15" t="s">
        <v>7160</v>
      </c>
      <c r="F4" s="15" t="s">
        <v>7161</v>
      </c>
      <c r="H4" s="15" t="s">
        <v>7162</v>
      </c>
      <c r="I4" s="15" t="s">
        <v>7163</v>
      </c>
      <c r="K4" s="15" t="s">
        <v>7164</v>
      </c>
      <c r="L4" s="15" t="s">
        <v>215</v>
      </c>
      <c r="M4" s="15" t="s">
        <v>7165</v>
      </c>
      <c r="N4" s="15" t="s">
        <v>18</v>
      </c>
      <c r="O4" s="15" t="s">
        <v>107</v>
      </c>
      <c r="P4" s="15" t="s">
        <v>7166</v>
      </c>
      <c r="R4" s="13" t="s">
        <v>7167</v>
      </c>
      <c r="T4" s="13" t="s">
        <v>7168</v>
      </c>
      <c r="V4" s="13" t="s">
        <v>7169</v>
      </c>
      <c r="X4" s="13" t="s">
        <v>7170</v>
      </c>
    </row>
    <row r="5" customFormat="false" ht="15" hidden="false" customHeight="false" outlineLevel="0" collapsed="false">
      <c r="A5" s="34" t="s">
        <v>34</v>
      </c>
      <c r="B5" s="35" t="s">
        <v>34</v>
      </c>
      <c r="D5" s="34" t="s">
        <v>36</v>
      </c>
      <c r="E5" s="35" t="s">
        <v>36</v>
      </c>
      <c r="F5" s="36" t="s">
        <v>7171</v>
      </c>
      <c r="H5" s="34" t="s">
        <v>1979</v>
      </c>
      <c r="I5" s="35" t="s">
        <v>7172</v>
      </c>
      <c r="K5" s="34" t="s">
        <v>7173</v>
      </c>
      <c r="L5" s="37" t="n">
        <v>1</v>
      </c>
      <c r="M5" s="34" t="s">
        <v>7174</v>
      </c>
      <c r="N5" s="35" t="s">
        <v>108</v>
      </c>
      <c r="O5" s="34" t="s">
        <v>109</v>
      </c>
      <c r="P5" s="38" t="n">
        <f aca="false">COUNTIF(d_Clave,K5)</f>
        <v>68</v>
      </c>
      <c r="R5" s="34" t="s">
        <v>19</v>
      </c>
      <c r="T5" s="34" t="s">
        <v>3</v>
      </c>
      <c r="V5" s="34" t="s">
        <v>3</v>
      </c>
      <c r="X5" s="34" t="s">
        <v>7175</v>
      </c>
    </row>
    <row r="6" customFormat="false" ht="15" hidden="false" customHeight="false" outlineLevel="0" collapsed="false">
      <c r="A6" s="34" t="s">
        <v>90</v>
      </c>
      <c r="B6" s="35" t="s">
        <v>90</v>
      </c>
      <c r="D6" s="34" t="s">
        <v>48</v>
      </c>
      <c r="E6" s="35" t="s">
        <v>48</v>
      </c>
      <c r="F6" s="36" t="s">
        <v>7171</v>
      </c>
      <c r="H6" s="34" t="s">
        <v>58</v>
      </c>
      <c r="I6" s="35" t="s">
        <v>7176</v>
      </c>
      <c r="K6" s="34" t="s">
        <v>7177</v>
      </c>
      <c r="L6" s="37" t="n">
        <v>1</v>
      </c>
      <c r="M6" s="34" t="s">
        <v>7178</v>
      </c>
      <c r="N6" s="35" t="s">
        <v>110</v>
      </c>
      <c r="O6" s="34" t="s">
        <v>111</v>
      </c>
      <c r="P6" s="38" t="n">
        <f aca="false">COUNTIF(d_Clave,K6)</f>
        <v>53</v>
      </c>
      <c r="R6" s="34" t="s">
        <v>108</v>
      </c>
      <c r="T6" s="34" t="s">
        <v>24</v>
      </c>
      <c r="V6" s="34" t="s">
        <v>7179</v>
      </c>
      <c r="X6" s="34" t="s">
        <v>6</v>
      </c>
    </row>
    <row r="7" customFormat="false" ht="15" hidden="false" customHeight="false" outlineLevel="0" collapsed="false">
      <c r="A7" s="34" t="s">
        <v>93</v>
      </c>
      <c r="B7" s="35" t="s">
        <v>93</v>
      </c>
      <c r="D7" s="34" t="s">
        <v>42</v>
      </c>
      <c r="E7" s="35" t="s">
        <v>42</v>
      </c>
      <c r="F7" s="36" t="s">
        <v>7171</v>
      </c>
      <c r="H7" s="34" t="s">
        <v>228</v>
      </c>
      <c r="I7" s="35" t="s">
        <v>7180</v>
      </c>
      <c r="K7" s="34" t="s">
        <v>7181</v>
      </c>
      <c r="L7" s="37" t="n">
        <v>2</v>
      </c>
      <c r="M7" s="34" t="s">
        <v>7182</v>
      </c>
      <c r="N7" s="35" t="s">
        <v>112</v>
      </c>
      <c r="O7" s="34" t="s">
        <v>113</v>
      </c>
      <c r="P7" s="38" t="n">
        <f aca="false">COUNTIF(d_Clave,K7)</f>
        <v>46</v>
      </c>
      <c r="R7" s="34" t="s">
        <v>110</v>
      </c>
      <c r="T7" s="34" t="s">
        <v>25</v>
      </c>
      <c r="V7" s="34" t="s">
        <v>7183</v>
      </c>
    </row>
    <row r="8" customFormat="false" ht="15" hidden="false" customHeight="false" outlineLevel="0" collapsed="false">
      <c r="A8" s="34" t="s">
        <v>96</v>
      </c>
      <c r="B8" s="35" t="s">
        <v>96</v>
      </c>
      <c r="D8" s="34" t="s">
        <v>38</v>
      </c>
      <c r="E8" s="35" t="s">
        <v>38</v>
      </c>
      <c r="F8" s="36" t="s">
        <v>7171</v>
      </c>
      <c r="H8" s="34" t="s">
        <v>2171</v>
      </c>
      <c r="I8" s="35" t="s">
        <v>7176</v>
      </c>
      <c r="K8" s="34" t="s">
        <v>7184</v>
      </c>
      <c r="L8" s="37" t="n">
        <v>2</v>
      </c>
      <c r="M8" s="34" t="s">
        <v>7185</v>
      </c>
      <c r="N8" s="35" t="s">
        <v>114</v>
      </c>
      <c r="O8" s="34" t="s">
        <v>113</v>
      </c>
      <c r="P8" s="38" t="n">
        <f aca="false">COUNTIF(d_Clave,K8)</f>
        <v>38</v>
      </c>
      <c r="R8" s="34" t="s">
        <v>112</v>
      </c>
      <c r="T8" s="34" t="s">
        <v>26</v>
      </c>
    </row>
    <row r="9" customFormat="false" ht="15" hidden="false" customHeight="false" outlineLevel="0" collapsed="false">
      <c r="A9" s="34" t="s">
        <v>99</v>
      </c>
      <c r="B9" s="35" t="s">
        <v>99</v>
      </c>
      <c r="D9" s="34" t="s">
        <v>46</v>
      </c>
      <c r="E9" s="35" t="s">
        <v>46</v>
      </c>
      <c r="F9" s="36" t="s">
        <v>7171</v>
      </c>
      <c r="H9" s="34" t="s">
        <v>2842</v>
      </c>
      <c r="I9" s="35" t="s">
        <v>7186</v>
      </c>
      <c r="K9" s="34" t="s">
        <v>7187</v>
      </c>
      <c r="L9" s="37" t="n">
        <v>3</v>
      </c>
      <c r="M9" s="34" t="s">
        <v>7188</v>
      </c>
      <c r="N9" s="35" t="s">
        <v>115</v>
      </c>
      <c r="O9" s="34" t="s">
        <v>116</v>
      </c>
      <c r="P9" s="38" t="n">
        <f aca="false">COUNTIF(d_Clave,K9)</f>
        <v>45</v>
      </c>
      <c r="R9" s="34" t="s">
        <v>114</v>
      </c>
      <c r="T9" s="34" t="s">
        <v>27</v>
      </c>
    </row>
    <row r="10" customFormat="false" ht="15" hidden="false" customHeight="false" outlineLevel="0" collapsed="false">
      <c r="A10" s="34" t="s">
        <v>1358</v>
      </c>
      <c r="B10" s="35" t="s">
        <v>61</v>
      </c>
      <c r="D10" s="34" t="s">
        <v>76</v>
      </c>
      <c r="E10" s="35" t="s">
        <v>76</v>
      </c>
      <c r="F10" s="36" t="s">
        <v>7171</v>
      </c>
      <c r="H10" s="34" t="s">
        <v>681</v>
      </c>
      <c r="I10" s="35" t="s">
        <v>7189</v>
      </c>
      <c r="K10" s="34" t="s">
        <v>7190</v>
      </c>
      <c r="L10" s="37" t="n">
        <v>3</v>
      </c>
      <c r="M10" s="34" t="s">
        <v>7191</v>
      </c>
      <c r="N10" s="35" t="s">
        <v>117</v>
      </c>
      <c r="O10" s="34" t="s">
        <v>118</v>
      </c>
      <c r="P10" s="38" t="n">
        <f aca="false">COUNTIF(d_Clave,K10)</f>
        <v>49</v>
      </c>
      <c r="R10" s="34" t="s">
        <v>115</v>
      </c>
      <c r="T10" s="34" t="s">
        <v>28</v>
      </c>
    </row>
    <row r="11" customFormat="false" ht="15" hidden="false" customHeight="false" outlineLevel="0" collapsed="false">
      <c r="A11" s="34" t="s">
        <v>61</v>
      </c>
      <c r="B11" s="35" t="s">
        <v>61</v>
      </c>
      <c r="D11" s="34" t="s">
        <v>80</v>
      </c>
      <c r="E11" s="35" t="s">
        <v>80</v>
      </c>
      <c r="F11" s="36" t="s">
        <v>7171</v>
      </c>
      <c r="H11" s="34" t="s">
        <v>302</v>
      </c>
      <c r="I11" s="35" t="s">
        <v>7192</v>
      </c>
      <c r="K11" s="34" t="s">
        <v>7193</v>
      </c>
      <c r="L11" s="37" t="n">
        <v>4</v>
      </c>
      <c r="M11" s="34" t="s">
        <v>7194</v>
      </c>
      <c r="N11" s="35" t="s">
        <v>119</v>
      </c>
      <c r="O11" s="34" t="s">
        <v>120</v>
      </c>
      <c r="P11" s="38" t="n">
        <f aca="false">COUNTIF(d_Clave,K11)</f>
        <v>32</v>
      </c>
      <c r="R11" s="34" t="s">
        <v>117</v>
      </c>
      <c r="T11" s="34" t="s">
        <v>29</v>
      </c>
    </row>
    <row r="12" customFormat="false" ht="15" hidden="false" customHeight="false" outlineLevel="0" collapsed="false">
      <c r="A12" s="34" t="s">
        <v>86</v>
      </c>
      <c r="B12" s="35" t="s">
        <v>86</v>
      </c>
      <c r="D12" s="34" t="s">
        <v>79</v>
      </c>
      <c r="E12" s="35" t="s">
        <v>79</v>
      </c>
      <c r="F12" s="36" t="s">
        <v>7171</v>
      </c>
      <c r="H12" s="34" t="s">
        <v>3642</v>
      </c>
      <c r="I12" s="35" t="s">
        <v>7195</v>
      </c>
      <c r="K12" s="34" t="s">
        <v>7196</v>
      </c>
      <c r="L12" s="37" t="n">
        <v>4</v>
      </c>
      <c r="M12" s="34" t="s">
        <v>7197</v>
      </c>
      <c r="N12" s="35" t="s">
        <v>121</v>
      </c>
      <c r="O12" s="34" t="s">
        <v>122</v>
      </c>
      <c r="P12" s="38" t="n">
        <f aca="false">COUNTIF(d_Clave,K12)</f>
        <v>38</v>
      </c>
      <c r="R12" s="34" t="s">
        <v>119</v>
      </c>
      <c r="T12" s="34" t="s">
        <v>30</v>
      </c>
    </row>
    <row r="13" customFormat="false" ht="15" hidden="false" customHeight="false" outlineLevel="0" collapsed="false">
      <c r="A13" s="34" t="s">
        <v>55</v>
      </c>
      <c r="B13" s="35" t="s">
        <v>55</v>
      </c>
      <c r="D13" s="34" t="s">
        <v>77</v>
      </c>
      <c r="E13" s="35" t="s">
        <v>77</v>
      </c>
      <c r="F13" s="36" t="s">
        <v>7171</v>
      </c>
      <c r="H13" s="34" t="s">
        <v>3699</v>
      </c>
      <c r="I13" s="35" t="s">
        <v>7198</v>
      </c>
      <c r="K13" s="34" t="s">
        <v>7199</v>
      </c>
      <c r="L13" s="37" t="n">
        <v>4</v>
      </c>
      <c r="M13" s="34" t="s">
        <v>7200</v>
      </c>
      <c r="N13" s="35" t="s">
        <v>123</v>
      </c>
      <c r="O13" s="34" t="s">
        <v>124</v>
      </c>
      <c r="P13" s="38" t="n">
        <f aca="false">COUNTIF(d_Clave,K13)</f>
        <v>34</v>
      </c>
      <c r="R13" s="34" t="s">
        <v>121</v>
      </c>
      <c r="T13" s="34" t="s">
        <v>31</v>
      </c>
    </row>
    <row r="14" customFormat="false" ht="15" hidden="false" customHeight="false" outlineLevel="0" collapsed="false">
      <c r="A14" s="34" t="s">
        <v>4143</v>
      </c>
      <c r="B14" s="35" t="s">
        <v>86</v>
      </c>
      <c r="D14" s="34" t="s">
        <v>92</v>
      </c>
      <c r="E14" s="35" t="s">
        <v>92</v>
      </c>
      <c r="F14" s="36" t="s">
        <v>7171</v>
      </c>
      <c r="H14" s="34" t="s">
        <v>260</v>
      </c>
      <c r="I14" s="35" t="s">
        <v>7180</v>
      </c>
      <c r="K14" s="34" t="s">
        <v>7201</v>
      </c>
      <c r="L14" s="37" t="n">
        <v>4</v>
      </c>
      <c r="M14" s="34" t="s">
        <v>7202</v>
      </c>
      <c r="N14" s="35" t="s">
        <v>125</v>
      </c>
      <c r="O14" s="34" t="s">
        <v>126</v>
      </c>
      <c r="P14" s="38" t="n">
        <f aca="false">COUNTIF(d_Clave,K14)</f>
        <v>34</v>
      </c>
      <c r="R14" s="34" t="s">
        <v>123</v>
      </c>
    </row>
    <row r="15" customFormat="false" ht="15" hidden="false" customHeight="false" outlineLevel="0" collapsed="false">
      <c r="A15" s="34" t="s">
        <v>73</v>
      </c>
      <c r="B15" s="35" t="s">
        <v>73</v>
      </c>
      <c r="D15" s="34" t="s">
        <v>81</v>
      </c>
      <c r="E15" s="35" t="s">
        <v>81</v>
      </c>
      <c r="F15" s="36" t="s">
        <v>7171</v>
      </c>
      <c r="H15" s="34" t="s">
        <v>2231</v>
      </c>
      <c r="I15" s="35" t="s">
        <v>7189</v>
      </c>
      <c r="K15" s="34" t="s">
        <v>7203</v>
      </c>
      <c r="L15" s="37" t="n">
        <v>5</v>
      </c>
      <c r="M15" s="34" t="s">
        <v>7204</v>
      </c>
      <c r="N15" s="35" t="s">
        <v>127</v>
      </c>
      <c r="O15" s="34" t="s">
        <v>128</v>
      </c>
      <c r="P15" s="38" t="n">
        <f aca="false">COUNTIF(d_Clave,K15)</f>
        <v>34</v>
      </c>
      <c r="R15" s="34" t="s">
        <v>125</v>
      </c>
    </row>
    <row r="16" customFormat="false" ht="15" hidden="false" customHeight="false" outlineLevel="0" collapsed="false">
      <c r="D16" s="34" t="s">
        <v>95</v>
      </c>
      <c r="E16" s="35" t="s">
        <v>95</v>
      </c>
      <c r="F16" s="36" t="s">
        <v>7171</v>
      </c>
      <c r="K16" s="34" t="s">
        <v>7205</v>
      </c>
      <c r="L16" s="37" t="n">
        <v>5</v>
      </c>
      <c r="M16" s="34" t="s">
        <v>7206</v>
      </c>
      <c r="N16" s="35" t="s">
        <v>129</v>
      </c>
      <c r="O16" s="34" t="s">
        <v>130</v>
      </c>
      <c r="P16" s="38" t="n">
        <f aca="false">COUNTIF(d_Clave,K16)</f>
        <v>34</v>
      </c>
      <c r="R16" s="34" t="s">
        <v>127</v>
      </c>
    </row>
    <row r="17" customFormat="false" ht="15" hidden="false" customHeight="false" outlineLevel="0" collapsed="false">
      <c r="D17" s="34" t="s">
        <v>58</v>
      </c>
      <c r="E17" s="35" t="s">
        <v>58</v>
      </c>
      <c r="F17" s="36" t="s">
        <v>7207</v>
      </c>
      <c r="K17" s="34" t="s">
        <v>7208</v>
      </c>
      <c r="L17" s="37" t="n">
        <v>5</v>
      </c>
      <c r="M17" s="34" t="s">
        <v>7209</v>
      </c>
      <c r="N17" s="35" t="s">
        <v>131</v>
      </c>
      <c r="O17" s="34" t="s">
        <v>132</v>
      </c>
      <c r="P17" s="38" t="n">
        <f aca="false">COUNTIF(d_Clave,K17)</f>
        <v>2</v>
      </c>
      <c r="R17" s="34" t="s">
        <v>129</v>
      </c>
    </row>
    <row r="18" customFormat="false" ht="15" hidden="false" customHeight="false" outlineLevel="0" collapsed="false">
      <c r="D18" s="34" t="s">
        <v>63</v>
      </c>
      <c r="E18" s="35" t="s">
        <v>63</v>
      </c>
      <c r="F18" s="36" t="s">
        <v>7207</v>
      </c>
      <c r="K18" s="34" t="s">
        <v>7210</v>
      </c>
      <c r="L18" s="37" t="n">
        <v>5</v>
      </c>
      <c r="M18" s="34" t="s">
        <v>7211</v>
      </c>
      <c r="N18" s="35" t="s">
        <v>133</v>
      </c>
      <c r="O18" s="34" t="s">
        <v>134</v>
      </c>
      <c r="P18" s="38" t="n">
        <f aca="false">COUNTIF(d_Clave,K18)</f>
        <v>45</v>
      </c>
      <c r="R18" s="34" t="s">
        <v>131</v>
      </c>
    </row>
    <row r="19" customFormat="false" ht="15" hidden="false" customHeight="false" outlineLevel="0" collapsed="false">
      <c r="D19" s="34" t="s">
        <v>64</v>
      </c>
      <c r="E19" s="35" t="s">
        <v>64</v>
      </c>
      <c r="F19" s="36" t="s">
        <v>7171</v>
      </c>
      <c r="K19" s="34" t="s">
        <v>7212</v>
      </c>
      <c r="L19" s="37" t="n">
        <v>5</v>
      </c>
      <c r="M19" s="34" t="s">
        <v>7213</v>
      </c>
      <c r="N19" s="35" t="s">
        <v>135</v>
      </c>
      <c r="O19" s="34" t="s">
        <v>136</v>
      </c>
      <c r="P19" s="38" t="n">
        <f aca="false">COUNTIF(d_Clave,K19)</f>
        <v>44</v>
      </c>
      <c r="R19" s="34" t="s">
        <v>133</v>
      </c>
    </row>
    <row r="20" customFormat="false" ht="15" hidden="false" customHeight="false" outlineLevel="0" collapsed="false">
      <c r="D20" s="34" t="s">
        <v>72</v>
      </c>
      <c r="E20" s="35" t="s">
        <v>72</v>
      </c>
      <c r="F20" s="36" t="s">
        <v>7171</v>
      </c>
      <c r="K20" s="34" t="s">
        <v>7214</v>
      </c>
      <c r="L20" s="37" t="n">
        <v>6</v>
      </c>
      <c r="M20" s="34" t="s">
        <v>7215</v>
      </c>
      <c r="N20" s="35" t="s">
        <v>137</v>
      </c>
      <c r="O20" s="34" t="s">
        <v>138</v>
      </c>
      <c r="P20" s="38" t="n">
        <f aca="false">COUNTIF(d_Clave,K20)</f>
        <v>61</v>
      </c>
      <c r="R20" s="34" t="s">
        <v>135</v>
      </c>
    </row>
    <row r="21" customFormat="false" ht="15" hidden="false" customHeight="false" outlineLevel="0" collapsed="false">
      <c r="D21" s="34" t="s">
        <v>68</v>
      </c>
      <c r="E21" s="35" t="s">
        <v>68</v>
      </c>
      <c r="F21" s="36" t="s">
        <v>7171</v>
      </c>
      <c r="K21" s="34" t="s">
        <v>7216</v>
      </c>
      <c r="L21" s="37" t="n">
        <v>6</v>
      </c>
      <c r="M21" s="34" t="s">
        <v>7217</v>
      </c>
      <c r="N21" s="35" t="s">
        <v>139</v>
      </c>
      <c r="O21" s="34" t="s">
        <v>140</v>
      </c>
      <c r="P21" s="38" t="n">
        <f aca="false">COUNTIF(d_Clave,K21)</f>
        <v>37</v>
      </c>
      <c r="R21" s="34" t="s">
        <v>137</v>
      </c>
    </row>
    <row r="22" customFormat="false" ht="15" hidden="false" customHeight="false" outlineLevel="0" collapsed="false">
      <c r="D22" s="34" t="s">
        <v>66</v>
      </c>
      <c r="E22" s="35" t="s">
        <v>66</v>
      </c>
      <c r="F22" s="36" t="s">
        <v>7171</v>
      </c>
      <c r="K22" s="34" t="s">
        <v>7218</v>
      </c>
      <c r="L22" s="37" t="n">
        <v>6</v>
      </c>
      <c r="M22" s="34" t="s">
        <v>7219</v>
      </c>
      <c r="N22" s="35" t="s">
        <v>141</v>
      </c>
      <c r="O22" s="34" t="s">
        <v>142</v>
      </c>
      <c r="P22" s="38" t="n">
        <f aca="false">COUNTIF(d_Clave,K22)</f>
        <v>32</v>
      </c>
      <c r="R22" s="34" t="s">
        <v>139</v>
      </c>
    </row>
    <row r="23" customFormat="false" ht="15" hidden="false" customHeight="false" outlineLevel="0" collapsed="false">
      <c r="D23" s="34" t="s">
        <v>67</v>
      </c>
      <c r="E23" s="35" t="s">
        <v>67</v>
      </c>
      <c r="F23" s="36" t="s">
        <v>7171</v>
      </c>
      <c r="K23" s="34" t="s">
        <v>7220</v>
      </c>
      <c r="L23" s="37" t="n">
        <v>6</v>
      </c>
      <c r="M23" s="34" t="s">
        <v>7221</v>
      </c>
      <c r="N23" s="35" t="s">
        <v>143</v>
      </c>
      <c r="O23" s="34" t="s">
        <v>144</v>
      </c>
      <c r="P23" s="38" t="n">
        <f aca="false">COUNTIF(d_Clave,K23)</f>
        <v>40</v>
      </c>
      <c r="R23" s="34" t="s">
        <v>141</v>
      </c>
    </row>
    <row r="24" customFormat="false" ht="15" hidden="false" customHeight="false" outlineLevel="0" collapsed="false">
      <c r="D24" s="34" t="s">
        <v>69</v>
      </c>
      <c r="E24" s="35" t="s">
        <v>69</v>
      </c>
      <c r="F24" s="36" t="s">
        <v>7171</v>
      </c>
      <c r="K24" s="34" t="s">
        <v>7222</v>
      </c>
      <c r="L24" s="37" t="n">
        <v>6</v>
      </c>
      <c r="M24" s="34" t="s">
        <v>7223</v>
      </c>
      <c r="N24" s="35" t="s">
        <v>145</v>
      </c>
      <c r="O24" s="34" t="s">
        <v>146</v>
      </c>
      <c r="P24" s="38" t="n">
        <f aca="false">COUNTIF(d_Clave,K24)</f>
        <v>44</v>
      </c>
      <c r="R24" s="34" t="s">
        <v>143</v>
      </c>
    </row>
    <row r="25" customFormat="false" ht="15" hidden="false" customHeight="false" outlineLevel="0" collapsed="false">
      <c r="D25" s="34" t="s">
        <v>70</v>
      </c>
      <c r="E25" s="35" t="s">
        <v>70</v>
      </c>
      <c r="F25" s="36" t="s">
        <v>7171</v>
      </c>
      <c r="K25" s="34" t="s">
        <v>7224</v>
      </c>
      <c r="L25" s="37" t="n">
        <v>7</v>
      </c>
      <c r="M25" s="34" t="s">
        <v>7225</v>
      </c>
      <c r="N25" s="35" t="s">
        <v>147</v>
      </c>
      <c r="O25" s="34" t="s">
        <v>148</v>
      </c>
      <c r="P25" s="38" t="n">
        <f aca="false">COUNTIF(d_Clave,K25)</f>
        <v>6</v>
      </c>
      <c r="R25" s="34" t="s">
        <v>145</v>
      </c>
    </row>
    <row r="26" customFormat="false" ht="15" hidden="false" customHeight="false" outlineLevel="0" collapsed="false">
      <c r="D26" s="34" t="s">
        <v>71</v>
      </c>
      <c r="E26" s="35" t="s">
        <v>71</v>
      </c>
      <c r="F26" s="36" t="s">
        <v>7171</v>
      </c>
      <c r="K26" s="34" t="s">
        <v>7226</v>
      </c>
      <c r="L26" s="37" t="n">
        <v>7</v>
      </c>
      <c r="M26" s="34" t="s">
        <v>7227</v>
      </c>
      <c r="N26" s="35" t="s">
        <v>149</v>
      </c>
      <c r="O26" s="34" t="s">
        <v>150</v>
      </c>
      <c r="P26" s="38" t="n">
        <f aca="false">COUNTIF(d_Clave,K26)</f>
        <v>19</v>
      </c>
      <c r="R26" s="34" t="s">
        <v>147</v>
      </c>
    </row>
    <row r="27" customFormat="false" ht="15" hidden="false" customHeight="false" outlineLevel="0" collapsed="false">
      <c r="D27" s="34" t="s">
        <v>65</v>
      </c>
      <c r="E27" s="35" t="s">
        <v>65</v>
      </c>
      <c r="F27" s="36" t="s">
        <v>7171</v>
      </c>
      <c r="K27" s="34" t="s">
        <v>7228</v>
      </c>
      <c r="L27" s="37" t="n">
        <v>7</v>
      </c>
      <c r="M27" s="34" t="s">
        <v>7229</v>
      </c>
      <c r="N27" s="35" t="s">
        <v>151</v>
      </c>
      <c r="O27" s="34" t="s">
        <v>152</v>
      </c>
      <c r="P27" s="38" t="n">
        <f aca="false">COUNTIF(d_Clave,K27)</f>
        <v>11</v>
      </c>
      <c r="R27" s="34" t="s">
        <v>149</v>
      </c>
    </row>
    <row r="28" customFormat="false" ht="15" hidden="false" customHeight="false" outlineLevel="0" collapsed="false">
      <c r="D28" s="34" t="s">
        <v>88</v>
      </c>
      <c r="E28" s="35" t="s">
        <v>88</v>
      </c>
      <c r="F28" s="36" t="s">
        <v>7171</v>
      </c>
      <c r="K28" s="34" t="s">
        <v>7230</v>
      </c>
      <c r="L28" s="37" t="n">
        <v>7</v>
      </c>
      <c r="M28" s="34" t="s">
        <v>7231</v>
      </c>
      <c r="N28" s="35" t="s">
        <v>153</v>
      </c>
      <c r="O28" s="34" t="s">
        <v>154</v>
      </c>
      <c r="P28" s="38" t="n">
        <f aca="false">COUNTIF(d_Clave,K28)</f>
        <v>8</v>
      </c>
      <c r="R28" s="34" t="s">
        <v>151</v>
      </c>
    </row>
    <row r="29" customFormat="false" ht="15" hidden="false" customHeight="false" outlineLevel="0" collapsed="false">
      <c r="D29" s="34" t="s">
        <v>89</v>
      </c>
      <c r="E29" s="35" t="s">
        <v>89</v>
      </c>
      <c r="F29" s="36" t="s">
        <v>7171</v>
      </c>
      <c r="K29" s="34" t="s">
        <v>7232</v>
      </c>
      <c r="L29" s="37" t="n">
        <v>7</v>
      </c>
      <c r="M29" s="34" t="s">
        <v>7233</v>
      </c>
      <c r="N29" s="35" t="s">
        <v>155</v>
      </c>
      <c r="O29" s="34" t="s">
        <v>156</v>
      </c>
      <c r="P29" s="38" t="n">
        <f aca="false">COUNTIF(d_Clave,K29)</f>
        <v>21</v>
      </c>
      <c r="R29" s="34" t="s">
        <v>153</v>
      </c>
    </row>
    <row r="30" customFormat="false" ht="15" hidden="false" customHeight="false" outlineLevel="0" collapsed="false">
      <c r="D30" s="34" t="s">
        <v>51</v>
      </c>
      <c r="E30" s="35" t="s">
        <v>51</v>
      </c>
      <c r="F30" s="36" t="s">
        <v>7207</v>
      </c>
      <c r="K30" s="34" t="s">
        <v>7234</v>
      </c>
      <c r="L30" s="37" t="n">
        <v>7</v>
      </c>
      <c r="M30" s="34" t="s">
        <v>7235</v>
      </c>
      <c r="N30" s="35" t="s">
        <v>157</v>
      </c>
      <c r="O30" s="34" t="s">
        <v>158</v>
      </c>
      <c r="P30" s="38" t="n">
        <f aca="false">COUNTIF(d_Clave,K30)</f>
        <v>9</v>
      </c>
      <c r="R30" s="34" t="s">
        <v>155</v>
      </c>
    </row>
    <row r="31" customFormat="false" ht="15" hidden="false" customHeight="false" outlineLevel="0" collapsed="false">
      <c r="D31" s="34" t="s">
        <v>47</v>
      </c>
      <c r="E31" s="35" t="s">
        <v>47</v>
      </c>
      <c r="F31" s="36" t="s">
        <v>7207</v>
      </c>
      <c r="K31" s="34" t="s">
        <v>7236</v>
      </c>
      <c r="L31" s="37" t="n">
        <v>7</v>
      </c>
      <c r="M31" s="34" t="s">
        <v>7237</v>
      </c>
      <c r="N31" s="35" t="s">
        <v>159</v>
      </c>
      <c r="O31" s="34" t="s">
        <v>160</v>
      </c>
      <c r="P31" s="38" t="n">
        <f aca="false">COUNTIF(d_Clave,K31)</f>
        <v>20</v>
      </c>
      <c r="R31" s="34" t="s">
        <v>157</v>
      </c>
    </row>
    <row r="32" customFormat="false" ht="15" hidden="false" customHeight="false" outlineLevel="0" collapsed="false">
      <c r="D32" s="34" t="s">
        <v>40</v>
      </c>
      <c r="E32" s="35" t="s">
        <v>40</v>
      </c>
      <c r="F32" s="36" t="s">
        <v>7171</v>
      </c>
      <c r="K32" s="34" t="s">
        <v>7238</v>
      </c>
      <c r="L32" s="37" t="n">
        <v>7</v>
      </c>
      <c r="M32" s="34" t="s">
        <v>7239</v>
      </c>
      <c r="N32" s="35" t="s">
        <v>161</v>
      </c>
      <c r="O32" s="34" t="s">
        <v>162</v>
      </c>
      <c r="P32" s="38" t="n">
        <f aca="false">COUNTIF(d_Clave,K32)</f>
        <v>6</v>
      </c>
      <c r="R32" s="34" t="s">
        <v>159</v>
      </c>
    </row>
    <row r="33" customFormat="false" ht="15" hidden="false" customHeight="false" outlineLevel="0" collapsed="false">
      <c r="D33" s="34" t="s">
        <v>1341</v>
      </c>
      <c r="E33" s="35" t="s">
        <v>40</v>
      </c>
      <c r="F33" s="36" t="s">
        <v>7171</v>
      </c>
      <c r="K33" s="34" t="s">
        <v>7240</v>
      </c>
      <c r="L33" s="37" t="n">
        <v>7</v>
      </c>
      <c r="M33" s="34" t="s">
        <v>7241</v>
      </c>
      <c r="N33" s="35" t="s">
        <v>163</v>
      </c>
      <c r="O33" s="34" t="s">
        <v>164</v>
      </c>
      <c r="P33" s="38" t="n">
        <f aca="false">COUNTIF(d_Clave,K33)</f>
        <v>6</v>
      </c>
      <c r="R33" s="34" t="s">
        <v>161</v>
      </c>
    </row>
    <row r="34" customFormat="false" ht="15" hidden="false" customHeight="false" outlineLevel="0" collapsed="false">
      <c r="D34" s="34" t="s">
        <v>3718</v>
      </c>
      <c r="E34" s="35" t="s">
        <v>40</v>
      </c>
      <c r="F34" s="36" t="s">
        <v>7171</v>
      </c>
      <c r="K34" s="34" t="s">
        <v>7242</v>
      </c>
      <c r="L34" s="37" t="n">
        <v>7</v>
      </c>
      <c r="M34" s="34" t="s">
        <v>7243</v>
      </c>
      <c r="N34" s="35" t="s">
        <v>165</v>
      </c>
      <c r="O34" s="34" t="s">
        <v>166</v>
      </c>
      <c r="P34" s="38" t="n">
        <f aca="false">COUNTIF(d_Clave,K34)</f>
        <v>13</v>
      </c>
      <c r="R34" s="34" t="s">
        <v>163</v>
      </c>
    </row>
    <row r="35" customFormat="false" ht="15" hidden="false" customHeight="false" outlineLevel="0" collapsed="false">
      <c r="D35" s="34" t="s">
        <v>50</v>
      </c>
      <c r="E35" s="35" t="s">
        <v>50</v>
      </c>
      <c r="F35" s="36" t="s">
        <v>7171</v>
      </c>
      <c r="K35" s="34" t="s">
        <v>7244</v>
      </c>
      <c r="L35" s="37" t="n">
        <v>8</v>
      </c>
      <c r="M35" s="34" t="s">
        <v>7245</v>
      </c>
      <c r="N35" s="35" t="s">
        <v>167</v>
      </c>
      <c r="O35" s="34" t="s">
        <v>168</v>
      </c>
      <c r="P35" s="38" t="n">
        <f aca="false">COUNTIF(d_Clave,K35)</f>
        <v>25</v>
      </c>
      <c r="R35" s="34" t="s">
        <v>165</v>
      </c>
    </row>
    <row r="36" customFormat="false" ht="15" hidden="false" customHeight="false" outlineLevel="0" collapsed="false">
      <c r="D36" s="34" t="s">
        <v>39</v>
      </c>
      <c r="E36" s="35" t="s">
        <v>39</v>
      </c>
      <c r="F36" s="36" t="s">
        <v>7207</v>
      </c>
      <c r="K36" s="34" t="s">
        <v>7246</v>
      </c>
      <c r="L36" s="37" t="n">
        <v>8</v>
      </c>
      <c r="M36" s="34" t="s">
        <v>7247</v>
      </c>
      <c r="N36" s="35" t="s">
        <v>169</v>
      </c>
      <c r="O36" s="34" t="s">
        <v>170</v>
      </c>
      <c r="P36" s="38" t="n">
        <f aca="false">COUNTIF(d_Clave,K36)</f>
        <v>30</v>
      </c>
      <c r="R36" s="34" t="s">
        <v>167</v>
      </c>
    </row>
    <row r="37" customFormat="false" ht="15" hidden="false" customHeight="false" outlineLevel="0" collapsed="false">
      <c r="D37" s="34" t="s">
        <v>37</v>
      </c>
      <c r="E37" s="35" t="s">
        <v>37</v>
      </c>
      <c r="F37" s="36" t="s">
        <v>7171</v>
      </c>
      <c r="K37" s="34" t="s">
        <v>7248</v>
      </c>
      <c r="L37" s="37" t="n">
        <v>8</v>
      </c>
      <c r="M37" s="34" t="s">
        <v>7249</v>
      </c>
      <c r="N37" s="35" t="s">
        <v>171</v>
      </c>
      <c r="O37" s="34" t="s">
        <v>172</v>
      </c>
      <c r="P37" s="38" t="n">
        <f aca="false">COUNTIF(d_Clave,K37)</f>
        <v>11</v>
      </c>
      <c r="R37" s="34" t="s">
        <v>169</v>
      </c>
    </row>
    <row r="38" customFormat="false" ht="15" hidden="false" customHeight="false" outlineLevel="0" collapsed="false">
      <c r="D38" s="34" t="s">
        <v>45</v>
      </c>
      <c r="E38" s="35" t="s">
        <v>45</v>
      </c>
      <c r="F38" s="36" t="s">
        <v>7171</v>
      </c>
      <c r="K38" s="34" t="s">
        <v>7250</v>
      </c>
      <c r="L38" s="37" t="n">
        <v>8</v>
      </c>
      <c r="M38" s="34" t="s">
        <v>7251</v>
      </c>
      <c r="N38" s="35" t="s">
        <v>173</v>
      </c>
      <c r="O38" s="34" t="s">
        <v>174</v>
      </c>
      <c r="P38" s="38" t="n">
        <f aca="false">COUNTIF(d_Clave,K38)</f>
        <v>15</v>
      </c>
      <c r="R38" s="34" t="s">
        <v>171</v>
      </c>
    </row>
    <row r="39" customFormat="false" ht="15" hidden="false" customHeight="false" outlineLevel="0" collapsed="false">
      <c r="D39" s="34" t="s">
        <v>49</v>
      </c>
      <c r="E39" s="35" t="s">
        <v>49</v>
      </c>
      <c r="F39" s="36" t="s">
        <v>7171</v>
      </c>
      <c r="K39" s="34" t="s">
        <v>7252</v>
      </c>
      <c r="L39" s="37" t="n">
        <v>8</v>
      </c>
      <c r="M39" s="34" t="s">
        <v>7253</v>
      </c>
      <c r="N39" s="35" t="s">
        <v>175</v>
      </c>
      <c r="O39" s="34" t="s">
        <v>176</v>
      </c>
      <c r="P39" s="38" t="n">
        <f aca="false">COUNTIF(d_Clave,K39)</f>
        <v>12</v>
      </c>
      <c r="R39" s="34" t="s">
        <v>173</v>
      </c>
    </row>
    <row r="40" customFormat="false" ht="15" hidden="false" customHeight="false" outlineLevel="0" collapsed="false">
      <c r="D40" s="34" t="s">
        <v>44</v>
      </c>
      <c r="E40" s="35" t="s">
        <v>44</v>
      </c>
      <c r="F40" s="36" t="s">
        <v>7207</v>
      </c>
      <c r="K40" s="34" t="s">
        <v>7254</v>
      </c>
      <c r="L40" s="37" t="n">
        <v>8</v>
      </c>
      <c r="M40" s="34" t="s">
        <v>7255</v>
      </c>
      <c r="N40" s="35" t="s">
        <v>177</v>
      </c>
      <c r="O40" s="34" t="s">
        <v>178</v>
      </c>
      <c r="P40" s="38" t="n">
        <f aca="false">COUNTIF(d_Clave,K40)</f>
        <v>36</v>
      </c>
      <c r="R40" s="34" t="s">
        <v>175</v>
      </c>
    </row>
    <row r="41" customFormat="false" ht="15" hidden="false" customHeight="false" outlineLevel="0" collapsed="false">
      <c r="D41" s="34" t="s">
        <v>301</v>
      </c>
      <c r="E41" s="35" t="s">
        <v>41</v>
      </c>
      <c r="F41" s="36" t="s">
        <v>7171</v>
      </c>
      <c r="K41" s="34" t="s">
        <v>7256</v>
      </c>
      <c r="L41" s="37" t="n">
        <v>8</v>
      </c>
      <c r="M41" s="34" t="s">
        <v>7257</v>
      </c>
      <c r="N41" s="35" t="s">
        <v>179</v>
      </c>
      <c r="O41" s="34" t="s">
        <v>180</v>
      </c>
      <c r="P41" s="38" t="n">
        <f aca="false">COUNTIF(d_Clave,K41)</f>
        <v>7</v>
      </c>
      <c r="R41" s="34" t="s">
        <v>177</v>
      </c>
    </row>
    <row r="42" customFormat="false" ht="15" hidden="false" customHeight="false" outlineLevel="0" collapsed="false">
      <c r="D42" s="34" t="s">
        <v>41</v>
      </c>
      <c r="E42" s="35" t="s">
        <v>41</v>
      </c>
      <c r="F42" s="36" t="s">
        <v>7171</v>
      </c>
      <c r="K42" s="34" t="s">
        <v>7258</v>
      </c>
      <c r="L42" s="37" t="n">
        <v>8</v>
      </c>
      <c r="M42" s="34" t="s">
        <v>7259</v>
      </c>
      <c r="N42" s="35" t="s">
        <v>181</v>
      </c>
      <c r="O42" s="34" t="s">
        <v>182</v>
      </c>
      <c r="P42" s="38" t="n">
        <f aca="false">COUNTIF(d_Clave,K42)</f>
        <v>5</v>
      </c>
      <c r="R42" s="34" t="s">
        <v>179</v>
      </c>
    </row>
    <row r="43" customFormat="false" ht="15" hidden="false" customHeight="false" outlineLevel="0" collapsed="false">
      <c r="D43" s="34" t="s">
        <v>53</v>
      </c>
      <c r="E43" s="35" t="s">
        <v>53</v>
      </c>
      <c r="F43" s="36" t="s">
        <v>7171</v>
      </c>
      <c r="K43" s="34" t="s">
        <v>7260</v>
      </c>
      <c r="L43" s="37" t="n">
        <v>8</v>
      </c>
      <c r="M43" s="34" t="s">
        <v>7261</v>
      </c>
      <c r="N43" s="35" t="s">
        <v>183</v>
      </c>
      <c r="O43" s="34" t="s">
        <v>184</v>
      </c>
      <c r="P43" s="38" t="n">
        <f aca="false">COUNTIF(d_Clave,K43)</f>
        <v>186</v>
      </c>
      <c r="R43" s="34" t="s">
        <v>181</v>
      </c>
    </row>
    <row r="44" customFormat="false" ht="15" hidden="false" customHeight="false" outlineLevel="0" collapsed="false">
      <c r="D44" s="34" t="s">
        <v>54</v>
      </c>
      <c r="E44" s="35" t="s">
        <v>54</v>
      </c>
      <c r="F44" s="36" t="s">
        <v>7171</v>
      </c>
      <c r="K44" s="34" t="s">
        <v>7262</v>
      </c>
      <c r="L44" s="37" t="n">
        <v>8</v>
      </c>
      <c r="M44" s="34" t="s">
        <v>7263</v>
      </c>
      <c r="N44" s="35" t="s">
        <v>185</v>
      </c>
      <c r="O44" s="34" t="s">
        <v>184</v>
      </c>
      <c r="P44" s="38" t="n">
        <f aca="false">COUNTIF(d_Clave,K44)</f>
        <v>160</v>
      </c>
      <c r="R44" s="34" t="s">
        <v>183</v>
      </c>
    </row>
    <row r="45" customFormat="false" ht="15" hidden="false" customHeight="false" outlineLevel="0" collapsed="false">
      <c r="D45" s="34" t="s">
        <v>52</v>
      </c>
      <c r="E45" s="35" t="s">
        <v>52</v>
      </c>
      <c r="F45" s="36" t="s">
        <v>7207</v>
      </c>
      <c r="R45" s="34" t="s">
        <v>185</v>
      </c>
    </row>
    <row r="46" customFormat="false" ht="15" hidden="false" customHeight="false" outlineLevel="0" collapsed="false">
      <c r="D46" s="34" t="s">
        <v>43</v>
      </c>
      <c r="E46" s="35" t="s">
        <v>43</v>
      </c>
      <c r="F46" s="36" t="s">
        <v>7171</v>
      </c>
      <c r="K46" s="12" t="s">
        <v>7264</v>
      </c>
      <c r="R46" s="34" t="s">
        <v>187</v>
      </c>
    </row>
    <row r="47" customFormat="false" ht="15" hidden="false" customHeight="false" outlineLevel="0" collapsed="false">
      <c r="D47" s="34" t="s">
        <v>75</v>
      </c>
      <c r="E47" s="35" t="s">
        <v>75</v>
      </c>
      <c r="F47" s="36" t="s">
        <v>7207</v>
      </c>
    </row>
    <row r="48" customFormat="false" ht="15" hidden="false" customHeight="false" outlineLevel="0" collapsed="false">
      <c r="D48" s="34" t="s">
        <v>55</v>
      </c>
      <c r="E48" s="35" t="s">
        <v>55</v>
      </c>
      <c r="F48" s="36" t="s">
        <v>7207</v>
      </c>
    </row>
    <row r="49" customFormat="false" ht="15" hidden="false" customHeight="false" outlineLevel="0" collapsed="false">
      <c r="D49" s="34" t="s">
        <v>2146</v>
      </c>
      <c r="E49" s="35" t="s">
        <v>57</v>
      </c>
      <c r="F49" s="36" t="s">
        <v>7171</v>
      </c>
    </row>
    <row r="50" customFormat="false" ht="15" hidden="false" customHeight="false" outlineLevel="0" collapsed="false">
      <c r="D50" s="34" t="s">
        <v>60</v>
      </c>
      <c r="E50" s="35" t="s">
        <v>60</v>
      </c>
      <c r="F50" s="36" t="s">
        <v>7171</v>
      </c>
    </row>
    <row r="51" customFormat="false" ht="15" hidden="false" customHeight="false" outlineLevel="0" collapsed="false">
      <c r="D51" s="34" t="s">
        <v>57</v>
      </c>
      <c r="E51" s="35" t="s">
        <v>57</v>
      </c>
      <c r="F51" s="36" t="s">
        <v>7171</v>
      </c>
    </row>
    <row r="52" customFormat="false" ht="15" hidden="false" customHeight="false" outlineLevel="0" collapsed="false">
      <c r="D52" s="34" t="s">
        <v>59</v>
      </c>
      <c r="E52" s="35" t="s">
        <v>59</v>
      </c>
      <c r="F52" s="36" t="s">
        <v>7171</v>
      </c>
    </row>
    <row r="53" customFormat="false" ht="15" hidden="false" customHeight="false" outlineLevel="0" collapsed="false">
      <c r="D53" s="34" t="s">
        <v>78</v>
      </c>
      <c r="E53" s="35" t="s">
        <v>78</v>
      </c>
      <c r="F53" s="36" t="s">
        <v>7171</v>
      </c>
    </row>
    <row r="54" customFormat="false" ht="15" hidden="false" customHeight="false" outlineLevel="0" collapsed="false">
      <c r="D54" s="34" t="s">
        <v>83</v>
      </c>
      <c r="E54" s="35" t="s">
        <v>83</v>
      </c>
      <c r="F54" s="36" t="s">
        <v>7171</v>
      </c>
    </row>
    <row r="55" customFormat="false" ht="15" hidden="false" customHeight="false" outlineLevel="0" collapsed="false">
      <c r="D55" s="34" t="s">
        <v>98</v>
      </c>
      <c r="E55" s="35" t="s">
        <v>98</v>
      </c>
      <c r="F55" s="36" t="s">
        <v>7171</v>
      </c>
    </row>
    <row r="56" customFormat="false" ht="15" hidden="false" customHeight="false" outlineLevel="0" collapsed="false">
      <c r="D56" s="34" t="s">
        <v>73</v>
      </c>
      <c r="E56" s="35" t="s">
        <v>73</v>
      </c>
      <c r="F56" s="36" t="s">
        <v>7207</v>
      </c>
    </row>
    <row r="57" customFormat="false" ht="15" hidden="false" customHeight="false" outlineLevel="0" collapsed="false">
      <c r="D57" s="34" t="s">
        <v>82</v>
      </c>
      <c r="E57" s="35" t="s">
        <v>82</v>
      </c>
      <c r="F57" s="36" t="s">
        <v>7171</v>
      </c>
    </row>
    <row r="58" customFormat="false" ht="15" hidden="false" customHeight="false" outlineLevel="0" collapsed="false">
      <c r="D58" s="34" t="s">
        <v>85</v>
      </c>
      <c r="E58" s="35" t="s">
        <v>85</v>
      </c>
      <c r="F58" s="36" t="s">
        <v>7171</v>
      </c>
    </row>
    <row r="59" customFormat="false" ht="15" hidden="false" customHeight="false" outlineLevel="0" collapsed="false">
      <c r="D59" s="34" t="s">
        <v>2289</v>
      </c>
      <c r="E59" s="35" t="s">
        <v>84</v>
      </c>
      <c r="F59" s="36" t="s">
        <v>7171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1" t="s">
        <v>7265</v>
      </c>
    </row>
    <row r="2" customFormat="false" ht="15" hidden="false" customHeight="false" outlineLevel="0" collapsed="false">
      <c r="A2" s="12" t="s">
        <v>7266</v>
      </c>
    </row>
    <row r="4" customFormat="false" ht="15" hidden="false" customHeight="false" outlineLevel="0" collapsed="false">
      <c r="A4" s="15" t="s">
        <v>7267</v>
      </c>
      <c r="B4" s="15" t="s">
        <v>7268</v>
      </c>
      <c r="C4" s="15" t="s">
        <v>33</v>
      </c>
      <c r="D4" s="15" t="s">
        <v>7269</v>
      </c>
    </row>
    <row r="5" customFormat="false" ht="33.75" hidden="false" customHeight="true" outlineLevel="0" collapsed="false">
      <c r="A5" s="39" t="s">
        <v>7270</v>
      </c>
      <c r="B5" s="40" t="n">
        <f aca="false">COUNTIF(d_Completo,"No")</f>
        <v>51</v>
      </c>
      <c r="C5" s="41" t="n">
        <f aca="false">B5/1960</f>
        <v>0.0260204081632653</v>
      </c>
      <c r="D5" s="39" t="s">
        <v>7271</v>
      </c>
    </row>
    <row r="6" customFormat="false" ht="33.75" hidden="false" customHeight="true" outlineLevel="0" collapsed="false">
      <c r="A6" s="39" t="s">
        <v>7272</v>
      </c>
      <c r="B6" s="40" t="n">
        <f aca="false">SUMPRODUCT(--(d_Local&lt;&gt;"SECTOR0"&amp;RIGHT(d_SectorUT,1)))</f>
        <v>27</v>
      </c>
      <c r="C6" s="41" t="n">
        <f aca="false">B6/1960</f>
        <v>0.0137755102040816</v>
      </c>
      <c r="D6" s="39" t="s">
        <v>7273</v>
      </c>
    </row>
    <row r="7" customFormat="false" ht="33.75" hidden="false" customHeight="true" outlineLevel="0" collapsed="false">
      <c r="A7" s="39" t="s">
        <v>7274</v>
      </c>
      <c r="B7" s="40" t="n">
        <f aca="false">COUNTIF(d_MarcaO,"GE")+COUNTIF(d_MarcaO,"SHNEIDER ELECTRIC")</f>
        <v>120</v>
      </c>
      <c r="C7" s="41" t="n">
        <f aca="false">B7/1960</f>
        <v>0.0612244897959184</v>
      </c>
      <c r="D7" s="39" t="s">
        <v>7275</v>
      </c>
    </row>
    <row r="8" customFormat="false" ht="33.75" hidden="false" customHeight="true" outlineLevel="0" collapsed="false">
      <c r="A8" s="39" t="s">
        <v>7276</v>
      </c>
      <c r="B8" s="40" t="n">
        <f aca="false">COUNTIF(d_ModeloO,"SEL 735")+COUNTIF(d_ModeloO,"REA-101")+COUNTIF(d_ModeloO,"REA101")+COUNTIF(d_ModeloO,"REM-615A_1G")+COUNTIF(d_ModeloO,"SIPROTEC7SJ85")</f>
        <v>90</v>
      </c>
      <c r="C8" s="41" t="n">
        <f aca="false">B8/1960</f>
        <v>0.0459183673469388</v>
      </c>
      <c r="D8" s="39" t="s">
        <v>7277</v>
      </c>
    </row>
    <row r="9" customFormat="false" ht="33.75" hidden="false" customHeight="true" outlineLevel="0" collapsed="false">
      <c r="A9" s="39" t="s">
        <v>7278</v>
      </c>
      <c r="B9" s="40" t="n">
        <f aca="false">COUNTIF(d_Gen,"Sí")</f>
        <v>699</v>
      </c>
      <c r="C9" s="41" t="n">
        <f aca="false">B9/1960</f>
        <v>0.356632653061225</v>
      </c>
      <c r="D9" s="39" t="s">
        <v>7279</v>
      </c>
    </row>
    <row r="10" customFormat="false" ht="33.75" hidden="false" customHeight="true" outlineLevel="0" collapsed="false">
      <c r="A10" s="39" t="s">
        <v>7280</v>
      </c>
      <c r="B10" s="40" t="n">
        <f aca="false">COUNTIF(Datos!$J$2:$J$1961,"PROTECCIÓN")+COUNTIF(Datos!$J$2:$J$1961,"MEDICIÓN")+COUNTIF(Datos!$J$2:$J$1961,"PROTECCION Y MEDICION")</f>
        <v>193</v>
      </c>
      <c r="C10" s="41" t="n">
        <f aca="false">B10/1960</f>
        <v>0.098469387755102</v>
      </c>
      <c r="D10" s="39" t="s">
        <v>7281</v>
      </c>
    </row>
    <row r="11" customFormat="false" ht="33.75" hidden="false" customHeight="true" outlineLevel="0" collapsed="false">
      <c r="A11" s="39" t="s">
        <v>7282</v>
      </c>
      <c r="B11" s="40" t="n">
        <f aca="false">SUMPRODUCT(--(COUNTIF(d_Ident,d_Ident)&gt;1))</f>
        <v>22</v>
      </c>
      <c r="C11" s="41" t="n">
        <f aca="false">B11/1960</f>
        <v>0.0112244897959184</v>
      </c>
      <c r="D11" s="39" t="s">
        <v>7283</v>
      </c>
    </row>
    <row r="12" customFormat="false" ht="33.75" hidden="false" customHeight="true" outlineLevel="0" collapsed="false">
      <c r="A12" s="39" t="s">
        <v>7284</v>
      </c>
      <c r="B12" s="40" t="n">
        <f aca="false">COUNTIF(d_Tipo,"Área de proceso")</f>
        <v>544</v>
      </c>
      <c r="C12" s="41" t="n">
        <f aca="false">B12/1960</f>
        <v>0.277551020408163</v>
      </c>
      <c r="D12" s="39" t="s">
        <v>7285</v>
      </c>
    </row>
    <row r="14" customFormat="false" ht="15" hidden="false" customHeight="false" outlineLevel="0" collapsed="false">
      <c r="A14" s="13" t="s">
        <v>7286</v>
      </c>
    </row>
    <row r="15" customFormat="false" ht="27.75" hidden="false" customHeight="true" outlineLevel="0" collapsed="false">
      <c r="A15" s="42" t="s">
        <v>7287</v>
      </c>
      <c r="B15" s="42"/>
      <c r="C15" s="42"/>
      <c r="D15" s="42"/>
    </row>
    <row r="16" customFormat="false" ht="27.75" hidden="false" customHeight="true" outlineLevel="0" collapsed="false">
      <c r="A16" s="42" t="s">
        <v>7288</v>
      </c>
      <c r="B16" s="42"/>
      <c r="C16" s="42"/>
      <c r="D16" s="42"/>
    </row>
    <row r="17" customFormat="false" ht="27.75" hidden="false" customHeight="true" outlineLevel="0" collapsed="false">
      <c r="A17" s="42" t="s">
        <v>7289</v>
      </c>
      <c r="B17" s="42"/>
      <c r="C17" s="42"/>
      <c r="D17" s="42"/>
    </row>
    <row r="18" customFormat="false" ht="27.75" hidden="false" customHeight="true" outlineLevel="0" collapsed="false">
      <c r="A18" s="42" t="s">
        <v>7290</v>
      </c>
      <c r="B18" s="42"/>
      <c r="C18" s="42"/>
      <c r="D18" s="42"/>
    </row>
    <row r="20" customFormat="false" ht="15" hidden="false" customHeight="false" outlineLevel="0" collapsed="false">
      <c r="A20" s="13" t="s">
        <v>7291</v>
      </c>
    </row>
    <row r="21" customFormat="false" ht="15" hidden="false" customHeight="false" outlineLevel="0" collapsed="false">
      <c r="A21" s="15" t="s">
        <v>203</v>
      </c>
      <c r="B21" s="15" t="s">
        <v>205</v>
      </c>
      <c r="D21" s="15" t="s">
        <v>6</v>
      </c>
    </row>
    <row r="22" customFormat="false" ht="15" hidden="false" customHeight="false" outlineLevel="0" collapsed="false">
      <c r="A22" s="34" t="s">
        <v>2159</v>
      </c>
      <c r="B22" s="34" t="s">
        <v>2161</v>
      </c>
      <c r="D22" s="34" t="s">
        <v>2162</v>
      </c>
    </row>
    <row r="23" customFormat="false" ht="15" hidden="false" customHeight="false" outlineLevel="0" collapsed="false">
      <c r="A23" s="34" t="s">
        <v>2163</v>
      </c>
      <c r="B23" s="34" t="s">
        <v>2165</v>
      </c>
      <c r="D23" s="34" t="s">
        <v>2166</v>
      </c>
    </row>
    <row r="24" customFormat="false" ht="15" hidden="false" customHeight="false" outlineLevel="0" collapsed="false">
      <c r="A24" s="34" t="s">
        <v>2219</v>
      </c>
      <c r="B24" s="34" t="s">
        <v>2221</v>
      </c>
      <c r="D24" s="34" t="s">
        <v>2222</v>
      </c>
    </row>
    <row r="25" customFormat="false" ht="15" hidden="false" customHeight="false" outlineLevel="0" collapsed="false">
      <c r="A25" s="34" t="s">
        <v>2223</v>
      </c>
      <c r="B25" s="34" t="s">
        <v>2225</v>
      </c>
      <c r="D25" s="34" t="s">
        <v>2226</v>
      </c>
    </row>
    <row r="26" customFormat="false" ht="15" hidden="false" customHeight="false" outlineLevel="0" collapsed="false">
      <c r="A26" s="34" t="s">
        <v>2310</v>
      </c>
      <c r="B26" s="34" t="s">
        <v>2312</v>
      </c>
      <c r="D26" s="34" t="s">
        <v>2313</v>
      </c>
    </row>
    <row r="27" customFormat="false" ht="15" hidden="false" customHeight="false" outlineLevel="0" collapsed="false">
      <c r="A27" s="34" t="s">
        <v>2314</v>
      </c>
      <c r="B27" s="34" t="s">
        <v>2316</v>
      </c>
      <c r="D27" s="34" t="s">
        <v>2317</v>
      </c>
    </row>
    <row r="28" customFormat="false" ht="15" hidden="false" customHeight="false" outlineLevel="0" collapsed="false">
      <c r="A28" s="34" t="s">
        <v>3796</v>
      </c>
      <c r="B28" s="34" t="s">
        <v>3798</v>
      </c>
      <c r="D28" s="34" t="s">
        <v>3799</v>
      </c>
    </row>
    <row r="29" customFormat="false" ht="15" hidden="false" customHeight="false" outlineLevel="0" collapsed="false">
      <c r="A29" s="34" t="s">
        <v>5034</v>
      </c>
      <c r="B29" s="34" t="s">
        <v>5036</v>
      </c>
      <c r="D29" s="34" t="s">
        <v>2162</v>
      </c>
    </row>
    <row r="30" customFormat="false" ht="15" hidden="false" customHeight="false" outlineLevel="0" collapsed="false">
      <c r="A30" s="34" t="s">
        <v>5037</v>
      </c>
      <c r="B30" s="34" t="s">
        <v>5039</v>
      </c>
      <c r="D30" s="34" t="s">
        <v>2166</v>
      </c>
    </row>
    <row r="31" customFormat="false" ht="15" hidden="false" customHeight="false" outlineLevel="0" collapsed="false">
      <c r="A31" s="34" t="s">
        <v>5085</v>
      </c>
      <c r="B31" s="34" t="s">
        <v>5087</v>
      </c>
      <c r="D31" s="34" t="s">
        <v>2162</v>
      </c>
    </row>
    <row r="32" customFormat="false" ht="15" hidden="false" customHeight="false" outlineLevel="0" collapsed="false">
      <c r="A32" s="34" t="s">
        <v>5088</v>
      </c>
      <c r="B32" s="34" t="s">
        <v>5090</v>
      </c>
      <c r="D32" s="34" t="s">
        <v>2166</v>
      </c>
    </row>
    <row r="33" customFormat="false" ht="15" hidden="false" customHeight="false" outlineLevel="0" collapsed="false">
      <c r="A33" s="34" t="s">
        <v>5125</v>
      </c>
      <c r="B33" s="34" t="s">
        <v>5127</v>
      </c>
      <c r="D33" s="34" t="s">
        <v>2313</v>
      </c>
    </row>
    <row r="34" customFormat="false" ht="15" hidden="false" customHeight="false" outlineLevel="0" collapsed="false">
      <c r="A34" s="34" t="s">
        <v>5128</v>
      </c>
      <c r="B34" s="34" t="s">
        <v>5130</v>
      </c>
      <c r="D34" s="34" t="s">
        <v>2317</v>
      </c>
    </row>
    <row r="35" customFormat="false" ht="15" hidden="false" customHeight="false" outlineLevel="0" collapsed="false">
      <c r="A35" s="34" t="s">
        <v>5189</v>
      </c>
      <c r="B35" s="34" t="s">
        <v>5191</v>
      </c>
      <c r="D35" s="34" t="s">
        <v>5192</v>
      </c>
    </row>
    <row r="36" customFormat="false" ht="15" hidden="false" customHeight="false" outlineLevel="0" collapsed="false">
      <c r="A36" s="34" t="s">
        <v>5193</v>
      </c>
      <c r="B36" s="34" t="s">
        <v>5195</v>
      </c>
      <c r="D36" s="34" t="s">
        <v>5196</v>
      </c>
    </row>
    <row r="37" customFormat="false" ht="15" hidden="false" customHeight="false" outlineLevel="0" collapsed="false">
      <c r="A37" s="34" t="s">
        <v>5197</v>
      </c>
      <c r="B37" s="34" t="s">
        <v>5199</v>
      </c>
      <c r="D37" s="34" t="s">
        <v>2313</v>
      </c>
    </row>
    <row r="38" customFormat="false" ht="15" hidden="false" customHeight="false" outlineLevel="0" collapsed="false">
      <c r="A38" s="34" t="s">
        <v>5200</v>
      </c>
      <c r="B38" s="34" t="s">
        <v>5202</v>
      </c>
      <c r="D38" s="34" t="s">
        <v>2317</v>
      </c>
    </row>
    <row r="39" customFormat="false" ht="15" hidden="false" customHeight="false" outlineLevel="0" collapsed="false">
      <c r="A39" s="34" t="s">
        <v>5266</v>
      </c>
      <c r="B39" s="34" t="s">
        <v>5268</v>
      </c>
      <c r="D39" s="34" t="s">
        <v>2162</v>
      </c>
    </row>
    <row r="40" customFormat="false" ht="15" hidden="false" customHeight="false" outlineLevel="0" collapsed="false">
      <c r="A40" s="34" t="s">
        <v>5269</v>
      </c>
      <c r="B40" s="34" t="s">
        <v>5271</v>
      </c>
      <c r="D40" s="34" t="s">
        <v>2162</v>
      </c>
    </row>
    <row r="41" customFormat="false" ht="15" hidden="false" customHeight="false" outlineLevel="0" collapsed="false">
      <c r="A41" s="34" t="s">
        <v>5272</v>
      </c>
      <c r="B41" s="34" t="s">
        <v>5274</v>
      </c>
      <c r="D41" s="34" t="s">
        <v>2166</v>
      </c>
    </row>
    <row r="42" customFormat="false" ht="15" hidden="false" customHeight="false" outlineLevel="0" collapsed="false">
      <c r="A42" s="34" t="s">
        <v>5295</v>
      </c>
      <c r="B42" s="34" t="s">
        <v>5297</v>
      </c>
      <c r="D42" s="34" t="s">
        <v>2162</v>
      </c>
    </row>
    <row r="43" customFormat="false" ht="15" hidden="false" customHeight="false" outlineLevel="0" collapsed="false">
      <c r="A43" s="34" t="s">
        <v>5298</v>
      </c>
      <c r="B43" s="34" t="s">
        <v>5300</v>
      </c>
      <c r="D43" s="34" t="s">
        <v>2166</v>
      </c>
    </row>
    <row r="44" customFormat="false" ht="15" hidden="false" customHeight="false" outlineLevel="0" collapsed="false">
      <c r="A44" s="34" t="s">
        <v>5325</v>
      </c>
      <c r="B44" s="34" t="s">
        <v>5327</v>
      </c>
      <c r="D44" s="34" t="s">
        <v>5192</v>
      </c>
    </row>
    <row r="45" customFormat="false" ht="15" hidden="false" customHeight="false" outlineLevel="0" collapsed="false">
      <c r="A45" s="34" t="s">
        <v>5328</v>
      </c>
      <c r="B45" s="34" t="s">
        <v>5330</v>
      </c>
      <c r="D45" s="34" t="s">
        <v>5192</v>
      </c>
    </row>
    <row r="46" customFormat="false" ht="15" hidden="false" customHeight="false" outlineLevel="0" collapsed="false">
      <c r="A46" s="34" t="s">
        <v>5331</v>
      </c>
      <c r="B46" s="34" t="s">
        <v>5333</v>
      </c>
      <c r="D46" s="34" t="s">
        <v>5192</v>
      </c>
    </row>
    <row r="47" customFormat="false" ht="15" hidden="false" customHeight="false" outlineLevel="0" collapsed="false">
      <c r="A47" s="34" t="s">
        <v>5334</v>
      </c>
      <c r="B47" s="34" t="s">
        <v>5336</v>
      </c>
      <c r="D47" s="34" t="s">
        <v>5192</v>
      </c>
    </row>
    <row r="48" customFormat="false" ht="15" hidden="false" customHeight="false" outlineLevel="0" collapsed="false">
      <c r="A48" s="34" t="s">
        <v>5337</v>
      </c>
      <c r="B48" s="34" t="s">
        <v>5339</v>
      </c>
      <c r="D48" s="34" t="s">
        <v>5192</v>
      </c>
    </row>
    <row r="49" customFormat="false" ht="15" hidden="false" customHeight="false" outlineLevel="0" collapsed="false">
      <c r="A49" s="34" t="s">
        <v>5340</v>
      </c>
      <c r="B49" s="34" t="s">
        <v>5342</v>
      </c>
      <c r="D49" s="34" t="s">
        <v>5192</v>
      </c>
    </row>
    <row r="50" customFormat="false" ht="15" hidden="false" customHeight="false" outlineLevel="0" collapsed="false">
      <c r="A50" s="34" t="s">
        <v>5343</v>
      </c>
      <c r="B50" s="34" t="s">
        <v>5345</v>
      </c>
      <c r="D50" s="34" t="s">
        <v>5196</v>
      </c>
    </row>
    <row r="51" customFormat="false" ht="15" hidden="false" customHeight="false" outlineLevel="0" collapsed="false">
      <c r="A51" s="34" t="s">
        <v>5346</v>
      </c>
      <c r="B51" s="34" t="s">
        <v>5348</v>
      </c>
      <c r="D51" s="34" t="s">
        <v>5196</v>
      </c>
    </row>
    <row r="52" customFormat="false" ht="15" hidden="false" customHeight="false" outlineLevel="0" collapsed="false">
      <c r="A52" s="34" t="s">
        <v>5349</v>
      </c>
      <c r="B52" s="34" t="s">
        <v>5351</v>
      </c>
      <c r="D52" s="34" t="s">
        <v>5196</v>
      </c>
    </row>
    <row r="53" customFormat="false" ht="15" hidden="false" customHeight="false" outlineLevel="0" collapsed="false">
      <c r="A53" s="34" t="s">
        <v>5352</v>
      </c>
      <c r="B53" s="34" t="s">
        <v>5354</v>
      </c>
      <c r="D53" s="34" t="s">
        <v>5196</v>
      </c>
    </row>
    <row r="54" customFormat="false" ht="15" hidden="false" customHeight="false" outlineLevel="0" collapsed="false">
      <c r="A54" s="34" t="s">
        <v>5355</v>
      </c>
      <c r="B54" s="34" t="s">
        <v>5357</v>
      </c>
      <c r="D54" s="34" t="s">
        <v>2313</v>
      </c>
    </row>
    <row r="55" customFormat="false" ht="15" hidden="false" customHeight="false" outlineLevel="0" collapsed="false">
      <c r="A55" s="34" t="s">
        <v>5358</v>
      </c>
      <c r="B55" s="34" t="s">
        <v>5360</v>
      </c>
      <c r="D55" s="34" t="s">
        <v>2317</v>
      </c>
    </row>
    <row r="56" customFormat="false" ht="15" hidden="false" customHeight="false" outlineLevel="0" collapsed="false">
      <c r="A56" s="34" t="s">
        <v>5373</v>
      </c>
      <c r="B56" s="34" t="s">
        <v>5375</v>
      </c>
      <c r="D56" s="34" t="s">
        <v>5376</v>
      </c>
    </row>
    <row r="57" customFormat="false" ht="15" hidden="false" customHeight="false" outlineLevel="0" collapsed="false">
      <c r="A57" s="34" t="s">
        <v>5385</v>
      </c>
      <c r="B57" s="34" t="s">
        <v>5387</v>
      </c>
      <c r="D57" s="34" t="s">
        <v>5388</v>
      </c>
    </row>
    <row r="58" customFormat="false" ht="15" hidden="false" customHeight="false" outlineLevel="0" collapsed="false">
      <c r="A58" s="34" t="s">
        <v>5513</v>
      </c>
      <c r="B58" s="34" t="s">
        <v>5515</v>
      </c>
      <c r="D58" s="34" t="s">
        <v>2162</v>
      </c>
    </row>
    <row r="59" customFormat="false" ht="15" hidden="false" customHeight="false" outlineLevel="0" collapsed="false">
      <c r="A59" s="34" t="s">
        <v>5516</v>
      </c>
      <c r="B59" s="34" t="s">
        <v>5518</v>
      </c>
      <c r="D59" s="34" t="s">
        <v>2162</v>
      </c>
    </row>
    <row r="60" customFormat="false" ht="15" hidden="false" customHeight="false" outlineLevel="0" collapsed="false">
      <c r="A60" s="34" t="s">
        <v>5519</v>
      </c>
      <c r="B60" s="34" t="s">
        <v>5521</v>
      </c>
      <c r="D60" s="34" t="s">
        <v>2166</v>
      </c>
    </row>
    <row r="61" customFormat="false" ht="15" hidden="false" customHeight="false" outlineLevel="0" collapsed="false">
      <c r="A61" s="34" t="s">
        <v>5522</v>
      </c>
      <c r="B61" s="34" t="s">
        <v>5524</v>
      </c>
      <c r="D61" s="34" t="s">
        <v>2162</v>
      </c>
    </row>
    <row r="62" customFormat="false" ht="15" hidden="false" customHeight="false" outlineLevel="0" collapsed="false">
      <c r="A62" s="34" t="s">
        <v>6750</v>
      </c>
      <c r="B62" s="34" t="s">
        <v>6752</v>
      </c>
      <c r="D62" s="34" t="s">
        <v>6753</v>
      </c>
    </row>
    <row r="63" customFormat="false" ht="15" hidden="false" customHeight="false" outlineLevel="0" collapsed="false">
      <c r="A63" s="34" t="s">
        <v>6755</v>
      </c>
      <c r="B63" s="34" t="s">
        <v>6757</v>
      </c>
      <c r="D63" s="34" t="s">
        <v>6758</v>
      </c>
    </row>
    <row r="64" customFormat="false" ht="15" hidden="false" customHeight="false" outlineLevel="0" collapsed="false">
      <c r="A64" s="34" t="s">
        <v>6759</v>
      </c>
      <c r="B64" s="34" t="s">
        <v>6761</v>
      </c>
      <c r="D64" s="34" t="s">
        <v>6762</v>
      </c>
    </row>
    <row r="65" customFormat="false" ht="15" hidden="false" customHeight="false" outlineLevel="0" collapsed="false">
      <c r="A65" s="34" t="s">
        <v>6763</v>
      </c>
      <c r="B65" s="34" t="s">
        <v>6765</v>
      </c>
      <c r="D65" s="34" t="s">
        <v>6766</v>
      </c>
    </row>
    <row r="66" customFormat="false" ht="15" hidden="false" customHeight="false" outlineLevel="0" collapsed="false">
      <c r="A66" s="34" t="s">
        <v>6767</v>
      </c>
      <c r="B66" s="34" t="s">
        <v>6769</v>
      </c>
      <c r="D66" s="34" t="s">
        <v>6770</v>
      </c>
    </row>
    <row r="67" customFormat="false" ht="15" hidden="false" customHeight="false" outlineLevel="0" collapsed="false">
      <c r="A67" s="34" t="s">
        <v>6771</v>
      </c>
      <c r="B67" s="34" t="s">
        <v>6773</v>
      </c>
      <c r="D67" s="34" t="s">
        <v>6774</v>
      </c>
    </row>
    <row r="68" customFormat="false" ht="15" hidden="false" customHeight="false" outlineLevel="0" collapsed="false">
      <c r="A68" s="34" t="s">
        <v>6775</v>
      </c>
      <c r="B68" s="34" t="s">
        <v>6777</v>
      </c>
      <c r="D68" s="34" t="s">
        <v>6778</v>
      </c>
    </row>
    <row r="69" customFormat="false" ht="15" hidden="false" customHeight="false" outlineLevel="0" collapsed="false">
      <c r="A69" s="34" t="s">
        <v>6779</v>
      </c>
      <c r="B69" s="34" t="s">
        <v>6781</v>
      </c>
      <c r="D69" s="34" t="s">
        <v>6782</v>
      </c>
    </row>
    <row r="70" customFormat="false" ht="15" hidden="false" customHeight="false" outlineLevel="0" collapsed="false">
      <c r="A70" s="34" t="s">
        <v>6783</v>
      </c>
      <c r="B70" s="34" t="s">
        <v>6785</v>
      </c>
      <c r="D70" s="34" t="s">
        <v>6786</v>
      </c>
    </row>
    <row r="71" customFormat="false" ht="15" hidden="false" customHeight="false" outlineLevel="0" collapsed="false">
      <c r="A71" s="34" t="s">
        <v>6787</v>
      </c>
      <c r="B71" s="34" t="s">
        <v>6789</v>
      </c>
      <c r="D71" s="34" t="s">
        <v>6790</v>
      </c>
    </row>
    <row r="72" customFormat="false" ht="15" hidden="false" customHeight="false" outlineLevel="0" collapsed="false">
      <c r="A72" s="34" t="s">
        <v>6791</v>
      </c>
      <c r="B72" s="34" t="s">
        <v>6793</v>
      </c>
      <c r="D72" s="34" t="s">
        <v>6794</v>
      </c>
    </row>
    <row r="74" customFormat="false" ht="15" hidden="false" customHeight="false" outlineLevel="0" collapsed="false">
      <c r="A74" s="13" t="s">
        <v>7292</v>
      </c>
    </row>
    <row r="75" customFormat="false" ht="15" hidden="false" customHeight="false" outlineLevel="0" collapsed="false">
      <c r="A75" s="15" t="s">
        <v>203</v>
      </c>
      <c r="B75" s="15" t="s">
        <v>205</v>
      </c>
      <c r="D75" s="15" t="s">
        <v>7293</v>
      </c>
    </row>
    <row r="76" customFormat="false" ht="15" hidden="false" customHeight="false" outlineLevel="0" collapsed="false">
      <c r="A76" s="34" t="s">
        <v>2159</v>
      </c>
      <c r="B76" s="34" t="s">
        <v>2161</v>
      </c>
      <c r="D76" s="34" t="s">
        <v>7294</v>
      </c>
    </row>
    <row r="77" customFormat="false" ht="15" hidden="false" customHeight="false" outlineLevel="0" collapsed="false">
      <c r="A77" s="34" t="s">
        <v>2163</v>
      </c>
      <c r="B77" s="34" t="s">
        <v>2165</v>
      </c>
      <c r="D77" s="34" t="s">
        <v>7294</v>
      </c>
    </row>
    <row r="78" customFormat="false" ht="15" hidden="false" customHeight="false" outlineLevel="0" collapsed="false">
      <c r="A78" s="34" t="s">
        <v>2219</v>
      </c>
      <c r="B78" s="34" t="s">
        <v>2221</v>
      </c>
      <c r="D78" s="34" t="s">
        <v>7294</v>
      </c>
    </row>
    <row r="79" customFormat="false" ht="15" hidden="false" customHeight="false" outlineLevel="0" collapsed="false">
      <c r="A79" s="34" t="s">
        <v>2223</v>
      </c>
      <c r="B79" s="34" t="s">
        <v>2225</v>
      </c>
      <c r="D79" s="34" t="s">
        <v>7294</v>
      </c>
    </row>
    <row r="80" customFormat="false" ht="15" hidden="false" customHeight="false" outlineLevel="0" collapsed="false">
      <c r="A80" s="34" t="s">
        <v>2310</v>
      </c>
      <c r="B80" s="34" t="s">
        <v>2312</v>
      </c>
      <c r="D80" s="34" t="s">
        <v>7294</v>
      </c>
    </row>
    <row r="81" customFormat="false" ht="15" hidden="false" customHeight="false" outlineLevel="0" collapsed="false">
      <c r="A81" s="34" t="s">
        <v>2314</v>
      </c>
      <c r="B81" s="34" t="s">
        <v>2316</v>
      </c>
      <c r="D81" s="34" t="s">
        <v>7294</v>
      </c>
    </row>
    <row r="82" customFormat="false" ht="15" hidden="false" customHeight="false" outlineLevel="0" collapsed="false">
      <c r="A82" s="34" t="s">
        <v>3796</v>
      </c>
      <c r="B82" s="34" t="s">
        <v>3798</v>
      </c>
      <c r="D82" s="34" t="s">
        <v>7294</v>
      </c>
    </row>
    <row r="83" customFormat="false" ht="15" hidden="false" customHeight="false" outlineLevel="0" collapsed="false">
      <c r="A83" s="34" t="s">
        <v>5034</v>
      </c>
      <c r="B83" s="34" t="s">
        <v>5036</v>
      </c>
      <c r="D83" s="34" t="s">
        <v>7294</v>
      </c>
    </row>
    <row r="84" customFormat="false" ht="15" hidden="false" customHeight="false" outlineLevel="0" collapsed="false">
      <c r="A84" s="34" t="s">
        <v>5037</v>
      </c>
      <c r="B84" s="34" t="s">
        <v>5039</v>
      </c>
      <c r="D84" s="34" t="s">
        <v>7294</v>
      </c>
    </row>
    <row r="85" customFormat="false" ht="15" hidden="false" customHeight="false" outlineLevel="0" collapsed="false">
      <c r="A85" s="34" t="s">
        <v>5085</v>
      </c>
      <c r="B85" s="34" t="s">
        <v>5087</v>
      </c>
      <c r="D85" s="34" t="s">
        <v>7294</v>
      </c>
    </row>
    <row r="86" customFormat="false" ht="15" hidden="false" customHeight="false" outlineLevel="0" collapsed="false">
      <c r="A86" s="34" t="s">
        <v>5088</v>
      </c>
      <c r="B86" s="34" t="s">
        <v>5090</v>
      </c>
      <c r="D86" s="34" t="s">
        <v>7294</v>
      </c>
    </row>
    <row r="87" customFormat="false" ht="15" hidden="false" customHeight="false" outlineLevel="0" collapsed="false">
      <c r="A87" s="34" t="s">
        <v>5125</v>
      </c>
      <c r="B87" s="34" t="s">
        <v>5127</v>
      </c>
      <c r="D87" s="34" t="s">
        <v>7294</v>
      </c>
    </row>
    <row r="88" customFormat="false" ht="15" hidden="false" customHeight="false" outlineLevel="0" collapsed="false">
      <c r="A88" s="34" t="s">
        <v>5128</v>
      </c>
      <c r="B88" s="34" t="s">
        <v>5130</v>
      </c>
      <c r="D88" s="34" t="s">
        <v>7294</v>
      </c>
    </row>
    <row r="89" customFormat="false" ht="15" hidden="false" customHeight="false" outlineLevel="0" collapsed="false">
      <c r="A89" s="34" t="s">
        <v>5197</v>
      </c>
      <c r="B89" s="34" t="s">
        <v>5199</v>
      </c>
      <c r="D89" s="34" t="s">
        <v>7294</v>
      </c>
    </row>
    <row r="90" customFormat="false" ht="15" hidden="false" customHeight="false" outlineLevel="0" collapsed="false">
      <c r="A90" s="34" t="s">
        <v>5200</v>
      </c>
      <c r="B90" s="34" t="s">
        <v>5202</v>
      </c>
      <c r="D90" s="34" t="s">
        <v>7294</v>
      </c>
    </row>
    <row r="91" customFormat="false" ht="15" hidden="false" customHeight="false" outlineLevel="0" collapsed="false">
      <c r="A91" s="34" t="s">
        <v>5266</v>
      </c>
      <c r="B91" s="34" t="s">
        <v>5268</v>
      </c>
      <c r="D91" s="34" t="s">
        <v>7294</v>
      </c>
    </row>
    <row r="92" customFormat="false" ht="15" hidden="false" customHeight="false" outlineLevel="0" collapsed="false">
      <c r="A92" s="34" t="s">
        <v>5269</v>
      </c>
      <c r="B92" s="34" t="s">
        <v>5271</v>
      </c>
      <c r="D92" s="34" t="s">
        <v>7294</v>
      </c>
    </row>
    <row r="93" customFormat="false" ht="15" hidden="false" customHeight="false" outlineLevel="0" collapsed="false">
      <c r="A93" s="34" t="s">
        <v>5272</v>
      </c>
      <c r="B93" s="34" t="s">
        <v>5274</v>
      </c>
      <c r="D93" s="34" t="s">
        <v>7294</v>
      </c>
    </row>
    <row r="94" customFormat="false" ht="15" hidden="false" customHeight="false" outlineLevel="0" collapsed="false">
      <c r="A94" s="34" t="s">
        <v>5295</v>
      </c>
      <c r="B94" s="34" t="s">
        <v>5297</v>
      </c>
      <c r="D94" s="34" t="s">
        <v>7294</v>
      </c>
    </row>
    <row r="95" customFormat="false" ht="15" hidden="false" customHeight="false" outlineLevel="0" collapsed="false">
      <c r="A95" s="34" t="s">
        <v>5298</v>
      </c>
      <c r="B95" s="34" t="s">
        <v>5300</v>
      </c>
      <c r="D95" s="34" t="s">
        <v>7294</v>
      </c>
    </row>
    <row r="96" customFormat="false" ht="15" hidden="false" customHeight="false" outlineLevel="0" collapsed="false">
      <c r="A96" s="34" t="s">
        <v>5355</v>
      </c>
      <c r="B96" s="34" t="s">
        <v>5357</v>
      </c>
      <c r="D96" s="34" t="s">
        <v>7294</v>
      </c>
    </row>
    <row r="97" customFormat="false" ht="15" hidden="false" customHeight="false" outlineLevel="0" collapsed="false">
      <c r="A97" s="34" t="s">
        <v>5358</v>
      </c>
      <c r="B97" s="34" t="s">
        <v>5360</v>
      </c>
      <c r="D97" s="34" t="s">
        <v>7294</v>
      </c>
    </row>
    <row r="98" customFormat="false" ht="15" hidden="false" customHeight="false" outlineLevel="0" collapsed="false">
      <c r="A98" s="34" t="s">
        <v>5385</v>
      </c>
      <c r="B98" s="34" t="s">
        <v>5387</v>
      </c>
      <c r="D98" s="34" t="s">
        <v>7294</v>
      </c>
    </row>
    <row r="99" customFormat="false" ht="15" hidden="false" customHeight="false" outlineLevel="0" collapsed="false">
      <c r="A99" s="34" t="s">
        <v>5513</v>
      </c>
      <c r="B99" s="34" t="s">
        <v>5515</v>
      </c>
      <c r="D99" s="34" t="s">
        <v>7294</v>
      </c>
    </row>
    <row r="100" customFormat="false" ht="15" hidden="false" customHeight="false" outlineLevel="0" collapsed="false">
      <c r="A100" s="34" t="s">
        <v>5516</v>
      </c>
      <c r="B100" s="34" t="s">
        <v>5518</v>
      </c>
      <c r="D100" s="34" t="s">
        <v>7294</v>
      </c>
    </row>
    <row r="101" customFormat="false" ht="15" hidden="false" customHeight="false" outlineLevel="0" collapsed="false">
      <c r="A101" s="34" t="s">
        <v>5519</v>
      </c>
      <c r="B101" s="34" t="s">
        <v>5521</v>
      </c>
      <c r="D101" s="34" t="s">
        <v>7294</v>
      </c>
    </row>
    <row r="102" customFormat="false" ht="15" hidden="false" customHeight="false" outlineLevel="0" collapsed="false">
      <c r="A102" s="34" t="s">
        <v>5522</v>
      </c>
      <c r="B102" s="34" t="s">
        <v>5524</v>
      </c>
      <c r="D102" s="34" t="s">
        <v>7294</v>
      </c>
    </row>
  </sheetData>
  <mergeCells count="4"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M5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4" style="0" width="12"/>
    <col collapsed="false" customWidth="true" hidden="false" outlineLevel="0" max="11" min="5" style="0" width="14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7" min="17" style="0" width="34"/>
    <col collapsed="false" customWidth="true" hidden="false" outlineLevel="0" max="18" min="18" style="0" width="20"/>
    <col collapsed="false" customWidth="true" hidden="false" outlineLevel="0" max="19" min="19" style="0" width="22"/>
    <col collapsed="false" customWidth="true" hidden="false" outlineLevel="0" max="21" min="20" style="0" width="12"/>
    <col collapsed="false" customWidth="true" hidden="false" outlineLevel="0" max="23" min="23" style="0" width="6"/>
    <col collapsed="false" customWidth="true" hidden="false" outlineLevel="0" max="24" min="24" style="0" width="34"/>
    <col collapsed="false" customWidth="true" hidden="false" outlineLevel="0" max="25" min="25" style="0" width="12"/>
    <col collapsed="false" customWidth="true" hidden="false" outlineLevel="0" max="27" min="27" style="0" width="14"/>
    <col collapsed="false" customWidth="true" hidden="false" outlineLevel="0" max="29" min="28" style="0" width="12"/>
    <col collapsed="false" customWidth="true" hidden="false" outlineLevel="0" max="31" min="31" style="0" width="6"/>
    <col collapsed="false" customWidth="true" hidden="false" outlineLevel="0" max="32" min="32" style="0" width="16"/>
    <col collapsed="false" customWidth="true" hidden="false" outlineLevel="0" max="33" min="33" style="0" width="12"/>
    <col collapsed="false" customWidth="true" hidden="false" outlineLevel="0" max="35" min="35" style="0" width="30"/>
    <col collapsed="false" customWidth="true" hidden="false" outlineLevel="0" max="36" min="36" style="0" width="12"/>
    <col collapsed="false" customWidth="true" hidden="false" outlineLevel="0" max="38" min="38" style="0" width="24"/>
    <col collapsed="false" customWidth="true" hidden="false" outlineLevel="0" max="39" min="39" style="0" width="12"/>
  </cols>
  <sheetData>
    <row r="1" customFormat="false" ht="15" hidden="false" customHeight="false" outlineLevel="0" collapsed="false">
      <c r="A1" s="13" t="s">
        <v>7295</v>
      </c>
      <c r="H1" s="12" t="s">
        <v>7296</v>
      </c>
      <c r="I1" s="34" t="str">
        <f aca="false">IF(Dashboard!$C$4="(Todos)","*",Dashboard!$C$4)</f>
        <v>*</v>
      </c>
    </row>
    <row r="3" customFormat="false" ht="23.85" hidden="false" customHeight="false" outlineLevel="0" collapsed="false">
      <c r="A3" s="15" t="s">
        <v>106</v>
      </c>
      <c r="B3" s="15" t="s">
        <v>7166</v>
      </c>
      <c r="D3" s="15" t="s">
        <v>7297</v>
      </c>
      <c r="E3" s="15" t="s">
        <v>34</v>
      </c>
      <c r="F3" s="15" t="s">
        <v>55</v>
      </c>
      <c r="G3" s="15" t="s">
        <v>61</v>
      </c>
      <c r="H3" s="15" t="s">
        <v>73</v>
      </c>
      <c r="I3" s="15" t="s">
        <v>86</v>
      </c>
      <c r="J3" s="15" t="s">
        <v>7298</v>
      </c>
      <c r="K3" s="15" t="s">
        <v>101</v>
      </c>
      <c r="M3" s="15" t="s">
        <v>22</v>
      </c>
      <c r="N3" s="15" t="s">
        <v>7166</v>
      </c>
      <c r="O3" s="15" t="s">
        <v>7299</v>
      </c>
      <c r="Q3" s="15" t="s">
        <v>7300</v>
      </c>
      <c r="R3" s="15" t="s">
        <v>22</v>
      </c>
      <c r="S3" s="15" t="s">
        <v>23</v>
      </c>
      <c r="T3" s="15" t="s">
        <v>7166</v>
      </c>
      <c r="U3" s="15" t="s">
        <v>7301</v>
      </c>
      <c r="W3" s="15" t="s">
        <v>7302</v>
      </c>
      <c r="X3" s="15" t="s">
        <v>7303</v>
      </c>
      <c r="Y3" s="15" t="s">
        <v>7166</v>
      </c>
      <c r="AA3" s="15" t="s">
        <v>18</v>
      </c>
      <c r="AB3" s="15" t="s">
        <v>7166</v>
      </c>
      <c r="AC3" s="15" t="s">
        <v>7301</v>
      </c>
      <c r="AE3" s="15" t="s">
        <v>7302</v>
      </c>
      <c r="AF3" s="15" t="s">
        <v>7304</v>
      </c>
      <c r="AG3" s="15" t="s">
        <v>7166</v>
      </c>
      <c r="AI3" s="15" t="s">
        <v>219</v>
      </c>
      <c r="AJ3" s="15" t="s">
        <v>7166</v>
      </c>
      <c r="AL3" s="15" t="s">
        <v>21</v>
      </c>
      <c r="AM3" s="15" t="s">
        <v>7166</v>
      </c>
    </row>
    <row r="4" customFormat="false" ht="15" hidden="false" customHeight="false" outlineLevel="0" collapsed="false">
      <c r="A4" s="34" t="s">
        <v>24</v>
      </c>
      <c r="B4" s="38" t="n">
        <f aca="false">COUNTIF(d_Sector,A4)</f>
        <v>232</v>
      </c>
      <c r="D4" s="34" t="s">
        <v>24</v>
      </c>
      <c r="E4" s="38" t="n">
        <f aca="false">COUNTIFS(d_Sector,$D4,d_Marca,E$3)</f>
        <v>214</v>
      </c>
      <c r="F4" s="38" t="n">
        <f aca="false">COUNTIFS(d_Sector,$D4,d_Marca,F$3)</f>
        <v>10</v>
      </c>
      <c r="G4" s="38" t="n">
        <f aca="false">COUNTIFS(d_Sector,$D4,d_Marca,G$3)</f>
        <v>0</v>
      </c>
      <c r="H4" s="38" t="n">
        <f aca="false">COUNTIFS(d_Sector,$D4,d_Marca,H$3)</f>
        <v>0</v>
      </c>
      <c r="I4" s="38" t="n">
        <f aca="false">COUNTIFS(d_Sector,$D4,d_Marca,I$3)</f>
        <v>0</v>
      </c>
      <c r="J4" s="38" t="n">
        <f aca="false">COUNTIF(d_Sector,$D4)-SUM(E4:I4)-K4</f>
        <v>8</v>
      </c>
      <c r="K4" s="38" t="n">
        <f aca="false">COUNTIFS(d_Sector,$D4,d_Marca,"SIN DATO")</f>
        <v>0</v>
      </c>
      <c r="M4" s="34" t="s">
        <v>34</v>
      </c>
      <c r="N4" s="38" t="n">
        <f aca="false">COUNTIFS(d_Marca,M4,d_Sector,crit_sector)</f>
        <v>816</v>
      </c>
      <c r="O4" s="43" t="n">
        <f aca="false">IF(SUM($N$4:$N$13)=0,0,N4/SUM($N$4:$N$13))</f>
        <v>0.416326530612245</v>
      </c>
      <c r="Q4" s="34" t="str">
        <f aca="false">R4&amp;" – "&amp;S4</f>
        <v>ABB – 1AFFAEAGNEC5BNA11G</v>
      </c>
      <c r="R4" s="34" t="s">
        <v>34</v>
      </c>
      <c r="S4" s="34" t="s">
        <v>36</v>
      </c>
      <c r="T4" s="38" t="n">
        <f aca="false">COUNTIFS(d_Marca,R4,d_Modelo,S4,d_Sector,crit_sector)</f>
        <v>184</v>
      </c>
      <c r="U4" s="34" t="n">
        <f aca="false">T4+(1000-ROW())/1000000</f>
        <v>184.000996</v>
      </c>
      <c r="W4" s="34" t="n">
        <v>1</v>
      </c>
      <c r="X4" s="34" t="str">
        <f aca="false">IF(Y4=0,"",INDEX($Q$4:$Q$57,MATCH(LARGE($U$4:$U$57,W4),$U$4:$U$57,0)))</f>
        <v>GENERAL ELECTRIC – MULTILIN</v>
      </c>
      <c r="Y4" s="38" t="n">
        <f aca="false">IFERROR(INDEX($T$4:$T$57,MATCH(LARGE($U$4:$U$57,W4),$U$4:$U$57,0)),0)</f>
        <v>286</v>
      </c>
      <c r="AA4" s="34" t="s">
        <v>108</v>
      </c>
      <c r="AB4" s="38" t="n">
        <f aca="false">COUNTIFS(d_Subest,AA4,d_Sector,crit_sector)</f>
        <v>68</v>
      </c>
      <c r="AC4" s="34" t="n">
        <f aca="false">AB4+(1000-ROW())/1000000</f>
        <v>68.000996</v>
      </c>
      <c r="AE4" s="34" t="n">
        <v>1</v>
      </c>
      <c r="AF4" s="34" t="str">
        <f aca="false">IF(AG4=0,"",INDEX($AA$4:$AA$43,MATCH(LARGE($AC$4:$AC$43,AE4),$AC$4:$AC$43,0)))</f>
        <v>SEP-01</v>
      </c>
      <c r="AG4" s="38" t="n">
        <f aca="false">IFERROR(INDEX($AB$4:$AB$43,MATCH(LARGE($AC$4:$AC$43,AE4),$AC$4:$AC$43,0)),0)</f>
        <v>186</v>
      </c>
      <c r="AI4" s="34" t="s">
        <v>7180</v>
      </c>
      <c r="AJ4" s="38" t="n">
        <f aca="false">COUNTIFS(d_Funcion,AI4,d_Sector,crit_sector)</f>
        <v>1133</v>
      </c>
      <c r="AL4" s="34" t="s">
        <v>7179</v>
      </c>
      <c r="AM4" s="38" t="n">
        <f aca="false">COUNTIFS(d_Tipo,AL4,d_Sector,crit_sector)</f>
        <v>1416</v>
      </c>
    </row>
    <row r="5" customFormat="false" ht="15" hidden="false" customHeight="false" outlineLevel="0" collapsed="false">
      <c r="A5" s="34" t="s">
        <v>25</v>
      </c>
      <c r="B5" s="38" t="n">
        <f aca="false">COUNTIF(d_Sector,A5)</f>
        <v>143</v>
      </c>
      <c r="D5" s="34" t="s">
        <v>25</v>
      </c>
      <c r="E5" s="38" t="n">
        <f aca="false">COUNTIFS(d_Sector,$D5,d_Marca,E$3)</f>
        <v>123</v>
      </c>
      <c r="F5" s="38" t="n">
        <f aca="false">COUNTIFS(d_Sector,$D5,d_Marca,F$3)</f>
        <v>20</v>
      </c>
      <c r="G5" s="38" t="n">
        <f aca="false">COUNTIFS(d_Sector,$D5,d_Marca,G$3)</f>
        <v>0</v>
      </c>
      <c r="H5" s="38" t="n">
        <f aca="false">COUNTIFS(d_Sector,$D5,d_Marca,H$3)</f>
        <v>0</v>
      </c>
      <c r="I5" s="38" t="n">
        <f aca="false">COUNTIFS(d_Sector,$D5,d_Marca,I$3)</f>
        <v>0</v>
      </c>
      <c r="J5" s="38" t="n">
        <f aca="false">COUNTIF(d_Sector,$D5)-SUM(E5:I5)-K5</f>
        <v>0</v>
      </c>
      <c r="K5" s="38" t="n">
        <f aca="false">COUNTIFS(d_Sector,$D5,d_Marca,"SIN DATO")</f>
        <v>0</v>
      </c>
      <c r="M5" s="34" t="s">
        <v>55</v>
      </c>
      <c r="N5" s="38" t="n">
        <f aca="false">COUNTIFS(d_Marca,M5,d_Sector,crit_sector)</f>
        <v>345</v>
      </c>
      <c r="O5" s="43" t="n">
        <f aca="false">IF(SUM($N$4:$N$13)=0,0,N5/SUM($N$4:$N$13))</f>
        <v>0.176020408163265</v>
      </c>
      <c r="Q5" s="34" t="str">
        <f aca="false">R5&amp;" – "&amp;S5</f>
        <v>ABB – REF615A_1G</v>
      </c>
      <c r="R5" s="34" t="s">
        <v>34</v>
      </c>
      <c r="S5" s="34" t="s">
        <v>37</v>
      </c>
      <c r="T5" s="38" t="n">
        <f aca="false">COUNTIFS(d_Marca,R5,d_Modelo,S5,d_Sector,crit_sector)</f>
        <v>167</v>
      </c>
      <c r="U5" s="34" t="n">
        <f aca="false">T5+(1000-ROW())/1000000</f>
        <v>167.000995</v>
      </c>
      <c r="W5" s="34" t="n">
        <v>2</v>
      </c>
      <c r="X5" s="34" t="str">
        <f aca="false">IF(Y5=0,"",INDEX($Q$4:$Q$57,MATCH(LARGE($U$4:$U$57,W5),$U$4:$U$57,0)))</f>
        <v>ABB – 1AFFAEAGNEC5BNA11G</v>
      </c>
      <c r="Y5" s="38" t="n">
        <f aca="false">IFERROR(INDEX($T$4:$T$57,MATCH(LARGE($U$4:$U$57,W5),$U$4:$U$57,0)),0)</f>
        <v>184</v>
      </c>
      <c r="AA5" s="34" t="s">
        <v>110</v>
      </c>
      <c r="AB5" s="38" t="n">
        <f aca="false">COUNTIFS(d_Subest,AA5,d_Sector,crit_sector)</f>
        <v>53</v>
      </c>
      <c r="AC5" s="34" t="n">
        <f aca="false">AB5+(1000-ROW())/1000000</f>
        <v>53.000995</v>
      </c>
      <c r="AE5" s="34" t="n">
        <v>2</v>
      </c>
      <c r="AF5" s="34" t="str">
        <f aca="false">IF(AG5=0,"",INDEX($AA$4:$AA$43,MATCH(LARGE($AC$4:$AC$43,AE5),$AC$4:$AC$43,0)))</f>
        <v>SEP-02</v>
      </c>
      <c r="AG5" s="38" t="n">
        <f aca="false">IFERROR(INDEX($AB$4:$AB$43,MATCH(LARGE($AC$4:$AC$43,AE5),$AC$4:$AC$43,0)),0)</f>
        <v>160</v>
      </c>
      <c r="AI5" s="34" t="s">
        <v>7189</v>
      </c>
      <c r="AJ5" s="38" t="n">
        <f aca="false">COUNTIFS(d_Funcion,AI5,d_Sector,crit_sector)</f>
        <v>420</v>
      </c>
      <c r="AL5" s="34" t="s">
        <v>7183</v>
      </c>
      <c r="AM5" s="38" t="n">
        <f aca="false">COUNTIFS(d_Tipo,AL5,d_Sector,crit_sector)</f>
        <v>544</v>
      </c>
    </row>
    <row r="6" customFormat="false" ht="15" hidden="false" customHeight="false" outlineLevel="0" collapsed="false">
      <c r="A6" s="34" t="s">
        <v>26</v>
      </c>
      <c r="B6" s="38" t="n">
        <f aca="false">COUNTIF(d_Sector,A6)</f>
        <v>124</v>
      </c>
      <c r="D6" s="34" t="s">
        <v>26</v>
      </c>
      <c r="E6" s="38" t="n">
        <f aca="false">COUNTIFS(d_Sector,$D6,d_Marca,E$3)</f>
        <v>48</v>
      </c>
      <c r="F6" s="38" t="n">
        <f aca="false">COUNTIFS(d_Sector,$D6,d_Marca,F$3)</f>
        <v>26</v>
      </c>
      <c r="G6" s="38" t="n">
        <f aca="false">COUNTIFS(d_Sector,$D6,d_Marca,G$3)</f>
        <v>48</v>
      </c>
      <c r="H6" s="38" t="n">
        <f aca="false">COUNTIFS(d_Sector,$D6,d_Marca,H$3)</f>
        <v>2</v>
      </c>
      <c r="I6" s="38" t="n">
        <f aca="false">COUNTIFS(d_Sector,$D6,d_Marca,I$3)</f>
        <v>0</v>
      </c>
      <c r="J6" s="38" t="n">
        <f aca="false">COUNTIF(d_Sector,$D6)-SUM(E6:I6)-K6</f>
        <v>0</v>
      </c>
      <c r="K6" s="38" t="n">
        <f aca="false">COUNTIFS(d_Sector,$D6,d_Marca,"SIN DATO")</f>
        <v>0</v>
      </c>
      <c r="M6" s="34" t="s">
        <v>61</v>
      </c>
      <c r="N6" s="38" t="n">
        <f aca="false">COUNTIFS(d_Marca,M6,d_Sector,crit_sector)</f>
        <v>404</v>
      </c>
      <c r="O6" s="43" t="n">
        <f aca="false">IF(SUM($N$4:$N$13)=0,0,N6/SUM($N$4:$N$13))</f>
        <v>0.206122448979592</v>
      </c>
      <c r="Q6" s="34" t="str">
        <f aca="false">R6&amp;" – "&amp;S6</f>
        <v>ABB – 1AMEBCADNEC5BNN11G</v>
      </c>
      <c r="R6" s="34" t="s">
        <v>34</v>
      </c>
      <c r="S6" s="34" t="s">
        <v>38</v>
      </c>
      <c r="T6" s="38" t="n">
        <f aca="false">COUNTIFS(d_Marca,R6,d_Modelo,S6,d_Sector,crit_sector)</f>
        <v>85</v>
      </c>
      <c r="U6" s="34" t="n">
        <f aca="false">T6+(1000-ROW())/1000000</f>
        <v>85.000994</v>
      </c>
      <c r="W6" s="34" t="n">
        <v>3</v>
      </c>
      <c r="X6" s="34" t="str">
        <f aca="false">IF(Y6=0,"",INDEX($Q$4:$Q$57,MATCH(LARGE($U$4:$U$57,W6),$U$4:$U$57,0)))</f>
        <v>SEL – SEL-735</v>
      </c>
      <c r="Y6" s="38" t="n">
        <f aca="false">IFERROR(INDEX($T$4:$T$57,MATCH(LARGE($U$4:$U$57,W6),$U$4:$U$57,0)),0)</f>
        <v>174</v>
      </c>
      <c r="AA6" s="34" t="s">
        <v>112</v>
      </c>
      <c r="AB6" s="38" t="n">
        <f aca="false">COUNTIFS(d_Subest,AA6,d_Sector,crit_sector)</f>
        <v>46</v>
      </c>
      <c r="AC6" s="34" t="n">
        <f aca="false">AB6+(1000-ROW())/1000000</f>
        <v>46.000994</v>
      </c>
      <c r="AE6" s="34" t="n">
        <v>3</v>
      </c>
      <c r="AF6" s="34" t="str">
        <f aca="false">IF(AG6=0,"",INDEX($AA$4:$AA$43,MATCH(LARGE($AC$4:$AC$43,AE6),$AC$4:$AC$43,0)))</f>
        <v>SE-12</v>
      </c>
      <c r="AG6" s="38" t="n">
        <f aca="false">IFERROR(INDEX($AB$4:$AB$43,MATCH(LARGE($AC$4:$AC$43,AE6),$AC$4:$AC$43,0)),0)</f>
        <v>68</v>
      </c>
      <c r="AI6" s="34" t="s">
        <v>7176</v>
      </c>
      <c r="AJ6" s="38" t="n">
        <f aca="false">COUNTIFS(d_Funcion,AI6,d_Sector,crit_sector)</f>
        <v>274</v>
      </c>
    </row>
    <row r="7" customFormat="false" ht="15" hidden="false" customHeight="false" outlineLevel="0" collapsed="false">
      <c r="A7" s="34" t="s">
        <v>27</v>
      </c>
      <c r="B7" s="38" t="n">
        <f aca="false">COUNTIF(d_Sector,A7)</f>
        <v>211</v>
      </c>
      <c r="D7" s="34" t="s">
        <v>27</v>
      </c>
      <c r="E7" s="38" t="n">
        <f aca="false">COUNTIFS(d_Sector,$D7,d_Marca,E$3)</f>
        <v>23</v>
      </c>
      <c r="F7" s="38" t="n">
        <f aca="false">COUNTIFS(d_Sector,$D7,d_Marca,F$3)</f>
        <v>50</v>
      </c>
      <c r="G7" s="38" t="n">
        <f aca="false">COUNTIFS(d_Sector,$D7,d_Marca,G$3)</f>
        <v>132</v>
      </c>
      <c r="H7" s="38" t="n">
        <f aca="false">COUNTIFS(d_Sector,$D7,d_Marca,H$3)</f>
        <v>6</v>
      </c>
      <c r="I7" s="38" t="n">
        <f aca="false">COUNTIFS(d_Sector,$D7,d_Marca,I$3)</f>
        <v>0</v>
      </c>
      <c r="J7" s="38" t="n">
        <f aca="false">COUNTIF(d_Sector,$D7)-SUM(E7:I7)-K7</f>
        <v>0</v>
      </c>
      <c r="K7" s="38" t="n">
        <f aca="false">COUNTIFS(d_Sector,$D7,d_Marca,"SIN DATO")</f>
        <v>0</v>
      </c>
      <c r="M7" s="34" t="s">
        <v>73</v>
      </c>
      <c r="N7" s="38" t="n">
        <f aca="false">COUNTIFS(d_Marca,M7,d_Sector,crit_sector)</f>
        <v>282</v>
      </c>
      <c r="O7" s="43" t="n">
        <f aca="false">IF(SUM($N$4:$N$13)=0,0,N7/SUM($N$4:$N$13))</f>
        <v>0.143877551020408</v>
      </c>
      <c r="Q7" s="34" t="str">
        <f aca="false">R7&amp;" – "&amp;S7</f>
        <v>ABB – REF</v>
      </c>
      <c r="R7" s="34" t="s">
        <v>34</v>
      </c>
      <c r="S7" s="34" t="s">
        <v>39</v>
      </c>
      <c r="T7" s="38" t="n">
        <f aca="false">COUNTIFS(d_Marca,R7,d_Modelo,S7,d_Sector,crit_sector)</f>
        <v>67</v>
      </c>
      <c r="U7" s="34" t="n">
        <f aca="false">T7+(1000-ROW())/1000000</f>
        <v>67.000993</v>
      </c>
      <c r="W7" s="34" t="n">
        <v>4</v>
      </c>
      <c r="X7" s="34" t="str">
        <f aca="false">IF(Y7=0,"",INDEX($Q$4:$Q$57,MATCH(LARGE($U$4:$U$57,W7),$U$4:$U$57,0)))</f>
        <v>ABB – REF615A_1G</v>
      </c>
      <c r="Y7" s="38" t="n">
        <f aca="false">IFERROR(INDEX($T$4:$T$57,MATCH(LARGE($U$4:$U$57,W7),$U$4:$U$57,0)),0)</f>
        <v>167</v>
      </c>
      <c r="AA7" s="34" t="s">
        <v>114</v>
      </c>
      <c r="AB7" s="38" t="n">
        <f aca="false">COUNTIFS(d_Subest,AA7,d_Sector,crit_sector)</f>
        <v>38</v>
      </c>
      <c r="AC7" s="34" t="n">
        <f aca="false">AB7+(1000-ROW())/1000000</f>
        <v>38.000993</v>
      </c>
      <c r="AE7" s="34" t="n">
        <v>4</v>
      </c>
      <c r="AF7" s="34" t="str">
        <f aca="false">IF(AG7=0,"",INDEX($AA$4:$AA$43,MATCH(LARGE($AC$4:$AC$43,AE7),$AC$4:$AC$43,0)))</f>
        <v>SE-02</v>
      </c>
      <c r="AG7" s="38" t="n">
        <f aca="false">IFERROR(INDEX($AB$4:$AB$43,MATCH(LARGE($AC$4:$AC$43,AE7),$AC$4:$AC$43,0)),0)</f>
        <v>61</v>
      </c>
      <c r="AI7" s="34" t="s">
        <v>7186</v>
      </c>
      <c r="AJ7" s="38" t="n">
        <f aca="false">COUNTIFS(d_Funcion,AI7,d_Sector,crit_sector)</f>
        <v>39</v>
      </c>
    </row>
    <row r="8" customFormat="false" ht="15" hidden="false" customHeight="false" outlineLevel="0" collapsed="false">
      <c r="A8" s="34" t="s">
        <v>28</v>
      </c>
      <c r="B8" s="38" t="n">
        <f aca="false">COUNTIF(d_Sector,A8)</f>
        <v>203</v>
      </c>
      <c r="D8" s="34" t="s">
        <v>28</v>
      </c>
      <c r="E8" s="38" t="n">
        <f aca="false">COUNTIFS(d_Sector,$D8,d_Marca,E$3)</f>
        <v>36</v>
      </c>
      <c r="F8" s="38" t="n">
        <f aca="false">COUNTIFS(d_Sector,$D8,d_Marca,F$3)</f>
        <v>51</v>
      </c>
      <c r="G8" s="38" t="n">
        <f aca="false">COUNTIFS(d_Sector,$D8,d_Marca,G$3)</f>
        <v>104</v>
      </c>
      <c r="H8" s="38" t="n">
        <f aca="false">COUNTIFS(d_Sector,$D8,d_Marca,H$3)</f>
        <v>6</v>
      </c>
      <c r="I8" s="38" t="n">
        <f aca="false">COUNTIFS(d_Sector,$D8,d_Marca,I$3)</f>
        <v>0</v>
      </c>
      <c r="J8" s="38" t="n">
        <f aca="false">COUNTIF(d_Sector,$D8)-SUM(E8:I8)-K8</f>
        <v>6</v>
      </c>
      <c r="K8" s="38" t="n">
        <f aca="false">COUNTIFS(d_Sector,$D8,d_Marca,"SIN DATO")</f>
        <v>0</v>
      </c>
      <c r="M8" s="34" t="s">
        <v>86</v>
      </c>
      <c r="N8" s="38" t="n">
        <f aca="false">COUNTIFS(d_Marca,M8,d_Sector,crit_sector)</f>
        <v>40</v>
      </c>
      <c r="O8" s="43" t="n">
        <f aca="false">IF(SUM($N$4:$N$13)=0,0,N8/SUM($N$4:$N$13))</f>
        <v>0.0204081632653061</v>
      </c>
      <c r="Q8" s="34" t="str">
        <f aca="false">R8&amp;" – "&amp;S8</f>
        <v>ABB – REA 101</v>
      </c>
      <c r="R8" s="34" t="s">
        <v>34</v>
      </c>
      <c r="S8" s="34" t="s">
        <v>40</v>
      </c>
      <c r="T8" s="38" t="n">
        <f aca="false">COUNTIFS(d_Marca,R8,d_Modelo,S8,d_Sector,crit_sector)</f>
        <v>59</v>
      </c>
      <c r="U8" s="34" t="n">
        <f aca="false">T8+(1000-ROW())/1000000</f>
        <v>59.000992</v>
      </c>
      <c r="W8" s="34" t="n">
        <v>5</v>
      </c>
      <c r="X8" s="34" t="str">
        <f aca="false">IF(Y8=0,"",INDEX($Q$4:$Q$57,MATCH(LARGE($U$4:$U$57,W8),$U$4:$U$57,0)))</f>
        <v>SIEMENS – REYROLLE</v>
      </c>
      <c r="Y8" s="38" t="n">
        <f aca="false">IFERROR(INDEX($T$4:$T$57,MATCH(LARGE($U$4:$U$57,W8),$U$4:$U$57,0)),0)</f>
        <v>135</v>
      </c>
      <c r="AA8" s="34" t="s">
        <v>115</v>
      </c>
      <c r="AB8" s="38" t="n">
        <f aca="false">COUNTIFS(d_Subest,AA8,d_Sector,crit_sector)</f>
        <v>45</v>
      </c>
      <c r="AC8" s="34" t="n">
        <f aca="false">AB8+(1000-ROW())/1000000</f>
        <v>45.000992</v>
      </c>
      <c r="AE8" s="34" t="n">
        <v>5</v>
      </c>
      <c r="AF8" s="34" t="str">
        <f aca="false">IF(AG8=0,"",INDEX($AA$4:$AA$43,MATCH(LARGE($AC$4:$AC$43,AE8),$AC$4:$AC$43,0)))</f>
        <v>SE-12-1</v>
      </c>
      <c r="AG8" s="38" t="n">
        <f aca="false">IFERROR(INDEX($AB$4:$AB$43,MATCH(LARGE($AC$4:$AC$43,AE8),$AC$4:$AC$43,0)),0)</f>
        <v>53</v>
      </c>
      <c r="AI8" s="34" t="s">
        <v>7172</v>
      </c>
      <c r="AJ8" s="38" t="n">
        <f aca="false">COUNTIFS(d_Funcion,AI8,d_Sector,crit_sector)</f>
        <v>21</v>
      </c>
    </row>
    <row r="9" customFormat="false" ht="15" hidden="false" customHeight="false" outlineLevel="0" collapsed="false">
      <c r="A9" s="34" t="s">
        <v>29</v>
      </c>
      <c r="B9" s="38" t="n">
        <f aca="false">COUNTIF(d_Sector,A9)</f>
        <v>236</v>
      </c>
      <c r="D9" s="34" t="s">
        <v>29</v>
      </c>
      <c r="E9" s="38" t="n">
        <f aca="false">COUNTIFS(d_Sector,$D9,d_Marca,E$3)</f>
        <v>132</v>
      </c>
      <c r="F9" s="38" t="n">
        <f aca="false">COUNTIFS(d_Sector,$D9,d_Marca,F$3)</f>
        <v>51</v>
      </c>
      <c r="G9" s="38" t="n">
        <f aca="false">COUNTIFS(d_Sector,$D9,d_Marca,G$3)</f>
        <v>26</v>
      </c>
      <c r="H9" s="38" t="n">
        <f aca="false">COUNTIFS(d_Sector,$D9,d_Marca,H$3)</f>
        <v>0</v>
      </c>
      <c r="I9" s="38" t="n">
        <f aca="false">COUNTIFS(d_Sector,$D9,d_Marca,I$3)</f>
        <v>0</v>
      </c>
      <c r="J9" s="38" t="n">
        <f aca="false">COUNTIF(d_Sector,$D9)-SUM(E9:I9)-K9</f>
        <v>0</v>
      </c>
      <c r="K9" s="38" t="n">
        <f aca="false">COUNTIFS(d_Sector,$D9,d_Marca,"SIN DATO")</f>
        <v>27</v>
      </c>
      <c r="M9" s="34" t="s">
        <v>90</v>
      </c>
      <c r="N9" s="38" t="n">
        <f aca="false">COUNTIFS(d_Marca,M9,d_Sector,crit_sector)</f>
        <v>8</v>
      </c>
      <c r="O9" s="43" t="n">
        <f aca="false">IF(SUM($N$4:$N$13)=0,0,N9/SUM($N$4:$N$13))</f>
        <v>0.00408163265306123</v>
      </c>
      <c r="Q9" s="34" t="str">
        <f aca="false">R9&amp;" – "&amp;S9</f>
        <v>ABB – REM615A_1G</v>
      </c>
      <c r="R9" s="34" t="s">
        <v>34</v>
      </c>
      <c r="S9" s="34" t="s">
        <v>41</v>
      </c>
      <c r="T9" s="38" t="n">
        <f aca="false">COUNTIFS(d_Marca,R9,d_Modelo,S9,d_Sector,crit_sector)</f>
        <v>57</v>
      </c>
      <c r="U9" s="34" t="n">
        <f aca="false">T9+(1000-ROW())/1000000</f>
        <v>57.000991</v>
      </c>
      <c r="W9" s="34" t="n">
        <v>6</v>
      </c>
      <c r="X9" s="34" t="str">
        <f aca="false">IF(Y9=0,"",INDEX($Q$4:$Q$57,MATCH(LARGE($U$4:$U$57,W9),$U$4:$U$57,0)))</f>
        <v>SEL – SEL</v>
      </c>
      <c r="Y9" s="38" t="n">
        <f aca="false">IFERROR(INDEX($T$4:$T$57,MATCH(LARGE($U$4:$U$57,W9),$U$4:$U$57,0)),0)</f>
        <v>133</v>
      </c>
      <c r="AA9" s="34" t="s">
        <v>117</v>
      </c>
      <c r="AB9" s="38" t="n">
        <f aca="false">COUNTIFS(d_Subest,AA9,d_Sector,crit_sector)</f>
        <v>49</v>
      </c>
      <c r="AC9" s="34" t="n">
        <f aca="false">AB9+(1000-ROW())/1000000</f>
        <v>49.000991</v>
      </c>
      <c r="AE9" s="34" t="n">
        <v>6</v>
      </c>
      <c r="AF9" s="34" t="str">
        <f aca="false">IF(AG9=0,"",INDEX($AA$4:$AA$43,MATCH(LARGE($AC$4:$AC$43,AE9),$AC$4:$AC$43,0)))</f>
        <v>SE-14</v>
      </c>
      <c r="AG9" s="38" t="n">
        <f aca="false">IFERROR(INDEX($AB$4:$AB$43,MATCH(LARGE($AC$4:$AC$43,AE9),$AC$4:$AC$43,0)),0)</f>
        <v>49</v>
      </c>
      <c r="AI9" s="34" t="s">
        <v>7192</v>
      </c>
      <c r="AJ9" s="38" t="n">
        <f aca="false">COUNTIFS(d_Funcion,AI9,d_Sector,crit_sector)</f>
        <v>10</v>
      </c>
    </row>
    <row r="10" customFormat="false" ht="15" hidden="false" customHeight="false" outlineLevel="0" collapsed="false">
      <c r="A10" s="34" t="s">
        <v>30</v>
      </c>
      <c r="B10" s="38" t="n">
        <f aca="false">COUNTIF(d_Sector,A10)</f>
        <v>185</v>
      </c>
      <c r="D10" s="34" t="s">
        <v>30</v>
      </c>
      <c r="E10" s="38" t="n">
        <f aca="false">COUNTIFS(d_Sector,$D10,d_Marca,E$3)</f>
        <v>8</v>
      </c>
      <c r="F10" s="38" t="n">
        <f aca="false">COUNTIFS(d_Sector,$D10,d_Marca,F$3)</f>
        <v>6</v>
      </c>
      <c r="G10" s="38" t="n">
        <f aca="false">COUNTIFS(d_Sector,$D10,d_Marca,G$3)</f>
        <v>2</v>
      </c>
      <c r="H10" s="38" t="n">
        <f aca="false">COUNTIFS(d_Sector,$D10,d_Marca,H$3)</f>
        <v>159</v>
      </c>
      <c r="I10" s="38" t="n">
        <f aca="false">COUNTIFS(d_Sector,$D10,d_Marca,I$3)</f>
        <v>2</v>
      </c>
      <c r="J10" s="38" t="n">
        <f aca="false">COUNTIF(d_Sector,$D10)-SUM(E10:I10)-K10</f>
        <v>8</v>
      </c>
      <c r="K10" s="38" t="n">
        <f aca="false">COUNTIFS(d_Sector,$D10,d_Marca,"SIN DATO")</f>
        <v>0</v>
      </c>
      <c r="M10" s="34" t="s">
        <v>93</v>
      </c>
      <c r="N10" s="38" t="n">
        <f aca="false">COUNTIFS(d_Marca,M10,d_Sector,crit_sector)</f>
        <v>6</v>
      </c>
      <c r="O10" s="43" t="n">
        <f aca="false">IF(SUM($N$4:$N$13)=0,0,N10/SUM($N$4:$N$13))</f>
        <v>0.00306122448979592</v>
      </c>
      <c r="Q10" s="34" t="str">
        <f aca="false">R10&amp;" – "&amp;S10</f>
        <v>ABB – 1AFPAKAKNGC5BNN11G</v>
      </c>
      <c r="R10" s="34" t="s">
        <v>34</v>
      </c>
      <c r="S10" s="34" t="s">
        <v>42</v>
      </c>
      <c r="T10" s="38" t="n">
        <f aca="false">COUNTIFS(d_Marca,R10,d_Modelo,S10,d_Sector,crit_sector)</f>
        <v>33</v>
      </c>
      <c r="U10" s="34" t="n">
        <f aca="false">T10+(1000-ROW())/1000000</f>
        <v>33.00099</v>
      </c>
      <c r="W10" s="34" t="n">
        <v>7</v>
      </c>
      <c r="X10" s="34" t="str">
        <f aca="false">IF(Y10=0,"",INDEX($Q$4:$Q$57,MATCH(LARGE($U$4:$U$57,W10),$U$4:$U$57,0)))</f>
        <v>ABB – 1AMEBCADNEC5BNN11G</v>
      </c>
      <c r="Y10" s="38" t="n">
        <f aca="false">IFERROR(INDEX($T$4:$T$57,MATCH(LARGE($U$4:$U$57,W10),$U$4:$U$57,0)),0)</f>
        <v>85</v>
      </c>
      <c r="AA10" s="34" t="s">
        <v>119</v>
      </c>
      <c r="AB10" s="38" t="n">
        <f aca="false">COUNTIFS(d_Subest,AA10,d_Sector,crit_sector)</f>
        <v>32</v>
      </c>
      <c r="AC10" s="34" t="n">
        <f aca="false">AB10+(1000-ROW())/1000000</f>
        <v>32.00099</v>
      </c>
      <c r="AE10" s="34" t="n">
        <v>7</v>
      </c>
      <c r="AF10" s="34" t="str">
        <f aca="false">IF(AG10=0,"",INDEX($AA$4:$AA$43,MATCH(LARGE($AC$4:$AC$43,AE10),$AC$4:$AC$43,0)))</f>
        <v>SE-15</v>
      </c>
      <c r="AG10" s="38" t="n">
        <f aca="false">IFERROR(INDEX($AB$4:$AB$43,MATCH(LARGE($AC$4:$AC$43,AE10),$AC$4:$AC$43,0)),0)</f>
        <v>46</v>
      </c>
      <c r="AI10" s="34" t="s">
        <v>7198</v>
      </c>
      <c r="AJ10" s="38" t="n">
        <f aca="false">COUNTIFS(d_Funcion,AI10,d_Sector,crit_sector)</f>
        <v>10</v>
      </c>
    </row>
    <row r="11" customFormat="false" ht="15" hidden="false" customHeight="false" outlineLevel="0" collapsed="false">
      <c r="A11" s="34" t="s">
        <v>31</v>
      </c>
      <c r="B11" s="38" t="n">
        <f aca="false">COUNTIF(d_Sector,A11)</f>
        <v>626</v>
      </c>
      <c r="D11" s="34" t="s">
        <v>31</v>
      </c>
      <c r="E11" s="38" t="n">
        <f aca="false">COUNTIFS(d_Sector,$D11,d_Marca,E$3)</f>
        <v>232</v>
      </c>
      <c r="F11" s="38" t="n">
        <f aca="false">COUNTIFS(d_Sector,$D11,d_Marca,F$3)</f>
        <v>131</v>
      </c>
      <c r="G11" s="38" t="n">
        <f aca="false">COUNTIFS(d_Sector,$D11,d_Marca,G$3)</f>
        <v>92</v>
      </c>
      <c r="H11" s="38" t="n">
        <f aca="false">COUNTIFS(d_Sector,$D11,d_Marca,H$3)</f>
        <v>109</v>
      </c>
      <c r="I11" s="38" t="n">
        <f aca="false">COUNTIFS(d_Sector,$D11,d_Marca,I$3)</f>
        <v>38</v>
      </c>
      <c r="J11" s="38" t="n">
        <f aca="false">COUNTIF(d_Sector,$D11)-SUM(E11:I11)-K11</f>
        <v>0</v>
      </c>
      <c r="K11" s="38" t="n">
        <f aca="false">COUNTIFS(d_Sector,$D11,d_Marca,"SIN DATO")</f>
        <v>24</v>
      </c>
      <c r="M11" s="34" t="s">
        <v>96</v>
      </c>
      <c r="N11" s="38" t="n">
        <f aca="false">COUNTIFS(d_Marca,M11,d_Sector,crit_sector)</f>
        <v>2</v>
      </c>
      <c r="O11" s="43" t="n">
        <f aca="false">IF(SUM($N$4:$N$13)=0,0,N11/SUM($N$4:$N$13))</f>
        <v>0.00102040816326531</v>
      </c>
      <c r="Q11" s="34" t="str">
        <f aca="false">R11&amp;" – "&amp;S11</f>
        <v>ABB – RET615A_1G</v>
      </c>
      <c r="R11" s="34" t="s">
        <v>34</v>
      </c>
      <c r="S11" s="34" t="s">
        <v>43</v>
      </c>
      <c r="T11" s="38" t="n">
        <f aca="false">COUNTIFS(d_Marca,R11,d_Modelo,S11,d_Sector,crit_sector)</f>
        <v>29</v>
      </c>
      <c r="U11" s="34" t="n">
        <f aca="false">T11+(1000-ROW())/1000000</f>
        <v>29.000989</v>
      </c>
      <c r="W11" s="34" t="n">
        <v>8</v>
      </c>
      <c r="X11" s="34" t="str">
        <f aca="false">IF(Y11=0,"",INDEX($Q$4:$Q$57,MATCH(LARGE($U$4:$U$57,W11),$U$4:$U$57,0)))</f>
        <v>ABB – REF</v>
      </c>
      <c r="Y11" s="38" t="n">
        <f aca="false">IFERROR(INDEX($T$4:$T$57,MATCH(LARGE($U$4:$U$57,W11),$U$4:$U$57,0)),0)</f>
        <v>67</v>
      </c>
      <c r="AA11" s="34" t="s">
        <v>121</v>
      </c>
      <c r="AB11" s="38" t="n">
        <f aca="false">COUNTIFS(d_Subest,AA11,d_Sector,crit_sector)</f>
        <v>38</v>
      </c>
      <c r="AC11" s="34" t="n">
        <f aca="false">AB11+(1000-ROW())/1000000</f>
        <v>38.000989</v>
      </c>
      <c r="AE11" s="34" t="n">
        <v>8</v>
      </c>
      <c r="AF11" s="34" t="str">
        <f aca="false">IF(AG11=0,"",INDEX($AA$4:$AA$43,MATCH(LARGE($AC$4:$AC$43,AE11),$AC$4:$AC$43,0)))</f>
        <v>SE-07</v>
      </c>
      <c r="AG11" s="38" t="n">
        <f aca="false">IFERROR(INDEX($AB$4:$AB$43,MATCH(LARGE($AC$4:$AC$43,AE11),$AC$4:$AC$43,0)),0)</f>
        <v>45</v>
      </c>
      <c r="AI11" s="34" t="s">
        <v>7195</v>
      </c>
      <c r="AJ11" s="38" t="n">
        <f aca="false">COUNTIFS(d_Funcion,AI11,d_Sector,crit_sector)</f>
        <v>2</v>
      </c>
    </row>
    <row r="12" customFormat="false" ht="15" hidden="false" customHeight="false" outlineLevel="0" collapsed="false">
      <c r="M12" s="34" t="s">
        <v>99</v>
      </c>
      <c r="N12" s="38" t="n">
        <f aca="false">COUNTIFS(d_Marca,M12,d_Sector,crit_sector)</f>
        <v>6</v>
      </c>
      <c r="O12" s="43" t="n">
        <f aca="false">IF(SUM($N$4:$N$13)=0,0,N12/SUM($N$4:$N$13))</f>
        <v>0.00306122448979592</v>
      </c>
      <c r="Q12" s="34" t="str">
        <f aca="false">R12&amp;" – "&amp;S12</f>
        <v>ABB – REM</v>
      </c>
      <c r="R12" s="34" t="s">
        <v>34</v>
      </c>
      <c r="S12" s="34" t="s">
        <v>44</v>
      </c>
      <c r="T12" s="38" t="n">
        <f aca="false">COUNTIFS(d_Marca,R12,d_Modelo,S12,d_Sector,crit_sector)</f>
        <v>24</v>
      </c>
      <c r="U12" s="34" t="n">
        <f aca="false">T12+(1000-ROW())/1000000</f>
        <v>24.000988</v>
      </c>
      <c r="W12" s="34" t="n">
        <v>9</v>
      </c>
      <c r="X12" s="34" t="str">
        <f aca="false">IF(Y12=0,"",INDEX($Q$4:$Q$57,MATCH(LARGE($U$4:$U$57,W12),$U$4:$U$57,0)))</f>
        <v>ABB – REA 101</v>
      </c>
      <c r="Y12" s="38" t="n">
        <f aca="false">IFERROR(INDEX($T$4:$T$57,MATCH(LARGE($U$4:$U$57,W12),$U$4:$U$57,0)),0)</f>
        <v>59</v>
      </c>
      <c r="AA12" s="34" t="s">
        <v>123</v>
      </c>
      <c r="AB12" s="38" t="n">
        <f aca="false">COUNTIFS(d_Subest,AA12,d_Sector,crit_sector)</f>
        <v>34</v>
      </c>
      <c r="AC12" s="34" t="n">
        <f aca="false">AB12+(1000-ROW())/1000000</f>
        <v>34.000988</v>
      </c>
      <c r="AE12" s="34" t="n">
        <v>9</v>
      </c>
      <c r="AF12" s="34" t="str">
        <f aca="false">IF(AG12=0,"",INDEX($AA$4:$AA$43,MATCH(LARGE($AC$4:$AC$43,AE12),$AC$4:$AC$43,0)))</f>
        <v>SE-06</v>
      </c>
      <c r="AG12" s="38" t="n">
        <f aca="false">IFERROR(INDEX($AB$4:$AB$43,MATCH(LARGE($AC$4:$AC$43,AE12),$AC$4:$AC$43,0)),0)</f>
        <v>45</v>
      </c>
      <c r="AI12" s="34" t="s">
        <v>101</v>
      </c>
      <c r="AJ12" s="38" t="n">
        <f aca="false">COUNTIFS(d_Funcion,AI12,d_Sector,crit_sector)</f>
        <v>51</v>
      </c>
    </row>
    <row r="13" customFormat="false" ht="15" hidden="false" customHeight="false" outlineLevel="0" collapsed="false">
      <c r="M13" s="34" t="s">
        <v>101</v>
      </c>
      <c r="N13" s="38" t="n">
        <f aca="false">COUNTIFS(d_Marca,M13,d_Sector,crit_sector)</f>
        <v>51</v>
      </c>
      <c r="O13" s="43" t="n">
        <f aca="false">IF(SUM($N$4:$N$13)=0,0,N13/SUM($N$4:$N$13))</f>
        <v>0.0260204081632653</v>
      </c>
      <c r="Q13" s="34" t="str">
        <f aca="false">R13&amp;" – "&amp;S13</f>
        <v>ABB – REF615_1G</v>
      </c>
      <c r="R13" s="34" t="s">
        <v>34</v>
      </c>
      <c r="S13" s="34" t="s">
        <v>45</v>
      </c>
      <c r="T13" s="38" t="n">
        <f aca="false">COUNTIFS(d_Marca,R13,d_Modelo,S13,d_Sector,crit_sector)</f>
        <v>18</v>
      </c>
      <c r="U13" s="34" t="n">
        <f aca="false">T13+(1000-ROW())/1000000</f>
        <v>18.000987</v>
      </c>
      <c r="W13" s="34" t="n">
        <v>10</v>
      </c>
      <c r="X13" s="34" t="str">
        <f aca="false">IF(Y13=0,"",INDEX($Q$4:$Q$57,MATCH(LARGE($U$4:$U$57,W13),$U$4:$U$57,0)))</f>
        <v>ABB – REM615A_1G</v>
      </c>
      <c r="Y13" s="38" t="n">
        <f aca="false">IFERROR(INDEX($T$4:$T$57,MATCH(LARGE($U$4:$U$57,W13),$U$4:$U$57,0)),0)</f>
        <v>57</v>
      </c>
      <c r="AA13" s="34" t="s">
        <v>125</v>
      </c>
      <c r="AB13" s="38" t="n">
        <f aca="false">COUNTIFS(d_Subest,AA13,d_Sector,crit_sector)</f>
        <v>34</v>
      </c>
      <c r="AC13" s="34" t="n">
        <f aca="false">AB13+(1000-ROW())/1000000</f>
        <v>34.000987</v>
      </c>
      <c r="AE13" s="34" t="n">
        <v>10</v>
      </c>
      <c r="AF13" s="34" t="str">
        <f aca="false">IF(AG13=0,"",INDEX($AA$4:$AA$43,MATCH(LARGE($AC$4:$AC$43,AE13),$AC$4:$AC$43,0)))</f>
        <v>SE-11</v>
      </c>
      <c r="AG13" s="38" t="n">
        <f aca="false">IFERROR(INDEX($AB$4:$AB$43,MATCH(LARGE($AC$4:$AC$43,AE13),$AC$4:$AC$43,0)),0)</f>
        <v>44</v>
      </c>
    </row>
    <row r="14" customFormat="false" ht="15" hidden="false" customHeight="false" outlineLevel="0" collapsed="false">
      <c r="Q14" s="34" t="str">
        <f aca="false">R14&amp;" – "&amp;S14</f>
        <v>ABB – 1ATBBABBNEC5BNN11G</v>
      </c>
      <c r="R14" s="34" t="s">
        <v>34</v>
      </c>
      <c r="S14" s="34" t="s">
        <v>46</v>
      </c>
      <c r="T14" s="38" t="n">
        <f aca="false">COUNTIFS(d_Marca,R14,d_Modelo,S14,d_Sector,crit_sector)</f>
        <v>16</v>
      </c>
      <c r="U14" s="34" t="n">
        <f aca="false">T14+(1000-ROW())/1000000</f>
        <v>16.000986</v>
      </c>
      <c r="AA14" s="34" t="s">
        <v>127</v>
      </c>
      <c r="AB14" s="38" t="n">
        <f aca="false">COUNTIFS(d_Subest,AA14,d_Sector,crit_sector)</f>
        <v>34</v>
      </c>
      <c r="AC14" s="34" t="n">
        <f aca="false">AB14+(1000-ROW())/1000000</f>
        <v>34.000986</v>
      </c>
    </row>
    <row r="15" customFormat="false" ht="15" hidden="false" customHeight="false" outlineLevel="0" collapsed="false">
      <c r="Q15" s="34" t="str">
        <f aca="false">R15&amp;" – "&amp;S15</f>
        <v>ABB – REA</v>
      </c>
      <c r="R15" s="34" t="s">
        <v>34</v>
      </c>
      <c r="S15" s="34" t="s">
        <v>47</v>
      </c>
      <c r="T15" s="38" t="n">
        <f aca="false">COUNTIFS(d_Marca,R15,d_Modelo,S15,d_Sector,crit_sector)</f>
        <v>16</v>
      </c>
      <c r="U15" s="34" t="n">
        <f aca="false">T15+(1000-ROW())/1000000</f>
        <v>16.000985</v>
      </c>
      <c r="AA15" s="34" t="s">
        <v>129</v>
      </c>
      <c r="AB15" s="38" t="n">
        <f aca="false">COUNTIFS(d_Subest,AA15,d_Sector,crit_sector)</f>
        <v>34</v>
      </c>
      <c r="AC15" s="34" t="n">
        <f aca="false">AB15+(1000-ROW())/1000000</f>
        <v>34.000985</v>
      </c>
    </row>
    <row r="16" customFormat="false" ht="15" hidden="false" customHeight="false" outlineLevel="0" collapsed="false">
      <c r="Q16" s="34" t="str">
        <f aca="false">R16&amp;" – "&amp;S16</f>
        <v>ABB – 1AFNAEAGNEC5BNA11G</v>
      </c>
      <c r="R16" s="34" t="s">
        <v>34</v>
      </c>
      <c r="S16" s="34" t="s">
        <v>48</v>
      </c>
      <c r="T16" s="38" t="n">
        <f aca="false">COUNTIFS(d_Marca,R16,d_Modelo,S16,d_Sector,crit_sector)</f>
        <v>12</v>
      </c>
      <c r="U16" s="34" t="n">
        <f aca="false">T16+(1000-ROW())/1000000</f>
        <v>12.000984</v>
      </c>
      <c r="AA16" s="34" t="s">
        <v>131</v>
      </c>
      <c r="AB16" s="38" t="n">
        <f aca="false">COUNTIFS(d_Subest,AA16,d_Sector,crit_sector)</f>
        <v>2</v>
      </c>
      <c r="AC16" s="34" t="n">
        <f aca="false">AB16+(1000-ROW())/1000000</f>
        <v>2.000984</v>
      </c>
    </row>
    <row r="17" customFormat="false" ht="15" hidden="false" customHeight="false" outlineLevel="0" collapsed="false">
      <c r="Q17" s="34" t="str">
        <f aca="false">R17&amp;" – "&amp;S17</f>
        <v>ABB – REF620E_1G</v>
      </c>
      <c r="R17" s="34" t="s">
        <v>34</v>
      </c>
      <c r="S17" s="34" t="s">
        <v>49</v>
      </c>
      <c r="T17" s="38" t="n">
        <f aca="false">COUNTIFS(d_Marca,R17,d_Modelo,S17,d_Sector,crit_sector)</f>
        <v>11</v>
      </c>
      <c r="U17" s="34" t="n">
        <f aca="false">T17+(1000-ROW())/1000000</f>
        <v>11.000983</v>
      </c>
      <c r="AA17" s="34" t="s">
        <v>133</v>
      </c>
      <c r="AB17" s="38" t="n">
        <f aca="false">COUNTIFS(d_Subest,AA17,d_Sector,crit_sector)</f>
        <v>45</v>
      </c>
      <c r="AC17" s="34" t="n">
        <f aca="false">AB17+(1000-ROW())/1000000</f>
        <v>45.000983</v>
      </c>
    </row>
    <row r="18" customFormat="false" ht="15" hidden="false" customHeight="false" outlineLevel="0" collapsed="false">
      <c r="Q18" s="34" t="str">
        <f aca="false">R18&amp;" – "&amp;S18</f>
        <v>ABB – REB670</v>
      </c>
      <c r="R18" s="34" t="s">
        <v>34</v>
      </c>
      <c r="S18" s="34" t="s">
        <v>50</v>
      </c>
      <c r="T18" s="38" t="n">
        <f aca="false">COUNTIFS(d_Marca,R18,d_Modelo,S18,d_Sector,crit_sector)</f>
        <v>10</v>
      </c>
      <c r="U18" s="34" t="n">
        <f aca="false">T18+(1000-ROW())/1000000</f>
        <v>10.000982</v>
      </c>
      <c r="AA18" s="34" t="s">
        <v>135</v>
      </c>
      <c r="AB18" s="38" t="n">
        <f aca="false">COUNTIFS(d_Subest,AA18,d_Sector,crit_sector)</f>
        <v>44</v>
      </c>
      <c r="AC18" s="34" t="n">
        <f aca="false">AB18+(1000-ROW())/1000000</f>
        <v>44.000982</v>
      </c>
    </row>
    <row r="19" customFormat="false" ht="15" hidden="false" customHeight="false" outlineLevel="0" collapsed="false">
      <c r="Q19" s="34" t="str">
        <f aca="false">R19&amp;" – "&amp;S19</f>
        <v>ABB – PROTECCION ARCO</v>
      </c>
      <c r="R19" s="34" t="s">
        <v>34</v>
      </c>
      <c r="S19" s="34" t="s">
        <v>51</v>
      </c>
      <c r="T19" s="38" t="n">
        <f aca="false">COUNTIFS(d_Marca,R19,d_Modelo,S19,d_Sector,crit_sector)</f>
        <v>8</v>
      </c>
      <c r="U19" s="34" t="n">
        <f aca="false">T19+(1000-ROW())/1000000</f>
        <v>8.000981</v>
      </c>
      <c r="AA19" s="34" t="s">
        <v>137</v>
      </c>
      <c r="AB19" s="38" t="n">
        <f aca="false">COUNTIFS(d_Subest,AA19,d_Sector,crit_sector)</f>
        <v>61</v>
      </c>
      <c r="AC19" s="34" t="n">
        <f aca="false">AB19+(1000-ROW())/1000000</f>
        <v>61.000981</v>
      </c>
    </row>
    <row r="20" customFormat="false" ht="15" hidden="false" customHeight="false" outlineLevel="0" collapsed="false">
      <c r="Q20" s="34" t="str">
        <f aca="false">R20&amp;" – "&amp;S20</f>
        <v>ABB – RET</v>
      </c>
      <c r="R20" s="34" t="s">
        <v>34</v>
      </c>
      <c r="S20" s="34" t="s">
        <v>52</v>
      </c>
      <c r="T20" s="38" t="n">
        <f aca="false">COUNTIFS(d_Marca,R20,d_Modelo,S20,d_Sector,crit_sector)</f>
        <v>8</v>
      </c>
      <c r="U20" s="34" t="n">
        <f aca="false">T20+(1000-ROW())/1000000</f>
        <v>8.00098</v>
      </c>
      <c r="AA20" s="34" t="s">
        <v>139</v>
      </c>
      <c r="AB20" s="38" t="n">
        <f aca="false">COUNTIFS(d_Subest,AA20,d_Sector,crit_sector)</f>
        <v>37</v>
      </c>
      <c r="AC20" s="34" t="n">
        <f aca="false">AB20+(1000-ROW())/1000000</f>
        <v>37.00098</v>
      </c>
    </row>
    <row r="21" customFormat="false" ht="15" hidden="false" customHeight="false" outlineLevel="0" collapsed="false">
      <c r="Q21" s="34" t="str">
        <f aca="false">R21&amp;" – "&amp;S21</f>
        <v>ABB – REM615_1G</v>
      </c>
      <c r="R21" s="34" t="s">
        <v>34</v>
      </c>
      <c r="S21" s="34" t="s">
        <v>53</v>
      </c>
      <c r="T21" s="38" t="n">
        <f aca="false">COUNTIFS(d_Marca,R21,d_Modelo,S21,d_Sector,crit_sector)</f>
        <v>7</v>
      </c>
      <c r="U21" s="34" t="n">
        <f aca="false">T21+(1000-ROW())/1000000</f>
        <v>7.000979</v>
      </c>
      <c r="AA21" s="34" t="s">
        <v>141</v>
      </c>
      <c r="AB21" s="38" t="n">
        <f aca="false">COUNTIFS(d_Subest,AA21,d_Sector,crit_sector)</f>
        <v>32</v>
      </c>
      <c r="AC21" s="34" t="n">
        <f aca="false">AB21+(1000-ROW())/1000000</f>
        <v>32.000979</v>
      </c>
    </row>
    <row r="22" customFormat="false" ht="15" hidden="false" customHeight="false" outlineLevel="0" collapsed="false">
      <c r="Q22" s="34" t="str">
        <f aca="false">R22&amp;" – "&amp;S22</f>
        <v>ABB – REM620A_F</v>
      </c>
      <c r="R22" s="34" t="s">
        <v>34</v>
      </c>
      <c r="S22" s="34" t="s">
        <v>54</v>
      </c>
      <c r="T22" s="38" t="n">
        <f aca="false">COUNTIFS(d_Marca,R22,d_Modelo,S22,d_Sector,crit_sector)</f>
        <v>5</v>
      </c>
      <c r="U22" s="34" t="n">
        <f aca="false">T22+(1000-ROW())/1000000</f>
        <v>5.000978</v>
      </c>
      <c r="AA22" s="34" t="s">
        <v>143</v>
      </c>
      <c r="AB22" s="38" t="n">
        <f aca="false">COUNTIFS(d_Subest,AA22,d_Sector,crit_sector)</f>
        <v>40</v>
      </c>
      <c r="AC22" s="34" t="n">
        <f aca="false">AB22+(1000-ROW())/1000000</f>
        <v>40.000978</v>
      </c>
    </row>
    <row r="23" customFormat="false" ht="15" hidden="false" customHeight="false" outlineLevel="0" collapsed="false">
      <c r="Q23" s="34" t="str">
        <f aca="false">R23&amp;" – "&amp;S23</f>
        <v>SEL – SEL-735</v>
      </c>
      <c r="R23" s="34" t="s">
        <v>55</v>
      </c>
      <c r="S23" s="34" t="s">
        <v>57</v>
      </c>
      <c r="T23" s="38" t="n">
        <f aca="false">COUNTIFS(d_Marca,R23,d_Modelo,S23,d_Sector,crit_sector)</f>
        <v>174</v>
      </c>
      <c r="U23" s="34" t="n">
        <f aca="false">T23+(1000-ROW())/1000000</f>
        <v>174.000977</v>
      </c>
      <c r="AA23" s="34" t="s">
        <v>145</v>
      </c>
      <c r="AB23" s="38" t="n">
        <f aca="false">COUNTIFS(d_Subest,AA23,d_Sector,crit_sector)</f>
        <v>44</v>
      </c>
      <c r="AC23" s="34" t="n">
        <f aca="false">AB23+(1000-ROW())/1000000</f>
        <v>44.000977</v>
      </c>
    </row>
    <row r="24" customFormat="false" ht="15" hidden="false" customHeight="false" outlineLevel="0" collapsed="false">
      <c r="Q24" s="34" t="str">
        <f aca="false">R24&amp;" – "&amp;S24</f>
        <v>SEL – SEL</v>
      </c>
      <c r="R24" s="34" t="s">
        <v>55</v>
      </c>
      <c r="S24" s="34" t="s">
        <v>55</v>
      </c>
      <c r="T24" s="38" t="n">
        <f aca="false">COUNTIFS(d_Marca,R24,d_Modelo,S24,d_Sector,crit_sector)</f>
        <v>133</v>
      </c>
      <c r="U24" s="34" t="n">
        <f aca="false">T24+(1000-ROW())/1000000</f>
        <v>133.000976</v>
      </c>
      <c r="AA24" s="34" t="s">
        <v>147</v>
      </c>
      <c r="AB24" s="38" t="n">
        <f aca="false">COUNTIFS(d_Subest,AA24,d_Sector,crit_sector)</f>
        <v>6</v>
      </c>
      <c r="AC24" s="34" t="n">
        <f aca="false">AB24+(1000-ROW())/1000000</f>
        <v>6.000976</v>
      </c>
    </row>
    <row r="25" customFormat="false" ht="15" hidden="false" customHeight="false" outlineLevel="0" collapsed="false">
      <c r="Q25" s="34" t="str">
        <f aca="false">R25&amp;" – "&amp;S25</f>
        <v>SEL – MEDICION</v>
      </c>
      <c r="R25" s="34" t="s">
        <v>55</v>
      </c>
      <c r="S25" s="34" t="s">
        <v>58</v>
      </c>
      <c r="T25" s="38" t="n">
        <f aca="false">COUNTIFS(d_Marca,R25,d_Modelo,S25,d_Sector,crit_sector)</f>
        <v>20</v>
      </c>
      <c r="U25" s="34" t="n">
        <f aca="false">T25+(1000-ROW())/1000000</f>
        <v>20.000975</v>
      </c>
      <c r="AA25" s="34" t="s">
        <v>149</v>
      </c>
      <c r="AB25" s="38" t="n">
        <f aca="false">COUNTIFS(d_Subest,AA25,d_Sector,crit_sector)</f>
        <v>19</v>
      </c>
      <c r="AC25" s="34" t="n">
        <f aca="false">AB25+(1000-ROW())/1000000</f>
        <v>19.000975</v>
      </c>
    </row>
    <row r="26" customFormat="false" ht="15" hidden="false" customHeight="false" outlineLevel="0" collapsed="false">
      <c r="Q26" s="34" t="str">
        <f aca="false">R26&amp;" – "&amp;S26</f>
        <v>SEL – SEL-751</v>
      </c>
      <c r="R26" s="34" t="s">
        <v>55</v>
      </c>
      <c r="S26" s="34" t="s">
        <v>59</v>
      </c>
      <c r="T26" s="38" t="n">
        <f aca="false">COUNTIFS(d_Marca,R26,d_Modelo,S26,d_Sector,crit_sector)</f>
        <v>12</v>
      </c>
      <c r="U26" s="34" t="n">
        <f aca="false">T26+(1000-ROW())/1000000</f>
        <v>12.000974</v>
      </c>
      <c r="AA26" s="34" t="s">
        <v>151</v>
      </c>
      <c r="AB26" s="38" t="n">
        <f aca="false">COUNTIFS(d_Subest,AA26,d_Sector,crit_sector)</f>
        <v>11</v>
      </c>
      <c r="AC26" s="34" t="n">
        <f aca="false">AB26+(1000-ROW())/1000000</f>
        <v>11.000974</v>
      </c>
    </row>
    <row r="27" customFormat="false" ht="15" hidden="false" customHeight="false" outlineLevel="0" collapsed="false">
      <c r="Q27" s="34" t="str">
        <f aca="false">R27&amp;" – "&amp;S27</f>
        <v>SEL – SEL-411L</v>
      </c>
      <c r="R27" s="34" t="s">
        <v>55</v>
      </c>
      <c r="S27" s="34" t="s">
        <v>60</v>
      </c>
      <c r="T27" s="38" t="n">
        <f aca="false">COUNTIFS(d_Marca,R27,d_Modelo,S27,d_Sector,crit_sector)</f>
        <v>4</v>
      </c>
      <c r="U27" s="34" t="n">
        <f aca="false">T27+(1000-ROW())/1000000</f>
        <v>4.000973</v>
      </c>
      <c r="AA27" s="34" t="s">
        <v>153</v>
      </c>
      <c r="AB27" s="38" t="n">
        <f aca="false">COUNTIFS(d_Subest,AA27,d_Sector,crit_sector)</f>
        <v>8</v>
      </c>
      <c r="AC27" s="34" t="n">
        <f aca="false">AB27+(1000-ROW())/1000000</f>
        <v>8.000973</v>
      </c>
    </row>
    <row r="28" customFormat="false" ht="15" hidden="false" customHeight="false" outlineLevel="0" collapsed="false">
      <c r="Q28" s="34" t="str">
        <f aca="false">R28&amp;" – "&amp;S28</f>
        <v>SEL – 1AFFAEAGNEC5BNA11G</v>
      </c>
      <c r="R28" s="34" t="s">
        <v>55</v>
      </c>
      <c r="S28" s="34" t="s">
        <v>36</v>
      </c>
      <c r="T28" s="38" t="n">
        <f aca="false">COUNTIFS(d_Marca,R28,d_Modelo,S28,d_Sector,crit_sector)</f>
        <v>2</v>
      </c>
      <c r="U28" s="34" t="n">
        <f aca="false">T28+(1000-ROW())/1000000</f>
        <v>2.000972</v>
      </c>
      <c r="AA28" s="34" t="s">
        <v>155</v>
      </c>
      <c r="AB28" s="38" t="n">
        <f aca="false">COUNTIFS(d_Subest,AA28,d_Sector,crit_sector)</f>
        <v>21</v>
      </c>
      <c r="AC28" s="34" t="n">
        <f aca="false">AB28+(1000-ROW())/1000000</f>
        <v>21.000972</v>
      </c>
    </row>
    <row r="29" customFormat="false" ht="15" hidden="false" customHeight="false" outlineLevel="0" collapsed="false">
      <c r="Q29" s="34" t="str">
        <f aca="false">R29&amp;" – "&amp;S29</f>
        <v>GENERAL ELECTRIC – MULTILIN</v>
      </c>
      <c r="R29" s="34" t="s">
        <v>61</v>
      </c>
      <c r="S29" s="34" t="s">
        <v>63</v>
      </c>
      <c r="T29" s="38" t="n">
        <f aca="false">COUNTIFS(d_Marca,R29,d_Modelo,S29,d_Sector,crit_sector)</f>
        <v>286</v>
      </c>
      <c r="U29" s="34" t="n">
        <f aca="false">T29+(1000-ROW())/1000000</f>
        <v>286.000971</v>
      </c>
      <c r="AA29" s="34" t="s">
        <v>157</v>
      </c>
      <c r="AB29" s="38" t="n">
        <f aca="false">COUNTIFS(d_Subest,AA29,d_Sector,crit_sector)</f>
        <v>9</v>
      </c>
      <c r="AC29" s="34" t="n">
        <f aca="false">AB29+(1000-ROW())/1000000</f>
        <v>9.000971</v>
      </c>
    </row>
    <row r="30" customFormat="false" ht="15" hidden="false" customHeight="false" outlineLevel="0" collapsed="false">
      <c r="Q30" s="34" t="str">
        <f aca="false">R30&amp;" – "&amp;S30</f>
        <v>GENERAL ELECTRIC – MULTILIN 350</v>
      </c>
      <c r="R30" s="34" t="s">
        <v>61</v>
      </c>
      <c r="S30" s="34" t="s">
        <v>64</v>
      </c>
      <c r="T30" s="38" t="n">
        <f aca="false">COUNTIFS(d_Marca,R30,d_Modelo,S30,d_Sector,crit_sector)</f>
        <v>34</v>
      </c>
      <c r="U30" s="34" t="n">
        <f aca="false">T30+(1000-ROW())/1000000</f>
        <v>34.00097</v>
      </c>
      <c r="AA30" s="34" t="s">
        <v>159</v>
      </c>
      <c r="AB30" s="38" t="n">
        <f aca="false">COUNTIFS(d_Subest,AA30,d_Sector,crit_sector)</f>
        <v>20</v>
      </c>
      <c r="AC30" s="34" t="n">
        <f aca="false">AB30+(1000-ROW())/1000000</f>
        <v>20.00097</v>
      </c>
    </row>
    <row r="31" customFormat="false" ht="15" hidden="false" customHeight="false" outlineLevel="0" collapsed="false">
      <c r="Q31" s="34" t="str">
        <f aca="false">R31&amp;" – "&amp;S31</f>
        <v>GENERAL ELECTRIC – MULTILIN T60</v>
      </c>
      <c r="R31" s="34" t="s">
        <v>61</v>
      </c>
      <c r="S31" s="34" t="s">
        <v>65</v>
      </c>
      <c r="T31" s="38" t="n">
        <f aca="false">COUNTIFS(d_Marca,R31,d_Modelo,S31,d_Sector,crit_sector)</f>
        <v>22</v>
      </c>
      <c r="U31" s="34" t="n">
        <f aca="false">T31+(1000-ROW())/1000000</f>
        <v>22.000969</v>
      </c>
      <c r="AA31" s="34" t="s">
        <v>161</v>
      </c>
      <c r="AB31" s="38" t="n">
        <f aca="false">COUNTIFS(d_Subest,AA31,d_Sector,crit_sector)</f>
        <v>6</v>
      </c>
      <c r="AC31" s="34" t="n">
        <f aca="false">AB31+(1000-ROW())/1000000</f>
        <v>6.000969</v>
      </c>
    </row>
    <row r="32" customFormat="false" ht="15" hidden="false" customHeight="false" outlineLevel="0" collapsed="false">
      <c r="Q32" s="34" t="str">
        <f aca="false">R32&amp;" – "&amp;S32</f>
        <v>GENERAL ELECTRIC – MULTILIN C30</v>
      </c>
      <c r="R32" s="34" t="s">
        <v>61</v>
      </c>
      <c r="S32" s="34" t="s">
        <v>66</v>
      </c>
      <c r="T32" s="38" t="n">
        <f aca="false">COUNTIFS(d_Marca,R32,d_Modelo,S32,d_Sector,crit_sector)</f>
        <v>21</v>
      </c>
      <c r="U32" s="34" t="n">
        <f aca="false">T32+(1000-ROW())/1000000</f>
        <v>21.000968</v>
      </c>
      <c r="AA32" s="34" t="s">
        <v>163</v>
      </c>
      <c r="AB32" s="38" t="n">
        <f aca="false">COUNTIFS(d_Subest,AA32,d_Sector,crit_sector)</f>
        <v>6</v>
      </c>
      <c r="AC32" s="34" t="n">
        <f aca="false">AB32+(1000-ROW())/1000000</f>
        <v>6.000968</v>
      </c>
    </row>
    <row r="33" customFormat="false" ht="15" hidden="false" customHeight="false" outlineLevel="0" collapsed="false">
      <c r="Q33" s="34" t="str">
        <f aca="false">R33&amp;" – "&amp;S33</f>
        <v>GENERAL ELECTRIC – MULTILIN F60</v>
      </c>
      <c r="R33" s="34" t="s">
        <v>61</v>
      </c>
      <c r="S33" s="34" t="s">
        <v>67</v>
      </c>
      <c r="T33" s="38" t="n">
        <f aca="false">COUNTIFS(d_Marca,R33,d_Modelo,S33,d_Sector,crit_sector)</f>
        <v>14</v>
      </c>
      <c r="U33" s="34" t="n">
        <f aca="false">T33+(1000-ROW())/1000000</f>
        <v>14.000967</v>
      </c>
      <c r="AA33" s="34" t="s">
        <v>165</v>
      </c>
      <c r="AB33" s="38" t="n">
        <f aca="false">COUNTIFS(d_Subest,AA33,d_Sector,crit_sector)</f>
        <v>13</v>
      </c>
      <c r="AC33" s="34" t="n">
        <f aca="false">AB33+(1000-ROW())/1000000</f>
        <v>13.000967</v>
      </c>
    </row>
    <row r="34" customFormat="false" ht="15" hidden="false" customHeight="false" outlineLevel="0" collapsed="false">
      <c r="Q34" s="34" t="str">
        <f aca="false">R34&amp;" – "&amp;S34</f>
        <v>GENERAL ELECTRIC – MULTILIN B90</v>
      </c>
      <c r="R34" s="34" t="s">
        <v>61</v>
      </c>
      <c r="S34" s="34" t="s">
        <v>68</v>
      </c>
      <c r="T34" s="38" t="n">
        <f aca="false">COUNTIFS(d_Marca,R34,d_Modelo,S34,d_Sector,crit_sector)</f>
        <v>10</v>
      </c>
      <c r="U34" s="34" t="n">
        <f aca="false">T34+(1000-ROW())/1000000</f>
        <v>10.000966</v>
      </c>
      <c r="AA34" s="34" t="s">
        <v>167</v>
      </c>
      <c r="AB34" s="38" t="n">
        <f aca="false">COUNTIFS(d_Subest,AA34,d_Sector,crit_sector)</f>
        <v>25</v>
      </c>
      <c r="AC34" s="34" t="n">
        <f aca="false">AB34+(1000-ROW())/1000000</f>
        <v>25.000966</v>
      </c>
    </row>
    <row r="35" customFormat="false" ht="15" hidden="false" customHeight="false" outlineLevel="0" collapsed="false">
      <c r="Q35" s="34" t="str">
        <f aca="false">R35&amp;" – "&amp;S35</f>
        <v>GENERAL ELECTRIC – MULTILIN G60</v>
      </c>
      <c r="R35" s="34" t="s">
        <v>61</v>
      </c>
      <c r="S35" s="34" t="s">
        <v>69</v>
      </c>
      <c r="T35" s="38" t="n">
        <f aca="false">COUNTIFS(d_Marca,R35,d_Modelo,S35,d_Sector,crit_sector)</f>
        <v>8</v>
      </c>
      <c r="U35" s="34" t="n">
        <f aca="false">T35+(1000-ROW())/1000000</f>
        <v>8.000965</v>
      </c>
      <c r="AA35" s="34" t="s">
        <v>169</v>
      </c>
      <c r="AB35" s="38" t="n">
        <f aca="false">COUNTIFS(d_Subest,AA35,d_Sector,crit_sector)</f>
        <v>30</v>
      </c>
      <c r="AC35" s="34" t="n">
        <f aca="false">AB35+(1000-ROW())/1000000</f>
        <v>30.000965</v>
      </c>
    </row>
    <row r="36" customFormat="false" ht="15" hidden="false" customHeight="false" outlineLevel="0" collapsed="false">
      <c r="Q36" s="34" t="str">
        <f aca="false">R36&amp;" – "&amp;S36</f>
        <v>GENERAL ELECTRIC – MULTILIN L90</v>
      </c>
      <c r="R36" s="34" t="s">
        <v>61</v>
      </c>
      <c r="S36" s="34" t="s">
        <v>70</v>
      </c>
      <c r="T36" s="38" t="n">
        <f aca="false">COUNTIFS(d_Marca,R36,d_Modelo,S36,d_Sector,crit_sector)</f>
        <v>4</v>
      </c>
      <c r="U36" s="34" t="n">
        <f aca="false">T36+(1000-ROW())/1000000</f>
        <v>4.000964</v>
      </c>
      <c r="AA36" s="34" t="s">
        <v>171</v>
      </c>
      <c r="AB36" s="38" t="n">
        <f aca="false">COUNTIFS(d_Subest,AA36,d_Sector,crit_sector)</f>
        <v>11</v>
      </c>
      <c r="AC36" s="34" t="n">
        <f aca="false">AB36+(1000-ROW())/1000000</f>
        <v>11.000964</v>
      </c>
    </row>
    <row r="37" customFormat="false" ht="15" hidden="false" customHeight="false" outlineLevel="0" collapsed="false">
      <c r="Q37" s="34" t="str">
        <f aca="false">R37&amp;" – "&amp;S37</f>
        <v>GENERAL ELECTRIC – MULTILIN T35</v>
      </c>
      <c r="R37" s="34" t="s">
        <v>61</v>
      </c>
      <c r="S37" s="34" t="s">
        <v>71</v>
      </c>
      <c r="T37" s="38" t="n">
        <f aca="false">COUNTIFS(d_Marca,R37,d_Modelo,S37,d_Sector,crit_sector)</f>
        <v>4</v>
      </c>
      <c r="U37" s="34" t="n">
        <f aca="false">T37+(1000-ROW())/1000000</f>
        <v>4.000963</v>
      </c>
      <c r="AA37" s="34" t="s">
        <v>173</v>
      </c>
      <c r="AB37" s="38" t="n">
        <f aca="false">COUNTIFS(d_Subest,AA37,d_Sector,crit_sector)</f>
        <v>15</v>
      </c>
      <c r="AC37" s="34" t="n">
        <f aca="false">AB37+(1000-ROW())/1000000</f>
        <v>15.000963</v>
      </c>
    </row>
    <row r="38" customFormat="false" ht="15" hidden="false" customHeight="false" outlineLevel="0" collapsed="false">
      <c r="Q38" s="34" t="str">
        <f aca="false">R38&amp;" – "&amp;S38</f>
        <v>GENERAL ELECTRIC – MULTILIN 845</v>
      </c>
      <c r="R38" s="34" t="s">
        <v>61</v>
      </c>
      <c r="S38" s="34" t="s">
        <v>72</v>
      </c>
      <c r="T38" s="38" t="n">
        <f aca="false">COUNTIFS(d_Marca,R38,d_Modelo,S38,d_Sector,crit_sector)</f>
        <v>1</v>
      </c>
      <c r="U38" s="34" t="n">
        <f aca="false">T38+(1000-ROW())/1000000</f>
        <v>1.000962</v>
      </c>
      <c r="AA38" s="34" t="s">
        <v>175</v>
      </c>
      <c r="AB38" s="38" t="n">
        <f aca="false">COUNTIFS(d_Subest,AA38,d_Sector,crit_sector)</f>
        <v>12</v>
      </c>
      <c r="AC38" s="34" t="n">
        <f aca="false">AB38+(1000-ROW())/1000000</f>
        <v>12.000962</v>
      </c>
    </row>
    <row r="39" customFormat="false" ht="15" hidden="false" customHeight="false" outlineLevel="0" collapsed="false">
      <c r="Q39" s="34" t="str">
        <f aca="false">R39&amp;" – "&amp;S39</f>
        <v>SIEMENS – REYROLLE</v>
      </c>
      <c r="R39" s="34" t="s">
        <v>73</v>
      </c>
      <c r="S39" s="34" t="s">
        <v>75</v>
      </c>
      <c r="T39" s="38" t="n">
        <f aca="false">COUNTIFS(d_Marca,R39,d_Modelo,S39,d_Sector,crit_sector)</f>
        <v>135</v>
      </c>
      <c r="U39" s="34" t="n">
        <f aca="false">T39+(1000-ROW())/1000000</f>
        <v>135.000961</v>
      </c>
      <c r="AA39" s="34" t="s">
        <v>177</v>
      </c>
      <c r="AB39" s="38" t="n">
        <f aca="false">COUNTIFS(d_Subest,AA39,d_Sector,crit_sector)</f>
        <v>36</v>
      </c>
      <c r="AC39" s="34" t="n">
        <f aca="false">AB39+(1000-ROW())/1000000</f>
        <v>36.000961</v>
      </c>
    </row>
    <row r="40" customFormat="false" ht="15" hidden="false" customHeight="false" outlineLevel="0" collapsed="false">
      <c r="Q40" s="34" t="str">
        <f aca="false">R40&amp;" – "&amp;S40</f>
        <v>SIEMENS – 7SR5111</v>
      </c>
      <c r="R40" s="34" t="s">
        <v>73</v>
      </c>
      <c r="S40" s="34" t="s">
        <v>76</v>
      </c>
      <c r="T40" s="38" t="n">
        <f aca="false">COUNTIFS(d_Marca,R40,d_Modelo,S40,d_Sector,crit_sector)</f>
        <v>45</v>
      </c>
      <c r="U40" s="34" t="n">
        <f aca="false">T40+(1000-ROW())/1000000</f>
        <v>45.00096</v>
      </c>
      <c r="AA40" s="34" t="s">
        <v>179</v>
      </c>
      <c r="AB40" s="38" t="n">
        <f aca="false">COUNTIFS(d_Subest,AA40,d_Sector,crit_sector)</f>
        <v>7</v>
      </c>
      <c r="AC40" s="34" t="n">
        <f aca="false">AB40+(1000-ROW())/1000000</f>
        <v>7.00096</v>
      </c>
    </row>
    <row r="41" customFormat="false" ht="15" hidden="false" customHeight="false" outlineLevel="0" collapsed="false">
      <c r="Q41" s="34" t="str">
        <f aca="false">R41&amp;" – "&amp;S41</f>
        <v>SIEMENS – 7SR5711</v>
      </c>
      <c r="R41" s="34" t="s">
        <v>73</v>
      </c>
      <c r="S41" s="34" t="s">
        <v>77</v>
      </c>
      <c r="T41" s="38" t="n">
        <f aca="false">COUNTIFS(d_Marca,R41,d_Modelo,S41,d_Sector,crit_sector)</f>
        <v>45</v>
      </c>
      <c r="U41" s="34" t="n">
        <f aca="false">T41+(1000-ROW())/1000000</f>
        <v>45.000959</v>
      </c>
      <c r="AA41" s="34" t="s">
        <v>181</v>
      </c>
      <c r="AB41" s="38" t="n">
        <f aca="false">COUNTIFS(d_Subest,AA41,d_Sector,crit_sector)</f>
        <v>5</v>
      </c>
      <c r="AC41" s="34" t="n">
        <f aca="false">AB41+(1000-ROW())/1000000</f>
        <v>5.000959</v>
      </c>
    </row>
    <row r="42" customFormat="false" ht="15" hidden="false" customHeight="false" outlineLevel="0" collapsed="false">
      <c r="Q42" s="34" t="str">
        <f aca="false">R42&amp;" – "&amp;S42</f>
        <v>SIEMENS – SENTRON</v>
      </c>
      <c r="R42" s="34" t="s">
        <v>73</v>
      </c>
      <c r="S42" s="34" t="s">
        <v>78</v>
      </c>
      <c r="T42" s="38" t="n">
        <f aca="false">COUNTIFS(d_Marca,R42,d_Modelo,S42,d_Sector,crit_sector)</f>
        <v>30</v>
      </c>
      <c r="U42" s="34" t="n">
        <f aca="false">T42+(1000-ROW())/1000000</f>
        <v>30.000958</v>
      </c>
      <c r="AA42" s="34" t="s">
        <v>183</v>
      </c>
      <c r="AB42" s="38" t="n">
        <f aca="false">COUNTIFS(d_Subest,AA42,d_Sector,crit_sector)</f>
        <v>186</v>
      </c>
      <c r="AC42" s="34" t="n">
        <f aca="false">AB42+(1000-ROW())/1000000</f>
        <v>186.000958</v>
      </c>
    </row>
    <row r="43" customFormat="false" ht="15" hidden="false" customHeight="false" outlineLevel="0" collapsed="false">
      <c r="Q43" s="34" t="str">
        <f aca="false">R43&amp;" – "&amp;S43</f>
        <v>SIEMENS – 7SR5421</v>
      </c>
      <c r="R43" s="34" t="s">
        <v>73</v>
      </c>
      <c r="S43" s="34" t="s">
        <v>79</v>
      </c>
      <c r="T43" s="38" t="n">
        <f aca="false">COUNTIFS(d_Marca,R43,d_Modelo,S43,d_Sector,crit_sector)</f>
        <v>8</v>
      </c>
      <c r="U43" s="34" t="n">
        <f aca="false">T43+(1000-ROW())/1000000</f>
        <v>8.000957</v>
      </c>
      <c r="AA43" s="34" t="s">
        <v>185</v>
      </c>
      <c r="AB43" s="38" t="n">
        <f aca="false">COUNTIFS(d_Subest,AA43,d_Sector,crit_sector)</f>
        <v>160</v>
      </c>
      <c r="AC43" s="34" t="n">
        <f aca="false">AB43+(1000-ROW())/1000000</f>
        <v>160.000957</v>
      </c>
    </row>
    <row r="44" customFormat="false" ht="15" hidden="false" customHeight="false" outlineLevel="0" collapsed="false">
      <c r="Q44" s="34" t="str">
        <f aca="false">R44&amp;" – "&amp;S44</f>
        <v>SIEMENS – 7SR5420</v>
      </c>
      <c r="R44" s="34" t="s">
        <v>73</v>
      </c>
      <c r="S44" s="34" t="s">
        <v>80</v>
      </c>
      <c r="T44" s="38" t="n">
        <f aca="false">COUNTIFS(d_Marca,R44,d_Modelo,S44,d_Sector,crit_sector)</f>
        <v>6</v>
      </c>
      <c r="U44" s="34" t="n">
        <f aca="false">T44+(1000-ROW())/1000000</f>
        <v>6.000956</v>
      </c>
    </row>
    <row r="45" customFormat="false" ht="15" hidden="false" customHeight="false" outlineLevel="0" collapsed="false">
      <c r="Q45" s="34" t="str">
        <f aca="false">R45&amp;" – "&amp;S45</f>
        <v>SIEMENS – ARGUS</v>
      </c>
      <c r="R45" s="34" t="s">
        <v>73</v>
      </c>
      <c r="S45" s="34" t="s">
        <v>81</v>
      </c>
      <c r="T45" s="38" t="n">
        <f aca="false">COUNTIFS(d_Marca,R45,d_Modelo,S45,d_Sector,crit_sector)</f>
        <v>6</v>
      </c>
      <c r="U45" s="34" t="n">
        <f aca="false">T45+(1000-ROW())/1000000</f>
        <v>6.000955</v>
      </c>
    </row>
    <row r="46" customFormat="false" ht="15" hidden="false" customHeight="false" outlineLevel="0" collapsed="false">
      <c r="Q46" s="34" t="str">
        <f aca="false">R46&amp;" – "&amp;S46</f>
        <v>SIEMENS – SIEMENS</v>
      </c>
      <c r="R46" s="34" t="s">
        <v>73</v>
      </c>
      <c r="S46" s="34" t="s">
        <v>73</v>
      </c>
      <c r="T46" s="38" t="n">
        <f aca="false">COUNTIFS(d_Marca,R46,d_Modelo,S46,d_Sector,crit_sector)</f>
        <v>2</v>
      </c>
      <c r="U46" s="34" t="n">
        <f aca="false">T46+(1000-ROW())/1000000</f>
        <v>2.000954</v>
      </c>
    </row>
    <row r="47" customFormat="false" ht="15" hidden="false" customHeight="false" outlineLevel="0" collapsed="false">
      <c r="Q47" s="34" t="str">
        <f aca="false">R47&amp;" – "&amp;S47</f>
        <v>SIEMENS – SIPROTEC 7SS85</v>
      </c>
      <c r="R47" s="34" t="s">
        <v>73</v>
      </c>
      <c r="S47" s="34" t="s">
        <v>82</v>
      </c>
      <c r="T47" s="38" t="n">
        <f aca="false">COUNTIFS(d_Marca,R47,d_Modelo,S47,d_Sector,crit_sector)</f>
        <v>2</v>
      </c>
      <c r="U47" s="34" t="n">
        <f aca="false">T47+(1000-ROW())/1000000</f>
        <v>2.000953</v>
      </c>
    </row>
    <row r="48" customFormat="false" ht="15" hidden="false" customHeight="false" outlineLevel="0" collapsed="false">
      <c r="Q48" s="34" t="str">
        <f aca="false">R48&amp;" – "&amp;S48</f>
        <v>SIEMENS – SEPAM</v>
      </c>
      <c r="R48" s="34" t="s">
        <v>73</v>
      </c>
      <c r="S48" s="34" t="s">
        <v>83</v>
      </c>
      <c r="T48" s="38" t="n">
        <f aca="false">COUNTIFS(d_Marca,R48,d_Modelo,S48,d_Sector,crit_sector)</f>
        <v>1</v>
      </c>
      <c r="U48" s="34" t="n">
        <f aca="false">T48+(1000-ROW())/1000000</f>
        <v>1.000952</v>
      </c>
    </row>
    <row r="49" customFormat="false" ht="15" hidden="false" customHeight="false" outlineLevel="0" collapsed="false">
      <c r="Q49" s="34" t="str">
        <f aca="false">R49&amp;" – "&amp;S49</f>
        <v>SIEMENS – SIPROTEC 7SJ85</v>
      </c>
      <c r="R49" s="34" t="s">
        <v>73</v>
      </c>
      <c r="S49" s="34" t="s">
        <v>84</v>
      </c>
      <c r="T49" s="38" t="n">
        <f aca="false">COUNTIFS(d_Marca,R49,d_Modelo,S49,d_Sector,crit_sector)</f>
        <v>1</v>
      </c>
      <c r="U49" s="34" t="n">
        <f aca="false">T49+(1000-ROW())/1000000</f>
        <v>1.000951</v>
      </c>
    </row>
    <row r="50" customFormat="false" ht="15" hidden="false" customHeight="false" outlineLevel="0" collapsed="false">
      <c r="Q50" s="34" t="str">
        <f aca="false">R50&amp;" – "&amp;S50</f>
        <v>SIEMENS – SIPROTEC 7VU68</v>
      </c>
      <c r="R50" s="34" t="s">
        <v>73</v>
      </c>
      <c r="S50" s="34" t="s">
        <v>85</v>
      </c>
      <c r="T50" s="38" t="n">
        <f aca="false">COUNTIFS(d_Marca,R50,d_Modelo,S50,d_Sector,crit_sector)</f>
        <v>1</v>
      </c>
      <c r="U50" s="34" t="n">
        <f aca="false">T50+(1000-ROW())/1000000</f>
        <v>1.00095</v>
      </c>
    </row>
    <row r="51" customFormat="false" ht="15" hidden="false" customHeight="false" outlineLevel="0" collapsed="false">
      <c r="Q51" s="34" t="str">
        <f aca="false">R51&amp;" – "&amp;S51</f>
        <v>SCHNEIDER ELECTRIC – P5F30</v>
      </c>
      <c r="R51" s="34" t="s">
        <v>86</v>
      </c>
      <c r="S51" s="34" t="s">
        <v>88</v>
      </c>
      <c r="T51" s="38" t="n">
        <f aca="false">COUNTIFS(d_Marca,R51,d_Modelo,S51,d_Sector,crit_sector)</f>
        <v>38</v>
      </c>
      <c r="U51" s="34" t="n">
        <f aca="false">T51+(1000-ROW())/1000000</f>
        <v>38.000949</v>
      </c>
    </row>
    <row r="52" customFormat="false" ht="15" hidden="false" customHeight="false" outlineLevel="0" collapsed="false">
      <c r="Q52" s="34" t="str">
        <f aca="false">R52&amp;" – "&amp;S52</f>
        <v>SCHNEIDER ELECTRIC – POWERLOGIC</v>
      </c>
      <c r="R52" s="34" t="s">
        <v>86</v>
      </c>
      <c r="S52" s="34" t="s">
        <v>89</v>
      </c>
      <c r="T52" s="38" t="n">
        <f aca="false">COUNTIFS(d_Marca,R52,d_Modelo,S52,d_Sector,crit_sector)</f>
        <v>2</v>
      </c>
      <c r="U52" s="34" t="n">
        <f aca="false">T52+(1000-ROW())/1000000</f>
        <v>2.000948</v>
      </c>
    </row>
    <row r="53" customFormat="false" ht="15" hidden="false" customHeight="false" outlineLevel="0" collapsed="false">
      <c r="Q53" s="34" t="str">
        <f aca="false">R53&amp;" – "&amp;S53</f>
        <v>ALLEN-BRADLEY – 857</v>
      </c>
      <c r="R53" s="34" t="s">
        <v>90</v>
      </c>
      <c r="S53" s="34" t="s">
        <v>92</v>
      </c>
      <c r="T53" s="38" t="n">
        <f aca="false">COUNTIFS(d_Marca,R53,d_Modelo,S53,d_Sector,crit_sector)</f>
        <v>8</v>
      </c>
      <c r="U53" s="34" t="n">
        <f aca="false">T53+(1000-ROW())/1000000</f>
        <v>8.000947</v>
      </c>
    </row>
    <row r="54" customFormat="false" ht="15" hidden="false" customHeight="false" outlineLevel="0" collapsed="false">
      <c r="Q54" s="34" t="str">
        <f aca="false">R54&amp;" – "&amp;S54</f>
        <v>BASLER ELECTRIC – BE1</v>
      </c>
      <c r="R54" s="34" t="s">
        <v>93</v>
      </c>
      <c r="S54" s="34" t="s">
        <v>95</v>
      </c>
      <c r="T54" s="38" t="n">
        <f aca="false">COUNTIFS(d_Marca,R54,d_Modelo,S54,d_Sector,crit_sector)</f>
        <v>6</v>
      </c>
      <c r="U54" s="34" t="n">
        <f aca="false">T54+(1000-ROW())/1000000</f>
        <v>6.000946</v>
      </c>
    </row>
    <row r="55" customFormat="false" ht="15" hidden="false" customHeight="false" outlineLevel="0" collapsed="false">
      <c r="Q55" s="34" t="str">
        <f aca="false">R55&amp;" – "&amp;S55</f>
        <v>EIG – SHARK</v>
      </c>
      <c r="R55" s="34" t="s">
        <v>96</v>
      </c>
      <c r="S55" s="34" t="s">
        <v>98</v>
      </c>
      <c r="T55" s="38" t="n">
        <f aca="false">COUNTIFS(d_Marca,R55,d_Modelo,S55,d_Sector,crit_sector)</f>
        <v>2</v>
      </c>
      <c r="U55" s="34" t="n">
        <f aca="false">T55+(1000-ROW())/1000000</f>
        <v>2.000945</v>
      </c>
    </row>
    <row r="56" customFormat="false" ht="15" hidden="false" customHeight="false" outlineLevel="0" collapsed="false">
      <c r="Q56" s="34" t="str">
        <f aca="false">R56&amp;" – "&amp;S56</f>
        <v>GAUGETECH – SHARK</v>
      </c>
      <c r="R56" s="34" t="s">
        <v>99</v>
      </c>
      <c r="S56" s="34" t="s">
        <v>98</v>
      </c>
      <c r="T56" s="38" t="n">
        <f aca="false">COUNTIFS(d_Marca,R56,d_Modelo,S56,d_Sector,crit_sector)</f>
        <v>6</v>
      </c>
      <c r="U56" s="34" t="n">
        <f aca="false">T56+(1000-ROW())/1000000</f>
        <v>6.000944</v>
      </c>
    </row>
    <row r="57" customFormat="false" ht="15" hidden="false" customHeight="false" outlineLevel="0" collapsed="false">
      <c r="Q57" s="34" t="str">
        <f aca="false">R57&amp;" – "&amp;S57</f>
        <v>SIN DATO – SIN DATO</v>
      </c>
      <c r="R57" s="34" t="s">
        <v>101</v>
      </c>
      <c r="S57" s="34" t="s">
        <v>101</v>
      </c>
      <c r="T57" s="38" t="n">
        <f aca="false">COUNTIFS(d_Marca,R57,d_Modelo,S57,d_Sector,crit_sector)</f>
        <v>51</v>
      </c>
      <c r="U57" s="34" t="n">
        <f aca="false">T57+(1000-ROW())/1000000</f>
        <v>51.000943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G1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3" min="1" style="0" width="18"/>
  </cols>
  <sheetData>
    <row r="1" customFormat="false" ht="23.85" hidden="false" customHeight="false" outlineLevel="0" collapsed="false">
      <c r="A1" s="44" t="s">
        <v>7305</v>
      </c>
      <c r="B1" s="44" t="s">
        <v>7306</v>
      </c>
      <c r="C1" s="44" t="s">
        <v>7307</v>
      </c>
      <c r="D1" s="44" t="s">
        <v>7308</v>
      </c>
      <c r="E1" s="44" t="s">
        <v>205</v>
      </c>
      <c r="F1" s="44" t="s">
        <v>7309</v>
      </c>
      <c r="G1" s="44" t="s">
        <v>7310</v>
      </c>
      <c r="H1" s="44" t="s">
        <v>7311</v>
      </c>
      <c r="I1" s="44" t="s">
        <v>7312</v>
      </c>
      <c r="J1" s="44" t="s">
        <v>207</v>
      </c>
      <c r="K1" s="44" t="s">
        <v>7313</v>
      </c>
      <c r="L1" s="44" t="s">
        <v>7314</v>
      </c>
      <c r="M1" s="44" t="s">
        <v>7315</v>
      </c>
      <c r="N1" s="44" t="s">
        <v>7316</v>
      </c>
      <c r="O1" s="44" t="s">
        <v>7317</v>
      </c>
      <c r="P1" s="44" t="s">
        <v>7318</v>
      </c>
      <c r="Q1" s="44" t="s">
        <v>7319</v>
      </c>
      <c r="R1" s="44" t="s">
        <v>7320</v>
      </c>
      <c r="S1" s="44" t="s">
        <v>7321</v>
      </c>
      <c r="T1" s="44" t="s">
        <v>7322</v>
      </c>
      <c r="U1" s="44" t="s">
        <v>7323</v>
      </c>
      <c r="V1" s="44" t="s">
        <v>7324</v>
      </c>
      <c r="W1" s="44" t="s">
        <v>7325</v>
      </c>
      <c r="X1" s="44" t="s">
        <v>7326</v>
      </c>
      <c r="Y1" s="44" t="s">
        <v>7327</v>
      </c>
      <c r="Z1" s="44" t="s">
        <v>7328</v>
      </c>
      <c r="AA1" s="44" t="s">
        <v>7329</v>
      </c>
      <c r="AB1" s="44" t="s">
        <v>7330</v>
      </c>
      <c r="AC1" s="44" t="s">
        <v>7331</v>
      </c>
      <c r="AD1" s="44" t="s">
        <v>7332</v>
      </c>
      <c r="AE1" s="44" t="s">
        <v>7333</v>
      </c>
      <c r="AF1" s="44" t="s">
        <v>7334</v>
      </c>
      <c r="AG1" s="44" t="s">
        <v>7335</v>
      </c>
    </row>
    <row r="2" customFormat="false" ht="15" hidden="false" customHeight="false" outlineLevel="0" collapsed="false">
      <c r="A2" s="0" t="s">
        <v>7336</v>
      </c>
      <c r="B2" s="0" t="s">
        <v>221</v>
      </c>
      <c r="C2" s="0" t="s">
        <v>222</v>
      </c>
      <c r="D2" s="0" t="s">
        <v>227</v>
      </c>
      <c r="E2" s="0" t="s">
        <v>223</v>
      </c>
      <c r="F2" s="0" t="s">
        <v>224</v>
      </c>
      <c r="G2" s="0" t="s">
        <v>225</v>
      </c>
      <c r="H2" s="0" t="s">
        <v>7337</v>
      </c>
      <c r="I2" s="0" t="s">
        <v>7338</v>
      </c>
      <c r="J2" s="0" t="s">
        <v>226</v>
      </c>
      <c r="K2" s="0" t="s">
        <v>7339</v>
      </c>
      <c r="L2" s="0" t="s">
        <v>7340</v>
      </c>
      <c r="M2" s="0" t="s">
        <v>7341</v>
      </c>
      <c r="N2" s="0" t="s">
        <v>7342</v>
      </c>
      <c r="O2" s="0" t="s">
        <v>682</v>
      </c>
      <c r="P2" s="0" t="s">
        <v>229</v>
      </c>
      <c r="R2" s="0" t="s">
        <v>7343</v>
      </c>
      <c r="S2" s="0" t="s">
        <v>7344</v>
      </c>
      <c r="T2" s="0" t="s">
        <v>228</v>
      </c>
      <c r="V2" s="0" t="s">
        <v>34</v>
      </c>
      <c r="W2" s="0" t="s">
        <v>36</v>
      </c>
      <c r="X2" s="0" t="s">
        <v>7345</v>
      </c>
      <c r="Y2" s="0" t="s">
        <v>7346</v>
      </c>
      <c r="Z2" s="0" t="s">
        <v>7347</v>
      </c>
      <c r="AA2" s="0" t="s">
        <v>7348</v>
      </c>
      <c r="AB2" s="0" t="s">
        <v>231</v>
      </c>
      <c r="AC2" s="0" t="s">
        <v>7349</v>
      </c>
      <c r="AD2" s="0" t="s">
        <v>7350</v>
      </c>
      <c r="AE2" s="0" t="s">
        <v>7351</v>
      </c>
      <c r="AF2" s="0" t="s">
        <v>7352</v>
      </c>
      <c r="AG2" s="0" t="s">
        <v>230</v>
      </c>
    </row>
    <row r="3" customFormat="false" ht="15" hidden="false" customHeight="false" outlineLevel="0" collapsed="false">
      <c r="A3" s="0" t="s">
        <v>7336</v>
      </c>
      <c r="B3" s="0" t="s">
        <v>232</v>
      </c>
      <c r="C3" s="0" t="s">
        <v>233</v>
      </c>
      <c r="D3" s="0" t="s">
        <v>227</v>
      </c>
      <c r="E3" s="0" t="s">
        <v>234</v>
      </c>
      <c r="F3" s="0" t="s">
        <v>235</v>
      </c>
      <c r="G3" s="0" t="s">
        <v>225</v>
      </c>
      <c r="H3" s="0" t="s">
        <v>7353</v>
      </c>
      <c r="I3" s="0" t="s">
        <v>7338</v>
      </c>
      <c r="J3" s="0" t="s">
        <v>226</v>
      </c>
      <c r="K3" s="0" t="s">
        <v>7339</v>
      </c>
      <c r="L3" s="0" t="s">
        <v>7340</v>
      </c>
      <c r="M3" s="0" t="s">
        <v>7341</v>
      </c>
      <c r="N3" s="0" t="s">
        <v>7342</v>
      </c>
      <c r="P3" s="0" t="s">
        <v>236</v>
      </c>
      <c r="Q3" s="0" t="s">
        <v>7354</v>
      </c>
      <c r="R3" s="0" t="s">
        <v>7343</v>
      </c>
      <c r="S3" s="0" t="s">
        <v>7344</v>
      </c>
      <c r="T3" s="0" t="s">
        <v>228</v>
      </c>
      <c r="V3" s="0" t="s">
        <v>73</v>
      </c>
      <c r="W3" s="0" t="s">
        <v>77</v>
      </c>
      <c r="X3" s="0" t="s">
        <v>7355</v>
      </c>
      <c r="Y3" s="0" t="s">
        <v>7356</v>
      </c>
      <c r="Z3" s="0" t="s">
        <v>7357</v>
      </c>
      <c r="AA3" s="0" t="s">
        <v>7358</v>
      </c>
      <c r="AB3" s="0" t="s">
        <v>237</v>
      </c>
      <c r="AC3" s="0" t="s">
        <v>7349</v>
      </c>
      <c r="AD3" s="0" t="s">
        <v>7359</v>
      </c>
      <c r="AE3" s="0" t="s">
        <v>7360</v>
      </c>
      <c r="AF3" s="0" t="s">
        <v>7361</v>
      </c>
      <c r="AG3" s="0" t="s">
        <v>230</v>
      </c>
    </row>
    <row r="4" customFormat="false" ht="15" hidden="false" customHeight="false" outlineLevel="0" collapsed="false">
      <c r="A4" s="0" t="s">
        <v>7336</v>
      </c>
      <c r="B4" s="0" t="s">
        <v>238</v>
      </c>
      <c r="C4" s="0" t="s">
        <v>239</v>
      </c>
      <c r="D4" s="0" t="s">
        <v>227</v>
      </c>
      <c r="E4" s="0" t="s">
        <v>240</v>
      </c>
      <c r="F4" s="0" t="s">
        <v>241</v>
      </c>
      <c r="G4" s="0" t="s">
        <v>225</v>
      </c>
      <c r="H4" s="0" t="s">
        <v>7362</v>
      </c>
      <c r="I4" s="0" t="s">
        <v>7338</v>
      </c>
      <c r="J4" s="0" t="s">
        <v>226</v>
      </c>
      <c r="K4" s="0" t="s">
        <v>7339</v>
      </c>
      <c r="L4" s="0" t="s">
        <v>7340</v>
      </c>
      <c r="M4" s="0" t="s">
        <v>7341</v>
      </c>
      <c r="N4" s="0" t="s">
        <v>7342</v>
      </c>
      <c r="P4" s="0" t="s">
        <v>236</v>
      </c>
      <c r="Q4" s="0" t="s">
        <v>7354</v>
      </c>
      <c r="R4" s="0" t="s">
        <v>7343</v>
      </c>
      <c r="S4" s="0" t="s">
        <v>7344</v>
      </c>
      <c r="T4" s="0" t="s">
        <v>228</v>
      </c>
      <c r="V4" s="0" t="s">
        <v>73</v>
      </c>
      <c r="W4" s="0" t="s">
        <v>77</v>
      </c>
      <c r="X4" s="0" t="s">
        <v>7355</v>
      </c>
      <c r="Y4" s="0" t="s">
        <v>7356</v>
      </c>
      <c r="Z4" s="0" t="s">
        <v>7357</v>
      </c>
      <c r="AA4" s="0" t="s">
        <v>7358</v>
      </c>
      <c r="AB4" s="0" t="s">
        <v>237</v>
      </c>
      <c r="AC4" s="0" t="s">
        <v>7349</v>
      </c>
      <c r="AD4" s="0" t="s">
        <v>7359</v>
      </c>
      <c r="AE4" s="0" t="s">
        <v>7360</v>
      </c>
      <c r="AF4" s="0" t="s">
        <v>7361</v>
      </c>
      <c r="AG4" s="0" t="s">
        <v>230</v>
      </c>
    </row>
    <row r="5" customFormat="false" ht="15" hidden="false" customHeight="false" outlineLevel="0" collapsed="false">
      <c r="A5" s="0" t="s">
        <v>7336</v>
      </c>
      <c r="B5" s="0" t="s">
        <v>242</v>
      </c>
      <c r="C5" s="0" t="s">
        <v>243</v>
      </c>
      <c r="D5" s="0" t="s">
        <v>227</v>
      </c>
      <c r="E5" s="0" t="s">
        <v>244</v>
      </c>
      <c r="F5" s="0" t="s">
        <v>245</v>
      </c>
      <c r="G5" s="0" t="s">
        <v>225</v>
      </c>
      <c r="H5" s="0" t="s">
        <v>7363</v>
      </c>
      <c r="I5" s="0" t="s">
        <v>7338</v>
      </c>
      <c r="J5" s="0" t="s">
        <v>226</v>
      </c>
      <c r="K5" s="0" t="s">
        <v>7339</v>
      </c>
      <c r="L5" s="0" t="s">
        <v>7340</v>
      </c>
      <c r="M5" s="0" t="s">
        <v>7341</v>
      </c>
      <c r="N5" s="0" t="s">
        <v>7342</v>
      </c>
      <c r="P5" s="0" t="s">
        <v>236</v>
      </c>
      <c r="Q5" s="0" t="s">
        <v>7354</v>
      </c>
      <c r="R5" s="0" t="s">
        <v>7343</v>
      </c>
      <c r="S5" s="0" t="s">
        <v>7344</v>
      </c>
      <c r="T5" s="0" t="s">
        <v>228</v>
      </c>
      <c r="V5" s="0" t="s">
        <v>73</v>
      </c>
      <c r="W5" s="0" t="s">
        <v>77</v>
      </c>
      <c r="X5" s="0" t="s">
        <v>7355</v>
      </c>
      <c r="Y5" s="0" t="s">
        <v>7356</v>
      </c>
      <c r="Z5" s="0" t="s">
        <v>7357</v>
      </c>
      <c r="AA5" s="0" t="s">
        <v>7358</v>
      </c>
      <c r="AB5" s="0" t="s">
        <v>237</v>
      </c>
      <c r="AC5" s="0" t="s">
        <v>7349</v>
      </c>
      <c r="AD5" s="0" t="s">
        <v>7359</v>
      </c>
      <c r="AE5" s="0" t="s">
        <v>7360</v>
      </c>
      <c r="AF5" s="0" t="s">
        <v>7361</v>
      </c>
      <c r="AG5" s="0" t="s">
        <v>230</v>
      </c>
    </row>
    <row r="6" customFormat="false" ht="15" hidden="false" customHeight="false" outlineLevel="0" collapsed="false">
      <c r="A6" s="0" t="s">
        <v>7336</v>
      </c>
      <c r="B6" s="0" t="s">
        <v>246</v>
      </c>
      <c r="C6" s="0" t="s">
        <v>247</v>
      </c>
      <c r="D6" s="0" t="s">
        <v>227</v>
      </c>
      <c r="E6" s="0" t="s">
        <v>248</v>
      </c>
      <c r="F6" s="0" t="s">
        <v>249</v>
      </c>
      <c r="G6" s="0" t="s">
        <v>225</v>
      </c>
      <c r="H6" s="0" t="s">
        <v>7364</v>
      </c>
      <c r="I6" s="0" t="s">
        <v>7338</v>
      </c>
      <c r="J6" s="0" t="s">
        <v>226</v>
      </c>
      <c r="K6" s="0" t="s">
        <v>7339</v>
      </c>
      <c r="L6" s="0" t="s">
        <v>7340</v>
      </c>
      <c r="M6" s="0" t="s">
        <v>7341</v>
      </c>
      <c r="N6" s="0" t="s">
        <v>7342</v>
      </c>
      <c r="P6" s="0" t="s">
        <v>236</v>
      </c>
      <c r="Q6" s="0" t="s">
        <v>7354</v>
      </c>
      <c r="R6" s="0" t="s">
        <v>7343</v>
      </c>
      <c r="S6" s="0" t="s">
        <v>7344</v>
      </c>
      <c r="T6" s="0" t="s">
        <v>228</v>
      </c>
      <c r="V6" s="0" t="s">
        <v>73</v>
      </c>
      <c r="W6" s="0" t="s">
        <v>77</v>
      </c>
      <c r="X6" s="0" t="s">
        <v>7355</v>
      </c>
      <c r="Y6" s="0" t="s">
        <v>7356</v>
      </c>
      <c r="Z6" s="0" t="s">
        <v>7357</v>
      </c>
      <c r="AA6" s="0" t="s">
        <v>7358</v>
      </c>
      <c r="AB6" s="0" t="s">
        <v>237</v>
      </c>
      <c r="AC6" s="0" t="s">
        <v>7349</v>
      </c>
      <c r="AD6" s="0" t="s">
        <v>7359</v>
      </c>
      <c r="AE6" s="0" t="s">
        <v>7360</v>
      </c>
      <c r="AF6" s="0" t="s">
        <v>7361</v>
      </c>
      <c r="AG6" s="0" t="s">
        <v>230</v>
      </c>
    </row>
    <row r="7" customFormat="false" ht="15" hidden="false" customHeight="false" outlineLevel="0" collapsed="false">
      <c r="A7" s="0" t="s">
        <v>7336</v>
      </c>
      <c r="B7" s="0" t="s">
        <v>250</v>
      </c>
      <c r="C7" s="0" t="s">
        <v>251</v>
      </c>
      <c r="D7" s="0" t="s">
        <v>227</v>
      </c>
      <c r="E7" s="0" t="s">
        <v>252</v>
      </c>
      <c r="F7" s="0" t="s">
        <v>253</v>
      </c>
      <c r="G7" s="0" t="s">
        <v>225</v>
      </c>
      <c r="H7" s="0" t="s">
        <v>7365</v>
      </c>
      <c r="I7" s="0" t="s">
        <v>7338</v>
      </c>
      <c r="J7" s="0" t="s">
        <v>226</v>
      </c>
      <c r="K7" s="0" t="s">
        <v>7339</v>
      </c>
      <c r="L7" s="0" t="s">
        <v>7340</v>
      </c>
      <c r="M7" s="0" t="s">
        <v>7341</v>
      </c>
      <c r="N7" s="0" t="s">
        <v>7342</v>
      </c>
      <c r="P7" s="0" t="s">
        <v>236</v>
      </c>
      <c r="Q7" s="0" t="s">
        <v>7354</v>
      </c>
      <c r="R7" s="0" t="s">
        <v>7343</v>
      </c>
      <c r="S7" s="0" t="s">
        <v>7344</v>
      </c>
      <c r="T7" s="0" t="s">
        <v>228</v>
      </c>
      <c r="V7" s="0" t="s">
        <v>73</v>
      </c>
      <c r="W7" s="0" t="s">
        <v>77</v>
      </c>
      <c r="X7" s="0" t="s">
        <v>7355</v>
      </c>
      <c r="Y7" s="0" t="s">
        <v>7356</v>
      </c>
      <c r="Z7" s="0" t="s">
        <v>7357</v>
      </c>
      <c r="AA7" s="0" t="s">
        <v>7358</v>
      </c>
      <c r="AB7" s="0" t="s">
        <v>237</v>
      </c>
      <c r="AC7" s="0" t="s">
        <v>7349</v>
      </c>
      <c r="AD7" s="0" t="s">
        <v>7359</v>
      </c>
      <c r="AE7" s="0" t="s">
        <v>7360</v>
      </c>
      <c r="AF7" s="0" t="s">
        <v>7361</v>
      </c>
      <c r="AG7" s="0" t="s">
        <v>230</v>
      </c>
    </row>
    <row r="8" customFormat="false" ht="15" hidden="false" customHeight="false" outlineLevel="0" collapsed="false">
      <c r="A8" s="0" t="s">
        <v>7336</v>
      </c>
      <c r="B8" s="0" t="s">
        <v>254</v>
      </c>
      <c r="C8" s="0" t="s">
        <v>255</v>
      </c>
      <c r="D8" s="0" t="s">
        <v>259</v>
      </c>
      <c r="E8" s="0" t="s">
        <v>256</v>
      </c>
      <c r="F8" s="0" t="s">
        <v>257</v>
      </c>
      <c r="G8" s="0" t="s">
        <v>118</v>
      </c>
      <c r="H8" s="0" t="s">
        <v>7366</v>
      </c>
      <c r="I8" s="0" t="s">
        <v>7338</v>
      </c>
      <c r="J8" s="0" t="s">
        <v>258</v>
      </c>
      <c r="K8" s="0" t="s">
        <v>7339</v>
      </c>
      <c r="L8" s="0" t="s">
        <v>7340</v>
      </c>
      <c r="M8" s="0" t="s">
        <v>7367</v>
      </c>
      <c r="N8" s="0" t="s">
        <v>7342</v>
      </c>
      <c r="P8" s="0" t="s">
        <v>229</v>
      </c>
      <c r="Q8" s="0" t="s">
        <v>7368</v>
      </c>
      <c r="R8" s="0" t="s">
        <v>7343</v>
      </c>
      <c r="S8" s="0" t="s">
        <v>7344</v>
      </c>
      <c r="T8" s="0" t="s">
        <v>260</v>
      </c>
      <c r="U8" s="0" t="s">
        <v>7369</v>
      </c>
      <c r="V8" s="0" t="s">
        <v>34</v>
      </c>
      <c r="W8" s="0" t="s">
        <v>44</v>
      </c>
      <c r="X8" s="0" t="s">
        <v>7355</v>
      </c>
      <c r="Y8" s="0" t="s">
        <v>7346</v>
      </c>
      <c r="Z8" s="0" t="s">
        <v>7370</v>
      </c>
      <c r="AA8" s="0" t="s">
        <v>7371</v>
      </c>
      <c r="AB8" s="0" t="s">
        <v>262</v>
      </c>
      <c r="AC8" s="0" t="s">
        <v>7349</v>
      </c>
      <c r="AD8" s="0" t="s">
        <v>7372</v>
      </c>
      <c r="AE8" s="0" t="s">
        <v>7373</v>
      </c>
      <c r="AF8" s="0" t="s">
        <v>7374</v>
      </c>
      <c r="AG8" s="0" t="s">
        <v>261</v>
      </c>
    </row>
    <row r="9" customFormat="false" ht="15" hidden="false" customHeight="false" outlineLevel="0" collapsed="false">
      <c r="A9" s="0" t="s">
        <v>7336</v>
      </c>
      <c r="B9" s="0" t="s">
        <v>263</v>
      </c>
      <c r="C9" s="0" t="s">
        <v>264</v>
      </c>
      <c r="D9" s="0" t="s">
        <v>259</v>
      </c>
      <c r="E9" s="0" t="s">
        <v>265</v>
      </c>
      <c r="F9" s="0" t="s">
        <v>266</v>
      </c>
      <c r="G9" s="0" t="s">
        <v>118</v>
      </c>
      <c r="H9" s="0" t="s">
        <v>7375</v>
      </c>
      <c r="I9" s="0" t="s">
        <v>7338</v>
      </c>
      <c r="J9" s="0" t="s">
        <v>258</v>
      </c>
      <c r="K9" s="0" t="s">
        <v>7339</v>
      </c>
      <c r="L9" s="0" t="s">
        <v>7340</v>
      </c>
      <c r="M9" s="0" t="s">
        <v>7367</v>
      </c>
      <c r="N9" s="0" t="s">
        <v>7342</v>
      </c>
      <c r="P9" s="0" t="s">
        <v>229</v>
      </c>
      <c r="Q9" s="0" t="s">
        <v>7368</v>
      </c>
      <c r="R9" s="0" t="s">
        <v>7343</v>
      </c>
      <c r="S9" s="0" t="s">
        <v>7344</v>
      </c>
      <c r="T9" s="0" t="s">
        <v>260</v>
      </c>
      <c r="U9" s="0" t="s">
        <v>7369</v>
      </c>
      <c r="V9" s="0" t="s">
        <v>34</v>
      </c>
      <c r="W9" s="0" t="s">
        <v>44</v>
      </c>
      <c r="X9" s="0" t="s">
        <v>7355</v>
      </c>
      <c r="Y9" s="0" t="s">
        <v>7346</v>
      </c>
      <c r="Z9" s="0" t="s">
        <v>7370</v>
      </c>
      <c r="AA9" s="0" t="s">
        <v>7371</v>
      </c>
      <c r="AB9" s="0" t="s">
        <v>262</v>
      </c>
      <c r="AC9" s="0" t="s">
        <v>7349</v>
      </c>
      <c r="AD9" s="0" t="s">
        <v>7372</v>
      </c>
      <c r="AE9" s="0" t="s">
        <v>7373</v>
      </c>
      <c r="AF9" s="0" t="s">
        <v>7374</v>
      </c>
      <c r="AG9" s="0" t="s">
        <v>261</v>
      </c>
    </row>
    <row r="10" customFormat="false" ht="15" hidden="false" customHeight="false" outlineLevel="0" collapsed="false">
      <c r="A10" s="0" t="s">
        <v>7336</v>
      </c>
      <c r="B10" s="0" t="s">
        <v>267</v>
      </c>
      <c r="C10" s="0" t="s">
        <v>268</v>
      </c>
      <c r="D10" s="0" t="s">
        <v>259</v>
      </c>
      <c r="E10" s="0" t="s">
        <v>269</v>
      </c>
      <c r="F10" s="0" t="s">
        <v>270</v>
      </c>
      <c r="G10" s="0" t="s">
        <v>118</v>
      </c>
      <c r="H10" s="0" t="s">
        <v>7376</v>
      </c>
      <c r="I10" s="0" t="s">
        <v>7338</v>
      </c>
      <c r="J10" s="0" t="s">
        <v>258</v>
      </c>
      <c r="K10" s="0" t="s">
        <v>7339</v>
      </c>
      <c r="L10" s="0" t="s">
        <v>7340</v>
      </c>
      <c r="M10" s="0" t="s">
        <v>7367</v>
      </c>
      <c r="N10" s="0" t="s">
        <v>7342</v>
      </c>
      <c r="P10" s="0" t="s">
        <v>229</v>
      </c>
      <c r="Q10" s="0" t="s">
        <v>7368</v>
      </c>
      <c r="R10" s="0" t="s">
        <v>7343</v>
      </c>
      <c r="S10" s="0" t="s">
        <v>7344</v>
      </c>
      <c r="T10" s="0" t="s">
        <v>260</v>
      </c>
      <c r="U10" s="0" t="s">
        <v>7369</v>
      </c>
      <c r="V10" s="0" t="s">
        <v>34</v>
      </c>
      <c r="W10" s="0" t="s">
        <v>44</v>
      </c>
      <c r="X10" s="0" t="s">
        <v>7355</v>
      </c>
      <c r="Y10" s="0" t="s">
        <v>7346</v>
      </c>
      <c r="Z10" s="0" t="s">
        <v>7370</v>
      </c>
      <c r="AA10" s="0" t="s">
        <v>7371</v>
      </c>
      <c r="AB10" s="0" t="s">
        <v>262</v>
      </c>
      <c r="AC10" s="0" t="s">
        <v>7349</v>
      </c>
      <c r="AD10" s="0" t="s">
        <v>7372</v>
      </c>
      <c r="AE10" s="0" t="s">
        <v>7373</v>
      </c>
      <c r="AF10" s="0" t="s">
        <v>7374</v>
      </c>
      <c r="AG10" s="0" t="s">
        <v>261</v>
      </c>
    </row>
    <row r="11" customFormat="false" ht="15" hidden="false" customHeight="false" outlineLevel="0" collapsed="false">
      <c r="A11" s="0" t="s">
        <v>7336</v>
      </c>
      <c r="B11" s="0" t="s">
        <v>271</v>
      </c>
      <c r="C11" s="0" t="s">
        <v>272</v>
      </c>
      <c r="D11" s="0" t="s">
        <v>259</v>
      </c>
      <c r="E11" s="0" t="s">
        <v>273</v>
      </c>
      <c r="F11" s="0" t="s">
        <v>274</v>
      </c>
      <c r="G11" s="0" t="s">
        <v>118</v>
      </c>
      <c r="H11" s="0" t="s">
        <v>7377</v>
      </c>
      <c r="I11" s="0" t="s">
        <v>7338</v>
      </c>
      <c r="J11" s="0" t="s">
        <v>258</v>
      </c>
      <c r="K11" s="0" t="s">
        <v>7339</v>
      </c>
      <c r="L11" s="0" t="s">
        <v>7340</v>
      </c>
      <c r="M11" s="0" t="s">
        <v>7367</v>
      </c>
      <c r="N11" s="0" t="s">
        <v>7342</v>
      </c>
      <c r="P11" s="0" t="s">
        <v>229</v>
      </c>
      <c r="Q11" s="0" t="s">
        <v>7368</v>
      </c>
      <c r="R11" s="0" t="s">
        <v>7343</v>
      </c>
      <c r="S11" s="0" t="s">
        <v>7344</v>
      </c>
      <c r="T11" s="0" t="s">
        <v>260</v>
      </c>
      <c r="U11" s="0" t="s">
        <v>7369</v>
      </c>
      <c r="V11" s="0" t="s">
        <v>34</v>
      </c>
      <c r="W11" s="0" t="s">
        <v>44</v>
      </c>
      <c r="X11" s="0" t="s">
        <v>7355</v>
      </c>
      <c r="Y11" s="0" t="s">
        <v>7346</v>
      </c>
      <c r="Z11" s="0" t="s">
        <v>7370</v>
      </c>
      <c r="AA11" s="0" t="s">
        <v>7371</v>
      </c>
      <c r="AB11" s="0" t="s">
        <v>262</v>
      </c>
      <c r="AC11" s="0" t="s">
        <v>7349</v>
      </c>
      <c r="AD11" s="0" t="s">
        <v>7372</v>
      </c>
      <c r="AE11" s="0" t="s">
        <v>7373</v>
      </c>
      <c r="AF11" s="0" t="s">
        <v>7374</v>
      </c>
      <c r="AG11" s="0" t="s">
        <v>261</v>
      </c>
    </row>
    <row r="12" customFormat="false" ht="15" hidden="false" customHeight="false" outlineLevel="0" collapsed="false">
      <c r="A12" s="0" t="s">
        <v>7336</v>
      </c>
      <c r="B12" s="0" t="s">
        <v>275</v>
      </c>
      <c r="C12" s="0" t="s">
        <v>276</v>
      </c>
      <c r="D12" s="0" t="s">
        <v>259</v>
      </c>
      <c r="E12" s="0" t="s">
        <v>277</v>
      </c>
      <c r="F12" s="0" t="s">
        <v>278</v>
      </c>
      <c r="G12" s="0" t="s">
        <v>118</v>
      </c>
      <c r="H12" s="0" t="s">
        <v>7378</v>
      </c>
      <c r="I12" s="0" t="s">
        <v>7338</v>
      </c>
      <c r="J12" s="0" t="s">
        <v>258</v>
      </c>
      <c r="K12" s="0" t="s">
        <v>7339</v>
      </c>
      <c r="L12" s="0" t="s">
        <v>7340</v>
      </c>
      <c r="M12" s="0" t="s">
        <v>7367</v>
      </c>
      <c r="N12" s="0" t="s">
        <v>7342</v>
      </c>
      <c r="P12" s="0" t="s">
        <v>229</v>
      </c>
      <c r="Q12" s="0" t="s">
        <v>7368</v>
      </c>
      <c r="R12" s="0" t="s">
        <v>7343</v>
      </c>
      <c r="S12" s="0" t="s">
        <v>7344</v>
      </c>
      <c r="T12" s="0" t="s">
        <v>260</v>
      </c>
      <c r="U12" s="0" t="s">
        <v>7369</v>
      </c>
      <c r="V12" s="0" t="s">
        <v>34</v>
      </c>
      <c r="W12" s="0" t="s">
        <v>44</v>
      </c>
      <c r="X12" s="0" t="s">
        <v>7355</v>
      </c>
      <c r="Y12" s="0" t="s">
        <v>7346</v>
      </c>
      <c r="Z12" s="0" t="s">
        <v>7370</v>
      </c>
      <c r="AA12" s="0" t="s">
        <v>7371</v>
      </c>
      <c r="AB12" s="0" t="s">
        <v>262</v>
      </c>
      <c r="AC12" s="0" t="s">
        <v>7349</v>
      </c>
      <c r="AD12" s="0" t="s">
        <v>7372</v>
      </c>
      <c r="AE12" s="0" t="s">
        <v>7373</v>
      </c>
      <c r="AF12" s="0" t="s">
        <v>7374</v>
      </c>
      <c r="AG12" s="0" t="s">
        <v>261</v>
      </c>
    </row>
    <row r="13" customFormat="false" ht="15" hidden="false" customHeight="false" outlineLevel="0" collapsed="false">
      <c r="A13" s="0" t="s">
        <v>7336</v>
      </c>
      <c r="B13" s="0" t="s">
        <v>279</v>
      </c>
      <c r="C13" s="0" t="s">
        <v>280</v>
      </c>
      <c r="D13" s="0" t="s">
        <v>259</v>
      </c>
      <c r="E13" s="0" t="s">
        <v>281</v>
      </c>
      <c r="F13" s="0" t="s">
        <v>282</v>
      </c>
      <c r="G13" s="0" t="s">
        <v>118</v>
      </c>
      <c r="H13" s="0" t="s">
        <v>7379</v>
      </c>
      <c r="I13" s="0" t="s">
        <v>7338</v>
      </c>
      <c r="J13" s="0" t="s">
        <v>258</v>
      </c>
      <c r="K13" s="0" t="s">
        <v>7339</v>
      </c>
      <c r="L13" s="0" t="s">
        <v>7340</v>
      </c>
      <c r="M13" s="0" t="s">
        <v>7367</v>
      </c>
      <c r="N13" s="0" t="s">
        <v>7342</v>
      </c>
      <c r="P13" s="0" t="s">
        <v>229</v>
      </c>
      <c r="Q13" s="0" t="s">
        <v>7368</v>
      </c>
      <c r="R13" s="0" t="s">
        <v>7343</v>
      </c>
      <c r="S13" s="0" t="s">
        <v>7344</v>
      </c>
      <c r="T13" s="0" t="s">
        <v>260</v>
      </c>
      <c r="U13" s="0" t="s">
        <v>7369</v>
      </c>
      <c r="V13" s="0" t="s">
        <v>34</v>
      </c>
      <c r="W13" s="0" t="s">
        <v>44</v>
      </c>
      <c r="X13" s="0" t="s">
        <v>7355</v>
      </c>
      <c r="Y13" s="0" t="s">
        <v>7346</v>
      </c>
      <c r="Z13" s="0" t="s">
        <v>7370</v>
      </c>
      <c r="AA13" s="0" t="s">
        <v>7371</v>
      </c>
      <c r="AB13" s="0" t="s">
        <v>262</v>
      </c>
      <c r="AC13" s="0" t="s">
        <v>7349</v>
      </c>
      <c r="AD13" s="0" t="s">
        <v>7372</v>
      </c>
      <c r="AE13" s="0" t="s">
        <v>7373</v>
      </c>
      <c r="AF13" s="0" t="s">
        <v>7374</v>
      </c>
      <c r="AG13" s="0" t="s">
        <v>261</v>
      </c>
    </row>
    <row r="14" customFormat="false" ht="15" hidden="false" customHeight="false" outlineLevel="0" collapsed="false">
      <c r="A14" s="0" t="s">
        <v>7336</v>
      </c>
      <c r="B14" s="0" t="s">
        <v>283</v>
      </c>
      <c r="C14" s="0" t="s">
        <v>284</v>
      </c>
      <c r="D14" s="0" t="s">
        <v>259</v>
      </c>
      <c r="E14" s="0" t="s">
        <v>285</v>
      </c>
      <c r="F14" s="0" t="s">
        <v>286</v>
      </c>
      <c r="G14" s="0" t="s">
        <v>118</v>
      </c>
      <c r="H14" s="0" t="s">
        <v>7380</v>
      </c>
      <c r="I14" s="0" t="s">
        <v>7338</v>
      </c>
      <c r="J14" s="0" t="s">
        <v>258</v>
      </c>
      <c r="K14" s="0" t="s">
        <v>7339</v>
      </c>
      <c r="L14" s="0" t="s">
        <v>7340</v>
      </c>
      <c r="M14" s="0" t="s">
        <v>7367</v>
      </c>
      <c r="N14" s="0" t="s">
        <v>7342</v>
      </c>
      <c r="P14" s="0" t="s">
        <v>229</v>
      </c>
      <c r="Q14" s="0" t="s">
        <v>7368</v>
      </c>
      <c r="R14" s="0" t="s">
        <v>7343</v>
      </c>
      <c r="S14" s="0" t="s">
        <v>7344</v>
      </c>
      <c r="T14" s="0" t="s">
        <v>260</v>
      </c>
      <c r="U14" s="0" t="s">
        <v>7369</v>
      </c>
      <c r="V14" s="0" t="s">
        <v>34</v>
      </c>
      <c r="W14" s="0" t="s">
        <v>44</v>
      </c>
      <c r="X14" s="0" t="s">
        <v>7355</v>
      </c>
      <c r="Y14" s="0" t="s">
        <v>7346</v>
      </c>
      <c r="Z14" s="0" t="s">
        <v>7370</v>
      </c>
      <c r="AA14" s="0" t="s">
        <v>7371</v>
      </c>
      <c r="AB14" s="0" t="s">
        <v>262</v>
      </c>
      <c r="AC14" s="0" t="s">
        <v>7349</v>
      </c>
      <c r="AD14" s="0" t="s">
        <v>7372</v>
      </c>
      <c r="AE14" s="0" t="s">
        <v>7373</v>
      </c>
      <c r="AF14" s="0" t="s">
        <v>7374</v>
      </c>
      <c r="AG14" s="0" t="s">
        <v>261</v>
      </c>
    </row>
    <row r="15" customFormat="false" ht="15" hidden="false" customHeight="false" outlineLevel="0" collapsed="false">
      <c r="A15" s="0" t="s">
        <v>7336</v>
      </c>
      <c r="B15" s="0" t="s">
        <v>287</v>
      </c>
      <c r="C15" s="0" t="s">
        <v>288</v>
      </c>
      <c r="D15" s="0" t="s">
        <v>259</v>
      </c>
      <c r="E15" s="0" t="s">
        <v>289</v>
      </c>
      <c r="F15" s="0" t="s">
        <v>290</v>
      </c>
      <c r="G15" s="0" t="s">
        <v>118</v>
      </c>
      <c r="H15" s="0" t="s">
        <v>7381</v>
      </c>
      <c r="I15" s="0" t="s">
        <v>7338</v>
      </c>
      <c r="J15" s="0" t="s">
        <v>258</v>
      </c>
      <c r="K15" s="0" t="s">
        <v>7339</v>
      </c>
      <c r="L15" s="0" t="s">
        <v>7340</v>
      </c>
      <c r="M15" s="0" t="s">
        <v>7367</v>
      </c>
      <c r="N15" s="0" t="s">
        <v>7342</v>
      </c>
      <c r="P15" s="0" t="s">
        <v>229</v>
      </c>
      <c r="Q15" s="0" t="s">
        <v>7368</v>
      </c>
      <c r="R15" s="0" t="s">
        <v>7343</v>
      </c>
      <c r="S15" s="0" t="s">
        <v>7344</v>
      </c>
      <c r="T15" s="0" t="s">
        <v>260</v>
      </c>
      <c r="U15" s="0" t="s">
        <v>7369</v>
      </c>
      <c r="V15" s="0" t="s">
        <v>34</v>
      </c>
      <c r="W15" s="0" t="s">
        <v>44</v>
      </c>
      <c r="X15" s="0" t="s">
        <v>7355</v>
      </c>
      <c r="Y15" s="0" t="s">
        <v>7346</v>
      </c>
      <c r="Z15" s="0" t="s">
        <v>7370</v>
      </c>
      <c r="AA15" s="0" t="s">
        <v>7371</v>
      </c>
      <c r="AB15" s="0" t="s">
        <v>262</v>
      </c>
      <c r="AC15" s="0" t="s">
        <v>7349</v>
      </c>
      <c r="AD15" s="0" t="s">
        <v>7372</v>
      </c>
      <c r="AE15" s="0" t="s">
        <v>7373</v>
      </c>
      <c r="AF15" s="0" t="s">
        <v>7374</v>
      </c>
      <c r="AG15" s="0" t="s">
        <v>261</v>
      </c>
    </row>
    <row r="16" customFormat="false" ht="15" hidden="false" customHeight="false" outlineLevel="0" collapsed="false">
      <c r="A16" s="0" t="s">
        <v>7336</v>
      </c>
      <c r="B16" s="0" t="s">
        <v>291</v>
      </c>
      <c r="C16" s="0" t="s">
        <v>292</v>
      </c>
      <c r="D16" s="0" t="s">
        <v>259</v>
      </c>
      <c r="E16" s="0" t="s">
        <v>293</v>
      </c>
      <c r="F16" s="0" t="s">
        <v>294</v>
      </c>
      <c r="G16" s="0" t="s">
        <v>118</v>
      </c>
      <c r="H16" s="0" t="s">
        <v>7382</v>
      </c>
      <c r="I16" s="0" t="s">
        <v>7338</v>
      </c>
      <c r="J16" s="0" t="s">
        <v>258</v>
      </c>
      <c r="K16" s="0" t="s">
        <v>7339</v>
      </c>
      <c r="L16" s="0" t="s">
        <v>7340</v>
      </c>
      <c r="M16" s="0" t="s">
        <v>7367</v>
      </c>
      <c r="N16" s="0" t="s">
        <v>7342</v>
      </c>
      <c r="P16" s="0" t="s">
        <v>229</v>
      </c>
      <c r="Q16" s="0" t="s">
        <v>7368</v>
      </c>
      <c r="R16" s="0" t="s">
        <v>7343</v>
      </c>
      <c r="S16" s="0" t="s">
        <v>7344</v>
      </c>
      <c r="T16" s="0" t="s">
        <v>260</v>
      </c>
      <c r="U16" s="0" t="s">
        <v>7369</v>
      </c>
      <c r="V16" s="0" t="s">
        <v>34</v>
      </c>
      <c r="W16" s="0" t="s">
        <v>44</v>
      </c>
      <c r="X16" s="0" t="s">
        <v>7355</v>
      </c>
      <c r="Y16" s="0" t="s">
        <v>7346</v>
      </c>
      <c r="Z16" s="0" t="s">
        <v>7370</v>
      </c>
      <c r="AA16" s="0" t="s">
        <v>7371</v>
      </c>
      <c r="AB16" s="0" t="s">
        <v>262</v>
      </c>
      <c r="AC16" s="0" t="s">
        <v>7349</v>
      </c>
      <c r="AD16" s="0" t="s">
        <v>7372</v>
      </c>
      <c r="AE16" s="0" t="s">
        <v>7373</v>
      </c>
      <c r="AF16" s="0" t="s">
        <v>7374</v>
      </c>
      <c r="AG16" s="0" t="s">
        <v>261</v>
      </c>
    </row>
    <row r="17" customFormat="false" ht="15" hidden="false" customHeight="false" outlineLevel="0" collapsed="false">
      <c r="A17" s="0" t="s">
        <v>7336</v>
      </c>
      <c r="B17" s="0" t="s">
        <v>295</v>
      </c>
      <c r="C17" s="0" t="s">
        <v>296</v>
      </c>
      <c r="D17" s="0" t="s">
        <v>300</v>
      </c>
      <c r="E17" s="0" t="s">
        <v>297</v>
      </c>
      <c r="F17" s="0" t="s">
        <v>298</v>
      </c>
      <c r="G17" s="0" t="s">
        <v>138</v>
      </c>
      <c r="H17" s="0" t="s">
        <v>7383</v>
      </c>
      <c r="I17" s="0" t="s">
        <v>7338</v>
      </c>
      <c r="J17" s="0" t="s">
        <v>299</v>
      </c>
      <c r="K17" s="0" t="s">
        <v>7339</v>
      </c>
      <c r="L17" s="0" t="s">
        <v>7340</v>
      </c>
      <c r="M17" s="0" t="s">
        <v>7384</v>
      </c>
      <c r="N17" s="0" t="s">
        <v>7342</v>
      </c>
      <c r="O17" s="0" t="s">
        <v>7360</v>
      </c>
      <c r="P17" s="0" t="s">
        <v>236</v>
      </c>
      <c r="Q17" s="0" t="s">
        <v>7354</v>
      </c>
      <c r="R17" s="0" t="s">
        <v>7343</v>
      </c>
      <c r="S17" s="0" t="s">
        <v>7344</v>
      </c>
      <c r="T17" s="0" t="s">
        <v>302</v>
      </c>
      <c r="U17" s="0" t="s">
        <v>7369</v>
      </c>
      <c r="V17" s="0" t="s">
        <v>34</v>
      </c>
      <c r="W17" s="0" t="s">
        <v>301</v>
      </c>
      <c r="X17" s="0" t="s">
        <v>7355</v>
      </c>
      <c r="Y17" s="0" t="s">
        <v>7346</v>
      </c>
      <c r="Z17" s="0" t="s">
        <v>7370</v>
      </c>
      <c r="AA17" s="0" t="s">
        <v>7385</v>
      </c>
      <c r="AB17" s="0" t="s">
        <v>262</v>
      </c>
      <c r="AC17" s="0" t="s">
        <v>7349</v>
      </c>
      <c r="AD17" s="0" t="s">
        <v>681</v>
      </c>
      <c r="AE17" s="0" t="s">
        <v>681</v>
      </c>
      <c r="AG17" s="0" t="s">
        <v>230</v>
      </c>
    </row>
    <row r="18" customFormat="false" ht="15" hidden="false" customHeight="false" outlineLevel="0" collapsed="false">
      <c r="A18" s="0" t="s">
        <v>7336</v>
      </c>
      <c r="B18" s="0" t="s">
        <v>303</v>
      </c>
      <c r="C18" s="0" t="s">
        <v>304</v>
      </c>
      <c r="D18" s="0" t="s">
        <v>300</v>
      </c>
      <c r="E18" s="0" t="s">
        <v>305</v>
      </c>
      <c r="F18" s="0" t="s">
        <v>298</v>
      </c>
      <c r="G18" s="0" t="s">
        <v>138</v>
      </c>
      <c r="H18" s="0" t="s">
        <v>7383</v>
      </c>
      <c r="I18" s="0" t="s">
        <v>7338</v>
      </c>
      <c r="J18" s="0" t="s">
        <v>299</v>
      </c>
      <c r="K18" s="0" t="s">
        <v>7339</v>
      </c>
      <c r="L18" s="0" t="s">
        <v>7340</v>
      </c>
      <c r="M18" s="0" t="s">
        <v>7384</v>
      </c>
      <c r="N18" s="0" t="s">
        <v>7342</v>
      </c>
      <c r="O18" s="0" t="s">
        <v>7360</v>
      </c>
      <c r="P18" s="0" t="s">
        <v>236</v>
      </c>
      <c r="Q18" s="0" t="s">
        <v>7354</v>
      </c>
      <c r="R18" s="0" t="s">
        <v>7343</v>
      </c>
      <c r="S18" s="0" t="s">
        <v>7344</v>
      </c>
      <c r="T18" s="0" t="s">
        <v>302</v>
      </c>
      <c r="U18" s="0" t="s">
        <v>7369</v>
      </c>
      <c r="V18" s="0" t="s">
        <v>34</v>
      </c>
      <c r="W18" s="0" t="s">
        <v>301</v>
      </c>
      <c r="X18" s="0" t="s">
        <v>7355</v>
      </c>
      <c r="Y18" s="0" t="s">
        <v>7346</v>
      </c>
      <c r="Z18" s="0" t="s">
        <v>7370</v>
      </c>
      <c r="AA18" s="0" t="s">
        <v>7385</v>
      </c>
      <c r="AB18" s="0" t="s">
        <v>262</v>
      </c>
      <c r="AC18" s="0" t="s">
        <v>7349</v>
      </c>
      <c r="AD18" s="0" t="s">
        <v>681</v>
      </c>
      <c r="AE18" s="0" t="s">
        <v>681</v>
      </c>
      <c r="AG18" s="0" t="s">
        <v>230</v>
      </c>
    </row>
    <row r="19" customFormat="false" ht="15" hidden="false" customHeight="false" outlineLevel="0" collapsed="false">
      <c r="A19" s="0" t="s">
        <v>7336</v>
      </c>
      <c r="B19" s="0" t="s">
        <v>306</v>
      </c>
      <c r="C19" s="0" t="s">
        <v>307</v>
      </c>
      <c r="D19" s="0" t="s">
        <v>300</v>
      </c>
      <c r="E19" s="0" t="s">
        <v>308</v>
      </c>
      <c r="F19" s="0" t="s">
        <v>309</v>
      </c>
      <c r="G19" s="0" t="s">
        <v>138</v>
      </c>
      <c r="H19" s="0" t="s">
        <v>7386</v>
      </c>
      <c r="I19" s="0" t="s">
        <v>7338</v>
      </c>
      <c r="J19" s="0" t="s">
        <v>299</v>
      </c>
      <c r="K19" s="0" t="s">
        <v>7339</v>
      </c>
      <c r="L19" s="0" t="s">
        <v>7340</v>
      </c>
      <c r="M19" s="0" t="s">
        <v>7384</v>
      </c>
      <c r="N19" s="0" t="s">
        <v>7342</v>
      </c>
      <c r="O19" s="0" t="s">
        <v>7360</v>
      </c>
      <c r="P19" s="0" t="s">
        <v>236</v>
      </c>
      <c r="Q19" s="0" t="s">
        <v>7354</v>
      </c>
      <c r="R19" s="0" t="s">
        <v>7343</v>
      </c>
      <c r="S19" s="0" t="s">
        <v>7344</v>
      </c>
      <c r="T19" s="0" t="s">
        <v>302</v>
      </c>
      <c r="U19" s="0" t="s">
        <v>7369</v>
      </c>
      <c r="V19" s="0" t="s">
        <v>34</v>
      </c>
      <c r="W19" s="0" t="s">
        <v>41</v>
      </c>
      <c r="X19" s="0" t="s">
        <v>7355</v>
      </c>
      <c r="Y19" s="0" t="s">
        <v>7346</v>
      </c>
      <c r="Z19" s="0" t="s">
        <v>7370</v>
      </c>
      <c r="AA19" s="0" t="s">
        <v>7385</v>
      </c>
      <c r="AB19" s="0" t="s">
        <v>262</v>
      </c>
      <c r="AC19" s="0" t="s">
        <v>7349</v>
      </c>
      <c r="AD19" s="0" t="s">
        <v>681</v>
      </c>
      <c r="AE19" s="0" t="s">
        <v>681</v>
      </c>
      <c r="AG19" s="0" t="s">
        <v>230</v>
      </c>
    </row>
    <row r="20" customFormat="false" ht="15" hidden="false" customHeight="false" outlineLevel="0" collapsed="false">
      <c r="A20" s="0" t="s">
        <v>7336</v>
      </c>
      <c r="B20" s="0" t="s">
        <v>310</v>
      </c>
      <c r="C20" s="0" t="s">
        <v>311</v>
      </c>
      <c r="D20" s="0" t="s">
        <v>300</v>
      </c>
      <c r="E20" s="0" t="s">
        <v>312</v>
      </c>
      <c r="F20" s="0" t="s">
        <v>309</v>
      </c>
      <c r="G20" s="0" t="s">
        <v>138</v>
      </c>
      <c r="H20" s="0" t="s">
        <v>7386</v>
      </c>
      <c r="I20" s="0" t="s">
        <v>7338</v>
      </c>
      <c r="J20" s="0" t="s">
        <v>299</v>
      </c>
      <c r="K20" s="0" t="s">
        <v>7339</v>
      </c>
      <c r="L20" s="0" t="s">
        <v>7340</v>
      </c>
      <c r="M20" s="0" t="s">
        <v>7384</v>
      </c>
      <c r="N20" s="0" t="s">
        <v>7342</v>
      </c>
      <c r="O20" s="0" t="s">
        <v>7360</v>
      </c>
      <c r="P20" s="0" t="s">
        <v>236</v>
      </c>
      <c r="Q20" s="0" t="s">
        <v>7354</v>
      </c>
      <c r="R20" s="0" t="s">
        <v>7343</v>
      </c>
      <c r="S20" s="0" t="s">
        <v>7344</v>
      </c>
      <c r="T20" s="0" t="s">
        <v>302</v>
      </c>
      <c r="U20" s="0" t="s">
        <v>7369</v>
      </c>
      <c r="V20" s="0" t="s">
        <v>34</v>
      </c>
      <c r="W20" s="0" t="s">
        <v>41</v>
      </c>
      <c r="X20" s="0" t="s">
        <v>7355</v>
      </c>
      <c r="Y20" s="0" t="s">
        <v>7346</v>
      </c>
      <c r="Z20" s="0" t="s">
        <v>7370</v>
      </c>
      <c r="AA20" s="0" t="s">
        <v>7385</v>
      </c>
      <c r="AB20" s="0" t="s">
        <v>262</v>
      </c>
      <c r="AC20" s="0" t="s">
        <v>7349</v>
      </c>
      <c r="AD20" s="0" t="s">
        <v>681</v>
      </c>
      <c r="AE20" s="0" t="s">
        <v>681</v>
      </c>
      <c r="AG20" s="0" t="s">
        <v>230</v>
      </c>
    </row>
    <row r="21" customFormat="false" ht="15" hidden="false" customHeight="false" outlineLevel="0" collapsed="false">
      <c r="A21" s="0" t="s">
        <v>7336</v>
      </c>
      <c r="B21" s="0" t="s">
        <v>313</v>
      </c>
      <c r="C21" s="0" t="s">
        <v>314</v>
      </c>
      <c r="D21" s="0" t="s">
        <v>300</v>
      </c>
      <c r="E21" s="0" t="s">
        <v>315</v>
      </c>
      <c r="F21" s="0" t="s">
        <v>316</v>
      </c>
      <c r="G21" s="0" t="s">
        <v>138</v>
      </c>
      <c r="H21" s="0" t="s">
        <v>7387</v>
      </c>
      <c r="I21" s="0" t="s">
        <v>7338</v>
      </c>
      <c r="J21" s="0" t="s">
        <v>299</v>
      </c>
      <c r="K21" s="0" t="s">
        <v>7339</v>
      </c>
      <c r="L21" s="0" t="s">
        <v>7340</v>
      </c>
      <c r="M21" s="0" t="s">
        <v>7384</v>
      </c>
      <c r="N21" s="0" t="s">
        <v>7342</v>
      </c>
      <c r="O21" s="0" t="s">
        <v>7360</v>
      </c>
      <c r="P21" s="0" t="s">
        <v>236</v>
      </c>
      <c r="Q21" s="0" t="s">
        <v>7354</v>
      </c>
      <c r="R21" s="0" t="s">
        <v>7343</v>
      </c>
      <c r="S21" s="0" t="s">
        <v>7344</v>
      </c>
      <c r="T21" s="0" t="s">
        <v>302</v>
      </c>
      <c r="U21" s="0" t="s">
        <v>7369</v>
      </c>
      <c r="V21" s="0" t="s">
        <v>34</v>
      </c>
      <c r="W21" s="0" t="s">
        <v>41</v>
      </c>
      <c r="X21" s="0" t="s">
        <v>7355</v>
      </c>
      <c r="Y21" s="0" t="s">
        <v>7346</v>
      </c>
      <c r="Z21" s="0" t="s">
        <v>7370</v>
      </c>
      <c r="AA21" s="0" t="s">
        <v>7385</v>
      </c>
      <c r="AB21" s="0" t="s">
        <v>262</v>
      </c>
      <c r="AC21" s="0" t="s">
        <v>7349</v>
      </c>
      <c r="AD21" s="0" t="s">
        <v>681</v>
      </c>
      <c r="AE21" s="0" t="s">
        <v>681</v>
      </c>
      <c r="AG21" s="0" t="s">
        <v>230</v>
      </c>
    </row>
    <row r="22" customFormat="false" ht="15" hidden="false" customHeight="false" outlineLevel="0" collapsed="false">
      <c r="A22" s="0" t="s">
        <v>7336</v>
      </c>
      <c r="B22" s="0" t="s">
        <v>317</v>
      </c>
      <c r="C22" s="0" t="s">
        <v>318</v>
      </c>
      <c r="D22" s="0" t="s">
        <v>300</v>
      </c>
      <c r="E22" s="0" t="s">
        <v>319</v>
      </c>
      <c r="F22" s="0" t="s">
        <v>316</v>
      </c>
      <c r="G22" s="0" t="s">
        <v>138</v>
      </c>
      <c r="H22" s="0" t="s">
        <v>7387</v>
      </c>
      <c r="I22" s="0" t="s">
        <v>7338</v>
      </c>
      <c r="J22" s="0" t="s">
        <v>299</v>
      </c>
      <c r="K22" s="0" t="s">
        <v>7339</v>
      </c>
      <c r="L22" s="0" t="s">
        <v>7340</v>
      </c>
      <c r="M22" s="0" t="s">
        <v>7384</v>
      </c>
      <c r="N22" s="0" t="s">
        <v>7342</v>
      </c>
      <c r="O22" s="0" t="s">
        <v>7360</v>
      </c>
      <c r="P22" s="0" t="s">
        <v>236</v>
      </c>
      <c r="Q22" s="0" t="s">
        <v>7354</v>
      </c>
      <c r="R22" s="0" t="s">
        <v>7343</v>
      </c>
      <c r="S22" s="0" t="s">
        <v>7344</v>
      </c>
      <c r="T22" s="0" t="s">
        <v>302</v>
      </c>
      <c r="U22" s="0" t="s">
        <v>7369</v>
      </c>
      <c r="V22" s="0" t="s">
        <v>34</v>
      </c>
      <c r="W22" s="0" t="s">
        <v>41</v>
      </c>
      <c r="X22" s="0" t="s">
        <v>7355</v>
      </c>
      <c r="Y22" s="0" t="s">
        <v>7346</v>
      </c>
      <c r="Z22" s="0" t="s">
        <v>7370</v>
      </c>
      <c r="AA22" s="0" t="s">
        <v>7385</v>
      </c>
      <c r="AB22" s="0" t="s">
        <v>262</v>
      </c>
      <c r="AC22" s="0" t="s">
        <v>7349</v>
      </c>
      <c r="AD22" s="0" t="s">
        <v>681</v>
      </c>
      <c r="AE22" s="0" t="s">
        <v>681</v>
      </c>
      <c r="AG22" s="0" t="s">
        <v>230</v>
      </c>
    </row>
    <row r="23" customFormat="false" ht="15" hidden="false" customHeight="false" outlineLevel="0" collapsed="false">
      <c r="A23" s="0" t="s">
        <v>7336</v>
      </c>
      <c r="B23" s="0" t="s">
        <v>320</v>
      </c>
      <c r="C23" s="0" t="s">
        <v>321</v>
      </c>
      <c r="D23" s="0" t="s">
        <v>300</v>
      </c>
      <c r="E23" s="0" t="s">
        <v>322</v>
      </c>
      <c r="F23" s="0" t="s">
        <v>323</v>
      </c>
      <c r="G23" s="0" t="s">
        <v>324</v>
      </c>
      <c r="H23" s="0" t="s">
        <v>7388</v>
      </c>
      <c r="I23" s="0" t="s">
        <v>7338</v>
      </c>
      <c r="J23" s="0" t="s">
        <v>325</v>
      </c>
      <c r="K23" s="0" t="s">
        <v>7339</v>
      </c>
      <c r="L23" s="0" t="s">
        <v>7340</v>
      </c>
      <c r="M23" s="0" t="s">
        <v>7389</v>
      </c>
      <c r="N23" s="0" t="s">
        <v>7342</v>
      </c>
      <c r="O23" s="0" t="s">
        <v>7360</v>
      </c>
      <c r="P23" s="0" t="s">
        <v>236</v>
      </c>
      <c r="Q23" s="0" t="s">
        <v>7354</v>
      </c>
      <c r="R23" s="0" t="s">
        <v>7343</v>
      </c>
      <c r="S23" s="0" t="s">
        <v>7344</v>
      </c>
      <c r="T23" s="0" t="s">
        <v>302</v>
      </c>
      <c r="U23" s="0" t="s">
        <v>7369</v>
      </c>
      <c r="V23" s="0" t="s">
        <v>34</v>
      </c>
      <c r="W23" s="0" t="s">
        <v>41</v>
      </c>
      <c r="X23" s="0" t="s">
        <v>7355</v>
      </c>
      <c r="Y23" s="0" t="s">
        <v>7346</v>
      </c>
      <c r="Z23" s="0" t="s">
        <v>7370</v>
      </c>
      <c r="AA23" s="0" t="s">
        <v>7385</v>
      </c>
      <c r="AB23" s="0" t="s">
        <v>262</v>
      </c>
      <c r="AC23" s="0" t="s">
        <v>7349</v>
      </c>
      <c r="AD23" s="0" t="s">
        <v>681</v>
      </c>
      <c r="AE23" s="0" t="s">
        <v>681</v>
      </c>
      <c r="AG23" s="0" t="s">
        <v>230</v>
      </c>
    </row>
    <row r="24" customFormat="false" ht="15" hidden="false" customHeight="false" outlineLevel="0" collapsed="false">
      <c r="A24" s="0" t="s">
        <v>7336</v>
      </c>
      <c r="B24" s="0" t="s">
        <v>326</v>
      </c>
      <c r="C24" s="0" t="s">
        <v>327</v>
      </c>
      <c r="D24" s="0" t="s">
        <v>300</v>
      </c>
      <c r="E24" s="0" t="s">
        <v>328</v>
      </c>
      <c r="F24" s="0" t="s">
        <v>323</v>
      </c>
      <c r="G24" s="0" t="s">
        <v>324</v>
      </c>
      <c r="H24" s="0" t="s">
        <v>7388</v>
      </c>
      <c r="I24" s="0" t="s">
        <v>7338</v>
      </c>
      <c r="J24" s="0" t="s">
        <v>325</v>
      </c>
      <c r="K24" s="0" t="s">
        <v>7339</v>
      </c>
      <c r="L24" s="0" t="s">
        <v>7340</v>
      </c>
      <c r="M24" s="0" t="s">
        <v>7389</v>
      </c>
      <c r="N24" s="0" t="s">
        <v>7342</v>
      </c>
      <c r="O24" s="0" t="s">
        <v>7360</v>
      </c>
      <c r="P24" s="0" t="s">
        <v>236</v>
      </c>
      <c r="Q24" s="0" t="s">
        <v>7354</v>
      </c>
      <c r="R24" s="0" t="s">
        <v>7343</v>
      </c>
      <c r="S24" s="0" t="s">
        <v>7344</v>
      </c>
      <c r="T24" s="0" t="s">
        <v>302</v>
      </c>
      <c r="U24" s="0" t="s">
        <v>7369</v>
      </c>
      <c r="V24" s="0" t="s">
        <v>34</v>
      </c>
      <c r="W24" s="0" t="s">
        <v>41</v>
      </c>
      <c r="X24" s="0" t="s">
        <v>7355</v>
      </c>
      <c r="Y24" s="0" t="s">
        <v>7346</v>
      </c>
      <c r="Z24" s="0" t="s">
        <v>7370</v>
      </c>
      <c r="AA24" s="0" t="s">
        <v>7385</v>
      </c>
      <c r="AB24" s="0" t="s">
        <v>262</v>
      </c>
      <c r="AC24" s="0" t="s">
        <v>7349</v>
      </c>
      <c r="AD24" s="0" t="s">
        <v>681</v>
      </c>
      <c r="AE24" s="0" t="s">
        <v>681</v>
      </c>
      <c r="AG24" s="0" t="s">
        <v>230</v>
      </c>
    </row>
    <row r="25" customFormat="false" ht="15" hidden="false" customHeight="false" outlineLevel="0" collapsed="false">
      <c r="A25" s="0" t="s">
        <v>7336</v>
      </c>
      <c r="B25" s="0" t="s">
        <v>329</v>
      </c>
      <c r="C25" s="0" t="s">
        <v>330</v>
      </c>
      <c r="D25" s="0" t="s">
        <v>300</v>
      </c>
      <c r="E25" s="0" t="s">
        <v>331</v>
      </c>
      <c r="F25" s="0" t="s">
        <v>332</v>
      </c>
      <c r="G25" s="0" t="s">
        <v>324</v>
      </c>
      <c r="H25" s="0" t="s">
        <v>7390</v>
      </c>
      <c r="I25" s="0" t="s">
        <v>7338</v>
      </c>
      <c r="J25" s="0" t="s">
        <v>325</v>
      </c>
      <c r="K25" s="0" t="s">
        <v>7339</v>
      </c>
      <c r="L25" s="0" t="s">
        <v>7340</v>
      </c>
      <c r="M25" s="0" t="s">
        <v>7389</v>
      </c>
      <c r="N25" s="0" t="s">
        <v>7342</v>
      </c>
      <c r="O25" s="0" t="s">
        <v>7360</v>
      </c>
      <c r="P25" s="0" t="s">
        <v>236</v>
      </c>
      <c r="Q25" s="0" t="s">
        <v>7354</v>
      </c>
      <c r="R25" s="0" t="s">
        <v>7343</v>
      </c>
      <c r="S25" s="0" t="s">
        <v>7344</v>
      </c>
      <c r="T25" s="0" t="s">
        <v>302</v>
      </c>
      <c r="U25" s="0" t="s">
        <v>7369</v>
      </c>
      <c r="V25" s="0" t="s">
        <v>34</v>
      </c>
      <c r="W25" s="0" t="s">
        <v>301</v>
      </c>
      <c r="X25" s="0" t="s">
        <v>7355</v>
      </c>
      <c r="Y25" s="0" t="s">
        <v>7346</v>
      </c>
      <c r="Z25" s="0" t="s">
        <v>7370</v>
      </c>
      <c r="AA25" s="0" t="s">
        <v>7385</v>
      </c>
      <c r="AB25" s="0" t="s">
        <v>262</v>
      </c>
      <c r="AC25" s="0" t="s">
        <v>7349</v>
      </c>
      <c r="AD25" s="0" t="s">
        <v>681</v>
      </c>
      <c r="AE25" s="0" t="s">
        <v>681</v>
      </c>
      <c r="AG25" s="0" t="s">
        <v>230</v>
      </c>
    </row>
    <row r="26" customFormat="false" ht="15" hidden="false" customHeight="false" outlineLevel="0" collapsed="false">
      <c r="A26" s="0" t="s">
        <v>7336</v>
      </c>
      <c r="B26" s="0" t="s">
        <v>333</v>
      </c>
      <c r="C26" s="0" t="s">
        <v>334</v>
      </c>
      <c r="D26" s="0" t="s">
        <v>300</v>
      </c>
      <c r="E26" s="0" t="s">
        <v>335</v>
      </c>
      <c r="F26" s="0" t="s">
        <v>336</v>
      </c>
      <c r="G26" s="0" t="s">
        <v>324</v>
      </c>
      <c r="H26" s="0" t="s">
        <v>7391</v>
      </c>
      <c r="I26" s="0" t="s">
        <v>7338</v>
      </c>
      <c r="J26" s="0" t="s">
        <v>325</v>
      </c>
      <c r="K26" s="0" t="s">
        <v>7339</v>
      </c>
      <c r="L26" s="0" t="s">
        <v>7340</v>
      </c>
      <c r="M26" s="0" t="s">
        <v>7389</v>
      </c>
      <c r="N26" s="0" t="s">
        <v>7342</v>
      </c>
      <c r="O26" s="0" t="s">
        <v>7360</v>
      </c>
      <c r="P26" s="0" t="s">
        <v>236</v>
      </c>
      <c r="Q26" s="0" t="s">
        <v>7354</v>
      </c>
      <c r="R26" s="0" t="s">
        <v>7343</v>
      </c>
      <c r="S26" s="0" t="s">
        <v>7344</v>
      </c>
      <c r="T26" s="0" t="s">
        <v>302</v>
      </c>
      <c r="U26" s="0" t="s">
        <v>7369</v>
      </c>
      <c r="V26" s="0" t="s">
        <v>34</v>
      </c>
      <c r="W26" s="0" t="s">
        <v>301</v>
      </c>
      <c r="X26" s="0" t="s">
        <v>7355</v>
      </c>
      <c r="Y26" s="0" t="s">
        <v>7346</v>
      </c>
      <c r="Z26" s="0" t="s">
        <v>7370</v>
      </c>
      <c r="AA26" s="0" t="s">
        <v>7385</v>
      </c>
      <c r="AB26" s="0" t="s">
        <v>262</v>
      </c>
      <c r="AC26" s="0" t="s">
        <v>7349</v>
      </c>
      <c r="AD26" s="0" t="s">
        <v>681</v>
      </c>
      <c r="AE26" s="0" t="s">
        <v>681</v>
      </c>
      <c r="AG26" s="0" t="s">
        <v>230</v>
      </c>
    </row>
    <row r="27" customFormat="false" ht="15" hidden="false" customHeight="false" outlineLevel="0" collapsed="false">
      <c r="A27" s="0" t="s">
        <v>7336</v>
      </c>
      <c r="B27" s="0" t="s">
        <v>337</v>
      </c>
      <c r="C27" s="0" t="s">
        <v>338</v>
      </c>
      <c r="D27" s="0" t="s">
        <v>343</v>
      </c>
      <c r="E27" s="0" t="s">
        <v>339</v>
      </c>
      <c r="F27" s="0" t="s">
        <v>340</v>
      </c>
      <c r="G27" s="0" t="s">
        <v>341</v>
      </c>
      <c r="H27" s="0" t="s">
        <v>7392</v>
      </c>
      <c r="I27" s="0" t="s">
        <v>7338</v>
      </c>
      <c r="J27" s="0" t="s">
        <v>342</v>
      </c>
      <c r="K27" s="0" t="s">
        <v>7339</v>
      </c>
      <c r="L27" s="0" t="s">
        <v>7340</v>
      </c>
      <c r="M27" s="0" t="s">
        <v>7393</v>
      </c>
      <c r="N27" s="0" t="s">
        <v>7342</v>
      </c>
      <c r="P27" s="0" t="s">
        <v>229</v>
      </c>
      <c r="Q27" s="0" t="s">
        <v>7354</v>
      </c>
      <c r="R27" s="0" t="s">
        <v>7343</v>
      </c>
      <c r="S27" s="0" t="s">
        <v>7344</v>
      </c>
      <c r="T27" s="0" t="s">
        <v>228</v>
      </c>
      <c r="V27" s="0" t="s">
        <v>73</v>
      </c>
      <c r="W27" s="0" t="s">
        <v>75</v>
      </c>
      <c r="X27" s="0" t="s">
        <v>7345</v>
      </c>
      <c r="Y27" s="0" t="s">
        <v>7356</v>
      </c>
      <c r="Z27" s="0" t="s">
        <v>7357</v>
      </c>
      <c r="AA27" s="0" t="s">
        <v>7358</v>
      </c>
      <c r="AB27" s="0" t="s">
        <v>344</v>
      </c>
      <c r="AC27" s="0" t="s">
        <v>7349</v>
      </c>
      <c r="AD27" s="0" t="s">
        <v>7394</v>
      </c>
      <c r="AE27" s="0" t="s">
        <v>7395</v>
      </c>
      <c r="AF27" s="0" t="s">
        <v>7374</v>
      </c>
      <c r="AG27" s="0" t="s">
        <v>230</v>
      </c>
    </row>
    <row r="28" customFormat="false" ht="15" hidden="false" customHeight="false" outlineLevel="0" collapsed="false">
      <c r="A28" s="0" t="s">
        <v>7336</v>
      </c>
      <c r="B28" s="0" t="s">
        <v>345</v>
      </c>
      <c r="C28" s="0" t="s">
        <v>346</v>
      </c>
      <c r="D28" s="0" t="s">
        <v>343</v>
      </c>
      <c r="E28" s="0" t="s">
        <v>347</v>
      </c>
      <c r="F28" s="0" t="s">
        <v>348</v>
      </c>
      <c r="G28" s="0" t="s">
        <v>341</v>
      </c>
      <c r="H28" s="0" t="s">
        <v>7396</v>
      </c>
      <c r="I28" s="0" t="s">
        <v>7338</v>
      </c>
      <c r="J28" s="0" t="s">
        <v>342</v>
      </c>
      <c r="K28" s="0" t="s">
        <v>7339</v>
      </c>
      <c r="L28" s="0" t="s">
        <v>7340</v>
      </c>
      <c r="M28" s="0" t="s">
        <v>7393</v>
      </c>
      <c r="N28" s="0" t="s">
        <v>7342</v>
      </c>
      <c r="P28" s="0" t="s">
        <v>229</v>
      </c>
      <c r="Q28" s="0" t="s">
        <v>7354</v>
      </c>
      <c r="R28" s="0" t="s">
        <v>7343</v>
      </c>
      <c r="S28" s="0" t="s">
        <v>7344</v>
      </c>
      <c r="T28" s="0" t="s">
        <v>228</v>
      </c>
      <c r="V28" s="0" t="s">
        <v>73</v>
      </c>
      <c r="W28" s="0" t="s">
        <v>75</v>
      </c>
      <c r="X28" s="0" t="s">
        <v>7345</v>
      </c>
      <c r="Y28" s="0" t="s">
        <v>7356</v>
      </c>
      <c r="Z28" s="0" t="s">
        <v>7357</v>
      </c>
      <c r="AA28" s="0" t="s">
        <v>7358</v>
      </c>
      <c r="AB28" s="0" t="s">
        <v>344</v>
      </c>
      <c r="AC28" s="0" t="s">
        <v>7349</v>
      </c>
      <c r="AD28" s="0" t="s">
        <v>7394</v>
      </c>
      <c r="AE28" s="0" t="s">
        <v>7395</v>
      </c>
      <c r="AF28" s="0" t="s">
        <v>7374</v>
      </c>
      <c r="AG28" s="0" t="s">
        <v>230</v>
      </c>
    </row>
    <row r="29" customFormat="false" ht="15" hidden="false" customHeight="false" outlineLevel="0" collapsed="false">
      <c r="A29" s="0" t="s">
        <v>7336</v>
      </c>
      <c r="B29" s="0" t="s">
        <v>349</v>
      </c>
      <c r="C29" s="0" t="s">
        <v>350</v>
      </c>
      <c r="D29" s="0" t="s">
        <v>343</v>
      </c>
      <c r="E29" s="0" t="s">
        <v>351</v>
      </c>
      <c r="F29" s="0" t="s">
        <v>352</v>
      </c>
      <c r="G29" s="0" t="s">
        <v>341</v>
      </c>
      <c r="H29" s="0" t="s">
        <v>7397</v>
      </c>
      <c r="I29" s="0" t="s">
        <v>7338</v>
      </c>
      <c r="J29" s="0" t="s">
        <v>342</v>
      </c>
      <c r="K29" s="0" t="s">
        <v>7339</v>
      </c>
      <c r="L29" s="0" t="s">
        <v>7340</v>
      </c>
      <c r="M29" s="0" t="s">
        <v>7393</v>
      </c>
      <c r="N29" s="0" t="s">
        <v>7342</v>
      </c>
      <c r="P29" s="0" t="s">
        <v>229</v>
      </c>
      <c r="Q29" s="0" t="s">
        <v>7354</v>
      </c>
      <c r="R29" s="0" t="s">
        <v>7343</v>
      </c>
      <c r="S29" s="0" t="s">
        <v>7344</v>
      </c>
      <c r="T29" s="0" t="s">
        <v>228</v>
      </c>
      <c r="V29" s="0" t="s">
        <v>73</v>
      </c>
      <c r="W29" s="0" t="s">
        <v>75</v>
      </c>
      <c r="X29" s="0" t="s">
        <v>7345</v>
      </c>
      <c r="Y29" s="0" t="s">
        <v>7356</v>
      </c>
      <c r="Z29" s="0" t="s">
        <v>7357</v>
      </c>
      <c r="AA29" s="0" t="s">
        <v>7358</v>
      </c>
      <c r="AB29" s="0" t="s">
        <v>344</v>
      </c>
      <c r="AC29" s="0" t="s">
        <v>7349</v>
      </c>
      <c r="AD29" s="0" t="s">
        <v>7394</v>
      </c>
      <c r="AE29" s="0" t="s">
        <v>7395</v>
      </c>
      <c r="AF29" s="0" t="s">
        <v>7374</v>
      </c>
      <c r="AG29" s="0" t="s">
        <v>230</v>
      </c>
    </row>
    <row r="30" customFormat="false" ht="15" hidden="false" customHeight="false" outlineLevel="0" collapsed="false">
      <c r="A30" s="0" t="s">
        <v>7336</v>
      </c>
      <c r="B30" s="0" t="s">
        <v>353</v>
      </c>
      <c r="C30" s="0" t="s">
        <v>354</v>
      </c>
      <c r="D30" s="0" t="s">
        <v>343</v>
      </c>
      <c r="E30" s="0" t="s">
        <v>355</v>
      </c>
      <c r="F30" s="0" t="s">
        <v>356</v>
      </c>
      <c r="G30" s="0" t="s">
        <v>341</v>
      </c>
      <c r="H30" s="0" t="s">
        <v>7398</v>
      </c>
      <c r="I30" s="0" t="s">
        <v>7338</v>
      </c>
      <c r="J30" s="0" t="s">
        <v>342</v>
      </c>
      <c r="K30" s="0" t="s">
        <v>7339</v>
      </c>
      <c r="L30" s="0" t="s">
        <v>7340</v>
      </c>
      <c r="M30" s="0" t="s">
        <v>7393</v>
      </c>
      <c r="N30" s="0" t="s">
        <v>7342</v>
      </c>
      <c r="P30" s="0" t="s">
        <v>229</v>
      </c>
      <c r="Q30" s="0" t="s">
        <v>7354</v>
      </c>
      <c r="R30" s="0" t="s">
        <v>7343</v>
      </c>
      <c r="S30" s="0" t="s">
        <v>7344</v>
      </c>
      <c r="T30" s="0" t="s">
        <v>228</v>
      </c>
      <c r="V30" s="0" t="s">
        <v>73</v>
      </c>
      <c r="W30" s="0" t="s">
        <v>75</v>
      </c>
      <c r="X30" s="0" t="s">
        <v>7345</v>
      </c>
      <c r="Y30" s="0" t="s">
        <v>7356</v>
      </c>
      <c r="Z30" s="0" t="s">
        <v>7357</v>
      </c>
      <c r="AA30" s="0" t="s">
        <v>7358</v>
      </c>
      <c r="AB30" s="0" t="s">
        <v>344</v>
      </c>
      <c r="AC30" s="0" t="s">
        <v>7349</v>
      </c>
      <c r="AD30" s="0" t="s">
        <v>7394</v>
      </c>
      <c r="AE30" s="0" t="s">
        <v>7395</v>
      </c>
      <c r="AF30" s="0" t="s">
        <v>7374</v>
      </c>
      <c r="AG30" s="0" t="s">
        <v>230</v>
      </c>
    </row>
    <row r="31" customFormat="false" ht="15" hidden="false" customHeight="false" outlineLevel="0" collapsed="false">
      <c r="A31" s="0" t="s">
        <v>7336</v>
      </c>
      <c r="B31" s="0" t="s">
        <v>357</v>
      </c>
      <c r="C31" s="0" t="s">
        <v>358</v>
      </c>
      <c r="D31" s="0" t="s">
        <v>343</v>
      </c>
      <c r="E31" s="0" t="s">
        <v>359</v>
      </c>
      <c r="F31" s="0" t="s">
        <v>360</v>
      </c>
      <c r="G31" s="0" t="s">
        <v>341</v>
      </c>
      <c r="H31" s="0" t="s">
        <v>7399</v>
      </c>
      <c r="I31" s="0" t="s">
        <v>7338</v>
      </c>
      <c r="J31" s="0" t="s">
        <v>342</v>
      </c>
      <c r="K31" s="0" t="s">
        <v>7339</v>
      </c>
      <c r="L31" s="0" t="s">
        <v>7340</v>
      </c>
      <c r="M31" s="0" t="s">
        <v>7393</v>
      </c>
      <c r="N31" s="0" t="s">
        <v>7342</v>
      </c>
      <c r="P31" s="0" t="s">
        <v>229</v>
      </c>
      <c r="Q31" s="0" t="s">
        <v>7354</v>
      </c>
      <c r="R31" s="0" t="s">
        <v>7343</v>
      </c>
      <c r="S31" s="0" t="s">
        <v>7344</v>
      </c>
      <c r="T31" s="0" t="s">
        <v>228</v>
      </c>
      <c r="V31" s="0" t="s">
        <v>73</v>
      </c>
      <c r="W31" s="0" t="s">
        <v>75</v>
      </c>
      <c r="X31" s="0" t="s">
        <v>7345</v>
      </c>
      <c r="Y31" s="0" t="s">
        <v>7356</v>
      </c>
      <c r="Z31" s="0" t="s">
        <v>7357</v>
      </c>
      <c r="AA31" s="0" t="s">
        <v>7358</v>
      </c>
      <c r="AB31" s="0" t="s">
        <v>344</v>
      </c>
      <c r="AC31" s="0" t="s">
        <v>7349</v>
      </c>
      <c r="AD31" s="0" t="s">
        <v>7394</v>
      </c>
      <c r="AE31" s="0" t="s">
        <v>7395</v>
      </c>
      <c r="AF31" s="0" t="s">
        <v>7374</v>
      </c>
      <c r="AG31" s="0" t="s">
        <v>230</v>
      </c>
    </row>
    <row r="32" customFormat="false" ht="15" hidden="false" customHeight="false" outlineLevel="0" collapsed="false">
      <c r="A32" s="0" t="s">
        <v>7336</v>
      </c>
      <c r="B32" s="0" t="s">
        <v>361</v>
      </c>
      <c r="C32" s="0" t="s">
        <v>362</v>
      </c>
      <c r="D32" s="0" t="s">
        <v>343</v>
      </c>
      <c r="E32" s="0" t="s">
        <v>363</v>
      </c>
      <c r="F32" s="0" t="s">
        <v>364</v>
      </c>
      <c r="G32" s="0" t="s">
        <v>341</v>
      </c>
      <c r="H32" s="0" t="s">
        <v>7400</v>
      </c>
      <c r="I32" s="0" t="s">
        <v>7338</v>
      </c>
      <c r="J32" s="0" t="s">
        <v>342</v>
      </c>
      <c r="K32" s="0" t="s">
        <v>7339</v>
      </c>
      <c r="L32" s="0" t="s">
        <v>7340</v>
      </c>
      <c r="M32" s="0" t="s">
        <v>7393</v>
      </c>
      <c r="N32" s="0" t="s">
        <v>7342</v>
      </c>
      <c r="P32" s="0" t="s">
        <v>229</v>
      </c>
      <c r="Q32" s="0" t="s">
        <v>7354</v>
      </c>
      <c r="R32" s="0" t="s">
        <v>7343</v>
      </c>
      <c r="S32" s="0" t="s">
        <v>7344</v>
      </c>
      <c r="T32" s="0" t="s">
        <v>228</v>
      </c>
      <c r="V32" s="0" t="s">
        <v>73</v>
      </c>
      <c r="W32" s="0" t="s">
        <v>75</v>
      </c>
      <c r="X32" s="0" t="s">
        <v>7345</v>
      </c>
      <c r="Y32" s="0" t="s">
        <v>7356</v>
      </c>
      <c r="Z32" s="0" t="s">
        <v>7357</v>
      </c>
      <c r="AA32" s="0" t="s">
        <v>7358</v>
      </c>
      <c r="AB32" s="0" t="s">
        <v>344</v>
      </c>
      <c r="AC32" s="0" t="s">
        <v>7349</v>
      </c>
      <c r="AD32" s="0" t="s">
        <v>7394</v>
      </c>
      <c r="AE32" s="0" t="s">
        <v>7395</v>
      </c>
      <c r="AF32" s="0" t="s">
        <v>7374</v>
      </c>
      <c r="AG32" s="0" t="s">
        <v>230</v>
      </c>
    </row>
    <row r="33" customFormat="false" ht="15" hidden="false" customHeight="false" outlineLevel="0" collapsed="false">
      <c r="A33" s="0" t="s">
        <v>7336</v>
      </c>
      <c r="B33" s="0" t="s">
        <v>365</v>
      </c>
      <c r="C33" s="0" t="s">
        <v>366</v>
      </c>
      <c r="D33" s="0" t="s">
        <v>343</v>
      </c>
      <c r="E33" s="0" t="s">
        <v>367</v>
      </c>
      <c r="F33" s="0" t="s">
        <v>368</v>
      </c>
      <c r="G33" s="0" t="s">
        <v>341</v>
      </c>
      <c r="H33" s="0" t="s">
        <v>7401</v>
      </c>
      <c r="I33" s="0" t="s">
        <v>7338</v>
      </c>
      <c r="J33" s="0" t="s">
        <v>342</v>
      </c>
      <c r="K33" s="0" t="s">
        <v>7339</v>
      </c>
      <c r="L33" s="0" t="s">
        <v>7340</v>
      </c>
      <c r="M33" s="0" t="s">
        <v>7393</v>
      </c>
      <c r="N33" s="0" t="s">
        <v>7342</v>
      </c>
      <c r="P33" s="0" t="s">
        <v>229</v>
      </c>
      <c r="Q33" s="0" t="s">
        <v>7354</v>
      </c>
      <c r="R33" s="0" t="s">
        <v>7343</v>
      </c>
      <c r="S33" s="0" t="s">
        <v>7344</v>
      </c>
      <c r="T33" s="0" t="s">
        <v>228</v>
      </c>
      <c r="V33" s="0" t="s">
        <v>73</v>
      </c>
      <c r="W33" s="0" t="s">
        <v>75</v>
      </c>
      <c r="X33" s="0" t="s">
        <v>7345</v>
      </c>
      <c r="Y33" s="0" t="s">
        <v>7356</v>
      </c>
      <c r="Z33" s="0" t="s">
        <v>7357</v>
      </c>
      <c r="AA33" s="0" t="s">
        <v>7358</v>
      </c>
      <c r="AB33" s="0" t="s">
        <v>344</v>
      </c>
      <c r="AC33" s="0" t="s">
        <v>7349</v>
      </c>
      <c r="AD33" s="0" t="s">
        <v>7394</v>
      </c>
      <c r="AE33" s="0" t="s">
        <v>7395</v>
      </c>
      <c r="AF33" s="0" t="s">
        <v>7374</v>
      </c>
      <c r="AG33" s="0" t="s">
        <v>230</v>
      </c>
    </row>
    <row r="34" customFormat="false" ht="15" hidden="false" customHeight="false" outlineLevel="0" collapsed="false">
      <c r="A34" s="0" t="s">
        <v>7336</v>
      </c>
      <c r="B34" s="0" t="s">
        <v>369</v>
      </c>
      <c r="C34" s="0" t="s">
        <v>370</v>
      </c>
      <c r="D34" s="0" t="s">
        <v>343</v>
      </c>
      <c r="E34" s="0" t="s">
        <v>371</v>
      </c>
      <c r="F34" s="0" t="s">
        <v>372</v>
      </c>
      <c r="G34" s="0" t="s">
        <v>341</v>
      </c>
      <c r="H34" s="0" t="s">
        <v>7402</v>
      </c>
      <c r="I34" s="0" t="s">
        <v>7338</v>
      </c>
      <c r="J34" s="0" t="s">
        <v>342</v>
      </c>
      <c r="K34" s="0" t="s">
        <v>7339</v>
      </c>
      <c r="L34" s="0" t="s">
        <v>7340</v>
      </c>
      <c r="M34" s="0" t="s">
        <v>7393</v>
      </c>
      <c r="N34" s="0" t="s">
        <v>7342</v>
      </c>
      <c r="P34" s="0" t="s">
        <v>229</v>
      </c>
      <c r="Q34" s="0" t="s">
        <v>7354</v>
      </c>
      <c r="R34" s="0" t="s">
        <v>7343</v>
      </c>
      <c r="S34" s="0" t="s">
        <v>7344</v>
      </c>
      <c r="T34" s="0" t="s">
        <v>228</v>
      </c>
      <c r="V34" s="0" t="s">
        <v>73</v>
      </c>
      <c r="W34" s="0" t="s">
        <v>75</v>
      </c>
      <c r="X34" s="0" t="s">
        <v>7345</v>
      </c>
      <c r="Y34" s="0" t="s">
        <v>7356</v>
      </c>
      <c r="Z34" s="0" t="s">
        <v>7357</v>
      </c>
      <c r="AA34" s="0" t="s">
        <v>7358</v>
      </c>
      <c r="AB34" s="0" t="s">
        <v>344</v>
      </c>
      <c r="AC34" s="0" t="s">
        <v>7349</v>
      </c>
      <c r="AD34" s="0" t="s">
        <v>7394</v>
      </c>
      <c r="AE34" s="0" t="s">
        <v>7395</v>
      </c>
      <c r="AF34" s="0" t="s">
        <v>7374</v>
      </c>
      <c r="AG34" s="0" t="s">
        <v>230</v>
      </c>
    </row>
    <row r="35" customFormat="false" ht="15" hidden="false" customHeight="false" outlineLevel="0" collapsed="false">
      <c r="A35" s="0" t="s">
        <v>7336</v>
      </c>
      <c r="B35" s="0" t="s">
        <v>373</v>
      </c>
      <c r="C35" s="0" t="s">
        <v>374</v>
      </c>
      <c r="D35" s="0" t="s">
        <v>343</v>
      </c>
      <c r="E35" s="0" t="s">
        <v>375</v>
      </c>
      <c r="F35" s="0" t="s">
        <v>376</v>
      </c>
      <c r="G35" s="0" t="s">
        <v>341</v>
      </c>
      <c r="H35" s="0" t="s">
        <v>7403</v>
      </c>
      <c r="I35" s="0" t="s">
        <v>7338</v>
      </c>
      <c r="J35" s="0" t="s">
        <v>342</v>
      </c>
      <c r="K35" s="0" t="s">
        <v>7339</v>
      </c>
      <c r="L35" s="0" t="s">
        <v>7340</v>
      </c>
      <c r="M35" s="0" t="s">
        <v>7393</v>
      </c>
      <c r="N35" s="0" t="s">
        <v>7342</v>
      </c>
      <c r="P35" s="0" t="s">
        <v>229</v>
      </c>
      <c r="Q35" s="0" t="s">
        <v>7354</v>
      </c>
      <c r="R35" s="0" t="s">
        <v>7343</v>
      </c>
      <c r="S35" s="0" t="s">
        <v>7344</v>
      </c>
      <c r="T35" s="0" t="s">
        <v>228</v>
      </c>
      <c r="V35" s="0" t="s">
        <v>73</v>
      </c>
      <c r="W35" s="0" t="s">
        <v>75</v>
      </c>
      <c r="X35" s="0" t="s">
        <v>7345</v>
      </c>
      <c r="Y35" s="0" t="s">
        <v>7356</v>
      </c>
      <c r="Z35" s="0" t="s">
        <v>7357</v>
      </c>
      <c r="AA35" s="0" t="s">
        <v>7358</v>
      </c>
      <c r="AB35" s="0" t="s">
        <v>344</v>
      </c>
      <c r="AC35" s="0" t="s">
        <v>7349</v>
      </c>
      <c r="AD35" s="0" t="s">
        <v>7394</v>
      </c>
      <c r="AE35" s="0" t="s">
        <v>7395</v>
      </c>
      <c r="AF35" s="0" t="s">
        <v>7374</v>
      </c>
      <c r="AG35" s="0" t="s">
        <v>230</v>
      </c>
    </row>
    <row r="36" customFormat="false" ht="15" hidden="false" customHeight="false" outlineLevel="0" collapsed="false">
      <c r="A36" s="0" t="s">
        <v>7336</v>
      </c>
      <c r="B36" s="0" t="s">
        <v>377</v>
      </c>
      <c r="C36" s="0" t="s">
        <v>378</v>
      </c>
      <c r="D36" s="0" t="s">
        <v>343</v>
      </c>
      <c r="E36" s="0" t="s">
        <v>379</v>
      </c>
      <c r="F36" s="0" t="s">
        <v>380</v>
      </c>
      <c r="G36" s="0" t="s">
        <v>341</v>
      </c>
      <c r="H36" s="0" t="s">
        <v>7404</v>
      </c>
      <c r="I36" s="0" t="s">
        <v>7338</v>
      </c>
      <c r="J36" s="0" t="s">
        <v>342</v>
      </c>
      <c r="K36" s="0" t="s">
        <v>7339</v>
      </c>
      <c r="L36" s="0" t="s">
        <v>7340</v>
      </c>
      <c r="M36" s="0" t="s">
        <v>7393</v>
      </c>
      <c r="N36" s="0" t="s">
        <v>7342</v>
      </c>
      <c r="P36" s="0" t="s">
        <v>229</v>
      </c>
      <c r="Q36" s="0" t="s">
        <v>7354</v>
      </c>
      <c r="R36" s="0" t="s">
        <v>7343</v>
      </c>
      <c r="S36" s="0" t="s">
        <v>7344</v>
      </c>
      <c r="T36" s="0" t="s">
        <v>228</v>
      </c>
      <c r="V36" s="0" t="s">
        <v>73</v>
      </c>
      <c r="W36" s="0" t="s">
        <v>75</v>
      </c>
      <c r="X36" s="0" t="s">
        <v>7345</v>
      </c>
      <c r="Y36" s="0" t="s">
        <v>7356</v>
      </c>
      <c r="Z36" s="0" t="s">
        <v>7357</v>
      </c>
      <c r="AA36" s="0" t="s">
        <v>7358</v>
      </c>
      <c r="AB36" s="0" t="s">
        <v>344</v>
      </c>
      <c r="AC36" s="0" t="s">
        <v>7349</v>
      </c>
      <c r="AD36" s="0" t="s">
        <v>7394</v>
      </c>
      <c r="AE36" s="0" t="s">
        <v>7395</v>
      </c>
      <c r="AF36" s="0" t="s">
        <v>7374</v>
      </c>
      <c r="AG36" s="0" t="s">
        <v>230</v>
      </c>
    </row>
    <row r="37" customFormat="false" ht="15" hidden="false" customHeight="false" outlineLevel="0" collapsed="false">
      <c r="A37" s="0" t="s">
        <v>7336</v>
      </c>
      <c r="B37" s="0" t="s">
        <v>381</v>
      </c>
      <c r="C37" s="0" t="s">
        <v>382</v>
      </c>
      <c r="D37" s="0" t="s">
        <v>343</v>
      </c>
      <c r="E37" s="0" t="s">
        <v>383</v>
      </c>
      <c r="F37" s="0" t="s">
        <v>384</v>
      </c>
      <c r="G37" s="0" t="s">
        <v>341</v>
      </c>
      <c r="H37" s="0" t="s">
        <v>7405</v>
      </c>
      <c r="I37" s="0" t="s">
        <v>7338</v>
      </c>
      <c r="J37" s="0" t="s">
        <v>342</v>
      </c>
      <c r="K37" s="0" t="s">
        <v>7339</v>
      </c>
      <c r="L37" s="0" t="s">
        <v>7340</v>
      </c>
      <c r="M37" s="0" t="s">
        <v>7393</v>
      </c>
      <c r="N37" s="0" t="s">
        <v>7342</v>
      </c>
      <c r="P37" s="0" t="s">
        <v>229</v>
      </c>
      <c r="Q37" s="0" t="s">
        <v>7354</v>
      </c>
      <c r="R37" s="0" t="s">
        <v>7343</v>
      </c>
      <c r="S37" s="0" t="s">
        <v>7344</v>
      </c>
      <c r="T37" s="0" t="s">
        <v>228</v>
      </c>
      <c r="V37" s="0" t="s">
        <v>73</v>
      </c>
      <c r="W37" s="0" t="s">
        <v>75</v>
      </c>
      <c r="X37" s="0" t="s">
        <v>7345</v>
      </c>
      <c r="Y37" s="0" t="s">
        <v>7356</v>
      </c>
      <c r="Z37" s="0" t="s">
        <v>7357</v>
      </c>
      <c r="AA37" s="0" t="s">
        <v>7358</v>
      </c>
      <c r="AB37" s="0" t="s">
        <v>344</v>
      </c>
      <c r="AC37" s="0" t="s">
        <v>7349</v>
      </c>
      <c r="AD37" s="0" t="s">
        <v>7394</v>
      </c>
      <c r="AE37" s="0" t="s">
        <v>7395</v>
      </c>
      <c r="AF37" s="0" t="s">
        <v>7374</v>
      </c>
      <c r="AG37" s="0" t="s">
        <v>230</v>
      </c>
    </row>
    <row r="38" customFormat="false" ht="15" hidden="false" customHeight="false" outlineLevel="0" collapsed="false">
      <c r="A38" s="0" t="s">
        <v>7336</v>
      </c>
      <c r="B38" s="0" t="s">
        <v>385</v>
      </c>
      <c r="C38" s="0" t="s">
        <v>386</v>
      </c>
      <c r="D38" s="0" t="s">
        <v>343</v>
      </c>
      <c r="E38" s="0" t="s">
        <v>387</v>
      </c>
      <c r="F38" s="0" t="s">
        <v>388</v>
      </c>
      <c r="G38" s="0" t="s">
        <v>341</v>
      </c>
      <c r="H38" s="0" t="s">
        <v>7406</v>
      </c>
      <c r="I38" s="0" t="s">
        <v>7338</v>
      </c>
      <c r="J38" s="0" t="s">
        <v>342</v>
      </c>
      <c r="K38" s="0" t="s">
        <v>7339</v>
      </c>
      <c r="L38" s="0" t="s">
        <v>7340</v>
      </c>
      <c r="M38" s="0" t="s">
        <v>7393</v>
      </c>
      <c r="N38" s="0" t="s">
        <v>7342</v>
      </c>
      <c r="P38" s="0" t="s">
        <v>229</v>
      </c>
      <c r="Q38" s="0" t="s">
        <v>7354</v>
      </c>
      <c r="R38" s="0" t="s">
        <v>7343</v>
      </c>
      <c r="S38" s="0" t="s">
        <v>7344</v>
      </c>
      <c r="T38" s="0" t="s">
        <v>228</v>
      </c>
      <c r="V38" s="0" t="s">
        <v>73</v>
      </c>
      <c r="W38" s="0" t="s">
        <v>75</v>
      </c>
      <c r="X38" s="0" t="s">
        <v>7345</v>
      </c>
      <c r="Y38" s="0" t="s">
        <v>7356</v>
      </c>
      <c r="Z38" s="0" t="s">
        <v>7357</v>
      </c>
      <c r="AA38" s="0" t="s">
        <v>7358</v>
      </c>
      <c r="AB38" s="0" t="s">
        <v>344</v>
      </c>
      <c r="AC38" s="0" t="s">
        <v>7349</v>
      </c>
      <c r="AD38" s="0" t="s">
        <v>7394</v>
      </c>
      <c r="AE38" s="0" t="s">
        <v>7395</v>
      </c>
      <c r="AF38" s="0" t="s">
        <v>7374</v>
      </c>
      <c r="AG38" s="0" t="s">
        <v>230</v>
      </c>
    </row>
    <row r="39" customFormat="false" ht="15" hidden="false" customHeight="false" outlineLevel="0" collapsed="false">
      <c r="A39" s="0" t="s">
        <v>7336</v>
      </c>
      <c r="B39" s="0" t="s">
        <v>389</v>
      </c>
      <c r="C39" s="0" t="s">
        <v>390</v>
      </c>
      <c r="D39" s="0" t="s">
        <v>343</v>
      </c>
      <c r="E39" s="0" t="s">
        <v>391</v>
      </c>
      <c r="F39" s="0" t="s">
        <v>392</v>
      </c>
      <c r="G39" s="0" t="s">
        <v>341</v>
      </c>
      <c r="H39" s="0" t="s">
        <v>7407</v>
      </c>
      <c r="I39" s="0" t="s">
        <v>7338</v>
      </c>
      <c r="J39" s="0" t="s">
        <v>342</v>
      </c>
      <c r="K39" s="0" t="s">
        <v>7339</v>
      </c>
      <c r="L39" s="0" t="s">
        <v>7340</v>
      </c>
      <c r="M39" s="0" t="s">
        <v>7393</v>
      </c>
      <c r="N39" s="0" t="s">
        <v>7342</v>
      </c>
      <c r="P39" s="0" t="s">
        <v>229</v>
      </c>
      <c r="Q39" s="0" t="s">
        <v>7354</v>
      </c>
      <c r="R39" s="0" t="s">
        <v>7343</v>
      </c>
      <c r="S39" s="0" t="s">
        <v>7344</v>
      </c>
      <c r="T39" s="0" t="s">
        <v>228</v>
      </c>
      <c r="V39" s="0" t="s">
        <v>73</v>
      </c>
      <c r="W39" s="0" t="s">
        <v>75</v>
      </c>
      <c r="X39" s="0" t="s">
        <v>7345</v>
      </c>
      <c r="Y39" s="0" t="s">
        <v>7356</v>
      </c>
      <c r="Z39" s="0" t="s">
        <v>7357</v>
      </c>
      <c r="AA39" s="0" t="s">
        <v>7358</v>
      </c>
      <c r="AB39" s="0" t="s">
        <v>344</v>
      </c>
      <c r="AC39" s="0" t="s">
        <v>7349</v>
      </c>
      <c r="AD39" s="0" t="s">
        <v>7394</v>
      </c>
      <c r="AE39" s="0" t="s">
        <v>7395</v>
      </c>
      <c r="AF39" s="0" t="s">
        <v>7374</v>
      </c>
      <c r="AG39" s="0" t="s">
        <v>230</v>
      </c>
    </row>
    <row r="40" customFormat="false" ht="15" hidden="false" customHeight="false" outlineLevel="0" collapsed="false">
      <c r="A40" s="0" t="s">
        <v>7336</v>
      </c>
      <c r="B40" s="0" t="s">
        <v>393</v>
      </c>
      <c r="C40" s="0" t="s">
        <v>394</v>
      </c>
      <c r="D40" s="0" t="s">
        <v>343</v>
      </c>
      <c r="E40" s="0" t="s">
        <v>395</v>
      </c>
      <c r="F40" s="0" t="s">
        <v>396</v>
      </c>
      <c r="G40" s="0" t="s">
        <v>341</v>
      </c>
      <c r="H40" s="0" t="s">
        <v>7408</v>
      </c>
      <c r="I40" s="0" t="s">
        <v>7338</v>
      </c>
      <c r="J40" s="0" t="s">
        <v>342</v>
      </c>
      <c r="K40" s="0" t="s">
        <v>7339</v>
      </c>
      <c r="L40" s="0" t="s">
        <v>7340</v>
      </c>
      <c r="M40" s="0" t="s">
        <v>7393</v>
      </c>
      <c r="N40" s="0" t="s">
        <v>7342</v>
      </c>
      <c r="P40" s="0" t="s">
        <v>229</v>
      </c>
      <c r="Q40" s="0" t="s">
        <v>7354</v>
      </c>
      <c r="R40" s="0" t="s">
        <v>7343</v>
      </c>
      <c r="S40" s="0" t="s">
        <v>7344</v>
      </c>
      <c r="T40" s="0" t="s">
        <v>228</v>
      </c>
      <c r="V40" s="0" t="s">
        <v>34</v>
      </c>
      <c r="W40" s="0" t="s">
        <v>44</v>
      </c>
      <c r="X40" s="0" t="s">
        <v>7345</v>
      </c>
      <c r="Y40" s="0" t="s">
        <v>7409</v>
      </c>
      <c r="Z40" s="0" t="s">
        <v>7410</v>
      </c>
      <c r="AA40" s="0" t="s">
        <v>7411</v>
      </c>
      <c r="AB40" s="0" t="s">
        <v>231</v>
      </c>
      <c r="AC40" s="0" t="s">
        <v>7349</v>
      </c>
      <c r="AD40" s="0" t="s">
        <v>7394</v>
      </c>
      <c r="AE40" s="0" t="s">
        <v>7412</v>
      </c>
      <c r="AF40" s="0" t="s">
        <v>7374</v>
      </c>
      <c r="AG40" s="0" t="s">
        <v>230</v>
      </c>
    </row>
    <row r="41" customFormat="false" ht="15" hidden="false" customHeight="false" outlineLevel="0" collapsed="false">
      <c r="A41" s="0" t="s">
        <v>7336</v>
      </c>
      <c r="B41" s="0" t="s">
        <v>397</v>
      </c>
      <c r="C41" s="0" t="s">
        <v>398</v>
      </c>
      <c r="D41" s="0" t="s">
        <v>343</v>
      </c>
      <c r="E41" s="0" t="s">
        <v>399</v>
      </c>
      <c r="F41" s="0" t="s">
        <v>400</v>
      </c>
      <c r="G41" s="0" t="s">
        <v>341</v>
      </c>
      <c r="H41" s="0" t="s">
        <v>7413</v>
      </c>
      <c r="I41" s="0" t="s">
        <v>7338</v>
      </c>
      <c r="J41" s="0" t="s">
        <v>342</v>
      </c>
      <c r="K41" s="0" t="s">
        <v>7339</v>
      </c>
      <c r="L41" s="0" t="s">
        <v>7340</v>
      </c>
      <c r="M41" s="0" t="s">
        <v>7393</v>
      </c>
      <c r="N41" s="0" t="s">
        <v>7342</v>
      </c>
      <c r="P41" s="0" t="s">
        <v>229</v>
      </c>
      <c r="Q41" s="0" t="s">
        <v>7354</v>
      </c>
      <c r="R41" s="0" t="s">
        <v>7343</v>
      </c>
      <c r="S41" s="0" t="s">
        <v>7344</v>
      </c>
      <c r="T41" s="0" t="s">
        <v>228</v>
      </c>
      <c r="V41" s="0" t="s">
        <v>34</v>
      </c>
      <c r="W41" s="0" t="s">
        <v>44</v>
      </c>
      <c r="X41" s="0" t="s">
        <v>7345</v>
      </c>
      <c r="Y41" s="0" t="s">
        <v>7409</v>
      </c>
      <c r="Z41" s="0" t="s">
        <v>7410</v>
      </c>
      <c r="AA41" s="0" t="s">
        <v>7411</v>
      </c>
      <c r="AB41" s="0" t="s">
        <v>231</v>
      </c>
      <c r="AC41" s="0" t="s">
        <v>7349</v>
      </c>
      <c r="AD41" s="0" t="s">
        <v>7394</v>
      </c>
      <c r="AE41" s="0" t="s">
        <v>7412</v>
      </c>
      <c r="AF41" s="0" t="s">
        <v>7374</v>
      </c>
      <c r="AG41" s="0" t="s">
        <v>230</v>
      </c>
    </row>
    <row r="42" customFormat="false" ht="15" hidden="false" customHeight="false" outlineLevel="0" collapsed="false">
      <c r="A42" s="0" t="s">
        <v>7336</v>
      </c>
      <c r="B42" s="0" t="s">
        <v>401</v>
      </c>
      <c r="C42" s="0" t="s">
        <v>402</v>
      </c>
      <c r="D42" s="0" t="s">
        <v>343</v>
      </c>
      <c r="E42" s="0" t="s">
        <v>403</v>
      </c>
      <c r="F42" s="0" t="s">
        <v>404</v>
      </c>
      <c r="G42" s="0" t="s">
        <v>341</v>
      </c>
      <c r="H42" s="0" t="s">
        <v>7414</v>
      </c>
      <c r="I42" s="0" t="s">
        <v>7338</v>
      </c>
      <c r="J42" s="0" t="s">
        <v>342</v>
      </c>
      <c r="K42" s="0" t="s">
        <v>7339</v>
      </c>
      <c r="L42" s="0" t="s">
        <v>7340</v>
      </c>
      <c r="M42" s="0" t="s">
        <v>7393</v>
      </c>
      <c r="N42" s="0" t="s">
        <v>7342</v>
      </c>
      <c r="P42" s="0" t="s">
        <v>229</v>
      </c>
      <c r="Q42" s="0" t="s">
        <v>7354</v>
      </c>
      <c r="R42" s="0" t="s">
        <v>7343</v>
      </c>
      <c r="S42" s="0" t="s">
        <v>7344</v>
      </c>
      <c r="T42" s="0" t="s">
        <v>228</v>
      </c>
      <c r="V42" s="0" t="s">
        <v>34</v>
      </c>
      <c r="W42" s="0" t="s">
        <v>44</v>
      </c>
      <c r="X42" s="0" t="s">
        <v>7345</v>
      </c>
      <c r="Y42" s="0" t="s">
        <v>7409</v>
      </c>
      <c r="Z42" s="0" t="s">
        <v>7410</v>
      </c>
      <c r="AA42" s="0" t="s">
        <v>7411</v>
      </c>
      <c r="AB42" s="0" t="s">
        <v>231</v>
      </c>
      <c r="AC42" s="0" t="s">
        <v>7349</v>
      </c>
      <c r="AD42" s="0" t="s">
        <v>7394</v>
      </c>
      <c r="AE42" s="0" t="s">
        <v>7412</v>
      </c>
      <c r="AF42" s="0" t="s">
        <v>7374</v>
      </c>
      <c r="AG42" s="0" t="s">
        <v>230</v>
      </c>
    </row>
    <row r="43" customFormat="false" ht="15" hidden="false" customHeight="false" outlineLevel="0" collapsed="false">
      <c r="A43" s="0" t="s">
        <v>7336</v>
      </c>
      <c r="B43" s="0" t="s">
        <v>405</v>
      </c>
      <c r="C43" s="0" t="s">
        <v>406</v>
      </c>
      <c r="D43" s="0" t="s">
        <v>343</v>
      </c>
      <c r="E43" s="0" t="s">
        <v>407</v>
      </c>
      <c r="F43" s="0" t="s">
        <v>408</v>
      </c>
      <c r="G43" s="0" t="s">
        <v>341</v>
      </c>
      <c r="H43" s="0" t="s">
        <v>7415</v>
      </c>
      <c r="I43" s="0" t="s">
        <v>7338</v>
      </c>
      <c r="J43" s="0" t="s">
        <v>342</v>
      </c>
      <c r="K43" s="0" t="s">
        <v>7339</v>
      </c>
      <c r="L43" s="0" t="s">
        <v>7340</v>
      </c>
      <c r="M43" s="0" t="s">
        <v>7393</v>
      </c>
      <c r="N43" s="0" t="s">
        <v>7342</v>
      </c>
      <c r="P43" s="0" t="s">
        <v>229</v>
      </c>
      <c r="Q43" s="0" t="s">
        <v>7354</v>
      </c>
      <c r="R43" s="0" t="s">
        <v>7343</v>
      </c>
      <c r="S43" s="0" t="s">
        <v>7344</v>
      </c>
      <c r="T43" s="0" t="s">
        <v>228</v>
      </c>
      <c r="V43" s="0" t="s">
        <v>34</v>
      </c>
      <c r="W43" s="0" t="s">
        <v>44</v>
      </c>
      <c r="X43" s="0" t="s">
        <v>7345</v>
      </c>
      <c r="Y43" s="0" t="s">
        <v>7409</v>
      </c>
      <c r="Z43" s="0" t="s">
        <v>7410</v>
      </c>
      <c r="AA43" s="0" t="s">
        <v>7411</v>
      </c>
      <c r="AB43" s="0" t="s">
        <v>231</v>
      </c>
      <c r="AC43" s="0" t="s">
        <v>7349</v>
      </c>
      <c r="AD43" s="0" t="s">
        <v>7394</v>
      </c>
      <c r="AE43" s="0" t="s">
        <v>7412</v>
      </c>
      <c r="AF43" s="0" t="s">
        <v>7374</v>
      </c>
      <c r="AG43" s="0" t="s">
        <v>230</v>
      </c>
    </row>
    <row r="44" customFormat="false" ht="15" hidden="false" customHeight="false" outlineLevel="0" collapsed="false">
      <c r="A44" s="0" t="s">
        <v>7336</v>
      </c>
      <c r="B44" s="0" t="s">
        <v>409</v>
      </c>
      <c r="C44" s="0" t="s">
        <v>410</v>
      </c>
      <c r="D44" s="0" t="s">
        <v>343</v>
      </c>
      <c r="E44" s="0" t="s">
        <v>411</v>
      </c>
      <c r="F44" s="0" t="s">
        <v>412</v>
      </c>
      <c r="G44" s="0" t="s">
        <v>341</v>
      </c>
      <c r="H44" s="0" t="s">
        <v>7416</v>
      </c>
      <c r="I44" s="0" t="s">
        <v>7338</v>
      </c>
      <c r="J44" s="0" t="s">
        <v>342</v>
      </c>
      <c r="K44" s="0" t="s">
        <v>7339</v>
      </c>
      <c r="L44" s="0" t="s">
        <v>7340</v>
      </c>
      <c r="M44" s="0" t="s">
        <v>7393</v>
      </c>
      <c r="N44" s="0" t="s">
        <v>7342</v>
      </c>
      <c r="P44" s="0" t="s">
        <v>229</v>
      </c>
      <c r="Q44" s="0" t="s">
        <v>7354</v>
      </c>
      <c r="R44" s="0" t="s">
        <v>7343</v>
      </c>
      <c r="S44" s="0" t="s">
        <v>7344</v>
      </c>
      <c r="T44" s="0" t="s">
        <v>228</v>
      </c>
      <c r="V44" s="0" t="s">
        <v>73</v>
      </c>
      <c r="W44" s="0" t="s">
        <v>75</v>
      </c>
      <c r="X44" s="0" t="s">
        <v>7345</v>
      </c>
      <c r="Y44" s="0" t="s">
        <v>7356</v>
      </c>
      <c r="Z44" s="0" t="s">
        <v>7357</v>
      </c>
      <c r="AA44" s="0" t="s">
        <v>7358</v>
      </c>
      <c r="AB44" s="0" t="s">
        <v>344</v>
      </c>
      <c r="AC44" s="0" t="s">
        <v>7349</v>
      </c>
      <c r="AD44" s="0" t="s">
        <v>7394</v>
      </c>
      <c r="AE44" s="0" t="s">
        <v>7395</v>
      </c>
      <c r="AF44" s="0" t="s">
        <v>7374</v>
      </c>
      <c r="AG44" s="0" t="s">
        <v>230</v>
      </c>
    </row>
    <row r="45" customFormat="false" ht="15" hidden="false" customHeight="false" outlineLevel="0" collapsed="false">
      <c r="A45" s="0" t="s">
        <v>7336</v>
      </c>
      <c r="B45" s="0" t="s">
        <v>413</v>
      </c>
      <c r="C45" s="0" t="s">
        <v>414</v>
      </c>
      <c r="D45" s="0" t="s">
        <v>343</v>
      </c>
      <c r="E45" s="0" t="s">
        <v>415</v>
      </c>
      <c r="F45" s="0" t="s">
        <v>416</v>
      </c>
      <c r="G45" s="0" t="s">
        <v>341</v>
      </c>
      <c r="H45" s="0" t="s">
        <v>7417</v>
      </c>
      <c r="I45" s="0" t="s">
        <v>7338</v>
      </c>
      <c r="J45" s="0" t="s">
        <v>342</v>
      </c>
      <c r="K45" s="0" t="s">
        <v>7339</v>
      </c>
      <c r="L45" s="0" t="s">
        <v>7340</v>
      </c>
      <c r="M45" s="0" t="s">
        <v>7393</v>
      </c>
      <c r="N45" s="0" t="s">
        <v>7342</v>
      </c>
      <c r="P45" s="0" t="s">
        <v>229</v>
      </c>
      <c r="Q45" s="0" t="s">
        <v>7354</v>
      </c>
      <c r="R45" s="0" t="s">
        <v>7343</v>
      </c>
      <c r="S45" s="0" t="s">
        <v>7344</v>
      </c>
      <c r="T45" s="0" t="s">
        <v>228</v>
      </c>
      <c r="V45" s="0" t="s">
        <v>73</v>
      </c>
      <c r="W45" s="0" t="s">
        <v>75</v>
      </c>
      <c r="X45" s="0" t="s">
        <v>7345</v>
      </c>
      <c r="Y45" s="0" t="s">
        <v>7356</v>
      </c>
      <c r="Z45" s="0" t="s">
        <v>7357</v>
      </c>
      <c r="AA45" s="0" t="s">
        <v>7358</v>
      </c>
      <c r="AB45" s="0" t="s">
        <v>344</v>
      </c>
      <c r="AC45" s="0" t="s">
        <v>7349</v>
      </c>
      <c r="AD45" s="0" t="s">
        <v>7394</v>
      </c>
      <c r="AE45" s="0" t="s">
        <v>7395</v>
      </c>
      <c r="AF45" s="0" t="s">
        <v>7374</v>
      </c>
      <c r="AG45" s="0" t="s">
        <v>230</v>
      </c>
    </row>
    <row r="46" customFormat="false" ht="15" hidden="false" customHeight="false" outlineLevel="0" collapsed="false">
      <c r="A46" s="0" t="s">
        <v>7336</v>
      </c>
      <c r="B46" s="0" t="s">
        <v>417</v>
      </c>
      <c r="C46" s="0" t="s">
        <v>418</v>
      </c>
      <c r="D46" s="0" t="s">
        <v>343</v>
      </c>
      <c r="E46" s="0" t="s">
        <v>419</v>
      </c>
      <c r="F46" s="0" t="s">
        <v>420</v>
      </c>
      <c r="G46" s="0" t="s">
        <v>341</v>
      </c>
      <c r="H46" s="0" t="s">
        <v>7418</v>
      </c>
      <c r="I46" s="0" t="s">
        <v>7338</v>
      </c>
      <c r="J46" s="0" t="s">
        <v>342</v>
      </c>
      <c r="K46" s="0" t="s">
        <v>7339</v>
      </c>
      <c r="L46" s="0" t="s">
        <v>7340</v>
      </c>
      <c r="M46" s="0" t="s">
        <v>7393</v>
      </c>
      <c r="N46" s="0" t="s">
        <v>7342</v>
      </c>
      <c r="P46" s="0" t="s">
        <v>229</v>
      </c>
      <c r="Q46" s="0" t="s">
        <v>7354</v>
      </c>
      <c r="R46" s="0" t="s">
        <v>7343</v>
      </c>
      <c r="S46" s="0" t="s">
        <v>7344</v>
      </c>
      <c r="T46" s="0" t="s">
        <v>228</v>
      </c>
      <c r="V46" s="0" t="s">
        <v>73</v>
      </c>
      <c r="W46" s="0" t="s">
        <v>75</v>
      </c>
      <c r="X46" s="0" t="s">
        <v>7345</v>
      </c>
      <c r="Y46" s="0" t="s">
        <v>7356</v>
      </c>
      <c r="Z46" s="0" t="s">
        <v>7357</v>
      </c>
      <c r="AA46" s="0" t="s">
        <v>7358</v>
      </c>
      <c r="AB46" s="0" t="s">
        <v>344</v>
      </c>
      <c r="AC46" s="0" t="s">
        <v>7349</v>
      </c>
      <c r="AD46" s="0" t="s">
        <v>7394</v>
      </c>
      <c r="AE46" s="0" t="s">
        <v>7395</v>
      </c>
      <c r="AF46" s="0" t="s">
        <v>7374</v>
      </c>
      <c r="AG46" s="0" t="s">
        <v>230</v>
      </c>
    </row>
    <row r="47" customFormat="false" ht="15" hidden="false" customHeight="false" outlineLevel="0" collapsed="false">
      <c r="A47" s="0" t="s">
        <v>7336</v>
      </c>
      <c r="B47" s="0" t="s">
        <v>421</v>
      </c>
      <c r="C47" s="0" t="s">
        <v>422</v>
      </c>
      <c r="D47" s="0" t="s">
        <v>343</v>
      </c>
      <c r="E47" s="0" t="s">
        <v>423</v>
      </c>
      <c r="F47" s="0" t="s">
        <v>424</v>
      </c>
      <c r="G47" s="0" t="s">
        <v>341</v>
      </c>
      <c r="H47" s="0" t="s">
        <v>7419</v>
      </c>
      <c r="I47" s="0" t="s">
        <v>7338</v>
      </c>
      <c r="J47" s="0" t="s">
        <v>342</v>
      </c>
      <c r="K47" s="0" t="s">
        <v>7339</v>
      </c>
      <c r="L47" s="0" t="s">
        <v>7340</v>
      </c>
      <c r="M47" s="0" t="s">
        <v>7393</v>
      </c>
      <c r="N47" s="0" t="s">
        <v>7342</v>
      </c>
      <c r="P47" s="0" t="s">
        <v>229</v>
      </c>
      <c r="Q47" s="0" t="s">
        <v>7354</v>
      </c>
      <c r="R47" s="0" t="s">
        <v>7343</v>
      </c>
      <c r="S47" s="0" t="s">
        <v>7344</v>
      </c>
      <c r="T47" s="0" t="s">
        <v>228</v>
      </c>
      <c r="V47" s="0" t="s">
        <v>73</v>
      </c>
      <c r="W47" s="0" t="s">
        <v>75</v>
      </c>
      <c r="X47" s="0" t="s">
        <v>7345</v>
      </c>
      <c r="Y47" s="0" t="s">
        <v>7356</v>
      </c>
      <c r="Z47" s="0" t="s">
        <v>7357</v>
      </c>
      <c r="AA47" s="0" t="s">
        <v>7358</v>
      </c>
      <c r="AB47" s="0" t="s">
        <v>344</v>
      </c>
      <c r="AC47" s="0" t="s">
        <v>7349</v>
      </c>
      <c r="AD47" s="0" t="s">
        <v>7394</v>
      </c>
      <c r="AE47" s="0" t="s">
        <v>7395</v>
      </c>
      <c r="AF47" s="0" t="s">
        <v>7374</v>
      </c>
      <c r="AG47" s="0" t="s">
        <v>230</v>
      </c>
    </row>
    <row r="48" customFormat="false" ht="15" hidden="false" customHeight="false" outlineLevel="0" collapsed="false">
      <c r="A48" s="0" t="s">
        <v>7336</v>
      </c>
      <c r="B48" s="0" t="s">
        <v>425</v>
      </c>
      <c r="C48" s="0" t="s">
        <v>426</v>
      </c>
      <c r="D48" s="0" t="s">
        <v>343</v>
      </c>
      <c r="E48" s="0" t="s">
        <v>427</v>
      </c>
      <c r="F48" s="0" t="s">
        <v>428</v>
      </c>
      <c r="G48" s="0" t="s">
        <v>341</v>
      </c>
      <c r="H48" s="0" t="s">
        <v>7420</v>
      </c>
      <c r="I48" s="0" t="s">
        <v>7338</v>
      </c>
      <c r="J48" s="0" t="s">
        <v>342</v>
      </c>
      <c r="K48" s="0" t="s">
        <v>7339</v>
      </c>
      <c r="L48" s="0" t="s">
        <v>7340</v>
      </c>
      <c r="M48" s="0" t="s">
        <v>7393</v>
      </c>
      <c r="N48" s="0" t="s">
        <v>7342</v>
      </c>
      <c r="P48" s="0" t="s">
        <v>229</v>
      </c>
      <c r="Q48" s="0" t="s">
        <v>7354</v>
      </c>
      <c r="R48" s="0" t="s">
        <v>7343</v>
      </c>
      <c r="S48" s="0" t="s">
        <v>7344</v>
      </c>
      <c r="T48" s="0" t="s">
        <v>228</v>
      </c>
      <c r="V48" s="0" t="s">
        <v>73</v>
      </c>
      <c r="W48" s="0" t="s">
        <v>75</v>
      </c>
      <c r="X48" s="0" t="s">
        <v>7345</v>
      </c>
      <c r="Y48" s="0" t="s">
        <v>7356</v>
      </c>
      <c r="Z48" s="0" t="s">
        <v>7357</v>
      </c>
      <c r="AA48" s="0" t="s">
        <v>7358</v>
      </c>
      <c r="AB48" s="0" t="s">
        <v>344</v>
      </c>
      <c r="AC48" s="0" t="s">
        <v>7349</v>
      </c>
      <c r="AD48" s="0" t="s">
        <v>7394</v>
      </c>
      <c r="AE48" s="0" t="s">
        <v>7395</v>
      </c>
      <c r="AF48" s="0" t="s">
        <v>7374</v>
      </c>
      <c r="AG48" s="0" t="s">
        <v>230</v>
      </c>
    </row>
    <row r="49" customFormat="false" ht="15" hidden="false" customHeight="false" outlineLevel="0" collapsed="false">
      <c r="A49" s="0" t="s">
        <v>7336</v>
      </c>
      <c r="B49" s="0" t="s">
        <v>429</v>
      </c>
      <c r="C49" s="0" t="s">
        <v>430</v>
      </c>
      <c r="D49" s="0" t="s">
        <v>343</v>
      </c>
      <c r="E49" s="0" t="s">
        <v>431</v>
      </c>
      <c r="F49" s="0" t="s">
        <v>432</v>
      </c>
      <c r="G49" s="0" t="s">
        <v>341</v>
      </c>
      <c r="H49" s="0" t="s">
        <v>7421</v>
      </c>
      <c r="I49" s="0" t="s">
        <v>7338</v>
      </c>
      <c r="J49" s="0" t="s">
        <v>342</v>
      </c>
      <c r="K49" s="0" t="s">
        <v>7339</v>
      </c>
      <c r="L49" s="0" t="s">
        <v>7340</v>
      </c>
      <c r="M49" s="0" t="s">
        <v>7393</v>
      </c>
      <c r="N49" s="0" t="s">
        <v>7342</v>
      </c>
      <c r="P49" s="0" t="s">
        <v>229</v>
      </c>
      <c r="Q49" s="0" t="s">
        <v>7354</v>
      </c>
      <c r="R49" s="0" t="s">
        <v>7343</v>
      </c>
      <c r="S49" s="0" t="s">
        <v>7344</v>
      </c>
      <c r="T49" s="0" t="s">
        <v>228</v>
      </c>
      <c r="V49" s="0" t="s">
        <v>73</v>
      </c>
      <c r="W49" s="0" t="s">
        <v>75</v>
      </c>
      <c r="X49" s="0" t="s">
        <v>7345</v>
      </c>
      <c r="Y49" s="0" t="s">
        <v>7356</v>
      </c>
      <c r="Z49" s="0" t="s">
        <v>7357</v>
      </c>
      <c r="AA49" s="0" t="s">
        <v>7358</v>
      </c>
      <c r="AB49" s="0" t="s">
        <v>344</v>
      </c>
      <c r="AC49" s="0" t="s">
        <v>7349</v>
      </c>
      <c r="AD49" s="0" t="s">
        <v>7394</v>
      </c>
      <c r="AE49" s="0" t="s">
        <v>7395</v>
      </c>
      <c r="AF49" s="0" t="s">
        <v>7374</v>
      </c>
      <c r="AG49" s="0" t="s">
        <v>230</v>
      </c>
    </row>
    <row r="50" customFormat="false" ht="15" hidden="false" customHeight="false" outlineLevel="0" collapsed="false">
      <c r="A50" s="0" t="s">
        <v>7336</v>
      </c>
      <c r="B50" s="0" t="s">
        <v>433</v>
      </c>
      <c r="C50" s="0" t="s">
        <v>434</v>
      </c>
      <c r="D50" s="0" t="s">
        <v>343</v>
      </c>
      <c r="E50" s="0" t="s">
        <v>435</v>
      </c>
      <c r="F50" s="0" t="s">
        <v>436</v>
      </c>
      <c r="G50" s="0" t="s">
        <v>341</v>
      </c>
      <c r="H50" s="0" t="s">
        <v>7422</v>
      </c>
      <c r="I50" s="0" t="s">
        <v>7338</v>
      </c>
      <c r="J50" s="0" t="s">
        <v>342</v>
      </c>
      <c r="K50" s="0" t="s">
        <v>7339</v>
      </c>
      <c r="L50" s="0" t="s">
        <v>7340</v>
      </c>
      <c r="M50" s="0" t="s">
        <v>7393</v>
      </c>
      <c r="N50" s="0" t="s">
        <v>7342</v>
      </c>
      <c r="P50" s="0" t="s">
        <v>229</v>
      </c>
      <c r="Q50" s="0" t="s">
        <v>7354</v>
      </c>
      <c r="R50" s="0" t="s">
        <v>7343</v>
      </c>
      <c r="S50" s="0" t="s">
        <v>7344</v>
      </c>
      <c r="T50" s="0" t="s">
        <v>228</v>
      </c>
      <c r="V50" s="0" t="s">
        <v>73</v>
      </c>
      <c r="W50" s="0" t="s">
        <v>75</v>
      </c>
      <c r="X50" s="0" t="s">
        <v>7345</v>
      </c>
      <c r="Y50" s="0" t="s">
        <v>7356</v>
      </c>
      <c r="Z50" s="0" t="s">
        <v>7357</v>
      </c>
      <c r="AA50" s="0" t="s">
        <v>7358</v>
      </c>
      <c r="AB50" s="0" t="s">
        <v>344</v>
      </c>
      <c r="AC50" s="0" t="s">
        <v>7349</v>
      </c>
      <c r="AD50" s="0" t="s">
        <v>7394</v>
      </c>
      <c r="AE50" s="0" t="s">
        <v>7395</v>
      </c>
      <c r="AF50" s="0" t="s">
        <v>7374</v>
      </c>
      <c r="AG50" s="0" t="s">
        <v>230</v>
      </c>
    </row>
    <row r="51" customFormat="false" ht="15" hidden="false" customHeight="false" outlineLevel="0" collapsed="false">
      <c r="A51" s="0" t="s">
        <v>7336</v>
      </c>
      <c r="B51" s="0" t="s">
        <v>437</v>
      </c>
      <c r="C51" s="0" t="s">
        <v>438</v>
      </c>
      <c r="D51" s="0" t="s">
        <v>343</v>
      </c>
      <c r="E51" s="0" t="s">
        <v>439</v>
      </c>
      <c r="F51" s="0" t="s">
        <v>440</v>
      </c>
      <c r="G51" s="0" t="s">
        <v>341</v>
      </c>
      <c r="H51" s="0" t="s">
        <v>7423</v>
      </c>
      <c r="I51" s="0" t="s">
        <v>7338</v>
      </c>
      <c r="J51" s="0" t="s">
        <v>342</v>
      </c>
      <c r="K51" s="0" t="s">
        <v>7339</v>
      </c>
      <c r="L51" s="0" t="s">
        <v>7340</v>
      </c>
      <c r="M51" s="0" t="s">
        <v>7393</v>
      </c>
      <c r="N51" s="0" t="s">
        <v>7342</v>
      </c>
      <c r="P51" s="0" t="s">
        <v>229</v>
      </c>
      <c r="Q51" s="0" t="s">
        <v>7354</v>
      </c>
      <c r="R51" s="0" t="s">
        <v>7343</v>
      </c>
      <c r="S51" s="0" t="s">
        <v>7344</v>
      </c>
      <c r="T51" s="0" t="s">
        <v>228</v>
      </c>
      <c r="V51" s="0" t="s">
        <v>73</v>
      </c>
      <c r="W51" s="0" t="s">
        <v>75</v>
      </c>
      <c r="X51" s="0" t="s">
        <v>7345</v>
      </c>
      <c r="Y51" s="0" t="s">
        <v>7356</v>
      </c>
      <c r="Z51" s="0" t="s">
        <v>7357</v>
      </c>
      <c r="AA51" s="0" t="s">
        <v>7358</v>
      </c>
      <c r="AB51" s="0" t="s">
        <v>344</v>
      </c>
      <c r="AC51" s="0" t="s">
        <v>7349</v>
      </c>
      <c r="AD51" s="0" t="s">
        <v>7394</v>
      </c>
      <c r="AE51" s="0" t="s">
        <v>7395</v>
      </c>
      <c r="AF51" s="0" t="s">
        <v>7374</v>
      </c>
      <c r="AG51" s="0" t="s">
        <v>230</v>
      </c>
    </row>
    <row r="52" customFormat="false" ht="15" hidden="false" customHeight="false" outlineLevel="0" collapsed="false">
      <c r="A52" s="0" t="s">
        <v>7336</v>
      </c>
      <c r="B52" s="0" t="s">
        <v>441</v>
      </c>
      <c r="C52" s="0" t="s">
        <v>442</v>
      </c>
      <c r="D52" s="0" t="s">
        <v>343</v>
      </c>
      <c r="E52" s="0" t="s">
        <v>443</v>
      </c>
      <c r="F52" s="0" t="s">
        <v>444</v>
      </c>
      <c r="G52" s="0" t="s">
        <v>341</v>
      </c>
      <c r="H52" s="0" t="s">
        <v>7424</v>
      </c>
      <c r="I52" s="0" t="s">
        <v>7338</v>
      </c>
      <c r="J52" s="0" t="s">
        <v>342</v>
      </c>
      <c r="K52" s="0" t="s">
        <v>7339</v>
      </c>
      <c r="L52" s="0" t="s">
        <v>7340</v>
      </c>
      <c r="M52" s="0" t="s">
        <v>7393</v>
      </c>
      <c r="N52" s="0" t="s">
        <v>7342</v>
      </c>
      <c r="P52" s="0" t="s">
        <v>229</v>
      </c>
      <c r="Q52" s="0" t="s">
        <v>7354</v>
      </c>
      <c r="R52" s="0" t="s">
        <v>7343</v>
      </c>
      <c r="S52" s="0" t="s">
        <v>7344</v>
      </c>
      <c r="T52" s="0" t="s">
        <v>228</v>
      </c>
      <c r="V52" s="0" t="s">
        <v>73</v>
      </c>
      <c r="W52" s="0" t="s">
        <v>75</v>
      </c>
      <c r="X52" s="0" t="s">
        <v>7345</v>
      </c>
      <c r="Y52" s="0" t="s">
        <v>7356</v>
      </c>
      <c r="Z52" s="0" t="s">
        <v>7357</v>
      </c>
      <c r="AA52" s="0" t="s">
        <v>7358</v>
      </c>
      <c r="AB52" s="0" t="s">
        <v>344</v>
      </c>
      <c r="AC52" s="0" t="s">
        <v>7349</v>
      </c>
      <c r="AD52" s="0" t="s">
        <v>7394</v>
      </c>
      <c r="AE52" s="0" t="s">
        <v>7395</v>
      </c>
      <c r="AF52" s="0" t="s">
        <v>7374</v>
      </c>
      <c r="AG52" s="0" t="s">
        <v>230</v>
      </c>
    </row>
    <row r="53" customFormat="false" ht="15" hidden="false" customHeight="false" outlineLevel="0" collapsed="false">
      <c r="A53" s="0" t="s">
        <v>7336</v>
      </c>
      <c r="B53" s="0" t="s">
        <v>445</v>
      </c>
      <c r="C53" s="0" t="s">
        <v>446</v>
      </c>
      <c r="D53" s="0" t="s">
        <v>343</v>
      </c>
      <c r="E53" s="0" t="s">
        <v>447</v>
      </c>
      <c r="F53" s="0" t="s">
        <v>448</v>
      </c>
      <c r="G53" s="0" t="s">
        <v>341</v>
      </c>
      <c r="H53" s="0" t="s">
        <v>7425</v>
      </c>
      <c r="I53" s="0" t="s">
        <v>7338</v>
      </c>
      <c r="J53" s="0" t="s">
        <v>342</v>
      </c>
      <c r="K53" s="0" t="s">
        <v>7339</v>
      </c>
      <c r="L53" s="0" t="s">
        <v>7340</v>
      </c>
      <c r="M53" s="0" t="s">
        <v>7393</v>
      </c>
      <c r="N53" s="0" t="s">
        <v>7342</v>
      </c>
      <c r="P53" s="0" t="s">
        <v>229</v>
      </c>
      <c r="Q53" s="0" t="s">
        <v>7354</v>
      </c>
      <c r="R53" s="0" t="s">
        <v>7343</v>
      </c>
      <c r="S53" s="0" t="s">
        <v>7344</v>
      </c>
      <c r="T53" s="0" t="s">
        <v>228</v>
      </c>
      <c r="V53" s="0" t="s">
        <v>73</v>
      </c>
      <c r="W53" s="0" t="s">
        <v>75</v>
      </c>
      <c r="X53" s="0" t="s">
        <v>7345</v>
      </c>
      <c r="Y53" s="0" t="s">
        <v>7356</v>
      </c>
      <c r="Z53" s="0" t="s">
        <v>7357</v>
      </c>
      <c r="AA53" s="0" t="s">
        <v>7358</v>
      </c>
      <c r="AB53" s="0" t="s">
        <v>344</v>
      </c>
      <c r="AC53" s="0" t="s">
        <v>7349</v>
      </c>
      <c r="AD53" s="0" t="s">
        <v>7394</v>
      </c>
      <c r="AE53" s="0" t="s">
        <v>7395</v>
      </c>
      <c r="AF53" s="0" t="s">
        <v>7374</v>
      </c>
      <c r="AG53" s="0" t="s">
        <v>230</v>
      </c>
    </row>
    <row r="54" customFormat="false" ht="15" hidden="false" customHeight="false" outlineLevel="0" collapsed="false">
      <c r="A54" s="0" t="s">
        <v>7336</v>
      </c>
      <c r="B54" s="0" t="s">
        <v>449</v>
      </c>
      <c r="C54" s="0" t="s">
        <v>450</v>
      </c>
      <c r="D54" s="0" t="s">
        <v>343</v>
      </c>
      <c r="E54" s="0" t="s">
        <v>451</v>
      </c>
      <c r="F54" s="0" t="s">
        <v>452</v>
      </c>
      <c r="G54" s="0" t="s">
        <v>341</v>
      </c>
      <c r="H54" s="0" t="s">
        <v>7426</v>
      </c>
      <c r="I54" s="0" t="s">
        <v>7338</v>
      </c>
      <c r="J54" s="0" t="s">
        <v>342</v>
      </c>
      <c r="K54" s="0" t="s">
        <v>7339</v>
      </c>
      <c r="L54" s="0" t="s">
        <v>7340</v>
      </c>
      <c r="M54" s="0" t="s">
        <v>7393</v>
      </c>
      <c r="N54" s="0" t="s">
        <v>7342</v>
      </c>
      <c r="P54" s="0" t="s">
        <v>229</v>
      </c>
      <c r="Q54" s="0" t="s">
        <v>7354</v>
      </c>
      <c r="R54" s="0" t="s">
        <v>7343</v>
      </c>
      <c r="S54" s="0" t="s">
        <v>7344</v>
      </c>
      <c r="T54" s="0" t="s">
        <v>228</v>
      </c>
      <c r="V54" s="0" t="s">
        <v>73</v>
      </c>
      <c r="W54" s="0" t="s">
        <v>75</v>
      </c>
      <c r="X54" s="0" t="s">
        <v>7345</v>
      </c>
      <c r="Y54" s="0" t="s">
        <v>7356</v>
      </c>
      <c r="Z54" s="0" t="s">
        <v>7357</v>
      </c>
      <c r="AA54" s="0" t="s">
        <v>7358</v>
      </c>
      <c r="AB54" s="0" t="s">
        <v>344</v>
      </c>
      <c r="AC54" s="0" t="s">
        <v>7349</v>
      </c>
      <c r="AD54" s="0" t="s">
        <v>7394</v>
      </c>
      <c r="AE54" s="0" t="s">
        <v>7395</v>
      </c>
      <c r="AF54" s="0" t="s">
        <v>7374</v>
      </c>
      <c r="AG54" s="0" t="s">
        <v>230</v>
      </c>
    </row>
    <row r="55" customFormat="false" ht="15" hidden="false" customHeight="false" outlineLevel="0" collapsed="false">
      <c r="A55" s="0" t="s">
        <v>7336</v>
      </c>
      <c r="B55" s="0" t="s">
        <v>453</v>
      </c>
      <c r="C55" s="0" t="s">
        <v>454</v>
      </c>
      <c r="D55" s="0" t="s">
        <v>343</v>
      </c>
      <c r="E55" s="0" t="s">
        <v>455</v>
      </c>
      <c r="F55" s="0" t="s">
        <v>456</v>
      </c>
      <c r="G55" s="0" t="s">
        <v>341</v>
      </c>
      <c r="H55" s="0" t="s">
        <v>7427</v>
      </c>
      <c r="I55" s="0" t="s">
        <v>7338</v>
      </c>
      <c r="J55" s="0" t="s">
        <v>342</v>
      </c>
      <c r="K55" s="0" t="s">
        <v>7339</v>
      </c>
      <c r="L55" s="0" t="s">
        <v>7340</v>
      </c>
      <c r="M55" s="0" t="s">
        <v>7393</v>
      </c>
      <c r="N55" s="0" t="s">
        <v>7342</v>
      </c>
      <c r="P55" s="0" t="s">
        <v>229</v>
      </c>
      <c r="Q55" s="0" t="s">
        <v>7354</v>
      </c>
      <c r="R55" s="0" t="s">
        <v>7343</v>
      </c>
      <c r="S55" s="0" t="s">
        <v>7344</v>
      </c>
      <c r="T55" s="0" t="s">
        <v>228</v>
      </c>
      <c r="V55" s="0" t="s">
        <v>73</v>
      </c>
      <c r="W55" s="0" t="s">
        <v>75</v>
      </c>
      <c r="X55" s="0" t="s">
        <v>7345</v>
      </c>
      <c r="Y55" s="0" t="s">
        <v>7356</v>
      </c>
      <c r="Z55" s="0" t="s">
        <v>7357</v>
      </c>
      <c r="AA55" s="0" t="s">
        <v>7358</v>
      </c>
      <c r="AB55" s="0" t="s">
        <v>344</v>
      </c>
      <c r="AC55" s="0" t="s">
        <v>7349</v>
      </c>
      <c r="AD55" s="0" t="s">
        <v>7394</v>
      </c>
      <c r="AE55" s="0" t="s">
        <v>7395</v>
      </c>
      <c r="AF55" s="0" t="s">
        <v>7374</v>
      </c>
      <c r="AG55" s="0" t="s">
        <v>230</v>
      </c>
    </row>
    <row r="56" customFormat="false" ht="15" hidden="false" customHeight="false" outlineLevel="0" collapsed="false">
      <c r="A56" s="0" t="s">
        <v>7336</v>
      </c>
      <c r="B56" s="0" t="s">
        <v>457</v>
      </c>
      <c r="C56" s="0" t="s">
        <v>458</v>
      </c>
      <c r="D56" s="0" t="s">
        <v>343</v>
      </c>
      <c r="E56" s="0" t="s">
        <v>459</v>
      </c>
      <c r="F56" s="0" t="s">
        <v>460</v>
      </c>
      <c r="G56" s="0" t="s">
        <v>341</v>
      </c>
      <c r="H56" s="0" t="s">
        <v>7428</v>
      </c>
      <c r="I56" s="0" t="s">
        <v>7338</v>
      </c>
      <c r="J56" s="0" t="s">
        <v>342</v>
      </c>
      <c r="K56" s="0" t="s">
        <v>7339</v>
      </c>
      <c r="L56" s="0" t="s">
        <v>7340</v>
      </c>
      <c r="M56" s="0" t="s">
        <v>7393</v>
      </c>
      <c r="N56" s="0" t="s">
        <v>7342</v>
      </c>
      <c r="P56" s="0" t="s">
        <v>229</v>
      </c>
      <c r="Q56" s="0" t="s">
        <v>7354</v>
      </c>
      <c r="R56" s="0" t="s">
        <v>7343</v>
      </c>
      <c r="S56" s="0" t="s">
        <v>7344</v>
      </c>
      <c r="T56" s="0" t="s">
        <v>228</v>
      </c>
      <c r="V56" s="0" t="s">
        <v>73</v>
      </c>
      <c r="W56" s="0" t="s">
        <v>75</v>
      </c>
      <c r="X56" s="0" t="s">
        <v>7345</v>
      </c>
      <c r="Y56" s="0" t="s">
        <v>7356</v>
      </c>
      <c r="Z56" s="0" t="s">
        <v>7357</v>
      </c>
      <c r="AA56" s="0" t="s">
        <v>7358</v>
      </c>
      <c r="AB56" s="0" t="s">
        <v>344</v>
      </c>
      <c r="AC56" s="0" t="s">
        <v>7349</v>
      </c>
      <c r="AD56" s="0" t="s">
        <v>7394</v>
      </c>
      <c r="AE56" s="0" t="s">
        <v>7395</v>
      </c>
      <c r="AF56" s="0" t="s">
        <v>7374</v>
      </c>
      <c r="AG56" s="0" t="s">
        <v>230</v>
      </c>
    </row>
    <row r="57" customFormat="false" ht="15" hidden="false" customHeight="false" outlineLevel="0" collapsed="false">
      <c r="A57" s="0" t="s">
        <v>7336</v>
      </c>
      <c r="B57" s="0" t="s">
        <v>461</v>
      </c>
      <c r="C57" s="0" t="s">
        <v>462</v>
      </c>
      <c r="D57" s="0" t="s">
        <v>343</v>
      </c>
      <c r="E57" s="0" t="s">
        <v>463</v>
      </c>
      <c r="F57" s="0" t="s">
        <v>464</v>
      </c>
      <c r="G57" s="0" t="s">
        <v>341</v>
      </c>
      <c r="H57" s="0" t="s">
        <v>7429</v>
      </c>
      <c r="I57" s="0" t="s">
        <v>7338</v>
      </c>
      <c r="J57" s="0" t="s">
        <v>342</v>
      </c>
      <c r="K57" s="0" t="s">
        <v>7339</v>
      </c>
      <c r="L57" s="0" t="s">
        <v>7340</v>
      </c>
      <c r="M57" s="0" t="s">
        <v>7393</v>
      </c>
      <c r="N57" s="0" t="s">
        <v>7342</v>
      </c>
      <c r="P57" s="0" t="s">
        <v>229</v>
      </c>
      <c r="Q57" s="0" t="s">
        <v>7354</v>
      </c>
      <c r="R57" s="0" t="s">
        <v>7343</v>
      </c>
      <c r="S57" s="0" t="s">
        <v>7344</v>
      </c>
      <c r="T57" s="0" t="s">
        <v>228</v>
      </c>
      <c r="V57" s="0" t="s">
        <v>73</v>
      </c>
      <c r="W57" s="0" t="s">
        <v>75</v>
      </c>
      <c r="X57" s="0" t="s">
        <v>7345</v>
      </c>
      <c r="Y57" s="0" t="s">
        <v>7356</v>
      </c>
      <c r="Z57" s="0" t="s">
        <v>7357</v>
      </c>
      <c r="AA57" s="0" t="s">
        <v>7358</v>
      </c>
      <c r="AB57" s="0" t="s">
        <v>344</v>
      </c>
      <c r="AC57" s="0" t="s">
        <v>7349</v>
      </c>
      <c r="AD57" s="0" t="s">
        <v>7394</v>
      </c>
      <c r="AE57" s="0" t="s">
        <v>7395</v>
      </c>
      <c r="AF57" s="0" t="s">
        <v>7374</v>
      </c>
      <c r="AG57" s="0" t="s">
        <v>230</v>
      </c>
    </row>
    <row r="58" customFormat="false" ht="15" hidden="false" customHeight="false" outlineLevel="0" collapsed="false">
      <c r="A58" s="0" t="s">
        <v>7336</v>
      </c>
      <c r="B58" s="0" t="s">
        <v>465</v>
      </c>
      <c r="C58" s="0" t="s">
        <v>466</v>
      </c>
      <c r="D58" s="0" t="s">
        <v>343</v>
      </c>
      <c r="E58" s="0" t="s">
        <v>467</v>
      </c>
      <c r="F58" s="0" t="s">
        <v>468</v>
      </c>
      <c r="G58" s="0" t="s">
        <v>341</v>
      </c>
      <c r="H58" s="0" t="s">
        <v>7430</v>
      </c>
      <c r="I58" s="0" t="s">
        <v>7338</v>
      </c>
      <c r="J58" s="0" t="s">
        <v>342</v>
      </c>
      <c r="K58" s="0" t="s">
        <v>7339</v>
      </c>
      <c r="L58" s="0" t="s">
        <v>7340</v>
      </c>
      <c r="M58" s="0" t="s">
        <v>7393</v>
      </c>
      <c r="N58" s="0" t="s">
        <v>7342</v>
      </c>
      <c r="P58" s="0" t="s">
        <v>229</v>
      </c>
      <c r="Q58" s="0" t="s">
        <v>7354</v>
      </c>
      <c r="R58" s="0" t="s">
        <v>7343</v>
      </c>
      <c r="S58" s="0" t="s">
        <v>7344</v>
      </c>
      <c r="T58" s="0" t="s">
        <v>228</v>
      </c>
      <c r="V58" s="0" t="s">
        <v>73</v>
      </c>
      <c r="W58" s="0" t="s">
        <v>75</v>
      </c>
      <c r="X58" s="0" t="s">
        <v>7345</v>
      </c>
      <c r="Y58" s="0" t="s">
        <v>7356</v>
      </c>
      <c r="Z58" s="0" t="s">
        <v>7357</v>
      </c>
      <c r="AA58" s="0" t="s">
        <v>7358</v>
      </c>
      <c r="AB58" s="0" t="s">
        <v>344</v>
      </c>
      <c r="AC58" s="0" t="s">
        <v>7349</v>
      </c>
      <c r="AD58" s="0" t="s">
        <v>7394</v>
      </c>
      <c r="AE58" s="0" t="s">
        <v>7395</v>
      </c>
      <c r="AF58" s="0" t="s">
        <v>7374</v>
      </c>
      <c r="AG58" s="0" t="s">
        <v>230</v>
      </c>
    </row>
    <row r="59" customFormat="false" ht="15" hidden="false" customHeight="false" outlineLevel="0" collapsed="false">
      <c r="A59" s="0" t="s">
        <v>7336</v>
      </c>
      <c r="B59" s="0" t="s">
        <v>469</v>
      </c>
      <c r="C59" s="0" t="s">
        <v>470</v>
      </c>
      <c r="D59" s="0" t="s">
        <v>343</v>
      </c>
      <c r="E59" s="0" t="s">
        <v>471</v>
      </c>
      <c r="F59" s="0" t="s">
        <v>472</v>
      </c>
      <c r="G59" s="0" t="s">
        <v>341</v>
      </c>
      <c r="H59" s="0" t="s">
        <v>7431</v>
      </c>
      <c r="I59" s="0" t="s">
        <v>7338</v>
      </c>
      <c r="J59" s="0" t="s">
        <v>342</v>
      </c>
      <c r="K59" s="0" t="s">
        <v>7339</v>
      </c>
      <c r="L59" s="0" t="s">
        <v>7340</v>
      </c>
      <c r="M59" s="0" t="s">
        <v>7393</v>
      </c>
      <c r="N59" s="0" t="s">
        <v>7342</v>
      </c>
      <c r="P59" s="0" t="s">
        <v>229</v>
      </c>
      <c r="Q59" s="0" t="s">
        <v>7354</v>
      </c>
      <c r="R59" s="0" t="s">
        <v>7343</v>
      </c>
      <c r="S59" s="0" t="s">
        <v>7344</v>
      </c>
      <c r="T59" s="0" t="s">
        <v>228</v>
      </c>
      <c r="V59" s="0" t="s">
        <v>73</v>
      </c>
      <c r="W59" s="0" t="s">
        <v>75</v>
      </c>
      <c r="X59" s="0" t="s">
        <v>7345</v>
      </c>
      <c r="Y59" s="0" t="s">
        <v>7356</v>
      </c>
      <c r="Z59" s="0" t="s">
        <v>7357</v>
      </c>
      <c r="AA59" s="0" t="s">
        <v>7358</v>
      </c>
      <c r="AB59" s="0" t="s">
        <v>344</v>
      </c>
      <c r="AC59" s="0" t="s">
        <v>7349</v>
      </c>
      <c r="AD59" s="0" t="s">
        <v>7394</v>
      </c>
      <c r="AE59" s="0" t="s">
        <v>7395</v>
      </c>
      <c r="AF59" s="0" t="s">
        <v>7374</v>
      </c>
      <c r="AG59" s="0" t="s">
        <v>230</v>
      </c>
    </row>
    <row r="60" customFormat="false" ht="15" hidden="false" customHeight="false" outlineLevel="0" collapsed="false">
      <c r="A60" s="0" t="s">
        <v>7336</v>
      </c>
      <c r="B60" s="0" t="s">
        <v>473</v>
      </c>
      <c r="C60" s="0" t="s">
        <v>474</v>
      </c>
      <c r="D60" s="0" t="s">
        <v>343</v>
      </c>
      <c r="E60" s="0" t="s">
        <v>475</v>
      </c>
      <c r="F60" s="0" t="s">
        <v>476</v>
      </c>
      <c r="G60" s="0" t="s">
        <v>341</v>
      </c>
      <c r="H60" s="0" t="s">
        <v>7432</v>
      </c>
      <c r="I60" s="0" t="s">
        <v>7338</v>
      </c>
      <c r="J60" s="0" t="s">
        <v>342</v>
      </c>
      <c r="K60" s="0" t="s">
        <v>7339</v>
      </c>
      <c r="L60" s="0" t="s">
        <v>7340</v>
      </c>
      <c r="M60" s="0" t="s">
        <v>7393</v>
      </c>
      <c r="N60" s="0" t="s">
        <v>7342</v>
      </c>
      <c r="P60" s="0" t="s">
        <v>229</v>
      </c>
      <c r="Q60" s="0" t="s">
        <v>7354</v>
      </c>
      <c r="R60" s="0" t="s">
        <v>7343</v>
      </c>
      <c r="S60" s="0" t="s">
        <v>7344</v>
      </c>
      <c r="T60" s="0" t="s">
        <v>228</v>
      </c>
      <c r="V60" s="0" t="s">
        <v>73</v>
      </c>
      <c r="W60" s="0" t="s">
        <v>75</v>
      </c>
      <c r="X60" s="0" t="s">
        <v>7345</v>
      </c>
      <c r="Y60" s="0" t="s">
        <v>7356</v>
      </c>
      <c r="Z60" s="0" t="s">
        <v>7357</v>
      </c>
      <c r="AA60" s="0" t="s">
        <v>7358</v>
      </c>
      <c r="AB60" s="0" t="s">
        <v>344</v>
      </c>
      <c r="AC60" s="0" t="s">
        <v>7349</v>
      </c>
      <c r="AD60" s="0" t="s">
        <v>7394</v>
      </c>
      <c r="AE60" s="0" t="s">
        <v>7395</v>
      </c>
      <c r="AF60" s="0" t="s">
        <v>7374</v>
      </c>
      <c r="AG60" s="0" t="s">
        <v>230</v>
      </c>
    </row>
    <row r="61" customFormat="false" ht="15" hidden="false" customHeight="false" outlineLevel="0" collapsed="false">
      <c r="A61" s="0" t="s">
        <v>7336</v>
      </c>
      <c r="B61" s="0" t="s">
        <v>477</v>
      </c>
      <c r="C61" s="0" t="s">
        <v>478</v>
      </c>
      <c r="D61" s="0" t="s">
        <v>259</v>
      </c>
      <c r="E61" s="0" t="s">
        <v>479</v>
      </c>
      <c r="F61" s="0" t="s">
        <v>480</v>
      </c>
      <c r="G61" s="0" t="s">
        <v>116</v>
      </c>
      <c r="H61" s="0" t="s">
        <v>7433</v>
      </c>
      <c r="I61" s="0" t="s">
        <v>7338</v>
      </c>
      <c r="J61" s="0" t="s">
        <v>481</v>
      </c>
      <c r="K61" s="0" t="s">
        <v>7339</v>
      </c>
      <c r="L61" s="0" t="s">
        <v>7340</v>
      </c>
      <c r="M61" s="0" t="s">
        <v>7434</v>
      </c>
      <c r="N61" s="0" t="s">
        <v>7342</v>
      </c>
      <c r="P61" s="0" t="s">
        <v>229</v>
      </c>
      <c r="Q61" s="0" t="s">
        <v>7354</v>
      </c>
      <c r="R61" s="0" t="s">
        <v>7435</v>
      </c>
      <c r="S61" s="0" t="s">
        <v>7344</v>
      </c>
      <c r="T61" s="0" t="s">
        <v>260</v>
      </c>
      <c r="V61" s="0" t="s">
        <v>61</v>
      </c>
      <c r="W61" s="0" t="s">
        <v>63</v>
      </c>
      <c r="X61" s="0" t="s">
        <v>7355</v>
      </c>
      <c r="Y61" s="0" t="s">
        <v>7436</v>
      </c>
      <c r="Z61" s="0" t="s">
        <v>7437</v>
      </c>
      <c r="AA61" s="0" t="s">
        <v>7438</v>
      </c>
      <c r="AB61" s="0" t="s">
        <v>344</v>
      </c>
      <c r="AC61" s="0" t="s">
        <v>7349</v>
      </c>
      <c r="AD61" s="0" t="s">
        <v>7439</v>
      </c>
      <c r="AE61" s="0" t="s">
        <v>7440</v>
      </c>
      <c r="AF61" s="0" t="s">
        <v>7374</v>
      </c>
      <c r="AG61" s="0" t="s">
        <v>230</v>
      </c>
    </row>
    <row r="62" customFormat="false" ht="15" hidden="false" customHeight="false" outlineLevel="0" collapsed="false">
      <c r="A62" s="0" t="s">
        <v>7336</v>
      </c>
      <c r="B62" s="0" t="s">
        <v>482</v>
      </c>
      <c r="C62" s="0" t="s">
        <v>483</v>
      </c>
      <c r="D62" s="0" t="s">
        <v>259</v>
      </c>
      <c r="E62" s="0" t="s">
        <v>484</v>
      </c>
      <c r="F62" s="0" t="s">
        <v>485</v>
      </c>
      <c r="G62" s="0" t="s">
        <v>116</v>
      </c>
      <c r="H62" s="0" t="s">
        <v>7441</v>
      </c>
      <c r="I62" s="0" t="s">
        <v>7338</v>
      </c>
      <c r="J62" s="0" t="s">
        <v>481</v>
      </c>
      <c r="K62" s="0" t="s">
        <v>7339</v>
      </c>
      <c r="L62" s="0" t="s">
        <v>7340</v>
      </c>
      <c r="M62" s="0" t="s">
        <v>7434</v>
      </c>
      <c r="N62" s="0" t="s">
        <v>7342</v>
      </c>
      <c r="P62" s="0" t="s">
        <v>229</v>
      </c>
      <c r="Q62" s="0" t="s">
        <v>7354</v>
      </c>
      <c r="R62" s="0" t="s">
        <v>7435</v>
      </c>
      <c r="S62" s="0" t="s">
        <v>7344</v>
      </c>
      <c r="T62" s="0" t="s">
        <v>260</v>
      </c>
      <c r="V62" s="0" t="s">
        <v>61</v>
      </c>
      <c r="W62" s="0" t="s">
        <v>63</v>
      </c>
      <c r="X62" s="0" t="s">
        <v>7355</v>
      </c>
      <c r="Y62" s="0" t="s">
        <v>7436</v>
      </c>
      <c r="Z62" s="0" t="s">
        <v>7437</v>
      </c>
      <c r="AA62" s="0" t="s">
        <v>7438</v>
      </c>
      <c r="AB62" s="0" t="s">
        <v>344</v>
      </c>
      <c r="AC62" s="0" t="s">
        <v>7349</v>
      </c>
      <c r="AD62" s="0" t="s">
        <v>7439</v>
      </c>
      <c r="AE62" s="0" t="s">
        <v>7440</v>
      </c>
      <c r="AF62" s="0" t="s">
        <v>7374</v>
      </c>
      <c r="AG62" s="0" t="s">
        <v>230</v>
      </c>
    </row>
    <row r="63" customFormat="false" ht="15" hidden="false" customHeight="false" outlineLevel="0" collapsed="false">
      <c r="A63" s="0" t="s">
        <v>7336</v>
      </c>
      <c r="B63" s="0" t="s">
        <v>486</v>
      </c>
      <c r="C63" s="0" t="s">
        <v>487</v>
      </c>
      <c r="D63" s="0" t="s">
        <v>259</v>
      </c>
      <c r="E63" s="0" t="s">
        <v>488</v>
      </c>
      <c r="F63" s="0" t="s">
        <v>489</v>
      </c>
      <c r="G63" s="0" t="s">
        <v>116</v>
      </c>
      <c r="H63" s="0" t="s">
        <v>7442</v>
      </c>
      <c r="I63" s="0" t="s">
        <v>7338</v>
      </c>
      <c r="J63" s="0" t="s">
        <v>481</v>
      </c>
      <c r="K63" s="0" t="s">
        <v>7339</v>
      </c>
      <c r="L63" s="0" t="s">
        <v>7340</v>
      </c>
      <c r="M63" s="0" t="s">
        <v>7434</v>
      </c>
      <c r="N63" s="0" t="s">
        <v>7342</v>
      </c>
      <c r="P63" s="0" t="s">
        <v>229</v>
      </c>
      <c r="Q63" s="0" t="s">
        <v>7354</v>
      </c>
      <c r="R63" s="0" t="s">
        <v>7435</v>
      </c>
      <c r="S63" s="0" t="s">
        <v>7344</v>
      </c>
      <c r="T63" s="0" t="s">
        <v>260</v>
      </c>
      <c r="V63" s="0" t="s">
        <v>61</v>
      </c>
      <c r="W63" s="0" t="s">
        <v>63</v>
      </c>
      <c r="X63" s="0" t="s">
        <v>7355</v>
      </c>
      <c r="Y63" s="0" t="s">
        <v>7436</v>
      </c>
      <c r="Z63" s="0" t="s">
        <v>7437</v>
      </c>
      <c r="AA63" s="0" t="s">
        <v>7438</v>
      </c>
      <c r="AB63" s="0" t="s">
        <v>344</v>
      </c>
      <c r="AC63" s="0" t="s">
        <v>7349</v>
      </c>
      <c r="AD63" s="0" t="s">
        <v>7439</v>
      </c>
      <c r="AE63" s="0" t="s">
        <v>7440</v>
      </c>
      <c r="AF63" s="0" t="s">
        <v>7374</v>
      </c>
      <c r="AG63" s="0" t="s">
        <v>230</v>
      </c>
    </row>
    <row r="64" customFormat="false" ht="15" hidden="false" customHeight="false" outlineLevel="0" collapsed="false">
      <c r="A64" s="0" t="s">
        <v>7336</v>
      </c>
      <c r="B64" s="0" t="s">
        <v>490</v>
      </c>
      <c r="C64" s="0" t="s">
        <v>491</v>
      </c>
      <c r="D64" s="0" t="s">
        <v>259</v>
      </c>
      <c r="E64" s="0" t="s">
        <v>492</v>
      </c>
      <c r="F64" s="0" t="s">
        <v>493</v>
      </c>
      <c r="G64" s="0" t="s">
        <v>116</v>
      </c>
      <c r="H64" s="0" t="s">
        <v>7443</v>
      </c>
      <c r="I64" s="0" t="s">
        <v>7338</v>
      </c>
      <c r="J64" s="0" t="s">
        <v>481</v>
      </c>
      <c r="K64" s="0" t="s">
        <v>7339</v>
      </c>
      <c r="L64" s="0" t="s">
        <v>7340</v>
      </c>
      <c r="M64" s="0" t="s">
        <v>7434</v>
      </c>
      <c r="N64" s="0" t="s">
        <v>7342</v>
      </c>
      <c r="P64" s="0" t="s">
        <v>229</v>
      </c>
      <c r="Q64" s="0" t="s">
        <v>7354</v>
      </c>
      <c r="R64" s="0" t="s">
        <v>7435</v>
      </c>
      <c r="S64" s="0" t="s">
        <v>7344</v>
      </c>
      <c r="T64" s="0" t="s">
        <v>260</v>
      </c>
      <c r="V64" s="0" t="s">
        <v>61</v>
      </c>
      <c r="W64" s="0" t="s">
        <v>63</v>
      </c>
      <c r="X64" s="0" t="s">
        <v>7355</v>
      </c>
      <c r="Y64" s="0" t="s">
        <v>7436</v>
      </c>
      <c r="Z64" s="0" t="s">
        <v>7437</v>
      </c>
      <c r="AA64" s="0" t="s">
        <v>7438</v>
      </c>
      <c r="AB64" s="0" t="s">
        <v>344</v>
      </c>
      <c r="AC64" s="0" t="s">
        <v>7349</v>
      </c>
      <c r="AD64" s="0" t="s">
        <v>7439</v>
      </c>
      <c r="AE64" s="0" t="s">
        <v>7440</v>
      </c>
      <c r="AF64" s="0" t="s">
        <v>7374</v>
      </c>
      <c r="AG64" s="0" t="s">
        <v>230</v>
      </c>
    </row>
    <row r="65" customFormat="false" ht="15" hidden="false" customHeight="false" outlineLevel="0" collapsed="false">
      <c r="A65" s="0" t="s">
        <v>7336</v>
      </c>
      <c r="B65" s="0" t="s">
        <v>494</v>
      </c>
      <c r="C65" s="0" t="s">
        <v>495</v>
      </c>
      <c r="D65" s="0" t="s">
        <v>259</v>
      </c>
      <c r="E65" s="0" t="s">
        <v>496</v>
      </c>
      <c r="F65" s="0" t="s">
        <v>497</v>
      </c>
      <c r="G65" s="0" t="s">
        <v>116</v>
      </c>
      <c r="H65" s="0" t="s">
        <v>7444</v>
      </c>
      <c r="I65" s="0" t="s">
        <v>7338</v>
      </c>
      <c r="J65" s="0" t="s">
        <v>481</v>
      </c>
      <c r="K65" s="0" t="s">
        <v>7339</v>
      </c>
      <c r="L65" s="0" t="s">
        <v>7340</v>
      </c>
      <c r="M65" s="0" t="s">
        <v>7434</v>
      </c>
      <c r="N65" s="0" t="s">
        <v>7342</v>
      </c>
      <c r="P65" s="0" t="s">
        <v>229</v>
      </c>
      <c r="Q65" s="0" t="s">
        <v>7354</v>
      </c>
      <c r="R65" s="0" t="s">
        <v>7435</v>
      </c>
      <c r="S65" s="0" t="s">
        <v>7344</v>
      </c>
      <c r="T65" s="0" t="s">
        <v>260</v>
      </c>
      <c r="V65" s="0" t="s">
        <v>61</v>
      </c>
      <c r="W65" s="0" t="s">
        <v>63</v>
      </c>
      <c r="X65" s="0" t="s">
        <v>7355</v>
      </c>
      <c r="Y65" s="0" t="s">
        <v>7436</v>
      </c>
      <c r="Z65" s="0" t="s">
        <v>7437</v>
      </c>
      <c r="AA65" s="0" t="s">
        <v>7438</v>
      </c>
      <c r="AB65" s="0" t="s">
        <v>344</v>
      </c>
      <c r="AC65" s="0" t="s">
        <v>7349</v>
      </c>
      <c r="AD65" s="0" t="s">
        <v>7439</v>
      </c>
      <c r="AE65" s="0" t="s">
        <v>7440</v>
      </c>
      <c r="AF65" s="0" t="s">
        <v>7374</v>
      </c>
      <c r="AG65" s="0" t="s">
        <v>230</v>
      </c>
    </row>
    <row r="66" customFormat="false" ht="15" hidden="false" customHeight="false" outlineLevel="0" collapsed="false">
      <c r="A66" s="0" t="s">
        <v>7336</v>
      </c>
      <c r="B66" s="0" t="s">
        <v>498</v>
      </c>
      <c r="C66" s="0" t="s">
        <v>499</v>
      </c>
      <c r="D66" s="0" t="s">
        <v>259</v>
      </c>
      <c r="E66" s="0" t="s">
        <v>500</v>
      </c>
      <c r="F66" s="0" t="s">
        <v>501</v>
      </c>
      <c r="G66" s="0" t="s">
        <v>116</v>
      </c>
      <c r="H66" s="0" t="s">
        <v>7445</v>
      </c>
      <c r="I66" s="0" t="s">
        <v>7338</v>
      </c>
      <c r="J66" s="0" t="s">
        <v>481</v>
      </c>
      <c r="K66" s="0" t="s">
        <v>7339</v>
      </c>
      <c r="L66" s="0" t="s">
        <v>7340</v>
      </c>
      <c r="M66" s="0" t="s">
        <v>7434</v>
      </c>
      <c r="N66" s="0" t="s">
        <v>7342</v>
      </c>
      <c r="P66" s="0" t="s">
        <v>229</v>
      </c>
      <c r="Q66" s="0" t="s">
        <v>7354</v>
      </c>
      <c r="R66" s="0" t="s">
        <v>7435</v>
      </c>
      <c r="S66" s="0" t="s">
        <v>7344</v>
      </c>
      <c r="T66" s="0" t="s">
        <v>260</v>
      </c>
      <c r="V66" s="0" t="s">
        <v>61</v>
      </c>
      <c r="W66" s="0" t="s">
        <v>63</v>
      </c>
      <c r="X66" s="0" t="s">
        <v>7355</v>
      </c>
      <c r="Y66" s="0" t="s">
        <v>7436</v>
      </c>
      <c r="Z66" s="0" t="s">
        <v>7437</v>
      </c>
      <c r="AA66" s="0" t="s">
        <v>7438</v>
      </c>
      <c r="AB66" s="0" t="s">
        <v>344</v>
      </c>
      <c r="AC66" s="0" t="s">
        <v>7349</v>
      </c>
      <c r="AD66" s="0" t="s">
        <v>7439</v>
      </c>
      <c r="AE66" s="0" t="s">
        <v>7440</v>
      </c>
      <c r="AF66" s="0" t="s">
        <v>7374</v>
      </c>
      <c r="AG66" s="0" t="s">
        <v>230</v>
      </c>
    </row>
    <row r="67" customFormat="false" ht="15" hidden="false" customHeight="false" outlineLevel="0" collapsed="false">
      <c r="A67" s="0" t="s">
        <v>7336</v>
      </c>
      <c r="B67" s="0" t="s">
        <v>502</v>
      </c>
      <c r="C67" s="0" t="s">
        <v>503</v>
      </c>
      <c r="D67" s="0" t="s">
        <v>259</v>
      </c>
      <c r="E67" s="0" t="s">
        <v>504</v>
      </c>
      <c r="F67" s="0" t="s">
        <v>505</v>
      </c>
      <c r="G67" s="0" t="s">
        <v>116</v>
      </c>
      <c r="H67" s="0" t="s">
        <v>7446</v>
      </c>
      <c r="I67" s="0" t="s">
        <v>7338</v>
      </c>
      <c r="J67" s="0" t="s">
        <v>481</v>
      </c>
      <c r="K67" s="0" t="s">
        <v>7339</v>
      </c>
      <c r="L67" s="0" t="s">
        <v>7340</v>
      </c>
      <c r="M67" s="0" t="s">
        <v>7434</v>
      </c>
      <c r="N67" s="0" t="s">
        <v>7342</v>
      </c>
      <c r="P67" s="0" t="s">
        <v>229</v>
      </c>
      <c r="Q67" s="0" t="s">
        <v>7354</v>
      </c>
      <c r="R67" s="0" t="s">
        <v>7435</v>
      </c>
      <c r="S67" s="0" t="s">
        <v>7344</v>
      </c>
      <c r="T67" s="0" t="s">
        <v>260</v>
      </c>
      <c r="V67" s="0" t="s">
        <v>61</v>
      </c>
      <c r="W67" s="0" t="s">
        <v>63</v>
      </c>
      <c r="X67" s="0" t="s">
        <v>7355</v>
      </c>
      <c r="Y67" s="0" t="s">
        <v>7436</v>
      </c>
      <c r="Z67" s="0" t="s">
        <v>7437</v>
      </c>
      <c r="AA67" s="0" t="s">
        <v>7438</v>
      </c>
      <c r="AB67" s="0" t="s">
        <v>344</v>
      </c>
      <c r="AC67" s="0" t="s">
        <v>7349</v>
      </c>
      <c r="AD67" s="0" t="s">
        <v>7439</v>
      </c>
      <c r="AE67" s="0" t="s">
        <v>7440</v>
      </c>
      <c r="AF67" s="0" t="s">
        <v>7374</v>
      </c>
      <c r="AG67" s="0" t="s">
        <v>230</v>
      </c>
    </row>
    <row r="68" customFormat="false" ht="15" hidden="false" customHeight="false" outlineLevel="0" collapsed="false">
      <c r="A68" s="0" t="s">
        <v>7336</v>
      </c>
      <c r="B68" s="0" t="s">
        <v>506</v>
      </c>
      <c r="C68" s="0" t="s">
        <v>507</v>
      </c>
      <c r="D68" s="0" t="s">
        <v>259</v>
      </c>
      <c r="E68" s="0" t="s">
        <v>508</v>
      </c>
      <c r="F68" s="0" t="s">
        <v>509</v>
      </c>
      <c r="G68" s="0" t="s">
        <v>116</v>
      </c>
      <c r="H68" s="0" t="s">
        <v>7447</v>
      </c>
      <c r="I68" s="0" t="s">
        <v>7338</v>
      </c>
      <c r="J68" s="0" t="s">
        <v>481</v>
      </c>
      <c r="K68" s="0" t="s">
        <v>7339</v>
      </c>
      <c r="L68" s="0" t="s">
        <v>7340</v>
      </c>
      <c r="M68" s="0" t="s">
        <v>7434</v>
      </c>
      <c r="N68" s="0" t="s">
        <v>7342</v>
      </c>
      <c r="P68" s="0" t="s">
        <v>229</v>
      </c>
      <c r="Q68" s="0" t="s">
        <v>7354</v>
      </c>
      <c r="R68" s="0" t="s">
        <v>7435</v>
      </c>
      <c r="S68" s="0" t="s">
        <v>7344</v>
      </c>
      <c r="T68" s="0" t="s">
        <v>260</v>
      </c>
      <c r="V68" s="0" t="s">
        <v>61</v>
      </c>
      <c r="W68" s="0" t="s">
        <v>63</v>
      </c>
      <c r="X68" s="0" t="s">
        <v>7355</v>
      </c>
      <c r="Y68" s="0" t="s">
        <v>7436</v>
      </c>
      <c r="Z68" s="0" t="s">
        <v>7437</v>
      </c>
      <c r="AA68" s="0" t="s">
        <v>7438</v>
      </c>
      <c r="AB68" s="0" t="s">
        <v>344</v>
      </c>
      <c r="AC68" s="0" t="s">
        <v>7349</v>
      </c>
      <c r="AD68" s="0" t="s">
        <v>7439</v>
      </c>
      <c r="AE68" s="0" t="s">
        <v>7440</v>
      </c>
      <c r="AF68" s="0" t="s">
        <v>7374</v>
      </c>
      <c r="AG68" s="0" t="s">
        <v>230</v>
      </c>
    </row>
    <row r="69" customFormat="false" ht="15" hidden="false" customHeight="false" outlineLevel="0" collapsed="false">
      <c r="A69" s="0" t="s">
        <v>7336</v>
      </c>
      <c r="B69" s="0" t="s">
        <v>510</v>
      </c>
      <c r="C69" s="0" t="s">
        <v>511</v>
      </c>
      <c r="D69" s="0" t="s">
        <v>259</v>
      </c>
      <c r="E69" s="0" t="s">
        <v>512</v>
      </c>
      <c r="F69" s="0" t="s">
        <v>513</v>
      </c>
      <c r="G69" s="0" t="s">
        <v>116</v>
      </c>
      <c r="H69" s="0" t="s">
        <v>7448</v>
      </c>
      <c r="I69" s="0" t="s">
        <v>7338</v>
      </c>
      <c r="J69" s="0" t="s">
        <v>481</v>
      </c>
      <c r="K69" s="0" t="s">
        <v>7339</v>
      </c>
      <c r="L69" s="0" t="s">
        <v>7340</v>
      </c>
      <c r="M69" s="0" t="s">
        <v>7434</v>
      </c>
      <c r="N69" s="0" t="s">
        <v>7342</v>
      </c>
      <c r="P69" s="0" t="s">
        <v>229</v>
      </c>
      <c r="Q69" s="0" t="s">
        <v>7354</v>
      </c>
      <c r="R69" s="0" t="s">
        <v>7435</v>
      </c>
      <c r="S69" s="0" t="s">
        <v>7344</v>
      </c>
      <c r="T69" s="0" t="s">
        <v>260</v>
      </c>
      <c r="V69" s="0" t="s">
        <v>61</v>
      </c>
      <c r="W69" s="0" t="s">
        <v>63</v>
      </c>
      <c r="X69" s="0" t="s">
        <v>7355</v>
      </c>
      <c r="Y69" s="0" t="s">
        <v>7436</v>
      </c>
      <c r="Z69" s="0" t="s">
        <v>7437</v>
      </c>
      <c r="AA69" s="0" t="s">
        <v>7438</v>
      </c>
      <c r="AB69" s="0" t="s">
        <v>344</v>
      </c>
      <c r="AC69" s="0" t="s">
        <v>7349</v>
      </c>
      <c r="AD69" s="0" t="s">
        <v>7439</v>
      </c>
      <c r="AE69" s="0" t="s">
        <v>7440</v>
      </c>
      <c r="AF69" s="0" t="s">
        <v>7374</v>
      </c>
      <c r="AG69" s="0" t="s">
        <v>230</v>
      </c>
    </row>
    <row r="70" customFormat="false" ht="15" hidden="false" customHeight="false" outlineLevel="0" collapsed="false">
      <c r="A70" s="0" t="s">
        <v>7336</v>
      </c>
      <c r="B70" s="0" t="s">
        <v>514</v>
      </c>
      <c r="C70" s="0" t="s">
        <v>515</v>
      </c>
      <c r="D70" s="0" t="s">
        <v>259</v>
      </c>
      <c r="E70" s="0" t="s">
        <v>516</v>
      </c>
      <c r="F70" s="0" t="s">
        <v>517</v>
      </c>
      <c r="G70" s="0" t="s">
        <v>116</v>
      </c>
      <c r="H70" s="0" t="s">
        <v>7449</v>
      </c>
      <c r="I70" s="0" t="s">
        <v>7338</v>
      </c>
      <c r="J70" s="0" t="s">
        <v>481</v>
      </c>
      <c r="K70" s="0" t="s">
        <v>7339</v>
      </c>
      <c r="L70" s="0" t="s">
        <v>7340</v>
      </c>
      <c r="M70" s="0" t="s">
        <v>7434</v>
      </c>
      <c r="N70" s="0" t="s">
        <v>7342</v>
      </c>
      <c r="P70" s="0" t="s">
        <v>229</v>
      </c>
      <c r="Q70" s="0" t="s">
        <v>7354</v>
      </c>
      <c r="R70" s="0" t="s">
        <v>7435</v>
      </c>
      <c r="S70" s="0" t="s">
        <v>7344</v>
      </c>
      <c r="T70" s="0" t="s">
        <v>260</v>
      </c>
      <c r="V70" s="0" t="s">
        <v>61</v>
      </c>
      <c r="W70" s="0" t="s">
        <v>63</v>
      </c>
      <c r="X70" s="0" t="s">
        <v>7355</v>
      </c>
      <c r="Y70" s="0" t="s">
        <v>7436</v>
      </c>
      <c r="Z70" s="0" t="s">
        <v>7437</v>
      </c>
      <c r="AA70" s="0" t="s">
        <v>7438</v>
      </c>
      <c r="AB70" s="0" t="s">
        <v>344</v>
      </c>
      <c r="AC70" s="0" t="s">
        <v>7349</v>
      </c>
      <c r="AD70" s="0" t="s">
        <v>7439</v>
      </c>
      <c r="AE70" s="0" t="s">
        <v>7440</v>
      </c>
      <c r="AF70" s="0" t="s">
        <v>7374</v>
      </c>
      <c r="AG70" s="0" t="s">
        <v>230</v>
      </c>
    </row>
    <row r="71" customFormat="false" ht="15" hidden="false" customHeight="false" outlineLevel="0" collapsed="false">
      <c r="A71" s="0" t="s">
        <v>7336</v>
      </c>
      <c r="B71" s="0" t="s">
        <v>518</v>
      </c>
      <c r="C71" s="0" t="s">
        <v>519</v>
      </c>
      <c r="D71" s="0" t="s">
        <v>259</v>
      </c>
      <c r="E71" s="0" t="s">
        <v>520</v>
      </c>
      <c r="F71" s="0" t="s">
        <v>521</v>
      </c>
      <c r="G71" s="0" t="s">
        <v>116</v>
      </c>
      <c r="H71" s="0" t="s">
        <v>7450</v>
      </c>
      <c r="I71" s="0" t="s">
        <v>7338</v>
      </c>
      <c r="J71" s="0" t="s">
        <v>481</v>
      </c>
      <c r="K71" s="0" t="s">
        <v>7339</v>
      </c>
      <c r="L71" s="0" t="s">
        <v>7340</v>
      </c>
      <c r="M71" s="0" t="s">
        <v>7434</v>
      </c>
      <c r="N71" s="0" t="s">
        <v>7342</v>
      </c>
      <c r="P71" s="0" t="s">
        <v>229</v>
      </c>
      <c r="Q71" s="0" t="s">
        <v>7354</v>
      </c>
      <c r="R71" s="0" t="s">
        <v>7435</v>
      </c>
      <c r="S71" s="0" t="s">
        <v>7344</v>
      </c>
      <c r="T71" s="0" t="s">
        <v>260</v>
      </c>
      <c r="V71" s="0" t="s">
        <v>61</v>
      </c>
      <c r="W71" s="0" t="s">
        <v>63</v>
      </c>
      <c r="X71" s="0" t="s">
        <v>7355</v>
      </c>
      <c r="Y71" s="0" t="s">
        <v>7436</v>
      </c>
      <c r="Z71" s="0" t="s">
        <v>7437</v>
      </c>
      <c r="AA71" s="0" t="s">
        <v>7438</v>
      </c>
      <c r="AB71" s="0" t="s">
        <v>344</v>
      </c>
      <c r="AC71" s="0" t="s">
        <v>7349</v>
      </c>
      <c r="AD71" s="0" t="s">
        <v>7439</v>
      </c>
      <c r="AE71" s="0" t="s">
        <v>7440</v>
      </c>
      <c r="AF71" s="0" t="s">
        <v>7374</v>
      </c>
      <c r="AG71" s="0" t="s">
        <v>230</v>
      </c>
    </row>
    <row r="72" customFormat="false" ht="15" hidden="false" customHeight="false" outlineLevel="0" collapsed="false">
      <c r="A72" s="0" t="s">
        <v>7336</v>
      </c>
      <c r="B72" s="0" t="s">
        <v>522</v>
      </c>
      <c r="C72" s="0" t="s">
        <v>523</v>
      </c>
      <c r="D72" s="0" t="s">
        <v>259</v>
      </c>
      <c r="E72" s="0" t="s">
        <v>524</v>
      </c>
      <c r="F72" s="0" t="s">
        <v>525</v>
      </c>
      <c r="G72" s="0" t="s">
        <v>116</v>
      </c>
      <c r="H72" s="0" t="s">
        <v>7451</v>
      </c>
      <c r="I72" s="0" t="s">
        <v>7338</v>
      </c>
      <c r="J72" s="0" t="s">
        <v>481</v>
      </c>
      <c r="K72" s="0" t="s">
        <v>7339</v>
      </c>
      <c r="L72" s="0" t="s">
        <v>7340</v>
      </c>
      <c r="M72" s="0" t="s">
        <v>7434</v>
      </c>
      <c r="N72" s="0" t="s">
        <v>7342</v>
      </c>
      <c r="P72" s="0" t="s">
        <v>229</v>
      </c>
      <c r="Q72" s="0" t="s">
        <v>7354</v>
      </c>
      <c r="R72" s="0" t="s">
        <v>7435</v>
      </c>
      <c r="S72" s="0" t="s">
        <v>7344</v>
      </c>
      <c r="T72" s="0" t="s">
        <v>260</v>
      </c>
      <c r="V72" s="0" t="s">
        <v>61</v>
      </c>
      <c r="W72" s="0" t="s">
        <v>63</v>
      </c>
      <c r="X72" s="0" t="s">
        <v>7355</v>
      </c>
      <c r="Y72" s="0" t="s">
        <v>7436</v>
      </c>
      <c r="Z72" s="0" t="s">
        <v>7437</v>
      </c>
      <c r="AA72" s="0" t="s">
        <v>7438</v>
      </c>
      <c r="AB72" s="0" t="s">
        <v>344</v>
      </c>
      <c r="AC72" s="0" t="s">
        <v>7349</v>
      </c>
      <c r="AD72" s="0" t="s">
        <v>7439</v>
      </c>
      <c r="AE72" s="0" t="s">
        <v>7440</v>
      </c>
      <c r="AF72" s="0" t="s">
        <v>7374</v>
      </c>
      <c r="AG72" s="0" t="s">
        <v>230</v>
      </c>
    </row>
    <row r="73" customFormat="false" ht="15" hidden="false" customHeight="false" outlineLevel="0" collapsed="false">
      <c r="A73" s="0" t="s">
        <v>7336</v>
      </c>
      <c r="B73" s="0" t="s">
        <v>526</v>
      </c>
      <c r="C73" s="0" t="s">
        <v>527</v>
      </c>
      <c r="D73" s="0" t="s">
        <v>259</v>
      </c>
      <c r="E73" s="0" t="s">
        <v>528</v>
      </c>
      <c r="F73" s="0" t="s">
        <v>529</v>
      </c>
      <c r="G73" s="0" t="s">
        <v>116</v>
      </c>
      <c r="H73" s="0" t="s">
        <v>7452</v>
      </c>
      <c r="I73" s="0" t="s">
        <v>7338</v>
      </c>
      <c r="J73" s="0" t="s">
        <v>481</v>
      </c>
      <c r="K73" s="0" t="s">
        <v>7339</v>
      </c>
      <c r="L73" s="0" t="s">
        <v>7340</v>
      </c>
      <c r="M73" s="0" t="s">
        <v>7434</v>
      </c>
      <c r="N73" s="0" t="s">
        <v>7342</v>
      </c>
      <c r="P73" s="0" t="s">
        <v>229</v>
      </c>
      <c r="Q73" s="0" t="s">
        <v>7354</v>
      </c>
      <c r="R73" s="0" t="s">
        <v>7435</v>
      </c>
      <c r="S73" s="0" t="s">
        <v>7344</v>
      </c>
      <c r="T73" s="0" t="s">
        <v>260</v>
      </c>
      <c r="V73" s="0" t="s">
        <v>61</v>
      </c>
      <c r="W73" s="0" t="s">
        <v>63</v>
      </c>
      <c r="X73" s="0" t="s">
        <v>7355</v>
      </c>
      <c r="Y73" s="0" t="s">
        <v>7436</v>
      </c>
      <c r="Z73" s="0" t="s">
        <v>7437</v>
      </c>
      <c r="AA73" s="0" t="s">
        <v>7438</v>
      </c>
      <c r="AB73" s="0" t="s">
        <v>344</v>
      </c>
      <c r="AC73" s="0" t="s">
        <v>7349</v>
      </c>
      <c r="AD73" s="0" t="s">
        <v>7439</v>
      </c>
      <c r="AE73" s="0" t="s">
        <v>7440</v>
      </c>
      <c r="AF73" s="0" t="s">
        <v>7374</v>
      </c>
      <c r="AG73" s="0" t="s">
        <v>230</v>
      </c>
    </row>
    <row r="74" customFormat="false" ht="15" hidden="false" customHeight="false" outlineLevel="0" collapsed="false">
      <c r="A74" s="0" t="s">
        <v>7336</v>
      </c>
      <c r="B74" s="0" t="s">
        <v>530</v>
      </c>
      <c r="C74" s="0" t="s">
        <v>531</v>
      </c>
      <c r="D74" s="0" t="s">
        <v>259</v>
      </c>
      <c r="E74" s="0" t="s">
        <v>532</v>
      </c>
      <c r="F74" s="0" t="s">
        <v>533</v>
      </c>
      <c r="G74" s="0" t="s">
        <v>116</v>
      </c>
      <c r="H74" s="0" t="s">
        <v>7453</v>
      </c>
      <c r="I74" s="0" t="s">
        <v>7338</v>
      </c>
      <c r="J74" s="0" t="s">
        <v>481</v>
      </c>
      <c r="K74" s="0" t="s">
        <v>7339</v>
      </c>
      <c r="L74" s="0" t="s">
        <v>7340</v>
      </c>
      <c r="M74" s="0" t="s">
        <v>7434</v>
      </c>
      <c r="N74" s="0" t="s">
        <v>7342</v>
      </c>
      <c r="P74" s="0" t="s">
        <v>229</v>
      </c>
      <c r="Q74" s="0" t="s">
        <v>7354</v>
      </c>
      <c r="R74" s="0" t="s">
        <v>7435</v>
      </c>
      <c r="S74" s="0" t="s">
        <v>7344</v>
      </c>
      <c r="T74" s="0" t="s">
        <v>260</v>
      </c>
      <c r="V74" s="0" t="s">
        <v>61</v>
      </c>
      <c r="W74" s="0" t="s">
        <v>63</v>
      </c>
      <c r="X74" s="0" t="s">
        <v>7355</v>
      </c>
      <c r="Y74" s="0" t="s">
        <v>7436</v>
      </c>
      <c r="Z74" s="0" t="s">
        <v>7437</v>
      </c>
      <c r="AA74" s="0" t="s">
        <v>7438</v>
      </c>
      <c r="AB74" s="0" t="s">
        <v>344</v>
      </c>
      <c r="AC74" s="0" t="s">
        <v>7349</v>
      </c>
      <c r="AD74" s="0" t="s">
        <v>7439</v>
      </c>
      <c r="AE74" s="0" t="s">
        <v>7440</v>
      </c>
      <c r="AF74" s="0" t="s">
        <v>7374</v>
      </c>
      <c r="AG74" s="0" t="s">
        <v>230</v>
      </c>
    </row>
    <row r="75" customFormat="false" ht="15" hidden="false" customHeight="false" outlineLevel="0" collapsed="false">
      <c r="A75" s="0" t="s">
        <v>7336</v>
      </c>
      <c r="B75" s="0" t="s">
        <v>534</v>
      </c>
      <c r="C75" s="0" t="s">
        <v>535</v>
      </c>
      <c r="D75" s="0" t="s">
        <v>259</v>
      </c>
      <c r="E75" s="0" t="s">
        <v>536</v>
      </c>
      <c r="F75" s="0" t="s">
        <v>505</v>
      </c>
      <c r="G75" s="0" t="s">
        <v>116</v>
      </c>
      <c r="H75" s="0" t="s">
        <v>7446</v>
      </c>
      <c r="I75" s="0" t="s">
        <v>7338</v>
      </c>
      <c r="J75" s="0" t="s">
        <v>481</v>
      </c>
      <c r="K75" s="0" t="s">
        <v>7339</v>
      </c>
      <c r="L75" s="0" t="s">
        <v>7340</v>
      </c>
      <c r="M75" s="0" t="s">
        <v>7434</v>
      </c>
      <c r="N75" s="0" t="s">
        <v>7342</v>
      </c>
      <c r="P75" s="0" t="s">
        <v>229</v>
      </c>
      <c r="Q75" s="0" t="s">
        <v>7354</v>
      </c>
      <c r="R75" s="0" t="s">
        <v>7435</v>
      </c>
      <c r="S75" s="0" t="s">
        <v>7344</v>
      </c>
      <c r="T75" s="0" t="s">
        <v>260</v>
      </c>
      <c r="V75" s="0" t="s">
        <v>61</v>
      </c>
      <c r="W75" s="0" t="s">
        <v>63</v>
      </c>
      <c r="X75" s="0" t="s">
        <v>7355</v>
      </c>
      <c r="Y75" s="0" t="s">
        <v>7436</v>
      </c>
      <c r="Z75" s="0" t="s">
        <v>7437</v>
      </c>
      <c r="AA75" s="0" t="s">
        <v>7438</v>
      </c>
      <c r="AB75" s="0" t="s">
        <v>344</v>
      </c>
      <c r="AC75" s="0" t="s">
        <v>7349</v>
      </c>
      <c r="AD75" s="0" t="s">
        <v>7439</v>
      </c>
      <c r="AE75" s="0" t="s">
        <v>7440</v>
      </c>
      <c r="AF75" s="0" t="s">
        <v>7374</v>
      </c>
      <c r="AG75" s="0" t="s">
        <v>230</v>
      </c>
    </row>
    <row r="76" customFormat="false" ht="15" hidden="false" customHeight="false" outlineLevel="0" collapsed="false">
      <c r="A76" s="0" t="s">
        <v>7336</v>
      </c>
      <c r="B76" s="0" t="s">
        <v>537</v>
      </c>
      <c r="C76" s="0" t="s">
        <v>538</v>
      </c>
      <c r="D76" s="0" t="s">
        <v>259</v>
      </c>
      <c r="E76" s="0" t="s">
        <v>539</v>
      </c>
      <c r="F76" s="0" t="s">
        <v>540</v>
      </c>
      <c r="G76" s="0" t="s">
        <v>116</v>
      </c>
      <c r="H76" s="0" t="s">
        <v>7454</v>
      </c>
      <c r="I76" s="0" t="s">
        <v>7338</v>
      </c>
      <c r="J76" s="0" t="s">
        <v>481</v>
      </c>
      <c r="K76" s="0" t="s">
        <v>7339</v>
      </c>
      <c r="L76" s="0" t="s">
        <v>7340</v>
      </c>
      <c r="M76" s="0" t="s">
        <v>7434</v>
      </c>
      <c r="N76" s="0" t="s">
        <v>7342</v>
      </c>
      <c r="P76" s="0" t="s">
        <v>229</v>
      </c>
      <c r="Q76" s="0" t="s">
        <v>7354</v>
      </c>
      <c r="R76" s="0" t="s">
        <v>7435</v>
      </c>
      <c r="S76" s="0" t="s">
        <v>7344</v>
      </c>
      <c r="T76" s="0" t="s">
        <v>260</v>
      </c>
      <c r="V76" s="0" t="s">
        <v>61</v>
      </c>
      <c r="W76" s="0" t="s">
        <v>63</v>
      </c>
      <c r="X76" s="0" t="s">
        <v>7355</v>
      </c>
      <c r="Y76" s="0" t="s">
        <v>7436</v>
      </c>
      <c r="Z76" s="0" t="s">
        <v>7437</v>
      </c>
      <c r="AA76" s="0" t="s">
        <v>7438</v>
      </c>
      <c r="AB76" s="0" t="s">
        <v>344</v>
      </c>
      <c r="AC76" s="0" t="s">
        <v>7349</v>
      </c>
      <c r="AD76" s="0" t="s">
        <v>7439</v>
      </c>
      <c r="AE76" s="0" t="s">
        <v>7440</v>
      </c>
      <c r="AF76" s="0" t="s">
        <v>7374</v>
      </c>
      <c r="AG76" s="0" t="s">
        <v>230</v>
      </c>
    </row>
    <row r="77" customFormat="false" ht="15" hidden="false" customHeight="false" outlineLevel="0" collapsed="false">
      <c r="A77" s="0" t="s">
        <v>7336</v>
      </c>
      <c r="B77" s="0" t="s">
        <v>541</v>
      </c>
      <c r="C77" s="0" t="s">
        <v>542</v>
      </c>
      <c r="D77" s="0" t="s">
        <v>259</v>
      </c>
      <c r="E77" s="0" t="s">
        <v>543</v>
      </c>
      <c r="F77" s="0" t="s">
        <v>544</v>
      </c>
      <c r="G77" s="0" t="s">
        <v>116</v>
      </c>
      <c r="H77" s="0" t="s">
        <v>7455</v>
      </c>
      <c r="I77" s="0" t="s">
        <v>7338</v>
      </c>
      <c r="J77" s="0" t="s">
        <v>481</v>
      </c>
      <c r="K77" s="0" t="s">
        <v>7339</v>
      </c>
      <c r="L77" s="0" t="s">
        <v>7340</v>
      </c>
      <c r="M77" s="0" t="s">
        <v>7434</v>
      </c>
      <c r="N77" s="0" t="s">
        <v>7342</v>
      </c>
      <c r="P77" s="0" t="s">
        <v>229</v>
      </c>
      <c r="Q77" s="0" t="s">
        <v>7354</v>
      </c>
      <c r="R77" s="0" t="s">
        <v>7435</v>
      </c>
      <c r="S77" s="0" t="s">
        <v>7344</v>
      </c>
      <c r="T77" s="0" t="s">
        <v>260</v>
      </c>
      <c r="V77" s="0" t="s">
        <v>61</v>
      </c>
      <c r="W77" s="0" t="s">
        <v>63</v>
      </c>
      <c r="X77" s="0" t="s">
        <v>7355</v>
      </c>
      <c r="Y77" s="0" t="s">
        <v>7436</v>
      </c>
      <c r="Z77" s="0" t="s">
        <v>7437</v>
      </c>
      <c r="AA77" s="0" t="s">
        <v>7438</v>
      </c>
      <c r="AB77" s="0" t="s">
        <v>344</v>
      </c>
      <c r="AC77" s="0" t="s">
        <v>7349</v>
      </c>
      <c r="AD77" s="0" t="s">
        <v>7439</v>
      </c>
      <c r="AE77" s="0" t="s">
        <v>7440</v>
      </c>
      <c r="AF77" s="0" t="s">
        <v>7374</v>
      </c>
      <c r="AG77" s="0" t="s">
        <v>230</v>
      </c>
    </row>
    <row r="78" customFormat="false" ht="15" hidden="false" customHeight="false" outlineLevel="0" collapsed="false">
      <c r="A78" s="0" t="s">
        <v>7336</v>
      </c>
      <c r="B78" s="0" t="s">
        <v>545</v>
      </c>
      <c r="C78" s="0" t="s">
        <v>546</v>
      </c>
      <c r="D78" s="0" t="s">
        <v>259</v>
      </c>
      <c r="E78" s="0" t="s">
        <v>547</v>
      </c>
      <c r="F78" s="0" t="s">
        <v>548</v>
      </c>
      <c r="G78" s="0" t="s">
        <v>116</v>
      </c>
      <c r="H78" s="0" t="s">
        <v>7456</v>
      </c>
      <c r="I78" s="0" t="s">
        <v>7338</v>
      </c>
      <c r="J78" s="0" t="s">
        <v>481</v>
      </c>
      <c r="K78" s="0" t="s">
        <v>7339</v>
      </c>
      <c r="L78" s="0" t="s">
        <v>7340</v>
      </c>
      <c r="M78" s="0" t="s">
        <v>7434</v>
      </c>
      <c r="N78" s="0" t="s">
        <v>7342</v>
      </c>
      <c r="P78" s="0" t="s">
        <v>229</v>
      </c>
      <c r="Q78" s="0" t="s">
        <v>7354</v>
      </c>
      <c r="R78" s="0" t="s">
        <v>7435</v>
      </c>
      <c r="S78" s="0" t="s">
        <v>7344</v>
      </c>
      <c r="T78" s="0" t="s">
        <v>260</v>
      </c>
      <c r="V78" s="0" t="s">
        <v>61</v>
      </c>
      <c r="W78" s="0" t="s">
        <v>63</v>
      </c>
      <c r="X78" s="0" t="s">
        <v>7355</v>
      </c>
      <c r="Y78" s="0" t="s">
        <v>7436</v>
      </c>
      <c r="Z78" s="0" t="s">
        <v>7437</v>
      </c>
      <c r="AA78" s="0" t="s">
        <v>7438</v>
      </c>
      <c r="AB78" s="0" t="s">
        <v>344</v>
      </c>
      <c r="AC78" s="0" t="s">
        <v>7349</v>
      </c>
      <c r="AD78" s="0" t="s">
        <v>7439</v>
      </c>
      <c r="AE78" s="0" t="s">
        <v>7440</v>
      </c>
      <c r="AF78" s="0" t="s">
        <v>7374</v>
      </c>
      <c r="AG78" s="0" t="s">
        <v>230</v>
      </c>
    </row>
    <row r="79" customFormat="false" ht="15" hidden="false" customHeight="false" outlineLevel="0" collapsed="false">
      <c r="A79" s="0" t="s">
        <v>7336</v>
      </c>
      <c r="B79" s="0" t="s">
        <v>549</v>
      </c>
      <c r="C79" s="0" t="s">
        <v>550</v>
      </c>
      <c r="D79" s="0" t="s">
        <v>259</v>
      </c>
      <c r="E79" s="0" t="s">
        <v>551</v>
      </c>
      <c r="F79" s="0" t="s">
        <v>552</v>
      </c>
      <c r="G79" s="0" t="s">
        <v>116</v>
      </c>
      <c r="H79" s="0" t="s">
        <v>7457</v>
      </c>
      <c r="I79" s="0" t="s">
        <v>7338</v>
      </c>
      <c r="J79" s="0" t="s">
        <v>481</v>
      </c>
      <c r="K79" s="0" t="s">
        <v>7339</v>
      </c>
      <c r="L79" s="0" t="s">
        <v>7340</v>
      </c>
      <c r="M79" s="0" t="s">
        <v>7434</v>
      </c>
      <c r="N79" s="0" t="s">
        <v>7342</v>
      </c>
      <c r="P79" s="0" t="s">
        <v>229</v>
      </c>
      <c r="Q79" s="0" t="s">
        <v>7354</v>
      </c>
      <c r="R79" s="0" t="s">
        <v>7435</v>
      </c>
      <c r="S79" s="0" t="s">
        <v>7344</v>
      </c>
      <c r="T79" s="0" t="s">
        <v>260</v>
      </c>
      <c r="V79" s="0" t="s">
        <v>61</v>
      </c>
      <c r="W79" s="0" t="s">
        <v>63</v>
      </c>
      <c r="X79" s="0" t="s">
        <v>7355</v>
      </c>
      <c r="Y79" s="0" t="s">
        <v>7436</v>
      </c>
      <c r="Z79" s="0" t="s">
        <v>7437</v>
      </c>
      <c r="AA79" s="0" t="s">
        <v>7438</v>
      </c>
      <c r="AB79" s="0" t="s">
        <v>344</v>
      </c>
      <c r="AC79" s="0" t="s">
        <v>7349</v>
      </c>
      <c r="AD79" s="0" t="s">
        <v>7439</v>
      </c>
      <c r="AE79" s="0" t="s">
        <v>7440</v>
      </c>
      <c r="AF79" s="0" t="s">
        <v>7374</v>
      </c>
      <c r="AG79" s="0" t="s">
        <v>230</v>
      </c>
    </row>
    <row r="80" customFormat="false" ht="15" hidden="false" customHeight="false" outlineLevel="0" collapsed="false">
      <c r="A80" s="0" t="s">
        <v>7336</v>
      </c>
      <c r="B80" s="0" t="s">
        <v>553</v>
      </c>
      <c r="C80" s="0" t="s">
        <v>554</v>
      </c>
      <c r="D80" s="0" t="s">
        <v>259</v>
      </c>
      <c r="E80" s="0" t="s">
        <v>555</v>
      </c>
      <c r="F80" s="0" t="s">
        <v>552</v>
      </c>
      <c r="G80" s="0" t="s">
        <v>116</v>
      </c>
      <c r="H80" s="0" t="s">
        <v>7457</v>
      </c>
      <c r="I80" s="0" t="s">
        <v>7338</v>
      </c>
      <c r="J80" s="0" t="s">
        <v>481</v>
      </c>
      <c r="K80" s="0" t="s">
        <v>7339</v>
      </c>
      <c r="L80" s="0" t="s">
        <v>7340</v>
      </c>
      <c r="M80" s="0" t="s">
        <v>7434</v>
      </c>
      <c r="N80" s="0" t="s">
        <v>7342</v>
      </c>
      <c r="P80" s="0" t="s">
        <v>229</v>
      </c>
      <c r="Q80" s="0" t="s">
        <v>7354</v>
      </c>
      <c r="R80" s="0" t="s">
        <v>7435</v>
      </c>
      <c r="S80" s="0" t="s">
        <v>7344</v>
      </c>
      <c r="T80" s="0" t="s">
        <v>260</v>
      </c>
      <c r="V80" s="0" t="s">
        <v>61</v>
      </c>
      <c r="W80" s="0" t="s">
        <v>63</v>
      </c>
      <c r="X80" s="0" t="s">
        <v>7355</v>
      </c>
      <c r="Y80" s="0" t="s">
        <v>7436</v>
      </c>
      <c r="Z80" s="0" t="s">
        <v>7437</v>
      </c>
      <c r="AA80" s="0" t="s">
        <v>7438</v>
      </c>
      <c r="AB80" s="0" t="s">
        <v>344</v>
      </c>
      <c r="AC80" s="0" t="s">
        <v>7349</v>
      </c>
      <c r="AD80" s="0" t="s">
        <v>7439</v>
      </c>
      <c r="AE80" s="0" t="s">
        <v>7440</v>
      </c>
      <c r="AF80" s="0" t="s">
        <v>7374</v>
      </c>
      <c r="AG80" s="0" t="s">
        <v>230</v>
      </c>
    </row>
    <row r="81" customFormat="false" ht="15" hidden="false" customHeight="false" outlineLevel="0" collapsed="false">
      <c r="A81" s="0" t="s">
        <v>7336</v>
      </c>
      <c r="B81" s="0" t="s">
        <v>556</v>
      </c>
      <c r="C81" s="0" t="s">
        <v>557</v>
      </c>
      <c r="D81" s="0" t="s">
        <v>259</v>
      </c>
      <c r="E81" s="0" t="s">
        <v>558</v>
      </c>
      <c r="F81" s="0" t="s">
        <v>559</v>
      </c>
      <c r="G81" s="0" t="s">
        <v>116</v>
      </c>
      <c r="H81" s="0" t="s">
        <v>7458</v>
      </c>
      <c r="I81" s="0" t="s">
        <v>7338</v>
      </c>
      <c r="J81" s="0" t="s">
        <v>481</v>
      </c>
      <c r="K81" s="0" t="s">
        <v>7339</v>
      </c>
      <c r="L81" s="0" t="s">
        <v>7340</v>
      </c>
      <c r="M81" s="0" t="s">
        <v>7434</v>
      </c>
      <c r="N81" s="0" t="s">
        <v>7342</v>
      </c>
      <c r="P81" s="0" t="s">
        <v>229</v>
      </c>
      <c r="Q81" s="0" t="s">
        <v>7354</v>
      </c>
      <c r="R81" s="0" t="s">
        <v>7435</v>
      </c>
      <c r="S81" s="0" t="s">
        <v>7344</v>
      </c>
      <c r="T81" s="0" t="s">
        <v>260</v>
      </c>
      <c r="V81" s="0" t="s">
        <v>61</v>
      </c>
      <c r="W81" s="0" t="s">
        <v>63</v>
      </c>
      <c r="X81" s="0" t="s">
        <v>7355</v>
      </c>
      <c r="Y81" s="0" t="s">
        <v>7459</v>
      </c>
      <c r="Z81" s="0" t="s">
        <v>7460</v>
      </c>
      <c r="AA81" s="0" t="s">
        <v>7438</v>
      </c>
      <c r="AB81" s="0" t="s">
        <v>231</v>
      </c>
      <c r="AC81" s="0" t="s">
        <v>7349</v>
      </c>
      <c r="AD81" s="0" t="s">
        <v>7461</v>
      </c>
      <c r="AE81" s="0" t="s">
        <v>7462</v>
      </c>
      <c r="AF81" s="0" t="s">
        <v>7374</v>
      </c>
      <c r="AG81" s="0" t="s">
        <v>230</v>
      </c>
    </row>
    <row r="82" customFormat="false" ht="15" hidden="false" customHeight="false" outlineLevel="0" collapsed="false">
      <c r="A82" s="0" t="s">
        <v>7336</v>
      </c>
      <c r="B82" s="0" t="s">
        <v>560</v>
      </c>
      <c r="C82" s="0" t="s">
        <v>561</v>
      </c>
      <c r="D82" s="0" t="s">
        <v>343</v>
      </c>
      <c r="E82" s="0" t="s">
        <v>562</v>
      </c>
      <c r="F82" s="0" t="s">
        <v>563</v>
      </c>
      <c r="G82" s="0" t="s">
        <v>150</v>
      </c>
      <c r="H82" s="0" t="s">
        <v>7463</v>
      </c>
      <c r="I82" s="0" t="s">
        <v>7338</v>
      </c>
      <c r="J82" s="0" t="s">
        <v>564</v>
      </c>
      <c r="K82" s="0" t="s">
        <v>7339</v>
      </c>
      <c r="L82" s="0" t="s">
        <v>7340</v>
      </c>
      <c r="M82" s="0" t="s">
        <v>7464</v>
      </c>
      <c r="N82" s="0" t="s">
        <v>7342</v>
      </c>
      <c r="P82" s="0" t="s">
        <v>229</v>
      </c>
      <c r="Q82" s="0" t="s">
        <v>7354</v>
      </c>
      <c r="R82" s="0" t="s">
        <v>7343</v>
      </c>
      <c r="S82" s="0" t="s">
        <v>7344</v>
      </c>
      <c r="T82" s="0" t="s">
        <v>228</v>
      </c>
      <c r="V82" s="0" t="s">
        <v>73</v>
      </c>
      <c r="W82" s="0" t="s">
        <v>75</v>
      </c>
      <c r="X82" s="0" t="s">
        <v>7345</v>
      </c>
      <c r="Y82" s="0" t="s">
        <v>7356</v>
      </c>
      <c r="Z82" s="0" t="s">
        <v>7357</v>
      </c>
      <c r="AA82" s="0" t="s">
        <v>7358</v>
      </c>
      <c r="AB82" s="0" t="s">
        <v>344</v>
      </c>
      <c r="AC82" s="0" t="s">
        <v>7349</v>
      </c>
      <c r="AD82" s="0" t="s">
        <v>7394</v>
      </c>
      <c r="AE82" s="0" t="s">
        <v>7395</v>
      </c>
      <c r="AF82" s="0" t="s">
        <v>7374</v>
      </c>
      <c r="AG82" s="0" t="s">
        <v>230</v>
      </c>
    </row>
    <row r="83" customFormat="false" ht="15" hidden="false" customHeight="false" outlineLevel="0" collapsed="false">
      <c r="A83" s="0" t="s">
        <v>7336</v>
      </c>
      <c r="B83" s="0" t="s">
        <v>565</v>
      </c>
      <c r="C83" s="0" t="s">
        <v>566</v>
      </c>
      <c r="D83" s="0" t="s">
        <v>343</v>
      </c>
      <c r="E83" s="0" t="s">
        <v>567</v>
      </c>
      <c r="F83" s="0" t="s">
        <v>568</v>
      </c>
      <c r="G83" s="0" t="s">
        <v>150</v>
      </c>
      <c r="H83" s="0" t="s">
        <v>7465</v>
      </c>
      <c r="I83" s="0" t="s">
        <v>7338</v>
      </c>
      <c r="J83" s="0" t="s">
        <v>564</v>
      </c>
      <c r="K83" s="0" t="s">
        <v>7339</v>
      </c>
      <c r="L83" s="0" t="s">
        <v>7340</v>
      </c>
      <c r="M83" s="0" t="s">
        <v>7464</v>
      </c>
      <c r="N83" s="0" t="s">
        <v>7342</v>
      </c>
      <c r="P83" s="0" t="s">
        <v>229</v>
      </c>
      <c r="Q83" s="0" t="s">
        <v>7354</v>
      </c>
      <c r="R83" s="0" t="s">
        <v>7343</v>
      </c>
      <c r="S83" s="0" t="s">
        <v>7344</v>
      </c>
      <c r="T83" s="0" t="s">
        <v>228</v>
      </c>
      <c r="V83" s="0" t="s">
        <v>73</v>
      </c>
      <c r="W83" s="0" t="s">
        <v>75</v>
      </c>
      <c r="X83" s="0" t="s">
        <v>7345</v>
      </c>
      <c r="Y83" s="0" t="s">
        <v>7356</v>
      </c>
      <c r="Z83" s="0" t="s">
        <v>7357</v>
      </c>
      <c r="AA83" s="0" t="s">
        <v>7358</v>
      </c>
      <c r="AB83" s="0" t="s">
        <v>344</v>
      </c>
      <c r="AC83" s="0" t="s">
        <v>7349</v>
      </c>
      <c r="AD83" s="0" t="s">
        <v>7394</v>
      </c>
      <c r="AE83" s="0" t="s">
        <v>7395</v>
      </c>
      <c r="AF83" s="0" t="s">
        <v>7374</v>
      </c>
      <c r="AG83" s="0" t="s">
        <v>230</v>
      </c>
    </row>
    <row r="84" customFormat="false" ht="15" hidden="false" customHeight="false" outlineLevel="0" collapsed="false">
      <c r="A84" s="0" t="s">
        <v>7336</v>
      </c>
      <c r="B84" s="0" t="s">
        <v>569</v>
      </c>
      <c r="C84" s="0" t="s">
        <v>570</v>
      </c>
      <c r="D84" s="0" t="s">
        <v>343</v>
      </c>
      <c r="E84" s="0" t="s">
        <v>571</v>
      </c>
      <c r="F84" s="0" t="s">
        <v>572</v>
      </c>
      <c r="G84" s="0" t="s">
        <v>150</v>
      </c>
      <c r="H84" s="0" t="s">
        <v>7466</v>
      </c>
      <c r="I84" s="0" t="s">
        <v>7338</v>
      </c>
      <c r="J84" s="0" t="s">
        <v>564</v>
      </c>
      <c r="K84" s="0" t="s">
        <v>7339</v>
      </c>
      <c r="L84" s="0" t="s">
        <v>7340</v>
      </c>
      <c r="M84" s="0" t="s">
        <v>7464</v>
      </c>
      <c r="N84" s="0" t="s">
        <v>7342</v>
      </c>
      <c r="P84" s="0" t="s">
        <v>229</v>
      </c>
      <c r="Q84" s="0" t="s">
        <v>7354</v>
      </c>
      <c r="R84" s="0" t="s">
        <v>7343</v>
      </c>
      <c r="S84" s="0" t="s">
        <v>7344</v>
      </c>
      <c r="T84" s="0" t="s">
        <v>228</v>
      </c>
      <c r="V84" s="0" t="s">
        <v>73</v>
      </c>
      <c r="W84" s="0" t="s">
        <v>75</v>
      </c>
      <c r="X84" s="0" t="s">
        <v>7345</v>
      </c>
      <c r="Y84" s="0" t="s">
        <v>7356</v>
      </c>
      <c r="Z84" s="0" t="s">
        <v>7357</v>
      </c>
      <c r="AA84" s="0" t="s">
        <v>7358</v>
      </c>
      <c r="AB84" s="0" t="s">
        <v>344</v>
      </c>
      <c r="AC84" s="0" t="s">
        <v>7349</v>
      </c>
      <c r="AD84" s="0" t="s">
        <v>7394</v>
      </c>
      <c r="AE84" s="0" t="s">
        <v>7395</v>
      </c>
      <c r="AF84" s="0" t="s">
        <v>7374</v>
      </c>
      <c r="AG84" s="0" t="s">
        <v>230</v>
      </c>
    </row>
    <row r="85" customFormat="false" ht="15" hidden="false" customHeight="false" outlineLevel="0" collapsed="false">
      <c r="A85" s="0" t="s">
        <v>7336</v>
      </c>
      <c r="B85" s="0" t="s">
        <v>573</v>
      </c>
      <c r="C85" s="0" t="s">
        <v>574</v>
      </c>
      <c r="D85" s="0" t="s">
        <v>343</v>
      </c>
      <c r="E85" s="0" t="s">
        <v>575</v>
      </c>
      <c r="F85" s="0" t="s">
        <v>576</v>
      </c>
      <c r="G85" s="0" t="s">
        <v>150</v>
      </c>
      <c r="H85" s="0" t="s">
        <v>7467</v>
      </c>
      <c r="I85" s="0" t="s">
        <v>7338</v>
      </c>
      <c r="J85" s="0" t="s">
        <v>564</v>
      </c>
      <c r="K85" s="0" t="s">
        <v>7339</v>
      </c>
      <c r="L85" s="0" t="s">
        <v>7340</v>
      </c>
      <c r="M85" s="0" t="s">
        <v>7464</v>
      </c>
      <c r="N85" s="0" t="s">
        <v>7342</v>
      </c>
      <c r="P85" s="0" t="s">
        <v>229</v>
      </c>
      <c r="Q85" s="0" t="s">
        <v>7354</v>
      </c>
      <c r="R85" s="0" t="s">
        <v>7343</v>
      </c>
      <c r="S85" s="0" t="s">
        <v>7344</v>
      </c>
      <c r="T85" s="0" t="s">
        <v>228</v>
      </c>
      <c r="V85" s="0" t="s">
        <v>73</v>
      </c>
      <c r="W85" s="0" t="s">
        <v>75</v>
      </c>
      <c r="X85" s="0" t="s">
        <v>7345</v>
      </c>
      <c r="Y85" s="0" t="s">
        <v>7356</v>
      </c>
      <c r="Z85" s="0" t="s">
        <v>7357</v>
      </c>
      <c r="AA85" s="0" t="s">
        <v>7358</v>
      </c>
      <c r="AB85" s="0" t="s">
        <v>344</v>
      </c>
      <c r="AC85" s="0" t="s">
        <v>7349</v>
      </c>
      <c r="AD85" s="0" t="s">
        <v>7394</v>
      </c>
      <c r="AE85" s="0" t="s">
        <v>7395</v>
      </c>
      <c r="AF85" s="0" t="s">
        <v>7374</v>
      </c>
      <c r="AG85" s="0" t="s">
        <v>230</v>
      </c>
    </row>
    <row r="86" customFormat="false" ht="15" hidden="false" customHeight="false" outlineLevel="0" collapsed="false">
      <c r="A86" s="0" t="s">
        <v>7336</v>
      </c>
      <c r="B86" s="0" t="s">
        <v>577</v>
      </c>
      <c r="C86" s="0" t="s">
        <v>578</v>
      </c>
      <c r="D86" s="0" t="s">
        <v>343</v>
      </c>
      <c r="E86" s="0" t="s">
        <v>579</v>
      </c>
      <c r="F86" s="0" t="s">
        <v>580</v>
      </c>
      <c r="G86" s="0" t="s">
        <v>150</v>
      </c>
      <c r="H86" s="0" t="s">
        <v>7468</v>
      </c>
      <c r="I86" s="0" t="s">
        <v>7338</v>
      </c>
      <c r="J86" s="0" t="s">
        <v>564</v>
      </c>
      <c r="K86" s="0" t="s">
        <v>7339</v>
      </c>
      <c r="L86" s="0" t="s">
        <v>7340</v>
      </c>
      <c r="M86" s="0" t="s">
        <v>7464</v>
      </c>
      <c r="N86" s="0" t="s">
        <v>7342</v>
      </c>
      <c r="P86" s="0" t="s">
        <v>229</v>
      </c>
      <c r="Q86" s="0" t="s">
        <v>7354</v>
      </c>
      <c r="R86" s="0" t="s">
        <v>7343</v>
      </c>
      <c r="S86" s="0" t="s">
        <v>7344</v>
      </c>
      <c r="T86" s="0" t="s">
        <v>228</v>
      </c>
      <c r="V86" s="0" t="s">
        <v>73</v>
      </c>
      <c r="W86" s="0" t="s">
        <v>75</v>
      </c>
      <c r="X86" s="0" t="s">
        <v>7345</v>
      </c>
      <c r="Y86" s="0" t="s">
        <v>7356</v>
      </c>
      <c r="Z86" s="0" t="s">
        <v>7357</v>
      </c>
      <c r="AA86" s="0" t="s">
        <v>7358</v>
      </c>
      <c r="AB86" s="0" t="s">
        <v>344</v>
      </c>
      <c r="AC86" s="0" t="s">
        <v>7349</v>
      </c>
      <c r="AD86" s="0" t="s">
        <v>7394</v>
      </c>
      <c r="AE86" s="0" t="s">
        <v>7395</v>
      </c>
      <c r="AF86" s="0" t="s">
        <v>7374</v>
      </c>
      <c r="AG86" s="0" t="s">
        <v>230</v>
      </c>
    </row>
    <row r="87" customFormat="false" ht="15" hidden="false" customHeight="false" outlineLevel="0" collapsed="false">
      <c r="A87" s="0" t="s">
        <v>7336</v>
      </c>
      <c r="B87" s="0" t="s">
        <v>581</v>
      </c>
      <c r="C87" s="0" t="s">
        <v>582</v>
      </c>
      <c r="D87" s="0" t="s">
        <v>343</v>
      </c>
      <c r="E87" s="0" t="s">
        <v>583</v>
      </c>
      <c r="F87" s="0" t="s">
        <v>584</v>
      </c>
      <c r="G87" s="0" t="s">
        <v>150</v>
      </c>
      <c r="H87" s="0" t="s">
        <v>7469</v>
      </c>
      <c r="I87" s="0" t="s">
        <v>7338</v>
      </c>
      <c r="J87" s="0" t="s">
        <v>564</v>
      </c>
      <c r="K87" s="0" t="s">
        <v>7339</v>
      </c>
      <c r="L87" s="0" t="s">
        <v>7340</v>
      </c>
      <c r="M87" s="0" t="s">
        <v>7464</v>
      </c>
      <c r="N87" s="0" t="s">
        <v>7342</v>
      </c>
      <c r="P87" s="0" t="s">
        <v>229</v>
      </c>
      <c r="Q87" s="0" t="s">
        <v>7354</v>
      </c>
      <c r="R87" s="0" t="s">
        <v>7343</v>
      </c>
      <c r="S87" s="0" t="s">
        <v>7344</v>
      </c>
      <c r="T87" s="0" t="s">
        <v>228</v>
      </c>
      <c r="V87" s="0" t="s">
        <v>73</v>
      </c>
      <c r="W87" s="0" t="s">
        <v>75</v>
      </c>
      <c r="X87" s="0" t="s">
        <v>7345</v>
      </c>
      <c r="Y87" s="0" t="s">
        <v>7356</v>
      </c>
      <c r="Z87" s="0" t="s">
        <v>7357</v>
      </c>
      <c r="AA87" s="0" t="s">
        <v>7358</v>
      </c>
      <c r="AB87" s="0" t="s">
        <v>344</v>
      </c>
      <c r="AC87" s="0" t="s">
        <v>7349</v>
      </c>
      <c r="AD87" s="0" t="s">
        <v>7394</v>
      </c>
      <c r="AE87" s="0" t="s">
        <v>7395</v>
      </c>
      <c r="AF87" s="0" t="s">
        <v>7374</v>
      </c>
      <c r="AG87" s="0" t="s">
        <v>230</v>
      </c>
    </row>
    <row r="88" customFormat="false" ht="15" hidden="false" customHeight="false" outlineLevel="0" collapsed="false">
      <c r="A88" s="0" t="s">
        <v>7336</v>
      </c>
      <c r="B88" s="0" t="s">
        <v>585</v>
      </c>
      <c r="C88" s="0" t="s">
        <v>586</v>
      </c>
      <c r="D88" s="0" t="s">
        <v>343</v>
      </c>
      <c r="E88" s="0" t="s">
        <v>587</v>
      </c>
      <c r="F88" s="0" t="s">
        <v>588</v>
      </c>
      <c r="G88" s="0" t="s">
        <v>150</v>
      </c>
      <c r="H88" s="0" t="s">
        <v>7470</v>
      </c>
      <c r="I88" s="0" t="s">
        <v>7338</v>
      </c>
      <c r="J88" s="0" t="s">
        <v>564</v>
      </c>
      <c r="K88" s="0" t="s">
        <v>7339</v>
      </c>
      <c r="L88" s="0" t="s">
        <v>7340</v>
      </c>
      <c r="M88" s="0" t="s">
        <v>7464</v>
      </c>
      <c r="N88" s="0" t="s">
        <v>7342</v>
      </c>
      <c r="P88" s="0" t="s">
        <v>229</v>
      </c>
      <c r="Q88" s="0" t="s">
        <v>7354</v>
      </c>
      <c r="R88" s="0" t="s">
        <v>7343</v>
      </c>
      <c r="S88" s="0" t="s">
        <v>7344</v>
      </c>
      <c r="T88" s="0" t="s">
        <v>228</v>
      </c>
      <c r="V88" s="0" t="s">
        <v>73</v>
      </c>
      <c r="W88" s="0" t="s">
        <v>75</v>
      </c>
      <c r="X88" s="0" t="s">
        <v>7345</v>
      </c>
      <c r="Y88" s="0" t="s">
        <v>7356</v>
      </c>
      <c r="Z88" s="0" t="s">
        <v>7357</v>
      </c>
      <c r="AA88" s="0" t="s">
        <v>7358</v>
      </c>
      <c r="AB88" s="0" t="s">
        <v>344</v>
      </c>
      <c r="AC88" s="0" t="s">
        <v>7349</v>
      </c>
      <c r="AD88" s="0" t="s">
        <v>7394</v>
      </c>
      <c r="AE88" s="0" t="s">
        <v>7395</v>
      </c>
      <c r="AF88" s="0" t="s">
        <v>7374</v>
      </c>
      <c r="AG88" s="0" t="s">
        <v>230</v>
      </c>
    </row>
    <row r="89" customFormat="false" ht="15" hidden="false" customHeight="false" outlineLevel="0" collapsed="false">
      <c r="A89" s="0" t="s">
        <v>7336</v>
      </c>
      <c r="B89" s="0" t="s">
        <v>589</v>
      </c>
      <c r="C89" s="0" t="s">
        <v>590</v>
      </c>
      <c r="D89" s="0" t="s">
        <v>343</v>
      </c>
      <c r="E89" s="0" t="s">
        <v>591</v>
      </c>
      <c r="F89" s="0" t="s">
        <v>592</v>
      </c>
      <c r="G89" s="0" t="s">
        <v>150</v>
      </c>
      <c r="H89" s="0" t="s">
        <v>7471</v>
      </c>
      <c r="I89" s="0" t="s">
        <v>7338</v>
      </c>
      <c r="J89" s="0" t="s">
        <v>564</v>
      </c>
      <c r="K89" s="0" t="s">
        <v>7339</v>
      </c>
      <c r="L89" s="0" t="s">
        <v>7340</v>
      </c>
      <c r="M89" s="0" t="s">
        <v>7464</v>
      </c>
      <c r="N89" s="0" t="s">
        <v>7342</v>
      </c>
      <c r="P89" s="0" t="s">
        <v>229</v>
      </c>
      <c r="Q89" s="0" t="s">
        <v>7354</v>
      </c>
      <c r="R89" s="0" t="s">
        <v>7343</v>
      </c>
      <c r="S89" s="0" t="s">
        <v>7344</v>
      </c>
      <c r="T89" s="0" t="s">
        <v>228</v>
      </c>
      <c r="V89" s="0" t="s">
        <v>73</v>
      </c>
      <c r="W89" s="0" t="s">
        <v>75</v>
      </c>
      <c r="X89" s="0" t="s">
        <v>7345</v>
      </c>
      <c r="Y89" s="0" t="s">
        <v>7356</v>
      </c>
      <c r="Z89" s="0" t="s">
        <v>7357</v>
      </c>
      <c r="AA89" s="0" t="s">
        <v>7358</v>
      </c>
      <c r="AB89" s="0" t="s">
        <v>344</v>
      </c>
      <c r="AC89" s="0" t="s">
        <v>7349</v>
      </c>
      <c r="AD89" s="0" t="s">
        <v>7394</v>
      </c>
      <c r="AE89" s="0" t="s">
        <v>7395</v>
      </c>
      <c r="AF89" s="0" t="s">
        <v>7374</v>
      </c>
      <c r="AG89" s="0" t="s">
        <v>230</v>
      </c>
    </row>
    <row r="90" customFormat="false" ht="15" hidden="false" customHeight="false" outlineLevel="0" collapsed="false">
      <c r="A90" s="0" t="s">
        <v>7336</v>
      </c>
      <c r="B90" s="0" t="s">
        <v>593</v>
      </c>
      <c r="C90" s="0" t="s">
        <v>594</v>
      </c>
      <c r="D90" s="0" t="s">
        <v>343</v>
      </c>
      <c r="E90" s="0" t="s">
        <v>595</v>
      </c>
      <c r="F90" s="0" t="s">
        <v>596</v>
      </c>
      <c r="G90" s="0" t="s">
        <v>150</v>
      </c>
      <c r="H90" s="0" t="s">
        <v>7472</v>
      </c>
      <c r="I90" s="0" t="s">
        <v>7338</v>
      </c>
      <c r="J90" s="0" t="s">
        <v>564</v>
      </c>
      <c r="K90" s="0" t="s">
        <v>7339</v>
      </c>
      <c r="L90" s="0" t="s">
        <v>7340</v>
      </c>
      <c r="M90" s="0" t="s">
        <v>7464</v>
      </c>
      <c r="N90" s="0" t="s">
        <v>7342</v>
      </c>
      <c r="P90" s="0" t="s">
        <v>229</v>
      </c>
      <c r="Q90" s="0" t="s">
        <v>7354</v>
      </c>
      <c r="R90" s="0" t="s">
        <v>7343</v>
      </c>
      <c r="S90" s="0" t="s">
        <v>7344</v>
      </c>
      <c r="T90" s="0" t="s">
        <v>228</v>
      </c>
      <c r="V90" s="0" t="s">
        <v>73</v>
      </c>
      <c r="W90" s="0" t="s">
        <v>75</v>
      </c>
      <c r="X90" s="0" t="s">
        <v>7345</v>
      </c>
      <c r="Y90" s="0" t="s">
        <v>7356</v>
      </c>
      <c r="Z90" s="0" t="s">
        <v>7357</v>
      </c>
      <c r="AA90" s="0" t="s">
        <v>7358</v>
      </c>
      <c r="AB90" s="0" t="s">
        <v>344</v>
      </c>
      <c r="AC90" s="0" t="s">
        <v>7349</v>
      </c>
      <c r="AD90" s="0" t="s">
        <v>7394</v>
      </c>
      <c r="AE90" s="0" t="s">
        <v>7395</v>
      </c>
      <c r="AF90" s="0" t="s">
        <v>7374</v>
      </c>
      <c r="AG90" s="0" t="s">
        <v>230</v>
      </c>
    </row>
    <row r="91" customFormat="false" ht="15" hidden="false" customHeight="false" outlineLevel="0" collapsed="false">
      <c r="A91" s="0" t="s">
        <v>7336</v>
      </c>
      <c r="B91" s="0" t="s">
        <v>597</v>
      </c>
      <c r="C91" s="0" t="s">
        <v>598</v>
      </c>
      <c r="D91" s="0" t="s">
        <v>343</v>
      </c>
      <c r="E91" s="0" t="s">
        <v>599</v>
      </c>
      <c r="F91" s="0" t="s">
        <v>600</v>
      </c>
      <c r="G91" s="0" t="s">
        <v>150</v>
      </c>
      <c r="H91" s="0" t="s">
        <v>7473</v>
      </c>
      <c r="I91" s="0" t="s">
        <v>7338</v>
      </c>
      <c r="J91" s="0" t="s">
        <v>564</v>
      </c>
      <c r="K91" s="0" t="s">
        <v>7339</v>
      </c>
      <c r="L91" s="0" t="s">
        <v>7340</v>
      </c>
      <c r="M91" s="0" t="s">
        <v>7464</v>
      </c>
      <c r="N91" s="0" t="s">
        <v>7342</v>
      </c>
      <c r="P91" s="0" t="s">
        <v>229</v>
      </c>
      <c r="Q91" s="0" t="s">
        <v>7354</v>
      </c>
      <c r="R91" s="0" t="s">
        <v>7343</v>
      </c>
      <c r="S91" s="0" t="s">
        <v>7344</v>
      </c>
      <c r="T91" s="0" t="s">
        <v>228</v>
      </c>
      <c r="V91" s="0" t="s">
        <v>73</v>
      </c>
      <c r="W91" s="0" t="s">
        <v>75</v>
      </c>
      <c r="X91" s="0" t="s">
        <v>7345</v>
      </c>
      <c r="Y91" s="0" t="s">
        <v>7356</v>
      </c>
      <c r="Z91" s="0" t="s">
        <v>7357</v>
      </c>
      <c r="AA91" s="0" t="s">
        <v>7358</v>
      </c>
      <c r="AB91" s="0" t="s">
        <v>344</v>
      </c>
      <c r="AC91" s="0" t="s">
        <v>7349</v>
      </c>
      <c r="AD91" s="0" t="s">
        <v>7394</v>
      </c>
      <c r="AE91" s="0" t="s">
        <v>7395</v>
      </c>
      <c r="AF91" s="0" t="s">
        <v>7374</v>
      </c>
      <c r="AG91" s="0" t="s">
        <v>230</v>
      </c>
    </row>
    <row r="92" customFormat="false" ht="15" hidden="false" customHeight="false" outlineLevel="0" collapsed="false">
      <c r="A92" s="0" t="s">
        <v>7336</v>
      </c>
      <c r="B92" s="0" t="s">
        <v>601</v>
      </c>
      <c r="C92" s="0" t="s">
        <v>602</v>
      </c>
      <c r="D92" s="0" t="s">
        <v>343</v>
      </c>
      <c r="E92" s="0" t="s">
        <v>603</v>
      </c>
      <c r="F92" s="0" t="s">
        <v>604</v>
      </c>
      <c r="G92" s="0" t="s">
        <v>150</v>
      </c>
      <c r="H92" s="0" t="s">
        <v>7474</v>
      </c>
      <c r="I92" s="0" t="s">
        <v>7338</v>
      </c>
      <c r="J92" s="0" t="s">
        <v>564</v>
      </c>
      <c r="K92" s="0" t="s">
        <v>7339</v>
      </c>
      <c r="L92" s="0" t="s">
        <v>7340</v>
      </c>
      <c r="M92" s="0" t="s">
        <v>7464</v>
      </c>
      <c r="N92" s="0" t="s">
        <v>7342</v>
      </c>
      <c r="P92" s="0" t="s">
        <v>229</v>
      </c>
      <c r="Q92" s="0" t="s">
        <v>7354</v>
      </c>
      <c r="R92" s="0" t="s">
        <v>7343</v>
      </c>
      <c r="S92" s="0" t="s">
        <v>7344</v>
      </c>
      <c r="T92" s="0" t="s">
        <v>228</v>
      </c>
      <c r="V92" s="0" t="s">
        <v>73</v>
      </c>
      <c r="W92" s="0" t="s">
        <v>75</v>
      </c>
      <c r="X92" s="0" t="s">
        <v>7345</v>
      </c>
      <c r="Y92" s="0" t="s">
        <v>7356</v>
      </c>
      <c r="Z92" s="0" t="s">
        <v>7357</v>
      </c>
      <c r="AA92" s="0" t="s">
        <v>7358</v>
      </c>
      <c r="AB92" s="0" t="s">
        <v>344</v>
      </c>
      <c r="AC92" s="0" t="s">
        <v>7349</v>
      </c>
      <c r="AD92" s="0" t="s">
        <v>7394</v>
      </c>
      <c r="AE92" s="0" t="s">
        <v>7395</v>
      </c>
      <c r="AF92" s="0" t="s">
        <v>7374</v>
      </c>
      <c r="AG92" s="0" t="s">
        <v>230</v>
      </c>
    </row>
    <row r="93" customFormat="false" ht="15" hidden="false" customHeight="false" outlineLevel="0" collapsed="false">
      <c r="A93" s="0" t="s">
        <v>7336</v>
      </c>
      <c r="B93" s="0" t="s">
        <v>605</v>
      </c>
      <c r="C93" s="0" t="s">
        <v>606</v>
      </c>
      <c r="D93" s="0" t="s">
        <v>343</v>
      </c>
      <c r="E93" s="0" t="s">
        <v>607</v>
      </c>
      <c r="F93" s="0" t="s">
        <v>608</v>
      </c>
      <c r="G93" s="0" t="s">
        <v>150</v>
      </c>
      <c r="H93" s="0" t="s">
        <v>7475</v>
      </c>
      <c r="I93" s="0" t="s">
        <v>7338</v>
      </c>
      <c r="J93" s="0" t="s">
        <v>564</v>
      </c>
      <c r="K93" s="0" t="s">
        <v>7339</v>
      </c>
      <c r="L93" s="0" t="s">
        <v>7340</v>
      </c>
      <c r="M93" s="0" t="s">
        <v>7464</v>
      </c>
      <c r="N93" s="0" t="s">
        <v>7342</v>
      </c>
      <c r="P93" s="0" t="s">
        <v>229</v>
      </c>
      <c r="Q93" s="0" t="s">
        <v>7354</v>
      </c>
      <c r="R93" s="0" t="s">
        <v>7343</v>
      </c>
      <c r="S93" s="0" t="s">
        <v>7344</v>
      </c>
      <c r="T93" s="0" t="s">
        <v>228</v>
      </c>
      <c r="V93" s="0" t="s">
        <v>73</v>
      </c>
      <c r="W93" s="0" t="s">
        <v>75</v>
      </c>
      <c r="X93" s="0" t="s">
        <v>7345</v>
      </c>
      <c r="Y93" s="0" t="s">
        <v>7356</v>
      </c>
      <c r="Z93" s="0" t="s">
        <v>7357</v>
      </c>
      <c r="AA93" s="0" t="s">
        <v>7358</v>
      </c>
      <c r="AB93" s="0" t="s">
        <v>344</v>
      </c>
      <c r="AC93" s="0" t="s">
        <v>7349</v>
      </c>
      <c r="AD93" s="0" t="s">
        <v>7394</v>
      </c>
      <c r="AE93" s="0" t="s">
        <v>7395</v>
      </c>
      <c r="AF93" s="0" t="s">
        <v>7374</v>
      </c>
      <c r="AG93" s="0" t="s">
        <v>230</v>
      </c>
    </row>
    <row r="94" customFormat="false" ht="15" hidden="false" customHeight="false" outlineLevel="0" collapsed="false">
      <c r="A94" s="0" t="s">
        <v>7336</v>
      </c>
      <c r="B94" s="0" t="s">
        <v>609</v>
      </c>
      <c r="C94" s="0" t="s">
        <v>610</v>
      </c>
      <c r="D94" s="0" t="s">
        <v>343</v>
      </c>
      <c r="E94" s="0" t="s">
        <v>611</v>
      </c>
      <c r="F94" s="0" t="s">
        <v>612</v>
      </c>
      <c r="G94" s="0" t="s">
        <v>150</v>
      </c>
      <c r="H94" s="0" t="s">
        <v>7476</v>
      </c>
      <c r="I94" s="0" t="s">
        <v>7338</v>
      </c>
      <c r="J94" s="0" t="s">
        <v>564</v>
      </c>
      <c r="K94" s="0" t="s">
        <v>7339</v>
      </c>
      <c r="L94" s="0" t="s">
        <v>7340</v>
      </c>
      <c r="M94" s="0" t="s">
        <v>7464</v>
      </c>
      <c r="N94" s="0" t="s">
        <v>7342</v>
      </c>
      <c r="P94" s="0" t="s">
        <v>229</v>
      </c>
      <c r="Q94" s="0" t="s">
        <v>7354</v>
      </c>
      <c r="R94" s="0" t="s">
        <v>7343</v>
      </c>
      <c r="S94" s="0" t="s">
        <v>7344</v>
      </c>
      <c r="T94" s="0" t="s">
        <v>228</v>
      </c>
      <c r="V94" s="0" t="s">
        <v>73</v>
      </c>
      <c r="W94" s="0" t="s">
        <v>75</v>
      </c>
      <c r="X94" s="0" t="s">
        <v>7345</v>
      </c>
      <c r="Y94" s="0" t="s">
        <v>7356</v>
      </c>
      <c r="Z94" s="0" t="s">
        <v>7357</v>
      </c>
      <c r="AA94" s="0" t="s">
        <v>7358</v>
      </c>
      <c r="AB94" s="0" t="s">
        <v>344</v>
      </c>
      <c r="AC94" s="0" t="s">
        <v>7349</v>
      </c>
      <c r="AD94" s="0" t="s">
        <v>7394</v>
      </c>
      <c r="AE94" s="0" t="s">
        <v>7395</v>
      </c>
      <c r="AF94" s="0" t="s">
        <v>7374</v>
      </c>
      <c r="AG94" s="0" t="s">
        <v>230</v>
      </c>
    </row>
    <row r="95" customFormat="false" ht="15" hidden="false" customHeight="false" outlineLevel="0" collapsed="false">
      <c r="A95" s="0" t="s">
        <v>7336</v>
      </c>
      <c r="B95" s="0" t="s">
        <v>613</v>
      </c>
      <c r="C95" s="0" t="s">
        <v>614</v>
      </c>
      <c r="D95" s="0" t="s">
        <v>343</v>
      </c>
      <c r="E95" s="0" t="s">
        <v>615</v>
      </c>
      <c r="F95" s="0" t="s">
        <v>616</v>
      </c>
      <c r="G95" s="0" t="s">
        <v>150</v>
      </c>
      <c r="H95" s="0" t="s">
        <v>7477</v>
      </c>
      <c r="I95" s="0" t="s">
        <v>7338</v>
      </c>
      <c r="J95" s="0" t="s">
        <v>564</v>
      </c>
      <c r="K95" s="0" t="s">
        <v>7339</v>
      </c>
      <c r="L95" s="0" t="s">
        <v>7340</v>
      </c>
      <c r="M95" s="0" t="s">
        <v>7464</v>
      </c>
      <c r="N95" s="0" t="s">
        <v>7342</v>
      </c>
      <c r="P95" s="0" t="s">
        <v>229</v>
      </c>
      <c r="Q95" s="0" t="s">
        <v>7354</v>
      </c>
      <c r="R95" s="0" t="s">
        <v>7343</v>
      </c>
      <c r="S95" s="0" t="s">
        <v>7344</v>
      </c>
      <c r="T95" s="0" t="s">
        <v>228</v>
      </c>
      <c r="V95" s="0" t="s">
        <v>73</v>
      </c>
      <c r="W95" s="0" t="s">
        <v>75</v>
      </c>
      <c r="X95" s="0" t="s">
        <v>7345</v>
      </c>
      <c r="Y95" s="0" t="s">
        <v>7356</v>
      </c>
      <c r="Z95" s="0" t="s">
        <v>7357</v>
      </c>
      <c r="AA95" s="0" t="s">
        <v>7358</v>
      </c>
      <c r="AB95" s="0" t="s">
        <v>344</v>
      </c>
      <c r="AC95" s="0" t="s">
        <v>7349</v>
      </c>
      <c r="AD95" s="0" t="s">
        <v>7394</v>
      </c>
      <c r="AE95" s="0" t="s">
        <v>7395</v>
      </c>
      <c r="AF95" s="0" t="s">
        <v>7374</v>
      </c>
      <c r="AG95" s="0" t="s">
        <v>230</v>
      </c>
    </row>
    <row r="96" customFormat="false" ht="15" hidden="false" customHeight="false" outlineLevel="0" collapsed="false">
      <c r="A96" s="0" t="s">
        <v>7336</v>
      </c>
      <c r="B96" s="0" t="s">
        <v>617</v>
      </c>
      <c r="C96" s="0" t="s">
        <v>618</v>
      </c>
      <c r="D96" s="0" t="s">
        <v>343</v>
      </c>
      <c r="E96" s="0" t="s">
        <v>619</v>
      </c>
      <c r="F96" s="0" t="s">
        <v>620</v>
      </c>
      <c r="G96" s="0" t="s">
        <v>150</v>
      </c>
      <c r="H96" s="0" t="s">
        <v>7478</v>
      </c>
      <c r="I96" s="0" t="s">
        <v>7338</v>
      </c>
      <c r="J96" s="0" t="s">
        <v>564</v>
      </c>
      <c r="K96" s="0" t="s">
        <v>7339</v>
      </c>
      <c r="L96" s="0" t="s">
        <v>7340</v>
      </c>
      <c r="M96" s="0" t="s">
        <v>7464</v>
      </c>
      <c r="N96" s="0" t="s">
        <v>7342</v>
      </c>
      <c r="P96" s="0" t="s">
        <v>229</v>
      </c>
      <c r="Q96" s="0" t="s">
        <v>7354</v>
      </c>
      <c r="R96" s="0" t="s">
        <v>7343</v>
      </c>
      <c r="S96" s="0" t="s">
        <v>7344</v>
      </c>
      <c r="T96" s="0" t="s">
        <v>228</v>
      </c>
      <c r="V96" s="0" t="s">
        <v>73</v>
      </c>
      <c r="W96" s="0" t="s">
        <v>75</v>
      </c>
      <c r="X96" s="0" t="s">
        <v>7345</v>
      </c>
      <c r="Y96" s="0" t="s">
        <v>7356</v>
      </c>
      <c r="Z96" s="0" t="s">
        <v>7357</v>
      </c>
      <c r="AA96" s="0" t="s">
        <v>7358</v>
      </c>
      <c r="AB96" s="0" t="s">
        <v>344</v>
      </c>
      <c r="AC96" s="0" t="s">
        <v>7349</v>
      </c>
      <c r="AD96" s="0" t="s">
        <v>7394</v>
      </c>
      <c r="AE96" s="0" t="s">
        <v>7395</v>
      </c>
      <c r="AF96" s="0" t="s">
        <v>7374</v>
      </c>
      <c r="AG96" s="0" t="s">
        <v>230</v>
      </c>
    </row>
    <row r="97" customFormat="false" ht="15" hidden="false" customHeight="false" outlineLevel="0" collapsed="false">
      <c r="A97" s="0" t="s">
        <v>7336</v>
      </c>
      <c r="B97" s="0" t="s">
        <v>621</v>
      </c>
      <c r="C97" s="0" t="s">
        <v>622</v>
      </c>
      <c r="D97" s="0" t="s">
        <v>343</v>
      </c>
      <c r="E97" s="0" t="s">
        <v>623</v>
      </c>
      <c r="F97" s="0" t="s">
        <v>624</v>
      </c>
      <c r="G97" s="0" t="s">
        <v>150</v>
      </c>
      <c r="H97" s="0" t="s">
        <v>7479</v>
      </c>
      <c r="I97" s="0" t="s">
        <v>7338</v>
      </c>
      <c r="J97" s="0" t="s">
        <v>564</v>
      </c>
      <c r="K97" s="0" t="s">
        <v>7339</v>
      </c>
      <c r="L97" s="0" t="s">
        <v>7340</v>
      </c>
      <c r="M97" s="0" t="s">
        <v>7464</v>
      </c>
      <c r="N97" s="0" t="s">
        <v>7342</v>
      </c>
      <c r="P97" s="0" t="s">
        <v>229</v>
      </c>
      <c r="Q97" s="0" t="s">
        <v>7354</v>
      </c>
      <c r="R97" s="0" t="s">
        <v>7343</v>
      </c>
      <c r="S97" s="0" t="s">
        <v>7344</v>
      </c>
      <c r="T97" s="0" t="s">
        <v>228</v>
      </c>
      <c r="V97" s="0" t="s">
        <v>73</v>
      </c>
      <c r="W97" s="0" t="s">
        <v>75</v>
      </c>
      <c r="X97" s="0" t="s">
        <v>7345</v>
      </c>
      <c r="Y97" s="0" t="s">
        <v>7356</v>
      </c>
      <c r="Z97" s="0" t="s">
        <v>7357</v>
      </c>
      <c r="AA97" s="0" t="s">
        <v>7358</v>
      </c>
      <c r="AB97" s="0" t="s">
        <v>344</v>
      </c>
      <c r="AC97" s="0" t="s">
        <v>7349</v>
      </c>
      <c r="AD97" s="0" t="s">
        <v>7394</v>
      </c>
      <c r="AE97" s="0" t="s">
        <v>7395</v>
      </c>
      <c r="AF97" s="0" t="s">
        <v>7374</v>
      </c>
      <c r="AG97" s="0" t="s">
        <v>230</v>
      </c>
    </row>
    <row r="98" customFormat="false" ht="15" hidden="false" customHeight="false" outlineLevel="0" collapsed="false">
      <c r="A98" s="0" t="s">
        <v>7336</v>
      </c>
      <c r="B98" s="0" t="s">
        <v>625</v>
      </c>
      <c r="C98" s="0" t="s">
        <v>626</v>
      </c>
      <c r="D98" s="0" t="s">
        <v>343</v>
      </c>
      <c r="E98" s="0" t="s">
        <v>627</v>
      </c>
      <c r="F98" s="0" t="s">
        <v>628</v>
      </c>
      <c r="G98" s="0" t="s">
        <v>150</v>
      </c>
      <c r="H98" s="0" t="s">
        <v>7480</v>
      </c>
      <c r="I98" s="0" t="s">
        <v>7338</v>
      </c>
      <c r="J98" s="0" t="s">
        <v>564</v>
      </c>
      <c r="K98" s="0" t="s">
        <v>7339</v>
      </c>
      <c r="L98" s="0" t="s">
        <v>7340</v>
      </c>
      <c r="M98" s="0" t="s">
        <v>7464</v>
      </c>
      <c r="N98" s="0" t="s">
        <v>7342</v>
      </c>
      <c r="P98" s="0" t="s">
        <v>229</v>
      </c>
      <c r="Q98" s="0" t="s">
        <v>7354</v>
      </c>
      <c r="R98" s="0" t="s">
        <v>7343</v>
      </c>
      <c r="S98" s="0" t="s">
        <v>7344</v>
      </c>
      <c r="T98" s="0" t="s">
        <v>228</v>
      </c>
      <c r="V98" s="0" t="s">
        <v>73</v>
      </c>
      <c r="W98" s="0" t="s">
        <v>75</v>
      </c>
      <c r="X98" s="0" t="s">
        <v>7345</v>
      </c>
      <c r="Y98" s="0" t="s">
        <v>7356</v>
      </c>
      <c r="Z98" s="0" t="s">
        <v>7357</v>
      </c>
      <c r="AA98" s="0" t="s">
        <v>7358</v>
      </c>
      <c r="AB98" s="0" t="s">
        <v>344</v>
      </c>
      <c r="AC98" s="0" t="s">
        <v>7349</v>
      </c>
      <c r="AD98" s="0" t="s">
        <v>7394</v>
      </c>
      <c r="AE98" s="0" t="s">
        <v>7395</v>
      </c>
      <c r="AF98" s="0" t="s">
        <v>7374</v>
      </c>
      <c r="AG98" s="0" t="s">
        <v>230</v>
      </c>
    </row>
    <row r="99" customFormat="false" ht="15" hidden="false" customHeight="false" outlineLevel="0" collapsed="false">
      <c r="A99" s="0" t="s">
        <v>7336</v>
      </c>
      <c r="B99" s="0" t="s">
        <v>629</v>
      </c>
      <c r="C99" s="0" t="s">
        <v>630</v>
      </c>
      <c r="D99" s="0" t="s">
        <v>343</v>
      </c>
      <c r="E99" s="0" t="s">
        <v>631</v>
      </c>
      <c r="F99" s="0" t="s">
        <v>632</v>
      </c>
      <c r="G99" s="0" t="s">
        <v>150</v>
      </c>
      <c r="H99" s="0" t="s">
        <v>7481</v>
      </c>
      <c r="I99" s="0" t="s">
        <v>7338</v>
      </c>
      <c r="J99" s="0" t="s">
        <v>564</v>
      </c>
      <c r="K99" s="0" t="s">
        <v>7339</v>
      </c>
      <c r="L99" s="0" t="s">
        <v>7340</v>
      </c>
      <c r="M99" s="0" t="s">
        <v>7464</v>
      </c>
      <c r="N99" s="0" t="s">
        <v>7342</v>
      </c>
      <c r="P99" s="0" t="s">
        <v>229</v>
      </c>
      <c r="Q99" s="0" t="s">
        <v>7354</v>
      </c>
      <c r="R99" s="0" t="s">
        <v>7343</v>
      </c>
      <c r="S99" s="0" t="s">
        <v>7344</v>
      </c>
      <c r="T99" s="0" t="s">
        <v>228</v>
      </c>
      <c r="V99" s="0" t="s">
        <v>73</v>
      </c>
      <c r="W99" s="0" t="s">
        <v>75</v>
      </c>
      <c r="X99" s="0" t="s">
        <v>7345</v>
      </c>
      <c r="Y99" s="0" t="s">
        <v>7356</v>
      </c>
      <c r="Z99" s="0" t="s">
        <v>7357</v>
      </c>
      <c r="AA99" s="0" t="s">
        <v>7358</v>
      </c>
      <c r="AB99" s="0" t="s">
        <v>344</v>
      </c>
      <c r="AC99" s="0" t="s">
        <v>7349</v>
      </c>
      <c r="AD99" s="0" t="s">
        <v>7394</v>
      </c>
      <c r="AE99" s="0" t="s">
        <v>7395</v>
      </c>
      <c r="AF99" s="0" t="s">
        <v>7374</v>
      </c>
      <c r="AG99" s="0" t="s">
        <v>230</v>
      </c>
    </row>
    <row r="100" customFormat="false" ht="15" hidden="false" customHeight="false" outlineLevel="0" collapsed="false">
      <c r="A100" s="0" t="s">
        <v>7336</v>
      </c>
      <c r="B100" s="0" t="s">
        <v>633</v>
      </c>
      <c r="C100" s="0" t="s">
        <v>634</v>
      </c>
      <c r="D100" s="0" t="s">
        <v>343</v>
      </c>
      <c r="E100" s="0" t="s">
        <v>635</v>
      </c>
      <c r="F100" s="0" t="s">
        <v>636</v>
      </c>
      <c r="G100" s="0" t="s">
        <v>150</v>
      </c>
      <c r="H100" s="0" t="s">
        <v>7482</v>
      </c>
      <c r="I100" s="0" t="s">
        <v>7338</v>
      </c>
      <c r="J100" s="0" t="s">
        <v>564</v>
      </c>
      <c r="K100" s="0" t="s">
        <v>7339</v>
      </c>
      <c r="L100" s="0" t="s">
        <v>7340</v>
      </c>
      <c r="M100" s="0" t="s">
        <v>7464</v>
      </c>
      <c r="N100" s="0" t="s">
        <v>7342</v>
      </c>
      <c r="P100" s="0" t="s">
        <v>229</v>
      </c>
      <c r="Q100" s="0" t="s">
        <v>7354</v>
      </c>
      <c r="R100" s="0" t="s">
        <v>7343</v>
      </c>
      <c r="S100" s="0" t="s">
        <v>7344</v>
      </c>
      <c r="T100" s="0" t="s">
        <v>228</v>
      </c>
      <c r="V100" s="0" t="s">
        <v>73</v>
      </c>
      <c r="W100" s="0" t="s">
        <v>75</v>
      </c>
      <c r="X100" s="0" t="s">
        <v>7345</v>
      </c>
      <c r="Y100" s="0" t="s">
        <v>7356</v>
      </c>
      <c r="Z100" s="0" t="s">
        <v>7357</v>
      </c>
      <c r="AA100" s="0" t="s">
        <v>7358</v>
      </c>
      <c r="AB100" s="0" t="s">
        <v>344</v>
      </c>
      <c r="AC100" s="0" t="s">
        <v>7349</v>
      </c>
      <c r="AD100" s="0" t="s">
        <v>7394</v>
      </c>
      <c r="AE100" s="0" t="s">
        <v>7395</v>
      </c>
      <c r="AF100" s="0" t="s">
        <v>7374</v>
      </c>
      <c r="AG100" s="0" t="s">
        <v>230</v>
      </c>
    </row>
    <row r="101" customFormat="false" ht="15" hidden="false" customHeight="false" outlineLevel="0" collapsed="false">
      <c r="A101" s="0" t="s">
        <v>7336</v>
      </c>
      <c r="B101" s="0" t="s">
        <v>637</v>
      </c>
      <c r="C101" s="0" t="s">
        <v>638</v>
      </c>
      <c r="D101" s="0" t="s">
        <v>343</v>
      </c>
      <c r="E101" s="0" t="s">
        <v>639</v>
      </c>
      <c r="F101" s="0" t="s">
        <v>640</v>
      </c>
      <c r="G101" s="0" t="s">
        <v>150</v>
      </c>
      <c r="H101" s="0" t="s">
        <v>7483</v>
      </c>
      <c r="I101" s="0" t="s">
        <v>7338</v>
      </c>
      <c r="J101" s="0" t="s">
        <v>564</v>
      </c>
      <c r="K101" s="0" t="s">
        <v>7339</v>
      </c>
      <c r="L101" s="0" t="s">
        <v>7340</v>
      </c>
      <c r="M101" s="0" t="s">
        <v>7464</v>
      </c>
      <c r="N101" s="0" t="s">
        <v>7342</v>
      </c>
      <c r="P101" s="0" t="s">
        <v>229</v>
      </c>
      <c r="Q101" s="0" t="s">
        <v>7354</v>
      </c>
      <c r="R101" s="0" t="s">
        <v>7343</v>
      </c>
      <c r="S101" s="0" t="s">
        <v>7344</v>
      </c>
      <c r="T101" s="0" t="s">
        <v>228</v>
      </c>
      <c r="V101" s="0" t="s">
        <v>73</v>
      </c>
      <c r="W101" s="0" t="s">
        <v>75</v>
      </c>
      <c r="X101" s="0" t="s">
        <v>7345</v>
      </c>
      <c r="Y101" s="0" t="s">
        <v>7356</v>
      </c>
      <c r="Z101" s="0" t="s">
        <v>7357</v>
      </c>
      <c r="AA101" s="0" t="s">
        <v>7358</v>
      </c>
      <c r="AB101" s="0" t="s">
        <v>344</v>
      </c>
      <c r="AC101" s="0" t="s">
        <v>7349</v>
      </c>
      <c r="AD101" s="0" t="s">
        <v>7394</v>
      </c>
      <c r="AE101" s="0" t="s">
        <v>7395</v>
      </c>
      <c r="AF101" s="0" t="s">
        <v>7374</v>
      </c>
      <c r="AG101" s="0" t="s">
        <v>230</v>
      </c>
    </row>
    <row r="102" customFormat="false" ht="15" hidden="false" customHeight="false" outlineLevel="0" collapsed="false">
      <c r="A102" s="0" t="s">
        <v>7336</v>
      </c>
      <c r="B102" s="0" t="s">
        <v>641</v>
      </c>
      <c r="C102" s="0" t="s">
        <v>642</v>
      </c>
      <c r="D102" s="0" t="s">
        <v>343</v>
      </c>
      <c r="E102" s="0" t="s">
        <v>643</v>
      </c>
      <c r="F102" s="0" t="s">
        <v>644</v>
      </c>
      <c r="G102" s="0" t="s">
        <v>150</v>
      </c>
      <c r="H102" s="0" t="s">
        <v>7484</v>
      </c>
      <c r="I102" s="0" t="s">
        <v>7338</v>
      </c>
      <c r="J102" s="0" t="s">
        <v>564</v>
      </c>
      <c r="K102" s="0" t="s">
        <v>7339</v>
      </c>
      <c r="L102" s="0" t="s">
        <v>7340</v>
      </c>
      <c r="M102" s="0" t="s">
        <v>7464</v>
      </c>
      <c r="N102" s="0" t="s">
        <v>7342</v>
      </c>
      <c r="P102" s="0" t="s">
        <v>229</v>
      </c>
      <c r="Q102" s="0" t="s">
        <v>7354</v>
      </c>
      <c r="R102" s="0" t="s">
        <v>7343</v>
      </c>
      <c r="S102" s="0" t="s">
        <v>7344</v>
      </c>
      <c r="T102" s="0" t="s">
        <v>228</v>
      </c>
      <c r="V102" s="0" t="s">
        <v>73</v>
      </c>
      <c r="W102" s="0" t="s">
        <v>75</v>
      </c>
      <c r="X102" s="0" t="s">
        <v>7345</v>
      </c>
      <c r="Y102" s="0" t="s">
        <v>7356</v>
      </c>
      <c r="Z102" s="0" t="s">
        <v>7357</v>
      </c>
      <c r="AA102" s="0" t="s">
        <v>7358</v>
      </c>
      <c r="AB102" s="0" t="s">
        <v>344</v>
      </c>
      <c r="AC102" s="0" t="s">
        <v>7349</v>
      </c>
      <c r="AD102" s="0" t="s">
        <v>7394</v>
      </c>
      <c r="AE102" s="0" t="s">
        <v>7395</v>
      </c>
      <c r="AF102" s="0" t="s">
        <v>7374</v>
      </c>
      <c r="AG102" s="0" t="s">
        <v>230</v>
      </c>
    </row>
    <row r="103" customFormat="false" ht="15" hidden="false" customHeight="false" outlineLevel="0" collapsed="false">
      <c r="A103" s="0" t="s">
        <v>7336</v>
      </c>
      <c r="B103" s="0" t="s">
        <v>645</v>
      </c>
      <c r="C103" s="0" t="s">
        <v>646</v>
      </c>
      <c r="D103" s="0" t="s">
        <v>343</v>
      </c>
      <c r="E103" s="0" t="s">
        <v>647</v>
      </c>
      <c r="F103" s="0" t="s">
        <v>648</v>
      </c>
      <c r="G103" s="0" t="s">
        <v>150</v>
      </c>
      <c r="H103" s="0" t="s">
        <v>7485</v>
      </c>
      <c r="I103" s="0" t="s">
        <v>7338</v>
      </c>
      <c r="J103" s="0" t="s">
        <v>564</v>
      </c>
      <c r="K103" s="0" t="s">
        <v>7339</v>
      </c>
      <c r="L103" s="0" t="s">
        <v>7340</v>
      </c>
      <c r="M103" s="0" t="s">
        <v>7464</v>
      </c>
      <c r="N103" s="0" t="s">
        <v>7342</v>
      </c>
      <c r="P103" s="0" t="s">
        <v>229</v>
      </c>
      <c r="Q103" s="0" t="s">
        <v>7354</v>
      </c>
      <c r="R103" s="0" t="s">
        <v>7343</v>
      </c>
      <c r="S103" s="0" t="s">
        <v>7344</v>
      </c>
      <c r="T103" s="0" t="s">
        <v>228</v>
      </c>
      <c r="V103" s="0" t="s">
        <v>73</v>
      </c>
      <c r="W103" s="0" t="s">
        <v>75</v>
      </c>
      <c r="X103" s="0" t="s">
        <v>7345</v>
      </c>
      <c r="Y103" s="0" t="s">
        <v>7356</v>
      </c>
      <c r="Z103" s="0" t="s">
        <v>7357</v>
      </c>
      <c r="AA103" s="0" t="s">
        <v>7358</v>
      </c>
      <c r="AB103" s="0" t="s">
        <v>344</v>
      </c>
      <c r="AC103" s="0" t="s">
        <v>7349</v>
      </c>
      <c r="AD103" s="0" t="s">
        <v>7394</v>
      </c>
      <c r="AE103" s="0" t="s">
        <v>7395</v>
      </c>
      <c r="AF103" s="0" t="s">
        <v>7374</v>
      </c>
      <c r="AG103" s="0" t="s">
        <v>230</v>
      </c>
    </row>
    <row r="104" customFormat="false" ht="15" hidden="false" customHeight="false" outlineLevel="0" collapsed="false">
      <c r="A104" s="0" t="s">
        <v>7336</v>
      </c>
      <c r="B104" s="0" t="s">
        <v>649</v>
      </c>
      <c r="C104" s="0" t="s">
        <v>650</v>
      </c>
      <c r="D104" s="0" t="s">
        <v>227</v>
      </c>
      <c r="E104" s="0" t="s">
        <v>651</v>
      </c>
      <c r="F104" s="0" t="s">
        <v>652</v>
      </c>
      <c r="G104" s="0" t="s">
        <v>653</v>
      </c>
      <c r="H104" s="0" t="s">
        <v>7486</v>
      </c>
      <c r="I104" s="0" t="s">
        <v>7338</v>
      </c>
      <c r="J104" s="0" t="s">
        <v>654</v>
      </c>
      <c r="K104" s="0" t="s">
        <v>7339</v>
      </c>
      <c r="L104" s="0" t="s">
        <v>7340</v>
      </c>
      <c r="M104" s="0" t="s">
        <v>7341</v>
      </c>
      <c r="N104" s="0" t="s">
        <v>7342</v>
      </c>
      <c r="P104" s="0" t="s">
        <v>236</v>
      </c>
      <c r="Q104" s="0" t="s">
        <v>7354</v>
      </c>
      <c r="R104" s="0" t="s">
        <v>7343</v>
      </c>
      <c r="S104" s="0" t="s">
        <v>7344</v>
      </c>
      <c r="T104" s="0" t="s">
        <v>228</v>
      </c>
      <c r="V104" s="0" t="s">
        <v>73</v>
      </c>
      <c r="W104" s="0" t="s">
        <v>77</v>
      </c>
      <c r="X104" s="0" t="s">
        <v>7355</v>
      </c>
      <c r="Y104" s="0" t="s">
        <v>7356</v>
      </c>
      <c r="Z104" s="0" t="s">
        <v>7357</v>
      </c>
      <c r="AA104" s="0" t="s">
        <v>7358</v>
      </c>
      <c r="AB104" s="0" t="s">
        <v>237</v>
      </c>
      <c r="AC104" s="0" t="s">
        <v>7349</v>
      </c>
      <c r="AD104" s="0" t="s">
        <v>7359</v>
      </c>
      <c r="AE104" s="0" t="s">
        <v>7360</v>
      </c>
      <c r="AF104" s="0" t="s">
        <v>7361</v>
      </c>
      <c r="AG104" s="0" t="s">
        <v>230</v>
      </c>
    </row>
    <row r="105" customFormat="false" ht="15" hidden="false" customHeight="false" outlineLevel="0" collapsed="false">
      <c r="A105" s="0" t="s">
        <v>7336</v>
      </c>
      <c r="B105" s="0" t="s">
        <v>655</v>
      </c>
      <c r="C105" s="0" t="s">
        <v>656</v>
      </c>
      <c r="D105" s="0" t="s">
        <v>227</v>
      </c>
      <c r="E105" s="0" t="s">
        <v>657</v>
      </c>
      <c r="F105" s="0" t="s">
        <v>658</v>
      </c>
      <c r="G105" s="0" t="s">
        <v>653</v>
      </c>
      <c r="H105" s="0" t="s">
        <v>7487</v>
      </c>
      <c r="I105" s="0" t="s">
        <v>7338</v>
      </c>
      <c r="J105" s="0" t="s">
        <v>654</v>
      </c>
      <c r="K105" s="0" t="s">
        <v>7339</v>
      </c>
      <c r="L105" s="0" t="s">
        <v>7340</v>
      </c>
      <c r="M105" s="0" t="s">
        <v>7341</v>
      </c>
      <c r="N105" s="0" t="s">
        <v>7342</v>
      </c>
      <c r="P105" s="0" t="s">
        <v>236</v>
      </c>
      <c r="Q105" s="0" t="s">
        <v>7354</v>
      </c>
      <c r="R105" s="0" t="s">
        <v>7343</v>
      </c>
      <c r="S105" s="0" t="s">
        <v>7344</v>
      </c>
      <c r="T105" s="0" t="s">
        <v>228</v>
      </c>
      <c r="V105" s="0" t="s">
        <v>73</v>
      </c>
      <c r="W105" s="0" t="s">
        <v>77</v>
      </c>
      <c r="X105" s="0" t="s">
        <v>7355</v>
      </c>
      <c r="Y105" s="0" t="s">
        <v>7356</v>
      </c>
      <c r="Z105" s="0" t="s">
        <v>7357</v>
      </c>
      <c r="AA105" s="0" t="s">
        <v>7358</v>
      </c>
      <c r="AB105" s="0" t="s">
        <v>237</v>
      </c>
      <c r="AC105" s="0" t="s">
        <v>7349</v>
      </c>
      <c r="AD105" s="0" t="s">
        <v>7359</v>
      </c>
      <c r="AE105" s="0" t="s">
        <v>7360</v>
      </c>
      <c r="AF105" s="0" t="s">
        <v>7361</v>
      </c>
      <c r="AG105" s="0" t="s">
        <v>230</v>
      </c>
    </row>
    <row r="106" customFormat="false" ht="15" hidden="false" customHeight="false" outlineLevel="0" collapsed="false">
      <c r="A106" s="0" t="s">
        <v>7336</v>
      </c>
      <c r="B106" s="0" t="s">
        <v>659</v>
      </c>
      <c r="C106" s="0" t="s">
        <v>660</v>
      </c>
      <c r="D106" s="0" t="s">
        <v>227</v>
      </c>
      <c r="E106" s="0" t="s">
        <v>661</v>
      </c>
      <c r="F106" s="0" t="s">
        <v>662</v>
      </c>
      <c r="G106" s="0" t="s">
        <v>653</v>
      </c>
      <c r="H106" s="0" t="s">
        <v>7488</v>
      </c>
      <c r="I106" s="0" t="s">
        <v>7338</v>
      </c>
      <c r="J106" s="0" t="s">
        <v>654</v>
      </c>
      <c r="K106" s="0" t="s">
        <v>7339</v>
      </c>
      <c r="L106" s="0" t="s">
        <v>7340</v>
      </c>
      <c r="M106" s="0" t="s">
        <v>7341</v>
      </c>
      <c r="N106" s="0" t="s">
        <v>7342</v>
      </c>
      <c r="P106" s="0" t="s">
        <v>236</v>
      </c>
      <c r="Q106" s="0" t="s">
        <v>7354</v>
      </c>
      <c r="R106" s="0" t="s">
        <v>7343</v>
      </c>
      <c r="S106" s="0" t="s">
        <v>7344</v>
      </c>
      <c r="T106" s="0" t="s">
        <v>228</v>
      </c>
      <c r="V106" s="0" t="s">
        <v>73</v>
      </c>
      <c r="W106" s="0" t="s">
        <v>77</v>
      </c>
      <c r="X106" s="0" t="s">
        <v>7355</v>
      </c>
      <c r="Y106" s="0" t="s">
        <v>7356</v>
      </c>
      <c r="Z106" s="0" t="s">
        <v>7357</v>
      </c>
      <c r="AA106" s="0" t="s">
        <v>7358</v>
      </c>
      <c r="AB106" s="0" t="s">
        <v>237</v>
      </c>
      <c r="AC106" s="0" t="s">
        <v>7349</v>
      </c>
      <c r="AD106" s="0" t="s">
        <v>7359</v>
      </c>
      <c r="AE106" s="0" t="s">
        <v>7360</v>
      </c>
      <c r="AF106" s="0" t="s">
        <v>7361</v>
      </c>
      <c r="AG106" s="0" t="s">
        <v>230</v>
      </c>
    </row>
    <row r="107" customFormat="false" ht="15" hidden="false" customHeight="false" outlineLevel="0" collapsed="false">
      <c r="A107" s="0" t="s">
        <v>7336</v>
      </c>
      <c r="B107" s="0" t="s">
        <v>663</v>
      </c>
      <c r="C107" s="0" t="s">
        <v>664</v>
      </c>
      <c r="D107" s="0" t="s">
        <v>227</v>
      </c>
      <c r="E107" s="0" t="s">
        <v>665</v>
      </c>
      <c r="F107" s="0" t="s">
        <v>666</v>
      </c>
      <c r="G107" s="0" t="s">
        <v>653</v>
      </c>
      <c r="H107" s="0" t="s">
        <v>7489</v>
      </c>
      <c r="I107" s="0" t="s">
        <v>7338</v>
      </c>
      <c r="J107" s="0" t="s">
        <v>654</v>
      </c>
      <c r="K107" s="0" t="s">
        <v>7339</v>
      </c>
      <c r="L107" s="0" t="s">
        <v>7340</v>
      </c>
      <c r="M107" s="0" t="s">
        <v>7341</v>
      </c>
      <c r="N107" s="0" t="s">
        <v>7342</v>
      </c>
      <c r="P107" s="0" t="s">
        <v>236</v>
      </c>
      <c r="Q107" s="0" t="s">
        <v>7354</v>
      </c>
      <c r="R107" s="0" t="s">
        <v>7343</v>
      </c>
      <c r="S107" s="0" t="s">
        <v>7344</v>
      </c>
      <c r="T107" s="0" t="s">
        <v>228</v>
      </c>
      <c r="V107" s="0" t="s">
        <v>73</v>
      </c>
      <c r="W107" s="0" t="s">
        <v>77</v>
      </c>
      <c r="X107" s="0" t="s">
        <v>7355</v>
      </c>
      <c r="Y107" s="0" t="s">
        <v>7356</v>
      </c>
      <c r="Z107" s="0" t="s">
        <v>7357</v>
      </c>
      <c r="AA107" s="0" t="s">
        <v>7358</v>
      </c>
      <c r="AB107" s="0" t="s">
        <v>237</v>
      </c>
      <c r="AC107" s="0" t="s">
        <v>7349</v>
      </c>
      <c r="AD107" s="0" t="s">
        <v>7359</v>
      </c>
      <c r="AE107" s="0" t="s">
        <v>7360</v>
      </c>
      <c r="AF107" s="0" t="s">
        <v>7361</v>
      </c>
      <c r="AG107" s="0" t="s">
        <v>230</v>
      </c>
    </row>
    <row r="108" customFormat="false" ht="15" hidden="false" customHeight="false" outlineLevel="0" collapsed="false">
      <c r="A108" s="0" t="s">
        <v>7336</v>
      </c>
      <c r="B108" s="0" t="s">
        <v>667</v>
      </c>
      <c r="C108" s="0" t="s">
        <v>668</v>
      </c>
      <c r="D108" s="0" t="s">
        <v>227</v>
      </c>
      <c r="E108" s="0" t="s">
        <v>669</v>
      </c>
      <c r="F108" s="0" t="s">
        <v>670</v>
      </c>
      <c r="G108" s="0" t="s">
        <v>653</v>
      </c>
      <c r="H108" s="0" t="s">
        <v>7490</v>
      </c>
      <c r="I108" s="0" t="s">
        <v>7338</v>
      </c>
      <c r="J108" s="0" t="s">
        <v>654</v>
      </c>
      <c r="K108" s="0" t="s">
        <v>7339</v>
      </c>
      <c r="L108" s="0" t="s">
        <v>7340</v>
      </c>
      <c r="M108" s="0" t="s">
        <v>7341</v>
      </c>
      <c r="N108" s="0" t="s">
        <v>7342</v>
      </c>
      <c r="P108" s="0" t="s">
        <v>236</v>
      </c>
      <c r="Q108" s="0" t="s">
        <v>7354</v>
      </c>
      <c r="R108" s="0" t="s">
        <v>7343</v>
      </c>
      <c r="S108" s="0" t="s">
        <v>7344</v>
      </c>
      <c r="T108" s="0" t="s">
        <v>228</v>
      </c>
      <c r="V108" s="0" t="s">
        <v>73</v>
      </c>
      <c r="W108" s="0" t="s">
        <v>77</v>
      </c>
      <c r="X108" s="0" t="s">
        <v>7355</v>
      </c>
      <c r="Y108" s="0" t="s">
        <v>7356</v>
      </c>
      <c r="Z108" s="0" t="s">
        <v>7357</v>
      </c>
      <c r="AA108" s="0" t="s">
        <v>7358</v>
      </c>
      <c r="AB108" s="0" t="s">
        <v>237</v>
      </c>
      <c r="AC108" s="0" t="s">
        <v>7349</v>
      </c>
      <c r="AD108" s="0" t="s">
        <v>7359</v>
      </c>
      <c r="AE108" s="0" t="s">
        <v>7360</v>
      </c>
      <c r="AF108" s="0" t="s">
        <v>7361</v>
      </c>
      <c r="AG108" s="0" t="s">
        <v>230</v>
      </c>
    </row>
    <row r="109" customFormat="false" ht="15" hidden="false" customHeight="false" outlineLevel="0" collapsed="false">
      <c r="A109" s="0" t="s">
        <v>7336</v>
      </c>
      <c r="B109" s="0" t="s">
        <v>671</v>
      </c>
      <c r="C109" s="0" t="s">
        <v>672</v>
      </c>
      <c r="D109" s="0" t="s">
        <v>676</v>
      </c>
      <c r="E109" s="0" t="s">
        <v>673</v>
      </c>
      <c r="F109" s="0" t="s">
        <v>674</v>
      </c>
      <c r="G109" s="0" t="s">
        <v>113</v>
      </c>
      <c r="H109" s="0" t="s">
        <v>7491</v>
      </c>
      <c r="I109" s="0" t="s">
        <v>7338</v>
      </c>
      <c r="J109" s="0" t="s">
        <v>675</v>
      </c>
      <c r="K109" s="0" t="s">
        <v>7339</v>
      </c>
      <c r="L109" s="0" t="s">
        <v>7340</v>
      </c>
      <c r="M109" s="0" t="s">
        <v>7492</v>
      </c>
      <c r="N109" s="0" t="s">
        <v>7342</v>
      </c>
      <c r="P109" s="0" t="s">
        <v>229</v>
      </c>
      <c r="R109" s="0" t="s">
        <v>7343</v>
      </c>
      <c r="S109" s="0" t="s">
        <v>7344</v>
      </c>
      <c r="T109" s="0" t="s">
        <v>58</v>
      </c>
      <c r="V109" s="0" t="s">
        <v>55</v>
      </c>
      <c r="W109" s="0" t="s">
        <v>58</v>
      </c>
      <c r="X109" s="0" t="s">
        <v>7345</v>
      </c>
      <c r="Z109" s="0" t="s">
        <v>7493</v>
      </c>
      <c r="AA109" s="0" t="s">
        <v>682</v>
      </c>
      <c r="AB109" s="0" t="s">
        <v>344</v>
      </c>
      <c r="AC109" s="0" t="s">
        <v>7349</v>
      </c>
      <c r="AD109" s="0" t="s">
        <v>682</v>
      </c>
      <c r="AE109" s="0" t="s">
        <v>57</v>
      </c>
      <c r="AF109" s="0" t="s">
        <v>7374</v>
      </c>
      <c r="AG109" s="0" t="s">
        <v>230</v>
      </c>
    </row>
    <row r="110" customFormat="false" ht="15" hidden="false" customHeight="false" outlineLevel="0" collapsed="false">
      <c r="A110" s="0" t="s">
        <v>7336</v>
      </c>
      <c r="B110" s="0" t="s">
        <v>677</v>
      </c>
      <c r="C110" s="0" t="s">
        <v>678</v>
      </c>
      <c r="D110" s="0" t="s">
        <v>676</v>
      </c>
      <c r="E110" s="0" t="s">
        <v>679</v>
      </c>
      <c r="F110" s="0" t="s">
        <v>680</v>
      </c>
      <c r="G110" s="0" t="s">
        <v>113</v>
      </c>
      <c r="H110" s="0" t="s">
        <v>7494</v>
      </c>
      <c r="I110" s="0" t="s">
        <v>7338</v>
      </c>
      <c r="J110" s="0" t="s">
        <v>675</v>
      </c>
      <c r="K110" s="0" t="s">
        <v>7339</v>
      </c>
      <c r="L110" s="0" t="s">
        <v>7340</v>
      </c>
      <c r="M110" s="0" t="s">
        <v>7492</v>
      </c>
      <c r="N110" s="0" t="s">
        <v>7342</v>
      </c>
      <c r="O110" s="0" t="s">
        <v>682</v>
      </c>
      <c r="P110" s="0" t="s">
        <v>229</v>
      </c>
      <c r="R110" s="0" t="s">
        <v>7343</v>
      </c>
      <c r="S110" s="0" t="s">
        <v>7344</v>
      </c>
      <c r="T110" s="0" t="s">
        <v>681</v>
      </c>
      <c r="V110" s="0" t="s">
        <v>34</v>
      </c>
      <c r="W110" s="0" t="s">
        <v>51</v>
      </c>
      <c r="X110" s="0" t="s">
        <v>7345</v>
      </c>
      <c r="Y110" s="0" t="s">
        <v>7495</v>
      </c>
      <c r="Z110" s="0" t="s">
        <v>7496</v>
      </c>
      <c r="AA110" s="0" t="s">
        <v>7497</v>
      </c>
      <c r="AB110" s="0" t="s">
        <v>682</v>
      </c>
      <c r="AC110" s="0" t="s">
        <v>7349</v>
      </c>
      <c r="AD110" s="0" t="s">
        <v>7498</v>
      </c>
      <c r="AE110" s="0" t="s">
        <v>1341</v>
      </c>
      <c r="AF110" s="0" t="s">
        <v>7499</v>
      </c>
      <c r="AG110" s="0" t="s">
        <v>230</v>
      </c>
    </row>
    <row r="111" customFormat="false" ht="15" hidden="false" customHeight="false" outlineLevel="0" collapsed="false">
      <c r="A111" s="0" t="s">
        <v>7336</v>
      </c>
      <c r="B111" s="0" t="s">
        <v>683</v>
      </c>
      <c r="C111" s="0" t="s">
        <v>684</v>
      </c>
      <c r="D111" s="0" t="s">
        <v>676</v>
      </c>
      <c r="E111" s="0" t="s">
        <v>685</v>
      </c>
      <c r="F111" s="0" t="s">
        <v>680</v>
      </c>
      <c r="G111" s="0" t="s">
        <v>113</v>
      </c>
      <c r="H111" s="0" t="s">
        <v>7494</v>
      </c>
      <c r="I111" s="0" t="s">
        <v>7338</v>
      </c>
      <c r="J111" s="0" t="s">
        <v>675</v>
      </c>
      <c r="K111" s="0" t="s">
        <v>7339</v>
      </c>
      <c r="L111" s="0" t="s">
        <v>7340</v>
      </c>
      <c r="M111" s="0" t="s">
        <v>7492</v>
      </c>
      <c r="N111" s="0" t="s">
        <v>7342</v>
      </c>
      <c r="P111" s="0" t="s">
        <v>229</v>
      </c>
      <c r="R111" s="0" t="s">
        <v>7343</v>
      </c>
      <c r="S111" s="0" t="s">
        <v>7344</v>
      </c>
      <c r="T111" s="0" t="s">
        <v>228</v>
      </c>
      <c r="V111" s="0" t="s">
        <v>34</v>
      </c>
      <c r="W111" s="0" t="s">
        <v>46</v>
      </c>
      <c r="X111" s="0" t="s">
        <v>7345</v>
      </c>
      <c r="Y111" s="0" t="s">
        <v>7346</v>
      </c>
      <c r="Z111" s="0" t="s">
        <v>7347</v>
      </c>
      <c r="AA111" s="0" t="s">
        <v>7348</v>
      </c>
      <c r="AB111" s="0" t="s">
        <v>231</v>
      </c>
      <c r="AC111" s="0" t="s">
        <v>7349</v>
      </c>
      <c r="AD111" s="0" t="s">
        <v>7500</v>
      </c>
      <c r="AE111" s="0" t="s">
        <v>7501</v>
      </c>
      <c r="AF111" s="0" t="s">
        <v>7352</v>
      </c>
      <c r="AG111" s="0" t="s">
        <v>230</v>
      </c>
    </row>
    <row r="112" customFormat="false" ht="15" hidden="false" customHeight="false" outlineLevel="0" collapsed="false">
      <c r="A112" s="0" t="s">
        <v>7336</v>
      </c>
      <c r="B112" s="0" t="s">
        <v>686</v>
      </c>
      <c r="C112" s="0" t="s">
        <v>687</v>
      </c>
      <c r="D112" s="0" t="s">
        <v>676</v>
      </c>
      <c r="E112" s="0" t="s">
        <v>688</v>
      </c>
      <c r="F112" s="0" t="s">
        <v>689</v>
      </c>
      <c r="G112" s="0" t="s">
        <v>113</v>
      </c>
      <c r="H112" s="0" t="s">
        <v>7502</v>
      </c>
      <c r="I112" s="0" t="s">
        <v>7338</v>
      </c>
      <c r="J112" s="0" t="s">
        <v>675</v>
      </c>
      <c r="K112" s="0" t="s">
        <v>7339</v>
      </c>
      <c r="L112" s="0" t="s">
        <v>7340</v>
      </c>
      <c r="M112" s="0" t="s">
        <v>7492</v>
      </c>
      <c r="N112" s="0" t="s">
        <v>7342</v>
      </c>
      <c r="O112" s="0" t="s">
        <v>682</v>
      </c>
      <c r="P112" s="0" t="s">
        <v>229</v>
      </c>
      <c r="R112" s="0" t="s">
        <v>7343</v>
      </c>
      <c r="S112" s="0" t="s">
        <v>7344</v>
      </c>
      <c r="T112" s="0" t="s">
        <v>228</v>
      </c>
      <c r="V112" s="0" t="s">
        <v>34</v>
      </c>
      <c r="W112" s="0" t="s">
        <v>46</v>
      </c>
      <c r="X112" s="0" t="s">
        <v>7345</v>
      </c>
      <c r="Y112" s="0" t="s">
        <v>7346</v>
      </c>
      <c r="Z112" s="0" t="s">
        <v>7347</v>
      </c>
      <c r="AA112" s="0" t="s">
        <v>7348</v>
      </c>
      <c r="AB112" s="0" t="s">
        <v>231</v>
      </c>
      <c r="AC112" s="0" t="s">
        <v>7349</v>
      </c>
      <c r="AD112" s="0" t="s">
        <v>7500</v>
      </c>
      <c r="AE112" s="0" t="s">
        <v>7501</v>
      </c>
      <c r="AF112" s="0" t="s">
        <v>7352</v>
      </c>
      <c r="AG112" s="0" t="s">
        <v>230</v>
      </c>
    </row>
    <row r="113" customFormat="false" ht="15" hidden="false" customHeight="false" outlineLevel="0" collapsed="false">
      <c r="A113" s="0" t="s">
        <v>7336</v>
      </c>
      <c r="B113" s="0" t="s">
        <v>690</v>
      </c>
      <c r="C113" s="0" t="s">
        <v>691</v>
      </c>
      <c r="D113" s="0" t="s">
        <v>676</v>
      </c>
      <c r="E113" s="0" t="s">
        <v>692</v>
      </c>
      <c r="F113" s="0" t="s">
        <v>689</v>
      </c>
      <c r="G113" s="0" t="s">
        <v>113</v>
      </c>
      <c r="H113" s="0" t="s">
        <v>7502</v>
      </c>
      <c r="I113" s="0" t="s">
        <v>7338</v>
      </c>
      <c r="J113" s="0" t="s">
        <v>675</v>
      </c>
      <c r="K113" s="0" t="s">
        <v>7339</v>
      </c>
      <c r="L113" s="0" t="s">
        <v>7340</v>
      </c>
      <c r="M113" s="0" t="s">
        <v>7492</v>
      </c>
      <c r="N113" s="0" t="s">
        <v>7342</v>
      </c>
      <c r="O113" s="0" t="s">
        <v>682</v>
      </c>
      <c r="P113" s="0" t="s">
        <v>229</v>
      </c>
      <c r="R113" s="0" t="s">
        <v>7343</v>
      </c>
      <c r="S113" s="0" t="s">
        <v>7344</v>
      </c>
      <c r="T113" s="0" t="s">
        <v>228</v>
      </c>
      <c r="V113" s="0" t="s">
        <v>34</v>
      </c>
      <c r="W113" s="0" t="s">
        <v>36</v>
      </c>
      <c r="X113" s="0" t="s">
        <v>7345</v>
      </c>
      <c r="Y113" s="0" t="s">
        <v>7346</v>
      </c>
      <c r="Z113" s="0" t="s">
        <v>7347</v>
      </c>
      <c r="AA113" s="0" t="s">
        <v>7348</v>
      </c>
      <c r="AB113" s="0" t="s">
        <v>231</v>
      </c>
      <c r="AC113" s="0" t="s">
        <v>7349</v>
      </c>
      <c r="AD113" s="0" t="s">
        <v>7350</v>
      </c>
      <c r="AE113" s="0" t="s">
        <v>7351</v>
      </c>
      <c r="AF113" s="0" t="s">
        <v>7352</v>
      </c>
      <c r="AG113" s="0" t="s">
        <v>230</v>
      </c>
    </row>
    <row r="114" customFormat="false" ht="15" hidden="false" customHeight="false" outlineLevel="0" collapsed="false">
      <c r="A114" s="0" t="s">
        <v>7336</v>
      </c>
      <c r="B114" s="0" t="s">
        <v>693</v>
      </c>
      <c r="C114" s="0" t="s">
        <v>694</v>
      </c>
      <c r="D114" s="0" t="s">
        <v>676</v>
      </c>
      <c r="E114" s="0" t="s">
        <v>695</v>
      </c>
      <c r="F114" s="0" t="s">
        <v>696</v>
      </c>
      <c r="G114" s="0" t="s">
        <v>113</v>
      </c>
      <c r="H114" s="0" t="s">
        <v>7503</v>
      </c>
      <c r="I114" s="0" t="s">
        <v>7338</v>
      </c>
      <c r="J114" s="0" t="s">
        <v>675</v>
      </c>
      <c r="K114" s="0" t="s">
        <v>7339</v>
      </c>
      <c r="L114" s="0" t="s">
        <v>7340</v>
      </c>
      <c r="M114" s="0" t="s">
        <v>7492</v>
      </c>
      <c r="N114" s="0" t="s">
        <v>7342</v>
      </c>
      <c r="P114" s="0" t="s">
        <v>229</v>
      </c>
      <c r="R114" s="0" t="s">
        <v>7343</v>
      </c>
      <c r="S114" s="0" t="s">
        <v>7344</v>
      </c>
      <c r="T114" s="0" t="s">
        <v>228</v>
      </c>
      <c r="V114" s="0" t="s">
        <v>34</v>
      </c>
      <c r="W114" s="0" t="s">
        <v>38</v>
      </c>
      <c r="X114" s="0" t="s">
        <v>7345</v>
      </c>
      <c r="Y114" s="0" t="s">
        <v>7409</v>
      </c>
      <c r="Z114" s="0" t="s">
        <v>7370</v>
      </c>
      <c r="AA114" s="0" t="s">
        <v>7504</v>
      </c>
      <c r="AB114" s="0" t="s">
        <v>231</v>
      </c>
      <c r="AC114" s="0" t="s">
        <v>7349</v>
      </c>
      <c r="AD114" s="0" t="s">
        <v>7505</v>
      </c>
      <c r="AE114" s="0" t="s">
        <v>7506</v>
      </c>
      <c r="AF114" s="0" t="s">
        <v>7374</v>
      </c>
      <c r="AG114" s="0" t="s">
        <v>230</v>
      </c>
    </row>
    <row r="115" customFormat="false" ht="15" hidden="false" customHeight="false" outlineLevel="0" collapsed="false">
      <c r="A115" s="0" t="s">
        <v>7336</v>
      </c>
      <c r="B115" s="0" t="s">
        <v>697</v>
      </c>
      <c r="C115" s="0" t="s">
        <v>698</v>
      </c>
      <c r="D115" s="0" t="s">
        <v>676</v>
      </c>
      <c r="E115" s="0" t="s">
        <v>699</v>
      </c>
      <c r="F115" s="0" t="s">
        <v>700</v>
      </c>
      <c r="G115" s="0" t="s">
        <v>113</v>
      </c>
      <c r="H115" s="0" t="s">
        <v>7507</v>
      </c>
      <c r="I115" s="0" t="s">
        <v>7338</v>
      </c>
      <c r="J115" s="0" t="s">
        <v>675</v>
      </c>
      <c r="K115" s="0" t="s">
        <v>7339</v>
      </c>
      <c r="L115" s="0" t="s">
        <v>7340</v>
      </c>
      <c r="M115" s="0" t="s">
        <v>7492</v>
      </c>
      <c r="N115" s="0" t="s">
        <v>7342</v>
      </c>
      <c r="P115" s="0" t="s">
        <v>229</v>
      </c>
      <c r="R115" s="0" t="s">
        <v>7343</v>
      </c>
      <c r="S115" s="0" t="s">
        <v>7344</v>
      </c>
      <c r="T115" s="0" t="s">
        <v>228</v>
      </c>
      <c r="V115" s="0" t="s">
        <v>34</v>
      </c>
      <c r="W115" s="0" t="s">
        <v>38</v>
      </c>
      <c r="X115" s="0" t="s">
        <v>7345</v>
      </c>
      <c r="Y115" s="0" t="s">
        <v>7409</v>
      </c>
      <c r="Z115" s="0" t="s">
        <v>7370</v>
      </c>
      <c r="AA115" s="0" t="s">
        <v>7504</v>
      </c>
      <c r="AB115" s="0" t="s">
        <v>231</v>
      </c>
      <c r="AC115" s="0" t="s">
        <v>7349</v>
      </c>
      <c r="AD115" s="0" t="s">
        <v>7505</v>
      </c>
      <c r="AE115" s="0" t="s">
        <v>7506</v>
      </c>
      <c r="AF115" s="0" t="s">
        <v>7374</v>
      </c>
      <c r="AG115" s="0" t="s">
        <v>230</v>
      </c>
    </row>
    <row r="116" customFormat="false" ht="15" hidden="false" customHeight="false" outlineLevel="0" collapsed="false">
      <c r="A116" s="0" t="s">
        <v>7336</v>
      </c>
      <c r="B116" s="0" t="s">
        <v>701</v>
      </c>
      <c r="C116" s="0" t="s">
        <v>702</v>
      </c>
      <c r="D116" s="0" t="s">
        <v>676</v>
      </c>
      <c r="E116" s="0" t="s">
        <v>703</v>
      </c>
      <c r="F116" s="0" t="s">
        <v>704</v>
      </c>
      <c r="G116" s="0" t="s">
        <v>113</v>
      </c>
      <c r="H116" s="0" t="s">
        <v>7508</v>
      </c>
      <c r="I116" s="0" t="s">
        <v>7338</v>
      </c>
      <c r="J116" s="0" t="s">
        <v>675</v>
      </c>
      <c r="K116" s="0" t="s">
        <v>7339</v>
      </c>
      <c r="L116" s="0" t="s">
        <v>7340</v>
      </c>
      <c r="M116" s="0" t="s">
        <v>7492</v>
      </c>
      <c r="N116" s="0" t="s">
        <v>7342</v>
      </c>
      <c r="P116" s="0" t="s">
        <v>229</v>
      </c>
      <c r="R116" s="0" t="s">
        <v>7343</v>
      </c>
      <c r="S116" s="0" t="s">
        <v>7344</v>
      </c>
      <c r="T116" s="0" t="s">
        <v>228</v>
      </c>
      <c r="V116" s="0" t="s">
        <v>34</v>
      </c>
      <c r="W116" s="0" t="s">
        <v>38</v>
      </c>
      <c r="X116" s="0" t="s">
        <v>7345</v>
      </c>
      <c r="Y116" s="0" t="s">
        <v>7409</v>
      </c>
      <c r="Z116" s="0" t="s">
        <v>7370</v>
      </c>
      <c r="AA116" s="0" t="s">
        <v>7504</v>
      </c>
      <c r="AB116" s="0" t="s">
        <v>231</v>
      </c>
      <c r="AC116" s="0" t="s">
        <v>7349</v>
      </c>
      <c r="AD116" s="0" t="s">
        <v>7505</v>
      </c>
      <c r="AE116" s="0" t="s">
        <v>7506</v>
      </c>
      <c r="AF116" s="0" t="s">
        <v>7374</v>
      </c>
      <c r="AG116" s="0" t="s">
        <v>230</v>
      </c>
    </row>
    <row r="117" customFormat="false" ht="15" hidden="false" customHeight="false" outlineLevel="0" collapsed="false">
      <c r="A117" s="0" t="s">
        <v>7336</v>
      </c>
      <c r="B117" s="0" t="s">
        <v>705</v>
      </c>
      <c r="C117" s="0" t="s">
        <v>706</v>
      </c>
      <c r="D117" s="0" t="s">
        <v>676</v>
      </c>
      <c r="E117" s="0" t="s">
        <v>707</v>
      </c>
      <c r="F117" s="0" t="s">
        <v>708</v>
      </c>
      <c r="G117" s="0" t="s">
        <v>113</v>
      </c>
      <c r="H117" s="0" t="s">
        <v>7509</v>
      </c>
      <c r="I117" s="0" t="s">
        <v>7338</v>
      </c>
      <c r="J117" s="0" t="s">
        <v>675</v>
      </c>
      <c r="K117" s="0" t="s">
        <v>7339</v>
      </c>
      <c r="L117" s="0" t="s">
        <v>7340</v>
      </c>
      <c r="M117" s="0" t="s">
        <v>7492</v>
      </c>
      <c r="N117" s="0" t="s">
        <v>7342</v>
      </c>
      <c r="P117" s="0" t="s">
        <v>229</v>
      </c>
      <c r="R117" s="0" t="s">
        <v>7343</v>
      </c>
      <c r="S117" s="0" t="s">
        <v>7344</v>
      </c>
      <c r="T117" s="0" t="s">
        <v>228</v>
      </c>
      <c r="V117" s="0" t="s">
        <v>34</v>
      </c>
      <c r="W117" s="0" t="s">
        <v>38</v>
      </c>
      <c r="X117" s="0" t="s">
        <v>7345</v>
      </c>
      <c r="Y117" s="0" t="s">
        <v>7409</v>
      </c>
      <c r="Z117" s="0" t="s">
        <v>7370</v>
      </c>
      <c r="AA117" s="0" t="s">
        <v>7504</v>
      </c>
      <c r="AB117" s="0" t="s">
        <v>231</v>
      </c>
      <c r="AC117" s="0" t="s">
        <v>7349</v>
      </c>
      <c r="AD117" s="0" t="s">
        <v>7505</v>
      </c>
      <c r="AE117" s="0" t="s">
        <v>7506</v>
      </c>
      <c r="AF117" s="0" t="s">
        <v>7374</v>
      </c>
      <c r="AG117" s="0" t="s">
        <v>230</v>
      </c>
    </row>
    <row r="118" customFormat="false" ht="15" hidden="false" customHeight="false" outlineLevel="0" collapsed="false">
      <c r="A118" s="0" t="s">
        <v>7336</v>
      </c>
      <c r="B118" s="0" t="s">
        <v>709</v>
      </c>
      <c r="C118" s="0" t="s">
        <v>710</v>
      </c>
      <c r="D118" s="0" t="s">
        <v>676</v>
      </c>
      <c r="E118" s="0" t="s">
        <v>711</v>
      </c>
      <c r="F118" s="0" t="s">
        <v>712</v>
      </c>
      <c r="G118" s="0" t="s">
        <v>113</v>
      </c>
      <c r="H118" s="0" t="s">
        <v>7510</v>
      </c>
      <c r="I118" s="0" t="s">
        <v>7338</v>
      </c>
      <c r="J118" s="0" t="s">
        <v>675</v>
      </c>
      <c r="K118" s="0" t="s">
        <v>7339</v>
      </c>
      <c r="L118" s="0" t="s">
        <v>7340</v>
      </c>
      <c r="M118" s="0" t="s">
        <v>7492</v>
      </c>
      <c r="N118" s="0" t="s">
        <v>7342</v>
      </c>
      <c r="P118" s="0" t="s">
        <v>229</v>
      </c>
      <c r="R118" s="0" t="s">
        <v>7343</v>
      </c>
      <c r="S118" s="0" t="s">
        <v>7344</v>
      </c>
      <c r="T118" s="0" t="s">
        <v>228</v>
      </c>
      <c r="V118" s="0" t="s">
        <v>34</v>
      </c>
      <c r="W118" s="0" t="s">
        <v>38</v>
      </c>
      <c r="X118" s="0" t="s">
        <v>7345</v>
      </c>
      <c r="Y118" s="0" t="s">
        <v>7409</v>
      </c>
      <c r="Z118" s="0" t="s">
        <v>7370</v>
      </c>
      <c r="AA118" s="0" t="s">
        <v>7504</v>
      </c>
      <c r="AB118" s="0" t="s">
        <v>231</v>
      </c>
      <c r="AC118" s="0" t="s">
        <v>7349</v>
      </c>
      <c r="AD118" s="0" t="s">
        <v>7505</v>
      </c>
      <c r="AE118" s="0" t="s">
        <v>7506</v>
      </c>
      <c r="AF118" s="0" t="s">
        <v>7374</v>
      </c>
      <c r="AG118" s="0" t="s">
        <v>230</v>
      </c>
    </row>
    <row r="119" customFormat="false" ht="15" hidden="false" customHeight="false" outlineLevel="0" collapsed="false">
      <c r="A119" s="0" t="s">
        <v>7336</v>
      </c>
      <c r="B119" s="0" t="s">
        <v>713</v>
      </c>
      <c r="C119" s="0" t="s">
        <v>714</v>
      </c>
      <c r="D119" s="0" t="s">
        <v>676</v>
      </c>
      <c r="E119" s="0" t="s">
        <v>715</v>
      </c>
      <c r="F119" s="0" t="s">
        <v>716</v>
      </c>
      <c r="G119" s="0" t="s">
        <v>113</v>
      </c>
      <c r="H119" s="0" t="s">
        <v>7511</v>
      </c>
      <c r="I119" s="0" t="s">
        <v>7338</v>
      </c>
      <c r="J119" s="0" t="s">
        <v>675</v>
      </c>
      <c r="K119" s="0" t="s">
        <v>7339</v>
      </c>
      <c r="L119" s="0" t="s">
        <v>7340</v>
      </c>
      <c r="M119" s="0" t="s">
        <v>7492</v>
      </c>
      <c r="N119" s="0" t="s">
        <v>7342</v>
      </c>
      <c r="O119" s="0" t="s">
        <v>682</v>
      </c>
      <c r="P119" s="0" t="s">
        <v>229</v>
      </c>
      <c r="R119" s="0" t="s">
        <v>7343</v>
      </c>
      <c r="S119" s="0" t="s">
        <v>7344</v>
      </c>
      <c r="T119" s="0" t="s">
        <v>228</v>
      </c>
      <c r="V119" s="0" t="s">
        <v>34</v>
      </c>
      <c r="W119" s="0" t="s">
        <v>36</v>
      </c>
      <c r="X119" s="0" t="s">
        <v>7345</v>
      </c>
      <c r="Y119" s="0" t="s">
        <v>7346</v>
      </c>
      <c r="Z119" s="0" t="s">
        <v>7370</v>
      </c>
      <c r="AA119" s="0" t="s">
        <v>7348</v>
      </c>
      <c r="AB119" s="0" t="s">
        <v>231</v>
      </c>
      <c r="AC119" s="0" t="s">
        <v>7349</v>
      </c>
      <c r="AD119" s="0" t="s">
        <v>7512</v>
      </c>
      <c r="AE119" s="0" t="s">
        <v>7351</v>
      </c>
      <c r="AF119" s="0" t="s">
        <v>7352</v>
      </c>
      <c r="AG119" s="0" t="s">
        <v>230</v>
      </c>
    </row>
    <row r="120" customFormat="false" ht="15" hidden="false" customHeight="false" outlineLevel="0" collapsed="false">
      <c r="A120" s="0" t="s">
        <v>7336</v>
      </c>
      <c r="B120" s="0" t="s">
        <v>717</v>
      </c>
      <c r="C120" s="0" t="s">
        <v>718</v>
      </c>
      <c r="D120" s="0" t="s">
        <v>676</v>
      </c>
      <c r="E120" s="0" t="s">
        <v>719</v>
      </c>
      <c r="F120" s="0" t="s">
        <v>720</v>
      </c>
      <c r="G120" s="0" t="s">
        <v>113</v>
      </c>
      <c r="H120" s="0" t="s">
        <v>7513</v>
      </c>
      <c r="I120" s="0" t="s">
        <v>7338</v>
      </c>
      <c r="J120" s="0" t="s">
        <v>675</v>
      </c>
      <c r="K120" s="0" t="s">
        <v>7339</v>
      </c>
      <c r="L120" s="0" t="s">
        <v>7340</v>
      </c>
      <c r="M120" s="0" t="s">
        <v>7492</v>
      </c>
      <c r="N120" s="0" t="s">
        <v>7342</v>
      </c>
      <c r="O120" s="0" t="s">
        <v>682</v>
      </c>
      <c r="P120" s="0" t="s">
        <v>229</v>
      </c>
      <c r="R120" s="0" t="s">
        <v>7343</v>
      </c>
      <c r="S120" s="0" t="s">
        <v>7344</v>
      </c>
      <c r="T120" s="0" t="s">
        <v>681</v>
      </c>
      <c r="V120" s="0" t="s">
        <v>34</v>
      </c>
      <c r="W120" s="0" t="s">
        <v>42</v>
      </c>
      <c r="X120" s="0" t="s">
        <v>7345</v>
      </c>
      <c r="Y120" s="0" t="s">
        <v>7346</v>
      </c>
      <c r="Z120" s="0" t="s">
        <v>7493</v>
      </c>
      <c r="AA120" s="0" t="s">
        <v>7348</v>
      </c>
      <c r="AB120" s="0" t="s">
        <v>231</v>
      </c>
      <c r="AC120" s="0" t="s">
        <v>7349</v>
      </c>
      <c r="AD120" s="0" t="s">
        <v>7514</v>
      </c>
      <c r="AE120" s="0" t="s">
        <v>7351</v>
      </c>
      <c r="AF120" s="0" t="s">
        <v>7374</v>
      </c>
      <c r="AG120" s="0" t="s">
        <v>230</v>
      </c>
    </row>
    <row r="121" customFormat="false" ht="15" hidden="false" customHeight="false" outlineLevel="0" collapsed="false">
      <c r="A121" s="0" t="s">
        <v>7336</v>
      </c>
      <c r="B121" s="0" t="s">
        <v>721</v>
      </c>
      <c r="C121" s="0" t="s">
        <v>722</v>
      </c>
      <c r="D121" s="0" t="s">
        <v>676</v>
      </c>
      <c r="E121" s="0" t="s">
        <v>723</v>
      </c>
      <c r="F121" s="0" t="s">
        <v>696</v>
      </c>
      <c r="G121" s="0" t="s">
        <v>113</v>
      </c>
      <c r="H121" s="0" t="s">
        <v>7503</v>
      </c>
      <c r="I121" s="0" t="s">
        <v>7338</v>
      </c>
      <c r="J121" s="0" t="s">
        <v>675</v>
      </c>
      <c r="K121" s="0" t="s">
        <v>7339</v>
      </c>
      <c r="L121" s="0" t="s">
        <v>7340</v>
      </c>
      <c r="M121" s="0" t="s">
        <v>7492</v>
      </c>
      <c r="N121" s="0" t="s">
        <v>7342</v>
      </c>
      <c r="O121" s="0" t="s">
        <v>682</v>
      </c>
      <c r="P121" s="0" t="s">
        <v>229</v>
      </c>
      <c r="R121" s="0" t="s">
        <v>7343</v>
      </c>
      <c r="S121" s="0" t="s">
        <v>7344</v>
      </c>
      <c r="T121" s="0" t="s">
        <v>228</v>
      </c>
      <c r="V121" s="0" t="s">
        <v>34</v>
      </c>
      <c r="W121" s="0" t="s">
        <v>46</v>
      </c>
      <c r="X121" s="0" t="s">
        <v>7345</v>
      </c>
      <c r="Y121" s="0" t="s">
        <v>7346</v>
      </c>
      <c r="Z121" s="0" t="s">
        <v>7347</v>
      </c>
      <c r="AA121" s="0" t="s">
        <v>7348</v>
      </c>
      <c r="AB121" s="0" t="s">
        <v>231</v>
      </c>
      <c r="AC121" s="0" t="s">
        <v>7349</v>
      </c>
      <c r="AD121" s="0" t="s">
        <v>7500</v>
      </c>
      <c r="AE121" s="0" t="s">
        <v>7501</v>
      </c>
      <c r="AF121" s="0" t="s">
        <v>7352</v>
      </c>
      <c r="AG121" s="0" t="s">
        <v>230</v>
      </c>
    </row>
    <row r="122" customFormat="false" ht="15" hidden="false" customHeight="false" outlineLevel="0" collapsed="false">
      <c r="A122" s="0" t="s">
        <v>7336</v>
      </c>
      <c r="B122" s="0" t="s">
        <v>724</v>
      </c>
      <c r="C122" s="0" t="s">
        <v>725</v>
      </c>
      <c r="D122" s="0" t="s">
        <v>676</v>
      </c>
      <c r="E122" s="0" t="s">
        <v>726</v>
      </c>
      <c r="F122" s="0" t="s">
        <v>727</v>
      </c>
      <c r="G122" s="0" t="s">
        <v>113</v>
      </c>
      <c r="H122" s="0" t="s">
        <v>7515</v>
      </c>
      <c r="I122" s="0" t="s">
        <v>7338</v>
      </c>
      <c r="J122" s="0" t="s">
        <v>675</v>
      </c>
      <c r="K122" s="0" t="s">
        <v>7339</v>
      </c>
      <c r="L122" s="0" t="s">
        <v>7340</v>
      </c>
      <c r="M122" s="0" t="s">
        <v>7492</v>
      </c>
      <c r="N122" s="0" t="s">
        <v>7342</v>
      </c>
      <c r="O122" s="0" t="s">
        <v>682</v>
      </c>
      <c r="P122" s="0" t="s">
        <v>229</v>
      </c>
      <c r="R122" s="0" t="s">
        <v>7343</v>
      </c>
      <c r="S122" s="0" t="s">
        <v>7344</v>
      </c>
      <c r="T122" s="0" t="s">
        <v>228</v>
      </c>
      <c r="V122" s="0" t="s">
        <v>34</v>
      </c>
      <c r="W122" s="0" t="s">
        <v>46</v>
      </c>
      <c r="X122" s="0" t="s">
        <v>7345</v>
      </c>
      <c r="Y122" s="0" t="s">
        <v>7346</v>
      </c>
      <c r="Z122" s="0" t="s">
        <v>7347</v>
      </c>
      <c r="AA122" s="0" t="s">
        <v>7348</v>
      </c>
      <c r="AB122" s="0" t="s">
        <v>231</v>
      </c>
      <c r="AC122" s="0" t="s">
        <v>7349</v>
      </c>
      <c r="AD122" s="0" t="s">
        <v>7500</v>
      </c>
      <c r="AE122" s="0" t="s">
        <v>7501</v>
      </c>
      <c r="AF122" s="0" t="s">
        <v>7352</v>
      </c>
      <c r="AG122" s="0" t="s">
        <v>230</v>
      </c>
    </row>
    <row r="123" customFormat="false" ht="15" hidden="false" customHeight="false" outlineLevel="0" collapsed="false">
      <c r="A123" s="0" t="s">
        <v>7336</v>
      </c>
      <c r="B123" s="0" t="s">
        <v>728</v>
      </c>
      <c r="C123" s="0" t="s">
        <v>729</v>
      </c>
      <c r="D123" s="0" t="s">
        <v>676</v>
      </c>
      <c r="E123" s="0" t="s">
        <v>730</v>
      </c>
      <c r="F123" s="0" t="s">
        <v>716</v>
      </c>
      <c r="G123" s="0" t="s">
        <v>113</v>
      </c>
      <c r="H123" s="0" t="s">
        <v>7511</v>
      </c>
      <c r="I123" s="0" t="s">
        <v>7338</v>
      </c>
      <c r="J123" s="0" t="s">
        <v>675</v>
      </c>
      <c r="K123" s="0" t="s">
        <v>7339</v>
      </c>
      <c r="L123" s="0" t="s">
        <v>7340</v>
      </c>
      <c r="M123" s="0" t="s">
        <v>7492</v>
      </c>
      <c r="N123" s="0" t="s">
        <v>7342</v>
      </c>
      <c r="O123" s="0" t="s">
        <v>682</v>
      </c>
      <c r="P123" s="0" t="s">
        <v>229</v>
      </c>
      <c r="R123" s="0" t="s">
        <v>7343</v>
      </c>
      <c r="S123" s="0" t="s">
        <v>7344</v>
      </c>
      <c r="T123" s="0" t="s">
        <v>228</v>
      </c>
      <c r="V123" s="0" t="s">
        <v>34</v>
      </c>
      <c r="W123" s="0" t="s">
        <v>36</v>
      </c>
      <c r="X123" s="0" t="s">
        <v>7345</v>
      </c>
      <c r="Y123" s="0" t="s">
        <v>7346</v>
      </c>
      <c r="Z123" s="0" t="s">
        <v>7370</v>
      </c>
      <c r="AA123" s="0" t="s">
        <v>7348</v>
      </c>
      <c r="AB123" s="0" t="s">
        <v>231</v>
      </c>
      <c r="AC123" s="0" t="s">
        <v>7349</v>
      </c>
      <c r="AD123" s="0" t="s">
        <v>7516</v>
      </c>
      <c r="AE123" s="0" t="s">
        <v>7351</v>
      </c>
      <c r="AF123" s="0" t="s">
        <v>7352</v>
      </c>
      <c r="AG123" s="0" t="s">
        <v>230</v>
      </c>
    </row>
    <row r="124" customFormat="false" ht="15" hidden="false" customHeight="false" outlineLevel="0" collapsed="false">
      <c r="A124" s="0" t="s">
        <v>7336</v>
      </c>
      <c r="B124" s="0" t="s">
        <v>731</v>
      </c>
      <c r="C124" s="0" t="s">
        <v>732</v>
      </c>
      <c r="D124" s="0" t="s">
        <v>676</v>
      </c>
      <c r="E124" s="0" t="s">
        <v>733</v>
      </c>
      <c r="F124" s="0" t="s">
        <v>734</v>
      </c>
      <c r="G124" s="0" t="s">
        <v>113</v>
      </c>
      <c r="H124" s="0" t="s">
        <v>7517</v>
      </c>
      <c r="I124" s="0" t="s">
        <v>7338</v>
      </c>
      <c r="J124" s="0" t="s">
        <v>675</v>
      </c>
      <c r="K124" s="0" t="s">
        <v>7339</v>
      </c>
      <c r="L124" s="0" t="s">
        <v>7340</v>
      </c>
      <c r="M124" s="0" t="s">
        <v>7492</v>
      </c>
      <c r="N124" s="0" t="s">
        <v>7342</v>
      </c>
      <c r="P124" s="0" t="s">
        <v>229</v>
      </c>
      <c r="R124" s="0" t="s">
        <v>7343</v>
      </c>
      <c r="S124" s="0" t="s">
        <v>7344</v>
      </c>
      <c r="T124" s="0" t="s">
        <v>228</v>
      </c>
      <c r="V124" s="0" t="s">
        <v>34</v>
      </c>
      <c r="W124" s="0" t="s">
        <v>36</v>
      </c>
      <c r="X124" s="0" t="s">
        <v>7345</v>
      </c>
      <c r="Y124" s="0" t="s">
        <v>7346</v>
      </c>
      <c r="Z124" s="0" t="s">
        <v>7347</v>
      </c>
      <c r="AA124" s="0" t="s">
        <v>7348</v>
      </c>
      <c r="AB124" s="0" t="s">
        <v>231</v>
      </c>
      <c r="AC124" s="0" t="s">
        <v>7349</v>
      </c>
      <c r="AD124" s="0" t="s">
        <v>7350</v>
      </c>
      <c r="AE124" s="0" t="s">
        <v>7351</v>
      </c>
      <c r="AF124" s="0" t="s">
        <v>7352</v>
      </c>
      <c r="AG124" s="0" t="s">
        <v>230</v>
      </c>
    </row>
    <row r="125" customFormat="false" ht="15" hidden="false" customHeight="false" outlineLevel="0" collapsed="false">
      <c r="A125" s="0" t="s">
        <v>7336</v>
      </c>
      <c r="B125" s="0" t="s">
        <v>735</v>
      </c>
      <c r="C125" s="0" t="s">
        <v>736</v>
      </c>
      <c r="D125" s="0" t="s">
        <v>676</v>
      </c>
      <c r="E125" s="0" t="s">
        <v>737</v>
      </c>
      <c r="F125" s="0" t="s">
        <v>738</v>
      </c>
      <c r="G125" s="0" t="s">
        <v>113</v>
      </c>
      <c r="H125" s="0" t="s">
        <v>7518</v>
      </c>
      <c r="I125" s="0" t="s">
        <v>7338</v>
      </c>
      <c r="J125" s="0" t="s">
        <v>675</v>
      </c>
      <c r="K125" s="0" t="s">
        <v>7339</v>
      </c>
      <c r="L125" s="0" t="s">
        <v>7340</v>
      </c>
      <c r="M125" s="0" t="s">
        <v>7492</v>
      </c>
      <c r="N125" s="0" t="s">
        <v>7342</v>
      </c>
      <c r="O125" s="0" t="s">
        <v>682</v>
      </c>
      <c r="P125" s="0" t="s">
        <v>229</v>
      </c>
      <c r="S125" s="0" t="s">
        <v>7344</v>
      </c>
      <c r="T125" s="0" t="s">
        <v>58</v>
      </c>
      <c r="V125" s="0" t="s">
        <v>55</v>
      </c>
      <c r="W125" s="0" t="s">
        <v>58</v>
      </c>
      <c r="X125" s="0" t="s">
        <v>7345</v>
      </c>
      <c r="Z125" s="0" t="s">
        <v>7493</v>
      </c>
      <c r="AA125" s="0" t="s">
        <v>682</v>
      </c>
      <c r="AB125" s="0" t="s">
        <v>344</v>
      </c>
      <c r="AC125" s="0" t="s">
        <v>7349</v>
      </c>
      <c r="AD125" s="0" t="s">
        <v>682</v>
      </c>
      <c r="AE125" s="0" t="s">
        <v>57</v>
      </c>
      <c r="AF125" s="0" t="s">
        <v>7374</v>
      </c>
      <c r="AG125" s="0" t="s">
        <v>230</v>
      </c>
    </row>
    <row r="126" customFormat="false" ht="15" hidden="false" customHeight="false" outlineLevel="0" collapsed="false">
      <c r="A126" s="0" t="s">
        <v>7336</v>
      </c>
      <c r="B126" s="0" t="s">
        <v>739</v>
      </c>
      <c r="C126" s="0" t="s">
        <v>740</v>
      </c>
      <c r="D126" s="0" t="s">
        <v>676</v>
      </c>
      <c r="E126" s="0" t="s">
        <v>741</v>
      </c>
      <c r="F126" s="0" t="s">
        <v>674</v>
      </c>
      <c r="G126" s="0" t="s">
        <v>113</v>
      </c>
      <c r="H126" s="0" t="s">
        <v>7491</v>
      </c>
      <c r="I126" s="0" t="s">
        <v>7338</v>
      </c>
      <c r="J126" s="0" t="s">
        <v>675</v>
      </c>
      <c r="K126" s="0" t="s">
        <v>7339</v>
      </c>
      <c r="L126" s="0" t="s">
        <v>7340</v>
      </c>
      <c r="M126" s="0" t="s">
        <v>7492</v>
      </c>
      <c r="N126" s="0" t="s">
        <v>7342</v>
      </c>
      <c r="O126" s="0" t="s">
        <v>682</v>
      </c>
      <c r="P126" s="0" t="s">
        <v>229</v>
      </c>
      <c r="R126" s="0" t="s">
        <v>7343</v>
      </c>
      <c r="S126" s="0" t="s">
        <v>7344</v>
      </c>
      <c r="T126" s="0" t="s">
        <v>228</v>
      </c>
      <c r="V126" s="0" t="s">
        <v>34</v>
      </c>
      <c r="W126" s="0" t="s">
        <v>38</v>
      </c>
      <c r="X126" s="0" t="s">
        <v>7345</v>
      </c>
      <c r="Y126" s="0" t="s">
        <v>7409</v>
      </c>
      <c r="Z126" s="0" t="s">
        <v>7370</v>
      </c>
      <c r="AA126" s="0" t="s">
        <v>7504</v>
      </c>
      <c r="AB126" s="0" t="s">
        <v>231</v>
      </c>
      <c r="AC126" s="0" t="s">
        <v>7349</v>
      </c>
      <c r="AD126" s="0" t="s">
        <v>7505</v>
      </c>
      <c r="AE126" s="0" t="s">
        <v>7506</v>
      </c>
      <c r="AF126" s="0" t="s">
        <v>7374</v>
      </c>
      <c r="AG126" s="0" t="s">
        <v>230</v>
      </c>
    </row>
    <row r="127" customFormat="false" ht="15" hidden="false" customHeight="false" outlineLevel="0" collapsed="false">
      <c r="A127" s="0" t="s">
        <v>7336</v>
      </c>
      <c r="B127" s="0" t="s">
        <v>742</v>
      </c>
      <c r="C127" s="0" t="s">
        <v>743</v>
      </c>
      <c r="D127" s="0" t="s">
        <v>676</v>
      </c>
      <c r="E127" s="0" t="s">
        <v>744</v>
      </c>
      <c r="F127" s="0" t="s">
        <v>674</v>
      </c>
      <c r="G127" s="0" t="s">
        <v>113</v>
      </c>
      <c r="H127" s="0" t="s">
        <v>7491</v>
      </c>
      <c r="I127" s="0" t="s">
        <v>7338</v>
      </c>
      <c r="J127" s="0" t="s">
        <v>675</v>
      </c>
      <c r="K127" s="0" t="s">
        <v>7339</v>
      </c>
      <c r="L127" s="0" t="s">
        <v>7340</v>
      </c>
      <c r="M127" s="0" t="s">
        <v>7492</v>
      </c>
      <c r="N127" s="0" t="s">
        <v>7342</v>
      </c>
      <c r="O127" s="0" t="s">
        <v>682</v>
      </c>
      <c r="P127" s="0" t="s">
        <v>229</v>
      </c>
      <c r="R127" s="0" t="s">
        <v>7343</v>
      </c>
      <c r="S127" s="0" t="s">
        <v>7344</v>
      </c>
      <c r="T127" s="0" t="s">
        <v>228</v>
      </c>
      <c r="V127" s="0" t="s">
        <v>34</v>
      </c>
      <c r="W127" s="0" t="s">
        <v>36</v>
      </c>
      <c r="X127" s="0" t="s">
        <v>7345</v>
      </c>
      <c r="Y127" s="0" t="s">
        <v>7346</v>
      </c>
      <c r="Z127" s="0" t="s">
        <v>7370</v>
      </c>
      <c r="AA127" s="0" t="s">
        <v>7348</v>
      </c>
      <c r="AB127" s="0" t="s">
        <v>231</v>
      </c>
      <c r="AC127" s="0" t="s">
        <v>7349</v>
      </c>
      <c r="AD127" s="0" t="s">
        <v>7512</v>
      </c>
      <c r="AE127" s="0" t="s">
        <v>7351</v>
      </c>
      <c r="AF127" s="0" t="s">
        <v>7352</v>
      </c>
      <c r="AG127" s="0" t="s">
        <v>230</v>
      </c>
    </row>
    <row r="128" customFormat="false" ht="15" hidden="false" customHeight="false" outlineLevel="0" collapsed="false">
      <c r="A128" s="0" t="s">
        <v>7336</v>
      </c>
      <c r="B128" s="0" t="s">
        <v>745</v>
      </c>
      <c r="C128" s="0" t="s">
        <v>746</v>
      </c>
      <c r="D128" s="0" t="s">
        <v>676</v>
      </c>
      <c r="E128" s="0" t="s">
        <v>747</v>
      </c>
      <c r="F128" s="0" t="s">
        <v>748</v>
      </c>
      <c r="G128" s="0" t="s">
        <v>113</v>
      </c>
      <c r="H128" s="0" t="s">
        <v>7519</v>
      </c>
      <c r="I128" s="0" t="s">
        <v>7338</v>
      </c>
      <c r="J128" s="0" t="s">
        <v>675</v>
      </c>
      <c r="K128" s="0" t="s">
        <v>7339</v>
      </c>
      <c r="L128" s="0" t="s">
        <v>7340</v>
      </c>
      <c r="M128" s="0" t="s">
        <v>7492</v>
      </c>
      <c r="N128" s="0" t="s">
        <v>7342</v>
      </c>
      <c r="O128" s="0" t="s">
        <v>682</v>
      </c>
      <c r="P128" s="0" t="s">
        <v>229</v>
      </c>
      <c r="R128" s="0" t="s">
        <v>7343</v>
      </c>
      <c r="S128" s="0" t="s">
        <v>7344</v>
      </c>
      <c r="T128" s="0" t="s">
        <v>228</v>
      </c>
      <c r="V128" s="0" t="s">
        <v>34</v>
      </c>
      <c r="W128" s="0" t="s">
        <v>36</v>
      </c>
      <c r="X128" s="0" t="s">
        <v>7345</v>
      </c>
      <c r="Y128" s="0" t="s">
        <v>7346</v>
      </c>
      <c r="Z128" s="0" t="s">
        <v>7370</v>
      </c>
      <c r="AA128" s="0" t="s">
        <v>7348</v>
      </c>
      <c r="AB128" s="0" t="s">
        <v>231</v>
      </c>
      <c r="AC128" s="0" t="s">
        <v>7349</v>
      </c>
      <c r="AD128" s="0" t="s">
        <v>7512</v>
      </c>
      <c r="AE128" s="0" t="s">
        <v>7351</v>
      </c>
      <c r="AF128" s="0" t="s">
        <v>7352</v>
      </c>
      <c r="AG128" s="0" t="s">
        <v>230</v>
      </c>
    </row>
    <row r="129" customFormat="false" ht="15" hidden="false" customHeight="false" outlineLevel="0" collapsed="false">
      <c r="A129" s="0" t="s">
        <v>7336</v>
      </c>
      <c r="B129" s="0" t="s">
        <v>749</v>
      </c>
      <c r="C129" s="0" t="s">
        <v>750</v>
      </c>
      <c r="D129" s="0" t="s">
        <v>676</v>
      </c>
      <c r="E129" s="0" t="s">
        <v>751</v>
      </c>
      <c r="F129" s="0" t="s">
        <v>748</v>
      </c>
      <c r="G129" s="0" t="s">
        <v>113</v>
      </c>
      <c r="H129" s="0" t="s">
        <v>7519</v>
      </c>
      <c r="I129" s="0" t="s">
        <v>7338</v>
      </c>
      <c r="J129" s="0" t="s">
        <v>675</v>
      </c>
      <c r="K129" s="0" t="s">
        <v>7339</v>
      </c>
      <c r="L129" s="0" t="s">
        <v>7340</v>
      </c>
      <c r="M129" s="0" t="s">
        <v>7492</v>
      </c>
      <c r="N129" s="0" t="s">
        <v>7342</v>
      </c>
      <c r="P129" s="0" t="s">
        <v>229</v>
      </c>
      <c r="R129" s="0" t="s">
        <v>7343</v>
      </c>
      <c r="S129" s="0" t="s">
        <v>7344</v>
      </c>
      <c r="T129" s="0" t="s">
        <v>58</v>
      </c>
      <c r="V129" s="0" t="s">
        <v>55</v>
      </c>
      <c r="W129" s="0" t="s">
        <v>58</v>
      </c>
      <c r="X129" s="0" t="s">
        <v>7345</v>
      </c>
      <c r="Z129" s="0" t="s">
        <v>7493</v>
      </c>
      <c r="AA129" s="0" t="s">
        <v>682</v>
      </c>
      <c r="AB129" s="0" t="s">
        <v>344</v>
      </c>
      <c r="AC129" s="0" t="s">
        <v>7349</v>
      </c>
      <c r="AD129" s="0" t="s">
        <v>682</v>
      </c>
      <c r="AE129" s="0" t="s">
        <v>57</v>
      </c>
      <c r="AF129" s="0" t="s">
        <v>7374</v>
      </c>
      <c r="AG129" s="0" t="s">
        <v>230</v>
      </c>
    </row>
    <row r="130" customFormat="false" ht="15" hidden="false" customHeight="false" outlineLevel="0" collapsed="false">
      <c r="A130" s="0" t="s">
        <v>7336</v>
      </c>
      <c r="B130" s="0" t="s">
        <v>752</v>
      </c>
      <c r="C130" s="0" t="s">
        <v>753</v>
      </c>
      <c r="D130" s="0" t="s">
        <v>676</v>
      </c>
      <c r="E130" s="0" t="s">
        <v>754</v>
      </c>
      <c r="F130" s="0" t="s">
        <v>748</v>
      </c>
      <c r="G130" s="0" t="s">
        <v>113</v>
      </c>
      <c r="H130" s="0" t="s">
        <v>7519</v>
      </c>
      <c r="I130" s="0" t="s">
        <v>7338</v>
      </c>
      <c r="J130" s="0" t="s">
        <v>675</v>
      </c>
      <c r="K130" s="0" t="s">
        <v>7339</v>
      </c>
      <c r="L130" s="0" t="s">
        <v>7340</v>
      </c>
      <c r="M130" s="0" t="s">
        <v>7492</v>
      </c>
      <c r="N130" s="0" t="s">
        <v>7342</v>
      </c>
      <c r="O130" s="0" t="s">
        <v>682</v>
      </c>
      <c r="P130" s="0" t="s">
        <v>229</v>
      </c>
      <c r="R130" s="0" t="s">
        <v>7343</v>
      </c>
      <c r="S130" s="0" t="s">
        <v>7344</v>
      </c>
      <c r="T130" s="0" t="s">
        <v>228</v>
      </c>
      <c r="V130" s="0" t="s">
        <v>34</v>
      </c>
      <c r="W130" s="0" t="s">
        <v>38</v>
      </c>
      <c r="X130" s="0" t="s">
        <v>7345</v>
      </c>
      <c r="Y130" s="0" t="s">
        <v>7409</v>
      </c>
      <c r="Z130" s="0" t="s">
        <v>7370</v>
      </c>
      <c r="AA130" s="0" t="s">
        <v>7504</v>
      </c>
      <c r="AB130" s="0" t="s">
        <v>231</v>
      </c>
      <c r="AC130" s="0" t="s">
        <v>7349</v>
      </c>
      <c r="AD130" s="0" t="s">
        <v>7505</v>
      </c>
      <c r="AE130" s="0" t="s">
        <v>7506</v>
      </c>
      <c r="AF130" s="0" t="s">
        <v>7374</v>
      </c>
      <c r="AG130" s="0" t="s">
        <v>230</v>
      </c>
    </row>
    <row r="131" customFormat="false" ht="15" hidden="false" customHeight="false" outlineLevel="0" collapsed="false">
      <c r="A131" s="0" t="s">
        <v>7336</v>
      </c>
      <c r="B131" s="0" t="s">
        <v>755</v>
      </c>
      <c r="C131" s="0" t="s">
        <v>756</v>
      </c>
      <c r="D131" s="0" t="s">
        <v>676</v>
      </c>
      <c r="E131" s="0" t="s">
        <v>757</v>
      </c>
      <c r="F131" s="0" t="s">
        <v>748</v>
      </c>
      <c r="G131" s="0" t="s">
        <v>113</v>
      </c>
      <c r="H131" s="0" t="s">
        <v>7519</v>
      </c>
      <c r="I131" s="0" t="s">
        <v>7338</v>
      </c>
      <c r="J131" s="0" t="s">
        <v>675</v>
      </c>
      <c r="K131" s="0" t="s">
        <v>7339</v>
      </c>
      <c r="L131" s="0" t="s">
        <v>7340</v>
      </c>
      <c r="M131" s="0" t="s">
        <v>7492</v>
      </c>
      <c r="N131" s="0" t="s">
        <v>7342</v>
      </c>
      <c r="O131" s="0" t="s">
        <v>682</v>
      </c>
      <c r="P131" s="0" t="s">
        <v>229</v>
      </c>
      <c r="R131" s="0" t="s">
        <v>7343</v>
      </c>
      <c r="S131" s="0" t="s">
        <v>7344</v>
      </c>
      <c r="T131" s="0" t="s">
        <v>228</v>
      </c>
      <c r="V131" s="0" t="s">
        <v>34</v>
      </c>
      <c r="W131" s="0" t="s">
        <v>36</v>
      </c>
      <c r="X131" s="0" t="s">
        <v>7345</v>
      </c>
      <c r="Y131" s="0" t="s">
        <v>7346</v>
      </c>
      <c r="Z131" s="0" t="s">
        <v>7370</v>
      </c>
      <c r="AA131" s="0" t="s">
        <v>7348</v>
      </c>
      <c r="AB131" s="0" t="s">
        <v>231</v>
      </c>
      <c r="AC131" s="0" t="s">
        <v>7349</v>
      </c>
      <c r="AD131" s="0" t="s">
        <v>7512</v>
      </c>
      <c r="AE131" s="0" t="s">
        <v>7351</v>
      </c>
      <c r="AF131" s="0" t="s">
        <v>7352</v>
      </c>
      <c r="AG131" s="0" t="s">
        <v>230</v>
      </c>
    </row>
    <row r="132" customFormat="false" ht="15" hidden="false" customHeight="false" outlineLevel="0" collapsed="false">
      <c r="A132" s="0" t="s">
        <v>7336</v>
      </c>
      <c r="B132" s="0" t="s">
        <v>758</v>
      </c>
      <c r="C132" s="0" t="s">
        <v>759</v>
      </c>
      <c r="D132" s="0" t="s">
        <v>676</v>
      </c>
      <c r="E132" s="0" t="s">
        <v>760</v>
      </c>
      <c r="F132" s="0" t="s">
        <v>761</v>
      </c>
      <c r="G132" s="0" t="s">
        <v>113</v>
      </c>
      <c r="H132" s="0" t="s">
        <v>7520</v>
      </c>
      <c r="I132" s="0" t="s">
        <v>7338</v>
      </c>
      <c r="J132" s="0" t="s">
        <v>675</v>
      </c>
      <c r="K132" s="0" t="s">
        <v>7339</v>
      </c>
      <c r="L132" s="0" t="s">
        <v>7340</v>
      </c>
      <c r="M132" s="0" t="s">
        <v>7492</v>
      </c>
      <c r="N132" s="0" t="s">
        <v>7342</v>
      </c>
      <c r="P132" s="0" t="s">
        <v>229</v>
      </c>
      <c r="R132" s="0" t="s">
        <v>7343</v>
      </c>
      <c r="S132" s="0" t="s">
        <v>7344</v>
      </c>
      <c r="T132" s="0" t="s">
        <v>228</v>
      </c>
      <c r="V132" s="0" t="s">
        <v>34</v>
      </c>
      <c r="W132" s="0" t="s">
        <v>46</v>
      </c>
      <c r="X132" s="0" t="s">
        <v>7345</v>
      </c>
      <c r="Y132" s="0" t="s">
        <v>7346</v>
      </c>
      <c r="Z132" s="0" t="s">
        <v>7347</v>
      </c>
      <c r="AA132" s="0" t="s">
        <v>7348</v>
      </c>
      <c r="AB132" s="0" t="s">
        <v>231</v>
      </c>
      <c r="AC132" s="0" t="s">
        <v>7349</v>
      </c>
      <c r="AD132" s="0" t="s">
        <v>7500</v>
      </c>
      <c r="AE132" s="0" t="s">
        <v>7501</v>
      </c>
      <c r="AF132" s="0" t="s">
        <v>7352</v>
      </c>
      <c r="AG132" s="0" t="s">
        <v>230</v>
      </c>
    </row>
    <row r="133" customFormat="false" ht="15" hidden="false" customHeight="false" outlineLevel="0" collapsed="false">
      <c r="A133" s="0" t="s">
        <v>7336</v>
      </c>
      <c r="B133" s="0" t="s">
        <v>762</v>
      </c>
      <c r="C133" s="0" t="s">
        <v>763</v>
      </c>
      <c r="D133" s="0" t="s">
        <v>676</v>
      </c>
      <c r="E133" s="0" t="s">
        <v>764</v>
      </c>
      <c r="F133" s="0" t="s">
        <v>761</v>
      </c>
      <c r="G133" s="0" t="s">
        <v>113</v>
      </c>
      <c r="H133" s="0" t="s">
        <v>7520</v>
      </c>
      <c r="I133" s="0" t="s">
        <v>7338</v>
      </c>
      <c r="J133" s="0" t="s">
        <v>675</v>
      </c>
      <c r="K133" s="0" t="s">
        <v>7339</v>
      </c>
      <c r="L133" s="0" t="s">
        <v>7340</v>
      </c>
      <c r="M133" s="0" t="s">
        <v>7492</v>
      </c>
      <c r="N133" s="0" t="s">
        <v>7342</v>
      </c>
      <c r="O133" s="0" t="s">
        <v>682</v>
      </c>
      <c r="P133" s="0" t="s">
        <v>229</v>
      </c>
      <c r="R133" s="0" t="s">
        <v>7343</v>
      </c>
      <c r="S133" s="0" t="s">
        <v>7344</v>
      </c>
      <c r="T133" s="0" t="s">
        <v>228</v>
      </c>
      <c r="V133" s="0" t="s">
        <v>34</v>
      </c>
      <c r="W133" s="0" t="s">
        <v>48</v>
      </c>
      <c r="X133" s="0" t="s">
        <v>7345</v>
      </c>
      <c r="Y133" s="0" t="s">
        <v>7346</v>
      </c>
      <c r="Z133" s="0" t="s">
        <v>7370</v>
      </c>
      <c r="AA133" s="0" t="s">
        <v>7348</v>
      </c>
      <c r="AB133" s="0" t="s">
        <v>231</v>
      </c>
      <c r="AC133" s="0" t="s">
        <v>7349</v>
      </c>
      <c r="AD133" s="0" t="s">
        <v>7512</v>
      </c>
      <c r="AE133" s="0" t="s">
        <v>7351</v>
      </c>
      <c r="AF133" s="0" t="s">
        <v>7352</v>
      </c>
      <c r="AG133" s="0" t="s">
        <v>230</v>
      </c>
    </row>
    <row r="134" customFormat="false" ht="15" hidden="false" customHeight="false" outlineLevel="0" collapsed="false">
      <c r="A134" s="0" t="s">
        <v>7336</v>
      </c>
      <c r="B134" s="0" t="s">
        <v>765</v>
      </c>
      <c r="C134" s="0" t="s">
        <v>766</v>
      </c>
      <c r="D134" s="0" t="s">
        <v>676</v>
      </c>
      <c r="E134" s="0" t="s">
        <v>767</v>
      </c>
      <c r="F134" s="0" t="s">
        <v>768</v>
      </c>
      <c r="G134" s="0" t="s">
        <v>113</v>
      </c>
      <c r="H134" s="0" t="s">
        <v>7521</v>
      </c>
      <c r="I134" s="0" t="s">
        <v>7338</v>
      </c>
      <c r="J134" s="0" t="s">
        <v>675</v>
      </c>
      <c r="K134" s="0" t="s">
        <v>7339</v>
      </c>
      <c r="L134" s="0" t="s">
        <v>7340</v>
      </c>
      <c r="M134" s="0" t="s">
        <v>7492</v>
      </c>
      <c r="N134" s="0" t="s">
        <v>7342</v>
      </c>
      <c r="O134" s="0" t="s">
        <v>682</v>
      </c>
      <c r="P134" s="0" t="s">
        <v>229</v>
      </c>
      <c r="R134" s="0" t="s">
        <v>7343</v>
      </c>
      <c r="S134" s="0" t="s">
        <v>7344</v>
      </c>
      <c r="T134" s="0" t="s">
        <v>228</v>
      </c>
      <c r="V134" s="0" t="s">
        <v>34</v>
      </c>
      <c r="W134" s="0" t="s">
        <v>36</v>
      </c>
      <c r="X134" s="0" t="s">
        <v>7345</v>
      </c>
      <c r="Y134" s="0" t="s">
        <v>7346</v>
      </c>
      <c r="Z134" s="0" t="s">
        <v>7347</v>
      </c>
      <c r="AA134" s="0" t="s">
        <v>7348</v>
      </c>
      <c r="AB134" s="0" t="s">
        <v>231</v>
      </c>
      <c r="AC134" s="0" t="s">
        <v>7349</v>
      </c>
      <c r="AD134" s="0" t="s">
        <v>7350</v>
      </c>
      <c r="AE134" s="0" t="s">
        <v>7351</v>
      </c>
      <c r="AF134" s="0" t="s">
        <v>7352</v>
      </c>
      <c r="AG134" s="0" t="s">
        <v>230</v>
      </c>
    </row>
    <row r="135" customFormat="false" ht="15" hidden="false" customHeight="false" outlineLevel="0" collapsed="false">
      <c r="A135" s="0" t="s">
        <v>7336</v>
      </c>
      <c r="B135" s="0" t="s">
        <v>769</v>
      </c>
      <c r="C135" s="0" t="s">
        <v>770</v>
      </c>
      <c r="D135" s="0" t="s">
        <v>676</v>
      </c>
      <c r="E135" s="0" t="s">
        <v>771</v>
      </c>
      <c r="F135" s="0" t="s">
        <v>768</v>
      </c>
      <c r="G135" s="0" t="s">
        <v>113</v>
      </c>
      <c r="H135" s="0" t="s">
        <v>7521</v>
      </c>
      <c r="I135" s="0" t="s">
        <v>7338</v>
      </c>
      <c r="J135" s="0" t="s">
        <v>675</v>
      </c>
      <c r="K135" s="0" t="s">
        <v>7339</v>
      </c>
      <c r="L135" s="0" t="s">
        <v>7340</v>
      </c>
      <c r="M135" s="0" t="s">
        <v>7492</v>
      </c>
      <c r="N135" s="0" t="s">
        <v>7342</v>
      </c>
      <c r="O135" s="0" t="s">
        <v>682</v>
      </c>
      <c r="P135" s="0" t="s">
        <v>229</v>
      </c>
      <c r="R135" s="0" t="s">
        <v>7343</v>
      </c>
      <c r="S135" s="0" t="s">
        <v>7344</v>
      </c>
      <c r="T135" s="0" t="s">
        <v>228</v>
      </c>
      <c r="V135" s="0" t="s">
        <v>34</v>
      </c>
      <c r="W135" s="0" t="s">
        <v>46</v>
      </c>
      <c r="X135" s="0" t="s">
        <v>7345</v>
      </c>
      <c r="Y135" s="0" t="s">
        <v>7346</v>
      </c>
      <c r="Z135" s="0" t="s">
        <v>7347</v>
      </c>
      <c r="AA135" s="0" t="s">
        <v>7348</v>
      </c>
      <c r="AB135" s="0" t="s">
        <v>231</v>
      </c>
      <c r="AC135" s="0" t="s">
        <v>7349</v>
      </c>
      <c r="AD135" s="0" t="s">
        <v>7500</v>
      </c>
      <c r="AE135" s="0" t="s">
        <v>7501</v>
      </c>
      <c r="AF135" s="0" t="s">
        <v>7352</v>
      </c>
      <c r="AG135" s="0" t="s">
        <v>230</v>
      </c>
    </row>
    <row r="136" customFormat="false" ht="15" hidden="false" customHeight="false" outlineLevel="0" collapsed="false">
      <c r="A136" s="0" t="s">
        <v>7336</v>
      </c>
      <c r="B136" s="0" t="s">
        <v>772</v>
      </c>
      <c r="C136" s="0" t="s">
        <v>773</v>
      </c>
      <c r="D136" s="0" t="s">
        <v>676</v>
      </c>
      <c r="E136" s="0" t="s">
        <v>774</v>
      </c>
      <c r="F136" s="0" t="s">
        <v>775</v>
      </c>
      <c r="G136" s="0" t="s">
        <v>113</v>
      </c>
      <c r="H136" s="0" t="s">
        <v>7522</v>
      </c>
      <c r="I136" s="0" t="s">
        <v>7338</v>
      </c>
      <c r="J136" s="0" t="s">
        <v>675</v>
      </c>
      <c r="K136" s="0" t="s">
        <v>7339</v>
      </c>
      <c r="L136" s="0" t="s">
        <v>7340</v>
      </c>
      <c r="M136" s="0" t="s">
        <v>7492</v>
      </c>
      <c r="N136" s="0" t="s">
        <v>7342</v>
      </c>
      <c r="O136" s="0" t="s">
        <v>682</v>
      </c>
      <c r="P136" s="0" t="s">
        <v>229</v>
      </c>
      <c r="R136" s="0" t="s">
        <v>7343</v>
      </c>
      <c r="S136" s="0" t="s">
        <v>7344</v>
      </c>
      <c r="T136" s="0" t="s">
        <v>228</v>
      </c>
      <c r="V136" s="0" t="s">
        <v>34</v>
      </c>
      <c r="W136" s="0" t="s">
        <v>38</v>
      </c>
      <c r="X136" s="0" t="s">
        <v>7345</v>
      </c>
      <c r="Y136" s="0" t="s">
        <v>7409</v>
      </c>
      <c r="Z136" s="0" t="s">
        <v>7370</v>
      </c>
      <c r="AA136" s="0" t="s">
        <v>7504</v>
      </c>
      <c r="AB136" s="0" t="s">
        <v>231</v>
      </c>
      <c r="AC136" s="0" t="s">
        <v>7349</v>
      </c>
      <c r="AD136" s="0" t="s">
        <v>7505</v>
      </c>
      <c r="AE136" s="0" t="s">
        <v>7506</v>
      </c>
      <c r="AF136" s="0" t="s">
        <v>7374</v>
      </c>
      <c r="AG136" s="0" t="s">
        <v>230</v>
      </c>
    </row>
    <row r="137" customFormat="false" ht="15" hidden="false" customHeight="false" outlineLevel="0" collapsed="false">
      <c r="A137" s="0" t="s">
        <v>7336</v>
      </c>
      <c r="B137" s="0" t="s">
        <v>776</v>
      </c>
      <c r="C137" s="0" t="s">
        <v>777</v>
      </c>
      <c r="D137" s="0" t="s">
        <v>676</v>
      </c>
      <c r="E137" s="0" t="s">
        <v>778</v>
      </c>
      <c r="F137" s="0" t="s">
        <v>775</v>
      </c>
      <c r="G137" s="0" t="s">
        <v>113</v>
      </c>
      <c r="H137" s="0" t="s">
        <v>7522</v>
      </c>
      <c r="I137" s="0" t="s">
        <v>7338</v>
      </c>
      <c r="J137" s="0" t="s">
        <v>675</v>
      </c>
      <c r="K137" s="0" t="s">
        <v>7339</v>
      </c>
      <c r="L137" s="0" t="s">
        <v>7340</v>
      </c>
      <c r="M137" s="0" t="s">
        <v>7492</v>
      </c>
      <c r="N137" s="0" t="s">
        <v>7342</v>
      </c>
      <c r="O137" s="0" t="s">
        <v>682</v>
      </c>
      <c r="P137" s="0" t="s">
        <v>229</v>
      </c>
      <c r="R137" s="0" t="s">
        <v>7343</v>
      </c>
      <c r="S137" s="0" t="s">
        <v>7344</v>
      </c>
      <c r="T137" s="0" t="s">
        <v>228</v>
      </c>
      <c r="V137" s="0" t="s">
        <v>34</v>
      </c>
      <c r="W137" s="0" t="s">
        <v>36</v>
      </c>
      <c r="X137" s="0" t="s">
        <v>7345</v>
      </c>
      <c r="Y137" s="0" t="s">
        <v>7346</v>
      </c>
      <c r="Z137" s="0" t="s">
        <v>7370</v>
      </c>
      <c r="AA137" s="0" t="s">
        <v>7348</v>
      </c>
      <c r="AB137" s="0" t="s">
        <v>231</v>
      </c>
      <c r="AC137" s="0" t="s">
        <v>7349</v>
      </c>
      <c r="AD137" s="0" t="s">
        <v>7512</v>
      </c>
      <c r="AE137" s="0" t="s">
        <v>7351</v>
      </c>
      <c r="AF137" s="0" t="s">
        <v>7352</v>
      </c>
      <c r="AG137" s="0" t="s">
        <v>230</v>
      </c>
    </row>
    <row r="138" customFormat="false" ht="15" hidden="false" customHeight="false" outlineLevel="0" collapsed="false">
      <c r="A138" s="0" t="s">
        <v>7336</v>
      </c>
      <c r="B138" s="0" t="s">
        <v>779</v>
      </c>
      <c r="C138" s="0" t="s">
        <v>780</v>
      </c>
      <c r="D138" s="0" t="s">
        <v>676</v>
      </c>
      <c r="E138" s="0" t="s">
        <v>781</v>
      </c>
      <c r="F138" s="0" t="s">
        <v>782</v>
      </c>
      <c r="G138" s="0" t="s">
        <v>113</v>
      </c>
      <c r="H138" s="0" t="s">
        <v>7523</v>
      </c>
      <c r="I138" s="0" t="s">
        <v>7338</v>
      </c>
      <c r="J138" s="0" t="s">
        <v>675</v>
      </c>
      <c r="K138" s="0" t="s">
        <v>7339</v>
      </c>
      <c r="L138" s="0" t="s">
        <v>7340</v>
      </c>
      <c r="M138" s="0" t="s">
        <v>7492</v>
      </c>
      <c r="N138" s="0" t="s">
        <v>7342</v>
      </c>
      <c r="O138" s="0" t="s">
        <v>682</v>
      </c>
      <c r="P138" s="0" t="s">
        <v>229</v>
      </c>
      <c r="R138" s="0" t="s">
        <v>7343</v>
      </c>
      <c r="S138" s="0" t="s">
        <v>7344</v>
      </c>
      <c r="T138" s="0" t="s">
        <v>228</v>
      </c>
      <c r="V138" s="0" t="s">
        <v>34</v>
      </c>
      <c r="W138" s="0" t="s">
        <v>36</v>
      </c>
      <c r="X138" s="0" t="s">
        <v>7345</v>
      </c>
      <c r="Y138" s="0" t="s">
        <v>7346</v>
      </c>
      <c r="Z138" s="0" t="s">
        <v>7370</v>
      </c>
      <c r="AA138" s="0" t="s">
        <v>7348</v>
      </c>
      <c r="AB138" s="0" t="s">
        <v>231</v>
      </c>
      <c r="AC138" s="0" t="s">
        <v>7349</v>
      </c>
      <c r="AD138" s="0" t="s">
        <v>7512</v>
      </c>
      <c r="AE138" s="0" t="s">
        <v>7351</v>
      </c>
      <c r="AF138" s="0" t="s">
        <v>7352</v>
      </c>
      <c r="AG138" s="0" t="s">
        <v>230</v>
      </c>
    </row>
    <row r="139" customFormat="false" ht="15" hidden="false" customHeight="false" outlineLevel="0" collapsed="false">
      <c r="A139" s="0" t="s">
        <v>7336</v>
      </c>
      <c r="B139" s="0" t="s">
        <v>783</v>
      </c>
      <c r="C139" s="0" t="s">
        <v>784</v>
      </c>
      <c r="D139" s="0" t="s">
        <v>676</v>
      </c>
      <c r="E139" s="0" t="s">
        <v>785</v>
      </c>
      <c r="F139" s="0" t="s">
        <v>782</v>
      </c>
      <c r="G139" s="0" t="s">
        <v>113</v>
      </c>
      <c r="H139" s="0" t="s">
        <v>7523</v>
      </c>
      <c r="I139" s="0" t="s">
        <v>7338</v>
      </c>
      <c r="J139" s="0" t="s">
        <v>675</v>
      </c>
      <c r="K139" s="0" t="s">
        <v>7339</v>
      </c>
      <c r="L139" s="0" t="s">
        <v>7340</v>
      </c>
      <c r="M139" s="0" t="s">
        <v>7492</v>
      </c>
      <c r="N139" s="0" t="s">
        <v>7342</v>
      </c>
      <c r="O139" s="0" t="s">
        <v>682</v>
      </c>
      <c r="P139" s="0" t="s">
        <v>229</v>
      </c>
      <c r="R139" s="0" t="s">
        <v>7343</v>
      </c>
      <c r="S139" s="0" t="s">
        <v>7344</v>
      </c>
      <c r="T139" s="0" t="s">
        <v>228</v>
      </c>
      <c r="V139" s="0" t="s">
        <v>34</v>
      </c>
      <c r="W139" s="0" t="s">
        <v>38</v>
      </c>
      <c r="X139" s="0" t="s">
        <v>7345</v>
      </c>
      <c r="Y139" s="0" t="s">
        <v>7409</v>
      </c>
      <c r="Z139" s="0" t="s">
        <v>7370</v>
      </c>
      <c r="AA139" s="0" t="s">
        <v>7504</v>
      </c>
      <c r="AB139" s="0" t="s">
        <v>231</v>
      </c>
      <c r="AC139" s="0" t="s">
        <v>7349</v>
      </c>
      <c r="AD139" s="0" t="s">
        <v>7505</v>
      </c>
      <c r="AE139" s="0" t="s">
        <v>7506</v>
      </c>
      <c r="AF139" s="0" t="s">
        <v>7374</v>
      </c>
      <c r="AG139" s="0" t="s">
        <v>230</v>
      </c>
    </row>
    <row r="140" customFormat="false" ht="15" hidden="false" customHeight="false" outlineLevel="0" collapsed="false">
      <c r="A140" s="0" t="s">
        <v>7336</v>
      </c>
      <c r="B140" s="0" t="s">
        <v>786</v>
      </c>
      <c r="C140" s="0" t="s">
        <v>787</v>
      </c>
      <c r="D140" s="0" t="s">
        <v>676</v>
      </c>
      <c r="E140" s="0" t="s">
        <v>788</v>
      </c>
      <c r="F140" s="0" t="s">
        <v>782</v>
      </c>
      <c r="G140" s="0" t="s">
        <v>113</v>
      </c>
      <c r="H140" s="0" t="s">
        <v>7523</v>
      </c>
      <c r="I140" s="0" t="s">
        <v>7338</v>
      </c>
      <c r="J140" s="0" t="s">
        <v>675</v>
      </c>
      <c r="K140" s="0" t="s">
        <v>7339</v>
      </c>
      <c r="L140" s="0" t="s">
        <v>7340</v>
      </c>
      <c r="M140" s="0" t="s">
        <v>7492</v>
      </c>
      <c r="N140" s="0" t="s">
        <v>7342</v>
      </c>
      <c r="O140" s="0" t="s">
        <v>682</v>
      </c>
      <c r="P140" s="0" t="s">
        <v>229</v>
      </c>
      <c r="R140" s="0" t="s">
        <v>7343</v>
      </c>
      <c r="S140" s="0" t="s">
        <v>7344</v>
      </c>
      <c r="T140" s="0" t="s">
        <v>228</v>
      </c>
      <c r="V140" s="0" t="s">
        <v>34</v>
      </c>
      <c r="W140" s="0" t="s">
        <v>36</v>
      </c>
      <c r="X140" s="0" t="s">
        <v>7345</v>
      </c>
      <c r="Y140" s="0" t="s">
        <v>7346</v>
      </c>
      <c r="Z140" s="0" t="s">
        <v>7370</v>
      </c>
      <c r="AA140" s="0" t="s">
        <v>7348</v>
      </c>
      <c r="AB140" s="0" t="s">
        <v>231</v>
      </c>
      <c r="AC140" s="0" t="s">
        <v>7349</v>
      </c>
      <c r="AD140" s="0" t="s">
        <v>7512</v>
      </c>
      <c r="AE140" s="0" t="s">
        <v>7351</v>
      </c>
      <c r="AF140" s="0" t="s">
        <v>7352</v>
      </c>
      <c r="AG140" s="0" t="s">
        <v>230</v>
      </c>
    </row>
    <row r="141" customFormat="false" ht="15" hidden="false" customHeight="false" outlineLevel="0" collapsed="false">
      <c r="A141" s="0" t="s">
        <v>7336</v>
      </c>
      <c r="B141" s="0" t="s">
        <v>789</v>
      </c>
      <c r="C141" s="0" t="s">
        <v>790</v>
      </c>
      <c r="D141" s="0" t="s">
        <v>676</v>
      </c>
      <c r="E141" s="0" t="s">
        <v>791</v>
      </c>
      <c r="F141" s="0" t="s">
        <v>792</v>
      </c>
      <c r="G141" s="0" t="s">
        <v>113</v>
      </c>
      <c r="H141" s="0" t="s">
        <v>7524</v>
      </c>
      <c r="I141" s="0" t="s">
        <v>7338</v>
      </c>
      <c r="J141" s="0" t="s">
        <v>675</v>
      </c>
      <c r="K141" s="0" t="s">
        <v>7339</v>
      </c>
      <c r="L141" s="0" t="s">
        <v>7340</v>
      </c>
      <c r="M141" s="0" t="s">
        <v>7492</v>
      </c>
      <c r="N141" s="0" t="s">
        <v>7342</v>
      </c>
      <c r="O141" s="0" t="s">
        <v>682</v>
      </c>
      <c r="P141" s="0" t="s">
        <v>229</v>
      </c>
      <c r="R141" s="0" t="s">
        <v>7343</v>
      </c>
      <c r="S141" s="0" t="s">
        <v>7344</v>
      </c>
      <c r="T141" s="0" t="s">
        <v>681</v>
      </c>
      <c r="V141" s="0" t="s">
        <v>34</v>
      </c>
      <c r="W141" s="0" t="s">
        <v>42</v>
      </c>
      <c r="X141" s="0" t="s">
        <v>7345</v>
      </c>
      <c r="Y141" s="0" t="s">
        <v>7346</v>
      </c>
      <c r="Z141" s="0" t="s">
        <v>7493</v>
      </c>
      <c r="AA141" s="0" t="s">
        <v>7348</v>
      </c>
      <c r="AB141" s="0" t="s">
        <v>231</v>
      </c>
      <c r="AC141" s="0" t="s">
        <v>7349</v>
      </c>
      <c r="AD141" s="0" t="s">
        <v>7514</v>
      </c>
      <c r="AE141" s="0" t="s">
        <v>7351</v>
      </c>
      <c r="AF141" s="0" t="s">
        <v>7374</v>
      </c>
      <c r="AG141" s="0" t="s">
        <v>230</v>
      </c>
    </row>
    <row r="142" customFormat="false" ht="15" hidden="false" customHeight="false" outlineLevel="0" collapsed="false">
      <c r="A142" s="0" t="s">
        <v>7336</v>
      </c>
      <c r="B142" s="0" t="s">
        <v>793</v>
      </c>
      <c r="C142" s="0" t="s">
        <v>794</v>
      </c>
      <c r="D142" s="0" t="s">
        <v>676</v>
      </c>
      <c r="E142" s="0" t="s">
        <v>795</v>
      </c>
      <c r="F142" s="0" t="s">
        <v>796</v>
      </c>
      <c r="G142" s="0" t="s">
        <v>113</v>
      </c>
      <c r="H142" s="0" t="s">
        <v>7525</v>
      </c>
      <c r="I142" s="0" t="s">
        <v>7338</v>
      </c>
      <c r="J142" s="0" t="s">
        <v>675</v>
      </c>
      <c r="K142" s="0" t="s">
        <v>7339</v>
      </c>
      <c r="L142" s="0" t="s">
        <v>7340</v>
      </c>
      <c r="M142" s="0" t="s">
        <v>7492</v>
      </c>
      <c r="N142" s="0" t="s">
        <v>7342</v>
      </c>
      <c r="O142" s="0" t="s">
        <v>682</v>
      </c>
      <c r="P142" s="0" t="s">
        <v>229</v>
      </c>
      <c r="R142" s="0" t="s">
        <v>7343</v>
      </c>
      <c r="S142" s="0" t="s">
        <v>7344</v>
      </c>
      <c r="T142" s="0" t="s">
        <v>681</v>
      </c>
      <c r="V142" s="0" t="s">
        <v>34</v>
      </c>
      <c r="W142" s="0" t="s">
        <v>42</v>
      </c>
      <c r="X142" s="0" t="s">
        <v>7345</v>
      </c>
      <c r="Y142" s="0" t="s">
        <v>7346</v>
      </c>
      <c r="Z142" s="0" t="s">
        <v>7493</v>
      </c>
      <c r="AA142" s="0" t="s">
        <v>7348</v>
      </c>
      <c r="AB142" s="0" t="s">
        <v>231</v>
      </c>
      <c r="AC142" s="0" t="s">
        <v>7349</v>
      </c>
      <c r="AD142" s="0" t="s">
        <v>7514</v>
      </c>
      <c r="AE142" s="0" t="s">
        <v>7351</v>
      </c>
      <c r="AF142" s="0" t="s">
        <v>7374</v>
      </c>
      <c r="AG142" s="0" t="s">
        <v>230</v>
      </c>
    </row>
    <row r="143" customFormat="false" ht="15" hidden="false" customHeight="false" outlineLevel="0" collapsed="false">
      <c r="A143" s="0" t="s">
        <v>7336</v>
      </c>
      <c r="B143" s="0" t="s">
        <v>797</v>
      </c>
      <c r="C143" s="0" t="s">
        <v>798</v>
      </c>
      <c r="D143" s="0" t="s">
        <v>676</v>
      </c>
      <c r="E143" s="0" t="s">
        <v>799</v>
      </c>
      <c r="F143" s="0" t="s">
        <v>796</v>
      </c>
      <c r="G143" s="0" t="s">
        <v>113</v>
      </c>
      <c r="H143" s="0" t="s">
        <v>7525</v>
      </c>
      <c r="I143" s="0" t="s">
        <v>7338</v>
      </c>
      <c r="J143" s="0" t="s">
        <v>675</v>
      </c>
      <c r="K143" s="0" t="s">
        <v>7339</v>
      </c>
      <c r="L143" s="0" t="s">
        <v>7340</v>
      </c>
      <c r="M143" s="0" t="s">
        <v>7492</v>
      </c>
      <c r="N143" s="0" t="s">
        <v>7342</v>
      </c>
      <c r="O143" s="0" t="s">
        <v>682</v>
      </c>
      <c r="P143" s="0" t="s">
        <v>229</v>
      </c>
      <c r="R143" s="0" t="s">
        <v>7343</v>
      </c>
      <c r="S143" s="0" t="s">
        <v>7344</v>
      </c>
      <c r="T143" s="0" t="s">
        <v>681</v>
      </c>
      <c r="V143" s="0" t="s">
        <v>34</v>
      </c>
      <c r="W143" s="0" t="s">
        <v>42</v>
      </c>
      <c r="X143" s="0" t="s">
        <v>7345</v>
      </c>
      <c r="Y143" s="0" t="s">
        <v>7346</v>
      </c>
      <c r="Z143" s="0" t="s">
        <v>7493</v>
      </c>
      <c r="AA143" s="0" t="s">
        <v>7348</v>
      </c>
      <c r="AB143" s="0" t="s">
        <v>231</v>
      </c>
      <c r="AC143" s="0" t="s">
        <v>7349</v>
      </c>
      <c r="AD143" s="0" t="s">
        <v>7514</v>
      </c>
      <c r="AE143" s="0" t="s">
        <v>7351</v>
      </c>
      <c r="AF143" s="0" t="s">
        <v>7374</v>
      </c>
      <c r="AG143" s="0" t="s">
        <v>230</v>
      </c>
    </row>
    <row r="144" customFormat="false" ht="15" hidden="false" customHeight="false" outlineLevel="0" collapsed="false">
      <c r="A144" s="0" t="s">
        <v>7336</v>
      </c>
      <c r="B144" s="0" t="s">
        <v>800</v>
      </c>
      <c r="C144" s="0" t="s">
        <v>801</v>
      </c>
      <c r="D144" s="0" t="s">
        <v>676</v>
      </c>
      <c r="E144" s="0" t="s">
        <v>802</v>
      </c>
      <c r="F144" s="0" t="s">
        <v>803</v>
      </c>
      <c r="G144" s="0" t="s">
        <v>113</v>
      </c>
      <c r="H144" s="0" t="s">
        <v>7526</v>
      </c>
      <c r="I144" s="0" t="s">
        <v>7338</v>
      </c>
      <c r="J144" s="0" t="s">
        <v>675</v>
      </c>
      <c r="K144" s="0" t="s">
        <v>7339</v>
      </c>
      <c r="L144" s="0" t="s">
        <v>7340</v>
      </c>
      <c r="M144" s="0" t="s">
        <v>7492</v>
      </c>
      <c r="N144" s="0" t="s">
        <v>7342</v>
      </c>
      <c r="O144" s="0" t="s">
        <v>682</v>
      </c>
      <c r="P144" s="0" t="s">
        <v>229</v>
      </c>
      <c r="S144" s="0" t="s">
        <v>7344</v>
      </c>
      <c r="T144" s="0" t="s">
        <v>58</v>
      </c>
      <c r="V144" s="0" t="s">
        <v>55</v>
      </c>
      <c r="W144" s="0" t="s">
        <v>58</v>
      </c>
      <c r="X144" s="0" t="s">
        <v>7345</v>
      </c>
      <c r="Z144" s="0" t="s">
        <v>7493</v>
      </c>
      <c r="AA144" s="0" t="s">
        <v>682</v>
      </c>
      <c r="AB144" s="0" t="s">
        <v>344</v>
      </c>
      <c r="AC144" s="0" t="s">
        <v>7349</v>
      </c>
      <c r="AD144" s="0" t="s">
        <v>682</v>
      </c>
      <c r="AE144" s="0" t="s">
        <v>57</v>
      </c>
      <c r="AF144" s="0" t="s">
        <v>7374</v>
      </c>
      <c r="AG144" s="0" t="s">
        <v>230</v>
      </c>
    </row>
    <row r="145" customFormat="false" ht="15" hidden="false" customHeight="false" outlineLevel="0" collapsed="false">
      <c r="A145" s="0" t="s">
        <v>7336</v>
      </c>
      <c r="B145" s="0" t="s">
        <v>804</v>
      </c>
      <c r="C145" s="0" t="s">
        <v>805</v>
      </c>
      <c r="D145" s="0" t="s">
        <v>676</v>
      </c>
      <c r="E145" s="0" t="s">
        <v>806</v>
      </c>
      <c r="F145" s="0" t="s">
        <v>807</v>
      </c>
      <c r="G145" s="0" t="s">
        <v>113</v>
      </c>
      <c r="H145" s="0" t="s">
        <v>7527</v>
      </c>
      <c r="I145" s="0" t="s">
        <v>7338</v>
      </c>
      <c r="J145" s="0" t="s">
        <v>675</v>
      </c>
      <c r="K145" s="0" t="s">
        <v>7339</v>
      </c>
      <c r="L145" s="0" t="s">
        <v>7340</v>
      </c>
      <c r="M145" s="0" t="s">
        <v>7492</v>
      </c>
      <c r="N145" s="0" t="s">
        <v>7342</v>
      </c>
      <c r="P145" s="0" t="s">
        <v>229</v>
      </c>
      <c r="R145" s="0" t="s">
        <v>7343</v>
      </c>
      <c r="S145" s="0" t="s">
        <v>7344</v>
      </c>
      <c r="T145" s="0" t="s">
        <v>58</v>
      </c>
      <c r="V145" s="0" t="s">
        <v>55</v>
      </c>
      <c r="W145" s="0" t="s">
        <v>58</v>
      </c>
      <c r="X145" s="0" t="s">
        <v>7345</v>
      </c>
      <c r="Z145" s="0" t="s">
        <v>7493</v>
      </c>
      <c r="AA145" s="0" t="s">
        <v>682</v>
      </c>
      <c r="AB145" s="0" t="s">
        <v>344</v>
      </c>
      <c r="AC145" s="0" t="s">
        <v>7349</v>
      </c>
      <c r="AD145" s="0" t="s">
        <v>682</v>
      </c>
      <c r="AE145" s="0" t="s">
        <v>7528</v>
      </c>
      <c r="AF145" s="0" t="s">
        <v>7374</v>
      </c>
      <c r="AG145" s="0" t="s">
        <v>230</v>
      </c>
    </row>
    <row r="146" customFormat="false" ht="15" hidden="false" customHeight="false" outlineLevel="0" collapsed="false">
      <c r="A146" s="0" t="s">
        <v>7336</v>
      </c>
      <c r="B146" s="0" t="s">
        <v>808</v>
      </c>
      <c r="C146" s="0" t="s">
        <v>809</v>
      </c>
      <c r="D146" s="0" t="s">
        <v>676</v>
      </c>
      <c r="E146" s="0" t="s">
        <v>810</v>
      </c>
      <c r="F146" s="0" t="s">
        <v>811</v>
      </c>
      <c r="G146" s="0" t="s">
        <v>113</v>
      </c>
      <c r="H146" s="0" t="s">
        <v>7529</v>
      </c>
      <c r="I146" s="0" t="s">
        <v>7338</v>
      </c>
      <c r="J146" s="0" t="s">
        <v>675</v>
      </c>
      <c r="K146" s="0" t="s">
        <v>7339</v>
      </c>
      <c r="L146" s="0" t="s">
        <v>7340</v>
      </c>
      <c r="M146" s="0" t="s">
        <v>7492</v>
      </c>
      <c r="N146" s="0" t="s">
        <v>7342</v>
      </c>
      <c r="P146" s="0" t="s">
        <v>229</v>
      </c>
      <c r="R146" s="0" t="s">
        <v>7343</v>
      </c>
      <c r="S146" s="0" t="s">
        <v>7344</v>
      </c>
      <c r="T146" s="0" t="s">
        <v>228</v>
      </c>
      <c r="V146" s="0" t="s">
        <v>34</v>
      </c>
      <c r="W146" s="0" t="s">
        <v>36</v>
      </c>
      <c r="X146" s="0" t="s">
        <v>7345</v>
      </c>
      <c r="Y146" s="0" t="s">
        <v>7346</v>
      </c>
      <c r="Z146" s="0" t="s">
        <v>7347</v>
      </c>
      <c r="AA146" s="0" t="s">
        <v>7348</v>
      </c>
      <c r="AB146" s="0" t="s">
        <v>231</v>
      </c>
      <c r="AC146" s="0" t="s">
        <v>7349</v>
      </c>
      <c r="AD146" s="0" t="s">
        <v>7350</v>
      </c>
      <c r="AE146" s="0" t="s">
        <v>7351</v>
      </c>
      <c r="AF146" s="0" t="s">
        <v>7352</v>
      </c>
      <c r="AG146" s="0" t="s">
        <v>230</v>
      </c>
    </row>
    <row r="147" customFormat="false" ht="15" hidden="false" customHeight="false" outlineLevel="0" collapsed="false">
      <c r="A147" s="0" t="s">
        <v>7336</v>
      </c>
      <c r="B147" s="0" t="s">
        <v>812</v>
      </c>
      <c r="C147" s="0" t="s">
        <v>813</v>
      </c>
      <c r="D147" s="0" t="s">
        <v>676</v>
      </c>
      <c r="E147" s="0" t="s">
        <v>814</v>
      </c>
      <c r="F147" s="0" t="s">
        <v>696</v>
      </c>
      <c r="G147" s="0" t="s">
        <v>113</v>
      </c>
      <c r="H147" s="0" t="s">
        <v>7503</v>
      </c>
      <c r="I147" s="0" t="s">
        <v>7338</v>
      </c>
      <c r="J147" s="0" t="s">
        <v>675</v>
      </c>
      <c r="K147" s="0" t="s">
        <v>7339</v>
      </c>
      <c r="L147" s="0" t="s">
        <v>7340</v>
      </c>
      <c r="M147" s="0" t="s">
        <v>7492</v>
      </c>
      <c r="N147" s="0" t="s">
        <v>7342</v>
      </c>
      <c r="O147" s="0" t="s">
        <v>682</v>
      </c>
      <c r="P147" s="0" t="s">
        <v>229</v>
      </c>
      <c r="R147" s="0" t="s">
        <v>7343</v>
      </c>
      <c r="S147" s="0" t="s">
        <v>7344</v>
      </c>
      <c r="T147" s="0" t="s">
        <v>228</v>
      </c>
      <c r="V147" s="0" t="s">
        <v>34</v>
      </c>
      <c r="W147" s="0" t="s">
        <v>36</v>
      </c>
      <c r="X147" s="0" t="s">
        <v>7345</v>
      </c>
      <c r="Y147" s="0" t="s">
        <v>7346</v>
      </c>
      <c r="Z147" s="0" t="s">
        <v>7347</v>
      </c>
      <c r="AA147" s="0" t="s">
        <v>7348</v>
      </c>
      <c r="AB147" s="0" t="s">
        <v>231</v>
      </c>
      <c r="AC147" s="0" t="s">
        <v>7349</v>
      </c>
      <c r="AD147" s="0" t="s">
        <v>7350</v>
      </c>
      <c r="AE147" s="0" t="s">
        <v>7351</v>
      </c>
      <c r="AF147" s="0" t="s">
        <v>7352</v>
      </c>
      <c r="AG147" s="0" t="s">
        <v>230</v>
      </c>
    </row>
    <row r="148" customFormat="false" ht="15" hidden="false" customHeight="false" outlineLevel="0" collapsed="false">
      <c r="A148" s="0" t="s">
        <v>7336</v>
      </c>
      <c r="B148" s="0" t="s">
        <v>815</v>
      </c>
      <c r="C148" s="0" t="s">
        <v>816</v>
      </c>
      <c r="D148" s="0" t="s">
        <v>676</v>
      </c>
      <c r="E148" s="0" t="s">
        <v>817</v>
      </c>
      <c r="F148" s="0" t="s">
        <v>696</v>
      </c>
      <c r="G148" s="0" t="s">
        <v>113</v>
      </c>
      <c r="H148" s="0" t="s">
        <v>7503</v>
      </c>
      <c r="I148" s="0" t="s">
        <v>7338</v>
      </c>
      <c r="J148" s="0" t="s">
        <v>675</v>
      </c>
      <c r="K148" s="0" t="s">
        <v>7339</v>
      </c>
      <c r="L148" s="0" t="s">
        <v>7340</v>
      </c>
      <c r="M148" s="0" t="s">
        <v>7492</v>
      </c>
      <c r="N148" s="0" t="s">
        <v>7342</v>
      </c>
      <c r="O148" s="0" t="s">
        <v>682</v>
      </c>
      <c r="P148" s="0" t="s">
        <v>229</v>
      </c>
      <c r="R148" s="0" t="s">
        <v>7343</v>
      </c>
      <c r="S148" s="0" t="s">
        <v>7344</v>
      </c>
      <c r="T148" s="0" t="s">
        <v>228</v>
      </c>
      <c r="V148" s="0" t="s">
        <v>34</v>
      </c>
      <c r="W148" s="0" t="s">
        <v>36</v>
      </c>
      <c r="X148" s="0" t="s">
        <v>7345</v>
      </c>
      <c r="Y148" s="0" t="s">
        <v>7346</v>
      </c>
      <c r="Z148" s="0" t="s">
        <v>7347</v>
      </c>
      <c r="AA148" s="0" t="s">
        <v>7348</v>
      </c>
      <c r="AB148" s="0" t="s">
        <v>231</v>
      </c>
      <c r="AC148" s="0" t="s">
        <v>7349</v>
      </c>
      <c r="AD148" s="0" t="s">
        <v>7350</v>
      </c>
      <c r="AE148" s="0" t="s">
        <v>7351</v>
      </c>
      <c r="AF148" s="0" t="s">
        <v>7352</v>
      </c>
      <c r="AG148" s="0" t="s">
        <v>230</v>
      </c>
    </row>
    <row r="149" customFormat="false" ht="15" hidden="false" customHeight="false" outlineLevel="0" collapsed="false">
      <c r="A149" s="0" t="s">
        <v>7336</v>
      </c>
      <c r="B149" s="0" t="s">
        <v>818</v>
      </c>
      <c r="C149" s="0" t="s">
        <v>819</v>
      </c>
      <c r="D149" s="0" t="s">
        <v>676</v>
      </c>
      <c r="E149" s="0" t="s">
        <v>820</v>
      </c>
      <c r="F149" s="0" t="s">
        <v>727</v>
      </c>
      <c r="G149" s="0" t="s">
        <v>113</v>
      </c>
      <c r="H149" s="0" t="s">
        <v>7515</v>
      </c>
      <c r="I149" s="0" t="s">
        <v>7338</v>
      </c>
      <c r="J149" s="0" t="s">
        <v>675</v>
      </c>
      <c r="K149" s="0" t="s">
        <v>7339</v>
      </c>
      <c r="L149" s="0" t="s">
        <v>7340</v>
      </c>
      <c r="M149" s="0" t="s">
        <v>7492</v>
      </c>
      <c r="N149" s="0" t="s">
        <v>7342</v>
      </c>
      <c r="O149" s="0" t="s">
        <v>682</v>
      </c>
      <c r="P149" s="0" t="s">
        <v>229</v>
      </c>
      <c r="R149" s="0" t="s">
        <v>7343</v>
      </c>
      <c r="S149" s="0" t="s">
        <v>7344</v>
      </c>
      <c r="T149" s="0" t="s">
        <v>228</v>
      </c>
      <c r="V149" s="0" t="s">
        <v>34</v>
      </c>
      <c r="W149" s="0" t="s">
        <v>36</v>
      </c>
      <c r="X149" s="0" t="s">
        <v>7345</v>
      </c>
      <c r="Y149" s="0" t="s">
        <v>7346</v>
      </c>
      <c r="Z149" s="0" t="s">
        <v>7347</v>
      </c>
      <c r="AA149" s="0" t="s">
        <v>7348</v>
      </c>
      <c r="AB149" s="0" t="s">
        <v>231</v>
      </c>
      <c r="AC149" s="0" t="s">
        <v>7349</v>
      </c>
      <c r="AD149" s="0" t="s">
        <v>7350</v>
      </c>
      <c r="AE149" s="0" t="s">
        <v>7351</v>
      </c>
      <c r="AF149" s="0" t="s">
        <v>7352</v>
      </c>
      <c r="AG149" s="0" t="s">
        <v>230</v>
      </c>
    </row>
    <row r="150" customFormat="false" ht="15" hidden="false" customHeight="false" outlineLevel="0" collapsed="false">
      <c r="A150" s="0" t="s">
        <v>7336</v>
      </c>
      <c r="B150" s="0" t="s">
        <v>821</v>
      </c>
      <c r="C150" s="0" t="s">
        <v>822</v>
      </c>
      <c r="D150" s="0" t="s">
        <v>676</v>
      </c>
      <c r="E150" s="0" t="s">
        <v>823</v>
      </c>
      <c r="F150" s="0" t="s">
        <v>727</v>
      </c>
      <c r="G150" s="0" t="s">
        <v>113</v>
      </c>
      <c r="H150" s="0" t="s">
        <v>7515</v>
      </c>
      <c r="I150" s="0" t="s">
        <v>7338</v>
      </c>
      <c r="J150" s="0" t="s">
        <v>675</v>
      </c>
      <c r="K150" s="0" t="s">
        <v>7339</v>
      </c>
      <c r="L150" s="0" t="s">
        <v>7340</v>
      </c>
      <c r="M150" s="0" t="s">
        <v>7492</v>
      </c>
      <c r="N150" s="0" t="s">
        <v>7342</v>
      </c>
      <c r="O150" s="0" t="s">
        <v>682</v>
      </c>
      <c r="P150" s="0" t="s">
        <v>229</v>
      </c>
      <c r="R150" s="0" t="s">
        <v>7343</v>
      </c>
      <c r="S150" s="0" t="s">
        <v>7344</v>
      </c>
      <c r="T150" s="0" t="s">
        <v>228</v>
      </c>
      <c r="V150" s="0" t="s">
        <v>34</v>
      </c>
      <c r="W150" s="0" t="s">
        <v>36</v>
      </c>
      <c r="X150" s="0" t="s">
        <v>7345</v>
      </c>
      <c r="Y150" s="0" t="s">
        <v>7346</v>
      </c>
      <c r="Z150" s="0" t="s">
        <v>7347</v>
      </c>
      <c r="AA150" s="0" t="s">
        <v>7348</v>
      </c>
      <c r="AB150" s="0" t="s">
        <v>231</v>
      </c>
      <c r="AC150" s="0" t="s">
        <v>7349</v>
      </c>
      <c r="AD150" s="0" t="s">
        <v>7350</v>
      </c>
      <c r="AE150" s="0" t="s">
        <v>7351</v>
      </c>
      <c r="AF150" s="0" t="s">
        <v>7352</v>
      </c>
      <c r="AG150" s="0" t="s">
        <v>230</v>
      </c>
    </row>
    <row r="151" customFormat="false" ht="15" hidden="false" customHeight="false" outlineLevel="0" collapsed="false">
      <c r="A151" s="0" t="s">
        <v>7336</v>
      </c>
      <c r="B151" s="0" t="s">
        <v>824</v>
      </c>
      <c r="C151" s="0" t="s">
        <v>825</v>
      </c>
      <c r="D151" s="0" t="s">
        <v>676</v>
      </c>
      <c r="E151" s="0" t="s">
        <v>826</v>
      </c>
      <c r="F151" s="0" t="s">
        <v>827</v>
      </c>
      <c r="G151" s="0" t="s">
        <v>113</v>
      </c>
      <c r="H151" s="0" t="s">
        <v>7530</v>
      </c>
      <c r="I151" s="0" t="s">
        <v>7338</v>
      </c>
      <c r="J151" s="0" t="s">
        <v>675</v>
      </c>
      <c r="K151" s="0" t="s">
        <v>7339</v>
      </c>
      <c r="L151" s="0" t="s">
        <v>7340</v>
      </c>
      <c r="M151" s="0" t="s">
        <v>7492</v>
      </c>
      <c r="N151" s="0" t="s">
        <v>7342</v>
      </c>
      <c r="O151" s="0" t="s">
        <v>682</v>
      </c>
      <c r="P151" s="0" t="s">
        <v>229</v>
      </c>
      <c r="R151" s="0" t="s">
        <v>7343</v>
      </c>
      <c r="S151" s="0" t="s">
        <v>7344</v>
      </c>
      <c r="T151" s="0" t="s">
        <v>228</v>
      </c>
      <c r="V151" s="0" t="s">
        <v>34</v>
      </c>
      <c r="W151" s="0" t="s">
        <v>36</v>
      </c>
      <c r="X151" s="0" t="s">
        <v>7345</v>
      </c>
      <c r="Y151" s="0" t="s">
        <v>7346</v>
      </c>
      <c r="Z151" s="0" t="s">
        <v>7347</v>
      </c>
      <c r="AA151" s="0" t="s">
        <v>7348</v>
      </c>
      <c r="AB151" s="0" t="s">
        <v>231</v>
      </c>
      <c r="AC151" s="0" t="s">
        <v>7349</v>
      </c>
      <c r="AD151" s="0" t="s">
        <v>7350</v>
      </c>
      <c r="AE151" s="0" t="s">
        <v>7351</v>
      </c>
      <c r="AF151" s="0" t="s">
        <v>7352</v>
      </c>
      <c r="AG151" s="0" t="s">
        <v>230</v>
      </c>
    </row>
    <row r="152" customFormat="false" ht="15" hidden="false" customHeight="false" outlineLevel="0" collapsed="false">
      <c r="A152" s="0" t="s">
        <v>7336</v>
      </c>
      <c r="B152" s="0" t="s">
        <v>828</v>
      </c>
      <c r="C152" s="0" t="s">
        <v>829</v>
      </c>
      <c r="D152" s="0" t="s">
        <v>676</v>
      </c>
      <c r="E152" s="0" t="s">
        <v>830</v>
      </c>
      <c r="F152" s="0" t="s">
        <v>716</v>
      </c>
      <c r="G152" s="0" t="s">
        <v>113</v>
      </c>
      <c r="H152" s="0" t="s">
        <v>7511</v>
      </c>
      <c r="I152" s="0" t="s">
        <v>7338</v>
      </c>
      <c r="J152" s="0" t="s">
        <v>675</v>
      </c>
      <c r="K152" s="0" t="s">
        <v>7339</v>
      </c>
      <c r="L152" s="0" t="s">
        <v>7340</v>
      </c>
      <c r="M152" s="0" t="s">
        <v>7492</v>
      </c>
      <c r="N152" s="0" t="s">
        <v>7342</v>
      </c>
      <c r="O152" s="0" t="s">
        <v>682</v>
      </c>
      <c r="P152" s="0" t="s">
        <v>229</v>
      </c>
      <c r="R152" s="0" t="s">
        <v>7343</v>
      </c>
      <c r="S152" s="0" t="s">
        <v>7344</v>
      </c>
      <c r="T152" s="0" t="s">
        <v>228</v>
      </c>
      <c r="V152" s="0" t="s">
        <v>34</v>
      </c>
      <c r="W152" s="0" t="s">
        <v>36</v>
      </c>
      <c r="X152" s="0" t="s">
        <v>7345</v>
      </c>
      <c r="Y152" s="0" t="s">
        <v>7346</v>
      </c>
      <c r="Z152" s="0" t="s">
        <v>7347</v>
      </c>
      <c r="AA152" s="0" t="s">
        <v>7348</v>
      </c>
      <c r="AB152" s="0" t="s">
        <v>231</v>
      </c>
      <c r="AC152" s="0" t="s">
        <v>7349</v>
      </c>
      <c r="AD152" s="0" t="s">
        <v>7350</v>
      </c>
      <c r="AE152" s="0" t="s">
        <v>7351</v>
      </c>
      <c r="AF152" s="0" t="s">
        <v>7352</v>
      </c>
      <c r="AG152" s="0" t="s">
        <v>230</v>
      </c>
    </row>
    <row r="153" customFormat="false" ht="15" hidden="false" customHeight="false" outlineLevel="0" collapsed="false">
      <c r="A153" s="0" t="s">
        <v>7336</v>
      </c>
      <c r="B153" s="0" t="s">
        <v>831</v>
      </c>
      <c r="C153" s="0" t="s">
        <v>832</v>
      </c>
      <c r="D153" s="0" t="s">
        <v>676</v>
      </c>
      <c r="E153" s="0" t="s">
        <v>833</v>
      </c>
      <c r="F153" s="0" t="s">
        <v>720</v>
      </c>
      <c r="G153" s="0" t="s">
        <v>113</v>
      </c>
      <c r="H153" s="0" t="s">
        <v>7513</v>
      </c>
      <c r="I153" s="0" t="s">
        <v>7338</v>
      </c>
      <c r="J153" s="0" t="s">
        <v>675</v>
      </c>
      <c r="K153" s="0" t="s">
        <v>7339</v>
      </c>
      <c r="L153" s="0" t="s">
        <v>7340</v>
      </c>
      <c r="M153" s="0" t="s">
        <v>7492</v>
      </c>
      <c r="N153" s="0" t="s">
        <v>7342</v>
      </c>
      <c r="O153" s="0" t="s">
        <v>682</v>
      </c>
      <c r="P153" s="0" t="s">
        <v>229</v>
      </c>
      <c r="R153" s="0" t="s">
        <v>7343</v>
      </c>
      <c r="S153" s="0" t="s">
        <v>7344</v>
      </c>
      <c r="T153" s="0" t="s">
        <v>228</v>
      </c>
      <c r="V153" s="0" t="s">
        <v>34</v>
      </c>
      <c r="W153" s="0" t="s">
        <v>36</v>
      </c>
      <c r="X153" s="0" t="s">
        <v>7345</v>
      </c>
      <c r="Y153" s="0" t="s">
        <v>7346</v>
      </c>
      <c r="Z153" s="0" t="s">
        <v>7347</v>
      </c>
      <c r="AA153" s="0" t="s">
        <v>7348</v>
      </c>
      <c r="AB153" s="0" t="s">
        <v>231</v>
      </c>
      <c r="AC153" s="0" t="s">
        <v>7349</v>
      </c>
      <c r="AD153" s="0" t="s">
        <v>7350</v>
      </c>
      <c r="AE153" s="0" t="s">
        <v>7351</v>
      </c>
      <c r="AF153" s="0" t="s">
        <v>7352</v>
      </c>
      <c r="AG153" s="0" t="s">
        <v>230</v>
      </c>
    </row>
    <row r="154" customFormat="false" ht="15" hidden="false" customHeight="false" outlineLevel="0" collapsed="false">
      <c r="A154" s="0" t="s">
        <v>7336</v>
      </c>
      <c r="B154" s="0" t="s">
        <v>834</v>
      </c>
      <c r="C154" s="0" t="s">
        <v>835</v>
      </c>
      <c r="D154" s="0" t="s">
        <v>676</v>
      </c>
      <c r="E154" s="0" t="s">
        <v>836</v>
      </c>
      <c r="F154" s="0" t="s">
        <v>720</v>
      </c>
      <c r="G154" s="0" t="s">
        <v>113</v>
      </c>
      <c r="H154" s="0" t="s">
        <v>7513</v>
      </c>
      <c r="I154" s="0" t="s">
        <v>7338</v>
      </c>
      <c r="J154" s="0" t="s">
        <v>675</v>
      </c>
      <c r="K154" s="0" t="s">
        <v>7339</v>
      </c>
      <c r="L154" s="0" t="s">
        <v>7340</v>
      </c>
      <c r="M154" s="0" t="s">
        <v>7492</v>
      </c>
      <c r="N154" s="0" t="s">
        <v>7342</v>
      </c>
      <c r="O154" s="0" t="s">
        <v>682</v>
      </c>
      <c r="P154" s="0" t="s">
        <v>229</v>
      </c>
      <c r="R154" s="0" t="s">
        <v>7343</v>
      </c>
      <c r="S154" s="0" t="s">
        <v>7344</v>
      </c>
      <c r="T154" s="0" t="s">
        <v>228</v>
      </c>
      <c r="V154" s="0" t="s">
        <v>34</v>
      </c>
      <c r="W154" s="0" t="s">
        <v>36</v>
      </c>
      <c r="X154" s="0" t="s">
        <v>7345</v>
      </c>
      <c r="Y154" s="0" t="s">
        <v>7346</v>
      </c>
      <c r="Z154" s="0" t="s">
        <v>7347</v>
      </c>
      <c r="AA154" s="0" t="s">
        <v>7348</v>
      </c>
      <c r="AB154" s="0" t="s">
        <v>231</v>
      </c>
      <c r="AC154" s="0" t="s">
        <v>7349</v>
      </c>
      <c r="AD154" s="0" t="s">
        <v>7350</v>
      </c>
      <c r="AE154" s="0" t="s">
        <v>7351</v>
      </c>
      <c r="AF154" s="0" t="s">
        <v>7352</v>
      </c>
      <c r="AG154" s="0" t="s">
        <v>230</v>
      </c>
    </row>
    <row r="155" customFormat="false" ht="15" hidden="false" customHeight="false" outlineLevel="0" collapsed="false">
      <c r="A155" s="0" t="s">
        <v>7336</v>
      </c>
      <c r="B155" s="0" t="s">
        <v>837</v>
      </c>
      <c r="C155" s="0" t="s">
        <v>838</v>
      </c>
      <c r="D155" s="0" t="s">
        <v>676</v>
      </c>
      <c r="E155" s="0" t="s">
        <v>839</v>
      </c>
      <c r="F155" s="0" t="s">
        <v>680</v>
      </c>
      <c r="G155" s="0" t="s">
        <v>113</v>
      </c>
      <c r="H155" s="0" t="s">
        <v>7494</v>
      </c>
      <c r="I155" s="0" t="s">
        <v>7338</v>
      </c>
      <c r="J155" s="0" t="s">
        <v>675</v>
      </c>
      <c r="K155" s="0" t="s">
        <v>7339</v>
      </c>
      <c r="L155" s="0" t="s">
        <v>7340</v>
      </c>
      <c r="M155" s="0" t="s">
        <v>7492</v>
      </c>
      <c r="N155" s="0" t="s">
        <v>7342</v>
      </c>
      <c r="P155" s="0" t="s">
        <v>229</v>
      </c>
      <c r="S155" s="0" t="s">
        <v>7344</v>
      </c>
      <c r="T155" s="0" t="s">
        <v>58</v>
      </c>
      <c r="V155" s="0" t="s">
        <v>55</v>
      </c>
      <c r="W155" s="0" t="s">
        <v>58</v>
      </c>
      <c r="X155" s="0" t="s">
        <v>7345</v>
      </c>
      <c r="Z155" s="0" t="s">
        <v>7493</v>
      </c>
      <c r="AA155" s="0" t="s">
        <v>682</v>
      </c>
      <c r="AB155" s="0" t="s">
        <v>344</v>
      </c>
      <c r="AC155" s="0" t="s">
        <v>7349</v>
      </c>
      <c r="AD155" s="0" t="s">
        <v>682</v>
      </c>
      <c r="AE155" s="0" t="s">
        <v>57</v>
      </c>
      <c r="AF155" s="0" t="s">
        <v>7374</v>
      </c>
      <c r="AG155" s="0" t="s">
        <v>230</v>
      </c>
    </row>
    <row r="156" customFormat="false" ht="15" hidden="false" customHeight="false" outlineLevel="0" collapsed="false">
      <c r="A156" s="0" t="s">
        <v>7336</v>
      </c>
      <c r="B156" s="0" t="s">
        <v>840</v>
      </c>
      <c r="C156" s="0" t="s">
        <v>841</v>
      </c>
      <c r="D156" s="0" t="s">
        <v>676</v>
      </c>
      <c r="E156" s="0" t="s">
        <v>842</v>
      </c>
      <c r="F156" s="0" t="s">
        <v>761</v>
      </c>
      <c r="G156" s="0" t="s">
        <v>113</v>
      </c>
      <c r="H156" s="0" t="s">
        <v>7520</v>
      </c>
      <c r="I156" s="0" t="s">
        <v>7338</v>
      </c>
      <c r="J156" s="0" t="s">
        <v>675</v>
      </c>
      <c r="K156" s="0" t="s">
        <v>7339</v>
      </c>
      <c r="L156" s="0" t="s">
        <v>7340</v>
      </c>
      <c r="M156" s="0" t="s">
        <v>7492</v>
      </c>
      <c r="N156" s="0" t="s">
        <v>7342</v>
      </c>
      <c r="P156" s="0" t="s">
        <v>229</v>
      </c>
      <c r="S156" s="0" t="s">
        <v>7344</v>
      </c>
      <c r="T156" s="0" t="s">
        <v>58</v>
      </c>
      <c r="V156" s="0" t="s">
        <v>55</v>
      </c>
      <c r="W156" s="0" t="s">
        <v>58</v>
      </c>
      <c r="X156" s="0" t="s">
        <v>7345</v>
      </c>
      <c r="Z156" s="0" t="s">
        <v>7493</v>
      </c>
      <c r="AA156" s="0" t="s">
        <v>682</v>
      </c>
      <c r="AB156" s="0" t="s">
        <v>344</v>
      </c>
      <c r="AC156" s="0" t="s">
        <v>7349</v>
      </c>
      <c r="AD156" s="0" t="s">
        <v>682</v>
      </c>
      <c r="AE156" s="0" t="s">
        <v>57</v>
      </c>
      <c r="AF156" s="0" t="s">
        <v>7374</v>
      </c>
      <c r="AG156" s="0" t="s">
        <v>230</v>
      </c>
    </row>
    <row r="157" customFormat="false" ht="15" hidden="false" customHeight="false" outlineLevel="0" collapsed="false">
      <c r="A157" s="0" t="s">
        <v>7336</v>
      </c>
      <c r="B157" s="0" t="s">
        <v>843</v>
      </c>
      <c r="C157" s="0" t="s">
        <v>844</v>
      </c>
      <c r="D157" s="0" t="s">
        <v>676</v>
      </c>
      <c r="E157" s="0" t="s">
        <v>845</v>
      </c>
      <c r="F157" s="0" t="s">
        <v>846</v>
      </c>
      <c r="G157" s="0" t="s">
        <v>113</v>
      </c>
      <c r="H157" s="0" t="s">
        <v>7531</v>
      </c>
      <c r="I157" s="0" t="s">
        <v>7338</v>
      </c>
      <c r="J157" s="0" t="s">
        <v>675</v>
      </c>
      <c r="K157" s="0" t="s">
        <v>7339</v>
      </c>
      <c r="L157" s="0" t="s">
        <v>7340</v>
      </c>
      <c r="M157" s="0" t="s">
        <v>7492</v>
      </c>
      <c r="N157" s="0" t="s">
        <v>7342</v>
      </c>
      <c r="P157" s="0" t="s">
        <v>229</v>
      </c>
      <c r="S157" s="0" t="s">
        <v>7344</v>
      </c>
      <c r="T157" s="0" t="s">
        <v>58</v>
      </c>
      <c r="V157" s="0" t="s">
        <v>55</v>
      </c>
      <c r="W157" s="0" t="s">
        <v>58</v>
      </c>
      <c r="X157" s="0" t="s">
        <v>7345</v>
      </c>
      <c r="Z157" s="0" t="s">
        <v>7493</v>
      </c>
      <c r="AA157" s="0" t="s">
        <v>682</v>
      </c>
      <c r="AB157" s="0" t="s">
        <v>344</v>
      </c>
      <c r="AC157" s="0" t="s">
        <v>7349</v>
      </c>
      <c r="AD157" s="0" t="s">
        <v>682</v>
      </c>
      <c r="AE157" s="0" t="s">
        <v>57</v>
      </c>
      <c r="AF157" s="0" t="s">
        <v>7374</v>
      </c>
      <c r="AG157" s="0" t="s">
        <v>230</v>
      </c>
    </row>
    <row r="158" customFormat="false" ht="15" hidden="false" customHeight="false" outlineLevel="0" collapsed="false">
      <c r="A158" s="0" t="s">
        <v>7336</v>
      </c>
      <c r="B158" s="0" t="s">
        <v>847</v>
      </c>
      <c r="C158" s="0" t="s">
        <v>848</v>
      </c>
      <c r="D158" s="0" t="s">
        <v>676</v>
      </c>
      <c r="E158" s="0" t="s">
        <v>849</v>
      </c>
      <c r="F158" s="0" t="s">
        <v>850</v>
      </c>
      <c r="G158" s="0" t="s">
        <v>113</v>
      </c>
      <c r="H158" s="0" t="s">
        <v>7532</v>
      </c>
      <c r="I158" s="0" t="s">
        <v>7338</v>
      </c>
      <c r="J158" s="0" t="s">
        <v>675</v>
      </c>
      <c r="K158" s="0" t="s">
        <v>7339</v>
      </c>
      <c r="L158" s="0" t="s">
        <v>7340</v>
      </c>
      <c r="M158" s="0" t="s">
        <v>7492</v>
      </c>
      <c r="N158" s="0" t="s">
        <v>7342</v>
      </c>
      <c r="P158" s="0" t="s">
        <v>229</v>
      </c>
      <c r="S158" s="0" t="s">
        <v>7344</v>
      </c>
      <c r="T158" s="0" t="s">
        <v>58</v>
      </c>
      <c r="V158" s="0" t="s">
        <v>55</v>
      </c>
      <c r="W158" s="0" t="s">
        <v>58</v>
      </c>
      <c r="X158" s="0" t="s">
        <v>7345</v>
      </c>
      <c r="Z158" s="0" t="s">
        <v>7493</v>
      </c>
      <c r="AA158" s="0" t="s">
        <v>682</v>
      </c>
      <c r="AB158" s="0" t="s">
        <v>344</v>
      </c>
      <c r="AC158" s="0" t="s">
        <v>7349</v>
      </c>
      <c r="AD158" s="0" t="s">
        <v>682</v>
      </c>
      <c r="AE158" s="0" t="s">
        <v>57</v>
      </c>
      <c r="AF158" s="0" t="s">
        <v>7374</v>
      </c>
      <c r="AG158" s="0" t="s">
        <v>230</v>
      </c>
    </row>
    <row r="159" customFormat="false" ht="15" hidden="false" customHeight="false" outlineLevel="0" collapsed="false">
      <c r="A159" s="0" t="s">
        <v>7336</v>
      </c>
      <c r="B159" s="0" t="s">
        <v>851</v>
      </c>
      <c r="C159" s="0" t="s">
        <v>852</v>
      </c>
      <c r="D159" s="0" t="s">
        <v>676</v>
      </c>
      <c r="E159" s="0" t="s">
        <v>853</v>
      </c>
      <c r="F159" s="0" t="s">
        <v>720</v>
      </c>
      <c r="G159" s="0" t="s">
        <v>113</v>
      </c>
      <c r="H159" s="0" t="s">
        <v>7513</v>
      </c>
      <c r="I159" s="0" t="s">
        <v>7338</v>
      </c>
      <c r="J159" s="0" t="s">
        <v>675</v>
      </c>
      <c r="K159" s="0" t="s">
        <v>7339</v>
      </c>
      <c r="L159" s="0" t="s">
        <v>7340</v>
      </c>
      <c r="M159" s="0" t="s">
        <v>7492</v>
      </c>
      <c r="N159" s="0" t="s">
        <v>7342</v>
      </c>
      <c r="P159" s="0" t="s">
        <v>229</v>
      </c>
      <c r="R159" s="0" t="s">
        <v>7343</v>
      </c>
      <c r="S159" s="0" t="s">
        <v>7344</v>
      </c>
      <c r="T159" s="0" t="s">
        <v>228</v>
      </c>
      <c r="V159" s="0" t="s">
        <v>34</v>
      </c>
      <c r="W159" s="0" t="s">
        <v>38</v>
      </c>
      <c r="X159" s="0" t="s">
        <v>7345</v>
      </c>
      <c r="Y159" s="0" t="s">
        <v>7409</v>
      </c>
      <c r="Z159" s="0" t="s">
        <v>7370</v>
      </c>
      <c r="AA159" s="0" t="s">
        <v>7504</v>
      </c>
      <c r="AB159" s="0" t="s">
        <v>231</v>
      </c>
      <c r="AC159" s="0" t="s">
        <v>7349</v>
      </c>
      <c r="AD159" s="0" t="s">
        <v>7505</v>
      </c>
      <c r="AE159" s="0" t="s">
        <v>7506</v>
      </c>
      <c r="AF159" s="0" t="s">
        <v>7374</v>
      </c>
      <c r="AG159" s="0" t="s">
        <v>230</v>
      </c>
    </row>
    <row r="160" customFormat="false" ht="15" hidden="false" customHeight="false" outlineLevel="0" collapsed="false">
      <c r="A160" s="0" t="s">
        <v>7336</v>
      </c>
      <c r="B160" s="0" t="s">
        <v>854</v>
      </c>
      <c r="C160" s="0" t="s">
        <v>855</v>
      </c>
      <c r="D160" s="0" t="s">
        <v>676</v>
      </c>
      <c r="E160" s="0" t="s">
        <v>856</v>
      </c>
      <c r="F160" s="0" t="s">
        <v>727</v>
      </c>
      <c r="G160" s="0" t="s">
        <v>113</v>
      </c>
      <c r="H160" s="0" t="s">
        <v>7515</v>
      </c>
      <c r="I160" s="0" t="s">
        <v>7338</v>
      </c>
      <c r="J160" s="0" t="s">
        <v>675</v>
      </c>
      <c r="K160" s="0" t="s">
        <v>7339</v>
      </c>
      <c r="L160" s="0" t="s">
        <v>7340</v>
      </c>
      <c r="M160" s="0" t="s">
        <v>7492</v>
      </c>
      <c r="N160" s="0" t="s">
        <v>7342</v>
      </c>
      <c r="P160" s="0" t="s">
        <v>229</v>
      </c>
      <c r="R160" s="0" t="s">
        <v>7343</v>
      </c>
      <c r="S160" s="0" t="s">
        <v>7344</v>
      </c>
      <c r="T160" s="0" t="s">
        <v>228</v>
      </c>
      <c r="V160" s="0" t="s">
        <v>34</v>
      </c>
      <c r="W160" s="0" t="s">
        <v>38</v>
      </c>
      <c r="X160" s="0" t="s">
        <v>7345</v>
      </c>
      <c r="Y160" s="0" t="s">
        <v>7409</v>
      </c>
      <c r="Z160" s="0" t="s">
        <v>7370</v>
      </c>
      <c r="AA160" s="0" t="s">
        <v>7504</v>
      </c>
      <c r="AB160" s="0" t="s">
        <v>231</v>
      </c>
      <c r="AC160" s="0" t="s">
        <v>7349</v>
      </c>
      <c r="AD160" s="0" t="s">
        <v>7505</v>
      </c>
      <c r="AE160" s="0" t="s">
        <v>7506</v>
      </c>
      <c r="AF160" s="0" t="s">
        <v>7374</v>
      </c>
      <c r="AG160" s="0" t="s">
        <v>230</v>
      </c>
    </row>
    <row r="161" customFormat="false" ht="15" hidden="false" customHeight="false" outlineLevel="0" collapsed="false">
      <c r="A161" s="0" t="s">
        <v>7336</v>
      </c>
      <c r="B161" s="0" t="s">
        <v>857</v>
      </c>
      <c r="C161" s="0" t="s">
        <v>858</v>
      </c>
      <c r="D161" s="0" t="s">
        <v>676</v>
      </c>
      <c r="E161" s="0" t="s">
        <v>859</v>
      </c>
      <c r="F161" s="0" t="s">
        <v>860</v>
      </c>
      <c r="G161" s="0" t="s">
        <v>113</v>
      </c>
      <c r="H161" s="0" t="s">
        <v>7533</v>
      </c>
      <c r="I161" s="0" t="s">
        <v>7338</v>
      </c>
      <c r="J161" s="0" t="s">
        <v>675</v>
      </c>
      <c r="K161" s="0" t="s">
        <v>7339</v>
      </c>
      <c r="L161" s="0" t="s">
        <v>7340</v>
      </c>
      <c r="M161" s="0" t="s">
        <v>7492</v>
      </c>
      <c r="N161" s="0" t="s">
        <v>7342</v>
      </c>
      <c r="P161" s="0" t="s">
        <v>229</v>
      </c>
      <c r="R161" s="0" t="s">
        <v>7343</v>
      </c>
      <c r="S161" s="0" t="s">
        <v>7344</v>
      </c>
      <c r="T161" s="0" t="s">
        <v>228</v>
      </c>
      <c r="V161" s="0" t="s">
        <v>34</v>
      </c>
      <c r="W161" s="0" t="s">
        <v>38</v>
      </c>
      <c r="X161" s="0" t="s">
        <v>7345</v>
      </c>
      <c r="Y161" s="0" t="s">
        <v>7409</v>
      </c>
      <c r="Z161" s="0" t="s">
        <v>7370</v>
      </c>
      <c r="AA161" s="0" t="s">
        <v>7504</v>
      </c>
      <c r="AB161" s="0" t="s">
        <v>231</v>
      </c>
      <c r="AC161" s="0" t="s">
        <v>7349</v>
      </c>
      <c r="AD161" s="0" t="s">
        <v>7505</v>
      </c>
      <c r="AE161" s="0" t="s">
        <v>7506</v>
      </c>
      <c r="AF161" s="0" t="s">
        <v>7374</v>
      </c>
      <c r="AG161" s="0" t="s">
        <v>230</v>
      </c>
    </row>
    <row r="162" customFormat="false" ht="15" hidden="false" customHeight="false" outlineLevel="0" collapsed="false">
      <c r="A162" s="0" t="s">
        <v>7336</v>
      </c>
      <c r="B162" s="0" t="s">
        <v>861</v>
      </c>
      <c r="C162" s="0" t="s">
        <v>862</v>
      </c>
      <c r="D162" s="0" t="s">
        <v>676</v>
      </c>
      <c r="E162" s="0" t="s">
        <v>863</v>
      </c>
      <c r="F162" s="0" t="s">
        <v>864</v>
      </c>
      <c r="G162" s="0" t="s">
        <v>113</v>
      </c>
      <c r="H162" s="0" t="s">
        <v>7534</v>
      </c>
      <c r="I162" s="0" t="s">
        <v>7338</v>
      </c>
      <c r="J162" s="0" t="s">
        <v>675</v>
      </c>
      <c r="K162" s="0" t="s">
        <v>7339</v>
      </c>
      <c r="L162" s="0" t="s">
        <v>7340</v>
      </c>
      <c r="M162" s="0" t="s">
        <v>7492</v>
      </c>
      <c r="N162" s="0" t="s">
        <v>7342</v>
      </c>
      <c r="P162" s="0" t="s">
        <v>229</v>
      </c>
      <c r="R162" s="0" t="s">
        <v>7343</v>
      </c>
      <c r="S162" s="0" t="s">
        <v>7344</v>
      </c>
      <c r="T162" s="0" t="s">
        <v>228</v>
      </c>
      <c r="V162" s="0" t="s">
        <v>34</v>
      </c>
      <c r="W162" s="0" t="s">
        <v>38</v>
      </c>
      <c r="X162" s="0" t="s">
        <v>7345</v>
      </c>
      <c r="Y162" s="0" t="s">
        <v>7409</v>
      </c>
      <c r="Z162" s="0" t="s">
        <v>7370</v>
      </c>
      <c r="AA162" s="0" t="s">
        <v>7504</v>
      </c>
      <c r="AB162" s="0" t="s">
        <v>231</v>
      </c>
      <c r="AC162" s="0" t="s">
        <v>7349</v>
      </c>
      <c r="AD162" s="0" t="s">
        <v>7505</v>
      </c>
      <c r="AE162" s="0" t="s">
        <v>7506</v>
      </c>
      <c r="AF162" s="0" t="s">
        <v>7374</v>
      </c>
      <c r="AG162" s="0" t="s">
        <v>230</v>
      </c>
    </row>
    <row r="163" customFormat="false" ht="15" hidden="false" customHeight="false" outlineLevel="0" collapsed="false">
      <c r="A163" s="0" t="s">
        <v>7336</v>
      </c>
      <c r="B163" s="0" t="s">
        <v>865</v>
      </c>
      <c r="C163" s="0" t="s">
        <v>866</v>
      </c>
      <c r="D163" s="0" t="s">
        <v>676</v>
      </c>
      <c r="E163" s="0" t="s">
        <v>867</v>
      </c>
      <c r="F163" s="0" t="s">
        <v>868</v>
      </c>
      <c r="G163" s="0" t="s">
        <v>113</v>
      </c>
      <c r="H163" s="0" t="s">
        <v>7535</v>
      </c>
      <c r="I163" s="0" t="s">
        <v>7338</v>
      </c>
      <c r="J163" s="0" t="s">
        <v>675</v>
      </c>
      <c r="K163" s="0" t="s">
        <v>7339</v>
      </c>
      <c r="L163" s="0" t="s">
        <v>7340</v>
      </c>
      <c r="M163" s="0" t="s">
        <v>7492</v>
      </c>
      <c r="N163" s="0" t="s">
        <v>7342</v>
      </c>
      <c r="P163" s="0" t="s">
        <v>229</v>
      </c>
      <c r="R163" s="0" t="s">
        <v>7343</v>
      </c>
      <c r="S163" s="0" t="s">
        <v>7344</v>
      </c>
      <c r="T163" s="0" t="s">
        <v>228</v>
      </c>
      <c r="V163" s="0" t="s">
        <v>34</v>
      </c>
      <c r="W163" s="0" t="s">
        <v>38</v>
      </c>
      <c r="X163" s="0" t="s">
        <v>7345</v>
      </c>
      <c r="Y163" s="0" t="s">
        <v>7409</v>
      </c>
      <c r="Z163" s="0" t="s">
        <v>7370</v>
      </c>
      <c r="AA163" s="0" t="s">
        <v>7504</v>
      </c>
      <c r="AB163" s="0" t="s">
        <v>231</v>
      </c>
      <c r="AC163" s="0" t="s">
        <v>7349</v>
      </c>
      <c r="AD163" s="0" t="s">
        <v>7505</v>
      </c>
      <c r="AE163" s="0" t="s">
        <v>7506</v>
      </c>
      <c r="AF163" s="0" t="s">
        <v>7374</v>
      </c>
      <c r="AG163" s="0" t="s">
        <v>230</v>
      </c>
    </row>
    <row r="164" customFormat="false" ht="15" hidden="false" customHeight="false" outlineLevel="0" collapsed="false">
      <c r="A164" s="0" t="s">
        <v>7336</v>
      </c>
      <c r="B164" s="0" t="s">
        <v>869</v>
      </c>
      <c r="C164" s="0" t="s">
        <v>870</v>
      </c>
      <c r="D164" s="0" t="s">
        <v>676</v>
      </c>
      <c r="E164" s="0" t="s">
        <v>871</v>
      </c>
      <c r="F164" s="0" t="s">
        <v>827</v>
      </c>
      <c r="G164" s="0" t="s">
        <v>113</v>
      </c>
      <c r="H164" s="0" t="s">
        <v>7530</v>
      </c>
      <c r="I164" s="0" t="s">
        <v>7338</v>
      </c>
      <c r="J164" s="0" t="s">
        <v>675</v>
      </c>
      <c r="K164" s="0" t="s">
        <v>7339</v>
      </c>
      <c r="L164" s="0" t="s">
        <v>7340</v>
      </c>
      <c r="M164" s="0" t="s">
        <v>7492</v>
      </c>
      <c r="N164" s="0" t="s">
        <v>7342</v>
      </c>
      <c r="O164" s="0" t="s">
        <v>682</v>
      </c>
      <c r="P164" s="0" t="s">
        <v>229</v>
      </c>
      <c r="R164" s="0" t="s">
        <v>7343</v>
      </c>
      <c r="S164" s="0" t="s">
        <v>7344</v>
      </c>
      <c r="T164" s="0" t="s">
        <v>228</v>
      </c>
      <c r="V164" s="0" t="s">
        <v>34</v>
      </c>
      <c r="W164" s="0" t="s">
        <v>36</v>
      </c>
      <c r="X164" s="0" t="s">
        <v>7345</v>
      </c>
      <c r="Y164" s="0" t="s">
        <v>7346</v>
      </c>
      <c r="Z164" s="0" t="s">
        <v>7370</v>
      </c>
      <c r="AA164" s="0" t="s">
        <v>7348</v>
      </c>
      <c r="AB164" s="0" t="s">
        <v>231</v>
      </c>
      <c r="AC164" s="0" t="s">
        <v>7349</v>
      </c>
      <c r="AD164" s="0" t="s">
        <v>7512</v>
      </c>
      <c r="AE164" s="0" t="s">
        <v>7351</v>
      </c>
      <c r="AF164" s="0" t="s">
        <v>7352</v>
      </c>
      <c r="AG164" s="0" t="s">
        <v>230</v>
      </c>
    </row>
    <row r="165" customFormat="false" ht="15" hidden="false" customHeight="false" outlineLevel="0" collapsed="false">
      <c r="A165" s="0" t="s">
        <v>7336</v>
      </c>
      <c r="B165" s="0" t="s">
        <v>872</v>
      </c>
      <c r="C165" s="0" t="s">
        <v>873</v>
      </c>
      <c r="D165" s="0" t="s">
        <v>676</v>
      </c>
      <c r="E165" s="0" t="s">
        <v>874</v>
      </c>
      <c r="F165" s="0" t="s">
        <v>720</v>
      </c>
      <c r="G165" s="0" t="s">
        <v>113</v>
      </c>
      <c r="H165" s="0" t="s">
        <v>7513</v>
      </c>
      <c r="I165" s="0" t="s">
        <v>7338</v>
      </c>
      <c r="J165" s="0" t="s">
        <v>675</v>
      </c>
      <c r="K165" s="0" t="s">
        <v>7339</v>
      </c>
      <c r="L165" s="0" t="s">
        <v>7340</v>
      </c>
      <c r="M165" s="0" t="s">
        <v>7492</v>
      </c>
      <c r="N165" s="0" t="s">
        <v>7342</v>
      </c>
      <c r="O165" s="0" t="s">
        <v>682</v>
      </c>
      <c r="P165" s="0" t="s">
        <v>229</v>
      </c>
      <c r="R165" s="0" t="s">
        <v>7343</v>
      </c>
      <c r="S165" s="0" t="s">
        <v>7344</v>
      </c>
      <c r="T165" s="0" t="s">
        <v>681</v>
      </c>
      <c r="V165" s="0" t="s">
        <v>34</v>
      </c>
      <c r="W165" s="0" t="s">
        <v>42</v>
      </c>
      <c r="X165" s="0" t="s">
        <v>7345</v>
      </c>
      <c r="Y165" s="0" t="s">
        <v>7346</v>
      </c>
      <c r="Z165" s="0" t="s">
        <v>7493</v>
      </c>
      <c r="AA165" s="0" t="s">
        <v>7348</v>
      </c>
      <c r="AB165" s="0" t="s">
        <v>231</v>
      </c>
      <c r="AC165" s="0" t="s">
        <v>7349</v>
      </c>
      <c r="AD165" s="0" t="s">
        <v>7514</v>
      </c>
      <c r="AE165" s="0" t="s">
        <v>7351</v>
      </c>
      <c r="AF165" s="0" t="s">
        <v>7374</v>
      </c>
      <c r="AG165" s="0" t="s">
        <v>230</v>
      </c>
    </row>
    <row r="166" customFormat="false" ht="15" hidden="false" customHeight="false" outlineLevel="0" collapsed="false">
      <c r="A166" s="0" t="s">
        <v>7336</v>
      </c>
      <c r="B166" s="0" t="s">
        <v>875</v>
      </c>
      <c r="C166" s="0" t="s">
        <v>876</v>
      </c>
      <c r="D166" s="0" t="s">
        <v>676</v>
      </c>
      <c r="E166" s="0" t="s">
        <v>877</v>
      </c>
      <c r="F166" s="0" t="s">
        <v>727</v>
      </c>
      <c r="G166" s="0" t="s">
        <v>113</v>
      </c>
      <c r="H166" s="0" t="s">
        <v>7515</v>
      </c>
      <c r="I166" s="0" t="s">
        <v>7338</v>
      </c>
      <c r="J166" s="0" t="s">
        <v>675</v>
      </c>
      <c r="K166" s="0" t="s">
        <v>7339</v>
      </c>
      <c r="L166" s="0" t="s">
        <v>7340</v>
      </c>
      <c r="M166" s="0" t="s">
        <v>7492</v>
      </c>
      <c r="N166" s="0" t="s">
        <v>7342</v>
      </c>
      <c r="O166" s="0" t="s">
        <v>682</v>
      </c>
      <c r="P166" s="0" t="s">
        <v>229</v>
      </c>
      <c r="R166" s="0" t="s">
        <v>7343</v>
      </c>
      <c r="S166" s="0" t="s">
        <v>7344</v>
      </c>
      <c r="T166" s="0" t="s">
        <v>228</v>
      </c>
      <c r="V166" s="0" t="s">
        <v>34</v>
      </c>
      <c r="W166" s="0" t="s">
        <v>46</v>
      </c>
      <c r="X166" s="0" t="s">
        <v>7345</v>
      </c>
      <c r="Y166" s="0" t="s">
        <v>7346</v>
      </c>
      <c r="Z166" s="0" t="s">
        <v>7347</v>
      </c>
      <c r="AA166" s="0" t="s">
        <v>7348</v>
      </c>
      <c r="AB166" s="0" t="s">
        <v>231</v>
      </c>
      <c r="AC166" s="0" t="s">
        <v>7349</v>
      </c>
      <c r="AD166" s="0" t="s">
        <v>7500</v>
      </c>
      <c r="AE166" s="0" t="s">
        <v>7501</v>
      </c>
      <c r="AF166" s="0" t="s">
        <v>7352</v>
      </c>
      <c r="AG166" s="0" t="s">
        <v>230</v>
      </c>
    </row>
    <row r="167" customFormat="false" ht="15" hidden="false" customHeight="false" outlineLevel="0" collapsed="false">
      <c r="A167" s="0" t="s">
        <v>7336</v>
      </c>
      <c r="B167" s="0" t="s">
        <v>878</v>
      </c>
      <c r="C167" s="0" t="s">
        <v>879</v>
      </c>
      <c r="D167" s="0" t="s">
        <v>676</v>
      </c>
      <c r="E167" s="0" t="s">
        <v>880</v>
      </c>
      <c r="F167" s="0" t="s">
        <v>696</v>
      </c>
      <c r="G167" s="0" t="s">
        <v>113</v>
      </c>
      <c r="H167" s="0" t="s">
        <v>7503</v>
      </c>
      <c r="I167" s="0" t="s">
        <v>7338</v>
      </c>
      <c r="J167" s="0" t="s">
        <v>675</v>
      </c>
      <c r="K167" s="0" t="s">
        <v>7339</v>
      </c>
      <c r="L167" s="0" t="s">
        <v>7340</v>
      </c>
      <c r="M167" s="0" t="s">
        <v>7492</v>
      </c>
      <c r="N167" s="0" t="s">
        <v>7342</v>
      </c>
      <c r="O167" s="0" t="s">
        <v>682</v>
      </c>
      <c r="P167" s="0" t="s">
        <v>229</v>
      </c>
      <c r="R167" s="0" t="s">
        <v>7343</v>
      </c>
      <c r="S167" s="0" t="s">
        <v>7344</v>
      </c>
      <c r="T167" s="0" t="s">
        <v>228</v>
      </c>
      <c r="V167" s="0" t="s">
        <v>34</v>
      </c>
      <c r="W167" s="0" t="s">
        <v>46</v>
      </c>
      <c r="X167" s="0" t="s">
        <v>7345</v>
      </c>
      <c r="Y167" s="0" t="s">
        <v>7346</v>
      </c>
      <c r="Z167" s="0" t="s">
        <v>7347</v>
      </c>
      <c r="AA167" s="0" t="s">
        <v>7348</v>
      </c>
      <c r="AB167" s="0" t="s">
        <v>231</v>
      </c>
      <c r="AC167" s="0" t="s">
        <v>7349</v>
      </c>
      <c r="AD167" s="0" t="s">
        <v>7500</v>
      </c>
      <c r="AE167" s="0" t="s">
        <v>7501</v>
      </c>
      <c r="AF167" s="0" t="s">
        <v>7352</v>
      </c>
      <c r="AG167" s="0" t="s">
        <v>230</v>
      </c>
    </row>
    <row r="168" customFormat="false" ht="15" hidden="false" customHeight="false" outlineLevel="0" collapsed="false">
      <c r="A168" s="0" t="s">
        <v>7336</v>
      </c>
      <c r="B168" s="0" t="s">
        <v>881</v>
      </c>
      <c r="C168" s="0" t="s">
        <v>882</v>
      </c>
      <c r="D168" s="0" t="s">
        <v>676</v>
      </c>
      <c r="E168" s="0" t="s">
        <v>883</v>
      </c>
      <c r="F168" s="0" t="s">
        <v>827</v>
      </c>
      <c r="G168" s="0" t="s">
        <v>113</v>
      </c>
      <c r="H168" s="0" t="s">
        <v>7530</v>
      </c>
      <c r="I168" s="0" t="s">
        <v>7338</v>
      </c>
      <c r="J168" s="0" t="s">
        <v>675</v>
      </c>
      <c r="K168" s="0" t="s">
        <v>7339</v>
      </c>
      <c r="L168" s="0" t="s">
        <v>7340</v>
      </c>
      <c r="M168" s="0" t="s">
        <v>7492</v>
      </c>
      <c r="N168" s="0" t="s">
        <v>7342</v>
      </c>
      <c r="O168" s="0" t="s">
        <v>682</v>
      </c>
      <c r="P168" s="0" t="s">
        <v>229</v>
      </c>
      <c r="R168" s="0" t="s">
        <v>7343</v>
      </c>
      <c r="S168" s="0" t="s">
        <v>7344</v>
      </c>
      <c r="T168" s="0" t="s">
        <v>228</v>
      </c>
      <c r="V168" s="0" t="s">
        <v>34</v>
      </c>
      <c r="W168" s="0" t="s">
        <v>36</v>
      </c>
      <c r="X168" s="0" t="s">
        <v>7345</v>
      </c>
      <c r="Y168" s="0" t="s">
        <v>7346</v>
      </c>
      <c r="Z168" s="0" t="s">
        <v>7370</v>
      </c>
      <c r="AA168" s="0" t="s">
        <v>7348</v>
      </c>
      <c r="AB168" s="0" t="s">
        <v>231</v>
      </c>
      <c r="AC168" s="0" t="s">
        <v>7349</v>
      </c>
      <c r="AD168" s="0" t="s">
        <v>7516</v>
      </c>
      <c r="AE168" s="0" t="s">
        <v>7351</v>
      </c>
      <c r="AF168" s="0" t="s">
        <v>7352</v>
      </c>
      <c r="AG168" s="0" t="s">
        <v>230</v>
      </c>
    </row>
    <row r="169" customFormat="false" ht="15" hidden="false" customHeight="false" outlineLevel="0" collapsed="false">
      <c r="A169" s="0" t="s">
        <v>7336</v>
      </c>
      <c r="B169" s="0" t="s">
        <v>884</v>
      </c>
      <c r="C169" s="0" t="s">
        <v>885</v>
      </c>
      <c r="D169" s="0" t="s">
        <v>676</v>
      </c>
      <c r="E169" s="0" t="s">
        <v>886</v>
      </c>
      <c r="F169" s="0" t="s">
        <v>827</v>
      </c>
      <c r="G169" s="0" t="s">
        <v>113</v>
      </c>
      <c r="H169" s="0" t="s">
        <v>7530</v>
      </c>
      <c r="I169" s="0" t="s">
        <v>7338</v>
      </c>
      <c r="J169" s="0" t="s">
        <v>675</v>
      </c>
      <c r="K169" s="0" t="s">
        <v>7339</v>
      </c>
      <c r="L169" s="0" t="s">
        <v>7340</v>
      </c>
      <c r="M169" s="0" t="s">
        <v>7492</v>
      </c>
      <c r="N169" s="0" t="s">
        <v>7342</v>
      </c>
      <c r="O169" s="0" t="s">
        <v>682</v>
      </c>
      <c r="P169" s="0" t="s">
        <v>229</v>
      </c>
      <c r="R169" s="0" t="s">
        <v>7343</v>
      </c>
      <c r="S169" s="0" t="s">
        <v>7344</v>
      </c>
      <c r="T169" s="0" t="s">
        <v>228</v>
      </c>
      <c r="V169" s="0" t="s">
        <v>34</v>
      </c>
      <c r="W169" s="0" t="s">
        <v>36</v>
      </c>
      <c r="X169" s="0" t="s">
        <v>7345</v>
      </c>
      <c r="Y169" s="0" t="s">
        <v>7346</v>
      </c>
      <c r="Z169" s="0" t="s">
        <v>7370</v>
      </c>
      <c r="AA169" s="0" t="s">
        <v>7348</v>
      </c>
      <c r="AB169" s="0" t="s">
        <v>231</v>
      </c>
      <c r="AC169" s="0" t="s">
        <v>7349</v>
      </c>
      <c r="AD169" s="0" t="s">
        <v>7516</v>
      </c>
      <c r="AE169" s="0" t="s">
        <v>7351</v>
      </c>
      <c r="AF169" s="0" t="s">
        <v>7352</v>
      </c>
      <c r="AG169" s="0" t="s">
        <v>230</v>
      </c>
    </row>
    <row r="170" customFormat="false" ht="15" hidden="false" customHeight="false" outlineLevel="0" collapsed="false">
      <c r="A170" s="0" t="s">
        <v>7336</v>
      </c>
      <c r="B170" s="0" t="s">
        <v>887</v>
      </c>
      <c r="C170" s="0" t="s">
        <v>888</v>
      </c>
      <c r="D170" s="0" t="s">
        <v>676</v>
      </c>
      <c r="E170" s="0" t="s">
        <v>889</v>
      </c>
      <c r="F170" s="0" t="s">
        <v>890</v>
      </c>
      <c r="G170" s="0" t="s">
        <v>113</v>
      </c>
      <c r="H170" s="0" t="s">
        <v>7536</v>
      </c>
      <c r="I170" s="0" t="s">
        <v>7338</v>
      </c>
      <c r="J170" s="0" t="s">
        <v>675</v>
      </c>
      <c r="K170" s="0" t="s">
        <v>7339</v>
      </c>
      <c r="L170" s="0" t="s">
        <v>7340</v>
      </c>
      <c r="M170" s="0" t="s">
        <v>7492</v>
      </c>
      <c r="N170" s="0" t="s">
        <v>7342</v>
      </c>
      <c r="O170" s="0" t="s">
        <v>682</v>
      </c>
      <c r="P170" s="0" t="s">
        <v>229</v>
      </c>
      <c r="S170" s="0" t="s">
        <v>7344</v>
      </c>
      <c r="T170" s="0" t="s">
        <v>58</v>
      </c>
      <c r="V170" s="0" t="s">
        <v>55</v>
      </c>
      <c r="W170" s="0" t="s">
        <v>58</v>
      </c>
      <c r="X170" s="0" t="s">
        <v>7345</v>
      </c>
      <c r="Z170" s="0" t="s">
        <v>7493</v>
      </c>
      <c r="AA170" s="0" t="s">
        <v>682</v>
      </c>
      <c r="AB170" s="0" t="s">
        <v>344</v>
      </c>
      <c r="AC170" s="0" t="s">
        <v>7349</v>
      </c>
      <c r="AD170" s="0" t="s">
        <v>682</v>
      </c>
      <c r="AE170" s="0" t="s">
        <v>57</v>
      </c>
      <c r="AF170" s="0" t="s">
        <v>7374</v>
      </c>
      <c r="AG170" s="0" t="s">
        <v>230</v>
      </c>
    </row>
    <row r="171" customFormat="false" ht="15" hidden="false" customHeight="false" outlineLevel="0" collapsed="false">
      <c r="A171" s="0" t="s">
        <v>7336</v>
      </c>
      <c r="B171" s="0" t="s">
        <v>891</v>
      </c>
      <c r="C171" s="0" t="s">
        <v>892</v>
      </c>
      <c r="D171" s="0" t="s">
        <v>676</v>
      </c>
      <c r="E171" s="0" t="s">
        <v>893</v>
      </c>
      <c r="F171" s="0" t="s">
        <v>894</v>
      </c>
      <c r="G171" s="0" t="s">
        <v>113</v>
      </c>
      <c r="H171" s="0" t="s">
        <v>7537</v>
      </c>
      <c r="I171" s="0" t="s">
        <v>7338</v>
      </c>
      <c r="J171" s="0" t="s">
        <v>675</v>
      </c>
      <c r="K171" s="0" t="s">
        <v>7339</v>
      </c>
      <c r="L171" s="0" t="s">
        <v>7340</v>
      </c>
      <c r="M171" s="0" t="s">
        <v>7492</v>
      </c>
      <c r="N171" s="0" t="s">
        <v>7342</v>
      </c>
      <c r="O171" s="0" t="s">
        <v>682</v>
      </c>
      <c r="P171" s="0" t="s">
        <v>229</v>
      </c>
      <c r="S171" s="0" t="s">
        <v>7344</v>
      </c>
      <c r="T171" s="0" t="s">
        <v>58</v>
      </c>
      <c r="V171" s="0" t="s">
        <v>55</v>
      </c>
      <c r="W171" s="0" t="s">
        <v>58</v>
      </c>
      <c r="X171" s="0" t="s">
        <v>7345</v>
      </c>
      <c r="Z171" s="0" t="s">
        <v>7493</v>
      </c>
      <c r="AA171" s="0" t="s">
        <v>682</v>
      </c>
      <c r="AB171" s="0" t="s">
        <v>344</v>
      </c>
      <c r="AC171" s="0" t="s">
        <v>7349</v>
      </c>
      <c r="AD171" s="0" t="s">
        <v>682</v>
      </c>
      <c r="AE171" s="0" t="s">
        <v>57</v>
      </c>
      <c r="AF171" s="0" t="s">
        <v>7374</v>
      </c>
      <c r="AG171" s="0" t="s">
        <v>230</v>
      </c>
    </row>
    <row r="172" customFormat="false" ht="15" hidden="false" customHeight="false" outlineLevel="0" collapsed="false">
      <c r="A172" s="0" t="s">
        <v>7336</v>
      </c>
      <c r="B172" s="0" t="s">
        <v>895</v>
      </c>
      <c r="C172" s="0" t="s">
        <v>896</v>
      </c>
      <c r="D172" s="0" t="s">
        <v>676</v>
      </c>
      <c r="E172" s="0" t="s">
        <v>897</v>
      </c>
      <c r="F172" s="0" t="s">
        <v>898</v>
      </c>
      <c r="G172" s="0" t="s">
        <v>113</v>
      </c>
      <c r="H172" s="0" t="s">
        <v>7538</v>
      </c>
      <c r="I172" s="0" t="s">
        <v>7338</v>
      </c>
      <c r="J172" s="0" t="s">
        <v>675</v>
      </c>
      <c r="K172" s="0" t="s">
        <v>7339</v>
      </c>
      <c r="L172" s="0" t="s">
        <v>7340</v>
      </c>
      <c r="M172" s="0" t="s">
        <v>7492</v>
      </c>
      <c r="N172" s="0" t="s">
        <v>7342</v>
      </c>
      <c r="O172" s="0" t="s">
        <v>682</v>
      </c>
      <c r="P172" s="0" t="s">
        <v>229</v>
      </c>
      <c r="R172" s="0" t="s">
        <v>7343</v>
      </c>
      <c r="S172" s="0" t="s">
        <v>7344</v>
      </c>
      <c r="T172" s="0" t="s">
        <v>58</v>
      </c>
      <c r="V172" s="0" t="s">
        <v>55</v>
      </c>
      <c r="W172" s="0" t="s">
        <v>58</v>
      </c>
      <c r="X172" s="0" t="s">
        <v>7345</v>
      </c>
      <c r="Z172" s="0" t="s">
        <v>7493</v>
      </c>
      <c r="AA172" s="0" t="s">
        <v>682</v>
      </c>
      <c r="AB172" s="0" t="s">
        <v>344</v>
      </c>
      <c r="AC172" s="0" t="s">
        <v>7349</v>
      </c>
      <c r="AD172" s="0" t="s">
        <v>682</v>
      </c>
      <c r="AE172" s="0" t="s">
        <v>57</v>
      </c>
      <c r="AF172" s="0" t="s">
        <v>7374</v>
      </c>
      <c r="AG172" s="0" t="s">
        <v>230</v>
      </c>
    </row>
    <row r="173" customFormat="false" ht="15" hidden="false" customHeight="false" outlineLevel="0" collapsed="false">
      <c r="A173" s="0" t="s">
        <v>7336</v>
      </c>
      <c r="B173" s="0" t="s">
        <v>899</v>
      </c>
      <c r="C173" s="0" t="s">
        <v>900</v>
      </c>
      <c r="D173" s="0" t="s">
        <v>676</v>
      </c>
      <c r="E173" s="0" t="s">
        <v>901</v>
      </c>
      <c r="F173" s="0" t="s">
        <v>827</v>
      </c>
      <c r="G173" s="0" t="s">
        <v>113</v>
      </c>
      <c r="H173" s="0" t="s">
        <v>7530</v>
      </c>
      <c r="I173" s="0" t="s">
        <v>7338</v>
      </c>
      <c r="J173" s="0" t="s">
        <v>675</v>
      </c>
      <c r="K173" s="0" t="s">
        <v>7339</v>
      </c>
      <c r="L173" s="0" t="s">
        <v>7340</v>
      </c>
      <c r="M173" s="0" t="s">
        <v>7492</v>
      </c>
      <c r="N173" s="0" t="s">
        <v>7342</v>
      </c>
      <c r="O173" s="0" t="s">
        <v>682</v>
      </c>
      <c r="P173" s="0" t="s">
        <v>229</v>
      </c>
      <c r="R173" s="0" t="s">
        <v>7343</v>
      </c>
      <c r="S173" s="0" t="s">
        <v>7344</v>
      </c>
      <c r="T173" s="0" t="s">
        <v>228</v>
      </c>
      <c r="V173" s="0" t="s">
        <v>34</v>
      </c>
      <c r="W173" s="0" t="s">
        <v>38</v>
      </c>
      <c r="X173" s="0" t="s">
        <v>7345</v>
      </c>
      <c r="Y173" s="0" t="s">
        <v>7409</v>
      </c>
      <c r="Z173" s="0" t="s">
        <v>7370</v>
      </c>
      <c r="AA173" s="0" t="s">
        <v>7504</v>
      </c>
      <c r="AB173" s="0" t="s">
        <v>231</v>
      </c>
      <c r="AC173" s="0" t="s">
        <v>7349</v>
      </c>
      <c r="AD173" s="0" t="s">
        <v>7505</v>
      </c>
      <c r="AE173" s="0" t="s">
        <v>7506</v>
      </c>
      <c r="AF173" s="0" t="s">
        <v>7374</v>
      </c>
      <c r="AG173" s="0" t="s">
        <v>230</v>
      </c>
    </row>
    <row r="174" customFormat="false" ht="15" hidden="false" customHeight="false" outlineLevel="0" collapsed="false">
      <c r="A174" s="0" t="s">
        <v>7336</v>
      </c>
      <c r="B174" s="0" t="s">
        <v>902</v>
      </c>
      <c r="C174" s="0" t="s">
        <v>903</v>
      </c>
      <c r="D174" s="0" t="s">
        <v>676</v>
      </c>
      <c r="E174" s="0" t="s">
        <v>904</v>
      </c>
      <c r="F174" s="0" t="s">
        <v>827</v>
      </c>
      <c r="G174" s="0" t="s">
        <v>113</v>
      </c>
      <c r="H174" s="0" t="s">
        <v>7530</v>
      </c>
      <c r="I174" s="0" t="s">
        <v>7338</v>
      </c>
      <c r="J174" s="0" t="s">
        <v>675</v>
      </c>
      <c r="K174" s="0" t="s">
        <v>7339</v>
      </c>
      <c r="L174" s="0" t="s">
        <v>7340</v>
      </c>
      <c r="M174" s="0" t="s">
        <v>7492</v>
      </c>
      <c r="N174" s="0" t="s">
        <v>7342</v>
      </c>
      <c r="O174" s="0" t="s">
        <v>682</v>
      </c>
      <c r="P174" s="0" t="s">
        <v>229</v>
      </c>
      <c r="R174" s="0" t="s">
        <v>7343</v>
      </c>
      <c r="S174" s="0" t="s">
        <v>7344</v>
      </c>
      <c r="T174" s="0" t="s">
        <v>228</v>
      </c>
      <c r="V174" s="0" t="s">
        <v>34</v>
      </c>
      <c r="W174" s="0" t="s">
        <v>48</v>
      </c>
      <c r="X174" s="0" t="s">
        <v>7345</v>
      </c>
      <c r="Y174" s="0" t="s">
        <v>7346</v>
      </c>
      <c r="Z174" s="0" t="s">
        <v>7370</v>
      </c>
      <c r="AA174" s="0" t="s">
        <v>7348</v>
      </c>
      <c r="AB174" s="0" t="s">
        <v>231</v>
      </c>
      <c r="AC174" s="0" t="s">
        <v>7349</v>
      </c>
      <c r="AD174" s="0" t="s">
        <v>7512</v>
      </c>
      <c r="AE174" s="0" t="s">
        <v>7351</v>
      </c>
      <c r="AF174" s="0" t="s">
        <v>7352</v>
      </c>
      <c r="AG174" s="0" t="s">
        <v>230</v>
      </c>
    </row>
    <row r="175" customFormat="false" ht="15" hidden="false" customHeight="false" outlineLevel="0" collapsed="false">
      <c r="A175" s="0" t="s">
        <v>7336</v>
      </c>
      <c r="B175" s="0" t="s">
        <v>905</v>
      </c>
      <c r="C175" s="0" t="s">
        <v>906</v>
      </c>
      <c r="D175" s="0" t="s">
        <v>676</v>
      </c>
      <c r="E175" s="0" t="s">
        <v>907</v>
      </c>
      <c r="F175" s="0" t="s">
        <v>716</v>
      </c>
      <c r="G175" s="0" t="s">
        <v>113</v>
      </c>
      <c r="H175" s="0" t="s">
        <v>7511</v>
      </c>
      <c r="I175" s="0" t="s">
        <v>7338</v>
      </c>
      <c r="J175" s="0" t="s">
        <v>675</v>
      </c>
      <c r="K175" s="0" t="s">
        <v>7339</v>
      </c>
      <c r="L175" s="0" t="s">
        <v>7340</v>
      </c>
      <c r="M175" s="0" t="s">
        <v>7492</v>
      </c>
      <c r="N175" s="0" t="s">
        <v>7342</v>
      </c>
      <c r="O175" s="0" t="s">
        <v>682</v>
      </c>
      <c r="P175" s="0" t="s">
        <v>229</v>
      </c>
      <c r="R175" s="0" t="s">
        <v>7343</v>
      </c>
      <c r="S175" s="0" t="s">
        <v>7344</v>
      </c>
      <c r="T175" s="0" t="s">
        <v>228</v>
      </c>
      <c r="V175" s="0" t="s">
        <v>34</v>
      </c>
      <c r="W175" s="0" t="s">
        <v>36</v>
      </c>
      <c r="X175" s="0" t="s">
        <v>7345</v>
      </c>
      <c r="Y175" s="0" t="s">
        <v>7346</v>
      </c>
      <c r="Z175" s="0" t="s">
        <v>7370</v>
      </c>
      <c r="AA175" s="0" t="s">
        <v>7348</v>
      </c>
      <c r="AB175" s="0" t="s">
        <v>231</v>
      </c>
      <c r="AC175" s="0" t="s">
        <v>7349</v>
      </c>
      <c r="AD175" s="0" t="s">
        <v>7512</v>
      </c>
      <c r="AE175" s="0" t="s">
        <v>7351</v>
      </c>
      <c r="AF175" s="0" t="s">
        <v>7352</v>
      </c>
      <c r="AG175" s="0" t="s">
        <v>230</v>
      </c>
    </row>
    <row r="176" customFormat="false" ht="15" hidden="false" customHeight="false" outlineLevel="0" collapsed="false">
      <c r="A176" s="0" t="s">
        <v>7336</v>
      </c>
      <c r="B176" s="0" t="s">
        <v>908</v>
      </c>
      <c r="C176" s="0" t="s">
        <v>909</v>
      </c>
      <c r="D176" s="0" t="s">
        <v>676</v>
      </c>
      <c r="E176" s="0" t="s">
        <v>910</v>
      </c>
      <c r="F176" s="0" t="s">
        <v>716</v>
      </c>
      <c r="G176" s="0" t="s">
        <v>113</v>
      </c>
      <c r="H176" s="0" t="s">
        <v>7511</v>
      </c>
      <c r="I176" s="0" t="s">
        <v>7338</v>
      </c>
      <c r="J176" s="0" t="s">
        <v>675</v>
      </c>
      <c r="K176" s="0" t="s">
        <v>7339</v>
      </c>
      <c r="L176" s="0" t="s">
        <v>7340</v>
      </c>
      <c r="M176" s="0" t="s">
        <v>7492</v>
      </c>
      <c r="N176" s="0" t="s">
        <v>7342</v>
      </c>
      <c r="O176" s="0" t="s">
        <v>682</v>
      </c>
      <c r="P176" s="0" t="s">
        <v>229</v>
      </c>
      <c r="R176" s="0" t="s">
        <v>7343</v>
      </c>
      <c r="S176" s="0" t="s">
        <v>7344</v>
      </c>
      <c r="T176" s="0" t="s">
        <v>228</v>
      </c>
      <c r="V176" s="0" t="s">
        <v>34</v>
      </c>
      <c r="W176" s="0" t="s">
        <v>38</v>
      </c>
      <c r="X176" s="0" t="s">
        <v>7345</v>
      </c>
      <c r="Y176" s="0" t="s">
        <v>7409</v>
      </c>
      <c r="Z176" s="0" t="s">
        <v>7370</v>
      </c>
      <c r="AA176" s="0" t="s">
        <v>7504</v>
      </c>
      <c r="AB176" s="0" t="s">
        <v>231</v>
      </c>
      <c r="AC176" s="0" t="s">
        <v>7349</v>
      </c>
      <c r="AD176" s="0" t="s">
        <v>7505</v>
      </c>
      <c r="AE176" s="0" t="s">
        <v>7506</v>
      </c>
      <c r="AF176" s="0" t="s">
        <v>7374</v>
      </c>
      <c r="AG176" s="0" t="s">
        <v>230</v>
      </c>
    </row>
    <row r="177" customFormat="false" ht="15" hidden="false" customHeight="false" outlineLevel="0" collapsed="false">
      <c r="A177" s="0" t="s">
        <v>7336</v>
      </c>
      <c r="B177" s="0" t="s">
        <v>911</v>
      </c>
      <c r="C177" s="0" t="s">
        <v>912</v>
      </c>
      <c r="D177" s="0" t="s">
        <v>676</v>
      </c>
      <c r="E177" s="0" t="s">
        <v>913</v>
      </c>
      <c r="F177" s="0" t="s">
        <v>716</v>
      </c>
      <c r="G177" s="0" t="s">
        <v>113</v>
      </c>
      <c r="H177" s="0" t="s">
        <v>7511</v>
      </c>
      <c r="I177" s="0" t="s">
        <v>7338</v>
      </c>
      <c r="J177" s="0" t="s">
        <v>675</v>
      </c>
      <c r="K177" s="0" t="s">
        <v>7339</v>
      </c>
      <c r="L177" s="0" t="s">
        <v>7340</v>
      </c>
      <c r="M177" s="0" t="s">
        <v>7492</v>
      </c>
      <c r="N177" s="0" t="s">
        <v>7342</v>
      </c>
      <c r="O177" s="0" t="s">
        <v>682</v>
      </c>
      <c r="P177" s="0" t="s">
        <v>229</v>
      </c>
      <c r="R177" s="0" t="s">
        <v>7343</v>
      </c>
      <c r="S177" s="0" t="s">
        <v>7344</v>
      </c>
      <c r="T177" s="0" t="s">
        <v>228</v>
      </c>
      <c r="V177" s="0" t="s">
        <v>34</v>
      </c>
      <c r="W177" s="0" t="s">
        <v>36</v>
      </c>
      <c r="X177" s="0" t="s">
        <v>7345</v>
      </c>
      <c r="Y177" s="0" t="s">
        <v>7346</v>
      </c>
      <c r="Z177" s="0" t="s">
        <v>7370</v>
      </c>
      <c r="AA177" s="0" t="s">
        <v>7348</v>
      </c>
      <c r="AB177" s="0" t="s">
        <v>231</v>
      </c>
      <c r="AC177" s="0" t="s">
        <v>7349</v>
      </c>
      <c r="AD177" s="0" t="s">
        <v>7512</v>
      </c>
      <c r="AE177" s="0" t="s">
        <v>7351</v>
      </c>
      <c r="AF177" s="0" t="s">
        <v>7352</v>
      </c>
      <c r="AG177" s="0" t="s">
        <v>230</v>
      </c>
    </row>
    <row r="178" customFormat="false" ht="15" hidden="false" customHeight="false" outlineLevel="0" collapsed="false">
      <c r="A178" s="0" t="s">
        <v>7336</v>
      </c>
      <c r="B178" s="0" t="s">
        <v>914</v>
      </c>
      <c r="C178" s="0" t="s">
        <v>915</v>
      </c>
      <c r="D178" s="0" t="s">
        <v>676</v>
      </c>
      <c r="E178" s="0" t="s">
        <v>916</v>
      </c>
      <c r="F178" s="0" t="s">
        <v>917</v>
      </c>
      <c r="G178" s="0" t="s">
        <v>113</v>
      </c>
      <c r="H178" s="0" t="s">
        <v>7539</v>
      </c>
      <c r="I178" s="0" t="s">
        <v>7338</v>
      </c>
      <c r="J178" s="0" t="s">
        <v>675</v>
      </c>
      <c r="K178" s="0" t="s">
        <v>7339</v>
      </c>
      <c r="L178" s="0" t="s">
        <v>7340</v>
      </c>
      <c r="M178" s="0" t="s">
        <v>7492</v>
      </c>
      <c r="N178" s="0" t="s">
        <v>7342</v>
      </c>
      <c r="O178" s="0" t="s">
        <v>682</v>
      </c>
      <c r="P178" s="0" t="s">
        <v>229</v>
      </c>
      <c r="R178" s="0" t="s">
        <v>7343</v>
      </c>
      <c r="S178" s="0" t="s">
        <v>7344</v>
      </c>
      <c r="T178" s="0" t="s">
        <v>58</v>
      </c>
      <c r="V178" s="0" t="s">
        <v>55</v>
      </c>
      <c r="W178" s="0" t="s">
        <v>58</v>
      </c>
      <c r="X178" s="0" t="s">
        <v>7345</v>
      </c>
      <c r="Z178" s="0" t="s">
        <v>7493</v>
      </c>
      <c r="AA178" s="0" t="s">
        <v>682</v>
      </c>
      <c r="AB178" s="0" t="s">
        <v>344</v>
      </c>
      <c r="AC178" s="0" t="s">
        <v>7349</v>
      </c>
      <c r="AD178" s="0" t="s">
        <v>682</v>
      </c>
      <c r="AE178" s="0" t="s">
        <v>57</v>
      </c>
      <c r="AF178" s="0" t="s">
        <v>7374</v>
      </c>
      <c r="AG178" s="0" t="s">
        <v>230</v>
      </c>
    </row>
    <row r="179" customFormat="false" ht="15" hidden="false" customHeight="false" outlineLevel="0" collapsed="false">
      <c r="A179" s="0" t="s">
        <v>7336</v>
      </c>
      <c r="B179" s="0" t="s">
        <v>918</v>
      </c>
      <c r="C179" s="0" t="s">
        <v>919</v>
      </c>
      <c r="D179" s="0" t="s">
        <v>676</v>
      </c>
      <c r="E179" s="0" t="s">
        <v>920</v>
      </c>
      <c r="F179" s="0" t="s">
        <v>803</v>
      </c>
      <c r="G179" s="0" t="s">
        <v>113</v>
      </c>
      <c r="H179" s="0" t="s">
        <v>7526</v>
      </c>
      <c r="I179" s="0" t="s">
        <v>7338</v>
      </c>
      <c r="J179" s="0" t="s">
        <v>675</v>
      </c>
      <c r="K179" s="0" t="s">
        <v>7339</v>
      </c>
      <c r="L179" s="0" t="s">
        <v>7340</v>
      </c>
      <c r="M179" s="0" t="s">
        <v>7492</v>
      </c>
      <c r="N179" s="0" t="s">
        <v>7342</v>
      </c>
      <c r="O179" s="0" t="s">
        <v>682</v>
      </c>
      <c r="P179" s="0" t="s">
        <v>229</v>
      </c>
      <c r="R179" s="0" t="s">
        <v>7343</v>
      </c>
      <c r="S179" s="0" t="s">
        <v>7344</v>
      </c>
      <c r="T179" s="0" t="s">
        <v>228</v>
      </c>
      <c r="V179" s="0" t="s">
        <v>34</v>
      </c>
      <c r="W179" s="0" t="s">
        <v>38</v>
      </c>
      <c r="X179" s="0" t="s">
        <v>7345</v>
      </c>
      <c r="Y179" s="0" t="s">
        <v>7409</v>
      </c>
      <c r="Z179" s="0" t="s">
        <v>7370</v>
      </c>
      <c r="AA179" s="0" t="s">
        <v>7504</v>
      </c>
      <c r="AB179" s="0" t="s">
        <v>231</v>
      </c>
      <c r="AC179" s="0" t="s">
        <v>7349</v>
      </c>
      <c r="AD179" s="0" t="s">
        <v>7505</v>
      </c>
      <c r="AE179" s="0" t="s">
        <v>7506</v>
      </c>
      <c r="AF179" s="0" t="s">
        <v>7374</v>
      </c>
      <c r="AG179" s="0" t="s">
        <v>230</v>
      </c>
    </row>
    <row r="180" customFormat="false" ht="15" hidden="false" customHeight="false" outlineLevel="0" collapsed="false">
      <c r="A180" s="0" t="s">
        <v>7336</v>
      </c>
      <c r="B180" s="0" t="s">
        <v>921</v>
      </c>
      <c r="C180" s="0" t="s">
        <v>922</v>
      </c>
      <c r="D180" s="0" t="s">
        <v>676</v>
      </c>
      <c r="E180" s="0" t="s">
        <v>923</v>
      </c>
      <c r="F180" s="0" t="s">
        <v>924</v>
      </c>
      <c r="G180" s="0" t="s">
        <v>113</v>
      </c>
      <c r="H180" s="0" t="s">
        <v>7540</v>
      </c>
      <c r="I180" s="0" t="s">
        <v>7338</v>
      </c>
      <c r="J180" s="0" t="s">
        <v>675</v>
      </c>
      <c r="K180" s="0" t="s">
        <v>7339</v>
      </c>
      <c r="L180" s="0" t="s">
        <v>7340</v>
      </c>
      <c r="M180" s="0" t="s">
        <v>7492</v>
      </c>
      <c r="N180" s="0" t="s">
        <v>7342</v>
      </c>
      <c r="O180" s="0" t="s">
        <v>682</v>
      </c>
      <c r="P180" s="0" t="s">
        <v>229</v>
      </c>
      <c r="R180" s="0" t="s">
        <v>7343</v>
      </c>
      <c r="S180" s="0" t="s">
        <v>7344</v>
      </c>
      <c r="T180" s="0" t="s">
        <v>681</v>
      </c>
      <c r="V180" s="0" t="s">
        <v>34</v>
      </c>
      <c r="W180" s="0" t="s">
        <v>42</v>
      </c>
      <c r="X180" s="0" t="s">
        <v>7345</v>
      </c>
      <c r="Y180" s="0" t="s">
        <v>7346</v>
      </c>
      <c r="Z180" s="0" t="s">
        <v>7493</v>
      </c>
      <c r="AA180" s="0" t="s">
        <v>7348</v>
      </c>
      <c r="AB180" s="0" t="s">
        <v>231</v>
      </c>
      <c r="AC180" s="0" t="s">
        <v>7349</v>
      </c>
      <c r="AD180" s="0" t="s">
        <v>7514</v>
      </c>
      <c r="AE180" s="0" t="s">
        <v>7351</v>
      </c>
      <c r="AF180" s="0" t="s">
        <v>7374</v>
      </c>
      <c r="AG180" s="0" t="s">
        <v>230</v>
      </c>
    </row>
    <row r="181" customFormat="false" ht="15" hidden="false" customHeight="false" outlineLevel="0" collapsed="false">
      <c r="A181" s="0" t="s">
        <v>7336</v>
      </c>
      <c r="B181" s="0" t="s">
        <v>925</v>
      </c>
      <c r="C181" s="0" t="s">
        <v>926</v>
      </c>
      <c r="D181" s="0" t="s">
        <v>676</v>
      </c>
      <c r="E181" s="0" t="s">
        <v>927</v>
      </c>
      <c r="F181" s="0" t="s">
        <v>928</v>
      </c>
      <c r="G181" s="0" t="s">
        <v>113</v>
      </c>
      <c r="H181" s="0" t="s">
        <v>7541</v>
      </c>
      <c r="I181" s="0" t="s">
        <v>7338</v>
      </c>
      <c r="J181" s="0" t="s">
        <v>675</v>
      </c>
      <c r="K181" s="0" t="s">
        <v>7339</v>
      </c>
      <c r="L181" s="0" t="s">
        <v>7340</v>
      </c>
      <c r="M181" s="0" t="s">
        <v>7492</v>
      </c>
      <c r="N181" s="0" t="s">
        <v>7342</v>
      </c>
      <c r="P181" s="0" t="s">
        <v>229</v>
      </c>
      <c r="R181" s="0" t="s">
        <v>7343</v>
      </c>
      <c r="S181" s="0" t="s">
        <v>7344</v>
      </c>
      <c r="T181" s="0" t="s">
        <v>228</v>
      </c>
      <c r="V181" s="0" t="s">
        <v>34</v>
      </c>
      <c r="W181" s="0" t="s">
        <v>36</v>
      </c>
      <c r="X181" s="0" t="s">
        <v>7345</v>
      </c>
      <c r="Y181" s="0" t="s">
        <v>7346</v>
      </c>
      <c r="Z181" s="0" t="s">
        <v>7347</v>
      </c>
      <c r="AA181" s="0" t="s">
        <v>7348</v>
      </c>
      <c r="AB181" s="0" t="s">
        <v>231</v>
      </c>
      <c r="AC181" s="0" t="s">
        <v>7349</v>
      </c>
      <c r="AD181" s="0" t="s">
        <v>7350</v>
      </c>
      <c r="AE181" s="0" t="s">
        <v>7351</v>
      </c>
      <c r="AF181" s="0" t="s">
        <v>7352</v>
      </c>
      <c r="AG181" s="0" t="s">
        <v>230</v>
      </c>
    </row>
    <row r="182" customFormat="false" ht="15" hidden="false" customHeight="false" outlineLevel="0" collapsed="false">
      <c r="A182" s="0" t="s">
        <v>7336</v>
      </c>
      <c r="B182" s="0" t="s">
        <v>929</v>
      </c>
      <c r="C182" s="0" t="s">
        <v>930</v>
      </c>
      <c r="D182" s="0" t="s">
        <v>676</v>
      </c>
      <c r="E182" s="0" t="s">
        <v>931</v>
      </c>
      <c r="F182" s="0" t="s">
        <v>932</v>
      </c>
      <c r="G182" s="0" t="s">
        <v>113</v>
      </c>
      <c r="H182" s="0" t="s">
        <v>7542</v>
      </c>
      <c r="I182" s="0" t="s">
        <v>7338</v>
      </c>
      <c r="J182" s="0" t="s">
        <v>675</v>
      </c>
      <c r="K182" s="0" t="s">
        <v>7339</v>
      </c>
      <c r="L182" s="0" t="s">
        <v>7340</v>
      </c>
      <c r="M182" s="0" t="s">
        <v>7492</v>
      </c>
      <c r="N182" s="0" t="s">
        <v>7342</v>
      </c>
      <c r="P182" s="0" t="s">
        <v>229</v>
      </c>
      <c r="R182" s="0" t="s">
        <v>7343</v>
      </c>
      <c r="S182" s="0" t="s">
        <v>7344</v>
      </c>
      <c r="T182" s="0" t="s">
        <v>228</v>
      </c>
      <c r="V182" s="0" t="s">
        <v>34</v>
      </c>
      <c r="W182" s="0" t="s">
        <v>36</v>
      </c>
      <c r="X182" s="0" t="s">
        <v>7345</v>
      </c>
      <c r="Y182" s="0" t="s">
        <v>7346</v>
      </c>
      <c r="Z182" s="0" t="s">
        <v>7347</v>
      </c>
      <c r="AA182" s="0" t="s">
        <v>7348</v>
      </c>
      <c r="AB182" s="0" t="s">
        <v>231</v>
      </c>
      <c r="AC182" s="0" t="s">
        <v>7349</v>
      </c>
      <c r="AD182" s="0" t="s">
        <v>7350</v>
      </c>
      <c r="AE182" s="0" t="s">
        <v>7351</v>
      </c>
      <c r="AF182" s="0" t="s">
        <v>7352</v>
      </c>
      <c r="AG182" s="0" t="s">
        <v>230</v>
      </c>
    </row>
    <row r="183" customFormat="false" ht="15" hidden="false" customHeight="false" outlineLevel="0" collapsed="false">
      <c r="A183" s="0" t="s">
        <v>7336</v>
      </c>
      <c r="B183" s="0" t="s">
        <v>933</v>
      </c>
      <c r="C183" s="0" t="s">
        <v>930</v>
      </c>
      <c r="D183" s="0" t="s">
        <v>676</v>
      </c>
      <c r="E183" s="0" t="s">
        <v>931</v>
      </c>
      <c r="F183" s="0" t="s">
        <v>932</v>
      </c>
      <c r="G183" s="0" t="s">
        <v>113</v>
      </c>
      <c r="H183" s="0" t="s">
        <v>7542</v>
      </c>
      <c r="I183" s="0" t="s">
        <v>7338</v>
      </c>
      <c r="J183" s="0" t="s">
        <v>675</v>
      </c>
      <c r="K183" s="0" t="s">
        <v>7339</v>
      </c>
      <c r="L183" s="0" t="s">
        <v>7340</v>
      </c>
      <c r="M183" s="0" t="s">
        <v>7492</v>
      </c>
      <c r="N183" s="0" t="s">
        <v>7342</v>
      </c>
      <c r="P183" s="0" t="s">
        <v>229</v>
      </c>
      <c r="R183" s="0" t="s">
        <v>7343</v>
      </c>
      <c r="S183" s="0" t="s">
        <v>7344</v>
      </c>
      <c r="T183" s="0" t="s">
        <v>681</v>
      </c>
      <c r="V183" s="0" t="s">
        <v>34</v>
      </c>
      <c r="W183" s="0" t="s">
        <v>51</v>
      </c>
      <c r="X183" s="0" t="s">
        <v>7345</v>
      </c>
      <c r="Y183" s="0" t="s">
        <v>7495</v>
      </c>
      <c r="Z183" s="0" t="s">
        <v>7496</v>
      </c>
      <c r="AA183" s="0" t="s">
        <v>7497</v>
      </c>
      <c r="AB183" s="0" t="s">
        <v>682</v>
      </c>
      <c r="AC183" s="0" t="s">
        <v>7349</v>
      </c>
      <c r="AD183" s="0" t="s">
        <v>7498</v>
      </c>
      <c r="AE183" s="0" t="s">
        <v>1341</v>
      </c>
      <c r="AF183" s="0" t="s">
        <v>7499</v>
      </c>
      <c r="AG183" s="0" t="s">
        <v>230</v>
      </c>
    </row>
    <row r="184" customFormat="false" ht="15" hidden="false" customHeight="false" outlineLevel="0" collapsed="false">
      <c r="A184" s="0" t="s">
        <v>7336</v>
      </c>
      <c r="B184" s="0" t="s">
        <v>934</v>
      </c>
      <c r="C184" s="0" t="s">
        <v>935</v>
      </c>
      <c r="D184" s="0" t="s">
        <v>676</v>
      </c>
      <c r="E184" s="0" t="s">
        <v>936</v>
      </c>
      <c r="F184" s="0" t="s">
        <v>937</v>
      </c>
      <c r="G184" s="0" t="s">
        <v>113</v>
      </c>
      <c r="H184" s="0" t="s">
        <v>7543</v>
      </c>
      <c r="I184" s="0" t="s">
        <v>7338</v>
      </c>
      <c r="J184" s="0" t="s">
        <v>675</v>
      </c>
      <c r="K184" s="0" t="s">
        <v>7339</v>
      </c>
      <c r="L184" s="0" t="s">
        <v>7340</v>
      </c>
      <c r="M184" s="0" t="s">
        <v>7492</v>
      </c>
      <c r="N184" s="0" t="s">
        <v>7342</v>
      </c>
      <c r="P184" s="0" t="s">
        <v>229</v>
      </c>
      <c r="R184" s="0" t="s">
        <v>7343</v>
      </c>
      <c r="S184" s="0" t="s">
        <v>7344</v>
      </c>
      <c r="T184" s="0" t="s">
        <v>228</v>
      </c>
      <c r="V184" s="0" t="s">
        <v>34</v>
      </c>
      <c r="W184" s="0" t="s">
        <v>38</v>
      </c>
      <c r="X184" s="0" t="s">
        <v>7345</v>
      </c>
      <c r="Y184" s="0" t="s">
        <v>7409</v>
      </c>
      <c r="Z184" s="0" t="s">
        <v>7370</v>
      </c>
      <c r="AA184" s="0" t="s">
        <v>7504</v>
      </c>
      <c r="AB184" s="0" t="s">
        <v>231</v>
      </c>
      <c r="AC184" s="0" t="s">
        <v>7349</v>
      </c>
      <c r="AD184" s="0" t="s">
        <v>7505</v>
      </c>
      <c r="AE184" s="0" t="s">
        <v>7506</v>
      </c>
      <c r="AF184" s="0" t="s">
        <v>7374</v>
      </c>
      <c r="AG184" s="0" t="s">
        <v>230</v>
      </c>
    </row>
    <row r="185" customFormat="false" ht="15" hidden="false" customHeight="false" outlineLevel="0" collapsed="false">
      <c r="A185" s="0" t="s">
        <v>7336</v>
      </c>
      <c r="B185" s="0" t="s">
        <v>938</v>
      </c>
      <c r="C185" s="0" t="s">
        <v>939</v>
      </c>
      <c r="D185" s="0" t="s">
        <v>676</v>
      </c>
      <c r="E185" s="0" t="s">
        <v>940</v>
      </c>
      <c r="F185" s="0" t="s">
        <v>941</v>
      </c>
      <c r="G185" s="0" t="s">
        <v>113</v>
      </c>
      <c r="H185" s="0" t="s">
        <v>7544</v>
      </c>
      <c r="I185" s="0" t="s">
        <v>7338</v>
      </c>
      <c r="J185" s="0" t="s">
        <v>675</v>
      </c>
      <c r="K185" s="0" t="s">
        <v>7339</v>
      </c>
      <c r="L185" s="0" t="s">
        <v>7340</v>
      </c>
      <c r="M185" s="0" t="s">
        <v>7492</v>
      </c>
      <c r="N185" s="0" t="s">
        <v>7342</v>
      </c>
      <c r="P185" s="0" t="s">
        <v>229</v>
      </c>
      <c r="R185" s="0" t="s">
        <v>7343</v>
      </c>
      <c r="S185" s="0" t="s">
        <v>7344</v>
      </c>
      <c r="T185" s="0" t="s">
        <v>228</v>
      </c>
      <c r="V185" s="0" t="s">
        <v>34</v>
      </c>
      <c r="W185" s="0" t="s">
        <v>38</v>
      </c>
      <c r="X185" s="0" t="s">
        <v>7345</v>
      </c>
      <c r="Y185" s="0" t="s">
        <v>7409</v>
      </c>
      <c r="Z185" s="0" t="s">
        <v>7370</v>
      </c>
      <c r="AA185" s="0" t="s">
        <v>7504</v>
      </c>
      <c r="AB185" s="0" t="s">
        <v>231</v>
      </c>
      <c r="AC185" s="0" t="s">
        <v>7349</v>
      </c>
      <c r="AD185" s="0" t="s">
        <v>7505</v>
      </c>
      <c r="AE185" s="0" t="s">
        <v>7506</v>
      </c>
      <c r="AF185" s="0" t="s">
        <v>7374</v>
      </c>
      <c r="AG185" s="0" t="s">
        <v>230</v>
      </c>
    </row>
    <row r="186" customFormat="false" ht="15" hidden="false" customHeight="false" outlineLevel="0" collapsed="false">
      <c r="A186" s="0" t="s">
        <v>7336</v>
      </c>
      <c r="B186" s="0" t="s">
        <v>942</v>
      </c>
      <c r="C186" s="0" t="s">
        <v>943</v>
      </c>
      <c r="D186" s="0" t="s">
        <v>676</v>
      </c>
      <c r="E186" s="0" t="s">
        <v>944</v>
      </c>
      <c r="F186" s="0" t="s">
        <v>945</v>
      </c>
      <c r="G186" s="0" t="s">
        <v>113</v>
      </c>
      <c r="H186" s="0" t="s">
        <v>7545</v>
      </c>
      <c r="I186" s="0" t="s">
        <v>7338</v>
      </c>
      <c r="J186" s="0" t="s">
        <v>675</v>
      </c>
      <c r="K186" s="0" t="s">
        <v>7339</v>
      </c>
      <c r="L186" s="0" t="s">
        <v>7340</v>
      </c>
      <c r="M186" s="0" t="s">
        <v>7492</v>
      </c>
      <c r="N186" s="0" t="s">
        <v>7342</v>
      </c>
      <c r="P186" s="0" t="s">
        <v>229</v>
      </c>
      <c r="R186" s="0" t="s">
        <v>7343</v>
      </c>
      <c r="S186" s="0" t="s">
        <v>7344</v>
      </c>
      <c r="T186" s="0" t="s">
        <v>228</v>
      </c>
      <c r="V186" s="0" t="s">
        <v>34</v>
      </c>
      <c r="W186" s="0" t="s">
        <v>38</v>
      </c>
      <c r="X186" s="0" t="s">
        <v>7345</v>
      </c>
      <c r="Y186" s="0" t="s">
        <v>7409</v>
      </c>
      <c r="Z186" s="0" t="s">
        <v>7370</v>
      </c>
      <c r="AA186" s="0" t="s">
        <v>7504</v>
      </c>
      <c r="AB186" s="0" t="s">
        <v>231</v>
      </c>
      <c r="AC186" s="0" t="s">
        <v>7349</v>
      </c>
      <c r="AD186" s="0" t="s">
        <v>7505</v>
      </c>
      <c r="AE186" s="0" t="s">
        <v>7506</v>
      </c>
      <c r="AF186" s="0" t="s">
        <v>7374</v>
      </c>
      <c r="AG186" s="0" t="s">
        <v>230</v>
      </c>
    </row>
    <row r="187" customFormat="false" ht="15" hidden="false" customHeight="false" outlineLevel="0" collapsed="false">
      <c r="A187" s="0" t="s">
        <v>7336</v>
      </c>
      <c r="B187" s="0" t="s">
        <v>946</v>
      </c>
      <c r="C187" s="0" t="s">
        <v>947</v>
      </c>
      <c r="D187" s="0" t="s">
        <v>676</v>
      </c>
      <c r="E187" s="0" t="s">
        <v>948</v>
      </c>
      <c r="F187" s="0" t="s">
        <v>949</v>
      </c>
      <c r="G187" s="0" t="s">
        <v>113</v>
      </c>
      <c r="H187" s="0" t="s">
        <v>7546</v>
      </c>
      <c r="I187" s="0" t="s">
        <v>7338</v>
      </c>
      <c r="J187" s="0" t="s">
        <v>675</v>
      </c>
      <c r="K187" s="0" t="s">
        <v>7339</v>
      </c>
      <c r="L187" s="0" t="s">
        <v>7340</v>
      </c>
      <c r="M187" s="0" t="s">
        <v>7492</v>
      </c>
      <c r="N187" s="0" t="s">
        <v>7342</v>
      </c>
      <c r="P187" s="0" t="s">
        <v>229</v>
      </c>
      <c r="R187" s="0" t="s">
        <v>7343</v>
      </c>
      <c r="S187" s="0" t="s">
        <v>7344</v>
      </c>
      <c r="T187" s="0" t="s">
        <v>228</v>
      </c>
      <c r="V187" s="0" t="s">
        <v>34</v>
      </c>
      <c r="W187" s="0" t="s">
        <v>38</v>
      </c>
      <c r="X187" s="0" t="s">
        <v>7345</v>
      </c>
      <c r="Y187" s="0" t="s">
        <v>7409</v>
      </c>
      <c r="Z187" s="0" t="s">
        <v>7370</v>
      </c>
      <c r="AA187" s="0" t="s">
        <v>7504</v>
      </c>
      <c r="AB187" s="0" t="s">
        <v>231</v>
      </c>
      <c r="AC187" s="0" t="s">
        <v>7349</v>
      </c>
      <c r="AD187" s="0" t="s">
        <v>7505</v>
      </c>
      <c r="AE187" s="0" t="s">
        <v>7506</v>
      </c>
      <c r="AF187" s="0" t="s">
        <v>7374</v>
      </c>
      <c r="AG187" s="0" t="s">
        <v>230</v>
      </c>
    </row>
    <row r="188" customFormat="false" ht="15" hidden="false" customHeight="false" outlineLevel="0" collapsed="false">
      <c r="A188" s="0" t="s">
        <v>7336</v>
      </c>
      <c r="B188" s="0" t="s">
        <v>950</v>
      </c>
      <c r="C188" s="0" t="s">
        <v>951</v>
      </c>
      <c r="D188" s="0" t="s">
        <v>676</v>
      </c>
      <c r="E188" s="0" t="s">
        <v>952</v>
      </c>
      <c r="F188" s="0" t="s">
        <v>953</v>
      </c>
      <c r="G188" s="0" t="s">
        <v>113</v>
      </c>
      <c r="H188" s="0" t="s">
        <v>7547</v>
      </c>
      <c r="I188" s="0" t="s">
        <v>7338</v>
      </c>
      <c r="J188" s="0" t="s">
        <v>675</v>
      </c>
      <c r="K188" s="0" t="s">
        <v>7339</v>
      </c>
      <c r="L188" s="0" t="s">
        <v>7340</v>
      </c>
      <c r="M188" s="0" t="s">
        <v>7492</v>
      </c>
      <c r="N188" s="0" t="s">
        <v>7342</v>
      </c>
      <c r="P188" s="0" t="s">
        <v>229</v>
      </c>
      <c r="R188" s="0" t="s">
        <v>7343</v>
      </c>
      <c r="S188" s="0" t="s">
        <v>7344</v>
      </c>
      <c r="T188" s="0" t="s">
        <v>228</v>
      </c>
      <c r="V188" s="0" t="s">
        <v>34</v>
      </c>
      <c r="W188" s="0" t="s">
        <v>38</v>
      </c>
      <c r="X188" s="0" t="s">
        <v>7345</v>
      </c>
      <c r="Y188" s="0" t="s">
        <v>7409</v>
      </c>
      <c r="Z188" s="0" t="s">
        <v>7370</v>
      </c>
      <c r="AA188" s="0" t="s">
        <v>7504</v>
      </c>
      <c r="AB188" s="0" t="s">
        <v>231</v>
      </c>
      <c r="AC188" s="0" t="s">
        <v>7349</v>
      </c>
      <c r="AD188" s="0" t="s">
        <v>7505</v>
      </c>
      <c r="AE188" s="0" t="s">
        <v>7506</v>
      </c>
      <c r="AF188" s="0" t="s">
        <v>7374</v>
      </c>
      <c r="AG188" s="0" t="s">
        <v>230</v>
      </c>
    </row>
    <row r="189" customFormat="false" ht="15" hidden="false" customHeight="false" outlineLevel="0" collapsed="false">
      <c r="A189" s="0" t="s">
        <v>7336</v>
      </c>
      <c r="B189" s="0" t="s">
        <v>954</v>
      </c>
      <c r="C189" s="0" t="s">
        <v>955</v>
      </c>
      <c r="D189" s="0" t="s">
        <v>676</v>
      </c>
      <c r="E189" s="0" t="s">
        <v>956</v>
      </c>
      <c r="F189" s="0" t="s">
        <v>957</v>
      </c>
      <c r="G189" s="0" t="s">
        <v>113</v>
      </c>
      <c r="H189" s="0" t="s">
        <v>7548</v>
      </c>
      <c r="I189" s="0" t="s">
        <v>7338</v>
      </c>
      <c r="J189" s="0" t="s">
        <v>675</v>
      </c>
      <c r="K189" s="0" t="s">
        <v>7339</v>
      </c>
      <c r="L189" s="0" t="s">
        <v>7340</v>
      </c>
      <c r="M189" s="0" t="s">
        <v>7492</v>
      </c>
      <c r="N189" s="0" t="s">
        <v>7342</v>
      </c>
      <c r="P189" s="0" t="s">
        <v>229</v>
      </c>
      <c r="R189" s="0" t="s">
        <v>7343</v>
      </c>
      <c r="S189" s="0" t="s">
        <v>7344</v>
      </c>
      <c r="T189" s="0" t="s">
        <v>228</v>
      </c>
      <c r="V189" s="0" t="s">
        <v>34</v>
      </c>
      <c r="W189" s="0" t="s">
        <v>38</v>
      </c>
      <c r="X189" s="0" t="s">
        <v>7345</v>
      </c>
      <c r="Y189" s="0" t="s">
        <v>7409</v>
      </c>
      <c r="Z189" s="0" t="s">
        <v>7370</v>
      </c>
      <c r="AA189" s="0" t="s">
        <v>7504</v>
      </c>
      <c r="AB189" s="0" t="s">
        <v>231</v>
      </c>
      <c r="AC189" s="0" t="s">
        <v>7349</v>
      </c>
      <c r="AD189" s="0" t="s">
        <v>7505</v>
      </c>
      <c r="AE189" s="0" t="s">
        <v>7506</v>
      </c>
      <c r="AF189" s="0" t="s">
        <v>7374</v>
      </c>
      <c r="AG189" s="0" t="s">
        <v>230</v>
      </c>
    </row>
    <row r="190" customFormat="false" ht="15" hidden="false" customHeight="false" outlineLevel="0" collapsed="false">
      <c r="A190" s="0" t="s">
        <v>7336</v>
      </c>
      <c r="B190" s="0" t="s">
        <v>958</v>
      </c>
      <c r="C190" s="0" t="s">
        <v>959</v>
      </c>
      <c r="D190" s="0" t="s">
        <v>676</v>
      </c>
      <c r="E190" s="0" t="s">
        <v>960</v>
      </c>
      <c r="F190" s="0" t="s">
        <v>961</v>
      </c>
      <c r="G190" s="0" t="s">
        <v>113</v>
      </c>
      <c r="H190" s="0" t="s">
        <v>7549</v>
      </c>
      <c r="I190" s="0" t="s">
        <v>7338</v>
      </c>
      <c r="J190" s="0" t="s">
        <v>675</v>
      </c>
      <c r="K190" s="0" t="s">
        <v>7339</v>
      </c>
      <c r="L190" s="0" t="s">
        <v>7340</v>
      </c>
      <c r="M190" s="0" t="s">
        <v>7492</v>
      </c>
      <c r="N190" s="0" t="s">
        <v>7342</v>
      </c>
      <c r="P190" s="0" t="s">
        <v>229</v>
      </c>
      <c r="R190" s="0" t="s">
        <v>7343</v>
      </c>
      <c r="S190" s="0" t="s">
        <v>7344</v>
      </c>
      <c r="T190" s="0" t="s">
        <v>228</v>
      </c>
      <c r="V190" s="0" t="s">
        <v>34</v>
      </c>
      <c r="W190" s="0" t="s">
        <v>38</v>
      </c>
      <c r="X190" s="0" t="s">
        <v>7345</v>
      </c>
      <c r="Y190" s="0" t="s">
        <v>7409</v>
      </c>
      <c r="Z190" s="0" t="s">
        <v>7370</v>
      </c>
      <c r="AA190" s="0" t="s">
        <v>7504</v>
      </c>
      <c r="AB190" s="0" t="s">
        <v>231</v>
      </c>
      <c r="AC190" s="0" t="s">
        <v>7349</v>
      </c>
      <c r="AD190" s="0" t="s">
        <v>7505</v>
      </c>
      <c r="AE190" s="0" t="s">
        <v>7506</v>
      </c>
      <c r="AF190" s="0" t="s">
        <v>7374</v>
      </c>
      <c r="AG190" s="0" t="s">
        <v>230</v>
      </c>
    </row>
    <row r="191" customFormat="false" ht="15" hidden="false" customHeight="false" outlineLevel="0" collapsed="false">
      <c r="A191" s="0" t="s">
        <v>7336</v>
      </c>
      <c r="B191" s="0" t="s">
        <v>962</v>
      </c>
      <c r="C191" s="0" t="s">
        <v>963</v>
      </c>
      <c r="D191" s="0" t="s">
        <v>676</v>
      </c>
      <c r="E191" s="0" t="s">
        <v>964</v>
      </c>
      <c r="F191" s="0" t="s">
        <v>965</v>
      </c>
      <c r="G191" s="0" t="s">
        <v>113</v>
      </c>
      <c r="H191" s="0" t="s">
        <v>7550</v>
      </c>
      <c r="I191" s="0" t="s">
        <v>7338</v>
      </c>
      <c r="J191" s="0" t="s">
        <v>675</v>
      </c>
      <c r="K191" s="0" t="s">
        <v>7339</v>
      </c>
      <c r="L191" s="0" t="s">
        <v>7340</v>
      </c>
      <c r="M191" s="0" t="s">
        <v>7492</v>
      </c>
      <c r="N191" s="0" t="s">
        <v>7342</v>
      </c>
      <c r="P191" s="0" t="s">
        <v>229</v>
      </c>
      <c r="R191" s="0" t="s">
        <v>7343</v>
      </c>
      <c r="S191" s="0" t="s">
        <v>7344</v>
      </c>
      <c r="T191" s="0" t="s">
        <v>228</v>
      </c>
      <c r="V191" s="0" t="s">
        <v>34</v>
      </c>
      <c r="W191" s="0" t="s">
        <v>38</v>
      </c>
      <c r="X191" s="0" t="s">
        <v>7345</v>
      </c>
      <c r="Y191" s="0" t="s">
        <v>7409</v>
      </c>
      <c r="Z191" s="0" t="s">
        <v>7370</v>
      </c>
      <c r="AA191" s="0" t="s">
        <v>7504</v>
      </c>
      <c r="AB191" s="0" t="s">
        <v>231</v>
      </c>
      <c r="AC191" s="0" t="s">
        <v>7349</v>
      </c>
      <c r="AD191" s="0" t="s">
        <v>7505</v>
      </c>
      <c r="AE191" s="0" t="s">
        <v>7506</v>
      </c>
      <c r="AF191" s="0" t="s">
        <v>7374</v>
      </c>
      <c r="AG191" s="0" t="s">
        <v>230</v>
      </c>
    </row>
    <row r="192" customFormat="false" ht="15" hidden="false" customHeight="false" outlineLevel="0" collapsed="false">
      <c r="A192" s="0" t="s">
        <v>7336</v>
      </c>
      <c r="B192" s="0" t="s">
        <v>966</v>
      </c>
      <c r="C192" s="0" t="s">
        <v>967</v>
      </c>
      <c r="D192" s="0" t="s">
        <v>676</v>
      </c>
      <c r="E192" s="0" t="s">
        <v>968</v>
      </c>
      <c r="F192" s="0" t="s">
        <v>969</v>
      </c>
      <c r="G192" s="0" t="s">
        <v>113</v>
      </c>
      <c r="H192" s="0" t="s">
        <v>7551</v>
      </c>
      <c r="I192" s="0" t="s">
        <v>7338</v>
      </c>
      <c r="J192" s="0" t="s">
        <v>675</v>
      </c>
      <c r="K192" s="0" t="s">
        <v>7339</v>
      </c>
      <c r="L192" s="0" t="s">
        <v>7340</v>
      </c>
      <c r="M192" s="0" t="s">
        <v>7492</v>
      </c>
      <c r="N192" s="0" t="s">
        <v>7342</v>
      </c>
      <c r="P192" s="0" t="s">
        <v>229</v>
      </c>
      <c r="R192" s="0" t="s">
        <v>7343</v>
      </c>
      <c r="S192" s="0" t="s">
        <v>7344</v>
      </c>
      <c r="T192" s="0" t="s">
        <v>228</v>
      </c>
      <c r="V192" s="0" t="s">
        <v>34</v>
      </c>
      <c r="W192" s="0" t="s">
        <v>38</v>
      </c>
      <c r="X192" s="0" t="s">
        <v>7345</v>
      </c>
      <c r="Y192" s="0" t="s">
        <v>7409</v>
      </c>
      <c r="Z192" s="0" t="s">
        <v>7370</v>
      </c>
      <c r="AA192" s="0" t="s">
        <v>7504</v>
      </c>
      <c r="AB192" s="0" t="s">
        <v>231</v>
      </c>
      <c r="AC192" s="0" t="s">
        <v>7349</v>
      </c>
      <c r="AD192" s="0" t="s">
        <v>7505</v>
      </c>
      <c r="AE192" s="0" t="s">
        <v>7506</v>
      </c>
      <c r="AF192" s="0" t="s">
        <v>7374</v>
      </c>
      <c r="AG192" s="0" t="s">
        <v>230</v>
      </c>
    </row>
    <row r="193" customFormat="false" ht="15" hidden="false" customHeight="false" outlineLevel="0" collapsed="false">
      <c r="A193" s="0" t="s">
        <v>7336</v>
      </c>
      <c r="B193" s="0" t="s">
        <v>970</v>
      </c>
      <c r="C193" s="0" t="s">
        <v>971</v>
      </c>
      <c r="D193" s="0" t="s">
        <v>676</v>
      </c>
      <c r="E193" s="0" t="s">
        <v>972</v>
      </c>
      <c r="F193" s="0" t="s">
        <v>973</v>
      </c>
      <c r="G193" s="0" t="s">
        <v>113</v>
      </c>
      <c r="H193" s="0" t="s">
        <v>7552</v>
      </c>
      <c r="I193" s="0" t="s">
        <v>7338</v>
      </c>
      <c r="J193" s="0" t="s">
        <v>675</v>
      </c>
      <c r="K193" s="0" t="s">
        <v>7339</v>
      </c>
      <c r="L193" s="0" t="s">
        <v>7340</v>
      </c>
      <c r="M193" s="0" t="s">
        <v>7492</v>
      </c>
      <c r="N193" s="0" t="s">
        <v>7342</v>
      </c>
      <c r="P193" s="0" t="s">
        <v>229</v>
      </c>
      <c r="R193" s="0" t="s">
        <v>7343</v>
      </c>
      <c r="S193" s="0" t="s">
        <v>7344</v>
      </c>
      <c r="T193" s="0" t="s">
        <v>228</v>
      </c>
      <c r="V193" s="0" t="s">
        <v>34</v>
      </c>
      <c r="W193" s="0" t="s">
        <v>38</v>
      </c>
      <c r="X193" s="0" t="s">
        <v>7345</v>
      </c>
      <c r="Y193" s="0" t="s">
        <v>7409</v>
      </c>
      <c r="Z193" s="0" t="s">
        <v>7370</v>
      </c>
      <c r="AA193" s="0" t="s">
        <v>7504</v>
      </c>
      <c r="AB193" s="0" t="s">
        <v>231</v>
      </c>
      <c r="AC193" s="0" t="s">
        <v>7349</v>
      </c>
      <c r="AD193" s="0" t="s">
        <v>7505</v>
      </c>
      <c r="AE193" s="0" t="s">
        <v>7506</v>
      </c>
      <c r="AF193" s="0" t="s">
        <v>7374</v>
      </c>
      <c r="AG193" s="0" t="s">
        <v>230</v>
      </c>
    </row>
    <row r="194" customFormat="false" ht="15" hidden="false" customHeight="false" outlineLevel="0" collapsed="false">
      <c r="A194" s="0" t="s">
        <v>7336</v>
      </c>
      <c r="B194" s="0" t="s">
        <v>974</v>
      </c>
      <c r="C194" s="0" t="s">
        <v>975</v>
      </c>
      <c r="D194" s="0" t="s">
        <v>676</v>
      </c>
      <c r="E194" s="0" t="s">
        <v>976</v>
      </c>
      <c r="F194" s="0" t="s">
        <v>977</v>
      </c>
      <c r="G194" s="0" t="s">
        <v>113</v>
      </c>
      <c r="H194" s="0" t="s">
        <v>7553</v>
      </c>
      <c r="I194" s="0" t="s">
        <v>7338</v>
      </c>
      <c r="J194" s="0" t="s">
        <v>675</v>
      </c>
      <c r="K194" s="0" t="s">
        <v>7339</v>
      </c>
      <c r="L194" s="0" t="s">
        <v>7340</v>
      </c>
      <c r="M194" s="0" t="s">
        <v>7492</v>
      </c>
      <c r="N194" s="0" t="s">
        <v>7342</v>
      </c>
      <c r="P194" s="0" t="s">
        <v>229</v>
      </c>
      <c r="R194" s="0" t="s">
        <v>7343</v>
      </c>
      <c r="S194" s="0" t="s">
        <v>7344</v>
      </c>
      <c r="T194" s="0" t="s">
        <v>228</v>
      </c>
      <c r="V194" s="0" t="s">
        <v>34</v>
      </c>
      <c r="W194" s="0" t="s">
        <v>38</v>
      </c>
      <c r="X194" s="0" t="s">
        <v>7345</v>
      </c>
      <c r="Y194" s="0" t="s">
        <v>7409</v>
      </c>
      <c r="Z194" s="0" t="s">
        <v>7370</v>
      </c>
      <c r="AA194" s="0" t="s">
        <v>7504</v>
      </c>
      <c r="AB194" s="0" t="s">
        <v>231</v>
      </c>
      <c r="AC194" s="0" t="s">
        <v>7349</v>
      </c>
      <c r="AD194" s="0" t="s">
        <v>7505</v>
      </c>
      <c r="AE194" s="0" t="s">
        <v>7506</v>
      </c>
      <c r="AF194" s="0" t="s">
        <v>7374</v>
      </c>
      <c r="AG194" s="0" t="s">
        <v>230</v>
      </c>
    </row>
    <row r="195" customFormat="false" ht="15" hidden="false" customHeight="false" outlineLevel="0" collapsed="false">
      <c r="A195" s="0" t="s">
        <v>7336</v>
      </c>
      <c r="B195" s="0" t="s">
        <v>978</v>
      </c>
      <c r="C195" s="0" t="s">
        <v>979</v>
      </c>
      <c r="D195" s="0" t="s">
        <v>676</v>
      </c>
      <c r="E195" s="0" t="s">
        <v>980</v>
      </c>
      <c r="F195" s="0" t="s">
        <v>981</v>
      </c>
      <c r="G195" s="0" t="s">
        <v>113</v>
      </c>
      <c r="H195" s="0" t="s">
        <v>7554</v>
      </c>
      <c r="I195" s="0" t="s">
        <v>7338</v>
      </c>
      <c r="J195" s="0" t="s">
        <v>675</v>
      </c>
      <c r="K195" s="0" t="s">
        <v>7339</v>
      </c>
      <c r="L195" s="0" t="s">
        <v>7340</v>
      </c>
      <c r="M195" s="0" t="s">
        <v>7492</v>
      </c>
      <c r="N195" s="0" t="s">
        <v>7342</v>
      </c>
      <c r="O195" s="0" t="s">
        <v>682</v>
      </c>
      <c r="P195" s="0" t="s">
        <v>229</v>
      </c>
      <c r="R195" s="0" t="s">
        <v>7343</v>
      </c>
      <c r="S195" s="0" t="s">
        <v>7344</v>
      </c>
      <c r="T195" s="0" t="s">
        <v>228</v>
      </c>
      <c r="V195" s="0" t="s">
        <v>34</v>
      </c>
      <c r="W195" s="0" t="s">
        <v>36</v>
      </c>
      <c r="X195" s="0" t="s">
        <v>7345</v>
      </c>
      <c r="Y195" s="0" t="s">
        <v>7346</v>
      </c>
      <c r="Z195" s="0" t="s">
        <v>7370</v>
      </c>
      <c r="AA195" s="0" t="s">
        <v>7348</v>
      </c>
      <c r="AB195" s="0" t="s">
        <v>231</v>
      </c>
      <c r="AC195" s="0" t="s">
        <v>7349</v>
      </c>
      <c r="AD195" s="0" t="s">
        <v>7516</v>
      </c>
      <c r="AE195" s="0" t="s">
        <v>7351</v>
      </c>
      <c r="AF195" s="0" t="s">
        <v>7352</v>
      </c>
      <c r="AG195" s="0" t="s">
        <v>230</v>
      </c>
    </row>
    <row r="196" customFormat="false" ht="15" hidden="false" customHeight="false" outlineLevel="0" collapsed="false">
      <c r="A196" s="0" t="s">
        <v>7336</v>
      </c>
      <c r="B196" s="0" t="s">
        <v>982</v>
      </c>
      <c r="C196" s="0" t="s">
        <v>983</v>
      </c>
      <c r="D196" s="0" t="s">
        <v>676</v>
      </c>
      <c r="E196" s="0" t="s">
        <v>984</v>
      </c>
      <c r="F196" s="0" t="s">
        <v>985</v>
      </c>
      <c r="G196" s="0" t="s">
        <v>113</v>
      </c>
      <c r="H196" s="0" t="s">
        <v>7555</v>
      </c>
      <c r="I196" s="0" t="s">
        <v>7338</v>
      </c>
      <c r="J196" s="0" t="s">
        <v>675</v>
      </c>
      <c r="K196" s="0" t="s">
        <v>7339</v>
      </c>
      <c r="L196" s="0" t="s">
        <v>7340</v>
      </c>
      <c r="M196" s="0" t="s">
        <v>7492</v>
      </c>
      <c r="N196" s="0" t="s">
        <v>7342</v>
      </c>
      <c r="P196" s="0" t="s">
        <v>229</v>
      </c>
      <c r="R196" s="0" t="s">
        <v>7343</v>
      </c>
      <c r="S196" s="0" t="s">
        <v>7344</v>
      </c>
      <c r="T196" s="0" t="s">
        <v>228</v>
      </c>
      <c r="V196" s="0" t="s">
        <v>34</v>
      </c>
      <c r="W196" s="0" t="s">
        <v>38</v>
      </c>
      <c r="X196" s="0" t="s">
        <v>7345</v>
      </c>
      <c r="Y196" s="0" t="s">
        <v>7409</v>
      </c>
      <c r="Z196" s="0" t="s">
        <v>7370</v>
      </c>
      <c r="AA196" s="0" t="s">
        <v>7504</v>
      </c>
      <c r="AB196" s="0" t="s">
        <v>231</v>
      </c>
      <c r="AC196" s="0" t="s">
        <v>7349</v>
      </c>
      <c r="AD196" s="0" t="s">
        <v>7505</v>
      </c>
      <c r="AE196" s="0" t="s">
        <v>7506</v>
      </c>
      <c r="AF196" s="0" t="s">
        <v>7374</v>
      </c>
      <c r="AG196" s="0" t="s">
        <v>230</v>
      </c>
    </row>
    <row r="197" customFormat="false" ht="15" hidden="false" customHeight="false" outlineLevel="0" collapsed="false">
      <c r="A197" s="0" t="s">
        <v>7336</v>
      </c>
      <c r="B197" s="0" t="s">
        <v>986</v>
      </c>
      <c r="C197" s="0" t="s">
        <v>987</v>
      </c>
      <c r="D197" s="0" t="s">
        <v>676</v>
      </c>
      <c r="E197" s="0" t="s">
        <v>988</v>
      </c>
      <c r="F197" s="0" t="s">
        <v>989</v>
      </c>
      <c r="G197" s="0" t="s">
        <v>113</v>
      </c>
      <c r="H197" s="0" t="s">
        <v>7556</v>
      </c>
      <c r="I197" s="0" t="s">
        <v>7338</v>
      </c>
      <c r="J197" s="0" t="s">
        <v>675</v>
      </c>
      <c r="K197" s="0" t="s">
        <v>7339</v>
      </c>
      <c r="L197" s="0" t="s">
        <v>7340</v>
      </c>
      <c r="M197" s="0" t="s">
        <v>7492</v>
      </c>
      <c r="N197" s="0" t="s">
        <v>7342</v>
      </c>
      <c r="P197" s="0" t="s">
        <v>229</v>
      </c>
      <c r="R197" s="0" t="s">
        <v>7343</v>
      </c>
      <c r="S197" s="0" t="s">
        <v>7344</v>
      </c>
      <c r="T197" s="0" t="s">
        <v>228</v>
      </c>
      <c r="V197" s="0" t="s">
        <v>34</v>
      </c>
      <c r="W197" s="0" t="s">
        <v>36</v>
      </c>
      <c r="X197" s="0" t="s">
        <v>7345</v>
      </c>
      <c r="Y197" s="0" t="s">
        <v>7346</v>
      </c>
      <c r="Z197" s="0" t="s">
        <v>7347</v>
      </c>
      <c r="AA197" s="0" t="s">
        <v>7348</v>
      </c>
      <c r="AB197" s="0" t="s">
        <v>231</v>
      </c>
      <c r="AC197" s="0" t="s">
        <v>7349</v>
      </c>
      <c r="AD197" s="0" t="s">
        <v>7350</v>
      </c>
      <c r="AE197" s="0" t="s">
        <v>7351</v>
      </c>
      <c r="AF197" s="0" t="s">
        <v>7352</v>
      </c>
      <c r="AG197" s="0" t="s">
        <v>230</v>
      </c>
    </row>
    <row r="198" customFormat="false" ht="15" hidden="false" customHeight="false" outlineLevel="0" collapsed="false">
      <c r="A198" s="0" t="s">
        <v>7336</v>
      </c>
      <c r="B198" s="0" t="s">
        <v>990</v>
      </c>
      <c r="C198" s="0" t="s">
        <v>991</v>
      </c>
      <c r="D198" s="0" t="s">
        <v>676</v>
      </c>
      <c r="E198" s="0" t="s">
        <v>992</v>
      </c>
      <c r="F198" s="0" t="s">
        <v>993</v>
      </c>
      <c r="G198" s="0" t="s">
        <v>113</v>
      </c>
      <c r="H198" s="0" t="s">
        <v>7557</v>
      </c>
      <c r="I198" s="0" t="s">
        <v>7338</v>
      </c>
      <c r="J198" s="0" t="s">
        <v>675</v>
      </c>
      <c r="K198" s="0" t="s">
        <v>7339</v>
      </c>
      <c r="L198" s="0" t="s">
        <v>7340</v>
      </c>
      <c r="M198" s="0" t="s">
        <v>7492</v>
      </c>
      <c r="N198" s="0" t="s">
        <v>7342</v>
      </c>
      <c r="P198" s="0" t="s">
        <v>229</v>
      </c>
      <c r="R198" s="0" t="s">
        <v>7343</v>
      </c>
      <c r="S198" s="0" t="s">
        <v>7344</v>
      </c>
      <c r="T198" s="0" t="s">
        <v>228</v>
      </c>
      <c r="V198" s="0" t="s">
        <v>34</v>
      </c>
      <c r="W198" s="0" t="s">
        <v>36</v>
      </c>
      <c r="X198" s="0" t="s">
        <v>7345</v>
      </c>
      <c r="Y198" s="0" t="s">
        <v>7346</v>
      </c>
      <c r="Z198" s="0" t="s">
        <v>7347</v>
      </c>
      <c r="AA198" s="0" t="s">
        <v>7348</v>
      </c>
      <c r="AB198" s="0" t="s">
        <v>231</v>
      </c>
      <c r="AC198" s="0" t="s">
        <v>7349</v>
      </c>
      <c r="AD198" s="0" t="s">
        <v>7350</v>
      </c>
      <c r="AE198" s="0" t="s">
        <v>7351</v>
      </c>
      <c r="AF198" s="0" t="s">
        <v>7352</v>
      </c>
      <c r="AG198" s="0" t="s">
        <v>230</v>
      </c>
    </row>
    <row r="199" customFormat="false" ht="15" hidden="false" customHeight="false" outlineLevel="0" collapsed="false">
      <c r="A199" s="0" t="s">
        <v>7336</v>
      </c>
      <c r="B199" s="0" t="s">
        <v>994</v>
      </c>
      <c r="C199" s="0" t="s">
        <v>995</v>
      </c>
      <c r="D199" s="0" t="s">
        <v>676</v>
      </c>
      <c r="E199" s="0" t="s">
        <v>996</v>
      </c>
      <c r="F199" s="0" t="s">
        <v>993</v>
      </c>
      <c r="G199" s="0" t="s">
        <v>113</v>
      </c>
      <c r="H199" s="0" t="s">
        <v>7557</v>
      </c>
      <c r="I199" s="0" t="s">
        <v>7338</v>
      </c>
      <c r="J199" s="0" t="s">
        <v>675</v>
      </c>
      <c r="K199" s="0" t="s">
        <v>7339</v>
      </c>
      <c r="L199" s="0" t="s">
        <v>7340</v>
      </c>
      <c r="M199" s="0" t="s">
        <v>7492</v>
      </c>
      <c r="N199" s="0" t="s">
        <v>7342</v>
      </c>
      <c r="O199" s="0" t="s">
        <v>682</v>
      </c>
      <c r="P199" s="0" t="s">
        <v>229</v>
      </c>
      <c r="R199" s="0" t="s">
        <v>7343</v>
      </c>
      <c r="S199" s="0" t="s">
        <v>7344</v>
      </c>
      <c r="T199" s="0" t="s">
        <v>228</v>
      </c>
      <c r="V199" s="0" t="s">
        <v>34</v>
      </c>
      <c r="W199" s="0" t="s">
        <v>38</v>
      </c>
      <c r="X199" s="0" t="s">
        <v>7345</v>
      </c>
      <c r="Y199" s="0" t="s">
        <v>7409</v>
      </c>
      <c r="Z199" s="0" t="s">
        <v>7370</v>
      </c>
      <c r="AA199" s="0" t="s">
        <v>7504</v>
      </c>
      <c r="AB199" s="0" t="s">
        <v>231</v>
      </c>
      <c r="AC199" s="0" t="s">
        <v>7349</v>
      </c>
      <c r="AD199" s="0" t="s">
        <v>7505</v>
      </c>
      <c r="AE199" s="0" t="s">
        <v>7506</v>
      </c>
      <c r="AF199" s="0" t="s">
        <v>7374</v>
      </c>
      <c r="AG199" s="0" t="s">
        <v>230</v>
      </c>
    </row>
    <row r="200" customFormat="false" ht="15" hidden="false" customHeight="false" outlineLevel="0" collapsed="false">
      <c r="A200" s="0" t="s">
        <v>7336</v>
      </c>
      <c r="B200" s="0" t="s">
        <v>997</v>
      </c>
      <c r="C200" s="0" t="s">
        <v>998</v>
      </c>
      <c r="D200" s="0" t="s">
        <v>676</v>
      </c>
      <c r="E200" s="0" t="s">
        <v>999</v>
      </c>
      <c r="F200" s="0" t="s">
        <v>1000</v>
      </c>
      <c r="G200" s="0" t="s">
        <v>113</v>
      </c>
      <c r="H200" s="0" t="s">
        <v>7558</v>
      </c>
      <c r="I200" s="0" t="s">
        <v>7338</v>
      </c>
      <c r="J200" s="0" t="s">
        <v>675</v>
      </c>
      <c r="K200" s="0" t="s">
        <v>7339</v>
      </c>
      <c r="L200" s="0" t="s">
        <v>7340</v>
      </c>
      <c r="M200" s="0" t="s">
        <v>7492</v>
      </c>
      <c r="N200" s="0" t="s">
        <v>7342</v>
      </c>
      <c r="O200" s="0" t="s">
        <v>682</v>
      </c>
      <c r="P200" s="0" t="s">
        <v>229</v>
      </c>
      <c r="R200" s="0" t="s">
        <v>7343</v>
      </c>
      <c r="S200" s="0" t="s">
        <v>7344</v>
      </c>
      <c r="T200" s="0" t="s">
        <v>681</v>
      </c>
      <c r="V200" s="0" t="s">
        <v>34</v>
      </c>
      <c r="W200" s="0" t="s">
        <v>51</v>
      </c>
      <c r="X200" s="0" t="s">
        <v>7345</v>
      </c>
      <c r="Y200" s="0" t="s">
        <v>7495</v>
      </c>
      <c r="Z200" s="0" t="s">
        <v>7496</v>
      </c>
      <c r="AA200" s="0" t="s">
        <v>7497</v>
      </c>
      <c r="AB200" s="0" t="s">
        <v>682</v>
      </c>
      <c r="AC200" s="0" t="s">
        <v>7349</v>
      </c>
      <c r="AD200" s="0" t="s">
        <v>7498</v>
      </c>
      <c r="AE200" s="0" t="s">
        <v>1341</v>
      </c>
      <c r="AF200" s="0" t="s">
        <v>7499</v>
      </c>
      <c r="AG200" s="0" t="s">
        <v>230</v>
      </c>
    </row>
    <row r="201" customFormat="false" ht="15" hidden="false" customHeight="false" outlineLevel="0" collapsed="false">
      <c r="A201" s="0" t="s">
        <v>7336</v>
      </c>
      <c r="B201" s="0" t="s">
        <v>1001</v>
      </c>
      <c r="C201" s="0" t="s">
        <v>1002</v>
      </c>
      <c r="D201" s="0" t="s">
        <v>676</v>
      </c>
      <c r="E201" s="0" t="s">
        <v>1003</v>
      </c>
      <c r="F201" s="0" t="s">
        <v>1004</v>
      </c>
      <c r="G201" s="0" t="s">
        <v>113</v>
      </c>
      <c r="H201" s="0" t="s">
        <v>7559</v>
      </c>
      <c r="I201" s="0" t="s">
        <v>7338</v>
      </c>
      <c r="J201" s="0" t="s">
        <v>675</v>
      </c>
      <c r="K201" s="0" t="s">
        <v>7339</v>
      </c>
      <c r="L201" s="0" t="s">
        <v>7340</v>
      </c>
      <c r="M201" s="0" t="s">
        <v>7492</v>
      </c>
      <c r="N201" s="0" t="s">
        <v>7342</v>
      </c>
      <c r="P201" s="0" t="s">
        <v>229</v>
      </c>
      <c r="S201" s="0" t="s">
        <v>7344</v>
      </c>
      <c r="T201" s="0" t="s">
        <v>58</v>
      </c>
      <c r="V201" s="0" t="s">
        <v>55</v>
      </c>
      <c r="W201" s="0" t="s">
        <v>58</v>
      </c>
      <c r="X201" s="0" t="s">
        <v>7345</v>
      </c>
      <c r="Z201" s="0" t="s">
        <v>7493</v>
      </c>
      <c r="AA201" s="0" t="s">
        <v>682</v>
      </c>
      <c r="AB201" s="0" t="s">
        <v>344</v>
      </c>
      <c r="AC201" s="0" t="s">
        <v>7349</v>
      </c>
      <c r="AD201" s="0" t="s">
        <v>682</v>
      </c>
      <c r="AE201" s="0" t="s">
        <v>57</v>
      </c>
      <c r="AF201" s="0" t="s">
        <v>7374</v>
      </c>
      <c r="AG201" s="0" t="s">
        <v>230</v>
      </c>
    </row>
    <row r="202" customFormat="false" ht="15" hidden="false" customHeight="false" outlineLevel="0" collapsed="false">
      <c r="A202" s="0" t="s">
        <v>7336</v>
      </c>
      <c r="B202" s="0" t="s">
        <v>1005</v>
      </c>
      <c r="C202" s="0" t="s">
        <v>1006</v>
      </c>
      <c r="D202" s="0" t="s">
        <v>676</v>
      </c>
      <c r="E202" s="0" t="s">
        <v>1007</v>
      </c>
      <c r="F202" s="0" t="s">
        <v>1004</v>
      </c>
      <c r="G202" s="0" t="s">
        <v>113</v>
      </c>
      <c r="H202" s="0" t="s">
        <v>7559</v>
      </c>
      <c r="I202" s="0" t="s">
        <v>7338</v>
      </c>
      <c r="J202" s="0" t="s">
        <v>675</v>
      </c>
      <c r="K202" s="0" t="s">
        <v>7339</v>
      </c>
      <c r="L202" s="0" t="s">
        <v>7340</v>
      </c>
      <c r="M202" s="0" t="s">
        <v>7492</v>
      </c>
      <c r="N202" s="0" t="s">
        <v>7342</v>
      </c>
      <c r="O202" s="0" t="s">
        <v>682</v>
      </c>
      <c r="P202" s="0" t="s">
        <v>229</v>
      </c>
      <c r="R202" s="0" t="s">
        <v>7343</v>
      </c>
      <c r="S202" s="0" t="s">
        <v>7344</v>
      </c>
      <c r="T202" s="0" t="s">
        <v>681</v>
      </c>
      <c r="V202" s="0" t="s">
        <v>34</v>
      </c>
      <c r="W202" s="0" t="s">
        <v>51</v>
      </c>
      <c r="X202" s="0" t="s">
        <v>7345</v>
      </c>
      <c r="Y202" s="0" t="s">
        <v>7495</v>
      </c>
      <c r="Z202" s="0" t="s">
        <v>7496</v>
      </c>
      <c r="AA202" s="0" t="s">
        <v>7497</v>
      </c>
      <c r="AB202" s="0" t="s">
        <v>682</v>
      </c>
      <c r="AC202" s="0" t="s">
        <v>7349</v>
      </c>
      <c r="AD202" s="0" t="s">
        <v>7498</v>
      </c>
      <c r="AE202" s="0" t="s">
        <v>1341</v>
      </c>
      <c r="AF202" s="0" t="s">
        <v>7499</v>
      </c>
      <c r="AG202" s="0" t="s">
        <v>230</v>
      </c>
    </row>
    <row r="203" customFormat="false" ht="15" hidden="false" customHeight="false" outlineLevel="0" collapsed="false">
      <c r="A203" s="0" t="s">
        <v>7336</v>
      </c>
      <c r="B203" s="0" t="s">
        <v>1008</v>
      </c>
      <c r="C203" s="0" t="s">
        <v>1009</v>
      </c>
      <c r="D203" s="0" t="s">
        <v>676</v>
      </c>
      <c r="E203" s="0" t="s">
        <v>1010</v>
      </c>
      <c r="F203" s="0" t="s">
        <v>1004</v>
      </c>
      <c r="G203" s="0" t="s">
        <v>113</v>
      </c>
      <c r="H203" s="0" t="s">
        <v>7559</v>
      </c>
      <c r="I203" s="0" t="s">
        <v>7338</v>
      </c>
      <c r="J203" s="0" t="s">
        <v>675</v>
      </c>
      <c r="K203" s="0" t="s">
        <v>7339</v>
      </c>
      <c r="L203" s="0" t="s">
        <v>7340</v>
      </c>
      <c r="M203" s="0" t="s">
        <v>7492</v>
      </c>
      <c r="N203" s="0" t="s">
        <v>7342</v>
      </c>
      <c r="O203" s="0" t="s">
        <v>682</v>
      </c>
      <c r="P203" s="0" t="s">
        <v>229</v>
      </c>
      <c r="R203" s="0" t="s">
        <v>7343</v>
      </c>
      <c r="S203" s="0" t="s">
        <v>7344</v>
      </c>
      <c r="T203" s="0" t="s">
        <v>228</v>
      </c>
      <c r="V203" s="0" t="s">
        <v>34</v>
      </c>
      <c r="W203" s="0" t="s">
        <v>38</v>
      </c>
      <c r="X203" s="0" t="s">
        <v>7345</v>
      </c>
      <c r="Y203" s="0" t="s">
        <v>7409</v>
      </c>
      <c r="Z203" s="0" t="s">
        <v>7370</v>
      </c>
      <c r="AA203" s="0" t="s">
        <v>7504</v>
      </c>
      <c r="AB203" s="0" t="s">
        <v>231</v>
      </c>
      <c r="AC203" s="0" t="s">
        <v>7349</v>
      </c>
      <c r="AD203" s="0" t="s">
        <v>7505</v>
      </c>
      <c r="AE203" s="0" t="s">
        <v>7506</v>
      </c>
      <c r="AF203" s="0" t="s">
        <v>7374</v>
      </c>
      <c r="AG203" s="0" t="s">
        <v>230</v>
      </c>
    </row>
    <row r="204" customFormat="false" ht="15" hidden="false" customHeight="false" outlineLevel="0" collapsed="false">
      <c r="A204" s="0" t="s">
        <v>7336</v>
      </c>
      <c r="B204" s="0" t="s">
        <v>1011</v>
      </c>
      <c r="C204" s="0" t="s">
        <v>1012</v>
      </c>
      <c r="D204" s="0" t="s">
        <v>676</v>
      </c>
      <c r="E204" s="0" t="s">
        <v>1013</v>
      </c>
      <c r="F204" s="0" t="s">
        <v>1014</v>
      </c>
      <c r="G204" s="0" t="s">
        <v>113</v>
      </c>
      <c r="H204" s="0" t="s">
        <v>7560</v>
      </c>
      <c r="I204" s="0" t="s">
        <v>7338</v>
      </c>
      <c r="J204" s="0" t="s">
        <v>675</v>
      </c>
      <c r="K204" s="0" t="s">
        <v>7339</v>
      </c>
      <c r="L204" s="0" t="s">
        <v>7340</v>
      </c>
      <c r="M204" s="0" t="s">
        <v>7492</v>
      </c>
      <c r="N204" s="0" t="s">
        <v>7342</v>
      </c>
      <c r="O204" s="0" t="s">
        <v>682</v>
      </c>
      <c r="P204" s="0" t="s">
        <v>229</v>
      </c>
      <c r="R204" s="0" t="s">
        <v>7343</v>
      </c>
      <c r="S204" s="0" t="s">
        <v>7344</v>
      </c>
      <c r="T204" s="0" t="s">
        <v>681</v>
      </c>
      <c r="V204" s="0" t="s">
        <v>34</v>
      </c>
      <c r="W204" s="0" t="s">
        <v>51</v>
      </c>
      <c r="X204" s="0" t="s">
        <v>7345</v>
      </c>
      <c r="Y204" s="0" t="s">
        <v>7495</v>
      </c>
      <c r="Z204" s="0" t="s">
        <v>7496</v>
      </c>
      <c r="AA204" s="0" t="s">
        <v>7497</v>
      </c>
      <c r="AB204" s="0" t="s">
        <v>682</v>
      </c>
      <c r="AC204" s="0" t="s">
        <v>7349</v>
      </c>
      <c r="AD204" s="0" t="s">
        <v>7498</v>
      </c>
      <c r="AE204" s="0" t="s">
        <v>1341</v>
      </c>
      <c r="AF204" s="0" t="s">
        <v>7499</v>
      </c>
      <c r="AG204" s="0" t="s">
        <v>230</v>
      </c>
    </row>
    <row r="205" customFormat="false" ht="15" hidden="false" customHeight="false" outlineLevel="0" collapsed="false">
      <c r="A205" s="0" t="s">
        <v>7336</v>
      </c>
      <c r="B205" s="0" t="s">
        <v>1015</v>
      </c>
      <c r="C205" s="0" t="s">
        <v>1016</v>
      </c>
      <c r="D205" s="0" t="s">
        <v>676</v>
      </c>
      <c r="E205" s="0" t="s">
        <v>1017</v>
      </c>
      <c r="F205" s="0" t="s">
        <v>1014</v>
      </c>
      <c r="G205" s="0" t="s">
        <v>113</v>
      </c>
      <c r="H205" s="0" t="s">
        <v>7560</v>
      </c>
      <c r="I205" s="0" t="s">
        <v>7338</v>
      </c>
      <c r="J205" s="0" t="s">
        <v>675</v>
      </c>
      <c r="K205" s="0" t="s">
        <v>7339</v>
      </c>
      <c r="L205" s="0" t="s">
        <v>7340</v>
      </c>
      <c r="M205" s="0" t="s">
        <v>7492</v>
      </c>
      <c r="N205" s="0" t="s">
        <v>7342</v>
      </c>
      <c r="P205" s="0" t="s">
        <v>229</v>
      </c>
      <c r="S205" s="0" t="s">
        <v>7344</v>
      </c>
      <c r="T205" s="0" t="s">
        <v>58</v>
      </c>
      <c r="V205" s="0" t="s">
        <v>55</v>
      </c>
      <c r="W205" s="0" t="s">
        <v>58</v>
      </c>
      <c r="X205" s="0" t="s">
        <v>7345</v>
      </c>
      <c r="Z205" s="0" t="s">
        <v>7493</v>
      </c>
      <c r="AA205" s="0" t="s">
        <v>682</v>
      </c>
      <c r="AB205" s="0" t="s">
        <v>344</v>
      </c>
      <c r="AC205" s="0" t="s">
        <v>7349</v>
      </c>
      <c r="AD205" s="0" t="s">
        <v>682</v>
      </c>
      <c r="AE205" s="0" t="s">
        <v>57</v>
      </c>
      <c r="AF205" s="0" t="s">
        <v>7374</v>
      </c>
      <c r="AG205" s="0" t="s">
        <v>230</v>
      </c>
    </row>
    <row r="206" customFormat="false" ht="15" hidden="false" customHeight="false" outlineLevel="0" collapsed="false">
      <c r="A206" s="0" t="s">
        <v>7336</v>
      </c>
      <c r="B206" s="0" t="s">
        <v>1018</v>
      </c>
      <c r="C206" s="0" t="s">
        <v>1019</v>
      </c>
      <c r="D206" s="0" t="s">
        <v>676</v>
      </c>
      <c r="E206" s="0" t="s">
        <v>1020</v>
      </c>
      <c r="F206" s="0" t="s">
        <v>1014</v>
      </c>
      <c r="G206" s="0" t="s">
        <v>113</v>
      </c>
      <c r="H206" s="0" t="s">
        <v>7560</v>
      </c>
      <c r="I206" s="0" t="s">
        <v>7338</v>
      </c>
      <c r="J206" s="0" t="s">
        <v>675</v>
      </c>
      <c r="K206" s="0" t="s">
        <v>7339</v>
      </c>
      <c r="L206" s="0" t="s">
        <v>7340</v>
      </c>
      <c r="M206" s="0" t="s">
        <v>7492</v>
      </c>
      <c r="N206" s="0" t="s">
        <v>7342</v>
      </c>
      <c r="O206" s="0" t="s">
        <v>682</v>
      </c>
      <c r="P206" s="0" t="s">
        <v>229</v>
      </c>
      <c r="R206" s="0" t="s">
        <v>7343</v>
      </c>
      <c r="S206" s="0" t="s">
        <v>7344</v>
      </c>
      <c r="T206" s="0" t="s">
        <v>228</v>
      </c>
      <c r="V206" s="0" t="s">
        <v>34</v>
      </c>
      <c r="W206" s="0" t="s">
        <v>38</v>
      </c>
      <c r="X206" s="0" t="s">
        <v>7345</v>
      </c>
      <c r="Y206" s="0" t="s">
        <v>7409</v>
      </c>
      <c r="Z206" s="0" t="s">
        <v>7370</v>
      </c>
      <c r="AA206" s="0" t="s">
        <v>7504</v>
      </c>
      <c r="AB206" s="0" t="s">
        <v>231</v>
      </c>
      <c r="AC206" s="0" t="s">
        <v>7349</v>
      </c>
      <c r="AD206" s="0" t="s">
        <v>7505</v>
      </c>
      <c r="AE206" s="0" t="s">
        <v>7506</v>
      </c>
      <c r="AF206" s="0" t="s">
        <v>7374</v>
      </c>
      <c r="AG206" s="0" t="s">
        <v>230</v>
      </c>
    </row>
    <row r="207" customFormat="false" ht="15" hidden="false" customHeight="false" outlineLevel="0" collapsed="false">
      <c r="A207" s="0" t="s">
        <v>7336</v>
      </c>
      <c r="B207" s="0" t="s">
        <v>1021</v>
      </c>
      <c r="C207" s="0" t="s">
        <v>1022</v>
      </c>
      <c r="D207" s="0" t="s">
        <v>676</v>
      </c>
      <c r="E207" s="0" t="s">
        <v>1023</v>
      </c>
      <c r="F207" s="0" t="s">
        <v>1024</v>
      </c>
      <c r="G207" s="0" t="s">
        <v>113</v>
      </c>
      <c r="H207" s="0" t="s">
        <v>7561</v>
      </c>
      <c r="I207" s="0" t="s">
        <v>7338</v>
      </c>
      <c r="J207" s="0" t="s">
        <v>675</v>
      </c>
      <c r="K207" s="0" t="s">
        <v>7339</v>
      </c>
      <c r="L207" s="0" t="s">
        <v>7340</v>
      </c>
      <c r="M207" s="0" t="s">
        <v>7492</v>
      </c>
      <c r="N207" s="0" t="s">
        <v>7342</v>
      </c>
      <c r="O207" s="0" t="s">
        <v>682</v>
      </c>
      <c r="P207" s="0" t="s">
        <v>229</v>
      </c>
      <c r="R207" s="0" t="s">
        <v>7343</v>
      </c>
      <c r="S207" s="0" t="s">
        <v>7344</v>
      </c>
      <c r="T207" s="0" t="s">
        <v>681</v>
      </c>
      <c r="V207" s="0" t="s">
        <v>34</v>
      </c>
      <c r="W207" s="0" t="s">
        <v>51</v>
      </c>
      <c r="X207" s="0" t="s">
        <v>7345</v>
      </c>
      <c r="Y207" s="0" t="s">
        <v>7495</v>
      </c>
      <c r="Z207" s="0" t="s">
        <v>7496</v>
      </c>
      <c r="AA207" s="0" t="s">
        <v>7497</v>
      </c>
      <c r="AB207" s="0" t="s">
        <v>682</v>
      </c>
      <c r="AC207" s="0" t="s">
        <v>7349</v>
      </c>
      <c r="AD207" s="0" t="s">
        <v>7498</v>
      </c>
      <c r="AE207" s="0" t="s">
        <v>1341</v>
      </c>
      <c r="AF207" s="0" t="s">
        <v>7499</v>
      </c>
      <c r="AG207" s="0" t="s">
        <v>230</v>
      </c>
    </row>
    <row r="208" customFormat="false" ht="15" hidden="false" customHeight="false" outlineLevel="0" collapsed="false">
      <c r="A208" s="0" t="s">
        <v>7336</v>
      </c>
      <c r="B208" s="0" t="s">
        <v>1025</v>
      </c>
      <c r="C208" s="0" t="s">
        <v>1026</v>
      </c>
      <c r="D208" s="0" t="s">
        <v>676</v>
      </c>
      <c r="E208" s="0" t="s">
        <v>1027</v>
      </c>
      <c r="F208" s="0" t="s">
        <v>811</v>
      </c>
      <c r="G208" s="0" t="s">
        <v>113</v>
      </c>
      <c r="H208" s="0" t="s">
        <v>7529</v>
      </c>
      <c r="I208" s="0" t="s">
        <v>7338</v>
      </c>
      <c r="J208" s="0" t="s">
        <v>675</v>
      </c>
      <c r="K208" s="0" t="s">
        <v>7339</v>
      </c>
      <c r="L208" s="0" t="s">
        <v>7340</v>
      </c>
      <c r="M208" s="0" t="s">
        <v>7492</v>
      </c>
      <c r="N208" s="0" t="s">
        <v>7342</v>
      </c>
      <c r="O208" s="0" t="s">
        <v>682</v>
      </c>
      <c r="P208" s="0" t="s">
        <v>229</v>
      </c>
      <c r="R208" s="0" t="s">
        <v>7343</v>
      </c>
      <c r="S208" s="0" t="s">
        <v>7344</v>
      </c>
      <c r="T208" s="0" t="s">
        <v>228</v>
      </c>
      <c r="V208" s="0" t="s">
        <v>34</v>
      </c>
      <c r="W208" s="0" t="s">
        <v>38</v>
      </c>
      <c r="X208" s="0" t="s">
        <v>7345</v>
      </c>
      <c r="Y208" s="0" t="s">
        <v>7409</v>
      </c>
      <c r="Z208" s="0" t="s">
        <v>7370</v>
      </c>
      <c r="AA208" s="0" t="s">
        <v>7504</v>
      </c>
      <c r="AB208" s="0" t="s">
        <v>231</v>
      </c>
      <c r="AC208" s="0" t="s">
        <v>7349</v>
      </c>
      <c r="AD208" s="0" t="s">
        <v>7505</v>
      </c>
      <c r="AE208" s="0" t="s">
        <v>7506</v>
      </c>
      <c r="AF208" s="0" t="s">
        <v>7374</v>
      </c>
      <c r="AG208" s="0" t="s">
        <v>230</v>
      </c>
    </row>
    <row r="209" customFormat="false" ht="15" hidden="false" customHeight="false" outlineLevel="0" collapsed="false">
      <c r="A209" s="0" t="s">
        <v>7336</v>
      </c>
      <c r="B209" s="0" t="s">
        <v>1028</v>
      </c>
      <c r="C209" s="0" t="s">
        <v>809</v>
      </c>
      <c r="D209" s="0" t="s">
        <v>676</v>
      </c>
      <c r="E209" s="0" t="s">
        <v>810</v>
      </c>
      <c r="F209" s="0" t="s">
        <v>811</v>
      </c>
      <c r="G209" s="0" t="s">
        <v>113</v>
      </c>
      <c r="H209" s="0" t="s">
        <v>7529</v>
      </c>
      <c r="I209" s="0" t="s">
        <v>7338</v>
      </c>
      <c r="J209" s="0" t="s">
        <v>675</v>
      </c>
      <c r="K209" s="0" t="s">
        <v>7339</v>
      </c>
      <c r="L209" s="0" t="s">
        <v>7340</v>
      </c>
      <c r="M209" s="0" t="s">
        <v>7492</v>
      </c>
      <c r="N209" s="0" t="s">
        <v>7342</v>
      </c>
      <c r="P209" s="0" t="s">
        <v>229</v>
      </c>
      <c r="R209" s="0" t="s">
        <v>7343</v>
      </c>
      <c r="S209" s="0" t="s">
        <v>7344</v>
      </c>
      <c r="T209" s="0" t="s">
        <v>228</v>
      </c>
      <c r="V209" s="0" t="s">
        <v>34</v>
      </c>
      <c r="W209" s="0" t="s">
        <v>36</v>
      </c>
      <c r="X209" s="0" t="s">
        <v>7345</v>
      </c>
      <c r="Y209" s="0" t="s">
        <v>7346</v>
      </c>
      <c r="Z209" s="0" t="s">
        <v>7347</v>
      </c>
      <c r="AA209" s="0" t="s">
        <v>7348</v>
      </c>
      <c r="AB209" s="0" t="s">
        <v>231</v>
      </c>
      <c r="AC209" s="0" t="s">
        <v>7349</v>
      </c>
      <c r="AD209" s="0" t="s">
        <v>7350</v>
      </c>
      <c r="AE209" s="0" t="s">
        <v>7351</v>
      </c>
      <c r="AF209" s="0" t="s">
        <v>7352</v>
      </c>
      <c r="AG209" s="0" t="s">
        <v>230</v>
      </c>
    </row>
    <row r="210" customFormat="false" ht="15" hidden="false" customHeight="false" outlineLevel="0" collapsed="false">
      <c r="A210" s="0" t="s">
        <v>7336</v>
      </c>
      <c r="B210" s="0" t="s">
        <v>1029</v>
      </c>
      <c r="C210" s="0" t="s">
        <v>1030</v>
      </c>
      <c r="D210" s="0" t="s">
        <v>676</v>
      </c>
      <c r="E210" s="0" t="s">
        <v>1031</v>
      </c>
      <c r="F210" s="0" t="s">
        <v>1032</v>
      </c>
      <c r="G210" s="0" t="s">
        <v>113</v>
      </c>
      <c r="H210" s="0" t="s">
        <v>7562</v>
      </c>
      <c r="I210" s="0" t="s">
        <v>7338</v>
      </c>
      <c r="J210" s="0" t="s">
        <v>675</v>
      </c>
      <c r="K210" s="0" t="s">
        <v>7339</v>
      </c>
      <c r="L210" s="0" t="s">
        <v>7340</v>
      </c>
      <c r="M210" s="0" t="s">
        <v>7492</v>
      </c>
      <c r="N210" s="0" t="s">
        <v>7342</v>
      </c>
      <c r="P210" s="0" t="s">
        <v>229</v>
      </c>
      <c r="R210" s="0" t="s">
        <v>7343</v>
      </c>
      <c r="S210" s="0" t="s">
        <v>7344</v>
      </c>
      <c r="T210" s="0" t="s">
        <v>228</v>
      </c>
      <c r="V210" s="0" t="s">
        <v>34</v>
      </c>
      <c r="W210" s="0" t="s">
        <v>38</v>
      </c>
      <c r="X210" s="0" t="s">
        <v>7345</v>
      </c>
      <c r="Y210" s="0" t="s">
        <v>7409</v>
      </c>
      <c r="Z210" s="0" t="s">
        <v>7370</v>
      </c>
      <c r="AA210" s="0" t="s">
        <v>7504</v>
      </c>
      <c r="AB210" s="0" t="s">
        <v>231</v>
      </c>
      <c r="AC210" s="0" t="s">
        <v>7349</v>
      </c>
      <c r="AD210" s="0" t="s">
        <v>7505</v>
      </c>
      <c r="AE210" s="0" t="s">
        <v>7506</v>
      </c>
      <c r="AF210" s="0" t="s">
        <v>7374</v>
      </c>
      <c r="AG210" s="0" t="s">
        <v>230</v>
      </c>
    </row>
    <row r="211" customFormat="false" ht="15" hidden="false" customHeight="false" outlineLevel="0" collapsed="false">
      <c r="A211" s="0" t="s">
        <v>7336</v>
      </c>
      <c r="B211" s="0" t="s">
        <v>1033</v>
      </c>
      <c r="C211" s="0" t="s">
        <v>1034</v>
      </c>
      <c r="D211" s="0" t="s">
        <v>676</v>
      </c>
      <c r="E211" s="0" t="s">
        <v>1035</v>
      </c>
      <c r="F211" s="0" t="s">
        <v>1036</v>
      </c>
      <c r="G211" s="0" t="s">
        <v>113</v>
      </c>
      <c r="H211" s="0" t="s">
        <v>7563</v>
      </c>
      <c r="I211" s="0" t="s">
        <v>7338</v>
      </c>
      <c r="J211" s="0" t="s">
        <v>675</v>
      </c>
      <c r="K211" s="0" t="s">
        <v>7339</v>
      </c>
      <c r="L211" s="0" t="s">
        <v>7340</v>
      </c>
      <c r="M211" s="0" t="s">
        <v>7492</v>
      </c>
      <c r="N211" s="0" t="s">
        <v>7342</v>
      </c>
      <c r="P211" s="0" t="s">
        <v>229</v>
      </c>
      <c r="R211" s="0" t="s">
        <v>7343</v>
      </c>
      <c r="S211" s="0" t="s">
        <v>7344</v>
      </c>
      <c r="T211" s="0" t="s">
        <v>228</v>
      </c>
      <c r="V211" s="0" t="s">
        <v>34</v>
      </c>
      <c r="W211" s="0" t="s">
        <v>38</v>
      </c>
      <c r="X211" s="0" t="s">
        <v>7345</v>
      </c>
      <c r="Y211" s="0" t="s">
        <v>7409</v>
      </c>
      <c r="Z211" s="0" t="s">
        <v>7370</v>
      </c>
      <c r="AA211" s="0" t="s">
        <v>7504</v>
      </c>
      <c r="AB211" s="0" t="s">
        <v>231</v>
      </c>
      <c r="AC211" s="0" t="s">
        <v>7349</v>
      </c>
      <c r="AD211" s="0" t="s">
        <v>7505</v>
      </c>
      <c r="AE211" s="0" t="s">
        <v>7506</v>
      </c>
      <c r="AF211" s="0" t="s">
        <v>7374</v>
      </c>
      <c r="AG211" s="0" t="s">
        <v>230</v>
      </c>
    </row>
    <row r="212" customFormat="false" ht="15" hidden="false" customHeight="false" outlineLevel="0" collapsed="false">
      <c r="A212" s="0" t="s">
        <v>7336</v>
      </c>
      <c r="B212" s="0" t="s">
        <v>1037</v>
      </c>
      <c r="C212" s="0" t="s">
        <v>1038</v>
      </c>
      <c r="D212" s="0" t="s">
        <v>676</v>
      </c>
      <c r="E212" s="0" t="s">
        <v>1039</v>
      </c>
      <c r="F212" s="0" t="s">
        <v>1040</v>
      </c>
      <c r="G212" s="0" t="s">
        <v>113</v>
      </c>
      <c r="H212" s="0" t="s">
        <v>7564</v>
      </c>
      <c r="I212" s="0" t="s">
        <v>7338</v>
      </c>
      <c r="J212" s="0" t="s">
        <v>675</v>
      </c>
      <c r="K212" s="0" t="s">
        <v>7339</v>
      </c>
      <c r="L212" s="0" t="s">
        <v>7340</v>
      </c>
      <c r="M212" s="0" t="s">
        <v>7492</v>
      </c>
      <c r="N212" s="0" t="s">
        <v>7342</v>
      </c>
      <c r="P212" s="0" t="s">
        <v>229</v>
      </c>
      <c r="R212" s="0" t="s">
        <v>7343</v>
      </c>
      <c r="S212" s="0" t="s">
        <v>7344</v>
      </c>
      <c r="T212" s="0" t="s">
        <v>228</v>
      </c>
      <c r="V212" s="0" t="s">
        <v>34</v>
      </c>
      <c r="W212" s="0" t="s">
        <v>38</v>
      </c>
      <c r="X212" s="0" t="s">
        <v>7345</v>
      </c>
      <c r="Y212" s="0" t="s">
        <v>7409</v>
      </c>
      <c r="Z212" s="0" t="s">
        <v>7370</v>
      </c>
      <c r="AA212" s="0" t="s">
        <v>7504</v>
      </c>
      <c r="AB212" s="0" t="s">
        <v>231</v>
      </c>
      <c r="AC212" s="0" t="s">
        <v>7349</v>
      </c>
      <c r="AD212" s="0" t="s">
        <v>7505</v>
      </c>
      <c r="AE212" s="0" t="s">
        <v>7506</v>
      </c>
      <c r="AF212" s="0" t="s">
        <v>7374</v>
      </c>
      <c r="AG212" s="0" t="s">
        <v>230</v>
      </c>
    </row>
    <row r="213" customFormat="false" ht="15" hidden="false" customHeight="false" outlineLevel="0" collapsed="false">
      <c r="A213" s="0" t="s">
        <v>7336</v>
      </c>
      <c r="B213" s="0" t="s">
        <v>1041</v>
      </c>
      <c r="C213" s="0" t="s">
        <v>1042</v>
      </c>
      <c r="D213" s="0" t="s">
        <v>676</v>
      </c>
      <c r="E213" s="0" t="s">
        <v>1043</v>
      </c>
      <c r="F213" s="0" t="s">
        <v>1044</v>
      </c>
      <c r="G213" s="0" t="s">
        <v>113</v>
      </c>
      <c r="H213" s="0" t="s">
        <v>7565</v>
      </c>
      <c r="I213" s="0" t="s">
        <v>7338</v>
      </c>
      <c r="J213" s="0" t="s">
        <v>675</v>
      </c>
      <c r="K213" s="0" t="s">
        <v>7339</v>
      </c>
      <c r="L213" s="0" t="s">
        <v>7340</v>
      </c>
      <c r="M213" s="0" t="s">
        <v>7492</v>
      </c>
      <c r="N213" s="0" t="s">
        <v>7342</v>
      </c>
      <c r="P213" s="0" t="s">
        <v>229</v>
      </c>
      <c r="R213" s="0" t="s">
        <v>7343</v>
      </c>
      <c r="S213" s="0" t="s">
        <v>7344</v>
      </c>
      <c r="T213" s="0" t="s">
        <v>228</v>
      </c>
      <c r="V213" s="0" t="s">
        <v>34</v>
      </c>
      <c r="W213" s="0" t="s">
        <v>38</v>
      </c>
      <c r="X213" s="0" t="s">
        <v>7345</v>
      </c>
      <c r="Y213" s="0" t="s">
        <v>7409</v>
      </c>
      <c r="Z213" s="0" t="s">
        <v>7370</v>
      </c>
      <c r="AA213" s="0" t="s">
        <v>7504</v>
      </c>
      <c r="AB213" s="0" t="s">
        <v>231</v>
      </c>
      <c r="AC213" s="0" t="s">
        <v>7349</v>
      </c>
      <c r="AD213" s="0" t="s">
        <v>7505</v>
      </c>
      <c r="AE213" s="0" t="s">
        <v>7506</v>
      </c>
      <c r="AF213" s="0" t="s">
        <v>7374</v>
      </c>
      <c r="AG213" s="0" t="s">
        <v>230</v>
      </c>
    </row>
    <row r="214" customFormat="false" ht="15" hidden="false" customHeight="false" outlineLevel="0" collapsed="false">
      <c r="A214" s="0" t="s">
        <v>7336</v>
      </c>
      <c r="B214" s="0" t="s">
        <v>1045</v>
      </c>
      <c r="C214" s="0" t="s">
        <v>1046</v>
      </c>
      <c r="D214" s="0" t="s">
        <v>676</v>
      </c>
      <c r="E214" s="0" t="s">
        <v>1047</v>
      </c>
      <c r="F214" s="0" t="s">
        <v>1048</v>
      </c>
      <c r="G214" s="0" t="s">
        <v>113</v>
      </c>
      <c r="H214" s="0" t="s">
        <v>7566</v>
      </c>
      <c r="I214" s="0" t="s">
        <v>7338</v>
      </c>
      <c r="J214" s="0" t="s">
        <v>675</v>
      </c>
      <c r="K214" s="0" t="s">
        <v>7339</v>
      </c>
      <c r="L214" s="0" t="s">
        <v>7340</v>
      </c>
      <c r="M214" s="0" t="s">
        <v>7492</v>
      </c>
      <c r="N214" s="0" t="s">
        <v>7342</v>
      </c>
      <c r="P214" s="0" t="s">
        <v>229</v>
      </c>
      <c r="R214" s="0" t="s">
        <v>7343</v>
      </c>
      <c r="S214" s="0" t="s">
        <v>7344</v>
      </c>
      <c r="T214" s="0" t="s">
        <v>228</v>
      </c>
      <c r="V214" s="0" t="s">
        <v>34</v>
      </c>
      <c r="W214" s="0" t="s">
        <v>38</v>
      </c>
      <c r="X214" s="0" t="s">
        <v>7345</v>
      </c>
      <c r="Y214" s="0" t="s">
        <v>7409</v>
      </c>
      <c r="Z214" s="0" t="s">
        <v>7370</v>
      </c>
      <c r="AA214" s="0" t="s">
        <v>7504</v>
      </c>
      <c r="AB214" s="0" t="s">
        <v>231</v>
      </c>
      <c r="AC214" s="0" t="s">
        <v>7349</v>
      </c>
      <c r="AD214" s="0" t="s">
        <v>7505</v>
      </c>
      <c r="AE214" s="0" t="s">
        <v>7506</v>
      </c>
      <c r="AF214" s="0" t="s">
        <v>7374</v>
      </c>
      <c r="AG214" s="0" t="s">
        <v>230</v>
      </c>
    </row>
    <row r="215" customFormat="false" ht="15" hidden="false" customHeight="false" outlineLevel="0" collapsed="false">
      <c r="A215" s="0" t="s">
        <v>7336</v>
      </c>
      <c r="B215" s="0" t="s">
        <v>1049</v>
      </c>
      <c r="C215" s="0" t="s">
        <v>1050</v>
      </c>
      <c r="D215" s="0" t="s">
        <v>676</v>
      </c>
      <c r="E215" s="0" t="s">
        <v>1051</v>
      </c>
      <c r="F215" s="0" t="s">
        <v>1052</v>
      </c>
      <c r="G215" s="0" t="s">
        <v>113</v>
      </c>
      <c r="H215" s="0" t="s">
        <v>7567</v>
      </c>
      <c r="I215" s="0" t="s">
        <v>7338</v>
      </c>
      <c r="J215" s="0" t="s">
        <v>675</v>
      </c>
      <c r="K215" s="0" t="s">
        <v>7339</v>
      </c>
      <c r="L215" s="0" t="s">
        <v>7340</v>
      </c>
      <c r="M215" s="0" t="s">
        <v>7492</v>
      </c>
      <c r="N215" s="0" t="s">
        <v>7342</v>
      </c>
      <c r="P215" s="0" t="s">
        <v>229</v>
      </c>
      <c r="R215" s="0" t="s">
        <v>7343</v>
      </c>
      <c r="S215" s="0" t="s">
        <v>7344</v>
      </c>
      <c r="T215" s="0" t="s">
        <v>228</v>
      </c>
      <c r="V215" s="0" t="s">
        <v>34</v>
      </c>
      <c r="W215" s="0" t="s">
        <v>38</v>
      </c>
      <c r="X215" s="0" t="s">
        <v>7345</v>
      </c>
      <c r="Y215" s="0" t="s">
        <v>7409</v>
      </c>
      <c r="Z215" s="0" t="s">
        <v>7370</v>
      </c>
      <c r="AA215" s="0" t="s">
        <v>7504</v>
      </c>
      <c r="AB215" s="0" t="s">
        <v>231</v>
      </c>
      <c r="AC215" s="0" t="s">
        <v>7349</v>
      </c>
      <c r="AD215" s="0" t="s">
        <v>7505</v>
      </c>
      <c r="AE215" s="0" t="s">
        <v>7506</v>
      </c>
      <c r="AF215" s="0" t="s">
        <v>7374</v>
      </c>
      <c r="AG215" s="0" t="s">
        <v>230</v>
      </c>
    </row>
    <row r="216" customFormat="false" ht="15" hidden="false" customHeight="false" outlineLevel="0" collapsed="false">
      <c r="A216" s="0" t="s">
        <v>7336</v>
      </c>
      <c r="B216" s="0" t="s">
        <v>1053</v>
      </c>
      <c r="C216" s="0" t="s">
        <v>1054</v>
      </c>
      <c r="D216" s="0" t="s">
        <v>676</v>
      </c>
      <c r="E216" s="0" t="s">
        <v>1055</v>
      </c>
      <c r="F216" s="0" t="s">
        <v>1056</v>
      </c>
      <c r="G216" s="0" t="s">
        <v>113</v>
      </c>
      <c r="H216" s="0" t="s">
        <v>7568</v>
      </c>
      <c r="I216" s="0" t="s">
        <v>7338</v>
      </c>
      <c r="J216" s="0" t="s">
        <v>675</v>
      </c>
      <c r="K216" s="0" t="s">
        <v>7339</v>
      </c>
      <c r="L216" s="0" t="s">
        <v>7340</v>
      </c>
      <c r="M216" s="0" t="s">
        <v>7492</v>
      </c>
      <c r="N216" s="0" t="s">
        <v>7342</v>
      </c>
      <c r="P216" s="0" t="s">
        <v>229</v>
      </c>
      <c r="S216" s="0" t="s">
        <v>7344</v>
      </c>
      <c r="T216" s="0" t="s">
        <v>58</v>
      </c>
      <c r="V216" s="0" t="s">
        <v>55</v>
      </c>
      <c r="W216" s="0" t="s">
        <v>58</v>
      </c>
      <c r="X216" s="0" t="s">
        <v>7345</v>
      </c>
      <c r="Z216" s="0" t="s">
        <v>7493</v>
      </c>
      <c r="AA216" s="0" t="s">
        <v>682</v>
      </c>
      <c r="AB216" s="0" t="s">
        <v>344</v>
      </c>
      <c r="AC216" s="0" t="s">
        <v>7349</v>
      </c>
      <c r="AD216" s="0" t="s">
        <v>682</v>
      </c>
      <c r="AE216" s="0" t="s">
        <v>57</v>
      </c>
      <c r="AF216" s="0" t="s">
        <v>7374</v>
      </c>
      <c r="AG216" s="0" t="s">
        <v>230</v>
      </c>
    </row>
    <row r="217" customFormat="false" ht="15" hidden="false" customHeight="false" outlineLevel="0" collapsed="false">
      <c r="A217" s="0" t="s">
        <v>7336</v>
      </c>
      <c r="B217" s="0" t="s">
        <v>1057</v>
      </c>
      <c r="C217" s="0" t="s">
        <v>1058</v>
      </c>
      <c r="D217" s="0" t="s">
        <v>676</v>
      </c>
      <c r="E217" s="0" t="s">
        <v>1059</v>
      </c>
      <c r="F217" s="0" t="s">
        <v>1060</v>
      </c>
      <c r="G217" s="0" t="s">
        <v>113</v>
      </c>
      <c r="H217" s="0" t="s">
        <v>7569</v>
      </c>
      <c r="I217" s="0" t="s">
        <v>7338</v>
      </c>
      <c r="J217" s="0" t="s">
        <v>675</v>
      </c>
      <c r="K217" s="0" t="s">
        <v>7339</v>
      </c>
      <c r="L217" s="0" t="s">
        <v>7340</v>
      </c>
      <c r="M217" s="0" t="s">
        <v>7492</v>
      </c>
      <c r="N217" s="0" t="s">
        <v>7342</v>
      </c>
      <c r="O217" s="0" t="s">
        <v>682</v>
      </c>
      <c r="P217" s="0" t="s">
        <v>229</v>
      </c>
      <c r="R217" s="0" t="s">
        <v>7343</v>
      </c>
      <c r="S217" s="0" t="s">
        <v>7344</v>
      </c>
      <c r="T217" s="0" t="s">
        <v>681</v>
      </c>
      <c r="V217" s="0" t="s">
        <v>34</v>
      </c>
      <c r="W217" s="0" t="s">
        <v>42</v>
      </c>
      <c r="X217" s="0" t="s">
        <v>7345</v>
      </c>
      <c r="Y217" s="0" t="s">
        <v>7346</v>
      </c>
      <c r="Z217" s="0" t="s">
        <v>7493</v>
      </c>
      <c r="AA217" s="0" t="s">
        <v>7348</v>
      </c>
      <c r="AB217" s="0" t="s">
        <v>231</v>
      </c>
      <c r="AC217" s="0" t="s">
        <v>7349</v>
      </c>
      <c r="AD217" s="0" t="s">
        <v>7514</v>
      </c>
      <c r="AE217" s="0" t="s">
        <v>7351</v>
      </c>
      <c r="AF217" s="0" t="s">
        <v>7374</v>
      </c>
      <c r="AG217" s="0" t="s">
        <v>230</v>
      </c>
    </row>
    <row r="218" customFormat="false" ht="15" hidden="false" customHeight="false" outlineLevel="0" collapsed="false">
      <c r="A218" s="0" t="s">
        <v>7336</v>
      </c>
      <c r="B218" s="0" t="s">
        <v>1061</v>
      </c>
      <c r="C218" s="0" t="s">
        <v>1062</v>
      </c>
      <c r="D218" s="0" t="s">
        <v>676</v>
      </c>
      <c r="E218" s="0" t="s">
        <v>1063</v>
      </c>
      <c r="F218" s="0" t="s">
        <v>1060</v>
      </c>
      <c r="G218" s="0" t="s">
        <v>113</v>
      </c>
      <c r="H218" s="0" t="s">
        <v>7569</v>
      </c>
      <c r="I218" s="0" t="s">
        <v>7338</v>
      </c>
      <c r="J218" s="0" t="s">
        <v>675</v>
      </c>
      <c r="K218" s="0" t="s">
        <v>7339</v>
      </c>
      <c r="L218" s="0" t="s">
        <v>7340</v>
      </c>
      <c r="M218" s="0" t="s">
        <v>7492</v>
      </c>
      <c r="N218" s="0" t="s">
        <v>7342</v>
      </c>
      <c r="O218" s="0" t="s">
        <v>682</v>
      </c>
      <c r="P218" s="0" t="s">
        <v>229</v>
      </c>
      <c r="R218" s="0" t="s">
        <v>7343</v>
      </c>
      <c r="S218" s="0" t="s">
        <v>7344</v>
      </c>
      <c r="T218" s="0" t="s">
        <v>681</v>
      </c>
      <c r="V218" s="0" t="s">
        <v>34</v>
      </c>
      <c r="W218" s="0" t="s">
        <v>42</v>
      </c>
      <c r="X218" s="0" t="s">
        <v>7345</v>
      </c>
      <c r="Y218" s="0" t="s">
        <v>7346</v>
      </c>
      <c r="Z218" s="0" t="s">
        <v>7493</v>
      </c>
      <c r="AA218" s="0" t="s">
        <v>7348</v>
      </c>
      <c r="AB218" s="0" t="s">
        <v>231</v>
      </c>
      <c r="AC218" s="0" t="s">
        <v>7349</v>
      </c>
      <c r="AD218" s="0" t="s">
        <v>7514</v>
      </c>
      <c r="AE218" s="0" t="s">
        <v>7351</v>
      </c>
      <c r="AF218" s="0" t="s">
        <v>7374</v>
      </c>
      <c r="AG218" s="0" t="s">
        <v>230</v>
      </c>
    </row>
    <row r="219" customFormat="false" ht="15" hidden="false" customHeight="false" outlineLevel="0" collapsed="false">
      <c r="A219" s="0" t="s">
        <v>7336</v>
      </c>
      <c r="B219" s="0" t="s">
        <v>1064</v>
      </c>
      <c r="C219" s="0" t="s">
        <v>1065</v>
      </c>
      <c r="D219" s="0" t="s">
        <v>676</v>
      </c>
      <c r="E219" s="0" t="s">
        <v>1066</v>
      </c>
      <c r="F219" s="0" t="s">
        <v>1067</v>
      </c>
      <c r="G219" s="0" t="s">
        <v>113</v>
      </c>
      <c r="H219" s="0" t="s">
        <v>7570</v>
      </c>
      <c r="I219" s="0" t="s">
        <v>7338</v>
      </c>
      <c r="J219" s="0" t="s">
        <v>675</v>
      </c>
      <c r="K219" s="0" t="s">
        <v>7339</v>
      </c>
      <c r="L219" s="0" t="s">
        <v>7340</v>
      </c>
      <c r="M219" s="0" t="s">
        <v>7492</v>
      </c>
      <c r="N219" s="0" t="s">
        <v>7342</v>
      </c>
      <c r="O219" s="0" t="s">
        <v>682</v>
      </c>
      <c r="P219" s="0" t="s">
        <v>229</v>
      </c>
      <c r="R219" s="0" t="s">
        <v>7343</v>
      </c>
      <c r="S219" s="0" t="s">
        <v>7344</v>
      </c>
      <c r="T219" s="0" t="s">
        <v>228</v>
      </c>
      <c r="V219" s="0" t="s">
        <v>34</v>
      </c>
      <c r="W219" s="0" t="s">
        <v>48</v>
      </c>
      <c r="X219" s="0" t="s">
        <v>7345</v>
      </c>
      <c r="Y219" s="0" t="s">
        <v>7346</v>
      </c>
      <c r="Z219" s="0" t="s">
        <v>7370</v>
      </c>
      <c r="AA219" s="0" t="s">
        <v>7348</v>
      </c>
      <c r="AB219" s="0" t="s">
        <v>231</v>
      </c>
      <c r="AC219" s="0" t="s">
        <v>7349</v>
      </c>
      <c r="AD219" s="0" t="s">
        <v>7512</v>
      </c>
      <c r="AE219" s="0" t="s">
        <v>7351</v>
      </c>
      <c r="AF219" s="0" t="s">
        <v>7352</v>
      </c>
      <c r="AG219" s="0" t="s">
        <v>230</v>
      </c>
    </row>
    <row r="220" customFormat="false" ht="15" hidden="false" customHeight="false" outlineLevel="0" collapsed="false">
      <c r="A220" s="0" t="s">
        <v>7336</v>
      </c>
      <c r="B220" s="0" t="s">
        <v>1068</v>
      </c>
      <c r="C220" s="0" t="s">
        <v>1069</v>
      </c>
      <c r="D220" s="0" t="s">
        <v>676</v>
      </c>
      <c r="E220" s="0" t="s">
        <v>1070</v>
      </c>
      <c r="F220" s="0" t="s">
        <v>1071</v>
      </c>
      <c r="G220" s="0" t="s">
        <v>113</v>
      </c>
      <c r="H220" s="0" t="s">
        <v>7571</v>
      </c>
      <c r="I220" s="0" t="s">
        <v>7338</v>
      </c>
      <c r="J220" s="0" t="s">
        <v>675</v>
      </c>
      <c r="K220" s="0" t="s">
        <v>7339</v>
      </c>
      <c r="L220" s="0" t="s">
        <v>7340</v>
      </c>
      <c r="M220" s="0" t="s">
        <v>7492</v>
      </c>
      <c r="N220" s="0" t="s">
        <v>7342</v>
      </c>
      <c r="O220" s="0" t="s">
        <v>682</v>
      </c>
      <c r="P220" s="0" t="s">
        <v>229</v>
      </c>
      <c r="R220" s="0" t="s">
        <v>7343</v>
      </c>
      <c r="S220" s="0" t="s">
        <v>7344</v>
      </c>
      <c r="T220" s="0" t="s">
        <v>228</v>
      </c>
      <c r="V220" s="0" t="s">
        <v>34</v>
      </c>
      <c r="W220" s="0" t="s">
        <v>48</v>
      </c>
      <c r="X220" s="0" t="s">
        <v>7345</v>
      </c>
      <c r="Y220" s="0" t="s">
        <v>7346</v>
      </c>
      <c r="Z220" s="0" t="s">
        <v>7370</v>
      </c>
      <c r="AA220" s="0" t="s">
        <v>7348</v>
      </c>
      <c r="AB220" s="0" t="s">
        <v>231</v>
      </c>
      <c r="AC220" s="0" t="s">
        <v>7349</v>
      </c>
      <c r="AD220" s="0" t="s">
        <v>7512</v>
      </c>
      <c r="AE220" s="0" t="s">
        <v>7351</v>
      </c>
      <c r="AF220" s="0" t="s">
        <v>7352</v>
      </c>
      <c r="AG220" s="0" t="s">
        <v>230</v>
      </c>
    </row>
    <row r="221" customFormat="false" ht="15" hidden="false" customHeight="false" outlineLevel="0" collapsed="false">
      <c r="A221" s="0" t="s">
        <v>7336</v>
      </c>
      <c r="B221" s="0" t="s">
        <v>1072</v>
      </c>
      <c r="C221" s="0" t="s">
        <v>1073</v>
      </c>
      <c r="D221" s="0" t="s">
        <v>676</v>
      </c>
      <c r="E221" s="0" t="s">
        <v>1074</v>
      </c>
      <c r="F221" s="0" t="s">
        <v>1071</v>
      </c>
      <c r="G221" s="0" t="s">
        <v>113</v>
      </c>
      <c r="H221" s="0" t="s">
        <v>7571</v>
      </c>
      <c r="I221" s="0" t="s">
        <v>7338</v>
      </c>
      <c r="J221" s="0" t="s">
        <v>675</v>
      </c>
      <c r="K221" s="0" t="s">
        <v>7339</v>
      </c>
      <c r="L221" s="0" t="s">
        <v>7340</v>
      </c>
      <c r="M221" s="0" t="s">
        <v>7492</v>
      </c>
      <c r="N221" s="0" t="s">
        <v>7342</v>
      </c>
      <c r="O221" s="0" t="s">
        <v>682</v>
      </c>
      <c r="P221" s="0" t="s">
        <v>229</v>
      </c>
      <c r="R221" s="0" t="s">
        <v>7343</v>
      </c>
      <c r="S221" s="0" t="s">
        <v>7344</v>
      </c>
      <c r="T221" s="0" t="s">
        <v>681</v>
      </c>
      <c r="V221" s="0" t="s">
        <v>34</v>
      </c>
      <c r="W221" s="0" t="s">
        <v>42</v>
      </c>
      <c r="X221" s="0" t="s">
        <v>7345</v>
      </c>
      <c r="Y221" s="0" t="s">
        <v>7346</v>
      </c>
      <c r="Z221" s="0" t="s">
        <v>7493</v>
      </c>
      <c r="AA221" s="0" t="s">
        <v>7348</v>
      </c>
      <c r="AB221" s="0" t="s">
        <v>231</v>
      </c>
      <c r="AC221" s="0" t="s">
        <v>7349</v>
      </c>
      <c r="AD221" s="0" t="s">
        <v>7514</v>
      </c>
      <c r="AE221" s="0" t="s">
        <v>7351</v>
      </c>
      <c r="AF221" s="0" t="s">
        <v>7374</v>
      </c>
      <c r="AG221" s="0" t="s">
        <v>230</v>
      </c>
    </row>
    <row r="222" customFormat="false" ht="15" hidden="false" customHeight="false" outlineLevel="0" collapsed="false">
      <c r="A222" s="0" t="s">
        <v>7336</v>
      </c>
      <c r="B222" s="0" t="s">
        <v>1075</v>
      </c>
      <c r="C222" s="0" t="s">
        <v>1076</v>
      </c>
      <c r="D222" s="0" t="s">
        <v>676</v>
      </c>
      <c r="E222" s="0" t="s">
        <v>1077</v>
      </c>
      <c r="F222" s="0" t="s">
        <v>1078</v>
      </c>
      <c r="G222" s="0" t="s">
        <v>113</v>
      </c>
      <c r="H222" s="0" t="s">
        <v>7572</v>
      </c>
      <c r="I222" s="0" t="s">
        <v>7338</v>
      </c>
      <c r="J222" s="0" t="s">
        <v>675</v>
      </c>
      <c r="K222" s="0" t="s">
        <v>7339</v>
      </c>
      <c r="L222" s="0" t="s">
        <v>7340</v>
      </c>
      <c r="M222" s="0" t="s">
        <v>7492</v>
      </c>
      <c r="N222" s="0" t="s">
        <v>7342</v>
      </c>
      <c r="O222" s="0" t="s">
        <v>682</v>
      </c>
      <c r="P222" s="0" t="s">
        <v>229</v>
      </c>
      <c r="R222" s="0" t="s">
        <v>7343</v>
      </c>
      <c r="S222" s="0" t="s">
        <v>7344</v>
      </c>
      <c r="T222" s="0" t="s">
        <v>681</v>
      </c>
      <c r="V222" s="0" t="s">
        <v>34</v>
      </c>
      <c r="W222" s="0" t="s">
        <v>42</v>
      </c>
      <c r="X222" s="0" t="s">
        <v>7345</v>
      </c>
      <c r="Y222" s="0" t="s">
        <v>7346</v>
      </c>
      <c r="Z222" s="0" t="s">
        <v>7493</v>
      </c>
      <c r="AA222" s="0" t="s">
        <v>7348</v>
      </c>
      <c r="AB222" s="0" t="s">
        <v>231</v>
      </c>
      <c r="AC222" s="0" t="s">
        <v>7349</v>
      </c>
      <c r="AD222" s="0" t="s">
        <v>7514</v>
      </c>
      <c r="AE222" s="0" t="s">
        <v>7351</v>
      </c>
      <c r="AF222" s="0" t="s">
        <v>7374</v>
      </c>
      <c r="AG222" s="0" t="s">
        <v>230</v>
      </c>
    </row>
    <row r="223" customFormat="false" ht="15" hidden="false" customHeight="false" outlineLevel="0" collapsed="false">
      <c r="A223" s="0" t="s">
        <v>7336</v>
      </c>
      <c r="B223" s="0" t="s">
        <v>1079</v>
      </c>
      <c r="C223" s="0" t="s">
        <v>1080</v>
      </c>
      <c r="D223" s="0" t="s">
        <v>676</v>
      </c>
      <c r="E223" s="0" t="s">
        <v>1081</v>
      </c>
      <c r="F223" s="0" t="s">
        <v>1082</v>
      </c>
      <c r="G223" s="0" t="s">
        <v>113</v>
      </c>
      <c r="H223" s="0" t="s">
        <v>7573</v>
      </c>
      <c r="I223" s="0" t="s">
        <v>7338</v>
      </c>
      <c r="J223" s="0" t="s">
        <v>675</v>
      </c>
      <c r="K223" s="0" t="s">
        <v>7339</v>
      </c>
      <c r="L223" s="0" t="s">
        <v>7340</v>
      </c>
      <c r="M223" s="0" t="s">
        <v>7492</v>
      </c>
      <c r="N223" s="0" t="s">
        <v>7342</v>
      </c>
      <c r="O223" s="0" t="s">
        <v>682</v>
      </c>
      <c r="P223" s="0" t="s">
        <v>229</v>
      </c>
      <c r="R223" s="0" t="s">
        <v>7343</v>
      </c>
      <c r="S223" s="0" t="s">
        <v>7344</v>
      </c>
      <c r="T223" s="0" t="s">
        <v>681</v>
      </c>
      <c r="V223" s="0" t="s">
        <v>34</v>
      </c>
      <c r="W223" s="0" t="s">
        <v>42</v>
      </c>
      <c r="X223" s="0" t="s">
        <v>7345</v>
      </c>
      <c r="Y223" s="0" t="s">
        <v>7346</v>
      </c>
      <c r="Z223" s="0" t="s">
        <v>7493</v>
      </c>
      <c r="AA223" s="0" t="s">
        <v>7348</v>
      </c>
      <c r="AB223" s="0" t="s">
        <v>231</v>
      </c>
      <c r="AC223" s="0" t="s">
        <v>7349</v>
      </c>
      <c r="AD223" s="0" t="s">
        <v>7514</v>
      </c>
      <c r="AE223" s="0" t="s">
        <v>7351</v>
      </c>
      <c r="AF223" s="0" t="s">
        <v>7374</v>
      </c>
      <c r="AG223" s="0" t="s">
        <v>230</v>
      </c>
    </row>
    <row r="224" customFormat="false" ht="15" hidden="false" customHeight="false" outlineLevel="0" collapsed="false">
      <c r="A224" s="0" t="s">
        <v>7336</v>
      </c>
      <c r="B224" s="0" t="s">
        <v>1083</v>
      </c>
      <c r="C224" s="0" t="s">
        <v>1084</v>
      </c>
      <c r="D224" s="0" t="s">
        <v>676</v>
      </c>
      <c r="E224" s="0" t="s">
        <v>1085</v>
      </c>
      <c r="F224" s="0" t="s">
        <v>1082</v>
      </c>
      <c r="G224" s="0" t="s">
        <v>113</v>
      </c>
      <c r="H224" s="0" t="s">
        <v>7573</v>
      </c>
      <c r="I224" s="0" t="s">
        <v>7338</v>
      </c>
      <c r="J224" s="0" t="s">
        <v>675</v>
      </c>
      <c r="K224" s="0" t="s">
        <v>7339</v>
      </c>
      <c r="L224" s="0" t="s">
        <v>7340</v>
      </c>
      <c r="M224" s="0" t="s">
        <v>7492</v>
      </c>
      <c r="N224" s="0" t="s">
        <v>7342</v>
      </c>
      <c r="O224" s="0" t="s">
        <v>682</v>
      </c>
      <c r="P224" s="0" t="s">
        <v>229</v>
      </c>
      <c r="R224" s="0" t="s">
        <v>7343</v>
      </c>
      <c r="S224" s="0" t="s">
        <v>7344</v>
      </c>
      <c r="T224" s="0" t="s">
        <v>681</v>
      </c>
      <c r="V224" s="0" t="s">
        <v>34</v>
      </c>
      <c r="W224" s="0" t="s">
        <v>42</v>
      </c>
      <c r="X224" s="0" t="s">
        <v>7345</v>
      </c>
      <c r="Y224" s="0" t="s">
        <v>7346</v>
      </c>
      <c r="Z224" s="0" t="s">
        <v>7493</v>
      </c>
      <c r="AA224" s="0" t="s">
        <v>7348</v>
      </c>
      <c r="AB224" s="0" t="s">
        <v>231</v>
      </c>
      <c r="AC224" s="0" t="s">
        <v>7349</v>
      </c>
      <c r="AD224" s="0" t="s">
        <v>7514</v>
      </c>
      <c r="AE224" s="0" t="s">
        <v>7351</v>
      </c>
      <c r="AF224" s="0" t="s">
        <v>7374</v>
      </c>
      <c r="AG224" s="0" t="s">
        <v>230</v>
      </c>
    </row>
    <row r="225" customFormat="false" ht="15" hidden="false" customHeight="false" outlineLevel="0" collapsed="false">
      <c r="A225" s="0" t="s">
        <v>7336</v>
      </c>
      <c r="B225" s="0" t="s">
        <v>1086</v>
      </c>
      <c r="C225" s="0" t="s">
        <v>1087</v>
      </c>
      <c r="D225" s="0" t="s">
        <v>676</v>
      </c>
      <c r="E225" s="0" t="s">
        <v>1088</v>
      </c>
      <c r="F225" s="0" t="s">
        <v>1089</v>
      </c>
      <c r="G225" s="0" t="s">
        <v>113</v>
      </c>
      <c r="H225" s="0" t="s">
        <v>7574</v>
      </c>
      <c r="I225" s="0" t="s">
        <v>7338</v>
      </c>
      <c r="J225" s="0" t="s">
        <v>675</v>
      </c>
      <c r="K225" s="0" t="s">
        <v>7339</v>
      </c>
      <c r="L225" s="0" t="s">
        <v>7340</v>
      </c>
      <c r="M225" s="0" t="s">
        <v>7492</v>
      </c>
      <c r="N225" s="0" t="s">
        <v>7342</v>
      </c>
      <c r="O225" s="0" t="s">
        <v>682</v>
      </c>
      <c r="P225" s="0" t="s">
        <v>229</v>
      </c>
      <c r="R225" s="0" t="s">
        <v>7343</v>
      </c>
      <c r="S225" s="0" t="s">
        <v>7344</v>
      </c>
      <c r="T225" s="0" t="s">
        <v>681</v>
      </c>
      <c r="V225" s="0" t="s">
        <v>34</v>
      </c>
      <c r="W225" s="0" t="s">
        <v>42</v>
      </c>
      <c r="X225" s="0" t="s">
        <v>7345</v>
      </c>
      <c r="Y225" s="0" t="s">
        <v>7346</v>
      </c>
      <c r="Z225" s="0" t="s">
        <v>7493</v>
      </c>
      <c r="AA225" s="0" t="s">
        <v>7348</v>
      </c>
      <c r="AB225" s="0" t="s">
        <v>231</v>
      </c>
      <c r="AC225" s="0" t="s">
        <v>7349</v>
      </c>
      <c r="AD225" s="0" t="s">
        <v>7514</v>
      </c>
      <c r="AE225" s="0" t="s">
        <v>7351</v>
      </c>
      <c r="AF225" s="0" t="s">
        <v>7374</v>
      </c>
      <c r="AG225" s="0" t="s">
        <v>230</v>
      </c>
    </row>
    <row r="226" customFormat="false" ht="15" hidden="false" customHeight="false" outlineLevel="0" collapsed="false">
      <c r="A226" s="0" t="s">
        <v>7336</v>
      </c>
      <c r="B226" s="0" t="s">
        <v>1090</v>
      </c>
      <c r="C226" s="0" t="s">
        <v>1091</v>
      </c>
      <c r="D226" s="0" t="s">
        <v>676</v>
      </c>
      <c r="E226" s="0" t="s">
        <v>1092</v>
      </c>
      <c r="F226" s="0" t="s">
        <v>1093</v>
      </c>
      <c r="G226" s="0" t="s">
        <v>113</v>
      </c>
      <c r="H226" s="0" t="s">
        <v>7575</v>
      </c>
      <c r="I226" s="0" t="s">
        <v>7338</v>
      </c>
      <c r="J226" s="0" t="s">
        <v>675</v>
      </c>
      <c r="K226" s="0" t="s">
        <v>7339</v>
      </c>
      <c r="L226" s="0" t="s">
        <v>7340</v>
      </c>
      <c r="M226" s="0" t="s">
        <v>7492</v>
      </c>
      <c r="N226" s="0" t="s">
        <v>7342</v>
      </c>
      <c r="O226" s="0" t="s">
        <v>682</v>
      </c>
      <c r="P226" s="0" t="s">
        <v>229</v>
      </c>
      <c r="R226" s="0" t="s">
        <v>7343</v>
      </c>
      <c r="S226" s="0" t="s">
        <v>7344</v>
      </c>
      <c r="T226" s="0" t="s">
        <v>681</v>
      </c>
      <c r="V226" s="0" t="s">
        <v>34</v>
      </c>
      <c r="W226" s="0" t="s">
        <v>42</v>
      </c>
      <c r="X226" s="0" t="s">
        <v>7345</v>
      </c>
      <c r="Y226" s="0" t="s">
        <v>7346</v>
      </c>
      <c r="Z226" s="0" t="s">
        <v>7493</v>
      </c>
      <c r="AA226" s="0" t="s">
        <v>7348</v>
      </c>
      <c r="AB226" s="0" t="s">
        <v>231</v>
      </c>
      <c r="AC226" s="0" t="s">
        <v>7349</v>
      </c>
      <c r="AD226" s="0" t="s">
        <v>7514</v>
      </c>
      <c r="AE226" s="0" t="s">
        <v>7351</v>
      </c>
      <c r="AF226" s="0" t="s">
        <v>7374</v>
      </c>
      <c r="AG226" s="0" t="s">
        <v>230</v>
      </c>
    </row>
    <row r="227" customFormat="false" ht="15" hidden="false" customHeight="false" outlineLevel="0" collapsed="false">
      <c r="A227" s="0" t="s">
        <v>7336</v>
      </c>
      <c r="B227" s="0" t="s">
        <v>1094</v>
      </c>
      <c r="C227" s="0" t="s">
        <v>1095</v>
      </c>
      <c r="D227" s="0" t="s">
        <v>676</v>
      </c>
      <c r="E227" s="0" t="s">
        <v>1096</v>
      </c>
      <c r="F227" s="0" t="s">
        <v>1093</v>
      </c>
      <c r="G227" s="0" t="s">
        <v>113</v>
      </c>
      <c r="H227" s="0" t="s">
        <v>7575</v>
      </c>
      <c r="I227" s="0" t="s">
        <v>7338</v>
      </c>
      <c r="J227" s="0" t="s">
        <v>675</v>
      </c>
      <c r="K227" s="0" t="s">
        <v>7339</v>
      </c>
      <c r="L227" s="0" t="s">
        <v>7340</v>
      </c>
      <c r="M227" s="0" t="s">
        <v>7492</v>
      </c>
      <c r="N227" s="0" t="s">
        <v>7342</v>
      </c>
      <c r="O227" s="0" t="s">
        <v>682</v>
      </c>
      <c r="P227" s="0" t="s">
        <v>229</v>
      </c>
      <c r="R227" s="0" t="s">
        <v>7343</v>
      </c>
      <c r="S227" s="0" t="s">
        <v>7344</v>
      </c>
      <c r="T227" s="0" t="s">
        <v>681</v>
      </c>
      <c r="V227" s="0" t="s">
        <v>34</v>
      </c>
      <c r="W227" s="0" t="s">
        <v>42</v>
      </c>
      <c r="X227" s="0" t="s">
        <v>7345</v>
      </c>
      <c r="Y227" s="0" t="s">
        <v>7346</v>
      </c>
      <c r="Z227" s="0" t="s">
        <v>7493</v>
      </c>
      <c r="AA227" s="0" t="s">
        <v>7348</v>
      </c>
      <c r="AB227" s="0" t="s">
        <v>231</v>
      </c>
      <c r="AC227" s="0" t="s">
        <v>7349</v>
      </c>
      <c r="AD227" s="0" t="s">
        <v>7514</v>
      </c>
      <c r="AE227" s="0" t="s">
        <v>7351</v>
      </c>
      <c r="AF227" s="0" t="s">
        <v>7374</v>
      </c>
      <c r="AG227" s="0" t="s">
        <v>230</v>
      </c>
    </row>
    <row r="228" customFormat="false" ht="15" hidden="false" customHeight="false" outlineLevel="0" collapsed="false">
      <c r="A228" s="0" t="s">
        <v>7336</v>
      </c>
      <c r="B228" s="0" t="s">
        <v>1097</v>
      </c>
      <c r="C228" s="0" t="s">
        <v>805</v>
      </c>
      <c r="D228" s="0" t="s">
        <v>676</v>
      </c>
      <c r="E228" s="0" t="s">
        <v>806</v>
      </c>
      <c r="F228" s="0" t="s">
        <v>807</v>
      </c>
      <c r="G228" s="0" t="s">
        <v>113</v>
      </c>
      <c r="H228" s="0" t="s">
        <v>7527</v>
      </c>
      <c r="I228" s="0" t="s">
        <v>7338</v>
      </c>
      <c r="J228" s="0" t="s">
        <v>675</v>
      </c>
      <c r="K228" s="0" t="s">
        <v>7339</v>
      </c>
      <c r="L228" s="0" t="s">
        <v>7340</v>
      </c>
      <c r="M228" s="0" t="s">
        <v>7492</v>
      </c>
      <c r="N228" s="0" t="s">
        <v>7342</v>
      </c>
      <c r="P228" s="0" t="s">
        <v>229</v>
      </c>
      <c r="R228" s="0" t="s">
        <v>7343</v>
      </c>
      <c r="S228" s="0" t="s">
        <v>7344</v>
      </c>
      <c r="T228" s="0" t="s">
        <v>58</v>
      </c>
      <c r="V228" s="0" t="s">
        <v>55</v>
      </c>
      <c r="W228" s="0" t="s">
        <v>58</v>
      </c>
      <c r="X228" s="0" t="s">
        <v>7345</v>
      </c>
      <c r="Z228" s="0" t="s">
        <v>7493</v>
      </c>
      <c r="AA228" s="0" t="s">
        <v>682</v>
      </c>
      <c r="AB228" s="0" t="s">
        <v>344</v>
      </c>
      <c r="AC228" s="0" t="s">
        <v>7349</v>
      </c>
      <c r="AD228" s="0" t="s">
        <v>682</v>
      </c>
      <c r="AE228" s="0" t="s">
        <v>7528</v>
      </c>
      <c r="AF228" s="0" t="s">
        <v>7374</v>
      </c>
      <c r="AG228" s="0" t="s">
        <v>230</v>
      </c>
    </row>
    <row r="229" customFormat="false" ht="15" hidden="false" customHeight="false" outlineLevel="0" collapsed="false">
      <c r="A229" s="0" t="s">
        <v>7336</v>
      </c>
      <c r="B229" s="0" t="s">
        <v>1098</v>
      </c>
      <c r="C229" s="0" t="s">
        <v>1099</v>
      </c>
      <c r="D229" s="0" t="s">
        <v>676</v>
      </c>
      <c r="E229" s="0" t="s">
        <v>1100</v>
      </c>
      <c r="F229" s="0" t="s">
        <v>807</v>
      </c>
      <c r="G229" s="0" t="s">
        <v>113</v>
      </c>
      <c r="H229" s="0" t="s">
        <v>7527</v>
      </c>
      <c r="I229" s="0" t="s">
        <v>7338</v>
      </c>
      <c r="J229" s="0" t="s">
        <v>675</v>
      </c>
      <c r="K229" s="0" t="s">
        <v>7339</v>
      </c>
      <c r="L229" s="0" t="s">
        <v>7340</v>
      </c>
      <c r="M229" s="0" t="s">
        <v>7492</v>
      </c>
      <c r="N229" s="0" t="s">
        <v>7342</v>
      </c>
      <c r="P229" s="0" t="s">
        <v>229</v>
      </c>
      <c r="R229" s="0" t="s">
        <v>7343</v>
      </c>
      <c r="S229" s="0" t="s">
        <v>7344</v>
      </c>
      <c r="T229" s="0" t="s">
        <v>58</v>
      </c>
      <c r="V229" s="0" t="s">
        <v>55</v>
      </c>
      <c r="W229" s="0" t="s">
        <v>58</v>
      </c>
      <c r="X229" s="0" t="s">
        <v>7345</v>
      </c>
      <c r="Z229" s="0" t="s">
        <v>7493</v>
      </c>
      <c r="AA229" s="0" t="s">
        <v>682</v>
      </c>
      <c r="AB229" s="0" t="s">
        <v>344</v>
      </c>
      <c r="AC229" s="0" t="s">
        <v>7349</v>
      </c>
      <c r="AD229" s="0" t="s">
        <v>682</v>
      </c>
      <c r="AE229" s="0" t="s">
        <v>57</v>
      </c>
      <c r="AF229" s="0" t="s">
        <v>7374</v>
      </c>
      <c r="AG229" s="0" t="s">
        <v>230</v>
      </c>
    </row>
    <row r="230" customFormat="false" ht="15" hidden="false" customHeight="false" outlineLevel="0" collapsed="false">
      <c r="A230" s="0" t="s">
        <v>7336</v>
      </c>
      <c r="B230" s="0" t="s">
        <v>1101</v>
      </c>
      <c r="C230" s="0" t="s">
        <v>1102</v>
      </c>
      <c r="D230" s="0" t="s">
        <v>676</v>
      </c>
      <c r="E230" s="0" t="s">
        <v>1103</v>
      </c>
      <c r="F230" s="0" t="s">
        <v>807</v>
      </c>
      <c r="G230" s="0" t="s">
        <v>113</v>
      </c>
      <c r="H230" s="0" t="s">
        <v>7527</v>
      </c>
      <c r="I230" s="0" t="s">
        <v>7338</v>
      </c>
      <c r="J230" s="0" t="s">
        <v>675</v>
      </c>
      <c r="K230" s="0" t="s">
        <v>7339</v>
      </c>
      <c r="L230" s="0" t="s">
        <v>7340</v>
      </c>
      <c r="M230" s="0" t="s">
        <v>7492</v>
      </c>
      <c r="N230" s="0" t="s">
        <v>7342</v>
      </c>
      <c r="P230" s="0" t="s">
        <v>229</v>
      </c>
      <c r="R230" s="0" t="s">
        <v>7343</v>
      </c>
      <c r="S230" s="0" t="s">
        <v>7344</v>
      </c>
      <c r="T230" s="0" t="s">
        <v>228</v>
      </c>
      <c r="V230" s="0" t="s">
        <v>34</v>
      </c>
      <c r="W230" s="0" t="s">
        <v>46</v>
      </c>
      <c r="X230" s="0" t="s">
        <v>7345</v>
      </c>
      <c r="Y230" s="0" t="s">
        <v>7346</v>
      </c>
      <c r="Z230" s="0" t="s">
        <v>7347</v>
      </c>
      <c r="AA230" s="0" t="s">
        <v>7348</v>
      </c>
      <c r="AB230" s="0" t="s">
        <v>231</v>
      </c>
      <c r="AC230" s="0" t="s">
        <v>7349</v>
      </c>
      <c r="AD230" s="0" t="s">
        <v>7576</v>
      </c>
      <c r="AE230" s="0" t="s">
        <v>7501</v>
      </c>
      <c r="AF230" s="0" t="s">
        <v>7352</v>
      </c>
      <c r="AG230" s="0" t="s">
        <v>230</v>
      </c>
    </row>
    <row r="231" customFormat="false" ht="15" hidden="false" customHeight="false" outlineLevel="0" collapsed="false">
      <c r="A231" s="0" t="s">
        <v>7336</v>
      </c>
      <c r="B231" s="0" t="s">
        <v>1104</v>
      </c>
      <c r="C231" s="0" t="s">
        <v>1105</v>
      </c>
      <c r="D231" s="0" t="s">
        <v>676</v>
      </c>
      <c r="E231" s="0" t="s">
        <v>1106</v>
      </c>
      <c r="F231" s="0" t="s">
        <v>807</v>
      </c>
      <c r="G231" s="0" t="s">
        <v>113</v>
      </c>
      <c r="H231" s="0" t="s">
        <v>7527</v>
      </c>
      <c r="I231" s="0" t="s">
        <v>7338</v>
      </c>
      <c r="J231" s="0" t="s">
        <v>675</v>
      </c>
      <c r="K231" s="0" t="s">
        <v>7339</v>
      </c>
      <c r="L231" s="0" t="s">
        <v>7340</v>
      </c>
      <c r="M231" s="0" t="s">
        <v>7492</v>
      </c>
      <c r="N231" s="0" t="s">
        <v>7342</v>
      </c>
      <c r="O231" s="0" t="s">
        <v>682</v>
      </c>
      <c r="P231" s="0" t="s">
        <v>229</v>
      </c>
      <c r="R231" s="0" t="s">
        <v>7343</v>
      </c>
      <c r="S231" s="0" t="s">
        <v>7344</v>
      </c>
      <c r="T231" s="0" t="s">
        <v>228</v>
      </c>
      <c r="V231" s="0" t="s">
        <v>34</v>
      </c>
      <c r="W231" s="0" t="s">
        <v>36</v>
      </c>
      <c r="X231" s="0" t="s">
        <v>7345</v>
      </c>
      <c r="Y231" s="0" t="s">
        <v>7346</v>
      </c>
      <c r="Z231" s="0" t="s">
        <v>7370</v>
      </c>
      <c r="AA231" s="0" t="s">
        <v>7348</v>
      </c>
      <c r="AB231" s="0" t="s">
        <v>231</v>
      </c>
      <c r="AC231" s="0" t="s">
        <v>7349</v>
      </c>
      <c r="AD231" s="0" t="s">
        <v>7516</v>
      </c>
      <c r="AE231" s="0" t="s">
        <v>7351</v>
      </c>
      <c r="AF231" s="0" t="s">
        <v>7352</v>
      </c>
      <c r="AG231" s="0" t="s">
        <v>230</v>
      </c>
    </row>
    <row r="232" customFormat="false" ht="15" hidden="false" customHeight="false" outlineLevel="0" collapsed="false">
      <c r="A232" s="0" t="s">
        <v>7336</v>
      </c>
      <c r="B232" s="0" t="s">
        <v>1107</v>
      </c>
      <c r="C232" s="0" t="s">
        <v>1108</v>
      </c>
      <c r="D232" s="0" t="s">
        <v>676</v>
      </c>
      <c r="E232" s="0" t="s">
        <v>1109</v>
      </c>
      <c r="F232" s="0" t="s">
        <v>807</v>
      </c>
      <c r="G232" s="0" t="s">
        <v>113</v>
      </c>
      <c r="H232" s="0" t="s">
        <v>7527</v>
      </c>
      <c r="I232" s="0" t="s">
        <v>7338</v>
      </c>
      <c r="J232" s="0" t="s">
        <v>675</v>
      </c>
      <c r="K232" s="0" t="s">
        <v>7339</v>
      </c>
      <c r="L232" s="0" t="s">
        <v>7340</v>
      </c>
      <c r="M232" s="0" t="s">
        <v>7492</v>
      </c>
      <c r="N232" s="0" t="s">
        <v>7342</v>
      </c>
      <c r="P232" s="0" t="s">
        <v>229</v>
      </c>
      <c r="R232" s="0" t="s">
        <v>7343</v>
      </c>
      <c r="S232" s="0" t="s">
        <v>7344</v>
      </c>
      <c r="T232" s="0" t="s">
        <v>58</v>
      </c>
      <c r="V232" s="0" t="s">
        <v>55</v>
      </c>
      <c r="W232" s="0" t="s">
        <v>58</v>
      </c>
      <c r="X232" s="0" t="s">
        <v>7345</v>
      </c>
      <c r="Z232" s="0" t="s">
        <v>7493</v>
      </c>
      <c r="AA232" s="0" t="s">
        <v>682</v>
      </c>
      <c r="AB232" s="0" t="s">
        <v>344</v>
      </c>
      <c r="AC232" s="0" t="s">
        <v>7349</v>
      </c>
      <c r="AD232" s="0" t="s">
        <v>682</v>
      </c>
      <c r="AE232" s="0" t="s">
        <v>57</v>
      </c>
      <c r="AF232" s="0" t="s">
        <v>7374</v>
      </c>
      <c r="AG232" s="0" t="s">
        <v>230</v>
      </c>
    </row>
    <row r="233" customFormat="false" ht="15" hidden="false" customHeight="false" outlineLevel="0" collapsed="false">
      <c r="A233" s="0" t="s">
        <v>7336</v>
      </c>
      <c r="B233" s="0" t="s">
        <v>1110</v>
      </c>
      <c r="C233" s="0" t="s">
        <v>1111</v>
      </c>
      <c r="D233" s="0" t="s">
        <v>676</v>
      </c>
      <c r="E233" s="0" t="s">
        <v>1112</v>
      </c>
      <c r="F233" s="0" t="s">
        <v>1113</v>
      </c>
      <c r="G233" s="0" t="s">
        <v>113</v>
      </c>
      <c r="H233" s="0" t="s">
        <v>7577</v>
      </c>
      <c r="I233" s="0" t="s">
        <v>7338</v>
      </c>
      <c r="J233" s="0" t="s">
        <v>675</v>
      </c>
      <c r="K233" s="0" t="s">
        <v>7339</v>
      </c>
      <c r="L233" s="0" t="s">
        <v>7340</v>
      </c>
      <c r="M233" s="0" t="s">
        <v>7492</v>
      </c>
      <c r="N233" s="0" t="s">
        <v>7342</v>
      </c>
      <c r="O233" s="0" t="s">
        <v>682</v>
      </c>
      <c r="P233" s="0" t="s">
        <v>229</v>
      </c>
      <c r="R233" s="0" t="s">
        <v>7343</v>
      </c>
      <c r="S233" s="0" t="s">
        <v>7344</v>
      </c>
      <c r="T233" s="0" t="s">
        <v>228</v>
      </c>
      <c r="V233" s="0" t="s">
        <v>34</v>
      </c>
      <c r="W233" s="0" t="s">
        <v>36</v>
      </c>
      <c r="X233" s="0" t="s">
        <v>7345</v>
      </c>
      <c r="Y233" s="0" t="s">
        <v>7346</v>
      </c>
      <c r="Z233" s="0" t="s">
        <v>7347</v>
      </c>
      <c r="AA233" s="0" t="s">
        <v>7348</v>
      </c>
      <c r="AB233" s="0" t="s">
        <v>231</v>
      </c>
      <c r="AC233" s="0" t="s">
        <v>7349</v>
      </c>
      <c r="AD233" s="0" t="s">
        <v>7350</v>
      </c>
      <c r="AE233" s="0" t="s">
        <v>7351</v>
      </c>
      <c r="AF233" s="0" t="s">
        <v>7352</v>
      </c>
      <c r="AG233" s="0" t="s">
        <v>230</v>
      </c>
    </row>
    <row r="234" customFormat="false" ht="15" hidden="false" customHeight="false" outlineLevel="0" collapsed="false">
      <c r="A234" s="0" t="s">
        <v>7336</v>
      </c>
      <c r="B234" s="0" t="s">
        <v>1114</v>
      </c>
      <c r="C234" s="0" t="s">
        <v>1115</v>
      </c>
      <c r="D234" s="0" t="s">
        <v>676</v>
      </c>
      <c r="E234" s="0" t="s">
        <v>1116</v>
      </c>
      <c r="F234" s="0" t="s">
        <v>1113</v>
      </c>
      <c r="G234" s="0" t="s">
        <v>113</v>
      </c>
      <c r="H234" s="0" t="s">
        <v>7577</v>
      </c>
      <c r="I234" s="0" t="s">
        <v>7338</v>
      </c>
      <c r="J234" s="0" t="s">
        <v>675</v>
      </c>
      <c r="K234" s="0" t="s">
        <v>7339</v>
      </c>
      <c r="L234" s="0" t="s">
        <v>7340</v>
      </c>
      <c r="M234" s="0" t="s">
        <v>7492</v>
      </c>
      <c r="N234" s="0" t="s">
        <v>7342</v>
      </c>
      <c r="O234" s="0" t="s">
        <v>682</v>
      </c>
      <c r="P234" s="0" t="s">
        <v>229</v>
      </c>
      <c r="R234" s="0" t="s">
        <v>7343</v>
      </c>
      <c r="S234" s="0" t="s">
        <v>7344</v>
      </c>
      <c r="T234" s="0" t="s">
        <v>228</v>
      </c>
      <c r="V234" s="0" t="s">
        <v>34</v>
      </c>
      <c r="W234" s="0" t="s">
        <v>46</v>
      </c>
      <c r="X234" s="0" t="s">
        <v>7345</v>
      </c>
      <c r="Y234" s="0" t="s">
        <v>7346</v>
      </c>
      <c r="Z234" s="0" t="s">
        <v>7347</v>
      </c>
      <c r="AA234" s="0" t="s">
        <v>7348</v>
      </c>
      <c r="AB234" s="0" t="s">
        <v>231</v>
      </c>
      <c r="AC234" s="0" t="s">
        <v>7349</v>
      </c>
      <c r="AD234" s="0" t="s">
        <v>7500</v>
      </c>
      <c r="AE234" s="0" t="s">
        <v>7501</v>
      </c>
      <c r="AF234" s="0" t="s">
        <v>7352</v>
      </c>
      <c r="AG234" s="0" t="s">
        <v>230</v>
      </c>
    </row>
    <row r="235" customFormat="false" ht="15" hidden="false" customHeight="false" outlineLevel="0" collapsed="false">
      <c r="A235" s="0" t="s">
        <v>7336</v>
      </c>
      <c r="B235" s="0" t="s">
        <v>1117</v>
      </c>
      <c r="C235" s="0" t="s">
        <v>1118</v>
      </c>
      <c r="D235" s="0" t="s">
        <v>676</v>
      </c>
      <c r="E235" s="0" t="s">
        <v>1119</v>
      </c>
      <c r="F235" s="0" t="s">
        <v>1056</v>
      </c>
      <c r="G235" s="0" t="s">
        <v>113</v>
      </c>
      <c r="H235" s="0" t="s">
        <v>7568</v>
      </c>
      <c r="I235" s="0" t="s">
        <v>7338</v>
      </c>
      <c r="J235" s="0" t="s">
        <v>675</v>
      </c>
      <c r="K235" s="0" t="s">
        <v>7339</v>
      </c>
      <c r="L235" s="0" t="s">
        <v>7340</v>
      </c>
      <c r="M235" s="0" t="s">
        <v>7492</v>
      </c>
      <c r="N235" s="0" t="s">
        <v>7342</v>
      </c>
      <c r="O235" s="0" t="s">
        <v>682</v>
      </c>
      <c r="P235" s="0" t="s">
        <v>229</v>
      </c>
      <c r="R235" s="0" t="s">
        <v>7343</v>
      </c>
      <c r="S235" s="0" t="s">
        <v>7344</v>
      </c>
      <c r="T235" s="0" t="s">
        <v>228</v>
      </c>
      <c r="V235" s="0" t="s">
        <v>34</v>
      </c>
      <c r="W235" s="0" t="s">
        <v>48</v>
      </c>
      <c r="X235" s="0" t="s">
        <v>7345</v>
      </c>
      <c r="Y235" s="0" t="s">
        <v>7346</v>
      </c>
      <c r="Z235" s="0" t="s">
        <v>7370</v>
      </c>
      <c r="AA235" s="0" t="s">
        <v>7348</v>
      </c>
      <c r="AB235" s="0" t="s">
        <v>231</v>
      </c>
      <c r="AC235" s="0" t="s">
        <v>7349</v>
      </c>
      <c r="AD235" s="0" t="s">
        <v>7512</v>
      </c>
      <c r="AE235" s="0" t="s">
        <v>7351</v>
      </c>
      <c r="AF235" s="0" t="s">
        <v>7352</v>
      </c>
      <c r="AG235" s="0" t="s">
        <v>230</v>
      </c>
    </row>
    <row r="236" customFormat="false" ht="15" hidden="false" customHeight="false" outlineLevel="0" collapsed="false">
      <c r="A236" s="0" t="s">
        <v>7336</v>
      </c>
      <c r="B236" s="0" t="s">
        <v>1120</v>
      </c>
      <c r="C236" s="0" t="s">
        <v>1121</v>
      </c>
      <c r="D236" s="0" t="s">
        <v>676</v>
      </c>
      <c r="E236" s="0" t="s">
        <v>1122</v>
      </c>
      <c r="F236" s="0" t="s">
        <v>1056</v>
      </c>
      <c r="G236" s="0" t="s">
        <v>113</v>
      </c>
      <c r="H236" s="0" t="s">
        <v>7568</v>
      </c>
      <c r="I236" s="0" t="s">
        <v>7338</v>
      </c>
      <c r="J236" s="0" t="s">
        <v>675</v>
      </c>
      <c r="K236" s="0" t="s">
        <v>7339</v>
      </c>
      <c r="L236" s="0" t="s">
        <v>7340</v>
      </c>
      <c r="M236" s="0" t="s">
        <v>7492</v>
      </c>
      <c r="N236" s="0" t="s">
        <v>7342</v>
      </c>
      <c r="O236" s="0" t="s">
        <v>682</v>
      </c>
      <c r="P236" s="0" t="s">
        <v>229</v>
      </c>
      <c r="R236" s="0" t="s">
        <v>7343</v>
      </c>
      <c r="S236" s="0" t="s">
        <v>7344</v>
      </c>
      <c r="T236" s="0" t="s">
        <v>228</v>
      </c>
      <c r="V236" s="0" t="s">
        <v>34</v>
      </c>
      <c r="W236" s="0" t="s">
        <v>38</v>
      </c>
      <c r="X236" s="0" t="s">
        <v>7345</v>
      </c>
      <c r="Y236" s="0" t="s">
        <v>7409</v>
      </c>
      <c r="Z236" s="0" t="s">
        <v>7370</v>
      </c>
      <c r="AA236" s="0" t="s">
        <v>7504</v>
      </c>
      <c r="AB236" s="0" t="s">
        <v>231</v>
      </c>
      <c r="AC236" s="0" t="s">
        <v>7349</v>
      </c>
      <c r="AD236" s="0" t="s">
        <v>7505</v>
      </c>
      <c r="AE236" s="0" t="s">
        <v>7506</v>
      </c>
      <c r="AF236" s="0" t="s">
        <v>7374</v>
      </c>
      <c r="AG236" s="0" t="s">
        <v>230</v>
      </c>
    </row>
    <row r="237" customFormat="false" ht="15" hidden="false" customHeight="false" outlineLevel="0" collapsed="false">
      <c r="A237" s="0" t="s">
        <v>7336</v>
      </c>
      <c r="B237" s="0" t="s">
        <v>1123</v>
      </c>
      <c r="C237" s="0" t="s">
        <v>1124</v>
      </c>
      <c r="D237" s="0" t="s">
        <v>676</v>
      </c>
      <c r="E237" s="0" t="s">
        <v>1125</v>
      </c>
      <c r="F237" s="0" t="s">
        <v>1126</v>
      </c>
      <c r="G237" s="0" t="s">
        <v>113</v>
      </c>
      <c r="H237" s="0" t="s">
        <v>7578</v>
      </c>
      <c r="I237" s="0" t="s">
        <v>7338</v>
      </c>
      <c r="J237" s="0" t="s">
        <v>675</v>
      </c>
      <c r="K237" s="0" t="s">
        <v>7339</v>
      </c>
      <c r="L237" s="0" t="s">
        <v>7340</v>
      </c>
      <c r="M237" s="0" t="s">
        <v>7492</v>
      </c>
      <c r="N237" s="0" t="s">
        <v>7342</v>
      </c>
      <c r="O237" s="0" t="s">
        <v>682</v>
      </c>
      <c r="P237" s="0" t="s">
        <v>229</v>
      </c>
      <c r="R237" s="0" t="s">
        <v>7343</v>
      </c>
      <c r="S237" s="0" t="s">
        <v>7344</v>
      </c>
      <c r="T237" s="0" t="s">
        <v>228</v>
      </c>
      <c r="V237" s="0" t="s">
        <v>34</v>
      </c>
      <c r="W237" s="0" t="s">
        <v>36</v>
      </c>
      <c r="X237" s="0" t="s">
        <v>7345</v>
      </c>
      <c r="Y237" s="0" t="s">
        <v>7346</v>
      </c>
      <c r="Z237" s="0" t="s">
        <v>7370</v>
      </c>
      <c r="AA237" s="0" t="s">
        <v>7348</v>
      </c>
      <c r="AB237" s="0" t="s">
        <v>231</v>
      </c>
      <c r="AC237" s="0" t="s">
        <v>7349</v>
      </c>
      <c r="AD237" s="0" t="s">
        <v>7516</v>
      </c>
      <c r="AE237" s="0" t="s">
        <v>7351</v>
      </c>
      <c r="AF237" s="0" t="s">
        <v>7352</v>
      </c>
      <c r="AG237" s="0" t="s">
        <v>230</v>
      </c>
    </row>
    <row r="238" customFormat="false" ht="15" hidden="false" customHeight="false" outlineLevel="0" collapsed="false">
      <c r="A238" s="0" t="s">
        <v>7336</v>
      </c>
      <c r="B238" s="0" t="s">
        <v>1127</v>
      </c>
      <c r="C238" s="0" t="s">
        <v>1128</v>
      </c>
      <c r="D238" s="0" t="s">
        <v>676</v>
      </c>
      <c r="E238" s="0" t="s">
        <v>1129</v>
      </c>
      <c r="F238" s="0" t="s">
        <v>1126</v>
      </c>
      <c r="G238" s="0" t="s">
        <v>113</v>
      </c>
      <c r="H238" s="0" t="s">
        <v>7578</v>
      </c>
      <c r="I238" s="0" t="s">
        <v>7338</v>
      </c>
      <c r="J238" s="0" t="s">
        <v>675</v>
      </c>
      <c r="K238" s="0" t="s">
        <v>7339</v>
      </c>
      <c r="L238" s="0" t="s">
        <v>7340</v>
      </c>
      <c r="M238" s="0" t="s">
        <v>7492</v>
      </c>
      <c r="N238" s="0" t="s">
        <v>7342</v>
      </c>
      <c r="O238" s="0" t="s">
        <v>682</v>
      </c>
      <c r="P238" s="0" t="s">
        <v>229</v>
      </c>
      <c r="R238" s="0" t="s">
        <v>7343</v>
      </c>
      <c r="S238" s="0" t="s">
        <v>7344</v>
      </c>
      <c r="T238" s="0" t="s">
        <v>228</v>
      </c>
      <c r="V238" s="0" t="s">
        <v>34</v>
      </c>
      <c r="W238" s="0" t="s">
        <v>38</v>
      </c>
      <c r="X238" s="0" t="s">
        <v>7345</v>
      </c>
      <c r="Y238" s="0" t="s">
        <v>7409</v>
      </c>
      <c r="Z238" s="0" t="s">
        <v>7370</v>
      </c>
      <c r="AA238" s="0" t="s">
        <v>7504</v>
      </c>
      <c r="AB238" s="0" t="s">
        <v>231</v>
      </c>
      <c r="AC238" s="0" t="s">
        <v>7349</v>
      </c>
      <c r="AD238" s="0" t="s">
        <v>7505</v>
      </c>
      <c r="AE238" s="0" t="s">
        <v>7506</v>
      </c>
      <c r="AF238" s="0" t="s">
        <v>7374</v>
      </c>
      <c r="AG238" s="0" t="s">
        <v>230</v>
      </c>
    </row>
    <row r="239" customFormat="false" ht="15" hidden="false" customHeight="false" outlineLevel="0" collapsed="false">
      <c r="A239" s="0" t="s">
        <v>7336</v>
      </c>
      <c r="B239" s="0" t="s">
        <v>1130</v>
      </c>
      <c r="C239" s="0" t="s">
        <v>1131</v>
      </c>
      <c r="D239" s="0" t="s">
        <v>676</v>
      </c>
      <c r="E239" s="0" t="s">
        <v>1132</v>
      </c>
      <c r="F239" s="0" t="s">
        <v>1126</v>
      </c>
      <c r="G239" s="0" t="s">
        <v>113</v>
      </c>
      <c r="H239" s="0" t="s">
        <v>7578</v>
      </c>
      <c r="I239" s="0" t="s">
        <v>7338</v>
      </c>
      <c r="J239" s="0" t="s">
        <v>675</v>
      </c>
      <c r="K239" s="0" t="s">
        <v>7339</v>
      </c>
      <c r="L239" s="0" t="s">
        <v>7340</v>
      </c>
      <c r="M239" s="0" t="s">
        <v>7492</v>
      </c>
      <c r="N239" s="0" t="s">
        <v>7342</v>
      </c>
      <c r="P239" s="0" t="s">
        <v>229</v>
      </c>
      <c r="S239" s="0" t="s">
        <v>7344</v>
      </c>
      <c r="T239" s="0" t="s">
        <v>58</v>
      </c>
      <c r="V239" s="0" t="s">
        <v>55</v>
      </c>
      <c r="W239" s="0" t="s">
        <v>58</v>
      </c>
      <c r="X239" s="0" t="s">
        <v>7345</v>
      </c>
      <c r="Z239" s="0" t="s">
        <v>7493</v>
      </c>
      <c r="AA239" s="0" t="s">
        <v>682</v>
      </c>
      <c r="AB239" s="0" t="s">
        <v>344</v>
      </c>
      <c r="AC239" s="0" t="s">
        <v>7349</v>
      </c>
      <c r="AD239" s="0" t="s">
        <v>682</v>
      </c>
      <c r="AE239" s="0" t="s">
        <v>57</v>
      </c>
      <c r="AF239" s="0" t="s">
        <v>7374</v>
      </c>
      <c r="AG239" s="0" t="s">
        <v>230</v>
      </c>
    </row>
    <row r="240" customFormat="false" ht="15" hidden="false" customHeight="false" outlineLevel="0" collapsed="false">
      <c r="A240" s="0" t="s">
        <v>7336</v>
      </c>
      <c r="B240" s="0" t="s">
        <v>1133</v>
      </c>
      <c r="C240" s="0" t="s">
        <v>1134</v>
      </c>
      <c r="D240" s="0" t="s">
        <v>676</v>
      </c>
      <c r="E240" s="0" t="s">
        <v>1135</v>
      </c>
      <c r="F240" s="0" t="s">
        <v>1136</v>
      </c>
      <c r="G240" s="0" t="s">
        <v>113</v>
      </c>
      <c r="H240" s="0" t="s">
        <v>7579</v>
      </c>
      <c r="I240" s="0" t="s">
        <v>7338</v>
      </c>
      <c r="J240" s="0" t="s">
        <v>675</v>
      </c>
      <c r="K240" s="0" t="s">
        <v>7339</v>
      </c>
      <c r="L240" s="0" t="s">
        <v>7340</v>
      </c>
      <c r="M240" s="0" t="s">
        <v>7492</v>
      </c>
      <c r="N240" s="0" t="s">
        <v>7342</v>
      </c>
      <c r="O240" s="0" t="s">
        <v>682</v>
      </c>
      <c r="P240" s="0" t="s">
        <v>229</v>
      </c>
      <c r="R240" s="0" t="s">
        <v>7343</v>
      </c>
      <c r="S240" s="0" t="s">
        <v>7344</v>
      </c>
      <c r="T240" s="0" t="s">
        <v>681</v>
      </c>
      <c r="V240" s="0" t="s">
        <v>34</v>
      </c>
      <c r="W240" s="0" t="s">
        <v>51</v>
      </c>
      <c r="X240" s="0" t="s">
        <v>7345</v>
      </c>
      <c r="Y240" s="0" t="s">
        <v>7495</v>
      </c>
      <c r="Z240" s="0" t="s">
        <v>7496</v>
      </c>
      <c r="AA240" s="0" t="s">
        <v>7497</v>
      </c>
      <c r="AB240" s="0" t="s">
        <v>682</v>
      </c>
      <c r="AC240" s="0" t="s">
        <v>7349</v>
      </c>
      <c r="AD240" s="0" t="s">
        <v>7498</v>
      </c>
      <c r="AE240" s="0" t="s">
        <v>1341</v>
      </c>
      <c r="AF240" s="0" t="s">
        <v>7499</v>
      </c>
      <c r="AG240" s="0" t="s">
        <v>230</v>
      </c>
    </row>
    <row r="241" customFormat="false" ht="15" hidden="false" customHeight="false" outlineLevel="0" collapsed="false">
      <c r="A241" s="0" t="s">
        <v>7336</v>
      </c>
      <c r="B241" s="0" t="s">
        <v>1137</v>
      </c>
      <c r="C241" s="0" t="s">
        <v>1138</v>
      </c>
      <c r="D241" s="0" t="s">
        <v>676</v>
      </c>
      <c r="E241" s="0" t="s">
        <v>1139</v>
      </c>
      <c r="F241" s="0" t="s">
        <v>1140</v>
      </c>
      <c r="G241" s="0" t="s">
        <v>113</v>
      </c>
      <c r="H241" s="0" t="s">
        <v>7580</v>
      </c>
      <c r="I241" s="0" t="s">
        <v>7338</v>
      </c>
      <c r="J241" s="0" t="s">
        <v>675</v>
      </c>
      <c r="K241" s="0" t="s">
        <v>7339</v>
      </c>
      <c r="L241" s="0" t="s">
        <v>7340</v>
      </c>
      <c r="M241" s="0" t="s">
        <v>7492</v>
      </c>
      <c r="N241" s="0" t="s">
        <v>7342</v>
      </c>
      <c r="O241" s="0" t="s">
        <v>682</v>
      </c>
      <c r="P241" s="0" t="s">
        <v>229</v>
      </c>
      <c r="R241" s="0" t="s">
        <v>7343</v>
      </c>
      <c r="S241" s="0" t="s">
        <v>7344</v>
      </c>
      <c r="T241" s="0" t="s">
        <v>681</v>
      </c>
      <c r="V241" s="0" t="s">
        <v>34</v>
      </c>
      <c r="W241" s="0" t="s">
        <v>51</v>
      </c>
      <c r="X241" s="0" t="s">
        <v>7345</v>
      </c>
      <c r="Y241" s="0" t="s">
        <v>7495</v>
      </c>
      <c r="Z241" s="0" t="s">
        <v>7496</v>
      </c>
      <c r="AA241" s="0" t="s">
        <v>7497</v>
      </c>
      <c r="AB241" s="0" t="s">
        <v>682</v>
      </c>
      <c r="AC241" s="0" t="s">
        <v>7349</v>
      </c>
      <c r="AD241" s="0" t="s">
        <v>7498</v>
      </c>
      <c r="AE241" s="0" t="s">
        <v>1341</v>
      </c>
      <c r="AF241" s="0" t="s">
        <v>7499</v>
      </c>
      <c r="AG241" s="0" t="s">
        <v>230</v>
      </c>
    </row>
    <row r="242" customFormat="false" ht="15" hidden="false" customHeight="false" outlineLevel="0" collapsed="false">
      <c r="A242" s="0" t="s">
        <v>7336</v>
      </c>
      <c r="B242" s="0" t="s">
        <v>1141</v>
      </c>
      <c r="C242" s="0" t="s">
        <v>1142</v>
      </c>
      <c r="D242" s="0" t="s">
        <v>676</v>
      </c>
      <c r="E242" s="0" t="s">
        <v>1143</v>
      </c>
      <c r="F242" s="0" t="s">
        <v>1140</v>
      </c>
      <c r="G242" s="0" t="s">
        <v>113</v>
      </c>
      <c r="H242" s="0" t="s">
        <v>7580</v>
      </c>
      <c r="I242" s="0" t="s">
        <v>7338</v>
      </c>
      <c r="J242" s="0" t="s">
        <v>675</v>
      </c>
      <c r="K242" s="0" t="s">
        <v>7339</v>
      </c>
      <c r="L242" s="0" t="s">
        <v>7340</v>
      </c>
      <c r="M242" s="0" t="s">
        <v>7492</v>
      </c>
      <c r="N242" s="0" t="s">
        <v>7342</v>
      </c>
      <c r="O242" s="0" t="s">
        <v>682</v>
      </c>
      <c r="P242" s="0" t="s">
        <v>229</v>
      </c>
      <c r="R242" s="0" t="s">
        <v>7343</v>
      </c>
      <c r="S242" s="0" t="s">
        <v>7344</v>
      </c>
      <c r="T242" s="0" t="s">
        <v>228</v>
      </c>
      <c r="V242" s="0" t="s">
        <v>34</v>
      </c>
      <c r="W242" s="0" t="s">
        <v>38</v>
      </c>
      <c r="X242" s="0" t="s">
        <v>7345</v>
      </c>
      <c r="Y242" s="0" t="s">
        <v>7409</v>
      </c>
      <c r="Z242" s="0" t="s">
        <v>7370</v>
      </c>
      <c r="AA242" s="0" t="s">
        <v>7504</v>
      </c>
      <c r="AB242" s="0" t="s">
        <v>231</v>
      </c>
      <c r="AC242" s="0" t="s">
        <v>7349</v>
      </c>
      <c r="AD242" s="0" t="s">
        <v>7505</v>
      </c>
      <c r="AE242" s="0" t="s">
        <v>7506</v>
      </c>
      <c r="AF242" s="0" t="s">
        <v>7374</v>
      </c>
      <c r="AG242" s="0" t="s">
        <v>230</v>
      </c>
    </row>
    <row r="243" customFormat="false" ht="15" hidden="false" customHeight="false" outlineLevel="0" collapsed="false">
      <c r="A243" s="0" t="s">
        <v>7336</v>
      </c>
      <c r="B243" s="0" t="s">
        <v>1144</v>
      </c>
      <c r="C243" s="0" t="s">
        <v>1145</v>
      </c>
      <c r="D243" s="0" t="s">
        <v>676</v>
      </c>
      <c r="E243" s="0" t="s">
        <v>1146</v>
      </c>
      <c r="F243" s="0" t="s">
        <v>1147</v>
      </c>
      <c r="G243" s="0" t="s">
        <v>113</v>
      </c>
      <c r="H243" s="0" t="s">
        <v>7581</v>
      </c>
      <c r="I243" s="0" t="s">
        <v>7338</v>
      </c>
      <c r="J243" s="0" t="s">
        <v>675</v>
      </c>
      <c r="K243" s="0" t="s">
        <v>7339</v>
      </c>
      <c r="L243" s="0" t="s">
        <v>7340</v>
      </c>
      <c r="M243" s="0" t="s">
        <v>7492</v>
      </c>
      <c r="N243" s="0" t="s">
        <v>7342</v>
      </c>
      <c r="P243" s="0" t="s">
        <v>229</v>
      </c>
      <c r="R243" s="0" t="s">
        <v>7343</v>
      </c>
      <c r="S243" s="0" t="s">
        <v>7344</v>
      </c>
      <c r="T243" s="0" t="s">
        <v>228</v>
      </c>
      <c r="V243" s="0" t="s">
        <v>34</v>
      </c>
      <c r="W243" s="0" t="s">
        <v>38</v>
      </c>
      <c r="X243" s="0" t="s">
        <v>7345</v>
      </c>
      <c r="Y243" s="0" t="s">
        <v>7409</v>
      </c>
      <c r="Z243" s="0" t="s">
        <v>7370</v>
      </c>
      <c r="AA243" s="0" t="s">
        <v>7504</v>
      </c>
      <c r="AB243" s="0" t="s">
        <v>231</v>
      </c>
      <c r="AC243" s="0" t="s">
        <v>7349</v>
      </c>
      <c r="AD243" s="0" t="s">
        <v>7505</v>
      </c>
      <c r="AE243" s="0" t="s">
        <v>7506</v>
      </c>
      <c r="AF243" s="0" t="s">
        <v>7374</v>
      </c>
      <c r="AG243" s="0" t="s">
        <v>230</v>
      </c>
    </row>
    <row r="244" customFormat="false" ht="15" hidden="false" customHeight="false" outlineLevel="0" collapsed="false">
      <c r="A244" s="0" t="s">
        <v>7336</v>
      </c>
      <c r="B244" s="0" t="s">
        <v>1148</v>
      </c>
      <c r="C244" s="0" t="s">
        <v>1149</v>
      </c>
      <c r="D244" s="0" t="s">
        <v>676</v>
      </c>
      <c r="E244" s="0" t="s">
        <v>1150</v>
      </c>
      <c r="F244" s="0" t="s">
        <v>1151</v>
      </c>
      <c r="G244" s="0" t="s">
        <v>113</v>
      </c>
      <c r="H244" s="0" t="s">
        <v>7582</v>
      </c>
      <c r="I244" s="0" t="s">
        <v>7338</v>
      </c>
      <c r="J244" s="0" t="s">
        <v>675</v>
      </c>
      <c r="K244" s="0" t="s">
        <v>7339</v>
      </c>
      <c r="L244" s="0" t="s">
        <v>7340</v>
      </c>
      <c r="M244" s="0" t="s">
        <v>7492</v>
      </c>
      <c r="N244" s="0" t="s">
        <v>7342</v>
      </c>
      <c r="O244" s="0" t="s">
        <v>682</v>
      </c>
      <c r="P244" s="0" t="s">
        <v>229</v>
      </c>
      <c r="R244" s="0" t="s">
        <v>7343</v>
      </c>
      <c r="S244" s="0" t="s">
        <v>7344</v>
      </c>
      <c r="T244" s="0" t="s">
        <v>228</v>
      </c>
      <c r="V244" s="0" t="s">
        <v>34</v>
      </c>
      <c r="W244" s="0" t="s">
        <v>36</v>
      </c>
      <c r="X244" s="0" t="s">
        <v>7345</v>
      </c>
      <c r="Y244" s="0" t="s">
        <v>7346</v>
      </c>
      <c r="Z244" s="0" t="s">
        <v>7370</v>
      </c>
      <c r="AA244" s="0" t="s">
        <v>7348</v>
      </c>
      <c r="AB244" s="0" t="s">
        <v>231</v>
      </c>
      <c r="AC244" s="0" t="s">
        <v>7349</v>
      </c>
      <c r="AD244" s="0" t="s">
        <v>7516</v>
      </c>
      <c r="AE244" s="0" t="s">
        <v>7351</v>
      </c>
      <c r="AF244" s="0" t="s">
        <v>7352</v>
      </c>
      <c r="AG244" s="0" t="s">
        <v>230</v>
      </c>
    </row>
    <row r="245" customFormat="false" ht="15" hidden="false" customHeight="false" outlineLevel="0" collapsed="false">
      <c r="A245" s="0" t="s">
        <v>7336</v>
      </c>
      <c r="B245" s="0" t="s">
        <v>1152</v>
      </c>
      <c r="C245" s="0" t="s">
        <v>1153</v>
      </c>
      <c r="D245" s="0" t="s">
        <v>676</v>
      </c>
      <c r="E245" s="0" t="s">
        <v>1154</v>
      </c>
      <c r="F245" s="0" t="s">
        <v>1155</v>
      </c>
      <c r="G245" s="0" t="s">
        <v>113</v>
      </c>
      <c r="H245" s="0" t="s">
        <v>7583</v>
      </c>
      <c r="I245" s="0" t="s">
        <v>7338</v>
      </c>
      <c r="J245" s="0" t="s">
        <v>675</v>
      </c>
      <c r="K245" s="0" t="s">
        <v>7339</v>
      </c>
      <c r="L245" s="0" t="s">
        <v>7340</v>
      </c>
      <c r="M245" s="0" t="s">
        <v>7492</v>
      </c>
      <c r="N245" s="0" t="s">
        <v>7342</v>
      </c>
      <c r="O245" s="0" t="s">
        <v>682</v>
      </c>
      <c r="P245" s="0" t="s">
        <v>229</v>
      </c>
      <c r="R245" s="0" t="s">
        <v>7343</v>
      </c>
      <c r="S245" s="0" t="s">
        <v>7344</v>
      </c>
      <c r="T245" s="0" t="s">
        <v>228</v>
      </c>
      <c r="V245" s="0" t="s">
        <v>34</v>
      </c>
      <c r="W245" s="0" t="s">
        <v>36</v>
      </c>
      <c r="X245" s="0" t="s">
        <v>7345</v>
      </c>
      <c r="Y245" s="0" t="s">
        <v>7346</v>
      </c>
      <c r="Z245" s="0" t="s">
        <v>7370</v>
      </c>
      <c r="AA245" s="0" t="s">
        <v>7348</v>
      </c>
      <c r="AB245" s="0" t="s">
        <v>231</v>
      </c>
      <c r="AC245" s="0" t="s">
        <v>7349</v>
      </c>
      <c r="AD245" s="0" t="s">
        <v>7516</v>
      </c>
      <c r="AE245" s="0" t="s">
        <v>7351</v>
      </c>
      <c r="AF245" s="0" t="s">
        <v>7352</v>
      </c>
      <c r="AG245" s="0" t="s">
        <v>230</v>
      </c>
    </row>
    <row r="246" customFormat="false" ht="15" hidden="false" customHeight="false" outlineLevel="0" collapsed="false">
      <c r="A246" s="0" t="s">
        <v>7336</v>
      </c>
      <c r="B246" s="0" t="s">
        <v>1156</v>
      </c>
      <c r="C246" s="0" t="s">
        <v>1157</v>
      </c>
      <c r="D246" s="0" t="s">
        <v>676</v>
      </c>
      <c r="E246" s="0" t="s">
        <v>1158</v>
      </c>
      <c r="F246" s="0" t="s">
        <v>1159</v>
      </c>
      <c r="G246" s="0" t="s">
        <v>113</v>
      </c>
      <c r="H246" s="0" t="s">
        <v>7584</v>
      </c>
      <c r="I246" s="0" t="s">
        <v>7338</v>
      </c>
      <c r="J246" s="0" t="s">
        <v>675</v>
      </c>
      <c r="K246" s="0" t="s">
        <v>7339</v>
      </c>
      <c r="L246" s="0" t="s">
        <v>7340</v>
      </c>
      <c r="M246" s="0" t="s">
        <v>7492</v>
      </c>
      <c r="N246" s="0" t="s">
        <v>7342</v>
      </c>
      <c r="O246" s="0" t="s">
        <v>682</v>
      </c>
      <c r="P246" s="0" t="s">
        <v>229</v>
      </c>
      <c r="R246" s="0" t="s">
        <v>7343</v>
      </c>
      <c r="S246" s="0" t="s">
        <v>7344</v>
      </c>
      <c r="T246" s="0" t="s">
        <v>228</v>
      </c>
      <c r="V246" s="0" t="s">
        <v>34</v>
      </c>
      <c r="W246" s="0" t="s">
        <v>48</v>
      </c>
      <c r="X246" s="0" t="s">
        <v>7345</v>
      </c>
      <c r="Y246" s="0" t="s">
        <v>7346</v>
      </c>
      <c r="Z246" s="0" t="s">
        <v>7370</v>
      </c>
      <c r="AA246" s="0" t="s">
        <v>7348</v>
      </c>
      <c r="AB246" s="0" t="s">
        <v>231</v>
      </c>
      <c r="AC246" s="0" t="s">
        <v>7349</v>
      </c>
      <c r="AD246" s="0" t="s">
        <v>7512</v>
      </c>
      <c r="AE246" s="0" t="s">
        <v>7351</v>
      </c>
      <c r="AF246" s="0" t="s">
        <v>7352</v>
      </c>
      <c r="AG246" s="0" t="s">
        <v>230</v>
      </c>
    </row>
    <row r="247" customFormat="false" ht="15" hidden="false" customHeight="false" outlineLevel="0" collapsed="false">
      <c r="A247" s="0" t="s">
        <v>7336</v>
      </c>
      <c r="B247" s="0" t="s">
        <v>1160</v>
      </c>
      <c r="C247" s="0" t="s">
        <v>1161</v>
      </c>
      <c r="D247" s="0" t="s">
        <v>676</v>
      </c>
      <c r="E247" s="0" t="s">
        <v>1162</v>
      </c>
      <c r="F247" s="0" t="s">
        <v>1163</v>
      </c>
      <c r="G247" s="0" t="s">
        <v>113</v>
      </c>
      <c r="H247" s="0" t="s">
        <v>7585</v>
      </c>
      <c r="I247" s="0" t="s">
        <v>7338</v>
      </c>
      <c r="J247" s="0" t="s">
        <v>675</v>
      </c>
      <c r="K247" s="0" t="s">
        <v>7339</v>
      </c>
      <c r="L247" s="0" t="s">
        <v>7340</v>
      </c>
      <c r="M247" s="0" t="s">
        <v>7492</v>
      </c>
      <c r="N247" s="0" t="s">
        <v>7342</v>
      </c>
      <c r="P247" s="0" t="s">
        <v>229</v>
      </c>
      <c r="R247" s="0" t="s">
        <v>7343</v>
      </c>
      <c r="S247" s="0" t="s">
        <v>7344</v>
      </c>
      <c r="T247" s="0" t="s">
        <v>228</v>
      </c>
      <c r="V247" s="0" t="s">
        <v>34</v>
      </c>
      <c r="W247" s="0" t="s">
        <v>38</v>
      </c>
      <c r="X247" s="0" t="s">
        <v>7345</v>
      </c>
      <c r="Y247" s="0" t="s">
        <v>7409</v>
      </c>
      <c r="Z247" s="0" t="s">
        <v>7370</v>
      </c>
      <c r="AA247" s="0" t="s">
        <v>7504</v>
      </c>
      <c r="AB247" s="0" t="s">
        <v>231</v>
      </c>
      <c r="AC247" s="0" t="s">
        <v>7349</v>
      </c>
      <c r="AD247" s="0" t="s">
        <v>7505</v>
      </c>
      <c r="AE247" s="0" t="s">
        <v>7506</v>
      </c>
      <c r="AF247" s="0" t="s">
        <v>7374</v>
      </c>
      <c r="AG247" s="0" t="s">
        <v>230</v>
      </c>
    </row>
    <row r="248" customFormat="false" ht="15" hidden="false" customHeight="false" outlineLevel="0" collapsed="false">
      <c r="A248" s="0" t="s">
        <v>7336</v>
      </c>
      <c r="B248" s="0" t="s">
        <v>1164</v>
      </c>
      <c r="C248" s="0" t="s">
        <v>1165</v>
      </c>
      <c r="D248" s="0" t="s">
        <v>676</v>
      </c>
      <c r="E248" s="0" t="s">
        <v>1166</v>
      </c>
      <c r="F248" s="0" t="s">
        <v>1167</v>
      </c>
      <c r="G248" s="0" t="s">
        <v>113</v>
      </c>
      <c r="H248" s="0" t="s">
        <v>7586</v>
      </c>
      <c r="I248" s="0" t="s">
        <v>7338</v>
      </c>
      <c r="J248" s="0" t="s">
        <v>675</v>
      </c>
      <c r="K248" s="0" t="s">
        <v>7339</v>
      </c>
      <c r="L248" s="0" t="s">
        <v>7340</v>
      </c>
      <c r="M248" s="0" t="s">
        <v>7492</v>
      </c>
      <c r="N248" s="0" t="s">
        <v>7342</v>
      </c>
      <c r="P248" s="0" t="s">
        <v>229</v>
      </c>
      <c r="R248" s="0" t="s">
        <v>7343</v>
      </c>
      <c r="S248" s="0" t="s">
        <v>7344</v>
      </c>
      <c r="T248" s="0" t="s">
        <v>228</v>
      </c>
      <c r="V248" s="0" t="s">
        <v>34</v>
      </c>
      <c r="W248" s="0" t="s">
        <v>38</v>
      </c>
      <c r="X248" s="0" t="s">
        <v>7345</v>
      </c>
      <c r="Y248" s="0" t="s">
        <v>7409</v>
      </c>
      <c r="Z248" s="0" t="s">
        <v>7370</v>
      </c>
      <c r="AA248" s="0" t="s">
        <v>7504</v>
      </c>
      <c r="AB248" s="0" t="s">
        <v>231</v>
      </c>
      <c r="AC248" s="0" t="s">
        <v>7349</v>
      </c>
      <c r="AD248" s="0" t="s">
        <v>7505</v>
      </c>
      <c r="AE248" s="0" t="s">
        <v>7506</v>
      </c>
      <c r="AF248" s="0" t="s">
        <v>7374</v>
      </c>
      <c r="AG248" s="0" t="s">
        <v>230</v>
      </c>
    </row>
    <row r="249" customFormat="false" ht="15" hidden="false" customHeight="false" outlineLevel="0" collapsed="false">
      <c r="A249" s="0" t="s">
        <v>7336</v>
      </c>
      <c r="B249" s="0" t="s">
        <v>1168</v>
      </c>
      <c r="C249" s="0" t="s">
        <v>1169</v>
      </c>
      <c r="D249" s="0" t="s">
        <v>676</v>
      </c>
      <c r="E249" s="0" t="s">
        <v>1170</v>
      </c>
      <c r="F249" s="0" t="s">
        <v>1171</v>
      </c>
      <c r="G249" s="0" t="s">
        <v>113</v>
      </c>
      <c r="H249" s="0" t="s">
        <v>7587</v>
      </c>
      <c r="I249" s="0" t="s">
        <v>7338</v>
      </c>
      <c r="J249" s="0" t="s">
        <v>675</v>
      </c>
      <c r="K249" s="0" t="s">
        <v>7339</v>
      </c>
      <c r="L249" s="0" t="s">
        <v>7340</v>
      </c>
      <c r="M249" s="0" t="s">
        <v>7492</v>
      </c>
      <c r="N249" s="0" t="s">
        <v>7342</v>
      </c>
      <c r="P249" s="0" t="s">
        <v>229</v>
      </c>
      <c r="R249" s="0" t="s">
        <v>7343</v>
      </c>
      <c r="S249" s="0" t="s">
        <v>7344</v>
      </c>
      <c r="T249" s="0" t="s">
        <v>228</v>
      </c>
      <c r="V249" s="0" t="s">
        <v>34</v>
      </c>
      <c r="W249" s="0" t="s">
        <v>38</v>
      </c>
      <c r="X249" s="0" t="s">
        <v>7345</v>
      </c>
      <c r="Y249" s="0" t="s">
        <v>7409</v>
      </c>
      <c r="Z249" s="0" t="s">
        <v>7370</v>
      </c>
      <c r="AA249" s="0" t="s">
        <v>7504</v>
      </c>
      <c r="AB249" s="0" t="s">
        <v>231</v>
      </c>
      <c r="AC249" s="0" t="s">
        <v>7349</v>
      </c>
      <c r="AD249" s="0" t="s">
        <v>7505</v>
      </c>
      <c r="AE249" s="0" t="s">
        <v>7506</v>
      </c>
      <c r="AF249" s="0" t="s">
        <v>7374</v>
      </c>
      <c r="AG249" s="0" t="s">
        <v>230</v>
      </c>
    </row>
    <row r="250" customFormat="false" ht="15" hidden="false" customHeight="false" outlineLevel="0" collapsed="false">
      <c r="A250" s="0" t="s">
        <v>7336</v>
      </c>
      <c r="B250" s="0" t="s">
        <v>1172</v>
      </c>
      <c r="C250" s="0" t="s">
        <v>1173</v>
      </c>
      <c r="D250" s="0" t="s">
        <v>676</v>
      </c>
      <c r="E250" s="0" t="s">
        <v>1174</v>
      </c>
      <c r="F250" s="0" t="s">
        <v>1175</v>
      </c>
      <c r="G250" s="0" t="s">
        <v>113</v>
      </c>
      <c r="H250" s="0" t="s">
        <v>7588</v>
      </c>
      <c r="I250" s="0" t="s">
        <v>7338</v>
      </c>
      <c r="J250" s="0" t="s">
        <v>675</v>
      </c>
      <c r="K250" s="0" t="s">
        <v>7339</v>
      </c>
      <c r="L250" s="0" t="s">
        <v>7340</v>
      </c>
      <c r="M250" s="0" t="s">
        <v>7492</v>
      </c>
      <c r="N250" s="0" t="s">
        <v>7342</v>
      </c>
      <c r="P250" s="0" t="s">
        <v>229</v>
      </c>
      <c r="R250" s="0" t="s">
        <v>7343</v>
      </c>
      <c r="S250" s="0" t="s">
        <v>7344</v>
      </c>
      <c r="T250" s="0" t="s">
        <v>228</v>
      </c>
      <c r="V250" s="0" t="s">
        <v>34</v>
      </c>
      <c r="W250" s="0" t="s">
        <v>38</v>
      </c>
      <c r="X250" s="0" t="s">
        <v>7345</v>
      </c>
      <c r="Y250" s="0" t="s">
        <v>7409</v>
      </c>
      <c r="Z250" s="0" t="s">
        <v>7370</v>
      </c>
      <c r="AA250" s="0" t="s">
        <v>7504</v>
      </c>
      <c r="AB250" s="0" t="s">
        <v>231</v>
      </c>
      <c r="AC250" s="0" t="s">
        <v>7349</v>
      </c>
      <c r="AD250" s="0" t="s">
        <v>7505</v>
      </c>
      <c r="AE250" s="0" t="s">
        <v>7506</v>
      </c>
      <c r="AF250" s="0" t="s">
        <v>7374</v>
      </c>
      <c r="AG250" s="0" t="s">
        <v>230</v>
      </c>
    </row>
    <row r="251" customFormat="false" ht="15" hidden="false" customHeight="false" outlineLevel="0" collapsed="false">
      <c r="A251" s="0" t="s">
        <v>7336</v>
      </c>
      <c r="B251" s="0" t="s">
        <v>1176</v>
      </c>
      <c r="C251" s="0" t="s">
        <v>1177</v>
      </c>
      <c r="D251" s="0" t="s">
        <v>676</v>
      </c>
      <c r="E251" s="0" t="s">
        <v>1178</v>
      </c>
      <c r="F251" s="0" t="s">
        <v>1014</v>
      </c>
      <c r="G251" s="0" t="s">
        <v>113</v>
      </c>
      <c r="H251" s="0" t="s">
        <v>7560</v>
      </c>
      <c r="I251" s="0" t="s">
        <v>7338</v>
      </c>
      <c r="J251" s="0" t="s">
        <v>675</v>
      </c>
      <c r="K251" s="0" t="s">
        <v>7339</v>
      </c>
      <c r="L251" s="0" t="s">
        <v>7340</v>
      </c>
      <c r="M251" s="0" t="s">
        <v>7492</v>
      </c>
      <c r="N251" s="0" t="s">
        <v>7342</v>
      </c>
      <c r="P251" s="0" t="s">
        <v>229</v>
      </c>
      <c r="R251" s="0" t="s">
        <v>7343</v>
      </c>
      <c r="S251" s="0" t="s">
        <v>7344</v>
      </c>
      <c r="T251" s="0" t="s">
        <v>228</v>
      </c>
      <c r="V251" s="0" t="s">
        <v>34</v>
      </c>
      <c r="W251" s="0" t="s">
        <v>46</v>
      </c>
      <c r="X251" s="0" t="s">
        <v>7345</v>
      </c>
      <c r="Y251" s="0" t="s">
        <v>7346</v>
      </c>
      <c r="Z251" s="0" t="s">
        <v>7347</v>
      </c>
      <c r="AA251" s="0" t="s">
        <v>7348</v>
      </c>
      <c r="AB251" s="0" t="s">
        <v>231</v>
      </c>
      <c r="AC251" s="0" t="s">
        <v>7349</v>
      </c>
      <c r="AD251" s="0" t="s">
        <v>7500</v>
      </c>
      <c r="AE251" s="0" t="s">
        <v>7501</v>
      </c>
      <c r="AF251" s="0" t="s">
        <v>7352</v>
      </c>
      <c r="AG251" s="0" t="s">
        <v>230</v>
      </c>
    </row>
    <row r="252" customFormat="false" ht="15" hidden="false" customHeight="false" outlineLevel="0" collapsed="false">
      <c r="A252" s="0" t="s">
        <v>7336</v>
      </c>
      <c r="B252" s="0" t="s">
        <v>1179</v>
      </c>
      <c r="C252" s="0" t="s">
        <v>1180</v>
      </c>
      <c r="D252" s="0" t="s">
        <v>1184</v>
      </c>
      <c r="E252" s="0" t="s">
        <v>1181</v>
      </c>
      <c r="F252" s="0" t="s">
        <v>1182</v>
      </c>
      <c r="G252" s="0" t="s">
        <v>124</v>
      </c>
      <c r="H252" s="0" t="s">
        <v>7589</v>
      </c>
      <c r="I252" s="0" t="s">
        <v>7338</v>
      </c>
      <c r="J252" s="0" t="s">
        <v>1183</v>
      </c>
      <c r="K252" s="0" t="s">
        <v>7339</v>
      </c>
      <c r="L252" s="0" t="s">
        <v>7340</v>
      </c>
      <c r="M252" s="0" t="s">
        <v>7590</v>
      </c>
      <c r="N252" s="0" t="s">
        <v>7342</v>
      </c>
      <c r="P252" s="0" t="s">
        <v>229</v>
      </c>
      <c r="Q252" s="0" t="s">
        <v>7354</v>
      </c>
      <c r="R252" s="0" t="s">
        <v>7435</v>
      </c>
      <c r="S252" s="0" t="s">
        <v>7344</v>
      </c>
      <c r="T252" s="0" t="s">
        <v>228</v>
      </c>
      <c r="V252" s="0" t="s">
        <v>61</v>
      </c>
      <c r="W252" s="0" t="s">
        <v>63</v>
      </c>
      <c r="X252" s="0" t="s">
        <v>7355</v>
      </c>
      <c r="Y252" s="0" t="s">
        <v>7459</v>
      </c>
      <c r="Z252" s="0" t="s">
        <v>7591</v>
      </c>
      <c r="AA252" s="0" t="s">
        <v>7592</v>
      </c>
      <c r="AB252" s="0" t="s">
        <v>344</v>
      </c>
      <c r="AC252" s="0" t="s">
        <v>7349</v>
      </c>
      <c r="AD252" s="0" t="s">
        <v>7593</v>
      </c>
      <c r="AE252" s="0" t="s">
        <v>7440</v>
      </c>
      <c r="AF252" s="0" t="s">
        <v>7374</v>
      </c>
      <c r="AG252" s="0" t="s">
        <v>230</v>
      </c>
    </row>
    <row r="253" customFormat="false" ht="15" hidden="false" customHeight="false" outlineLevel="0" collapsed="false">
      <c r="A253" s="0" t="s">
        <v>7336</v>
      </c>
      <c r="B253" s="0" t="s">
        <v>1185</v>
      </c>
      <c r="C253" s="0" t="s">
        <v>1186</v>
      </c>
      <c r="D253" s="0" t="s">
        <v>1184</v>
      </c>
      <c r="E253" s="0" t="s">
        <v>1187</v>
      </c>
      <c r="F253" s="0" t="s">
        <v>1188</v>
      </c>
      <c r="G253" s="0" t="s">
        <v>124</v>
      </c>
      <c r="H253" s="0" t="s">
        <v>7594</v>
      </c>
      <c r="I253" s="0" t="s">
        <v>7338</v>
      </c>
      <c r="J253" s="0" t="s">
        <v>1183</v>
      </c>
      <c r="K253" s="0" t="s">
        <v>7339</v>
      </c>
      <c r="L253" s="0" t="s">
        <v>7340</v>
      </c>
      <c r="M253" s="0" t="s">
        <v>7590</v>
      </c>
      <c r="N253" s="0" t="s">
        <v>7342</v>
      </c>
      <c r="P253" s="0" t="s">
        <v>229</v>
      </c>
      <c r="Q253" s="0" t="s">
        <v>7354</v>
      </c>
      <c r="R253" s="0" t="s">
        <v>7435</v>
      </c>
      <c r="S253" s="0" t="s">
        <v>7344</v>
      </c>
      <c r="T253" s="0" t="s">
        <v>228</v>
      </c>
      <c r="V253" s="0" t="s">
        <v>61</v>
      </c>
      <c r="W253" s="0" t="s">
        <v>63</v>
      </c>
      <c r="X253" s="0" t="s">
        <v>7355</v>
      </c>
      <c r="Y253" s="0" t="s">
        <v>7459</v>
      </c>
      <c r="Z253" s="0" t="s">
        <v>7591</v>
      </c>
      <c r="AA253" s="0" t="s">
        <v>7592</v>
      </c>
      <c r="AB253" s="0" t="s">
        <v>344</v>
      </c>
      <c r="AC253" s="0" t="s">
        <v>7349</v>
      </c>
      <c r="AD253" s="0" t="s">
        <v>7593</v>
      </c>
      <c r="AE253" s="0" t="s">
        <v>7440</v>
      </c>
      <c r="AF253" s="0" t="s">
        <v>7374</v>
      </c>
      <c r="AG253" s="0" t="s">
        <v>230</v>
      </c>
    </row>
    <row r="254" customFormat="false" ht="15" hidden="false" customHeight="false" outlineLevel="0" collapsed="false">
      <c r="A254" s="0" t="s">
        <v>7336</v>
      </c>
      <c r="B254" s="0" t="s">
        <v>1189</v>
      </c>
      <c r="C254" s="0" t="s">
        <v>1190</v>
      </c>
      <c r="D254" s="0" t="s">
        <v>1184</v>
      </c>
      <c r="E254" s="0" t="s">
        <v>1191</v>
      </c>
      <c r="F254" s="0" t="s">
        <v>1192</v>
      </c>
      <c r="G254" s="0" t="s">
        <v>124</v>
      </c>
      <c r="H254" s="0" t="s">
        <v>7595</v>
      </c>
      <c r="I254" s="0" t="s">
        <v>7338</v>
      </c>
      <c r="J254" s="0" t="s">
        <v>1183</v>
      </c>
      <c r="K254" s="0" t="s">
        <v>7339</v>
      </c>
      <c r="L254" s="0" t="s">
        <v>7340</v>
      </c>
      <c r="M254" s="0" t="s">
        <v>7590</v>
      </c>
      <c r="N254" s="0" t="s">
        <v>7342</v>
      </c>
      <c r="P254" s="0" t="s">
        <v>229</v>
      </c>
      <c r="Q254" s="0" t="s">
        <v>7354</v>
      </c>
      <c r="R254" s="0" t="s">
        <v>7435</v>
      </c>
      <c r="S254" s="0" t="s">
        <v>7344</v>
      </c>
      <c r="T254" s="0" t="s">
        <v>228</v>
      </c>
      <c r="V254" s="0" t="s">
        <v>61</v>
      </c>
      <c r="W254" s="0" t="s">
        <v>63</v>
      </c>
      <c r="X254" s="0" t="s">
        <v>7355</v>
      </c>
      <c r="Y254" s="0" t="s">
        <v>7459</v>
      </c>
      <c r="Z254" s="0" t="s">
        <v>7591</v>
      </c>
      <c r="AA254" s="0" t="s">
        <v>7592</v>
      </c>
      <c r="AB254" s="0" t="s">
        <v>344</v>
      </c>
      <c r="AC254" s="0" t="s">
        <v>7349</v>
      </c>
      <c r="AD254" s="0" t="s">
        <v>7593</v>
      </c>
      <c r="AE254" s="0" t="s">
        <v>7440</v>
      </c>
      <c r="AF254" s="0" t="s">
        <v>7374</v>
      </c>
      <c r="AG254" s="0" t="s">
        <v>230</v>
      </c>
    </row>
    <row r="255" customFormat="false" ht="15" hidden="false" customHeight="false" outlineLevel="0" collapsed="false">
      <c r="A255" s="0" t="s">
        <v>7336</v>
      </c>
      <c r="B255" s="0" t="s">
        <v>1193</v>
      </c>
      <c r="C255" s="0" t="s">
        <v>1194</v>
      </c>
      <c r="D255" s="0" t="s">
        <v>1184</v>
      </c>
      <c r="E255" s="0" t="s">
        <v>1195</v>
      </c>
      <c r="F255" s="0" t="s">
        <v>1196</v>
      </c>
      <c r="G255" s="0" t="s">
        <v>124</v>
      </c>
      <c r="H255" s="0" t="s">
        <v>7596</v>
      </c>
      <c r="I255" s="0" t="s">
        <v>7338</v>
      </c>
      <c r="J255" s="0" t="s">
        <v>1183</v>
      </c>
      <c r="K255" s="0" t="s">
        <v>7339</v>
      </c>
      <c r="L255" s="0" t="s">
        <v>7340</v>
      </c>
      <c r="M255" s="0" t="s">
        <v>7590</v>
      </c>
      <c r="N255" s="0" t="s">
        <v>7342</v>
      </c>
      <c r="P255" s="0" t="s">
        <v>229</v>
      </c>
      <c r="Q255" s="0" t="s">
        <v>7354</v>
      </c>
      <c r="R255" s="0" t="s">
        <v>7435</v>
      </c>
      <c r="S255" s="0" t="s">
        <v>7344</v>
      </c>
      <c r="T255" s="0" t="s">
        <v>228</v>
      </c>
      <c r="V255" s="0" t="s">
        <v>61</v>
      </c>
      <c r="W255" s="0" t="s">
        <v>63</v>
      </c>
      <c r="X255" s="0" t="s">
        <v>7355</v>
      </c>
      <c r="Y255" s="0" t="s">
        <v>7459</v>
      </c>
      <c r="Z255" s="0" t="s">
        <v>7591</v>
      </c>
      <c r="AA255" s="0" t="s">
        <v>7592</v>
      </c>
      <c r="AB255" s="0" t="s">
        <v>344</v>
      </c>
      <c r="AC255" s="0" t="s">
        <v>7349</v>
      </c>
      <c r="AD255" s="0" t="s">
        <v>7593</v>
      </c>
      <c r="AE255" s="0" t="s">
        <v>7440</v>
      </c>
      <c r="AF255" s="0" t="s">
        <v>7374</v>
      </c>
      <c r="AG255" s="0" t="s">
        <v>230</v>
      </c>
    </row>
    <row r="256" customFormat="false" ht="15" hidden="false" customHeight="false" outlineLevel="0" collapsed="false">
      <c r="A256" s="0" t="s">
        <v>7336</v>
      </c>
      <c r="B256" s="0" t="s">
        <v>1197</v>
      </c>
      <c r="C256" s="0" t="s">
        <v>1198</v>
      </c>
      <c r="D256" s="0" t="s">
        <v>1184</v>
      </c>
      <c r="E256" s="0" t="s">
        <v>1199</v>
      </c>
      <c r="F256" s="0" t="s">
        <v>1200</v>
      </c>
      <c r="G256" s="0" t="s">
        <v>124</v>
      </c>
      <c r="H256" s="0" t="s">
        <v>7597</v>
      </c>
      <c r="I256" s="0" t="s">
        <v>7338</v>
      </c>
      <c r="J256" s="0" t="s">
        <v>1183</v>
      </c>
      <c r="K256" s="0" t="s">
        <v>7339</v>
      </c>
      <c r="L256" s="0" t="s">
        <v>7340</v>
      </c>
      <c r="M256" s="0" t="s">
        <v>7590</v>
      </c>
      <c r="N256" s="0" t="s">
        <v>7342</v>
      </c>
      <c r="P256" s="0" t="s">
        <v>229</v>
      </c>
      <c r="Q256" s="0" t="s">
        <v>7354</v>
      </c>
      <c r="R256" s="0" t="s">
        <v>7435</v>
      </c>
      <c r="S256" s="0" t="s">
        <v>7344</v>
      </c>
      <c r="T256" s="0" t="s">
        <v>228</v>
      </c>
      <c r="V256" s="0" t="s">
        <v>61</v>
      </c>
      <c r="W256" s="0" t="s">
        <v>63</v>
      </c>
      <c r="X256" s="0" t="s">
        <v>7355</v>
      </c>
      <c r="Y256" s="0" t="s">
        <v>7459</v>
      </c>
      <c r="Z256" s="0" t="s">
        <v>7591</v>
      </c>
      <c r="AA256" s="0" t="s">
        <v>7592</v>
      </c>
      <c r="AB256" s="0" t="s">
        <v>344</v>
      </c>
      <c r="AC256" s="0" t="s">
        <v>7349</v>
      </c>
      <c r="AD256" s="0" t="s">
        <v>7593</v>
      </c>
      <c r="AE256" s="0" t="s">
        <v>7440</v>
      </c>
      <c r="AF256" s="0" t="s">
        <v>7374</v>
      </c>
      <c r="AG256" s="0" t="s">
        <v>230</v>
      </c>
    </row>
    <row r="257" customFormat="false" ht="15" hidden="false" customHeight="false" outlineLevel="0" collapsed="false">
      <c r="A257" s="0" t="s">
        <v>7336</v>
      </c>
      <c r="B257" s="0" t="s">
        <v>1201</v>
      </c>
      <c r="C257" s="0" t="s">
        <v>1202</v>
      </c>
      <c r="D257" s="0" t="s">
        <v>1184</v>
      </c>
      <c r="E257" s="0" t="s">
        <v>1203</v>
      </c>
      <c r="F257" s="0" t="s">
        <v>1204</v>
      </c>
      <c r="G257" s="0" t="s">
        <v>124</v>
      </c>
      <c r="H257" s="0" t="s">
        <v>7598</v>
      </c>
      <c r="I257" s="0" t="s">
        <v>7338</v>
      </c>
      <c r="J257" s="0" t="s">
        <v>1183</v>
      </c>
      <c r="K257" s="0" t="s">
        <v>7339</v>
      </c>
      <c r="L257" s="0" t="s">
        <v>7340</v>
      </c>
      <c r="M257" s="0" t="s">
        <v>7590</v>
      </c>
      <c r="N257" s="0" t="s">
        <v>7342</v>
      </c>
      <c r="P257" s="0" t="s">
        <v>229</v>
      </c>
      <c r="Q257" s="0" t="s">
        <v>7354</v>
      </c>
      <c r="R257" s="0" t="s">
        <v>7435</v>
      </c>
      <c r="S257" s="0" t="s">
        <v>7344</v>
      </c>
      <c r="T257" s="0" t="s">
        <v>228</v>
      </c>
      <c r="V257" s="0" t="s">
        <v>61</v>
      </c>
      <c r="W257" s="0" t="s">
        <v>63</v>
      </c>
      <c r="X257" s="0" t="s">
        <v>7355</v>
      </c>
      <c r="Y257" s="0" t="s">
        <v>7459</v>
      </c>
      <c r="Z257" s="0" t="s">
        <v>7591</v>
      </c>
      <c r="AA257" s="0" t="s">
        <v>7592</v>
      </c>
      <c r="AB257" s="0" t="s">
        <v>344</v>
      </c>
      <c r="AC257" s="0" t="s">
        <v>7349</v>
      </c>
      <c r="AD257" s="0" t="s">
        <v>7593</v>
      </c>
      <c r="AE257" s="0" t="s">
        <v>7440</v>
      </c>
      <c r="AF257" s="0" t="s">
        <v>7374</v>
      </c>
      <c r="AG257" s="0" t="s">
        <v>230</v>
      </c>
    </row>
    <row r="258" customFormat="false" ht="15" hidden="false" customHeight="false" outlineLevel="0" collapsed="false">
      <c r="A258" s="0" t="s">
        <v>7336</v>
      </c>
      <c r="B258" s="0" t="s">
        <v>1205</v>
      </c>
      <c r="C258" s="0" t="s">
        <v>1206</v>
      </c>
      <c r="D258" s="0" t="s">
        <v>1184</v>
      </c>
      <c r="E258" s="0" t="s">
        <v>1207</v>
      </c>
      <c r="F258" s="0" t="s">
        <v>1208</v>
      </c>
      <c r="G258" s="0" t="s">
        <v>124</v>
      </c>
      <c r="H258" s="0" t="s">
        <v>7599</v>
      </c>
      <c r="I258" s="0" t="s">
        <v>7338</v>
      </c>
      <c r="J258" s="0" t="s">
        <v>1183</v>
      </c>
      <c r="K258" s="0" t="s">
        <v>7339</v>
      </c>
      <c r="L258" s="0" t="s">
        <v>7340</v>
      </c>
      <c r="M258" s="0" t="s">
        <v>7590</v>
      </c>
      <c r="N258" s="0" t="s">
        <v>7342</v>
      </c>
      <c r="P258" s="0" t="s">
        <v>229</v>
      </c>
      <c r="Q258" s="0" t="s">
        <v>7354</v>
      </c>
      <c r="R258" s="0" t="s">
        <v>7435</v>
      </c>
      <c r="S258" s="0" t="s">
        <v>7344</v>
      </c>
      <c r="T258" s="0" t="s">
        <v>228</v>
      </c>
      <c r="V258" s="0" t="s">
        <v>61</v>
      </c>
      <c r="W258" s="0" t="s">
        <v>63</v>
      </c>
      <c r="X258" s="0" t="s">
        <v>7355</v>
      </c>
      <c r="Y258" s="0" t="s">
        <v>7459</v>
      </c>
      <c r="Z258" s="0" t="s">
        <v>7591</v>
      </c>
      <c r="AA258" s="0" t="s">
        <v>7592</v>
      </c>
      <c r="AB258" s="0" t="s">
        <v>344</v>
      </c>
      <c r="AC258" s="0" t="s">
        <v>7349</v>
      </c>
      <c r="AD258" s="0" t="s">
        <v>7593</v>
      </c>
      <c r="AE258" s="0" t="s">
        <v>7440</v>
      </c>
      <c r="AF258" s="0" t="s">
        <v>7374</v>
      </c>
      <c r="AG258" s="0" t="s">
        <v>230</v>
      </c>
    </row>
    <row r="259" customFormat="false" ht="15" hidden="false" customHeight="false" outlineLevel="0" collapsed="false">
      <c r="A259" s="0" t="s">
        <v>7336</v>
      </c>
      <c r="B259" s="0" t="s">
        <v>1209</v>
      </c>
      <c r="C259" s="0" t="s">
        <v>1210</v>
      </c>
      <c r="D259" s="0" t="s">
        <v>1184</v>
      </c>
      <c r="E259" s="0" t="s">
        <v>1211</v>
      </c>
      <c r="F259" s="0" t="s">
        <v>1212</v>
      </c>
      <c r="G259" s="0" t="s">
        <v>124</v>
      </c>
      <c r="H259" s="0" t="s">
        <v>7600</v>
      </c>
      <c r="I259" s="0" t="s">
        <v>7338</v>
      </c>
      <c r="J259" s="0" t="s">
        <v>1183</v>
      </c>
      <c r="K259" s="0" t="s">
        <v>7339</v>
      </c>
      <c r="L259" s="0" t="s">
        <v>7340</v>
      </c>
      <c r="M259" s="0" t="s">
        <v>7590</v>
      </c>
      <c r="N259" s="0" t="s">
        <v>7342</v>
      </c>
      <c r="P259" s="0" t="s">
        <v>229</v>
      </c>
      <c r="Q259" s="0" t="s">
        <v>7354</v>
      </c>
      <c r="R259" s="0" t="s">
        <v>7435</v>
      </c>
      <c r="S259" s="0" t="s">
        <v>7344</v>
      </c>
      <c r="T259" s="0" t="s">
        <v>228</v>
      </c>
      <c r="V259" s="0" t="s">
        <v>61</v>
      </c>
      <c r="W259" s="0" t="s">
        <v>63</v>
      </c>
      <c r="X259" s="0" t="s">
        <v>7355</v>
      </c>
      <c r="Y259" s="0" t="s">
        <v>7459</v>
      </c>
      <c r="Z259" s="0" t="s">
        <v>7591</v>
      </c>
      <c r="AA259" s="0" t="s">
        <v>7592</v>
      </c>
      <c r="AB259" s="0" t="s">
        <v>344</v>
      </c>
      <c r="AC259" s="0" t="s">
        <v>7349</v>
      </c>
      <c r="AD259" s="0" t="s">
        <v>7593</v>
      </c>
      <c r="AE259" s="0" t="s">
        <v>7440</v>
      </c>
      <c r="AF259" s="0" t="s">
        <v>7374</v>
      </c>
      <c r="AG259" s="0" t="s">
        <v>230</v>
      </c>
    </row>
    <row r="260" customFormat="false" ht="15" hidden="false" customHeight="false" outlineLevel="0" collapsed="false">
      <c r="A260" s="0" t="s">
        <v>7336</v>
      </c>
      <c r="B260" s="0" t="s">
        <v>1213</v>
      </c>
      <c r="C260" s="0" t="s">
        <v>1214</v>
      </c>
      <c r="D260" s="0" t="s">
        <v>1184</v>
      </c>
      <c r="E260" s="0" t="s">
        <v>1215</v>
      </c>
      <c r="F260" s="0" t="s">
        <v>1216</v>
      </c>
      <c r="G260" s="0" t="s">
        <v>124</v>
      </c>
      <c r="H260" s="0" t="s">
        <v>7601</v>
      </c>
      <c r="I260" s="0" t="s">
        <v>7338</v>
      </c>
      <c r="J260" s="0" t="s">
        <v>1183</v>
      </c>
      <c r="K260" s="0" t="s">
        <v>7339</v>
      </c>
      <c r="L260" s="0" t="s">
        <v>7340</v>
      </c>
      <c r="M260" s="0" t="s">
        <v>7590</v>
      </c>
      <c r="N260" s="0" t="s">
        <v>7342</v>
      </c>
      <c r="P260" s="0" t="s">
        <v>229</v>
      </c>
      <c r="Q260" s="0" t="s">
        <v>7354</v>
      </c>
      <c r="R260" s="0" t="s">
        <v>7435</v>
      </c>
      <c r="S260" s="0" t="s">
        <v>7344</v>
      </c>
      <c r="T260" s="0" t="s">
        <v>228</v>
      </c>
      <c r="V260" s="0" t="s">
        <v>61</v>
      </c>
      <c r="W260" s="0" t="s">
        <v>63</v>
      </c>
      <c r="X260" s="0" t="s">
        <v>7355</v>
      </c>
      <c r="Y260" s="0" t="s">
        <v>7459</v>
      </c>
      <c r="Z260" s="0" t="s">
        <v>7591</v>
      </c>
      <c r="AA260" s="0" t="s">
        <v>7592</v>
      </c>
      <c r="AB260" s="0" t="s">
        <v>344</v>
      </c>
      <c r="AC260" s="0" t="s">
        <v>7349</v>
      </c>
      <c r="AD260" s="0" t="s">
        <v>7593</v>
      </c>
      <c r="AE260" s="0" t="s">
        <v>7440</v>
      </c>
      <c r="AF260" s="0" t="s">
        <v>7374</v>
      </c>
      <c r="AG260" s="0" t="s">
        <v>230</v>
      </c>
    </row>
    <row r="261" customFormat="false" ht="15" hidden="false" customHeight="false" outlineLevel="0" collapsed="false">
      <c r="A261" s="0" t="s">
        <v>7336</v>
      </c>
      <c r="B261" s="0" t="s">
        <v>1217</v>
      </c>
      <c r="C261" s="0" t="s">
        <v>1218</v>
      </c>
      <c r="D261" s="0" t="s">
        <v>1184</v>
      </c>
      <c r="E261" s="0" t="s">
        <v>1219</v>
      </c>
      <c r="F261" s="0" t="s">
        <v>1220</v>
      </c>
      <c r="G261" s="0" t="s">
        <v>124</v>
      </c>
      <c r="H261" s="0" t="s">
        <v>7602</v>
      </c>
      <c r="I261" s="0" t="s">
        <v>7338</v>
      </c>
      <c r="J261" s="0" t="s">
        <v>1183</v>
      </c>
      <c r="K261" s="0" t="s">
        <v>7339</v>
      </c>
      <c r="L261" s="0" t="s">
        <v>7340</v>
      </c>
      <c r="M261" s="0" t="s">
        <v>7590</v>
      </c>
      <c r="N261" s="0" t="s">
        <v>7342</v>
      </c>
      <c r="P261" s="0" t="s">
        <v>229</v>
      </c>
      <c r="Q261" s="0" t="s">
        <v>7354</v>
      </c>
      <c r="R261" s="0" t="s">
        <v>7435</v>
      </c>
      <c r="S261" s="0" t="s">
        <v>7344</v>
      </c>
      <c r="T261" s="0" t="s">
        <v>228</v>
      </c>
      <c r="V261" s="0" t="s">
        <v>61</v>
      </c>
      <c r="W261" s="0" t="s">
        <v>63</v>
      </c>
      <c r="X261" s="0" t="s">
        <v>7355</v>
      </c>
      <c r="Y261" s="0" t="s">
        <v>7459</v>
      </c>
      <c r="Z261" s="0" t="s">
        <v>7591</v>
      </c>
      <c r="AA261" s="0" t="s">
        <v>7592</v>
      </c>
      <c r="AB261" s="0" t="s">
        <v>344</v>
      </c>
      <c r="AC261" s="0" t="s">
        <v>7349</v>
      </c>
      <c r="AD261" s="0" t="s">
        <v>7593</v>
      </c>
      <c r="AE261" s="0" t="s">
        <v>7440</v>
      </c>
      <c r="AF261" s="0" t="s">
        <v>7374</v>
      </c>
      <c r="AG261" s="0" t="s">
        <v>230</v>
      </c>
    </row>
    <row r="262" customFormat="false" ht="15" hidden="false" customHeight="false" outlineLevel="0" collapsed="false">
      <c r="A262" s="0" t="s">
        <v>7336</v>
      </c>
      <c r="B262" s="0" t="s">
        <v>1221</v>
      </c>
      <c r="C262" s="0" t="s">
        <v>1222</v>
      </c>
      <c r="D262" s="0" t="s">
        <v>1184</v>
      </c>
      <c r="E262" s="0" t="s">
        <v>1223</v>
      </c>
      <c r="F262" s="0" t="s">
        <v>1224</v>
      </c>
      <c r="G262" s="0" t="s">
        <v>124</v>
      </c>
      <c r="H262" s="0" t="s">
        <v>7603</v>
      </c>
      <c r="I262" s="0" t="s">
        <v>7338</v>
      </c>
      <c r="J262" s="0" t="s">
        <v>1183</v>
      </c>
      <c r="K262" s="0" t="s">
        <v>7339</v>
      </c>
      <c r="L262" s="0" t="s">
        <v>7340</v>
      </c>
      <c r="M262" s="0" t="s">
        <v>7590</v>
      </c>
      <c r="N262" s="0" t="s">
        <v>7342</v>
      </c>
      <c r="P262" s="0" t="s">
        <v>229</v>
      </c>
      <c r="Q262" s="0" t="s">
        <v>7354</v>
      </c>
      <c r="R262" s="0" t="s">
        <v>7435</v>
      </c>
      <c r="S262" s="0" t="s">
        <v>7344</v>
      </c>
      <c r="T262" s="0" t="s">
        <v>228</v>
      </c>
      <c r="V262" s="0" t="s">
        <v>61</v>
      </c>
      <c r="W262" s="0" t="s">
        <v>63</v>
      </c>
      <c r="X262" s="0" t="s">
        <v>7355</v>
      </c>
      <c r="Y262" s="0" t="s">
        <v>7459</v>
      </c>
      <c r="Z262" s="0" t="s">
        <v>7591</v>
      </c>
      <c r="AA262" s="0" t="s">
        <v>7592</v>
      </c>
      <c r="AB262" s="0" t="s">
        <v>344</v>
      </c>
      <c r="AC262" s="0" t="s">
        <v>7349</v>
      </c>
      <c r="AD262" s="0" t="s">
        <v>7604</v>
      </c>
      <c r="AE262" s="0" t="s">
        <v>7440</v>
      </c>
      <c r="AF262" s="0" t="s">
        <v>7374</v>
      </c>
      <c r="AG262" s="0" t="s">
        <v>230</v>
      </c>
    </row>
    <row r="263" customFormat="false" ht="15" hidden="false" customHeight="false" outlineLevel="0" collapsed="false">
      <c r="A263" s="0" t="s">
        <v>7336</v>
      </c>
      <c r="B263" s="0" t="s">
        <v>1225</v>
      </c>
      <c r="C263" s="0" t="s">
        <v>1226</v>
      </c>
      <c r="D263" s="0" t="s">
        <v>1184</v>
      </c>
      <c r="E263" s="0" t="s">
        <v>1227</v>
      </c>
      <c r="F263" s="0" t="s">
        <v>1224</v>
      </c>
      <c r="G263" s="0" t="s">
        <v>124</v>
      </c>
      <c r="H263" s="0" t="s">
        <v>7603</v>
      </c>
      <c r="I263" s="0" t="s">
        <v>7338</v>
      </c>
      <c r="J263" s="0" t="s">
        <v>1183</v>
      </c>
      <c r="K263" s="0" t="s">
        <v>7339</v>
      </c>
      <c r="L263" s="0" t="s">
        <v>7340</v>
      </c>
      <c r="M263" s="0" t="s">
        <v>7590</v>
      </c>
      <c r="N263" s="0" t="s">
        <v>7342</v>
      </c>
      <c r="P263" s="0" t="s">
        <v>229</v>
      </c>
      <c r="Q263" s="0" t="s">
        <v>7354</v>
      </c>
      <c r="R263" s="0" t="s">
        <v>7435</v>
      </c>
      <c r="S263" s="0" t="s">
        <v>7344</v>
      </c>
      <c r="T263" s="0" t="s">
        <v>228</v>
      </c>
      <c r="V263" s="0" t="s">
        <v>61</v>
      </c>
      <c r="W263" s="0" t="s">
        <v>63</v>
      </c>
      <c r="X263" s="0" t="s">
        <v>7355</v>
      </c>
      <c r="Y263" s="0" t="s">
        <v>7459</v>
      </c>
      <c r="Z263" s="0" t="s">
        <v>7591</v>
      </c>
      <c r="AA263" s="0" t="s">
        <v>7592</v>
      </c>
      <c r="AB263" s="0" t="s">
        <v>344</v>
      </c>
      <c r="AC263" s="0" t="s">
        <v>7349</v>
      </c>
      <c r="AD263" s="0" t="s">
        <v>7605</v>
      </c>
      <c r="AE263" s="0" t="s">
        <v>7440</v>
      </c>
      <c r="AF263" s="0" t="s">
        <v>7374</v>
      </c>
      <c r="AG263" s="0" t="s">
        <v>230</v>
      </c>
    </row>
    <row r="264" customFormat="false" ht="15" hidden="false" customHeight="false" outlineLevel="0" collapsed="false">
      <c r="A264" s="0" t="s">
        <v>7336</v>
      </c>
      <c r="B264" s="0" t="s">
        <v>1228</v>
      </c>
      <c r="C264" s="0" t="s">
        <v>1229</v>
      </c>
      <c r="D264" s="0" t="s">
        <v>1184</v>
      </c>
      <c r="E264" s="0" t="s">
        <v>1230</v>
      </c>
      <c r="F264" s="0" t="s">
        <v>1231</v>
      </c>
      <c r="G264" s="0" t="s">
        <v>124</v>
      </c>
      <c r="H264" s="0" t="s">
        <v>7606</v>
      </c>
      <c r="I264" s="0" t="s">
        <v>7338</v>
      </c>
      <c r="J264" s="0" t="s">
        <v>1183</v>
      </c>
      <c r="K264" s="0" t="s">
        <v>7339</v>
      </c>
      <c r="L264" s="0" t="s">
        <v>7340</v>
      </c>
      <c r="M264" s="0" t="s">
        <v>7590</v>
      </c>
      <c r="N264" s="0" t="s">
        <v>7342</v>
      </c>
      <c r="P264" s="0" t="s">
        <v>229</v>
      </c>
      <c r="Q264" s="0" t="s">
        <v>7354</v>
      </c>
      <c r="R264" s="0" t="s">
        <v>7435</v>
      </c>
      <c r="S264" s="0" t="s">
        <v>7344</v>
      </c>
      <c r="T264" s="0" t="s">
        <v>228</v>
      </c>
      <c r="V264" s="0" t="s">
        <v>61</v>
      </c>
      <c r="W264" s="0" t="s">
        <v>63</v>
      </c>
      <c r="X264" s="0" t="s">
        <v>7355</v>
      </c>
      <c r="Y264" s="0" t="s">
        <v>7459</v>
      </c>
      <c r="Z264" s="0" t="s">
        <v>7591</v>
      </c>
      <c r="AA264" s="0" t="s">
        <v>7592</v>
      </c>
      <c r="AB264" s="0" t="s">
        <v>344</v>
      </c>
      <c r="AC264" s="0" t="s">
        <v>7349</v>
      </c>
      <c r="AD264" s="0" t="s">
        <v>7604</v>
      </c>
      <c r="AE264" s="0" t="s">
        <v>7440</v>
      </c>
      <c r="AF264" s="0" t="s">
        <v>7374</v>
      </c>
      <c r="AG264" s="0" t="s">
        <v>230</v>
      </c>
    </row>
    <row r="265" customFormat="false" ht="15" hidden="false" customHeight="false" outlineLevel="0" collapsed="false">
      <c r="A265" s="0" t="s">
        <v>7336</v>
      </c>
      <c r="B265" s="0" t="s">
        <v>1232</v>
      </c>
      <c r="C265" s="0" t="s">
        <v>1233</v>
      </c>
      <c r="D265" s="0" t="s">
        <v>1184</v>
      </c>
      <c r="E265" s="0" t="s">
        <v>1234</v>
      </c>
      <c r="F265" s="0" t="s">
        <v>1231</v>
      </c>
      <c r="G265" s="0" t="s">
        <v>124</v>
      </c>
      <c r="H265" s="0" t="s">
        <v>7606</v>
      </c>
      <c r="I265" s="0" t="s">
        <v>7338</v>
      </c>
      <c r="J265" s="0" t="s">
        <v>1183</v>
      </c>
      <c r="K265" s="0" t="s">
        <v>7339</v>
      </c>
      <c r="L265" s="0" t="s">
        <v>7340</v>
      </c>
      <c r="M265" s="0" t="s">
        <v>7590</v>
      </c>
      <c r="N265" s="0" t="s">
        <v>7342</v>
      </c>
      <c r="P265" s="0" t="s">
        <v>229</v>
      </c>
      <c r="Q265" s="0" t="s">
        <v>7354</v>
      </c>
      <c r="R265" s="0" t="s">
        <v>7435</v>
      </c>
      <c r="S265" s="0" t="s">
        <v>7344</v>
      </c>
      <c r="T265" s="0" t="s">
        <v>228</v>
      </c>
      <c r="V265" s="0" t="s">
        <v>61</v>
      </c>
      <c r="W265" s="0" t="s">
        <v>63</v>
      </c>
      <c r="X265" s="0" t="s">
        <v>7355</v>
      </c>
      <c r="Y265" s="0" t="s">
        <v>7459</v>
      </c>
      <c r="Z265" s="0" t="s">
        <v>7591</v>
      </c>
      <c r="AA265" s="0" t="s">
        <v>7592</v>
      </c>
      <c r="AB265" s="0" t="s">
        <v>344</v>
      </c>
      <c r="AC265" s="0" t="s">
        <v>7349</v>
      </c>
      <c r="AD265" s="0" t="s">
        <v>7605</v>
      </c>
      <c r="AE265" s="0" t="s">
        <v>7440</v>
      </c>
      <c r="AF265" s="0" t="s">
        <v>7374</v>
      </c>
      <c r="AG265" s="0" t="s">
        <v>230</v>
      </c>
    </row>
    <row r="266" customFormat="false" ht="15" hidden="false" customHeight="false" outlineLevel="0" collapsed="false">
      <c r="A266" s="0" t="s">
        <v>7336</v>
      </c>
      <c r="B266" s="0" t="s">
        <v>1235</v>
      </c>
      <c r="C266" s="0" t="s">
        <v>1236</v>
      </c>
      <c r="D266" s="0" t="s">
        <v>1184</v>
      </c>
      <c r="E266" s="0" t="s">
        <v>1237</v>
      </c>
      <c r="F266" s="0" t="s">
        <v>1238</v>
      </c>
      <c r="G266" s="0" t="s">
        <v>124</v>
      </c>
      <c r="H266" s="0" t="s">
        <v>7607</v>
      </c>
      <c r="I266" s="0" t="s">
        <v>7338</v>
      </c>
      <c r="J266" s="0" t="s">
        <v>1183</v>
      </c>
      <c r="K266" s="0" t="s">
        <v>7339</v>
      </c>
      <c r="L266" s="0" t="s">
        <v>7340</v>
      </c>
      <c r="M266" s="0" t="s">
        <v>7590</v>
      </c>
      <c r="N266" s="0" t="s">
        <v>7342</v>
      </c>
      <c r="P266" s="0" t="s">
        <v>229</v>
      </c>
      <c r="Q266" s="0" t="s">
        <v>7354</v>
      </c>
      <c r="R266" s="0" t="s">
        <v>7435</v>
      </c>
      <c r="S266" s="0" t="s">
        <v>7344</v>
      </c>
      <c r="T266" s="0" t="s">
        <v>228</v>
      </c>
      <c r="V266" s="0" t="s">
        <v>61</v>
      </c>
      <c r="W266" s="0" t="s">
        <v>63</v>
      </c>
      <c r="X266" s="0" t="s">
        <v>7355</v>
      </c>
      <c r="Y266" s="0" t="s">
        <v>7459</v>
      </c>
      <c r="Z266" s="0" t="s">
        <v>7591</v>
      </c>
      <c r="AA266" s="0" t="s">
        <v>7592</v>
      </c>
      <c r="AB266" s="0" t="s">
        <v>344</v>
      </c>
      <c r="AC266" s="0" t="s">
        <v>7349</v>
      </c>
      <c r="AD266" s="0" t="s">
        <v>7604</v>
      </c>
      <c r="AE266" s="0" t="s">
        <v>7440</v>
      </c>
      <c r="AF266" s="0" t="s">
        <v>7374</v>
      </c>
      <c r="AG266" s="0" t="s">
        <v>230</v>
      </c>
    </row>
    <row r="267" customFormat="false" ht="15" hidden="false" customHeight="false" outlineLevel="0" collapsed="false">
      <c r="A267" s="0" t="s">
        <v>7336</v>
      </c>
      <c r="B267" s="0" t="s">
        <v>1239</v>
      </c>
      <c r="C267" s="0" t="s">
        <v>1240</v>
      </c>
      <c r="D267" s="0" t="s">
        <v>1184</v>
      </c>
      <c r="E267" s="0" t="s">
        <v>1241</v>
      </c>
      <c r="F267" s="0" t="s">
        <v>1238</v>
      </c>
      <c r="G267" s="0" t="s">
        <v>124</v>
      </c>
      <c r="H267" s="0" t="s">
        <v>7607</v>
      </c>
      <c r="I267" s="0" t="s">
        <v>7338</v>
      </c>
      <c r="J267" s="0" t="s">
        <v>1183</v>
      </c>
      <c r="K267" s="0" t="s">
        <v>7339</v>
      </c>
      <c r="L267" s="0" t="s">
        <v>7340</v>
      </c>
      <c r="M267" s="0" t="s">
        <v>7590</v>
      </c>
      <c r="N267" s="0" t="s">
        <v>7342</v>
      </c>
      <c r="P267" s="0" t="s">
        <v>229</v>
      </c>
      <c r="Q267" s="0" t="s">
        <v>7354</v>
      </c>
      <c r="R267" s="0" t="s">
        <v>7435</v>
      </c>
      <c r="S267" s="0" t="s">
        <v>7344</v>
      </c>
      <c r="T267" s="0" t="s">
        <v>228</v>
      </c>
      <c r="V267" s="0" t="s">
        <v>61</v>
      </c>
      <c r="W267" s="0" t="s">
        <v>63</v>
      </c>
      <c r="X267" s="0" t="s">
        <v>7355</v>
      </c>
      <c r="Y267" s="0" t="s">
        <v>7459</v>
      </c>
      <c r="Z267" s="0" t="s">
        <v>7591</v>
      </c>
      <c r="AA267" s="0" t="s">
        <v>7592</v>
      </c>
      <c r="AB267" s="0" t="s">
        <v>344</v>
      </c>
      <c r="AC267" s="0" t="s">
        <v>7349</v>
      </c>
      <c r="AD267" s="0" t="s">
        <v>7605</v>
      </c>
      <c r="AE267" s="0" t="s">
        <v>7440</v>
      </c>
      <c r="AF267" s="0" t="s">
        <v>7374</v>
      </c>
      <c r="AG267" s="0" t="s">
        <v>230</v>
      </c>
    </row>
    <row r="268" customFormat="false" ht="15" hidden="false" customHeight="false" outlineLevel="0" collapsed="false">
      <c r="A268" s="0" t="s">
        <v>7336</v>
      </c>
      <c r="B268" s="0" t="s">
        <v>1242</v>
      </c>
      <c r="C268" s="0" t="s">
        <v>1243</v>
      </c>
      <c r="D268" s="0" t="s">
        <v>1184</v>
      </c>
      <c r="E268" s="0" t="s">
        <v>1244</v>
      </c>
      <c r="F268" s="0" t="s">
        <v>1245</v>
      </c>
      <c r="G268" s="0" t="s">
        <v>124</v>
      </c>
      <c r="H268" s="0" t="s">
        <v>7608</v>
      </c>
      <c r="I268" s="0" t="s">
        <v>7338</v>
      </c>
      <c r="J268" s="0" t="s">
        <v>1183</v>
      </c>
      <c r="K268" s="0" t="s">
        <v>7339</v>
      </c>
      <c r="L268" s="0" t="s">
        <v>7340</v>
      </c>
      <c r="M268" s="0" t="s">
        <v>7590</v>
      </c>
      <c r="N268" s="0" t="s">
        <v>7342</v>
      </c>
      <c r="P268" s="0" t="s">
        <v>229</v>
      </c>
      <c r="Q268" s="0" t="s">
        <v>7354</v>
      </c>
      <c r="R268" s="0" t="s">
        <v>7435</v>
      </c>
      <c r="S268" s="0" t="s">
        <v>7344</v>
      </c>
      <c r="T268" s="0" t="s">
        <v>228</v>
      </c>
      <c r="V268" s="0" t="s">
        <v>61</v>
      </c>
      <c r="W268" s="0" t="s">
        <v>63</v>
      </c>
      <c r="X268" s="0" t="s">
        <v>7355</v>
      </c>
      <c r="Y268" s="0" t="s">
        <v>7459</v>
      </c>
      <c r="Z268" s="0" t="s">
        <v>7591</v>
      </c>
      <c r="AA268" s="0" t="s">
        <v>7592</v>
      </c>
      <c r="AB268" s="0" t="s">
        <v>344</v>
      </c>
      <c r="AC268" s="0" t="s">
        <v>7349</v>
      </c>
      <c r="AD268" s="0" t="s">
        <v>7604</v>
      </c>
      <c r="AE268" s="0" t="s">
        <v>7440</v>
      </c>
      <c r="AF268" s="0" t="s">
        <v>7374</v>
      </c>
      <c r="AG268" s="0" t="s">
        <v>230</v>
      </c>
    </row>
    <row r="269" customFormat="false" ht="15" hidden="false" customHeight="false" outlineLevel="0" collapsed="false">
      <c r="A269" s="0" t="s">
        <v>7336</v>
      </c>
      <c r="B269" s="0" t="s">
        <v>1246</v>
      </c>
      <c r="C269" s="0" t="s">
        <v>1247</v>
      </c>
      <c r="D269" s="0" t="s">
        <v>1184</v>
      </c>
      <c r="E269" s="0" t="s">
        <v>1248</v>
      </c>
      <c r="F269" s="0" t="s">
        <v>1245</v>
      </c>
      <c r="G269" s="0" t="s">
        <v>124</v>
      </c>
      <c r="H269" s="0" t="s">
        <v>7608</v>
      </c>
      <c r="I269" s="0" t="s">
        <v>7338</v>
      </c>
      <c r="J269" s="0" t="s">
        <v>1183</v>
      </c>
      <c r="K269" s="0" t="s">
        <v>7339</v>
      </c>
      <c r="L269" s="0" t="s">
        <v>7340</v>
      </c>
      <c r="M269" s="0" t="s">
        <v>7590</v>
      </c>
      <c r="N269" s="0" t="s">
        <v>7342</v>
      </c>
      <c r="P269" s="0" t="s">
        <v>229</v>
      </c>
      <c r="Q269" s="0" t="s">
        <v>7354</v>
      </c>
      <c r="R269" s="0" t="s">
        <v>7435</v>
      </c>
      <c r="S269" s="0" t="s">
        <v>7344</v>
      </c>
      <c r="T269" s="0" t="s">
        <v>228</v>
      </c>
      <c r="V269" s="0" t="s">
        <v>61</v>
      </c>
      <c r="W269" s="0" t="s">
        <v>63</v>
      </c>
      <c r="X269" s="0" t="s">
        <v>7355</v>
      </c>
      <c r="Y269" s="0" t="s">
        <v>7459</v>
      </c>
      <c r="Z269" s="0" t="s">
        <v>7591</v>
      </c>
      <c r="AA269" s="0" t="s">
        <v>7592</v>
      </c>
      <c r="AB269" s="0" t="s">
        <v>344</v>
      </c>
      <c r="AC269" s="0" t="s">
        <v>7349</v>
      </c>
      <c r="AD269" s="0" t="s">
        <v>7605</v>
      </c>
      <c r="AE269" s="0" t="s">
        <v>7440</v>
      </c>
      <c r="AF269" s="0" t="s">
        <v>7374</v>
      </c>
      <c r="AG269" s="0" t="s">
        <v>230</v>
      </c>
    </row>
    <row r="270" customFormat="false" ht="15" hidden="false" customHeight="false" outlineLevel="0" collapsed="false">
      <c r="A270" s="0" t="s">
        <v>7336</v>
      </c>
      <c r="B270" s="0" t="s">
        <v>1249</v>
      </c>
      <c r="C270" s="0" t="s">
        <v>1250</v>
      </c>
      <c r="D270" s="0" t="s">
        <v>1184</v>
      </c>
      <c r="E270" s="0" t="s">
        <v>1251</v>
      </c>
      <c r="F270" s="0" t="s">
        <v>1252</v>
      </c>
      <c r="G270" s="0" t="s">
        <v>124</v>
      </c>
      <c r="H270" s="0" t="s">
        <v>7609</v>
      </c>
      <c r="I270" s="0" t="s">
        <v>7338</v>
      </c>
      <c r="J270" s="0" t="s">
        <v>1183</v>
      </c>
      <c r="K270" s="0" t="s">
        <v>7339</v>
      </c>
      <c r="L270" s="0" t="s">
        <v>7340</v>
      </c>
      <c r="M270" s="0" t="s">
        <v>7590</v>
      </c>
      <c r="N270" s="0" t="s">
        <v>7342</v>
      </c>
      <c r="P270" s="0" t="s">
        <v>229</v>
      </c>
      <c r="Q270" s="0" t="s">
        <v>7354</v>
      </c>
      <c r="R270" s="0" t="s">
        <v>7435</v>
      </c>
      <c r="S270" s="0" t="s">
        <v>7344</v>
      </c>
      <c r="T270" s="0" t="s">
        <v>228</v>
      </c>
      <c r="V270" s="0" t="s">
        <v>61</v>
      </c>
      <c r="W270" s="0" t="s">
        <v>63</v>
      </c>
      <c r="X270" s="0" t="s">
        <v>7355</v>
      </c>
      <c r="Y270" s="0" t="s">
        <v>7459</v>
      </c>
      <c r="Z270" s="0" t="s">
        <v>7591</v>
      </c>
      <c r="AA270" s="0" t="s">
        <v>7592</v>
      </c>
      <c r="AB270" s="0" t="s">
        <v>344</v>
      </c>
      <c r="AC270" s="0" t="s">
        <v>7349</v>
      </c>
      <c r="AD270" s="0" t="s">
        <v>7604</v>
      </c>
      <c r="AE270" s="0" t="s">
        <v>7440</v>
      </c>
      <c r="AF270" s="0" t="s">
        <v>7374</v>
      </c>
      <c r="AG270" s="0" t="s">
        <v>230</v>
      </c>
    </row>
    <row r="271" customFormat="false" ht="15" hidden="false" customHeight="false" outlineLevel="0" collapsed="false">
      <c r="A271" s="0" t="s">
        <v>7336</v>
      </c>
      <c r="B271" s="0" t="s">
        <v>1253</v>
      </c>
      <c r="C271" s="0" t="s">
        <v>1254</v>
      </c>
      <c r="D271" s="0" t="s">
        <v>1184</v>
      </c>
      <c r="E271" s="0" t="s">
        <v>1255</v>
      </c>
      <c r="F271" s="0" t="s">
        <v>1252</v>
      </c>
      <c r="G271" s="0" t="s">
        <v>124</v>
      </c>
      <c r="H271" s="0" t="s">
        <v>7609</v>
      </c>
      <c r="I271" s="0" t="s">
        <v>7338</v>
      </c>
      <c r="J271" s="0" t="s">
        <v>1183</v>
      </c>
      <c r="K271" s="0" t="s">
        <v>7339</v>
      </c>
      <c r="L271" s="0" t="s">
        <v>7340</v>
      </c>
      <c r="M271" s="0" t="s">
        <v>7590</v>
      </c>
      <c r="N271" s="0" t="s">
        <v>7342</v>
      </c>
      <c r="P271" s="0" t="s">
        <v>229</v>
      </c>
      <c r="Q271" s="0" t="s">
        <v>7354</v>
      </c>
      <c r="R271" s="0" t="s">
        <v>7435</v>
      </c>
      <c r="S271" s="0" t="s">
        <v>7344</v>
      </c>
      <c r="T271" s="0" t="s">
        <v>228</v>
      </c>
      <c r="V271" s="0" t="s">
        <v>61</v>
      </c>
      <c r="W271" s="0" t="s">
        <v>63</v>
      </c>
      <c r="X271" s="0" t="s">
        <v>7355</v>
      </c>
      <c r="Y271" s="0" t="s">
        <v>7459</v>
      </c>
      <c r="Z271" s="0" t="s">
        <v>7591</v>
      </c>
      <c r="AA271" s="0" t="s">
        <v>7592</v>
      </c>
      <c r="AB271" s="0" t="s">
        <v>344</v>
      </c>
      <c r="AC271" s="0" t="s">
        <v>7349</v>
      </c>
      <c r="AD271" s="0" t="s">
        <v>7605</v>
      </c>
      <c r="AE271" s="0" t="s">
        <v>7440</v>
      </c>
      <c r="AF271" s="0" t="s">
        <v>7374</v>
      </c>
      <c r="AG271" s="0" t="s">
        <v>230</v>
      </c>
    </row>
    <row r="272" customFormat="false" ht="15" hidden="false" customHeight="false" outlineLevel="0" collapsed="false">
      <c r="A272" s="0" t="s">
        <v>7336</v>
      </c>
      <c r="B272" s="0" t="s">
        <v>1256</v>
      </c>
      <c r="C272" s="0" t="s">
        <v>1257</v>
      </c>
      <c r="D272" s="0" t="s">
        <v>1184</v>
      </c>
      <c r="E272" s="0" t="s">
        <v>1258</v>
      </c>
      <c r="F272" s="0" t="s">
        <v>1259</v>
      </c>
      <c r="G272" s="0" t="s">
        <v>126</v>
      </c>
      <c r="H272" s="0" t="s">
        <v>7610</v>
      </c>
      <c r="I272" s="0" t="s">
        <v>7338</v>
      </c>
      <c r="J272" s="0" t="s">
        <v>1260</v>
      </c>
      <c r="K272" s="0" t="s">
        <v>7339</v>
      </c>
      <c r="L272" s="0" t="s">
        <v>7340</v>
      </c>
      <c r="M272" s="0" t="s">
        <v>7611</v>
      </c>
      <c r="N272" s="0" t="s">
        <v>7342</v>
      </c>
      <c r="P272" s="0" t="s">
        <v>229</v>
      </c>
      <c r="Q272" s="0" t="s">
        <v>7354</v>
      </c>
      <c r="R272" s="0" t="s">
        <v>7435</v>
      </c>
      <c r="S272" s="0" t="s">
        <v>7344</v>
      </c>
      <c r="T272" s="0" t="s">
        <v>228</v>
      </c>
      <c r="V272" s="0" t="s">
        <v>61</v>
      </c>
      <c r="W272" s="0" t="s">
        <v>63</v>
      </c>
      <c r="X272" s="0" t="s">
        <v>7355</v>
      </c>
      <c r="Y272" s="0" t="s">
        <v>7459</v>
      </c>
      <c r="Z272" s="0" t="s">
        <v>7591</v>
      </c>
      <c r="AA272" s="0" t="s">
        <v>7592</v>
      </c>
      <c r="AB272" s="0" t="s">
        <v>344</v>
      </c>
      <c r="AC272" s="0" t="s">
        <v>7349</v>
      </c>
      <c r="AD272" s="0" t="s">
        <v>7593</v>
      </c>
      <c r="AE272" s="0" t="s">
        <v>7440</v>
      </c>
      <c r="AF272" s="0" t="s">
        <v>7374</v>
      </c>
      <c r="AG272" s="0" t="s">
        <v>230</v>
      </c>
    </row>
    <row r="273" customFormat="false" ht="15" hidden="false" customHeight="false" outlineLevel="0" collapsed="false">
      <c r="A273" s="0" t="s">
        <v>7336</v>
      </c>
      <c r="B273" s="0" t="s">
        <v>1261</v>
      </c>
      <c r="C273" s="0" t="s">
        <v>1262</v>
      </c>
      <c r="D273" s="0" t="s">
        <v>1184</v>
      </c>
      <c r="E273" s="0" t="s">
        <v>1263</v>
      </c>
      <c r="F273" s="0" t="s">
        <v>1264</v>
      </c>
      <c r="G273" s="0" t="s">
        <v>126</v>
      </c>
      <c r="H273" s="0" t="s">
        <v>7612</v>
      </c>
      <c r="I273" s="0" t="s">
        <v>7338</v>
      </c>
      <c r="J273" s="0" t="s">
        <v>1260</v>
      </c>
      <c r="K273" s="0" t="s">
        <v>7339</v>
      </c>
      <c r="L273" s="0" t="s">
        <v>7340</v>
      </c>
      <c r="M273" s="0" t="s">
        <v>7611</v>
      </c>
      <c r="N273" s="0" t="s">
        <v>7342</v>
      </c>
      <c r="P273" s="0" t="s">
        <v>229</v>
      </c>
      <c r="Q273" s="0" t="s">
        <v>7354</v>
      </c>
      <c r="R273" s="0" t="s">
        <v>7435</v>
      </c>
      <c r="S273" s="0" t="s">
        <v>7344</v>
      </c>
      <c r="T273" s="0" t="s">
        <v>228</v>
      </c>
      <c r="V273" s="0" t="s">
        <v>61</v>
      </c>
      <c r="W273" s="0" t="s">
        <v>63</v>
      </c>
      <c r="X273" s="0" t="s">
        <v>7355</v>
      </c>
      <c r="Y273" s="0" t="s">
        <v>7459</v>
      </c>
      <c r="Z273" s="0" t="s">
        <v>7591</v>
      </c>
      <c r="AA273" s="0" t="s">
        <v>7592</v>
      </c>
      <c r="AB273" s="0" t="s">
        <v>344</v>
      </c>
      <c r="AC273" s="0" t="s">
        <v>7349</v>
      </c>
      <c r="AD273" s="0" t="s">
        <v>7593</v>
      </c>
      <c r="AE273" s="0" t="s">
        <v>7440</v>
      </c>
      <c r="AF273" s="0" t="s">
        <v>7374</v>
      </c>
      <c r="AG273" s="0" t="s">
        <v>230</v>
      </c>
    </row>
    <row r="274" customFormat="false" ht="15" hidden="false" customHeight="false" outlineLevel="0" collapsed="false">
      <c r="A274" s="0" t="s">
        <v>7336</v>
      </c>
      <c r="B274" s="0" t="s">
        <v>1265</v>
      </c>
      <c r="C274" s="0" t="s">
        <v>1266</v>
      </c>
      <c r="D274" s="0" t="s">
        <v>1184</v>
      </c>
      <c r="E274" s="0" t="s">
        <v>1267</v>
      </c>
      <c r="F274" s="0" t="s">
        <v>1268</v>
      </c>
      <c r="G274" s="0" t="s">
        <v>126</v>
      </c>
      <c r="H274" s="0" t="s">
        <v>7613</v>
      </c>
      <c r="I274" s="0" t="s">
        <v>7338</v>
      </c>
      <c r="J274" s="0" t="s">
        <v>1260</v>
      </c>
      <c r="K274" s="0" t="s">
        <v>7339</v>
      </c>
      <c r="L274" s="0" t="s">
        <v>7340</v>
      </c>
      <c r="M274" s="0" t="s">
        <v>7611</v>
      </c>
      <c r="N274" s="0" t="s">
        <v>7342</v>
      </c>
      <c r="P274" s="0" t="s">
        <v>229</v>
      </c>
      <c r="Q274" s="0" t="s">
        <v>7354</v>
      </c>
      <c r="R274" s="0" t="s">
        <v>7435</v>
      </c>
      <c r="S274" s="0" t="s">
        <v>7344</v>
      </c>
      <c r="T274" s="0" t="s">
        <v>228</v>
      </c>
      <c r="V274" s="0" t="s">
        <v>61</v>
      </c>
      <c r="W274" s="0" t="s">
        <v>63</v>
      </c>
      <c r="X274" s="0" t="s">
        <v>7355</v>
      </c>
      <c r="Y274" s="0" t="s">
        <v>7459</v>
      </c>
      <c r="Z274" s="0" t="s">
        <v>7591</v>
      </c>
      <c r="AA274" s="0" t="s">
        <v>7592</v>
      </c>
      <c r="AB274" s="0" t="s">
        <v>344</v>
      </c>
      <c r="AC274" s="0" t="s">
        <v>7349</v>
      </c>
      <c r="AD274" s="0" t="s">
        <v>7593</v>
      </c>
      <c r="AE274" s="0" t="s">
        <v>7440</v>
      </c>
      <c r="AF274" s="0" t="s">
        <v>7374</v>
      </c>
      <c r="AG274" s="0" t="s">
        <v>230</v>
      </c>
    </row>
    <row r="275" customFormat="false" ht="15" hidden="false" customHeight="false" outlineLevel="0" collapsed="false">
      <c r="A275" s="0" t="s">
        <v>7336</v>
      </c>
      <c r="B275" s="0" t="s">
        <v>1269</v>
      </c>
      <c r="C275" s="0" t="s">
        <v>1270</v>
      </c>
      <c r="D275" s="0" t="s">
        <v>1184</v>
      </c>
      <c r="E275" s="0" t="s">
        <v>1271</v>
      </c>
      <c r="F275" s="0" t="s">
        <v>1272</v>
      </c>
      <c r="G275" s="0" t="s">
        <v>126</v>
      </c>
      <c r="H275" s="0" t="s">
        <v>7614</v>
      </c>
      <c r="I275" s="0" t="s">
        <v>7338</v>
      </c>
      <c r="J275" s="0" t="s">
        <v>1260</v>
      </c>
      <c r="K275" s="0" t="s">
        <v>7339</v>
      </c>
      <c r="L275" s="0" t="s">
        <v>7340</v>
      </c>
      <c r="M275" s="0" t="s">
        <v>7611</v>
      </c>
      <c r="N275" s="0" t="s">
        <v>7342</v>
      </c>
      <c r="P275" s="0" t="s">
        <v>229</v>
      </c>
      <c r="Q275" s="0" t="s">
        <v>7354</v>
      </c>
      <c r="R275" s="0" t="s">
        <v>7435</v>
      </c>
      <c r="S275" s="0" t="s">
        <v>7344</v>
      </c>
      <c r="T275" s="0" t="s">
        <v>228</v>
      </c>
      <c r="V275" s="0" t="s">
        <v>61</v>
      </c>
      <c r="W275" s="0" t="s">
        <v>63</v>
      </c>
      <c r="X275" s="0" t="s">
        <v>7355</v>
      </c>
      <c r="Y275" s="0" t="s">
        <v>7459</v>
      </c>
      <c r="Z275" s="0" t="s">
        <v>7591</v>
      </c>
      <c r="AA275" s="0" t="s">
        <v>7592</v>
      </c>
      <c r="AB275" s="0" t="s">
        <v>344</v>
      </c>
      <c r="AC275" s="0" t="s">
        <v>7349</v>
      </c>
      <c r="AD275" s="0" t="s">
        <v>7593</v>
      </c>
      <c r="AE275" s="0" t="s">
        <v>7440</v>
      </c>
      <c r="AF275" s="0" t="s">
        <v>7374</v>
      </c>
      <c r="AG275" s="0" t="s">
        <v>230</v>
      </c>
    </row>
    <row r="276" customFormat="false" ht="15" hidden="false" customHeight="false" outlineLevel="0" collapsed="false">
      <c r="A276" s="0" t="s">
        <v>7336</v>
      </c>
      <c r="B276" s="0" t="s">
        <v>1273</v>
      </c>
      <c r="C276" s="0" t="s">
        <v>1274</v>
      </c>
      <c r="D276" s="0" t="s">
        <v>1184</v>
      </c>
      <c r="E276" s="0" t="s">
        <v>1275</v>
      </c>
      <c r="F276" s="0" t="s">
        <v>1276</v>
      </c>
      <c r="G276" s="0" t="s">
        <v>126</v>
      </c>
      <c r="H276" s="0" t="s">
        <v>7615</v>
      </c>
      <c r="I276" s="0" t="s">
        <v>7338</v>
      </c>
      <c r="J276" s="0" t="s">
        <v>1260</v>
      </c>
      <c r="K276" s="0" t="s">
        <v>7339</v>
      </c>
      <c r="L276" s="0" t="s">
        <v>7340</v>
      </c>
      <c r="M276" s="0" t="s">
        <v>7611</v>
      </c>
      <c r="N276" s="0" t="s">
        <v>7342</v>
      </c>
      <c r="P276" s="0" t="s">
        <v>229</v>
      </c>
      <c r="Q276" s="0" t="s">
        <v>7354</v>
      </c>
      <c r="R276" s="0" t="s">
        <v>7435</v>
      </c>
      <c r="S276" s="0" t="s">
        <v>7344</v>
      </c>
      <c r="T276" s="0" t="s">
        <v>228</v>
      </c>
      <c r="V276" s="0" t="s">
        <v>61</v>
      </c>
      <c r="W276" s="0" t="s">
        <v>63</v>
      </c>
      <c r="X276" s="0" t="s">
        <v>7355</v>
      </c>
      <c r="Y276" s="0" t="s">
        <v>7459</v>
      </c>
      <c r="Z276" s="0" t="s">
        <v>7591</v>
      </c>
      <c r="AA276" s="0" t="s">
        <v>7592</v>
      </c>
      <c r="AB276" s="0" t="s">
        <v>344</v>
      </c>
      <c r="AC276" s="0" t="s">
        <v>7349</v>
      </c>
      <c r="AD276" s="0" t="s">
        <v>7593</v>
      </c>
      <c r="AE276" s="0" t="s">
        <v>7440</v>
      </c>
      <c r="AF276" s="0" t="s">
        <v>7374</v>
      </c>
      <c r="AG276" s="0" t="s">
        <v>230</v>
      </c>
    </row>
    <row r="277" customFormat="false" ht="15" hidden="false" customHeight="false" outlineLevel="0" collapsed="false">
      <c r="A277" s="0" t="s">
        <v>7336</v>
      </c>
      <c r="B277" s="0" t="s">
        <v>1277</v>
      </c>
      <c r="C277" s="0" t="s">
        <v>1278</v>
      </c>
      <c r="D277" s="0" t="s">
        <v>1184</v>
      </c>
      <c r="E277" s="0" t="s">
        <v>1279</v>
      </c>
      <c r="F277" s="0" t="s">
        <v>1280</v>
      </c>
      <c r="G277" s="0" t="s">
        <v>126</v>
      </c>
      <c r="H277" s="0" t="s">
        <v>7616</v>
      </c>
      <c r="I277" s="0" t="s">
        <v>7338</v>
      </c>
      <c r="J277" s="0" t="s">
        <v>1260</v>
      </c>
      <c r="K277" s="0" t="s">
        <v>7339</v>
      </c>
      <c r="L277" s="0" t="s">
        <v>7340</v>
      </c>
      <c r="M277" s="0" t="s">
        <v>7611</v>
      </c>
      <c r="N277" s="0" t="s">
        <v>7342</v>
      </c>
      <c r="P277" s="0" t="s">
        <v>229</v>
      </c>
      <c r="Q277" s="0" t="s">
        <v>7354</v>
      </c>
      <c r="R277" s="0" t="s">
        <v>7435</v>
      </c>
      <c r="S277" s="0" t="s">
        <v>7344</v>
      </c>
      <c r="T277" s="0" t="s">
        <v>228</v>
      </c>
      <c r="V277" s="0" t="s">
        <v>61</v>
      </c>
      <c r="W277" s="0" t="s">
        <v>63</v>
      </c>
      <c r="X277" s="0" t="s">
        <v>7355</v>
      </c>
      <c r="Y277" s="0" t="s">
        <v>7459</v>
      </c>
      <c r="Z277" s="0" t="s">
        <v>7591</v>
      </c>
      <c r="AA277" s="0" t="s">
        <v>7592</v>
      </c>
      <c r="AB277" s="0" t="s">
        <v>344</v>
      </c>
      <c r="AC277" s="0" t="s">
        <v>7349</v>
      </c>
      <c r="AD277" s="0" t="s">
        <v>7593</v>
      </c>
      <c r="AE277" s="0" t="s">
        <v>7440</v>
      </c>
      <c r="AF277" s="0" t="s">
        <v>7374</v>
      </c>
      <c r="AG277" s="0" t="s">
        <v>230</v>
      </c>
    </row>
    <row r="278" customFormat="false" ht="15" hidden="false" customHeight="false" outlineLevel="0" collapsed="false">
      <c r="A278" s="0" t="s">
        <v>7336</v>
      </c>
      <c r="B278" s="0" t="s">
        <v>1281</v>
      </c>
      <c r="C278" s="0" t="s">
        <v>1282</v>
      </c>
      <c r="D278" s="0" t="s">
        <v>1184</v>
      </c>
      <c r="E278" s="0" t="s">
        <v>1283</v>
      </c>
      <c r="F278" s="0" t="s">
        <v>1284</v>
      </c>
      <c r="G278" s="0" t="s">
        <v>126</v>
      </c>
      <c r="H278" s="0" t="s">
        <v>7617</v>
      </c>
      <c r="I278" s="0" t="s">
        <v>7338</v>
      </c>
      <c r="J278" s="0" t="s">
        <v>1260</v>
      </c>
      <c r="K278" s="0" t="s">
        <v>7339</v>
      </c>
      <c r="L278" s="0" t="s">
        <v>7340</v>
      </c>
      <c r="M278" s="0" t="s">
        <v>7611</v>
      </c>
      <c r="N278" s="0" t="s">
        <v>7342</v>
      </c>
      <c r="P278" s="0" t="s">
        <v>229</v>
      </c>
      <c r="Q278" s="0" t="s">
        <v>7354</v>
      </c>
      <c r="R278" s="0" t="s">
        <v>7435</v>
      </c>
      <c r="S278" s="0" t="s">
        <v>7344</v>
      </c>
      <c r="T278" s="0" t="s">
        <v>228</v>
      </c>
      <c r="V278" s="0" t="s">
        <v>61</v>
      </c>
      <c r="W278" s="0" t="s">
        <v>63</v>
      </c>
      <c r="X278" s="0" t="s">
        <v>7355</v>
      </c>
      <c r="Y278" s="0" t="s">
        <v>7459</v>
      </c>
      <c r="Z278" s="0" t="s">
        <v>7591</v>
      </c>
      <c r="AA278" s="0" t="s">
        <v>7592</v>
      </c>
      <c r="AB278" s="0" t="s">
        <v>344</v>
      </c>
      <c r="AC278" s="0" t="s">
        <v>7349</v>
      </c>
      <c r="AD278" s="0" t="s">
        <v>7593</v>
      </c>
      <c r="AE278" s="0" t="s">
        <v>7440</v>
      </c>
      <c r="AF278" s="0" t="s">
        <v>7374</v>
      </c>
      <c r="AG278" s="0" t="s">
        <v>230</v>
      </c>
    </row>
    <row r="279" customFormat="false" ht="15" hidden="false" customHeight="false" outlineLevel="0" collapsed="false">
      <c r="A279" s="0" t="s">
        <v>7336</v>
      </c>
      <c r="B279" s="0" t="s">
        <v>1285</v>
      </c>
      <c r="C279" s="0" t="s">
        <v>1286</v>
      </c>
      <c r="D279" s="0" t="s">
        <v>1184</v>
      </c>
      <c r="E279" s="0" t="s">
        <v>1287</v>
      </c>
      <c r="F279" s="0" t="s">
        <v>1288</v>
      </c>
      <c r="G279" s="0" t="s">
        <v>126</v>
      </c>
      <c r="H279" s="0" t="s">
        <v>7618</v>
      </c>
      <c r="I279" s="0" t="s">
        <v>7338</v>
      </c>
      <c r="J279" s="0" t="s">
        <v>1260</v>
      </c>
      <c r="K279" s="0" t="s">
        <v>7339</v>
      </c>
      <c r="L279" s="0" t="s">
        <v>7340</v>
      </c>
      <c r="M279" s="0" t="s">
        <v>7611</v>
      </c>
      <c r="N279" s="0" t="s">
        <v>7342</v>
      </c>
      <c r="P279" s="0" t="s">
        <v>229</v>
      </c>
      <c r="Q279" s="0" t="s">
        <v>7354</v>
      </c>
      <c r="R279" s="0" t="s">
        <v>7435</v>
      </c>
      <c r="S279" s="0" t="s">
        <v>7344</v>
      </c>
      <c r="T279" s="0" t="s">
        <v>228</v>
      </c>
      <c r="V279" s="0" t="s">
        <v>61</v>
      </c>
      <c r="W279" s="0" t="s">
        <v>63</v>
      </c>
      <c r="X279" s="0" t="s">
        <v>7355</v>
      </c>
      <c r="Y279" s="0" t="s">
        <v>7459</v>
      </c>
      <c r="Z279" s="0" t="s">
        <v>7591</v>
      </c>
      <c r="AA279" s="0" t="s">
        <v>7592</v>
      </c>
      <c r="AB279" s="0" t="s">
        <v>344</v>
      </c>
      <c r="AC279" s="0" t="s">
        <v>7349</v>
      </c>
      <c r="AD279" s="0" t="s">
        <v>7593</v>
      </c>
      <c r="AE279" s="0" t="s">
        <v>7440</v>
      </c>
      <c r="AF279" s="0" t="s">
        <v>7374</v>
      </c>
      <c r="AG279" s="0" t="s">
        <v>230</v>
      </c>
    </row>
    <row r="280" customFormat="false" ht="15" hidden="false" customHeight="false" outlineLevel="0" collapsed="false">
      <c r="A280" s="0" t="s">
        <v>7336</v>
      </c>
      <c r="B280" s="0" t="s">
        <v>1289</v>
      </c>
      <c r="C280" s="0" t="s">
        <v>1290</v>
      </c>
      <c r="D280" s="0" t="s">
        <v>1184</v>
      </c>
      <c r="E280" s="0" t="s">
        <v>1291</v>
      </c>
      <c r="F280" s="0" t="s">
        <v>1292</v>
      </c>
      <c r="G280" s="0" t="s">
        <v>126</v>
      </c>
      <c r="H280" s="0" t="s">
        <v>7619</v>
      </c>
      <c r="I280" s="0" t="s">
        <v>7338</v>
      </c>
      <c r="J280" s="0" t="s">
        <v>1260</v>
      </c>
      <c r="K280" s="0" t="s">
        <v>7339</v>
      </c>
      <c r="L280" s="0" t="s">
        <v>7340</v>
      </c>
      <c r="M280" s="0" t="s">
        <v>7611</v>
      </c>
      <c r="N280" s="0" t="s">
        <v>7342</v>
      </c>
      <c r="P280" s="0" t="s">
        <v>229</v>
      </c>
      <c r="Q280" s="0" t="s">
        <v>7354</v>
      </c>
      <c r="R280" s="0" t="s">
        <v>7435</v>
      </c>
      <c r="S280" s="0" t="s">
        <v>7344</v>
      </c>
      <c r="T280" s="0" t="s">
        <v>228</v>
      </c>
      <c r="V280" s="0" t="s">
        <v>61</v>
      </c>
      <c r="W280" s="0" t="s">
        <v>63</v>
      </c>
      <c r="X280" s="0" t="s">
        <v>7355</v>
      </c>
      <c r="Y280" s="0" t="s">
        <v>7459</v>
      </c>
      <c r="Z280" s="0" t="s">
        <v>7591</v>
      </c>
      <c r="AA280" s="0" t="s">
        <v>7592</v>
      </c>
      <c r="AB280" s="0" t="s">
        <v>344</v>
      </c>
      <c r="AC280" s="0" t="s">
        <v>7349</v>
      </c>
      <c r="AD280" s="0" t="s">
        <v>7593</v>
      </c>
      <c r="AE280" s="0" t="s">
        <v>7440</v>
      </c>
      <c r="AF280" s="0" t="s">
        <v>7374</v>
      </c>
      <c r="AG280" s="0" t="s">
        <v>230</v>
      </c>
    </row>
    <row r="281" customFormat="false" ht="15" hidden="false" customHeight="false" outlineLevel="0" collapsed="false">
      <c r="A281" s="0" t="s">
        <v>7336</v>
      </c>
      <c r="B281" s="0" t="s">
        <v>1293</v>
      </c>
      <c r="C281" s="0" t="s">
        <v>1294</v>
      </c>
      <c r="D281" s="0" t="s">
        <v>1184</v>
      </c>
      <c r="E281" s="0" t="s">
        <v>1295</v>
      </c>
      <c r="F281" s="0" t="s">
        <v>1296</v>
      </c>
      <c r="G281" s="0" t="s">
        <v>126</v>
      </c>
      <c r="H281" s="0" t="s">
        <v>7620</v>
      </c>
      <c r="I281" s="0" t="s">
        <v>7338</v>
      </c>
      <c r="J281" s="0" t="s">
        <v>1260</v>
      </c>
      <c r="K281" s="0" t="s">
        <v>7339</v>
      </c>
      <c r="L281" s="0" t="s">
        <v>7340</v>
      </c>
      <c r="M281" s="0" t="s">
        <v>7611</v>
      </c>
      <c r="N281" s="0" t="s">
        <v>7342</v>
      </c>
      <c r="P281" s="0" t="s">
        <v>229</v>
      </c>
      <c r="Q281" s="0" t="s">
        <v>7354</v>
      </c>
      <c r="R281" s="0" t="s">
        <v>7435</v>
      </c>
      <c r="S281" s="0" t="s">
        <v>7344</v>
      </c>
      <c r="T281" s="0" t="s">
        <v>228</v>
      </c>
      <c r="V281" s="0" t="s">
        <v>61</v>
      </c>
      <c r="W281" s="0" t="s">
        <v>63</v>
      </c>
      <c r="X281" s="0" t="s">
        <v>7355</v>
      </c>
      <c r="Y281" s="0" t="s">
        <v>7459</v>
      </c>
      <c r="Z281" s="0" t="s">
        <v>7591</v>
      </c>
      <c r="AA281" s="0" t="s">
        <v>7592</v>
      </c>
      <c r="AB281" s="0" t="s">
        <v>344</v>
      </c>
      <c r="AC281" s="0" t="s">
        <v>7349</v>
      </c>
      <c r="AD281" s="0" t="s">
        <v>7593</v>
      </c>
      <c r="AE281" s="0" t="s">
        <v>7440</v>
      </c>
      <c r="AF281" s="0" t="s">
        <v>7374</v>
      </c>
      <c r="AG281" s="0" t="s">
        <v>230</v>
      </c>
    </row>
    <row r="282" customFormat="false" ht="15" hidden="false" customHeight="false" outlineLevel="0" collapsed="false">
      <c r="A282" s="0" t="s">
        <v>7336</v>
      </c>
      <c r="B282" s="0" t="s">
        <v>1297</v>
      </c>
      <c r="C282" s="0" t="s">
        <v>1298</v>
      </c>
      <c r="D282" s="0" t="s">
        <v>1184</v>
      </c>
      <c r="E282" s="0" t="s">
        <v>1299</v>
      </c>
      <c r="F282" s="0" t="s">
        <v>1300</v>
      </c>
      <c r="G282" s="0" t="s">
        <v>126</v>
      </c>
      <c r="H282" s="0" t="s">
        <v>7621</v>
      </c>
      <c r="I282" s="0" t="s">
        <v>7338</v>
      </c>
      <c r="J282" s="0" t="s">
        <v>1260</v>
      </c>
      <c r="K282" s="0" t="s">
        <v>7339</v>
      </c>
      <c r="L282" s="0" t="s">
        <v>7340</v>
      </c>
      <c r="M282" s="0" t="s">
        <v>7611</v>
      </c>
      <c r="N282" s="0" t="s">
        <v>7342</v>
      </c>
      <c r="P282" s="0" t="s">
        <v>229</v>
      </c>
      <c r="Q282" s="0" t="s">
        <v>7354</v>
      </c>
      <c r="R282" s="0" t="s">
        <v>7435</v>
      </c>
      <c r="S282" s="0" t="s">
        <v>7344</v>
      </c>
      <c r="T282" s="0" t="s">
        <v>228</v>
      </c>
      <c r="V282" s="0" t="s">
        <v>61</v>
      </c>
      <c r="W282" s="0" t="s">
        <v>63</v>
      </c>
      <c r="X282" s="0" t="s">
        <v>7355</v>
      </c>
      <c r="Y282" s="0" t="s">
        <v>7459</v>
      </c>
      <c r="Z282" s="0" t="s">
        <v>7591</v>
      </c>
      <c r="AA282" s="0" t="s">
        <v>7592</v>
      </c>
      <c r="AB282" s="0" t="s">
        <v>344</v>
      </c>
      <c r="AC282" s="0" t="s">
        <v>7349</v>
      </c>
      <c r="AD282" s="0" t="s">
        <v>7604</v>
      </c>
      <c r="AE282" s="0" t="s">
        <v>7440</v>
      </c>
      <c r="AF282" s="0" t="s">
        <v>7374</v>
      </c>
      <c r="AG282" s="0" t="s">
        <v>230</v>
      </c>
    </row>
    <row r="283" customFormat="false" ht="15" hidden="false" customHeight="false" outlineLevel="0" collapsed="false">
      <c r="A283" s="0" t="s">
        <v>7336</v>
      </c>
      <c r="B283" s="0" t="s">
        <v>1301</v>
      </c>
      <c r="C283" s="0" t="s">
        <v>1302</v>
      </c>
      <c r="D283" s="0" t="s">
        <v>1184</v>
      </c>
      <c r="E283" s="0" t="s">
        <v>1303</v>
      </c>
      <c r="F283" s="0" t="s">
        <v>1300</v>
      </c>
      <c r="G283" s="0" t="s">
        <v>126</v>
      </c>
      <c r="H283" s="0" t="s">
        <v>7621</v>
      </c>
      <c r="I283" s="0" t="s">
        <v>7338</v>
      </c>
      <c r="J283" s="0" t="s">
        <v>1260</v>
      </c>
      <c r="K283" s="0" t="s">
        <v>7339</v>
      </c>
      <c r="L283" s="0" t="s">
        <v>7340</v>
      </c>
      <c r="M283" s="0" t="s">
        <v>7611</v>
      </c>
      <c r="N283" s="0" t="s">
        <v>7342</v>
      </c>
      <c r="P283" s="0" t="s">
        <v>229</v>
      </c>
      <c r="Q283" s="0" t="s">
        <v>7354</v>
      </c>
      <c r="R283" s="0" t="s">
        <v>7435</v>
      </c>
      <c r="S283" s="0" t="s">
        <v>7344</v>
      </c>
      <c r="T283" s="0" t="s">
        <v>228</v>
      </c>
      <c r="V283" s="0" t="s">
        <v>61</v>
      </c>
      <c r="W283" s="0" t="s">
        <v>63</v>
      </c>
      <c r="X283" s="0" t="s">
        <v>7355</v>
      </c>
      <c r="Y283" s="0" t="s">
        <v>7459</v>
      </c>
      <c r="Z283" s="0" t="s">
        <v>7591</v>
      </c>
      <c r="AA283" s="0" t="s">
        <v>7592</v>
      </c>
      <c r="AB283" s="0" t="s">
        <v>344</v>
      </c>
      <c r="AC283" s="0" t="s">
        <v>7349</v>
      </c>
      <c r="AD283" s="0" t="s">
        <v>7605</v>
      </c>
      <c r="AE283" s="0" t="s">
        <v>7440</v>
      </c>
      <c r="AF283" s="0" t="s">
        <v>7374</v>
      </c>
      <c r="AG283" s="0" t="s">
        <v>230</v>
      </c>
    </row>
    <row r="284" customFormat="false" ht="15" hidden="false" customHeight="false" outlineLevel="0" collapsed="false">
      <c r="A284" s="0" t="s">
        <v>7336</v>
      </c>
      <c r="B284" s="0" t="s">
        <v>1304</v>
      </c>
      <c r="C284" s="0" t="s">
        <v>1305</v>
      </c>
      <c r="D284" s="0" t="s">
        <v>1184</v>
      </c>
      <c r="E284" s="0" t="s">
        <v>1306</v>
      </c>
      <c r="F284" s="0" t="s">
        <v>1307</v>
      </c>
      <c r="G284" s="0" t="s">
        <v>126</v>
      </c>
      <c r="H284" s="0" t="s">
        <v>7622</v>
      </c>
      <c r="I284" s="0" t="s">
        <v>7338</v>
      </c>
      <c r="J284" s="0" t="s">
        <v>1260</v>
      </c>
      <c r="K284" s="0" t="s">
        <v>7339</v>
      </c>
      <c r="L284" s="0" t="s">
        <v>7340</v>
      </c>
      <c r="M284" s="0" t="s">
        <v>7611</v>
      </c>
      <c r="N284" s="0" t="s">
        <v>7342</v>
      </c>
      <c r="P284" s="0" t="s">
        <v>229</v>
      </c>
      <c r="Q284" s="0" t="s">
        <v>7354</v>
      </c>
      <c r="R284" s="0" t="s">
        <v>7435</v>
      </c>
      <c r="S284" s="0" t="s">
        <v>7344</v>
      </c>
      <c r="T284" s="0" t="s">
        <v>228</v>
      </c>
      <c r="V284" s="0" t="s">
        <v>61</v>
      </c>
      <c r="W284" s="0" t="s">
        <v>63</v>
      </c>
      <c r="X284" s="0" t="s">
        <v>7355</v>
      </c>
      <c r="Y284" s="0" t="s">
        <v>7459</v>
      </c>
      <c r="Z284" s="0" t="s">
        <v>7591</v>
      </c>
      <c r="AA284" s="0" t="s">
        <v>7592</v>
      </c>
      <c r="AB284" s="0" t="s">
        <v>344</v>
      </c>
      <c r="AC284" s="0" t="s">
        <v>7349</v>
      </c>
      <c r="AD284" s="0" t="s">
        <v>7604</v>
      </c>
      <c r="AE284" s="0" t="s">
        <v>7440</v>
      </c>
      <c r="AF284" s="0" t="s">
        <v>7374</v>
      </c>
      <c r="AG284" s="0" t="s">
        <v>230</v>
      </c>
    </row>
    <row r="285" customFormat="false" ht="15" hidden="false" customHeight="false" outlineLevel="0" collapsed="false">
      <c r="A285" s="0" t="s">
        <v>7336</v>
      </c>
      <c r="B285" s="0" t="s">
        <v>1308</v>
      </c>
      <c r="C285" s="0" t="s">
        <v>1309</v>
      </c>
      <c r="D285" s="0" t="s">
        <v>1184</v>
      </c>
      <c r="E285" s="0" t="s">
        <v>1310</v>
      </c>
      <c r="F285" s="0" t="s">
        <v>1307</v>
      </c>
      <c r="G285" s="0" t="s">
        <v>126</v>
      </c>
      <c r="H285" s="0" t="s">
        <v>7622</v>
      </c>
      <c r="I285" s="0" t="s">
        <v>7338</v>
      </c>
      <c r="J285" s="0" t="s">
        <v>1260</v>
      </c>
      <c r="K285" s="0" t="s">
        <v>7339</v>
      </c>
      <c r="L285" s="0" t="s">
        <v>7340</v>
      </c>
      <c r="M285" s="0" t="s">
        <v>7611</v>
      </c>
      <c r="N285" s="0" t="s">
        <v>7342</v>
      </c>
      <c r="P285" s="0" t="s">
        <v>229</v>
      </c>
      <c r="Q285" s="0" t="s">
        <v>7354</v>
      </c>
      <c r="R285" s="0" t="s">
        <v>7435</v>
      </c>
      <c r="S285" s="0" t="s">
        <v>7344</v>
      </c>
      <c r="T285" s="0" t="s">
        <v>228</v>
      </c>
      <c r="V285" s="0" t="s">
        <v>61</v>
      </c>
      <c r="W285" s="0" t="s">
        <v>63</v>
      </c>
      <c r="X285" s="0" t="s">
        <v>7355</v>
      </c>
      <c r="Y285" s="0" t="s">
        <v>7459</v>
      </c>
      <c r="Z285" s="0" t="s">
        <v>7591</v>
      </c>
      <c r="AA285" s="0" t="s">
        <v>7592</v>
      </c>
      <c r="AB285" s="0" t="s">
        <v>344</v>
      </c>
      <c r="AC285" s="0" t="s">
        <v>7349</v>
      </c>
      <c r="AD285" s="0" t="s">
        <v>7605</v>
      </c>
      <c r="AE285" s="0" t="s">
        <v>7440</v>
      </c>
      <c r="AF285" s="0" t="s">
        <v>7374</v>
      </c>
      <c r="AG285" s="0" t="s">
        <v>230</v>
      </c>
    </row>
    <row r="286" customFormat="false" ht="15" hidden="false" customHeight="false" outlineLevel="0" collapsed="false">
      <c r="A286" s="0" t="s">
        <v>7336</v>
      </c>
      <c r="B286" s="0" t="s">
        <v>1311</v>
      </c>
      <c r="C286" s="0" t="s">
        <v>1312</v>
      </c>
      <c r="D286" s="0" t="s">
        <v>1184</v>
      </c>
      <c r="E286" s="0" t="s">
        <v>1313</v>
      </c>
      <c r="F286" s="0" t="s">
        <v>1314</v>
      </c>
      <c r="G286" s="0" t="s">
        <v>126</v>
      </c>
      <c r="H286" s="0" t="s">
        <v>7623</v>
      </c>
      <c r="I286" s="0" t="s">
        <v>7338</v>
      </c>
      <c r="J286" s="0" t="s">
        <v>1260</v>
      </c>
      <c r="K286" s="0" t="s">
        <v>7339</v>
      </c>
      <c r="L286" s="0" t="s">
        <v>7340</v>
      </c>
      <c r="M286" s="0" t="s">
        <v>7611</v>
      </c>
      <c r="N286" s="0" t="s">
        <v>7342</v>
      </c>
      <c r="P286" s="0" t="s">
        <v>229</v>
      </c>
      <c r="Q286" s="0" t="s">
        <v>7354</v>
      </c>
      <c r="R286" s="0" t="s">
        <v>7435</v>
      </c>
      <c r="S286" s="0" t="s">
        <v>7344</v>
      </c>
      <c r="T286" s="0" t="s">
        <v>228</v>
      </c>
      <c r="V286" s="0" t="s">
        <v>61</v>
      </c>
      <c r="W286" s="0" t="s">
        <v>63</v>
      </c>
      <c r="X286" s="0" t="s">
        <v>7355</v>
      </c>
      <c r="Y286" s="0" t="s">
        <v>7459</v>
      </c>
      <c r="Z286" s="0" t="s">
        <v>7591</v>
      </c>
      <c r="AA286" s="0" t="s">
        <v>7592</v>
      </c>
      <c r="AB286" s="0" t="s">
        <v>344</v>
      </c>
      <c r="AC286" s="0" t="s">
        <v>7349</v>
      </c>
      <c r="AD286" s="0" t="s">
        <v>7604</v>
      </c>
      <c r="AE286" s="0" t="s">
        <v>7440</v>
      </c>
      <c r="AF286" s="0" t="s">
        <v>7374</v>
      </c>
      <c r="AG286" s="0" t="s">
        <v>230</v>
      </c>
    </row>
    <row r="287" customFormat="false" ht="15" hidden="false" customHeight="false" outlineLevel="0" collapsed="false">
      <c r="A287" s="0" t="s">
        <v>7336</v>
      </c>
      <c r="B287" s="0" t="s">
        <v>1315</v>
      </c>
      <c r="C287" s="0" t="s">
        <v>1316</v>
      </c>
      <c r="D287" s="0" t="s">
        <v>1184</v>
      </c>
      <c r="E287" s="0" t="s">
        <v>1317</v>
      </c>
      <c r="F287" s="0" t="s">
        <v>1314</v>
      </c>
      <c r="G287" s="0" t="s">
        <v>126</v>
      </c>
      <c r="H287" s="0" t="s">
        <v>7623</v>
      </c>
      <c r="I287" s="0" t="s">
        <v>7338</v>
      </c>
      <c r="J287" s="0" t="s">
        <v>1260</v>
      </c>
      <c r="K287" s="0" t="s">
        <v>7339</v>
      </c>
      <c r="L287" s="0" t="s">
        <v>7340</v>
      </c>
      <c r="M287" s="0" t="s">
        <v>7611</v>
      </c>
      <c r="N287" s="0" t="s">
        <v>7342</v>
      </c>
      <c r="P287" s="0" t="s">
        <v>229</v>
      </c>
      <c r="Q287" s="0" t="s">
        <v>7354</v>
      </c>
      <c r="R287" s="0" t="s">
        <v>7435</v>
      </c>
      <c r="S287" s="0" t="s">
        <v>7344</v>
      </c>
      <c r="T287" s="0" t="s">
        <v>228</v>
      </c>
      <c r="V287" s="0" t="s">
        <v>61</v>
      </c>
      <c r="W287" s="0" t="s">
        <v>63</v>
      </c>
      <c r="X287" s="0" t="s">
        <v>7355</v>
      </c>
      <c r="Y287" s="0" t="s">
        <v>7459</v>
      </c>
      <c r="Z287" s="0" t="s">
        <v>7591</v>
      </c>
      <c r="AA287" s="0" t="s">
        <v>7592</v>
      </c>
      <c r="AB287" s="0" t="s">
        <v>344</v>
      </c>
      <c r="AC287" s="0" t="s">
        <v>7349</v>
      </c>
      <c r="AD287" s="0" t="s">
        <v>7605</v>
      </c>
      <c r="AE287" s="0" t="s">
        <v>7440</v>
      </c>
      <c r="AF287" s="0" t="s">
        <v>7374</v>
      </c>
      <c r="AG287" s="0" t="s">
        <v>230</v>
      </c>
    </row>
    <row r="288" customFormat="false" ht="15" hidden="false" customHeight="false" outlineLevel="0" collapsed="false">
      <c r="A288" s="0" t="s">
        <v>7336</v>
      </c>
      <c r="B288" s="0" t="s">
        <v>1318</v>
      </c>
      <c r="C288" s="0" t="s">
        <v>1319</v>
      </c>
      <c r="D288" s="0" t="s">
        <v>1184</v>
      </c>
      <c r="E288" s="0" t="s">
        <v>1320</v>
      </c>
      <c r="F288" s="0" t="s">
        <v>1321</v>
      </c>
      <c r="G288" s="0" t="s">
        <v>126</v>
      </c>
      <c r="H288" s="0" t="s">
        <v>7624</v>
      </c>
      <c r="I288" s="0" t="s">
        <v>7338</v>
      </c>
      <c r="J288" s="0" t="s">
        <v>1260</v>
      </c>
      <c r="K288" s="0" t="s">
        <v>7339</v>
      </c>
      <c r="L288" s="0" t="s">
        <v>7340</v>
      </c>
      <c r="M288" s="0" t="s">
        <v>7611</v>
      </c>
      <c r="N288" s="0" t="s">
        <v>7342</v>
      </c>
      <c r="P288" s="0" t="s">
        <v>229</v>
      </c>
      <c r="Q288" s="0" t="s">
        <v>7354</v>
      </c>
      <c r="R288" s="0" t="s">
        <v>7435</v>
      </c>
      <c r="S288" s="0" t="s">
        <v>7344</v>
      </c>
      <c r="T288" s="0" t="s">
        <v>228</v>
      </c>
      <c r="V288" s="0" t="s">
        <v>61</v>
      </c>
      <c r="W288" s="0" t="s">
        <v>63</v>
      </c>
      <c r="X288" s="0" t="s">
        <v>7355</v>
      </c>
      <c r="Y288" s="0" t="s">
        <v>7459</v>
      </c>
      <c r="Z288" s="0" t="s">
        <v>7591</v>
      </c>
      <c r="AA288" s="0" t="s">
        <v>7592</v>
      </c>
      <c r="AB288" s="0" t="s">
        <v>344</v>
      </c>
      <c r="AC288" s="0" t="s">
        <v>7349</v>
      </c>
      <c r="AD288" s="0" t="s">
        <v>7604</v>
      </c>
      <c r="AE288" s="0" t="s">
        <v>7440</v>
      </c>
      <c r="AF288" s="0" t="s">
        <v>7374</v>
      </c>
      <c r="AG288" s="0" t="s">
        <v>230</v>
      </c>
    </row>
    <row r="289" customFormat="false" ht="15" hidden="false" customHeight="false" outlineLevel="0" collapsed="false">
      <c r="A289" s="0" t="s">
        <v>7336</v>
      </c>
      <c r="B289" s="0" t="s">
        <v>1322</v>
      </c>
      <c r="C289" s="0" t="s">
        <v>1323</v>
      </c>
      <c r="D289" s="0" t="s">
        <v>1184</v>
      </c>
      <c r="E289" s="0" t="s">
        <v>1324</v>
      </c>
      <c r="F289" s="0" t="s">
        <v>1321</v>
      </c>
      <c r="G289" s="0" t="s">
        <v>126</v>
      </c>
      <c r="H289" s="0" t="s">
        <v>7624</v>
      </c>
      <c r="I289" s="0" t="s">
        <v>7338</v>
      </c>
      <c r="J289" s="0" t="s">
        <v>1260</v>
      </c>
      <c r="K289" s="0" t="s">
        <v>7339</v>
      </c>
      <c r="L289" s="0" t="s">
        <v>7340</v>
      </c>
      <c r="M289" s="0" t="s">
        <v>7611</v>
      </c>
      <c r="N289" s="0" t="s">
        <v>7342</v>
      </c>
      <c r="P289" s="0" t="s">
        <v>229</v>
      </c>
      <c r="Q289" s="0" t="s">
        <v>7354</v>
      </c>
      <c r="R289" s="0" t="s">
        <v>7435</v>
      </c>
      <c r="S289" s="0" t="s">
        <v>7344</v>
      </c>
      <c r="T289" s="0" t="s">
        <v>228</v>
      </c>
      <c r="V289" s="0" t="s">
        <v>61</v>
      </c>
      <c r="W289" s="0" t="s">
        <v>63</v>
      </c>
      <c r="X289" s="0" t="s">
        <v>7355</v>
      </c>
      <c r="Y289" s="0" t="s">
        <v>7459</v>
      </c>
      <c r="Z289" s="0" t="s">
        <v>7591</v>
      </c>
      <c r="AA289" s="0" t="s">
        <v>7592</v>
      </c>
      <c r="AB289" s="0" t="s">
        <v>344</v>
      </c>
      <c r="AC289" s="0" t="s">
        <v>7349</v>
      </c>
      <c r="AD289" s="0" t="s">
        <v>7605</v>
      </c>
      <c r="AE289" s="0" t="s">
        <v>7440</v>
      </c>
      <c r="AF289" s="0" t="s">
        <v>7374</v>
      </c>
      <c r="AG289" s="0" t="s">
        <v>230</v>
      </c>
    </row>
    <row r="290" customFormat="false" ht="15" hidden="false" customHeight="false" outlineLevel="0" collapsed="false">
      <c r="A290" s="0" t="s">
        <v>7336</v>
      </c>
      <c r="B290" s="0" t="s">
        <v>1325</v>
      </c>
      <c r="C290" s="0" t="s">
        <v>1326</v>
      </c>
      <c r="D290" s="0" t="s">
        <v>1184</v>
      </c>
      <c r="E290" s="0" t="s">
        <v>1327</v>
      </c>
      <c r="F290" s="0" t="s">
        <v>1328</v>
      </c>
      <c r="G290" s="0" t="s">
        <v>126</v>
      </c>
      <c r="H290" s="0" t="s">
        <v>7625</v>
      </c>
      <c r="I290" s="0" t="s">
        <v>7338</v>
      </c>
      <c r="J290" s="0" t="s">
        <v>1260</v>
      </c>
      <c r="K290" s="0" t="s">
        <v>7339</v>
      </c>
      <c r="L290" s="0" t="s">
        <v>7340</v>
      </c>
      <c r="M290" s="0" t="s">
        <v>7611</v>
      </c>
      <c r="N290" s="0" t="s">
        <v>7342</v>
      </c>
      <c r="P290" s="0" t="s">
        <v>229</v>
      </c>
      <c r="Q290" s="0" t="s">
        <v>7354</v>
      </c>
      <c r="R290" s="0" t="s">
        <v>7435</v>
      </c>
      <c r="S290" s="0" t="s">
        <v>7344</v>
      </c>
      <c r="T290" s="0" t="s">
        <v>228</v>
      </c>
      <c r="V290" s="0" t="s">
        <v>61</v>
      </c>
      <c r="W290" s="0" t="s">
        <v>63</v>
      </c>
      <c r="X290" s="0" t="s">
        <v>7355</v>
      </c>
      <c r="Y290" s="0" t="s">
        <v>7459</v>
      </c>
      <c r="Z290" s="0" t="s">
        <v>7591</v>
      </c>
      <c r="AA290" s="0" t="s">
        <v>7592</v>
      </c>
      <c r="AB290" s="0" t="s">
        <v>344</v>
      </c>
      <c r="AC290" s="0" t="s">
        <v>7349</v>
      </c>
      <c r="AD290" s="0" t="s">
        <v>7604</v>
      </c>
      <c r="AE290" s="0" t="s">
        <v>7440</v>
      </c>
      <c r="AF290" s="0" t="s">
        <v>7374</v>
      </c>
      <c r="AG290" s="0" t="s">
        <v>230</v>
      </c>
    </row>
    <row r="291" customFormat="false" ht="15" hidden="false" customHeight="false" outlineLevel="0" collapsed="false">
      <c r="A291" s="0" t="s">
        <v>7336</v>
      </c>
      <c r="B291" s="0" t="s">
        <v>1329</v>
      </c>
      <c r="C291" s="0" t="s">
        <v>1330</v>
      </c>
      <c r="D291" s="0" t="s">
        <v>1184</v>
      </c>
      <c r="E291" s="0" t="s">
        <v>1331</v>
      </c>
      <c r="F291" s="0" t="s">
        <v>1328</v>
      </c>
      <c r="G291" s="0" t="s">
        <v>126</v>
      </c>
      <c r="H291" s="0" t="s">
        <v>7625</v>
      </c>
      <c r="I291" s="0" t="s">
        <v>7338</v>
      </c>
      <c r="J291" s="0" t="s">
        <v>1260</v>
      </c>
      <c r="K291" s="0" t="s">
        <v>7339</v>
      </c>
      <c r="L291" s="0" t="s">
        <v>7340</v>
      </c>
      <c r="M291" s="0" t="s">
        <v>7611</v>
      </c>
      <c r="N291" s="0" t="s">
        <v>7342</v>
      </c>
      <c r="P291" s="0" t="s">
        <v>229</v>
      </c>
      <c r="Q291" s="0" t="s">
        <v>7354</v>
      </c>
      <c r="R291" s="0" t="s">
        <v>7435</v>
      </c>
      <c r="S291" s="0" t="s">
        <v>7344</v>
      </c>
      <c r="T291" s="0" t="s">
        <v>228</v>
      </c>
      <c r="V291" s="0" t="s">
        <v>61</v>
      </c>
      <c r="W291" s="0" t="s">
        <v>63</v>
      </c>
      <c r="X291" s="0" t="s">
        <v>7355</v>
      </c>
      <c r="Y291" s="0" t="s">
        <v>7459</v>
      </c>
      <c r="Z291" s="0" t="s">
        <v>7591</v>
      </c>
      <c r="AA291" s="0" t="s">
        <v>7592</v>
      </c>
      <c r="AB291" s="0" t="s">
        <v>344</v>
      </c>
      <c r="AC291" s="0" t="s">
        <v>7349</v>
      </c>
      <c r="AD291" s="0" t="s">
        <v>7605</v>
      </c>
      <c r="AE291" s="0" t="s">
        <v>7440</v>
      </c>
      <c r="AF291" s="0" t="s">
        <v>7374</v>
      </c>
      <c r="AG291" s="0" t="s">
        <v>230</v>
      </c>
    </row>
    <row r="292" customFormat="false" ht="15" hidden="false" customHeight="false" outlineLevel="0" collapsed="false">
      <c r="A292" s="0" t="s">
        <v>7336</v>
      </c>
      <c r="B292" s="0" t="s">
        <v>1332</v>
      </c>
      <c r="C292" s="0" t="s">
        <v>1333</v>
      </c>
      <c r="D292" s="0" t="s">
        <v>300</v>
      </c>
      <c r="E292" s="0" t="s">
        <v>1334</v>
      </c>
      <c r="F292" s="0" t="s">
        <v>1335</v>
      </c>
      <c r="G292" s="0" t="s">
        <v>146</v>
      </c>
      <c r="H292" s="0" t="s">
        <v>7626</v>
      </c>
      <c r="I292" s="0" t="s">
        <v>7338</v>
      </c>
      <c r="J292" s="0" t="s">
        <v>1336</v>
      </c>
      <c r="K292" s="0" t="s">
        <v>7339</v>
      </c>
      <c r="L292" s="0" t="s">
        <v>7340</v>
      </c>
      <c r="M292" s="0" t="s">
        <v>7627</v>
      </c>
      <c r="N292" s="0" t="s">
        <v>7342</v>
      </c>
      <c r="O292" s="0" t="s">
        <v>7360</v>
      </c>
      <c r="P292" s="0" t="s">
        <v>229</v>
      </c>
      <c r="Q292" s="0" t="s">
        <v>7354</v>
      </c>
      <c r="R292" s="0" t="s">
        <v>7343</v>
      </c>
      <c r="S292" s="0" t="s">
        <v>7344</v>
      </c>
      <c r="T292" s="0" t="s">
        <v>681</v>
      </c>
      <c r="V292" s="0" t="s">
        <v>34</v>
      </c>
      <c r="W292" s="0" t="s">
        <v>37</v>
      </c>
      <c r="X292" s="0" t="s">
        <v>7355</v>
      </c>
      <c r="Y292" s="0" t="s">
        <v>7346</v>
      </c>
      <c r="Z292" s="0" t="s">
        <v>7370</v>
      </c>
      <c r="AA292" s="0" t="s">
        <v>7628</v>
      </c>
      <c r="AC292" s="0" t="s">
        <v>7629</v>
      </c>
      <c r="AE292" s="0" t="s">
        <v>681</v>
      </c>
      <c r="AG292" s="0" t="s">
        <v>230</v>
      </c>
    </row>
    <row r="293" customFormat="false" ht="15" hidden="false" customHeight="false" outlineLevel="0" collapsed="false">
      <c r="A293" s="0" t="s">
        <v>7336</v>
      </c>
      <c r="B293" s="0" t="s">
        <v>1337</v>
      </c>
      <c r="C293" s="0" t="s">
        <v>1338</v>
      </c>
      <c r="D293" s="0" t="s">
        <v>300</v>
      </c>
      <c r="E293" s="0" t="s">
        <v>1339</v>
      </c>
      <c r="F293" s="0" t="s">
        <v>1340</v>
      </c>
      <c r="G293" s="0" t="s">
        <v>146</v>
      </c>
      <c r="H293" s="0" t="s">
        <v>7630</v>
      </c>
      <c r="I293" s="0" t="s">
        <v>7338</v>
      </c>
      <c r="J293" s="0" t="s">
        <v>1336</v>
      </c>
      <c r="K293" s="0" t="s">
        <v>7339</v>
      </c>
      <c r="L293" s="0" t="s">
        <v>7340</v>
      </c>
      <c r="M293" s="0" t="s">
        <v>7627</v>
      </c>
      <c r="N293" s="0" t="s">
        <v>7342</v>
      </c>
      <c r="O293" s="0" t="s">
        <v>7360</v>
      </c>
      <c r="P293" s="0" t="s">
        <v>229</v>
      </c>
      <c r="Q293" s="0" t="s">
        <v>7354</v>
      </c>
      <c r="S293" s="0" t="s">
        <v>7344</v>
      </c>
      <c r="T293" s="0" t="s">
        <v>681</v>
      </c>
      <c r="V293" s="0" t="s">
        <v>34</v>
      </c>
      <c r="W293" s="0" t="s">
        <v>1341</v>
      </c>
      <c r="X293" s="0" t="s">
        <v>7355</v>
      </c>
      <c r="Y293" s="0" t="s">
        <v>7495</v>
      </c>
      <c r="Z293" s="0" t="s">
        <v>7496</v>
      </c>
      <c r="AA293" s="0" t="s">
        <v>7631</v>
      </c>
      <c r="AC293" s="0" t="s">
        <v>7629</v>
      </c>
      <c r="AE293" s="0" t="s">
        <v>681</v>
      </c>
      <c r="AG293" s="0" t="s">
        <v>230</v>
      </c>
    </row>
    <row r="294" customFormat="false" ht="15" hidden="false" customHeight="false" outlineLevel="0" collapsed="false">
      <c r="A294" s="0" t="s">
        <v>7336</v>
      </c>
      <c r="B294" s="0" t="s">
        <v>1342</v>
      </c>
      <c r="C294" s="0" t="s">
        <v>1343</v>
      </c>
      <c r="D294" s="0" t="s">
        <v>300</v>
      </c>
      <c r="E294" s="0" t="s">
        <v>1339</v>
      </c>
      <c r="F294" s="0" t="s">
        <v>1340</v>
      </c>
      <c r="G294" s="0" t="s">
        <v>146</v>
      </c>
      <c r="H294" s="0" t="s">
        <v>7630</v>
      </c>
      <c r="I294" s="0" t="s">
        <v>7338</v>
      </c>
      <c r="J294" s="0" t="s">
        <v>1336</v>
      </c>
      <c r="K294" s="0" t="s">
        <v>7339</v>
      </c>
      <c r="L294" s="0" t="s">
        <v>7340</v>
      </c>
      <c r="M294" s="0" t="s">
        <v>7627</v>
      </c>
      <c r="N294" s="0" t="s">
        <v>7342</v>
      </c>
      <c r="O294" s="0" t="s">
        <v>7360</v>
      </c>
      <c r="P294" s="0" t="s">
        <v>229</v>
      </c>
      <c r="Q294" s="0" t="s">
        <v>7354</v>
      </c>
      <c r="R294" s="0" t="s">
        <v>7343</v>
      </c>
      <c r="S294" s="0" t="s">
        <v>7344</v>
      </c>
      <c r="T294" s="0" t="s">
        <v>681</v>
      </c>
      <c r="V294" s="0" t="s">
        <v>34</v>
      </c>
      <c r="W294" s="0" t="s">
        <v>37</v>
      </c>
      <c r="X294" s="0" t="s">
        <v>7355</v>
      </c>
      <c r="Y294" s="0" t="s">
        <v>7346</v>
      </c>
      <c r="Z294" s="0" t="s">
        <v>7370</v>
      </c>
      <c r="AA294" s="0" t="s">
        <v>7628</v>
      </c>
      <c r="AC294" s="0" t="s">
        <v>7629</v>
      </c>
      <c r="AE294" s="0" t="s">
        <v>681</v>
      </c>
      <c r="AG294" s="0" t="s">
        <v>230</v>
      </c>
    </row>
    <row r="295" customFormat="false" ht="15" hidden="false" customHeight="false" outlineLevel="0" collapsed="false">
      <c r="A295" s="0" t="s">
        <v>7336</v>
      </c>
      <c r="B295" s="0" t="s">
        <v>1344</v>
      </c>
      <c r="C295" s="0" t="s">
        <v>1345</v>
      </c>
      <c r="D295" s="0" t="s">
        <v>300</v>
      </c>
      <c r="E295" s="0" t="s">
        <v>1346</v>
      </c>
      <c r="F295" s="0" t="s">
        <v>1335</v>
      </c>
      <c r="G295" s="0" t="s">
        <v>146</v>
      </c>
      <c r="H295" s="0" t="s">
        <v>7626</v>
      </c>
      <c r="I295" s="0" t="s">
        <v>7338</v>
      </c>
      <c r="J295" s="0" t="s">
        <v>1336</v>
      </c>
      <c r="K295" s="0" t="s">
        <v>7339</v>
      </c>
      <c r="L295" s="0" t="s">
        <v>7340</v>
      </c>
      <c r="M295" s="0" t="s">
        <v>7627</v>
      </c>
      <c r="N295" s="0" t="s">
        <v>7342</v>
      </c>
      <c r="O295" s="0" t="s">
        <v>7360</v>
      </c>
      <c r="P295" s="0" t="s">
        <v>229</v>
      </c>
      <c r="Q295" s="0" t="s">
        <v>7354</v>
      </c>
      <c r="S295" s="0" t="s">
        <v>7344</v>
      </c>
      <c r="T295" s="0" t="s">
        <v>681</v>
      </c>
      <c r="V295" s="0" t="s">
        <v>34</v>
      </c>
      <c r="W295" s="0" t="s">
        <v>1341</v>
      </c>
      <c r="X295" s="0" t="s">
        <v>7355</v>
      </c>
      <c r="Y295" s="0" t="s">
        <v>7495</v>
      </c>
      <c r="Z295" s="0" t="s">
        <v>7496</v>
      </c>
      <c r="AA295" s="0" t="s">
        <v>7631</v>
      </c>
      <c r="AC295" s="0" t="s">
        <v>7629</v>
      </c>
      <c r="AE295" s="0" t="s">
        <v>681</v>
      </c>
      <c r="AG295" s="0" t="s">
        <v>230</v>
      </c>
    </row>
    <row r="296" customFormat="false" ht="15" hidden="false" customHeight="false" outlineLevel="0" collapsed="false">
      <c r="A296" s="0" t="s">
        <v>7336</v>
      </c>
      <c r="B296" s="0" t="s">
        <v>1347</v>
      </c>
      <c r="C296" s="0" t="s">
        <v>1348</v>
      </c>
      <c r="D296" s="0" t="s">
        <v>300</v>
      </c>
      <c r="E296" s="0" t="s">
        <v>1346</v>
      </c>
      <c r="F296" s="0" t="s">
        <v>1335</v>
      </c>
      <c r="G296" s="0" t="s">
        <v>146</v>
      </c>
      <c r="H296" s="0" t="s">
        <v>7626</v>
      </c>
      <c r="I296" s="0" t="s">
        <v>7338</v>
      </c>
      <c r="J296" s="0" t="s">
        <v>1336</v>
      </c>
      <c r="K296" s="0" t="s">
        <v>7339</v>
      </c>
      <c r="L296" s="0" t="s">
        <v>7340</v>
      </c>
      <c r="M296" s="0" t="s">
        <v>7627</v>
      </c>
      <c r="N296" s="0" t="s">
        <v>7342</v>
      </c>
      <c r="O296" s="0" t="s">
        <v>7360</v>
      </c>
      <c r="P296" s="0" t="s">
        <v>229</v>
      </c>
      <c r="Q296" s="0" t="s">
        <v>7354</v>
      </c>
      <c r="R296" s="0" t="s">
        <v>7343</v>
      </c>
      <c r="S296" s="0" t="s">
        <v>7344</v>
      </c>
      <c r="T296" s="0" t="s">
        <v>681</v>
      </c>
      <c r="V296" s="0" t="s">
        <v>34</v>
      </c>
      <c r="W296" s="0" t="s">
        <v>37</v>
      </c>
      <c r="X296" s="0" t="s">
        <v>7355</v>
      </c>
      <c r="Y296" s="0" t="s">
        <v>7346</v>
      </c>
      <c r="Z296" s="0" t="s">
        <v>7370</v>
      </c>
      <c r="AA296" s="0" t="s">
        <v>7628</v>
      </c>
      <c r="AC296" s="0" t="s">
        <v>7629</v>
      </c>
      <c r="AE296" s="0" t="s">
        <v>681</v>
      </c>
      <c r="AG296" s="0" t="s">
        <v>230</v>
      </c>
    </row>
    <row r="297" customFormat="false" ht="15" hidden="false" customHeight="false" outlineLevel="0" collapsed="false">
      <c r="A297" s="0" t="s">
        <v>7336</v>
      </c>
      <c r="B297" s="0" t="s">
        <v>1349</v>
      </c>
      <c r="C297" s="0" t="s">
        <v>1350</v>
      </c>
      <c r="D297" s="0" t="s">
        <v>300</v>
      </c>
      <c r="E297" s="0" t="s">
        <v>1351</v>
      </c>
      <c r="F297" s="0" t="s">
        <v>1340</v>
      </c>
      <c r="G297" s="0" t="s">
        <v>146</v>
      </c>
      <c r="H297" s="0" t="s">
        <v>7630</v>
      </c>
      <c r="I297" s="0" t="s">
        <v>7338</v>
      </c>
      <c r="J297" s="0" t="s">
        <v>1336</v>
      </c>
      <c r="K297" s="0" t="s">
        <v>7339</v>
      </c>
      <c r="L297" s="0" t="s">
        <v>7340</v>
      </c>
      <c r="M297" s="0" t="s">
        <v>7627</v>
      </c>
      <c r="N297" s="0" t="s">
        <v>7342</v>
      </c>
      <c r="O297" s="0" t="s">
        <v>7360</v>
      </c>
      <c r="P297" s="0" t="s">
        <v>229</v>
      </c>
      <c r="Q297" s="0" t="s">
        <v>7354</v>
      </c>
      <c r="R297" s="0" t="s">
        <v>7343</v>
      </c>
      <c r="S297" s="0" t="s">
        <v>7344</v>
      </c>
      <c r="T297" s="0" t="s">
        <v>681</v>
      </c>
      <c r="V297" s="0" t="s">
        <v>34</v>
      </c>
      <c r="W297" s="0" t="s">
        <v>37</v>
      </c>
      <c r="X297" s="0" t="s">
        <v>7355</v>
      </c>
      <c r="Y297" s="0" t="s">
        <v>7346</v>
      </c>
      <c r="Z297" s="0" t="s">
        <v>7370</v>
      </c>
      <c r="AA297" s="0" t="s">
        <v>7628</v>
      </c>
      <c r="AC297" s="0" t="s">
        <v>7629</v>
      </c>
      <c r="AE297" s="0" t="s">
        <v>681</v>
      </c>
      <c r="AG297" s="0" t="s">
        <v>230</v>
      </c>
    </row>
    <row r="298" customFormat="false" ht="15" hidden="false" customHeight="false" outlineLevel="0" collapsed="false">
      <c r="A298" s="0" t="s">
        <v>7336</v>
      </c>
      <c r="B298" s="0" t="s">
        <v>1352</v>
      </c>
      <c r="C298" s="0" t="s">
        <v>1353</v>
      </c>
      <c r="D298" s="0" t="s">
        <v>300</v>
      </c>
      <c r="E298" s="0" t="s">
        <v>1354</v>
      </c>
      <c r="F298" s="0" t="s">
        <v>1335</v>
      </c>
      <c r="G298" s="0" t="s">
        <v>146</v>
      </c>
      <c r="H298" s="0" t="s">
        <v>7626</v>
      </c>
      <c r="I298" s="0" t="s">
        <v>7338</v>
      </c>
      <c r="J298" s="0" t="s">
        <v>1336</v>
      </c>
      <c r="K298" s="0" t="s">
        <v>7339</v>
      </c>
      <c r="L298" s="0" t="s">
        <v>7340</v>
      </c>
      <c r="M298" s="0" t="s">
        <v>7627</v>
      </c>
      <c r="N298" s="0" t="s">
        <v>7342</v>
      </c>
      <c r="O298" s="0" t="s">
        <v>7360</v>
      </c>
      <c r="P298" s="0" t="s">
        <v>229</v>
      </c>
      <c r="Q298" s="0" t="s">
        <v>7354</v>
      </c>
      <c r="R298" s="0" t="s">
        <v>7343</v>
      </c>
      <c r="S298" s="0" t="s">
        <v>7344</v>
      </c>
      <c r="T298" s="0" t="s">
        <v>681</v>
      </c>
      <c r="V298" s="0" t="s">
        <v>34</v>
      </c>
      <c r="W298" s="0" t="s">
        <v>37</v>
      </c>
      <c r="X298" s="0" t="s">
        <v>7355</v>
      </c>
      <c r="Y298" s="0" t="s">
        <v>7346</v>
      </c>
      <c r="Z298" s="0" t="s">
        <v>7370</v>
      </c>
      <c r="AA298" s="0" t="s">
        <v>7628</v>
      </c>
      <c r="AC298" s="0" t="s">
        <v>7629</v>
      </c>
      <c r="AE298" s="0" t="s">
        <v>681</v>
      </c>
      <c r="AG298" s="0" t="s">
        <v>230</v>
      </c>
    </row>
    <row r="299" customFormat="false" ht="15" hidden="false" customHeight="false" outlineLevel="0" collapsed="false">
      <c r="A299" s="0" t="s">
        <v>7336</v>
      </c>
      <c r="B299" s="0" t="s">
        <v>1355</v>
      </c>
      <c r="C299" s="0" t="s">
        <v>1356</v>
      </c>
      <c r="D299" s="0" t="s">
        <v>300</v>
      </c>
      <c r="E299" s="0" t="s">
        <v>1357</v>
      </c>
      <c r="F299" s="0" t="s">
        <v>1335</v>
      </c>
      <c r="G299" s="0" t="s">
        <v>146</v>
      </c>
      <c r="H299" s="0" t="s">
        <v>7626</v>
      </c>
      <c r="I299" s="0" t="s">
        <v>7338</v>
      </c>
      <c r="J299" s="0" t="s">
        <v>1336</v>
      </c>
      <c r="K299" s="0" t="s">
        <v>7339</v>
      </c>
      <c r="L299" s="0" t="s">
        <v>7340</v>
      </c>
      <c r="M299" s="0" t="s">
        <v>7627</v>
      </c>
      <c r="N299" s="0" t="s">
        <v>7342</v>
      </c>
      <c r="O299" s="0" t="s">
        <v>7360</v>
      </c>
      <c r="P299" s="0" t="s">
        <v>229</v>
      </c>
      <c r="Q299" s="0" t="s">
        <v>7354</v>
      </c>
      <c r="R299" s="0" t="s">
        <v>7435</v>
      </c>
      <c r="S299" s="0" t="s">
        <v>7344</v>
      </c>
      <c r="T299" s="0" t="s">
        <v>681</v>
      </c>
      <c r="V299" s="0" t="s">
        <v>1358</v>
      </c>
      <c r="W299" s="0" t="s">
        <v>64</v>
      </c>
      <c r="X299" s="0" t="s">
        <v>7355</v>
      </c>
      <c r="Y299" s="0" t="s">
        <v>7459</v>
      </c>
      <c r="Z299" s="0" t="s">
        <v>7460</v>
      </c>
      <c r="AA299" s="0" t="s">
        <v>7438</v>
      </c>
      <c r="AC299" s="0" t="s">
        <v>7629</v>
      </c>
      <c r="AE299" s="0" t="s">
        <v>681</v>
      </c>
      <c r="AG299" s="0" t="s">
        <v>230</v>
      </c>
    </row>
    <row r="300" customFormat="false" ht="15" hidden="false" customHeight="false" outlineLevel="0" collapsed="false">
      <c r="A300" s="0" t="s">
        <v>7336</v>
      </c>
      <c r="B300" s="0" t="s">
        <v>1359</v>
      </c>
      <c r="C300" s="0" t="s">
        <v>1360</v>
      </c>
      <c r="D300" s="0" t="s">
        <v>300</v>
      </c>
      <c r="E300" s="0" t="s">
        <v>1361</v>
      </c>
      <c r="F300" s="0" t="s">
        <v>1335</v>
      </c>
      <c r="G300" s="0" t="s">
        <v>146</v>
      </c>
      <c r="H300" s="0" t="s">
        <v>7626</v>
      </c>
      <c r="I300" s="0" t="s">
        <v>7338</v>
      </c>
      <c r="J300" s="0" t="s">
        <v>1336</v>
      </c>
      <c r="K300" s="0" t="s">
        <v>7339</v>
      </c>
      <c r="L300" s="0" t="s">
        <v>7340</v>
      </c>
      <c r="M300" s="0" t="s">
        <v>7627</v>
      </c>
      <c r="N300" s="0" t="s">
        <v>7342</v>
      </c>
      <c r="O300" s="0" t="s">
        <v>7360</v>
      </c>
      <c r="P300" s="0" t="s">
        <v>229</v>
      </c>
      <c r="Q300" s="0" t="s">
        <v>7354</v>
      </c>
      <c r="R300" s="0" t="s">
        <v>7435</v>
      </c>
      <c r="S300" s="0" t="s">
        <v>7344</v>
      </c>
      <c r="T300" s="0" t="s">
        <v>681</v>
      </c>
      <c r="V300" s="0" t="s">
        <v>1358</v>
      </c>
      <c r="W300" s="0" t="s">
        <v>64</v>
      </c>
      <c r="X300" s="0" t="s">
        <v>7355</v>
      </c>
      <c r="Y300" s="0" t="s">
        <v>7459</v>
      </c>
      <c r="Z300" s="0" t="s">
        <v>7460</v>
      </c>
      <c r="AA300" s="0" t="s">
        <v>7438</v>
      </c>
      <c r="AC300" s="0" t="s">
        <v>7629</v>
      </c>
      <c r="AE300" s="0" t="s">
        <v>681</v>
      </c>
      <c r="AG300" s="0" t="s">
        <v>230</v>
      </c>
    </row>
    <row r="301" customFormat="false" ht="15" hidden="false" customHeight="false" outlineLevel="0" collapsed="false">
      <c r="A301" s="0" t="s">
        <v>7336</v>
      </c>
      <c r="B301" s="0" t="s">
        <v>1362</v>
      </c>
      <c r="C301" s="0" t="s">
        <v>1363</v>
      </c>
      <c r="D301" s="0" t="s">
        <v>300</v>
      </c>
      <c r="E301" s="0" t="s">
        <v>1364</v>
      </c>
      <c r="F301" s="0" t="s">
        <v>1340</v>
      </c>
      <c r="G301" s="0" t="s">
        <v>146</v>
      </c>
      <c r="H301" s="0" t="s">
        <v>7630</v>
      </c>
      <c r="I301" s="0" t="s">
        <v>7338</v>
      </c>
      <c r="J301" s="0" t="s">
        <v>1336</v>
      </c>
      <c r="K301" s="0" t="s">
        <v>7339</v>
      </c>
      <c r="L301" s="0" t="s">
        <v>7340</v>
      </c>
      <c r="M301" s="0" t="s">
        <v>7627</v>
      </c>
      <c r="N301" s="0" t="s">
        <v>7342</v>
      </c>
      <c r="O301" s="0" t="s">
        <v>7360</v>
      </c>
      <c r="P301" s="0" t="s">
        <v>229</v>
      </c>
      <c r="Q301" s="0" t="s">
        <v>7354</v>
      </c>
      <c r="S301" s="0" t="s">
        <v>7344</v>
      </c>
      <c r="T301" s="0" t="s">
        <v>681</v>
      </c>
      <c r="V301" s="0" t="s">
        <v>34</v>
      </c>
      <c r="W301" s="0" t="s">
        <v>1341</v>
      </c>
      <c r="X301" s="0" t="s">
        <v>7355</v>
      </c>
      <c r="Y301" s="0" t="s">
        <v>7495</v>
      </c>
      <c r="Z301" s="0" t="s">
        <v>7496</v>
      </c>
      <c r="AA301" s="0" t="s">
        <v>7631</v>
      </c>
      <c r="AC301" s="0" t="s">
        <v>7629</v>
      </c>
      <c r="AE301" s="0" t="s">
        <v>681</v>
      </c>
      <c r="AG301" s="0" t="s">
        <v>230</v>
      </c>
    </row>
    <row r="302" customFormat="false" ht="15" hidden="false" customHeight="false" outlineLevel="0" collapsed="false">
      <c r="A302" s="0" t="s">
        <v>7336</v>
      </c>
      <c r="B302" s="0" t="s">
        <v>1365</v>
      </c>
      <c r="C302" s="0" t="s">
        <v>1366</v>
      </c>
      <c r="D302" s="0" t="s">
        <v>300</v>
      </c>
      <c r="E302" s="0" t="s">
        <v>1367</v>
      </c>
      <c r="F302" s="0" t="s">
        <v>1340</v>
      </c>
      <c r="G302" s="0" t="s">
        <v>146</v>
      </c>
      <c r="H302" s="0" t="s">
        <v>7630</v>
      </c>
      <c r="I302" s="0" t="s">
        <v>7338</v>
      </c>
      <c r="J302" s="0" t="s">
        <v>1336</v>
      </c>
      <c r="K302" s="0" t="s">
        <v>7339</v>
      </c>
      <c r="L302" s="0" t="s">
        <v>7340</v>
      </c>
      <c r="M302" s="0" t="s">
        <v>7627</v>
      </c>
      <c r="N302" s="0" t="s">
        <v>7342</v>
      </c>
      <c r="O302" s="0" t="s">
        <v>7360</v>
      </c>
      <c r="P302" s="0" t="s">
        <v>229</v>
      </c>
      <c r="Q302" s="0" t="s">
        <v>7354</v>
      </c>
      <c r="S302" s="0" t="s">
        <v>7344</v>
      </c>
      <c r="T302" s="0" t="s">
        <v>58</v>
      </c>
      <c r="V302" s="0" t="s">
        <v>55</v>
      </c>
      <c r="W302" s="0" t="s">
        <v>57</v>
      </c>
      <c r="X302" s="0" t="s">
        <v>7355</v>
      </c>
      <c r="AC302" s="0" t="s">
        <v>7629</v>
      </c>
      <c r="AE302" s="0" t="s">
        <v>58</v>
      </c>
      <c r="AG302" s="0" t="s">
        <v>230</v>
      </c>
    </row>
    <row r="303" customFormat="false" ht="15" hidden="false" customHeight="false" outlineLevel="0" collapsed="false">
      <c r="A303" s="0" t="s">
        <v>7336</v>
      </c>
      <c r="B303" s="0" t="s">
        <v>1368</v>
      </c>
      <c r="C303" s="0" t="s">
        <v>1369</v>
      </c>
      <c r="D303" s="0" t="s">
        <v>300</v>
      </c>
      <c r="E303" s="0" t="s">
        <v>1370</v>
      </c>
      <c r="F303" s="0" t="s">
        <v>1340</v>
      </c>
      <c r="G303" s="0" t="s">
        <v>146</v>
      </c>
      <c r="H303" s="0" t="s">
        <v>7630</v>
      </c>
      <c r="I303" s="0" t="s">
        <v>7338</v>
      </c>
      <c r="J303" s="0" t="s">
        <v>1336</v>
      </c>
      <c r="K303" s="0" t="s">
        <v>7339</v>
      </c>
      <c r="L303" s="0" t="s">
        <v>7340</v>
      </c>
      <c r="M303" s="0" t="s">
        <v>7627</v>
      </c>
      <c r="N303" s="0" t="s">
        <v>7342</v>
      </c>
      <c r="O303" s="0" t="s">
        <v>7360</v>
      </c>
      <c r="P303" s="0" t="s">
        <v>229</v>
      </c>
      <c r="Q303" s="0" t="s">
        <v>7354</v>
      </c>
      <c r="R303" s="0" t="s">
        <v>7343</v>
      </c>
      <c r="S303" s="0" t="s">
        <v>7344</v>
      </c>
      <c r="T303" s="0" t="s">
        <v>681</v>
      </c>
      <c r="V303" s="0" t="s">
        <v>34</v>
      </c>
      <c r="W303" s="0" t="s">
        <v>37</v>
      </c>
      <c r="X303" s="0" t="s">
        <v>7355</v>
      </c>
      <c r="Y303" s="0" t="s">
        <v>7346</v>
      </c>
      <c r="Z303" s="0" t="s">
        <v>7370</v>
      </c>
      <c r="AA303" s="0" t="s">
        <v>7628</v>
      </c>
      <c r="AC303" s="0" t="s">
        <v>7629</v>
      </c>
      <c r="AE303" s="0" t="s">
        <v>681</v>
      </c>
      <c r="AG303" s="0" t="s">
        <v>230</v>
      </c>
    </row>
    <row r="304" customFormat="false" ht="15" hidden="false" customHeight="false" outlineLevel="0" collapsed="false">
      <c r="A304" s="0" t="s">
        <v>7336</v>
      </c>
      <c r="B304" s="0" t="s">
        <v>1371</v>
      </c>
      <c r="C304" s="0" t="s">
        <v>1372</v>
      </c>
      <c r="D304" s="0" t="s">
        <v>300</v>
      </c>
      <c r="E304" s="0" t="s">
        <v>1373</v>
      </c>
      <c r="F304" s="0" t="s">
        <v>1335</v>
      </c>
      <c r="G304" s="0" t="s">
        <v>146</v>
      </c>
      <c r="H304" s="0" t="s">
        <v>7626</v>
      </c>
      <c r="I304" s="0" t="s">
        <v>7338</v>
      </c>
      <c r="J304" s="0" t="s">
        <v>1336</v>
      </c>
      <c r="K304" s="0" t="s">
        <v>7339</v>
      </c>
      <c r="L304" s="0" t="s">
        <v>7340</v>
      </c>
      <c r="M304" s="0" t="s">
        <v>7627</v>
      </c>
      <c r="N304" s="0" t="s">
        <v>7342</v>
      </c>
      <c r="O304" s="0" t="s">
        <v>7360</v>
      </c>
      <c r="P304" s="0" t="s">
        <v>229</v>
      </c>
      <c r="Q304" s="0" t="s">
        <v>7354</v>
      </c>
      <c r="S304" s="0" t="s">
        <v>7344</v>
      </c>
      <c r="T304" s="0" t="s">
        <v>681</v>
      </c>
      <c r="V304" s="0" t="s">
        <v>34</v>
      </c>
      <c r="W304" s="0" t="s">
        <v>1341</v>
      </c>
      <c r="X304" s="0" t="s">
        <v>7355</v>
      </c>
      <c r="Y304" s="0" t="s">
        <v>7495</v>
      </c>
      <c r="Z304" s="0" t="s">
        <v>7496</v>
      </c>
      <c r="AA304" s="0" t="s">
        <v>7631</v>
      </c>
      <c r="AC304" s="0" t="s">
        <v>7629</v>
      </c>
      <c r="AE304" s="0" t="s">
        <v>681</v>
      </c>
      <c r="AG304" s="0" t="s">
        <v>230</v>
      </c>
    </row>
    <row r="305" customFormat="false" ht="15" hidden="false" customHeight="false" outlineLevel="0" collapsed="false">
      <c r="A305" s="0" t="s">
        <v>7336</v>
      </c>
      <c r="B305" s="0" t="s">
        <v>1374</v>
      </c>
      <c r="C305" s="0" t="s">
        <v>1375</v>
      </c>
      <c r="D305" s="0" t="s">
        <v>300</v>
      </c>
      <c r="E305" s="0" t="s">
        <v>1376</v>
      </c>
      <c r="F305" s="0" t="s">
        <v>1335</v>
      </c>
      <c r="G305" s="0" t="s">
        <v>146</v>
      </c>
      <c r="H305" s="0" t="s">
        <v>7626</v>
      </c>
      <c r="I305" s="0" t="s">
        <v>7338</v>
      </c>
      <c r="J305" s="0" t="s">
        <v>1336</v>
      </c>
      <c r="K305" s="0" t="s">
        <v>7339</v>
      </c>
      <c r="L305" s="0" t="s">
        <v>7340</v>
      </c>
      <c r="M305" s="0" t="s">
        <v>7627</v>
      </c>
      <c r="N305" s="0" t="s">
        <v>7342</v>
      </c>
      <c r="O305" s="0" t="s">
        <v>7360</v>
      </c>
      <c r="P305" s="0" t="s">
        <v>229</v>
      </c>
      <c r="Q305" s="0" t="s">
        <v>7354</v>
      </c>
      <c r="S305" s="0" t="s">
        <v>7344</v>
      </c>
      <c r="T305" s="0" t="s">
        <v>58</v>
      </c>
      <c r="V305" s="0" t="s">
        <v>55</v>
      </c>
      <c r="W305" s="0" t="s">
        <v>57</v>
      </c>
      <c r="X305" s="0" t="s">
        <v>7355</v>
      </c>
      <c r="AC305" s="0" t="s">
        <v>7629</v>
      </c>
      <c r="AE305" s="0" t="s">
        <v>58</v>
      </c>
      <c r="AG305" s="0" t="s">
        <v>230</v>
      </c>
    </row>
    <row r="306" customFormat="false" ht="15" hidden="false" customHeight="false" outlineLevel="0" collapsed="false">
      <c r="A306" s="0" t="s">
        <v>7336</v>
      </c>
      <c r="B306" s="0" t="s">
        <v>1377</v>
      </c>
      <c r="C306" s="0" t="s">
        <v>1378</v>
      </c>
      <c r="D306" s="0" t="s">
        <v>300</v>
      </c>
      <c r="E306" s="0" t="s">
        <v>1379</v>
      </c>
      <c r="F306" s="0" t="s">
        <v>1335</v>
      </c>
      <c r="G306" s="0" t="s">
        <v>146</v>
      </c>
      <c r="H306" s="0" t="s">
        <v>7626</v>
      </c>
      <c r="I306" s="0" t="s">
        <v>7338</v>
      </c>
      <c r="J306" s="0" t="s">
        <v>1336</v>
      </c>
      <c r="K306" s="0" t="s">
        <v>7339</v>
      </c>
      <c r="L306" s="0" t="s">
        <v>7340</v>
      </c>
      <c r="M306" s="0" t="s">
        <v>7627</v>
      </c>
      <c r="N306" s="0" t="s">
        <v>7342</v>
      </c>
      <c r="O306" s="0" t="s">
        <v>7360</v>
      </c>
      <c r="P306" s="0" t="s">
        <v>229</v>
      </c>
      <c r="Q306" s="0" t="s">
        <v>7354</v>
      </c>
      <c r="R306" s="0" t="s">
        <v>7343</v>
      </c>
      <c r="S306" s="0" t="s">
        <v>7344</v>
      </c>
      <c r="T306" s="0" t="s">
        <v>681</v>
      </c>
      <c r="V306" s="0" t="s">
        <v>34</v>
      </c>
      <c r="W306" s="0" t="s">
        <v>37</v>
      </c>
      <c r="X306" s="0" t="s">
        <v>7355</v>
      </c>
      <c r="Y306" s="0" t="s">
        <v>7346</v>
      </c>
      <c r="Z306" s="0" t="s">
        <v>7370</v>
      </c>
      <c r="AA306" s="0" t="s">
        <v>7628</v>
      </c>
      <c r="AC306" s="0" t="s">
        <v>7629</v>
      </c>
      <c r="AE306" s="0" t="s">
        <v>681</v>
      </c>
      <c r="AG306" s="0" t="s">
        <v>230</v>
      </c>
    </row>
    <row r="307" customFormat="false" ht="15" hidden="false" customHeight="false" outlineLevel="0" collapsed="false">
      <c r="A307" s="0" t="s">
        <v>7336</v>
      </c>
      <c r="B307" s="0" t="s">
        <v>1380</v>
      </c>
      <c r="C307" s="0" t="s">
        <v>1381</v>
      </c>
      <c r="D307" s="0" t="s">
        <v>300</v>
      </c>
      <c r="E307" s="0" t="s">
        <v>1382</v>
      </c>
      <c r="F307" s="0" t="s">
        <v>1383</v>
      </c>
      <c r="G307" s="0" t="s">
        <v>146</v>
      </c>
      <c r="H307" s="0" t="s">
        <v>7632</v>
      </c>
      <c r="I307" s="0" t="s">
        <v>7338</v>
      </c>
      <c r="J307" s="0" t="s">
        <v>1336</v>
      </c>
      <c r="K307" s="0" t="s">
        <v>7339</v>
      </c>
      <c r="L307" s="0" t="s">
        <v>7340</v>
      </c>
      <c r="M307" s="0" t="s">
        <v>7627</v>
      </c>
      <c r="N307" s="0" t="s">
        <v>7342</v>
      </c>
      <c r="O307" s="0" t="s">
        <v>7360</v>
      </c>
      <c r="P307" s="0" t="s">
        <v>229</v>
      </c>
      <c r="Q307" s="0" t="s">
        <v>7354</v>
      </c>
      <c r="S307" s="0" t="s">
        <v>7344</v>
      </c>
      <c r="T307" s="0" t="s">
        <v>681</v>
      </c>
      <c r="V307" s="0" t="s">
        <v>34</v>
      </c>
      <c r="W307" s="0" t="s">
        <v>1341</v>
      </c>
      <c r="X307" s="0" t="s">
        <v>7355</v>
      </c>
      <c r="Y307" s="0" t="s">
        <v>7495</v>
      </c>
      <c r="Z307" s="0" t="s">
        <v>7496</v>
      </c>
      <c r="AA307" s="0" t="s">
        <v>7631</v>
      </c>
      <c r="AC307" s="0" t="s">
        <v>7629</v>
      </c>
      <c r="AE307" s="0" t="s">
        <v>681</v>
      </c>
      <c r="AG307" s="0" t="s">
        <v>230</v>
      </c>
    </row>
    <row r="308" customFormat="false" ht="15" hidden="false" customHeight="false" outlineLevel="0" collapsed="false">
      <c r="A308" s="0" t="s">
        <v>7336</v>
      </c>
      <c r="B308" s="0" t="s">
        <v>1384</v>
      </c>
      <c r="C308" s="0" t="s">
        <v>1385</v>
      </c>
      <c r="D308" s="0" t="s">
        <v>300</v>
      </c>
      <c r="E308" s="0" t="s">
        <v>1382</v>
      </c>
      <c r="F308" s="0" t="s">
        <v>1383</v>
      </c>
      <c r="G308" s="0" t="s">
        <v>146</v>
      </c>
      <c r="H308" s="0" t="s">
        <v>7632</v>
      </c>
      <c r="I308" s="0" t="s">
        <v>7338</v>
      </c>
      <c r="J308" s="0" t="s">
        <v>1336</v>
      </c>
      <c r="K308" s="0" t="s">
        <v>7339</v>
      </c>
      <c r="L308" s="0" t="s">
        <v>7340</v>
      </c>
      <c r="M308" s="0" t="s">
        <v>7627</v>
      </c>
      <c r="N308" s="0" t="s">
        <v>7342</v>
      </c>
      <c r="O308" s="0" t="s">
        <v>7360</v>
      </c>
      <c r="P308" s="0" t="s">
        <v>229</v>
      </c>
      <c r="Q308" s="0" t="s">
        <v>7354</v>
      </c>
      <c r="S308" s="0" t="s">
        <v>7344</v>
      </c>
      <c r="T308" s="0" t="s">
        <v>58</v>
      </c>
      <c r="V308" s="0" t="s">
        <v>55</v>
      </c>
      <c r="W308" s="0" t="s">
        <v>57</v>
      </c>
      <c r="X308" s="0" t="s">
        <v>7355</v>
      </c>
      <c r="AC308" s="0" t="s">
        <v>7629</v>
      </c>
      <c r="AE308" s="0" t="s">
        <v>58</v>
      </c>
      <c r="AG308" s="0" t="s">
        <v>230</v>
      </c>
    </row>
    <row r="309" customFormat="false" ht="15" hidden="false" customHeight="false" outlineLevel="0" collapsed="false">
      <c r="A309" s="0" t="s">
        <v>7336</v>
      </c>
      <c r="B309" s="0" t="s">
        <v>1386</v>
      </c>
      <c r="C309" s="0" t="s">
        <v>1387</v>
      </c>
      <c r="D309" s="0" t="s">
        <v>300</v>
      </c>
      <c r="E309" s="0" t="s">
        <v>1382</v>
      </c>
      <c r="F309" s="0" t="s">
        <v>1383</v>
      </c>
      <c r="G309" s="0" t="s">
        <v>146</v>
      </c>
      <c r="H309" s="0" t="s">
        <v>7632</v>
      </c>
      <c r="I309" s="0" t="s">
        <v>7338</v>
      </c>
      <c r="J309" s="0" t="s">
        <v>1336</v>
      </c>
      <c r="K309" s="0" t="s">
        <v>7339</v>
      </c>
      <c r="L309" s="0" t="s">
        <v>7340</v>
      </c>
      <c r="M309" s="0" t="s">
        <v>7627</v>
      </c>
      <c r="N309" s="0" t="s">
        <v>7342</v>
      </c>
      <c r="O309" s="0" t="s">
        <v>7360</v>
      </c>
      <c r="P309" s="0" t="s">
        <v>229</v>
      </c>
      <c r="Q309" s="0" t="s">
        <v>7354</v>
      </c>
      <c r="R309" s="0" t="s">
        <v>7343</v>
      </c>
      <c r="S309" s="0" t="s">
        <v>7344</v>
      </c>
      <c r="T309" s="0" t="s">
        <v>681</v>
      </c>
      <c r="V309" s="0" t="s">
        <v>34</v>
      </c>
      <c r="W309" s="0" t="s">
        <v>43</v>
      </c>
      <c r="X309" s="0" t="s">
        <v>7355</v>
      </c>
      <c r="Y309" s="0" t="s">
        <v>7346</v>
      </c>
      <c r="Z309" s="0" t="s">
        <v>7410</v>
      </c>
      <c r="AA309" s="0" t="s">
        <v>7628</v>
      </c>
      <c r="AC309" s="0" t="s">
        <v>7629</v>
      </c>
      <c r="AE309" s="0" t="s">
        <v>681</v>
      </c>
      <c r="AG309" s="0" t="s">
        <v>230</v>
      </c>
    </row>
    <row r="310" customFormat="false" ht="15" hidden="false" customHeight="false" outlineLevel="0" collapsed="false">
      <c r="A310" s="0" t="s">
        <v>7336</v>
      </c>
      <c r="B310" s="0" t="s">
        <v>1388</v>
      </c>
      <c r="C310" s="0" t="s">
        <v>1389</v>
      </c>
      <c r="D310" s="0" t="s">
        <v>300</v>
      </c>
      <c r="E310" s="0" t="s">
        <v>1382</v>
      </c>
      <c r="F310" s="0" t="s">
        <v>1383</v>
      </c>
      <c r="G310" s="0" t="s">
        <v>146</v>
      </c>
      <c r="H310" s="0" t="s">
        <v>7632</v>
      </c>
      <c r="I310" s="0" t="s">
        <v>7338</v>
      </c>
      <c r="J310" s="0" t="s">
        <v>1336</v>
      </c>
      <c r="K310" s="0" t="s">
        <v>7339</v>
      </c>
      <c r="L310" s="0" t="s">
        <v>7340</v>
      </c>
      <c r="M310" s="0" t="s">
        <v>7627</v>
      </c>
      <c r="N310" s="0" t="s">
        <v>7342</v>
      </c>
      <c r="O310" s="0" t="s">
        <v>7360</v>
      </c>
      <c r="P310" s="0" t="s">
        <v>229</v>
      </c>
      <c r="Q310" s="0" t="s">
        <v>7354</v>
      </c>
      <c r="R310" s="0" t="s">
        <v>7343</v>
      </c>
      <c r="S310" s="0" t="s">
        <v>7344</v>
      </c>
      <c r="T310" s="0" t="s">
        <v>681</v>
      </c>
      <c r="V310" s="0" t="s">
        <v>34</v>
      </c>
      <c r="W310" s="0" t="s">
        <v>37</v>
      </c>
      <c r="X310" s="0" t="s">
        <v>7355</v>
      </c>
      <c r="Y310" s="0" t="s">
        <v>7346</v>
      </c>
      <c r="Z310" s="0" t="s">
        <v>7370</v>
      </c>
      <c r="AA310" s="0" t="s">
        <v>7628</v>
      </c>
      <c r="AC310" s="0" t="s">
        <v>7629</v>
      </c>
      <c r="AE310" s="0" t="s">
        <v>681</v>
      </c>
      <c r="AG310" s="0" t="s">
        <v>230</v>
      </c>
    </row>
    <row r="311" customFormat="false" ht="15" hidden="false" customHeight="false" outlineLevel="0" collapsed="false">
      <c r="A311" s="0" t="s">
        <v>7336</v>
      </c>
      <c r="B311" s="0" t="s">
        <v>1390</v>
      </c>
      <c r="C311" s="0" t="s">
        <v>1391</v>
      </c>
      <c r="D311" s="0" t="s">
        <v>300</v>
      </c>
      <c r="E311" s="0" t="s">
        <v>1392</v>
      </c>
      <c r="F311" s="0" t="s">
        <v>1393</v>
      </c>
      <c r="G311" s="0" t="s">
        <v>146</v>
      </c>
      <c r="H311" s="0" t="s">
        <v>7633</v>
      </c>
      <c r="I311" s="0" t="s">
        <v>7338</v>
      </c>
      <c r="J311" s="0" t="s">
        <v>1336</v>
      </c>
      <c r="K311" s="0" t="s">
        <v>7339</v>
      </c>
      <c r="L311" s="0" t="s">
        <v>7340</v>
      </c>
      <c r="M311" s="0" t="s">
        <v>7627</v>
      </c>
      <c r="N311" s="0" t="s">
        <v>7342</v>
      </c>
      <c r="O311" s="0" t="s">
        <v>7360</v>
      </c>
      <c r="P311" s="0" t="s">
        <v>229</v>
      </c>
      <c r="Q311" s="0" t="s">
        <v>7354</v>
      </c>
      <c r="S311" s="0" t="s">
        <v>7344</v>
      </c>
      <c r="T311" s="0" t="s">
        <v>681</v>
      </c>
      <c r="V311" s="0" t="s">
        <v>34</v>
      </c>
      <c r="W311" s="0" t="s">
        <v>1341</v>
      </c>
      <c r="X311" s="0" t="s">
        <v>7355</v>
      </c>
      <c r="Y311" s="0" t="s">
        <v>7495</v>
      </c>
      <c r="Z311" s="0" t="s">
        <v>7496</v>
      </c>
      <c r="AA311" s="0" t="s">
        <v>7631</v>
      </c>
      <c r="AC311" s="0" t="s">
        <v>7629</v>
      </c>
      <c r="AE311" s="0" t="s">
        <v>681</v>
      </c>
      <c r="AG311" s="0" t="s">
        <v>230</v>
      </c>
    </row>
    <row r="312" customFormat="false" ht="15" hidden="false" customHeight="false" outlineLevel="0" collapsed="false">
      <c r="A312" s="0" t="s">
        <v>7336</v>
      </c>
      <c r="B312" s="0" t="s">
        <v>1394</v>
      </c>
      <c r="C312" s="0" t="s">
        <v>1395</v>
      </c>
      <c r="D312" s="0" t="s">
        <v>300</v>
      </c>
      <c r="E312" s="0" t="s">
        <v>1392</v>
      </c>
      <c r="F312" s="0" t="s">
        <v>1393</v>
      </c>
      <c r="G312" s="0" t="s">
        <v>146</v>
      </c>
      <c r="H312" s="0" t="s">
        <v>7633</v>
      </c>
      <c r="I312" s="0" t="s">
        <v>7338</v>
      </c>
      <c r="J312" s="0" t="s">
        <v>1336</v>
      </c>
      <c r="K312" s="0" t="s">
        <v>7339</v>
      </c>
      <c r="L312" s="0" t="s">
        <v>7340</v>
      </c>
      <c r="M312" s="0" t="s">
        <v>7627</v>
      </c>
      <c r="N312" s="0" t="s">
        <v>7342</v>
      </c>
      <c r="O312" s="0" t="s">
        <v>7360</v>
      </c>
      <c r="P312" s="0" t="s">
        <v>229</v>
      </c>
      <c r="Q312" s="0" t="s">
        <v>7354</v>
      </c>
      <c r="S312" s="0" t="s">
        <v>7344</v>
      </c>
      <c r="T312" s="0" t="s">
        <v>58</v>
      </c>
      <c r="V312" s="0" t="s">
        <v>55</v>
      </c>
      <c r="W312" s="0" t="s">
        <v>57</v>
      </c>
      <c r="X312" s="0" t="s">
        <v>7355</v>
      </c>
      <c r="AC312" s="0" t="s">
        <v>7629</v>
      </c>
      <c r="AE312" s="0" t="s">
        <v>58</v>
      </c>
      <c r="AG312" s="0" t="s">
        <v>230</v>
      </c>
    </row>
    <row r="313" customFormat="false" ht="15" hidden="false" customHeight="false" outlineLevel="0" collapsed="false">
      <c r="A313" s="0" t="s">
        <v>7336</v>
      </c>
      <c r="B313" s="0" t="s">
        <v>1396</v>
      </c>
      <c r="C313" s="0" t="s">
        <v>1397</v>
      </c>
      <c r="D313" s="0" t="s">
        <v>300</v>
      </c>
      <c r="E313" s="0" t="s">
        <v>1398</v>
      </c>
      <c r="F313" s="0" t="s">
        <v>1340</v>
      </c>
      <c r="G313" s="0" t="s">
        <v>146</v>
      </c>
      <c r="H313" s="0" t="s">
        <v>7630</v>
      </c>
      <c r="I313" s="0" t="s">
        <v>7338</v>
      </c>
      <c r="J313" s="0" t="s">
        <v>1336</v>
      </c>
      <c r="K313" s="0" t="s">
        <v>7339</v>
      </c>
      <c r="L313" s="0" t="s">
        <v>7340</v>
      </c>
      <c r="M313" s="0" t="s">
        <v>7627</v>
      </c>
      <c r="N313" s="0" t="s">
        <v>7342</v>
      </c>
      <c r="O313" s="0" t="s">
        <v>7360</v>
      </c>
      <c r="P313" s="0" t="s">
        <v>229</v>
      </c>
      <c r="Q313" s="0" t="s">
        <v>7354</v>
      </c>
      <c r="R313" s="0" t="s">
        <v>7343</v>
      </c>
      <c r="S313" s="0" t="s">
        <v>7344</v>
      </c>
      <c r="T313" s="0" t="s">
        <v>681</v>
      </c>
      <c r="V313" s="0" t="s">
        <v>34</v>
      </c>
      <c r="W313" s="0" t="s">
        <v>37</v>
      </c>
      <c r="X313" s="0" t="s">
        <v>7355</v>
      </c>
      <c r="Y313" s="0" t="s">
        <v>7346</v>
      </c>
      <c r="Z313" s="0" t="s">
        <v>7370</v>
      </c>
      <c r="AA313" s="0" t="s">
        <v>7628</v>
      </c>
      <c r="AC313" s="0" t="s">
        <v>7629</v>
      </c>
      <c r="AE313" s="0" t="s">
        <v>681</v>
      </c>
      <c r="AG313" s="0" t="s">
        <v>230</v>
      </c>
    </row>
    <row r="314" customFormat="false" ht="15" hidden="false" customHeight="false" outlineLevel="0" collapsed="false">
      <c r="A314" s="0" t="s">
        <v>7336</v>
      </c>
      <c r="B314" s="0" t="s">
        <v>1399</v>
      </c>
      <c r="C314" s="0" t="s">
        <v>1400</v>
      </c>
      <c r="D314" s="0" t="s">
        <v>300</v>
      </c>
      <c r="E314" s="0" t="s">
        <v>1401</v>
      </c>
      <c r="F314" s="0" t="s">
        <v>1335</v>
      </c>
      <c r="G314" s="0" t="s">
        <v>146</v>
      </c>
      <c r="H314" s="0" t="s">
        <v>7626</v>
      </c>
      <c r="I314" s="0" t="s">
        <v>7338</v>
      </c>
      <c r="J314" s="0" t="s">
        <v>1336</v>
      </c>
      <c r="K314" s="0" t="s">
        <v>7339</v>
      </c>
      <c r="L314" s="0" t="s">
        <v>7340</v>
      </c>
      <c r="M314" s="0" t="s">
        <v>7627</v>
      </c>
      <c r="N314" s="0" t="s">
        <v>7342</v>
      </c>
      <c r="O314" s="0" t="s">
        <v>7360</v>
      </c>
      <c r="P314" s="0" t="s">
        <v>229</v>
      </c>
      <c r="Q314" s="0" t="s">
        <v>7354</v>
      </c>
      <c r="R314" s="0" t="s">
        <v>7343</v>
      </c>
      <c r="S314" s="0" t="s">
        <v>7344</v>
      </c>
      <c r="T314" s="0" t="s">
        <v>681</v>
      </c>
      <c r="V314" s="0" t="s">
        <v>34</v>
      </c>
      <c r="W314" s="0" t="s">
        <v>37</v>
      </c>
      <c r="X314" s="0" t="s">
        <v>7355</v>
      </c>
      <c r="Y314" s="0" t="s">
        <v>7346</v>
      </c>
      <c r="Z314" s="0" t="s">
        <v>7370</v>
      </c>
      <c r="AA314" s="0" t="s">
        <v>7628</v>
      </c>
      <c r="AC314" s="0" t="s">
        <v>7629</v>
      </c>
      <c r="AE314" s="0" t="s">
        <v>681</v>
      </c>
      <c r="AG314" s="0" t="s">
        <v>230</v>
      </c>
    </row>
    <row r="315" customFormat="false" ht="15" hidden="false" customHeight="false" outlineLevel="0" collapsed="false">
      <c r="A315" s="0" t="s">
        <v>7336</v>
      </c>
      <c r="B315" s="0" t="s">
        <v>1402</v>
      </c>
      <c r="C315" s="0" t="s">
        <v>1403</v>
      </c>
      <c r="D315" s="0" t="s">
        <v>300</v>
      </c>
      <c r="E315" s="0" t="s">
        <v>1404</v>
      </c>
      <c r="F315" s="0" t="s">
        <v>1340</v>
      </c>
      <c r="G315" s="0" t="s">
        <v>146</v>
      </c>
      <c r="H315" s="0" t="s">
        <v>7630</v>
      </c>
      <c r="I315" s="0" t="s">
        <v>7338</v>
      </c>
      <c r="J315" s="0" t="s">
        <v>1336</v>
      </c>
      <c r="K315" s="0" t="s">
        <v>7339</v>
      </c>
      <c r="L315" s="0" t="s">
        <v>7340</v>
      </c>
      <c r="M315" s="0" t="s">
        <v>7627</v>
      </c>
      <c r="N315" s="0" t="s">
        <v>7342</v>
      </c>
      <c r="O315" s="0" t="s">
        <v>7360</v>
      </c>
      <c r="P315" s="0" t="s">
        <v>229</v>
      </c>
      <c r="Q315" s="0" t="s">
        <v>7354</v>
      </c>
      <c r="R315" s="0" t="s">
        <v>7343</v>
      </c>
      <c r="S315" s="0" t="s">
        <v>7344</v>
      </c>
      <c r="T315" s="0" t="s">
        <v>681</v>
      </c>
      <c r="V315" s="0" t="s">
        <v>34</v>
      </c>
      <c r="W315" s="0" t="s">
        <v>37</v>
      </c>
      <c r="X315" s="0" t="s">
        <v>7355</v>
      </c>
      <c r="Y315" s="0" t="s">
        <v>7346</v>
      </c>
      <c r="Z315" s="0" t="s">
        <v>7370</v>
      </c>
      <c r="AA315" s="0" t="s">
        <v>7628</v>
      </c>
      <c r="AC315" s="0" t="s">
        <v>7629</v>
      </c>
      <c r="AE315" s="0" t="s">
        <v>681</v>
      </c>
      <c r="AG315" s="0" t="s">
        <v>230</v>
      </c>
    </row>
    <row r="316" customFormat="false" ht="15" hidden="false" customHeight="false" outlineLevel="0" collapsed="false">
      <c r="A316" s="0" t="s">
        <v>7336</v>
      </c>
      <c r="B316" s="0" t="s">
        <v>1405</v>
      </c>
      <c r="C316" s="0" t="s">
        <v>1406</v>
      </c>
      <c r="D316" s="0" t="s">
        <v>300</v>
      </c>
      <c r="E316" s="0" t="s">
        <v>1407</v>
      </c>
      <c r="F316" s="0" t="s">
        <v>1335</v>
      </c>
      <c r="G316" s="0" t="s">
        <v>146</v>
      </c>
      <c r="H316" s="0" t="s">
        <v>7626</v>
      </c>
      <c r="I316" s="0" t="s">
        <v>7338</v>
      </c>
      <c r="J316" s="0" t="s">
        <v>1336</v>
      </c>
      <c r="K316" s="0" t="s">
        <v>7339</v>
      </c>
      <c r="L316" s="0" t="s">
        <v>7340</v>
      </c>
      <c r="M316" s="0" t="s">
        <v>7627</v>
      </c>
      <c r="N316" s="0" t="s">
        <v>7342</v>
      </c>
      <c r="O316" s="0" t="s">
        <v>7360</v>
      </c>
      <c r="P316" s="0" t="s">
        <v>229</v>
      </c>
      <c r="Q316" s="0" t="s">
        <v>7354</v>
      </c>
      <c r="R316" s="0" t="s">
        <v>7343</v>
      </c>
      <c r="S316" s="0" t="s">
        <v>7344</v>
      </c>
      <c r="T316" s="0" t="s">
        <v>681</v>
      </c>
      <c r="V316" s="0" t="s">
        <v>34</v>
      </c>
      <c r="W316" s="0" t="s">
        <v>37</v>
      </c>
      <c r="X316" s="0" t="s">
        <v>7355</v>
      </c>
      <c r="Y316" s="0" t="s">
        <v>7346</v>
      </c>
      <c r="Z316" s="0" t="s">
        <v>7370</v>
      </c>
      <c r="AA316" s="0" t="s">
        <v>7628</v>
      </c>
      <c r="AC316" s="0" t="s">
        <v>7629</v>
      </c>
      <c r="AE316" s="0" t="s">
        <v>681</v>
      </c>
      <c r="AG316" s="0" t="s">
        <v>230</v>
      </c>
    </row>
    <row r="317" customFormat="false" ht="15" hidden="false" customHeight="false" outlineLevel="0" collapsed="false">
      <c r="A317" s="0" t="s">
        <v>7336</v>
      </c>
      <c r="B317" s="0" t="s">
        <v>1408</v>
      </c>
      <c r="C317" s="0" t="s">
        <v>1409</v>
      </c>
      <c r="D317" s="0" t="s">
        <v>300</v>
      </c>
      <c r="E317" s="0" t="s">
        <v>1410</v>
      </c>
      <c r="F317" s="0" t="s">
        <v>1340</v>
      </c>
      <c r="G317" s="0" t="s">
        <v>146</v>
      </c>
      <c r="H317" s="0" t="s">
        <v>7630</v>
      </c>
      <c r="I317" s="0" t="s">
        <v>7338</v>
      </c>
      <c r="J317" s="0" t="s">
        <v>1336</v>
      </c>
      <c r="K317" s="0" t="s">
        <v>7339</v>
      </c>
      <c r="L317" s="0" t="s">
        <v>7340</v>
      </c>
      <c r="M317" s="0" t="s">
        <v>7627</v>
      </c>
      <c r="N317" s="0" t="s">
        <v>7342</v>
      </c>
      <c r="O317" s="0" t="s">
        <v>7360</v>
      </c>
      <c r="P317" s="0" t="s">
        <v>229</v>
      </c>
      <c r="Q317" s="0" t="s">
        <v>7354</v>
      </c>
      <c r="R317" s="0" t="s">
        <v>7343</v>
      </c>
      <c r="S317" s="0" t="s">
        <v>7344</v>
      </c>
      <c r="T317" s="0" t="s">
        <v>681</v>
      </c>
      <c r="V317" s="0" t="s">
        <v>34</v>
      </c>
      <c r="W317" s="0" t="s">
        <v>37</v>
      </c>
      <c r="X317" s="0" t="s">
        <v>7355</v>
      </c>
      <c r="Y317" s="0" t="s">
        <v>7346</v>
      </c>
      <c r="Z317" s="0" t="s">
        <v>7370</v>
      </c>
      <c r="AA317" s="0" t="s">
        <v>7628</v>
      </c>
      <c r="AC317" s="0" t="s">
        <v>7629</v>
      </c>
      <c r="AE317" s="0" t="s">
        <v>681</v>
      </c>
      <c r="AG317" s="0" t="s">
        <v>230</v>
      </c>
    </row>
    <row r="318" customFormat="false" ht="15" hidden="false" customHeight="false" outlineLevel="0" collapsed="false">
      <c r="A318" s="0" t="s">
        <v>7336</v>
      </c>
      <c r="B318" s="0" t="s">
        <v>1411</v>
      </c>
      <c r="C318" s="0" t="s">
        <v>1412</v>
      </c>
      <c r="D318" s="0" t="s">
        <v>300</v>
      </c>
      <c r="E318" s="0" t="s">
        <v>1413</v>
      </c>
      <c r="F318" s="0" t="s">
        <v>1335</v>
      </c>
      <c r="G318" s="0" t="s">
        <v>146</v>
      </c>
      <c r="H318" s="0" t="s">
        <v>7626</v>
      </c>
      <c r="I318" s="0" t="s">
        <v>7338</v>
      </c>
      <c r="J318" s="0" t="s">
        <v>1336</v>
      </c>
      <c r="K318" s="0" t="s">
        <v>7339</v>
      </c>
      <c r="L318" s="0" t="s">
        <v>7340</v>
      </c>
      <c r="M318" s="0" t="s">
        <v>7627</v>
      </c>
      <c r="N318" s="0" t="s">
        <v>7342</v>
      </c>
      <c r="O318" s="0" t="s">
        <v>7360</v>
      </c>
      <c r="P318" s="0" t="s">
        <v>229</v>
      </c>
      <c r="Q318" s="0" t="s">
        <v>7354</v>
      </c>
      <c r="R318" s="0" t="s">
        <v>7343</v>
      </c>
      <c r="S318" s="0" t="s">
        <v>7344</v>
      </c>
      <c r="T318" s="0" t="s">
        <v>681</v>
      </c>
      <c r="V318" s="0" t="s">
        <v>34</v>
      </c>
      <c r="W318" s="0" t="s">
        <v>37</v>
      </c>
      <c r="X318" s="0" t="s">
        <v>7355</v>
      </c>
      <c r="Y318" s="0" t="s">
        <v>7346</v>
      </c>
      <c r="Z318" s="0" t="s">
        <v>7370</v>
      </c>
      <c r="AA318" s="0" t="s">
        <v>7628</v>
      </c>
      <c r="AC318" s="0" t="s">
        <v>7629</v>
      </c>
      <c r="AE318" s="0" t="s">
        <v>681</v>
      </c>
      <c r="AG318" s="0" t="s">
        <v>230</v>
      </c>
    </row>
    <row r="319" customFormat="false" ht="15" hidden="false" customHeight="false" outlineLevel="0" collapsed="false">
      <c r="A319" s="0" t="s">
        <v>7336</v>
      </c>
      <c r="B319" s="0" t="s">
        <v>1414</v>
      </c>
      <c r="C319" s="0" t="s">
        <v>1415</v>
      </c>
      <c r="D319" s="0" t="s">
        <v>300</v>
      </c>
      <c r="E319" s="0" t="s">
        <v>1416</v>
      </c>
      <c r="F319" s="0" t="s">
        <v>1340</v>
      </c>
      <c r="G319" s="0" t="s">
        <v>146</v>
      </c>
      <c r="H319" s="0" t="s">
        <v>7630</v>
      </c>
      <c r="I319" s="0" t="s">
        <v>7338</v>
      </c>
      <c r="J319" s="0" t="s">
        <v>1336</v>
      </c>
      <c r="K319" s="0" t="s">
        <v>7339</v>
      </c>
      <c r="L319" s="0" t="s">
        <v>7340</v>
      </c>
      <c r="M319" s="0" t="s">
        <v>7627</v>
      </c>
      <c r="N319" s="0" t="s">
        <v>7342</v>
      </c>
      <c r="O319" s="0" t="s">
        <v>7360</v>
      </c>
      <c r="P319" s="0" t="s">
        <v>229</v>
      </c>
      <c r="Q319" s="0" t="s">
        <v>7354</v>
      </c>
      <c r="R319" s="0" t="s">
        <v>7343</v>
      </c>
      <c r="S319" s="0" t="s">
        <v>7344</v>
      </c>
      <c r="T319" s="0" t="s">
        <v>681</v>
      </c>
      <c r="V319" s="0" t="s">
        <v>34</v>
      </c>
      <c r="W319" s="0" t="s">
        <v>37</v>
      </c>
      <c r="X319" s="0" t="s">
        <v>7355</v>
      </c>
      <c r="Y319" s="0" t="s">
        <v>7346</v>
      </c>
      <c r="Z319" s="0" t="s">
        <v>7370</v>
      </c>
      <c r="AA319" s="0" t="s">
        <v>7628</v>
      </c>
      <c r="AC319" s="0" t="s">
        <v>7629</v>
      </c>
      <c r="AE319" s="0" t="s">
        <v>681</v>
      </c>
      <c r="AG319" s="0" t="s">
        <v>230</v>
      </c>
    </row>
    <row r="320" customFormat="false" ht="15" hidden="false" customHeight="false" outlineLevel="0" collapsed="false">
      <c r="A320" s="0" t="s">
        <v>7336</v>
      </c>
      <c r="B320" s="0" t="s">
        <v>1417</v>
      </c>
      <c r="C320" s="0" t="s">
        <v>1418</v>
      </c>
      <c r="D320" s="0" t="s">
        <v>300</v>
      </c>
      <c r="E320" s="0" t="s">
        <v>1419</v>
      </c>
      <c r="F320" s="0" t="s">
        <v>1420</v>
      </c>
      <c r="G320" s="0" t="s">
        <v>146</v>
      </c>
      <c r="H320" s="0" t="s">
        <v>7634</v>
      </c>
      <c r="I320" s="0" t="s">
        <v>7338</v>
      </c>
      <c r="J320" s="0" t="s">
        <v>1336</v>
      </c>
      <c r="K320" s="0" t="s">
        <v>7339</v>
      </c>
      <c r="L320" s="0" t="s">
        <v>7340</v>
      </c>
      <c r="M320" s="0" t="s">
        <v>7627</v>
      </c>
      <c r="N320" s="0" t="s">
        <v>7342</v>
      </c>
      <c r="O320" s="0" t="s">
        <v>7360</v>
      </c>
      <c r="P320" s="0" t="s">
        <v>229</v>
      </c>
      <c r="Q320" s="0" t="s">
        <v>7354</v>
      </c>
      <c r="R320" s="0" t="s">
        <v>7435</v>
      </c>
      <c r="S320" s="0" t="s">
        <v>7344</v>
      </c>
      <c r="T320" s="0" t="s">
        <v>681</v>
      </c>
      <c r="V320" s="0" t="s">
        <v>1358</v>
      </c>
      <c r="W320" s="0" t="s">
        <v>64</v>
      </c>
      <c r="X320" s="0" t="s">
        <v>7355</v>
      </c>
      <c r="Y320" s="0" t="s">
        <v>7459</v>
      </c>
      <c r="Z320" s="0" t="s">
        <v>7460</v>
      </c>
      <c r="AA320" s="0" t="s">
        <v>7438</v>
      </c>
      <c r="AC320" s="0" t="s">
        <v>7629</v>
      </c>
      <c r="AE320" s="0" t="s">
        <v>681</v>
      </c>
      <c r="AG320" s="0" t="s">
        <v>230</v>
      </c>
    </row>
    <row r="321" customFormat="false" ht="15" hidden="false" customHeight="false" outlineLevel="0" collapsed="false">
      <c r="A321" s="0" t="s">
        <v>7336</v>
      </c>
      <c r="B321" s="0" t="s">
        <v>1421</v>
      </c>
      <c r="C321" s="0" t="s">
        <v>1422</v>
      </c>
      <c r="D321" s="0" t="s">
        <v>300</v>
      </c>
      <c r="E321" s="0" t="s">
        <v>1423</v>
      </c>
      <c r="F321" s="0" t="s">
        <v>1424</v>
      </c>
      <c r="G321" s="0" t="s">
        <v>146</v>
      </c>
      <c r="H321" s="0" t="s">
        <v>7635</v>
      </c>
      <c r="I321" s="0" t="s">
        <v>7338</v>
      </c>
      <c r="J321" s="0" t="s">
        <v>1336</v>
      </c>
      <c r="K321" s="0" t="s">
        <v>7339</v>
      </c>
      <c r="L321" s="0" t="s">
        <v>7340</v>
      </c>
      <c r="M321" s="0" t="s">
        <v>7627</v>
      </c>
      <c r="N321" s="0" t="s">
        <v>7342</v>
      </c>
      <c r="O321" s="0" t="s">
        <v>7360</v>
      </c>
      <c r="P321" s="0" t="s">
        <v>229</v>
      </c>
      <c r="Q321" s="0" t="s">
        <v>7354</v>
      </c>
      <c r="R321" s="0" t="s">
        <v>7435</v>
      </c>
      <c r="S321" s="0" t="s">
        <v>7344</v>
      </c>
      <c r="T321" s="0" t="s">
        <v>681</v>
      </c>
      <c r="V321" s="0" t="s">
        <v>1358</v>
      </c>
      <c r="W321" s="0" t="s">
        <v>64</v>
      </c>
      <c r="X321" s="0" t="s">
        <v>7355</v>
      </c>
      <c r="Y321" s="0" t="s">
        <v>7459</v>
      </c>
      <c r="Z321" s="0" t="s">
        <v>7460</v>
      </c>
      <c r="AA321" s="0" t="s">
        <v>7438</v>
      </c>
      <c r="AC321" s="0" t="s">
        <v>7629</v>
      </c>
      <c r="AE321" s="0" t="s">
        <v>681</v>
      </c>
      <c r="AG321" s="0" t="s">
        <v>230</v>
      </c>
    </row>
    <row r="322" customFormat="false" ht="15" hidden="false" customHeight="false" outlineLevel="0" collapsed="false">
      <c r="A322" s="0" t="s">
        <v>7336</v>
      </c>
      <c r="B322" s="0" t="s">
        <v>1425</v>
      </c>
      <c r="C322" s="0" t="s">
        <v>1426</v>
      </c>
      <c r="D322" s="0" t="s">
        <v>300</v>
      </c>
      <c r="E322" s="0" t="s">
        <v>1427</v>
      </c>
      <c r="F322" s="0" t="s">
        <v>1428</v>
      </c>
      <c r="G322" s="0" t="s">
        <v>146</v>
      </c>
      <c r="H322" s="0" t="s">
        <v>7636</v>
      </c>
      <c r="I322" s="0" t="s">
        <v>7338</v>
      </c>
      <c r="J322" s="0" t="s">
        <v>1336</v>
      </c>
      <c r="K322" s="0" t="s">
        <v>7339</v>
      </c>
      <c r="L322" s="0" t="s">
        <v>7340</v>
      </c>
      <c r="M322" s="0" t="s">
        <v>7627</v>
      </c>
      <c r="N322" s="0" t="s">
        <v>7342</v>
      </c>
      <c r="O322" s="0" t="s">
        <v>7360</v>
      </c>
      <c r="P322" s="0" t="s">
        <v>229</v>
      </c>
      <c r="Q322" s="0" t="s">
        <v>7354</v>
      </c>
      <c r="R322" s="0" t="s">
        <v>7435</v>
      </c>
      <c r="S322" s="0" t="s">
        <v>7344</v>
      </c>
      <c r="T322" s="0" t="s">
        <v>681</v>
      </c>
      <c r="V322" s="0" t="s">
        <v>1358</v>
      </c>
      <c r="W322" s="0" t="s">
        <v>64</v>
      </c>
      <c r="X322" s="0" t="s">
        <v>7355</v>
      </c>
      <c r="Y322" s="0" t="s">
        <v>7459</v>
      </c>
      <c r="Z322" s="0" t="s">
        <v>7460</v>
      </c>
      <c r="AA322" s="0" t="s">
        <v>7438</v>
      </c>
      <c r="AC322" s="0" t="s">
        <v>7629</v>
      </c>
      <c r="AE322" s="0" t="s">
        <v>681</v>
      </c>
      <c r="AG322" s="0" t="s">
        <v>230</v>
      </c>
    </row>
    <row r="323" customFormat="false" ht="15" hidden="false" customHeight="false" outlineLevel="0" collapsed="false">
      <c r="A323" s="0" t="s">
        <v>7336</v>
      </c>
      <c r="B323" s="0" t="s">
        <v>1429</v>
      </c>
      <c r="C323" s="0" t="s">
        <v>1430</v>
      </c>
      <c r="D323" s="0" t="s">
        <v>300</v>
      </c>
      <c r="E323" s="0" t="s">
        <v>1431</v>
      </c>
      <c r="F323" s="0" t="s">
        <v>1432</v>
      </c>
      <c r="G323" s="0" t="s">
        <v>146</v>
      </c>
      <c r="H323" s="0" t="s">
        <v>7637</v>
      </c>
      <c r="I323" s="0" t="s">
        <v>7338</v>
      </c>
      <c r="J323" s="0" t="s">
        <v>1336</v>
      </c>
      <c r="K323" s="0" t="s">
        <v>7339</v>
      </c>
      <c r="L323" s="0" t="s">
        <v>7340</v>
      </c>
      <c r="M323" s="0" t="s">
        <v>7627</v>
      </c>
      <c r="N323" s="0" t="s">
        <v>7342</v>
      </c>
      <c r="O323" s="0" t="s">
        <v>7360</v>
      </c>
      <c r="P323" s="0" t="s">
        <v>229</v>
      </c>
      <c r="Q323" s="0" t="s">
        <v>7354</v>
      </c>
      <c r="R323" s="0" t="s">
        <v>7435</v>
      </c>
      <c r="S323" s="0" t="s">
        <v>7344</v>
      </c>
      <c r="T323" s="0" t="s">
        <v>681</v>
      </c>
      <c r="V323" s="0" t="s">
        <v>1358</v>
      </c>
      <c r="W323" s="0" t="s">
        <v>64</v>
      </c>
      <c r="X323" s="0" t="s">
        <v>7355</v>
      </c>
      <c r="Y323" s="0" t="s">
        <v>7459</v>
      </c>
      <c r="Z323" s="0" t="s">
        <v>7460</v>
      </c>
      <c r="AA323" s="0" t="s">
        <v>7438</v>
      </c>
      <c r="AC323" s="0" t="s">
        <v>7629</v>
      </c>
      <c r="AE323" s="0" t="s">
        <v>681</v>
      </c>
      <c r="AG323" s="0" t="s">
        <v>230</v>
      </c>
    </row>
    <row r="324" customFormat="false" ht="15" hidden="false" customHeight="false" outlineLevel="0" collapsed="false">
      <c r="A324" s="0" t="s">
        <v>7336</v>
      </c>
      <c r="B324" s="0" t="s">
        <v>1433</v>
      </c>
      <c r="C324" s="0" t="s">
        <v>1434</v>
      </c>
      <c r="D324" s="0" t="s">
        <v>300</v>
      </c>
      <c r="E324" s="0" t="s">
        <v>1435</v>
      </c>
      <c r="F324" s="0" t="s">
        <v>1436</v>
      </c>
      <c r="G324" s="0" t="s">
        <v>146</v>
      </c>
      <c r="H324" s="0" t="s">
        <v>7638</v>
      </c>
      <c r="I324" s="0" t="s">
        <v>7338</v>
      </c>
      <c r="J324" s="0" t="s">
        <v>1336</v>
      </c>
      <c r="K324" s="0" t="s">
        <v>7339</v>
      </c>
      <c r="L324" s="0" t="s">
        <v>7340</v>
      </c>
      <c r="M324" s="0" t="s">
        <v>7627</v>
      </c>
      <c r="N324" s="0" t="s">
        <v>7342</v>
      </c>
      <c r="O324" s="0" t="s">
        <v>7360</v>
      </c>
      <c r="P324" s="0" t="s">
        <v>229</v>
      </c>
      <c r="Q324" s="0" t="s">
        <v>7354</v>
      </c>
      <c r="R324" s="0" t="s">
        <v>7435</v>
      </c>
      <c r="S324" s="0" t="s">
        <v>7344</v>
      </c>
      <c r="T324" s="0" t="s">
        <v>681</v>
      </c>
      <c r="V324" s="0" t="s">
        <v>1358</v>
      </c>
      <c r="W324" s="0" t="s">
        <v>64</v>
      </c>
      <c r="X324" s="0" t="s">
        <v>7355</v>
      </c>
      <c r="Y324" s="0" t="s">
        <v>7459</v>
      </c>
      <c r="Z324" s="0" t="s">
        <v>7460</v>
      </c>
      <c r="AA324" s="0" t="s">
        <v>7438</v>
      </c>
      <c r="AC324" s="0" t="s">
        <v>7629</v>
      </c>
      <c r="AE324" s="0" t="s">
        <v>681</v>
      </c>
      <c r="AG324" s="0" t="s">
        <v>230</v>
      </c>
    </row>
    <row r="325" customFormat="false" ht="15" hidden="false" customHeight="false" outlineLevel="0" collapsed="false">
      <c r="A325" s="0" t="s">
        <v>7336</v>
      </c>
      <c r="B325" s="0" t="s">
        <v>1437</v>
      </c>
      <c r="C325" s="0" t="s">
        <v>1438</v>
      </c>
      <c r="D325" s="0" t="s">
        <v>300</v>
      </c>
      <c r="E325" s="0" t="s">
        <v>1439</v>
      </c>
      <c r="F325" s="0" t="s">
        <v>1440</v>
      </c>
      <c r="G325" s="0" t="s">
        <v>146</v>
      </c>
      <c r="H325" s="0" t="s">
        <v>7639</v>
      </c>
      <c r="I325" s="0" t="s">
        <v>7338</v>
      </c>
      <c r="J325" s="0" t="s">
        <v>1336</v>
      </c>
      <c r="K325" s="0" t="s">
        <v>7339</v>
      </c>
      <c r="L325" s="0" t="s">
        <v>7340</v>
      </c>
      <c r="M325" s="0" t="s">
        <v>7627</v>
      </c>
      <c r="N325" s="0" t="s">
        <v>7342</v>
      </c>
      <c r="O325" s="0" t="s">
        <v>7360</v>
      </c>
      <c r="P325" s="0" t="s">
        <v>229</v>
      </c>
      <c r="Q325" s="0" t="s">
        <v>7354</v>
      </c>
      <c r="R325" s="0" t="s">
        <v>7435</v>
      </c>
      <c r="S325" s="0" t="s">
        <v>7344</v>
      </c>
      <c r="T325" s="0" t="s">
        <v>681</v>
      </c>
      <c r="V325" s="0" t="s">
        <v>1358</v>
      </c>
      <c r="W325" s="0" t="s">
        <v>64</v>
      </c>
      <c r="X325" s="0" t="s">
        <v>7355</v>
      </c>
      <c r="Y325" s="0" t="s">
        <v>7459</v>
      </c>
      <c r="Z325" s="0" t="s">
        <v>7460</v>
      </c>
      <c r="AA325" s="0" t="s">
        <v>7438</v>
      </c>
      <c r="AC325" s="0" t="s">
        <v>7629</v>
      </c>
      <c r="AE325" s="0" t="s">
        <v>681</v>
      </c>
      <c r="AG325" s="0" t="s">
        <v>230</v>
      </c>
    </row>
    <row r="326" customFormat="false" ht="15" hidden="false" customHeight="false" outlineLevel="0" collapsed="false">
      <c r="A326" s="0" t="s">
        <v>7336</v>
      </c>
      <c r="B326" s="0" t="s">
        <v>1441</v>
      </c>
      <c r="C326" s="0" t="s">
        <v>1442</v>
      </c>
      <c r="D326" s="0" t="s">
        <v>300</v>
      </c>
      <c r="E326" s="0" t="s">
        <v>1443</v>
      </c>
      <c r="F326" s="0" t="s">
        <v>1444</v>
      </c>
      <c r="G326" s="0" t="s">
        <v>146</v>
      </c>
      <c r="H326" s="0" t="s">
        <v>7640</v>
      </c>
      <c r="I326" s="0" t="s">
        <v>7338</v>
      </c>
      <c r="J326" s="0" t="s">
        <v>1336</v>
      </c>
      <c r="K326" s="0" t="s">
        <v>7339</v>
      </c>
      <c r="L326" s="0" t="s">
        <v>7340</v>
      </c>
      <c r="M326" s="0" t="s">
        <v>7627</v>
      </c>
      <c r="N326" s="0" t="s">
        <v>7342</v>
      </c>
      <c r="O326" s="0" t="s">
        <v>7360</v>
      </c>
      <c r="P326" s="0" t="s">
        <v>229</v>
      </c>
      <c r="Q326" s="0" t="s">
        <v>7354</v>
      </c>
      <c r="R326" s="0" t="s">
        <v>7435</v>
      </c>
      <c r="S326" s="0" t="s">
        <v>7344</v>
      </c>
      <c r="T326" s="0" t="s">
        <v>681</v>
      </c>
      <c r="V326" s="0" t="s">
        <v>1358</v>
      </c>
      <c r="W326" s="0" t="s">
        <v>64</v>
      </c>
      <c r="X326" s="0" t="s">
        <v>7355</v>
      </c>
      <c r="Y326" s="0" t="s">
        <v>7459</v>
      </c>
      <c r="Z326" s="0" t="s">
        <v>7460</v>
      </c>
      <c r="AA326" s="0" t="s">
        <v>7438</v>
      </c>
      <c r="AC326" s="0" t="s">
        <v>7629</v>
      </c>
      <c r="AE326" s="0" t="s">
        <v>681</v>
      </c>
      <c r="AG326" s="0" t="s">
        <v>230</v>
      </c>
    </row>
    <row r="327" customFormat="false" ht="15" hidden="false" customHeight="false" outlineLevel="0" collapsed="false">
      <c r="A327" s="0" t="s">
        <v>7336</v>
      </c>
      <c r="B327" s="0" t="s">
        <v>1445</v>
      </c>
      <c r="C327" s="0" t="s">
        <v>1446</v>
      </c>
      <c r="D327" s="0" t="s">
        <v>300</v>
      </c>
      <c r="E327" s="0" t="s">
        <v>1447</v>
      </c>
      <c r="F327" s="0" t="s">
        <v>1448</v>
      </c>
      <c r="G327" s="0" t="s">
        <v>146</v>
      </c>
      <c r="H327" s="0" t="s">
        <v>7641</v>
      </c>
      <c r="I327" s="0" t="s">
        <v>7338</v>
      </c>
      <c r="J327" s="0" t="s">
        <v>1336</v>
      </c>
      <c r="K327" s="0" t="s">
        <v>7339</v>
      </c>
      <c r="L327" s="0" t="s">
        <v>7340</v>
      </c>
      <c r="M327" s="0" t="s">
        <v>7627</v>
      </c>
      <c r="N327" s="0" t="s">
        <v>7342</v>
      </c>
      <c r="O327" s="0" t="s">
        <v>7360</v>
      </c>
      <c r="P327" s="0" t="s">
        <v>229</v>
      </c>
      <c r="Q327" s="0" t="s">
        <v>7354</v>
      </c>
      <c r="R327" s="0" t="s">
        <v>7435</v>
      </c>
      <c r="S327" s="0" t="s">
        <v>7344</v>
      </c>
      <c r="T327" s="0" t="s">
        <v>681</v>
      </c>
      <c r="V327" s="0" t="s">
        <v>1358</v>
      </c>
      <c r="W327" s="0" t="s">
        <v>64</v>
      </c>
      <c r="X327" s="0" t="s">
        <v>7355</v>
      </c>
      <c r="Y327" s="0" t="s">
        <v>7459</v>
      </c>
      <c r="Z327" s="0" t="s">
        <v>7460</v>
      </c>
      <c r="AA327" s="0" t="s">
        <v>7438</v>
      </c>
      <c r="AC327" s="0" t="s">
        <v>7629</v>
      </c>
      <c r="AE327" s="0" t="s">
        <v>681</v>
      </c>
      <c r="AG327" s="0" t="s">
        <v>230</v>
      </c>
    </row>
    <row r="328" customFormat="false" ht="15" hidden="false" customHeight="false" outlineLevel="0" collapsed="false">
      <c r="A328" s="0" t="s">
        <v>7336</v>
      </c>
      <c r="B328" s="0" t="s">
        <v>1449</v>
      </c>
      <c r="C328" s="0" t="s">
        <v>1450</v>
      </c>
      <c r="D328" s="0" t="s">
        <v>300</v>
      </c>
      <c r="E328" s="0" t="s">
        <v>1451</v>
      </c>
      <c r="F328" s="0" t="s">
        <v>1452</v>
      </c>
      <c r="G328" s="0" t="s">
        <v>146</v>
      </c>
      <c r="H328" s="0" t="s">
        <v>7642</v>
      </c>
      <c r="I328" s="0" t="s">
        <v>7338</v>
      </c>
      <c r="J328" s="0" t="s">
        <v>1336</v>
      </c>
      <c r="K328" s="0" t="s">
        <v>7339</v>
      </c>
      <c r="L328" s="0" t="s">
        <v>7340</v>
      </c>
      <c r="M328" s="0" t="s">
        <v>7627</v>
      </c>
      <c r="N328" s="0" t="s">
        <v>7342</v>
      </c>
      <c r="O328" s="0" t="s">
        <v>7360</v>
      </c>
      <c r="P328" s="0" t="s">
        <v>229</v>
      </c>
      <c r="Q328" s="0" t="s">
        <v>7354</v>
      </c>
      <c r="R328" s="0" t="s">
        <v>7435</v>
      </c>
      <c r="S328" s="0" t="s">
        <v>7344</v>
      </c>
      <c r="T328" s="0" t="s">
        <v>681</v>
      </c>
      <c r="V328" s="0" t="s">
        <v>1358</v>
      </c>
      <c r="W328" s="0" t="s">
        <v>64</v>
      </c>
      <c r="X328" s="0" t="s">
        <v>7355</v>
      </c>
      <c r="Y328" s="0" t="s">
        <v>7459</v>
      </c>
      <c r="Z328" s="0" t="s">
        <v>7460</v>
      </c>
      <c r="AA328" s="0" t="s">
        <v>7438</v>
      </c>
      <c r="AC328" s="0" t="s">
        <v>7629</v>
      </c>
      <c r="AE328" s="0" t="s">
        <v>681</v>
      </c>
      <c r="AG328" s="0" t="s">
        <v>230</v>
      </c>
    </row>
    <row r="329" customFormat="false" ht="15" hidden="false" customHeight="false" outlineLevel="0" collapsed="false">
      <c r="A329" s="0" t="s">
        <v>7336</v>
      </c>
      <c r="B329" s="0" t="s">
        <v>1453</v>
      </c>
      <c r="C329" s="0" t="s">
        <v>1454</v>
      </c>
      <c r="D329" s="0" t="s">
        <v>300</v>
      </c>
      <c r="E329" s="0" t="s">
        <v>1455</v>
      </c>
      <c r="F329" s="0" t="s">
        <v>1456</v>
      </c>
      <c r="G329" s="0" t="s">
        <v>146</v>
      </c>
      <c r="H329" s="0" t="s">
        <v>7643</v>
      </c>
      <c r="I329" s="0" t="s">
        <v>7338</v>
      </c>
      <c r="J329" s="0" t="s">
        <v>1336</v>
      </c>
      <c r="K329" s="0" t="s">
        <v>7339</v>
      </c>
      <c r="L329" s="0" t="s">
        <v>7340</v>
      </c>
      <c r="M329" s="0" t="s">
        <v>7627</v>
      </c>
      <c r="N329" s="0" t="s">
        <v>7342</v>
      </c>
      <c r="O329" s="0" t="s">
        <v>7360</v>
      </c>
      <c r="P329" s="0" t="s">
        <v>229</v>
      </c>
      <c r="Q329" s="0" t="s">
        <v>7354</v>
      </c>
      <c r="R329" s="0" t="s">
        <v>7435</v>
      </c>
      <c r="S329" s="0" t="s">
        <v>7344</v>
      </c>
      <c r="T329" s="0" t="s">
        <v>681</v>
      </c>
      <c r="V329" s="0" t="s">
        <v>1358</v>
      </c>
      <c r="W329" s="0" t="s">
        <v>64</v>
      </c>
      <c r="X329" s="0" t="s">
        <v>7355</v>
      </c>
      <c r="Y329" s="0" t="s">
        <v>7459</v>
      </c>
      <c r="Z329" s="0" t="s">
        <v>7460</v>
      </c>
      <c r="AA329" s="0" t="s">
        <v>7438</v>
      </c>
      <c r="AC329" s="0" t="s">
        <v>7629</v>
      </c>
      <c r="AE329" s="0" t="s">
        <v>681</v>
      </c>
      <c r="AG329" s="0" t="s">
        <v>230</v>
      </c>
    </row>
    <row r="330" customFormat="false" ht="15" hidden="false" customHeight="false" outlineLevel="0" collapsed="false">
      <c r="A330" s="0" t="s">
        <v>7336</v>
      </c>
      <c r="B330" s="0" t="s">
        <v>1457</v>
      </c>
      <c r="C330" s="0" t="s">
        <v>1458</v>
      </c>
      <c r="D330" s="0" t="s">
        <v>300</v>
      </c>
      <c r="E330" s="0" t="s">
        <v>1459</v>
      </c>
      <c r="F330" s="0" t="s">
        <v>1460</v>
      </c>
      <c r="G330" s="0" t="s">
        <v>146</v>
      </c>
      <c r="H330" s="0" t="s">
        <v>7644</v>
      </c>
      <c r="I330" s="0" t="s">
        <v>7338</v>
      </c>
      <c r="J330" s="0" t="s">
        <v>1336</v>
      </c>
      <c r="K330" s="0" t="s">
        <v>7339</v>
      </c>
      <c r="L330" s="0" t="s">
        <v>7340</v>
      </c>
      <c r="M330" s="0" t="s">
        <v>7627</v>
      </c>
      <c r="N330" s="0" t="s">
        <v>7342</v>
      </c>
      <c r="O330" s="0" t="s">
        <v>7360</v>
      </c>
      <c r="P330" s="0" t="s">
        <v>229</v>
      </c>
      <c r="Q330" s="0" t="s">
        <v>7354</v>
      </c>
      <c r="S330" s="0" t="s">
        <v>7344</v>
      </c>
      <c r="T330" s="0" t="s">
        <v>58</v>
      </c>
      <c r="V330" s="0" t="s">
        <v>55</v>
      </c>
      <c r="W330" s="0" t="s">
        <v>57</v>
      </c>
      <c r="X330" s="0" t="s">
        <v>7355</v>
      </c>
      <c r="AC330" s="0" t="s">
        <v>7629</v>
      </c>
      <c r="AE330" s="0" t="s">
        <v>58</v>
      </c>
      <c r="AG330" s="0" t="s">
        <v>230</v>
      </c>
    </row>
    <row r="331" customFormat="false" ht="15" hidden="false" customHeight="false" outlineLevel="0" collapsed="false">
      <c r="A331" s="0" t="s">
        <v>7336</v>
      </c>
      <c r="B331" s="0" t="s">
        <v>1461</v>
      </c>
      <c r="C331" s="0" t="s">
        <v>1462</v>
      </c>
      <c r="D331" s="0" t="s">
        <v>300</v>
      </c>
      <c r="E331" s="0" t="s">
        <v>1463</v>
      </c>
      <c r="F331" s="0" t="s">
        <v>1460</v>
      </c>
      <c r="G331" s="0" t="s">
        <v>146</v>
      </c>
      <c r="H331" s="0" t="s">
        <v>7644</v>
      </c>
      <c r="I331" s="0" t="s">
        <v>7338</v>
      </c>
      <c r="J331" s="0" t="s">
        <v>1336</v>
      </c>
      <c r="K331" s="0" t="s">
        <v>7339</v>
      </c>
      <c r="L331" s="0" t="s">
        <v>7340</v>
      </c>
      <c r="M331" s="0" t="s">
        <v>7627</v>
      </c>
      <c r="N331" s="0" t="s">
        <v>7342</v>
      </c>
      <c r="O331" s="0" t="s">
        <v>7360</v>
      </c>
      <c r="P331" s="0" t="s">
        <v>229</v>
      </c>
      <c r="Q331" s="0" t="s">
        <v>7354</v>
      </c>
      <c r="R331" s="0" t="s">
        <v>7435</v>
      </c>
      <c r="S331" s="0" t="s">
        <v>7344</v>
      </c>
      <c r="T331" s="0" t="s">
        <v>681</v>
      </c>
      <c r="V331" s="0" t="s">
        <v>1358</v>
      </c>
      <c r="W331" s="0" t="s">
        <v>64</v>
      </c>
      <c r="X331" s="0" t="s">
        <v>7355</v>
      </c>
      <c r="Y331" s="0" t="s">
        <v>7459</v>
      </c>
      <c r="Z331" s="0" t="s">
        <v>7460</v>
      </c>
      <c r="AA331" s="0" t="s">
        <v>7438</v>
      </c>
      <c r="AC331" s="0" t="s">
        <v>7629</v>
      </c>
      <c r="AE331" s="0" t="s">
        <v>681</v>
      </c>
      <c r="AG331" s="0" t="s">
        <v>230</v>
      </c>
    </row>
    <row r="332" customFormat="false" ht="15" hidden="false" customHeight="false" outlineLevel="0" collapsed="false">
      <c r="A332" s="0" t="s">
        <v>7336</v>
      </c>
      <c r="B332" s="0" t="s">
        <v>1464</v>
      </c>
      <c r="C332" s="0" t="s">
        <v>1465</v>
      </c>
      <c r="D332" s="0" t="s">
        <v>300</v>
      </c>
      <c r="E332" s="0" t="s">
        <v>1466</v>
      </c>
      <c r="F332" s="0" t="s">
        <v>1467</v>
      </c>
      <c r="G332" s="0" t="s">
        <v>146</v>
      </c>
      <c r="H332" s="0" t="s">
        <v>7645</v>
      </c>
      <c r="I332" s="0" t="s">
        <v>7338</v>
      </c>
      <c r="J332" s="0" t="s">
        <v>1336</v>
      </c>
      <c r="K332" s="0" t="s">
        <v>7339</v>
      </c>
      <c r="L332" s="0" t="s">
        <v>7340</v>
      </c>
      <c r="M332" s="0" t="s">
        <v>7627</v>
      </c>
      <c r="N332" s="0" t="s">
        <v>7342</v>
      </c>
      <c r="O332" s="0" t="s">
        <v>7360</v>
      </c>
      <c r="P332" s="0" t="s">
        <v>229</v>
      </c>
      <c r="Q332" s="0" t="s">
        <v>7354</v>
      </c>
      <c r="S332" s="0" t="s">
        <v>7344</v>
      </c>
      <c r="T332" s="0" t="s">
        <v>58</v>
      </c>
      <c r="V332" s="0" t="s">
        <v>55</v>
      </c>
      <c r="W332" s="0" t="s">
        <v>57</v>
      </c>
      <c r="X332" s="0" t="s">
        <v>7355</v>
      </c>
      <c r="AC332" s="0" t="s">
        <v>7629</v>
      </c>
      <c r="AE332" s="0" t="s">
        <v>58</v>
      </c>
      <c r="AG332" s="0" t="s">
        <v>230</v>
      </c>
    </row>
    <row r="333" customFormat="false" ht="15" hidden="false" customHeight="false" outlineLevel="0" collapsed="false">
      <c r="A333" s="0" t="s">
        <v>7336</v>
      </c>
      <c r="B333" s="0" t="s">
        <v>1468</v>
      </c>
      <c r="C333" s="0" t="s">
        <v>1469</v>
      </c>
      <c r="D333" s="0" t="s">
        <v>300</v>
      </c>
      <c r="E333" s="0" t="s">
        <v>1470</v>
      </c>
      <c r="F333" s="0" t="s">
        <v>1467</v>
      </c>
      <c r="G333" s="0" t="s">
        <v>146</v>
      </c>
      <c r="H333" s="0" t="s">
        <v>7645</v>
      </c>
      <c r="I333" s="0" t="s">
        <v>7338</v>
      </c>
      <c r="J333" s="0" t="s">
        <v>1336</v>
      </c>
      <c r="K333" s="0" t="s">
        <v>7339</v>
      </c>
      <c r="L333" s="0" t="s">
        <v>7340</v>
      </c>
      <c r="M333" s="0" t="s">
        <v>7627</v>
      </c>
      <c r="N333" s="0" t="s">
        <v>7342</v>
      </c>
      <c r="O333" s="0" t="s">
        <v>7360</v>
      </c>
      <c r="P333" s="0" t="s">
        <v>229</v>
      </c>
      <c r="Q333" s="0" t="s">
        <v>7354</v>
      </c>
      <c r="R333" s="0" t="s">
        <v>7435</v>
      </c>
      <c r="S333" s="0" t="s">
        <v>7344</v>
      </c>
      <c r="T333" s="0" t="s">
        <v>681</v>
      </c>
      <c r="V333" s="0" t="s">
        <v>1358</v>
      </c>
      <c r="W333" s="0" t="s">
        <v>64</v>
      </c>
      <c r="X333" s="0" t="s">
        <v>7355</v>
      </c>
      <c r="Y333" s="0" t="s">
        <v>7459</v>
      </c>
      <c r="Z333" s="0" t="s">
        <v>7460</v>
      </c>
      <c r="AA333" s="0" t="s">
        <v>7438</v>
      </c>
      <c r="AC333" s="0" t="s">
        <v>7629</v>
      </c>
      <c r="AE333" s="0" t="s">
        <v>681</v>
      </c>
      <c r="AG333" s="0" t="s">
        <v>230</v>
      </c>
    </row>
    <row r="334" customFormat="false" ht="15" hidden="false" customHeight="false" outlineLevel="0" collapsed="false">
      <c r="A334" s="0" t="s">
        <v>7336</v>
      </c>
      <c r="B334" s="0" t="s">
        <v>1471</v>
      </c>
      <c r="C334" s="0" t="s">
        <v>1472</v>
      </c>
      <c r="D334" s="0" t="s">
        <v>300</v>
      </c>
      <c r="E334" s="0" t="s">
        <v>1473</v>
      </c>
      <c r="F334" s="0" t="s">
        <v>1474</v>
      </c>
      <c r="G334" s="0" t="s">
        <v>144</v>
      </c>
      <c r="H334" s="0" t="s">
        <v>7646</v>
      </c>
      <c r="I334" s="0" t="s">
        <v>7338</v>
      </c>
      <c r="J334" s="0" t="s">
        <v>1336</v>
      </c>
      <c r="K334" s="0" t="s">
        <v>7339</v>
      </c>
      <c r="L334" s="0" t="s">
        <v>7340</v>
      </c>
      <c r="M334" s="0" t="s">
        <v>7627</v>
      </c>
      <c r="N334" s="0" t="s">
        <v>7342</v>
      </c>
      <c r="O334" s="0" t="s">
        <v>7360</v>
      </c>
      <c r="P334" s="0" t="s">
        <v>229</v>
      </c>
      <c r="Q334" s="0" t="s">
        <v>7354</v>
      </c>
      <c r="R334" s="0" t="s">
        <v>7343</v>
      </c>
      <c r="S334" s="0" t="s">
        <v>7344</v>
      </c>
      <c r="T334" s="0" t="s">
        <v>681</v>
      </c>
      <c r="V334" s="0" t="s">
        <v>34</v>
      </c>
      <c r="W334" s="0" t="s">
        <v>37</v>
      </c>
      <c r="X334" s="0" t="s">
        <v>7355</v>
      </c>
      <c r="Y334" s="0" t="s">
        <v>7346</v>
      </c>
      <c r="Z334" s="0" t="s">
        <v>7370</v>
      </c>
      <c r="AA334" s="0" t="s">
        <v>7631</v>
      </c>
      <c r="AC334" s="0" t="s">
        <v>7629</v>
      </c>
      <c r="AE334" s="0" t="s">
        <v>681</v>
      </c>
      <c r="AG334" s="0" t="s">
        <v>230</v>
      </c>
    </row>
    <row r="335" customFormat="false" ht="15" hidden="false" customHeight="false" outlineLevel="0" collapsed="false">
      <c r="A335" s="0" t="s">
        <v>7336</v>
      </c>
      <c r="B335" s="0" t="s">
        <v>1475</v>
      </c>
      <c r="C335" s="0" t="s">
        <v>1476</v>
      </c>
      <c r="D335" s="0" t="s">
        <v>300</v>
      </c>
      <c r="E335" s="0" t="s">
        <v>1473</v>
      </c>
      <c r="F335" s="0" t="s">
        <v>1474</v>
      </c>
      <c r="G335" s="0" t="s">
        <v>144</v>
      </c>
      <c r="H335" s="0" t="s">
        <v>7646</v>
      </c>
      <c r="I335" s="0" t="s">
        <v>7338</v>
      </c>
      <c r="J335" s="0" t="s">
        <v>1336</v>
      </c>
      <c r="K335" s="0" t="s">
        <v>7339</v>
      </c>
      <c r="L335" s="0" t="s">
        <v>7340</v>
      </c>
      <c r="M335" s="0" t="s">
        <v>7627</v>
      </c>
      <c r="N335" s="0" t="s">
        <v>7342</v>
      </c>
      <c r="O335" s="0" t="s">
        <v>7360</v>
      </c>
      <c r="P335" s="0" t="s">
        <v>229</v>
      </c>
      <c r="Q335" s="0" t="s">
        <v>7354</v>
      </c>
      <c r="R335" s="0" t="s">
        <v>7343</v>
      </c>
      <c r="S335" s="0" t="s">
        <v>7344</v>
      </c>
      <c r="T335" s="0" t="s">
        <v>681</v>
      </c>
      <c r="V335" s="0" t="s">
        <v>34</v>
      </c>
      <c r="W335" s="0" t="s">
        <v>43</v>
      </c>
      <c r="X335" s="0" t="s">
        <v>7355</v>
      </c>
      <c r="Y335" s="0" t="s">
        <v>7346</v>
      </c>
      <c r="Z335" s="0" t="s">
        <v>7410</v>
      </c>
      <c r="AA335" s="0" t="s">
        <v>7628</v>
      </c>
      <c r="AC335" s="0" t="s">
        <v>7629</v>
      </c>
      <c r="AE335" s="0" t="s">
        <v>681</v>
      </c>
      <c r="AG335" s="0" t="s">
        <v>230</v>
      </c>
    </row>
    <row r="336" customFormat="false" ht="15" hidden="false" customHeight="false" outlineLevel="0" collapsed="false">
      <c r="A336" s="0" t="s">
        <v>7336</v>
      </c>
      <c r="B336" s="0" t="s">
        <v>1477</v>
      </c>
      <c r="C336" s="0" t="s">
        <v>1478</v>
      </c>
      <c r="D336" s="0" t="s">
        <v>300</v>
      </c>
      <c r="E336" s="0" t="s">
        <v>1473</v>
      </c>
      <c r="F336" s="0" t="s">
        <v>1474</v>
      </c>
      <c r="G336" s="0" t="s">
        <v>144</v>
      </c>
      <c r="H336" s="0" t="s">
        <v>7646</v>
      </c>
      <c r="I336" s="0" t="s">
        <v>7338</v>
      </c>
      <c r="J336" s="0" t="s">
        <v>1336</v>
      </c>
      <c r="K336" s="0" t="s">
        <v>7339</v>
      </c>
      <c r="L336" s="0" t="s">
        <v>7340</v>
      </c>
      <c r="M336" s="0" t="s">
        <v>7627</v>
      </c>
      <c r="N336" s="0" t="s">
        <v>7342</v>
      </c>
      <c r="O336" s="0" t="s">
        <v>7360</v>
      </c>
      <c r="P336" s="0" t="s">
        <v>229</v>
      </c>
      <c r="Q336" s="0" t="s">
        <v>7354</v>
      </c>
      <c r="S336" s="0" t="s">
        <v>7344</v>
      </c>
      <c r="T336" s="0" t="s">
        <v>58</v>
      </c>
      <c r="V336" s="0" t="s">
        <v>55</v>
      </c>
      <c r="W336" s="0" t="s">
        <v>57</v>
      </c>
      <c r="X336" s="0" t="s">
        <v>7355</v>
      </c>
      <c r="AC336" s="0" t="s">
        <v>7629</v>
      </c>
      <c r="AE336" s="0" t="s">
        <v>58</v>
      </c>
      <c r="AG336" s="0" t="s">
        <v>230</v>
      </c>
    </row>
    <row r="337" customFormat="false" ht="15" hidden="false" customHeight="false" outlineLevel="0" collapsed="false">
      <c r="A337" s="0" t="s">
        <v>7336</v>
      </c>
      <c r="B337" s="0" t="s">
        <v>1479</v>
      </c>
      <c r="C337" s="0" t="s">
        <v>1480</v>
      </c>
      <c r="D337" s="0" t="s">
        <v>300</v>
      </c>
      <c r="E337" s="0" t="s">
        <v>1473</v>
      </c>
      <c r="F337" s="0" t="s">
        <v>1474</v>
      </c>
      <c r="G337" s="0" t="s">
        <v>144</v>
      </c>
      <c r="H337" s="0" t="s">
        <v>7646</v>
      </c>
      <c r="I337" s="0" t="s">
        <v>7338</v>
      </c>
      <c r="J337" s="0" t="s">
        <v>1336</v>
      </c>
      <c r="K337" s="0" t="s">
        <v>7339</v>
      </c>
      <c r="L337" s="0" t="s">
        <v>7340</v>
      </c>
      <c r="M337" s="0" t="s">
        <v>7627</v>
      </c>
      <c r="N337" s="0" t="s">
        <v>7342</v>
      </c>
      <c r="O337" s="0" t="s">
        <v>7360</v>
      </c>
      <c r="P337" s="0" t="s">
        <v>229</v>
      </c>
      <c r="Q337" s="0" t="s">
        <v>7354</v>
      </c>
      <c r="S337" s="0" t="s">
        <v>7344</v>
      </c>
      <c r="T337" s="0" t="s">
        <v>681</v>
      </c>
      <c r="V337" s="0" t="s">
        <v>34</v>
      </c>
      <c r="W337" s="0" t="s">
        <v>1341</v>
      </c>
      <c r="X337" s="0" t="s">
        <v>7355</v>
      </c>
      <c r="Y337" s="0" t="s">
        <v>7495</v>
      </c>
      <c r="Z337" s="0" t="s">
        <v>7496</v>
      </c>
      <c r="AA337" s="0" t="s">
        <v>7631</v>
      </c>
      <c r="AC337" s="0" t="s">
        <v>7629</v>
      </c>
      <c r="AE337" s="0" t="s">
        <v>681</v>
      </c>
      <c r="AG337" s="0" t="s">
        <v>230</v>
      </c>
    </row>
    <row r="338" customFormat="false" ht="15" hidden="false" customHeight="false" outlineLevel="0" collapsed="false">
      <c r="A338" s="0" t="s">
        <v>7336</v>
      </c>
      <c r="B338" s="0" t="s">
        <v>1481</v>
      </c>
      <c r="C338" s="0" t="s">
        <v>1482</v>
      </c>
      <c r="D338" s="0" t="s">
        <v>300</v>
      </c>
      <c r="E338" s="0" t="s">
        <v>1483</v>
      </c>
      <c r="F338" s="0" t="s">
        <v>1484</v>
      </c>
      <c r="G338" s="0" t="s">
        <v>144</v>
      </c>
      <c r="H338" s="0" t="s">
        <v>7647</v>
      </c>
      <c r="I338" s="0" t="s">
        <v>7338</v>
      </c>
      <c r="J338" s="0" t="s">
        <v>1336</v>
      </c>
      <c r="K338" s="0" t="s">
        <v>7339</v>
      </c>
      <c r="L338" s="0" t="s">
        <v>7340</v>
      </c>
      <c r="M338" s="0" t="s">
        <v>7627</v>
      </c>
      <c r="N338" s="0" t="s">
        <v>7342</v>
      </c>
      <c r="O338" s="0" t="s">
        <v>7360</v>
      </c>
      <c r="P338" s="0" t="s">
        <v>229</v>
      </c>
      <c r="Q338" s="0" t="s">
        <v>7354</v>
      </c>
      <c r="R338" s="0" t="s">
        <v>7343</v>
      </c>
      <c r="S338" s="0" t="s">
        <v>7344</v>
      </c>
      <c r="T338" s="0" t="s">
        <v>681</v>
      </c>
      <c r="V338" s="0" t="s">
        <v>34</v>
      </c>
      <c r="W338" s="0" t="s">
        <v>37</v>
      </c>
      <c r="X338" s="0" t="s">
        <v>7355</v>
      </c>
      <c r="Y338" s="0" t="s">
        <v>7346</v>
      </c>
      <c r="Z338" s="0" t="s">
        <v>7370</v>
      </c>
      <c r="AA338" s="0" t="s">
        <v>7628</v>
      </c>
      <c r="AC338" s="0" t="s">
        <v>7629</v>
      </c>
      <c r="AE338" s="0" t="s">
        <v>681</v>
      </c>
      <c r="AG338" s="0" t="s">
        <v>230</v>
      </c>
    </row>
    <row r="339" customFormat="false" ht="15" hidden="false" customHeight="false" outlineLevel="0" collapsed="false">
      <c r="A339" s="0" t="s">
        <v>7336</v>
      </c>
      <c r="B339" s="0" t="s">
        <v>1485</v>
      </c>
      <c r="C339" s="0" t="s">
        <v>1486</v>
      </c>
      <c r="D339" s="0" t="s">
        <v>300</v>
      </c>
      <c r="E339" s="0" t="s">
        <v>1483</v>
      </c>
      <c r="F339" s="0" t="s">
        <v>1484</v>
      </c>
      <c r="G339" s="0" t="s">
        <v>144</v>
      </c>
      <c r="H339" s="0" t="s">
        <v>7647</v>
      </c>
      <c r="I339" s="0" t="s">
        <v>7338</v>
      </c>
      <c r="J339" s="0" t="s">
        <v>1336</v>
      </c>
      <c r="K339" s="0" t="s">
        <v>7339</v>
      </c>
      <c r="L339" s="0" t="s">
        <v>7340</v>
      </c>
      <c r="M339" s="0" t="s">
        <v>7627</v>
      </c>
      <c r="N339" s="0" t="s">
        <v>7342</v>
      </c>
      <c r="O339" s="0" t="s">
        <v>7360</v>
      </c>
      <c r="P339" s="0" t="s">
        <v>229</v>
      </c>
      <c r="Q339" s="0" t="s">
        <v>7354</v>
      </c>
      <c r="R339" s="0" t="s">
        <v>7343</v>
      </c>
      <c r="S339" s="0" t="s">
        <v>7344</v>
      </c>
      <c r="T339" s="0" t="s">
        <v>681</v>
      </c>
      <c r="V339" s="0" t="s">
        <v>34</v>
      </c>
      <c r="W339" s="0" t="s">
        <v>43</v>
      </c>
      <c r="X339" s="0" t="s">
        <v>7355</v>
      </c>
      <c r="Y339" s="0" t="s">
        <v>7346</v>
      </c>
      <c r="Z339" s="0" t="s">
        <v>7410</v>
      </c>
      <c r="AA339" s="0" t="s">
        <v>7628</v>
      </c>
      <c r="AC339" s="0" t="s">
        <v>7629</v>
      </c>
      <c r="AE339" s="0" t="s">
        <v>681</v>
      </c>
      <c r="AG339" s="0" t="s">
        <v>230</v>
      </c>
    </row>
    <row r="340" customFormat="false" ht="15" hidden="false" customHeight="false" outlineLevel="0" collapsed="false">
      <c r="A340" s="0" t="s">
        <v>7336</v>
      </c>
      <c r="B340" s="0" t="s">
        <v>1487</v>
      </c>
      <c r="C340" s="0" t="s">
        <v>1488</v>
      </c>
      <c r="D340" s="0" t="s">
        <v>300</v>
      </c>
      <c r="E340" s="0" t="s">
        <v>1483</v>
      </c>
      <c r="F340" s="0" t="s">
        <v>1484</v>
      </c>
      <c r="G340" s="0" t="s">
        <v>144</v>
      </c>
      <c r="H340" s="0" t="s">
        <v>7647</v>
      </c>
      <c r="I340" s="0" t="s">
        <v>7338</v>
      </c>
      <c r="J340" s="0" t="s">
        <v>1336</v>
      </c>
      <c r="K340" s="0" t="s">
        <v>7339</v>
      </c>
      <c r="L340" s="0" t="s">
        <v>7340</v>
      </c>
      <c r="M340" s="0" t="s">
        <v>7627</v>
      </c>
      <c r="N340" s="0" t="s">
        <v>7342</v>
      </c>
      <c r="O340" s="0" t="s">
        <v>7360</v>
      </c>
      <c r="P340" s="0" t="s">
        <v>229</v>
      </c>
      <c r="Q340" s="0" t="s">
        <v>7354</v>
      </c>
      <c r="S340" s="0" t="s">
        <v>7344</v>
      </c>
      <c r="T340" s="0" t="s">
        <v>58</v>
      </c>
      <c r="V340" s="0" t="s">
        <v>55</v>
      </c>
      <c r="W340" s="0" t="s">
        <v>57</v>
      </c>
      <c r="X340" s="0" t="s">
        <v>7355</v>
      </c>
      <c r="AC340" s="0" t="s">
        <v>7629</v>
      </c>
      <c r="AE340" s="0" t="s">
        <v>58</v>
      </c>
      <c r="AG340" s="0" t="s">
        <v>230</v>
      </c>
    </row>
    <row r="341" customFormat="false" ht="15" hidden="false" customHeight="false" outlineLevel="0" collapsed="false">
      <c r="A341" s="0" t="s">
        <v>7336</v>
      </c>
      <c r="B341" s="0" t="s">
        <v>1489</v>
      </c>
      <c r="C341" s="0" t="s">
        <v>1490</v>
      </c>
      <c r="D341" s="0" t="s">
        <v>300</v>
      </c>
      <c r="E341" s="0" t="s">
        <v>1483</v>
      </c>
      <c r="F341" s="0" t="s">
        <v>1484</v>
      </c>
      <c r="G341" s="0" t="s">
        <v>144</v>
      </c>
      <c r="H341" s="0" t="s">
        <v>7647</v>
      </c>
      <c r="I341" s="0" t="s">
        <v>7338</v>
      </c>
      <c r="J341" s="0" t="s">
        <v>1336</v>
      </c>
      <c r="K341" s="0" t="s">
        <v>7339</v>
      </c>
      <c r="L341" s="0" t="s">
        <v>7340</v>
      </c>
      <c r="M341" s="0" t="s">
        <v>7627</v>
      </c>
      <c r="N341" s="0" t="s">
        <v>7342</v>
      </c>
      <c r="O341" s="0" t="s">
        <v>7360</v>
      </c>
      <c r="P341" s="0" t="s">
        <v>229</v>
      </c>
      <c r="Q341" s="0" t="s">
        <v>7354</v>
      </c>
      <c r="S341" s="0" t="s">
        <v>7344</v>
      </c>
      <c r="T341" s="0" t="s">
        <v>681</v>
      </c>
      <c r="V341" s="0" t="s">
        <v>34</v>
      </c>
      <c r="W341" s="0" t="s">
        <v>1341</v>
      </c>
      <c r="X341" s="0" t="s">
        <v>7355</v>
      </c>
      <c r="Y341" s="0" t="s">
        <v>7495</v>
      </c>
      <c r="Z341" s="0" t="s">
        <v>7496</v>
      </c>
      <c r="AA341" s="0" t="s">
        <v>7631</v>
      </c>
      <c r="AC341" s="0" t="s">
        <v>7629</v>
      </c>
      <c r="AE341" s="0" t="s">
        <v>681</v>
      </c>
      <c r="AG341" s="0" t="s">
        <v>230</v>
      </c>
    </row>
    <row r="342" customFormat="false" ht="15" hidden="false" customHeight="false" outlineLevel="0" collapsed="false">
      <c r="A342" s="0" t="s">
        <v>7336</v>
      </c>
      <c r="B342" s="0" t="s">
        <v>1491</v>
      </c>
      <c r="C342" s="0" t="s">
        <v>1492</v>
      </c>
      <c r="D342" s="0" t="s">
        <v>300</v>
      </c>
      <c r="E342" s="0" t="s">
        <v>1493</v>
      </c>
      <c r="F342" s="0" t="s">
        <v>1494</v>
      </c>
      <c r="G342" s="0" t="s">
        <v>144</v>
      </c>
      <c r="H342" s="0" t="s">
        <v>7648</v>
      </c>
      <c r="I342" s="0" t="s">
        <v>7338</v>
      </c>
      <c r="J342" s="0" t="s">
        <v>1336</v>
      </c>
      <c r="K342" s="0" t="s">
        <v>7339</v>
      </c>
      <c r="L342" s="0" t="s">
        <v>7340</v>
      </c>
      <c r="M342" s="0" t="s">
        <v>7627</v>
      </c>
      <c r="N342" s="0" t="s">
        <v>7342</v>
      </c>
      <c r="O342" s="0" t="s">
        <v>7360</v>
      </c>
      <c r="P342" s="0" t="s">
        <v>229</v>
      </c>
      <c r="Q342" s="0" t="s">
        <v>7354</v>
      </c>
      <c r="R342" s="0" t="s">
        <v>7343</v>
      </c>
      <c r="S342" s="0" t="s">
        <v>7344</v>
      </c>
      <c r="T342" s="0" t="s">
        <v>681</v>
      </c>
      <c r="V342" s="0" t="s">
        <v>34</v>
      </c>
      <c r="W342" s="0" t="s">
        <v>37</v>
      </c>
      <c r="X342" s="0" t="s">
        <v>7355</v>
      </c>
      <c r="Y342" s="0" t="s">
        <v>7346</v>
      </c>
      <c r="Z342" s="0" t="s">
        <v>7370</v>
      </c>
      <c r="AA342" s="0" t="s">
        <v>7628</v>
      </c>
      <c r="AC342" s="0" t="s">
        <v>7629</v>
      </c>
      <c r="AE342" s="0" t="s">
        <v>681</v>
      </c>
      <c r="AG342" s="0" t="s">
        <v>230</v>
      </c>
    </row>
    <row r="343" customFormat="false" ht="15" hidden="false" customHeight="false" outlineLevel="0" collapsed="false">
      <c r="A343" s="0" t="s">
        <v>7336</v>
      </c>
      <c r="B343" s="0" t="s">
        <v>1495</v>
      </c>
      <c r="C343" s="0" t="s">
        <v>1496</v>
      </c>
      <c r="D343" s="0" t="s">
        <v>300</v>
      </c>
      <c r="E343" s="0" t="s">
        <v>1376</v>
      </c>
      <c r="F343" s="0" t="s">
        <v>1494</v>
      </c>
      <c r="G343" s="0" t="s">
        <v>144</v>
      </c>
      <c r="H343" s="0" t="s">
        <v>7648</v>
      </c>
      <c r="I343" s="0" t="s">
        <v>7338</v>
      </c>
      <c r="J343" s="0" t="s">
        <v>1336</v>
      </c>
      <c r="K343" s="0" t="s">
        <v>7339</v>
      </c>
      <c r="L343" s="0" t="s">
        <v>7340</v>
      </c>
      <c r="M343" s="0" t="s">
        <v>7627</v>
      </c>
      <c r="N343" s="0" t="s">
        <v>7342</v>
      </c>
      <c r="O343" s="0" t="s">
        <v>7360</v>
      </c>
      <c r="P343" s="0" t="s">
        <v>229</v>
      </c>
      <c r="Q343" s="0" t="s">
        <v>7354</v>
      </c>
      <c r="S343" s="0" t="s">
        <v>7344</v>
      </c>
      <c r="T343" s="0" t="s">
        <v>58</v>
      </c>
      <c r="V343" s="0" t="s">
        <v>55</v>
      </c>
      <c r="W343" s="0" t="s">
        <v>57</v>
      </c>
      <c r="X343" s="0" t="s">
        <v>7355</v>
      </c>
      <c r="AC343" s="0" t="s">
        <v>7629</v>
      </c>
      <c r="AE343" s="0" t="s">
        <v>58</v>
      </c>
      <c r="AG343" s="0" t="s">
        <v>230</v>
      </c>
    </row>
    <row r="344" customFormat="false" ht="15" hidden="false" customHeight="false" outlineLevel="0" collapsed="false">
      <c r="A344" s="0" t="s">
        <v>7336</v>
      </c>
      <c r="B344" s="0" t="s">
        <v>1497</v>
      </c>
      <c r="C344" s="0" t="s">
        <v>1498</v>
      </c>
      <c r="D344" s="0" t="s">
        <v>300</v>
      </c>
      <c r="E344" s="0" t="s">
        <v>1373</v>
      </c>
      <c r="F344" s="0" t="s">
        <v>1494</v>
      </c>
      <c r="G344" s="0" t="s">
        <v>144</v>
      </c>
      <c r="H344" s="0" t="s">
        <v>7648</v>
      </c>
      <c r="I344" s="0" t="s">
        <v>7338</v>
      </c>
      <c r="J344" s="0" t="s">
        <v>1336</v>
      </c>
      <c r="K344" s="0" t="s">
        <v>7339</v>
      </c>
      <c r="L344" s="0" t="s">
        <v>7340</v>
      </c>
      <c r="M344" s="0" t="s">
        <v>7627</v>
      </c>
      <c r="N344" s="0" t="s">
        <v>7342</v>
      </c>
      <c r="O344" s="0" t="s">
        <v>7360</v>
      </c>
      <c r="P344" s="0" t="s">
        <v>229</v>
      </c>
      <c r="Q344" s="0" t="s">
        <v>7354</v>
      </c>
      <c r="S344" s="0" t="s">
        <v>7344</v>
      </c>
      <c r="T344" s="0" t="s">
        <v>681</v>
      </c>
      <c r="V344" s="0" t="s">
        <v>34</v>
      </c>
      <c r="W344" s="0" t="s">
        <v>1341</v>
      </c>
      <c r="X344" s="0" t="s">
        <v>7355</v>
      </c>
      <c r="Y344" s="0" t="s">
        <v>7495</v>
      </c>
      <c r="Z344" s="0" t="s">
        <v>7496</v>
      </c>
      <c r="AA344" s="0" t="s">
        <v>7631</v>
      </c>
      <c r="AC344" s="0" t="s">
        <v>7629</v>
      </c>
      <c r="AE344" s="0" t="s">
        <v>681</v>
      </c>
      <c r="AG344" s="0" t="s">
        <v>230</v>
      </c>
    </row>
    <row r="345" customFormat="false" ht="15" hidden="false" customHeight="false" outlineLevel="0" collapsed="false">
      <c r="A345" s="0" t="s">
        <v>7336</v>
      </c>
      <c r="B345" s="0" t="s">
        <v>1499</v>
      </c>
      <c r="C345" s="0" t="s">
        <v>1500</v>
      </c>
      <c r="D345" s="0" t="s">
        <v>300</v>
      </c>
      <c r="E345" s="0" t="s">
        <v>1501</v>
      </c>
      <c r="F345" s="0" t="s">
        <v>1494</v>
      </c>
      <c r="G345" s="0" t="s">
        <v>144</v>
      </c>
      <c r="H345" s="0" t="s">
        <v>7648</v>
      </c>
      <c r="I345" s="0" t="s">
        <v>7338</v>
      </c>
      <c r="J345" s="0" t="s">
        <v>1336</v>
      </c>
      <c r="K345" s="0" t="s">
        <v>7339</v>
      </c>
      <c r="L345" s="0" t="s">
        <v>7340</v>
      </c>
      <c r="M345" s="0" t="s">
        <v>7627</v>
      </c>
      <c r="N345" s="0" t="s">
        <v>7342</v>
      </c>
      <c r="O345" s="0" t="s">
        <v>7360</v>
      </c>
      <c r="P345" s="0" t="s">
        <v>229</v>
      </c>
      <c r="Q345" s="0" t="s">
        <v>7354</v>
      </c>
      <c r="R345" s="0" t="s">
        <v>7343</v>
      </c>
      <c r="S345" s="0" t="s">
        <v>7344</v>
      </c>
      <c r="T345" s="0" t="s">
        <v>681</v>
      </c>
      <c r="V345" s="0" t="s">
        <v>34</v>
      </c>
      <c r="W345" s="0" t="s">
        <v>37</v>
      </c>
      <c r="X345" s="0" t="s">
        <v>7355</v>
      </c>
      <c r="Y345" s="0" t="s">
        <v>7346</v>
      </c>
      <c r="Z345" s="0" t="s">
        <v>7370</v>
      </c>
      <c r="AA345" s="0" t="s">
        <v>7628</v>
      </c>
      <c r="AC345" s="0" t="s">
        <v>7629</v>
      </c>
      <c r="AE345" s="0" t="s">
        <v>681</v>
      </c>
      <c r="AG345" s="0" t="s">
        <v>230</v>
      </c>
    </row>
    <row r="346" customFormat="false" ht="15" hidden="false" customHeight="false" outlineLevel="0" collapsed="false">
      <c r="A346" s="0" t="s">
        <v>7336</v>
      </c>
      <c r="B346" s="0" t="s">
        <v>1502</v>
      </c>
      <c r="C346" s="0" t="s">
        <v>1503</v>
      </c>
      <c r="D346" s="0" t="s">
        <v>300</v>
      </c>
      <c r="E346" s="0" t="s">
        <v>1504</v>
      </c>
      <c r="F346" s="0" t="s">
        <v>1494</v>
      </c>
      <c r="G346" s="0" t="s">
        <v>144</v>
      </c>
      <c r="H346" s="0" t="s">
        <v>7648</v>
      </c>
      <c r="I346" s="0" t="s">
        <v>7338</v>
      </c>
      <c r="J346" s="0" t="s">
        <v>1336</v>
      </c>
      <c r="K346" s="0" t="s">
        <v>7339</v>
      </c>
      <c r="L346" s="0" t="s">
        <v>7340</v>
      </c>
      <c r="M346" s="0" t="s">
        <v>7627</v>
      </c>
      <c r="N346" s="0" t="s">
        <v>7342</v>
      </c>
      <c r="O346" s="0" t="s">
        <v>7360</v>
      </c>
      <c r="P346" s="0" t="s">
        <v>229</v>
      </c>
      <c r="Q346" s="0" t="s">
        <v>7354</v>
      </c>
      <c r="R346" s="0" t="s">
        <v>7343</v>
      </c>
      <c r="S346" s="0" t="s">
        <v>7344</v>
      </c>
      <c r="T346" s="0" t="s">
        <v>681</v>
      </c>
      <c r="V346" s="0" t="s">
        <v>34</v>
      </c>
      <c r="W346" s="0" t="s">
        <v>37</v>
      </c>
      <c r="X346" s="0" t="s">
        <v>7355</v>
      </c>
      <c r="Y346" s="0" t="s">
        <v>7346</v>
      </c>
      <c r="Z346" s="0" t="s">
        <v>7370</v>
      </c>
      <c r="AA346" s="0" t="s">
        <v>7628</v>
      </c>
      <c r="AC346" s="0" t="s">
        <v>7629</v>
      </c>
      <c r="AE346" s="0" t="s">
        <v>681</v>
      </c>
      <c r="AG346" s="0" t="s">
        <v>230</v>
      </c>
    </row>
    <row r="347" customFormat="false" ht="15" hidden="false" customHeight="false" outlineLevel="0" collapsed="false">
      <c r="A347" s="0" t="s">
        <v>7336</v>
      </c>
      <c r="B347" s="0" t="s">
        <v>1505</v>
      </c>
      <c r="C347" s="0" t="s">
        <v>1506</v>
      </c>
      <c r="D347" s="0" t="s">
        <v>300</v>
      </c>
      <c r="E347" s="0" t="s">
        <v>1507</v>
      </c>
      <c r="F347" s="0" t="s">
        <v>1494</v>
      </c>
      <c r="G347" s="0" t="s">
        <v>144</v>
      </c>
      <c r="H347" s="0" t="s">
        <v>7648</v>
      </c>
      <c r="I347" s="0" t="s">
        <v>7338</v>
      </c>
      <c r="J347" s="0" t="s">
        <v>1336</v>
      </c>
      <c r="K347" s="0" t="s">
        <v>7339</v>
      </c>
      <c r="L347" s="0" t="s">
        <v>7340</v>
      </c>
      <c r="M347" s="0" t="s">
        <v>7627</v>
      </c>
      <c r="N347" s="0" t="s">
        <v>7342</v>
      </c>
      <c r="O347" s="0" t="s">
        <v>7360</v>
      </c>
      <c r="P347" s="0" t="s">
        <v>229</v>
      </c>
      <c r="Q347" s="0" t="s">
        <v>7354</v>
      </c>
      <c r="S347" s="0" t="s">
        <v>7344</v>
      </c>
      <c r="T347" s="0" t="s">
        <v>681</v>
      </c>
      <c r="V347" s="0" t="s">
        <v>34</v>
      </c>
      <c r="W347" s="0" t="s">
        <v>1341</v>
      </c>
      <c r="X347" s="0" t="s">
        <v>7355</v>
      </c>
      <c r="Y347" s="0" t="s">
        <v>7495</v>
      </c>
      <c r="Z347" s="0" t="s">
        <v>7496</v>
      </c>
      <c r="AA347" s="0" t="s">
        <v>7631</v>
      </c>
      <c r="AC347" s="0" t="s">
        <v>7629</v>
      </c>
      <c r="AE347" s="0" t="s">
        <v>681</v>
      </c>
      <c r="AG347" s="0" t="s">
        <v>230</v>
      </c>
    </row>
    <row r="348" customFormat="false" ht="15" hidden="false" customHeight="false" outlineLevel="0" collapsed="false">
      <c r="A348" s="0" t="s">
        <v>7336</v>
      </c>
      <c r="B348" s="0" t="s">
        <v>1508</v>
      </c>
      <c r="C348" s="0" t="s">
        <v>1509</v>
      </c>
      <c r="D348" s="0" t="s">
        <v>300</v>
      </c>
      <c r="E348" s="0" t="s">
        <v>1510</v>
      </c>
      <c r="F348" s="0" t="s">
        <v>1494</v>
      </c>
      <c r="G348" s="0" t="s">
        <v>144</v>
      </c>
      <c r="H348" s="0" t="s">
        <v>7648</v>
      </c>
      <c r="I348" s="0" t="s">
        <v>7338</v>
      </c>
      <c r="J348" s="0" t="s">
        <v>1336</v>
      </c>
      <c r="K348" s="0" t="s">
        <v>7339</v>
      </c>
      <c r="L348" s="0" t="s">
        <v>7340</v>
      </c>
      <c r="M348" s="0" t="s">
        <v>7627</v>
      </c>
      <c r="N348" s="0" t="s">
        <v>7342</v>
      </c>
      <c r="O348" s="0" t="s">
        <v>7360</v>
      </c>
      <c r="P348" s="0" t="s">
        <v>229</v>
      </c>
      <c r="Q348" s="0" t="s">
        <v>7354</v>
      </c>
      <c r="R348" s="0" t="s">
        <v>7343</v>
      </c>
      <c r="S348" s="0" t="s">
        <v>7344</v>
      </c>
      <c r="T348" s="0" t="s">
        <v>681</v>
      </c>
      <c r="V348" s="0" t="s">
        <v>34</v>
      </c>
      <c r="W348" s="0" t="s">
        <v>37</v>
      </c>
      <c r="X348" s="0" t="s">
        <v>7355</v>
      </c>
      <c r="Y348" s="0" t="s">
        <v>7346</v>
      </c>
      <c r="Z348" s="0" t="s">
        <v>7370</v>
      </c>
      <c r="AA348" s="0" t="s">
        <v>7628</v>
      </c>
      <c r="AC348" s="0" t="s">
        <v>7629</v>
      </c>
      <c r="AE348" s="0" t="s">
        <v>681</v>
      </c>
      <c r="AG348" s="0" t="s">
        <v>230</v>
      </c>
    </row>
    <row r="349" customFormat="false" ht="15" hidden="false" customHeight="false" outlineLevel="0" collapsed="false">
      <c r="A349" s="0" t="s">
        <v>7336</v>
      </c>
      <c r="B349" s="0" t="s">
        <v>1511</v>
      </c>
      <c r="C349" s="0" t="s">
        <v>1512</v>
      </c>
      <c r="D349" s="0" t="s">
        <v>300</v>
      </c>
      <c r="E349" s="0" t="s">
        <v>1513</v>
      </c>
      <c r="F349" s="0" t="s">
        <v>1494</v>
      </c>
      <c r="G349" s="0" t="s">
        <v>144</v>
      </c>
      <c r="H349" s="0" t="s">
        <v>7648</v>
      </c>
      <c r="I349" s="0" t="s">
        <v>7338</v>
      </c>
      <c r="J349" s="0" t="s">
        <v>1336</v>
      </c>
      <c r="K349" s="0" t="s">
        <v>7339</v>
      </c>
      <c r="L349" s="0" t="s">
        <v>7340</v>
      </c>
      <c r="M349" s="0" t="s">
        <v>7627</v>
      </c>
      <c r="N349" s="0" t="s">
        <v>7342</v>
      </c>
      <c r="O349" s="0" t="s">
        <v>7360</v>
      </c>
      <c r="P349" s="0" t="s">
        <v>229</v>
      </c>
      <c r="Q349" s="0" t="s">
        <v>7354</v>
      </c>
      <c r="R349" s="0" t="s">
        <v>7343</v>
      </c>
      <c r="S349" s="0" t="s">
        <v>7344</v>
      </c>
      <c r="T349" s="0" t="s">
        <v>681</v>
      </c>
      <c r="V349" s="0" t="s">
        <v>34</v>
      </c>
      <c r="W349" s="0" t="s">
        <v>37</v>
      </c>
      <c r="X349" s="0" t="s">
        <v>7355</v>
      </c>
      <c r="Y349" s="0" t="s">
        <v>7346</v>
      </c>
      <c r="Z349" s="0" t="s">
        <v>7370</v>
      </c>
      <c r="AA349" s="0" t="s">
        <v>7628</v>
      </c>
      <c r="AC349" s="0" t="s">
        <v>7629</v>
      </c>
      <c r="AE349" s="0" t="s">
        <v>681</v>
      </c>
      <c r="AG349" s="0" t="s">
        <v>230</v>
      </c>
    </row>
    <row r="350" customFormat="false" ht="15" hidden="false" customHeight="false" outlineLevel="0" collapsed="false">
      <c r="A350" s="0" t="s">
        <v>7336</v>
      </c>
      <c r="B350" s="0" t="s">
        <v>1514</v>
      </c>
      <c r="C350" s="0" t="s">
        <v>1515</v>
      </c>
      <c r="D350" s="0" t="s">
        <v>300</v>
      </c>
      <c r="E350" s="0" t="s">
        <v>1516</v>
      </c>
      <c r="F350" s="0" t="s">
        <v>1494</v>
      </c>
      <c r="G350" s="0" t="s">
        <v>144</v>
      </c>
      <c r="H350" s="0" t="s">
        <v>7648</v>
      </c>
      <c r="I350" s="0" t="s">
        <v>7338</v>
      </c>
      <c r="J350" s="0" t="s">
        <v>1336</v>
      </c>
      <c r="K350" s="0" t="s">
        <v>7339</v>
      </c>
      <c r="L350" s="0" t="s">
        <v>7340</v>
      </c>
      <c r="M350" s="0" t="s">
        <v>7627</v>
      </c>
      <c r="N350" s="0" t="s">
        <v>7342</v>
      </c>
      <c r="O350" s="0" t="s">
        <v>7360</v>
      </c>
      <c r="P350" s="0" t="s">
        <v>229</v>
      </c>
      <c r="Q350" s="0" t="s">
        <v>7354</v>
      </c>
      <c r="R350" s="0" t="s">
        <v>7343</v>
      </c>
      <c r="S350" s="0" t="s">
        <v>7344</v>
      </c>
      <c r="T350" s="0" t="s">
        <v>681</v>
      </c>
      <c r="V350" s="0" t="s">
        <v>34</v>
      </c>
      <c r="W350" s="0" t="s">
        <v>37</v>
      </c>
      <c r="X350" s="0" t="s">
        <v>7355</v>
      </c>
      <c r="Y350" s="0" t="s">
        <v>7346</v>
      </c>
      <c r="Z350" s="0" t="s">
        <v>7370</v>
      </c>
      <c r="AA350" s="0" t="s">
        <v>7628</v>
      </c>
      <c r="AC350" s="0" t="s">
        <v>7629</v>
      </c>
      <c r="AE350" s="0" t="s">
        <v>681</v>
      </c>
      <c r="AG350" s="0" t="s">
        <v>230</v>
      </c>
    </row>
    <row r="351" customFormat="false" ht="15" hidden="false" customHeight="false" outlineLevel="0" collapsed="false">
      <c r="A351" s="0" t="s">
        <v>7336</v>
      </c>
      <c r="B351" s="0" t="s">
        <v>1517</v>
      </c>
      <c r="C351" s="0" t="s">
        <v>1518</v>
      </c>
      <c r="D351" s="0" t="s">
        <v>300</v>
      </c>
      <c r="E351" s="0" t="s">
        <v>1519</v>
      </c>
      <c r="F351" s="0" t="s">
        <v>1520</v>
      </c>
      <c r="G351" s="0" t="s">
        <v>144</v>
      </c>
      <c r="H351" s="0" t="s">
        <v>7649</v>
      </c>
      <c r="I351" s="0" t="s">
        <v>7338</v>
      </c>
      <c r="J351" s="0" t="s">
        <v>1336</v>
      </c>
      <c r="K351" s="0" t="s">
        <v>7339</v>
      </c>
      <c r="L351" s="0" t="s">
        <v>7340</v>
      </c>
      <c r="M351" s="0" t="s">
        <v>7627</v>
      </c>
      <c r="N351" s="0" t="s">
        <v>7342</v>
      </c>
      <c r="O351" s="0" t="s">
        <v>7360</v>
      </c>
      <c r="P351" s="0" t="s">
        <v>229</v>
      </c>
      <c r="Q351" s="0" t="s">
        <v>7354</v>
      </c>
      <c r="R351" s="0" t="s">
        <v>7343</v>
      </c>
      <c r="S351" s="0" t="s">
        <v>7344</v>
      </c>
      <c r="T351" s="0" t="s">
        <v>681</v>
      </c>
      <c r="V351" s="0" t="s">
        <v>34</v>
      </c>
      <c r="W351" s="0" t="s">
        <v>37</v>
      </c>
      <c r="X351" s="0" t="s">
        <v>7355</v>
      </c>
      <c r="Y351" s="0" t="s">
        <v>7346</v>
      </c>
      <c r="Z351" s="0" t="s">
        <v>7370</v>
      </c>
      <c r="AA351" s="0" t="s">
        <v>7628</v>
      </c>
      <c r="AC351" s="0" t="s">
        <v>7629</v>
      </c>
      <c r="AE351" s="0" t="s">
        <v>681</v>
      </c>
      <c r="AG351" s="0" t="s">
        <v>230</v>
      </c>
    </row>
    <row r="352" customFormat="false" ht="15" hidden="false" customHeight="false" outlineLevel="0" collapsed="false">
      <c r="A352" s="0" t="s">
        <v>7336</v>
      </c>
      <c r="B352" s="0" t="s">
        <v>1521</v>
      </c>
      <c r="C352" s="0" t="s">
        <v>1522</v>
      </c>
      <c r="D352" s="0" t="s">
        <v>300</v>
      </c>
      <c r="E352" s="0" t="s">
        <v>1367</v>
      </c>
      <c r="F352" s="0" t="s">
        <v>1520</v>
      </c>
      <c r="G352" s="0" t="s">
        <v>144</v>
      </c>
      <c r="H352" s="0" t="s">
        <v>7649</v>
      </c>
      <c r="I352" s="0" t="s">
        <v>7338</v>
      </c>
      <c r="J352" s="0" t="s">
        <v>1336</v>
      </c>
      <c r="K352" s="0" t="s">
        <v>7339</v>
      </c>
      <c r="L352" s="0" t="s">
        <v>7340</v>
      </c>
      <c r="M352" s="0" t="s">
        <v>7627</v>
      </c>
      <c r="N352" s="0" t="s">
        <v>7342</v>
      </c>
      <c r="O352" s="0" t="s">
        <v>7360</v>
      </c>
      <c r="P352" s="0" t="s">
        <v>229</v>
      </c>
      <c r="Q352" s="0" t="s">
        <v>7354</v>
      </c>
      <c r="S352" s="0" t="s">
        <v>7344</v>
      </c>
      <c r="T352" s="0" t="s">
        <v>58</v>
      </c>
      <c r="V352" s="0" t="s">
        <v>55</v>
      </c>
      <c r="W352" s="0" t="s">
        <v>57</v>
      </c>
      <c r="X352" s="0" t="s">
        <v>7355</v>
      </c>
      <c r="AC352" s="0" t="s">
        <v>7629</v>
      </c>
      <c r="AE352" s="0" t="s">
        <v>58</v>
      </c>
      <c r="AG352" s="0" t="s">
        <v>230</v>
      </c>
    </row>
    <row r="353" customFormat="false" ht="15" hidden="false" customHeight="false" outlineLevel="0" collapsed="false">
      <c r="A353" s="0" t="s">
        <v>7336</v>
      </c>
      <c r="B353" s="0" t="s">
        <v>1523</v>
      </c>
      <c r="C353" s="0" t="s">
        <v>1524</v>
      </c>
      <c r="D353" s="0" t="s">
        <v>300</v>
      </c>
      <c r="E353" s="0" t="s">
        <v>1525</v>
      </c>
      <c r="F353" s="0" t="s">
        <v>1520</v>
      </c>
      <c r="G353" s="0" t="s">
        <v>144</v>
      </c>
      <c r="H353" s="0" t="s">
        <v>7649</v>
      </c>
      <c r="I353" s="0" t="s">
        <v>7338</v>
      </c>
      <c r="J353" s="0" t="s">
        <v>1336</v>
      </c>
      <c r="K353" s="0" t="s">
        <v>7339</v>
      </c>
      <c r="L353" s="0" t="s">
        <v>7340</v>
      </c>
      <c r="M353" s="0" t="s">
        <v>7627</v>
      </c>
      <c r="N353" s="0" t="s">
        <v>7342</v>
      </c>
      <c r="O353" s="0" t="s">
        <v>7360</v>
      </c>
      <c r="P353" s="0" t="s">
        <v>229</v>
      </c>
      <c r="Q353" s="0" t="s">
        <v>7354</v>
      </c>
      <c r="S353" s="0" t="s">
        <v>7344</v>
      </c>
      <c r="T353" s="0" t="s">
        <v>681</v>
      </c>
      <c r="V353" s="0" t="s">
        <v>34</v>
      </c>
      <c r="W353" s="0" t="s">
        <v>1341</v>
      </c>
      <c r="X353" s="0" t="s">
        <v>7355</v>
      </c>
      <c r="Y353" s="0" t="s">
        <v>7495</v>
      </c>
      <c r="Z353" s="0" t="s">
        <v>7496</v>
      </c>
      <c r="AA353" s="0" t="s">
        <v>7631</v>
      </c>
      <c r="AC353" s="0" t="s">
        <v>7629</v>
      </c>
      <c r="AE353" s="0" t="s">
        <v>681</v>
      </c>
      <c r="AG353" s="0" t="s">
        <v>230</v>
      </c>
    </row>
    <row r="354" customFormat="false" ht="15" hidden="false" customHeight="false" outlineLevel="0" collapsed="false">
      <c r="A354" s="0" t="s">
        <v>7336</v>
      </c>
      <c r="B354" s="0" t="s">
        <v>1526</v>
      </c>
      <c r="C354" s="0" t="s">
        <v>1527</v>
      </c>
      <c r="D354" s="0" t="s">
        <v>300</v>
      </c>
      <c r="E354" s="0" t="s">
        <v>1528</v>
      </c>
      <c r="F354" s="0" t="s">
        <v>1520</v>
      </c>
      <c r="G354" s="0" t="s">
        <v>144</v>
      </c>
      <c r="H354" s="0" t="s">
        <v>7649</v>
      </c>
      <c r="I354" s="0" t="s">
        <v>7338</v>
      </c>
      <c r="J354" s="0" t="s">
        <v>1336</v>
      </c>
      <c r="K354" s="0" t="s">
        <v>7339</v>
      </c>
      <c r="L354" s="0" t="s">
        <v>7340</v>
      </c>
      <c r="M354" s="0" t="s">
        <v>7627</v>
      </c>
      <c r="N354" s="0" t="s">
        <v>7342</v>
      </c>
      <c r="O354" s="0" t="s">
        <v>7360</v>
      </c>
      <c r="P354" s="0" t="s">
        <v>229</v>
      </c>
      <c r="Q354" s="0" t="s">
        <v>7354</v>
      </c>
      <c r="R354" s="0" t="s">
        <v>7343</v>
      </c>
      <c r="S354" s="0" t="s">
        <v>7344</v>
      </c>
      <c r="T354" s="0" t="s">
        <v>681</v>
      </c>
      <c r="V354" s="0" t="s">
        <v>34</v>
      </c>
      <c r="W354" s="0" t="s">
        <v>37</v>
      </c>
      <c r="X354" s="0" t="s">
        <v>7355</v>
      </c>
      <c r="Y354" s="0" t="s">
        <v>7346</v>
      </c>
      <c r="Z354" s="0" t="s">
        <v>7370</v>
      </c>
      <c r="AA354" s="0" t="s">
        <v>7628</v>
      </c>
      <c r="AC354" s="0" t="s">
        <v>7629</v>
      </c>
      <c r="AE354" s="0" t="s">
        <v>681</v>
      </c>
      <c r="AG354" s="0" t="s">
        <v>230</v>
      </c>
    </row>
    <row r="355" customFormat="false" ht="15" hidden="false" customHeight="false" outlineLevel="0" collapsed="false">
      <c r="A355" s="0" t="s">
        <v>7336</v>
      </c>
      <c r="B355" s="0" t="s">
        <v>1529</v>
      </c>
      <c r="C355" s="0" t="s">
        <v>1530</v>
      </c>
      <c r="D355" s="0" t="s">
        <v>300</v>
      </c>
      <c r="E355" s="0" t="s">
        <v>1392</v>
      </c>
      <c r="F355" s="0" t="s">
        <v>1393</v>
      </c>
      <c r="G355" s="0" t="s">
        <v>146</v>
      </c>
      <c r="H355" s="0" t="s">
        <v>7633</v>
      </c>
      <c r="I355" s="0" t="s">
        <v>7338</v>
      </c>
      <c r="J355" s="0" t="s">
        <v>1336</v>
      </c>
      <c r="K355" s="0" t="s">
        <v>7339</v>
      </c>
      <c r="L355" s="0" t="s">
        <v>7340</v>
      </c>
      <c r="M355" s="0" t="s">
        <v>7627</v>
      </c>
      <c r="N355" s="0" t="s">
        <v>7342</v>
      </c>
      <c r="O355" s="0" t="s">
        <v>7360</v>
      </c>
      <c r="P355" s="0" t="s">
        <v>229</v>
      </c>
      <c r="Q355" s="0" t="s">
        <v>7354</v>
      </c>
      <c r="R355" s="0" t="s">
        <v>7343</v>
      </c>
      <c r="S355" s="0" t="s">
        <v>7344</v>
      </c>
      <c r="T355" s="0" t="s">
        <v>681</v>
      </c>
      <c r="V355" s="0" t="s">
        <v>34</v>
      </c>
      <c r="W355" s="0" t="s">
        <v>43</v>
      </c>
      <c r="X355" s="0" t="s">
        <v>7355</v>
      </c>
      <c r="Y355" s="0" t="s">
        <v>7346</v>
      </c>
      <c r="Z355" s="0" t="s">
        <v>7410</v>
      </c>
      <c r="AA355" s="0" t="s">
        <v>7628</v>
      </c>
      <c r="AC355" s="0" t="s">
        <v>7629</v>
      </c>
      <c r="AE355" s="0" t="s">
        <v>681</v>
      </c>
      <c r="AG355" s="0" t="s">
        <v>230</v>
      </c>
    </row>
    <row r="356" customFormat="false" ht="15" hidden="false" customHeight="false" outlineLevel="0" collapsed="false">
      <c r="A356" s="0" t="s">
        <v>7336</v>
      </c>
      <c r="B356" s="0" t="s">
        <v>1531</v>
      </c>
      <c r="C356" s="0" t="s">
        <v>1532</v>
      </c>
      <c r="D356" s="0" t="s">
        <v>300</v>
      </c>
      <c r="E356" s="0" t="s">
        <v>1392</v>
      </c>
      <c r="F356" s="0" t="s">
        <v>1393</v>
      </c>
      <c r="G356" s="0" t="s">
        <v>146</v>
      </c>
      <c r="H356" s="0" t="s">
        <v>7633</v>
      </c>
      <c r="I356" s="0" t="s">
        <v>7338</v>
      </c>
      <c r="J356" s="0" t="s">
        <v>1336</v>
      </c>
      <c r="K356" s="0" t="s">
        <v>7339</v>
      </c>
      <c r="L356" s="0" t="s">
        <v>7340</v>
      </c>
      <c r="M356" s="0" t="s">
        <v>7627</v>
      </c>
      <c r="N356" s="0" t="s">
        <v>7342</v>
      </c>
      <c r="O356" s="0" t="s">
        <v>7360</v>
      </c>
      <c r="P356" s="0" t="s">
        <v>229</v>
      </c>
      <c r="Q356" s="0" t="s">
        <v>7354</v>
      </c>
      <c r="R356" s="0" t="s">
        <v>7343</v>
      </c>
      <c r="S356" s="0" t="s">
        <v>7344</v>
      </c>
      <c r="T356" s="0" t="s">
        <v>681</v>
      </c>
      <c r="V356" s="0" t="s">
        <v>34</v>
      </c>
      <c r="W356" s="0" t="s">
        <v>37</v>
      </c>
      <c r="X356" s="0" t="s">
        <v>7355</v>
      </c>
      <c r="Y356" s="0" t="s">
        <v>7346</v>
      </c>
      <c r="Z356" s="0" t="s">
        <v>7370</v>
      </c>
      <c r="AA356" s="0" t="s">
        <v>7628</v>
      </c>
      <c r="AC356" s="0" t="s">
        <v>7629</v>
      </c>
      <c r="AE356" s="0" t="s">
        <v>681</v>
      </c>
      <c r="AG356" s="0" t="s">
        <v>230</v>
      </c>
    </row>
    <row r="357" customFormat="false" ht="15" hidden="false" customHeight="false" outlineLevel="0" collapsed="false">
      <c r="A357" s="0" t="s">
        <v>7336</v>
      </c>
      <c r="B357" s="0" t="s">
        <v>1533</v>
      </c>
      <c r="C357" s="0" t="s">
        <v>1534</v>
      </c>
      <c r="D357" s="0" t="s">
        <v>300</v>
      </c>
      <c r="E357" s="0" t="s">
        <v>1535</v>
      </c>
      <c r="F357" s="0" t="s">
        <v>1536</v>
      </c>
      <c r="G357" s="0" t="s">
        <v>144</v>
      </c>
      <c r="H357" s="0" t="s">
        <v>7650</v>
      </c>
      <c r="I357" s="0" t="s">
        <v>7338</v>
      </c>
      <c r="J357" s="0" t="s">
        <v>1336</v>
      </c>
      <c r="K357" s="0" t="s">
        <v>7339</v>
      </c>
      <c r="L357" s="0" t="s">
        <v>7340</v>
      </c>
      <c r="M357" s="0" t="s">
        <v>7627</v>
      </c>
      <c r="N357" s="0" t="s">
        <v>7342</v>
      </c>
      <c r="O357" s="0" t="s">
        <v>7360</v>
      </c>
      <c r="P357" s="0" t="s">
        <v>229</v>
      </c>
      <c r="Q357" s="0" t="s">
        <v>7354</v>
      </c>
      <c r="R357" s="0" t="s">
        <v>7435</v>
      </c>
      <c r="S357" s="0" t="s">
        <v>7344</v>
      </c>
      <c r="T357" s="0" t="s">
        <v>681</v>
      </c>
      <c r="V357" s="0" t="s">
        <v>1358</v>
      </c>
      <c r="W357" s="0" t="s">
        <v>64</v>
      </c>
      <c r="X357" s="0" t="s">
        <v>7355</v>
      </c>
      <c r="Y357" s="0" t="s">
        <v>7459</v>
      </c>
      <c r="Z357" s="0" t="s">
        <v>7460</v>
      </c>
      <c r="AA357" s="0" t="s">
        <v>7438</v>
      </c>
      <c r="AC357" s="0" t="s">
        <v>7629</v>
      </c>
      <c r="AE357" s="0" t="s">
        <v>681</v>
      </c>
      <c r="AG357" s="0" t="s">
        <v>230</v>
      </c>
    </row>
    <row r="358" customFormat="false" ht="15" hidden="false" customHeight="false" outlineLevel="0" collapsed="false">
      <c r="A358" s="0" t="s">
        <v>7336</v>
      </c>
      <c r="B358" s="0" t="s">
        <v>1537</v>
      </c>
      <c r="C358" s="0" t="s">
        <v>1538</v>
      </c>
      <c r="D358" s="0" t="s">
        <v>300</v>
      </c>
      <c r="E358" s="0" t="s">
        <v>1466</v>
      </c>
      <c r="F358" s="0" t="s">
        <v>1536</v>
      </c>
      <c r="G358" s="0" t="s">
        <v>144</v>
      </c>
      <c r="H358" s="0" t="s">
        <v>7650</v>
      </c>
      <c r="I358" s="0" t="s">
        <v>7338</v>
      </c>
      <c r="J358" s="0" t="s">
        <v>1336</v>
      </c>
      <c r="K358" s="0" t="s">
        <v>7339</v>
      </c>
      <c r="L358" s="0" t="s">
        <v>7340</v>
      </c>
      <c r="M358" s="0" t="s">
        <v>7627</v>
      </c>
      <c r="N358" s="0" t="s">
        <v>7342</v>
      </c>
      <c r="O358" s="0" t="s">
        <v>7360</v>
      </c>
      <c r="P358" s="0" t="s">
        <v>229</v>
      </c>
      <c r="Q358" s="0" t="s">
        <v>7354</v>
      </c>
      <c r="S358" s="0" t="s">
        <v>7344</v>
      </c>
      <c r="T358" s="0" t="s">
        <v>58</v>
      </c>
      <c r="V358" s="0" t="s">
        <v>55</v>
      </c>
      <c r="W358" s="0" t="s">
        <v>57</v>
      </c>
      <c r="X358" s="0" t="s">
        <v>7355</v>
      </c>
      <c r="AC358" s="0" t="s">
        <v>7629</v>
      </c>
      <c r="AE358" s="0" t="s">
        <v>58</v>
      </c>
      <c r="AG358" s="0" t="s">
        <v>230</v>
      </c>
    </row>
    <row r="359" customFormat="false" ht="15" hidden="false" customHeight="false" outlineLevel="0" collapsed="false">
      <c r="A359" s="0" t="s">
        <v>7336</v>
      </c>
      <c r="B359" s="0" t="s">
        <v>1539</v>
      </c>
      <c r="C359" s="0" t="s">
        <v>1540</v>
      </c>
      <c r="D359" s="0" t="s">
        <v>300</v>
      </c>
      <c r="E359" s="0" t="s">
        <v>1541</v>
      </c>
      <c r="F359" s="0" t="s">
        <v>1542</v>
      </c>
      <c r="G359" s="0" t="s">
        <v>144</v>
      </c>
      <c r="H359" s="0" t="s">
        <v>7651</v>
      </c>
      <c r="I359" s="0" t="s">
        <v>7338</v>
      </c>
      <c r="J359" s="0" t="s">
        <v>1336</v>
      </c>
      <c r="K359" s="0" t="s">
        <v>7339</v>
      </c>
      <c r="L359" s="0" t="s">
        <v>7340</v>
      </c>
      <c r="M359" s="0" t="s">
        <v>7627</v>
      </c>
      <c r="N359" s="0" t="s">
        <v>7342</v>
      </c>
      <c r="O359" s="0" t="s">
        <v>7360</v>
      </c>
      <c r="P359" s="0" t="s">
        <v>229</v>
      </c>
      <c r="Q359" s="0" t="s">
        <v>7354</v>
      </c>
      <c r="R359" s="0" t="s">
        <v>7435</v>
      </c>
      <c r="S359" s="0" t="s">
        <v>7344</v>
      </c>
      <c r="T359" s="0" t="s">
        <v>681</v>
      </c>
      <c r="V359" s="0" t="s">
        <v>1358</v>
      </c>
      <c r="W359" s="0" t="s">
        <v>64</v>
      </c>
      <c r="X359" s="0" t="s">
        <v>7355</v>
      </c>
      <c r="Y359" s="0" t="s">
        <v>7459</v>
      </c>
      <c r="Z359" s="0" t="s">
        <v>7460</v>
      </c>
      <c r="AA359" s="0" t="s">
        <v>7438</v>
      </c>
      <c r="AC359" s="0" t="s">
        <v>7629</v>
      </c>
      <c r="AE359" s="0" t="s">
        <v>681</v>
      </c>
      <c r="AG359" s="0" t="s">
        <v>230</v>
      </c>
    </row>
    <row r="360" customFormat="false" ht="15" hidden="false" customHeight="false" outlineLevel="0" collapsed="false">
      <c r="A360" s="0" t="s">
        <v>7336</v>
      </c>
      <c r="B360" s="0" t="s">
        <v>1543</v>
      </c>
      <c r="C360" s="0" t="s">
        <v>1544</v>
      </c>
      <c r="D360" s="0" t="s">
        <v>300</v>
      </c>
      <c r="E360" s="0" t="s">
        <v>1545</v>
      </c>
      <c r="F360" s="0" t="s">
        <v>1542</v>
      </c>
      <c r="G360" s="0" t="s">
        <v>144</v>
      </c>
      <c r="H360" s="0" t="s">
        <v>7651</v>
      </c>
      <c r="I360" s="0" t="s">
        <v>7338</v>
      </c>
      <c r="J360" s="0" t="s">
        <v>1336</v>
      </c>
      <c r="K360" s="0" t="s">
        <v>7339</v>
      </c>
      <c r="L360" s="0" t="s">
        <v>7340</v>
      </c>
      <c r="M360" s="0" t="s">
        <v>7627</v>
      </c>
      <c r="N360" s="0" t="s">
        <v>7342</v>
      </c>
      <c r="O360" s="0" t="s">
        <v>7360</v>
      </c>
      <c r="P360" s="0" t="s">
        <v>229</v>
      </c>
      <c r="Q360" s="0" t="s">
        <v>7354</v>
      </c>
      <c r="S360" s="0" t="s">
        <v>7344</v>
      </c>
      <c r="T360" s="0" t="s">
        <v>58</v>
      </c>
      <c r="V360" s="0" t="s">
        <v>55</v>
      </c>
      <c r="W360" s="0" t="s">
        <v>57</v>
      </c>
      <c r="X360" s="0" t="s">
        <v>7355</v>
      </c>
      <c r="AC360" s="0" t="s">
        <v>7629</v>
      </c>
      <c r="AE360" s="0" t="s">
        <v>58</v>
      </c>
      <c r="AG360" s="0" t="s">
        <v>230</v>
      </c>
    </row>
    <row r="361" customFormat="false" ht="15" hidden="false" customHeight="false" outlineLevel="0" collapsed="false">
      <c r="A361" s="0" t="s">
        <v>7336</v>
      </c>
      <c r="B361" s="0" t="s">
        <v>1546</v>
      </c>
      <c r="C361" s="0" t="s">
        <v>1547</v>
      </c>
      <c r="D361" s="0" t="s">
        <v>300</v>
      </c>
      <c r="E361" s="0" t="s">
        <v>1548</v>
      </c>
      <c r="F361" s="0" t="s">
        <v>1549</v>
      </c>
      <c r="G361" s="0" t="s">
        <v>144</v>
      </c>
      <c r="H361" s="0" t="s">
        <v>7652</v>
      </c>
      <c r="I361" s="0" t="s">
        <v>7338</v>
      </c>
      <c r="J361" s="0" t="s">
        <v>1336</v>
      </c>
      <c r="K361" s="0" t="s">
        <v>7339</v>
      </c>
      <c r="L361" s="0" t="s">
        <v>7340</v>
      </c>
      <c r="M361" s="0" t="s">
        <v>7627</v>
      </c>
      <c r="N361" s="0" t="s">
        <v>7342</v>
      </c>
      <c r="O361" s="0" t="s">
        <v>7360</v>
      </c>
      <c r="P361" s="0" t="s">
        <v>229</v>
      </c>
      <c r="Q361" s="0" t="s">
        <v>7354</v>
      </c>
      <c r="R361" s="0" t="s">
        <v>7435</v>
      </c>
      <c r="S361" s="0" t="s">
        <v>7344</v>
      </c>
      <c r="T361" s="0" t="s">
        <v>681</v>
      </c>
      <c r="V361" s="0" t="s">
        <v>1358</v>
      </c>
      <c r="W361" s="0" t="s">
        <v>64</v>
      </c>
      <c r="X361" s="0" t="s">
        <v>7355</v>
      </c>
      <c r="Y361" s="0" t="s">
        <v>7459</v>
      </c>
      <c r="Z361" s="0" t="s">
        <v>7460</v>
      </c>
      <c r="AA361" s="0" t="s">
        <v>7438</v>
      </c>
      <c r="AC361" s="0" t="s">
        <v>7629</v>
      </c>
      <c r="AE361" s="0" t="s">
        <v>681</v>
      </c>
      <c r="AG361" s="0" t="s">
        <v>230</v>
      </c>
    </row>
    <row r="362" customFormat="false" ht="15" hidden="false" customHeight="false" outlineLevel="0" collapsed="false">
      <c r="A362" s="0" t="s">
        <v>7336</v>
      </c>
      <c r="B362" s="0" t="s">
        <v>1550</v>
      </c>
      <c r="C362" s="0" t="s">
        <v>1551</v>
      </c>
      <c r="D362" s="0" t="s">
        <v>300</v>
      </c>
      <c r="E362" s="0" t="s">
        <v>1552</v>
      </c>
      <c r="F362" s="0" t="s">
        <v>1553</v>
      </c>
      <c r="G362" s="0" t="s">
        <v>144</v>
      </c>
      <c r="H362" s="0" t="s">
        <v>7653</v>
      </c>
      <c r="I362" s="0" t="s">
        <v>7338</v>
      </c>
      <c r="J362" s="0" t="s">
        <v>1336</v>
      </c>
      <c r="K362" s="0" t="s">
        <v>7339</v>
      </c>
      <c r="L362" s="0" t="s">
        <v>7340</v>
      </c>
      <c r="M362" s="0" t="s">
        <v>7627</v>
      </c>
      <c r="N362" s="0" t="s">
        <v>7342</v>
      </c>
      <c r="O362" s="0" t="s">
        <v>7360</v>
      </c>
      <c r="P362" s="0" t="s">
        <v>229</v>
      </c>
      <c r="Q362" s="0" t="s">
        <v>7354</v>
      </c>
      <c r="R362" s="0" t="s">
        <v>7435</v>
      </c>
      <c r="S362" s="0" t="s">
        <v>7344</v>
      </c>
      <c r="T362" s="0" t="s">
        <v>681</v>
      </c>
      <c r="V362" s="0" t="s">
        <v>1358</v>
      </c>
      <c r="W362" s="0" t="s">
        <v>64</v>
      </c>
      <c r="X362" s="0" t="s">
        <v>7355</v>
      </c>
      <c r="Y362" s="0" t="s">
        <v>7459</v>
      </c>
      <c r="Z362" s="0" t="s">
        <v>7460</v>
      </c>
      <c r="AA362" s="0" t="s">
        <v>7438</v>
      </c>
      <c r="AC362" s="0" t="s">
        <v>7629</v>
      </c>
      <c r="AE362" s="0" t="s">
        <v>681</v>
      </c>
      <c r="AG362" s="0" t="s">
        <v>230</v>
      </c>
    </row>
    <row r="363" customFormat="false" ht="15" hidden="false" customHeight="false" outlineLevel="0" collapsed="false">
      <c r="A363" s="0" t="s">
        <v>7336</v>
      </c>
      <c r="B363" s="0" t="s">
        <v>1554</v>
      </c>
      <c r="C363" s="0" t="s">
        <v>1555</v>
      </c>
      <c r="D363" s="0" t="s">
        <v>300</v>
      </c>
      <c r="E363" s="0" t="s">
        <v>1556</v>
      </c>
      <c r="F363" s="0" t="s">
        <v>1557</v>
      </c>
      <c r="G363" s="0" t="s">
        <v>144</v>
      </c>
      <c r="H363" s="0" t="s">
        <v>7654</v>
      </c>
      <c r="I363" s="0" t="s">
        <v>7338</v>
      </c>
      <c r="J363" s="0" t="s">
        <v>1336</v>
      </c>
      <c r="K363" s="0" t="s">
        <v>7339</v>
      </c>
      <c r="L363" s="0" t="s">
        <v>7340</v>
      </c>
      <c r="M363" s="0" t="s">
        <v>7627</v>
      </c>
      <c r="N363" s="0" t="s">
        <v>7342</v>
      </c>
      <c r="O363" s="0" t="s">
        <v>7360</v>
      </c>
      <c r="P363" s="0" t="s">
        <v>229</v>
      </c>
      <c r="Q363" s="0" t="s">
        <v>7354</v>
      </c>
      <c r="R363" s="0" t="s">
        <v>7435</v>
      </c>
      <c r="S363" s="0" t="s">
        <v>7344</v>
      </c>
      <c r="T363" s="0" t="s">
        <v>681</v>
      </c>
      <c r="V363" s="0" t="s">
        <v>1358</v>
      </c>
      <c r="W363" s="0" t="s">
        <v>64</v>
      </c>
      <c r="X363" s="0" t="s">
        <v>7355</v>
      </c>
      <c r="Y363" s="0" t="s">
        <v>7459</v>
      </c>
      <c r="Z363" s="0" t="s">
        <v>7460</v>
      </c>
      <c r="AA363" s="0" t="s">
        <v>7438</v>
      </c>
      <c r="AC363" s="0" t="s">
        <v>7629</v>
      </c>
      <c r="AE363" s="0" t="s">
        <v>681</v>
      </c>
      <c r="AG363" s="0" t="s">
        <v>230</v>
      </c>
    </row>
    <row r="364" customFormat="false" ht="15" hidden="false" customHeight="false" outlineLevel="0" collapsed="false">
      <c r="A364" s="0" t="s">
        <v>7336</v>
      </c>
      <c r="B364" s="0" t="s">
        <v>1558</v>
      </c>
      <c r="C364" s="0" t="s">
        <v>1559</v>
      </c>
      <c r="D364" s="0" t="s">
        <v>300</v>
      </c>
      <c r="E364" s="0" t="s">
        <v>1560</v>
      </c>
      <c r="F364" s="0" t="s">
        <v>1561</v>
      </c>
      <c r="G364" s="0" t="s">
        <v>144</v>
      </c>
      <c r="H364" s="0" t="s">
        <v>7655</v>
      </c>
      <c r="I364" s="0" t="s">
        <v>7338</v>
      </c>
      <c r="J364" s="0" t="s">
        <v>1336</v>
      </c>
      <c r="K364" s="0" t="s">
        <v>7339</v>
      </c>
      <c r="L364" s="0" t="s">
        <v>7340</v>
      </c>
      <c r="M364" s="0" t="s">
        <v>7627</v>
      </c>
      <c r="N364" s="0" t="s">
        <v>7342</v>
      </c>
      <c r="O364" s="0" t="s">
        <v>7360</v>
      </c>
      <c r="P364" s="0" t="s">
        <v>229</v>
      </c>
      <c r="Q364" s="0" t="s">
        <v>7354</v>
      </c>
      <c r="R364" s="0" t="s">
        <v>7435</v>
      </c>
      <c r="S364" s="0" t="s">
        <v>7344</v>
      </c>
      <c r="T364" s="0" t="s">
        <v>681</v>
      </c>
      <c r="V364" s="0" t="s">
        <v>1358</v>
      </c>
      <c r="W364" s="0" t="s">
        <v>64</v>
      </c>
      <c r="X364" s="0" t="s">
        <v>7355</v>
      </c>
      <c r="Y364" s="0" t="s">
        <v>7459</v>
      </c>
      <c r="Z364" s="0" t="s">
        <v>7460</v>
      </c>
      <c r="AA364" s="0" t="s">
        <v>7438</v>
      </c>
      <c r="AC364" s="0" t="s">
        <v>7629</v>
      </c>
      <c r="AE364" s="0" t="s">
        <v>681</v>
      </c>
      <c r="AG364" s="0" t="s">
        <v>230</v>
      </c>
    </row>
    <row r="365" customFormat="false" ht="15" hidden="false" customHeight="false" outlineLevel="0" collapsed="false">
      <c r="A365" s="0" t="s">
        <v>7336</v>
      </c>
      <c r="B365" s="0" t="s">
        <v>1562</v>
      </c>
      <c r="C365" s="0" t="s">
        <v>1563</v>
      </c>
      <c r="D365" s="0" t="s">
        <v>300</v>
      </c>
      <c r="E365" s="0" t="s">
        <v>1564</v>
      </c>
      <c r="F365" s="0" t="s">
        <v>1565</v>
      </c>
      <c r="G365" s="0" t="s">
        <v>144</v>
      </c>
      <c r="H365" s="0" t="s">
        <v>7656</v>
      </c>
      <c r="I365" s="0" t="s">
        <v>7338</v>
      </c>
      <c r="J365" s="0" t="s">
        <v>1336</v>
      </c>
      <c r="K365" s="0" t="s">
        <v>7339</v>
      </c>
      <c r="L365" s="0" t="s">
        <v>7340</v>
      </c>
      <c r="M365" s="0" t="s">
        <v>7627</v>
      </c>
      <c r="N365" s="0" t="s">
        <v>7342</v>
      </c>
      <c r="O365" s="0" t="s">
        <v>7360</v>
      </c>
      <c r="P365" s="0" t="s">
        <v>229</v>
      </c>
      <c r="Q365" s="0" t="s">
        <v>7354</v>
      </c>
      <c r="R365" s="0" t="s">
        <v>7435</v>
      </c>
      <c r="S365" s="0" t="s">
        <v>7344</v>
      </c>
      <c r="T365" s="0" t="s">
        <v>681</v>
      </c>
      <c r="V365" s="0" t="s">
        <v>1358</v>
      </c>
      <c r="W365" s="0" t="s">
        <v>64</v>
      </c>
      <c r="X365" s="0" t="s">
        <v>7355</v>
      </c>
      <c r="Y365" s="0" t="s">
        <v>7459</v>
      </c>
      <c r="Z365" s="0" t="s">
        <v>7460</v>
      </c>
      <c r="AA365" s="0" t="s">
        <v>7438</v>
      </c>
      <c r="AC365" s="0" t="s">
        <v>7629</v>
      </c>
      <c r="AE365" s="0" t="s">
        <v>681</v>
      </c>
      <c r="AG365" s="0" t="s">
        <v>230</v>
      </c>
    </row>
    <row r="366" customFormat="false" ht="15" hidden="false" customHeight="false" outlineLevel="0" collapsed="false">
      <c r="A366" s="0" t="s">
        <v>7336</v>
      </c>
      <c r="B366" s="0" t="s">
        <v>1566</v>
      </c>
      <c r="C366" s="0" t="s">
        <v>1567</v>
      </c>
      <c r="D366" s="0" t="s">
        <v>300</v>
      </c>
      <c r="E366" s="0" t="s">
        <v>1568</v>
      </c>
      <c r="F366" s="0" t="s">
        <v>1520</v>
      </c>
      <c r="G366" s="0" t="s">
        <v>144</v>
      </c>
      <c r="H366" s="0" t="s">
        <v>7649</v>
      </c>
      <c r="I366" s="0" t="s">
        <v>7338</v>
      </c>
      <c r="J366" s="0" t="s">
        <v>1336</v>
      </c>
      <c r="K366" s="0" t="s">
        <v>7339</v>
      </c>
      <c r="L366" s="0" t="s">
        <v>7340</v>
      </c>
      <c r="M366" s="0" t="s">
        <v>7627</v>
      </c>
      <c r="N366" s="0" t="s">
        <v>7342</v>
      </c>
      <c r="O366" s="0" t="s">
        <v>7360</v>
      </c>
      <c r="P366" s="0" t="s">
        <v>229</v>
      </c>
      <c r="Q366" s="0" t="s">
        <v>7354</v>
      </c>
      <c r="R366" s="0" t="s">
        <v>7343</v>
      </c>
      <c r="S366" s="0" t="s">
        <v>7344</v>
      </c>
      <c r="T366" s="0" t="s">
        <v>681</v>
      </c>
      <c r="V366" s="0" t="s">
        <v>34</v>
      </c>
      <c r="W366" s="0" t="s">
        <v>37</v>
      </c>
      <c r="X366" s="0" t="s">
        <v>7355</v>
      </c>
      <c r="Y366" s="0" t="s">
        <v>7346</v>
      </c>
      <c r="Z366" s="0" t="s">
        <v>7370</v>
      </c>
      <c r="AA366" s="0" t="s">
        <v>7628</v>
      </c>
      <c r="AC366" s="0" t="s">
        <v>7629</v>
      </c>
      <c r="AE366" s="0" t="s">
        <v>681</v>
      </c>
      <c r="AG366" s="0" t="s">
        <v>230</v>
      </c>
    </row>
    <row r="367" customFormat="false" ht="15" hidden="false" customHeight="false" outlineLevel="0" collapsed="false">
      <c r="A367" s="0" t="s">
        <v>7336</v>
      </c>
      <c r="B367" s="0" t="s">
        <v>1569</v>
      </c>
      <c r="C367" s="0" t="s">
        <v>1570</v>
      </c>
      <c r="D367" s="0" t="s">
        <v>300</v>
      </c>
      <c r="E367" s="0" t="s">
        <v>1571</v>
      </c>
      <c r="F367" s="0" t="s">
        <v>1520</v>
      </c>
      <c r="G367" s="0" t="s">
        <v>144</v>
      </c>
      <c r="H367" s="0" t="s">
        <v>7649</v>
      </c>
      <c r="I367" s="0" t="s">
        <v>7338</v>
      </c>
      <c r="J367" s="0" t="s">
        <v>1336</v>
      </c>
      <c r="K367" s="0" t="s">
        <v>7339</v>
      </c>
      <c r="L367" s="0" t="s">
        <v>7340</v>
      </c>
      <c r="M367" s="0" t="s">
        <v>7627</v>
      </c>
      <c r="N367" s="0" t="s">
        <v>7342</v>
      </c>
      <c r="O367" s="0" t="s">
        <v>7360</v>
      </c>
      <c r="P367" s="0" t="s">
        <v>229</v>
      </c>
      <c r="Q367" s="0" t="s">
        <v>7354</v>
      </c>
      <c r="S367" s="0" t="s">
        <v>7344</v>
      </c>
      <c r="T367" s="0" t="s">
        <v>681</v>
      </c>
      <c r="V367" s="0" t="s">
        <v>34</v>
      </c>
      <c r="W367" s="0" t="s">
        <v>1341</v>
      </c>
      <c r="X367" s="0" t="s">
        <v>7355</v>
      </c>
      <c r="Y367" s="0" t="s">
        <v>7495</v>
      </c>
      <c r="Z367" s="0" t="s">
        <v>7496</v>
      </c>
      <c r="AA367" s="0" t="s">
        <v>7631</v>
      </c>
      <c r="AC367" s="0" t="s">
        <v>7629</v>
      </c>
      <c r="AE367" s="0" t="s">
        <v>681</v>
      </c>
      <c r="AG367" s="0" t="s">
        <v>230</v>
      </c>
    </row>
    <row r="368" customFormat="false" ht="15" hidden="false" customHeight="false" outlineLevel="0" collapsed="false">
      <c r="A368" s="0" t="s">
        <v>7336</v>
      </c>
      <c r="B368" s="0" t="s">
        <v>1572</v>
      </c>
      <c r="C368" s="0" t="s">
        <v>1573</v>
      </c>
      <c r="D368" s="0" t="s">
        <v>300</v>
      </c>
      <c r="E368" s="0" t="s">
        <v>1574</v>
      </c>
      <c r="F368" s="0" t="s">
        <v>1520</v>
      </c>
      <c r="G368" s="0" t="s">
        <v>144</v>
      </c>
      <c r="H368" s="0" t="s">
        <v>7649</v>
      </c>
      <c r="I368" s="0" t="s">
        <v>7338</v>
      </c>
      <c r="J368" s="0" t="s">
        <v>1336</v>
      </c>
      <c r="K368" s="0" t="s">
        <v>7339</v>
      </c>
      <c r="L368" s="0" t="s">
        <v>7340</v>
      </c>
      <c r="M368" s="0" t="s">
        <v>7627</v>
      </c>
      <c r="N368" s="0" t="s">
        <v>7342</v>
      </c>
      <c r="O368" s="0" t="s">
        <v>7360</v>
      </c>
      <c r="P368" s="0" t="s">
        <v>229</v>
      </c>
      <c r="Q368" s="0" t="s">
        <v>7354</v>
      </c>
      <c r="R368" s="0" t="s">
        <v>7343</v>
      </c>
      <c r="S368" s="0" t="s">
        <v>7344</v>
      </c>
      <c r="T368" s="0" t="s">
        <v>681</v>
      </c>
      <c r="V368" s="0" t="s">
        <v>34</v>
      </c>
      <c r="W368" s="0" t="s">
        <v>37</v>
      </c>
      <c r="X368" s="0" t="s">
        <v>7355</v>
      </c>
      <c r="Y368" s="0" t="s">
        <v>7346</v>
      </c>
      <c r="Z368" s="0" t="s">
        <v>7370</v>
      </c>
      <c r="AA368" s="0" t="s">
        <v>7628</v>
      </c>
      <c r="AC368" s="0" t="s">
        <v>7629</v>
      </c>
      <c r="AE368" s="0" t="s">
        <v>681</v>
      </c>
      <c r="AG368" s="0" t="s">
        <v>230</v>
      </c>
    </row>
    <row r="369" customFormat="false" ht="15" hidden="false" customHeight="false" outlineLevel="0" collapsed="false">
      <c r="A369" s="0" t="s">
        <v>7336</v>
      </c>
      <c r="B369" s="0" t="s">
        <v>1575</v>
      </c>
      <c r="C369" s="0" t="s">
        <v>1576</v>
      </c>
      <c r="D369" s="0" t="s">
        <v>300</v>
      </c>
      <c r="E369" s="0" t="s">
        <v>1577</v>
      </c>
      <c r="F369" s="0" t="s">
        <v>1520</v>
      </c>
      <c r="G369" s="0" t="s">
        <v>144</v>
      </c>
      <c r="H369" s="0" t="s">
        <v>7649</v>
      </c>
      <c r="I369" s="0" t="s">
        <v>7338</v>
      </c>
      <c r="J369" s="0" t="s">
        <v>1336</v>
      </c>
      <c r="K369" s="0" t="s">
        <v>7339</v>
      </c>
      <c r="L369" s="0" t="s">
        <v>7340</v>
      </c>
      <c r="M369" s="0" t="s">
        <v>7627</v>
      </c>
      <c r="N369" s="0" t="s">
        <v>7342</v>
      </c>
      <c r="O369" s="0" t="s">
        <v>7360</v>
      </c>
      <c r="P369" s="0" t="s">
        <v>229</v>
      </c>
      <c r="Q369" s="0" t="s">
        <v>7354</v>
      </c>
      <c r="R369" s="0" t="s">
        <v>7343</v>
      </c>
      <c r="S369" s="0" t="s">
        <v>7344</v>
      </c>
      <c r="T369" s="0" t="s">
        <v>681</v>
      </c>
      <c r="V369" s="0" t="s">
        <v>34</v>
      </c>
      <c r="W369" s="0" t="s">
        <v>37</v>
      </c>
      <c r="X369" s="0" t="s">
        <v>7355</v>
      </c>
      <c r="Y369" s="0" t="s">
        <v>7346</v>
      </c>
      <c r="Z369" s="0" t="s">
        <v>7370</v>
      </c>
      <c r="AA369" s="0" t="s">
        <v>7628</v>
      </c>
      <c r="AC369" s="0" t="s">
        <v>7629</v>
      </c>
      <c r="AE369" s="0" t="s">
        <v>681</v>
      </c>
      <c r="AG369" s="0" t="s">
        <v>230</v>
      </c>
    </row>
    <row r="370" customFormat="false" ht="15" hidden="false" customHeight="false" outlineLevel="0" collapsed="false">
      <c r="A370" s="0" t="s">
        <v>7336</v>
      </c>
      <c r="B370" s="0" t="s">
        <v>1578</v>
      </c>
      <c r="C370" s="0" t="s">
        <v>1579</v>
      </c>
      <c r="D370" s="0" t="s">
        <v>300</v>
      </c>
      <c r="E370" s="0" t="s">
        <v>1580</v>
      </c>
      <c r="F370" s="0" t="s">
        <v>1520</v>
      </c>
      <c r="G370" s="0" t="s">
        <v>144</v>
      </c>
      <c r="H370" s="0" t="s">
        <v>7649</v>
      </c>
      <c r="I370" s="0" t="s">
        <v>7338</v>
      </c>
      <c r="J370" s="0" t="s">
        <v>1336</v>
      </c>
      <c r="K370" s="0" t="s">
        <v>7339</v>
      </c>
      <c r="L370" s="0" t="s">
        <v>7340</v>
      </c>
      <c r="M370" s="0" t="s">
        <v>7627</v>
      </c>
      <c r="N370" s="0" t="s">
        <v>7342</v>
      </c>
      <c r="O370" s="0" t="s">
        <v>7360</v>
      </c>
      <c r="P370" s="0" t="s">
        <v>229</v>
      </c>
      <c r="Q370" s="0" t="s">
        <v>7354</v>
      </c>
      <c r="R370" s="0" t="s">
        <v>7343</v>
      </c>
      <c r="S370" s="0" t="s">
        <v>7344</v>
      </c>
      <c r="T370" s="0" t="s">
        <v>681</v>
      </c>
      <c r="V370" s="0" t="s">
        <v>34</v>
      </c>
      <c r="W370" s="0" t="s">
        <v>37</v>
      </c>
      <c r="X370" s="0" t="s">
        <v>7355</v>
      </c>
      <c r="Y370" s="0" t="s">
        <v>7346</v>
      </c>
      <c r="Z370" s="0" t="s">
        <v>7370</v>
      </c>
      <c r="AA370" s="0" t="s">
        <v>7628</v>
      </c>
      <c r="AC370" s="0" t="s">
        <v>7629</v>
      </c>
      <c r="AE370" s="0" t="s">
        <v>681</v>
      </c>
      <c r="AG370" s="0" t="s">
        <v>230</v>
      </c>
    </row>
    <row r="371" customFormat="false" ht="15" hidden="false" customHeight="false" outlineLevel="0" collapsed="false">
      <c r="A371" s="0" t="s">
        <v>7336</v>
      </c>
      <c r="B371" s="0" t="s">
        <v>1581</v>
      </c>
      <c r="C371" s="0" t="s">
        <v>1582</v>
      </c>
      <c r="D371" s="0" t="s">
        <v>300</v>
      </c>
      <c r="E371" s="0" t="s">
        <v>1583</v>
      </c>
      <c r="F371" s="0" t="s">
        <v>1584</v>
      </c>
      <c r="G371" s="0" t="s">
        <v>144</v>
      </c>
      <c r="H371" s="0" t="s">
        <v>7657</v>
      </c>
      <c r="I371" s="0" t="s">
        <v>7338</v>
      </c>
      <c r="J371" s="0" t="s">
        <v>1336</v>
      </c>
      <c r="K371" s="0" t="s">
        <v>7339</v>
      </c>
      <c r="L371" s="0" t="s">
        <v>7340</v>
      </c>
      <c r="M371" s="0" t="s">
        <v>7627</v>
      </c>
      <c r="N371" s="0" t="s">
        <v>7342</v>
      </c>
      <c r="O371" s="0" t="s">
        <v>7360</v>
      </c>
      <c r="P371" s="0" t="s">
        <v>229</v>
      </c>
      <c r="Q371" s="0" t="s">
        <v>7354</v>
      </c>
      <c r="R371" s="0" t="s">
        <v>7435</v>
      </c>
      <c r="S371" s="0" t="s">
        <v>7344</v>
      </c>
      <c r="T371" s="0" t="s">
        <v>681</v>
      </c>
      <c r="V371" s="0" t="s">
        <v>1358</v>
      </c>
      <c r="W371" s="0" t="s">
        <v>64</v>
      </c>
      <c r="X371" s="0" t="s">
        <v>7355</v>
      </c>
      <c r="Y371" s="0" t="s">
        <v>7459</v>
      </c>
      <c r="Z371" s="0" t="s">
        <v>7460</v>
      </c>
      <c r="AA371" s="0" t="s">
        <v>7438</v>
      </c>
      <c r="AC371" s="0" t="s">
        <v>7629</v>
      </c>
      <c r="AE371" s="0" t="s">
        <v>681</v>
      </c>
      <c r="AG371" s="0" t="s">
        <v>230</v>
      </c>
    </row>
    <row r="372" customFormat="false" ht="15" hidden="false" customHeight="false" outlineLevel="0" collapsed="false">
      <c r="A372" s="0" t="s">
        <v>7336</v>
      </c>
      <c r="B372" s="0" t="s">
        <v>1585</v>
      </c>
      <c r="C372" s="0" t="s">
        <v>1586</v>
      </c>
      <c r="D372" s="0" t="s">
        <v>300</v>
      </c>
      <c r="E372" s="0" t="s">
        <v>1587</v>
      </c>
      <c r="F372" s="0" t="s">
        <v>1588</v>
      </c>
      <c r="G372" s="0" t="s">
        <v>144</v>
      </c>
      <c r="H372" s="0" t="s">
        <v>7658</v>
      </c>
      <c r="I372" s="0" t="s">
        <v>7338</v>
      </c>
      <c r="J372" s="0" t="s">
        <v>1336</v>
      </c>
      <c r="K372" s="0" t="s">
        <v>7339</v>
      </c>
      <c r="L372" s="0" t="s">
        <v>7340</v>
      </c>
      <c r="M372" s="0" t="s">
        <v>7627</v>
      </c>
      <c r="N372" s="0" t="s">
        <v>7342</v>
      </c>
      <c r="O372" s="0" t="s">
        <v>7360</v>
      </c>
      <c r="P372" s="0" t="s">
        <v>229</v>
      </c>
      <c r="Q372" s="0" t="s">
        <v>7354</v>
      </c>
      <c r="R372" s="0" t="s">
        <v>7435</v>
      </c>
      <c r="S372" s="0" t="s">
        <v>7344</v>
      </c>
      <c r="T372" s="0" t="s">
        <v>681</v>
      </c>
      <c r="V372" s="0" t="s">
        <v>1358</v>
      </c>
      <c r="W372" s="0" t="s">
        <v>64</v>
      </c>
      <c r="X372" s="0" t="s">
        <v>7355</v>
      </c>
      <c r="Y372" s="0" t="s">
        <v>7459</v>
      </c>
      <c r="Z372" s="0" t="s">
        <v>7460</v>
      </c>
      <c r="AA372" s="0" t="s">
        <v>7438</v>
      </c>
      <c r="AC372" s="0" t="s">
        <v>7629</v>
      </c>
      <c r="AE372" s="0" t="s">
        <v>681</v>
      </c>
      <c r="AG372" s="0" t="s">
        <v>230</v>
      </c>
    </row>
    <row r="373" customFormat="false" ht="15" hidden="false" customHeight="false" outlineLevel="0" collapsed="false">
      <c r="A373" s="0" t="s">
        <v>7336</v>
      </c>
      <c r="B373" s="0" t="s">
        <v>1589</v>
      </c>
      <c r="C373" s="0" t="s">
        <v>1590</v>
      </c>
      <c r="D373" s="0" t="s">
        <v>300</v>
      </c>
      <c r="E373" s="0" t="s">
        <v>1591</v>
      </c>
      <c r="F373" s="0" t="s">
        <v>1592</v>
      </c>
      <c r="G373" s="0" t="s">
        <v>144</v>
      </c>
      <c r="H373" s="0" t="s">
        <v>7659</v>
      </c>
      <c r="I373" s="0" t="s">
        <v>7338</v>
      </c>
      <c r="J373" s="0" t="s">
        <v>1336</v>
      </c>
      <c r="K373" s="0" t="s">
        <v>7339</v>
      </c>
      <c r="L373" s="0" t="s">
        <v>7340</v>
      </c>
      <c r="M373" s="0" t="s">
        <v>7627</v>
      </c>
      <c r="N373" s="0" t="s">
        <v>7342</v>
      </c>
      <c r="O373" s="0" t="s">
        <v>7360</v>
      </c>
      <c r="P373" s="0" t="s">
        <v>229</v>
      </c>
      <c r="Q373" s="0" t="s">
        <v>7354</v>
      </c>
      <c r="R373" s="0" t="s">
        <v>7435</v>
      </c>
      <c r="S373" s="0" t="s">
        <v>7344</v>
      </c>
      <c r="T373" s="0" t="s">
        <v>681</v>
      </c>
      <c r="V373" s="0" t="s">
        <v>1358</v>
      </c>
      <c r="W373" s="0" t="s">
        <v>64</v>
      </c>
      <c r="X373" s="0" t="s">
        <v>7355</v>
      </c>
      <c r="Y373" s="0" t="s">
        <v>7459</v>
      </c>
      <c r="Z373" s="0" t="s">
        <v>7460</v>
      </c>
      <c r="AA373" s="0" t="s">
        <v>7438</v>
      </c>
      <c r="AC373" s="0" t="s">
        <v>7629</v>
      </c>
      <c r="AE373" s="0" t="s">
        <v>681</v>
      </c>
      <c r="AG373" s="0" t="s">
        <v>230</v>
      </c>
    </row>
    <row r="374" customFormat="false" ht="15" hidden="false" customHeight="false" outlineLevel="0" collapsed="false">
      <c r="A374" s="0" t="s">
        <v>7336</v>
      </c>
      <c r="B374" s="0" t="s">
        <v>1593</v>
      </c>
      <c r="C374" s="0" t="s">
        <v>1594</v>
      </c>
      <c r="D374" s="0" t="s">
        <v>300</v>
      </c>
      <c r="E374" s="0" t="s">
        <v>1595</v>
      </c>
      <c r="F374" s="0" t="s">
        <v>1494</v>
      </c>
      <c r="G374" s="0" t="s">
        <v>144</v>
      </c>
      <c r="H374" s="0" t="s">
        <v>7648</v>
      </c>
      <c r="I374" s="0" t="s">
        <v>7338</v>
      </c>
      <c r="J374" s="0" t="s">
        <v>1336</v>
      </c>
      <c r="K374" s="0" t="s">
        <v>7339</v>
      </c>
      <c r="L374" s="0" t="s">
        <v>7340</v>
      </c>
      <c r="M374" s="0" t="s">
        <v>7627</v>
      </c>
      <c r="N374" s="0" t="s">
        <v>7342</v>
      </c>
      <c r="O374" s="0" t="s">
        <v>7360</v>
      </c>
      <c r="P374" s="0" t="s">
        <v>229</v>
      </c>
      <c r="Q374" s="0" t="s">
        <v>7354</v>
      </c>
      <c r="R374" s="0" t="s">
        <v>7435</v>
      </c>
      <c r="S374" s="0" t="s">
        <v>7344</v>
      </c>
      <c r="T374" s="0" t="s">
        <v>681</v>
      </c>
      <c r="V374" s="0" t="s">
        <v>1358</v>
      </c>
      <c r="W374" s="0" t="s">
        <v>64</v>
      </c>
      <c r="X374" s="0" t="s">
        <v>7355</v>
      </c>
      <c r="Y374" s="0" t="s">
        <v>7459</v>
      </c>
      <c r="Z374" s="0" t="s">
        <v>7460</v>
      </c>
      <c r="AA374" s="0" t="s">
        <v>7438</v>
      </c>
      <c r="AC374" s="0" t="s">
        <v>7629</v>
      </c>
      <c r="AE374" s="0" t="s">
        <v>681</v>
      </c>
      <c r="AG374" s="0" t="s">
        <v>230</v>
      </c>
    </row>
    <row r="375" customFormat="false" ht="15" hidden="false" customHeight="false" outlineLevel="0" collapsed="false">
      <c r="A375" s="0" t="s">
        <v>7336</v>
      </c>
      <c r="B375" s="0" t="s">
        <v>1596</v>
      </c>
      <c r="C375" s="0" t="s">
        <v>1597</v>
      </c>
      <c r="D375" s="0" t="s">
        <v>300</v>
      </c>
      <c r="E375" s="0" t="s">
        <v>1595</v>
      </c>
      <c r="F375" s="0" t="s">
        <v>1494</v>
      </c>
      <c r="G375" s="0" t="s">
        <v>144</v>
      </c>
      <c r="H375" s="0" t="s">
        <v>7648</v>
      </c>
      <c r="I375" s="0" t="s">
        <v>7338</v>
      </c>
      <c r="J375" s="0" t="s">
        <v>1336</v>
      </c>
      <c r="K375" s="0" t="s">
        <v>7339</v>
      </c>
      <c r="L375" s="0" t="s">
        <v>7340</v>
      </c>
      <c r="M375" s="0" t="s">
        <v>7627</v>
      </c>
      <c r="N375" s="0" t="s">
        <v>7342</v>
      </c>
      <c r="O375" s="0" t="s">
        <v>7360</v>
      </c>
      <c r="P375" s="0" t="s">
        <v>229</v>
      </c>
      <c r="Q375" s="0" t="s">
        <v>7354</v>
      </c>
      <c r="R375" s="0" t="s">
        <v>7435</v>
      </c>
      <c r="S375" s="0" t="s">
        <v>7344</v>
      </c>
      <c r="T375" s="0" t="s">
        <v>681</v>
      </c>
      <c r="V375" s="0" t="s">
        <v>1358</v>
      </c>
      <c r="W375" s="0" t="s">
        <v>64</v>
      </c>
      <c r="X375" s="0" t="s">
        <v>7355</v>
      </c>
      <c r="Y375" s="0" t="s">
        <v>7459</v>
      </c>
      <c r="Z375" s="0" t="s">
        <v>7460</v>
      </c>
      <c r="AA375" s="0" t="s">
        <v>7438</v>
      </c>
      <c r="AC375" s="0" t="s">
        <v>7629</v>
      </c>
      <c r="AE375" s="0" t="s">
        <v>681</v>
      </c>
      <c r="AG375" s="0" t="s">
        <v>230</v>
      </c>
    </row>
    <row r="376" customFormat="false" ht="15" hidden="false" customHeight="false" outlineLevel="0" collapsed="false">
      <c r="A376" s="0" t="s">
        <v>7336</v>
      </c>
      <c r="B376" s="0" t="s">
        <v>1598</v>
      </c>
      <c r="C376" s="0" t="s">
        <v>1599</v>
      </c>
      <c r="D376" s="0" t="s">
        <v>227</v>
      </c>
      <c r="E376" s="0" t="s">
        <v>1600</v>
      </c>
      <c r="F376" s="0" t="s">
        <v>1601</v>
      </c>
      <c r="G376" s="0" t="s">
        <v>184</v>
      </c>
      <c r="H376" s="0" t="s">
        <v>7660</v>
      </c>
      <c r="I376" s="0" t="s">
        <v>7338</v>
      </c>
      <c r="J376" s="0" t="s">
        <v>1602</v>
      </c>
      <c r="K376" s="0" t="s">
        <v>7339</v>
      </c>
      <c r="L376" s="0" t="s">
        <v>7340</v>
      </c>
      <c r="M376" s="0" t="s">
        <v>7661</v>
      </c>
      <c r="N376" s="0" t="s">
        <v>7342</v>
      </c>
      <c r="P376" s="0" t="s">
        <v>229</v>
      </c>
      <c r="Q376" s="0" t="s">
        <v>7354</v>
      </c>
      <c r="R376" s="0" t="s">
        <v>7343</v>
      </c>
      <c r="S376" s="0" t="s">
        <v>7344</v>
      </c>
      <c r="T376" s="0" t="s">
        <v>228</v>
      </c>
      <c r="V376" s="0" t="s">
        <v>86</v>
      </c>
      <c r="W376" s="0" t="s">
        <v>88</v>
      </c>
      <c r="X376" s="0" t="s">
        <v>7355</v>
      </c>
      <c r="Z376" s="0" t="s">
        <v>7662</v>
      </c>
      <c r="AB376" s="0" t="s">
        <v>237</v>
      </c>
      <c r="AC376" s="0" t="s">
        <v>7629</v>
      </c>
      <c r="AD376" s="0" t="s">
        <v>7663</v>
      </c>
      <c r="AE376" s="0" t="s">
        <v>7360</v>
      </c>
      <c r="AF376" s="0" t="s">
        <v>7361</v>
      </c>
      <c r="AG376" s="0" t="s">
        <v>230</v>
      </c>
    </row>
    <row r="377" customFormat="false" ht="15" hidden="false" customHeight="false" outlineLevel="0" collapsed="false">
      <c r="A377" s="0" t="s">
        <v>7336</v>
      </c>
      <c r="B377" s="0" t="s">
        <v>1603</v>
      </c>
      <c r="C377" s="0" t="s">
        <v>1604</v>
      </c>
      <c r="D377" s="0" t="s">
        <v>227</v>
      </c>
      <c r="E377" s="0" t="s">
        <v>1605</v>
      </c>
      <c r="F377" s="0" t="s">
        <v>1601</v>
      </c>
      <c r="G377" s="0" t="s">
        <v>184</v>
      </c>
      <c r="H377" s="0" t="s">
        <v>7660</v>
      </c>
      <c r="I377" s="0" t="s">
        <v>7338</v>
      </c>
      <c r="J377" s="0" t="s">
        <v>1602</v>
      </c>
      <c r="K377" s="0" t="s">
        <v>7339</v>
      </c>
      <c r="L377" s="0" t="s">
        <v>7340</v>
      </c>
      <c r="M377" s="0" t="s">
        <v>7661</v>
      </c>
      <c r="N377" s="0" t="s">
        <v>7342</v>
      </c>
      <c r="P377" s="0" t="s">
        <v>229</v>
      </c>
      <c r="Q377" s="0" t="s">
        <v>7354</v>
      </c>
      <c r="R377" s="0" t="s">
        <v>7343</v>
      </c>
      <c r="S377" s="0" t="s">
        <v>7344</v>
      </c>
      <c r="T377" s="0" t="s">
        <v>228</v>
      </c>
      <c r="V377" s="0" t="s">
        <v>86</v>
      </c>
      <c r="W377" s="0" t="s">
        <v>88</v>
      </c>
      <c r="X377" s="0" t="s">
        <v>7355</v>
      </c>
      <c r="Z377" s="0" t="s">
        <v>7662</v>
      </c>
      <c r="AB377" s="0" t="s">
        <v>237</v>
      </c>
      <c r="AC377" s="0" t="s">
        <v>7629</v>
      </c>
      <c r="AD377" s="0" t="s">
        <v>7663</v>
      </c>
      <c r="AE377" s="0" t="s">
        <v>7360</v>
      </c>
      <c r="AF377" s="0" t="s">
        <v>7361</v>
      </c>
      <c r="AG377" s="0" t="s">
        <v>230</v>
      </c>
    </row>
    <row r="378" customFormat="false" ht="15" hidden="false" customHeight="false" outlineLevel="0" collapsed="false">
      <c r="A378" s="0" t="s">
        <v>7336</v>
      </c>
      <c r="B378" s="0" t="s">
        <v>1606</v>
      </c>
      <c r="C378" s="0" t="s">
        <v>1607</v>
      </c>
      <c r="D378" s="0" t="s">
        <v>227</v>
      </c>
      <c r="E378" s="0" t="s">
        <v>1608</v>
      </c>
      <c r="F378" s="0" t="s">
        <v>1601</v>
      </c>
      <c r="G378" s="0" t="s">
        <v>184</v>
      </c>
      <c r="H378" s="0" t="s">
        <v>7660</v>
      </c>
      <c r="I378" s="0" t="s">
        <v>7338</v>
      </c>
      <c r="J378" s="0" t="s">
        <v>1602</v>
      </c>
      <c r="K378" s="0" t="s">
        <v>7339</v>
      </c>
      <c r="L378" s="0" t="s">
        <v>7340</v>
      </c>
      <c r="M378" s="0" t="s">
        <v>7661</v>
      </c>
      <c r="N378" s="0" t="s">
        <v>7342</v>
      </c>
      <c r="P378" s="0" t="s">
        <v>229</v>
      </c>
      <c r="Q378" s="0" t="s">
        <v>7354</v>
      </c>
      <c r="R378" s="0" t="s">
        <v>7343</v>
      </c>
      <c r="S378" s="0" t="s">
        <v>7344</v>
      </c>
      <c r="T378" s="0" t="s">
        <v>228</v>
      </c>
      <c r="V378" s="0" t="s">
        <v>86</v>
      </c>
      <c r="W378" s="0" t="s">
        <v>88</v>
      </c>
      <c r="X378" s="0" t="s">
        <v>7355</v>
      </c>
      <c r="Z378" s="0" t="s">
        <v>7662</v>
      </c>
      <c r="AB378" s="0" t="s">
        <v>237</v>
      </c>
      <c r="AC378" s="0" t="s">
        <v>7629</v>
      </c>
      <c r="AD378" s="0" t="s">
        <v>7663</v>
      </c>
      <c r="AE378" s="0" t="s">
        <v>7360</v>
      </c>
      <c r="AF378" s="0" t="s">
        <v>7361</v>
      </c>
      <c r="AG378" s="0" t="s">
        <v>230</v>
      </c>
    </row>
    <row r="379" customFormat="false" ht="15" hidden="false" customHeight="false" outlineLevel="0" collapsed="false">
      <c r="A379" s="0" t="s">
        <v>7336</v>
      </c>
      <c r="B379" s="0" t="s">
        <v>1609</v>
      </c>
      <c r="C379" s="0" t="s">
        <v>1610</v>
      </c>
      <c r="D379" s="0" t="s">
        <v>227</v>
      </c>
      <c r="E379" s="0" t="s">
        <v>1611</v>
      </c>
      <c r="F379" s="0" t="s">
        <v>1601</v>
      </c>
      <c r="G379" s="0" t="s">
        <v>184</v>
      </c>
      <c r="H379" s="0" t="s">
        <v>7660</v>
      </c>
      <c r="I379" s="0" t="s">
        <v>7338</v>
      </c>
      <c r="J379" s="0" t="s">
        <v>1602</v>
      </c>
      <c r="K379" s="0" t="s">
        <v>7339</v>
      </c>
      <c r="L379" s="0" t="s">
        <v>7340</v>
      </c>
      <c r="M379" s="0" t="s">
        <v>7661</v>
      </c>
      <c r="N379" s="0" t="s">
        <v>7342</v>
      </c>
      <c r="P379" s="0" t="s">
        <v>229</v>
      </c>
      <c r="Q379" s="0" t="s">
        <v>7354</v>
      </c>
      <c r="R379" s="0" t="s">
        <v>7343</v>
      </c>
      <c r="S379" s="0" t="s">
        <v>7344</v>
      </c>
      <c r="T379" s="0" t="s">
        <v>228</v>
      </c>
      <c r="V379" s="0" t="s">
        <v>86</v>
      </c>
      <c r="W379" s="0" t="s">
        <v>88</v>
      </c>
      <c r="X379" s="0" t="s">
        <v>7355</v>
      </c>
      <c r="Z379" s="0" t="s">
        <v>7662</v>
      </c>
      <c r="AB379" s="0" t="s">
        <v>237</v>
      </c>
      <c r="AC379" s="0" t="s">
        <v>7629</v>
      </c>
      <c r="AD379" s="0" t="s">
        <v>7663</v>
      </c>
      <c r="AE379" s="0" t="s">
        <v>7360</v>
      </c>
      <c r="AF379" s="0" t="s">
        <v>7361</v>
      </c>
      <c r="AG379" s="0" t="s">
        <v>230</v>
      </c>
    </row>
    <row r="380" customFormat="false" ht="15" hidden="false" customHeight="false" outlineLevel="0" collapsed="false">
      <c r="A380" s="0" t="s">
        <v>7336</v>
      </c>
      <c r="B380" s="0" t="s">
        <v>1612</v>
      </c>
      <c r="C380" s="0" t="s">
        <v>1613</v>
      </c>
      <c r="D380" s="0" t="s">
        <v>227</v>
      </c>
      <c r="E380" s="0" t="s">
        <v>1614</v>
      </c>
      <c r="F380" s="0" t="s">
        <v>1601</v>
      </c>
      <c r="G380" s="0" t="s">
        <v>184</v>
      </c>
      <c r="H380" s="0" t="s">
        <v>7660</v>
      </c>
      <c r="I380" s="0" t="s">
        <v>7338</v>
      </c>
      <c r="J380" s="0" t="s">
        <v>1602</v>
      </c>
      <c r="K380" s="0" t="s">
        <v>7339</v>
      </c>
      <c r="L380" s="0" t="s">
        <v>7340</v>
      </c>
      <c r="M380" s="0" t="s">
        <v>7661</v>
      </c>
      <c r="N380" s="0" t="s">
        <v>7342</v>
      </c>
      <c r="P380" s="0" t="s">
        <v>229</v>
      </c>
      <c r="Q380" s="0" t="s">
        <v>7354</v>
      </c>
      <c r="R380" s="0" t="s">
        <v>7343</v>
      </c>
      <c r="S380" s="0" t="s">
        <v>7344</v>
      </c>
      <c r="T380" s="0" t="s">
        <v>228</v>
      </c>
      <c r="V380" s="0" t="s">
        <v>86</v>
      </c>
      <c r="W380" s="0" t="s">
        <v>88</v>
      </c>
      <c r="X380" s="0" t="s">
        <v>7355</v>
      </c>
      <c r="Z380" s="0" t="s">
        <v>7662</v>
      </c>
      <c r="AB380" s="0" t="s">
        <v>237</v>
      </c>
      <c r="AC380" s="0" t="s">
        <v>7629</v>
      </c>
      <c r="AD380" s="0" t="s">
        <v>7663</v>
      </c>
      <c r="AE380" s="0" t="s">
        <v>7360</v>
      </c>
      <c r="AF380" s="0" t="s">
        <v>7361</v>
      </c>
      <c r="AG380" s="0" t="s">
        <v>230</v>
      </c>
    </row>
    <row r="381" customFormat="false" ht="15" hidden="false" customHeight="false" outlineLevel="0" collapsed="false">
      <c r="A381" s="0" t="s">
        <v>7336</v>
      </c>
      <c r="B381" s="0" t="s">
        <v>1615</v>
      </c>
      <c r="C381" s="0" t="s">
        <v>1616</v>
      </c>
      <c r="D381" s="0" t="s">
        <v>227</v>
      </c>
      <c r="E381" s="0" t="s">
        <v>1617</v>
      </c>
      <c r="F381" s="0" t="s">
        <v>1601</v>
      </c>
      <c r="G381" s="0" t="s">
        <v>184</v>
      </c>
      <c r="H381" s="0" t="s">
        <v>7660</v>
      </c>
      <c r="I381" s="0" t="s">
        <v>7338</v>
      </c>
      <c r="J381" s="0" t="s">
        <v>1602</v>
      </c>
      <c r="K381" s="0" t="s">
        <v>7339</v>
      </c>
      <c r="L381" s="0" t="s">
        <v>7340</v>
      </c>
      <c r="M381" s="0" t="s">
        <v>7661</v>
      </c>
      <c r="N381" s="0" t="s">
        <v>7342</v>
      </c>
      <c r="P381" s="0" t="s">
        <v>229</v>
      </c>
      <c r="Q381" s="0" t="s">
        <v>7354</v>
      </c>
      <c r="R381" s="0" t="s">
        <v>7343</v>
      </c>
      <c r="S381" s="0" t="s">
        <v>7344</v>
      </c>
      <c r="T381" s="0" t="s">
        <v>228</v>
      </c>
      <c r="V381" s="0" t="s">
        <v>86</v>
      </c>
      <c r="W381" s="0" t="s">
        <v>88</v>
      </c>
      <c r="X381" s="0" t="s">
        <v>7355</v>
      </c>
      <c r="Z381" s="0" t="s">
        <v>7662</v>
      </c>
      <c r="AB381" s="0" t="s">
        <v>237</v>
      </c>
      <c r="AC381" s="0" t="s">
        <v>7629</v>
      </c>
      <c r="AD381" s="0" t="s">
        <v>7663</v>
      </c>
      <c r="AE381" s="0" t="s">
        <v>7360</v>
      </c>
      <c r="AF381" s="0" t="s">
        <v>7361</v>
      </c>
      <c r="AG381" s="0" t="s">
        <v>230</v>
      </c>
    </row>
    <row r="382" customFormat="false" ht="15" hidden="false" customHeight="false" outlineLevel="0" collapsed="false">
      <c r="A382" s="0" t="s">
        <v>7336</v>
      </c>
      <c r="B382" s="0" t="s">
        <v>1618</v>
      </c>
      <c r="C382" s="0" t="s">
        <v>1619</v>
      </c>
      <c r="D382" s="0" t="s">
        <v>227</v>
      </c>
      <c r="E382" s="0" t="s">
        <v>1620</v>
      </c>
      <c r="F382" s="0" t="s">
        <v>1621</v>
      </c>
      <c r="G382" s="0" t="s">
        <v>184</v>
      </c>
      <c r="H382" s="0" t="s">
        <v>7664</v>
      </c>
      <c r="I382" s="0" t="s">
        <v>7338</v>
      </c>
      <c r="J382" s="0" t="s">
        <v>1602</v>
      </c>
      <c r="K382" s="0" t="s">
        <v>7339</v>
      </c>
      <c r="L382" s="0" t="s">
        <v>7340</v>
      </c>
      <c r="M382" s="0" t="s">
        <v>7661</v>
      </c>
      <c r="N382" s="0" t="s">
        <v>7342</v>
      </c>
      <c r="P382" s="0" t="s">
        <v>229</v>
      </c>
      <c r="Q382" s="0" t="s">
        <v>7354</v>
      </c>
      <c r="R382" s="0" t="s">
        <v>7343</v>
      </c>
      <c r="S382" s="0" t="s">
        <v>7344</v>
      </c>
      <c r="T382" s="0" t="s">
        <v>228</v>
      </c>
      <c r="V382" s="0" t="s">
        <v>86</v>
      </c>
      <c r="W382" s="0" t="s">
        <v>88</v>
      </c>
      <c r="X382" s="0" t="s">
        <v>7355</v>
      </c>
      <c r="Z382" s="0" t="s">
        <v>7662</v>
      </c>
      <c r="AB382" s="0" t="s">
        <v>237</v>
      </c>
      <c r="AC382" s="0" t="s">
        <v>7629</v>
      </c>
      <c r="AD382" s="0" t="s">
        <v>7663</v>
      </c>
      <c r="AE382" s="0" t="s">
        <v>7360</v>
      </c>
      <c r="AF382" s="0" t="s">
        <v>7361</v>
      </c>
      <c r="AG382" s="0" t="s">
        <v>230</v>
      </c>
    </row>
    <row r="383" customFormat="false" ht="15" hidden="false" customHeight="false" outlineLevel="0" collapsed="false">
      <c r="A383" s="0" t="s">
        <v>7336</v>
      </c>
      <c r="B383" s="0" t="s">
        <v>1622</v>
      </c>
      <c r="C383" s="0" t="s">
        <v>1623</v>
      </c>
      <c r="D383" s="0" t="s">
        <v>227</v>
      </c>
      <c r="E383" s="0" t="s">
        <v>1624</v>
      </c>
      <c r="F383" s="0" t="s">
        <v>1621</v>
      </c>
      <c r="G383" s="0" t="s">
        <v>184</v>
      </c>
      <c r="H383" s="0" t="s">
        <v>7664</v>
      </c>
      <c r="I383" s="0" t="s">
        <v>7338</v>
      </c>
      <c r="J383" s="0" t="s">
        <v>1602</v>
      </c>
      <c r="K383" s="0" t="s">
        <v>7339</v>
      </c>
      <c r="L383" s="0" t="s">
        <v>7340</v>
      </c>
      <c r="M383" s="0" t="s">
        <v>7661</v>
      </c>
      <c r="N383" s="0" t="s">
        <v>7342</v>
      </c>
      <c r="P383" s="0" t="s">
        <v>229</v>
      </c>
      <c r="Q383" s="0" t="s">
        <v>7354</v>
      </c>
      <c r="R383" s="0" t="s">
        <v>7343</v>
      </c>
      <c r="S383" s="0" t="s">
        <v>7344</v>
      </c>
      <c r="T383" s="0" t="s">
        <v>228</v>
      </c>
      <c r="V383" s="0" t="s">
        <v>86</v>
      </c>
      <c r="W383" s="0" t="s">
        <v>88</v>
      </c>
      <c r="X383" s="0" t="s">
        <v>7355</v>
      </c>
      <c r="Z383" s="0" t="s">
        <v>7662</v>
      </c>
      <c r="AB383" s="0" t="s">
        <v>237</v>
      </c>
      <c r="AC383" s="0" t="s">
        <v>7629</v>
      </c>
      <c r="AD383" s="0" t="s">
        <v>7663</v>
      </c>
      <c r="AE383" s="0" t="s">
        <v>7360</v>
      </c>
      <c r="AF383" s="0" t="s">
        <v>7361</v>
      </c>
      <c r="AG383" s="0" t="s">
        <v>230</v>
      </c>
    </row>
    <row r="384" customFormat="false" ht="15" hidden="false" customHeight="false" outlineLevel="0" collapsed="false">
      <c r="A384" s="0" t="s">
        <v>7336</v>
      </c>
      <c r="B384" s="0" t="s">
        <v>1625</v>
      </c>
      <c r="C384" s="0" t="s">
        <v>1626</v>
      </c>
      <c r="D384" s="0" t="s">
        <v>227</v>
      </c>
      <c r="E384" s="0" t="s">
        <v>1627</v>
      </c>
      <c r="F384" s="0" t="s">
        <v>1621</v>
      </c>
      <c r="G384" s="0" t="s">
        <v>184</v>
      </c>
      <c r="H384" s="0" t="s">
        <v>7664</v>
      </c>
      <c r="I384" s="0" t="s">
        <v>7338</v>
      </c>
      <c r="J384" s="0" t="s">
        <v>1602</v>
      </c>
      <c r="K384" s="0" t="s">
        <v>7339</v>
      </c>
      <c r="L384" s="0" t="s">
        <v>7340</v>
      </c>
      <c r="M384" s="0" t="s">
        <v>7661</v>
      </c>
      <c r="N384" s="0" t="s">
        <v>7342</v>
      </c>
      <c r="P384" s="0" t="s">
        <v>229</v>
      </c>
      <c r="Q384" s="0" t="s">
        <v>7354</v>
      </c>
      <c r="R384" s="0" t="s">
        <v>7343</v>
      </c>
      <c r="S384" s="0" t="s">
        <v>7344</v>
      </c>
      <c r="T384" s="0" t="s">
        <v>228</v>
      </c>
      <c r="V384" s="0" t="s">
        <v>86</v>
      </c>
      <c r="W384" s="0" t="s">
        <v>88</v>
      </c>
      <c r="X384" s="0" t="s">
        <v>7355</v>
      </c>
      <c r="Z384" s="0" t="s">
        <v>7662</v>
      </c>
      <c r="AB384" s="0" t="s">
        <v>237</v>
      </c>
      <c r="AC384" s="0" t="s">
        <v>7629</v>
      </c>
      <c r="AD384" s="0" t="s">
        <v>7663</v>
      </c>
      <c r="AE384" s="0" t="s">
        <v>7360</v>
      </c>
      <c r="AF384" s="0" t="s">
        <v>7361</v>
      </c>
      <c r="AG384" s="0" t="s">
        <v>230</v>
      </c>
    </row>
    <row r="385" customFormat="false" ht="15" hidden="false" customHeight="false" outlineLevel="0" collapsed="false">
      <c r="A385" s="0" t="s">
        <v>7336</v>
      </c>
      <c r="B385" s="0" t="s">
        <v>1628</v>
      </c>
      <c r="C385" s="0" t="s">
        <v>1629</v>
      </c>
      <c r="D385" s="0" t="s">
        <v>227</v>
      </c>
      <c r="E385" s="0" t="s">
        <v>1630</v>
      </c>
      <c r="F385" s="0" t="s">
        <v>1621</v>
      </c>
      <c r="G385" s="0" t="s">
        <v>184</v>
      </c>
      <c r="H385" s="0" t="s">
        <v>7664</v>
      </c>
      <c r="I385" s="0" t="s">
        <v>7338</v>
      </c>
      <c r="J385" s="0" t="s">
        <v>1602</v>
      </c>
      <c r="K385" s="0" t="s">
        <v>7339</v>
      </c>
      <c r="L385" s="0" t="s">
        <v>7340</v>
      </c>
      <c r="M385" s="0" t="s">
        <v>7661</v>
      </c>
      <c r="N385" s="0" t="s">
        <v>7342</v>
      </c>
      <c r="P385" s="0" t="s">
        <v>229</v>
      </c>
      <c r="Q385" s="0" t="s">
        <v>7354</v>
      </c>
      <c r="R385" s="0" t="s">
        <v>7343</v>
      </c>
      <c r="S385" s="0" t="s">
        <v>7344</v>
      </c>
      <c r="T385" s="0" t="s">
        <v>228</v>
      </c>
      <c r="V385" s="0" t="s">
        <v>86</v>
      </c>
      <c r="W385" s="0" t="s">
        <v>88</v>
      </c>
      <c r="X385" s="0" t="s">
        <v>7355</v>
      </c>
      <c r="Z385" s="0" t="s">
        <v>7662</v>
      </c>
      <c r="AB385" s="0" t="s">
        <v>237</v>
      </c>
      <c r="AC385" s="0" t="s">
        <v>7629</v>
      </c>
      <c r="AD385" s="0" t="s">
        <v>7663</v>
      </c>
      <c r="AE385" s="0" t="s">
        <v>7360</v>
      </c>
      <c r="AF385" s="0" t="s">
        <v>7361</v>
      </c>
      <c r="AG385" s="0" t="s">
        <v>230</v>
      </c>
    </row>
    <row r="386" customFormat="false" ht="15" hidden="false" customHeight="false" outlineLevel="0" collapsed="false">
      <c r="A386" s="0" t="s">
        <v>7336</v>
      </c>
      <c r="B386" s="0" t="s">
        <v>1631</v>
      </c>
      <c r="C386" s="0" t="s">
        <v>1632</v>
      </c>
      <c r="D386" s="0" t="s">
        <v>227</v>
      </c>
      <c r="E386" s="0" t="s">
        <v>1633</v>
      </c>
      <c r="F386" s="0" t="s">
        <v>1601</v>
      </c>
      <c r="G386" s="0" t="s">
        <v>184</v>
      </c>
      <c r="H386" s="0" t="s">
        <v>7660</v>
      </c>
      <c r="I386" s="0" t="s">
        <v>7338</v>
      </c>
      <c r="J386" s="0" t="s">
        <v>1602</v>
      </c>
      <c r="K386" s="0" t="s">
        <v>7339</v>
      </c>
      <c r="L386" s="0" t="s">
        <v>7340</v>
      </c>
      <c r="M386" s="0" t="s">
        <v>7661</v>
      </c>
      <c r="N386" s="0" t="s">
        <v>7342</v>
      </c>
      <c r="P386" s="0" t="s">
        <v>229</v>
      </c>
      <c r="Q386" s="0" t="s">
        <v>7354</v>
      </c>
      <c r="R386" s="0" t="s">
        <v>7343</v>
      </c>
      <c r="S386" s="0" t="s">
        <v>7344</v>
      </c>
      <c r="T386" s="0" t="s">
        <v>228</v>
      </c>
      <c r="V386" s="0" t="s">
        <v>86</v>
      </c>
      <c r="W386" s="0" t="s">
        <v>88</v>
      </c>
      <c r="X386" s="0" t="s">
        <v>7355</v>
      </c>
      <c r="Z386" s="0" t="s">
        <v>7662</v>
      </c>
      <c r="AB386" s="0" t="s">
        <v>237</v>
      </c>
      <c r="AC386" s="0" t="s">
        <v>7629</v>
      </c>
      <c r="AD386" s="0" t="s">
        <v>7663</v>
      </c>
      <c r="AE386" s="0" t="s">
        <v>7360</v>
      </c>
      <c r="AF386" s="0" t="s">
        <v>7361</v>
      </c>
      <c r="AG386" s="0" t="s">
        <v>230</v>
      </c>
    </row>
    <row r="387" customFormat="false" ht="15" hidden="false" customHeight="false" outlineLevel="0" collapsed="false">
      <c r="A387" s="0" t="s">
        <v>7336</v>
      </c>
      <c r="B387" s="0" t="s">
        <v>1634</v>
      </c>
      <c r="C387" s="0" t="s">
        <v>1635</v>
      </c>
      <c r="D387" s="0" t="s">
        <v>227</v>
      </c>
      <c r="E387" s="0" t="s">
        <v>1636</v>
      </c>
      <c r="F387" s="0" t="s">
        <v>1601</v>
      </c>
      <c r="G387" s="0" t="s">
        <v>184</v>
      </c>
      <c r="H387" s="0" t="s">
        <v>7660</v>
      </c>
      <c r="I387" s="0" t="s">
        <v>7338</v>
      </c>
      <c r="J387" s="0" t="s">
        <v>1602</v>
      </c>
      <c r="K387" s="0" t="s">
        <v>7339</v>
      </c>
      <c r="L387" s="0" t="s">
        <v>7340</v>
      </c>
      <c r="M387" s="0" t="s">
        <v>7661</v>
      </c>
      <c r="N387" s="0" t="s">
        <v>7342</v>
      </c>
      <c r="P387" s="0" t="s">
        <v>229</v>
      </c>
      <c r="Q387" s="0" t="s">
        <v>7354</v>
      </c>
      <c r="R387" s="0" t="s">
        <v>7343</v>
      </c>
      <c r="S387" s="0" t="s">
        <v>7344</v>
      </c>
      <c r="T387" s="0" t="s">
        <v>228</v>
      </c>
      <c r="V387" s="0" t="s">
        <v>86</v>
      </c>
      <c r="W387" s="0" t="s">
        <v>88</v>
      </c>
      <c r="X387" s="0" t="s">
        <v>7355</v>
      </c>
      <c r="Z387" s="0" t="s">
        <v>7662</v>
      </c>
      <c r="AB387" s="0" t="s">
        <v>237</v>
      </c>
      <c r="AC387" s="0" t="s">
        <v>7629</v>
      </c>
      <c r="AD387" s="0" t="s">
        <v>7663</v>
      </c>
      <c r="AE387" s="0" t="s">
        <v>7360</v>
      </c>
      <c r="AF387" s="0" t="s">
        <v>7361</v>
      </c>
      <c r="AG387" s="0" t="s">
        <v>230</v>
      </c>
    </row>
    <row r="388" customFormat="false" ht="15" hidden="false" customHeight="false" outlineLevel="0" collapsed="false">
      <c r="A388" s="0" t="s">
        <v>7336</v>
      </c>
      <c r="B388" s="0" t="s">
        <v>1637</v>
      </c>
      <c r="C388" s="0" t="s">
        <v>1638</v>
      </c>
      <c r="D388" s="0" t="s">
        <v>227</v>
      </c>
      <c r="E388" s="0" t="s">
        <v>1639</v>
      </c>
      <c r="F388" s="0" t="s">
        <v>1621</v>
      </c>
      <c r="G388" s="0" t="s">
        <v>184</v>
      </c>
      <c r="H388" s="0" t="s">
        <v>7664</v>
      </c>
      <c r="I388" s="0" t="s">
        <v>7338</v>
      </c>
      <c r="J388" s="0" t="s">
        <v>1602</v>
      </c>
      <c r="K388" s="0" t="s">
        <v>7339</v>
      </c>
      <c r="L388" s="0" t="s">
        <v>7340</v>
      </c>
      <c r="M388" s="0" t="s">
        <v>7661</v>
      </c>
      <c r="N388" s="0" t="s">
        <v>7342</v>
      </c>
      <c r="P388" s="0" t="s">
        <v>229</v>
      </c>
      <c r="Q388" s="0" t="s">
        <v>7354</v>
      </c>
      <c r="R388" s="0" t="s">
        <v>7343</v>
      </c>
      <c r="S388" s="0" t="s">
        <v>7344</v>
      </c>
      <c r="T388" s="0" t="s">
        <v>228</v>
      </c>
      <c r="V388" s="0" t="s">
        <v>1358</v>
      </c>
      <c r="W388" s="0" t="s">
        <v>68</v>
      </c>
      <c r="X388" s="0" t="s">
        <v>7355</v>
      </c>
      <c r="AB388" s="0" t="s">
        <v>1640</v>
      </c>
      <c r="AC388" s="0" t="s">
        <v>7629</v>
      </c>
      <c r="AD388" s="0" t="s">
        <v>7665</v>
      </c>
      <c r="AE388" s="0" t="s">
        <v>7360</v>
      </c>
      <c r="AF388" s="0" t="s">
        <v>7361</v>
      </c>
      <c r="AG388" s="0" t="s">
        <v>230</v>
      </c>
    </row>
    <row r="389" customFormat="false" ht="15" hidden="false" customHeight="false" outlineLevel="0" collapsed="false">
      <c r="A389" s="0" t="s">
        <v>7336</v>
      </c>
      <c r="B389" s="0" t="s">
        <v>1641</v>
      </c>
      <c r="C389" s="0" t="s">
        <v>1642</v>
      </c>
      <c r="D389" s="0" t="s">
        <v>227</v>
      </c>
      <c r="E389" s="0" t="s">
        <v>1643</v>
      </c>
      <c r="F389" s="0" t="s">
        <v>1621</v>
      </c>
      <c r="G389" s="0" t="s">
        <v>184</v>
      </c>
      <c r="H389" s="0" t="s">
        <v>7664</v>
      </c>
      <c r="I389" s="0" t="s">
        <v>7338</v>
      </c>
      <c r="J389" s="0" t="s">
        <v>1602</v>
      </c>
      <c r="K389" s="0" t="s">
        <v>7339</v>
      </c>
      <c r="L389" s="0" t="s">
        <v>7340</v>
      </c>
      <c r="M389" s="0" t="s">
        <v>7661</v>
      </c>
      <c r="N389" s="0" t="s">
        <v>7342</v>
      </c>
      <c r="P389" s="0" t="s">
        <v>229</v>
      </c>
      <c r="Q389" s="0" t="s">
        <v>7354</v>
      </c>
      <c r="R389" s="0" t="s">
        <v>7343</v>
      </c>
      <c r="S389" s="0" t="s">
        <v>7344</v>
      </c>
      <c r="T389" s="0" t="s">
        <v>228</v>
      </c>
      <c r="V389" s="0" t="s">
        <v>1358</v>
      </c>
      <c r="W389" s="0" t="s">
        <v>68</v>
      </c>
      <c r="X389" s="0" t="s">
        <v>7355</v>
      </c>
      <c r="AB389" s="0" t="s">
        <v>1640</v>
      </c>
      <c r="AC389" s="0" t="s">
        <v>7629</v>
      </c>
      <c r="AD389" s="0" t="s">
        <v>7665</v>
      </c>
      <c r="AE389" s="0" t="s">
        <v>7360</v>
      </c>
      <c r="AF389" s="0" t="s">
        <v>7361</v>
      </c>
      <c r="AG389" s="0" t="s">
        <v>230</v>
      </c>
    </row>
    <row r="390" customFormat="false" ht="15" hidden="false" customHeight="false" outlineLevel="0" collapsed="false">
      <c r="A390" s="0" t="s">
        <v>7336</v>
      </c>
      <c r="B390" s="0" t="s">
        <v>1644</v>
      </c>
      <c r="C390" s="0" t="s">
        <v>1645</v>
      </c>
      <c r="D390" s="0" t="s">
        <v>227</v>
      </c>
      <c r="E390" s="0" t="s">
        <v>1646</v>
      </c>
      <c r="F390" s="0" t="s">
        <v>1621</v>
      </c>
      <c r="G390" s="0" t="s">
        <v>184</v>
      </c>
      <c r="H390" s="0" t="s">
        <v>7664</v>
      </c>
      <c r="I390" s="0" t="s">
        <v>7338</v>
      </c>
      <c r="J390" s="0" t="s">
        <v>1602</v>
      </c>
      <c r="K390" s="0" t="s">
        <v>7339</v>
      </c>
      <c r="L390" s="0" t="s">
        <v>7340</v>
      </c>
      <c r="M390" s="0" t="s">
        <v>7661</v>
      </c>
      <c r="N390" s="0" t="s">
        <v>7342</v>
      </c>
      <c r="P390" s="0" t="s">
        <v>229</v>
      </c>
      <c r="Q390" s="0" t="s">
        <v>7354</v>
      </c>
      <c r="R390" s="0" t="s">
        <v>7343</v>
      </c>
      <c r="S390" s="0" t="s">
        <v>7344</v>
      </c>
      <c r="T390" s="0" t="s">
        <v>228</v>
      </c>
      <c r="V390" s="0" t="s">
        <v>86</v>
      </c>
      <c r="W390" s="0" t="s">
        <v>88</v>
      </c>
      <c r="X390" s="0" t="s">
        <v>7355</v>
      </c>
      <c r="Z390" s="0" t="s">
        <v>7662</v>
      </c>
      <c r="AB390" s="0" t="s">
        <v>237</v>
      </c>
      <c r="AC390" s="0" t="s">
        <v>7629</v>
      </c>
      <c r="AD390" s="0" t="s">
        <v>7663</v>
      </c>
      <c r="AE390" s="0" t="s">
        <v>7360</v>
      </c>
      <c r="AF390" s="0" t="s">
        <v>7361</v>
      </c>
      <c r="AG390" s="0" t="s">
        <v>230</v>
      </c>
    </row>
    <row r="391" customFormat="false" ht="15" hidden="false" customHeight="false" outlineLevel="0" collapsed="false">
      <c r="A391" s="0" t="s">
        <v>7336</v>
      </c>
      <c r="B391" s="0" t="s">
        <v>1647</v>
      </c>
      <c r="C391" s="0" t="s">
        <v>1648</v>
      </c>
      <c r="D391" s="0" t="s">
        <v>227</v>
      </c>
      <c r="E391" s="0" t="s">
        <v>1649</v>
      </c>
      <c r="F391" s="0" t="s">
        <v>1601</v>
      </c>
      <c r="G391" s="0" t="s">
        <v>184</v>
      </c>
      <c r="H391" s="0" t="s">
        <v>7660</v>
      </c>
      <c r="I391" s="0" t="s">
        <v>7338</v>
      </c>
      <c r="J391" s="0" t="s">
        <v>1602</v>
      </c>
      <c r="K391" s="0" t="s">
        <v>7339</v>
      </c>
      <c r="L391" s="0" t="s">
        <v>7340</v>
      </c>
      <c r="M391" s="0" t="s">
        <v>7661</v>
      </c>
      <c r="N391" s="0" t="s">
        <v>7342</v>
      </c>
      <c r="P391" s="0" t="s">
        <v>229</v>
      </c>
      <c r="Q391" s="0" t="s">
        <v>7354</v>
      </c>
      <c r="R391" s="0" t="s">
        <v>7343</v>
      </c>
      <c r="S391" s="0" t="s">
        <v>7344</v>
      </c>
      <c r="T391" s="0" t="s">
        <v>228</v>
      </c>
      <c r="V391" s="0" t="s">
        <v>1358</v>
      </c>
      <c r="W391" s="0" t="s">
        <v>68</v>
      </c>
      <c r="X391" s="0" t="s">
        <v>7355</v>
      </c>
      <c r="AB391" s="0" t="s">
        <v>1640</v>
      </c>
      <c r="AC391" s="0" t="s">
        <v>7629</v>
      </c>
      <c r="AD391" s="0" t="s">
        <v>7665</v>
      </c>
      <c r="AE391" s="0" t="s">
        <v>7360</v>
      </c>
      <c r="AF391" s="0" t="s">
        <v>7361</v>
      </c>
      <c r="AG391" s="0" t="s">
        <v>230</v>
      </c>
    </row>
    <row r="392" customFormat="false" ht="15" hidden="false" customHeight="false" outlineLevel="0" collapsed="false">
      <c r="A392" s="0" t="s">
        <v>7336</v>
      </c>
      <c r="B392" s="0" t="s">
        <v>1650</v>
      </c>
      <c r="C392" s="0" t="s">
        <v>1651</v>
      </c>
      <c r="D392" s="0" t="s">
        <v>227</v>
      </c>
      <c r="E392" s="0" t="s">
        <v>1652</v>
      </c>
      <c r="F392" s="0" t="s">
        <v>1601</v>
      </c>
      <c r="G392" s="0" t="s">
        <v>184</v>
      </c>
      <c r="H392" s="0" t="s">
        <v>7660</v>
      </c>
      <c r="I392" s="0" t="s">
        <v>7338</v>
      </c>
      <c r="J392" s="0" t="s">
        <v>1602</v>
      </c>
      <c r="K392" s="0" t="s">
        <v>7339</v>
      </c>
      <c r="L392" s="0" t="s">
        <v>7340</v>
      </c>
      <c r="M392" s="0" t="s">
        <v>7661</v>
      </c>
      <c r="N392" s="0" t="s">
        <v>7342</v>
      </c>
      <c r="P392" s="0" t="s">
        <v>229</v>
      </c>
      <c r="Q392" s="0" t="s">
        <v>7354</v>
      </c>
      <c r="R392" s="0" t="s">
        <v>7343</v>
      </c>
      <c r="S392" s="0" t="s">
        <v>7344</v>
      </c>
      <c r="T392" s="0" t="s">
        <v>228</v>
      </c>
      <c r="V392" s="0" t="s">
        <v>1358</v>
      </c>
      <c r="W392" s="0" t="s">
        <v>68</v>
      </c>
      <c r="X392" s="0" t="s">
        <v>7355</v>
      </c>
      <c r="AB392" s="0" t="s">
        <v>1640</v>
      </c>
      <c r="AC392" s="0" t="s">
        <v>7629</v>
      </c>
      <c r="AD392" s="0" t="s">
        <v>7665</v>
      </c>
      <c r="AE392" s="0" t="s">
        <v>7360</v>
      </c>
      <c r="AF392" s="0" t="s">
        <v>7361</v>
      </c>
      <c r="AG392" s="0" t="s">
        <v>230</v>
      </c>
    </row>
    <row r="393" customFormat="false" ht="15" hidden="false" customHeight="false" outlineLevel="0" collapsed="false">
      <c r="A393" s="0" t="s">
        <v>7336</v>
      </c>
      <c r="B393" s="0" t="s">
        <v>1653</v>
      </c>
      <c r="C393" s="0" t="s">
        <v>1654</v>
      </c>
      <c r="D393" s="0" t="s">
        <v>227</v>
      </c>
      <c r="E393" s="0" t="s">
        <v>1655</v>
      </c>
      <c r="F393" s="0" t="s">
        <v>1601</v>
      </c>
      <c r="G393" s="0" t="s">
        <v>184</v>
      </c>
      <c r="H393" s="0" t="s">
        <v>7660</v>
      </c>
      <c r="I393" s="0" t="s">
        <v>7338</v>
      </c>
      <c r="J393" s="0" t="s">
        <v>1602</v>
      </c>
      <c r="K393" s="0" t="s">
        <v>7339</v>
      </c>
      <c r="L393" s="0" t="s">
        <v>7340</v>
      </c>
      <c r="M393" s="0" t="s">
        <v>7661</v>
      </c>
      <c r="N393" s="0" t="s">
        <v>7342</v>
      </c>
      <c r="P393" s="0" t="s">
        <v>229</v>
      </c>
      <c r="Q393" s="0" t="s">
        <v>7354</v>
      </c>
      <c r="R393" s="0" t="s">
        <v>7343</v>
      </c>
      <c r="S393" s="0" t="s">
        <v>7344</v>
      </c>
      <c r="T393" s="0" t="s">
        <v>228</v>
      </c>
      <c r="V393" s="0" t="s">
        <v>86</v>
      </c>
      <c r="W393" s="0" t="s">
        <v>88</v>
      </c>
      <c r="X393" s="0" t="s">
        <v>7355</v>
      </c>
      <c r="Z393" s="0" t="s">
        <v>7662</v>
      </c>
      <c r="AB393" s="0" t="s">
        <v>237</v>
      </c>
      <c r="AC393" s="0" t="s">
        <v>7629</v>
      </c>
      <c r="AD393" s="0" t="s">
        <v>7663</v>
      </c>
      <c r="AE393" s="0" t="s">
        <v>7360</v>
      </c>
      <c r="AF393" s="0" t="s">
        <v>7361</v>
      </c>
      <c r="AG393" s="0" t="s">
        <v>230</v>
      </c>
    </row>
    <row r="394" customFormat="false" ht="15" hidden="false" customHeight="false" outlineLevel="0" collapsed="false">
      <c r="A394" s="0" t="s">
        <v>7336</v>
      </c>
      <c r="B394" s="0" t="s">
        <v>1656</v>
      </c>
      <c r="C394" s="0" t="s">
        <v>1657</v>
      </c>
      <c r="D394" s="0" t="s">
        <v>227</v>
      </c>
      <c r="E394" s="0" t="s">
        <v>1658</v>
      </c>
      <c r="F394" s="0" t="s">
        <v>1659</v>
      </c>
      <c r="G394" s="0" t="s">
        <v>184</v>
      </c>
      <c r="H394" s="0" t="s">
        <v>7666</v>
      </c>
      <c r="I394" s="0" t="s">
        <v>7338</v>
      </c>
      <c r="J394" s="0" t="s">
        <v>1602</v>
      </c>
      <c r="K394" s="0" t="s">
        <v>7339</v>
      </c>
      <c r="L394" s="0" t="s">
        <v>7340</v>
      </c>
      <c r="M394" s="0" t="s">
        <v>7661</v>
      </c>
      <c r="N394" s="0" t="s">
        <v>7342</v>
      </c>
      <c r="P394" s="0" t="s">
        <v>229</v>
      </c>
      <c r="Q394" s="0" t="s">
        <v>7354</v>
      </c>
      <c r="R394" s="0" t="s">
        <v>7343</v>
      </c>
      <c r="S394" s="0" t="s">
        <v>7344</v>
      </c>
      <c r="T394" s="0" t="s">
        <v>58</v>
      </c>
      <c r="V394" s="0" t="s">
        <v>55</v>
      </c>
      <c r="W394" s="0" t="s">
        <v>57</v>
      </c>
      <c r="X394" s="0" t="s">
        <v>7355</v>
      </c>
      <c r="Y394" s="0" t="s">
        <v>7667</v>
      </c>
      <c r="Z394" s="0" t="s">
        <v>7668</v>
      </c>
      <c r="AA394" s="0" t="s">
        <v>7669</v>
      </c>
      <c r="AB394" s="0" t="s">
        <v>237</v>
      </c>
      <c r="AC394" s="0" t="s">
        <v>7629</v>
      </c>
      <c r="AE394" s="0" t="s">
        <v>7360</v>
      </c>
      <c r="AF394" s="0" t="s">
        <v>7361</v>
      </c>
      <c r="AG394" s="0" t="s">
        <v>230</v>
      </c>
    </row>
    <row r="395" customFormat="false" ht="15" hidden="false" customHeight="false" outlineLevel="0" collapsed="false">
      <c r="A395" s="0" t="s">
        <v>7336</v>
      </c>
      <c r="B395" s="0" t="s">
        <v>1660</v>
      </c>
      <c r="C395" s="0" t="s">
        <v>1661</v>
      </c>
      <c r="D395" s="0" t="s">
        <v>227</v>
      </c>
      <c r="E395" s="0" t="s">
        <v>1662</v>
      </c>
      <c r="F395" s="0" t="s">
        <v>1659</v>
      </c>
      <c r="G395" s="0" t="s">
        <v>184</v>
      </c>
      <c r="H395" s="0" t="s">
        <v>7666</v>
      </c>
      <c r="I395" s="0" t="s">
        <v>7338</v>
      </c>
      <c r="J395" s="0" t="s">
        <v>1602</v>
      </c>
      <c r="K395" s="0" t="s">
        <v>7339</v>
      </c>
      <c r="L395" s="0" t="s">
        <v>7340</v>
      </c>
      <c r="M395" s="0" t="s">
        <v>7661</v>
      </c>
      <c r="N395" s="0" t="s">
        <v>7342</v>
      </c>
      <c r="P395" s="0" t="s">
        <v>229</v>
      </c>
      <c r="Q395" s="0" t="s">
        <v>7354</v>
      </c>
      <c r="R395" s="0" t="s">
        <v>7343</v>
      </c>
      <c r="S395" s="0" t="s">
        <v>7344</v>
      </c>
      <c r="T395" s="0" t="s">
        <v>228</v>
      </c>
      <c r="V395" s="0" t="s">
        <v>34</v>
      </c>
      <c r="W395" s="0" t="s">
        <v>37</v>
      </c>
      <c r="X395" s="0" t="s">
        <v>7355</v>
      </c>
      <c r="Y395" s="0" t="s">
        <v>7346</v>
      </c>
      <c r="Z395" s="0" t="s">
        <v>7370</v>
      </c>
      <c r="AA395" s="0" t="s">
        <v>7670</v>
      </c>
      <c r="AB395" s="0" t="s">
        <v>1663</v>
      </c>
      <c r="AC395" s="0" t="s">
        <v>7629</v>
      </c>
      <c r="AD395" s="0" t="s">
        <v>7671</v>
      </c>
      <c r="AE395" s="0" t="s">
        <v>7360</v>
      </c>
      <c r="AF395" s="0" t="s">
        <v>7361</v>
      </c>
      <c r="AG395" s="0" t="s">
        <v>230</v>
      </c>
    </row>
    <row r="396" customFormat="false" ht="15" hidden="false" customHeight="false" outlineLevel="0" collapsed="false">
      <c r="A396" s="0" t="s">
        <v>7336</v>
      </c>
      <c r="B396" s="0" t="s">
        <v>1664</v>
      </c>
      <c r="C396" s="0" t="s">
        <v>1665</v>
      </c>
      <c r="D396" s="0" t="s">
        <v>227</v>
      </c>
      <c r="E396" s="0" t="s">
        <v>1666</v>
      </c>
      <c r="F396" s="0" t="s">
        <v>1621</v>
      </c>
      <c r="G396" s="0" t="s">
        <v>184</v>
      </c>
      <c r="H396" s="0" t="s">
        <v>7664</v>
      </c>
      <c r="I396" s="0" t="s">
        <v>7338</v>
      </c>
      <c r="J396" s="0" t="s">
        <v>1602</v>
      </c>
      <c r="K396" s="0" t="s">
        <v>7339</v>
      </c>
      <c r="L396" s="0" t="s">
        <v>7340</v>
      </c>
      <c r="M396" s="0" t="s">
        <v>7661</v>
      </c>
      <c r="N396" s="0" t="s">
        <v>7342</v>
      </c>
      <c r="P396" s="0" t="s">
        <v>229</v>
      </c>
      <c r="Q396" s="0" t="s">
        <v>7354</v>
      </c>
      <c r="R396" s="0" t="s">
        <v>7343</v>
      </c>
      <c r="S396" s="0" t="s">
        <v>7344</v>
      </c>
      <c r="T396" s="0" t="s">
        <v>228</v>
      </c>
      <c r="V396" s="0" t="s">
        <v>86</v>
      </c>
      <c r="W396" s="0" t="s">
        <v>88</v>
      </c>
      <c r="X396" s="0" t="s">
        <v>7355</v>
      </c>
      <c r="Z396" s="0" t="s">
        <v>7662</v>
      </c>
      <c r="AB396" s="0" t="s">
        <v>237</v>
      </c>
      <c r="AC396" s="0" t="s">
        <v>7629</v>
      </c>
      <c r="AD396" s="0" t="s">
        <v>7663</v>
      </c>
      <c r="AE396" s="0" t="s">
        <v>7360</v>
      </c>
      <c r="AF396" s="0" t="s">
        <v>7361</v>
      </c>
      <c r="AG396" s="0" t="s">
        <v>230</v>
      </c>
    </row>
    <row r="397" customFormat="false" ht="15" hidden="false" customHeight="false" outlineLevel="0" collapsed="false">
      <c r="A397" s="0" t="s">
        <v>7336</v>
      </c>
      <c r="B397" s="0" t="s">
        <v>1667</v>
      </c>
      <c r="C397" s="0" t="s">
        <v>1668</v>
      </c>
      <c r="D397" s="0" t="s">
        <v>227</v>
      </c>
      <c r="E397" s="0" t="s">
        <v>1669</v>
      </c>
      <c r="F397" s="0" t="s">
        <v>1621</v>
      </c>
      <c r="G397" s="0" t="s">
        <v>184</v>
      </c>
      <c r="H397" s="0" t="s">
        <v>7664</v>
      </c>
      <c r="I397" s="0" t="s">
        <v>7338</v>
      </c>
      <c r="J397" s="0" t="s">
        <v>1602</v>
      </c>
      <c r="K397" s="0" t="s">
        <v>7339</v>
      </c>
      <c r="L397" s="0" t="s">
        <v>7340</v>
      </c>
      <c r="M397" s="0" t="s">
        <v>7661</v>
      </c>
      <c r="N397" s="0" t="s">
        <v>7342</v>
      </c>
      <c r="P397" s="0" t="s">
        <v>229</v>
      </c>
      <c r="Q397" s="0" t="s">
        <v>7354</v>
      </c>
      <c r="R397" s="0" t="s">
        <v>7343</v>
      </c>
      <c r="S397" s="0" t="s">
        <v>7344</v>
      </c>
      <c r="T397" s="0" t="s">
        <v>228</v>
      </c>
      <c r="V397" s="0" t="s">
        <v>86</v>
      </c>
      <c r="W397" s="0" t="s">
        <v>88</v>
      </c>
      <c r="X397" s="0" t="s">
        <v>7355</v>
      </c>
      <c r="Z397" s="0" t="s">
        <v>7662</v>
      </c>
      <c r="AB397" s="0" t="s">
        <v>237</v>
      </c>
      <c r="AC397" s="0" t="s">
        <v>7629</v>
      </c>
      <c r="AD397" s="0" t="s">
        <v>7663</v>
      </c>
      <c r="AE397" s="0" t="s">
        <v>7360</v>
      </c>
      <c r="AF397" s="0" t="s">
        <v>7361</v>
      </c>
      <c r="AG397" s="0" t="s">
        <v>230</v>
      </c>
    </row>
    <row r="398" customFormat="false" ht="15" hidden="false" customHeight="false" outlineLevel="0" collapsed="false">
      <c r="A398" s="0" t="s">
        <v>7336</v>
      </c>
      <c r="B398" s="0" t="s">
        <v>1670</v>
      </c>
      <c r="C398" s="0" t="s">
        <v>1671</v>
      </c>
      <c r="D398" s="0" t="s">
        <v>227</v>
      </c>
      <c r="E398" s="0" t="s">
        <v>1672</v>
      </c>
      <c r="F398" s="0" t="s">
        <v>1621</v>
      </c>
      <c r="G398" s="0" t="s">
        <v>184</v>
      </c>
      <c r="H398" s="0" t="s">
        <v>7664</v>
      </c>
      <c r="I398" s="0" t="s">
        <v>7338</v>
      </c>
      <c r="J398" s="0" t="s">
        <v>1602</v>
      </c>
      <c r="K398" s="0" t="s">
        <v>7339</v>
      </c>
      <c r="L398" s="0" t="s">
        <v>7340</v>
      </c>
      <c r="M398" s="0" t="s">
        <v>7661</v>
      </c>
      <c r="N398" s="0" t="s">
        <v>7342</v>
      </c>
      <c r="P398" s="0" t="s">
        <v>229</v>
      </c>
      <c r="Q398" s="0" t="s">
        <v>7354</v>
      </c>
      <c r="R398" s="0" t="s">
        <v>7343</v>
      </c>
      <c r="S398" s="0" t="s">
        <v>7344</v>
      </c>
      <c r="T398" s="0" t="s">
        <v>228</v>
      </c>
      <c r="V398" s="0" t="s">
        <v>86</v>
      </c>
      <c r="W398" s="0" t="s">
        <v>88</v>
      </c>
      <c r="X398" s="0" t="s">
        <v>7355</v>
      </c>
      <c r="Z398" s="0" t="s">
        <v>7662</v>
      </c>
      <c r="AB398" s="0" t="s">
        <v>237</v>
      </c>
      <c r="AC398" s="0" t="s">
        <v>7629</v>
      </c>
      <c r="AD398" s="0" t="s">
        <v>7663</v>
      </c>
      <c r="AE398" s="0" t="s">
        <v>7360</v>
      </c>
      <c r="AF398" s="0" t="s">
        <v>7361</v>
      </c>
      <c r="AG398" s="0" t="s">
        <v>230</v>
      </c>
    </row>
    <row r="399" customFormat="false" ht="15" hidden="false" customHeight="false" outlineLevel="0" collapsed="false">
      <c r="A399" s="0" t="s">
        <v>7336</v>
      </c>
      <c r="B399" s="0" t="s">
        <v>1673</v>
      </c>
      <c r="C399" s="0" t="s">
        <v>1674</v>
      </c>
      <c r="D399" s="0" t="s">
        <v>227</v>
      </c>
      <c r="E399" s="0" t="s">
        <v>1675</v>
      </c>
      <c r="F399" s="0" t="s">
        <v>1676</v>
      </c>
      <c r="G399" s="0" t="s">
        <v>184</v>
      </c>
      <c r="H399" s="0" t="s">
        <v>7672</v>
      </c>
      <c r="I399" s="0" t="s">
        <v>7338</v>
      </c>
      <c r="J399" s="0" t="s">
        <v>1602</v>
      </c>
      <c r="K399" s="0" t="s">
        <v>7339</v>
      </c>
      <c r="L399" s="0" t="s">
        <v>7340</v>
      </c>
      <c r="M399" s="0" t="s">
        <v>7661</v>
      </c>
      <c r="N399" s="0" t="s">
        <v>7342</v>
      </c>
      <c r="P399" s="0" t="s">
        <v>229</v>
      </c>
      <c r="Q399" s="0" t="s">
        <v>7354</v>
      </c>
      <c r="R399" s="0" t="s">
        <v>7343</v>
      </c>
      <c r="S399" s="0" t="s">
        <v>7344</v>
      </c>
      <c r="T399" s="0" t="s">
        <v>228</v>
      </c>
      <c r="V399" s="0" t="s">
        <v>86</v>
      </c>
      <c r="W399" s="0" t="s">
        <v>88</v>
      </c>
      <c r="X399" s="0" t="s">
        <v>7355</v>
      </c>
      <c r="Z399" s="0" t="s">
        <v>7662</v>
      </c>
      <c r="AB399" s="0" t="s">
        <v>237</v>
      </c>
      <c r="AC399" s="0" t="s">
        <v>7629</v>
      </c>
      <c r="AD399" s="0" t="s">
        <v>7663</v>
      </c>
      <c r="AE399" s="0" t="s">
        <v>7360</v>
      </c>
      <c r="AF399" s="0" t="s">
        <v>7361</v>
      </c>
      <c r="AG399" s="0" t="s">
        <v>230</v>
      </c>
    </row>
    <row r="400" customFormat="false" ht="15" hidden="false" customHeight="false" outlineLevel="0" collapsed="false">
      <c r="A400" s="0" t="s">
        <v>7336</v>
      </c>
      <c r="B400" s="0" t="s">
        <v>1677</v>
      </c>
      <c r="C400" s="0" t="s">
        <v>1678</v>
      </c>
      <c r="D400" s="0" t="s">
        <v>227</v>
      </c>
      <c r="E400" s="0" t="s">
        <v>1679</v>
      </c>
      <c r="F400" s="0" t="s">
        <v>1676</v>
      </c>
      <c r="G400" s="0" t="s">
        <v>184</v>
      </c>
      <c r="H400" s="0" t="s">
        <v>7672</v>
      </c>
      <c r="I400" s="0" t="s">
        <v>7338</v>
      </c>
      <c r="J400" s="0" t="s">
        <v>1602</v>
      </c>
      <c r="K400" s="0" t="s">
        <v>7339</v>
      </c>
      <c r="L400" s="0" t="s">
        <v>7340</v>
      </c>
      <c r="M400" s="0" t="s">
        <v>7661</v>
      </c>
      <c r="N400" s="0" t="s">
        <v>7342</v>
      </c>
      <c r="P400" s="0" t="s">
        <v>229</v>
      </c>
      <c r="Q400" s="0" t="s">
        <v>7354</v>
      </c>
      <c r="R400" s="0" t="s">
        <v>7343</v>
      </c>
      <c r="S400" s="0" t="s">
        <v>7344</v>
      </c>
      <c r="T400" s="0" t="s">
        <v>228</v>
      </c>
      <c r="V400" s="0" t="s">
        <v>1358</v>
      </c>
      <c r="W400" s="0" t="s">
        <v>68</v>
      </c>
      <c r="X400" s="0" t="s">
        <v>7355</v>
      </c>
      <c r="AB400" s="0" t="s">
        <v>1640</v>
      </c>
      <c r="AC400" s="0" t="s">
        <v>7629</v>
      </c>
      <c r="AD400" s="0" t="s">
        <v>7665</v>
      </c>
      <c r="AE400" s="0" t="s">
        <v>7360</v>
      </c>
      <c r="AF400" s="0" t="s">
        <v>7361</v>
      </c>
      <c r="AG400" s="0" t="s">
        <v>230</v>
      </c>
    </row>
    <row r="401" customFormat="false" ht="15" hidden="false" customHeight="false" outlineLevel="0" collapsed="false">
      <c r="A401" s="0" t="s">
        <v>7336</v>
      </c>
      <c r="B401" s="0" t="s">
        <v>1680</v>
      </c>
      <c r="C401" s="0" t="s">
        <v>1681</v>
      </c>
      <c r="D401" s="0" t="s">
        <v>227</v>
      </c>
      <c r="E401" s="0" t="s">
        <v>1682</v>
      </c>
      <c r="F401" s="0" t="s">
        <v>1676</v>
      </c>
      <c r="G401" s="0" t="s">
        <v>184</v>
      </c>
      <c r="H401" s="0" t="s">
        <v>7672</v>
      </c>
      <c r="I401" s="0" t="s">
        <v>7338</v>
      </c>
      <c r="J401" s="0" t="s">
        <v>1602</v>
      </c>
      <c r="K401" s="0" t="s">
        <v>7339</v>
      </c>
      <c r="L401" s="0" t="s">
        <v>7340</v>
      </c>
      <c r="M401" s="0" t="s">
        <v>7661</v>
      </c>
      <c r="N401" s="0" t="s">
        <v>7342</v>
      </c>
      <c r="P401" s="0" t="s">
        <v>229</v>
      </c>
      <c r="Q401" s="0" t="s">
        <v>7354</v>
      </c>
      <c r="R401" s="0" t="s">
        <v>7343</v>
      </c>
      <c r="S401" s="0" t="s">
        <v>7344</v>
      </c>
      <c r="T401" s="0" t="s">
        <v>228</v>
      </c>
      <c r="V401" s="0" t="s">
        <v>1358</v>
      </c>
      <c r="W401" s="0" t="s">
        <v>68</v>
      </c>
      <c r="X401" s="0" t="s">
        <v>7355</v>
      </c>
      <c r="AB401" s="0" t="s">
        <v>1640</v>
      </c>
      <c r="AC401" s="0" t="s">
        <v>7629</v>
      </c>
      <c r="AD401" s="0" t="s">
        <v>7665</v>
      </c>
      <c r="AE401" s="0" t="s">
        <v>7360</v>
      </c>
      <c r="AF401" s="0" t="s">
        <v>7361</v>
      </c>
      <c r="AG401" s="0" t="s">
        <v>230</v>
      </c>
    </row>
    <row r="402" customFormat="false" ht="15" hidden="false" customHeight="false" outlineLevel="0" collapsed="false">
      <c r="A402" s="0" t="s">
        <v>7336</v>
      </c>
      <c r="B402" s="0" t="s">
        <v>1683</v>
      </c>
      <c r="C402" s="0" t="s">
        <v>1684</v>
      </c>
      <c r="D402" s="0" t="s">
        <v>227</v>
      </c>
      <c r="E402" s="0" t="s">
        <v>1685</v>
      </c>
      <c r="F402" s="0" t="s">
        <v>1686</v>
      </c>
      <c r="G402" s="0" t="s">
        <v>184</v>
      </c>
      <c r="H402" s="0" t="s">
        <v>7673</v>
      </c>
      <c r="I402" s="0" t="s">
        <v>7338</v>
      </c>
      <c r="J402" s="0" t="s">
        <v>1602</v>
      </c>
      <c r="K402" s="0" t="s">
        <v>7339</v>
      </c>
      <c r="L402" s="0" t="s">
        <v>7340</v>
      </c>
      <c r="M402" s="0" t="s">
        <v>7661</v>
      </c>
      <c r="N402" s="0" t="s">
        <v>7342</v>
      </c>
      <c r="P402" s="0" t="s">
        <v>229</v>
      </c>
      <c r="Q402" s="0" t="s">
        <v>7354</v>
      </c>
      <c r="R402" s="0" t="s">
        <v>7343</v>
      </c>
      <c r="S402" s="0" t="s">
        <v>7344</v>
      </c>
      <c r="T402" s="0" t="s">
        <v>228</v>
      </c>
      <c r="V402" s="0" t="s">
        <v>86</v>
      </c>
      <c r="W402" s="0" t="s">
        <v>88</v>
      </c>
      <c r="X402" s="0" t="s">
        <v>7355</v>
      </c>
      <c r="Z402" s="0" t="s">
        <v>7662</v>
      </c>
      <c r="AB402" s="0" t="s">
        <v>237</v>
      </c>
      <c r="AC402" s="0" t="s">
        <v>7629</v>
      </c>
      <c r="AD402" s="0" t="s">
        <v>7663</v>
      </c>
      <c r="AE402" s="0" t="s">
        <v>7360</v>
      </c>
      <c r="AF402" s="0" t="s">
        <v>7361</v>
      </c>
      <c r="AG402" s="0" t="s">
        <v>230</v>
      </c>
    </row>
    <row r="403" customFormat="false" ht="15" hidden="false" customHeight="false" outlineLevel="0" collapsed="false">
      <c r="A403" s="0" t="s">
        <v>7336</v>
      </c>
      <c r="B403" s="0" t="s">
        <v>1687</v>
      </c>
      <c r="C403" s="0" t="s">
        <v>1688</v>
      </c>
      <c r="D403" s="0" t="s">
        <v>227</v>
      </c>
      <c r="E403" s="0" t="s">
        <v>1689</v>
      </c>
      <c r="F403" s="0" t="s">
        <v>1686</v>
      </c>
      <c r="G403" s="0" t="s">
        <v>184</v>
      </c>
      <c r="H403" s="0" t="s">
        <v>7673</v>
      </c>
      <c r="I403" s="0" t="s">
        <v>7338</v>
      </c>
      <c r="J403" s="0" t="s">
        <v>1602</v>
      </c>
      <c r="K403" s="0" t="s">
        <v>7339</v>
      </c>
      <c r="L403" s="0" t="s">
        <v>7340</v>
      </c>
      <c r="M403" s="0" t="s">
        <v>7661</v>
      </c>
      <c r="N403" s="0" t="s">
        <v>7342</v>
      </c>
      <c r="P403" s="0" t="s">
        <v>229</v>
      </c>
      <c r="Q403" s="0" t="s">
        <v>7354</v>
      </c>
      <c r="R403" s="0" t="s">
        <v>7343</v>
      </c>
      <c r="S403" s="0" t="s">
        <v>7344</v>
      </c>
      <c r="T403" s="0" t="s">
        <v>228</v>
      </c>
      <c r="V403" s="0" t="s">
        <v>1358</v>
      </c>
      <c r="W403" s="0" t="s">
        <v>68</v>
      </c>
      <c r="X403" s="0" t="s">
        <v>7355</v>
      </c>
      <c r="AB403" s="0" t="s">
        <v>1640</v>
      </c>
      <c r="AC403" s="0" t="s">
        <v>7629</v>
      </c>
      <c r="AD403" s="0" t="s">
        <v>7665</v>
      </c>
      <c r="AE403" s="0" t="s">
        <v>7360</v>
      </c>
      <c r="AF403" s="0" t="s">
        <v>7361</v>
      </c>
      <c r="AG403" s="0" t="s">
        <v>230</v>
      </c>
    </row>
    <row r="404" customFormat="false" ht="15" hidden="false" customHeight="false" outlineLevel="0" collapsed="false">
      <c r="A404" s="0" t="s">
        <v>7336</v>
      </c>
      <c r="B404" s="0" t="s">
        <v>1690</v>
      </c>
      <c r="C404" s="0" t="s">
        <v>1691</v>
      </c>
      <c r="D404" s="0" t="s">
        <v>227</v>
      </c>
      <c r="E404" s="0" t="s">
        <v>1692</v>
      </c>
      <c r="F404" s="0" t="s">
        <v>1686</v>
      </c>
      <c r="G404" s="0" t="s">
        <v>184</v>
      </c>
      <c r="H404" s="0" t="s">
        <v>7673</v>
      </c>
      <c r="I404" s="0" t="s">
        <v>7338</v>
      </c>
      <c r="J404" s="0" t="s">
        <v>1602</v>
      </c>
      <c r="K404" s="0" t="s">
        <v>7339</v>
      </c>
      <c r="L404" s="0" t="s">
        <v>7340</v>
      </c>
      <c r="M404" s="0" t="s">
        <v>7661</v>
      </c>
      <c r="N404" s="0" t="s">
        <v>7342</v>
      </c>
      <c r="P404" s="0" t="s">
        <v>229</v>
      </c>
      <c r="Q404" s="0" t="s">
        <v>7354</v>
      </c>
      <c r="R404" s="0" t="s">
        <v>7343</v>
      </c>
      <c r="S404" s="0" t="s">
        <v>7344</v>
      </c>
      <c r="T404" s="0" t="s">
        <v>228</v>
      </c>
      <c r="V404" s="0" t="s">
        <v>1358</v>
      </c>
      <c r="W404" s="0" t="s">
        <v>68</v>
      </c>
      <c r="X404" s="0" t="s">
        <v>7355</v>
      </c>
      <c r="AB404" s="0" t="s">
        <v>1640</v>
      </c>
      <c r="AC404" s="0" t="s">
        <v>7629</v>
      </c>
      <c r="AD404" s="0" t="s">
        <v>7665</v>
      </c>
      <c r="AE404" s="0" t="s">
        <v>7360</v>
      </c>
      <c r="AF404" s="0" t="s">
        <v>7361</v>
      </c>
      <c r="AG404" s="0" t="s">
        <v>230</v>
      </c>
    </row>
    <row r="405" customFormat="false" ht="15" hidden="false" customHeight="false" outlineLevel="0" collapsed="false">
      <c r="A405" s="0" t="s">
        <v>7336</v>
      </c>
      <c r="B405" s="0" t="s">
        <v>1693</v>
      </c>
      <c r="C405" s="0" t="s">
        <v>1694</v>
      </c>
      <c r="D405" s="0" t="s">
        <v>227</v>
      </c>
      <c r="E405" s="0" t="s">
        <v>1695</v>
      </c>
      <c r="F405" s="0" t="s">
        <v>1676</v>
      </c>
      <c r="G405" s="0" t="s">
        <v>184</v>
      </c>
      <c r="H405" s="0" t="s">
        <v>7672</v>
      </c>
      <c r="I405" s="0" t="s">
        <v>7338</v>
      </c>
      <c r="J405" s="0" t="s">
        <v>1602</v>
      </c>
      <c r="K405" s="0" t="s">
        <v>7339</v>
      </c>
      <c r="L405" s="0" t="s">
        <v>7340</v>
      </c>
      <c r="M405" s="0" t="s">
        <v>7661</v>
      </c>
      <c r="N405" s="0" t="s">
        <v>7342</v>
      </c>
      <c r="P405" s="0" t="s">
        <v>229</v>
      </c>
      <c r="Q405" s="0" t="s">
        <v>7354</v>
      </c>
      <c r="R405" s="0" t="s">
        <v>7343</v>
      </c>
      <c r="S405" s="0" t="s">
        <v>7344</v>
      </c>
      <c r="T405" s="0" t="s">
        <v>228</v>
      </c>
      <c r="V405" s="0" t="s">
        <v>86</v>
      </c>
      <c r="W405" s="0" t="s">
        <v>88</v>
      </c>
      <c r="X405" s="0" t="s">
        <v>7355</v>
      </c>
      <c r="Z405" s="0" t="s">
        <v>7662</v>
      </c>
      <c r="AB405" s="0" t="s">
        <v>237</v>
      </c>
      <c r="AC405" s="0" t="s">
        <v>7629</v>
      </c>
      <c r="AD405" s="0" t="s">
        <v>7663</v>
      </c>
      <c r="AE405" s="0" t="s">
        <v>7360</v>
      </c>
      <c r="AF405" s="0" t="s">
        <v>7361</v>
      </c>
      <c r="AG405" s="0" t="s">
        <v>230</v>
      </c>
    </row>
    <row r="406" customFormat="false" ht="15" hidden="false" customHeight="false" outlineLevel="0" collapsed="false">
      <c r="A406" s="0" t="s">
        <v>7336</v>
      </c>
      <c r="B406" s="0" t="s">
        <v>1696</v>
      </c>
      <c r="C406" s="0" t="s">
        <v>1697</v>
      </c>
      <c r="D406" s="0" t="s">
        <v>227</v>
      </c>
      <c r="E406" s="0" t="s">
        <v>1698</v>
      </c>
      <c r="F406" s="0" t="s">
        <v>1676</v>
      </c>
      <c r="G406" s="0" t="s">
        <v>184</v>
      </c>
      <c r="H406" s="0" t="s">
        <v>7672</v>
      </c>
      <c r="I406" s="0" t="s">
        <v>7338</v>
      </c>
      <c r="J406" s="0" t="s">
        <v>1602</v>
      </c>
      <c r="K406" s="0" t="s">
        <v>7339</v>
      </c>
      <c r="L406" s="0" t="s">
        <v>7340</v>
      </c>
      <c r="M406" s="0" t="s">
        <v>7661</v>
      </c>
      <c r="N406" s="0" t="s">
        <v>7342</v>
      </c>
      <c r="P406" s="0" t="s">
        <v>229</v>
      </c>
      <c r="Q406" s="0" t="s">
        <v>7354</v>
      </c>
      <c r="R406" s="0" t="s">
        <v>7343</v>
      </c>
      <c r="S406" s="0" t="s">
        <v>7344</v>
      </c>
      <c r="T406" s="0" t="s">
        <v>228</v>
      </c>
      <c r="V406" s="0" t="s">
        <v>86</v>
      </c>
      <c r="W406" s="0" t="s">
        <v>88</v>
      </c>
      <c r="X406" s="0" t="s">
        <v>7355</v>
      </c>
      <c r="Z406" s="0" t="s">
        <v>7662</v>
      </c>
      <c r="AB406" s="0" t="s">
        <v>237</v>
      </c>
      <c r="AC406" s="0" t="s">
        <v>7629</v>
      </c>
      <c r="AD406" s="0" t="s">
        <v>7663</v>
      </c>
      <c r="AE406" s="0" t="s">
        <v>7360</v>
      </c>
      <c r="AF406" s="0" t="s">
        <v>7361</v>
      </c>
      <c r="AG406" s="0" t="s">
        <v>230</v>
      </c>
    </row>
    <row r="407" customFormat="false" ht="15" hidden="false" customHeight="false" outlineLevel="0" collapsed="false">
      <c r="A407" s="0" t="s">
        <v>7336</v>
      </c>
      <c r="B407" s="0" t="s">
        <v>1699</v>
      </c>
      <c r="C407" s="0" t="s">
        <v>1700</v>
      </c>
      <c r="D407" s="0" t="s">
        <v>227</v>
      </c>
      <c r="E407" s="0" t="s">
        <v>1701</v>
      </c>
      <c r="F407" s="0" t="s">
        <v>1676</v>
      </c>
      <c r="G407" s="0" t="s">
        <v>184</v>
      </c>
      <c r="H407" s="0" t="s">
        <v>7672</v>
      </c>
      <c r="I407" s="0" t="s">
        <v>7338</v>
      </c>
      <c r="J407" s="0" t="s">
        <v>1602</v>
      </c>
      <c r="K407" s="0" t="s">
        <v>7339</v>
      </c>
      <c r="L407" s="0" t="s">
        <v>7340</v>
      </c>
      <c r="M407" s="0" t="s">
        <v>7661</v>
      </c>
      <c r="N407" s="0" t="s">
        <v>7342</v>
      </c>
      <c r="P407" s="0" t="s">
        <v>229</v>
      </c>
      <c r="Q407" s="0" t="s">
        <v>7354</v>
      </c>
      <c r="R407" s="0" t="s">
        <v>7343</v>
      </c>
      <c r="S407" s="0" t="s">
        <v>7344</v>
      </c>
      <c r="T407" s="0" t="s">
        <v>228</v>
      </c>
      <c r="V407" s="0" t="s">
        <v>86</v>
      </c>
      <c r="W407" s="0" t="s">
        <v>88</v>
      </c>
      <c r="X407" s="0" t="s">
        <v>7355</v>
      </c>
      <c r="Z407" s="0" t="s">
        <v>7662</v>
      </c>
      <c r="AB407" s="0" t="s">
        <v>237</v>
      </c>
      <c r="AC407" s="0" t="s">
        <v>7629</v>
      </c>
      <c r="AD407" s="0" t="s">
        <v>7663</v>
      </c>
      <c r="AE407" s="0" t="s">
        <v>7360</v>
      </c>
      <c r="AF407" s="0" t="s">
        <v>7361</v>
      </c>
      <c r="AG407" s="0" t="s">
        <v>230</v>
      </c>
    </row>
    <row r="408" customFormat="false" ht="15" hidden="false" customHeight="false" outlineLevel="0" collapsed="false">
      <c r="A408" s="0" t="s">
        <v>7336</v>
      </c>
      <c r="B408" s="0" t="s">
        <v>1702</v>
      </c>
      <c r="C408" s="0" t="s">
        <v>1703</v>
      </c>
      <c r="D408" s="0" t="s">
        <v>227</v>
      </c>
      <c r="E408" s="0" t="s">
        <v>1704</v>
      </c>
      <c r="F408" s="0" t="s">
        <v>1676</v>
      </c>
      <c r="G408" s="0" t="s">
        <v>184</v>
      </c>
      <c r="H408" s="0" t="s">
        <v>7672</v>
      </c>
      <c r="I408" s="0" t="s">
        <v>7338</v>
      </c>
      <c r="J408" s="0" t="s">
        <v>1602</v>
      </c>
      <c r="K408" s="0" t="s">
        <v>7339</v>
      </c>
      <c r="L408" s="0" t="s">
        <v>7340</v>
      </c>
      <c r="M408" s="0" t="s">
        <v>7661</v>
      </c>
      <c r="N408" s="0" t="s">
        <v>7342</v>
      </c>
      <c r="P408" s="0" t="s">
        <v>229</v>
      </c>
      <c r="Q408" s="0" t="s">
        <v>7354</v>
      </c>
      <c r="R408" s="0" t="s">
        <v>7343</v>
      </c>
      <c r="S408" s="0" t="s">
        <v>7344</v>
      </c>
      <c r="T408" s="0" t="s">
        <v>228</v>
      </c>
      <c r="V408" s="0" t="s">
        <v>86</v>
      </c>
      <c r="W408" s="0" t="s">
        <v>88</v>
      </c>
      <c r="X408" s="0" t="s">
        <v>7355</v>
      </c>
      <c r="Z408" s="0" t="s">
        <v>7662</v>
      </c>
      <c r="AB408" s="0" t="s">
        <v>237</v>
      </c>
      <c r="AC408" s="0" t="s">
        <v>7629</v>
      </c>
      <c r="AD408" s="0" t="s">
        <v>7663</v>
      </c>
      <c r="AE408" s="0" t="s">
        <v>7360</v>
      </c>
      <c r="AF408" s="0" t="s">
        <v>7361</v>
      </c>
      <c r="AG408" s="0" t="s">
        <v>230</v>
      </c>
    </row>
    <row r="409" customFormat="false" ht="15" hidden="false" customHeight="false" outlineLevel="0" collapsed="false">
      <c r="A409" s="0" t="s">
        <v>7336</v>
      </c>
      <c r="B409" s="0" t="s">
        <v>1705</v>
      </c>
      <c r="C409" s="0" t="s">
        <v>1706</v>
      </c>
      <c r="D409" s="0" t="s">
        <v>227</v>
      </c>
      <c r="E409" s="0" t="s">
        <v>1707</v>
      </c>
      <c r="F409" s="0" t="s">
        <v>1676</v>
      </c>
      <c r="G409" s="0" t="s">
        <v>184</v>
      </c>
      <c r="H409" s="0" t="s">
        <v>7672</v>
      </c>
      <c r="I409" s="0" t="s">
        <v>7338</v>
      </c>
      <c r="J409" s="0" t="s">
        <v>1602</v>
      </c>
      <c r="K409" s="0" t="s">
        <v>7339</v>
      </c>
      <c r="L409" s="0" t="s">
        <v>7340</v>
      </c>
      <c r="M409" s="0" t="s">
        <v>7661</v>
      </c>
      <c r="N409" s="0" t="s">
        <v>7342</v>
      </c>
      <c r="P409" s="0" t="s">
        <v>229</v>
      </c>
      <c r="Q409" s="0" t="s">
        <v>7354</v>
      </c>
      <c r="R409" s="0" t="s">
        <v>7343</v>
      </c>
      <c r="S409" s="0" t="s">
        <v>7344</v>
      </c>
      <c r="T409" s="0" t="s">
        <v>228</v>
      </c>
      <c r="V409" s="0" t="s">
        <v>86</v>
      </c>
      <c r="W409" s="0" t="s">
        <v>88</v>
      </c>
      <c r="X409" s="0" t="s">
        <v>7355</v>
      </c>
      <c r="Z409" s="0" t="s">
        <v>7662</v>
      </c>
      <c r="AB409" s="0" t="s">
        <v>237</v>
      </c>
      <c r="AC409" s="0" t="s">
        <v>7629</v>
      </c>
      <c r="AD409" s="0" t="s">
        <v>7663</v>
      </c>
      <c r="AE409" s="0" t="s">
        <v>7360</v>
      </c>
      <c r="AF409" s="0" t="s">
        <v>7361</v>
      </c>
      <c r="AG409" s="0" t="s">
        <v>230</v>
      </c>
    </row>
    <row r="410" customFormat="false" ht="15" hidden="false" customHeight="false" outlineLevel="0" collapsed="false">
      <c r="A410" s="0" t="s">
        <v>7336</v>
      </c>
      <c r="B410" s="0" t="s">
        <v>1708</v>
      </c>
      <c r="C410" s="0" t="s">
        <v>1709</v>
      </c>
      <c r="D410" s="0" t="s">
        <v>227</v>
      </c>
      <c r="E410" s="0" t="s">
        <v>1710</v>
      </c>
      <c r="F410" s="0" t="s">
        <v>1676</v>
      </c>
      <c r="G410" s="0" t="s">
        <v>184</v>
      </c>
      <c r="H410" s="0" t="s">
        <v>7672</v>
      </c>
      <c r="I410" s="0" t="s">
        <v>7338</v>
      </c>
      <c r="J410" s="0" t="s">
        <v>1602</v>
      </c>
      <c r="K410" s="0" t="s">
        <v>7339</v>
      </c>
      <c r="L410" s="0" t="s">
        <v>7340</v>
      </c>
      <c r="M410" s="0" t="s">
        <v>7661</v>
      </c>
      <c r="N410" s="0" t="s">
        <v>7342</v>
      </c>
      <c r="P410" s="0" t="s">
        <v>229</v>
      </c>
      <c r="Q410" s="0" t="s">
        <v>7354</v>
      </c>
      <c r="R410" s="0" t="s">
        <v>7343</v>
      </c>
      <c r="S410" s="0" t="s">
        <v>7344</v>
      </c>
      <c r="T410" s="0" t="s">
        <v>228</v>
      </c>
      <c r="V410" s="0" t="s">
        <v>86</v>
      </c>
      <c r="W410" s="0" t="s">
        <v>88</v>
      </c>
      <c r="X410" s="0" t="s">
        <v>7355</v>
      </c>
      <c r="Z410" s="0" t="s">
        <v>7662</v>
      </c>
      <c r="AB410" s="0" t="s">
        <v>237</v>
      </c>
      <c r="AC410" s="0" t="s">
        <v>7629</v>
      </c>
      <c r="AD410" s="0" t="s">
        <v>7663</v>
      </c>
      <c r="AE410" s="0" t="s">
        <v>7360</v>
      </c>
      <c r="AF410" s="0" t="s">
        <v>7361</v>
      </c>
      <c r="AG410" s="0" t="s">
        <v>230</v>
      </c>
    </row>
    <row r="411" customFormat="false" ht="15" hidden="false" customHeight="false" outlineLevel="0" collapsed="false">
      <c r="A411" s="0" t="s">
        <v>7336</v>
      </c>
      <c r="B411" s="0" t="s">
        <v>1711</v>
      </c>
      <c r="C411" s="0" t="s">
        <v>1712</v>
      </c>
      <c r="D411" s="0" t="s">
        <v>227</v>
      </c>
      <c r="E411" s="0" t="s">
        <v>1713</v>
      </c>
      <c r="F411" s="0" t="s">
        <v>1686</v>
      </c>
      <c r="G411" s="0" t="s">
        <v>184</v>
      </c>
      <c r="H411" s="0" t="s">
        <v>7673</v>
      </c>
      <c r="I411" s="0" t="s">
        <v>7338</v>
      </c>
      <c r="J411" s="0" t="s">
        <v>1602</v>
      </c>
      <c r="K411" s="0" t="s">
        <v>7339</v>
      </c>
      <c r="L411" s="0" t="s">
        <v>7340</v>
      </c>
      <c r="M411" s="0" t="s">
        <v>7661</v>
      </c>
      <c r="N411" s="0" t="s">
        <v>7342</v>
      </c>
      <c r="P411" s="0" t="s">
        <v>229</v>
      </c>
      <c r="Q411" s="0" t="s">
        <v>7354</v>
      </c>
      <c r="R411" s="0" t="s">
        <v>7343</v>
      </c>
      <c r="S411" s="0" t="s">
        <v>7344</v>
      </c>
      <c r="T411" s="0" t="s">
        <v>228</v>
      </c>
      <c r="V411" s="0" t="s">
        <v>86</v>
      </c>
      <c r="W411" s="0" t="s">
        <v>88</v>
      </c>
      <c r="X411" s="0" t="s">
        <v>7355</v>
      </c>
      <c r="Z411" s="0" t="s">
        <v>7662</v>
      </c>
      <c r="AB411" s="0" t="s">
        <v>237</v>
      </c>
      <c r="AC411" s="0" t="s">
        <v>7629</v>
      </c>
      <c r="AD411" s="0" t="s">
        <v>7663</v>
      </c>
      <c r="AE411" s="0" t="s">
        <v>7360</v>
      </c>
      <c r="AF411" s="0" t="s">
        <v>7361</v>
      </c>
      <c r="AG411" s="0" t="s">
        <v>230</v>
      </c>
    </row>
    <row r="412" customFormat="false" ht="15" hidden="false" customHeight="false" outlineLevel="0" collapsed="false">
      <c r="A412" s="0" t="s">
        <v>7336</v>
      </c>
      <c r="B412" s="0" t="s">
        <v>1714</v>
      </c>
      <c r="C412" s="0" t="s">
        <v>1715</v>
      </c>
      <c r="D412" s="0" t="s">
        <v>227</v>
      </c>
      <c r="E412" s="0" t="s">
        <v>1716</v>
      </c>
      <c r="F412" s="0" t="s">
        <v>1686</v>
      </c>
      <c r="G412" s="0" t="s">
        <v>184</v>
      </c>
      <c r="H412" s="0" t="s">
        <v>7673</v>
      </c>
      <c r="I412" s="0" t="s">
        <v>7338</v>
      </c>
      <c r="J412" s="0" t="s">
        <v>1602</v>
      </c>
      <c r="K412" s="0" t="s">
        <v>7339</v>
      </c>
      <c r="L412" s="0" t="s">
        <v>7340</v>
      </c>
      <c r="M412" s="0" t="s">
        <v>7661</v>
      </c>
      <c r="N412" s="0" t="s">
        <v>7342</v>
      </c>
      <c r="P412" s="0" t="s">
        <v>229</v>
      </c>
      <c r="Q412" s="0" t="s">
        <v>7354</v>
      </c>
      <c r="R412" s="0" t="s">
        <v>7343</v>
      </c>
      <c r="S412" s="0" t="s">
        <v>7344</v>
      </c>
      <c r="T412" s="0" t="s">
        <v>228</v>
      </c>
      <c r="V412" s="0" t="s">
        <v>86</v>
      </c>
      <c r="W412" s="0" t="s">
        <v>88</v>
      </c>
      <c r="X412" s="0" t="s">
        <v>7355</v>
      </c>
      <c r="Z412" s="0" t="s">
        <v>7662</v>
      </c>
      <c r="AB412" s="0" t="s">
        <v>237</v>
      </c>
      <c r="AC412" s="0" t="s">
        <v>7629</v>
      </c>
      <c r="AD412" s="0" t="s">
        <v>7663</v>
      </c>
      <c r="AE412" s="0" t="s">
        <v>7360</v>
      </c>
      <c r="AF412" s="0" t="s">
        <v>7361</v>
      </c>
      <c r="AG412" s="0" t="s">
        <v>230</v>
      </c>
    </row>
    <row r="413" customFormat="false" ht="15" hidden="false" customHeight="false" outlineLevel="0" collapsed="false">
      <c r="A413" s="0" t="s">
        <v>7336</v>
      </c>
      <c r="B413" s="0" t="s">
        <v>1717</v>
      </c>
      <c r="C413" s="0" t="s">
        <v>1718</v>
      </c>
      <c r="D413" s="0" t="s">
        <v>227</v>
      </c>
      <c r="E413" s="0" t="s">
        <v>1719</v>
      </c>
      <c r="F413" s="0" t="s">
        <v>1686</v>
      </c>
      <c r="G413" s="0" t="s">
        <v>184</v>
      </c>
      <c r="H413" s="0" t="s">
        <v>7673</v>
      </c>
      <c r="I413" s="0" t="s">
        <v>7338</v>
      </c>
      <c r="J413" s="0" t="s">
        <v>1602</v>
      </c>
      <c r="K413" s="0" t="s">
        <v>7339</v>
      </c>
      <c r="L413" s="0" t="s">
        <v>7340</v>
      </c>
      <c r="M413" s="0" t="s">
        <v>7661</v>
      </c>
      <c r="N413" s="0" t="s">
        <v>7342</v>
      </c>
      <c r="P413" s="0" t="s">
        <v>229</v>
      </c>
      <c r="Q413" s="0" t="s">
        <v>7354</v>
      </c>
      <c r="R413" s="0" t="s">
        <v>7343</v>
      </c>
      <c r="S413" s="0" t="s">
        <v>7344</v>
      </c>
      <c r="T413" s="0" t="s">
        <v>228</v>
      </c>
      <c r="V413" s="0" t="s">
        <v>86</v>
      </c>
      <c r="W413" s="0" t="s">
        <v>88</v>
      </c>
      <c r="X413" s="0" t="s">
        <v>7355</v>
      </c>
      <c r="Z413" s="0" t="s">
        <v>7662</v>
      </c>
      <c r="AB413" s="0" t="s">
        <v>237</v>
      </c>
      <c r="AC413" s="0" t="s">
        <v>7629</v>
      </c>
      <c r="AD413" s="0" t="s">
        <v>7663</v>
      </c>
      <c r="AE413" s="0" t="s">
        <v>7360</v>
      </c>
      <c r="AF413" s="0" t="s">
        <v>7361</v>
      </c>
      <c r="AG413" s="0" t="s">
        <v>230</v>
      </c>
    </row>
    <row r="414" customFormat="false" ht="15" hidden="false" customHeight="false" outlineLevel="0" collapsed="false">
      <c r="A414" s="0" t="s">
        <v>7336</v>
      </c>
      <c r="B414" s="0" t="s">
        <v>1720</v>
      </c>
      <c r="C414" s="0" t="s">
        <v>1721</v>
      </c>
      <c r="D414" s="0" t="s">
        <v>227</v>
      </c>
      <c r="E414" s="0" t="s">
        <v>1722</v>
      </c>
      <c r="F414" s="0" t="s">
        <v>1686</v>
      </c>
      <c r="G414" s="0" t="s">
        <v>184</v>
      </c>
      <c r="H414" s="0" t="s">
        <v>7673</v>
      </c>
      <c r="I414" s="0" t="s">
        <v>7338</v>
      </c>
      <c r="J414" s="0" t="s">
        <v>1602</v>
      </c>
      <c r="K414" s="0" t="s">
        <v>7339</v>
      </c>
      <c r="L414" s="0" t="s">
        <v>7340</v>
      </c>
      <c r="M414" s="0" t="s">
        <v>7661</v>
      </c>
      <c r="N414" s="0" t="s">
        <v>7342</v>
      </c>
      <c r="P414" s="0" t="s">
        <v>229</v>
      </c>
      <c r="Q414" s="0" t="s">
        <v>7354</v>
      </c>
      <c r="R414" s="0" t="s">
        <v>7343</v>
      </c>
      <c r="S414" s="0" t="s">
        <v>7344</v>
      </c>
      <c r="T414" s="0" t="s">
        <v>228</v>
      </c>
      <c r="V414" s="0" t="s">
        <v>86</v>
      </c>
      <c r="W414" s="0" t="s">
        <v>88</v>
      </c>
      <c r="X414" s="0" t="s">
        <v>7355</v>
      </c>
      <c r="Z414" s="0" t="s">
        <v>7662</v>
      </c>
      <c r="AB414" s="0" t="s">
        <v>237</v>
      </c>
      <c r="AC414" s="0" t="s">
        <v>7629</v>
      </c>
      <c r="AD414" s="0" t="s">
        <v>7663</v>
      </c>
      <c r="AE414" s="0" t="s">
        <v>7360</v>
      </c>
      <c r="AF414" s="0" t="s">
        <v>7361</v>
      </c>
      <c r="AG414" s="0" t="s">
        <v>230</v>
      </c>
    </row>
    <row r="415" customFormat="false" ht="15" hidden="false" customHeight="false" outlineLevel="0" collapsed="false">
      <c r="A415" s="0" t="s">
        <v>7336</v>
      </c>
      <c r="B415" s="0" t="s">
        <v>1723</v>
      </c>
      <c r="C415" s="0" t="s">
        <v>1724</v>
      </c>
      <c r="D415" s="0" t="s">
        <v>227</v>
      </c>
      <c r="E415" s="0" t="s">
        <v>1725</v>
      </c>
      <c r="F415" s="0" t="s">
        <v>1686</v>
      </c>
      <c r="G415" s="0" t="s">
        <v>184</v>
      </c>
      <c r="H415" s="0" t="s">
        <v>7673</v>
      </c>
      <c r="I415" s="0" t="s">
        <v>7338</v>
      </c>
      <c r="J415" s="0" t="s">
        <v>1602</v>
      </c>
      <c r="K415" s="0" t="s">
        <v>7339</v>
      </c>
      <c r="L415" s="0" t="s">
        <v>7340</v>
      </c>
      <c r="M415" s="0" t="s">
        <v>7661</v>
      </c>
      <c r="N415" s="0" t="s">
        <v>7342</v>
      </c>
      <c r="P415" s="0" t="s">
        <v>229</v>
      </c>
      <c r="Q415" s="0" t="s">
        <v>7354</v>
      </c>
      <c r="R415" s="0" t="s">
        <v>7343</v>
      </c>
      <c r="S415" s="0" t="s">
        <v>7344</v>
      </c>
      <c r="T415" s="0" t="s">
        <v>228</v>
      </c>
      <c r="V415" s="0" t="s">
        <v>86</v>
      </c>
      <c r="W415" s="0" t="s">
        <v>88</v>
      </c>
      <c r="X415" s="0" t="s">
        <v>7355</v>
      </c>
      <c r="Z415" s="0" t="s">
        <v>7662</v>
      </c>
      <c r="AB415" s="0" t="s">
        <v>237</v>
      </c>
      <c r="AC415" s="0" t="s">
        <v>7629</v>
      </c>
      <c r="AD415" s="0" t="s">
        <v>7663</v>
      </c>
      <c r="AE415" s="0" t="s">
        <v>7360</v>
      </c>
      <c r="AF415" s="0" t="s">
        <v>7361</v>
      </c>
      <c r="AG415" s="0" t="s">
        <v>230</v>
      </c>
    </row>
    <row r="416" customFormat="false" ht="15" hidden="false" customHeight="false" outlineLevel="0" collapsed="false">
      <c r="A416" s="0" t="s">
        <v>7336</v>
      </c>
      <c r="B416" s="0" t="s">
        <v>1726</v>
      </c>
      <c r="C416" s="0" t="s">
        <v>1727</v>
      </c>
      <c r="D416" s="0" t="s">
        <v>227</v>
      </c>
      <c r="E416" s="0" t="s">
        <v>1728</v>
      </c>
      <c r="F416" s="0" t="s">
        <v>1659</v>
      </c>
      <c r="G416" s="0" t="s">
        <v>184</v>
      </c>
      <c r="H416" s="0" t="s">
        <v>7666</v>
      </c>
      <c r="I416" s="0" t="s">
        <v>7338</v>
      </c>
      <c r="J416" s="0" t="s">
        <v>1602</v>
      </c>
      <c r="K416" s="0" t="s">
        <v>7339</v>
      </c>
      <c r="L416" s="0" t="s">
        <v>7340</v>
      </c>
      <c r="M416" s="0" t="s">
        <v>7661</v>
      </c>
      <c r="N416" s="0" t="s">
        <v>7342</v>
      </c>
      <c r="P416" s="0" t="s">
        <v>229</v>
      </c>
      <c r="Q416" s="0" t="s">
        <v>7354</v>
      </c>
      <c r="R416" s="0" t="s">
        <v>7343</v>
      </c>
      <c r="S416" s="0" t="s">
        <v>7344</v>
      </c>
      <c r="T416" s="0" t="s">
        <v>58</v>
      </c>
      <c r="V416" s="0" t="s">
        <v>55</v>
      </c>
      <c r="W416" s="0" t="s">
        <v>57</v>
      </c>
      <c r="X416" s="0" t="s">
        <v>7355</v>
      </c>
      <c r="Y416" s="0" t="s">
        <v>7667</v>
      </c>
      <c r="Z416" s="0" t="s">
        <v>7668</v>
      </c>
      <c r="AA416" s="0" t="s">
        <v>7669</v>
      </c>
      <c r="AB416" s="0" t="s">
        <v>237</v>
      </c>
      <c r="AC416" s="0" t="s">
        <v>7629</v>
      </c>
      <c r="AE416" s="0" t="s">
        <v>7360</v>
      </c>
      <c r="AF416" s="0" t="s">
        <v>7361</v>
      </c>
      <c r="AG416" s="0" t="s">
        <v>230</v>
      </c>
    </row>
    <row r="417" customFormat="false" ht="15" hidden="false" customHeight="false" outlineLevel="0" collapsed="false">
      <c r="A417" s="0" t="s">
        <v>7336</v>
      </c>
      <c r="B417" s="0" t="s">
        <v>1729</v>
      </c>
      <c r="C417" s="0" t="s">
        <v>1730</v>
      </c>
      <c r="D417" s="0" t="s">
        <v>227</v>
      </c>
      <c r="E417" s="0" t="s">
        <v>1731</v>
      </c>
      <c r="F417" s="0" t="s">
        <v>1732</v>
      </c>
      <c r="G417" s="0" t="s">
        <v>184</v>
      </c>
      <c r="H417" s="0" t="s">
        <v>7674</v>
      </c>
      <c r="I417" s="0" t="s">
        <v>7338</v>
      </c>
      <c r="J417" s="0" t="s">
        <v>1602</v>
      </c>
      <c r="K417" s="0" t="s">
        <v>7339</v>
      </c>
      <c r="L417" s="0" t="s">
        <v>7340</v>
      </c>
      <c r="M417" s="0" t="s">
        <v>7661</v>
      </c>
      <c r="N417" s="0" t="s">
        <v>7342</v>
      </c>
      <c r="P417" s="0" t="s">
        <v>229</v>
      </c>
      <c r="Q417" s="0" t="s">
        <v>7354</v>
      </c>
      <c r="R417" s="0" t="s">
        <v>7343</v>
      </c>
      <c r="S417" s="0" t="s">
        <v>7344</v>
      </c>
      <c r="T417" s="0" t="s">
        <v>228</v>
      </c>
      <c r="V417" s="0" t="s">
        <v>34</v>
      </c>
      <c r="W417" s="0" t="s">
        <v>37</v>
      </c>
      <c r="X417" s="0" t="s">
        <v>7355</v>
      </c>
      <c r="Y417" s="0" t="s">
        <v>7346</v>
      </c>
      <c r="Z417" s="0" t="s">
        <v>7370</v>
      </c>
      <c r="AA417" s="0" t="s">
        <v>7670</v>
      </c>
      <c r="AB417" s="0" t="s">
        <v>1663</v>
      </c>
      <c r="AC417" s="0" t="s">
        <v>7629</v>
      </c>
      <c r="AD417" s="0" t="s">
        <v>7671</v>
      </c>
      <c r="AE417" s="0" t="s">
        <v>7360</v>
      </c>
      <c r="AF417" s="0" t="s">
        <v>7361</v>
      </c>
      <c r="AG417" s="0" t="s">
        <v>230</v>
      </c>
    </row>
    <row r="418" customFormat="false" ht="15" hidden="false" customHeight="false" outlineLevel="0" collapsed="false">
      <c r="A418" s="0" t="s">
        <v>7336</v>
      </c>
      <c r="B418" s="0" t="s">
        <v>1733</v>
      </c>
      <c r="C418" s="0" t="s">
        <v>1734</v>
      </c>
      <c r="D418" s="0" t="s">
        <v>227</v>
      </c>
      <c r="E418" s="0" t="s">
        <v>1735</v>
      </c>
      <c r="F418" s="0" t="s">
        <v>1732</v>
      </c>
      <c r="G418" s="0" t="s">
        <v>184</v>
      </c>
      <c r="H418" s="0" t="s">
        <v>7674</v>
      </c>
      <c r="I418" s="0" t="s">
        <v>7338</v>
      </c>
      <c r="J418" s="0" t="s">
        <v>1602</v>
      </c>
      <c r="K418" s="0" t="s">
        <v>7339</v>
      </c>
      <c r="L418" s="0" t="s">
        <v>7340</v>
      </c>
      <c r="M418" s="0" t="s">
        <v>7661</v>
      </c>
      <c r="N418" s="0" t="s">
        <v>7342</v>
      </c>
      <c r="P418" s="0" t="s">
        <v>229</v>
      </c>
      <c r="Q418" s="0" t="s">
        <v>7354</v>
      </c>
      <c r="R418" s="0" t="s">
        <v>7343</v>
      </c>
      <c r="S418" s="0" t="s">
        <v>7344</v>
      </c>
      <c r="T418" s="0" t="s">
        <v>228</v>
      </c>
      <c r="V418" s="0" t="s">
        <v>34</v>
      </c>
      <c r="W418" s="0" t="s">
        <v>49</v>
      </c>
      <c r="X418" s="0" t="s">
        <v>7355</v>
      </c>
      <c r="AB418" s="0" t="s">
        <v>1663</v>
      </c>
      <c r="AC418" s="0" t="s">
        <v>7629</v>
      </c>
      <c r="AD418" s="0" t="s">
        <v>7675</v>
      </c>
      <c r="AE418" s="0" t="s">
        <v>7360</v>
      </c>
      <c r="AF418" s="0" t="s">
        <v>7361</v>
      </c>
      <c r="AG418" s="0" t="s">
        <v>230</v>
      </c>
    </row>
    <row r="419" customFormat="false" ht="15" hidden="false" customHeight="false" outlineLevel="0" collapsed="false">
      <c r="A419" s="0" t="s">
        <v>7336</v>
      </c>
      <c r="B419" s="0" t="s">
        <v>1736</v>
      </c>
      <c r="C419" s="0" t="s">
        <v>1737</v>
      </c>
      <c r="D419" s="0" t="s">
        <v>227</v>
      </c>
      <c r="E419" s="0" t="s">
        <v>1738</v>
      </c>
      <c r="F419" s="0" t="s">
        <v>1739</v>
      </c>
      <c r="G419" s="0" t="s">
        <v>184</v>
      </c>
      <c r="H419" s="0" t="s">
        <v>7676</v>
      </c>
      <c r="I419" s="0" t="s">
        <v>7338</v>
      </c>
      <c r="J419" s="0" t="s">
        <v>1602</v>
      </c>
      <c r="K419" s="0" t="s">
        <v>7339</v>
      </c>
      <c r="L419" s="0" t="s">
        <v>7340</v>
      </c>
      <c r="M419" s="0" t="s">
        <v>7661</v>
      </c>
      <c r="N419" s="0" t="s">
        <v>7342</v>
      </c>
      <c r="P419" s="0" t="s">
        <v>229</v>
      </c>
      <c r="Q419" s="0" t="s">
        <v>7354</v>
      </c>
      <c r="R419" s="0" t="s">
        <v>7343</v>
      </c>
      <c r="S419" s="0" t="s">
        <v>7344</v>
      </c>
      <c r="T419" s="0" t="s">
        <v>228</v>
      </c>
      <c r="V419" s="0" t="s">
        <v>34</v>
      </c>
      <c r="W419" s="0" t="s">
        <v>37</v>
      </c>
      <c r="X419" s="0" t="s">
        <v>7355</v>
      </c>
      <c r="Y419" s="0" t="s">
        <v>7346</v>
      </c>
      <c r="Z419" s="0" t="s">
        <v>7370</v>
      </c>
      <c r="AA419" s="0" t="s">
        <v>7670</v>
      </c>
      <c r="AB419" s="0" t="s">
        <v>1663</v>
      </c>
      <c r="AC419" s="0" t="s">
        <v>7629</v>
      </c>
      <c r="AD419" s="0" t="s">
        <v>7671</v>
      </c>
      <c r="AE419" s="0" t="s">
        <v>7360</v>
      </c>
      <c r="AF419" s="0" t="s">
        <v>7361</v>
      </c>
      <c r="AG419" s="0" t="s">
        <v>230</v>
      </c>
    </row>
    <row r="420" customFormat="false" ht="15" hidden="false" customHeight="false" outlineLevel="0" collapsed="false">
      <c r="A420" s="0" t="s">
        <v>7336</v>
      </c>
      <c r="B420" s="0" t="s">
        <v>1740</v>
      </c>
      <c r="C420" s="0" t="s">
        <v>1741</v>
      </c>
      <c r="D420" s="0" t="s">
        <v>227</v>
      </c>
      <c r="E420" s="0" t="s">
        <v>1742</v>
      </c>
      <c r="F420" s="0" t="s">
        <v>1743</v>
      </c>
      <c r="G420" s="0" t="s">
        <v>184</v>
      </c>
      <c r="H420" s="0" t="s">
        <v>7677</v>
      </c>
      <c r="I420" s="0" t="s">
        <v>7338</v>
      </c>
      <c r="J420" s="0" t="s">
        <v>1602</v>
      </c>
      <c r="K420" s="0" t="s">
        <v>7339</v>
      </c>
      <c r="L420" s="0" t="s">
        <v>7340</v>
      </c>
      <c r="M420" s="0" t="s">
        <v>7661</v>
      </c>
      <c r="N420" s="0" t="s">
        <v>7342</v>
      </c>
      <c r="P420" s="0" t="s">
        <v>229</v>
      </c>
      <c r="Q420" s="0" t="s">
        <v>7354</v>
      </c>
      <c r="R420" s="0" t="s">
        <v>7343</v>
      </c>
      <c r="S420" s="0" t="s">
        <v>7344</v>
      </c>
      <c r="T420" s="0" t="s">
        <v>228</v>
      </c>
      <c r="V420" s="0" t="s">
        <v>34</v>
      </c>
      <c r="W420" s="0" t="s">
        <v>37</v>
      </c>
      <c r="X420" s="0" t="s">
        <v>7355</v>
      </c>
      <c r="Y420" s="0" t="s">
        <v>7346</v>
      </c>
      <c r="Z420" s="0" t="s">
        <v>7370</v>
      </c>
      <c r="AA420" s="0" t="s">
        <v>7670</v>
      </c>
      <c r="AB420" s="0" t="s">
        <v>1663</v>
      </c>
      <c r="AC420" s="0" t="s">
        <v>7629</v>
      </c>
      <c r="AD420" s="0" t="s">
        <v>7671</v>
      </c>
      <c r="AE420" s="0" t="s">
        <v>7360</v>
      </c>
      <c r="AF420" s="0" t="s">
        <v>7361</v>
      </c>
      <c r="AG420" s="0" t="s">
        <v>230</v>
      </c>
    </row>
    <row r="421" customFormat="false" ht="15" hidden="false" customHeight="false" outlineLevel="0" collapsed="false">
      <c r="A421" s="0" t="s">
        <v>7336</v>
      </c>
      <c r="B421" s="0" t="s">
        <v>1744</v>
      </c>
      <c r="C421" s="0" t="s">
        <v>1745</v>
      </c>
      <c r="D421" s="0" t="s">
        <v>227</v>
      </c>
      <c r="E421" s="0" t="s">
        <v>1746</v>
      </c>
      <c r="F421" s="0" t="s">
        <v>1743</v>
      </c>
      <c r="G421" s="0" t="s">
        <v>184</v>
      </c>
      <c r="H421" s="0" t="s">
        <v>7677</v>
      </c>
      <c r="I421" s="0" t="s">
        <v>7338</v>
      </c>
      <c r="J421" s="0" t="s">
        <v>1602</v>
      </c>
      <c r="K421" s="0" t="s">
        <v>7339</v>
      </c>
      <c r="L421" s="0" t="s">
        <v>7340</v>
      </c>
      <c r="M421" s="0" t="s">
        <v>7661</v>
      </c>
      <c r="N421" s="0" t="s">
        <v>7342</v>
      </c>
      <c r="P421" s="0" t="s">
        <v>229</v>
      </c>
      <c r="Q421" s="0" t="s">
        <v>7354</v>
      </c>
      <c r="R421" s="0" t="s">
        <v>7343</v>
      </c>
      <c r="S421" s="0" t="s">
        <v>7344</v>
      </c>
      <c r="T421" s="0" t="s">
        <v>228</v>
      </c>
      <c r="V421" s="0" t="s">
        <v>34</v>
      </c>
      <c r="W421" s="0" t="s">
        <v>49</v>
      </c>
      <c r="X421" s="0" t="s">
        <v>7355</v>
      </c>
      <c r="AB421" s="0" t="s">
        <v>1663</v>
      </c>
      <c r="AC421" s="0" t="s">
        <v>7629</v>
      </c>
      <c r="AD421" s="0" t="s">
        <v>7678</v>
      </c>
      <c r="AE421" s="0" t="s">
        <v>7360</v>
      </c>
      <c r="AF421" s="0" t="s">
        <v>7361</v>
      </c>
      <c r="AG421" s="0" t="s">
        <v>230</v>
      </c>
    </row>
    <row r="422" customFormat="false" ht="15" hidden="false" customHeight="false" outlineLevel="0" collapsed="false">
      <c r="A422" s="0" t="s">
        <v>7336</v>
      </c>
      <c r="B422" s="0" t="s">
        <v>1747</v>
      </c>
      <c r="C422" s="0" t="s">
        <v>1748</v>
      </c>
      <c r="D422" s="0" t="s">
        <v>227</v>
      </c>
      <c r="E422" s="0" t="s">
        <v>1749</v>
      </c>
      <c r="F422" s="0" t="s">
        <v>1743</v>
      </c>
      <c r="G422" s="0" t="s">
        <v>184</v>
      </c>
      <c r="H422" s="0" t="s">
        <v>7677</v>
      </c>
      <c r="I422" s="0" t="s">
        <v>7338</v>
      </c>
      <c r="J422" s="0" t="s">
        <v>1602</v>
      </c>
      <c r="K422" s="0" t="s">
        <v>7339</v>
      </c>
      <c r="L422" s="0" t="s">
        <v>7340</v>
      </c>
      <c r="M422" s="0" t="s">
        <v>7661</v>
      </c>
      <c r="N422" s="0" t="s">
        <v>7342</v>
      </c>
      <c r="P422" s="0" t="s">
        <v>229</v>
      </c>
      <c r="Q422" s="0" t="s">
        <v>7354</v>
      </c>
      <c r="R422" s="0" t="s">
        <v>7343</v>
      </c>
      <c r="S422" s="0" t="s">
        <v>7344</v>
      </c>
      <c r="T422" s="0" t="s">
        <v>58</v>
      </c>
      <c r="V422" s="0" t="s">
        <v>55</v>
      </c>
      <c r="W422" s="0" t="s">
        <v>57</v>
      </c>
      <c r="X422" s="0" t="s">
        <v>7355</v>
      </c>
      <c r="Y422" s="0" t="s">
        <v>7667</v>
      </c>
      <c r="Z422" s="0" t="s">
        <v>7668</v>
      </c>
      <c r="AA422" s="0" t="s">
        <v>7669</v>
      </c>
      <c r="AB422" s="0" t="s">
        <v>237</v>
      </c>
      <c r="AC422" s="0" t="s">
        <v>7629</v>
      </c>
      <c r="AE422" s="0" t="s">
        <v>7360</v>
      </c>
      <c r="AF422" s="0" t="s">
        <v>7361</v>
      </c>
      <c r="AG422" s="0" t="s">
        <v>230</v>
      </c>
    </row>
    <row r="423" customFormat="false" ht="15" hidden="false" customHeight="false" outlineLevel="0" collapsed="false">
      <c r="A423" s="0" t="s">
        <v>7336</v>
      </c>
      <c r="B423" s="0" t="s">
        <v>1750</v>
      </c>
      <c r="C423" s="0" t="s">
        <v>1751</v>
      </c>
      <c r="D423" s="0" t="s">
        <v>227</v>
      </c>
      <c r="E423" s="0" t="s">
        <v>1752</v>
      </c>
      <c r="F423" s="0" t="s">
        <v>1753</v>
      </c>
      <c r="G423" s="0" t="s">
        <v>184</v>
      </c>
      <c r="H423" s="0" t="s">
        <v>7679</v>
      </c>
      <c r="I423" s="0" t="s">
        <v>7338</v>
      </c>
      <c r="J423" s="0" t="s">
        <v>1602</v>
      </c>
      <c r="K423" s="0" t="s">
        <v>7339</v>
      </c>
      <c r="L423" s="0" t="s">
        <v>7340</v>
      </c>
      <c r="M423" s="0" t="s">
        <v>7661</v>
      </c>
      <c r="N423" s="0" t="s">
        <v>7342</v>
      </c>
      <c r="P423" s="0" t="s">
        <v>229</v>
      </c>
      <c r="Q423" s="0" t="s">
        <v>7354</v>
      </c>
      <c r="R423" s="0" t="s">
        <v>7343</v>
      </c>
      <c r="S423" s="0" t="s">
        <v>7344</v>
      </c>
      <c r="T423" s="0" t="s">
        <v>228</v>
      </c>
      <c r="V423" s="0" t="s">
        <v>34</v>
      </c>
      <c r="W423" s="0" t="s">
        <v>37</v>
      </c>
      <c r="X423" s="0" t="s">
        <v>7355</v>
      </c>
      <c r="Y423" s="0" t="s">
        <v>7346</v>
      </c>
      <c r="Z423" s="0" t="s">
        <v>7370</v>
      </c>
      <c r="AA423" s="0" t="s">
        <v>7670</v>
      </c>
      <c r="AB423" s="0" t="s">
        <v>1663</v>
      </c>
      <c r="AC423" s="0" t="s">
        <v>7629</v>
      </c>
      <c r="AD423" s="0" t="s">
        <v>7671</v>
      </c>
      <c r="AE423" s="0" t="s">
        <v>7360</v>
      </c>
      <c r="AF423" s="0" t="s">
        <v>7361</v>
      </c>
      <c r="AG423" s="0" t="s">
        <v>230</v>
      </c>
    </row>
    <row r="424" customFormat="false" ht="15" hidden="false" customHeight="false" outlineLevel="0" collapsed="false">
      <c r="A424" s="0" t="s">
        <v>7336</v>
      </c>
      <c r="B424" s="0" t="s">
        <v>1754</v>
      </c>
      <c r="C424" s="0" t="s">
        <v>1755</v>
      </c>
      <c r="D424" s="0" t="s">
        <v>227</v>
      </c>
      <c r="E424" s="0" t="s">
        <v>1756</v>
      </c>
      <c r="F424" s="0" t="s">
        <v>1753</v>
      </c>
      <c r="G424" s="0" t="s">
        <v>184</v>
      </c>
      <c r="H424" s="0" t="s">
        <v>7679</v>
      </c>
      <c r="I424" s="0" t="s">
        <v>7338</v>
      </c>
      <c r="J424" s="0" t="s">
        <v>1602</v>
      </c>
      <c r="K424" s="0" t="s">
        <v>7339</v>
      </c>
      <c r="L424" s="0" t="s">
        <v>7340</v>
      </c>
      <c r="M424" s="0" t="s">
        <v>7661</v>
      </c>
      <c r="N424" s="0" t="s">
        <v>7342</v>
      </c>
      <c r="P424" s="0" t="s">
        <v>229</v>
      </c>
      <c r="Q424" s="0" t="s">
        <v>7354</v>
      </c>
      <c r="R424" s="0" t="s">
        <v>7343</v>
      </c>
      <c r="S424" s="0" t="s">
        <v>7344</v>
      </c>
      <c r="T424" s="0" t="s">
        <v>228</v>
      </c>
      <c r="V424" s="0" t="s">
        <v>34</v>
      </c>
      <c r="W424" s="0" t="s">
        <v>49</v>
      </c>
      <c r="X424" s="0" t="s">
        <v>7355</v>
      </c>
      <c r="AB424" s="0" t="s">
        <v>1663</v>
      </c>
      <c r="AC424" s="0" t="s">
        <v>7629</v>
      </c>
      <c r="AD424" s="0" t="s">
        <v>7678</v>
      </c>
      <c r="AE424" s="0" t="s">
        <v>7360</v>
      </c>
      <c r="AF424" s="0" t="s">
        <v>7361</v>
      </c>
      <c r="AG424" s="0" t="s">
        <v>230</v>
      </c>
    </row>
    <row r="425" customFormat="false" ht="15" hidden="false" customHeight="false" outlineLevel="0" collapsed="false">
      <c r="A425" s="0" t="s">
        <v>7336</v>
      </c>
      <c r="B425" s="0" t="s">
        <v>1757</v>
      </c>
      <c r="C425" s="0" t="s">
        <v>1758</v>
      </c>
      <c r="D425" s="0" t="s">
        <v>227</v>
      </c>
      <c r="E425" s="0" t="s">
        <v>1759</v>
      </c>
      <c r="F425" s="0" t="s">
        <v>1753</v>
      </c>
      <c r="G425" s="0" t="s">
        <v>184</v>
      </c>
      <c r="H425" s="0" t="s">
        <v>7679</v>
      </c>
      <c r="I425" s="0" t="s">
        <v>7338</v>
      </c>
      <c r="J425" s="0" t="s">
        <v>1602</v>
      </c>
      <c r="K425" s="0" t="s">
        <v>7339</v>
      </c>
      <c r="L425" s="0" t="s">
        <v>7340</v>
      </c>
      <c r="M425" s="0" t="s">
        <v>7661</v>
      </c>
      <c r="N425" s="0" t="s">
        <v>7342</v>
      </c>
      <c r="P425" s="0" t="s">
        <v>229</v>
      </c>
      <c r="Q425" s="0" t="s">
        <v>7354</v>
      </c>
      <c r="R425" s="0" t="s">
        <v>7343</v>
      </c>
      <c r="S425" s="0" t="s">
        <v>7344</v>
      </c>
      <c r="T425" s="0" t="s">
        <v>58</v>
      </c>
      <c r="V425" s="0" t="s">
        <v>55</v>
      </c>
      <c r="W425" s="0" t="s">
        <v>57</v>
      </c>
      <c r="X425" s="0" t="s">
        <v>7355</v>
      </c>
      <c r="Y425" s="0" t="s">
        <v>7667</v>
      </c>
      <c r="Z425" s="0" t="s">
        <v>7668</v>
      </c>
      <c r="AA425" s="0" t="s">
        <v>7669</v>
      </c>
      <c r="AB425" s="0" t="s">
        <v>237</v>
      </c>
      <c r="AC425" s="0" t="s">
        <v>7629</v>
      </c>
      <c r="AE425" s="0" t="s">
        <v>7360</v>
      </c>
      <c r="AF425" s="0" t="s">
        <v>7361</v>
      </c>
      <c r="AG425" s="0" t="s">
        <v>230</v>
      </c>
    </row>
    <row r="426" customFormat="false" ht="15" hidden="false" customHeight="false" outlineLevel="0" collapsed="false">
      <c r="A426" s="0" t="s">
        <v>7336</v>
      </c>
      <c r="B426" s="0" t="s">
        <v>1760</v>
      </c>
      <c r="C426" s="0" t="s">
        <v>1761</v>
      </c>
      <c r="D426" s="0" t="s">
        <v>227</v>
      </c>
      <c r="E426" s="0" t="s">
        <v>1762</v>
      </c>
      <c r="F426" s="0" t="s">
        <v>1763</v>
      </c>
      <c r="G426" s="0" t="s">
        <v>184</v>
      </c>
      <c r="H426" s="0" t="s">
        <v>7680</v>
      </c>
      <c r="I426" s="0" t="s">
        <v>7338</v>
      </c>
      <c r="J426" s="0" t="s">
        <v>1602</v>
      </c>
      <c r="K426" s="0" t="s">
        <v>7339</v>
      </c>
      <c r="L426" s="0" t="s">
        <v>7340</v>
      </c>
      <c r="M426" s="0" t="s">
        <v>7661</v>
      </c>
      <c r="N426" s="0" t="s">
        <v>7342</v>
      </c>
      <c r="P426" s="0" t="s">
        <v>229</v>
      </c>
      <c r="Q426" s="0" t="s">
        <v>7354</v>
      </c>
      <c r="R426" s="0" t="s">
        <v>7343</v>
      </c>
      <c r="S426" s="0" t="s">
        <v>7344</v>
      </c>
      <c r="T426" s="0" t="s">
        <v>228</v>
      </c>
      <c r="V426" s="0" t="s">
        <v>34</v>
      </c>
      <c r="W426" s="0" t="s">
        <v>43</v>
      </c>
      <c r="X426" s="0" t="s">
        <v>7355</v>
      </c>
      <c r="Y426" s="0" t="s">
        <v>7346</v>
      </c>
      <c r="Z426" s="0" t="s">
        <v>7370</v>
      </c>
      <c r="AA426" s="0" t="s">
        <v>7670</v>
      </c>
      <c r="AB426" s="0" t="s">
        <v>1663</v>
      </c>
      <c r="AC426" s="0" t="s">
        <v>7629</v>
      </c>
      <c r="AD426" s="0" t="s">
        <v>7681</v>
      </c>
      <c r="AE426" s="0" t="s">
        <v>7360</v>
      </c>
      <c r="AF426" s="0" t="s">
        <v>7361</v>
      </c>
      <c r="AG426" s="0" t="s">
        <v>230</v>
      </c>
    </row>
    <row r="427" customFormat="false" ht="15" hidden="false" customHeight="false" outlineLevel="0" collapsed="false">
      <c r="A427" s="0" t="s">
        <v>7336</v>
      </c>
      <c r="B427" s="0" t="s">
        <v>1764</v>
      </c>
      <c r="C427" s="0" t="s">
        <v>1765</v>
      </c>
      <c r="D427" s="0" t="s">
        <v>227</v>
      </c>
      <c r="E427" s="0" t="s">
        <v>1766</v>
      </c>
      <c r="F427" s="0" t="s">
        <v>1763</v>
      </c>
      <c r="G427" s="0" t="s">
        <v>184</v>
      </c>
      <c r="H427" s="0" t="s">
        <v>7680</v>
      </c>
      <c r="I427" s="0" t="s">
        <v>7338</v>
      </c>
      <c r="J427" s="0" t="s">
        <v>1602</v>
      </c>
      <c r="K427" s="0" t="s">
        <v>7339</v>
      </c>
      <c r="L427" s="0" t="s">
        <v>7340</v>
      </c>
      <c r="M427" s="0" t="s">
        <v>7661</v>
      </c>
      <c r="N427" s="0" t="s">
        <v>7342</v>
      </c>
      <c r="P427" s="0" t="s">
        <v>229</v>
      </c>
      <c r="Q427" s="0" t="s">
        <v>7354</v>
      </c>
      <c r="R427" s="0" t="s">
        <v>7343</v>
      </c>
      <c r="S427" s="0" t="s">
        <v>7344</v>
      </c>
      <c r="T427" s="0" t="s">
        <v>228</v>
      </c>
      <c r="V427" s="0" t="s">
        <v>34</v>
      </c>
      <c r="W427" s="0" t="s">
        <v>49</v>
      </c>
      <c r="X427" s="0" t="s">
        <v>7355</v>
      </c>
      <c r="AB427" s="0" t="s">
        <v>1663</v>
      </c>
      <c r="AC427" s="0" t="s">
        <v>7629</v>
      </c>
      <c r="AD427" s="0" t="s">
        <v>7678</v>
      </c>
      <c r="AE427" s="0" t="s">
        <v>7360</v>
      </c>
      <c r="AF427" s="0" t="s">
        <v>7361</v>
      </c>
      <c r="AG427" s="0" t="s">
        <v>230</v>
      </c>
    </row>
    <row r="428" customFormat="false" ht="15" hidden="false" customHeight="false" outlineLevel="0" collapsed="false">
      <c r="A428" s="0" t="s">
        <v>7336</v>
      </c>
      <c r="B428" s="0" t="s">
        <v>1767</v>
      </c>
      <c r="C428" s="0" t="s">
        <v>1768</v>
      </c>
      <c r="D428" s="0" t="s">
        <v>227</v>
      </c>
      <c r="E428" s="0" t="s">
        <v>1769</v>
      </c>
      <c r="F428" s="0" t="s">
        <v>1763</v>
      </c>
      <c r="G428" s="0" t="s">
        <v>184</v>
      </c>
      <c r="H428" s="0" t="s">
        <v>7680</v>
      </c>
      <c r="I428" s="0" t="s">
        <v>7338</v>
      </c>
      <c r="J428" s="0" t="s">
        <v>1602</v>
      </c>
      <c r="K428" s="0" t="s">
        <v>7339</v>
      </c>
      <c r="L428" s="0" t="s">
        <v>7340</v>
      </c>
      <c r="M428" s="0" t="s">
        <v>7661</v>
      </c>
      <c r="N428" s="0" t="s">
        <v>7342</v>
      </c>
      <c r="P428" s="0" t="s">
        <v>229</v>
      </c>
      <c r="Q428" s="0" t="s">
        <v>7354</v>
      </c>
      <c r="R428" s="0" t="s">
        <v>7343</v>
      </c>
      <c r="S428" s="0" t="s">
        <v>7344</v>
      </c>
      <c r="T428" s="0" t="s">
        <v>58</v>
      </c>
      <c r="V428" s="0" t="s">
        <v>55</v>
      </c>
      <c r="W428" s="0" t="s">
        <v>57</v>
      </c>
      <c r="X428" s="0" t="s">
        <v>7355</v>
      </c>
      <c r="Y428" s="0" t="s">
        <v>7667</v>
      </c>
      <c r="Z428" s="0" t="s">
        <v>7668</v>
      </c>
      <c r="AA428" s="0" t="s">
        <v>7669</v>
      </c>
      <c r="AB428" s="0" t="s">
        <v>237</v>
      </c>
      <c r="AC428" s="0" t="s">
        <v>7629</v>
      </c>
      <c r="AE428" s="0" t="s">
        <v>7360</v>
      </c>
      <c r="AF428" s="0" t="s">
        <v>7361</v>
      </c>
      <c r="AG428" s="0" t="s">
        <v>230</v>
      </c>
    </row>
    <row r="429" customFormat="false" ht="15" hidden="false" customHeight="false" outlineLevel="0" collapsed="false">
      <c r="A429" s="0" t="s">
        <v>7336</v>
      </c>
      <c r="B429" s="0" t="s">
        <v>1770</v>
      </c>
      <c r="C429" s="0" t="s">
        <v>1771</v>
      </c>
      <c r="D429" s="0" t="s">
        <v>227</v>
      </c>
      <c r="E429" s="0" t="s">
        <v>1772</v>
      </c>
      <c r="F429" s="0" t="s">
        <v>1773</v>
      </c>
      <c r="G429" s="0" t="s">
        <v>184</v>
      </c>
      <c r="H429" s="0" t="s">
        <v>7682</v>
      </c>
      <c r="I429" s="0" t="s">
        <v>7338</v>
      </c>
      <c r="J429" s="0" t="s">
        <v>1602</v>
      </c>
      <c r="K429" s="0" t="s">
        <v>7339</v>
      </c>
      <c r="L429" s="0" t="s">
        <v>7340</v>
      </c>
      <c r="M429" s="0" t="s">
        <v>7661</v>
      </c>
      <c r="N429" s="0" t="s">
        <v>7342</v>
      </c>
      <c r="P429" s="0" t="s">
        <v>229</v>
      </c>
      <c r="Q429" s="0" t="s">
        <v>7354</v>
      </c>
      <c r="R429" s="0" t="s">
        <v>7343</v>
      </c>
      <c r="S429" s="0" t="s">
        <v>7344</v>
      </c>
      <c r="T429" s="0" t="s">
        <v>228</v>
      </c>
      <c r="V429" s="0" t="s">
        <v>34</v>
      </c>
      <c r="W429" s="0" t="s">
        <v>37</v>
      </c>
      <c r="X429" s="0" t="s">
        <v>7355</v>
      </c>
      <c r="Y429" s="0" t="s">
        <v>7346</v>
      </c>
      <c r="Z429" s="0" t="s">
        <v>7370</v>
      </c>
      <c r="AA429" s="0" t="s">
        <v>7670</v>
      </c>
      <c r="AB429" s="0" t="s">
        <v>1663</v>
      </c>
      <c r="AC429" s="0" t="s">
        <v>7629</v>
      </c>
      <c r="AD429" s="0" t="s">
        <v>7671</v>
      </c>
      <c r="AE429" s="0" t="s">
        <v>7360</v>
      </c>
      <c r="AF429" s="0" t="s">
        <v>7361</v>
      </c>
      <c r="AG429" s="0" t="s">
        <v>230</v>
      </c>
    </row>
    <row r="430" customFormat="false" ht="15" hidden="false" customHeight="false" outlineLevel="0" collapsed="false">
      <c r="A430" s="0" t="s">
        <v>7336</v>
      </c>
      <c r="B430" s="0" t="s">
        <v>1774</v>
      </c>
      <c r="C430" s="0" t="s">
        <v>1775</v>
      </c>
      <c r="D430" s="0" t="s">
        <v>227</v>
      </c>
      <c r="E430" s="0" t="s">
        <v>1776</v>
      </c>
      <c r="F430" s="0" t="s">
        <v>1773</v>
      </c>
      <c r="G430" s="0" t="s">
        <v>184</v>
      </c>
      <c r="H430" s="0" t="s">
        <v>7682</v>
      </c>
      <c r="I430" s="0" t="s">
        <v>7338</v>
      </c>
      <c r="J430" s="0" t="s">
        <v>1602</v>
      </c>
      <c r="K430" s="0" t="s">
        <v>7339</v>
      </c>
      <c r="L430" s="0" t="s">
        <v>7340</v>
      </c>
      <c r="M430" s="0" t="s">
        <v>7661</v>
      </c>
      <c r="N430" s="0" t="s">
        <v>7342</v>
      </c>
      <c r="P430" s="0" t="s">
        <v>229</v>
      </c>
      <c r="Q430" s="0" t="s">
        <v>7354</v>
      </c>
      <c r="R430" s="0" t="s">
        <v>7343</v>
      </c>
      <c r="S430" s="0" t="s">
        <v>7344</v>
      </c>
      <c r="T430" s="0" t="s">
        <v>228</v>
      </c>
      <c r="V430" s="0" t="s">
        <v>34</v>
      </c>
      <c r="W430" s="0" t="s">
        <v>49</v>
      </c>
      <c r="X430" s="0" t="s">
        <v>7355</v>
      </c>
      <c r="AB430" s="0" t="s">
        <v>1663</v>
      </c>
      <c r="AC430" s="0" t="s">
        <v>7629</v>
      </c>
      <c r="AD430" s="0" t="s">
        <v>7678</v>
      </c>
      <c r="AE430" s="0" t="s">
        <v>7360</v>
      </c>
      <c r="AF430" s="0" t="s">
        <v>7361</v>
      </c>
      <c r="AG430" s="0" t="s">
        <v>230</v>
      </c>
    </row>
    <row r="431" customFormat="false" ht="15" hidden="false" customHeight="false" outlineLevel="0" collapsed="false">
      <c r="A431" s="0" t="s">
        <v>7336</v>
      </c>
      <c r="B431" s="0" t="s">
        <v>1777</v>
      </c>
      <c r="C431" s="0" t="s">
        <v>1778</v>
      </c>
      <c r="D431" s="0" t="s">
        <v>227</v>
      </c>
      <c r="E431" s="0" t="s">
        <v>1779</v>
      </c>
      <c r="F431" s="0" t="s">
        <v>1773</v>
      </c>
      <c r="G431" s="0" t="s">
        <v>184</v>
      </c>
      <c r="H431" s="0" t="s">
        <v>7682</v>
      </c>
      <c r="I431" s="0" t="s">
        <v>7338</v>
      </c>
      <c r="J431" s="0" t="s">
        <v>1602</v>
      </c>
      <c r="K431" s="0" t="s">
        <v>7339</v>
      </c>
      <c r="L431" s="0" t="s">
        <v>7340</v>
      </c>
      <c r="M431" s="0" t="s">
        <v>7661</v>
      </c>
      <c r="N431" s="0" t="s">
        <v>7342</v>
      </c>
      <c r="P431" s="0" t="s">
        <v>229</v>
      </c>
      <c r="Q431" s="0" t="s">
        <v>7354</v>
      </c>
      <c r="R431" s="0" t="s">
        <v>7343</v>
      </c>
      <c r="S431" s="0" t="s">
        <v>7344</v>
      </c>
      <c r="T431" s="0" t="s">
        <v>58</v>
      </c>
      <c r="V431" s="0" t="s">
        <v>55</v>
      </c>
      <c r="W431" s="0" t="s">
        <v>57</v>
      </c>
      <c r="X431" s="0" t="s">
        <v>7355</v>
      </c>
      <c r="Y431" s="0" t="s">
        <v>7667</v>
      </c>
      <c r="Z431" s="0" t="s">
        <v>7668</v>
      </c>
      <c r="AA431" s="0" t="s">
        <v>7669</v>
      </c>
      <c r="AB431" s="0" t="s">
        <v>237</v>
      </c>
      <c r="AC431" s="0" t="s">
        <v>7629</v>
      </c>
      <c r="AE431" s="0" t="s">
        <v>7360</v>
      </c>
      <c r="AF431" s="0" t="s">
        <v>7361</v>
      </c>
      <c r="AG431" s="0" t="s">
        <v>230</v>
      </c>
    </row>
    <row r="432" customFormat="false" ht="15" hidden="false" customHeight="false" outlineLevel="0" collapsed="false">
      <c r="A432" s="0" t="s">
        <v>7336</v>
      </c>
      <c r="B432" s="0" t="s">
        <v>1780</v>
      </c>
      <c r="C432" s="0" t="s">
        <v>1781</v>
      </c>
      <c r="D432" s="0" t="s">
        <v>227</v>
      </c>
      <c r="E432" s="0" t="s">
        <v>1782</v>
      </c>
      <c r="F432" s="0" t="s">
        <v>1783</v>
      </c>
      <c r="G432" s="0" t="s">
        <v>184</v>
      </c>
      <c r="H432" s="0" t="s">
        <v>7683</v>
      </c>
      <c r="I432" s="0" t="s">
        <v>7338</v>
      </c>
      <c r="J432" s="0" t="s">
        <v>1602</v>
      </c>
      <c r="K432" s="0" t="s">
        <v>7339</v>
      </c>
      <c r="L432" s="0" t="s">
        <v>7340</v>
      </c>
      <c r="M432" s="0" t="s">
        <v>7661</v>
      </c>
      <c r="N432" s="0" t="s">
        <v>7342</v>
      </c>
      <c r="P432" s="0" t="s">
        <v>229</v>
      </c>
      <c r="Q432" s="0" t="s">
        <v>7354</v>
      </c>
      <c r="R432" s="0" t="s">
        <v>7343</v>
      </c>
      <c r="S432" s="0" t="s">
        <v>7344</v>
      </c>
      <c r="T432" s="0" t="s">
        <v>228</v>
      </c>
      <c r="V432" s="0" t="s">
        <v>34</v>
      </c>
      <c r="W432" s="0" t="s">
        <v>49</v>
      </c>
      <c r="X432" s="0" t="s">
        <v>7355</v>
      </c>
      <c r="AB432" s="0" t="s">
        <v>1663</v>
      </c>
      <c r="AC432" s="0" t="s">
        <v>7629</v>
      </c>
      <c r="AD432" s="0" t="s">
        <v>7675</v>
      </c>
      <c r="AE432" s="0" t="s">
        <v>7360</v>
      </c>
      <c r="AF432" s="0" t="s">
        <v>7361</v>
      </c>
      <c r="AG432" s="0" t="s">
        <v>230</v>
      </c>
    </row>
    <row r="433" customFormat="false" ht="15" hidden="false" customHeight="false" outlineLevel="0" collapsed="false">
      <c r="A433" s="0" t="s">
        <v>7336</v>
      </c>
      <c r="B433" s="0" t="s">
        <v>1784</v>
      </c>
      <c r="C433" s="0" t="s">
        <v>1785</v>
      </c>
      <c r="D433" s="0" t="s">
        <v>227</v>
      </c>
      <c r="E433" s="0" t="s">
        <v>1786</v>
      </c>
      <c r="F433" s="0" t="s">
        <v>1783</v>
      </c>
      <c r="G433" s="0" t="s">
        <v>184</v>
      </c>
      <c r="H433" s="0" t="s">
        <v>7683</v>
      </c>
      <c r="I433" s="0" t="s">
        <v>7338</v>
      </c>
      <c r="J433" s="0" t="s">
        <v>1602</v>
      </c>
      <c r="K433" s="0" t="s">
        <v>7339</v>
      </c>
      <c r="L433" s="0" t="s">
        <v>7340</v>
      </c>
      <c r="M433" s="0" t="s">
        <v>7661</v>
      </c>
      <c r="N433" s="0" t="s">
        <v>7342</v>
      </c>
      <c r="P433" s="0" t="s">
        <v>229</v>
      </c>
      <c r="Q433" s="0" t="s">
        <v>7354</v>
      </c>
      <c r="R433" s="0" t="s">
        <v>7343</v>
      </c>
      <c r="S433" s="0" t="s">
        <v>7344</v>
      </c>
      <c r="T433" s="0" t="s">
        <v>58</v>
      </c>
      <c r="V433" s="0" t="s">
        <v>55</v>
      </c>
      <c r="W433" s="0" t="s">
        <v>57</v>
      </c>
      <c r="X433" s="0" t="s">
        <v>7355</v>
      </c>
      <c r="Y433" s="0" t="s">
        <v>7667</v>
      </c>
      <c r="Z433" s="0" t="s">
        <v>7668</v>
      </c>
      <c r="AA433" s="0" t="s">
        <v>7669</v>
      </c>
      <c r="AB433" s="0" t="s">
        <v>237</v>
      </c>
      <c r="AC433" s="0" t="s">
        <v>7629</v>
      </c>
      <c r="AE433" s="0" t="s">
        <v>7360</v>
      </c>
      <c r="AF433" s="0" t="s">
        <v>7361</v>
      </c>
      <c r="AG433" s="0" t="s">
        <v>230</v>
      </c>
    </row>
    <row r="434" customFormat="false" ht="15" hidden="false" customHeight="false" outlineLevel="0" collapsed="false">
      <c r="A434" s="0" t="s">
        <v>7336</v>
      </c>
      <c r="B434" s="0" t="s">
        <v>1787</v>
      </c>
      <c r="C434" s="0" t="s">
        <v>1788</v>
      </c>
      <c r="D434" s="0" t="s">
        <v>227</v>
      </c>
      <c r="E434" s="0" t="s">
        <v>1789</v>
      </c>
      <c r="F434" s="0" t="s">
        <v>1739</v>
      </c>
      <c r="G434" s="0" t="s">
        <v>184</v>
      </c>
      <c r="H434" s="0" t="s">
        <v>7676</v>
      </c>
      <c r="I434" s="0" t="s">
        <v>7338</v>
      </c>
      <c r="J434" s="0" t="s">
        <v>1602</v>
      </c>
      <c r="K434" s="0" t="s">
        <v>7339</v>
      </c>
      <c r="L434" s="0" t="s">
        <v>7340</v>
      </c>
      <c r="M434" s="0" t="s">
        <v>7661</v>
      </c>
      <c r="N434" s="0" t="s">
        <v>7342</v>
      </c>
      <c r="P434" s="0" t="s">
        <v>229</v>
      </c>
      <c r="Q434" s="0" t="s">
        <v>7354</v>
      </c>
      <c r="R434" s="0" t="s">
        <v>7343</v>
      </c>
      <c r="S434" s="0" t="s">
        <v>7344</v>
      </c>
      <c r="T434" s="0" t="s">
        <v>228</v>
      </c>
      <c r="V434" s="0" t="s">
        <v>34</v>
      </c>
      <c r="W434" s="0" t="s">
        <v>50</v>
      </c>
      <c r="X434" s="0" t="s">
        <v>7355</v>
      </c>
      <c r="Z434" s="0" t="s">
        <v>7662</v>
      </c>
      <c r="AB434" s="0" t="s">
        <v>1663</v>
      </c>
      <c r="AC434" s="0" t="s">
        <v>7629</v>
      </c>
      <c r="AD434" s="0" t="s">
        <v>7665</v>
      </c>
      <c r="AE434" s="0" t="s">
        <v>7360</v>
      </c>
      <c r="AF434" s="0" t="s">
        <v>7361</v>
      </c>
      <c r="AG434" s="0" t="s">
        <v>230</v>
      </c>
    </row>
    <row r="435" customFormat="false" ht="15" hidden="false" customHeight="false" outlineLevel="0" collapsed="false">
      <c r="A435" s="0" t="s">
        <v>7336</v>
      </c>
      <c r="B435" s="0" t="s">
        <v>1790</v>
      </c>
      <c r="C435" s="0" t="s">
        <v>1791</v>
      </c>
      <c r="D435" s="0" t="s">
        <v>227</v>
      </c>
      <c r="E435" s="0" t="s">
        <v>1792</v>
      </c>
      <c r="F435" s="0" t="s">
        <v>1793</v>
      </c>
      <c r="G435" s="0" t="s">
        <v>184</v>
      </c>
      <c r="H435" s="0" t="s">
        <v>7684</v>
      </c>
      <c r="I435" s="0" t="s">
        <v>7338</v>
      </c>
      <c r="J435" s="0" t="s">
        <v>1602</v>
      </c>
      <c r="K435" s="0" t="s">
        <v>7339</v>
      </c>
      <c r="L435" s="0" t="s">
        <v>7340</v>
      </c>
      <c r="M435" s="0" t="s">
        <v>7661</v>
      </c>
      <c r="N435" s="0" t="s">
        <v>7342</v>
      </c>
      <c r="P435" s="0" t="s">
        <v>229</v>
      </c>
      <c r="Q435" s="0" t="s">
        <v>7354</v>
      </c>
      <c r="R435" s="0" t="s">
        <v>7343</v>
      </c>
      <c r="S435" s="0" t="s">
        <v>7344</v>
      </c>
      <c r="T435" s="0" t="s">
        <v>228</v>
      </c>
      <c r="V435" s="0" t="s">
        <v>34</v>
      </c>
      <c r="W435" s="0" t="s">
        <v>37</v>
      </c>
      <c r="X435" s="0" t="s">
        <v>7355</v>
      </c>
      <c r="Y435" s="0" t="s">
        <v>7346</v>
      </c>
      <c r="Z435" s="0" t="s">
        <v>7370</v>
      </c>
      <c r="AA435" s="0" t="s">
        <v>7670</v>
      </c>
      <c r="AB435" s="0" t="s">
        <v>1663</v>
      </c>
      <c r="AC435" s="0" t="s">
        <v>7629</v>
      </c>
      <c r="AD435" s="0" t="s">
        <v>7671</v>
      </c>
      <c r="AE435" s="0" t="s">
        <v>7360</v>
      </c>
      <c r="AF435" s="0" t="s">
        <v>7361</v>
      </c>
      <c r="AG435" s="0" t="s">
        <v>230</v>
      </c>
    </row>
    <row r="436" customFormat="false" ht="15" hidden="false" customHeight="false" outlineLevel="0" collapsed="false">
      <c r="A436" s="0" t="s">
        <v>7336</v>
      </c>
      <c r="B436" s="0" t="s">
        <v>1794</v>
      </c>
      <c r="C436" s="0" t="s">
        <v>1795</v>
      </c>
      <c r="D436" s="0" t="s">
        <v>227</v>
      </c>
      <c r="E436" s="0" t="s">
        <v>1796</v>
      </c>
      <c r="F436" s="0" t="s">
        <v>1793</v>
      </c>
      <c r="G436" s="0" t="s">
        <v>184</v>
      </c>
      <c r="H436" s="0" t="s">
        <v>7684</v>
      </c>
      <c r="I436" s="0" t="s">
        <v>7338</v>
      </c>
      <c r="J436" s="0" t="s">
        <v>1602</v>
      </c>
      <c r="K436" s="0" t="s">
        <v>7339</v>
      </c>
      <c r="L436" s="0" t="s">
        <v>7340</v>
      </c>
      <c r="M436" s="0" t="s">
        <v>7661</v>
      </c>
      <c r="N436" s="0" t="s">
        <v>7342</v>
      </c>
      <c r="P436" s="0" t="s">
        <v>229</v>
      </c>
      <c r="Q436" s="0" t="s">
        <v>7354</v>
      </c>
      <c r="R436" s="0" t="s">
        <v>7343</v>
      </c>
      <c r="S436" s="0" t="s">
        <v>7344</v>
      </c>
      <c r="T436" s="0" t="s">
        <v>58</v>
      </c>
      <c r="V436" s="0" t="s">
        <v>55</v>
      </c>
      <c r="W436" s="0" t="s">
        <v>57</v>
      </c>
      <c r="X436" s="0" t="s">
        <v>7355</v>
      </c>
      <c r="Y436" s="0" t="s">
        <v>7667</v>
      </c>
      <c r="Z436" s="0" t="s">
        <v>7668</v>
      </c>
      <c r="AA436" s="0" t="s">
        <v>7669</v>
      </c>
      <c r="AB436" s="0" t="s">
        <v>237</v>
      </c>
      <c r="AC436" s="0" t="s">
        <v>7629</v>
      </c>
      <c r="AE436" s="0" t="s">
        <v>7360</v>
      </c>
      <c r="AF436" s="0" t="s">
        <v>7361</v>
      </c>
      <c r="AG436" s="0" t="s">
        <v>230</v>
      </c>
    </row>
    <row r="437" customFormat="false" ht="15" hidden="false" customHeight="false" outlineLevel="0" collapsed="false">
      <c r="A437" s="0" t="s">
        <v>7336</v>
      </c>
      <c r="B437" s="0" t="s">
        <v>1797</v>
      </c>
      <c r="C437" s="0" t="s">
        <v>1798</v>
      </c>
      <c r="D437" s="0" t="s">
        <v>227</v>
      </c>
      <c r="E437" s="0" t="s">
        <v>1799</v>
      </c>
      <c r="F437" s="0" t="s">
        <v>1793</v>
      </c>
      <c r="G437" s="0" t="s">
        <v>184</v>
      </c>
      <c r="H437" s="0" t="s">
        <v>7684</v>
      </c>
      <c r="I437" s="0" t="s">
        <v>7338</v>
      </c>
      <c r="J437" s="0" t="s">
        <v>1602</v>
      </c>
      <c r="K437" s="0" t="s">
        <v>7339</v>
      </c>
      <c r="L437" s="0" t="s">
        <v>7340</v>
      </c>
      <c r="M437" s="0" t="s">
        <v>7661</v>
      </c>
      <c r="N437" s="0" t="s">
        <v>7342</v>
      </c>
      <c r="P437" s="0" t="s">
        <v>229</v>
      </c>
      <c r="Q437" s="0" t="s">
        <v>7354</v>
      </c>
      <c r="R437" s="0" t="s">
        <v>7343</v>
      </c>
      <c r="S437" s="0" t="s">
        <v>7344</v>
      </c>
      <c r="T437" s="0" t="s">
        <v>228</v>
      </c>
      <c r="V437" s="0" t="s">
        <v>34</v>
      </c>
      <c r="W437" s="0" t="s">
        <v>37</v>
      </c>
      <c r="X437" s="0" t="s">
        <v>7355</v>
      </c>
      <c r="Y437" s="0" t="s">
        <v>7346</v>
      </c>
      <c r="Z437" s="0" t="s">
        <v>7370</v>
      </c>
      <c r="AA437" s="0" t="s">
        <v>7670</v>
      </c>
      <c r="AB437" s="0" t="s">
        <v>1663</v>
      </c>
      <c r="AC437" s="0" t="s">
        <v>7629</v>
      </c>
      <c r="AD437" s="0" t="s">
        <v>7671</v>
      </c>
      <c r="AE437" s="0" t="s">
        <v>7360</v>
      </c>
      <c r="AF437" s="0" t="s">
        <v>7361</v>
      </c>
      <c r="AG437" s="0" t="s">
        <v>230</v>
      </c>
    </row>
    <row r="438" customFormat="false" ht="15" hidden="false" customHeight="false" outlineLevel="0" collapsed="false">
      <c r="A438" s="0" t="s">
        <v>7336</v>
      </c>
      <c r="B438" s="0" t="s">
        <v>1800</v>
      </c>
      <c r="C438" s="0" t="s">
        <v>1801</v>
      </c>
      <c r="D438" s="0" t="s">
        <v>227</v>
      </c>
      <c r="E438" s="0" t="s">
        <v>1802</v>
      </c>
      <c r="F438" s="0" t="s">
        <v>1793</v>
      </c>
      <c r="G438" s="0" t="s">
        <v>184</v>
      </c>
      <c r="H438" s="0" t="s">
        <v>7684</v>
      </c>
      <c r="I438" s="0" t="s">
        <v>7338</v>
      </c>
      <c r="J438" s="0" t="s">
        <v>1602</v>
      </c>
      <c r="K438" s="0" t="s">
        <v>7339</v>
      </c>
      <c r="L438" s="0" t="s">
        <v>7340</v>
      </c>
      <c r="M438" s="0" t="s">
        <v>7661</v>
      </c>
      <c r="N438" s="0" t="s">
        <v>7342</v>
      </c>
      <c r="P438" s="0" t="s">
        <v>229</v>
      </c>
      <c r="Q438" s="0" t="s">
        <v>7354</v>
      </c>
      <c r="R438" s="0" t="s">
        <v>7343</v>
      </c>
      <c r="S438" s="0" t="s">
        <v>7344</v>
      </c>
      <c r="T438" s="0" t="s">
        <v>58</v>
      </c>
      <c r="V438" s="0" t="s">
        <v>55</v>
      </c>
      <c r="W438" s="0" t="s">
        <v>57</v>
      </c>
      <c r="X438" s="0" t="s">
        <v>7355</v>
      </c>
      <c r="Y438" s="0" t="s">
        <v>7667</v>
      </c>
      <c r="Z438" s="0" t="s">
        <v>7668</v>
      </c>
      <c r="AA438" s="0" t="s">
        <v>7669</v>
      </c>
      <c r="AB438" s="0" t="s">
        <v>237</v>
      </c>
      <c r="AC438" s="0" t="s">
        <v>7629</v>
      </c>
      <c r="AE438" s="0" t="s">
        <v>7360</v>
      </c>
      <c r="AF438" s="0" t="s">
        <v>7361</v>
      </c>
      <c r="AG438" s="0" t="s">
        <v>230</v>
      </c>
    </row>
    <row r="439" customFormat="false" ht="15" hidden="false" customHeight="false" outlineLevel="0" collapsed="false">
      <c r="A439" s="0" t="s">
        <v>7336</v>
      </c>
      <c r="B439" s="0" t="s">
        <v>1803</v>
      </c>
      <c r="C439" s="0" t="s">
        <v>1804</v>
      </c>
      <c r="D439" s="0" t="s">
        <v>227</v>
      </c>
      <c r="E439" s="0" t="s">
        <v>1805</v>
      </c>
      <c r="F439" s="0" t="s">
        <v>1793</v>
      </c>
      <c r="G439" s="0" t="s">
        <v>184</v>
      </c>
      <c r="H439" s="0" t="s">
        <v>7684</v>
      </c>
      <c r="I439" s="0" t="s">
        <v>7338</v>
      </c>
      <c r="J439" s="0" t="s">
        <v>1602</v>
      </c>
      <c r="K439" s="0" t="s">
        <v>7339</v>
      </c>
      <c r="L439" s="0" t="s">
        <v>7340</v>
      </c>
      <c r="M439" s="0" t="s">
        <v>7661</v>
      </c>
      <c r="N439" s="0" t="s">
        <v>7342</v>
      </c>
      <c r="P439" s="0" t="s">
        <v>229</v>
      </c>
      <c r="Q439" s="0" t="s">
        <v>7354</v>
      </c>
      <c r="R439" s="0" t="s">
        <v>7343</v>
      </c>
      <c r="S439" s="0" t="s">
        <v>7344</v>
      </c>
      <c r="T439" s="0" t="s">
        <v>228</v>
      </c>
      <c r="V439" s="0" t="s">
        <v>34</v>
      </c>
      <c r="W439" s="0" t="s">
        <v>37</v>
      </c>
      <c r="X439" s="0" t="s">
        <v>7355</v>
      </c>
      <c r="Y439" s="0" t="s">
        <v>7346</v>
      </c>
      <c r="Z439" s="0" t="s">
        <v>7370</v>
      </c>
      <c r="AA439" s="0" t="s">
        <v>7670</v>
      </c>
      <c r="AB439" s="0" t="s">
        <v>1663</v>
      </c>
      <c r="AC439" s="0" t="s">
        <v>7629</v>
      </c>
      <c r="AD439" s="0" t="s">
        <v>7671</v>
      </c>
      <c r="AE439" s="0" t="s">
        <v>7360</v>
      </c>
      <c r="AF439" s="0" t="s">
        <v>7361</v>
      </c>
      <c r="AG439" s="0" t="s">
        <v>230</v>
      </c>
    </row>
    <row r="440" customFormat="false" ht="15" hidden="false" customHeight="false" outlineLevel="0" collapsed="false">
      <c r="A440" s="0" t="s">
        <v>7336</v>
      </c>
      <c r="B440" s="0" t="s">
        <v>1806</v>
      </c>
      <c r="C440" s="0" t="s">
        <v>1807</v>
      </c>
      <c r="D440" s="0" t="s">
        <v>227</v>
      </c>
      <c r="E440" s="0" t="s">
        <v>1808</v>
      </c>
      <c r="F440" s="0" t="s">
        <v>1793</v>
      </c>
      <c r="G440" s="0" t="s">
        <v>184</v>
      </c>
      <c r="H440" s="0" t="s">
        <v>7684</v>
      </c>
      <c r="I440" s="0" t="s">
        <v>7338</v>
      </c>
      <c r="J440" s="0" t="s">
        <v>1602</v>
      </c>
      <c r="K440" s="0" t="s">
        <v>7339</v>
      </c>
      <c r="L440" s="0" t="s">
        <v>7340</v>
      </c>
      <c r="M440" s="0" t="s">
        <v>7661</v>
      </c>
      <c r="N440" s="0" t="s">
        <v>7342</v>
      </c>
      <c r="P440" s="0" t="s">
        <v>229</v>
      </c>
      <c r="Q440" s="0" t="s">
        <v>7354</v>
      </c>
      <c r="R440" s="0" t="s">
        <v>7343</v>
      </c>
      <c r="S440" s="0" t="s">
        <v>7344</v>
      </c>
      <c r="T440" s="0" t="s">
        <v>58</v>
      </c>
      <c r="V440" s="0" t="s">
        <v>55</v>
      </c>
      <c r="W440" s="0" t="s">
        <v>57</v>
      </c>
      <c r="X440" s="0" t="s">
        <v>7355</v>
      </c>
      <c r="Y440" s="0" t="s">
        <v>7667</v>
      </c>
      <c r="Z440" s="0" t="s">
        <v>7668</v>
      </c>
      <c r="AA440" s="0" t="s">
        <v>7669</v>
      </c>
      <c r="AB440" s="0" t="s">
        <v>237</v>
      </c>
      <c r="AC440" s="0" t="s">
        <v>7629</v>
      </c>
      <c r="AE440" s="0" t="s">
        <v>7360</v>
      </c>
      <c r="AF440" s="0" t="s">
        <v>7361</v>
      </c>
      <c r="AG440" s="0" t="s">
        <v>230</v>
      </c>
    </row>
    <row r="441" customFormat="false" ht="15" hidden="false" customHeight="false" outlineLevel="0" collapsed="false">
      <c r="A441" s="0" t="s">
        <v>7336</v>
      </c>
      <c r="B441" s="0" t="s">
        <v>1809</v>
      </c>
      <c r="C441" s="0" t="s">
        <v>1810</v>
      </c>
      <c r="D441" s="0" t="s">
        <v>227</v>
      </c>
      <c r="E441" s="0" t="s">
        <v>1811</v>
      </c>
      <c r="F441" s="0" t="s">
        <v>1812</v>
      </c>
      <c r="G441" s="0" t="s">
        <v>184</v>
      </c>
      <c r="H441" s="0" t="s">
        <v>7685</v>
      </c>
      <c r="I441" s="0" t="s">
        <v>7338</v>
      </c>
      <c r="J441" s="0" t="s">
        <v>1602</v>
      </c>
      <c r="K441" s="0" t="s">
        <v>7339</v>
      </c>
      <c r="L441" s="0" t="s">
        <v>7340</v>
      </c>
      <c r="M441" s="0" t="s">
        <v>7661</v>
      </c>
      <c r="N441" s="0" t="s">
        <v>7342</v>
      </c>
      <c r="P441" s="0" t="s">
        <v>229</v>
      </c>
      <c r="Q441" s="0" t="s">
        <v>7354</v>
      </c>
      <c r="R441" s="0" t="s">
        <v>7343</v>
      </c>
      <c r="S441" s="0" t="s">
        <v>7344</v>
      </c>
      <c r="T441" s="0" t="s">
        <v>228</v>
      </c>
      <c r="V441" s="0" t="s">
        <v>34</v>
      </c>
      <c r="W441" s="0" t="s">
        <v>43</v>
      </c>
      <c r="X441" s="0" t="s">
        <v>7355</v>
      </c>
      <c r="Y441" s="0" t="s">
        <v>7346</v>
      </c>
      <c r="Z441" s="0" t="s">
        <v>7370</v>
      </c>
      <c r="AA441" s="0" t="s">
        <v>7670</v>
      </c>
      <c r="AB441" s="0" t="s">
        <v>1663</v>
      </c>
      <c r="AC441" s="0" t="s">
        <v>7629</v>
      </c>
      <c r="AD441" s="0" t="s">
        <v>7681</v>
      </c>
      <c r="AE441" s="0" t="s">
        <v>7360</v>
      </c>
      <c r="AF441" s="0" t="s">
        <v>7361</v>
      </c>
      <c r="AG441" s="0" t="s">
        <v>230</v>
      </c>
    </row>
    <row r="442" customFormat="false" ht="15" hidden="false" customHeight="false" outlineLevel="0" collapsed="false">
      <c r="A442" s="0" t="s">
        <v>7336</v>
      </c>
      <c r="B442" s="0" t="s">
        <v>1813</v>
      </c>
      <c r="C442" s="0" t="s">
        <v>1814</v>
      </c>
      <c r="D442" s="0" t="s">
        <v>227</v>
      </c>
      <c r="E442" s="0" t="s">
        <v>1815</v>
      </c>
      <c r="F442" s="0" t="s">
        <v>1812</v>
      </c>
      <c r="G442" s="0" t="s">
        <v>184</v>
      </c>
      <c r="H442" s="0" t="s">
        <v>7685</v>
      </c>
      <c r="I442" s="0" t="s">
        <v>7338</v>
      </c>
      <c r="J442" s="0" t="s">
        <v>1602</v>
      </c>
      <c r="K442" s="0" t="s">
        <v>7339</v>
      </c>
      <c r="L442" s="0" t="s">
        <v>7340</v>
      </c>
      <c r="M442" s="0" t="s">
        <v>7661</v>
      </c>
      <c r="N442" s="0" t="s">
        <v>7342</v>
      </c>
      <c r="P442" s="0" t="s">
        <v>229</v>
      </c>
      <c r="Q442" s="0" t="s">
        <v>7354</v>
      </c>
      <c r="R442" s="0" t="s">
        <v>7343</v>
      </c>
      <c r="S442" s="0" t="s">
        <v>7344</v>
      </c>
      <c r="T442" s="0" t="s">
        <v>58</v>
      </c>
      <c r="V442" s="0" t="s">
        <v>55</v>
      </c>
      <c r="W442" s="0" t="s">
        <v>57</v>
      </c>
      <c r="X442" s="0" t="s">
        <v>7355</v>
      </c>
      <c r="Y442" s="0" t="s">
        <v>7667</v>
      </c>
      <c r="Z442" s="0" t="s">
        <v>7668</v>
      </c>
      <c r="AA442" s="0" t="s">
        <v>7669</v>
      </c>
      <c r="AB442" s="0" t="s">
        <v>237</v>
      </c>
      <c r="AC442" s="0" t="s">
        <v>7629</v>
      </c>
      <c r="AE442" s="0" t="s">
        <v>7360</v>
      </c>
      <c r="AF442" s="0" t="s">
        <v>7361</v>
      </c>
      <c r="AG442" s="0" t="s">
        <v>230</v>
      </c>
    </row>
    <row r="443" customFormat="false" ht="15" hidden="false" customHeight="false" outlineLevel="0" collapsed="false">
      <c r="A443" s="0" t="s">
        <v>7336</v>
      </c>
      <c r="B443" s="0" t="s">
        <v>1816</v>
      </c>
      <c r="C443" s="0" t="s">
        <v>1817</v>
      </c>
      <c r="D443" s="0" t="s">
        <v>227</v>
      </c>
      <c r="E443" s="0" t="s">
        <v>1818</v>
      </c>
      <c r="F443" s="0" t="s">
        <v>1793</v>
      </c>
      <c r="G443" s="0" t="s">
        <v>184</v>
      </c>
      <c r="H443" s="0" t="s">
        <v>7684</v>
      </c>
      <c r="I443" s="0" t="s">
        <v>7338</v>
      </c>
      <c r="J443" s="0" t="s">
        <v>1602</v>
      </c>
      <c r="K443" s="0" t="s">
        <v>7339</v>
      </c>
      <c r="L443" s="0" t="s">
        <v>7340</v>
      </c>
      <c r="M443" s="0" t="s">
        <v>7661</v>
      </c>
      <c r="N443" s="0" t="s">
        <v>7342</v>
      </c>
      <c r="P443" s="0" t="s">
        <v>229</v>
      </c>
      <c r="Q443" s="0" t="s">
        <v>7354</v>
      </c>
      <c r="R443" s="0" t="s">
        <v>7343</v>
      </c>
      <c r="S443" s="0" t="s">
        <v>7344</v>
      </c>
      <c r="T443" s="0" t="s">
        <v>228</v>
      </c>
      <c r="V443" s="0" t="s">
        <v>34</v>
      </c>
      <c r="W443" s="0" t="s">
        <v>43</v>
      </c>
      <c r="X443" s="0" t="s">
        <v>7355</v>
      </c>
      <c r="Y443" s="0" t="s">
        <v>7346</v>
      </c>
      <c r="Z443" s="0" t="s">
        <v>7370</v>
      </c>
      <c r="AA443" s="0" t="s">
        <v>7670</v>
      </c>
      <c r="AB443" s="0" t="s">
        <v>1663</v>
      </c>
      <c r="AC443" s="0" t="s">
        <v>7629</v>
      </c>
      <c r="AD443" s="0" t="s">
        <v>7681</v>
      </c>
      <c r="AE443" s="0" t="s">
        <v>7360</v>
      </c>
      <c r="AF443" s="0" t="s">
        <v>7361</v>
      </c>
      <c r="AG443" s="0" t="s">
        <v>230</v>
      </c>
    </row>
    <row r="444" customFormat="false" ht="15" hidden="false" customHeight="false" outlineLevel="0" collapsed="false">
      <c r="A444" s="0" t="s">
        <v>7336</v>
      </c>
      <c r="B444" s="0" t="s">
        <v>1819</v>
      </c>
      <c r="C444" s="0" t="s">
        <v>1820</v>
      </c>
      <c r="D444" s="0" t="s">
        <v>227</v>
      </c>
      <c r="E444" s="0" t="s">
        <v>1821</v>
      </c>
      <c r="F444" s="0" t="s">
        <v>1793</v>
      </c>
      <c r="G444" s="0" t="s">
        <v>184</v>
      </c>
      <c r="H444" s="0" t="s">
        <v>7684</v>
      </c>
      <c r="I444" s="0" t="s">
        <v>7338</v>
      </c>
      <c r="J444" s="0" t="s">
        <v>1602</v>
      </c>
      <c r="K444" s="0" t="s">
        <v>7339</v>
      </c>
      <c r="L444" s="0" t="s">
        <v>7340</v>
      </c>
      <c r="M444" s="0" t="s">
        <v>7661</v>
      </c>
      <c r="N444" s="0" t="s">
        <v>7342</v>
      </c>
      <c r="P444" s="0" t="s">
        <v>229</v>
      </c>
      <c r="Q444" s="0" t="s">
        <v>7354</v>
      </c>
      <c r="R444" s="0" t="s">
        <v>7343</v>
      </c>
      <c r="S444" s="0" t="s">
        <v>7344</v>
      </c>
      <c r="T444" s="0" t="s">
        <v>58</v>
      </c>
      <c r="V444" s="0" t="s">
        <v>55</v>
      </c>
      <c r="W444" s="0" t="s">
        <v>57</v>
      </c>
      <c r="X444" s="0" t="s">
        <v>7355</v>
      </c>
      <c r="Y444" s="0" t="s">
        <v>7667</v>
      </c>
      <c r="Z444" s="0" t="s">
        <v>7668</v>
      </c>
      <c r="AA444" s="0" t="s">
        <v>7669</v>
      </c>
      <c r="AB444" s="0" t="s">
        <v>237</v>
      </c>
      <c r="AC444" s="0" t="s">
        <v>7629</v>
      </c>
      <c r="AE444" s="0" t="s">
        <v>7360</v>
      </c>
      <c r="AF444" s="0" t="s">
        <v>7361</v>
      </c>
      <c r="AG444" s="0" t="s">
        <v>230</v>
      </c>
    </row>
    <row r="445" customFormat="false" ht="15" hidden="false" customHeight="false" outlineLevel="0" collapsed="false">
      <c r="A445" s="0" t="s">
        <v>7336</v>
      </c>
      <c r="B445" s="0" t="s">
        <v>1822</v>
      </c>
      <c r="C445" s="0" t="s">
        <v>1823</v>
      </c>
      <c r="D445" s="0" t="s">
        <v>227</v>
      </c>
      <c r="E445" s="0" t="s">
        <v>1824</v>
      </c>
      <c r="F445" s="0" t="s">
        <v>1793</v>
      </c>
      <c r="G445" s="0" t="s">
        <v>184</v>
      </c>
      <c r="H445" s="0" t="s">
        <v>7684</v>
      </c>
      <c r="I445" s="0" t="s">
        <v>7338</v>
      </c>
      <c r="J445" s="0" t="s">
        <v>1602</v>
      </c>
      <c r="K445" s="0" t="s">
        <v>7339</v>
      </c>
      <c r="L445" s="0" t="s">
        <v>7340</v>
      </c>
      <c r="M445" s="0" t="s">
        <v>7661</v>
      </c>
      <c r="N445" s="0" t="s">
        <v>7342</v>
      </c>
      <c r="P445" s="0" t="s">
        <v>229</v>
      </c>
      <c r="Q445" s="0" t="s">
        <v>7354</v>
      </c>
      <c r="R445" s="0" t="s">
        <v>7343</v>
      </c>
      <c r="S445" s="0" t="s">
        <v>7344</v>
      </c>
      <c r="T445" s="0" t="s">
        <v>681</v>
      </c>
      <c r="V445" s="0" t="s">
        <v>34</v>
      </c>
      <c r="W445" s="0" t="s">
        <v>40</v>
      </c>
      <c r="X445" s="0" t="s">
        <v>7355</v>
      </c>
      <c r="Y445" s="0" t="s">
        <v>7686</v>
      </c>
      <c r="Z445" s="0" t="s">
        <v>7355</v>
      </c>
      <c r="AA445" s="0" t="s">
        <v>7687</v>
      </c>
      <c r="AB445" s="0" t="s">
        <v>1825</v>
      </c>
      <c r="AC445" s="0" t="s">
        <v>7629</v>
      </c>
      <c r="AD445" s="0" t="s">
        <v>7688</v>
      </c>
      <c r="AE445" s="0" t="s">
        <v>7360</v>
      </c>
      <c r="AF445" s="0" t="s">
        <v>7361</v>
      </c>
      <c r="AG445" s="0" t="s">
        <v>230</v>
      </c>
    </row>
    <row r="446" customFormat="false" ht="15" hidden="false" customHeight="false" outlineLevel="0" collapsed="false">
      <c r="A446" s="0" t="s">
        <v>7336</v>
      </c>
      <c r="B446" s="0" t="s">
        <v>1826</v>
      </c>
      <c r="C446" s="0" t="s">
        <v>1827</v>
      </c>
      <c r="D446" s="0" t="s">
        <v>227</v>
      </c>
      <c r="E446" s="0" t="s">
        <v>1828</v>
      </c>
      <c r="F446" s="0" t="s">
        <v>1793</v>
      </c>
      <c r="G446" s="0" t="s">
        <v>184</v>
      </c>
      <c r="H446" s="0" t="s">
        <v>7684</v>
      </c>
      <c r="I446" s="0" t="s">
        <v>7338</v>
      </c>
      <c r="J446" s="0" t="s">
        <v>1602</v>
      </c>
      <c r="K446" s="0" t="s">
        <v>7339</v>
      </c>
      <c r="L446" s="0" t="s">
        <v>7340</v>
      </c>
      <c r="M446" s="0" t="s">
        <v>7661</v>
      </c>
      <c r="N446" s="0" t="s">
        <v>7342</v>
      </c>
      <c r="P446" s="0" t="s">
        <v>229</v>
      </c>
      <c r="Q446" s="0" t="s">
        <v>7354</v>
      </c>
      <c r="R446" s="0" t="s">
        <v>7343</v>
      </c>
      <c r="S446" s="0" t="s">
        <v>7344</v>
      </c>
      <c r="T446" s="0" t="s">
        <v>228</v>
      </c>
      <c r="V446" s="0" t="s">
        <v>34</v>
      </c>
      <c r="W446" s="0" t="s">
        <v>37</v>
      </c>
      <c r="X446" s="0" t="s">
        <v>7355</v>
      </c>
      <c r="Y446" s="0" t="s">
        <v>7346</v>
      </c>
      <c r="Z446" s="0" t="s">
        <v>7370</v>
      </c>
      <c r="AA446" s="0" t="s">
        <v>7670</v>
      </c>
      <c r="AB446" s="0" t="s">
        <v>1663</v>
      </c>
      <c r="AC446" s="0" t="s">
        <v>7629</v>
      </c>
      <c r="AD446" s="0" t="s">
        <v>7671</v>
      </c>
      <c r="AE446" s="0" t="s">
        <v>7360</v>
      </c>
      <c r="AF446" s="0" t="s">
        <v>7361</v>
      </c>
      <c r="AG446" s="0" t="s">
        <v>230</v>
      </c>
    </row>
    <row r="447" customFormat="false" ht="15" hidden="false" customHeight="false" outlineLevel="0" collapsed="false">
      <c r="A447" s="0" t="s">
        <v>7336</v>
      </c>
      <c r="B447" s="0" t="s">
        <v>1829</v>
      </c>
      <c r="C447" s="0" t="s">
        <v>1830</v>
      </c>
      <c r="D447" s="0" t="s">
        <v>227</v>
      </c>
      <c r="E447" s="0" t="s">
        <v>1831</v>
      </c>
      <c r="F447" s="0" t="s">
        <v>1659</v>
      </c>
      <c r="G447" s="0" t="s">
        <v>184</v>
      </c>
      <c r="H447" s="0" t="s">
        <v>7666</v>
      </c>
      <c r="I447" s="0" t="s">
        <v>7338</v>
      </c>
      <c r="J447" s="0" t="s">
        <v>1602</v>
      </c>
      <c r="K447" s="0" t="s">
        <v>7339</v>
      </c>
      <c r="L447" s="0" t="s">
        <v>7340</v>
      </c>
      <c r="M447" s="0" t="s">
        <v>7661</v>
      </c>
      <c r="N447" s="0" t="s">
        <v>7342</v>
      </c>
      <c r="P447" s="0" t="s">
        <v>229</v>
      </c>
      <c r="Q447" s="0" t="s">
        <v>7354</v>
      </c>
      <c r="R447" s="0" t="s">
        <v>7343</v>
      </c>
      <c r="S447" s="0" t="s">
        <v>7344</v>
      </c>
      <c r="T447" s="0" t="s">
        <v>228</v>
      </c>
      <c r="V447" s="0" t="s">
        <v>34</v>
      </c>
      <c r="W447" s="0" t="s">
        <v>43</v>
      </c>
      <c r="X447" s="0" t="s">
        <v>7355</v>
      </c>
      <c r="Y447" s="0" t="s">
        <v>7346</v>
      </c>
      <c r="Z447" s="0" t="s">
        <v>7370</v>
      </c>
      <c r="AA447" s="0" t="s">
        <v>7670</v>
      </c>
      <c r="AB447" s="0" t="s">
        <v>1663</v>
      </c>
      <c r="AC447" s="0" t="s">
        <v>7629</v>
      </c>
      <c r="AD447" s="0" t="s">
        <v>7681</v>
      </c>
      <c r="AE447" s="0" t="s">
        <v>7360</v>
      </c>
      <c r="AF447" s="0" t="s">
        <v>7361</v>
      </c>
      <c r="AG447" s="0" t="s">
        <v>230</v>
      </c>
    </row>
    <row r="448" customFormat="false" ht="15" hidden="false" customHeight="false" outlineLevel="0" collapsed="false">
      <c r="A448" s="0" t="s">
        <v>7336</v>
      </c>
      <c r="B448" s="0" t="s">
        <v>1832</v>
      </c>
      <c r="C448" s="0" t="s">
        <v>1833</v>
      </c>
      <c r="D448" s="0" t="s">
        <v>227</v>
      </c>
      <c r="E448" s="0" t="s">
        <v>1834</v>
      </c>
      <c r="F448" s="0" t="s">
        <v>1659</v>
      </c>
      <c r="G448" s="0" t="s">
        <v>184</v>
      </c>
      <c r="H448" s="0" t="s">
        <v>7666</v>
      </c>
      <c r="I448" s="0" t="s">
        <v>7338</v>
      </c>
      <c r="J448" s="0" t="s">
        <v>1602</v>
      </c>
      <c r="K448" s="0" t="s">
        <v>7339</v>
      </c>
      <c r="L448" s="0" t="s">
        <v>7340</v>
      </c>
      <c r="M448" s="0" t="s">
        <v>7661</v>
      </c>
      <c r="N448" s="0" t="s">
        <v>7342</v>
      </c>
      <c r="P448" s="0" t="s">
        <v>229</v>
      </c>
      <c r="Q448" s="0" t="s">
        <v>7354</v>
      </c>
      <c r="R448" s="0" t="s">
        <v>7343</v>
      </c>
      <c r="S448" s="0" t="s">
        <v>7344</v>
      </c>
      <c r="T448" s="0" t="s">
        <v>58</v>
      </c>
      <c r="V448" s="0" t="s">
        <v>55</v>
      </c>
      <c r="W448" s="0" t="s">
        <v>57</v>
      </c>
      <c r="X448" s="0" t="s">
        <v>7355</v>
      </c>
      <c r="Y448" s="0" t="s">
        <v>7667</v>
      </c>
      <c r="Z448" s="0" t="s">
        <v>7668</v>
      </c>
      <c r="AA448" s="0" t="s">
        <v>7669</v>
      </c>
      <c r="AB448" s="0" t="s">
        <v>237</v>
      </c>
      <c r="AC448" s="0" t="s">
        <v>7629</v>
      </c>
      <c r="AE448" s="0" t="s">
        <v>7360</v>
      </c>
      <c r="AF448" s="0" t="s">
        <v>7361</v>
      </c>
      <c r="AG448" s="0" t="s">
        <v>230</v>
      </c>
    </row>
    <row r="449" customFormat="false" ht="15" hidden="false" customHeight="false" outlineLevel="0" collapsed="false">
      <c r="A449" s="0" t="s">
        <v>7336</v>
      </c>
      <c r="B449" s="0" t="s">
        <v>1835</v>
      </c>
      <c r="C449" s="0" t="s">
        <v>1836</v>
      </c>
      <c r="D449" s="0" t="s">
        <v>227</v>
      </c>
      <c r="E449" s="0" t="s">
        <v>1837</v>
      </c>
      <c r="F449" s="0" t="s">
        <v>1659</v>
      </c>
      <c r="G449" s="0" t="s">
        <v>184</v>
      </c>
      <c r="H449" s="0" t="s">
        <v>7666</v>
      </c>
      <c r="I449" s="0" t="s">
        <v>7338</v>
      </c>
      <c r="J449" s="0" t="s">
        <v>1602</v>
      </c>
      <c r="K449" s="0" t="s">
        <v>7339</v>
      </c>
      <c r="L449" s="0" t="s">
        <v>7340</v>
      </c>
      <c r="M449" s="0" t="s">
        <v>7661</v>
      </c>
      <c r="N449" s="0" t="s">
        <v>7342</v>
      </c>
      <c r="P449" s="0" t="s">
        <v>229</v>
      </c>
      <c r="Q449" s="0" t="s">
        <v>7354</v>
      </c>
      <c r="R449" s="0" t="s">
        <v>7343</v>
      </c>
      <c r="S449" s="0" t="s">
        <v>7344</v>
      </c>
      <c r="T449" s="0" t="s">
        <v>681</v>
      </c>
      <c r="V449" s="0" t="s">
        <v>34</v>
      </c>
      <c r="W449" s="0" t="s">
        <v>40</v>
      </c>
      <c r="X449" s="0" t="s">
        <v>7355</v>
      </c>
      <c r="Y449" s="0" t="s">
        <v>7686</v>
      </c>
      <c r="Z449" s="0" t="s">
        <v>7355</v>
      </c>
      <c r="AA449" s="0" t="s">
        <v>7687</v>
      </c>
      <c r="AB449" s="0" t="s">
        <v>1825</v>
      </c>
      <c r="AC449" s="0" t="s">
        <v>7629</v>
      </c>
      <c r="AD449" s="0" t="s">
        <v>7688</v>
      </c>
      <c r="AE449" s="0" t="s">
        <v>7360</v>
      </c>
      <c r="AF449" s="0" t="s">
        <v>7361</v>
      </c>
      <c r="AG449" s="0" t="s">
        <v>230</v>
      </c>
    </row>
    <row r="450" customFormat="false" ht="15" hidden="false" customHeight="false" outlineLevel="0" collapsed="false">
      <c r="A450" s="0" t="s">
        <v>7336</v>
      </c>
      <c r="B450" s="0" t="s">
        <v>1838</v>
      </c>
      <c r="C450" s="0" t="s">
        <v>1839</v>
      </c>
      <c r="D450" s="0" t="s">
        <v>227</v>
      </c>
      <c r="E450" s="0" t="s">
        <v>1840</v>
      </c>
      <c r="F450" s="0" t="s">
        <v>1841</v>
      </c>
      <c r="G450" s="0" t="s">
        <v>184</v>
      </c>
      <c r="H450" s="0" t="s">
        <v>7689</v>
      </c>
      <c r="I450" s="0" t="s">
        <v>7338</v>
      </c>
      <c r="J450" s="0" t="s">
        <v>1602</v>
      </c>
      <c r="K450" s="0" t="s">
        <v>7339</v>
      </c>
      <c r="L450" s="0" t="s">
        <v>7340</v>
      </c>
      <c r="M450" s="0" t="s">
        <v>7661</v>
      </c>
      <c r="N450" s="0" t="s">
        <v>7342</v>
      </c>
      <c r="P450" s="0" t="s">
        <v>229</v>
      </c>
      <c r="Q450" s="0" t="s">
        <v>7354</v>
      </c>
      <c r="R450" s="0" t="s">
        <v>7343</v>
      </c>
      <c r="S450" s="0" t="s">
        <v>7344</v>
      </c>
      <c r="T450" s="0" t="s">
        <v>228</v>
      </c>
      <c r="V450" s="0" t="s">
        <v>34</v>
      </c>
      <c r="W450" s="0" t="s">
        <v>43</v>
      </c>
      <c r="X450" s="0" t="s">
        <v>7355</v>
      </c>
      <c r="Y450" s="0" t="s">
        <v>7346</v>
      </c>
      <c r="Z450" s="0" t="s">
        <v>7370</v>
      </c>
      <c r="AA450" s="0" t="s">
        <v>7670</v>
      </c>
      <c r="AB450" s="0" t="s">
        <v>1663</v>
      </c>
      <c r="AC450" s="0" t="s">
        <v>7629</v>
      </c>
      <c r="AD450" s="0" t="s">
        <v>7681</v>
      </c>
      <c r="AE450" s="0" t="s">
        <v>7360</v>
      </c>
      <c r="AF450" s="0" t="s">
        <v>7361</v>
      </c>
      <c r="AG450" s="0" t="s">
        <v>230</v>
      </c>
    </row>
    <row r="451" customFormat="false" ht="15" hidden="false" customHeight="false" outlineLevel="0" collapsed="false">
      <c r="A451" s="0" t="s">
        <v>7336</v>
      </c>
      <c r="B451" s="0" t="s">
        <v>1842</v>
      </c>
      <c r="C451" s="0" t="s">
        <v>1843</v>
      </c>
      <c r="D451" s="0" t="s">
        <v>227</v>
      </c>
      <c r="E451" s="0" t="s">
        <v>1844</v>
      </c>
      <c r="F451" s="0" t="s">
        <v>1841</v>
      </c>
      <c r="G451" s="0" t="s">
        <v>184</v>
      </c>
      <c r="H451" s="0" t="s">
        <v>7689</v>
      </c>
      <c r="I451" s="0" t="s">
        <v>7338</v>
      </c>
      <c r="J451" s="0" t="s">
        <v>1602</v>
      </c>
      <c r="K451" s="0" t="s">
        <v>7339</v>
      </c>
      <c r="L451" s="0" t="s">
        <v>7340</v>
      </c>
      <c r="M451" s="0" t="s">
        <v>7661</v>
      </c>
      <c r="N451" s="0" t="s">
        <v>7342</v>
      </c>
      <c r="P451" s="0" t="s">
        <v>229</v>
      </c>
      <c r="Q451" s="0" t="s">
        <v>7354</v>
      </c>
      <c r="R451" s="0" t="s">
        <v>7343</v>
      </c>
      <c r="S451" s="0" t="s">
        <v>7344</v>
      </c>
      <c r="T451" s="0" t="s">
        <v>58</v>
      </c>
      <c r="V451" s="0" t="s">
        <v>55</v>
      </c>
      <c r="W451" s="0" t="s">
        <v>57</v>
      </c>
      <c r="X451" s="0" t="s">
        <v>7355</v>
      </c>
      <c r="Y451" s="0" t="s">
        <v>7667</v>
      </c>
      <c r="Z451" s="0" t="s">
        <v>7668</v>
      </c>
      <c r="AA451" s="0" t="s">
        <v>7669</v>
      </c>
      <c r="AB451" s="0" t="s">
        <v>237</v>
      </c>
      <c r="AC451" s="0" t="s">
        <v>7629</v>
      </c>
      <c r="AE451" s="0" t="s">
        <v>7360</v>
      </c>
      <c r="AF451" s="0" t="s">
        <v>7361</v>
      </c>
      <c r="AG451" s="0" t="s">
        <v>230</v>
      </c>
    </row>
    <row r="452" customFormat="false" ht="15" hidden="false" customHeight="false" outlineLevel="0" collapsed="false">
      <c r="A452" s="0" t="s">
        <v>7336</v>
      </c>
      <c r="B452" s="0" t="s">
        <v>1845</v>
      </c>
      <c r="C452" s="0" t="s">
        <v>1846</v>
      </c>
      <c r="D452" s="0" t="s">
        <v>227</v>
      </c>
      <c r="E452" s="0" t="s">
        <v>1847</v>
      </c>
      <c r="F452" s="0" t="s">
        <v>1659</v>
      </c>
      <c r="G452" s="0" t="s">
        <v>184</v>
      </c>
      <c r="H452" s="0" t="s">
        <v>7666</v>
      </c>
      <c r="I452" s="0" t="s">
        <v>7338</v>
      </c>
      <c r="J452" s="0" t="s">
        <v>1602</v>
      </c>
      <c r="K452" s="0" t="s">
        <v>7339</v>
      </c>
      <c r="L452" s="0" t="s">
        <v>7340</v>
      </c>
      <c r="M452" s="0" t="s">
        <v>7661</v>
      </c>
      <c r="N452" s="0" t="s">
        <v>7342</v>
      </c>
      <c r="P452" s="0" t="s">
        <v>229</v>
      </c>
      <c r="Q452" s="0" t="s">
        <v>7354</v>
      </c>
      <c r="R452" s="0" t="s">
        <v>7343</v>
      </c>
      <c r="S452" s="0" t="s">
        <v>7344</v>
      </c>
      <c r="T452" s="0" t="s">
        <v>228</v>
      </c>
      <c r="V452" s="0" t="s">
        <v>34</v>
      </c>
      <c r="W452" s="0" t="s">
        <v>37</v>
      </c>
      <c r="X452" s="0" t="s">
        <v>7355</v>
      </c>
      <c r="Y452" s="0" t="s">
        <v>7346</v>
      </c>
      <c r="Z452" s="0" t="s">
        <v>7370</v>
      </c>
      <c r="AA452" s="0" t="s">
        <v>7670</v>
      </c>
      <c r="AB452" s="0" t="s">
        <v>1663</v>
      </c>
      <c r="AC452" s="0" t="s">
        <v>7629</v>
      </c>
      <c r="AD452" s="0" t="s">
        <v>7671</v>
      </c>
      <c r="AE452" s="0" t="s">
        <v>7360</v>
      </c>
      <c r="AF452" s="0" t="s">
        <v>7361</v>
      </c>
      <c r="AG452" s="0" t="s">
        <v>230</v>
      </c>
    </row>
    <row r="453" customFormat="false" ht="15" hidden="false" customHeight="false" outlineLevel="0" collapsed="false">
      <c r="A453" s="0" t="s">
        <v>7336</v>
      </c>
      <c r="B453" s="0" t="s">
        <v>1848</v>
      </c>
      <c r="C453" s="0" t="s">
        <v>1849</v>
      </c>
      <c r="D453" s="0" t="s">
        <v>227</v>
      </c>
      <c r="E453" s="0" t="s">
        <v>1850</v>
      </c>
      <c r="F453" s="0" t="s">
        <v>1659</v>
      </c>
      <c r="G453" s="0" t="s">
        <v>184</v>
      </c>
      <c r="H453" s="0" t="s">
        <v>7666</v>
      </c>
      <c r="I453" s="0" t="s">
        <v>7338</v>
      </c>
      <c r="J453" s="0" t="s">
        <v>1602</v>
      </c>
      <c r="K453" s="0" t="s">
        <v>7339</v>
      </c>
      <c r="L453" s="0" t="s">
        <v>7340</v>
      </c>
      <c r="M453" s="0" t="s">
        <v>7661</v>
      </c>
      <c r="N453" s="0" t="s">
        <v>7342</v>
      </c>
      <c r="P453" s="0" t="s">
        <v>229</v>
      </c>
      <c r="Q453" s="0" t="s">
        <v>7354</v>
      </c>
      <c r="R453" s="0" t="s">
        <v>7343</v>
      </c>
      <c r="S453" s="0" t="s">
        <v>7344</v>
      </c>
      <c r="T453" s="0" t="s">
        <v>58</v>
      </c>
      <c r="V453" s="0" t="s">
        <v>55</v>
      </c>
      <c r="W453" s="0" t="s">
        <v>57</v>
      </c>
      <c r="X453" s="0" t="s">
        <v>7355</v>
      </c>
      <c r="Y453" s="0" t="s">
        <v>7667</v>
      </c>
      <c r="Z453" s="0" t="s">
        <v>7668</v>
      </c>
      <c r="AA453" s="0" t="s">
        <v>7669</v>
      </c>
      <c r="AB453" s="0" t="s">
        <v>237</v>
      </c>
      <c r="AC453" s="0" t="s">
        <v>7629</v>
      </c>
      <c r="AE453" s="0" t="s">
        <v>7360</v>
      </c>
      <c r="AF453" s="0" t="s">
        <v>7361</v>
      </c>
      <c r="AG453" s="0" t="s">
        <v>230</v>
      </c>
    </row>
    <row r="454" customFormat="false" ht="15" hidden="false" customHeight="false" outlineLevel="0" collapsed="false">
      <c r="A454" s="0" t="s">
        <v>7336</v>
      </c>
      <c r="B454" s="0" t="s">
        <v>1851</v>
      </c>
      <c r="C454" s="0" t="s">
        <v>1852</v>
      </c>
      <c r="D454" s="0" t="s">
        <v>227</v>
      </c>
      <c r="E454" s="0" t="s">
        <v>1853</v>
      </c>
      <c r="F454" s="0" t="s">
        <v>1659</v>
      </c>
      <c r="G454" s="0" t="s">
        <v>184</v>
      </c>
      <c r="H454" s="0" t="s">
        <v>7666</v>
      </c>
      <c r="I454" s="0" t="s">
        <v>7338</v>
      </c>
      <c r="J454" s="0" t="s">
        <v>1602</v>
      </c>
      <c r="K454" s="0" t="s">
        <v>7339</v>
      </c>
      <c r="L454" s="0" t="s">
        <v>7340</v>
      </c>
      <c r="M454" s="0" t="s">
        <v>7661</v>
      </c>
      <c r="N454" s="0" t="s">
        <v>7342</v>
      </c>
      <c r="P454" s="0" t="s">
        <v>229</v>
      </c>
      <c r="Q454" s="0" t="s">
        <v>7354</v>
      </c>
      <c r="R454" s="0" t="s">
        <v>7343</v>
      </c>
      <c r="S454" s="0" t="s">
        <v>7344</v>
      </c>
      <c r="T454" s="0" t="s">
        <v>228</v>
      </c>
      <c r="V454" s="0" t="s">
        <v>34</v>
      </c>
      <c r="W454" s="0" t="s">
        <v>37</v>
      </c>
      <c r="X454" s="0" t="s">
        <v>7355</v>
      </c>
      <c r="Y454" s="0" t="s">
        <v>7346</v>
      </c>
      <c r="Z454" s="0" t="s">
        <v>7370</v>
      </c>
      <c r="AA454" s="0" t="s">
        <v>7670</v>
      </c>
      <c r="AB454" s="0" t="s">
        <v>1663</v>
      </c>
      <c r="AC454" s="0" t="s">
        <v>7629</v>
      </c>
      <c r="AD454" s="0" t="s">
        <v>7671</v>
      </c>
      <c r="AE454" s="0" t="s">
        <v>7360</v>
      </c>
      <c r="AF454" s="0" t="s">
        <v>7361</v>
      </c>
      <c r="AG454" s="0" t="s">
        <v>230</v>
      </c>
    </row>
    <row r="455" customFormat="false" ht="15" hidden="false" customHeight="false" outlineLevel="0" collapsed="false">
      <c r="A455" s="0" t="s">
        <v>7336</v>
      </c>
      <c r="B455" s="0" t="s">
        <v>1854</v>
      </c>
      <c r="C455" s="0" t="s">
        <v>1855</v>
      </c>
      <c r="D455" s="0" t="s">
        <v>227</v>
      </c>
      <c r="E455" s="0" t="s">
        <v>1856</v>
      </c>
      <c r="F455" s="0" t="s">
        <v>1659</v>
      </c>
      <c r="G455" s="0" t="s">
        <v>184</v>
      </c>
      <c r="H455" s="0" t="s">
        <v>7666</v>
      </c>
      <c r="I455" s="0" t="s">
        <v>7338</v>
      </c>
      <c r="J455" s="0" t="s">
        <v>1602</v>
      </c>
      <c r="K455" s="0" t="s">
        <v>7339</v>
      </c>
      <c r="L455" s="0" t="s">
        <v>7340</v>
      </c>
      <c r="M455" s="0" t="s">
        <v>7661</v>
      </c>
      <c r="N455" s="0" t="s">
        <v>7342</v>
      </c>
      <c r="P455" s="0" t="s">
        <v>229</v>
      </c>
      <c r="Q455" s="0" t="s">
        <v>7354</v>
      </c>
      <c r="R455" s="0" t="s">
        <v>7343</v>
      </c>
      <c r="S455" s="0" t="s">
        <v>7344</v>
      </c>
      <c r="T455" s="0" t="s">
        <v>58</v>
      </c>
      <c r="V455" s="0" t="s">
        <v>55</v>
      </c>
      <c r="W455" s="0" t="s">
        <v>57</v>
      </c>
      <c r="X455" s="0" t="s">
        <v>7355</v>
      </c>
      <c r="Y455" s="0" t="s">
        <v>7667</v>
      </c>
      <c r="Z455" s="0" t="s">
        <v>7668</v>
      </c>
      <c r="AA455" s="0" t="s">
        <v>7669</v>
      </c>
      <c r="AB455" s="0" t="s">
        <v>237</v>
      </c>
      <c r="AC455" s="0" t="s">
        <v>7629</v>
      </c>
      <c r="AE455" s="0" t="s">
        <v>7360</v>
      </c>
      <c r="AF455" s="0" t="s">
        <v>7361</v>
      </c>
      <c r="AG455" s="0" t="s">
        <v>230</v>
      </c>
    </row>
    <row r="456" customFormat="false" ht="15" hidden="false" customHeight="false" outlineLevel="0" collapsed="false">
      <c r="A456" s="0" t="s">
        <v>7336</v>
      </c>
      <c r="B456" s="0" t="s">
        <v>1857</v>
      </c>
      <c r="C456" s="0" t="s">
        <v>1858</v>
      </c>
      <c r="D456" s="0" t="s">
        <v>227</v>
      </c>
      <c r="E456" s="0" t="s">
        <v>1859</v>
      </c>
      <c r="F456" s="0" t="s">
        <v>1659</v>
      </c>
      <c r="G456" s="0" t="s">
        <v>184</v>
      </c>
      <c r="H456" s="0" t="s">
        <v>7666</v>
      </c>
      <c r="I456" s="0" t="s">
        <v>7338</v>
      </c>
      <c r="J456" s="0" t="s">
        <v>1602</v>
      </c>
      <c r="K456" s="0" t="s">
        <v>7339</v>
      </c>
      <c r="L456" s="0" t="s">
        <v>7340</v>
      </c>
      <c r="M456" s="0" t="s">
        <v>7661</v>
      </c>
      <c r="N456" s="0" t="s">
        <v>7342</v>
      </c>
      <c r="P456" s="0" t="s">
        <v>229</v>
      </c>
      <c r="Q456" s="0" t="s">
        <v>7354</v>
      </c>
      <c r="R456" s="0" t="s">
        <v>7343</v>
      </c>
      <c r="S456" s="0" t="s">
        <v>7344</v>
      </c>
      <c r="T456" s="0" t="s">
        <v>228</v>
      </c>
      <c r="V456" s="0" t="s">
        <v>34</v>
      </c>
      <c r="W456" s="0" t="s">
        <v>37</v>
      </c>
      <c r="X456" s="0" t="s">
        <v>7355</v>
      </c>
      <c r="Y456" s="0" t="s">
        <v>7346</v>
      </c>
      <c r="Z456" s="0" t="s">
        <v>7370</v>
      </c>
      <c r="AA456" s="0" t="s">
        <v>7670</v>
      </c>
      <c r="AB456" s="0" t="s">
        <v>1663</v>
      </c>
      <c r="AC456" s="0" t="s">
        <v>7629</v>
      </c>
      <c r="AD456" s="0" t="s">
        <v>7671</v>
      </c>
      <c r="AE456" s="0" t="s">
        <v>7360</v>
      </c>
      <c r="AF456" s="0" t="s">
        <v>7361</v>
      </c>
      <c r="AG456" s="0" t="s">
        <v>230</v>
      </c>
    </row>
    <row r="457" customFormat="false" ht="15" hidden="false" customHeight="false" outlineLevel="0" collapsed="false">
      <c r="A457" s="0" t="s">
        <v>7336</v>
      </c>
      <c r="B457" s="0" t="s">
        <v>1860</v>
      </c>
      <c r="C457" s="0" t="s">
        <v>1861</v>
      </c>
      <c r="D457" s="0" t="s">
        <v>227</v>
      </c>
      <c r="E457" s="0" t="s">
        <v>1862</v>
      </c>
      <c r="F457" s="0" t="s">
        <v>1863</v>
      </c>
      <c r="G457" s="0" t="s">
        <v>184</v>
      </c>
      <c r="H457" s="0" t="s">
        <v>7690</v>
      </c>
      <c r="I457" s="0" t="s">
        <v>7338</v>
      </c>
      <c r="J457" s="0" t="s">
        <v>1602</v>
      </c>
      <c r="K457" s="0" t="s">
        <v>7339</v>
      </c>
      <c r="L457" s="0" t="s">
        <v>7340</v>
      </c>
      <c r="M457" s="0" t="s">
        <v>7661</v>
      </c>
      <c r="N457" s="0" t="s">
        <v>7342</v>
      </c>
      <c r="P457" s="0" t="s">
        <v>229</v>
      </c>
      <c r="Q457" s="0" t="s">
        <v>7354</v>
      </c>
      <c r="R457" s="0" t="s">
        <v>7343</v>
      </c>
      <c r="S457" s="0" t="s">
        <v>7344</v>
      </c>
      <c r="T457" s="0" t="s">
        <v>58</v>
      </c>
      <c r="V457" s="0" t="s">
        <v>55</v>
      </c>
      <c r="W457" s="0" t="s">
        <v>57</v>
      </c>
      <c r="X457" s="0" t="s">
        <v>7355</v>
      </c>
      <c r="Y457" s="0" t="s">
        <v>7667</v>
      </c>
      <c r="Z457" s="0" t="s">
        <v>7668</v>
      </c>
      <c r="AA457" s="0" t="s">
        <v>7669</v>
      </c>
      <c r="AB457" s="0" t="s">
        <v>237</v>
      </c>
      <c r="AC457" s="0" t="s">
        <v>7629</v>
      </c>
      <c r="AE457" s="0" t="s">
        <v>7360</v>
      </c>
      <c r="AF457" s="0" t="s">
        <v>7361</v>
      </c>
      <c r="AG457" s="0" t="s">
        <v>230</v>
      </c>
    </row>
    <row r="458" customFormat="false" ht="15" hidden="false" customHeight="false" outlineLevel="0" collapsed="false">
      <c r="A458" s="0" t="s">
        <v>7336</v>
      </c>
      <c r="B458" s="0" t="s">
        <v>1864</v>
      </c>
      <c r="C458" s="0" t="s">
        <v>1865</v>
      </c>
      <c r="D458" s="0" t="s">
        <v>227</v>
      </c>
      <c r="E458" s="0" t="s">
        <v>1866</v>
      </c>
      <c r="F458" s="0" t="s">
        <v>1867</v>
      </c>
      <c r="G458" s="0" t="s">
        <v>184</v>
      </c>
      <c r="H458" s="0" t="s">
        <v>7691</v>
      </c>
      <c r="I458" s="0" t="s">
        <v>7338</v>
      </c>
      <c r="J458" s="0" t="s">
        <v>1602</v>
      </c>
      <c r="K458" s="0" t="s">
        <v>7339</v>
      </c>
      <c r="L458" s="0" t="s">
        <v>7340</v>
      </c>
      <c r="M458" s="0" t="s">
        <v>7661</v>
      </c>
      <c r="N458" s="0" t="s">
        <v>7342</v>
      </c>
      <c r="P458" s="0" t="s">
        <v>229</v>
      </c>
      <c r="Q458" s="0" t="s">
        <v>7354</v>
      </c>
      <c r="R458" s="0" t="s">
        <v>7343</v>
      </c>
      <c r="S458" s="0" t="s">
        <v>7344</v>
      </c>
      <c r="T458" s="0" t="s">
        <v>228</v>
      </c>
      <c r="V458" s="0" t="s">
        <v>34</v>
      </c>
      <c r="W458" s="0" t="s">
        <v>41</v>
      </c>
      <c r="X458" s="0" t="s">
        <v>7355</v>
      </c>
      <c r="Y458" s="0" t="s">
        <v>7409</v>
      </c>
      <c r="Z458" s="0" t="s">
        <v>7410</v>
      </c>
      <c r="AA458" s="0" t="s">
        <v>7411</v>
      </c>
      <c r="AB458" s="0" t="s">
        <v>1663</v>
      </c>
      <c r="AC458" s="0" t="s">
        <v>7629</v>
      </c>
      <c r="AD458" s="0" t="s">
        <v>7692</v>
      </c>
      <c r="AE458" s="0" t="s">
        <v>7360</v>
      </c>
      <c r="AF458" s="0" t="s">
        <v>7361</v>
      </c>
      <c r="AG458" s="0" t="s">
        <v>230</v>
      </c>
    </row>
    <row r="459" customFormat="false" ht="15" hidden="false" customHeight="false" outlineLevel="0" collapsed="false">
      <c r="A459" s="0" t="s">
        <v>7336</v>
      </c>
      <c r="B459" s="0" t="s">
        <v>1868</v>
      </c>
      <c r="C459" s="0" t="s">
        <v>1869</v>
      </c>
      <c r="D459" s="0" t="s">
        <v>227</v>
      </c>
      <c r="E459" s="0" t="s">
        <v>1870</v>
      </c>
      <c r="F459" s="0" t="s">
        <v>1867</v>
      </c>
      <c r="G459" s="0" t="s">
        <v>184</v>
      </c>
      <c r="H459" s="0" t="s">
        <v>7691</v>
      </c>
      <c r="I459" s="0" t="s">
        <v>7338</v>
      </c>
      <c r="J459" s="0" t="s">
        <v>1602</v>
      </c>
      <c r="K459" s="0" t="s">
        <v>7339</v>
      </c>
      <c r="L459" s="0" t="s">
        <v>7340</v>
      </c>
      <c r="M459" s="0" t="s">
        <v>7661</v>
      </c>
      <c r="N459" s="0" t="s">
        <v>7342</v>
      </c>
      <c r="P459" s="0" t="s">
        <v>229</v>
      </c>
      <c r="Q459" s="0" t="s">
        <v>7354</v>
      </c>
      <c r="R459" s="0" t="s">
        <v>7343</v>
      </c>
      <c r="S459" s="0" t="s">
        <v>7344</v>
      </c>
      <c r="T459" s="0" t="s">
        <v>58</v>
      </c>
      <c r="V459" s="0" t="s">
        <v>55</v>
      </c>
      <c r="W459" s="0" t="s">
        <v>57</v>
      </c>
      <c r="X459" s="0" t="s">
        <v>7355</v>
      </c>
      <c r="Y459" s="0" t="s">
        <v>7667</v>
      </c>
      <c r="Z459" s="0" t="s">
        <v>7668</v>
      </c>
      <c r="AA459" s="0" t="s">
        <v>7669</v>
      </c>
      <c r="AB459" s="0" t="s">
        <v>237</v>
      </c>
      <c r="AC459" s="0" t="s">
        <v>7629</v>
      </c>
      <c r="AE459" s="0" t="s">
        <v>7360</v>
      </c>
      <c r="AF459" s="0" t="s">
        <v>7361</v>
      </c>
      <c r="AG459" s="0" t="s">
        <v>230</v>
      </c>
    </row>
    <row r="460" customFormat="false" ht="15" hidden="false" customHeight="false" outlineLevel="0" collapsed="false">
      <c r="A460" s="0" t="s">
        <v>7336</v>
      </c>
      <c r="B460" s="0" t="s">
        <v>1871</v>
      </c>
      <c r="C460" s="0" t="s">
        <v>1872</v>
      </c>
      <c r="D460" s="0" t="s">
        <v>227</v>
      </c>
      <c r="E460" s="0" t="s">
        <v>1873</v>
      </c>
      <c r="F460" s="0" t="s">
        <v>1874</v>
      </c>
      <c r="G460" s="0" t="s">
        <v>184</v>
      </c>
      <c r="H460" s="0" t="s">
        <v>7693</v>
      </c>
      <c r="I460" s="0" t="s">
        <v>7338</v>
      </c>
      <c r="J460" s="0" t="s">
        <v>1602</v>
      </c>
      <c r="K460" s="0" t="s">
        <v>7339</v>
      </c>
      <c r="L460" s="0" t="s">
        <v>7340</v>
      </c>
      <c r="M460" s="0" t="s">
        <v>7661</v>
      </c>
      <c r="N460" s="0" t="s">
        <v>7342</v>
      </c>
      <c r="P460" s="0" t="s">
        <v>229</v>
      </c>
      <c r="Q460" s="0" t="s">
        <v>7354</v>
      </c>
      <c r="R460" s="0" t="s">
        <v>7343</v>
      </c>
      <c r="S460" s="0" t="s">
        <v>7344</v>
      </c>
      <c r="T460" s="0" t="s">
        <v>228</v>
      </c>
      <c r="V460" s="0" t="s">
        <v>34</v>
      </c>
      <c r="W460" s="0" t="s">
        <v>41</v>
      </c>
      <c r="X460" s="0" t="s">
        <v>7355</v>
      </c>
      <c r="Y460" s="0" t="s">
        <v>7409</v>
      </c>
      <c r="Z460" s="0" t="s">
        <v>7410</v>
      </c>
      <c r="AA460" s="0" t="s">
        <v>7411</v>
      </c>
      <c r="AB460" s="0" t="s">
        <v>1663</v>
      </c>
      <c r="AC460" s="0" t="s">
        <v>7629</v>
      </c>
      <c r="AD460" s="0" t="s">
        <v>7692</v>
      </c>
      <c r="AE460" s="0" t="s">
        <v>7360</v>
      </c>
      <c r="AF460" s="0" t="s">
        <v>7361</v>
      </c>
      <c r="AG460" s="0" t="s">
        <v>230</v>
      </c>
    </row>
    <row r="461" customFormat="false" ht="15" hidden="false" customHeight="false" outlineLevel="0" collapsed="false">
      <c r="A461" s="0" t="s">
        <v>7336</v>
      </c>
      <c r="B461" s="0" t="s">
        <v>1875</v>
      </c>
      <c r="C461" s="0" t="s">
        <v>1876</v>
      </c>
      <c r="D461" s="0" t="s">
        <v>227</v>
      </c>
      <c r="E461" s="0" t="s">
        <v>1877</v>
      </c>
      <c r="F461" s="0" t="s">
        <v>1874</v>
      </c>
      <c r="G461" s="0" t="s">
        <v>184</v>
      </c>
      <c r="H461" s="0" t="s">
        <v>7693</v>
      </c>
      <c r="I461" s="0" t="s">
        <v>7338</v>
      </c>
      <c r="J461" s="0" t="s">
        <v>1602</v>
      </c>
      <c r="K461" s="0" t="s">
        <v>7339</v>
      </c>
      <c r="L461" s="0" t="s">
        <v>7340</v>
      </c>
      <c r="M461" s="0" t="s">
        <v>7661</v>
      </c>
      <c r="N461" s="0" t="s">
        <v>7342</v>
      </c>
      <c r="P461" s="0" t="s">
        <v>229</v>
      </c>
      <c r="Q461" s="0" t="s">
        <v>7354</v>
      </c>
      <c r="R461" s="0" t="s">
        <v>7343</v>
      </c>
      <c r="S461" s="0" t="s">
        <v>7344</v>
      </c>
      <c r="T461" s="0" t="s">
        <v>58</v>
      </c>
      <c r="V461" s="0" t="s">
        <v>55</v>
      </c>
      <c r="W461" s="0" t="s">
        <v>57</v>
      </c>
      <c r="X461" s="0" t="s">
        <v>7355</v>
      </c>
      <c r="Y461" s="0" t="s">
        <v>7667</v>
      </c>
      <c r="Z461" s="0" t="s">
        <v>7668</v>
      </c>
      <c r="AA461" s="0" t="s">
        <v>7669</v>
      </c>
      <c r="AB461" s="0" t="s">
        <v>237</v>
      </c>
      <c r="AC461" s="0" t="s">
        <v>7629</v>
      </c>
      <c r="AE461" s="0" t="s">
        <v>7360</v>
      </c>
      <c r="AF461" s="0" t="s">
        <v>7361</v>
      </c>
      <c r="AG461" s="0" t="s">
        <v>230</v>
      </c>
    </row>
    <row r="462" customFormat="false" ht="15" hidden="false" customHeight="false" outlineLevel="0" collapsed="false">
      <c r="A462" s="0" t="s">
        <v>7336</v>
      </c>
      <c r="B462" s="0" t="s">
        <v>1878</v>
      </c>
      <c r="C462" s="0" t="s">
        <v>1879</v>
      </c>
      <c r="D462" s="0" t="s">
        <v>227</v>
      </c>
      <c r="E462" s="0" t="s">
        <v>1880</v>
      </c>
      <c r="F462" s="0" t="s">
        <v>1881</v>
      </c>
      <c r="G462" s="0" t="s">
        <v>184</v>
      </c>
      <c r="H462" s="0" t="s">
        <v>7694</v>
      </c>
      <c r="I462" s="0" t="s">
        <v>7338</v>
      </c>
      <c r="J462" s="0" t="s">
        <v>1602</v>
      </c>
      <c r="K462" s="0" t="s">
        <v>7339</v>
      </c>
      <c r="L462" s="0" t="s">
        <v>7340</v>
      </c>
      <c r="M462" s="0" t="s">
        <v>7661</v>
      </c>
      <c r="N462" s="0" t="s">
        <v>7342</v>
      </c>
      <c r="P462" s="0" t="s">
        <v>229</v>
      </c>
      <c r="Q462" s="0" t="s">
        <v>7354</v>
      </c>
      <c r="R462" s="0" t="s">
        <v>7343</v>
      </c>
      <c r="S462" s="0" t="s">
        <v>7344</v>
      </c>
      <c r="T462" s="0" t="s">
        <v>228</v>
      </c>
      <c r="V462" s="0" t="s">
        <v>34</v>
      </c>
      <c r="W462" s="0" t="s">
        <v>41</v>
      </c>
      <c r="X462" s="0" t="s">
        <v>7355</v>
      </c>
      <c r="Y462" s="0" t="s">
        <v>7409</v>
      </c>
      <c r="Z462" s="0" t="s">
        <v>7410</v>
      </c>
      <c r="AA462" s="0" t="s">
        <v>7411</v>
      </c>
      <c r="AB462" s="0" t="s">
        <v>1663</v>
      </c>
      <c r="AC462" s="0" t="s">
        <v>7629</v>
      </c>
      <c r="AD462" s="0" t="s">
        <v>7692</v>
      </c>
      <c r="AE462" s="0" t="s">
        <v>7360</v>
      </c>
      <c r="AF462" s="0" t="s">
        <v>7361</v>
      </c>
      <c r="AG462" s="0" t="s">
        <v>230</v>
      </c>
    </row>
    <row r="463" customFormat="false" ht="15" hidden="false" customHeight="false" outlineLevel="0" collapsed="false">
      <c r="A463" s="0" t="s">
        <v>7336</v>
      </c>
      <c r="B463" s="0" t="s">
        <v>1882</v>
      </c>
      <c r="C463" s="0" t="s">
        <v>1883</v>
      </c>
      <c r="D463" s="0" t="s">
        <v>227</v>
      </c>
      <c r="E463" s="0" t="s">
        <v>1884</v>
      </c>
      <c r="F463" s="0" t="s">
        <v>1881</v>
      </c>
      <c r="G463" s="0" t="s">
        <v>184</v>
      </c>
      <c r="H463" s="0" t="s">
        <v>7694</v>
      </c>
      <c r="I463" s="0" t="s">
        <v>7338</v>
      </c>
      <c r="J463" s="0" t="s">
        <v>1602</v>
      </c>
      <c r="K463" s="0" t="s">
        <v>7339</v>
      </c>
      <c r="L463" s="0" t="s">
        <v>7340</v>
      </c>
      <c r="M463" s="0" t="s">
        <v>7661</v>
      </c>
      <c r="N463" s="0" t="s">
        <v>7342</v>
      </c>
      <c r="P463" s="0" t="s">
        <v>229</v>
      </c>
      <c r="Q463" s="0" t="s">
        <v>7354</v>
      </c>
      <c r="R463" s="0" t="s">
        <v>7343</v>
      </c>
      <c r="S463" s="0" t="s">
        <v>7344</v>
      </c>
      <c r="T463" s="0" t="s">
        <v>58</v>
      </c>
      <c r="V463" s="0" t="s">
        <v>55</v>
      </c>
      <c r="W463" s="0" t="s">
        <v>57</v>
      </c>
      <c r="X463" s="0" t="s">
        <v>7355</v>
      </c>
      <c r="Y463" s="0" t="s">
        <v>7667</v>
      </c>
      <c r="Z463" s="0" t="s">
        <v>7668</v>
      </c>
      <c r="AA463" s="0" t="s">
        <v>7669</v>
      </c>
      <c r="AB463" s="0" t="s">
        <v>237</v>
      </c>
      <c r="AC463" s="0" t="s">
        <v>7629</v>
      </c>
      <c r="AE463" s="0" t="s">
        <v>7360</v>
      </c>
      <c r="AF463" s="0" t="s">
        <v>7361</v>
      </c>
      <c r="AG463" s="0" t="s">
        <v>230</v>
      </c>
    </row>
    <row r="464" customFormat="false" ht="15" hidden="false" customHeight="false" outlineLevel="0" collapsed="false">
      <c r="A464" s="0" t="s">
        <v>7336</v>
      </c>
      <c r="B464" s="0" t="s">
        <v>1885</v>
      </c>
      <c r="C464" s="0" t="s">
        <v>1886</v>
      </c>
      <c r="D464" s="0" t="s">
        <v>227</v>
      </c>
      <c r="E464" s="0" t="s">
        <v>1887</v>
      </c>
      <c r="F464" s="0" t="s">
        <v>1888</v>
      </c>
      <c r="G464" s="0" t="s">
        <v>184</v>
      </c>
      <c r="H464" s="0" t="s">
        <v>7695</v>
      </c>
      <c r="I464" s="0" t="s">
        <v>7338</v>
      </c>
      <c r="J464" s="0" t="s">
        <v>1602</v>
      </c>
      <c r="K464" s="0" t="s">
        <v>7339</v>
      </c>
      <c r="L464" s="0" t="s">
        <v>7340</v>
      </c>
      <c r="M464" s="0" t="s">
        <v>7661</v>
      </c>
      <c r="N464" s="0" t="s">
        <v>7342</v>
      </c>
      <c r="P464" s="0" t="s">
        <v>229</v>
      </c>
      <c r="Q464" s="0" t="s">
        <v>7354</v>
      </c>
      <c r="R464" s="0" t="s">
        <v>7343</v>
      </c>
      <c r="S464" s="0" t="s">
        <v>7344</v>
      </c>
      <c r="T464" s="0" t="s">
        <v>228</v>
      </c>
      <c r="V464" s="0" t="s">
        <v>34</v>
      </c>
      <c r="W464" s="0" t="s">
        <v>41</v>
      </c>
      <c r="X464" s="0" t="s">
        <v>7355</v>
      </c>
      <c r="Y464" s="0" t="s">
        <v>7409</v>
      </c>
      <c r="Z464" s="0" t="s">
        <v>7410</v>
      </c>
      <c r="AA464" s="0" t="s">
        <v>7411</v>
      </c>
      <c r="AB464" s="0" t="s">
        <v>1663</v>
      </c>
      <c r="AC464" s="0" t="s">
        <v>7629</v>
      </c>
      <c r="AD464" s="0" t="s">
        <v>7692</v>
      </c>
      <c r="AE464" s="0" t="s">
        <v>7360</v>
      </c>
      <c r="AF464" s="0" t="s">
        <v>7361</v>
      </c>
      <c r="AG464" s="0" t="s">
        <v>230</v>
      </c>
    </row>
    <row r="465" customFormat="false" ht="15" hidden="false" customHeight="false" outlineLevel="0" collapsed="false">
      <c r="A465" s="0" t="s">
        <v>7336</v>
      </c>
      <c r="B465" s="0" t="s">
        <v>1889</v>
      </c>
      <c r="C465" s="0" t="s">
        <v>1890</v>
      </c>
      <c r="D465" s="0" t="s">
        <v>227</v>
      </c>
      <c r="E465" s="0" t="s">
        <v>1891</v>
      </c>
      <c r="F465" s="0" t="s">
        <v>1888</v>
      </c>
      <c r="G465" s="0" t="s">
        <v>184</v>
      </c>
      <c r="H465" s="0" t="s">
        <v>7695</v>
      </c>
      <c r="I465" s="0" t="s">
        <v>7338</v>
      </c>
      <c r="J465" s="0" t="s">
        <v>1602</v>
      </c>
      <c r="K465" s="0" t="s">
        <v>7339</v>
      </c>
      <c r="L465" s="0" t="s">
        <v>7340</v>
      </c>
      <c r="M465" s="0" t="s">
        <v>7661</v>
      </c>
      <c r="N465" s="0" t="s">
        <v>7342</v>
      </c>
      <c r="P465" s="0" t="s">
        <v>229</v>
      </c>
      <c r="Q465" s="0" t="s">
        <v>7354</v>
      </c>
      <c r="R465" s="0" t="s">
        <v>7343</v>
      </c>
      <c r="S465" s="0" t="s">
        <v>7344</v>
      </c>
      <c r="T465" s="0" t="s">
        <v>58</v>
      </c>
      <c r="V465" s="0" t="s">
        <v>55</v>
      </c>
      <c r="W465" s="0" t="s">
        <v>57</v>
      </c>
      <c r="X465" s="0" t="s">
        <v>7355</v>
      </c>
      <c r="Y465" s="0" t="s">
        <v>7667</v>
      </c>
      <c r="Z465" s="0" t="s">
        <v>7668</v>
      </c>
      <c r="AA465" s="0" t="s">
        <v>7669</v>
      </c>
      <c r="AB465" s="0" t="s">
        <v>237</v>
      </c>
      <c r="AC465" s="0" t="s">
        <v>7629</v>
      </c>
      <c r="AE465" s="0" t="s">
        <v>7360</v>
      </c>
      <c r="AF465" s="0" t="s">
        <v>7361</v>
      </c>
      <c r="AG465" s="0" t="s">
        <v>230</v>
      </c>
    </row>
    <row r="466" customFormat="false" ht="15" hidden="false" customHeight="false" outlineLevel="0" collapsed="false">
      <c r="A466" s="0" t="s">
        <v>7336</v>
      </c>
      <c r="B466" s="0" t="s">
        <v>1892</v>
      </c>
      <c r="C466" s="0" t="s">
        <v>1893</v>
      </c>
      <c r="D466" s="0" t="s">
        <v>227</v>
      </c>
      <c r="E466" s="0" t="s">
        <v>1894</v>
      </c>
      <c r="F466" s="0" t="s">
        <v>1895</v>
      </c>
      <c r="G466" s="0" t="s">
        <v>184</v>
      </c>
      <c r="H466" s="0" t="s">
        <v>7696</v>
      </c>
      <c r="I466" s="0" t="s">
        <v>7338</v>
      </c>
      <c r="J466" s="0" t="s">
        <v>1602</v>
      </c>
      <c r="K466" s="0" t="s">
        <v>7339</v>
      </c>
      <c r="L466" s="0" t="s">
        <v>7340</v>
      </c>
      <c r="M466" s="0" t="s">
        <v>7661</v>
      </c>
      <c r="N466" s="0" t="s">
        <v>7342</v>
      </c>
      <c r="P466" s="0" t="s">
        <v>229</v>
      </c>
      <c r="Q466" s="0" t="s">
        <v>7354</v>
      </c>
      <c r="R466" s="0" t="s">
        <v>7343</v>
      </c>
      <c r="S466" s="0" t="s">
        <v>7344</v>
      </c>
      <c r="T466" s="0" t="s">
        <v>228</v>
      </c>
      <c r="V466" s="0" t="s">
        <v>34</v>
      </c>
      <c r="W466" s="0" t="s">
        <v>41</v>
      </c>
      <c r="X466" s="0" t="s">
        <v>7355</v>
      </c>
      <c r="Y466" s="0" t="s">
        <v>7409</v>
      </c>
      <c r="Z466" s="0" t="s">
        <v>7410</v>
      </c>
      <c r="AA466" s="0" t="s">
        <v>7411</v>
      </c>
      <c r="AB466" s="0" t="s">
        <v>1663</v>
      </c>
      <c r="AC466" s="0" t="s">
        <v>7629</v>
      </c>
      <c r="AD466" s="0" t="s">
        <v>7692</v>
      </c>
      <c r="AE466" s="0" t="s">
        <v>7360</v>
      </c>
      <c r="AF466" s="0" t="s">
        <v>7361</v>
      </c>
      <c r="AG466" s="0" t="s">
        <v>230</v>
      </c>
    </row>
    <row r="467" customFormat="false" ht="15" hidden="false" customHeight="false" outlineLevel="0" collapsed="false">
      <c r="A467" s="0" t="s">
        <v>7336</v>
      </c>
      <c r="B467" s="0" t="s">
        <v>1896</v>
      </c>
      <c r="C467" s="0" t="s">
        <v>1897</v>
      </c>
      <c r="D467" s="0" t="s">
        <v>227</v>
      </c>
      <c r="E467" s="0" t="s">
        <v>1898</v>
      </c>
      <c r="F467" s="0" t="s">
        <v>1895</v>
      </c>
      <c r="G467" s="0" t="s">
        <v>184</v>
      </c>
      <c r="H467" s="0" t="s">
        <v>7696</v>
      </c>
      <c r="I467" s="0" t="s">
        <v>7338</v>
      </c>
      <c r="J467" s="0" t="s">
        <v>1602</v>
      </c>
      <c r="K467" s="0" t="s">
        <v>7339</v>
      </c>
      <c r="L467" s="0" t="s">
        <v>7340</v>
      </c>
      <c r="M467" s="0" t="s">
        <v>7661</v>
      </c>
      <c r="N467" s="0" t="s">
        <v>7342</v>
      </c>
      <c r="P467" s="0" t="s">
        <v>229</v>
      </c>
      <c r="Q467" s="0" t="s">
        <v>7354</v>
      </c>
      <c r="R467" s="0" t="s">
        <v>7343</v>
      </c>
      <c r="S467" s="0" t="s">
        <v>7344</v>
      </c>
      <c r="T467" s="0" t="s">
        <v>58</v>
      </c>
      <c r="V467" s="0" t="s">
        <v>55</v>
      </c>
      <c r="W467" s="0" t="s">
        <v>57</v>
      </c>
      <c r="X467" s="0" t="s">
        <v>7355</v>
      </c>
      <c r="Y467" s="0" t="s">
        <v>7667</v>
      </c>
      <c r="Z467" s="0" t="s">
        <v>7668</v>
      </c>
      <c r="AA467" s="0" t="s">
        <v>7669</v>
      </c>
      <c r="AB467" s="0" t="s">
        <v>237</v>
      </c>
      <c r="AC467" s="0" t="s">
        <v>7629</v>
      </c>
      <c r="AE467" s="0" t="s">
        <v>7360</v>
      </c>
      <c r="AF467" s="0" t="s">
        <v>7361</v>
      </c>
      <c r="AG467" s="0" t="s">
        <v>230</v>
      </c>
    </row>
    <row r="468" customFormat="false" ht="15" hidden="false" customHeight="false" outlineLevel="0" collapsed="false">
      <c r="A468" s="0" t="s">
        <v>7336</v>
      </c>
      <c r="B468" s="0" t="s">
        <v>1899</v>
      </c>
      <c r="C468" s="0" t="s">
        <v>1900</v>
      </c>
      <c r="D468" s="0" t="s">
        <v>227</v>
      </c>
      <c r="E468" s="0" t="s">
        <v>1901</v>
      </c>
      <c r="F468" s="0" t="s">
        <v>1902</v>
      </c>
      <c r="G468" s="0" t="s">
        <v>184</v>
      </c>
      <c r="H468" s="0" t="s">
        <v>7697</v>
      </c>
      <c r="I468" s="0" t="s">
        <v>7338</v>
      </c>
      <c r="J468" s="0" t="s">
        <v>1602</v>
      </c>
      <c r="K468" s="0" t="s">
        <v>7339</v>
      </c>
      <c r="L468" s="0" t="s">
        <v>7340</v>
      </c>
      <c r="M468" s="0" t="s">
        <v>7661</v>
      </c>
      <c r="N468" s="0" t="s">
        <v>7342</v>
      </c>
      <c r="P468" s="0" t="s">
        <v>229</v>
      </c>
      <c r="Q468" s="0" t="s">
        <v>7354</v>
      </c>
      <c r="R468" s="0" t="s">
        <v>7343</v>
      </c>
      <c r="S468" s="0" t="s">
        <v>7344</v>
      </c>
      <c r="T468" s="0" t="s">
        <v>228</v>
      </c>
      <c r="V468" s="0" t="s">
        <v>34</v>
      </c>
      <c r="W468" s="0" t="s">
        <v>41</v>
      </c>
      <c r="X468" s="0" t="s">
        <v>7355</v>
      </c>
      <c r="Y468" s="0" t="s">
        <v>7409</v>
      </c>
      <c r="Z468" s="0" t="s">
        <v>7410</v>
      </c>
      <c r="AA468" s="0" t="s">
        <v>7411</v>
      </c>
      <c r="AB468" s="0" t="s">
        <v>1663</v>
      </c>
      <c r="AC468" s="0" t="s">
        <v>7629</v>
      </c>
      <c r="AD468" s="0" t="s">
        <v>7692</v>
      </c>
      <c r="AE468" s="0" t="s">
        <v>7360</v>
      </c>
      <c r="AF468" s="0" t="s">
        <v>7361</v>
      </c>
      <c r="AG468" s="0" t="s">
        <v>230</v>
      </c>
    </row>
    <row r="469" customFormat="false" ht="15" hidden="false" customHeight="false" outlineLevel="0" collapsed="false">
      <c r="A469" s="0" t="s">
        <v>7336</v>
      </c>
      <c r="B469" s="0" t="s">
        <v>1903</v>
      </c>
      <c r="C469" s="0" t="s">
        <v>1904</v>
      </c>
      <c r="D469" s="0" t="s">
        <v>227</v>
      </c>
      <c r="E469" s="0" t="s">
        <v>1905</v>
      </c>
      <c r="F469" s="0" t="s">
        <v>1902</v>
      </c>
      <c r="G469" s="0" t="s">
        <v>184</v>
      </c>
      <c r="H469" s="0" t="s">
        <v>7697</v>
      </c>
      <c r="I469" s="0" t="s">
        <v>7338</v>
      </c>
      <c r="J469" s="0" t="s">
        <v>1602</v>
      </c>
      <c r="K469" s="0" t="s">
        <v>7339</v>
      </c>
      <c r="L469" s="0" t="s">
        <v>7340</v>
      </c>
      <c r="M469" s="0" t="s">
        <v>7661</v>
      </c>
      <c r="N469" s="0" t="s">
        <v>7342</v>
      </c>
      <c r="P469" s="0" t="s">
        <v>229</v>
      </c>
      <c r="Q469" s="0" t="s">
        <v>7354</v>
      </c>
      <c r="R469" s="0" t="s">
        <v>7343</v>
      </c>
      <c r="S469" s="0" t="s">
        <v>7344</v>
      </c>
      <c r="T469" s="0" t="s">
        <v>58</v>
      </c>
      <c r="V469" s="0" t="s">
        <v>55</v>
      </c>
      <c r="W469" s="0" t="s">
        <v>57</v>
      </c>
      <c r="X469" s="0" t="s">
        <v>7355</v>
      </c>
      <c r="Y469" s="0" t="s">
        <v>7667</v>
      </c>
      <c r="Z469" s="0" t="s">
        <v>7668</v>
      </c>
      <c r="AA469" s="0" t="s">
        <v>7669</v>
      </c>
      <c r="AB469" s="0" t="s">
        <v>237</v>
      </c>
      <c r="AC469" s="0" t="s">
        <v>7629</v>
      </c>
      <c r="AE469" s="0" t="s">
        <v>7360</v>
      </c>
      <c r="AF469" s="0" t="s">
        <v>7361</v>
      </c>
      <c r="AG469" s="0" t="s">
        <v>230</v>
      </c>
    </row>
    <row r="470" customFormat="false" ht="15" hidden="false" customHeight="false" outlineLevel="0" collapsed="false">
      <c r="A470" s="0" t="s">
        <v>7336</v>
      </c>
      <c r="B470" s="0" t="s">
        <v>1906</v>
      </c>
      <c r="C470" s="0" t="s">
        <v>1907</v>
      </c>
      <c r="D470" s="0" t="s">
        <v>227</v>
      </c>
      <c r="E470" s="0" t="s">
        <v>1908</v>
      </c>
      <c r="F470" s="0" t="s">
        <v>1909</v>
      </c>
      <c r="G470" s="0" t="s">
        <v>184</v>
      </c>
      <c r="H470" s="0" t="s">
        <v>7698</v>
      </c>
      <c r="I470" s="0" t="s">
        <v>7338</v>
      </c>
      <c r="J470" s="0" t="s">
        <v>1602</v>
      </c>
      <c r="K470" s="0" t="s">
        <v>7339</v>
      </c>
      <c r="L470" s="0" t="s">
        <v>7340</v>
      </c>
      <c r="M470" s="0" t="s">
        <v>7661</v>
      </c>
      <c r="N470" s="0" t="s">
        <v>7342</v>
      </c>
      <c r="P470" s="0" t="s">
        <v>229</v>
      </c>
      <c r="Q470" s="0" t="s">
        <v>7354</v>
      </c>
      <c r="R470" s="0" t="s">
        <v>7343</v>
      </c>
      <c r="S470" s="0" t="s">
        <v>7344</v>
      </c>
      <c r="T470" s="0" t="s">
        <v>228</v>
      </c>
      <c r="V470" s="0" t="s">
        <v>34</v>
      </c>
      <c r="W470" s="0" t="s">
        <v>41</v>
      </c>
      <c r="X470" s="0" t="s">
        <v>7355</v>
      </c>
      <c r="Y470" s="0" t="s">
        <v>7409</v>
      </c>
      <c r="Z470" s="0" t="s">
        <v>7410</v>
      </c>
      <c r="AA470" s="0" t="s">
        <v>7411</v>
      </c>
      <c r="AB470" s="0" t="s">
        <v>1663</v>
      </c>
      <c r="AC470" s="0" t="s">
        <v>7629</v>
      </c>
      <c r="AD470" s="0" t="s">
        <v>7692</v>
      </c>
      <c r="AE470" s="0" t="s">
        <v>7360</v>
      </c>
      <c r="AF470" s="0" t="s">
        <v>7361</v>
      </c>
      <c r="AG470" s="0" t="s">
        <v>230</v>
      </c>
    </row>
    <row r="471" customFormat="false" ht="15" hidden="false" customHeight="false" outlineLevel="0" collapsed="false">
      <c r="A471" s="0" t="s">
        <v>7336</v>
      </c>
      <c r="B471" s="0" t="s">
        <v>1910</v>
      </c>
      <c r="C471" s="0" t="s">
        <v>1911</v>
      </c>
      <c r="D471" s="0" t="s">
        <v>227</v>
      </c>
      <c r="E471" s="0" t="s">
        <v>1912</v>
      </c>
      <c r="F471" s="0" t="s">
        <v>1913</v>
      </c>
      <c r="G471" s="0" t="s">
        <v>184</v>
      </c>
      <c r="H471" s="0" t="s">
        <v>7699</v>
      </c>
      <c r="I471" s="0" t="s">
        <v>7338</v>
      </c>
      <c r="J471" s="0" t="s">
        <v>1602</v>
      </c>
      <c r="K471" s="0" t="s">
        <v>7339</v>
      </c>
      <c r="L471" s="0" t="s">
        <v>7340</v>
      </c>
      <c r="M471" s="0" t="s">
        <v>7661</v>
      </c>
      <c r="N471" s="0" t="s">
        <v>7342</v>
      </c>
      <c r="P471" s="0" t="s">
        <v>229</v>
      </c>
      <c r="Q471" s="0" t="s">
        <v>7354</v>
      </c>
      <c r="R471" s="0" t="s">
        <v>7343</v>
      </c>
      <c r="S471" s="0" t="s">
        <v>7344</v>
      </c>
      <c r="T471" s="0" t="s">
        <v>228</v>
      </c>
      <c r="V471" s="0" t="s">
        <v>34</v>
      </c>
      <c r="W471" s="0" t="s">
        <v>37</v>
      </c>
      <c r="X471" s="0" t="s">
        <v>7355</v>
      </c>
      <c r="Y471" s="0" t="s">
        <v>7346</v>
      </c>
      <c r="Z471" s="0" t="s">
        <v>7370</v>
      </c>
      <c r="AA471" s="0" t="s">
        <v>7670</v>
      </c>
      <c r="AB471" s="0" t="s">
        <v>1663</v>
      </c>
      <c r="AC471" s="0" t="s">
        <v>7629</v>
      </c>
      <c r="AD471" s="0" t="s">
        <v>7671</v>
      </c>
      <c r="AE471" s="0" t="s">
        <v>7360</v>
      </c>
      <c r="AF471" s="0" t="s">
        <v>7361</v>
      </c>
      <c r="AG471" s="0" t="s">
        <v>230</v>
      </c>
    </row>
    <row r="472" customFormat="false" ht="15" hidden="false" customHeight="false" outlineLevel="0" collapsed="false">
      <c r="A472" s="0" t="s">
        <v>7336</v>
      </c>
      <c r="B472" s="0" t="s">
        <v>1914</v>
      </c>
      <c r="C472" s="0" t="s">
        <v>1915</v>
      </c>
      <c r="D472" s="0" t="s">
        <v>227</v>
      </c>
      <c r="E472" s="0" t="s">
        <v>1916</v>
      </c>
      <c r="F472" s="0" t="s">
        <v>1917</v>
      </c>
      <c r="G472" s="0" t="s">
        <v>184</v>
      </c>
      <c r="H472" s="0" t="s">
        <v>7700</v>
      </c>
      <c r="I472" s="0" t="s">
        <v>7338</v>
      </c>
      <c r="J472" s="0" t="s">
        <v>1602</v>
      </c>
      <c r="K472" s="0" t="s">
        <v>7339</v>
      </c>
      <c r="L472" s="0" t="s">
        <v>7340</v>
      </c>
      <c r="M472" s="0" t="s">
        <v>7661</v>
      </c>
      <c r="N472" s="0" t="s">
        <v>7342</v>
      </c>
      <c r="P472" s="0" t="s">
        <v>229</v>
      </c>
      <c r="Q472" s="0" t="s">
        <v>7354</v>
      </c>
      <c r="R472" s="0" t="s">
        <v>7343</v>
      </c>
      <c r="S472" s="0" t="s">
        <v>7344</v>
      </c>
      <c r="T472" s="0" t="s">
        <v>228</v>
      </c>
      <c r="V472" s="0" t="s">
        <v>34</v>
      </c>
      <c r="W472" s="0" t="s">
        <v>37</v>
      </c>
      <c r="X472" s="0" t="s">
        <v>7355</v>
      </c>
      <c r="Y472" s="0" t="s">
        <v>7346</v>
      </c>
      <c r="Z472" s="0" t="s">
        <v>7370</v>
      </c>
      <c r="AA472" s="0" t="s">
        <v>7670</v>
      </c>
      <c r="AB472" s="0" t="s">
        <v>1663</v>
      </c>
      <c r="AC472" s="0" t="s">
        <v>7629</v>
      </c>
      <c r="AD472" s="0" t="s">
        <v>7671</v>
      </c>
      <c r="AE472" s="0" t="s">
        <v>7360</v>
      </c>
      <c r="AF472" s="0" t="s">
        <v>7361</v>
      </c>
      <c r="AG472" s="0" t="s">
        <v>230</v>
      </c>
    </row>
    <row r="473" customFormat="false" ht="15" hidden="false" customHeight="false" outlineLevel="0" collapsed="false">
      <c r="A473" s="0" t="s">
        <v>7336</v>
      </c>
      <c r="B473" s="0" t="s">
        <v>1918</v>
      </c>
      <c r="C473" s="0" t="s">
        <v>1919</v>
      </c>
      <c r="D473" s="0" t="s">
        <v>227</v>
      </c>
      <c r="E473" s="0" t="s">
        <v>1920</v>
      </c>
      <c r="F473" s="0" t="s">
        <v>1913</v>
      </c>
      <c r="G473" s="0" t="s">
        <v>184</v>
      </c>
      <c r="H473" s="0" t="s">
        <v>7699</v>
      </c>
      <c r="I473" s="0" t="s">
        <v>7338</v>
      </c>
      <c r="J473" s="0" t="s">
        <v>1602</v>
      </c>
      <c r="K473" s="0" t="s">
        <v>7339</v>
      </c>
      <c r="L473" s="0" t="s">
        <v>7340</v>
      </c>
      <c r="M473" s="0" t="s">
        <v>7661</v>
      </c>
      <c r="N473" s="0" t="s">
        <v>7342</v>
      </c>
      <c r="P473" s="0" t="s">
        <v>229</v>
      </c>
      <c r="Q473" s="0" t="s">
        <v>7354</v>
      </c>
      <c r="R473" s="0" t="s">
        <v>7343</v>
      </c>
      <c r="S473" s="0" t="s">
        <v>7344</v>
      </c>
      <c r="T473" s="0" t="s">
        <v>228</v>
      </c>
      <c r="V473" s="0" t="s">
        <v>34</v>
      </c>
      <c r="W473" s="0" t="s">
        <v>37</v>
      </c>
      <c r="X473" s="0" t="s">
        <v>7355</v>
      </c>
      <c r="Y473" s="0" t="s">
        <v>7346</v>
      </c>
      <c r="Z473" s="0" t="s">
        <v>7370</v>
      </c>
      <c r="AA473" s="0" t="s">
        <v>7670</v>
      </c>
      <c r="AB473" s="0" t="s">
        <v>1663</v>
      </c>
      <c r="AC473" s="0" t="s">
        <v>7629</v>
      </c>
      <c r="AD473" s="0" t="s">
        <v>7671</v>
      </c>
      <c r="AE473" s="0" t="s">
        <v>7360</v>
      </c>
      <c r="AF473" s="0" t="s">
        <v>7361</v>
      </c>
      <c r="AG473" s="0" t="s">
        <v>230</v>
      </c>
    </row>
    <row r="474" customFormat="false" ht="15" hidden="false" customHeight="false" outlineLevel="0" collapsed="false">
      <c r="A474" s="0" t="s">
        <v>7336</v>
      </c>
      <c r="B474" s="0" t="s">
        <v>1921</v>
      </c>
      <c r="C474" s="0" t="s">
        <v>1922</v>
      </c>
      <c r="D474" s="0" t="s">
        <v>227</v>
      </c>
      <c r="E474" s="0" t="s">
        <v>1923</v>
      </c>
      <c r="F474" s="0" t="s">
        <v>1913</v>
      </c>
      <c r="G474" s="0" t="s">
        <v>184</v>
      </c>
      <c r="H474" s="0" t="s">
        <v>7699</v>
      </c>
      <c r="I474" s="0" t="s">
        <v>7338</v>
      </c>
      <c r="J474" s="0" t="s">
        <v>1602</v>
      </c>
      <c r="K474" s="0" t="s">
        <v>7339</v>
      </c>
      <c r="L474" s="0" t="s">
        <v>7340</v>
      </c>
      <c r="M474" s="0" t="s">
        <v>7661</v>
      </c>
      <c r="N474" s="0" t="s">
        <v>7342</v>
      </c>
      <c r="P474" s="0" t="s">
        <v>229</v>
      </c>
      <c r="Q474" s="0" t="s">
        <v>7354</v>
      </c>
      <c r="R474" s="0" t="s">
        <v>7343</v>
      </c>
      <c r="S474" s="0" t="s">
        <v>7344</v>
      </c>
      <c r="T474" s="0" t="s">
        <v>228</v>
      </c>
      <c r="V474" s="0" t="s">
        <v>34</v>
      </c>
      <c r="W474" s="0" t="s">
        <v>37</v>
      </c>
      <c r="X474" s="0" t="s">
        <v>7355</v>
      </c>
      <c r="Y474" s="0" t="s">
        <v>7346</v>
      </c>
      <c r="Z474" s="0" t="s">
        <v>7370</v>
      </c>
      <c r="AA474" s="0" t="s">
        <v>7670</v>
      </c>
      <c r="AB474" s="0" t="s">
        <v>1663</v>
      </c>
      <c r="AC474" s="0" t="s">
        <v>7629</v>
      </c>
      <c r="AD474" s="0" t="s">
        <v>7671</v>
      </c>
      <c r="AE474" s="0" t="s">
        <v>7360</v>
      </c>
      <c r="AF474" s="0" t="s">
        <v>7361</v>
      </c>
      <c r="AG474" s="0" t="s">
        <v>230</v>
      </c>
    </row>
    <row r="475" customFormat="false" ht="15" hidden="false" customHeight="false" outlineLevel="0" collapsed="false">
      <c r="A475" s="0" t="s">
        <v>7336</v>
      </c>
      <c r="B475" s="0" t="s">
        <v>1924</v>
      </c>
      <c r="C475" s="0" t="s">
        <v>1925</v>
      </c>
      <c r="D475" s="0" t="s">
        <v>227</v>
      </c>
      <c r="E475" s="0" t="s">
        <v>1926</v>
      </c>
      <c r="F475" s="0" t="s">
        <v>1917</v>
      </c>
      <c r="G475" s="0" t="s">
        <v>184</v>
      </c>
      <c r="H475" s="0" t="s">
        <v>7700</v>
      </c>
      <c r="I475" s="0" t="s">
        <v>7338</v>
      </c>
      <c r="J475" s="0" t="s">
        <v>1602</v>
      </c>
      <c r="K475" s="0" t="s">
        <v>7339</v>
      </c>
      <c r="L475" s="0" t="s">
        <v>7340</v>
      </c>
      <c r="M475" s="0" t="s">
        <v>7661</v>
      </c>
      <c r="N475" s="0" t="s">
        <v>7342</v>
      </c>
      <c r="P475" s="0" t="s">
        <v>229</v>
      </c>
      <c r="Q475" s="0" t="s">
        <v>7354</v>
      </c>
      <c r="R475" s="0" t="s">
        <v>7343</v>
      </c>
      <c r="S475" s="0" t="s">
        <v>7344</v>
      </c>
      <c r="T475" s="0" t="s">
        <v>228</v>
      </c>
      <c r="V475" s="0" t="s">
        <v>34</v>
      </c>
      <c r="W475" s="0" t="s">
        <v>37</v>
      </c>
      <c r="X475" s="0" t="s">
        <v>7355</v>
      </c>
      <c r="Y475" s="0" t="s">
        <v>7346</v>
      </c>
      <c r="Z475" s="0" t="s">
        <v>7370</v>
      </c>
      <c r="AA475" s="0" t="s">
        <v>7670</v>
      </c>
      <c r="AB475" s="0" t="s">
        <v>1663</v>
      </c>
      <c r="AC475" s="0" t="s">
        <v>7629</v>
      </c>
      <c r="AD475" s="0" t="s">
        <v>7671</v>
      </c>
      <c r="AE475" s="0" t="s">
        <v>7360</v>
      </c>
      <c r="AF475" s="0" t="s">
        <v>7361</v>
      </c>
      <c r="AG475" s="0" t="s">
        <v>230</v>
      </c>
    </row>
    <row r="476" customFormat="false" ht="15" hidden="false" customHeight="false" outlineLevel="0" collapsed="false">
      <c r="A476" s="0" t="s">
        <v>7336</v>
      </c>
      <c r="B476" s="0" t="s">
        <v>1927</v>
      </c>
      <c r="C476" s="0" t="s">
        <v>1928</v>
      </c>
      <c r="D476" s="0" t="s">
        <v>227</v>
      </c>
      <c r="E476" s="0" t="s">
        <v>1929</v>
      </c>
      <c r="F476" s="0" t="s">
        <v>1913</v>
      </c>
      <c r="G476" s="0" t="s">
        <v>184</v>
      </c>
      <c r="H476" s="0" t="s">
        <v>7699</v>
      </c>
      <c r="I476" s="0" t="s">
        <v>7338</v>
      </c>
      <c r="J476" s="0" t="s">
        <v>1602</v>
      </c>
      <c r="K476" s="0" t="s">
        <v>7339</v>
      </c>
      <c r="L476" s="0" t="s">
        <v>7340</v>
      </c>
      <c r="M476" s="0" t="s">
        <v>7661</v>
      </c>
      <c r="N476" s="0" t="s">
        <v>7342</v>
      </c>
      <c r="P476" s="0" t="s">
        <v>229</v>
      </c>
      <c r="Q476" s="0" t="s">
        <v>7354</v>
      </c>
      <c r="R476" s="0" t="s">
        <v>7343</v>
      </c>
      <c r="S476" s="0" t="s">
        <v>7344</v>
      </c>
      <c r="T476" s="0" t="s">
        <v>228</v>
      </c>
      <c r="V476" s="0" t="s">
        <v>34</v>
      </c>
      <c r="W476" s="0" t="s">
        <v>43</v>
      </c>
      <c r="X476" s="0" t="s">
        <v>7355</v>
      </c>
      <c r="Y476" s="0" t="s">
        <v>7346</v>
      </c>
      <c r="Z476" s="0" t="s">
        <v>7370</v>
      </c>
      <c r="AA476" s="0" t="s">
        <v>7670</v>
      </c>
      <c r="AB476" s="0" t="s">
        <v>1663</v>
      </c>
      <c r="AC476" s="0" t="s">
        <v>7629</v>
      </c>
      <c r="AD476" s="0" t="s">
        <v>7681</v>
      </c>
      <c r="AE476" s="0" t="s">
        <v>7360</v>
      </c>
      <c r="AF476" s="0" t="s">
        <v>7361</v>
      </c>
      <c r="AG476" s="0" t="s">
        <v>230</v>
      </c>
    </row>
    <row r="477" customFormat="false" ht="15" hidden="false" customHeight="false" outlineLevel="0" collapsed="false">
      <c r="A477" s="0" t="s">
        <v>7336</v>
      </c>
      <c r="B477" s="0" t="s">
        <v>1930</v>
      </c>
      <c r="C477" s="0" t="s">
        <v>1931</v>
      </c>
      <c r="D477" s="0" t="s">
        <v>227</v>
      </c>
      <c r="E477" s="0" t="s">
        <v>1932</v>
      </c>
      <c r="F477" s="0" t="s">
        <v>1933</v>
      </c>
      <c r="G477" s="0" t="s">
        <v>184</v>
      </c>
      <c r="H477" s="0" t="s">
        <v>7701</v>
      </c>
      <c r="I477" s="0" t="s">
        <v>7338</v>
      </c>
      <c r="J477" s="0" t="s">
        <v>1602</v>
      </c>
      <c r="K477" s="0" t="s">
        <v>7339</v>
      </c>
      <c r="L477" s="0" t="s">
        <v>7340</v>
      </c>
      <c r="M477" s="0" t="s">
        <v>7661</v>
      </c>
      <c r="N477" s="0" t="s">
        <v>7342</v>
      </c>
      <c r="P477" s="0" t="s">
        <v>229</v>
      </c>
      <c r="Q477" s="0" t="s">
        <v>7354</v>
      </c>
      <c r="R477" s="0" t="s">
        <v>7343</v>
      </c>
      <c r="S477" s="0" t="s">
        <v>7344</v>
      </c>
      <c r="T477" s="0" t="s">
        <v>228</v>
      </c>
      <c r="V477" s="0" t="s">
        <v>34</v>
      </c>
      <c r="W477" s="0" t="s">
        <v>41</v>
      </c>
      <c r="X477" s="0" t="s">
        <v>7355</v>
      </c>
      <c r="Y477" s="0" t="s">
        <v>7409</v>
      </c>
      <c r="Z477" s="0" t="s">
        <v>7410</v>
      </c>
      <c r="AA477" s="0" t="s">
        <v>7411</v>
      </c>
      <c r="AB477" s="0" t="s">
        <v>1663</v>
      </c>
      <c r="AC477" s="0" t="s">
        <v>7629</v>
      </c>
      <c r="AD477" s="0" t="s">
        <v>7692</v>
      </c>
      <c r="AE477" s="0" t="s">
        <v>7360</v>
      </c>
      <c r="AF477" s="0" t="s">
        <v>7361</v>
      </c>
      <c r="AG477" s="0" t="s">
        <v>230</v>
      </c>
    </row>
    <row r="478" customFormat="false" ht="15" hidden="false" customHeight="false" outlineLevel="0" collapsed="false">
      <c r="A478" s="0" t="s">
        <v>7336</v>
      </c>
      <c r="B478" s="0" t="s">
        <v>1934</v>
      </c>
      <c r="C478" s="0" t="s">
        <v>1935</v>
      </c>
      <c r="D478" s="0" t="s">
        <v>227</v>
      </c>
      <c r="E478" s="0" t="s">
        <v>1936</v>
      </c>
      <c r="F478" s="0" t="s">
        <v>1937</v>
      </c>
      <c r="G478" s="0" t="s">
        <v>184</v>
      </c>
      <c r="H478" s="0" t="s">
        <v>7702</v>
      </c>
      <c r="I478" s="0" t="s">
        <v>7338</v>
      </c>
      <c r="J478" s="0" t="s">
        <v>1602</v>
      </c>
      <c r="K478" s="0" t="s">
        <v>7339</v>
      </c>
      <c r="L478" s="0" t="s">
        <v>7340</v>
      </c>
      <c r="M478" s="0" t="s">
        <v>7661</v>
      </c>
      <c r="N478" s="0" t="s">
        <v>7342</v>
      </c>
      <c r="P478" s="0" t="s">
        <v>229</v>
      </c>
      <c r="Q478" s="0" t="s">
        <v>7354</v>
      </c>
      <c r="R478" s="0" t="s">
        <v>7343</v>
      </c>
      <c r="S478" s="0" t="s">
        <v>7344</v>
      </c>
      <c r="T478" s="0" t="s">
        <v>228</v>
      </c>
      <c r="V478" s="0" t="s">
        <v>34</v>
      </c>
      <c r="W478" s="0" t="s">
        <v>37</v>
      </c>
      <c r="X478" s="0" t="s">
        <v>7355</v>
      </c>
      <c r="Y478" s="0" t="s">
        <v>7346</v>
      </c>
      <c r="Z478" s="0" t="s">
        <v>7370</v>
      </c>
      <c r="AA478" s="0" t="s">
        <v>7670</v>
      </c>
      <c r="AB478" s="0" t="s">
        <v>1663</v>
      </c>
      <c r="AC478" s="0" t="s">
        <v>7629</v>
      </c>
      <c r="AD478" s="0" t="s">
        <v>7671</v>
      </c>
      <c r="AE478" s="0" t="s">
        <v>7360</v>
      </c>
      <c r="AF478" s="0" t="s">
        <v>7361</v>
      </c>
      <c r="AG478" s="0" t="s">
        <v>230</v>
      </c>
    </row>
    <row r="479" customFormat="false" ht="15" hidden="false" customHeight="false" outlineLevel="0" collapsed="false">
      <c r="A479" s="0" t="s">
        <v>7336</v>
      </c>
      <c r="B479" s="0" t="s">
        <v>1938</v>
      </c>
      <c r="C479" s="0" t="s">
        <v>1939</v>
      </c>
      <c r="D479" s="0" t="s">
        <v>227</v>
      </c>
      <c r="E479" s="0" t="s">
        <v>1940</v>
      </c>
      <c r="F479" s="0" t="s">
        <v>1941</v>
      </c>
      <c r="G479" s="0" t="s">
        <v>184</v>
      </c>
      <c r="H479" s="0" t="s">
        <v>7703</v>
      </c>
      <c r="I479" s="0" t="s">
        <v>7338</v>
      </c>
      <c r="J479" s="0" t="s">
        <v>1602</v>
      </c>
      <c r="K479" s="0" t="s">
        <v>7339</v>
      </c>
      <c r="L479" s="0" t="s">
        <v>7340</v>
      </c>
      <c r="M479" s="0" t="s">
        <v>7661</v>
      </c>
      <c r="N479" s="0" t="s">
        <v>7342</v>
      </c>
      <c r="P479" s="0" t="s">
        <v>229</v>
      </c>
      <c r="Q479" s="0" t="s">
        <v>7354</v>
      </c>
      <c r="R479" s="0" t="s">
        <v>7343</v>
      </c>
      <c r="S479" s="0" t="s">
        <v>7344</v>
      </c>
      <c r="T479" s="0" t="s">
        <v>228</v>
      </c>
      <c r="V479" s="0" t="s">
        <v>34</v>
      </c>
      <c r="W479" s="0" t="s">
        <v>37</v>
      </c>
      <c r="X479" s="0" t="s">
        <v>7355</v>
      </c>
      <c r="Y479" s="0" t="s">
        <v>7346</v>
      </c>
      <c r="Z479" s="0" t="s">
        <v>7370</v>
      </c>
      <c r="AA479" s="0" t="s">
        <v>7670</v>
      </c>
      <c r="AB479" s="0" t="s">
        <v>1663</v>
      </c>
      <c r="AC479" s="0" t="s">
        <v>7629</v>
      </c>
      <c r="AD479" s="0" t="s">
        <v>7671</v>
      </c>
      <c r="AE479" s="0" t="s">
        <v>7360</v>
      </c>
      <c r="AF479" s="0" t="s">
        <v>7361</v>
      </c>
      <c r="AG479" s="0" t="s">
        <v>230</v>
      </c>
    </row>
    <row r="480" customFormat="false" ht="15" hidden="false" customHeight="false" outlineLevel="0" collapsed="false">
      <c r="A480" s="0" t="s">
        <v>7336</v>
      </c>
      <c r="B480" s="0" t="s">
        <v>1942</v>
      </c>
      <c r="C480" s="0" t="s">
        <v>1943</v>
      </c>
      <c r="D480" s="0" t="s">
        <v>227</v>
      </c>
      <c r="E480" s="0" t="s">
        <v>1944</v>
      </c>
      <c r="F480" s="0" t="s">
        <v>1941</v>
      </c>
      <c r="G480" s="0" t="s">
        <v>184</v>
      </c>
      <c r="H480" s="0" t="s">
        <v>7703</v>
      </c>
      <c r="I480" s="0" t="s">
        <v>7338</v>
      </c>
      <c r="J480" s="0" t="s">
        <v>1602</v>
      </c>
      <c r="K480" s="0" t="s">
        <v>7339</v>
      </c>
      <c r="L480" s="0" t="s">
        <v>7340</v>
      </c>
      <c r="M480" s="0" t="s">
        <v>7661</v>
      </c>
      <c r="N480" s="0" t="s">
        <v>7342</v>
      </c>
      <c r="P480" s="0" t="s">
        <v>229</v>
      </c>
      <c r="Q480" s="0" t="s">
        <v>7354</v>
      </c>
      <c r="R480" s="0" t="s">
        <v>7343</v>
      </c>
      <c r="S480" s="0" t="s">
        <v>7344</v>
      </c>
      <c r="T480" s="0" t="s">
        <v>228</v>
      </c>
      <c r="V480" s="0" t="s">
        <v>34</v>
      </c>
      <c r="W480" s="0" t="s">
        <v>37</v>
      </c>
      <c r="X480" s="0" t="s">
        <v>7355</v>
      </c>
      <c r="Y480" s="0" t="s">
        <v>7346</v>
      </c>
      <c r="Z480" s="0" t="s">
        <v>7370</v>
      </c>
      <c r="AA480" s="0" t="s">
        <v>7670</v>
      </c>
      <c r="AB480" s="0" t="s">
        <v>1663</v>
      </c>
      <c r="AC480" s="0" t="s">
        <v>7629</v>
      </c>
      <c r="AD480" s="0" t="s">
        <v>7671</v>
      </c>
      <c r="AE480" s="0" t="s">
        <v>7360</v>
      </c>
      <c r="AF480" s="0" t="s">
        <v>7361</v>
      </c>
      <c r="AG480" s="0" t="s">
        <v>230</v>
      </c>
    </row>
    <row r="481" customFormat="false" ht="15" hidden="false" customHeight="false" outlineLevel="0" collapsed="false">
      <c r="A481" s="0" t="s">
        <v>7336</v>
      </c>
      <c r="B481" s="0" t="s">
        <v>1945</v>
      </c>
      <c r="C481" s="0" t="s">
        <v>1946</v>
      </c>
      <c r="D481" s="0" t="s">
        <v>227</v>
      </c>
      <c r="E481" s="0" t="s">
        <v>1947</v>
      </c>
      <c r="F481" s="0" t="s">
        <v>1937</v>
      </c>
      <c r="G481" s="0" t="s">
        <v>184</v>
      </c>
      <c r="H481" s="0" t="s">
        <v>7702</v>
      </c>
      <c r="I481" s="0" t="s">
        <v>7338</v>
      </c>
      <c r="J481" s="0" t="s">
        <v>1602</v>
      </c>
      <c r="K481" s="0" t="s">
        <v>7339</v>
      </c>
      <c r="L481" s="0" t="s">
        <v>7340</v>
      </c>
      <c r="M481" s="0" t="s">
        <v>7661</v>
      </c>
      <c r="N481" s="0" t="s">
        <v>7342</v>
      </c>
      <c r="P481" s="0" t="s">
        <v>229</v>
      </c>
      <c r="Q481" s="0" t="s">
        <v>7354</v>
      </c>
      <c r="R481" s="0" t="s">
        <v>7343</v>
      </c>
      <c r="S481" s="0" t="s">
        <v>7344</v>
      </c>
      <c r="T481" s="0" t="s">
        <v>228</v>
      </c>
      <c r="V481" s="0" t="s">
        <v>34</v>
      </c>
      <c r="W481" s="0" t="s">
        <v>43</v>
      </c>
      <c r="X481" s="0" t="s">
        <v>7355</v>
      </c>
      <c r="Y481" s="0" t="s">
        <v>7346</v>
      </c>
      <c r="Z481" s="0" t="s">
        <v>7370</v>
      </c>
      <c r="AA481" s="0" t="s">
        <v>7670</v>
      </c>
      <c r="AB481" s="0" t="s">
        <v>1663</v>
      </c>
      <c r="AC481" s="0" t="s">
        <v>7629</v>
      </c>
      <c r="AD481" s="0" t="s">
        <v>7681</v>
      </c>
      <c r="AE481" s="0" t="s">
        <v>7360</v>
      </c>
      <c r="AF481" s="0" t="s">
        <v>7361</v>
      </c>
      <c r="AG481" s="0" t="s">
        <v>230</v>
      </c>
    </row>
    <row r="482" customFormat="false" ht="15" hidden="false" customHeight="false" outlineLevel="0" collapsed="false">
      <c r="A482" s="0" t="s">
        <v>7336</v>
      </c>
      <c r="B482" s="0" t="s">
        <v>1948</v>
      </c>
      <c r="C482" s="0" t="s">
        <v>1949</v>
      </c>
      <c r="D482" s="0" t="s">
        <v>227</v>
      </c>
      <c r="E482" s="0" t="s">
        <v>1950</v>
      </c>
      <c r="F482" s="0" t="s">
        <v>1941</v>
      </c>
      <c r="G482" s="0" t="s">
        <v>184</v>
      </c>
      <c r="H482" s="0" t="s">
        <v>7703</v>
      </c>
      <c r="I482" s="0" t="s">
        <v>7338</v>
      </c>
      <c r="J482" s="0" t="s">
        <v>1602</v>
      </c>
      <c r="K482" s="0" t="s">
        <v>7339</v>
      </c>
      <c r="L482" s="0" t="s">
        <v>7340</v>
      </c>
      <c r="M482" s="0" t="s">
        <v>7661</v>
      </c>
      <c r="N482" s="0" t="s">
        <v>7342</v>
      </c>
      <c r="P482" s="0" t="s">
        <v>229</v>
      </c>
      <c r="Q482" s="0" t="s">
        <v>7354</v>
      </c>
      <c r="R482" s="0" t="s">
        <v>7343</v>
      </c>
      <c r="S482" s="0" t="s">
        <v>7344</v>
      </c>
      <c r="T482" s="0" t="s">
        <v>228</v>
      </c>
      <c r="V482" s="0" t="s">
        <v>34</v>
      </c>
      <c r="W482" s="0" t="s">
        <v>43</v>
      </c>
      <c r="X482" s="0" t="s">
        <v>7355</v>
      </c>
      <c r="Y482" s="0" t="s">
        <v>7346</v>
      </c>
      <c r="Z482" s="0" t="s">
        <v>7370</v>
      </c>
      <c r="AA482" s="0" t="s">
        <v>7670</v>
      </c>
      <c r="AB482" s="0" t="s">
        <v>1663</v>
      </c>
      <c r="AC482" s="0" t="s">
        <v>7629</v>
      </c>
      <c r="AD482" s="0" t="s">
        <v>7681</v>
      </c>
      <c r="AE482" s="0" t="s">
        <v>7360</v>
      </c>
      <c r="AF482" s="0" t="s">
        <v>7361</v>
      </c>
      <c r="AG482" s="0" t="s">
        <v>230</v>
      </c>
    </row>
    <row r="483" customFormat="false" ht="15" hidden="false" customHeight="false" outlineLevel="0" collapsed="false">
      <c r="A483" s="0" t="s">
        <v>7336</v>
      </c>
      <c r="B483" s="0" t="s">
        <v>1951</v>
      </c>
      <c r="C483" s="0" t="s">
        <v>1952</v>
      </c>
      <c r="D483" s="0" t="s">
        <v>227</v>
      </c>
      <c r="E483" s="0" t="s">
        <v>1953</v>
      </c>
      <c r="F483" s="0" t="s">
        <v>1954</v>
      </c>
      <c r="G483" s="0" t="s">
        <v>184</v>
      </c>
      <c r="H483" s="0" t="s">
        <v>7704</v>
      </c>
      <c r="I483" s="0" t="s">
        <v>7338</v>
      </c>
      <c r="J483" s="0" t="s">
        <v>1602</v>
      </c>
      <c r="K483" s="0" t="s">
        <v>7339</v>
      </c>
      <c r="L483" s="0" t="s">
        <v>7340</v>
      </c>
      <c r="M483" s="0" t="s">
        <v>7661</v>
      </c>
      <c r="N483" s="0" t="s">
        <v>7342</v>
      </c>
      <c r="P483" s="0" t="s">
        <v>229</v>
      </c>
      <c r="Q483" s="0" t="s">
        <v>7354</v>
      </c>
      <c r="R483" s="0" t="s">
        <v>7343</v>
      </c>
      <c r="S483" s="0" t="s">
        <v>7344</v>
      </c>
      <c r="T483" s="0" t="s">
        <v>228</v>
      </c>
      <c r="V483" s="0" t="s">
        <v>34</v>
      </c>
      <c r="W483" s="0" t="s">
        <v>41</v>
      </c>
      <c r="X483" s="0" t="s">
        <v>7355</v>
      </c>
      <c r="Y483" s="0" t="s">
        <v>7409</v>
      </c>
      <c r="Z483" s="0" t="s">
        <v>7410</v>
      </c>
      <c r="AA483" s="0" t="s">
        <v>7411</v>
      </c>
      <c r="AB483" s="0" t="s">
        <v>1663</v>
      </c>
      <c r="AC483" s="0" t="s">
        <v>7629</v>
      </c>
      <c r="AD483" s="0" t="s">
        <v>7692</v>
      </c>
      <c r="AE483" s="0" t="s">
        <v>7360</v>
      </c>
      <c r="AF483" s="0" t="s">
        <v>7361</v>
      </c>
      <c r="AG483" s="0" t="s">
        <v>230</v>
      </c>
    </row>
    <row r="484" customFormat="false" ht="15" hidden="false" customHeight="false" outlineLevel="0" collapsed="false">
      <c r="A484" s="0" t="s">
        <v>7336</v>
      </c>
      <c r="B484" s="0" t="s">
        <v>1955</v>
      </c>
      <c r="C484" s="0" t="s">
        <v>1956</v>
      </c>
      <c r="D484" s="0" t="s">
        <v>227</v>
      </c>
      <c r="E484" s="0" t="s">
        <v>1957</v>
      </c>
      <c r="F484" s="0" t="s">
        <v>1958</v>
      </c>
      <c r="G484" s="0" t="s">
        <v>184</v>
      </c>
      <c r="H484" s="0" t="s">
        <v>7705</v>
      </c>
      <c r="I484" s="0" t="s">
        <v>7338</v>
      </c>
      <c r="J484" s="0" t="s">
        <v>1602</v>
      </c>
      <c r="K484" s="0" t="s">
        <v>7339</v>
      </c>
      <c r="L484" s="0" t="s">
        <v>7340</v>
      </c>
      <c r="M484" s="0" t="s">
        <v>7661</v>
      </c>
      <c r="N484" s="0" t="s">
        <v>7342</v>
      </c>
      <c r="P484" s="0" t="s">
        <v>229</v>
      </c>
      <c r="Q484" s="0" t="s">
        <v>7354</v>
      </c>
      <c r="R484" s="0" t="s">
        <v>7343</v>
      </c>
      <c r="S484" s="0" t="s">
        <v>7344</v>
      </c>
      <c r="T484" s="0" t="s">
        <v>228</v>
      </c>
      <c r="V484" s="0" t="s">
        <v>34</v>
      </c>
      <c r="W484" s="0" t="s">
        <v>37</v>
      </c>
      <c r="X484" s="0" t="s">
        <v>7355</v>
      </c>
      <c r="Y484" s="0" t="s">
        <v>7346</v>
      </c>
      <c r="Z484" s="0" t="s">
        <v>7370</v>
      </c>
      <c r="AA484" s="0" t="s">
        <v>7670</v>
      </c>
      <c r="AB484" s="0" t="s">
        <v>1663</v>
      </c>
      <c r="AC484" s="0" t="s">
        <v>7629</v>
      </c>
      <c r="AD484" s="0" t="s">
        <v>7671</v>
      </c>
      <c r="AE484" s="0" t="s">
        <v>7360</v>
      </c>
      <c r="AF484" s="0" t="s">
        <v>7361</v>
      </c>
      <c r="AG484" s="0" t="s">
        <v>230</v>
      </c>
    </row>
    <row r="485" customFormat="false" ht="15" hidden="false" customHeight="false" outlineLevel="0" collapsed="false">
      <c r="A485" s="0" t="s">
        <v>7336</v>
      </c>
      <c r="B485" s="0" t="s">
        <v>1959</v>
      </c>
      <c r="C485" s="0" t="s">
        <v>1960</v>
      </c>
      <c r="D485" s="0" t="s">
        <v>227</v>
      </c>
      <c r="E485" s="0" t="s">
        <v>1961</v>
      </c>
      <c r="F485" s="0" t="s">
        <v>1962</v>
      </c>
      <c r="G485" s="0" t="s">
        <v>184</v>
      </c>
      <c r="H485" s="0" t="s">
        <v>7706</v>
      </c>
      <c r="I485" s="0" t="s">
        <v>7338</v>
      </c>
      <c r="J485" s="0" t="s">
        <v>1602</v>
      </c>
      <c r="K485" s="0" t="s">
        <v>7339</v>
      </c>
      <c r="L485" s="0" t="s">
        <v>7340</v>
      </c>
      <c r="M485" s="0" t="s">
        <v>7661</v>
      </c>
      <c r="N485" s="0" t="s">
        <v>7342</v>
      </c>
      <c r="P485" s="0" t="s">
        <v>229</v>
      </c>
      <c r="Q485" s="0" t="s">
        <v>7354</v>
      </c>
      <c r="R485" s="0" t="s">
        <v>7343</v>
      </c>
      <c r="S485" s="0" t="s">
        <v>7344</v>
      </c>
      <c r="T485" s="0" t="s">
        <v>228</v>
      </c>
      <c r="V485" s="0" t="s">
        <v>34</v>
      </c>
      <c r="W485" s="0" t="s">
        <v>37</v>
      </c>
      <c r="X485" s="0" t="s">
        <v>7355</v>
      </c>
      <c r="Y485" s="0" t="s">
        <v>7346</v>
      </c>
      <c r="Z485" s="0" t="s">
        <v>7370</v>
      </c>
      <c r="AA485" s="0" t="s">
        <v>7670</v>
      </c>
      <c r="AB485" s="0" t="s">
        <v>1663</v>
      </c>
      <c r="AC485" s="0" t="s">
        <v>7629</v>
      </c>
      <c r="AD485" s="0" t="s">
        <v>7671</v>
      </c>
      <c r="AE485" s="0" t="s">
        <v>7360</v>
      </c>
      <c r="AF485" s="0" t="s">
        <v>7361</v>
      </c>
      <c r="AG485" s="0" t="s">
        <v>230</v>
      </c>
    </row>
    <row r="486" customFormat="false" ht="15" hidden="false" customHeight="false" outlineLevel="0" collapsed="false">
      <c r="A486" s="0" t="s">
        <v>7336</v>
      </c>
      <c r="B486" s="0" t="s">
        <v>1963</v>
      </c>
      <c r="C486" s="0" t="s">
        <v>1964</v>
      </c>
      <c r="D486" s="0" t="s">
        <v>227</v>
      </c>
      <c r="E486" s="0" t="s">
        <v>1965</v>
      </c>
      <c r="F486" s="0" t="s">
        <v>1962</v>
      </c>
      <c r="G486" s="0" t="s">
        <v>184</v>
      </c>
      <c r="H486" s="0" t="s">
        <v>7706</v>
      </c>
      <c r="I486" s="0" t="s">
        <v>7338</v>
      </c>
      <c r="J486" s="0" t="s">
        <v>1602</v>
      </c>
      <c r="K486" s="0" t="s">
        <v>7339</v>
      </c>
      <c r="L486" s="0" t="s">
        <v>7340</v>
      </c>
      <c r="M486" s="0" t="s">
        <v>7661</v>
      </c>
      <c r="N486" s="0" t="s">
        <v>7342</v>
      </c>
      <c r="P486" s="0" t="s">
        <v>229</v>
      </c>
      <c r="Q486" s="0" t="s">
        <v>7354</v>
      </c>
      <c r="R486" s="0" t="s">
        <v>7343</v>
      </c>
      <c r="S486" s="0" t="s">
        <v>7344</v>
      </c>
      <c r="T486" s="0" t="s">
        <v>228</v>
      </c>
      <c r="V486" s="0" t="s">
        <v>34</v>
      </c>
      <c r="W486" s="0" t="s">
        <v>37</v>
      </c>
      <c r="X486" s="0" t="s">
        <v>7355</v>
      </c>
      <c r="Y486" s="0" t="s">
        <v>7346</v>
      </c>
      <c r="Z486" s="0" t="s">
        <v>7370</v>
      </c>
      <c r="AA486" s="0" t="s">
        <v>7670</v>
      </c>
      <c r="AB486" s="0" t="s">
        <v>1663</v>
      </c>
      <c r="AC486" s="0" t="s">
        <v>7629</v>
      </c>
      <c r="AD486" s="0" t="s">
        <v>7671</v>
      </c>
      <c r="AE486" s="0" t="s">
        <v>7360</v>
      </c>
      <c r="AF486" s="0" t="s">
        <v>7361</v>
      </c>
      <c r="AG486" s="0" t="s">
        <v>230</v>
      </c>
    </row>
    <row r="487" customFormat="false" ht="15" hidden="false" customHeight="false" outlineLevel="0" collapsed="false">
      <c r="A487" s="0" t="s">
        <v>7336</v>
      </c>
      <c r="B487" s="0" t="s">
        <v>1966</v>
      </c>
      <c r="C487" s="0" t="s">
        <v>1967</v>
      </c>
      <c r="D487" s="0" t="s">
        <v>227</v>
      </c>
      <c r="E487" s="0" t="s">
        <v>1968</v>
      </c>
      <c r="F487" s="0" t="s">
        <v>1958</v>
      </c>
      <c r="G487" s="0" t="s">
        <v>184</v>
      </c>
      <c r="H487" s="0" t="s">
        <v>7705</v>
      </c>
      <c r="I487" s="0" t="s">
        <v>7338</v>
      </c>
      <c r="J487" s="0" t="s">
        <v>1602</v>
      </c>
      <c r="K487" s="0" t="s">
        <v>7339</v>
      </c>
      <c r="L487" s="0" t="s">
        <v>7340</v>
      </c>
      <c r="M487" s="0" t="s">
        <v>7661</v>
      </c>
      <c r="N487" s="0" t="s">
        <v>7342</v>
      </c>
      <c r="P487" s="0" t="s">
        <v>229</v>
      </c>
      <c r="Q487" s="0" t="s">
        <v>7354</v>
      </c>
      <c r="R487" s="0" t="s">
        <v>7343</v>
      </c>
      <c r="S487" s="0" t="s">
        <v>7344</v>
      </c>
      <c r="T487" s="0" t="s">
        <v>228</v>
      </c>
      <c r="V487" s="0" t="s">
        <v>34</v>
      </c>
      <c r="W487" s="0" t="s">
        <v>43</v>
      </c>
      <c r="X487" s="0" t="s">
        <v>7355</v>
      </c>
      <c r="Y487" s="0" t="s">
        <v>7346</v>
      </c>
      <c r="Z487" s="0" t="s">
        <v>7370</v>
      </c>
      <c r="AA487" s="0" t="s">
        <v>7670</v>
      </c>
      <c r="AB487" s="0" t="s">
        <v>1663</v>
      </c>
      <c r="AC487" s="0" t="s">
        <v>7629</v>
      </c>
      <c r="AD487" s="0" t="s">
        <v>7681</v>
      </c>
      <c r="AE487" s="0" t="s">
        <v>7360</v>
      </c>
      <c r="AF487" s="0" t="s">
        <v>7361</v>
      </c>
      <c r="AG487" s="0" t="s">
        <v>230</v>
      </c>
    </row>
    <row r="488" customFormat="false" ht="15" hidden="false" customHeight="false" outlineLevel="0" collapsed="false">
      <c r="A488" s="0" t="s">
        <v>7336</v>
      </c>
      <c r="B488" s="0" t="s">
        <v>1969</v>
      </c>
      <c r="C488" s="0" t="s">
        <v>1970</v>
      </c>
      <c r="D488" s="0" t="s">
        <v>227</v>
      </c>
      <c r="E488" s="0" t="s">
        <v>1971</v>
      </c>
      <c r="F488" s="0" t="s">
        <v>1972</v>
      </c>
      <c r="G488" s="0" t="s">
        <v>184</v>
      </c>
      <c r="H488" s="0" t="s">
        <v>7707</v>
      </c>
      <c r="I488" s="0" t="s">
        <v>7338</v>
      </c>
      <c r="J488" s="0" t="s">
        <v>1602</v>
      </c>
      <c r="K488" s="0" t="s">
        <v>7339</v>
      </c>
      <c r="L488" s="0" t="s">
        <v>7340</v>
      </c>
      <c r="M488" s="0" t="s">
        <v>7661</v>
      </c>
      <c r="N488" s="0" t="s">
        <v>7342</v>
      </c>
      <c r="P488" s="0" t="s">
        <v>229</v>
      </c>
      <c r="Q488" s="0" t="s">
        <v>7354</v>
      </c>
      <c r="R488" s="0" t="s">
        <v>7343</v>
      </c>
      <c r="S488" s="0" t="s">
        <v>7344</v>
      </c>
      <c r="T488" s="0" t="s">
        <v>228</v>
      </c>
      <c r="V488" s="0" t="s">
        <v>1358</v>
      </c>
      <c r="W488" s="0" t="s">
        <v>65</v>
      </c>
      <c r="X488" s="0" t="s">
        <v>7355</v>
      </c>
      <c r="AB488" s="0" t="s">
        <v>1640</v>
      </c>
      <c r="AC488" s="0" t="s">
        <v>7629</v>
      </c>
      <c r="AD488" s="0" t="s">
        <v>7708</v>
      </c>
      <c r="AE488" s="0" t="s">
        <v>7360</v>
      </c>
      <c r="AF488" s="0" t="s">
        <v>7361</v>
      </c>
      <c r="AG488" s="0" t="s">
        <v>230</v>
      </c>
    </row>
    <row r="489" customFormat="false" ht="15" hidden="false" customHeight="false" outlineLevel="0" collapsed="false">
      <c r="A489" s="0" t="s">
        <v>7336</v>
      </c>
      <c r="B489" s="0" t="s">
        <v>1973</v>
      </c>
      <c r="C489" s="0" t="s">
        <v>1974</v>
      </c>
      <c r="D489" s="0" t="s">
        <v>227</v>
      </c>
      <c r="E489" s="0" t="s">
        <v>1975</v>
      </c>
      <c r="F489" s="0" t="s">
        <v>1972</v>
      </c>
      <c r="G489" s="0" t="s">
        <v>184</v>
      </c>
      <c r="H489" s="0" t="s">
        <v>7707</v>
      </c>
      <c r="I489" s="0" t="s">
        <v>7338</v>
      </c>
      <c r="J489" s="0" t="s">
        <v>1602</v>
      </c>
      <c r="K489" s="0" t="s">
        <v>7339</v>
      </c>
      <c r="L489" s="0" t="s">
        <v>7340</v>
      </c>
      <c r="M489" s="0" t="s">
        <v>7661</v>
      </c>
      <c r="N489" s="0" t="s">
        <v>7342</v>
      </c>
      <c r="P489" s="0" t="s">
        <v>229</v>
      </c>
      <c r="Q489" s="0" t="s">
        <v>7354</v>
      </c>
      <c r="R489" s="0" t="s">
        <v>7343</v>
      </c>
      <c r="S489" s="0" t="s">
        <v>7344</v>
      </c>
      <c r="T489" s="0" t="s">
        <v>228</v>
      </c>
      <c r="V489" s="0" t="s">
        <v>1358</v>
      </c>
      <c r="W489" s="0" t="s">
        <v>71</v>
      </c>
      <c r="X489" s="0" t="s">
        <v>7355</v>
      </c>
      <c r="AB489" s="0" t="s">
        <v>1640</v>
      </c>
      <c r="AC489" s="0" t="s">
        <v>7629</v>
      </c>
      <c r="AD489" s="0" t="s">
        <v>7708</v>
      </c>
      <c r="AE489" s="0" t="s">
        <v>7360</v>
      </c>
      <c r="AF489" s="0" t="s">
        <v>7361</v>
      </c>
      <c r="AG489" s="0" t="s">
        <v>230</v>
      </c>
    </row>
    <row r="490" customFormat="false" ht="15" hidden="false" customHeight="false" outlineLevel="0" collapsed="false">
      <c r="A490" s="0" t="s">
        <v>7336</v>
      </c>
      <c r="B490" s="0" t="s">
        <v>1976</v>
      </c>
      <c r="C490" s="0" t="s">
        <v>1977</v>
      </c>
      <c r="D490" s="0" t="s">
        <v>227</v>
      </c>
      <c r="E490" s="0" t="s">
        <v>1978</v>
      </c>
      <c r="F490" s="0" t="s">
        <v>1972</v>
      </c>
      <c r="G490" s="0" t="s">
        <v>184</v>
      </c>
      <c r="H490" s="0" t="s">
        <v>7707</v>
      </c>
      <c r="I490" s="0" t="s">
        <v>7338</v>
      </c>
      <c r="J490" s="0" t="s">
        <v>1602</v>
      </c>
      <c r="K490" s="0" t="s">
        <v>7339</v>
      </c>
      <c r="L490" s="0" t="s">
        <v>7340</v>
      </c>
      <c r="M490" s="0" t="s">
        <v>7661</v>
      </c>
      <c r="N490" s="0" t="s">
        <v>7342</v>
      </c>
      <c r="P490" s="0" t="s">
        <v>229</v>
      </c>
      <c r="Q490" s="0" t="s">
        <v>7354</v>
      </c>
      <c r="R490" s="0" t="s">
        <v>7343</v>
      </c>
      <c r="S490" s="0" t="s">
        <v>7344</v>
      </c>
      <c r="T490" s="0" t="s">
        <v>1979</v>
      </c>
      <c r="V490" s="0" t="s">
        <v>1358</v>
      </c>
      <c r="W490" s="0" t="s">
        <v>66</v>
      </c>
      <c r="X490" s="0" t="s">
        <v>7355</v>
      </c>
      <c r="AB490" s="0" t="s">
        <v>237</v>
      </c>
      <c r="AC490" s="0" t="s">
        <v>7629</v>
      </c>
      <c r="AD490" s="0" t="s">
        <v>7709</v>
      </c>
      <c r="AE490" s="0" t="s">
        <v>7360</v>
      </c>
      <c r="AF490" s="0" t="s">
        <v>7361</v>
      </c>
      <c r="AG490" s="0" t="s">
        <v>230</v>
      </c>
    </row>
    <row r="491" customFormat="false" ht="15" hidden="false" customHeight="false" outlineLevel="0" collapsed="false">
      <c r="A491" s="0" t="s">
        <v>7336</v>
      </c>
      <c r="B491" s="0" t="s">
        <v>1980</v>
      </c>
      <c r="C491" s="0" t="s">
        <v>1981</v>
      </c>
      <c r="D491" s="0" t="s">
        <v>227</v>
      </c>
      <c r="E491" s="0" t="s">
        <v>1982</v>
      </c>
      <c r="F491" s="0" t="s">
        <v>1972</v>
      </c>
      <c r="G491" s="0" t="s">
        <v>184</v>
      </c>
      <c r="H491" s="0" t="s">
        <v>7707</v>
      </c>
      <c r="I491" s="0" t="s">
        <v>7338</v>
      </c>
      <c r="J491" s="0" t="s">
        <v>1602</v>
      </c>
      <c r="K491" s="0" t="s">
        <v>7339</v>
      </c>
      <c r="L491" s="0" t="s">
        <v>7340</v>
      </c>
      <c r="M491" s="0" t="s">
        <v>7661</v>
      </c>
      <c r="N491" s="0" t="s">
        <v>7342</v>
      </c>
      <c r="P491" s="0" t="s">
        <v>229</v>
      </c>
      <c r="Q491" s="0" t="s">
        <v>7354</v>
      </c>
      <c r="R491" s="0" t="s">
        <v>7343</v>
      </c>
      <c r="S491" s="0" t="s">
        <v>7344</v>
      </c>
      <c r="T491" s="0" t="s">
        <v>228</v>
      </c>
      <c r="V491" s="0" t="s">
        <v>1358</v>
      </c>
      <c r="W491" s="0" t="s">
        <v>67</v>
      </c>
      <c r="X491" s="0" t="s">
        <v>7355</v>
      </c>
      <c r="AB491" s="0" t="s">
        <v>1640</v>
      </c>
      <c r="AC491" s="0" t="s">
        <v>7629</v>
      </c>
      <c r="AD491" s="0" t="s">
        <v>7710</v>
      </c>
      <c r="AE491" s="0" t="s">
        <v>7360</v>
      </c>
      <c r="AF491" s="0" t="s">
        <v>7361</v>
      </c>
      <c r="AG491" s="0" t="s">
        <v>230</v>
      </c>
    </row>
    <row r="492" customFormat="false" ht="15" hidden="false" customHeight="false" outlineLevel="0" collapsed="false">
      <c r="A492" s="0" t="s">
        <v>7336</v>
      </c>
      <c r="B492" s="0" t="s">
        <v>1983</v>
      </c>
      <c r="C492" s="0" t="s">
        <v>1984</v>
      </c>
      <c r="D492" s="0" t="s">
        <v>227</v>
      </c>
      <c r="E492" s="0" t="s">
        <v>1985</v>
      </c>
      <c r="F492" s="0" t="s">
        <v>1972</v>
      </c>
      <c r="G492" s="0" t="s">
        <v>184</v>
      </c>
      <c r="H492" s="0" t="s">
        <v>7707</v>
      </c>
      <c r="I492" s="0" t="s">
        <v>7338</v>
      </c>
      <c r="J492" s="0" t="s">
        <v>1602</v>
      </c>
      <c r="K492" s="0" t="s">
        <v>7339</v>
      </c>
      <c r="L492" s="0" t="s">
        <v>7340</v>
      </c>
      <c r="M492" s="0" t="s">
        <v>7661</v>
      </c>
      <c r="N492" s="0" t="s">
        <v>7342</v>
      </c>
      <c r="P492" s="0" t="s">
        <v>229</v>
      </c>
      <c r="Q492" s="0" t="s">
        <v>7354</v>
      </c>
      <c r="R492" s="0" t="s">
        <v>7343</v>
      </c>
      <c r="S492" s="0" t="s">
        <v>7344</v>
      </c>
      <c r="T492" s="0" t="s">
        <v>58</v>
      </c>
      <c r="V492" s="0" t="s">
        <v>55</v>
      </c>
      <c r="W492" s="0" t="s">
        <v>57</v>
      </c>
      <c r="X492" s="0" t="s">
        <v>7355</v>
      </c>
      <c r="Y492" s="0" t="s">
        <v>7667</v>
      </c>
      <c r="Z492" s="0" t="s">
        <v>7668</v>
      </c>
      <c r="AA492" s="0" t="s">
        <v>7669</v>
      </c>
      <c r="AB492" s="0" t="s">
        <v>237</v>
      </c>
      <c r="AC492" s="0" t="s">
        <v>7629</v>
      </c>
      <c r="AE492" s="0" t="s">
        <v>7360</v>
      </c>
      <c r="AF492" s="0" t="s">
        <v>7361</v>
      </c>
      <c r="AG492" s="0" t="s">
        <v>230</v>
      </c>
    </row>
    <row r="493" customFormat="false" ht="15" hidden="false" customHeight="false" outlineLevel="0" collapsed="false">
      <c r="A493" s="0" t="s">
        <v>7336</v>
      </c>
      <c r="B493" s="0" t="s">
        <v>1986</v>
      </c>
      <c r="C493" s="0" t="s">
        <v>1987</v>
      </c>
      <c r="D493" s="0" t="s">
        <v>227</v>
      </c>
      <c r="E493" s="0" t="s">
        <v>1988</v>
      </c>
      <c r="F493" s="0" t="s">
        <v>1989</v>
      </c>
      <c r="G493" s="0" t="s">
        <v>184</v>
      </c>
      <c r="H493" s="0" t="s">
        <v>7711</v>
      </c>
      <c r="I493" s="0" t="s">
        <v>7338</v>
      </c>
      <c r="J493" s="0" t="s">
        <v>1602</v>
      </c>
      <c r="K493" s="0" t="s">
        <v>7339</v>
      </c>
      <c r="L493" s="0" t="s">
        <v>7340</v>
      </c>
      <c r="M493" s="0" t="s">
        <v>7661</v>
      </c>
      <c r="N493" s="0" t="s">
        <v>7342</v>
      </c>
      <c r="P493" s="0" t="s">
        <v>229</v>
      </c>
      <c r="Q493" s="0" t="s">
        <v>7354</v>
      </c>
      <c r="R493" s="0" t="s">
        <v>7343</v>
      </c>
      <c r="S493" s="0" t="s">
        <v>7344</v>
      </c>
      <c r="T493" s="0" t="s">
        <v>228</v>
      </c>
      <c r="V493" s="0" t="s">
        <v>1358</v>
      </c>
      <c r="W493" s="0" t="s">
        <v>65</v>
      </c>
      <c r="X493" s="0" t="s">
        <v>7355</v>
      </c>
      <c r="AB493" s="0" t="s">
        <v>1640</v>
      </c>
      <c r="AC493" s="0" t="s">
        <v>7629</v>
      </c>
      <c r="AD493" s="0" t="s">
        <v>7708</v>
      </c>
      <c r="AE493" s="0" t="s">
        <v>7360</v>
      </c>
      <c r="AF493" s="0" t="s">
        <v>7361</v>
      </c>
      <c r="AG493" s="0" t="s">
        <v>230</v>
      </c>
    </row>
    <row r="494" customFormat="false" ht="15" hidden="false" customHeight="false" outlineLevel="0" collapsed="false">
      <c r="A494" s="0" t="s">
        <v>7336</v>
      </c>
      <c r="B494" s="0" t="s">
        <v>1990</v>
      </c>
      <c r="C494" s="0" t="s">
        <v>1991</v>
      </c>
      <c r="D494" s="0" t="s">
        <v>227</v>
      </c>
      <c r="E494" s="0" t="s">
        <v>1992</v>
      </c>
      <c r="F494" s="0" t="s">
        <v>1989</v>
      </c>
      <c r="G494" s="0" t="s">
        <v>184</v>
      </c>
      <c r="H494" s="0" t="s">
        <v>7711</v>
      </c>
      <c r="I494" s="0" t="s">
        <v>7338</v>
      </c>
      <c r="J494" s="0" t="s">
        <v>1602</v>
      </c>
      <c r="K494" s="0" t="s">
        <v>7339</v>
      </c>
      <c r="L494" s="0" t="s">
        <v>7340</v>
      </c>
      <c r="M494" s="0" t="s">
        <v>7661</v>
      </c>
      <c r="N494" s="0" t="s">
        <v>7342</v>
      </c>
      <c r="P494" s="0" t="s">
        <v>229</v>
      </c>
      <c r="Q494" s="0" t="s">
        <v>7354</v>
      </c>
      <c r="R494" s="0" t="s">
        <v>7343</v>
      </c>
      <c r="S494" s="0" t="s">
        <v>7344</v>
      </c>
      <c r="T494" s="0" t="s">
        <v>228</v>
      </c>
      <c r="V494" s="0" t="s">
        <v>1358</v>
      </c>
      <c r="W494" s="0" t="s">
        <v>71</v>
      </c>
      <c r="X494" s="0" t="s">
        <v>7355</v>
      </c>
      <c r="AB494" s="0" t="s">
        <v>1640</v>
      </c>
      <c r="AC494" s="0" t="s">
        <v>7629</v>
      </c>
      <c r="AD494" s="0" t="s">
        <v>7708</v>
      </c>
      <c r="AE494" s="0" t="s">
        <v>7360</v>
      </c>
      <c r="AF494" s="0" t="s">
        <v>7361</v>
      </c>
      <c r="AG494" s="0" t="s">
        <v>230</v>
      </c>
    </row>
    <row r="495" customFormat="false" ht="15" hidden="false" customHeight="false" outlineLevel="0" collapsed="false">
      <c r="A495" s="0" t="s">
        <v>7336</v>
      </c>
      <c r="B495" s="0" t="s">
        <v>1993</v>
      </c>
      <c r="C495" s="0" t="s">
        <v>1994</v>
      </c>
      <c r="D495" s="0" t="s">
        <v>227</v>
      </c>
      <c r="E495" s="0" t="s">
        <v>1995</v>
      </c>
      <c r="F495" s="0" t="s">
        <v>1989</v>
      </c>
      <c r="G495" s="0" t="s">
        <v>184</v>
      </c>
      <c r="H495" s="0" t="s">
        <v>7711</v>
      </c>
      <c r="I495" s="0" t="s">
        <v>7338</v>
      </c>
      <c r="J495" s="0" t="s">
        <v>1602</v>
      </c>
      <c r="K495" s="0" t="s">
        <v>7339</v>
      </c>
      <c r="L495" s="0" t="s">
        <v>7340</v>
      </c>
      <c r="M495" s="0" t="s">
        <v>7661</v>
      </c>
      <c r="N495" s="0" t="s">
        <v>7342</v>
      </c>
      <c r="P495" s="0" t="s">
        <v>229</v>
      </c>
      <c r="Q495" s="0" t="s">
        <v>7354</v>
      </c>
      <c r="R495" s="0" t="s">
        <v>7343</v>
      </c>
      <c r="S495" s="0" t="s">
        <v>7344</v>
      </c>
      <c r="T495" s="0" t="s">
        <v>1979</v>
      </c>
      <c r="V495" s="0" t="s">
        <v>1358</v>
      </c>
      <c r="W495" s="0" t="s">
        <v>66</v>
      </c>
      <c r="X495" s="0" t="s">
        <v>7355</v>
      </c>
      <c r="AB495" s="0" t="s">
        <v>237</v>
      </c>
      <c r="AC495" s="0" t="s">
        <v>7629</v>
      </c>
      <c r="AD495" s="0" t="s">
        <v>7709</v>
      </c>
      <c r="AE495" s="0" t="s">
        <v>7360</v>
      </c>
      <c r="AF495" s="0" t="s">
        <v>7361</v>
      </c>
      <c r="AG495" s="0" t="s">
        <v>230</v>
      </c>
    </row>
    <row r="496" customFormat="false" ht="15" hidden="false" customHeight="false" outlineLevel="0" collapsed="false">
      <c r="A496" s="0" t="s">
        <v>7336</v>
      </c>
      <c r="B496" s="0" t="s">
        <v>1996</v>
      </c>
      <c r="C496" s="0" t="s">
        <v>1997</v>
      </c>
      <c r="D496" s="0" t="s">
        <v>227</v>
      </c>
      <c r="E496" s="0" t="s">
        <v>1998</v>
      </c>
      <c r="F496" s="0" t="s">
        <v>1989</v>
      </c>
      <c r="G496" s="0" t="s">
        <v>184</v>
      </c>
      <c r="H496" s="0" t="s">
        <v>7711</v>
      </c>
      <c r="I496" s="0" t="s">
        <v>7338</v>
      </c>
      <c r="J496" s="0" t="s">
        <v>1602</v>
      </c>
      <c r="K496" s="0" t="s">
        <v>7339</v>
      </c>
      <c r="L496" s="0" t="s">
        <v>7340</v>
      </c>
      <c r="M496" s="0" t="s">
        <v>7661</v>
      </c>
      <c r="N496" s="0" t="s">
        <v>7342</v>
      </c>
      <c r="P496" s="0" t="s">
        <v>229</v>
      </c>
      <c r="Q496" s="0" t="s">
        <v>7354</v>
      </c>
      <c r="R496" s="0" t="s">
        <v>7343</v>
      </c>
      <c r="S496" s="0" t="s">
        <v>7344</v>
      </c>
      <c r="T496" s="0" t="s">
        <v>228</v>
      </c>
      <c r="V496" s="0" t="s">
        <v>1358</v>
      </c>
      <c r="W496" s="0" t="s">
        <v>67</v>
      </c>
      <c r="X496" s="0" t="s">
        <v>7355</v>
      </c>
      <c r="AB496" s="0" t="s">
        <v>1640</v>
      </c>
      <c r="AC496" s="0" t="s">
        <v>7629</v>
      </c>
      <c r="AD496" s="0" t="s">
        <v>7710</v>
      </c>
      <c r="AE496" s="0" t="s">
        <v>7360</v>
      </c>
      <c r="AF496" s="0" t="s">
        <v>7361</v>
      </c>
      <c r="AG496" s="0" t="s">
        <v>230</v>
      </c>
    </row>
    <row r="497" customFormat="false" ht="15" hidden="false" customHeight="false" outlineLevel="0" collapsed="false">
      <c r="A497" s="0" t="s">
        <v>7336</v>
      </c>
      <c r="B497" s="0" t="s">
        <v>1999</v>
      </c>
      <c r="C497" s="0" t="s">
        <v>2000</v>
      </c>
      <c r="D497" s="0" t="s">
        <v>227</v>
      </c>
      <c r="E497" s="0" t="s">
        <v>2001</v>
      </c>
      <c r="F497" s="0" t="s">
        <v>1863</v>
      </c>
      <c r="G497" s="0" t="s">
        <v>184</v>
      </c>
      <c r="H497" s="0" t="s">
        <v>7690</v>
      </c>
      <c r="I497" s="0" t="s">
        <v>7338</v>
      </c>
      <c r="J497" s="0" t="s">
        <v>1602</v>
      </c>
      <c r="K497" s="0" t="s">
        <v>7339</v>
      </c>
      <c r="L497" s="0" t="s">
        <v>7340</v>
      </c>
      <c r="M497" s="0" t="s">
        <v>7661</v>
      </c>
      <c r="N497" s="0" t="s">
        <v>7342</v>
      </c>
      <c r="P497" s="0" t="s">
        <v>229</v>
      </c>
      <c r="Q497" s="0" t="s">
        <v>7354</v>
      </c>
      <c r="R497" s="0" t="s">
        <v>7343</v>
      </c>
      <c r="S497" s="0" t="s">
        <v>7344</v>
      </c>
      <c r="T497" s="0" t="s">
        <v>228</v>
      </c>
      <c r="V497" s="0" t="s">
        <v>34</v>
      </c>
      <c r="W497" s="0" t="s">
        <v>43</v>
      </c>
      <c r="X497" s="0" t="s">
        <v>7355</v>
      </c>
      <c r="Y497" s="0" t="s">
        <v>7346</v>
      </c>
      <c r="Z497" s="0" t="s">
        <v>7370</v>
      </c>
      <c r="AA497" s="0" t="s">
        <v>7670</v>
      </c>
      <c r="AB497" s="0" t="s">
        <v>1663</v>
      </c>
      <c r="AC497" s="0" t="s">
        <v>7629</v>
      </c>
      <c r="AD497" s="0" t="s">
        <v>7681</v>
      </c>
      <c r="AE497" s="0" t="s">
        <v>7360</v>
      </c>
      <c r="AF497" s="0" t="s">
        <v>7361</v>
      </c>
      <c r="AG497" s="0" t="s">
        <v>230</v>
      </c>
    </row>
    <row r="498" customFormat="false" ht="15" hidden="false" customHeight="false" outlineLevel="0" collapsed="false">
      <c r="A498" s="0" t="s">
        <v>7336</v>
      </c>
      <c r="B498" s="0" t="s">
        <v>2002</v>
      </c>
      <c r="C498" s="0" t="s">
        <v>2003</v>
      </c>
      <c r="D498" s="0" t="s">
        <v>227</v>
      </c>
      <c r="E498" s="0" t="s">
        <v>2004</v>
      </c>
      <c r="F498" s="0" t="s">
        <v>2005</v>
      </c>
      <c r="G498" s="0" t="s">
        <v>184</v>
      </c>
      <c r="H498" s="0" t="s">
        <v>7712</v>
      </c>
      <c r="I498" s="0" t="s">
        <v>7338</v>
      </c>
      <c r="J498" s="0" t="s">
        <v>1602</v>
      </c>
      <c r="K498" s="0" t="s">
        <v>7339</v>
      </c>
      <c r="L498" s="0" t="s">
        <v>7340</v>
      </c>
      <c r="M498" s="0" t="s">
        <v>7661</v>
      </c>
      <c r="N498" s="0" t="s">
        <v>7342</v>
      </c>
      <c r="P498" s="0" t="s">
        <v>229</v>
      </c>
      <c r="Q498" s="0" t="s">
        <v>7354</v>
      </c>
      <c r="R498" s="0" t="s">
        <v>7343</v>
      </c>
      <c r="S498" s="0" t="s">
        <v>7344</v>
      </c>
      <c r="T498" s="0" t="s">
        <v>228</v>
      </c>
      <c r="V498" s="0" t="s">
        <v>1358</v>
      </c>
      <c r="W498" s="0" t="s">
        <v>68</v>
      </c>
      <c r="X498" s="0" t="s">
        <v>7355</v>
      </c>
      <c r="AB498" s="0" t="s">
        <v>1640</v>
      </c>
      <c r="AC498" s="0" t="s">
        <v>7629</v>
      </c>
      <c r="AD498" s="0" t="s">
        <v>7665</v>
      </c>
      <c r="AE498" s="0" t="s">
        <v>7360</v>
      </c>
      <c r="AF498" s="0" t="s">
        <v>7361</v>
      </c>
      <c r="AG498" s="0" t="s">
        <v>230</v>
      </c>
    </row>
    <row r="499" customFormat="false" ht="15" hidden="false" customHeight="false" outlineLevel="0" collapsed="false">
      <c r="A499" s="0" t="s">
        <v>7336</v>
      </c>
      <c r="B499" s="0" t="s">
        <v>2006</v>
      </c>
      <c r="C499" s="0" t="s">
        <v>2007</v>
      </c>
      <c r="D499" s="0" t="s">
        <v>227</v>
      </c>
      <c r="E499" s="0" t="s">
        <v>2008</v>
      </c>
      <c r="F499" s="0" t="s">
        <v>2005</v>
      </c>
      <c r="G499" s="0" t="s">
        <v>184</v>
      </c>
      <c r="H499" s="0" t="s">
        <v>7712</v>
      </c>
      <c r="I499" s="0" t="s">
        <v>7338</v>
      </c>
      <c r="J499" s="0" t="s">
        <v>1602</v>
      </c>
      <c r="K499" s="0" t="s">
        <v>7339</v>
      </c>
      <c r="L499" s="0" t="s">
        <v>7340</v>
      </c>
      <c r="M499" s="0" t="s">
        <v>7661</v>
      </c>
      <c r="N499" s="0" t="s">
        <v>7342</v>
      </c>
      <c r="P499" s="0" t="s">
        <v>229</v>
      </c>
      <c r="Q499" s="0" t="s">
        <v>7354</v>
      </c>
      <c r="R499" s="0" t="s">
        <v>7343</v>
      </c>
      <c r="S499" s="0" t="s">
        <v>7344</v>
      </c>
      <c r="T499" s="0" t="s">
        <v>228</v>
      </c>
      <c r="V499" s="0" t="s">
        <v>86</v>
      </c>
      <c r="W499" s="0" t="s">
        <v>88</v>
      </c>
      <c r="X499" s="0" t="s">
        <v>7355</v>
      </c>
      <c r="Z499" s="0" t="s">
        <v>7662</v>
      </c>
      <c r="AB499" s="0" t="s">
        <v>237</v>
      </c>
      <c r="AC499" s="0" t="s">
        <v>7629</v>
      </c>
      <c r="AD499" s="0" t="s">
        <v>7663</v>
      </c>
      <c r="AE499" s="0" t="s">
        <v>7360</v>
      </c>
      <c r="AF499" s="0" t="s">
        <v>7361</v>
      </c>
      <c r="AG499" s="0" t="s">
        <v>230</v>
      </c>
    </row>
    <row r="500" customFormat="false" ht="15" hidden="false" customHeight="false" outlineLevel="0" collapsed="false">
      <c r="A500" s="0" t="s">
        <v>7336</v>
      </c>
      <c r="B500" s="0" t="s">
        <v>2009</v>
      </c>
      <c r="C500" s="0" t="s">
        <v>2010</v>
      </c>
      <c r="D500" s="0" t="s">
        <v>227</v>
      </c>
      <c r="E500" s="0" t="s">
        <v>2011</v>
      </c>
      <c r="F500" s="0" t="s">
        <v>2012</v>
      </c>
      <c r="G500" s="0" t="s">
        <v>184</v>
      </c>
      <c r="H500" s="0" t="s">
        <v>7713</v>
      </c>
      <c r="I500" s="0" t="s">
        <v>7338</v>
      </c>
      <c r="J500" s="0" t="s">
        <v>1602</v>
      </c>
      <c r="K500" s="0" t="s">
        <v>7339</v>
      </c>
      <c r="L500" s="0" t="s">
        <v>7340</v>
      </c>
      <c r="M500" s="0" t="s">
        <v>7661</v>
      </c>
      <c r="N500" s="0" t="s">
        <v>7342</v>
      </c>
      <c r="P500" s="0" t="s">
        <v>229</v>
      </c>
      <c r="Q500" s="0" t="s">
        <v>7354</v>
      </c>
      <c r="R500" s="0" t="s">
        <v>7343</v>
      </c>
      <c r="S500" s="0" t="s">
        <v>7344</v>
      </c>
      <c r="T500" s="0" t="s">
        <v>228</v>
      </c>
      <c r="V500" s="0" t="s">
        <v>1358</v>
      </c>
      <c r="W500" s="0" t="s">
        <v>68</v>
      </c>
      <c r="X500" s="0" t="s">
        <v>7355</v>
      </c>
      <c r="AB500" s="0" t="s">
        <v>1640</v>
      </c>
      <c r="AC500" s="0" t="s">
        <v>7629</v>
      </c>
      <c r="AD500" s="0" t="s">
        <v>7665</v>
      </c>
      <c r="AE500" s="0" t="s">
        <v>7360</v>
      </c>
      <c r="AF500" s="0" t="s">
        <v>7361</v>
      </c>
      <c r="AG500" s="0" t="s">
        <v>230</v>
      </c>
    </row>
    <row r="501" customFormat="false" ht="15" hidden="false" customHeight="false" outlineLevel="0" collapsed="false">
      <c r="A501" s="0" t="s">
        <v>7336</v>
      </c>
      <c r="B501" s="0" t="s">
        <v>2013</v>
      </c>
      <c r="C501" s="0" t="s">
        <v>2014</v>
      </c>
      <c r="D501" s="0" t="s">
        <v>227</v>
      </c>
      <c r="E501" s="0" t="s">
        <v>2015</v>
      </c>
      <c r="F501" s="0" t="s">
        <v>2012</v>
      </c>
      <c r="G501" s="0" t="s">
        <v>184</v>
      </c>
      <c r="H501" s="0" t="s">
        <v>7713</v>
      </c>
      <c r="I501" s="0" t="s">
        <v>7338</v>
      </c>
      <c r="J501" s="0" t="s">
        <v>1602</v>
      </c>
      <c r="K501" s="0" t="s">
        <v>7339</v>
      </c>
      <c r="L501" s="0" t="s">
        <v>7340</v>
      </c>
      <c r="M501" s="0" t="s">
        <v>7661</v>
      </c>
      <c r="N501" s="0" t="s">
        <v>7342</v>
      </c>
      <c r="P501" s="0" t="s">
        <v>229</v>
      </c>
      <c r="Q501" s="0" t="s">
        <v>7354</v>
      </c>
      <c r="R501" s="0" t="s">
        <v>7343</v>
      </c>
      <c r="S501" s="0" t="s">
        <v>7344</v>
      </c>
      <c r="T501" s="0" t="s">
        <v>228</v>
      </c>
      <c r="V501" s="0" t="s">
        <v>86</v>
      </c>
      <c r="W501" s="0" t="s">
        <v>88</v>
      </c>
      <c r="X501" s="0" t="s">
        <v>7355</v>
      </c>
      <c r="Z501" s="0" t="s">
        <v>7662</v>
      </c>
      <c r="AB501" s="0" t="s">
        <v>237</v>
      </c>
      <c r="AC501" s="0" t="s">
        <v>7629</v>
      </c>
      <c r="AD501" s="0" t="s">
        <v>7663</v>
      </c>
      <c r="AE501" s="0" t="s">
        <v>7360</v>
      </c>
      <c r="AF501" s="0" t="s">
        <v>7361</v>
      </c>
      <c r="AG501" s="0" t="s">
        <v>230</v>
      </c>
    </row>
    <row r="502" customFormat="false" ht="15" hidden="false" customHeight="false" outlineLevel="0" collapsed="false">
      <c r="A502" s="0" t="s">
        <v>7336</v>
      </c>
      <c r="B502" s="0" t="s">
        <v>2016</v>
      </c>
      <c r="C502" s="0" t="s">
        <v>2017</v>
      </c>
      <c r="D502" s="0" t="s">
        <v>227</v>
      </c>
      <c r="E502" s="0" t="s">
        <v>2018</v>
      </c>
      <c r="F502" s="0" t="s">
        <v>2005</v>
      </c>
      <c r="G502" s="0" t="s">
        <v>184</v>
      </c>
      <c r="H502" s="0" t="s">
        <v>7712</v>
      </c>
      <c r="I502" s="0" t="s">
        <v>7338</v>
      </c>
      <c r="J502" s="0" t="s">
        <v>1602</v>
      </c>
      <c r="K502" s="0" t="s">
        <v>7339</v>
      </c>
      <c r="L502" s="0" t="s">
        <v>7340</v>
      </c>
      <c r="M502" s="0" t="s">
        <v>7661</v>
      </c>
      <c r="N502" s="0" t="s">
        <v>7342</v>
      </c>
      <c r="P502" s="0" t="s">
        <v>229</v>
      </c>
      <c r="Q502" s="0" t="s">
        <v>7354</v>
      </c>
      <c r="R502" s="0" t="s">
        <v>7343</v>
      </c>
      <c r="S502" s="0" t="s">
        <v>7344</v>
      </c>
      <c r="T502" s="0" t="s">
        <v>228</v>
      </c>
      <c r="V502" s="0" t="s">
        <v>86</v>
      </c>
      <c r="W502" s="0" t="s">
        <v>88</v>
      </c>
      <c r="X502" s="0" t="s">
        <v>7355</v>
      </c>
      <c r="Z502" s="0" t="s">
        <v>7662</v>
      </c>
      <c r="AB502" s="0" t="s">
        <v>237</v>
      </c>
      <c r="AC502" s="0" t="s">
        <v>7629</v>
      </c>
      <c r="AD502" s="0" t="s">
        <v>7663</v>
      </c>
      <c r="AE502" s="0" t="s">
        <v>7360</v>
      </c>
      <c r="AF502" s="0" t="s">
        <v>7361</v>
      </c>
      <c r="AG502" s="0" t="s">
        <v>230</v>
      </c>
    </row>
    <row r="503" customFormat="false" ht="15" hidden="false" customHeight="false" outlineLevel="0" collapsed="false">
      <c r="A503" s="0" t="s">
        <v>7336</v>
      </c>
      <c r="B503" s="0" t="s">
        <v>2019</v>
      </c>
      <c r="C503" s="0" t="s">
        <v>2020</v>
      </c>
      <c r="D503" s="0" t="s">
        <v>227</v>
      </c>
      <c r="E503" s="0" t="s">
        <v>2021</v>
      </c>
      <c r="F503" s="0" t="s">
        <v>2005</v>
      </c>
      <c r="G503" s="0" t="s">
        <v>184</v>
      </c>
      <c r="H503" s="0" t="s">
        <v>7712</v>
      </c>
      <c r="I503" s="0" t="s">
        <v>7338</v>
      </c>
      <c r="J503" s="0" t="s">
        <v>1602</v>
      </c>
      <c r="K503" s="0" t="s">
        <v>7339</v>
      </c>
      <c r="L503" s="0" t="s">
        <v>7340</v>
      </c>
      <c r="M503" s="0" t="s">
        <v>7661</v>
      </c>
      <c r="N503" s="0" t="s">
        <v>7342</v>
      </c>
      <c r="P503" s="0" t="s">
        <v>229</v>
      </c>
      <c r="Q503" s="0" t="s">
        <v>7354</v>
      </c>
      <c r="R503" s="0" t="s">
        <v>7343</v>
      </c>
      <c r="S503" s="0" t="s">
        <v>7344</v>
      </c>
      <c r="T503" s="0" t="s">
        <v>228</v>
      </c>
      <c r="V503" s="0" t="s">
        <v>86</v>
      </c>
      <c r="W503" s="0" t="s">
        <v>88</v>
      </c>
      <c r="X503" s="0" t="s">
        <v>7355</v>
      </c>
      <c r="Z503" s="0" t="s">
        <v>7662</v>
      </c>
      <c r="AB503" s="0" t="s">
        <v>237</v>
      </c>
      <c r="AC503" s="0" t="s">
        <v>7629</v>
      </c>
      <c r="AD503" s="0" t="s">
        <v>7663</v>
      </c>
      <c r="AE503" s="0" t="s">
        <v>7360</v>
      </c>
      <c r="AF503" s="0" t="s">
        <v>7361</v>
      </c>
      <c r="AG503" s="0" t="s">
        <v>230</v>
      </c>
    </row>
    <row r="504" customFormat="false" ht="15" hidden="false" customHeight="false" outlineLevel="0" collapsed="false">
      <c r="A504" s="0" t="s">
        <v>7336</v>
      </c>
      <c r="B504" s="0" t="s">
        <v>2022</v>
      </c>
      <c r="C504" s="0" t="s">
        <v>2023</v>
      </c>
      <c r="D504" s="0" t="s">
        <v>227</v>
      </c>
      <c r="E504" s="0" t="s">
        <v>2024</v>
      </c>
      <c r="F504" s="0" t="s">
        <v>2005</v>
      </c>
      <c r="G504" s="0" t="s">
        <v>184</v>
      </c>
      <c r="H504" s="0" t="s">
        <v>7712</v>
      </c>
      <c r="I504" s="0" t="s">
        <v>7338</v>
      </c>
      <c r="J504" s="0" t="s">
        <v>1602</v>
      </c>
      <c r="K504" s="0" t="s">
        <v>7339</v>
      </c>
      <c r="L504" s="0" t="s">
        <v>7340</v>
      </c>
      <c r="M504" s="0" t="s">
        <v>7661</v>
      </c>
      <c r="N504" s="0" t="s">
        <v>7342</v>
      </c>
      <c r="P504" s="0" t="s">
        <v>229</v>
      </c>
      <c r="Q504" s="0" t="s">
        <v>7354</v>
      </c>
      <c r="R504" s="0" t="s">
        <v>7343</v>
      </c>
      <c r="S504" s="0" t="s">
        <v>7344</v>
      </c>
      <c r="T504" s="0" t="s">
        <v>228</v>
      </c>
      <c r="V504" s="0" t="s">
        <v>86</v>
      </c>
      <c r="W504" s="0" t="s">
        <v>88</v>
      </c>
      <c r="X504" s="0" t="s">
        <v>7355</v>
      </c>
      <c r="Z504" s="0" t="s">
        <v>7662</v>
      </c>
      <c r="AB504" s="0" t="s">
        <v>237</v>
      </c>
      <c r="AC504" s="0" t="s">
        <v>7629</v>
      </c>
      <c r="AD504" s="0" t="s">
        <v>7663</v>
      </c>
      <c r="AE504" s="0" t="s">
        <v>7360</v>
      </c>
      <c r="AF504" s="0" t="s">
        <v>7361</v>
      </c>
      <c r="AG504" s="0" t="s">
        <v>230</v>
      </c>
    </row>
    <row r="505" customFormat="false" ht="15" hidden="false" customHeight="false" outlineLevel="0" collapsed="false">
      <c r="A505" s="0" t="s">
        <v>7336</v>
      </c>
      <c r="B505" s="0" t="s">
        <v>2025</v>
      </c>
      <c r="C505" s="0" t="s">
        <v>2026</v>
      </c>
      <c r="D505" s="0" t="s">
        <v>227</v>
      </c>
      <c r="E505" s="0" t="s">
        <v>2027</v>
      </c>
      <c r="F505" s="0" t="s">
        <v>2028</v>
      </c>
      <c r="G505" s="0" t="s">
        <v>184</v>
      </c>
      <c r="H505" s="0" t="s">
        <v>7714</v>
      </c>
      <c r="I505" s="0" t="s">
        <v>7338</v>
      </c>
      <c r="J505" s="0" t="s">
        <v>1602</v>
      </c>
      <c r="K505" s="0" t="s">
        <v>7339</v>
      </c>
      <c r="L505" s="0" t="s">
        <v>7340</v>
      </c>
      <c r="M505" s="0" t="s">
        <v>7661</v>
      </c>
      <c r="N505" s="0" t="s">
        <v>7342</v>
      </c>
      <c r="P505" s="0" t="s">
        <v>229</v>
      </c>
      <c r="Q505" s="0" t="s">
        <v>7354</v>
      </c>
      <c r="R505" s="0" t="s">
        <v>7343</v>
      </c>
      <c r="S505" s="0" t="s">
        <v>7344</v>
      </c>
      <c r="T505" s="0" t="s">
        <v>228</v>
      </c>
      <c r="V505" s="0" t="s">
        <v>86</v>
      </c>
      <c r="W505" s="0" t="s">
        <v>88</v>
      </c>
      <c r="X505" s="0" t="s">
        <v>7355</v>
      </c>
      <c r="Z505" s="0" t="s">
        <v>7662</v>
      </c>
      <c r="AB505" s="0" t="s">
        <v>237</v>
      </c>
      <c r="AC505" s="0" t="s">
        <v>7629</v>
      </c>
      <c r="AD505" s="0" t="s">
        <v>7663</v>
      </c>
      <c r="AE505" s="0" t="s">
        <v>7360</v>
      </c>
      <c r="AF505" s="0" t="s">
        <v>7361</v>
      </c>
      <c r="AG505" s="0" t="s">
        <v>230</v>
      </c>
    </row>
    <row r="506" customFormat="false" ht="15" hidden="false" customHeight="false" outlineLevel="0" collapsed="false">
      <c r="A506" s="0" t="s">
        <v>7336</v>
      </c>
      <c r="B506" s="0" t="s">
        <v>2029</v>
      </c>
      <c r="C506" s="0" t="s">
        <v>2030</v>
      </c>
      <c r="D506" s="0" t="s">
        <v>227</v>
      </c>
      <c r="E506" s="0" t="s">
        <v>2031</v>
      </c>
      <c r="F506" s="0" t="s">
        <v>2005</v>
      </c>
      <c r="G506" s="0" t="s">
        <v>184</v>
      </c>
      <c r="H506" s="0" t="s">
        <v>7712</v>
      </c>
      <c r="I506" s="0" t="s">
        <v>7338</v>
      </c>
      <c r="J506" s="0" t="s">
        <v>1602</v>
      </c>
      <c r="K506" s="0" t="s">
        <v>7339</v>
      </c>
      <c r="L506" s="0" t="s">
        <v>7340</v>
      </c>
      <c r="M506" s="0" t="s">
        <v>7661</v>
      </c>
      <c r="N506" s="0" t="s">
        <v>7342</v>
      </c>
      <c r="P506" s="0" t="s">
        <v>229</v>
      </c>
      <c r="Q506" s="0" t="s">
        <v>7354</v>
      </c>
      <c r="R506" s="0" t="s">
        <v>7343</v>
      </c>
      <c r="S506" s="0" t="s">
        <v>7344</v>
      </c>
      <c r="T506" s="0" t="s">
        <v>228</v>
      </c>
      <c r="V506" s="0" t="s">
        <v>1358</v>
      </c>
      <c r="W506" s="0" t="s">
        <v>72</v>
      </c>
      <c r="X506" s="0" t="s">
        <v>7355</v>
      </c>
      <c r="AB506" s="0" t="s">
        <v>237</v>
      </c>
      <c r="AC506" s="0" t="s">
        <v>7629</v>
      </c>
      <c r="AD506" s="0" t="s">
        <v>7715</v>
      </c>
      <c r="AE506" s="0" t="s">
        <v>7360</v>
      </c>
      <c r="AF506" s="0" t="s">
        <v>7361</v>
      </c>
      <c r="AG506" s="0" t="s">
        <v>230</v>
      </c>
    </row>
    <row r="507" customFormat="false" ht="15" hidden="false" customHeight="false" outlineLevel="0" collapsed="false">
      <c r="A507" s="0" t="s">
        <v>7336</v>
      </c>
      <c r="B507" s="0" t="s">
        <v>2032</v>
      </c>
      <c r="C507" s="0" t="s">
        <v>2033</v>
      </c>
      <c r="D507" s="0" t="s">
        <v>227</v>
      </c>
      <c r="E507" s="0" t="s">
        <v>2034</v>
      </c>
      <c r="F507" s="0" t="s">
        <v>2012</v>
      </c>
      <c r="G507" s="0" t="s">
        <v>184</v>
      </c>
      <c r="H507" s="0" t="s">
        <v>7713</v>
      </c>
      <c r="I507" s="0" t="s">
        <v>7338</v>
      </c>
      <c r="J507" s="0" t="s">
        <v>1602</v>
      </c>
      <c r="K507" s="0" t="s">
        <v>7339</v>
      </c>
      <c r="L507" s="0" t="s">
        <v>7340</v>
      </c>
      <c r="M507" s="0" t="s">
        <v>7661</v>
      </c>
      <c r="N507" s="0" t="s">
        <v>7342</v>
      </c>
      <c r="P507" s="0" t="s">
        <v>229</v>
      </c>
      <c r="Q507" s="0" t="s">
        <v>7354</v>
      </c>
      <c r="R507" s="0" t="s">
        <v>7343</v>
      </c>
      <c r="S507" s="0" t="s">
        <v>7344</v>
      </c>
      <c r="T507" s="0" t="s">
        <v>228</v>
      </c>
      <c r="V507" s="0" t="s">
        <v>86</v>
      </c>
      <c r="W507" s="0" t="s">
        <v>88</v>
      </c>
      <c r="X507" s="0" t="s">
        <v>7355</v>
      </c>
      <c r="Z507" s="0" t="s">
        <v>7662</v>
      </c>
      <c r="AB507" s="0" t="s">
        <v>237</v>
      </c>
      <c r="AC507" s="0" t="s">
        <v>7629</v>
      </c>
      <c r="AD507" s="0" t="s">
        <v>7663</v>
      </c>
      <c r="AE507" s="0" t="s">
        <v>7360</v>
      </c>
      <c r="AF507" s="0" t="s">
        <v>7361</v>
      </c>
      <c r="AG507" s="0" t="s">
        <v>230</v>
      </c>
    </row>
    <row r="508" customFormat="false" ht="15" hidden="false" customHeight="false" outlineLevel="0" collapsed="false">
      <c r="A508" s="0" t="s">
        <v>7336</v>
      </c>
      <c r="B508" s="0" t="s">
        <v>2035</v>
      </c>
      <c r="C508" s="0" t="s">
        <v>2036</v>
      </c>
      <c r="D508" s="0" t="s">
        <v>227</v>
      </c>
      <c r="E508" s="0" t="s">
        <v>2037</v>
      </c>
      <c r="F508" s="0" t="s">
        <v>2012</v>
      </c>
      <c r="G508" s="0" t="s">
        <v>184</v>
      </c>
      <c r="H508" s="0" t="s">
        <v>7713</v>
      </c>
      <c r="I508" s="0" t="s">
        <v>7338</v>
      </c>
      <c r="J508" s="0" t="s">
        <v>1602</v>
      </c>
      <c r="K508" s="0" t="s">
        <v>7339</v>
      </c>
      <c r="L508" s="0" t="s">
        <v>7340</v>
      </c>
      <c r="M508" s="0" t="s">
        <v>7661</v>
      </c>
      <c r="N508" s="0" t="s">
        <v>7342</v>
      </c>
      <c r="P508" s="0" t="s">
        <v>229</v>
      </c>
      <c r="Q508" s="0" t="s">
        <v>7354</v>
      </c>
      <c r="R508" s="0" t="s">
        <v>7343</v>
      </c>
      <c r="S508" s="0" t="s">
        <v>7344</v>
      </c>
      <c r="T508" s="0" t="s">
        <v>228</v>
      </c>
      <c r="V508" s="0" t="s">
        <v>86</v>
      </c>
      <c r="W508" s="0" t="s">
        <v>88</v>
      </c>
      <c r="X508" s="0" t="s">
        <v>7355</v>
      </c>
      <c r="Z508" s="0" t="s">
        <v>7662</v>
      </c>
      <c r="AB508" s="0" t="s">
        <v>237</v>
      </c>
      <c r="AC508" s="0" t="s">
        <v>7629</v>
      </c>
      <c r="AD508" s="0" t="s">
        <v>7663</v>
      </c>
      <c r="AE508" s="0" t="s">
        <v>7360</v>
      </c>
      <c r="AF508" s="0" t="s">
        <v>7361</v>
      </c>
      <c r="AG508" s="0" t="s">
        <v>230</v>
      </c>
    </row>
    <row r="509" customFormat="false" ht="15" hidden="false" customHeight="false" outlineLevel="0" collapsed="false">
      <c r="A509" s="0" t="s">
        <v>7336</v>
      </c>
      <c r="B509" s="0" t="s">
        <v>2038</v>
      </c>
      <c r="C509" s="0" t="s">
        <v>2039</v>
      </c>
      <c r="D509" s="0" t="s">
        <v>227</v>
      </c>
      <c r="E509" s="0" t="s">
        <v>2040</v>
      </c>
      <c r="F509" s="0" t="s">
        <v>2041</v>
      </c>
      <c r="G509" s="0" t="s">
        <v>184</v>
      </c>
      <c r="H509" s="0" t="s">
        <v>7716</v>
      </c>
      <c r="I509" s="0" t="s">
        <v>7338</v>
      </c>
      <c r="J509" s="0" t="s">
        <v>1602</v>
      </c>
      <c r="K509" s="0" t="s">
        <v>7339</v>
      </c>
      <c r="L509" s="0" t="s">
        <v>7340</v>
      </c>
      <c r="M509" s="0" t="s">
        <v>7661</v>
      </c>
      <c r="N509" s="0" t="s">
        <v>7342</v>
      </c>
      <c r="P509" s="0" t="s">
        <v>229</v>
      </c>
      <c r="Q509" s="0" t="s">
        <v>7354</v>
      </c>
      <c r="R509" s="0" t="s">
        <v>7343</v>
      </c>
      <c r="S509" s="0" t="s">
        <v>7344</v>
      </c>
      <c r="T509" s="0" t="s">
        <v>228</v>
      </c>
      <c r="V509" s="0" t="s">
        <v>34</v>
      </c>
      <c r="W509" s="0" t="s">
        <v>41</v>
      </c>
      <c r="X509" s="0" t="s">
        <v>7355</v>
      </c>
      <c r="Y509" s="0" t="s">
        <v>7409</v>
      </c>
      <c r="Z509" s="0" t="s">
        <v>7410</v>
      </c>
      <c r="AA509" s="0" t="s">
        <v>7411</v>
      </c>
      <c r="AB509" s="0" t="s">
        <v>1663</v>
      </c>
      <c r="AC509" s="0" t="s">
        <v>7629</v>
      </c>
      <c r="AD509" s="0" t="s">
        <v>7692</v>
      </c>
      <c r="AE509" s="0" t="s">
        <v>7360</v>
      </c>
      <c r="AF509" s="0" t="s">
        <v>7361</v>
      </c>
      <c r="AG509" s="0" t="s">
        <v>230</v>
      </c>
    </row>
    <row r="510" customFormat="false" ht="15" hidden="false" customHeight="false" outlineLevel="0" collapsed="false">
      <c r="A510" s="0" t="s">
        <v>7336</v>
      </c>
      <c r="B510" s="0" t="s">
        <v>2042</v>
      </c>
      <c r="C510" s="0" t="s">
        <v>2043</v>
      </c>
      <c r="D510" s="0" t="s">
        <v>227</v>
      </c>
      <c r="E510" s="0" t="s">
        <v>2044</v>
      </c>
      <c r="F510" s="0" t="s">
        <v>2041</v>
      </c>
      <c r="G510" s="0" t="s">
        <v>184</v>
      </c>
      <c r="H510" s="0" t="s">
        <v>7716</v>
      </c>
      <c r="I510" s="0" t="s">
        <v>7338</v>
      </c>
      <c r="J510" s="0" t="s">
        <v>1602</v>
      </c>
      <c r="K510" s="0" t="s">
        <v>7339</v>
      </c>
      <c r="L510" s="0" t="s">
        <v>7340</v>
      </c>
      <c r="M510" s="0" t="s">
        <v>7661</v>
      </c>
      <c r="N510" s="0" t="s">
        <v>7342</v>
      </c>
      <c r="P510" s="0" t="s">
        <v>229</v>
      </c>
      <c r="Q510" s="0" t="s">
        <v>7354</v>
      </c>
      <c r="R510" s="0" t="s">
        <v>7343</v>
      </c>
      <c r="S510" s="0" t="s">
        <v>7344</v>
      </c>
      <c r="T510" s="0" t="s">
        <v>58</v>
      </c>
      <c r="V510" s="0" t="s">
        <v>55</v>
      </c>
      <c r="W510" s="0" t="s">
        <v>57</v>
      </c>
      <c r="X510" s="0" t="s">
        <v>7355</v>
      </c>
      <c r="Y510" s="0" t="s">
        <v>7667</v>
      </c>
      <c r="Z510" s="0" t="s">
        <v>7668</v>
      </c>
      <c r="AA510" s="0" t="s">
        <v>7669</v>
      </c>
      <c r="AB510" s="0" t="s">
        <v>237</v>
      </c>
      <c r="AC510" s="0" t="s">
        <v>7629</v>
      </c>
      <c r="AE510" s="0" t="s">
        <v>7360</v>
      </c>
      <c r="AF510" s="0" t="s">
        <v>7361</v>
      </c>
      <c r="AG510" s="0" t="s">
        <v>230</v>
      </c>
    </row>
    <row r="511" customFormat="false" ht="15" hidden="false" customHeight="false" outlineLevel="0" collapsed="false">
      <c r="A511" s="0" t="s">
        <v>7336</v>
      </c>
      <c r="B511" s="0" t="s">
        <v>2045</v>
      </c>
      <c r="C511" s="0" t="s">
        <v>2046</v>
      </c>
      <c r="D511" s="0" t="s">
        <v>227</v>
      </c>
      <c r="E511" s="0" t="s">
        <v>2047</v>
      </c>
      <c r="F511" s="0" t="s">
        <v>2048</v>
      </c>
      <c r="G511" s="0" t="s">
        <v>184</v>
      </c>
      <c r="H511" s="0" t="s">
        <v>7717</v>
      </c>
      <c r="I511" s="0" t="s">
        <v>7338</v>
      </c>
      <c r="J511" s="0" t="s">
        <v>1602</v>
      </c>
      <c r="K511" s="0" t="s">
        <v>7339</v>
      </c>
      <c r="L511" s="0" t="s">
        <v>7340</v>
      </c>
      <c r="M511" s="0" t="s">
        <v>7661</v>
      </c>
      <c r="N511" s="0" t="s">
        <v>7342</v>
      </c>
      <c r="P511" s="0" t="s">
        <v>229</v>
      </c>
      <c r="Q511" s="0" t="s">
        <v>7354</v>
      </c>
      <c r="R511" s="0" t="s">
        <v>7343</v>
      </c>
      <c r="S511" s="0" t="s">
        <v>7344</v>
      </c>
      <c r="T511" s="0" t="s">
        <v>228</v>
      </c>
      <c r="V511" s="0" t="s">
        <v>34</v>
      </c>
      <c r="W511" s="0" t="s">
        <v>41</v>
      </c>
      <c r="X511" s="0" t="s">
        <v>7355</v>
      </c>
      <c r="Y511" s="0" t="s">
        <v>7409</v>
      </c>
      <c r="Z511" s="0" t="s">
        <v>7410</v>
      </c>
      <c r="AA511" s="0" t="s">
        <v>7411</v>
      </c>
      <c r="AB511" s="0" t="s">
        <v>1663</v>
      </c>
      <c r="AC511" s="0" t="s">
        <v>7629</v>
      </c>
      <c r="AD511" s="0" t="s">
        <v>7692</v>
      </c>
      <c r="AE511" s="0" t="s">
        <v>7360</v>
      </c>
      <c r="AF511" s="0" t="s">
        <v>7361</v>
      </c>
      <c r="AG511" s="0" t="s">
        <v>230</v>
      </c>
    </row>
    <row r="512" customFormat="false" ht="15" hidden="false" customHeight="false" outlineLevel="0" collapsed="false">
      <c r="A512" s="0" t="s">
        <v>7336</v>
      </c>
      <c r="B512" s="0" t="s">
        <v>2049</v>
      </c>
      <c r="C512" s="0" t="s">
        <v>2050</v>
      </c>
      <c r="D512" s="0" t="s">
        <v>227</v>
      </c>
      <c r="E512" s="0" t="s">
        <v>2051</v>
      </c>
      <c r="F512" s="0" t="s">
        <v>2048</v>
      </c>
      <c r="G512" s="0" t="s">
        <v>184</v>
      </c>
      <c r="H512" s="0" t="s">
        <v>7717</v>
      </c>
      <c r="I512" s="0" t="s">
        <v>7338</v>
      </c>
      <c r="J512" s="0" t="s">
        <v>1602</v>
      </c>
      <c r="K512" s="0" t="s">
        <v>7339</v>
      </c>
      <c r="L512" s="0" t="s">
        <v>7340</v>
      </c>
      <c r="M512" s="0" t="s">
        <v>7661</v>
      </c>
      <c r="N512" s="0" t="s">
        <v>7342</v>
      </c>
      <c r="P512" s="0" t="s">
        <v>229</v>
      </c>
      <c r="Q512" s="0" t="s">
        <v>7354</v>
      </c>
      <c r="R512" s="0" t="s">
        <v>7343</v>
      </c>
      <c r="S512" s="0" t="s">
        <v>7344</v>
      </c>
      <c r="T512" s="0" t="s">
        <v>58</v>
      </c>
      <c r="V512" s="0" t="s">
        <v>55</v>
      </c>
      <c r="W512" s="0" t="s">
        <v>57</v>
      </c>
      <c r="X512" s="0" t="s">
        <v>7355</v>
      </c>
      <c r="Y512" s="0" t="s">
        <v>7667</v>
      </c>
      <c r="Z512" s="0" t="s">
        <v>7668</v>
      </c>
      <c r="AA512" s="0" t="s">
        <v>7669</v>
      </c>
      <c r="AB512" s="0" t="s">
        <v>237</v>
      </c>
      <c r="AC512" s="0" t="s">
        <v>7629</v>
      </c>
      <c r="AE512" s="0" t="s">
        <v>7360</v>
      </c>
      <c r="AF512" s="0" t="s">
        <v>7361</v>
      </c>
      <c r="AG512" s="0" t="s">
        <v>230</v>
      </c>
    </row>
    <row r="513" customFormat="false" ht="15" hidden="false" customHeight="false" outlineLevel="0" collapsed="false">
      <c r="A513" s="0" t="s">
        <v>7336</v>
      </c>
      <c r="B513" s="0" t="s">
        <v>2052</v>
      </c>
      <c r="C513" s="0" t="s">
        <v>2053</v>
      </c>
      <c r="D513" s="0" t="s">
        <v>227</v>
      </c>
      <c r="E513" s="0" t="s">
        <v>2054</v>
      </c>
      <c r="F513" s="0" t="s">
        <v>2055</v>
      </c>
      <c r="G513" s="0" t="s">
        <v>184</v>
      </c>
      <c r="H513" s="0" t="s">
        <v>7718</v>
      </c>
      <c r="I513" s="0" t="s">
        <v>7338</v>
      </c>
      <c r="J513" s="0" t="s">
        <v>1602</v>
      </c>
      <c r="K513" s="0" t="s">
        <v>7339</v>
      </c>
      <c r="L513" s="0" t="s">
        <v>7340</v>
      </c>
      <c r="M513" s="0" t="s">
        <v>7661</v>
      </c>
      <c r="N513" s="0" t="s">
        <v>7342</v>
      </c>
      <c r="P513" s="0" t="s">
        <v>229</v>
      </c>
      <c r="Q513" s="0" t="s">
        <v>7354</v>
      </c>
      <c r="R513" s="0" t="s">
        <v>7343</v>
      </c>
      <c r="S513" s="0" t="s">
        <v>7344</v>
      </c>
      <c r="T513" s="0" t="s">
        <v>228</v>
      </c>
      <c r="V513" s="0" t="s">
        <v>34</v>
      </c>
      <c r="W513" s="0" t="s">
        <v>41</v>
      </c>
      <c r="X513" s="0" t="s">
        <v>7355</v>
      </c>
      <c r="Y513" s="0" t="s">
        <v>7409</v>
      </c>
      <c r="Z513" s="0" t="s">
        <v>7410</v>
      </c>
      <c r="AA513" s="0" t="s">
        <v>7411</v>
      </c>
      <c r="AB513" s="0" t="s">
        <v>1663</v>
      </c>
      <c r="AC513" s="0" t="s">
        <v>7629</v>
      </c>
      <c r="AD513" s="0" t="s">
        <v>7692</v>
      </c>
      <c r="AE513" s="0" t="s">
        <v>7360</v>
      </c>
      <c r="AF513" s="0" t="s">
        <v>7361</v>
      </c>
      <c r="AG513" s="0" t="s">
        <v>230</v>
      </c>
    </row>
    <row r="514" customFormat="false" ht="15" hidden="false" customHeight="false" outlineLevel="0" collapsed="false">
      <c r="A514" s="0" t="s">
        <v>7336</v>
      </c>
      <c r="B514" s="0" t="s">
        <v>2056</v>
      </c>
      <c r="C514" s="0" t="s">
        <v>2057</v>
      </c>
      <c r="D514" s="0" t="s">
        <v>227</v>
      </c>
      <c r="E514" s="0" t="s">
        <v>2058</v>
      </c>
      <c r="F514" s="0" t="s">
        <v>2055</v>
      </c>
      <c r="G514" s="0" t="s">
        <v>184</v>
      </c>
      <c r="H514" s="0" t="s">
        <v>7718</v>
      </c>
      <c r="I514" s="0" t="s">
        <v>7338</v>
      </c>
      <c r="J514" s="0" t="s">
        <v>1602</v>
      </c>
      <c r="K514" s="0" t="s">
        <v>7339</v>
      </c>
      <c r="L514" s="0" t="s">
        <v>7340</v>
      </c>
      <c r="M514" s="0" t="s">
        <v>7661</v>
      </c>
      <c r="N514" s="0" t="s">
        <v>7342</v>
      </c>
      <c r="P514" s="0" t="s">
        <v>229</v>
      </c>
      <c r="Q514" s="0" t="s">
        <v>7354</v>
      </c>
      <c r="R514" s="0" t="s">
        <v>7343</v>
      </c>
      <c r="S514" s="0" t="s">
        <v>7344</v>
      </c>
      <c r="T514" s="0" t="s">
        <v>58</v>
      </c>
      <c r="V514" s="0" t="s">
        <v>55</v>
      </c>
      <c r="W514" s="0" t="s">
        <v>57</v>
      </c>
      <c r="X514" s="0" t="s">
        <v>7355</v>
      </c>
      <c r="Y514" s="0" t="s">
        <v>7667</v>
      </c>
      <c r="Z514" s="0" t="s">
        <v>7668</v>
      </c>
      <c r="AA514" s="0" t="s">
        <v>7669</v>
      </c>
      <c r="AB514" s="0" t="s">
        <v>237</v>
      </c>
      <c r="AC514" s="0" t="s">
        <v>7629</v>
      </c>
      <c r="AE514" s="0" t="s">
        <v>7360</v>
      </c>
      <c r="AF514" s="0" t="s">
        <v>7361</v>
      </c>
      <c r="AG514" s="0" t="s">
        <v>230</v>
      </c>
    </row>
    <row r="515" customFormat="false" ht="15" hidden="false" customHeight="false" outlineLevel="0" collapsed="false">
      <c r="A515" s="0" t="s">
        <v>7336</v>
      </c>
      <c r="B515" s="0" t="s">
        <v>2059</v>
      </c>
      <c r="C515" s="0" t="s">
        <v>2060</v>
      </c>
      <c r="D515" s="0" t="s">
        <v>227</v>
      </c>
      <c r="E515" s="0" t="s">
        <v>2061</v>
      </c>
      <c r="F515" s="0" t="s">
        <v>2062</v>
      </c>
      <c r="G515" s="0" t="s">
        <v>184</v>
      </c>
      <c r="H515" s="0" t="s">
        <v>7719</v>
      </c>
      <c r="I515" s="0" t="s">
        <v>7338</v>
      </c>
      <c r="J515" s="0" t="s">
        <v>1602</v>
      </c>
      <c r="K515" s="0" t="s">
        <v>7339</v>
      </c>
      <c r="L515" s="0" t="s">
        <v>7340</v>
      </c>
      <c r="M515" s="0" t="s">
        <v>7661</v>
      </c>
      <c r="N515" s="0" t="s">
        <v>7342</v>
      </c>
      <c r="P515" s="0" t="s">
        <v>229</v>
      </c>
      <c r="Q515" s="0" t="s">
        <v>7354</v>
      </c>
      <c r="R515" s="0" t="s">
        <v>7343</v>
      </c>
      <c r="S515" s="0" t="s">
        <v>7344</v>
      </c>
      <c r="T515" s="0" t="s">
        <v>228</v>
      </c>
      <c r="V515" s="0" t="s">
        <v>34</v>
      </c>
      <c r="W515" s="0" t="s">
        <v>41</v>
      </c>
      <c r="X515" s="0" t="s">
        <v>7355</v>
      </c>
      <c r="Y515" s="0" t="s">
        <v>7409</v>
      </c>
      <c r="Z515" s="0" t="s">
        <v>7410</v>
      </c>
      <c r="AA515" s="0" t="s">
        <v>7411</v>
      </c>
      <c r="AB515" s="0" t="s">
        <v>1663</v>
      </c>
      <c r="AC515" s="0" t="s">
        <v>7629</v>
      </c>
      <c r="AD515" s="0" t="s">
        <v>7692</v>
      </c>
      <c r="AE515" s="0" t="s">
        <v>7360</v>
      </c>
      <c r="AF515" s="0" t="s">
        <v>7361</v>
      </c>
      <c r="AG515" s="0" t="s">
        <v>230</v>
      </c>
    </row>
    <row r="516" customFormat="false" ht="15" hidden="false" customHeight="false" outlineLevel="0" collapsed="false">
      <c r="A516" s="0" t="s">
        <v>7336</v>
      </c>
      <c r="B516" s="0" t="s">
        <v>2063</v>
      </c>
      <c r="C516" s="0" t="s">
        <v>2064</v>
      </c>
      <c r="D516" s="0" t="s">
        <v>227</v>
      </c>
      <c r="E516" s="0" t="s">
        <v>2065</v>
      </c>
      <c r="F516" s="0" t="s">
        <v>2062</v>
      </c>
      <c r="G516" s="0" t="s">
        <v>184</v>
      </c>
      <c r="H516" s="0" t="s">
        <v>7719</v>
      </c>
      <c r="I516" s="0" t="s">
        <v>7338</v>
      </c>
      <c r="J516" s="0" t="s">
        <v>1602</v>
      </c>
      <c r="K516" s="0" t="s">
        <v>7339</v>
      </c>
      <c r="L516" s="0" t="s">
        <v>7340</v>
      </c>
      <c r="M516" s="0" t="s">
        <v>7661</v>
      </c>
      <c r="N516" s="0" t="s">
        <v>7342</v>
      </c>
      <c r="P516" s="0" t="s">
        <v>229</v>
      </c>
      <c r="Q516" s="0" t="s">
        <v>7354</v>
      </c>
      <c r="R516" s="0" t="s">
        <v>7343</v>
      </c>
      <c r="S516" s="0" t="s">
        <v>7344</v>
      </c>
      <c r="T516" s="0" t="s">
        <v>58</v>
      </c>
      <c r="V516" s="0" t="s">
        <v>55</v>
      </c>
      <c r="W516" s="0" t="s">
        <v>57</v>
      </c>
      <c r="X516" s="0" t="s">
        <v>7355</v>
      </c>
      <c r="Y516" s="0" t="s">
        <v>7667</v>
      </c>
      <c r="Z516" s="0" t="s">
        <v>7668</v>
      </c>
      <c r="AA516" s="0" t="s">
        <v>7669</v>
      </c>
      <c r="AB516" s="0" t="s">
        <v>237</v>
      </c>
      <c r="AC516" s="0" t="s">
        <v>7629</v>
      </c>
      <c r="AE516" s="0" t="s">
        <v>7360</v>
      </c>
      <c r="AF516" s="0" t="s">
        <v>7361</v>
      </c>
      <c r="AG516" s="0" t="s">
        <v>230</v>
      </c>
    </row>
    <row r="517" customFormat="false" ht="15" hidden="false" customHeight="false" outlineLevel="0" collapsed="false">
      <c r="A517" s="0" t="s">
        <v>7336</v>
      </c>
      <c r="B517" s="0" t="s">
        <v>2066</v>
      </c>
      <c r="C517" s="0" t="s">
        <v>2067</v>
      </c>
      <c r="D517" s="0" t="s">
        <v>227</v>
      </c>
      <c r="E517" s="0" t="s">
        <v>2068</v>
      </c>
      <c r="F517" s="0" t="s">
        <v>2069</v>
      </c>
      <c r="G517" s="0" t="s">
        <v>184</v>
      </c>
      <c r="H517" s="0" t="s">
        <v>7720</v>
      </c>
      <c r="I517" s="0" t="s">
        <v>7338</v>
      </c>
      <c r="J517" s="0" t="s">
        <v>1602</v>
      </c>
      <c r="K517" s="0" t="s">
        <v>7339</v>
      </c>
      <c r="L517" s="0" t="s">
        <v>7340</v>
      </c>
      <c r="M517" s="0" t="s">
        <v>7661</v>
      </c>
      <c r="N517" s="0" t="s">
        <v>7342</v>
      </c>
      <c r="P517" s="0" t="s">
        <v>229</v>
      </c>
      <c r="Q517" s="0" t="s">
        <v>7354</v>
      </c>
      <c r="R517" s="0" t="s">
        <v>7343</v>
      </c>
      <c r="S517" s="0" t="s">
        <v>7344</v>
      </c>
      <c r="T517" s="0" t="s">
        <v>228</v>
      </c>
      <c r="V517" s="0" t="s">
        <v>34</v>
      </c>
      <c r="W517" s="0" t="s">
        <v>41</v>
      </c>
      <c r="X517" s="0" t="s">
        <v>7355</v>
      </c>
      <c r="Y517" s="0" t="s">
        <v>7409</v>
      </c>
      <c r="Z517" s="0" t="s">
        <v>7410</v>
      </c>
      <c r="AA517" s="0" t="s">
        <v>7411</v>
      </c>
      <c r="AB517" s="0" t="s">
        <v>1663</v>
      </c>
      <c r="AC517" s="0" t="s">
        <v>7629</v>
      </c>
      <c r="AD517" s="0" t="s">
        <v>7692</v>
      </c>
      <c r="AE517" s="0" t="s">
        <v>7360</v>
      </c>
      <c r="AF517" s="0" t="s">
        <v>7361</v>
      </c>
      <c r="AG517" s="0" t="s">
        <v>230</v>
      </c>
    </row>
    <row r="518" customFormat="false" ht="15" hidden="false" customHeight="false" outlineLevel="0" collapsed="false">
      <c r="A518" s="0" t="s">
        <v>7336</v>
      </c>
      <c r="B518" s="0" t="s">
        <v>2070</v>
      </c>
      <c r="C518" s="0" t="s">
        <v>2071</v>
      </c>
      <c r="D518" s="0" t="s">
        <v>227</v>
      </c>
      <c r="E518" s="0" t="s">
        <v>2072</v>
      </c>
      <c r="F518" s="0" t="s">
        <v>2069</v>
      </c>
      <c r="G518" s="0" t="s">
        <v>184</v>
      </c>
      <c r="H518" s="0" t="s">
        <v>7720</v>
      </c>
      <c r="I518" s="0" t="s">
        <v>7338</v>
      </c>
      <c r="J518" s="0" t="s">
        <v>1602</v>
      </c>
      <c r="K518" s="0" t="s">
        <v>7339</v>
      </c>
      <c r="L518" s="0" t="s">
        <v>7340</v>
      </c>
      <c r="M518" s="0" t="s">
        <v>7661</v>
      </c>
      <c r="N518" s="0" t="s">
        <v>7342</v>
      </c>
      <c r="P518" s="0" t="s">
        <v>229</v>
      </c>
      <c r="Q518" s="0" t="s">
        <v>7354</v>
      </c>
      <c r="R518" s="0" t="s">
        <v>7343</v>
      </c>
      <c r="S518" s="0" t="s">
        <v>7344</v>
      </c>
      <c r="T518" s="0" t="s">
        <v>58</v>
      </c>
      <c r="V518" s="0" t="s">
        <v>55</v>
      </c>
      <c r="W518" s="0" t="s">
        <v>57</v>
      </c>
      <c r="X518" s="0" t="s">
        <v>7355</v>
      </c>
      <c r="Y518" s="0" t="s">
        <v>7667</v>
      </c>
      <c r="Z518" s="0" t="s">
        <v>7668</v>
      </c>
      <c r="AA518" s="0" t="s">
        <v>7669</v>
      </c>
      <c r="AB518" s="0" t="s">
        <v>237</v>
      </c>
      <c r="AC518" s="0" t="s">
        <v>7629</v>
      </c>
      <c r="AE518" s="0" t="s">
        <v>7360</v>
      </c>
      <c r="AF518" s="0" t="s">
        <v>7361</v>
      </c>
      <c r="AG518" s="0" t="s">
        <v>230</v>
      </c>
    </row>
    <row r="519" customFormat="false" ht="15" hidden="false" customHeight="false" outlineLevel="0" collapsed="false">
      <c r="A519" s="0" t="s">
        <v>7336</v>
      </c>
      <c r="B519" s="0" t="s">
        <v>2073</v>
      </c>
      <c r="C519" s="0" t="s">
        <v>2074</v>
      </c>
      <c r="D519" s="0" t="s">
        <v>227</v>
      </c>
      <c r="E519" s="0" t="s">
        <v>2075</v>
      </c>
      <c r="F519" s="0" t="s">
        <v>2076</v>
      </c>
      <c r="G519" s="0" t="s">
        <v>184</v>
      </c>
      <c r="H519" s="0" t="s">
        <v>7721</v>
      </c>
      <c r="I519" s="0" t="s">
        <v>7338</v>
      </c>
      <c r="J519" s="0" t="s">
        <v>1602</v>
      </c>
      <c r="K519" s="0" t="s">
        <v>7339</v>
      </c>
      <c r="L519" s="0" t="s">
        <v>7340</v>
      </c>
      <c r="M519" s="0" t="s">
        <v>7661</v>
      </c>
      <c r="N519" s="0" t="s">
        <v>7342</v>
      </c>
      <c r="P519" s="0" t="s">
        <v>229</v>
      </c>
      <c r="Q519" s="0" t="s">
        <v>7354</v>
      </c>
      <c r="R519" s="0" t="s">
        <v>7343</v>
      </c>
      <c r="S519" s="0" t="s">
        <v>7344</v>
      </c>
      <c r="T519" s="0" t="s">
        <v>228</v>
      </c>
      <c r="V519" s="0" t="s">
        <v>34</v>
      </c>
      <c r="W519" s="0" t="s">
        <v>41</v>
      </c>
      <c r="X519" s="0" t="s">
        <v>7355</v>
      </c>
      <c r="Y519" s="0" t="s">
        <v>7409</v>
      </c>
      <c r="Z519" s="0" t="s">
        <v>7410</v>
      </c>
      <c r="AA519" s="0" t="s">
        <v>7411</v>
      </c>
      <c r="AB519" s="0" t="s">
        <v>1663</v>
      </c>
      <c r="AC519" s="0" t="s">
        <v>7629</v>
      </c>
      <c r="AD519" s="0" t="s">
        <v>7692</v>
      </c>
      <c r="AE519" s="0" t="s">
        <v>7360</v>
      </c>
      <c r="AF519" s="0" t="s">
        <v>7361</v>
      </c>
      <c r="AG519" s="0" t="s">
        <v>230</v>
      </c>
    </row>
    <row r="520" customFormat="false" ht="15" hidden="false" customHeight="false" outlineLevel="0" collapsed="false">
      <c r="A520" s="0" t="s">
        <v>7336</v>
      </c>
      <c r="B520" s="0" t="s">
        <v>2077</v>
      </c>
      <c r="C520" s="0" t="s">
        <v>2078</v>
      </c>
      <c r="D520" s="0" t="s">
        <v>227</v>
      </c>
      <c r="E520" s="0" t="s">
        <v>2079</v>
      </c>
      <c r="F520" s="0" t="s">
        <v>2076</v>
      </c>
      <c r="G520" s="0" t="s">
        <v>184</v>
      </c>
      <c r="H520" s="0" t="s">
        <v>7721</v>
      </c>
      <c r="I520" s="0" t="s">
        <v>7338</v>
      </c>
      <c r="J520" s="0" t="s">
        <v>1602</v>
      </c>
      <c r="K520" s="0" t="s">
        <v>7339</v>
      </c>
      <c r="L520" s="0" t="s">
        <v>7340</v>
      </c>
      <c r="M520" s="0" t="s">
        <v>7661</v>
      </c>
      <c r="N520" s="0" t="s">
        <v>7342</v>
      </c>
      <c r="P520" s="0" t="s">
        <v>229</v>
      </c>
      <c r="Q520" s="0" t="s">
        <v>7354</v>
      </c>
      <c r="R520" s="0" t="s">
        <v>7343</v>
      </c>
      <c r="S520" s="0" t="s">
        <v>7344</v>
      </c>
      <c r="T520" s="0" t="s">
        <v>58</v>
      </c>
      <c r="V520" s="0" t="s">
        <v>55</v>
      </c>
      <c r="W520" s="0" t="s">
        <v>57</v>
      </c>
      <c r="X520" s="0" t="s">
        <v>7355</v>
      </c>
      <c r="Y520" s="0" t="s">
        <v>7667</v>
      </c>
      <c r="Z520" s="0" t="s">
        <v>7668</v>
      </c>
      <c r="AA520" s="0" t="s">
        <v>7669</v>
      </c>
      <c r="AB520" s="0" t="s">
        <v>237</v>
      </c>
      <c r="AC520" s="0" t="s">
        <v>7629</v>
      </c>
      <c r="AE520" s="0" t="s">
        <v>7360</v>
      </c>
      <c r="AF520" s="0" t="s">
        <v>7361</v>
      </c>
      <c r="AG520" s="0" t="s">
        <v>230</v>
      </c>
    </row>
    <row r="521" customFormat="false" ht="15" hidden="false" customHeight="false" outlineLevel="0" collapsed="false">
      <c r="A521" s="0" t="s">
        <v>7336</v>
      </c>
      <c r="B521" s="0" t="s">
        <v>2080</v>
      </c>
      <c r="C521" s="0" t="s">
        <v>2081</v>
      </c>
      <c r="D521" s="0" t="s">
        <v>227</v>
      </c>
      <c r="E521" s="0" t="s">
        <v>2082</v>
      </c>
      <c r="F521" s="0" t="s">
        <v>2083</v>
      </c>
      <c r="G521" s="0" t="s">
        <v>184</v>
      </c>
      <c r="H521" s="0" t="s">
        <v>7722</v>
      </c>
      <c r="I521" s="0" t="s">
        <v>7338</v>
      </c>
      <c r="J521" s="0" t="s">
        <v>1602</v>
      </c>
      <c r="K521" s="0" t="s">
        <v>7339</v>
      </c>
      <c r="L521" s="0" t="s">
        <v>7340</v>
      </c>
      <c r="M521" s="0" t="s">
        <v>7661</v>
      </c>
      <c r="N521" s="0" t="s">
        <v>7342</v>
      </c>
      <c r="P521" s="0" t="s">
        <v>229</v>
      </c>
      <c r="Q521" s="0" t="s">
        <v>7354</v>
      </c>
      <c r="R521" s="0" t="s">
        <v>7343</v>
      </c>
      <c r="S521" s="0" t="s">
        <v>7344</v>
      </c>
      <c r="T521" s="0" t="s">
        <v>228</v>
      </c>
      <c r="V521" s="0" t="s">
        <v>34</v>
      </c>
      <c r="W521" s="0" t="s">
        <v>41</v>
      </c>
      <c r="X521" s="0" t="s">
        <v>7355</v>
      </c>
      <c r="Y521" s="0" t="s">
        <v>7409</v>
      </c>
      <c r="Z521" s="0" t="s">
        <v>7410</v>
      </c>
      <c r="AA521" s="0" t="s">
        <v>7411</v>
      </c>
      <c r="AB521" s="0" t="s">
        <v>1663</v>
      </c>
      <c r="AC521" s="0" t="s">
        <v>7629</v>
      </c>
      <c r="AD521" s="0" t="s">
        <v>7692</v>
      </c>
      <c r="AE521" s="0" t="s">
        <v>7360</v>
      </c>
      <c r="AF521" s="0" t="s">
        <v>7361</v>
      </c>
      <c r="AG521" s="0" t="s">
        <v>230</v>
      </c>
    </row>
    <row r="522" customFormat="false" ht="15" hidden="false" customHeight="false" outlineLevel="0" collapsed="false">
      <c r="A522" s="0" t="s">
        <v>7336</v>
      </c>
      <c r="B522" s="0" t="s">
        <v>2084</v>
      </c>
      <c r="C522" s="0" t="s">
        <v>2085</v>
      </c>
      <c r="D522" s="0" t="s">
        <v>227</v>
      </c>
      <c r="E522" s="0" t="s">
        <v>2086</v>
      </c>
      <c r="F522" s="0" t="s">
        <v>2083</v>
      </c>
      <c r="G522" s="0" t="s">
        <v>184</v>
      </c>
      <c r="H522" s="0" t="s">
        <v>7722</v>
      </c>
      <c r="I522" s="0" t="s">
        <v>7338</v>
      </c>
      <c r="J522" s="0" t="s">
        <v>1602</v>
      </c>
      <c r="K522" s="0" t="s">
        <v>7339</v>
      </c>
      <c r="L522" s="0" t="s">
        <v>7340</v>
      </c>
      <c r="M522" s="0" t="s">
        <v>7661</v>
      </c>
      <c r="N522" s="0" t="s">
        <v>7342</v>
      </c>
      <c r="P522" s="0" t="s">
        <v>229</v>
      </c>
      <c r="Q522" s="0" t="s">
        <v>7354</v>
      </c>
      <c r="R522" s="0" t="s">
        <v>7343</v>
      </c>
      <c r="S522" s="0" t="s">
        <v>7344</v>
      </c>
      <c r="T522" s="0" t="s">
        <v>58</v>
      </c>
      <c r="V522" s="0" t="s">
        <v>55</v>
      </c>
      <c r="W522" s="0" t="s">
        <v>57</v>
      </c>
      <c r="X522" s="0" t="s">
        <v>7355</v>
      </c>
      <c r="Y522" s="0" t="s">
        <v>7667</v>
      </c>
      <c r="Z522" s="0" t="s">
        <v>7668</v>
      </c>
      <c r="AA522" s="0" t="s">
        <v>7669</v>
      </c>
      <c r="AB522" s="0" t="s">
        <v>237</v>
      </c>
      <c r="AC522" s="0" t="s">
        <v>7629</v>
      </c>
      <c r="AE522" s="0" t="s">
        <v>7360</v>
      </c>
      <c r="AF522" s="0" t="s">
        <v>7361</v>
      </c>
      <c r="AG522" s="0" t="s">
        <v>230</v>
      </c>
    </row>
    <row r="523" customFormat="false" ht="15" hidden="false" customHeight="false" outlineLevel="0" collapsed="false">
      <c r="A523" s="0" t="s">
        <v>7336</v>
      </c>
      <c r="B523" s="0" t="s">
        <v>2087</v>
      </c>
      <c r="C523" s="0" t="s">
        <v>2088</v>
      </c>
      <c r="D523" s="0" t="s">
        <v>227</v>
      </c>
      <c r="E523" s="0" t="s">
        <v>2089</v>
      </c>
      <c r="F523" s="0" t="s">
        <v>2090</v>
      </c>
      <c r="G523" s="0" t="s">
        <v>184</v>
      </c>
      <c r="H523" s="0" t="s">
        <v>7723</v>
      </c>
      <c r="I523" s="0" t="s">
        <v>7338</v>
      </c>
      <c r="J523" s="0" t="s">
        <v>1602</v>
      </c>
      <c r="K523" s="0" t="s">
        <v>7339</v>
      </c>
      <c r="L523" s="0" t="s">
        <v>7340</v>
      </c>
      <c r="M523" s="0" t="s">
        <v>7661</v>
      </c>
      <c r="N523" s="0" t="s">
        <v>7342</v>
      </c>
      <c r="P523" s="0" t="s">
        <v>229</v>
      </c>
      <c r="Q523" s="0" t="s">
        <v>7354</v>
      </c>
      <c r="R523" s="0" t="s">
        <v>7343</v>
      </c>
      <c r="S523" s="0" t="s">
        <v>7344</v>
      </c>
      <c r="T523" s="0" t="s">
        <v>228</v>
      </c>
      <c r="V523" s="0" t="s">
        <v>34</v>
      </c>
      <c r="W523" s="0" t="s">
        <v>43</v>
      </c>
      <c r="X523" s="0" t="s">
        <v>7355</v>
      </c>
      <c r="Y523" s="0" t="s">
        <v>7346</v>
      </c>
      <c r="Z523" s="0" t="s">
        <v>7370</v>
      </c>
      <c r="AA523" s="0" t="s">
        <v>7670</v>
      </c>
      <c r="AB523" s="0" t="s">
        <v>1663</v>
      </c>
      <c r="AC523" s="0" t="s">
        <v>7629</v>
      </c>
      <c r="AD523" s="0" t="s">
        <v>7681</v>
      </c>
      <c r="AE523" s="0" t="s">
        <v>7360</v>
      </c>
      <c r="AF523" s="0" t="s">
        <v>7361</v>
      </c>
      <c r="AG523" s="0" t="s">
        <v>230</v>
      </c>
    </row>
    <row r="524" customFormat="false" ht="15" hidden="false" customHeight="false" outlineLevel="0" collapsed="false">
      <c r="A524" s="0" t="s">
        <v>7336</v>
      </c>
      <c r="B524" s="0" t="s">
        <v>2091</v>
      </c>
      <c r="C524" s="0" t="s">
        <v>2092</v>
      </c>
      <c r="D524" s="0" t="s">
        <v>227</v>
      </c>
      <c r="E524" s="0" t="s">
        <v>2093</v>
      </c>
      <c r="F524" s="0" t="s">
        <v>2090</v>
      </c>
      <c r="G524" s="0" t="s">
        <v>184</v>
      </c>
      <c r="H524" s="0" t="s">
        <v>7723</v>
      </c>
      <c r="I524" s="0" t="s">
        <v>7338</v>
      </c>
      <c r="J524" s="0" t="s">
        <v>1602</v>
      </c>
      <c r="K524" s="0" t="s">
        <v>7339</v>
      </c>
      <c r="L524" s="0" t="s">
        <v>7340</v>
      </c>
      <c r="M524" s="0" t="s">
        <v>7661</v>
      </c>
      <c r="N524" s="0" t="s">
        <v>7342</v>
      </c>
      <c r="P524" s="0" t="s">
        <v>229</v>
      </c>
      <c r="Q524" s="0" t="s">
        <v>7354</v>
      </c>
      <c r="R524" s="0" t="s">
        <v>7343</v>
      </c>
      <c r="S524" s="0" t="s">
        <v>7344</v>
      </c>
      <c r="T524" s="0" t="s">
        <v>58</v>
      </c>
      <c r="V524" s="0" t="s">
        <v>55</v>
      </c>
      <c r="W524" s="0" t="s">
        <v>57</v>
      </c>
      <c r="X524" s="0" t="s">
        <v>7355</v>
      </c>
      <c r="Y524" s="0" t="s">
        <v>7667</v>
      </c>
      <c r="Z524" s="0" t="s">
        <v>7668</v>
      </c>
      <c r="AA524" s="0" t="s">
        <v>7669</v>
      </c>
      <c r="AB524" s="0" t="s">
        <v>237</v>
      </c>
      <c r="AC524" s="0" t="s">
        <v>7629</v>
      </c>
      <c r="AE524" s="0" t="s">
        <v>7360</v>
      </c>
      <c r="AF524" s="0" t="s">
        <v>7361</v>
      </c>
      <c r="AG524" s="0" t="s">
        <v>230</v>
      </c>
    </row>
    <row r="525" customFormat="false" ht="15" hidden="false" customHeight="false" outlineLevel="0" collapsed="false">
      <c r="A525" s="0" t="s">
        <v>7336</v>
      </c>
      <c r="B525" s="0" t="s">
        <v>2094</v>
      </c>
      <c r="C525" s="0" t="s">
        <v>2095</v>
      </c>
      <c r="D525" s="0" t="s">
        <v>227</v>
      </c>
      <c r="E525" s="0" t="s">
        <v>2096</v>
      </c>
      <c r="F525" s="0" t="s">
        <v>2097</v>
      </c>
      <c r="G525" s="0" t="s">
        <v>184</v>
      </c>
      <c r="H525" s="0" t="s">
        <v>7724</v>
      </c>
      <c r="I525" s="0" t="s">
        <v>7338</v>
      </c>
      <c r="J525" s="0" t="s">
        <v>1602</v>
      </c>
      <c r="K525" s="0" t="s">
        <v>7339</v>
      </c>
      <c r="L525" s="0" t="s">
        <v>7340</v>
      </c>
      <c r="M525" s="0" t="s">
        <v>7661</v>
      </c>
      <c r="N525" s="0" t="s">
        <v>7342</v>
      </c>
      <c r="P525" s="0" t="s">
        <v>229</v>
      </c>
      <c r="Q525" s="0" t="s">
        <v>7354</v>
      </c>
      <c r="R525" s="0" t="s">
        <v>7343</v>
      </c>
      <c r="S525" s="0" t="s">
        <v>7344</v>
      </c>
      <c r="T525" s="0" t="s">
        <v>228</v>
      </c>
      <c r="V525" s="0" t="s">
        <v>34</v>
      </c>
      <c r="W525" s="0" t="s">
        <v>43</v>
      </c>
      <c r="X525" s="0" t="s">
        <v>7355</v>
      </c>
      <c r="Y525" s="0" t="s">
        <v>7346</v>
      </c>
      <c r="Z525" s="0" t="s">
        <v>7370</v>
      </c>
      <c r="AA525" s="0" t="s">
        <v>7670</v>
      </c>
      <c r="AB525" s="0" t="s">
        <v>1663</v>
      </c>
      <c r="AC525" s="0" t="s">
        <v>7629</v>
      </c>
      <c r="AD525" s="0" t="s">
        <v>7681</v>
      </c>
      <c r="AE525" s="0" t="s">
        <v>7360</v>
      </c>
      <c r="AF525" s="0" t="s">
        <v>7361</v>
      </c>
      <c r="AG525" s="0" t="s">
        <v>230</v>
      </c>
    </row>
    <row r="526" customFormat="false" ht="15" hidden="false" customHeight="false" outlineLevel="0" collapsed="false">
      <c r="A526" s="0" t="s">
        <v>7336</v>
      </c>
      <c r="B526" s="0" t="s">
        <v>2098</v>
      </c>
      <c r="C526" s="0" t="s">
        <v>2099</v>
      </c>
      <c r="D526" s="0" t="s">
        <v>227</v>
      </c>
      <c r="E526" s="0" t="s">
        <v>2100</v>
      </c>
      <c r="F526" s="0" t="s">
        <v>2097</v>
      </c>
      <c r="G526" s="0" t="s">
        <v>184</v>
      </c>
      <c r="H526" s="0" t="s">
        <v>7724</v>
      </c>
      <c r="I526" s="0" t="s">
        <v>7338</v>
      </c>
      <c r="J526" s="0" t="s">
        <v>1602</v>
      </c>
      <c r="K526" s="0" t="s">
        <v>7339</v>
      </c>
      <c r="L526" s="0" t="s">
        <v>7340</v>
      </c>
      <c r="M526" s="0" t="s">
        <v>7661</v>
      </c>
      <c r="N526" s="0" t="s">
        <v>7342</v>
      </c>
      <c r="P526" s="0" t="s">
        <v>229</v>
      </c>
      <c r="Q526" s="0" t="s">
        <v>7354</v>
      </c>
      <c r="R526" s="0" t="s">
        <v>7343</v>
      </c>
      <c r="S526" s="0" t="s">
        <v>7344</v>
      </c>
      <c r="T526" s="0" t="s">
        <v>58</v>
      </c>
      <c r="V526" s="0" t="s">
        <v>55</v>
      </c>
      <c r="W526" s="0" t="s">
        <v>57</v>
      </c>
      <c r="X526" s="0" t="s">
        <v>7355</v>
      </c>
      <c r="Y526" s="0" t="s">
        <v>7667</v>
      </c>
      <c r="Z526" s="0" t="s">
        <v>7668</v>
      </c>
      <c r="AA526" s="0" t="s">
        <v>7669</v>
      </c>
      <c r="AB526" s="0" t="s">
        <v>237</v>
      </c>
      <c r="AC526" s="0" t="s">
        <v>7629</v>
      </c>
      <c r="AE526" s="0" t="s">
        <v>7360</v>
      </c>
      <c r="AF526" s="0" t="s">
        <v>7361</v>
      </c>
      <c r="AG526" s="0" t="s">
        <v>230</v>
      </c>
    </row>
    <row r="527" customFormat="false" ht="15" hidden="false" customHeight="false" outlineLevel="0" collapsed="false">
      <c r="A527" s="0" t="s">
        <v>7336</v>
      </c>
      <c r="B527" s="0" t="s">
        <v>2101</v>
      </c>
      <c r="C527" s="0" t="s">
        <v>2102</v>
      </c>
      <c r="D527" s="0" t="s">
        <v>227</v>
      </c>
      <c r="E527" s="0" t="s">
        <v>2103</v>
      </c>
      <c r="F527" s="0" t="s">
        <v>2104</v>
      </c>
      <c r="G527" s="0" t="s">
        <v>184</v>
      </c>
      <c r="H527" s="0" t="s">
        <v>7725</v>
      </c>
      <c r="I527" s="0" t="s">
        <v>7338</v>
      </c>
      <c r="J527" s="0" t="s">
        <v>1602</v>
      </c>
      <c r="K527" s="0" t="s">
        <v>7339</v>
      </c>
      <c r="L527" s="0" t="s">
        <v>7340</v>
      </c>
      <c r="M527" s="0" t="s">
        <v>7661</v>
      </c>
      <c r="N527" s="0" t="s">
        <v>7342</v>
      </c>
      <c r="P527" s="0" t="s">
        <v>229</v>
      </c>
      <c r="Q527" s="0" t="s">
        <v>7354</v>
      </c>
      <c r="R527" s="0" t="s">
        <v>7343</v>
      </c>
      <c r="S527" s="0" t="s">
        <v>7344</v>
      </c>
      <c r="T527" s="0" t="s">
        <v>228</v>
      </c>
      <c r="V527" s="0" t="s">
        <v>34</v>
      </c>
      <c r="W527" s="0" t="s">
        <v>43</v>
      </c>
      <c r="X527" s="0" t="s">
        <v>7355</v>
      </c>
      <c r="Y527" s="0" t="s">
        <v>7346</v>
      </c>
      <c r="Z527" s="0" t="s">
        <v>7370</v>
      </c>
      <c r="AA527" s="0" t="s">
        <v>7670</v>
      </c>
      <c r="AB527" s="0" t="s">
        <v>1663</v>
      </c>
      <c r="AC527" s="0" t="s">
        <v>7629</v>
      </c>
      <c r="AD527" s="0" t="s">
        <v>7681</v>
      </c>
      <c r="AE527" s="0" t="s">
        <v>7360</v>
      </c>
      <c r="AF527" s="0" t="s">
        <v>7361</v>
      </c>
      <c r="AG527" s="0" t="s">
        <v>230</v>
      </c>
    </row>
    <row r="528" customFormat="false" ht="15" hidden="false" customHeight="false" outlineLevel="0" collapsed="false">
      <c r="A528" s="0" t="s">
        <v>7336</v>
      </c>
      <c r="B528" s="0" t="s">
        <v>2105</v>
      </c>
      <c r="C528" s="0" t="s">
        <v>2106</v>
      </c>
      <c r="D528" s="0" t="s">
        <v>227</v>
      </c>
      <c r="E528" s="0" t="s">
        <v>2107</v>
      </c>
      <c r="F528" s="0" t="s">
        <v>2104</v>
      </c>
      <c r="G528" s="0" t="s">
        <v>184</v>
      </c>
      <c r="H528" s="0" t="s">
        <v>7725</v>
      </c>
      <c r="I528" s="0" t="s">
        <v>7338</v>
      </c>
      <c r="J528" s="0" t="s">
        <v>1602</v>
      </c>
      <c r="K528" s="0" t="s">
        <v>7339</v>
      </c>
      <c r="L528" s="0" t="s">
        <v>7340</v>
      </c>
      <c r="M528" s="0" t="s">
        <v>7661</v>
      </c>
      <c r="N528" s="0" t="s">
        <v>7342</v>
      </c>
      <c r="P528" s="0" t="s">
        <v>229</v>
      </c>
      <c r="Q528" s="0" t="s">
        <v>7354</v>
      </c>
      <c r="R528" s="0" t="s">
        <v>7343</v>
      </c>
      <c r="S528" s="0" t="s">
        <v>7344</v>
      </c>
      <c r="T528" s="0" t="s">
        <v>58</v>
      </c>
      <c r="V528" s="0" t="s">
        <v>55</v>
      </c>
      <c r="W528" s="0" t="s">
        <v>57</v>
      </c>
      <c r="X528" s="0" t="s">
        <v>7355</v>
      </c>
      <c r="Y528" s="0" t="s">
        <v>7667</v>
      </c>
      <c r="Z528" s="0" t="s">
        <v>7668</v>
      </c>
      <c r="AA528" s="0" t="s">
        <v>7669</v>
      </c>
      <c r="AB528" s="0" t="s">
        <v>237</v>
      </c>
      <c r="AC528" s="0" t="s">
        <v>7629</v>
      </c>
      <c r="AE528" s="0" t="s">
        <v>7360</v>
      </c>
      <c r="AF528" s="0" t="s">
        <v>7361</v>
      </c>
      <c r="AG528" s="0" t="s">
        <v>230</v>
      </c>
    </row>
    <row r="529" customFormat="false" ht="15" hidden="false" customHeight="false" outlineLevel="0" collapsed="false">
      <c r="A529" s="0" t="s">
        <v>7336</v>
      </c>
      <c r="B529" s="0" t="s">
        <v>2108</v>
      </c>
      <c r="C529" s="0" t="s">
        <v>2109</v>
      </c>
      <c r="D529" s="0" t="s">
        <v>227</v>
      </c>
      <c r="E529" s="0" t="s">
        <v>2110</v>
      </c>
      <c r="F529" s="0" t="s">
        <v>2111</v>
      </c>
      <c r="G529" s="0" t="s">
        <v>184</v>
      </c>
      <c r="H529" s="0" t="s">
        <v>7726</v>
      </c>
      <c r="I529" s="0" t="s">
        <v>7338</v>
      </c>
      <c r="J529" s="0" t="s">
        <v>1602</v>
      </c>
      <c r="K529" s="0" t="s">
        <v>7339</v>
      </c>
      <c r="L529" s="0" t="s">
        <v>7340</v>
      </c>
      <c r="M529" s="0" t="s">
        <v>7661</v>
      </c>
      <c r="N529" s="0" t="s">
        <v>7342</v>
      </c>
      <c r="P529" s="0" t="s">
        <v>229</v>
      </c>
      <c r="Q529" s="0" t="s">
        <v>7354</v>
      </c>
      <c r="R529" s="0" t="s">
        <v>7343</v>
      </c>
      <c r="S529" s="0" t="s">
        <v>7344</v>
      </c>
      <c r="T529" s="0" t="s">
        <v>228</v>
      </c>
      <c r="V529" s="0" t="s">
        <v>34</v>
      </c>
      <c r="W529" s="0" t="s">
        <v>43</v>
      </c>
      <c r="X529" s="0" t="s">
        <v>7355</v>
      </c>
      <c r="Y529" s="0" t="s">
        <v>7346</v>
      </c>
      <c r="Z529" s="0" t="s">
        <v>7370</v>
      </c>
      <c r="AA529" s="0" t="s">
        <v>7670</v>
      </c>
      <c r="AB529" s="0" t="s">
        <v>1663</v>
      </c>
      <c r="AC529" s="0" t="s">
        <v>7629</v>
      </c>
      <c r="AD529" s="0" t="s">
        <v>7681</v>
      </c>
      <c r="AE529" s="0" t="s">
        <v>7360</v>
      </c>
      <c r="AF529" s="0" t="s">
        <v>7361</v>
      </c>
      <c r="AG529" s="0" t="s">
        <v>230</v>
      </c>
    </row>
    <row r="530" customFormat="false" ht="15" hidden="false" customHeight="false" outlineLevel="0" collapsed="false">
      <c r="A530" s="0" t="s">
        <v>7336</v>
      </c>
      <c r="B530" s="0" t="s">
        <v>2112</v>
      </c>
      <c r="C530" s="0" t="s">
        <v>2113</v>
      </c>
      <c r="D530" s="0" t="s">
        <v>227</v>
      </c>
      <c r="E530" s="0" t="s">
        <v>2114</v>
      </c>
      <c r="F530" s="0" t="s">
        <v>2111</v>
      </c>
      <c r="G530" s="0" t="s">
        <v>184</v>
      </c>
      <c r="H530" s="0" t="s">
        <v>7726</v>
      </c>
      <c r="I530" s="0" t="s">
        <v>7338</v>
      </c>
      <c r="J530" s="0" t="s">
        <v>1602</v>
      </c>
      <c r="K530" s="0" t="s">
        <v>7339</v>
      </c>
      <c r="L530" s="0" t="s">
        <v>7340</v>
      </c>
      <c r="M530" s="0" t="s">
        <v>7661</v>
      </c>
      <c r="N530" s="0" t="s">
        <v>7342</v>
      </c>
      <c r="P530" s="0" t="s">
        <v>229</v>
      </c>
      <c r="Q530" s="0" t="s">
        <v>7354</v>
      </c>
      <c r="R530" s="0" t="s">
        <v>7343</v>
      </c>
      <c r="S530" s="0" t="s">
        <v>7344</v>
      </c>
      <c r="T530" s="0" t="s">
        <v>58</v>
      </c>
      <c r="V530" s="0" t="s">
        <v>55</v>
      </c>
      <c r="W530" s="0" t="s">
        <v>57</v>
      </c>
      <c r="X530" s="0" t="s">
        <v>7355</v>
      </c>
      <c r="Y530" s="0" t="s">
        <v>7667</v>
      </c>
      <c r="Z530" s="0" t="s">
        <v>7668</v>
      </c>
      <c r="AA530" s="0" t="s">
        <v>7669</v>
      </c>
      <c r="AB530" s="0" t="s">
        <v>237</v>
      </c>
      <c r="AC530" s="0" t="s">
        <v>7629</v>
      </c>
      <c r="AE530" s="0" t="s">
        <v>7360</v>
      </c>
      <c r="AF530" s="0" t="s">
        <v>7361</v>
      </c>
      <c r="AG530" s="0" t="s">
        <v>230</v>
      </c>
    </row>
    <row r="531" customFormat="false" ht="15" hidden="false" customHeight="false" outlineLevel="0" collapsed="false">
      <c r="A531" s="0" t="s">
        <v>7336</v>
      </c>
      <c r="B531" s="0" t="s">
        <v>2115</v>
      </c>
      <c r="C531" s="0" t="s">
        <v>2116</v>
      </c>
      <c r="D531" s="0" t="s">
        <v>227</v>
      </c>
      <c r="E531" s="0" t="s">
        <v>2117</v>
      </c>
      <c r="F531" s="0" t="s">
        <v>2111</v>
      </c>
      <c r="G531" s="0" t="s">
        <v>184</v>
      </c>
      <c r="H531" s="0" t="s">
        <v>7726</v>
      </c>
      <c r="I531" s="0" t="s">
        <v>7338</v>
      </c>
      <c r="J531" s="0" t="s">
        <v>1602</v>
      </c>
      <c r="K531" s="0" t="s">
        <v>7339</v>
      </c>
      <c r="L531" s="0" t="s">
        <v>7340</v>
      </c>
      <c r="M531" s="0" t="s">
        <v>7661</v>
      </c>
      <c r="N531" s="0" t="s">
        <v>7342</v>
      </c>
      <c r="P531" s="0" t="s">
        <v>229</v>
      </c>
      <c r="Q531" s="0" t="s">
        <v>7354</v>
      </c>
      <c r="R531" s="0" t="s">
        <v>7343</v>
      </c>
      <c r="S531" s="0" t="s">
        <v>7344</v>
      </c>
      <c r="T531" s="0" t="s">
        <v>681</v>
      </c>
      <c r="V531" s="0" t="s">
        <v>34</v>
      </c>
      <c r="W531" s="0" t="s">
        <v>40</v>
      </c>
      <c r="X531" s="0" t="s">
        <v>7355</v>
      </c>
      <c r="Y531" s="0" t="s">
        <v>7686</v>
      </c>
      <c r="Z531" s="0" t="s">
        <v>7355</v>
      </c>
      <c r="AA531" s="0" t="s">
        <v>7687</v>
      </c>
      <c r="AB531" s="0" t="s">
        <v>1825</v>
      </c>
      <c r="AC531" s="0" t="s">
        <v>7629</v>
      </c>
      <c r="AD531" s="0" t="s">
        <v>7688</v>
      </c>
      <c r="AE531" s="0" t="s">
        <v>7360</v>
      </c>
      <c r="AF531" s="0" t="s">
        <v>7361</v>
      </c>
      <c r="AG531" s="0" t="s">
        <v>230</v>
      </c>
    </row>
    <row r="532" customFormat="false" ht="15" hidden="false" customHeight="false" outlineLevel="0" collapsed="false">
      <c r="A532" s="0" t="s">
        <v>7336</v>
      </c>
      <c r="B532" s="0" t="s">
        <v>2118</v>
      </c>
      <c r="C532" s="0" t="s">
        <v>2119</v>
      </c>
      <c r="D532" s="0" t="s">
        <v>227</v>
      </c>
      <c r="E532" s="0" t="s">
        <v>2120</v>
      </c>
      <c r="F532" s="0" t="s">
        <v>2111</v>
      </c>
      <c r="G532" s="0" t="s">
        <v>184</v>
      </c>
      <c r="H532" s="0" t="s">
        <v>7726</v>
      </c>
      <c r="I532" s="0" t="s">
        <v>7338</v>
      </c>
      <c r="J532" s="0" t="s">
        <v>1602</v>
      </c>
      <c r="K532" s="0" t="s">
        <v>7339</v>
      </c>
      <c r="L532" s="0" t="s">
        <v>7340</v>
      </c>
      <c r="M532" s="0" t="s">
        <v>7661</v>
      </c>
      <c r="N532" s="0" t="s">
        <v>7342</v>
      </c>
      <c r="P532" s="0" t="s">
        <v>229</v>
      </c>
      <c r="Q532" s="0" t="s">
        <v>7354</v>
      </c>
      <c r="R532" s="0" t="s">
        <v>7343</v>
      </c>
      <c r="S532" s="0" t="s">
        <v>7344</v>
      </c>
      <c r="T532" s="0" t="s">
        <v>228</v>
      </c>
      <c r="V532" s="0" t="s">
        <v>34</v>
      </c>
      <c r="W532" s="0" t="s">
        <v>37</v>
      </c>
      <c r="X532" s="0" t="s">
        <v>7355</v>
      </c>
      <c r="Y532" s="0" t="s">
        <v>7346</v>
      </c>
      <c r="Z532" s="0" t="s">
        <v>7370</v>
      </c>
      <c r="AA532" s="0" t="s">
        <v>7670</v>
      </c>
      <c r="AB532" s="0" t="s">
        <v>1663</v>
      </c>
      <c r="AC532" s="0" t="s">
        <v>7629</v>
      </c>
      <c r="AD532" s="0" t="s">
        <v>7671</v>
      </c>
      <c r="AE532" s="0" t="s">
        <v>7360</v>
      </c>
      <c r="AF532" s="0" t="s">
        <v>7361</v>
      </c>
      <c r="AG532" s="0" t="s">
        <v>230</v>
      </c>
    </row>
    <row r="533" customFormat="false" ht="15" hidden="false" customHeight="false" outlineLevel="0" collapsed="false">
      <c r="A533" s="0" t="s">
        <v>7336</v>
      </c>
      <c r="B533" s="0" t="s">
        <v>2121</v>
      </c>
      <c r="C533" s="0" t="s">
        <v>2122</v>
      </c>
      <c r="D533" s="0" t="s">
        <v>227</v>
      </c>
      <c r="E533" s="0" t="s">
        <v>2123</v>
      </c>
      <c r="F533" s="0" t="s">
        <v>2124</v>
      </c>
      <c r="G533" s="0" t="s">
        <v>184</v>
      </c>
      <c r="H533" s="0" t="s">
        <v>7727</v>
      </c>
      <c r="I533" s="0" t="s">
        <v>7338</v>
      </c>
      <c r="J533" s="0" t="s">
        <v>1602</v>
      </c>
      <c r="K533" s="0" t="s">
        <v>7339</v>
      </c>
      <c r="L533" s="0" t="s">
        <v>7340</v>
      </c>
      <c r="M533" s="0" t="s">
        <v>7661</v>
      </c>
      <c r="N533" s="0" t="s">
        <v>7342</v>
      </c>
      <c r="P533" s="0" t="s">
        <v>229</v>
      </c>
      <c r="Q533" s="0" t="s">
        <v>7354</v>
      </c>
      <c r="R533" s="0" t="s">
        <v>7343</v>
      </c>
      <c r="S533" s="0" t="s">
        <v>7344</v>
      </c>
      <c r="T533" s="0" t="s">
        <v>228</v>
      </c>
      <c r="V533" s="0" t="s">
        <v>34</v>
      </c>
      <c r="W533" s="0" t="s">
        <v>37</v>
      </c>
      <c r="X533" s="0" t="s">
        <v>7355</v>
      </c>
      <c r="Y533" s="0" t="s">
        <v>7346</v>
      </c>
      <c r="Z533" s="0" t="s">
        <v>7370</v>
      </c>
      <c r="AA533" s="0" t="s">
        <v>7670</v>
      </c>
      <c r="AB533" s="0" t="s">
        <v>1663</v>
      </c>
      <c r="AC533" s="0" t="s">
        <v>7629</v>
      </c>
      <c r="AD533" s="0" t="s">
        <v>7671</v>
      </c>
      <c r="AE533" s="0" t="s">
        <v>7360</v>
      </c>
      <c r="AF533" s="0" t="s">
        <v>7361</v>
      </c>
      <c r="AG533" s="0" t="s">
        <v>230</v>
      </c>
    </row>
    <row r="534" customFormat="false" ht="15" hidden="false" customHeight="false" outlineLevel="0" collapsed="false">
      <c r="A534" s="0" t="s">
        <v>7336</v>
      </c>
      <c r="B534" s="0" t="s">
        <v>2125</v>
      </c>
      <c r="C534" s="0" t="s">
        <v>2126</v>
      </c>
      <c r="D534" s="0" t="s">
        <v>227</v>
      </c>
      <c r="E534" s="0" t="s">
        <v>2127</v>
      </c>
      <c r="F534" s="0" t="s">
        <v>2124</v>
      </c>
      <c r="G534" s="0" t="s">
        <v>184</v>
      </c>
      <c r="H534" s="0" t="s">
        <v>7727</v>
      </c>
      <c r="I534" s="0" t="s">
        <v>7338</v>
      </c>
      <c r="J534" s="0" t="s">
        <v>1602</v>
      </c>
      <c r="K534" s="0" t="s">
        <v>7339</v>
      </c>
      <c r="L534" s="0" t="s">
        <v>7340</v>
      </c>
      <c r="M534" s="0" t="s">
        <v>7661</v>
      </c>
      <c r="N534" s="0" t="s">
        <v>7342</v>
      </c>
      <c r="P534" s="0" t="s">
        <v>229</v>
      </c>
      <c r="Q534" s="0" t="s">
        <v>7354</v>
      </c>
      <c r="R534" s="0" t="s">
        <v>7343</v>
      </c>
      <c r="S534" s="0" t="s">
        <v>7344</v>
      </c>
      <c r="T534" s="0" t="s">
        <v>58</v>
      </c>
      <c r="V534" s="0" t="s">
        <v>55</v>
      </c>
      <c r="W534" s="0" t="s">
        <v>57</v>
      </c>
      <c r="X534" s="0" t="s">
        <v>7355</v>
      </c>
      <c r="Y534" s="0" t="s">
        <v>7667</v>
      </c>
      <c r="Z534" s="0" t="s">
        <v>7668</v>
      </c>
      <c r="AA534" s="0" t="s">
        <v>7669</v>
      </c>
      <c r="AB534" s="0" t="s">
        <v>237</v>
      </c>
      <c r="AC534" s="0" t="s">
        <v>7629</v>
      </c>
      <c r="AE534" s="0" t="s">
        <v>7360</v>
      </c>
      <c r="AF534" s="0" t="s">
        <v>7361</v>
      </c>
      <c r="AG534" s="0" t="s">
        <v>230</v>
      </c>
    </row>
    <row r="535" customFormat="false" ht="15" hidden="false" customHeight="false" outlineLevel="0" collapsed="false">
      <c r="A535" s="0" t="s">
        <v>7336</v>
      </c>
      <c r="B535" s="0" t="s">
        <v>2128</v>
      </c>
      <c r="C535" s="0" t="s">
        <v>2129</v>
      </c>
      <c r="D535" s="0" t="s">
        <v>227</v>
      </c>
      <c r="E535" s="0" t="s">
        <v>2130</v>
      </c>
      <c r="F535" s="0" t="s">
        <v>2124</v>
      </c>
      <c r="G535" s="0" t="s">
        <v>184</v>
      </c>
      <c r="H535" s="0" t="s">
        <v>7727</v>
      </c>
      <c r="I535" s="0" t="s">
        <v>7338</v>
      </c>
      <c r="J535" s="0" t="s">
        <v>1602</v>
      </c>
      <c r="K535" s="0" t="s">
        <v>7339</v>
      </c>
      <c r="L535" s="0" t="s">
        <v>7340</v>
      </c>
      <c r="M535" s="0" t="s">
        <v>7661</v>
      </c>
      <c r="N535" s="0" t="s">
        <v>7342</v>
      </c>
      <c r="P535" s="0" t="s">
        <v>229</v>
      </c>
      <c r="Q535" s="0" t="s">
        <v>7354</v>
      </c>
      <c r="R535" s="0" t="s">
        <v>7343</v>
      </c>
      <c r="S535" s="0" t="s">
        <v>7344</v>
      </c>
      <c r="T535" s="0" t="s">
        <v>681</v>
      </c>
      <c r="V535" s="0" t="s">
        <v>34</v>
      </c>
      <c r="W535" s="0" t="s">
        <v>40</v>
      </c>
      <c r="X535" s="0" t="s">
        <v>7355</v>
      </c>
      <c r="Y535" s="0" t="s">
        <v>7686</v>
      </c>
      <c r="Z535" s="0" t="s">
        <v>7355</v>
      </c>
      <c r="AA535" s="0" t="s">
        <v>7687</v>
      </c>
      <c r="AB535" s="0" t="s">
        <v>1825</v>
      </c>
      <c r="AC535" s="0" t="s">
        <v>7629</v>
      </c>
      <c r="AD535" s="0" t="s">
        <v>7688</v>
      </c>
      <c r="AE535" s="0" t="s">
        <v>7360</v>
      </c>
      <c r="AF535" s="0" t="s">
        <v>7361</v>
      </c>
      <c r="AG535" s="0" t="s">
        <v>230</v>
      </c>
    </row>
    <row r="536" customFormat="false" ht="15" hidden="false" customHeight="false" outlineLevel="0" collapsed="false">
      <c r="A536" s="0" t="s">
        <v>7336</v>
      </c>
      <c r="B536" s="0" t="s">
        <v>2131</v>
      </c>
      <c r="C536" s="0" t="s">
        <v>2132</v>
      </c>
      <c r="D536" s="0" t="s">
        <v>227</v>
      </c>
      <c r="E536" s="0" t="s">
        <v>2133</v>
      </c>
      <c r="F536" s="0" t="s">
        <v>2134</v>
      </c>
      <c r="G536" s="0" t="s">
        <v>184</v>
      </c>
      <c r="H536" s="0" t="s">
        <v>7728</v>
      </c>
      <c r="I536" s="0" t="s">
        <v>7338</v>
      </c>
      <c r="J536" s="0" t="s">
        <v>1602</v>
      </c>
      <c r="K536" s="0" t="s">
        <v>7339</v>
      </c>
      <c r="L536" s="0" t="s">
        <v>7340</v>
      </c>
      <c r="M536" s="0" t="s">
        <v>7661</v>
      </c>
      <c r="N536" s="0" t="s">
        <v>7342</v>
      </c>
      <c r="P536" s="0" t="s">
        <v>229</v>
      </c>
      <c r="Q536" s="0" t="s">
        <v>7354</v>
      </c>
      <c r="R536" s="0" t="s">
        <v>7343</v>
      </c>
      <c r="S536" s="0" t="s">
        <v>7344</v>
      </c>
      <c r="T536" s="0" t="s">
        <v>228</v>
      </c>
      <c r="V536" s="0" t="s">
        <v>34</v>
      </c>
      <c r="W536" s="0" t="s">
        <v>43</v>
      </c>
      <c r="X536" s="0" t="s">
        <v>7355</v>
      </c>
      <c r="Y536" s="0" t="s">
        <v>7346</v>
      </c>
      <c r="Z536" s="0" t="s">
        <v>7370</v>
      </c>
      <c r="AA536" s="0" t="s">
        <v>7670</v>
      </c>
      <c r="AB536" s="0" t="s">
        <v>1663</v>
      </c>
      <c r="AC536" s="0" t="s">
        <v>7629</v>
      </c>
      <c r="AD536" s="0" t="s">
        <v>7681</v>
      </c>
      <c r="AE536" s="0" t="s">
        <v>7360</v>
      </c>
      <c r="AF536" s="0" t="s">
        <v>7361</v>
      </c>
      <c r="AG536" s="0" t="s">
        <v>230</v>
      </c>
    </row>
    <row r="537" customFormat="false" ht="15" hidden="false" customHeight="false" outlineLevel="0" collapsed="false">
      <c r="A537" s="0" t="s">
        <v>7336</v>
      </c>
      <c r="B537" s="0" t="s">
        <v>2135</v>
      </c>
      <c r="C537" s="0" t="s">
        <v>2136</v>
      </c>
      <c r="D537" s="0" t="s">
        <v>227</v>
      </c>
      <c r="E537" s="0" t="s">
        <v>2137</v>
      </c>
      <c r="F537" s="0" t="s">
        <v>2134</v>
      </c>
      <c r="G537" s="0" t="s">
        <v>184</v>
      </c>
      <c r="H537" s="0" t="s">
        <v>7728</v>
      </c>
      <c r="I537" s="0" t="s">
        <v>7338</v>
      </c>
      <c r="J537" s="0" t="s">
        <v>1602</v>
      </c>
      <c r="K537" s="0" t="s">
        <v>7339</v>
      </c>
      <c r="L537" s="0" t="s">
        <v>7340</v>
      </c>
      <c r="M537" s="0" t="s">
        <v>7661</v>
      </c>
      <c r="N537" s="0" t="s">
        <v>7342</v>
      </c>
      <c r="P537" s="0" t="s">
        <v>229</v>
      </c>
      <c r="Q537" s="0" t="s">
        <v>7354</v>
      </c>
      <c r="R537" s="0" t="s">
        <v>7343</v>
      </c>
      <c r="S537" s="0" t="s">
        <v>7344</v>
      </c>
      <c r="T537" s="0" t="s">
        <v>58</v>
      </c>
      <c r="V537" s="0" t="s">
        <v>55</v>
      </c>
      <c r="W537" s="0" t="s">
        <v>57</v>
      </c>
      <c r="X537" s="0" t="s">
        <v>7355</v>
      </c>
      <c r="Y537" s="0" t="s">
        <v>7667</v>
      </c>
      <c r="Z537" s="0" t="s">
        <v>7668</v>
      </c>
      <c r="AA537" s="0" t="s">
        <v>7669</v>
      </c>
      <c r="AB537" s="0" t="s">
        <v>237</v>
      </c>
      <c r="AC537" s="0" t="s">
        <v>7629</v>
      </c>
      <c r="AE537" s="0" t="s">
        <v>7360</v>
      </c>
      <c r="AF537" s="0" t="s">
        <v>7361</v>
      </c>
      <c r="AG537" s="0" t="s">
        <v>230</v>
      </c>
    </row>
    <row r="538" customFormat="false" ht="15" hidden="false" customHeight="false" outlineLevel="0" collapsed="false">
      <c r="A538" s="0" t="s">
        <v>7336</v>
      </c>
      <c r="B538" s="0" t="s">
        <v>2138</v>
      </c>
      <c r="C538" s="0" t="s">
        <v>2139</v>
      </c>
      <c r="D538" s="0" t="s">
        <v>227</v>
      </c>
      <c r="E538" s="0" t="s">
        <v>2140</v>
      </c>
      <c r="F538" s="0" t="s">
        <v>2141</v>
      </c>
      <c r="G538" s="0" t="s">
        <v>184</v>
      </c>
      <c r="H538" s="0" t="s">
        <v>7729</v>
      </c>
      <c r="I538" s="0" t="s">
        <v>7338</v>
      </c>
      <c r="J538" s="0" t="s">
        <v>1602</v>
      </c>
      <c r="K538" s="0" t="s">
        <v>7339</v>
      </c>
      <c r="L538" s="0" t="s">
        <v>7340</v>
      </c>
      <c r="M538" s="0" t="s">
        <v>7661</v>
      </c>
      <c r="N538" s="0" t="s">
        <v>7342</v>
      </c>
      <c r="P538" s="0" t="s">
        <v>229</v>
      </c>
      <c r="Q538" s="0" t="s">
        <v>7354</v>
      </c>
      <c r="R538" s="0" t="s">
        <v>7343</v>
      </c>
      <c r="S538" s="0" t="s">
        <v>7344</v>
      </c>
      <c r="T538" s="0" t="s">
        <v>58</v>
      </c>
      <c r="V538" s="0" t="s">
        <v>55</v>
      </c>
      <c r="W538" s="0" t="s">
        <v>57</v>
      </c>
      <c r="X538" s="0" t="s">
        <v>7355</v>
      </c>
      <c r="Y538" s="0" t="s">
        <v>7667</v>
      </c>
      <c r="Z538" s="0" t="s">
        <v>7668</v>
      </c>
      <c r="AA538" s="0" t="s">
        <v>7669</v>
      </c>
      <c r="AB538" s="0" t="s">
        <v>237</v>
      </c>
      <c r="AC538" s="0" t="s">
        <v>7629</v>
      </c>
      <c r="AE538" s="0" t="s">
        <v>7360</v>
      </c>
      <c r="AF538" s="0" t="s">
        <v>7361</v>
      </c>
      <c r="AG538" s="0" t="s">
        <v>230</v>
      </c>
    </row>
    <row r="539" customFormat="false" ht="15" hidden="false" customHeight="false" outlineLevel="0" collapsed="false">
      <c r="A539" s="0" t="s">
        <v>7336</v>
      </c>
      <c r="B539" s="0" t="s">
        <v>2142</v>
      </c>
      <c r="C539" s="0" t="s">
        <v>2143</v>
      </c>
      <c r="D539" s="0" t="s">
        <v>227</v>
      </c>
      <c r="E539" s="0" t="s">
        <v>2144</v>
      </c>
      <c r="F539" s="0" t="s">
        <v>2145</v>
      </c>
      <c r="G539" s="0" t="s">
        <v>184</v>
      </c>
      <c r="H539" s="0" t="s">
        <v>7730</v>
      </c>
      <c r="I539" s="0" t="s">
        <v>7338</v>
      </c>
      <c r="J539" s="0" t="s">
        <v>1602</v>
      </c>
      <c r="K539" s="0" t="s">
        <v>7339</v>
      </c>
      <c r="L539" s="0" t="s">
        <v>7340</v>
      </c>
      <c r="M539" s="0" t="s">
        <v>7661</v>
      </c>
      <c r="N539" s="0" t="s">
        <v>7342</v>
      </c>
      <c r="P539" s="0" t="s">
        <v>229</v>
      </c>
      <c r="Q539" s="0" t="s">
        <v>7354</v>
      </c>
      <c r="R539" s="0" t="s">
        <v>7343</v>
      </c>
      <c r="S539" s="0" t="s">
        <v>7344</v>
      </c>
      <c r="T539" s="0" t="s">
        <v>228</v>
      </c>
      <c r="V539" s="0" t="s">
        <v>55</v>
      </c>
      <c r="W539" s="0" t="s">
        <v>2146</v>
      </c>
      <c r="X539" s="0" t="s">
        <v>7355</v>
      </c>
      <c r="Y539" s="0" t="s">
        <v>7731</v>
      </c>
      <c r="Z539" s="0" t="s">
        <v>7668</v>
      </c>
      <c r="AA539" s="0" t="s">
        <v>7669</v>
      </c>
      <c r="AB539" s="0" t="s">
        <v>344</v>
      </c>
      <c r="AC539" s="0" t="s">
        <v>7629</v>
      </c>
      <c r="AE539" s="0" t="s">
        <v>7360</v>
      </c>
      <c r="AF539" s="0" t="s">
        <v>7361</v>
      </c>
      <c r="AG539" s="0" t="s">
        <v>230</v>
      </c>
    </row>
    <row r="540" customFormat="false" ht="15" hidden="false" customHeight="false" outlineLevel="0" collapsed="false">
      <c r="A540" s="0" t="s">
        <v>7336</v>
      </c>
      <c r="B540" s="0" t="s">
        <v>2147</v>
      </c>
      <c r="C540" s="0" t="s">
        <v>2148</v>
      </c>
      <c r="D540" s="0" t="s">
        <v>227</v>
      </c>
      <c r="E540" s="0" t="s">
        <v>2149</v>
      </c>
      <c r="F540" s="0" t="s">
        <v>2150</v>
      </c>
      <c r="G540" s="0" t="s">
        <v>184</v>
      </c>
      <c r="H540" s="0" t="s">
        <v>7732</v>
      </c>
      <c r="I540" s="0" t="s">
        <v>7338</v>
      </c>
      <c r="J540" s="0" t="s">
        <v>1602</v>
      </c>
      <c r="K540" s="0" t="s">
        <v>7339</v>
      </c>
      <c r="L540" s="0" t="s">
        <v>7340</v>
      </c>
      <c r="M540" s="0" t="s">
        <v>7661</v>
      </c>
      <c r="N540" s="0" t="s">
        <v>7342</v>
      </c>
      <c r="P540" s="0" t="s">
        <v>229</v>
      </c>
      <c r="Q540" s="0" t="s">
        <v>7354</v>
      </c>
      <c r="R540" s="0" t="s">
        <v>7343</v>
      </c>
      <c r="S540" s="0" t="s">
        <v>7344</v>
      </c>
      <c r="T540" s="0" t="s">
        <v>228</v>
      </c>
      <c r="V540" s="0" t="s">
        <v>55</v>
      </c>
      <c r="W540" s="0" t="s">
        <v>2146</v>
      </c>
      <c r="X540" s="0" t="s">
        <v>7355</v>
      </c>
      <c r="Y540" s="0" t="s">
        <v>7731</v>
      </c>
      <c r="Z540" s="0" t="s">
        <v>7668</v>
      </c>
      <c r="AA540" s="0" t="s">
        <v>7669</v>
      </c>
      <c r="AB540" s="0" t="s">
        <v>344</v>
      </c>
      <c r="AC540" s="0" t="s">
        <v>7629</v>
      </c>
      <c r="AE540" s="0" t="s">
        <v>7360</v>
      </c>
      <c r="AF540" s="0" t="s">
        <v>7361</v>
      </c>
      <c r="AG540" s="0" t="s">
        <v>230</v>
      </c>
    </row>
    <row r="541" customFormat="false" ht="15" hidden="false" customHeight="false" outlineLevel="0" collapsed="false">
      <c r="A541" s="0" t="s">
        <v>7336</v>
      </c>
      <c r="B541" s="0" t="s">
        <v>2151</v>
      </c>
      <c r="C541" s="0" t="s">
        <v>2152</v>
      </c>
      <c r="D541" s="0" t="s">
        <v>227</v>
      </c>
      <c r="E541" s="0" t="s">
        <v>2153</v>
      </c>
      <c r="F541" s="0" t="s">
        <v>2154</v>
      </c>
      <c r="G541" s="0" t="s">
        <v>184</v>
      </c>
      <c r="H541" s="0" t="s">
        <v>7733</v>
      </c>
      <c r="I541" s="0" t="s">
        <v>7338</v>
      </c>
      <c r="J541" s="0" t="s">
        <v>1602</v>
      </c>
      <c r="K541" s="0" t="s">
        <v>7339</v>
      </c>
      <c r="L541" s="0" t="s">
        <v>7340</v>
      </c>
      <c r="M541" s="0" t="s">
        <v>7661</v>
      </c>
      <c r="N541" s="0" t="s">
        <v>7342</v>
      </c>
      <c r="P541" s="0" t="s">
        <v>229</v>
      </c>
      <c r="Q541" s="0" t="s">
        <v>7354</v>
      </c>
      <c r="R541" s="0" t="s">
        <v>7343</v>
      </c>
      <c r="S541" s="0" t="s">
        <v>7344</v>
      </c>
      <c r="T541" s="0" t="s">
        <v>228</v>
      </c>
      <c r="V541" s="0" t="s">
        <v>55</v>
      </c>
      <c r="W541" s="0" t="s">
        <v>2146</v>
      </c>
      <c r="X541" s="0" t="s">
        <v>7355</v>
      </c>
      <c r="Y541" s="0" t="s">
        <v>7731</v>
      </c>
      <c r="Z541" s="0" t="s">
        <v>7668</v>
      </c>
      <c r="AA541" s="0" t="s">
        <v>7669</v>
      </c>
      <c r="AB541" s="0" t="s">
        <v>344</v>
      </c>
      <c r="AC541" s="0" t="s">
        <v>7629</v>
      </c>
      <c r="AE541" s="0" t="s">
        <v>7360</v>
      </c>
      <c r="AF541" s="0" t="s">
        <v>7361</v>
      </c>
      <c r="AG541" s="0" t="s">
        <v>230</v>
      </c>
    </row>
    <row r="542" customFormat="false" ht="15" hidden="false" customHeight="false" outlineLevel="0" collapsed="false">
      <c r="A542" s="0" t="s">
        <v>7336</v>
      </c>
      <c r="B542" s="0" t="s">
        <v>2155</v>
      </c>
      <c r="C542" s="0" t="s">
        <v>2156</v>
      </c>
      <c r="D542" s="0" t="s">
        <v>227</v>
      </c>
      <c r="E542" s="0" t="s">
        <v>2157</v>
      </c>
      <c r="F542" s="0" t="s">
        <v>2158</v>
      </c>
      <c r="G542" s="0" t="s">
        <v>184</v>
      </c>
      <c r="H542" s="0" t="s">
        <v>7734</v>
      </c>
      <c r="I542" s="0" t="s">
        <v>7338</v>
      </c>
      <c r="J542" s="0" t="s">
        <v>1602</v>
      </c>
      <c r="K542" s="0" t="s">
        <v>7339</v>
      </c>
      <c r="L542" s="0" t="s">
        <v>7340</v>
      </c>
      <c r="M542" s="0" t="s">
        <v>7661</v>
      </c>
      <c r="N542" s="0" t="s">
        <v>7342</v>
      </c>
      <c r="P542" s="0" t="s">
        <v>229</v>
      </c>
      <c r="Q542" s="0" t="s">
        <v>7354</v>
      </c>
      <c r="R542" s="0" t="s">
        <v>7343</v>
      </c>
      <c r="S542" s="0" t="s">
        <v>7344</v>
      </c>
      <c r="T542" s="0" t="s">
        <v>228</v>
      </c>
      <c r="V542" s="0" t="s">
        <v>55</v>
      </c>
      <c r="W542" s="0" t="s">
        <v>2146</v>
      </c>
      <c r="X542" s="0" t="s">
        <v>7355</v>
      </c>
      <c r="Y542" s="0" t="s">
        <v>7731</v>
      </c>
      <c r="Z542" s="0" t="s">
        <v>7668</v>
      </c>
      <c r="AA542" s="0" t="s">
        <v>7669</v>
      </c>
      <c r="AB542" s="0" t="s">
        <v>344</v>
      </c>
      <c r="AC542" s="0" t="s">
        <v>7629</v>
      </c>
      <c r="AE542" s="0" t="s">
        <v>7360</v>
      </c>
      <c r="AF542" s="0" t="s">
        <v>7361</v>
      </c>
      <c r="AG542" s="0" t="s">
        <v>230</v>
      </c>
    </row>
    <row r="543" customFormat="false" ht="15" hidden="false" customHeight="false" outlineLevel="0" collapsed="false">
      <c r="A543" s="0" t="s">
        <v>7336</v>
      </c>
      <c r="B543" s="0" t="s">
        <v>2159</v>
      </c>
      <c r="C543" s="0" t="s">
        <v>2160</v>
      </c>
      <c r="D543" s="0" t="s">
        <v>227</v>
      </c>
      <c r="E543" s="0" t="s">
        <v>2161</v>
      </c>
      <c r="F543" s="0" t="s">
        <v>2162</v>
      </c>
      <c r="G543" s="0" t="s">
        <v>138</v>
      </c>
      <c r="H543" s="0" t="s">
        <v>7735</v>
      </c>
      <c r="I543" s="0" t="s">
        <v>7338</v>
      </c>
      <c r="J543" s="0" t="s">
        <v>1602</v>
      </c>
      <c r="K543" s="0" t="s">
        <v>7339</v>
      </c>
      <c r="L543" s="0" t="s">
        <v>7340</v>
      </c>
      <c r="M543" s="0" t="s">
        <v>7661</v>
      </c>
      <c r="N543" s="0" t="s">
        <v>7342</v>
      </c>
    </row>
    <row r="544" customFormat="false" ht="15" hidden="false" customHeight="false" outlineLevel="0" collapsed="false">
      <c r="A544" s="0" t="s">
        <v>7336</v>
      </c>
      <c r="B544" s="0" t="s">
        <v>2163</v>
      </c>
      <c r="C544" s="0" t="s">
        <v>2164</v>
      </c>
      <c r="D544" s="0" t="s">
        <v>227</v>
      </c>
      <c r="E544" s="0" t="s">
        <v>2165</v>
      </c>
      <c r="F544" s="0" t="s">
        <v>2166</v>
      </c>
      <c r="G544" s="0" t="s">
        <v>138</v>
      </c>
      <c r="H544" s="0" t="s">
        <v>7736</v>
      </c>
      <c r="I544" s="0" t="s">
        <v>7338</v>
      </c>
      <c r="J544" s="0" t="s">
        <v>1602</v>
      </c>
      <c r="K544" s="0" t="s">
        <v>7339</v>
      </c>
      <c r="L544" s="0" t="s">
        <v>7340</v>
      </c>
      <c r="M544" s="0" t="s">
        <v>7661</v>
      </c>
      <c r="N544" s="0" t="s">
        <v>7342</v>
      </c>
    </row>
    <row r="545" customFormat="false" ht="15" hidden="false" customHeight="false" outlineLevel="0" collapsed="false">
      <c r="A545" s="0" t="s">
        <v>7336</v>
      </c>
      <c r="B545" s="0" t="s">
        <v>2167</v>
      </c>
      <c r="C545" s="0" t="s">
        <v>2168</v>
      </c>
      <c r="D545" s="0" t="s">
        <v>227</v>
      </c>
      <c r="E545" s="0" t="s">
        <v>2169</v>
      </c>
      <c r="F545" s="0" t="s">
        <v>2170</v>
      </c>
      <c r="G545" s="0" t="s">
        <v>170</v>
      </c>
      <c r="H545" s="0" t="s">
        <v>7737</v>
      </c>
      <c r="I545" s="0" t="s">
        <v>7338</v>
      </c>
      <c r="J545" s="0" t="s">
        <v>1602</v>
      </c>
      <c r="K545" s="0" t="s">
        <v>7339</v>
      </c>
      <c r="L545" s="0" t="s">
        <v>7340</v>
      </c>
      <c r="M545" s="0" t="s">
        <v>7661</v>
      </c>
      <c r="N545" s="0" t="s">
        <v>7342</v>
      </c>
      <c r="P545" s="0" t="s">
        <v>229</v>
      </c>
      <c r="Q545" s="0" t="s">
        <v>7354</v>
      </c>
      <c r="R545" s="0" t="s">
        <v>7343</v>
      </c>
      <c r="S545" s="0" t="s">
        <v>7344</v>
      </c>
      <c r="T545" s="0" t="s">
        <v>2171</v>
      </c>
      <c r="V545" s="0" t="s">
        <v>55</v>
      </c>
      <c r="W545" s="0" t="s">
        <v>57</v>
      </c>
      <c r="X545" s="0" t="s">
        <v>7355</v>
      </c>
      <c r="Y545" s="0" t="s">
        <v>7667</v>
      </c>
      <c r="Z545" s="0" t="s">
        <v>7668</v>
      </c>
      <c r="AA545" s="0" t="s">
        <v>7669</v>
      </c>
      <c r="AB545" s="0" t="s">
        <v>237</v>
      </c>
      <c r="AC545" s="0" t="s">
        <v>7629</v>
      </c>
      <c r="AD545" s="0" t="s">
        <v>682</v>
      </c>
      <c r="AE545" s="0" t="s">
        <v>7360</v>
      </c>
      <c r="AF545" s="0" t="s">
        <v>7361</v>
      </c>
      <c r="AG545" s="0" t="s">
        <v>230</v>
      </c>
    </row>
    <row r="546" customFormat="false" ht="15" hidden="false" customHeight="false" outlineLevel="0" collapsed="false">
      <c r="A546" s="0" t="s">
        <v>7336</v>
      </c>
      <c r="B546" s="0" t="s">
        <v>2172</v>
      </c>
      <c r="C546" s="0" t="s">
        <v>2173</v>
      </c>
      <c r="D546" s="0" t="s">
        <v>227</v>
      </c>
      <c r="E546" s="0" t="s">
        <v>2174</v>
      </c>
      <c r="F546" s="0" t="s">
        <v>2175</v>
      </c>
      <c r="G546" s="0" t="s">
        <v>170</v>
      </c>
      <c r="H546" s="0" t="s">
        <v>7738</v>
      </c>
      <c r="I546" s="0" t="s">
        <v>7338</v>
      </c>
      <c r="J546" s="0" t="s">
        <v>1602</v>
      </c>
      <c r="K546" s="0" t="s">
        <v>7339</v>
      </c>
      <c r="L546" s="0" t="s">
        <v>7340</v>
      </c>
      <c r="M546" s="0" t="s">
        <v>7661</v>
      </c>
      <c r="N546" s="0" t="s">
        <v>7342</v>
      </c>
      <c r="P546" s="0" t="s">
        <v>229</v>
      </c>
      <c r="Q546" s="0" t="s">
        <v>7354</v>
      </c>
      <c r="R546" s="0" t="s">
        <v>7343</v>
      </c>
      <c r="S546" s="0" t="s">
        <v>7344</v>
      </c>
      <c r="T546" s="0" t="s">
        <v>2171</v>
      </c>
      <c r="V546" s="0" t="s">
        <v>55</v>
      </c>
      <c r="W546" s="0" t="s">
        <v>57</v>
      </c>
      <c r="X546" s="0" t="s">
        <v>7355</v>
      </c>
      <c r="Y546" s="0" t="s">
        <v>7667</v>
      </c>
      <c r="Z546" s="0" t="s">
        <v>7668</v>
      </c>
      <c r="AA546" s="0" t="s">
        <v>7669</v>
      </c>
      <c r="AB546" s="0" t="s">
        <v>237</v>
      </c>
      <c r="AC546" s="0" t="s">
        <v>7629</v>
      </c>
      <c r="AD546" s="0" t="s">
        <v>682</v>
      </c>
      <c r="AE546" s="0" t="s">
        <v>7360</v>
      </c>
      <c r="AF546" s="0" t="s">
        <v>7361</v>
      </c>
      <c r="AG546" s="0" t="s">
        <v>230</v>
      </c>
    </row>
    <row r="547" customFormat="false" ht="15" hidden="false" customHeight="false" outlineLevel="0" collapsed="false">
      <c r="A547" s="0" t="s">
        <v>7336</v>
      </c>
      <c r="B547" s="0" t="s">
        <v>2176</v>
      </c>
      <c r="C547" s="0" t="s">
        <v>2177</v>
      </c>
      <c r="D547" s="0" t="s">
        <v>227</v>
      </c>
      <c r="E547" s="0" t="s">
        <v>2178</v>
      </c>
      <c r="F547" s="0" t="s">
        <v>2179</v>
      </c>
      <c r="G547" s="0" t="s">
        <v>178</v>
      </c>
      <c r="H547" s="0" t="s">
        <v>7739</v>
      </c>
      <c r="I547" s="0" t="s">
        <v>7338</v>
      </c>
      <c r="J547" s="0" t="s">
        <v>1602</v>
      </c>
      <c r="K547" s="0" t="s">
        <v>7339</v>
      </c>
      <c r="L547" s="0" t="s">
        <v>7340</v>
      </c>
      <c r="M547" s="0" t="s">
        <v>7661</v>
      </c>
      <c r="N547" s="0" t="s">
        <v>7342</v>
      </c>
      <c r="P547" s="0" t="s">
        <v>229</v>
      </c>
      <c r="Q547" s="0" t="s">
        <v>7354</v>
      </c>
      <c r="R547" s="0" t="s">
        <v>7343</v>
      </c>
      <c r="S547" s="0" t="s">
        <v>7344</v>
      </c>
      <c r="T547" s="0" t="s">
        <v>58</v>
      </c>
      <c r="V547" s="0" t="s">
        <v>55</v>
      </c>
      <c r="W547" s="0" t="s">
        <v>57</v>
      </c>
      <c r="X547" s="0" t="s">
        <v>7355</v>
      </c>
      <c r="Y547" s="0" t="s">
        <v>7667</v>
      </c>
      <c r="Z547" s="0" t="s">
        <v>7668</v>
      </c>
      <c r="AA547" s="0" t="s">
        <v>7669</v>
      </c>
      <c r="AB547" s="0" t="s">
        <v>237</v>
      </c>
      <c r="AC547" s="0" t="s">
        <v>7629</v>
      </c>
      <c r="AD547" s="0" t="s">
        <v>682</v>
      </c>
      <c r="AE547" s="0" t="s">
        <v>7360</v>
      </c>
      <c r="AF547" s="0" t="s">
        <v>7361</v>
      </c>
      <c r="AG547" s="0" t="s">
        <v>230</v>
      </c>
    </row>
    <row r="548" customFormat="false" ht="15" hidden="false" customHeight="false" outlineLevel="0" collapsed="false">
      <c r="A548" s="0" t="s">
        <v>7336</v>
      </c>
      <c r="B548" s="0" t="s">
        <v>2180</v>
      </c>
      <c r="C548" s="0" t="s">
        <v>2181</v>
      </c>
      <c r="D548" s="0" t="s">
        <v>227</v>
      </c>
      <c r="E548" s="0" t="s">
        <v>2182</v>
      </c>
      <c r="F548" s="0" t="s">
        <v>2183</v>
      </c>
      <c r="G548" s="0" t="s">
        <v>178</v>
      </c>
      <c r="H548" s="0" t="s">
        <v>7740</v>
      </c>
      <c r="I548" s="0" t="s">
        <v>7338</v>
      </c>
      <c r="J548" s="0" t="s">
        <v>1602</v>
      </c>
      <c r="K548" s="0" t="s">
        <v>7339</v>
      </c>
      <c r="L548" s="0" t="s">
        <v>7340</v>
      </c>
      <c r="M548" s="0" t="s">
        <v>7661</v>
      </c>
      <c r="N548" s="0" t="s">
        <v>7342</v>
      </c>
      <c r="P548" s="0" t="s">
        <v>229</v>
      </c>
      <c r="Q548" s="0" t="s">
        <v>7354</v>
      </c>
      <c r="R548" s="0" t="s">
        <v>7343</v>
      </c>
      <c r="S548" s="0" t="s">
        <v>7344</v>
      </c>
      <c r="T548" s="0" t="s">
        <v>58</v>
      </c>
      <c r="V548" s="0" t="s">
        <v>55</v>
      </c>
      <c r="W548" s="0" t="s">
        <v>57</v>
      </c>
      <c r="X548" s="0" t="s">
        <v>7355</v>
      </c>
      <c r="Y548" s="0" t="s">
        <v>7667</v>
      </c>
      <c r="Z548" s="0" t="s">
        <v>7668</v>
      </c>
      <c r="AA548" s="0" t="s">
        <v>7669</v>
      </c>
      <c r="AB548" s="0" t="s">
        <v>237</v>
      </c>
      <c r="AC548" s="0" t="s">
        <v>7629</v>
      </c>
      <c r="AD548" s="0" t="s">
        <v>682</v>
      </c>
      <c r="AE548" s="0" t="s">
        <v>7360</v>
      </c>
      <c r="AF548" s="0" t="s">
        <v>7361</v>
      </c>
      <c r="AG548" s="0" t="s">
        <v>230</v>
      </c>
    </row>
    <row r="549" customFormat="false" ht="15" hidden="false" customHeight="false" outlineLevel="0" collapsed="false">
      <c r="A549" s="0" t="s">
        <v>7336</v>
      </c>
      <c r="B549" s="0" t="s">
        <v>2184</v>
      </c>
      <c r="C549" s="0" t="s">
        <v>2185</v>
      </c>
      <c r="D549" s="0" t="s">
        <v>227</v>
      </c>
      <c r="E549" s="0" t="s">
        <v>2186</v>
      </c>
      <c r="F549" s="0" t="s">
        <v>2187</v>
      </c>
      <c r="G549" s="0" t="s">
        <v>184</v>
      </c>
      <c r="H549" s="0" t="s">
        <v>7741</v>
      </c>
      <c r="I549" s="0" t="s">
        <v>7338</v>
      </c>
      <c r="J549" s="0" t="s">
        <v>1602</v>
      </c>
      <c r="K549" s="0" t="s">
        <v>7339</v>
      </c>
      <c r="L549" s="0" t="s">
        <v>7340</v>
      </c>
      <c r="M549" s="0" t="s">
        <v>7661</v>
      </c>
      <c r="N549" s="0" t="s">
        <v>7342</v>
      </c>
      <c r="P549" s="0" t="s">
        <v>229</v>
      </c>
      <c r="Q549" s="0" t="s">
        <v>7354</v>
      </c>
      <c r="R549" s="0" t="s">
        <v>7343</v>
      </c>
      <c r="S549" s="0" t="s">
        <v>7344</v>
      </c>
      <c r="T549" s="0" t="s">
        <v>228</v>
      </c>
      <c r="V549" s="0" t="s">
        <v>55</v>
      </c>
      <c r="W549" s="0" t="s">
        <v>2146</v>
      </c>
      <c r="X549" s="0" t="s">
        <v>7355</v>
      </c>
      <c r="Y549" s="0" t="s">
        <v>7731</v>
      </c>
      <c r="Z549" s="0" t="s">
        <v>7668</v>
      </c>
      <c r="AA549" s="0" t="s">
        <v>7669</v>
      </c>
      <c r="AB549" s="0" t="s">
        <v>344</v>
      </c>
      <c r="AC549" s="0" t="s">
        <v>7629</v>
      </c>
      <c r="AE549" s="0" t="s">
        <v>7360</v>
      </c>
      <c r="AF549" s="0" t="s">
        <v>7361</v>
      </c>
      <c r="AG549" s="0" t="s">
        <v>230</v>
      </c>
    </row>
    <row r="550" customFormat="false" ht="15" hidden="false" customHeight="false" outlineLevel="0" collapsed="false">
      <c r="A550" s="0" t="s">
        <v>7336</v>
      </c>
      <c r="B550" s="0" t="s">
        <v>2188</v>
      </c>
      <c r="C550" s="0" t="s">
        <v>2189</v>
      </c>
      <c r="D550" s="0" t="s">
        <v>227</v>
      </c>
      <c r="E550" s="0" t="s">
        <v>2190</v>
      </c>
      <c r="F550" s="0" t="s">
        <v>2187</v>
      </c>
      <c r="G550" s="0" t="s">
        <v>184</v>
      </c>
      <c r="H550" s="0" t="s">
        <v>7741</v>
      </c>
      <c r="I550" s="0" t="s">
        <v>7338</v>
      </c>
      <c r="J550" s="0" t="s">
        <v>1602</v>
      </c>
      <c r="K550" s="0" t="s">
        <v>7339</v>
      </c>
      <c r="L550" s="0" t="s">
        <v>7340</v>
      </c>
      <c r="M550" s="0" t="s">
        <v>7661</v>
      </c>
      <c r="N550" s="0" t="s">
        <v>7342</v>
      </c>
      <c r="P550" s="0" t="s">
        <v>229</v>
      </c>
      <c r="Q550" s="0" t="s">
        <v>7354</v>
      </c>
      <c r="R550" s="0" t="s">
        <v>7343</v>
      </c>
      <c r="S550" s="0" t="s">
        <v>7344</v>
      </c>
      <c r="T550" s="0" t="s">
        <v>228</v>
      </c>
      <c r="V550" s="0" t="s">
        <v>55</v>
      </c>
      <c r="W550" s="0" t="s">
        <v>2146</v>
      </c>
      <c r="X550" s="0" t="s">
        <v>7355</v>
      </c>
      <c r="Y550" s="0" t="s">
        <v>7731</v>
      </c>
      <c r="Z550" s="0" t="s">
        <v>7668</v>
      </c>
      <c r="AA550" s="0" t="s">
        <v>7669</v>
      </c>
      <c r="AB550" s="0" t="s">
        <v>344</v>
      </c>
      <c r="AC550" s="0" t="s">
        <v>7629</v>
      </c>
      <c r="AE550" s="0" t="s">
        <v>7360</v>
      </c>
      <c r="AF550" s="0" t="s">
        <v>7361</v>
      </c>
      <c r="AG550" s="0" t="s">
        <v>230</v>
      </c>
    </row>
    <row r="551" customFormat="false" ht="15" hidden="false" customHeight="false" outlineLevel="0" collapsed="false">
      <c r="A551" s="0" t="s">
        <v>7336</v>
      </c>
      <c r="B551" s="0" t="s">
        <v>2191</v>
      </c>
      <c r="C551" s="0" t="s">
        <v>2192</v>
      </c>
      <c r="D551" s="0" t="s">
        <v>227</v>
      </c>
      <c r="E551" s="0" t="s">
        <v>2193</v>
      </c>
      <c r="F551" s="0" t="s">
        <v>2194</v>
      </c>
      <c r="G551" s="0" t="s">
        <v>184</v>
      </c>
      <c r="H551" s="0" t="s">
        <v>7742</v>
      </c>
      <c r="I551" s="0" t="s">
        <v>7338</v>
      </c>
      <c r="J551" s="0" t="s">
        <v>1602</v>
      </c>
      <c r="K551" s="0" t="s">
        <v>7339</v>
      </c>
      <c r="L551" s="0" t="s">
        <v>7340</v>
      </c>
      <c r="M551" s="0" t="s">
        <v>7661</v>
      </c>
      <c r="N551" s="0" t="s">
        <v>7342</v>
      </c>
      <c r="P551" s="0" t="s">
        <v>229</v>
      </c>
      <c r="Q551" s="0" t="s">
        <v>7354</v>
      </c>
      <c r="R551" s="0" t="s">
        <v>7343</v>
      </c>
      <c r="S551" s="0" t="s">
        <v>7344</v>
      </c>
      <c r="T551" s="0" t="s">
        <v>228</v>
      </c>
      <c r="V551" s="0" t="s">
        <v>55</v>
      </c>
      <c r="W551" s="0" t="s">
        <v>2146</v>
      </c>
      <c r="X551" s="0" t="s">
        <v>7355</v>
      </c>
      <c r="Y551" s="0" t="s">
        <v>7731</v>
      </c>
      <c r="Z551" s="0" t="s">
        <v>7668</v>
      </c>
      <c r="AA551" s="0" t="s">
        <v>7669</v>
      </c>
      <c r="AB551" s="0" t="s">
        <v>344</v>
      </c>
      <c r="AC551" s="0" t="s">
        <v>7629</v>
      </c>
      <c r="AE551" s="0" t="s">
        <v>7360</v>
      </c>
      <c r="AF551" s="0" t="s">
        <v>7361</v>
      </c>
      <c r="AG551" s="0" t="s">
        <v>230</v>
      </c>
    </row>
    <row r="552" customFormat="false" ht="15" hidden="false" customHeight="false" outlineLevel="0" collapsed="false">
      <c r="A552" s="0" t="s">
        <v>7336</v>
      </c>
      <c r="B552" s="0" t="s">
        <v>2195</v>
      </c>
      <c r="C552" s="0" t="s">
        <v>2196</v>
      </c>
      <c r="D552" s="0" t="s">
        <v>227</v>
      </c>
      <c r="E552" s="0" t="s">
        <v>2197</v>
      </c>
      <c r="F552" s="0" t="s">
        <v>2187</v>
      </c>
      <c r="G552" s="0" t="s">
        <v>184</v>
      </c>
      <c r="H552" s="0" t="s">
        <v>7741</v>
      </c>
      <c r="I552" s="0" t="s">
        <v>7338</v>
      </c>
      <c r="J552" s="0" t="s">
        <v>1602</v>
      </c>
      <c r="K552" s="0" t="s">
        <v>7339</v>
      </c>
      <c r="L552" s="0" t="s">
        <v>7340</v>
      </c>
      <c r="M552" s="0" t="s">
        <v>7661</v>
      </c>
      <c r="N552" s="0" t="s">
        <v>7342</v>
      </c>
      <c r="P552" s="0" t="s">
        <v>229</v>
      </c>
      <c r="Q552" s="0" t="s">
        <v>7354</v>
      </c>
      <c r="R552" s="0" t="s">
        <v>7343</v>
      </c>
      <c r="S552" s="0" t="s">
        <v>7344</v>
      </c>
      <c r="T552" s="0" t="s">
        <v>228</v>
      </c>
      <c r="V552" s="0" t="s">
        <v>55</v>
      </c>
      <c r="W552" s="0" t="s">
        <v>2146</v>
      </c>
      <c r="X552" s="0" t="s">
        <v>7355</v>
      </c>
      <c r="Y552" s="0" t="s">
        <v>7731</v>
      </c>
      <c r="Z552" s="0" t="s">
        <v>7668</v>
      </c>
      <c r="AA552" s="0" t="s">
        <v>7669</v>
      </c>
      <c r="AB552" s="0" t="s">
        <v>344</v>
      </c>
      <c r="AC552" s="0" t="s">
        <v>7629</v>
      </c>
      <c r="AE552" s="0" t="s">
        <v>7360</v>
      </c>
      <c r="AF552" s="0" t="s">
        <v>7361</v>
      </c>
      <c r="AG552" s="0" t="s">
        <v>230</v>
      </c>
    </row>
    <row r="553" customFormat="false" ht="15" hidden="false" customHeight="false" outlineLevel="0" collapsed="false">
      <c r="A553" s="0" t="s">
        <v>7336</v>
      </c>
      <c r="B553" s="0" t="s">
        <v>2198</v>
      </c>
      <c r="C553" s="0" t="s">
        <v>2199</v>
      </c>
      <c r="D553" s="0" t="s">
        <v>227</v>
      </c>
      <c r="E553" s="0" t="s">
        <v>2200</v>
      </c>
      <c r="F553" s="0" t="s">
        <v>2194</v>
      </c>
      <c r="G553" s="0" t="s">
        <v>184</v>
      </c>
      <c r="H553" s="0" t="s">
        <v>7742</v>
      </c>
      <c r="I553" s="0" t="s">
        <v>7338</v>
      </c>
      <c r="J553" s="0" t="s">
        <v>1602</v>
      </c>
      <c r="K553" s="0" t="s">
        <v>7339</v>
      </c>
      <c r="L553" s="0" t="s">
        <v>7340</v>
      </c>
      <c r="M553" s="0" t="s">
        <v>7661</v>
      </c>
      <c r="N553" s="0" t="s">
        <v>7342</v>
      </c>
      <c r="P553" s="0" t="s">
        <v>229</v>
      </c>
      <c r="Q553" s="0" t="s">
        <v>7354</v>
      </c>
      <c r="R553" s="0" t="s">
        <v>7343</v>
      </c>
      <c r="S553" s="0" t="s">
        <v>7344</v>
      </c>
      <c r="T553" s="0" t="s">
        <v>228</v>
      </c>
      <c r="V553" s="0" t="s">
        <v>55</v>
      </c>
      <c r="W553" s="0" t="s">
        <v>2146</v>
      </c>
      <c r="X553" s="0" t="s">
        <v>7355</v>
      </c>
      <c r="Y553" s="0" t="s">
        <v>7731</v>
      </c>
      <c r="Z553" s="0" t="s">
        <v>7668</v>
      </c>
      <c r="AA553" s="0" t="s">
        <v>7669</v>
      </c>
      <c r="AB553" s="0" t="s">
        <v>344</v>
      </c>
      <c r="AC553" s="0" t="s">
        <v>7629</v>
      </c>
      <c r="AE553" s="0" t="s">
        <v>7360</v>
      </c>
      <c r="AF553" s="0" t="s">
        <v>7361</v>
      </c>
      <c r="AG553" s="0" t="s">
        <v>230</v>
      </c>
    </row>
    <row r="554" customFormat="false" ht="15" hidden="false" customHeight="false" outlineLevel="0" collapsed="false">
      <c r="A554" s="0" t="s">
        <v>7336</v>
      </c>
      <c r="B554" s="0" t="s">
        <v>2201</v>
      </c>
      <c r="C554" s="0" t="s">
        <v>2202</v>
      </c>
      <c r="D554" s="0" t="s">
        <v>227</v>
      </c>
      <c r="E554" s="0" t="s">
        <v>2203</v>
      </c>
      <c r="F554" s="0" t="s">
        <v>2187</v>
      </c>
      <c r="G554" s="0" t="s">
        <v>184</v>
      </c>
      <c r="H554" s="0" t="s">
        <v>7741</v>
      </c>
      <c r="I554" s="0" t="s">
        <v>7338</v>
      </c>
      <c r="J554" s="0" t="s">
        <v>1602</v>
      </c>
      <c r="K554" s="0" t="s">
        <v>7339</v>
      </c>
      <c r="L554" s="0" t="s">
        <v>7340</v>
      </c>
      <c r="M554" s="0" t="s">
        <v>7661</v>
      </c>
      <c r="N554" s="0" t="s">
        <v>7342</v>
      </c>
      <c r="P554" s="0" t="s">
        <v>229</v>
      </c>
      <c r="Q554" s="0" t="s">
        <v>7354</v>
      </c>
      <c r="R554" s="0" t="s">
        <v>7343</v>
      </c>
      <c r="S554" s="0" t="s">
        <v>7344</v>
      </c>
      <c r="T554" s="0" t="s">
        <v>228</v>
      </c>
      <c r="V554" s="0" t="s">
        <v>55</v>
      </c>
      <c r="W554" s="0" t="s">
        <v>2146</v>
      </c>
      <c r="X554" s="0" t="s">
        <v>7355</v>
      </c>
      <c r="Y554" s="0" t="s">
        <v>7731</v>
      </c>
      <c r="Z554" s="0" t="s">
        <v>7668</v>
      </c>
      <c r="AA554" s="0" t="s">
        <v>7669</v>
      </c>
      <c r="AB554" s="0" t="s">
        <v>344</v>
      </c>
      <c r="AC554" s="0" t="s">
        <v>7629</v>
      </c>
      <c r="AE554" s="0" t="s">
        <v>7360</v>
      </c>
      <c r="AF554" s="0" t="s">
        <v>7361</v>
      </c>
      <c r="AG554" s="0" t="s">
        <v>230</v>
      </c>
    </row>
    <row r="555" customFormat="false" ht="15" hidden="false" customHeight="false" outlineLevel="0" collapsed="false">
      <c r="A555" s="0" t="s">
        <v>7336</v>
      </c>
      <c r="B555" s="0" t="s">
        <v>2204</v>
      </c>
      <c r="C555" s="0" t="s">
        <v>2205</v>
      </c>
      <c r="D555" s="0" t="s">
        <v>227</v>
      </c>
      <c r="E555" s="0" t="s">
        <v>2206</v>
      </c>
      <c r="F555" s="0" t="s">
        <v>2194</v>
      </c>
      <c r="G555" s="0" t="s">
        <v>184</v>
      </c>
      <c r="H555" s="0" t="s">
        <v>7742</v>
      </c>
      <c r="I555" s="0" t="s">
        <v>7338</v>
      </c>
      <c r="J555" s="0" t="s">
        <v>1602</v>
      </c>
      <c r="K555" s="0" t="s">
        <v>7339</v>
      </c>
      <c r="L555" s="0" t="s">
        <v>7340</v>
      </c>
      <c r="M555" s="0" t="s">
        <v>7661</v>
      </c>
      <c r="N555" s="0" t="s">
        <v>7342</v>
      </c>
      <c r="P555" s="0" t="s">
        <v>229</v>
      </c>
      <c r="Q555" s="0" t="s">
        <v>7354</v>
      </c>
      <c r="R555" s="0" t="s">
        <v>7343</v>
      </c>
      <c r="S555" s="0" t="s">
        <v>7344</v>
      </c>
      <c r="T555" s="0" t="s">
        <v>228</v>
      </c>
      <c r="V555" s="0" t="s">
        <v>55</v>
      </c>
      <c r="W555" s="0" t="s">
        <v>2146</v>
      </c>
      <c r="X555" s="0" t="s">
        <v>7355</v>
      </c>
      <c r="Y555" s="0" t="s">
        <v>7731</v>
      </c>
      <c r="Z555" s="0" t="s">
        <v>7668</v>
      </c>
      <c r="AA555" s="0" t="s">
        <v>7669</v>
      </c>
      <c r="AB555" s="0" t="s">
        <v>344</v>
      </c>
      <c r="AC555" s="0" t="s">
        <v>7629</v>
      </c>
      <c r="AE555" s="0" t="s">
        <v>7360</v>
      </c>
      <c r="AF555" s="0" t="s">
        <v>7361</v>
      </c>
      <c r="AG555" s="0" t="s">
        <v>230</v>
      </c>
    </row>
    <row r="556" customFormat="false" ht="15" hidden="false" customHeight="false" outlineLevel="0" collapsed="false">
      <c r="A556" s="0" t="s">
        <v>7336</v>
      </c>
      <c r="B556" s="0" t="s">
        <v>2207</v>
      </c>
      <c r="C556" s="0" t="s">
        <v>2208</v>
      </c>
      <c r="D556" s="0" t="s">
        <v>227</v>
      </c>
      <c r="E556" s="0" t="s">
        <v>2209</v>
      </c>
      <c r="F556" s="0" t="s">
        <v>2187</v>
      </c>
      <c r="G556" s="0" t="s">
        <v>184</v>
      </c>
      <c r="H556" s="0" t="s">
        <v>7741</v>
      </c>
      <c r="I556" s="0" t="s">
        <v>7338</v>
      </c>
      <c r="J556" s="0" t="s">
        <v>1602</v>
      </c>
      <c r="K556" s="0" t="s">
        <v>7339</v>
      </c>
      <c r="L556" s="0" t="s">
        <v>7340</v>
      </c>
      <c r="M556" s="0" t="s">
        <v>7661</v>
      </c>
      <c r="N556" s="0" t="s">
        <v>7342</v>
      </c>
      <c r="P556" s="0" t="s">
        <v>229</v>
      </c>
      <c r="Q556" s="0" t="s">
        <v>7354</v>
      </c>
      <c r="R556" s="0" t="s">
        <v>7343</v>
      </c>
      <c r="S556" s="0" t="s">
        <v>7344</v>
      </c>
      <c r="T556" s="0" t="s">
        <v>228</v>
      </c>
      <c r="V556" s="0" t="s">
        <v>55</v>
      </c>
      <c r="W556" s="0" t="s">
        <v>2146</v>
      </c>
      <c r="X556" s="0" t="s">
        <v>7355</v>
      </c>
      <c r="Y556" s="0" t="s">
        <v>7731</v>
      </c>
      <c r="Z556" s="0" t="s">
        <v>7668</v>
      </c>
      <c r="AA556" s="0" t="s">
        <v>7669</v>
      </c>
      <c r="AB556" s="0" t="s">
        <v>344</v>
      </c>
      <c r="AC556" s="0" t="s">
        <v>7629</v>
      </c>
      <c r="AE556" s="0" t="s">
        <v>7360</v>
      </c>
      <c r="AF556" s="0" t="s">
        <v>7361</v>
      </c>
      <c r="AG556" s="0" t="s">
        <v>230</v>
      </c>
    </row>
    <row r="557" customFormat="false" ht="15" hidden="false" customHeight="false" outlineLevel="0" collapsed="false">
      <c r="A557" s="0" t="s">
        <v>7336</v>
      </c>
      <c r="B557" s="0" t="s">
        <v>2210</v>
      </c>
      <c r="C557" s="0" t="s">
        <v>2211</v>
      </c>
      <c r="D557" s="0" t="s">
        <v>227</v>
      </c>
      <c r="E557" s="0" t="s">
        <v>2212</v>
      </c>
      <c r="F557" s="0" t="s">
        <v>2194</v>
      </c>
      <c r="G557" s="0" t="s">
        <v>184</v>
      </c>
      <c r="H557" s="0" t="s">
        <v>7742</v>
      </c>
      <c r="I557" s="0" t="s">
        <v>7338</v>
      </c>
      <c r="J557" s="0" t="s">
        <v>1602</v>
      </c>
      <c r="K557" s="0" t="s">
        <v>7339</v>
      </c>
      <c r="L557" s="0" t="s">
        <v>7340</v>
      </c>
      <c r="M557" s="0" t="s">
        <v>7661</v>
      </c>
      <c r="N557" s="0" t="s">
        <v>7342</v>
      </c>
      <c r="P557" s="0" t="s">
        <v>229</v>
      </c>
      <c r="Q557" s="0" t="s">
        <v>7354</v>
      </c>
      <c r="R557" s="0" t="s">
        <v>7343</v>
      </c>
      <c r="S557" s="0" t="s">
        <v>7344</v>
      </c>
      <c r="T557" s="0" t="s">
        <v>228</v>
      </c>
      <c r="V557" s="0" t="s">
        <v>55</v>
      </c>
      <c r="W557" s="0" t="s">
        <v>2146</v>
      </c>
      <c r="X557" s="0" t="s">
        <v>7355</v>
      </c>
      <c r="Y557" s="0" t="s">
        <v>7731</v>
      </c>
      <c r="Z557" s="0" t="s">
        <v>7668</v>
      </c>
      <c r="AA557" s="0" t="s">
        <v>7669</v>
      </c>
      <c r="AB557" s="0" t="s">
        <v>344</v>
      </c>
      <c r="AC557" s="0" t="s">
        <v>7629</v>
      </c>
      <c r="AE557" s="0" t="s">
        <v>7360</v>
      </c>
      <c r="AF557" s="0" t="s">
        <v>7361</v>
      </c>
      <c r="AG557" s="0" t="s">
        <v>230</v>
      </c>
    </row>
    <row r="558" customFormat="false" ht="15" hidden="false" customHeight="false" outlineLevel="0" collapsed="false">
      <c r="A558" s="0" t="s">
        <v>7336</v>
      </c>
      <c r="B558" s="0" t="s">
        <v>2213</v>
      </c>
      <c r="C558" s="0" t="s">
        <v>2214</v>
      </c>
      <c r="D558" s="0" t="s">
        <v>227</v>
      </c>
      <c r="E558" s="0" t="s">
        <v>2215</v>
      </c>
      <c r="F558" s="0" t="s">
        <v>2187</v>
      </c>
      <c r="G558" s="0" t="s">
        <v>184</v>
      </c>
      <c r="H558" s="0" t="s">
        <v>7741</v>
      </c>
      <c r="I558" s="0" t="s">
        <v>7338</v>
      </c>
      <c r="J558" s="0" t="s">
        <v>1602</v>
      </c>
      <c r="K558" s="0" t="s">
        <v>7339</v>
      </c>
      <c r="L558" s="0" t="s">
        <v>7340</v>
      </c>
      <c r="M558" s="0" t="s">
        <v>7661</v>
      </c>
      <c r="N558" s="0" t="s">
        <v>7342</v>
      </c>
      <c r="P558" s="0" t="s">
        <v>229</v>
      </c>
      <c r="Q558" s="0" t="s">
        <v>7354</v>
      </c>
      <c r="R558" s="0" t="s">
        <v>7343</v>
      </c>
      <c r="S558" s="0" t="s">
        <v>7344</v>
      </c>
      <c r="T558" s="0" t="s">
        <v>228</v>
      </c>
      <c r="V558" s="0" t="s">
        <v>55</v>
      </c>
      <c r="W558" s="0" t="s">
        <v>2146</v>
      </c>
      <c r="X558" s="0" t="s">
        <v>7355</v>
      </c>
      <c r="Y558" s="0" t="s">
        <v>7731</v>
      </c>
      <c r="Z558" s="0" t="s">
        <v>7668</v>
      </c>
      <c r="AA558" s="0" t="s">
        <v>7669</v>
      </c>
      <c r="AB558" s="0" t="s">
        <v>344</v>
      </c>
      <c r="AC558" s="0" t="s">
        <v>7629</v>
      </c>
      <c r="AE558" s="0" t="s">
        <v>7360</v>
      </c>
      <c r="AF558" s="0" t="s">
        <v>7361</v>
      </c>
      <c r="AG558" s="0" t="s">
        <v>230</v>
      </c>
    </row>
    <row r="559" customFormat="false" ht="15" hidden="false" customHeight="false" outlineLevel="0" collapsed="false">
      <c r="A559" s="0" t="s">
        <v>7336</v>
      </c>
      <c r="B559" s="0" t="s">
        <v>2216</v>
      </c>
      <c r="C559" s="0" t="s">
        <v>2217</v>
      </c>
      <c r="D559" s="0" t="s">
        <v>227</v>
      </c>
      <c r="E559" s="0" t="s">
        <v>2218</v>
      </c>
      <c r="F559" s="0" t="s">
        <v>2194</v>
      </c>
      <c r="G559" s="0" t="s">
        <v>184</v>
      </c>
      <c r="H559" s="0" t="s">
        <v>7742</v>
      </c>
      <c r="I559" s="0" t="s">
        <v>7338</v>
      </c>
      <c r="J559" s="0" t="s">
        <v>1602</v>
      </c>
      <c r="K559" s="0" t="s">
        <v>7339</v>
      </c>
      <c r="L559" s="0" t="s">
        <v>7340</v>
      </c>
      <c r="M559" s="0" t="s">
        <v>7661</v>
      </c>
      <c r="N559" s="0" t="s">
        <v>7342</v>
      </c>
      <c r="P559" s="0" t="s">
        <v>229</v>
      </c>
      <c r="Q559" s="0" t="s">
        <v>7354</v>
      </c>
      <c r="R559" s="0" t="s">
        <v>7343</v>
      </c>
      <c r="S559" s="0" t="s">
        <v>7344</v>
      </c>
      <c r="T559" s="0" t="s">
        <v>228</v>
      </c>
      <c r="V559" s="0" t="s">
        <v>55</v>
      </c>
      <c r="W559" s="0" t="s">
        <v>2146</v>
      </c>
      <c r="X559" s="0" t="s">
        <v>7355</v>
      </c>
      <c r="Y559" s="0" t="s">
        <v>7731</v>
      </c>
      <c r="Z559" s="0" t="s">
        <v>7668</v>
      </c>
      <c r="AA559" s="0" t="s">
        <v>7669</v>
      </c>
      <c r="AB559" s="0" t="s">
        <v>344</v>
      </c>
      <c r="AC559" s="0" t="s">
        <v>7629</v>
      </c>
      <c r="AE559" s="0" t="s">
        <v>7360</v>
      </c>
      <c r="AF559" s="0" t="s">
        <v>7361</v>
      </c>
      <c r="AG559" s="0" t="s">
        <v>230</v>
      </c>
    </row>
    <row r="560" customFormat="false" ht="15" hidden="false" customHeight="false" outlineLevel="0" collapsed="false">
      <c r="A560" s="0" t="s">
        <v>7336</v>
      </c>
      <c r="B560" s="0" t="s">
        <v>2219</v>
      </c>
      <c r="C560" s="0" t="s">
        <v>2220</v>
      </c>
      <c r="D560" s="0" t="s">
        <v>227</v>
      </c>
      <c r="E560" s="0" t="s">
        <v>2221</v>
      </c>
      <c r="F560" s="0" t="s">
        <v>2222</v>
      </c>
      <c r="G560" s="0" t="s">
        <v>138</v>
      </c>
      <c r="H560" s="0" t="s">
        <v>7743</v>
      </c>
      <c r="I560" s="0" t="s">
        <v>7338</v>
      </c>
      <c r="J560" s="0" t="s">
        <v>1602</v>
      </c>
      <c r="K560" s="0" t="s">
        <v>7339</v>
      </c>
      <c r="L560" s="0" t="s">
        <v>7340</v>
      </c>
      <c r="M560" s="0" t="s">
        <v>7661</v>
      </c>
      <c r="N560" s="0" t="s">
        <v>7342</v>
      </c>
    </row>
    <row r="561" customFormat="false" ht="15" hidden="false" customHeight="false" outlineLevel="0" collapsed="false">
      <c r="A561" s="0" t="s">
        <v>7336</v>
      </c>
      <c r="B561" s="0" t="s">
        <v>2223</v>
      </c>
      <c r="C561" s="0" t="s">
        <v>2224</v>
      </c>
      <c r="D561" s="0" t="s">
        <v>227</v>
      </c>
      <c r="E561" s="0" t="s">
        <v>2225</v>
      </c>
      <c r="F561" s="0" t="s">
        <v>2226</v>
      </c>
      <c r="G561" s="0" t="s">
        <v>138</v>
      </c>
      <c r="H561" s="0" t="s">
        <v>7744</v>
      </c>
      <c r="I561" s="0" t="s">
        <v>7338</v>
      </c>
      <c r="J561" s="0" t="s">
        <v>1602</v>
      </c>
      <c r="K561" s="0" t="s">
        <v>7339</v>
      </c>
      <c r="L561" s="0" t="s">
        <v>7340</v>
      </c>
      <c r="M561" s="0" t="s">
        <v>7661</v>
      </c>
      <c r="N561" s="0" t="s">
        <v>7342</v>
      </c>
    </row>
    <row r="562" customFormat="false" ht="15" hidden="false" customHeight="false" outlineLevel="0" collapsed="false">
      <c r="A562" s="0" t="s">
        <v>7336</v>
      </c>
      <c r="B562" s="0" t="s">
        <v>2227</v>
      </c>
      <c r="C562" s="0" t="s">
        <v>2228</v>
      </c>
      <c r="D562" s="0" t="s">
        <v>227</v>
      </c>
      <c r="E562" s="0" t="s">
        <v>2229</v>
      </c>
      <c r="F562" s="0" t="s">
        <v>2230</v>
      </c>
      <c r="G562" s="0" t="s">
        <v>168</v>
      </c>
      <c r="H562" s="0" t="s">
        <v>7745</v>
      </c>
      <c r="I562" s="0" t="s">
        <v>7338</v>
      </c>
      <c r="J562" s="0" t="s">
        <v>1602</v>
      </c>
      <c r="K562" s="0" t="s">
        <v>7339</v>
      </c>
      <c r="L562" s="0" t="s">
        <v>7340</v>
      </c>
      <c r="M562" s="0" t="s">
        <v>7661</v>
      </c>
      <c r="N562" s="0" t="s">
        <v>7342</v>
      </c>
      <c r="P562" s="0" t="s">
        <v>229</v>
      </c>
      <c r="Q562" s="0" t="s">
        <v>7354</v>
      </c>
      <c r="R562" s="0" t="s">
        <v>7343</v>
      </c>
      <c r="S562" s="0" t="s">
        <v>7344</v>
      </c>
      <c r="T562" s="0" t="s">
        <v>2231</v>
      </c>
      <c r="V562" s="0" t="s">
        <v>55</v>
      </c>
      <c r="W562" s="0" t="s">
        <v>59</v>
      </c>
      <c r="X562" s="0" t="s">
        <v>7355</v>
      </c>
      <c r="Y562" s="0" t="s">
        <v>7667</v>
      </c>
      <c r="Z562" s="0" t="s">
        <v>7668</v>
      </c>
      <c r="AA562" s="0" t="s">
        <v>7669</v>
      </c>
      <c r="AB562" s="0" t="s">
        <v>237</v>
      </c>
      <c r="AC562" s="0" t="s">
        <v>7629</v>
      </c>
      <c r="AD562" s="0" t="s">
        <v>7746</v>
      </c>
      <c r="AE562" s="0" t="s">
        <v>7360</v>
      </c>
      <c r="AF562" s="0" t="s">
        <v>7361</v>
      </c>
      <c r="AG562" s="0" t="s">
        <v>230</v>
      </c>
    </row>
    <row r="563" customFormat="false" ht="15" hidden="false" customHeight="false" outlineLevel="0" collapsed="false">
      <c r="A563" s="0" t="s">
        <v>7336</v>
      </c>
      <c r="B563" s="0" t="s">
        <v>2232</v>
      </c>
      <c r="C563" s="0" t="s">
        <v>2233</v>
      </c>
      <c r="D563" s="0" t="s">
        <v>227</v>
      </c>
      <c r="E563" s="0" t="s">
        <v>2234</v>
      </c>
      <c r="F563" s="0" t="s">
        <v>2235</v>
      </c>
      <c r="G563" s="0" t="s">
        <v>168</v>
      </c>
      <c r="H563" s="0" t="s">
        <v>7747</v>
      </c>
      <c r="I563" s="0" t="s">
        <v>7338</v>
      </c>
      <c r="J563" s="0" t="s">
        <v>1602</v>
      </c>
      <c r="K563" s="0" t="s">
        <v>7339</v>
      </c>
      <c r="L563" s="0" t="s">
        <v>7340</v>
      </c>
      <c r="M563" s="0" t="s">
        <v>7661</v>
      </c>
      <c r="N563" s="0" t="s">
        <v>7342</v>
      </c>
      <c r="P563" s="0" t="s">
        <v>229</v>
      </c>
      <c r="Q563" s="0" t="s">
        <v>7354</v>
      </c>
      <c r="R563" s="0" t="s">
        <v>7343</v>
      </c>
      <c r="S563" s="0" t="s">
        <v>7344</v>
      </c>
      <c r="T563" s="0" t="s">
        <v>2231</v>
      </c>
      <c r="V563" s="0" t="s">
        <v>55</v>
      </c>
      <c r="W563" s="0" t="s">
        <v>59</v>
      </c>
      <c r="X563" s="0" t="s">
        <v>7355</v>
      </c>
      <c r="Y563" s="0" t="s">
        <v>7667</v>
      </c>
      <c r="Z563" s="0" t="s">
        <v>7668</v>
      </c>
      <c r="AA563" s="0" t="s">
        <v>7669</v>
      </c>
      <c r="AB563" s="0" t="s">
        <v>237</v>
      </c>
      <c r="AC563" s="0" t="s">
        <v>7629</v>
      </c>
      <c r="AD563" s="0" t="s">
        <v>7746</v>
      </c>
      <c r="AE563" s="0" t="s">
        <v>7360</v>
      </c>
      <c r="AF563" s="0" t="s">
        <v>7361</v>
      </c>
      <c r="AG563" s="0" t="s">
        <v>230</v>
      </c>
    </row>
    <row r="564" customFormat="false" ht="15" hidden="false" customHeight="false" outlineLevel="0" collapsed="false">
      <c r="A564" s="0" t="s">
        <v>7336</v>
      </c>
      <c r="B564" s="0" t="s">
        <v>2236</v>
      </c>
      <c r="C564" s="0" t="s">
        <v>2237</v>
      </c>
      <c r="D564" s="0" t="s">
        <v>227</v>
      </c>
      <c r="E564" s="0" t="s">
        <v>2238</v>
      </c>
      <c r="F564" s="0" t="s">
        <v>2239</v>
      </c>
      <c r="G564" s="0" t="s">
        <v>168</v>
      </c>
      <c r="H564" s="0" t="s">
        <v>7748</v>
      </c>
      <c r="I564" s="0" t="s">
        <v>7338</v>
      </c>
      <c r="J564" s="0" t="s">
        <v>1602</v>
      </c>
      <c r="K564" s="0" t="s">
        <v>7339</v>
      </c>
      <c r="L564" s="0" t="s">
        <v>7340</v>
      </c>
      <c r="M564" s="0" t="s">
        <v>7661</v>
      </c>
      <c r="N564" s="0" t="s">
        <v>7342</v>
      </c>
      <c r="P564" s="0" t="s">
        <v>229</v>
      </c>
      <c r="Q564" s="0" t="s">
        <v>7354</v>
      </c>
      <c r="R564" s="0" t="s">
        <v>7343</v>
      </c>
      <c r="S564" s="0" t="s">
        <v>7344</v>
      </c>
      <c r="T564" s="0" t="s">
        <v>2231</v>
      </c>
      <c r="V564" s="0" t="s">
        <v>55</v>
      </c>
      <c r="W564" s="0" t="s">
        <v>59</v>
      </c>
      <c r="X564" s="0" t="s">
        <v>7355</v>
      </c>
      <c r="Y564" s="0" t="s">
        <v>7667</v>
      </c>
      <c r="Z564" s="0" t="s">
        <v>7668</v>
      </c>
      <c r="AA564" s="0" t="s">
        <v>7669</v>
      </c>
      <c r="AB564" s="0" t="s">
        <v>237</v>
      </c>
      <c r="AC564" s="0" t="s">
        <v>7629</v>
      </c>
      <c r="AD564" s="0" t="s">
        <v>7746</v>
      </c>
      <c r="AE564" s="0" t="s">
        <v>7360</v>
      </c>
      <c r="AF564" s="0" t="s">
        <v>7361</v>
      </c>
      <c r="AG564" s="0" t="s">
        <v>230</v>
      </c>
    </row>
    <row r="565" customFormat="false" ht="15" hidden="false" customHeight="false" outlineLevel="0" collapsed="false">
      <c r="A565" s="0" t="s">
        <v>7336</v>
      </c>
      <c r="B565" s="0" t="s">
        <v>2240</v>
      </c>
      <c r="C565" s="0" t="s">
        <v>2241</v>
      </c>
      <c r="D565" s="0" t="s">
        <v>227</v>
      </c>
      <c r="E565" s="0" t="s">
        <v>2242</v>
      </c>
      <c r="F565" s="0" t="s">
        <v>2243</v>
      </c>
      <c r="G565" s="0" t="s">
        <v>168</v>
      </c>
      <c r="H565" s="0" t="s">
        <v>7749</v>
      </c>
      <c r="I565" s="0" t="s">
        <v>7338</v>
      </c>
      <c r="J565" s="0" t="s">
        <v>1602</v>
      </c>
      <c r="K565" s="0" t="s">
        <v>7339</v>
      </c>
      <c r="L565" s="0" t="s">
        <v>7340</v>
      </c>
      <c r="M565" s="0" t="s">
        <v>7661</v>
      </c>
      <c r="N565" s="0" t="s">
        <v>7342</v>
      </c>
      <c r="P565" s="0" t="s">
        <v>229</v>
      </c>
      <c r="Q565" s="0" t="s">
        <v>7354</v>
      </c>
      <c r="R565" s="0" t="s">
        <v>7343</v>
      </c>
      <c r="S565" s="0" t="s">
        <v>7344</v>
      </c>
      <c r="T565" s="0" t="s">
        <v>2231</v>
      </c>
      <c r="V565" s="0" t="s">
        <v>55</v>
      </c>
      <c r="W565" s="0" t="s">
        <v>59</v>
      </c>
      <c r="X565" s="0" t="s">
        <v>7355</v>
      </c>
      <c r="Y565" s="0" t="s">
        <v>7667</v>
      </c>
      <c r="Z565" s="0" t="s">
        <v>7668</v>
      </c>
      <c r="AA565" s="0" t="s">
        <v>7669</v>
      </c>
      <c r="AB565" s="0" t="s">
        <v>237</v>
      </c>
      <c r="AC565" s="0" t="s">
        <v>7629</v>
      </c>
      <c r="AD565" s="0" t="s">
        <v>7746</v>
      </c>
      <c r="AE565" s="0" t="s">
        <v>7360</v>
      </c>
      <c r="AF565" s="0" t="s">
        <v>7361</v>
      </c>
      <c r="AG565" s="0" t="s">
        <v>230</v>
      </c>
    </row>
    <row r="566" customFormat="false" ht="15" hidden="false" customHeight="false" outlineLevel="0" collapsed="false">
      <c r="A566" s="0" t="s">
        <v>7336</v>
      </c>
      <c r="B566" s="0" t="s">
        <v>2244</v>
      </c>
      <c r="C566" s="0" t="s">
        <v>2245</v>
      </c>
      <c r="D566" s="0" t="s">
        <v>227</v>
      </c>
      <c r="E566" s="0" t="s">
        <v>2246</v>
      </c>
      <c r="F566" s="0" t="s">
        <v>2230</v>
      </c>
      <c r="G566" s="0" t="s">
        <v>168</v>
      </c>
      <c r="H566" s="0" t="s">
        <v>7745</v>
      </c>
      <c r="I566" s="0" t="s">
        <v>7338</v>
      </c>
      <c r="J566" s="0" t="s">
        <v>1602</v>
      </c>
      <c r="K566" s="0" t="s">
        <v>7339</v>
      </c>
      <c r="L566" s="0" t="s">
        <v>7340</v>
      </c>
      <c r="M566" s="0" t="s">
        <v>7661</v>
      </c>
      <c r="N566" s="0" t="s">
        <v>7342</v>
      </c>
      <c r="P566" s="0" t="s">
        <v>229</v>
      </c>
      <c r="Q566" s="0" t="s">
        <v>7354</v>
      </c>
      <c r="R566" s="0" t="s">
        <v>7343</v>
      </c>
      <c r="S566" s="0" t="s">
        <v>7344</v>
      </c>
      <c r="T566" s="0" t="s">
        <v>2231</v>
      </c>
      <c r="V566" s="0" t="s">
        <v>55</v>
      </c>
      <c r="W566" s="0" t="s">
        <v>59</v>
      </c>
      <c r="X566" s="0" t="s">
        <v>7355</v>
      </c>
      <c r="Y566" s="0" t="s">
        <v>7667</v>
      </c>
      <c r="Z566" s="0" t="s">
        <v>7668</v>
      </c>
      <c r="AA566" s="0" t="s">
        <v>7669</v>
      </c>
      <c r="AB566" s="0" t="s">
        <v>237</v>
      </c>
      <c r="AC566" s="0" t="s">
        <v>7629</v>
      </c>
      <c r="AD566" s="0" t="s">
        <v>7746</v>
      </c>
      <c r="AE566" s="0" t="s">
        <v>7360</v>
      </c>
      <c r="AF566" s="0" t="s">
        <v>7361</v>
      </c>
      <c r="AG566" s="0" t="s">
        <v>230</v>
      </c>
    </row>
    <row r="567" customFormat="false" ht="15" hidden="false" customHeight="false" outlineLevel="0" collapsed="false">
      <c r="A567" s="0" t="s">
        <v>7336</v>
      </c>
      <c r="B567" s="0" t="s">
        <v>2247</v>
      </c>
      <c r="C567" s="0" t="s">
        <v>2248</v>
      </c>
      <c r="D567" s="0" t="s">
        <v>227</v>
      </c>
      <c r="E567" s="0" t="s">
        <v>2249</v>
      </c>
      <c r="F567" s="0" t="s">
        <v>2235</v>
      </c>
      <c r="G567" s="0" t="s">
        <v>168</v>
      </c>
      <c r="H567" s="0" t="s">
        <v>7747</v>
      </c>
      <c r="I567" s="0" t="s">
        <v>7338</v>
      </c>
      <c r="J567" s="0" t="s">
        <v>1602</v>
      </c>
      <c r="K567" s="0" t="s">
        <v>7339</v>
      </c>
      <c r="L567" s="0" t="s">
        <v>7340</v>
      </c>
      <c r="M567" s="0" t="s">
        <v>7661</v>
      </c>
      <c r="N567" s="0" t="s">
        <v>7342</v>
      </c>
      <c r="P567" s="0" t="s">
        <v>229</v>
      </c>
      <c r="Q567" s="0" t="s">
        <v>7354</v>
      </c>
      <c r="R567" s="0" t="s">
        <v>7343</v>
      </c>
      <c r="S567" s="0" t="s">
        <v>7344</v>
      </c>
      <c r="T567" s="0" t="s">
        <v>2231</v>
      </c>
      <c r="V567" s="0" t="s">
        <v>55</v>
      </c>
      <c r="W567" s="0" t="s">
        <v>59</v>
      </c>
      <c r="X567" s="0" t="s">
        <v>7355</v>
      </c>
      <c r="Y567" s="0" t="s">
        <v>7667</v>
      </c>
      <c r="Z567" s="0" t="s">
        <v>7668</v>
      </c>
      <c r="AA567" s="0" t="s">
        <v>7669</v>
      </c>
      <c r="AB567" s="0" t="s">
        <v>237</v>
      </c>
      <c r="AC567" s="0" t="s">
        <v>7629</v>
      </c>
      <c r="AD567" s="0" t="s">
        <v>7746</v>
      </c>
      <c r="AE567" s="0" t="s">
        <v>7360</v>
      </c>
      <c r="AF567" s="0" t="s">
        <v>7361</v>
      </c>
      <c r="AG567" s="0" t="s">
        <v>230</v>
      </c>
    </row>
    <row r="568" customFormat="false" ht="15" hidden="false" customHeight="false" outlineLevel="0" collapsed="false">
      <c r="A568" s="0" t="s">
        <v>7336</v>
      </c>
      <c r="B568" s="0" t="s">
        <v>2250</v>
      </c>
      <c r="C568" s="0" t="s">
        <v>2251</v>
      </c>
      <c r="D568" s="0" t="s">
        <v>227</v>
      </c>
      <c r="E568" s="0" t="s">
        <v>2252</v>
      </c>
      <c r="F568" s="0" t="s">
        <v>2239</v>
      </c>
      <c r="G568" s="0" t="s">
        <v>168</v>
      </c>
      <c r="H568" s="0" t="s">
        <v>7748</v>
      </c>
      <c r="I568" s="0" t="s">
        <v>7338</v>
      </c>
      <c r="J568" s="0" t="s">
        <v>1602</v>
      </c>
      <c r="K568" s="0" t="s">
        <v>7339</v>
      </c>
      <c r="L568" s="0" t="s">
        <v>7340</v>
      </c>
      <c r="M568" s="0" t="s">
        <v>7661</v>
      </c>
      <c r="N568" s="0" t="s">
        <v>7342</v>
      </c>
      <c r="P568" s="0" t="s">
        <v>229</v>
      </c>
      <c r="Q568" s="0" t="s">
        <v>7354</v>
      </c>
      <c r="R568" s="0" t="s">
        <v>7343</v>
      </c>
      <c r="S568" s="0" t="s">
        <v>7344</v>
      </c>
      <c r="T568" s="0" t="s">
        <v>2231</v>
      </c>
      <c r="V568" s="0" t="s">
        <v>55</v>
      </c>
      <c r="W568" s="0" t="s">
        <v>59</v>
      </c>
      <c r="X568" s="0" t="s">
        <v>7355</v>
      </c>
      <c r="Y568" s="0" t="s">
        <v>7667</v>
      </c>
      <c r="Z568" s="0" t="s">
        <v>7668</v>
      </c>
      <c r="AA568" s="0" t="s">
        <v>7669</v>
      </c>
      <c r="AB568" s="0" t="s">
        <v>237</v>
      </c>
      <c r="AC568" s="0" t="s">
        <v>7629</v>
      </c>
      <c r="AD568" s="0" t="s">
        <v>7746</v>
      </c>
      <c r="AE568" s="0" t="s">
        <v>7360</v>
      </c>
      <c r="AF568" s="0" t="s">
        <v>7361</v>
      </c>
      <c r="AG568" s="0" t="s">
        <v>230</v>
      </c>
    </row>
    <row r="569" customFormat="false" ht="15" hidden="false" customHeight="false" outlineLevel="0" collapsed="false">
      <c r="A569" s="0" t="s">
        <v>7336</v>
      </c>
      <c r="B569" s="0" t="s">
        <v>2253</v>
      </c>
      <c r="C569" s="0" t="s">
        <v>2254</v>
      </c>
      <c r="D569" s="0" t="s">
        <v>227</v>
      </c>
      <c r="E569" s="0" t="s">
        <v>2255</v>
      </c>
      <c r="F569" s="0" t="s">
        <v>2243</v>
      </c>
      <c r="G569" s="0" t="s">
        <v>168</v>
      </c>
      <c r="H569" s="0" t="s">
        <v>7749</v>
      </c>
      <c r="I569" s="0" t="s">
        <v>7338</v>
      </c>
      <c r="J569" s="0" t="s">
        <v>1602</v>
      </c>
      <c r="K569" s="0" t="s">
        <v>7339</v>
      </c>
      <c r="L569" s="0" t="s">
        <v>7340</v>
      </c>
      <c r="M569" s="0" t="s">
        <v>7661</v>
      </c>
      <c r="N569" s="0" t="s">
        <v>7342</v>
      </c>
      <c r="P569" s="0" t="s">
        <v>229</v>
      </c>
      <c r="Q569" s="0" t="s">
        <v>7354</v>
      </c>
      <c r="R569" s="0" t="s">
        <v>7343</v>
      </c>
      <c r="S569" s="0" t="s">
        <v>7344</v>
      </c>
      <c r="T569" s="0" t="s">
        <v>2231</v>
      </c>
      <c r="V569" s="0" t="s">
        <v>55</v>
      </c>
      <c r="W569" s="0" t="s">
        <v>59</v>
      </c>
      <c r="X569" s="0" t="s">
        <v>7355</v>
      </c>
      <c r="Y569" s="0" t="s">
        <v>7667</v>
      </c>
      <c r="Z569" s="0" t="s">
        <v>7668</v>
      </c>
      <c r="AA569" s="0" t="s">
        <v>7669</v>
      </c>
      <c r="AB569" s="0" t="s">
        <v>237</v>
      </c>
      <c r="AC569" s="0" t="s">
        <v>7629</v>
      </c>
      <c r="AD569" s="0" t="s">
        <v>7746</v>
      </c>
      <c r="AE569" s="0" t="s">
        <v>7360</v>
      </c>
      <c r="AF569" s="0" t="s">
        <v>7361</v>
      </c>
      <c r="AG569" s="0" t="s">
        <v>230</v>
      </c>
    </row>
    <row r="570" customFormat="false" ht="15" hidden="false" customHeight="false" outlineLevel="0" collapsed="false">
      <c r="A570" s="0" t="s">
        <v>7336</v>
      </c>
      <c r="B570" s="0" t="s">
        <v>2256</v>
      </c>
      <c r="C570" s="0" t="s">
        <v>2257</v>
      </c>
      <c r="D570" s="0" t="s">
        <v>227</v>
      </c>
      <c r="E570" s="0" t="s">
        <v>2258</v>
      </c>
      <c r="F570" s="0" t="s">
        <v>2259</v>
      </c>
      <c r="G570" s="0" t="s">
        <v>168</v>
      </c>
      <c r="H570" s="0" t="s">
        <v>7750</v>
      </c>
      <c r="I570" s="0" t="s">
        <v>7338</v>
      </c>
      <c r="J570" s="0" t="s">
        <v>1602</v>
      </c>
      <c r="K570" s="0" t="s">
        <v>7339</v>
      </c>
      <c r="L570" s="0" t="s">
        <v>7340</v>
      </c>
      <c r="M570" s="0" t="s">
        <v>7661</v>
      </c>
      <c r="N570" s="0" t="s">
        <v>7342</v>
      </c>
      <c r="P570" s="0" t="s">
        <v>229</v>
      </c>
      <c r="Q570" s="0" t="s">
        <v>7354</v>
      </c>
      <c r="R570" s="0" t="s">
        <v>7343</v>
      </c>
      <c r="S570" s="0" t="s">
        <v>7344</v>
      </c>
      <c r="T570" s="0" t="s">
        <v>2231</v>
      </c>
      <c r="V570" s="0" t="s">
        <v>55</v>
      </c>
      <c r="W570" s="0" t="s">
        <v>59</v>
      </c>
      <c r="X570" s="0" t="s">
        <v>7355</v>
      </c>
      <c r="Y570" s="0" t="s">
        <v>7667</v>
      </c>
      <c r="Z570" s="0" t="s">
        <v>7668</v>
      </c>
      <c r="AA570" s="0" t="s">
        <v>7669</v>
      </c>
      <c r="AB570" s="0" t="s">
        <v>237</v>
      </c>
      <c r="AC570" s="0" t="s">
        <v>7629</v>
      </c>
      <c r="AD570" s="0" t="s">
        <v>7746</v>
      </c>
      <c r="AE570" s="0" t="s">
        <v>7360</v>
      </c>
      <c r="AF570" s="0" t="s">
        <v>7361</v>
      </c>
      <c r="AG570" s="0" t="s">
        <v>230</v>
      </c>
    </row>
    <row r="571" customFormat="false" ht="15" hidden="false" customHeight="false" outlineLevel="0" collapsed="false">
      <c r="A571" s="0" t="s">
        <v>7336</v>
      </c>
      <c r="B571" s="0" t="s">
        <v>2260</v>
      </c>
      <c r="C571" s="0" t="s">
        <v>2261</v>
      </c>
      <c r="D571" s="0" t="s">
        <v>227</v>
      </c>
      <c r="E571" s="0" t="s">
        <v>2262</v>
      </c>
      <c r="F571" s="0" t="s">
        <v>2263</v>
      </c>
      <c r="G571" s="0" t="s">
        <v>168</v>
      </c>
      <c r="H571" s="0" t="s">
        <v>7751</v>
      </c>
      <c r="I571" s="0" t="s">
        <v>7338</v>
      </c>
      <c r="J571" s="0" t="s">
        <v>1602</v>
      </c>
      <c r="K571" s="0" t="s">
        <v>7339</v>
      </c>
      <c r="L571" s="0" t="s">
        <v>7340</v>
      </c>
      <c r="M571" s="0" t="s">
        <v>7661</v>
      </c>
      <c r="N571" s="0" t="s">
        <v>7342</v>
      </c>
      <c r="P571" s="0" t="s">
        <v>229</v>
      </c>
      <c r="Q571" s="0" t="s">
        <v>7354</v>
      </c>
      <c r="R571" s="0" t="s">
        <v>7343</v>
      </c>
      <c r="S571" s="0" t="s">
        <v>7344</v>
      </c>
      <c r="T571" s="0" t="s">
        <v>2231</v>
      </c>
      <c r="V571" s="0" t="s">
        <v>55</v>
      </c>
      <c r="W571" s="0" t="s">
        <v>59</v>
      </c>
      <c r="X571" s="0" t="s">
        <v>7355</v>
      </c>
      <c r="Y571" s="0" t="s">
        <v>7667</v>
      </c>
      <c r="Z571" s="0" t="s">
        <v>7668</v>
      </c>
      <c r="AA571" s="0" t="s">
        <v>7669</v>
      </c>
      <c r="AB571" s="0" t="s">
        <v>237</v>
      </c>
      <c r="AC571" s="0" t="s">
        <v>7629</v>
      </c>
      <c r="AD571" s="0" t="s">
        <v>7746</v>
      </c>
      <c r="AE571" s="0" t="s">
        <v>7360</v>
      </c>
      <c r="AF571" s="0" t="s">
        <v>7361</v>
      </c>
      <c r="AG571" s="0" t="s">
        <v>230</v>
      </c>
    </row>
    <row r="572" customFormat="false" ht="15" hidden="false" customHeight="false" outlineLevel="0" collapsed="false">
      <c r="A572" s="0" t="s">
        <v>7336</v>
      </c>
      <c r="B572" s="0" t="s">
        <v>2264</v>
      </c>
      <c r="C572" s="0" t="s">
        <v>2265</v>
      </c>
      <c r="D572" s="0" t="s">
        <v>227</v>
      </c>
      <c r="E572" s="0" t="s">
        <v>2266</v>
      </c>
      <c r="F572" s="0" t="s">
        <v>2267</v>
      </c>
      <c r="G572" s="0" t="s">
        <v>168</v>
      </c>
      <c r="H572" s="0" t="s">
        <v>7752</v>
      </c>
      <c r="I572" s="0" t="s">
        <v>7338</v>
      </c>
      <c r="J572" s="0" t="s">
        <v>1602</v>
      </c>
      <c r="K572" s="0" t="s">
        <v>7339</v>
      </c>
      <c r="L572" s="0" t="s">
        <v>7340</v>
      </c>
      <c r="M572" s="0" t="s">
        <v>7661</v>
      </c>
      <c r="N572" s="0" t="s">
        <v>7342</v>
      </c>
      <c r="P572" s="0" t="s">
        <v>229</v>
      </c>
      <c r="Q572" s="0" t="s">
        <v>7354</v>
      </c>
      <c r="R572" s="0" t="s">
        <v>7343</v>
      </c>
      <c r="S572" s="0" t="s">
        <v>7344</v>
      </c>
      <c r="T572" s="0" t="s">
        <v>2231</v>
      </c>
      <c r="V572" s="0" t="s">
        <v>55</v>
      </c>
      <c r="W572" s="0" t="s">
        <v>59</v>
      </c>
      <c r="X572" s="0" t="s">
        <v>7355</v>
      </c>
      <c r="Y572" s="0" t="s">
        <v>7667</v>
      </c>
      <c r="Z572" s="0" t="s">
        <v>7668</v>
      </c>
      <c r="AA572" s="0" t="s">
        <v>7669</v>
      </c>
      <c r="AB572" s="0" t="s">
        <v>237</v>
      </c>
      <c r="AC572" s="0" t="s">
        <v>7629</v>
      </c>
      <c r="AD572" s="0" t="s">
        <v>7746</v>
      </c>
      <c r="AE572" s="0" t="s">
        <v>7360</v>
      </c>
      <c r="AF572" s="0" t="s">
        <v>7361</v>
      </c>
      <c r="AG572" s="0" t="s">
        <v>230</v>
      </c>
    </row>
    <row r="573" customFormat="false" ht="15" hidden="false" customHeight="false" outlineLevel="0" collapsed="false">
      <c r="A573" s="0" t="s">
        <v>7336</v>
      </c>
      <c r="B573" s="0" t="s">
        <v>2268</v>
      </c>
      <c r="C573" s="0" t="s">
        <v>2269</v>
      </c>
      <c r="D573" s="0" t="s">
        <v>227</v>
      </c>
      <c r="E573" s="0" t="s">
        <v>2270</v>
      </c>
      <c r="F573" s="0" t="s">
        <v>2271</v>
      </c>
      <c r="G573" s="0" t="s">
        <v>168</v>
      </c>
      <c r="H573" s="0" t="s">
        <v>7753</v>
      </c>
      <c r="I573" s="0" t="s">
        <v>7338</v>
      </c>
      <c r="J573" s="0" t="s">
        <v>1602</v>
      </c>
      <c r="K573" s="0" t="s">
        <v>7339</v>
      </c>
      <c r="L573" s="0" t="s">
        <v>7340</v>
      </c>
      <c r="M573" s="0" t="s">
        <v>7661</v>
      </c>
      <c r="N573" s="0" t="s">
        <v>7342</v>
      </c>
      <c r="P573" s="0" t="s">
        <v>229</v>
      </c>
      <c r="Q573" s="0" t="s">
        <v>7354</v>
      </c>
      <c r="R573" s="0" t="s">
        <v>7343</v>
      </c>
      <c r="S573" s="0" t="s">
        <v>7344</v>
      </c>
      <c r="T573" s="0" t="s">
        <v>2231</v>
      </c>
      <c r="V573" s="0" t="s">
        <v>55</v>
      </c>
      <c r="W573" s="0" t="s">
        <v>59</v>
      </c>
      <c r="X573" s="0" t="s">
        <v>7355</v>
      </c>
      <c r="Y573" s="0" t="s">
        <v>7667</v>
      </c>
      <c r="Z573" s="0" t="s">
        <v>7668</v>
      </c>
      <c r="AA573" s="0" t="s">
        <v>7669</v>
      </c>
      <c r="AB573" s="0" t="s">
        <v>237</v>
      </c>
      <c r="AC573" s="0" t="s">
        <v>7629</v>
      </c>
      <c r="AD573" s="0" t="s">
        <v>7746</v>
      </c>
      <c r="AE573" s="0" t="s">
        <v>7360</v>
      </c>
      <c r="AF573" s="0" t="s">
        <v>7361</v>
      </c>
      <c r="AG573" s="0" t="s">
        <v>230</v>
      </c>
    </row>
    <row r="574" customFormat="false" ht="15" hidden="false" customHeight="false" outlineLevel="0" collapsed="false">
      <c r="A574" s="0" t="s">
        <v>7336</v>
      </c>
      <c r="B574" s="0" t="s">
        <v>2272</v>
      </c>
      <c r="C574" s="0" t="s">
        <v>2273</v>
      </c>
      <c r="D574" s="0" t="s">
        <v>227</v>
      </c>
      <c r="E574" s="0" t="s">
        <v>2274</v>
      </c>
      <c r="F574" s="0" t="s">
        <v>2275</v>
      </c>
      <c r="G574" s="0" t="s">
        <v>182</v>
      </c>
      <c r="H574" s="0" t="s">
        <v>7754</v>
      </c>
      <c r="I574" s="0" t="s">
        <v>7338</v>
      </c>
      <c r="J574" s="0" t="s">
        <v>1602</v>
      </c>
      <c r="K574" s="0" t="s">
        <v>7339</v>
      </c>
      <c r="L574" s="0" t="s">
        <v>7340</v>
      </c>
      <c r="M574" s="0" t="s">
        <v>7661</v>
      </c>
      <c r="N574" s="0" t="s">
        <v>7342</v>
      </c>
      <c r="P574" s="0" t="s">
        <v>236</v>
      </c>
      <c r="Q574" s="0" t="s">
        <v>7354</v>
      </c>
      <c r="R574" s="0" t="s">
        <v>7343</v>
      </c>
      <c r="S574" s="0" t="s">
        <v>7344</v>
      </c>
      <c r="T574" s="0" t="s">
        <v>228</v>
      </c>
      <c r="V574" s="0" t="s">
        <v>73</v>
      </c>
      <c r="W574" s="0" t="s">
        <v>83</v>
      </c>
      <c r="X574" s="0" t="s">
        <v>7355</v>
      </c>
      <c r="Y574" s="0" t="s">
        <v>7356</v>
      </c>
      <c r="Z574" s="0" t="s">
        <v>7357</v>
      </c>
      <c r="AA574" s="0" t="s">
        <v>7358</v>
      </c>
      <c r="AB574" s="0" t="s">
        <v>237</v>
      </c>
      <c r="AC574" s="0" t="s">
        <v>7349</v>
      </c>
      <c r="AD574" s="0" t="s">
        <v>7755</v>
      </c>
      <c r="AE574" s="0" t="s">
        <v>7360</v>
      </c>
      <c r="AF574" s="0" t="s">
        <v>7361</v>
      </c>
      <c r="AG574" s="0" t="s">
        <v>230</v>
      </c>
    </row>
    <row r="575" customFormat="false" ht="15" hidden="false" customHeight="false" outlineLevel="0" collapsed="false">
      <c r="A575" s="0" t="s">
        <v>7336</v>
      </c>
      <c r="B575" s="0" t="s">
        <v>2276</v>
      </c>
      <c r="C575" s="0" t="s">
        <v>2277</v>
      </c>
      <c r="D575" s="0" t="s">
        <v>227</v>
      </c>
      <c r="E575" s="0" t="s">
        <v>2278</v>
      </c>
      <c r="F575" s="0" t="s">
        <v>2187</v>
      </c>
      <c r="G575" s="0" t="s">
        <v>184</v>
      </c>
      <c r="H575" s="0" t="s">
        <v>7741</v>
      </c>
      <c r="I575" s="0" t="s">
        <v>7338</v>
      </c>
      <c r="J575" s="0" t="s">
        <v>1602</v>
      </c>
      <c r="K575" s="0" t="s">
        <v>7339</v>
      </c>
      <c r="L575" s="0" t="s">
        <v>7340</v>
      </c>
      <c r="M575" s="0" t="s">
        <v>7661</v>
      </c>
      <c r="N575" s="0" t="s">
        <v>7342</v>
      </c>
      <c r="P575" s="0" t="s">
        <v>229</v>
      </c>
      <c r="Q575" s="0" t="s">
        <v>7354</v>
      </c>
      <c r="R575" s="0" t="s">
        <v>7343</v>
      </c>
      <c r="S575" s="0" t="s">
        <v>7344</v>
      </c>
      <c r="T575" s="0" t="s">
        <v>228</v>
      </c>
      <c r="V575" s="0" t="s">
        <v>73</v>
      </c>
      <c r="W575" s="0" t="s">
        <v>82</v>
      </c>
      <c r="X575" s="0" t="s">
        <v>7355</v>
      </c>
      <c r="Y575" s="0" t="s">
        <v>7756</v>
      </c>
      <c r="Z575" s="0" t="s">
        <v>7662</v>
      </c>
      <c r="AA575" s="0" t="s">
        <v>7757</v>
      </c>
      <c r="AB575" s="0" t="s">
        <v>237</v>
      </c>
      <c r="AC575" s="0" t="s">
        <v>7629</v>
      </c>
      <c r="AD575" s="0" t="s">
        <v>7665</v>
      </c>
      <c r="AE575" s="0" t="s">
        <v>7360</v>
      </c>
      <c r="AF575" s="0" t="s">
        <v>7361</v>
      </c>
      <c r="AG575" s="0" t="s">
        <v>230</v>
      </c>
    </row>
    <row r="576" customFormat="false" ht="15" hidden="false" customHeight="false" outlineLevel="0" collapsed="false">
      <c r="A576" s="0" t="s">
        <v>7336</v>
      </c>
      <c r="B576" s="0" t="s">
        <v>2279</v>
      </c>
      <c r="C576" s="0" t="s">
        <v>2280</v>
      </c>
      <c r="D576" s="0" t="s">
        <v>227</v>
      </c>
      <c r="E576" s="0" t="s">
        <v>2281</v>
      </c>
      <c r="F576" s="0" t="s">
        <v>2187</v>
      </c>
      <c r="G576" s="0" t="s">
        <v>184</v>
      </c>
      <c r="H576" s="0" t="s">
        <v>7741</v>
      </c>
      <c r="I576" s="0" t="s">
        <v>7338</v>
      </c>
      <c r="J576" s="0" t="s">
        <v>1602</v>
      </c>
      <c r="K576" s="0" t="s">
        <v>7339</v>
      </c>
      <c r="L576" s="0" t="s">
        <v>7340</v>
      </c>
      <c r="M576" s="0" t="s">
        <v>7661</v>
      </c>
      <c r="N576" s="0" t="s">
        <v>7342</v>
      </c>
      <c r="P576" s="0" t="s">
        <v>229</v>
      </c>
      <c r="Q576" s="0" t="s">
        <v>7354</v>
      </c>
      <c r="R576" s="0" t="s">
        <v>7343</v>
      </c>
      <c r="S576" s="0" t="s">
        <v>7344</v>
      </c>
      <c r="T576" s="0" t="s">
        <v>228</v>
      </c>
      <c r="V576" s="0" t="s">
        <v>73</v>
      </c>
      <c r="W576" s="0" t="s">
        <v>85</v>
      </c>
      <c r="X576" s="0" t="s">
        <v>7355</v>
      </c>
      <c r="AB576" s="0" t="s">
        <v>237</v>
      </c>
      <c r="AC576" s="0" t="s">
        <v>7629</v>
      </c>
      <c r="AD576" s="0" t="s">
        <v>7758</v>
      </c>
      <c r="AE576" s="0" t="s">
        <v>7360</v>
      </c>
      <c r="AF576" s="0" t="s">
        <v>7361</v>
      </c>
      <c r="AG576" s="0" t="s">
        <v>230</v>
      </c>
    </row>
    <row r="577" customFormat="false" ht="15" hidden="false" customHeight="false" outlineLevel="0" collapsed="false">
      <c r="A577" s="0" t="s">
        <v>7336</v>
      </c>
      <c r="B577" s="0" t="s">
        <v>2282</v>
      </c>
      <c r="C577" s="0" t="s">
        <v>2283</v>
      </c>
      <c r="D577" s="0" t="s">
        <v>227</v>
      </c>
      <c r="E577" s="0" t="s">
        <v>2284</v>
      </c>
      <c r="F577" s="0" t="s">
        <v>2187</v>
      </c>
      <c r="G577" s="0" t="s">
        <v>184</v>
      </c>
      <c r="H577" s="0" t="s">
        <v>7741</v>
      </c>
      <c r="I577" s="0" t="s">
        <v>7338</v>
      </c>
      <c r="J577" s="0" t="s">
        <v>1602</v>
      </c>
      <c r="K577" s="0" t="s">
        <v>7339</v>
      </c>
      <c r="L577" s="0" t="s">
        <v>7340</v>
      </c>
      <c r="M577" s="0" t="s">
        <v>7661</v>
      </c>
      <c r="N577" s="0" t="s">
        <v>7342</v>
      </c>
      <c r="P577" s="0" t="s">
        <v>229</v>
      </c>
      <c r="Q577" s="0" t="s">
        <v>7354</v>
      </c>
      <c r="R577" s="0" t="s">
        <v>7343</v>
      </c>
      <c r="S577" s="0" t="s">
        <v>7344</v>
      </c>
      <c r="T577" s="0" t="s">
        <v>228</v>
      </c>
      <c r="V577" s="0" t="s">
        <v>73</v>
      </c>
      <c r="W577" s="0" t="s">
        <v>82</v>
      </c>
      <c r="X577" s="0" t="s">
        <v>7355</v>
      </c>
      <c r="Y577" s="0" t="s">
        <v>7756</v>
      </c>
      <c r="Z577" s="0" t="s">
        <v>7662</v>
      </c>
      <c r="AA577" s="0" t="s">
        <v>7757</v>
      </c>
      <c r="AB577" s="0" t="s">
        <v>237</v>
      </c>
      <c r="AC577" s="0" t="s">
        <v>7629</v>
      </c>
      <c r="AD577" s="0" t="s">
        <v>7665</v>
      </c>
      <c r="AE577" s="0" t="s">
        <v>7360</v>
      </c>
      <c r="AF577" s="0" t="s">
        <v>7361</v>
      </c>
      <c r="AG577" s="0" t="s">
        <v>230</v>
      </c>
    </row>
    <row r="578" customFormat="false" ht="15" hidden="false" customHeight="false" outlineLevel="0" collapsed="false">
      <c r="A578" s="0" t="s">
        <v>7336</v>
      </c>
      <c r="B578" s="0" t="s">
        <v>2285</v>
      </c>
      <c r="C578" s="0" t="s">
        <v>2286</v>
      </c>
      <c r="D578" s="0" t="s">
        <v>227</v>
      </c>
      <c r="E578" s="0" t="s">
        <v>2287</v>
      </c>
      <c r="F578" s="0" t="s">
        <v>2288</v>
      </c>
      <c r="G578" s="0" t="s">
        <v>168</v>
      </c>
      <c r="H578" s="0" t="s">
        <v>7759</v>
      </c>
      <c r="I578" s="0" t="s">
        <v>7338</v>
      </c>
      <c r="J578" s="0" t="s">
        <v>1602</v>
      </c>
      <c r="K578" s="0" t="s">
        <v>7339</v>
      </c>
      <c r="L578" s="0" t="s">
        <v>7340</v>
      </c>
      <c r="M578" s="0" t="s">
        <v>7661</v>
      </c>
      <c r="N578" s="0" t="s">
        <v>7342</v>
      </c>
      <c r="P578" s="0" t="s">
        <v>229</v>
      </c>
      <c r="Q578" s="0" t="s">
        <v>7354</v>
      </c>
      <c r="R578" s="0" t="s">
        <v>7343</v>
      </c>
      <c r="S578" s="0" t="s">
        <v>7344</v>
      </c>
      <c r="T578" s="0" t="s">
        <v>2231</v>
      </c>
      <c r="V578" s="0" t="s">
        <v>73</v>
      </c>
      <c r="W578" s="0" t="s">
        <v>2289</v>
      </c>
      <c r="X578" s="0" t="s">
        <v>7355</v>
      </c>
      <c r="Y578" s="0" t="s">
        <v>7760</v>
      </c>
      <c r="Z578" s="0" t="s">
        <v>7357</v>
      </c>
      <c r="AA578" s="0" t="s">
        <v>7358</v>
      </c>
      <c r="AB578" s="0" t="s">
        <v>237</v>
      </c>
      <c r="AC578" s="0" t="s">
        <v>7629</v>
      </c>
      <c r="AD578" s="0" t="s">
        <v>7761</v>
      </c>
      <c r="AE578" s="0" t="s">
        <v>7360</v>
      </c>
      <c r="AF578" s="0" t="s">
        <v>7361</v>
      </c>
      <c r="AG578" s="0" t="s">
        <v>230</v>
      </c>
    </row>
    <row r="579" customFormat="false" ht="15" hidden="false" customHeight="false" outlineLevel="0" collapsed="false">
      <c r="A579" s="0" t="s">
        <v>7336</v>
      </c>
      <c r="B579" s="0" t="s">
        <v>2290</v>
      </c>
      <c r="C579" s="0" t="s">
        <v>2291</v>
      </c>
      <c r="D579" s="0" t="s">
        <v>227</v>
      </c>
      <c r="E579" s="0" t="s">
        <v>2292</v>
      </c>
      <c r="F579" s="0" t="s">
        <v>2293</v>
      </c>
      <c r="G579" s="0" t="s">
        <v>184</v>
      </c>
      <c r="H579" s="0" t="s">
        <v>7762</v>
      </c>
      <c r="I579" s="0" t="s">
        <v>7338</v>
      </c>
      <c r="J579" s="0" t="s">
        <v>1602</v>
      </c>
      <c r="K579" s="0" t="s">
        <v>7339</v>
      </c>
      <c r="L579" s="0" t="s">
        <v>7340</v>
      </c>
      <c r="M579" s="0" t="s">
        <v>7661</v>
      </c>
      <c r="N579" s="0" t="s">
        <v>7342</v>
      </c>
      <c r="P579" s="0" t="s">
        <v>229</v>
      </c>
      <c r="Q579" s="0" t="s">
        <v>7354</v>
      </c>
      <c r="R579" s="0" t="s">
        <v>7343</v>
      </c>
      <c r="S579" s="0" t="s">
        <v>7344</v>
      </c>
      <c r="T579" s="0" t="s">
        <v>228</v>
      </c>
      <c r="V579" s="0" t="s">
        <v>55</v>
      </c>
      <c r="W579" s="0" t="s">
        <v>2146</v>
      </c>
      <c r="X579" s="0" t="s">
        <v>7355</v>
      </c>
      <c r="Y579" s="0" t="s">
        <v>7731</v>
      </c>
      <c r="Z579" s="0" t="s">
        <v>7668</v>
      </c>
      <c r="AA579" s="0" t="s">
        <v>7669</v>
      </c>
      <c r="AB579" s="0" t="s">
        <v>344</v>
      </c>
      <c r="AC579" s="0" t="s">
        <v>7629</v>
      </c>
      <c r="AE579" s="0" t="s">
        <v>7360</v>
      </c>
      <c r="AF579" s="0" t="s">
        <v>7361</v>
      </c>
      <c r="AG579" s="0" t="s">
        <v>230</v>
      </c>
    </row>
    <row r="580" customFormat="false" ht="15" hidden="false" customHeight="false" outlineLevel="0" collapsed="false">
      <c r="A580" s="0" t="s">
        <v>7336</v>
      </c>
      <c r="B580" s="0" t="s">
        <v>2294</v>
      </c>
      <c r="C580" s="0" t="s">
        <v>2295</v>
      </c>
      <c r="D580" s="0" t="s">
        <v>227</v>
      </c>
      <c r="E580" s="0" t="s">
        <v>2296</v>
      </c>
      <c r="F580" s="0" t="s">
        <v>2297</v>
      </c>
      <c r="G580" s="0" t="s">
        <v>170</v>
      </c>
      <c r="H580" s="0" t="s">
        <v>7763</v>
      </c>
      <c r="I580" s="0" t="s">
        <v>7338</v>
      </c>
      <c r="J580" s="0" t="s">
        <v>1602</v>
      </c>
      <c r="K580" s="0" t="s">
        <v>7339</v>
      </c>
      <c r="L580" s="0" t="s">
        <v>7340</v>
      </c>
      <c r="M580" s="0" t="s">
        <v>7661</v>
      </c>
      <c r="N580" s="0" t="s">
        <v>7342</v>
      </c>
      <c r="P580" s="0" t="s">
        <v>229</v>
      </c>
      <c r="Q580" s="0" t="s">
        <v>7354</v>
      </c>
      <c r="R580" s="0" t="s">
        <v>7343</v>
      </c>
      <c r="S580" s="0" t="s">
        <v>7344</v>
      </c>
      <c r="T580" s="0" t="s">
        <v>2171</v>
      </c>
      <c r="V580" s="0" t="s">
        <v>55</v>
      </c>
      <c r="W580" s="0" t="s">
        <v>57</v>
      </c>
      <c r="X580" s="0" t="s">
        <v>7355</v>
      </c>
      <c r="Y580" s="0" t="s">
        <v>7667</v>
      </c>
      <c r="Z580" s="0" t="s">
        <v>7668</v>
      </c>
      <c r="AA580" s="0" t="s">
        <v>7669</v>
      </c>
      <c r="AB580" s="0" t="s">
        <v>237</v>
      </c>
      <c r="AC580" s="0" t="s">
        <v>7629</v>
      </c>
      <c r="AD580" s="0" t="s">
        <v>682</v>
      </c>
      <c r="AE580" s="0" t="s">
        <v>7360</v>
      </c>
      <c r="AF580" s="0" t="s">
        <v>7361</v>
      </c>
      <c r="AG580" s="0" t="s">
        <v>230</v>
      </c>
    </row>
    <row r="581" customFormat="false" ht="15" hidden="false" customHeight="false" outlineLevel="0" collapsed="false">
      <c r="A581" s="0" t="s">
        <v>7336</v>
      </c>
      <c r="B581" s="0" t="s">
        <v>2298</v>
      </c>
      <c r="C581" s="0" t="s">
        <v>2299</v>
      </c>
      <c r="D581" s="0" t="s">
        <v>227</v>
      </c>
      <c r="E581" s="0" t="s">
        <v>2300</v>
      </c>
      <c r="F581" s="0" t="s">
        <v>2301</v>
      </c>
      <c r="G581" s="0" t="s">
        <v>170</v>
      </c>
      <c r="H581" s="0" t="s">
        <v>7764</v>
      </c>
      <c r="I581" s="0" t="s">
        <v>7338</v>
      </c>
      <c r="J581" s="0" t="s">
        <v>1602</v>
      </c>
      <c r="K581" s="0" t="s">
        <v>7339</v>
      </c>
      <c r="L581" s="0" t="s">
        <v>7340</v>
      </c>
      <c r="M581" s="0" t="s">
        <v>7661</v>
      </c>
      <c r="N581" s="0" t="s">
        <v>7342</v>
      </c>
      <c r="P581" s="0" t="s">
        <v>229</v>
      </c>
      <c r="Q581" s="0" t="s">
        <v>7354</v>
      </c>
      <c r="R581" s="0" t="s">
        <v>7343</v>
      </c>
      <c r="S581" s="0" t="s">
        <v>7344</v>
      </c>
      <c r="T581" s="0" t="s">
        <v>2171</v>
      </c>
      <c r="V581" s="0" t="s">
        <v>55</v>
      </c>
      <c r="W581" s="0" t="s">
        <v>57</v>
      </c>
      <c r="X581" s="0" t="s">
        <v>7355</v>
      </c>
      <c r="Y581" s="0" t="s">
        <v>7667</v>
      </c>
      <c r="Z581" s="0" t="s">
        <v>7668</v>
      </c>
      <c r="AA581" s="0" t="s">
        <v>7669</v>
      </c>
      <c r="AB581" s="0" t="s">
        <v>237</v>
      </c>
      <c r="AC581" s="0" t="s">
        <v>7629</v>
      </c>
      <c r="AD581" s="0" t="s">
        <v>682</v>
      </c>
      <c r="AE581" s="0" t="s">
        <v>7360</v>
      </c>
      <c r="AF581" s="0" t="s">
        <v>7361</v>
      </c>
      <c r="AG581" s="0" t="s">
        <v>230</v>
      </c>
    </row>
    <row r="582" customFormat="false" ht="15" hidden="false" customHeight="false" outlineLevel="0" collapsed="false">
      <c r="A582" s="0" t="s">
        <v>7336</v>
      </c>
      <c r="B582" s="0" t="s">
        <v>2302</v>
      </c>
      <c r="C582" s="0" t="s">
        <v>2303</v>
      </c>
      <c r="D582" s="0" t="s">
        <v>227</v>
      </c>
      <c r="E582" s="0" t="s">
        <v>2304</v>
      </c>
      <c r="F582" s="0" t="s">
        <v>2305</v>
      </c>
      <c r="G582" s="0" t="s">
        <v>178</v>
      </c>
      <c r="H582" s="0" t="s">
        <v>7765</v>
      </c>
      <c r="I582" s="0" t="s">
        <v>7338</v>
      </c>
      <c r="J582" s="0" t="s">
        <v>1602</v>
      </c>
      <c r="K582" s="0" t="s">
        <v>7339</v>
      </c>
      <c r="L582" s="0" t="s">
        <v>7340</v>
      </c>
      <c r="M582" s="0" t="s">
        <v>7661</v>
      </c>
      <c r="N582" s="0" t="s">
        <v>7342</v>
      </c>
      <c r="P582" s="0" t="s">
        <v>229</v>
      </c>
      <c r="Q582" s="0" t="s">
        <v>7354</v>
      </c>
      <c r="R582" s="0" t="s">
        <v>7343</v>
      </c>
      <c r="S582" s="0" t="s">
        <v>7344</v>
      </c>
      <c r="T582" s="0" t="s">
        <v>2171</v>
      </c>
      <c r="V582" s="0" t="s">
        <v>55</v>
      </c>
      <c r="W582" s="0" t="s">
        <v>57</v>
      </c>
      <c r="X582" s="0" t="s">
        <v>7355</v>
      </c>
      <c r="Y582" s="0" t="s">
        <v>7667</v>
      </c>
      <c r="Z582" s="0" t="s">
        <v>7668</v>
      </c>
      <c r="AA582" s="0" t="s">
        <v>7669</v>
      </c>
      <c r="AB582" s="0" t="s">
        <v>237</v>
      </c>
      <c r="AC582" s="0" t="s">
        <v>7629</v>
      </c>
      <c r="AD582" s="0" t="s">
        <v>682</v>
      </c>
      <c r="AE582" s="0" t="s">
        <v>7360</v>
      </c>
      <c r="AF582" s="0" t="s">
        <v>7361</v>
      </c>
      <c r="AG582" s="0" t="s">
        <v>230</v>
      </c>
    </row>
    <row r="583" customFormat="false" ht="15" hidden="false" customHeight="false" outlineLevel="0" collapsed="false">
      <c r="A583" s="0" t="s">
        <v>7336</v>
      </c>
      <c r="B583" s="0" t="s">
        <v>2306</v>
      </c>
      <c r="C583" s="0" t="s">
        <v>2307</v>
      </c>
      <c r="D583" s="0" t="s">
        <v>227</v>
      </c>
      <c r="E583" s="0" t="s">
        <v>2308</v>
      </c>
      <c r="F583" s="0" t="s">
        <v>2309</v>
      </c>
      <c r="G583" s="0" t="s">
        <v>178</v>
      </c>
      <c r="H583" s="0" t="s">
        <v>7766</v>
      </c>
      <c r="I583" s="0" t="s">
        <v>7338</v>
      </c>
      <c r="J583" s="0" t="s">
        <v>1602</v>
      </c>
      <c r="K583" s="0" t="s">
        <v>7339</v>
      </c>
      <c r="L583" s="0" t="s">
        <v>7340</v>
      </c>
      <c r="M583" s="0" t="s">
        <v>7661</v>
      </c>
      <c r="N583" s="0" t="s">
        <v>7342</v>
      </c>
      <c r="P583" s="0" t="s">
        <v>229</v>
      </c>
      <c r="Q583" s="0" t="s">
        <v>7354</v>
      </c>
      <c r="R583" s="0" t="s">
        <v>7343</v>
      </c>
      <c r="S583" s="0" t="s">
        <v>7344</v>
      </c>
      <c r="T583" s="0" t="s">
        <v>2171</v>
      </c>
      <c r="V583" s="0" t="s">
        <v>55</v>
      </c>
      <c r="W583" s="0" t="s">
        <v>57</v>
      </c>
      <c r="X583" s="0" t="s">
        <v>7355</v>
      </c>
      <c r="Y583" s="0" t="s">
        <v>7667</v>
      </c>
      <c r="Z583" s="0" t="s">
        <v>7668</v>
      </c>
      <c r="AA583" s="0" t="s">
        <v>7669</v>
      </c>
      <c r="AB583" s="0" t="s">
        <v>237</v>
      </c>
      <c r="AC583" s="0" t="s">
        <v>7629</v>
      </c>
      <c r="AD583" s="0" t="s">
        <v>682</v>
      </c>
      <c r="AE583" s="0" t="s">
        <v>7360</v>
      </c>
      <c r="AF583" s="0" t="s">
        <v>7361</v>
      </c>
      <c r="AG583" s="0" t="s">
        <v>230</v>
      </c>
    </row>
    <row r="584" customFormat="false" ht="15" hidden="false" customHeight="false" outlineLevel="0" collapsed="false">
      <c r="A584" s="0" t="s">
        <v>7336</v>
      </c>
      <c r="B584" s="0" t="s">
        <v>2310</v>
      </c>
      <c r="C584" s="0" t="s">
        <v>2311</v>
      </c>
      <c r="D584" s="0" t="s">
        <v>227</v>
      </c>
      <c r="E584" s="0" t="s">
        <v>2312</v>
      </c>
      <c r="F584" s="0" t="s">
        <v>2313</v>
      </c>
      <c r="G584" s="0" t="s">
        <v>138</v>
      </c>
      <c r="H584" s="0" t="s">
        <v>7767</v>
      </c>
      <c r="I584" s="0" t="s">
        <v>7338</v>
      </c>
      <c r="J584" s="0" t="s">
        <v>1602</v>
      </c>
      <c r="K584" s="0" t="s">
        <v>7339</v>
      </c>
      <c r="L584" s="0" t="s">
        <v>7340</v>
      </c>
      <c r="M584" s="0" t="s">
        <v>7661</v>
      </c>
      <c r="N584" s="0" t="s">
        <v>7342</v>
      </c>
    </row>
    <row r="585" customFormat="false" ht="15" hidden="false" customHeight="false" outlineLevel="0" collapsed="false">
      <c r="A585" s="0" t="s">
        <v>7336</v>
      </c>
      <c r="B585" s="0" t="s">
        <v>2314</v>
      </c>
      <c r="C585" s="0" t="s">
        <v>2315</v>
      </c>
      <c r="D585" s="0" t="s">
        <v>227</v>
      </c>
      <c r="E585" s="0" t="s">
        <v>2316</v>
      </c>
      <c r="F585" s="0" t="s">
        <v>2317</v>
      </c>
      <c r="G585" s="0" t="s">
        <v>138</v>
      </c>
      <c r="H585" s="0" t="s">
        <v>7768</v>
      </c>
      <c r="I585" s="0" t="s">
        <v>7338</v>
      </c>
      <c r="J585" s="0" t="s">
        <v>1602</v>
      </c>
      <c r="K585" s="0" t="s">
        <v>7339</v>
      </c>
      <c r="L585" s="0" t="s">
        <v>7340</v>
      </c>
      <c r="M585" s="0" t="s">
        <v>7661</v>
      </c>
      <c r="N585" s="0" t="s">
        <v>7342</v>
      </c>
    </row>
    <row r="586" customFormat="false" ht="15" hidden="false" customHeight="false" outlineLevel="0" collapsed="false">
      <c r="A586" s="0" t="s">
        <v>7336</v>
      </c>
      <c r="B586" s="0" t="s">
        <v>2318</v>
      </c>
      <c r="C586" s="0" t="s">
        <v>2319</v>
      </c>
      <c r="D586" s="0" t="s">
        <v>227</v>
      </c>
      <c r="E586" s="0" t="s">
        <v>2320</v>
      </c>
      <c r="F586" s="0" t="s">
        <v>2321</v>
      </c>
      <c r="G586" s="0" t="s">
        <v>170</v>
      </c>
      <c r="H586" s="0" t="s">
        <v>7769</v>
      </c>
      <c r="I586" s="0" t="s">
        <v>7338</v>
      </c>
      <c r="J586" s="0" t="s">
        <v>1602</v>
      </c>
      <c r="K586" s="0" t="s">
        <v>7339</v>
      </c>
      <c r="L586" s="0" t="s">
        <v>7340</v>
      </c>
      <c r="M586" s="0" t="s">
        <v>7661</v>
      </c>
      <c r="N586" s="0" t="s">
        <v>7342</v>
      </c>
      <c r="P586" s="0" t="s">
        <v>229</v>
      </c>
      <c r="Q586" s="0" t="s">
        <v>7354</v>
      </c>
      <c r="R586" s="0" t="s">
        <v>7343</v>
      </c>
      <c r="S586" s="0" t="s">
        <v>7344</v>
      </c>
      <c r="T586" s="0" t="s">
        <v>2171</v>
      </c>
      <c r="V586" s="0" t="s">
        <v>55</v>
      </c>
      <c r="W586" s="0" t="s">
        <v>57</v>
      </c>
      <c r="X586" s="0" t="s">
        <v>7355</v>
      </c>
      <c r="Y586" s="0" t="s">
        <v>7667</v>
      </c>
      <c r="Z586" s="0" t="s">
        <v>7668</v>
      </c>
      <c r="AA586" s="0" t="s">
        <v>7669</v>
      </c>
      <c r="AB586" s="0" t="s">
        <v>237</v>
      </c>
      <c r="AC586" s="0" t="s">
        <v>7629</v>
      </c>
      <c r="AD586" s="0" t="s">
        <v>682</v>
      </c>
      <c r="AE586" s="0" t="s">
        <v>7360</v>
      </c>
      <c r="AF586" s="0" t="s">
        <v>7361</v>
      </c>
      <c r="AG586" s="0" t="s">
        <v>230</v>
      </c>
    </row>
    <row r="587" customFormat="false" ht="15" hidden="false" customHeight="false" outlineLevel="0" collapsed="false">
      <c r="A587" s="0" t="s">
        <v>7336</v>
      </c>
      <c r="B587" s="0" t="s">
        <v>2322</v>
      </c>
      <c r="C587" s="0" t="s">
        <v>2323</v>
      </c>
      <c r="D587" s="0" t="s">
        <v>227</v>
      </c>
      <c r="E587" s="0" t="s">
        <v>2324</v>
      </c>
      <c r="F587" s="0" t="s">
        <v>2325</v>
      </c>
      <c r="G587" s="0" t="s">
        <v>170</v>
      </c>
      <c r="H587" s="0" t="s">
        <v>7770</v>
      </c>
      <c r="I587" s="0" t="s">
        <v>7338</v>
      </c>
      <c r="J587" s="0" t="s">
        <v>1602</v>
      </c>
      <c r="K587" s="0" t="s">
        <v>7339</v>
      </c>
      <c r="L587" s="0" t="s">
        <v>7340</v>
      </c>
      <c r="M587" s="0" t="s">
        <v>7661</v>
      </c>
      <c r="N587" s="0" t="s">
        <v>7342</v>
      </c>
      <c r="P587" s="0" t="s">
        <v>229</v>
      </c>
      <c r="Q587" s="0" t="s">
        <v>7354</v>
      </c>
      <c r="R587" s="0" t="s">
        <v>7343</v>
      </c>
      <c r="S587" s="0" t="s">
        <v>7344</v>
      </c>
      <c r="T587" s="0" t="s">
        <v>2171</v>
      </c>
      <c r="V587" s="0" t="s">
        <v>55</v>
      </c>
      <c r="W587" s="0" t="s">
        <v>57</v>
      </c>
      <c r="X587" s="0" t="s">
        <v>7355</v>
      </c>
      <c r="Y587" s="0" t="s">
        <v>7667</v>
      </c>
      <c r="Z587" s="0" t="s">
        <v>7668</v>
      </c>
      <c r="AA587" s="0" t="s">
        <v>7669</v>
      </c>
      <c r="AB587" s="0" t="s">
        <v>237</v>
      </c>
      <c r="AC587" s="0" t="s">
        <v>7629</v>
      </c>
      <c r="AD587" s="0" t="s">
        <v>682</v>
      </c>
      <c r="AE587" s="0" t="s">
        <v>7360</v>
      </c>
      <c r="AF587" s="0" t="s">
        <v>7361</v>
      </c>
      <c r="AG587" s="0" t="s">
        <v>230</v>
      </c>
    </row>
    <row r="588" customFormat="false" ht="15" hidden="false" customHeight="false" outlineLevel="0" collapsed="false">
      <c r="A588" s="0" t="s">
        <v>7336</v>
      </c>
      <c r="B588" s="0" t="s">
        <v>2326</v>
      </c>
      <c r="C588" s="0" t="s">
        <v>2327</v>
      </c>
      <c r="D588" s="0" t="s">
        <v>227</v>
      </c>
      <c r="E588" s="0" t="s">
        <v>2328</v>
      </c>
      <c r="F588" s="0" t="s">
        <v>2329</v>
      </c>
      <c r="G588" s="0" t="s">
        <v>178</v>
      </c>
      <c r="H588" s="0" t="s">
        <v>7771</v>
      </c>
      <c r="I588" s="0" t="s">
        <v>7338</v>
      </c>
      <c r="J588" s="0" t="s">
        <v>1602</v>
      </c>
      <c r="K588" s="0" t="s">
        <v>7339</v>
      </c>
      <c r="L588" s="0" t="s">
        <v>7340</v>
      </c>
      <c r="M588" s="0" t="s">
        <v>7661</v>
      </c>
      <c r="N588" s="0" t="s">
        <v>7342</v>
      </c>
      <c r="P588" s="0" t="s">
        <v>229</v>
      </c>
      <c r="Q588" s="0" t="s">
        <v>7354</v>
      </c>
      <c r="R588" s="0" t="s">
        <v>7343</v>
      </c>
      <c r="S588" s="0" t="s">
        <v>7344</v>
      </c>
      <c r="T588" s="0" t="s">
        <v>2171</v>
      </c>
      <c r="V588" s="0" t="s">
        <v>55</v>
      </c>
      <c r="W588" s="0" t="s">
        <v>57</v>
      </c>
      <c r="X588" s="0" t="s">
        <v>7355</v>
      </c>
      <c r="Y588" s="0" t="s">
        <v>7667</v>
      </c>
      <c r="Z588" s="0" t="s">
        <v>7668</v>
      </c>
      <c r="AA588" s="0" t="s">
        <v>7669</v>
      </c>
      <c r="AB588" s="0" t="s">
        <v>237</v>
      </c>
      <c r="AC588" s="0" t="s">
        <v>7629</v>
      </c>
      <c r="AD588" s="0" t="s">
        <v>682</v>
      </c>
      <c r="AE588" s="0" t="s">
        <v>7360</v>
      </c>
      <c r="AF588" s="0" t="s">
        <v>7361</v>
      </c>
      <c r="AG588" s="0" t="s">
        <v>230</v>
      </c>
    </row>
    <row r="589" customFormat="false" ht="15" hidden="false" customHeight="false" outlineLevel="0" collapsed="false">
      <c r="A589" s="0" t="s">
        <v>7336</v>
      </c>
      <c r="B589" s="0" t="s">
        <v>2330</v>
      </c>
      <c r="C589" s="0" t="s">
        <v>2331</v>
      </c>
      <c r="D589" s="0" t="s">
        <v>227</v>
      </c>
      <c r="E589" s="0" t="s">
        <v>2332</v>
      </c>
      <c r="F589" s="0" t="s">
        <v>2333</v>
      </c>
      <c r="G589" s="0" t="s">
        <v>178</v>
      </c>
      <c r="H589" s="0" t="s">
        <v>7772</v>
      </c>
      <c r="I589" s="0" t="s">
        <v>7338</v>
      </c>
      <c r="J589" s="0" t="s">
        <v>1602</v>
      </c>
      <c r="K589" s="0" t="s">
        <v>7339</v>
      </c>
      <c r="L589" s="0" t="s">
        <v>7340</v>
      </c>
      <c r="M589" s="0" t="s">
        <v>7661</v>
      </c>
      <c r="N589" s="0" t="s">
        <v>7342</v>
      </c>
      <c r="P589" s="0" t="s">
        <v>229</v>
      </c>
      <c r="Q589" s="0" t="s">
        <v>7354</v>
      </c>
      <c r="R589" s="0" t="s">
        <v>7343</v>
      </c>
      <c r="S589" s="0" t="s">
        <v>7344</v>
      </c>
      <c r="T589" s="0" t="s">
        <v>58</v>
      </c>
      <c r="V589" s="0" t="s">
        <v>55</v>
      </c>
      <c r="W589" s="0" t="s">
        <v>57</v>
      </c>
      <c r="X589" s="0" t="s">
        <v>7355</v>
      </c>
      <c r="Y589" s="0" t="s">
        <v>7667</v>
      </c>
      <c r="Z589" s="0" t="s">
        <v>7668</v>
      </c>
      <c r="AA589" s="0" t="s">
        <v>7669</v>
      </c>
      <c r="AB589" s="0" t="s">
        <v>237</v>
      </c>
      <c r="AC589" s="0" t="s">
        <v>7629</v>
      </c>
      <c r="AD589" s="0" t="s">
        <v>682</v>
      </c>
      <c r="AE589" s="0" t="s">
        <v>7360</v>
      </c>
      <c r="AF589" s="0" t="s">
        <v>7361</v>
      </c>
      <c r="AG589" s="0" t="s">
        <v>230</v>
      </c>
    </row>
    <row r="590" customFormat="false" ht="15" hidden="false" customHeight="false" outlineLevel="0" collapsed="false">
      <c r="A590" s="0" t="s">
        <v>7336</v>
      </c>
      <c r="B590" s="0" t="s">
        <v>2334</v>
      </c>
      <c r="C590" s="0" t="s">
        <v>2335</v>
      </c>
      <c r="D590" s="0" t="s">
        <v>227</v>
      </c>
      <c r="E590" s="0" t="s">
        <v>2336</v>
      </c>
      <c r="F590" s="0" t="s">
        <v>2337</v>
      </c>
      <c r="G590" s="0" t="s">
        <v>184</v>
      </c>
      <c r="H590" s="0" t="s">
        <v>7773</v>
      </c>
      <c r="I590" s="0" t="s">
        <v>7338</v>
      </c>
      <c r="J590" s="0" t="s">
        <v>1602</v>
      </c>
      <c r="K590" s="0" t="s">
        <v>7339</v>
      </c>
      <c r="L590" s="0" t="s">
        <v>7340</v>
      </c>
      <c r="M590" s="0" t="s">
        <v>7661</v>
      </c>
      <c r="N590" s="0" t="s">
        <v>7342</v>
      </c>
      <c r="P590" s="0" t="s">
        <v>229</v>
      </c>
      <c r="Q590" s="0" t="s">
        <v>7354</v>
      </c>
      <c r="R590" s="0" t="s">
        <v>7343</v>
      </c>
      <c r="S590" s="0" t="s">
        <v>7344</v>
      </c>
      <c r="T590" s="0" t="s">
        <v>228</v>
      </c>
      <c r="V590" s="0" t="s">
        <v>55</v>
      </c>
      <c r="W590" s="0" t="s">
        <v>2146</v>
      </c>
      <c r="X590" s="0" t="s">
        <v>7355</v>
      </c>
      <c r="Y590" s="0" t="s">
        <v>7731</v>
      </c>
      <c r="Z590" s="0" t="s">
        <v>7668</v>
      </c>
      <c r="AA590" s="0" t="s">
        <v>7669</v>
      </c>
      <c r="AB590" s="0" t="s">
        <v>344</v>
      </c>
      <c r="AC590" s="0" t="s">
        <v>7629</v>
      </c>
      <c r="AE590" s="0" t="s">
        <v>7360</v>
      </c>
      <c r="AF590" s="0" t="s">
        <v>7361</v>
      </c>
      <c r="AG590" s="0" t="s">
        <v>230</v>
      </c>
    </row>
    <row r="591" customFormat="false" ht="15" hidden="false" customHeight="false" outlineLevel="0" collapsed="false">
      <c r="A591" s="0" t="s">
        <v>7336</v>
      </c>
      <c r="B591" s="0" t="s">
        <v>2338</v>
      </c>
      <c r="C591" s="0" t="s">
        <v>2339</v>
      </c>
      <c r="D591" s="0" t="s">
        <v>227</v>
      </c>
      <c r="E591" s="0" t="s">
        <v>2340</v>
      </c>
      <c r="F591" s="0" t="s">
        <v>2293</v>
      </c>
      <c r="G591" s="0" t="s">
        <v>184</v>
      </c>
      <c r="H591" s="0" t="s">
        <v>7762</v>
      </c>
      <c r="I591" s="0" t="s">
        <v>7338</v>
      </c>
      <c r="J591" s="0" t="s">
        <v>1602</v>
      </c>
      <c r="K591" s="0" t="s">
        <v>7339</v>
      </c>
      <c r="L591" s="0" t="s">
        <v>7340</v>
      </c>
      <c r="M591" s="0" t="s">
        <v>7661</v>
      </c>
      <c r="N591" s="0" t="s">
        <v>7342</v>
      </c>
      <c r="P591" s="0" t="s">
        <v>229</v>
      </c>
      <c r="Q591" s="0" t="s">
        <v>7354</v>
      </c>
      <c r="R591" s="0" t="s">
        <v>7343</v>
      </c>
      <c r="S591" s="0" t="s">
        <v>7344</v>
      </c>
      <c r="T591" s="0" t="s">
        <v>228</v>
      </c>
      <c r="V591" s="0" t="s">
        <v>55</v>
      </c>
      <c r="W591" s="0" t="s">
        <v>2146</v>
      </c>
      <c r="X591" s="0" t="s">
        <v>7355</v>
      </c>
      <c r="Y591" s="0" t="s">
        <v>7731</v>
      </c>
      <c r="Z591" s="0" t="s">
        <v>7668</v>
      </c>
      <c r="AA591" s="0" t="s">
        <v>7669</v>
      </c>
      <c r="AB591" s="0" t="s">
        <v>344</v>
      </c>
      <c r="AC591" s="0" t="s">
        <v>7629</v>
      </c>
      <c r="AE591" s="0" t="s">
        <v>7360</v>
      </c>
      <c r="AF591" s="0" t="s">
        <v>7361</v>
      </c>
      <c r="AG591" s="0" t="s">
        <v>230</v>
      </c>
    </row>
    <row r="592" customFormat="false" ht="15" hidden="false" customHeight="false" outlineLevel="0" collapsed="false">
      <c r="A592" s="0" t="s">
        <v>7336</v>
      </c>
      <c r="B592" s="0" t="s">
        <v>2341</v>
      </c>
      <c r="C592" s="0" t="s">
        <v>2342</v>
      </c>
      <c r="D592" s="0" t="s">
        <v>227</v>
      </c>
      <c r="E592" s="0" t="s">
        <v>2343</v>
      </c>
      <c r="F592" s="0" t="s">
        <v>2344</v>
      </c>
      <c r="G592" s="0" t="s">
        <v>184</v>
      </c>
      <c r="H592" s="0" t="s">
        <v>7774</v>
      </c>
      <c r="I592" s="0" t="s">
        <v>7338</v>
      </c>
      <c r="J592" s="0" t="s">
        <v>1602</v>
      </c>
      <c r="K592" s="0" t="s">
        <v>7339</v>
      </c>
      <c r="L592" s="0" t="s">
        <v>7340</v>
      </c>
      <c r="M592" s="0" t="s">
        <v>7661</v>
      </c>
      <c r="N592" s="0" t="s">
        <v>7342</v>
      </c>
      <c r="P592" s="0" t="s">
        <v>229</v>
      </c>
      <c r="Q592" s="0" t="s">
        <v>7354</v>
      </c>
      <c r="R592" s="0" t="s">
        <v>7343</v>
      </c>
      <c r="S592" s="0" t="s">
        <v>7344</v>
      </c>
      <c r="T592" s="0" t="s">
        <v>228</v>
      </c>
      <c r="V592" s="0" t="s">
        <v>55</v>
      </c>
      <c r="W592" s="0" t="s">
        <v>2146</v>
      </c>
      <c r="X592" s="0" t="s">
        <v>7355</v>
      </c>
      <c r="Y592" s="0" t="s">
        <v>7731</v>
      </c>
      <c r="Z592" s="0" t="s">
        <v>7668</v>
      </c>
      <c r="AA592" s="0" t="s">
        <v>7669</v>
      </c>
      <c r="AB592" s="0" t="s">
        <v>344</v>
      </c>
      <c r="AC592" s="0" t="s">
        <v>7629</v>
      </c>
      <c r="AE592" s="0" t="s">
        <v>7360</v>
      </c>
      <c r="AF592" s="0" t="s">
        <v>7361</v>
      </c>
      <c r="AG592" s="0" t="s">
        <v>230</v>
      </c>
    </row>
    <row r="593" customFormat="false" ht="15" hidden="false" customHeight="false" outlineLevel="0" collapsed="false">
      <c r="A593" s="0" t="s">
        <v>7336</v>
      </c>
      <c r="B593" s="0" t="s">
        <v>2345</v>
      </c>
      <c r="C593" s="0" t="s">
        <v>2346</v>
      </c>
      <c r="D593" s="0" t="s">
        <v>227</v>
      </c>
      <c r="E593" s="0" t="s">
        <v>2347</v>
      </c>
      <c r="F593" s="0" t="s">
        <v>2145</v>
      </c>
      <c r="G593" s="0" t="s">
        <v>184</v>
      </c>
      <c r="H593" s="0" t="s">
        <v>7730</v>
      </c>
      <c r="I593" s="0" t="s">
        <v>7338</v>
      </c>
      <c r="J593" s="0" t="s">
        <v>1602</v>
      </c>
      <c r="K593" s="0" t="s">
        <v>7339</v>
      </c>
      <c r="L593" s="0" t="s">
        <v>7340</v>
      </c>
      <c r="M593" s="0" t="s">
        <v>7661</v>
      </c>
      <c r="N593" s="0" t="s">
        <v>7342</v>
      </c>
      <c r="P593" s="0" t="s">
        <v>229</v>
      </c>
      <c r="Q593" s="0" t="s">
        <v>7354</v>
      </c>
      <c r="R593" s="0" t="s">
        <v>7343</v>
      </c>
      <c r="S593" s="0" t="s">
        <v>7344</v>
      </c>
      <c r="T593" s="0" t="s">
        <v>228</v>
      </c>
      <c r="V593" s="0" t="s">
        <v>55</v>
      </c>
      <c r="W593" s="0" t="s">
        <v>2146</v>
      </c>
      <c r="X593" s="0" t="s">
        <v>7355</v>
      </c>
      <c r="Y593" s="0" t="s">
        <v>7731</v>
      </c>
      <c r="Z593" s="0" t="s">
        <v>7668</v>
      </c>
      <c r="AA593" s="0" t="s">
        <v>7669</v>
      </c>
      <c r="AB593" s="0" t="s">
        <v>344</v>
      </c>
      <c r="AC593" s="0" t="s">
        <v>7629</v>
      </c>
      <c r="AE593" s="0" t="s">
        <v>7360</v>
      </c>
      <c r="AF593" s="0" t="s">
        <v>7361</v>
      </c>
      <c r="AG593" s="0" t="s">
        <v>230</v>
      </c>
    </row>
    <row r="594" customFormat="false" ht="15" hidden="false" customHeight="false" outlineLevel="0" collapsed="false">
      <c r="A594" s="0" t="s">
        <v>7336</v>
      </c>
      <c r="B594" s="0" t="s">
        <v>2348</v>
      </c>
      <c r="C594" s="0" t="s">
        <v>2349</v>
      </c>
      <c r="D594" s="0" t="s">
        <v>227</v>
      </c>
      <c r="E594" s="0" t="s">
        <v>2350</v>
      </c>
      <c r="F594" s="0" t="s">
        <v>2337</v>
      </c>
      <c r="G594" s="0" t="s">
        <v>184</v>
      </c>
      <c r="H594" s="0" t="s">
        <v>7773</v>
      </c>
      <c r="I594" s="0" t="s">
        <v>7338</v>
      </c>
      <c r="J594" s="0" t="s">
        <v>1602</v>
      </c>
      <c r="K594" s="0" t="s">
        <v>7339</v>
      </c>
      <c r="L594" s="0" t="s">
        <v>7340</v>
      </c>
      <c r="M594" s="0" t="s">
        <v>7661</v>
      </c>
      <c r="N594" s="0" t="s">
        <v>7342</v>
      </c>
      <c r="P594" s="0" t="s">
        <v>229</v>
      </c>
      <c r="Q594" s="0" t="s">
        <v>7354</v>
      </c>
      <c r="R594" s="0" t="s">
        <v>7343</v>
      </c>
      <c r="S594" s="0" t="s">
        <v>7344</v>
      </c>
      <c r="T594" s="0" t="s">
        <v>228</v>
      </c>
      <c r="V594" s="0" t="s">
        <v>55</v>
      </c>
      <c r="W594" s="0" t="s">
        <v>2146</v>
      </c>
      <c r="X594" s="0" t="s">
        <v>7355</v>
      </c>
      <c r="Y594" s="0" t="s">
        <v>7731</v>
      </c>
      <c r="Z594" s="0" t="s">
        <v>7668</v>
      </c>
      <c r="AA594" s="0" t="s">
        <v>7669</v>
      </c>
      <c r="AB594" s="0" t="s">
        <v>344</v>
      </c>
      <c r="AC594" s="0" t="s">
        <v>7629</v>
      </c>
      <c r="AE594" s="0" t="s">
        <v>7360</v>
      </c>
      <c r="AF594" s="0" t="s">
        <v>7361</v>
      </c>
      <c r="AG594" s="0" t="s">
        <v>230</v>
      </c>
    </row>
    <row r="595" customFormat="false" ht="15" hidden="false" customHeight="false" outlineLevel="0" collapsed="false">
      <c r="A595" s="0" t="s">
        <v>7336</v>
      </c>
      <c r="B595" s="0" t="s">
        <v>2351</v>
      </c>
      <c r="C595" s="0" t="s">
        <v>2352</v>
      </c>
      <c r="D595" s="0" t="s">
        <v>227</v>
      </c>
      <c r="E595" s="0" t="s">
        <v>2353</v>
      </c>
      <c r="F595" s="0" t="s">
        <v>2150</v>
      </c>
      <c r="G595" s="0" t="s">
        <v>184</v>
      </c>
      <c r="H595" s="0" t="s">
        <v>7732</v>
      </c>
      <c r="I595" s="0" t="s">
        <v>7338</v>
      </c>
      <c r="J595" s="0" t="s">
        <v>1602</v>
      </c>
      <c r="K595" s="0" t="s">
        <v>7339</v>
      </c>
      <c r="L595" s="0" t="s">
        <v>7340</v>
      </c>
      <c r="M595" s="0" t="s">
        <v>7661</v>
      </c>
      <c r="N595" s="0" t="s">
        <v>7342</v>
      </c>
      <c r="P595" s="0" t="s">
        <v>229</v>
      </c>
      <c r="Q595" s="0" t="s">
        <v>7354</v>
      </c>
      <c r="R595" s="0" t="s">
        <v>7343</v>
      </c>
      <c r="S595" s="0" t="s">
        <v>7344</v>
      </c>
      <c r="T595" s="0" t="s">
        <v>228</v>
      </c>
      <c r="V595" s="0" t="s">
        <v>55</v>
      </c>
      <c r="W595" s="0" t="s">
        <v>2146</v>
      </c>
      <c r="X595" s="0" t="s">
        <v>7355</v>
      </c>
      <c r="Y595" s="0" t="s">
        <v>7731</v>
      </c>
      <c r="Z595" s="0" t="s">
        <v>7668</v>
      </c>
      <c r="AA595" s="0" t="s">
        <v>7669</v>
      </c>
      <c r="AB595" s="0" t="s">
        <v>344</v>
      </c>
      <c r="AC595" s="0" t="s">
        <v>7629</v>
      </c>
      <c r="AE595" s="0" t="s">
        <v>7360</v>
      </c>
      <c r="AF595" s="0" t="s">
        <v>7361</v>
      </c>
      <c r="AG595" s="0" t="s">
        <v>230</v>
      </c>
    </row>
    <row r="596" customFormat="false" ht="15" hidden="false" customHeight="false" outlineLevel="0" collapsed="false">
      <c r="A596" s="0" t="s">
        <v>7336</v>
      </c>
      <c r="B596" s="0" t="s">
        <v>2354</v>
      </c>
      <c r="C596" s="0" t="s">
        <v>2355</v>
      </c>
      <c r="D596" s="0" t="s">
        <v>227</v>
      </c>
      <c r="E596" s="0" t="s">
        <v>2356</v>
      </c>
      <c r="F596" s="0" t="s">
        <v>2154</v>
      </c>
      <c r="G596" s="0" t="s">
        <v>184</v>
      </c>
      <c r="H596" s="0" t="s">
        <v>7733</v>
      </c>
      <c r="I596" s="0" t="s">
        <v>7338</v>
      </c>
      <c r="J596" s="0" t="s">
        <v>1602</v>
      </c>
      <c r="K596" s="0" t="s">
        <v>7339</v>
      </c>
      <c r="L596" s="0" t="s">
        <v>7340</v>
      </c>
      <c r="M596" s="0" t="s">
        <v>7661</v>
      </c>
      <c r="N596" s="0" t="s">
        <v>7342</v>
      </c>
      <c r="P596" s="0" t="s">
        <v>229</v>
      </c>
      <c r="Q596" s="0" t="s">
        <v>7354</v>
      </c>
      <c r="R596" s="0" t="s">
        <v>7343</v>
      </c>
      <c r="S596" s="0" t="s">
        <v>7344</v>
      </c>
      <c r="T596" s="0" t="s">
        <v>228</v>
      </c>
      <c r="V596" s="0" t="s">
        <v>55</v>
      </c>
      <c r="W596" s="0" t="s">
        <v>2146</v>
      </c>
      <c r="X596" s="0" t="s">
        <v>7355</v>
      </c>
      <c r="Y596" s="0" t="s">
        <v>7731</v>
      </c>
      <c r="Z596" s="0" t="s">
        <v>7668</v>
      </c>
      <c r="AA596" s="0" t="s">
        <v>7669</v>
      </c>
      <c r="AB596" s="0" t="s">
        <v>344</v>
      </c>
      <c r="AC596" s="0" t="s">
        <v>7629</v>
      </c>
      <c r="AE596" s="0" t="s">
        <v>7360</v>
      </c>
      <c r="AF596" s="0" t="s">
        <v>7361</v>
      </c>
      <c r="AG596" s="0" t="s">
        <v>230</v>
      </c>
    </row>
    <row r="597" customFormat="false" ht="15" hidden="false" customHeight="false" outlineLevel="0" collapsed="false">
      <c r="A597" s="0" t="s">
        <v>7336</v>
      </c>
      <c r="B597" s="0" t="s">
        <v>2357</v>
      </c>
      <c r="C597" s="0" t="s">
        <v>2358</v>
      </c>
      <c r="D597" s="0" t="s">
        <v>227</v>
      </c>
      <c r="E597" s="0" t="s">
        <v>2359</v>
      </c>
      <c r="F597" s="0" t="s">
        <v>2337</v>
      </c>
      <c r="G597" s="0" t="s">
        <v>184</v>
      </c>
      <c r="H597" s="0" t="s">
        <v>7773</v>
      </c>
      <c r="I597" s="0" t="s">
        <v>7338</v>
      </c>
      <c r="J597" s="0" t="s">
        <v>1602</v>
      </c>
      <c r="K597" s="0" t="s">
        <v>7339</v>
      </c>
      <c r="L597" s="0" t="s">
        <v>7340</v>
      </c>
      <c r="M597" s="0" t="s">
        <v>7661</v>
      </c>
      <c r="N597" s="0" t="s">
        <v>7342</v>
      </c>
      <c r="P597" s="0" t="s">
        <v>229</v>
      </c>
      <c r="Q597" s="0" t="s">
        <v>7354</v>
      </c>
      <c r="R597" s="0" t="s">
        <v>7343</v>
      </c>
      <c r="S597" s="0" t="s">
        <v>7344</v>
      </c>
      <c r="T597" s="0" t="s">
        <v>228</v>
      </c>
      <c r="V597" s="0" t="s">
        <v>55</v>
      </c>
      <c r="W597" s="0" t="s">
        <v>2146</v>
      </c>
      <c r="X597" s="0" t="s">
        <v>7355</v>
      </c>
      <c r="Y597" s="0" t="s">
        <v>7731</v>
      </c>
      <c r="Z597" s="0" t="s">
        <v>7668</v>
      </c>
      <c r="AA597" s="0" t="s">
        <v>7669</v>
      </c>
      <c r="AB597" s="0" t="s">
        <v>344</v>
      </c>
      <c r="AC597" s="0" t="s">
        <v>7629</v>
      </c>
      <c r="AE597" s="0" t="s">
        <v>7360</v>
      </c>
      <c r="AF597" s="0" t="s">
        <v>7361</v>
      </c>
      <c r="AG597" s="0" t="s">
        <v>230</v>
      </c>
    </row>
    <row r="598" customFormat="false" ht="15" hidden="false" customHeight="false" outlineLevel="0" collapsed="false">
      <c r="A598" s="0" t="s">
        <v>7336</v>
      </c>
      <c r="B598" s="0" t="s">
        <v>2360</v>
      </c>
      <c r="C598" s="0" t="s">
        <v>2361</v>
      </c>
      <c r="D598" s="0" t="s">
        <v>227</v>
      </c>
      <c r="E598" s="0" t="s">
        <v>2362</v>
      </c>
      <c r="F598" s="0" t="s">
        <v>2154</v>
      </c>
      <c r="G598" s="0" t="s">
        <v>184</v>
      </c>
      <c r="H598" s="0" t="s">
        <v>7733</v>
      </c>
      <c r="I598" s="0" t="s">
        <v>7338</v>
      </c>
      <c r="J598" s="0" t="s">
        <v>1602</v>
      </c>
      <c r="K598" s="0" t="s">
        <v>7339</v>
      </c>
      <c r="L598" s="0" t="s">
        <v>7340</v>
      </c>
      <c r="M598" s="0" t="s">
        <v>7661</v>
      </c>
      <c r="N598" s="0" t="s">
        <v>7342</v>
      </c>
      <c r="P598" s="0" t="s">
        <v>229</v>
      </c>
      <c r="Q598" s="0" t="s">
        <v>7354</v>
      </c>
      <c r="R598" s="0" t="s">
        <v>7343</v>
      </c>
      <c r="S598" s="0" t="s">
        <v>7344</v>
      </c>
      <c r="T598" s="0" t="s">
        <v>228</v>
      </c>
      <c r="V598" s="0" t="s">
        <v>55</v>
      </c>
      <c r="W598" s="0" t="s">
        <v>2146</v>
      </c>
      <c r="X598" s="0" t="s">
        <v>7355</v>
      </c>
      <c r="Y598" s="0" t="s">
        <v>7731</v>
      </c>
      <c r="Z598" s="0" t="s">
        <v>7668</v>
      </c>
      <c r="AA598" s="0" t="s">
        <v>7669</v>
      </c>
      <c r="AB598" s="0" t="s">
        <v>344</v>
      </c>
      <c r="AC598" s="0" t="s">
        <v>7629</v>
      </c>
      <c r="AE598" s="0" t="s">
        <v>7360</v>
      </c>
      <c r="AF598" s="0" t="s">
        <v>7361</v>
      </c>
      <c r="AG598" s="0" t="s">
        <v>230</v>
      </c>
    </row>
    <row r="599" customFormat="false" ht="15" hidden="false" customHeight="false" outlineLevel="0" collapsed="false">
      <c r="A599" s="0" t="s">
        <v>7336</v>
      </c>
      <c r="B599" s="0" t="s">
        <v>2363</v>
      </c>
      <c r="C599" s="0" t="s">
        <v>2364</v>
      </c>
      <c r="D599" s="0" t="s">
        <v>227</v>
      </c>
      <c r="E599" s="0" t="s">
        <v>2365</v>
      </c>
      <c r="F599" s="0" t="s">
        <v>2150</v>
      </c>
      <c r="G599" s="0" t="s">
        <v>184</v>
      </c>
      <c r="H599" s="0" t="s">
        <v>7732</v>
      </c>
      <c r="I599" s="0" t="s">
        <v>7338</v>
      </c>
      <c r="J599" s="0" t="s">
        <v>1602</v>
      </c>
      <c r="K599" s="0" t="s">
        <v>7339</v>
      </c>
      <c r="L599" s="0" t="s">
        <v>7340</v>
      </c>
      <c r="M599" s="0" t="s">
        <v>7661</v>
      </c>
      <c r="N599" s="0" t="s">
        <v>7342</v>
      </c>
      <c r="P599" s="0" t="s">
        <v>229</v>
      </c>
      <c r="Q599" s="0" t="s">
        <v>7354</v>
      </c>
      <c r="R599" s="0" t="s">
        <v>7343</v>
      </c>
      <c r="S599" s="0" t="s">
        <v>7344</v>
      </c>
      <c r="T599" s="0" t="s">
        <v>228</v>
      </c>
      <c r="V599" s="0" t="s">
        <v>55</v>
      </c>
      <c r="W599" s="0" t="s">
        <v>2146</v>
      </c>
      <c r="X599" s="0" t="s">
        <v>7355</v>
      </c>
      <c r="Y599" s="0" t="s">
        <v>7731</v>
      </c>
      <c r="Z599" s="0" t="s">
        <v>7668</v>
      </c>
      <c r="AA599" s="0" t="s">
        <v>7669</v>
      </c>
      <c r="AB599" s="0" t="s">
        <v>344</v>
      </c>
      <c r="AC599" s="0" t="s">
        <v>7629</v>
      </c>
      <c r="AE599" s="0" t="s">
        <v>7360</v>
      </c>
      <c r="AF599" s="0" t="s">
        <v>7361</v>
      </c>
      <c r="AG599" s="0" t="s">
        <v>230</v>
      </c>
    </row>
    <row r="600" customFormat="false" ht="15" hidden="false" customHeight="false" outlineLevel="0" collapsed="false">
      <c r="A600" s="0" t="s">
        <v>7336</v>
      </c>
      <c r="B600" s="0" t="s">
        <v>2366</v>
      </c>
      <c r="C600" s="0" t="s">
        <v>2367</v>
      </c>
      <c r="D600" s="0" t="s">
        <v>227</v>
      </c>
      <c r="E600" s="0" t="s">
        <v>2368</v>
      </c>
      <c r="F600" s="0" t="s">
        <v>2154</v>
      </c>
      <c r="G600" s="0" t="s">
        <v>184</v>
      </c>
      <c r="H600" s="0" t="s">
        <v>7733</v>
      </c>
      <c r="I600" s="0" t="s">
        <v>7338</v>
      </c>
      <c r="J600" s="0" t="s">
        <v>1602</v>
      </c>
      <c r="K600" s="0" t="s">
        <v>7339</v>
      </c>
      <c r="L600" s="0" t="s">
        <v>7340</v>
      </c>
      <c r="M600" s="0" t="s">
        <v>7661</v>
      </c>
      <c r="N600" s="0" t="s">
        <v>7342</v>
      </c>
      <c r="P600" s="0" t="s">
        <v>229</v>
      </c>
      <c r="Q600" s="0" t="s">
        <v>7354</v>
      </c>
      <c r="R600" s="0" t="s">
        <v>7343</v>
      </c>
      <c r="S600" s="0" t="s">
        <v>7344</v>
      </c>
      <c r="T600" s="0" t="s">
        <v>228</v>
      </c>
      <c r="V600" s="0" t="s">
        <v>55</v>
      </c>
      <c r="W600" s="0" t="s">
        <v>2146</v>
      </c>
      <c r="X600" s="0" t="s">
        <v>7355</v>
      </c>
      <c r="Y600" s="0" t="s">
        <v>7731</v>
      </c>
      <c r="Z600" s="0" t="s">
        <v>7668</v>
      </c>
      <c r="AA600" s="0" t="s">
        <v>7669</v>
      </c>
      <c r="AB600" s="0" t="s">
        <v>344</v>
      </c>
      <c r="AC600" s="0" t="s">
        <v>7629</v>
      </c>
      <c r="AE600" s="0" t="s">
        <v>7360</v>
      </c>
      <c r="AF600" s="0" t="s">
        <v>7361</v>
      </c>
      <c r="AG600" s="0" t="s">
        <v>230</v>
      </c>
    </row>
    <row r="601" customFormat="false" ht="15" hidden="false" customHeight="false" outlineLevel="0" collapsed="false">
      <c r="A601" s="0" t="s">
        <v>7336</v>
      </c>
      <c r="B601" s="0" t="s">
        <v>2369</v>
      </c>
      <c r="C601" s="0" t="s">
        <v>2370</v>
      </c>
      <c r="D601" s="0" t="s">
        <v>227</v>
      </c>
      <c r="E601" s="0" t="s">
        <v>2371</v>
      </c>
      <c r="F601" s="0" t="s">
        <v>2372</v>
      </c>
      <c r="G601" s="0" t="s">
        <v>184</v>
      </c>
      <c r="H601" s="0" t="s">
        <v>7775</v>
      </c>
      <c r="I601" s="0" t="s">
        <v>7338</v>
      </c>
      <c r="J601" s="0" t="s">
        <v>1602</v>
      </c>
      <c r="K601" s="0" t="s">
        <v>7339</v>
      </c>
      <c r="L601" s="0" t="s">
        <v>7340</v>
      </c>
      <c r="M601" s="0" t="s">
        <v>7661</v>
      </c>
      <c r="N601" s="0" t="s">
        <v>7342</v>
      </c>
      <c r="P601" s="0" t="s">
        <v>229</v>
      </c>
      <c r="Q601" s="0" t="s">
        <v>7354</v>
      </c>
      <c r="R601" s="0" t="s">
        <v>7343</v>
      </c>
      <c r="S601" s="0" t="s">
        <v>7344</v>
      </c>
      <c r="T601" s="0" t="s">
        <v>228</v>
      </c>
      <c r="V601" s="0" t="s">
        <v>55</v>
      </c>
      <c r="W601" s="0" t="s">
        <v>2146</v>
      </c>
      <c r="X601" s="0" t="s">
        <v>7355</v>
      </c>
      <c r="Y601" s="0" t="s">
        <v>7731</v>
      </c>
      <c r="Z601" s="0" t="s">
        <v>7668</v>
      </c>
      <c r="AA601" s="0" t="s">
        <v>7669</v>
      </c>
      <c r="AB601" s="0" t="s">
        <v>344</v>
      </c>
      <c r="AC601" s="0" t="s">
        <v>7629</v>
      </c>
      <c r="AE601" s="0" t="s">
        <v>7360</v>
      </c>
      <c r="AF601" s="0" t="s">
        <v>7361</v>
      </c>
      <c r="AG601" s="0" t="s">
        <v>230</v>
      </c>
    </row>
    <row r="602" customFormat="false" ht="15" hidden="false" customHeight="false" outlineLevel="0" collapsed="false">
      <c r="A602" s="0" t="s">
        <v>7336</v>
      </c>
      <c r="B602" s="0" t="s">
        <v>2373</v>
      </c>
      <c r="C602" s="0" t="s">
        <v>2374</v>
      </c>
      <c r="D602" s="0" t="s">
        <v>227</v>
      </c>
      <c r="E602" s="0" t="s">
        <v>2375</v>
      </c>
      <c r="F602" s="0" t="s">
        <v>2158</v>
      </c>
      <c r="G602" s="0" t="s">
        <v>184</v>
      </c>
      <c r="H602" s="0" t="s">
        <v>7734</v>
      </c>
      <c r="I602" s="0" t="s">
        <v>7338</v>
      </c>
      <c r="J602" s="0" t="s">
        <v>1602</v>
      </c>
      <c r="K602" s="0" t="s">
        <v>7339</v>
      </c>
      <c r="L602" s="0" t="s">
        <v>7340</v>
      </c>
      <c r="M602" s="0" t="s">
        <v>7661</v>
      </c>
      <c r="N602" s="0" t="s">
        <v>7342</v>
      </c>
      <c r="P602" s="0" t="s">
        <v>229</v>
      </c>
      <c r="Q602" s="0" t="s">
        <v>7354</v>
      </c>
      <c r="R602" s="0" t="s">
        <v>7343</v>
      </c>
      <c r="S602" s="0" t="s">
        <v>7344</v>
      </c>
      <c r="T602" s="0" t="s">
        <v>228</v>
      </c>
      <c r="V602" s="0" t="s">
        <v>55</v>
      </c>
      <c r="W602" s="0" t="s">
        <v>2146</v>
      </c>
      <c r="X602" s="0" t="s">
        <v>7355</v>
      </c>
      <c r="Y602" s="0" t="s">
        <v>7731</v>
      </c>
      <c r="Z602" s="0" t="s">
        <v>7668</v>
      </c>
      <c r="AA602" s="0" t="s">
        <v>7669</v>
      </c>
      <c r="AB602" s="0" t="s">
        <v>344</v>
      </c>
      <c r="AC602" s="0" t="s">
        <v>7629</v>
      </c>
      <c r="AE602" s="0" t="s">
        <v>7360</v>
      </c>
      <c r="AF602" s="0" t="s">
        <v>7361</v>
      </c>
      <c r="AG602" s="0" t="s">
        <v>230</v>
      </c>
    </row>
    <row r="603" customFormat="false" ht="15" hidden="false" customHeight="false" outlineLevel="0" collapsed="false">
      <c r="A603" s="0" t="s">
        <v>7336</v>
      </c>
      <c r="B603" s="0" t="s">
        <v>2376</v>
      </c>
      <c r="C603" s="0" t="s">
        <v>2377</v>
      </c>
      <c r="D603" s="0" t="s">
        <v>227</v>
      </c>
      <c r="E603" s="0" t="s">
        <v>2378</v>
      </c>
      <c r="F603" s="0" t="s">
        <v>2337</v>
      </c>
      <c r="G603" s="0" t="s">
        <v>184</v>
      </c>
      <c r="H603" s="0" t="s">
        <v>7773</v>
      </c>
      <c r="I603" s="0" t="s">
        <v>7338</v>
      </c>
      <c r="J603" s="0" t="s">
        <v>1602</v>
      </c>
      <c r="K603" s="0" t="s">
        <v>7339</v>
      </c>
      <c r="L603" s="0" t="s">
        <v>7340</v>
      </c>
      <c r="M603" s="0" t="s">
        <v>7661</v>
      </c>
      <c r="N603" s="0" t="s">
        <v>7342</v>
      </c>
      <c r="P603" s="0" t="s">
        <v>229</v>
      </c>
      <c r="Q603" s="0" t="s">
        <v>7354</v>
      </c>
      <c r="R603" s="0" t="s">
        <v>7343</v>
      </c>
      <c r="S603" s="0" t="s">
        <v>7344</v>
      </c>
      <c r="T603" s="0" t="s">
        <v>228</v>
      </c>
      <c r="V603" s="0" t="s">
        <v>55</v>
      </c>
      <c r="W603" s="0" t="s">
        <v>2146</v>
      </c>
      <c r="X603" s="0" t="s">
        <v>7355</v>
      </c>
      <c r="Y603" s="0" t="s">
        <v>7731</v>
      </c>
      <c r="Z603" s="0" t="s">
        <v>7668</v>
      </c>
      <c r="AA603" s="0" t="s">
        <v>7669</v>
      </c>
      <c r="AB603" s="0" t="s">
        <v>344</v>
      </c>
      <c r="AC603" s="0" t="s">
        <v>7629</v>
      </c>
      <c r="AE603" s="0" t="s">
        <v>7360</v>
      </c>
      <c r="AF603" s="0" t="s">
        <v>7361</v>
      </c>
      <c r="AG603" s="0" t="s">
        <v>230</v>
      </c>
    </row>
    <row r="604" customFormat="false" ht="15" hidden="false" customHeight="false" outlineLevel="0" collapsed="false">
      <c r="A604" s="0" t="s">
        <v>7336</v>
      </c>
      <c r="B604" s="0" t="s">
        <v>2379</v>
      </c>
      <c r="C604" s="0" t="s">
        <v>2380</v>
      </c>
      <c r="D604" s="0" t="s">
        <v>227</v>
      </c>
      <c r="E604" s="0" t="s">
        <v>2381</v>
      </c>
      <c r="F604" s="0" t="s">
        <v>2293</v>
      </c>
      <c r="G604" s="0" t="s">
        <v>184</v>
      </c>
      <c r="H604" s="0" t="s">
        <v>7762</v>
      </c>
      <c r="I604" s="0" t="s">
        <v>7338</v>
      </c>
      <c r="J604" s="0" t="s">
        <v>1602</v>
      </c>
      <c r="K604" s="0" t="s">
        <v>7339</v>
      </c>
      <c r="L604" s="0" t="s">
        <v>7340</v>
      </c>
      <c r="M604" s="0" t="s">
        <v>7661</v>
      </c>
      <c r="N604" s="0" t="s">
        <v>7342</v>
      </c>
      <c r="P604" s="0" t="s">
        <v>229</v>
      </c>
      <c r="Q604" s="0" t="s">
        <v>7354</v>
      </c>
      <c r="R604" s="0" t="s">
        <v>7343</v>
      </c>
      <c r="S604" s="0" t="s">
        <v>7344</v>
      </c>
      <c r="T604" s="0" t="s">
        <v>228</v>
      </c>
      <c r="V604" s="0" t="s">
        <v>55</v>
      </c>
      <c r="W604" s="0" t="s">
        <v>2146</v>
      </c>
      <c r="X604" s="0" t="s">
        <v>7355</v>
      </c>
      <c r="Y604" s="0" t="s">
        <v>7731</v>
      </c>
      <c r="Z604" s="0" t="s">
        <v>7668</v>
      </c>
      <c r="AA604" s="0" t="s">
        <v>7669</v>
      </c>
      <c r="AB604" s="0" t="s">
        <v>344</v>
      </c>
      <c r="AC604" s="0" t="s">
        <v>7629</v>
      </c>
      <c r="AE604" s="0" t="s">
        <v>7360</v>
      </c>
      <c r="AF604" s="0" t="s">
        <v>7361</v>
      </c>
      <c r="AG604" s="0" t="s">
        <v>230</v>
      </c>
    </row>
    <row r="605" customFormat="false" ht="15" hidden="false" customHeight="false" outlineLevel="0" collapsed="false">
      <c r="A605" s="0" t="s">
        <v>7336</v>
      </c>
      <c r="B605" s="0" t="s">
        <v>2382</v>
      </c>
      <c r="C605" s="0" t="s">
        <v>2383</v>
      </c>
      <c r="D605" s="0" t="s">
        <v>227</v>
      </c>
      <c r="E605" s="0" t="s">
        <v>2384</v>
      </c>
      <c r="F605" s="0" t="s">
        <v>2344</v>
      </c>
      <c r="G605" s="0" t="s">
        <v>184</v>
      </c>
      <c r="H605" s="0" t="s">
        <v>7774</v>
      </c>
      <c r="I605" s="0" t="s">
        <v>7338</v>
      </c>
      <c r="J605" s="0" t="s">
        <v>1602</v>
      </c>
      <c r="K605" s="0" t="s">
        <v>7339</v>
      </c>
      <c r="L605" s="0" t="s">
        <v>7340</v>
      </c>
      <c r="M605" s="0" t="s">
        <v>7661</v>
      </c>
      <c r="N605" s="0" t="s">
        <v>7342</v>
      </c>
      <c r="P605" s="0" t="s">
        <v>229</v>
      </c>
      <c r="Q605" s="0" t="s">
        <v>7354</v>
      </c>
      <c r="R605" s="0" t="s">
        <v>7343</v>
      </c>
      <c r="S605" s="0" t="s">
        <v>7344</v>
      </c>
      <c r="T605" s="0" t="s">
        <v>228</v>
      </c>
      <c r="V605" s="0" t="s">
        <v>55</v>
      </c>
      <c r="W605" s="0" t="s">
        <v>2146</v>
      </c>
      <c r="X605" s="0" t="s">
        <v>7355</v>
      </c>
      <c r="Y605" s="0" t="s">
        <v>7731</v>
      </c>
      <c r="Z605" s="0" t="s">
        <v>7668</v>
      </c>
      <c r="AA605" s="0" t="s">
        <v>7669</v>
      </c>
      <c r="AB605" s="0" t="s">
        <v>344</v>
      </c>
      <c r="AC605" s="0" t="s">
        <v>7629</v>
      </c>
      <c r="AE605" s="0" t="s">
        <v>7360</v>
      </c>
      <c r="AF605" s="0" t="s">
        <v>7361</v>
      </c>
      <c r="AG605" s="0" t="s">
        <v>230</v>
      </c>
    </row>
    <row r="606" customFormat="false" ht="15" hidden="false" customHeight="false" outlineLevel="0" collapsed="false">
      <c r="A606" s="0" t="s">
        <v>7336</v>
      </c>
      <c r="B606" s="0" t="s">
        <v>2385</v>
      </c>
      <c r="C606" s="0" t="s">
        <v>2386</v>
      </c>
      <c r="D606" s="0" t="s">
        <v>227</v>
      </c>
      <c r="E606" s="0" t="s">
        <v>2387</v>
      </c>
      <c r="F606" s="0" t="s">
        <v>2145</v>
      </c>
      <c r="G606" s="0" t="s">
        <v>184</v>
      </c>
      <c r="H606" s="0" t="s">
        <v>7730</v>
      </c>
      <c r="I606" s="0" t="s">
        <v>7338</v>
      </c>
      <c r="J606" s="0" t="s">
        <v>1602</v>
      </c>
      <c r="K606" s="0" t="s">
        <v>7339</v>
      </c>
      <c r="L606" s="0" t="s">
        <v>7340</v>
      </c>
      <c r="M606" s="0" t="s">
        <v>7661</v>
      </c>
      <c r="N606" s="0" t="s">
        <v>7342</v>
      </c>
      <c r="P606" s="0" t="s">
        <v>229</v>
      </c>
      <c r="Q606" s="0" t="s">
        <v>7354</v>
      </c>
      <c r="R606" s="0" t="s">
        <v>7343</v>
      </c>
      <c r="S606" s="0" t="s">
        <v>7344</v>
      </c>
      <c r="T606" s="0" t="s">
        <v>228</v>
      </c>
      <c r="V606" s="0" t="s">
        <v>55</v>
      </c>
      <c r="W606" s="0" t="s">
        <v>2146</v>
      </c>
      <c r="X606" s="0" t="s">
        <v>7355</v>
      </c>
      <c r="Y606" s="0" t="s">
        <v>7731</v>
      </c>
      <c r="Z606" s="0" t="s">
        <v>7668</v>
      </c>
      <c r="AA606" s="0" t="s">
        <v>7669</v>
      </c>
      <c r="AB606" s="0" t="s">
        <v>344</v>
      </c>
      <c r="AC606" s="0" t="s">
        <v>7629</v>
      </c>
      <c r="AE606" s="0" t="s">
        <v>7360</v>
      </c>
      <c r="AF606" s="0" t="s">
        <v>7361</v>
      </c>
      <c r="AG606" s="0" t="s">
        <v>230</v>
      </c>
    </row>
    <row r="607" customFormat="false" ht="15" hidden="false" customHeight="false" outlineLevel="0" collapsed="false">
      <c r="A607" s="0" t="s">
        <v>7336</v>
      </c>
      <c r="B607" s="0" t="s">
        <v>2388</v>
      </c>
      <c r="C607" s="0" t="s">
        <v>2389</v>
      </c>
      <c r="D607" s="0" t="s">
        <v>227</v>
      </c>
      <c r="E607" s="0" t="s">
        <v>2390</v>
      </c>
      <c r="F607" s="0" t="s">
        <v>2150</v>
      </c>
      <c r="G607" s="0" t="s">
        <v>184</v>
      </c>
      <c r="H607" s="0" t="s">
        <v>7732</v>
      </c>
      <c r="I607" s="0" t="s">
        <v>7338</v>
      </c>
      <c r="J607" s="0" t="s">
        <v>1602</v>
      </c>
      <c r="K607" s="0" t="s">
        <v>7339</v>
      </c>
      <c r="L607" s="0" t="s">
        <v>7340</v>
      </c>
      <c r="M607" s="0" t="s">
        <v>7661</v>
      </c>
      <c r="N607" s="0" t="s">
        <v>7342</v>
      </c>
      <c r="P607" s="0" t="s">
        <v>229</v>
      </c>
      <c r="Q607" s="0" t="s">
        <v>7354</v>
      </c>
      <c r="R607" s="0" t="s">
        <v>7343</v>
      </c>
      <c r="S607" s="0" t="s">
        <v>7344</v>
      </c>
      <c r="T607" s="0" t="s">
        <v>228</v>
      </c>
      <c r="V607" s="0" t="s">
        <v>55</v>
      </c>
      <c r="W607" s="0" t="s">
        <v>2146</v>
      </c>
      <c r="X607" s="0" t="s">
        <v>7355</v>
      </c>
      <c r="Y607" s="0" t="s">
        <v>7731</v>
      </c>
      <c r="Z607" s="0" t="s">
        <v>7668</v>
      </c>
      <c r="AA607" s="0" t="s">
        <v>7669</v>
      </c>
      <c r="AB607" s="0" t="s">
        <v>344</v>
      </c>
      <c r="AC607" s="0" t="s">
        <v>7629</v>
      </c>
      <c r="AE607" s="0" t="s">
        <v>7360</v>
      </c>
      <c r="AF607" s="0" t="s">
        <v>7361</v>
      </c>
      <c r="AG607" s="0" t="s">
        <v>230</v>
      </c>
    </row>
    <row r="608" customFormat="false" ht="15" hidden="false" customHeight="false" outlineLevel="0" collapsed="false">
      <c r="A608" s="0" t="s">
        <v>7336</v>
      </c>
      <c r="B608" s="0" t="s">
        <v>2391</v>
      </c>
      <c r="C608" s="0" t="s">
        <v>2392</v>
      </c>
      <c r="D608" s="0" t="s">
        <v>227</v>
      </c>
      <c r="E608" s="0" t="s">
        <v>2393</v>
      </c>
      <c r="F608" s="0" t="s">
        <v>2154</v>
      </c>
      <c r="G608" s="0" t="s">
        <v>184</v>
      </c>
      <c r="H608" s="0" t="s">
        <v>7733</v>
      </c>
      <c r="I608" s="0" t="s">
        <v>7338</v>
      </c>
      <c r="J608" s="0" t="s">
        <v>1602</v>
      </c>
      <c r="K608" s="0" t="s">
        <v>7339</v>
      </c>
      <c r="L608" s="0" t="s">
        <v>7340</v>
      </c>
      <c r="M608" s="0" t="s">
        <v>7661</v>
      </c>
      <c r="N608" s="0" t="s">
        <v>7342</v>
      </c>
      <c r="P608" s="0" t="s">
        <v>229</v>
      </c>
      <c r="Q608" s="0" t="s">
        <v>7354</v>
      </c>
      <c r="R608" s="0" t="s">
        <v>7343</v>
      </c>
      <c r="S608" s="0" t="s">
        <v>7344</v>
      </c>
      <c r="T608" s="0" t="s">
        <v>228</v>
      </c>
      <c r="V608" s="0" t="s">
        <v>55</v>
      </c>
      <c r="W608" s="0" t="s">
        <v>2146</v>
      </c>
      <c r="X608" s="0" t="s">
        <v>7355</v>
      </c>
      <c r="Y608" s="0" t="s">
        <v>7731</v>
      </c>
      <c r="Z608" s="0" t="s">
        <v>7668</v>
      </c>
      <c r="AA608" s="0" t="s">
        <v>7669</v>
      </c>
      <c r="AB608" s="0" t="s">
        <v>344</v>
      </c>
      <c r="AC608" s="0" t="s">
        <v>7629</v>
      </c>
      <c r="AE608" s="0" t="s">
        <v>7360</v>
      </c>
      <c r="AF608" s="0" t="s">
        <v>7361</v>
      </c>
      <c r="AG608" s="0" t="s">
        <v>230</v>
      </c>
    </row>
    <row r="609" customFormat="false" ht="15" hidden="false" customHeight="false" outlineLevel="0" collapsed="false">
      <c r="A609" s="0" t="s">
        <v>7336</v>
      </c>
      <c r="B609" s="0" t="s">
        <v>2394</v>
      </c>
      <c r="C609" s="0" t="s">
        <v>2395</v>
      </c>
      <c r="D609" s="0" t="s">
        <v>227</v>
      </c>
      <c r="E609" s="0" t="s">
        <v>2396</v>
      </c>
      <c r="F609" s="0" t="s">
        <v>2372</v>
      </c>
      <c r="G609" s="0" t="s">
        <v>184</v>
      </c>
      <c r="H609" s="0" t="s">
        <v>7775</v>
      </c>
      <c r="I609" s="0" t="s">
        <v>7338</v>
      </c>
      <c r="J609" s="0" t="s">
        <v>1602</v>
      </c>
      <c r="K609" s="0" t="s">
        <v>7339</v>
      </c>
      <c r="L609" s="0" t="s">
        <v>7340</v>
      </c>
      <c r="M609" s="0" t="s">
        <v>7661</v>
      </c>
      <c r="N609" s="0" t="s">
        <v>7342</v>
      </c>
      <c r="P609" s="0" t="s">
        <v>229</v>
      </c>
      <c r="Q609" s="0" t="s">
        <v>7354</v>
      </c>
      <c r="R609" s="0" t="s">
        <v>7343</v>
      </c>
      <c r="S609" s="0" t="s">
        <v>7344</v>
      </c>
      <c r="T609" s="0" t="s">
        <v>228</v>
      </c>
      <c r="V609" s="0" t="s">
        <v>55</v>
      </c>
      <c r="W609" s="0" t="s">
        <v>2146</v>
      </c>
      <c r="X609" s="0" t="s">
        <v>7355</v>
      </c>
      <c r="Y609" s="0" t="s">
        <v>7731</v>
      </c>
      <c r="Z609" s="0" t="s">
        <v>7668</v>
      </c>
      <c r="AA609" s="0" t="s">
        <v>7669</v>
      </c>
      <c r="AB609" s="0" t="s">
        <v>344</v>
      </c>
      <c r="AC609" s="0" t="s">
        <v>7629</v>
      </c>
      <c r="AE609" s="0" t="s">
        <v>7360</v>
      </c>
      <c r="AF609" s="0" t="s">
        <v>7361</v>
      </c>
      <c r="AG609" s="0" t="s">
        <v>230</v>
      </c>
    </row>
    <row r="610" customFormat="false" ht="15" hidden="false" customHeight="false" outlineLevel="0" collapsed="false">
      <c r="A610" s="0" t="s">
        <v>7336</v>
      </c>
      <c r="B610" s="0" t="s">
        <v>2397</v>
      </c>
      <c r="C610" s="0" t="s">
        <v>2398</v>
      </c>
      <c r="D610" s="0" t="s">
        <v>227</v>
      </c>
      <c r="E610" s="0" t="s">
        <v>2399</v>
      </c>
      <c r="F610" s="0" t="s">
        <v>2158</v>
      </c>
      <c r="G610" s="0" t="s">
        <v>184</v>
      </c>
      <c r="H610" s="0" t="s">
        <v>7734</v>
      </c>
      <c r="I610" s="0" t="s">
        <v>7338</v>
      </c>
      <c r="J610" s="0" t="s">
        <v>1602</v>
      </c>
      <c r="K610" s="0" t="s">
        <v>7339</v>
      </c>
      <c r="L610" s="0" t="s">
        <v>7340</v>
      </c>
      <c r="M610" s="0" t="s">
        <v>7661</v>
      </c>
      <c r="N610" s="0" t="s">
        <v>7342</v>
      </c>
      <c r="P610" s="0" t="s">
        <v>229</v>
      </c>
      <c r="Q610" s="0" t="s">
        <v>7354</v>
      </c>
      <c r="R610" s="0" t="s">
        <v>7343</v>
      </c>
      <c r="S610" s="0" t="s">
        <v>7344</v>
      </c>
      <c r="T610" s="0" t="s">
        <v>228</v>
      </c>
      <c r="V610" s="0" t="s">
        <v>55</v>
      </c>
      <c r="W610" s="0" t="s">
        <v>2146</v>
      </c>
      <c r="X610" s="0" t="s">
        <v>7355</v>
      </c>
      <c r="Y610" s="0" t="s">
        <v>7731</v>
      </c>
      <c r="Z610" s="0" t="s">
        <v>7668</v>
      </c>
      <c r="AA610" s="0" t="s">
        <v>7669</v>
      </c>
      <c r="AB610" s="0" t="s">
        <v>344</v>
      </c>
      <c r="AC610" s="0" t="s">
        <v>7629</v>
      </c>
      <c r="AE610" s="0" t="s">
        <v>7360</v>
      </c>
      <c r="AF610" s="0" t="s">
        <v>7361</v>
      </c>
      <c r="AG610" s="0" t="s">
        <v>230</v>
      </c>
    </row>
    <row r="611" customFormat="false" ht="15" hidden="false" customHeight="false" outlineLevel="0" collapsed="false">
      <c r="A611" s="0" t="s">
        <v>7336</v>
      </c>
      <c r="B611" s="0" t="s">
        <v>2400</v>
      </c>
      <c r="C611" s="0" t="s">
        <v>2401</v>
      </c>
      <c r="D611" s="0" t="s">
        <v>227</v>
      </c>
      <c r="E611" s="0" t="s">
        <v>2402</v>
      </c>
      <c r="F611" s="0" t="s">
        <v>2337</v>
      </c>
      <c r="G611" s="0" t="s">
        <v>184</v>
      </c>
      <c r="H611" s="0" t="s">
        <v>7773</v>
      </c>
      <c r="I611" s="0" t="s">
        <v>7338</v>
      </c>
      <c r="J611" s="0" t="s">
        <v>1602</v>
      </c>
      <c r="K611" s="0" t="s">
        <v>7339</v>
      </c>
      <c r="L611" s="0" t="s">
        <v>7340</v>
      </c>
      <c r="M611" s="0" t="s">
        <v>7661</v>
      </c>
      <c r="N611" s="0" t="s">
        <v>7342</v>
      </c>
      <c r="P611" s="0" t="s">
        <v>229</v>
      </c>
      <c r="Q611" s="0" t="s">
        <v>7354</v>
      </c>
      <c r="R611" s="0" t="s">
        <v>7343</v>
      </c>
      <c r="S611" s="0" t="s">
        <v>7344</v>
      </c>
      <c r="T611" s="0" t="s">
        <v>228</v>
      </c>
      <c r="V611" s="0" t="s">
        <v>55</v>
      </c>
      <c r="W611" s="0" t="s">
        <v>2146</v>
      </c>
      <c r="X611" s="0" t="s">
        <v>7355</v>
      </c>
      <c r="Y611" s="0" t="s">
        <v>7731</v>
      </c>
      <c r="Z611" s="0" t="s">
        <v>7668</v>
      </c>
      <c r="AA611" s="0" t="s">
        <v>7669</v>
      </c>
      <c r="AB611" s="0" t="s">
        <v>344</v>
      </c>
      <c r="AC611" s="0" t="s">
        <v>7629</v>
      </c>
      <c r="AE611" s="0" t="s">
        <v>7360</v>
      </c>
      <c r="AF611" s="0" t="s">
        <v>7361</v>
      </c>
      <c r="AG611" s="0" t="s">
        <v>230</v>
      </c>
    </row>
    <row r="612" customFormat="false" ht="15" hidden="false" customHeight="false" outlineLevel="0" collapsed="false">
      <c r="A612" s="0" t="s">
        <v>7336</v>
      </c>
      <c r="B612" s="0" t="s">
        <v>2403</v>
      </c>
      <c r="C612" s="0" t="s">
        <v>2404</v>
      </c>
      <c r="D612" s="0" t="s">
        <v>227</v>
      </c>
      <c r="E612" s="0" t="s">
        <v>2405</v>
      </c>
      <c r="F612" s="0" t="s">
        <v>2293</v>
      </c>
      <c r="G612" s="0" t="s">
        <v>184</v>
      </c>
      <c r="H612" s="0" t="s">
        <v>7762</v>
      </c>
      <c r="I612" s="0" t="s">
        <v>7338</v>
      </c>
      <c r="J612" s="0" t="s">
        <v>1602</v>
      </c>
      <c r="K612" s="0" t="s">
        <v>7339</v>
      </c>
      <c r="L612" s="0" t="s">
        <v>7340</v>
      </c>
      <c r="M612" s="0" t="s">
        <v>7661</v>
      </c>
      <c r="N612" s="0" t="s">
        <v>7342</v>
      </c>
      <c r="P612" s="0" t="s">
        <v>229</v>
      </c>
      <c r="Q612" s="0" t="s">
        <v>7354</v>
      </c>
      <c r="R612" s="0" t="s">
        <v>7343</v>
      </c>
      <c r="S612" s="0" t="s">
        <v>7344</v>
      </c>
      <c r="T612" s="0" t="s">
        <v>228</v>
      </c>
      <c r="V612" s="0" t="s">
        <v>55</v>
      </c>
      <c r="W612" s="0" t="s">
        <v>2146</v>
      </c>
      <c r="X612" s="0" t="s">
        <v>7355</v>
      </c>
      <c r="Y612" s="0" t="s">
        <v>7731</v>
      </c>
      <c r="Z612" s="0" t="s">
        <v>7668</v>
      </c>
      <c r="AA612" s="0" t="s">
        <v>7669</v>
      </c>
      <c r="AB612" s="0" t="s">
        <v>344</v>
      </c>
      <c r="AC612" s="0" t="s">
        <v>7629</v>
      </c>
      <c r="AE612" s="0" t="s">
        <v>7360</v>
      </c>
      <c r="AF612" s="0" t="s">
        <v>7361</v>
      </c>
      <c r="AG612" s="0" t="s">
        <v>230</v>
      </c>
    </row>
    <row r="613" customFormat="false" ht="15" hidden="false" customHeight="false" outlineLevel="0" collapsed="false">
      <c r="A613" s="0" t="s">
        <v>7336</v>
      </c>
      <c r="B613" s="0" t="s">
        <v>2406</v>
      </c>
      <c r="C613" s="0" t="s">
        <v>2407</v>
      </c>
      <c r="D613" s="0" t="s">
        <v>227</v>
      </c>
      <c r="E613" s="0" t="s">
        <v>2408</v>
      </c>
      <c r="F613" s="0" t="s">
        <v>2344</v>
      </c>
      <c r="G613" s="0" t="s">
        <v>184</v>
      </c>
      <c r="H613" s="0" t="s">
        <v>7774</v>
      </c>
      <c r="I613" s="0" t="s">
        <v>7338</v>
      </c>
      <c r="J613" s="0" t="s">
        <v>1602</v>
      </c>
      <c r="K613" s="0" t="s">
        <v>7339</v>
      </c>
      <c r="L613" s="0" t="s">
        <v>7340</v>
      </c>
      <c r="M613" s="0" t="s">
        <v>7661</v>
      </c>
      <c r="N613" s="0" t="s">
        <v>7342</v>
      </c>
      <c r="P613" s="0" t="s">
        <v>229</v>
      </c>
      <c r="Q613" s="0" t="s">
        <v>7354</v>
      </c>
      <c r="R613" s="0" t="s">
        <v>7343</v>
      </c>
      <c r="S613" s="0" t="s">
        <v>7344</v>
      </c>
      <c r="T613" s="0" t="s">
        <v>228</v>
      </c>
      <c r="V613" s="0" t="s">
        <v>55</v>
      </c>
      <c r="W613" s="0" t="s">
        <v>2146</v>
      </c>
      <c r="X613" s="0" t="s">
        <v>7355</v>
      </c>
      <c r="Y613" s="0" t="s">
        <v>7731</v>
      </c>
      <c r="Z613" s="0" t="s">
        <v>7668</v>
      </c>
      <c r="AA613" s="0" t="s">
        <v>7669</v>
      </c>
      <c r="AB613" s="0" t="s">
        <v>344</v>
      </c>
      <c r="AC613" s="0" t="s">
        <v>7629</v>
      </c>
      <c r="AE613" s="0" t="s">
        <v>7360</v>
      </c>
      <c r="AF613" s="0" t="s">
        <v>7361</v>
      </c>
      <c r="AG613" s="0" t="s">
        <v>230</v>
      </c>
    </row>
    <row r="614" customFormat="false" ht="15" hidden="false" customHeight="false" outlineLevel="0" collapsed="false">
      <c r="A614" s="0" t="s">
        <v>7336</v>
      </c>
      <c r="B614" s="0" t="s">
        <v>2409</v>
      </c>
      <c r="C614" s="0" t="s">
        <v>2410</v>
      </c>
      <c r="D614" s="0" t="s">
        <v>227</v>
      </c>
      <c r="E614" s="0" t="s">
        <v>2411</v>
      </c>
      <c r="F614" s="0" t="s">
        <v>2145</v>
      </c>
      <c r="G614" s="0" t="s">
        <v>184</v>
      </c>
      <c r="H614" s="0" t="s">
        <v>7730</v>
      </c>
      <c r="I614" s="0" t="s">
        <v>7338</v>
      </c>
      <c r="J614" s="0" t="s">
        <v>1602</v>
      </c>
      <c r="K614" s="0" t="s">
        <v>7339</v>
      </c>
      <c r="L614" s="0" t="s">
        <v>7340</v>
      </c>
      <c r="M614" s="0" t="s">
        <v>7661</v>
      </c>
      <c r="N614" s="0" t="s">
        <v>7342</v>
      </c>
      <c r="P614" s="0" t="s">
        <v>229</v>
      </c>
      <c r="Q614" s="0" t="s">
        <v>7354</v>
      </c>
      <c r="R614" s="0" t="s">
        <v>7343</v>
      </c>
      <c r="S614" s="0" t="s">
        <v>7344</v>
      </c>
      <c r="T614" s="0" t="s">
        <v>228</v>
      </c>
      <c r="V614" s="0" t="s">
        <v>55</v>
      </c>
      <c r="W614" s="0" t="s">
        <v>2146</v>
      </c>
      <c r="X614" s="0" t="s">
        <v>7355</v>
      </c>
      <c r="Y614" s="0" t="s">
        <v>7731</v>
      </c>
      <c r="Z614" s="0" t="s">
        <v>7668</v>
      </c>
      <c r="AA614" s="0" t="s">
        <v>7669</v>
      </c>
      <c r="AB614" s="0" t="s">
        <v>344</v>
      </c>
      <c r="AC614" s="0" t="s">
        <v>7629</v>
      </c>
      <c r="AE614" s="0" t="s">
        <v>7360</v>
      </c>
      <c r="AF614" s="0" t="s">
        <v>7361</v>
      </c>
      <c r="AG614" s="0" t="s">
        <v>230</v>
      </c>
    </row>
    <row r="615" customFormat="false" ht="15" hidden="false" customHeight="false" outlineLevel="0" collapsed="false">
      <c r="A615" s="0" t="s">
        <v>7336</v>
      </c>
      <c r="B615" s="0" t="s">
        <v>2412</v>
      </c>
      <c r="C615" s="0" t="s">
        <v>2413</v>
      </c>
      <c r="D615" s="0" t="s">
        <v>227</v>
      </c>
      <c r="E615" s="0" t="s">
        <v>2414</v>
      </c>
      <c r="F615" s="0" t="s">
        <v>2150</v>
      </c>
      <c r="G615" s="0" t="s">
        <v>184</v>
      </c>
      <c r="H615" s="0" t="s">
        <v>7732</v>
      </c>
      <c r="I615" s="0" t="s">
        <v>7338</v>
      </c>
      <c r="J615" s="0" t="s">
        <v>1602</v>
      </c>
      <c r="K615" s="0" t="s">
        <v>7339</v>
      </c>
      <c r="L615" s="0" t="s">
        <v>7340</v>
      </c>
      <c r="M615" s="0" t="s">
        <v>7661</v>
      </c>
      <c r="N615" s="0" t="s">
        <v>7342</v>
      </c>
      <c r="P615" s="0" t="s">
        <v>229</v>
      </c>
      <c r="Q615" s="0" t="s">
        <v>7354</v>
      </c>
      <c r="R615" s="0" t="s">
        <v>7343</v>
      </c>
      <c r="S615" s="0" t="s">
        <v>7344</v>
      </c>
      <c r="T615" s="0" t="s">
        <v>228</v>
      </c>
      <c r="V615" s="0" t="s">
        <v>55</v>
      </c>
      <c r="W615" s="0" t="s">
        <v>2146</v>
      </c>
      <c r="X615" s="0" t="s">
        <v>7355</v>
      </c>
      <c r="Y615" s="0" t="s">
        <v>7731</v>
      </c>
      <c r="Z615" s="0" t="s">
        <v>7668</v>
      </c>
      <c r="AA615" s="0" t="s">
        <v>7669</v>
      </c>
      <c r="AB615" s="0" t="s">
        <v>344</v>
      </c>
      <c r="AC615" s="0" t="s">
        <v>7629</v>
      </c>
      <c r="AE615" s="0" t="s">
        <v>7360</v>
      </c>
      <c r="AF615" s="0" t="s">
        <v>7361</v>
      </c>
      <c r="AG615" s="0" t="s">
        <v>230</v>
      </c>
    </row>
    <row r="616" customFormat="false" ht="15" hidden="false" customHeight="false" outlineLevel="0" collapsed="false">
      <c r="A616" s="0" t="s">
        <v>7336</v>
      </c>
      <c r="B616" s="0" t="s">
        <v>2415</v>
      </c>
      <c r="C616" s="0" t="s">
        <v>2416</v>
      </c>
      <c r="D616" s="0" t="s">
        <v>227</v>
      </c>
      <c r="E616" s="0" t="s">
        <v>2417</v>
      </c>
      <c r="F616" s="0" t="s">
        <v>2154</v>
      </c>
      <c r="G616" s="0" t="s">
        <v>184</v>
      </c>
      <c r="H616" s="0" t="s">
        <v>7733</v>
      </c>
      <c r="I616" s="0" t="s">
        <v>7338</v>
      </c>
      <c r="J616" s="0" t="s">
        <v>1602</v>
      </c>
      <c r="K616" s="0" t="s">
        <v>7339</v>
      </c>
      <c r="L616" s="0" t="s">
        <v>7340</v>
      </c>
      <c r="M616" s="0" t="s">
        <v>7661</v>
      </c>
      <c r="N616" s="0" t="s">
        <v>7342</v>
      </c>
      <c r="P616" s="0" t="s">
        <v>229</v>
      </c>
      <c r="Q616" s="0" t="s">
        <v>7354</v>
      </c>
      <c r="R616" s="0" t="s">
        <v>7343</v>
      </c>
      <c r="S616" s="0" t="s">
        <v>7344</v>
      </c>
      <c r="T616" s="0" t="s">
        <v>228</v>
      </c>
      <c r="V616" s="0" t="s">
        <v>55</v>
      </c>
      <c r="W616" s="0" t="s">
        <v>2146</v>
      </c>
      <c r="X616" s="0" t="s">
        <v>7355</v>
      </c>
      <c r="Y616" s="0" t="s">
        <v>7731</v>
      </c>
      <c r="Z616" s="0" t="s">
        <v>7668</v>
      </c>
      <c r="AA616" s="0" t="s">
        <v>7669</v>
      </c>
      <c r="AB616" s="0" t="s">
        <v>344</v>
      </c>
      <c r="AC616" s="0" t="s">
        <v>7629</v>
      </c>
      <c r="AE616" s="0" t="s">
        <v>7360</v>
      </c>
      <c r="AF616" s="0" t="s">
        <v>7361</v>
      </c>
      <c r="AG616" s="0" t="s">
        <v>230</v>
      </c>
    </row>
    <row r="617" customFormat="false" ht="15" hidden="false" customHeight="false" outlineLevel="0" collapsed="false">
      <c r="A617" s="0" t="s">
        <v>7336</v>
      </c>
      <c r="B617" s="0" t="s">
        <v>2418</v>
      </c>
      <c r="C617" s="0" t="s">
        <v>2419</v>
      </c>
      <c r="D617" s="0" t="s">
        <v>227</v>
      </c>
      <c r="E617" s="0" t="s">
        <v>2420</v>
      </c>
      <c r="F617" s="0" t="s">
        <v>2372</v>
      </c>
      <c r="G617" s="0" t="s">
        <v>184</v>
      </c>
      <c r="H617" s="0" t="s">
        <v>7775</v>
      </c>
      <c r="I617" s="0" t="s">
        <v>7338</v>
      </c>
      <c r="J617" s="0" t="s">
        <v>1602</v>
      </c>
      <c r="K617" s="0" t="s">
        <v>7339</v>
      </c>
      <c r="L617" s="0" t="s">
        <v>7340</v>
      </c>
      <c r="M617" s="0" t="s">
        <v>7661</v>
      </c>
      <c r="N617" s="0" t="s">
        <v>7342</v>
      </c>
      <c r="P617" s="0" t="s">
        <v>229</v>
      </c>
      <c r="Q617" s="0" t="s">
        <v>7354</v>
      </c>
      <c r="R617" s="0" t="s">
        <v>7343</v>
      </c>
      <c r="S617" s="0" t="s">
        <v>7344</v>
      </c>
      <c r="T617" s="0" t="s">
        <v>228</v>
      </c>
      <c r="V617" s="0" t="s">
        <v>55</v>
      </c>
      <c r="W617" s="0" t="s">
        <v>2146</v>
      </c>
      <c r="X617" s="0" t="s">
        <v>7355</v>
      </c>
      <c r="Y617" s="0" t="s">
        <v>7731</v>
      </c>
      <c r="Z617" s="0" t="s">
        <v>7668</v>
      </c>
      <c r="AA617" s="0" t="s">
        <v>7669</v>
      </c>
      <c r="AB617" s="0" t="s">
        <v>344</v>
      </c>
      <c r="AC617" s="0" t="s">
        <v>7629</v>
      </c>
      <c r="AE617" s="0" t="s">
        <v>7360</v>
      </c>
      <c r="AF617" s="0" t="s">
        <v>7361</v>
      </c>
      <c r="AG617" s="0" t="s">
        <v>230</v>
      </c>
    </row>
    <row r="618" customFormat="false" ht="15" hidden="false" customHeight="false" outlineLevel="0" collapsed="false">
      <c r="A618" s="0" t="s">
        <v>7336</v>
      </c>
      <c r="B618" s="0" t="s">
        <v>2421</v>
      </c>
      <c r="C618" s="0" t="s">
        <v>2422</v>
      </c>
      <c r="D618" s="0" t="s">
        <v>227</v>
      </c>
      <c r="E618" s="0" t="s">
        <v>2423</v>
      </c>
      <c r="F618" s="0" t="s">
        <v>2158</v>
      </c>
      <c r="G618" s="0" t="s">
        <v>184</v>
      </c>
      <c r="H618" s="0" t="s">
        <v>7734</v>
      </c>
      <c r="I618" s="0" t="s">
        <v>7338</v>
      </c>
      <c r="J618" s="0" t="s">
        <v>1602</v>
      </c>
      <c r="K618" s="0" t="s">
        <v>7339</v>
      </c>
      <c r="L618" s="0" t="s">
        <v>7340</v>
      </c>
      <c r="M618" s="0" t="s">
        <v>7661</v>
      </c>
      <c r="N618" s="0" t="s">
        <v>7342</v>
      </c>
      <c r="P618" s="0" t="s">
        <v>229</v>
      </c>
      <c r="Q618" s="0" t="s">
        <v>7354</v>
      </c>
      <c r="R618" s="0" t="s">
        <v>7343</v>
      </c>
      <c r="S618" s="0" t="s">
        <v>7344</v>
      </c>
      <c r="T618" s="0" t="s">
        <v>228</v>
      </c>
      <c r="V618" s="0" t="s">
        <v>55</v>
      </c>
      <c r="W618" s="0" t="s">
        <v>2146</v>
      </c>
      <c r="X618" s="0" t="s">
        <v>7355</v>
      </c>
      <c r="Y618" s="0" t="s">
        <v>7731</v>
      </c>
      <c r="Z618" s="0" t="s">
        <v>7668</v>
      </c>
      <c r="AA618" s="0" t="s">
        <v>7669</v>
      </c>
      <c r="AB618" s="0" t="s">
        <v>344</v>
      </c>
      <c r="AC618" s="0" t="s">
        <v>7629</v>
      </c>
      <c r="AE618" s="0" t="s">
        <v>7360</v>
      </c>
      <c r="AF618" s="0" t="s">
        <v>7361</v>
      </c>
      <c r="AG618" s="0" t="s">
        <v>230</v>
      </c>
    </row>
    <row r="619" customFormat="false" ht="15" hidden="false" customHeight="false" outlineLevel="0" collapsed="false">
      <c r="A619" s="0" t="s">
        <v>7336</v>
      </c>
      <c r="B619" s="0" t="s">
        <v>2424</v>
      </c>
      <c r="C619" s="0" t="s">
        <v>2425</v>
      </c>
      <c r="D619" s="0" t="s">
        <v>227</v>
      </c>
      <c r="E619" s="0" t="s">
        <v>2426</v>
      </c>
      <c r="F619" s="0" t="s">
        <v>2337</v>
      </c>
      <c r="G619" s="0" t="s">
        <v>184</v>
      </c>
      <c r="H619" s="0" t="s">
        <v>7773</v>
      </c>
      <c r="I619" s="0" t="s">
        <v>7338</v>
      </c>
      <c r="J619" s="0" t="s">
        <v>1602</v>
      </c>
      <c r="K619" s="0" t="s">
        <v>7339</v>
      </c>
      <c r="L619" s="0" t="s">
        <v>7340</v>
      </c>
      <c r="M619" s="0" t="s">
        <v>7661</v>
      </c>
      <c r="N619" s="0" t="s">
        <v>7342</v>
      </c>
      <c r="P619" s="0" t="s">
        <v>229</v>
      </c>
      <c r="Q619" s="0" t="s">
        <v>7354</v>
      </c>
      <c r="R619" s="0" t="s">
        <v>7343</v>
      </c>
      <c r="S619" s="0" t="s">
        <v>7344</v>
      </c>
      <c r="T619" s="0" t="s">
        <v>228</v>
      </c>
      <c r="V619" s="0" t="s">
        <v>55</v>
      </c>
      <c r="W619" s="0" t="s">
        <v>2146</v>
      </c>
      <c r="X619" s="0" t="s">
        <v>7355</v>
      </c>
      <c r="Y619" s="0" t="s">
        <v>7731</v>
      </c>
      <c r="Z619" s="0" t="s">
        <v>7668</v>
      </c>
      <c r="AA619" s="0" t="s">
        <v>7669</v>
      </c>
      <c r="AB619" s="0" t="s">
        <v>344</v>
      </c>
      <c r="AC619" s="0" t="s">
        <v>7629</v>
      </c>
      <c r="AE619" s="0" t="s">
        <v>7360</v>
      </c>
      <c r="AF619" s="0" t="s">
        <v>7361</v>
      </c>
      <c r="AG619" s="0" t="s">
        <v>230</v>
      </c>
    </row>
    <row r="620" customFormat="false" ht="15" hidden="false" customHeight="false" outlineLevel="0" collapsed="false">
      <c r="A620" s="0" t="s">
        <v>7336</v>
      </c>
      <c r="B620" s="0" t="s">
        <v>2427</v>
      </c>
      <c r="C620" s="0" t="s">
        <v>2428</v>
      </c>
      <c r="D620" s="0" t="s">
        <v>2431</v>
      </c>
      <c r="E620" s="0" t="s">
        <v>2429</v>
      </c>
      <c r="F620" s="0" t="s">
        <v>2430</v>
      </c>
      <c r="G620" s="0" t="s">
        <v>111</v>
      </c>
      <c r="H620" s="0" t="s">
        <v>7776</v>
      </c>
      <c r="I620" s="0" t="s">
        <v>7338</v>
      </c>
      <c r="J620" s="0" t="s">
        <v>1602</v>
      </c>
      <c r="K620" s="0" t="s">
        <v>7339</v>
      </c>
      <c r="L620" s="0" t="s">
        <v>7340</v>
      </c>
      <c r="M620" s="0" t="s">
        <v>7777</v>
      </c>
      <c r="N620" s="0" t="s">
        <v>7342</v>
      </c>
      <c r="P620" s="0" t="s">
        <v>229</v>
      </c>
      <c r="R620" s="0" t="s">
        <v>7343</v>
      </c>
      <c r="S620" s="0" t="s">
        <v>7344</v>
      </c>
      <c r="T620" s="0" t="s">
        <v>681</v>
      </c>
      <c r="V620" s="0" t="s">
        <v>34</v>
      </c>
      <c r="W620" s="0" t="s">
        <v>36</v>
      </c>
      <c r="X620" s="0" t="s">
        <v>7345</v>
      </c>
      <c r="Y620" s="0" t="s">
        <v>7495</v>
      </c>
      <c r="Z620" s="0" t="s">
        <v>7496</v>
      </c>
      <c r="AA620" s="0" t="s">
        <v>7497</v>
      </c>
      <c r="AB620" s="0" t="s">
        <v>682</v>
      </c>
      <c r="AC620" s="0" t="s">
        <v>7349</v>
      </c>
      <c r="AD620" s="0" t="s">
        <v>7498</v>
      </c>
      <c r="AE620" s="0" t="s">
        <v>7778</v>
      </c>
      <c r="AF620" s="0" t="s">
        <v>7499</v>
      </c>
      <c r="AG620" s="0" t="s">
        <v>230</v>
      </c>
    </row>
    <row r="621" customFormat="false" ht="15" hidden="false" customHeight="false" outlineLevel="0" collapsed="false">
      <c r="A621" s="0" t="s">
        <v>7336</v>
      </c>
      <c r="B621" s="0" t="s">
        <v>2432</v>
      </c>
      <c r="C621" s="0" t="s">
        <v>2433</v>
      </c>
      <c r="D621" s="0" t="s">
        <v>2431</v>
      </c>
      <c r="E621" s="0" t="s">
        <v>2434</v>
      </c>
      <c r="F621" s="0" t="s">
        <v>2430</v>
      </c>
      <c r="G621" s="0" t="s">
        <v>111</v>
      </c>
      <c r="H621" s="0" t="s">
        <v>7776</v>
      </c>
      <c r="I621" s="0" t="s">
        <v>7338</v>
      </c>
      <c r="J621" s="0" t="s">
        <v>1602</v>
      </c>
      <c r="K621" s="0" t="s">
        <v>7339</v>
      </c>
      <c r="L621" s="0" t="s">
        <v>7340</v>
      </c>
      <c r="M621" s="0" t="s">
        <v>7777</v>
      </c>
      <c r="N621" s="0" t="s">
        <v>7342</v>
      </c>
      <c r="P621" s="0" t="s">
        <v>229</v>
      </c>
      <c r="R621" s="0" t="s">
        <v>7343</v>
      </c>
      <c r="S621" s="0" t="s">
        <v>7344</v>
      </c>
      <c r="T621" s="0" t="s">
        <v>228</v>
      </c>
      <c r="V621" s="0" t="s">
        <v>34</v>
      </c>
      <c r="W621" s="0" t="s">
        <v>36</v>
      </c>
      <c r="X621" s="0" t="s">
        <v>7345</v>
      </c>
      <c r="Y621" s="0" t="s">
        <v>7409</v>
      </c>
      <c r="Z621" s="0" t="s">
        <v>7370</v>
      </c>
      <c r="AA621" s="0" t="s">
        <v>7504</v>
      </c>
      <c r="AB621" s="0" t="s">
        <v>231</v>
      </c>
      <c r="AC621" s="0" t="s">
        <v>7349</v>
      </c>
      <c r="AD621" s="0" t="s">
        <v>7505</v>
      </c>
      <c r="AE621" s="0" t="s">
        <v>7779</v>
      </c>
      <c r="AF621" s="0" t="s">
        <v>7374</v>
      </c>
      <c r="AG621" s="0" t="s">
        <v>230</v>
      </c>
    </row>
    <row r="622" customFormat="false" ht="15" hidden="false" customHeight="false" outlineLevel="0" collapsed="false">
      <c r="A622" s="0" t="s">
        <v>7336</v>
      </c>
      <c r="B622" s="0" t="s">
        <v>2435</v>
      </c>
      <c r="C622" s="0" t="s">
        <v>2436</v>
      </c>
      <c r="D622" s="0" t="s">
        <v>2431</v>
      </c>
      <c r="E622" s="0" t="s">
        <v>2437</v>
      </c>
      <c r="F622" s="0" t="s">
        <v>2438</v>
      </c>
      <c r="G622" s="0" t="s">
        <v>111</v>
      </c>
      <c r="H622" s="0" t="s">
        <v>7780</v>
      </c>
      <c r="I622" s="0" t="s">
        <v>7338</v>
      </c>
      <c r="J622" s="0" t="s">
        <v>1602</v>
      </c>
      <c r="K622" s="0" t="s">
        <v>7339</v>
      </c>
      <c r="L622" s="0" t="s">
        <v>7340</v>
      </c>
      <c r="M622" s="0" t="s">
        <v>7777</v>
      </c>
      <c r="N622" s="0" t="s">
        <v>7342</v>
      </c>
      <c r="P622" s="0" t="s">
        <v>229</v>
      </c>
      <c r="R622" s="0" t="s">
        <v>7343</v>
      </c>
      <c r="S622" s="0" t="s">
        <v>7344</v>
      </c>
      <c r="T622" s="0" t="s">
        <v>681</v>
      </c>
      <c r="V622" s="0" t="s">
        <v>34</v>
      </c>
      <c r="W622" s="0" t="s">
        <v>36</v>
      </c>
      <c r="X622" s="0" t="s">
        <v>7345</v>
      </c>
      <c r="Y622" s="0" t="s">
        <v>7495</v>
      </c>
      <c r="Z622" s="0" t="s">
        <v>7496</v>
      </c>
      <c r="AA622" s="0" t="s">
        <v>7497</v>
      </c>
      <c r="AB622" s="0" t="s">
        <v>682</v>
      </c>
      <c r="AC622" s="0" t="s">
        <v>7349</v>
      </c>
      <c r="AD622" s="0" t="s">
        <v>7498</v>
      </c>
      <c r="AE622" s="0" t="s">
        <v>7778</v>
      </c>
      <c r="AF622" s="0" t="s">
        <v>7499</v>
      </c>
      <c r="AG622" s="0" t="s">
        <v>230</v>
      </c>
    </row>
    <row r="623" customFormat="false" ht="15" hidden="false" customHeight="false" outlineLevel="0" collapsed="false">
      <c r="A623" s="0" t="s">
        <v>7336</v>
      </c>
      <c r="B623" s="0" t="s">
        <v>2439</v>
      </c>
      <c r="C623" s="0" t="s">
        <v>2440</v>
      </c>
      <c r="D623" s="0" t="s">
        <v>2431</v>
      </c>
      <c r="E623" s="0" t="s">
        <v>2441</v>
      </c>
      <c r="F623" s="0" t="s">
        <v>2438</v>
      </c>
      <c r="G623" s="0" t="s">
        <v>111</v>
      </c>
      <c r="H623" s="0" t="s">
        <v>7780</v>
      </c>
      <c r="I623" s="0" t="s">
        <v>7338</v>
      </c>
      <c r="J623" s="0" t="s">
        <v>1602</v>
      </c>
      <c r="K623" s="0" t="s">
        <v>7339</v>
      </c>
      <c r="L623" s="0" t="s">
        <v>7340</v>
      </c>
      <c r="M623" s="0" t="s">
        <v>7777</v>
      </c>
      <c r="N623" s="0" t="s">
        <v>7342</v>
      </c>
      <c r="P623" s="0" t="s">
        <v>229</v>
      </c>
      <c r="R623" s="0" t="s">
        <v>7343</v>
      </c>
      <c r="S623" s="0" t="s">
        <v>7344</v>
      </c>
      <c r="T623" s="0" t="s">
        <v>228</v>
      </c>
      <c r="V623" s="0" t="s">
        <v>34</v>
      </c>
      <c r="W623" s="0" t="s">
        <v>36</v>
      </c>
      <c r="X623" s="0" t="s">
        <v>7345</v>
      </c>
      <c r="Y623" s="0" t="s">
        <v>7346</v>
      </c>
      <c r="Z623" s="0" t="s">
        <v>7347</v>
      </c>
      <c r="AA623" s="0" t="s">
        <v>7348</v>
      </c>
      <c r="AB623" s="0" t="s">
        <v>231</v>
      </c>
      <c r="AC623" s="0" t="s">
        <v>7349</v>
      </c>
      <c r="AD623" s="0" t="s">
        <v>7500</v>
      </c>
      <c r="AE623" s="0" t="s">
        <v>7779</v>
      </c>
      <c r="AF623" s="0" t="s">
        <v>7352</v>
      </c>
      <c r="AG623" s="0" t="s">
        <v>230</v>
      </c>
    </row>
    <row r="624" customFormat="false" ht="15" hidden="false" customHeight="false" outlineLevel="0" collapsed="false">
      <c r="A624" s="0" t="s">
        <v>7336</v>
      </c>
      <c r="B624" s="0" t="s">
        <v>2442</v>
      </c>
      <c r="C624" s="0" t="s">
        <v>2443</v>
      </c>
      <c r="D624" s="0" t="s">
        <v>2431</v>
      </c>
      <c r="E624" s="0" t="s">
        <v>2444</v>
      </c>
      <c r="F624" s="0" t="s">
        <v>2445</v>
      </c>
      <c r="G624" s="0" t="s">
        <v>111</v>
      </c>
      <c r="H624" s="0" t="s">
        <v>7781</v>
      </c>
      <c r="I624" s="0" t="s">
        <v>7338</v>
      </c>
      <c r="J624" s="0" t="s">
        <v>1602</v>
      </c>
      <c r="K624" s="0" t="s">
        <v>7339</v>
      </c>
      <c r="L624" s="0" t="s">
        <v>7340</v>
      </c>
      <c r="M624" s="0" t="s">
        <v>7777</v>
      </c>
      <c r="N624" s="0" t="s">
        <v>7342</v>
      </c>
      <c r="P624" s="0" t="s">
        <v>229</v>
      </c>
      <c r="R624" s="0" t="s">
        <v>7343</v>
      </c>
      <c r="S624" s="0" t="s">
        <v>7344</v>
      </c>
      <c r="T624" s="0" t="s">
        <v>681</v>
      </c>
      <c r="V624" s="0" t="s">
        <v>34</v>
      </c>
      <c r="W624" s="0" t="s">
        <v>36</v>
      </c>
      <c r="X624" s="0" t="s">
        <v>7345</v>
      </c>
      <c r="Y624" s="0" t="s">
        <v>7495</v>
      </c>
      <c r="Z624" s="0" t="s">
        <v>7496</v>
      </c>
      <c r="AA624" s="0" t="s">
        <v>7497</v>
      </c>
      <c r="AB624" s="0" t="s">
        <v>682</v>
      </c>
      <c r="AC624" s="0" t="s">
        <v>7349</v>
      </c>
      <c r="AD624" s="0" t="s">
        <v>7498</v>
      </c>
      <c r="AE624" s="0" t="s">
        <v>1341</v>
      </c>
      <c r="AF624" s="0" t="s">
        <v>7499</v>
      </c>
      <c r="AG624" s="0" t="s">
        <v>230</v>
      </c>
    </row>
    <row r="625" customFormat="false" ht="15" hidden="false" customHeight="false" outlineLevel="0" collapsed="false">
      <c r="A625" s="0" t="s">
        <v>7336</v>
      </c>
      <c r="B625" s="0" t="s">
        <v>2446</v>
      </c>
      <c r="C625" s="0" t="s">
        <v>2447</v>
      </c>
      <c r="D625" s="0" t="s">
        <v>2431</v>
      </c>
      <c r="E625" s="0" t="s">
        <v>2448</v>
      </c>
      <c r="F625" s="0" t="s">
        <v>2445</v>
      </c>
      <c r="G625" s="0" t="s">
        <v>111</v>
      </c>
      <c r="H625" s="0" t="s">
        <v>7781</v>
      </c>
      <c r="I625" s="0" t="s">
        <v>7338</v>
      </c>
      <c r="J625" s="0" t="s">
        <v>1602</v>
      </c>
      <c r="K625" s="0" t="s">
        <v>7339</v>
      </c>
      <c r="L625" s="0" t="s">
        <v>7340</v>
      </c>
      <c r="M625" s="0" t="s">
        <v>7777</v>
      </c>
      <c r="N625" s="0" t="s">
        <v>7342</v>
      </c>
      <c r="P625" s="0" t="s">
        <v>229</v>
      </c>
      <c r="R625" s="0" t="s">
        <v>7343</v>
      </c>
      <c r="S625" s="0" t="s">
        <v>7344</v>
      </c>
      <c r="T625" s="0" t="s">
        <v>681</v>
      </c>
      <c r="V625" s="0" t="s">
        <v>34</v>
      </c>
      <c r="W625" s="0" t="s">
        <v>36</v>
      </c>
      <c r="X625" s="0" t="s">
        <v>7345</v>
      </c>
      <c r="Y625" s="0" t="s">
        <v>7495</v>
      </c>
      <c r="Z625" s="0" t="s">
        <v>7496</v>
      </c>
      <c r="AA625" s="0" t="s">
        <v>7497</v>
      </c>
      <c r="AB625" s="0" t="s">
        <v>682</v>
      </c>
      <c r="AC625" s="0" t="s">
        <v>7349</v>
      </c>
      <c r="AD625" s="0" t="s">
        <v>7498</v>
      </c>
      <c r="AE625" s="0" t="s">
        <v>7782</v>
      </c>
      <c r="AF625" s="0" t="s">
        <v>7499</v>
      </c>
      <c r="AG625" s="0" t="s">
        <v>230</v>
      </c>
    </row>
    <row r="626" customFormat="false" ht="15" hidden="false" customHeight="false" outlineLevel="0" collapsed="false">
      <c r="A626" s="0" t="s">
        <v>7336</v>
      </c>
      <c r="B626" s="0" t="s">
        <v>2449</v>
      </c>
      <c r="C626" s="0" t="s">
        <v>2450</v>
      </c>
      <c r="D626" s="0" t="s">
        <v>2431</v>
      </c>
      <c r="E626" s="0" t="s">
        <v>2451</v>
      </c>
      <c r="F626" s="0" t="s">
        <v>2445</v>
      </c>
      <c r="G626" s="0" t="s">
        <v>111</v>
      </c>
      <c r="H626" s="0" t="s">
        <v>7781</v>
      </c>
      <c r="I626" s="0" t="s">
        <v>7338</v>
      </c>
      <c r="J626" s="0" t="s">
        <v>1602</v>
      </c>
      <c r="K626" s="0" t="s">
        <v>7339</v>
      </c>
      <c r="L626" s="0" t="s">
        <v>7340</v>
      </c>
      <c r="M626" s="0" t="s">
        <v>7777</v>
      </c>
      <c r="N626" s="0" t="s">
        <v>7342</v>
      </c>
      <c r="P626" s="0" t="s">
        <v>229</v>
      </c>
      <c r="R626" s="0" t="s">
        <v>7343</v>
      </c>
      <c r="S626" s="0" t="s">
        <v>7344</v>
      </c>
      <c r="T626" s="0" t="s">
        <v>228</v>
      </c>
      <c r="V626" s="0" t="s">
        <v>34</v>
      </c>
      <c r="W626" s="0" t="s">
        <v>46</v>
      </c>
      <c r="X626" s="0" t="s">
        <v>7345</v>
      </c>
      <c r="Y626" s="0" t="s">
        <v>7346</v>
      </c>
      <c r="Z626" s="0" t="s">
        <v>7347</v>
      </c>
      <c r="AA626" s="0" t="s">
        <v>7348</v>
      </c>
      <c r="AB626" s="0" t="s">
        <v>231</v>
      </c>
      <c r="AC626" s="0" t="s">
        <v>7349</v>
      </c>
      <c r="AD626" s="0" t="s">
        <v>7500</v>
      </c>
      <c r="AE626" s="0" t="s">
        <v>7783</v>
      </c>
      <c r="AF626" s="0" t="s">
        <v>7352</v>
      </c>
      <c r="AG626" s="0" t="s">
        <v>230</v>
      </c>
    </row>
    <row r="627" customFormat="false" ht="15" hidden="false" customHeight="false" outlineLevel="0" collapsed="false">
      <c r="A627" s="0" t="s">
        <v>7336</v>
      </c>
      <c r="B627" s="0" t="s">
        <v>2452</v>
      </c>
      <c r="C627" s="0" t="s">
        <v>2453</v>
      </c>
      <c r="D627" s="0" t="s">
        <v>2431</v>
      </c>
      <c r="E627" s="0" t="s">
        <v>2454</v>
      </c>
      <c r="F627" s="0" t="s">
        <v>2445</v>
      </c>
      <c r="G627" s="0" t="s">
        <v>111</v>
      </c>
      <c r="H627" s="0" t="s">
        <v>7781</v>
      </c>
      <c r="I627" s="0" t="s">
        <v>7338</v>
      </c>
      <c r="J627" s="0" t="s">
        <v>1602</v>
      </c>
      <c r="K627" s="0" t="s">
        <v>7339</v>
      </c>
      <c r="L627" s="0" t="s">
        <v>7340</v>
      </c>
      <c r="M627" s="0" t="s">
        <v>7777</v>
      </c>
      <c r="N627" s="0" t="s">
        <v>7342</v>
      </c>
      <c r="P627" s="0" t="s">
        <v>229</v>
      </c>
      <c r="R627" s="0" t="s">
        <v>7343</v>
      </c>
      <c r="S627" s="0" t="s">
        <v>7344</v>
      </c>
      <c r="T627" s="0" t="s">
        <v>228</v>
      </c>
      <c r="V627" s="0" t="s">
        <v>34</v>
      </c>
      <c r="W627" s="0" t="s">
        <v>36</v>
      </c>
      <c r="X627" s="0" t="s">
        <v>7345</v>
      </c>
      <c r="Y627" s="0" t="s">
        <v>7346</v>
      </c>
      <c r="Z627" s="0" t="s">
        <v>7347</v>
      </c>
      <c r="AA627" s="0" t="s">
        <v>7348</v>
      </c>
      <c r="AB627" s="0" t="s">
        <v>231</v>
      </c>
      <c r="AC627" s="0" t="s">
        <v>7349</v>
      </c>
      <c r="AD627" s="0" t="s">
        <v>7500</v>
      </c>
      <c r="AE627" s="0" t="s">
        <v>7779</v>
      </c>
      <c r="AF627" s="0" t="s">
        <v>7352</v>
      </c>
      <c r="AG627" s="0" t="s">
        <v>230</v>
      </c>
    </row>
    <row r="628" customFormat="false" ht="15" hidden="false" customHeight="false" outlineLevel="0" collapsed="false">
      <c r="A628" s="0" t="s">
        <v>7336</v>
      </c>
      <c r="B628" s="0" t="s">
        <v>2455</v>
      </c>
      <c r="C628" s="0" t="s">
        <v>2456</v>
      </c>
      <c r="D628" s="0" t="s">
        <v>2431</v>
      </c>
      <c r="E628" s="0" t="s">
        <v>2457</v>
      </c>
      <c r="F628" s="0" t="s">
        <v>2445</v>
      </c>
      <c r="G628" s="0" t="s">
        <v>111</v>
      </c>
      <c r="H628" s="0" t="s">
        <v>7781</v>
      </c>
      <c r="I628" s="0" t="s">
        <v>7338</v>
      </c>
      <c r="J628" s="0" t="s">
        <v>1602</v>
      </c>
      <c r="K628" s="0" t="s">
        <v>7339</v>
      </c>
      <c r="L628" s="0" t="s">
        <v>7340</v>
      </c>
      <c r="M628" s="0" t="s">
        <v>7777</v>
      </c>
      <c r="N628" s="0" t="s">
        <v>7342</v>
      </c>
      <c r="P628" s="0" t="s">
        <v>229</v>
      </c>
      <c r="R628" s="0" t="s">
        <v>7343</v>
      </c>
      <c r="S628" s="0" t="s">
        <v>7344</v>
      </c>
      <c r="T628" s="0" t="s">
        <v>228</v>
      </c>
      <c r="V628" s="0" t="s">
        <v>34</v>
      </c>
      <c r="W628" s="0" t="s">
        <v>36</v>
      </c>
      <c r="X628" s="0" t="s">
        <v>7345</v>
      </c>
      <c r="Y628" s="0" t="s">
        <v>7346</v>
      </c>
      <c r="Z628" s="0" t="s">
        <v>7347</v>
      </c>
      <c r="AA628" s="0" t="s">
        <v>7348</v>
      </c>
      <c r="AB628" s="0" t="s">
        <v>231</v>
      </c>
      <c r="AC628" s="0" t="s">
        <v>7349</v>
      </c>
      <c r="AD628" s="0" t="s">
        <v>7500</v>
      </c>
      <c r="AE628" s="0" t="s">
        <v>57</v>
      </c>
      <c r="AF628" s="0" t="s">
        <v>7352</v>
      </c>
      <c r="AG628" s="0" t="s">
        <v>230</v>
      </c>
    </row>
    <row r="629" customFormat="false" ht="15" hidden="false" customHeight="false" outlineLevel="0" collapsed="false">
      <c r="A629" s="0" t="s">
        <v>7336</v>
      </c>
      <c r="B629" s="0" t="s">
        <v>2458</v>
      </c>
      <c r="C629" s="0" t="s">
        <v>2459</v>
      </c>
      <c r="D629" s="0" t="s">
        <v>2431</v>
      </c>
      <c r="E629" s="0" t="s">
        <v>2460</v>
      </c>
      <c r="F629" s="0" t="s">
        <v>2461</v>
      </c>
      <c r="G629" s="0" t="s">
        <v>111</v>
      </c>
      <c r="H629" s="0" t="s">
        <v>7784</v>
      </c>
      <c r="I629" s="0" t="s">
        <v>7338</v>
      </c>
      <c r="J629" s="0" t="s">
        <v>1602</v>
      </c>
      <c r="K629" s="0" t="s">
        <v>7339</v>
      </c>
      <c r="L629" s="0" t="s">
        <v>7340</v>
      </c>
      <c r="M629" s="0" t="s">
        <v>7777</v>
      </c>
      <c r="N629" s="0" t="s">
        <v>7342</v>
      </c>
      <c r="P629" s="0" t="s">
        <v>229</v>
      </c>
      <c r="R629" s="0" t="s">
        <v>7343</v>
      </c>
      <c r="S629" s="0" t="s">
        <v>7344</v>
      </c>
      <c r="T629" s="0" t="s">
        <v>681</v>
      </c>
      <c r="V629" s="0" t="s">
        <v>34</v>
      </c>
      <c r="W629" s="0" t="s">
        <v>36</v>
      </c>
      <c r="X629" s="0" t="s">
        <v>7345</v>
      </c>
      <c r="Y629" s="0" t="s">
        <v>7495</v>
      </c>
      <c r="Z629" s="0" t="s">
        <v>7496</v>
      </c>
      <c r="AA629" s="0" t="s">
        <v>7497</v>
      </c>
      <c r="AB629" s="0" t="s">
        <v>682</v>
      </c>
      <c r="AC629" s="0" t="s">
        <v>7349</v>
      </c>
      <c r="AD629" s="0" t="s">
        <v>7498</v>
      </c>
      <c r="AE629" s="0" t="s">
        <v>1341</v>
      </c>
      <c r="AF629" s="0" t="s">
        <v>7499</v>
      </c>
      <c r="AG629" s="0" t="s">
        <v>230</v>
      </c>
    </row>
    <row r="630" customFormat="false" ht="15" hidden="false" customHeight="false" outlineLevel="0" collapsed="false">
      <c r="A630" s="0" t="s">
        <v>7336</v>
      </c>
      <c r="B630" s="0" t="s">
        <v>2462</v>
      </c>
      <c r="C630" s="0" t="s">
        <v>2463</v>
      </c>
      <c r="D630" s="0" t="s">
        <v>2431</v>
      </c>
      <c r="E630" s="0" t="s">
        <v>2464</v>
      </c>
      <c r="F630" s="0" t="s">
        <v>2461</v>
      </c>
      <c r="G630" s="0" t="s">
        <v>111</v>
      </c>
      <c r="H630" s="0" t="s">
        <v>7784</v>
      </c>
      <c r="I630" s="0" t="s">
        <v>7338</v>
      </c>
      <c r="J630" s="0" t="s">
        <v>1602</v>
      </c>
      <c r="K630" s="0" t="s">
        <v>7339</v>
      </c>
      <c r="L630" s="0" t="s">
        <v>7340</v>
      </c>
      <c r="M630" s="0" t="s">
        <v>7777</v>
      </c>
      <c r="N630" s="0" t="s">
        <v>7342</v>
      </c>
      <c r="P630" s="0" t="s">
        <v>229</v>
      </c>
      <c r="R630" s="0" t="s">
        <v>7343</v>
      </c>
      <c r="S630" s="0" t="s">
        <v>7344</v>
      </c>
      <c r="T630" s="0" t="s">
        <v>681</v>
      </c>
      <c r="V630" s="0" t="s">
        <v>34</v>
      </c>
      <c r="W630" s="0" t="s">
        <v>36</v>
      </c>
      <c r="X630" s="0" t="s">
        <v>7345</v>
      </c>
      <c r="Y630" s="0" t="s">
        <v>7495</v>
      </c>
      <c r="Z630" s="0" t="s">
        <v>7496</v>
      </c>
      <c r="AA630" s="0" t="s">
        <v>7497</v>
      </c>
      <c r="AB630" s="0" t="s">
        <v>682</v>
      </c>
      <c r="AC630" s="0" t="s">
        <v>7349</v>
      </c>
      <c r="AD630" s="0" t="s">
        <v>7498</v>
      </c>
      <c r="AE630" s="0" t="s">
        <v>7782</v>
      </c>
      <c r="AF630" s="0" t="s">
        <v>7499</v>
      </c>
      <c r="AG630" s="0" t="s">
        <v>230</v>
      </c>
    </row>
    <row r="631" customFormat="false" ht="15" hidden="false" customHeight="false" outlineLevel="0" collapsed="false">
      <c r="A631" s="0" t="s">
        <v>7336</v>
      </c>
      <c r="B631" s="0" t="s">
        <v>2465</v>
      </c>
      <c r="C631" s="0" t="s">
        <v>2466</v>
      </c>
      <c r="D631" s="0" t="s">
        <v>2431</v>
      </c>
      <c r="E631" s="0" t="s">
        <v>2467</v>
      </c>
      <c r="F631" s="0" t="s">
        <v>2461</v>
      </c>
      <c r="G631" s="0" t="s">
        <v>111</v>
      </c>
      <c r="H631" s="0" t="s">
        <v>7784</v>
      </c>
      <c r="I631" s="0" t="s">
        <v>7338</v>
      </c>
      <c r="J631" s="0" t="s">
        <v>1602</v>
      </c>
      <c r="K631" s="0" t="s">
        <v>7339</v>
      </c>
      <c r="L631" s="0" t="s">
        <v>7340</v>
      </c>
      <c r="M631" s="0" t="s">
        <v>7777</v>
      </c>
      <c r="N631" s="0" t="s">
        <v>7342</v>
      </c>
      <c r="P631" s="0" t="s">
        <v>229</v>
      </c>
      <c r="R631" s="0" t="s">
        <v>7343</v>
      </c>
      <c r="S631" s="0" t="s">
        <v>7344</v>
      </c>
      <c r="T631" s="0" t="s">
        <v>228</v>
      </c>
      <c r="V631" s="0" t="s">
        <v>34</v>
      </c>
      <c r="W631" s="0" t="s">
        <v>46</v>
      </c>
      <c r="X631" s="0" t="s">
        <v>7345</v>
      </c>
      <c r="Y631" s="0" t="s">
        <v>7346</v>
      </c>
      <c r="Z631" s="0" t="s">
        <v>7347</v>
      </c>
      <c r="AA631" s="0" t="s">
        <v>7348</v>
      </c>
      <c r="AB631" s="0" t="s">
        <v>231</v>
      </c>
      <c r="AC631" s="0" t="s">
        <v>7349</v>
      </c>
      <c r="AD631" s="0" t="s">
        <v>7500</v>
      </c>
      <c r="AE631" s="0" t="s">
        <v>7783</v>
      </c>
      <c r="AF631" s="0" t="s">
        <v>7352</v>
      </c>
      <c r="AG631" s="0" t="s">
        <v>230</v>
      </c>
    </row>
    <row r="632" customFormat="false" ht="15" hidden="false" customHeight="false" outlineLevel="0" collapsed="false">
      <c r="A632" s="0" t="s">
        <v>7336</v>
      </c>
      <c r="B632" s="0" t="s">
        <v>2468</v>
      </c>
      <c r="C632" s="0" t="s">
        <v>2469</v>
      </c>
      <c r="D632" s="0" t="s">
        <v>2431</v>
      </c>
      <c r="E632" s="0" t="s">
        <v>2470</v>
      </c>
      <c r="F632" s="0" t="s">
        <v>2461</v>
      </c>
      <c r="G632" s="0" t="s">
        <v>111</v>
      </c>
      <c r="H632" s="0" t="s">
        <v>7784</v>
      </c>
      <c r="I632" s="0" t="s">
        <v>7338</v>
      </c>
      <c r="J632" s="0" t="s">
        <v>1602</v>
      </c>
      <c r="K632" s="0" t="s">
        <v>7339</v>
      </c>
      <c r="L632" s="0" t="s">
        <v>7340</v>
      </c>
      <c r="M632" s="0" t="s">
        <v>7777</v>
      </c>
      <c r="N632" s="0" t="s">
        <v>7342</v>
      </c>
      <c r="P632" s="0" t="s">
        <v>229</v>
      </c>
      <c r="R632" s="0" t="s">
        <v>7343</v>
      </c>
      <c r="S632" s="0" t="s">
        <v>7344</v>
      </c>
      <c r="T632" s="0" t="s">
        <v>681</v>
      </c>
      <c r="V632" s="0" t="s">
        <v>34</v>
      </c>
      <c r="W632" s="0" t="s">
        <v>36</v>
      </c>
      <c r="X632" s="0" t="s">
        <v>7345</v>
      </c>
      <c r="Y632" s="0" t="s">
        <v>7346</v>
      </c>
      <c r="Z632" s="0" t="s">
        <v>7493</v>
      </c>
      <c r="AA632" s="0" t="s">
        <v>7348</v>
      </c>
      <c r="AB632" s="0" t="s">
        <v>231</v>
      </c>
      <c r="AC632" s="0" t="s">
        <v>7349</v>
      </c>
      <c r="AD632" s="0" t="s">
        <v>7514</v>
      </c>
      <c r="AE632" s="0" t="s">
        <v>7779</v>
      </c>
      <c r="AF632" s="0" t="s">
        <v>7374</v>
      </c>
      <c r="AG632" s="0" t="s">
        <v>230</v>
      </c>
    </row>
    <row r="633" customFormat="false" ht="15" hidden="false" customHeight="false" outlineLevel="0" collapsed="false">
      <c r="A633" s="0" t="s">
        <v>7336</v>
      </c>
      <c r="B633" s="0" t="s">
        <v>2471</v>
      </c>
      <c r="C633" s="0" t="s">
        <v>2472</v>
      </c>
      <c r="D633" s="0" t="s">
        <v>2431</v>
      </c>
      <c r="E633" s="0" t="s">
        <v>2473</v>
      </c>
      <c r="F633" s="0" t="s">
        <v>2461</v>
      </c>
      <c r="G633" s="0" t="s">
        <v>111</v>
      </c>
      <c r="H633" s="0" t="s">
        <v>7784</v>
      </c>
      <c r="I633" s="0" t="s">
        <v>7338</v>
      </c>
      <c r="J633" s="0" t="s">
        <v>1602</v>
      </c>
      <c r="K633" s="0" t="s">
        <v>7339</v>
      </c>
      <c r="L633" s="0" t="s">
        <v>7340</v>
      </c>
      <c r="M633" s="0" t="s">
        <v>7777</v>
      </c>
      <c r="N633" s="0" t="s">
        <v>7342</v>
      </c>
      <c r="P633" s="0" t="s">
        <v>229</v>
      </c>
      <c r="R633" s="0" t="s">
        <v>7343</v>
      </c>
      <c r="S633" s="0" t="s">
        <v>7344</v>
      </c>
      <c r="T633" s="0" t="s">
        <v>681</v>
      </c>
      <c r="V633" s="0" t="s">
        <v>34</v>
      </c>
      <c r="W633" s="0" t="s">
        <v>36</v>
      </c>
      <c r="X633" s="0" t="s">
        <v>7345</v>
      </c>
      <c r="Y633" s="0" t="s">
        <v>7346</v>
      </c>
      <c r="Z633" s="0" t="s">
        <v>7493</v>
      </c>
      <c r="AA633" s="0" t="s">
        <v>7348</v>
      </c>
      <c r="AB633" s="0" t="s">
        <v>231</v>
      </c>
      <c r="AC633" s="0" t="s">
        <v>7349</v>
      </c>
      <c r="AD633" s="0" t="s">
        <v>7514</v>
      </c>
      <c r="AE633" s="0" t="s">
        <v>57</v>
      </c>
      <c r="AF633" s="0" t="s">
        <v>7374</v>
      </c>
      <c r="AG633" s="0" t="s">
        <v>230</v>
      </c>
    </row>
    <row r="634" customFormat="false" ht="15" hidden="false" customHeight="false" outlineLevel="0" collapsed="false">
      <c r="A634" s="0" t="s">
        <v>7336</v>
      </c>
      <c r="B634" s="0" t="s">
        <v>2474</v>
      </c>
      <c r="C634" s="0" t="s">
        <v>2475</v>
      </c>
      <c r="D634" s="0" t="s">
        <v>2431</v>
      </c>
      <c r="E634" s="0" t="s">
        <v>2476</v>
      </c>
      <c r="F634" s="0" t="s">
        <v>2477</v>
      </c>
      <c r="G634" s="0" t="s">
        <v>111</v>
      </c>
      <c r="H634" s="0" t="s">
        <v>7785</v>
      </c>
      <c r="I634" s="0" t="s">
        <v>7338</v>
      </c>
      <c r="J634" s="0" t="s">
        <v>1602</v>
      </c>
      <c r="K634" s="0" t="s">
        <v>7339</v>
      </c>
      <c r="L634" s="0" t="s">
        <v>7340</v>
      </c>
      <c r="M634" s="0" t="s">
        <v>7777</v>
      </c>
      <c r="N634" s="0" t="s">
        <v>7342</v>
      </c>
      <c r="P634" s="0" t="s">
        <v>229</v>
      </c>
      <c r="R634" s="0" t="s">
        <v>7343</v>
      </c>
      <c r="S634" s="0" t="s">
        <v>7344</v>
      </c>
      <c r="T634" s="0" t="s">
        <v>681</v>
      </c>
      <c r="V634" s="0" t="s">
        <v>34</v>
      </c>
      <c r="W634" s="0" t="s">
        <v>42</v>
      </c>
      <c r="X634" s="0" t="s">
        <v>7345</v>
      </c>
      <c r="Y634" s="0" t="s">
        <v>7346</v>
      </c>
      <c r="Z634" s="0" t="s">
        <v>7493</v>
      </c>
      <c r="AA634" s="0" t="s">
        <v>7348</v>
      </c>
      <c r="AB634" s="0" t="s">
        <v>231</v>
      </c>
      <c r="AC634" s="0" t="s">
        <v>7349</v>
      </c>
      <c r="AD634" s="0" t="s">
        <v>7514</v>
      </c>
      <c r="AE634" s="0" t="s">
        <v>7779</v>
      </c>
      <c r="AF634" s="0" t="s">
        <v>7374</v>
      </c>
      <c r="AG634" s="0" t="s">
        <v>230</v>
      </c>
    </row>
    <row r="635" customFormat="false" ht="15" hidden="false" customHeight="false" outlineLevel="0" collapsed="false">
      <c r="A635" s="0" t="s">
        <v>7336</v>
      </c>
      <c r="B635" s="0" t="s">
        <v>2478</v>
      </c>
      <c r="C635" s="0" t="s">
        <v>2479</v>
      </c>
      <c r="D635" s="0" t="s">
        <v>2431</v>
      </c>
      <c r="E635" s="0" t="s">
        <v>2480</v>
      </c>
      <c r="F635" s="0" t="s">
        <v>2481</v>
      </c>
      <c r="G635" s="0" t="s">
        <v>111</v>
      </c>
      <c r="H635" s="0" t="s">
        <v>7786</v>
      </c>
      <c r="I635" s="0" t="s">
        <v>7338</v>
      </c>
      <c r="J635" s="0" t="s">
        <v>1602</v>
      </c>
      <c r="K635" s="0" t="s">
        <v>7339</v>
      </c>
      <c r="L635" s="0" t="s">
        <v>7340</v>
      </c>
      <c r="M635" s="0" t="s">
        <v>7777</v>
      </c>
      <c r="N635" s="0" t="s">
        <v>7342</v>
      </c>
      <c r="P635" s="0" t="s">
        <v>229</v>
      </c>
      <c r="R635" s="0" t="s">
        <v>7343</v>
      </c>
      <c r="S635" s="0" t="s">
        <v>7344</v>
      </c>
      <c r="T635" s="0" t="s">
        <v>681</v>
      </c>
      <c r="V635" s="0" t="s">
        <v>34</v>
      </c>
      <c r="W635" s="0" t="s">
        <v>42</v>
      </c>
      <c r="X635" s="0" t="s">
        <v>7345</v>
      </c>
      <c r="Y635" s="0" t="s">
        <v>7346</v>
      </c>
      <c r="Z635" s="0" t="s">
        <v>7493</v>
      </c>
      <c r="AA635" s="0" t="s">
        <v>7348</v>
      </c>
      <c r="AB635" s="0" t="s">
        <v>231</v>
      </c>
      <c r="AC635" s="0" t="s">
        <v>7349</v>
      </c>
      <c r="AD635" s="0" t="s">
        <v>7514</v>
      </c>
      <c r="AE635" s="0" t="s">
        <v>7779</v>
      </c>
      <c r="AF635" s="0" t="s">
        <v>7374</v>
      </c>
      <c r="AG635" s="0" t="s">
        <v>230</v>
      </c>
    </row>
    <row r="636" customFormat="false" ht="15" hidden="false" customHeight="false" outlineLevel="0" collapsed="false">
      <c r="A636" s="0" t="s">
        <v>7336</v>
      </c>
      <c r="B636" s="0" t="s">
        <v>2482</v>
      </c>
      <c r="C636" s="0" t="s">
        <v>2483</v>
      </c>
      <c r="D636" s="0" t="s">
        <v>2431</v>
      </c>
      <c r="E636" s="0" t="s">
        <v>2484</v>
      </c>
      <c r="F636" s="0" t="s">
        <v>2477</v>
      </c>
      <c r="G636" s="0" t="s">
        <v>111</v>
      </c>
      <c r="H636" s="0" t="s">
        <v>7785</v>
      </c>
      <c r="I636" s="0" t="s">
        <v>7338</v>
      </c>
      <c r="J636" s="0" t="s">
        <v>1602</v>
      </c>
      <c r="K636" s="0" t="s">
        <v>7339</v>
      </c>
      <c r="L636" s="0" t="s">
        <v>7340</v>
      </c>
      <c r="M636" s="0" t="s">
        <v>7777</v>
      </c>
      <c r="N636" s="0" t="s">
        <v>7342</v>
      </c>
      <c r="P636" s="0" t="s">
        <v>229</v>
      </c>
      <c r="R636" s="0" t="s">
        <v>7343</v>
      </c>
      <c r="S636" s="0" t="s">
        <v>7344</v>
      </c>
      <c r="T636" s="0" t="s">
        <v>681</v>
      </c>
      <c r="V636" s="0" t="s">
        <v>34</v>
      </c>
      <c r="W636" s="0" t="s">
        <v>42</v>
      </c>
      <c r="X636" s="0" t="s">
        <v>7345</v>
      </c>
      <c r="Y636" s="0" t="s">
        <v>7346</v>
      </c>
      <c r="Z636" s="0" t="s">
        <v>7493</v>
      </c>
      <c r="AA636" s="0" t="s">
        <v>7348</v>
      </c>
      <c r="AB636" s="0" t="s">
        <v>231</v>
      </c>
      <c r="AC636" s="0" t="s">
        <v>7349</v>
      </c>
      <c r="AD636" s="0" t="s">
        <v>7514</v>
      </c>
      <c r="AE636" s="0" t="s">
        <v>7779</v>
      </c>
      <c r="AF636" s="0" t="s">
        <v>7374</v>
      </c>
      <c r="AG636" s="0" t="s">
        <v>230</v>
      </c>
    </row>
    <row r="637" customFormat="false" ht="15" hidden="false" customHeight="false" outlineLevel="0" collapsed="false">
      <c r="A637" s="0" t="s">
        <v>7336</v>
      </c>
      <c r="B637" s="0" t="s">
        <v>2485</v>
      </c>
      <c r="C637" s="0" t="s">
        <v>2486</v>
      </c>
      <c r="D637" s="0" t="s">
        <v>2431</v>
      </c>
      <c r="E637" s="0" t="s">
        <v>2487</v>
      </c>
      <c r="F637" s="0" t="s">
        <v>2488</v>
      </c>
      <c r="G637" s="0" t="s">
        <v>111</v>
      </c>
      <c r="H637" s="0" t="s">
        <v>7787</v>
      </c>
      <c r="I637" s="0" t="s">
        <v>7338</v>
      </c>
      <c r="J637" s="0" t="s">
        <v>1602</v>
      </c>
      <c r="K637" s="0" t="s">
        <v>7339</v>
      </c>
      <c r="L637" s="0" t="s">
        <v>7340</v>
      </c>
      <c r="M637" s="0" t="s">
        <v>7777</v>
      </c>
      <c r="N637" s="0" t="s">
        <v>7342</v>
      </c>
      <c r="P637" s="0" t="s">
        <v>229</v>
      </c>
      <c r="R637" s="0" t="s">
        <v>7343</v>
      </c>
      <c r="S637" s="0" t="s">
        <v>7344</v>
      </c>
      <c r="T637" s="0" t="s">
        <v>681</v>
      </c>
      <c r="V637" s="0" t="s">
        <v>34</v>
      </c>
      <c r="W637" s="0" t="s">
        <v>42</v>
      </c>
      <c r="X637" s="0" t="s">
        <v>7345</v>
      </c>
      <c r="Y637" s="0" t="s">
        <v>7346</v>
      </c>
      <c r="Z637" s="0" t="s">
        <v>7493</v>
      </c>
      <c r="AA637" s="0" t="s">
        <v>7348</v>
      </c>
      <c r="AB637" s="0" t="s">
        <v>231</v>
      </c>
      <c r="AC637" s="0" t="s">
        <v>7349</v>
      </c>
      <c r="AD637" s="0" t="s">
        <v>7514</v>
      </c>
      <c r="AE637" s="0" t="s">
        <v>7779</v>
      </c>
      <c r="AF637" s="0" t="s">
        <v>7374</v>
      </c>
      <c r="AG637" s="0" t="s">
        <v>230</v>
      </c>
    </row>
    <row r="638" customFormat="false" ht="15" hidden="false" customHeight="false" outlineLevel="0" collapsed="false">
      <c r="A638" s="0" t="s">
        <v>7336</v>
      </c>
      <c r="B638" s="0" t="s">
        <v>2489</v>
      </c>
      <c r="C638" s="0" t="s">
        <v>2490</v>
      </c>
      <c r="D638" s="0" t="s">
        <v>2431</v>
      </c>
      <c r="E638" s="0" t="s">
        <v>2491</v>
      </c>
      <c r="F638" s="0" t="s">
        <v>2492</v>
      </c>
      <c r="G638" s="0" t="s">
        <v>111</v>
      </c>
      <c r="H638" s="0" t="s">
        <v>7788</v>
      </c>
      <c r="I638" s="0" t="s">
        <v>7338</v>
      </c>
      <c r="J638" s="0" t="s">
        <v>1602</v>
      </c>
      <c r="K638" s="0" t="s">
        <v>7339</v>
      </c>
      <c r="L638" s="0" t="s">
        <v>7340</v>
      </c>
      <c r="M638" s="0" t="s">
        <v>7777</v>
      </c>
      <c r="N638" s="0" t="s">
        <v>7342</v>
      </c>
      <c r="P638" s="0" t="s">
        <v>229</v>
      </c>
      <c r="R638" s="0" t="s">
        <v>7343</v>
      </c>
      <c r="S638" s="0" t="s">
        <v>7344</v>
      </c>
      <c r="T638" s="0" t="s">
        <v>681</v>
      </c>
      <c r="V638" s="0" t="s">
        <v>34</v>
      </c>
      <c r="W638" s="0" t="s">
        <v>42</v>
      </c>
      <c r="X638" s="0" t="s">
        <v>7345</v>
      </c>
      <c r="Y638" s="0" t="s">
        <v>7346</v>
      </c>
      <c r="Z638" s="0" t="s">
        <v>7493</v>
      </c>
      <c r="AA638" s="0" t="s">
        <v>7348</v>
      </c>
      <c r="AB638" s="0" t="s">
        <v>231</v>
      </c>
      <c r="AC638" s="0" t="s">
        <v>7349</v>
      </c>
      <c r="AD638" s="0" t="s">
        <v>7514</v>
      </c>
      <c r="AE638" s="0" t="s">
        <v>7779</v>
      </c>
      <c r="AF638" s="0" t="s">
        <v>7374</v>
      </c>
      <c r="AG638" s="0" t="s">
        <v>230</v>
      </c>
    </row>
    <row r="639" customFormat="false" ht="15" hidden="false" customHeight="false" outlineLevel="0" collapsed="false">
      <c r="A639" s="0" t="s">
        <v>7336</v>
      </c>
      <c r="B639" s="0" t="s">
        <v>2493</v>
      </c>
      <c r="C639" s="0" t="s">
        <v>2494</v>
      </c>
      <c r="D639" s="0" t="s">
        <v>2431</v>
      </c>
      <c r="E639" s="0" t="s">
        <v>2495</v>
      </c>
      <c r="F639" s="0" t="s">
        <v>2488</v>
      </c>
      <c r="G639" s="0" t="s">
        <v>111</v>
      </c>
      <c r="H639" s="0" t="s">
        <v>7787</v>
      </c>
      <c r="I639" s="0" t="s">
        <v>7338</v>
      </c>
      <c r="J639" s="0" t="s">
        <v>1602</v>
      </c>
      <c r="K639" s="0" t="s">
        <v>7339</v>
      </c>
      <c r="L639" s="0" t="s">
        <v>7340</v>
      </c>
      <c r="M639" s="0" t="s">
        <v>7777</v>
      </c>
      <c r="N639" s="0" t="s">
        <v>7342</v>
      </c>
      <c r="P639" s="0" t="s">
        <v>229</v>
      </c>
      <c r="R639" s="0" t="s">
        <v>7343</v>
      </c>
      <c r="S639" s="0" t="s">
        <v>7344</v>
      </c>
      <c r="T639" s="0" t="s">
        <v>681</v>
      </c>
      <c r="V639" s="0" t="s">
        <v>34</v>
      </c>
      <c r="W639" s="0" t="s">
        <v>42</v>
      </c>
      <c r="X639" s="0" t="s">
        <v>7345</v>
      </c>
      <c r="Y639" s="0" t="s">
        <v>7346</v>
      </c>
      <c r="Z639" s="0" t="s">
        <v>7493</v>
      </c>
      <c r="AA639" s="0" t="s">
        <v>7348</v>
      </c>
      <c r="AB639" s="0" t="s">
        <v>231</v>
      </c>
      <c r="AC639" s="0" t="s">
        <v>7349</v>
      </c>
      <c r="AD639" s="0" t="s">
        <v>7514</v>
      </c>
      <c r="AE639" s="0" t="s">
        <v>7779</v>
      </c>
      <c r="AF639" s="0" t="s">
        <v>7374</v>
      </c>
      <c r="AG639" s="0" t="s">
        <v>230</v>
      </c>
    </row>
    <row r="640" customFormat="false" ht="15" hidden="false" customHeight="false" outlineLevel="0" collapsed="false">
      <c r="A640" s="0" t="s">
        <v>7336</v>
      </c>
      <c r="B640" s="0" t="s">
        <v>2496</v>
      </c>
      <c r="C640" s="0" t="s">
        <v>2497</v>
      </c>
      <c r="D640" s="0" t="s">
        <v>2431</v>
      </c>
      <c r="E640" s="0" t="s">
        <v>2498</v>
      </c>
      <c r="F640" s="0" t="s">
        <v>2499</v>
      </c>
      <c r="G640" s="0" t="s">
        <v>111</v>
      </c>
      <c r="H640" s="0" t="s">
        <v>7789</v>
      </c>
      <c r="I640" s="0" t="s">
        <v>7338</v>
      </c>
      <c r="J640" s="0" t="s">
        <v>1602</v>
      </c>
      <c r="K640" s="0" t="s">
        <v>7339</v>
      </c>
      <c r="L640" s="0" t="s">
        <v>7340</v>
      </c>
      <c r="M640" s="0" t="s">
        <v>7777</v>
      </c>
      <c r="N640" s="0" t="s">
        <v>7342</v>
      </c>
      <c r="P640" s="0" t="s">
        <v>229</v>
      </c>
      <c r="R640" s="0" t="s">
        <v>7343</v>
      </c>
      <c r="S640" s="0" t="s">
        <v>7344</v>
      </c>
      <c r="T640" s="0" t="s">
        <v>681</v>
      </c>
      <c r="V640" s="0" t="s">
        <v>34</v>
      </c>
      <c r="W640" s="0" t="s">
        <v>42</v>
      </c>
      <c r="X640" s="0" t="s">
        <v>7345</v>
      </c>
      <c r="Y640" s="0" t="s">
        <v>7346</v>
      </c>
      <c r="Z640" s="0" t="s">
        <v>7493</v>
      </c>
      <c r="AA640" s="0" t="s">
        <v>7348</v>
      </c>
      <c r="AB640" s="0" t="s">
        <v>231</v>
      </c>
      <c r="AC640" s="0" t="s">
        <v>7349</v>
      </c>
      <c r="AD640" s="0" t="s">
        <v>7514</v>
      </c>
      <c r="AE640" s="0" t="s">
        <v>7779</v>
      </c>
      <c r="AF640" s="0" t="s">
        <v>7374</v>
      </c>
      <c r="AG640" s="0" t="s">
        <v>230</v>
      </c>
    </row>
    <row r="641" customFormat="false" ht="15" hidden="false" customHeight="false" outlineLevel="0" collapsed="false">
      <c r="A641" s="0" t="s">
        <v>7336</v>
      </c>
      <c r="B641" s="0" t="s">
        <v>2500</v>
      </c>
      <c r="C641" s="0" t="s">
        <v>2501</v>
      </c>
      <c r="D641" s="0" t="s">
        <v>2431</v>
      </c>
      <c r="E641" s="0" t="s">
        <v>2502</v>
      </c>
      <c r="F641" s="0" t="s">
        <v>2503</v>
      </c>
      <c r="G641" s="0" t="s">
        <v>111</v>
      </c>
      <c r="H641" s="0" t="s">
        <v>7790</v>
      </c>
      <c r="I641" s="0" t="s">
        <v>7338</v>
      </c>
      <c r="J641" s="0" t="s">
        <v>1602</v>
      </c>
      <c r="K641" s="0" t="s">
        <v>7339</v>
      </c>
      <c r="L641" s="0" t="s">
        <v>7340</v>
      </c>
      <c r="M641" s="0" t="s">
        <v>7777</v>
      </c>
      <c r="N641" s="0" t="s">
        <v>7342</v>
      </c>
      <c r="P641" s="0" t="s">
        <v>229</v>
      </c>
      <c r="R641" s="0" t="s">
        <v>7343</v>
      </c>
      <c r="S641" s="0" t="s">
        <v>7344</v>
      </c>
      <c r="T641" s="0" t="s">
        <v>681</v>
      </c>
      <c r="V641" s="0" t="s">
        <v>34</v>
      </c>
      <c r="W641" s="0" t="s">
        <v>42</v>
      </c>
      <c r="X641" s="0" t="s">
        <v>7345</v>
      </c>
      <c r="Y641" s="0" t="s">
        <v>7346</v>
      </c>
      <c r="Z641" s="0" t="s">
        <v>7493</v>
      </c>
      <c r="AA641" s="0" t="s">
        <v>7348</v>
      </c>
      <c r="AB641" s="0" t="s">
        <v>231</v>
      </c>
      <c r="AC641" s="0" t="s">
        <v>7349</v>
      </c>
      <c r="AD641" s="0" t="s">
        <v>7514</v>
      </c>
      <c r="AE641" s="0" t="s">
        <v>7779</v>
      </c>
      <c r="AF641" s="0" t="s">
        <v>7374</v>
      </c>
      <c r="AG641" s="0" t="s">
        <v>230</v>
      </c>
    </row>
    <row r="642" customFormat="false" ht="15" hidden="false" customHeight="false" outlineLevel="0" collapsed="false">
      <c r="A642" s="0" t="s">
        <v>7336</v>
      </c>
      <c r="B642" s="0" t="s">
        <v>2504</v>
      </c>
      <c r="C642" s="0" t="s">
        <v>2505</v>
      </c>
      <c r="D642" s="0" t="s">
        <v>2431</v>
      </c>
      <c r="E642" s="0" t="s">
        <v>2506</v>
      </c>
      <c r="F642" s="0" t="s">
        <v>2499</v>
      </c>
      <c r="G642" s="0" t="s">
        <v>111</v>
      </c>
      <c r="H642" s="0" t="s">
        <v>7789</v>
      </c>
      <c r="I642" s="0" t="s">
        <v>7338</v>
      </c>
      <c r="J642" s="0" t="s">
        <v>1602</v>
      </c>
      <c r="K642" s="0" t="s">
        <v>7339</v>
      </c>
      <c r="L642" s="0" t="s">
        <v>7340</v>
      </c>
      <c r="M642" s="0" t="s">
        <v>7777</v>
      </c>
      <c r="N642" s="0" t="s">
        <v>7342</v>
      </c>
      <c r="P642" s="0" t="s">
        <v>229</v>
      </c>
      <c r="R642" s="0" t="s">
        <v>7343</v>
      </c>
      <c r="S642" s="0" t="s">
        <v>7344</v>
      </c>
      <c r="T642" s="0" t="s">
        <v>681</v>
      </c>
      <c r="V642" s="0" t="s">
        <v>34</v>
      </c>
      <c r="W642" s="0" t="s">
        <v>42</v>
      </c>
      <c r="X642" s="0" t="s">
        <v>7345</v>
      </c>
      <c r="Y642" s="0" t="s">
        <v>7346</v>
      </c>
      <c r="Z642" s="0" t="s">
        <v>7493</v>
      </c>
      <c r="AA642" s="0" t="s">
        <v>7348</v>
      </c>
      <c r="AB642" s="0" t="s">
        <v>231</v>
      </c>
      <c r="AC642" s="0" t="s">
        <v>7349</v>
      </c>
      <c r="AD642" s="0" t="s">
        <v>7514</v>
      </c>
      <c r="AE642" s="0" t="s">
        <v>7779</v>
      </c>
      <c r="AF642" s="0" t="s">
        <v>7374</v>
      </c>
      <c r="AG642" s="0" t="s">
        <v>230</v>
      </c>
    </row>
    <row r="643" customFormat="false" ht="15" hidden="false" customHeight="false" outlineLevel="0" collapsed="false">
      <c r="A643" s="0" t="s">
        <v>7336</v>
      </c>
      <c r="B643" s="0" t="s">
        <v>2507</v>
      </c>
      <c r="C643" s="0" t="s">
        <v>2508</v>
      </c>
      <c r="D643" s="0" t="s">
        <v>2431</v>
      </c>
      <c r="E643" s="0" t="s">
        <v>2509</v>
      </c>
      <c r="F643" s="0" t="s">
        <v>2510</v>
      </c>
      <c r="G643" s="0" t="s">
        <v>111</v>
      </c>
      <c r="H643" s="0" t="s">
        <v>7791</v>
      </c>
      <c r="I643" s="0" t="s">
        <v>7338</v>
      </c>
      <c r="J643" s="0" t="s">
        <v>1602</v>
      </c>
      <c r="K643" s="0" t="s">
        <v>7339</v>
      </c>
      <c r="L643" s="0" t="s">
        <v>7340</v>
      </c>
      <c r="M643" s="0" t="s">
        <v>7777</v>
      </c>
      <c r="N643" s="0" t="s">
        <v>7342</v>
      </c>
      <c r="P643" s="0" t="s">
        <v>229</v>
      </c>
      <c r="R643" s="0" t="s">
        <v>7343</v>
      </c>
      <c r="S643" s="0" t="s">
        <v>7344</v>
      </c>
      <c r="T643" s="0" t="s">
        <v>681</v>
      </c>
      <c r="V643" s="0" t="s">
        <v>34</v>
      </c>
      <c r="W643" s="0" t="s">
        <v>36</v>
      </c>
      <c r="X643" s="0" t="s">
        <v>7345</v>
      </c>
      <c r="Y643" s="0" t="s">
        <v>7346</v>
      </c>
      <c r="Z643" s="0" t="s">
        <v>7493</v>
      </c>
      <c r="AA643" s="0" t="s">
        <v>7348</v>
      </c>
      <c r="AB643" s="0" t="s">
        <v>231</v>
      </c>
      <c r="AC643" s="0" t="s">
        <v>7349</v>
      </c>
      <c r="AD643" s="0" t="s">
        <v>7514</v>
      </c>
      <c r="AE643" s="0" t="s">
        <v>7779</v>
      </c>
      <c r="AF643" s="0" t="s">
        <v>7374</v>
      </c>
      <c r="AG643" s="0" t="s">
        <v>230</v>
      </c>
    </row>
    <row r="644" customFormat="false" ht="15" hidden="false" customHeight="false" outlineLevel="0" collapsed="false">
      <c r="A644" s="0" t="s">
        <v>7336</v>
      </c>
      <c r="B644" s="0" t="s">
        <v>2511</v>
      </c>
      <c r="C644" s="0" t="s">
        <v>2512</v>
      </c>
      <c r="D644" s="0" t="s">
        <v>2431</v>
      </c>
      <c r="E644" s="0" t="s">
        <v>2513</v>
      </c>
      <c r="F644" s="0" t="s">
        <v>2514</v>
      </c>
      <c r="G644" s="0" t="s">
        <v>111</v>
      </c>
      <c r="H644" s="0" t="s">
        <v>7792</v>
      </c>
      <c r="I644" s="0" t="s">
        <v>7338</v>
      </c>
      <c r="J644" s="0" t="s">
        <v>1602</v>
      </c>
      <c r="K644" s="0" t="s">
        <v>7339</v>
      </c>
      <c r="L644" s="0" t="s">
        <v>7340</v>
      </c>
      <c r="M644" s="0" t="s">
        <v>7777</v>
      </c>
      <c r="N644" s="0" t="s">
        <v>7342</v>
      </c>
      <c r="P644" s="0" t="s">
        <v>229</v>
      </c>
      <c r="R644" s="0" t="s">
        <v>7343</v>
      </c>
      <c r="S644" s="0" t="s">
        <v>7344</v>
      </c>
      <c r="T644" s="0" t="s">
        <v>228</v>
      </c>
      <c r="V644" s="0" t="s">
        <v>34</v>
      </c>
      <c r="W644" s="0" t="s">
        <v>36</v>
      </c>
      <c r="X644" s="0" t="s">
        <v>7345</v>
      </c>
      <c r="Y644" s="0" t="s">
        <v>7346</v>
      </c>
      <c r="Z644" s="0" t="s">
        <v>7370</v>
      </c>
      <c r="AA644" s="0" t="s">
        <v>7348</v>
      </c>
      <c r="AB644" s="0" t="s">
        <v>231</v>
      </c>
      <c r="AC644" s="0" t="s">
        <v>7349</v>
      </c>
      <c r="AD644" s="0" t="s">
        <v>7512</v>
      </c>
      <c r="AE644" s="0" t="s">
        <v>7779</v>
      </c>
      <c r="AF644" s="0" t="s">
        <v>7352</v>
      </c>
      <c r="AG644" s="0" t="s">
        <v>230</v>
      </c>
    </row>
    <row r="645" customFormat="false" ht="15" hidden="false" customHeight="false" outlineLevel="0" collapsed="false">
      <c r="A645" s="0" t="s">
        <v>7336</v>
      </c>
      <c r="B645" s="0" t="s">
        <v>2515</v>
      </c>
      <c r="C645" s="0" t="s">
        <v>2516</v>
      </c>
      <c r="D645" s="0" t="s">
        <v>2431</v>
      </c>
      <c r="E645" s="0" t="s">
        <v>2517</v>
      </c>
      <c r="F645" s="0" t="s">
        <v>2510</v>
      </c>
      <c r="G645" s="0" t="s">
        <v>111</v>
      </c>
      <c r="H645" s="0" t="s">
        <v>7791</v>
      </c>
      <c r="I645" s="0" t="s">
        <v>7338</v>
      </c>
      <c r="J645" s="0" t="s">
        <v>1602</v>
      </c>
      <c r="K645" s="0" t="s">
        <v>7339</v>
      </c>
      <c r="L645" s="0" t="s">
        <v>7340</v>
      </c>
      <c r="M645" s="0" t="s">
        <v>7777</v>
      </c>
      <c r="N645" s="0" t="s">
        <v>7342</v>
      </c>
      <c r="P645" s="0" t="s">
        <v>229</v>
      </c>
      <c r="R645" s="0" t="s">
        <v>7343</v>
      </c>
      <c r="S645" s="0" t="s">
        <v>7344</v>
      </c>
      <c r="T645" s="0" t="s">
        <v>228</v>
      </c>
      <c r="V645" s="0" t="s">
        <v>34</v>
      </c>
      <c r="W645" s="0" t="s">
        <v>36</v>
      </c>
      <c r="X645" s="0" t="s">
        <v>7345</v>
      </c>
      <c r="Y645" s="0" t="s">
        <v>7346</v>
      </c>
      <c r="Z645" s="0" t="s">
        <v>7370</v>
      </c>
      <c r="AA645" s="0" t="s">
        <v>7348</v>
      </c>
      <c r="AB645" s="0" t="s">
        <v>231</v>
      </c>
      <c r="AC645" s="0" t="s">
        <v>7349</v>
      </c>
      <c r="AD645" s="0" t="s">
        <v>7512</v>
      </c>
      <c r="AE645" s="0" t="s">
        <v>7779</v>
      </c>
      <c r="AF645" s="0" t="s">
        <v>7352</v>
      </c>
      <c r="AG645" s="0" t="s">
        <v>230</v>
      </c>
    </row>
    <row r="646" customFormat="false" ht="15" hidden="false" customHeight="false" outlineLevel="0" collapsed="false">
      <c r="A646" s="0" t="s">
        <v>7336</v>
      </c>
      <c r="B646" s="0" t="s">
        <v>2518</v>
      </c>
      <c r="C646" s="0" t="s">
        <v>2519</v>
      </c>
      <c r="D646" s="0" t="s">
        <v>227</v>
      </c>
      <c r="E646" s="0" t="s">
        <v>2520</v>
      </c>
      <c r="F646" s="0" t="s">
        <v>1732</v>
      </c>
      <c r="G646" s="0" t="s">
        <v>184</v>
      </c>
      <c r="H646" s="0" t="s">
        <v>7674</v>
      </c>
      <c r="I646" s="0" t="s">
        <v>7338</v>
      </c>
      <c r="J646" s="0" t="s">
        <v>1602</v>
      </c>
      <c r="K646" s="0" t="s">
        <v>7339</v>
      </c>
      <c r="L646" s="0" t="s">
        <v>7340</v>
      </c>
      <c r="M646" s="0" t="s">
        <v>7661</v>
      </c>
      <c r="N646" s="0" t="s">
        <v>7342</v>
      </c>
      <c r="P646" s="0" t="s">
        <v>229</v>
      </c>
      <c r="Q646" s="0" t="s">
        <v>7354</v>
      </c>
      <c r="R646" s="0" t="s">
        <v>7343</v>
      </c>
      <c r="S646" s="0" t="s">
        <v>7344</v>
      </c>
      <c r="T646" s="0" t="s">
        <v>228</v>
      </c>
      <c r="V646" s="0" t="s">
        <v>34</v>
      </c>
      <c r="W646" s="0" t="s">
        <v>50</v>
      </c>
      <c r="X646" s="0" t="s">
        <v>7355</v>
      </c>
      <c r="Z646" s="0" t="s">
        <v>7662</v>
      </c>
      <c r="AB646" s="0" t="s">
        <v>1663</v>
      </c>
      <c r="AC646" s="0" t="s">
        <v>7629</v>
      </c>
      <c r="AD646" s="0" t="s">
        <v>7665</v>
      </c>
      <c r="AE646" s="0" t="s">
        <v>7360</v>
      </c>
      <c r="AF646" s="0" t="s">
        <v>7361</v>
      </c>
      <c r="AG646" s="0" t="s">
        <v>230</v>
      </c>
    </row>
    <row r="647" customFormat="false" ht="15" hidden="false" customHeight="false" outlineLevel="0" collapsed="false">
      <c r="A647" s="0" t="s">
        <v>7336</v>
      </c>
      <c r="B647" s="0" t="s">
        <v>2521</v>
      </c>
      <c r="C647" s="0" t="s">
        <v>2522</v>
      </c>
      <c r="D647" s="0" t="s">
        <v>227</v>
      </c>
      <c r="E647" s="0" t="s">
        <v>2523</v>
      </c>
      <c r="F647" s="0" t="s">
        <v>2524</v>
      </c>
      <c r="G647" s="0" t="s">
        <v>184</v>
      </c>
      <c r="H647" s="0" t="s">
        <v>7793</v>
      </c>
      <c r="I647" s="0" t="s">
        <v>7338</v>
      </c>
      <c r="J647" s="0" t="s">
        <v>1602</v>
      </c>
      <c r="K647" s="0" t="s">
        <v>7339</v>
      </c>
      <c r="L647" s="0" t="s">
        <v>7340</v>
      </c>
      <c r="M647" s="0" t="s">
        <v>7661</v>
      </c>
      <c r="N647" s="0" t="s">
        <v>7342</v>
      </c>
      <c r="P647" s="0" t="s">
        <v>229</v>
      </c>
      <c r="Q647" s="0" t="s">
        <v>7354</v>
      </c>
      <c r="R647" s="0" t="s">
        <v>7343</v>
      </c>
      <c r="S647" s="0" t="s">
        <v>7344</v>
      </c>
      <c r="T647" s="0" t="s">
        <v>228</v>
      </c>
      <c r="V647" s="0" t="s">
        <v>34</v>
      </c>
      <c r="W647" s="0" t="s">
        <v>49</v>
      </c>
      <c r="X647" s="0" t="s">
        <v>7355</v>
      </c>
      <c r="AB647" s="0" t="s">
        <v>1663</v>
      </c>
      <c r="AC647" s="0" t="s">
        <v>7629</v>
      </c>
      <c r="AD647" s="0" t="s">
        <v>7675</v>
      </c>
      <c r="AE647" s="0" t="s">
        <v>7360</v>
      </c>
      <c r="AF647" s="0" t="s">
        <v>7361</v>
      </c>
      <c r="AG647" s="0" t="s">
        <v>230</v>
      </c>
    </row>
    <row r="648" customFormat="false" ht="15" hidden="false" customHeight="false" outlineLevel="0" collapsed="false">
      <c r="A648" s="0" t="s">
        <v>7336</v>
      </c>
      <c r="B648" s="0" t="s">
        <v>2525</v>
      </c>
      <c r="C648" s="0" t="s">
        <v>2526</v>
      </c>
      <c r="D648" s="0" t="s">
        <v>227</v>
      </c>
      <c r="E648" s="0" t="s">
        <v>2527</v>
      </c>
      <c r="F648" s="0" t="s">
        <v>2524</v>
      </c>
      <c r="G648" s="0" t="s">
        <v>184</v>
      </c>
      <c r="H648" s="0" t="s">
        <v>7793</v>
      </c>
      <c r="I648" s="0" t="s">
        <v>7338</v>
      </c>
      <c r="J648" s="0" t="s">
        <v>1602</v>
      </c>
      <c r="K648" s="0" t="s">
        <v>7339</v>
      </c>
      <c r="L648" s="0" t="s">
        <v>7340</v>
      </c>
      <c r="M648" s="0" t="s">
        <v>7661</v>
      </c>
      <c r="N648" s="0" t="s">
        <v>7342</v>
      </c>
      <c r="P648" s="0" t="s">
        <v>229</v>
      </c>
      <c r="Q648" s="0" t="s">
        <v>7354</v>
      </c>
      <c r="R648" s="0" t="s">
        <v>7343</v>
      </c>
      <c r="S648" s="0" t="s">
        <v>7344</v>
      </c>
      <c r="T648" s="0" t="s">
        <v>58</v>
      </c>
      <c r="V648" s="0" t="s">
        <v>55</v>
      </c>
      <c r="W648" s="0" t="s">
        <v>57</v>
      </c>
      <c r="X648" s="0" t="s">
        <v>7355</v>
      </c>
      <c r="Y648" s="0" t="s">
        <v>7667</v>
      </c>
      <c r="Z648" s="0" t="s">
        <v>7668</v>
      </c>
      <c r="AA648" s="0" t="s">
        <v>7669</v>
      </c>
      <c r="AB648" s="0" t="s">
        <v>237</v>
      </c>
      <c r="AC648" s="0" t="s">
        <v>7629</v>
      </c>
      <c r="AD648" s="0" t="s">
        <v>7675</v>
      </c>
      <c r="AE648" s="0" t="s">
        <v>7360</v>
      </c>
      <c r="AF648" s="0" t="s">
        <v>7361</v>
      </c>
      <c r="AG648" s="0" t="s">
        <v>230</v>
      </c>
    </row>
    <row r="649" customFormat="false" ht="15" hidden="false" customHeight="false" outlineLevel="0" collapsed="false">
      <c r="A649" s="0" t="s">
        <v>7336</v>
      </c>
      <c r="B649" s="0" t="s">
        <v>2528</v>
      </c>
      <c r="C649" s="0" t="s">
        <v>2529</v>
      </c>
      <c r="D649" s="0" t="s">
        <v>227</v>
      </c>
      <c r="E649" s="0" t="s">
        <v>2530</v>
      </c>
      <c r="F649" s="0" t="s">
        <v>2531</v>
      </c>
      <c r="G649" s="0" t="s">
        <v>184</v>
      </c>
      <c r="H649" s="0" t="s">
        <v>7794</v>
      </c>
      <c r="I649" s="0" t="s">
        <v>7338</v>
      </c>
      <c r="J649" s="0" t="s">
        <v>1602</v>
      </c>
      <c r="K649" s="0" t="s">
        <v>7339</v>
      </c>
      <c r="L649" s="0" t="s">
        <v>7340</v>
      </c>
      <c r="M649" s="0" t="s">
        <v>7661</v>
      </c>
      <c r="N649" s="0" t="s">
        <v>7342</v>
      </c>
      <c r="P649" s="0" t="s">
        <v>229</v>
      </c>
      <c r="Q649" s="0" t="s">
        <v>7354</v>
      </c>
      <c r="R649" s="0" t="s">
        <v>7343</v>
      </c>
      <c r="S649" s="0" t="s">
        <v>7344</v>
      </c>
      <c r="T649" s="0" t="s">
        <v>228</v>
      </c>
      <c r="V649" s="0" t="s">
        <v>34</v>
      </c>
      <c r="W649" s="0" t="s">
        <v>43</v>
      </c>
      <c r="X649" s="0" t="s">
        <v>7355</v>
      </c>
      <c r="Y649" s="0" t="s">
        <v>7346</v>
      </c>
      <c r="Z649" s="0" t="s">
        <v>7370</v>
      </c>
      <c r="AA649" s="0" t="s">
        <v>7670</v>
      </c>
      <c r="AB649" s="0" t="s">
        <v>1663</v>
      </c>
      <c r="AC649" s="0" t="s">
        <v>7629</v>
      </c>
      <c r="AD649" s="0" t="s">
        <v>7681</v>
      </c>
      <c r="AE649" s="0" t="s">
        <v>7360</v>
      </c>
      <c r="AF649" s="0" t="s">
        <v>7361</v>
      </c>
      <c r="AG649" s="0" t="s">
        <v>230</v>
      </c>
    </row>
    <row r="650" customFormat="false" ht="15" hidden="false" customHeight="false" outlineLevel="0" collapsed="false">
      <c r="A650" s="0" t="s">
        <v>7336</v>
      </c>
      <c r="B650" s="0" t="s">
        <v>2532</v>
      </c>
      <c r="C650" s="0" t="s">
        <v>2533</v>
      </c>
      <c r="D650" s="0" t="s">
        <v>227</v>
      </c>
      <c r="E650" s="0" t="s">
        <v>2534</v>
      </c>
      <c r="F650" s="0" t="s">
        <v>2531</v>
      </c>
      <c r="G650" s="0" t="s">
        <v>184</v>
      </c>
      <c r="H650" s="0" t="s">
        <v>7794</v>
      </c>
      <c r="I650" s="0" t="s">
        <v>7338</v>
      </c>
      <c r="J650" s="0" t="s">
        <v>1602</v>
      </c>
      <c r="K650" s="0" t="s">
        <v>7339</v>
      </c>
      <c r="L650" s="0" t="s">
        <v>7340</v>
      </c>
      <c r="M650" s="0" t="s">
        <v>7661</v>
      </c>
      <c r="N650" s="0" t="s">
        <v>7342</v>
      </c>
      <c r="P650" s="0" t="s">
        <v>229</v>
      </c>
      <c r="Q650" s="0" t="s">
        <v>7354</v>
      </c>
      <c r="R650" s="0" t="s">
        <v>7343</v>
      </c>
      <c r="S650" s="0" t="s">
        <v>7344</v>
      </c>
      <c r="T650" s="0" t="s">
        <v>228</v>
      </c>
      <c r="V650" s="0" t="s">
        <v>34</v>
      </c>
      <c r="W650" s="0" t="s">
        <v>49</v>
      </c>
      <c r="X650" s="0" t="s">
        <v>7355</v>
      </c>
      <c r="AB650" s="0" t="s">
        <v>1663</v>
      </c>
      <c r="AC650" s="0" t="s">
        <v>7629</v>
      </c>
      <c r="AD650" s="0" t="s">
        <v>7678</v>
      </c>
      <c r="AE650" s="0" t="s">
        <v>7360</v>
      </c>
      <c r="AF650" s="0" t="s">
        <v>7361</v>
      </c>
      <c r="AG650" s="0" t="s">
        <v>230</v>
      </c>
    </row>
    <row r="651" customFormat="false" ht="15" hidden="false" customHeight="false" outlineLevel="0" collapsed="false">
      <c r="A651" s="0" t="s">
        <v>7336</v>
      </c>
      <c r="B651" s="0" t="s">
        <v>2535</v>
      </c>
      <c r="C651" s="0" t="s">
        <v>2536</v>
      </c>
      <c r="D651" s="0" t="s">
        <v>227</v>
      </c>
      <c r="E651" s="0" t="s">
        <v>2537</v>
      </c>
      <c r="F651" s="0" t="s">
        <v>2531</v>
      </c>
      <c r="G651" s="0" t="s">
        <v>184</v>
      </c>
      <c r="H651" s="0" t="s">
        <v>7794</v>
      </c>
      <c r="I651" s="0" t="s">
        <v>7338</v>
      </c>
      <c r="J651" s="0" t="s">
        <v>1602</v>
      </c>
      <c r="K651" s="0" t="s">
        <v>7339</v>
      </c>
      <c r="L651" s="0" t="s">
        <v>7340</v>
      </c>
      <c r="M651" s="0" t="s">
        <v>7661</v>
      </c>
      <c r="N651" s="0" t="s">
        <v>7342</v>
      </c>
      <c r="P651" s="0" t="s">
        <v>229</v>
      </c>
      <c r="Q651" s="0" t="s">
        <v>7354</v>
      </c>
      <c r="R651" s="0" t="s">
        <v>7343</v>
      </c>
      <c r="S651" s="0" t="s">
        <v>7344</v>
      </c>
      <c r="T651" s="0" t="s">
        <v>58</v>
      </c>
      <c r="V651" s="0" t="s">
        <v>55</v>
      </c>
      <c r="W651" s="0" t="s">
        <v>57</v>
      </c>
      <c r="X651" s="0" t="s">
        <v>7355</v>
      </c>
      <c r="Y651" s="0" t="s">
        <v>7667</v>
      </c>
      <c r="Z651" s="0" t="s">
        <v>7668</v>
      </c>
      <c r="AA651" s="0" t="s">
        <v>7669</v>
      </c>
      <c r="AB651" s="0" t="s">
        <v>237</v>
      </c>
      <c r="AC651" s="0" t="s">
        <v>7629</v>
      </c>
      <c r="AE651" s="0" t="s">
        <v>7360</v>
      </c>
      <c r="AF651" s="0" t="s">
        <v>7361</v>
      </c>
      <c r="AG651" s="0" t="s">
        <v>230</v>
      </c>
    </row>
    <row r="652" customFormat="false" ht="15" hidden="false" customHeight="false" outlineLevel="0" collapsed="false">
      <c r="A652" s="0" t="s">
        <v>7336</v>
      </c>
      <c r="B652" s="0" t="s">
        <v>2538</v>
      </c>
      <c r="C652" s="0" t="s">
        <v>2539</v>
      </c>
      <c r="D652" s="0" t="s">
        <v>227</v>
      </c>
      <c r="E652" s="0" t="s">
        <v>2540</v>
      </c>
      <c r="F652" s="0" t="s">
        <v>2541</v>
      </c>
      <c r="G652" s="0" t="s">
        <v>184</v>
      </c>
      <c r="H652" s="0" t="s">
        <v>7795</v>
      </c>
      <c r="I652" s="0" t="s">
        <v>7338</v>
      </c>
      <c r="J652" s="0" t="s">
        <v>1602</v>
      </c>
      <c r="K652" s="0" t="s">
        <v>7339</v>
      </c>
      <c r="L652" s="0" t="s">
        <v>7340</v>
      </c>
      <c r="M652" s="0" t="s">
        <v>7661</v>
      </c>
      <c r="N652" s="0" t="s">
        <v>7342</v>
      </c>
      <c r="P652" s="0" t="s">
        <v>229</v>
      </c>
      <c r="Q652" s="0" t="s">
        <v>7354</v>
      </c>
      <c r="R652" s="0" t="s">
        <v>7343</v>
      </c>
      <c r="S652" s="0" t="s">
        <v>7344</v>
      </c>
      <c r="T652" s="0" t="s">
        <v>228</v>
      </c>
      <c r="V652" s="0" t="s">
        <v>34</v>
      </c>
      <c r="W652" s="0" t="s">
        <v>43</v>
      </c>
      <c r="X652" s="0" t="s">
        <v>7355</v>
      </c>
      <c r="Y652" s="0" t="s">
        <v>7346</v>
      </c>
      <c r="Z652" s="0" t="s">
        <v>7370</v>
      </c>
      <c r="AA652" s="0" t="s">
        <v>7670</v>
      </c>
      <c r="AB652" s="0" t="s">
        <v>1663</v>
      </c>
      <c r="AC652" s="0" t="s">
        <v>7629</v>
      </c>
      <c r="AD652" s="0" t="s">
        <v>7681</v>
      </c>
      <c r="AE652" s="0" t="s">
        <v>7360</v>
      </c>
      <c r="AF652" s="0" t="s">
        <v>7361</v>
      </c>
      <c r="AG652" s="0" t="s">
        <v>230</v>
      </c>
    </row>
    <row r="653" customFormat="false" ht="15" hidden="false" customHeight="false" outlineLevel="0" collapsed="false">
      <c r="A653" s="0" t="s">
        <v>7336</v>
      </c>
      <c r="B653" s="0" t="s">
        <v>2542</v>
      </c>
      <c r="C653" s="0" t="s">
        <v>2543</v>
      </c>
      <c r="D653" s="0" t="s">
        <v>227</v>
      </c>
      <c r="E653" s="0" t="s">
        <v>2544</v>
      </c>
      <c r="F653" s="0" t="s">
        <v>2541</v>
      </c>
      <c r="G653" s="0" t="s">
        <v>184</v>
      </c>
      <c r="H653" s="0" t="s">
        <v>7795</v>
      </c>
      <c r="I653" s="0" t="s">
        <v>7338</v>
      </c>
      <c r="J653" s="0" t="s">
        <v>1602</v>
      </c>
      <c r="K653" s="0" t="s">
        <v>7339</v>
      </c>
      <c r="L653" s="0" t="s">
        <v>7340</v>
      </c>
      <c r="M653" s="0" t="s">
        <v>7661</v>
      </c>
      <c r="N653" s="0" t="s">
        <v>7342</v>
      </c>
      <c r="P653" s="0" t="s">
        <v>229</v>
      </c>
      <c r="Q653" s="0" t="s">
        <v>7354</v>
      </c>
      <c r="R653" s="0" t="s">
        <v>7343</v>
      </c>
      <c r="S653" s="0" t="s">
        <v>7344</v>
      </c>
      <c r="T653" s="0" t="s">
        <v>228</v>
      </c>
      <c r="V653" s="0" t="s">
        <v>34</v>
      </c>
      <c r="W653" s="0" t="s">
        <v>49</v>
      </c>
      <c r="X653" s="0" t="s">
        <v>7355</v>
      </c>
      <c r="AB653" s="0" t="s">
        <v>1663</v>
      </c>
      <c r="AC653" s="0" t="s">
        <v>7629</v>
      </c>
      <c r="AD653" s="0" t="s">
        <v>7678</v>
      </c>
      <c r="AE653" s="0" t="s">
        <v>7360</v>
      </c>
      <c r="AF653" s="0" t="s">
        <v>7361</v>
      </c>
      <c r="AG653" s="0" t="s">
        <v>230</v>
      </c>
    </row>
    <row r="654" customFormat="false" ht="15" hidden="false" customHeight="false" outlineLevel="0" collapsed="false">
      <c r="A654" s="0" t="s">
        <v>7336</v>
      </c>
      <c r="B654" s="0" t="s">
        <v>2545</v>
      </c>
      <c r="C654" s="0" t="s">
        <v>2546</v>
      </c>
      <c r="D654" s="0" t="s">
        <v>227</v>
      </c>
      <c r="E654" s="0" t="s">
        <v>2547</v>
      </c>
      <c r="F654" s="0" t="s">
        <v>2541</v>
      </c>
      <c r="G654" s="0" t="s">
        <v>184</v>
      </c>
      <c r="H654" s="0" t="s">
        <v>7795</v>
      </c>
      <c r="I654" s="0" t="s">
        <v>7338</v>
      </c>
      <c r="J654" s="0" t="s">
        <v>1602</v>
      </c>
      <c r="K654" s="0" t="s">
        <v>7339</v>
      </c>
      <c r="L654" s="0" t="s">
        <v>7340</v>
      </c>
      <c r="M654" s="0" t="s">
        <v>7661</v>
      </c>
      <c r="N654" s="0" t="s">
        <v>7342</v>
      </c>
      <c r="P654" s="0" t="s">
        <v>229</v>
      </c>
      <c r="Q654" s="0" t="s">
        <v>7354</v>
      </c>
      <c r="R654" s="0" t="s">
        <v>7343</v>
      </c>
      <c r="S654" s="0" t="s">
        <v>7344</v>
      </c>
      <c r="T654" s="0" t="s">
        <v>58</v>
      </c>
      <c r="V654" s="0" t="s">
        <v>55</v>
      </c>
      <c r="W654" s="0" t="s">
        <v>57</v>
      </c>
      <c r="X654" s="0" t="s">
        <v>7355</v>
      </c>
      <c r="Y654" s="0" t="s">
        <v>7667</v>
      </c>
      <c r="Z654" s="0" t="s">
        <v>7668</v>
      </c>
      <c r="AA654" s="0" t="s">
        <v>7669</v>
      </c>
      <c r="AB654" s="0" t="s">
        <v>237</v>
      </c>
      <c r="AC654" s="0" t="s">
        <v>7629</v>
      </c>
      <c r="AE654" s="0" t="s">
        <v>7360</v>
      </c>
      <c r="AF654" s="0" t="s">
        <v>7361</v>
      </c>
      <c r="AG654" s="0" t="s">
        <v>230</v>
      </c>
    </row>
    <row r="655" customFormat="false" ht="15" hidden="false" customHeight="false" outlineLevel="0" collapsed="false">
      <c r="A655" s="0" t="s">
        <v>7336</v>
      </c>
      <c r="B655" s="0" t="s">
        <v>2548</v>
      </c>
      <c r="C655" s="0" t="s">
        <v>2549</v>
      </c>
      <c r="D655" s="0" t="s">
        <v>227</v>
      </c>
      <c r="E655" s="0" t="s">
        <v>2550</v>
      </c>
      <c r="F655" s="0" t="s">
        <v>2551</v>
      </c>
      <c r="G655" s="0" t="s">
        <v>184</v>
      </c>
      <c r="H655" s="0" t="s">
        <v>7796</v>
      </c>
      <c r="I655" s="0" t="s">
        <v>7338</v>
      </c>
      <c r="J655" s="0" t="s">
        <v>1602</v>
      </c>
      <c r="K655" s="0" t="s">
        <v>7339</v>
      </c>
      <c r="L655" s="0" t="s">
        <v>7340</v>
      </c>
      <c r="M655" s="0" t="s">
        <v>7661</v>
      </c>
      <c r="N655" s="0" t="s">
        <v>7342</v>
      </c>
      <c r="P655" s="0" t="s">
        <v>229</v>
      </c>
      <c r="Q655" s="0" t="s">
        <v>7354</v>
      </c>
      <c r="R655" s="0" t="s">
        <v>7343</v>
      </c>
      <c r="S655" s="0" t="s">
        <v>7344</v>
      </c>
      <c r="T655" s="0" t="s">
        <v>228</v>
      </c>
      <c r="V655" s="0" t="s">
        <v>34</v>
      </c>
      <c r="W655" s="0" t="s">
        <v>43</v>
      </c>
      <c r="X655" s="0" t="s">
        <v>7355</v>
      </c>
      <c r="Y655" s="0" t="s">
        <v>7346</v>
      </c>
      <c r="Z655" s="0" t="s">
        <v>7370</v>
      </c>
      <c r="AA655" s="0" t="s">
        <v>7670</v>
      </c>
      <c r="AB655" s="0" t="s">
        <v>1663</v>
      </c>
      <c r="AC655" s="0" t="s">
        <v>7629</v>
      </c>
      <c r="AD655" s="0" t="s">
        <v>7681</v>
      </c>
      <c r="AE655" s="0" t="s">
        <v>7360</v>
      </c>
      <c r="AF655" s="0" t="s">
        <v>7361</v>
      </c>
      <c r="AG655" s="0" t="s">
        <v>230</v>
      </c>
    </row>
    <row r="656" customFormat="false" ht="15" hidden="false" customHeight="false" outlineLevel="0" collapsed="false">
      <c r="A656" s="0" t="s">
        <v>7336</v>
      </c>
      <c r="B656" s="0" t="s">
        <v>2552</v>
      </c>
      <c r="C656" s="0" t="s">
        <v>2553</v>
      </c>
      <c r="D656" s="0" t="s">
        <v>227</v>
      </c>
      <c r="E656" s="0" t="s">
        <v>2554</v>
      </c>
      <c r="F656" s="0" t="s">
        <v>2551</v>
      </c>
      <c r="G656" s="0" t="s">
        <v>184</v>
      </c>
      <c r="H656" s="0" t="s">
        <v>7796</v>
      </c>
      <c r="I656" s="0" t="s">
        <v>7338</v>
      </c>
      <c r="J656" s="0" t="s">
        <v>1602</v>
      </c>
      <c r="K656" s="0" t="s">
        <v>7339</v>
      </c>
      <c r="L656" s="0" t="s">
        <v>7340</v>
      </c>
      <c r="M656" s="0" t="s">
        <v>7661</v>
      </c>
      <c r="N656" s="0" t="s">
        <v>7342</v>
      </c>
      <c r="P656" s="0" t="s">
        <v>229</v>
      </c>
      <c r="Q656" s="0" t="s">
        <v>7354</v>
      </c>
      <c r="R656" s="0" t="s">
        <v>7343</v>
      </c>
      <c r="S656" s="0" t="s">
        <v>7344</v>
      </c>
      <c r="T656" s="0" t="s">
        <v>228</v>
      </c>
      <c r="V656" s="0" t="s">
        <v>34</v>
      </c>
      <c r="W656" s="0" t="s">
        <v>49</v>
      </c>
      <c r="X656" s="0" t="s">
        <v>7355</v>
      </c>
      <c r="AB656" s="0" t="s">
        <v>1663</v>
      </c>
      <c r="AC656" s="0" t="s">
        <v>7629</v>
      </c>
      <c r="AD656" s="0" t="s">
        <v>7678</v>
      </c>
      <c r="AE656" s="0" t="s">
        <v>7360</v>
      </c>
      <c r="AF656" s="0" t="s">
        <v>7361</v>
      </c>
      <c r="AG656" s="0" t="s">
        <v>230</v>
      </c>
    </row>
    <row r="657" customFormat="false" ht="15" hidden="false" customHeight="false" outlineLevel="0" collapsed="false">
      <c r="A657" s="0" t="s">
        <v>7336</v>
      </c>
      <c r="B657" s="0" t="s">
        <v>2555</v>
      </c>
      <c r="C657" s="0" t="s">
        <v>2556</v>
      </c>
      <c r="D657" s="0" t="s">
        <v>227</v>
      </c>
      <c r="E657" s="0" t="s">
        <v>2557</v>
      </c>
      <c r="F657" s="0" t="s">
        <v>2551</v>
      </c>
      <c r="G657" s="0" t="s">
        <v>184</v>
      </c>
      <c r="H657" s="0" t="s">
        <v>7796</v>
      </c>
      <c r="I657" s="0" t="s">
        <v>7338</v>
      </c>
      <c r="J657" s="0" t="s">
        <v>1602</v>
      </c>
      <c r="K657" s="0" t="s">
        <v>7339</v>
      </c>
      <c r="L657" s="0" t="s">
        <v>7340</v>
      </c>
      <c r="M657" s="0" t="s">
        <v>7661</v>
      </c>
      <c r="N657" s="0" t="s">
        <v>7342</v>
      </c>
      <c r="P657" s="0" t="s">
        <v>229</v>
      </c>
      <c r="Q657" s="0" t="s">
        <v>7354</v>
      </c>
      <c r="R657" s="0" t="s">
        <v>7343</v>
      </c>
      <c r="S657" s="0" t="s">
        <v>7344</v>
      </c>
      <c r="T657" s="0" t="s">
        <v>58</v>
      </c>
      <c r="V657" s="0" t="s">
        <v>55</v>
      </c>
      <c r="W657" s="0" t="s">
        <v>57</v>
      </c>
      <c r="X657" s="0" t="s">
        <v>7355</v>
      </c>
      <c r="Y657" s="0" t="s">
        <v>7667</v>
      </c>
      <c r="Z657" s="0" t="s">
        <v>7668</v>
      </c>
      <c r="AA657" s="0" t="s">
        <v>7669</v>
      </c>
      <c r="AB657" s="0" t="s">
        <v>237</v>
      </c>
      <c r="AC657" s="0" t="s">
        <v>7629</v>
      </c>
      <c r="AE657" s="0" t="s">
        <v>7360</v>
      </c>
      <c r="AF657" s="0" t="s">
        <v>7361</v>
      </c>
      <c r="AG657" s="0" t="s">
        <v>230</v>
      </c>
    </row>
    <row r="658" customFormat="false" ht="15" hidden="false" customHeight="false" outlineLevel="0" collapsed="false">
      <c r="A658" s="0" t="s">
        <v>7336</v>
      </c>
      <c r="B658" s="0" t="s">
        <v>2558</v>
      </c>
      <c r="C658" s="0" t="s">
        <v>2559</v>
      </c>
      <c r="D658" s="0" t="s">
        <v>227</v>
      </c>
      <c r="E658" s="0" t="s">
        <v>2560</v>
      </c>
      <c r="F658" s="0" t="s">
        <v>2141</v>
      </c>
      <c r="G658" s="0" t="s">
        <v>184</v>
      </c>
      <c r="H658" s="0" t="s">
        <v>7729</v>
      </c>
      <c r="I658" s="0" t="s">
        <v>7338</v>
      </c>
      <c r="J658" s="0" t="s">
        <v>1602</v>
      </c>
      <c r="K658" s="0" t="s">
        <v>7339</v>
      </c>
      <c r="L658" s="0" t="s">
        <v>7340</v>
      </c>
      <c r="M658" s="0" t="s">
        <v>7661</v>
      </c>
      <c r="N658" s="0" t="s">
        <v>7342</v>
      </c>
      <c r="P658" s="0" t="s">
        <v>229</v>
      </c>
      <c r="Q658" s="0" t="s">
        <v>7354</v>
      </c>
      <c r="R658" s="0" t="s">
        <v>7343</v>
      </c>
      <c r="S658" s="0" t="s">
        <v>7344</v>
      </c>
      <c r="T658" s="0" t="s">
        <v>228</v>
      </c>
      <c r="V658" s="0" t="s">
        <v>34</v>
      </c>
      <c r="W658" s="0" t="s">
        <v>43</v>
      </c>
      <c r="X658" s="0" t="s">
        <v>7355</v>
      </c>
      <c r="Y658" s="0" t="s">
        <v>7346</v>
      </c>
      <c r="Z658" s="0" t="s">
        <v>7370</v>
      </c>
      <c r="AA658" s="0" t="s">
        <v>7670</v>
      </c>
      <c r="AB658" s="0" t="s">
        <v>1663</v>
      </c>
      <c r="AC658" s="0" t="s">
        <v>7629</v>
      </c>
      <c r="AD658" s="0" t="s">
        <v>7681</v>
      </c>
      <c r="AE658" s="0" t="s">
        <v>7360</v>
      </c>
      <c r="AF658" s="0" t="s">
        <v>7361</v>
      </c>
      <c r="AG658" s="0" t="s">
        <v>230</v>
      </c>
    </row>
    <row r="659" customFormat="false" ht="15" hidden="false" customHeight="false" outlineLevel="0" collapsed="false">
      <c r="A659" s="0" t="s">
        <v>7336</v>
      </c>
      <c r="B659" s="0" t="s">
        <v>2561</v>
      </c>
      <c r="C659" s="0" t="s">
        <v>2562</v>
      </c>
      <c r="D659" s="0" t="s">
        <v>227</v>
      </c>
      <c r="E659" s="0" t="s">
        <v>2563</v>
      </c>
      <c r="F659" s="0" t="s">
        <v>2141</v>
      </c>
      <c r="G659" s="0" t="s">
        <v>184</v>
      </c>
      <c r="H659" s="0" t="s">
        <v>7729</v>
      </c>
      <c r="I659" s="0" t="s">
        <v>7338</v>
      </c>
      <c r="J659" s="0" t="s">
        <v>1602</v>
      </c>
      <c r="K659" s="0" t="s">
        <v>7339</v>
      </c>
      <c r="L659" s="0" t="s">
        <v>7340</v>
      </c>
      <c r="M659" s="0" t="s">
        <v>7661</v>
      </c>
      <c r="N659" s="0" t="s">
        <v>7342</v>
      </c>
      <c r="P659" s="0" t="s">
        <v>229</v>
      </c>
      <c r="Q659" s="0" t="s">
        <v>7354</v>
      </c>
      <c r="R659" s="0" t="s">
        <v>7343</v>
      </c>
      <c r="S659" s="0" t="s">
        <v>7344</v>
      </c>
      <c r="T659" s="0" t="s">
        <v>228</v>
      </c>
      <c r="V659" s="0" t="s">
        <v>34</v>
      </c>
      <c r="W659" s="0" t="s">
        <v>49</v>
      </c>
      <c r="X659" s="0" t="s">
        <v>7355</v>
      </c>
      <c r="AB659" s="0" t="s">
        <v>1663</v>
      </c>
      <c r="AC659" s="0" t="s">
        <v>7629</v>
      </c>
      <c r="AD659" s="0" t="s">
        <v>7678</v>
      </c>
      <c r="AE659" s="0" t="s">
        <v>7360</v>
      </c>
      <c r="AF659" s="0" t="s">
        <v>7361</v>
      </c>
      <c r="AG659" s="0" t="s">
        <v>230</v>
      </c>
    </row>
    <row r="660" customFormat="false" ht="15" hidden="false" customHeight="false" outlineLevel="0" collapsed="false">
      <c r="A660" s="0" t="s">
        <v>7336</v>
      </c>
      <c r="B660" s="0" t="s">
        <v>2564</v>
      </c>
      <c r="C660" s="0" t="s">
        <v>2565</v>
      </c>
      <c r="D660" s="0" t="s">
        <v>2431</v>
      </c>
      <c r="E660" s="0" t="s">
        <v>2566</v>
      </c>
      <c r="F660" s="0" t="s">
        <v>2430</v>
      </c>
      <c r="G660" s="0" t="s">
        <v>111</v>
      </c>
      <c r="H660" s="0" t="s">
        <v>7776</v>
      </c>
      <c r="I660" s="0" t="s">
        <v>7338</v>
      </c>
      <c r="J660" s="0" t="s">
        <v>1602</v>
      </c>
      <c r="K660" s="0" t="s">
        <v>7339</v>
      </c>
      <c r="L660" s="0" t="s">
        <v>7340</v>
      </c>
      <c r="M660" s="0" t="s">
        <v>7777</v>
      </c>
      <c r="N660" s="0" t="s">
        <v>7342</v>
      </c>
      <c r="P660" s="0" t="s">
        <v>229</v>
      </c>
      <c r="R660" s="0" t="s">
        <v>7343</v>
      </c>
      <c r="S660" s="0" t="s">
        <v>7344</v>
      </c>
      <c r="T660" s="0" t="s">
        <v>681</v>
      </c>
      <c r="V660" s="0" t="s">
        <v>34</v>
      </c>
      <c r="W660" s="0" t="s">
        <v>36</v>
      </c>
      <c r="X660" s="0" t="s">
        <v>7345</v>
      </c>
      <c r="Y660" s="0" t="s">
        <v>7495</v>
      </c>
      <c r="Z660" s="0" t="s">
        <v>7496</v>
      </c>
      <c r="AA660" s="0" t="s">
        <v>7497</v>
      </c>
      <c r="AB660" s="0" t="s">
        <v>682</v>
      </c>
      <c r="AC660" s="0" t="s">
        <v>7349</v>
      </c>
      <c r="AD660" s="0" t="s">
        <v>7498</v>
      </c>
      <c r="AE660" s="0" t="s">
        <v>7797</v>
      </c>
      <c r="AF660" s="0" t="s">
        <v>7499</v>
      </c>
      <c r="AG660" s="0" t="s">
        <v>230</v>
      </c>
    </row>
    <row r="661" customFormat="false" ht="15" hidden="false" customHeight="false" outlineLevel="0" collapsed="false">
      <c r="A661" s="0" t="s">
        <v>7336</v>
      </c>
      <c r="B661" s="0" t="s">
        <v>2567</v>
      </c>
      <c r="C661" s="0" t="s">
        <v>2568</v>
      </c>
      <c r="D661" s="0" t="s">
        <v>227</v>
      </c>
      <c r="E661" s="0" t="s">
        <v>2569</v>
      </c>
      <c r="F661" s="0" t="s">
        <v>2570</v>
      </c>
      <c r="G661" s="0" t="s">
        <v>172</v>
      </c>
      <c r="H661" s="0" t="s">
        <v>7798</v>
      </c>
      <c r="I661" s="0" t="s">
        <v>7338</v>
      </c>
      <c r="J661" s="0" t="s">
        <v>1602</v>
      </c>
      <c r="K661" s="0" t="s">
        <v>7339</v>
      </c>
      <c r="L661" s="0" t="s">
        <v>7340</v>
      </c>
      <c r="M661" s="0" t="s">
        <v>7661</v>
      </c>
      <c r="N661" s="0" t="s">
        <v>7342</v>
      </c>
      <c r="P661" s="0" t="s">
        <v>236</v>
      </c>
      <c r="Q661" s="0" t="s">
        <v>7354</v>
      </c>
      <c r="R661" s="0" t="s">
        <v>7343</v>
      </c>
      <c r="S661" s="0" t="s">
        <v>7344</v>
      </c>
      <c r="T661" s="0" t="s">
        <v>228</v>
      </c>
      <c r="V661" s="0" t="s">
        <v>73</v>
      </c>
      <c r="W661" s="0" t="s">
        <v>77</v>
      </c>
      <c r="X661" s="0" t="s">
        <v>7355</v>
      </c>
      <c r="Y661" s="0" t="s">
        <v>7356</v>
      </c>
      <c r="Z661" s="0" t="s">
        <v>7357</v>
      </c>
      <c r="AA661" s="0" t="s">
        <v>7358</v>
      </c>
      <c r="AB661" s="0" t="s">
        <v>237</v>
      </c>
      <c r="AC661" s="0" t="s">
        <v>7349</v>
      </c>
      <c r="AD661" s="0" t="s">
        <v>7755</v>
      </c>
      <c r="AE661" s="0" t="s">
        <v>7360</v>
      </c>
      <c r="AF661" s="0" t="s">
        <v>7361</v>
      </c>
      <c r="AG661" s="0" t="s">
        <v>230</v>
      </c>
    </row>
    <row r="662" customFormat="false" ht="15" hidden="false" customHeight="false" outlineLevel="0" collapsed="false">
      <c r="A662" s="0" t="s">
        <v>7336</v>
      </c>
      <c r="B662" s="0" t="s">
        <v>2571</v>
      </c>
      <c r="C662" s="0" t="s">
        <v>2572</v>
      </c>
      <c r="D662" s="0" t="s">
        <v>227</v>
      </c>
      <c r="E662" s="0" t="s">
        <v>2573</v>
      </c>
      <c r="F662" s="0" t="s">
        <v>2574</v>
      </c>
      <c r="G662" s="0" t="s">
        <v>172</v>
      </c>
      <c r="H662" s="0" t="s">
        <v>7799</v>
      </c>
      <c r="I662" s="0" t="s">
        <v>7338</v>
      </c>
      <c r="J662" s="0" t="s">
        <v>1602</v>
      </c>
      <c r="K662" s="0" t="s">
        <v>7339</v>
      </c>
      <c r="L662" s="0" t="s">
        <v>7340</v>
      </c>
      <c r="M662" s="0" t="s">
        <v>7661</v>
      </c>
      <c r="N662" s="0" t="s">
        <v>7342</v>
      </c>
      <c r="P662" s="0" t="s">
        <v>236</v>
      </c>
      <c r="Q662" s="0" t="s">
        <v>7354</v>
      </c>
      <c r="R662" s="0" t="s">
        <v>7343</v>
      </c>
      <c r="S662" s="0" t="s">
        <v>7344</v>
      </c>
      <c r="T662" s="0" t="s">
        <v>228</v>
      </c>
      <c r="V662" s="0" t="s">
        <v>73</v>
      </c>
      <c r="W662" s="0" t="s">
        <v>77</v>
      </c>
      <c r="X662" s="0" t="s">
        <v>7355</v>
      </c>
      <c r="Y662" s="0" t="s">
        <v>7356</v>
      </c>
      <c r="Z662" s="0" t="s">
        <v>7357</v>
      </c>
      <c r="AA662" s="0" t="s">
        <v>7358</v>
      </c>
      <c r="AB662" s="0" t="s">
        <v>237</v>
      </c>
      <c r="AC662" s="0" t="s">
        <v>7349</v>
      </c>
      <c r="AD662" s="0" t="s">
        <v>7755</v>
      </c>
      <c r="AE662" s="0" t="s">
        <v>7360</v>
      </c>
      <c r="AF662" s="0" t="s">
        <v>7361</v>
      </c>
      <c r="AG662" s="0" t="s">
        <v>230</v>
      </c>
    </row>
    <row r="663" customFormat="false" ht="15" hidden="false" customHeight="false" outlineLevel="0" collapsed="false">
      <c r="A663" s="0" t="s">
        <v>7336</v>
      </c>
      <c r="B663" s="0" t="s">
        <v>2575</v>
      </c>
      <c r="C663" s="0" t="s">
        <v>2576</v>
      </c>
      <c r="D663" s="0" t="s">
        <v>227</v>
      </c>
      <c r="E663" s="0" t="s">
        <v>2577</v>
      </c>
      <c r="F663" s="0" t="s">
        <v>2570</v>
      </c>
      <c r="G663" s="0" t="s">
        <v>172</v>
      </c>
      <c r="H663" s="0" t="s">
        <v>7798</v>
      </c>
      <c r="I663" s="0" t="s">
        <v>7338</v>
      </c>
      <c r="J663" s="0" t="s">
        <v>1602</v>
      </c>
      <c r="K663" s="0" t="s">
        <v>7339</v>
      </c>
      <c r="L663" s="0" t="s">
        <v>7340</v>
      </c>
      <c r="M663" s="0" t="s">
        <v>7661</v>
      </c>
      <c r="N663" s="0" t="s">
        <v>7342</v>
      </c>
      <c r="P663" s="0" t="s">
        <v>236</v>
      </c>
      <c r="Q663" s="0" t="s">
        <v>7354</v>
      </c>
      <c r="R663" s="0" t="s">
        <v>7343</v>
      </c>
      <c r="S663" s="0" t="s">
        <v>7344</v>
      </c>
      <c r="T663" s="0" t="s">
        <v>228</v>
      </c>
      <c r="V663" s="0" t="s">
        <v>73</v>
      </c>
      <c r="W663" s="0" t="s">
        <v>77</v>
      </c>
      <c r="X663" s="0" t="s">
        <v>7355</v>
      </c>
      <c r="Y663" s="0" t="s">
        <v>7356</v>
      </c>
      <c r="Z663" s="0" t="s">
        <v>7357</v>
      </c>
      <c r="AA663" s="0" t="s">
        <v>7358</v>
      </c>
      <c r="AB663" s="0" t="s">
        <v>237</v>
      </c>
      <c r="AC663" s="0" t="s">
        <v>7349</v>
      </c>
      <c r="AD663" s="0" t="s">
        <v>7755</v>
      </c>
      <c r="AE663" s="0" t="s">
        <v>7360</v>
      </c>
      <c r="AF663" s="0" t="s">
        <v>7361</v>
      </c>
      <c r="AG663" s="0" t="s">
        <v>230</v>
      </c>
    </row>
    <row r="664" customFormat="false" ht="15" hidden="false" customHeight="false" outlineLevel="0" collapsed="false">
      <c r="A664" s="0" t="s">
        <v>7336</v>
      </c>
      <c r="B664" s="0" t="s">
        <v>2578</v>
      </c>
      <c r="C664" s="0" t="s">
        <v>2579</v>
      </c>
      <c r="D664" s="0" t="s">
        <v>227</v>
      </c>
      <c r="E664" s="0" t="s">
        <v>2580</v>
      </c>
      <c r="F664" s="0" t="s">
        <v>2570</v>
      </c>
      <c r="G664" s="0" t="s">
        <v>172</v>
      </c>
      <c r="H664" s="0" t="s">
        <v>7798</v>
      </c>
      <c r="I664" s="0" t="s">
        <v>7338</v>
      </c>
      <c r="J664" s="0" t="s">
        <v>1602</v>
      </c>
      <c r="K664" s="0" t="s">
        <v>7339</v>
      </c>
      <c r="L664" s="0" t="s">
        <v>7340</v>
      </c>
      <c r="M664" s="0" t="s">
        <v>7661</v>
      </c>
      <c r="N664" s="0" t="s">
        <v>7342</v>
      </c>
      <c r="P664" s="0" t="s">
        <v>236</v>
      </c>
      <c r="Q664" s="0" t="s">
        <v>7354</v>
      </c>
      <c r="R664" s="0" t="s">
        <v>7343</v>
      </c>
      <c r="S664" s="0" t="s">
        <v>7344</v>
      </c>
      <c r="T664" s="0" t="s">
        <v>228</v>
      </c>
      <c r="V664" s="0" t="s">
        <v>73</v>
      </c>
      <c r="W664" s="0" t="s">
        <v>77</v>
      </c>
      <c r="X664" s="0" t="s">
        <v>7355</v>
      </c>
      <c r="Y664" s="0" t="s">
        <v>7356</v>
      </c>
      <c r="Z664" s="0" t="s">
        <v>7357</v>
      </c>
      <c r="AA664" s="0" t="s">
        <v>7358</v>
      </c>
      <c r="AB664" s="0" t="s">
        <v>237</v>
      </c>
      <c r="AC664" s="0" t="s">
        <v>7349</v>
      </c>
      <c r="AD664" s="0" t="s">
        <v>7755</v>
      </c>
      <c r="AE664" s="0" t="s">
        <v>7360</v>
      </c>
      <c r="AF664" s="0" t="s">
        <v>7361</v>
      </c>
      <c r="AG664" s="0" t="s">
        <v>230</v>
      </c>
    </row>
    <row r="665" customFormat="false" ht="15" hidden="false" customHeight="false" outlineLevel="0" collapsed="false">
      <c r="A665" s="0" t="s">
        <v>7336</v>
      </c>
      <c r="B665" s="0" t="s">
        <v>2581</v>
      </c>
      <c r="C665" s="0" t="s">
        <v>2582</v>
      </c>
      <c r="D665" s="0" t="s">
        <v>227</v>
      </c>
      <c r="E665" s="0" t="s">
        <v>2583</v>
      </c>
      <c r="F665" s="0" t="s">
        <v>2574</v>
      </c>
      <c r="G665" s="0" t="s">
        <v>172</v>
      </c>
      <c r="H665" s="0" t="s">
        <v>7799</v>
      </c>
      <c r="I665" s="0" t="s">
        <v>7338</v>
      </c>
      <c r="J665" s="0" t="s">
        <v>1602</v>
      </c>
      <c r="K665" s="0" t="s">
        <v>7339</v>
      </c>
      <c r="L665" s="0" t="s">
        <v>7340</v>
      </c>
      <c r="M665" s="0" t="s">
        <v>7661</v>
      </c>
      <c r="N665" s="0" t="s">
        <v>7342</v>
      </c>
      <c r="P665" s="0" t="s">
        <v>236</v>
      </c>
      <c r="Q665" s="0" t="s">
        <v>7354</v>
      </c>
      <c r="R665" s="0" t="s">
        <v>7343</v>
      </c>
      <c r="S665" s="0" t="s">
        <v>7344</v>
      </c>
      <c r="T665" s="0" t="s">
        <v>228</v>
      </c>
      <c r="V665" s="0" t="s">
        <v>73</v>
      </c>
      <c r="W665" s="0" t="s">
        <v>77</v>
      </c>
      <c r="X665" s="0" t="s">
        <v>7355</v>
      </c>
      <c r="Y665" s="0" t="s">
        <v>7356</v>
      </c>
      <c r="Z665" s="0" t="s">
        <v>7357</v>
      </c>
      <c r="AA665" s="0" t="s">
        <v>7358</v>
      </c>
      <c r="AB665" s="0" t="s">
        <v>237</v>
      </c>
      <c r="AC665" s="0" t="s">
        <v>7349</v>
      </c>
      <c r="AD665" s="0" t="s">
        <v>7755</v>
      </c>
      <c r="AE665" s="0" t="s">
        <v>7360</v>
      </c>
      <c r="AF665" s="0" t="s">
        <v>7361</v>
      </c>
      <c r="AG665" s="0" t="s">
        <v>230</v>
      </c>
    </row>
    <row r="666" customFormat="false" ht="15" hidden="false" customHeight="false" outlineLevel="0" collapsed="false">
      <c r="A666" s="0" t="s">
        <v>7336</v>
      </c>
      <c r="B666" s="0" t="s">
        <v>2584</v>
      </c>
      <c r="C666" s="0" t="s">
        <v>2585</v>
      </c>
      <c r="D666" s="0" t="s">
        <v>227</v>
      </c>
      <c r="E666" s="0" t="s">
        <v>2586</v>
      </c>
      <c r="F666" s="0" t="s">
        <v>2587</v>
      </c>
      <c r="G666" s="0" t="s">
        <v>172</v>
      </c>
      <c r="H666" s="0" t="s">
        <v>7800</v>
      </c>
      <c r="I666" s="0" t="s">
        <v>7338</v>
      </c>
      <c r="J666" s="0" t="s">
        <v>1602</v>
      </c>
      <c r="K666" s="0" t="s">
        <v>7339</v>
      </c>
      <c r="L666" s="0" t="s">
        <v>7340</v>
      </c>
      <c r="M666" s="0" t="s">
        <v>7661</v>
      </c>
      <c r="N666" s="0" t="s">
        <v>7342</v>
      </c>
      <c r="P666" s="0" t="s">
        <v>236</v>
      </c>
      <c r="Q666" s="0" t="s">
        <v>7354</v>
      </c>
      <c r="R666" s="0" t="s">
        <v>7343</v>
      </c>
      <c r="S666" s="0" t="s">
        <v>7344</v>
      </c>
      <c r="T666" s="0" t="s">
        <v>228</v>
      </c>
      <c r="V666" s="0" t="s">
        <v>73</v>
      </c>
      <c r="W666" s="0" t="s">
        <v>77</v>
      </c>
      <c r="X666" s="0" t="s">
        <v>7355</v>
      </c>
      <c r="Y666" s="0" t="s">
        <v>7356</v>
      </c>
      <c r="Z666" s="0" t="s">
        <v>7357</v>
      </c>
      <c r="AA666" s="0" t="s">
        <v>7358</v>
      </c>
      <c r="AB666" s="0" t="s">
        <v>237</v>
      </c>
      <c r="AC666" s="0" t="s">
        <v>7349</v>
      </c>
      <c r="AD666" s="0" t="s">
        <v>7755</v>
      </c>
      <c r="AE666" s="0" t="s">
        <v>7360</v>
      </c>
      <c r="AF666" s="0" t="s">
        <v>7361</v>
      </c>
      <c r="AG666" s="0" t="s">
        <v>230</v>
      </c>
    </row>
    <row r="667" customFormat="false" ht="15" hidden="false" customHeight="false" outlineLevel="0" collapsed="false">
      <c r="A667" s="0" t="s">
        <v>7336</v>
      </c>
      <c r="B667" s="0" t="s">
        <v>2588</v>
      </c>
      <c r="C667" s="0" t="s">
        <v>2589</v>
      </c>
      <c r="D667" s="0" t="s">
        <v>227</v>
      </c>
      <c r="E667" s="0" t="s">
        <v>2590</v>
      </c>
      <c r="F667" s="0" t="s">
        <v>2591</v>
      </c>
      <c r="G667" s="0" t="s">
        <v>172</v>
      </c>
      <c r="H667" s="0" t="s">
        <v>7801</v>
      </c>
      <c r="I667" s="0" t="s">
        <v>7338</v>
      </c>
      <c r="J667" s="0" t="s">
        <v>1602</v>
      </c>
      <c r="K667" s="0" t="s">
        <v>7339</v>
      </c>
      <c r="L667" s="0" t="s">
        <v>7340</v>
      </c>
      <c r="M667" s="0" t="s">
        <v>7661</v>
      </c>
      <c r="N667" s="0" t="s">
        <v>7342</v>
      </c>
      <c r="P667" s="0" t="s">
        <v>236</v>
      </c>
      <c r="Q667" s="0" t="s">
        <v>7354</v>
      </c>
      <c r="R667" s="0" t="s">
        <v>7343</v>
      </c>
      <c r="S667" s="0" t="s">
        <v>7344</v>
      </c>
      <c r="T667" s="0" t="s">
        <v>228</v>
      </c>
      <c r="V667" s="0" t="s">
        <v>73</v>
      </c>
      <c r="W667" s="0" t="s">
        <v>77</v>
      </c>
      <c r="X667" s="0" t="s">
        <v>7355</v>
      </c>
      <c r="Y667" s="0" t="s">
        <v>7356</v>
      </c>
      <c r="Z667" s="0" t="s">
        <v>7357</v>
      </c>
      <c r="AA667" s="0" t="s">
        <v>7358</v>
      </c>
      <c r="AB667" s="0" t="s">
        <v>237</v>
      </c>
      <c r="AC667" s="0" t="s">
        <v>7349</v>
      </c>
      <c r="AD667" s="0" t="s">
        <v>7755</v>
      </c>
      <c r="AE667" s="0" t="s">
        <v>7360</v>
      </c>
      <c r="AF667" s="0" t="s">
        <v>7361</v>
      </c>
      <c r="AG667" s="0" t="s">
        <v>230</v>
      </c>
    </row>
    <row r="668" customFormat="false" ht="15" hidden="false" customHeight="false" outlineLevel="0" collapsed="false">
      <c r="A668" s="0" t="s">
        <v>7336</v>
      </c>
      <c r="B668" s="0" t="s">
        <v>2592</v>
      </c>
      <c r="C668" s="0" t="s">
        <v>2593</v>
      </c>
      <c r="D668" s="0" t="s">
        <v>227</v>
      </c>
      <c r="E668" s="0" t="s">
        <v>2594</v>
      </c>
      <c r="F668" s="0" t="s">
        <v>2570</v>
      </c>
      <c r="G668" s="0" t="s">
        <v>172</v>
      </c>
      <c r="H668" s="0" t="s">
        <v>7798</v>
      </c>
      <c r="I668" s="0" t="s">
        <v>7338</v>
      </c>
      <c r="J668" s="0" t="s">
        <v>1602</v>
      </c>
      <c r="K668" s="0" t="s">
        <v>7339</v>
      </c>
      <c r="L668" s="0" t="s">
        <v>7340</v>
      </c>
      <c r="M668" s="0" t="s">
        <v>7661</v>
      </c>
      <c r="N668" s="0" t="s">
        <v>7342</v>
      </c>
      <c r="P668" s="0" t="s">
        <v>236</v>
      </c>
      <c r="Q668" s="0" t="s">
        <v>7354</v>
      </c>
      <c r="R668" s="0" t="s">
        <v>7343</v>
      </c>
      <c r="S668" s="0" t="s">
        <v>7344</v>
      </c>
      <c r="T668" s="0" t="s">
        <v>228</v>
      </c>
      <c r="V668" s="0" t="s">
        <v>73</v>
      </c>
      <c r="W668" s="0" t="s">
        <v>77</v>
      </c>
      <c r="X668" s="0" t="s">
        <v>7355</v>
      </c>
      <c r="Y668" s="0" t="s">
        <v>7356</v>
      </c>
      <c r="Z668" s="0" t="s">
        <v>7357</v>
      </c>
      <c r="AA668" s="0" t="s">
        <v>7358</v>
      </c>
      <c r="AB668" s="0" t="s">
        <v>237</v>
      </c>
      <c r="AC668" s="0" t="s">
        <v>7349</v>
      </c>
      <c r="AD668" s="0" t="s">
        <v>7755</v>
      </c>
      <c r="AE668" s="0" t="s">
        <v>7360</v>
      </c>
      <c r="AF668" s="0" t="s">
        <v>7361</v>
      </c>
      <c r="AG668" s="0" t="s">
        <v>230</v>
      </c>
    </row>
    <row r="669" customFormat="false" ht="15" hidden="false" customHeight="false" outlineLevel="0" collapsed="false">
      <c r="A669" s="0" t="s">
        <v>7336</v>
      </c>
      <c r="B669" s="0" t="s">
        <v>2595</v>
      </c>
      <c r="C669" s="0" t="s">
        <v>2596</v>
      </c>
      <c r="D669" s="0" t="s">
        <v>227</v>
      </c>
      <c r="E669" s="0" t="s">
        <v>2597</v>
      </c>
      <c r="F669" s="0" t="s">
        <v>2574</v>
      </c>
      <c r="G669" s="0" t="s">
        <v>172</v>
      </c>
      <c r="H669" s="0" t="s">
        <v>7799</v>
      </c>
      <c r="I669" s="0" t="s">
        <v>7338</v>
      </c>
      <c r="J669" s="0" t="s">
        <v>1602</v>
      </c>
      <c r="K669" s="0" t="s">
        <v>7339</v>
      </c>
      <c r="L669" s="0" t="s">
        <v>7340</v>
      </c>
      <c r="M669" s="0" t="s">
        <v>7661</v>
      </c>
      <c r="N669" s="0" t="s">
        <v>7342</v>
      </c>
      <c r="P669" s="0" t="s">
        <v>236</v>
      </c>
      <c r="Q669" s="0" t="s">
        <v>7354</v>
      </c>
      <c r="R669" s="0" t="s">
        <v>7343</v>
      </c>
      <c r="S669" s="0" t="s">
        <v>7344</v>
      </c>
      <c r="T669" s="0" t="s">
        <v>228</v>
      </c>
      <c r="V669" s="0" t="s">
        <v>73</v>
      </c>
      <c r="W669" s="0" t="s">
        <v>77</v>
      </c>
      <c r="X669" s="0" t="s">
        <v>7355</v>
      </c>
      <c r="Y669" s="0" t="s">
        <v>7356</v>
      </c>
      <c r="Z669" s="0" t="s">
        <v>7357</v>
      </c>
      <c r="AA669" s="0" t="s">
        <v>7358</v>
      </c>
      <c r="AB669" s="0" t="s">
        <v>237</v>
      </c>
      <c r="AC669" s="0" t="s">
        <v>7349</v>
      </c>
      <c r="AD669" s="0" t="s">
        <v>7755</v>
      </c>
      <c r="AE669" s="0" t="s">
        <v>7360</v>
      </c>
      <c r="AF669" s="0" t="s">
        <v>7361</v>
      </c>
      <c r="AG669" s="0" t="s">
        <v>230</v>
      </c>
    </row>
    <row r="670" customFormat="false" ht="15" hidden="false" customHeight="false" outlineLevel="0" collapsed="false">
      <c r="A670" s="0" t="s">
        <v>7336</v>
      </c>
      <c r="B670" s="0" t="s">
        <v>2598</v>
      </c>
      <c r="C670" s="0" t="s">
        <v>2599</v>
      </c>
      <c r="D670" s="0" t="s">
        <v>227</v>
      </c>
      <c r="E670" s="0" t="s">
        <v>2600</v>
      </c>
      <c r="F670" s="0" t="s">
        <v>2587</v>
      </c>
      <c r="G670" s="0" t="s">
        <v>172</v>
      </c>
      <c r="H670" s="0" t="s">
        <v>7800</v>
      </c>
      <c r="I670" s="0" t="s">
        <v>7338</v>
      </c>
      <c r="J670" s="0" t="s">
        <v>1602</v>
      </c>
      <c r="K670" s="0" t="s">
        <v>7339</v>
      </c>
      <c r="L670" s="0" t="s">
        <v>7340</v>
      </c>
      <c r="M670" s="0" t="s">
        <v>7661</v>
      </c>
      <c r="N670" s="0" t="s">
        <v>7342</v>
      </c>
      <c r="P670" s="0" t="s">
        <v>236</v>
      </c>
      <c r="Q670" s="0" t="s">
        <v>7354</v>
      </c>
      <c r="R670" s="0" t="s">
        <v>7343</v>
      </c>
      <c r="S670" s="0" t="s">
        <v>7344</v>
      </c>
      <c r="T670" s="0" t="s">
        <v>228</v>
      </c>
      <c r="V670" s="0" t="s">
        <v>73</v>
      </c>
      <c r="W670" s="0" t="s">
        <v>80</v>
      </c>
      <c r="X670" s="0" t="s">
        <v>7355</v>
      </c>
      <c r="Y670" s="0" t="s">
        <v>7356</v>
      </c>
      <c r="Z670" s="0" t="s">
        <v>7357</v>
      </c>
      <c r="AA670" s="0" t="s">
        <v>7358</v>
      </c>
      <c r="AB670" s="0" t="s">
        <v>237</v>
      </c>
      <c r="AC670" s="0" t="s">
        <v>7349</v>
      </c>
      <c r="AD670" s="0" t="s">
        <v>7755</v>
      </c>
      <c r="AE670" s="0" t="s">
        <v>7360</v>
      </c>
      <c r="AF670" s="0" t="s">
        <v>7361</v>
      </c>
      <c r="AG670" s="0" t="s">
        <v>230</v>
      </c>
    </row>
    <row r="671" customFormat="false" ht="15" hidden="false" customHeight="false" outlineLevel="0" collapsed="false">
      <c r="A671" s="0" t="s">
        <v>7336</v>
      </c>
      <c r="B671" s="0" t="s">
        <v>2601</v>
      </c>
      <c r="C671" s="0" t="s">
        <v>2602</v>
      </c>
      <c r="D671" s="0" t="s">
        <v>227</v>
      </c>
      <c r="E671" s="0" t="s">
        <v>2603</v>
      </c>
      <c r="F671" s="0" t="s">
        <v>2591</v>
      </c>
      <c r="G671" s="0" t="s">
        <v>172</v>
      </c>
      <c r="H671" s="0" t="s">
        <v>7801</v>
      </c>
      <c r="I671" s="0" t="s">
        <v>7338</v>
      </c>
      <c r="J671" s="0" t="s">
        <v>1602</v>
      </c>
      <c r="K671" s="0" t="s">
        <v>7339</v>
      </c>
      <c r="L671" s="0" t="s">
        <v>7340</v>
      </c>
      <c r="M671" s="0" t="s">
        <v>7661</v>
      </c>
      <c r="N671" s="0" t="s">
        <v>7342</v>
      </c>
      <c r="P671" s="0" t="s">
        <v>236</v>
      </c>
      <c r="Q671" s="0" t="s">
        <v>7354</v>
      </c>
      <c r="R671" s="0" t="s">
        <v>7343</v>
      </c>
      <c r="S671" s="0" t="s">
        <v>7344</v>
      </c>
      <c r="T671" s="0" t="s">
        <v>228</v>
      </c>
      <c r="V671" s="0" t="s">
        <v>73</v>
      </c>
      <c r="W671" s="0" t="s">
        <v>80</v>
      </c>
      <c r="X671" s="0" t="s">
        <v>7355</v>
      </c>
      <c r="Y671" s="0" t="s">
        <v>7356</v>
      </c>
      <c r="Z671" s="0" t="s">
        <v>7357</v>
      </c>
      <c r="AA671" s="0" t="s">
        <v>7358</v>
      </c>
      <c r="AB671" s="0" t="s">
        <v>237</v>
      </c>
      <c r="AC671" s="0" t="s">
        <v>7349</v>
      </c>
      <c r="AD671" s="0" t="s">
        <v>7755</v>
      </c>
      <c r="AE671" s="0" t="s">
        <v>7360</v>
      </c>
      <c r="AF671" s="0" t="s">
        <v>7361</v>
      </c>
      <c r="AG671" s="0" t="s">
        <v>230</v>
      </c>
    </row>
    <row r="672" customFormat="false" ht="15" hidden="false" customHeight="false" outlineLevel="0" collapsed="false">
      <c r="A672" s="0" t="s">
        <v>7336</v>
      </c>
      <c r="B672" s="0" t="s">
        <v>2604</v>
      </c>
      <c r="C672" s="0" t="s">
        <v>2605</v>
      </c>
      <c r="D672" s="0" t="s">
        <v>227</v>
      </c>
      <c r="E672" s="0" t="s">
        <v>2606</v>
      </c>
      <c r="F672" s="0" t="s">
        <v>2607</v>
      </c>
      <c r="G672" s="0" t="s">
        <v>184</v>
      </c>
      <c r="H672" s="0" t="s">
        <v>7802</v>
      </c>
      <c r="I672" s="0" t="s">
        <v>7338</v>
      </c>
      <c r="J672" s="0" t="s">
        <v>1602</v>
      </c>
      <c r="K672" s="0" t="s">
        <v>7339</v>
      </c>
      <c r="L672" s="0" t="s">
        <v>7340</v>
      </c>
      <c r="M672" s="0" t="s">
        <v>7661</v>
      </c>
      <c r="N672" s="0" t="s">
        <v>7342</v>
      </c>
      <c r="P672" s="0" t="s">
        <v>236</v>
      </c>
      <c r="Q672" s="0" t="s">
        <v>7354</v>
      </c>
      <c r="R672" s="0" t="s">
        <v>7343</v>
      </c>
      <c r="S672" s="0" t="s">
        <v>7344</v>
      </c>
      <c r="T672" s="0" t="s">
        <v>228</v>
      </c>
      <c r="V672" s="0" t="s">
        <v>73</v>
      </c>
      <c r="W672" s="0" t="s">
        <v>77</v>
      </c>
      <c r="X672" s="0" t="s">
        <v>7355</v>
      </c>
      <c r="Y672" s="0" t="s">
        <v>7356</v>
      </c>
      <c r="Z672" s="0" t="s">
        <v>7357</v>
      </c>
      <c r="AA672" s="0" t="s">
        <v>7358</v>
      </c>
      <c r="AB672" s="0" t="s">
        <v>237</v>
      </c>
      <c r="AC672" s="0" t="s">
        <v>7349</v>
      </c>
      <c r="AD672" s="0" t="s">
        <v>7755</v>
      </c>
      <c r="AE672" s="0" t="s">
        <v>7360</v>
      </c>
      <c r="AF672" s="0" t="s">
        <v>7361</v>
      </c>
      <c r="AG672" s="0" t="s">
        <v>230</v>
      </c>
    </row>
    <row r="673" customFormat="false" ht="15" hidden="false" customHeight="false" outlineLevel="0" collapsed="false">
      <c r="A673" s="0" t="s">
        <v>7336</v>
      </c>
      <c r="B673" s="0" t="s">
        <v>2608</v>
      </c>
      <c r="C673" s="0" t="s">
        <v>2609</v>
      </c>
      <c r="D673" s="0" t="s">
        <v>227</v>
      </c>
      <c r="E673" s="0" t="s">
        <v>2610</v>
      </c>
      <c r="F673" s="0" t="s">
        <v>2611</v>
      </c>
      <c r="G673" s="0" t="s">
        <v>184</v>
      </c>
      <c r="H673" s="0" t="s">
        <v>7803</v>
      </c>
      <c r="I673" s="0" t="s">
        <v>7338</v>
      </c>
      <c r="J673" s="0" t="s">
        <v>1602</v>
      </c>
      <c r="K673" s="0" t="s">
        <v>7339</v>
      </c>
      <c r="L673" s="0" t="s">
        <v>7340</v>
      </c>
      <c r="M673" s="0" t="s">
        <v>7661</v>
      </c>
      <c r="N673" s="0" t="s">
        <v>7342</v>
      </c>
      <c r="P673" s="0" t="s">
        <v>236</v>
      </c>
      <c r="Q673" s="0" t="s">
        <v>7354</v>
      </c>
      <c r="R673" s="0" t="s">
        <v>7343</v>
      </c>
      <c r="S673" s="0" t="s">
        <v>7344</v>
      </c>
      <c r="T673" s="0" t="s">
        <v>228</v>
      </c>
      <c r="V673" s="0" t="s">
        <v>73</v>
      </c>
      <c r="W673" s="0" t="s">
        <v>77</v>
      </c>
      <c r="X673" s="0" t="s">
        <v>7355</v>
      </c>
      <c r="Y673" s="0" t="s">
        <v>7356</v>
      </c>
      <c r="Z673" s="0" t="s">
        <v>7357</v>
      </c>
      <c r="AA673" s="0" t="s">
        <v>7358</v>
      </c>
      <c r="AB673" s="0" t="s">
        <v>237</v>
      </c>
      <c r="AC673" s="0" t="s">
        <v>7349</v>
      </c>
      <c r="AD673" s="0" t="s">
        <v>7755</v>
      </c>
      <c r="AE673" s="0" t="s">
        <v>7360</v>
      </c>
      <c r="AF673" s="0" t="s">
        <v>7361</v>
      </c>
      <c r="AG673" s="0" t="s">
        <v>230</v>
      </c>
    </row>
    <row r="674" customFormat="false" ht="15" hidden="false" customHeight="false" outlineLevel="0" collapsed="false">
      <c r="A674" s="0" t="s">
        <v>7336</v>
      </c>
      <c r="B674" s="0" t="s">
        <v>2612</v>
      </c>
      <c r="C674" s="0" t="s">
        <v>2613</v>
      </c>
      <c r="D674" s="0" t="s">
        <v>227</v>
      </c>
      <c r="E674" s="0" t="s">
        <v>2614</v>
      </c>
      <c r="F674" s="0" t="s">
        <v>2615</v>
      </c>
      <c r="G674" s="0" t="s">
        <v>184</v>
      </c>
      <c r="H674" s="0" t="s">
        <v>7804</v>
      </c>
      <c r="I674" s="0" t="s">
        <v>7338</v>
      </c>
      <c r="J674" s="0" t="s">
        <v>1602</v>
      </c>
      <c r="K674" s="0" t="s">
        <v>7339</v>
      </c>
      <c r="L674" s="0" t="s">
        <v>7340</v>
      </c>
      <c r="M674" s="0" t="s">
        <v>7661</v>
      </c>
      <c r="N674" s="0" t="s">
        <v>7342</v>
      </c>
      <c r="P674" s="0" t="s">
        <v>236</v>
      </c>
      <c r="Q674" s="0" t="s">
        <v>7354</v>
      </c>
      <c r="R674" s="0" t="s">
        <v>7343</v>
      </c>
      <c r="S674" s="0" t="s">
        <v>7344</v>
      </c>
      <c r="T674" s="0" t="s">
        <v>228</v>
      </c>
      <c r="V674" s="0" t="s">
        <v>73</v>
      </c>
      <c r="W674" s="0" t="s">
        <v>77</v>
      </c>
      <c r="X674" s="0" t="s">
        <v>7355</v>
      </c>
      <c r="Y674" s="0" t="s">
        <v>7356</v>
      </c>
      <c r="Z674" s="0" t="s">
        <v>7357</v>
      </c>
      <c r="AA674" s="0" t="s">
        <v>7358</v>
      </c>
      <c r="AB674" s="0" t="s">
        <v>237</v>
      </c>
      <c r="AC674" s="0" t="s">
        <v>7349</v>
      </c>
      <c r="AD674" s="0" t="s">
        <v>7755</v>
      </c>
      <c r="AE674" s="0" t="s">
        <v>7360</v>
      </c>
      <c r="AF674" s="0" t="s">
        <v>7361</v>
      </c>
      <c r="AG674" s="0" t="s">
        <v>230</v>
      </c>
    </row>
    <row r="675" customFormat="false" ht="15" hidden="false" customHeight="false" outlineLevel="0" collapsed="false">
      <c r="A675" s="0" t="s">
        <v>7336</v>
      </c>
      <c r="B675" s="0" t="s">
        <v>2616</v>
      </c>
      <c r="C675" s="0" t="s">
        <v>2617</v>
      </c>
      <c r="D675" s="0" t="s">
        <v>227</v>
      </c>
      <c r="E675" s="0" t="s">
        <v>2618</v>
      </c>
      <c r="F675" s="0" t="s">
        <v>2619</v>
      </c>
      <c r="G675" s="0" t="s">
        <v>184</v>
      </c>
      <c r="H675" s="0" t="s">
        <v>7805</v>
      </c>
      <c r="I675" s="0" t="s">
        <v>7338</v>
      </c>
      <c r="J675" s="0" t="s">
        <v>1602</v>
      </c>
      <c r="K675" s="0" t="s">
        <v>7339</v>
      </c>
      <c r="L675" s="0" t="s">
        <v>7340</v>
      </c>
      <c r="M675" s="0" t="s">
        <v>7661</v>
      </c>
      <c r="N675" s="0" t="s">
        <v>7342</v>
      </c>
      <c r="P675" s="0" t="s">
        <v>236</v>
      </c>
      <c r="Q675" s="0" t="s">
        <v>7354</v>
      </c>
      <c r="R675" s="0" t="s">
        <v>7343</v>
      </c>
      <c r="S675" s="0" t="s">
        <v>7344</v>
      </c>
      <c r="T675" s="0" t="s">
        <v>228</v>
      </c>
      <c r="V675" s="0" t="s">
        <v>73</v>
      </c>
      <c r="W675" s="0" t="s">
        <v>77</v>
      </c>
      <c r="X675" s="0" t="s">
        <v>7355</v>
      </c>
      <c r="Y675" s="0" t="s">
        <v>7356</v>
      </c>
      <c r="Z675" s="0" t="s">
        <v>7357</v>
      </c>
      <c r="AA675" s="0" t="s">
        <v>7358</v>
      </c>
      <c r="AB675" s="0" t="s">
        <v>237</v>
      </c>
      <c r="AC675" s="0" t="s">
        <v>7349</v>
      </c>
      <c r="AD675" s="0" t="s">
        <v>7755</v>
      </c>
      <c r="AE675" s="0" t="s">
        <v>7360</v>
      </c>
      <c r="AF675" s="0" t="s">
        <v>7361</v>
      </c>
      <c r="AG675" s="0" t="s">
        <v>230</v>
      </c>
    </row>
    <row r="676" customFormat="false" ht="15" hidden="false" customHeight="false" outlineLevel="0" collapsed="false">
      <c r="A676" s="0" t="s">
        <v>7336</v>
      </c>
      <c r="B676" s="0" t="s">
        <v>2620</v>
      </c>
      <c r="C676" s="0" t="s">
        <v>2621</v>
      </c>
      <c r="D676" s="0" t="s">
        <v>227</v>
      </c>
      <c r="E676" s="0" t="s">
        <v>2622</v>
      </c>
      <c r="F676" s="0" t="s">
        <v>2623</v>
      </c>
      <c r="G676" s="0" t="s">
        <v>184</v>
      </c>
      <c r="H676" s="0" t="s">
        <v>7806</v>
      </c>
      <c r="I676" s="0" t="s">
        <v>7338</v>
      </c>
      <c r="J676" s="0" t="s">
        <v>1602</v>
      </c>
      <c r="K676" s="0" t="s">
        <v>7339</v>
      </c>
      <c r="L676" s="0" t="s">
        <v>7340</v>
      </c>
      <c r="M676" s="0" t="s">
        <v>7661</v>
      </c>
      <c r="N676" s="0" t="s">
        <v>7342</v>
      </c>
      <c r="P676" s="0" t="s">
        <v>236</v>
      </c>
      <c r="Q676" s="0" t="s">
        <v>7354</v>
      </c>
      <c r="R676" s="0" t="s">
        <v>7343</v>
      </c>
      <c r="S676" s="0" t="s">
        <v>7344</v>
      </c>
      <c r="T676" s="0" t="s">
        <v>228</v>
      </c>
      <c r="V676" s="0" t="s">
        <v>73</v>
      </c>
      <c r="W676" s="0" t="s">
        <v>77</v>
      </c>
      <c r="X676" s="0" t="s">
        <v>7355</v>
      </c>
      <c r="Y676" s="0" t="s">
        <v>7356</v>
      </c>
      <c r="Z676" s="0" t="s">
        <v>7357</v>
      </c>
      <c r="AA676" s="0" t="s">
        <v>7358</v>
      </c>
      <c r="AB676" s="0" t="s">
        <v>237</v>
      </c>
      <c r="AC676" s="0" t="s">
        <v>7349</v>
      </c>
      <c r="AD676" s="0" t="s">
        <v>7755</v>
      </c>
      <c r="AE676" s="0" t="s">
        <v>7360</v>
      </c>
      <c r="AF676" s="0" t="s">
        <v>7361</v>
      </c>
      <c r="AG676" s="0" t="s">
        <v>230</v>
      </c>
    </row>
    <row r="677" customFormat="false" ht="15" hidden="false" customHeight="false" outlineLevel="0" collapsed="false">
      <c r="A677" s="0" t="s">
        <v>7336</v>
      </c>
      <c r="B677" s="0" t="s">
        <v>2624</v>
      </c>
      <c r="C677" s="0" t="s">
        <v>2625</v>
      </c>
      <c r="D677" s="0" t="s">
        <v>227</v>
      </c>
      <c r="E677" s="0" t="s">
        <v>2626</v>
      </c>
      <c r="F677" s="0" t="s">
        <v>2611</v>
      </c>
      <c r="G677" s="0" t="s">
        <v>184</v>
      </c>
      <c r="H677" s="0" t="s">
        <v>7803</v>
      </c>
      <c r="I677" s="0" t="s">
        <v>7338</v>
      </c>
      <c r="J677" s="0" t="s">
        <v>1602</v>
      </c>
      <c r="K677" s="0" t="s">
        <v>7339</v>
      </c>
      <c r="L677" s="0" t="s">
        <v>7340</v>
      </c>
      <c r="M677" s="0" t="s">
        <v>7661</v>
      </c>
      <c r="N677" s="0" t="s">
        <v>7342</v>
      </c>
      <c r="P677" s="0" t="s">
        <v>236</v>
      </c>
      <c r="Q677" s="0" t="s">
        <v>7354</v>
      </c>
      <c r="R677" s="0" t="s">
        <v>7343</v>
      </c>
      <c r="S677" s="0" t="s">
        <v>7344</v>
      </c>
      <c r="T677" s="0" t="s">
        <v>228</v>
      </c>
      <c r="V677" s="0" t="s">
        <v>73</v>
      </c>
      <c r="W677" s="0" t="s">
        <v>77</v>
      </c>
      <c r="X677" s="0" t="s">
        <v>7355</v>
      </c>
      <c r="Y677" s="0" t="s">
        <v>7356</v>
      </c>
      <c r="Z677" s="0" t="s">
        <v>7357</v>
      </c>
      <c r="AA677" s="0" t="s">
        <v>7358</v>
      </c>
      <c r="AB677" s="0" t="s">
        <v>237</v>
      </c>
      <c r="AC677" s="0" t="s">
        <v>7349</v>
      </c>
      <c r="AD677" s="0" t="s">
        <v>7755</v>
      </c>
      <c r="AE677" s="0" t="s">
        <v>7360</v>
      </c>
      <c r="AF677" s="0" t="s">
        <v>7361</v>
      </c>
      <c r="AG677" s="0" t="s">
        <v>230</v>
      </c>
    </row>
    <row r="678" customFormat="false" ht="15" hidden="false" customHeight="false" outlineLevel="0" collapsed="false">
      <c r="A678" s="0" t="s">
        <v>7336</v>
      </c>
      <c r="B678" s="0" t="s">
        <v>2627</v>
      </c>
      <c r="C678" s="0" t="s">
        <v>2628</v>
      </c>
      <c r="D678" s="0" t="s">
        <v>2431</v>
      </c>
      <c r="E678" s="0" t="s">
        <v>2629</v>
      </c>
      <c r="F678" s="0" t="s">
        <v>2630</v>
      </c>
      <c r="G678" s="0" t="s">
        <v>111</v>
      </c>
      <c r="H678" s="0" t="s">
        <v>7807</v>
      </c>
      <c r="I678" s="0" t="s">
        <v>7338</v>
      </c>
      <c r="J678" s="0" t="s">
        <v>1602</v>
      </c>
      <c r="K678" s="0" t="s">
        <v>7339</v>
      </c>
      <c r="L678" s="0" t="s">
        <v>7340</v>
      </c>
      <c r="M678" s="0" t="s">
        <v>7777</v>
      </c>
      <c r="N678" s="0" t="s">
        <v>7342</v>
      </c>
      <c r="P678" s="0" t="s">
        <v>229</v>
      </c>
      <c r="R678" s="0" t="s">
        <v>7343</v>
      </c>
      <c r="S678" s="0" t="s">
        <v>7344</v>
      </c>
      <c r="T678" s="0" t="s">
        <v>681</v>
      </c>
      <c r="V678" s="0" t="s">
        <v>34</v>
      </c>
      <c r="W678" s="0" t="s">
        <v>36</v>
      </c>
      <c r="X678" s="0" t="s">
        <v>7345</v>
      </c>
      <c r="Y678" s="0" t="s">
        <v>7495</v>
      </c>
      <c r="Z678" s="0" t="s">
        <v>7496</v>
      </c>
      <c r="AA678" s="0" t="s">
        <v>7497</v>
      </c>
      <c r="AB678" s="0" t="s">
        <v>682</v>
      </c>
      <c r="AC678" s="0" t="s">
        <v>7349</v>
      </c>
      <c r="AD678" s="0" t="s">
        <v>7498</v>
      </c>
      <c r="AE678" s="0" t="s">
        <v>7778</v>
      </c>
      <c r="AF678" s="0" t="s">
        <v>7499</v>
      </c>
      <c r="AG678" s="0" t="s">
        <v>230</v>
      </c>
    </row>
    <row r="679" customFormat="false" ht="15" hidden="false" customHeight="false" outlineLevel="0" collapsed="false">
      <c r="A679" s="0" t="s">
        <v>7336</v>
      </c>
      <c r="B679" s="0" t="s">
        <v>2631</v>
      </c>
      <c r="C679" s="0" t="s">
        <v>2632</v>
      </c>
      <c r="D679" s="0" t="s">
        <v>2431</v>
      </c>
      <c r="E679" s="0" t="s">
        <v>2633</v>
      </c>
      <c r="F679" s="0" t="s">
        <v>2630</v>
      </c>
      <c r="G679" s="0" t="s">
        <v>111</v>
      </c>
      <c r="H679" s="0" t="s">
        <v>7807</v>
      </c>
      <c r="I679" s="0" t="s">
        <v>7338</v>
      </c>
      <c r="J679" s="0" t="s">
        <v>1602</v>
      </c>
      <c r="K679" s="0" t="s">
        <v>7339</v>
      </c>
      <c r="L679" s="0" t="s">
        <v>7340</v>
      </c>
      <c r="M679" s="0" t="s">
        <v>7777</v>
      </c>
      <c r="N679" s="0" t="s">
        <v>7342</v>
      </c>
      <c r="P679" s="0" t="s">
        <v>229</v>
      </c>
      <c r="R679" s="0" t="s">
        <v>7343</v>
      </c>
      <c r="S679" s="0" t="s">
        <v>7344</v>
      </c>
      <c r="T679" s="0" t="s">
        <v>228</v>
      </c>
      <c r="V679" s="0" t="s">
        <v>34</v>
      </c>
      <c r="W679" s="0" t="s">
        <v>38</v>
      </c>
      <c r="X679" s="0" t="s">
        <v>7345</v>
      </c>
      <c r="Y679" s="0" t="s">
        <v>7409</v>
      </c>
      <c r="Z679" s="0" t="s">
        <v>7370</v>
      </c>
      <c r="AA679" s="0" t="s">
        <v>7504</v>
      </c>
      <c r="AB679" s="0" t="s">
        <v>231</v>
      </c>
      <c r="AC679" s="0" t="s">
        <v>7349</v>
      </c>
      <c r="AD679" s="0" t="s">
        <v>7505</v>
      </c>
      <c r="AE679" s="0" t="s">
        <v>301</v>
      </c>
      <c r="AF679" s="0" t="s">
        <v>7374</v>
      </c>
      <c r="AG679" s="0" t="s">
        <v>230</v>
      </c>
    </row>
    <row r="680" customFormat="false" ht="15" hidden="false" customHeight="false" outlineLevel="0" collapsed="false">
      <c r="A680" s="0" t="s">
        <v>7336</v>
      </c>
      <c r="B680" s="0" t="s">
        <v>2634</v>
      </c>
      <c r="C680" s="0" t="s">
        <v>2635</v>
      </c>
      <c r="D680" s="0" t="s">
        <v>2431</v>
      </c>
      <c r="E680" s="0" t="s">
        <v>2636</v>
      </c>
      <c r="F680" s="0" t="s">
        <v>2637</v>
      </c>
      <c r="G680" s="0" t="s">
        <v>111</v>
      </c>
      <c r="H680" s="0" t="s">
        <v>7808</v>
      </c>
      <c r="I680" s="0" t="s">
        <v>7338</v>
      </c>
      <c r="J680" s="0" t="s">
        <v>1602</v>
      </c>
      <c r="K680" s="0" t="s">
        <v>7339</v>
      </c>
      <c r="L680" s="0" t="s">
        <v>7340</v>
      </c>
      <c r="M680" s="0" t="s">
        <v>7777</v>
      </c>
      <c r="N680" s="0" t="s">
        <v>7342</v>
      </c>
      <c r="P680" s="0" t="s">
        <v>229</v>
      </c>
      <c r="R680" s="0" t="s">
        <v>7343</v>
      </c>
      <c r="S680" s="0" t="s">
        <v>7344</v>
      </c>
      <c r="T680" s="0" t="s">
        <v>681</v>
      </c>
      <c r="V680" s="0" t="s">
        <v>34</v>
      </c>
      <c r="W680" s="0" t="s">
        <v>36</v>
      </c>
      <c r="X680" s="0" t="s">
        <v>7345</v>
      </c>
      <c r="Y680" s="0" t="s">
        <v>7495</v>
      </c>
      <c r="Z680" s="0" t="s">
        <v>7496</v>
      </c>
      <c r="AA680" s="0" t="s">
        <v>7497</v>
      </c>
      <c r="AB680" s="0" t="s">
        <v>682</v>
      </c>
      <c r="AC680" s="0" t="s">
        <v>7349</v>
      </c>
      <c r="AD680" s="0" t="s">
        <v>7498</v>
      </c>
      <c r="AE680" s="0" t="s">
        <v>7778</v>
      </c>
      <c r="AF680" s="0" t="s">
        <v>7499</v>
      </c>
      <c r="AG680" s="0" t="s">
        <v>230</v>
      </c>
    </row>
    <row r="681" customFormat="false" ht="15" hidden="false" customHeight="false" outlineLevel="0" collapsed="false">
      <c r="A681" s="0" t="s">
        <v>7336</v>
      </c>
      <c r="B681" s="0" t="s">
        <v>2638</v>
      </c>
      <c r="C681" s="0" t="s">
        <v>2639</v>
      </c>
      <c r="D681" s="0" t="s">
        <v>2431</v>
      </c>
      <c r="E681" s="0" t="s">
        <v>2640</v>
      </c>
      <c r="F681" s="0" t="s">
        <v>2637</v>
      </c>
      <c r="G681" s="0" t="s">
        <v>111</v>
      </c>
      <c r="H681" s="0" t="s">
        <v>7808</v>
      </c>
      <c r="I681" s="0" t="s">
        <v>7338</v>
      </c>
      <c r="J681" s="0" t="s">
        <v>1602</v>
      </c>
      <c r="K681" s="0" t="s">
        <v>7339</v>
      </c>
      <c r="L681" s="0" t="s">
        <v>7340</v>
      </c>
      <c r="M681" s="0" t="s">
        <v>7777</v>
      </c>
      <c r="N681" s="0" t="s">
        <v>7342</v>
      </c>
      <c r="P681" s="0" t="s">
        <v>229</v>
      </c>
      <c r="R681" s="0" t="s">
        <v>7343</v>
      </c>
      <c r="S681" s="0" t="s">
        <v>7344</v>
      </c>
      <c r="T681" s="0" t="s">
        <v>681</v>
      </c>
      <c r="V681" s="0" t="s">
        <v>34</v>
      </c>
      <c r="W681" s="0" t="s">
        <v>36</v>
      </c>
      <c r="X681" s="0" t="s">
        <v>7345</v>
      </c>
      <c r="Y681" s="0" t="s">
        <v>7495</v>
      </c>
      <c r="Z681" s="0" t="s">
        <v>7496</v>
      </c>
      <c r="AA681" s="0" t="s">
        <v>7497</v>
      </c>
      <c r="AB681" s="0" t="s">
        <v>682</v>
      </c>
      <c r="AC681" s="0" t="s">
        <v>7349</v>
      </c>
      <c r="AD681" s="0" t="s">
        <v>7498</v>
      </c>
      <c r="AE681" s="0" t="s">
        <v>7797</v>
      </c>
      <c r="AF681" s="0" t="s">
        <v>7499</v>
      </c>
      <c r="AG681" s="0" t="s">
        <v>230</v>
      </c>
    </row>
    <row r="682" customFormat="false" ht="15" hidden="false" customHeight="false" outlineLevel="0" collapsed="false">
      <c r="A682" s="0" t="s">
        <v>7336</v>
      </c>
      <c r="B682" s="0" t="s">
        <v>2641</v>
      </c>
      <c r="C682" s="0" t="s">
        <v>2642</v>
      </c>
      <c r="D682" s="0" t="s">
        <v>2431</v>
      </c>
      <c r="E682" s="0" t="s">
        <v>2643</v>
      </c>
      <c r="F682" s="0" t="s">
        <v>2637</v>
      </c>
      <c r="G682" s="0" t="s">
        <v>111</v>
      </c>
      <c r="H682" s="0" t="s">
        <v>7808</v>
      </c>
      <c r="I682" s="0" t="s">
        <v>7338</v>
      </c>
      <c r="J682" s="0" t="s">
        <v>1602</v>
      </c>
      <c r="K682" s="0" t="s">
        <v>7339</v>
      </c>
      <c r="L682" s="0" t="s">
        <v>7340</v>
      </c>
      <c r="M682" s="0" t="s">
        <v>7777</v>
      </c>
      <c r="N682" s="0" t="s">
        <v>7342</v>
      </c>
      <c r="P682" s="0" t="s">
        <v>229</v>
      </c>
      <c r="R682" s="0" t="s">
        <v>7343</v>
      </c>
      <c r="S682" s="0" t="s">
        <v>7344</v>
      </c>
      <c r="T682" s="0" t="s">
        <v>228</v>
      </c>
      <c r="V682" s="0" t="s">
        <v>34</v>
      </c>
      <c r="W682" s="0" t="s">
        <v>36</v>
      </c>
      <c r="X682" s="0" t="s">
        <v>7345</v>
      </c>
      <c r="Y682" s="0" t="s">
        <v>7346</v>
      </c>
      <c r="Z682" s="0" t="s">
        <v>7347</v>
      </c>
      <c r="AA682" s="0" t="s">
        <v>7348</v>
      </c>
      <c r="AB682" s="0" t="s">
        <v>231</v>
      </c>
      <c r="AC682" s="0" t="s">
        <v>7349</v>
      </c>
      <c r="AD682" s="0" t="s">
        <v>7350</v>
      </c>
      <c r="AE682" s="0" t="s">
        <v>7779</v>
      </c>
      <c r="AF682" s="0" t="s">
        <v>7352</v>
      </c>
      <c r="AG682" s="0" t="s">
        <v>230</v>
      </c>
    </row>
    <row r="683" customFormat="false" ht="15" hidden="false" customHeight="false" outlineLevel="0" collapsed="false">
      <c r="A683" s="0" t="s">
        <v>7336</v>
      </c>
      <c r="B683" s="0" t="s">
        <v>2644</v>
      </c>
      <c r="C683" s="0" t="s">
        <v>2645</v>
      </c>
      <c r="D683" s="0" t="s">
        <v>2431</v>
      </c>
      <c r="E683" s="0" t="s">
        <v>2646</v>
      </c>
      <c r="F683" s="0" t="s">
        <v>2647</v>
      </c>
      <c r="G683" s="0" t="s">
        <v>111</v>
      </c>
      <c r="H683" s="0" t="s">
        <v>7809</v>
      </c>
      <c r="I683" s="0" t="s">
        <v>7338</v>
      </c>
      <c r="J683" s="0" t="s">
        <v>1602</v>
      </c>
      <c r="K683" s="0" t="s">
        <v>7339</v>
      </c>
      <c r="L683" s="0" t="s">
        <v>7340</v>
      </c>
      <c r="M683" s="0" t="s">
        <v>7777</v>
      </c>
      <c r="N683" s="0" t="s">
        <v>7342</v>
      </c>
      <c r="P683" s="0" t="s">
        <v>229</v>
      </c>
      <c r="R683" s="0" t="s">
        <v>7343</v>
      </c>
      <c r="S683" s="0" t="s">
        <v>7344</v>
      </c>
      <c r="T683" s="0" t="s">
        <v>681</v>
      </c>
      <c r="V683" s="0" t="s">
        <v>34</v>
      </c>
      <c r="W683" s="0" t="s">
        <v>36</v>
      </c>
      <c r="X683" s="0" t="s">
        <v>7345</v>
      </c>
      <c r="Y683" s="0" t="s">
        <v>7495</v>
      </c>
      <c r="Z683" s="0" t="s">
        <v>7496</v>
      </c>
      <c r="AA683" s="0" t="s">
        <v>7497</v>
      </c>
      <c r="AB683" s="0" t="s">
        <v>682</v>
      </c>
      <c r="AC683" s="0" t="s">
        <v>7349</v>
      </c>
      <c r="AD683" s="0" t="s">
        <v>7498</v>
      </c>
      <c r="AE683" s="0" t="s">
        <v>40</v>
      </c>
      <c r="AF683" s="0" t="s">
        <v>7499</v>
      </c>
      <c r="AG683" s="0" t="s">
        <v>230</v>
      </c>
    </row>
    <row r="684" customFormat="false" ht="15" hidden="false" customHeight="false" outlineLevel="0" collapsed="false">
      <c r="A684" s="0" t="s">
        <v>7336</v>
      </c>
      <c r="B684" s="0" t="s">
        <v>2648</v>
      </c>
      <c r="C684" s="0" t="s">
        <v>2649</v>
      </c>
      <c r="D684" s="0" t="s">
        <v>2431</v>
      </c>
      <c r="E684" s="0" t="s">
        <v>2650</v>
      </c>
      <c r="F684" s="0" t="s">
        <v>2647</v>
      </c>
      <c r="G684" s="0" t="s">
        <v>111</v>
      </c>
      <c r="H684" s="0" t="s">
        <v>7809</v>
      </c>
      <c r="I684" s="0" t="s">
        <v>7338</v>
      </c>
      <c r="J684" s="0" t="s">
        <v>1602</v>
      </c>
      <c r="K684" s="0" t="s">
        <v>7339</v>
      </c>
      <c r="L684" s="0" t="s">
        <v>7340</v>
      </c>
      <c r="M684" s="0" t="s">
        <v>7777</v>
      </c>
      <c r="N684" s="0" t="s">
        <v>7342</v>
      </c>
      <c r="P684" s="0" t="s">
        <v>229</v>
      </c>
      <c r="R684" s="0" t="s">
        <v>7343</v>
      </c>
      <c r="S684" s="0" t="s">
        <v>7344</v>
      </c>
      <c r="T684" s="0" t="s">
        <v>681</v>
      </c>
      <c r="V684" s="0" t="s">
        <v>34</v>
      </c>
      <c r="W684" s="0" t="s">
        <v>36</v>
      </c>
      <c r="X684" s="0" t="s">
        <v>7345</v>
      </c>
      <c r="Y684" s="0" t="s">
        <v>7495</v>
      </c>
      <c r="Z684" s="0" t="s">
        <v>7496</v>
      </c>
      <c r="AA684" s="0" t="s">
        <v>7497</v>
      </c>
      <c r="AB684" s="0" t="s">
        <v>682</v>
      </c>
      <c r="AC684" s="0" t="s">
        <v>7349</v>
      </c>
      <c r="AD684" s="0" t="s">
        <v>7498</v>
      </c>
      <c r="AE684" s="0" t="s">
        <v>7810</v>
      </c>
      <c r="AF684" s="0" t="s">
        <v>7499</v>
      </c>
      <c r="AG684" s="0" t="s">
        <v>230</v>
      </c>
    </row>
    <row r="685" customFormat="false" ht="15" hidden="false" customHeight="false" outlineLevel="0" collapsed="false">
      <c r="A685" s="0" t="s">
        <v>7336</v>
      </c>
      <c r="B685" s="0" t="s">
        <v>2651</v>
      </c>
      <c r="C685" s="0" t="s">
        <v>2652</v>
      </c>
      <c r="D685" s="0" t="s">
        <v>2431</v>
      </c>
      <c r="E685" s="0" t="s">
        <v>2653</v>
      </c>
      <c r="F685" s="0" t="s">
        <v>2647</v>
      </c>
      <c r="G685" s="0" t="s">
        <v>111</v>
      </c>
      <c r="H685" s="0" t="s">
        <v>7809</v>
      </c>
      <c r="I685" s="0" t="s">
        <v>7338</v>
      </c>
      <c r="J685" s="0" t="s">
        <v>1602</v>
      </c>
      <c r="K685" s="0" t="s">
        <v>7339</v>
      </c>
      <c r="L685" s="0" t="s">
        <v>7340</v>
      </c>
      <c r="M685" s="0" t="s">
        <v>7777</v>
      </c>
      <c r="N685" s="0" t="s">
        <v>7342</v>
      </c>
      <c r="P685" s="0" t="s">
        <v>229</v>
      </c>
      <c r="R685" s="0" t="s">
        <v>7343</v>
      </c>
      <c r="S685" s="0" t="s">
        <v>7344</v>
      </c>
      <c r="T685" s="0" t="s">
        <v>228</v>
      </c>
      <c r="V685" s="0" t="s">
        <v>34</v>
      </c>
      <c r="W685" s="0" t="s">
        <v>48</v>
      </c>
      <c r="X685" s="0" t="s">
        <v>7345</v>
      </c>
      <c r="Y685" s="0" t="s">
        <v>7346</v>
      </c>
      <c r="Z685" s="0" t="s">
        <v>7347</v>
      </c>
      <c r="AA685" s="0" t="s">
        <v>7348</v>
      </c>
      <c r="AB685" s="0" t="s">
        <v>231</v>
      </c>
      <c r="AC685" s="0" t="s">
        <v>7349</v>
      </c>
      <c r="AD685" s="0" t="s">
        <v>7350</v>
      </c>
      <c r="AE685" s="0" t="s">
        <v>7779</v>
      </c>
      <c r="AF685" s="0" t="s">
        <v>7352</v>
      </c>
      <c r="AG685" s="0" t="s">
        <v>230</v>
      </c>
    </row>
    <row r="686" customFormat="false" ht="15" hidden="false" customHeight="false" outlineLevel="0" collapsed="false">
      <c r="A686" s="0" t="s">
        <v>7336</v>
      </c>
      <c r="B686" s="0" t="s">
        <v>2654</v>
      </c>
      <c r="C686" s="0" t="s">
        <v>2655</v>
      </c>
      <c r="D686" s="0" t="s">
        <v>2431</v>
      </c>
      <c r="E686" s="0" t="s">
        <v>2656</v>
      </c>
      <c r="F686" s="0" t="s">
        <v>2647</v>
      </c>
      <c r="G686" s="0" t="s">
        <v>111</v>
      </c>
      <c r="H686" s="0" t="s">
        <v>7809</v>
      </c>
      <c r="I686" s="0" t="s">
        <v>7338</v>
      </c>
      <c r="J686" s="0" t="s">
        <v>1602</v>
      </c>
      <c r="K686" s="0" t="s">
        <v>7339</v>
      </c>
      <c r="L686" s="0" t="s">
        <v>7340</v>
      </c>
      <c r="M686" s="0" t="s">
        <v>7777</v>
      </c>
      <c r="N686" s="0" t="s">
        <v>7342</v>
      </c>
      <c r="P686" s="0" t="s">
        <v>229</v>
      </c>
      <c r="R686" s="0" t="s">
        <v>7343</v>
      </c>
      <c r="S686" s="0" t="s">
        <v>7344</v>
      </c>
      <c r="T686" s="0" t="s">
        <v>228</v>
      </c>
      <c r="V686" s="0" t="s">
        <v>34</v>
      </c>
      <c r="W686" s="0" t="s">
        <v>36</v>
      </c>
      <c r="X686" s="0" t="s">
        <v>7345</v>
      </c>
      <c r="Y686" s="0" t="s">
        <v>7346</v>
      </c>
      <c r="Z686" s="0" t="s">
        <v>7347</v>
      </c>
      <c r="AA686" s="0" t="s">
        <v>7348</v>
      </c>
      <c r="AB686" s="0" t="s">
        <v>231</v>
      </c>
      <c r="AC686" s="0" t="s">
        <v>7349</v>
      </c>
      <c r="AD686" s="0" t="s">
        <v>7350</v>
      </c>
      <c r="AE686" s="0" t="s">
        <v>57</v>
      </c>
      <c r="AF686" s="0" t="s">
        <v>7352</v>
      </c>
      <c r="AG686" s="0" t="s">
        <v>230</v>
      </c>
    </row>
    <row r="687" customFormat="false" ht="15" hidden="false" customHeight="false" outlineLevel="0" collapsed="false">
      <c r="A687" s="0" t="s">
        <v>7336</v>
      </c>
      <c r="B687" s="0" t="s">
        <v>2657</v>
      </c>
      <c r="C687" s="0" t="s">
        <v>2658</v>
      </c>
      <c r="D687" s="0" t="s">
        <v>2431</v>
      </c>
      <c r="E687" s="0" t="s">
        <v>2659</v>
      </c>
      <c r="F687" s="0" t="s">
        <v>2630</v>
      </c>
      <c r="G687" s="0" t="s">
        <v>111</v>
      </c>
      <c r="H687" s="0" t="s">
        <v>7807</v>
      </c>
      <c r="I687" s="0" t="s">
        <v>7338</v>
      </c>
      <c r="J687" s="0" t="s">
        <v>1602</v>
      </c>
      <c r="K687" s="0" t="s">
        <v>7339</v>
      </c>
      <c r="L687" s="0" t="s">
        <v>7340</v>
      </c>
      <c r="M687" s="0" t="s">
        <v>7777</v>
      </c>
      <c r="N687" s="0" t="s">
        <v>7342</v>
      </c>
      <c r="P687" s="0" t="s">
        <v>229</v>
      </c>
      <c r="R687" s="0" t="s">
        <v>7343</v>
      </c>
      <c r="S687" s="0" t="s">
        <v>7344</v>
      </c>
      <c r="T687" s="0" t="s">
        <v>681</v>
      </c>
      <c r="V687" s="0" t="s">
        <v>34</v>
      </c>
      <c r="W687" s="0" t="s">
        <v>36</v>
      </c>
      <c r="X687" s="0" t="s">
        <v>7345</v>
      </c>
      <c r="Y687" s="0" t="s">
        <v>7495</v>
      </c>
      <c r="Z687" s="0" t="s">
        <v>7496</v>
      </c>
      <c r="AA687" s="0" t="s">
        <v>7497</v>
      </c>
      <c r="AB687" s="0" t="s">
        <v>682</v>
      </c>
      <c r="AC687" s="0" t="s">
        <v>7349</v>
      </c>
      <c r="AD687" s="0" t="s">
        <v>7498</v>
      </c>
      <c r="AE687" s="0" t="s">
        <v>7778</v>
      </c>
      <c r="AF687" s="0" t="s">
        <v>7499</v>
      </c>
      <c r="AG687" s="0" t="s">
        <v>230</v>
      </c>
    </row>
    <row r="688" customFormat="false" ht="15" hidden="false" customHeight="false" outlineLevel="0" collapsed="false">
      <c r="A688" s="0" t="s">
        <v>7336</v>
      </c>
      <c r="B688" s="0" t="s">
        <v>2660</v>
      </c>
      <c r="C688" s="0" t="s">
        <v>2661</v>
      </c>
      <c r="D688" s="0" t="s">
        <v>2431</v>
      </c>
      <c r="E688" s="0" t="s">
        <v>2662</v>
      </c>
      <c r="F688" s="0" t="s">
        <v>2630</v>
      </c>
      <c r="G688" s="0" t="s">
        <v>111</v>
      </c>
      <c r="H688" s="0" t="s">
        <v>7807</v>
      </c>
      <c r="I688" s="0" t="s">
        <v>7338</v>
      </c>
      <c r="J688" s="0" t="s">
        <v>1602</v>
      </c>
      <c r="K688" s="0" t="s">
        <v>7339</v>
      </c>
      <c r="L688" s="0" t="s">
        <v>7340</v>
      </c>
      <c r="M688" s="0" t="s">
        <v>7777</v>
      </c>
      <c r="N688" s="0" t="s">
        <v>7342</v>
      </c>
      <c r="P688" s="0" t="s">
        <v>229</v>
      </c>
      <c r="R688" s="0" t="s">
        <v>7343</v>
      </c>
      <c r="S688" s="0" t="s">
        <v>7344</v>
      </c>
      <c r="T688" s="0" t="s">
        <v>228</v>
      </c>
      <c r="V688" s="0" t="s">
        <v>34</v>
      </c>
      <c r="W688" s="0" t="s">
        <v>48</v>
      </c>
      <c r="X688" s="0" t="s">
        <v>7345</v>
      </c>
      <c r="Y688" s="0" t="s">
        <v>7346</v>
      </c>
      <c r="Z688" s="0" t="s">
        <v>7347</v>
      </c>
      <c r="AA688" s="0" t="s">
        <v>7348</v>
      </c>
      <c r="AB688" s="0" t="s">
        <v>231</v>
      </c>
      <c r="AC688" s="0" t="s">
        <v>7349</v>
      </c>
      <c r="AD688" s="0" t="s">
        <v>7350</v>
      </c>
      <c r="AE688" s="0" t="s">
        <v>7779</v>
      </c>
      <c r="AF688" s="0" t="s">
        <v>7352</v>
      </c>
      <c r="AG688" s="0" t="s">
        <v>230</v>
      </c>
    </row>
    <row r="689" customFormat="false" ht="15" hidden="false" customHeight="false" outlineLevel="0" collapsed="false">
      <c r="A689" s="0" t="s">
        <v>7336</v>
      </c>
      <c r="B689" s="0" t="s">
        <v>2663</v>
      </c>
      <c r="C689" s="0" t="s">
        <v>2664</v>
      </c>
      <c r="D689" s="0" t="s">
        <v>2431</v>
      </c>
      <c r="E689" s="0" t="s">
        <v>2665</v>
      </c>
      <c r="F689" s="0" t="s">
        <v>2630</v>
      </c>
      <c r="G689" s="0" t="s">
        <v>111</v>
      </c>
      <c r="H689" s="0" t="s">
        <v>7807</v>
      </c>
      <c r="I689" s="0" t="s">
        <v>7338</v>
      </c>
      <c r="J689" s="0" t="s">
        <v>1602</v>
      </c>
      <c r="K689" s="0" t="s">
        <v>7339</v>
      </c>
      <c r="L689" s="0" t="s">
        <v>7340</v>
      </c>
      <c r="M689" s="0" t="s">
        <v>7777</v>
      </c>
      <c r="N689" s="0" t="s">
        <v>7342</v>
      </c>
      <c r="P689" s="0" t="s">
        <v>229</v>
      </c>
      <c r="R689" s="0" t="s">
        <v>7343</v>
      </c>
      <c r="S689" s="0" t="s">
        <v>7344</v>
      </c>
      <c r="T689" s="0" t="s">
        <v>681</v>
      </c>
      <c r="V689" s="0" t="s">
        <v>34</v>
      </c>
      <c r="W689" s="0" t="s">
        <v>36</v>
      </c>
      <c r="X689" s="0" t="s">
        <v>7345</v>
      </c>
      <c r="Y689" s="0" t="s">
        <v>7495</v>
      </c>
      <c r="Z689" s="0" t="s">
        <v>7496</v>
      </c>
      <c r="AA689" s="0" t="s">
        <v>7497</v>
      </c>
      <c r="AB689" s="0" t="s">
        <v>682</v>
      </c>
      <c r="AC689" s="0" t="s">
        <v>7349</v>
      </c>
      <c r="AD689" s="0" t="s">
        <v>7498</v>
      </c>
      <c r="AE689" s="0" t="s">
        <v>40</v>
      </c>
      <c r="AF689" s="0" t="s">
        <v>7499</v>
      </c>
      <c r="AG689" s="0" t="s">
        <v>230</v>
      </c>
    </row>
    <row r="690" customFormat="false" ht="15" hidden="false" customHeight="false" outlineLevel="0" collapsed="false">
      <c r="A690" s="0" t="s">
        <v>7336</v>
      </c>
      <c r="B690" s="0" t="s">
        <v>2666</v>
      </c>
      <c r="C690" s="0" t="s">
        <v>2667</v>
      </c>
      <c r="D690" s="0" t="s">
        <v>2431</v>
      </c>
      <c r="E690" s="0" t="s">
        <v>2668</v>
      </c>
      <c r="F690" s="0" t="s">
        <v>2630</v>
      </c>
      <c r="G690" s="0" t="s">
        <v>111</v>
      </c>
      <c r="H690" s="0" t="s">
        <v>7807</v>
      </c>
      <c r="I690" s="0" t="s">
        <v>7338</v>
      </c>
      <c r="J690" s="0" t="s">
        <v>1602</v>
      </c>
      <c r="K690" s="0" t="s">
        <v>7339</v>
      </c>
      <c r="L690" s="0" t="s">
        <v>7340</v>
      </c>
      <c r="M690" s="0" t="s">
        <v>7777</v>
      </c>
      <c r="N690" s="0" t="s">
        <v>7342</v>
      </c>
      <c r="P690" s="0" t="s">
        <v>229</v>
      </c>
      <c r="R690" s="0" t="s">
        <v>7343</v>
      </c>
      <c r="S690" s="0" t="s">
        <v>7344</v>
      </c>
      <c r="T690" s="0" t="s">
        <v>681</v>
      </c>
      <c r="V690" s="0" t="s">
        <v>34</v>
      </c>
      <c r="W690" s="0" t="s">
        <v>36</v>
      </c>
      <c r="X690" s="0" t="s">
        <v>7345</v>
      </c>
      <c r="Y690" s="0" t="s">
        <v>7495</v>
      </c>
      <c r="Z690" s="0" t="s">
        <v>7496</v>
      </c>
      <c r="AA690" s="0" t="s">
        <v>7497</v>
      </c>
      <c r="AB690" s="0" t="s">
        <v>682</v>
      </c>
      <c r="AC690" s="0" t="s">
        <v>7349</v>
      </c>
      <c r="AD690" s="0" t="s">
        <v>7498</v>
      </c>
      <c r="AE690" s="0" t="s">
        <v>7810</v>
      </c>
      <c r="AF690" s="0" t="s">
        <v>7499</v>
      </c>
      <c r="AG690" s="0" t="s">
        <v>230</v>
      </c>
    </row>
    <row r="691" customFormat="false" ht="15" hidden="false" customHeight="false" outlineLevel="0" collapsed="false">
      <c r="A691" s="0" t="s">
        <v>7336</v>
      </c>
      <c r="B691" s="0" t="s">
        <v>2669</v>
      </c>
      <c r="C691" s="0" t="s">
        <v>2670</v>
      </c>
      <c r="D691" s="0" t="s">
        <v>2431</v>
      </c>
      <c r="E691" s="0" t="s">
        <v>2671</v>
      </c>
      <c r="F691" s="0" t="s">
        <v>2630</v>
      </c>
      <c r="G691" s="0" t="s">
        <v>111</v>
      </c>
      <c r="H691" s="0" t="s">
        <v>7807</v>
      </c>
      <c r="I691" s="0" t="s">
        <v>7338</v>
      </c>
      <c r="J691" s="0" t="s">
        <v>1602</v>
      </c>
      <c r="K691" s="0" t="s">
        <v>7339</v>
      </c>
      <c r="L691" s="0" t="s">
        <v>7340</v>
      </c>
      <c r="M691" s="0" t="s">
        <v>7777</v>
      </c>
      <c r="N691" s="0" t="s">
        <v>7342</v>
      </c>
      <c r="P691" s="0" t="s">
        <v>229</v>
      </c>
      <c r="R691" s="0" t="s">
        <v>7343</v>
      </c>
      <c r="S691" s="0" t="s">
        <v>7344</v>
      </c>
      <c r="T691" s="0" t="s">
        <v>228</v>
      </c>
      <c r="V691" s="0" t="s">
        <v>34</v>
      </c>
      <c r="W691" s="0" t="s">
        <v>48</v>
      </c>
      <c r="X691" s="0" t="s">
        <v>7345</v>
      </c>
      <c r="Y691" s="0" t="s">
        <v>7409</v>
      </c>
      <c r="Z691" s="0" t="s">
        <v>7370</v>
      </c>
      <c r="AA691" s="0" t="s">
        <v>7504</v>
      </c>
      <c r="AB691" s="0" t="s">
        <v>231</v>
      </c>
      <c r="AC691" s="0" t="s">
        <v>7349</v>
      </c>
      <c r="AD691" s="0" t="s">
        <v>7505</v>
      </c>
      <c r="AE691" s="0" t="s">
        <v>7779</v>
      </c>
      <c r="AF691" s="0" t="s">
        <v>7374</v>
      </c>
      <c r="AG691" s="0" t="s">
        <v>230</v>
      </c>
    </row>
    <row r="692" customFormat="false" ht="15" hidden="false" customHeight="false" outlineLevel="0" collapsed="false">
      <c r="A692" s="0" t="s">
        <v>7336</v>
      </c>
      <c r="B692" s="0" t="s">
        <v>2672</v>
      </c>
      <c r="C692" s="0" t="s">
        <v>2673</v>
      </c>
      <c r="D692" s="0" t="s">
        <v>2431</v>
      </c>
      <c r="E692" s="0" t="s">
        <v>2674</v>
      </c>
      <c r="F692" s="0" t="s">
        <v>2630</v>
      </c>
      <c r="G692" s="0" t="s">
        <v>111</v>
      </c>
      <c r="H692" s="0" t="s">
        <v>7807</v>
      </c>
      <c r="I692" s="0" t="s">
        <v>7338</v>
      </c>
      <c r="J692" s="0" t="s">
        <v>1602</v>
      </c>
      <c r="K692" s="0" t="s">
        <v>7339</v>
      </c>
      <c r="L692" s="0" t="s">
        <v>7340</v>
      </c>
      <c r="M692" s="0" t="s">
        <v>7777</v>
      </c>
      <c r="N692" s="0" t="s">
        <v>7342</v>
      </c>
      <c r="P692" s="0" t="s">
        <v>229</v>
      </c>
      <c r="R692" s="0" t="s">
        <v>7343</v>
      </c>
      <c r="S692" s="0" t="s">
        <v>7344</v>
      </c>
      <c r="T692" s="0" t="s">
        <v>228</v>
      </c>
      <c r="V692" s="0" t="s">
        <v>34</v>
      </c>
      <c r="W692" s="0" t="s">
        <v>36</v>
      </c>
      <c r="X692" s="0" t="s">
        <v>7345</v>
      </c>
      <c r="Y692" s="0" t="s">
        <v>7409</v>
      </c>
      <c r="Z692" s="0" t="s">
        <v>7370</v>
      </c>
      <c r="AA692" s="0" t="s">
        <v>7504</v>
      </c>
      <c r="AB692" s="0" t="s">
        <v>231</v>
      </c>
      <c r="AC692" s="0" t="s">
        <v>7349</v>
      </c>
      <c r="AD692" s="0" t="s">
        <v>7505</v>
      </c>
      <c r="AE692" s="0" t="s">
        <v>57</v>
      </c>
      <c r="AF692" s="0" t="s">
        <v>7374</v>
      </c>
      <c r="AG692" s="0" t="s">
        <v>230</v>
      </c>
    </row>
    <row r="693" customFormat="false" ht="15" hidden="false" customHeight="false" outlineLevel="0" collapsed="false">
      <c r="A693" s="0" t="s">
        <v>7336</v>
      </c>
      <c r="B693" s="0" t="s">
        <v>2675</v>
      </c>
      <c r="C693" s="0" t="s">
        <v>2676</v>
      </c>
      <c r="D693" s="0" t="s">
        <v>2431</v>
      </c>
      <c r="E693" s="0" t="s">
        <v>2677</v>
      </c>
      <c r="F693" s="0" t="s">
        <v>2678</v>
      </c>
      <c r="G693" s="0" t="s">
        <v>111</v>
      </c>
      <c r="H693" s="0" t="s">
        <v>7811</v>
      </c>
      <c r="I693" s="0" t="s">
        <v>7338</v>
      </c>
      <c r="J693" s="0" t="s">
        <v>1602</v>
      </c>
      <c r="K693" s="0" t="s">
        <v>7339</v>
      </c>
      <c r="L693" s="0" t="s">
        <v>7340</v>
      </c>
      <c r="M693" s="0" t="s">
        <v>7777</v>
      </c>
      <c r="N693" s="0" t="s">
        <v>7342</v>
      </c>
      <c r="P693" s="0" t="s">
        <v>229</v>
      </c>
      <c r="R693" s="0" t="s">
        <v>7343</v>
      </c>
      <c r="S693" s="0" t="s">
        <v>7344</v>
      </c>
      <c r="T693" s="0" t="s">
        <v>681</v>
      </c>
      <c r="V693" s="0" t="s">
        <v>34</v>
      </c>
      <c r="W693" s="0" t="s">
        <v>36</v>
      </c>
      <c r="X693" s="0" t="s">
        <v>7345</v>
      </c>
      <c r="Y693" s="0" t="s">
        <v>7495</v>
      </c>
      <c r="Z693" s="0" t="s">
        <v>7496</v>
      </c>
      <c r="AA693" s="0" t="s">
        <v>7497</v>
      </c>
      <c r="AB693" s="0" t="s">
        <v>682</v>
      </c>
      <c r="AC693" s="0" t="s">
        <v>7349</v>
      </c>
      <c r="AD693" s="0" t="s">
        <v>7498</v>
      </c>
      <c r="AE693" s="0" t="s">
        <v>7778</v>
      </c>
      <c r="AF693" s="0" t="s">
        <v>7499</v>
      </c>
      <c r="AG693" s="0" t="s">
        <v>230</v>
      </c>
    </row>
    <row r="694" customFormat="false" ht="15" hidden="false" customHeight="false" outlineLevel="0" collapsed="false">
      <c r="A694" s="0" t="s">
        <v>7336</v>
      </c>
      <c r="B694" s="0" t="s">
        <v>2679</v>
      </c>
      <c r="C694" s="0" t="s">
        <v>2680</v>
      </c>
      <c r="D694" s="0" t="s">
        <v>2431</v>
      </c>
      <c r="E694" s="0" t="s">
        <v>2681</v>
      </c>
      <c r="F694" s="0" t="s">
        <v>2678</v>
      </c>
      <c r="G694" s="0" t="s">
        <v>111</v>
      </c>
      <c r="H694" s="0" t="s">
        <v>7811</v>
      </c>
      <c r="I694" s="0" t="s">
        <v>7338</v>
      </c>
      <c r="J694" s="0" t="s">
        <v>1602</v>
      </c>
      <c r="K694" s="0" t="s">
        <v>7339</v>
      </c>
      <c r="L694" s="0" t="s">
        <v>7340</v>
      </c>
      <c r="M694" s="0" t="s">
        <v>7777</v>
      </c>
      <c r="N694" s="0" t="s">
        <v>7342</v>
      </c>
      <c r="P694" s="0" t="s">
        <v>229</v>
      </c>
      <c r="R694" s="0" t="s">
        <v>7343</v>
      </c>
      <c r="S694" s="0" t="s">
        <v>7344</v>
      </c>
      <c r="T694" s="0" t="s">
        <v>228</v>
      </c>
      <c r="V694" s="0" t="s">
        <v>34</v>
      </c>
      <c r="W694" s="0" t="s">
        <v>36</v>
      </c>
      <c r="X694" s="0" t="s">
        <v>7345</v>
      </c>
      <c r="Y694" s="0" t="s">
        <v>7409</v>
      </c>
      <c r="Z694" s="0" t="s">
        <v>7370</v>
      </c>
      <c r="AA694" s="0" t="s">
        <v>7504</v>
      </c>
      <c r="AB694" s="0" t="s">
        <v>231</v>
      </c>
      <c r="AC694" s="0" t="s">
        <v>7349</v>
      </c>
      <c r="AD694" s="0" t="s">
        <v>7505</v>
      </c>
      <c r="AE694" s="0" t="s">
        <v>7779</v>
      </c>
      <c r="AF694" s="0" t="s">
        <v>7374</v>
      </c>
      <c r="AG694" s="0" t="s">
        <v>230</v>
      </c>
    </row>
    <row r="695" customFormat="false" ht="15" hidden="false" customHeight="false" outlineLevel="0" collapsed="false">
      <c r="A695" s="0" t="s">
        <v>7336</v>
      </c>
      <c r="B695" s="0" t="s">
        <v>2682</v>
      </c>
      <c r="C695" s="0" t="s">
        <v>2683</v>
      </c>
      <c r="D695" s="0" t="s">
        <v>2431</v>
      </c>
      <c r="E695" s="0" t="s">
        <v>2684</v>
      </c>
      <c r="F695" s="0" t="s">
        <v>2685</v>
      </c>
      <c r="G695" s="0" t="s">
        <v>111</v>
      </c>
      <c r="H695" s="0" t="s">
        <v>7812</v>
      </c>
      <c r="I695" s="0" t="s">
        <v>7338</v>
      </c>
      <c r="J695" s="0" t="s">
        <v>1602</v>
      </c>
      <c r="K695" s="0" t="s">
        <v>7339</v>
      </c>
      <c r="L695" s="0" t="s">
        <v>7340</v>
      </c>
      <c r="M695" s="0" t="s">
        <v>7777</v>
      </c>
      <c r="N695" s="0" t="s">
        <v>7342</v>
      </c>
      <c r="P695" s="0" t="s">
        <v>229</v>
      </c>
      <c r="R695" s="0" t="s">
        <v>7343</v>
      </c>
      <c r="S695" s="0" t="s">
        <v>7344</v>
      </c>
      <c r="T695" s="0" t="s">
        <v>681</v>
      </c>
      <c r="V695" s="0" t="s">
        <v>34</v>
      </c>
      <c r="W695" s="0" t="s">
        <v>36</v>
      </c>
      <c r="X695" s="0" t="s">
        <v>7345</v>
      </c>
      <c r="Y695" s="0" t="s">
        <v>7495</v>
      </c>
      <c r="Z695" s="0" t="s">
        <v>7496</v>
      </c>
      <c r="AA695" s="0" t="s">
        <v>7497</v>
      </c>
      <c r="AB695" s="0" t="s">
        <v>682</v>
      </c>
      <c r="AC695" s="0" t="s">
        <v>7349</v>
      </c>
      <c r="AD695" s="0" t="s">
        <v>7498</v>
      </c>
      <c r="AE695" s="0" t="s">
        <v>7778</v>
      </c>
      <c r="AF695" s="0" t="s">
        <v>7499</v>
      </c>
      <c r="AG695" s="0" t="s">
        <v>230</v>
      </c>
    </row>
    <row r="696" customFormat="false" ht="15" hidden="false" customHeight="false" outlineLevel="0" collapsed="false">
      <c r="A696" s="0" t="s">
        <v>7336</v>
      </c>
      <c r="B696" s="0" t="s">
        <v>2686</v>
      </c>
      <c r="C696" s="0" t="s">
        <v>2687</v>
      </c>
      <c r="D696" s="0" t="s">
        <v>2431</v>
      </c>
      <c r="E696" s="0" t="s">
        <v>2688</v>
      </c>
      <c r="F696" s="0" t="s">
        <v>2685</v>
      </c>
      <c r="G696" s="0" t="s">
        <v>111</v>
      </c>
      <c r="H696" s="0" t="s">
        <v>7812</v>
      </c>
      <c r="I696" s="0" t="s">
        <v>7338</v>
      </c>
      <c r="J696" s="0" t="s">
        <v>1602</v>
      </c>
      <c r="K696" s="0" t="s">
        <v>7339</v>
      </c>
      <c r="L696" s="0" t="s">
        <v>7340</v>
      </c>
      <c r="M696" s="0" t="s">
        <v>7777</v>
      </c>
      <c r="N696" s="0" t="s">
        <v>7342</v>
      </c>
      <c r="P696" s="0" t="s">
        <v>229</v>
      </c>
      <c r="R696" s="0" t="s">
        <v>7343</v>
      </c>
      <c r="S696" s="0" t="s">
        <v>7344</v>
      </c>
      <c r="T696" s="0" t="s">
        <v>681</v>
      </c>
      <c r="V696" s="0" t="s">
        <v>34</v>
      </c>
      <c r="W696" s="0" t="s">
        <v>36</v>
      </c>
      <c r="X696" s="0" t="s">
        <v>7345</v>
      </c>
      <c r="Y696" s="0" t="s">
        <v>7495</v>
      </c>
      <c r="Z696" s="0" t="s">
        <v>7496</v>
      </c>
      <c r="AA696" s="0" t="s">
        <v>7497</v>
      </c>
      <c r="AB696" s="0" t="s">
        <v>682</v>
      </c>
      <c r="AC696" s="0" t="s">
        <v>7349</v>
      </c>
      <c r="AD696" s="0" t="s">
        <v>7498</v>
      </c>
      <c r="AE696" s="0" t="s">
        <v>40</v>
      </c>
      <c r="AF696" s="0" t="s">
        <v>7499</v>
      </c>
      <c r="AG696" s="0" t="s">
        <v>230</v>
      </c>
    </row>
    <row r="697" customFormat="false" ht="15" hidden="false" customHeight="false" outlineLevel="0" collapsed="false">
      <c r="A697" s="0" t="s">
        <v>7336</v>
      </c>
      <c r="B697" s="0" t="s">
        <v>2689</v>
      </c>
      <c r="C697" s="0" t="s">
        <v>2690</v>
      </c>
      <c r="D697" s="0" t="s">
        <v>2431</v>
      </c>
      <c r="E697" s="0" t="s">
        <v>2691</v>
      </c>
      <c r="F697" s="0" t="s">
        <v>2685</v>
      </c>
      <c r="G697" s="0" t="s">
        <v>111</v>
      </c>
      <c r="H697" s="0" t="s">
        <v>7812</v>
      </c>
      <c r="I697" s="0" t="s">
        <v>7338</v>
      </c>
      <c r="J697" s="0" t="s">
        <v>1602</v>
      </c>
      <c r="K697" s="0" t="s">
        <v>7339</v>
      </c>
      <c r="L697" s="0" t="s">
        <v>7340</v>
      </c>
      <c r="M697" s="0" t="s">
        <v>7777</v>
      </c>
      <c r="N697" s="0" t="s">
        <v>7342</v>
      </c>
      <c r="P697" s="0" t="s">
        <v>229</v>
      </c>
      <c r="R697" s="0" t="s">
        <v>7343</v>
      </c>
      <c r="S697" s="0" t="s">
        <v>7344</v>
      </c>
      <c r="T697" s="0" t="s">
        <v>228</v>
      </c>
      <c r="V697" s="0" t="s">
        <v>34</v>
      </c>
      <c r="W697" s="0" t="s">
        <v>36</v>
      </c>
      <c r="X697" s="0" t="s">
        <v>7345</v>
      </c>
      <c r="Y697" s="0" t="s">
        <v>7409</v>
      </c>
      <c r="Z697" s="0" t="s">
        <v>7370</v>
      </c>
      <c r="AA697" s="0" t="s">
        <v>7504</v>
      </c>
      <c r="AB697" s="0" t="s">
        <v>231</v>
      </c>
      <c r="AC697" s="0" t="s">
        <v>7349</v>
      </c>
      <c r="AD697" s="0" t="s">
        <v>7505</v>
      </c>
      <c r="AE697" s="0" t="s">
        <v>7779</v>
      </c>
      <c r="AF697" s="0" t="s">
        <v>7374</v>
      </c>
      <c r="AG697" s="0" t="s">
        <v>230</v>
      </c>
    </row>
    <row r="698" customFormat="false" ht="15" hidden="false" customHeight="false" outlineLevel="0" collapsed="false">
      <c r="A698" s="0" t="s">
        <v>7336</v>
      </c>
      <c r="B698" s="0" t="s">
        <v>2692</v>
      </c>
      <c r="C698" s="0" t="s">
        <v>2693</v>
      </c>
      <c r="D698" s="0" t="s">
        <v>2431</v>
      </c>
      <c r="E698" s="0" t="s">
        <v>2694</v>
      </c>
      <c r="F698" s="0" t="s">
        <v>2695</v>
      </c>
      <c r="G698" s="0" t="s">
        <v>111</v>
      </c>
      <c r="H698" s="0" t="s">
        <v>7813</v>
      </c>
      <c r="I698" s="0" t="s">
        <v>7338</v>
      </c>
      <c r="J698" s="0" t="s">
        <v>1602</v>
      </c>
      <c r="K698" s="0" t="s">
        <v>7339</v>
      </c>
      <c r="L698" s="0" t="s">
        <v>7340</v>
      </c>
      <c r="M698" s="0" t="s">
        <v>7777</v>
      </c>
      <c r="N698" s="0" t="s">
        <v>7342</v>
      </c>
      <c r="P698" s="0" t="s">
        <v>229</v>
      </c>
      <c r="R698" s="0" t="s">
        <v>7343</v>
      </c>
      <c r="S698" s="0" t="s">
        <v>7344</v>
      </c>
      <c r="T698" s="0" t="s">
        <v>681</v>
      </c>
      <c r="V698" s="0" t="s">
        <v>34</v>
      </c>
      <c r="W698" s="0" t="s">
        <v>36</v>
      </c>
      <c r="X698" s="0" t="s">
        <v>7345</v>
      </c>
      <c r="Y698" s="0" t="s">
        <v>7495</v>
      </c>
      <c r="Z698" s="0" t="s">
        <v>7496</v>
      </c>
      <c r="AA698" s="0" t="s">
        <v>7497</v>
      </c>
      <c r="AB698" s="0" t="s">
        <v>682</v>
      </c>
      <c r="AC698" s="0" t="s">
        <v>7349</v>
      </c>
      <c r="AD698" s="0" t="s">
        <v>7498</v>
      </c>
      <c r="AE698" s="0" t="s">
        <v>7778</v>
      </c>
      <c r="AF698" s="0" t="s">
        <v>7499</v>
      </c>
      <c r="AG698" s="0" t="s">
        <v>230</v>
      </c>
    </row>
    <row r="699" customFormat="false" ht="15" hidden="false" customHeight="false" outlineLevel="0" collapsed="false">
      <c r="A699" s="0" t="s">
        <v>7336</v>
      </c>
      <c r="B699" s="0" t="s">
        <v>2696</v>
      </c>
      <c r="C699" s="0" t="s">
        <v>2697</v>
      </c>
      <c r="D699" s="0" t="s">
        <v>2431</v>
      </c>
      <c r="E699" s="0" t="s">
        <v>2698</v>
      </c>
      <c r="F699" s="0" t="s">
        <v>2695</v>
      </c>
      <c r="G699" s="0" t="s">
        <v>111</v>
      </c>
      <c r="H699" s="0" t="s">
        <v>7813</v>
      </c>
      <c r="I699" s="0" t="s">
        <v>7338</v>
      </c>
      <c r="J699" s="0" t="s">
        <v>1602</v>
      </c>
      <c r="K699" s="0" t="s">
        <v>7339</v>
      </c>
      <c r="L699" s="0" t="s">
        <v>7340</v>
      </c>
      <c r="M699" s="0" t="s">
        <v>7777</v>
      </c>
      <c r="N699" s="0" t="s">
        <v>7342</v>
      </c>
      <c r="P699" s="0" t="s">
        <v>229</v>
      </c>
      <c r="R699" s="0" t="s">
        <v>7343</v>
      </c>
      <c r="S699" s="0" t="s">
        <v>7344</v>
      </c>
      <c r="T699" s="0" t="s">
        <v>681</v>
      </c>
      <c r="V699" s="0" t="s">
        <v>34</v>
      </c>
      <c r="W699" s="0" t="s">
        <v>36</v>
      </c>
      <c r="X699" s="0" t="s">
        <v>7345</v>
      </c>
      <c r="Y699" s="0" t="s">
        <v>7495</v>
      </c>
      <c r="Z699" s="0" t="s">
        <v>7496</v>
      </c>
      <c r="AA699" s="0" t="s">
        <v>7497</v>
      </c>
      <c r="AB699" s="0" t="s">
        <v>682</v>
      </c>
      <c r="AC699" s="0" t="s">
        <v>7349</v>
      </c>
      <c r="AD699" s="0" t="s">
        <v>7498</v>
      </c>
      <c r="AE699" s="0" t="s">
        <v>40</v>
      </c>
      <c r="AF699" s="0" t="s">
        <v>7499</v>
      </c>
      <c r="AG699" s="0" t="s">
        <v>230</v>
      </c>
    </row>
    <row r="700" customFormat="false" ht="15" hidden="false" customHeight="false" outlineLevel="0" collapsed="false">
      <c r="A700" s="0" t="s">
        <v>7336</v>
      </c>
      <c r="B700" s="0" t="s">
        <v>2699</v>
      </c>
      <c r="C700" s="0" t="s">
        <v>2700</v>
      </c>
      <c r="D700" s="0" t="s">
        <v>2431</v>
      </c>
      <c r="E700" s="0" t="s">
        <v>2701</v>
      </c>
      <c r="F700" s="0" t="s">
        <v>2695</v>
      </c>
      <c r="G700" s="0" t="s">
        <v>111</v>
      </c>
      <c r="H700" s="0" t="s">
        <v>7813</v>
      </c>
      <c r="I700" s="0" t="s">
        <v>7338</v>
      </c>
      <c r="J700" s="0" t="s">
        <v>1602</v>
      </c>
      <c r="K700" s="0" t="s">
        <v>7339</v>
      </c>
      <c r="L700" s="0" t="s">
        <v>7340</v>
      </c>
      <c r="M700" s="0" t="s">
        <v>7777</v>
      </c>
      <c r="N700" s="0" t="s">
        <v>7342</v>
      </c>
      <c r="P700" s="0" t="s">
        <v>229</v>
      </c>
      <c r="R700" s="0" t="s">
        <v>7343</v>
      </c>
      <c r="S700" s="0" t="s">
        <v>7344</v>
      </c>
      <c r="T700" s="0" t="s">
        <v>228</v>
      </c>
      <c r="V700" s="0" t="s">
        <v>34</v>
      </c>
      <c r="W700" s="0" t="s">
        <v>36</v>
      </c>
      <c r="X700" s="0" t="s">
        <v>7345</v>
      </c>
      <c r="Y700" s="0" t="s">
        <v>7409</v>
      </c>
      <c r="Z700" s="0" t="s">
        <v>7370</v>
      </c>
      <c r="AA700" s="0" t="s">
        <v>7504</v>
      </c>
      <c r="AB700" s="0" t="s">
        <v>231</v>
      </c>
      <c r="AC700" s="0" t="s">
        <v>7349</v>
      </c>
      <c r="AD700" s="0" t="s">
        <v>7505</v>
      </c>
      <c r="AE700" s="0" t="s">
        <v>7779</v>
      </c>
      <c r="AF700" s="0" t="s">
        <v>7374</v>
      </c>
      <c r="AG700" s="0" t="s">
        <v>230</v>
      </c>
    </row>
    <row r="701" customFormat="false" ht="15" hidden="false" customHeight="false" outlineLevel="0" collapsed="false">
      <c r="A701" s="0" t="s">
        <v>7336</v>
      </c>
      <c r="B701" s="0" t="s">
        <v>2702</v>
      </c>
      <c r="C701" s="0" t="s">
        <v>2703</v>
      </c>
      <c r="D701" s="0" t="s">
        <v>227</v>
      </c>
      <c r="E701" s="0" t="s">
        <v>2704</v>
      </c>
      <c r="F701" s="0" t="s">
        <v>1989</v>
      </c>
      <c r="G701" s="0" t="s">
        <v>184</v>
      </c>
      <c r="H701" s="0" t="s">
        <v>7711</v>
      </c>
      <c r="I701" s="0" t="s">
        <v>7338</v>
      </c>
      <c r="J701" s="0" t="s">
        <v>1602</v>
      </c>
      <c r="K701" s="0" t="s">
        <v>7339</v>
      </c>
      <c r="L701" s="0" t="s">
        <v>7340</v>
      </c>
      <c r="M701" s="0" t="s">
        <v>7661</v>
      </c>
      <c r="N701" s="0" t="s">
        <v>7342</v>
      </c>
      <c r="P701" s="0" t="s">
        <v>229</v>
      </c>
      <c r="Q701" s="0" t="s">
        <v>7354</v>
      </c>
      <c r="R701" s="0" t="s">
        <v>7343</v>
      </c>
      <c r="S701" s="0" t="s">
        <v>7344</v>
      </c>
      <c r="T701" s="0" t="s">
        <v>58</v>
      </c>
      <c r="V701" s="0" t="s">
        <v>55</v>
      </c>
      <c r="W701" s="0" t="s">
        <v>57</v>
      </c>
      <c r="X701" s="0" t="s">
        <v>7355</v>
      </c>
      <c r="Y701" s="0" t="s">
        <v>7667</v>
      </c>
      <c r="Z701" s="0" t="s">
        <v>7668</v>
      </c>
      <c r="AA701" s="0" t="s">
        <v>7669</v>
      </c>
      <c r="AB701" s="0" t="s">
        <v>237</v>
      </c>
      <c r="AC701" s="0" t="s">
        <v>7629</v>
      </c>
      <c r="AE701" s="0" t="s">
        <v>7360</v>
      </c>
      <c r="AF701" s="0" t="s">
        <v>7361</v>
      </c>
      <c r="AG701" s="0" t="s">
        <v>230</v>
      </c>
    </row>
    <row r="702" customFormat="false" ht="15" hidden="false" customHeight="false" outlineLevel="0" collapsed="false">
      <c r="A702" s="0" t="s">
        <v>7336</v>
      </c>
      <c r="B702" s="0" t="s">
        <v>2705</v>
      </c>
      <c r="C702" s="0" t="s">
        <v>2706</v>
      </c>
      <c r="D702" s="0" t="s">
        <v>2431</v>
      </c>
      <c r="E702" s="0" t="s">
        <v>2707</v>
      </c>
      <c r="F702" s="0" t="s">
        <v>2708</v>
      </c>
      <c r="G702" s="0" t="s">
        <v>109</v>
      </c>
      <c r="H702" s="0" t="s">
        <v>7814</v>
      </c>
      <c r="I702" s="0" t="s">
        <v>7338</v>
      </c>
      <c r="J702" s="0" t="s">
        <v>1602</v>
      </c>
      <c r="K702" s="0" t="s">
        <v>7339</v>
      </c>
      <c r="L702" s="0" t="s">
        <v>7340</v>
      </c>
      <c r="M702" s="0" t="s">
        <v>7661</v>
      </c>
      <c r="N702" s="0" t="s">
        <v>7342</v>
      </c>
      <c r="P702" s="0" t="s">
        <v>229</v>
      </c>
      <c r="R702" s="0" t="s">
        <v>7343</v>
      </c>
      <c r="S702" s="0" t="s">
        <v>7344</v>
      </c>
      <c r="T702" s="0" t="s">
        <v>681</v>
      </c>
      <c r="V702" s="0" t="s">
        <v>34</v>
      </c>
      <c r="W702" s="0" t="s">
        <v>36</v>
      </c>
      <c r="X702" s="0" t="s">
        <v>7345</v>
      </c>
      <c r="Y702" s="0" t="s">
        <v>7495</v>
      </c>
      <c r="Z702" s="0" t="s">
        <v>7496</v>
      </c>
      <c r="AA702" s="0" t="s">
        <v>7497</v>
      </c>
      <c r="AB702" s="0" t="s">
        <v>682</v>
      </c>
      <c r="AC702" s="0" t="s">
        <v>7349</v>
      </c>
      <c r="AD702" s="0" t="s">
        <v>7498</v>
      </c>
      <c r="AE702" s="0" t="s">
        <v>7815</v>
      </c>
      <c r="AF702" s="0" t="s">
        <v>7499</v>
      </c>
      <c r="AG702" s="0" t="s">
        <v>230</v>
      </c>
    </row>
    <row r="703" customFormat="false" ht="15" hidden="false" customHeight="false" outlineLevel="0" collapsed="false">
      <c r="A703" s="0" t="s">
        <v>7336</v>
      </c>
      <c r="B703" s="0" t="s">
        <v>2709</v>
      </c>
      <c r="C703" s="0" t="s">
        <v>2710</v>
      </c>
      <c r="D703" s="0" t="s">
        <v>2431</v>
      </c>
      <c r="E703" s="0" t="s">
        <v>2711</v>
      </c>
      <c r="F703" s="0" t="s">
        <v>2708</v>
      </c>
      <c r="G703" s="0" t="s">
        <v>109</v>
      </c>
      <c r="H703" s="0" t="s">
        <v>7814</v>
      </c>
      <c r="I703" s="0" t="s">
        <v>7338</v>
      </c>
      <c r="J703" s="0" t="s">
        <v>1602</v>
      </c>
      <c r="K703" s="0" t="s">
        <v>7339</v>
      </c>
      <c r="L703" s="0" t="s">
        <v>7340</v>
      </c>
      <c r="M703" s="0" t="s">
        <v>7661</v>
      </c>
      <c r="N703" s="0" t="s">
        <v>7342</v>
      </c>
      <c r="P703" s="0" t="s">
        <v>229</v>
      </c>
      <c r="R703" s="0" t="s">
        <v>7343</v>
      </c>
      <c r="S703" s="0" t="s">
        <v>7344</v>
      </c>
      <c r="T703" s="0" t="s">
        <v>228</v>
      </c>
      <c r="V703" s="0" t="s">
        <v>34</v>
      </c>
      <c r="W703" s="0" t="s">
        <v>36</v>
      </c>
      <c r="X703" s="0" t="s">
        <v>7345</v>
      </c>
      <c r="Y703" s="0" t="s">
        <v>7346</v>
      </c>
      <c r="Z703" s="0" t="s">
        <v>7347</v>
      </c>
      <c r="AA703" s="0" t="s">
        <v>7348</v>
      </c>
      <c r="AB703" s="0" t="s">
        <v>231</v>
      </c>
      <c r="AC703" s="0" t="s">
        <v>7349</v>
      </c>
      <c r="AD703" s="0" t="s">
        <v>7350</v>
      </c>
      <c r="AE703" s="0" t="s">
        <v>7779</v>
      </c>
      <c r="AF703" s="0" t="s">
        <v>7352</v>
      </c>
      <c r="AG703" s="0" t="s">
        <v>230</v>
      </c>
    </row>
    <row r="704" customFormat="false" ht="15" hidden="false" customHeight="false" outlineLevel="0" collapsed="false">
      <c r="A704" s="0" t="s">
        <v>7336</v>
      </c>
      <c r="B704" s="0" t="s">
        <v>2712</v>
      </c>
      <c r="C704" s="0" t="s">
        <v>2713</v>
      </c>
      <c r="D704" s="0" t="s">
        <v>2431</v>
      </c>
      <c r="E704" s="0" t="s">
        <v>2714</v>
      </c>
      <c r="F704" s="0" t="s">
        <v>2715</v>
      </c>
      <c r="G704" s="0" t="s">
        <v>109</v>
      </c>
      <c r="H704" s="0" t="s">
        <v>7816</v>
      </c>
      <c r="I704" s="0" t="s">
        <v>7338</v>
      </c>
      <c r="J704" s="0" t="s">
        <v>1602</v>
      </c>
      <c r="K704" s="0" t="s">
        <v>7339</v>
      </c>
      <c r="L704" s="0" t="s">
        <v>7340</v>
      </c>
      <c r="M704" s="0" t="s">
        <v>7661</v>
      </c>
      <c r="N704" s="0" t="s">
        <v>7342</v>
      </c>
      <c r="P704" s="0" t="s">
        <v>229</v>
      </c>
      <c r="R704" s="0" t="s">
        <v>7343</v>
      </c>
      <c r="S704" s="0" t="s">
        <v>7344</v>
      </c>
      <c r="T704" s="0" t="s">
        <v>228</v>
      </c>
      <c r="V704" s="0" t="s">
        <v>34</v>
      </c>
      <c r="W704" s="0" t="s">
        <v>36</v>
      </c>
      <c r="X704" s="0" t="s">
        <v>7345</v>
      </c>
      <c r="Y704" s="0" t="s">
        <v>7346</v>
      </c>
      <c r="Z704" s="0" t="s">
        <v>7347</v>
      </c>
      <c r="AA704" s="0" t="s">
        <v>7348</v>
      </c>
      <c r="AB704" s="0" t="s">
        <v>231</v>
      </c>
      <c r="AC704" s="0" t="s">
        <v>7349</v>
      </c>
      <c r="AD704" s="0" t="s">
        <v>7350</v>
      </c>
      <c r="AE704" s="0" t="s">
        <v>7779</v>
      </c>
      <c r="AF704" s="0" t="s">
        <v>7352</v>
      </c>
      <c r="AG704" s="0" t="s">
        <v>230</v>
      </c>
    </row>
    <row r="705" customFormat="false" ht="15" hidden="false" customHeight="false" outlineLevel="0" collapsed="false">
      <c r="A705" s="0" t="s">
        <v>7336</v>
      </c>
      <c r="B705" s="0" t="s">
        <v>2716</v>
      </c>
      <c r="C705" s="0" t="s">
        <v>2717</v>
      </c>
      <c r="D705" s="0" t="s">
        <v>2431</v>
      </c>
      <c r="E705" s="0" t="s">
        <v>2718</v>
      </c>
      <c r="F705" s="0" t="s">
        <v>2715</v>
      </c>
      <c r="G705" s="0" t="s">
        <v>109</v>
      </c>
      <c r="H705" s="0" t="s">
        <v>7816</v>
      </c>
      <c r="I705" s="0" t="s">
        <v>7338</v>
      </c>
      <c r="J705" s="0" t="s">
        <v>1602</v>
      </c>
      <c r="K705" s="0" t="s">
        <v>7339</v>
      </c>
      <c r="L705" s="0" t="s">
        <v>7340</v>
      </c>
      <c r="M705" s="0" t="s">
        <v>7661</v>
      </c>
      <c r="N705" s="0" t="s">
        <v>7342</v>
      </c>
      <c r="P705" s="0" t="s">
        <v>229</v>
      </c>
      <c r="R705" s="0" t="s">
        <v>7343</v>
      </c>
      <c r="S705" s="0" t="s">
        <v>7344</v>
      </c>
      <c r="T705" s="0" t="s">
        <v>681</v>
      </c>
      <c r="V705" s="0" t="s">
        <v>34</v>
      </c>
      <c r="W705" s="0" t="s">
        <v>36</v>
      </c>
      <c r="X705" s="0" t="s">
        <v>7345</v>
      </c>
      <c r="Y705" s="0" t="s">
        <v>7495</v>
      </c>
      <c r="Z705" s="0" t="s">
        <v>7496</v>
      </c>
      <c r="AA705" s="0" t="s">
        <v>7497</v>
      </c>
      <c r="AB705" s="0" t="s">
        <v>682</v>
      </c>
      <c r="AC705" s="0" t="s">
        <v>7349</v>
      </c>
      <c r="AD705" s="0" t="s">
        <v>7498</v>
      </c>
      <c r="AE705" s="0" t="s">
        <v>7815</v>
      </c>
      <c r="AF705" s="0" t="s">
        <v>7499</v>
      </c>
      <c r="AG705" s="0" t="s">
        <v>230</v>
      </c>
    </row>
    <row r="706" customFormat="false" ht="15" hidden="false" customHeight="false" outlineLevel="0" collapsed="false">
      <c r="A706" s="0" t="s">
        <v>7336</v>
      </c>
      <c r="B706" s="0" t="s">
        <v>2719</v>
      </c>
      <c r="C706" s="0" t="s">
        <v>2720</v>
      </c>
      <c r="D706" s="0" t="s">
        <v>2431</v>
      </c>
      <c r="E706" s="0" t="s">
        <v>2721</v>
      </c>
      <c r="F706" s="0" t="s">
        <v>2715</v>
      </c>
      <c r="G706" s="0" t="s">
        <v>109</v>
      </c>
      <c r="H706" s="0" t="s">
        <v>7816</v>
      </c>
      <c r="I706" s="0" t="s">
        <v>7338</v>
      </c>
      <c r="J706" s="0" t="s">
        <v>1602</v>
      </c>
      <c r="K706" s="0" t="s">
        <v>7339</v>
      </c>
      <c r="L706" s="0" t="s">
        <v>7340</v>
      </c>
      <c r="M706" s="0" t="s">
        <v>7661</v>
      </c>
      <c r="N706" s="0" t="s">
        <v>7342</v>
      </c>
      <c r="P706" s="0" t="s">
        <v>229</v>
      </c>
      <c r="R706" s="0" t="s">
        <v>7343</v>
      </c>
      <c r="S706" s="0" t="s">
        <v>7344</v>
      </c>
      <c r="T706" s="0" t="s">
        <v>681</v>
      </c>
      <c r="V706" s="0" t="s">
        <v>34</v>
      </c>
      <c r="W706" s="0" t="s">
        <v>36</v>
      </c>
      <c r="X706" s="0" t="s">
        <v>7345</v>
      </c>
      <c r="Y706" s="0" t="s">
        <v>7495</v>
      </c>
      <c r="Z706" s="0" t="s">
        <v>7496</v>
      </c>
      <c r="AA706" s="0" t="s">
        <v>7497</v>
      </c>
      <c r="AB706" s="0" t="s">
        <v>682</v>
      </c>
      <c r="AC706" s="0" t="s">
        <v>7349</v>
      </c>
      <c r="AD706" s="0" t="s">
        <v>7498</v>
      </c>
      <c r="AE706" s="0" t="s">
        <v>7797</v>
      </c>
      <c r="AF706" s="0" t="s">
        <v>7499</v>
      </c>
      <c r="AG706" s="0" t="s">
        <v>230</v>
      </c>
    </row>
    <row r="707" customFormat="false" ht="15" hidden="false" customHeight="false" outlineLevel="0" collapsed="false">
      <c r="A707" s="0" t="s">
        <v>7336</v>
      </c>
      <c r="B707" s="0" t="s">
        <v>2722</v>
      </c>
      <c r="C707" s="0" t="s">
        <v>2723</v>
      </c>
      <c r="D707" s="0" t="s">
        <v>2431</v>
      </c>
      <c r="E707" s="0" t="s">
        <v>2724</v>
      </c>
      <c r="F707" s="0" t="s">
        <v>2725</v>
      </c>
      <c r="G707" s="0" t="s">
        <v>109</v>
      </c>
      <c r="H707" s="0" t="s">
        <v>7817</v>
      </c>
      <c r="I707" s="0" t="s">
        <v>7338</v>
      </c>
      <c r="J707" s="0" t="s">
        <v>1602</v>
      </c>
      <c r="K707" s="0" t="s">
        <v>7339</v>
      </c>
      <c r="L707" s="0" t="s">
        <v>7340</v>
      </c>
      <c r="M707" s="0" t="s">
        <v>7661</v>
      </c>
      <c r="N707" s="0" t="s">
        <v>7342</v>
      </c>
      <c r="P707" s="0" t="s">
        <v>229</v>
      </c>
      <c r="R707" s="0" t="s">
        <v>7343</v>
      </c>
      <c r="S707" s="0" t="s">
        <v>7344</v>
      </c>
      <c r="T707" s="0" t="s">
        <v>681</v>
      </c>
      <c r="V707" s="0" t="s">
        <v>34</v>
      </c>
      <c r="W707" s="0" t="s">
        <v>36</v>
      </c>
      <c r="X707" s="0" t="s">
        <v>7345</v>
      </c>
      <c r="Y707" s="0" t="s">
        <v>7495</v>
      </c>
      <c r="Z707" s="0" t="s">
        <v>7496</v>
      </c>
      <c r="AA707" s="0" t="s">
        <v>7497</v>
      </c>
      <c r="AB707" s="0" t="s">
        <v>682</v>
      </c>
      <c r="AC707" s="0" t="s">
        <v>7349</v>
      </c>
      <c r="AD707" s="0" t="s">
        <v>7498</v>
      </c>
      <c r="AE707" s="0" t="s">
        <v>7797</v>
      </c>
      <c r="AF707" s="0" t="s">
        <v>7499</v>
      </c>
      <c r="AG707" s="0" t="s">
        <v>230</v>
      </c>
    </row>
    <row r="708" customFormat="false" ht="15" hidden="false" customHeight="false" outlineLevel="0" collapsed="false">
      <c r="A708" s="0" t="s">
        <v>7336</v>
      </c>
      <c r="B708" s="0" t="s">
        <v>2726</v>
      </c>
      <c r="C708" s="0" t="s">
        <v>2727</v>
      </c>
      <c r="D708" s="0" t="s">
        <v>2431</v>
      </c>
      <c r="E708" s="0" t="s">
        <v>2728</v>
      </c>
      <c r="F708" s="0" t="s">
        <v>2725</v>
      </c>
      <c r="G708" s="0" t="s">
        <v>109</v>
      </c>
      <c r="H708" s="0" t="s">
        <v>7817</v>
      </c>
      <c r="I708" s="0" t="s">
        <v>7338</v>
      </c>
      <c r="J708" s="0" t="s">
        <v>1602</v>
      </c>
      <c r="K708" s="0" t="s">
        <v>7339</v>
      </c>
      <c r="L708" s="0" t="s">
        <v>7340</v>
      </c>
      <c r="M708" s="0" t="s">
        <v>7661</v>
      </c>
      <c r="N708" s="0" t="s">
        <v>7342</v>
      </c>
      <c r="P708" s="0" t="s">
        <v>229</v>
      </c>
      <c r="R708" s="0" t="s">
        <v>7343</v>
      </c>
      <c r="S708" s="0" t="s">
        <v>7344</v>
      </c>
      <c r="T708" s="0" t="s">
        <v>681</v>
      </c>
      <c r="V708" s="0" t="s">
        <v>34</v>
      </c>
      <c r="W708" s="0" t="s">
        <v>36</v>
      </c>
      <c r="X708" s="0" t="s">
        <v>7345</v>
      </c>
      <c r="Y708" s="0" t="s">
        <v>7495</v>
      </c>
      <c r="Z708" s="0" t="s">
        <v>7496</v>
      </c>
      <c r="AA708" s="0" t="s">
        <v>7497</v>
      </c>
      <c r="AB708" s="0" t="s">
        <v>682</v>
      </c>
      <c r="AC708" s="0" t="s">
        <v>7349</v>
      </c>
      <c r="AD708" s="0" t="s">
        <v>7498</v>
      </c>
      <c r="AE708" s="0" t="s">
        <v>7815</v>
      </c>
      <c r="AF708" s="0" t="s">
        <v>7499</v>
      </c>
      <c r="AG708" s="0" t="s">
        <v>230</v>
      </c>
    </row>
    <row r="709" customFormat="false" ht="15" hidden="false" customHeight="false" outlineLevel="0" collapsed="false">
      <c r="A709" s="0" t="s">
        <v>7336</v>
      </c>
      <c r="B709" s="0" t="s">
        <v>2729</v>
      </c>
      <c r="C709" s="0" t="s">
        <v>2730</v>
      </c>
      <c r="D709" s="0" t="s">
        <v>2431</v>
      </c>
      <c r="E709" s="0" t="s">
        <v>2731</v>
      </c>
      <c r="F709" s="0" t="s">
        <v>2725</v>
      </c>
      <c r="G709" s="0" t="s">
        <v>109</v>
      </c>
      <c r="H709" s="0" t="s">
        <v>7817</v>
      </c>
      <c r="I709" s="0" t="s">
        <v>7338</v>
      </c>
      <c r="J709" s="0" t="s">
        <v>1602</v>
      </c>
      <c r="K709" s="0" t="s">
        <v>7339</v>
      </c>
      <c r="L709" s="0" t="s">
        <v>7340</v>
      </c>
      <c r="M709" s="0" t="s">
        <v>7661</v>
      </c>
      <c r="N709" s="0" t="s">
        <v>7342</v>
      </c>
      <c r="P709" s="0" t="s">
        <v>229</v>
      </c>
      <c r="R709" s="0" t="s">
        <v>7343</v>
      </c>
      <c r="S709" s="0" t="s">
        <v>7344</v>
      </c>
      <c r="T709" s="0" t="s">
        <v>228</v>
      </c>
      <c r="V709" s="0" t="s">
        <v>55</v>
      </c>
      <c r="W709" s="0" t="s">
        <v>36</v>
      </c>
      <c r="X709" s="0" t="s">
        <v>7345</v>
      </c>
      <c r="Y709" s="0" t="s">
        <v>7346</v>
      </c>
      <c r="Z709" s="0" t="s">
        <v>7347</v>
      </c>
      <c r="AA709" s="0" t="s">
        <v>7348</v>
      </c>
      <c r="AB709" s="0" t="s">
        <v>231</v>
      </c>
      <c r="AC709" s="0" t="s">
        <v>7349</v>
      </c>
      <c r="AD709" s="0" t="s">
        <v>7350</v>
      </c>
      <c r="AE709" s="0" t="s">
        <v>7779</v>
      </c>
      <c r="AF709" s="0" t="s">
        <v>7352</v>
      </c>
      <c r="AG709" s="0" t="s">
        <v>230</v>
      </c>
    </row>
    <row r="710" customFormat="false" ht="15" hidden="false" customHeight="false" outlineLevel="0" collapsed="false">
      <c r="A710" s="0" t="s">
        <v>7336</v>
      </c>
      <c r="B710" s="0" t="s">
        <v>2732</v>
      </c>
      <c r="C710" s="0" t="s">
        <v>2733</v>
      </c>
      <c r="D710" s="0" t="s">
        <v>2431</v>
      </c>
      <c r="E710" s="0" t="s">
        <v>2734</v>
      </c>
      <c r="F710" s="0" t="s">
        <v>2735</v>
      </c>
      <c r="G710" s="0" t="s">
        <v>109</v>
      </c>
      <c r="H710" s="0" t="s">
        <v>7818</v>
      </c>
      <c r="I710" s="0" t="s">
        <v>7338</v>
      </c>
      <c r="J710" s="0" t="s">
        <v>1602</v>
      </c>
      <c r="K710" s="0" t="s">
        <v>7339</v>
      </c>
      <c r="L710" s="0" t="s">
        <v>7340</v>
      </c>
      <c r="M710" s="0" t="s">
        <v>7661</v>
      </c>
      <c r="N710" s="0" t="s">
        <v>7342</v>
      </c>
      <c r="P710" s="0" t="s">
        <v>229</v>
      </c>
      <c r="R710" s="0" t="s">
        <v>7343</v>
      </c>
      <c r="S710" s="0" t="s">
        <v>7344</v>
      </c>
      <c r="T710" s="0" t="s">
        <v>228</v>
      </c>
      <c r="V710" s="0" t="s">
        <v>34</v>
      </c>
      <c r="W710" s="0" t="s">
        <v>46</v>
      </c>
      <c r="X710" s="0" t="s">
        <v>7345</v>
      </c>
      <c r="Y710" s="0" t="s">
        <v>7346</v>
      </c>
      <c r="Z710" s="0" t="s">
        <v>7347</v>
      </c>
      <c r="AA710" s="0" t="s">
        <v>7348</v>
      </c>
      <c r="AB710" s="0" t="s">
        <v>231</v>
      </c>
      <c r="AC710" s="0" t="s">
        <v>7349</v>
      </c>
      <c r="AD710" s="0" t="s">
        <v>7500</v>
      </c>
      <c r="AE710" s="0" t="s">
        <v>7783</v>
      </c>
      <c r="AF710" s="0" t="s">
        <v>7352</v>
      </c>
      <c r="AG710" s="0" t="s">
        <v>230</v>
      </c>
    </row>
    <row r="711" customFormat="false" ht="15" hidden="false" customHeight="false" outlineLevel="0" collapsed="false">
      <c r="A711" s="0" t="s">
        <v>7336</v>
      </c>
      <c r="B711" s="0" t="s">
        <v>2736</v>
      </c>
      <c r="C711" s="0" t="s">
        <v>2737</v>
      </c>
      <c r="D711" s="0" t="s">
        <v>2431</v>
      </c>
      <c r="E711" s="0" t="s">
        <v>2738</v>
      </c>
      <c r="F711" s="0" t="s">
        <v>2735</v>
      </c>
      <c r="G711" s="0" t="s">
        <v>109</v>
      </c>
      <c r="H711" s="0" t="s">
        <v>7818</v>
      </c>
      <c r="I711" s="0" t="s">
        <v>7338</v>
      </c>
      <c r="J711" s="0" t="s">
        <v>1602</v>
      </c>
      <c r="K711" s="0" t="s">
        <v>7339</v>
      </c>
      <c r="L711" s="0" t="s">
        <v>7340</v>
      </c>
      <c r="M711" s="0" t="s">
        <v>7661</v>
      </c>
      <c r="N711" s="0" t="s">
        <v>7342</v>
      </c>
      <c r="P711" s="0" t="s">
        <v>229</v>
      </c>
      <c r="R711" s="0" t="s">
        <v>7343</v>
      </c>
      <c r="S711" s="0" t="s">
        <v>7344</v>
      </c>
      <c r="T711" s="0" t="s">
        <v>681</v>
      </c>
      <c r="V711" s="0" t="s">
        <v>34</v>
      </c>
      <c r="W711" s="0" t="s">
        <v>36</v>
      </c>
      <c r="X711" s="0" t="s">
        <v>7345</v>
      </c>
      <c r="Y711" s="0" t="s">
        <v>7495</v>
      </c>
      <c r="Z711" s="0" t="s">
        <v>7496</v>
      </c>
      <c r="AA711" s="0" t="s">
        <v>7497</v>
      </c>
      <c r="AB711" s="0" t="s">
        <v>682</v>
      </c>
      <c r="AC711" s="0" t="s">
        <v>7349</v>
      </c>
      <c r="AD711" s="0" t="s">
        <v>7498</v>
      </c>
      <c r="AE711" s="0" t="s">
        <v>1341</v>
      </c>
      <c r="AF711" s="0" t="s">
        <v>7499</v>
      </c>
      <c r="AG711" s="0" t="s">
        <v>230</v>
      </c>
    </row>
    <row r="712" customFormat="false" ht="15" hidden="false" customHeight="false" outlineLevel="0" collapsed="false">
      <c r="A712" s="0" t="s">
        <v>7336</v>
      </c>
      <c r="B712" s="0" t="s">
        <v>2739</v>
      </c>
      <c r="C712" s="0" t="s">
        <v>2740</v>
      </c>
      <c r="D712" s="0" t="s">
        <v>2431</v>
      </c>
      <c r="E712" s="0" t="s">
        <v>2741</v>
      </c>
      <c r="F712" s="0" t="s">
        <v>2742</v>
      </c>
      <c r="G712" s="0" t="s">
        <v>109</v>
      </c>
      <c r="H712" s="0" t="s">
        <v>7819</v>
      </c>
      <c r="I712" s="0" t="s">
        <v>7338</v>
      </c>
      <c r="J712" s="0" t="s">
        <v>1602</v>
      </c>
      <c r="K712" s="0" t="s">
        <v>7339</v>
      </c>
      <c r="L712" s="0" t="s">
        <v>7340</v>
      </c>
      <c r="M712" s="0" t="s">
        <v>7661</v>
      </c>
      <c r="N712" s="0" t="s">
        <v>7342</v>
      </c>
      <c r="P712" s="0" t="s">
        <v>229</v>
      </c>
      <c r="R712" s="0" t="s">
        <v>7343</v>
      </c>
      <c r="S712" s="0" t="s">
        <v>7344</v>
      </c>
      <c r="T712" s="0" t="s">
        <v>228</v>
      </c>
      <c r="V712" s="0" t="s">
        <v>34</v>
      </c>
      <c r="W712" s="0" t="s">
        <v>36</v>
      </c>
      <c r="X712" s="0" t="s">
        <v>7345</v>
      </c>
      <c r="Y712" s="0" t="s">
        <v>7346</v>
      </c>
      <c r="Z712" s="0" t="s">
        <v>7347</v>
      </c>
      <c r="AA712" s="0" t="s">
        <v>7348</v>
      </c>
      <c r="AB712" s="0" t="s">
        <v>231</v>
      </c>
      <c r="AC712" s="0" t="s">
        <v>7349</v>
      </c>
      <c r="AD712" s="0" t="s">
        <v>7350</v>
      </c>
      <c r="AE712" s="0" t="s">
        <v>7779</v>
      </c>
      <c r="AF712" s="0" t="s">
        <v>7352</v>
      </c>
      <c r="AG712" s="0" t="s">
        <v>230</v>
      </c>
    </row>
    <row r="713" customFormat="false" ht="15" hidden="false" customHeight="false" outlineLevel="0" collapsed="false">
      <c r="A713" s="0" t="s">
        <v>7336</v>
      </c>
      <c r="B713" s="0" t="s">
        <v>2743</v>
      </c>
      <c r="C713" s="0" t="s">
        <v>2744</v>
      </c>
      <c r="D713" s="0" t="s">
        <v>2431</v>
      </c>
      <c r="E713" s="0" t="s">
        <v>2745</v>
      </c>
      <c r="F713" s="0" t="s">
        <v>2742</v>
      </c>
      <c r="G713" s="0" t="s">
        <v>109</v>
      </c>
      <c r="H713" s="0" t="s">
        <v>7819</v>
      </c>
      <c r="I713" s="0" t="s">
        <v>7338</v>
      </c>
      <c r="J713" s="0" t="s">
        <v>1602</v>
      </c>
      <c r="K713" s="0" t="s">
        <v>7339</v>
      </c>
      <c r="L713" s="0" t="s">
        <v>7340</v>
      </c>
      <c r="M713" s="0" t="s">
        <v>7661</v>
      </c>
      <c r="N713" s="0" t="s">
        <v>7342</v>
      </c>
      <c r="P713" s="0" t="s">
        <v>229</v>
      </c>
      <c r="R713" s="0" t="s">
        <v>7343</v>
      </c>
      <c r="S713" s="0" t="s">
        <v>7344</v>
      </c>
      <c r="T713" s="0" t="s">
        <v>681</v>
      </c>
      <c r="V713" s="0" t="s">
        <v>34</v>
      </c>
      <c r="W713" s="0" t="s">
        <v>36</v>
      </c>
      <c r="X713" s="0" t="s">
        <v>7345</v>
      </c>
      <c r="Y713" s="0" t="s">
        <v>7495</v>
      </c>
      <c r="Z713" s="0" t="s">
        <v>7496</v>
      </c>
      <c r="AA713" s="0" t="s">
        <v>7497</v>
      </c>
      <c r="AB713" s="0" t="s">
        <v>682</v>
      </c>
      <c r="AC713" s="0" t="s">
        <v>7349</v>
      </c>
      <c r="AD713" s="0" t="s">
        <v>7498</v>
      </c>
      <c r="AE713" s="0" t="s">
        <v>40</v>
      </c>
      <c r="AF713" s="0" t="s">
        <v>7499</v>
      </c>
      <c r="AG713" s="0" t="s">
        <v>230</v>
      </c>
    </row>
    <row r="714" customFormat="false" ht="15" hidden="false" customHeight="false" outlineLevel="0" collapsed="false">
      <c r="A714" s="0" t="s">
        <v>7336</v>
      </c>
      <c r="B714" s="0" t="s">
        <v>2746</v>
      </c>
      <c r="C714" s="0" t="s">
        <v>2747</v>
      </c>
      <c r="D714" s="0" t="s">
        <v>2431</v>
      </c>
      <c r="E714" s="0" t="s">
        <v>2748</v>
      </c>
      <c r="F714" s="0" t="s">
        <v>2742</v>
      </c>
      <c r="G714" s="0" t="s">
        <v>109</v>
      </c>
      <c r="H714" s="0" t="s">
        <v>7819</v>
      </c>
      <c r="I714" s="0" t="s">
        <v>7338</v>
      </c>
      <c r="J714" s="0" t="s">
        <v>1602</v>
      </c>
      <c r="K714" s="0" t="s">
        <v>7339</v>
      </c>
      <c r="L714" s="0" t="s">
        <v>7340</v>
      </c>
      <c r="M714" s="0" t="s">
        <v>7661</v>
      </c>
      <c r="N714" s="0" t="s">
        <v>7342</v>
      </c>
      <c r="P714" s="0" t="s">
        <v>229</v>
      </c>
      <c r="R714" s="0" t="s">
        <v>7343</v>
      </c>
      <c r="S714" s="0" t="s">
        <v>7344</v>
      </c>
      <c r="T714" s="0" t="s">
        <v>681</v>
      </c>
      <c r="V714" s="0" t="s">
        <v>34</v>
      </c>
      <c r="W714" s="0" t="s">
        <v>36</v>
      </c>
      <c r="X714" s="0" t="s">
        <v>7345</v>
      </c>
      <c r="Y714" s="0" t="s">
        <v>7495</v>
      </c>
      <c r="Z714" s="0" t="s">
        <v>7496</v>
      </c>
      <c r="AA714" s="0" t="s">
        <v>7497</v>
      </c>
      <c r="AB714" s="0" t="s">
        <v>682</v>
      </c>
      <c r="AC714" s="0" t="s">
        <v>7349</v>
      </c>
      <c r="AD714" s="0" t="s">
        <v>7498</v>
      </c>
      <c r="AE714" s="0" t="s">
        <v>7815</v>
      </c>
      <c r="AF714" s="0" t="s">
        <v>7499</v>
      </c>
      <c r="AG714" s="0" t="s">
        <v>230</v>
      </c>
    </row>
    <row r="715" customFormat="false" ht="15" hidden="false" customHeight="false" outlineLevel="0" collapsed="false">
      <c r="A715" s="0" t="s">
        <v>7336</v>
      </c>
      <c r="B715" s="0" t="s">
        <v>2749</v>
      </c>
      <c r="C715" s="0" t="s">
        <v>2750</v>
      </c>
      <c r="D715" s="0" t="s">
        <v>2431</v>
      </c>
      <c r="E715" s="0" t="s">
        <v>2751</v>
      </c>
      <c r="F715" s="0" t="s">
        <v>2752</v>
      </c>
      <c r="G715" s="0" t="s">
        <v>109</v>
      </c>
      <c r="H715" s="0" t="s">
        <v>7820</v>
      </c>
      <c r="I715" s="0" t="s">
        <v>7338</v>
      </c>
      <c r="J715" s="0" t="s">
        <v>1602</v>
      </c>
      <c r="K715" s="0" t="s">
        <v>7339</v>
      </c>
      <c r="L715" s="0" t="s">
        <v>7340</v>
      </c>
      <c r="M715" s="0" t="s">
        <v>7661</v>
      </c>
      <c r="N715" s="0" t="s">
        <v>7342</v>
      </c>
      <c r="P715" s="0" t="s">
        <v>229</v>
      </c>
      <c r="R715" s="0" t="s">
        <v>7343</v>
      </c>
      <c r="S715" s="0" t="s">
        <v>7344</v>
      </c>
      <c r="T715" s="0" t="s">
        <v>228</v>
      </c>
      <c r="V715" s="0" t="s">
        <v>34</v>
      </c>
      <c r="W715" s="0" t="s">
        <v>36</v>
      </c>
      <c r="X715" s="0" t="s">
        <v>7345</v>
      </c>
      <c r="Y715" s="0" t="s">
        <v>7346</v>
      </c>
      <c r="Z715" s="0" t="s">
        <v>7347</v>
      </c>
      <c r="AA715" s="0" t="s">
        <v>7348</v>
      </c>
      <c r="AB715" s="0" t="s">
        <v>231</v>
      </c>
      <c r="AC715" s="0" t="s">
        <v>7349</v>
      </c>
      <c r="AD715" s="0" t="s">
        <v>7350</v>
      </c>
      <c r="AE715" s="0" t="s">
        <v>7779</v>
      </c>
      <c r="AF715" s="0" t="s">
        <v>7352</v>
      </c>
      <c r="AG715" s="0" t="s">
        <v>230</v>
      </c>
    </row>
    <row r="716" customFormat="false" ht="15" hidden="false" customHeight="false" outlineLevel="0" collapsed="false">
      <c r="A716" s="0" t="s">
        <v>7336</v>
      </c>
      <c r="B716" s="0" t="s">
        <v>2753</v>
      </c>
      <c r="C716" s="0" t="s">
        <v>2754</v>
      </c>
      <c r="D716" s="0" t="s">
        <v>2431</v>
      </c>
      <c r="E716" s="0" t="s">
        <v>2755</v>
      </c>
      <c r="F716" s="0" t="s">
        <v>2752</v>
      </c>
      <c r="G716" s="0" t="s">
        <v>109</v>
      </c>
      <c r="H716" s="0" t="s">
        <v>7820</v>
      </c>
      <c r="I716" s="0" t="s">
        <v>7338</v>
      </c>
      <c r="J716" s="0" t="s">
        <v>1602</v>
      </c>
      <c r="K716" s="0" t="s">
        <v>7339</v>
      </c>
      <c r="L716" s="0" t="s">
        <v>7340</v>
      </c>
      <c r="M716" s="0" t="s">
        <v>7661</v>
      </c>
      <c r="N716" s="0" t="s">
        <v>7342</v>
      </c>
      <c r="P716" s="0" t="s">
        <v>229</v>
      </c>
      <c r="R716" s="0" t="s">
        <v>7343</v>
      </c>
      <c r="S716" s="0" t="s">
        <v>7344</v>
      </c>
      <c r="T716" s="0" t="s">
        <v>681</v>
      </c>
      <c r="V716" s="0" t="s">
        <v>34</v>
      </c>
      <c r="W716" s="0" t="s">
        <v>36</v>
      </c>
      <c r="X716" s="0" t="s">
        <v>7345</v>
      </c>
      <c r="Y716" s="0" t="s">
        <v>7495</v>
      </c>
      <c r="Z716" s="0" t="s">
        <v>7496</v>
      </c>
      <c r="AA716" s="0" t="s">
        <v>7497</v>
      </c>
      <c r="AB716" s="0" t="s">
        <v>682</v>
      </c>
      <c r="AC716" s="0" t="s">
        <v>7349</v>
      </c>
      <c r="AD716" s="0" t="s">
        <v>7498</v>
      </c>
      <c r="AE716" s="0" t="s">
        <v>40</v>
      </c>
      <c r="AF716" s="0" t="s">
        <v>7499</v>
      </c>
      <c r="AG716" s="0" t="s">
        <v>230</v>
      </c>
    </row>
    <row r="717" customFormat="false" ht="15" hidden="false" customHeight="false" outlineLevel="0" collapsed="false">
      <c r="A717" s="0" t="s">
        <v>7336</v>
      </c>
      <c r="B717" s="0" t="s">
        <v>2756</v>
      </c>
      <c r="C717" s="0" t="s">
        <v>2757</v>
      </c>
      <c r="D717" s="0" t="s">
        <v>2431</v>
      </c>
      <c r="E717" s="0" t="s">
        <v>2758</v>
      </c>
      <c r="F717" s="0" t="s">
        <v>2752</v>
      </c>
      <c r="G717" s="0" t="s">
        <v>109</v>
      </c>
      <c r="H717" s="0" t="s">
        <v>7820</v>
      </c>
      <c r="I717" s="0" t="s">
        <v>7338</v>
      </c>
      <c r="J717" s="0" t="s">
        <v>1602</v>
      </c>
      <c r="K717" s="0" t="s">
        <v>7339</v>
      </c>
      <c r="L717" s="0" t="s">
        <v>7340</v>
      </c>
      <c r="M717" s="0" t="s">
        <v>7661</v>
      </c>
      <c r="N717" s="0" t="s">
        <v>7342</v>
      </c>
      <c r="P717" s="0" t="s">
        <v>229</v>
      </c>
      <c r="R717" s="0" t="s">
        <v>7343</v>
      </c>
      <c r="S717" s="0" t="s">
        <v>7344</v>
      </c>
      <c r="T717" s="0" t="s">
        <v>681</v>
      </c>
      <c r="V717" s="0" t="s">
        <v>34</v>
      </c>
      <c r="W717" s="0" t="s">
        <v>36</v>
      </c>
      <c r="X717" s="0" t="s">
        <v>7345</v>
      </c>
      <c r="Y717" s="0" t="s">
        <v>7495</v>
      </c>
      <c r="Z717" s="0" t="s">
        <v>7496</v>
      </c>
      <c r="AA717" s="0" t="s">
        <v>7497</v>
      </c>
      <c r="AB717" s="0" t="s">
        <v>682</v>
      </c>
      <c r="AC717" s="0" t="s">
        <v>7349</v>
      </c>
      <c r="AD717" s="0" t="s">
        <v>7498</v>
      </c>
      <c r="AE717" s="0" t="s">
        <v>7815</v>
      </c>
      <c r="AF717" s="0" t="s">
        <v>7499</v>
      </c>
      <c r="AG717" s="0" t="s">
        <v>230</v>
      </c>
    </row>
    <row r="718" customFormat="false" ht="15" hidden="false" customHeight="false" outlineLevel="0" collapsed="false">
      <c r="A718" s="0" t="s">
        <v>7336</v>
      </c>
      <c r="B718" s="0" t="s">
        <v>2759</v>
      </c>
      <c r="C718" s="0" t="s">
        <v>2760</v>
      </c>
      <c r="D718" s="0" t="s">
        <v>2431</v>
      </c>
      <c r="E718" s="0" t="s">
        <v>2761</v>
      </c>
      <c r="F718" s="0" t="s">
        <v>2762</v>
      </c>
      <c r="G718" s="0" t="s">
        <v>109</v>
      </c>
      <c r="H718" s="0" t="s">
        <v>7821</v>
      </c>
      <c r="I718" s="0" t="s">
        <v>7338</v>
      </c>
      <c r="J718" s="0" t="s">
        <v>1602</v>
      </c>
      <c r="K718" s="0" t="s">
        <v>7339</v>
      </c>
      <c r="L718" s="0" t="s">
        <v>7340</v>
      </c>
      <c r="M718" s="0" t="s">
        <v>7661</v>
      </c>
      <c r="N718" s="0" t="s">
        <v>7342</v>
      </c>
      <c r="P718" s="0" t="s">
        <v>229</v>
      </c>
      <c r="R718" s="0" t="s">
        <v>7343</v>
      </c>
      <c r="S718" s="0" t="s">
        <v>7344</v>
      </c>
      <c r="T718" s="0" t="s">
        <v>228</v>
      </c>
      <c r="V718" s="0" t="s">
        <v>34</v>
      </c>
      <c r="W718" s="0" t="s">
        <v>36</v>
      </c>
      <c r="X718" s="0" t="s">
        <v>7345</v>
      </c>
      <c r="Y718" s="0" t="s">
        <v>7346</v>
      </c>
      <c r="Z718" s="0" t="s">
        <v>7347</v>
      </c>
      <c r="AA718" s="0" t="s">
        <v>7348</v>
      </c>
      <c r="AB718" s="0" t="s">
        <v>231</v>
      </c>
      <c r="AC718" s="0" t="s">
        <v>7349</v>
      </c>
      <c r="AD718" s="0" t="s">
        <v>7350</v>
      </c>
      <c r="AE718" s="0" t="s">
        <v>7779</v>
      </c>
      <c r="AF718" s="0" t="s">
        <v>7352</v>
      </c>
      <c r="AG718" s="0" t="s">
        <v>230</v>
      </c>
    </row>
    <row r="719" customFormat="false" ht="15" hidden="false" customHeight="false" outlineLevel="0" collapsed="false">
      <c r="A719" s="0" t="s">
        <v>7336</v>
      </c>
      <c r="B719" s="0" t="s">
        <v>2763</v>
      </c>
      <c r="C719" s="0" t="s">
        <v>2764</v>
      </c>
      <c r="D719" s="0" t="s">
        <v>2431</v>
      </c>
      <c r="E719" s="0" t="s">
        <v>2765</v>
      </c>
      <c r="F719" s="0" t="s">
        <v>2762</v>
      </c>
      <c r="G719" s="0" t="s">
        <v>109</v>
      </c>
      <c r="H719" s="0" t="s">
        <v>7821</v>
      </c>
      <c r="I719" s="0" t="s">
        <v>7338</v>
      </c>
      <c r="J719" s="0" t="s">
        <v>1602</v>
      </c>
      <c r="K719" s="0" t="s">
        <v>7339</v>
      </c>
      <c r="L719" s="0" t="s">
        <v>7340</v>
      </c>
      <c r="M719" s="0" t="s">
        <v>7661</v>
      </c>
      <c r="N719" s="0" t="s">
        <v>7342</v>
      </c>
      <c r="P719" s="0" t="s">
        <v>229</v>
      </c>
      <c r="R719" s="0" t="s">
        <v>7343</v>
      </c>
      <c r="S719" s="0" t="s">
        <v>7344</v>
      </c>
      <c r="T719" s="0" t="s">
        <v>681</v>
      </c>
      <c r="V719" s="0" t="s">
        <v>34</v>
      </c>
      <c r="W719" s="0" t="s">
        <v>36</v>
      </c>
      <c r="X719" s="0" t="s">
        <v>7345</v>
      </c>
      <c r="Y719" s="0" t="s">
        <v>7495</v>
      </c>
      <c r="Z719" s="0" t="s">
        <v>7496</v>
      </c>
      <c r="AA719" s="0" t="s">
        <v>7497</v>
      </c>
      <c r="AB719" s="0" t="s">
        <v>682</v>
      </c>
      <c r="AC719" s="0" t="s">
        <v>7349</v>
      </c>
      <c r="AD719" s="0" t="s">
        <v>7498</v>
      </c>
      <c r="AE719" s="0" t="s">
        <v>7778</v>
      </c>
      <c r="AF719" s="0" t="s">
        <v>7499</v>
      </c>
      <c r="AG719" s="0" t="s">
        <v>230</v>
      </c>
    </row>
    <row r="720" customFormat="false" ht="15" hidden="false" customHeight="false" outlineLevel="0" collapsed="false">
      <c r="A720" s="0" t="s">
        <v>7336</v>
      </c>
      <c r="B720" s="0" t="s">
        <v>2766</v>
      </c>
      <c r="C720" s="0" t="s">
        <v>2767</v>
      </c>
      <c r="D720" s="0" t="s">
        <v>2431</v>
      </c>
      <c r="E720" s="0" t="s">
        <v>2768</v>
      </c>
      <c r="F720" s="0" t="s">
        <v>2769</v>
      </c>
      <c r="G720" s="0" t="s">
        <v>109</v>
      </c>
      <c r="H720" s="0" t="s">
        <v>7822</v>
      </c>
      <c r="I720" s="0" t="s">
        <v>7338</v>
      </c>
      <c r="J720" s="0" t="s">
        <v>1602</v>
      </c>
      <c r="K720" s="0" t="s">
        <v>7339</v>
      </c>
      <c r="L720" s="0" t="s">
        <v>7340</v>
      </c>
      <c r="M720" s="0" t="s">
        <v>7661</v>
      </c>
      <c r="N720" s="0" t="s">
        <v>7342</v>
      </c>
      <c r="P720" s="0" t="s">
        <v>229</v>
      </c>
      <c r="R720" s="0" t="s">
        <v>7343</v>
      </c>
      <c r="S720" s="0" t="s">
        <v>7344</v>
      </c>
      <c r="T720" s="0" t="s">
        <v>228</v>
      </c>
      <c r="V720" s="0" t="s">
        <v>34</v>
      </c>
      <c r="W720" s="0" t="s">
        <v>36</v>
      </c>
      <c r="X720" s="0" t="s">
        <v>7345</v>
      </c>
      <c r="Y720" s="0" t="s">
        <v>7346</v>
      </c>
      <c r="Z720" s="0" t="s">
        <v>7370</v>
      </c>
      <c r="AA720" s="0" t="s">
        <v>7348</v>
      </c>
      <c r="AB720" s="0" t="s">
        <v>231</v>
      </c>
      <c r="AC720" s="0" t="s">
        <v>7349</v>
      </c>
      <c r="AD720" s="0" t="s">
        <v>7512</v>
      </c>
      <c r="AE720" s="0" t="s">
        <v>57</v>
      </c>
      <c r="AF720" s="0" t="s">
        <v>7352</v>
      </c>
      <c r="AG720" s="0" t="s">
        <v>230</v>
      </c>
    </row>
    <row r="721" customFormat="false" ht="15" hidden="false" customHeight="false" outlineLevel="0" collapsed="false">
      <c r="A721" s="0" t="s">
        <v>7336</v>
      </c>
      <c r="B721" s="0" t="s">
        <v>2770</v>
      </c>
      <c r="C721" s="0" t="s">
        <v>2771</v>
      </c>
      <c r="D721" s="0" t="s">
        <v>2431</v>
      </c>
      <c r="E721" s="0" t="s">
        <v>2772</v>
      </c>
      <c r="F721" s="0" t="s">
        <v>2769</v>
      </c>
      <c r="G721" s="0" t="s">
        <v>109</v>
      </c>
      <c r="H721" s="0" t="s">
        <v>7822</v>
      </c>
      <c r="I721" s="0" t="s">
        <v>7338</v>
      </c>
      <c r="J721" s="0" t="s">
        <v>1602</v>
      </c>
      <c r="K721" s="0" t="s">
        <v>7339</v>
      </c>
      <c r="L721" s="0" t="s">
        <v>7340</v>
      </c>
      <c r="M721" s="0" t="s">
        <v>7661</v>
      </c>
      <c r="N721" s="0" t="s">
        <v>7342</v>
      </c>
      <c r="P721" s="0" t="s">
        <v>229</v>
      </c>
      <c r="R721" s="0" t="s">
        <v>7343</v>
      </c>
      <c r="S721" s="0" t="s">
        <v>7344</v>
      </c>
      <c r="T721" s="0" t="s">
        <v>228</v>
      </c>
      <c r="V721" s="0" t="s">
        <v>34</v>
      </c>
      <c r="W721" s="0" t="s">
        <v>36</v>
      </c>
      <c r="X721" s="0" t="s">
        <v>7345</v>
      </c>
      <c r="Y721" s="0" t="s">
        <v>7346</v>
      </c>
      <c r="Z721" s="0" t="s">
        <v>7370</v>
      </c>
      <c r="AA721" s="0" t="s">
        <v>7348</v>
      </c>
      <c r="AB721" s="0" t="s">
        <v>231</v>
      </c>
      <c r="AC721" s="0" t="s">
        <v>7349</v>
      </c>
      <c r="AD721" s="0" t="s">
        <v>7512</v>
      </c>
      <c r="AE721" s="0" t="s">
        <v>7779</v>
      </c>
      <c r="AF721" s="0" t="s">
        <v>7352</v>
      </c>
      <c r="AG721" s="0" t="s">
        <v>230</v>
      </c>
    </row>
    <row r="722" customFormat="false" ht="15" hidden="false" customHeight="false" outlineLevel="0" collapsed="false">
      <c r="A722" s="0" t="s">
        <v>7336</v>
      </c>
      <c r="B722" s="0" t="s">
        <v>2773</v>
      </c>
      <c r="C722" s="0" t="s">
        <v>2774</v>
      </c>
      <c r="D722" s="0" t="s">
        <v>2431</v>
      </c>
      <c r="E722" s="0" t="s">
        <v>2775</v>
      </c>
      <c r="F722" s="0" t="s">
        <v>2735</v>
      </c>
      <c r="G722" s="0" t="s">
        <v>109</v>
      </c>
      <c r="H722" s="0" t="s">
        <v>7818</v>
      </c>
      <c r="I722" s="0" t="s">
        <v>7338</v>
      </c>
      <c r="J722" s="0" t="s">
        <v>1602</v>
      </c>
      <c r="K722" s="0" t="s">
        <v>7339</v>
      </c>
      <c r="L722" s="0" t="s">
        <v>7340</v>
      </c>
      <c r="M722" s="0" t="s">
        <v>7661</v>
      </c>
      <c r="N722" s="0" t="s">
        <v>7342</v>
      </c>
      <c r="P722" s="0" t="s">
        <v>229</v>
      </c>
      <c r="R722" s="0" t="s">
        <v>7343</v>
      </c>
      <c r="S722" s="0" t="s">
        <v>7344</v>
      </c>
      <c r="T722" s="0" t="s">
        <v>681</v>
      </c>
      <c r="V722" s="0" t="s">
        <v>34</v>
      </c>
      <c r="W722" s="0" t="s">
        <v>36</v>
      </c>
      <c r="X722" s="0" t="s">
        <v>7345</v>
      </c>
      <c r="Y722" s="0" t="s">
        <v>7495</v>
      </c>
      <c r="Z722" s="0" t="s">
        <v>7496</v>
      </c>
      <c r="AA722" s="0" t="s">
        <v>7497</v>
      </c>
      <c r="AB722" s="0" t="s">
        <v>682</v>
      </c>
      <c r="AC722" s="0" t="s">
        <v>7349</v>
      </c>
      <c r="AD722" s="0" t="s">
        <v>7498</v>
      </c>
      <c r="AE722" s="0" t="s">
        <v>7815</v>
      </c>
      <c r="AF722" s="0" t="s">
        <v>7499</v>
      </c>
      <c r="AG722" s="0" t="s">
        <v>230</v>
      </c>
    </row>
    <row r="723" customFormat="false" ht="15" hidden="false" customHeight="false" outlineLevel="0" collapsed="false">
      <c r="A723" s="0" t="s">
        <v>7336</v>
      </c>
      <c r="B723" s="0" t="s">
        <v>2776</v>
      </c>
      <c r="C723" s="0" t="s">
        <v>2777</v>
      </c>
      <c r="D723" s="0" t="s">
        <v>2431</v>
      </c>
      <c r="E723" s="0" t="s">
        <v>2778</v>
      </c>
      <c r="F723" s="0" t="s">
        <v>2735</v>
      </c>
      <c r="G723" s="0" t="s">
        <v>109</v>
      </c>
      <c r="H723" s="0" t="s">
        <v>7818</v>
      </c>
      <c r="I723" s="0" t="s">
        <v>7338</v>
      </c>
      <c r="J723" s="0" t="s">
        <v>1602</v>
      </c>
      <c r="K723" s="0" t="s">
        <v>7339</v>
      </c>
      <c r="L723" s="0" t="s">
        <v>7340</v>
      </c>
      <c r="M723" s="0" t="s">
        <v>7661</v>
      </c>
      <c r="N723" s="0" t="s">
        <v>7342</v>
      </c>
      <c r="P723" s="0" t="s">
        <v>229</v>
      </c>
      <c r="R723" s="0" t="s">
        <v>7343</v>
      </c>
      <c r="S723" s="0" t="s">
        <v>7344</v>
      </c>
      <c r="T723" s="0" t="s">
        <v>228</v>
      </c>
      <c r="V723" s="0" t="s">
        <v>55</v>
      </c>
      <c r="W723" s="0" t="s">
        <v>36</v>
      </c>
      <c r="X723" s="0" t="s">
        <v>7345</v>
      </c>
      <c r="Y723" s="0" t="s">
        <v>7346</v>
      </c>
      <c r="Z723" s="0" t="s">
        <v>7347</v>
      </c>
      <c r="AA723" s="0" t="s">
        <v>7348</v>
      </c>
      <c r="AB723" s="0" t="s">
        <v>231</v>
      </c>
      <c r="AC723" s="0" t="s">
        <v>7349</v>
      </c>
      <c r="AD723" s="0" t="s">
        <v>7350</v>
      </c>
      <c r="AE723" s="0" t="s">
        <v>7779</v>
      </c>
      <c r="AF723" s="0" t="s">
        <v>7352</v>
      </c>
      <c r="AG723" s="0" t="s">
        <v>230</v>
      </c>
    </row>
    <row r="724" customFormat="false" ht="15" hidden="false" customHeight="false" outlineLevel="0" collapsed="false">
      <c r="A724" s="0" t="s">
        <v>7336</v>
      </c>
      <c r="B724" s="0" t="s">
        <v>2779</v>
      </c>
      <c r="C724" s="0" t="s">
        <v>2780</v>
      </c>
      <c r="D724" s="0" t="s">
        <v>2431</v>
      </c>
      <c r="E724" s="0" t="s">
        <v>2781</v>
      </c>
      <c r="F724" s="0" t="s">
        <v>2782</v>
      </c>
      <c r="G724" s="0" t="s">
        <v>109</v>
      </c>
      <c r="H724" s="0" t="s">
        <v>7823</v>
      </c>
      <c r="I724" s="0" t="s">
        <v>7338</v>
      </c>
      <c r="J724" s="0" t="s">
        <v>1602</v>
      </c>
      <c r="K724" s="0" t="s">
        <v>7339</v>
      </c>
      <c r="L724" s="0" t="s">
        <v>7340</v>
      </c>
      <c r="M724" s="0" t="s">
        <v>7661</v>
      </c>
      <c r="N724" s="0" t="s">
        <v>7342</v>
      </c>
      <c r="P724" s="0" t="s">
        <v>229</v>
      </c>
      <c r="R724" s="0" t="s">
        <v>7343</v>
      </c>
      <c r="S724" s="0" t="s">
        <v>7344</v>
      </c>
      <c r="T724" s="0" t="s">
        <v>681</v>
      </c>
      <c r="V724" s="0" t="s">
        <v>34</v>
      </c>
      <c r="W724" s="0" t="s">
        <v>36</v>
      </c>
      <c r="Y724" s="0" t="s">
        <v>7495</v>
      </c>
      <c r="Z724" s="0" t="s">
        <v>7496</v>
      </c>
      <c r="AA724" s="0" t="s">
        <v>7497</v>
      </c>
      <c r="AB724" s="0" t="s">
        <v>682</v>
      </c>
      <c r="AC724" s="0" t="s">
        <v>7349</v>
      </c>
      <c r="AD724" s="0" t="s">
        <v>7498</v>
      </c>
      <c r="AE724" s="0" t="s">
        <v>7815</v>
      </c>
      <c r="AF724" s="0" t="s">
        <v>7499</v>
      </c>
      <c r="AG724" s="0" t="s">
        <v>230</v>
      </c>
    </row>
    <row r="725" customFormat="false" ht="15" hidden="false" customHeight="false" outlineLevel="0" collapsed="false">
      <c r="A725" s="0" t="s">
        <v>7336</v>
      </c>
      <c r="B725" s="0" t="s">
        <v>2783</v>
      </c>
      <c r="C725" s="0" t="s">
        <v>2784</v>
      </c>
      <c r="D725" s="0" t="s">
        <v>2431</v>
      </c>
      <c r="E725" s="0" t="s">
        <v>2785</v>
      </c>
      <c r="F725" s="0" t="s">
        <v>2782</v>
      </c>
      <c r="G725" s="0" t="s">
        <v>109</v>
      </c>
      <c r="H725" s="0" t="s">
        <v>7823</v>
      </c>
      <c r="I725" s="0" t="s">
        <v>7338</v>
      </c>
      <c r="J725" s="0" t="s">
        <v>1602</v>
      </c>
      <c r="K725" s="0" t="s">
        <v>7339</v>
      </c>
      <c r="L725" s="0" t="s">
        <v>7340</v>
      </c>
      <c r="M725" s="0" t="s">
        <v>7661</v>
      </c>
      <c r="N725" s="0" t="s">
        <v>7342</v>
      </c>
      <c r="P725" s="0" t="s">
        <v>229</v>
      </c>
      <c r="R725" s="0" t="s">
        <v>7343</v>
      </c>
      <c r="S725" s="0" t="s">
        <v>7344</v>
      </c>
      <c r="T725" s="0" t="s">
        <v>228</v>
      </c>
      <c r="V725" s="0" t="s">
        <v>34</v>
      </c>
      <c r="W725" s="0" t="s">
        <v>36</v>
      </c>
      <c r="Y725" s="0" t="s">
        <v>7346</v>
      </c>
      <c r="Z725" s="0" t="s">
        <v>7347</v>
      </c>
      <c r="AA725" s="0" t="s">
        <v>7348</v>
      </c>
      <c r="AB725" s="0" t="s">
        <v>231</v>
      </c>
      <c r="AC725" s="0" t="s">
        <v>7349</v>
      </c>
      <c r="AD725" s="0" t="s">
        <v>7350</v>
      </c>
      <c r="AE725" s="0" t="s">
        <v>7779</v>
      </c>
      <c r="AF725" s="0" t="s">
        <v>7352</v>
      </c>
      <c r="AG725" s="0" t="s">
        <v>230</v>
      </c>
    </row>
    <row r="726" customFormat="false" ht="15" hidden="false" customHeight="false" outlineLevel="0" collapsed="false">
      <c r="A726" s="0" t="s">
        <v>7336</v>
      </c>
      <c r="B726" s="0" t="s">
        <v>2786</v>
      </c>
      <c r="C726" s="0" t="s">
        <v>2787</v>
      </c>
      <c r="D726" s="0" t="s">
        <v>2431</v>
      </c>
      <c r="E726" s="0" t="s">
        <v>2788</v>
      </c>
      <c r="F726" s="0" t="s">
        <v>2725</v>
      </c>
      <c r="G726" s="0" t="s">
        <v>109</v>
      </c>
      <c r="H726" s="0" t="s">
        <v>7817</v>
      </c>
      <c r="I726" s="0" t="s">
        <v>7338</v>
      </c>
      <c r="J726" s="0" t="s">
        <v>1602</v>
      </c>
      <c r="K726" s="0" t="s">
        <v>7339</v>
      </c>
      <c r="L726" s="0" t="s">
        <v>7340</v>
      </c>
      <c r="M726" s="0" t="s">
        <v>7661</v>
      </c>
      <c r="N726" s="0" t="s">
        <v>7342</v>
      </c>
      <c r="P726" s="0" t="s">
        <v>229</v>
      </c>
      <c r="R726" s="0" t="s">
        <v>7343</v>
      </c>
      <c r="S726" s="0" t="s">
        <v>7344</v>
      </c>
      <c r="T726" s="0" t="s">
        <v>681</v>
      </c>
      <c r="V726" s="0" t="s">
        <v>34</v>
      </c>
      <c r="W726" s="0" t="s">
        <v>36</v>
      </c>
      <c r="Y726" s="0" t="s">
        <v>7495</v>
      </c>
      <c r="Z726" s="0" t="s">
        <v>7496</v>
      </c>
      <c r="AA726" s="0" t="s">
        <v>7497</v>
      </c>
      <c r="AB726" s="0" t="s">
        <v>682</v>
      </c>
      <c r="AC726" s="0" t="s">
        <v>7349</v>
      </c>
      <c r="AD726" s="0" t="s">
        <v>7498</v>
      </c>
      <c r="AE726" s="0" t="s">
        <v>1341</v>
      </c>
      <c r="AF726" s="0" t="s">
        <v>7499</v>
      </c>
      <c r="AG726" s="0" t="s">
        <v>230</v>
      </c>
    </row>
    <row r="727" customFormat="false" ht="15" hidden="false" customHeight="false" outlineLevel="0" collapsed="false">
      <c r="A727" s="0" t="s">
        <v>7336</v>
      </c>
      <c r="B727" s="0" t="s">
        <v>2789</v>
      </c>
      <c r="C727" s="0" t="s">
        <v>2790</v>
      </c>
      <c r="D727" s="0" t="s">
        <v>2431</v>
      </c>
      <c r="E727" s="0" t="s">
        <v>2791</v>
      </c>
      <c r="F727" s="0" t="s">
        <v>2725</v>
      </c>
      <c r="G727" s="0" t="s">
        <v>109</v>
      </c>
      <c r="H727" s="0" t="s">
        <v>7817</v>
      </c>
      <c r="I727" s="0" t="s">
        <v>7338</v>
      </c>
      <c r="J727" s="0" t="s">
        <v>1602</v>
      </c>
      <c r="K727" s="0" t="s">
        <v>7339</v>
      </c>
      <c r="L727" s="0" t="s">
        <v>7340</v>
      </c>
      <c r="M727" s="0" t="s">
        <v>7661</v>
      </c>
      <c r="N727" s="0" t="s">
        <v>7342</v>
      </c>
      <c r="P727" s="0" t="s">
        <v>229</v>
      </c>
      <c r="R727" s="0" t="s">
        <v>7343</v>
      </c>
      <c r="S727" s="0" t="s">
        <v>7344</v>
      </c>
      <c r="T727" s="0" t="s">
        <v>681</v>
      </c>
      <c r="V727" s="0" t="s">
        <v>34</v>
      </c>
      <c r="W727" s="0" t="s">
        <v>36</v>
      </c>
      <c r="Y727" s="0" t="s">
        <v>7495</v>
      </c>
      <c r="Z727" s="0" t="s">
        <v>7496</v>
      </c>
      <c r="AA727" s="0" t="s">
        <v>7497</v>
      </c>
      <c r="AB727" s="0" t="s">
        <v>682</v>
      </c>
      <c r="AC727" s="0" t="s">
        <v>7349</v>
      </c>
      <c r="AD727" s="0" t="s">
        <v>7498</v>
      </c>
      <c r="AE727" s="0" t="s">
        <v>7782</v>
      </c>
      <c r="AF727" s="0" t="s">
        <v>7499</v>
      </c>
      <c r="AG727" s="0" t="s">
        <v>230</v>
      </c>
    </row>
    <row r="728" customFormat="false" ht="15" hidden="false" customHeight="false" outlineLevel="0" collapsed="false">
      <c r="A728" s="0" t="s">
        <v>7336</v>
      </c>
      <c r="B728" s="0" t="s">
        <v>2792</v>
      </c>
      <c r="C728" s="0" t="s">
        <v>2793</v>
      </c>
      <c r="D728" s="0" t="s">
        <v>2431</v>
      </c>
      <c r="E728" s="0" t="s">
        <v>2794</v>
      </c>
      <c r="F728" s="0" t="s">
        <v>2725</v>
      </c>
      <c r="G728" s="0" t="s">
        <v>109</v>
      </c>
      <c r="H728" s="0" t="s">
        <v>7817</v>
      </c>
      <c r="I728" s="0" t="s">
        <v>7338</v>
      </c>
      <c r="J728" s="0" t="s">
        <v>1602</v>
      </c>
      <c r="K728" s="0" t="s">
        <v>7339</v>
      </c>
      <c r="L728" s="0" t="s">
        <v>7340</v>
      </c>
      <c r="M728" s="0" t="s">
        <v>7661</v>
      </c>
      <c r="N728" s="0" t="s">
        <v>7342</v>
      </c>
      <c r="P728" s="0" t="s">
        <v>229</v>
      </c>
      <c r="R728" s="0" t="s">
        <v>7343</v>
      </c>
      <c r="S728" s="0" t="s">
        <v>7344</v>
      </c>
      <c r="T728" s="0" t="s">
        <v>228</v>
      </c>
      <c r="V728" s="0" t="s">
        <v>34</v>
      </c>
      <c r="W728" s="0" t="s">
        <v>48</v>
      </c>
      <c r="Y728" s="0" t="s">
        <v>7346</v>
      </c>
      <c r="Z728" s="0" t="s">
        <v>7347</v>
      </c>
      <c r="AA728" s="0" t="s">
        <v>7348</v>
      </c>
      <c r="AB728" s="0" t="s">
        <v>231</v>
      </c>
      <c r="AC728" s="0" t="s">
        <v>7349</v>
      </c>
      <c r="AD728" s="0" t="s">
        <v>7350</v>
      </c>
      <c r="AE728" s="0" t="s">
        <v>7779</v>
      </c>
      <c r="AF728" s="0" t="s">
        <v>7352</v>
      </c>
      <c r="AG728" s="0" t="s">
        <v>230</v>
      </c>
    </row>
    <row r="729" customFormat="false" ht="15" hidden="false" customHeight="false" outlineLevel="0" collapsed="false">
      <c r="A729" s="0" t="s">
        <v>7336</v>
      </c>
      <c r="B729" s="0" t="s">
        <v>2795</v>
      </c>
      <c r="C729" s="0" t="s">
        <v>2796</v>
      </c>
      <c r="D729" s="0" t="s">
        <v>2431</v>
      </c>
      <c r="E729" s="0" t="s">
        <v>2797</v>
      </c>
      <c r="F729" s="0" t="s">
        <v>2725</v>
      </c>
      <c r="G729" s="0" t="s">
        <v>109</v>
      </c>
      <c r="H729" s="0" t="s">
        <v>7817</v>
      </c>
      <c r="I729" s="0" t="s">
        <v>7338</v>
      </c>
      <c r="J729" s="0" t="s">
        <v>1602</v>
      </c>
      <c r="K729" s="0" t="s">
        <v>7339</v>
      </c>
      <c r="L729" s="0" t="s">
        <v>7340</v>
      </c>
      <c r="M729" s="0" t="s">
        <v>7661</v>
      </c>
      <c r="N729" s="0" t="s">
        <v>7342</v>
      </c>
      <c r="P729" s="0" t="s">
        <v>229</v>
      </c>
      <c r="Q729" s="0" t="s">
        <v>7354</v>
      </c>
      <c r="R729" s="0" t="s">
        <v>7824</v>
      </c>
      <c r="S729" s="0" t="s">
        <v>7344</v>
      </c>
      <c r="T729" s="0" t="s">
        <v>58</v>
      </c>
      <c r="V729" s="0" t="s">
        <v>55</v>
      </c>
      <c r="W729" s="0" t="s">
        <v>57</v>
      </c>
      <c r="X729" s="0" t="s">
        <v>7355</v>
      </c>
      <c r="Y729" s="0" t="s">
        <v>7667</v>
      </c>
      <c r="Z729" s="0" t="s">
        <v>7825</v>
      </c>
      <c r="AB729" s="0" t="s">
        <v>344</v>
      </c>
      <c r="AC729" s="0" t="s">
        <v>7349</v>
      </c>
      <c r="AE729" s="0" t="s">
        <v>7826</v>
      </c>
      <c r="AF729" s="0" t="s">
        <v>7374</v>
      </c>
      <c r="AG729" s="0" t="s">
        <v>230</v>
      </c>
    </row>
    <row r="730" customFormat="false" ht="15" hidden="false" customHeight="false" outlineLevel="0" collapsed="false">
      <c r="A730" s="0" t="s">
        <v>7336</v>
      </c>
      <c r="B730" s="0" t="s">
        <v>2798</v>
      </c>
      <c r="C730" s="0" t="s">
        <v>2799</v>
      </c>
      <c r="D730" s="0" t="s">
        <v>2431</v>
      </c>
      <c r="E730" s="0" t="s">
        <v>2800</v>
      </c>
      <c r="F730" s="0" t="s">
        <v>2725</v>
      </c>
      <c r="G730" s="0" t="s">
        <v>109</v>
      </c>
      <c r="H730" s="0" t="s">
        <v>7817</v>
      </c>
      <c r="I730" s="0" t="s">
        <v>7338</v>
      </c>
      <c r="J730" s="0" t="s">
        <v>1602</v>
      </c>
      <c r="K730" s="0" t="s">
        <v>7339</v>
      </c>
      <c r="L730" s="0" t="s">
        <v>7340</v>
      </c>
      <c r="M730" s="0" t="s">
        <v>7661</v>
      </c>
      <c r="N730" s="0" t="s">
        <v>7342</v>
      </c>
      <c r="P730" s="0" t="s">
        <v>229</v>
      </c>
      <c r="R730" s="0" t="s">
        <v>7343</v>
      </c>
      <c r="S730" s="0" t="s">
        <v>7344</v>
      </c>
      <c r="T730" s="0" t="s">
        <v>681</v>
      </c>
      <c r="V730" s="0" t="s">
        <v>34</v>
      </c>
      <c r="W730" s="0" t="s">
        <v>36</v>
      </c>
      <c r="Y730" s="0" t="s">
        <v>7495</v>
      </c>
      <c r="Z730" s="0" t="s">
        <v>7496</v>
      </c>
      <c r="AA730" s="0" t="s">
        <v>7497</v>
      </c>
      <c r="AB730" s="0" t="s">
        <v>682</v>
      </c>
      <c r="AC730" s="0" t="s">
        <v>7349</v>
      </c>
      <c r="AD730" s="0" t="s">
        <v>7498</v>
      </c>
      <c r="AE730" s="0" t="s">
        <v>7815</v>
      </c>
      <c r="AF730" s="0" t="s">
        <v>7499</v>
      </c>
      <c r="AG730" s="0" t="s">
        <v>230</v>
      </c>
    </row>
    <row r="731" customFormat="false" ht="15" hidden="false" customHeight="false" outlineLevel="0" collapsed="false">
      <c r="A731" s="0" t="s">
        <v>7336</v>
      </c>
      <c r="B731" s="0" t="s">
        <v>2801</v>
      </c>
      <c r="C731" s="0" t="s">
        <v>2802</v>
      </c>
      <c r="D731" s="0" t="s">
        <v>2431</v>
      </c>
      <c r="E731" s="0" t="s">
        <v>2803</v>
      </c>
      <c r="F731" s="0" t="s">
        <v>2725</v>
      </c>
      <c r="G731" s="0" t="s">
        <v>109</v>
      </c>
      <c r="H731" s="0" t="s">
        <v>7817</v>
      </c>
      <c r="I731" s="0" t="s">
        <v>7338</v>
      </c>
      <c r="J731" s="0" t="s">
        <v>1602</v>
      </c>
      <c r="K731" s="0" t="s">
        <v>7339</v>
      </c>
      <c r="L731" s="0" t="s">
        <v>7340</v>
      </c>
      <c r="M731" s="0" t="s">
        <v>7661</v>
      </c>
      <c r="N731" s="0" t="s">
        <v>7342</v>
      </c>
      <c r="P731" s="0" t="s">
        <v>229</v>
      </c>
      <c r="R731" s="0" t="s">
        <v>7343</v>
      </c>
      <c r="S731" s="0" t="s">
        <v>7344</v>
      </c>
      <c r="T731" s="0" t="s">
        <v>228</v>
      </c>
      <c r="V731" s="0" t="s">
        <v>34</v>
      </c>
      <c r="W731" s="0" t="s">
        <v>48</v>
      </c>
      <c r="Y731" s="0" t="s">
        <v>7346</v>
      </c>
      <c r="Z731" s="0" t="s">
        <v>7347</v>
      </c>
      <c r="AA731" s="0" t="s">
        <v>7348</v>
      </c>
      <c r="AB731" s="0" t="s">
        <v>231</v>
      </c>
      <c r="AC731" s="0" t="s">
        <v>7349</v>
      </c>
      <c r="AD731" s="0" t="s">
        <v>7350</v>
      </c>
      <c r="AE731" s="0" t="s">
        <v>7779</v>
      </c>
      <c r="AF731" s="0" t="s">
        <v>7352</v>
      </c>
      <c r="AG731" s="0" t="s">
        <v>230</v>
      </c>
    </row>
    <row r="732" customFormat="false" ht="15" hidden="false" customHeight="false" outlineLevel="0" collapsed="false">
      <c r="A732" s="0" t="s">
        <v>7336</v>
      </c>
      <c r="B732" s="0" t="s">
        <v>2804</v>
      </c>
      <c r="C732" s="0" t="s">
        <v>2805</v>
      </c>
      <c r="D732" s="0" t="s">
        <v>2431</v>
      </c>
      <c r="E732" s="0" t="s">
        <v>2806</v>
      </c>
      <c r="F732" s="0" t="s">
        <v>2807</v>
      </c>
      <c r="G732" s="0" t="s">
        <v>109</v>
      </c>
      <c r="H732" s="0" t="s">
        <v>7827</v>
      </c>
      <c r="I732" s="0" t="s">
        <v>7338</v>
      </c>
      <c r="J732" s="0" t="s">
        <v>1602</v>
      </c>
      <c r="K732" s="0" t="s">
        <v>7339</v>
      </c>
      <c r="L732" s="0" t="s">
        <v>7340</v>
      </c>
      <c r="M732" s="0" t="s">
        <v>7661</v>
      </c>
      <c r="N732" s="0" t="s">
        <v>7342</v>
      </c>
      <c r="P732" s="0" t="s">
        <v>229</v>
      </c>
      <c r="R732" s="0" t="s">
        <v>7343</v>
      </c>
      <c r="S732" s="0" t="s">
        <v>7344</v>
      </c>
      <c r="T732" s="0" t="s">
        <v>681</v>
      </c>
      <c r="V732" s="0" t="s">
        <v>34</v>
      </c>
      <c r="W732" s="0" t="s">
        <v>36</v>
      </c>
      <c r="Y732" s="0" t="s">
        <v>7495</v>
      </c>
      <c r="Z732" s="0" t="s">
        <v>7496</v>
      </c>
      <c r="AA732" s="0" t="s">
        <v>7497</v>
      </c>
      <c r="AB732" s="0" t="s">
        <v>682</v>
      </c>
      <c r="AC732" s="0" t="s">
        <v>7349</v>
      </c>
      <c r="AD732" s="0" t="s">
        <v>7498</v>
      </c>
      <c r="AE732" s="0" t="s">
        <v>1341</v>
      </c>
      <c r="AF732" s="0" t="s">
        <v>7499</v>
      </c>
      <c r="AG732" s="0" t="s">
        <v>230</v>
      </c>
    </row>
    <row r="733" customFormat="false" ht="15" hidden="false" customHeight="false" outlineLevel="0" collapsed="false">
      <c r="A733" s="0" t="s">
        <v>7336</v>
      </c>
      <c r="B733" s="0" t="s">
        <v>2808</v>
      </c>
      <c r="C733" s="0" t="s">
        <v>2809</v>
      </c>
      <c r="D733" s="0" t="s">
        <v>2431</v>
      </c>
      <c r="E733" s="0" t="s">
        <v>2810</v>
      </c>
      <c r="F733" s="0" t="s">
        <v>2807</v>
      </c>
      <c r="G733" s="0" t="s">
        <v>109</v>
      </c>
      <c r="H733" s="0" t="s">
        <v>7827</v>
      </c>
      <c r="I733" s="0" t="s">
        <v>7338</v>
      </c>
      <c r="J733" s="0" t="s">
        <v>1602</v>
      </c>
      <c r="K733" s="0" t="s">
        <v>7339</v>
      </c>
      <c r="L733" s="0" t="s">
        <v>7340</v>
      </c>
      <c r="M733" s="0" t="s">
        <v>7661</v>
      </c>
      <c r="N733" s="0" t="s">
        <v>7342</v>
      </c>
      <c r="P733" s="0" t="s">
        <v>229</v>
      </c>
      <c r="R733" s="0" t="s">
        <v>7343</v>
      </c>
      <c r="S733" s="0" t="s">
        <v>7344</v>
      </c>
      <c r="T733" s="0" t="s">
        <v>681</v>
      </c>
      <c r="V733" s="0" t="s">
        <v>34</v>
      </c>
      <c r="W733" s="0" t="s">
        <v>36</v>
      </c>
      <c r="Y733" s="0" t="s">
        <v>7495</v>
      </c>
      <c r="Z733" s="0" t="s">
        <v>7496</v>
      </c>
      <c r="AA733" s="0" t="s">
        <v>7497</v>
      </c>
      <c r="AB733" s="0" t="s">
        <v>682</v>
      </c>
      <c r="AC733" s="0" t="s">
        <v>7349</v>
      </c>
      <c r="AD733" s="0" t="s">
        <v>7498</v>
      </c>
      <c r="AE733" s="0" t="s">
        <v>7782</v>
      </c>
      <c r="AF733" s="0" t="s">
        <v>7499</v>
      </c>
      <c r="AG733" s="0" t="s">
        <v>230</v>
      </c>
    </row>
    <row r="734" customFormat="false" ht="15" hidden="false" customHeight="false" outlineLevel="0" collapsed="false">
      <c r="A734" s="0" t="s">
        <v>7336</v>
      </c>
      <c r="B734" s="0" t="s">
        <v>2811</v>
      </c>
      <c r="C734" s="0" t="s">
        <v>2812</v>
      </c>
      <c r="D734" s="0" t="s">
        <v>2431</v>
      </c>
      <c r="E734" s="0" t="s">
        <v>2813</v>
      </c>
      <c r="F734" s="0" t="s">
        <v>2807</v>
      </c>
      <c r="G734" s="0" t="s">
        <v>109</v>
      </c>
      <c r="H734" s="0" t="s">
        <v>7827</v>
      </c>
      <c r="I734" s="0" t="s">
        <v>7338</v>
      </c>
      <c r="J734" s="0" t="s">
        <v>1602</v>
      </c>
      <c r="K734" s="0" t="s">
        <v>7339</v>
      </c>
      <c r="L734" s="0" t="s">
        <v>7340</v>
      </c>
      <c r="M734" s="0" t="s">
        <v>7661</v>
      </c>
      <c r="N734" s="0" t="s">
        <v>7342</v>
      </c>
      <c r="P734" s="0" t="s">
        <v>229</v>
      </c>
      <c r="R734" s="0" t="s">
        <v>7343</v>
      </c>
      <c r="S734" s="0" t="s">
        <v>7344</v>
      </c>
      <c r="T734" s="0" t="s">
        <v>228</v>
      </c>
      <c r="V734" s="0" t="s">
        <v>34</v>
      </c>
      <c r="W734" s="0" t="s">
        <v>48</v>
      </c>
      <c r="Y734" s="0" t="s">
        <v>7346</v>
      </c>
      <c r="Z734" s="0" t="s">
        <v>7347</v>
      </c>
      <c r="AA734" s="0" t="s">
        <v>7348</v>
      </c>
      <c r="AB734" s="0" t="s">
        <v>231</v>
      </c>
      <c r="AC734" s="0" t="s">
        <v>7349</v>
      </c>
      <c r="AD734" s="0" t="s">
        <v>7350</v>
      </c>
      <c r="AE734" s="0" t="s">
        <v>7779</v>
      </c>
      <c r="AF734" s="0" t="s">
        <v>7352</v>
      </c>
      <c r="AG734" s="0" t="s">
        <v>230</v>
      </c>
    </row>
    <row r="735" customFormat="false" ht="15" hidden="false" customHeight="false" outlineLevel="0" collapsed="false">
      <c r="A735" s="0" t="s">
        <v>7336</v>
      </c>
      <c r="B735" s="0" t="s">
        <v>2814</v>
      </c>
      <c r="C735" s="0" t="s">
        <v>2815</v>
      </c>
      <c r="D735" s="0" t="s">
        <v>2431</v>
      </c>
      <c r="E735" s="0" t="s">
        <v>2816</v>
      </c>
      <c r="F735" s="0" t="s">
        <v>2807</v>
      </c>
      <c r="G735" s="0" t="s">
        <v>109</v>
      </c>
      <c r="H735" s="0" t="s">
        <v>7827</v>
      </c>
      <c r="I735" s="0" t="s">
        <v>7338</v>
      </c>
      <c r="J735" s="0" t="s">
        <v>1602</v>
      </c>
      <c r="K735" s="0" t="s">
        <v>7339</v>
      </c>
      <c r="L735" s="0" t="s">
        <v>7340</v>
      </c>
      <c r="M735" s="0" t="s">
        <v>7661</v>
      </c>
      <c r="N735" s="0" t="s">
        <v>7342</v>
      </c>
      <c r="P735" s="0" t="s">
        <v>229</v>
      </c>
      <c r="Q735" s="0" t="s">
        <v>7354</v>
      </c>
      <c r="R735" s="0" t="s">
        <v>7824</v>
      </c>
      <c r="S735" s="0" t="s">
        <v>7344</v>
      </c>
      <c r="T735" s="0" t="s">
        <v>58</v>
      </c>
      <c r="V735" s="0" t="s">
        <v>55</v>
      </c>
      <c r="W735" s="0" t="s">
        <v>57</v>
      </c>
      <c r="X735" s="0" t="s">
        <v>7355</v>
      </c>
      <c r="Y735" s="0" t="s">
        <v>7667</v>
      </c>
      <c r="Z735" s="0" t="s">
        <v>7825</v>
      </c>
      <c r="AB735" s="0" t="s">
        <v>344</v>
      </c>
      <c r="AC735" s="0" t="s">
        <v>7349</v>
      </c>
      <c r="AE735" s="0" t="s">
        <v>7826</v>
      </c>
      <c r="AF735" s="0" t="s">
        <v>7374</v>
      </c>
      <c r="AG735" s="0" t="s">
        <v>230</v>
      </c>
    </row>
    <row r="736" customFormat="false" ht="15" hidden="false" customHeight="false" outlineLevel="0" collapsed="false">
      <c r="A736" s="0" t="s">
        <v>7336</v>
      </c>
      <c r="B736" s="0" t="s">
        <v>2817</v>
      </c>
      <c r="C736" s="0" t="s">
        <v>2818</v>
      </c>
      <c r="D736" s="0" t="s">
        <v>2431</v>
      </c>
      <c r="E736" s="0" t="s">
        <v>2819</v>
      </c>
      <c r="F736" s="0" t="s">
        <v>2820</v>
      </c>
      <c r="G736" s="0" t="s">
        <v>109</v>
      </c>
      <c r="H736" s="0" t="s">
        <v>7828</v>
      </c>
      <c r="I736" s="0" t="s">
        <v>7338</v>
      </c>
      <c r="J736" s="0" t="s">
        <v>1602</v>
      </c>
      <c r="K736" s="0" t="s">
        <v>7339</v>
      </c>
      <c r="L736" s="0" t="s">
        <v>7340</v>
      </c>
      <c r="M736" s="0" t="s">
        <v>7661</v>
      </c>
      <c r="N736" s="0" t="s">
        <v>7342</v>
      </c>
      <c r="P736" s="0" t="s">
        <v>229</v>
      </c>
      <c r="R736" s="0" t="s">
        <v>7343</v>
      </c>
      <c r="S736" s="0" t="s">
        <v>7344</v>
      </c>
      <c r="T736" s="0" t="s">
        <v>681</v>
      </c>
      <c r="V736" s="0" t="s">
        <v>34</v>
      </c>
      <c r="W736" s="0" t="s">
        <v>36</v>
      </c>
      <c r="Y736" s="0" t="s">
        <v>7495</v>
      </c>
      <c r="Z736" s="0" t="s">
        <v>7496</v>
      </c>
      <c r="AA736" s="0" t="s">
        <v>7497</v>
      </c>
      <c r="AB736" s="0" t="s">
        <v>682</v>
      </c>
      <c r="AC736" s="0" t="s">
        <v>7349</v>
      </c>
      <c r="AD736" s="0" t="s">
        <v>7498</v>
      </c>
      <c r="AE736" s="0" t="s">
        <v>7815</v>
      </c>
      <c r="AF736" s="0" t="s">
        <v>7499</v>
      </c>
      <c r="AG736" s="0" t="s">
        <v>230</v>
      </c>
    </row>
    <row r="737" customFormat="false" ht="15" hidden="false" customHeight="false" outlineLevel="0" collapsed="false">
      <c r="A737" s="0" t="s">
        <v>7336</v>
      </c>
      <c r="B737" s="0" t="s">
        <v>2821</v>
      </c>
      <c r="C737" s="0" t="s">
        <v>2822</v>
      </c>
      <c r="D737" s="0" t="s">
        <v>2431</v>
      </c>
      <c r="E737" s="0" t="s">
        <v>2823</v>
      </c>
      <c r="F737" s="0" t="s">
        <v>2820</v>
      </c>
      <c r="G737" s="0" t="s">
        <v>109</v>
      </c>
      <c r="H737" s="0" t="s">
        <v>7828</v>
      </c>
      <c r="I737" s="0" t="s">
        <v>7338</v>
      </c>
      <c r="J737" s="0" t="s">
        <v>1602</v>
      </c>
      <c r="K737" s="0" t="s">
        <v>7339</v>
      </c>
      <c r="L737" s="0" t="s">
        <v>7340</v>
      </c>
      <c r="M737" s="0" t="s">
        <v>7661</v>
      </c>
      <c r="N737" s="0" t="s">
        <v>7342</v>
      </c>
      <c r="P737" s="0" t="s">
        <v>229</v>
      </c>
      <c r="R737" s="0" t="s">
        <v>7343</v>
      </c>
      <c r="S737" s="0" t="s">
        <v>7344</v>
      </c>
      <c r="T737" s="0" t="s">
        <v>228</v>
      </c>
      <c r="V737" s="0" t="s">
        <v>34</v>
      </c>
      <c r="W737" s="0" t="s">
        <v>36</v>
      </c>
      <c r="Y737" s="0" t="s">
        <v>7346</v>
      </c>
      <c r="Z737" s="0" t="s">
        <v>7347</v>
      </c>
      <c r="AA737" s="0" t="s">
        <v>7348</v>
      </c>
      <c r="AB737" s="0" t="s">
        <v>231</v>
      </c>
      <c r="AC737" s="0" t="s">
        <v>7349</v>
      </c>
      <c r="AD737" s="0" t="s">
        <v>7350</v>
      </c>
      <c r="AE737" s="0" t="s">
        <v>7779</v>
      </c>
      <c r="AF737" s="0" t="s">
        <v>7352</v>
      </c>
      <c r="AG737" s="0" t="s">
        <v>230</v>
      </c>
    </row>
    <row r="738" customFormat="false" ht="15" hidden="false" customHeight="false" outlineLevel="0" collapsed="false">
      <c r="A738" s="0" t="s">
        <v>7336</v>
      </c>
      <c r="B738" s="0" t="s">
        <v>2824</v>
      </c>
      <c r="C738" s="0" t="s">
        <v>2825</v>
      </c>
      <c r="D738" s="0" t="s">
        <v>2431</v>
      </c>
      <c r="E738" s="0" t="s">
        <v>2826</v>
      </c>
      <c r="F738" s="0" t="s">
        <v>2827</v>
      </c>
      <c r="G738" s="0" t="s">
        <v>109</v>
      </c>
      <c r="H738" s="0" t="s">
        <v>7829</v>
      </c>
      <c r="I738" s="0" t="s">
        <v>7338</v>
      </c>
      <c r="J738" s="0" t="s">
        <v>1602</v>
      </c>
      <c r="K738" s="0" t="s">
        <v>7339</v>
      </c>
      <c r="L738" s="0" t="s">
        <v>7340</v>
      </c>
      <c r="M738" s="0" t="s">
        <v>7661</v>
      </c>
      <c r="N738" s="0" t="s">
        <v>7342</v>
      </c>
      <c r="P738" s="0" t="s">
        <v>229</v>
      </c>
      <c r="R738" s="0" t="s">
        <v>7343</v>
      </c>
      <c r="S738" s="0" t="s">
        <v>7344</v>
      </c>
      <c r="T738" s="0" t="s">
        <v>228</v>
      </c>
      <c r="V738" s="0" t="s">
        <v>34</v>
      </c>
      <c r="W738" s="0" t="s">
        <v>46</v>
      </c>
      <c r="X738" s="0" t="s">
        <v>7345</v>
      </c>
      <c r="Y738" s="0" t="s">
        <v>7346</v>
      </c>
      <c r="Z738" s="0" t="s">
        <v>7347</v>
      </c>
      <c r="AA738" s="0" t="s">
        <v>7348</v>
      </c>
      <c r="AB738" s="0" t="s">
        <v>231</v>
      </c>
      <c r="AC738" s="0" t="s">
        <v>7349</v>
      </c>
      <c r="AD738" s="0" t="s">
        <v>7500</v>
      </c>
      <c r="AE738" s="0" t="s">
        <v>7783</v>
      </c>
      <c r="AF738" s="0" t="s">
        <v>7352</v>
      </c>
      <c r="AG738" s="0" t="s">
        <v>230</v>
      </c>
    </row>
    <row r="739" customFormat="false" ht="15" hidden="false" customHeight="false" outlineLevel="0" collapsed="false">
      <c r="A739" s="0" t="s">
        <v>7336</v>
      </c>
      <c r="B739" s="0" t="s">
        <v>2828</v>
      </c>
      <c r="C739" s="0" t="s">
        <v>2829</v>
      </c>
      <c r="D739" s="0" t="s">
        <v>2431</v>
      </c>
      <c r="E739" s="0" t="s">
        <v>2830</v>
      </c>
      <c r="F739" s="0" t="s">
        <v>2827</v>
      </c>
      <c r="G739" s="0" t="s">
        <v>109</v>
      </c>
      <c r="H739" s="0" t="s">
        <v>7829</v>
      </c>
      <c r="I739" s="0" t="s">
        <v>7338</v>
      </c>
      <c r="J739" s="0" t="s">
        <v>1602</v>
      </c>
      <c r="K739" s="0" t="s">
        <v>7339</v>
      </c>
      <c r="L739" s="0" t="s">
        <v>7340</v>
      </c>
      <c r="M739" s="0" t="s">
        <v>7661</v>
      </c>
      <c r="N739" s="0" t="s">
        <v>7342</v>
      </c>
      <c r="P739" s="0" t="s">
        <v>229</v>
      </c>
      <c r="R739" s="0" t="s">
        <v>7343</v>
      </c>
      <c r="S739" s="0" t="s">
        <v>7344</v>
      </c>
      <c r="T739" s="0" t="s">
        <v>681</v>
      </c>
      <c r="V739" s="0" t="s">
        <v>34</v>
      </c>
      <c r="W739" s="0" t="s">
        <v>36</v>
      </c>
      <c r="Y739" s="0" t="s">
        <v>7495</v>
      </c>
      <c r="Z739" s="0" t="s">
        <v>7496</v>
      </c>
      <c r="AA739" s="0" t="s">
        <v>7497</v>
      </c>
      <c r="AB739" s="0" t="s">
        <v>682</v>
      </c>
      <c r="AC739" s="0" t="s">
        <v>7349</v>
      </c>
      <c r="AD739" s="0" t="s">
        <v>7498</v>
      </c>
      <c r="AE739" s="0" t="s">
        <v>1341</v>
      </c>
      <c r="AF739" s="0" t="s">
        <v>7499</v>
      </c>
      <c r="AG739" s="0" t="s">
        <v>230</v>
      </c>
    </row>
    <row r="740" customFormat="false" ht="15" hidden="false" customHeight="false" outlineLevel="0" collapsed="false">
      <c r="A740" s="0" t="s">
        <v>7336</v>
      </c>
      <c r="B740" s="0" t="s">
        <v>2831</v>
      </c>
      <c r="C740" s="0" t="s">
        <v>2832</v>
      </c>
      <c r="D740" s="0" t="s">
        <v>2431</v>
      </c>
      <c r="E740" s="0" t="s">
        <v>2833</v>
      </c>
      <c r="F740" s="0" t="s">
        <v>2827</v>
      </c>
      <c r="G740" s="0" t="s">
        <v>109</v>
      </c>
      <c r="H740" s="0" t="s">
        <v>7829</v>
      </c>
      <c r="I740" s="0" t="s">
        <v>7338</v>
      </c>
      <c r="J740" s="0" t="s">
        <v>1602</v>
      </c>
      <c r="K740" s="0" t="s">
        <v>7339</v>
      </c>
      <c r="L740" s="0" t="s">
        <v>7340</v>
      </c>
      <c r="M740" s="0" t="s">
        <v>7661</v>
      </c>
      <c r="N740" s="0" t="s">
        <v>7342</v>
      </c>
      <c r="P740" s="0" t="s">
        <v>229</v>
      </c>
      <c r="R740" s="0" t="s">
        <v>7343</v>
      </c>
      <c r="S740" s="0" t="s">
        <v>7344</v>
      </c>
      <c r="T740" s="0" t="s">
        <v>681</v>
      </c>
      <c r="V740" s="0" t="s">
        <v>34</v>
      </c>
      <c r="W740" s="0" t="s">
        <v>36</v>
      </c>
      <c r="Y740" s="0" t="s">
        <v>7495</v>
      </c>
      <c r="Z740" s="0" t="s">
        <v>7496</v>
      </c>
      <c r="AA740" s="0" t="s">
        <v>7497</v>
      </c>
      <c r="AB740" s="0" t="s">
        <v>682</v>
      </c>
      <c r="AC740" s="0" t="s">
        <v>7349</v>
      </c>
      <c r="AD740" s="0" t="s">
        <v>7498</v>
      </c>
      <c r="AE740" s="0" t="s">
        <v>7815</v>
      </c>
      <c r="AF740" s="0" t="s">
        <v>7499</v>
      </c>
      <c r="AG740" s="0" t="s">
        <v>230</v>
      </c>
    </row>
    <row r="741" customFormat="false" ht="15" hidden="false" customHeight="false" outlineLevel="0" collapsed="false">
      <c r="A741" s="0" t="s">
        <v>7336</v>
      </c>
      <c r="B741" s="0" t="s">
        <v>2834</v>
      </c>
      <c r="C741" s="0" t="s">
        <v>2835</v>
      </c>
      <c r="D741" s="0" t="s">
        <v>2431</v>
      </c>
      <c r="E741" s="0" t="s">
        <v>2836</v>
      </c>
      <c r="F741" s="0" t="s">
        <v>2827</v>
      </c>
      <c r="G741" s="0" t="s">
        <v>109</v>
      </c>
      <c r="H741" s="0" t="s">
        <v>7829</v>
      </c>
      <c r="I741" s="0" t="s">
        <v>7338</v>
      </c>
      <c r="J741" s="0" t="s">
        <v>1602</v>
      </c>
      <c r="K741" s="0" t="s">
        <v>7339</v>
      </c>
      <c r="L741" s="0" t="s">
        <v>7340</v>
      </c>
      <c r="M741" s="0" t="s">
        <v>7661</v>
      </c>
      <c r="N741" s="0" t="s">
        <v>7342</v>
      </c>
      <c r="P741" s="0" t="s">
        <v>229</v>
      </c>
      <c r="R741" s="0" t="s">
        <v>7343</v>
      </c>
      <c r="S741" s="0" t="s">
        <v>7344</v>
      </c>
      <c r="T741" s="0" t="s">
        <v>228</v>
      </c>
      <c r="V741" s="0" t="s">
        <v>34</v>
      </c>
      <c r="W741" s="0" t="s">
        <v>36</v>
      </c>
      <c r="Y741" s="0" t="s">
        <v>7346</v>
      </c>
      <c r="Z741" s="0" t="s">
        <v>7347</v>
      </c>
      <c r="AA741" s="0" t="s">
        <v>7348</v>
      </c>
      <c r="AB741" s="0" t="s">
        <v>231</v>
      </c>
      <c r="AC741" s="0" t="s">
        <v>7349</v>
      </c>
      <c r="AD741" s="0" t="s">
        <v>7350</v>
      </c>
      <c r="AE741" s="0" t="s">
        <v>7779</v>
      </c>
      <c r="AF741" s="0" t="s">
        <v>7352</v>
      </c>
      <c r="AG741" s="0" t="s">
        <v>230</v>
      </c>
    </row>
    <row r="742" customFormat="false" ht="15" hidden="false" customHeight="false" outlineLevel="0" collapsed="false">
      <c r="A742" s="0" t="s">
        <v>7336</v>
      </c>
      <c r="B742" s="0" t="s">
        <v>2837</v>
      </c>
      <c r="C742" s="0" t="s">
        <v>2667</v>
      </c>
      <c r="D742" s="0" t="s">
        <v>2431</v>
      </c>
      <c r="E742" s="0" t="s">
        <v>2668</v>
      </c>
      <c r="F742" s="0" t="s">
        <v>2769</v>
      </c>
      <c r="G742" s="0" t="s">
        <v>109</v>
      </c>
      <c r="H742" s="0" t="s">
        <v>7822</v>
      </c>
      <c r="I742" s="0" t="s">
        <v>7338</v>
      </c>
      <c r="J742" s="0" t="s">
        <v>1602</v>
      </c>
      <c r="K742" s="0" t="s">
        <v>7339</v>
      </c>
      <c r="L742" s="0" t="s">
        <v>7340</v>
      </c>
      <c r="M742" s="0" t="s">
        <v>7661</v>
      </c>
      <c r="N742" s="0" t="s">
        <v>7342</v>
      </c>
      <c r="P742" s="0" t="s">
        <v>229</v>
      </c>
      <c r="R742" s="0" t="s">
        <v>7343</v>
      </c>
      <c r="S742" s="0" t="s">
        <v>7344</v>
      </c>
      <c r="T742" s="0" t="s">
        <v>681</v>
      </c>
      <c r="V742" s="0" t="s">
        <v>34</v>
      </c>
      <c r="W742" s="0" t="s">
        <v>36</v>
      </c>
      <c r="X742" s="0" t="s">
        <v>7345</v>
      </c>
      <c r="Y742" s="0" t="s">
        <v>7495</v>
      </c>
      <c r="Z742" s="0" t="s">
        <v>7496</v>
      </c>
      <c r="AA742" s="0" t="s">
        <v>7497</v>
      </c>
      <c r="AB742" s="0" t="s">
        <v>682</v>
      </c>
      <c r="AC742" s="0" t="s">
        <v>7349</v>
      </c>
      <c r="AD742" s="0" t="s">
        <v>7498</v>
      </c>
      <c r="AE742" s="0" t="s">
        <v>7810</v>
      </c>
      <c r="AF742" s="0" t="s">
        <v>7499</v>
      </c>
      <c r="AG742" s="0" t="s">
        <v>230</v>
      </c>
    </row>
    <row r="743" customFormat="false" ht="15" hidden="false" customHeight="false" outlineLevel="0" collapsed="false">
      <c r="A743" s="0" t="s">
        <v>7336</v>
      </c>
      <c r="B743" s="0" t="s">
        <v>2838</v>
      </c>
      <c r="C743" s="0" t="s">
        <v>2839</v>
      </c>
      <c r="D743" s="0" t="s">
        <v>300</v>
      </c>
      <c r="E743" s="0" t="s">
        <v>2840</v>
      </c>
      <c r="F743" s="0" t="s">
        <v>2841</v>
      </c>
      <c r="G743" s="0" t="s">
        <v>138</v>
      </c>
      <c r="H743" s="0" t="s">
        <v>7830</v>
      </c>
      <c r="I743" s="0" t="s">
        <v>7338</v>
      </c>
      <c r="J743" s="0" t="s">
        <v>1602</v>
      </c>
      <c r="K743" s="0" t="s">
        <v>7339</v>
      </c>
      <c r="L743" s="0" t="s">
        <v>7340</v>
      </c>
      <c r="M743" s="0" t="s">
        <v>7661</v>
      </c>
      <c r="N743" s="0" t="s">
        <v>7342</v>
      </c>
      <c r="O743" s="0" t="s">
        <v>7360</v>
      </c>
      <c r="P743" s="0" t="s">
        <v>236</v>
      </c>
      <c r="Q743" s="0" t="s">
        <v>7354</v>
      </c>
      <c r="S743" s="0" t="s">
        <v>7344</v>
      </c>
      <c r="T743" s="0" t="s">
        <v>2842</v>
      </c>
      <c r="V743" s="0" t="s">
        <v>55</v>
      </c>
      <c r="W743" s="0" t="s">
        <v>57</v>
      </c>
      <c r="X743" s="0" t="s">
        <v>7355</v>
      </c>
      <c r="Y743" s="0" t="s">
        <v>7667</v>
      </c>
      <c r="Z743" s="0" t="s">
        <v>7493</v>
      </c>
      <c r="AA743" s="0" t="s">
        <v>7831</v>
      </c>
      <c r="AB743" s="0" t="s">
        <v>344</v>
      </c>
      <c r="AC743" s="0" t="s">
        <v>7349</v>
      </c>
      <c r="AD743" s="0" t="s">
        <v>58</v>
      </c>
      <c r="AE743" s="0" t="s">
        <v>58</v>
      </c>
      <c r="AG743" s="0" t="s">
        <v>230</v>
      </c>
    </row>
    <row r="744" customFormat="false" ht="15" hidden="false" customHeight="false" outlineLevel="0" collapsed="false">
      <c r="A744" s="0" t="s">
        <v>7336</v>
      </c>
      <c r="B744" s="0" t="s">
        <v>2843</v>
      </c>
      <c r="C744" s="0" t="s">
        <v>2844</v>
      </c>
      <c r="D744" s="0" t="s">
        <v>300</v>
      </c>
      <c r="E744" s="0" t="s">
        <v>2845</v>
      </c>
      <c r="F744" s="0" t="s">
        <v>2846</v>
      </c>
      <c r="G744" s="0" t="s">
        <v>138</v>
      </c>
      <c r="H744" s="0" t="s">
        <v>7832</v>
      </c>
      <c r="I744" s="0" t="s">
        <v>7338</v>
      </c>
      <c r="J744" s="0" t="s">
        <v>1602</v>
      </c>
      <c r="K744" s="0" t="s">
        <v>7339</v>
      </c>
      <c r="L744" s="0" t="s">
        <v>7340</v>
      </c>
      <c r="M744" s="0" t="s">
        <v>7661</v>
      </c>
      <c r="N744" s="0" t="s">
        <v>7342</v>
      </c>
      <c r="O744" s="0" t="s">
        <v>7360</v>
      </c>
      <c r="P744" s="0" t="s">
        <v>236</v>
      </c>
      <c r="Q744" s="0" t="s">
        <v>7354</v>
      </c>
      <c r="S744" s="0" t="s">
        <v>7344</v>
      </c>
      <c r="T744" s="0" t="s">
        <v>2842</v>
      </c>
      <c r="V744" s="0" t="s">
        <v>55</v>
      </c>
      <c r="W744" s="0" t="s">
        <v>57</v>
      </c>
      <c r="X744" s="0" t="s">
        <v>7355</v>
      </c>
      <c r="Y744" s="0" t="s">
        <v>7667</v>
      </c>
      <c r="Z744" s="0" t="s">
        <v>7493</v>
      </c>
      <c r="AA744" s="0" t="s">
        <v>7831</v>
      </c>
      <c r="AB744" s="0" t="s">
        <v>344</v>
      </c>
      <c r="AC744" s="0" t="s">
        <v>7349</v>
      </c>
      <c r="AD744" s="0" t="s">
        <v>58</v>
      </c>
      <c r="AE744" s="0" t="s">
        <v>58</v>
      </c>
      <c r="AG744" s="0" t="s">
        <v>230</v>
      </c>
    </row>
    <row r="745" customFormat="false" ht="15" hidden="false" customHeight="false" outlineLevel="0" collapsed="false">
      <c r="A745" s="0" t="s">
        <v>7336</v>
      </c>
      <c r="B745" s="0" t="s">
        <v>2847</v>
      </c>
      <c r="C745" s="0" t="s">
        <v>2848</v>
      </c>
      <c r="D745" s="0" t="s">
        <v>300</v>
      </c>
      <c r="E745" s="0" t="s">
        <v>2849</v>
      </c>
      <c r="F745" s="0" t="s">
        <v>2850</v>
      </c>
      <c r="G745" s="0" t="s">
        <v>142</v>
      </c>
      <c r="H745" s="0" t="s">
        <v>7833</v>
      </c>
      <c r="I745" s="0" t="s">
        <v>7338</v>
      </c>
      <c r="J745" s="0" t="s">
        <v>1602</v>
      </c>
      <c r="K745" s="0" t="s">
        <v>7339</v>
      </c>
      <c r="L745" s="0" t="s">
        <v>7340</v>
      </c>
      <c r="M745" s="0" t="s">
        <v>7661</v>
      </c>
      <c r="N745" s="0" t="s">
        <v>7342</v>
      </c>
      <c r="O745" s="0" t="s">
        <v>7360</v>
      </c>
      <c r="P745" s="0" t="s">
        <v>236</v>
      </c>
      <c r="Q745" s="0" t="s">
        <v>7834</v>
      </c>
      <c r="S745" s="0" t="s">
        <v>7344</v>
      </c>
      <c r="T745" s="0" t="s">
        <v>2842</v>
      </c>
      <c r="V745" s="0" t="s">
        <v>55</v>
      </c>
      <c r="W745" s="0" t="s">
        <v>2146</v>
      </c>
      <c r="X745" s="0" t="s">
        <v>7355</v>
      </c>
      <c r="Y745" s="0" t="s">
        <v>7667</v>
      </c>
      <c r="Z745" s="0" t="s">
        <v>7493</v>
      </c>
      <c r="AA745" s="0" t="s">
        <v>7831</v>
      </c>
      <c r="AB745" s="0" t="s">
        <v>344</v>
      </c>
      <c r="AC745" s="0" t="s">
        <v>7629</v>
      </c>
      <c r="AD745" s="0" t="s">
        <v>58</v>
      </c>
      <c r="AE745" s="0" t="s">
        <v>2842</v>
      </c>
      <c r="AG745" s="0" t="s">
        <v>230</v>
      </c>
    </row>
    <row r="746" customFormat="false" ht="15" hidden="false" customHeight="false" outlineLevel="0" collapsed="false">
      <c r="A746" s="0" t="s">
        <v>7336</v>
      </c>
      <c r="B746" s="0" t="s">
        <v>2851</v>
      </c>
      <c r="C746" s="0" t="s">
        <v>2852</v>
      </c>
      <c r="D746" s="0" t="s">
        <v>300</v>
      </c>
      <c r="E746" s="0" t="s">
        <v>2853</v>
      </c>
      <c r="F746" s="0" t="s">
        <v>2854</v>
      </c>
      <c r="G746" s="0" t="s">
        <v>142</v>
      </c>
      <c r="H746" s="0" t="s">
        <v>7835</v>
      </c>
      <c r="I746" s="0" t="s">
        <v>7338</v>
      </c>
      <c r="J746" s="0" t="s">
        <v>1602</v>
      </c>
      <c r="K746" s="0" t="s">
        <v>7339</v>
      </c>
      <c r="L746" s="0" t="s">
        <v>7340</v>
      </c>
      <c r="M746" s="0" t="s">
        <v>7661</v>
      </c>
      <c r="N746" s="0" t="s">
        <v>7342</v>
      </c>
      <c r="O746" s="0" t="s">
        <v>7360</v>
      </c>
      <c r="P746" s="0" t="s">
        <v>236</v>
      </c>
      <c r="Q746" s="0" t="s">
        <v>7834</v>
      </c>
      <c r="S746" s="0" t="s">
        <v>7344</v>
      </c>
      <c r="T746" s="0" t="s">
        <v>2842</v>
      </c>
      <c r="V746" s="0" t="s">
        <v>55</v>
      </c>
      <c r="W746" s="0" t="s">
        <v>2146</v>
      </c>
      <c r="X746" s="0" t="s">
        <v>7355</v>
      </c>
      <c r="Y746" s="0" t="s">
        <v>7667</v>
      </c>
      <c r="Z746" s="0" t="s">
        <v>7493</v>
      </c>
      <c r="AA746" s="0" t="s">
        <v>7831</v>
      </c>
      <c r="AB746" s="0" t="s">
        <v>344</v>
      </c>
      <c r="AC746" s="0" t="s">
        <v>7629</v>
      </c>
      <c r="AD746" s="0" t="s">
        <v>58</v>
      </c>
      <c r="AE746" s="0" t="s">
        <v>2842</v>
      </c>
      <c r="AG746" s="0" t="s">
        <v>230</v>
      </c>
    </row>
    <row r="747" customFormat="false" ht="15" hidden="false" customHeight="false" outlineLevel="0" collapsed="false">
      <c r="A747" s="0" t="s">
        <v>7336</v>
      </c>
      <c r="B747" s="0" t="s">
        <v>2855</v>
      </c>
      <c r="C747" s="0" t="s">
        <v>2856</v>
      </c>
      <c r="D747" s="0" t="s">
        <v>300</v>
      </c>
      <c r="E747" s="0" t="s">
        <v>2857</v>
      </c>
      <c r="F747" s="0" t="s">
        <v>2858</v>
      </c>
      <c r="G747" s="0" t="s">
        <v>138</v>
      </c>
      <c r="H747" s="0" t="s">
        <v>7836</v>
      </c>
      <c r="I747" s="0" t="s">
        <v>7338</v>
      </c>
      <c r="J747" s="0" t="s">
        <v>1602</v>
      </c>
      <c r="K747" s="0" t="s">
        <v>7339</v>
      </c>
      <c r="L747" s="0" t="s">
        <v>7340</v>
      </c>
      <c r="M747" s="0" t="s">
        <v>7661</v>
      </c>
      <c r="N747" s="0" t="s">
        <v>7342</v>
      </c>
      <c r="O747" s="0" t="s">
        <v>7360</v>
      </c>
      <c r="P747" s="0" t="s">
        <v>236</v>
      </c>
      <c r="Q747" s="0" t="s">
        <v>7354</v>
      </c>
      <c r="S747" s="0" t="s">
        <v>7344</v>
      </c>
      <c r="T747" s="0" t="s">
        <v>2842</v>
      </c>
      <c r="V747" s="0" t="s">
        <v>55</v>
      </c>
      <c r="W747" s="0" t="s">
        <v>57</v>
      </c>
      <c r="X747" s="0" t="s">
        <v>7355</v>
      </c>
      <c r="Y747" s="0" t="s">
        <v>7667</v>
      </c>
      <c r="Z747" s="0" t="s">
        <v>7493</v>
      </c>
      <c r="AA747" s="0" t="s">
        <v>7831</v>
      </c>
      <c r="AB747" s="0" t="s">
        <v>344</v>
      </c>
      <c r="AC747" s="0" t="s">
        <v>7349</v>
      </c>
      <c r="AD747" s="0" t="s">
        <v>58</v>
      </c>
      <c r="AE747" s="0" t="s">
        <v>58</v>
      </c>
      <c r="AG747" s="0" t="s">
        <v>230</v>
      </c>
    </row>
    <row r="748" customFormat="false" ht="15" hidden="false" customHeight="false" outlineLevel="0" collapsed="false">
      <c r="A748" s="0" t="s">
        <v>7336</v>
      </c>
      <c r="B748" s="0" t="s">
        <v>2859</v>
      </c>
      <c r="C748" s="0" t="s">
        <v>2860</v>
      </c>
      <c r="D748" s="0" t="s">
        <v>300</v>
      </c>
      <c r="E748" s="0" t="s">
        <v>2861</v>
      </c>
      <c r="F748" s="0" t="s">
        <v>2862</v>
      </c>
      <c r="G748" s="0" t="s">
        <v>138</v>
      </c>
      <c r="H748" s="0" t="s">
        <v>7837</v>
      </c>
      <c r="I748" s="0" t="s">
        <v>7338</v>
      </c>
      <c r="J748" s="0" t="s">
        <v>1602</v>
      </c>
      <c r="K748" s="0" t="s">
        <v>7339</v>
      </c>
      <c r="L748" s="0" t="s">
        <v>7340</v>
      </c>
      <c r="M748" s="0" t="s">
        <v>7661</v>
      </c>
      <c r="N748" s="0" t="s">
        <v>7342</v>
      </c>
      <c r="O748" s="0" t="s">
        <v>7360</v>
      </c>
      <c r="P748" s="0" t="s">
        <v>236</v>
      </c>
      <c r="Q748" s="0" t="s">
        <v>7354</v>
      </c>
      <c r="S748" s="0" t="s">
        <v>7344</v>
      </c>
      <c r="T748" s="0" t="s">
        <v>2842</v>
      </c>
      <c r="V748" s="0" t="s">
        <v>55</v>
      </c>
      <c r="W748" s="0" t="s">
        <v>57</v>
      </c>
      <c r="X748" s="0" t="s">
        <v>7355</v>
      </c>
      <c r="Y748" s="0" t="s">
        <v>7667</v>
      </c>
      <c r="Z748" s="0" t="s">
        <v>7493</v>
      </c>
      <c r="AA748" s="0" t="s">
        <v>7831</v>
      </c>
      <c r="AB748" s="0" t="s">
        <v>344</v>
      </c>
      <c r="AC748" s="0" t="s">
        <v>7349</v>
      </c>
      <c r="AD748" s="0" t="s">
        <v>58</v>
      </c>
      <c r="AE748" s="0" t="s">
        <v>58</v>
      </c>
      <c r="AG748" s="0" t="s">
        <v>230</v>
      </c>
    </row>
    <row r="749" customFormat="false" ht="15" hidden="false" customHeight="false" outlineLevel="0" collapsed="false">
      <c r="A749" s="0" t="s">
        <v>7336</v>
      </c>
      <c r="B749" s="0" t="s">
        <v>2863</v>
      </c>
      <c r="C749" s="0" t="s">
        <v>2864</v>
      </c>
      <c r="D749" s="0" t="s">
        <v>300</v>
      </c>
      <c r="E749" s="0" t="s">
        <v>2865</v>
      </c>
      <c r="F749" s="0" t="s">
        <v>2866</v>
      </c>
      <c r="G749" s="0" t="s">
        <v>138</v>
      </c>
      <c r="H749" s="0" t="s">
        <v>7838</v>
      </c>
      <c r="I749" s="0" t="s">
        <v>7338</v>
      </c>
      <c r="J749" s="0" t="s">
        <v>1602</v>
      </c>
      <c r="K749" s="0" t="s">
        <v>7339</v>
      </c>
      <c r="L749" s="0" t="s">
        <v>7340</v>
      </c>
      <c r="M749" s="0" t="s">
        <v>7661</v>
      </c>
      <c r="N749" s="0" t="s">
        <v>7342</v>
      </c>
      <c r="O749" s="0" t="s">
        <v>7360</v>
      </c>
      <c r="P749" s="0" t="s">
        <v>236</v>
      </c>
      <c r="Q749" s="0" t="s">
        <v>7354</v>
      </c>
      <c r="S749" s="0" t="s">
        <v>7344</v>
      </c>
      <c r="T749" s="0" t="s">
        <v>2842</v>
      </c>
      <c r="V749" s="0" t="s">
        <v>55</v>
      </c>
      <c r="W749" s="0" t="s">
        <v>57</v>
      </c>
      <c r="X749" s="0" t="s">
        <v>7355</v>
      </c>
      <c r="Y749" s="0" t="s">
        <v>7667</v>
      </c>
      <c r="Z749" s="0" t="s">
        <v>7493</v>
      </c>
      <c r="AA749" s="0" t="s">
        <v>7831</v>
      </c>
      <c r="AB749" s="0" t="s">
        <v>344</v>
      </c>
      <c r="AC749" s="0" t="s">
        <v>7349</v>
      </c>
      <c r="AD749" s="0" t="s">
        <v>58</v>
      </c>
      <c r="AE749" s="0" t="s">
        <v>58</v>
      </c>
      <c r="AG749" s="0" t="s">
        <v>230</v>
      </c>
    </row>
    <row r="750" customFormat="false" ht="15" hidden="false" customHeight="false" outlineLevel="0" collapsed="false">
      <c r="A750" s="0" t="s">
        <v>7336</v>
      </c>
      <c r="B750" s="0" t="s">
        <v>2867</v>
      </c>
      <c r="C750" s="0" t="s">
        <v>2868</v>
      </c>
      <c r="D750" s="0" t="s">
        <v>300</v>
      </c>
      <c r="E750" s="0" t="s">
        <v>2869</v>
      </c>
      <c r="F750" s="0" t="s">
        <v>2870</v>
      </c>
      <c r="G750" s="0" t="s">
        <v>138</v>
      </c>
      <c r="H750" s="0" t="s">
        <v>7839</v>
      </c>
      <c r="I750" s="0" t="s">
        <v>7338</v>
      </c>
      <c r="J750" s="0" t="s">
        <v>1602</v>
      </c>
      <c r="K750" s="0" t="s">
        <v>7339</v>
      </c>
      <c r="L750" s="0" t="s">
        <v>7340</v>
      </c>
      <c r="M750" s="0" t="s">
        <v>7661</v>
      </c>
      <c r="N750" s="0" t="s">
        <v>7342</v>
      </c>
      <c r="O750" s="0" t="s">
        <v>7360</v>
      </c>
      <c r="P750" s="0" t="s">
        <v>236</v>
      </c>
      <c r="Q750" s="0" t="s">
        <v>7354</v>
      </c>
      <c r="S750" s="0" t="s">
        <v>7344</v>
      </c>
      <c r="T750" s="0" t="s">
        <v>2842</v>
      </c>
      <c r="V750" s="0" t="s">
        <v>55</v>
      </c>
      <c r="W750" s="0" t="s">
        <v>57</v>
      </c>
      <c r="X750" s="0" t="s">
        <v>7355</v>
      </c>
      <c r="Y750" s="0" t="s">
        <v>7667</v>
      </c>
      <c r="Z750" s="0" t="s">
        <v>7493</v>
      </c>
      <c r="AA750" s="0" t="s">
        <v>7831</v>
      </c>
      <c r="AB750" s="0" t="s">
        <v>344</v>
      </c>
      <c r="AC750" s="0" t="s">
        <v>7349</v>
      </c>
      <c r="AD750" s="0" t="s">
        <v>58</v>
      </c>
      <c r="AE750" s="0" t="s">
        <v>58</v>
      </c>
      <c r="AG750" s="0" t="s">
        <v>230</v>
      </c>
    </row>
    <row r="751" customFormat="false" ht="15" hidden="false" customHeight="false" outlineLevel="0" collapsed="false">
      <c r="A751" s="0" t="s">
        <v>7336</v>
      </c>
      <c r="B751" s="0" t="s">
        <v>2871</v>
      </c>
      <c r="C751" s="0" t="s">
        <v>2872</v>
      </c>
      <c r="D751" s="0" t="s">
        <v>300</v>
      </c>
      <c r="E751" s="0" t="s">
        <v>2873</v>
      </c>
      <c r="F751" s="0" t="s">
        <v>2874</v>
      </c>
      <c r="G751" s="0" t="s">
        <v>140</v>
      </c>
      <c r="H751" s="0" t="s">
        <v>7840</v>
      </c>
      <c r="I751" s="0" t="s">
        <v>7338</v>
      </c>
      <c r="J751" s="0" t="s">
        <v>1602</v>
      </c>
      <c r="K751" s="0" t="s">
        <v>7339</v>
      </c>
      <c r="L751" s="0" t="s">
        <v>7340</v>
      </c>
      <c r="M751" s="0" t="s">
        <v>7661</v>
      </c>
      <c r="N751" s="0" t="s">
        <v>7342</v>
      </c>
      <c r="O751" s="0" t="s">
        <v>7360</v>
      </c>
      <c r="P751" s="0" t="s">
        <v>236</v>
      </c>
      <c r="Q751" s="0" t="s">
        <v>7354</v>
      </c>
      <c r="S751" s="0" t="s">
        <v>7344</v>
      </c>
      <c r="T751" s="0" t="s">
        <v>2842</v>
      </c>
      <c r="V751" s="0" t="s">
        <v>55</v>
      </c>
      <c r="W751" s="0" t="s">
        <v>57</v>
      </c>
      <c r="X751" s="0" t="s">
        <v>7355</v>
      </c>
      <c r="Y751" s="0" t="s">
        <v>7667</v>
      </c>
      <c r="Z751" s="0" t="s">
        <v>7493</v>
      </c>
      <c r="AA751" s="0" t="s">
        <v>7831</v>
      </c>
      <c r="AB751" s="0" t="s">
        <v>344</v>
      </c>
      <c r="AC751" s="0" t="s">
        <v>7629</v>
      </c>
      <c r="AD751" s="0" t="s">
        <v>58</v>
      </c>
      <c r="AE751" s="0" t="s">
        <v>58</v>
      </c>
      <c r="AG751" s="0" t="s">
        <v>230</v>
      </c>
    </row>
    <row r="752" customFormat="false" ht="15" hidden="false" customHeight="false" outlineLevel="0" collapsed="false">
      <c r="A752" s="0" t="s">
        <v>7336</v>
      </c>
      <c r="B752" s="0" t="s">
        <v>2875</v>
      </c>
      <c r="C752" s="0" t="s">
        <v>2876</v>
      </c>
      <c r="D752" s="0" t="s">
        <v>300</v>
      </c>
      <c r="E752" s="0" t="s">
        <v>2877</v>
      </c>
      <c r="F752" s="0" t="s">
        <v>2878</v>
      </c>
      <c r="G752" s="0" t="s">
        <v>140</v>
      </c>
      <c r="H752" s="0" t="s">
        <v>7841</v>
      </c>
      <c r="I752" s="0" t="s">
        <v>7338</v>
      </c>
      <c r="J752" s="0" t="s">
        <v>1602</v>
      </c>
      <c r="K752" s="0" t="s">
        <v>7339</v>
      </c>
      <c r="L752" s="0" t="s">
        <v>7340</v>
      </c>
      <c r="M752" s="0" t="s">
        <v>7661</v>
      </c>
      <c r="N752" s="0" t="s">
        <v>7342</v>
      </c>
      <c r="O752" s="0" t="s">
        <v>7360</v>
      </c>
      <c r="P752" s="0" t="s">
        <v>236</v>
      </c>
      <c r="Q752" s="0" t="s">
        <v>7354</v>
      </c>
      <c r="S752" s="0" t="s">
        <v>7344</v>
      </c>
      <c r="T752" s="0" t="s">
        <v>2842</v>
      </c>
      <c r="V752" s="0" t="s">
        <v>55</v>
      </c>
      <c r="W752" s="0" t="s">
        <v>57</v>
      </c>
      <c r="X752" s="0" t="s">
        <v>7355</v>
      </c>
      <c r="Y752" s="0" t="s">
        <v>7667</v>
      </c>
      <c r="Z752" s="0" t="s">
        <v>7493</v>
      </c>
      <c r="AA752" s="0" t="s">
        <v>7831</v>
      </c>
      <c r="AB752" s="0" t="s">
        <v>344</v>
      </c>
      <c r="AC752" s="0" t="s">
        <v>7629</v>
      </c>
      <c r="AD752" s="0" t="s">
        <v>58</v>
      </c>
      <c r="AE752" s="0" t="s">
        <v>58</v>
      </c>
      <c r="AG752" s="0" t="s">
        <v>230</v>
      </c>
    </row>
    <row r="753" customFormat="false" ht="15" hidden="false" customHeight="false" outlineLevel="0" collapsed="false">
      <c r="A753" s="0" t="s">
        <v>7336</v>
      </c>
      <c r="B753" s="0" t="s">
        <v>2879</v>
      </c>
      <c r="C753" s="0" t="s">
        <v>2880</v>
      </c>
      <c r="D753" s="0" t="s">
        <v>300</v>
      </c>
      <c r="E753" s="0" t="s">
        <v>2881</v>
      </c>
      <c r="F753" s="0" t="s">
        <v>2882</v>
      </c>
      <c r="G753" s="0" t="s">
        <v>138</v>
      </c>
      <c r="H753" s="0" t="s">
        <v>7842</v>
      </c>
      <c r="I753" s="0" t="s">
        <v>7338</v>
      </c>
      <c r="J753" s="0" t="s">
        <v>1602</v>
      </c>
      <c r="K753" s="0" t="s">
        <v>7339</v>
      </c>
      <c r="L753" s="0" t="s">
        <v>7340</v>
      </c>
      <c r="M753" s="0" t="s">
        <v>7661</v>
      </c>
      <c r="N753" s="0" t="s">
        <v>7342</v>
      </c>
      <c r="O753" s="0" t="s">
        <v>7360</v>
      </c>
      <c r="P753" s="0" t="s">
        <v>236</v>
      </c>
      <c r="Q753" s="0" t="s">
        <v>7354</v>
      </c>
      <c r="S753" s="0" t="s">
        <v>7344</v>
      </c>
      <c r="T753" s="0" t="s">
        <v>2842</v>
      </c>
      <c r="V753" s="0" t="s">
        <v>55</v>
      </c>
      <c r="W753" s="0" t="s">
        <v>57</v>
      </c>
      <c r="X753" s="0" t="s">
        <v>7355</v>
      </c>
      <c r="Y753" s="0" t="s">
        <v>7667</v>
      </c>
      <c r="Z753" s="0" t="s">
        <v>7493</v>
      </c>
      <c r="AA753" s="0" t="s">
        <v>7831</v>
      </c>
      <c r="AB753" s="0" t="s">
        <v>344</v>
      </c>
      <c r="AC753" s="0" t="s">
        <v>7349</v>
      </c>
      <c r="AD753" s="0" t="s">
        <v>58</v>
      </c>
      <c r="AE753" s="0" t="s">
        <v>58</v>
      </c>
      <c r="AG753" s="0" t="s">
        <v>230</v>
      </c>
    </row>
    <row r="754" customFormat="false" ht="15" hidden="false" customHeight="false" outlineLevel="0" collapsed="false">
      <c r="A754" s="0" t="s">
        <v>7336</v>
      </c>
      <c r="B754" s="0" t="s">
        <v>2883</v>
      </c>
      <c r="C754" s="0" t="s">
        <v>2884</v>
      </c>
      <c r="D754" s="0" t="s">
        <v>300</v>
      </c>
      <c r="E754" s="0" t="s">
        <v>2885</v>
      </c>
      <c r="F754" s="0" t="s">
        <v>2886</v>
      </c>
      <c r="G754" s="0" t="s">
        <v>138</v>
      </c>
      <c r="H754" s="0" t="s">
        <v>7843</v>
      </c>
      <c r="I754" s="0" t="s">
        <v>7338</v>
      </c>
      <c r="J754" s="0" t="s">
        <v>1602</v>
      </c>
      <c r="K754" s="0" t="s">
        <v>7339</v>
      </c>
      <c r="L754" s="0" t="s">
        <v>7340</v>
      </c>
      <c r="M754" s="0" t="s">
        <v>7661</v>
      </c>
      <c r="N754" s="0" t="s">
        <v>7342</v>
      </c>
      <c r="O754" s="0" t="s">
        <v>7360</v>
      </c>
      <c r="P754" s="0" t="s">
        <v>236</v>
      </c>
      <c r="Q754" s="0" t="s">
        <v>7354</v>
      </c>
      <c r="S754" s="0" t="s">
        <v>7344</v>
      </c>
      <c r="T754" s="0" t="s">
        <v>2842</v>
      </c>
      <c r="V754" s="0" t="s">
        <v>55</v>
      </c>
      <c r="W754" s="0" t="s">
        <v>57</v>
      </c>
      <c r="X754" s="0" t="s">
        <v>7355</v>
      </c>
      <c r="Y754" s="0" t="s">
        <v>7667</v>
      </c>
      <c r="Z754" s="0" t="s">
        <v>7493</v>
      </c>
      <c r="AA754" s="0" t="s">
        <v>7831</v>
      </c>
      <c r="AB754" s="0" t="s">
        <v>344</v>
      </c>
      <c r="AC754" s="0" t="s">
        <v>7349</v>
      </c>
      <c r="AD754" s="0" t="s">
        <v>58</v>
      </c>
      <c r="AE754" s="0" t="s">
        <v>58</v>
      </c>
      <c r="AG754" s="0" t="s">
        <v>230</v>
      </c>
    </row>
    <row r="755" customFormat="false" ht="15" hidden="false" customHeight="false" outlineLevel="0" collapsed="false">
      <c r="A755" s="0" t="s">
        <v>7336</v>
      </c>
      <c r="B755" s="0" t="s">
        <v>2887</v>
      </c>
      <c r="C755" s="0" t="s">
        <v>2888</v>
      </c>
      <c r="D755" s="0" t="s">
        <v>300</v>
      </c>
      <c r="E755" s="0" t="s">
        <v>2889</v>
      </c>
      <c r="F755" s="0" t="s">
        <v>2890</v>
      </c>
      <c r="G755" s="0" t="s">
        <v>140</v>
      </c>
      <c r="H755" s="0" t="s">
        <v>7844</v>
      </c>
      <c r="I755" s="0" t="s">
        <v>7338</v>
      </c>
      <c r="J755" s="0" t="s">
        <v>1602</v>
      </c>
      <c r="K755" s="0" t="s">
        <v>7339</v>
      </c>
      <c r="L755" s="0" t="s">
        <v>7340</v>
      </c>
      <c r="M755" s="0" t="s">
        <v>7661</v>
      </c>
      <c r="N755" s="0" t="s">
        <v>7342</v>
      </c>
      <c r="O755" s="0" t="s">
        <v>7360</v>
      </c>
      <c r="P755" s="0" t="s">
        <v>236</v>
      </c>
      <c r="Q755" s="0" t="s">
        <v>7354</v>
      </c>
      <c r="S755" s="0" t="s">
        <v>7344</v>
      </c>
      <c r="T755" s="0" t="s">
        <v>2842</v>
      </c>
      <c r="V755" s="0" t="s">
        <v>55</v>
      </c>
      <c r="W755" s="0" t="s">
        <v>57</v>
      </c>
      <c r="X755" s="0" t="s">
        <v>7355</v>
      </c>
      <c r="Y755" s="0" t="s">
        <v>7667</v>
      </c>
      <c r="Z755" s="0" t="s">
        <v>7493</v>
      </c>
      <c r="AA755" s="0" t="s">
        <v>7831</v>
      </c>
      <c r="AB755" s="0" t="s">
        <v>344</v>
      </c>
      <c r="AC755" s="0" t="s">
        <v>7629</v>
      </c>
      <c r="AD755" s="0" t="s">
        <v>58</v>
      </c>
      <c r="AE755" s="0" t="s">
        <v>58</v>
      </c>
      <c r="AG755" s="0" t="s">
        <v>230</v>
      </c>
    </row>
    <row r="756" customFormat="false" ht="15" hidden="false" customHeight="false" outlineLevel="0" collapsed="false">
      <c r="A756" s="0" t="s">
        <v>7336</v>
      </c>
      <c r="B756" s="0" t="s">
        <v>2891</v>
      </c>
      <c r="C756" s="0" t="s">
        <v>2892</v>
      </c>
      <c r="D756" s="0" t="s">
        <v>300</v>
      </c>
      <c r="E756" s="0" t="s">
        <v>2893</v>
      </c>
      <c r="F756" s="0" t="s">
        <v>2894</v>
      </c>
      <c r="G756" s="0" t="s">
        <v>140</v>
      </c>
      <c r="H756" s="0" t="s">
        <v>7845</v>
      </c>
      <c r="I756" s="0" t="s">
        <v>7338</v>
      </c>
      <c r="J756" s="0" t="s">
        <v>1602</v>
      </c>
      <c r="K756" s="0" t="s">
        <v>7339</v>
      </c>
      <c r="L756" s="0" t="s">
        <v>7340</v>
      </c>
      <c r="M756" s="0" t="s">
        <v>7661</v>
      </c>
      <c r="N756" s="0" t="s">
        <v>7342</v>
      </c>
      <c r="O756" s="0" t="s">
        <v>7360</v>
      </c>
      <c r="P756" s="0" t="s">
        <v>236</v>
      </c>
      <c r="Q756" s="0" t="s">
        <v>7354</v>
      </c>
      <c r="S756" s="0" t="s">
        <v>7344</v>
      </c>
      <c r="T756" s="0" t="s">
        <v>2842</v>
      </c>
      <c r="V756" s="0" t="s">
        <v>55</v>
      </c>
      <c r="W756" s="0" t="s">
        <v>57</v>
      </c>
      <c r="X756" s="0" t="s">
        <v>7355</v>
      </c>
      <c r="Y756" s="0" t="s">
        <v>7667</v>
      </c>
      <c r="Z756" s="0" t="s">
        <v>7493</v>
      </c>
      <c r="AA756" s="0" t="s">
        <v>7831</v>
      </c>
      <c r="AB756" s="0" t="s">
        <v>344</v>
      </c>
      <c r="AC756" s="0" t="s">
        <v>7629</v>
      </c>
      <c r="AD756" s="0" t="s">
        <v>58</v>
      </c>
      <c r="AE756" s="0" t="s">
        <v>58</v>
      </c>
      <c r="AG756" s="0" t="s">
        <v>230</v>
      </c>
    </row>
    <row r="757" customFormat="false" ht="15" hidden="false" customHeight="false" outlineLevel="0" collapsed="false">
      <c r="A757" s="0" t="s">
        <v>7336</v>
      </c>
      <c r="B757" s="0" t="s">
        <v>2895</v>
      </c>
      <c r="C757" s="0" t="s">
        <v>2896</v>
      </c>
      <c r="D757" s="0" t="s">
        <v>300</v>
      </c>
      <c r="E757" s="0" t="s">
        <v>2897</v>
      </c>
      <c r="F757" s="0" t="s">
        <v>2898</v>
      </c>
      <c r="G757" s="0" t="s">
        <v>142</v>
      </c>
      <c r="H757" s="0" t="s">
        <v>7846</v>
      </c>
      <c r="I757" s="0" t="s">
        <v>7338</v>
      </c>
      <c r="J757" s="0" t="s">
        <v>1602</v>
      </c>
      <c r="K757" s="0" t="s">
        <v>7339</v>
      </c>
      <c r="L757" s="0" t="s">
        <v>7340</v>
      </c>
      <c r="M757" s="0" t="s">
        <v>7661</v>
      </c>
      <c r="N757" s="0" t="s">
        <v>7342</v>
      </c>
      <c r="O757" s="0" t="s">
        <v>7360</v>
      </c>
      <c r="P757" s="0" t="s">
        <v>236</v>
      </c>
      <c r="Q757" s="0" t="s">
        <v>7834</v>
      </c>
      <c r="S757" s="0" t="s">
        <v>7344</v>
      </c>
      <c r="T757" s="0" t="s">
        <v>2842</v>
      </c>
      <c r="V757" s="0" t="s">
        <v>55</v>
      </c>
      <c r="W757" s="0" t="s">
        <v>2146</v>
      </c>
      <c r="X757" s="0" t="s">
        <v>7355</v>
      </c>
      <c r="Y757" s="0" t="s">
        <v>7667</v>
      </c>
      <c r="Z757" s="0" t="s">
        <v>7493</v>
      </c>
      <c r="AA757" s="0" t="s">
        <v>7831</v>
      </c>
      <c r="AB757" s="0" t="s">
        <v>344</v>
      </c>
      <c r="AC757" s="0" t="s">
        <v>7629</v>
      </c>
      <c r="AD757" s="0" t="s">
        <v>58</v>
      </c>
      <c r="AE757" s="0" t="s">
        <v>2842</v>
      </c>
      <c r="AG757" s="0" t="s">
        <v>230</v>
      </c>
    </row>
    <row r="758" customFormat="false" ht="15" hidden="false" customHeight="false" outlineLevel="0" collapsed="false">
      <c r="A758" s="0" t="s">
        <v>7336</v>
      </c>
      <c r="B758" s="0" t="s">
        <v>2899</v>
      </c>
      <c r="C758" s="0" t="s">
        <v>2900</v>
      </c>
      <c r="D758" s="0" t="s">
        <v>300</v>
      </c>
      <c r="E758" s="0" t="s">
        <v>2901</v>
      </c>
      <c r="F758" s="0" t="s">
        <v>2902</v>
      </c>
      <c r="G758" s="0" t="s">
        <v>142</v>
      </c>
      <c r="H758" s="0" t="s">
        <v>7847</v>
      </c>
      <c r="I758" s="0" t="s">
        <v>7338</v>
      </c>
      <c r="J758" s="0" t="s">
        <v>1602</v>
      </c>
      <c r="K758" s="0" t="s">
        <v>7339</v>
      </c>
      <c r="L758" s="0" t="s">
        <v>7340</v>
      </c>
      <c r="M758" s="0" t="s">
        <v>7661</v>
      </c>
      <c r="N758" s="0" t="s">
        <v>7342</v>
      </c>
      <c r="O758" s="0" t="s">
        <v>7360</v>
      </c>
      <c r="P758" s="0" t="s">
        <v>236</v>
      </c>
      <c r="Q758" s="0" t="s">
        <v>7834</v>
      </c>
      <c r="S758" s="0" t="s">
        <v>7344</v>
      </c>
      <c r="T758" s="0" t="s">
        <v>2842</v>
      </c>
      <c r="V758" s="0" t="s">
        <v>55</v>
      </c>
      <c r="W758" s="0" t="s">
        <v>2146</v>
      </c>
      <c r="X758" s="0" t="s">
        <v>7355</v>
      </c>
      <c r="Y758" s="0" t="s">
        <v>7667</v>
      </c>
      <c r="Z758" s="0" t="s">
        <v>7493</v>
      </c>
      <c r="AA758" s="0" t="s">
        <v>7831</v>
      </c>
      <c r="AB758" s="0" t="s">
        <v>344</v>
      </c>
      <c r="AC758" s="0" t="s">
        <v>7629</v>
      </c>
      <c r="AD758" s="0" t="s">
        <v>58</v>
      </c>
      <c r="AE758" s="0" t="s">
        <v>2842</v>
      </c>
      <c r="AG758" s="0" t="s">
        <v>230</v>
      </c>
    </row>
    <row r="759" customFormat="false" ht="15" hidden="false" customHeight="false" outlineLevel="0" collapsed="false">
      <c r="A759" s="0" t="s">
        <v>7336</v>
      </c>
      <c r="B759" s="0" t="s">
        <v>2903</v>
      </c>
      <c r="C759" s="0" t="s">
        <v>2904</v>
      </c>
      <c r="D759" s="0" t="s">
        <v>300</v>
      </c>
      <c r="E759" s="0" t="s">
        <v>2905</v>
      </c>
      <c r="F759" s="0" t="s">
        <v>2906</v>
      </c>
      <c r="G759" s="0" t="s">
        <v>140</v>
      </c>
      <c r="H759" s="0" t="s">
        <v>7848</v>
      </c>
      <c r="I759" s="0" t="s">
        <v>7338</v>
      </c>
      <c r="J759" s="0" t="s">
        <v>1602</v>
      </c>
      <c r="K759" s="0" t="s">
        <v>7339</v>
      </c>
      <c r="L759" s="0" t="s">
        <v>7340</v>
      </c>
      <c r="M759" s="0" t="s">
        <v>7661</v>
      </c>
      <c r="N759" s="0" t="s">
        <v>7342</v>
      </c>
      <c r="O759" s="0" t="s">
        <v>7360</v>
      </c>
      <c r="P759" s="0" t="s">
        <v>236</v>
      </c>
      <c r="Q759" s="0" t="s">
        <v>7354</v>
      </c>
      <c r="S759" s="0" t="s">
        <v>7344</v>
      </c>
      <c r="T759" s="0" t="s">
        <v>2842</v>
      </c>
      <c r="V759" s="0" t="s">
        <v>55</v>
      </c>
      <c r="W759" s="0" t="s">
        <v>57</v>
      </c>
      <c r="X759" s="0" t="s">
        <v>7355</v>
      </c>
      <c r="Y759" s="0" t="s">
        <v>7667</v>
      </c>
      <c r="Z759" s="0" t="s">
        <v>7493</v>
      </c>
      <c r="AA759" s="0" t="s">
        <v>7831</v>
      </c>
      <c r="AB759" s="0" t="s">
        <v>344</v>
      </c>
      <c r="AC759" s="0" t="s">
        <v>7629</v>
      </c>
      <c r="AD759" s="0" t="s">
        <v>58</v>
      </c>
      <c r="AE759" s="0" t="s">
        <v>58</v>
      </c>
      <c r="AG759" s="0" t="s">
        <v>230</v>
      </c>
    </row>
    <row r="760" customFormat="false" ht="15" hidden="false" customHeight="false" outlineLevel="0" collapsed="false">
      <c r="A760" s="0" t="s">
        <v>7336</v>
      </c>
      <c r="B760" s="0" t="s">
        <v>2907</v>
      </c>
      <c r="C760" s="0" t="s">
        <v>2908</v>
      </c>
      <c r="D760" s="0" t="s">
        <v>300</v>
      </c>
      <c r="E760" s="0" t="s">
        <v>2909</v>
      </c>
      <c r="F760" s="0" t="s">
        <v>2910</v>
      </c>
      <c r="G760" s="0" t="s">
        <v>140</v>
      </c>
      <c r="H760" s="0" t="s">
        <v>7849</v>
      </c>
      <c r="I760" s="0" t="s">
        <v>7338</v>
      </c>
      <c r="J760" s="0" t="s">
        <v>1602</v>
      </c>
      <c r="K760" s="0" t="s">
        <v>7339</v>
      </c>
      <c r="L760" s="0" t="s">
        <v>7340</v>
      </c>
      <c r="M760" s="0" t="s">
        <v>7661</v>
      </c>
      <c r="N760" s="0" t="s">
        <v>7342</v>
      </c>
      <c r="O760" s="0" t="s">
        <v>7360</v>
      </c>
      <c r="P760" s="0" t="s">
        <v>236</v>
      </c>
      <c r="Q760" s="0" t="s">
        <v>7354</v>
      </c>
      <c r="S760" s="0" t="s">
        <v>7344</v>
      </c>
      <c r="T760" s="0" t="s">
        <v>2842</v>
      </c>
      <c r="V760" s="0" t="s">
        <v>55</v>
      </c>
      <c r="W760" s="0" t="s">
        <v>57</v>
      </c>
      <c r="X760" s="0" t="s">
        <v>7355</v>
      </c>
      <c r="Y760" s="0" t="s">
        <v>7667</v>
      </c>
      <c r="Z760" s="0" t="s">
        <v>7493</v>
      </c>
      <c r="AA760" s="0" t="s">
        <v>7831</v>
      </c>
      <c r="AB760" s="0" t="s">
        <v>344</v>
      </c>
      <c r="AC760" s="0" t="s">
        <v>7629</v>
      </c>
      <c r="AD760" s="0" t="s">
        <v>58</v>
      </c>
      <c r="AE760" s="0" t="s">
        <v>58</v>
      </c>
      <c r="AG760" s="0" t="s">
        <v>230</v>
      </c>
    </row>
    <row r="761" customFormat="false" ht="15" hidden="false" customHeight="false" outlineLevel="0" collapsed="false">
      <c r="A761" s="0" t="s">
        <v>7336</v>
      </c>
      <c r="B761" s="0" t="s">
        <v>2911</v>
      </c>
      <c r="C761" s="0" t="s">
        <v>2912</v>
      </c>
      <c r="D761" s="0" t="s">
        <v>300</v>
      </c>
      <c r="E761" s="0" t="s">
        <v>2913</v>
      </c>
      <c r="F761" s="0" t="s">
        <v>2914</v>
      </c>
      <c r="G761" s="0" t="s">
        <v>140</v>
      </c>
      <c r="H761" s="0" t="s">
        <v>7850</v>
      </c>
      <c r="I761" s="0" t="s">
        <v>7338</v>
      </c>
      <c r="J761" s="0" t="s">
        <v>1602</v>
      </c>
      <c r="K761" s="0" t="s">
        <v>7339</v>
      </c>
      <c r="L761" s="0" t="s">
        <v>7340</v>
      </c>
      <c r="M761" s="0" t="s">
        <v>7661</v>
      </c>
      <c r="N761" s="0" t="s">
        <v>7342</v>
      </c>
      <c r="O761" s="0" t="s">
        <v>7360</v>
      </c>
      <c r="P761" s="0" t="s">
        <v>236</v>
      </c>
      <c r="Q761" s="0" t="s">
        <v>7354</v>
      </c>
      <c r="S761" s="0" t="s">
        <v>7344</v>
      </c>
      <c r="T761" s="0" t="s">
        <v>2842</v>
      </c>
      <c r="V761" s="0" t="s">
        <v>55</v>
      </c>
      <c r="W761" s="0" t="s">
        <v>57</v>
      </c>
      <c r="X761" s="0" t="s">
        <v>7355</v>
      </c>
      <c r="Y761" s="0" t="s">
        <v>7667</v>
      </c>
      <c r="Z761" s="0" t="s">
        <v>7493</v>
      </c>
      <c r="AA761" s="0" t="s">
        <v>7831</v>
      </c>
      <c r="AB761" s="0" t="s">
        <v>344</v>
      </c>
      <c r="AC761" s="0" t="s">
        <v>7629</v>
      </c>
      <c r="AD761" s="0" t="s">
        <v>58</v>
      </c>
      <c r="AE761" s="0" t="s">
        <v>58</v>
      </c>
      <c r="AG761" s="0" t="s">
        <v>230</v>
      </c>
    </row>
    <row r="762" customFormat="false" ht="15" hidden="false" customHeight="false" outlineLevel="0" collapsed="false">
      <c r="A762" s="0" t="s">
        <v>7336</v>
      </c>
      <c r="B762" s="0" t="s">
        <v>2915</v>
      </c>
      <c r="C762" s="0" t="s">
        <v>2916</v>
      </c>
      <c r="D762" s="0" t="s">
        <v>300</v>
      </c>
      <c r="E762" s="0" t="s">
        <v>2917</v>
      </c>
      <c r="F762" s="0" t="s">
        <v>2918</v>
      </c>
      <c r="G762" s="0" t="s">
        <v>140</v>
      </c>
      <c r="H762" s="0" t="s">
        <v>7851</v>
      </c>
      <c r="I762" s="0" t="s">
        <v>7338</v>
      </c>
      <c r="J762" s="0" t="s">
        <v>1602</v>
      </c>
      <c r="K762" s="0" t="s">
        <v>7339</v>
      </c>
      <c r="L762" s="0" t="s">
        <v>7340</v>
      </c>
      <c r="M762" s="0" t="s">
        <v>7661</v>
      </c>
      <c r="N762" s="0" t="s">
        <v>7342</v>
      </c>
      <c r="O762" s="0" t="s">
        <v>7360</v>
      </c>
      <c r="P762" s="0" t="s">
        <v>236</v>
      </c>
      <c r="Q762" s="0" t="s">
        <v>7354</v>
      </c>
      <c r="S762" s="0" t="s">
        <v>7344</v>
      </c>
      <c r="T762" s="0" t="s">
        <v>2842</v>
      </c>
      <c r="V762" s="0" t="s">
        <v>55</v>
      </c>
      <c r="W762" s="0" t="s">
        <v>57</v>
      </c>
      <c r="X762" s="0" t="s">
        <v>7355</v>
      </c>
      <c r="Y762" s="0" t="s">
        <v>7667</v>
      </c>
      <c r="Z762" s="0" t="s">
        <v>7493</v>
      </c>
      <c r="AA762" s="0" t="s">
        <v>7831</v>
      </c>
      <c r="AB762" s="0" t="s">
        <v>344</v>
      </c>
      <c r="AC762" s="0" t="s">
        <v>7629</v>
      </c>
      <c r="AD762" s="0" t="s">
        <v>58</v>
      </c>
      <c r="AE762" s="0" t="s">
        <v>58</v>
      </c>
      <c r="AG762" s="0" t="s">
        <v>230</v>
      </c>
    </row>
    <row r="763" customFormat="false" ht="15" hidden="false" customHeight="false" outlineLevel="0" collapsed="false">
      <c r="A763" s="0" t="s">
        <v>7336</v>
      </c>
      <c r="B763" s="0" t="s">
        <v>2919</v>
      </c>
      <c r="C763" s="0" t="s">
        <v>2920</v>
      </c>
      <c r="D763" s="0" t="s">
        <v>300</v>
      </c>
      <c r="E763" s="0" t="s">
        <v>2921</v>
      </c>
      <c r="F763" s="0" t="s">
        <v>2922</v>
      </c>
      <c r="G763" s="0" t="s">
        <v>140</v>
      </c>
      <c r="H763" s="0" t="s">
        <v>7852</v>
      </c>
      <c r="I763" s="0" t="s">
        <v>7338</v>
      </c>
      <c r="J763" s="0" t="s">
        <v>1602</v>
      </c>
      <c r="K763" s="0" t="s">
        <v>7339</v>
      </c>
      <c r="L763" s="0" t="s">
        <v>7340</v>
      </c>
      <c r="M763" s="0" t="s">
        <v>7661</v>
      </c>
      <c r="N763" s="0" t="s">
        <v>7342</v>
      </c>
      <c r="O763" s="0" t="s">
        <v>7360</v>
      </c>
      <c r="P763" s="0" t="s">
        <v>236</v>
      </c>
      <c r="Q763" s="0" t="s">
        <v>7354</v>
      </c>
      <c r="S763" s="0" t="s">
        <v>7344</v>
      </c>
      <c r="T763" s="0" t="s">
        <v>2842</v>
      </c>
      <c r="V763" s="0" t="s">
        <v>55</v>
      </c>
      <c r="W763" s="0" t="s">
        <v>57</v>
      </c>
      <c r="X763" s="0" t="s">
        <v>7355</v>
      </c>
      <c r="Y763" s="0" t="s">
        <v>7667</v>
      </c>
      <c r="Z763" s="0" t="s">
        <v>7493</v>
      </c>
      <c r="AA763" s="0" t="s">
        <v>7831</v>
      </c>
      <c r="AB763" s="0" t="s">
        <v>344</v>
      </c>
      <c r="AC763" s="0" t="s">
        <v>7629</v>
      </c>
      <c r="AD763" s="0" t="s">
        <v>58</v>
      </c>
      <c r="AE763" s="0" t="s">
        <v>58</v>
      </c>
      <c r="AG763" s="0" t="s">
        <v>230</v>
      </c>
    </row>
    <row r="764" customFormat="false" ht="15" hidden="false" customHeight="false" outlineLevel="0" collapsed="false">
      <c r="A764" s="0" t="s">
        <v>7336</v>
      </c>
      <c r="B764" s="0" t="s">
        <v>2923</v>
      </c>
      <c r="C764" s="0" t="s">
        <v>2924</v>
      </c>
      <c r="D764" s="0" t="s">
        <v>300</v>
      </c>
      <c r="E764" s="0" t="s">
        <v>2925</v>
      </c>
      <c r="F764" s="0" t="s">
        <v>2926</v>
      </c>
      <c r="G764" s="0" t="s">
        <v>140</v>
      </c>
      <c r="H764" s="0" t="s">
        <v>7853</v>
      </c>
      <c r="I764" s="0" t="s">
        <v>7338</v>
      </c>
      <c r="J764" s="0" t="s">
        <v>1602</v>
      </c>
      <c r="K764" s="0" t="s">
        <v>7339</v>
      </c>
      <c r="L764" s="0" t="s">
        <v>7340</v>
      </c>
      <c r="M764" s="0" t="s">
        <v>7661</v>
      </c>
      <c r="N764" s="0" t="s">
        <v>7342</v>
      </c>
      <c r="O764" s="0" t="s">
        <v>7360</v>
      </c>
      <c r="P764" s="0" t="s">
        <v>236</v>
      </c>
      <c r="Q764" s="0" t="s">
        <v>7354</v>
      </c>
      <c r="S764" s="0" t="s">
        <v>7344</v>
      </c>
      <c r="T764" s="0" t="s">
        <v>2842</v>
      </c>
      <c r="V764" s="0" t="s">
        <v>55</v>
      </c>
      <c r="W764" s="0" t="s">
        <v>57</v>
      </c>
      <c r="X764" s="0" t="s">
        <v>7355</v>
      </c>
      <c r="Y764" s="0" t="s">
        <v>7667</v>
      </c>
      <c r="Z764" s="0" t="s">
        <v>7493</v>
      </c>
      <c r="AA764" s="0" t="s">
        <v>7831</v>
      </c>
      <c r="AB764" s="0" t="s">
        <v>344</v>
      </c>
      <c r="AC764" s="0" t="s">
        <v>7629</v>
      </c>
      <c r="AD764" s="0" t="s">
        <v>58</v>
      </c>
      <c r="AE764" s="0" t="s">
        <v>58</v>
      </c>
      <c r="AG764" s="0" t="s">
        <v>230</v>
      </c>
    </row>
    <row r="765" customFormat="false" ht="15" hidden="false" customHeight="false" outlineLevel="0" collapsed="false">
      <c r="A765" s="0" t="s">
        <v>7336</v>
      </c>
      <c r="B765" s="0" t="s">
        <v>2927</v>
      </c>
      <c r="C765" s="0" t="s">
        <v>2928</v>
      </c>
      <c r="D765" s="0" t="s">
        <v>300</v>
      </c>
      <c r="E765" s="0" t="s">
        <v>2929</v>
      </c>
      <c r="F765" s="0" t="s">
        <v>2930</v>
      </c>
      <c r="G765" s="0" t="s">
        <v>142</v>
      </c>
      <c r="H765" s="0" t="s">
        <v>7854</v>
      </c>
      <c r="I765" s="0" t="s">
        <v>7338</v>
      </c>
      <c r="J765" s="0" t="s">
        <v>1602</v>
      </c>
      <c r="K765" s="0" t="s">
        <v>7339</v>
      </c>
      <c r="L765" s="0" t="s">
        <v>7340</v>
      </c>
      <c r="M765" s="0" t="s">
        <v>7661</v>
      </c>
      <c r="N765" s="0" t="s">
        <v>7342</v>
      </c>
      <c r="O765" s="0" t="s">
        <v>7360</v>
      </c>
      <c r="P765" s="0" t="s">
        <v>236</v>
      </c>
      <c r="Q765" s="0" t="s">
        <v>7834</v>
      </c>
      <c r="S765" s="0" t="s">
        <v>7344</v>
      </c>
      <c r="T765" s="0" t="s">
        <v>2842</v>
      </c>
      <c r="V765" s="0" t="s">
        <v>55</v>
      </c>
      <c r="W765" s="0" t="s">
        <v>2146</v>
      </c>
      <c r="X765" s="0" t="s">
        <v>7355</v>
      </c>
      <c r="Y765" s="0" t="s">
        <v>7667</v>
      </c>
      <c r="Z765" s="0" t="s">
        <v>7493</v>
      </c>
      <c r="AA765" s="0" t="s">
        <v>7831</v>
      </c>
      <c r="AB765" s="0" t="s">
        <v>344</v>
      </c>
      <c r="AC765" s="0" t="s">
        <v>7629</v>
      </c>
      <c r="AD765" s="0" t="s">
        <v>58</v>
      </c>
      <c r="AE765" s="0" t="s">
        <v>2842</v>
      </c>
      <c r="AG765" s="0" t="s">
        <v>230</v>
      </c>
    </row>
    <row r="766" customFormat="false" ht="15" hidden="false" customHeight="false" outlineLevel="0" collapsed="false">
      <c r="A766" s="0" t="s">
        <v>7336</v>
      </c>
      <c r="B766" s="0" t="s">
        <v>2931</v>
      </c>
      <c r="C766" s="0" t="s">
        <v>2932</v>
      </c>
      <c r="D766" s="0" t="s">
        <v>300</v>
      </c>
      <c r="E766" s="0" t="s">
        <v>2933</v>
      </c>
      <c r="F766" s="0" t="s">
        <v>2934</v>
      </c>
      <c r="G766" s="0" t="s">
        <v>142</v>
      </c>
      <c r="H766" s="0" t="s">
        <v>7855</v>
      </c>
      <c r="I766" s="0" t="s">
        <v>7338</v>
      </c>
      <c r="J766" s="0" t="s">
        <v>1602</v>
      </c>
      <c r="K766" s="0" t="s">
        <v>7339</v>
      </c>
      <c r="L766" s="0" t="s">
        <v>7340</v>
      </c>
      <c r="M766" s="0" t="s">
        <v>7661</v>
      </c>
      <c r="N766" s="0" t="s">
        <v>7342</v>
      </c>
      <c r="O766" s="0" t="s">
        <v>7360</v>
      </c>
      <c r="P766" s="0" t="s">
        <v>236</v>
      </c>
      <c r="Q766" s="0" t="s">
        <v>7834</v>
      </c>
      <c r="S766" s="0" t="s">
        <v>7344</v>
      </c>
      <c r="T766" s="0" t="s">
        <v>2842</v>
      </c>
      <c r="V766" s="0" t="s">
        <v>55</v>
      </c>
      <c r="W766" s="0" t="s">
        <v>2146</v>
      </c>
      <c r="X766" s="0" t="s">
        <v>7355</v>
      </c>
      <c r="Y766" s="0" t="s">
        <v>7667</v>
      </c>
      <c r="Z766" s="0" t="s">
        <v>7493</v>
      </c>
      <c r="AA766" s="0" t="s">
        <v>7831</v>
      </c>
      <c r="AB766" s="0" t="s">
        <v>344</v>
      </c>
      <c r="AC766" s="0" t="s">
        <v>7629</v>
      </c>
      <c r="AD766" s="0" t="s">
        <v>58</v>
      </c>
      <c r="AE766" s="0" t="s">
        <v>2842</v>
      </c>
      <c r="AG766" s="0" t="s">
        <v>230</v>
      </c>
    </row>
    <row r="767" customFormat="false" ht="15" hidden="false" customHeight="false" outlineLevel="0" collapsed="false">
      <c r="A767" s="0" t="s">
        <v>7336</v>
      </c>
      <c r="B767" s="0" t="s">
        <v>2935</v>
      </c>
      <c r="C767" s="0" t="s">
        <v>2936</v>
      </c>
      <c r="D767" s="0" t="s">
        <v>300</v>
      </c>
      <c r="E767" s="0" t="s">
        <v>2937</v>
      </c>
      <c r="F767" s="0" t="s">
        <v>2938</v>
      </c>
      <c r="G767" s="0" t="s">
        <v>142</v>
      </c>
      <c r="H767" s="0" t="s">
        <v>7856</v>
      </c>
      <c r="I767" s="0" t="s">
        <v>7338</v>
      </c>
      <c r="J767" s="0" t="s">
        <v>1602</v>
      </c>
      <c r="K767" s="0" t="s">
        <v>7339</v>
      </c>
      <c r="L767" s="0" t="s">
        <v>7340</v>
      </c>
      <c r="M767" s="0" t="s">
        <v>7661</v>
      </c>
      <c r="N767" s="0" t="s">
        <v>7342</v>
      </c>
      <c r="O767" s="0" t="s">
        <v>7360</v>
      </c>
      <c r="P767" s="0" t="s">
        <v>236</v>
      </c>
      <c r="Q767" s="0" t="s">
        <v>7834</v>
      </c>
      <c r="S767" s="0" t="s">
        <v>7344</v>
      </c>
      <c r="T767" s="0" t="s">
        <v>2842</v>
      </c>
      <c r="V767" s="0" t="s">
        <v>55</v>
      </c>
      <c r="W767" s="0" t="s">
        <v>2146</v>
      </c>
      <c r="X767" s="0" t="s">
        <v>7355</v>
      </c>
      <c r="Y767" s="0" t="s">
        <v>7667</v>
      </c>
      <c r="Z767" s="0" t="s">
        <v>7493</v>
      </c>
      <c r="AA767" s="0" t="s">
        <v>7831</v>
      </c>
      <c r="AB767" s="0" t="s">
        <v>344</v>
      </c>
      <c r="AC767" s="0" t="s">
        <v>7629</v>
      </c>
      <c r="AD767" s="0" t="s">
        <v>58</v>
      </c>
      <c r="AE767" s="0" t="s">
        <v>2842</v>
      </c>
      <c r="AG767" s="0" t="s">
        <v>230</v>
      </c>
    </row>
    <row r="768" customFormat="false" ht="15" hidden="false" customHeight="false" outlineLevel="0" collapsed="false">
      <c r="A768" s="0" t="s">
        <v>7336</v>
      </c>
      <c r="B768" s="0" t="s">
        <v>2939</v>
      </c>
      <c r="C768" s="0" t="s">
        <v>2940</v>
      </c>
      <c r="D768" s="0" t="s">
        <v>300</v>
      </c>
      <c r="E768" s="0" t="s">
        <v>2941</v>
      </c>
      <c r="F768" s="0" t="s">
        <v>2942</v>
      </c>
      <c r="G768" s="0" t="s">
        <v>142</v>
      </c>
      <c r="H768" s="0" t="s">
        <v>7857</v>
      </c>
      <c r="I768" s="0" t="s">
        <v>7338</v>
      </c>
      <c r="J768" s="0" t="s">
        <v>1602</v>
      </c>
      <c r="K768" s="0" t="s">
        <v>7339</v>
      </c>
      <c r="L768" s="0" t="s">
        <v>7340</v>
      </c>
      <c r="M768" s="0" t="s">
        <v>7661</v>
      </c>
      <c r="N768" s="0" t="s">
        <v>7342</v>
      </c>
      <c r="O768" s="0" t="s">
        <v>7360</v>
      </c>
      <c r="P768" s="0" t="s">
        <v>236</v>
      </c>
      <c r="Q768" s="0" t="s">
        <v>7834</v>
      </c>
      <c r="S768" s="0" t="s">
        <v>7344</v>
      </c>
      <c r="T768" s="0" t="s">
        <v>2842</v>
      </c>
      <c r="V768" s="0" t="s">
        <v>55</v>
      </c>
      <c r="W768" s="0" t="s">
        <v>2146</v>
      </c>
      <c r="X768" s="0" t="s">
        <v>7355</v>
      </c>
      <c r="Y768" s="0" t="s">
        <v>7667</v>
      </c>
      <c r="Z768" s="0" t="s">
        <v>7493</v>
      </c>
      <c r="AA768" s="0" t="s">
        <v>7831</v>
      </c>
      <c r="AB768" s="0" t="s">
        <v>344</v>
      </c>
      <c r="AC768" s="0" t="s">
        <v>7629</v>
      </c>
      <c r="AD768" s="0" t="s">
        <v>58</v>
      </c>
      <c r="AE768" s="0" t="s">
        <v>2842</v>
      </c>
      <c r="AG768" s="0" t="s">
        <v>230</v>
      </c>
    </row>
    <row r="769" customFormat="false" ht="15" hidden="false" customHeight="false" outlineLevel="0" collapsed="false">
      <c r="A769" s="0" t="s">
        <v>7336</v>
      </c>
      <c r="B769" s="0" t="s">
        <v>2943</v>
      </c>
      <c r="C769" s="0" t="s">
        <v>2944</v>
      </c>
      <c r="D769" s="0" t="s">
        <v>300</v>
      </c>
      <c r="E769" s="0" t="s">
        <v>2945</v>
      </c>
      <c r="F769" s="0" t="s">
        <v>2946</v>
      </c>
      <c r="G769" s="0" t="s">
        <v>142</v>
      </c>
      <c r="H769" s="0" t="s">
        <v>7858</v>
      </c>
      <c r="I769" s="0" t="s">
        <v>7338</v>
      </c>
      <c r="J769" s="0" t="s">
        <v>1602</v>
      </c>
      <c r="K769" s="0" t="s">
        <v>7339</v>
      </c>
      <c r="L769" s="0" t="s">
        <v>7340</v>
      </c>
      <c r="M769" s="0" t="s">
        <v>7661</v>
      </c>
      <c r="N769" s="0" t="s">
        <v>7342</v>
      </c>
      <c r="O769" s="0" t="s">
        <v>7360</v>
      </c>
      <c r="P769" s="0" t="s">
        <v>236</v>
      </c>
      <c r="Q769" s="0" t="s">
        <v>7834</v>
      </c>
      <c r="S769" s="0" t="s">
        <v>7344</v>
      </c>
      <c r="T769" s="0" t="s">
        <v>2842</v>
      </c>
      <c r="V769" s="0" t="s">
        <v>55</v>
      </c>
      <c r="W769" s="0" t="s">
        <v>2146</v>
      </c>
      <c r="X769" s="0" t="s">
        <v>7355</v>
      </c>
      <c r="Y769" s="0" t="s">
        <v>7667</v>
      </c>
      <c r="Z769" s="0" t="s">
        <v>7493</v>
      </c>
      <c r="AA769" s="0" t="s">
        <v>7831</v>
      </c>
      <c r="AB769" s="0" t="s">
        <v>344</v>
      </c>
      <c r="AC769" s="0" t="s">
        <v>7629</v>
      </c>
      <c r="AD769" s="0" t="s">
        <v>58</v>
      </c>
      <c r="AE769" s="0" t="s">
        <v>2842</v>
      </c>
      <c r="AG769" s="0" t="s">
        <v>230</v>
      </c>
    </row>
    <row r="770" customFormat="false" ht="15" hidden="false" customHeight="false" outlineLevel="0" collapsed="false">
      <c r="A770" s="0" t="s">
        <v>7336</v>
      </c>
      <c r="B770" s="0" t="s">
        <v>2947</v>
      </c>
      <c r="C770" s="0" t="s">
        <v>2948</v>
      </c>
      <c r="D770" s="0" t="s">
        <v>300</v>
      </c>
      <c r="E770" s="0" t="s">
        <v>2949</v>
      </c>
      <c r="F770" s="0" t="s">
        <v>2950</v>
      </c>
      <c r="G770" s="0" t="s">
        <v>142</v>
      </c>
      <c r="H770" s="0" t="s">
        <v>7859</v>
      </c>
      <c r="I770" s="0" t="s">
        <v>7338</v>
      </c>
      <c r="J770" s="0" t="s">
        <v>1602</v>
      </c>
      <c r="K770" s="0" t="s">
        <v>7339</v>
      </c>
      <c r="L770" s="0" t="s">
        <v>7340</v>
      </c>
      <c r="M770" s="0" t="s">
        <v>7661</v>
      </c>
      <c r="N770" s="0" t="s">
        <v>7342</v>
      </c>
      <c r="O770" s="0" t="s">
        <v>7360</v>
      </c>
      <c r="P770" s="0" t="s">
        <v>236</v>
      </c>
      <c r="Q770" s="0" t="s">
        <v>7834</v>
      </c>
      <c r="S770" s="0" t="s">
        <v>7344</v>
      </c>
      <c r="T770" s="0" t="s">
        <v>2842</v>
      </c>
      <c r="V770" s="0" t="s">
        <v>55</v>
      </c>
      <c r="W770" s="0" t="s">
        <v>2146</v>
      </c>
      <c r="X770" s="0" t="s">
        <v>7355</v>
      </c>
      <c r="Y770" s="0" t="s">
        <v>7667</v>
      </c>
      <c r="Z770" s="0" t="s">
        <v>7493</v>
      </c>
      <c r="AA770" s="0" t="s">
        <v>7831</v>
      </c>
      <c r="AB770" s="0" t="s">
        <v>344</v>
      </c>
      <c r="AC770" s="0" t="s">
        <v>7629</v>
      </c>
      <c r="AD770" s="0" t="s">
        <v>58</v>
      </c>
      <c r="AE770" s="0" t="s">
        <v>2842</v>
      </c>
      <c r="AG770" s="0" t="s">
        <v>230</v>
      </c>
    </row>
    <row r="771" customFormat="false" ht="15" hidden="false" customHeight="false" outlineLevel="0" collapsed="false">
      <c r="A771" s="0" t="s">
        <v>7336</v>
      </c>
      <c r="B771" s="0" t="s">
        <v>2951</v>
      </c>
      <c r="C771" s="0" t="s">
        <v>2628</v>
      </c>
      <c r="D771" s="0" t="s">
        <v>2431</v>
      </c>
      <c r="E771" s="0" t="s">
        <v>2629</v>
      </c>
      <c r="F771" s="0" t="s">
        <v>2769</v>
      </c>
      <c r="G771" s="0" t="s">
        <v>109</v>
      </c>
      <c r="H771" s="0" t="s">
        <v>7822</v>
      </c>
      <c r="I771" s="0" t="s">
        <v>7338</v>
      </c>
      <c r="J771" s="0" t="s">
        <v>1602</v>
      </c>
      <c r="K771" s="0" t="s">
        <v>7339</v>
      </c>
      <c r="L771" s="0" t="s">
        <v>7340</v>
      </c>
      <c r="M771" s="0" t="s">
        <v>7661</v>
      </c>
      <c r="N771" s="0" t="s">
        <v>7342</v>
      </c>
      <c r="P771" s="0" t="s">
        <v>229</v>
      </c>
      <c r="R771" s="0" t="s">
        <v>7343</v>
      </c>
      <c r="S771" s="0" t="s">
        <v>7344</v>
      </c>
      <c r="T771" s="0" t="s">
        <v>681</v>
      </c>
      <c r="V771" s="0" t="s">
        <v>34</v>
      </c>
      <c r="W771" s="0" t="s">
        <v>36</v>
      </c>
      <c r="X771" s="0" t="s">
        <v>7345</v>
      </c>
      <c r="Y771" s="0" t="s">
        <v>7495</v>
      </c>
      <c r="Z771" s="0" t="s">
        <v>7496</v>
      </c>
      <c r="AA771" s="0" t="s">
        <v>7497</v>
      </c>
      <c r="AB771" s="0" t="s">
        <v>682</v>
      </c>
      <c r="AC771" s="0" t="s">
        <v>7349</v>
      </c>
      <c r="AD771" s="0" t="s">
        <v>7498</v>
      </c>
      <c r="AE771" s="0" t="s">
        <v>7778</v>
      </c>
      <c r="AF771" s="0" t="s">
        <v>7499</v>
      </c>
      <c r="AG771" s="0" t="s">
        <v>230</v>
      </c>
    </row>
    <row r="772" customFormat="false" ht="15" hidden="false" customHeight="false" outlineLevel="0" collapsed="false">
      <c r="A772" s="0" t="s">
        <v>7336</v>
      </c>
      <c r="B772" s="0" t="s">
        <v>2952</v>
      </c>
      <c r="C772" s="0" t="s">
        <v>2953</v>
      </c>
      <c r="D772" s="0" t="s">
        <v>2431</v>
      </c>
      <c r="E772" s="0" t="s">
        <v>2954</v>
      </c>
      <c r="F772" s="0" t="s">
        <v>2769</v>
      </c>
      <c r="G772" s="0" t="s">
        <v>109</v>
      </c>
      <c r="H772" s="0" t="s">
        <v>7822</v>
      </c>
      <c r="I772" s="0" t="s">
        <v>7338</v>
      </c>
      <c r="J772" s="0" t="s">
        <v>1602</v>
      </c>
      <c r="K772" s="0" t="s">
        <v>7339</v>
      </c>
      <c r="L772" s="0" t="s">
        <v>7340</v>
      </c>
      <c r="M772" s="0" t="s">
        <v>7661</v>
      </c>
      <c r="N772" s="0" t="s">
        <v>7342</v>
      </c>
      <c r="P772" s="0" t="s">
        <v>229</v>
      </c>
      <c r="R772" s="0" t="s">
        <v>7343</v>
      </c>
      <c r="S772" s="0" t="s">
        <v>7344</v>
      </c>
      <c r="T772" s="0" t="s">
        <v>228</v>
      </c>
      <c r="V772" s="0" t="s">
        <v>34</v>
      </c>
      <c r="W772" s="0" t="s">
        <v>36</v>
      </c>
      <c r="X772" s="0" t="s">
        <v>7345</v>
      </c>
      <c r="Y772" s="0" t="s">
        <v>7346</v>
      </c>
      <c r="Z772" s="0" t="s">
        <v>7370</v>
      </c>
      <c r="AA772" s="0" t="s">
        <v>7348</v>
      </c>
      <c r="AB772" s="0" t="s">
        <v>231</v>
      </c>
      <c r="AC772" s="0" t="s">
        <v>7349</v>
      </c>
      <c r="AD772" s="0" t="s">
        <v>7516</v>
      </c>
      <c r="AE772" s="0" t="s">
        <v>7779</v>
      </c>
      <c r="AF772" s="0" t="s">
        <v>7352</v>
      </c>
      <c r="AG772" s="0" t="s">
        <v>230</v>
      </c>
    </row>
    <row r="773" customFormat="false" ht="15" hidden="false" customHeight="false" outlineLevel="0" collapsed="false">
      <c r="A773" s="0" t="s">
        <v>7336</v>
      </c>
      <c r="B773" s="0" t="s">
        <v>2955</v>
      </c>
      <c r="C773" s="0" t="s">
        <v>2956</v>
      </c>
      <c r="D773" s="0" t="s">
        <v>2431</v>
      </c>
      <c r="E773" s="0" t="s">
        <v>2957</v>
      </c>
      <c r="F773" s="0" t="s">
        <v>2958</v>
      </c>
      <c r="G773" s="0" t="s">
        <v>109</v>
      </c>
      <c r="H773" s="0" t="s">
        <v>7860</v>
      </c>
      <c r="I773" s="0" t="s">
        <v>7338</v>
      </c>
      <c r="J773" s="0" t="s">
        <v>1602</v>
      </c>
      <c r="K773" s="0" t="s">
        <v>7339</v>
      </c>
      <c r="L773" s="0" t="s">
        <v>7340</v>
      </c>
      <c r="M773" s="0" t="s">
        <v>7661</v>
      </c>
      <c r="N773" s="0" t="s">
        <v>7342</v>
      </c>
      <c r="P773" s="0" t="s">
        <v>229</v>
      </c>
      <c r="R773" s="0" t="s">
        <v>7343</v>
      </c>
      <c r="S773" s="0" t="s">
        <v>7344</v>
      </c>
      <c r="T773" s="0" t="s">
        <v>681</v>
      </c>
      <c r="V773" s="0" t="s">
        <v>34</v>
      </c>
      <c r="W773" s="0" t="s">
        <v>36</v>
      </c>
      <c r="X773" s="0" t="s">
        <v>7345</v>
      </c>
      <c r="Y773" s="0" t="s">
        <v>7495</v>
      </c>
      <c r="Z773" s="0" t="s">
        <v>7496</v>
      </c>
      <c r="AA773" s="0" t="s">
        <v>7497</v>
      </c>
      <c r="AB773" s="0" t="s">
        <v>682</v>
      </c>
      <c r="AC773" s="0" t="s">
        <v>7349</v>
      </c>
      <c r="AD773" s="0" t="s">
        <v>7498</v>
      </c>
      <c r="AE773" s="0" t="s">
        <v>7778</v>
      </c>
      <c r="AF773" s="0" t="s">
        <v>7499</v>
      </c>
      <c r="AG773" s="0" t="s">
        <v>230</v>
      </c>
    </row>
    <row r="774" customFormat="false" ht="15" hidden="false" customHeight="false" outlineLevel="0" collapsed="false">
      <c r="A774" s="0" t="s">
        <v>7336</v>
      </c>
      <c r="B774" s="0" t="s">
        <v>2959</v>
      </c>
      <c r="C774" s="0" t="s">
        <v>2960</v>
      </c>
      <c r="D774" s="0" t="s">
        <v>2431</v>
      </c>
      <c r="E774" s="0" t="s">
        <v>2961</v>
      </c>
      <c r="F774" s="0" t="s">
        <v>2958</v>
      </c>
      <c r="G774" s="0" t="s">
        <v>109</v>
      </c>
      <c r="H774" s="0" t="s">
        <v>7860</v>
      </c>
      <c r="I774" s="0" t="s">
        <v>7338</v>
      </c>
      <c r="J774" s="0" t="s">
        <v>1602</v>
      </c>
      <c r="K774" s="0" t="s">
        <v>7339</v>
      </c>
      <c r="L774" s="0" t="s">
        <v>7340</v>
      </c>
      <c r="M774" s="0" t="s">
        <v>7661</v>
      </c>
      <c r="N774" s="0" t="s">
        <v>7342</v>
      </c>
      <c r="P774" s="0" t="s">
        <v>229</v>
      </c>
      <c r="R774" s="0" t="s">
        <v>7343</v>
      </c>
      <c r="S774" s="0" t="s">
        <v>7344</v>
      </c>
      <c r="T774" s="0" t="s">
        <v>681</v>
      </c>
      <c r="V774" s="0" t="s">
        <v>34</v>
      </c>
      <c r="W774" s="0" t="s">
        <v>36</v>
      </c>
      <c r="X774" s="0" t="s">
        <v>7345</v>
      </c>
      <c r="Y774" s="0" t="s">
        <v>7495</v>
      </c>
      <c r="Z774" s="0" t="s">
        <v>7496</v>
      </c>
      <c r="AA774" s="0" t="s">
        <v>7497</v>
      </c>
      <c r="AB774" s="0" t="s">
        <v>682</v>
      </c>
      <c r="AC774" s="0" t="s">
        <v>7349</v>
      </c>
      <c r="AD774" s="0" t="s">
        <v>7498</v>
      </c>
      <c r="AE774" s="0" t="s">
        <v>7797</v>
      </c>
      <c r="AF774" s="0" t="s">
        <v>7499</v>
      </c>
      <c r="AG774" s="0" t="s">
        <v>230</v>
      </c>
    </row>
    <row r="775" customFormat="false" ht="15" hidden="false" customHeight="false" outlineLevel="0" collapsed="false">
      <c r="A775" s="0" t="s">
        <v>7336</v>
      </c>
      <c r="B775" s="0" t="s">
        <v>2962</v>
      </c>
      <c r="C775" s="0" t="s">
        <v>2963</v>
      </c>
      <c r="D775" s="0" t="s">
        <v>2431</v>
      </c>
      <c r="E775" s="0" t="s">
        <v>2964</v>
      </c>
      <c r="F775" s="0" t="s">
        <v>2958</v>
      </c>
      <c r="G775" s="0" t="s">
        <v>109</v>
      </c>
      <c r="H775" s="0" t="s">
        <v>7860</v>
      </c>
      <c r="I775" s="0" t="s">
        <v>7338</v>
      </c>
      <c r="J775" s="0" t="s">
        <v>1602</v>
      </c>
      <c r="K775" s="0" t="s">
        <v>7339</v>
      </c>
      <c r="L775" s="0" t="s">
        <v>7340</v>
      </c>
      <c r="M775" s="0" t="s">
        <v>7661</v>
      </c>
      <c r="N775" s="0" t="s">
        <v>7342</v>
      </c>
      <c r="P775" s="0" t="s">
        <v>229</v>
      </c>
      <c r="R775" s="0" t="s">
        <v>7343</v>
      </c>
      <c r="S775" s="0" t="s">
        <v>7344</v>
      </c>
      <c r="T775" s="0" t="s">
        <v>228</v>
      </c>
      <c r="V775" s="0" t="s">
        <v>34</v>
      </c>
      <c r="W775" s="0" t="s">
        <v>36</v>
      </c>
      <c r="X775" s="0" t="s">
        <v>7345</v>
      </c>
      <c r="Y775" s="0" t="s">
        <v>7346</v>
      </c>
      <c r="Z775" s="0" t="s">
        <v>7347</v>
      </c>
      <c r="AA775" s="0" t="s">
        <v>7348</v>
      </c>
      <c r="AB775" s="0" t="s">
        <v>231</v>
      </c>
      <c r="AC775" s="0" t="s">
        <v>7349</v>
      </c>
      <c r="AD775" s="0" t="s">
        <v>7350</v>
      </c>
      <c r="AE775" s="0" t="s">
        <v>7779</v>
      </c>
      <c r="AF775" s="0" t="s">
        <v>7352</v>
      </c>
      <c r="AG775" s="0" t="s">
        <v>230</v>
      </c>
    </row>
    <row r="776" customFormat="false" ht="15" hidden="false" customHeight="false" outlineLevel="0" collapsed="false">
      <c r="A776" s="0" t="s">
        <v>7336</v>
      </c>
      <c r="B776" s="0" t="s">
        <v>2965</v>
      </c>
      <c r="C776" s="0" t="s">
        <v>2645</v>
      </c>
      <c r="D776" s="0" t="s">
        <v>2431</v>
      </c>
      <c r="E776" s="0" t="s">
        <v>2646</v>
      </c>
      <c r="F776" s="0" t="s">
        <v>2966</v>
      </c>
      <c r="G776" s="0" t="s">
        <v>109</v>
      </c>
      <c r="H776" s="0" t="s">
        <v>7861</v>
      </c>
      <c r="I776" s="0" t="s">
        <v>7338</v>
      </c>
      <c r="J776" s="0" t="s">
        <v>1602</v>
      </c>
      <c r="K776" s="0" t="s">
        <v>7339</v>
      </c>
      <c r="L776" s="0" t="s">
        <v>7340</v>
      </c>
      <c r="M776" s="0" t="s">
        <v>7661</v>
      </c>
      <c r="N776" s="0" t="s">
        <v>7342</v>
      </c>
      <c r="P776" s="0" t="s">
        <v>229</v>
      </c>
      <c r="R776" s="0" t="s">
        <v>7343</v>
      </c>
      <c r="S776" s="0" t="s">
        <v>7344</v>
      </c>
      <c r="T776" s="0" t="s">
        <v>681</v>
      </c>
      <c r="V776" s="0" t="s">
        <v>34</v>
      </c>
      <c r="W776" s="0" t="s">
        <v>36</v>
      </c>
      <c r="X776" s="0" t="s">
        <v>7345</v>
      </c>
      <c r="Y776" s="0" t="s">
        <v>7495</v>
      </c>
      <c r="Z776" s="0" t="s">
        <v>7496</v>
      </c>
      <c r="AA776" s="0" t="s">
        <v>7497</v>
      </c>
      <c r="AB776" s="0" t="s">
        <v>682</v>
      </c>
      <c r="AC776" s="0" t="s">
        <v>7349</v>
      </c>
      <c r="AD776" s="0" t="s">
        <v>7498</v>
      </c>
      <c r="AE776" s="0" t="s">
        <v>40</v>
      </c>
      <c r="AF776" s="0" t="s">
        <v>7499</v>
      </c>
      <c r="AG776" s="0" t="s">
        <v>230</v>
      </c>
    </row>
    <row r="777" customFormat="false" ht="15" hidden="false" customHeight="false" outlineLevel="0" collapsed="false">
      <c r="A777" s="0" t="s">
        <v>7336</v>
      </c>
      <c r="B777" s="0" t="s">
        <v>2967</v>
      </c>
      <c r="C777" s="0" t="s">
        <v>2649</v>
      </c>
      <c r="D777" s="0" t="s">
        <v>2431</v>
      </c>
      <c r="E777" s="0" t="s">
        <v>2650</v>
      </c>
      <c r="F777" s="0" t="s">
        <v>2966</v>
      </c>
      <c r="G777" s="0" t="s">
        <v>109</v>
      </c>
      <c r="H777" s="0" t="s">
        <v>7861</v>
      </c>
      <c r="I777" s="0" t="s">
        <v>7338</v>
      </c>
      <c r="J777" s="0" t="s">
        <v>1602</v>
      </c>
      <c r="K777" s="0" t="s">
        <v>7339</v>
      </c>
      <c r="L777" s="0" t="s">
        <v>7340</v>
      </c>
      <c r="M777" s="0" t="s">
        <v>7661</v>
      </c>
      <c r="N777" s="0" t="s">
        <v>7342</v>
      </c>
      <c r="P777" s="0" t="s">
        <v>229</v>
      </c>
      <c r="R777" s="0" t="s">
        <v>7343</v>
      </c>
      <c r="S777" s="0" t="s">
        <v>7344</v>
      </c>
      <c r="T777" s="0" t="s">
        <v>681</v>
      </c>
      <c r="V777" s="0" t="s">
        <v>34</v>
      </c>
      <c r="W777" s="0" t="s">
        <v>36</v>
      </c>
      <c r="X777" s="0" t="s">
        <v>7345</v>
      </c>
      <c r="Y777" s="0" t="s">
        <v>7495</v>
      </c>
      <c r="Z777" s="0" t="s">
        <v>7496</v>
      </c>
      <c r="AA777" s="0" t="s">
        <v>7497</v>
      </c>
      <c r="AB777" s="0" t="s">
        <v>682</v>
      </c>
      <c r="AC777" s="0" t="s">
        <v>7349</v>
      </c>
      <c r="AD777" s="0" t="s">
        <v>7498</v>
      </c>
      <c r="AE777" s="0" t="s">
        <v>7810</v>
      </c>
      <c r="AF777" s="0" t="s">
        <v>7499</v>
      </c>
      <c r="AG777" s="0" t="s">
        <v>230</v>
      </c>
    </row>
    <row r="778" customFormat="false" ht="15" hidden="false" customHeight="false" outlineLevel="0" collapsed="false">
      <c r="A778" s="0" t="s">
        <v>7336</v>
      </c>
      <c r="B778" s="0" t="s">
        <v>2968</v>
      </c>
      <c r="C778" s="0" t="s">
        <v>2969</v>
      </c>
      <c r="D778" s="0" t="s">
        <v>2431</v>
      </c>
      <c r="E778" s="0" t="s">
        <v>2970</v>
      </c>
      <c r="F778" s="0" t="s">
        <v>2966</v>
      </c>
      <c r="G778" s="0" t="s">
        <v>109</v>
      </c>
      <c r="H778" s="0" t="s">
        <v>7861</v>
      </c>
      <c r="I778" s="0" t="s">
        <v>7338</v>
      </c>
      <c r="J778" s="0" t="s">
        <v>1602</v>
      </c>
      <c r="K778" s="0" t="s">
        <v>7339</v>
      </c>
      <c r="L778" s="0" t="s">
        <v>7340</v>
      </c>
      <c r="M778" s="0" t="s">
        <v>7661</v>
      </c>
      <c r="N778" s="0" t="s">
        <v>7342</v>
      </c>
      <c r="P778" s="0" t="s">
        <v>229</v>
      </c>
      <c r="R778" s="0" t="s">
        <v>7343</v>
      </c>
      <c r="S778" s="0" t="s">
        <v>7344</v>
      </c>
      <c r="T778" s="0" t="s">
        <v>228</v>
      </c>
      <c r="V778" s="0" t="s">
        <v>34</v>
      </c>
      <c r="W778" s="0" t="s">
        <v>36</v>
      </c>
      <c r="X778" s="0" t="s">
        <v>7345</v>
      </c>
      <c r="Y778" s="0" t="s">
        <v>7346</v>
      </c>
      <c r="Z778" s="0" t="s">
        <v>7370</v>
      </c>
      <c r="AA778" s="0" t="s">
        <v>7348</v>
      </c>
      <c r="AB778" s="0" t="s">
        <v>231</v>
      </c>
      <c r="AC778" s="0" t="s">
        <v>7349</v>
      </c>
      <c r="AD778" s="0" t="s">
        <v>7516</v>
      </c>
      <c r="AE778" s="0" t="s">
        <v>7779</v>
      </c>
      <c r="AF778" s="0" t="s">
        <v>7352</v>
      </c>
      <c r="AG778" s="0" t="s">
        <v>230</v>
      </c>
    </row>
    <row r="779" customFormat="false" ht="15" hidden="false" customHeight="false" outlineLevel="0" collapsed="false">
      <c r="A779" s="0" t="s">
        <v>7336</v>
      </c>
      <c r="B779" s="0" t="s">
        <v>2971</v>
      </c>
      <c r="C779" s="0" t="s">
        <v>2972</v>
      </c>
      <c r="D779" s="0" t="s">
        <v>2431</v>
      </c>
      <c r="E779" s="0" t="s">
        <v>2973</v>
      </c>
      <c r="F779" s="0" t="s">
        <v>2966</v>
      </c>
      <c r="G779" s="0" t="s">
        <v>109</v>
      </c>
      <c r="H779" s="0" t="s">
        <v>7861</v>
      </c>
      <c r="I779" s="0" t="s">
        <v>7338</v>
      </c>
      <c r="J779" s="0" t="s">
        <v>1602</v>
      </c>
      <c r="K779" s="0" t="s">
        <v>7339</v>
      </c>
      <c r="L779" s="0" t="s">
        <v>7340</v>
      </c>
      <c r="M779" s="0" t="s">
        <v>7661</v>
      </c>
      <c r="N779" s="0" t="s">
        <v>7342</v>
      </c>
      <c r="P779" s="0" t="s">
        <v>229</v>
      </c>
      <c r="R779" s="0" t="s">
        <v>7343</v>
      </c>
      <c r="S779" s="0" t="s">
        <v>7344</v>
      </c>
      <c r="T779" s="0" t="s">
        <v>228</v>
      </c>
      <c r="V779" s="0" t="s">
        <v>34</v>
      </c>
      <c r="W779" s="0" t="s">
        <v>36</v>
      </c>
      <c r="X779" s="0" t="s">
        <v>7345</v>
      </c>
      <c r="Y779" s="0" t="s">
        <v>7346</v>
      </c>
      <c r="Z779" s="0" t="s">
        <v>7370</v>
      </c>
      <c r="AA779" s="0" t="s">
        <v>7348</v>
      </c>
      <c r="AB779" s="0" t="s">
        <v>231</v>
      </c>
      <c r="AC779" s="0" t="s">
        <v>7349</v>
      </c>
      <c r="AD779" s="0" t="s">
        <v>7512</v>
      </c>
      <c r="AE779" s="0" t="s">
        <v>57</v>
      </c>
      <c r="AF779" s="0" t="s">
        <v>7352</v>
      </c>
      <c r="AG779" s="0" t="s">
        <v>230</v>
      </c>
    </row>
    <row r="780" customFormat="false" ht="15" hidden="false" customHeight="false" outlineLevel="0" collapsed="false">
      <c r="A780" s="0" t="s">
        <v>7336</v>
      </c>
      <c r="B780" s="0" t="s">
        <v>2974</v>
      </c>
      <c r="C780" s="0" t="s">
        <v>2658</v>
      </c>
      <c r="D780" s="0" t="s">
        <v>2431</v>
      </c>
      <c r="E780" s="0" t="s">
        <v>2659</v>
      </c>
      <c r="F780" s="0" t="s">
        <v>2769</v>
      </c>
      <c r="G780" s="0" t="s">
        <v>109</v>
      </c>
      <c r="H780" s="0" t="s">
        <v>7822</v>
      </c>
      <c r="I780" s="0" t="s">
        <v>7338</v>
      </c>
      <c r="J780" s="0" t="s">
        <v>1602</v>
      </c>
      <c r="K780" s="0" t="s">
        <v>7339</v>
      </c>
      <c r="L780" s="0" t="s">
        <v>7340</v>
      </c>
      <c r="M780" s="0" t="s">
        <v>7661</v>
      </c>
      <c r="N780" s="0" t="s">
        <v>7342</v>
      </c>
      <c r="P780" s="0" t="s">
        <v>229</v>
      </c>
      <c r="R780" s="0" t="s">
        <v>7343</v>
      </c>
      <c r="S780" s="0" t="s">
        <v>7344</v>
      </c>
      <c r="T780" s="0" t="s">
        <v>681</v>
      </c>
      <c r="V780" s="0" t="s">
        <v>34</v>
      </c>
      <c r="W780" s="0" t="s">
        <v>36</v>
      </c>
      <c r="X780" s="0" t="s">
        <v>7345</v>
      </c>
      <c r="Y780" s="0" t="s">
        <v>7495</v>
      </c>
      <c r="Z780" s="0" t="s">
        <v>7496</v>
      </c>
      <c r="AA780" s="0" t="s">
        <v>7497</v>
      </c>
      <c r="AB780" s="0" t="s">
        <v>682</v>
      </c>
      <c r="AC780" s="0" t="s">
        <v>7349</v>
      </c>
      <c r="AD780" s="0" t="s">
        <v>7498</v>
      </c>
      <c r="AE780" s="0" t="s">
        <v>7778</v>
      </c>
      <c r="AF780" s="0" t="s">
        <v>7499</v>
      </c>
      <c r="AG780" s="0" t="s">
        <v>230</v>
      </c>
    </row>
    <row r="781" customFormat="false" ht="15" hidden="false" customHeight="false" outlineLevel="0" collapsed="false">
      <c r="A781" s="0" t="s">
        <v>7336</v>
      </c>
      <c r="B781" s="0" t="s">
        <v>2975</v>
      </c>
      <c r="C781" s="0" t="s">
        <v>2976</v>
      </c>
      <c r="D781" s="0" t="s">
        <v>2431</v>
      </c>
      <c r="E781" s="0" t="s">
        <v>2977</v>
      </c>
      <c r="F781" s="0" t="s">
        <v>2769</v>
      </c>
      <c r="G781" s="0" t="s">
        <v>109</v>
      </c>
      <c r="H781" s="0" t="s">
        <v>7822</v>
      </c>
      <c r="I781" s="0" t="s">
        <v>7338</v>
      </c>
      <c r="J781" s="0" t="s">
        <v>1602</v>
      </c>
      <c r="K781" s="0" t="s">
        <v>7339</v>
      </c>
      <c r="L781" s="0" t="s">
        <v>7340</v>
      </c>
      <c r="M781" s="0" t="s">
        <v>7661</v>
      </c>
      <c r="N781" s="0" t="s">
        <v>7342</v>
      </c>
      <c r="P781" s="0" t="s">
        <v>229</v>
      </c>
      <c r="R781" s="0" t="s">
        <v>7343</v>
      </c>
      <c r="S781" s="0" t="s">
        <v>7344</v>
      </c>
      <c r="T781" s="0" t="s">
        <v>228</v>
      </c>
      <c r="V781" s="0" t="s">
        <v>34</v>
      </c>
      <c r="W781" s="0" t="s">
        <v>36</v>
      </c>
      <c r="X781" s="0" t="s">
        <v>7345</v>
      </c>
      <c r="Y781" s="0" t="s">
        <v>7346</v>
      </c>
      <c r="Z781" s="0" t="s">
        <v>7370</v>
      </c>
      <c r="AA781" s="0" t="s">
        <v>7348</v>
      </c>
      <c r="AB781" s="0" t="s">
        <v>231</v>
      </c>
      <c r="AC781" s="0" t="s">
        <v>7349</v>
      </c>
      <c r="AD781" s="0" t="s">
        <v>7512</v>
      </c>
      <c r="AE781" s="0" t="s">
        <v>7779</v>
      </c>
      <c r="AF781" s="0" t="s">
        <v>7352</v>
      </c>
      <c r="AG781" s="0" t="s">
        <v>230</v>
      </c>
    </row>
    <row r="782" customFormat="false" ht="15" hidden="false" customHeight="false" outlineLevel="0" collapsed="false">
      <c r="A782" s="0" t="s">
        <v>7336</v>
      </c>
      <c r="B782" s="0" t="s">
        <v>2978</v>
      </c>
      <c r="C782" s="0" t="s">
        <v>2664</v>
      </c>
      <c r="D782" s="0" t="s">
        <v>2431</v>
      </c>
      <c r="E782" s="0" t="s">
        <v>2665</v>
      </c>
      <c r="F782" s="0" t="s">
        <v>2769</v>
      </c>
      <c r="G782" s="0" t="s">
        <v>109</v>
      </c>
      <c r="H782" s="0" t="s">
        <v>7822</v>
      </c>
      <c r="I782" s="0" t="s">
        <v>7338</v>
      </c>
      <c r="J782" s="0" t="s">
        <v>1602</v>
      </c>
      <c r="K782" s="0" t="s">
        <v>7339</v>
      </c>
      <c r="L782" s="0" t="s">
        <v>7340</v>
      </c>
      <c r="M782" s="0" t="s">
        <v>7661</v>
      </c>
      <c r="N782" s="0" t="s">
        <v>7342</v>
      </c>
      <c r="P782" s="0" t="s">
        <v>229</v>
      </c>
      <c r="R782" s="0" t="s">
        <v>7343</v>
      </c>
      <c r="S782" s="0" t="s">
        <v>7344</v>
      </c>
      <c r="T782" s="0" t="s">
        <v>681</v>
      </c>
      <c r="V782" s="0" t="s">
        <v>34</v>
      </c>
      <c r="W782" s="0" t="s">
        <v>36</v>
      </c>
      <c r="X782" s="0" t="s">
        <v>7345</v>
      </c>
      <c r="Y782" s="0" t="s">
        <v>7495</v>
      </c>
      <c r="Z782" s="0" t="s">
        <v>7496</v>
      </c>
      <c r="AA782" s="0" t="s">
        <v>7497</v>
      </c>
      <c r="AB782" s="0" t="s">
        <v>682</v>
      </c>
      <c r="AC782" s="0" t="s">
        <v>7349</v>
      </c>
      <c r="AD782" s="0" t="s">
        <v>7498</v>
      </c>
      <c r="AE782" s="0" t="s">
        <v>40</v>
      </c>
      <c r="AF782" s="0" t="s">
        <v>7499</v>
      </c>
      <c r="AG782" s="0" t="s">
        <v>230</v>
      </c>
    </row>
    <row r="783" customFormat="false" ht="15" hidden="false" customHeight="false" outlineLevel="0" collapsed="false">
      <c r="A783" s="0" t="s">
        <v>7336</v>
      </c>
      <c r="B783" s="0" t="s">
        <v>2979</v>
      </c>
      <c r="C783" s="0" t="s">
        <v>2980</v>
      </c>
      <c r="D783" s="0" t="s">
        <v>2983</v>
      </c>
      <c r="E783" s="0" t="s">
        <v>2981</v>
      </c>
      <c r="F783" s="0" t="s">
        <v>2982</v>
      </c>
      <c r="G783" s="0" t="s">
        <v>134</v>
      </c>
      <c r="H783" s="0" t="s">
        <v>7862</v>
      </c>
      <c r="I783" s="0" t="s">
        <v>7338</v>
      </c>
      <c r="J783" s="0" t="s">
        <v>1602</v>
      </c>
      <c r="K783" s="0" t="s">
        <v>7339</v>
      </c>
      <c r="L783" s="0" t="s">
        <v>7340</v>
      </c>
      <c r="M783" s="0" t="s">
        <v>7661</v>
      </c>
      <c r="N783" s="0" t="s">
        <v>7342</v>
      </c>
      <c r="P783" s="0" t="s">
        <v>229</v>
      </c>
      <c r="R783" s="0" t="s">
        <v>7343</v>
      </c>
      <c r="S783" s="0" t="s">
        <v>7344</v>
      </c>
      <c r="T783" s="0" t="s">
        <v>681</v>
      </c>
      <c r="V783" s="0" t="s">
        <v>34</v>
      </c>
      <c r="W783" s="0" t="s">
        <v>39</v>
      </c>
      <c r="X783" s="0" t="s">
        <v>7355</v>
      </c>
      <c r="Y783" s="0" t="s">
        <v>7346</v>
      </c>
      <c r="Z783" s="0" t="s">
        <v>7493</v>
      </c>
      <c r="AA783" s="0" t="s">
        <v>7348</v>
      </c>
      <c r="AB783" s="0" t="s">
        <v>231</v>
      </c>
      <c r="AC783" s="0" t="s">
        <v>7349</v>
      </c>
      <c r="AD783" s="0" t="s">
        <v>7746</v>
      </c>
      <c r="AE783" s="0" t="s">
        <v>7412</v>
      </c>
      <c r="AF783" s="0" t="s">
        <v>7374</v>
      </c>
      <c r="AG783" s="0" t="s">
        <v>230</v>
      </c>
    </row>
    <row r="784" customFormat="false" ht="15" hidden="false" customHeight="false" outlineLevel="0" collapsed="false">
      <c r="A784" s="0" t="s">
        <v>7336</v>
      </c>
      <c r="B784" s="0" t="s">
        <v>2984</v>
      </c>
      <c r="C784" s="0" t="s">
        <v>2985</v>
      </c>
      <c r="D784" s="0" t="s">
        <v>2983</v>
      </c>
      <c r="E784" s="0" t="s">
        <v>2986</v>
      </c>
      <c r="F784" s="0" t="s">
        <v>2982</v>
      </c>
      <c r="G784" s="0" t="s">
        <v>134</v>
      </c>
      <c r="H784" s="0" t="s">
        <v>7862</v>
      </c>
      <c r="I784" s="0" t="s">
        <v>7338</v>
      </c>
      <c r="J784" s="0" t="s">
        <v>1602</v>
      </c>
      <c r="K784" s="0" t="s">
        <v>7339</v>
      </c>
      <c r="L784" s="0" t="s">
        <v>7340</v>
      </c>
      <c r="M784" s="0" t="s">
        <v>7661</v>
      </c>
      <c r="N784" s="0" t="s">
        <v>7342</v>
      </c>
      <c r="P784" s="0" t="s">
        <v>229</v>
      </c>
      <c r="S784" s="0" t="s">
        <v>7344</v>
      </c>
      <c r="T784" s="0" t="s">
        <v>58</v>
      </c>
      <c r="V784" s="0" t="s">
        <v>99</v>
      </c>
      <c r="W784" s="0" t="s">
        <v>98</v>
      </c>
      <c r="X784" s="0" t="s">
        <v>7355</v>
      </c>
      <c r="Z784" s="0" t="s">
        <v>7863</v>
      </c>
      <c r="AB784" s="0" t="s">
        <v>2987</v>
      </c>
      <c r="AC784" s="0" t="s">
        <v>7349</v>
      </c>
      <c r="AE784" s="0" t="s">
        <v>7864</v>
      </c>
      <c r="AF784" s="0" t="s">
        <v>7499</v>
      </c>
      <c r="AG784" s="0" t="s">
        <v>230</v>
      </c>
    </row>
    <row r="785" customFormat="false" ht="15" hidden="false" customHeight="false" outlineLevel="0" collapsed="false">
      <c r="A785" s="0" t="s">
        <v>7336</v>
      </c>
      <c r="B785" s="0" t="s">
        <v>2988</v>
      </c>
      <c r="C785" s="0" t="s">
        <v>2989</v>
      </c>
      <c r="D785" s="0" t="s">
        <v>2983</v>
      </c>
      <c r="E785" s="0" t="s">
        <v>2990</v>
      </c>
      <c r="F785" s="0" t="s">
        <v>2991</v>
      </c>
      <c r="G785" s="0" t="s">
        <v>134</v>
      </c>
      <c r="H785" s="0" t="s">
        <v>7865</v>
      </c>
      <c r="I785" s="0" t="s">
        <v>7338</v>
      </c>
      <c r="J785" s="0" t="s">
        <v>1602</v>
      </c>
      <c r="K785" s="0" t="s">
        <v>7339</v>
      </c>
      <c r="L785" s="0" t="s">
        <v>7340</v>
      </c>
      <c r="M785" s="0" t="s">
        <v>7661</v>
      </c>
      <c r="N785" s="0" t="s">
        <v>7342</v>
      </c>
      <c r="P785" s="0" t="s">
        <v>229</v>
      </c>
      <c r="R785" s="0" t="s">
        <v>7343</v>
      </c>
      <c r="S785" s="0" t="s">
        <v>7344</v>
      </c>
      <c r="T785" s="0" t="s">
        <v>681</v>
      </c>
      <c r="V785" s="0" t="s">
        <v>34</v>
      </c>
      <c r="W785" s="0" t="s">
        <v>39</v>
      </c>
      <c r="X785" s="0" t="s">
        <v>7355</v>
      </c>
      <c r="Y785" s="0" t="s">
        <v>7346</v>
      </c>
      <c r="Z785" s="0" t="s">
        <v>7493</v>
      </c>
      <c r="AA785" s="0" t="s">
        <v>7348</v>
      </c>
      <c r="AB785" s="0" t="s">
        <v>231</v>
      </c>
      <c r="AC785" s="0" t="s">
        <v>7349</v>
      </c>
      <c r="AD785" s="0" t="s">
        <v>7746</v>
      </c>
      <c r="AE785" s="0" t="s">
        <v>7412</v>
      </c>
      <c r="AF785" s="0" t="s">
        <v>7374</v>
      </c>
      <c r="AG785" s="0" t="s">
        <v>230</v>
      </c>
    </row>
    <row r="786" customFormat="false" ht="15" hidden="false" customHeight="false" outlineLevel="0" collapsed="false">
      <c r="A786" s="0" t="s">
        <v>7336</v>
      </c>
      <c r="B786" s="0" t="s">
        <v>2992</v>
      </c>
      <c r="C786" s="0" t="s">
        <v>2993</v>
      </c>
      <c r="D786" s="0" t="s">
        <v>2983</v>
      </c>
      <c r="E786" s="0" t="s">
        <v>2994</v>
      </c>
      <c r="F786" s="0" t="s">
        <v>2991</v>
      </c>
      <c r="G786" s="0" t="s">
        <v>134</v>
      </c>
      <c r="H786" s="0" t="s">
        <v>7865</v>
      </c>
      <c r="I786" s="0" t="s">
        <v>7338</v>
      </c>
      <c r="J786" s="0" t="s">
        <v>1602</v>
      </c>
      <c r="K786" s="0" t="s">
        <v>7339</v>
      </c>
      <c r="L786" s="0" t="s">
        <v>7340</v>
      </c>
      <c r="M786" s="0" t="s">
        <v>7661</v>
      </c>
      <c r="N786" s="0" t="s">
        <v>7342</v>
      </c>
      <c r="P786" s="0" t="s">
        <v>229</v>
      </c>
      <c r="S786" s="0" t="s">
        <v>7344</v>
      </c>
      <c r="T786" s="0" t="s">
        <v>58</v>
      </c>
      <c r="V786" s="0" t="s">
        <v>99</v>
      </c>
      <c r="W786" s="0" t="s">
        <v>98</v>
      </c>
      <c r="X786" s="0" t="s">
        <v>7355</v>
      </c>
      <c r="Z786" s="0" t="s">
        <v>7863</v>
      </c>
      <c r="AB786" s="0" t="s">
        <v>2987</v>
      </c>
      <c r="AC786" s="0" t="s">
        <v>7349</v>
      </c>
      <c r="AE786" s="0" t="s">
        <v>7864</v>
      </c>
      <c r="AF786" s="0" t="s">
        <v>7499</v>
      </c>
      <c r="AG786" s="0" t="s">
        <v>230</v>
      </c>
    </row>
    <row r="787" customFormat="false" ht="15" hidden="false" customHeight="false" outlineLevel="0" collapsed="false">
      <c r="A787" s="0" t="s">
        <v>7336</v>
      </c>
      <c r="B787" s="0" t="s">
        <v>2995</v>
      </c>
      <c r="C787" s="0" t="s">
        <v>2996</v>
      </c>
      <c r="D787" s="0" t="s">
        <v>2983</v>
      </c>
      <c r="E787" s="0" t="s">
        <v>2997</v>
      </c>
      <c r="F787" s="0" t="s">
        <v>2998</v>
      </c>
      <c r="G787" s="0" t="s">
        <v>134</v>
      </c>
      <c r="H787" s="0" t="s">
        <v>7866</v>
      </c>
      <c r="I787" s="0" t="s">
        <v>7338</v>
      </c>
      <c r="J787" s="0" t="s">
        <v>1602</v>
      </c>
      <c r="K787" s="0" t="s">
        <v>7339</v>
      </c>
      <c r="L787" s="0" t="s">
        <v>7340</v>
      </c>
      <c r="M787" s="0" t="s">
        <v>7661</v>
      </c>
      <c r="N787" s="0" t="s">
        <v>7342</v>
      </c>
      <c r="P787" s="0" t="s">
        <v>229</v>
      </c>
      <c r="R787" s="0" t="s">
        <v>7343</v>
      </c>
      <c r="S787" s="0" t="s">
        <v>7344</v>
      </c>
      <c r="T787" s="0" t="s">
        <v>681</v>
      </c>
      <c r="V787" s="0" t="s">
        <v>34</v>
      </c>
      <c r="W787" s="0" t="s">
        <v>39</v>
      </c>
      <c r="X787" s="0" t="s">
        <v>7355</v>
      </c>
      <c r="Y787" s="0" t="s">
        <v>7346</v>
      </c>
      <c r="Z787" s="0" t="s">
        <v>7493</v>
      </c>
      <c r="AA787" s="0" t="s">
        <v>7348</v>
      </c>
      <c r="AB787" s="0" t="s">
        <v>231</v>
      </c>
      <c r="AC787" s="0" t="s">
        <v>7349</v>
      </c>
      <c r="AD787" s="0" t="s">
        <v>7746</v>
      </c>
      <c r="AE787" s="0" t="s">
        <v>7412</v>
      </c>
      <c r="AF787" s="0" t="s">
        <v>7374</v>
      </c>
      <c r="AG787" s="0" t="s">
        <v>230</v>
      </c>
    </row>
    <row r="788" customFormat="false" ht="15" hidden="false" customHeight="false" outlineLevel="0" collapsed="false">
      <c r="A788" s="0" t="s">
        <v>7336</v>
      </c>
      <c r="B788" s="0" t="s">
        <v>2999</v>
      </c>
      <c r="C788" s="0" t="s">
        <v>3000</v>
      </c>
      <c r="D788" s="0" t="s">
        <v>2983</v>
      </c>
      <c r="E788" s="0" t="s">
        <v>3001</v>
      </c>
      <c r="F788" s="0" t="s">
        <v>2998</v>
      </c>
      <c r="G788" s="0" t="s">
        <v>134</v>
      </c>
      <c r="H788" s="0" t="s">
        <v>7866</v>
      </c>
      <c r="I788" s="0" t="s">
        <v>7338</v>
      </c>
      <c r="J788" s="0" t="s">
        <v>1602</v>
      </c>
      <c r="K788" s="0" t="s">
        <v>7339</v>
      </c>
      <c r="L788" s="0" t="s">
        <v>7340</v>
      </c>
      <c r="M788" s="0" t="s">
        <v>7661</v>
      </c>
      <c r="N788" s="0" t="s">
        <v>7342</v>
      </c>
      <c r="P788" s="0" t="s">
        <v>229</v>
      </c>
      <c r="R788" s="0" t="s">
        <v>7343</v>
      </c>
      <c r="S788" s="0" t="s">
        <v>7344</v>
      </c>
      <c r="T788" s="0" t="s">
        <v>681</v>
      </c>
      <c r="V788" s="0" t="s">
        <v>34</v>
      </c>
      <c r="W788" s="0" t="s">
        <v>39</v>
      </c>
      <c r="X788" s="0" t="s">
        <v>7355</v>
      </c>
      <c r="Y788" s="0" t="s">
        <v>7346</v>
      </c>
      <c r="Z788" s="0" t="s">
        <v>7493</v>
      </c>
      <c r="AA788" s="0" t="s">
        <v>7348</v>
      </c>
      <c r="AB788" s="0" t="s">
        <v>231</v>
      </c>
      <c r="AC788" s="0" t="s">
        <v>7349</v>
      </c>
      <c r="AD788" s="0" t="s">
        <v>7746</v>
      </c>
      <c r="AE788" s="0" t="s">
        <v>7412</v>
      </c>
      <c r="AF788" s="0" t="s">
        <v>7374</v>
      </c>
      <c r="AG788" s="0" t="s">
        <v>230</v>
      </c>
    </row>
    <row r="789" customFormat="false" ht="15" hidden="false" customHeight="false" outlineLevel="0" collapsed="false">
      <c r="A789" s="0" t="s">
        <v>7336</v>
      </c>
      <c r="B789" s="0" t="s">
        <v>3002</v>
      </c>
      <c r="C789" s="0" t="s">
        <v>3003</v>
      </c>
      <c r="D789" s="0" t="s">
        <v>2983</v>
      </c>
      <c r="E789" s="0" t="s">
        <v>3004</v>
      </c>
      <c r="F789" s="0" t="s">
        <v>2998</v>
      </c>
      <c r="G789" s="0" t="s">
        <v>134</v>
      </c>
      <c r="H789" s="0" t="s">
        <v>7866</v>
      </c>
      <c r="I789" s="0" t="s">
        <v>7338</v>
      </c>
      <c r="J789" s="0" t="s">
        <v>1602</v>
      </c>
      <c r="K789" s="0" t="s">
        <v>7339</v>
      </c>
      <c r="L789" s="0" t="s">
        <v>7340</v>
      </c>
      <c r="M789" s="0" t="s">
        <v>7661</v>
      </c>
      <c r="N789" s="0" t="s">
        <v>7342</v>
      </c>
      <c r="P789" s="0" t="s">
        <v>229</v>
      </c>
      <c r="S789" s="0" t="s">
        <v>7344</v>
      </c>
      <c r="T789" s="0" t="s">
        <v>58</v>
      </c>
      <c r="V789" s="0" t="s">
        <v>99</v>
      </c>
      <c r="W789" s="0" t="s">
        <v>98</v>
      </c>
      <c r="X789" s="0" t="s">
        <v>7355</v>
      </c>
      <c r="Z789" s="0" t="s">
        <v>7863</v>
      </c>
      <c r="AB789" s="0" t="s">
        <v>2987</v>
      </c>
      <c r="AC789" s="0" t="s">
        <v>7349</v>
      </c>
      <c r="AE789" s="0" t="s">
        <v>7864</v>
      </c>
      <c r="AF789" s="0" t="s">
        <v>7499</v>
      </c>
      <c r="AG789" s="0" t="s">
        <v>230</v>
      </c>
    </row>
    <row r="790" customFormat="false" ht="15" hidden="false" customHeight="false" outlineLevel="0" collapsed="false">
      <c r="A790" s="0" t="s">
        <v>7336</v>
      </c>
      <c r="B790" s="0" t="s">
        <v>3005</v>
      </c>
      <c r="C790" s="0" t="s">
        <v>3006</v>
      </c>
      <c r="D790" s="0" t="s">
        <v>2983</v>
      </c>
      <c r="E790" s="0" t="s">
        <v>3007</v>
      </c>
      <c r="F790" s="0" t="s">
        <v>3008</v>
      </c>
      <c r="G790" s="0" t="s">
        <v>134</v>
      </c>
      <c r="H790" s="0" t="s">
        <v>7867</v>
      </c>
      <c r="I790" s="0" t="s">
        <v>7338</v>
      </c>
      <c r="J790" s="0" t="s">
        <v>1602</v>
      </c>
      <c r="K790" s="0" t="s">
        <v>7339</v>
      </c>
      <c r="L790" s="0" t="s">
        <v>7340</v>
      </c>
      <c r="M790" s="0" t="s">
        <v>7661</v>
      </c>
      <c r="N790" s="0" t="s">
        <v>7342</v>
      </c>
      <c r="P790" s="0" t="s">
        <v>229</v>
      </c>
      <c r="R790" s="0" t="s">
        <v>7343</v>
      </c>
      <c r="S790" s="0" t="s">
        <v>7344</v>
      </c>
      <c r="T790" s="0" t="s">
        <v>681</v>
      </c>
      <c r="V790" s="0" t="s">
        <v>34</v>
      </c>
      <c r="W790" s="0" t="s">
        <v>39</v>
      </c>
      <c r="X790" s="0" t="s">
        <v>7355</v>
      </c>
      <c r="Y790" s="0" t="s">
        <v>7346</v>
      </c>
      <c r="Z790" s="0" t="s">
        <v>7493</v>
      </c>
      <c r="AA790" s="0" t="s">
        <v>7348</v>
      </c>
      <c r="AB790" s="0" t="s">
        <v>231</v>
      </c>
      <c r="AC790" s="0" t="s">
        <v>7349</v>
      </c>
      <c r="AD790" s="0" t="s">
        <v>7746</v>
      </c>
      <c r="AE790" s="0" t="s">
        <v>7412</v>
      </c>
      <c r="AF790" s="0" t="s">
        <v>7374</v>
      </c>
      <c r="AG790" s="0" t="s">
        <v>230</v>
      </c>
    </row>
    <row r="791" customFormat="false" ht="15" hidden="false" customHeight="false" outlineLevel="0" collapsed="false">
      <c r="A791" s="0" t="s">
        <v>7336</v>
      </c>
      <c r="B791" s="0" t="s">
        <v>3009</v>
      </c>
      <c r="C791" s="0" t="s">
        <v>3010</v>
      </c>
      <c r="D791" s="0" t="s">
        <v>2983</v>
      </c>
      <c r="E791" s="0" t="s">
        <v>3011</v>
      </c>
      <c r="F791" s="0" t="s">
        <v>3008</v>
      </c>
      <c r="G791" s="0" t="s">
        <v>134</v>
      </c>
      <c r="H791" s="0" t="s">
        <v>7867</v>
      </c>
      <c r="I791" s="0" t="s">
        <v>7338</v>
      </c>
      <c r="J791" s="0" t="s">
        <v>1602</v>
      </c>
      <c r="K791" s="0" t="s">
        <v>7339</v>
      </c>
      <c r="L791" s="0" t="s">
        <v>7340</v>
      </c>
      <c r="M791" s="0" t="s">
        <v>7661</v>
      </c>
      <c r="N791" s="0" t="s">
        <v>7342</v>
      </c>
      <c r="P791" s="0" t="s">
        <v>229</v>
      </c>
      <c r="S791" s="0" t="s">
        <v>7344</v>
      </c>
      <c r="T791" s="0" t="s">
        <v>58</v>
      </c>
      <c r="V791" s="0" t="s">
        <v>99</v>
      </c>
      <c r="W791" s="0" t="s">
        <v>98</v>
      </c>
      <c r="X791" s="0" t="s">
        <v>7355</v>
      </c>
      <c r="Z791" s="0" t="s">
        <v>7863</v>
      </c>
      <c r="AA791" s="0" t="s">
        <v>682</v>
      </c>
      <c r="AB791" s="0" t="s">
        <v>2987</v>
      </c>
      <c r="AC791" s="0" t="s">
        <v>7349</v>
      </c>
      <c r="AE791" s="0" t="s">
        <v>7864</v>
      </c>
      <c r="AF791" s="0" t="s">
        <v>7499</v>
      </c>
      <c r="AG791" s="0" t="s">
        <v>230</v>
      </c>
    </row>
    <row r="792" customFormat="false" ht="15" hidden="false" customHeight="false" outlineLevel="0" collapsed="false">
      <c r="A792" s="0" t="s">
        <v>7336</v>
      </c>
      <c r="B792" s="0" t="s">
        <v>3012</v>
      </c>
      <c r="C792" s="0" t="s">
        <v>3013</v>
      </c>
      <c r="D792" s="0" t="s">
        <v>2983</v>
      </c>
      <c r="E792" s="0" t="s">
        <v>3014</v>
      </c>
      <c r="F792" s="0" t="s">
        <v>3015</v>
      </c>
      <c r="G792" s="0" t="s">
        <v>134</v>
      </c>
      <c r="H792" s="0" t="s">
        <v>7868</v>
      </c>
      <c r="I792" s="0" t="s">
        <v>7338</v>
      </c>
      <c r="J792" s="0" t="s">
        <v>1602</v>
      </c>
      <c r="K792" s="0" t="s">
        <v>7339</v>
      </c>
      <c r="L792" s="0" t="s">
        <v>7340</v>
      </c>
      <c r="M792" s="0" t="s">
        <v>7661</v>
      </c>
      <c r="N792" s="0" t="s">
        <v>7342</v>
      </c>
      <c r="P792" s="0" t="s">
        <v>229</v>
      </c>
      <c r="R792" s="0" t="s">
        <v>7343</v>
      </c>
      <c r="S792" s="0" t="s">
        <v>7344</v>
      </c>
      <c r="T792" s="0" t="s">
        <v>681</v>
      </c>
      <c r="V792" s="0" t="s">
        <v>34</v>
      </c>
      <c r="W792" s="0" t="s">
        <v>39</v>
      </c>
      <c r="X792" s="0" t="s">
        <v>7355</v>
      </c>
      <c r="Y792" s="0" t="s">
        <v>7346</v>
      </c>
      <c r="Z792" s="0" t="s">
        <v>7493</v>
      </c>
      <c r="AA792" s="0" t="s">
        <v>7348</v>
      </c>
      <c r="AB792" s="0" t="s">
        <v>231</v>
      </c>
      <c r="AC792" s="0" t="s">
        <v>7349</v>
      </c>
      <c r="AD792" s="0" t="s">
        <v>7746</v>
      </c>
      <c r="AE792" s="0" t="s">
        <v>7412</v>
      </c>
      <c r="AF792" s="0" t="s">
        <v>7374</v>
      </c>
      <c r="AG792" s="0" t="s">
        <v>230</v>
      </c>
    </row>
    <row r="793" customFormat="false" ht="15" hidden="false" customHeight="false" outlineLevel="0" collapsed="false">
      <c r="A793" s="0" t="s">
        <v>7336</v>
      </c>
      <c r="B793" s="0" t="s">
        <v>3016</v>
      </c>
      <c r="C793" s="0" t="s">
        <v>3017</v>
      </c>
      <c r="D793" s="0" t="s">
        <v>2983</v>
      </c>
      <c r="E793" s="0" t="s">
        <v>3018</v>
      </c>
      <c r="F793" s="0" t="s">
        <v>3015</v>
      </c>
      <c r="G793" s="0" t="s">
        <v>134</v>
      </c>
      <c r="H793" s="0" t="s">
        <v>7868</v>
      </c>
      <c r="I793" s="0" t="s">
        <v>7338</v>
      </c>
      <c r="J793" s="0" t="s">
        <v>1602</v>
      </c>
      <c r="K793" s="0" t="s">
        <v>7339</v>
      </c>
      <c r="L793" s="0" t="s">
        <v>7340</v>
      </c>
      <c r="M793" s="0" t="s">
        <v>7661</v>
      </c>
      <c r="N793" s="0" t="s">
        <v>7342</v>
      </c>
      <c r="P793" s="0" t="s">
        <v>229</v>
      </c>
      <c r="R793" s="0" t="s">
        <v>7343</v>
      </c>
      <c r="S793" s="0" t="s">
        <v>7344</v>
      </c>
      <c r="T793" s="0" t="s">
        <v>681</v>
      </c>
      <c r="V793" s="0" t="s">
        <v>34</v>
      </c>
      <c r="W793" s="0" t="s">
        <v>39</v>
      </c>
      <c r="X793" s="0" t="s">
        <v>7355</v>
      </c>
      <c r="Y793" s="0" t="s">
        <v>7346</v>
      </c>
      <c r="Z793" s="0" t="s">
        <v>7493</v>
      </c>
      <c r="AA793" s="0" t="s">
        <v>7348</v>
      </c>
      <c r="AB793" s="0" t="s">
        <v>231</v>
      </c>
      <c r="AC793" s="0" t="s">
        <v>7349</v>
      </c>
      <c r="AD793" s="0" t="s">
        <v>7746</v>
      </c>
      <c r="AE793" s="0" t="s">
        <v>7412</v>
      </c>
      <c r="AF793" s="0" t="s">
        <v>7374</v>
      </c>
      <c r="AG793" s="0" t="s">
        <v>230</v>
      </c>
    </row>
    <row r="794" customFormat="false" ht="15" hidden="false" customHeight="false" outlineLevel="0" collapsed="false">
      <c r="A794" s="0" t="s">
        <v>7336</v>
      </c>
      <c r="B794" s="0" t="s">
        <v>3019</v>
      </c>
      <c r="C794" s="0" t="s">
        <v>3020</v>
      </c>
      <c r="D794" s="0" t="s">
        <v>2983</v>
      </c>
      <c r="E794" s="0" t="s">
        <v>3021</v>
      </c>
      <c r="F794" s="0" t="s">
        <v>3015</v>
      </c>
      <c r="G794" s="0" t="s">
        <v>134</v>
      </c>
      <c r="H794" s="0" t="s">
        <v>7868</v>
      </c>
      <c r="I794" s="0" t="s">
        <v>7338</v>
      </c>
      <c r="J794" s="0" t="s">
        <v>1602</v>
      </c>
      <c r="K794" s="0" t="s">
        <v>7339</v>
      </c>
      <c r="L794" s="0" t="s">
        <v>7340</v>
      </c>
      <c r="M794" s="0" t="s">
        <v>7661</v>
      </c>
      <c r="N794" s="0" t="s">
        <v>7342</v>
      </c>
      <c r="P794" s="0" t="s">
        <v>229</v>
      </c>
      <c r="S794" s="0" t="s">
        <v>7344</v>
      </c>
      <c r="T794" s="0" t="s">
        <v>58</v>
      </c>
      <c r="V794" s="0" t="s">
        <v>99</v>
      </c>
      <c r="W794" s="0" t="s">
        <v>98</v>
      </c>
      <c r="X794" s="0" t="s">
        <v>7355</v>
      </c>
      <c r="Z794" s="0" t="s">
        <v>7863</v>
      </c>
      <c r="AB794" s="0" t="s">
        <v>2987</v>
      </c>
      <c r="AC794" s="0" t="s">
        <v>7349</v>
      </c>
      <c r="AE794" s="0" t="s">
        <v>7864</v>
      </c>
      <c r="AF794" s="0" t="s">
        <v>7499</v>
      </c>
      <c r="AG794" s="0" t="s">
        <v>230</v>
      </c>
    </row>
    <row r="795" customFormat="false" ht="15" hidden="false" customHeight="false" outlineLevel="0" collapsed="false">
      <c r="A795" s="0" t="s">
        <v>7336</v>
      </c>
      <c r="B795" s="0" t="s">
        <v>3022</v>
      </c>
      <c r="C795" s="0" t="s">
        <v>3023</v>
      </c>
      <c r="D795" s="0" t="s">
        <v>2983</v>
      </c>
      <c r="E795" s="0" t="s">
        <v>3024</v>
      </c>
      <c r="F795" s="0" t="s">
        <v>3025</v>
      </c>
      <c r="G795" s="0" t="s">
        <v>134</v>
      </c>
      <c r="H795" s="0" t="s">
        <v>7869</v>
      </c>
      <c r="I795" s="0" t="s">
        <v>7338</v>
      </c>
      <c r="J795" s="0" t="s">
        <v>1602</v>
      </c>
      <c r="K795" s="0" t="s">
        <v>7339</v>
      </c>
      <c r="L795" s="0" t="s">
        <v>7340</v>
      </c>
      <c r="M795" s="0" t="s">
        <v>7661</v>
      </c>
      <c r="N795" s="0" t="s">
        <v>7342</v>
      </c>
      <c r="P795" s="0" t="s">
        <v>229</v>
      </c>
      <c r="R795" s="0" t="s">
        <v>7343</v>
      </c>
      <c r="S795" s="0" t="s">
        <v>7344</v>
      </c>
      <c r="T795" s="0" t="s">
        <v>681</v>
      </c>
      <c r="V795" s="0" t="s">
        <v>34</v>
      </c>
      <c r="W795" s="0" t="s">
        <v>39</v>
      </c>
      <c r="X795" s="0" t="s">
        <v>7355</v>
      </c>
      <c r="Y795" s="0" t="s">
        <v>7346</v>
      </c>
      <c r="Z795" s="0" t="s">
        <v>7493</v>
      </c>
      <c r="AA795" s="0" t="s">
        <v>7348</v>
      </c>
      <c r="AB795" s="0" t="s">
        <v>231</v>
      </c>
      <c r="AC795" s="0" t="s">
        <v>7349</v>
      </c>
      <c r="AD795" s="0" t="s">
        <v>7746</v>
      </c>
      <c r="AE795" s="0" t="s">
        <v>7412</v>
      </c>
      <c r="AF795" s="0" t="s">
        <v>7374</v>
      </c>
      <c r="AG795" s="0" t="s">
        <v>230</v>
      </c>
    </row>
    <row r="796" customFormat="false" ht="15" hidden="false" customHeight="false" outlineLevel="0" collapsed="false">
      <c r="A796" s="0" t="s">
        <v>7336</v>
      </c>
      <c r="B796" s="0" t="s">
        <v>3026</v>
      </c>
      <c r="C796" s="0" t="s">
        <v>3027</v>
      </c>
      <c r="D796" s="0" t="s">
        <v>2983</v>
      </c>
      <c r="E796" s="0" t="s">
        <v>3028</v>
      </c>
      <c r="F796" s="0" t="s">
        <v>3025</v>
      </c>
      <c r="G796" s="0" t="s">
        <v>134</v>
      </c>
      <c r="H796" s="0" t="s">
        <v>7869</v>
      </c>
      <c r="I796" s="0" t="s">
        <v>7338</v>
      </c>
      <c r="J796" s="0" t="s">
        <v>1602</v>
      </c>
      <c r="K796" s="0" t="s">
        <v>7339</v>
      </c>
      <c r="L796" s="0" t="s">
        <v>7340</v>
      </c>
      <c r="M796" s="0" t="s">
        <v>7661</v>
      </c>
      <c r="N796" s="0" t="s">
        <v>7342</v>
      </c>
      <c r="P796" s="0" t="s">
        <v>229</v>
      </c>
      <c r="S796" s="0" t="s">
        <v>7344</v>
      </c>
      <c r="T796" s="0" t="s">
        <v>58</v>
      </c>
      <c r="V796" s="0" t="s">
        <v>99</v>
      </c>
      <c r="W796" s="0" t="s">
        <v>98</v>
      </c>
      <c r="X796" s="0" t="s">
        <v>7355</v>
      </c>
      <c r="Z796" s="0" t="s">
        <v>7863</v>
      </c>
      <c r="AB796" s="0" t="s">
        <v>2987</v>
      </c>
      <c r="AC796" s="0" t="s">
        <v>7349</v>
      </c>
      <c r="AE796" s="0" t="s">
        <v>7864</v>
      </c>
      <c r="AF796" s="0" t="s">
        <v>7499</v>
      </c>
      <c r="AG796" s="0" t="s">
        <v>230</v>
      </c>
    </row>
    <row r="797" customFormat="false" ht="15" hidden="false" customHeight="false" outlineLevel="0" collapsed="false">
      <c r="A797" s="0" t="s">
        <v>7336</v>
      </c>
      <c r="B797" s="0" t="s">
        <v>3029</v>
      </c>
      <c r="C797" s="0" t="s">
        <v>3030</v>
      </c>
      <c r="D797" s="0" t="s">
        <v>2983</v>
      </c>
      <c r="E797" s="0" t="s">
        <v>3031</v>
      </c>
      <c r="F797" s="0" t="s">
        <v>3032</v>
      </c>
      <c r="G797" s="0" t="s">
        <v>134</v>
      </c>
      <c r="H797" s="0" t="s">
        <v>7870</v>
      </c>
      <c r="I797" s="0" t="s">
        <v>7338</v>
      </c>
      <c r="J797" s="0" t="s">
        <v>1602</v>
      </c>
      <c r="K797" s="0" t="s">
        <v>7339</v>
      </c>
      <c r="L797" s="0" t="s">
        <v>7340</v>
      </c>
      <c r="M797" s="0" t="s">
        <v>7661</v>
      </c>
      <c r="N797" s="0" t="s">
        <v>7342</v>
      </c>
      <c r="P797" s="0" t="s">
        <v>229</v>
      </c>
      <c r="R797" s="0" t="s">
        <v>7343</v>
      </c>
      <c r="S797" s="0" t="s">
        <v>7344</v>
      </c>
      <c r="T797" s="0" t="s">
        <v>681</v>
      </c>
      <c r="V797" s="0" t="s">
        <v>34</v>
      </c>
      <c r="W797" s="0" t="s">
        <v>47</v>
      </c>
      <c r="X797" s="0" t="s">
        <v>7355</v>
      </c>
      <c r="Y797" s="0" t="s">
        <v>7495</v>
      </c>
      <c r="Z797" s="0" t="s">
        <v>7496</v>
      </c>
      <c r="AA797" s="0" t="s">
        <v>7871</v>
      </c>
      <c r="AC797" s="0" t="s">
        <v>7349</v>
      </c>
      <c r="AD797" s="0" t="s">
        <v>7498</v>
      </c>
      <c r="AE797" s="0" t="s">
        <v>7872</v>
      </c>
      <c r="AF797" s="0" t="s">
        <v>7499</v>
      </c>
      <c r="AG797" s="0" t="s">
        <v>230</v>
      </c>
    </row>
    <row r="798" customFormat="false" ht="15" hidden="false" customHeight="false" outlineLevel="0" collapsed="false">
      <c r="A798" s="0" t="s">
        <v>7336</v>
      </c>
      <c r="B798" s="0" t="s">
        <v>3033</v>
      </c>
      <c r="C798" s="0" t="s">
        <v>3034</v>
      </c>
      <c r="D798" s="0" t="s">
        <v>2983</v>
      </c>
      <c r="E798" s="0" t="s">
        <v>3035</v>
      </c>
      <c r="F798" s="0" t="s">
        <v>3032</v>
      </c>
      <c r="G798" s="0" t="s">
        <v>134</v>
      </c>
      <c r="H798" s="0" t="s">
        <v>7870</v>
      </c>
      <c r="I798" s="0" t="s">
        <v>7338</v>
      </c>
      <c r="J798" s="0" t="s">
        <v>1602</v>
      </c>
      <c r="K798" s="0" t="s">
        <v>7339</v>
      </c>
      <c r="L798" s="0" t="s">
        <v>7340</v>
      </c>
      <c r="M798" s="0" t="s">
        <v>7661</v>
      </c>
      <c r="N798" s="0" t="s">
        <v>7342</v>
      </c>
      <c r="P798" s="0" t="s">
        <v>229</v>
      </c>
      <c r="R798" s="0" t="s">
        <v>7343</v>
      </c>
      <c r="S798" s="0" t="s">
        <v>7344</v>
      </c>
      <c r="T798" s="0" t="s">
        <v>228</v>
      </c>
      <c r="V798" s="0" t="s">
        <v>34</v>
      </c>
      <c r="W798" s="0" t="s">
        <v>39</v>
      </c>
      <c r="X798" s="0" t="s">
        <v>7355</v>
      </c>
      <c r="Y798" s="0" t="s">
        <v>7346</v>
      </c>
      <c r="Z798" s="0" t="s">
        <v>7370</v>
      </c>
      <c r="AA798" s="0" t="s">
        <v>7348</v>
      </c>
      <c r="AB798" s="0" t="s">
        <v>231</v>
      </c>
      <c r="AC798" s="0" t="s">
        <v>7349</v>
      </c>
      <c r="AD798" s="0" t="s">
        <v>7873</v>
      </c>
      <c r="AE798" s="0" t="s">
        <v>7412</v>
      </c>
      <c r="AF798" s="0" t="s">
        <v>7374</v>
      </c>
      <c r="AG798" s="0" t="s">
        <v>230</v>
      </c>
    </row>
    <row r="799" customFormat="false" ht="15" hidden="false" customHeight="false" outlineLevel="0" collapsed="false">
      <c r="A799" s="0" t="s">
        <v>7336</v>
      </c>
      <c r="B799" s="0" t="s">
        <v>3036</v>
      </c>
      <c r="C799" s="0" t="s">
        <v>3037</v>
      </c>
      <c r="D799" s="0" t="s">
        <v>2983</v>
      </c>
      <c r="E799" s="0" t="s">
        <v>3038</v>
      </c>
      <c r="F799" s="0" t="s">
        <v>3032</v>
      </c>
      <c r="G799" s="0" t="s">
        <v>134</v>
      </c>
      <c r="H799" s="0" t="s">
        <v>7870</v>
      </c>
      <c r="I799" s="0" t="s">
        <v>7338</v>
      </c>
      <c r="J799" s="0" t="s">
        <v>1602</v>
      </c>
      <c r="K799" s="0" t="s">
        <v>7339</v>
      </c>
      <c r="L799" s="0" t="s">
        <v>7340</v>
      </c>
      <c r="M799" s="0" t="s">
        <v>7661</v>
      </c>
      <c r="N799" s="0" t="s">
        <v>7342</v>
      </c>
      <c r="P799" s="0" t="s">
        <v>229</v>
      </c>
      <c r="R799" s="0" t="s">
        <v>7343</v>
      </c>
      <c r="S799" s="0" t="s">
        <v>7344</v>
      </c>
      <c r="T799" s="0" t="s">
        <v>228</v>
      </c>
      <c r="V799" s="0" t="s">
        <v>34</v>
      </c>
      <c r="W799" s="0" t="s">
        <v>39</v>
      </c>
      <c r="X799" s="0" t="s">
        <v>7355</v>
      </c>
      <c r="Y799" s="0" t="s">
        <v>7346</v>
      </c>
      <c r="Z799" s="0" t="s">
        <v>7370</v>
      </c>
      <c r="AA799" s="0" t="s">
        <v>7348</v>
      </c>
      <c r="AB799" s="0" t="s">
        <v>231</v>
      </c>
      <c r="AC799" s="0" t="s">
        <v>7349</v>
      </c>
      <c r="AD799" s="0" t="s">
        <v>7873</v>
      </c>
      <c r="AE799" s="0" t="s">
        <v>7412</v>
      </c>
      <c r="AF799" s="0" t="s">
        <v>7374</v>
      </c>
      <c r="AG799" s="0" t="s">
        <v>230</v>
      </c>
    </row>
    <row r="800" customFormat="false" ht="15" hidden="false" customHeight="false" outlineLevel="0" collapsed="false">
      <c r="A800" s="0" t="s">
        <v>7336</v>
      </c>
      <c r="B800" s="0" t="s">
        <v>3039</v>
      </c>
      <c r="C800" s="0" t="s">
        <v>3040</v>
      </c>
      <c r="D800" s="0" t="s">
        <v>2983</v>
      </c>
      <c r="E800" s="0" t="s">
        <v>3041</v>
      </c>
      <c r="F800" s="0" t="s">
        <v>3032</v>
      </c>
      <c r="G800" s="0" t="s">
        <v>134</v>
      </c>
      <c r="H800" s="0" t="s">
        <v>7870</v>
      </c>
      <c r="I800" s="0" t="s">
        <v>7338</v>
      </c>
      <c r="J800" s="0" t="s">
        <v>1602</v>
      </c>
      <c r="K800" s="0" t="s">
        <v>7339</v>
      </c>
      <c r="L800" s="0" t="s">
        <v>7340</v>
      </c>
      <c r="M800" s="0" t="s">
        <v>7661</v>
      </c>
      <c r="N800" s="0" t="s">
        <v>7342</v>
      </c>
      <c r="P800" s="0" t="s">
        <v>229</v>
      </c>
      <c r="S800" s="0" t="s">
        <v>7344</v>
      </c>
      <c r="T800" s="0" t="s">
        <v>58</v>
      </c>
      <c r="V800" s="0" t="s">
        <v>55</v>
      </c>
      <c r="W800" s="0" t="s">
        <v>55</v>
      </c>
      <c r="X800" s="0" t="s">
        <v>7355</v>
      </c>
      <c r="Z800" s="0" t="s">
        <v>7493</v>
      </c>
      <c r="AB800" s="0" t="s">
        <v>344</v>
      </c>
      <c r="AC800" s="0" t="s">
        <v>7349</v>
      </c>
      <c r="AD800" s="0" t="s">
        <v>682</v>
      </c>
      <c r="AE800" s="0" t="s">
        <v>7826</v>
      </c>
      <c r="AF800" s="0" t="s">
        <v>7374</v>
      </c>
      <c r="AG800" s="0" t="s">
        <v>230</v>
      </c>
    </row>
    <row r="801" customFormat="false" ht="15" hidden="false" customHeight="false" outlineLevel="0" collapsed="false">
      <c r="A801" s="0" t="s">
        <v>7336</v>
      </c>
      <c r="B801" s="0" t="s">
        <v>3042</v>
      </c>
      <c r="C801" s="0" t="s">
        <v>3043</v>
      </c>
      <c r="D801" s="0" t="s">
        <v>2983</v>
      </c>
      <c r="E801" s="0" t="s">
        <v>3044</v>
      </c>
      <c r="F801" s="0" t="s">
        <v>3045</v>
      </c>
      <c r="G801" s="0" t="s">
        <v>134</v>
      </c>
      <c r="H801" s="0" t="s">
        <v>7874</v>
      </c>
      <c r="I801" s="0" t="s">
        <v>7338</v>
      </c>
      <c r="J801" s="0" t="s">
        <v>1602</v>
      </c>
      <c r="K801" s="0" t="s">
        <v>7339</v>
      </c>
      <c r="L801" s="0" t="s">
        <v>7340</v>
      </c>
      <c r="M801" s="0" t="s">
        <v>7661</v>
      </c>
      <c r="N801" s="0" t="s">
        <v>7342</v>
      </c>
      <c r="P801" s="0" t="s">
        <v>229</v>
      </c>
      <c r="R801" s="0" t="s">
        <v>7343</v>
      </c>
      <c r="S801" s="0" t="s">
        <v>7344</v>
      </c>
      <c r="T801" s="0" t="s">
        <v>681</v>
      </c>
      <c r="V801" s="0" t="s">
        <v>34</v>
      </c>
      <c r="W801" s="0" t="s">
        <v>47</v>
      </c>
      <c r="X801" s="0" t="s">
        <v>7355</v>
      </c>
      <c r="Y801" s="0" t="s">
        <v>7495</v>
      </c>
      <c r="Z801" s="0" t="s">
        <v>7496</v>
      </c>
      <c r="AA801" s="0" t="s">
        <v>7871</v>
      </c>
      <c r="AC801" s="0" t="s">
        <v>7349</v>
      </c>
      <c r="AD801" s="0" t="s">
        <v>7498</v>
      </c>
      <c r="AE801" s="0" t="s">
        <v>7872</v>
      </c>
      <c r="AF801" s="0" t="s">
        <v>7499</v>
      </c>
      <c r="AG801" s="0" t="s">
        <v>230</v>
      </c>
    </row>
    <row r="802" customFormat="false" ht="15" hidden="false" customHeight="false" outlineLevel="0" collapsed="false">
      <c r="A802" s="0" t="s">
        <v>7336</v>
      </c>
      <c r="B802" s="0" t="s">
        <v>3046</v>
      </c>
      <c r="C802" s="0" t="s">
        <v>3047</v>
      </c>
      <c r="D802" s="0" t="s">
        <v>2983</v>
      </c>
      <c r="E802" s="0" t="s">
        <v>3048</v>
      </c>
      <c r="F802" s="0" t="s">
        <v>3045</v>
      </c>
      <c r="G802" s="0" t="s">
        <v>134</v>
      </c>
      <c r="H802" s="0" t="s">
        <v>7874</v>
      </c>
      <c r="I802" s="0" t="s">
        <v>7338</v>
      </c>
      <c r="J802" s="0" t="s">
        <v>1602</v>
      </c>
      <c r="K802" s="0" t="s">
        <v>7339</v>
      </c>
      <c r="L802" s="0" t="s">
        <v>7340</v>
      </c>
      <c r="M802" s="0" t="s">
        <v>7661</v>
      </c>
      <c r="N802" s="0" t="s">
        <v>7342</v>
      </c>
      <c r="P802" s="0" t="s">
        <v>229</v>
      </c>
      <c r="R802" s="0" t="s">
        <v>7343</v>
      </c>
      <c r="S802" s="0" t="s">
        <v>7344</v>
      </c>
      <c r="T802" s="0" t="s">
        <v>228</v>
      </c>
      <c r="V802" s="0" t="s">
        <v>34</v>
      </c>
      <c r="W802" s="0" t="s">
        <v>39</v>
      </c>
      <c r="X802" s="0" t="s">
        <v>7355</v>
      </c>
      <c r="Y802" s="0" t="s">
        <v>7346</v>
      </c>
      <c r="Z802" s="0" t="s">
        <v>7370</v>
      </c>
      <c r="AA802" s="0" t="s">
        <v>7348</v>
      </c>
      <c r="AB802" s="0" t="s">
        <v>231</v>
      </c>
      <c r="AC802" s="0" t="s">
        <v>7349</v>
      </c>
      <c r="AD802" s="0" t="s">
        <v>7873</v>
      </c>
      <c r="AE802" s="0" t="s">
        <v>7412</v>
      </c>
      <c r="AF802" s="0" t="s">
        <v>7374</v>
      </c>
      <c r="AG802" s="0" t="s">
        <v>230</v>
      </c>
    </row>
    <row r="803" customFormat="false" ht="15" hidden="false" customHeight="false" outlineLevel="0" collapsed="false">
      <c r="A803" s="0" t="s">
        <v>7336</v>
      </c>
      <c r="B803" s="0" t="s">
        <v>3049</v>
      </c>
      <c r="C803" s="0" t="s">
        <v>3050</v>
      </c>
      <c r="D803" s="0" t="s">
        <v>2983</v>
      </c>
      <c r="E803" s="0" t="s">
        <v>3051</v>
      </c>
      <c r="F803" s="0" t="s">
        <v>3045</v>
      </c>
      <c r="G803" s="0" t="s">
        <v>134</v>
      </c>
      <c r="H803" s="0" t="s">
        <v>7874</v>
      </c>
      <c r="I803" s="0" t="s">
        <v>7338</v>
      </c>
      <c r="J803" s="0" t="s">
        <v>1602</v>
      </c>
      <c r="K803" s="0" t="s">
        <v>7339</v>
      </c>
      <c r="L803" s="0" t="s">
        <v>7340</v>
      </c>
      <c r="M803" s="0" t="s">
        <v>7661</v>
      </c>
      <c r="N803" s="0" t="s">
        <v>7342</v>
      </c>
      <c r="P803" s="0" t="s">
        <v>229</v>
      </c>
      <c r="S803" s="0" t="s">
        <v>7344</v>
      </c>
      <c r="T803" s="0" t="s">
        <v>58</v>
      </c>
      <c r="V803" s="0" t="s">
        <v>55</v>
      </c>
      <c r="W803" s="0" t="s">
        <v>55</v>
      </c>
      <c r="X803" s="0" t="s">
        <v>7355</v>
      </c>
      <c r="Z803" s="0" t="s">
        <v>7493</v>
      </c>
      <c r="AB803" s="0" t="s">
        <v>344</v>
      </c>
      <c r="AC803" s="0" t="s">
        <v>7349</v>
      </c>
      <c r="AD803" s="0" t="s">
        <v>682</v>
      </c>
      <c r="AE803" s="0" t="s">
        <v>7826</v>
      </c>
      <c r="AF803" s="0" t="s">
        <v>7374</v>
      </c>
      <c r="AG803" s="0" t="s">
        <v>230</v>
      </c>
    </row>
    <row r="804" customFormat="false" ht="15" hidden="false" customHeight="false" outlineLevel="0" collapsed="false">
      <c r="A804" s="0" t="s">
        <v>7336</v>
      </c>
      <c r="B804" s="0" t="s">
        <v>3052</v>
      </c>
      <c r="C804" s="0" t="s">
        <v>3053</v>
      </c>
      <c r="D804" s="0" t="s">
        <v>2983</v>
      </c>
      <c r="E804" s="0" t="s">
        <v>3054</v>
      </c>
      <c r="F804" s="0" t="s">
        <v>3055</v>
      </c>
      <c r="G804" s="0" t="s">
        <v>134</v>
      </c>
      <c r="H804" s="0" t="s">
        <v>7875</v>
      </c>
      <c r="I804" s="0" t="s">
        <v>7338</v>
      </c>
      <c r="J804" s="0" t="s">
        <v>1602</v>
      </c>
      <c r="K804" s="0" t="s">
        <v>7339</v>
      </c>
      <c r="L804" s="0" t="s">
        <v>7340</v>
      </c>
      <c r="M804" s="0" t="s">
        <v>7661</v>
      </c>
      <c r="N804" s="0" t="s">
        <v>7342</v>
      </c>
      <c r="P804" s="0" t="s">
        <v>229</v>
      </c>
      <c r="R804" s="0" t="s">
        <v>7343</v>
      </c>
      <c r="S804" s="0" t="s">
        <v>7344</v>
      </c>
      <c r="T804" s="0" t="s">
        <v>681</v>
      </c>
      <c r="V804" s="0" t="s">
        <v>34</v>
      </c>
      <c r="W804" s="0" t="s">
        <v>47</v>
      </c>
      <c r="X804" s="0" t="s">
        <v>7355</v>
      </c>
      <c r="Y804" s="0" t="s">
        <v>7495</v>
      </c>
      <c r="Z804" s="0" t="s">
        <v>7496</v>
      </c>
      <c r="AA804" s="0" t="s">
        <v>7871</v>
      </c>
      <c r="AC804" s="0" t="s">
        <v>7349</v>
      </c>
      <c r="AD804" s="0" t="s">
        <v>7498</v>
      </c>
      <c r="AE804" s="0" t="s">
        <v>7872</v>
      </c>
      <c r="AF804" s="0" t="s">
        <v>7499</v>
      </c>
      <c r="AG804" s="0" t="s">
        <v>230</v>
      </c>
    </row>
    <row r="805" customFormat="false" ht="15" hidden="false" customHeight="false" outlineLevel="0" collapsed="false">
      <c r="A805" s="0" t="s">
        <v>7336</v>
      </c>
      <c r="B805" s="0" t="s">
        <v>3056</v>
      </c>
      <c r="C805" s="0" t="s">
        <v>3057</v>
      </c>
      <c r="D805" s="0" t="s">
        <v>2983</v>
      </c>
      <c r="E805" s="0" t="s">
        <v>3058</v>
      </c>
      <c r="F805" s="0" t="s">
        <v>3055</v>
      </c>
      <c r="G805" s="0" t="s">
        <v>134</v>
      </c>
      <c r="H805" s="0" t="s">
        <v>7875</v>
      </c>
      <c r="I805" s="0" t="s">
        <v>7338</v>
      </c>
      <c r="J805" s="0" t="s">
        <v>1602</v>
      </c>
      <c r="K805" s="0" t="s">
        <v>7339</v>
      </c>
      <c r="L805" s="0" t="s">
        <v>7340</v>
      </c>
      <c r="M805" s="0" t="s">
        <v>7661</v>
      </c>
      <c r="N805" s="0" t="s">
        <v>7342</v>
      </c>
      <c r="P805" s="0" t="s">
        <v>229</v>
      </c>
      <c r="R805" s="0" t="s">
        <v>7343</v>
      </c>
      <c r="S805" s="0" t="s">
        <v>7344</v>
      </c>
      <c r="T805" s="0" t="s">
        <v>228</v>
      </c>
      <c r="V805" s="0" t="s">
        <v>34</v>
      </c>
      <c r="W805" s="0" t="s">
        <v>39</v>
      </c>
      <c r="X805" s="0" t="s">
        <v>7355</v>
      </c>
      <c r="Y805" s="0" t="s">
        <v>7346</v>
      </c>
      <c r="Z805" s="0" t="s">
        <v>7370</v>
      </c>
      <c r="AA805" s="0" t="s">
        <v>7348</v>
      </c>
      <c r="AB805" s="0" t="s">
        <v>231</v>
      </c>
      <c r="AC805" s="0" t="s">
        <v>7349</v>
      </c>
      <c r="AD805" s="0" t="s">
        <v>7876</v>
      </c>
      <c r="AE805" s="0" t="s">
        <v>7412</v>
      </c>
      <c r="AF805" s="0" t="s">
        <v>7374</v>
      </c>
      <c r="AG805" s="0" t="s">
        <v>230</v>
      </c>
    </row>
    <row r="806" customFormat="false" ht="15" hidden="false" customHeight="false" outlineLevel="0" collapsed="false">
      <c r="A806" s="0" t="s">
        <v>7336</v>
      </c>
      <c r="B806" s="0" t="s">
        <v>3059</v>
      </c>
      <c r="C806" s="0" t="s">
        <v>3060</v>
      </c>
      <c r="D806" s="0" t="s">
        <v>2983</v>
      </c>
      <c r="E806" s="0" t="s">
        <v>3061</v>
      </c>
      <c r="F806" s="0" t="s">
        <v>3055</v>
      </c>
      <c r="G806" s="0" t="s">
        <v>134</v>
      </c>
      <c r="H806" s="0" t="s">
        <v>7875</v>
      </c>
      <c r="I806" s="0" t="s">
        <v>7338</v>
      </c>
      <c r="J806" s="0" t="s">
        <v>1602</v>
      </c>
      <c r="K806" s="0" t="s">
        <v>7339</v>
      </c>
      <c r="L806" s="0" t="s">
        <v>7340</v>
      </c>
      <c r="M806" s="0" t="s">
        <v>7661</v>
      </c>
      <c r="N806" s="0" t="s">
        <v>7342</v>
      </c>
      <c r="P806" s="0" t="s">
        <v>229</v>
      </c>
      <c r="R806" s="0" t="s">
        <v>7343</v>
      </c>
      <c r="S806" s="0" t="s">
        <v>7344</v>
      </c>
      <c r="T806" s="0" t="s">
        <v>228</v>
      </c>
      <c r="V806" s="0" t="s">
        <v>34</v>
      </c>
      <c r="W806" s="0" t="s">
        <v>52</v>
      </c>
      <c r="X806" s="0" t="s">
        <v>7355</v>
      </c>
      <c r="Y806" s="0" t="s">
        <v>7346</v>
      </c>
      <c r="Z806" s="0" t="s">
        <v>7347</v>
      </c>
      <c r="AA806" s="0" t="s">
        <v>7348</v>
      </c>
      <c r="AB806" s="0" t="s">
        <v>231</v>
      </c>
      <c r="AC806" s="0" t="s">
        <v>7349</v>
      </c>
      <c r="AD806" s="0" t="s">
        <v>7877</v>
      </c>
      <c r="AE806" s="0" t="s">
        <v>7412</v>
      </c>
      <c r="AF806" s="0" t="s">
        <v>7374</v>
      </c>
      <c r="AG806" s="0" t="s">
        <v>230</v>
      </c>
    </row>
    <row r="807" customFormat="false" ht="15" hidden="false" customHeight="false" outlineLevel="0" collapsed="false">
      <c r="A807" s="0" t="s">
        <v>7336</v>
      </c>
      <c r="B807" s="0" t="s">
        <v>3062</v>
      </c>
      <c r="C807" s="0" t="s">
        <v>3063</v>
      </c>
      <c r="D807" s="0" t="s">
        <v>2983</v>
      </c>
      <c r="E807" s="0" t="s">
        <v>3064</v>
      </c>
      <c r="F807" s="0" t="s">
        <v>3055</v>
      </c>
      <c r="G807" s="0" t="s">
        <v>134</v>
      </c>
      <c r="H807" s="0" t="s">
        <v>7875</v>
      </c>
      <c r="I807" s="0" t="s">
        <v>7338</v>
      </c>
      <c r="J807" s="0" t="s">
        <v>1602</v>
      </c>
      <c r="K807" s="0" t="s">
        <v>7339</v>
      </c>
      <c r="L807" s="0" t="s">
        <v>7340</v>
      </c>
      <c r="M807" s="0" t="s">
        <v>7661</v>
      </c>
      <c r="N807" s="0" t="s">
        <v>7342</v>
      </c>
      <c r="P807" s="0" t="s">
        <v>229</v>
      </c>
      <c r="S807" s="0" t="s">
        <v>7344</v>
      </c>
      <c r="T807" s="0" t="s">
        <v>58</v>
      </c>
      <c r="V807" s="0" t="s">
        <v>55</v>
      </c>
      <c r="W807" s="0" t="s">
        <v>55</v>
      </c>
      <c r="X807" s="0" t="s">
        <v>7355</v>
      </c>
      <c r="Z807" s="0" t="s">
        <v>7493</v>
      </c>
      <c r="AB807" s="0" t="s">
        <v>344</v>
      </c>
      <c r="AC807" s="0" t="s">
        <v>7349</v>
      </c>
      <c r="AE807" s="0" t="s">
        <v>7826</v>
      </c>
      <c r="AF807" s="0" t="s">
        <v>7374</v>
      </c>
      <c r="AG807" s="0" t="s">
        <v>230</v>
      </c>
    </row>
    <row r="808" customFormat="false" ht="15" hidden="false" customHeight="false" outlineLevel="0" collapsed="false">
      <c r="A808" s="0" t="s">
        <v>7336</v>
      </c>
      <c r="B808" s="0" t="s">
        <v>3065</v>
      </c>
      <c r="C808" s="0" t="s">
        <v>3066</v>
      </c>
      <c r="D808" s="0" t="s">
        <v>2983</v>
      </c>
      <c r="E808" s="0" t="s">
        <v>3067</v>
      </c>
      <c r="F808" s="0" t="s">
        <v>3068</v>
      </c>
      <c r="G808" s="0" t="s">
        <v>134</v>
      </c>
      <c r="H808" s="0" t="s">
        <v>7878</v>
      </c>
      <c r="I808" s="0" t="s">
        <v>7338</v>
      </c>
      <c r="J808" s="0" t="s">
        <v>1602</v>
      </c>
      <c r="K808" s="0" t="s">
        <v>7339</v>
      </c>
      <c r="L808" s="0" t="s">
        <v>7340</v>
      </c>
      <c r="M808" s="0" t="s">
        <v>7661</v>
      </c>
      <c r="N808" s="0" t="s">
        <v>7342</v>
      </c>
      <c r="P808" s="0" t="s">
        <v>229</v>
      </c>
      <c r="R808" s="0" t="s">
        <v>7343</v>
      </c>
      <c r="S808" s="0" t="s">
        <v>7344</v>
      </c>
      <c r="T808" s="0" t="s">
        <v>681</v>
      </c>
      <c r="V808" s="0" t="s">
        <v>34</v>
      </c>
      <c r="W808" s="0" t="s">
        <v>47</v>
      </c>
      <c r="X808" s="0" t="s">
        <v>7355</v>
      </c>
      <c r="Y808" s="0" t="s">
        <v>7495</v>
      </c>
      <c r="Z808" s="0" t="s">
        <v>7496</v>
      </c>
      <c r="AA808" s="0" t="s">
        <v>7871</v>
      </c>
      <c r="AC808" s="0" t="s">
        <v>7349</v>
      </c>
      <c r="AD808" s="0" t="s">
        <v>7498</v>
      </c>
      <c r="AE808" s="0" t="s">
        <v>7872</v>
      </c>
      <c r="AF808" s="0" t="s">
        <v>7499</v>
      </c>
      <c r="AG808" s="0" t="s">
        <v>230</v>
      </c>
    </row>
    <row r="809" customFormat="false" ht="15" hidden="false" customHeight="false" outlineLevel="0" collapsed="false">
      <c r="A809" s="0" t="s">
        <v>7336</v>
      </c>
      <c r="B809" s="0" t="s">
        <v>3069</v>
      </c>
      <c r="C809" s="0" t="s">
        <v>3070</v>
      </c>
      <c r="D809" s="0" t="s">
        <v>2983</v>
      </c>
      <c r="E809" s="0" t="s">
        <v>3071</v>
      </c>
      <c r="F809" s="0" t="s">
        <v>3068</v>
      </c>
      <c r="G809" s="0" t="s">
        <v>134</v>
      </c>
      <c r="H809" s="0" t="s">
        <v>7878</v>
      </c>
      <c r="I809" s="0" t="s">
        <v>7338</v>
      </c>
      <c r="J809" s="0" t="s">
        <v>1602</v>
      </c>
      <c r="K809" s="0" t="s">
        <v>7339</v>
      </c>
      <c r="L809" s="0" t="s">
        <v>7340</v>
      </c>
      <c r="M809" s="0" t="s">
        <v>7661</v>
      </c>
      <c r="N809" s="0" t="s">
        <v>7342</v>
      </c>
      <c r="P809" s="0" t="s">
        <v>229</v>
      </c>
      <c r="R809" s="0" t="s">
        <v>7343</v>
      </c>
      <c r="S809" s="0" t="s">
        <v>7344</v>
      </c>
      <c r="T809" s="0" t="s">
        <v>228</v>
      </c>
      <c r="V809" s="0" t="s">
        <v>34</v>
      </c>
      <c r="W809" s="0" t="s">
        <v>39</v>
      </c>
      <c r="X809" s="0" t="s">
        <v>7355</v>
      </c>
      <c r="Y809" s="0" t="s">
        <v>7346</v>
      </c>
      <c r="Z809" s="0" t="s">
        <v>7370</v>
      </c>
      <c r="AA809" s="0" t="s">
        <v>7348</v>
      </c>
      <c r="AB809" s="0" t="s">
        <v>231</v>
      </c>
      <c r="AC809" s="0" t="s">
        <v>7349</v>
      </c>
      <c r="AD809" s="0" t="s">
        <v>7876</v>
      </c>
      <c r="AE809" s="0" t="s">
        <v>7412</v>
      </c>
      <c r="AF809" s="0" t="s">
        <v>7374</v>
      </c>
      <c r="AG809" s="0" t="s">
        <v>230</v>
      </c>
    </row>
    <row r="810" customFormat="false" ht="15" hidden="false" customHeight="false" outlineLevel="0" collapsed="false">
      <c r="A810" s="0" t="s">
        <v>7336</v>
      </c>
      <c r="B810" s="0" t="s">
        <v>3072</v>
      </c>
      <c r="C810" s="0" t="s">
        <v>3073</v>
      </c>
      <c r="D810" s="0" t="s">
        <v>2983</v>
      </c>
      <c r="E810" s="0" t="s">
        <v>3074</v>
      </c>
      <c r="F810" s="0" t="s">
        <v>3068</v>
      </c>
      <c r="G810" s="0" t="s">
        <v>134</v>
      </c>
      <c r="H810" s="0" t="s">
        <v>7878</v>
      </c>
      <c r="I810" s="0" t="s">
        <v>7338</v>
      </c>
      <c r="J810" s="0" t="s">
        <v>1602</v>
      </c>
      <c r="K810" s="0" t="s">
        <v>7339</v>
      </c>
      <c r="L810" s="0" t="s">
        <v>7340</v>
      </c>
      <c r="M810" s="0" t="s">
        <v>7661</v>
      </c>
      <c r="N810" s="0" t="s">
        <v>7342</v>
      </c>
      <c r="P810" s="0" t="s">
        <v>229</v>
      </c>
      <c r="R810" s="0" t="s">
        <v>7343</v>
      </c>
      <c r="S810" s="0" t="s">
        <v>7344</v>
      </c>
      <c r="T810" s="0" t="s">
        <v>228</v>
      </c>
      <c r="V810" s="0" t="s">
        <v>34</v>
      </c>
      <c r="W810" s="0" t="s">
        <v>52</v>
      </c>
      <c r="X810" s="0" t="s">
        <v>7355</v>
      </c>
      <c r="Y810" s="0" t="s">
        <v>7346</v>
      </c>
      <c r="Z810" s="0" t="s">
        <v>7347</v>
      </c>
      <c r="AA810" s="0" t="s">
        <v>7348</v>
      </c>
      <c r="AB810" s="0" t="s">
        <v>231</v>
      </c>
      <c r="AC810" s="0" t="s">
        <v>7349</v>
      </c>
      <c r="AD810" s="0" t="s">
        <v>7877</v>
      </c>
      <c r="AE810" s="0" t="s">
        <v>7412</v>
      </c>
      <c r="AF810" s="0" t="s">
        <v>7374</v>
      </c>
      <c r="AG810" s="0" t="s">
        <v>230</v>
      </c>
    </row>
    <row r="811" customFormat="false" ht="15" hidden="false" customHeight="false" outlineLevel="0" collapsed="false">
      <c r="A811" s="0" t="s">
        <v>7336</v>
      </c>
      <c r="B811" s="0" t="s">
        <v>3075</v>
      </c>
      <c r="C811" s="0" t="s">
        <v>3076</v>
      </c>
      <c r="D811" s="0" t="s">
        <v>2983</v>
      </c>
      <c r="E811" s="0" t="s">
        <v>3077</v>
      </c>
      <c r="F811" s="0" t="s">
        <v>3068</v>
      </c>
      <c r="G811" s="0" t="s">
        <v>134</v>
      </c>
      <c r="H811" s="0" t="s">
        <v>7878</v>
      </c>
      <c r="I811" s="0" t="s">
        <v>7338</v>
      </c>
      <c r="J811" s="0" t="s">
        <v>1602</v>
      </c>
      <c r="K811" s="0" t="s">
        <v>7339</v>
      </c>
      <c r="L811" s="0" t="s">
        <v>7340</v>
      </c>
      <c r="M811" s="0" t="s">
        <v>7661</v>
      </c>
      <c r="N811" s="0" t="s">
        <v>7342</v>
      </c>
      <c r="P811" s="0" t="s">
        <v>229</v>
      </c>
      <c r="S811" s="0" t="s">
        <v>7344</v>
      </c>
      <c r="T811" s="0" t="s">
        <v>58</v>
      </c>
      <c r="V811" s="0" t="s">
        <v>55</v>
      </c>
      <c r="W811" s="0" t="s">
        <v>55</v>
      </c>
      <c r="X811" s="0" t="s">
        <v>7355</v>
      </c>
      <c r="Z811" s="0" t="s">
        <v>7493</v>
      </c>
      <c r="AB811" s="0" t="s">
        <v>344</v>
      </c>
      <c r="AC811" s="0" t="s">
        <v>7349</v>
      </c>
      <c r="AE811" s="0" t="s">
        <v>7826</v>
      </c>
      <c r="AF811" s="0" t="s">
        <v>7374</v>
      </c>
      <c r="AG811" s="0" t="s">
        <v>230</v>
      </c>
    </row>
    <row r="812" customFormat="false" ht="15" hidden="false" customHeight="false" outlineLevel="0" collapsed="false">
      <c r="A812" s="0" t="s">
        <v>7336</v>
      </c>
      <c r="B812" s="0" t="s">
        <v>3078</v>
      </c>
      <c r="C812" s="0" t="s">
        <v>3079</v>
      </c>
      <c r="D812" s="0" t="s">
        <v>2983</v>
      </c>
      <c r="E812" s="0" t="s">
        <v>3080</v>
      </c>
      <c r="F812" s="0" t="s">
        <v>3081</v>
      </c>
      <c r="G812" s="0" t="s">
        <v>134</v>
      </c>
      <c r="H812" s="0" t="s">
        <v>7879</v>
      </c>
      <c r="I812" s="0" t="s">
        <v>7338</v>
      </c>
      <c r="J812" s="0" t="s">
        <v>1602</v>
      </c>
      <c r="K812" s="0" t="s">
        <v>7339</v>
      </c>
      <c r="L812" s="0" t="s">
        <v>7340</v>
      </c>
      <c r="M812" s="0" t="s">
        <v>7661</v>
      </c>
      <c r="N812" s="0" t="s">
        <v>7342</v>
      </c>
      <c r="P812" s="0" t="s">
        <v>229</v>
      </c>
      <c r="R812" s="0" t="s">
        <v>7343</v>
      </c>
      <c r="S812" s="0" t="s">
        <v>7344</v>
      </c>
      <c r="T812" s="0" t="s">
        <v>228</v>
      </c>
      <c r="V812" s="0" t="s">
        <v>34</v>
      </c>
      <c r="W812" s="0" t="s">
        <v>39</v>
      </c>
      <c r="X812" s="0" t="s">
        <v>7355</v>
      </c>
      <c r="Y812" s="0" t="s">
        <v>7346</v>
      </c>
      <c r="Z812" s="0" t="s">
        <v>7370</v>
      </c>
      <c r="AA812" s="0" t="s">
        <v>7348</v>
      </c>
      <c r="AB812" s="0" t="s">
        <v>231</v>
      </c>
      <c r="AC812" s="0" t="s">
        <v>7349</v>
      </c>
      <c r="AD812" s="0" t="s">
        <v>7880</v>
      </c>
      <c r="AE812" s="0" t="s">
        <v>7412</v>
      </c>
      <c r="AF812" s="0" t="s">
        <v>7374</v>
      </c>
      <c r="AG812" s="0" t="s">
        <v>230</v>
      </c>
    </row>
    <row r="813" customFormat="false" ht="15" hidden="false" customHeight="false" outlineLevel="0" collapsed="false">
      <c r="A813" s="0" t="s">
        <v>7336</v>
      </c>
      <c r="B813" s="0" t="s">
        <v>3082</v>
      </c>
      <c r="C813" s="0" t="s">
        <v>3083</v>
      </c>
      <c r="D813" s="0" t="s">
        <v>2983</v>
      </c>
      <c r="E813" s="0" t="s">
        <v>3084</v>
      </c>
      <c r="F813" s="0" t="s">
        <v>3085</v>
      </c>
      <c r="G813" s="0" t="s">
        <v>134</v>
      </c>
      <c r="H813" s="0" t="s">
        <v>7881</v>
      </c>
      <c r="I813" s="0" t="s">
        <v>7338</v>
      </c>
      <c r="J813" s="0" t="s">
        <v>1602</v>
      </c>
      <c r="K813" s="0" t="s">
        <v>7339</v>
      </c>
      <c r="L813" s="0" t="s">
        <v>7340</v>
      </c>
      <c r="M813" s="0" t="s">
        <v>7661</v>
      </c>
      <c r="N813" s="0" t="s">
        <v>7342</v>
      </c>
      <c r="P813" s="0" t="s">
        <v>229</v>
      </c>
      <c r="R813" s="0" t="s">
        <v>7343</v>
      </c>
      <c r="S813" s="0" t="s">
        <v>7344</v>
      </c>
      <c r="T813" s="0" t="s">
        <v>228</v>
      </c>
      <c r="V813" s="0" t="s">
        <v>34</v>
      </c>
      <c r="W813" s="0" t="s">
        <v>39</v>
      </c>
      <c r="X813" s="0" t="s">
        <v>7355</v>
      </c>
      <c r="Y813" s="0" t="s">
        <v>7346</v>
      </c>
      <c r="Z813" s="0" t="s">
        <v>7370</v>
      </c>
      <c r="AA813" s="0" t="s">
        <v>7348</v>
      </c>
      <c r="AB813" s="0" t="s">
        <v>231</v>
      </c>
      <c r="AC813" s="0" t="s">
        <v>7349</v>
      </c>
      <c r="AD813" s="0" t="s">
        <v>7880</v>
      </c>
      <c r="AE813" s="0" t="s">
        <v>7412</v>
      </c>
      <c r="AF813" s="0" t="s">
        <v>7374</v>
      </c>
      <c r="AG813" s="0" t="s">
        <v>230</v>
      </c>
    </row>
    <row r="814" customFormat="false" ht="15" hidden="false" customHeight="false" outlineLevel="0" collapsed="false">
      <c r="A814" s="0" t="s">
        <v>7336</v>
      </c>
      <c r="B814" s="0" t="s">
        <v>3086</v>
      </c>
      <c r="C814" s="0" t="s">
        <v>3087</v>
      </c>
      <c r="D814" s="0" t="s">
        <v>2983</v>
      </c>
      <c r="E814" s="0" t="s">
        <v>3088</v>
      </c>
      <c r="F814" s="0" t="s">
        <v>3089</v>
      </c>
      <c r="G814" s="0" t="s">
        <v>134</v>
      </c>
      <c r="H814" s="0" t="s">
        <v>7882</v>
      </c>
      <c r="I814" s="0" t="s">
        <v>7338</v>
      </c>
      <c r="J814" s="0" t="s">
        <v>1602</v>
      </c>
      <c r="K814" s="0" t="s">
        <v>7339</v>
      </c>
      <c r="L814" s="0" t="s">
        <v>7340</v>
      </c>
      <c r="M814" s="0" t="s">
        <v>7661</v>
      </c>
      <c r="N814" s="0" t="s">
        <v>7342</v>
      </c>
      <c r="P814" s="0" t="s">
        <v>229</v>
      </c>
      <c r="R814" s="0" t="s">
        <v>7343</v>
      </c>
      <c r="S814" s="0" t="s">
        <v>7344</v>
      </c>
      <c r="T814" s="0" t="s">
        <v>228</v>
      </c>
      <c r="V814" s="0" t="s">
        <v>34</v>
      </c>
      <c r="W814" s="0" t="s">
        <v>39</v>
      </c>
      <c r="X814" s="0" t="s">
        <v>7355</v>
      </c>
      <c r="Y814" s="0" t="s">
        <v>7346</v>
      </c>
      <c r="Z814" s="0" t="s">
        <v>7370</v>
      </c>
      <c r="AA814" s="0" t="s">
        <v>7348</v>
      </c>
      <c r="AB814" s="0" t="s">
        <v>231</v>
      </c>
      <c r="AC814" s="0" t="s">
        <v>7349</v>
      </c>
      <c r="AD814" s="0" t="s">
        <v>7880</v>
      </c>
      <c r="AE814" s="0" t="s">
        <v>7412</v>
      </c>
      <c r="AF814" s="0" t="s">
        <v>7374</v>
      </c>
      <c r="AG814" s="0" t="s">
        <v>230</v>
      </c>
    </row>
    <row r="815" customFormat="false" ht="15" hidden="false" customHeight="false" outlineLevel="0" collapsed="false">
      <c r="A815" s="0" t="s">
        <v>7336</v>
      </c>
      <c r="B815" s="0" t="s">
        <v>3090</v>
      </c>
      <c r="C815" s="0" t="s">
        <v>3091</v>
      </c>
      <c r="D815" s="0" t="s">
        <v>2983</v>
      </c>
      <c r="E815" s="0" t="s">
        <v>3092</v>
      </c>
      <c r="F815" s="0" t="s">
        <v>3093</v>
      </c>
      <c r="G815" s="0" t="s">
        <v>134</v>
      </c>
      <c r="H815" s="0" t="s">
        <v>7883</v>
      </c>
      <c r="I815" s="0" t="s">
        <v>7338</v>
      </c>
      <c r="J815" s="0" t="s">
        <v>1602</v>
      </c>
      <c r="K815" s="0" t="s">
        <v>7339</v>
      </c>
      <c r="L815" s="0" t="s">
        <v>7340</v>
      </c>
      <c r="M815" s="0" t="s">
        <v>7661</v>
      </c>
      <c r="N815" s="0" t="s">
        <v>7342</v>
      </c>
      <c r="P815" s="0" t="s">
        <v>229</v>
      </c>
      <c r="R815" s="0" t="s">
        <v>7343</v>
      </c>
      <c r="S815" s="0" t="s">
        <v>7344</v>
      </c>
      <c r="T815" s="0" t="s">
        <v>681</v>
      </c>
      <c r="V815" s="0" t="s">
        <v>34</v>
      </c>
      <c r="W815" s="0" t="s">
        <v>47</v>
      </c>
      <c r="X815" s="0" t="s">
        <v>7355</v>
      </c>
      <c r="Y815" s="0" t="s">
        <v>7346</v>
      </c>
      <c r="Z815" s="0" t="s">
        <v>7496</v>
      </c>
      <c r="AA815" s="0" t="s">
        <v>7348</v>
      </c>
      <c r="AC815" s="0" t="s">
        <v>7349</v>
      </c>
      <c r="AD815" s="0" t="s">
        <v>7498</v>
      </c>
      <c r="AE815" s="0" t="s">
        <v>7872</v>
      </c>
      <c r="AF815" s="0" t="s">
        <v>7499</v>
      </c>
      <c r="AG815" s="0" t="s">
        <v>230</v>
      </c>
    </row>
    <row r="816" customFormat="false" ht="15" hidden="false" customHeight="false" outlineLevel="0" collapsed="false">
      <c r="A816" s="0" t="s">
        <v>7336</v>
      </c>
      <c r="B816" s="0" t="s">
        <v>3094</v>
      </c>
      <c r="C816" s="0" t="s">
        <v>3095</v>
      </c>
      <c r="D816" s="0" t="s">
        <v>2983</v>
      </c>
      <c r="E816" s="0" t="s">
        <v>3096</v>
      </c>
      <c r="F816" s="0" t="s">
        <v>3093</v>
      </c>
      <c r="G816" s="0" t="s">
        <v>134</v>
      </c>
      <c r="H816" s="0" t="s">
        <v>7883</v>
      </c>
      <c r="I816" s="0" t="s">
        <v>7338</v>
      </c>
      <c r="J816" s="0" t="s">
        <v>1602</v>
      </c>
      <c r="K816" s="0" t="s">
        <v>7339</v>
      </c>
      <c r="L816" s="0" t="s">
        <v>7340</v>
      </c>
      <c r="M816" s="0" t="s">
        <v>7661</v>
      </c>
      <c r="N816" s="0" t="s">
        <v>7342</v>
      </c>
      <c r="P816" s="0" t="s">
        <v>229</v>
      </c>
      <c r="R816" s="0" t="s">
        <v>7343</v>
      </c>
      <c r="S816" s="0" t="s">
        <v>7344</v>
      </c>
      <c r="T816" s="0" t="s">
        <v>228</v>
      </c>
      <c r="V816" s="0" t="s">
        <v>34</v>
      </c>
      <c r="W816" s="0" t="s">
        <v>39</v>
      </c>
      <c r="X816" s="0" t="s">
        <v>7355</v>
      </c>
      <c r="Y816" s="0" t="s">
        <v>7346</v>
      </c>
      <c r="Z816" s="0" t="s">
        <v>7370</v>
      </c>
      <c r="AA816" s="0" t="s">
        <v>7348</v>
      </c>
      <c r="AB816" s="0" t="s">
        <v>231</v>
      </c>
      <c r="AC816" s="0" t="s">
        <v>7349</v>
      </c>
      <c r="AD816" s="0" t="s">
        <v>7880</v>
      </c>
      <c r="AE816" s="0" t="s">
        <v>7412</v>
      </c>
      <c r="AF816" s="0" t="s">
        <v>7374</v>
      </c>
      <c r="AG816" s="0" t="s">
        <v>230</v>
      </c>
    </row>
    <row r="817" customFormat="false" ht="15" hidden="false" customHeight="false" outlineLevel="0" collapsed="false">
      <c r="A817" s="0" t="s">
        <v>7336</v>
      </c>
      <c r="B817" s="0" t="s">
        <v>3097</v>
      </c>
      <c r="C817" s="0" t="s">
        <v>3098</v>
      </c>
      <c r="D817" s="0" t="s">
        <v>2983</v>
      </c>
      <c r="E817" s="0" t="s">
        <v>3099</v>
      </c>
      <c r="F817" s="0" t="s">
        <v>3100</v>
      </c>
      <c r="G817" s="0" t="s">
        <v>134</v>
      </c>
      <c r="H817" s="0" t="s">
        <v>7884</v>
      </c>
      <c r="I817" s="0" t="s">
        <v>7338</v>
      </c>
      <c r="J817" s="0" t="s">
        <v>1602</v>
      </c>
      <c r="K817" s="0" t="s">
        <v>7339</v>
      </c>
      <c r="L817" s="0" t="s">
        <v>7340</v>
      </c>
      <c r="M817" s="0" t="s">
        <v>7661</v>
      </c>
      <c r="N817" s="0" t="s">
        <v>7342</v>
      </c>
      <c r="P817" s="0" t="s">
        <v>229</v>
      </c>
      <c r="R817" s="0" t="s">
        <v>7343</v>
      </c>
      <c r="S817" s="0" t="s">
        <v>7344</v>
      </c>
      <c r="T817" s="0" t="s">
        <v>228</v>
      </c>
      <c r="V817" s="0" t="s">
        <v>34</v>
      </c>
      <c r="W817" s="0" t="s">
        <v>39</v>
      </c>
      <c r="X817" s="0" t="s">
        <v>7355</v>
      </c>
      <c r="Y817" s="0" t="s">
        <v>7346</v>
      </c>
      <c r="Z817" s="0" t="s">
        <v>7370</v>
      </c>
      <c r="AA817" s="0" t="s">
        <v>7348</v>
      </c>
      <c r="AB817" s="0" t="s">
        <v>231</v>
      </c>
      <c r="AC817" s="0" t="s">
        <v>7349</v>
      </c>
      <c r="AD817" s="0" t="s">
        <v>7880</v>
      </c>
      <c r="AE817" s="0" t="s">
        <v>7412</v>
      </c>
      <c r="AF817" s="0" t="s">
        <v>7374</v>
      </c>
      <c r="AG817" s="0" t="s">
        <v>230</v>
      </c>
    </row>
    <row r="818" customFormat="false" ht="15" hidden="false" customHeight="false" outlineLevel="0" collapsed="false">
      <c r="A818" s="0" t="s">
        <v>7336</v>
      </c>
      <c r="B818" s="0" t="s">
        <v>3101</v>
      </c>
      <c r="C818" s="0" t="s">
        <v>3102</v>
      </c>
      <c r="D818" s="0" t="s">
        <v>2983</v>
      </c>
      <c r="E818" s="0" t="s">
        <v>3103</v>
      </c>
      <c r="F818" s="0" t="s">
        <v>3104</v>
      </c>
      <c r="G818" s="0" t="s">
        <v>134</v>
      </c>
      <c r="H818" s="0" t="s">
        <v>7885</v>
      </c>
      <c r="I818" s="0" t="s">
        <v>7338</v>
      </c>
      <c r="J818" s="0" t="s">
        <v>1602</v>
      </c>
      <c r="K818" s="0" t="s">
        <v>7339</v>
      </c>
      <c r="L818" s="0" t="s">
        <v>7340</v>
      </c>
      <c r="M818" s="0" t="s">
        <v>7661</v>
      </c>
      <c r="N818" s="0" t="s">
        <v>7342</v>
      </c>
      <c r="P818" s="0" t="s">
        <v>229</v>
      </c>
      <c r="R818" s="0" t="s">
        <v>7343</v>
      </c>
      <c r="S818" s="0" t="s">
        <v>7344</v>
      </c>
      <c r="T818" s="0" t="s">
        <v>228</v>
      </c>
      <c r="V818" s="0" t="s">
        <v>34</v>
      </c>
      <c r="W818" s="0" t="s">
        <v>39</v>
      </c>
      <c r="X818" s="0" t="s">
        <v>7355</v>
      </c>
      <c r="Y818" s="0" t="s">
        <v>7346</v>
      </c>
      <c r="Z818" s="0" t="s">
        <v>7370</v>
      </c>
      <c r="AA818" s="0" t="s">
        <v>7348</v>
      </c>
      <c r="AB818" s="0" t="s">
        <v>231</v>
      </c>
      <c r="AC818" s="0" t="s">
        <v>7349</v>
      </c>
      <c r="AD818" s="0" t="s">
        <v>7880</v>
      </c>
      <c r="AE818" s="0" t="s">
        <v>7412</v>
      </c>
      <c r="AF818" s="0" t="s">
        <v>7374</v>
      </c>
      <c r="AG818" s="0" t="s">
        <v>230</v>
      </c>
    </row>
    <row r="819" customFormat="false" ht="15" hidden="false" customHeight="false" outlineLevel="0" collapsed="false">
      <c r="A819" s="0" t="s">
        <v>7336</v>
      </c>
      <c r="B819" s="0" t="s">
        <v>3105</v>
      </c>
      <c r="C819" s="0" t="s">
        <v>3106</v>
      </c>
      <c r="D819" s="0" t="s">
        <v>2983</v>
      </c>
      <c r="E819" s="0" t="s">
        <v>3107</v>
      </c>
      <c r="F819" s="0" t="s">
        <v>3108</v>
      </c>
      <c r="G819" s="0" t="s">
        <v>134</v>
      </c>
      <c r="H819" s="0" t="s">
        <v>7886</v>
      </c>
      <c r="I819" s="0" t="s">
        <v>7338</v>
      </c>
      <c r="J819" s="0" t="s">
        <v>1602</v>
      </c>
      <c r="K819" s="0" t="s">
        <v>7339</v>
      </c>
      <c r="L819" s="0" t="s">
        <v>7340</v>
      </c>
      <c r="M819" s="0" t="s">
        <v>7661</v>
      </c>
      <c r="N819" s="0" t="s">
        <v>7342</v>
      </c>
      <c r="P819" s="0" t="s">
        <v>229</v>
      </c>
      <c r="S819" s="0" t="s">
        <v>7344</v>
      </c>
      <c r="T819" s="0" t="s">
        <v>58</v>
      </c>
      <c r="V819" s="0" t="s">
        <v>55</v>
      </c>
      <c r="W819" s="0" t="s">
        <v>55</v>
      </c>
      <c r="X819" s="0" t="s">
        <v>7355</v>
      </c>
      <c r="Z819" s="0" t="s">
        <v>7493</v>
      </c>
      <c r="AB819" s="0" t="s">
        <v>344</v>
      </c>
      <c r="AC819" s="0" t="s">
        <v>7349</v>
      </c>
      <c r="AE819" s="0" t="s">
        <v>7826</v>
      </c>
      <c r="AF819" s="0" t="s">
        <v>7374</v>
      </c>
      <c r="AG819" s="0" t="s">
        <v>230</v>
      </c>
    </row>
    <row r="820" customFormat="false" ht="15" hidden="false" customHeight="false" outlineLevel="0" collapsed="false">
      <c r="A820" s="0" t="s">
        <v>7336</v>
      </c>
      <c r="B820" s="0" t="s">
        <v>3109</v>
      </c>
      <c r="C820" s="0" t="s">
        <v>3110</v>
      </c>
      <c r="D820" s="0" t="s">
        <v>2983</v>
      </c>
      <c r="E820" s="0" t="s">
        <v>3111</v>
      </c>
      <c r="F820" s="0" t="s">
        <v>3112</v>
      </c>
      <c r="G820" s="0" t="s">
        <v>134</v>
      </c>
      <c r="H820" s="0" t="s">
        <v>7887</v>
      </c>
      <c r="I820" s="0" t="s">
        <v>7338</v>
      </c>
      <c r="J820" s="0" t="s">
        <v>1602</v>
      </c>
      <c r="K820" s="0" t="s">
        <v>7339</v>
      </c>
      <c r="L820" s="0" t="s">
        <v>7340</v>
      </c>
      <c r="M820" s="0" t="s">
        <v>7661</v>
      </c>
      <c r="N820" s="0" t="s">
        <v>7342</v>
      </c>
      <c r="P820" s="0" t="s">
        <v>229</v>
      </c>
      <c r="S820" s="0" t="s">
        <v>7344</v>
      </c>
      <c r="T820" s="0" t="s">
        <v>58</v>
      </c>
      <c r="V820" s="0" t="s">
        <v>55</v>
      </c>
      <c r="W820" s="0" t="s">
        <v>55</v>
      </c>
      <c r="X820" s="0" t="s">
        <v>7355</v>
      </c>
      <c r="Z820" s="0" t="s">
        <v>7493</v>
      </c>
      <c r="AB820" s="0" t="s">
        <v>344</v>
      </c>
      <c r="AC820" s="0" t="s">
        <v>7349</v>
      </c>
      <c r="AE820" s="0" t="s">
        <v>7826</v>
      </c>
      <c r="AF820" s="0" t="s">
        <v>7374</v>
      </c>
      <c r="AG820" s="0" t="s">
        <v>230</v>
      </c>
    </row>
    <row r="821" customFormat="false" ht="15" hidden="false" customHeight="false" outlineLevel="0" collapsed="false">
      <c r="A821" s="0" t="s">
        <v>7336</v>
      </c>
      <c r="B821" s="0" t="s">
        <v>3113</v>
      </c>
      <c r="C821" s="0" t="s">
        <v>3114</v>
      </c>
      <c r="D821" s="0" t="s">
        <v>2983</v>
      </c>
      <c r="E821" s="0" t="s">
        <v>3115</v>
      </c>
      <c r="F821" s="0" t="s">
        <v>3116</v>
      </c>
      <c r="G821" s="0" t="s">
        <v>134</v>
      </c>
      <c r="H821" s="0" t="s">
        <v>7888</v>
      </c>
      <c r="I821" s="0" t="s">
        <v>7338</v>
      </c>
      <c r="J821" s="0" t="s">
        <v>1602</v>
      </c>
      <c r="K821" s="0" t="s">
        <v>7339</v>
      </c>
      <c r="L821" s="0" t="s">
        <v>7340</v>
      </c>
      <c r="M821" s="0" t="s">
        <v>7661</v>
      </c>
      <c r="N821" s="0" t="s">
        <v>7342</v>
      </c>
      <c r="P821" s="0" t="s">
        <v>229</v>
      </c>
      <c r="R821" s="0" t="s">
        <v>7343</v>
      </c>
      <c r="S821" s="0" t="s">
        <v>7344</v>
      </c>
      <c r="T821" s="0" t="s">
        <v>228</v>
      </c>
      <c r="V821" s="0" t="s">
        <v>34</v>
      </c>
      <c r="W821" s="0" t="s">
        <v>39</v>
      </c>
      <c r="X821" s="0" t="s">
        <v>7355</v>
      </c>
      <c r="Y821" s="0" t="s">
        <v>7346</v>
      </c>
      <c r="Z821" s="0" t="s">
        <v>7370</v>
      </c>
      <c r="AA821" s="0" t="s">
        <v>7348</v>
      </c>
      <c r="AB821" s="0" t="s">
        <v>231</v>
      </c>
      <c r="AC821" s="0" t="s">
        <v>7349</v>
      </c>
      <c r="AD821" s="0" t="s">
        <v>7880</v>
      </c>
      <c r="AE821" s="0" t="s">
        <v>7412</v>
      </c>
      <c r="AF821" s="0" t="s">
        <v>7374</v>
      </c>
      <c r="AG821" s="0" t="s">
        <v>230</v>
      </c>
    </row>
    <row r="822" customFormat="false" ht="15" hidden="false" customHeight="false" outlineLevel="0" collapsed="false">
      <c r="A822" s="0" t="s">
        <v>7336</v>
      </c>
      <c r="B822" s="0" t="s">
        <v>3117</v>
      </c>
      <c r="C822" s="0" t="s">
        <v>3118</v>
      </c>
      <c r="D822" s="0" t="s">
        <v>2983</v>
      </c>
      <c r="E822" s="0" t="s">
        <v>3119</v>
      </c>
      <c r="F822" s="0" t="s">
        <v>3116</v>
      </c>
      <c r="G822" s="0" t="s">
        <v>134</v>
      </c>
      <c r="H822" s="0" t="s">
        <v>7888</v>
      </c>
      <c r="I822" s="0" t="s">
        <v>7338</v>
      </c>
      <c r="J822" s="0" t="s">
        <v>1602</v>
      </c>
      <c r="K822" s="0" t="s">
        <v>7339</v>
      </c>
      <c r="L822" s="0" t="s">
        <v>7340</v>
      </c>
      <c r="M822" s="0" t="s">
        <v>7661</v>
      </c>
      <c r="N822" s="0" t="s">
        <v>7342</v>
      </c>
      <c r="P822" s="0" t="s">
        <v>229</v>
      </c>
      <c r="S822" s="0" t="s">
        <v>7344</v>
      </c>
      <c r="T822" s="0" t="s">
        <v>58</v>
      </c>
      <c r="V822" s="0" t="s">
        <v>55</v>
      </c>
      <c r="W822" s="0" t="s">
        <v>55</v>
      </c>
      <c r="X822" s="0" t="s">
        <v>7355</v>
      </c>
      <c r="Z822" s="0" t="s">
        <v>7493</v>
      </c>
      <c r="AB822" s="0" t="s">
        <v>344</v>
      </c>
      <c r="AC822" s="0" t="s">
        <v>7349</v>
      </c>
      <c r="AE822" s="0" t="s">
        <v>7826</v>
      </c>
      <c r="AF822" s="0" t="s">
        <v>7374</v>
      </c>
      <c r="AG822" s="0" t="s">
        <v>230</v>
      </c>
    </row>
    <row r="823" customFormat="false" ht="15" hidden="false" customHeight="false" outlineLevel="0" collapsed="false">
      <c r="A823" s="0" t="s">
        <v>7336</v>
      </c>
      <c r="B823" s="0" t="s">
        <v>3120</v>
      </c>
      <c r="C823" s="0" t="s">
        <v>3121</v>
      </c>
      <c r="D823" s="0" t="s">
        <v>2983</v>
      </c>
      <c r="E823" s="0" t="s">
        <v>3122</v>
      </c>
      <c r="F823" s="0" t="s">
        <v>2982</v>
      </c>
      <c r="G823" s="0" t="s">
        <v>134</v>
      </c>
      <c r="H823" s="0" t="s">
        <v>7862</v>
      </c>
      <c r="I823" s="0" t="s">
        <v>7338</v>
      </c>
      <c r="J823" s="0" t="s">
        <v>1602</v>
      </c>
      <c r="K823" s="0" t="s">
        <v>7339</v>
      </c>
      <c r="L823" s="0" t="s">
        <v>7340</v>
      </c>
      <c r="M823" s="0" t="s">
        <v>7661</v>
      </c>
      <c r="N823" s="0" t="s">
        <v>7342</v>
      </c>
      <c r="P823" s="0" t="s">
        <v>229</v>
      </c>
      <c r="R823" s="0" t="s">
        <v>7343</v>
      </c>
      <c r="S823" s="0" t="s">
        <v>7344</v>
      </c>
      <c r="T823" s="0" t="s">
        <v>681</v>
      </c>
      <c r="V823" s="0" t="s">
        <v>34</v>
      </c>
      <c r="W823" s="0" t="s">
        <v>39</v>
      </c>
      <c r="X823" s="0" t="s">
        <v>7355</v>
      </c>
      <c r="Y823" s="0" t="s">
        <v>7346</v>
      </c>
      <c r="Z823" s="0" t="s">
        <v>7493</v>
      </c>
      <c r="AA823" s="0" t="s">
        <v>7348</v>
      </c>
      <c r="AB823" s="0" t="s">
        <v>231</v>
      </c>
      <c r="AC823" s="0" t="s">
        <v>7349</v>
      </c>
      <c r="AD823" s="0" t="s">
        <v>7746</v>
      </c>
      <c r="AE823" s="0" t="s">
        <v>7412</v>
      </c>
      <c r="AF823" s="0" t="s">
        <v>7374</v>
      </c>
      <c r="AG823" s="0" t="s">
        <v>230</v>
      </c>
    </row>
    <row r="824" customFormat="false" ht="15" hidden="false" customHeight="false" outlineLevel="0" collapsed="false">
      <c r="A824" s="0" t="s">
        <v>7336</v>
      </c>
      <c r="B824" s="0" t="s">
        <v>3123</v>
      </c>
      <c r="C824" s="0" t="s">
        <v>3124</v>
      </c>
      <c r="D824" s="0" t="s">
        <v>2431</v>
      </c>
      <c r="E824" s="0" t="s">
        <v>3125</v>
      </c>
      <c r="F824" s="0" t="s">
        <v>2807</v>
      </c>
      <c r="G824" s="0" t="s">
        <v>109</v>
      </c>
      <c r="H824" s="0" t="s">
        <v>7827</v>
      </c>
      <c r="I824" s="0" t="s">
        <v>7338</v>
      </c>
      <c r="J824" s="0" t="s">
        <v>1602</v>
      </c>
      <c r="K824" s="0" t="s">
        <v>7339</v>
      </c>
      <c r="L824" s="0" t="s">
        <v>7340</v>
      </c>
      <c r="M824" s="0" t="s">
        <v>7661</v>
      </c>
      <c r="N824" s="0" t="s">
        <v>7342</v>
      </c>
      <c r="P824" s="0" t="s">
        <v>229</v>
      </c>
      <c r="R824" s="0" t="s">
        <v>7343</v>
      </c>
      <c r="S824" s="0" t="s">
        <v>7344</v>
      </c>
      <c r="T824" s="0" t="s">
        <v>681</v>
      </c>
      <c r="V824" s="0" t="s">
        <v>34</v>
      </c>
      <c r="W824" s="0" t="s">
        <v>36</v>
      </c>
      <c r="Y824" s="0" t="s">
        <v>7495</v>
      </c>
      <c r="Z824" s="0" t="s">
        <v>7496</v>
      </c>
      <c r="AA824" s="0" t="s">
        <v>7497</v>
      </c>
      <c r="AB824" s="0" t="s">
        <v>682</v>
      </c>
      <c r="AC824" s="0" t="s">
        <v>7349</v>
      </c>
      <c r="AD824" s="0" t="s">
        <v>7498</v>
      </c>
      <c r="AE824" s="0" t="s">
        <v>7889</v>
      </c>
      <c r="AF824" s="0" t="s">
        <v>7499</v>
      </c>
      <c r="AG824" s="0" t="s">
        <v>230</v>
      </c>
    </row>
    <row r="825" customFormat="false" ht="15" hidden="false" customHeight="false" outlineLevel="0" collapsed="false">
      <c r="A825" s="0" t="s">
        <v>7336</v>
      </c>
      <c r="B825" s="0" t="s">
        <v>3126</v>
      </c>
      <c r="C825" s="0" t="s">
        <v>3127</v>
      </c>
      <c r="D825" s="0" t="s">
        <v>2431</v>
      </c>
      <c r="E825" s="0" t="s">
        <v>3128</v>
      </c>
      <c r="F825" s="0" t="s">
        <v>2807</v>
      </c>
      <c r="G825" s="0" t="s">
        <v>109</v>
      </c>
      <c r="H825" s="0" t="s">
        <v>7827</v>
      </c>
      <c r="I825" s="0" t="s">
        <v>7338</v>
      </c>
      <c r="J825" s="0" t="s">
        <v>1602</v>
      </c>
      <c r="K825" s="0" t="s">
        <v>7339</v>
      </c>
      <c r="L825" s="0" t="s">
        <v>7340</v>
      </c>
      <c r="M825" s="0" t="s">
        <v>7661</v>
      </c>
      <c r="N825" s="0" t="s">
        <v>7342</v>
      </c>
      <c r="P825" s="0" t="s">
        <v>229</v>
      </c>
      <c r="R825" s="0" t="s">
        <v>7343</v>
      </c>
      <c r="S825" s="0" t="s">
        <v>7344</v>
      </c>
      <c r="T825" s="0" t="s">
        <v>681</v>
      </c>
      <c r="V825" s="0" t="s">
        <v>34</v>
      </c>
      <c r="W825" s="0" t="s">
        <v>36</v>
      </c>
      <c r="Y825" s="0" t="s">
        <v>7495</v>
      </c>
      <c r="Z825" s="0" t="s">
        <v>7496</v>
      </c>
      <c r="AA825" s="0" t="s">
        <v>7497</v>
      </c>
      <c r="AB825" s="0" t="s">
        <v>682</v>
      </c>
      <c r="AC825" s="0" t="s">
        <v>7349</v>
      </c>
      <c r="AD825" s="0" t="s">
        <v>7498</v>
      </c>
      <c r="AE825" s="0" t="s">
        <v>7815</v>
      </c>
      <c r="AF825" s="0" t="s">
        <v>7499</v>
      </c>
      <c r="AG825" s="0" t="s">
        <v>230</v>
      </c>
    </row>
    <row r="826" customFormat="false" ht="15" hidden="false" customHeight="false" outlineLevel="0" collapsed="false">
      <c r="A826" s="0" t="s">
        <v>7336</v>
      </c>
      <c r="B826" s="0" t="s">
        <v>3129</v>
      </c>
      <c r="C826" s="0" t="s">
        <v>3130</v>
      </c>
      <c r="D826" s="0" t="s">
        <v>2431</v>
      </c>
      <c r="E826" s="0" t="s">
        <v>3131</v>
      </c>
      <c r="F826" s="0" t="s">
        <v>2807</v>
      </c>
      <c r="G826" s="0" t="s">
        <v>109</v>
      </c>
      <c r="H826" s="0" t="s">
        <v>7827</v>
      </c>
      <c r="I826" s="0" t="s">
        <v>7338</v>
      </c>
      <c r="J826" s="0" t="s">
        <v>1602</v>
      </c>
      <c r="K826" s="0" t="s">
        <v>7339</v>
      </c>
      <c r="L826" s="0" t="s">
        <v>7340</v>
      </c>
      <c r="M826" s="0" t="s">
        <v>7661</v>
      </c>
      <c r="N826" s="0" t="s">
        <v>7342</v>
      </c>
      <c r="P826" s="0" t="s">
        <v>229</v>
      </c>
      <c r="R826" s="0" t="s">
        <v>7343</v>
      </c>
      <c r="S826" s="0" t="s">
        <v>7344</v>
      </c>
      <c r="T826" s="0" t="s">
        <v>228</v>
      </c>
      <c r="V826" s="0" t="s">
        <v>34</v>
      </c>
      <c r="W826" s="0" t="s">
        <v>46</v>
      </c>
      <c r="Y826" s="0" t="s">
        <v>7346</v>
      </c>
      <c r="Z826" s="0" t="s">
        <v>7347</v>
      </c>
      <c r="AA826" s="0" t="s">
        <v>7348</v>
      </c>
      <c r="AB826" s="0" t="s">
        <v>231</v>
      </c>
      <c r="AC826" s="0" t="s">
        <v>7349</v>
      </c>
      <c r="AD826" s="0" t="s">
        <v>7350</v>
      </c>
      <c r="AE826" s="0" t="s">
        <v>7779</v>
      </c>
      <c r="AF826" s="0" t="s">
        <v>7352</v>
      </c>
      <c r="AG826" s="0" t="s">
        <v>230</v>
      </c>
    </row>
    <row r="827" customFormat="false" ht="15" hidden="false" customHeight="false" outlineLevel="0" collapsed="false">
      <c r="A827" s="0" t="s">
        <v>7336</v>
      </c>
      <c r="B827" s="0" t="s">
        <v>3132</v>
      </c>
      <c r="C827" s="0" t="s">
        <v>3133</v>
      </c>
      <c r="D827" s="0" t="s">
        <v>2431</v>
      </c>
      <c r="E827" s="0" t="s">
        <v>3134</v>
      </c>
      <c r="F827" s="0" t="s">
        <v>3135</v>
      </c>
      <c r="G827" s="0" t="s">
        <v>109</v>
      </c>
      <c r="H827" s="0" t="s">
        <v>7890</v>
      </c>
      <c r="I827" s="0" t="s">
        <v>7338</v>
      </c>
      <c r="J827" s="0" t="s">
        <v>1602</v>
      </c>
      <c r="K827" s="0" t="s">
        <v>7339</v>
      </c>
      <c r="L827" s="0" t="s">
        <v>7340</v>
      </c>
      <c r="M827" s="0" t="s">
        <v>7661</v>
      </c>
      <c r="N827" s="0" t="s">
        <v>7342</v>
      </c>
      <c r="P827" s="0" t="s">
        <v>229</v>
      </c>
      <c r="R827" s="0" t="s">
        <v>7343</v>
      </c>
      <c r="S827" s="0" t="s">
        <v>7344</v>
      </c>
      <c r="T827" s="0" t="s">
        <v>681</v>
      </c>
      <c r="V827" s="0" t="s">
        <v>34</v>
      </c>
      <c r="W827" s="0" t="s">
        <v>42</v>
      </c>
      <c r="Y827" s="0" t="s">
        <v>7346</v>
      </c>
      <c r="Z827" s="0" t="s">
        <v>7493</v>
      </c>
      <c r="AA827" s="0" t="s">
        <v>7348</v>
      </c>
      <c r="AB827" s="0" t="s">
        <v>231</v>
      </c>
      <c r="AC827" s="0" t="s">
        <v>7349</v>
      </c>
      <c r="AD827" s="0" t="s">
        <v>7514</v>
      </c>
      <c r="AE827" s="0" t="s">
        <v>7779</v>
      </c>
      <c r="AF827" s="0" t="s">
        <v>7374</v>
      </c>
      <c r="AG827" s="0" t="s">
        <v>230</v>
      </c>
    </row>
    <row r="828" customFormat="false" ht="15" hidden="false" customHeight="false" outlineLevel="0" collapsed="false">
      <c r="A828" s="0" t="s">
        <v>7336</v>
      </c>
      <c r="B828" s="0" t="s">
        <v>3136</v>
      </c>
      <c r="C828" s="0" t="s">
        <v>3137</v>
      </c>
      <c r="D828" s="0" t="s">
        <v>2431</v>
      </c>
      <c r="E828" s="0" t="s">
        <v>3138</v>
      </c>
      <c r="F828" s="0" t="s">
        <v>3139</v>
      </c>
      <c r="G828" s="0" t="s">
        <v>109</v>
      </c>
      <c r="H828" s="0" t="s">
        <v>7891</v>
      </c>
      <c r="I828" s="0" t="s">
        <v>7338</v>
      </c>
      <c r="J828" s="0" t="s">
        <v>1602</v>
      </c>
      <c r="K828" s="0" t="s">
        <v>7339</v>
      </c>
      <c r="L828" s="0" t="s">
        <v>7340</v>
      </c>
      <c r="M828" s="0" t="s">
        <v>7661</v>
      </c>
      <c r="N828" s="0" t="s">
        <v>7342</v>
      </c>
      <c r="P828" s="0" t="s">
        <v>229</v>
      </c>
      <c r="R828" s="0" t="s">
        <v>7343</v>
      </c>
      <c r="S828" s="0" t="s">
        <v>7344</v>
      </c>
      <c r="T828" s="0" t="s">
        <v>681</v>
      </c>
      <c r="V828" s="0" t="s">
        <v>34</v>
      </c>
      <c r="W828" s="0" t="s">
        <v>42</v>
      </c>
      <c r="Y828" s="0" t="s">
        <v>7346</v>
      </c>
      <c r="Z828" s="0" t="s">
        <v>7493</v>
      </c>
      <c r="AA828" s="0" t="s">
        <v>7348</v>
      </c>
      <c r="AB828" s="0" t="s">
        <v>231</v>
      </c>
      <c r="AC828" s="0" t="s">
        <v>7349</v>
      </c>
      <c r="AD828" s="0" t="s">
        <v>7514</v>
      </c>
      <c r="AE828" s="0" t="s">
        <v>7779</v>
      </c>
      <c r="AF828" s="0" t="s">
        <v>7374</v>
      </c>
      <c r="AG828" s="0" t="s">
        <v>230</v>
      </c>
    </row>
    <row r="829" customFormat="false" ht="15" hidden="false" customHeight="false" outlineLevel="0" collapsed="false">
      <c r="A829" s="0" t="s">
        <v>7336</v>
      </c>
      <c r="B829" s="0" t="s">
        <v>3140</v>
      </c>
      <c r="C829" s="0" t="s">
        <v>3141</v>
      </c>
      <c r="D829" s="0" t="s">
        <v>2431</v>
      </c>
      <c r="E829" s="0" t="s">
        <v>3142</v>
      </c>
      <c r="F829" s="0" t="s">
        <v>3135</v>
      </c>
      <c r="G829" s="0" t="s">
        <v>109</v>
      </c>
      <c r="H829" s="0" t="s">
        <v>7890</v>
      </c>
      <c r="I829" s="0" t="s">
        <v>7338</v>
      </c>
      <c r="J829" s="0" t="s">
        <v>1602</v>
      </c>
      <c r="K829" s="0" t="s">
        <v>7339</v>
      </c>
      <c r="L829" s="0" t="s">
        <v>7340</v>
      </c>
      <c r="M829" s="0" t="s">
        <v>7661</v>
      </c>
      <c r="N829" s="0" t="s">
        <v>7342</v>
      </c>
      <c r="P829" s="0" t="s">
        <v>229</v>
      </c>
      <c r="R829" s="0" t="s">
        <v>7343</v>
      </c>
      <c r="S829" s="0" t="s">
        <v>7344</v>
      </c>
      <c r="T829" s="0" t="s">
        <v>681</v>
      </c>
      <c r="V829" s="0" t="s">
        <v>34</v>
      </c>
      <c r="W829" s="0" t="s">
        <v>42</v>
      </c>
      <c r="Y829" s="0" t="s">
        <v>7346</v>
      </c>
      <c r="Z829" s="0" t="s">
        <v>7493</v>
      </c>
      <c r="AA829" s="0" t="s">
        <v>7348</v>
      </c>
      <c r="AB829" s="0" t="s">
        <v>231</v>
      </c>
      <c r="AC829" s="0" t="s">
        <v>7349</v>
      </c>
      <c r="AD829" s="0" t="s">
        <v>7514</v>
      </c>
      <c r="AE829" s="0" t="s">
        <v>7779</v>
      </c>
      <c r="AF829" s="0" t="s">
        <v>7374</v>
      </c>
      <c r="AG829" s="0" t="s">
        <v>230</v>
      </c>
    </row>
    <row r="830" customFormat="false" ht="15" hidden="false" customHeight="false" outlineLevel="0" collapsed="false">
      <c r="A830" s="0" t="s">
        <v>7336</v>
      </c>
      <c r="B830" s="0" t="s">
        <v>3143</v>
      </c>
      <c r="C830" s="0" t="s">
        <v>3144</v>
      </c>
      <c r="D830" s="0" t="s">
        <v>2431</v>
      </c>
      <c r="E830" s="0" t="s">
        <v>3145</v>
      </c>
      <c r="F830" s="0" t="s">
        <v>3146</v>
      </c>
      <c r="G830" s="0" t="s">
        <v>109</v>
      </c>
      <c r="H830" s="0" t="s">
        <v>7892</v>
      </c>
      <c r="I830" s="0" t="s">
        <v>7338</v>
      </c>
      <c r="J830" s="0" t="s">
        <v>1602</v>
      </c>
      <c r="K830" s="0" t="s">
        <v>7339</v>
      </c>
      <c r="L830" s="0" t="s">
        <v>7340</v>
      </c>
      <c r="M830" s="0" t="s">
        <v>7661</v>
      </c>
      <c r="N830" s="0" t="s">
        <v>7342</v>
      </c>
      <c r="P830" s="0" t="s">
        <v>229</v>
      </c>
      <c r="R830" s="0" t="s">
        <v>7343</v>
      </c>
      <c r="S830" s="0" t="s">
        <v>7344</v>
      </c>
      <c r="T830" s="0" t="s">
        <v>681</v>
      </c>
      <c r="V830" s="0" t="s">
        <v>34</v>
      </c>
      <c r="W830" s="0" t="s">
        <v>42</v>
      </c>
      <c r="Y830" s="0" t="s">
        <v>7346</v>
      </c>
      <c r="Z830" s="0" t="s">
        <v>7493</v>
      </c>
      <c r="AA830" s="0" t="s">
        <v>7348</v>
      </c>
      <c r="AB830" s="0" t="s">
        <v>231</v>
      </c>
      <c r="AC830" s="0" t="s">
        <v>7349</v>
      </c>
      <c r="AD830" s="0" t="s">
        <v>7514</v>
      </c>
      <c r="AE830" s="0" t="s">
        <v>7779</v>
      </c>
      <c r="AF830" s="0" t="s">
        <v>7374</v>
      </c>
      <c r="AG830" s="0" t="s">
        <v>230</v>
      </c>
    </row>
    <row r="831" customFormat="false" ht="15" hidden="false" customHeight="false" outlineLevel="0" collapsed="false">
      <c r="A831" s="0" t="s">
        <v>7336</v>
      </c>
      <c r="B831" s="0" t="s">
        <v>3147</v>
      </c>
      <c r="C831" s="0" t="s">
        <v>3148</v>
      </c>
      <c r="D831" s="0" t="s">
        <v>2431</v>
      </c>
      <c r="E831" s="0" t="s">
        <v>3149</v>
      </c>
      <c r="F831" s="0" t="s">
        <v>3150</v>
      </c>
      <c r="G831" s="0" t="s">
        <v>109</v>
      </c>
      <c r="H831" s="0" t="s">
        <v>7893</v>
      </c>
      <c r="I831" s="0" t="s">
        <v>7338</v>
      </c>
      <c r="J831" s="0" t="s">
        <v>1602</v>
      </c>
      <c r="K831" s="0" t="s">
        <v>7339</v>
      </c>
      <c r="L831" s="0" t="s">
        <v>7340</v>
      </c>
      <c r="M831" s="0" t="s">
        <v>7661</v>
      </c>
      <c r="N831" s="0" t="s">
        <v>7342</v>
      </c>
      <c r="P831" s="0" t="s">
        <v>229</v>
      </c>
      <c r="R831" s="0" t="s">
        <v>7343</v>
      </c>
      <c r="S831" s="0" t="s">
        <v>7344</v>
      </c>
      <c r="T831" s="0" t="s">
        <v>681</v>
      </c>
      <c r="V831" s="0" t="s">
        <v>34</v>
      </c>
      <c r="W831" s="0" t="s">
        <v>42</v>
      </c>
      <c r="Y831" s="0" t="s">
        <v>7346</v>
      </c>
      <c r="Z831" s="0" t="s">
        <v>7493</v>
      </c>
      <c r="AA831" s="0" t="s">
        <v>7348</v>
      </c>
      <c r="AB831" s="0" t="s">
        <v>231</v>
      </c>
      <c r="AC831" s="0" t="s">
        <v>7349</v>
      </c>
      <c r="AD831" s="0" t="s">
        <v>7514</v>
      </c>
      <c r="AE831" s="0" t="s">
        <v>7779</v>
      </c>
      <c r="AF831" s="0" t="s">
        <v>7374</v>
      </c>
      <c r="AG831" s="0" t="s">
        <v>230</v>
      </c>
    </row>
    <row r="832" customFormat="false" ht="15" hidden="false" customHeight="false" outlineLevel="0" collapsed="false">
      <c r="A832" s="0" t="s">
        <v>7336</v>
      </c>
      <c r="B832" s="0" t="s">
        <v>3151</v>
      </c>
      <c r="C832" s="0" t="s">
        <v>3152</v>
      </c>
      <c r="D832" s="0" t="s">
        <v>2431</v>
      </c>
      <c r="E832" s="0" t="s">
        <v>3153</v>
      </c>
      <c r="F832" s="0" t="s">
        <v>3146</v>
      </c>
      <c r="G832" s="0" t="s">
        <v>109</v>
      </c>
      <c r="H832" s="0" t="s">
        <v>7892</v>
      </c>
      <c r="I832" s="0" t="s">
        <v>7338</v>
      </c>
      <c r="J832" s="0" t="s">
        <v>1602</v>
      </c>
      <c r="K832" s="0" t="s">
        <v>7339</v>
      </c>
      <c r="L832" s="0" t="s">
        <v>7340</v>
      </c>
      <c r="M832" s="0" t="s">
        <v>7661</v>
      </c>
      <c r="N832" s="0" t="s">
        <v>7342</v>
      </c>
      <c r="P832" s="0" t="s">
        <v>229</v>
      </c>
      <c r="R832" s="0" t="s">
        <v>7343</v>
      </c>
      <c r="S832" s="0" t="s">
        <v>7344</v>
      </c>
      <c r="T832" s="0" t="s">
        <v>681</v>
      </c>
      <c r="V832" s="0" t="s">
        <v>34</v>
      </c>
      <c r="W832" s="0" t="s">
        <v>42</v>
      </c>
      <c r="Y832" s="0" t="s">
        <v>7346</v>
      </c>
      <c r="Z832" s="0" t="s">
        <v>7493</v>
      </c>
      <c r="AA832" s="0" t="s">
        <v>7348</v>
      </c>
      <c r="AB832" s="0" t="s">
        <v>231</v>
      </c>
      <c r="AC832" s="0" t="s">
        <v>7349</v>
      </c>
      <c r="AD832" s="0" t="s">
        <v>7514</v>
      </c>
      <c r="AE832" s="0" t="s">
        <v>7779</v>
      </c>
      <c r="AF832" s="0" t="s">
        <v>7374</v>
      </c>
      <c r="AG832" s="0" t="s">
        <v>230</v>
      </c>
    </row>
    <row r="833" customFormat="false" ht="15" hidden="false" customHeight="false" outlineLevel="0" collapsed="false">
      <c r="A833" s="0" t="s">
        <v>7336</v>
      </c>
      <c r="B833" s="0" t="s">
        <v>3154</v>
      </c>
      <c r="C833" s="0" t="s">
        <v>3155</v>
      </c>
      <c r="D833" s="0" t="s">
        <v>2431</v>
      </c>
      <c r="E833" s="0" t="s">
        <v>3156</v>
      </c>
      <c r="F833" s="0" t="s">
        <v>3157</v>
      </c>
      <c r="G833" s="0" t="s">
        <v>109</v>
      </c>
      <c r="H833" s="0" t="s">
        <v>7894</v>
      </c>
      <c r="I833" s="0" t="s">
        <v>7338</v>
      </c>
      <c r="J833" s="0" t="s">
        <v>1602</v>
      </c>
      <c r="K833" s="0" t="s">
        <v>7339</v>
      </c>
      <c r="L833" s="0" t="s">
        <v>7340</v>
      </c>
      <c r="M833" s="0" t="s">
        <v>7661</v>
      </c>
      <c r="N833" s="0" t="s">
        <v>7342</v>
      </c>
      <c r="P833" s="0" t="s">
        <v>229</v>
      </c>
      <c r="R833" s="0" t="s">
        <v>7343</v>
      </c>
      <c r="S833" s="0" t="s">
        <v>7344</v>
      </c>
      <c r="T833" s="0" t="s">
        <v>681</v>
      </c>
      <c r="V833" s="0" t="s">
        <v>34</v>
      </c>
      <c r="W833" s="0" t="s">
        <v>42</v>
      </c>
      <c r="Y833" s="0" t="s">
        <v>7346</v>
      </c>
      <c r="Z833" s="0" t="s">
        <v>7493</v>
      </c>
      <c r="AA833" s="0" t="s">
        <v>7348</v>
      </c>
      <c r="AB833" s="0" t="s">
        <v>231</v>
      </c>
      <c r="AC833" s="0" t="s">
        <v>7349</v>
      </c>
      <c r="AD833" s="0" t="s">
        <v>7514</v>
      </c>
      <c r="AE833" s="0" t="s">
        <v>7779</v>
      </c>
      <c r="AF833" s="0" t="s">
        <v>7374</v>
      </c>
      <c r="AG833" s="0" t="s">
        <v>230</v>
      </c>
    </row>
    <row r="834" customFormat="false" ht="15" hidden="false" customHeight="false" outlineLevel="0" collapsed="false">
      <c r="A834" s="0" t="s">
        <v>7336</v>
      </c>
      <c r="B834" s="0" t="s">
        <v>3158</v>
      </c>
      <c r="C834" s="0" t="s">
        <v>3159</v>
      </c>
      <c r="D834" s="0" t="s">
        <v>2431</v>
      </c>
      <c r="E834" s="0" t="s">
        <v>3160</v>
      </c>
      <c r="F834" s="0" t="s">
        <v>3161</v>
      </c>
      <c r="G834" s="0" t="s">
        <v>109</v>
      </c>
      <c r="H834" s="0" t="s">
        <v>7895</v>
      </c>
      <c r="I834" s="0" t="s">
        <v>7338</v>
      </c>
      <c r="J834" s="0" t="s">
        <v>1602</v>
      </c>
      <c r="K834" s="0" t="s">
        <v>7339</v>
      </c>
      <c r="L834" s="0" t="s">
        <v>7340</v>
      </c>
      <c r="M834" s="0" t="s">
        <v>7661</v>
      </c>
      <c r="N834" s="0" t="s">
        <v>7342</v>
      </c>
      <c r="P834" s="0" t="s">
        <v>229</v>
      </c>
      <c r="R834" s="0" t="s">
        <v>7343</v>
      </c>
      <c r="S834" s="0" t="s">
        <v>7344</v>
      </c>
      <c r="T834" s="0" t="s">
        <v>681</v>
      </c>
      <c r="V834" s="0" t="s">
        <v>34</v>
      </c>
      <c r="W834" s="0" t="s">
        <v>42</v>
      </c>
      <c r="Y834" s="0" t="s">
        <v>7346</v>
      </c>
      <c r="Z834" s="0" t="s">
        <v>7493</v>
      </c>
      <c r="AA834" s="0" t="s">
        <v>7348</v>
      </c>
      <c r="AB834" s="0" t="s">
        <v>231</v>
      </c>
      <c r="AC834" s="0" t="s">
        <v>7349</v>
      </c>
      <c r="AD834" s="0" t="s">
        <v>7514</v>
      </c>
      <c r="AE834" s="0" t="s">
        <v>7779</v>
      </c>
      <c r="AF834" s="0" t="s">
        <v>7374</v>
      </c>
      <c r="AG834" s="0" t="s">
        <v>230</v>
      </c>
    </row>
    <row r="835" customFormat="false" ht="15" hidden="false" customHeight="false" outlineLevel="0" collapsed="false">
      <c r="A835" s="0" t="s">
        <v>7336</v>
      </c>
      <c r="B835" s="0" t="s">
        <v>3162</v>
      </c>
      <c r="C835" s="0" t="s">
        <v>3163</v>
      </c>
      <c r="D835" s="0" t="s">
        <v>2431</v>
      </c>
      <c r="E835" s="0" t="s">
        <v>3164</v>
      </c>
      <c r="F835" s="0" t="s">
        <v>3157</v>
      </c>
      <c r="G835" s="0" t="s">
        <v>109</v>
      </c>
      <c r="H835" s="0" t="s">
        <v>7894</v>
      </c>
      <c r="I835" s="0" t="s">
        <v>7338</v>
      </c>
      <c r="J835" s="0" t="s">
        <v>1602</v>
      </c>
      <c r="K835" s="0" t="s">
        <v>7339</v>
      </c>
      <c r="L835" s="0" t="s">
        <v>7340</v>
      </c>
      <c r="M835" s="0" t="s">
        <v>7661</v>
      </c>
      <c r="N835" s="0" t="s">
        <v>7342</v>
      </c>
      <c r="P835" s="0" t="s">
        <v>229</v>
      </c>
      <c r="R835" s="0" t="s">
        <v>7343</v>
      </c>
      <c r="S835" s="0" t="s">
        <v>7344</v>
      </c>
      <c r="T835" s="0" t="s">
        <v>681</v>
      </c>
      <c r="V835" s="0" t="s">
        <v>34</v>
      </c>
      <c r="W835" s="0" t="s">
        <v>42</v>
      </c>
      <c r="Y835" s="0" t="s">
        <v>7346</v>
      </c>
      <c r="Z835" s="0" t="s">
        <v>7493</v>
      </c>
      <c r="AA835" s="0" t="s">
        <v>7348</v>
      </c>
      <c r="AB835" s="0" t="s">
        <v>231</v>
      </c>
      <c r="AC835" s="0" t="s">
        <v>7349</v>
      </c>
      <c r="AD835" s="0" t="s">
        <v>7514</v>
      </c>
      <c r="AE835" s="0" t="s">
        <v>7779</v>
      </c>
      <c r="AF835" s="0" t="s">
        <v>7374</v>
      </c>
      <c r="AG835" s="0" t="s">
        <v>230</v>
      </c>
    </row>
    <row r="836" customFormat="false" ht="15" hidden="false" customHeight="false" outlineLevel="0" collapsed="false">
      <c r="A836" s="0" t="s">
        <v>7336</v>
      </c>
      <c r="B836" s="0" t="s">
        <v>3165</v>
      </c>
      <c r="C836" s="0" t="s">
        <v>3166</v>
      </c>
      <c r="D836" s="0" t="s">
        <v>2431</v>
      </c>
      <c r="E836" s="0" t="s">
        <v>3167</v>
      </c>
      <c r="F836" s="0" t="s">
        <v>3168</v>
      </c>
      <c r="G836" s="0" t="s">
        <v>109</v>
      </c>
      <c r="H836" s="0" t="s">
        <v>7896</v>
      </c>
      <c r="I836" s="0" t="s">
        <v>7338</v>
      </c>
      <c r="J836" s="0" t="s">
        <v>1602</v>
      </c>
      <c r="K836" s="0" t="s">
        <v>7339</v>
      </c>
      <c r="L836" s="0" t="s">
        <v>7340</v>
      </c>
      <c r="M836" s="0" t="s">
        <v>7661</v>
      </c>
      <c r="N836" s="0" t="s">
        <v>7342</v>
      </c>
      <c r="P836" s="0" t="s">
        <v>229</v>
      </c>
      <c r="Q836" s="0" t="s">
        <v>7354</v>
      </c>
      <c r="R836" s="0" t="s">
        <v>7824</v>
      </c>
      <c r="S836" s="0" t="s">
        <v>7344</v>
      </c>
      <c r="T836" s="0" t="s">
        <v>58</v>
      </c>
      <c r="V836" s="0" t="s">
        <v>55</v>
      </c>
      <c r="W836" s="0" t="s">
        <v>57</v>
      </c>
      <c r="X836" s="0" t="s">
        <v>7355</v>
      </c>
      <c r="Y836" s="0" t="s">
        <v>7667</v>
      </c>
      <c r="Z836" s="0" t="s">
        <v>7825</v>
      </c>
      <c r="AB836" s="0" t="s">
        <v>344</v>
      </c>
      <c r="AC836" s="0" t="s">
        <v>7349</v>
      </c>
      <c r="AE836" s="0" t="s">
        <v>7826</v>
      </c>
      <c r="AF836" s="0" t="s">
        <v>7374</v>
      </c>
      <c r="AG836" s="0" t="s">
        <v>230</v>
      </c>
    </row>
    <row r="837" customFormat="false" ht="15" hidden="false" customHeight="false" outlineLevel="0" collapsed="false">
      <c r="A837" s="0" t="s">
        <v>7336</v>
      </c>
      <c r="B837" s="0" t="s">
        <v>3169</v>
      </c>
      <c r="C837" s="0" t="s">
        <v>3170</v>
      </c>
      <c r="D837" s="0" t="s">
        <v>2431</v>
      </c>
      <c r="E837" s="0" t="s">
        <v>3171</v>
      </c>
      <c r="F837" s="0" t="s">
        <v>3172</v>
      </c>
      <c r="G837" s="0" t="s">
        <v>109</v>
      </c>
      <c r="H837" s="0" t="s">
        <v>7897</v>
      </c>
      <c r="I837" s="0" t="s">
        <v>7338</v>
      </c>
      <c r="J837" s="0" t="s">
        <v>1602</v>
      </c>
      <c r="K837" s="0" t="s">
        <v>7339</v>
      </c>
      <c r="L837" s="0" t="s">
        <v>7340</v>
      </c>
      <c r="M837" s="0" t="s">
        <v>7661</v>
      </c>
      <c r="N837" s="0" t="s">
        <v>7342</v>
      </c>
      <c r="P837" s="0" t="s">
        <v>229</v>
      </c>
      <c r="Q837" s="0" t="s">
        <v>7354</v>
      </c>
      <c r="R837" s="0" t="s">
        <v>7824</v>
      </c>
      <c r="S837" s="0" t="s">
        <v>7344</v>
      </c>
      <c r="T837" s="0" t="s">
        <v>58</v>
      </c>
      <c r="V837" s="0" t="s">
        <v>55</v>
      </c>
      <c r="W837" s="0" t="s">
        <v>57</v>
      </c>
      <c r="X837" s="0" t="s">
        <v>7355</v>
      </c>
      <c r="Y837" s="0" t="s">
        <v>7667</v>
      </c>
      <c r="Z837" s="0" t="s">
        <v>7825</v>
      </c>
      <c r="AB837" s="0" t="s">
        <v>344</v>
      </c>
      <c r="AC837" s="0" t="s">
        <v>7349</v>
      </c>
      <c r="AE837" s="0" t="s">
        <v>7826</v>
      </c>
      <c r="AF837" s="0" t="s">
        <v>7374</v>
      </c>
      <c r="AG837" s="0" t="s">
        <v>230</v>
      </c>
    </row>
    <row r="838" customFormat="false" ht="15" hidden="false" customHeight="false" outlineLevel="0" collapsed="false">
      <c r="A838" s="0" t="s">
        <v>7336</v>
      </c>
      <c r="B838" s="0" t="s">
        <v>3173</v>
      </c>
      <c r="C838" s="0" t="s">
        <v>3174</v>
      </c>
      <c r="D838" s="0" t="s">
        <v>2431</v>
      </c>
      <c r="E838" s="0" t="s">
        <v>3175</v>
      </c>
      <c r="F838" s="0" t="s">
        <v>3168</v>
      </c>
      <c r="G838" s="0" t="s">
        <v>109</v>
      </c>
      <c r="H838" s="0" t="s">
        <v>7896</v>
      </c>
      <c r="I838" s="0" t="s">
        <v>7338</v>
      </c>
      <c r="J838" s="0" t="s">
        <v>1602</v>
      </c>
      <c r="K838" s="0" t="s">
        <v>7339</v>
      </c>
      <c r="L838" s="0" t="s">
        <v>7340</v>
      </c>
      <c r="M838" s="0" t="s">
        <v>7661</v>
      </c>
      <c r="N838" s="0" t="s">
        <v>7342</v>
      </c>
      <c r="P838" s="0" t="s">
        <v>229</v>
      </c>
      <c r="Q838" s="0" t="s">
        <v>7354</v>
      </c>
      <c r="R838" s="0" t="s">
        <v>7824</v>
      </c>
      <c r="S838" s="0" t="s">
        <v>7344</v>
      </c>
      <c r="T838" s="0" t="s">
        <v>58</v>
      </c>
      <c r="V838" s="0" t="s">
        <v>55</v>
      </c>
      <c r="W838" s="0" t="s">
        <v>57</v>
      </c>
      <c r="X838" s="0" t="s">
        <v>7355</v>
      </c>
      <c r="Y838" s="0" t="s">
        <v>7667</v>
      </c>
      <c r="Z838" s="0" t="s">
        <v>7825</v>
      </c>
      <c r="AB838" s="0" t="s">
        <v>344</v>
      </c>
      <c r="AC838" s="0" t="s">
        <v>7349</v>
      </c>
      <c r="AE838" s="0" t="s">
        <v>7826</v>
      </c>
      <c r="AF838" s="0" t="s">
        <v>7374</v>
      </c>
      <c r="AG838" s="0" t="s">
        <v>230</v>
      </c>
    </row>
    <row r="839" customFormat="false" ht="15" hidden="false" customHeight="false" outlineLevel="0" collapsed="false">
      <c r="A839" s="0" t="s">
        <v>7336</v>
      </c>
      <c r="B839" s="0" t="s">
        <v>3176</v>
      </c>
      <c r="C839" s="0" t="s">
        <v>3177</v>
      </c>
      <c r="D839" s="0" t="s">
        <v>2431</v>
      </c>
      <c r="E839" s="0" t="s">
        <v>3178</v>
      </c>
      <c r="F839" s="0" t="s">
        <v>2510</v>
      </c>
      <c r="G839" s="0" t="s">
        <v>111</v>
      </c>
      <c r="H839" s="0" t="s">
        <v>7791</v>
      </c>
      <c r="I839" s="0" t="s">
        <v>7338</v>
      </c>
      <c r="J839" s="0" t="s">
        <v>1602</v>
      </c>
      <c r="K839" s="0" t="s">
        <v>7339</v>
      </c>
      <c r="L839" s="0" t="s">
        <v>7340</v>
      </c>
      <c r="M839" s="0" t="s">
        <v>7661</v>
      </c>
      <c r="N839" s="0" t="s">
        <v>7342</v>
      </c>
      <c r="P839" s="0" t="s">
        <v>229</v>
      </c>
      <c r="Q839" s="0" t="s">
        <v>7354</v>
      </c>
      <c r="R839" s="0" t="s">
        <v>7824</v>
      </c>
      <c r="S839" s="0" t="s">
        <v>7344</v>
      </c>
      <c r="T839" s="0" t="s">
        <v>58</v>
      </c>
      <c r="V839" s="0" t="s">
        <v>55</v>
      </c>
      <c r="W839" s="0" t="s">
        <v>57</v>
      </c>
      <c r="X839" s="0" t="s">
        <v>7355</v>
      </c>
      <c r="Y839" s="0" t="s">
        <v>7667</v>
      </c>
      <c r="Z839" s="0" t="s">
        <v>7825</v>
      </c>
      <c r="AB839" s="0" t="s">
        <v>344</v>
      </c>
      <c r="AC839" s="0" t="s">
        <v>7349</v>
      </c>
      <c r="AE839" s="0" t="s">
        <v>7826</v>
      </c>
      <c r="AF839" s="0" t="s">
        <v>7374</v>
      </c>
      <c r="AG839" s="0" t="s">
        <v>230</v>
      </c>
    </row>
    <row r="840" customFormat="false" ht="15" hidden="false" customHeight="false" outlineLevel="0" collapsed="false">
      <c r="A840" s="0" t="s">
        <v>7336</v>
      </c>
      <c r="B840" s="0" t="s">
        <v>3179</v>
      </c>
      <c r="C840" s="0" t="s">
        <v>3180</v>
      </c>
      <c r="D840" s="0" t="s">
        <v>2431</v>
      </c>
      <c r="E840" s="0" t="s">
        <v>3181</v>
      </c>
      <c r="F840" s="0" t="s">
        <v>2514</v>
      </c>
      <c r="G840" s="0" t="s">
        <v>111</v>
      </c>
      <c r="H840" s="0" t="s">
        <v>7792</v>
      </c>
      <c r="I840" s="0" t="s">
        <v>7338</v>
      </c>
      <c r="J840" s="0" t="s">
        <v>1602</v>
      </c>
      <c r="K840" s="0" t="s">
        <v>7339</v>
      </c>
      <c r="L840" s="0" t="s">
        <v>7340</v>
      </c>
      <c r="M840" s="0" t="s">
        <v>7661</v>
      </c>
      <c r="N840" s="0" t="s">
        <v>7342</v>
      </c>
      <c r="P840" s="0" t="s">
        <v>229</v>
      </c>
      <c r="Q840" s="0" t="s">
        <v>7354</v>
      </c>
      <c r="R840" s="0" t="s">
        <v>7824</v>
      </c>
      <c r="S840" s="0" t="s">
        <v>7344</v>
      </c>
      <c r="T840" s="0" t="s">
        <v>58</v>
      </c>
      <c r="V840" s="0" t="s">
        <v>55</v>
      </c>
      <c r="W840" s="0" t="s">
        <v>57</v>
      </c>
      <c r="X840" s="0" t="s">
        <v>7355</v>
      </c>
      <c r="Y840" s="0" t="s">
        <v>7667</v>
      </c>
      <c r="Z840" s="0" t="s">
        <v>7825</v>
      </c>
      <c r="AB840" s="0" t="s">
        <v>344</v>
      </c>
      <c r="AC840" s="0" t="s">
        <v>7349</v>
      </c>
      <c r="AE840" s="0" t="s">
        <v>7826</v>
      </c>
      <c r="AF840" s="0" t="s">
        <v>7374</v>
      </c>
      <c r="AG840" s="0" t="s">
        <v>230</v>
      </c>
    </row>
    <row r="841" customFormat="false" ht="15" hidden="false" customHeight="false" outlineLevel="0" collapsed="false">
      <c r="A841" s="0" t="s">
        <v>7336</v>
      </c>
      <c r="B841" s="0" t="s">
        <v>3182</v>
      </c>
      <c r="C841" s="0" t="s">
        <v>3183</v>
      </c>
      <c r="D841" s="0" t="s">
        <v>2431</v>
      </c>
      <c r="E841" s="0" t="s">
        <v>3184</v>
      </c>
      <c r="F841" s="0" t="s">
        <v>2510</v>
      </c>
      <c r="G841" s="0" t="s">
        <v>111</v>
      </c>
      <c r="H841" s="0" t="s">
        <v>7791</v>
      </c>
      <c r="I841" s="0" t="s">
        <v>7338</v>
      </c>
      <c r="J841" s="0" t="s">
        <v>1602</v>
      </c>
      <c r="K841" s="0" t="s">
        <v>7339</v>
      </c>
      <c r="L841" s="0" t="s">
        <v>7340</v>
      </c>
      <c r="M841" s="0" t="s">
        <v>7661</v>
      </c>
      <c r="N841" s="0" t="s">
        <v>7342</v>
      </c>
      <c r="P841" s="0" t="s">
        <v>229</v>
      </c>
      <c r="Q841" s="0" t="s">
        <v>7354</v>
      </c>
      <c r="R841" s="0" t="s">
        <v>7824</v>
      </c>
      <c r="S841" s="0" t="s">
        <v>7344</v>
      </c>
      <c r="T841" s="0" t="s">
        <v>58</v>
      </c>
      <c r="V841" s="0" t="s">
        <v>55</v>
      </c>
      <c r="W841" s="0" t="s">
        <v>57</v>
      </c>
      <c r="X841" s="0" t="s">
        <v>7355</v>
      </c>
      <c r="Y841" s="0" t="s">
        <v>7667</v>
      </c>
      <c r="Z841" s="0" t="s">
        <v>7825</v>
      </c>
      <c r="AB841" s="0" t="s">
        <v>344</v>
      </c>
      <c r="AC841" s="0" t="s">
        <v>7349</v>
      </c>
      <c r="AE841" s="0" t="s">
        <v>7826</v>
      </c>
      <c r="AF841" s="0" t="s">
        <v>7374</v>
      </c>
      <c r="AG841" s="0" t="s">
        <v>230</v>
      </c>
    </row>
    <row r="842" customFormat="false" ht="15" hidden="false" customHeight="false" outlineLevel="0" collapsed="false">
      <c r="A842" s="0" t="s">
        <v>7336</v>
      </c>
      <c r="B842" s="0" t="s">
        <v>3185</v>
      </c>
      <c r="C842" s="0" t="s">
        <v>3186</v>
      </c>
      <c r="D842" s="0" t="s">
        <v>259</v>
      </c>
      <c r="E842" s="0" t="s">
        <v>3187</v>
      </c>
      <c r="F842" s="0" t="s">
        <v>3188</v>
      </c>
      <c r="G842" s="0" t="s">
        <v>116</v>
      </c>
      <c r="H842" s="0" t="s">
        <v>7898</v>
      </c>
      <c r="I842" s="0" t="s">
        <v>7338</v>
      </c>
      <c r="J842" s="0" t="s">
        <v>1602</v>
      </c>
      <c r="K842" s="0" t="s">
        <v>7339</v>
      </c>
      <c r="L842" s="0" t="s">
        <v>7340</v>
      </c>
      <c r="M842" s="0" t="s">
        <v>7661</v>
      </c>
      <c r="N842" s="0" t="s">
        <v>7342</v>
      </c>
      <c r="O842" s="0" t="s">
        <v>682</v>
      </c>
      <c r="P842" s="0" t="s">
        <v>229</v>
      </c>
      <c r="Q842" s="0" t="s">
        <v>7354</v>
      </c>
      <c r="R842" s="0" t="s">
        <v>7435</v>
      </c>
      <c r="S842" s="0" t="s">
        <v>7344</v>
      </c>
      <c r="T842" s="0" t="s">
        <v>260</v>
      </c>
      <c r="U842" s="0" t="s">
        <v>7369</v>
      </c>
      <c r="V842" s="0" t="s">
        <v>73</v>
      </c>
      <c r="W842" s="0" t="s">
        <v>73</v>
      </c>
      <c r="X842" s="0" t="s">
        <v>7355</v>
      </c>
      <c r="Y842" s="0" t="s">
        <v>7459</v>
      </c>
      <c r="Z842" s="0" t="s">
        <v>7668</v>
      </c>
      <c r="AA842" s="0" t="s">
        <v>7438</v>
      </c>
      <c r="AB842" s="0" t="s">
        <v>344</v>
      </c>
      <c r="AC842" s="0" t="s">
        <v>7629</v>
      </c>
      <c r="AD842" s="0" t="s">
        <v>7899</v>
      </c>
      <c r="AE842" s="0" t="s">
        <v>7900</v>
      </c>
      <c r="AF842" s="0" t="s">
        <v>7374</v>
      </c>
      <c r="AG842" s="0" t="s">
        <v>3189</v>
      </c>
    </row>
    <row r="843" customFormat="false" ht="15" hidden="false" customHeight="false" outlineLevel="0" collapsed="false">
      <c r="A843" s="0" t="s">
        <v>7336</v>
      </c>
      <c r="B843" s="0" t="s">
        <v>3190</v>
      </c>
      <c r="C843" s="0" t="s">
        <v>3191</v>
      </c>
      <c r="D843" s="0" t="s">
        <v>259</v>
      </c>
      <c r="E843" s="0" t="s">
        <v>3192</v>
      </c>
      <c r="F843" s="0" t="s">
        <v>3193</v>
      </c>
      <c r="G843" s="0" t="s">
        <v>116</v>
      </c>
      <c r="H843" s="0" t="s">
        <v>7901</v>
      </c>
      <c r="I843" s="0" t="s">
        <v>7338</v>
      </c>
      <c r="J843" s="0" t="s">
        <v>1602</v>
      </c>
      <c r="K843" s="0" t="s">
        <v>7339</v>
      </c>
      <c r="L843" s="0" t="s">
        <v>7340</v>
      </c>
      <c r="M843" s="0" t="s">
        <v>7661</v>
      </c>
      <c r="N843" s="0" t="s">
        <v>7342</v>
      </c>
      <c r="O843" s="0" t="s">
        <v>682</v>
      </c>
      <c r="P843" s="0" t="s">
        <v>229</v>
      </c>
      <c r="Q843" s="0" t="s">
        <v>7354</v>
      </c>
      <c r="R843" s="0" t="s">
        <v>7435</v>
      </c>
      <c r="S843" s="0" t="s">
        <v>7344</v>
      </c>
      <c r="T843" s="0" t="s">
        <v>260</v>
      </c>
      <c r="U843" s="0" t="s">
        <v>7369</v>
      </c>
      <c r="V843" s="0" t="s">
        <v>73</v>
      </c>
      <c r="W843" s="0" t="s">
        <v>73</v>
      </c>
      <c r="X843" s="0" t="s">
        <v>7355</v>
      </c>
      <c r="Y843" s="0" t="s">
        <v>7459</v>
      </c>
      <c r="Z843" s="0" t="s">
        <v>7668</v>
      </c>
      <c r="AA843" s="0" t="s">
        <v>7438</v>
      </c>
      <c r="AB843" s="0" t="s">
        <v>344</v>
      </c>
      <c r="AC843" s="0" t="s">
        <v>7629</v>
      </c>
      <c r="AD843" s="0" t="s">
        <v>7899</v>
      </c>
      <c r="AE843" s="0" t="s">
        <v>7900</v>
      </c>
      <c r="AF843" s="0" t="s">
        <v>7374</v>
      </c>
      <c r="AG843" s="0" t="s">
        <v>3189</v>
      </c>
    </row>
    <row r="844" customFormat="false" ht="15" hidden="false" customHeight="false" outlineLevel="0" collapsed="false">
      <c r="A844" s="0" t="s">
        <v>7336</v>
      </c>
      <c r="B844" s="0" t="s">
        <v>3194</v>
      </c>
      <c r="C844" s="0" t="s">
        <v>3195</v>
      </c>
      <c r="D844" s="0" t="s">
        <v>259</v>
      </c>
      <c r="E844" s="0" t="s">
        <v>3196</v>
      </c>
      <c r="F844" s="0" t="s">
        <v>3197</v>
      </c>
      <c r="G844" s="0" t="s">
        <v>118</v>
      </c>
      <c r="H844" s="0" t="s">
        <v>7902</v>
      </c>
      <c r="I844" s="0" t="s">
        <v>7338</v>
      </c>
      <c r="J844" s="0" t="s">
        <v>1602</v>
      </c>
      <c r="K844" s="0" t="s">
        <v>7339</v>
      </c>
      <c r="L844" s="0" t="s">
        <v>7340</v>
      </c>
      <c r="M844" s="0" t="s">
        <v>7661</v>
      </c>
      <c r="N844" s="0" t="s">
        <v>7342</v>
      </c>
      <c r="O844" s="0" t="s">
        <v>682</v>
      </c>
      <c r="P844" s="0" t="s">
        <v>229</v>
      </c>
      <c r="Q844" s="0" t="s">
        <v>7354</v>
      </c>
      <c r="S844" s="0" t="s">
        <v>7344</v>
      </c>
      <c r="T844" s="0" t="s">
        <v>58</v>
      </c>
      <c r="U844" s="0" t="s">
        <v>7369</v>
      </c>
      <c r="V844" s="0" t="s">
        <v>55</v>
      </c>
      <c r="W844" s="0" t="s">
        <v>55</v>
      </c>
      <c r="X844" s="0" t="s">
        <v>7355</v>
      </c>
      <c r="Z844" s="0" t="s">
        <v>7496</v>
      </c>
      <c r="AA844" s="0" t="s">
        <v>682</v>
      </c>
      <c r="AB844" s="0" t="s">
        <v>344</v>
      </c>
      <c r="AC844" s="0" t="s">
        <v>7629</v>
      </c>
      <c r="AD844" s="0" t="s">
        <v>682</v>
      </c>
      <c r="AE844" s="0" t="s">
        <v>7826</v>
      </c>
      <c r="AF844" s="0" t="s">
        <v>7374</v>
      </c>
      <c r="AG844" s="0" t="s">
        <v>3198</v>
      </c>
    </row>
    <row r="845" customFormat="false" ht="15" hidden="false" customHeight="false" outlineLevel="0" collapsed="false">
      <c r="A845" s="0" t="s">
        <v>7336</v>
      </c>
      <c r="B845" s="0" t="s">
        <v>3199</v>
      </c>
      <c r="C845" s="0" t="s">
        <v>3200</v>
      </c>
      <c r="D845" s="0" t="s">
        <v>259</v>
      </c>
      <c r="E845" s="0" t="s">
        <v>3201</v>
      </c>
      <c r="F845" s="0" t="s">
        <v>3197</v>
      </c>
      <c r="G845" s="0" t="s">
        <v>118</v>
      </c>
      <c r="H845" s="0" t="s">
        <v>7902</v>
      </c>
      <c r="I845" s="0" t="s">
        <v>7338</v>
      </c>
      <c r="J845" s="0" t="s">
        <v>1602</v>
      </c>
      <c r="K845" s="0" t="s">
        <v>7339</v>
      </c>
      <c r="L845" s="0" t="s">
        <v>7340</v>
      </c>
      <c r="M845" s="0" t="s">
        <v>7661</v>
      </c>
      <c r="N845" s="0" t="s">
        <v>7342</v>
      </c>
      <c r="O845" s="0" t="s">
        <v>682</v>
      </c>
      <c r="P845" s="0" t="s">
        <v>229</v>
      </c>
      <c r="Q845" s="0" t="s">
        <v>7354</v>
      </c>
      <c r="R845" s="0" t="s">
        <v>7343</v>
      </c>
      <c r="S845" s="0" t="s">
        <v>7344</v>
      </c>
      <c r="T845" s="0" t="s">
        <v>260</v>
      </c>
      <c r="U845" s="0" t="s">
        <v>7369</v>
      </c>
      <c r="V845" s="0" t="s">
        <v>55</v>
      </c>
      <c r="W845" s="0" t="s">
        <v>55</v>
      </c>
      <c r="X845" s="0" t="s">
        <v>7355</v>
      </c>
      <c r="Y845" s="0" t="s">
        <v>7756</v>
      </c>
      <c r="Z845" s="0" t="s">
        <v>7903</v>
      </c>
      <c r="AA845" s="0" t="s">
        <v>7628</v>
      </c>
      <c r="AB845" s="0" t="s">
        <v>262</v>
      </c>
      <c r="AC845" s="0" t="s">
        <v>7629</v>
      </c>
      <c r="AD845" s="0" t="s">
        <v>7899</v>
      </c>
      <c r="AE845" s="0" t="s">
        <v>7904</v>
      </c>
      <c r="AF845" s="0" t="s">
        <v>7374</v>
      </c>
      <c r="AG845" s="0" t="s">
        <v>3189</v>
      </c>
    </row>
    <row r="846" customFormat="false" ht="15" hidden="false" customHeight="false" outlineLevel="0" collapsed="false">
      <c r="A846" s="0" t="s">
        <v>7336</v>
      </c>
      <c r="B846" s="0" t="s">
        <v>3202</v>
      </c>
      <c r="C846" s="0" t="s">
        <v>3203</v>
      </c>
      <c r="D846" s="0" t="s">
        <v>259</v>
      </c>
      <c r="E846" s="0" t="s">
        <v>3204</v>
      </c>
      <c r="F846" s="0" t="s">
        <v>3205</v>
      </c>
      <c r="G846" s="0" t="s">
        <v>118</v>
      </c>
      <c r="H846" s="0" t="s">
        <v>7905</v>
      </c>
      <c r="I846" s="0" t="s">
        <v>7338</v>
      </c>
      <c r="J846" s="0" t="s">
        <v>1602</v>
      </c>
      <c r="K846" s="0" t="s">
        <v>7339</v>
      </c>
      <c r="L846" s="0" t="s">
        <v>7340</v>
      </c>
      <c r="M846" s="0" t="s">
        <v>7661</v>
      </c>
      <c r="N846" s="0" t="s">
        <v>7342</v>
      </c>
      <c r="O846" s="0" t="s">
        <v>682</v>
      </c>
      <c r="P846" s="0" t="s">
        <v>229</v>
      </c>
      <c r="Q846" s="0" t="s">
        <v>7354</v>
      </c>
      <c r="S846" s="0" t="s">
        <v>7344</v>
      </c>
      <c r="T846" s="0" t="s">
        <v>58</v>
      </c>
      <c r="U846" s="0" t="s">
        <v>7369</v>
      </c>
      <c r="V846" s="0" t="s">
        <v>55</v>
      </c>
      <c r="W846" s="0" t="s">
        <v>55</v>
      </c>
      <c r="X846" s="0" t="s">
        <v>7355</v>
      </c>
      <c r="Z846" s="0" t="s">
        <v>7496</v>
      </c>
      <c r="AA846" s="0" t="s">
        <v>682</v>
      </c>
      <c r="AB846" s="0" t="s">
        <v>344</v>
      </c>
      <c r="AC846" s="0" t="s">
        <v>7629</v>
      </c>
      <c r="AD846" s="0" t="s">
        <v>682</v>
      </c>
      <c r="AE846" s="0" t="s">
        <v>7826</v>
      </c>
      <c r="AF846" s="0" t="s">
        <v>7374</v>
      </c>
      <c r="AG846" s="0" t="s">
        <v>3198</v>
      </c>
    </row>
    <row r="847" customFormat="false" ht="15" hidden="false" customHeight="false" outlineLevel="0" collapsed="false">
      <c r="A847" s="0" t="s">
        <v>7336</v>
      </c>
      <c r="B847" s="0" t="s">
        <v>3206</v>
      </c>
      <c r="C847" s="0" t="s">
        <v>3207</v>
      </c>
      <c r="D847" s="0" t="s">
        <v>259</v>
      </c>
      <c r="E847" s="0" t="s">
        <v>3208</v>
      </c>
      <c r="F847" s="0" t="s">
        <v>3205</v>
      </c>
      <c r="G847" s="0" t="s">
        <v>118</v>
      </c>
      <c r="H847" s="0" t="s">
        <v>7905</v>
      </c>
      <c r="I847" s="0" t="s">
        <v>7338</v>
      </c>
      <c r="J847" s="0" t="s">
        <v>1602</v>
      </c>
      <c r="K847" s="0" t="s">
        <v>7339</v>
      </c>
      <c r="L847" s="0" t="s">
        <v>7340</v>
      </c>
      <c r="M847" s="0" t="s">
        <v>7661</v>
      </c>
      <c r="N847" s="0" t="s">
        <v>7342</v>
      </c>
      <c r="O847" s="0" t="s">
        <v>682</v>
      </c>
      <c r="P847" s="0" t="s">
        <v>229</v>
      </c>
      <c r="Q847" s="0" t="s">
        <v>7354</v>
      </c>
      <c r="R847" s="0" t="s">
        <v>7343</v>
      </c>
      <c r="S847" s="0" t="s">
        <v>7344</v>
      </c>
      <c r="T847" s="0" t="s">
        <v>260</v>
      </c>
      <c r="U847" s="0" t="s">
        <v>7369</v>
      </c>
      <c r="V847" s="0" t="s">
        <v>55</v>
      </c>
      <c r="W847" s="0" t="s">
        <v>55</v>
      </c>
      <c r="X847" s="0" t="s">
        <v>7355</v>
      </c>
      <c r="Y847" s="0" t="s">
        <v>7756</v>
      </c>
      <c r="Z847" s="0" t="s">
        <v>7903</v>
      </c>
      <c r="AA847" s="0" t="s">
        <v>7628</v>
      </c>
      <c r="AB847" s="0" t="s">
        <v>262</v>
      </c>
      <c r="AC847" s="0" t="s">
        <v>7629</v>
      </c>
      <c r="AD847" s="0" t="s">
        <v>7899</v>
      </c>
      <c r="AE847" s="0" t="s">
        <v>7904</v>
      </c>
      <c r="AF847" s="0" t="s">
        <v>7374</v>
      </c>
      <c r="AG847" s="0" t="s">
        <v>3189</v>
      </c>
    </row>
    <row r="848" customFormat="false" ht="15" hidden="false" customHeight="false" outlineLevel="0" collapsed="false">
      <c r="A848" s="0" t="s">
        <v>7336</v>
      </c>
      <c r="B848" s="0" t="s">
        <v>3209</v>
      </c>
      <c r="C848" s="0" t="s">
        <v>3210</v>
      </c>
      <c r="D848" s="0" t="s">
        <v>300</v>
      </c>
      <c r="E848" s="0" t="s">
        <v>3211</v>
      </c>
      <c r="F848" s="0" t="s">
        <v>3212</v>
      </c>
      <c r="G848" s="0" t="s">
        <v>138</v>
      </c>
      <c r="H848" s="0" t="s">
        <v>7906</v>
      </c>
      <c r="I848" s="0" t="s">
        <v>7338</v>
      </c>
      <c r="J848" s="0" t="s">
        <v>1602</v>
      </c>
      <c r="K848" s="0" t="s">
        <v>7339</v>
      </c>
      <c r="L848" s="0" t="s">
        <v>7340</v>
      </c>
      <c r="M848" s="0" t="s">
        <v>7661</v>
      </c>
      <c r="N848" s="0" t="s">
        <v>7342</v>
      </c>
      <c r="O848" s="0" t="s">
        <v>7360</v>
      </c>
      <c r="P848" s="0" t="s">
        <v>236</v>
      </c>
      <c r="Q848" s="0" t="s">
        <v>7354</v>
      </c>
      <c r="R848" s="0" t="s">
        <v>7343</v>
      </c>
      <c r="S848" s="0" t="s">
        <v>7344</v>
      </c>
      <c r="T848" s="0" t="s">
        <v>260</v>
      </c>
      <c r="U848" s="0" t="s">
        <v>7369</v>
      </c>
      <c r="V848" s="0" t="s">
        <v>34</v>
      </c>
      <c r="W848" s="0" t="s">
        <v>37</v>
      </c>
      <c r="X848" s="0" t="s">
        <v>7355</v>
      </c>
      <c r="Y848" s="0" t="s">
        <v>7346</v>
      </c>
      <c r="Z848" s="0" t="s">
        <v>7370</v>
      </c>
      <c r="AA848" s="0" t="s">
        <v>7385</v>
      </c>
      <c r="AB848" s="0" t="s">
        <v>262</v>
      </c>
      <c r="AC848" s="0" t="s">
        <v>7349</v>
      </c>
      <c r="AD848" s="0" t="s">
        <v>260</v>
      </c>
      <c r="AE848" s="0" t="s">
        <v>681</v>
      </c>
      <c r="AG848" s="0" t="s">
        <v>230</v>
      </c>
    </row>
    <row r="849" customFormat="false" ht="15" hidden="false" customHeight="false" outlineLevel="0" collapsed="false">
      <c r="A849" s="0" t="s">
        <v>7336</v>
      </c>
      <c r="B849" s="0" t="s">
        <v>3213</v>
      </c>
      <c r="C849" s="0" t="s">
        <v>3214</v>
      </c>
      <c r="D849" s="0" t="s">
        <v>300</v>
      </c>
      <c r="E849" s="0" t="s">
        <v>3215</v>
      </c>
      <c r="F849" s="0" t="s">
        <v>3216</v>
      </c>
      <c r="G849" s="0" t="s">
        <v>138</v>
      </c>
      <c r="H849" s="0" t="s">
        <v>7907</v>
      </c>
      <c r="I849" s="0" t="s">
        <v>7338</v>
      </c>
      <c r="J849" s="0" t="s">
        <v>1602</v>
      </c>
      <c r="K849" s="0" t="s">
        <v>7339</v>
      </c>
      <c r="L849" s="0" t="s">
        <v>7340</v>
      </c>
      <c r="M849" s="0" t="s">
        <v>7661</v>
      </c>
      <c r="N849" s="0" t="s">
        <v>7342</v>
      </c>
      <c r="O849" s="0" t="s">
        <v>7360</v>
      </c>
      <c r="P849" s="0" t="s">
        <v>236</v>
      </c>
      <c r="Q849" s="0" t="s">
        <v>7354</v>
      </c>
      <c r="R849" s="0" t="s">
        <v>7343</v>
      </c>
      <c r="S849" s="0" t="s">
        <v>7344</v>
      </c>
      <c r="T849" s="0" t="s">
        <v>260</v>
      </c>
      <c r="U849" s="0" t="s">
        <v>7369</v>
      </c>
      <c r="V849" s="0" t="s">
        <v>34</v>
      </c>
      <c r="W849" s="0" t="s">
        <v>37</v>
      </c>
      <c r="X849" s="0" t="s">
        <v>7355</v>
      </c>
      <c r="Y849" s="0" t="s">
        <v>7346</v>
      </c>
      <c r="Z849" s="0" t="s">
        <v>7370</v>
      </c>
      <c r="AA849" s="0" t="s">
        <v>7385</v>
      </c>
      <c r="AB849" s="0" t="s">
        <v>262</v>
      </c>
      <c r="AC849" s="0" t="s">
        <v>7349</v>
      </c>
      <c r="AD849" s="0" t="s">
        <v>260</v>
      </c>
      <c r="AE849" s="0" t="s">
        <v>681</v>
      </c>
      <c r="AG849" s="0" t="s">
        <v>230</v>
      </c>
    </row>
    <row r="850" customFormat="false" ht="15" hidden="false" customHeight="false" outlineLevel="0" collapsed="false">
      <c r="A850" s="0" t="s">
        <v>7336</v>
      </c>
      <c r="B850" s="0" t="s">
        <v>3217</v>
      </c>
      <c r="C850" s="0" t="s">
        <v>3218</v>
      </c>
      <c r="D850" s="0" t="s">
        <v>300</v>
      </c>
      <c r="E850" s="0" t="s">
        <v>3219</v>
      </c>
      <c r="F850" s="0" t="s">
        <v>3220</v>
      </c>
      <c r="G850" s="0" t="s">
        <v>142</v>
      </c>
      <c r="H850" s="0" t="s">
        <v>7908</v>
      </c>
      <c r="I850" s="0" t="s">
        <v>7338</v>
      </c>
      <c r="J850" s="0" t="s">
        <v>1602</v>
      </c>
      <c r="K850" s="0" t="s">
        <v>7339</v>
      </c>
      <c r="L850" s="0" t="s">
        <v>7340</v>
      </c>
      <c r="M850" s="0" t="s">
        <v>7661</v>
      </c>
      <c r="N850" s="0" t="s">
        <v>7342</v>
      </c>
      <c r="O850" s="0" t="s">
        <v>7360</v>
      </c>
      <c r="P850" s="0" t="s">
        <v>236</v>
      </c>
      <c r="Q850" s="0" t="s">
        <v>7354</v>
      </c>
      <c r="R850" s="0" t="s">
        <v>7343</v>
      </c>
      <c r="S850" s="0" t="s">
        <v>7344</v>
      </c>
      <c r="T850" s="0" t="s">
        <v>260</v>
      </c>
      <c r="U850" s="0" t="s">
        <v>7369</v>
      </c>
      <c r="V850" s="0" t="s">
        <v>34</v>
      </c>
      <c r="W850" s="0" t="s">
        <v>45</v>
      </c>
      <c r="X850" s="0" t="s">
        <v>7355</v>
      </c>
      <c r="Y850" s="0" t="s">
        <v>7346</v>
      </c>
      <c r="Z850" s="0" t="s">
        <v>7370</v>
      </c>
      <c r="AA850" s="0" t="s">
        <v>7385</v>
      </c>
      <c r="AB850" s="0" t="s">
        <v>262</v>
      </c>
      <c r="AC850" s="0" t="s">
        <v>7629</v>
      </c>
      <c r="AD850" s="0" t="s">
        <v>260</v>
      </c>
      <c r="AE850" s="0" t="s">
        <v>681</v>
      </c>
      <c r="AG850" s="0" t="s">
        <v>230</v>
      </c>
    </row>
    <row r="851" customFormat="false" ht="15" hidden="false" customHeight="false" outlineLevel="0" collapsed="false">
      <c r="A851" s="0" t="s">
        <v>7336</v>
      </c>
      <c r="B851" s="0" t="s">
        <v>3221</v>
      </c>
      <c r="C851" s="0" t="s">
        <v>3222</v>
      </c>
      <c r="D851" s="0" t="s">
        <v>300</v>
      </c>
      <c r="E851" s="0" t="s">
        <v>3223</v>
      </c>
      <c r="F851" s="0" t="s">
        <v>3220</v>
      </c>
      <c r="G851" s="0" t="s">
        <v>142</v>
      </c>
      <c r="H851" s="0" t="s">
        <v>7908</v>
      </c>
      <c r="I851" s="0" t="s">
        <v>7338</v>
      </c>
      <c r="J851" s="0" t="s">
        <v>1602</v>
      </c>
      <c r="K851" s="0" t="s">
        <v>7339</v>
      </c>
      <c r="L851" s="0" t="s">
        <v>7340</v>
      </c>
      <c r="M851" s="0" t="s">
        <v>7661</v>
      </c>
      <c r="N851" s="0" t="s">
        <v>7342</v>
      </c>
      <c r="O851" s="0" t="s">
        <v>7360</v>
      </c>
      <c r="P851" s="0" t="s">
        <v>236</v>
      </c>
      <c r="Q851" s="0" t="s">
        <v>7834</v>
      </c>
      <c r="S851" s="0" t="s">
        <v>7344</v>
      </c>
      <c r="T851" s="0" t="s">
        <v>2842</v>
      </c>
      <c r="V851" s="0" t="s">
        <v>55</v>
      </c>
      <c r="W851" s="0" t="s">
        <v>2146</v>
      </c>
      <c r="X851" s="0" t="s">
        <v>7355</v>
      </c>
      <c r="Y851" s="0" t="s">
        <v>7667</v>
      </c>
      <c r="Z851" s="0" t="s">
        <v>7493</v>
      </c>
      <c r="AA851" s="0" t="s">
        <v>7831</v>
      </c>
      <c r="AB851" s="0" t="s">
        <v>344</v>
      </c>
      <c r="AC851" s="0" t="s">
        <v>7629</v>
      </c>
      <c r="AD851" s="0" t="s">
        <v>58</v>
      </c>
      <c r="AE851" s="0" t="s">
        <v>2842</v>
      </c>
      <c r="AG851" s="0" t="s">
        <v>230</v>
      </c>
    </row>
    <row r="852" customFormat="false" ht="15" hidden="false" customHeight="false" outlineLevel="0" collapsed="false">
      <c r="A852" s="0" t="s">
        <v>7336</v>
      </c>
      <c r="B852" s="0" t="s">
        <v>3224</v>
      </c>
      <c r="C852" s="0" t="s">
        <v>3225</v>
      </c>
      <c r="D852" s="0" t="s">
        <v>1184</v>
      </c>
      <c r="E852" s="0" t="s">
        <v>3226</v>
      </c>
      <c r="F852" s="0" t="s">
        <v>3227</v>
      </c>
      <c r="G852" s="0" t="s">
        <v>120</v>
      </c>
      <c r="H852" s="0" t="s">
        <v>7909</v>
      </c>
      <c r="I852" s="0" t="s">
        <v>7338</v>
      </c>
      <c r="J852" s="0" t="s">
        <v>1602</v>
      </c>
      <c r="K852" s="0" t="s">
        <v>7339</v>
      </c>
      <c r="L852" s="0" t="s">
        <v>7340</v>
      </c>
      <c r="M852" s="0" t="s">
        <v>7661</v>
      </c>
      <c r="N852" s="0" t="s">
        <v>7342</v>
      </c>
      <c r="P852" s="0" t="s">
        <v>229</v>
      </c>
      <c r="Q852" s="0" t="s">
        <v>7354</v>
      </c>
      <c r="R852" s="0" t="s">
        <v>7910</v>
      </c>
      <c r="S852" s="0" t="s">
        <v>7344</v>
      </c>
      <c r="T852" s="0" t="s">
        <v>58</v>
      </c>
      <c r="V852" s="0" t="s">
        <v>55</v>
      </c>
      <c r="W852" s="0" t="s">
        <v>55</v>
      </c>
      <c r="X852" s="0" t="s">
        <v>7355</v>
      </c>
      <c r="Y852" s="0" t="s">
        <v>7911</v>
      </c>
      <c r="Z852" s="0" t="s">
        <v>7493</v>
      </c>
      <c r="AA852" s="0" t="s">
        <v>682</v>
      </c>
      <c r="AB852" s="0" t="s">
        <v>344</v>
      </c>
      <c r="AC852" s="0" t="s">
        <v>7349</v>
      </c>
      <c r="AD852" s="0" t="s">
        <v>682</v>
      </c>
      <c r="AE852" s="0" t="s">
        <v>7826</v>
      </c>
      <c r="AF852" s="0" t="s">
        <v>7374</v>
      </c>
      <c r="AG852" s="0" t="s">
        <v>230</v>
      </c>
    </row>
    <row r="853" customFormat="false" ht="15" hidden="false" customHeight="false" outlineLevel="0" collapsed="false">
      <c r="A853" s="0" t="s">
        <v>7336</v>
      </c>
      <c r="B853" s="0" t="s">
        <v>3228</v>
      </c>
      <c r="C853" s="0" t="s">
        <v>3229</v>
      </c>
      <c r="D853" s="0" t="s">
        <v>1184</v>
      </c>
      <c r="E853" s="0" t="s">
        <v>3230</v>
      </c>
      <c r="F853" s="0" t="s">
        <v>3227</v>
      </c>
      <c r="G853" s="0" t="s">
        <v>120</v>
      </c>
      <c r="H853" s="0" t="s">
        <v>7909</v>
      </c>
      <c r="I853" s="0" t="s">
        <v>7338</v>
      </c>
      <c r="J853" s="0" t="s">
        <v>1602</v>
      </c>
      <c r="K853" s="0" t="s">
        <v>7339</v>
      </c>
      <c r="L853" s="0" t="s">
        <v>7340</v>
      </c>
      <c r="M853" s="0" t="s">
        <v>7661</v>
      </c>
      <c r="N853" s="0" t="s">
        <v>7342</v>
      </c>
      <c r="P853" s="0" t="s">
        <v>229</v>
      </c>
      <c r="Q853" s="0" t="s">
        <v>7354</v>
      </c>
      <c r="S853" s="0" t="s">
        <v>7344</v>
      </c>
      <c r="T853" s="0" t="s">
        <v>681</v>
      </c>
      <c r="V853" s="0" t="s">
        <v>55</v>
      </c>
      <c r="W853" s="0" t="s">
        <v>55</v>
      </c>
      <c r="X853" s="0" t="s">
        <v>7355</v>
      </c>
      <c r="Y853" s="0" t="s">
        <v>7912</v>
      </c>
      <c r="Z853" s="0" t="s">
        <v>7913</v>
      </c>
      <c r="AA853" s="0" t="s">
        <v>7914</v>
      </c>
      <c r="AB853" s="0" t="s">
        <v>1663</v>
      </c>
      <c r="AC853" s="0" t="s">
        <v>7349</v>
      </c>
      <c r="AD853" s="0" t="s">
        <v>7915</v>
      </c>
      <c r="AE853" s="0" t="s">
        <v>7916</v>
      </c>
      <c r="AF853" s="0" t="s">
        <v>7374</v>
      </c>
      <c r="AG853" s="0" t="s">
        <v>230</v>
      </c>
    </row>
    <row r="854" customFormat="false" ht="15" hidden="false" customHeight="false" outlineLevel="0" collapsed="false">
      <c r="A854" s="0" t="s">
        <v>7336</v>
      </c>
      <c r="B854" s="0" t="s">
        <v>3231</v>
      </c>
      <c r="C854" s="0" t="s">
        <v>3232</v>
      </c>
      <c r="D854" s="0" t="s">
        <v>1184</v>
      </c>
      <c r="E854" s="0" t="s">
        <v>3233</v>
      </c>
      <c r="F854" s="0" t="s">
        <v>3234</v>
      </c>
      <c r="G854" s="0" t="s">
        <v>120</v>
      </c>
      <c r="H854" s="0" t="s">
        <v>7917</v>
      </c>
      <c r="I854" s="0" t="s">
        <v>7338</v>
      </c>
      <c r="J854" s="0" t="s">
        <v>1602</v>
      </c>
      <c r="K854" s="0" t="s">
        <v>7339</v>
      </c>
      <c r="L854" s="0" t="s">
        <v>7340</v>
      </c>
      <c r="M854" s="0" t="s">
        <v>7661</v>
      </c>
      <c r="N854" s="0" t="s">
        <v>7342</v>
      </c>
      <c r="P854" s="0" t="s">
        <v>229</v>
      </c>
      <c r="Q854" s="0" t="s">
        <v>7354</v>
      </c>
      <c r="S854" s="0" t="s">
        <v>7344</v>
      </c>
      <c r="T854" s="0" t="s">
        <v>58</v>
      </c>
      <c r="V854" s="0" t="s">
        <v>55</v>
      </c>
      <c r="W854" s="0" t="s">
        <v>55</v>
      </c>
      <c r="X854" s="0" t="s">
        <v>7355</v>
      </c>
      <c r="Z854" s="0" t="s">
        <v>7493</v>
      </c>
      <c r="AA854" s="0" t="s">
        <v>682</v>
      </c>
      <c r="AB854" s="0" t="s">
        <v>344</v>
      </c>
      <c r="AC854" s="0" t="s">
        <v>7349</v>
      </c>
      <c r="AD854" s="0" t="s">
        <v>682</v>
      </c>
      <c r="AE854" s="0" t="s">
        <v>7826</v>
      </c>
      <c r="AF854" s="0" t="s">
        <v>7374</v>
      </c>
      <c r="AG854" s="0" t="s">
        <v>230</v>
      </c>
    </row>
    <row r="855" customFormat="false" ht="15" hidden="false" customHeight="false" outlineLevel="0" collapsed="false">
      <c r="A855" s="0" t="s">
        <v>7336</v>
      </c>
      <c r="B855" s="0" t="s">
        <v>3235</v>
      </c>
      <c r="C855" s="0" t="s">
        <v>3236</v>
      </c>
      <c r="D855" s="0" t="s">
        <v>1184</v>
      </c>
      <c r="E855" s="0" t="s">
        <v>3237</v>
      </c>
      <c r="F855" s="0" t="s">
        <v>3234</v>
      </c>
      <c r="G855" s="0" t="s">
        <v>120</v>
      </c>
      <c r="H855" s="0" t="s">
        <v>7917</v>
      </c>
      <c r="I855" s="0" t="s">
        <v>7338</v>
      </c>
      <c r="J855" s="0" t="s">
        <v>1602</v>
      </c>
      <c r="K855" s="0" t="s">
        <v>7339</v>
      </c>
      <c r="L855" s="0" t="s">
        <v>7340</v>
      </c>
      <c r="M855" s="0" t="s">
        <v>7661</v>
      </c>
      <c r="N855" s="0" t="s">
        <v>7342</v>
      </c>
      <c r="P855" s="0" t="s">
        <v>229</v>
      </c>
      <c r="Q855" s="0" t="s">
        <v>7354</v>
      </c>
      <c r="S855" s="0" t="s">
        <v>7344</v>
      </c>
      <c r="T855" s="0" t="s">
        <v>681</v>
      </c>
      <c r="V855" s="0" t="s">
        <v>55</v>
      </c>
      <c r="W855" s="0" t="s">
        <v>55</v>
      </c>
      <c r="X855" s="0" t="s">
        <v>7355</v>
      </c>
      <c r="Y855" s="0" t="s">
        <v>7912</v>
      </c>
      <c r="Z855" s="0" t="s">
        <v>7913</v>
      </c>
      <c r="AA855" s="0" t="s">
        <v>7914</v>
      </c>
      <c r="AB855" s="0" t="s">
        <v>1663</v>
      </c>
      <c r="AC855" s="0" t="s">
        <v>7349</v>
      </c>
      <c r="AD855" s="0" t="s">
        <v>7915</v>
      </c>
      <c r="AE855" s="0" t="s">
        <v>7916</v>
      </c>
      <c r="AF855" s="0" t="s">
        <v>7374</v>
      </c>
      <c r="AG855" s="0" t="s">
        <v>230</v>
      </c>
    </row>
    <row r="856" customFormat="false" ht="15" hidden="false" customHeight="false" outlineLevel="0" collapsed="false">
      <c r="A856" s="0" t="s">
        <v>7336</v>
      </c>
      <c r="B856" s="0" t="s">
        <v>3238</v>
      </c>
      <c r="C856" s="0" t="s">
        <v>3239</v>
      </c>
      <c r="D856" s="0" t="s">
        <v>1184</v>
      </c>
      <c r="E856" s="0" t="s">
        <v>3240</v>
      </c>
      <c r="F856" s="0" t="s">
        <v>3241</v>
      </c>
      <c r="G856" s="0" t="s">
        <v>122</v>
      </c>
      <c r="H856" s="0" t="s">
        <v>7918</v>
      </c>
      <c r="I856" s="0" t="s">
        <v>7338</v>
      </c>
      <c r="J856" s="0" t="s">
        <v>1602</v>
      </c>
      <c r="K856" s="0" t="s">
        <v>7339</v>
      </c>
      <c r="L856" s="0" t="s">
        <v>7340</v>
      </c>
      <c r="M856" s="0" t="s">
        <v>7661</v>
      </c>
      <c r="N856" s="0" t="s">
        <v>7342</v>
      </c>
      <c r="P856" s="0" t="s">
        <v>229</v>
      </c>
      <c r="Q856" s="0" t="s">
        <v>7354</v>
      </c>
      <c r="S856" s="0" t="s">
        <v>7344</v>
      </c>
      <c r="T856" s="0" t="s">
        <v>681</v>
      </c>
      <c r="V856" s="0" t="s">
        <v>73</v>
      </c>
      <c r="W856" s="0" t="s">
        <v>75</v>
      </c>
      <c r="X856" s="0" t="s">
        <v>7355</v>
      </c>
      <c r="Y856" s="0" t="s">
        <v>7919</v>
      </c>
      <c r="Z856" s="0" t="s">
        <v>7920</v>
      </c>
      <c r="AA856" s="0" t="s">
        <v>7921</v>
      </c>
      <c r="AB856" s="0" t="s">
        <v>344</v>
      </c>
      <c r="AC856" s="0" t="s">
        <v>7349</v>
      </c>
      <c r="AD856" s="0" t="s">
        <v>7922</v>
      </c>
      <c r="AE856" s="0" t="s">
        <v>7923</v>
      </c>
      <c r="AF856" s="0" t="s">
        <v>7374</v>
      </c>
      <c r="AG856" s="0" t="s">
        <v>230</v>
      </c>
    </row>
    <row r="857" customFormat="false" ht="15" hidden="false" customHeight="false" outlineLevel="0" collapsed="false">
      <c r="A857" s="0" t="s">
        <v>7336</v>
      </c>
      <c r="B857" s="0" t="s">
        <v>3242</v>
      </c>
      <c r="C857" s="0" t="s">
        <v>3243</v>
      </c>
      <c r="D857" s="0" t="s">
        <v>1184</v>
      </c>
      <c r="E857" s="0" t="s">
        <v>3244</v>
      </c>
      <c r="F857" s="0" t="s">
        <v>3245</v>
      </c>
      <c r="G857" s="0" t="s">
        <v>122</v>
      </c>
      <c r="H857" s="0" t="s">
        <v>7924</v>
      </c>
      <c r="I857" s="0" t="s">
        <v>7338</v>
      </c>
      <c r="J857" s="0" t="s">
        <v>1602</v>
      </c>
      <c r="K857" s="0" t="s">
        <v>7339</v>
      </c>
      <c r="L857" s="0" t="s">
        <v>7340</v>
      </c>
      <c r="M857" s="0" t="s">
        <v>7661</v>
      </c>
      <c r="N857" s="0" t="s">
        <v>7342</v>
      </c>
      <c r="P857" s="0" t="s">
        <v>229</v>
      </c>
      <c r="Q857" s="0" t="s">
        <v>7354</v>
      </c>
      <c r="S857" s="0" t="s">
        <v>7344</v>
      </c>
      <c r="T857" s="0" t="s">
        <v>681</v>
      </c>
      <c r="V857" s="0" t="s">
        <v>73</v>
      </c>
      <c r="W857" s="0" t="s">
        <v>75</v>
      </c>
      <c r="X857" s="0" t="s">
        <v>7355</v>
      </c>
      <c r="Y857" s="0" t="s">
        <v>7919</v>
      </c>
      <c r="Z857" s="0" t="s">
        <v>7920</v>
      </c>
      <c r="AA857" s="0" t="s">
        <v>7921</v>
      </c>
      <c r="AB857" s="0" t="s">
        <v>344</v>
      </c>
      <c r="AC857" s="0" t="s">
        <v>7349</v>
      </c>
      <c r="AD857" s="0" t="s">
        <v>7922</v>
      </c>
      <c r="AE857" s="0" t="s">
        <v>7923</v>
      </c>
      <c r="AF857" s="0" t="s">
        <v>7374</v>
      </c>
      <c r="AG857" s="0" t="s">
        <v>230</v>
      </c>
    </row>
    <row r="858" customFormat="false" ht="15" hidden="false" customHeight="false" outlineLevel="0" collapsed="false">
      <c r="A858" s="0" t="s">
        <v>7336</v>
      </c>
      <c r="B858" s="0" t="s">
        <v>3246</v>
      </c>
      <c r="C858" s="0" t="s">
        <v>3247</v>
      </c>
      <c r="D858" s="0" t="s">
        <v>1184</v>
      </c>
      <c r="E858" s="0" t="s">
        <v>3248</v>
      </c>
      <c r="F858" s="0" t="s">
        <v>3249</v>
      </c>
      <c r="G858" s="0" t="s">
        <v>124</v>
      </c>
      <c r="H858" s="0" t="s">
        <v>7925</v>
      </c>
      <c r="I858" s="0" t="s">
        <v>7338</v>
      </c>
      <c r="J858" s="0" t="s">
        <v>1602</v>
      </c>
      <c r="K858" s="0" t="s">
        <v>7339</v>
      </c>
      <c r="L858" s="0" t="s">
        <v>7340</v>
      </c>
      <c r="M858" s="0" t="s">
        <v>7661</v>
      </c>
      <c r="N858" s="0" t="s">
        <v>7342</v>
      </c>
      <c r="P858" s="0" t="s">
        <v>229</v>
      </c>
      <c r="Q858" s="0" t="s">
        <v>7354</v>
      </c>
      <c r="S858" s="0" t="s">
        <v>7344</v>
      </c>
      <c r="T858" s="0" t="s">
        <v>681</v>
      </c>
      <c r="V858" s="0" t="s">
        <v>73</v>
      </c>
      <c r="W858" s="0" t="s">
        <v>75</v>
      </c>
      <c r="X858" s="0" t="s">
        <v>7355</v>
      </c>
      <c r="Y858" s="0" t="s">
        <v>7919</v>
      </c>
      <c r="Z858" s="0" t="s">
        <v>7920</v>
      </c>
      <c r="AA858" s="0" t="s">
        <v>7921</v>
      </c>
      <c r="AB858" s="0" t="s">
        <v>344</v>
      </c>
      <c r="AC858" s="0" t="s">
        <v>7349</v>
      </c>
      <c r="AD858" s="0" t="s">
        <v>7922</v>
      </c>
      <c r="AE858" s="0" t="s">
        <v>7923</v>
      </c>
      <c r="AF858" s="0" t="s">
        <v>7374</v>
      </c>
      <c r="AG858" s="0" t="s">
        <v>230</v>
      </c>
    </row>
    <row r="859" customFormat="false" ht="15" hidden="false" customHeight="false" outlineLevel="0" collapsed="false">
      <c r="A859" s="0" t="s">
        <v>7336</v>
      </c>
      <c r="B859" s="0" t="s">
        <v>3250</v>
      </c>
      <c r="C859" s="0" t="s">
        <v>3251</v>
      </c>
      <c r="D859" s="0" t="s">
        <v>1184</v>
      </c>
      <c r="E859" s="0" t="s">
        <v>3252</v>
      </c>
      <c r="F859" s="0" t="s">
        <v>3253</v>
      </c>
      <c r="G859" s="0" t="s">
        <v>124</v>
      </c>
      <c r="H859" s="0" t="s">
        <v>7926</v>
      </c>
      <c r="I859" s="0" t="s">
        <v>7338</v>
      </c>
      <c r="J859" s="0" t="s">
        <v>1602</v>
      </c>
      <c r="K859" s="0" t="s">
        <v>7339</v>
      </c>
      <c r="L859" s="0" t="s">
        <v>7340</v>
      </c>
      <c r="M859" s="0" t="s">
        <v>7661</v>
      </c>
      <c r="N859" s="0" t="s">
        <v>7342</v>
      </c>
      <c r="P859" s="0" t="s">
        <v>229</v>
      </c>
      <c r="Q859" s="0" t="s">
        <v>7354</v>
      </c>
      <c r="S859" s="0" t="s">
        <v>7344</v>
      </c>
      <c r="T859" s="0" t="s">
        <v>681</v>
      </c>
      <c r="V859" s="0" t="s">
        <v>73</v>
      </c>
      <c r="W859" s="0" t="s">
        <v>75</v>
      </c>
      <c r="X859" s="0" t="s">
        <v>7355</v>
      </c>
      <c r="Y859" s="0" t="s">
        <v>7919</v>
      </c>
      <c r="Z859" s="0" t="s">
        <v>7920</v>
      </c>
      <c r="AA859" s="0" t="s">
        <v>7921</v>
      </c>
      <c r="AB859" s="0" t="s">
        <v>344</v>
      </c>
      <c r="AC859" s="0" t="s">
        <v>7349</v>
      </c>
      <c r="AD859" s="0" t="s">
        <v>7922</v>
      </c>
      <c r="AE859" s="0" t="s">
        <v>7923</v>
      </c>
      <c r="AF859" s="0" t="s">
        <v>7374</v>
      </c>
      <c r="AG859" s="0" t="s">
        <v>230</v>
      </c>
    </row>
    <row r="860" customFormat="false" ht="15" hidden="false" customHeight="false" outlineLevel="0" collapsed="false">
      <c r="A860" s="0" t="s">
        <v>7336</v>
      </c>
      <c r="B860" s="0" t="s">
        <v>3254</v>
      </c>
      <c r="C860" s="0" t="s">
        <v>3255</v>
      </c>
      <c r="D860" s="0" t="s">
        <v>1184</v>
      </c>
      <c r="E860" s="0" t="s">
        <v>3256</v>
      </c>
      <c r="F860" s="0" t="s">
        <v>3257</v>
      </c>
      <c r="G860" s="0" t="s">
        <v>126</v>
      </c>
      <c r="H860" s="0" t="s">
        <v>7927</v>
      </c>
      <c r="I860" s="0" t="s">
        <v>7338</v>
      </c>
      <c r="J860" s="0" t="s">
        <v>1602</v>
      </c>
      <c r="K860" s="0" t="s">
        <v>7339</v>
      </c>
      <c r="L860" s="0" t="s">
        <v>7340</v>
      </c>
      <c r="M860" s="0" t="s">
        <v>7661</v>
      </c>
      <c r="N860" s="0" t="s">
        <v>7342</v>
      </c>
      <c r="P860" s="0" t="s">
        <v>229</v>
      </c>
      <c r="Q860" s="0" t="s">
        <v>7354</v>
      </c>
      <c r="S860" s="0" t="s">
        <v>7344</v>
      </c>
      <c r="T860" s="0" t="s">
        <v>681</v>
      </c>
      <c r="V860" s="0" t="s">
        <v>73</v>
      </c>
      <c r="W860" s="0" t="s">
        <v>75</v>
      </c>
      <c r="X860" s="0" t="s">
        <v>7355</v>
      </c>
      <c r="Y860" s="0" t="s">
        <v>7919</v>
      </c>
      <c r="Z860" s="0" t="s">
        <v>7920</v>
      </c>
      <c r="AA860" s="0" t="s">
        <v>7921</v>
      </c>
      <c r="AB860" s="0" t="s">
        <v>344</v>
      </c>
      <c r="AC860" s="0" t="s">
        <v>7349</v>
      </c>
      <c r="AD860" s="0" t="s">
        <v>7922</v>
      </c>
      <c r="AE860" s="0" t="s">
        <v>7923</v>
      </c>
      <c r="AF860" s="0" t="s">
        <v>7374</v>
      </c>
      <c r="AG860" s="0" t="s">
        <v>230</v>
      </c>
    </row>
    <row r="861" customFormat="false" ht="15" hidden="false" customHeight="false" outlineLevel="0" collapsed="false">
      <c r="A861" s="0" t="s">
        <v>7336</v>
      </c>
      <c r="B861" s="0" t="s">
        <v>3258</v>
      </c>
      <c r="C861" s="0" t="s">
        <v>3259</v>
      </c>
      <c r="D861" s="0" t="s">
        <v>1184</v>
      </c>
      <c r="E861" s="0" t="s">
        <v>3260</v>
      </c>
      <c r="F861" s="0" t="s">
        <v>3261</v>
      </c>
      <c r="G861" s="0" t="s">
        <v>126</v>
      </c>
      <c r="H861" s="0" t="s">
        <v>7928</v>
      </c>
      <c r="I861" s="0" t="s">
        <v>7338</v>
      </c>
      <c r="J861" s="0" t="s">
        <v>1602</v>
      </c>
      <c r="K861" s="0" t="s">
        <v>7339</v>
      </c>
      <c r="L861" s="0" t="s">
        <v>7340</v>
      </c>
      <c r="M861" s="0" t="s">
        <v>7661</v>
      </c>
      <c r="N861" s="0" t="s">
        <v>7342</v>
      </c>
      <c r="P861" s="0" t="s">
        <v>229</v>
      </c>
      <c r="Q861" s="0" t="s">
        <v>7354</v>
      </c>
      <c r="S861" s="0" t="s">
        <v>7344</v>
      </c>
      <c r="T861" s="0" t="s">
        <v>681</v>
      </c>
      <c r="V861" s="0" t="s">
        <v>73</v>
      </c>
      <c r="W861" s="0" t="s">
        <v>75</v>
      </c>
      <c r="X861" s="0" t="s">
        <v>7355</v>
      </c>
      <c r="Y861" s="0" t="s">
        <v>7919</v>
      </c>
      <c r="Z861" s="0" t="s">
        <v>7920</v>
      </c>
      <c r="AA861" s="0" t="s">
        <v>7921</v>
      </c>
      <c r="AB861" s="0" t="s">
        <v>344</v>
      </c>
      <c r="AC861" s="0" t="s">
        <v>7349</v>
      </c>
      <c r="AD861" s="0" t="s">
        <v>7922</v>
      </c>
      <c r="AE861" s="0" t="s">
        <v>7923</v>
      </c>
      <c r="AF861" s="0" t="s">
        <v>7374</v>
      </c>
      <c r="AG861" s="0" t="s">
        <v>230</v>
      </c>
    </row>
    <row r="862" customFormat="false" ht="15" hidden="false" customHeight="false" outlineLevel="0" collapsed="false">
      <c r="A862" s="0" t="s">
        <v>7336</v>
      </c>
      <c r="B862" s="0" t="s">
        <v>3262</v>
      </c>
      <c r="C862" s="0" t="s">
        <v>3263</v>
      </c>
      <c r="D862" s="0" t="s">
        <v>2983</v>
      </c>
      <c r="E862" s="0" t="s">
        <v>3264</v>
      </c>
      <c r="F862" s="0" t="s">
        <v>3265</v>
      </c>
      <c r="G862" s="0" t="s">
        <v>134</v>
      </c>
      <c r="H862" s="0" t="s">
        <v>7929</v>
      </c>
      <c r="I862" s="0" t="s">
        <v>7338</v>
      </c>
      <c r="J862" s="0" t="s">
        <v>1602</v>
      </c>
      <c r="K862" s="0" t="s">
        <v>7339</v>
      </c>
      <c r="L862" s="0" t="s">
        <v>7340</v>
      </c>
      <c r="M862" s="0" t="s">
        <v>7661</v>
      </c>
      <c r="N862" s="0" t="s">
        <v>7342</v>
      </c>
      <c r="P862" s="0" t="s">
        <v>229</v>
      </c>
      <c r="R862" s="0" t="s">
        <v>7343</v>
      </c>
      <c r="S862" s="0" t="s">
        <v>7344</v>
      </c>
      <c r="T862" s="0" t="s">
        <v>228</v>
      </c>
      <c r="V862" s="0" t="s">
        <v>34</v>
      </c>
      <c r="W862" s="0" t="s">
        <v>39</v>
      </c>
      <c r="X862" s="0" t="s">
        <v>7355</v>
      </c>
      <c r="Y862" s="0" t="s">
        <v>7346</v>
      </c>
      <c r="Z862" s="0" t="s">
        <v>7370</v>
      </c>
      <c r="AA862" s="0" t="s">
        <v>7348</v>
      </c>
      <c r="AB862" s="0" t="s">
        <v>231</v>
      </c>
      <c r="AC862" s="0" t="s">
        <v>7930</v>
      </c>
      <c r="AD862" s="0" t="s">
        <v>7931</v>
      </c>
      <c r="AE862" s="0" t="s">
        <v>7412</v>
      </c>
      <c r="AF862" s="0" t="s">
        <v>7374</v>
      </c>
      <c r="AG862" s="0" t="s">
        <v>230</v>
      </c>
    </row>
    <row r="863" customFormat="false" ht="15" hidden="false" customHeight="false" outlineLevel="0" collapsed="false">
      <c r="A863" s="0" t="s">
        <v>7336</v>
      </c>
      <c r="B863" s="0" t="s">
        <v>3266</v>
      </c>
      <c r="C863" s="0" t="s">
        <v>3267</v>
      </c>
      <c r="D863" s="0" t="s">
        <v>2983</v>
      </c>
      <c r="E863" s="0" t="s">
        <v>3268</v>
      </c>
      <c r="F863" s="0" t="s">
        <v>3269</v>
      </c>
      <c r="G863" s="0" t="s">
        <v>134</v>
      </c>
      <c r="H863" s="0" t="s">
        <v>7932</v>
      </c>
      <c r="I863" s="0" t="s">
        <v>7338</v>
      </c>
      <c r="J863" s="0" t="s">
        <v>1602</v>
      </c>
      <c r="K863" s="0" t="s">
        <v>7339</v>
      </c>
      <c r="L863" s="0" t="s">
        <v>7340</v>
      </c>
      <c r="M863" s="0" t="s">
        <v>7661</v>
      </c>
      <c r="N863" s="0" t="s">
        <v>7342</v>
      </c>
      <c r="P863" s="0" t="s">
        <v>229</v>
      </c>
      <c r="R863" s="0" t="s">
        <v>7343</v>
      </c>
      <c r="S863" s="0" t="s">
        <v>7344</v>
      </c>
      <c r="T863" s="0" t="s">
        <v>228</v>
      </c>
      <c r="V863" s="0" t="s">
        <v>34</v>
      </c>
      <c r="W863" s="0" t="s">
        <v>39</v>
      </c>
      <c r="X863" s="0" t="s">
        <v>7355</v>
      </c>
      <c r="Y863" s="0" t="s">
        <v>7346</v>
      </c>
      <c r="Z863" s="0" t="s">
        <v>7370</v>
      </c>
      <c r="AA863" s="0" t="s">
        <v>7348</v>
      </c>
      <c r="AB863" s="0" t="s">
        <v>231</v>
      </c>
      <c r="AC863" s="0" t="s">
        <v>7930</v>
      </c>
      <c r="AD863" s="0" t="s">
        <v>7931</v>
      </c>
      <c r="AE863" s="0" t="s">
        <v>7412</v>
      </c>
      <c r="AF863" s="0" t="s">
        <v>7374</v>
      </c>
      <c r="AG863" s="0" t="s">
        <v>230</v>
      </c>
    </row>
    <row r="864" customFormat="false" ht="15" hidden="false" customHeight="false" outlineLevel="0" collapsed="false">
      <c r="A864" s="0" t="s">
        <v>7336</v>
      </c>
      <c r="B864" s="0" t="s">
        <v>3270</v>
      </c>
      <c r="C864" s="0" t="s">
        <v>3271</v>
      </c>
      <c r="D864" s="0" t="s">
        <v>300</v>
      </c>
      <c r="E864" s="0" t="s">
        <v>3272</v>
      </c>
      <c r="F864" s="0" t="s">
        <v>3273</v>
      </c>
      <c r="G864" s="0" t="s">
        <v>138</v>
      </c>
      <c r="H864" s="0" t="s">
        <v>7933</v>
      </c>
      <c r="I864" s="0" t="s">
        <v>7338</v>
      </c>
      <c r="J864" s="0" t="s">
        <v>1602</v>
      </c>
      <c r="K864" s="0" t="s">
        <v>7339</v>
      </c>
      <c r="L864" s="0" t="s">
        <v>7340</v>
      </c>
      <c r="M864" s="0" t="s">
        <v>7661</v>
      </c>
      <c r="N864" s="0" t="s">
        <v>7342</v>
      </c>
      <c r="O864" s="0" t="s">
        <v>7360</v>
      </c>
      <c r="P864" s="0" t="s">
        <v>236</v>
      </c>
      <c r="Q864" s="0" t="s">
        <v>7354</v>
      </c>
      <c r="S864" s="0" t="s">
        <v>7344</v>
      </c>
      <c r="T864" s="0" t="s">
        <v>2842</v>
      </c>
      <c r="V864" s="0" t="s">
        <v>55</v>
      </c>
      <c r="W864" s="0" t="s">
        <v>57</v>
      </c>
      <c r="X864" s="0" t="s">
        <v>7355</v>
      </c>
      <c r="Y864" s="0" t="s">
        <v>7667</v>
      </c>
      <c r="Z864" s="0" t="s">
        <v>7493</v>
      </c>
      <c r="AA864" s="0" t="s">
        <v>7831</v>
      </c>
      <c r="AB864" s="0" t="s">
        <v>344</v>
      </c>
      <c r="AC864" s="0" t="s">
        <v>7349</v>
      </c>
      <c r="AD864" s="0" t="s">
        <v>58</v>
      </c>
      <c r="AE864" s="0" t="s">
        <v>58</v>
      </c>
      <c r="AG864" s="0" t="s">
        <v>230</v>
      </c>
    </row>
    <row r="865" customFormat="false" ht="15" hidden="false" customHeight="false" outlineLevel="0" collapsed="false">
      <c r="A865" s="0" t="s">
        <v>7336</v>
      </c>
      <c r="B865" s="0" t="s">
        <v>3274</v>
      </c>
      <c r="C865" s="0" t="s">
        <v>3275</v>
      </c>
      <c r="D865" s="0" t="s">
        <v>227</v>
      </c>
      <c r="E865" s="0" t="s">
        <v>3276</v>
      </c>
      <c r="F865" s="0" t="s">
        <v>1954</v>
      </c>
      <c r="G865" s="0" t="s">
        <v>184</v>
      </c>
      <c r="H865" s="0" t="s">
        <v>7704</v>
      </c>
      <c r="I865" s="0" t="s">
        <v>7338</v>
      </c>
      <c r="J865" s="0" t="s">
        <v>1602</v>
      </c>
      <c r="K865" s="0" t="s">
        <v>7339</v>
      </c>
      <c r="L865" s="0" t="s">
        <v>7340</v>
      </c>
      <c r="M865" s="0" t="s">
        <v>7661</v>
      </c>
      <c r="N865" s="0" t="s">
        <v>7342</v>
      </c>
      <c r="P865" s="0" t="s">
        <v>229</v>
      </c>
      <c r="Q865" s="0" t="s">
        <v>7354</v>
      </c>
      <c r="R865" s="0" t="s">
        <v>7343</v>
      </c>
      <c r="S865" s="0" t="s">
        <v>7344</v>
      </c>
      <c r="T865" s="0" t="s">
        <v>228</v>
      </c>
      <c r="V865" s="0" t="s">
        <v>1358</v>
      </c>
      <c r="W865" s="0" t="s">
        <v>65</v>
      </c>
      <c r="X865" s="0" t="s">
        <v>7355</v>
      </c>
      <c r="AB865" s="0" t="s">
        <v>1640</v>
      </c>
      <c r="AC865" s="0" t="s">
        <v>7629</v>
      </c>
      <c r="AD865" s="0" t="s">
        <v>7934</v>
      </c>
      <c r="AE865" s="0" t="s">
        <v>7360</v>
      </c>
      <c r="AF865" s="0" t="s">
        <v>7361</v>
      </c>
      <c r="AG865" s="0" t="s">
        <v>230</v>
      </c>
    </row>
    <row r="866" customFormat="false" ht="15" hidden="false" customHeight="false" outlineLevel="0" collapsed="false">
      <c r="A866" s="0" t="s">
        <v>7336</v>
      </c>
      <c r="B866" s="0" t="s">
        <v>3277</v>
      </c>
      <c r="C866" s="0" t="s">
        <v>3278</v>
      </c>
      <c r="D866" s="0" t="s">
        <v>227</v>
      </c>
      <c r="E866" s="0" t="s">
        <v>3279</v>
      </c>
      <c r="F866" s="0" t="s">
        <v>1954</v>
      </c>
      <c r="G866" s="0" t="s">
        <v>184</v>
      </c>
      <c r="H866" s="0" t="s">
        <v>7704</v>
      </c>
      <c r="I866" s="0" t="s">
        <v>7338</v>
      </c>
      <c r="J866" s="0" t="s">
        <v>1602</v>
      </c>
      <c r="K866" s="0" t="s">
        <v>7339</v>
      </c>
      <c r="L866" s="0" t="s">
        <v>7340</v>
      </c>
      <c r="M866" s="0" t="s">
        <v>7661</v>
      </c>
      <c r="N866" s="0" t="s">
        <v>7342</v>
      </c>
      <c r="P866" s="0" t="s">
        <v>229</v>
      </c>
      <c r="Q866" s="0" t="s">
        <v>7354</v>
      </c>
      <c r="R866" s="0" t="s">
        <v>7343</v>
      </c>
      <c r="S866" s="0" t="s">
        <v>7344</v>
      </c>
      <c r="T866" s="0" t="s">
        <v>228</v>
      </c>
      <c r="V866" s="0" t="s">
        <v>1358</v>
      </c>
      <c r="W866" s="0" t="s">
        <v>65</v>
      </c>
      <c r="X866" s="0" t="s">
        <v>7355</v>
      </c>
      <c r="AB866" s="0" t="s">
        <v>1640</v>
      </c>
      <c r="AC866" s="0" t="s">
        <v>7629</v>
      </c>
      <c r="AD866" s="0" t="s">
        <v>7935</v>
      </c>
      <c r="AE866" s="0" t="s">
        <v>7360</v>
      </c>
      <c r="AF866" s="0" t="s">
        <v>7361</v>
      </c>
      <c r="AG866" s="0" t="s">
        <v>230</v>
      </c>
    </row>
    <row r="867" customFormat="false" ht="15" hidden="false" customHeight="false" outlineLevel="0" collapsed="false">
      <c r="A867" s="0" t="s">
        <v>7336</v>
      </c>
      <c r="B867" s="0" t="s">
        <v>3280</v>
      </c>
      <c r="C867" s="0" t="s">
        <v>3281</v>
      </c>
      <c r="D867" s="0" t="s">
        <v>227</v>
      </c>
      <c r="E867" s="0" t="s">
        <v>3282</v>
      </c>
      <c r="F867" s="0" t="s">
        <v>1933</v>
      </c>
      <c r="G867" s="0" t="s">
        <v>184</v>
      </c>
      <c r="H867" s="0" t="s">
        <v>7701</v>
      </c>
      <c r="I867" s="0" t="s">
        <v>7338</v>
      </c>
      <c r="J867" s="0" t="s">
        <v>1602</v>
      </c>
      <c r="K867" s="0" t="s">
        <v>7339</v>
      </c>
      <c r="L867" s="0" t="s">
        <v>7340</v>
      </c>
      <c r="M867" s="0" t="s">
        <v>7661</v>
      </c>
      <c r="N867" s="0" t="s">
        <v>7342</v>
      </c>
      <c r="P867" s="0" t="s">
        <v>229</v>
      </c>
      <c r="Q867" s="0" t="s">
        <v>7354</v>
      </c>
      <c r="R867" s="0" t="s">
        <v>7343</v>
      </c>
      <c r="S867" s="0" t="s">
        <v>7344</v>
      </c>
      <c r="T867" s="0" t="s">
        <v>228</v>
      </c>
      <c r="V867" s="0" t="s">
        <v>1358</v>
      </c>
      <c r="W867" s="0" t="s">
        <v>69</v>
      </c>
      <c r="X867" s="0" t="s">
        <v>7355</v>
      </c>
      <c r="AB867" s="0" t="s">
        <v>1640</v>
      </c>
      <c r="AC867" s="0" t="s">
        <v>7629</v>
      </c>
      <c r="AD867" s="0" t="s">
        <v>7934</v>
      </c>
      <c r="AE867" s="0" t="s">
        <v>7360</v>
      </c>
      <c r="AF867" s="0" t="s">
        <v>7361</v>
      </c>
      <c r="AG867" s="0" t="s">
        <v>230</v>
      </c>
    </row>
    <row r="868" customFormat="false" ht="15" hidden="false" customHeight="false" outlineLevel="0" collapsed="false">
      <c r="A868" s="0" t="s">
        <v>7336</v>
      </c>
      <c r="B868" s="0" t="s">
        <v>3283</v>
      </c>
      <c r="C868" s="0" t="s">
        <v>3284</v>
      </c>
      <c r="D868" s="0" t="s">
        <v>227</v>
      </c>
      <c r="E868" s="0" t="s">
        <v>3285</v>
      </c>
      <c r="F868" s="0" t="s">
        <v>1933</v>
      </c>
      <c r="G868" s="0" t="s">
        <v>184</v>
      </c>
      <c r="H868" s="0" t="s">
        <v>7701</v>
      </c>
      <c r="I868" s="0" t="s">
        <v>7338</v>
      </c>
      <c r="J868" s="0" t="s">
        <v>1602</v>
      </c>
      <c r="K868" s="0" t="s">
        <v>7339</v>
      </c>
      <c r="L868" s="0" t="s">
        <v>7340</v>
      </c>
      <c r="M868" s="0" t="s">
        <v>7661</v>
      </c>
      <c r="N868" s="0" t="s">
        <v>7342</v>
      </c>
      <c r="P868" s="0" t="s">
        <v>229</v>
      </c>
      <c r="Q868" s="0" t="s">
        <v>7354</v>
      </c>
      <c r="R868" s="0" t="s">
        <v>7343</v>
      </c>
      <c r="S868" s="0" t="s">
        <v>7344</v>
      </c>
      <c r="T868" s="0" t="s">
        <v>228</v>
      </c>
      <c r="V868" s="0" t="s">
        <v>1358</v>
      </c>
      <c r="W868" s="0" t="s">
        <v>65</v>
      </c>
      <c r="X868" s="0" t="s">
        <v>7355</v>
      </c>
      <c r="AB868" s="0" t="s">
        <v>1640</v>
      </c>
      <c r="AC868" s="0" t="s">
        <v>7629</v>
      </c>
      <c r="AD868" s="0" t="s">
        <v>7934</v>
      </c>
      <c r="AE868" s="0" t="s">
        <v>7360</v>
      </c>
      <c r="AF868" s="0" t="s">
        <v>7361</v>
      </c>
      <c r="AG868" s="0" t="s">
        <v>230</v>
      </c>
    </row>
    <row r="869" customFormat="false" ht="15" hidden="false" customHeight="false" outlineLevel="0" collapsed="false">
      <c r="A869" s="0" t="s">
        <v>7336</v>
      </c>
      <c r="B869" s="0" t="s">
        <v>3286</v>
      </c>
      <c r="C869" s="0" t="s">
        <v>3287</v>
      </c>
      <c r="D869" s="0" t="s">
        <v>227</v>
      </c>
      <c r="E869" s="0" t="s">
        <v>3288</v>
      </c>
      <c r="F869" s="0" t="s">
        <v>1933</v>
      </c>
      <c r="G869" s="0" t="s">
        <v>184</v>
      </c>
      <c r="H869" s="0" t="s">
        <v>7701</v>
      </c>
      <c r="I869" s="0" t="s">
        <v>7338</v>
      </c>
      <c r="J869" s="0" t="s">
        <v>1602</v>
      </c>
      <c r="K869" s="0" t="s">
        <v>7339</v>
      </c>
      <c r="L869" s="0" t="s">
        <v>7340</v>
      </c>
      <c r="M869" s="0" t="s">
        <v>7661</v>
      </c>
      <c r="N869" s="0" t="s">
        <v>7342</v>
      </c>
      <c r="P869" s="0" t="s">
        <v>229</v>
      </c>
      <c r="Q869" s="0" t="s">
        <v>7354</v>
      </c>
      <c r="R869" s="0" t="s">
        <v>7343</v>
      </c>
      <c r="S869" s="0" t="s">
        <v>7344</v>
      </c>
      <c r="T869" s="0" t="s">
        <v>228</v>
      </c>
      <c r="V869" s="0" t="s">
        <v>1358</v>
      </c>
      <c r="W869" s="0" t="s">
        <v>65</v>
      </c>
      <c r="X869" s="0" t="s">
        <v>7355</v>
      </c>
      <c r="AB869" s="0" t="s">
        <v>1640</v>
      </c>
      <c r="AC869" s="0" t="s">
        <v>7629</v>
      </c>
      <c r="AD869" s="0" t="s">
        <v>7934</v>
      </c>
      <c r="AE869" s="0" t="s">
        <v>7360</v>
      </c>
      <c r="AF869" s="0" t="s">
        <v>7361</v>
      </c>
      <c r="AG869" s="0" t="s">
        <v>230</v>
      </c>
    </row>
    <row r="870" customFormat="false" ht="15" hidden="false" customHeight="false" outlineLevel="0" collapsed="false">
      <c r="A870" s="0" t="s">
        <v>7336</v>
      </c>
      <c r="B870" s="0" t="s">
        <v>3289</v>
      </c>
      <c r="C870" s="0" t="s">
        <v>3290</v>
      </c>
      <c r="D870" s="0" t="s">
        <v>227</v>
      </c>
      <c r="E870" s="0" t="s">
        <v>3291</v>
      </c>
      <c r="F870" s="0" t="s">
        <v>1933</v>
      </c>
      <c r="G870" s="0" t="s">
        <v>184</v>
      </c>
      <c r="H870" s="0" t="s">
        <v>7701</v>
      </c>
      <c r="I870" s="0" t="s">
        <v>7338</v>
      </c>
      <c r="J870" s="0" t="s">
        <v>1602</v>
      </c>
      <c r="K870" s="0" t="s">
        <v>7339</v>
      </c>
      <c r="L870" s="0" t="s">
        <v>7340</v>
      </c>
      <c r="M870" s="0" t="s">
        <v>7661</v>
      </c>
      <c r="N870" s="0" t="s">
        <v>7342</v>
      </c>
      <c r="P870" s="0" t="s">
        <v>229</v>
      </c>
      <c r="Q870" s="0" t="s">
        <v>7354</v>
      </c>
      <c r="R870" s="0" t="s">
        <v>7343</v>
      </c>
      <c r="S870" s="0" t="s">
        <v>7344</v>
      </c>
      <c r="T870" s="0" t="s">
        <v>228</v>
      </c>
      <c r="V870" s="0" t="s">
        <v>1358</v>
      </c>
      <c r="W870" s="0" t="s">
        <v>69</v>
      </c>
      <c r="X870" s="0" t="s">
        <v>7355</v>
      </c>
      <c r="AB870" s="0" t="s">
        <v>1640</v>
      </c>
      <c r="AC870" s="0" t="s">
        <v>7629</v>
      </c>
      <c r="AD870" s="0" t="s">
        <v>7934</v>
      </c>
      <c r="AE870" s="0" t="s">
        <v>7360</v>
      </c>
      <c r="AF870" s="0" t="s">
        <v>7361</v>
      </c>
      <c r="AG870" s="0" t="s">
        <v>230</v>
      </c>
    </row>
    <row r="871" customFormat="false" ht="15" hidden="false" customHeight="false" outlineLevel="0" collapsed="false">
      <c r="A871" s="0" t="s">
        <v>7336</v>
      </c>
      <c r="B871" s="0" t="s">
        <v>3292</v>
      </c>
      <c r="C871" s="0" t="s">
        <v>3293</v>
      </c>
      <c r="D871" s="0" t="s">
        <v>227</v>
      </c>
      <c r="E871" s="0" t="s">
        <v>3294</v>
      </c>
      <c r="F871" s="0" t="s">
        <v>1933</v>
      </c>
      <c r="G871" s="0" t="s">
        <v>184</v>
      </c>
      <c r="H871" s="0" t="s">
        <v>7701</v>
      </c>
      <c r="I871" s="0" t="s">
        <v>7338</v>
      </c>
      <c r="J871" s="0" t="s">
        <v>1602</v>
      </c>
      <c r="K871" s="0" t="s">
        <v>7339</v>
      </c>
      <c r="L871" s="0" t="s">
        <v>7340</v>
      </c>
      <c r="M871" s="0" t="s">
        <v>7661</v>
      </c>
      <c r="N871" s="0" t="s">
        <v>7342</v>
      </c>
      <c r="P871" s="0" t="s">
        <v>229</v>
      </c>
      <c r="Q871" s="0" t="s">
        <v>7354</v>
      </c>
      <c r="R871" s="0" t="s">
        <v>7343</v>
      </c>
      <c r="S871" s="0" t="s">
        <v>7344</v>
      </c>
      <c r="T871" s="0" t="s">
        <v>228</v>
      </c>
      <c r="V871" s="0" t="s">
        <v>1358</v>
      </c>
      <c r="W871" s="0" t="s">
        <v>65</v>
      </c>
      <c r="X871" s="0" t="s">
        <v>7355</v>
      </c>
      <c r="AB871" s="0" t="s">
        <v>1640</v>
      </c>
      <c r="AC871" s="0" t="s">
        <v>7629</v>
      </c>
      <c r="AD871" s="0" t="s">
        <v>7934</v>
      </c>
      <c r="AE871" s="0" t="s">
        <v>7360</v>
      </c>
      <c r="AF871" s="0" t="s">
        <v>7361</v>
      </c>
      <c r="AG871" s="0" t="s">
        <v>230</v>
      </c>
    </row>
    <row r="872" customFormat="false" ht="15" hidden="false" customHeight="false" outlineLevel="0" collapsed="false">
      <c r="A872" s="0" t="s">
        <v>7336</v>
      </c>
      <c r="B872" s="0" t="s">
        <v>3295</v>
      </c>
      <c r="C872" s="0" t="s">
        <v>3296</v>
      </c>
      <c r="D872" s="0" t="s">
        <v>227</v>
      </c>
      <c r="E872" s="0" t="s">
        <v>3297</v>
      </c>
      <c r="F872" s="0" t="s">
        <v>1933</v>
      </c>
      <c r="G872" s="0" t="s">
        <v>184</v>
      </c>
      <c r="H872" s="0" t="s">
        <v>7701</v>
      </c>
      <c r="I872" s="0" t="s">
        <v>7338</v>
      </c>
      <c r="J872" s="0" t="s">
        <v>1602</v>
      </c>
      <c r="K872" s="0" t="s">
        <v>7339</v>
      </c>
      <c r="L872" s="0" t="s">
        <v>7340</v>
      </c>
      <c r="M872" s="0" t="s">
        <v>7661</v>
      </c>
      <c r="N872" s="0" t="s">
        <v>7342</v>
      </c>
      <c r="P872" s="0" t="s">
        <v>229</v>
      </c>
      <c r="Q872" s="0" t="s">
        <v>7354</v>
      </c>
      <c r="R872" s="0" t="s">
        <v>7343</v>
      </c>
      <c r="S872" s="0" t="s">
        <v>7344</v>
      </c>
      <c r="T872" s="0" t="s">
        <v>228</v>
      </c>
      <c r="V872" s="0" t="s">
        <v>1358</v>
      </c>
      <c r="W872" s="0" t="s">
        <v>65</v>
      </c>
      <c r="X872" s="0" t="s">
        <v>7355</v>
      </c>
      <c r="AB872" s="0" t="s">
        <v>1640</v>
      </c>
      <c r="AC872" s="0" t="s">
        <v>7629</v>
      </c>
      <c r="AD872" s="0" t="s">
        <v>7935</v>
      </c>
      <c r="AE872" s="0" t="s">
        <v>7360</v>
      </c>
      <c r="AF872" s="0" t="s">
        <v>7361</v>
      </c>
      <c r="AG872" s="0" t="s">
        <v>230</v>
      </c>
    </row>
    <row r="873" customFormat="false" ht="15" hidden="false" customHeight="false" outlineLevel="0" collapsed="false">
      <c r="A873" s="0" t="s">
        <v>7336</v>
      </c>
      <c r="B873" s="0" t="s">
        <v>3298</v>
      </c>
      <c r="C873" s="0" t="s">
        <v>3299</v>
      </c>
      <c r="D873" s="0" t="s">
        <v>227</v>
      </c>
      <c r="E873" s="0" t="s">
        <v>3300</v>
      </c>
      <c r="F873" s="0" t="s">
        <v>1909</v>
      </c>
      <c r="G873" s="0" t="s">
        <v>184</v>
      </c>
      <c r="H873" s="0" t="s">
        <v>7698</v>
      </c>
      <c r="I873" s="0" t="s">
        <v>7338</v>
      </c>
      <c r="J873" s="0" t="s">
        <v>1602</v>
      </c>
      <c r="K873" s="0" t="s">
        <v>7339</v>
      </c>
      <c r="L873" s="0" t="s">
        <v>7340</v>
      </c>
      <c r="M873" s="0" t="s">
        <v>7661</v>
      </c>
      <c r="N873" s="0" t="s">
        <v>7342</v>
      </c>
      <c r="P873" s="0" t="s">
        <v>229</v>
      </c>
      <c r="Q873" s="0" t="s">
        <v>7354</v>
      </c>
      <c r="R873" s="0" t="s">
        <v>7343</v>
      </c>
      <c r="S873" s="0" t="s">
        <v>7344</v>
      </c>
      <c r="T873" s="0" t="s">
        <v>228</v>
      </c>
      <c r="V873" s="0" t="s">
        <v>1358</v>
      </c>
      <c r="W873" s="0" t="s">
        <v>69</v>
      </c>
      <c r="X873" s="0" t="s">
        <v>7355</v>
      </c>
      <c r="AB873" s="0" t="s">
        <v>1640</v>
      </c>
      <c r="AC873" s="0" t="s">
        <v>7629</v>
      </c>
      <c r="AD873" s="0" t="s">
        <v>7934</v>
      </c>
      <c r="AE873" s="0" t="s">
        <v>7360</v>
      </c>
      <c r="AF873" s="0" t="s">
        <v>7361</v>
      </c>
      <c r="AG873" s="0" t="s">
        <v>230</v>
      </c>
    </row>
    <row r="874" customFormat="false" ht="15" hidden="false" customHeight="false" outlineLevel="0" collapsed="false">
      <c r="A874" s="0" t="s">
        <v>7336</v>
      </c>
      <c r="B874" s="0" t="s">
        <v>3301</v>
      </c>
      <c r="C874" s="0" t="s">
        <v>3302</v>
      </c>
      <c r="D874" s="0" t="s">
        <v>227</v>
      </c>
      <c r="E874" s="0" t="s">
        <v>3303</v>
      </c>
      <c r="F874" s="0" t="s">
        <v>1909</v>
      </c>
      <c r="G874" s="0" t="s">
        <v>184</v>
      </c>
      <c r="H874" s="0" t="s">
        <v>7698</v>
      </c>
      <c r="I874" s="0" t="s">
        <v>7338</v>
      </c>
      <c r="J874" s="0" t="s">
        <v>1602</v>
      </c>
      <c r="K874" s="0" t="s">
        <v>7339</v>
      </c>
      <c r="L874" s="0" t="s">
        <v>7340</v>
      </c>
      <c r="M874" s="0" t="s">
        <v>7661</v>
      </c>
      <c r="N874" s="0" t="s">
        <v>7342</v>
      </c>
      <c r="P874" s="0" t="s">
        <v>229</v>
      </c>
      <c r="Q874" s="0" t="s">
        <v>7354</v>
      </c>
      <c r="R874" s="0" t="s">
        <v>7343</v>
      </c>
      <c r="S874" s="0" t="s">
        <v>7344</v>
      </c>
      <c r="T874" s="0" t="s">
        <v>228</v>
      </c>
      <c r="V874" s="0" t="s">
        <v>1358</v>
      </c>
      <c r="W874" s="0" t="s">
        <v>65</v>
      </c>
      <c r="X874" s="0" t="s">
        <v>7355</v>
      </c>
      <c r="AB874" s="0" t="s">
        <v>1640</v>
      </c>
      <c r="AC874" s="0" t="s">
        <v>7629</v>
      </c>
      <c r="AD874" s="0" t="s">
        <v>7934</v>
      </c>
      <c r="AE874" s="0" t="s">
        <v>7360</v>
      </c>
      <c r="AF874" s="0" t="s">
        <v>7361</v>
      </c>
      <c r="AG874" s="0" t="s">
        <v>230</v>
      </c>
    </row>
    <row r="875" customFormat="false" ht="15" hidden="false" customHeight="false" outlineLevel="0" collapsed="false">
      <c r="A875" s="0" t="s">
        <v>7336</v>
      </c>
      <c r="B875" s="0" t="s">
        <v>3304</v>
      </c>
      <c r="C875" s="0" t="s">
        <v>3305</v>
      </c>
      <c r="D875" s="0" t="s">
        <v>227</v>
      </c>
      <c r="E875" s="0" t="s">
        <v>3306</v>
      </c>
      <c r="F875" s="0" t="s">
        <v>1909</v>
      </c>
      <c r="G875" s="0" t="s">
        <v>184</v>
      </c>
      <c r="H875" s="0" t="s">
        <v>7698</v>
      </c>
      <c r="I875" s="0" t="s">
        <v>7338</v>
      </c>
      <c r="J875" s="0" t="s">
        <v>1602</v>
      </c>
      <c r="K875" s="0" t="s">
        <v>7339</v>
      </c>
      <c r="L875" s="0" t="s">
        <v>7340</v>
      </c>
      <c r="M875" s="0" t="s">
        <v>7661</v>
      </c>
      <c r="N875" s="0" t="s">
        <v>7342</v>
      </c>
      <c r="P875" s="0" t="s">
        <v>229</v>
      </c>
      <c r="Q875" s="0" t="s">
        <v>7354</v>
      </c>
      <c r="R875" s="0" t="s">
        <v>7343</v>
      </c>
      <c r="S875" s="0" t="s">
        <v>7344</v>
      </c>
      <c r="T875" s="0" t="s">
        <v>228</v>
      </c>
      <c r="V875" s="0" t="s">
        <v>1358</v>
      </c>
      <c r="W875" s="0" t="s">
        <v>65</v>
      </c>
      <c r="X875" s="0" t="s">
        <v>7355</v>
      </c>
      <c r="AB875" s="0" t="s">
        <v>1640</v>
      </c>
      <c r="AC875" s="0" t="s">
        <v>7629</v>
      </c>
      <c r="AD875" s="0" t="s">
        <v>7934</v>
      </c>
      <c r="AE875" s="0" t="s">
        <v>7360</v>
      </c>
      <c r="AF875" s="0" t="s">
        <v>7361</v>
      </c>
      <c r="AG875" s="0" t="s">
        <v>230</v>
      </c>
    </row>
    <row r="876" customFormat="false" ht="15" hidden="false" customHeight="false" outlineLevel="0" collapsed="false">
      <c r="A876" s="0" t="s">
        <v>7336</v>
      </c>
      <c r="B876" s="0" t="s">
        <v>3307</v>
      </c>
      <c r="C876" s="0" t="s">
        <v>3308</v>
      </c>
      <c r="D876" s="0" t="s">
        <v>227</v>
      </c>
      <c r="E876" s="0" t="s">
        <v>3309</v>
      </c>
      <c r="F876" s="0" t="s">
        <v>1909</v>
      </c>
      <c r="G876" s="0" t="s">
        <v>184</v>
      </c>
      <c r="H876" s="0" t="s">
        <v>7698</v>
      </c>
      <c r="I876" s="0" t="s">
        <v>7338</v>
      </c>
      <c r="J876" s="0" t="s">
        <v>1602</v>
      </c>
      <c r="K876" s="0" t="s">
        <v>7339</v>
      </c>
      <c r="L876" s="0" t="s">
        <v>7340</v>
      </c>
      <c r="M876" s="0" t="s">
        <v>7661</v>
      </c>
      <c r="N876" s="0" t="s">
        <v>7342</v>
      </c>
      <c r="P876" s="0" t="s">
        <v>229</v>
      </c>
      <c r="Q876" s="0" t="s">
        <v>7354</v>
      </c>
      <c r="R876" s="0" t="s">
        <v>7343</v>
      </c>
      <c r="S876" s="0" t="s">
        <v>7344</v>
      </c>
      <c r="T876" s="0" t="s">
        <v>228</v>
      </c>
      <c r="V876" s="0" t="s">
        <v>1358</v>
      </c>
      <c r="W876" s="0" t="s">
        <v>69</v>
      </c>
      <c r="X876" s="0" t="s">
        <v>7355</v>
      </c>
      <c r="AB876" s="0" t="s">
        <v>1640</v>
      </c>
      <c r="AC876" s="0" t="s">
        <v>7629</v>
      </c>
      <c r="AD876" s="0" t="s">
        <v>7934</v>
      </c>
      <c r="AE876" s="0" t="s">
        <v>7360</v>
      </c>
      <c r="AF876" s="0" t="s">
        <v>7361</v>
      </c>
      <c r="AG876" s="0" t="s">
        <v>230</v>
      </c>
    </row>
    <row r="877" customFormat="false" ht="15" hidden="false" customHeight="false" outlineLevel="0" collapsed="false">
      <c r="A877" s="0" t="s">
        <v>7336</v>
      </c>
      <c r="B877" s="0" t="s">
        <v>3310</v>
      </c>
      <c r="C877" s="0" t="s">
        <v>3311</v>
      </c>
      <c r="D877" s="0" t="s">
        <v>227</v>
      </c>
      <c r="E877" s="0" t="s">
        <v>3312</v>
      </c>
      <c r="F877" s="0" t="s">
        <v>1909</v>
      </c>
      <c r="G877" s="0" t="s">
        <v>184</v>
      </c>
      <c r="H877" s="0" t="s">
        <v>7698</v>
      </c>
      <c r="I877" s="0" t="s">
        <v>7338</v>
      </c>
      <c r="J877" s="0" t="s">
        <v>1602</v>
      </c>
      <c r="K877" s="0" t="s">
        <v>7339</v>
      </c>
      <c r="L877" s="0" t="s">
        <v>7340</v>
      </c>
      <c r="M877" s="0" t="s">
        <v>7661</v>
      </c>
      <c r="N877" s="0" t="s">
        <v>7342</v>
      </c>
      <c r="P877" s="0" t="s">
        <v>229</v>
      </c>
      <c r="Q877" s="0" t="s">
        <v>7354</v>
      </c>
      <c r="R877" s="0" t="s">
        <v>7343</v>
      </c>
      <c r="S877" s="0" t="s">
        <v>7344</v>
      </c>
      <c r="T877" s="0" t="s">
        <v>228</v>
      </c>
      <c r="V877" s="0" t="s">
        <v>1358</v>
      </c>
      <c r="W877" s="0" t="s">
        <v>65</v>
      </c>
      <c r="X877" s="0" t="s">
        <v>7355</v>
      </c>
      <c r="AB877" s="0" t="s">
        <v>1640</v>
      </c>
      <c r="AC877" s="0" t="s">
        <v>7629</v>
      </c>
      <c r="AD877" s="0" t="s">
        <v>7934</v>
      </c>
      <c r="AE877" s="0" t="s">
        <v>7360</v>
      </c>
      <c r="AF877" s="0" t="s">
        <v>7361</v>
      </c>
      <c r="AG877" s="0" t="s">
        <v>230</v>
      </c>
    </row>
    <row r="878" customFormat="false" ht="15" hidden="false" customHeight="false" outlineLevel="0" collapsed="false">
      <c r="A878" s="0" t="s">
        <v>7336</v>
      </c>
      <c r="B878" s="0" t="s">
        <v>3313</v>
      </c>
      <c r="C878" s="0" t="s">
        <v>3314</v>
      </c>
      <c r="D878" s="0" t="s">
        <v>227</v>
      </c>
      <c r="E878" s="0" t="s">
        <v>3315</v>
      </c>
      <c r="F878" s="0" t="s">
        <v>1909</v>
      </c>
      <c r="G878" s="0" t="s">
        <v>184</v>
      </c>
      <c r="H878" s="0" t="s">
        <v>7698</v>
      </c>
      <c r="I878" s="0" t="s">
        <v>7338</v>
      </c>
      <c r="J878" s="0" t="s">
        <v>1602</v>
      </c>
      <c r="K878" s="0" t="s">
        <v>7339</v>
      </c>
      <c r="L878" s="0" t="s">
        <v>7340</v>
      </c>
      <c r="M878" s="0" t="s">
        <v>7661</v>
      </c>
      <c r="N878" s="0" t="s">
        <v>7342</v>
      </c>
      <c r="P878" s="0" t="s">
        <v>229</v>
      </c>
      <c r="Q878" s="0" t="s">
        <v>7354</v>
      </c>
      <c r="R878" s="0" t="s">
        <v>7343</v>
      </c>
      <c r="S878" s="0" t="s">
        <v>7344</v>
      </c>
      <c r="T878" s="0" t="s">
        <v>228</v>
      </c>
      <c r="V878" s="0" t="s">
        <v>1358</v>
      </c>
      <c r="W878" s="0" t="s">
        <v>65</v>
      </c>
      <c r="X878" s="0" t="s">
        <v>7355</v>
      </c>
      <c r="AB878" s="0" t="s">
        <v>1640</v>
      </c>
      <c r="AC878" s="0" t="s">
        <v>7629</v>
      </c>
      <c r="AD878" s="0" t="s">
        <v>7935</v>
      </c>
      <c r="AE878" s="0" t="s">
        <v>7360</v>
      </c>
      <c r="AF878" s="0" t="s">
        <v>7361</v>
      </c>
      <c r="AG878" s="0" t="s">
        <v>230</v>
      </c>
    </row>
    <row r="879" customFormat="false" ht="15" hidden="false" customHeight="false" outlineLevel="0" collapsed="false">
      <c r="A879" s="0" t="s">
        <v>7336</v>
      </c>
      <c r="B879" s="0" t="s">
        <v>3316</v>
      </c>
      <c r="C879" s="0" t="s">
        <v>3317</v>
      </c>
      <c r="D879" s="0" t="s">
        <v>227</v>
      </c>
      <c r="E879" s="0" t="s">
        <v>3318</v>
      </c>
      <c r="F879" s="0" t="s">
        <v>3319</v>
      </c>
      <c r="G879" s="0" t="s">
        <v>184</v>
      </c>
      <c r="H879" s="0" t="s">
        <v>7936</v>
      </c>
      <c r="I879" s="0" t="s">
        <v>7338</v>
      </c>
      <c r="J879" s="0" t="s">
        <v>1602</v>
      </c>
      <c r="K879" s="0" t="s">
        <v>7339</v>
      </c>
      <c r="L879" s="0" t="s">
        <v>7340</v>
      </c>
      <c r="M879" s="0" t="s">
        <v>7661</v>
      </c>
      <c r="N879" s="0" t="s">
        <v>7342</v>
      </c>
      <c r="P879" s="0" t="s">
        <v>229</v>
      </c>
      <c r="Q879" s="0" t="s">
        <v>7354</v>
      </c>
      <c r="R879" s="0" t="s">
        <v>7343</v>
      </c>
      <c r="S879" s="0" t="s">
        <v>7344</v>
      </c>
      <c r="T879" s="0" t="s">
        <v>228</v>
      </c>
      <c r="V879" s="0" t="s">
        <v>1358</v>
      </c>
      <c r="W879" s="0" t="s">
        <v>69</v>
      </c>
      <c r="X879" s="0" t="s">
        <v>7355</v>
      </c>
      <c r="AB879" s="0" t="s">
        <v>1640</v>
      </c>
      <c r="AC879" s="0" t="s">
        <v>7629</v>
      </c>
      <c r="AD879" s="0" t="s">
        <v>7934</v>
      </c>
      <c r="AE879" s="0" t="s">
        <v>7360</v>
      </c>
      <c r="AF879" s="0" t="s">
        <v>7361</v>
      </c>
      <c r="AG879" s="0" t="s">
        <v>230</v>
      </c>
    </row>
    <row r="880" customFormat="false" ht="15" hidden="false" customHeight="false" outlineLevel="0" collapsed="false">
      <c r="A880" s="0" t="s">
        <v>7336</v>
      </c>
      <c r="B880" s="0" t="s">
        <v>3320</v>
      </c>
      <c r="C880" s="0" t="s">
        <v>3321</v>
      </c>
      <c r="D880" s="0" t="s">
        <v>227</v>
      </c>
      <c r="E880" s="0" t="s">
        <v>3322</v>
      </c>
      <c r="F880" s="0" t="s">
        <v>3319</v>
      </c>
      <c r="G880" s="0" t="s">
        <v>184</v>
      </c>
      <c r="H880" s="0" t="s">
        <v>7936</v>
      </c>
      <c r="I880" s="0" t="s">
        <v>7338</v>
      </c>
      <c r="J880" s="0" t="s">
        <v>1602</v>
      </c>
      <c r="K880" s="0" t="s">
        <v>7339</v>
      </c>
      <c r="L880" s="0" t="s">
        <v>7340</v>
      </c>
      <c r="M880" s="0" t="s">
        <v>7661</v>
      </c>
      <c r="N880" s="0" t="s">
        <v>7342</v>
      </c>
      <c r="P880" s="0" t="s">
        <v>229</v>
      </c>
      <c r="Q880" s="0" t="s">
        <v>7354</v>
      </c>
      <c r="R880" s="0" t="s">
        <v>7343</v>
      </c>
      <c r="S880" s="0" t="s">
        <v>7344</v>
      </c>
      <c r="T880" s="0" t="s">
        <v>228</v>
      </c>
      <c r="V880" s="0" t="s">
        <v>1358</v>
      </c>
      <c r="W880" s="0" t="s">
        <v>69</v>
      </c>
      <c r="X880" s="0" t="s">
        <v>7355</v>
      </c>
      <c r="AB880" s="0" t="s">
        <v>1640</v>
      </c>
      <c r="AC880" s="0" t="s">
        <v>7629</v>
      </c>
      <c r="AD880" s="0" t="s">
        <v>7934</v>
      </c>
      <c r="AE880" s="0" t="s">
        <v>7360</v>
      </c>
      <c r="AF880" s="0" t="s">
        <v>7361</v>
      </c>
      <c r="AG880" s="0" t="s">
        <v>230</v>
      </c>
    </row>
    <row r="881" customFormat="false" ht="15" hidden="false" customHeight="false" outlineLevel="0" collapsed="false">
      <c r="A881" s="0" t="s">
        <v>7336</v>
      </c>
      <c r="B881" s="0" t="s">
        <v>3323</v>
      </c>
      <c r="C881" s="0" t="s">
        <v>3324</v>
      </c>
      <c r="D881" s="0" t="s">
        <v>227</v>
      </c>
      <c r="E881" s="0" t="s">
        <v>3325</v>
      </c>
      <c r="F881" s="0" t="s">
        <v>3326</v>
      </c>
      <c r="G881" s="0" t="s">
        <v>174</v>
      </c>
      <c r="H881" s="0" t="s">
        <v>7937</v>
      </c>
      <c r="I881" s="0" t="s">
        <v>7338</v>
      </c>
      <c r="J881" s="0" t="s">
        <v>1602</v>
      </c>
      <c r="K881" s="0" t="s">
        <v>7339</v>
      </c>
      <c r="L881" s="0" t="s">
        <v>7340</v>
      </c>
      <c r="M881" s="0" t="s">
        <v>7661</v>
      </c>
      <c r="N881" s="0" t="s">
        <v>7342</v>
      </c>
      <c r="P881" s="0" t="s">
        <v>229</v>
      </c>
      <c r="Q881" s="0" t="s">
        <v>7354</v>
      </c>
      <c r="R881" s="0" t="s">
        <v>7343</v>
      </c>
      <c r="S881" s="0" t="s">
        <v>7344</v>
      </c>
      <c r="T881" s="0" t="s">
        <v>228</v>
      </c>
      <c r="V881" s="0" t="s">
        <v>73</v>
      </c>
      <c r="W881" s="0" t="s">
        <v>76</v>
      </c>
      <c r="X881" s="0" t="s">
        <v>7355</v>
      </c>
      <c r="Y881" s="0" t="s">
        <v>7356</v>
      </c>
      <c r="Z881" s="0" t="s">
        <v>7357</v>
      </c>
      <c r="AA881" s="0" t="s">
        <v>7358</v>
      </c>
      <c r="AB881" s="0" t="s">
        <v>344</v>
      </c>
      <c r="AC881" s="0" t="s">
        <v>7629</v>
      </c>
      <c r="AD881" s="0" t="s">
        <v>7761</v>
      </c>
      <c r="AE881" s="0" t="s">
        <v>7360</v>
      </c>
      <c r="AF881" s="0" t="s">
        <v>7361</v>
      </c>
      <c r="AG881" s="0" t="s">
        <v>230</v>
      </c>
    </row>
    <row r="882" customFormat="false" ht="15" hidden="false" customHeight="false" outlineLevel="0" collapsed="false">
      <c r="A882" s="0" t="s">
        <v>7336</v>
      </c>
      <c r="B882" s="0" t="s">
        <v>3327</v>
      </c>
      <c r="C882" s="0" t="s">
        <v>3328</v>
      </c>
      <c r="D882" s="0" t="s">
        <v>227</v>
      </c>
      <c r="E882" s="0" t="s">
        <v>3329</v>
      </c>
      <c r="F882" s="0" t="s">
        <v>3326</v>
      </c>
      <c r="G882" s="0" t="s">
        <v>174</v>
      </c>
      <c r="H882" s="0" t="s">
        <v>7937</v>
      </c>
      <c r="I882" s="0" t="s">
        <v>7338</v>
      </c>
      <c r="J882" s="0" t="s">
        <v>1602</v>
      </c>
      <c r="K882" s="0" t="s">
        <v>7339</v>
      </c>
      <c r="L882" s="0" t="s">
        <v>7340</v>
      </c>
      <c r="M882" s="0" t="s">
        <v>7661</v>
      </c>
      <c r="N882" s="0" t="s">
        <v>7342</v>
      </c>
      <c r="P882" s="0" t="s">
        <v>229</v>
      </c>
      <c r="Q882" s="0" t="s">
        <v>7354</v>
      </c>
      <c r="R882" s="0" t="s">
        <v>7343</v>
      </c>
      <c r="S882" s="0" t="s">
        <v>7344</v>
      </c>
      <c r="T882" s="0" t="s">
        <v>228</v>
      </c>
      <c r="V882" s="0" t="s">
        <v>73</v>
      </c>
      <c r="W882" s="0" t="s">
        <v>80</v>
      </c>
      <c r="X882" s="0" t="s">
        <v>7355</v>
      </c>
      <c r="Y882" s="0" t="s">
        <v>7356</v>
      </c>
      <c r="Z882" s="0" t="s">
        <v>7357</v>
      </c>
      <c r="AA882" s="0" t="s">
        <v>7358</v>
      </c>
      <c r="AB882" s="0" t="s">
        <v>344</v>
      </c>
      <c r="AC882" s="0" t="s">
        <v>7629</v>
      </c>
      <c r="AD882" s="0" t="s">
        <v>7938</v>
      </c>
      <c r="AE882" s="0" t="s">
        <v>7360</v>
      </c>
      <c r="AF882" s="0" t="s">
        <v>7361</v>
      </c>
      <c r="AG882" s="0" t="s">
        <v>230</v>
      </c>
    </row>
    <row r="883" customFormat="false" ht="15" hidden="false" customHeight="false" outlineLevel="0" collapsed="false">
      <c r="A883" s="0" t="s">
        <v>7336</v>
      </c>
      <c r="B883" s="0" t="s">
        <v>3330</v>
      </c>
      <c r="C883" s="0" t="s">
        <v>3331</v>
      </c>
      <c r="D883" s="0" t="s">
        <v>227</v>
      </c>
      <c r="E883" s="0" t="s">
        <v>3332</v>
      </c>
      <c r="F883" s="0" t="s">
        <v>3333</v>
      </c>
      <c r="G883" s="0" t="s">
        <v>174</v>
      </c>
      <c r="H883" s="0" t="s">
        <v>7939</v>
      </c>
      <c r="I883" s="0" t="s">
        <v>7338</v>
      </c>
      <c r="J883" s="0" t="s">
        <v>1602</v>
      </c>
      <c r="K883" s="0" t="s">
        <v>7339</v>
      </c>
      <c r="L883" s="0" t="s">
        <v>7340</v>
      </c>
      <c r="M883" s="0" t="s">
        <v>7661</v>
      </c>
      <c r="N883" s="0" t="s">
        <v>7342</v>
      </c>
      <c r="P883" s="0" t="s">
        <v>229</v>
      </c>
      <c r="Q883" s="0" t="s">
        <v>7354</v>
      </c>
      <c r="R883" s="0" t="s">
        <v>7343</v>
      </c>
      <c r="S883" s="0" t="s">
        <v>7344</v>
      </c>
      <c r="T883" s="0" t="s">
        <v>228</v>
      </c>
      <c r="V883" s="0" t="s">
        <v>73</v>
      </c>
      <c r="W883" s="0" t="s">
        <v>76</v>
      </c>
      <c r="X883" s="0" t="s">
        <v>7355</v>
      </c>
      <c r="Y883" s="0" t="s">
        <v>7356</v>
      </c>
      <c r="Z883" s="0" t="s">
        <v>7357</v>
      </c>
      <c r="AA883" s="0" t="s">
        <v>7358</v>
      </c>
      <c r="AB883" s="0" t="s">
        <v>344</v>
      </c>
      <c r="AC883" s="0" t="s">
        <v>7629</v>
      </c>
      <c r="AD883" s="0" t="s">
        <v>7761</v>
      </c>
      <c r="AE883" s="0" t="s">
        <v>7360</v>
      </c>
      <c r="AF883" s="0" t="s">
        <v>7361</v>
      </c>
      <c r="AG883" s="0" t="s">
        <v>230</v>
      </c>
    </row>
    <row r="884" customFormat="false" ht="15" hidden="false" customHeight="false" outlineLevel="0" collapsed="false">
      <c r="A884" s="0" t="s">
        <v>7336</v>
      </c>
      <c r="B884" s="0" t="s">
        <v>3334</v>
      </c>
      <c r="C884" s="0" t="s">
        <v>3335</v>
      </c>
      <c r="D884" s="0" t="s">
        <v>227</v>
      </c>
      <c r="E884" s="0" t="s">
        <v>3336</v>
      </c>
      <c r="F884" s="0" t="s">
        <v>3333</v>
      </c>
      <c r="G884" s="0" t="s">
        <v>174</v>
      </c>
      <c r="H884" s="0" t="s">
        <v>7939</v>
      </c>
      <c r="I884" s="0" t="s">
        <v>7338</v>
      </c>
      <c r="J884" s="0" t="s">
        <v>1602</v>
      </c>
      <c r="K884" s="0" t="s">
        <v>7339</v>
      </c>
      <c r="L884" s="0" t="s">
        <v>7340</v>
      </c>
      <c r="M884" s="0" t="s">
        <v>7661</v>
      </c>
      <c r="N884" s="0" t="s">
        <v>7342</v>
      </c>
      <c r="P884" s="0" t="s">
        <v>229</v>
      </c>
      <c r="Q884" s="0" t="s">
        <v>7354</v>
      </c>
      <c r="R884" s="0" t="s">
        <v>7343</v>
      </c>
      <c r="S884" s="0" t="s">
        <v>7344</v>
      </c>
      <c r="T884" s="0" t="s">
        <v>228</v>
      </c>
      <c r="V884" s="0" t="s">
        <v>73</v>
      </c>
      <c r="W884" s="0" t="s">
        <v>80</v>
      </c>
      <c r="X884" s="0" t="s">
        <v>7355</v>
      </c>
      <c r="Y884" s="0" t="s">
        <v>7356</v>
      </c>
      <c r="Z884" s="0" t="s">
        <v>7357</v>
      </c>
      <c r="AA884" s="0" t="s">
        <v>7358</v>
      </c>
      <c r="AB884" s="0" t="s">
        <v>344</v>
      </c>
      <c r="AC884" s="0" t="s">
        <v>7629</v>
      </c>
      <c r="AD884" s="0" t="s">
        <v>7938</v>
      </c>
      <c r="AE884" s="0" t="s">
        <v>7360</v>
      </c>
      <c r="AF884" s="0" t="s">
        <v>7361</v>
      </c>
      <c r="AG884" s="0" t="s">
        <v>230</v>
      </c>
    </row>
    <row r="885" customFormat="false" ht="15" hidden="false" customHeight="false" outlineLevel="0" collapsed="false">
      <c r="A885" s="0" t="s">
        <v>7336</v>
      </c>
      <c r="B885" s="0" t="s">
        <v>3337</v>
      </c>
      <c r="C885" s="0" t="s">
        <v>3338</v>
      </c>
      <c r="D885" s="0" t="s">
        <v>227</v>
      </c>
      <c r="E885" s="0" t="s">
        <v>3339</v>
      </c>
      <c r="F885" s="0" t="s">
        <v>3340</v>
      </c>
      <c r="G885" s="0" t="s">
        <v>174</v>
      </c>
      <c r="H885" s="0" t="s">
        <v>7940</v>
      </c>
      <c r="I885" s="0" t="s">
        <v>7338</v>
      </c>
      <c r="J885" s="0" t="s">
        <v>1602</v>
      </c>
      <c r="K885" s="0" t="s">
        <v>7339</v>
      </c>
      <c r="L885" s="0" t="s">
        <v>7340</v>
      </c>
      <c r="M885" s="0" t="s">
        <v>7661</v>
      </c>
      <c r="N885" s="0" t="s">
        <v>7342</v>
      </c>
      <c r="P885" s="0" t="s">
        <v>229</v>
      </c>
      <c r="Q885" s="0" t="s">
        <v>7354</v>
      </c>
      <c r="R885" s="0" t="s">
        <v>7343</v>
      </c>
      <c r="S885" s="0" t="s">
        <v>7344</v>
      </c>
      <c r="T885" s="0" t="s">
        <v>228</v>
      </c>
      <c r="V885" s="0" t="s">
        <v>73</v>
      </c>
      <c r="W885" s="0" t="s">
        <v>76</v>
      </c>
      <c r="X885" s="0" t="s">
        <v>7355</v>
      </c>
      <c r="Y885" s="0" t="s">
        <v>7356</v>
      </c>
      <c r="Z885" s="0" t="s">
        <v>7357</v>
      </c>
      <c r="AA885" s="0" t="s">
        <v>7358</v>
      </c>
      <c r="AB885" s="0" t="s">
        <v>344</v>
      </c>
      <c r="AC885" s="0" t="s">
        <v>7629</v>
      </c>
      <c r="AD885" s="0" t="s">
        <v>7761</v>
      </c>
      <c r="AE885" s="0" t="s">
        <v>7360</v>
      </c>
      <c r="AF885" s="0" t="s">
        <v>7361</v>
      </c>
      <c r="AG885" s="0" t="s">
        <v>230</v>
      </c>
    </row>
    <row r="886" customFormat="false" ht="15" hidden="false" customHeight="false" outlineLevel="0" collapsed="false">
      <c r="A886" s="0" t="s">
        <v>7336</v>
      </c>
      <c r="B886" s="0" t="s">
        <v>3341</v>
      </c>
      <c r="C886" s="0" t="s">
        <v>3342</v>
      </c>
      <c r="D886" s="0" t="s">
        <v>227</v>
      </c>
      <c r="E886" s="0" t="s">
        <v>3343</v>
      </c>
      <c r="F886" s="0" t="s">
        <v>3340</v>
      </c>
      <c r="G886" s="0" t="s">
        <v>174</v>
      </c>
      <c r="H886" s="0" t="s">
        <v>7940</v>
      </c>
      <c r="I886" s="0" t="s">
        <v>7338</v>
      </c>
      <c r="J886" s="0" t="s">
        <v>1602</v>
      </c>
      <c r="K886" s="0" t="s">
        <v>7339</v>
      </c>
      <c r="L886" s="0" t="s">
        <v>7340</v>
      </c>
      <c r="M886" s="0" t="s">
        <v>7661</v>
      </c>
      <c r="N886" s="0" t="s">
        <v>7342</v>
      </c>
      <c r="P886" s="0" t="s">
        <v>229</v>
      </c>
      <c r="Q886" s="0" t="s">
        <v>7354</v>
      </c>
      <c r="R886" s="0" t="s">
        <v>7343</v>
      </c>
      <c r="S886" s="0" t="s">
        <v>7344</v>
      </c>
      <c r="T886" s="0" t="s">
        <v>228</v>
      </c>
      <c r="V886" s="0" t="s">
        <v>73</v>
      </c>
      <c r="W886" s="0" t="s">
        <v>76</v>
      </c>
      <c r="X886" s="0" t="s">
        <v>7355</v>
      </c>
      <c r="Y886" s="0" t="s">
        <v>7356</v>
      </c>
      <c r="Z886" s="0" t="s">
        <v>7357</v>
      </c>
      <c r="AA886" s="0" t="s">
        <v>7358</v>
      </c>
      <c r="AB886" s="0" t="s">
        <v>344</v>
      </c>
      <c r="AC886" s="0" t="s">
        <v>7629</v>
      </c>
      <c r="AD886" s="0" t="s">
        <v>7761</v>
      </c>
      <c r="AE886" s="0" t="s">
        <v>7360</v>
      </c>
      <c r="AF886" s="0" t="s">
        <v>7361</v>
      </c>
      <c r="AG886" s="0" t="s">
        <v>230</v>
      </c>
    </row>
    <row r="887" customFormat="false" ht="15" hidden="false" customHeight="false" outlineLevel="0" collapsed="false">
      <c r="A887" s="0" t="s">
        <v>7336</v>
      </c>
      <c r="B887" s="0" t="s">
        <v>3344</v>
      </c>
      <c r="C887" s="0" t="s">
        <v>3345</v>
      </c>
      <c r="D887" s="0" t="s">
        <v>227</v>
      </c>
      <c r="E887" s="0" t="s">
        <v>3346</v>
      </c>
      <c r="F887" s="0" t="s">
        <v>3347</v>
      </c>
      <c r="G887" s="0" t="s">
        <v>174</v>
      </c>
      <c r="H887" s="0" t="s">
        <v>7941</v>
      </c>
      <c r="I887" s="0" t="s">
        <v>7338</v>
      </c>
      <c r="J887" s="0" t="s">
        <v>1602</v>
      </c>
      <c r="K887" s="0" t="s">
        <v>7339</v>
      </c>
      <c r="L887" s="0" t="s">
        <v>7340</v>
      </c>
      <c r="M887" s="0" t="s">
        <v>7661</v>
      </c>
      <c r="N887" s="0" t="s">
        <v>7342</v>
      </c>
      <c r="P887" s="0" t="s">
        <v>229</v>
      </c>
      <c r="Q887" s="0" t="s">
        <v>7354</v>
      </c>
      <c r="R887" s="0" t="s">
        <v>7343</v>
      </c>
      <c r="S887" s="0" t="s">
        <v>7344</v>
      </c>
      <c r="T887" s="0" t="s">
        <v>228</v>
      </c>
      <c r="V887" s="0" t="s">
        <v>73</v>
      </c>
      <c r="W887" s="0" t="s">
        <v>76</v>
      </c>
      <c r="X887" s="0" t="s">
        <v>7355</v>
      </c>
      <c r="Y887" s="0" t="s">
        <v>7356</v>
      </c>
      <c r="Z887" s="0" t="s">
        <v>7357</v>
      </c>
      <c r="AA887" s="0" t="s">
        <v>7358</v>
      </c>
      <c r="AB887" s="0" t="s">
        <v>344</v>
      </c>
      <c r="AC887" s="0" t="s">
        <v>7629</v>
      </c>
      <c r="AD887" s="0" t="s">
        <v>7761</v>
      </c>
      <c r="AE887" s="0" t="s">
        <v>7360</v>
      </c>
      <c r="AF887" s="0" t="s">
        <v>7361</v>
      </c>
      <c r="AG887" s="0" t="s">
        <v>230</v>
      </c>
    </row>
    <row r="888" customFormat="false" ht="15" hidden="false" customHeight="false" outlineLevel="0" collapsed="false">
      <c r="A888" s="0" t="s">
        <v>7336</v>
      </c>
      <c r="B888" s="0" t="s">
        <v>3348</v>
      </c>
      <c r="C888" s="0" t="s">
        <v>3349</v>
      </c>
      <c r="D888" s="0" t="s">
        <v>227</v>
      </c>
      <c r="E888" s="0" t="s">
        <v>3350</v>
      </c>
      <c r="F888" s="0" t="s">
        <v>3351</v>
      </c>
      <c r="G888" s="0" t="s">
        <v>174</v>
      </c>
      <c r="H888" s="0" t="s">
        <v>7942</v>
      </c>
      <c r="I888" s="0" t="s">
        <v>7338</v>
      </c>
      <c r="J888" s="0" t="s">
        <v>1602</v>
      </c>
      <c r="K888" s="0" t="s">
        <v>7339</v>
      </c>
      <c r="L888" s="0" t="s">
        <v>7340</v>
      </c>
      <c r="M888" s="0" t="s">
        <v>7661</v>
      </c>
      <c r="N888" s="0" t="s">
        <v>7342</v>
      </c>
      <c r="P888" s="0" t="s">
        <v>229</v>
      </c>
      <c r="Q888" s="0" t="s">
        <v>7354</v>
      </c>
      <c r="R888" s="0" t="s">
        <v>7343</v>
      </c>
      <c r="S888" s="0" t="s">
        <v>7344</v>
      </c>
      <c r="T888" s="0" t="s">
        <v>228</v>
      </c>
      <c r="V888" s="0" t="s">
        <v>73</v>
      </c>
      <c r="W888" s="0" t="s">
        <v>76</v>
      </c>
      <c r="X888" s="0" t="s">
        <v>7355</v>
      </c>
      <c r="Y888" s="0" t="s">
        <v>7356</v>
      </c>
      <c r="Z888" s="0" t="s">
        <v>7357</v>
      </c>
      <c r="AA888" s="0" t="s">
        <v>7358</v>
      </c>
      <c r="AB888" s="0" t="s">
        <v>344</v>
      </c>
      <c r="AC888" s="0" t="s">
        <v>7629</v>
      </c>
      <c r="AD888" s="0" t="s">
        <v>7761</v>
      </c>
      <c r="AE888" s="0" t="s">
        <v>7360</v>
      </c>
      <c r="AF888" s="0" t="s">
        <v>7361</v>
      </c>
      <c r="AG888" s="0" t="s">
        <v>230</v>
      </c>
    </row>
    <row r="889" customFormat="false" ht="15" hidden="false" customHeight="false" outlineLevel="0" collapsed="false">
      <c r="A889" s="0" t="s">
        <v>7336</v>
      </c>
      <c r="B889" s="0" t="s">
        <v>3352</v>
      </c>
      <c r="C889" s="0" t="s">
        <v>3353</v>
      </c>
      <c r="D889" s="0" t="s">
        <v>227</v>
      </c>
      <c r="E889" s="0" t="s">
        <v>3354</v>
      </c>
      <c r="F889" s="0" t="s">
        <v>3340</v>
      </c>
      <c r="G889" s="0" t="s">
        <v>174</v>
      </c>
      <c r="H889" s="0" t="s">
        <v>7940</v>
      </c>
      <c r="I889" s="0" t="s">
        <v>7338</v>
      </c>
      <c r="J889" s="0" t="s">
        <v>1602</v>
      </c>
      <c r="K889" s="0" t="s">
        <v>7339</v>
      </c>
      <c r="L889" s="0" t="s">
        <v>7340</v>
      </c>
      <c r="M889" s="0" t="s">
        <v>7661</v>
      </c>
      <c r="N889" s="0" t="s">
        <v>7342</v>
      </c>
      <c r="P889" s="0" t="s">
        <v>229</v>
      </c>
      <c r="Q889" s="0" t="s">
        <v>7354</v>
      </c>
      <c r="R889" s="0" t="s">
        <v>7343</v>
      </c>
      <c r="S889" s="0" t="s">
        <v>7344</v>
      </c>
      <c r="T889" s="0" t="s">
        <v>228</v>
      </c>
      <c r="V889" s="0" t="s">
        <v>73</v>
      </c>
      <c r="W889" s="0" t="s">
        <v>76</v>
      </c>
      <c r="X889" s="0" t="s">
        <v>7355</v>
      </c>
      <c r="Y889" s="0" t="s">
        <v>7356</v>
      </c>
      <c r="Z889" s="0" t="s">
        <v>7357</v>
      </c>
      <c r="AA889" s="0" t="s">
        <v>7358</v>
      </c>
      <c r="AB889" s="0" t="s">
        <v>344</v>
      </c>
      <c r="AC889" s="0" t="s">
        <v>7629</v>
      </c>
      <c r="AD889" s="0" t="s">
        <v>7761</v>
      </c>
      <c r="AE889" s="0" t="s">
        <v>7360</v>
      </c>
      <c r="AF889" s="0" t="s">
        <v>7361</v>
      </c>
      <c r="AG889" s="0" t="s">
        <v>230</v>
      </c>
    </row>
    <row r="890" customFormat="false" ht="15" hidden="false" customHeight="false" outlineLevel="0" collapsed="false">
      <c r="A890" s="0" t="s">
        <v>7336</v>
      </c>
      <c r="B890" s="0" t="s">
        <v>3355</v>
      </c>
      <c r="C890" s="0" t="s">
        <v>3356</v>
      </c>
      <c r="D890" s="0" t="s">
        <v>227</v>
      </c>
      <c r="E890" s="0" t="s">
        <v>3357</v>
      </c>
      <c r="F890" s="0" t="s">
        <v>3340</v>
      </c>
      <c r="G890" s="0" t="s">
        <v>174</v>
      </c>
      <c r="H890" s="0" t="s">
        <v>7940</v>
      </c>
      <c r="I890" s="0" t="s">
        <v>7338</v>
      </c>
      <c r="J890" s="0" t="s">
        <v>1602</v>
      </c>
      <c r="K890" s="0" t="s">
        <v>7339</v>
      </c>
      <c r="L890" s="0" t="s">
        <v>7340</v>
      </c>
      <c r="M890" s="0" t="s">
        <v>7661</v>
      </c>
      <c r="N890" s="0" t="s">
        <v>7342</v>
      </c>
      <c r="P890" s="0" t="s">
        <v>229</v>
      </c>
      <c r="Q890" s="0" t="s">
        <v>7354</v>
      </c>
      <c r="R890" s="0" t="s">
        <v>7343</v>
      </c>
      <c r="S890" s="0" t="s">
        <v>7344</v>
      </c>
      <c r="T890" s="0" t="s">
        <v>228</v>
      </c>
      <c r="V890" s="0" t="s">
        <v>73</v>
      </c>
      <c r="W890" s="0" t="s">
        <v>76</v>
      </c>
      <c r="X890" s="0" t="s">
        <v>7355</v>
      </c>
      <c r="Y890" s="0" t="s">
        <v>7356</v>
      </c>
      <c r="Z890" s="0" t="s">
        <v>7357</v>
      </c>
      <c r="AA890" s="0" t="s">
        <v>7358</v>
      </c>
      <c r="AB890" s="0" t="s">
        <v>344</v>
      </c>
      <c r="AC890" s="0" t="s">
        <v>7629</v>
      </c>
      <c r="AD890" s="0" t="s">
        <v>7761</v>
      </c>
      <c r="AE890" s="0" t="s">
        <v>7360</v>
      </c>
      <c r="AF890" s="0" t="s">
        <v>7361</v>
      </c>
      <c r="AG890" s="0" t="s">
        <v>230</v>
      </c>
    </row>
    <row r="891" customFormat="false" ht="15" hidden="false" customHeight="false" outlineLevel="0" collapsed="false">
      <c r="A891" s="0" t="s">
        <v>7336</v>
      </c>
      <c r="B891" s="0" t="s">
        <v>3358</v>
      </c>
      <c r="C891" s="0" t="s">
        <v>3359</v>
      </c>
      <c r="D891" s="0" t="s">
        <v>227</v>
      </c>
      <c r="E891" s="0" t="s">
        <v>3360</v>
      </c>
      <c r="F891" s="0" t="s">
        <v>3361</v>
      </c>
      <c r="G891" s="0" t="s">
        <v>174</v>
      </c>
      <c r="H891" s="0" t="s">
        <v>7943</v>
      </c>
      <c r="I891" s="0" t="s">
        <v>7338</v>
      </c>
      <c r="J891" s="0" t="s">
        <v>1602</v>
      </c>
      <c r="K891" s="0" t="s">
        <v>7339</v>
      </c>
      <c r="L891" s="0" t="s">
        <v>7340</v>
      </c>
      <c r="M891" s="0" t="s">
        <v>7661</v>
      </c>
      <c r="N891" s="0" t="s">
        <v>7342</v>
      </c>
      <c r="P891" s="0" t="s">
        <v>229</v>
      </c>
      <c r="Q891" s="0" t="s">
        <v>7354</v>
      </c>
      <c r="R891" s="0" t="s">
        <v>7343</v>
      </c>
      <c r="S891" s="0" t="s">
        <v>7344</v>
      </c>
      <c r="T891" s="0" t="s">
        <v>228</v>
      </c>
      <c r="V891" s="0" t="s">
        <v>73</v>
      </c>
      <c r="W891" s="0" t="s">
        <v>76</v>
      </c>
      <c r="X891" s="0" t="s">
        <v>7355</v>
      </c>
      <c r="Y891" s="0" t="s">
        <v>7356</v>
      </c>
      <c r="Z891" s="0" t="s">
        <v>7357</v>
      </c>
      <c r="AA891" s="0" t="s">
        <v>7358</v>
      </c>
      <c r="AB891" s="0" t="s">
        <v>344</v>
      </c>
      <c r="AC891" s="0" t="s">
        <v>7629</v>
      </c>
      <c r="AD891" s="0" t="s">
        <v>7761</v>
      </c>
      <c r="AE891" s="0" t="s">
        <v>7360</v>
      </c>
      <c r="AF891" s="0" t="s">
        <v>7361</v>
      </c>
      <c r="AG891" s="0" t="s">
        <v>230</v>
      </c>
    </row>
    <row r="892" customFormat="false" ht="15" hidden="false" customHeight="false" outlineLevel="0" collapsed="false">
      <c r="A892" s="0" t="s">
        <v>7336</v>
      </c>
      <c r="B892" s="0" t="s">
        <v>3362</v>
      </c>
      <c r="C892" s="0" t="s">
        <v>3363</v>
      </c>
      <c r="D892" s="0" t="s">
        <v>227</v>
      </c>
      <c r="E892" s="0" t="s">
        <v>3364</v>
      </c>
      <c r="F892" s="0" t="s">
        <v>3365</v>
      </c>
      <c r="G892" s="0" t="s">
        <v>174</v>
      </c>
      <c r="H892" s="0" t="s">
        <v>7944</v>
      </c>
      <c r="I892" s="0" t="s">
        <v>7338</v>
      </c>
      <c r="J892" s="0" t="s">
        <v>1602</v>
      </c>
      <c r="K892" s="0" t="s">
        <v>7339</v>
      </c>
      <c r="L892" s="0" t="s">
        <v>7340</v>
      </c>
      <c r="M892" s="0" t="s">
        <v>7661</v>
      </c>
      <c r="N892" s="0" t="s">
        <v>7342</v>
      </c>
      <c r="P892" s="0" t="s">
        <v>229</v>
      </c>
      <c r="Q892" s="0" t="s">
        <v>7354</v>
      </c>
      <c r="R892" s="0" t="s">
        <v>7343</v>
      </c>
      <c r="S892" s="0" t="s">
        <v>7344</v>
      </c>
      <c r="T892" s="0" t="s">
        <v>228</v>
      </c>
      <c r="V892" s="0" t="s">
        <v>73</v>
      </c>
      <c r="W892" s="0" t="s">
        <v>76</v>
      </c>
      <c r="X892" s="0" t="s">
        <v>7355</v>
      </c>
      <c r="Y892" s="0" t="s">
        <v>7356</v>
      </c>
      <c r="Z892" s="0" t="s">
        <v>7357</v>
      </c>
      <c r="AA892" s="0" t="s">
        <v>7358</v>
      </c>
      <c r="AB892" s="0" t="s">
        <v>344</v>
      </c>
      <c r="AC892" s="0" t="s">
        <v>7629</v>
      </c>
      <c r="AD892" s="0" t="s">
        <v>7761</v>
      </c>
      <c r="AE892" s="0" t="s">
        <v>7360</v>
      </c>
      <c r="AF892" s="0" t="s">
        <v>7361</v>
      </c>
      <c r="AG892" s="0" t="s">
        <v>230</v>
      </c>
    </row>
    <row r="893" customFormat="false" ht="15" hidden="false" customHeight="false" outlineLevel="0" collapsed="false">
      <c r="A893" s="0" t="s">
        <v>7336</v>
      </c>
      <c r="B893" s="0" t="s">
        <v>3366</v>
      </c>
      <c r="C893" s="0" t="s">
        <v>3367</v>
      </c>
      <c r="D893" s="0" t="s">
        <v>227</v>
      </c>
      <c r="E893" s="0" t="s">
        <v>3368</v>
      </c>
      <c r="F893" s="0" t="s">
        <v>3369</v>
      </c>
      <c r="G893" s="0" t="s">
        <v>174</v>
      </c>
      <c r="H893" s="0" t="s">
        <v>7945</v>
      </c>
      <c r="I893" s="0" t="s">
        <v>7338</v>
      </c>
      <c r="J893" s="0" t="s">
        <v>1602</v>
      </c>
      <c r="K893" s="0" t="s">
        <v>7339</v>
      </c>
      <c r="L893" s="0" t="s">
        <v>7340</v>
      </c>
      <c r="M893" s="0" t="s">
        <v>7661</v>
      </c>
      <c r="N893" s="0" t="s">
        <v>7342</v>
      </c>
      <c r="P893" s="0" t="s">
        <v>229</v>
      </c>
      <c r="Q893" s="0" t="s">
        <v>7354</v>
      </c>
      <c r="R893" s="0" t="s">
        <v>7343</v>
      </c>
      <c r="S893" s="0" t="s">
        <v>7344</v>
      </c>
      <c r="T893" s="0" t="s">
        <v>228</v>
      </c>
      <c r="V893" s="0" t="s">
        <v>73</v>
      </c>
      <c r="W893" s="0" t="s">
        <v>76</v>
      </c>
      <c r="X893" s="0" t="s">
        <v>7355</v>
      </c>
      <c r="Y893" s="0" t="s">
        <v>7356</v>
      </c>
      <c r="Z893" s="0" t="s">
        <v>7357</v>
      </c>
      <c r="AA893" s="0" t="s">
        <v>7358</v>
      </c>
      <c r="AB893" s="0" t="s">
        <v>344</v>
      </c>
      <c r="AC893" s="0" t="s">
        <v>7629</v>
      </c>
      <c r="AD893" s="0" t="s">
        <v>7761</v>
      </c>
      <c r="AE893" s="0" t="s">
        <v>7360</v>
      </c>
      <c r="AF893" s="0" t="s">
        <v>7361</v>
      </c>
      <c r="AG893" s="0" t="s">
        <v>230</v>
      </c>
    </row>
    <row r="894" customFormat="false" ht="15" hidden="false" customHeight="false" outlineLevel="0" collapsed="false">
      <c r="A894" s="0" t="s">
        <v>7336</v>
      </c>
      <c r="B894" s="0" t="s">
        <v>3370</v>
      </c>
      <c r="C894" s="0" t="s">
        <v>3371</v>
      </c>
      <c r="D894" s="0" t="s">
        <v>227</v>
      </c>
      <c r="E894" s="0" t="s">
        <v>3372</v>
      </c>
      <c r="F894" s="0" t="s">
        <v>3361</v>
      </c>
      <c r="G894" s="0" t="s">
        <v>174</v>
      </c>
      <c r="H894" s="0" t="s">
        <v>7943</v>
      </c>
      <c r="I894" s="0" t="s">
        <v>7338</v>
      </c>
      <c r="J894" s="0" t="s">
        <v>1602</v>
      </c>
      <c r="K894" s="0" t="s">
        <v>7339</v>
      </c>
      <c r="L894" s="0" t="s">
        <v>7340</v>
      </c>
      <c r="M894" s="0" t="s">
        <v>7661</v>
      </c>
      <c r="N894" s="0" t="s">
        <v>7342</v>
      </c>
      <c r="P894" s="0" t="s">
        <v>229</v>
      </c>
      <c r="Q894" s="0" t="s">
        <v>7354</v>
      </c>
      <c r="R894" s="0" t="s">
        <v>7343</v>
      </c>
      <c r="S894" s="0" t="s">
        <v>7344</v>
      </c>
      <c r="T894" s="0" t="s">
        <v>228</v>
      </c>
      <c r="V894" s="0" t="s">
        <v>73</v>
      </c>
      <c r="W894" s="0" t="s">
        <v>76</v>
      </c>
      <c r="X894" s="0" t="s">
        <v>7355</v>
      </c>
      <c r="Y894" s="0" t="s">
        <v>7356</v>
      </c>
      <c r="Z894" s="0" t="s">
        <v>7357</v>
      </c>
      <c r="AA894" s="0" t="s">
        <v>7358</v>
      </c>
      <c r="AB894" s="0" t="s">
        <v>344</v>
      </c>
      <c r="AC894" s="0" t="s">
        <v>7629</v>
      </c>
      <c r="AD894" s="0" t="s">
        <v>7761</v>
      </c>
      <c r="AE894" s="0" t="s">
        <v>7360</v>
      </c>
      <c r="AF894" s="0" t="s">
        <v>7361</v>
      </c>
      <c r="AG894" s="0" t="s">
        <v>230</v>
      </c>
    </row>
    <row r="895" customFormat="false" ht="15" hidden="false" customHeight="false" outlineLevel="0" collapsed="false">
      <c r="A895" s="0" t="s">
        <v>7336</v>
      </c>
      <c r="B895" s="0" t="s">
        <v>3373</v>
      </c>
      <c r="C895" s="0" t="s">
        <v>3374</v>
      </c>
      <c r="D895" s="0" t="s">
        <v>227</v>
      </c>
      <c r="E895" s="0" t="s">
        <v>3375</v>
      </c>
      <c r="F895" s="0" t="s">
        <v>3361</v>
      </c>
      <c r="G895" s="0" t="s">
        <v>174</v>
      </c>
      <c r="H895" s="0" t="s">
        <v>7943</v>
      </c>
      <c r="I895" s="0" t="s">
        <v>7338</v>
      </c>
      <c r="J895" s="0" t="s">
        <v>1602</v>
      </c>
      <c r="K895" s="0" t="s">
        <v>7339</v>
      </c>
      <c r="L895" s="0" t="s">
        <v>7340</v>
      </c>
      <c r="M895" s="0" t="s">
        <v>7661</v>
      </c>
      <c r="N895" s="0" t="s">
        <v>7342</v>
      </c>
      <c r="P895" s="0" t="s">
        <v>229</v>
      </c>
      <c r="Q895" s="0" t="s">
        <v>7354</v>
      </c>
      <c r="R895" s="0" t="s">
        <v>7343</v>
      </c>
      <c r="S895" s="0" t="s">
        <v>7344</v>
      </c>
      <c r="T895" s="0" t="s">
        <v>228</v>
      </c>
      <c r="V895" s="0" t="s">
        <v>73</v>
      </c>
      <c r="W895" s="0" t="s">
        <v>76</v>
      </c>
      <c r="X895" s="0" t="s">
        <v>7355</v>
      </c>
      <c r="Y895" s="0" t="s">
        <v>7356</v>
      </c>
      <c r="Z895" s="0" t="s">
        <v>7357</v>
      </c>
      <c r="AA895" s="0" t="s">
        <v>7358</v>
      </c>
      <c r="AB895" s="0" t="s">
        <v>344</v>
      </c>
      <c r="AC895" s="0" t="s">
        <v>7629</v>
      </c>
      <c r="AD895" s="0" t="s">
        <v>7761</v>
      </c>
      <c r="AE895" s="0" t="s">
        <v>7360</v>
      </c>
      <c r="AF895" s="0" t="s">
        <v>7361</v>
      </c>
      <c r="AG895" s="0" t="s">
        <v>230</v>
      </c>
    </row>
    <row r="896" customFormat="false" ht="15" hidden="false" customHeight="false" outlineLevel="0" collapsed="false">
      <c r="A896" s="0" t="s">
        <v>7336</v>
      </c>
      <c r="B896" s="0" t="s">
        <v>3376</v>
      </c>
      <c r="C896" s="0" t="s">
        <v>3377</v>
      </c>
      <c r="D896" s="0" t="s">
        <v>227</v>
      </c>
      <c r="E896" s="0" t="s">
        <v>3378</v>
      </c>
      <c r="F896" s="0" t="s">
        <v>3379</v>
      </c>
      <c r="G896" s="0" t="s">
        <v>184</v>
      </c>
      <c r="H896" s="0" t="s">
        <v>7946</v>
      </c>
      <c r="I896" s="0" t="s">
        <v>7338</v>
      </c>
      <c r="J896" s="0" t="s">
        <v>1602</v>
      </c>
      <c r="K896" s="0" t="s">
        <v>7339</v>
      </c>
      <c r="L896" s="0" t="s">
        <v>7340</v>
      </c>
      <c r="M896" s="0" t="s">
        <v>7661</v>
      </c>
      <c r="N896" s="0" t="s">
        <v>7342</v>
      </c>
      <c r="P896" s="0" t="s">
        <v>229</v>
      </c>
      <c r="Q896" s="0" t="s">
        <v>7354</v>
      </c>
      <c r="S896" s="0" t="s">
        <v>7344</v>
      </c>
      <c r="T896" s="0" t="s">
        <v>228</v>
      </c>
      <c r="V896" s="0" t="s">
        <v>1358</v>
      </c>
      <c r="W896" s="0" t="s">
        <v>70</v>
      </c>
      <c r="X896" s="0" t="s">
        <v>7355</v>
      </c>
      <c r="Z896" s="0" t="s">
        <v>7662</v>
      </c>
      <c r="AB896" s="0" t="s">
        <v>1640</v>
      </c>
      <c r="AC896" s="0" t="s">
        <v>7629</v>
      </c>
      <c r="AD896" s="0" t="s">
        <v>7947</v>
      </c>
      <c r="AE896" s="0" t="s">
        <v>7360</v>
      </c>
      <c r="AF896" s="0" t="s">
        <v>7361</v>
      </c>
      <c r="AG896" s="0" t="s">
        <v>230</v>
      </c>
    </row>
    <row r="897" customFormat="false" ht="15" hidden="false" customHeight="false" outlineLevel="0" collapsed="false">
      <c r="A897" s="0" t="s">
        <v>7336</v>
      </c>
      <c r="B897" s="0" t="s">
        <v>3380</v>
      </c>
      <c r="C897" s="0" t="s">
        <v>3381</v>
      </c>
      <c r="D897" s="0" t="s">
        <v>227</v>
      </c>
      <c r="E897" s="0" t="s">
        <v>3382</v>
      </c>
      <c r="F897" s="0" t="s">
        <v>3379</v>
      </c>
      <c r="G897" s="0" t="s">
        <v>184</v>
      </c>
      <c r="H897" s="0" t="s">
        <v>7946</v>
      </c>
      <c r="I897" s="0" t="s">
        <v>7338</v>
      </c>
      <c r="J897" s="0" t="s">
        <v>1602</v>
      </c>
      <c r="K897" s="0" t="s">
        <v>7339</v>
      </c>
      <c r="L897" s="0" t="s">
        <v>7340</v>
      </c>
      <c r="M897" s="0" t="s">
        <v>7661</v>
      </c>
      <c r="N897" s="0" t="s">
        <v>7342</v>
      </c>
      <c r="P897" s="0" t="s">
        <v>229</v>
      </c>
      <c r="Q897" s="0" t="s">
        <v>7354</v>
      </c>
      <c r="S897" s="0" t="s">
        <v>7344</v>
      </c>
      <c r="T897" s="0" t="s">
        <v>228</v>
      </c>
      <c r="V897" s="0" t="s">
        <v>55</v>
      </c>
      <c r="W897" s="0" t="s">
        <v>60</v>
      </c>
      <c r="X897" s="0" t="s">
        <v>7355</v>
      </c>
      <c r="Z897" s="0" t="s">
        <v>7948</v>
      </c>
      <c r="AB897" s="0" t="s">
        <v>1640</v>
      </c>
      <c r="AC897" s="0" t="s">
        <v>7629</v>
      </c>
      <c r="AD897" s="0" t="s">
        <v>7947</v>
      </c>
      <c r="AE897" s="0" t="s">
        <v>7360</v>
      </c>
      <c r="AF897" s="0" t="s">
        <v>7361</v>
      </c>
      <c r="AG897" s="0" t="s">
        <v>230</v>
      </c>
    </row>
    <row r="898" customFormat="false" ht="15" hidden="false" customHeight="false" outlineLevel="0" collapsed="false">
      <c r="A898" s="0" t="s">
        <v>7336</v>
      </c>
      <c r="B898" s="0" t="s">
        <v>3383</v>
      </c>
      <c r="C898" s="0" t="s">
        <v>3384</v>
      </c>
      <c r="D898" s="0" t="s">
        <v>227</v>
      </c>
      <c r="E898" s="0" t="s">
        <v>3385</v>
      </c>
      <c r="F898" s="0" t="s">
        <v>3379</v>
      </c>
      <c r="G898" s="0" t="s">
        <v>184</v>
      </c>
      <c r="H898" s="0" t="s">
        <v>7946</v>
      </c>
      <c r="I898" s="0" t="s">
        <v>7338</v>
      </c>
      <c r="J898" s="0" t="s">
        <v>1602</v>
      </c>
      <c r="K898" s="0" t="s">
        <v>7339</v>
      </c>
      <c r="L898" s="0" t="s">
        <v>7340</v>
      </c>
      <c r="M898" s="0" t="s">
        <v>7661</v>
      </c>
      <c r="N898" s="0" t="s">
        <v>7342</v>
      </c>
      <c r="P898" s="0" t="s">
        <v>229</v>
      </c>
      <c r="Q898" s="0" t="s">
        <v>7354</v>
      </c>
      <c r="S898" s="0" t="s">
        <v>7344</v>
      </c>
      <c r="T898" s="0" t="s">
        <v>1979</v>
      </c>
      <c r="V898" s="0" t="s">
        <v>1358</v>
      </c>
      <c r="W898" s="0" t="s">
        <v>66</v>
      </c>
      <c r="X898" s="0" t="s">
        <v>7355</v>
      </c>
      <c r="Z898" s="0" t="s">
        <v>7662</v>
      </c>
      <c r="AB898" s="0" t="s">
        <v>1640</v>
      </c>
      <c r="AC898" s="0" t="s">
        <v>7629</v>
      </c>
      <c r="AD898" s="0" t="s">
        <v>7709</v>
      </c>
      <c r="AE898" s="0" t="s">
        <v>7360</v>
      </c>
      <c r="AF898" s="0" t="s">
        <v>7361</v>
      </c>
      <c r="AG898" s="0" t="s">
        <v>230</v>
      </c>
    </row>
    <row r="899" customFormat="false" ht="15" hidden="false" customHeight="false" outlineLevel="0" collapsed="false">
      <c r="A899" s="0" t="s">
        <v>7336</v>
      </c>
      <c r="B899" s="0" t="s">
        <v>3386</v>
      </c>
      <c r="C899" s="0" t="s">
        <v>3387</v>
      </c>
      <c r="D899" s="0" t="s">
        <v>227</v>
      </c>
      <c r="E899" s="0" t="s">
        <v>3388</v>
      </c>
      <c r="F899" s="0" t="s">
        <v>3379</v>
      </c>
      <c r="G899" s="0" t="s">
        <v>184</v>
      </c>
      <c r="H899" s="0" t="s">
        <v>7946</v>
      </c>
      <c r="I899" s="0" t="s">
        <v>7338</v>
      </c>
      <c r="J899" s="0" t="s">
        <v>1602</v>
      </c>
      <c r="K899" s="0" t="s">
        <v>7339</v>
      </c>
      <c r="L899" s="0" t="s">
        <v>7340</v>
      </c>
      <c r="M899" s="0" t="s">
        <v>7661</v>
      </c>
      <c r="N899" s="0" t="s">
        <v>7342</v>
      </c>
      <c r="P899" s="0" t="s">
        <v>229</v>
      </c>
      <c r="Q899" s="0" t="s">
        <v>7354</v>
      </c>
      <c r="R899" s="0" t="s">
        <v>7343</v>
      </c>
      <c r="S899" s="0" t="s">
        <v>7344</v>
      </c>
      <c r="T899" s="0" t="s">
        <v>228</v>
      </c>
      <c r="V899" s="0" t="s">
        <v>1358</v>
      </c>
      <c r="W899" s="0" t="s">
        <v>67</v>
      </c>
      <c r="X899" s="0" t="s">
        <v>7355</v>
      </c>
      <c r="Y899" s="0" t="s">
        <v>7949</v>
      </c>
      <c r="Z899" s="0" t="s">
        <v>7948</v>
      </c>
      <c r="AA899" s="0" t="s">
        <v>7950</v>
      </c>
      <c r="AB899" s="0" t="s">
        <v>1640</v>
      </c>
      <c r="AC899" s="0" t="s">
        <v>7629</v>
      </c>
      <c r="AD899" s="0" t="s">
        <v>7951</v>
      </c>
      <c r="AE899" s="0" t="s">
        <v>7360</v>
      </c>
      <c r="AF899" s="0" t="s">
        <v>7361</v>
      </c>
      <c r="AG899" s="0" t="s">
        <v>230</v>
      </c>
    </row>
    <row r="900" customFormat="false" ht="15" hidden="false" customHeight="false" outlineLevel="0" collapsed="false">
      <c r="A900" s="0" t="s">
        <v>7336</v>
      </c>
      <c r="B900" s="0" t="s">
        <v>3389</v>
      </c>
      <c r="C900" s="0" t="s">
        <v>3390</v>
      </c>
      <c r="D900" s="0" t="s">
        <v>227</v>
      </c>
      <c r="E900" s="0" t="s">
        <v>3391</v>
      </c>
      <c r="F900" s="0" t="s">
        <v>3379</v>
      </c>
      <c r="G900" s="0" t="s">
        <v>184</v>
      </c>
      <c r="H900" s="0" t="s">
        <v>7946</v>
      </c>
      <c r="I900" s="0" t="s">
        <v>7338</v>
      </c>
      <c r="J900" s="0" t="s">
        <v>1602</v>
      </c>
      <c r="K900" s="0" t="s">
        <v>7339</v>
      </c>
      <c r="L900" s="0" t="s">
        <v>7340</v>
      </c>
      <c r="M900" s="0" t="s">
        <v>7661</v>
      </c>
      <c r="N900" s="0" t="s">
        <v>7342</v>
      </c>
      <c r="P900" s="0" t="s">
        <v>229</v>
      </c>
      <c r="Q900" s="0" t="s">
        <v>7354</v>
      </c>
      <c r="R900" s="0" t="s">
        <v>7343</v>
      </c>
      <c r="S900" s="0" t="s">
        <v>7344</v>
      </c>
      <c r="T900" s="0" t="s">
        <v>58</v>
      </c>
      <c r="V900" s="0" t="s">
        <v>55</v>
      </c>
      <c r="W900" s="0" t="s">
        <v>57</v>
      </c>
      <c r="X900" s="0" t="s">
        <v>7355</v>
      </c>
      <c r="Y900" s="0" t="s">
        <v>7667</v>
      </c>
      <c r="Z900" s="0" t="s">
        <v>7668</v>
      </c>
      <c r="AA900" s="0" t="s">
        <v>7669</v>
      </c>
      <c r="AB900" s="0" t="s">
        <v>237</v>
      </c>
      <c r="AC900" s="0" t="s">
        <v>7629</v>
      </c>
      <c r="AE900" s="0" t="s">
        <v>7360</v>
      </c>
      <c r="AF900" s="0" t="s">
        <v>7361</v>
      </c>
      <c r="AG900" s="0" t="s">
        <v>230</v>
      </c>
    </row>
    <row r="901" customFormat="false" ht="15" hidden="false" customHeight="false" outlineLevel="0" collapsed="false">
      <c r="A901" s="0" t="s">
        <v>7336</v>
      </c>
      <c r="B901" s="0" t="s">
        <v>3392</v>
      </c>
      <c r="C901" s="0" t="s">
        <v>3393</v>
      </c>
      <c r="D901" s="0" t="s">
        <v>227</v>
      </c>
      <c r="E901" s="0" t="s">
        <v>3394</v>
      </c>
      <c r="F901" s="0" t="s">
        <v>3379</v>
      </c>
      <c r="G901" s="0" t="s">
        <v>184</v>
      </c>
      <c r="H901" s="0" t="s">
        <v>7946</v>
      </c>
      <c r="I901" s="0" t="s">
        <v>7338</v>
      </c>
      <c r="J901" s="0" t="s">
        <v>1602</v>
      </c>
      <c r="K901" s="0" t="s">
        <v>7339</v>
      </c>
      <c r="L901" s="0" t="s">
        <v>7340</v>
      </c>
      <c r="M901" s="0" t="s">
        <v>7661</v>
      </c>
      <c r="N901" s="0" t="s">
        <v>7342</v>
      </c>
      <c r="P901" s="0" t="s">
        <v>229</v>
      </c>
      <c r="Q901" s="0" t="s">
        <v>7354</v>
      </c>
      <c r="S901" s="0" t="s">
        <v>7344</v>
      </c>
      <c r="T901" s="0" t="s">
        <v>228</v>
      </c>
      <c r="V901" s="0" t="s">
        <v>1358</v>
      </c>
      <c r="W901" s="0" t="s">
        <v>65</v>
      </c>
      <c r="X901" s="0" t="s">
        <v>7355</v>
      </c>
      <c r="Z901" s="0" t="s">
        <v>7662</v>
      </c>
      <c r="AB901" s="0" t="s">
        <v>1640</v>
      </c>
      <c r="AC901" s="0" t="s">
        <v>7629</v>
      </c>
      <c r="AD901" s="0" t="s">
        <v>7952</v>
      </c>
      <c r="AE901" s="0" t="s">
        <v>7360</v>
      </c>
      <c r="AF901" s="0" t="s">
        <v>7361</v>
      </c>
      <c r="AG901" s="0" t="s">
        <v>230</v>
      </c>
    </row>
    <row r="902" customFormat="false" ht="15" hidden="false" customHeight="false" outlineLevel="0" collapsed="false">
      <c r="A902" s="0" t="s">
        <v>7336</v>
      </c>
      <c r="B902" s="0" t="s">
        <v>3395</v>
      </c>
      <c r="C902" s="0" t="s">
        <v>3396</v>
      </c>
      <c r="D902" s="0" t="s">
        <v>227</v>
      </c>
      <c r="E902" s="0" t="s">
        <v>3397</v>
      </c>
      <c r="F902" s="0" t="s">
        <v>3379</v>
      </c>
      <c r="G902" s="0" t="s">
        <v>184</v>
      </c>
      <c r="H902" s="0" t="s">
        <v>7946</v>
      </c>
      <c r="I902" s="0" t="s">
        <v>7338</v>
      </c>
      <c r="J902" s="0" t="s">
        <v>1602</v>
      </c>
      <c r="K902" s="0" t="s">
        <v>7339</v>
      </c>
      <c r="L902" s="0" t="s">
        <v>7340</v>
      </c>
      <c r="M902" s="0" t="s">
        <v>7661</v>
      </c>
      <c r="N902" s="0" t="s">
        <v>7342</v>
      </c>
      <c r="P902" s="0" t="s">
        <v>229</v>
      </c>
      <c r="Q902" s="0" t="s">
        <v>7354</v>
      </c>
      <c r="S902" s="0" t="s">
        <v>7344</v>
      </c>
      <c r="T902" s="0" t="s">
        <v>228</v>
      </c>
      <c r="V902" s="0" t="s">
        <v>1358</v>
      </c>
      <c r="W902" s="0" t="s">
        <v>71</v>
      </c>
      <c r="X902" s="0" t="s">
        <v>7355</v>
      </c>
      <c r="Z902" s="0" t="s">
        <v>7662</v>
      </c>
      <c r="AB902" s="0" t="s">
        <v>1640</v>
      </c>
      <c r="AC902" s="0" t="s">
        <v>7629</v>
      </c>
      <c r="AD902" s="0" t="s">
        <v>7953</v>
      </c>
      <c r="AE902" s="0" t="s">
        <v>7360</v>
      </c>
      <c r="AF902" s="0" t="s">
        <v>7361</v>
      </c>
      <c r="AG902" s="0" t="s">
        <v>230</v>
      </c>
    </row>
    <row r="903" customFormat="false" ht="15" hidden="false" customHeight="false" outlineLevel="0" collapsed="false">
      <c r="A903" s="0" t="s">
        <v>7336</v>
      </c>
      <c r="B903" s="0" t="s">
        <v>3398</v>
      </c>
      <c r="C903" s="0" t="s">
        <v>3399</v>
      </c>
      <c r="D903" s="0" t="s">
        <v>227</v>
      </c>
      <c r="E903" s="0" t="s">
        <v>3400</v>
      </c>
      <c r="F903" s="0" t="s">
        <v>3379</v>
      </c>
      <c r="G903" s="0" t="s">
        <v>184</v>
      </c>
      <c r="H903" s="0" t="s">
        <v>7946</v>
      </c>
      <c r="I903" s="0" t="s">
        <v>7338</v>
      </c>
      <c r="J903" s="0" t="s">
        <v>1602</v>
      </c>
      <c r="K903" s="0" t="s">
        <v>7339</v>
      </c>
      <c r="L903" s="0" t="s">
        <v>7340</v>
      </c>
      <c r="M903" s="0" t="s">
        <v>7661</v>
      </c>
      <c r="N903" s="0" t="s">
        <v>7342</v>
      </c>
      <c r="P903" s="0" t="s">
        <v>229</v>
      </c>
      <c r="Q903" s="0" t="s">
        <v>7354</v>
      </c>
      <c r="S903" s="0" t="s">
        <v>7344</v>
      </c>
      <c r="T903" s="0" t="s">
        <v>1979</v>
      </c>
      <c r="V903" s="0" t="s">
        <v>1358</v>
      </c>
      <c r="W903" s="0" t="s">
        <v>66</v>
      </c>
      <c r="X903" s="0" t="s">
        <v>7355</v>
      </c>
      <c r="Z903" s="0" t="s">
        <v>7662</v>
      </c>
      <c r="AB903" s="0" t="s">
        <v>237</v>
      </c>
      <c r="AC903" s="0" t="s">
        <v>7629</v>
      </c>
      <c r="AD903" s="0" t="s">
        <v>7709</v>
      </c>
      <c r="AE903" s="0" t="s">
        <v>7360</v>
      </c>
      <c r="AF903" s="0" t="s">
        <v>7361</v>
      </c>
      <c r="AG903" s="0" t="s">
        <v>230</v>
      </c>
    </row>
    <row r="904" customFormat="false" ht="15" hidden="false" customHeight="false" outlineLevel="0" collapsed="false">
      <c r="A904" s="0" t="s">
        <v>7336</v>
      </c>
      <c r="B904" s="0" t="s">
        <v>3401</v>
      </c>
      <c r="C904" s="0" t="s">
        <v>3402</v>
      </c>
      <c r="D904" s="0" t="s">
        <v>227</v>
      </c>
      <c r="E904" s="0" t="s">
        <v>3403</v>
      </c>
      <c r="F904" s="0" t="s">
        <v>3379</v>
      </c>
      <c r="G904" s="0" t="s">
        <v>184</v>
      </c>
      <c r="H904" s="0" t="s">
        <v>7946</v>
      </c>
      <c r="I904" s="0" t="s">
        <v>7338</v>
      </c>
      <c r="J904" s="0" t="s">
        <v>1602</v>
      </c>
      <c r="K904" s="0" t="s">
        <v>7339</v>
      </c>
      <c r="L904" s="0" t="s">
        <v>7340</v>
      </c>
      <c r="M904" s="0" t="s">
        <v>7661</v>
      </c>
      <c r="N904" s="0" t="s">
        <v>7342</v>
      </c>
      <c r="P904" s="0" t="s">
        <v>229</v>
      </c>
      <c r="Q904" s="0" t="s">
        <v>7354</v>
      </c>
      <c r="S904" s="0" t="s">
        <v>7344</v>
      </c>
      <c r="T904" s="0" t="s">
        <v>1979</v>
      </c>
      <c r="V904" s="0" t="s">
        <v>1358</v>
      </c>
      <c r="W904" s="0" t="s">
        <v>66</v>
      </c>
      <c r="X904" s="0" t="s">
        <v>7355</v>
      </c>
      <c r="Z904" s="0" t="s">
        <v>7662</v>
      </c>
      <c r="AB904" s="0" t="s">
        <v>237</v>
      </c>
      <c r="AC904" s="0" t="s">
        <v>7629</v>
      </c>
      <c r="AD904" s="0" t="s">
        <v>7709</v>
      </c>
      <c r="AE904" s="0" t="s">
        <v>7360</v>
      </c>
      <c r="AF904" s="0" t="s">
        <v>7361</v>
      </c>
      <c r="AG904" s="0" t="s">
        <v>230</v>
      </c>
    </row>
    <row r="905" customFormat="false" ht="15" hidden="false" customHeight="false" outlineLevel="0" collapsed="false">
      <c r="A905" s="0" t="s">
        <v>7336</v>
      </c>
      <c r="B905" s="0" t="s">
        <v>3404</v>
      </c>
      <c r="C905" s="0" t="s">
        <v>3405</v>
      </c>
      <c r="D905" s="0" t="s">
        <v>227</v>
      </c>
      <c r="E905" s="0" t="s">
        <v>3406</v>
      </c>
      <c r="F905" s="0" t="s">
        <v>1954</v>
      </c>
      <c r="G905" s="0" t="s">
        <v>184</v>
      </c>
      <c r="H905" s="0" t="s">
        <v>7704</v>
      </c>
      <c r="I905" s="0" t="s">
        <v>7338</v>
      </c>
      <c r="J905" s="0" t="s">
        <v>1602</v>
      </c>
      <c r="K905" s="0" t="s">
        <v>7339</v>
      </c>
      <c r="L905" s="0" t="s">
        <v>7340</v>
      </c>
      <c r="M905" s="0" t="s">
        <v>7661</v>
      </c>
      <c r="N905" s="0" t="s">
        <v>7342</v>
      </c>
      <c r="P905" s="0" t="s">
        <v>229</v>
      </c>
      <c r="Q905" s="0" t="s">
        <v>7354</v>
      </c>
      <c r="R905" s="0" t="s">
        <v>7343</v>
      </c>
      <c r="S905" s="0" t="s">
        <v>7344</v>
      </c>
      <c r="T905" s="0" t="s">
        <v>228</v>
      </c>
      <c r="V905" s="0" t="s">
        <v>1358</v>
      </c>
      <c r="W905" s="0" t="s">
        <v>69</v>
      </c>
      <c r="X905" s="0" t="s">
        <v>7355</v>
      </c>
      <c r="AB905" s="0" t="s">
        <v>1640</v>
      </c>
      <c r="AC905" s="0" t="s">
        <v>7629</v>
      </c>
      <c r="AD905" s="0" t="s">
        <v>7934</v>
      </c>
      <c r="AE905" s="0" t="s">
        <v>7360</v>
      </c>
      <c r="AF905" s="0" t="s">
        <v>7361</v>
      </c>
      <c r="AG905" s="0" t="s">
        <v>230</v>
      </c>
    </row>
    <row r="906" customFormat="false" ht="15" hidden="false" customHeight="false" outlineLevel="0" collapsed="false">
      <c r="A906" s="0" t="s">
        <v>7336</v>
      </c>
      <c r="B906" s="0" t="s">
        <v>3407</v>
      </c>
      <c r="C906" s="0" t="s">
        <v>3408</v>
      </c>
      <c r="D906" s="0" t="s">
        <v>227</v>
      </c>
      <c r="E906" s="0" t="s">
        <v>3409</v>
      </c>
      <c r="F906" s="0" t="s">
        <v>1989</v>
      </c>
      <c r="G906" s="0" t="s">
        <v>184</v>
      </c>
      <c r="H906" s="0" t="s">
        <v>7711</v>
      </c>
      <c r="I906" s="0" t="s">
        <v>7338</v>
      </c>
      <c r="J906" s="0" t="s">
        <v>1602</v>
      </c>
      <c r="K906" s="0" t="s">
        <v>7339</v>
      </c>
      <c r="L906" s="0" t="s">
        <v>7340</v>
      </c>
      <c r="M906" s="0" t="s">
        <v>7661</v>
      </c>
      <c r="N906" s="0" t="s">
        <v>7342</v>
      </c>
      <c r="P906" s="0" t="s">
        <v>229</v>
      </c>
      <c r="Q906" s="0" t="s">
        <v>7354</v>
      </c>
      <c r="R906" s="0" t="s">
        <v>7343</v>
      </c>
      <c r="S906" s="0" t="s">
        <v>7344</v>
      </c>
      <c r="T906" s="0" t="s">
        <v>228</v>
      </c>
      <c r="V906" s="0" t="s">
        <v>1358</v>
      </c>
      <c r="W906" s="0" t="s">
        <v>65</v>
      </c>
      <c r="X906" s="0" t="s">
        <v>7355</v>
      </c>
      <c r="AB906" s="0" t="s">
        <v>1640</v>
      </c>
      <c r="AC906" s="0" t="s">
        <v>7629</v>
      </c>
      <c r="AD906" s="0" t="s">
        <v>7954</v>
      </c>
      <c r="AE906" s="0" t="s">
        <v>7360</v>
      </c>
      <c r="AF906" s="0" t="s">
        <v>7361</v>
      </c>
      <c r="AG906" s="0" t="s">
        <v>230</v>
      </c>
    </row>
    <row r="907" customFormat="false" ht="15" hidden="false" customHeight="false" outlineLevel="0" collapsed="false">
      <c r="A907" s="0" t="s">
        <v>7336</v>
      </c>
      <c r="B907" s="0" t="s">
        <v>3410</v>
      </c>
      <c r="C907" s="0" t="s">
        <v>3411</v>
      </c>
      <c r="D907" s="0" t="s">
        <v>227</v>
      </c>
      <c r="E907" s="0" t="s">
        <v>3412</v>
      </c>
      <c r="F907" s="0" t="s">
        <v>1989</v>
      </c>
      <c r="G907" s="0" t="s">
        <v>184</v>
      </c>
      <c r="H907" s="0" t="s">
        <v>7711</v>
      </c>
      <c r="I907" s="0" t="s">
        <v>7338</v>
      </c>
      <c r="J907" s="0" t="s">
        <v>1602</v>
      </c>
      <c r="K907" s="0" t="s">
        <v>7339</v>
      </c>
      <c r="L907" s="0" t="s">
        <v>7340</v>
      </c>
      <c r="M907" s="0" t="s">
        <v>7661</v>
      </c>
      <c r="N907" s="0" t="s">
        <v>7342</v>
      </c>
      <c r="P907" s="0" t="s">
        <v>229</v>
      </c>
      <c r="Q907" s="0" t="s">
        <v>7354</v>
      </c>
      <c r="R907" s="0" t="s">
        <v>7343</v>
      </c>
      <c r="S907" s="0" t="s">
        <v>7344</v>
      </c>
      <c r="T907" s="0" t="s">
        <v>1979</v>
      </c>
      <c r="V907" s="0" t="s">
        <v>1358</v>
      </c>
      <c r="W907" s="0" t="s">
        <v>66</v>
      </c>
      <c r="X907" s="0" t="s">
        <v>7355</v>
      </c>
      <c r="AB907" s="0" t="s">
        <v>237</v>
      </c>
      <c r="AC907" s="0" t="s">
        <v>7629</v>
      </c>
      <c r="AD907" s="0" t="s">
        <v>7709</v>
      </c>
      <c r="AE907" s="0" t="s">
        <v>7360</v>
      </c>
      <c r="AF907" s="0" t="s">
        <v>7361</v>
      </c>
      <c r="AG907" s="0" t="s">
        <v>230</v>
      </c>
    </row>
    <row r="908" customFormat="false" ht="15" hidden="false" customHeight="false" outlineLevel="0" collapsed="false">
      <c r="A908" s="0" t="s">
        <v>7336</v>
      </c>
      <c r="B908" s="0" t="s">
        <v>3413</v>
      </c>
      <c r="C908" s="0" t="s">
        <v>3414</v>
      </c>
      <c r="D908" s="0" t="s">
        <v>227</v>
      </c>
      <c r="E908" s="0" t="s">
        <v>3415</v>
      </c>
      <c r="F908" s="0" t="s">
        <v>1972</v>
      </c>
      <c r="G908" s="0" t="s">
        <v>184</v>
      </c>
      <c r="H908" s="0" t="s">
        <v>7707</v>
      </c>
      <c r="I908" s="0" t="s">
        <v>7338</v>
      </c>
      <c r="J908" s="0" t="s">
        <v>1602</v>
      </c>
      <c r="K908" s="0" t="s">
        <v>7339</v>
      </c>
      <c r="L908" s="0" t="s">
        <v>7340</v>
      </c>
      <c r="M908" s="0" t="s">
        <v>7661</v>
      </c>
      <c r="N908" s="0" t="s">
        <v>7342</v>
      </c>
      <c r="P908" s="0" t="s">
        <v>229</v>
      </c>
      <c r="Q908" s="0" t="s">
        <v>7354</v>
      </c>
      <c r="R908" s="0" t="s">
        <v>7343</v>
      </c>
      <c r="S908" s="0" t="s">
        <v>7344</v>
      </c>
      <c r="T908" s="0" t="s">
        <v>1979</v>
      </c>
      <c r="V908" s="0" t="s">
        <v>1358</v>
      </c>
      <c r="W908" s="0" t="s">
        <v>66</v>
      </c>
      <c r="X908" s="0" t="s">
        <v>7355</v>
      </c>
      <c r="AB908" s="0" t="s">
        <v>237</v>
      </c>
      <c r="AC908" s="0" t="s">
        <v>7629</v>
      </c>
      <c r="AD908" s="0" t="s">
        <v>7709</v>
      </c>
      <c r="AE908" s="0" t="s">
        <v>7360</v>
      </c>
      <c r="AF908" s="0" t="s">
        <v>7361</v>
      </c>
      <c r="AG908" s="0" t="s">
        <v>230</v>
      </c>
    </row>
    <row r="909" customFormat="false" ht="15" hidden="false" customHeight="false" outlineLevel="0" collapsed="false">
      <c r="A909" s="0" t="s">
        <v>7336</v>
      </c>
      <c r="B909" s="0" t="s">
        <v>3416</v>
      </c>
      <c r="C909" s="0" t="s">
        <v>3417</v>
      </c>
      <c r="D909" s="0" t="s">
        <v>227</v>
      </c>
      <c r="E909" s="0" t="s">
        <v>3418</v>
      </c>
      <c r="F909" s="0" t="s">
        <v>1989</v>
      </c>
      <c r="G909" s="0" t="s">
        <v>184</v>
      </c>
      <c r="H909" s="0" t="s">
        <v>7711</v>
      </c>
      <c r="I909" s="0" t="s">
        <v>7338</v>
      </c>
      <c r="J909" s="0" t="s">
        <v>1602</v>
      </c>
      <c r="K909" s="0" t="s">
        <v>7339</v>
      </c>
      <c r="L909" s="0" t="s">
        <v>7340</v>
      </c>
      <c r="M909" s="0" t="s">
        <v>7661</v>
      </c>
      <c r="N909" s="0" t="s">
        <v>7342</v>
      </c>
      <c r="P909" s="0" t="s">
        <v>229</v>
      </c>
      <c r="Q909" s="0" t="s">
        <v>7354</v>
      </c>
      <c r="R909" s="0" t="s">
        <v>7343</v>
      </c>
      <c r="S909" s="0" t="s">
        <v>7344</v>
      </c>
      <c r="T909" s="0" t="s">
        <v>228</v>
      </c>
      <c r="V909" s="0" t="s">
        <v>1358</v>
      </c>
      <c r="W909" s="0" t="s">
        <v>67</v>
      </c>
      <c r="X909" s="0" t="s">
        <v>7355</v>
      </c>
      <c r="AB909" s="0" t="s">
        <v>1640</v>
      </c>
      <c r="AC909" s="0" t="s">
        <v>7629</v>
      </c>
      <c r="AD909" s="0" t="s">
        <v>7710</v>
      </c>
      <c r="AE909" s="0" t="s">
        <v>7360</v>
      </c>
      <c r="AF909" s="0" t="s">
        <v>7361</v>
      </c>
      <c r="AG909" s="0" t="s">
        <v>230</v>
      </c>
    </row>
    <row r="910" customFormat="false" ht="15" hidden="false" customHeight="false" outlineLevel="0" collapsed="false">
      <c r="A910" s="0" t="s">
        <v>7336</v>
      </c>
      <c r="B910" s="0" t="s">
        <v>3419</v>
      </c>
      <c r="C910" s="0" t="s">
        <v>3420</v>
      </c>
      <c r="D910" s="0" t="s">
        <v>227</v>
      </c>
      <c r="E910" s="0" t="s">
        <v>3421</v>
      </c>
      <c r="F910" s="0" t="s">
        <v>1972</v>
      </c>
      <c r="G910" s="0" t="s">
        <v>184</v>
      </c>
      <c r="H910" s="0" t="s">
        <v>7707</v>
      </c>
      <c r="I910" s="0" t="s">
        <v>7338</v>
      </c>
      <c r="J910" s="0" t="s">
        <v>1602</v>
      </c>
      <c r="K910" s="0" t="s">
        <v>7339</v>
      </c>
      <c r="L910" s="0" t="s">
        <v>7340</v>
      </c>
      <c r="M910" s="0" t="s">
        <v>7661</v>
      </c>
      <c r="N910" s="0" t="s">
        <v>7342</v>
      </c>
      <c r="P910" s="0" t="s">
        <v>229</v>
      </c>
      <c r="Q910" s="0" t="s">
        <v>7354</v>
      </c>
      <c r="R910" s="0" t="s">
        <v>7343</v>
      </c>
      <c r="S910" s="0" t="s">
        <v>7344</v>
      </c>
      <c r="T910" s="0" t="s">
        <v>228</v>
      </c>
      <c r="V910" s="0" t="s">
        <v>1358</v>
      </c>
      <c r="W910" s="0" t="s">
        <v>67</v>
      </c>
      <c r="X910" s="0" t="s">
        <v>7355</v>
      </c>
      <c r="AB910" s="0" t="s">
        <v>1640</v>
      </c>
      <c r="AC910" s="0" t="s">
        <v>7629</v>
      </c>
      <c r="AD910" s="0" t="s">
        <v>7710</v>
      </c>
      <c r="AE910" s="0" t="s">
        <v>7360</v>
      </c>
      <c r="AF910" s="0" t="s">
        <v>7361</v>
      </c>
      <c r="AG910" s="0" t="s">
        <v>230</v>
      </c>
    </row>
    <row r="911" customFormat="false" ht="15" hidden="false" customHeight="false" outlineLevel="0" collapsed="false">
      <c r="A911" s="0" t="s">
        <v>7336</v>
      </c>
      <c r="B911" s="0" t="s">
        <v>3422</v>
      </c>
      <c r="C911" s="0" t="s">
        <v>3423</v>
      </c>
      <c r="D911" s="0" t="s">
        <v>227</v>
      </c>
      <c r="E911" s="0" t="s">
        <v>3424</v>
      </c>
      <c r="F911" s="0" t="s">
        <v>1989</v>
      </c>
      <c r="G911" s="0" t="s">
        <v>184</v>
      </c>
      <c r="H911" s="0" t="s">
        <v>7711</v>
      </c>
      <c r="I911" s="0" t="s">
        <v>7338</v>
      </c>
      <c r="J911" s="0" t="s">
        <v>1602</v>
      </c>
      <c r="K911" s="0" t="s">
        <v>7339</v>
      </c>
      <c r="L911" s="0" t="s">
        <v>7340</v>
      </c>
      <c r="M911" s="0" t="s">
        <v>7661</v>
      </c>
      <c r="N911" s="0" t="s">
        <v>7342</v>
      </c>
      <c r="P911" s="0" t="s">
        <v>229</v>
      </c>
      <c r="Q911" s="0" t="s">
        <v>7354</v>
      </c>
      <c r="R911" s="0" t="s">
        <v>7343</v>
      </c>
      <c r="S911" s="0" t="s">
        <v>7344</v>
      </c>
      <c r="T911" s="0" t="s">
        <v>58</v>
      </c>
      <c r="V911" s="0" t="s">
        <v>55</v>
      </c>
      <c r="W911" s="0" t="s">
        <v>57</v>
      </c>
      <c r="X911" s="0" t="s">
        <v>7355</v>
      </c>
      <c r="Y911" s="0" t="s">
        <v>7667</v>
      </c>
      <c r="Z911" s="0" t="s">
        <v>7668</v>
      </c>
      <c r="AA911" s="0" t="s">
        <v>7669</v>
      </c>
      <c r="AB911" s="0" t="s">
        <v>237</v>
      </c>
      <c r="AC911" s="0" t="s">
        <v>7629</v>
      </c>
      <c r="AD911" s="0" t="s">
        <v>682</v>
      </c>
      <c r="AE911" s="0" t="s">
        <v>7360</v>
      </c>
      <c r="AF911" s="0" t="s">
        <v>7361</v>
      </c>
      <c r="AG911" s="0" t="s">
        <v>230</v>
      </c>
    </row>
    <row r="912" customFormat="false" ht="15" hidden="false" customHeight="false" outlineLevel="0" collapsed="false">
      <c r="A912" s="0" t="s">
        <v>7336</v>
      </c>
      <c r="B912" s="0" t="s">
        <v>3425</v>
      </c>
      <c r="C912" s="0" t="s">
        <v>3426</v>
      </c>
      <c r="D912" s="0" t="s">
        <v>227</v>
      </c>
      <c r="E912" s="0" t="s">
        <v>3427</v>
      </c>
      <c r="F912" s="0" t="s">
        <v>1972</v>
      </c>
      <c r="G912" s="0" t="s">
        <v>184</v>
      </c>
      <c r="H912" s="0" t="s">
        <v>7707</v>
      </c>
      <c r="I912" s="0" t="s">
        <v>7338</v>
      </c>
      <c r="J912" s="0" t="s">
        <v>1602</v>
      </c>
      <c r="K912" s="0" t="s">
        <v>7339</v>
      </c>
      <c r="L912" s="0" t="s">
        <v>7340</v>
      </c>
      <c r="M912" s="0" t="s">
        <v>7661</v>
      </c>
      <c r="N912" s="0" t="s">
        <v>7342</v>
      </c>
      <c r="P912" s="0" t="s">
        <v>229</v>
      </c>
      <c r="Q912" s="0" t="s">
        <v>7354</v>
      </c>
      <c r="R912" s="0" t="s">
        <v>7343</v>
      </c>
      <c r="S912" s="0" t="s">
        <v>7344</v>
      </c>
      <c r="T912" s="0" t="s">
        <v>228</v>
      </c>
      <c r="V912" s="0" t="s">
        <v>1358</v>
      </c>
      <c r="W912" s="0" t="s">
        <v>65</v>
      </c>
      <c r="X912" s="0" t="s">
        <v>7355</v>
      </c>
      <c r="AB912" s="0" t="s">
        <v>1640</v>
      </c>
      <c r="AC912" s="0" t="s">
        <v>7629</v>
      </c>
      <c r="AD912" s="0" t="s">
        <v>7954</v>
      </c>
      <c r="AE912" s="0" t="s">
        <v>7360</v>
      </c>
      <c r="AF912" s="0" t="s">
        <v>7361</v>
      </c>
      <c r="AG912" s="0" t="s">
        <v>230</v>
      </c>
    </row>
    <row r="913" customFormat="false" ht="15" hidden="false" customHeight="false" outlineLevel="0" collapsed="false">
      <c r="A913" s="0" t="s">
        <v>7336</v>
      </c>
      <c r="B913" s="0" t="s">
        <v>3428</v>
      </c>
      <c r="C913" s="0" t="s">
        <v>3429</v>
      </c>
      <c r="D913" s="0" t="s">
        <v>227</v>
      </c>
      <c r="E913" s="0" t="s">
        <v>3430</v>
      </c>
      <c r="F913" s="0" t="s">
        <v>1972</v>
      </c>
      <c r="G913" s="0" t="s">
        <v>184</v>
      </c>
      <c r="H913" s="0" t="s">
        <v>7707</v>
      </c>
      <c r="I913" s="0" t="s">
        <v>7338</v>
      </c>
      <c r="J913" s="0" t="s">
        <v>1602</v>
      </c>
      <c r="K913" s="0" t="s">
        <v>7339</v>
      </c>
      <c r="L913" s="0" t="s">
        <v>7340</v>
      </c>
      <c r="M913" s="0" t="s">
        <v>7661</v>
      </c>
      <c r="N913" s="0" t="s">
        <v>7342</v>
      </c>
      <c r="P913" s="0" t="s">
        <v>229</v>
      </c>
      <c r="Q913" s="0" t="s">
        <v>7354</v>
      </c>
      <c r="R913" s="0" t="s">
        <v>7343</v>
      </c>
      <c r="S913" s="0" t="s">
        <v>7344</v>
      </c>
      <c r="T913" s="0" t="s">
        <v>1979</v>
      </c>
      <c r="V913" s="0" t="s">
        <v>1358</v>
      </c>
      <c r="W913" s="0" t="s">
        <v>66</v>
      </c>
      <c r="X913" s="0" t="s">
        <v>7355</v>
      </c>
      <c r="AB913" s="0" t="s">
        <v>237</v>
      </c>
      <c r="AC913" s="0" t="s">
        <v>7629</v>
      </c>
      <c r="AD913" s="0" t="s">
        <v>7709</v>
      </c>
      <c r="AE913" s="0" t="s">
        <v>7360</v>
      </c>
      <c r="AF913" s="0" t="s">
        <v>7361</v>
      </c>
      <c r="AG913" s="0" t="s">
        <v>230</v>
      </c>
    </row>
    <row r="914" customFormat="false" ht="15" hidden="false" customHeight="false" outlineLevel="0" collapsed="false">
      <c r="A914" s="0" t="s">
        <v>7336</v>
      </c>
      <c r="B914" s="0" t="s">
        <v>3431</v>
      </c>
      <c r="C914" s="0" t="s">
        <v>3432</v>
      </c>
      <c r="D914" s="0" t="s">
        <v>227</v>
      </c>
      <c r="E914" s="0" t="s">
        <v>3433</v>
      </c>
      <c r="F914" s="0" t="s">
        <v>1972</v>
      </c>
      <c r="G914" s="0" t="s">
        <v>184</v>
      </c>
      <c r="H914" s="0" t="s">
        <v>7707</v>
      </c>
      <c r="I914" s="0" t="s">
        <v>7338</v>
      </c>
      <c r="J914" s="0" t="s">
        <v>1602</v>
      </c>
      <c r="K914" s="0" t="s">
        <v>7339</v>
      </c>
      <c r="L914" s="0" t="s">
        <v>7340</v>
      </c>
      <c r="M914" s="0" t="s">
        <v>7661</v>
      </c>
      <c r="N914" s="0" t="s">
        <v>7342</v>
      </c>
      <c r="P914" s="0" t="s">
        <v>229</v>
      </c>
      <c r="Q914" s="0" t="s">
        <v>7354</v>
      </c>
      <c r="R914" s="0" t="s">
        <v>7343</v>
      </c>
      <c r="S914" s="0" t="s">
        <v>7344</v>
      </c>
      <c r="T914" s="0" t="s">
        <v>1979</v>
      </c>
      <c r="V914" s="0" t="s">
        <v>1358</v>
      </c>
      <c r="W914" s="0" t="s">
        <v>66</v>
      </c>
      <c r="X914" s="0" t="s">
        <v>7355</v>
      </c>
      <c r="AB914" s="0" t="s">
        <v>237</v>
      </c>
      <c r="AC914" s="0" t="s">
        <v>7629</v>
      </c>
      <c r="AD914" s="0" t="s">
        <v>7709</v>
      </c>
      <c r="AE914" s="0" t="s">
        <v>7360</v>
      </c>
      <c r="AF914" s="0" t="s">
        <v>7361</v>
      </c>
      <c r="AG914" s="0" t="s">
        <v>230</v>
      </c>
    </row>
    <row r="915" customFormat="false" ht="15" hidden="false" customHeight="false" outlineLevel="0" collapsed="false">
      <c r="A915" s="0" t="s">
        <v>7336</v>
      </c>
      <c r="B915" s="0" t="s">
        <v>3434</v>
      </c>
      <c r="C915" s="0" t="s">
        <v>3435</v>
      </c>
      <c r="D915" s="0" t="s">
        <v>227</v>
      </c>
      <c r="E915" s="0" t="s">
        <v>3436</v>
      </c>
      <c r="F915" s="0" t="s">
        <v>1972</v>
      </c>
      <c r="G915" s="0" t="s">
        <v>184</v>
      </c>
      <c r="H915" s="0" t="s">
        <v>7707</v>
      </c>
      <c r="I915" s="0" t="s">
        <v>7338</v>
      </c>
      <c r="J915" s="0" t="s">
        <v>1602</v>
      </c>
      <c r="K915" s="0" t="s">
        <v>7339</v>
      </c>
      <c r="L915" s="0" t="s">
        <v>7340</v>
      </c>
      <c r="M915" s="0" t="s">
        <v>7661</v>
      </c>
      <c r="N915" s="0" t="s">
        <v>7342</v>
      </c>
      <c r="P915" s="0" t="s">
        <v>229</v>
      </c>
      <c r="Q915" s="0" t="s">
        <v>7354</v>
      </c>
      <c r="R915" s="0" t="s">
        <v>7343</v>
      </c>
      <c r="S915" s="0" t="s">
        <v>7344</v>
      </c>
      <c r="T915" s="0" t="s">
        <v>228</v>
      </c>
      <c r="V915" s="0" t="s">
        <v>1358</v>
      </c>
      <c r="W915" s="0" t="s">
        <v>67</v>
      </c>
      <c r="X915" s="0" t="s">
        <v>7355</v>
      </c>
      <c r="AB915" s="0" t="s">
        <v>1640</v>
      </c>
      <c r="AC915" s="0" t="s">
        <v>7629</v>
      </c>
      <c r="AD915" s="0" t="s">
        <v>7710</v>
      </c>
      <c r="AE915" s="0" t="s">
        <v>7360</v>
      </c>
      <c r="AF915" s="0" t="s">
        <v>7361</v>
      </c>
      <c r="AG915" s="0" t="s">
        <v>230</v>
      </c>
    </row>
    <row r="916" customFormat="false" ht="15" hidden="false" customHeight="false" outlineLevel="0" collapsed="false">
      <c r="A916" s="0" t="s">
        <v>7336</v>
      </c>
      <c r="B916" s="0" t="s">
        <v>3437</v>
      </c>
      <c r="C916" s="0" t="s">
        <v>3438</v>
      </c>
      <c r="D916" s="0" t="s">
        <v>227</v>
      </c>
      <c r="E916" s="0" t="s">
        <v>3439</v>
      </c>
      <c r="F916" s="0" t="s">
        <v>1972</v>
      </c>
      <c r="G916" s="0" t="s">
        <v>184</v>
      </c>
      <c r="H916" s="0" t="s">
        <v>7707</v>
      </c>
      <c r="I916" s="0" t="s">
        <v>7338</v>
      </c>
      <c r="J916" s="0" t="s">
        <v>1602</v>
      </c>
      <c r="K916" s="0" t="s">
        <v>7339</v>
      </c>
      <c r="L916" s="0" t="s">
        <v>7340</v>
      </c>
      <c r="M916" s="0" t="s">
        <v>7661</v>
      </c>
      <c r="N916" s="0" t="s">
        <v>7342</v>
      </c>
      <c r="P916" s="0" t="s">
        <v>229</v>
      </c>
      <c r="Q916" s="0" t="s">
        <v>7354</v>
      </c>
      <c r="R916" s="0" t="s">
        <v>7343</v>
      </c>
      <c r="S916" s="0" t="s">
        <v>7344</v>
      </c>
      <c r="T916" s="0" t="s">
        <v>228</v>
      </c>
      <c r="V916" s="0" t="s">
        <v>1358</v>
      </c>
      <c r="W916" s="0" t="s">
        <v>67</v>
      </c>
      <c r="X916" s="0" t="s">
        <v>7355</v>
      </c>
      <c r="AB916" s="0" t="s">
        <v>1640</v>
      </c>
      <c r="AC916" s="0" t="s">
        <v>7629</v>
      </c>
      <c r="AD916" s="0" t="s">
        <v>7710</v>
      </c>
      <c r="AE916" s="0" t="s">
        <v>7360</v>
      </c>
      <c r="AF916" s="0" t="s">
        <v>7361</v>
      </c>
      <c r="AG916" s="0" t="s">
        <v>230</v>
      </c>
    </row>
    <row r="917" customFormat="false" ht="15" hidden="false" customHeight="false" outlineLevel="0" collapsed="false">
      <c r="A917" s="0" t="s">
        <v>7336</v>
      </c>
      <c r="B917" s="0" t="s">
        <v>3440</v>
      </c>
      <c r="C917" s="0" t="s">
        <v>3441</v>
      </c>
      <c r="D917" s="0" t="s">
        <v>227</v>
      </c>
      <c r="E917" s="0" t="s">
        <v>3442</v>
      </c>
      <c r="F917" s="0" t="s">
        <v>1972</v>
      </c>
      <c r="G917" s="0" t="s">
        <v>184</v>
      </c>
      <c r="H917" s="0" t="s">
        <v>7707</v>
      </c>
      <c r="I917" s="0" t="s">
        <v>7338</v>
      </c>
      <c r="J917" s="0" t="s">
        <v>1602</v>
      </c>
      <c r="K917" s="0" t="s">
        <v>7339</v>
      </c>
      <c r="L917" s="0" t="s">
        <v>7340</v>
      </c>
      <c r="M917" s="0" t="s">
        <v>7661</v>
      </c>
      <c r="N917" s="0" t="s">
        <v>7342</v>
      </c>
      <c r="P917" s="0" t="s">
        <v>229</v>
      </c>
      <c r="Q917" s="0" t="s">
        <v>7354</v>
      </c>
      <c r="R917" s="0" t="s">
        <v>7343</v>
      </c>
      <c r="S917" s="0" t="s">
        <v>7344</v>
      </c>
      <c r="T917" s="0" t="s">
        <v>58</v>
      </c>
      <c r="V917" s="0" t="s">
        <v>55</v>
      </c>
      <c r="W917" s="0" t="s">
        <v>57</v>
      </c>
      <c r="X917" s="0" t="s">
        <v>7355</v>
      </c>
      <c r="Y917" s="0" t="s">
        <v>7667</v>
      </c>
      <c r="Z917" s="0" t="s">
        <v>7668</v>
      </c>
      <c r="AA917" s="0" t="s">
        <v>7669</v>
      </c>
      <c r="AB917" s="0" t="s">
        <v>237</v>
      </c>
      <c r="AC917" s="0" t="s">
        <v>7629</v>
      </c>
      <c r="AE917" s="0" t="s">
        <v>7360</v>
      </c>
      <c r="AF917" s="0" t="s">
        <v>7361</v>
      </c>
      <c r="AG917" s="0" t="s">
        <v>230</v>
      </c>
    </row>
    <row r="918" customFormat="false" ht="15" hidden="false" customHeight="false" outlineLevel="0" collapsed="false">
      <c r="A918" s="0" t="s">
        <v>7336</v>
      </c>
      <c r="B918" s="0" t="s">
        <v>3443</v>
      </c>
      <c r="C918" s="0" t="s">
        <v>3444</v>
      </c>
      <c r="D918" s="0" t="s">
        <v>227</v>
      </c>
      <c r="E918" s="0" t="s">
        <v>3445</v>
      </c>
      <c r="F918" s="0" t="s">
        <v>1989</v>
      </c>
      <c r="G918" s="0" t="s">
        <v>184</v>
      </c>
      <c r="H918" s="0" t="s">
        <v>7711</v>
      </c>
      <c r="I918" s="0" t="s">
        <v>7338</v>
      </c>
      <c r="J918" s="0" t="s">
        <v>1602</v>
      </c>
      <c r="K918" s="0" t="s">
        <v>7339</v>
      </c>
      <c r="L918" s="0" t="s">
        <v>7340</v>
      </c>
      <c r="M918" s="0" t="s">
        <v>7661</v>
      </c>
      <c r="N918" s="0" t="s">
        <v>7342</v>
      </c>
      <c r="P918" s="0" t="s">
        <v>229</v>
      </c>
      <c r="Q918" s="0" t="s">
        <v>7354</v>
      </c>
      <c r="R918" s="0" t="s">
        <v>7343</v>
      </c>
      <c r="S918" s="0" t="s">
        <v>7344</v>
      </c>
      <c r="T918" s="0" t="s">
        <v>228</v>
      </c>
      <c r="V918" s="0" t="s">
        <v>1358</v>
      </c>
      <c r="W918" s="0" t="s">
        <v>65</v>
      </c>
      <c r="X918" s="0" t="s">
        <v>7355</v>
      </c>
      <c r="AB918" s="0" t="s">
        <v>1640</v>
      </c>
      <c r="AC918" s="0" t="s">
        <v>7629</v>
      </c>
      <c r="AD918" s="0" t="s">
        <v>7954</v>
      </c>
      <c r="AE918" s="0" t="s">
        <v>7360</v>
      </c>
      <c r="AF918" s="0" t="s">
        <v>7361</v>
      </c>
      <c r="AG918" s="0" t="s">
        <v>230</v>
      </c>
    </row>
    <row r="919" customFormat="false" ht="15" hidden="false" customHeight="false" outlineLevel="0" collapsed="false">
      <c r="A919" s="0" t="s">
        <v>7336</v>
      </c>
      <c r="B919" s="0" t="s">
        <v>3446</v>
      </c>
      <c r="C919" s="0" t="s">
        <v>3447</v>
      </c>
      <c r="D919" s="0" t="s">
        <v>227</v>
      </c>
      <c r="E919" s="0" t="s">
        <v>3448</v>
      </c>
      <c r="F919" s="0" t="s">
        <v>1989</v>
      </c>
      <c r="G919" s="0" t="s">
        <v>184</v>
      </c>
      <c r="H919" s="0" t="s">
        <v>7711</v>
      </c>
      <c r="I919" s="0" t="s">
        <v>7338</v>
      </c>
      <c r="J919" s="0" t="s">
        <v>1602</v>
      </c>
      <c r="K919" s="0" t="s">
        <v>7339</v>
      </c>
      <c r="L919" s="0" t="s">
        <v>7340</v>
      </c>
      <c r="M919" s="0" t="s">
        <v>7661</v>
      </c>
      <c r="N919" s="0" t="s">
        <v>7342</v>
      </c>
      <c r="P919" s="0" t="s">
        <v>229</v>
      </c>
      <c r="Q919" s="0" t="s">
        <v>7354</v>
      </c>
      <c r="R919" s="0" t="s">
        <v>7343</v>
      </c>
      <c r="S919" s="0" t="s">
        <v>7344</v>
      </c>
      <c r="T919" s="0" t="s">
        <v>1979</v>
      </c>
      <c r="V919" s="0" t="s">
        <v>1358</v>
      </c>
      <c r="W919" s="0" t="s">
        <v>66</v>
      </c>
      <c r="X919" s="0" t="s">
        <v>7355</v>
      </c>
      <c r="AB919" s="0" t="s">
        <v>237</v>
      </c>
      <c r="AC919" s="0" t="s">
        <v>7629</v>
      </c>
      <c r="AD919" s="0" t="s">
        <v>7709</v>
      </c>
      <c r="AE919" s="0" t="s">
        <v>7360</v>
      </c>
      <c r="AF919" s="0" t="s">
        <v>7361</v>
      </c>
      <c r="AG919" s="0" t="s">
        <v>230</v>
      </c>
    </row>
    <row r="920" customFormat="false" ht="15" hidden="false" customHeight="false" outlineLevel="0" collapsed="false">
      <c r="A920" s="0" t="s">
        <v>7336</v>
      </c>
      <c r="B920" s="0" t="s">
        <v>3449</v>
      </c>
      <c r="C920" s="0" t="s">
        <v>3450</v>
      </c>
      <c r="D920" s="0" t="s">
        <v>227</v>
      </c>
      <c r="E920" s="0" t="s">
        <v>3451</v>
      </c>
      <c r="F920" s="0" t="s">
        <v>1972</v>
      </c>
      <c r="G920" s="0" t="s">
        <v>184</v>
      </c>
      <c r="H920" s="0" t="s">
        <v>7707</v>
      </c>
      <c r="I920" s="0" t="s">
        <v>7338</v>
      </c>
      <c r="J920" s="0" t="s">
        <v>1602</v>
      </c>
      <c r="K920" s="0" t="s">
        <v>7339</v>
      </c>
      <c r="L920" s="0" t="s">
        <v>7340</v>
      </c>
      <c r="M920" s="0" t="s">
        <v>7661</v>
      </c>
      <c r="N920" s="0" t="s">
        <v>7342</v>
      </c>
      <c r="P920" s="0" t="s">
        <v>229</v>
      </c>
      <c r="Q920" s="0" t="s">
        <v>7354</v>
      </c>
      <c r="R920" s="0" t="s">
        <v>7343</v>
      </c>
      <c r="S920" s="0" t="s">
        <v>7344</v>
      </c>
      <c r="T920" s="0" t="s">
        <v>1979</v>
      </c>
      <c r="V920" s="0" t="s">
        <v>1358</v>
      </c>
      <c r="W920" s="0" t="s">
        <v>66</v>
      </c>
      <c r="X920" s="0" t="s">
        <v>7355</v>
      </c>
      <c r="AB920" s="0" t="s">
        <v>237</v>
      </c>
      <c r="AC920" s="0" t="s">
        <v>7629</v>
      </c>
      <c r="AD920" s="0" t="s">
        <v>7709</v>
      </c>
      <c r="AE920" s="0" t="s">
        <v>7360</v>
      </c>
      <c r="AF920" s="0" t="s">
        <v>7361</v>
      </c>
      <c r="AG920" s="0" t="s">
        <v>230</v>
      </c>
    </row>
    <row r="921" customFormat="false" ht="15" hidden="false" customHeight="false" outlineLevel="0" collapsed="false">
      <c r="A921" s="0" t="s">
        <v>7336</v>
      </c>
      <c r="B921" s="0" t="s">
        <v>3452</v>
      </c>
      <c r="C921" s="0" t="s">
        <v>3453</v>
      </c>
      <c r="D921" s="0" t="s">
        <v>227</v>
      </c>
      <c r="E921" s="0" t="s">
        <v>3454</v>
      </c>
      <c r="F921" s="0" t="s">
        <v>1989</v>
      </c>
      <c r="G921" s="0" t="s">
        <v>184</v>
      </c>
      <c r="H921" s="0" t="s">
        <v>7711</v>
      </c>
      <c r="I921" s="0" t="s">
        <v>7338</v>
      </c>
      <c r="J921" s="0" t="s">
        <v>1602</v>
      </c>
      <c r="K921" s="0" t="s">
        <v>7339</v>
      </c>
      <c r="L921" s="0" t="s">
        <v>7340</v>
      </c>
      <c r="M921" s="0" t="s">
        <v>7661</v>
      </c>
      <c r="N921" s="0" t="s">
        <v>7342</v>
      </c>
      <c r="P921" s="0" t="s">
        <v>229</v>
      </c>
      <c r="Q921" s="0" t="s">
        <v>7354</v>
      </c>
      <c r="R921" s="0" t="s">
        <v>7343</v>
      </c>
      <c r="S921" s="0" t="s">
        <v>7344</v>
      </c>
      <c r="T921" s="0" t="s">
        <v>228</v>
      </c>
      <c r="V921" s="0" t="s">
        <v>1358</v>
      </c>
      <c r="W921" s="0" t="s">
        <v>67</v>
      </c>
      <c r="X921" s="0" t="s">
        <v>7355</v>
      </c>
      <c r="AB921" s="0" t="s">
        <v>1640</v>
      </c>
      <c r="AC921" s="0" t="s">
        <v>7629</v>
      </c>
      <c r="AD921" s="0" t="s">
        <v>7710</v>
      </c>
      <c r="AE921" s="0" t="s">
        <v>7360</v>
      </c>
      <c r="AF921" s="0" t="s">
        <v>7361</v>
      </c>
      <c r="AG921" s="0" t="s">
        <v>230</v>
      </c>
    </row>
    <row r="922" customFormat="false" ht="15" hidden="false" customHeight="false" outlineLevel="0" collapsed="false">
      <c r="A922" s="0" t="s">
        <v>7336</v>
      </c>
      <c r="B922" s="0" t="s">
        <v>3455</v>
      </c>
      <c r="C922" s="0" t="s">
        <v>3456</v>
      </c>
      <c r="D922" s="0" t="s">
        <v>227</v>
      </c>
      <c r="E922" s="0" t="s">
        <v>3457</v>
      </c>
      <c r="F922" s="0" t="s">
        <v>1972</v>
      </c>
      <c r="G922" s="0" t="s">
        <v>184</v>
      </c>
      <c r="H922" s="0" t="s">
        <v>7707</v>
      </c>
      <c r="I922" s="0" t="s">
        <v>7338</v>
      </c>
      <c r="J922" s="0" t="s">
        <v>1602</v>
      </c>
      <c r="K922" s="0" t="s">
        <v>7339</v>
      </c>
      <c r="L922" s="0" t="s">
        <v>7340</v>
      </c>
      <c r="M922" s="0" t="s">
        <v>7661</v>
      </c>
      <c r="N922" s="0" t="s">
        <v>7342</v>
      </c>
      <c r="P922" s="0" t="s">
        <v>229</v>
      </c>
      <c r="Q922" s="0" t="s">
        <v>7354</v>
      </c>
      <c r="R922" s="0" t="s">
        <v>7343</v>
      </c>
      <c r="S922" s="0" t="s">
        <v>7344</v>
      </c>
      <c r="T922" s="0" t="s">
        <v>228</v>
      </c>
      <c r="V922" s="0" t="s">
        <v>1358</v>
      </c>
      <c r="W922" s="0" t="s">
        <v>67</v>
      </c>
      <c r="X922" s="0" t="s">
        <v>7355</v>
      </c>
      <c r="AB922" s="0" t="s">
        <v>1640</v>
      </c>
      <c r="AC922" s="0" t="s">
        <v>7629</v>
      </c>
      <c r="AD922" s="0" t="s">
        <v>7710</v>
      </c>
      <c r="AE922" s="0" t="s">
        <v>7360</v>
      </c>
      <c r="AF922" s="0" t="s">
        <v>7361</v>
      </c>
      <c r="AG922" s="0" t="s">
        <v>230</v>
      </c>
    </row>
    <row r="923" customFormat="false" ht="15" hidden="false" customHeight="false" outlineLevel="0" collapsed="false">
      <c r="A923" s="0" t="s">
        <v>7336</v>
      </c>
      <c r="B923" s="0" t="s">
        <v>3458</v>
      </c>
      <c r="C923" s="0" t="s">
        <v>3459</v>
      </c>
      <c r="D923" s="0" t="s">
        <v>227</v>
      </c>
      <c r="E923" s="0" t="s">
        <v>3460</v>
      </c>
      <c r="F923" s="0" t="s">
        <v>1989</v>
      </c>
      <c r="G923" s="0" t="s">
        <v>184</v>
      </c>
      <c r="H923" s="0" t="s">
        <v>7711</v>
      </c>
      <c r="I923" s="0" t="s">
        <v>7338</v>
      </c>
      <c r="J923" s="0" t="s">
        <v>1602</v>
      </c>
      <c r="K923" s="0" t="s">
        <v>7339</v>
      </c>
      <c r="L923" s="0" t="s">
        <v>7340</v>
      </c>
      <c r="M923" s="0" t="s">
        <v>7661</v>
      </c>
      <c r="N923" s="0" t="s">
        <v>7342</v>
      </c>
      <c r="P923" s="0" t="s">
        <v>229</v>
      </c>
      <c r="Q923" s="0" t="s">
        <v>7354</v>
      </c>
      <c r="R923" s="0" t="s">
        <v>7343</v>
      </c>
      <c r="S923" s="0" t="s">
        <v>7344</v>
      </c>
      <c r="T923" s="0" t="s">
        <v>58</v>
      </c>
      <c r="V923" s="0" t="s">
        <v>55</v>
      </c>
      <c r="W923" s="0" t="s">
        <v>57</v>
      </c>
      <c r="X923" s="0" t="s">
        <v>7355</v>
      </c>
      <c r="Y923" s="0" t="s">
        <v>7667</v>
      </c>
      <c r="Z923" s="0" t="s">
        <v>7668</v>
      </c>
      <c r="AA923" s="0" t="s">
        <v>7669</v>
      </c>
      <c r="AB923" s="0" t="s">
        <v>237</v>
      </c>
      <c r="AC923" s="0" t="s">
        <v>7629</v>
      </c>
      <c r="AE923" s="0" t="s">
        <v>7360</v>
      </c>
      <c r="AF923" s="0" t="s">
        <v>7361</v>
      </c>
      <c r="AG923" s="0" t="s">
        <v>230</v>
      </c>
    </row>
    <row r="924" customFormat="false" ht="15" hidden="false" customHeight="false" outlineLevel="0" collapsed="false">
      <c r="A924" s="0" t="s">
        <v>7336</v>
      </c>
      <c r="B924" s="0" t="s">
        <v>3461</v>
      </c>
      <c r="C924" s="0" t="s">
        <v>3462</v>
      </c>
      <c r="D924" s="0" t="s">
        <v>227</v>
      </c>
      <c r="E924" s="0" t="s">
        <v>3463</v>
      </c>
      <c r="F924" s="0" t="s">
        <v>1972</v>
      </c>
      <c r="G924" s="0" t="s">
        <v>184</v>
      </c>
      <c r="H924" s="0" t="s">
        <v>7707</v>
      </c>
      <c r="I924" s="0" t="s">
        <v>7338</v>
      </c>
      <c r="J924" s="0" t="s">
        <v>1602</v>
      </c>
      <c r="K924" s="0" t="s">
        <v>7339</v>
      </c>
      <c r="L924" s="0" t="s">
        <v>7340</v>
      </c>
      <c r="M924" s="0" t="s">
        <v>7661</v>
      </c>
      <c r="N924" s="0" t="s">
        <v>7342</v>
      </c>
      <c r="P924" s="0" t="s">
        <v>229</v>
      </c>
      <c r="Q924" s="0" t="s">
        <v>7354</v>
      </c>
      <c r="R924" s="0" t="s">
        <v>7343</v>
      </c>
      <c r="S924" s="0" t="s">
        <v>7344</v>
      </c>
      <c r="T924" s="0" t="s">
        <v>228</v>
      </c>
      <c r="V924" s="0" t="s">
        <v>1358</v>
      </c>
      <c r="W924" s="0" t="s">
        <v>65</v>
      </c>
      <c r="X924" s="0" t="s">
        <v>7355</v>
      </c>
      <c r="AB924" s="0" t="s">
        <v>1640</v>
      </c>
      <c r="AC924" s="0" t="s">
        <v>7629</v>
      </c>
      <c r="AD924" s="0" t="s">
        <v>7954</v>
      </c>
      <c r="AE924" s="0" t="s">
        <v>7360</v>
      </c>
      <c r="AF924" s="0" t="s">
        <v>7361</v>
      </c>
      <c r="AG924" s="0" t="s">
        <v>230</v>
      </c>
    </row>
    <row r="925" customFormat="false" ht="15" hidden="false" customHeight="false" outlineLevel="0" collapsed="false">
      <c r="A925" s="0" t="s">
        <v>7336</v>
      </c>
      <c r="B925" s="0" t="s">
        <v>3464</v>
      </c>
      <c r="C925" s="0" t="s">
        <v>3465</v>
      </c>
      <c r="D925" s="0" t="s">
        <v>227</v>
      </c>
      <c r="E925" s="0" t="s">
        <v>3466</v>
      </c>
      <c r="F925" s="0" t="s">
        <v>1972</v>
      </c>
      <c r="G925" s="0" t="s">
        <v>184</v>
      </c>
      <c r="H925" s="0" t="s">
        <v>7707</v>
      </c>
      <c r="I925" s="0" t="s">
        <v>7338</v>
      </c>
      <c r="J925" s="0" t="s">
        <v>1602</v>
      </c>
      <c r="K925" s="0" t="s">
        <v>7339</v>
      </c>
      <c r="L925" s="0" t="s">
        <v>7340</v>
      </c>
      <c r="M925" s="0" t="s">
        <v>7661</v>
      </c>
      <c r="N925" s="0" t="s">
        <v>7342</v>
      </c>
      <c r="P925" s="0" t="s">
        <v>229</v>
      </c>
      <c r="Q925" s="0" t="s">
        <v>7354</v>
      </c>
      <c r="R925" s="0" t="s">
        <v>7343</v>
      </c>
      <c r="S925" s="0" t="s">
        <v>7344</v>
      </c>
      <c r="T925" s="0" t="s">
        <v>1979</v>
      </c>
      <c r="V925" s="0" t="s">
        <v>1358</v>
      </c>
      <c r="W925" s="0" t="s">
        <v>66</v>
      </c>
      <c r="X925" s="0" t="s">
        <v>7355</v>
      </c>
      <c r="AB925" s="0" t="s">
        <v>237</v>
      </c>
      <c r="AC925" s="0" t="s">
        <v>7629</v>
      </c>
      <c r="AD925" s="0" t="s">
        <v>7709</v>
      </c>
      <c r="AE925" s="0" t="s">
        <v>7360</v>
      </c>
      <c r="AF925" s="0" t="s">
        <v>7361</v>
      </c>
      <c r="AG925" s="0" t="s">
        <v>230</v>
      </c>
    </row>
    <row r="926" customFormat="false" ht="15" hidden="false" customHeight="false" outlineLevel="0" collapsed="false">
      <c r="A926" s="0" t="s">
        <v>7336</v>
      </c>
      <c r="B926" s="0" t="s">
        <v>3467</v>
      </c>
      <c r="C926" s="0" t="s">
        <v>3468</v>
      </c>
      <c r="D926" s="0" t="s">
        <v>227</v>
      </c>
      <c r="E926" s="0" t="s">
        <v>3469</v>
      </c>
      <c r="F926" s="0" t="s">
        <v>1972</v>
      </c>
      <c r="G926" s="0" t="s">
        <v>184</v>
      </c>
      <c r="H926" s="0" t="s">
        <v>7707</v>
      </c>
      <c r="I926" s="0" t="s">
        <v>7338</v>
      </c>
      <c r="J926" s="0" t="s">
        <v>1602</v>
      </c>
      <c r="K926" s="0" t="s">
        <v>7339</v>
      </c>
      <c r="L926" s="0" t="s">
        <v>7340</v>
      </c>
      <c r="M926" s="0" t="s">
        <v>7661</v>
      </c>
      <c r="N926" s="0" t="s">
        <v>7342</v>
      </c>
      <c r="P926" s="0" t="s">
        <v>229</v>
      </c>
      <c r="Q926" s="0" t="s">
        <v>7354</v>
      </c>
      <c r="R926" s="0" t="s">
        <v>7343</v>
      </c>
      <c r="S926" s="0" t="s">
        <v>7344</v>
      </c>
      <c r="T926" s="0" t="s">
        <v>1979</v>
      </c>
      <c r="V926" s="0" t="s">
        <v>1358</v>
      </c>
      <c r="W926" s="0" t="s">
        <v>66</v>
      </c>
      <c r="X926" s="0" t="s">
        <v>7355</v>
      </c>
      <c r="AB926" s="0" t="s">
        <v>237</v>
      </c>
      <c r="AC926" s="0" t="s">
        <v>7629</v>
      </c>
      <c r="AD926" s="0" t="s">
        <v>7709</v>
      </c>
      <c r="AE926" s="0" t="s">
        <v>7360</v>
      </c>
      <c r="AF926" s="0" t="s">
        <v>7361</v>
      </c>
      <c r="AG926" s="0" t="s">
        <v>230</v>
      </c>
    </row>
    <row r="927" customFormat="false" ht="15" hidden="false" customHeight="false" outlineLevel="0" collapsed="false">
      <c r="A927" s="0" t="s">
        <v>7336</v>
      </c>
      <c r="B927" s="0" t="s">
        <v>3470</v>
      </c>
      <c r="C927" s="0" t="s">
        <v>3471</v>
      </c>
      <c r="D927" s="0" t="s">
        <v>227</v>
      </c>
      <c r="E927" s="0" t="s">
        <v>3472</v>
      </c>
      <c r="F927" s="0" t="s">
        <v>1972</v>
      </c>
      <c r="G927" s="0" t="s">
        <v>184</v>
      </c>
      <c r="H927" s="0" t="s">
        <v>7707</v>
      </c>
      <c r="I927" s="0" t="s">
        <v>7338</v>
      </c>
      <c r="J927" s="0" t="s">
        <v>1602</v>
      </c>
      <c r="K927" s="0" t="s">
        <v>7339</v>
      </c>
      <c r="L927" s="0" t="s">
        <v>7340</v>
      </c>
      <c r="M927" s="0" t="s">
        <v>7661</v>
      </c>
      <c r="N927" s="0" t="s">
        <v>7342</v>
      </c>
      <c r="P927" s="0" t="s">
        <v>229</v>
      </c>
      <c r="Q927" s="0" t="s">
        <v>7354</v>
      </c>
      <c r="R927" s="0" t="s">
        <v>7343</v>
      </c>
      <c r="S927" s="0" t="s">
        <v>7344</v>
      </c>
      <c r="T927" s="0" t="s">
        <v>228</v>
      </c>
      <c r="V927" s="0" t="s">
        <v>1358</v>
      </c>
      <c r="W927" s="0" t="s">
        <v>67</v>
      </c>
      <c r="X927" s="0" t="s">
        <v>7355</v>
      </c>
      <c r="AB927" s="0" t="s">
        <v>1640</v>
      </c>
      <c r="AC927" s="0" t="s">
        <v>7629</v>
      </c>
      <c r="AD927" s="0" t="s">
        <v>7710</v>
      </c>
      <c r="AE927" s="0" t="s">
        <v>7360</v>
      </c>
      <c r="AF927" s="0" t="s">
        <v>7361</v>
      </c>
      <c r="AG927" s="0" t="s">
        <v>230</v>
      </c>
    </row>
    <row r="928" customFormat="false" ht="15" hidden="false" customHeight="false" outlineLevel="0" collapsed="false">
      <c r="A928" s="0" t="s">
        <v>7336</v>
      </c>
      <c r="B928" s="0" t="s">
        <v>3473</v>
      </c>
      <c r="C928" s="0" t="s">
        <v>3474</v>
      </c>
      <c r="D928" s="0" t="s">
        <v>227</v>
      </c>
      <c r="E928" s="0" t="s">
        <v>3475</v>
      </c>
      <c r="F928" s="0" t="s">
        <v>1972</v>
      </c>
      <c r="G928" s="0" t="s">
        <v>184</v>
      </c>
      <c r="H928" s="0" t="s">
        <v>7707</v>
      </c>
      <c r="I928" s="0" t="s">
        <v>7338</v>
      </c>
      <c r="J928" s="0" t="s">
        <v>1602</v>
      </c>
      <c r="K928" s="0" t="s">
        <v>7339</v>
      </c>
      <c r="L928" s="0" t="s">
        <v>7340</v>
      </c>
      <c r="M928" s="0" t="s">
        <v>7661</v>
      </c>
      <c r="N928" s="0" t="s">
        <v>7342</v>
      </c>
      <c r="P928" s="0" t="s">
        <v>229</v>
      </c>
      <c r="Q928" s="0" t="s">
        <v>7354</v>
      </c>
      <c r="R928" s="0" t="s">
        <v>7343</v>
      </c>
      <c r="S928" s="0" t="s">
        <v>7344</v>
      </c>
      <c r="T928" s="0" t="s">
        <v>228</v>
      </c>
      <c r="V928" s="0" t="s">
        <v>1358</v>
      </c>
      <c r="W928" s="0" t="s">
        <v>67</v>
      </c>
      <c r="X928" s="0" t="s">
        <v>7355</v>
      </c>
      <c r="AB928" s="0" t="s">
        <v>1640</v>
      </c>
      <c r="AC928" s="0" t="s">
        <v>7629</v>
      </c>
      <c r="AD928" s="0" t="s">
        <v>7710</v>
      </c>
      <c r="AE928" s="0" t="s">
        <v>7360</v>
      </c>
      <c r="AF928" s="0" t="s">
        <v>7361</v>
      </c>
      <c r="AG928" s="0" t="s">
        <v>230</v>
      </c>
    </row>
    <row r="929" customFormat="false" ht="15" hidden="false" customHeight="false" outlineLevel="0" collapsed="false">
      <c r="A929" s="0" t="s">
        <v>7336</v>
      </c>
      <c r="B929" s="0" t="s">
        <v>3476</v>
      </c>
      <c r="C929" s="0" t="s">
        <v>3477</v>
      </c>
      <c r="D929" s="0" t="s">
        <v>227</v>
      </c>
      <c r="E929" s="0" t="s">
        <v>3478</v>
      </c>
      <c r="F929" s="0" t="s">
        <v>1972</v>
      </c>
      <c r="G929" s="0" t="s">
        <v>184</v>
      </c>
      <c r="H929" s="0" t="s">
        <v>7707</v>
      </c>
      <c r="I929" s="0" t="s">
        <v>7338</v>
      </c>
      <c r="J929" s="0" t="s">
        <v>1602</v>
      </c>
      <c r="K929" s="0" t="s">
        <v>7339</v>
      </c>
      <c r="L929" s="0" t="s">
        <v>7340</v>
      </c>
      <c r="M929" s="0" t="s">
        <v>7661</v>
      </c>
      <c r="N929" s="0" t="s">
        <v>7342</v>
      </c>
      <c r="P929" s="0" t="s">
        <v>229</v>
      </c>
      <c r="Q929" s="0" t="s">
        <v>7354</v>
      </c>
      <c r="R929" s="0" t="s">
        <v>7343</v>
      </c>
      <c r="S929" s="0" t="s">
        <v>7344</v>
      </c>
      <c r="T929" s="0" t="s">
        <v>1979</v>
      </c>
      <c r="V929" s="0" t="s">
        <v>1358</v>
      </c>
      <c r="W929" s="0" t="s">
        <v>66</v>
      </c>
      <c r="X929" s="0" t="s">
        <v>7355</v>
      </c>
      <c r="AB929" s="0" t="s">
        <v>237</v>
      </c>
      <c r="AC929" s="0" t="s">
        <v>7629</v>
      </c>
      <c r="AD929" s="0" t="s">
        <v>7709</v>
      </c>
      <c r="AE929" s="0" t="s">
        <v>7360</v>
      </c>
      <c r="AF929" s="0" t="s">
        <v>7361</v>
      </c>
      <c r="AG929" s="0" t="s">
        <v>230</v>
      </c>
    </row>
    <row r="930" customFormat="false" ht="15" hidden="false" customHeight="false" outlineLevel="0" collapsed="false">
      <c r="A930" s="0" t="s">
        <v>7336</v>
      </c>
      <c r="B930" s="0" t="s">
        <v>3479</v>
      </c>
      <c r="C930" s="0" t="s">
        <v>3480</v>
      </c>
      <c r="D930" s="0" t="s">
        <v>227</v>
      </c>
      <c r="E930" s="0" t="s">
        <v>3481</v>
      </c>
      <c r="F930" s="0" t="s">
        <v>1972</v>
      </c>
      <c r="G930" s="0" t="s">
        <v>184</v>
      </c>
      <c r="H930" s="0" t="s">
        <v>7707</v>
      </c>
      <c r="I930" s="0" t="s">
        <v>7338</v>
      </c>
      <c r="J930" s="0" t="s">
        <v>1602</v>
      </c>
      <c r="K930" s="0" t="s">
        <v>7339</v>
      </c>
      <c r="L930" s="0" t="s">
        <v>7340</v>
      </c>
      <c r="M930" s="0" t="s">
        <v>7661</v>
      </c>
      <c r="N930" s="0" t="s">
        <v>7342</v>
      </c>
      <c r="P930" s="0" t="s">
        <v>229</v>
      </c>
      <c r="Q930" s="0" t="s">
        <v>7354</v>
      </c>
      <c r="R930" s="0" t="s">
        <v>7343</v>
      </c>
      <c r="S930" s="0" t="s">
        <v>7344</v>
      </c>
      <c r="T930" s="0" t="s">
        <v>228</v>
      </c>
      <c r="V930" s="0" t="s">
        <v>1358</v>
      </c>
      <c r="W930" s="0" t="s">
        <v>65</v>
      </c>
      <c r="X930" s="0" t="s">
        <v>7355</v>
      </c>
      <c r="AB930" s="0" t="s">
        <v>1640</v>
      </c>
      <c r="AC930" s="0" t="s">
        <v>7629</v>
      </c>
      <c r="AD930" s="0" t="s">
        <v>7955</v>
      </c>
      <c r="AE930" s="0" t="s">
        <v>7360</v>
      </c>
      <c r="AF930" s="0" t="s">
        <v>7361</v>
      </c>
      <c r="AG930" s="0" t="s">
        <v>230</v>
      </c>
    </row>
    <row r="931" customFormat="false" ht="15" hidden="false" customHeight="false" outlineLevel="0" collapsed="false">
      <c r="A931" s="0" t="s">
        <v>7336</v>
      </c>
      <c r="B931" s="0" t="s">
        <v>3482</v>
      </c>
      <c r="C931" s="0" t="s">
        <v>3483</v>
      </c>
      <c r="D931" s="0" t="s">
        <v>227</v>
      </c>
      <c r="E931" s="0" t="s">
        <v>3484</v>
      </c>
      <c r="F931" s="0" t="s">
        <v>1972</v>
      </c>
      <c r="G931" s="0" t="s">
        <v>184</v>
      </c>
      <c r="H931" s="0" t="s">
        <v>7707</v>
      </c>
      <c r="I931" s="0" t="s">
        <v>7338</v>
      </c>
      <c r="J931" s="0" t="s">
        <v>1602</v>
      </c>
      <c r="K931" s="0" t="s">
        <v>7339</v>
      </c>
      <c r="L931" s="0" t="s">
        <v>7340</v>
      </c>
      <c r="M931" s="0" t="s">
        <v>7661</v>
      </c>
      <c r="N931" s="0" t="s">
        <v>7342</v>
      </c>
      <c r="P931" s="0" t="s">
        <v>229</v>
      </c>
      <c r="Q931" s="0" t="s">
        <v>7354</v>
      </c>
      <c r="R931" s="0" t="s">
        <v>7343</v>
      </c>
      <c r="S931" s="0" t="s">
        <v>7344</v>
      </c>
      <c r="T931" s="0" t="s">
        <v>228</v>
      </c>
      <c r="V931" s="0" t="s">
        <v>1358</v>
      </c>
      <c r="W931" s="0" t="s">
        <v>65</v>
      </c>
      <c r="X931" s="0" t="s">
        <v>7355</v>
      </c>
      <c r="AB931" s="0" t="s">
        <v>1640</v>
      </c>
      <c r="AC931" s="0" t="s">
        <v>7629</v>
      </c>
      <c r="AD931" s="0" t="s">
        <v>7955</v>
      </c>
      <c r="AE931" s="0" t="s">
        <v>7360</v>
      </c>
      <c r="AF931" s="0" t="s">
        <v>7361</v>
      </c>
      <c r="AG931" s="0" t="s">
        <v>230</v>
      </c>
    </row>
    <row r="932" customFormat="false" ht="15" hidden="false" customHeight="false" outlineLevel="0" collapsed="false">
      <c r="A932" s="0" t="s">
        <v>7336</v>
      </c>
      <c r="B932" s="0" t="s">
        <v>3485</v>
      </c>
      <c r="C932" s="0" t="s">
        <v>3486</v>
      </c>
      <c r="D932" s="0" t="s">
        <v>227</v>
      </c>
      <c r="E932" s="0" t="s">
        <v>3487</v>
      </c>
      <c r="F932" s="0" t="s">
        <v>1972</v>
      </c>
      <c r="G932" s="0" t="s">
        <v>184</v>
      </c>
      <c r="H932" s="0" t="s">
        <v>7707</v>
      </c>
      <c r="I932" s="0" t="s">
        <v>7338</v>
      </c>
      <c r="J932" s="0" t="s">
        <v>1602</v>
      </c>
      <c r="K932" s="0" t="s">
        <v>7339</v>
      </c>
      <c r="L932" s="0" t="s">
        <v>7340</v>
      </c>
      <c r="M932" s="0" t="s">
        <v>7661</v>
      </c>
      <c r="N932" s="0" t="s">
        <v>7342</v>
      </c>
      <c r="P932" s="0" t="s">
        <v>229</v>
      </c>
      <c r="Q932" s="0" t="s">
        <v>7354</v>
      </c>
      <c r="R932" s="0" t="s">
        <v>7343</v>
      </c>
      <c r="S932" s="0" t="s">
        <v>7344</v>
      </c>
      <c r="T932" s="0" t="s">
        <v>58</v>
      </c>
      <c r="V932" s="0" t="s">
        <v>55</v>
      </c>
      <c r="W932" s="0" t="s">
        <v>57</v>
      </c>
      <c r="X932" s="0" t="s">
        <v>7355</v>
      </c>
      <c r="Y932" s="0" t="s">
        <v>7667</v>
      </c>
      <c r="Z932" s="0" t="s">
        <v>7668</v>
      </c>
      <c r="AA932" s="0" t="s">
        <v>7669</v>
      </c>
      <c r="AB932" s="0" t="s">
        <v>237</v>
      </c>
      <c r="AC932" s="0" t="s">
        <v>7629</v>
      </c>
      <c r="AE932" s="0" t="s">
        <v>7360</v>
      </c>
      <c r="AF932" s="0" t="s">
        <v>7361</v>
      </c>
      <c r="AG932" s="0" t="s">
        <v>230</v>
      </c>
    </row>
    <row r="933" customFormat="false" ht="15" hidden="false" customHeight="false" outlineLevel="0" collapsed="false">
      <c r="A933" s="0" t="s">
        <v>7336</v>
      </c>
      <c r="B933" s="0" t="s">
        <v>3488</v>
      </c>
      <c r="C933" s="0" t="s">
        <v>3489</v>
      </c>
      <c r="D933" s="0" t="s">
        <v>227</v>
      </c>
      <c r="E933" s="0" t="s">
        <v>3490</v>
      </c>
      <c r="F933" s="0" t="s">
        <v>1972</v>
      </c>
      <c r="G933" s="0" t="s">
        <v>184</v>
      </c>
      <c r="H933" s="0" t="s">
        <v>7707</v>
      </c>
      <c r="I933" s="0" t="s">
        <v>7338</v>
      </c>
      <c r="J933" s="0" t="s">
        <v>1602</v>
      </c>
      <c r="K933" s="0" t="s">
        <v>7339</v>
      </c>
      <c r="L933" s="0" t="s">
        <v>7340</v>
      </c>
      <c r="M933" s="0" t="s">
        <v>7661</v>
      </c>
      <c r="N933" s="0" t="s">
        <v>7342</v>
      </c>
      <c r="P933" s="0" t="s">
        <v>229</v>
      </c>
      <c r="Q933" s="0" t="s">
        <v>7354</v>
      </c>
      <c r="R933" s="0" t="s">
        <v>7343</v>
      </c>
      <c r="S933" s="0" t="s">
        <v>7344</v>
      </c>
      <c r="T933" s="0" t="s">
        <v>1979</v>
      </c>
      <c r="V933" s="0" t="s">
        <v>1358</v>
      </c>
      <c r="W933" s="0" t="s">
        <v>66</v>
      </c>
      <c r="X933" s="0" t="s">
        <v>7355</v>
      </c>
      <c r="AB933" s="0" t="s">
        <v>237</v>
      </c>
      <c r="AC933" s="0" t="s">
        <v>7629</v>
      </c>
      <c r="AD933" s="0" t="s">
        <v>7709</v>
      </c>
      <c r="AE933" s="0" t="s">
        <v>7360</v>
      </c>
      <c r="AF933" s="0" t="s">
        <v>7361</v>
      </c>
      <c r="AG933" s="0" t="s">
        <v>230</v>
      </c>
    </row>
    <row r="934" customFormat="false" ht="15" hidden="false" customHeight="false" outlineLevel="0" collapsed="false">
      <c r="A934" s="0" t="s">
        <v>7336</v>
      </c>
      <c r="B934" s="0" t="s">
        <v>3491</v>
      </c>
      <c r="C934" s="0" t="s">
        <v>3492</v>
      </c>
      <c r="D934" s="0" t="s">
        <v>227</v>
      </c>
      <c r="E934" s="0" t="s">
        <v>3493</v>
      </c>
      <c r="F934" s="0" t="s">
        <v>1972</v>
      </c>
      <c r="G934" s="0" t="s">
        <v>184</v>
      </c>
      <c r="H934" s="0" t="s">
        <v>7707</v>
      </c>
      <c r="I934" s="0" t="s">
        <v>7338</v>
      </c>
      <c r="J934" s="0" t="s">
        <v>1602</v>
      </c>
      <c r="K934" s="0" t="s">
        <v>7339</v>
      </c>
      <c r="L934" s="0" t="s">
        <v>7340</v>
      </c>
      <c r="M934" s="0" t="s">
        <v>7661</v>
      </c>
      <c r="N934" s="0" t="s">
        <v>7342</v>
      </c>
      <c r="P934" s="0" t="s">
        <v>229</v>
      </c>
      <c r="Q934" s="0" t="s">
        <v>7354</v>
      </c>
      <c r="R934" s="0" t="s">
        <v>7343</v>
      </c>
      <c r="S934" s="0" t="s">
        <v>7344</v>
      </c>
      <c r="T934" s="0" t="s">
        <v>228</v>
      </c>
      <c r="V934" s="0" t="s">
        <v>1358</v>
      </c>
      <c r="W934" s="0" t="s">
        <v>67</v>
      </c>
      <c r="X934" s="0" t="s">
        <v>7355</v>
      </c>
      <c r="AB934" s="0" t="s">
        <v>1640</v>
      </c>
      <c r="AC934" s="0" t="s">
        <v>7629</v>
      </c>
      <c r="AD934" s="0" t="s">
        <v>7956</v>
      </c>
      <c r="AE934" s="0" t="s">
        <v>7360</v>
      </c>
      <c r="AF934" s="0" t="s">
        <v>7361</v>
      </c>
      <c r="AG934" s="0" t="s">
        <v>230</v>
      </c>
    </row>
    <row r="935" customFormat="false" ht="15" hidden="false" customHeight="false" outlineLevel="0" collapsed="false">
      <c r="A935" s="0" t="s">
        <v>7336</v>
      </c>
      <c r="B935" s="0" t="s">
        <v>3494</v>
      </c>
      <c r="C935" s="0" t="s">
        <v>3495</v>
      </c>
      <c r="D935" s="0" t="s">
        <v>227</v>
      </c>
      <c r="E935" s="0" t="s">
        <v>3496</v>
      </c>
      <c r="F935" s="0" t="s">
        <v>1972</v>
      </c>
      <c r="G935" s="0" t="s">
        <v>184</v>
      </c>
      <c r="H935" s="0" t="s">
        <v>7707</v>
      </c>
      <c r="I935" s="0" t="s">
        <v>7338</v>
      </c>
      <c r="J935" s="0" t="s">
        <v>1602</v>
      </c>
      <c r="K935" s="0" t="s">
        <v>7339</v>
      </c>
      <c r="L935" s="0" t="s">
        <v>7340</v>
      </c>
      <c r="M935" s="0" t="s">
        <v>7661</v>
      </c>
      <c r="N935" s="0" t="s">
        <v>7342</v>
      </c>
      <c r="P935" s="0" t="s">
        <v>229</v>
      </c>
      <c r="Q935" s="0" t="s">
        <v>7354</v>
      </c>
      <c r="R935" s="0" t="s">
        <v>7343</v>
      </c>
      <c r="S935" s="0" t="s">
        <v>7344</v>
      </c>
      <c r="T935" s="0" t="s">
        <v>228</v>
      </c>
      <c r="V935" s="0" t="s">
        <v>1358</v>
      </c>
      <c r="W935" s="0" t="s">
        <v>70</v>
      </c>
      <c r="X935" s="0" t="s">
        <v>7355</v>
      </c>
      <c r="AB935" s="0" t="s">
        <v>1640</v>
      </c>
      <c r="AC935" s="0" t="s">
        <v>7629</v>
      </c>
      <c r="AD935" s="0" t="s">
        <v>7957</v>
      </c>
      <c r="AE935" s="0" t="s">
        <v>7360</v>
      </c>
      <c r="AF935" s="0" t="s">
        <v>7361</v>
      </c>
      <c r="AG935" s="0" t="s">
        <v>230</v>
      </c>
    </row>
    <row r="936" customFormat="false" ht="15" hidden="false" customHeight="false" outlineLevel="0" collapsed="false">
      <c r="A936" s="0" t="s">
        <v>7336</v>
      </c>
      <c r="B936" s="0" t="s">
        <v>3497</v>
      </c>
      <c r="C936" s="0" t="s">
        <v>3498</v>
      </c>
      <c r="D936" s="0" t="s">
        <v>227</v>
      </c>
      <c r="E936" s="0" t="s">
        <v>3499</v>
      </c>
      <c r="F936" s="0" t="s">
        <v>1972</v>
      </c>
      <c r="G936" s="0" t="s">
        <v>184</v>
      </c>
      <c r="H936" s="0" t="s">
        <v>7707</v>
      </c>
      <c r="I936" s="0" t="s">
        <v>7338</v>
      </c>
      <c r="J936" s="0" t="s">
        <v>1602</v>
      </c>
      <c r="K936" s="0" t="s">
        <v>7339</v>
      </c>
      <c r="L936" s="0" t="s">
        <v>7340</v>
      </c>
      <c r="M936" s="0" t="s">
        <v>7661</v>
      </c>
      <c r="N936" s="0" t="s">
        <v>7342</v>
      </c>
      <c r="P936" s="0" t="s">
        <v>229</v>
      </c>
      <c r="Q936" s="0" t="s">
        <v>7354</v>
      </c>
      <c r="R936" s="0" t="s">
        <v>7343</v>
      </c>
      <c r="S936" s="0" t="s">
        <v>7344</v>
      </c>
      <c r="T936" s="0" t="s">
        <v>228</v>
      </c>
      <c r="V936" s="0" t="s">
        <v>55</v>
      </c>
      <c r="W936" s="0" t="s">
        <v>60</v>
      </c>
      <c r="X936" s="0" t="s">
        <v>7355</v>
      </c>
      <c r="Y936" s="0" t="s">
        <v>7912</v>
      </c>
      <c r="Z936" s="0" t="s">
        <v>7948</v>
      </c>
      <c r="AA936" s="0" t="s">
        <v>7958</v>
      </c>
      <c r="AB936" s="0" t="s">
        <v>1640</v>
      </c>
      <c r="AC936" s="0" t="s">
        <v>7629</v>
      </c>
      <c r="AD936" s="0" t="s">
        <v>7959</v>
      </c>
      <c r="AE936" s="0" t="s">
        <v>7360</v>
      </c>
      <c r="AF936" s="0" t="s">
        <v>7361</v>
      </c>
      <c r="AG936" s="0" t="s">
        <v>230</v>
      </c>
    </row>
    <row r="937" customFormat="false" ht="15" hidden="false" customHeight="false" outlineLevel="0" collapsed="false">
      <c r="A937" s="0" t="s">
        <v>7336</v>
      </c>
      <c r="B937" s="0" t="s">
        <v>3500</v>
      </c>
      <c r="C937" s="0" t="s">
        <v>3501</v>
      </c>
      <c r="D937" s="0" t="s">
        <v>227</v>
      </c>
      <c r="E937" s="0" t="s">
        <v>3502</v>
      </c>
      <c r="F937" s="0" t="s">
        <v>1972</v>
      </c>
      <c r="G937" s="0" t="s">
        <v>184</v>
      </c>
      <c r="H937" s="0" t="s">
        <v>7707</v>
      </c>
      <c r="I937" s="0" t="s">
        <v>7338</v>
      </c>
      <c r="J937" s="0" t="s">
        <v>1602</v>
      </c>
      <c r="K937" s="0" t="s">
        <v>7339</v>
      </c>
      <c r="L937" s="0" t="s">
        <v>7340</v>
      </c>
      <c r="M937" s="0" t="s">
        <v>7661</v>
      </c>
      <c r="N937" s="0" t="s">
        <v>7342</v>
      </c>
      <c r="P937" s="0" t="s">
        <v>229</v>
      </c>
      <c r="Q937" s="0" t="s">
        <v>7354</v>
      </c>
      <c r="R937" s="0" t="s">
        <v>7343</v>
      </c>
      <c r="S937" s="0" t="s">
        <v>7344</v>
      </c>
      <c r="T937" s="0" t="s">
        <v>58</v>
      </c>
      <c r="V937" s="0" t="s">
        <v>55</v>
      </c>
      <c r="W937" s="0" t="s">
        <v>57</v>
      </c>
      <c r="X937" s="0" t="s">
        <v>7355</v>
      </c>
      <c r="Y937" s="0" t="s">
        <v>7667</v>
      </c>
      <c r="Z937" s="0" t="s">
        <v>7668</v>
      </c>
      <c r="AA937" s="0" t="s">
        <v>7669</v>
      </c>
      <c r="AB937" s="0" t="s">
        <v>237</v>
      </c>
      <c r="AC937" s="0" t="s">
        <v>7629</v>
      </c>
      <c r="AE937" s="0" t="s">
        <v>7360</v>
      </c>
      <c r="AF937" s="0" t="s">
        <v>7361</v>
      </c>
      <c r="AG937" s="0" t="s">
        <v>230</v>
      </c>
    </row>
    <row r="938" customFormat="false" ht="15" hidden="false" customHeight="false" outlineLevel="0" collapsed="false">
      <c r="A938" s="0" t="s">
        <v>7336</v>
      </c>
      <c r="B938" s="0" t="s">
        <v>3503</v>
      </c>
      <c r="C938" s="0" t="s">
        <v>3504</v>
      </c>
      <c r="D938" s="0" t="s">
        <v>227</v>
      </c>
      <c r="E938" s="0" t="s">
        <v>3505</v>
      </c>
      <c r="F938" s="0" t="s">
        <v>1989</v>
      </c>
      <c r="G938" s="0" t="s">
        <v>184</v>
      </c>
      <c r="H938" s="0" t="s">
        <v>7711</v>
      </c>
      <c r="I938" s="0" t="s">
        <v>7338</v>
      </c>
      <c r="J938" s="0" t="s">
        <v>1602</v>
      </c>
      <c r="K938" s="0" t="s">
        <v>7339</v>
      </c>
      <c r="L938" s="0" t="s">
        <v>7340</v>
      </c>
      <c r="M938" s="0" t="s">
        <v>7661</v>
      </c>
      <c r="N938" s="0" t="s">
        <v>7342</v>
      </c>
      <c r="P938" s="0" t="s">
        <v>229</v>
      </c>
      <c r="Q938" s="0" t="s">
        <v>7354</v>
      </c>
      <c r="R938" s="0" t="s">
        <v>7343</v>
      </c>
      <c r="S938" s="0" t="s">
        <v>7344</v>
      </c>
      <c r="T938" s="0" t="s">
        <v>1979</v>
      </c>
      <c r="V938" s="0" t="s">
        <v>1358</v>
      </c>
      <c r="W938" s="0" t="s">
        <v>66</v>
      </c>
      <c r="X938" s="0" t="s">
        <v>7355</v>
      </c>
      <c r="AB938" s="0" t="s">
        <v>237</v>
      </c>
      <c r="AC938" s="0" t="s">
        <v>7629</v>
      </c>
      <c r="AD938" s="0" t="s">
        <v>7709</v>
      </c>
      <c r="AE938" s="0" t="s">
        <v>7360</v>
      </c>
      <c r="AF938" s="0" t="s">
        <v>7361</v>
      </c>
      <c r="AG938" s="0" t="s">
        <v>230</v>
      </c>
    </row>
    <row r="939" customFormat="false" ht="15" hidden="false" customHeight="false" outlineLevel="0" collapsed="false">
      <c r="A939" s="0" t="s">
        <v>7336</v>
      </c>
      <c r="B939" s="0" t="s">
        <v>3506</v>
      </c>
      <c r="C939" s="0" t="s">
        <v>3507</v>
      </c>
      <c r="D939" s="0" t="s">
        <v>227</v>
      </c>
      <c r="E939" s="0" t="s">
        <v>3508</v>
      </c>
      <c r="F939" s="0" t="s">
        <v>1989</v>
      </c>
      <c r="G939" s="0" t="s">
        <v>184</v>
      </c>
      <c r="H939" s="0" t="s">
        <v>7711</v>
      </c>
      <c r="I939" s="0" t="s">
        <v>7338</v>
      </c>
      <c r="J939" s="0" t="s">
        <v>1602</v>
      </c>
      <c r="K939" s="0" t="s">
        <v>7339</v>
      </c>
      <c r="L939" s="0" t="s">
        <v>7340</v>
      </c>
      <c r="M939" s="0" t="s">
        <v>7661</v>
      </c>
      <c r="N939" s="0" t="s">
        <v>7342</v>
      </c>
      <c r="P939" s="0" t="s">
        <v>229</v>
      </c>
      <c r="Q939" s="0" t="s">
        <v>7354</v>
      </c>
      <c r="R939" s="0" t="s">
        <v>7343</v>
      </c>
      <c r="S939" s="0" t="s">
        <v>7344</v>
      </c>
      <c r="T939" s="0" t="s">
        <v>228</v>
      </c>
      <c r="V939" s="0" t="s">
        <v>1358</v>
      </c>
      <c r="W939" s="0" t="s">
        <v>67</v>
      </c>
      <c r="X939" s="0" t="s">
        <v>7355</v>
      </c>
      <c r="AB939" s="0" t="s">
        <v>1640</v>
      </c>
      <c r="AC939" s="0" t="s">
        <v>7629</v>
      </c>
      <c r="AD939" s="0" t="s">
        <v>7956</v>
      </c>
      <c r="AE939" s="0" t="s">
        <v>7360</v>
      </c>
      <c r="AF939" s="0" t="s">
        <v>7361</v>
      </c>
      <c r="AG939" s="0" t="s">
        <v>230</v>
      </c>
    </row>
    <row r="940" customFormat="false" ht="15" hidden="false" customHeight="false" outlineLevel="0" collapsed="false">
      <c r="A940" s="0" t="s">
        <v>7336</v>
      </c>
      <c r="B940" s="0" t="s">
        <v>3509</v>
      </c>
      <c r="C940" s="0" t="s">
        <v>3510</v>
      </c>
      <c r="D940" s="0" t="s">
        <v>227</v>
      </c>
      <c r="E940" s="0" t="s">
        <v>3511</v>
      </c>
      <c r="F940" s="0" t="s">
        <v>1989</v>
      </c>
      <c r="G940" s="0" t="s">
        <v>184</v>
      </c>
      <c r="H940" s="0" t="s">
        <v>7711</v>
      </c>
      <c r="I940" s="0" t="s">
        <v>7338</v>
      </c>
      <c r="J940" s="0" t="s">
        <v>1602</v>
      </c>
      <c r="K940" s="0" t="s">
        <v>7339</v>
      </c>
      <c r="L940" s="0" t="s">
        <v>7340</v>
      </c>
      <c r="M940" s="0" t="s">
        <v>7661</v>
      </c>
      <c r="N940" s="0" t="s">
        <v>7342</v>
      </c>
      <c r="P940" s="0" t="s">
        <v>229</v>
      </c>
      <c r="Q940" s="0" t="s">
        <v>7354</v>
      </c>
      <c r="R940" s="0" t="s">
        <v>7343</v>
      </c>
      <c r="S940" s="0" t="s">
        <v>7344</v>
      </c>
      <c r="T940" s="0" t="s">
        <v>228</v>
      </c>
      <c r="V940" s="0" t="s">
        <v>1358</v>
      </c>
      <c r="W940" s="0" t="s">
        <v>70</v>
      </c>
      <c r="X940" s="0" t="s">
        <v>7355</v>
      </c>
      <c r="AB940" s="0" t="s">
        <v>1640</v>
      </c>
      <c r="AC940" s="0" t="s">
        <v>7629</v>
      </c>
      <c r="AD940" s="0" t="s">
        <v>7957</v>
      </c>
      <c r="AE940" s="0" t="s">
        <v>7360</v>
      </c>
      <c r="AF940" s="0" t="s">
        <v>7361</v>
      </c>
      <c r="AG940" s="0" t="s">
        <v>230</v>
      </c>
    </row>
    <row r="941" customFormat="false" ht="15" hidden="false" customHeight="false" outlineLevel="0" collapsed="false">
      <c r="A941" s="0" t="s">
        <v>7336</v>
      </c>
      <c r="B941" s="0" t="s">
        <v>3512</v>
      </c>
      <c r="C941" s="0" t="s">
        <v>3513</v>
      </c>
      <c r="D941" s="0" t="s">
        <v>227</v>
      </c>
      <c r="E941" s="0" t="s">
        <v>3514</v>
      </c>
      <c r="F941" s="0" t="s">
        <v>1989</v>
      </c>
      <c r="G941" s="0" t="s">
        <v>184</v>
      </c>
      <c r="H941" s="0" t="s">
        <v>7711</v>
      </c>
      <c r="I941" s="0" t="s">
        <v>7338</v>
      </c>
      <c r="J941" s="0" t="s">
        <v>1602</v>
      </c>
      <c r="K941" s="0" t="s">
        <v>7339</v>
      </c>
      <c r="L941" s="0" t="s">
        <v>7340</v>
      </c>
      <c r="M941" s="0" t="s">
        <v>7661</v>
      </c>
      <c r="N941" s="0" t="s">
        <v>7342</v>
      </c>
      <c r="P941" s="0" t="s">
        <v>229</v>
      </c>
      <c r="Q941" s="0" t="s">
        <v>7354</v>
      </c>
      <c r="R941" s="0" t="s">
        <v>7343</v>
      </c>
      <c r="S941" s="0" t="s">
        <v>7344</v>
      </c>
      <c r="T941" s="0" t="s">
        <v>228</v>
      </c>
      <c r="V941" s="0" t="s">
        <v>55</v>
      </c>
      <c r="W941" s="0" t="s">
        <v>60</v>
      </c>
      <c r="X941" s="0" t="s">
        <v>7355</v>
      </c>
      <c r="Y941" s="0" t="s">
        <v>7912</v>
      </c>
      <c r="Z941" s="0" t="s">
        <v>7948</v>
      </c>
      <c r="AA941" s="0" t="s">
        <v>7958</v>
      </c>
      <c r="AB941" s="0" t="s">
        <v>1640</v>
      </c>
      <c r="AC941" s="0" t="s">
        <v>7629</v>
      </c>
      <c r="AD941" s="0" t="s">
        <v>7959</v>
      </c>
      <c r="AE941" s="0" t="s">
        <v>7360</v>
      </c>
      <c r="AF941" s="0" t="s">
        <v>7361</v>
      </c>
      <c r="AG941" s="0" t="s">
        <v>230</v>
      </c>
    </row>
    <row r="942" customFormat="false" ht="15" hidden="false" customHeight="false" outlineLevel="0" collapsed="false">
      <c r="A942" s="0" t="s">
        <v>7336</v>
      </c>
      <c r="B942" s="0" t="s">
        <v>3515</v>
      </c>
      <c r="C942" s="0" t="s">
        <v>3516</v>
      </c>
      <c r="D942" s="0" t="s">
        <v>227</v>
      </c>
      <c r="E942" s="0" t="s">
        <v>3517</v>
      </c>
      <c r="F942" s="0" t="s">
        <v>1989</v>
      </c>
      <c r="G942" s="0" t="s">
        <v>184</v>
      </c>
      <c r="H942" s="0" t="s">
        <v>7711</v>
      </c>
      <c r="I942" s="0" t="s">
        <v>7338</v>
      </c>
      <c r="J942" s="0" t="s">
        <v>1602</v>
      </c>
      <c r="K942" s="0" t="s">
        <v>7339</v>
      </c>
      <c r="L942" s="0" t="s">
        <v>7340</v>
      </c>
      <c r="M942" s="0" t="s">
        <v>7661</v>
      </c>
      <c r="N942" s="0" t="s">
        <v>7342</v>
      </c>
      <c r="P942" s="0" t="s">
        <v>229</v>
      </c>
      <c r="Q942" s="0" t="s">
        <v>7354</v>
      </c>
      <c r="R942" s="0" t="s">
        <v>7343</v>
      </c>
      <c r="S942" s="0" t="s">
        <v>7344</v>
      </c>
      <c r="T942" s="0" t="s">
        <v>58</v>
      </c>
      <c r="V942" s="0" t="s">
        <v>55</v>
      </c>
      <c r="W942" s="0" t="s">
        <v>57</v>
      </c>
      <c r="X942" s="0" t="s">
        <v>7355</v>
      </c>
      <c r="Y942" s="0" t="s">
        <v>7667</v>
      </c>
      <c r="Z942" s="0" t="s">
        <v>7668</v>
      </c>
      <c r="AA942" s="0" t="s">
        <v>7669</v>
      </c>
      <c r="AB942" s="0" t="s">
        <v>237</v>
      </c>
      <c r="AC942" s="0" t="s">
        <v>7629</v>
      </c>
      <c r="AE942" s="0" t="s">
        <v>7360</v>
      </c>
      <c r="AF942" s="0" t="s">
        <v>7361</v>
      </c>
      <c r="AG942" s="0" t="s">
        <v>230</v>
      </c>
    </row>
    <row r="943" customFormat="false" ht="15" hidden="false" customHeight="false" outlineLevel="0" collapsed="false">
      <c r="A943" s="0" t="s">
        <v>7336</v>
      </c>
      <c r="B943" s="0" t="s">
        <v>3518</v>
      </c>
      <c r="C943" s="0" t="s">
        <v>3519</v>
      </c>
      <c r="D943" s="0" t="s">
        <v>227</v>
      </c>
      <c r="E943" s="0" t="s">
        <v>3520</v>
      </c>
      <c r="F943" s="0" t="s">
        <v>1954</v>
      </c>
      <c r="G943" s="0" t="s">
        <v>184</v>
      </c>
      <c r="H943" s="0" t="s">
        <v>7704</v>
      </c>
      <c r="I943" s="0" t="s">
        <v>7338</v>
      </c>
      <c r="J943" s="0" t="s">
        <v>1602</v>
      </c>
      <c r="K943" s="0" t="s">
        <v>7339</v>
      </c>
      <c r="L943" s="0" t="s">
        <v>7340</v>
      </c>
      <c r="M943" s="0" t="s">
        <v>7661</v>
      </c>
      <c r="N943" s="0" t="s">
        <v>7342</v>
      </c>
      <c r="P943" s="0" t="s">
        <v>229</v>
      </c>
      <c r="Q943" s="0" t="s">
        <v>7354</v>
      </c>
      <c r="R943" s="0" t="s">
        <v>7343</v>
      </c>
      <c r="S943" s="0" t="s">
        <v>7344</v>
      </c>
      <c r="T943" s="0" t="s">
        <v>228</v>
      </c>
      <c r="V943" s="0" t="s">
        <v>1358</v>
      </c>
      <c r="W943" s="0" t="s">
        <v>69</v>
      </c>
      <c r="X943" s="0" t="s">
        <v>7355</v>
      </c>
      <c r="AB943" s="0" t="s">
        <v>1640</v>
      </c>
      <c r="AC943" s="0" t="s">
        <v>7629</v>
      </c>
      <c r="AD943" s="0" t="s">
        <v>7934</v>
      </c>
      <c r="AE943" s="0" t="s">
        <v>7360</v>
      </c>
      <c r="AF943" s="0" t="s">
        <v>7361</v>
      </c>
      <c r="AG943" s="0" t="s">
        <v>230</v>
      </c>
    </row>
    <row r="944" customFormat="false" ht="15" hidden="false" customHeight="false" outlineLevel="0" collapsed="false">
      <c r="A944" s="0" t="s">
        <v>7336</v>
      </c>
      <c r="B944" s="0" t="s">
        <v>3521</v>
      </c>
      <c r="C944" s="0" t="s">
        <v>3522</v>
      </c>
      <c r="D944" s="0" t="s">
        <v>227</v>
      </c>
      <c r="E944" s="0" t="s">
        <v>3523</v>
      </c>
      <c r="F944" s="0" t="s">
        <v>1954</v>
      </c>
      <c r="G944" s="0" t="s">
        <v>184</v>
      </c>
      <c r="H944" s="0" t="s">
        <v>7704</v>
      </c>
      <c r="I944" s="0" t="s">
        <v>7338</v>
      </c>
      <c r="J944" s="0" t="s">
        <v>1602</v>
      </c>
      <c r="K944" s="0" t="s">
        <v>7339</v>
      </c>
      <c r="L944" s="0" t="s">
        <v>7340</v>
      </c>
      <c r="M944" s="0" t="s">
        <v>7661</v>
      </c>
      <c r="N944" s="0" t="s">
        <v>7342</v>
      </c>
      <c r="P944" s="0" t="s">
        <v>229</v>
      </c>
      <c r="Q944" s="0" t="s">
        <v>7354</v>
      </c>
      <c r="R944" s="0" t="s">
        <v>7343</v>
      </c>
      <c r="S944" s="0" t="s">
        <v>7344</v>
      </c>
      <c r="T944" s="0" t="s">
        <v>228</v>
      </c>
      <c r="V944" s="0" t="s">
        <v>1358</v>
      </c>
      <c r="W944" s="0" t="s">
        <v>65</v>
      </c>
      <c r="X944" s="0" t="s">
        <v>7355</v>
      </c>
      <c r="AB944" s="0" t="s">
        <v>1640</v>
      </c>
      <c r="AC944" s="0" t="s">
        <v>7629</v>
      </c>
      <c r="AD944" s="0" t="s">
        <v>7934</v>
      </c>
      <c r="AE944" s="0" t="s">
        <v>7360</v>
      </c>
      <c r="AF944" s="0" t="s">
        <v>7361</v>
      </c>
      <c r="AG944" s="0" t="s">
        <v>230</v>
      </c>
    </row>
    <row r="945" customFormat="false" ht="15" hidden="false" customHeight="false" outlineLevel="0" collapsed="false">
      <c r="A945" s="0" t="s">
        <v>7336</v>
      </c>
      <c r="B945" s="0" t="s">
        <v>3524</v>
      </c>
      <c r="C945" s="0" t="s">
        <v>3525</v>
      </c>
      <c r="D945" s="0" t="s">
        <v>227</v>
      </c>
      <c r="E945" s="0" t="s">
        <v>3526</v>
      </c>
      <c r="F945" s="0" t="s">
        <v>1954</v>
      </c>
      <c r="G945" s="0" t="s">
        <v>184</v>
      </c>
      <c r="H945" s="0" t="s">
        <v>7704</v>
      </c>
      <c r="I945" s="0" t="s">
        <v>7338</v>
      </c>
      <c r="J945" s="0" t="s">
        <v>1602</v>
      </c>
      <c r="K945" s="0" t="s">
        <v>7339</v>
      </c>
      <c r="L945" s="0" t="s">
        <v>7340</v>
      </c>
      <c r="M945" s="0" t="s">
        <v>7661</v>
      </c>
      <c r="N945" s="0" t="s">
        <v>7342</v>
      </c>
      <c r="P945" s="0" t="s">
        <v>229</v>
      </c>
      <c r="Q945" s="0" t="s">
        <v>7354</v>
      </c>
      <c r="R945" s="0" t="s">
        <v>7343</v>
      </c>
      <c r="S945" s="0" t="s">
        <v>7344</v>
      </c>
      <c r="T945" s="0" t="s">
        <v>228</v>
      </c>
      <c r="V945" s="0" t="s">
        <v>1358</v>
      </c>
      <c r="W945" s="0" t="s">
        <v>65</v>
      </c>
      <c r="X945" s="0" t="s">
        <v>7355</v>
      </c>
      <c r="AB945" s="0" t="s">
        <v>1640</v>
      </c>
      <c r="AC945" s="0" t="s">
        <v>7629</v>
      </c>
      <c r="AD945" s="0" t="s">
        <v>7934</v>
      </c>
      <c r="AE945" s="0" t="s">
        <v>7360</v>
      </c>
      <c r="AF945" s="0" t="s">
        <v>7361</v>
      </c>
      <c r="AG945" s="0" t="s">
        <v>230</v>
      </c>
    </row>
    <row r="946" customFormat="false" ht="15" hidden="false" customHeight="false" outlineLevel="0" collapsed="false">
      <c r="A946" s="0" t="s">
        <v>7336</v>
      </c>
      <c r="B946" s="0" t="s">
        <v>3527</v>
      </c>
      <c r="C946" s="0" t="s">
        <v>3528</v>
      </c>
      <c r="D946" s="0" t="s">
        <v>300</v>
      </c>
      <c r="E946" s="0" t="s">
        <v>3529</v>
      </c>
      <c r="F946" s="0" t="s">
        <v>2858</v>
      </c>
      <c r="G946" s="0" t="s">
        <v>138</v>
      </c>
      <c r="H946" s="0" t="s">
        <v>7836</v>
      </c>
      <c r="I946" s="0" t="s">
        <v>7338</v>
      </c>
      <c r="J946" s="0" t="s">
        <v>1602</v>
      </c>
      <c r="K946" s="0" t="s">
        <v>7339</v>
      </c>
      <c r="L946" s="0" t="s">
        <v>7340</v>
      </c>
      <c r="M946" s="0" t="s">
        <v>7661</v>
      </c>
      <c r="N946" s="0" t="s">
        <v>7342</v>
      </c>
      <c r="O946" s="0" t="s">
        <v>7360</v>
      </c>
      <c r="P946" s="0" t="s">
        <v>236</v>
      </c>
      <c r="Q946" s="0" t="s">
        <v>7354</v>
      </c>
      <c r="R946" s="0" t="s">
        <v>7343</v>
      </c>
      <c r="S946" s="0" t="s">
        <v>7344</v>
      </c>
      <c r="T946" s="0" t="s">
        <v>260</v>
      </c>
      <c r="U946" s="0" t="s">
        <v>7369</v>
      </c>
      <c r="V946" s="0" t="s">
        <v>34</v>
      </c>
      <c r="W946" s="0" t="s">
        <v>37</v>
      </c>
      <c r="X946" s="0" t="s">
        <v>7355</v>
      </c>
      <c r="Y946" s="0" t="s">
        <v>7346</v>
      </c>
      <c r="Z946" s="0" t="s">
        <v>7370</v>
      </c>
      <c r="AA946" s="0" t="s">
        <v>7385</v>
      </c>
      <c r="AB946" s="0" t="s">
        <v>262</v>
      </c>
      <c r="AC946" s="0" t="s">
        <v>7349</v>
      </c>
      <c r="AD946" s="0" t="s">
        <v>260</v>
      </c>
      <c r="AE946" s="0" t="s">
        <v>681</v>
      </c>
      <c r="AG946" s="0" t="s">
        <v>230</v>
      </c>
    </row>
    <row r="947" customFormat="false" ht="15" hidden="false" customHeight="false" outlineLevel="0" collapsed="false">
      <c r="A947" s="0" t="s">
        <v>7336</v>
      </c>
      <c r="B947" s="0" t="s">
        <v>3530</v>
      </c>
      <c r="C947" s="0" t="s">
        <v>3531</v>
      </c>
      <c r="D947" s="0" t="s">
        <v>300</v>
      </c>
      <c r="E947" s="0" t="s">
        <v>3532</v>
      </c>
      <c r="F947" s="0" t="s">
        <v>2862</v>
      </c>
      <c r="G947" s="0" t="s">
        <v>138</v>
      </c>
      <c r="H947" s="0" t="s">
        <v>7837</v>
      </c>
      <c r="I947" s="0" t="s">
        <v>7338</v>
      </c>
      <c r="J947" s="0" t="s">
        <v>1602</v>
      </c>
      <c r="K947" s="0" t="s">
        <v>7339</v>
      </c>
      <c r="L947" s="0" t="s">
        <v>7340</v>
      </c>
      <c r="M947" s="0" t="s">
        <v>7661</v>
      </c>
      <c r="N947" s="0" t="s">
        <v>7342</v>
      </c>
      <c r="O947" s="0" t="s">
        <v>7360</v>
      </c>
      <c r="P947" s="0" t="s">
        <v>236</v>
      </c>
      <c r="Q947" s="0" t="s">
        <v>7354</v>
      </c>
      <c r="R947" s="0" t="s">
        <v>7343</v>
      </c>
      <c r="S947" s="0" t="s">
        <v>7344</v>
      </c>
      <c r="T947" s="0" t="s">
        <v>260</v>
      </c>
      <c r="U947" s="0" t="s">
        <v>7369</v>
      </c>
      <c r="V947" s="0" t="s">
        <v>34</v>
      </c>
      <c r="W947" s="0" t="s">
        <v>37</v>
      </c>
      <c r="X947" s="0" t="s">
        <v>7355</v>
      </c>
      <c r="Y947" s="0" t="s">
        <v>7346</v>
      </c>
      <c r="Z947" s="0" t="s">
        <v>7370</v>
      </c>
      <c r="AA947" s="0" t="s">
        <v>7385</v>
      </c>
      <c r="AB947" s="0" t="s">
        <v>262</v>
      </c>
      <c r="AC947" s="0" t="s">
        <v>7349</v>
      </c>
      <c r="AD947" s="0" t="s">
        <v>260</v>
      </c>
      <c r="AE947" s="0" t="s">
        <v>681</v>
      </c>
      <c r="AG947" s="0" t="s">
        <v>230</v>
      </c>
    </row>
    <row r="948" customFormat="false" ht="15" hidden="false" customHeight="false" outlineLevel="0" collapsed="false">
      <c r="A948" s="0" t="s">
        <v>7336</v>
      </c>
      <c r="B948" s="0" t="s">
        <v>3533</v>
      </c>
      <c r="C948" s="0" t="s">
        <v>3534</v>
      </c>
      <c r="D948" s="0" t="s">
        <v>300</v>
      </c>
      <c r="E948" s="0" t="s">
        <v>3535</v>
      </c>
      <c r="F948" s="0" t="s">
        <v>2858</v>
      </c>
      <c r="G948" s="0" t="s">
        <v>138</v>
      </c>
      <c r="H948" s="0" t="s">
        <v>7836</v>
      </c>
      <c r="I948" s="0" t="s">
        <v>7338</v>
      </c>
      <c r="J948" s="0" t="s">
        <v>1602</v>
      </c>
      <c r="K948" s="0" t="s">
        <v>7339</v>
      </c>
      <c r="L948" s="0" t="s">
        <v>7340</v>
      </c>
      <c r="M948" s="0" t="s">
        <v>7661</v>
      </c>
      <c r="N948" s="0" t="s">
        <v>7342</v>
      </c>
      <c r="O948" s="0" t="s">
        <v>7360</v>
      </c>
      <c r="P948" s="0" t="s">
        <v>236</v>
      </c>
      <c r="Q948" s="0" t="s">
        <v>7354</v>
      </c>
      <c r="R948" s="0" t="s">
        <v>7343</v>
      </c>
      <c r="S948" s="0" t="s">
        <v>7344</v>
      </c>
      <c r="T948" s="0" t="s">
        <v>260</v>
      </c>
      <c r="U948" s="0" t="s">
        <v>7369</v>
      </c>
      <c r="V948" s="0" t="s">
        <v>34</v>
      </c>
      <c r="W948" s="0" t="s">
        <v>37</v>
      </c>
      <c r="X948" s="0" t="s">
        <v>7355</v>
      </c>
      <c r="Y948" s="0" t="s">
        <v>7346</v>
      </c>
      <c r="Z948" s="0" t="s">
        <v>7370</v>
      </c>
      <c r="AA948" s="0" t="s">
        <v>7385</v>
      </c>
      <c r="AB948" s="0" t="s">
        <v>262</v>
      </c>
      <c r="AC948" s="0" t="s">
        <v>7349</v>
      </c>
      <c r="AD948" s="0" t="s">
        <v>260</v>
      </c>
      <c r="AE948" s="0" t="s">
        <v>681</v>
      </c>
      <c r="AG948" s="0" t="s">
        <v>230</v>
      </c>
    </row>
    <row r="949" customFormat="false" ht="15" hidden="false" customHeight="false" outlineLevel="0" collapsed="false">
      <c r="A949" s="0" t="s">
        <v>7336</v>
      </c>
      <c r="B949" s="0" t="s">
        <v>3536</v>
      </c>
      <c r="C949" s="0" t="s">
        <v>3537</v>
      </c>
      <c r="D949" s="0" t="s">
        <v>300</v>
      </c>
      <c r="E949" s="0" t="s">
        <v>3538</v>
      </c>
      <c r="F949" s="0" t="s">
        <v>3539</v>
      </c>
      <c r="G949" s="0" t="s">
        <v>140</v>
      </c>
      <c r="H949" s="0" t="s">
        <v>7960</v>
      </c>
      <c r="I949" s="0" t="s">
        <v>7338</v>
      </c>
      <c r="J949" s="0" t="s">
        <v>1602</v>
      </c>
      <c r="K949" s="0" t="s">
        <v>7339</v>
      </c>
      <c r="L949" s="0" t="s">
        <v>7340</v>
      </c>
      <c r="M949" s="0" t="s">
        <v>7661</v>
      </c>
      <c r="N949" s="0" t="s">
        <v>7342</v>
      </c>
      <c r="O949" s="0" t="s">
        <v>7360</v>
      </c>
      <c r="P949" s="0" t="s">
        <v>236</v>
      </c>
      <c r="Q949" s="0" t="s">
        <v>7354</v>
      </c>
      <c r="R949" s="0" t="s">
        <v>7343</v>
      </c>
      <c r="S949" s="0" t="s">
        <v>7344</v>
      </c>
      <c r="T949" s="0" t="s">
        <v>260</v>
      </c>
      <c r="U949" s="0" t="s">
        <v>7369</v>
      </c>
      <c r="V949" s="0" t="s">
        <v>34</v>
      </c>
      <c r="W949" s="0" t="s">
        <v>37</v>
      </c>
      <c r="X949" s="0" t="s">
        <v>7355</v>
      </c>
      <c r="Y949" s="0" t="s">
        <v>7346</v>
      </c>
      <c r="Z949" s="0" t="s">
        <v>7370</v>
      </c>
      <c r="AA949" s="0" t="s">
        <v>7385</v>
      </c>
      <c r="AB949" s="0" t="s">
        <v>262</v>
      </c>
      <c r="AC949" s="0" t="s">
        <v>7629</v>
      </c>
      <c r="AD949" s="0" t="s">
        <v>260</v>
      </c>
      <c r="AE949" s="0" t="s">
        <v>681</v>
      </c>
      <c r="AG949" s="0" t="s">
        <v>230</v>
      </c>
    </row>
    <row r="950" customFormat="false" ht="15" hidden="false" customHeight="false" outlineLevel="0" collapsed="false">
      <c r="A950" s="0" t="s">
        <v>7336</v>
      </c>
      <c r="B950" s="0" t="s">
        <v>3540</v>
      </c>
      <c r="C950" s="0" t="s">
        <v>3541</v>
      </c>
      <c r="D950" s="0" t="s">
        <v>300</v>
      </c>
      <c r="E950" s="0" t="s">
        <v>3542</v>
      </c>
      <c r="F950" s="0" t="s">
        <v>3543</v>
      </c>
      <c r="G950" s="0" t="s">
        <v>140</v>
      </c>
      <c r="H950" s="0" t="s">
        <v>7961</v>
      </c>
      <c r="I950" s="0" t="s">
        <v>7338</v>
      </c>
      <c r="J950" s="0" t="s">
        <v>1602</v>
      </c>
      <c r="K950" s="0" t="s">
        <v>7339</v>
      </c>
      <c r="L950" s="0" t="s">
        <v>7340</v>
      </c>
      <c r="M950" s="0" t="s">
        <v>7661</v>
      </c>
      <c r="N950" s="0" t="s">
        <v>7342</v>
      </c>
      <c r="O950" s="0" t="s">
        <v>7360</v>
      </c>
      <c r="P950" s="0" t="s">
        <v>236</v>
      </c>
      <c r="Q950" s="0" t="s">
        <v>7354</v>
      </c>
      <c r="R950" s="0" t="s">
        <v>7343</v>
      </c>
      <c r="S950" s="0" t="s">
        <v>7344</v>
      </c>
      <c r="T950" s="0" t="s">
        <v>260</v>
      </c>
      <c r="U950" s="0" t="s">
        <v>7369</v>
      </c>
      <c r="V950" s="0" t="s">
        <v>34</v>
      </c>
      <c r="W950" s="0" t="s">
        <v>37</v>
      </c>
      <c r="X950" s="0" t="s">
        <v>7355</v>
      </c>
      <c r="Y950" s="0" t="s">
        <v>7346</v>
      </c>
      <c r="Z950" s="0" t="s">
        <v>7370</v>
      </c>
      <c r="AA950" s="0" t="s">
        <v>7385</v>
      </c>
      <c r="AB950" s="0" t="s">
        <v>262</v>
      </c>
      <c r="AC950" s="0" t="s">
        <v>7629</v>
      </c>
      <c r="AD950" s="0" t="s">
        <v>260</v>
      </c>
      <c r="AE950" s="0" t="s">
        <v>681</v>
      </c>
      <c r="AG950" s="0" t="s">
        <v>230</v>
      </c>
    </row>
    <row r="951" customFormat="false" ht="15" hidden="false" customHeight="false" outlineLevel="0" collapsed="false">
      <c r="A951" s="0" t="s">
        <v>7336</v>
      </c>
      <c r="B951" s="0" t="s">
        <v>3544</v>
      </c>
      <c r="C951" s="0" t="s">
        <v>3545</v>
      </c>
      <c r="D951" s="0" t="s">
        <v>300</v>
      </c>
      <c r="E951" s="0" t="s">
        <v>3546</v>
      </c>
      <c r="F951" s="0" t="s">
        <v>3539</v>
      </c>
      <c r="G951" s="0" t="s">
        <v>140</v>
      </c>
      <c r="H951" s="0" t="s">
        <v>7960</v>
      </c>
      <c r="I951" s="0" t="s">
        <v>7338</v>
      </c>
      <c r="J951" s="0" t="s">
        <v>1602</v>
      </c>
      <c r="K951" s="0" t="s">
        <v>7339</v>
      </c>
      <c r="L951" s="0" t="s">
        <v>7340</v>
      </c>
      <c r="M951" s="0" t="s">
        <v>7661</v>
      </c>
      <c r="N951" s="0" t="s">
        <v>7342</v>
      </c>
      <c r="O951" s="0" t="s">
        <v>7360</v>
      </c>
      <c r="P951" s="0" t="s">
        <v>236</v>
      </c>
      <c r="Q951" s="0" t="s">
        <v>7354</v>
      </c>
      <c r="R951" s="0" t="s">
        <v>7343</v>
      </c>
      <c r="S951" s="0" t="s">
        <v>7344</v>
      </c>
      <c r="T951" s="0" t="s">
        <v>260</v>
      </c>
      <c r="U951" s="0" t="s">
        <v>7369</v>
      </c>
      <c r="V951" s="0" t="s">
        <v>34</v>
      </c>
      <c r="W951" s="0" t="s">
        <v>37</v>
      </c>
      <c r="X951" s="0" t="s">
        <v>7355</v>
      </c>
      <c r="Y951" s="0" t="s">
        <v>7346</v>
      </c>
      <c r="Z951" s="0" t="s">
        <v>7370</v>
      </c>
      <c r="AA951" s="0" t="s">
        <v>7385</v>
      </c>
      <c r="AB951" s="0" t="s">
        <v>262</v>
      </c>
      <c r="AC951" s="0" t="s">
        <v>7629</v>
      </c>
      <c r="AD951" s="0" t="s">
        <v>260</v>
      </c>
      <c r="AE951" s="0" t="s">
        <v>681</v>
      </c>
      <c r="AG951" s="0" t="s">
        <v>230</v>
      </c>
    </row>
    <row r="952" customFormat="false" ht="15" hidden="false" customHeight="false" outlineLevel="0" collapsed="false">
      <c r="A952" s="0" t="s">
        <v>7336</v>
      </c>
      <c r="B952" s="0" t="s">
        <v>3547</v>
      </c>
      <c r="C952" s="0" t="s">
        <v>3548</v>
      </c>
      <c r="D952" s="0" t="s">
        <v>300</v>
      </c>
      <c r="E952" s="0" t="s">
        <v>3549</v>
      </c>
      <c r="F952" s="0" t="s">
        <v>2882</v>
      </c>
      <c r="G952" s="0" t="s">
        <v>138</v>
      </c>
      <c r="H952" s="0" t="s">
        <v>7842</v>
      </c>
      <c r="I952" s="0" t="s">
        <v>7338</v>
      </c>
      <c r="J952" s="0" t="s">
        <v>1602</v>
      </c>
      <c r="K952" s="0" t="s">
        <v>7339</v>
      </c>
      <c r="L952" s="0" t="s">
        <v>7340</v>
      </c>
      <c r="M952" s="0" t="s">
        <v>7661</v>
      </c>
      <c r="N952" s="0" t="s">
        <v>7342</v>
      </c>
      <c r="O952" s="0" t="s">
        <v>7360</v>
      </c>
      <c r="P952" s="0" t="s">
        <v>236</v>
      </c>
      <c r="Q952" s="0" t="s">
        <v>7354</v>
      </c>
      <c r="R952" s="0" t="s">
        <v>7343</v>
      </c>
      <c r="S952" s="0" t="s">
        <v>7344</v>
      </c>
      <c r="T952" s="0" t="s">
        <v>260</v>
      </c>
      <c r="U952" s="0" t="s">
        <v>7369</v>
      </c>
      <c r="V952" s="0" t="s">
        <v>34</v>
      </c>
      <c r="W952" s="0" t="s">
        <v>37</v>
      </c>
      <c r="X952" s="0" t="s">
        <v>7355</v>
      </c>
      <c r="Y952" s="0" t="s">
        <v>7346</v>
      </c>
      <c r="Z952" s="0" t="s">
        <v>7370</v>
      </c>
      <c r="AA952" s="0" t="s">
        <v>7385</v>
      </c>
      <c r="AB952" s="0" t="s">
        <v>262</v>
      </c>
      <c r="AC952" s="0" t="s">
        <v>7349</v>
      </c>
      <c r="AD952" s="0" t="s">
        <v>260</v>
      </c>
      <c r="AE952" s="0" t="s">
        <v>681</v>
      </c>
      <c r="AG952" s="0" t="s">
        <v>230</v>
      </c>
    </row>
    <row r="953" customFormat="false" ht="15" hidden="false" customHeight="false" outlineLevel="0" collapsed="false">
      <c r="A953" s="0" t="s">
        <v>7336</v>
      </c>
      <c r="B953" s="0" t="s">
        <v>3550</v>
      </c>
      <c r="C953" s="0" t="s">
        <v>3551</v>
      </c>
      <c r="D953" s="0" t="s">
        <v>300</v>
      </c>
      <c r="E953" s="0" t="s">
        <v>3552</v>
      </c>
      <c r="F953" s="0" t="s">
        <v>2886</v>
      </c>
      <c r="G953" s="0" t="s">
        <v>138</v>
      </c>
      <c r="H953" s="0" t="s">
        <v>7843</v>
      </c>
      <c r="I953" s="0" t="s">
        <v>7338</v>
      </c>
      <c r="J953" s="0" t="s">
        <v>1602</v>
      </c>
      <c r="K953" s="0" t="s">
        <v>7339</v>
      </c>
      <c r="L953" s="0" t="s">
        <v>7340</v>
      </c>
      <c r="M953" s="0" t="s">
        <v>7661</v>
      </c>
      <c r="N953" s="0" t="s">
        <v>7342</v>
      </c>
      <c r="O953" s="0" t="s">
        <v>7360</v>
      </c>
      <c r="P953" s="0" t="s">
        <v>236</v>
      </c>
      <c r="Q953" s="0" t="s">
        <v>7354</v>
      </c>
      <c r="R953" s="0" t="s">
        <v>7343</v>
      </c>
      <c r="S953" s="0" t="s">
        <v>7344</v>
      </c>
      <c r="T953" s="0" t="s">
        <v>260</v>
      </c>
      <c r="U953" s="0" t="s">
        <v>7369</v>
      </c>
      <c r="V953" s="0" t="s">
        <v>34</v>
      </c>
      <c r="W953" s="0" t="s">
        <v>37</v>
      </c>
      <c r="X953" s="0" t="s">
        <v>7355</v>
      </c>
      <c r="Y953" s="0" t="s">
        <v>7346</v>
      </c>
      <c r="Z953" s="0" t="s">
        <v>7370</v>
      </c>
      <c r="AA953" s="0" t="s">
        <v>7385</v>
      </c>
      <c r="AB953" s="0" t="s">
        <v>262</v>
      </c>
      <c r="AC953" s="0" t="s">
        <v>7349</v>
      </c>
      <c r="AD953" s="0" t="s">
        <v>260</v>
      </c>
      <c r="AE953" s="0" t="s">
        <v>681</v>
      </c>
      <c r="AG953" s="0" t="s">
        <v>230</v>
      </c>
    </row>
    <row r="954" customFormat="false" ht="15" hidden="false" customHeight="false" outlineLevel="0" collapsed="false">
      <c r="A954" s="0" t="s">
        <v>7336</v>
      </c>
      <c r="B954" s="0" t="s">
        <v>3553</v>
      </c>
      <c r="C954" s="0" t="s">
        <v>3554</v>
      </c>
      <c r="D954" s="0" t="s">
        <v>300</v>
      </c>
      <c r="E954" s="0" t="s">
        <v>3555</v>
      </c>
      <c r="F954" s="0" t="s">
        <v>2882</v>
      </c>
      <c r="G954" s="0" t="s">
        <v>138</v>
      </c>
      <c r="H954" s="0" t="s">
        <v>7842</v>
      </c>
      <c r="I954" s="0" t="s">
        <v>7338</v>
      </c>
      <c r="J954" s="0" t="s">
        <v>1602</v>
      </c>
      <c r="K954" s="0" t="s">
        <v>7339</v>
      </c>
      <c r="L954" s="0" t="s">
        <v>7340</v>
      </c>
      <c r="M954" s="0" t="s">
        <v>7661</v>
      </c>
      <c r="N954" s="0" t="s">
        <v>7342</v>
      </c>
      <c r="O954" s="0" t="s">
        <v>7360</v>
      </c>
      <c r="P954" s="0" t="s">
        <v>236</v>
      </c>
      <c r="Q954" s="0" t="s">
        <v>7354</v>
      </c>
      <c r="R954" s="0" t="s">
        <v>7343</v>
      </c>
      <c r="S954" s="0" t="s">
        <v>7344</v>
      </c>
      <c r="T954" s="0" t="s">
        <v>260</v>
      </c>
      <c r="U954" s="0" t="s">
        <v>7369</v>
      </c>
      <c r="V954" s="0" t="s">
        <v>34</v>
      </c>
      <c r="W954" s="0" t="s">
        <v>37</v>
      </c>
      <c r="X954" s="0" t="s">
        <v>7355</v>
      </c>
      <c r="Y954" s="0" t="s">
        <v>7346</v>
      </c>
      <c r="Z954" s="0" t="s">
        <v>7370</v>
      </c>
      <c r="AA954" s="0" t="s">
        <v>7385</v>
      </c>
      <c r="AB954" s="0" t="s">
        <v>262</v>
      </c>
      <c r="AC954" s="0" t="s">
        <v>7349</v>
      </c>
      <c r="AD954" s="0" t="s">
        <v>260</v>
      </c>
      <c r="AE954" s="0" t="s">
        <v>681</v>
      </c>
      <c r="AG954" s="0" t="s">
        <v>230</v>
      </c>
    </row>
    <row r="955" customFormat="false" ht="15" hidden="false" customHeight="false" outlineLevel="0" collapsed="false">
      <c r="A955" s="0" t="s">
        <v>7336</v>
      </c>
      <c r="B955" s="0" t="s">
        <v>3556</v>
      </c>
      <c r="C955" s="0" t="s">
        <v>3557</v>
      </c>
      <c r="D955" s="0" t="s">
        <v>300</v>
      </c>
      <c r="E955" s="0" t="s">
        <v>3558</v>
      </c>
      <c r="F955" s="0" t="s">
        <v>2890</v>
      </c>
      <c r="G955" s="0" t="s">
        <v>140</v>
      </c>
      <c r="H955" s="0" t="s">
        <v>7844</v>
      </c>
      <c r="I955" s="0" t="s">
        <v>7338</v>
      </c>
      <c r="J955" s="0" t="s">
        <v>1602</v>
      </c>
      <c r="K955" s="0" t="s">
        <v>7339</v>
      </c>
      <c r="L955" s="0" t="s">
        <v>7340</v>
      </c>
      <c r="M955" s="0" t="s">
        <v>7661</v>
      </c>
      <c r="N955" s="0" t="s">
        <v>7342</v>
      </c>
      <c r="O955" s="0" t="s">
        <v>7360</v>
      </c>
      <c r="P955" s="0" t="s">
        <v>236</v>
      </c>
      <c r="Q955" s="0" t="s">
        <v>7354</v>
      </c>
      <c r="R955" s="0" t="s">
        <v>7343</v>
      </c>
      <c r="S955" s="0" t="s">
        <v>7344</v>
      </c>
      <c r="T955" s="0" t="s">
        <v>260</v>
      </c>
      <c r="U955" s="0" t="s">
        <v>7369</v>
      </c>
      <c r="V955" s="0" t="s">
        <v>34</v>
      </c>
      <c r="W955" s="0" t="s">
        <v>37</v>
      </c>
      <c r="X955" s="0" t="s">
        <v>7355</v>
      </c>
      <c r="Y955" s="0" t="s">
        <v>7346</v>
      </c>
      <c r="Z955" s="0" t="s">
        <v>7370</v>
      </c>
      <c r="AA955" s="0" t="s">
        <v>7385</v>
      </c>
      <c r="AB955" s="0" t="s">
        <v>262</v>
      </c>
      <c r="AC955" s="0" t="s">
        <v>7629</v>
      </c>
      <c r="AD955" s="0" t="s">
        <v>260</v>
      </c>
      <c r="AE955" s="0" t="s">
        <v>681</v>
      </c>
      <c r="AG955" s="0" t="s">
        <v>230</v>
      </c>
    </row>
    <row r="956" customFormat="false" ht="15" hidden="false" customHeight="false" outlineLevel="0" collapsed="false">
      <c r="A956" s="0" t="s">
        <v>7336</v>
      </c>
      <c r="B956" s="0" t="s">
        <v>3559</v>
      </c>
      <c r="C956" s="0" t="s">
        <v>3560</v>
      </c>
      <c r="D956" s="0" t="s">
        <v>300</v>
      </c>
      <c r="E956" s="0" t="s">
        <v>3561</v>
      </c>
      <c r="F956" s="0" t="s">
        <v>2894</v>
      </c>
      <c r="G956" s="0" t="s">
        <v>140</v>
      </c>
      <c r="H956" s="0" t="s">
        <v>7845</v>
      </c>
      <c r="I956" s="0" t="s">
        <v>7338</v>
      </c>
      <c r="J956" s="0" t="s">
        <v>1602</v>
      </c>
      <c r="K956" s="0" t="s">
        <v>7339</v>
      </c>
      <c r="L956" s="0" t="s">
        <v>7340</v>
      </c>
      <c r="M956" s="0" t="s">
        <v>7661</v>
      </c>
      <c r="N956" s="0" t="s">
        <v>7342</v>
      </c>
      <c r="O956" s="0" t="s">
        <v>7360</v>
      </c>
      <c r="P956" s="0" t="s">
        <v>236</v>
      </c>
      <c r="Q956" s="0" t="s">
        <v>7354</v>
      </c>
      <c r="R956" s="0" t="s">
        <v>7343</v>
      </c>
      <c r="S956" s="0" t="s">
        <v>7344</v>
      </c>
      <c r="T956" s="0" t="s">
        <v>260</v>
      </c>
      <c r="U956" s="0" t="s">
        <v>7369</v>
      </c>
      <c r="V956" s="0" t="s">
        <v>34</v>
      </c>
      <c r="W956" s="0" t="s">
        <v>37</v>
      </c>
      <c r="X956" s="0" t="s">
        <v>7355</v>
      </c>
      <c r="Y956" s="0" t="s">
        <v>7346</v>
      </c>
      <c r="Z956" s="0" t="s">
        <v>7370</v>
      </c>
      <c r="AA956" s="0" t="s">
        <v>7385</v>
      </c>
      <c r="AB956" s="0" t="s">
        <v>262</v>
      </c>
      <c r="AC956" s="0" t="s">
        <v>7629</v>
      </c>
      <c r="AD956" s="0" t="s">
        <v>260</v>
      </c>
      <c r="AE956" s="0" t="s">
        <v>681</v>
      </c>
      <c r="AG956" s="0" t="s">
        <v>230</v>
      </c>
    </row>
    <row r="957" customFormat="false" ht="15" hidden="false" customHeight="false" outlineLevel="0" collapsed="false">
      <c r="A957" s="0" t="s">
        <v>7336</v>
      </c>
      <c r="B957" s="0" t="s">
        <v>3562</v>
      </c>
      <c r="C957" s="0" t="s">
        <v>3563</v>
      </c>
      <c r="D957" s="0" t="s">
        <v>300</v>
      </c>
      <c r="E957" s="0" t="s">
        <v>3564</v>
      </c>
      <c r="F957" s="0" t="s">
        <v>2890</v>
      </c>
      <c r="G957" s="0" t="s">
        <v>140</v>
      </c>
      <c r="H957" s="0" t="s">
        <v>7844</v>
      </c>
      <c r="I957" s="0" t="s">
        <v>7338</v>
      </c>
      <c r="J957" s="0" t="s">
        <v>1602</v>
      </c>
      <c r="K957" s="0" t="s">
        <v>7339</v>
      </c>
      <c r="L957" s="0" t="s">
        <v>7340</v>
      </c>
      <c r="M957" s="0" t="s">
        <v>7661</v>
      </c>
      <c r="N957" s="0" t="s">
        <v>7342</v>
      </c>
      <c r="O957" s="0" t="s">
        <v>7360</v>
      </c>
      <c r="P957" s="0" t="s">
        <v>236</v>
      </c>
      <c r="Q957" s="0" t="s">
        <v>7354</v>
      </c>
      <c r="R957" s="0" t="s">
        <v>7343</v>
      </c>
      <c r="S957" s="0" t="s">
        <v>7344</v>
      </c>
      <c r="T957" s="0" t="s">
        <v>260</v>
      </c>
      <c r="U957" s="0" t="s">
        <v>7369</v>
      </c>
      <c r="V957" s="0" t="s">
        <v>34</v>
      </c>
      <c r="W957" s="0" t="s">
        <v>37</v>
      </c>
      <c r="X957" s="0" t="s">
        <v>7355</v>
      </c>
      <c r="Y957" s="0" t="s">
        <v>7346</v>
      </c>
      <c r="Z957" s="0" t="s">
        <v>7370</v>
      </c>
      <c r="AA957" s="0" t="s">
        <v>7385</v>
      </c>
      <c r="AB957" s="0" t="s">
        <v>262</v>
      </c>
      <c r="AC957" s="0" t="s">
        <v>7629</v>
      </c>
      <c r="AD957" s="0" t="s">
        <v>260</v>
      </c>
      <c r="AE957" s="0" t="s">
        <v>681</v>
      </c>
      <c r="AG957" s="0" t="s">
        <v>230</v>
      </c>
    </row>
    <row r="958" customFormat="false" ht="15" hidden="false" customHeight="false" outlineLevel="0" collapsed="false">
      <c r="A958" s="0" t="s">
        <v>7336</v>
      </c>
      <c r="B958" s="0" t="s">
        <v>3565</v>
      </c>
      <c r="C958" s="0" t="s">
        <v>3566</v>
      </c>
      <c r="D958" s="0" t="s">
        <v>300</v>
      </c>
      <c r="E958" s="0" t="s">
        <v>3567</v>
      </c>
      <c r="F958" s="0" t="s">
        <v>2898</v>
      </c>
      <c r="G958" s="0" t="s">
        <v>142</v>
      </c>
      <c r="H958" s="0" t="s">
        <v>7846</v>
      </c>
      <c r="I958" s="0" t="s">
        <v>7338</v>
      </c>
      <c r="J958" s="0" t="s">
        <v>1602</v>
      </c>
      <c r="K958" s="0" t="s">
        <v>7339</v>
      </c>
      <c r="L958" s="0" t="s">
        <v>7340</v>
      </c>
      <c r="M958" s="0" t="s">
        <v>7661</v>
      </c>
      <c r="N958" s="0" t="s">
        <v>7342</v>
      </c>
      <c r="O958" s="0" t="s">
        <v>7360</v>
      </c>
      <c r="P958" s="0" t="s">
        <v>236</v>
      </c>
      <c r="Q958" s="0" t="s">
        <v>7354</v>
      </c>
      <c r="R958" s="0" t="s">
        <v>7343</v>
      </c>
      <c r="S958" s="0" t="s">
        <v>7344</v>
      </c>
      <c r="T958" s="0" t="s">
        <v>260</v>
      </c>
      <c r="U958" s="0" t="s">
        <v>7369</v>
      </c>
      <c r="V958" s="0" t="s">
        <v>34</v>
      </c>
      <c r="W958" s="0" t="s">
        <v>45</v>
      </c>
      <c r="X958" s="0" t="s">
        <v>7355</v>
      </c>
      <c r="Y958" s="0" t="s">
        <v>7346</v>
      </c>
      <c r="Z958" s="0" t="s">
        <v>7370</v>
      </c>
      <c r="AA958" s="0" t="s">
        <v>7385</v>
      </c>
      <c r="AB958" s="0" t="s">
        <v>262</v>
      </c>
      <c r="AC958" s="0" t="s">
        <v>7629</v>
      </c>
      <c r="AD958" s="0" t="s">
        <v>260</v>
      </c>
      <c r="AE958" s="0" t="s">
        <v>681</v>
      </c>
      <c r="AG958" s="0" t="s">
        <v>230</v>
      </c>
    </row>
    <row r="959" customFormat="false" ht="15" hidden="false" customHeight="false" outlineLevel="0" collapsed="false">
      <c r="A959" s="0" t="s">
        <v>7336</v>
      </c>
      <c r="B959" s="0" t="s">
        <v>3568</v>
      </c>
      <c r="C959" s="0" t="s">
        <v>3569</v>
      </c>
      <c r="D959" s="0" t="s">
        <v>300</v>
      </c>
      <c r="E959" s="0" t="s">
        <v>3570</v>
      </c>
      <c r="F959" s="0" t="s">
        <v>2902</v>
      </c>
      <c r="G959" s="0" t="s">
        <v>142</v>
      </c>
      <c r="H959" s="0" t="s">
        <v>7847</v>
      </c>
      <c r="I959" s="0" t="s">
        <v>7338</v>
      </c>
      <c r="J959" s="0" t="s">
        <v>1602</v>
      </c>
      <c r="K959" s="0" t="s">
        <v>7339</v>
      </c>
      <c r="L959" s="0" t="s">
        <v>7340</v>
      </c>
      <c r="M959" s="0" t="s">
        <v>7661</v>
      </c>
      <c r="N959" s="0" t="s">
        <v>7342</v>
      </c>
      <c r="O959" s="0" t="s">
        <v>7360</v>
      </c>
      <c r="P959" s="0" t="s">
        <v>236</v>
      </c>
      <c r="Q959" s="0" t="s">
        <v>7354</v>
      </c>
      <c r="R959" s="0" t="s">
        <v>7343</v>
      </c>
      <c r="S959" s="0" t="s">
        <v>7344</v>
      </c>
      <c r="T959" s="0" t="s">
        <v>260</v>
      </c>
      <c r="U959" s="0" t="s">
        <v>7369</v>
      </c>
      <c r="V959" s="0" t="s">
        <v>34</v>
      </c>
      <c r="W959" s="0" t="s">
        <v>53</v>
      </c>
      <c r="X959" s="0" t="s">
        <v>7355</v>
      </c>
      <c r="Y959" s="0" t="s">
        <v>7346</v>
      </c>
      <c r="Z959" s="0" t="s">
        <v>7370</v>
      </c>
      <c r="AA959" s="0" t="s">
        <v>7385</v>
      </c>
      <c r="AB959" s="0" t="s">
        <v>262</v>
      </c>
      <c r="AC959" s="0" t="s">
        <v>7629</v>
      </c>
      <c r="AD959" s="0" t="s">
        <v>260</v>
      </c>
      <c r="AE959" s="0" t="s">
        <v>681</v>
      </c>
      <c r="AG959" s="0" t="s">
        <v>230</v>
      </c>
    </row>
    <row r="960" customFormat="false" ht="15" hidden="false" customHeight="false" outlineLevel="0" collapsed="false">
      <c r="A960" s="0" t="s">
        <v>7336</v>
      </c>
      <c r="B960" s="0" t="s">
        <v>3571</v>
      </c>
      <c r="C960" s="0" t="s">
        <v>3572</v>
      </c>
      <c r="D960" s="0" t="s">
        <v>300</v>
      </c>
      <c r="E960" s="0" t="s">
        <v>3573</v>
      </c>
      <c r="F960" s="0" t="s">
        <v>2898</v>
      </c>
      <c r="G960" s="0" t="s">
        <v>142</v>
      </c>
      <c r="H960" s="0" t="s">
        <v>7846</v>
      </c>
      <c r="I960" s="0" t="s">
        <v>7338</v>
      </c>
      <c r="J960" s="0" t="s">
        <v>1602</v>
      </c>
      <c r="K960" s="0" t="s">
        <v>7339</v>
      </c>
      <c r="L960" s="0" t="s">
        <v>7340</v>
      </c>
      <c r="M960" s="0" t="s">
        <v>7661</v>
      </c>
      <c r="N960" s="0" t="s">
        <v>7342</v>
      </c>
      <c r="O960" s="0" t="s">
        <v>7360</v>
      </c>
      <c r="P960" s="0" t="s">
        <v>236</v>
      </c>
      <c r="Q960" s="0" t="s">
        <v>7354</v>
      </c>
      <c r="R960" s="0" t="s">
        <v>7343</v>
      </c>
      <c r="S960" s="0" t="s">
        <v>7344</v>
      </c>
      <c r="T960" s="0" t="s">
        <v>260</v>
      </c>
      <c r="U960" s="0" t="s">
        <v>7369</v>
      </c>
      <c r="V960" s="0" t="s">
        <v>34</v>
      </c>
      <c r="W960" s="0" t="s">
        <v>45</v>
      </c>
      <c r="X960" s="0" t="s">
        <v>7355</v>
      </c>
      <c r="Y960" s="0" t="s">
        <v>7346</v>
      </c>
      <c r="Z960" s="0" t="s">
        <v>7370</v>
      </c>
      <c r="AA960" s="0" t="s">
        <v>7385</v>
      </c>
      <c r="AB960" s="0" t="s">
        <v>262</v>
      </c>
      <c r="AC960" s="0" t="s">
        <v>7629</v>
      </c>
      <c r="AD960" s="0" t="s">
        <v>260</v>
      </c>
      <c r="AE960" s="0" t="s">
        <v>681</v>
      </c>
      <c r="AG960" s="0" t="s">
        <v>230</v>
      </c>
    </row>
    <row r="961" customFormat="false" ht="15" hidden="false" customHeight="false" outlineLevel="0" collapsed="false">
      <c r="A961" s="0" t="s">
        <v>7336</v>
      </c>
      <c r="B961" s="0" t="s">
        <v>3574</v>
      </c>
      <c r="C961" s="0" t="s">
        <v>3575</v>
      </c>
      <c r="D961" s="0" t="s">
        <v>300</v>
      </c>
      <c r="E961" s="0" t="s">
        <v>3576</v>
      </c>
      <c r="F961" s="0" t="s">
        <v>3577</v>
      </c>
      <c r="G961" s="0" t="s">
        <v>138</v>
      </c>
      <c r="H961" s="0" t="s">
        <v>7962</v>
      </c>
      <c r="I961" s="0" t="s">
        <v>7338</v>
      </c>
      <c r="J961" s="0" t="s">
        <v>1602</v>
      </c>
      <c r="K961" s="0" t="s">
        <v>7339</v>
      </c>
      <c r="L961" s="0" t="s">
        <v>7340</v>
      </c>
      <c r="M961" s="0" t="s">
        <v>7661</v>
      </c>
      <c r="N961" s="0" t="s">
        <v>7342</v>
      </c>
      <c r="O961" s="0" t="s">
        <v>7360</v>
      </c>
      <c r="P961" s="0" t="s">
        <v>236</v>
      </c>
      <c r="Q961" s="0" t="s">
        <v>7354</v>
      </c>
      <c r="R961" s="0" t="s">
        <v>7343</v>
      </c>
      <c r="S961" s="0" t="s">
        <v>7344</v>
      </c>
      <c r="T961" s="0" t="s">
        <v>260</v>
      </c>
      <c r="U961" s="0" t="s">
        <v>7369</v>
      </c>
      <c r="V961" s="0" t="s">
        <v>34</v>
      </c>
      <c r="W961" s="0" t="s">
        <v>37</v>
      </c>
      <c r="X961" s="0" t="s">
        <v>7355</v>
      </c>
      <c r="Y961" s="0" t="s">
        <v>7346</v>
      </c>
      <c r="Z961" s="0" t="s">
        <v>7370</v>
      </c>
      <c r="AA961" s="0" t="s">
        <v>7385</v>
      </c>
      <c r="AB961" s="0" t="s">
        <v>262</v>
      </c>
      <c r="AC961" s="0" t="s">
        <v>7349</v>
      </c>
      <c r="AD961" s="0" t="s">
        <v>260</v>
      </c>
      <c r="AE961" s="0" t="s">
        <v>681</v>
      </c>
      <c r="AG961" s="0" t="s">
        <v>230</v>
      </c>
    </row>
    <row r="962" customFormat="false" ht="15" hidden="false" customHeight="false" outlineLevel="0" collapsed="false">
      <c r="A962" s="0" t="s">
        <v>7336</v>
      </c>
      <c r="B962" s="0" t="s">
        <v>3578</v>
      </c>
      <c r="C962" s="0" t="s">
        <v>3579</v>
      </c>
      <c r="D962" s="0" t="s">
        <v>300</v>
      </c>
      <c r="E962" s="0" t="s">
        <v>3580</v>
      </c>
      <c r="F962" s="0" t="s">
        <v>3577</v>
      </c>
      <c r="G962" s="0" t="s">
        <v>138</v>
      </c>
      <c r="H962" s="0" t="s">
        <v>7962</v>
      </c>
      <c r="I962" s="0" t="s">
        <v>7338</v>
      </c>
      <c r="J962" s="0" t="s">
        <v>1602</v>
      </c>
      <c r="K962" s="0" t="s">
        <v>7339</v>
      </c>
      <c r="L962" s="0" t="s">
        <v>7340</v>
      </c>
      <c r="M962" s="0" t="s">
        <v>7661</v>
      </c>
      <c r="N962" s="0" t="s">
        <v>7342</v>
      </c>
      <c r="O962" s="0" t="s">
        <v>7360</v>
      </c>
      <c r="P962" s="0" t="s">
        <v>236</v>
      </c>
      <c r="Q962" s="0" t="s">
        <v>7354</v>
      </c>
      <c r="R962" s="0" t="s">
        <v>7343</v>
      </c>
      <c r="S962" s="0" t="s">
        <v>7344</v>
      </c>
      <c r="T962" s="0" t="s">
        <v>260</v>
      </c>
      <c r="U962" s="0" t="s">
        <v>7369</v>
      </c>
      <c r="V962" s="0" t="s">
        <v>34</v>
      </c>
      <c r="W962" s="0" t="s">
        <v>37</v>
      </c>
      <c r="X962" s="0" t="s">
        <v>7355</v>
      </c>
      <c r="Y962" s="0" t="s">
        <v>7346</v>
      </c>
      <c r="Z962" s="0" t="s">
        <v>7370</v>
      </c>
      <c r="AA962" s="0" t="s">
        <v>7385</v>
      </c>
      <c r="AB962" s="0" t="s">
        <v>262</v>
      </c>
      <c r="AC962" s="0" t="s">
        <v>7349</v>
      </c>
      <c r="AD962" s="0" t="s">
        <v>260</v>
      </c>
      <c r="AE962" s="0" t="s">
        <v>681</v>
      </c>
      <c r="AG962" s="0" t="s">
        <v>230</v>
      </c>
    </row>
    <row r="963" customFormat="false" ht="15" hidden="false" customHeight="false" outlineLevel="0" collapsed="false">
      <c r="A963" s="0" t="s">
        <v>7336</v>
      </c>
      <c r="B963" s="0" t="s">
        <v>3581</v>
      </c>
      <c r="C963" s="0" t="s">
        <v>3582</v>
      </c>
      <c r="D963" s="0" t="s">
        <v>300</v>
      </c>
      <c r="E963" s="0" t="s">
        <v>3583</v>
      </c>
      <c r="F963" s="0" t="s">
        <v>3584</v>
      </c>
      <c r="G963" s="0" t="s">
        <v>138</v>
      </c>
      <c r="H963" s="0" t="s">
        <v>7963</v>
      </c>
      <c r="I963" s="0" t="s">
        <v>7338</v>
      </c>
      <c r="J963" s="0" t="s">
        <v>1602</v>
      </c>
      <c r="K963" s="0" t="s">
        <v>7339</v>
      </c>
      <c r="L963" s="0" t="s">
        <v>7340</v>
      </c>
      <c r="M963" s="0" t="s">
        <v>7661</v>
      </c>
      <c r="N963" s="0" t="s">
        <v>7342</v>
      </c>
      <c r="O963" s="0" t="s">
        <v>7360</v>
      </c>
      <c r="P963" s="0" t="s">
        <v>236</v>
      </c>
      <c r="Q963" s="0" t="s">
        <v>7354</v>
      </c>
      <c r="R963" s="0" t="s">
        <v>7343</v>
      </c>
      <c r="S963" s="0" t="s">
        <v>7344</v>
      </c>
      <c r="T963" s="0" t="s">
        <v>260</v>
      </c>
      <c r="U963" s="0" t="s">
        <v>7369</v>
      </c>
      <c r="V963" s="0" t="s">
        <v>34</v>
      </c>
      <c r="W963" s="0" t="s">
        <v>37</v>
      </c>
      <c r="X963" s="0" t="s">
        <v>7355</v>
      </c>
      <c r="Y963" s="0" t="s">
        <v>7346</v>
      </c>
      <c r="Z963" s="0" t="s">
        <v>7370</v>
      </c>
      <c r="AA963" s="0" t="s">
        <v>7385</v>
      </c>
      <c r="AB963" s="0" t="s">
        <v>262</v>
      </c>
      <c r="AC963" s="0" t="s">
        <v>7349</v>
      </c>
      <c r="AD963" s="0" t="s">
        <v>260</v>
      </c>
      <c r="AE963" s="0" t="s">
        <v>681</v>
      </c>
      <c r="AG963" s="0" t="s">
        <v>230</v>
      </c>
    </row>
    <row r="964" customFormat="false" ht="15" hidden="false" customHeight="false" outlineLevel="0" collapsed="false">
      <c r="A964" s="0" t="s">
        <v>7336</v>
      </c>
      <c r="B964" s="0" t="s">
        <v>3585</v>
      </c>
      <c r="C964" s="0" t="s">
        <v>3586</v>
      </c>
      <c r="D964" s="0" t="s">
        <v>300</v>
      </c>
      <c r="E964" s="0" t="s">
        <v>3587</v>
      </c>
      <c r="F964" s="0" t="s">
        <v>3588</v>
      </c>
      <c r="G964" s="0" t="s">
        <v>138</v>
      </c>
      <c r="H964" s="0" t="s">
        <v>7964</v>
      </c>
      <c r="I964" s="0" t="s">
        <v>7338</v>
      </c>
      <c r="J964" s="0" t="s">
        <v>1602</v>
      </c>
      <c r="K964" s="0" t="s">
        <v>7339</v>
      </c>
      <c r="L964" s="0" t="s">
        <v>7340</v>
      </c>
      <c r="M964" s="0" t="s">
        <v>7661</v>
      </c>
      <c r="N964" s="0" t="s">
        <v>7342</v>
      </c>
      <c r="O964" s="0" t="s">
        <v>7360</v>
      </c>
      <c r="P964" s="0" t="s">
        <v>236</v>
      </c>
      <c r="Q964" s="0" t="s">
        <v>7354</v>
      </c>
      <c r="R964" s="0" t="s">
        <v>7343</v>
      </c>
      <c r="S964" s="0" t="s">
        <v>7344</v>
      </c>
      <c r="T964" s="0" t="s">
        <v>260</v>
      </c>
      <c r="U964" s="0" t="s">
        <v>7369</v>
      </c>
      <c r="V964" s="0" t="s">
        <v>34</v>
      </c>
      <c r="W964" s="0" t="s">
        <v>37</v>
      </c>
      <c r="X964" s="0" t="s">
        <v>7355</v>
      </c>
      <c r="Y964" s="0" t="s">
        <v>7346</v>
      </c>
      <c r="Z964" s="0" t="s">
        <v>7370</v>
      </c>
      <c r="AA964" s="0" t="s">
        <v>7385</v>
      </c>
      <c r="AB964" s="0" t="s">
        <v>262</v>
      </c>
      <c r="AC964" s="0" t="s">
        <v>7349</v>
      </c>
      <c r="AD964" s="0" t="s">
        <v>260</v>
      </c>
      <c r="AE964" s="0" t="s">
        <v>681</v>
      </c>
      <c r="AG964" s="0" t="s">
        <v>230</v>
      </c>
    </row>
    <row r="965" customFormat="false" ht="15" hidden="false" customHeight="false" outlineLevel="0" collapsed="false">
      <c r="A965" s="0" t="s">
        <v>7336</v>
      </c>
      <c r="B965" s="0" t="s">
        <v>3589</v>
      </c>
      <c r="C965" s="0" t="s">
        <v>3590</v>
      </c>
      <c r="D965" s="0" t="s">
        <v>300</v>
      </c>
      <c r="E965" s="0" t="s">
        <v>3591</v>
      </c>
      <c r="F965" s="0" t="s">
        <v>3592</v>
      </c>
      <c r="G965" s="0" t="s">
        <v>138</v>
      </c>
      <c r="H965" s="0" t="s">
        <v>7965</v>
      </c>
      <c r="I965" s="0" t="s">
        <v>7338</v>
      </c>
      <c r="J965" s="0" t="s">
        <v>1602</v>
      </c>
      <c r="K965" s="0" t="s">
        <v>7339</v>
      </c>
      <c r="L965" s="0" t="s">
        <v>7340</v>
      </c>
      <c r="M965" s="0" t="s">
        <v>7661</v>
      </c>
      <c r="N965" s="0" t="s">
        <v>7342</v>
      </c>
      <c r="O965" s="0" t="s">
        <v>7360</v>
      </c>
      <c r="P965" s="0" t="s">
        <v>236</v>
      </c>
      <c r="Q965" s="0" t="s">
        <v>7354</v>
      </c>
      <c r="R965" s="0" t="s">
        <v>7343</v>
      </c>
      <c r="S965" s="0" t="s">
        <v>7344</v>
      </c>
      <c r="T965" s="0" t="s">
        <v>260</v>
      </c>
      <c r="U965" s="0" t="s">
        <v>7369</v>
      </c>
      <c r="V965" s="0" t="s">
        <v>34</v>
      </c>
      <c r="W965" s="0" t="s">
        <v>37</v>
      </c>
      <c r="X965" s="0" t="s">
        <v>7355</v>
      </c>
      <c r="Y965" s="0" t="s">
        <v>7346</v>
      </c>
      <c r="Z965" s="0" t="s">
        <v>7370</v>
      </c>
      <c r="AA965" s="0" t="s">
        <v>7385</v>
      </c>
      <c r="AB965" s="0" t="s">
        <v>262</v>
      </c>
      <c r="AC965" s="0" t="s">
        <v>7349</v>
      </c>
      <c r="AD965" s="0" t="s">
        <v>260</v>
      </c>
      <c r="AE965" s="0" t="s">
        <v>681</v>
      </c>
      <c r="AG965" s="0" t="s">
        <v>230</v>
      </c>
    </row>
    <row r="966" customFormat="false" ht="15" hidden="false" customHeight="false" outlineLevel="0" collapsed="false">
      <c r="A966" s="0" t="s">
        <v>7336</v>
      </c>
      <c r="B966" s="0" t="s">
        <v>3593</v>
      </c>
      <c r="C966" s="0" t="s">
        <v>3594</v>
      </c>
      <c r="D966" s="0" t="s">
        <v>300</v>
      </c>
      <c r="E966" s="0" t="s">
        <v>3595</v>
      </c>
      <c r="F966" s="0" t="s">
        <v>3596</v>
      </c>
      <c r="G966" s="0" t="s">
        <v>138</v>
      </c>
      <c r="H966" s="0" t="s">
        <v>7966</v>
      </c>
      <c r="I966" s="0" t="s">
        <v>7338</v>
      </c>
      <c r="J966" s="0" t="s">
        <v>1602</v>
      </c>
      <c r="K966" s="0" t="s">
        <v>7339</v>
      </c>
      <c r="L966" s="0" t="s">
        <v>7340</v>
      </c>
      <c r="M966" s="0" t="s">
        <v>7661</v>
      </c>
      <c r="N966" s="0" t="s">
        <v>7342</v>
      </c>
      <c r="O966" s="0" t="s">
        <v>7360</v>
      </c>
      <c r="P966" s="0" t="s">
        <v>236</v>
      </c>
      <c r="Q966" s="0" t="s">
        <v>7354</v>
      </c>
      <c r="R966" s="0" t="s">
        <v>7343</v>
      </c>
      <c r="S966" s="0" t="s">
        <v>7344</v>
      </c>
      <c r="T966" s="0" t="s">
        <v>260</v>
      </c>
      <c r="U966" s="0" t="s">
        <v>7369</v>
      </c>
      <c r="V966" s="0" t="s">
        <v>34</v>
      </c>
      <c r="W966" s="0" t="s">
        <v>37</v>
      </c>
      <c r="X966" s="0" t="s">
        <v>7355</v>
      </c>
      <c r="Y966" s="0" t="s">
        <v>7346</v>
      </c>
      <c r="Z966" s="0" t="s">
        <v>7370</v>
      </c>
      <c r="AA966" s="0" t="s">
        <v>7385</v>
      </c>
      <c r="AB966" s="0" t="s">
        <v>262</v>
      </c>
      <c r="AC966" s="0" t="s">
        <v>7349</v>
      </c>
      <c r="AD966" s="0" t="s">
        <v>260</v>
      </c>
      <c r="AE966" s="0" t="s">
        <v>681</v>
      </c>
      <c r="AG966" s="0" t="s">
        <v>230</v>
      </c>
    </row>
    <row r="967" customFormat="false" ht="15" hidden="false" customHeight="false" outlineLevel="0" collapsed="false">
      <c r="A967" s="0" t="s">
        <v>7336</v>
      </c>
      <c r="B967" s="0" t="s">
        <v>3597</v>
      </c>
      <c r="C967" s="0" t="s">
        <v>3598</v>
      </c>
      <c r="D967" s="0" t="s">
        <v>300</v>
      </c>
      <c r="E967" s="0" t="s">
        <v>3599</v>
      </c>
      <c r="F967" s="0" t="s">
        <v>2906</v>
      </c>
      <c r="G967" s="0" t="s">
        <v>140</v>
      </c>
      <c r="H967" s="0" t="s">
        <v>7848</v>
      </c>
      <c r="I967" s="0" t="s">
        <v>7338</v>
      </c>
      <c r="J967" s="0" t="s">
        <v>1602</v>
      </c>
      <c r="K967" s="0" t="s">
        <v>7339</v>
      </c>
      <c r="L967" s="0" t="s">
        <v>7340</v>
      </c>
      <c r="M967" s="0" t="s">
        <v>7661</v>
      </c>
      <c r="N967" s="0" t="s">
        <v>7342</v>
      </c>
      <c r="O967" s="0" t="s">
        <v>7360</v>
      </c>
      <c r="P967" s="0" t="s">
        <v>236</v>
      </c>
      <c r="Q967" s="0" t="s">
        <v>7354</v>
      </c>
      <c r="R967" s="0" t="s">
        <v>7343</v>
      </c>
      <c r="S967" s="0" t="s">
        <v>7344</v>
      </c>
      <c r="T967" s="0" t="s">
        <v>260</v>
      </c>
      <c r="U967" s="0" t="s">
        <v>7369</v>
      </c>
      <c r="V967" s="0" t="s">
        <v>34</v>
      </c>
      <c r="W967" s="0" t="s">
        <v>37</v>
      </c>
      <c r="X967" s="0" t="s">
        <v>7355</v>
      </c>
      <c r="Y967" s="0" t="s">
        <v>7346</v>
      </c>
      <c r="Z967" s="0" t="s">
        <v>7370</v>
      </c>
      <c r="AA967" s="0" t="s">
        <v>7385</v>
      </c>
      <c r="AB967" s="0" t="s">
        <v>262</v>
      </c>
      <c r="AC967" s="0" t="s">
        <v>7629</v>
      </c>
      <c r="AD967" s="0" t="s">
        <v>260</v>
      </c>
      <c r="AE967" s="0" t="s">
        <v>681</v>
      </c>
      <c r="AG967" s="0" t="s">
        <v>230</v>
      </c>
    </row>
    <row r="968" customFormat="false" ht="15" hidden="false" customHeight="false" outlineLevel="0" collapsed="false">
      <c r="A968" s="0" t="s">
        <v>7336</v>
      </c>
      <c r="B968" s="0" t="s">
        <v>3600</v>
      </c>
      <c r="C968" s="0" t="s">
        <v>3601</v>
      </c>
      <c r="D968" s="0" t="s">
        <v>300</v>
      </c>
      <c r="E968" s="0" t="s">
        <v>3602</v>
      </c>
      <c r="F968" s="0" t="s">
        <v>2910</v>
      </c>
      <c r="G968" s="0" t="s">
        <v>140</v>
      </c>
      <c r="H968" s="0" t="s">
        <v>7849</v>
      </c>
      <c r="I968" s="0" t="s">
        <v>7338</v>
      </c>
      <c r="J968" s="0" t="s">
        <v>1602</v>
      </c>
      <c r="K968" s="0" t="s">
        <v>7339</v>
      </c>
      <c r="L968" s="0" t="s">
        <v>7340</v>
      </c>
      <c r="M968" s="0" t="s">
        <v>7661</v>
      </c>
      <c r="N968" s="0" t="s">
        <v>7342</v>
      </c>
      <c r="O968" s="0" t="s">
        <v>7360</v>
      </c>
      <c r="P968" s="0" t="s">
        <v>236</v>
      </c>
      <c r="Q968" s="0" t="s">
        <v>7354</v>
      </c>
      <c r="R968" s="0" t="s">
        <v>7343</v>
      </c>
      <c r="S968" s="0" t="s">
        <v>7344</v>
      </c>
      <c r="T968" s="0" t="s">
        <v>260</v>
      </c>
      <c r="U968" s="0" t="s">
        <v>7369</v>
      </c>
      <c r="V968" s="0" t="s">
        <v>34</v>
      </c>
      <c r="W968" s="0" t="s">
        <v>37</v>
      </c>
      <c r="X968" s="0" t="s">
        <v>7355</v>
      </c>
      <c r="Y968" s="0" t="s">
        <v>7346</v>
      </c>
      <c r="Z968" s="0" t="s">
        <v>7370</v>
      </c>
      <c r="AA968" s="0" t="s">
        <v>7385</v>
      </c>
      <c r="AB968" s="0" t="s">
        <v>262</v>
      </c>
      <c r="AC968" s="0" t="s">
        <v>7629</v>
      </c>
      <c r="AD968" s="0" t="s">
        <v>260</v>
      </c>
      <c r="AE968" s="0" t="s">
        <v>681</v>
      </c>
      <c r="AG968" s="0" t="s">
        <v>230</v>
      </c>
    </row>
    <row r="969" customFormat="false" ht="15" hidden="false" customHeight="false" outlineLevel="0" collapsed="false">
      <c r="A969" s="0" t="s">
        <v>7336</v>
      </c>
      <c r="B969" s="0" t="s">
        <v>3603</v>
      </c>
      <c r="C969" s="0" t="s">
        <v>3604</v>
      </c>
      <c r="D969" s="0" t="s">
        <v>300</v>
      </c>
      <c r="E969" s="0" t="s">
        <v>3605</v>
      </c>
      <c r="F969" s="0" t="s">
        <v>2914</v>
      </c>
      <c r="G969" s="0" t="s">
        <v>140</v>
      </c>
      <c r="H969" s="0" t="s">
        <v>7850</v>
      </c>
      <c r="I969" s="0" t="s">
        <v>7338</v>
      </c>
      <c r="J969" s="0" t="s">
        <v>1602</v>
      </c>
      <c r="K969" s="0" t="s">
        <v>7339</v>
      </c>
      <c r="L969" s="0" t="s">
        <v>7340</v>
      </c>
      <c r="M969" s="0" t="s">
        <v>7661</v>
      </c>
      <c r="N969" s="0" t="s">
        <v>7342</v>
      </c>
      <c r="O969" s="0" t="s">
        <v>7360</v>
      </c>
      <c r="P969" s="0" t="s">
        <v>236</v>
      </c>
      <c r="Q969" s="0" t="s">
        <v>7354</v>
      </c>
      <c r="R969" s="0" t="s">
        <v>7343</v>
      </c>
      <c r="S969" s="0" t="s">
        <v>7344</v>
      </c>
      <c r="T969" s="0" t="s">
        <v>260</v>
      </c>
      <c r="U969" s="0" t="s">
        <v>7369</v>
      </c>
      <c r="V969" s="0" t="s">
        <v>34</v>
      </c>
      <c r="W969" s="0" t="s">
        <v>37</v>
      </c>
      <c r="X969" s="0" t="s">
        <v>7355</v>
      </c>
      <c r="Y969" s="0" t="s">
        <v>7346</v>
      </c>
      <c r="Z969" s="0" t="s">
        <v>7370</v>
      </c>
      <c r="AA969" s="0" t="s">
        <v>7385</v>
      </c>
      <c r="AB969" s="0" t="s">
        <v>262</v>
      </c>
      <c r="AC969" s="0" t="s">
        <v>7629</v>
      </c>
      <c r="AD969" s="0" t="s">
        <v>260</v>
      </c>
      <c r="AE969" s="0" t="s">
        <v>681</v>
      </c>
      <c r="AG969" s="0" t="s">
        <v>230</v>
      </c>
    </row>
    <row r="970" customFormat="false" ht="15" hidden="false" customHeight="false" outlineLevel="0" collapsed="false">
      <c r="A970" s="0" t="s">
        <v>7336</v>
      </c>
      <c r="B970" s="0" t="s">
        <v>3606</v>
      </c>
      <c r="C970" s="0" t="s">
        <v>3607</v>
      </c>
      <c r="D970" s="0" t="s">
        <v>300</v>
      </c>
      <c r="E970" s="0" t="s">
        <v>3608</v>
      </c>
      <c r="F970" s="0" t="s">
        <v>2918</v>
      </c>
      <c r="G970" s="0" t="s">
        <v>140</v>
      </c>
      <c r="H970" s="0" t="s">
        <v>7851</v>
      </c>
      <c r="I970" s="0" t="s">
        <v>7338</v>
      </c>
      <c r="J970" s="0" t="s">
        <v>1602</v>
      </c>
      <c r="K970" s="0" t="s">
        <v>7339</v>
      </c>
      <c r="L970" s="0" t="s">
        <v>7340</v>
      </c>
      <c r="M970" s="0" t="s">
        <v>7661</v>
      </c>
      <c r="N970" s="0" t="s">
        <v>7342</v>
      </c>
      <c r="O970" s="0" t="s">
        <v>7360</v>
      </c>
      <c r="P970" s="0" t="s">
        <v>236</v>
      </c>
      <c r="Q970" s="0" t="s">
        <v>7354</v>
      </c>
      <c r="R970" s="0" t="s">
        <v>7343</v>
      </c>
      <c r="S970" s="0" t="s">
        <v>7344</v>
      </c>
      <c r="T970" s="0" t="s">
        <v>260</v>
      </c>
      <c r="U970" s="0" t="s">
        <v>7369</v>
      </c>
      <c r="V970" s="0" t="s">
        <v>34</v>
      </c>
      <c r="W970" s="0" t="s">
        <v>37</v>
      </c>
      <c r="X970" s="0" t="s">
        <v>7355</v>
      </c>
      <c r="Y970" s="0" t="s">
        <v>7346</v>
      </c>
      <c r="Z970" s="0" t="s">
        <v>7370</v>
      </c>
      <c r="AA970" s="0" t="s">
        <v>7385</v>
      </c>
      <c r="AB970" s="0" t="s">
        <v>262</v>
      </c>
      <c r="AC970" s="0" t="s">
        <v>7629</v>
      </c>
      <c r="AD970" s="0" t="s">
        <v>260</v>
      </c>
      <c r="AE970" s="0" t="s">
        <v>681</v>
      </c>
      <c r="AG970" s="0" t="s">
        <v>230</v>
      </c>
    </row>
    <row r="971" customFormat="false" ht="15" hidden="false" customHeight="false" outlineLevel="0" collapsed="false">
      <c r="A971" s="0" t="s">
        <v>7336</v>
      </c>
      <c r="B971" s="0" t="s">
        <v>3609</v>
      </c>
      <c r="C971" s="0" t="s">
        <v>3610</v>
      </c>
      <c r="D971" s="0" t="s">
        <v>300</v>
      </c>
      <c r="E971" s="0" t="s">
        <v>3611</v>
      </c>
      <c r="F971" s="0" t="s">
        <v>2922</v>
      </c>
      <c r="G971" s="0" t="s">
        <v>140</v>
      </c>
      <c r="H971" s="0" t="s">
        <v>7852</v>
      </c>
      <c r="I971" s="0" t="s">
        <v>7338</v>
      </c>
      <c r="J971" s="0" t="s">
        <v>1602</v>
      </c>
      <c r="K971" s="0" t="s">
        <v>7339</v>
      </c>
      <c r="L971" s="0" t="s">
        <v>7340</v>
      </c>
      <c r="M971" s="0" t="s">
        <v>7661</v>
      </c>
      <c r="N971" s="0" t="s">
        <v>7342</v>
      </c>
      <c r="O971" s="0" t="s">
        <v>7360</v>
      </c>
      <c r="P971" s="0" t="s">
        <v>236</v>
      </c>
      <c r="Q971" s="0" t="s">
        <v>7354</v>
      </c>
      <c r="R971" s="0" t="s">
        <v>7343</v>
      </c>
      <c r="S971" s="0" t="s">
        <v>7344</v>
      </c>
      <c r="T971" s="0" t="s">
        <v>260</v>
      </c>
      <c r="U971" s="0" t="s">
        <v>7369</v>
      </c>
      <c r="V971" s="0" t="s">
        <v>34</v>
      </c>
      <c r="W971" s="0" t="s">
        <v>37</v>
      </c>
      <c r="X971" s="0" t="s">
        <v>7355</v>
      </c>
      <c r="Y971" s="0" t="s">
        <v>7346</v>
      </c>
      <c r="Z971" s="0" t="s">
        <v>7370</v>
      </c>
      <c r="AA971" s="0" t="s">
        <v>7385</v>
      </c>
      <c r="AB971" s="0" t="s">
        <v>262</v>
      </c>
      <c r="AC971" s="0" t="s">
        <v>7629</v>
      </c>
      <c r="AD971" s="0" t="s">
        <v>260</v>
      </c>
      <c r="AE971" s="0" t="s">
        <v>681</v>
      </c>
      <c r="AG971" s="0" t="s">
        <v>230</v>
      </c>
    </row>
    <row r="972" customFormat="false" ht="15" hidden="false" customHeight="false" outlineLevel="0" collapsed="false">
      <c r="A972" s="0" t="s">
        <v>7336</v>
      </c>
      <c r="B972" s="0" t="s">
        <v>3612</v>
      </c>
      <c r="C972" s="0" t="s">
        <v>3613</v>
      </c>
      <c r="D972" s="0" t="s">
        <v>300</v>
      </c>
      <c r="E972" s="0" t="s">
        <v>3614</v>
      </c>
      <c r="F972" s="0" t="s">
        <v>2926</v>
      </c>
      <c r="G972" s="0" t="s">
        <v>140</v>
      </c>
      <c r="H972" s="0" t="s">
        <v>7853</v>
      </c>
      <c r="I972" s="0" t="s">
        <v>7338</v>
      </c>
      <c r="J972" s="0" t="s">
        <v>1602</v>
      </c>
      <c r="K972" s="0" t="s">
        <v>7339</v>
      </c>
      <c r="L972" s="0" t="s">
        <v>7340</v>
      </c>
      <c r="M972" s="0" t="s">
        <v>7661</v>
      </c>
      <c r="N972" s="0" t="s">
        <v>7342</v>
      </c>
      <c r="O972" s="0" t="s">
        <v>7360</v>
      </c>
      <c r="P972" s="0" t="s">
        <v>236</v>
      </c>
      <c r="Q972" s="0" t="s">
        <v>7354</v>
      </c>
      <c r="R972" s="0" t="s">
        <v>7343</v>
      </c>
      <c r="S972" s="0" t="s">
        <v>7344</v>
      </c>
      <c r="T972" s="0" t="s">
        <v>260</v>
      </c>
      <c r="U972" s="0" t="s">
        <v>7369</v>
      </c>
      <c r="V972" s="0" t="s">
        <v>34</v>
      </c>
      <c r="W972" s="0" t="s">
        <v>37</v>
      </c>
      <c r="X972" s="0" t="s">
        <v>7355</v>
      </c>
      <c r="Y972" s="0" t="s">
        <v>7346</v>
      </c>
      <c r="Z972" s="0" t="s">
        <v>7370</v>
      </c>
      <c r="AA972" s="0" t="s">
        <v>7385</v>
      </c>
      <c r="AB972" s="0" t="s">
        <v>262</v>
      </c>
      <c r="AC972" s="0" t="s">
        <v>7629</v>
      </c>
      <c r="AD972" s="0" t="s">
        <v>260</v>
      </c>
      <c r="AE972" s="0" t="s">
        <v>681</v>
      </c>
      <c r="AG972" s="0" t="s">
        <v>230</v>
      </c>
    </row>
    <row r="973" customFormat="false" ht="15" hidden="false" customHeight="false" outlineLevel="0" collapsed="false">
      <c r="A973" s="0" t="s">
        <v>7336</v>
      </c>
      <c r="B973" s="0" t="s">
        <v>3615</v>
      </c>
      <c r="C973" s="0" t="s">
        <v>3616</v>
      </c>
      <c r="D973" s="0" t="s">
        <v>300</v>
      </c>
      <c r="E973" s="0" t="s">
        <v>3617</v>
      </c>
      <c r="F973" s="0" t="s">
        <v>2930</v>
      </c>
      <c r="G973" s="0" t="s">
        <v>142</v>
      </c>
      <c r="H973" s="0" t="s">
        <v>7854</v>
      </c>
      <c r="I973" s="0" t="s">
        <v>7338</v>
      </c>
      <c r="J973" s="0" t="s">
        <v>1602</v>
      </c>
      <c r="K973" s="0" t="s">
        <v>7339</v>
      </c>
      <c r="L973" s="0" t="s">
        <v>7340</v>
      </c>
      <c r="M973" s="0" t="s">
        <v>7661</v>
      </c>
      <c r="N973" s="0" t="s">
        <v>7342</v>
      </c>
      <c r="O973" s="0" t="s">
        <v>7360</v>
      </c>
      <c r="P973" s="0" t="s">
        <v>236</v>
      </c>
      <c r="Q973" s="0" t="s">
        <v>7354</v>
      </c>
      <c r="R973" s="0" t="s">
        <v>7343</v>
      </c>
      <c r="S973" s="0" t="s">
        <v>7344</v>
      </c>
      <c r="T973" s="0" t="s">
        <v>260</v>
      </c>
      <c r="U973" s="0" t="s">
        <v>7369</v>
      </c>
      <c r="V973" s="0" t="s">
        <v>34</v>
      </c>
      <c r="W973" s="0" t="s">
        <v>45</v>
      </c>
      <c r="X973" s="0" t="s">
        <v>7355</v>
      </c>
      <c r="Y973" s="0" t="s">
        <v>7346</v>
      </c>
      <c r="Z973" s="0" t="s">
        <v>7370</v>
      </c>
      <c r="AA973" s="0" t="s">
        <v>7385</v>
      </c>
      <c r="AB973" s="0" t="s">
        <v>262</v>
      </c>
      <c r="AC973" s="0" t="s">
        <v>7629</v>
      </c>
      <c r="AD973" s="0" t="s">
        <v>260</v>
      </c>
      <c r="AE973" s="0" t="s">
        <v>681</v>
      </c>
      <c r="AG973" s="0" t="s">
        <v>230</v>
      </c>
    </row>
    <row r="974" customFormat="false" ht="15" hidden="false" customHeight="false" outlineLevel="0" collapsed="false">
      <c r="A974" s="0" t="s">
        <v>7336</v>
      </c>
      <c r="B974" s="0" t="s">
        <v>3618</v>
      </c>
      <c r="C974" s="0" t="s">
        <v>3619</v>
      </c>
      <c r="D974" s="0" t="s">
        <v>300</v>
      </c>
      <c r="E974" s="0" t="s">
        <v>3620</v>
      </c>
      <c r="F974" s="0" t="s">
        <v>2950</v>
      </c>
      <c r="G974" s="0" t="s">
        <v>142</v>
      </c>
      <c r="H974" s="0" t="s">
        <v>7859</v>
      </c>
      <c r="I974" s="0" t="s">
        <v>7338</v>
      </c>
      <c r="J974" s="0" t="s">
        <v>1602</v>
      </c>
      <c r="K974" s="0" t="s">
        <v>7339</v>
      </c>
      <c r="L974" s="0" t="s">
        <v>7340</v>
      </c>
      <c r="M974" s="0" t="s">
        <v>7661</v>
      </c>
      <c r="N974" s="0" t="s">
        <v>7342</v>
      </c>
      <c r="O974" s="0" t="s">
        <v>7360</v>
      </c>
      <c r="P974" s="0" t="s">
        <v>236</v>
      </c>
      <c r="Q974" s="0" t="s">
        <v>7354</v>
      </c>
      <c r="R974" s="0" t="s">
        <v>7343</v>
      </c>
      <c r="S974" s="0" t="s">
        <v>7344</v>
      </c>
      <c r="T974" s="0" t="s">
        <v>260</v>
      </c>
      <c r="U974" s="0" t="s">
        <v>7369</v>
      </c>
      <c r="V974" s="0" t="s">
        <v>34</v>
      </c>
      <c r="W974" s="0" t="s">
        <v>45</v>
      </c>
      <c r="X974" s="0" t="s">
        <v>7355</v>
      </c>
      <c r="Y974" s="0" t="s">
        <v>7346</v>
      </c>
      <c r="Z974" s="0" t="s">
        <v>7370</v>
      </c>
      <c r="AA974" s="0" t="s">
        <v>7385</v>
      </c>
      <c r="AB974" s="0" t="s">
        <v>262</v>
      </c>
      <c r="AC974" s="0" t="s">
        <v>7629</v>
      </c>
      <c r="AD974" s="0" t="s">
        <v>260</v>
      </c>
      <c r="AE974" s="0" t="s">
        <v>681</v>
      </c>
      <c r="AG974" s="0" t="s">
        <v>230</v>
      </c>
    </row>
    <row r="975" customFormat="false" ht="15" hidden="false" customHeight="false" outlineLevel="0" collapsed="false">
      <c r="A975" s="0" t="s">
        <v>7336</v>
      </c>
      <c r="B975" s="0" t="s">
        <v>3621</v>
      </c>
      <c r="C975" s="0" t="s">
        <v>3622</v>
      </c>
      <c r="D975" s="0" t="s">
        <v>300</v>
      </c>
      <c r="E975" s="0" t="s">
        <v>3623</v>
      </c>
      <c r="F975" s="0" t="s">
        <v>2934</v>
      </c>
      <c r="G975" s="0" t="s">
        <v>142</v>
      </c>
      <c r="H975" s="0" t="s">
        <v>7855</v>
      </c>
      <c r="I975" s="0" t="s">
        <v>7338</v>
      </c>
      <c r="J975" s="0" t="s">
        <v>1602</v>
      </c>
      <c r="K975" s="0" t="s">
        <v>7339</v>
      </c>
      <c r="L975" s="0" t="s">
        <v>7340</v>
      </c>
      <c r="M975" s="0" t="s">
        <v>7661</v>
      </c>
      <c r="N975" s="0" t="s">
        <v>7342</v>
      </c>
      <c r="O975" s="0" t="s">
        <v>7360</v>
      </c>
      <c r="P975" s="0" t="s">
        <v>236</v>
      </c>
      <c r="Q975" s="0" t="s">
        <v>7354</v>
      </c>
      <c r="R975" s="0" t="s">
        <v>7343</v>
      </c>
      <c r="S975" s="0" t="s">
        <v>7344</v>
      </c>
      <c r="T975" s="0" t="s">
        <v>260</v>
      </c>
      <c r="U975" s="0" t="s">
        <v>7369</v>
      </c>
      <c r="V975" s="0" t="s">
        <v>34</v>
      </c>
      <c r="W975" s="0" t="s">
        <v>45</v>
      </c>
      <c r="X975" s="0" t="s">
        <v>7355</v>
      </c>
      <c r="Y975" s="0" t="s">
        <v>7346</v>
      </c>
      <c r="Z975" s="0" t="s">
        <v>7370</v>
      </c>
      <c r="AA975" s="0" t="s">
        <v>7385</v>
      </c>
      <c r="AB975" s="0" t="s">
        <v>262</v>
      </c>
      <c r="AC975" s="0" t="s">
        <v>7629</v>
      </c>
      <c r="AD975" s="0" t="s">
        <v>260</v>
      </c>
      <c r="AE975" s="0" t="s">
        <v>681</v>
      </c>
      <c r="AG975" s="0" t="s">
        <v>230</v>
      </c>
    </row>
    <row r="976" customFormat="false" ht="15" hidden="false" customHeight="false" outlineLevel="0" collapsed="false">
      <c r="A976" s="0" t="s">
        <v>7336</v>
      </c>
      <c r="B976" s="0" t="s">
        <v>3624</v>
      </c>
      <c r="C976" s="0" t="s">
        <v>3625</v>
      </c>
      <c r="D976" s="0" t="s">
        <v>300</v>
      </c>
      <c r="E976" s="0" t="s">
        <v>3626</v>
      </c>
      <c r="F976" s="0" t="s">
        <v>2938</v>
      </c>
      <c r="G976" s="0" t="s">
        <v>142</v>
      </c>
      <c r="H976" s="0" t="s">
        <v>7856</v>
      </c>
      <c r="I976" s="0" t="s">
        <v>7338</v>
      </c>
      <c r="J976" s="0" t="s">
        <v>1602</v>
      </c>
      <c r="K976" s="0" t="s">
        <v>7339</v>
      </c>
      <c r="L976" s="0" t="s">
        <v>7340</v>
      </c>
      <c r="M976" s="0" t="s">
        <v>7661</v>
      </c>
      <c r="N976" s="0" t="s">
        <v>7342</v>
      </c>
      <c r="O976" s="0" t="s">
        <v>7360</v>
      </c>
      <c r="P976" s="0" t="s">
        <v>236</v>
      </c>
      <c r="Q976" s="0" t="s">
        <v>7354</v>
      </c>
      <c r="R976" s="0" t="s">
        <v>7343</v>
      </c>
      <c r="S976" s="0" t="s">
        <v>7344</v>
      </c>
      <c r="T976" s="0" t="s">
        <v>260</v>
      </c>
      <c r="U976" s="0" t="s">
        <v>7369</v>
      </c>
      <c r="V976" s="0" t="s">
        <v>34</v>
      </c>
      <c r="W976" s="0" t="s">
        <v>45</v>
      </c>
      <c r="X976" s="0" t="s">
        <v>7355</v>
      </c>
      <c r="Y976" s="0" t="s">
        <v>7346</v>
      </c>
      <c r="Z976" s="0" t="s">
        <v>7370</v>
      </c>
      <c r="AA976" s="0" t="s">
        <v>7385</v>
      </c>
      <c r="AB976" s="0" t="s">
        <v>262</v>
      </c>
      <c r="AC976" s="0" t="s">
        <v>7629</v>
      </c>
      <c r="AD976" s="0" t="s">
        <v>260</v>
      </c>
      <c r="AE976" s="0" t="s">
        <v>681</v>
      </c>
      <c r="AG976" s="0" t="s">
        <v>230</v>
      </c>
    </row>
    <row r="977" customFormat="false" ht="15" hidden="false" customHeight="false" outlineLevel="0" collapsed="false">
      <c r="A977" s="0" t="s">
        <v>7336</v>
      </c>
      <c r="B977" s="0" t="s">
        <v>3627</v>
      </c>
      <c r="C977" s="0" t="s">
        <v>3628</v>
      </c>
      <c r="D977" s="0" t="s">
        <v>300</v>
      </c>
      <c r="E977" s="0" t="s">
        <v>3629</v>
      </c>
      <c r="F977" s="0" t="s">
        <v>2942</v>
      </c>
      <c r="G977" s="0" t="s">
        <v>142</v>
      </c>
      <c r="H977" s="0" t="s">
        <v>7857</v>
      </c>
      <c r="I977" s="0" t="s">
        <v>7338</v>
      </c>
      <c r="J977" s="0" t="s">
        <v>1602</v>
      </c>
      <c r="K977" s="0" t="s">
        <v>7339</v>
      </c>
      <c r="L977" s="0" t="s">
        <v>7340</v>
      </c>
      <c r="M977" s="0" t="s">
        <v>7661</v>
      </c>
      <c r="N977" s="0" t="s">
        <v>7342</v>
      </c>
      <c r="O977" s="0" t="s">
        <v>7360</v>
      </c>
      <c r="P977" s="0" t="s">
        <v>236</v>
      </c>
      <c r="Q977" s="0" t="s">
        <v>7354</v>
      </c>
      <c r="R977" s="0" t="s">
        <v>7343</v>
      </c>
      <c r="S977" s="0" t="s">
        <v>7344</v>
      </c>
      <c r="T977" s="0" t="s">
        <v>260</v>
      </c>
      <c r="U977" s="0" t="s">
        <v>7369</v>
      </c>
      <c r="V977" s="0" t="s">
        <v>34</v>
      </c>
      <c r="W977" s="0" t="s">
        <v>45</v>
      </c>
      <c r="X977" s="0" t="s">
        <v>7355</v>
      </c>
      <c r="Y977" s="0" t="s">
        <v>7346</v>
      </c>
      <c r="Z977" s="0" t="s">
        <v>7370</v>
      </c>
      <c r="AA977" s="0" t="s">
        <v>7385</v>
      </c>
      <c r="AB977" s="0" t="s">
        <v>262</v>
      </c>
      <c r="AC977" s="0" t="s">
        <v>7629</v>
      </c>
      <c r="AD977" s="0" t="s">
        <v>260</v>
      </c>
      <c r="AE977" s="0" t="s">
        <v>681</v>
      </c>
      <c r="AG977" s="0" t="s">
        <v>230</v>
      </c>
    </row>
    <row r="978" customFormat="false" ht="15" hidden="false" customHeight="false" outlineLevel="0" collapsed="false">
      <c r="A978" s="0" t="s">
        <v>7336</v>
      </c>
      <c r="B978" s="0" t="s">
        <v>3630</v>
      </c>
      <c r="C978" s="0" t="s">
        <v>3631</v>
      </c>
      <c r="D978" s="0" t="s">
        <v>300</v>
      </c>
      <c r="E978" s="0" t="s">
        <v>3632</v>
      </c>
      <c r="F978" s="0" t="s">
        <v>2946</v>
      </c>
      <c r="G978" s="0" t="s">
        <v>142</v>
      </c>
      <c r="H978" s="0" t="s">
        <v>7858</v>
      </c>
      <c r="I978" s="0" t="s">
        <v>7338</v>
      </c>
      <c r="J978" s="0" t="s">
        <v>1602</v>
      </c>
      <c r="K978" s="0" t="s">
        <v>7339</v>
      </c>
      <c r="L978" s="0" t="s">
        <v>7340</v>
      </c>
      <c r="M978" s="0" t="s">
        <v>7661</v>
      </c>
      <c r="N978" s="0" t="s">
        <v>7342</v>
      </c>
      <c r="O978" s="0" t="s">
        <v>7360</v>
      </c>
      <c r="P978" s="0" t="s">
        <v>236</v>
      </c>
      <c r="Q978" s="0" t="s">
        <v>7354</v>
      </c>
      <c r="R978" s="0" t="s">
        <v>7343</v>
      </c>
      <c r="S978" s="0" t="s">
        <v>7344</v>
      </c>
      <c r="T978" s="0" t="s">
        <v>260</v>
      </c>
      <c r="U978" s="0" t="s">
        <v>7369</v>
      </c>
      <c r="V978" s="0" t="s">
        <v>34</v>
      </c>
      <c r="W978" s="0" t="s">
        <v>45</v>
      </c>
      <c r="X978" s="0" t="s">
        <v>7355</v>
      </c>
      <c r="Y978" s="0" t="s">
        <v>7346</v>
      </c>
      <c r="Z978" s="0" t="s">
        <v>7370</v>
      </c>
      <c r="AA978" s="0" t="s">
        <v>7385</v>
      </c>
      <c r="AB978" s="0" t="s">
        <v>262</v>
      </c>
      <c r="AC978" s="0" t="s">
        <v>7629</v>
      </c>
      <c r="AD978" s="0" t="s">
        <v>260</v>
      </c>
      <c r="AE978" s="0" t="s">
        <v>681</v>
      </c>
      <c r="AG978" s="0" t="s">
        <v>230</v>
      </c>
    </row>
    <row r="979" customFormat="false" ht="15" hidden="false" customHeight="false" outlineLevel="0" collapsed="false">
      <c r="A979" s="0" t="s">
        <v>7336</v>
      </c>
      <c r="B979" s="0" t="s">
        <v>3633</v>
      </c>
      <c r="C979" s="0" t="s">
        <v>3634</v>
      </c>
      <c r="D979" s="0" t="s">
        <v>300</v>
      </c>
      <c r="E979" s="0" t="s">
        <v>3635</v>
      </c>
      <c r="F979" s="0" t="s">
        <v>2858</v>
      </c>
      <c r="G979" s="0" t="s">
        <v>138</v>
      </c>
      <c r="H979" s="0" t="s">
        <v>7836</v>
      </c>
      <c r="I979" s="0" t="s">
        <v>7338</v>
      </c>
      <c r="J979" s="0" t="s">
        <v>1602</v>
      </c>
      <c r="K979" s="0" t="s">
        <v>7339</v>
      </c>
      <c r="L979" s="0" t="s">
        <v>7340</v>
      </c>
      <c r="M979" s="0" t="s">
        <v>7661</v>
      </c>
      <c r="N979" s="0" t="s">
        <v>7342</v>
      </c>
      <c r="O979" s="0" t="s">
        <v>7360</v>
      </c>
      <c r="P979" s="0" t="s">
        <v>236</v>
      </c>
      <c r="Q979" s="0" t="s">
        <v>7354</v>
      </c>
      <c r="R979" s="0" t="s">
        <v>7343</v>
      </c>
      <c r="S979" s="0" t="s">
        <v>7344</v>
      </c>
      <c r="T979" s="0" t="s">
        <v>260</v>
      </c>
      <c r="U979" s="0" t="s">
        <v>7369</v>
      </c>
      <c r="V979" s="0" t="s">
        <v>34</v>
      </c>
      <c r="W979" s="0" t="s">
        <v>37</v>
      </c>
      <c r="X979" s="0" t="s">
        <v>7355</v>
      </c>
      <c r="Y979" s="0" t="s">
        <v>7346</v>
      </c>
      <c r="Z979" s="0" t="s">
        <v>7370</v>
      </c>
      <c r="AA979" s="0" t="s">
        <v>7385</v>
      </c>
      <c r="AB979" s="0" t="s">
        <v>262</v>
      </c>
      <c r="AC979" s="0" t="s">
        <v>7349</v>
      </c>
      <c r="AD979" s="0" t="s">
        <v>260</v>
      </c>
      <c r="AE979" s="0" t="s">
        <v>681</v>
      </c>
      <c r="AG979" s="0" t="s">
        <v>230</v>
      </c>
    </row>
    <row r="980" customFormat="false" ht="15" hidden="false" customHeight="false" outlineLevel="0" collapsed="false">
      <c r="A980" s="0" t="s">
        <v>7336</v>
      </c>
      <c r="B980" s="0" t="s">
        <v>3636</v>
      </c>
      <c r="C980" s="0" t="s">
        <v>3637</v>
      </c>
      <c r="D980" s="0" t="s">
        <v>300</v>
      </c>
      <c r="E980" s="0" t="s">
        <v>3638</v>
      </c>
      <c r="F980" s="0" t="s">
        <v>2862</v>
      </c>
      <c r="G980" s="0" t="s">
        <v>138</v>
      </c>
      <c r="H980" s="0" t="s">
        <v>7837</v>
      </c>
      <c r="I980" s="0" t="s">
        <v>7338</v>
      </c>
      <c r="J980" s="0" t="s">
        <v>1602</v>
      </c>
      <c r="K980" s="0" t="s">
        <v>7339</v>
      </c>
      <c r="L980" s="0" t="s">
        <v>7340</v>
      </c>
      <c r="M980" s="0" t="s">
        <v>7661</v>
      </c>
      <c r="N980" s="0" t="s">
        <v>7342</v>
      </c>
      <c r="O980" s="0" t="s">
        <v>7360</v>
      </c>
      <c r="P980" s="0" t="s">
        <v>236</v>
      </c>
      <c r="Q980" s="0" t="s">
        <v>7354</v>
      </c>
      <c r="R980" s="0" t="s">
        <v>7343</v>
      </c>
      <c r="S980" s="0" t="s">
        <v>7344</v>
      </c>
      <c r="T980" s="0" t="s">
        <v>260</v>
      </c>
      <c r="U980" s="0" t="s">
        <v>7369</v>
      </c>
      <c r="V980" s="0" t="s">
        <v>34</v>
      </c>
      <c r="W980" s="0" t="s">
        <v>37</v>
      </c>
      <c r="X980" s="0" t="s">
        <v>7355</v>
      </c>
      <c r="Y980" s="0" t="s">
        <v>7346</v>
      </c>
      <c r="Z980" s="0" t="s">
        <v>7370</v>
      </c>
      <c r="AA980" s="0" t="s">
        <v>7385</v>
      </c>
      <c r="AB980" s="0" t="s">
        <v>262</v>
      </c>
      <c r="AC980" s="0" t="s">
        <v>7349</v>
      </c>
      <c r="AD980" s="0" t="s">
        <v>260</v>
      </c>
      <c r="AE980" s="0" t="s">
        <v>681</v>
      </c>
      <c r="AG980" s="0" t="s">
        <v>230</v>
      </c>
    </row>
    <row r="981" customFormat="false" ht="15" hidden="false" customHeight="false" outlineLevel="0" collapsed="false">
      <c r="A981" s="0" t="s">
        <v>7336</v>
      </c>
      <c r="B981" s="0" t="s">
        <v>3639</v>
      </c>
      <c r="C981" s="0" t="s">
        <v>3640</v>
      </c>
      <c r="D981" s="0" t="s">
        <v>300</v>
      </c>
      <c r="E981" s="0" t="s">
        <v>3641</v>
      </c>
      <c r="F981" s="0" t="s">
        <v>3577</v>
      </c>
      <c r="G981" s="0" t="s">
        <v>138</v>
      </c>
      <c r="H981" s="0" t="s">
        <v>7962</v>
      </c>
      <c r="I981" s="0" t="s">
        <v>7338</v>
      </c>
      <c r="J981" s="0" t="s">
        <v>1602</v>
      </c>
      <c r="K981" s="0" t="s">
        <v>7339</v>
      </c>
      <c r="L981" s="0" t="s">
        <v>7340</v>
      </c>
      <c r="M981" s="0" t="s">
        <v>7661</v>
      </c>
      <c r="N981" s="0" t="s">
        <v>7342</v>
      </c>
      <c r="O981" s="0" t="s">
        <v>7360</v>
      </c>
      <c r="P981" s="0" t="s">
        <v>236</v>
      </c>
      <c r="Q981" s="0" t="s">
        <v>7354</v>
      </c>
      <c r="R981" s="0" t="s">
        <v>7343</v>
      </c>
      <c r="S981" s="0" t="s">
        <v>7344</v>
      </c>
      <c r="T981" s="0" t="s">
        <v>3642</v>
      </c>
      <c r="U981" s="0" t="s">
        <v>7369</v>
      </c>
      <c r="V981" s="0" t="s">
        <v>34</v>
      </c>
      <c r="W981" s="0" t="s">
        <v>43</v>
      </c>
      <c r="X981" s="0" t="s">
        <v>7355</v>
      </c>
      <c r="Y981" s="0" t="s">
        <v>7346</v>
      </c>
      <c r="Z981" s="0" t="s">
        <v>7410</v>
      </c>
      <c r="AA981" s="0" t="s">
        <v>7385</v>
      </c>
      <c r="AC981" s="0" t="s">
        <v>7349</v>
      </c>
      <c r="AD981" s="0" t="s">
        <v>260</v>
      </c>
      <c r="AE981" s="0" t="s">
        <v>681</v>
      </c>
      <c r="AG981" s="0" t="s">
        <v>230</v>
      </c>
    </row>
    <row r="982" customFormat="false" ht="15" hidden="false" customHeight="false" outlineLevel="0" collapsed="false">
      <c r="A982" s="0" t="s">
        <v>7336</v>
      </c>
      <c r="B982" s="0" t="s">
        <v>3643</v>
      </c>
      <c r="C982" s="0" t="s">
        <v>3644</v>
      </c>
      <c r="D982" s="0" t="s">
        <v>300</v>
      </c>
      <c r="E982" s="0" t="s">
        <v>3645</v>
      </c>
      <c r="F982" s="0" t="s">
        <v>3577</v>
      </c>
      <c r="G982" s="0" t="s">
        <v>138</v>
      </c>
      <c r="H982" s="0" t="s">
        <v>7962</v>
      </c>
      <c r="I982" s="0" t="s">
        <v>7338</v>
      </c>
      <c r="J982" s="0" t="s">
        <v>1602</v>
      </c>
      <c r="K982" s="0" t="s">
        <v>7339</v>
      </c>
      <c r="L982" s="0" t="s">
        <v>7340</v>
      </c>
      <c r="M982" s="0" t="s">
        <v>7661</v>
      </c>
      <c r="N982" s="0" t="s">
        <v>7342</v>
      </c>
      <c r="O982" s="0" t="s">
        <v>7360</v>
      </c>
      <c r="P982" s="0" t="s">
        <v>236</v>
      </c>
      <c r="Q982" s="0" t="s">
        <v>7354</v>
      </c>
      <c r="R982" s="0" t="s">
        <v>7343</v>
      </c>
      <c r="S982" s="0" t="s">
        <v>7344</v>
      </c>
      <c r="T982" s="0" t="s">
        <v>3642</v>
      </c>
      <c r="U982" s="0" t="s">
        <v>7369</v>
      </c>
      <c r="V982" s="0" t="s">
        <v>34</v>
      </c>
      <c r="W982" s="0" t="s">
        <v>43</v>
      </c>
      <c r="X982" s="0" t="s">
        <v>7355</v>
      </c>
      <c r="Y982" s="0" t="s">
        <v>7346</v>
      </c>
      <c r="Z982" s="0" t="s">
        <v>7370</v>
      </c>
      <c r="AA982" s="0" t="s">
        <v>7385</v>
      </c>
      <c r="AC982" s="0" t="s">
        <v>7349</v>
      </c>
      <c r="AD982" s="0" t="s">
        <v>260</v>
      </c>
      <c r="AE982" s="0" t="s">
        <v>681</v>
      </c>
      <c r="AG982" s="0" t="s">
        <v>230</v>
      </c>
    </row>
    <row r="983" customFormat="false" ht="15" hidden="false" customHeight="false" outlineLevel="0" collapsed="false">
      <c r="A983" s="0" t="s">
        <v>7336</v>
      </c>
      <c r="B983" s="0" t="s">
        <v>3646</v>
      </c>
      <c r="C983" s="0" t="s">
        <v>3647</v>
      </c>
      <c r="D983" s="0" t="s">
        <v>300</v>
      </c>
      <c r="E983" s="0" t="s">
        <v>3648</v>
      </c>
      <c r="F983" s="0" t="s">
        <v>3649</v>
      </c>
      <c r="G983" s="0" t="s">
        <v>140</v>
      </c>
      <c r="H983" s="0" t="s">
        <v>7967</v>
      </c>
      <c r="I983" s="0" t="s">
        <v>7338</v>
      </c>
      <c r="J983" s="0" t="s">
        <v>1602</v>
      </c>
      <c r="K983" s="0" t="s">
        <v>7339</v>
      </c>
      <c r="L983" s="0" t="s">
        <v>7340</v>
      </c>
      <c r="M983" s="0" t="s">
        <v>7661</v>
      </c>
      <c r="N983" s="0" t="s">
        <v>7342</v>
      </c>
      <c r="O983" s="0" t="s">
        <v>7360</v>
      </c>
      <c r="P983" s="0" t="s">
        <v>236</v>
      </c>
      <c r="Q983" s="0" t="s">
        <v>7354</v>
      </c>
      <c r="S983" s="0" t="s">
        <v>7344</v>
      </c>
      <c r="T983" s="0" t="s">
        <v>2842</v>
      </c>
      <c r="V983" s="0" t="s">
        <v>55</v>
      </c>
      <c r="W983" s="0" t="s">
        <v>57</v>
      </c>
      <c r="X983" s="0" t="s">
        <v>7355</v>
      </c>
      <c r="Y983" s="0" t="s">
        <v>7667</v>
      </c>
      <c r="Z983" s="0" t="s">
        <v>7493</v>
      </c>
      <c r="AA983" s="0" t="s">
        <v>7831</v>
      </c>
      <c r="AB983" s="0" t="s">
        <v>344</v>
      </c>
      <c r="AC983" s="0" t="s">
        <v>7629</v>
      </c>
      <c r="AD983" s="0" t="s">
        <v>58</v>
      </c>
      <c r="AE983" s="0" t="s">
        <v>58</v>
      </c>
      <c r="AG983" s="0" t="s">
        <v>230</v>
      </c>
    </row>
    <row r="984" customFormat="false" ht="15" hidden="false" customHeight="false" outlineLevel="0" collapsed="false">
      <c r="A984" s="0" t="s">
        <v>7336</v>
      </c>
      <c r="B984" s="0" t="s">
        <v>3650</v>
      </c>
      <c r="C984" s="0" t="s">
        <v>3651</v>
      </c>
      <c r="D984" s="0" t="s">
        <v>300</v>
      </c>
      <c r="E984" s="0" t="s">
        <v>3652</v>
      </c>
      <c r="F984" s="0" t="s">
        <v>3653</v>
      </c>
      <c r="G984" s="0" t="s">
        <v>140</v>
      </c>
      <c r="H984" s="0" t="s">
        <v>7968</v>
      </c>
      <c r="I984" s="0" t="s">
        <v>7338</v>
      </c>
      <c r="J984" s="0" t="s">
        <v>1602</v>
      </c>
      <c r="K984" s="0" t="s">
        <v>7339</v>
      </c>
      <c r="L984" s="0" t="s">
        <v>7340</v>
      </c>
      <c r="M984" s="0" t="s">
        <v>7661</v>
      </c>
      <c r="N984" s="0" t="s">
        <v>7342</v>
      </c>
      <c r="O984" s="0" t="s">
        <v>7360</v>
      </c>
      <c r="P984" s="0" t="s">
        <v>236</v>
      </c>
      <c r="Q984" s="0" t="s">
        <v>7354</v>
      </c>
      <c r="S984" s="0" t="s">
        <v>7344</v>
      </c>
      <c r="T984" s="0" t="s">
        <v>2842</v>
      </c>
      <c r="V984" s="0" t="s">
        <v>55</v>
      </c>
      <c r="W984" s="0" t="s">
        <v>57</v>
      </c>
      <c r="X984" s="0" t="s">
        <v>7355</v>
      </c>
      <c r="Y984" s="0" t="s">
        <v>7667</v>
      </c>
      <c r="Z984" s="0" t="s">
        <v>7493</v>
      </c>
      <c r="AA984" s="0" t="s">
        <v>7831</v>
      </c>
      <c r="AB984" s="0" t="s">
        <v>344</v>
      </c>
      <c r="AC984" s="0" t="s">
        <v>7629</v>
      </c>
      <c r="AD984" s="0" t="s">
        <v>58</v>
      </c>
      <c r="AE984" s="0" t="s">
        <v>58</v>
      </c>
      <c r="AG984" s="0" t="s">
        <v>230</v>
      </c>
    </row>
    <row r="985" customFormat="false" ht="15" hidden="false" customHeight="false" outlineLevel="0" collapsed="false">
      <c r="A985" s="0" t="s">
        <v>7336</v>
      </c>
      <c r="B985" s="0" t="s">
        <v>3654</v>
      </c>
      <c r="C985" s="0" t="s">
        <v>3655</v>
      </c>
      <c r="D985" s="0" t="s">
        <v>300</v>
      </c>
      <c r="E985" s="0" t="s">
        <v>3656</v>
      </c>
      <c r="F985" s="0" t="s">
        <v>3657</v>
      </c>
      <c r="G985" s="0" t="s">
        <v>138</v>
      </c>
      <c r="H985" s="0" t="s">
        <v>7969</v>
      </c>
      <c r="I985" s="0" t="s">
        <v>7338</v>
      </c>
      <c r="J985" s="0" t="s">
        <v>1602</v>
      </c>
      <c r="K985" s="0" t="s">
        <v>7339</v>
      </c>
      <c r="L985" s="0" t="s">
        <v>7340</v>
      </c>
      <c r="M985" s="0" t="s">
        <v>7661</v>
      </c>
      <c r="N985" s="0" t="s">
        <v>7342</v>
      </c>
      <c r="O985" s="0" t="s">
        <v>7360</v>
      </c>
      <c r="P985" s="0" t="s">
        <v>236</v>
      </c>
      <c r="Q985" s="0" t="s">
        <v>7354</v>
      </c>
      <c r="S985" s="0" t="s">
        <v>7344</v>
      </c>
      <c r="T985" s="0" t="s">
        <v>2842</v>
      </c>
      <c r="V985" s="0" t="s">
        <v>55</v>
      </c>
      <c r="W985" s="0" t="s">
        <v>57</v>
      </c>
      <c r="X985" s="0" t="s">
        <v>7355</v>
      </c>
      <c r="Y985" s="0" t="s">
        <v>7667</v>
      </c>
      <c r="Z985" s="0" t="s">
        <v>7493</v>
      </c>
      <c r="AA985" s="0" t="s">
        <v>7831</v>
      </c>
      <c r="AB985" s="0" t="s">
        <v>344</v>
      </c>
      <c r="AC985" s="0" t="s">
        <v>7349</v>
      </c>
      <c r="AD985" s="0" t="s">
        <v>58</v>
      </c>
      <c r="AE985" s="0" t="s">
        <v>58</v>
      </c>
      <c r="AG985" s="0" t="s">
        <v>230</v>
      </c>
    </row>
    <row r="986" customFormat="false" ht="15" hidden="false" customHeight="false" outlineLevel="0" collapsed="false">
      <c r="A986" s="0" t="s">
        <v>7336</v>
      </c>
      <c r="B986" s="0" t="s">
        <v>3658</v>
      </c>
      <c r="C986" s="0" t="s">
        <v>3659</v>
      </c>
      <c r="D986" s="0" t="s">
        <v>300</v>
      </c>
      <c r="E986" s="0" t="s">
        <v>3660</v>
      </c>
      <c r="F986" s="0" t="s">
        <v>3661</v>
      </c>
      <c r="G986" s="0" t="s">
        <v>142</v>
      </c>
      <c r="H986" s="0" t="s">
        <v>7970</v>
      </c>
      <c r="I986" s="0" t="s">
        <v>7338</v>
      </c>
      <c r="J986" s="0" t="s">
        <v>1602</v>
      </c>
      <c r="K986" s="0" t="s">
        <v>7339</v>
      </c>
      <c r="L986" s="0" t="s">
        <v>7340</v>
      </c>
      <c r="M986" s="0" t="s">
        <v>7661</v>
      </c>
      <c r="N986" s="0" t="s">
        <v>7342</v>
      </c>
      <c r="O986" s="0" t="s">
        <v>7360</v>
      </c>
      <c r="P986" s="0" t="s">
        <v>236</v>
      </c>
      <c r="Q986" s="0" t="s">
        <v>7354</v>
      </c>
      <c r="R986" s="0" t="s">
        <v>7343</v>
      </c>
      <c r="S986" s="0" t="s">
        <v>7344</v>
      </c>
      <c r="T986" s="0" t="s">
        <v>260</v>
      </c>
      <c r="U986" s="0" t="s">
        <v>7369</v>
      </c>
      <c r="V986" s="0" t="s">
        <v>34</v>
      </c>
      <c r="W986" s="0" t="s">
        <v>45</v>
      </c>
      <c r="X986" s="0" t="s">
        <v>7355</v>
      </c>
      <c r="Y986" s="0" t="s">
        <v>7346</v>
      </c>
      <c r="Z986" s="0" t="s">
        <v>7370</v>
      </c>
      <c r="AA986" s="0" t="s">
        <v>7385</v>
      </c>
      <c r="AB986" s="0" t="s">
        <v>262</v>
      </c>
      <c r="AC986" s="0" t="s">
        <v>7629</v>
      </c>
      <c r="AD986" s="0" t="s">
        <v>260</v>
      </c>
      <c r="AE986" s="0" t="s">
        <v>681</v>
      </c>
      <c r="AG986" s="0" t="s">
        <v>230</v>
      </c>
    </row>
    <row r="987" customFormat="false" ht="15" hidden="false" customHeight="false" outlineLevel="0" collapsed="false">
      <c r="A987" s="0" t="s">
        <v>7336</v>
      </c>
      <c r="B987" s="0" t="s">
        <v>3662</v>
      </c>
      <c r="C987" s="0" t="s">
        <v>3663</v>
      </c>
      <c r="D987" s="0" t="s">
        <v>227</v>
      </c>
      <c r="E987" s="0" t="s">
        <v>3664</v>
      </c>
      <c r="F987" s="0" t="s">
        <v>3379</v>
      </c>
      <c r="G987" s="0" t="s">
        <v>184</v>
      </c>
      <c r="H987" s="0" t="s">
        <v>7946</v>
      </c>
      <c r="I987" s="0" t="s">
        <v>7338</v>
      </c>
      <c r="J987" s="0" t="s">
        <v>1602</v>
      </c>
      <c r="K987" s="0" t="s">
        <v>7339</v>
      </c>
      <c r="L987" s="0" t="s">
        <v>7340</v>
      </c>
      <c r="M987" s="0" t="s">
        <v>7661</v>
      </c>
      <c r="N987" s="0" t="s">
        <v>7342</v>
      </c>
      <c r="P987" s="0" t="s">
        <v>229</v>
      </c>
      <c r="Q987" s="0" t="s">
        <v>7354</v>
      </c>
      <c r="S987" s="0" t="s">
        <v>7344</v>
      </c>
      <c r="T987" s="0" t="s">
        <v>1979</v>
      </c>
      <c r="V987" s="0" t="s">
        <v>1358</v>
      </c>
      <c r="W987" s="0" t="s">
        <v>66</v>
      </c>
      <c r="X987" s="0" t="s">
        <v>7355</v>
      </c>
      <c r="Z987" s="0" t="s">
        <v>7662</v>
      </c>
      <c r="AB987" s="0" t="s">
        <v>237</v>
      </c>
      <c r="AC987" s="0" t="s">
        <v>7629</v>
      </c>
      <c r="AD987" s="0" t="s">
        <v>7709</v>
      </c>
      <c r="AE987" s="0" t="s">
        <v>7360</v>
      </c>
      <c r="AF987" s="0" t="s">
        <v>7361</v>
      </c>
      <c r="AG987" s="0" t="s">
        <v>230</v>
      </c>
    </row>
    <row r="988" customFormat="false" ht="15" hidden="false" customHeight="false" outlineLevel="0" collapsed="false">
      <c r="A988" s="0" t="s">
        <v>7336</v>
      </c>
      <c r="B988" s="0" t="s">
        <v>3665</v>
      </c>
      <c r="C988" s="0" t="s">
        <v>3666</v>
      </c>
      <c r="D988" s="0" t="s">
        <v>227</v>
      </c>
      <c r="E988" s="0" t="s">
        <v>3667</v>
      </c>
      <c r="F988" s="0" t="s">
        <v>3668</v>
      </c>
      <c r="G988" s="0" t="s">
        <v>184</v>
      </c>
      <c r="H988" s="0" t="s">
        <v>7971</v>
      </c>
      <c r="I988" s="0" t="s">
        <v>7338</v>
      </c>
      <c r="J988" s="0" t="s">
        <v>1602</v>
      </c>
      <c r="K988" s="0" t="s">
        <v>7339</v>
      </c>
      <c r="L988" s="0" t="s">
        <v>7340</v>
      </c>
      <c r="M988" s="0" t="s">
        <v>7661</v>
      </c>
      <c r="N988" s="0" t="s">
        <v>7342</v>
      </c>
      <c r="P988" s="0" t="s">
        <v>229</v>
      </c>
      <c r="Q988" s="0" t="s">
        <v>7354</v>
      </c>
      <c r="S988" s="0" t="s">
        <v>7344</v>
      </c>
      <c r="T988" s="0" t="s">
        <v>228</v>
      </c>
      <c r="V988" s="0" t="s">
        <v>1358</v>
      </c>
      <c r="W988" s="0" t="s">
        <v>70</v>
      </c>
      <c r="X988" s="0" t="s">
        <v>7355</v>
      </c>
      <c r="Z988" s="0" t="s">
        <v>7662</v>
      </c>
      <c r="AB988" s="0" t="s">
        <v>1640</v>
      </c>
      <c r="AC988" s="0" t="s">
        <v>7629</v>
      </c>
      <c r="AD988" s="0" t="s">
        <v>7947</v>
      </c>
      <c r="AE988" s="0" t="s">
        <v>7360</v>
      </c>
      <c r="AF988" s="0" t="s">
        <v>7361</v>
      </c>
      <c r="AG988" s="0" t="s">
        <v>230</v>
      </c>
    </row>
    <row r="989" customFormat="false" ht="15" hidden="false" customHeight="false" outlineLevel="0" collapsed="false">
      <c r="A989" s="0" t="s">
        <v>7336</v>
      </c>
      <c r="B989" s="0" t="s">
        <v>3669</v>
      </c>
      <c r="C989" s="0" t="s">
        <v>3670</v>
      </c>
      <c r="D989" s="0" t="s">
        <v>227</v>
      </c>
      <c r="E989" s="0" t="s">
        <v>3671</v>
      </c>
      <c r="F989" s="0" t="s">
        <v>3668</v>
      </c>
      <c r="G989" s="0" t="s">
        <v>184</v>
      </c>
      <c r="H989" s="0" t="s">
        <v>7971</v>
      </c>
      <c r="I989" s="0" t="s">
        <v>7338</v>
      </c>
      <c r="J989" s="0" t="s">
        <v>1602</v>
      </c>
      <c r="K989" s="0" t="s">
        <v>7339</v>
      </c>
      <c r="L989" s="0" t="s">
        <v>7340</v>
      </c>
      <c r="M989" s="0" t="s">
        <v>7661</v>
      </c>
      <c r="N989" s="0" t="s">
        <v>7342</v>
      </c>
      <c r="P989" s="0" t="s">
        <v>229</v>
      </c>
      <c r="Q989" s="0" t="s">
        <v>7354</v>
      </c>
      <c r="R989" s="0" t="s">
        <v>7343</v>
      </c>
      <c r="S989" s="0" t="s">
        <v>7344</v>
      </c>
      <c r="T989" s="0" t="s">
        <v>228</v>
      </c>
      <c r="V989" s="0" t="s">
        <v>55</v>
      </c>
      <c r="W989" s="0" t="s">
        <v>60</v>
      </c>
      <c r="X989" s="0" t="s">
        <v>7355</v>
      </c>
      <c r="Z989" s="0" t="s">
        <v>7948</v>
      </c>
      <c r="AB989" s="0" t="s">
        <v>1640</v>
      </c>
      <c r="AC989" s="0" t="s">
        <v>7629</v>
      </c>
      <c r="AD989" s="0" t="s">
        <v>7947</v>
      </c>
      <c r="AE989" s="0" t="s">
        <v>7360</v>
      </c>
      <c r="AF989" s="0" t="s">
        <v>7361</v>
      </c>
      <c r="AG989" s="0" t="s">
        <v>230</v>
      </c>
    </row>
    <row r="990" customFormat="false" ht="15" hidden="false" customHeight="false" outlineLevel="0" collapsed="false">
      <c r="A990" s="0" t="s">
        <v>7336</v>
      </c>
      <c r="B990" s="0" t="s">
        <v>3672</v>
      </c>
      <c r="C990" s="0" t="s">
        <v>3673</v>
      </c>
      <c r="D990" s="0" t="s">
        <v>227</v>
      </c>
      <c r="E990" s="0" t="s">
        <v>3674</v>
      </c>
      <c r="F990" s="0" t="s">
        <v>3668</v>
      </c>
      <c r="G990" s="0" t="s">
        <v>184</v>
      </c>
      <c r="H990" s="0" t="s">
        <v>7971</v>
      </c>
      <c r="I990" s="0" t="s">
        <v>7338</v>
      </c>
      <c r="J990" s="0" t="s">
        <v>1602</v>
      </c>
      <c r="K990" s="0" t="s">
        <v>7339</v>
      </c>
      <c r="L990" s="0" t="s">
        <v>7340</v>
      </c>
      <c r="M990" s="0" t="s">
        <v>7661</v>
      </c>
      <c r="N990" s="0" t="s">
        <v>7342</v>
      </c>
      <c r="P990" s="0" t="s">
        <v>229</v>
      </c>
      <c r="Q990" s="0" t="s">
        <v>7354</v>
      </c>
      <c r="S990" s="0" t="s">
        <v>7344</v>
      </c>
      <c r="T990" s="0" t="s">
        <v>1979</v>
      </c>
      <c r="V990" s="0" t="s">
        <v>1358</v>
      </c>
      <c r="W990" s="0" t="s">
        <v>66</v>
      </c>
      <c r="X990" s="0" t="s">
        <v>7355</v>
      </c>
      <c r="Z990" s="0" t="s">
        <v>7662</v>
      </c>
      <c r="AB990" s="0" t="s">
        <v>1640</v>
      </c>
      <c r="AC990" s="0" t="s">
        <v>7629</v>
      </c>
      <c r="AD990" s="0" t="s">
        <v>7709</v>
      </c>
      <c r="AE990" s="0" t="s">
        <v>7360</v>
      </c>
      <c r="AF990" s="0" t="s">
        <v>7361</v>
      </c>
      <c r="AG990" s="0" t="s">
        <v>230</v>
      </c>
    </row>
    <row r="991" customFormat="false" ht="15" hidden="false" customHeight="false" outlineLevel="0" collapsed="false">
      <c r="A991" s="0" t="s">
        <v>7336</v>
      </c>
      <c r="B991" s="0" t="s">
        <v>3675</v>
      </c>
      <c r="C991" s="0" t="s">
        <v>3676</v>
      </c>
      <c r="D991" s="0" t="s">
        <v>227</v>
      </c>
      <c r="E991" s="0" t="s">
        <v>3677</v>
      </c>
      <c r="F991" s="0" t="s">
        <v>3668</v>
      </c>
      <c r="G991" s="0" t="s">
        <v>184</v>
      </c>
      <c r="H991" s="0" t="s">
        <v>7971</v>
      </c>
      <c r="I991" s="0" t="s">
        <v>7338</v>
      </c>
      <c r="J991" s="0" t="s">
        <v>1602</v>
      </c>
      <c r="K991" s="0" t="s">
        <v>7339</v>
      </c>
      <c r="L991" s="0" t="s">
        <v>7340</v>
      </c>
      <c r="M991" s="0" t="s">
        <v>7661</v>
      </c>
      <c r="N991" s="0" t="s">
        <v>7342</v>
      </c>
      <c r="P991" s="0" t="s">
        <v>229</v>
      </c>
      <c r="Q991" s="0" t="s">
        <v>7354</v>
      </c>
      <c r="R991" s="0" t="s">
        <v>7343</v>
      </c>
      <c r="S991" s="0" t="s">
        <v>7344</v>
      </c>
      <c r="T991" s="0" t="s">
        <v>228</v>
      </c>
      <c r="V991" s="0" t="s">
        <v>1358</v>
      </c>
      <c r="W991" s="0" t="s">
        <v>67</v>
      </c>
      <c r="X991" s="0" t="s">
        <v>7355</v>
      </c>
      <c r="Y991" s="0" t="s">
        <v>7949</v>
      </c>
      <c r="Z991" s="0" t="s">
        <v>7948</v>
      </c>
      <c r="AA991" s="0" t="s">
        <v>7950</v>
      </c>
      <c r="AB991" s="0" t="s">
        <v>1640</v>
      </c>
      <c r="AC991" s="0" t="s">
        <v>7629</v>
      </c>
      <c r="AD991" s="0" t="s">
        <v>7951</v>
      </c>
      <c r="AE991" s="0" t="s">
        <v>7360</v>
      </c>
      <c r="AF991" s="0" t="s">
        <v>7361</v>
      </c>
      <c r="AG991" s="0" t="s">
        <v>230</v>
      </c>
    </row>
    <row r="992" customFormat="false" ht="15" hidden="false" customHeight="false" outlineLevel="0" collapsed="false">
      <c r="A992" s="0" t="s">
        <v>7336</v>
      </c>
      <c r="B992" s="0" t="s">
        <v>3678</v>
      </c>
      <c r="C992" s="0" t="s">
        <v>3679</v>
      </c>
      <c r="D992" s="0" t="s">
        <v>227</v>
      </c>
      <c r="E992" s="0" t="s">
        <v>3680</v>
      </c>
      <c r="F992" s="0" t="s">
        <v>3668</v>
      </c>
      <c r="G992" s="0" t="s">
        <v>184</v>
      </c>
      <c r="H992" s="0" t="s">
        <v>7971</v>
      </c>
      <c r="I992" s="0" t="s">
        <v>7338</v>
      </c>
      <c r="J992" s="0" t="s">
        <v>1602</v>
      </c>
      <c r="K992" s="0" t="s">
        <v>7339</v>
      </c>
      <c r="L992" s="0" t="s">
        <v>7340</v>
      </c>
      <c r="M992" s="0" t="s">
        <v>7661</v>
      </c>
      <c r="N992" s="0" t="s">
        <v>7342</v>
      </c>
      <c r="P992" s="0" t="s">
        <v>229</v>
      </c>
      <c r="Q992" s="0" t="s">
        <v>7354</v>
      </c>
      <c r="R992" s="0" t="s">
        <v>7343</v>
      </c>
      <c r="S992" s="0" t="s">
        <v>7344</v>
      </c>
      <c r="T992" s="0" t="s">
        <v>58</v>
      </c>
      <c r="V992" s="0" t="s">
        <v>55</v>
      </c>
      <c r="W992" s="0" t="s">
        <v>57</v>
      </c>
      <c r="X992" s="0" t="s">
        <v>7355</v>
      </c>
      <c r="Y992" s="0" t="s">
        <v>7667</v>
      </c>
      <c r="Z992" s="0" t="s">
        <v>7668</v>
      </c>
      <c r="AA992" s="0" t="s">
        <v>7669</v>
      </c>
      <c r="AB992" s="0" t="s">
        <v>237</v>
      </c>
      <c r="AC992" s="0" t="s">
        <v>7629</v>
      </c>
      <c r="AE992" s="0" t="s">
        <v>7360</v>
      </c>
      <c r="AF992" s="0" t="s">
        <v>7361</v>
      </c>
      <c r="AG992" s="0" t="s">
        <v>230</v>
      </c>
    </row>
    <row r="993" customFormat="false" ht="15" hidden="false" customHeight="false" outlineLevel="0" collapsed="false">
      <c r="A993" s="0" t="s">
        <v>7336</v>
      </c>
      <c r="B993" s="0" t="s">
        <v>3681</v>
      </c>
      <c r="C993" s="0" t="s">
        <v>3682</v>
      </c>
      <c r="D993" s="0" t="s">
        <v>227</v>
      </c>
      <c r="E993" s="0" t="s">
        <v>3683</v>
      </c>
      <c r="F993" s="0" t="s">
        <v>3668</v>
      </c>
      <c r="G993" s="0" t="s">
        <v>184</v>
      </c>
      <c r="H993" s="0" t="s">
        <v>7971</v>
      </c>
      <c r="I993" s="0" t="s">
        <v>7338</v>
      </c>
      <c r="J993" s="0" t="s">
        <v>1602</v>
      </c>
      <c r="K993" s="0" t="s">
        <v>7339</v>
      </c>
      <c r="L993" s="0" t="s">
        <v>7340</v>
      </c>
      <c r="M993" s="0" t="s">
        <v>7661</v>
      </c>
      <c r="N993" s="0" t="s">
        <v>7342</v>
      </c>
      <c r="P993" s="0" t="s">
        <v>229</v>
      </c>
      <c r="Q993" s="0" t="s">
        <v>7354</v>
      </c>
      <c r="S993" s="0" t="s">
        <v>7344</v>
      </c>
      <c r="T993" s="0" t="s">
        <v>228</v>
      </c>
      <c r="V993" s="0" t="s">
        <v>1358</v>
      </c>
      <c r="W993" s="0" t="s">
        <v>65</v>
      </c>
      <c r="X993" s="0" t="s">
        <v>7355</v>
      </c>
      <c r="Z993" s="0" t="s">
        <v>7662</v>
      </c>
      <c r="AB993" s="0" t="s">
        <v>1640</v>
      </c>
      <c r="AC993" s="0" t="s">
        <v>7629</v>
      </c>
      <c r="AD993" s="0" t="s">
        <v>7952</v>
      </c>
      <c r="AE993" s="0" t="s">
        <v>7360</v>
      </c>
      <c r="AF993" s="0" t="s">
        <v>7361</v>
      </c>
      <c r="AG993" s="0" t="s">
        <v>230</v>
      </c>
    </row>
    <row r="994" customFormat="false" ht="15" hidden="false" customHeight="false" outlineLevel="0" collapsed="false">
      <c r="A994" s="0" t="s">
        <v>7336</v>
      </c>
      <c r="B994" s="0" t="s">
        <v>3684</v>
      </c>
      <c r="C994" s="0" t="s">
        <v>3685</v>
      </c>
      <c r="D994" s="0" t="s">
        <v>227</v>
      </c>
      <c r="E994" s="0" t="s">
        <v>3686</v>
      </c>
      <c r="F994" s="0" t="s">
        <v>3668</v>
      </c>
      <c r="G994" s="0" t="s">
        <v>184</v>
      </c>
      <c r="H994" s="0" t="s">
        <v>7971</v>
      </c>
      <c r="I994" s="0" t="s">
        <v>7338</v>
      </c>
      <c r="J994" s="0" t="s">
        <v>1602</v>
      </c>
      <c r="K994" s="0" t="s">
        <v>7339</v>
      </c>
      <c r="L994" s="0" t="s">
        <v>7340</v>
      </c>
      <c r="M994" s="0" t="s">
        <v>7661</v>
      </c>
      <c r="N994" s="0" t="s">
        <v>7342</v>
      </c>
      <c r="P994" s="0" t="s">
        <v>229</v>
      </c>
      <c r="Q994" s="0" t="s">
        <v>7354</v>
      </c>
      <c r="S994" s="0" t="s">
        <v>7344</v>
      </c>
      <c r="T994" s="0" t="s">
        <v>228</v>
      </c>
      <c r="V994" s="0" t="s">
        <v>1358</v>
      </c>
      <c r="W994" s="0" t="s">
        <v>71</v>
      </c>
      <c r="X994" s="0" t="s">
        <v>7355</v>
      </c>
      <c r="Z994" s="0" t="s">
        <v>7662</v>
      </c>
      <c r="AB994" s="0" t="s">
        <v>1640</v>
      </c>
      <c r="AC994" s="0" t="s">
        <v>7629</v>
      </c>
      <c r="AD994" s="0" t="s">
        <v>7952</v>
      </c>
      <c r="AE994" s="0" t="s">
        <v>7360</v>
      </c>
      <c r="AF994" s="0" t="s">
        <v>7361</v>
      </c>
      <c r="AG994" s="0" t="s">
        <v>230</v>
      </c>
    </row>
    <row r="995" customFormat="false" ht="15" hidden="false" customHeight="false" outlineLevel="0" collapsed="false">
      <c r="A995" s="0" t="s">
        <v>7336</v>
      </c>
      <c r="B995" s="0" t="s">
        <v>3687</v>
      </c>
      <c r="C995" s="0" t="s">
        <v>3688</v>
      </c>
      <c r="D995" s="0" t="s">
        <v>227</v>
      </c>
      <c r="E995" s="0" t="s">
        <v>3689</v>
      </c>
      <c r="F995" s="0" t="s">
        <v>3668</v>
      </c>
      <c r="G995" s="0" t="s">
        <v>184</v>
      </c>
      <c r="H995" s="0" t="s">
        <v>7971</v>
      </c>
      <c r="I995" s="0" t="s">
        <v>7338</v>
      </c>
      <c r="J995" s="0" t="s">
        <v>1602</v>
      </c>
      <c r="K995" s="0" t="s">
        <v>7339</v>
      </c>
      <c r="L995" s="0" t="s">
        <v>7340</v>
      </c>
      <c r="M995" s="0" t="s">
        <v>7661</v>
      </c>
      <c r="N995" s="0" t="s">
        <v>7342</v>
      </c>
      <c r="P995" s="0" t="s">
        <v>229</v>
      </c>
      <c r="Q995" s="0" t="s">
        <v>7354</v>
      </c>
      <c r="S995" s="0" t="s">
        <v>7344</v>
      </c>
      <c r="T995" s="0" t="s">
        <v>1979</v>
      </c>
      <c r="V995" s="0" t="s">
        <v>1358</v>
      </c>
      <c r="W995" s="0" t="s">
        <v>66</v>
      </c>
      <c r="X995" s="0" t="s">
        <v>7355</v>
      </c>
      <c r="Z995" s="0" t="s">
        <v>7662</v>
      </c>
      <c r="AB995" s="0" t="s">
        <v>237</v>
      </c>
      <c r="AC995" s="0" t="s">
        <v>7629</v>
      </c>
      <c r="AD995" s="0" t="s">
        <v>7709</v>
      </c>
      <c r="AE995" s="0" t="s">
        <v>7360</v>
      </c>
      <c r="AF995" s="0" t="s">
        <v>7361</v>
      </c>
      <c r="AG995" s="0" t="s">
        <v>230</v>
      </c>
    </row>
    <row r="996" customFormat="false" ht="15" hidden="false" customHeight="false" outlineLevel="0" collapsed="false">
      <c r="A996" s="0" t="s">
        <v>7336</v>
      </c>
      <c r="B996" s="0" t="s">
        <v>3690</v>
      </c>
      <c r="C996" s="0" t="s">
        <v>3691</v>
      </c>
      <c r="D996" s="0" t="s">
        <v>227</v>
      </c>
      <c r="E996" s="0" t="s">
        <v>3692</v>
      </c>
      <c r="F996" s="0" t="s">
        <v>3668</v>
      </c>
      <c r="G996" s="0" t="s">
        <v>184</v>
      </c>
      <c r="H996" s="0" t="s">
        <v>7971</v>
      </c>
      <c r="I996" s="0" t="s">
        <v>7338</v>
      </c>
      <c r="J996" s="0" t="s">
        <v>1602</v>
      </c>
      <c r="K996" s="0" t="s">
        <v>7339</v>
      </c>
      <c r="L996" s="0" t="s">
        <v>7340</v>
      </c>
      <c r="M996" s="0" t="s">
        <v>7661</v>
      </c>
      <c r="N996" s="0" t="s">
        <v>7342</v>
      </c>
      <c r="P996" s="0" t="s">
        <v>229</v>
      </c>
      <c r="Q996" s="0" t="s">
        <v>7354</v>
      </c>
      <c r="S996" s="0" t="s">
        <v>7344</v>
      </c>
      <c r="T996" s="0" t="s">
        <v>1979</v>
      </c>
      <c r="V996" s="0" t="s">
        <v>1358</v>
      </c>
      <c r="W996" s="0" t="s">
        <v>66</v>
      </c>
      <c r="X996" s="0" t="s">
        <v>7355</v>
      </c>
      <c r="Z996" s="0" t="s">
        <v>7662</v>
      </c>
      <c r="AB996" s="0" t="s">
        <v>237</v>
      </c>
      <c r="AC996" s="0" t="s">
        <v>7629</v>
      </c>
      <c r="AD996" s="0" t="s">
        <v>7709</v>
      </c>
      <c r="AE996" s="0" t="s">
        <v>7360</v>
      </c>
      <c r="AF996" s="0" t="s">
        <v>7361</v>
      </c>
      <c r="AG996" s="0" t="s">
        <v>230</v>
      </c>
    </row>
    <row r="997" customFormat="false" ht="15" hidden="false" customHeight="false" outlineLevel="0" collapsed="false">
      <c r="A997" s="0" t="s">
        <v>7336</v>
      </c>
      <c r="B997" s="0" t="s">
        <v>3693</v>
      </c>
      <c r="C997" s="0" t="s">
        <v>3694</v>
      </c>
      <c r="D997" s="0" t="s">
        <v>227</v>
      </c>
      <c r="E997" s="0" t="s">
        <v>3695</v>
      </c>
      <c r="F997" s="0" t="s">
        <v>3668</v>
      </c>
      <c r="G997" s="0" t="s">
        <v>184</v>
      </c>
      <c r="H997" s="0" t="s">
        <v>7971</v>
      </c>
      <c r="I997" s="0" t="s">
        <v>7338</v>
      </c>
      <c r="J997" s="0" t="s">
        <v>1602</v>
      </c>
      <c r="K997" s="0" t="s">
        <v>7339</v>
      </c>
      <c r="L997" s="0" t="s">
        <v>7340</v>
      </c>
      <c r="M997" s="0" t="s">
        <v>7661</v>
      </c>
      <c r="N997" s="0" t="s">
        <v>7342</v>
      </c>
      <c r="P997" s="0" t="s">
        <v>229</v>
      </c>
      <c r="Q997" s="0" t="s">
        <v>7354</v>
      </c>
      <c r="S997" s="0" t="s">
        <v>7344</v>
      </c>
      <c r="T997" s="0" t="s">
        <v>1979</v>
      </c>
      <c r="V997" s="0" t="s">
        <v>1358</v>
      </c>
      <c r="W997" s="0" t="s">
        <v>66</v>
      </c>
      <c r="X997" s="0" t="s">
        <v>7355</v>
      </c>
      <c r="Z997" s="0" t="s">
        <v>7662</v>
      </c>
      <c r="AB997" s="0" t="s">
        <v>237</v>
      </c>
      <c r="AC997" s="0" t="s">
        <v>7629</v>
      </c>
      <c r="AD997" s="0" t="s">
        <v>7709</v>
      </c>
      <c r="AE997" s="0" t="s">
        <v>7360</v>
      </c>
      <c r="AF997" s="0" t="s">
        <v>7361</v>
      </c>
      <c r="AG997" s="0" t="s">
        <v>230</v>
      </c>
    </row>
    <row r="998" customFormat="false" ht="15" hidden="false" customHeight="false" outlineLevel="0" collapsed="false">
      <c r="A998" s="0" t="s">
        <v>7336</v>
      </c>
      <c r="B998" s="0" t="s">
        <v>3696</v>
      </c>
      <c r="C998" s="0" t="s">
        <v>3697</v>
      </c>
      <c r="D998" s="0" t="s">
        <v>300</v>
      </c>
      <c r="E998" s="0" t="s">
        <v>3698</v>
      </c>
      <c r="F998" s="0" t="s">
        <v>2858</v>
      </c>
      <c r="G998" s="0" t="s">
        <v>138</v>
      </c>
      <c r="H998" s="0" t="s">
        <v>7836</v>
      </c>
      <c r="I998" s="0" t="s">
        <v>7338</v>
      </c>
      <c r="J998" s="0" t="s">
        <v>1602</v>
      </c>
      <c r="K998" s="0" t="s">
        <v>7339</v>
      </c>
      <c r="L998" s="0" t="s">
        <v>7340</v>
      </c>
      <c r="M998" s="0" t="s">
        <v>7661</v>
      </c>
      <c r="N998" s="0" t="s">
        <v>7342</v>
      </c>
      <c r="O998" s="0" t="s">
        <v>7360</v>
      </c>
      <c r="P998" s="0" t="s">
        <v>236</v>
      </c>
      <c r="Q998" s="0" t="s">
        <v>7354</v>
      </c>
      <c r="R998" s="0" t="s">
        <v>7343</v>
      </c>
      <c r="S998" s="0" t="s">
        <v>7344</v>
      </c>
      <c r="T998" s="0" t="s">
        <v>3699</v>
      </c>
      <c r="U998" s="0" t="s">
        <v>7369</v>
      </c>
      <c r="V998" s="0" t="s">
        <v>34</v>
      </c>
      <c r="W998" s="0" t="s">
        <v>1341</v>
      </c>
      <c r="X998" s="0" t="s">
        <v>7355</v>
      </c>
      <c r="Y998" s="0" t="s">
        <v>7495</v>
      </c>
      <c r="Z998" s="0" t="s">
        <v>7496</v>
      </c>
      <c r="AA998" s="0" t="s">
        <v>7631</v>
      </c>
      <c r="AB998" s="0" t="s">
        <v>262</v>
      </c>
      <c r="AC998" s="0" t="s">
        <v>7349</v>
      </c>
      <c r="AD998" s="0" t="s">
        <v>681</v>
      </c>
      <c r="AE998" s="0" t="s">
        <v>681</v>
      </c>
      <c r="AG998" s="0" t="s">
        <v>230</v>
      </c>
    </row>
    <row r="999" customFormat="false" ht="15" hidden="false" customHeight="false" outlineLevel="0" collapsed="false">
      <c r="A999" s="0" t="s">
        <v>7336</v>
      </c>
      <c r="B999" s="0" t="s">
        <v>3700</v>
      </c>
      <c r="C999" s="0" t="s">
        <v>3701</v>
      </c>
      <c r="D999" s="0" t="s">
        <v>300</v>
      </c>
      <c r="E999" s="0" t="s">
        <v>3702</v>
      </c>
      <c r="F999" s="0" t="s">
        <v>2862</v>
      </c>
      <c r="G999" s="0" t="s">
        <v>138</v>
      </c>
      <c r="H999" s="0" t="s">
        <v>7837</v>
      </c>
      <c r="I999" s="0" t="s">
        <v>7338</v>
      </c>
      <c r="J999" s="0" t="s">
        <v>1602</v>
      </c>
      <c r="K999" s="0" t="s">
        <v>7339</v>
      </c>
      <c r="L999" s="0" t="s">
        <v>7340</v>
      </c>
      <c r="M999" s="0" t="s">
        <v>7661</v>
      </c>
      <c r="N999" s="0" t="s">
        <v>7342</v>
      </c>
      <c r="O999" s="0" t="s">
        <v>7360</v>
      </c>
      <c r="P999" s="0" t="s">
        <v>236</v>
      </c>
      <c r="Q999" s="0" t="s">
        <v>7354</v>
      </c>
      <c r="R999" s="0" t="s">
        <v>7343</v>
      </c>
      <c r="S999" s="0" t="s">
        <v>7344</v>
      </c>
      <c r="T999" s="0" t="s">
        <v>3699</v>
      </c>
      <c r="U999" s="0" t="s">
        <v>7369</v>
      </c>
      <c r="V999" s="0" t="s">
        <v>34</v>
      </c>
      <c r="W999" s="0" t="s">
        <v>1341</v>
      </c>
      <c r="X999" s="0" t="s">
        <v>7355</v>
      </c>
      <c r="Y999" s="0" t="s">
        <v>7495</v>
      </c>
      <c r="Z999" s="0" t="s">
        <v>7496</v>
      </c>
      <c r="AA999" s="0" t="s">
        <v>7631</v>
      </c>
      <c r="AB999" s="0" t="s">
        <v>262</v>
      </c>
      <c r="AC999" s="0" t="s">
        <v>7349</v>
      </c>
      <c r="AD999" s="0" t="s">
        <v>681</v>
      </c>
      <c r="AE999" s="0" t="s">
        <v>681</v>
      </c>
      <c r="AG999" s="0" t="s">
        <v>230</v>
      </c>
    </row>
    <row r="1000" customFormat="false" ht="15" hidden="false" customHeight="false" outlineLevel="0" collapsed="false">
      <c r="A1000" s="0" t="s">
        <v>7336</v>
      </c>
      <c r="B1000" s="0" t="s">
        <v>3703</v>
      </c>
      <c r="C1000" s="0" t="s">
        <v>3704</v>
      </c>
      <c r="D1000" s="0" t="s">
        <v>300</v>
      </c>
      <c r="E1000" s="0" t="s">
        <v>3705</v>
      </c>
      <c r="F1000" s="0" t="s">
        <v>2882</v>
      </c>
      <c r="G1000" s="0" t="s">
        <v>138</v>
      </c>
      <c r="H1000" s="0" t="s">
        <v>7842</v>
      </c>
      <c r="I1000" s="0" t="s">
        <v>7338</v>
      </c>
      <c r="J1000" s="0" t="s">
        <v>1602</v>
      </c>
      <c r="K1000" s="0" t="s">
        <v>7339</v>
      </c>
      <c r="L1000" s="0" t="s">
        <v>7340</v>
      </c>
      <c r="M1000" s="0" t="s">
        <v>7661</v>
      </c>
      <c r="N1000" s="0" t="s">
        <v>7342</v>
      </c>
      <c r="O1000" s="0" t="s">
        <v>7360</v>
      </c>
      <c r="P1000" s="0" t="s">
        <v>236</v>
      </c>
      <c r="Q1000" s="0" t="s">
        <v>7354</v>
      </c>
      <c r="R1000" s="0" t="s">
        <v>7343</v>
      </c>
      <c r="S1000" s="0" t="s">
        <v>7344</v>
      </c>
      <c r="T1000" s="0" t="s">
        <v>3699</v>
      </c>
      <c r="U1000" s="0" t="s">
        <v>7369</v>
      </c>
      <c r="V1000" s="0" t="s">
        <v>34</v>
      </c>
      <c r="W1000" s="0" t="s">
        <v>1341</v>
      </c>
      <c r="X1000" s="0" t="s">
        <v>7355</v>
      </c>
      <c r="Y1000" s="0" t="s">
        <v>7495</v>
      </c>
      <c r="Z1000" s="0" t="s">
        <v>7496</v>
      </c>
      <c r="AA1000" s="0" t="s">
        <v>7631</v>
      </c>
      <c r="AB1000" s="0" t="s">
        <v>262</v>
      </c>
      <c r="AC1000" s="0" t="s">
        <v>7349</v>
      </c>
      <c r="AD1000" s="0" t="s">
        <v>681</v>
      </c>
      <c r="AE1000" s="0" t="s">
        <v>681</v>
      </c>
      <c r="AG1000" s="0" t="s">
        <v>230</v>
      </c>
    </row>
    <row r="1001" customFormat="false" ht="15" hidden="false" customHeight="false" outlineLevel="0" collapsed="false">
      <c r="A1001" s="0" t="s">
        <v>7336</v>
      </c>
      <c r="B1001" s="0" t="s">
        <v>3706</v>
      </c>
      <c r="C1001" s="0" t="s">
        <v>3707</v>
      </c>
      <c r="D1001" s="0" t="s">
        <v>300</v>
      </c>
      <c r="E1001" s="0" t="s">
        <v>3708</v>
      </c>
      <c r="F1001" s="0" t="s">
        <v>2886</v>
      </c>
      <c r="G1001" s="0" t="s">
        <v>138</v>
      </c>
      <c r="H1001" s="0" t="s">
        <v>7843</v>
      </c>
      <c r="I1001" s="0" t="s">
        <v>7338</v>
      </c>
      <c r="J1001" s="0" t="s">
        <v>1602</v>
      </c>
      <c r="K1001" s="0" t="s">
        <v>7339</v>
      </c>
      <c r="L1001" s="0" t="s">
        <v>7340</v>
      </c>
      <c r="M1001" s="0" t="s">
        <v>7661</v>
      </c>
      <c r="N1001" s="0" t="s">
        <v>7342</v>
      </c>
      <c r="O1001" s="0" t="s">
        <v>7360</v>
      </c>
      <c r="P1001" s="0" t="s">
        <v>236</v>
      </c>
      <c r="Q1001" s="0" t="s">
        <v>7354</v>
      </c>
      <c r="R1001" s="0" t="s">
        <v>7343</v>
      </c>
      <c r="S1001" s="0" t="s">
        <v>7344</v>
      </c>
      <c r="T1001" s="0" t="s">
        <v>3699</v>
      </c>
      <c r="U1001" s="0" t="s">
        <v>7369</v>
      </c>
      <c r="V1001" s="0" t="s">
        <v>34</v>
      </c>
      <c r="W1001" s="0" t="s">
        <v>1341</v>
      </c>
      <c r="X1001" s="0" t="s">
        <v>7355</v>
      </c>
      <c r="Y1001" s="0" t="s">
        <v>7495</v>
      </c>
      <c r="Z1001" s="0" t="s">
        <v>7496</v>
      </c>
      <c r="AA1001" s="0" t="s">
        <v>7631</v>
      </c>
      <c r="AB1001" s="0" t="s">
        <v>262</v>
      </c>
      <c r="AC1001" s="0" t="s">
        <v>7349</v>
      </c>
      <c r="AD1001" s="0" t="s">
        <v>681</v>
      </c>
      <c r="AE1001" s="0" t="s">
        <v>681</v>
      </c>
      <c r="AG1001" s="0" t="s">
        <v>230</v>
      </c>
    </row>
    <row r="1002" customFormat="false" ht="15" hidden="false" customHeight="false" outlineLevel="0" collapsed="false">
      <c r="A1002" s="0" t="s">
        <v>7336</v>
      </c>
      <c r="B1002" s="0" t="s">
        <v>3709</v>
      </c>
      <c r="C1002" s="0" t="s">
        <v>3710</v>
      </c>
      <c r="D1002" s="0" t="s">
        <v>300</v>
      </c>
      <c r="E1002" s="0" t="s">
        <v>3711</v>
      </c>
      <c r="F1002" s="0" t="s">
        <v>2890</v>
      </c>
      <c r="G1002" s="0" t="s">
        <v>140</v>
      </c>
      <c r="H1002" s="0" t="s">
        <v>7844</v>
      </c>
      <c r="I1002" s="0" t="s">
        <v>7338</v>
      </c>
      <c r="J1002" s="0" t="s">
        <v>1602</v>
      </c>
      <c r="K1002" s="0" t="s">
        <v>7339</v>
      </c>
      <c r="L1002" s="0" t="s">
        <v>7340</v>
      </c>
      <c r="M1002" s="0" t="s">
        <v>7661</v>
      </c>
      <c r="N1002" s="0" t="s">
        <v>7342</v>
      </c>
      <c r="O1002" s="0" t="s">
        <v>7360</v>
      </c>
      <c r="P1002" s="0" t="s">
        <v>236</v>
      </c>
      <c r="Q1002" s="0" t="s">
        <v>7354</v>
      </c>
      <c r="R1002" s="0" t="s">
        <v>7343</v>
      </c>
      <c r="S1002" s="0" t="s">
        <v>7344</v>
      </c>
      <c r="T1002" s="0" t="s">
        <v>3699</v>
      </c>
      <c r="U1002" s="0" t="s">
        <v>7369</v>
      </c>
      <c r="V1002" s="0" t="s">
        <v>34</v>
      </c>
      <c r="W1002" s="0" t="s">
        <v>1341</v>
      </c>
      <c r="X1002" s="0" t="s">
        <v>7355</v>
      </c>
      <c r="Y1002" s="0" t="s">
        <v>7495</v>
      </c>
      <c r="Z1002" s="0" t="s">
        <v>7496</v>
      </c>
      <c r="AA1002" s="0" t="s">
        <v>7631</v>
      </c>
      <c r="AB1002" s="0" t="s">
        <v>262</v>
      </c>
      <c r="AC1002" s="0" t="s">
        <v>7349</v>
      </c>
      <c r="AD1002" s="0" t="s">
        <v>681</v>
      </c>
      <c r="AE1002" s="0" t="s">
        <v>681</v>
      </c>
      <c r="AG1002" s="0" t="s">
        <v>230</v>
      </c>
    </row>
    <row r="1003" customFormat="false" ht="15" hidden="false" customHeight="false" outlineLevel="0" collapsed="false">
      <c r="A1003" s="0" t="s">
        <v>7336</v>
      </c>
      <c r="B1003" s="0" t="s">
        <v>3712</v>
      </c>
      <c r="C1003" s="0" t="s">
        <v>3713</v>
      </c>
      <c r="D1003" s="0" t="s">
        <v>300</v>
      </c>
      <c r="E1003" s="0" t="s">
        <v>3714</v>
      </c>
      <c r="F1003" s="0" t="s">
        <v>2894</v>
      </c>
      <c r="G1003" s="0" t="s">
        <v>140</v>
      </c>
      <c r="H1003" s="0" t="s">
        <v>7845</v>
      </c>
      <c r="I1003" s="0" t="s">
        <v>7338</v>
      </c>
      <c r="J1003" s="0" t="s">
        <v>1602</v>
      </c>
      <c r="K1003" s="0" t="s">
        <v>7339</v>
      </c>
      <c r="L1003" s="0" t="s">
        <v>7340</v>
      </c>
      <c r="M1003" s="0" t="s">
        <v>7661</v>
      </c>
      <c r="N1003" s="0" t="s">
        <v>7342</v>
      </c>
      <c r="O1003" s="0" t="s">
        <v>7360</v>
      </c>
      <c r="P1003" s="0" t="s">
        <v>236</v>
      </c>
      <c r="Q1003" s="0" t="s">
        <v>7354</v>
      </c>
      <c r="R1003" s="0" t="s">
        <v>7343</v>
      </c>
      <c r="S1003" s="0" t="s">
        <v>7344</v>
      </c>
      <c r="T1003" s="0" t="s">
        <v>3699</v>
      </c>
      <c r="U1003" s="0" t="s">
        <v>7369</v>
      </c>
      <c r="V1003" s="0" t="s">
        <v>34</v>
      </c>
      <c r="W1003" s="0" t="s">
        <v>1341</v>
      </c>
      <c r="X1003" s="0" t="s">
        <v>7355</v>
      </c>
      <c r="Y1003" s="0" t="s">
        <v>7495</v>
      </c>
      <c r="Z1003" s="0" t="s">
        <v>7496</v>
      </c>
      <c r="AA1003" s="0" t="s">
        <v>7631</v>
      </c>
      <c r="AB1003" s="0" t="s">
        <v>262</v>
      </c>
      <c r="AC1003" s="0" t="s">
        <v>7349</v>
      </c>
      <c r="AD1003" s="0" t="s">
        <v>681</v>
      </c>
      <c r="AE1003" s="0" t="s">
        <v>681</v>
      </c>
      <c r="AG1003" s="0" t="s">
        <v>230</v>
      </c>
    </row>
    <row r="1004" customFormat="false" ht="15" hidden="false" customHeight="false" outlineLevel="0" collapsed="false">
      <c r="A1004" s="0" t="s">
        <v>7336</v>
      </c>
      <c r="B1004" s="0" t="s">
        <v>3715</v>
      </c>
      <c r="C1004" s="0" t="s">
        <v>3716</v>
      </c>
      <c r="D1004" s="0" t="s">
        <v>300</v>
      </c>
      <c r="E1004" s="0" t="s">
        <v>3717</v>
      </c>
      <c r="F1004" s="0" t="s">
        <v>2898</v>
      </c>
      <c r="G1004" s="0" t="s">
        <v>142</v>
      </c>
      <c r="H1004" s="0" t="s">
        <v>7846</v>
      </c>
      <c r="I1004" s="0" t="s">
        <v>7338</v>
      </c>
      <c r="J1004" s="0" t="s">
        <v>1602</v>
      </c>
      <c r="K1004" s="0" t="s">
        <v>7339</v>
      </c>
      <c r="L1004" s="0" t="s">
        <v>7340</v>
      </c>
      <c r="M1004" s="0" t="s">
        <v>7661</v>
      </c>
      <c r="N1004" s="0" t="s">
        <v>7342</v>
      </c>
      <c r="O1004" s="0" t="s">
        <v>7360</v>
      </c>
      <c r="P1004" s="0" t="s">
        <v>236</v>
      </c>
      <c r="Q1004" s="0" t="s">
        <v>7354</v>
      </c>
      <c r="R1004" s="0" t="s">
        <v>7343</v>
      </c>
      <c r="S1004" s="0" t="s">
        <v>7344</v>
      </c>
      <c r="T1004" s="0" t="s">
        <v>3699</v>
      </c>
      <c r="U1004" s="0" t="s">
        <v>7369</v>
      </c>
      <c r="V1004" s="0" t="s">
        <v>34</v>
      </c>
      <c r="W1004" s="0" t="s">
        <v>3718</v>
      </c>
      <c r="X1004" s="0" t="s">
        <v>7355</v>
      </c>
      <c r="Y1004" s="0" t="s">
        <v>7495</v>
      </c>
      <c r="Z1004" s="0" t="s">
        <v>7496</v>
      </c>
      <c r="AA1004" s="0" t="s">
        <v>7631</v>
      </c>
      <c r="AB1004" s="0" t="s">
        <v>262</v>
      </c>
      <c r="AC1004" s="0" t="s">
        <v>7629</v>
      </c>
      <c r="AD1004" s="0" t="s">
        <v>681</v>
      </c>
      <c r="AE1004" s="0" t="s">
        <v>681</v>
      </c>
      <c r="AG1004" s="0" t="s">
        <v>230</v>
      </c>
    </row>
    <row r="1005" customFormat="false" ht="15" hidden="false" customHeight="false" outlineLevel="0" collapsed="false">
      <c r="A1005" s="0" t="s">
        <v>7336</v>
      </c>
      <c r="B1005" s="0" t="s">
        <v>3719</v>
      </c>
      <c r="C1005" s="0" t="s">
        <v>3720</v>
      </c>
      <c r="D1005" s="0" t="s">
        <v>300</v>
      </c>
      <c r="E1005" s="0" t="s">
        <v>3721</v>
      </c>
      <c r="F1005" s="0" t="s">
        <v>2902</v>
      </c>
      <c r="G1005" s="0" t="s">
        <v>142</v>
      </c>
      <c r="H1005" s="0" t="s">
        <v>7847</v>
      </c>
      <c r="I1005" s="0" t="s">
        <v>7338</v>
      </c>
      <c r="J1005" s="0" t="s">
        <v>1602</v>
      </c>
      <c r="K1005" s="0" t="s">
        <v>7339</v>
      </c>
      <c r="L1005" s="0" t="s">
        <v>7340</v>
      </c>
      <c r="M1005" s="0" t="s">
        <v>7661</v>
      </c>
      <c r="N1005" s="0" t="s">
        <v>7342</v>
      </c>
      <c r="O1005" s="0" t="s">
        <v>7360</v>
      </c>
      <c r="P1005" s="0" t="s">
        <v>236</v>
      </c>
      <c r="Q1005" s="0" t="s">
        <v>7354</v>
      </c>
      <c r="R1005" s="0" t="s">
        <v>7343</v>
      </c>
      <c r="S1005" s="0" t="s">
        <v>7344</v>
      </c>
      <c r="T1005" s="0" t="s">
        <v>3699</v>
      </c>
      <c r="U1005" s="0" t="s">
        <v>7369</v>
      </c>
      <c r="V1005" s="0" t="s">
        <v>34</v>
      </c>
      <c r="W1005" s="0" t="s">
        <v>3718</v>
      </c>
      <c r="X1005" s="0" t="s">
        <v>7355</v>
      </c>
      <c r="Y1005" s="0" t="s">
        <v>7495</v>
      </c>
      <c r="Z1005" s="0" t="s">
        <v>7496</v>
      </c>
      <c r="AA1005" s="0" t="s">
        <v>7631</v>
      </c>
      <c r="AB1005" s="0" t="s">
        <v>262</v>
      </c>
      <c r="AC1005" s="0" t="s">
        <v>7629</v>
      </c>
      <c r="AD1005" s="0" t="s">
        <v>681</v>
      </c>
      <c r="AE1005" s="0" t="s">
        <v>681</v>
      </c>
      <c r="AG1005" s="0" t="s">
        <v>230</v>
      </c>
    </row>
    <row r="1006" customFormat="false" ht="15" hidden="false" customHeight="false" outlineLevel="0" collapsed="false">
      <c r="A1006" s="0" t="s">
        <v>7336</v>
      </c>
      <c r="B1006" s="0" t="s">
        <v>3722</v>
      </c>
      <c r="C1006" s="0" t="s">
        <v>3723</v>
      </c>
      <c r="D1006" s="0" t="s">
        <v>300</v>
      </c>
      <c r="E1006" s="0" t="s">
        <v>3724</v>
      </c>
      <c r="F1006" s="0" t="s">
        <v>3584</v>
      </c>
      <c r="G1006" s="0" t="s">
        <v>138</v>
      </c>
      <c r="H1006" s="0" t="s">
        <v>7963</v>
      </c>
      <c r="I1006" s="0" t="s">
        <v>7338</v>
      </c>
      <c r="J1006" s="0" t="s">
        <v>1602</v>
      </c>
      <c r="K1006" s="0" t="s">
        <v>7339</v>
      </c>
      <c r="L1006" s="0" t="s">
        <v>7340</v>
      </c>
      <c r="M1006" s="0" t="s">
        <v>7661</v>
      </c>
      <c r="N1006" s="0" t="s">
        <v>7342</v>
      </c>
      <c r="O1006" s="0" t="s">
        <v>7360</v>
      </c>
      <c r="P1006" s="0" t="s">
        <v>236</v>
      </c>
      <c r="Q1006" s="0" t="s">
        <v>7354</v>
      </c>
      <c r="R1006" s="0" t="s">
        <v>7343</v>
      </c>
      <c r="S1006" s="0" t="s">
        <v>7344</v>
      </c>
      <c r="T1006" s="0" t="s">
        <v>3699</v>
      </c>
      <c r="U1006" s="0" t="s">
        <v>7369</v>
      </c>
      <c r="V1006" s="0" t="s">
        <v>34</v>
      </c>
      <c r="W1006" s="0" t="s">
        <v>1341</v>
      </c>
      <c r="X1006" s="0" t="s">
        <v>7355</v>
      </c>
      <c r="Y1006" s="0" t="s">
        <v>7495</v>
      </c>
      <c r="Z1006" s="0" t="s">
        <v>7496</v>
      </c>
      <c r="AA1006" s="0" t="s">
        <v>7631</v>
      </c>
      <c r="AB1006" s="0" t="s">
        <v>262</v>
      </c>
      <c r="AC1006" s="0" t="s">
        <v>7349</v>
      </c>
      <c r="AD1006" s="0" t="s">
        <v>681</v>
      </c>
      <c r="AE1006" s="0" t="s">
        <v>681</v>
      </c>
      <c r="AG1006" s="0" t="s">
        <v>230</v>
      </c>
    </row>
    <row r="1007" customFormat="false" ht="15" hidden="false" customHeight="false" outlineLevel="0" collapsed="false">
      <c r="A1007" s="0" t="s">
        <v>7336</v>
      </c>
      <c r="B1007" s="0" t="s">
        <v>3725</v>
      </c>
      <c r="C1007" s="0" t="s">
        <v>3726</v>
      </c>
      <c r="D1007" s="0" t="s">
        <v>300</v>
      </c>
      <c r="E1007" s="0" t="s">
        <v>3727</v>
      </c>
      <c r="F1007" s="0" t="s">
        <v>3588</v>
      </c>
      <c r="G1007" s="0" t="s">
        <v>138</v>
      </c>
      <c r="H1007" s="0" t="s">
        <v>7964</v>
      </c>
      <c r="I1007" s="0" t="s">
        <v>7338</v>
      </c>
      <c r="J1007" s="0" t="s">
        <v>1602</v>
      </c>
      <c r="K1007" s="0" t="s">
        <v>7339</v>
      </c>
      <c r="L1007" s="0" t="s">
        <v>7340</v>
      </c>
      <c r="M1007" s="0" t="s">
        <v>7661</v>
      </c>
      <c r="N1007" s="0" t="s">
        <v>7342</v>
      </c>
      <c r="O1007" s="0" t="s">
        <v>7360</v>
      </c>
      <c r="P1007" s="0" t="s">
        <v>236</v>
      </c>
      <c r="Q1007" s="0" t="s">
        <v>7354</v>
      </c>
      <c r="R1007" s="0" t="s">
        <v>7343</v>
      </c>
      <c r="S1007" s="0" t="s">
        <v>7344</v>
      </c>
      <c r="T1007" s="0" t="s">
        <v>3699</v>
      </c>
      <c r="U1007" s="0" t="s">
        <v>7369</v>
      </c>
      <c r="V1007" s="0" t="s">
        <v>34</v>
      </c>
      <c r="W1007" s="0" t="s">
        <v>1341</v>
      </c>
      <c r="X1007" s="0" t="s">
        <v>7355</v>
      </c>
      <c r="Y1007" s="0" t="s">
        <v>7495</v>
      </c>
      <c r="Z1007" s="0" t="s">
        <v>7496</v>
      </c>
      <c r="AA1007" s="0" t="s">
        <v>7631</v>
      </c>
      <c r="AB1007" s="0" t="s">
        <v>262</v>
      </c>
      <c r="AC1007" s="0" t="s">
        <v>7349</v>
      </c>
      <c r="AD1007" s="0" t="s">
        <v>681</v>
      </c>
      <c r="AE1007" s="0" t="s">
        <v>681</v>
      </c>
      <c r="AG1007" s="0" t="s">
        <v>230</v>
      </c>
    </row>
    <row r="1008" customFormat="false" ht="15" hidden="false" customHeight="false" outlineLevel="0" collapsed="false">
      <c r="A1008" s="0" t="s">
        <v>7336</v>
      </c>
      <c r="B1008" s="0" t="s">
        <v>3728</v>
      </c>
      <c r="C1008" s="0" t="s">
        <v>3729</v>
      </c>
      <c r="D1008" s="0" t="s">
        <v>300</v>
      </c>
      <c r="E1008" s="0" t="s">
        <v>3730</v>
      </c>
      <c r="F1008" s="0" t="s">
        <v>3649</v>
      </c>
      <c r="G1008" s="0" t="s">
        <v>140</v>
      </c>
      <c r="H1008" s="0" t="s">
        <v>7967</v>
      </c>
      <c r="I1008" s="0" t="s">
        <v>7338</v>
      </c>
      <c r="J1008" s="0" t="s">
        <v>1602</v>
      </c>
      <c r="K1008" s="0" t="s">
        <v>7339</v>
      </c>
      <c r="L1008" s="0" t="s">
        <v>7340</v>
      </c>
      <c r="M1008" s="0" t="s">
        <v>7661</v>
      </c>
      <c r="N1008" s="0" t="s">
        <v>7342</v>
      </c>
      <c r="O1008" s="0" t="s">
        <v>7360</v>
      </c>
      <c r="P1008" s="0" t="s">
        <v>236</v>
      </c>
      <c r="Q1008" s="0" t="s">
        <v>7354</v>
      </c>
      <c r="R1008" s="0" t="s">
        <v>7343</v>
      </c>
      <c r="S1008" s="0" t="s">
        <v>7344</v>
      </c>
      <c r="T1008" s="0" t="s">
        <v>260</v>
      </c>
      <c r="U1008" s="0" t="s">
        <v>7369</v>
      </c>
      <c r="V1008" s="0" t="s">
        <v>34</v>
      </c>
      <c r="W1008" s="0" t="s">
        <v>37</v>
      </c>
      <c r="X1008" s="0" t="s">
        <v>7355</v>
      </c>
      <c r="Y1008" s="0" t="s">
        <v>7346</v>
      </c>
      <c r="Z1008" s="0" t="s">
        <v>7370</v>
      </c>
      <c r="AA1008" s="0" t="s">
        <v>7385</v>
      </c>
      <c r="AB1008" s="0" t="s">
        <v>262</v>
      </c>
      <c r="AC1008" s="0" t="s">
        <v>7629</v>
      </c>
      <c r="AD1008" s="0" t="s">
        <v>260</v>
      </c>
      <c r="AE1008" s="0" t="s">
        <v>681</v>
      </c>
      <c r="AG1008" s="0" t="s">
        <v>230</v>
      </c>
    </row>
    <row r="1009" customFormat="false" ht="15" hidden="false" customHeight="false" outlineLevel="0" collapsed="false">
      <c r="A1009" s="0" t="s">
        <v>7336</v>
      </c>
      <c r="B1009" s="0" t="s">
        <v>3731</v>
      </c>
      <c r="C1009" s="0" t="s">
        <v>3732</v>
      </c>
      <c r="D1009" s="0" t="s">
        <v>300</v>
      </c>
      <c r="E1009" s="0" t="s">
        <v>3733</v>
      </c>
      <c r="F1009" s="0" t="s">
        <v>3653</v>
      </c>
      <c r="G1009" s="0" t="s">
        <v>140</v>
      </c>
      <c r="H1009" s="0" t="s">
        <v>7968</v>
      </c>
      <c r="I1009" s="0" t="s">
        <v>7338</v>
      </c>
      <c r="J1009" s="0" t="s">
        <v>1602</v>
      </c>
      <c r="K1009" s="0" t="s">
        <v>7339</v>
      </c>
      <c r="L1009" s="0" t="s">
        <v>7340</v>
      </c>
      <c r="M1009" s="0" t="s">
        <v>7661</v>
      </c>
      <c r="N1009" s="0" t="s">
        <v>7342</v>
      </c>
      <c r="O1009" s="0" t="s">
        <v>7360</v>
      </c>
      <c r="P1009" s="0" t="s">
        <v>236</v>
      </c>
      <c r="Q1009" s="0" t="s">
        <v>7354</v>
      </c>
      <c r="R1009" s="0" t="s">
        <v>7343</v>
      </c>
      <c r="S1009" s="0" t="s">
        <v>7344</v>
      </c>
      <c r="T1009" s="0" t="s">
        <v>260</v>
      </c>
      <c r="U1009" s="0" t="s">
        <v>7369</v>
      </c>
      <c r="V1009" s="0" t="s">
        <v>34</v>
      </c>
      <c r="W1009" s="0" t="s">
        <v>37</v>
      </c>
      <c r="X1009" s="0" t="s">
        <v>7355</v>
      </c>
      <c r="Y1009" s="0" t="s">
        <v>7346</v>
      </c>
      <c r="Z1009" s="0" t="s">
        <v>7370</v>
      </c>
      <c r="AA1009" s="0" t="s">
        <v>7385</v>
      </c>
      <c r="AB1009" s="0" t="s">
        <v>262</v>
      </c>
      <c r="AC1009" s="0" t="s">
        <v>7629</v>
      </c>
      <c r="AD1009" s="0" t="s">
        <v>260</v>
      </c>
      <c r="AE1009" s="0" t="s">
        <v>681</v>
      </c>
      <c r="AG1009" s="0" t="s">
        <v>230</v>
      </c>
    </row>
    <row r="1010" customFormat="false" ht="15" hidden="false" customHeight="false" outlineLevel="0" collapsed="false">
      <c r="A1010" s="0" t="s">
        <v>7336</v>
      </c>
      <c r="B1010" s="0" t="s">
        <v>3734</v>
      </c>
      <c r="C1010" s="0" t="s">
        <v>3735</v>
      </c>
      <c r="D1010" s="0" t="s">
        <v>300</v>
      </c>
      <c r="E1010" s="0" t="s">
        <v>3736</v>
      </c>
      <c r="F1010" s="0" t="s">
        <v>3737</v>
      </c>
      <c r="G1010" s="0" t="s">
        <v>140</v>
      </c>
      <c r="H1010" s="0" t="s">
        <v>7972</v>
      </c>
      <c r="I1010" s="0" t="s">
        <v>7338</v>
      </c>
      <c r="J1010" s="0" t="s">
        <v>1602</v>
      </c>
      <c r="K1010" s="0" t="s">
        <v>7339</v>
      </c>
      <c r="L1010" s="0" t="s">
        <v>7340</v>
      </c>
      <c r="M1010" s="0" t="s">
        <v>7661</v>
      </c>
      <c r="N1010" s="0" t="s">
        <v>7342</v>
      </c>
      <c r="O1010" s="0" t="s">
        <v>7360</v>
      </c>
      <c r="P1010" s="0" t="s">
        <v>236</v>
      </c>
      <c r="Q1010" s="0" t="s">
        <v>7354</v>
      </c>
      <c r="R1010" s="0" t="s">
        <v>7343</v>
      </c>
      <c r="S1010" s="0" t="s">
        <v>7344</v>
      </c>
      <c r="T1010" s="0" t="s">
        <v>260</v>
      </c>
      <c r="U1010" s="0" t="s">
        <v>7369</v>
      </c>
      <c r="V1010" s="0" t="s">
        <v>34</v>
      </c>
      <c r="W1010" s="0" t="s">
        <v>37</v>
      </c>
      <c r="X1010" s="0" t="s">
        <v>7355</v>
      </c>
      <c r="Y1010" s="0" t="s">
        <v>7346</v>
      </c>
      <c r="Z1010" s="0" t="s">
        <v>7370</v>
      </c>
      <c r="AA1010" s="0" t="s">
        <v>7385</v>
      </c>
      <c r="AB1010" s="0" t="s">
        <v>262</v>
      </c>
      <c r="AC1010" s="0" t="s">
        <v>7629</v>
      </c>
      <c r="AD1010" s="0" t="s">
        <v>260</v>
      </c>
      <c r="AE1010" s="0" t="s">
        <v>681</v>
      </c>
      <c r="AG1010" s="0" t="s">
        <v>230</v>
      </c>
    </row>
    <row r="1011" customFormat="false" ht="15" hidden="false" customHeight="false" outlineLevel="0" collapsed="false">
      <c r="A1011" s="0" t="s">
        <v>7336</v>
      </c>
      <c r="B1011" s="0" t="s">
        <v>3738</v>
      </c>
      <c r="C1011" s="0" t="s">
        <v>3739</v>
      </c>
      <c r="D1011" s="0" t="s">
        <v>300</v>
      </c>
      <c r="E1011" s="0" t="s">
        <v>3740</v>
      </c>
      <c r="F1011" s="0" t="s">
        <v>3741</v>
      </c>
      <c r="G1011" s="0" t="s">
        <v>140</v>
      </c>
      <c r="H1011" s="0" t="s">
        <v>7973</v>
      </c>
      <c r="I1011" s="0" t="s">
        <v>7338</v>
      </c>
      <c r="J1011" s="0" t="s">
        <v>1602</v>
      </c>
      <c r="K1011" s="0" t="s">
        <v>7339</v>
      </c>
      <c r="L1011" s="0" t="s">
        <v>7340</v>
      </c>
      <c r="M1011" s="0" t="s">
        <v>7661</v>
      </c>
      <c r="N1011" s="0" t="s">
        <v>7342</v>
      </c>
      <c r="O1011" s="0" t="s">
        <v>7360</v>
      </c>
      <c r="P1011" s="0" t="s">
        <v>236</v>
      </c>
      <c r="Q1011" s="0" t="s">
        <v>7354</v>
      </c>
      <c r="R1011" s="0" t="s">
        <v>7343</v>
      </c>
      <c r="S1011" s="0" t="s">
        <v>7344</v>
      </c>
      <c r="T1011" s="0" t="s">
        <v>260</v>
      </c>
      <c r="U1011" s="0" t="s">
        <v>7369</v>
      </c>
      <c r="V1011" s="0" t="s">
        <v>34</v>
      </c>
      <c r="W1011" s="0" t="s">
        <v>37</v>
      </c>
      <c r="X1011" s="0" t="s">
        <v>7355</v>
      </c>
      <c r="Y1011" s="0" t="s">
        <v>7346</v>
      </c>
      <c r="Z1011" s="0" t="s">
        <v>7370</v>
      </c>
      <c r="AA1011" s="0" t="s">
        <v>7385</v>
      </c>
      <c r="AB1011" s="0" t="s">
        <v>262</v>
      </c>
      <c r="AC1011" s="0" t="s">
        <v>7629</v>
      </c>
      <c r="AD1011" s="0" t="s">
        <v>260</v>
      </c>
      <c r="AE1011" s="0" t="s">
        <v>681</v>
      </c>
      <c r="AG1011" s="0" t="s">
        <v>230</v>
      </c>
    </row>
    <row r="1012" customFormat="false" ht="15" hidden="false" customHeight="false" outlineLevel="0" collapsed="false">
      <c r="A1012" s="0" t="s">
        <v>7336</v>
      </c>
      <c r="B1012" s="0" t="s">
        <v>3742</v>
      </c>
      <c r="C1012" s="0" t="s">
        <v>3743</v>
      </c>
      <c r="D1012" s="0" t="s">
        <v>300</v>
      </c>
      <c r="E1012" s="0" t="s">
        <v>3744</v>
      </c>
      <c r="F1012" s="0" t="s">
        <v>3737</v>
      </c>
      <c r="G1012" s="0" t="s">
        <v>140</v>
      </c>
      <c r="H1012" s="0" t="s">
        <v>7972</v>
      </c>
      <c r="I1012" s="0" t="s">
        <v>7338</v>
      </c>
      <c r="J1012" s="0" t="s">
        <v>1602</v>
      </c>
      <c r="K1012" s="0" t="s">
        <v>7339</v>
      </c>
      <c r="L1012" s="0" t="s">
        <v>7340</v>
      </c>
      <c r="M1012" s="0" t="s">
        <v>7661</v>
      </c>
      <c r="N1012" s="0" t="s">
        <v>7342</v>
      </c>
      <c r="O1012" s="0" t="s">
        <v>7360</v>
      </c>
      <c r="P1012" s="0" t="s">
        <v>236</v>
      </c>
      <c r="Q1012" s="0" t="s">
        <v>7354</v>
      </c>
      <c r="R1012" s="0" t="s">
        <v>7343</v>
      </c>
      <c r="S1012" s="0" t="s">
        <v>7344</v>
      </c>
      <c r="T1012" s="0" t="s">
        <v>260</v>
      </c>
      <c r="U1012" s="0" t="s">
        <v>7369</v>
      </c>
      <c r="V1012" s="0" t="s">
        <v>34</v>
      </c>
      <c r="W1012" s="0" t="s">
        <v>37</v>
      </c>
      <c r="X1012" s="0" t="s">
        <v>7355</v>
      </c>
      <c r="Y1012" s="0" t="s">
        <v>7346</v>
      </c>
      <c r="Z1012" s="0" t="s">
        <v>7370</v>
      </c>
      <c r="AA1012" s="0" t="s">
        <v>7385</v>
      </c>
      <c r="AB1012" s="0" t="s">
        <v>262</v>
      </c>
      <c r="AC1012" s="0" t="s">
        <v>7629</v>
      </c>
      <c r="AD1012" s="0" t="s">
        <v>260</v>
      </c>
      <c r="AE1012" s="0" t="s">
        <v>681</v>
      </c>
      <c r="AG1012" s="0" t="s">
        <v>230</v>
      </c>
    </row>
    <row r="1013" customFormat="false" ht="15" hidden="false" customHeight="false" outlineLevel="0" collapsed="false">
      <c r="A1013" s="0" t="s">
        <v>7336</v>
      </c>
      <c r="B1013" s="0" t="s">
        <v>3745</v>
      </c>
      <c r="C1013" s="0" t="s">
        <v>3746</v>
      </c>
      <c r="D1013" s="0" t="s">
        <v>300</v>
      </c>
      <c r="E1013" s="0" t="s">
        <v>3747</v>
      </c>
      <c r="F1013" s="0" t="s">
        <v>3748</v>
      </c>
      <c r="G1013" s="0" t="s">
        <v>140</v>
      </c>
      <c r="H1013" s="0" t="s">
        <v>7974</v>
      </c>
      <c r="I1013" s="0" t="s">
        <v>7338</v>
      </c>
      <c r="J1013" s="0" t="s">
        <v>1602</v>
      </c>
      <c r="K1013" s="0" t="s">
        <v>7339</v>
      </c>
      <c r="L1013" s="0" t="s">
        <v>7340</v>
      </c>
      <c r="M1013" s="0" t="s">
        <v>7661</v>
      </c>
      <c r="N1013" s="0" t="s">
        <v>7342</v>
      </c>
      <c r="O1013" s="0" t="s">
        <v>7360</v>
      </c>
      <c r="P1013" s="0" t="s">
        <v>236</v>
      </c>
      <c r="Q1013" s="0" t="s">
        <v>7354</v>
      </c>
      <c r="R1013" s="0" t="s">
        <v>7343</v>
      </c>
      <c r="S1013" s="0" t="s">
        <v>7344</v>
      </c>
      <c r="T1013" s="0" t="s">
        <v>260</v>
      </c>
      <c r="U1013" s="0" t="s">
        <v>7369</v>
      </c>
      <c r="V1013" s="0" t="s">
        <v>34</v>
      </c>
      <c r="W1013" s="0" t="s">
        <v>37</v>
      </c>
      <c r="X1013" s="0" t="s">
        <v>7355</v>
      </c>
      <c r="Y1013" s="0" t="s">
        <v>7346</v>
      </c>
      <c r="Z1013" s="0" t="s">
        <v>7370</v>
      </c>
      <c r="AA1013" s="0" t="s">
        <v>7385</v>
      </c>
      <c r="AB1013" s="0" t="s">
        <v>262</v>
      </c>
      <c r="AC1013" s="0" t="s">
        <v>7629</v>
      </c>
      <c r="AD1013" s="0" t="s">
        <v>260</v>
      </c>
      <c r="AE1013" s="0" t="s">
        <v>681</v>
      </c>
      <c r="AG1013" s="0" t="s">
        <v>230</v>
      </c>
    </row>
    <row r="1014" customFormat="false" ht="15" hidden="false" customHeight="false" outlineLevel="0" collapsed="false">
      <c r="A1014" s="0" t="s">
        <v>7336</v>
      </c>
      <c r="B1014" s="0" t="s">
        <v>3749</v>
      </c>
      <c r="C1014" s="0" t="s">
        <v>3750</v>
      </c>
      <c r="D1014" s="0" t="s">
        <v>300</v>
      </c>
      <c r="E1014" s="0" t="s">
        <v>3751</v>
      </c>
      <c r="F1014" s="0" t="s">
        <v>3752</v>
      </c>
      <c r="G1014" s="0" t="s">
        <v>140</v>
      </c>
      <c r="H1014" s="0" t="s">
        <v>7975</v>
      </c>
      <c r="I1014" s="0" t="s">
        <v>7338</v>
      </c>
      <c r="J1014" s="0" t="s">
        <v>1602</v>
      </c>
      <c r="K1014" s="0" t="s">
        <v>7339</v>
      </c>
      <c r="L1014" s="0" t="s">
        <v>7340</v>
      </c>
      <c r="M1014" s="0" t="s">
        <v>7661</v>
      </c>
      <c r="N1014" s="0" t="s">
        <v>7342</v>
      </c>
      <c r="O1014" s="0" t="s">
        <v>7360</v>
      </c>
      <c r="P1014" s="0" t="s">
        <v>236</v>
      </c>
      <c r="Q1014" s="0" t="s">
        <v>7354</v>
      </c>
      <c r="R1014" s="0" t="s">
        <v>7343</v>
      </c>
      <c r="S1014" s="0" t="s">
        <v>7344</v>
      </c>
      <c r="T1014" s="0" t="s">
        <v>260</v>
      </c>
      <c r="U1014" s="0" t="s">
        <v>7369</v>
      </c>
      <c r="V1014" s="0" t="s">
        <v>34</v>
      </c>
      <c r="W1014" s="0" t="s">
        <v>37</v>
      </c>
      <c r="X1014" s="0" t="s">
        <v>7355</v>
      </c>
      <c r="Y1014" s="0" t="s">
        <v>7346</v>
      </c>
      <c r="Z1014" s="0" t="s">
        <v>7370</v>
      </c>
      <c r="AA1014" s="0" t="s">
        <v>7385</v>
      </c>
      <c r="AB1014" s="0" t="s">
        <v>262</v>
      </c>
      <c r="AC1014" s="0" t="s">
        <v>7629</v>
      </c>
      <c r="AD1014" s="0" t="s">
        <v>260</v>
      </c>
      <c r="AE1014" s="0" t="s">
        <v>681</v>
      </c>
      <c r="AG1014" s="0" t="s">
        <v>230</v>
      </c>
    </row>
    <row r="1015" customFormat="false" ht="15" hidden="false" customHeight="false" outlineLevel="0" collapsed="false">
      <c r="A1015" s="0" t="s">
        <v>7336</v>
      </c>
      <c r="B1015" s="0" t="s">
        <v>3753</v>
      </c>
      <c r="C1015" s="0" t="s">
        <v>3754</v>
      </c>
      <c r="D1015" s="0" t="s">
        <v>300</v>
      </c>
      <c r="E1015" s="0" t="s">
        <v>3755</v>
      </c>
      <c r="F1015" s="0" t="s">
        <v>3748</v>
      </c>
      <c r="G1015" s="0" t="s">
        <v>140</v>
      </c>
      <c r="H1015" s="0" t="s">
        <v>7974</v>
      </c>
      <c r="I1015" s="0" t="s">
        <v>7338</v>
      </c>
      <c r="J1015" s="0" t="s">
        <v>1602</v>
      </c>
      <c r="K1015" s="0" t="s">
        <v>7339</v>
      </c>
      <c r="L1015" s="0" t="s">
        <v>7340</v>
      </c>
      <c r="M1015" s="0" t="s">
        <v>7661</v>
      </c>
      <c r="N1015" s="0" t="s">
        <v>7342</v>
      </c>
      <c r="O1015" s="0" t="s">
        <v>7360</v>
      </c>
      <c r="P1015" s="0" t="s">
        <v>236</v>
      </c>
      <c r="Q1015" s="0" t="s">
        <v>7354</v>
      </c>
      <c r="R1015" s="0" t="s">
        <v>7343</v>
      </c>
      <c r="S1015" s="0" t="s">
        <v>7344</v>
      </c>
      <c r="T1015" s="0" t="s">
        <v>260</v>
      </c>
      <c r="U1015" s="0" t="s">
        <v>7369</v>
      </c>
      <c r="V1015" s="0" t="s">
        <v>34</v>
      </c>
      <c r="W1015" s="0" t="s">
        <v>37</v>
      </c>
      <c r="X1015" s="0" t="s">
        <v>7355</v>
      </c>
      <c r="Y1015" s="0" t="s">
        <v>7346</v>
      </c>
      <c r="Z1015" s="0" t="s">
        <v>7370</v>
      </c>
      <c r="AA1015" s="0" t="s">
        <v>7385</v>
      </c>
      <c r="AB1015" s="0" t="s">
        <v>262</v>
      </c>
      <c r="AC1015" s="0" t="s">
        <v>7629</v>
      </c>
      <c r="AD1015" s="0" t="s">
        <v>260</v>
      </c>
      <c r="AE1015" s="0" t="s">
        <v>681</v>
      </c>
      <c r="AG1015" s="0" t="s">
        <v>230</v>
      </c>
    </row>
    <row r="1016" customFormat="false" ht="15" hidden="false" customHeight="false" outlineLevel="0" collapsed="false">
      <c r="A1016" s="0" t="s">
        <v>7336</v>
      </c>
      <c r="B1016" s="0" t="s">
        <v>3756</v>
      </c>
      <c r="C1016" s="0" t="s">
        <v>3757</v>
      </c>
      <c r="D1016" s="0" t="s">
        <v>300</v>
      </c>
      <c r="E1016" s="0" t="s">
        <v>3758</v>
      </c>
      <c r="F1016" s="0" t="s">
        <v>3759</v>
      </c>
      <c r="G1016" s="0" t="s">
        <v>140</v>
      </c>
      <c r="H1016" s="0" t="s">
        <v>7976</v>
      </c>
      <c r="I1016" s="0" t="s">
        <v>7338</v>
      </c>
      <c r="J1016" s="0" t="s">
        <v>1602</v>
      </c>
      <c r="K1016" s="0" t="s">
        <v>7339</v>
      </c>
      <c r="L1016" s="0" t="s">
        <v>7340</v>
      </c>
      <c r="M1016" s="0" t="s">
        <v>7661</v>
      </c>
      <c r="N1016" s="0" t="s">
        <v>7342</v>
      </c>
      <c r="O1016" s="0" t="s">
        <v>7360</v>
      </c>
      <c r="P1016" s="0" t="s">
        <v>236</v>
      </c>
      <c r="Q1016" s="0" t="s">
        <v>7354</v>
      </c>
      <c r="R1016" s="0" t="s">
        <v>7343</v>
      </c>
      <c r="S1016" s="0" t="s">
        <v>7344</v>
      </c>
      <c r="T1016" s="0" t="s">
        <v>260</v>
      </c>
      <c r="U1016" s="0" t="s">
        <v>7369</v>
      </c>
      <c r="V1016" s="0" t="s">
        <v>34</v>
      </c>
      <c r="W1016" s="0" t="s">
        <v>37</v>
      </c>
      <c r="X1016" s="0" t="s">
        <v>7355</v>
      </c>
      <c r="Y1016" s="0" t="s">
        <v>7346</v>
      </c>
      <c r="Z1016" s="0" t="s">
        <v>7370</v>
      </c>
      <c r="AA1016" s="0" t="s">
        <v>7385</v>
      </c>
      <c r="AB1016" s="0" t="s">
        <v>262</v>
      </c>
      <c r="AC1016" s="0" t="s">
        <v>7629</v>
      </c>
      <c r="AD1016" s="0" t="s">
        <v>260</v>
      </c>
      <c r="AE1016" s="0" t="s">
        <v>681</v>
      </c>
      <c r="AG1016" s="0" t="s">
        <v>230</v>
      </c>
    </row>
    <row r="1017" customFormat="false" ht="15" hidden="false" customHeight="false" outlineLevel="0" collapsed="false">
      <c r="A1017" s="0" t="s">
        <v>7336</v>
      </c>
      <c r="B1017" s="0" t="s">
        <v>3760</v>
      </c>
      <c r="C1017" s="0" t="s">
        <v>3761</v>
      </c>
      <c r="D1017" s="0" t="s">
        <v>300</v>
      </c>
      <c r="E1017" s="0" t="s">
        <v>3762</v>
      </c>
      <c r="F1017" s="0" t="s">
        <v>3763</v>
      </c>
      <c r="G1017" s="0" t="s">
        <v>140</v>
      </c>
      <c r="H1017" s="0" t="s">
        <v>7977</v>
      </c>
      <c r="I1017" s="0" t="s">
        <v>7338</v>
      </c>
      <c r="J1017" s="0" t="s">
        <v>1602</v>
      </c>
      <c r="K1017" s="0" t="s">
        <v>7339</v>
      </c>
      <c r="L1017" s="0" t="s">
        <v>7340</v>
      </c>
      <c r="M1017" s="0" t="s">
        <v>7661</v>
      </c>
      <c r="N1017" s="0" t="s">
        <v>7342</v>
      </c>
      <c r="O1017" s="0" t="s">
        <v>7360</v>
      </c>
      <c r="P1017" s="0" t="s">
        <v>236</v>
      </c>
      <c r="Q1017" s="0" t="s">
        <v>7354</v>
      </c>
      <c r="R1017" s="0" t="s">
        <v>7343</v>
      </c>
      <c r="S1017" s="0" t="s">
        <v>7344</v>
      </c>
      <c r="T1017" s="0" t="s">
        <v>260</v>
      </c>
      <c r="U1017" s="0" t="s">
        <v>7369</v>
      </c>
      <c r="V1017" s="0" t="s">
        <v>34</v>
      </c>
      <c r="W1017" s="0" t="s">
        <v>37</v>
      </c>
      <c r="X1017" s="0" t="s">
        <v>7355</v>
      </c>
      <c r="Y1017" s="0" t="s">
        <v>7346</v>
      </c>
      <c r="Z1017" s="0" t="s">
        <v>7370</v>
      </c>
      <c r="AA1017" s="0" t="s">
        <v>7385</v>
      </c>
      <c r="AB1017" s="0" t="s">
        <v>262</v>
      </c>
      <c r="AC1017" s="0" t="s">
        <v>7629</v>
      </c>
      <c r="AD1017" s="0" t="s">
        <v>260</v>
      </c>
      <c r="AE1017" s="0" t="s">
        <v>681</v>
      </c>
      <c r="AG1017" s="0" t="s">
        <v>230</v>
      </c>
    </row>
    <row r="1018" customFormat="false" ht="15" hidden="false" customHeight="false" outlineLevel="0" collapsed="false">
      <c r="A1018" s="0" t="s">
        <v>7336</v>
      </c>
      <c r="B1018" s="0" t="s">
        <v>3764</v>
      </c>
      <c r="C1018" s="0" t="s">
        <v>3765</v>
      </c>
      <c r="D1018" s="0" t="s">
        <v>300</v>
      </c>
      <c r="E1018" s="0" t="s">
        <v>3766</v>
      </c>
      <c r="F1018" s="0" t="s">
        <v>3759</v>
      </c>
      <c r="G1018" s="0" t="s">
        <v>140</v>
      </c>
      <c r="H1018" s="0" t="s">
        <v>7976</v>
      </c>
      <c r="I1018" s="0" t="s">
        <v>7338</v>
      </c>
      <c r="J1018" s="0" t="s">
        <v>1602</v>
      </c>
      <c r="K1018" s="0" t="s">
        <v>7339</v>
      </c>
      <c r="L1018" s="0" t="s">
        <v>7340</v>
      </c>
      <c r="M1018" s="0" t="s">
        <v>7661</v>
      </c>
      <c r="N1018" s="0" t="s">
        <v>7342</v>
      </c>
      <c r="O1018" s="0" t="s">
        <v>7360</v>
      </c>
      <c r="P1018" s="0" t="s">
        <v>236</v>
      </c>
      <c r="Q1018" s="0" t="s">
        <v>7354</v>
      </c>
      <c r="R1018" s="0" t="s">
        <v>7343</v>
      </c>
      <c r="S1018" s="0" t="s">
        <v>7344</v>
      </c>
      <c r="T1018" s="0" t="s">
        <v>260</v>
      </c>
      <c r="U1018" s="0" t="s">
        <v>7369</v>
      </c>
      <c r="V1018" s="0" t="s">
        <v>34</v>
      </c>
      <c r="W1018" s="0" t="s">
        <v>37</v>
      </c>
      <c r="X1018" s="0" t="s">
        <v>7355</v>
      </c>
      <c r="Y1018" s="0" t="s">
        <v>7346</v>
      </c>
      <c r="Z1018" s="0" t="s">
        <v>7370</v>
      </c>
      <c r="AA1018" s="0" t="s">
        <v>7385</v>
      </c>
      <c r="AB1018" s="0" t="s">
        <v>262</v>
      </c>
      <c r="AC1018" s="0" t="s">
        <v>7629</v>
      </c>
      <c r="AD1018" s="0" t="s">
        <v>260</v>
      </c>
      <c r="AE1018" s="0" t="s">
        <v>681</v>
      </c>
      <c r="AG1018" s="0" t="s">
        <v>230</v>
      </c>
    </row>
    <row r="1019" customFormat="false" ht="15" hidden="false" customHeight="false" outlineLevel="0" collapsed="false">
      <c r="A1019" s="0" t="s">
        <v>7336</v>
      </c>
      <c r="B1019" s="0" t="s">
        <v>3767</v>
      </c>
      <c r="C1019" s="0" t="s">
        <v>3768</v>
      </c>
      <c r="D1019" s="0" t="s">
        <v>300</v>
      </c>
      <c r="E1019" s="0" t="s">
        <v>3769</v>
      </c>
      <c r="F1019" s="0" t="s">
        <v>3770</v>
      </c>
      <c r="G1019" s="0" t="s">
        <v>142</v>
      </c>
      <c r="H1019" s="0" t="s">
        <v>7978</v>
      </c>
      <c r="I1019" s="0" t="s">
        <v>7338</v>
      </c>
      <c r="J1019" s="0" t="s">
        <v>1602</v>
      </c>
      <c r="K1019" s="0" t="s">
        <v>7339</v>
      </c>
      <c r="L1019" s="0" t="s">
        <v>7340</v>
      </c>
      <c r="M1019" s="0" t="s">
        <v>7661</v>
      </c>
      <c r="N1019" s="0" t="s">
        <v>7342</v>
      </c>
      <c r="O1019" s="0" t="s">
        <v>7360</v>
      </c>
      <c r="P1019" s="0" t="s">
        <v>236</v>
      </c>
      <c r="Q1019" s="0" t="s">
        <v>7354</v>
      </c>
      <c r="R1019" s="0" t="s">
        <v>7343</v>
      </c>
      <c r="S1019" s="0" t="s">
        <v>7344</v>
      </c>
      <c r="T1019" s="0" t="s">
        <v>260</v>
      </c>
      <c r="U1019" s="0" t="s">
        <v>7369</v>
      </c>
      <c r="V1019" s="0" t="s">
        <v>34</v>
      </c>
      <c r="W1019" s="0" t="s">
        <v>45</v>
      </c>
      <c r="X1019" s="0" t="s">
        <v>7355</v>
      </c>
      <c r="Y1019" s="0" t="s">
        <v>7346</v>
      </c>
      <c r="Z1019" s="0" t="s">
        <v>7370</v>
      </c>
      <c r="AA1019" s="0" t="s">
        <v>7385</v>
      </c>
      <c r="AB1019" s="0" t="s">
        <v>262</v>
      </c>
      <c r="AC1019" s="0" t="s">
        <v>7629</v>
      </c>
      <c r="AD1019" s="0" t="s">
        <v>260</v>
      </c>
      <c r="AE1019" s="0" t="s">
        <v>681</v>
      </c>
      <c r="AG1019" s="0" t="s">
        <v>230</v>
      </c>
    </row>
    <row r="1020" customFormat="false" ht="15" hidden="false" customHeight="false" outlineLevel="0" collapsed="false">
      <c r="A1020" s="0" t="s">
        <v>7336</v>
      </c>
      <c r="B1020" s="0" t="s">
        <v>3771</v>
      </c>
      <c r="C1020" s="0" t="s">
        <v>3772</v>
      </c>
      <c r="D1020" s="0" t="s">
        <v>300</v>
      </c>
      <c r="E1020" s="0" t="s">
        <v>3773</v>
      </c>
      <c r="F1020" s="0" t="s">
        <v>3774</v>
      </c>
      <c r="G1020" s="0" t="s">
        <v>142</v>
      </c>
      <c r="H1020" s="0" t="s">
        <v>7979</v>
      </c>
      <c r="I1020" s="0" t="s">
        <v>7338</v>
      </c>
      <c r="J1020" s="0" t="s">
        <v>1602</v>
      </c>
      <c r="K1020" s="0" t="s">
        <v>7339</v>
      </c>
      <c r="L1020" s="0" t="s">
        <v>7340</v>
      </c>
      <c r="M1020" s="0" t="s">
        <v>7661</v>
      </c>
      <c r="N1020" s="0" t="s">
        <v>7342</v>
      </c>
      <c r="O1020" s="0" t="s">
        <v>7360</v>
      </c>
      <c r="P1020" s="0" t="s">
        <v>236</v>
      </c>
      <c r="Q1020" s="0" t="s">
        <v>7354</v>
      </c>
      <c r="R1020" s="0" t="s">
        <v>7343</v>
      </c>
      <c r="S1020" s="0" t="s">
        <v>7344</v>
      </c>
      <c r="T1020" s="0" t="s">
        <v>260</v>
      </c>
      <c r="U1020" s="0" t="s">
        <v>7369</v>
      </c>
      <c r="V1020" s="0" t="s">
        <v>34</v>
      </c>
      <c r="W1020" s="0" t="s">
        <v>45</v>
      </c>
      <c r="X1020" s="0" t="s">
        <v>7355</v>
      </c>
      <c r="Y1020" s="0" t="s">
        <v>7346</v>
      </c>
      <c r="Z1020" s="0" t="s">
        <v>7370</v>
      </c>
      <c r="AA1020" s="0" t="s">
        <v>7385</v>
      </c>
      <c r="AB1020" s="0" t="s">
        <v>262</v>
      </c>
      <c r="AC1020" s="0" t="s">
        <v>7629</v>
      </c>
      <c r="AD1020" s="0" t="s">
        <v>260</v>
      </c>
      <c r="AE1020" s="0" t="s">
        <v>681</v>
      </c>
      <c r="AG1020" s="0" t="s">
        <v>230</v>
      </c>
    </row>
    <row r="1021" customFormat="false" ht="15" hidden="false" customHeight="false" outlineLevel="0" collapsed="false">
      <c r="A1021" s="0" t="s">
        <v>7336</v>
      </c>
      <c r="B1021" s="0" t="s">
        <v>3775</v>
      </c>
      <c r="C1021" s="0" t="s">
        <v>3776</v>
      </c>
      <c r="D1021" s="0" t="s">
        <v>300</v>
      </c>
      <c r="E1021" s="0" t="s">
        <v>3777</v>
      </c>
      <c r="F1021" s="0" t="s">
        <v>3770</v>
      </c>
      <c r="G1021" s="0" t="s">
        <v>142</v>
      </c>
      <c r="H1021" s="0" t="s">
        <v>7978</v>
      </c>
      <c r="I1021" s="0" t="s">
        <v>7338</v>
      </c>
      <c r="J1021" s="0" t="s">
        <v>1602</v>
      </c>
      <c r="K1021" s="0" t="s">
        <v>7339</v>
      </c>
      <c r="L1021" s="0" t="s">
        <v>7340</v>
      </c>
      <c r="M1021" s="0" t="s">
        <v>7661</v>
      </c>
      <c r="N1021" s="0" t="s">
        <v>7342</v>
      </c>
      <c r="O1021" s="0" t="s">
        <v>7360</v>
      </c>
      <c r="P1021" s="0" t="s">
        <v>236</v>
      </c>
      <c r="Q1021" s="0" t="s">
        <v>7354</v>
      </c>
      <c r="R1021" s="0" t="s">
        <v>7343</v>
      </c>
      <c r="S1021" s="0" t="s">
        <v>7344</v>
      </c>
      <c r="T1021" s="0" t="s">
        <v>260</v>
      </c>
      <c r="U1021" s="0" t="s">
        <v>7369</v>
      </c>
      <c r="V1021" s="0" t="s">
        <v>34</v>
      </c>
      <c r="W1021" s="0" t="s">
        <v>45</v>
      </c>
      <c r="X1021" s="0" t="s">
        <v>7355</v>
      </c>
      <c r="Y1021" s="0" t="s">
        <v>7346</v>
      </c>
      <c r="Z1021" s="0" t="s">
        <v>7370</v>
      </c>
      <c r="AA1021" s="0" t="s">
        <v>7385</v>
      </c>
      <c r="AB1021" s="0" t="s">
        <v>262</v>
      </c>
      <c r="AC1021" s="0" t="s">
        <v>7629</v>
      </c>
      <c r="AD1021" s="0" t="s">
        <v>260</v>
      </c>
      <c r="AE1021" s="0" t="s">
        <v>681</v>
      </c>
      <c r="AG1021" s="0" t="s">
        <v>230</v>
      </c>
    </row>
    <row r="1022" customFormat="false" ht="15" hidden="false" customHeight="false" outlineLevel="0" collapsed="false">
      <c r="A1022" s="0" t="s">
        <v>7336</v>
      </c>
      <c r="B1022" s="0" t="s">
        <v>3778</v>
      </c>
      <c r="C1022" s="0" t="s">
        <v>3779</v>
      </c>
      <c r="D1022" s="0" t="s">
        <v>300</v>
      </c>
      <c r="E1022" s="0" t="s">
        <v>3780</v>
      </c>
      <c r="F1022" s="0" t="s">
        <v>3781</v>
      </c>
      <c r="G1022" s="0" t="s">
        <v>142</v>
      </c>
      <c r="H1022" s="0" t="s">
        <v>7980</v>
      </c>
      <c r="I1022" s="0" t="s">
        <v>7338</v>
      </c>
      <c r="J1022" s="0" t="s">
        <v>1602</v>
      </c>
      <c r="K1022" s="0" t="s">
        <v>7339</v>
      </c>
      <c r="L1022" s="0" t="s">
        <v>7340</v>
      </c>
      <c r="M1022" s="0" t="s">
        <v>7661</v>
      </c>
      <c r="N1022" s="0" t="s">
        <v>7342</v>
      </c>
      <c r="O1022" s="0" t="s">
        <v>7360</v>
      </c>
      <c r="P1022" s="0" t="s">
        <v>236</v>
      </c>
      <c r="Q1022" s="0" t="s">
        <v>7354</v>
      </c>
      <c r="R1022" s="0" t="s">
        <v>7343</v>
      </c>
      <c r="S1022" s="0" t="s">
        <v>7344</v>
      </c>
      <c r="T1022" s="0" t="s">
        <v>260</v>
      </c>
      <c r="U1022" s="0" t="s">
        <v>7369</v>
      </c>
      <c r="V1022" s="0" t="s">
        <v>34</v>
      </c>
      <c r="W1022" s="0" t="s">
        <v>45</v>
      </c>
      <c r="X1022" s="0" t="s">
        <v>7355</v>
      </c>
      <c r="Y1022" s="0" t="s">
        <v>7346</v>
      </c>
      <c r="Z1022" s="0" t="s">
        <v>7370</v>
      </c>
      <c r="AA1022" s="0" t="s">
        <v>7385</v>
      </c>
      <c r="AB1022" s="0" t="s">
        <v>262</v>
      </c>
      <c r="AC1022" s="0" t="s">
        <v>7629</v>
      </c>
      <c r="AD1022" s="0" t="s">
        <v>260</v>
      </c>
      <c r="AE1022" s="0" t="s">
        <v>681</v>
      </c>
      <c r="AG1022" s="0" t="s">
        <v>230</v>
      </c>
    </row>
    <row r="1023" customFormat="false" ht="15" hidden="false" customHeight="false" outlineLevel="0" collapsed="false">
      <c r="A1023" s="0" t="s">
        <v>7336</v>
      </c>
      <c r="B1023" s="0" t="s">
        <v>3782</v>
      </c>
      <c r="C1023" s="0" t="s">
        <v>3783</v>
      </c>
      <c r="D1023" s="0" t="s">
        <v>300</v>
      </c>
      <c r="E1023" s="0" t="s">
        <v>3784</v>
      </c>
      <c r="F1023" s="0" t="s">
        <v>3785</v>
      </c>
      <c r="G1023" s="0" t="s">
        <v>142</v>
      </c>
      <c r="H1023" s="0" t="s">
        <v>7981</v>
      </c>
      <c r="I1023" s="0" t="s">
        <v>7338</v>
      </c>
      <c r="J1023" s="0" t="s">
        <v>1602</v>
      </c>
      <c r="K1023" s="0" t="s">
        <v>7339</v>
      </c>
      <c r="L1023" s="0" t="s">
        <v>7340</v>
      </c>
      <c r="M1023" s="0" t="s">
        <v>7661</v>
      </c>
      <c r="N1023" s="0" t="s">
        <v>7342</v>
      </c>
      <c r="O1023" s="0" t="s">
        <v>7360</v>
      </c>
      <c r="P1023" s="0" t="s">
        <v>236</v>
      </c>
      <c r="Q1023" s="0" t="s">
        <v>7354</v>
      </c>
      <c r="R1023" s="0" t="s">
        <v>7343</v>
      </c>
      <c r="S1023" s="0" t="s">
        <v>7344</v>
      </c>
      <c r="T1023" s="0" t="s">
        <v>260</v>
      </c>
      <c r="U1023" s="0" t="s">
        <v>7369</v>
      </c>
      <c r="V1023" s="0" t="s">
        <v>34</v>
      </c>
      <c r="W1023" s="0" t="s">
        <v>45</v>
      </c>
      <c r="X1023" s="0" t="s">
        <v>7355</v>
      </c>
      <c r="Y1023" s="0" t="s">
        <v>7346</v>
      </c>
      <c r="Z1023" s="0" t="s">
        <v>7370</v>
      </c>
      <c r="AA1023" s="0" t="s">
        <v>7385</v>
      </c>
      <c r="AB1023" s="0" t="s">
        <v>262</v>
      </c>
      <c r="AC1023" s="0" t="s">
        <v>7629</v>
      </c>
      <c r="AD1023" s="0" t="s">
        <v>260</v>
      </c>
      <c r="AE1023" s="0" t="s">
        <v>681</v>
      </c>
      <c r="AG1023" s="0" t="s">
        <v>230</v>
      </c>
    </row>
    <row r="1024" customFormat="false" ht="15" hidden="false" customHeight="false" outlineLevel="0" collapsed="false">
      <c r="A1024" s="0" t="s">
        <v>7336</v>
      </c>
      <c r="B1024" s="0" t="s">
        <v>3786</v>
      </c>
      <c r="C1024" s="0" t="s">
        <v>3787</v>
      </c>
      <c r="D1024" s="0" t="s">
        <v>300</v>
      </c>
      <c r="E1024" s="0" t="s">
        <v>3788</v>
      </c>
      <c r="F1024" s="0" t="s">
        <v>3781</v>
      </c>
      <c r="G1024" s="0" t="s">
        <v>142</v>
      </c>
      <c r="H1024" s="0" t="s">
        <v>7980</v>
      </c>
      <c r="I1024" s="0" t="s">
        <v>7338</v>
      </c>
      <c r="J1024" s="0" t="s">
        <v>1602</v>
      </c>
      <c r="K1024" s="0" t="s">
        <v>7339</v>
      </c>
      <c r="L1024" s="0" t="s">
        <v>7340</v>
      </c>
      <c r="M1024" s="0" t="s">
        <v>7661</v>
      </c>
      <c r="N1024" s="0" t="s">
        <v>7342</v>
      </c>
      <c r="O1024" s="0" t="s">
        <v>7360</v>
      </c>
      <c r="P1024" s="0" t="s">
        <v>236</v>
      </c>
      <c r="Q1024" s="0" t="s">
        <v>7354</v>
      </c>
      <c r="R1024" s="0" t="s">
        <v>7343</v>
      </c>
      <c r="S1024" s="0" t="s">
        <v>7344</v>
      </c>
      <c r="T1024" s="0" t="s">
        <v>260</v>
      </c>
      <c r="U1024" s="0" t="s">
        <v>7369</v>
      </c>
      <c r="V1024" s="0" t="s">
        <v>34</v>
      </c>
      <c r="W1024" s="0" t="s">
        <v>45</v>
      </c>
      <c r="X1024" s="0" t="s">
        <v>7355</v>
      </c>
      <c r="Y1024" s="0" t="s">
        <v>7346</v>
      </c>
      <c r="Z1024" s="0" t="s">
        <v>7370</v>
      </c>
      <c r="AA1024" s="0" t="s">
        <v>7385</v>
      </c>
      <c r="AB1024" s="0" t="s">
        <v>262</v>
      </c>
      <c r="AC1024" s="0" t="s">
        <v>7629</v>
      </c>
      <c r="AD1024" s="0" t="s">
        <v>260</v>
      </c>
      <c r="AE1024" s="0" t="s">
        <v>681</v>
      </c>
      <c r="AG1024" s="0" t="s">
        <v>230</v>
      </c>
    </row>
    <row r="1025" customFormat="false" ht="15" hidden="false" customHeight="false" outlineLevel="0" collapsed="false">
      <c r="A1025" s="0" t="s">
        <v>7336</v>
      </c>
      <c r="B1025" s="0" t="s">
        <v>3789</v>
      </c>
      <c r="C1025" s="0" t="s">
        <v>3790</v>
      </c>
      <c r="D1025" s="0" t="s">
        <v>300</v>
      </c>
      <c r="E1025" s="0" t="s">
        <v>3791</v>
      </c>
      <c r="F1025" s="0" t="s">
        <v>3661</v>
      </c>
      <c r="G1025" s="0" t="s">
        <v>142</v>
      </c>
      <c r="H1025" s="0" t="s">
        <v>7970</v>
      </c>
      <c r="I1025" s="0" t="s">
        <v>7338</v>
      </c>
      <c r="J1025" s="0" t="s">
        <v>1602</v>
      </c>
      <c r="K1025" s="0" t="s">
        <v>7339</v>
      </c>
      <c r="L1025" s="0" t="s">
        <v>7340</v>
      </c>
      <c r="M1025" s="0" t="s">
        <v>7661</v>
      </c>
      <c r="N1025" s="0" t="s">
        <v>7342</v>
      </c>
      <c r="O1025" s="0" t="s">
        <v>7360</v>
      </c>
      <c r="P1025" s="0" t="s">
        <v>236</v>
      </c>
      <c r="Q1025" s="0" t="s">
        <v>7354</v>
      </c>
      <c r="R1025" s="0" t="s">
        <v>7343</v>
      </c>
      <c r="S1025" s="0" t="s">
        <v>7344</v>
      </c>
      <c r="T1025" s="0" t="s">
        <v>260</v>
      </c>
      <c r="U1025" s="0" t="s">
        <v>7369</v>
      </c>
      <c r="V1025" s="0" t="s">
        <v>34</v>
      </c>
      <c r="W1025" s="0" t="s">
        <v>45</v>
      </c>
      <c r="X1025" s="0" t="s">
        <v>7355</v>
      </c>
      <c r="Y1025" s="0" t="s">
        <v>7346</v>
      </c>
      <c r="Z1025" s="0" t="s">
        <v>7370</v>
      </c>
      <c r="AA1025" s="0" t="s">
        <v>7385</v>
      </c>
      <c r="AB1025" s="0" t="s">
        <v>262</v>
      </c>
      <c r="AC1025" s="0" t="s">
        <v>7629</v>
      </c>
      <c r="AD1025" s="0" t="s">
        <v>260</v>
      </c>
      <c r="AE1025" s="0" t="s">
        <v>681</v>
      </c>
      <c r="AG1025" s="0" t="s">
        <v>230</v>
      </c>
    </row>
    <row r="1026" customFormat="false" ht="15" hidden="false" customHeight="false" outlineLevel="0" collapsed="false">
      <c r="A1026" s="0" t="s">
        <v>7336</v>
      </c>
      <c r="B1026" s="0" t="s">
        <v>3792</v>
      </c>
      <c r="C1026" s="0" t="s">
        <v>3793</v>
      </c>
      <c r="D1026" s="0" t="s">
        <v>300</v>
      </c>
      <c r="E1026" s="0" t="s">
        <v>3794</v>
      </c>
      <c r="F1026" s="0" t="s">
        <v>3795</v>
      </c>
      <c r="G1026" s="0" t="s">
        <v>142</v>
      </c>
      <c r="H1026" s="0" t="s">
        <v>7982</v>
      </c>
      <c r="I1026" s="0" t="s">
        <v>7338</v>
      </c>
      <c r="J1026" s="0" t="s">
        <v>1602</v>
      </c>
      <c r="K1026" s="0" t="s">
        <v>7339</v>
      </c>
      <c r="L1026" s="0" t="s">
        <v>7340</v>
      </c>
      <c r="M1026" s="0" t="s">
        <v>7661</v>
      </c>
      <c r="N1026" s="0" t="s">
        <v>7342</v>
      </c>
      <c r="O1026" s="0" t="s">
        <v>7360</v>
      </c>
      <c r="P1026" s="0" t="s">
        <v>236</v>
      </c>
      <c r="Q1026" s="0" t="s">
        <v>7354</v>
      </c>
      <c r="R1026" s="0" t="s">
        <v>7343</v>
      </c>
      <c r="S1026" s="0" t="s">
        <v>7344</v>
      </c>
      <c r="T1026" s="0" t="s">
        <v>260</v>
      </c>
      <c r="U1026" s="0" t="s">
        <v>7369</v>
      </c>
      <c r="V1026" s="0" t="s">
        <v>34</v>
      </c>
      <c r="W1026" s="0" t="s">
        <v>45</v>
      </c>
      <c r="X1026" s="0" t="s">
        <v>7355</v>
      </c>
      <c r="Y1026" s="0" t="s">
        <v>7346</v>
      </c>
      <c r="Z1026" s="0" t="s">
        <v>7370</v>
      </c>
      <c r="AA1026" s="0" t="s">
        <v>7385</v>
      </c>
      <c r="AB1026" s="0" t="s">
        <v>262</v>
      </c>
      <c r="AC1026" s="0" t="s">
        <v>7629</v>
      </c>
      <c r="AD1026" s="0" t="s">
        <v>260</v>
      </c>
      <c r="AE1026" s="0" t="s">
        <v>681</v>
      </c>
      <c r="AG1026" s="0" t="s">
        <v>230</v>
      </c>
    </row>
    <row r="1027" customFormat="false" ht="15" hidden="false" customHeight="false" outlineLevel="0" collapsed="false">
      <c r="A1027" s="0" t="s">
        <v>7336</v>
      </c>
      <c r="B1027" s="0" t="s">
        <v>3796</v>
      </c>
      <c r="C1027" s="0" t="s">
        <v>3797</v>
      </c>
      <c r="D1027" s="0" t="s">
        <v>227</v>
      </c>
      <c r="E1027" s="0" t="s">
        <v>3798</v>
      </c>
      <c r="F1027" s="0" t="s">
        <v>3799</v>
      </c>
      <c r="G1027" s="0" t="s">
        <v>138</v>
      </c>
      <c r="H1027" s="0" t="s">
        <v>7983</v>
      </c>
      <c r="I1027" s="0" t="s">
        <v>7338</v>
      </c>
      <c r="J1027" s="0" t="s">
        <v>1602</v>
      </c>
      <c r="K1027" s="0" t="s">
        <v>7339</v>
      </c>
      <c r="L1027" s="0" t="s">
        <v>7340</v>
      </c>
      <c r="M1027" s="0" t="s">
        <v>7661</v>
      </c>
      <c r="N1027" s="0" t="s">
        <v>7342</v>
      </c>
    </row>
    <row r="1028" customFormat="false" ht="15" hidden="false" customHeight="false" outlineLevel="0" collapsed="false">
      <c r="A1028" s="0" t="s">
        <v>7336</v>
      </c>
      <c r="B1028" s="0" t="s">
        <v>3800</v>
      </c>
      <c r="C1028" s="0" t="s">
        <v>3801</v>
      </c>
      <c r="D1028" s="0" t="s">
        <v>343</v>
      </c>
      <c r="E1028" s="0" t="s">
        <v>3802</v>
      </c>
      <c r="F1028" s="0" t="s">
        <v>3803</v>
      </c>
      <c r="G1028" s="0" t="s">
        <v>156</v>
      </c>
      <c r="H1028" s="0" t="s">
        <v>7984</v>
      </c>
      <c r="I1028" s="0" t="s">
        <v>7338</v>
      </c>
      <c r="J1028" s="0" t="s">
        <v>1602</v>
      </c>
      <c r="K1028" s="0" t="s">
        <v>7339</v>
      </c>
      <c r="L1028" s="0" t="s">
        <v>7340</v>
      </c>
      <c r="M1028" s="0" t="s">
        <v>7661</v>
      </c>
      <c r="N1028" s="0" t="s">
        <v>7342</v>
      </c>
      <c r="P1028" s="0" t="s">
        <v>229</v>
      </c>
      <c r="Q1028" s="0" t="s">
        <v>7354</v>
      </c>
      <c r="R1028" s="0" t="s">
        <v>7343</v>
      </c>
      <c r="S1028" s="0" t="s">
        <v>7344</v>
      </c>
      <c r="T1028" s="0" t="s">
        <v>228</v>
      </c>
      <c r="V1028" s="0" t="s">
        <v>73</v>
      </c>
      <c r="W1028" s="0" t="s">
        <v>75</v>
      </c>
      <c r="X1028" s="0" t="s">
        <v>7345</v>
      </c>
      <c r="Y1028" s="0" t="s">
        <v>7356</v>
      </c>
      <c r="Z1028" s="0" t="s">
        <v>7357</v>
      </c>
      <c r="AA1028" s="0" t="s">
        <v>7358</v>
      </c>
      <c r="AB1028" s="0" t="s">
        <v>344</v>
      </c>
      <c r="AC1028" s="0" t="s">
        <v>7349</v>
      </c>
      <c r="AD1028" s="0" t="s">
        <v>7985</v>
      </c>
      <c r="AE1028" s="0" t="s">
        <v>7986</v>
      </c>
      <c r="AF1028" s="0" t="s">
        <v>7374</v>
      </c>
      <c r="AG1028" s="0" t="s">
        <v>230</v>
      </c>
    </row>
    <row r="1029" customFormat="false" ht="15" hidden="false" customHeight="false" outlineLevel="0" collapsed="false">
      <c r="A1029" s="0" t="s">
        <v>7336</v>
      </c>
      <c r="B1029" s="0" t="s">
        <v>3804</v>
      </c>
      <c r="C1029" s="0" t="s">
        <v>3805</v>
      </c>
      <c r="D1029" s="0" t="s">
        <v>343</v>
      </c>
      <c r="E1029" s="0" t="s">
        <v>3806</v>
      </c>
      <c r="F1029" s="0" t="s">
        <v>3807</v>
      </c>
      <c r="G1029" s="0" t="s">
        <v>156</v>
      </c>
      <c r="H1029" s="0" t="s">
        <v>7987</v>
      </c>
      <c r="I1029" s="0" t="s">
        <v>7338</v>
      </c>
      <c r="J1029" s="0" t="s">
        <v>1602</v>
      </c>
      <c r="K1029" s="0" t="s">
        <v>7339</v>
      </c>
      <c r="L1029" s="0" t="s">
        <v>7340</v>
      </c>
      <c r="M1029" s="0" t="s">
        <v>7661</v>
      </c>
      <c r="N1029" s="0" t="s">
        <v>7342</v>
      </c>
      <c r="P1029" s="0" t="s">
        <v>229</v>
      </c>
      <c r="Q1029" s="0" t="s">
        <v>7354</v>
      </c>
      <c r="R1029" s="0" t="s">
        <v>7343</v>
      </c>
      <c r="S1029" s="0" t="s">
        <v>7344</v>
      </c>
      <c r="T1029" s="0" t="s">
        <v>228</v>
      </c>
      <c r="V1029" s="0" t="s">
        <v>73</v>
      </c>
      <c r="W1029" s="0" t="s">
        <v>75</v>
      </c>
      <c r="X1029" s="0" t="s">
        <v>7345</v>
      </c>
      <c r="Y1029" s="0" t="s">
        <v>7356</v>
      </c>
      <c r="Z1029" s="0" t="s">
        <v>7357</v>
      </c>
      <c r="AA1029" s="0" t="s">
        <v>7358</v>
      </c>
      <c r="AB1029" s="0" t="s">
        <v>344</v>
      </c>
      <c r="AC1029" s="0" t="s">
        <v>7349</v>
      </c>
      <c r="AD1029" s="0" t="s">
        <v>7985</v>
      </c>
      <c r="AE1029" s="0" t="s">
        <v>7986</v>
      </c>
      <c r="AF1029" s="0" t="s">
        <v>7374</v>
      </c>
      <c r="AG1029" s="0" t="s">
        <v>230</v>
      </c>
    </row>
    <row r="1030" customFormat="false" ht="15" hidden="false" customHeight="false" outlineLevel="0" collapsed="false">
      <c r="A1030" s="0" t="s">
        <v>7336</v>
      </c>
      <c r="B1030" s="0" t="s">
        <v>3808</v>
      </c>
      <c r="C1030" s="0" t="s">
        <v>3809</v>
      </c>
      <c r="D1030" s="0" t="s">
        <v>343</v>
      </c>
      <c r="E1030" s="0" t="s">
        <v>3810</v>
      </c>
      <c r="F1030" s="0" t="s">
        <v>3811</v>
      </c>
      <c r="G1030" s="0" t="s">
        <v>156</v>
      </c>
      <c r="H1030" s="0" t="s">
        <v>7988</v>
      </c>
      <c r="I1030" s="0" t="s">
        <v>7338</v>
      </c>
      <c r="J1030" s="0" t="s">
        <v>1602</v>
      </c>
      <c r="K1030" s="0" t="s">
        <v>7339</v>
      </c>
      <c r="L1030" s="0" t="s">
        <v>7340</v>
      </c>
      <c r="M1030" s="0" t="s">
        <v>7661</v>
      </c>
      <c r="N1030" s="0" t="s">
        <v>7342</v>
      </c>
      <c r="P1030" s="0" t="s">
        <v>229</v>
      </c>
      <c r="Q1030" s="0" t="s">
        <v>7354</v>
      </c>
      <c r="R1030" s="0" t="s">
        <v>7343</v>
      </c>
      <c r="S1030" s="0" t="s">
        <v>7344</v>
      </c>
      <c r="T1030" s="0" t="s">
        <v>228</v>
      </c>
      <c r="V1030" s="0" t="s">
        <v>73</v>
      </c>
      <c r="W1030" s="0" t="s">
        <v>75</v>
      </c>
      <c r="X1030" s="0" t="s">
        <v>7345</v>
      </c>
      <c r="Y1030" s="0" t="s">
        <v>7356</v>
      </c>
      <c r="Z1030" s="0" t="s">
        <v>7357</v>
      </c>
      <c r="AA1030" s="0" t="s">
        <v>7358</v>
      </c>
      <c r="AB1030" s="0" t="s">
        <v>344</v>
      </c>
      <c r="AC1030" s="0" t="s">
        <v>7349</v>
      </c>
      <c r="AD1030" s="0" t="s">
        <v>7985</v>
      </c>
      <c r="AE1030" s="0" t="s">
        <v>7986</v>
      </c>
      <c r="AF1030" s="0" t="s">
        <v>7374</v>
      </c>
      <c r="AG1030" s="0" t="s">
        <v>230</v>
      </c>
    </row>
    <row r="1031" customFormat="false" ht="15" hidden="false" customHeight="false" outlineLevel="0" collapsed="false">
      <c r="A1031" s="0" t="s">
        <v>7336</v>
      </c>
      <c r="B1031" s="0" t="s">
        <v>3812</v>
      </c>
      <c r="C1031" s="0" t="s">
        <v>3813</v>
      </c>
      <c r="D1031" s="0" t="s">
        <v>343</v>
      </c>
      <c r="E1031" s="0" t="s">
        <v>3814</v>
      </c>
      <c r="F1031" s="0" t="s">
        <v>3815</v>
      </c>
      <c r="G1031" s="0" t="s">
        <v>156</v>
      </c>
      <c r="H1031" s="0" t="s">
        <v>7989</v>
      </c>
      <c r="I1031" s="0" t="s">
        <v>7338</v>
      </c>
      <c r="J1031" s="0" t="s">
        <v>1602</v>
      </c>
      <c r="K1031" s="0" t="s">
        <v>7339</v>
      </c>
      <c r="L1031" s="0" t="s">
        <v>7340</v>
      </c>
      <c r="M1031" s="0" t="s">
        <v>7661</v>
      </c>
      <c r="N1031" s="0" t="s">
        <v>7342</v>
      </c>
      <c r="P1031" s="0" t="s">
        <v>229</v>
      </c>
      <c r="Q1031" s="0" t="s">
        <v>7354</v>
      </c>
      <c r="R1031" s="0" t="s">
        <v>7343</v>
      </c>
      <c r="S1031" s="0" t="s">
        <v>7344</v>
      </c>
      <c r="T1031" s="0" t="s">
        <v>228</v>
      </c>
      <c r="V1031" s="0" t="s">
        <v>73</v>
      </c>
      <c r="W1031" s="0" t="s">
        <v>75</v>
      </c>
      <c r="X1031" s="0" t="s">
        <v>7345</v>
      </c>
      <c r="Y1031" s="0" t="s">
        <v>7356</v>
      </c>
      <c r="Z1031" s="0" t="s">
        <v>7357</v>
      </c>
      <c r="AA1031" s="0" t="s">
        <v>7358</v>
      </c>
      <c r="AB1031" s="0" t="s">
        <v>344</v>
      </c>
      <c r="AC1031" s="0" t="s">
        <v>7349</v>
      </c>
      <c r="AD1031" s="0" t="s">
        <v>7985</v>
      </c>
      <c r="AE1031" s="0" t="s">
        <v>7986</v>
      </c>
      <c r="AF1031" s="0" t="s">
        <v>7374</v>
      </c>
      <c r="AG1031" s="0" t="s">
        <v>230</v>
      </c>
    </row>
    <row r="1032" customFormat="false" ht="15" hidden="false" customHeight="false" outlineLevel="0" collapsed="false">
      <c r="A1032" s="0" t="s">
        <v>7336</v>
      </c>
      <c r="B1032" s="0" t="s">
        <v>3816</v>
      </c>
      <c r="C1032" s="0" t="s">
        <v>3817</v>
      </c>
      <c r="D1032" s="0" t="s">
        <v>343</v>
      </c>
      <c r="E1032" s="0" t="s">
        <v>3818</v>
      </c>
      <c r="F1032" s="0" t="s">
        <v>3819</v>
      </c>
      <c r="G1032" s="0" t="s">
        <v>156</v>
      </c>
      <c r="H1032" s="0" t="s">
        <v>7990</v>
      </c>
      <c r="I1032" s="0" t="s">
        <v>7338</v>
      </c>
      <c r="J1032" s="0" t="s">
        <v>1602</v>
      </c>
      <c r="K1032" s="0" t="s">
        <v>7339</v>
      </c>
      <c r="L1032" s="0" t="s">
        <v>7340</v>
      </c>
      <c r="M1032" s="0" t="s">
        <v>7661</v>
      </c>
      <c r="N1032" s="0" t="s">
        <v>7342</v>
      </c>
      <c r="P1032" s="0" t="s">
        <v>229</v>
      </c>
      <c r="Q1032" s="0" t="s">
        <v>7354</v>
      </c>
      <c r="R1032" s="0" t="s">
        <v>7343</v>
      </c>
      <c r="S1032" s="0" t="s">
        <v>7344</v>
      </c>
      <c r="T1032" s="0" t="s">
        <v>228</v>
      </c>
      <c r="V1032" s="0" t="s">
        <v>73</v>
      </c>
      <c r="W1032" s="0" t="s">
        <v>75</v>
      </c>
      <c r="X1032" s="0" t="s">
        <v>7345</v>
      </c>
      <c r="Y1032" s="0" t="s">
        <v>7356</v>
      </c>
      <c r="Z1032" s="0" t="s">
        <v>7357</v>
      </c>
      <c r="AA1032" s="0" t="s">
        <v>7358</v>
      </c>
      <c r="AB1032" s="0" t="s">
        <v>344</v>
      </c>
      <c r="AC1032" s="0" t="s">
        <v>7349</v>
      </c>
      <c r="AD1032" s="0" t="s">
        <v>7985</v>
      </c>
      <c r="AE1032" s="0" t="s">
        <v>7986</v>
      </c>
      <c r="AF1032" s="0" t="s">
        <v>7374</v>
      </c>
      <c r="AG1032" s="0" t="s">
        <v>230</v>
      </c>
    </row>
    <row r="1033" customFormat="false" ht="15" hidden="false" customHeight="false" outlineLevel="0" collapsed="false">
      <c r="A1033" s="0" t="s">
        <v>7336</v>
      </c>
      <c r="B1033" s="0" t="s">
        <v>3820</v>
      </c>
      <c r="C1033" s="0" t="s">
        <v>3821</v>
      </c>
      <c r="D1033" s="0" t="s">
        <v>343</v>
      </c>
      <c r="E1033" s="0" t="s">
        <v>3822</v>
      </c>
      <c r="F1033" s="0" t="s">
        <v>3823</v>
      </c>
      <c r="G1033" s="0" t="s">
        <v>156</v>
      </c>
      <c r="H1033" s="0" t="s">
        <v>7991</v>
      </c>
      <c r="I1033" s="0" t="s">
        <v>7338</v>
      </c>
      <c r="J1033" s="0" t="s">
        <v>1602</v>
      </c>
      <c r="K1033" s="0" t="s">
        <v>7339</v>
      </c>
      <c r="L1033" s="0" t="s">
        <v>7340</v>
      </c>
      <c r="M1033" s="0" t="s">
        <v>7661</v>
      </c>
      <c r="N1033" s="0" t="s">
        <v>7342</v>
      </c>
      <c r="P1033" s="0" t="s">
        <v>229</v>
      </c>
      <c r="Q1033" s="0" t="s">
        <v>7354</v>
      </c>
      <c r="R1033" s="0" t="s">
        <v>7343</v>
      </c>
      <c r="S1033" s="0" t="s">
        <v>7344</v>
      </c>
      <c r="T1033" s="0" t="s">
        <v>228</v>
      </c>
      <c r="V1033" s="0" t="s">
        <v>73</v>
      </c>
      <c r="W1033" s="0" t="s">
        <v>75</v>
      </c>
      <c r="X1033" s="0" t="s">
        <v>7345</v>
      </c>
      <c r="Y1033" s="0" t="s">
        <v>7356</v>
      </c>
      <c r="Z1033" s="0" t="s">
        <v>7357</v>
      </c>
      <c r="AA1033" s="0" t="s">
        <v>7358</v>
      </c>
      <c r="AB1033" s="0" t="s">
        <v>344</v>
      </c>
      <c r="AC1033" s="0" t="s">
        <v>7349</v>
      </c>
      <c r="AD1033" s="0" t="s">
        <v>7985</v>
      </c>
      <c r="AE1033" s="0" t="s">
        <v>7986</v>
      </c>
      <c r="AF1033" s="0" t="s">
        <v>7374</v>
      </c>
      <c r="AG1033" s="0" t="s">
        <v>230</v>
      </c>
    </row>
    <row r="1034" customFormat="false" ht="15" hidden="false" customHeight="false" outlineLevel="0" collapsed="false">
      <c r="A1034" s="0" t="s">
        <v>7336</v>
      </c>
      <c r="B1034" s="0" t="s">
        <v>3824</v>
      </c>
      <c r="C1034" s="0" t="s">
        <v>3825</v>
      </c>
      <c r="D1034" s="0" t="s">
        <v>343</v>
      </c>
      <c r="E1034" s="0" t="s">
        <v>3826</v>
      </c>
      <c r="F1034" s="0" t="s">
        <v>3827</v>
      </c>
      <c r="G1034" s="0" t="s">
        <v>156</v>
      </c>
      <c r="H1034" s="0" t="s">
        <v>7992</v>
      </c>
      <c r="I1034" s="0" t="s">
        <v>7338</v>
      </c>
      <c r="J1034" s="0" t="s">
        <v>1602</v>
      </c>
      <c r="K1034" s="0" t="s">
        <v>7339</v>
      </c>
      <c r="L1034" s="0" t="s">
        <v>7340</v>
      </c>
      <c r="M1034" s="0" t="s">
        <v>7661</v>
      </c>
      <c r="N1034" s="0" t="s">
        <v>7342</v>
      </c>
      <c r="P1034" s="0" t="s">
        <v>229</v>
      </c>
      <c r="Q1034" s="0" t="s">
        <v>7354</v>
      </c>
      <c r="R1034" s="0" t="s">
        <v>7343</v>
      </c>
      <c r="S1034" s="0" t="s">
        <v>7344</v>
      </c>
      <c r="T1034" s="0" t="s">
        <v>228</v>
      </c>
      <c r="V1034" s="0" t="s">
        <v>73</v>
      </c>
      <c r="W1034" s="0" t="s">
        <v>75</v>
      </c>
      <c r="X1034" s="0" t="s">
        <v>7345</v>
      </c>
      <c r="Y1034" s="0" t="s">
        <v>7356</v>
      </c>
      <c r="Z1034" s="0" t="s">
        <v>7357</v>
      </c>
      <c r="AA1034" s="0" t="s">
        <v>7358</v>
      </c>
      <c r="AB1034" s="0" t="s">
        <v>344</v>
      </c>
      <c r="AC1034" s="0" t="s">
        <v>7349</v>
      </c>
      <c r="AD1034" s="0" t="s">
        <v>7985</v>
      </c>
      <c r="AE1034" s="0" t="s">
        <v>7986</v>
      </c>
      <c r="AF1034" s="0" t="s">
        <v>7374</v>
      </c>
      <c r="AG1034" s="0" t="s">
        <v>230</v>
      </c>
    </row>
    <row r="1035" customFormat="false" ht="15" hidden="false" customHeight="false" outlineLevel="0" collapsed="false">
      <c r="A1035" s="0" t="s">
        <v>7336</v>
      </c>
      <c r="B1035" s="0" t="s">
        <v>3828</v>
      </c>
      <c r="C1035" s="0" t="s">
        <v>3829</v>
      </c>
      <c r="D1035" s="0" t="s">
        <v>343</v>
      </c>
      <c r="E1035" s="0" t="s">
        <v>3830</v>
      </c>
      <c r="F1035" s="0" t="s">
        <v>3831</v>
      </c>
      <c r="G1035" s="0" t="s">
        <v>156</v>
      </c>
      <c r="H1035" s="0" t="s">
        <v>7993</v>
      </c>
      <c r="I1035" s="0" t="s">
        <v>7338</v>
      </c>
      <c r="J1035" s="0" t="s">
        <v>1602</v>
      </c>
      <c r="K1035" s="0" t="s">
        <v>7339</v>
      </c>
      <c r="L1035" s="0" t="s">
        <v>7340</v>
      </c>
      <c r="M1035" s="0" t="s">
        <v>7661</v>
      </c>
      <c r="N1035" s="0" t="s">
        <v>7342</v>
      </c>
      <c r="P1035" s="0" t="s">
        <v>229</v>
      </c>
      <c r="Q1035" s="0" t="s">
        <v>7354</v>
      </c>
      <c r="R1035" s="0" t="s">
        <v>7343</v>
      </c>
      <c r="S1035" s="0" t="s">
        <v>7344</v>
      </c>
      <c r="T1035" s="0" t="s">
        <v>228</v>
      </c>
      <c r="V1035" s="0" t="s">
        <v>73</v>
      </c>
      <c r="W1035" s="0" t="s">
        <v>75</v>
      </c>
      <c r="X1035" s="0" t="s">
        <v>7345</v>
      </c>
      <c r="Y1035" s="0" t="s">
        <v>7356</v>
      </c>
      <c r="Z1035" s="0" t="s">
        <v>7357</v>
      </c>
      <c r="AA1035" s="0" t="s">
        <v>7358</v>
      </c>
      <c r="AB1035" s="0" t="s">
        <v>344</v>
      </c>
      <c r="AC1035" s="0" t="s">
        <v>7349</v>
      </c>
      <c r="AD1035" s="0" t="s">
        <v>7985</v>
      </c>
      <c r="AE1035" s="0" t="s">
        <v>7986</v>
      </c>
      <c r="AF1035" s="0" t="s">
        <v>7374</v>
      </c>
      <c r="AG1035" s="0" t="s">
        <v>230</v>
      </c>
    </row>
    <row r="1036" customFormat="false" ht="15" hidden="false" customHeight="false" outlineLevel="0" collapsed="false">
      <c r="A1036" s="0" t="s">
        <v>7336</v>
      </c>
      <c r="B1036" s="0" t="s">
        <v>3832</v>
      </c>
      <c r="C1036" s="0" t="s">
        <v>3833</v>
      </c>
      <c r="D1036" s="0" t="s">
        <v>343</v>
      </c>
      <c r="E1036" s="0" t="s">
        <v>3834</v>
      </c>
      <c r="F1036" s="0" t="s">
        <v>3835</v>
      </c>
      <c r="G1036" s="0" t="s">
        <v>156</v>
      </c>
      <c r="H1036" s="0" t="s">
        <v>7994</v>
      </c>
      <c r="I1036" s="0" t="s">
        <v>7338</v>
      </c>
      <c r="J1036" s="0" t="s">
        <v>1602</v>
      </c>
      <c r="K1036" s="0" t="s">
        <v>7339</v>
      </c>
      <c r="L1036" s="0" t="s">
        <v>7340</v>
      </c>
      <c r="M1036" s="0" t="s">
        <v>7661</v>
      </c>
      <c r="N1036" s="0" t="s">
        <v>7342</v>
      </c>
      <c r="P1036" s="0" t="s">
        <v>229</v>
      </c>
      <c r="Q1036" s="0" t="s">
        <v>7354</v>
      </c>
      <c r="R1036" s="0" t="s">
        <v>7343</v>
      </c>
      <c r="S1036" s="0" t="s">
        <v>7344</v>
      </c>
      <c r="T1036" s="0" t="s">
        <v>58</v>
      </c>
      <c r="V1036" s="0" t="s">
        <v>73</v>
      </c>
      <c r="W1036" s="0" t="s">
        <v>78</v>
      </c>
      <c r="X1036" s="0" t="s">
        <v>7345</v>
      </c>
      <c r="Y1036" s="0" t="s">
        <v>7995</v>
      </c>
      <c r="Z1036" s="0" t="s">
        <v>7863</v>
      </c>
      <c r="AA1036" s="0" t="s">
        <v>7996</v>
      </c>
      <c r="AC1036" s="0" t="s">
        <v>7349</v>
      </c>
      <c r="AE1036" s="0" t="s">
        <v>7997</v>
      </c>
      <c r="AF1036" s="0" t="s">
        <v>7499</v>
      </c>
      <c r="AG1036" s="0" t="s">
        <v>230</v>
      </c>
    </row>
    <row r="1037" customFormat="false" ht="15" hidden="false" customHeight="false" outlineLevel="0" collapsed="false">
      <c r="A1037" s="0" t="s">
        <v>7336</v>
      </c>
      <c r="B1037" s="0" t="s">
        <v>3836</v>
      </c>
      <c r="C1037" s="0" t="s">
        <v>3837</v>
      </c>
      <c r="D1037" s="0" t="s">
        <v>343</v>
      </c>
      <c r="E1037" s="0" t="s">
        <v>3838</v>
      </c>
      <c r="F1037" s="0" t="s">
        <v>3839</v>
      </c>
      <c r="G1037" s="0" t="s">
        <v>156</v>
      </c>
      <c r="H1037" s="0" t="s">
        <v>7998</v>
      </c>
      <c r="I1037" s="0" t="s">
        <v>7338</v>
      </c>
      <c r="J1037" s="0" t="s">
        <v>1602</v>
      </c>
      <c r="K1037" s="0" t="s">
        <v>7339</v>
      </c>
      <c r="L1037" s="0" t="s">
        <v>7340</v>
      </c>
      <c r="M1037" s="0" t="s">
        <v>7661</v>
      </c>
      <c r="N1037" s="0" t="s">
        <v>7342</v>
      </c>
      <c r="P1037" s="0" t="s">
        <v>229</v>
      </c>
      <c r="Q1037" s="0" t="s">
        <v>7354</v>
      </c>
      <c r="R1037" s="0" t="s">
        <v>7343</v>
      </c>
      <c r="S1037" s="0" t="s">
        <v>7344</v>
      </c>
      <c r="T1037" s="0" t="s">
        <v>58</v>
      </c>
      <c r="V1037" s="0" t="s">
        <v>73</v>
      </c>
      <c r="W1037" s="0" t="s">
        <v>78</v>
      </c>
      <c r="X1037" s="0" t="s">
        <v>7345</v>
      </c>
      <c r="Y1037" s="0" t="s">
        <v>7995</v>
      </c>
      <c r="Z1037" s="0" t="s">
        <v>7863</v>
      </c>
      <c r="AA1037" s="0" t="s">
        <v>7996</v>
      </c>
      <c r="AC1037" s="0" t="s">
        <v>7349</v>
      </c>
      <c r="AE1037" s="0" t="s">
        <v>7997</v>
      </c>
      <c r="AF1037" s="0" t="s">
        <v>7499</v>
      </c>
      <c r="AG1037" s="0" t="s">
        <v>230</v>
      </c>
    </row>
    <row r="1038" customFormat="false" ht="15" hidden="false" customHeight="false" outlineLevel="0" collapsed="false">
      <c r="A1038" s="0" t="s">
        <v>7336</v>
      </c>
      <c r="B1038" s="0" t="s">
        <v>3840</v>
      </c>
      <c r="C1038" s="0" t="s">
        <v>3841</v>
      </c>
      <c r="D1038" s="0" t="s">
        <v>343</v>
      </c>
      <c r="E1038" s="0" t="s">
        <v>3842</v>
      </c>
      <c r="F1038" s="0" t="s">
        <v>3831</v>
      </c>
      <c r="G1038" s="0" t="s">
        <v>156</v>
      </c>
      <c r="H1038" s="0" t="s">
        <v>7993</v>
      </c>
      <c r="I1038" s="0" t="s">
        <v>7338</v>
      </c>
      <c r="J1038" s="0" t="s">
        <v>1602</v>
      </c>
      <c r="K1038" s="0" t="s">
        <v>7339</v>
      </c>
      <c r="L1038" s="0" t="s">
        <v>7340</v>
      </c>
      <c r="M1038" s="0" t="s">
        <v>7661</v>
      </c>
      <c r="N1038" s="0" t="s">
        <v>7342</v>
      </c>
      <c r="P1038" s="0" t="s">
        <v>229</v>
      </c>
      <c r="Q1038" s="0" t="s">
        <v>7354</v>
      </c>
      <c r="R1038" s="0" t="s">
        <v>7343</v>
      </c>
      <c r="S1038" s="0" t="s">
        <v>7344</v>
      </c>
      <c r="T1038" s="0" t="s">
        <v>228</v>
      </c>
      <c r="V1038" s="0" t="s">
        <v>73</v>
      </c>
      <c r="W1038" s="0" t="s">
        <v>75</v>
      </c>
      <c r="X1038" s="0" t="s">
        <v>7345</v>
      </c>
      <c r="Y1038" s="0" t="s">
        <v>7356</v>
      </c>
      <c r="Z1038" s="0" t="s">
        <v>7357</v>
      </c>
      <c r="AA1038" s="0" t="s">
        <v>7358</v>
      </c>
      <c r="AB1038" s="0" t="s">
        <v>344</v>
      </c>
      <c r="AC1038" s="0" t="s">
        <v>7349</v>
      </c>
      <c r="AD1038" s="0" t="s">
        <v>7985</v>
      </c>
      <c r="AE1038" s="0" t="s">
        <v>7986</v>
      </c>
      <c r="AF1038" s="0" t="s">
        <v>7374</v>
      </c>
      <c r="AG1038" s="0" t="s">
        <v>230</v>
      </c>
    </row>
    <row r="1039" customFormat="false" ht="15" hidden="false" customHeight="false" outlineLevel="0" collapsed="false">
      <c r="A1039" s="0" t="s">
        <v>7336</v>
      </c>
      <c r="B1039" s="0" t="s">
        <v>3843</v>
      </c>
      <c r="C1039" s="0" t="s">
        <v>3844</v>
      </c>
      <c r="D1039" s="0" t="s">
        <v>343</v>
      </c>
      <c r="E1039" s="0" t="s">
        <v>3845</v>
      </c>
      <c r="F1039" s="0" t="s">
        <v>3819</v>
      </c>
      <c r="G1039" s="0" t="s">
        <v>156</v>
      </c>
      <c r="H1039" s="0" t="s">
        <v>7990</v>
      </c>
      <c r="I1039" s="0" t="s">
        <v>7338</v>
      </c>
      <c r="J1039" s="0" t="s">
        <v>1602</v>
      </c>
      <c r="K1039" s="0" t="s">
        <v>7339</v>
      </c>
      <c r="L1039" s="0" t="s">
        <v>7340</v>
      </c>
      <c r="M1039" s="0" t="s">
        <v>7661</v>
      </c>
      <c r="N1039" s="0" t="s">
        <v>7342</v>
      </c>
      <c r="P1039" s="0" t="s">
        <v>229</v>
      </c>
      <c r="Q1039" s="0" t="s">
        <v>7354</v>
      </c>
      <c r="R1039" s="0" t="s">
        <v>7343</v>
      </c>
      <c r="S1039" s="0" t="s">
        <v>7344</v>
      </c>
      <c r="T1039" s="0" t="s">
        <v>228</v>
      </c>
      <c r="V1039" s="0" t="s">
        <v>73</v>
      </c>
      <c r="W1039" s="0" t="s">
        <v>75</v>
      </c>
      <c r="X1039" s="0" t="s">
        <v>7345</v>
      </c>
      <c r="Y1039" s="0" t="s">
        <v>7356</v>
      </c>
      <c r="Z1039" s="0" t="s">
        <v>7357</v>
      </c>
      <c r="AA1039" s="0" t="s">
        <v>7358</v>
      </c>
      <c r="AB1039" s="0" t="s">
        <v>344</v>
      </c>
      <c r="AC1039" s="0" t="s">
        <v>7349</v>
      </c>
      <c r="AD1039" s="0" t="s">
        <v>7999</v>
      </c>
      <c r="AE1039" s="0" t="s">
        <v>7986</v>
      </c>
      <c r="AF1039" s="0" t="s">
        <v>7374</v>
      </c>
      <c r="AG1039" s="0" t="s">
        <v>230</v>
      </c>
    </row>
    <row r="1040" customFormat="false" ht="15" hidden="false" customHeight="false" outlineLevel="0" collapsed="false">
      <c r="A1040" s="0" t="s">
        <v>7336</v>
      </c>
      <c r="B1040" s="0" t="s">
        <v>3846</v>
      </c>
      <c r="C1040" s="0" t="s">
        <v>3847</v>
      </c>
      <c r="D1040" s="0" t="s">
        <v>343</v>
      </c>
      <c r="E1040" s="0" t="s">
        <v>3848</v>
      </c>
      <c r="F1040" s="0" t="s">
        <v>3819</v>
      </c>
      <c r="G1040" s="0" t="s">
        <v>156</v>
      </c>
      <c r="H1040" s="0" t="s">
        <v>7990</v>
      </c>
      <c r="I1040" s="0" t="s">
        <v>7338</v>
      </c>
      <c r="J1040" s="0" t="s">
        <v>1602</v>
      </c>
      <c r="K1040" s="0" t="s">
        <v>7339</v>
      </c>
      <c r="L1040" s="0" t="s">
        <v>7340</v>
      </c>
      <c r="M1040" s="0" t="s">
        <v>7661</v>
      </c>
      <c r="N1040" s="0" t="s">
        <v>7342</v>
      </c>
      <c r="P1040" s="0" t="s">
        <v>229</v>
      </c>
      <c r="Q1040" s="0" t="s">
        <v>7354</v>
      </c>
      <c r="R1040" s="0" t="s">
        <v>7343</v>
      </c>
      <c r="S1040" s="0" t="s">
        <v>7344</v>
      </c>
      <c r="T1040" s="0" t="s">
        <v>228</v>
      </c>
      <c r="V1040" s="0" t="s">
        <v>73</v>
      </c>
      <c r="W1040" s="0" t="s">
        <v>75</v>
      </c>
      <c r="X1040" s="0" t="s">
        <v>7345</v>
      </c>
      <c r="Y1040" s="0" t="s">
        <v>7356</v>
      </c>
      <c r="Z1040" s="0" t="s">
        <v>7357</v>
      </c>
      <c r="AA1040" s="0" t="s">
        <v>7358</v>
      </c>
      <c r="AB1040" s="0" t="s">
        <v>344</v>
      </c>
      <c r="AC1040" s="0" t="s">
        <v>7349</v>
      </c>
      <c r="AD1040" s="0" t="s">
        <v>7985</v>
      </c>
      <c r="AE1040" s="0" t="s">
        <v>7986</v>
      </c>
      <c r="AF1040" s="0" t="s">
        <v>7374</v>
      </c>
      <c r="AG1040" s="0" t="s">
        <v>230</v>
      </c>
    </row>
    <row r="1041" customFormat="false" ht="15" hidden="false" customHeight="false" outlineLevel="0" collapsed="false">
      <c r="A1041" s="0" t="s">
        <v>7336</v>
      </c>
      <c r="B1041" s="0" t="s">
        <v>3849</v>
      </c>
      <c r="C1041" s="0" t="s">
        <v>3850</v>
      </c>
      <c r="D1041" s="0" t="s">
        <v>343</v>
      </c>
      <c r="E1041" s="0" t="s">
        <v>3851</v>
      </c>
      <c r="F1041" s="0" t="s">
        <v>3852</v>
      </c>
      <c r="G1041" s="0" t="s">
        <v>156</v>
      </c>
      <c r="H1041" s="0" t="s">
        <v>8000</v>
      </c>
      <c r="I1041" s="0" t="s">
        <v>7338</v>
      </c>
      <c r="J1041" s="0" t="s">
        <v>1602</v>
      </c>
      <c r="K1041" s="0" t="s">
        <v>7339</v>
      </c>
      <c r="L1041" s="0" t="s">
        <v>7340</v>
      </c>
      <c r="M1041" s="0" t="s">
        <v>7661</v>
      </c>
      <c r="N1041" s="0" t="s">
        <v>7342</v>
      </c>
      <c r="P1041" s="0" t="s">
        <v>229</v>
      </c>
      <c r="Q1041" s="0" t="s">
        <v>7354</v>
      </c>
      <c r="R1041" s="0" t="s">
        <v>7343</v>
      </c>
      <c r="S1041" s="0" t="s">
        <v>7344</v>
      </c>
      <c r="T1041" s="0" t="s">
        <v>681</v>
      </c>
      <c r="V1041" s="0" t="s">
        <v>73</v>
      </c>
      <c r="W1041" s="0" t="s">
        <v>75</v>
      </c>
      <c r="X1041" s="0" t="s">
        <v>7345</v>
      </c>
      <c r="Y1041" s="0" t="s">
        <v>7912</v>
      </c>
      <c r="Z1041" s="0" t="s">
        <v>7437</v>
      </c>
      <c r="AA1041" s="0" t="s">
        <v>8001</v>
      </c>
      <c r="AB1041" s="0" t="s">
        <v>344</v>
      </c>
      <c r="AC1041" s="0" t="s">
        <v>7349</v>
      </c>
      <c r="AD1041" s="0" t="s">
        <v>8002</v>
      </c>
      <c r="AE1041" s="0" t="s">
        <v>8003</v>
      </c>
      <c r="AF1041" s="0" t="s">
        <v>7374</v>
      </c>
      <c r="AG1041" s="0" t="s">
        <v>230</v>
      </c>
    </row>
    <row r="1042" customFormat="false" ht="15" hidden="false" customHeight="false" outlineLevel="0" collapsed="false">
      <c r="A1042" s="0" t="s">
        <v>7336</v>
      </c>
      <c r="B1042" s="0" t="s">
        <v>3853</v>
      </c>
      <c r="C1042" s="0" t="s">
        <v>3854</v>
      </c>
      <c r="D1042" s="0" t="s">
        <v>343</v>
      </c>
      <c r="E1042" s="0" t="s">
        <v>3855</v>
      </c>
      <c r="F1042" s="0" t="s">
        <v>3852</v>
      </c>
      <c r="G1042" s="0" t="s">
        <v>156</v>
      </c>
      <c r="H1042" s="0" t="s">
        <v>8000</v>
      </c>
      <c r="I1042" s="0" t="s">
        <v>7338</v>
      </c>
      <c r="J1042" s="0" t="s">
        <v>1602</v>
      </c>
      <c r="K1042" s="0" t="s">
        <v>7339</v>
      </c>
      <c r="L1042" s="0" t="s">
        <v>7340</v>
      </c>
      <c r="M1042" s="0" t="s">
        <v>7661</v>
      </c>
      <c r="N1042" s="0" t="s">
        <v>7342</v>
      </c>
      <c r="P1042" s="0" t="s">
        <v>229</v>
      </c>
      <c r="Q1042" s="0" t="s">
        <v>7354</v>
      </c>
      <c r="R1042" s="0" t="s">
        <v>7343</v>
      </c>
      <c r="S1042" s="0" t="s">
        <v>7344</v>
      </c>
      <c r="T1042" s="0" t="s">
        <v>228</v>
      </c>
      <c r="V1042" s="0" t="s">
        <v>73</v>
      </c>
      <c r="W1042" s="0" t="s">
        <v>75</v>
      </c>
      <c r="X1042" s="0" t="s">
        <v>7345</v>
      </c>
      <c r="Y1042" s="0" t="s">
        <v>7356</v>
      </c>
      <c r="Z1042" s="0" t="s">
        <v>7357</v>
      </c>
      <c r="AA1042" s="0" t="s">
        <v>7358</v>
      </c>
      <c r="AB1042" s="0" t="s">
        <v>344</v>
      </c>
      <c r="AC1042" s="0" t="s">
        <v>7349</v>
      </c>
      <c r="AD1042" s="0" t="s">
        <v>8004</v>
      </c>
      <c r="AE1042" s="0" t="s">
        <v>7986</v>
      </c>
      <c r="AF1042" s="0" t="s">
        <v>7374</v>
      </c>
      <c r="AG1042" s="0" t="s">
        <v>230</v>
      </c>
    </row>
    <row r="1043" customFormat="false" ht="15" hidden="false" customHeight="false" outlineLevel="0" collapsed="false">
      <c r="A1043" s="0" t="s">
        <v>7336</v>
      </c>
      <c r="B1043" s="0" t="s">
        <v>3856</v>
      </c>
      <c r="C1043" s="0" t="s">
        <v>3857</v>
      </c>
      <c r="D1043" s="0" t="s">
        <v>343</v>
      </c>
      <c r="E1043" s="0" t="s">
        <v>3858</v>
      </c>
      <c r="F1043" s="0" t="s">
        <v>3859</v>
      </c>
      <c r="G1043" s="0" t="s">
        <v>156</v>
      </c>
      <c r="H1043" s="0" t="s">
        <v>8005</v>
      </c>
      <c r="I1043" s="0" t="s">
        <v>7338</v>
      </c>
      <c r="J1043" s="0" t="s">
        <v>1602</v>
      </c>
      <c r="K1043" s="0" t="s">
        <v>7339</v>
      </c>
      <c r="L1043" s="0" t="s">
        <v>7340</v>
      </c>
      <c r="M1043" s="0" t="s">
        <v>7661</v>
      </c>
      <c r="N1043" s="0" t="s">
        <v>7342</v>
      </c>
      <c r="P1043" s="0" t="s">
        <v>229</v>
      </c>
      <c r="Q1043" s="0" t="s">
        <v>7354</v>
      </c>
      <c r="R1043" s="0" t="s">
        <v>7343</v>
      </c>
      <c r="S1043" s="0" t="s">
        <v>7344</v>
      </c>
      <c r="T1043" s="0" t="s">
        <v>681</v>
      </c>
      <c r="V1043" s="0" t="s">
        <v>73</v>
      </c>
      <c r="W1043" s="0" t="s">
        <v>75</v>
      </c>
      <c r="X1043" s="0" t="s">
        <v>7345</v>
      </c>
      <c r="Y1043" s="0" t="s">
        <v>7912</v>
      </c>
      <c r="Z1043" s="0" t="s">
        <v>7437</v>
      </c>
      <c r="AA1043" s="0" t="s">
        <v>8001</v>
      </c>
      <c r="AB1043" s="0" t="s">
        <v>344</v>
      </c>
      <c r="AC1043" s="0" t="s">
        <v>7349</v>
      </c>
      <c r="AD1043" s="0" t="s">
        <v>8002</v>
      </c>
      <c r="AE1043" s="0" t="s">
        <v>8003</v>
      </c>
      <c r="AF1043" s="0" t="s">
        <v>7374</v>
      </c>
      <c r="AG1043" s="0" t="s">
        <v>230</v>
      </c>
    </row>
    <row r="1044" customFormat="false" ht="15" hidden="false" customHeight="false" outlineLevel="0" collapsed="false">
      <c r="A1044" s="0" t="s">
        <v>7336</v>
      </c>
      <c r="B1044" s="0" t="s">
        <v>3860</v>
      </c>
      <c r="C1044" s="0" t="s">
        <v>3861</v>
      </c>
      <c r="D1044" s="0" t="s">
        <v>343</v>
      </c>
      <c r="E1044" s="0" t="s">
        <v>3862</v>
      </c>
      <c r="F1044" s="0" t="s">
        <v>3859</v>
      </c>
      <c r="G1044" s="0" t="s">
        <v>156</v>
      </c>
      <c r="H1044" s="0" t="s">
        <v>8005</v>
      </c>
      <c r="I1044" s="0" t="s">
        <v>7338</v>
      </c>
      <c r="J1044" s="0" t="s">
        <v>1602</v>
      </c>
      <c r="K1044" s="0" t="s">
        <v>7339</v>
      </c>
      <c r="L1044" s="0" t="s">
        <v>7340</v>
      </c>
      <c r="M1044" s="0" t="s">
        <v>7661</v>
      </c>
      <c r="N1044" s="0" t="s">
        <v>7342</v>
      </c>
      <c r="P1044" s="0" t="s">
        <v>229</v>
      </c>
      <c r="Q1044" s="0" t="s">
        <v>7354</v>
      </c>
      <c r="R1044" s="0" t="s">
        <v>7343</v>
      </c>
      <c r="S1044" s="0" t="s">
        <v>7344</v>
      </c>
      <c r="T1044" s="0" t="s">
        <v>228</v>
      </c>
      <c r="V1044" s="0" t="s">
        <v>73</v>
      </c>
      <c r="W1044" s="0" t="s">
        <v>75</v>
      </c>
      <c r="X1044" s="0" t="s">
        <v>7345</v>
      </c>
      <c r="Y1044" s="0" t="s">
        <v>7356</v>
      </c>
      <c r="Z1044" s="0" t="s">
        <v>7357</v>
      </c>
      <c r="AA1044" s="0" t="s">
        <v>7358</v>
      </c>
      <c r="AB1044" s="0" t="s">
        <v>344</v>
      </c>
      <c r="AC1044" s="0" t="s">
        <v>7349</v>
      </c>
      <c r="AD1044" s="0" t="s">
        <v>8004</v>
      </c>
      <c r="AE1044" s="0" t="s">
        <v>7986</v>
      </c>
      <c r="AF1044" s="0" t="s">
        <v>7374</v>
      </c>
      <c r="AG1044" s="0" t="s">
        <v>230</v>
      </c>
    </row>
    <row r="1045" customFormat="false" ht="15" hidden="false" customHeight="false" outlineLevel="0" collapsed="false">
      <c r="A1045" s="0" t="s">
        <v>7336</v>
      </c>
      <c r="B1045" s="0" t="s">
        <v>3863</v>
      </c>
      <c r="C1045" s="0" t="s">
        <v>3864</v>
      </c>
      <c r="D1045" s="0" t="s">
        <v>343</v>
      </c>
      <c r="E1045" s="0" t="s">
        <v>3865</v>
      </c>
      <c r="F1045" s="0" t="s">
        <v>3866</v>
      </c>
      <c r="G1045" s="0" t="s">
        <v>166</v>
      </c>
      <c r="H1045" s="0" t="s">
        <v>8006</v>
      </c>
      <c r="I1045" s="0" t="s">
        <v>7338</v>
      </c>
      <c r="J1045" s="0" t="s">
        <v>1602</v>
      </c>
      <c r="K1045" s="0" t="s">
        <v>7339</v>
      </c>
      <c r="L1045" s="0" t="s">
        <v>7340</v>
      </c>
      <c r="M1045" s="0" t="s">
        <v>7661</v>
      </c>
      <c r="N1045" s="0" t="s">
        <v>7342</v>
      </c>
      <c r="P1045" s="0" t="s">
        <v>229</v>
      </c>
      <c r="Q1045" s="0" t="s">
        <v>7354</v>
      </c>
      <c r="R1045" s="0" t="s">
        <v>7343</v>
      </c>
      <c r="S1045" s="0" t="s">
        <v>7344</v>
      </c>
      <c r="T1045" s="0" t="s">
        <v>58</v>
      </c>
      <c r="V1045" s="0" t="s">
        <v>73</v>
      </c>
      <c r="W1045" s="0" t="s">
        <v>78</v>
      </c>
      <c r="X1045" s="0" t="s">
        <v>7345</v>
      </c>
      <c r="Y1045" s="0" t="s">
        <v>7995</v>
      </c>
      <c r="Z1045" s="0" t="s">
        <v>7863</v>
      </c>
      <c r="AA1045" s="0" t="s">
        <v>7996</v>
      </c>
      <c r="AC1045" s="0" t="s">
        <v>7349</v>
      </c>
      <c r="AE1045" s="0" t="s">
        <v>7997</v>
      </c>
      <c r="AF1045" s="0" t="s">
        <v>7499</v>
      </c>
      <c r="AG1045" s="0" t="s">
        <v>230</v>
      </c>
    </row>
    <row r="1046" customFormat="false" ht="15" hidden="false" customHeight="false" outlineLevel="0" collapsed="false">
      <c r="A1046" s="0" t="s">
        <v>7336</v>
      </c>
      <c r="B1046" s="0" t="s">
        <v>3867</v>
      </c>
      <c r="C1046" s="0" t="s">
        <v>3868</v>
      </c>
      <c r="D1046" s="0" t="s">
        <v>343</v>
      </c>
      <c r="E1046" s="0" t="s">
        <v>3869</v>
      </c>
      <c r="F1046" s="0" t="s">
        <v>3870</v>
      </c>
      <c r="G1046" s="0" t="s">
        <v>166</v>
      </c>
      <c r="H1046" s="0" t="s">
        <v>8007</v>
      </c>
      <c r="I1046" s="0" t="s">
        <v>7338</v>
      </c>
      <c r="J1046" s="0" t="s">
        <v>1602</v>
      </c>
      <c r="K1046" s="0" t="s">
        <v>7339</v>
      </c>
      <c r="L1046" s="0" t="s">
        <v>7340</v>
      </c>
      <c r="M1046" s="0" t="s">
        <v>7661</v>
      </c>
      <c r="N1046" s="0" t="s">
        <v>7342</v>
      </c>
      <c r="P1046" s="0" t="s">
        <v>229</v>
      </c>
      <c r="Q1046" s="0" t="s">
        <v>7354</v>
      </c>
      <c r="R1046" s="0" t="s">
        <v>7343</v>
      </c>
      <c r="S1046" s="0" t="s">
        <v>7344</v>
      </c>
      <c r="T1046" s="0" t="s">
        <v>58</v>
      </c>
      <c r="V1046" s="0" t="s">
        <v>73</v>
      </c>
      <c r="W1046" s="0" t="s">
        <v>78</v>
      </c>
      <c r="X1046" s="0" t="s">
        <v>7345</v>
      </c>
      <c r="Y1046" s="0" t="s">
        <v>7995</v>
      </c>
      <c r="Z1046" s="0" t="s">
        <v>7863</v>
      </c>
      <c r="AA1046" s="0" t="s">
        <v>7996</v>
      </c>
      <c r="AC1046" s="0" t="s">
        <v>7349</v>
      </c>
      <c r="AE1046" s="0" t="s">
        <v>7997</v>
      </c>
      <c r="AF1046" s="0" t="s">
        <v>7499</v>
      </c>
      <c r="AG1046" s="0" t="s">
        <v>230</v>
      </c>
    </row>
    <row r="1047" customFormat="false" ht="15" hidden="false" customHeight="false" outlineLevel="0" collapsed="false">
      <c r="A1047" s="0" t="s">
        <v>7336</v>
      </c>
      <c r="B1047" s="0" t="s">
        <v>3871</v>
      </c>
      <c r="C1047" s="0" t="s">
        <v>3872</v>
      </c>
      <c r="D1047" s="0" t="s">
        <v>343</v>
      </c>
      <c r="E1047" s="0" t="s">
        <v>3873</v>
      </c>
      <c r="F1047" s="0" t="s">
        <v>3874</v>
      </c>
      <c r="G1047" s="0" t="s">
        <v>166</v>
      </c>
      <c r="H1047" s="0" t="s">
        <v>8008</v>
      </c>
      <c r="I1047" s="0" t="s">
        <v>7338</v>
      </c>
      <c r="J1047" s="0" t="s">
        <v>1602</v>
      </c>
      <c r="K1047" s="0" t="s">
        <v>7339</v>
      </c>
      <c r="L1047" s="0" t="s">
        <v>7340</v>
      </c>
      <c r="M1047" s="0" t="s">
        <v>7661</v>
      </c>
      <c r="N1047" s="0" t="s">
        <v>7342</v>
      </c>
      <c r="P1047" s="0" t="s">
        <v>229</v>
      </c>
      <c r="Q1047" s="0" t="s">
        <v>7354</v>
      </c>
      <c r="R1047" s="0" t="s">
        <v>7343</v>
      </c>
      <c r="S1047" s="0" t="s">
        <v>7344</v>
      </c>
      <c r="T1047" s="0" t="s">
        <v>58</v>
      </c>
      <c r="V1047" s="0" t="s">
        <v>73</v>
      </c>
      <c r="W1047" s="0" t="s">
        <v>78</v>
      </c>
      <c r="X1047" s="0" t="s">
        <v>7345</v>
      </c>
      <c r="Y1047" s="0" t="s">
        <v>7995</v>
      </c>
      <c r="Z1047" s="0" t="s">
        <v>7863</v>
      </c>
      <c r="AA1047" s="0" t="s">
        <v>7996</v>
      </c>
      <c r="AC1047" s="0" t="s">
        <v>7349</v>
      </c>
      <c r="AE1047" s="0" t="s">
        <v>7997</v>
      </c>
      <c r="AF1047" s="0" t="s">
        <v>7499</v>
      </c>
      <c r="AG1047" s="0" t="s">
        <v>230</v>
      </c>
    </row>
    <row r="1048" customFormat="false" ht="15" hidden="false" customHeight="false" outlineLevel="0" collapsed="false">
      <c r="A1048" s="0" t="s">
        <v>7336</v>
      </c>
      <c r="B1048" s="0" t="s">
        <v>3875</v>
      </c>
      <c r="C1048" s="0" t="s">
        <v>3876</v>
      </c>
      <c r="D1048" s="0" t="s">
        <v>343</v>
      </c>
      <c r="E1048" s="0" t="s">
        <v>3877</v>
      </c>
      <c r="F1048" s="0" t="s">
        <v>3878</v>
      </c>
      <c r="G1048" s="0" t="s">
        <v>156</v>
      </c>
      <c r="H1048" s="0" t="s">
        <v>8009</v>
      </c>
      <c r="I1048" s="0" t="s">
        <v>7338</v>
      </c>
      <c r="J1048" s="0" t="s">
        <v>1602</v>
      </c>
      <c r="K1048" s="0" t="s">
        <v>7339</v>
      </c>
      <c r="L1048" s="0" t="s">
        <v>7340</v>
      </c>
      <c r="M1048" s="0" t="s">
        <v>7661</v>
      </c>
      <c r="N1048" s="0" t="s">
        <v>7342</v>
      </c>
      <c r="P1048" s="0" t="s">
        <v>229</v>
      </c>
      <c r="Q1048" s="0" t="s">
        <v>7354</v>
      </c>
      <c r="R1048" s="0" t="s">
        <v>7343</v>
      </c>
      <c r="S1048" s="0" t="s">
        <v>7344</v>
      </c>
      <c r="T1048" s="0" t="s">
        <v>58</v>
      </c>
      <c r="V1048" s="0" t="s">
        <v>73</v>
      </c>
      <c r="W1048" s="0" t="s">
        <v>78</v>
      </c>
      <c r="X1048" s="0" t="s">
        <v>7345</v>
      </c>
      <c r="Y1048" s="0" t="s">
        <v>7995</v>
      </c>
      <c r="Z1048" s="0" t="s">
        <v>7863</v>
      </c>
      <c r="AA1048" s="0" t="s">
        <v>7996</v>
      </c>
      <c r="AC1048" s="0" t="s">
        <v>7349</v>
      </c>
      <c r="AE1048" s="0" t="s">
        <v>7997</v>
      </c>
      <c r="AF1048" s="0" t="s">
        <v>7499</v>
      </c>
      <c r="AG1048" s="0" t="s">
        <v>230</v>
      </c>
    </row>
    <row r="1049" customFormat="false" ht="15" hidden="false" customHeight="false" outlineLevel="0" collapsed="false">
      <c r="A1049" s="0" t="s">
        <v>7336</v>
      </c>
      <c r="B1049" s="0" t="s">
        <v>3879</v>
      </c>
      <c r="C1049" s="0" t="s">
        <v>3880</v>
      </c>
      <c r="D1049" s="0" t="s">
        <v>343</v>
      </c>
      <c r="E1049" s="0" t="s">
        <v>3881</v>
      </c>
      <c r="F1049" s="0" t="s">
        <v>3882</v>
      </c>
      <c r="G1049" s="0" t="s">
        <v>156</v>
      </c>
      <c r="H1049" s="0" t="s">
        <v>8010</v>
      </c>
      <c r="I1049" s="0" t="s">
        <v>7338</v>
      </c>
      <c r="J1049" s="0" t="s">
        <v>1602</v>
      </c>
      <c r="K1049" s="0" t="s">
        <v>7339</v>
      </c>
      <c r="L1049" s="0" t="s">
        <v>7340</v>
      </c>
      <c r="M1049" s="0" t="s">
        <v>7661</v>
      </c>
      <c r="N1049" s="0" t="s">
        <v>7342</v>
      </c>
      <c r="P1049" s="0" t="s">
        <v>229</v>
      </c>
      <c r="Q1049" s="0" t="s">
        <v>7354</v>
      </c>
      <c r="R1049" s="0" t="s">
        <v>7343</v>
      </c>
      <c r="S1049" s="0" t="s">
        <v>7344</v>
      </c>
      <c r="T1049" s="0" t="s">
        <v>58</v>
      </c>
      <c r="V1049" s="0" t="s">
        <v>73</v>
      </c>
      <c r="W1049" s="0" t="s">
        <v>78</v>
      </c>
      <c r="X1049" s="0" t="s">
        <v>7345</v>
      </c>
      <c r="Y1049" s="0" t="s">
        <v>7995</v>
      </c>
      <c r="Z1049" s="0" t="s">
        <v>7863</v>
      </c>
      <c r="AA1049" s="0" t="s">
        <v>7996</v>
      </c>
      <c r="AC1049" s="0" t="s">
        <v>7349</v>
      </c>
      <c r="AE1049" s="0" t="s">
        <v>7997</v>
      </c>
      <c r="AF1049" s="0" t="s">
        <v>7499</v>
      </c>
      <c r="AG1049" s="0" t="s">
        <v>230</v>
      </c>
    </row>
    <row r="1050" customFormat="false" ht="15" hidden="false" customHeight="false" outlineLevel="0" collapsed="false">
      <c r="A1050" s="0" t="s">
        <v>7336</v>
      </c>
      <c r="B1050" s="0" t="s">
        <v>3883</v>
      </c>
      <c r="C1050" s="0" t="s">
        <v>3884</v>
      </c>
      <c r="D1050" s="0" t="s">
        <v>343</v>
      </c>
      <c r="E1050" s="0" t="s">
        <v>3885</v>
      </c>
      <c r="F1050" s="0" t="s">
        <v>3886</v>
      </c>
      <c r="G1050" s="0" t="s">
        <v>156</v>
      </c>
      <c r="H1050" s="0" t="s">
        <v>8011</v>
      </c>
      <c r="I1050" s="0" t="s">
        <v>7338</v>
      </c>
      <c r="J1050" s="0" t="s">
        <v>1602</v>
      </c>
      <c r="K1050" s="0" t="s">
        <v>7339</v>
      </c>
      <c r="L1050" s="0" t="s">
        <v>7340</v>
      </c>
      <c r="M1050" s="0" t="s">
        <v>7661</v>
      </c>
      <c r="N1050" s="0" t="s">
        <v>7342</v>
      </c>
      <c r="P1050" s="0" t="s">
        <v>229</v>
      </c>
      <c r="Q1050" s="0" t="s">
        <v>7354</v>
      </c>
      <c r="R1050" s="0" t="s">
        <v>7343</v>
      </c>
      <c r="S1050" s="0" t="s">
        <v>7344</v>
      </c>
      <c r="T1050" s="0" t="s">
        <v>58</v>
      </c>
      <c r="V1050" s="0" t="s">
        <v>73</v>
      </c>
      <c r="W1050" s="0" t="s">
        <v>78</v>
      </c>
      <c r="X1050" s="0" t="s">
        <v>7345</v>
      </c>
      <c r="Y1050" s="0" t="s">
        <v>7995</v>
      </c>
      <c r="Z1050" s="0" t="s">
        <v>7863</v>
      </c>
      <c r="AA1050" s="0" t="s">
        <v>7996</v>
      </c>
      <c r="AC1050" s="0" t="s">
        <v>7349</v>
      </c>
      <c r="AE1050" s="0" t="s">
        <v>7997</v>
      </c>
      <c r="AF1050" s="0" t="s">
        <v>7499</v>
      </c>
      <c r="AG1050" s="0" t="s">
        <v>230</v>
      </c>
    </row>
    <row r="1051" customFormat="false" ht="15" hidden="false" customHeight="false" outlineLevel="0" collapsed="false">
      <c r="A1051" s="0" t="s">
        <v>7336</v>
      </c>
      <c r="B1051" s="0" t="s">
        <v>3887</v>
      </c>
      <c r="C1051" s="0" t="s">
        <v>3888</v>
      </c>
      <c r="D1051" s="0" t="s">
        <v>343</v>
      </c>
      <c r="E1051" s="0" t="s">
        <v>3889</v>
      </c>
      <c r="F1051" s="0" t="s">
        <v>3890</v>
      </c>
      <c r="G1051" s="0" t="s">
        <v>156</v>
      </c>
      <c r="H1051" s="0" t="s">
        <v>8012</v>
      </c>
      <c r="I1051" s="0" t="s">
        <v>7338</v>
      </c>
      <c r="J1051" s="0" t="s">
        <v>1602</v>
      </c>
      <c r="K1051" s="0" t="s">
        <v>7339</v>
      </c>
      <c r="L1051" s="0" t="s">
        <v>7340</v>
      </c>
      <c r="M1051" s="0" t="s">
        <v>7661</v>
      </c>
      <c r="N1051" s="0" t="s">
        <v>7342</v>
      </c>
      <c r="P1051" s="0" t="s">
        <v>229</v>
      </c>
      <c r="Q1051" s="0" t="s">
        <v>7354</v>
      </c>
      <c r="R1051" s="0" t="s">
        <v>7343</v>
      </c>
      <c r="S1051" s="0" t="s">
        <v>7344</v>
      </c>
      <c r="T1051" s="0" t="s">
        <v>58</v>
      </c>
      <c r="V1051" s="0" t="s">
        <v>73</v>
      </c>
      <c r="W1051" s="0" t="s">
        <v>78</v>
      </c>
      <c r="X1051" s="0" t="s">
        <v>7345</v>
      </c>
      <c r="Y1051" s="0" t="s">
        <v>7995</v>
      </c>
      <c r="Z1051" s="0" t="s">
        <v>7863</v>
      </c>
      <c r="AA1051" s="0" t="s">
        <v>7996</v>
      </c>
      <c r="AC1051" s="0" t="s">
        <v>7349</v>
      </c>
      <c r="AE1051" s="0" t="s">
        <v>7997</v>
      </c>
      <c r="AF1051" s="0" t="s">
        <v>7499</v>
      </c>
      <c r="AG1051" s="0" t="s">
        <v>230</v>
      </c>
    </row>
    <row r="1052" customFormat="false" ht="15" hidden="false" customHeight="false" outlineLevel="0" collapsed="false">
      <c r="A1052" s="0" t="s">
        <v>7336</v>
      </c>
      <c r="B1052" s="0" t="s">
        <v>3891</v>
      </c>
      <c r="C1052" s="0" t="s">
        <v>3892</v>
      </c>
      <c r="D1052" s="0" t="s">
        <v>343</v>
      </c>
      <c r="E1052" s="0" t="s">
        <v>3893</v>
      </c>
      <c r="F1052" s="0" t="s">
        <v>3894</v>
      </c>
      <c r="G1052" s="0" t="s">
        <v>160</v>
      </c>
      <c r="H1052" s="0" t="s">
        <v>8013</v>
      </c>
      <c r="I1052" s="0" t="s">
        <v>7338</v>
      </c>
      <c r="J1052" s="0" t="s">
        <v>1602</v>
      </c>
      <c r="K1052" s="0" t="s">
        <v>7339</v>
      </c>
      <c r="L1052" s="0" t="s">
        <v>7340</v>
      </c>
      <c r="M1052" s="0" t="s">
        <v>7661</v>
      </c>
      <c r="N1052" s="0" t="s">
        <v>7342</v>
      </c>
      <c r="P1052" s="0" t="s">
        <v>229</v>
      </c>
      <c r="Q1052" s="0" t="s">
        <v>7354</v>
      </c>
      <c r="R1052" s="0" t="s">
        <v>7343</v>
      </c>
      <c r="S1052" s="0" t="s">
        <v>7344</v>
      </c>
      <c r="T1052" s="0" t="s">
        <v>228</v>
      </c>
      <c r="V1052" s="0" t="s">
        <v>73</v>
      </c>
      <c r="W1052" s="0" t="s">
        <v>75</v>
      </c>
      <c r="X1052" s="0" t="s">
        <v>7345</v>
      </c>
      <c r="Y1052" s="0" t="s">
        <v>7356</v>
      </c>
      <c r="Z1052" s="0" t="s">
        <v>7357</v>
      </c>
      <c r="AA1052" s="0" t="s">
        <v>7358</v>
      </c>
      <c r="AB1052" s="0" t="s">
        <v>344</v>
      </c>
      <c r="AC1052" s="0" t="s">
        <v>7349</v>
      </c>
      <c r="AD1052" s="0" t="s">
        <v>8004</v>
      </c>
      <c r="AE1052" s="0" t="s">
        <v>7986</v>
      </c>
      <c r="AF1052" s="0" t="s">
        <v>7374</v>
      </c>
      <c r="AG1052" s="0" t="s">
        <v>230</v>
      </c>
    </row>
    <row r="1053" customFormat="false" ht="15" hidden="false" customHeight="false" outlineLevel="0" collapsed="false">
      <c r="A1053" s="0" t="s">
        <v>7336</v>
      </c>
      <c r="B1053" s="0" t="s">
        <v>3895</v>
      </c>
      <c r="C1053" s="0" t="s">
        <v>3896</v>
      </c>
      <c r="D1053" s="0" t="s">
        <v>343</v>
      </c>
      <c r="E1053" s="0" t="s">
        <v>3897</v>
      </c>
      <c r="F1053" s="0" t="s">
        <v>3894</v>
      </c>
      <c r="G1053" s="0" t="s">
        <v>160</v>
      </c>
      <c r="H1053" s="0" t="s">
        <v>8013</v>
      </c>
      <c r="I1053" s="0" t="s">
        <v>7338</v>
      </c>
      <c r="J1053" s="0" t="s">
        <v>1602</v>
      </c>
      <c r="K1053" s="0" t="s">
        <v>7339</v>
      </c>
      <c r="L1053" s="0" t="s">
        <v>7340</v>
      </c>
      <c r="M1053" s="0" t="s">
        <v>7661</v>
      </c>
      <c r="N1053" s="0" t="s">
        <v>7342</v>
      </c>
      <c r="P1053" s="0" t="s">
        <v>229</v>
      </c>
      <c r="Q1053" s="0" t="s">
        <v>7354</v>
      </c>
      <c r="R1053" s="0" t="s">
        <v>7343</v>
      </c>
      <c r="S1053" s="0" t="s">
        <v>7344</v>
      </c>
      <c r="T1053" s="0" t="s">
        <v>681</v>
      </c>
      <c r="V1053" s="0" t="s">
        <v>73</v>
      </c>
      <c r="W1053" s="0" t="s">
        <v>75</v>
      </c>
      <c r="X1053" s="0" t="s">
        <v>7345</v>
      </c>
      <c r="Y1053" s="0" t="s">
        <v>7912</v>
      </c>
      <c r="Z1053" s="0" t="s">
        <v>7437</v>
      </c>
      <c r="AA1053" s="0" t="s">
        <v>8001</v>
      </c>
      <c r="AB1053" s="0" t="s">
        <v>344</v>
      </c>
      <c r="AC1053" s="0" t="s">
        <v>7349</v>
      </c>
      <c r="AD1053" s="0" t="s">
        <v>8002</v>
      </c>
      <c r="AE1053" s="0" t="s">
        <v>8003</v>
      </c>
      <c r="AF1053" s="0" t="s">
        <v>7374</v>
      </c>
      <c r="AG1053" s="0" t="s">
        <v>230</v>
      </c>
    </row>
    <row r="1054" customFormat="false" ht="15" hidden="false" customHeight="false" outlineLevel="0" collapsed="false">
      <c r="A1054" s="0" t="s">
        <v>7336</v>
      </c>
      <c r="B1054" s="0" t="s">
        <v>3898</v>
      </c>
      <c r="C1054" s="0" t="s">
        <v>3899</v>
      </c>
      <c r="D1054" s="0" t="s">
        <v>343</v>
      </c>
      <c r="E1054" s="0" t="s">
        <v>3900</v>
      </c>
      <c r="F1054" s="0" t="s">
        <v>3901</v>
      </c>
      <c r="G1054" s="0" t="s">
        <v>160</v>
      </c>
      <c r="H1054" s="0" t="s">
        <v>8014</v>
      </c>
      <c r="I1054" s="0" t="s">
        <v>7338</v>
      </c>
      <c r="J1054" s="0" t="s">
        <v>1602</v>
      </c>
      <c r="K1054" s="0" t="s">
        <v>7339</v>
      </c>
      <c r="L1054" s="0" t="s">
        <v>7340</v>
      </c>
      <c r="M1054" s="0" t="s">
        <v>7661</v>
      </c>
      <c r="N1054" s="0" t="s">
        <v>7342</v>
      </c>
      <c r="P1054" s="0" t="s">
        <v>229</v>
      </c>
      <c r="Q1054" s="0" t="s">
        <v>7354</v>
      </c>
      <c r="R1054" s="0" t="s">
        <v>7343</v>
      </c>
      <c r="S1054" s="0" t="s">
        <v>7344</v>
      </c>
      <c r="T1054" s="0" t="s">
        <v>228</v>
      </c>
      <c r="V1054" s="0" t="s">
        <v>73</v>
      </c>
      <c r="W1054" s="0" t="s">
        <v>75</v>
      </c>
      <c r="X1054" s="0" t="s">
        <v>7345</v>
      </c>
      <c r="Y1054" s="0" t="s">
        <v>7356</v>
      </c>
      <c r="Z1054" s="0" t="s">
        <v>7357</v>
      </c>
      <c r="AA1054" s="0" t="s">
        <v>7358</v>
      </c>
      <c r="AB1054" s="0" t="s">
        <v>344</v>
      </c>
      <c r="AC1054" s="0" t="s">
        <v>7349</v>
      </c>
      <c r="AD1054" s="0" t="s">
        <v>8004</v>
      </c>
      <c r="AE1054" s="0" t="s">
        <v>7986</v>
      </c>
      <c r="AF1054" s="0" t="s">
        <v>7374</v>
      </c>
      <c r="AG1054" s="0" t="s">
        <v>230</v>
      </c>
    </row>
    <row r="1055" customFormat="false" ht="15" hidden="false" customHeight="false" outlineLevel="0" collapsed="false">
      <c r="A1055" s="0" t="s">
        <v>7336</v>
      </c>
      <c r="B1055" s="0" t="s">
        <v>3902</v>
      </c>
      <c r="C1055" s="0" t="s">
        <v>3903</v>
      </c>
      <c r="D1055" s="0" t="s">
        <v>343</v>
      </c>
      <c r="E1055" s="0" t="s">
        <v>3904</v>
      </c>
      <c r="F1055" s="0" t="s">
        <v>3901</v>
      </c>
      <c r="G1055" s="0" t="s">
        <v>160</v>
      </c>
      <c r="H1055" s="0" t="s">
        <v>8014</v>
      </c>
      <c r="I1055" s="0" t="s">
        <v>7338</v>
      </c>
      <c r="J1055" s="0" t="s">
        <v>1602</v>
      </c>
      <c r="K1055" s="0" t="s">
        <v>7339</v>
      </c>
      <c r="L1055" s="0" t="s">
        <v>7340</v>
      </c>
      <c r="M1055" s="0" t="s">
        <v>7661</v>
      </c>
      <c r="N1055" s="0" t="s">
        <v>7342</v>
      </c>
      <c r="P1055" s="0" t="s">
        <v>229</v>
      </c>
      <c r="Q1055" s="0" t="s">
        <v>7354</v>
      </c>
      <c r="R1055" s="0" t="s">
        <v>7343</v>
      </c>
      <c r="S1055" s="0" t="s">
        <v>7344</v>
      </c>
      <c r="T1055" s="0" t="s">
        <v>681</v>
      </c>
      <c r="V1055" s="0" t="s">
        <v>73</v>
      </c>
      <c r="W1055" s="0" t="s">
        <v>75</v>
      </c>
      <c r="X1055" s="0" t="s">
        <v>7345</v>
      </c>
      <c r="Y1055" s="0" t="s">
        <v>7912</v>
      </c>
      <c r="Z1055" s="0" t="s">
        <v>7437</v>
      </c>
      <c r="AA1055" s="0" t="s">
        <v>8001</v>
      </c>
      <c r="AB1055" s="0" t="s">
        <v>344</v>
      </c>
      <c r="AC1055" s="0" t="s">
        <v>7349</v>
      </c>
      <c r="AD1055" s="0" t="s">
        <v>8002</v>
      </c>
      <c r="AE1055" s="0" t="s">
        <v>8003</v>
      </c>
      <c r="AF1055" s="0" t="s">
        <v>7374</v>
      </c>
      <c r="AG1055" s="0" t="s">
        <v>230</v>
      </c>
    </row>
    <row r="1056" customFormat="false" ht="15" hidden="false" customHeight="false" outlineLevel="0" collapsed="false">
      <c r="A1056" s="0" t="s">
        <v>7336</v>
      </c>
      <c r="B1056" s="0" t="s">
        <v>3905</v>
      </c>
      <c r="C1056" s="0" t="s">
        <v>3906</v>
      </c>
      <c r="D1056" s="0" t="s">
        <v>343</v>
      </c>
      <c r="E1056" s="0" t="s">
        <v>3907</v>
      </c>
      <c r="F1056" s="0" t="s">
        <v>3908</v>
      </c>
      <c r="G1056" s="0" t="s">
        <v>160</v>
      </c>
      <c r="H1056" s="0" t="s">
        <v>8015</v>
      </c>
      <c r="I1056" s="0" t="s">
        <v>7338</v>
      </c>
      <c r="J1056" s="0" t="s">
        <v>1602</v>
      </c>
      <c r="K1056" s="0" t="s">
        <v>7339</v>
      </c>
      <c r="L1056" s="0" t="s">
        <v>7340</v>
      </c>
      <c r="M1056" s="0" t="s">
        <v>7661</v>
      </c>
      <c r="N1056" s="0" t="s">
        <v>7342</v>
      </c>
      <c r="P1056" s="0" t="s">
        <v>229</v>
      </c>
      <c r="Q1056" s="0" t="s">
        <v>7354</v>
      </c>
      <c r="R1056" s="0" t="s">
        <v>7343</v>
      </c>
      <c r="S1056" s="0" t="s">
        <v>7344</v>
      </c>
      <c r="T1056" s="0" t="s">
        <v>228</v>
      </c>
      <c r="V1056" s="0" t="s">
        <v>73</v>
      </c>
      <c r="W1056" s="0" t="s">
        <v>75</v>
      </c>
      <c r="X1056" s="0" t="s">
        <v>7345</v>
      </c>
      <c r="Y1056" s="0" t="s">
        <v>7356</v>
      </c>
      <c r="Z1056" s="0" t="s">
        <v>7357</v>
      </c>
      <c r="AA1056" s="0" t="s">
        <v>7358</v>
      </c>
      <c r="AB1056" s="0" t="s">
        <v>344</v>
      </c>
      <c r="AC1056" s="0" t="s">
        <v>7349</v>
      </c>
      <c r="AD1056" s="0" t="s">
        <v>7985</v>
      </c>
      <c r="AE1056" s="0" t="s">
        <v>7986</v>
      </c>
      <c r="AF1056" s="0" t="s">
        <v>7374</v>
      </c>
      <c r="AG1056" s="0" t="s">
        <v>230</v>
      </c>
    </row>
    <row r="1057" customFormat="false" ht="15" hidden="false" customHeight="false" outlineLevel="0" collapsed="false">
      <c r="A1057" s="0" t="s">
        <v>7336</v>
      </c>
      <c r="B1057" s="0" t="s">
        <v>3909</v>
      </c>
      <c r="C1057" s="0" t="s">
        <v>3910</v>
      </c>
      <c r="D1057" s="0" t="s">
        <v>343</v>
      </c>
      <c r="E1057" s="0" t="s">
        <v>3911</v>
      </c>
      <c r="F1057" s="0" t="s">
        <v>3908</v>
      </c>
      <c r="G1057" s="0" t="s">
        <v>160</v>
      </c>
      <c r="H1057" s="0" t="s">
        <v>8015</v>
      </c>
      <c r="I1057" s="0" t="s">
        <v>7338</v>
      </c>
      <c r="J1057" s="0" t="s">
        <v>1602</v>
      </c>
      <c r="K1057" s="0" t="s">
        <v>7339</v>
      </c>
      <c r="L1057" s="0" t="s">
        <v>7340</v>
      </c>
      <c r="M1057" s="0" t="s">
        <v>7661</v>
      </c>
      <c r="N1057" s="0" t="s">
        <v>7342</v>
      </c>
      <c r="P1057" s="0" t="s">
        <v>229</v>
      </c>
      <c r="Q1057" s="0" t="s">
        <v>7354</v>
      </c>
      <c r="R1057" s="0" t="s">
        <v>7343</v>
      </c>
      <c r="S1057" s="0" t="s">
        <v>7344</v>
      </c>
      <c r="T1057" s="0" t="s">
        <v>228</v>
      </c>
      <c r="V1057" s="0" t="s">
        <v>73</v>
      </c>
      <c r="W1057" s="0" t="s">
        <v>75</v>
      </c>
      <c r="X1057" s="0" t="s">
        <v>7345</v>
      </c>
      <c r="Y1057" s="0" t="s">
        <v>7356</v>
      </c>
      <c r="Z1057" s="0" t="s">
        <v>7357</v>
      </c>
      <c r="AA1057" s="0" t="s">
        <v>7358</v>
      </c>
      <c r="AB1057" s="0" t="s">
        <v>344</v>
      </c>
      <c r="AC1057" s="0" t="s">
        <v>7349</v>
      </c>
      <c r="AD1057" s="0" t="s">
        <v>7999</v>
      </c>
      <c r="AE1057" s="0" t="s">
        <v>7986</v>
      </c>
      <c r="AF1057" s="0" t="s">
        <v>7374</v>
      </c>
      <c r="AG1057" s="0" t="s">
        <v>230</v>
      </c>
    </row>
    <row r="1058" customFormat="false" ht="15" hidden="false" customHeight="false" outlineLevel="0" collapsed="false">
      <c r="A1058" s="0" t="s">
        <v>7336</v>
      </c>
      <c r="B1058" s="0" t="s">
        <v>3912</v>
      </c>
      <c r="C1058" s="0" t="s">
        <v>3913</v>
      </c>
      <c r="D1058" s="0" t="s">
        <v>343</v>
      </c>
      <c r="E1058" s="0" t="s">
        <v>3914</v>
      </c>
      <c r="F1058" s="0" t="s">
        <v>3915</v>
      </c>
      <c r="G1058" s="0" t="s">
        <v>160</v>
      </c>
      <c r="H1058" s="0" t="s">
        <v>8016</v>
      </c>
      <c r="I1058" s="0" t="s">
        <v>7338</v>
      </c>
      <c r="J1058" s="0" t="s">
        <v>1602</v>
      </c>
      <c r="K1058" s="0" t="s">
        <v>7339</v>
      </c>
      <c r="L1058" s="0" t="s">
        <v>7340</v>
      </c>
      <c r="M1058" s="0" t="s">
        <v>7661</v>
      </c>
      <c r="N1058" s="0" t="s">
        <v>7342</v>
      </c>
      <c r="P1058" s="0" t="s">
        <v>229</v>
      </c>
      <c r="Q1058" s="0" t="s">
        <v>7354</v>
      </c>
      <c r="R1058" s="0" t="s">
        <v>7343</v>
      </c>
      <c r="S1058" s="0" t="s">
        <v>7344</v>
      </c>
      <c r="T1058" s="0" t="s">
        <v>228</v>
      </c>
      <c r="V1058" s="0" t="s">
        <v>73</v>
      </c>
      <c r="W1058" s="0" t="s">
        <v>75</v>
      </c>
      <c r="X1058" s="0" t="s">
        <v>7345</v>
      </c>
      <c r="Y1058" s="0" t="s">
        <v>7356</v>
      </c>
      <c r="Z1058" s="0" t="s">
        <v>7357</v>
      </c>
      <c r="AA1058" s="0" t="s">
        <v>7358</v>
      </c>
      <c r="AB1058" s="0" t="s">
        <v>344</v>
      </c>
      <c r="AC1058" s="0" t="s">
        <v>7349</v>
      </c>
      <c r="AD1058" s="0" t="s">
        <v>7985</v>
      </c>
      <c r="AE1058" s="0" t="s">
        <v>7986</v>
      </c>
      <c r="AF1058" s="0" t="s">
        <v>7374</v>
      </c>
      <c r="AG1058" s="0" t="s">
        <v>230</v>
      </c>
    </row>
    <row r="1059" customFormat="false" ht="15" hidden="false" customHeight="false" outlineLevel="0" collapsed="false">
      <c r="A1059" s="0" t="s">
        <v>7336</v>
      </c>
      <c r="B1059" s="0" t="s">
        <v>3916</v>
      </c>
      <c r="C1059" s="0" t="s">
        <v>3917</v>
      </c>
      <c r="D1059" s="0" t="s">
        <v>343</v>
      </c>
      <c r="E1059" s="0" t="s">
        <v>3918</v>
      </c>
      <c r="F1059" s="0" t="s">
        <v>3908</v>
      </c>
      <c r="G1059" s="0" t="s">
        <v>160</v>
      </c>
      <c r="H1059" s="0" t="s">
        <v>8015</v>
      </c>
      <c r="I1059" s="0" t="s">
        <v>7338</v>
      </c>
      <c r="J1059" s="0" t="s">
        <v>1602</v>
      </c>
      <c r="K1059" s="0" t="s">
        <v>7339</v>
      </c>
      <c r="L1059" s="0" t="s">
        <v>7340</v>
      </c>
      <c r="M1059" s="0" t="s">
        <v>7661</v>
      </c>
      <c r="N1059" s="0" t="s">
        <v>7342</v>
      </c>
      <c r="P1059" s="0" t="s">
        <v>229</v>
      </c>
      <c r="Q1059" s="0" t="s">
        <v>7354</v>
      </c>
      <c r="R1059" s="0" t="s">
        <v>7343</v>
      </c>
      <c r="S1059" s="0" t="s">
        <v>7344</v>
      </c>
      <c r="T1059" s="0" t="s">
        <v>228</v>
      </c>
      <c r="V1059" s="0" t="s">
        <v>73</v>
      </c>
      <c r="W1059" s="0" t="s">
        <v>75</v>
      </c>
      <c r="X1059" s="0" t="s">
        <v>7345</v>
      </c>
      <c r="Y1059" s="0" t="s">
        <v>7356</v>
      </c>
      <c r="Z1059" s="0" t="s">
        <v>7357</v>
      </c>
      <c r="AA1059" s="0" t="s">
        <v>7358</v>
      </c>
      <c r="AB1059" s="0" t="s">
        <v>344</v>
      </c>
      <c r="AC1059" s="0" t="s">
        <v>7349</v>
      </c>
      <c r="AD1059" s="0" t="s">
        <v>7985</v>
      </c>
      <c r="AE1059" s="0" t="s">
        <v>7986</v>
      </c>
      <c r="AF1059" s="0" t="s">
        <v>7374</v>
      </c>
      <c r="AG1059" s="0" t="s">
        <v>230</v>
      </c>
    </row>
    <row r="1060" customFormat="false" ht="15" hidden="false" customHeight="false" outlineLevel="0" collapsed="false">
      <c r="A1060" s="0" t="s">
        <v>7336</v>
      </c>
      <c r="B1060" s="0" t="s">
        <v>3919</v>
      </c>
      <c r="C1060" s="0" t="s">
        <v>3920</v>
      </c>
      <c r="D1060" s="0" t="s">
        <v>343</v>
      </c>
      <c r="E1060" s="0" t="s">
        <v>3921</v>
      </c>
      <c r="F1060" s="0" t="s">
        <v>3922</v>
      </c>
      <c r="G1060" s="0" t="s">
        <v>160</v>
      </c>
      <c r="H1060" s="0" t="s">
        <v>8017</v>
      </c>
      <c r="I1060" s="0" t="s">
        <v>7338</v>
      </c>
      <c r="J1060" s="0" t="s">
        <v>1602</v>
      </c>
      <c r="K1060" s="0" t="s">
        <v>7339</v>
      </c>
      <c r="L1060" s="0" t="s">
        <v>7340</v>
      </c>
      <c r="M1060" s="0" t="s">
        <v>7661</v>
      </c>
      <c r="N1060" s="0" t="s">
        <v>7342</v>
      </c>
      <c r="P1060" s="0" t="s">
        <v>229</v>
      </c>
      <c r="Q1060" s="0" t="s">
        <v>7354</v>
      </c>
      <c r="R1060" s="0" t="s">
        <v>7343</v>
      </c>
      <c r="S1060" s="0" t="s">
        <v>7344</v>
      </c>
      <c r="T1060" s="0" t="s">
        <v>228</v>
      </c>
      <c r="V1060" s="0" t="s">
        <v>73</v>
      </c>
      <c r="W1060" s="0" t="s">
        <v>75</v>
      </c>
      <c r="X1060" s="0" t="s">
        <v>7345</v>
      </c>
      <c r="Y1060" s="0" t="s">
        <v>7356</v>
      </c>
      <c r="Z1060" s="0" t="s">
        <v>7357</v>
      </c>
      <c r="AA1060" s="0" t="s">
        <v>7358</v>
      </c>
      <c r="AB1060" s="0" t="s">
        <v>344</v>
      </c>
      <c r="AC1060" s="0" t="s">
        <v>7349</v>
      </c>
      <c r="AD1060" s="0" t="s">
        <v>7985</v>
      </c>
      <c r="AE1060" s="0" t="s">
        <v>7986</v>
      </c>
      <c r="AF1060" s="0" t="s">
        <v>7374</v>
      </c>
      <c r="AG1060" s="0" t="s">
        <v>230</v>
      </c>
    </row>
    <row r="1061" customFormat="false" ht="15" hidden="false" customHeight="false" outlineLevel="0" collapsed="false">
      <c r="A1061" s="0" t="s">
        <v>7336</v>
      </c>
      <c r="B1061" s="0" t="s">
        <v>3923</v>
      </c>
      <c r="C1061" s="0" t="s">
        <v>3924</v>
      </c>
      <c r="D1061" s="0" t="s">
        <v>343</v>
      </c>
      <c r="E1061" s="0" t="s">
        <v>3925</v>
      </c>
      <c r="F1061" s="0" t="s">
        <v>3926</v>
      </c>
      <c r="G1061" s="0" t="s">
        <v>160</v>
      </c>
      <c r="H1061" s="0" t="s">
        <v>8018</v>
      </c>
      <c r="I1061" s="0" t="s">
        <v>7338</v>
      </c>
      <c r="J1061" s="0" t="s">
        <v>1602</v>
      </c>
      <c r="K1061" s="0" t="s">
        <v>7339</v>
      </c>
      <c r="L1061" s="0" t="s">
        <v>7340</v>
      </c>
      <c r="M1061" s="0" t="s">
        <v>7661</v>
      </c>
      <c r="N1061" s="0" t="s">
        <v>7342</v>
      </c>
      <c r="P1061" s="0" t="s">
        <v>229</v>
      </c>
      <c r="Q1061" s="0" t="s">
        <v>7354</v>
      </c>
      <c r="R1061" s="0" t="s">
        <v>7343</v>
      </c>
      <c r="S1061" s="0" t="s">
        <v>7344</v>
      </c>
      <c r="T1061" s="0" t="s">
        <v>228</v>
      </c>
      <c r="V1061" s="0" t="s">
        <v>73</v>
      </c>
      <c r="W1061" s="0" t="s">
        <v>75</v>
      </c>
      <c r="X1061" s="0" t="s">
        <v>7345</v>
      </c>
      <c r="Y1061" s="0" t="s">
        <v>7356</v>
      </c>
      <c r="Z1061" s="0" t="s">
        <v>7357</v>
      </c>
      <c r="AA1061" s="0" t="s">
        <v>7358</v>
      </c>
      <c r="AB1061" s="0" t="s">
        <v>344</v>
      </c>
      <c r="AC1061" s="0" t="s">
        <v>7349</v>
      </c>
      <c r="AD1061" s="0" t="s">
        <v>7985</v>
      </c>
      <c r="AE1061" s="0" t="s">
        <v>7986</v>
      </c>
      <c r="AF1061" s="0" t="s">
        <v>7374</v>
      </c>
      <c r="AG1061" s="0" t="s">
        <v>230</v>
      </c>
    </row>
    <row r="1062" customFormat="false" ht="15" hidden="false" customHeight="false" outlineLevel="0" collapsed="false">
      <c r="A1062" s="0" t="s">
        <v>7336</v>
      </c>
      <c r="B1062" s="0" t="s">
        <v>3927</v>
      </c>
      <c r="C1062" s="0" t="s">
        <v>3928</v>
      </c>
      <c r="D1062" s="0" t="s">
        <v>343</v>
      </c>
      <c r="E1062" s="0" t="s">
        <v>3929</v>
      </c>
      <c r="F1062" s="0" t="s">
        <v>3930</v>
      </c>
      <c r="G1062" s="0" t="s">
        <v>160</v>
      </c>
      <c r="H1062" s="0" t="s">
        <v>8019</v>
      </c>
      <c r="I1062" s="0" t="s">
        <v>7338</v>
      </c>
      <c r="J1062" s="0" t="s">
        <v>1602</v>
      </c>
      <c r="K1062" s="0" t="s">
        <v>7339</v>
      </c>
      <c r="L1062" s="0" t="s">
        <v>7340</v>
      </c>
      <c r="M1062" s="0" t="s">
        <v>7661</v>
      </c>
      <c r="N1062" s="0" t="s">
        <v>7342</v>
      </c>
      <c r="P1062" s="0" t="s">
        <v>229</v>
      </c>
      <c r="Q1062" s="0" t="s">
        <v>7354</v>
      </c>
      <c r="R1062" s="0" t="s">
        <v>7343</v>
      </c>
      <c r="S1062" s="0" t="s">
        <v>7344</v>
      </c>
      <c r="T1062" s="0" t="s">
        <v>228</v>
      </c>
      <c r="V1062" s="0" t="s">
        <v>73</v>
      </c>
      <c r="W1062" s="0" t="s">
        <v>75</v>
      </c>
      <c r="X1062" s="0" t="s">
        <v>7345</v>
      </c>
      <c r="Y1062" s="0" t="s">
        <v>7356</v>
      </c>
      <c r="Z1062" s="0" t="s">
        <v>7357</v>
      </c>
      <c r="AA1062" s="0" t="s">
        <v>7358</v>
      </c>
      <c r="AB1062" s="0" t="s">
        <v>344</v>
      </c>
      <c r="AC1062" s="0" t="s">
        <v>7349</v>
      </c>
      <c r="AD1062" s="0" t="s">
        <v>7985</v>
      </c>
      <c r="AE1062" s="0" t="s">
        <v>7986</v>
      </c>
      <c r="AF1062" s="0" t="s">
        <v>7374</v>
      </c>
      <c r="AG1062" s="0" t="s">
        <v>230</v>
      </c>
    </row>
    <row r="1063" customFormat="false" ht="15" hidden="false" customHeight="false" outlineLevel="0" collapsed="false">
      <c r="A1063" s="0" t="s">
        <v>7336</v>
      </c>
      <c r="B1063" s="0" t="s">
        <v>3931</v>
      </c>
      <c r="C1063" s="0" t="s">
        <v>3932</v>
      </c>
      <c r="D1063" s="0" t="s">
        <v>343</v>
      </c>
      <c r="E1063" s="0" t="s">
        <v>3933</v>
      </c>
      <c r="F1063" s="0" t="s">
        <v>3934</v>
      </c>
      <c r="G1063" s="0" t="s">
        <v>160</v>
      </c>
      <c r="H1063" s="0" t="s">
        <v>8020</v>
      </c>
      <c r="I1063" s="0" t="s">
        <v>7338</v>
      </c>
      <c r="J1063" s="0" t="s">
        <v>1602</v>
      </c>
      <c r="K1063" s="0" t="s">
        <v>7339</v>
      </c>
      <c r="L1063" s="0" t="s">
        <v>7340</v>
      </c>
      <c r="M1063" s="0" t="s">
        <v>7661</v>
      </c>
      <c r="N1063" s="0" t="s">
        <v>7342</v>
      </c>
      <c r="P1063" s="0" t="s">
        <v>229</v>
      </c>
      <c r="Q1063" s="0" t="s">
        <v>7354</v>
      </c>
      <c r="R1063" s="0" t="s">
        <v>7343</v>
      </c>
      <c r="S1063" s="0" t="s">
        <v>7344</v>
      </c>
      <c r="T1063" s="0" t="s">
        <v>228</v>
      </c>
      <c r="V1063" s="0" t="s">
        <v>73</v>
      </c>
      <c r="W1063" s="0" t="s">
        <v>75</v>
      </c>
      <c r="X1063" s="0" t="s">
        <v>7345</v>
      </c>
      <c r="Y1063" s="0" t="s">
        <v>7356</v>
      </c>
      <c r="Z1063" s="0" t="s">
        <v>7357</v>
      </c>
      <c r="AA1063" s="0" t="s">
        <v>7358</v>
      </c>
      <c r="AB1063" s="0" t="s">
        <v>344</v>
      </c>
      <c r="AC1063" s="0" t="s">
        <v>7349</v>
      </c>
      <c r="AD1063" s="0" t="s">
        <v>7985</v>
      </c>
      <c r="AE1063" s="0" t="s">
        <v>7986</v>
      </c>
      <c r="AF1063" s="0" t="s">
        <v>7374</v>
      </c>
      <c r="AG1063" s="0" t="s">
        <v>230</v>
      </c>
    </row>
    <row r="1064" customFormat="false" ht="15" hidden="false" customHeight="false" outlineLevel="0" collapsed="false">
      <c r="A1064" s="0" t="s">
        <v>7336</v>
      </c>
      <c r="B1064" s="0" t="s">
        <v>3935</v>
      </c>
      <c r="C1064" s="0" t="s">
        <v>3936</v>
      </c>
      <c r="D1064" s="0" t="s">
        <v>343</v>
      </c>
      <c r="E1064" s="0" t="s">
        <v>3937</v>
      </c>
      <c r="F1064" s="0" t="s">
        <v>3915</v>
      </c>
      <c r="G1064" s="0" t="s">
        <v>160</v>
      </c>
      <c r="H1064" s="0" t="s">
        <v>8016</v>
      </c>
      <c r="I1064" s="0" t="s">
        <v>7338</v>
      </c>
      <c r="J1064" s="0" t="s">
        <v>1602</v>
      </c>
      <c r="K1064" s="0" t="s">
        <v>7339</v>
      </c>
      <c r="L1064" s="0" t="s">
        <v>7340</v>
      </c>
      <c r="M1064" s="0" t="s">
        <v>7661</v>
      </c>
      <c r="N1064" s="0" t="s">
        <v>7342</v>
      </c>
      <c r="P1064" s="0" t="s">
        <v>229</v>
      </c>
      <c r="Q1064" s="0" t="s">
        <v>7354</v>
      </c>
      <c r="R1064" s="0" t="s">
        <v>7343</v>
      </c>
      <c r="S1064" s="0" t="s">
        <v>7344</v>
      </c>
      <c r="T1064" s="0" t="s">
        <v>228</v>
      </c>
      <c r="V1064" s="0" t="s">
        <v>73</v>
      </c>
      <c r="W1064" s="0" t="s">
        <v>75</v>
      </c>
      <c r="X1064" s="0" t="s">
        <v>7345</v>
      </c>
      <c r="Y1064" s="0" t="s">
        <v>7356</v>
      </c>
      <c r="Z1064" s="0" t="s">
        <v>7357</v>
      </c>
      <c r="AA1064" s="0" t="s">
        <v>7358</v>
      </c>
      <c r="AB1064" s="0" t="s">
        <v>344</v>
      </c>
      <c r="AC1064" s="0" t="s">
        <v>7349</v>
      </c>
      <c r="AD1064" s="0" t="s">
        <v>7985</v>
      </c>
      <c r="AE1064" s="0" t="s">
        <v>7986</v>
      </c>
      <c r="AF1064" s="0" t="s">
        <v>7374</v>
      </c>
      <c r="AG1064" s="0" t="s">
        <v>230</v>
      </c>
    </row>
    <row r="1065" customFormat="false" ht="15" hidden="false" customHeight="false" outlineLevel="0" collapsed="false">
      <c r="A1065" s="0" t="s">
        <v>7336</v>
      </c>
      <c r="B1065" s="0" t="s">
        <v>3938</v>
      </c>
      <c r="C1065" s="0" t="s">
        <v>3939</v>
      </c>
      <c r="D1065" s="0" t="s">
        <v>343</v>
      </c>
      <c r="E1065" s="0" t="s">
        <v>3940</v>
      </c>
      <c r="F1065" s="0" t="s">
        <v>3908</v>
      </c>
      <c r="G1065" s="0" t="s">
        <v>160</v>
      </c>
      <c r="H1065" s="0" t="s">
        <v>8015</v>
      </c>
      <c r="I1065" s="0" t="s">
        <v>7338</v>
      </c>
      <c r="J1065" s="0" t="s">
        <v>1602</v>
      </c>
      <c r="K1065" s="0" t="s">
        <v>7339</v>
      </c>
      <c r="L1065" s="0" t="s">
        <v>7340</v>
      </c>
      <c r="M1065" s="0" t="s">
        <v>7661</v>
      </c>
      <c r="N1065" s="0" t="s">
        <v>7342</v>
      </c>
      <c r="P1065" s="0" t="s">
        <v>229</v>
      </c>
      <c r="Q1065" s="0" t="s">
        <v>7354</v>
      </c>
      <c r="R1065" s="0" t="s">
        <v>7343</v>
      </c>
      <c r="S1065" s="0" t="s">
        <v>7344</v>
      </c>
      <c r="T1065" s="0" t="s">
        <v>58</v>
      </c>
      <c r="V1065" s="0" t="s">
        <v>73</v>
      </c>
      <c r="W1065" s="0" t="s">
        <v>78</v>
      </c>
      <c r="X1065" s="0" t="s">
        <v>7345</v>
      </c>
      <c r="Y1065" s="0" t="s">
        <v>7995</v>
      </c>
      <c r="Z1065" s="0" t="s">
        <v>7863</v>
      </c>
      <c r="AA1065" s="0" t="s">
        <v>7996</v>
      </c>
      <c r="AC1065" s="0" t="s">
        <v>7349</v>
      </c>
      <c r="AE1065" s="0" t="s">
        <v>7997</v>
      </c>
      <c r="AF1065" s="0" t="s">
        <v>7499</v>
      </c>
      <c r="AG1065" s="0" t="s">
        <v>230</v>
      </c>
    </row>
    <row r="1066" customFormat="false" ht="15" hidden="false" customHeight="false" outlineLevel="0" collapsed="false">
      <c r="A1066" s="0" t="s">
        <v>7336</v>
      </c>
      <c r="B1066" s="0" t="s">
        <v>3941</v>
      </c>
      <c r="C1066" s="0" t="s">
        <v>3942</v>
      </c>
      <c r="D1066" s="0" t="s">
        <v>343</v>
      </c>
      <c r="E1066" s="0" t="s">
        <v>3943</v>
      </c>
      <c r="F1066" s="0" t="s">
        <v>3915</v>
      </c>
      <c r="G1066" s="0" t="s">
        <v>160</v>
      </c>
      <c r="H1066" s="0" t="s">
        <v>8016</v>
      </c>
      <c r="I1066" s="0" t="s">
        <v>7338</v>
      </c>
      <c r="J1066" s="0" t="s">
        <v>1602</v>
      </c>
      <c r="K1066" s="0" t="s">
        <v>7339</v>
      </c>
      <c r="L1066" s="0" t="s">
        <v>7340</v>
      </c>
      <c r="M1066" s="0" t="s">
        <v>7661</v>
      </c>
      <c r="N1066" s="0" t="s">
        <v>7342</v>
      </c>
      <c r="P1066" s="0" t="s">
        <v>229</v>
      </c>
      <c r="Q1066" s="0" t="s">
        <v>7354</v>
      </c>
      <c r="R1066" s="0" t="s">
        <v>7343</v>
      </c>
      <c r="S1066" s="0" t="s">
        <v>7344</v>
      </c>
      <c r="T1066" s="0" t="s">
        <v>58</v>
      </c>
      <c r="V1066" s="0" t="s">
        <v>73</v>
      </c>
      <c r="W1066" s="0" t="s">
        <v>78</v>
      </c>
      <c r="X1066" s="0" t="s">
        <v>7345</v>
      </c>
      <c r="Y1066" s="0" t="s">
        <v>7995</v>
      </c>
      <c r="Z1066" s="0" t="s">
        <v>7863</v>
      </c>
      <c r="AA1066" s="0" t="s">
        <v>7996</v>
      </c>
      <c r="AC1066" s="0" t="s">
        <v>7349</v>
      </c>
      <c r="AE1066" s="0" t="s">
        <v>7997</v>
      </c>
      <c r="AF1066" s="0" t="s">
        <v>7499</v>
      </c>
      <c r="AG1066" s="0" t="s">
        <v>230</v>
      </c>
    </row>
    <row r="1067" customFormat="false" ht="15" hidden="false" customHeight="false" outlineLevel="0" collapsed="false">
      <c r="A1067" s="0" t="s">
        <v>7336</v>
      </c>
      <c r="B1067" s="0" t="s">
        <v>3944</v>
      </c>
      <c r="C1067" s="0" t="s">
        <v>3945</v>
      </c>
      <c r="D1067" s="0" t="s">
        <v>343</v>
      </c>
      <c r="E1067" s="0" t="s">
        <v>3946</v>
      </c>
      <c r="F1067" s="0" t="s">
        <v>3947</v>
      </c>
      <c r="G1067" s="0" t="s">
        <v>160</v>
      </c>
      <c r="H1067" s="0" t="s">
        <v>8021</v>
      </c>
      <c r="I1067" s="0" t="s">
        <v>7338</v>
      </c>
      <c r="J1067" s="0" t="s">
        <v>1602</v>
      </c>
      <c r="K1067" s="0" t="s">
        <v>7339</v>
      </c>
      <c r="L1067" s="0" t="s">
        <v>7340</v>
      </c>
      <c r="M1067" s="0" t="s">
        <v>7661</v>
      </c>
      <c r="N1067" s="0" t="s">
        <v>7342</v>
      </c>
      <c r="P1067" s="0" t="s">
        <v>229</v>
      </c>
      <c r="Q1067" s="0" t="s">
        <v>7354</v>
      </c>
      <c r="R1067" s="0" t="s">
        <v>7343</v>
      </c>
      <c r="S1067" s="0" t="s">
        <v>7344</v>
      </c>
      <c r="T1067" s="0" t="s">
        <v>58</v>
      </c>
      <c r="V1067" s="0" t="s">
        <v>73</v>
      </c>
      <c r="W1067" s="0" t="s">
        <v>78</v>
      </c>
      <c r="X1067" s="0" t="s">
        <v>7345</v>
      </c>
      <c r="Y1067" s="0" t="s">
        <v>7995</v>
      </c>
      <c r="Z1067" s="0" t="s">
        <v>7863</v>
      </c>
      <c r="AA1067" s="0" t="s">
        <v>7996</v>
      </c>
      <c r="AC1067" s="0" t="s">
        <v>7349</v>
      </c>
      <c r="AE1067" s="0" t="s">
        <v>7997</v>
      </c>
      <c r="AF1067" s="0" t="s">
        <v>7499</v>
      </c>
      <c r="AG1067" s="0" t="s">
        <v>230</v>
      </c>
    </row>
    <row r="1068" customFormat="false" ht="15" hidden="false" customHeight="false" outlineLevel="0" collapsed="false">
      <c r="A1068" s="0" t="s">
        <v>7336</v>
      </c>
      <c r="B1068" s="0" t="s">
        <v>3948</v>
      </c>
      <c r="C1068" s="0" t="s">
        <v>3949</v>
      </c>
      <c r="D1068" s="0" t="s">
        <v>343</v>
      </c>
      <c r="E1068" s="0" t="s">
        <v>3950</v>
      </c>
      <c r="F1068" s="0" t="s">
        <v>3951</v>
      </c>
      <c r="G1068" s="0" t="s">
        <v>166</v>
      </c>
      <c r="H1068" s="0" t="s">
        <v>8022</v>
      </c>
      <c r="I1068" s="0" t="s">
        <v>7338</v>
      </c>
      <c r="J1068" s="0" t="s">
        <v>1602</v>
      </c>
      <c r="K1068" s="0" t="s">
        <v>7339</v>
      </c>
      <c r="L1068" s="0" t="s">
        <v>7340</v>
      </c>
      <c r="M1068" s="0" t="s">
        <v>7661</v>
      </c>
      <c r="N1068" s="0" t="s">
        <v>7342</v>
      </c>
      <c r="P1068" s="0" t="s">
        <v>229</v>
      </c>
      <c r="Q1068" s="0" t="s">
        <v>7354</v>
      </c>
      <c r="R1068" s="0" t="s">
        <v>7343</v>
      </c>
      <c r="S1068" s="0" t="s">
        <v>7344</v>
      </c>
      <c r="T1068" s="0" t="s">
        <v>58</v>
      </c>
      <c r="V1068" s="0" t="s">
        <v>73</v>
      </c>
      <c r="W1068" s="0" t="s">
        <v>78</v>
      </c>
      <c r="X1068" s="0" t="s">
        <v>7345</v>
      </c>
      <c r="Y1068" s="0" t="s">
        <v>7995</v>
      </c>
      <c r="Z1068" s="0" t="s">
        <v>7863</v>
      </c>
      <c r="AA1068" s="0" t="s">
        <v>7996</v>
      </c>
      <c r="AC1068" s="0" t="s">
        <v>7349</v>
      </c>
      <c r="AE1068" s="0" t="s">
        <v>7997</v>
      </c>
      <c r="AF1068" s="0" t="s">
        <v>7499</v>
      </c>
      <c r="AG1068" s="0" t="s">
        <v>230</v>
      </c>
    </row>
    <row r="1069" customFormat="false" ht="15" hidden="false" customHeight="false" outlineLevel="0" collapsed="false">
      <c r="A1069" s="0" t="s">
        <v>7336</v>
      </c>
      <c r="B1069" s="0" t="s">
        <v>3952</v>
      </c>
      <c r="C1069" s="0" t="s">
        <v>3953</v>
      </c>
      <c r="D1069" s="0" t="s">
        <v>259</v>
      </c>
      <c r="E1069" s="0" t="s">
        <v>3954</v>
      </c>
      <c r="F1069" s="0" t="s">
        <v>3955</v>
      </c>
      <c r="G1069" s="0" t="s">
        <v>118</v>
      </c>
      <c r="H1069" s="0" t="s">
        <v>8023</v>
      </c>
      <c r="I1069" s="0" t="s">
        <v>7338</v>
      </c>
      <c r="J1069" s="0" t="s">
        <v>1602</v>
      </c>
      <c r="K1069" s="0" t="s">
        <v>7339</v>
      </c>
      <c r="L1069" s="0" t="s">
        <v>7340</v>
      </c>
      <c r="M1069" s="0" t="s">
        <v>7661</v>
      </c>
      <c r="N1069" s="0" t="s">
        <v>7342</v>
      </c>
      <c r="P1069" s="0" t="s">
        <v>229</v>
      </c>
      <c r="Q1069" s="0" t="s">
        <v>7368</v>
      </c>
      <c r="R1069" s="0" t="s">
        <v>7343</v>
      </c>
      <c r="S1069" s="0" t="s">
        <v>7344</v>
      </c>
      <c r="T1069" s="0" t="s">
        <v>681</v>
      </c>
      <c r="U1069" s="0" t="s">
        <v>7369</v>
      </c>
      <c r="V1069" s="0" t="s">
        <v>34</v>
      </c>
      <c r="W1069" s="0" t="s">
        <v>47</v>
      </c>
      <c r="X1069" s="0" t="s">
        <v>7355</v>
      </c>
      <c r="Y1069" s="0" t="s">
        <v>7495</v>
      </c>
      <c r="Z1069" s="0" t="s">
        <v>7496</v>
      </c>
      <c r="AA1069" s="0" t="s">
        <v>7631</v>
      </c>
      <c r="AC1069" s="0" t="s">
        <v>7349</v>
      </c>
      <c r="AD1069" s="0" t="s">
        <v>8024</v>
      </c>
      <c r="AE1069" s="0" t="s">
        <v>7872</v>
      </c>
      <c r="AF1069" s="0" t="s">
        <v>7499</v>
      </c>
      <c r="AG1069" s="0" t="s">
        <v>3198</v>
      </c>
    </row>
    <row r="1070" customFormat="false" ht="15" hidden="false" customHeight="false" outlineLevel="0" collapsed="false">
      <c r="A1070" s="0" t="s">
        <v>7336</v>
      </c>
      <c r="B1070" s="0" t="s">
        <v>3956</v>
      </c>
      <c r="C1070" s="0" t="s">
        <v>3957</v>
      </c>
      <c r="D1070" s="0" t="s">
        <v>259</v>
      </c>
      <c r="E1070" s="0" t="s">
        <v>3958</v>
      </c>
      <c r="F1070" s="0" t="s">
        <v>3955</v>
      </c>
      <c r="G1070" s="0" t="s">
        <v>118</v>
      </c>
      <c r="H1070" s="0" t="s">
        <v>8023</v>
      </c>
      <c r="I1070" s="0" t="s">
        <v>7338</v>
      </c>
      <c r="J1070" s="0" t="s">
        <v>1602</v>
      </c>
      <c r="K1070" s="0" t="s">
        <v>7339</v>
      </c>
      <c r="L1070" s="0" t="s">
        <v>7340</v>
      </c>
      <c r="M1070" s="0" t="s">
        <v>7661</v>
      </c>
      <c r="N1070" s="0" t="s">
        <v>7342</v>
      </c>
      <c r="P1070" s="0" t="s">
        <v>229</v>
      </c>
      <c r="Q1070" s="0" t="s">
        <v>7368</v>
      </c>
      <c r="R1070" s="0" t="s">
        <v>7343</v>
      </c>
      <c r="S1070" s="0" t="s">
        <v>7344</v>
      </c>
      <c r="T1070" s="0" t="s">
        <v>260</v>
      </c>
      <c r="U1070" s="0" t="s">
        <v>7369</v>
      </c>
      <c r="V1070" s="0" t="s">
        <v>34</v>
      </c>
      <c r="W1070" s="0" t="s">
        <v>39</v>
      </c>
      <c r="X1070" s="0" t="s">
        <v>7355</v>
      </c>
      <c r="Y1070" s="0" t="s">
        <v>7346</v>
      </c>
      <c r="Z1070" s="0" t="s">
        <v>7370</v>
      </c>
      <c r="AA1070" s="0" t="s">
        <v>7628</v>
      </c>
      <c r="AB1070" s="0" t="s">
        <v>262</v>
      </c>
      <c r="AC1070" s="0" t="s">
        <v>7349</v>
      </c>
      <c r="AD1070" s="0" t="s">
        <v>7372</v>
      </c>
      <c r="AE1070" s="0" t="s">
        <v>7412</v>
      </c>
      <c r="AF1070" s="0" t="s">
        <v>7374</v>
      </c>
      <c r="AG1070" s="0" t="s">
        <v>230</v>
      </c>
    </row>
    <row r="1071" customFormat="false" ht="15" hidden="false" customHeight="false" outlineLevel="0" collapsed="false">
      <c r="A1071" s="0" t="s">
        <v>7336</v>
      </c>
      <c r="B1071" s="0" t="s">
        <v>3959</v>
      </c>
      <c r="C1071" s="0" t="s">
        <v>3960</v>
      </c>
      <c r="D1071" s="0" t="s">
        <v>259</v>
      </c>
      <c r="E1071" s="0" t="s">
        <v>3961</v>
      </c>
      <c r="F1071" s="0" t="s">
        <v>3955</v>
      </c>
      <c r="G1071" s="0" t="s">
        <v>118</v>
      </c>
      <c r="H1071" s="0" t="s">
        <v>8023</v>
      </c>
      <c r="I1071" s="0" t="s">
        <v>7338</v>
      </c>
      <c r="J1071" s="0" t="s">
        <v>1602</v>
      </c>
      <c r="K1071" s="0" t="s">
        <v>7339</v>
      </c>
      <c r="L1071" s="0" t="s">
        <v>7340</v>
      </c>
      <c r="M1071" s="0" t="s">
        <v>7661</v>
      </c>
      <c r="N1071" s="0" t="s">
        <v>7342</v>
      </c>
      <c r="P1071" s="0" t="s">
        <v>229</v>
      </c>
      <c r="Q1071" s="0" t="s">
        <v>7354</v>
      </c>
      <c r="S1071" s="0" t="s">
        <v>7344</v>
      </c>
      <c r="T1071" s="0" t="s">
        <v>58</v>
      </c>
      <c r="U1071" s="0" t="s">
        <v>7369</v>
      </c>
      <c r="V1071" s="0" t="s">
        <v>55</v>
      </c>
      <c r="W1071" s="0" t="s">
        <v>55</v>
      </c>
      <c r="X1071" s="0" t="s">
        <v>7355</v>
      </c>
      <c r="Z1071" s="0" t="s">
        <v>7496</v>
      </c>
      <c r="AB1071" s="0" t="s">
        <v>344</v>
      </c>
      <c r="AC1071" s="0" t="s">
        <v>7349</v>
      </c>
      <c r="AE1071" s="0" t="s">
        <v>7826</v>
      </c>
      <c r="AF1071" s="0" t="s">
        <v>7374</v>
      </c>
      <c r="AG1071" s="0" t="s">
        <v>3198</v>
      </c>
    </row>
    <row r="1072" customFormat="false" ht="15" hidden="false" customHeight="false" outlineLevel="0" collapsed="false">
      <c r="A1072" s="0" t="s">
        <v>7336</v>
      </c>
      <c r="B1072" s="0" t="s">
        <v>3962</v>
      </c>
      <c r="C1072" s="0" t="s">
        <v>3963</v>
      </c>
      <c r="D1072" s="0" t="s">
        <v>259</v>
      </c>
      <c r="E1072" s="0" t="s">
        <v>3964</v>
      </c>
      <c r="F1072" s="0" t="s">
        <v>3955</v>
      </c>
      <c r="G1072" s="0" t="s">
        <v>118</v>
      </c>
      <c r="H1072" s="0" t="s">
        <v>8023</v>
      </c>
      <c r="I1072" s="0" t="s">
        <v>7338</v>
      </c>
      <c r="J1072" s="0" t="s">
        <v>1602</v>
      </c>
      <c r="K1072" s="0" t="s">
        <v>7339</v>
      </c>
      <c r="L1072" s="0" t="s">
        <v>7340</v>
      </c>
      <c r="M1072" s="0" t="s">
        <v>7661</v>
      </c>
      <c r="N1072" s="0" t="s">
        <v>7342</v>
      </c>
      <c r="P1072" s="0" t="s">
        <v>229</v>
      </c>
      <c r="Q1072" s="0" t="s">
        <v>7368</v>
      </c>
      <c r="R1072" s="0" t="s">
        <v>7343</v>
      </c>
      <c r="S1072" s="0" t="s">
        <v>7344</v>
      </c>
      <c r="T1072" s="0" t="s">
        <v>260</v>
      </c>
      <c r="U1072" s="0" t="s">
        <v>7369</v>
      </c>
      <c r="V1072" s="0" t="s">
        <v>34</v>
      </c>
      <c r="W1072" s="0" t="s">
        <v>39</v>
      </c>
      <c r="X1072" s="0" t="s">
        <v>7355</v>
      </c>
      <c r="Y1072" s="0" t="s">
        <v>7346</v>
      </c>
      <c r="Z1072" s="0" t="s">
        <v>7370</v>
      </c>
      <c r="AA1072" s="0" t="s">
        <v>7628</v>
      </c>
      <c r="AB1072" s="0" t="s">
        <v>262</v>
      </c>
      <c r="AC1072" s="0" t="s">
        <v>7349</v>
      </c>
      <c r="AD1072" s="0" t="s">
        <v>7372</v>
      </c>
      <c r="AE1072" s="0" t="s">
        <v>7412</v>
      </c>
      <c r="AF1072" s="0" t="s">
        <v>7374</v>
      </c>
      <c r="AG1072" s="0" t="s">
        <v>230</v>
      </c>
    </row>
    <row r="1073" customFormat="false" ht="15" hidden="false" customHeight="false" outlineLevel="0" collapsed="false">
      <c r="A1073" s="0" t="s">
        <v>7336</v>
      </c>
      <c r="B1073" s="0" t="s">
        <v>3965</v>
      </c>
      <c r="C1073" s="0" t="s">
        <v>3966</v>
      </c>
      <c r="D1073" s="0" t="s">
        <v>259</v>
      </c>
      <c r="E1073" s="0" t="s">
        <v>3967</v>
      </c>
      <c r="F1073" s="0" t="s">
        <v>3968</v>
      </c>
      <c r="G1073" s="0" t="s">
        <v>118</v>
      </c>
      <c r="H1073" s="0" t="s">
        <v>8025</v>
      </c>
      <c r="I1073" s="0" t="s">
        <v>7338</v>
      </c>
      <c r="J1073" s="0" t="s">
        <v>1602</v>
      </c>
      <c r="K1073" s="0" t="s">
        <v>7339</v>
      </c>
      <c r="L1073" s="0" t="s">
        <v>7340</v>
      </c>
      <c r="M1073" s="0" t="s">
        <v>7661</v>
      </c>
      <c r="N1073" s="0" t="s">
        <v>7342</v>
      </c>
      <c r="P1073" s="0" t="s">
        <v>229</v>
      </c>
      <c r="Q1073" s="0" t="s">
        <v>7368</v>
      </c>
      <c r="R1073" s="0" t="s">
        <v>7343</v>
      </c>
      <c r="S1073" s="0" t="s">
        <v>7344</v>
      </c>
      <c r="T1073" s="0" t="s">
        <v>681</v>
      </c>
      <c r="U1073" s="0" t="s">
        <v>7369</v>
      </c>
      <c r="V1073" s="0" t="s">
        <v>34</v>
      </c>
      <c r="W1073" s="0" t="s">
        <v>47</v>
      </c>
      <c r="X1073" s="0" t="s">
        <v>7355</v>
      </c>
      <c r="Y1073" s="0" t="s">
        <v>7495</v>
      </c>
      <c r="Z1073" s="0" t="s">
        <v>7496</v>
      </c>
      <c r="AA1073" s="0" t="s">
        <v>7631</v>
      </c>
      <c r="AC1073" s="0" t="s">
        <v>7349</v>
      </c>
      <c r="AD1073" s="0" t="s">
        <v>8024</v>
      </c>
      <c r="AE1073" s="0" t="s">
        <v>7872</v>
      </c>
      <c r="AF1073" s="0" t="s">
        <v>7499</v>
      </c>
      <c r="AG1073" s="0" t="s">
        <v>261</v>
      </c>
    </row>
    <row r="1074" customFormat="false" ht="15" hidden="false" customHeight="false" outlineLevel="0" collapsed="false">
      <c r="A1074" s="0" t="s">
        <v>7336</v>
      </c>
      <c r="B1074" s="0" t="s">
        <v>3969</v>
      </c>
      <c r="C1074" s="0" t="s">
        <v>3970</v>
      </c>
      <c r="D1074" s="0" t="s">
        <v>259</v>
      </c>
      <c r="E1074" s="0" t="s">
        <v>3971</v>
      </c>
      <c r="F1074" s="0" t="s">
        <v>3968</v>
      </c>
      <c r="G1074" s="0" t="s">
        <v>118</v>
      </c>
      <c r="H1074" s="0" t="s">
        <v>8025</v>
      </c>
      <c r="I1074" s="0" t="s">
        <v>7338</v>
      </c>
      <c r="J1074" s="0" t="s">
        <v>1602</v>
      </c>
      <c r="K1074" s="0" t="s">
        <v>7339</v>
      </c>
      <c r="L1074" s="0" t="s">
        <v>7340</v>
      </c>
      <c r="M1074" s="0" t="s">
        <v>7661</v>
      </c>
      <c r="N1074" s="0" t="s">
        <v>7342</v>
      </c>
      <c r="P1074" s="0" t="s">
        <v>229</v>
      </c>
      <c r="Q1074" s="0" t="s">
        <v>7368</v>
      </c>
      <c r="R1074" s="0" t="s">
        <v>7343</v>
      </c>
      <c r="S1074" s="0" t="s">
        <v>7344</v>
      </c>
      <c r="T1074" s="0" t="s">
        <v>260</v>
      </c>
      <c r="U1074" s="0" t="s">
        <v>7369</v>
      </c>
      <c r="V1074" s="0" t="s">
        <v>34</v>
      </c>
      <c r="W1074" s="0" t="s">
        <v>39</v>
      </c>
      <c r="X1074" s="0" t="s">
        <v>7355</v>
      </c>
      <c r="Y1074" s="0" t="s">
        <v>7346</v>
      </c>
      <c r="Z1074" s="0" t="s">
        <v>7370</v>
      </c>
      <c r="AA1074" s="0" t="s">
        <v>7628</v>
      </c>
      <c r="AB1074" s="0" t="s">
        <v>262</v>
      </c>
      <c r="AC1074" s="0" t="s">
        <v>7349</v>
      </c>
      <c r="AD1074" s="0" t="s">
        <v>7372</v>
      </c>
      <c r="AE1074" s="0" t="s">
        <v>7412</v>
      </c>
      <c r="AF1074" s="0" t="s">
        <v>7374</v>
      </c>
      <c r="AG1074" s="0" t="s">
        <v>230</v>
      </c>
    </row>
    <row r="1075" customFormat="false" ht="15" hidden="false" customHeight="false" outlineLevel="0" collapsed="false">
      <c r="A1075" s="0" t="s">
        <v>7336</v>
      </c>
      <c r="B1075" s="0" t="s">
        <v>3972</v>
      </c>
      <c r="C1075" s="0" t="s">
        <v>3973</v>
      </c>
      <c r="D1075" s="0" t="s">
        <v>259</v>
      </c>
      <c r="E1075" s="0" t="s">
        <v>3974</v>
      </c>
      <c r="F1075" s="0" t="s">
        <v>3968</v>
      </c>
      <c r="G1075" s="0" t="s">
        <v>118</v>
      </c>
      <c r="H1075" s="0" t="s">
        <v>8025</v>
      </c>
      <c r="I1075" s="0" t="s">
        <v>7338</v>
      </c>
      <c r="J1075" s="0" t="s">
        <v>1602</v>
      </c>
      <c r="K1075" s="0" t="s">
        <v>7339</v>
      </c>
      <c r="L1075" s="0" t="s">
        <v>7340</v>
      </c>
      <c r="M1075" s="0" t="s">
        <v>7661</v>
      </c>
      <c r="N1075" s="0" t="s">
        <v>7342</v>
      </c>
      <c r="P1075" s="0" t="s">
        <v>229</v>
      </c>
      <c r="Q1075" s="0" t="s">
        <v>7354</v>
      </c>
      <c r="S1075" s="0" t="s">
        <v>7344</v>
      </c>
      <c r="T1075" s="0" t="s">
        <v>58</v>
      </c>
      <c r="U1075" s="0" t="s">
        <v>7369</v>
      </c>
      <c r="V1075" s="0" t="s">
        <v>55</v>
      </c>
      <c r="W1075" s="0" t="s">
        <v>55</v>
      </c>
      <c r="X1075" s="0" t="s">
        <v>7355</v>
      </c>
      <c r="Z1075" s="0" t="s">
        <v>7496</v>
      </c>
      <c r="AB1075" s="0" t="s">
        <v>344</v>
      </c>
      <c r="AC1075" s="0" t="s">
        <v>7349</v>
      </c>
      <c r="AE1075" s="0" t="s">
        <v>7826</v>
      </c>
      <c r="AF1075" s="0" t="s">
        <v>7374</v>
      </c>
      <c r="AG1075" s="0" t="s">
        <v>3198</v>
      </c>
    </row>
    <row r="1076" customFormat="false" ht="15" hidden="false" customHeight="false" outlineLevel="0" collapsed="false">
      <c r="A1076" s="0" t="s">
        <v>7336</v>
      </c>
      <c r="B1076" s="0" t="s">
        <v>3975</v>
      </c>
      <c r="C1076" s="0" t="s">
        <v>3976</v>
      </c>
      <c r="D1076" s="0" t="s">
        <v>259</v>
      </c>
      <c r="E1076" s="0" t="s">
        <v>3977</v>
      </c>
      <c r="F1076" s="0" t="s">
        <v>3978</v>
      </c>
      <c r="G1076" s="0" t="s">
        <v>118</v>
      </c>
      <c r="H1076" s="0" t="s">
        <v>8026</v>
      </c>
      <c r="I1076" s="0" t="s">
        <v>7338</v>
      </c>
      <c r="J1076" s="0" t="s">
        <v>1602</v>
      </c>
      <c r="K1076" s="0" t="s">
        <v>7339</v>
      </c>
      <c r="L1076" s="0" t="s">
        <v>7340</v>
      </c>
      <c r="M1076" s="0" t="s">
        <v>7661</v>
      </c>
      <c r="N1076" s="0" t="s">
        <v>7342</v>
      </c>
      <c r="P1076" s="0" t="s">
        <v>229</v>
      </c>
      <c r="Q1076" s="0" t="s">
        <v>7368</v>
      </c>
      <c r="R1076" s="0" t="s">
        <v>7343</v>
      </c>
      <c r="S1076" s="0" t="s">
        <v>7344</v>
      </c>
      <c r="T1076" s="0" t="s">
        <v>681</v>
      </c>
      <c r="U1076" s="0" t="s">
        <v>7369</v>
      </c>
      <c r="V1076" s="0" t="s">
        <v>34</v>
      </c>
      <c r="W1076" s="0" t="s">
        <v>47</v>
      </c>
      <c r="X1076" s="0" t="s">
        <v>7355</v>
      </c>
      <c r="Y1076" s="0" t="s">
        <v>7495</v>
      </c>
      <c r="Z1076" s="0" t="s">
        <v>7496</v>
      </c>
      <c r="AA1076" s="0" t="s">
        <v>7631</v>
      </c>
      <c r="AC1076" s="0" t="s">
        <v>7349</v>
      </c>
      <c r="AD1076" s="0" t="s">
        <v>8024</v>
      </c>
      <c r="AE1076" s="0" t="s">
        <v>7872</v>
      </c>
      <c r="AF1076" s="0" t="s">
        <v>7499</v>
      </c>
      <c r="AG1076" s="0" t="s">
        <v>230</v>
      </c>
    </row>
    <row r="1077" customFormat="false" ht="15" hidden="false" customHeight="false" outlineLevel="0" collapsed="false">
      <c r="A1077" s="0" t="s">
        <v>7336</v>
      </c>
      <c r="B1077" s="0" t="s">
        <v>3979</v>
      </c>
      <c r="C1077" s="0" t="s">
        <v>3980</v>
      </c>
      <c r="D1077" s="0" t="s">
        <v>259</v>
      </c>
      <c r="E1077" s="0" t="s">
        <v>3981</v>
      </c>
      <c r="F1077" s="0" t="s">
        <v>3982</v>
      </c>
      <c r="G1077" s="0" t="s">
        <v>118</v>
      </c>
      <c r="H1077" s="0" t="s">
        <v>8027</v>
      </c>
      <c r="I1077" s="0" t="s">
        <v>7338</v>
      </c>
      <c r="J1077" s="0" t="s">
        <v>1602</v>
      </c>
      <c r="K1077" s="0" t="s">
        <v>7339</v>
      </c>
      <c r="L1077" s="0" t="s">
        <v>7340</v>
      </c>
      <c r="M1077" s="0" t="s">
        <v>7661</v>
      </c>
      <c r="N1077" s="0" t="s">
        <v>7342</v>
      </c>
      <c r="P1077" s="0" t="s">
        <v>229</v>
      </c>
      <c r="Q1077" s="0" t="s">
        <v>7368</v>
      </c>
      <c r="R1077" s="0" t="s">
        <v>7343</v>
      </c>
      <c r="S1077" s="0" t="s">
        <v>7344</v>
      </c>
      <c r="T1077" s="0" t="s">
        <v>260</v>
      </c>
      <c r="U1077" s="0" t="s">
        <v>7369</v>
      </c>
      <c r="V1077" s="0" t="s">
        <v>34</v>
      </c>
      <c r="W1077" s="0" t="s">
        <v>39</v>
      </c>
      <c r="X1077" s="0" t="s">
        <v>7355</v>
      </c>
      <c r="Y1077" s="0" t="s">
        <v>7346</v>
      </c>
      <c r="Z1077" s="0" t="s">
        <v>7370</v>
      </c>
      <c r="AA1077" s="0" t="s">
        <v>7628</v>
      </c>
      <c r="AB1077" s="0" t="s">
        <v>262</v>
      </c>
      <c r="AC1077" s="0" t="s">
        <v>7349</v>
      </c>
      <c r="AD1077" s="0" t="s">
        <v>7372</v>
      </c>
      <c r="AE1077" s="0" t="s">
        <v>7412</v>
      </c>
      <c r="AF1077" s="0" t="s">
        <v>7374</v>
      </c>
      <c r="AG1077" s="0" t="s">
        <v>230</v>
      </c>
    </row>
    <row r="1078" customFormat="false" ht="15" hidden="false" customHeight="false" outlineLevel="0" collapsed="false">
      <c r="A1078" s="0" t="s">
        <v>7336</v>
      </c>
      <c r="B1078" s="0" t="s">
        <v>3983</v>
      </c>
      <c r="C1078" s="0" t="s">
        <v>3984</v>
      </c>
      <c r="D1078" s="0" t="s">
        <v>259</v>
      </c>
      <c r="E1078" s="0" t="s">
        <v>3985</v>
      </c>
      <c r="F1078" s="0" t="s">
        <v>3982</v>
      </c>
      <c r="G1078" s="0" t="s">
        <v>118</v>
      </c>
      <c r="H1078" s="0" t="s">
        <v>8027</v>
      </c>
      <c r="I1078" s="0" t="s">
        <v>7338</v>
      </c>
      <c r="J1078" s="0" t="s">
        <v>1602</v>
      </c>
      <c r="K1078" s="0" t="s">
        <v>7339</v>
      </c>
      <c r="L1078" s="0" t="s">
        <v>7340</v>
      </c>
      <c r="M1078" s="0" t="s">
        <v>7661</v>
      </c>
      <c r="N1078" s="0" t="s">
        <v>7342</v>
      </c>
      <c r="P1078" s="0" t="s">
        <v>229</v>
      </c>
      <c r="Q1078" s="0" t="s">
        <v>7368</v>
      </c>
      <c r="R1078" s="0" t="s">
        <v>7343</v>
      </c>
      <c r="S1078" s="0" t="s">
        <v>7344</v>
      </c>
      <c r="T1078" s="0" t="s">
        <v>681</v>
      </c>
      <c r="U1078" s="0" t="s">
        <v>7369</v>
      </c>
      <c r="V1078" s="0" t="s">
        <v>34</v>
      </c>
      <c r="W1078" s="0" t="s">
        <v>47</v>
      </c>
      <c r="X1078" s="0" t="s">
        <v>7355</v>
      </c>
      <c r="Y1078" s="0" t="s">
        <v>7495</v>
      </c>
      <c r="Z1078" s="0" t="s">
        <v>7496</v>
      </c>
      <c r="AA1078" s="0" t="s">
        <v>7631</v>
      </c>
      <c r="AC1078" s="0" t="s">
        <v>7349</v>
      </c>
      <c r="AD1078" s="0" t="s">
        <v>8024</v>
      </c>
      <c r="AE1078" s="0" t="s">
        <v>7872</v>
      </c>
      <c r="AF1078" s="0" t="s">
        <v>7499</v>
      </c>
      <c r="AG1078" s="0" t="s">
        <v>261</v>
      </c>
    </row>
    <row r="1079" customFormat="false" ht="15" hidden="false" customHeight="false" outlineLevel="0" collapsed="false">
      <c r="A1079" s="0" t="s">
        <v>7336</v>
      </c>
      <c r="B1079" s="0" t="s">
        <v>3986</v>
      </c>
      <c r="C1079" s="0" t="s">
        <v>3987</v>
      </c>
      <c r="D1079" s="0" t="s">
        <v>259</v>
      </c>
      <c r="E1079" s="0" t="s">
        <v>3988</v>
      </c>
      <c r="F1079" s="0" t="s">
        <v>3989</v>
      </c>
      <c r="G1079" s="0" t="s">
        <v>118</v>
      </c>
      <c r="H1079" s="0" t="s">
        <v>8028</v>
      </c>
      <c r="I1079" s="0" t="s">
        <v>7338</v>
      </c>
      <c r="J1079" s="0" t="s">
        <v>1602</v>
      </c>
      <c r="K1079" s="0" t="s">
        <v>7339</v>
      </c>
      <c r="L1079" s="0" t="s">
        <v>7340</v>
      </c>
      <c r="M1079" s="0" t="s">
        <v>7661</v>
      </c>
      <c r="N1079" s="0" t="s">
        <v>7342</v>
      </c>
      <c r="P1079" s="0" t="s">
        <v>229</v>
      </c>
      <c r="Q1079" s="0" t="s">
        <v>7368</v>
      </c>
      <c r="R1079" s="0" t="s">
        <v>7343</v>
      </c>
      <c r="S1079" s="0" t="s">
        <v>7344</v>
      </c>
      <c r="T1079" s="0" t="s">
        <v>260</v>
      </c>
      <c r="U1079" s="0" t="s">
        <v>7369</v>
      </c>
      <c r="V1079" s="0" t="s">
        <v>34</v>
      </c>
      <c r="W1079" s="0" t="s">
        <v>39</v>
      </c>
      <c r="X1079" s="0" t="s">
        <v>7355</v>
      </c>
      <c r="Y1079" s="0" t="s">
        <v>7346</v>
      </c>
      <c r="Z1079" s="0" t="s">
        <v>7370</v>
      </c>
      <c r="AA1079" s="0" t="s">
        <v>7628</v>
      </c>
      <c r="AB1079" s="0" t="s">
        <v>262</v>
      </c>
      <c r="AC1079" s="0" t="s">
        <v>7349</v>
      </c>
      <c r="AD1079" s="0" t="s">
        <v>7372</v>
      </c>
      <c r="AE1079" s="0" t="s">
        <v>7412</v>
      </c>
      <c r="AF1079" s="0" t="s">
        <v>7374</v>
      </c>
      <c r="AG1079" s="0" t="s">
        <v>230</v>
      </c>
    </row>
    <row r="1080" customFormat="false" ht="15" hidden="false" customHeight="false" outlineLevel="0" collapsed="false">
      <c r="A1080" s="0" t="s">
        <v>7336</v>
      </c>
      <c r="B1080" s="0" t="s">
        <v>3990</v>
      </c>
      <c r="C1080" s="0" t="s">
        <v>3991</v>
      </c>
      <c r="D1080" s="0" t="s">
        <v>259</v>
      </c>
      <c r="E1080" s="0" t="s">
        <v>3992</v>
      </c>
      <c r="F1080" s="0" t="s">
        <v>3205</v>
      </c>
      <c r="G1080" s="0" t="s">
        <v>118</v>
      </c>
      <c r="H1080" s="0" t="s">
        <v>7905</v>
      </c>
      <c r="I1080" s="0" t="s">
        <v>7338</v>
      </c>
      <c r="J1080" s="0" t="s">
        <v>1602</v>
      </c>
      <c r="K1080" s="0" t="s">
        <v>7339</v>
      </c>
      <c r="L1080" s="0" t="s">
        <v>7340</v>
      </c>
      <c r="M1080" s="0" t="s">
        <v>7661</v>
      </c>
      <c r="N1080" s="0" t="s">
        <v>7342</v>
      </c>
      <c r="P1080" s="0" t="s">
        <v>229</v>
      </c>
      <c r="Q1080" s="0" t="s">
        <v>7368</v>
      </c>
      <c r="R1080" s="0" t="s">
        <v>7343</v>
      </c>
      <c r="S1080" s="0" t="s">
        <v>7344</v>
      </c>
      <c r="T1080" s="0" t="s">
        <v>260</v>
      </c>
      <c r="U1080" s="0" t="s">
        <v>7369</v>
      </c>
      <c r="V1080" s="0" t="s">
        <v>34</v>
      </c>
      <c r="W1080" s="0" t="s">
        <v>39</v>
      </c>
      <c r="X1080" s="0" t="s">
        <v>7355</v>
      </c>
      <c r="Y1080" s="0" t="s">
        <v>7346</v>
      </c>
      <c r="Z1080" s="0" t="s">
        <v>7370</v>
      </c>
      <c r="AA1080" s="0" t="s">
        <v>7628</v>
      </c>
      <c r="AB1080" s="0" t="s">
        <v>262</v>
      </c>
      <c r="AC1080" s="0" t="s">
        <v>7349</v>
      </c>
      <c r="AD1080" s="0" t="s">
        <v>7372</v>
      </c>
      <c r="AE1080" s="0" t="s">
        <v>7412</v>
      </c>
      <c r="AF1080" s="0" t="s">
        <v>7374</v>
      </c>
      <c r="AG1080" s="0" t="s">
        <v>230</v>
      </c>
    </row>
    <row r="1081" customFormat="false" ht="15" hidden="false" customHeight="false" outlineLevel="0" collapsed="false">
      <c r="A1081" s="0" t="s">
        <v>7336</v>
      </c>
      <c r="B1081" s="0" t="s">
        <v>3993</v>
      </c>
      <c r="C1081" s="0" t="s">
        <v>3994</v>
      </c>
      <c r="D1081" s="0" t="s">
        <v>259</v>
      </c>
      <c r="E1081" s="0" t="s">
        <v>3995</v>
      </c>
      <c r="F1081" s="0" t="s">
        <v>3996</v>
      </c>
      <c r="G1081" s="0" t="s">
        <v>118</v>
      </c>
      <c r="H1081" s="0" t="s">
        <v>8029</v>
      </c>
      <c r="I1081" s="0" t="s">
        <v>7338</v>
      </c>
      <c r="J1081" s="0" t="s">
        <v>1602</v>
      </c>
      <c r="K1081" s="0" t="s">
        <v>7339</v>
      </c>
      <c r="L1081" s="0" t="s">
        <v>7340</v>
      </c>
      <c r="M1081" s="0" t="s">
        <v>7661</v>
      </c>
      <c r="N1081" s="0" t="s">
        <v>7342</v>
      </c>
      <c r="P1081" s="0" t="s">
        <v>229</v>
      </c>
      <c r="Q1081" s="0" t="s">
        <v>7368</v>
      </c>
      <c r="R1081" s="0" t="s">
        <v>7343</v>
      </c>
      <c r="S1081" s="0" t="s">
        <v>7344</v>
      </c>
      <c r="T1081" s="0" t="s">
        <v>260</v>
      </c>
      <c r="U1081" s="0" t="s">
        <v>7369</v>
      </c>
      <c r="V1081" s="0" t="s">
        <v>34</v>
      </c>
      <c r="W1081" s="0" t="s">
        <v>39</v>
      </c>
      <c r="X1081" s="0" t="s">
        <v>7355</v>
      </c>
      <c r="Y1081" s="0" t="s">
        <v>7346</v>
      </c>
      <c r="Z1081" s="0" t="s">
        <v>7370</v>
      </c>
      <c r="AA1081" s="0" t="s">
        <v>7628</v>
      </c>
      <c r="AB1081" s="0" t="s">
        <v>262</v>
      </c>
      <c r="AC1081" s="0" t="s">
        <v>7349</v>
      </c>
      <c r="AD1081" s="0" t="s">
        <v>7372</v>
      </c>
      <c r="AE1081" s="0" t="s">
        <v>7412</v>
      </c>
      <c r="AF1081" s="0" t="s">
        <v>7374</v>
      </c>
      <c r="AG1081" s="0" t="s">
        <v>230</v>
      </c>
    </row>
    <row r="1082" customFormat="false" ht="15" hidden="false" customHeight="false" outlineLevel="0" collapsed="false">
      <c r="A1082" s="0" t="s">
        <v>7336</v>
      </c>
      <c r="B1082" s="0" t="s">
        <v>3997</v>
      </c>
      <c r="C1082" s="0" t="s">
        <v>3998</v>
      </c>
      <c r="D1082" s="0" t="s">
        <v>259</v>
      </c>
      <c r="E1082" s="0" t="s">
        <v>3999</v>
      </c>
      <c r="F1082" s="0" t="s">
        <v>4000</v>
      </c>
      <c r="G1082" s="0" t="s">
        <v>118</v>
      </c>
      <c r="H1082" s="0" t="s">
        <v>8030</v>
      </c>
      <c r="I1082" s="0" t="s">
        <v>7338</v>
      </c>
      <c r="J1082" s="0" t="s">
        <v>1602</v>
      </c>
      <c r="K1082" s="0" t="s">
        <v>7339</v>
      </c>
      <c r="L1082" s="0" t="s">
        <v>7340</v>
      </c>
      <c r="M1082" s="0" t="s">
        <v>7661</v>
      </c>
      <c r="N1082" s="0" t="s">
        <v>7342</v>
      </c>
      <c r="P1082" s="0" t="s">
        <v>229</v>
      </c>
      <c r="Q1082" s="0" t="s">
        <v>7368</v>
      </c>
      <c r="R1082" s="0" t="s">
        <v>7343</v>
      </c>
      <c r="S1082" s="0" t="s">
        <v>7344</v>
      </c>
      <c r="T1082" s="0" t="s">
        <v>260</v>
      </c>
      <c r="U1082" s="0" t="s">
        <v>7369</v>
      </c>
      <c r="V1082" s="0" t="s">
        <v>34</v>
      </c>
      <c r="W1082" s="0" t="s">
        <v>39</v>
      </c>
      <c r="X1082" s="0" t="s">
        <v>7355</v>
      </c>
      <c r="Y1082" s="0" t="s">
        <v>7346</v>
      </c>
      <c r="Z1082" s="0" t="s">
        <v>7370</v>
      </c>
      <c r="AA1082" s="0" t="s">
        <v>7628</v>
      </c>
      <c r="AB1082" s="0" t="s">
        <v>262</v>
      </c>
      <c r="AC1082" s="0" t="s">
        <v>7349</v>
      </c>
      <c r="AD1082" s="0" t="s">
        <v>7372</v>
      </c>
      <c r="AE1082" s="0" t="s">
        <v>7412</v>
      </c>
      <c r="AF1082" s="0" t="s">
        <v>7374</v>
      </c>
      <c r="AG1082" s="0" t="s">
        <v>230</v>
      </c>
    </row>
    <row r="1083" customFormat="false" ht="15" hidden="false" customHeight="false" outlineLevel="0" collapsed="false">
      <c r="A1083" s="0" t="s">
        <v>7336</v>
      </c>
      <c r="B1083" s="0" t="s">
        <v>4001</v>
      </c>
      <c r="C1083" s="0" t="s">
        <v>4002</v>
      </c>
      <c r="D1083" s="0" t="s">
        <v>259</v>
      </c>
      <c r="E1083" s="0" t="s">
        <v>4003</v>
      </c>
      <c r="F1083" s="0" t="s">
        <v>4004</v>
      </c>
      <c r="G1083" s="0" t="s">
        <v>118</v>
      </c>
      <c r="H1083" s="0" t="s">
        <v>8031</v>
      </c>
      <c r="I1083" s="0" t="s">
        <v>7338</v>
      </c>
      <c r="J1083" s="0" t="s">
        <v>1602</v>
      </c>
      <c r="K1083" s="0" t="s">
        <v>7339</v>
      </c>
      <c r="L1083" s="0" t="s">
        <v>7340</v>
      </c>
      <c r="M1083" s="0" t="s">
        <v>7661</v>
      </c>
      <c r="N1083" s="0" t="s">
        <v>7342</v>
      </c>
      <c r="P1083" s="0" t="s">
        <v>229</v>
      </c>
      <c r="Q1083" s="0" t="s">
        <v>7368</v>
      </c>
      <c r="R1083" s="0" t="s">
        <v>7343</v>
      </c>
      <c r="S1083" s="0" t="s">
        <v>7344</v>
      </c>
      <c r="T1083" s="0" t="s">
        <v>260</v>
      </c>
      <c r="U1083" s="0" t="s">
        <v>7369</v>
      </c>
      <c r="V1083" s="0" t="s">
        <v>34</v>
      </c>
      <c r="W1083" s="0" t="s">
        <v>39</v>
      </c>
      <c r="X1083" s="0" t="s">
        <v>7355</v>
      </c>
      <c r="Y1083" s="0" t="s">
        <v>7346</v>
      </c>
      <c r="Z1083" s="0" t="s">
        <v>7370</v>
      </c>
      <c r="AA1083" s="0" t="s">
        <v>7628</v>
      </c>
      <c r="AB1083" s="0" t="s">
        <v>262</v>
      </c>
      <c r="AC1083" s="0" t="s">
        <v>7349</v>
      </c>
      <c r="AD1083" s="0" t="s">
        <v>7372</v>
      </c>
      <c r="AE1083" s="0" t="s">
        <v>7412</v>
      </c>
      <c r="AF1083" s="0" t="s">
        <v>7374</v>
      </c>
      <c r="AG1083" s="0" t="s">
        <v>230</v>
      </c>
    </row>
    <row r="1084" customFormat="false" ht="15" hidden="false" customHeight="false" outlineLevel="0" collapsed="false">
      <c r="A1084" s="0" t="s">
        <v>7336</v>
      </c>
      <c r="B1084" s="0" t="s">
        <v>4005</v>
      </c>
      <c r="C1084" s="0" t="s">
        <v>4006</v>
      </c>
      <c r="D1084" s="0" t="s">
        <v>259</v>
      </c>
      <c r="E1084" s="0" t="s">
        <v>4007</v>
      </c>
      <c r="F1084" s="0" t="s">
        <v>4004</v>
      </c>
      <c r="G1084" s="0" t="s">
        <v>118</v>
      </c>
      <c r="H1084" s="0" t="s">
        <v>8031</v>
      </c>
      <c r="I1084" s="0" t="s">
        <v>7338</v>
      </c>
      <c r="J1084" s="0" t="s">
        <v>1602</v>
      </c>
      <c r="K1084" s="0" t="s">
        <v>7339</v>
      </c>
      <c r="L1084" s="0" t="s">
        <v>7340</v>
      </c>
      <c r="M1084" s="0" t="s">
        <v>7661</v>
      </c>
      <c r="N1084" s="0" t="s">
        <v>7342</v>
      </c>
      <c r="P1084" s="0" t="s">
        <v>229</v>
      </c>
      <c r="Q1084" s="0" t="s">
        <v>7368</v>
      </c>
      <c r="R1084" s="0" t="s">
        <v>7343</v>
      </c>
      <c r="S1084" s="0" t="s">
        <v>7344</v>
      </c>
      <c r="T1084" s="0" t="s">
        <v>260</v>
      </c>
      <c r="U1084" s="0" t="s">
        <v>7369</v>
      </c>
      <c r="V1084" s="0" t="s">
        <v>34</v>
      </c>
      <c r="W1084" s="0" t="s">
        <v>39</v>
      </c>
      <c r="X1084" s="0" t="s">
        <v>7355</v>
      </c>
      <c r="Y1084" s="0" t="s">
        <v>7346</v>
      </c>
      <c r="Z1084" s="0" t="s">
        <v>7370</v>
      </c>
      <c r="AA1084" s="0" t="s">
        <v>7628</v>
      </c>
      <c r="AB1084" s="0" t="s">
        <v>262</v>
      </c>
      <c r="AC1084" s="0" t="s">
        <v>7349</v>
      </c>
      <c r="AD1084" s="0" t="s">
        <v>7372</v>
      </c>
      <c r="AE1084" s="0" t="s">
        <v>7412</v>
      </c>
      <c r="AF1084" s="0" t="s">
        <v>7374</v>
      </c>
      <c r="AG1084" s="0" t="s">
        <v>230</v>
      </c>
    </row>
    <row r="1085" customFormat="false" ht="15" hidden="false" customHeight="false" outlineLevel="0" collapsed="false">
      <c r="A1085" s="0" t="s">
        <v>7336</v>
      </c>
      <c r="B1085" s="0" t="s">
        <v>4008</v>
      </c>
      <c r="C1085" s="0" t="s">
        <v>4009</v>
      </c>
      <c r="D1085" s="0" t="s">
        <v>259</v>
      </c>
      <c r="E1085" s="0" t="s">
        <v>4010</v>
      </c>
      <c r="F1085" s="0" t="s">
        <v>4011</v>
      </c>
      <c r="G1085" s="0" t="s">
        <v>118</v>
      </c>
      <c r="H1085" s="0" t="s">
        <v>8032</v>
      </c>
      <c r="I1085" s="0" t="s">
        <v>7338</v>
      </c>
      <c r="J1085" s="0" t="s">
        <v>1602</v>
      </c>
      <c r="K1085" s="0" t="s">
        <v>7339</v>
      </c>
      <c r="L1085" s="0" t="s">
        <v>7340</v>
      </c>
      <c r="M1085" s="0" t="s">
        <v>7661</v>
      </c>
      <c r="N1085" s="0" t="s">
        <v>7342</v>
      </c>
      <c r="P1085" s="0" t="s">
        <v>229</v>
      </c>
      <c r="Q1085" s="0" t="s">
        <v>7368</v>
      </c>
      <c r="R1085" s="0" t="s">
        <v>7343</v>
      </c>
      <c r="S1085" s="0" t="s">
        <v>7344</v>
      </c>
      <c r="T1085" s="0" t="s">
        <v>260</v>
      </c>
      <c r="U1085" s="0" t="s">
        <v>7369</v>
      </c>
      <c r="V1085" s="0" t="s">
        <v>34</v>
      </c>
      <c r="W1085" s="0" t="s">
        <v>39</v>
      </c>
      <c r="X1085" s="0" t="s">
        <v>7355</v>
      </c>
      <c r="Y1085" s="0" t="s">
        <v>7346</v>
      </c>
      <c r="Z1085" s="0" t="s">
        <v>7370</v>
      </c>
      <c r="AA1085" s="0" t="s">
        <v>7628</v>
      </c>
      <c r="AB1085" s="0" t="s">
        <v>262</v>
      </c>
      <c r="AC1085" s="0" t="s">
        <v>7349</v>
      </c>
      <c r="AD1085" s="0" t="s">
        <v>7372</v>
      </c>
      <c r="AE1085" s="0" t="s">
        <v>7412</v>
      </c>
      <c r="AF1085" s="0" t="s">
        <v>7374</v>
      </c>
      <c r="AG1085" s="0" t="s">
        <v>230</v>
      </c>
    </row>
    <row r="1086" customFormat="false" ht="15" hidden="false" customHeight="false" outlineLevel="0" collapsed="false">
      <c r="A1086" s="0" t="s">
        <v>7336</v>
      </c>
      <c r="B1086" s="0" t="s">
        <v>4012</v>
      </c>
      <c r="C1086" s="0" t="s">
        <v>4013</v>
      </c>
      <c r="D1086" s="0" t="s">
        <v>259</v>
      </c>
      <c r="E1086" s="0" t="s">
        <v>4014</v>
      </c>
      <c r="F1086" s="0" t="s">
        <v>4015</v>
      </c>
      <c r="G1086" s="0" t="s">
        <v>118</v>
      </c>
      <c r="H1086" s="0" t="s">
        <v>8033</v>
      </c>
      <c r="I1086" s="0" t="s">
        <v>7338</v>
      </c>
      <c r="J1086" s="0" t="s">
        <v>1602</v>
      </c>
      <c r="K1086" s="0" t="s">
        <v>7339</v>
      </c>
      <c r="L1086" s="0" t="s">
        <v>7340</v>
      </c>
      <c r="M1086" s="0" t="s">
        <v>7661</v>
      </c>
      <c r="N1086" s="0" t="s">
        <v>7342</v>
      </c>
      <c r="P1086" s="0" t="s">
        <v>229</v>
      </c>
      <c r="Q1086" s="0" t="s">
        <v>7368</v>
      </c>
      <c r="R1086" s="0" t="s">
        <v>7343</v>
      </c>
      <c r="S1086" s="0" t="s">
        <v>7344</v>
      </c>
      <c r="T1086" s="0" t="s">
        <v>260</v>
      </c>
      <c r="U1086" s="0" t="s">
        <v>7369</v>
      </c>
      <c r="V1086" s="0" t="s">
        <v>34</v>
      </c>
      <c r="W1086" s="0" t="s">
        <v>39</v>
      </c>
      <c r="X1086" s="0" t="s">
        <v>7355</v>
      </c>
      <c r="Y1086" s="0" t="s">
        <v>7346</v>
      </c>
      <c r="Z1086" s="0" t="s">
        <v>7370</v>
      </c>
      <c r="AA1086" s="0" t="s">
        <v>7628</v>
      </c>
      <c r="AB1086" s="0" t="s">
        <v>262</v>
      </c>
      <c r="AC1086" s="0" t="s">
        <v>7349</v>
      </c>
      <c r="AD1086" s="0" t="s">
        <v>7372</v>
      </c>
      <c r="AE1086" s="0" t="s">
        <v>7412</v>
      </c>
      <c r="AF1086" s="0" t="s">
        <v>7374</v>
      </c>
      <c r="AG1086" s="0" t="s">
        <v>230</v>
      </c>
    </row>
    <row r="1087" customFormat="false" ht="15" hidden="false" customHeight="false" outlineLevel="0" collapsed="false">
      <c r="A1087" s="0" t="s">
        <v>7336</v>
      </c>
      <c r="B1087" s="0" t="s">
        <v>4016</v>
      </c>
      <c r="C1087" s="0" t="s">
        <v>4017</v>
      </c>
      <c r="D1087" s="0" t="s">
        <v>259</v>
      </c>
      <c r="E1087" s="0" t="s">
        <v>4018</v>
      </c>
      <c r="F1087" s="0" t="s">
        <v>4015</v>
      </c>
      <c r="G1087" s="0" t="s">
        <v>118</v>
      </c>
      <c r="H1087" s="0" t="s">
        <v>8033</v>
      </c>
      <c r="I1087" s="0" t="s">
        <v>7338</v>
      </c>
      <c r="J1087" s="0" t="s">
        <v>1602</v>
      </c>
      <c r="K1087" s="0" t="s">
        <v>7339</v>
      </c>
      <c r="L1087" s="0" t="s">
        <v>7340</v>
      </c>
      <c r="M1087" s="0" t="s">
        <v>7661</v>
      </c>
      <c r="N1087" s="0" t="s">
        <v>7342</v>
      </c>
      <c r="P1087" s="0" t="s">
        <v>229</v>
      </c>
      <c r="Q1087" s="0" t="s">
        <v>7368</v>
      </c>
      <c r="R1087" s="0" t="s">
        <v>7343</v>
      </c>
      <c r="S1087" s="0" t="s">
        <v>7344</v>
      </c>
      <c r="T1087" s="0" t="s">
        <v>260</v>
      </c>
      <c r="U1087" s="0" t="s">
        <v>7369</v>
      </c>
      <c r="V1087" s="0" t="s">
        <v>34</v>
      </c>
      <c r="W1087" s="0" t="s">
        <v>39</v>
      </c>
      <c r="X1087" s="0" t="s">
        <v>7355</v>
      </c>
      <c r="Y1087" s="0" t="s">
        <v>7346</v>
      </c>
      <c r="Z1087" s="0" t="s">
        <v>7370</v>
      </c>
      <c r="AA1087" s="0" t="s">
        <v>7628</v>
      </c>
      <c r="AB1087" s="0" t="s">
        <v>262</v>
      </c>
      <c r="AC1087" s="0" t="s">
        <v>7349</v>
      </c>
      <c r="AD1087" s="0" t="s">
        <v>7372</v>
      </c>
      <c r="AE1087" s="0" t="s">
        <v>7412</v>
      </c>
      <c r="AF1087" s="0" t="s">
        <v>7374</v>
      </c>
      <c r="AG1087" s="0" t="s">
        <v>230</v>
      </c>
    </row>
    <row r="1088" customFormat="false" ht="15" hidden="false" customHeight="false" outlineLevel="0" collapsed="false">
      <c r="A1088" s="0" t="s">
        <v>7336</v>
      </c>
      <c r="B1088" s="0" t="s">
        <v>4019</v>
      </c>
      <c r="C1088" s="0" t="s">
        <v>4020</v>
      </c>
      <c r="D1088" s="0" t="s">
        <v>259</v>
      </c>
      <c r="E1088" s="0" t="s">
        <v>4021</v>
      </c>
      <c r="F1088" s="0" t="s">
        <v>4022</v>
      </c>
      <c r="G1088" s="0" t="s">
        <v>118</v>
      </c>
      <c r="H1088" s="0" t="s">
        <v>8034</v>
      </c>
      <c r="I1088" s="0" t="s">
        <v>7338</v>
      </c>
      <c r="J1088" s="0" t="s">
        <v>1602</v>
      </c>
      <c r="K1088" s="0" t="s">
        <v>7339</v>
      </c>
      <c r="L1088" s="0" t="s">
        <v>7340</v>
      </c>
      <c r="M1088" s="0" t="s">
        <v>7661</v>
      </c>
      <c r="N1088" s="0" t="s">
        <v>7342</v>
      </c>
      <c r="P1088" s="0" t="s">
        <v>229</v>
      </c>
      <c r="Q1088" s="0" t="s">
        <v>7368</v>
      </c>
      <c r="R1088" s="0" t="s">
        <v>7343</v>
      </c>
      <c r="S1088" s="0" t="s">
        <v>7344</v>
      </c>
      <c r="T1088" s="0" t="s">
        <v>260</v>
      </c>
      <c r="U1088" s="0" t="s">
        <v>7369</v>
      </c>
      <c r="V1088" s="0" t="s">
        <v>34</v>
      </c>
      <c r="W1088" s="0" t="s">
        <v>39</v>
      </c>
      <c r="X1088" s="0" t="s">
        <v>7355</v>
      </c>
      <c r="Y1088" s="0" t="s">
        <v>7346</v>
      </c>
      <c r="Z1088" s="0" t="s">
        <v>7370</v>
      </c>
      <c r="AA1088" s="0" t="s">
        <v>7628</v>
      </c>
      <c r="AB1088" s="0" t="s">
        <v>262</v>
      </c>
      <c r="AC1088" s="0" t="s">
        <v>7349</v>
      </c>
      <c r="AD1088" s="0" t="s">
        <v>7372</v>
      </c>
      <c r="AE1088" s="0" t="s">
        <v>7412</v>
      </c>
      <c r="AF1088" s="0" t="s">
        <v>7374</v>
      </c>
      <c r="AG1088" s="0" t="s">
        <v>230</v>
      </c>
    </row>
    <row r="1089" customFormat="false" ht="15" hidden="false" customHeight="false" outlineLevel="0" collapsed="false">
      <c r="A1089" s="0" t="s">
        <v>7336</v>
      </c>
      <c r="B1089" s="0" t="s">
        <v>4023</v>
      </c>
      <c r="C1089" s="0" t="s">
        <v>4024</v>
      </c>
      <c r="D1089" s="0" t="s">
        <v>259</v>
      </c>
      <c r="E1089" s="0" t="s">
        <v>4025</v>
      </c>
      <c r="F1089" s="0" t="s">
        <v>4026</v>
      </c>
      <c r="G1089" s="0" t="s">
        <v>118</v>
      </c>
      <c r="H1089" s="0" t="s">
        <v>8035</v>
      </c>
      <c r="I1089" s="0" t="s">
        <v>7338</v>
      </c>
      <c r="J1089" s="0" t="s">
        <v>1602</v>
      </c>
      <c r="K1089" s="0" t="s">
        <v>7339</v>
      </c>
      <c r="L1089" s="0" t="s">
        <v>7340</v>
      </c>
      <c r="M1089" s="0" t="s">
        <v>7661</v>
      </c>
      <c r="N1089" s="0" t="s">
        <v>7342</v>
      </c>
      <c r="P1089" s="0" t="s">
        <v>229</v>
      </c>
      <c r="Q1089" s="0" t="s">
        <v>7368</v>
      </c>
      <c r="R1089" s="0" t="s">
        <v>7343</v>
      </c>
      <c r="S1089" s="0" t="s">
        <v>7344</v>
      </c>
      <c r="T1089" s="0" t="s">
        <v>260</v>
      </c>
      <c r="U1089" s="0" t="s">
        <v>7369</v>
      </c>
      <c r="V1089" s="0" t="s">
        <v>34</v>
      </c>
      <c r="W1089" s="0" t="s">
        <v>39</v>
      </c>
      <c r="X1089" s="0" t="s">
        <v>7355</v>
      </c>
      <c r="Y1089" s="0" t="s">
        <v>7346</v>
      </c>
      <c r="Z1089" s="0" t="s">
        <v>7370</v>
      </c>
      <c r="AA1089" s="0" t="s">
        <v>7628</v>
      </c>
      <c r="AB1089" s="0" t="s">
        <v>262</v>
      </c>
      <c r="AC1089" s="0" t="s">
        <v>7349</v>
      </c>
      <c r="AD1089" s="0" t="s">
        <v>7372</v>
      </c>
      <c r="AE1089" s="0" t="s">
        <v>7412</v>
      </c>
      <c r="AF1089" s="0" t="s">
        <v>7374</v>
      </c>
      <c r="AG1089" s="0" t="s">
        <v>230</v>
      </c>
    </row>
    <row r="1090" customFormat="false" ht="15" hidden="false" customHeight="false" outlineLevel="0" collapsed="false">
      <c r="A1090" s="0" t="s">
        <v>7336</v>
      </c>
      <c r="B1090" s="0" t="s">
        <v>4027</v>
      </c>
      <c r="C1090" s="0" t="s">
        <v>4028</v>
      </c>
      <c r="D1090" s="0" t="s">
        <v>259</v>
      </c>
      <c r="E1090" s="0" t="s">
        <v>4029</v>
      </c>
      <c r="F1090" s="0" t="s">
        <v>4026</v>
      </c>
      <c r="G1090" s="0" t="s">
        <v>118</v>
      </c>
      <c r="H1090" s="0" t="s">
        <v>8035</v>
      </c>
      <c r="I1090" s="0" t="s">
        <v>7338</v>
      </c>
      <c r="J1090" s="0" t="s">
        <v>1602</v>
      </c>
      <c r="K1090" s="0" t="s">
        <v>7339</v>
      </c>
      <c r="L1090" s="0" t="s">
        <v>7340</v>
      </c>
      <c r="M1090" s="0" t="s">
        <v>7661</v>
      </c>
      <c r="N1090" s="0" t="s">
        <v>7342</v>
      </c>
      <c r="P1090" s="0" t="s">
        <v>229</v>
      </c>
      <c r="Q1090" s="0" t="s">
        <v>7368</v>
      </c>
      <c r="R1090" s="0" t="s">
        <v>7343</v>
      </c>
      <c r="S1090" s="0" t="s">
        <v>7344</v>
      </c>
      <c r="T1090" s="0" t="s">
        <v>260</v>
      </c>
      <c r="U1090" s="0" t="s">
        <v>7369</v>
      </c>
      <c r="V1090" s="0" t="s">
        <v>34</v>
      </c>
      <c r="W1090" s="0" t="s">
        <v>39</v>
      </c>
      <c r="X1090" s="0" t="s">
        <v>7355</v>
      </c>
      <c r="Y1090" s="0" t="s">
        <v>7346</v>
      </c>
      <c r="Z1090" s="0" t="s">
        <v>7370</v>
      </c>
      <c r="AA1090" s="0" t="s">
        <v>7628</v>
      </c>
      <c r="AB1090" s="0" t="s">
        <v>262</v>
      </c>
      <c r="AC1090" s="0" t="s">
        <v>7349</v>
      </c>
      <c r="AD1090" s="0" t="s">
        <v>7372</v>
      </c>
      <c r="AE1090" s="0" t="s">
        <v>7412</v>
      </c>
      <c r="AF1090" s="0" t="s">
        <v>7374</v>
      </c>
      <c r="AG1090" s="0" t="s">
        <v>230</v>
      </c>
    </row>
    <row r="1091" customFormat="false" ht="15" hidden="false" customHeight="false" outlineLevel="0" collapsed="false">
      <c r="A1091" s="0" t="s">
        <v>7336</v>
      </c>
      <c r="B1091" s="0" t="s">
        <v>4030</v>
      </c>
      <c r="C1091" s="0" t="s">
        <v>4031</v>
      </c>
      <c r="D1091" s="0" t="s">
        <v>259</v>
      </c>
      <c r="E1091" s="0" t="s">
        <v>4032</v>
      </c>
      <c r="F1091" s="0" t="s">
        <v>4033</v>
      </c>
      <c r="G1091" s="0" t="s">
        <v>118</v>
      </c>
      <c r="H1091" s="0" t="s">
        <v>8036</v>
      </c>
      <c r="I1091" s="0" t="s">
        <v>7338</v>
      </c>
      <c r="J1091" s="0" t="s">
        <v>1602</v>
      </c>
      <c r="K1091" s="0" t="s">
        <v>7339</v>
      </c>
      <c r="L1091" s="0" t="s">
        <v>7340</v>
      </c>
      <c r="M1091" s="0" t="s">
        <v>7661</v>
      </c>
      <c r="N1091" s="0" t="s">
        <v>7342</v>
      </c>
      <c r="P1091" s="0" t="s">
        <v>229</v>
      </c>
      <c r="Q1091" s="0" t="s">
        <v>7368</v>
      </c>
      <c r="R1091" s="0" t="s">
        <v>7343</v>
      </c>
      <c r="S1091" s="0" t="s">
        <v>7344</v>
      </c>
      <c r="T1091" s="0" t="s">
        <v>260</v>
      </c>
      <c r="U1091" s="0" t="s">
        <v>7369</v>
      </c>
      <c r="V1091" s="0" t="s">
        <v>34</v>
      </c>
      <c r="W1091" s="0" t="s">
        <v>39</v>
      </c>
      <c r="X1091" s="0" t="s">
        <v>7355</v>
      </c>
      <c r="Y1091" s="0" t="s">
        <v>7346</v>
      </c>
      <c r="Z1091" s="0" t="s">
        <v>7370</v>
      </c>
      <c r="AA1091" s="0" t="s">
        <v>7628</v>
      </c>
      <c r="AB1091" s="0" t="s">
        <v>262</v>
      </c>
      <c r="AC1091" s="0" t="s">
        <v>7349</v>
      </c>
      <c r="AD1091" s="0" t="s">
        <v>7372</v>
      </c>
      <c r="AE1091" s="0" t="s">
        <v>7412</v>
      </c>
      <c r="AF1091" s="0" t="s">
        <v>7374</v>
      </c>
      <c r="AG1091" s="0" t="s">
        <v>230</v>
      </c>
    </row>
    <row r="1092" customFormat="false" ht="15" hidden="false" customHeight="false" outlineLevel="0" collapsed="false">
      <c r="A1092" s="0" t="s">
        <v>7336</v>
      </c>
      <c r="B1092" s="0" t="s">
        <v>4034</v>
      </c>
      <c r="C1092" s="0" t="s">
        <v>4035</v>
      </c>
      <c r="D1092" s="0" t="s">
        <v>259</v>
      </c>
      <c r="E1092" s="0" t="s">
        <v>4036</v>
      </c>
      <c r="F1092" s="0" t="s">
        <v>4037</v>
      </c>
      <c r="G1092" s="0" t="s">
        <v>118</v>
      </c>
      <c r="H1092" s="0" t="s">
        <v>8037</v>
      </c>
      <c r="I1092" s="0" t="s">
        <v>7338</v>
      </c>
      <c r="J1092" s="0" t="s">
        <v>1602</v>
      </c>
      <c r="K1092" s="0" t="s">
        <v>7339</v>
      </c>
      <c r="L1092" s="0" t="s">
        <v>7340</v>
      </c>
      <c r="M1092" s="0" t="s">
        <v>7661</v>
      </c>
      <c r="N1092" s="0" t="s">
        <v>7342</v>
      </c>
      <c r="P1092" s="0" t="s">
        <v>229</v>
      </c>
      <c r="Q1092" s="0" t="s">
        <v>7368</v>
      </c>
      <c r="R1092" s="0" t="s">
        <v>7343</v>
      </c>
      <c r="S1092" s="0" t="s">
        <v>7344</v>
      </c>
      <c r="T1092" s="0" t="s">
        <v>260</v>
      </c>
      <c r="U1092" s="0" t="s">
        <v>7369</v>
      </c>
      <c r="V1092" s="0" t="s">
        <v>34</v>
      </c>
      <c r="W1092" s="0" t="s">
        <v>39</v>
      </c>
      <c r="X1092" s="0" t="s">
        <v>7355</v>
      </c>
      <c r="Y1092" s="0" t="s">
        <v>7346</v>
      </c>
      <c r="Z1092" s="0" t="s">
        <v>7370</v>
      </c>
      <c r="AA1092" s="0" t="s">
        <v>7628</v>
      </c>
      <c r="AB1092" s="0" t="s">
        <v>262</v>
      </c>
      <c r="AC1092" s="0" t="s">
        <v>7349</v>
      </c>
      <c r="AD1092" s="0" t="s">
        <v>7372</v>
      </c>
      <c r="AE1092" s="0" t="s">
        <v>7412</v>
      </c>
      <c r="AF1092" s="0" t="s">
        <v>7374</v>
      </c>
      <c r="AG1092" s="0" t="s">
        <v>230</v>
      </c>
    </row>
    <row r="1093" customFormat="false" ht="15" hidden="false" customHeight="false" outlineLevel="0" collapsed="false">
      <c r="A1093" s="0" t="s">
        <v>7336</v>
      </c>
      <c r="B1093" s="0" t="s">
        <v>4038</v>
      </c>
      <c r="C1093" s="0" t="s">
        <v>4039</v>
      </c>
      <c r="D1093" s="0" t="s">
        <v>259</v>
      </c>
      <c r="E1093" s="0" t="s">
        <v>4040</v>
      </c>
      <c r="F1093" s="0" t="s">
        <v>4037</v>
      </c>
      <c r="G1093" s="0" t="s">
        <v>118</v>
      </c>
      <c r="H1093" s="0" t="s">
        <v>8037</v>
      </c>
      <c r="I1093" s="0" t="s">
        <v>7338</v>
      </c>
      <c r="J1093" s="0" t="s">
        <v>1602</v>
      </c>
      <c r="K1093" s="0" t="s">
        <v>7339</v>
      </c>
      <c r="L1093" s="0" t="s">
        <v>7340</v>
      </c>
      <c r="M1093" s="0" t="s">
        <v>7661</v>
      </c>
      <c r="N1093" s="0" t="s">
        <v>7342</v>
      </c>
      <c r="P1093" s="0" t="s">
        <v>229</v>
      </c>
      <c r="Q1093" s="0" t="s">
        <v>7368</v>
      </c>
      <c r="R1093" s="0" t="s">
        <v>7343</v>
      </c>
      <c r="S1093" s="0" t="s">
        <v>7344</v>
      </c>
      <c r="T1093" s="0" t="s">
        <v>260</v>
      </c>
      <c r="U1093" s="0" t="s">
        <v>7369</v>
      </c>
      <c r="V1093" s="0" t="s">
        <v>34</v>
      </c>
      <c r="W1093" s="0" t="s">
        <v>39</v>
      </c>
      <c r="X1093" s="0" t="s">
        <v>7355</v>
      </c>
      <c r="Y1093" s="0" t="s">
        <v>7346</v>
      </c>
      <c r="Z1093" s="0" t="s">
        <v>7370</v>
      </c>
      <c r="AA1093" s="0" t="s">
        <v>7628</v>
      </c>
      <c r="AB1093" s="0" t="s">
        <v>262</v>
      </c>
      <c r="AC1093" s="0" t="s">
        <v>7349</v>
      </c>
      <c r="AD1093" s="0" t="s">
        <v>7372</v>
      </c>
      <c r="AE1093" s="0" t="s">
        <v>7412</v>
      </c>
      <c r="AF1093" s="0" t="s">
        <v>7374</v>
      </c>
      <c r="AG1093" s="0" t="s">
        <v>230</v>
      </c>
    </row>
    <row r="1094" customFormat="false" ht="15" hidden="false" customHeight="false" outlineLevel="0" collapsed="false">
      <c r="A1094" s="0" t="s">
        <v>7336</v>
      </c>
      <c r="B1094" s="0" t="s">
        <v>4041</v>
      </c>
      <c r="C1094" s="0" t="s">
        <v>4042</v>
      </c>
      <c r="D1094" s="0" t="s">
        <v>259</v>
      </c>
      <c r="E1094" s="0" t="s">
        <v>4043</v>
      </c>
      <c r="F1094" s="0" t="s">
        <v>4044</v>
      </c>
      <c r="G1094" s="0" t="s">
        <v>118</v>
      </c>
      <c r="H1094" s="0" t="s">
        <v>8038</v>
      </c>
      <c r="I1094" s="0" t="s">
        <v>7338</v>
      </c>
      <c r="J1094" s="0" t="s">
        <v>1602</v>
      </c>
      <c r="K1094" s="0" t="s">
        <v>7339</v>
      </c>
      <c r="L1094" s="0" t="s">
        <v>7340</v>
      </c>
      <c r="M1094" s="0" t="s">
        <v>7661</v>
      </c>
      <c r="N1094" s="0" t="s">
        <v>7342</v>
      </c>
      <c r="P1094" s="0" t="s">
        <v>229</v>
      </c>
      <c r="Q1094" s="0" t="s">
        <v>7368</v>
      </c>
      <c r="R1094" s="0" t="s">
        <v>7343</v>
      </c>
      <c r="S1094" s="0" t="s">
        <v>7344</v>
      </c>
      <c r="T1094" s="0" t="s">
        <v>260</v>
      </c>
      <c r="U1094" s="0" t="s">
        <v>7369</v>
      </c>
      <c r="V1094" s="0" t="s">
        <v>34</v>
      </c>
      <c r="W1094" s="0" t="s">
        <v>39</v>
      </c>
      <c r="X1094" s="0" t="s">
        <v>7355</v>
      </c>
      <c r="Y1094" s="0" t="s">
        <v>7346</v>
      </c>
      <c r="Z1094" s="0" t="s">
        <v>7370</v>
      </c>
      <c r="AA1094" s="0" t="s">
        <v>7628</v>
      </c>
      <c r="AB1094" s="0" t="s">
        <v>262</v>
      </c>
      <c r="AC1094" s="0" t="s">
        <v>7349</v>
      </c>
      <c r="AD1094" s="0" t="s">
        <v>7372</v>
      </c>
      <c r="AE1094" s="0" t="s">
        <v>7412</v>
      </c>
      <c r="AF1094" s="0" t="s">
        <v>7374</v>
      </c>
      <c r="AG1094" s="0" t="s">
        <v>230</v>
      </c>
    </row>
    <row r="1095" customFormat="false" ht="15" hidden="false" customHeight="false" outlineLevel="0" collapsed="false">
      <c r="A1095" s="0" t="s">
        <v>7336</v>
      </c>
      <c r="B1095" s="0" t="s">
        <v>4045</v>
      </c>
      <c r="C1095" s="0" t="s">
        <v>4046</v>
      </c>
      <c r="D1095" s="0" t="s">
        <v>259</v>
      </c>
      <c r="E1095" s="0" t="s">
        <v>4047</v>
      </c>
      <c r="F1095" s="0" t="s">
        <v>4048</v>
      </c>
      <c r="G1095" s="0" t="s">
        <v>118</v>
      </c>
      <c r="H1095" s="0" t="s">
        <v>8039</v>
      </c>
      <c r="I1095" s="0" t="s">
        <v>7338</v>
      </c>
      <c r="J1095" s="0" t="s">
        <v>1602</v>
      </c>
      <c r="K1095" s="0" t="s">
        <v>7339</v>
      </c>
      <c r="L1095" s="0" t="s">
        <v>7340</v>
      </c>
      <c r="M1095" s="0" t="s">
        <v>7661</v>
      </c>
      <c r="N1095" s="0" t="s">
        <v>7342</v>
      </c>
      <c r="P1095" s="0" t="s">
        <v>229</v>
      </c>
      <c r="Q1095" s="0" t="s">
        <v>7368</v>
      </c>
      <c r="R1095" s="0" t="s">
        <v>7343</v>
      </c>
      <c r="S1095" s="0" t="s">
        <v>7344</v>
      </c>
      <c r="T1095" s="0" t="s">
        <v>260</v>
      </c>
      <c r="U1095" s="0" t="s">
        <v>7369</v>
      </c>
      <c r="V1095" s="0" t="s">
        <v>34</v>
      </c>
      <c r="W1095" s="0" t="s">
        <v>39</v>
      </c>
      <c r="X1095" s="0" t="s">
        <v>7355</v>
      </c>
      <c r="Y1095" s="0" t="s">
        <v>7346</v>
      </c>
      <c r="Z1095" s="0" t="s">
        <v>7370</v>
      </c>
      <c r="AA1095" s="0" t="s">
        <v>7628</v>
      </c>
      <c r="AB1095" s="0" t="s">
        <v>262</v>
      </c>
      <c r="AC1095" s="0" t="s">
        <v>7349</v>
      </c>
      <c r="AD1095" s="0" t="s">
        <v>7372</v>
      </c>
      <c r="AE1095" s="0" t="s">
        <v>7412</v>
      </c>
      <c r="AF1095" s="0" t="s">
        <v>7374</v>
      </c>
      <c r="AG1095" s="0" t="s">
        <v>230</v>
      </c>
    </row>
    <row r="1096" customFormat="false" ht="15" hidden="false" customHeight="false" outlineLevel="0" collapsed="false">
      <c r="A1096" s="0" t="s">
        <v>7336</v>
      </c>
      <c r="B1096" s="0" t="s">
        <v>4049</v>
      </c>
      <c r="C1096" s="0" t="s">
        <v>4050</v>
      </c>
      <c r="D1096" s="0" t="s">
        <v>259</v>
      </c>
      <c r="E1096" s="0" t="s">
        <v>4051</v>
      </c>
      <c r="F1096" s="0" t="s">
        <v>4048</v>
      </c>
      <c r="G1096" s="0" t="s">
        <v>118</v>
      </c>
      <c r="H1096" s="0" t="s">
        <v>8039</v>
      </c>
      <c r="I1096" s="0" t="s">
        <v>7338</v>
      </c>
      <c r="J1096" s="0" t="s">
        <v>1602</v>
      </c>
      <c r="K1096" s="0" t="s">
        <v>7339</v>
      </c>
      <c r="L1096" s="0" t="s">
        <v>7340</v>
      </c>
      <c r="M1096" s="0" t="s">
        <v>7661</v>
      </c>
      <c r="N1096" s="0" t="s">
        <v>7342</v>
      </c>
      <c r="P1096" s="0" t="s">
        <v>229</v>
      </c>
      <c r="Q1096" s="0" t="s">
        <v>7368</v>
      </c>
      <c r="R1096" s="0" t="s">
        <v>7343</v>
      </c>
      <c r="S1096" s="0" t="s">
        <v>7344</v>
      </c>
      <c r="T1096" s="0" t="s">
        <v>260</v>
      </c>
      <c r="U1096" s="0" t="s">
        <v>7369</v>
      </c>
      <c r="V1096" s="0" t="s">
        <v>34</v>
      </c>
      <c r="W1096" s="0" t="s">
        <v>39</v>
      </c>
      <c r="X1096" s="0" t="s">
        <v>7355</v>
      </c>
      <c r="Y1096" s="0" t="s">
        <v>7346</v>
      </c>
      <c r="Z1096" s="0" t="s">
        <v>7370</v>
      </c>
      <c r="AA1096" s="0" t="s">
        <v>7628</v>
      </c>
      <c r="AB1096" s="0" t="s">
        <v>262</v>
      </c>
      <c r="AC1096" s="0" t="s">
        <v>7349</v>
      </c>
      <c r="AD1096" s="0" t="s">
        <v>7372</v>
      </c>
      <c r="AE1096" s="0" t="s">
        <v>7412</v>
      </c>
      <c r="AF1096" s="0" t="s">
        <v>7374</v>
      </c>
      <c r="AG1096" s="0" t="s">
        <v>230</v>
      </c>
    </row>
    <row r="1097" customFormat="false" ht="15" hidden="false" customHeight="false" outlineLevel="0" collapsed="false">
      <c r="A1097" s="0" t="s">
        <v>7336</v>
      </c>
      <c r="B1097" s="0" t="s">
        <v>4052</v>
      </c>
      <c r="C1097" s="0" t="s">
        <v>4053</v>
      </c>
      <c r="D1097" s="0" t="s">
        <v>259</v>
      </c>
      <c r="E1097" s="0" t="s">
        <v>4054</v>
      </c>
      <c r="F1097" s="0" t="s">
        <v>4055</v>
      </c>
      <c r="G1097" s="0" t="s">
        <v>118</v>
      </c>
      <c r="H1097" s="0" t="s">
        <v>8040</v>
      </c>
      <c r="I1097" s="0" t="s">
        <v>7338</v>
      </c>
      <c r="J1097" s="0" t="s">
        <v>1602</v>
      </c>
      <c r="K1097" s="0" t="s">
        <v>7339</v>
      </c>
      <c r="L1097" s="0" t="s">
        <v>7340</v>
      </c>
      <c r="M1097" s="0" t="s">
        <v>7661</v>
      </c>
      <c r="N1097" s="0" t="s">
        <v>7342</v>
      </c>
      <c r="P1097" s="0" t="s">
        <v>229</v>
      </c>
      <c r="Q1097" s="0" t="s">
        <v>7368</v>
      </c>
      <c r="R1097" s="0" t="s">
        <v>7343</v>
      </c>
      <c r="S1097" s="0" t="s">
        <v>7344</v>
      </c>
      <c r="T1097" s="0" t="s">
        <v>260</v>
      </c>
      <c r="U1097" s="0" t="s">
        <v>7369</v>
      </c>
      <c r="V1097" s="0" t="s">
        <v>34</v>
      </c>
      <c r="W1097" s="0" t="s">
        <v>39</v>
      </c>
      <c r="X1097" s="0" t="s">
        <v>7355</v>
      </c>
      <c r="Y1097" s="0" t="s">
        <v>7346</v>
      </c>
      <c r="Z1097" s="0" t="s">
        <v>7370</v>
      </c>
      <c r="AA1097" s="0" t="s">
        <v>7628</v>
      </c>
      <c r="AB1097" s="0" t="s">
        <v>262</v>
      </c>
      <c r="AC1097" s="0" t="s">
        <v>7349</v>
      </c>
      <c r="AD1097" s="0" t="s">
        <v>7372</v>
      </c>
      <c r="AE1097" s="0" t="s">
        <v>7412</v>
      </c>
      <c r="AF1097" s="0" t="s">
        <v>7374</v>
      </c>
      <c r="AG1097" s="0" t="s">
        <v>230</v>
      </c>
    </row>
    <row r="1098" customFormat="false" ht="15" hidden="false" customHeight="false" outlineLevel="0" collapsed="false">
      <c r="A1098" s="0" t="s">
        <v>7336</v>
      </c>
      <c r="B1098" s="0" t="s">
        <v>4056</v>
      </c>
      <c r="C1098" s="0" t="s">
        <v>4057</v>
      </c>
      <c r="D1098" s="0" t="s">
        <v>259</v>
      </c>
      <c r="E1098" s="0" t="s">
        <v>4058</v>
      </c>
      <c r="F1098" s="0" t="s">
        <v>4059</v>
      </c>
      <c r="G1098" s="0" t="s">
        <v>118</v>
      </c>
      <c r="H1098" s="0" t="s">
        <v>8041</v>
      </c>
      <c r="I1098" s="0" t="s">
        <v>7338</v>
      </c>
      <c r="J1098" s="0" t="s">
        <v>1602</v>
      </c>
      <c r="K1098" s="0" t="s">
        <v>7339</v>
      </c>
      <c r="L1098" s="0" t="s">
        <v>7340</v>
      </c>
      <c r="M1098" s="0" t="s">
        <v>7661</v>
      </c>
      <c r="N1098" s="0" t="s">
        <v>7342</v>
      </c>
      <c r="P1098" s="0" t="s">
        <v>229</v>
      </c>
      <c r="Q1098" s="0" t="s">
        <v>7354</v>
      </c>
      <c r="S1098" s="0" t="s">
        <v>7344</v>
      </c>
      <c r="T1098" s="0" t="s">
        <v>58</v>
      </c>
      <c r="U1098" s="0" t="s">
        <v>7369</v>
      </c>
      <c r="V1098" s="0" t="s">
        <v>55</v>
      </c>
      <c r="W1098" s="0" t="s">
        <v>55</v>
      </c>
      <c r="X1098" s="0" t="s">
        <v>7355</v>
      </c>
      <c r="Z1098" s="0" t="s">
        <v>7496</v>
      </c>
      <c r="AB1098" s="0" t="s">
        <v>344</v>
      </c>
      <c r="AC1098" s="0" t="s">
        <v>7349</v>
      </c>
      <c r="AE1098" s="0" t="s">
        <v>7826</v>
      </c>
      <c r="AF1098" s="0" t="s">
        <v>7374</v>
      </c>
      <c r="AG1098" s="0" t="s">
        <v>3198</v>
      </c>
    </row>
    <row r="1099" customFormat="false" ht="15" hidden="false" customHeight="false" outlineLevel="0" collapsed="false">
      <c r="A1099" s="0" t="s">
        <v>7336</v>
      </c>
      <c r="B1099" s="0" t="s">
        <v>4060</v>
      </c>
      <c r="C1099" s="0" t="s">
        <v>4061</v>
      </c>
      <c r="D1099" s="0" t="s">
        <v>259</v>
      </c>
      <c r="E1099" s="0" t="s">
        <v>4062</v>
      </c>
      <c r="F1099" s="0" t="s">
        <v>4063</v>
      </c>
      <c r="G1099" s="0" t="s">
        <v>118</v>
      </c>
      <c r="H1099" s="0" t="s">
        <v>8042</v>
      </c>
      <c r="I1099" s="0" t="s">
        <v>7338</v>
      </c>
      <c r="J1099" s="0" t="s">
        <v>1602</v>
      </c>
      <c r="K1099" s="0" t="s">
        <v>7339</v>
      </c>
      <c r="L1099" s="0" t="s">
        <v>7340</v>
      </c>
      <c r="M1099" s="0" t="s">
        <v>7661</v>
      </c>
      <c r="N1099" s="0" t="s">
        <v>7342</v>
      </c>
      <c r="P1099" s="0" t="s">
        <v>229</v>
      </c>
      <c r="Q1099" s="0" t="s">
        <v>7354</v>
      </c>
      <c r="S1099" s="0" t="s">
        <v>7344</v>
      </c>
      <c r="T1099" s="0" t="s">
        <v>58</v>
      </c>
      <c r="U1099" s="0" t="s">
        <v>7369</v>
      </c>
      <c r="V1099" s="0" t="s">
        <v>55</v>
      </c>
      <c r="W1099" s="0" t="s">
        <v>55</v>
      </c>
      <c r="X1099" s="0" t="s">
        <v>7355</v>
      </c>
      <c r="Z1099" s="0" t="s">
        <v>7496</v>
      </c>
      <c r="AB1099" s="0" t="s">
        <v>344</v>
      </c>
      <c r="AC1099" s="0" t="s">
        <v>7349</v>
      </c>
      <c r="AE1099" s="0" t="s">
        <v>7826</v>
      </c>
      <c r="AF1099" s="0" t="s">
        <v>7374</v>
      </c>
      <c r="AG1099" s="0" t="s">
        <v>3198</v>
      </c>
    </row>
    <row r="1100" customFormat="false" ht="15" hidden="false" customHeight="false" outlineLevel="0" collapsed="false">
      <c r="A1100" s="0" t="s">
        <v>7336</v>
      </c>
      <c r="B1100" s="0" t="s">
        <v>4064</v>
      </c>
      <c r="C1100" s="0" t="s">
        <v>4065</v>
      </c>
      <c r="D1100" s="0" t="s">
        <v>343</v>
      </c>
      <c r="E1100" s="0" t="s">
        <v>4066</v>
      </c>
      <c r="F1100" s="0" t="s">
        <v>4067</v>
      </c>
      <c r="G1100" s="0" t="s">
        <v>166</v>
      </c>
      <c r="H1100" s="0" t="s">
        <v>8043</v>
      </c>
      <c r="I1100" s="0" t="s">
        <v>7338</v>
      </c>
      <c r="J1100" s="0" t="s">
        <v>1602</v>
      </c>
      <c r="K1100" s="0" t="s">
        <v>7339</v>
      </c>
      <c r="L1100" s="0" t="s">
        <v>7340</v>
      </c>
      <c r="M1100" s="0" t="s">
        <v>7661</v>
      </c>
      <c r="N1100" s="0" t="s">
        <v>7342</v>
      </c>
      <c r="P1100" s="0" t="s">
        <v>229</v>
      </c>
      <c r="Q1100" s="0" t="s">
        <v>7354</v>
      </c>
      <c r="R1100" s="0" t="s">
        <v>7343</v>
      </c>
      <c r="S1100" s="0" t="s">
        <v>7344</v>
      </c>
      <c r="T1100" s="0" t="s">
        <v>228</v>
      </c>
      <c r="V1100" s="0" t="s">
        <v>73</v>
      </c>
      <c r="W1100" s="0" t="s">
        <v>75</v>
      </c>
      <c r="X1100" s="0" t="s">
        <v>7345</v>
      </c>
      <c r="Y1100" s="0" t="s">
        <v>7356</v>
      </c>
      <c r="Z1100" s="0" t="s">
        <v>7357</v>
      </c>
      <c r="AA1100" s="0" t="s">
        <v>7358</v>
      </c>
      <c r="AB1100" s="0" t="s">
        <v>344</v>
      </c>
      <c r="AC1100" s="0" t="s">
        <v>7349</v>
      </c>
      <c r="AD1100" s="0" t="s">
        <v>8004</v>
      </c>
      <c r="AE1100" s="0" t="s">
        <v>7986</v>
      </c>
      <c r="AF1100" s="0" t="s">
        <v>7374</v>
      </c>
      <c r="AG1100" s="0" t="s">
        <v>230</v>
      </c>
    </row>
    <row r="1101" customFormat="false" ht="15" hidden="false" customHeight="false" outlineLevel="0" collapsed="false">
      <c r="A1101" s="0" t="s">
        <v>7336</v>
      </c>
      <c r="B1101" s="0" t="s">
        <v>4068</v>
      </c>
      <c r="C1101" s="0" t="s">
        <v>4069</v>
      </c>
      <c r="D1101" s="0" t="s">
        <v>343</v>
      </c>
      <c r="E1101" s="0" t="s">
        <v>4070</v>
      </c>
      <c r="F1101" s="0" t="s">
        <v>4071</v>
      </c>
      <c r="G1101" s="0" t="s">
        <v>166</v>
      </c>
      <c r="H1101" s="0" t="s">
        <v>8044</v>
      </c>
      <c r="I1101" s="0" t="s">
        <v>7338</v>
      </c>
      <c r="J1101" s="0" t="s">
        <v>1602</v>
      </c>
      <c r="K1101" s="0" t="s">
        <v>7339</v>
      </c>
      <c r="L1101" s="0" t="s">
        <v>7340</v>
      </c>
      <c r="M1101" s="0" t="s">
        <v>7661</v>
      </c>
      <c r="N1101" s="0" t="s">
        <v>7342</v>
      </c>
      <c r="P1101" s="0" t="s">
        <v>229</v>
      </c>
      <c r="Q1101" s="0" t="s">
        <v>7354</v>
      </c>
      <c r="R1101" s="0" t="s">
        <v>7343</v>
      </c>
      <c r="S1101" s="0" t="s">
        <v>7344</v>
      </c>
      <c r="T1101" s="0" t="s">
        <v>228</v>
      </c>
      <c r="V1101" s="0" t="s">
        <v>73</v>
      </c>
      <c r="W1101" s="0" t="s">
        <v>75</v>
      </c>
      <c r="X1101" s="0" t="s">
        <v>7345</v>
      </c>
      <c r="Y1101" s="0" t="s">
        <v>7356</v>
      </c>
      <c r="Z1101" s="0" t="s">
        <v>7357</v>
      </c>
      <c r="AA1101" s="0" t="s">
        <v>7358</v>
      </c>
      <c r="AB1101" s="0" t="s">
        <v>344</v>
      </c>
      <c r="AC1101" s="0" t="s">
        <v>7349</v>
      </c>
      <c r="AD1101" s="0" t="s">
        <v>8004</v>
      </c>
      <c r="AE1101" s="0" t="s">
        <v>7986</v>
      </c>
      <c r="AF1101" s="0" t="s">
        <v>7374</v>
      </c>
      <c r="AG1101" s="0" t="s">
        <v>230</v>
      </c>
    </row>
    <row r="1102" customFormat="false" ht="15" hidden="false" customHeight="false" outlineLevel="0" collapsed="false">
      <c r="A1102" s="0" t="s">
        <v>7336</v>
      </c>
      <c r="B1102" s="0" t="s">
        <v>4072</v>
      </c>
      <c r="C1102" s="0" t="s">
        <v>4073</v>
      </c>
      <c r="D1102" s="0" t="s">
        <v>343</v>
      </c>
      <c r="E1102" s="0" t="s">
        <v>4074</v>
      </c>
      <c r="F1102" s="0" t="s">
        <v>4075</v>
      </c>
      <c r="G1102" s="0" t="s">
        <v>166</v>
      </c>
      <c r="H1102" s="0" t="s">
        <v>8045</v>
      </c>
      <c r="I1102" s="0" t="s">
        <v>7338</v>
      </c>
      <c r="J1102" s="0" t="s">
        <v>1602</v>
      </c>
      <c r="K1102" s="0" t="s">
        <v>7339</v>
      </c>
      <c r="L1102" s="0" t="s">
        <v>7340</v>
      </c>
      <c r="M1102" s="0" t="s">
        <v>7661</v>
      </c>
      <c r="N1102" s="0" t="s">
        <v>7342</v>
      </c>
      <c r="P1102" s="0" t="s">
        <v>229</v>
      </c>
      <c r="Q1102" s="0" t="s">
        <v>7354</v>
      </c>
      <c r="R1102" s="0" t="s">
        <v>7343</v>
      </c>
      <c r="S1102" s="0" t="s">
        <v>7344</v>
      </c>
      <c r="T1102" s="0" t="s">
        <v>228</v>
      </c>
      <c r="V1102" s="0" t="s">
        <v>73</v>
      </c>
      <c r="W1102" s="0" t="s">
        <v>75</v>
      </c>
      <c r="X1102" s="0" t="s">
        <v>7345</v>
      </c>
      <c r="Y1102" s="0" t="s">
        <v>7356</v>
      </c>
      <c r="Z1102" s="0" t="s">
        <v>7357</v>
      </c>
      <c r="AA1102" s="0" t="s">
        <v>7358</v>
      </c>
      <c r="AB1102" s="0" t="s">
        <v>344</v>
      </c>
      <c r="AC1102" s="0" t="s">
        <v>7349</v>
      </c>
      <c r="AD1102" s="0" t="s">
        <v>7985</v>
      </c>
      <c r="AE1102" s="0" t="s">
        <v>7986</v>
      </c>
      <c r="AF1102" s="0" t="s">
        <v>7374</v>
      </c>
      <c r="AG1102" s="0" t="s">
        <v>230</v>
      </c>
    </row>
    <row r="1103" customFormat="false" ht="15" hidden="false" customHeight="false" outlineLevel="0" collapsed="false">
      <c r="A1103" s="0" t="s">
        <v>7336</v>
      </c>
      <c r="B1103" s="0" t="s">
        <v>4076</v>
      </c>
      <c r="C1103" s="0" t="s">
        <v>4077</v>
      </c>
      <c r="D1103" s="0" t="s">
        <v>343</v>
      </c>
      <c r="E1103" s="0" t="s">
        <v>4078</v>
      </c>
      <c r="F1103" s="0" t="s">
        <v>4075</v>
      </c>
      <c r="G1103" s="0" t="s">
        <v>166</v>
      </c>
      <c r="H1103" s="0" t="s">
        <v>8045</v>
      </c>
      <c r="I1103" s="0" t="s">
        <v>7338</v>
      </c>
      <c r="J1103" s="0" t="s">
        <v>1602</v>
      </c>
      <c r="K1103" s="0" t="s">
        <v>7339</v>
      </c>
      <c r="L1103" s="0" t="s">
        <v>7340</v>
      </c>
      <c r="M1103" s="0" t="s">
        <v>7661</v>
      </c>
      <c r="N1103" s="0" t="s">
        <v>7342</v>
      </c>
      <c r="P1103" s="0" t="s">
        <v>229</v>
      </c>
      <c r="Q1103" s="0" t="s">
        <v>7354</v>
      </c>
      <c r="R1103" s="0" t="s">
        <v>7343</v>
      </c>
      <c r="S1103" s="0" t="s">
        <v>7344</v>
      </c>
      <c r="T1103" s="0" t="s">
        <v>228</v>
      </c>
      <c r="V1103" s="0" t="s">
        <v>73</v>
      </c>
      <c r="W1103" s="0" t="s">
        <v>75</v>
      </c>
      <c r="X1103" s="0" t="s">
        <v>7345</v>
      </c>
      <c r="Y1103" s="0" t="s">
        <v>7356</v>
      </c>
      <c r="Z1103" s="0" t="s">
        <v>7357</v>
      </c>
      <c r="AA1103" s="0" t="s">
        <v>7358</v>
      </c>
      <c r="AB1103" s="0" t="s">
        <v>344</v>
      </c>
      <c r="AC1103" s="0" t="s">
        <v>7349</v>
      </c>
      <c r="AD1103" s="0" t="s">
        <v>7999</v>
      </c>
      <c r="AE1103" s="0" t="s">
        <v>7986</v>
      </c>
      <c r="AF1103" s="0" t="s">
        <v>7374</v>
      </c>
      <c r="AG1103" s="0" t="s">
        <v>230</v>
      </c>
    </row>
    <row r="1104" customFormat="false" ht="15" hidden="false" customHeight="false" outlineLevel="0" collapsed="false">
      <c r="A1104" s="0" t="s">
        <v>7336</v>
      </c>
      <c r="B1104" s="0" t="s">
        <v>4079</v>
      </c>
      <c r="C1104" s="0" t="s">
        <v>4080</v>
      </c>
      <c r="D1104" s="0" t="s">
        <v>343</v>
      </c>
      <c r="E1104" s="0" t="s">
        <v>4081</v>
      </c>
      <c r="F1104" s="0" t="s">
        <v>4082</v>
      </c>
      <c r="G1104" s="0" t="s">
        <v>166</v>
      </c>
      <c r="H1104" s="0" t="s">
        <v>8046</v>
      </c>
      <c r="I1104" s="0" t="s">
        <v>7338</v>
      </c>
      <c r="J1104" s="0" t="s">
        <v>1602</v>
      </c>
      <c r="K1104" s="0" t="s">
        <v>7339</v>
      </c>
      <c r="L1104" s="0" t="s">
        <v>7340</v>
      </c>
      <c r="M1104" s="0" t="s">
        <v>7661</v>
      </c>
      <c r="N1104" s="0" t="s">
        <v>7342</v>
      </c>
      <c r="P1104" s="0" t="s">
        <v>229</v>
      </c>
      <c r="Q1104" s="0" t="s">
        <v>7354</v>
      </c>
      <c r="R1104" s="0" t="s">
        <v>7343</v>
      </c>
      <c r="S1104" s="0" t="s">
        <v>7344</v>
      </c>
      <c r="T1104" s="0" t="s">
        <v>228</v>
      </c>
      <c r="V1104" s="0" t="s">
        <v>73</v>
      </c>
      <c r="W1104" s="0" t="s">
        <v>75</v>
      </c>
      <c r="X1104" s="0" t="s">
        <v>7345</v>
      </c>
      <c r="Y1104" s="0" t="s">
        <v>7356</v>
      </c>
      <c r="Z1104" s="0" t="s">
        <v>7357</v>
      </c>
      <c r="AA1104" s="0" t="s">
        <v>7358</v>
      </c>
      <c r="AB1104" s="0" t="s">
        <v>344</v>
      </c>
      <c r="AC1104" s="0" t="s">
        <v>7349</v>
      </c>
      <c r="AD1104" s="0" t="s">
        <v>7985</v>
      </c>
      <c r="AE1104" s="0" t="s">
        <v>7986</v>
      </c>
      <c r="AF1104" s="0" t="s">
        <v>7374</v>
      </c>
      <c r="AG1104" s="0" t="s">
        <v>230</v>
      </c>
    </row>
    <row r="1105" customFormat="false" ht="15" hidden="false" customHeight="false" outlineLevel="0" collapsed="false">
      <c r="A1105" s="0" t="s">
        <v>7336</v>
      </c>
      <c r="B1105" s="0" t="s">
        <v>4083</v>
      </c>
      <c r="C1105" s="0" t="s">
        <v>4084</v>
      </c>
      <c r="D1105" s="0" t="s">
        <v>343</v>
      </c>
      <c r="E1105" s="0" t="s">
        <v>4085</v>
      </c>
      <c r="F1105" s="0" t="s">
        <v>4086</v>
      </c>
      <c r="G1105" s="0" t="s">
        <v>166</v>
      </c>
      <c r="H1105" s="0" t="s">
        <v>8047</v>
      </c>
      <c r="I1105" s="0" t="s">
        <v>7338</v>
      </c>
      <c r="J1105" s="0" t="s">
        <v>1602</v>
      </c>
      <c r="K1105" s="0" t="s">
        <v>7339</v>
      </c>
      <c r="L1105" s="0" t="s">
        <v>7340</v>
      </c>
      <c r="M1105" s="0" t="s">
        <v>7661</v>
      </c>
      <c r="N1105" s="0" t="s">
        <v>7342</v>
      </c>
      <c r="P1105" s="0" t="s">
        <v>229</v>
      </c>
      <c r="Q1105" s="0" t="s">
        <v>7354</v>
      </c>
      <c r="R1105" s="0" t="s">
        <v>7343</v>
      </c>
      <c r="S1105" s="0" t="s">
        <v>7344</v>
      </c>
      <c r="T1105" s="0" t="s">
        <v>228</v>
      </c>
      <c r="V1105" s="0" t="s">
        <v>73</v>
      </c>
      <c r="W1105" s="0" t="s">
        <v>75</v>
      </c>
      <c r="X1105" s="0" t="s">
        <v>7345</v>
      </c>
      <c r="Y1105" s="0" t="s">
        <v>7356</v>
      </c>
      <c r="Z1105" s="0" t="s">
        <v>7357</v>
      </c>
      <c r="AA1105" s="0" t="s">
        <v>7358</v>
      </c>
      <c r="AB1105" s="0" t="s">
        <v>344</v>
      </c>
      <c r="AC1105" s="0" t="s">
        <v>7349</v>
      </c>
      <c r="AD1105" s="0" t="s">
        <v>7985</v>
      </c>
      <c r="AE1105" s="0" t="s">
        <v>7986</v>
      </c>
      <c r="AF1105" s="0" t="s">
        <v>7374</v>
      </c>
      <c r="AG1105" s="0" t="s">
        <v>230</v>
      </c>
    </row>
    <row r="1106" customFormat="false" ht="15" hidden="false" customHeight="false" outlineLevel="0" collapsed="false">
      <c r="A1106" s="0" t="s">
        <v>7336</v>
      </c>
      <c r="B1106" s="0" t="s">
        <v>4087</v>
      </c>
      <c r="C1106" s="0" t="s">
        <v>4088</v>
      </c>
      <c r="D1106" s="0" t="s">
        <v>343</v>
      </c>
      <c r="E1106" s="0" t="s">
        <v>4089</v>
      </c>
      <c r="F1106" s="0" t="s">
        <v>4090</v>
      </c>
      <c r="G1106" s="0" t="s">
        <v>166</v>
      </c>
      <c r="H1106" s="0" t="s">
        <v>8048</v>
      </c>
      <c r="I1106" s="0" t="s">
        <v>7338</v>
      </c>
      <c r="J1106" s="0" t="s">
        <v>1602</v>
      </c>
      <c r="K1106" s="0" t="s">
        <v>7339</v>
      </c>
      <c r="L1106" s="0" t="s">
        <v>7340</v>
      </c>
      <c r="M1106" s="0" t="s">
        <v>7661</v>
      </c>
      <c r="N1106" s="0" t="s">
        <v>7342</v>
      </c>
      <c r="P1106" s="0" t="s">
        <v>229</v>
      </c>
      <c r="Q1106" s="0" t="s">
        <v>7354</v>
      </c>
      <c r="R1106" s="0" t="s">
        <v>7343</v>
      </c>
      <c r="S1106" s="0" t="s">
        <v>7344</v>
      </c>
      <c r="T1106" s="0" t="s">
        <v>228</v>
      </c>
      <c r="V1106" s="0" t="s">
        <v>73</v>
      </c>
      <c r="W1106" s="0" t="s">
        <v>75</v>
      </c>
      <c r="X1106" s="0" t="s">
        <v>7345</v>
      </c>
      <c r="Y1106" s="0" t="s">
        <v>7356</v>
      </c>
      <c r="Z1106" s="0" t="s">
        <v>7357</v>
      </c>
      <c r="AA1106" s="0" t="s">
        <v>7358</v>
      </c>
      <c r="AB1106" s="0" t="s">
        <v>344</v>
      </c>
      <c r="AC1106" s="0" t="s">
        <v>7349</v>
      </c>
      <c r="AD1106" s="0" t="s">
        <v>7985</v>
      </c>
      <c r="AE1106" s="0" t="s">
        <v>7986</v>
      </c>
      <c r="AF1106" s="0" t="s">
        <v>7374</v>
      </c>
      <c r="AG1106" s="0" t="s">
        <v>230</v>
      </c>
    </row>
    <row r="1107" customFormat="false" ht="15" hidden="false" customHeight="false" outlineLevel="0" collapsed="false">
      <c r="A1107" s="0" t="s">
        <v>7336</v>
      </c>
      <c r="B1107" s="0" t="s">
        <v>4091</v>
      </c>
      <c r="C1107" s="0" t="s">
        <v>4092</v>
      </c>
      <c r="D1107" s="0" t="s">
        <v>343</v>
      </c>
      <c r="E1107" s="0" t="s">
        <v>4093</v>
      </c>
      <c r="F1107" s="0" t="s">
        <v>4094</v>
      </c>
      <c r="G1107" s="0" t="s">
        <v>166</v>
      </c>
      <c r="H1107" s="0" t="s">
        <v>8049</v>
      </c>
      <c r="I1107" s="0" t="s">
        <v>7338</v>
      </c>
      <c r="J1107" s="0" t="s">
        <v>1602</v>
      </c>
      <c r="K1107" s="0" t="s">
        <v>7339</v>
      </c>
      <c r="L1107" s="0" t="s">
        <v>7340</v>
      </c>
      <c r="M1107" s="0" t="s">
        <v>7661</v>
      </c>
      <c r="N1107" s="0" t="s">
        <v>7342</v>
      </c>
      <c r="P1107" s="0" t="s">
        <v>229</v>
      </c>
      <c r="Q1107" s="0" t="s">
        <v>7354</v>
      </c>
      <c r="R1107" s="0" t="s">
        <v>7343</v>
      </c>
      <c r="S1107" s="0" t="s">
        <v>7344</v>
      </c>
      <c r="T1107" s="0" t="s">
        <v>228</v>
      </c>
      <c r="V1107" s="0" t="s">
        <v>73</v>
      </c>
      <c r="W1107" s="0" t="s">
        <v>75</v>
      </c>
      <c r="X1107" s="0" t="s">
        <v>7345</v>
      </c>
      <c r="Y1107" s="0" t="s">
        <v>7356</v>
      </c>
      <c r="Z1107" s="0" t="s">
        <v>7357</v>
      </c>
      <c r="AA1107" s="0" t="s">
        <v>7358</v>
      </c>
      <c r="AB1107" s="0" t="s">
        <v>344</v>
      </c>
      <c r="AC1107" s="0" t="s">
        <v>7349</v>
      </c>
      <c r="AD1107" s="0" t="s">
        <v>7985</v>
      </c>
      <c r="AE1107" s="0" t="s">
        <v>7986</v>
      </c>
      <c r="AF1107" s="0" t="s">
        <v>7374</v>
      </c>
      <c r="AG1107" s="0" t="s">
        <v>230</v>
      </c>
    </row>
    <row r="1108" customFormat="false" ht="15" hidden="false" customHeight="false" outlineLevel="0" collapsed="false">
      <c r="A1108" s="0" t="s">
        <v>7336</v>
      </c>
      <c r="B1108" s="0" t="s">
        <v>4095</v>
      </c>
      <c r="C1108" s="0" t="s">
        <v>4096</v>
      </c>
      <c r="D1108" s="0" t="s">
        <v>343</v>
      </c>
      <c r="E1108" s="0" t="s">
        <v>4097</v>
      </c>
      <c r="F1108" s="0" t="s">
        <v>4086</v>
      </c>
      <c r="G1108" s="0" t="s">
        <v>166</v>
      </c>
      <c r="H1108" s="0" t="s">
        <v>8047</v>
      </c>
      <c r="I1108" s="0" t="s">
        <v>7338</v>
      </c>
      <c r="J1108" s="0" t="s">
        <v>1602</v>
      </c>
      <c r="K1108" s="0" t="s">
        <v>7339</v>
      </c>
      <c r="L1108" s="0" t="s">
        <v>7340</v>
      </c>
      <c r="M1108" s="0" t="s">
        <v>7661</v>
      </c>
      <c r="N1108" s="0" t="s">
        <v>7342</v>
      </c>
      <c r="P1108" s="0" t="s">
        <v>229</v>
      </c>
      <c r="Q1108" s="0" t="s">
        <v>7354</v>
      </c>
      <c r="R1108" s="0" t="s">
        <v>7343</v>
      </c>
      <c r="S1108" s="0" t="s">
        <v>7344</v>
      </c>
      <c r="T1108" s="0" t="s">
        <v>228</v>
      </c>
      <c r="V1108" s="0" t="s">
        <v>73</v>
      </c>
      <c r="W1108" s="0" t="s">
        <v>75</v>
      </c>
      <c r="X1108" s="0" t="s">
        <v>7345</v>
      </c>
      <c r="Y1108" s="0" t="s">
        <v>7356</v>
      </c>
      <c r="Z1108" s="0" t="s">
        <v>7357</v>
      </c>
      <c r="AA1108" s="0" t="s">
        <v>7358</v>
      </c>
      <c r="AB1108" s="0" t="s">
        <v>344</v>
      </c>
      <c r="AC1108" s="0" t="s">
        <v>7349</v>
      </c>
      <c r="AD1108" s="0" t="s">
        <v>7985</v>
      </c>
      <c r="AE1108" s="0" t="s">
        <v>7986</v>
      </c>
      <c r="AF1108" s="0" t="s">
        <v>7374</v>
      </c>
      <c r="AG1108" s="0" t="s">
        <v>230</v>
      </c>
    </row>
    <row r="1109" customFormat="false" ht="15" hidden="false" customHeight="false" outlineLevel="0" collapsed="false">
      <c r="A1109" s="0" t="s">
        <v>7336</v>
      </c>
      <c r="B1109" s="0" t="s">
        <v>4098</v>
      </c>
      <c r="C1109" s="0" t="s">
        <v>4099</v>
      </c>
      <c r="D1109" s="0" t="s">
        <v>343</v>
      </c>
      <c r="E1109" s="0" t="s">
        <v>4100</v>
      </c>
      <c r="F1109" s="0" t="s">
        <v>4101</v>
      </c>
      <c r="G1109" s="0" t="s">
        <v>150</v>
      </c>
      <c r="H1109" s="0" t="s">
        <v>8050</v>
      </c>
      <c r="I1109" s="0" t="s">
        <v>7338</v>
      </c>
      <c r="J1109" s="0" t="s">
        <v>1602</v>
      </c>
      <c r="K1109" s="0" t="s">
        <v>7339</v>
      </c>
      <c r="L1109" s="0" t="s">
        <v>7340</v>
      </c>
      <c r="M1109" s="0" t="s">
        <v>7661</v>
      </c>
      <c r="N1109" s="0" t="s">
        <v>7342</v>
      </c>
      <c r="P1109" s="0" t="s">
        <v>229</v>
      </c>
      <c r="Q1109" s="0" t="s">
        <v>8051</v>
      </c>
      <c r="R1109" s="0" t="s">
        <v>7824</v>
      </c>
      <c r="S1109" s="0" t="s">
        <v>7344</v>
      </c>
      <c r="T1109" s="0" t="s">
        <v>58</v>
      </c>
      <c r="V1109" s="0" t="s">
        <v>55</v>
      </c>
      <c r="W1109" s="0" t="s">
        <v>55</v>
      </c>
      <c r="X1109" s="0" t="s">
        <v>7345</v>
      </c>
      <c r="Y1109" s="0" t="s">
        <v>7667</v>
      </c>
      <c r="Z1109" s="0" t="s">
        <v>7668</v>
      </c>
      <c r="AA1109" s="0" t="s">
        <v>8052</v>
      </c>
      <c r="AB1109" s="0" t="s">
        <v>344</v>
      </c>
      <c r="AC1109" s="0" t="s">
        <v>7349</v>
      </c>
      <c r="AE1109" s="0" t="s">
        <v>7826</v>
      </c>
      <c r="AF1109" s="0" t="s">
        <v>7374</v>
      </c>
      <c r="AG1109" s="0" t="s">
        <v>230</v>
      </c>
    </row>
    <row r="1110" customFormat="false" ht="15" hidden="false" customHeight="false" outlineLevel="0" collapsed="false">
      <c r="A1110" s="0" t="s">
        <v>7336</v>
      </c>
      <c r="B1110" s="0" t="s">
        <v>4102</v>
      </c>
      <c r="C1110" s="0" t="s">
        <v>4103</v>
      </c>
      <c r="D1110" s="0" t="s">
        <v>343</v>
      </c>
      <c r="E1110" s="0" t="s">
        <v>4104</v>
      </c>
      <c r="F1110" s="0" t="s">
        <v>4105</v>
      </c>
      <c r="G1110" s="0" t="s">
        <v>150</v>
      </c>
      <c r="H1110" s="0" t="s">
        <v>8053</v>
      </c>
      <c r="I1110" s="0" t="s">
        <v>7338</v>
      </c>
      <c r="J1110" s="0" t="s">
        <v>1602</v>
      </c>
      <c r="K1110" s="0" t="s">
        <v>7339</v>
      </c>
      <c r="L1110" s="0" t="s">
        <v>7340</v>
      </c>
      <c r="M1110" s="0" t="s">
        <v>7661</v>
      </c>
      <c r="N1110" s="0" t="s">
        <v>7342</v>
      </c>
      <c r="P1110" s="0" t="s">
        <v>229</v>
      </c>
      <c r="Q1110" s="0" t="s">
        <v>8051</v>
      </c>
      <c r="R1110" s="0" t="s">
        <v>7824</v>
      </c>
      <c r="S1110" s="0" t="s">
        <v>7344</v>
      </c>
      <c r="T1110" s="0" t="s">
        <v>58</v>
      </c>
      <c r="V1110" s="0" t="s">
        <v>55</v>
      </c>
      <c r="W1110" s="0" t="s">
        <v>55</v>
      </c>
      <c r="X1110" s="0" t="s">
        <v>7345</v>
      </c>
      <c r="Y1110" s="0" t="s">
        <v>7667</v>
      </c>
      <c r="Z1110" s="0" t="s">
        <v>7668</v>
      </c>
      <c r="AA1110" s="0" t="s">
        <v>8052</v>
      </c>
      <c r="AB1110" s="0" t="s">
        <v>344</v>
      </c>
      <c r="AC1110" s="0" t="s">
        <v>7349</v>
      </c>
      <c r="AE1110" s="0" t="s">
        <v>7826</v>
      </c>
      <c r="AF1110" s="0" t="s">
        <v>7374</v>
      </c>
      <c r="AG1110" s="0" t="s">
        <v>230</v>
      </c>
    </row>
    <row r="1111" customFormat="false" ht="15" hidden="false" customHeight="false" outlineLevel="0" collapsed="false">
      <c r="A1111" s="0" t="s">
        <v>7336</v>
      </c>
      <c r="B1111" s="0" t="s">
        <v>4106</v>
      </c>
      <c r="C1111" s="0" t="s">
        <v>4107</v>
      </c>
      <c r="D1111" s="0" t="s">
        <v>343</v>
      </c>
      <c r="E1111" s="0" t="s">
        <v>4108</v>
      </c>
      <c r="F1111" s="0" t="s">
        <v>4109</v>
      </c>
      <c r="G1111" s="0" t="s">
        <v>158</v>
      </c>
      <c r="H1111" s="0" t="s">
        <v>8054</v>
      </c>
      <c r="I1111" s="0" t="s">
        <v>7338</v>
      </c>
      <c r="J1111" s="0" t="s">
        <v>1602</v>
      </c>
      <c r="K1111" s="0" t="s">
        <v>7339</v>
      </c>
      <c r="L1111" s="0" t="s">
        <v>7340</v>
      </c>
      <c r="M1111" s="0" t="s">
        <v>7661</v>
      </c>
      <c r="N1111" s="0" t="s">
        <v>7342</v>
      </c>
      <c r="P1111" s="0" t="s">
        <v>229</v>
      </c>
      <c r="Q1111" s="0" t="s">
        <v>7354</v>
      </c>
      <c r="R1111" s="0" t="s">
        <v>7343</v>
      </c>
      <c r="S1111" s="0" t="s">
        <v>7344</v>
      </c>
      <c r="T1111" s="0" t="s">
        <v>228</v>
      </c>
      <c r="V1111" s="0" t="s">
        <v>73</v>
      </c>
      <c r="W1111" s="0" t="s">
        <v>75</v>
      </c>
      <c r="X1111" s="0" t="s">
        <v>7345</v>
      </c>
      <c r="Y1111" s="0" t="s">
        <v>7356</v>
      </c>
      <c r="Z1111" s="0" t="s">
        <v>7357</v>
      </c>
      <c r="AA1111" s="0" t="s">
        <v>7358</v>
      </c>
      <c r="AB1111" s="0" t="s">
        <v>344</v>
      </c>
      <c r="AC1111" s="0" t="s">
        <v>7349</v>
      </c>
      <c r="AD1111" s="0" t="s">
        <v>7985</v>
      </c>
      <c r="AE1111" s="0" t="s">
        <v>7986</v>
      </c>
      <c r="AF1111" s="0" t="s">
        <v>7374</v>
      </c>
      <c r="AG1111" s="0" t="s">
        <v>230</v>
      </c>
    </row>
    <row r="1112" customFormat="false" ht="15" hidden="false" customHeight="false" outlineLevel="0" collapsed="false">
      <c r="A1112" s="0" t="s">
        <v>7336</v>
      </c>
      <c r="B1112" s="0" t="s">
        <v>4110</v>
      </c>
      <c r="C1112" s="0" t="s">
        <v>4111</v>
      </c>
      <c r="D1112" s="0" t="s">
        <v>343</v>
      </c>
      <c r="E1112" s="0" t="s">
        <v>4112</v>
      </c>
      <c r="F1112" s="0" t="s">
        <v>4109</v>
      </c>
      <c r="G1112" s="0" t="s">
        <v>158</v>
      </c>
      <c r="H1112" s="0" t="s">
        <v>8054</v>
      </c>
      <c r="I1112" s="0" t="s">
        <v>7338</v>
      </c>
      <c r="J1112" s="0" t="s">
        <v>1602</v>
      </c>
      <c r="K1112" s="0" t="s">
        <v>7339</v>
      </c>
      <c r="L1112" s="0" t="s">
        <v>7340</v>
      </c>
      <c r="M1112" s="0" t="s">
        <v>7661</v>
      </c>
      <c r="N1112" s="0" t="s">
        <v>7342</v>
      </c>
      <c r="P1112" s="0" t="s">
        <v>229</v>
      </c>
      <c r="Q1112" s="0" t="s">
        <v>7354</v>
      </c>
      <c r="R1112" s="0" t="s">
        <v>7343</v>
      </c>
      <c r="S1112" s="0" t="s">
        <v>7344</v>
      </c>
      <c r="T1112" s="0" t="s">
        <v>228</v>
      </c>
      <c r="V1112" s="0" t="s">
        <v>73</v>
      </c>
      <c r="W1112" s="0" t="s">
        <v>75</v>
      </c>
      <c r="X1112" s="0" t="s">
        <v>7345</v>
      </c>
      <c r="Y1112" s="0" t="s">
        <v>7356</v>
      </c>
      <c r="Z1112" s="0" t="s">
        <v>7357</v>
      </c>
      <c r="AA1112" s="0" t="s">
        <v>7358</v>
      </c>
      <c r="AB1112" s="0" t="s">
        <v>344</v>
      </c>
      <c r="AC1112" s="0" t="s">
        <v>7349</v>
      </c>
      <c r="AD1112" s="0" t="s">
        <v>7999</v>
      </c>
      <c r="AE1112" s="0" t="s">
        <v>7986</v>
      </c>
      <c r="AF1112" s="0" t="s">
        <v>7374</v>
      </c>
      <c r="AG1112" s="0" t="s">
        <v>230</v>
      </c>
    </row>
    <row r="1113" customFormat="false" ht="15" hidden="false" customHeight="false" outlineLevel="0" collapsed="false">
      <c r="A1113" s="0" t="s">
        <v>7336</v>
      </c>
      <c r="B1113" s="0" t="s">
        <v>4113</v>
      </c>
      <c r="C1113" s="0" t="s">
        <v>4114</v>
      </c>
      <c r="D1113" s="0" t="s">
        <v>343</v>
      </c>
      <c r="E1113" s="0" t="s">
        <v>4115</v>
      </c>
      <c r="F1113" s="0" t="s">
        <v>4116</v>
      </c>
      <c r="G1113" s="0" t="s">
        <v>158</v>
      </c>
      <c r="H1113" s="0" t="s">
        <v>8055</v>
      </c>
      <c r="I1113" s="0" t="s">
        <v>7338</v>
      </c>
      <c r="J1113" s="0" t="s">
        <v>1602</v>
      </c>
      <c r="K1113" s="0" t="s">
        <v>7339</v>
      </c>
      <c r="L1113" s="0" t="s">
        <v>7340</v>
      </c>
      <c r="M1113" s="0" t="s">
        <v>7661</v>
      </c>
      <c r="N1113" s="0" t="s">
        <v>7342</v>
      </c>
      <c r="P1113" s="0" t="s">
        <v>229</v>
      </c>
      <c r="Q1113" s="0" t="s">
        <v>7354</v>
      </c>
      <c r="R1113" s="0" t="s">
        <v>7343</v>
      </c>
      <c r="S1113" s="0" t="s">
        <v>7344</v>
      </c>
      <c r="T1113" s="0" t="s">
        <v>228</v>
      </c>
      <c r="V1113" s="0" t="s">
        <v>73</v>
      </c>
      <c r="W1113" s="0" t="s">
        <v>75</v>
      </c>
      <c r="X1113" s="0" t="s">
        <v>7345</v>
      </c>
      <c r="Y1113" s="0" t="s">
        <v>7356</v>
      </c>
      <c r="Z1113" s="0" t="s">
        <v>7357</v>
      </c>
      <c r="AA1113" s="0" t="s">
        <v>7358</v>
      </c>
      <c r="AB1113" s="0" t="s">
        <v>344</v>
      </c>
      <c r="AC1113" s="0" t="s">
        <v>7349</v>
      </c>
      <c r="AD1113" s="0" t="s">
        <v>7985</v>
      </c>
      <c r="AE1113" s="0" t="s">
        <v>7986</v>
      </c>
      <c r="AF1113" s="0" t="s">
        <v>7374</v>
      </c>
      <c r="AG1113" s="0" t="s">
        <v>230</v>
      </c>
    </row>
    <row r="1114" customFormat="false" ht="15" hidden="false" customHeight="false" outlineLevel="0" collapsed="false">
      <c r="A1114" s="0" t="s">
        <v>7336</v>
      </c>
      <c r="B1114" s="0" t="s">
        <v>4117</v>
      </c>
      <c r="C1114" s="0" t="s">
        <v>4118</v>
      </c>
      <c r="D1114" s="0" t="s">
        <v>343</v>
      </c>
      <c r="E1114" s="0" t="s">
        <v>4119</v>
      </c>
      <c r="F1114" s="0" t="s">
        <v>4120</v>
      </c>
      <c r="G1114" s="0" t="s">
        <v>158</v>
      </c>
      <c r="H1114" s="0" t="s">
        <v>8056</v>
      </c>
      <c r="I1114" s="0" t="s">
        <v>7338</v>
      </c>
      <c r="J1114" s="0" t="s">
        <v>1602</v>
      </c>
      <c r="K1114" s="0" t="s">
        <v>7339</v>
      </c>
      <c r="L1114" s="0" t="s">
        <v>7340</v>
      </c>
      <c r="M1114" s="0" t="s">
        <v>7661</v>
      </c>
      <c r="N1114" s="0" t="s">
        <v>7342</v>
      </c>
      <c r="P1114" s="0" t="s">
        <v>229</v>
      </c>
      <c r="Q1114" s="0" t="s">
        <v>7354</v>
      </c>
      <c r="R1114" s="0" t="s">
        <v>7343</v>
      </c>
      <c r="S1114" s="0" t="s">
        <v>7344</v>
      </c>
      <c r="T1114" s="0" t="s">
        <v>228</v>
      </c>
      <c r="V1114" s="0" t="s">
        <v>73</v>
      </c>
      <c r="W1114" s="0" t="s">
        <v>75</v>
      </c>
      <c r="X1114" s="0" t="s">
        <v>7345</v>
      </c>
      <c r="Y1114" s="0" t="s">
        <v>7356</v>
      </c>
      <c r="Z1114" s="0" t="s">
        <v>7357</v>
      </c>
      <c r="AA1114" s="0" t="s">
        <v>7358</v>
      </c>
      <c r="AB1114" s="0" t="s">
        <v>344</v>
      </c>
      <c r="AC1114" s="0" t="s">
        <v>7349</v>
      </c>
      <c r="AD1114" s="0" t="s">
        <v>7985</v>
      </c>
      <c r="AE1114" s="0" t="s">
        <v>7986</v>
      </c>
      <c r="AF1114" s="0" t="s">
        <v>7374</v>
      </c>
      <c r="AG1114" s="0" t="s">
        <v>230</v>
      </c>
    </row>
    <row r="1115" customFormat="false" ht="15" hidden="false" customHeight="false" outlineLevel="0" collapsed="false">
      <c r="A1115" s="0" t="s">
        <v>7336</v>
      </c>
      <c r="B1115" s="0" t="s">
        <v>4121</v>
      </c>
      <c r="C1115" s="0" t="s">
        <v>4122</v>
      </c>
      <c r="D1115" s="0" t="s">
        <v>343</v>
      </c>
      <c r="E1115" s="0" t="s">
        <v>4123</v>
      </c>
      <c r="F1115" s="0" t="s">
        <v>4124</v>
      </c>
      <c r="G1115" s="0" t="s">
        <v>158</v>
      </c>
      <c r="H1115" s="0" t="s">
        <v>8057</v>
      </c>
      <c r="I1115" s="0" t="s">
        <v>7338</v>
      </c>
      <c r="J1115" s="0" t="s">
        <v>1602</v>
      </c>
      <c r="K1115" s="0" t="s">
        <v>7339</v>
      </c>
      <c r="L1115" s="0" t="s">
        <v>7340</v>
      </c>
      <c r="M1115" s="0" t="s">
        <v>7661</v>
      </c>
      <c r="N1115" s="0" t="s">
        <v>7342</v>
      </c>
      <c r="P1115" s="0" t="s">
        <v>229</v>
      </c>
      <c r="Q1115" s="0" t="s">
        <v>7354</v>
      </c>
      <c r="R1115" s="0" t="s">
        <v>7343</v>
      </c>
      <c r="S1115" s="0" t="s">
        <v>7344</v>
      </c>
      <c r="T1115" s="0" t="s">
        <v>228</v>
      </c>
      <c r="V1115" s="0" t="s">
        <v>73</v>
      </c>
      <c r="W1115" s="0" t="s">
        <v>75</v>
      </c>
      <c r="X1115" s="0" t="s">
        <v>7345</v>
      </c>
      <c r="Y1115" s="0" t="s">
        <v>7356</v>
      </c>
      <c r="Z1115" s="0" t="s">
        <v>7357</v>
      </c>
      <c r="AA1115" s="0" t="s">
        <v>7358</v>
      </c>
      <c r="AB1115" s="0" t="s">
        <v>344</v>
      </c>
      <c r="AC1115" s="0" t="s">
        <v>7349</v>
      </c>
      <c r="AD1115" s="0" t="s">
        <v>7985</v>
      </c>
      <c r="AE1115" s="0" t="s">
        <v>7986</v>
      </c>
      <c r="AF1115" s="0" t="s">
        <v>7374</v>
      </c>
      <c r="AG1115" s="0" t="s">
        <v>230</v>
      </c>
    </row>
    <row r="1116" customFormat="false" ht="15" hidden="false" customHeight="false" outlineLevel="0" collapsed="false">
      <c r="A1116" s="0" t="s">
        <v>7336</v>
      </c>
      <c r="B1116" s="0" t="s">
        <v>4125</v>
      </c>
      <c r="C1116" s="0" t="s">
        <v>4126</v>
      </c>
      <c r="D1116" s="0" t="s">
        <v>343</v>
      </c>
      <c r="E1116" s="0" t="s">
        <v>4127</v>
      </c>
      <c r="F1116" s="0" t="s">
        <v>4128</v>
      </c>
      <c r="G1116" s="0" t="s">
        <v>158</v>
      </c>
      <c r="H1116" s="0" t="s">
        <v>8058</v>
      </c>
      <c r="I1116" s="0" t="s">
        <v>7338</v>
      </c>
      <c r="J1116" s="0" t="s">
        <v>1602</v>
      </c>
      <c r="K1116" s="0" t="s">
        <v>7339</v>
      </c>
      <c r="L1116" s="0" t="s">
        <v>7340</v>
      </c>
      <c r="M1116" s="0" t="s">
        <v>7661</v>
      </c>
      <c r="N1116" s="0" t="s">
        <v>7342</v>
      </c>
      <c r="P1116" s="0" t="s">
        <v>229</v>
      </c>
      <c r="Q1116" s="0" t="s">
        <v>7354</v>
      </c>
      <c r="R1116" s="0" t="s">
        <v>7343</v>
      </c>
      <c r="S1116" s="0" t="s">
        <v>7344</v>
      </c>
      <c r="T1116" s="0" t="s">
        <v>58</v>
      </c>
      <c r="V1116" s="0" t="s">
        <v>73</v>
      </c>
      <c r="W1116" s="0" t="s">
        <v>78</v>
      </c>
      <c r="X1116" s="0" t="s">
        <v>7345</v>
      </c>
      <c r="Y1116" s="0" t="s">
        <v>7995</v>
      </c>
      <c r="Z1116" s="0" t="s">
        <v>7863</v>
      </c>
      <c r="AA1116" s="0" t="s">
        <v>7996</v>
      </c>
      <c r="AC1116" s="0" t="s">
        <v>7349</v>
      </c>
      <c r="AE1116" s="0" t="s">
        <v>7997</v>
      </c>
      <c r="AF1116" s="0" t="s">
        <v>7499</v>
      </c>
      <c r="AG1116" s="0" t="s">
        <v>230</v>
      </c>
    </row>
    <row r="1117" customFormat="false" ht="15" hidden="false" customHeight="false" outlineLevel="0" collapsed="false">
      <c r="A1117" s="0" t="s">
        <v>7336</v>
      </c>
      <c r="B1117" s="0" t="s">
        <v>4129</v>
      </c>
      <c r="C1117" s="0" t="s">
        <v>4130</v>
      </c>
      <c r="D1117" s="0" t="s">
        <v>343</v>
      </c>
      <c r="E1117" s="0" t="s">
        <v>4131</v>
      </c>
      <c r="F1117" s="0" t="s">
        <v>4132</v>
      </c>
      <c r="G1117" s="0" t="s">
        <v>158</v>
      </c>
      <c r="H1117" s="0" t="s">
        <v>8059</v>
      </c>
      <c r="I1117" s="0" t="s">
        <v>7338</v>
      </c>
      <c r="J1117" s="0" t="s">
        <v>1602</v>
      </c>
      <c r="K1117" s="0" t="s">
        <v>7339</v>
      </c>
      <c r="L1117" s="0" t="s">
        <v>7340</v>
      </c>
      <c r="M1117" s="0" t="s">
        <v>7661</v>
      </c>
      <c r="N1117" s="0" t="s">
        <v>7342</v>
      </c>
      <c r="P1117" s="0" t="s">
        <v>229</v>
      </c>
      <c r="Q1117" s="0" t="s">
        <v>7354</v>
      </c>
      <c r="R1117" s="0" t="s">
        <v>7343</v>
      </c>
      <c r="S1117" s="0" t="s">
        <v>7344</v>
      </c>
      <c r="T1117" s="0" t="s">
        <v>58</v>
      </c>
      <c r="V1117" s="0" t="s">
        <v>73</v>
      </c>
      <c r="W1117" s="0" t="s">
        <v>78</v>
      </c>
      <c r="X1117" s="0" t="s">
        <v>7345</v>
      </c>
      <c r="Y1117" s="0" t="s">
        <v>7995</v>
      </c>
      <c r="Z1117" s="0" t="s">
        <v>7863</v>
      </c>
      <c r="AA1117" s="0" t="s">
        <v>7996</v>
      </c>
      <c r="AC1117" s="0" t="s">
        <v>7349</v>
      </c>
      <c r="AE1117" s="0" t="s">
        <v>7997</v>
      </c>
      <c r="AF1117" s="0" t="s">
        <v>7499</v>
      </c>
      <c r="AG1117" s="0" t="s">
        <v>230</v>
      </c>
    </row>
    <row r="1118" customFormat="false" ht="15" hidden="false" customHeight="false" outlineLevel="0" collapsed="false">
      <c r="A1118" s="0" t="s">
        <v>7336</v>
      </c>
      <c r="B1118" s="0" t="s">
        <v>4133</v>
      </c>
      <c r="C1118" s="0" t="s">
        <v>4134</v>
      </c>
      <c r="D1118" s="0" t="s">
        <v>343</v>
      </c>
      <c r="E1118" s="0" t="s">
        <v>4135</v>
      </c>
      <c r="F1118" s="0" t="s">
        <v>4109</v>
      </c>
      <c r="G1118" s="0" t="s">
        <v>158</v>
      </c>
      <c r="H1118" s="0" t="s">
        <v>8054</v>
      </c>
      <c r="I1118" s="0" t="s">
        <v>7338</v>
      </c>
      <c r="J1118" s="0" t="s">
        <v>1602</v>
      </c>
      <c r="K1118" s="0" t="s">
        <v>7339</v>
      </c>
      <c r="L1118" s="0" t="s">
        <v>7340</v>
      </c>
      <c r="M1118" s="0" t="s">
        <v>7661</v>
      </c>
      <c r="N1118" s="0" t="s">
        <v>7342</v>
      </c>
      <c r="P1118" s="0" t="s">
        <v>229</v>
      </c>
      <c r="Q1118" s="0" t="s">
        <v>7354</v>
      </c>
      <c r="R1118" s="0" t="s">
        <v>7343</v>
      </c>
      <c r="S1118" s="0" t="s">
        <v>7344</v>
      </c>
      <c r="T1118" s="0" t="s">
        <v>58</v>
      </c>
      <c r="V1118" s="0" t="s">
        <v>73</v>
      </c>
      <c r="W1118" s="0" t="s">
        <v>78</v>
      </c>
      <c r="X1118" s="0" t="s">
        <v>7345</v>
      </c>
      <c r="Y1118" s="0" t="s">
        <v>7995</v>
      </c>
      <c r="Z1118" s="0" t="s">
        <v>7863</v>
      </c>
      <c r="AA1118" s="0" t="s">
        <v>7996</v>
      </c>
      <c r="AC1118" s="0" t="s">
        <v>7349</v>
      </c>
      <c r="AE1118" s="0" t="s">
        <v>7997</v>
      </c>
      <c r="AF1118" s="0" t="s">
        <v>7499</v>
      </c>
      <c r="AG1118" s="0" t="s">
        <v>230</v>
      </c>
    </row>
    <row r="1119" customFormat="false" ht="15" hidden="false" customHeight="false" outlineLevel="0" collapsed="false">
      <c r="A1119" s="0" t="s">
        <v>7336</v>
      </c>
      <c r="B1119" s="0" t="s">
        <v>4136</v>
      </c>
      <c r="C1119" s="0" t="s">
        <v>4137</v>
      </c>
      <c r="D1119" s="0" t="s">
        <v>343</v>
      </c>
      <c r="E1119" s="0" t="s">
        <v>4138</v>
      </c>
      <c r="F1119" s="0" t="s">
        <v>4116</v>
      </c>
      <c r="G1119" s="0" t="s">
        <v>158</v>
      </c>
      <c r="H1119" s="0" t="s">
        <v>8055</v>
      </c>
      <c r="I1119" s="0" t="s">
        <v>7338</v>
      </c>
      <c r="J1119" s="0" t="s">
        <v>1602</v>
      </c>
      <c r="K1119" s="0" t="s">
        <v>7339</v>
      </c>
      <c r="L1119" s="0" t="s">
        <v>7340</v>
      </c>
      <c r="M1119" s="0" t="s">
        <v>7661</v>
      </c>
      <c r="N1119" s="0" t="s">
        <v>7342</v>
      </c>
      <c r="P1119" s="0" t="s">
        <v>229</v>
      </c>
      <c r="Q1119" s="0" t="s">
        <v>7354</v>
      </c>
      <c r="R1119" s="0" t="s">
        <v>7343</v>
      </c>
      <c r="S1119" s="0" t="s">
        <v>7344</v>
      </c>
      <c r="T1119" s="0" t="s">
        <v>58</v>
      </c>
      <c r="V1119" s="0" t="s">
        <v>73</v>
      </c>
      <c r="W1119" s="0" t="s">
        <v>78</v>
      </c>
      <c r="X1119" s="0" t="s">
        <v>7345</v>
      </c>
      <c r="Y1119" s="0" t="s">
        <v>7995</v>
      </c>
      <c r="Z1119" s="0" t="s">
        <v>7863</v>
      </c>
      <c r="AA1119" s="0" t="s">
        <v>7996</v>
      </c>
      <c r="AC1119" s="0" t="s">
        <v>7349</v>
      </c>
      <c r="AE1119" s="0" t="s">
        <v>7997</v>
      </c>
      <c r="AF1119" s="0" t="s">
        <v>7499</v>
      </c>
      <c r="AG1119" s="0" t="s">
        <v>230</v>
      </c>
    </row>
    <row r="1120" customFormat="false" ht="15" hidden="false" customHeight="false" outlineLevel="0" collapsed="false">
      <c r="A1120" s="0" t="s">
        <v>7336</v>
      </c>
      <c r="B1120" s="0" t="s">
        <v>4139</v>
      </c>
      <c r="C1120" s="0" t="s">
        <v>4140</v>
      </c>
      <c r="D1120" s="0" t="s">
        <v>343</v>
      </c>
      <c r="E1120" s="0" t="s">
        <v>4141</v>
      </c>
      <c r="F1120" s="0" t="s">
        <v>4142</v>
      </c>
      <c r="G1120" s="0" t="s">
        <v>148</v>
      </c>
      <c r="H1120" s="0" t="s">
        <v>8060</v>
      </c>
      <c r="I1120" s="0" t="s">
        <v>7338</v>
      </c>
      <c r="J1120" s="0" t="s">
        <v>1602</v>
      </c>
      <c r="K1120" s="0" t="s">
        <v>7339</v>
      </c>
      <c r="L1120" s="0" t="s">
        <v>7340</v>
      </c>
      <c r="M1120" s="0" t="s">
        <v>7661</v>
      </c>
      <c r="N1120" s="0" t="s">
        <v>7342</v>
      </c>
      <c r="P1120" s="0" t="s">
        <v>229</v>
      </c>
      <c r="Q1120" s="0" t="s">
        <v>7354</v>
      </c>
      <c r="R1120" s="0" t="s">
        <v>7343</v>
      </c>
      <c r="S1120" s="0" t="s">
        <v>7344</v>
      </c>
      <c r="T1120" s="0" t="s">
        <v>228</v>
      </c>
      <c r="V1120" s="0" t="s">
        <v>4143</v>
      </c>
      <c r="W1120" s="0" t="s">
        <v>89</v>
      </c>
      <c r="X1120" s="0" t="s">
        <v>7345</v>
      </c>
      <c r="Y1120" s="0" t="s">
        <v>8061</v>
      </c>
      <c r="Z1120" s="0" t="s">
        <v>8062</v>
      </c>
      <c r="AA1120" s="0" t="s">
        <v>8063</v>
      </c>
      <c r="AB1120" s="0" t="s">
        <v>344</v>
      </c>
      <c r="AC1120" s="0" t="s">
        <v>7349</v>
      </c>
      <c r="AD1120" s="0" t="s">
        <v>8064</v>
      </c>
      <c r="AE1120" s="0" t="s">
        <v>88</v>
      </c>
      <c r="AF1120" s="0" t="s">
        <v>7374</v>
      </c>
      <c r="AG1120" s="0" t="s">
        <v>230</v>
      </c>
    </row>
    <row r="1121" customFormat="false" ht="15" hidden="false" customHeight="false" outlineLevel="0" collapsed="false">
      <c r="A1121" s="0" t="s">
        <v>7336</v>
      </c>
      <c r="B1121" s="0" t="s">
        <v>4144</v>
      </c>
      <c r="C1121" s="0" t="s">
        <v>4145</v>
      </c>
      <c r="D1121" s="0" t="s">
        <v>343</v>
      </c>
      <c r="E1121" s="0" t="s">
        <v>4146</v>
      </c>
      <c r="F1121" s="0" t="s">
        <v>4147</v>
      </c>
      <c r="G1121" s="0" t="s">
        <v>148</v>
      </c>
      <c r="H1121" s="0" t="s">
        <v>8065</v>
      </c>
      <c r="I1121" s="0" t="s">
        <v>7338</v>
      </c>
      <c r="J1121" s="0" t="s">
        <v>1602</v>
      </c>
      <c r="K1121" s="0" t="s">
        <v>7339</v>
      </c>
      <c r="L1121" s="0" t="s">
        <v>7340</v>
      </c>
      <c r="M1121" s="0" t="s">
        <v>7661</v>
      </c>
      <c r="N1121" s="0" t="s">
        <v>7342</v>
      </c>
      <c r="P1121" s="0" t="s">
        <v>229</v>
      </c>
      <c r="Q1121" s="0" t="s">
        <v>7354</v>
      </c>
      <c r="R1121" s="0" t="s">
        <v>7343</v>
      </c>
      <c r="S1121" s="0" t="s">
        <v>7344</v>
      </c>
      <c r="T1121" s="0" t="s">
        <v>228</v>
      </c>
      <c r="V1121" s="0" t="s">
        <v>4143</v>
      </c>
      <c r="W1121" s="0" t="s">
        <v>89</v>
      </c>
      <c r="X1121" s="0" t="s">
        <v>7345</v>
      </c>
      <c r="Y1121" s="0" t="s">
        <v>8061</v>
      </c>
      <c r="Z1121" s="0" t="s">
        <v>8062</v>
      </c>
      <c r="AA1121" s="0" t="s">
        <v>8063</v>
      </c>
      <c r="AB1121" s="0" t="s">
        <v>344</v>
      </c>
      <c r="AC1121" s="0" t="s">
        <v>7349</v>
      </c>
      <c r="AD1121" s="0" t="s">
        <v>8064</v>
      </c>
      <c r="AE1121" s="0" t="s">
        <v>88</v>
      </c>
      <c r="AF1121" s="0" t="s">
        <v>7374</v>
      </c>
      <c r="AG1121" s="0" t="s">
        <v>230</v>
      </c>
    </row>
    <row r="1122" customFormat="false" ht="15" hidden="false" customHeight="false" outlineLevel="0" collapsed="false">
      <c r="A1122" s="0" t="s">
        <v>7336</v>
      </c>
      <c r="B1122" s="0" t="s">
        <v>4148</v>
      </c>
      <c r="C1122" s="0" t="s">
        <v>4149</v>
      </c>
      <c r="D1122" s="0" t="s">
        <v>343</v>
      </c>
      <c r="E1122" s="0" t="s">
        <v>4150</v>
      </c>
      <c r="F1122" s="0" t="s">
        <v>4151</v>
      </c>
      <c r="G1122" s="0" t="s">
        <v>148</v>
      </c>
      <c r="H1122" s="0" t="s">
        <v>8066</v>
      </c>
      <c r="I1122" s="0" t="s">
        <v>7338</v>
      </c>
      <c r="J1122" s="0" t="s">
        <v>1602</v>
      </c>
      <c r="K1122" s="0" t="s">
        <v>7339</v>
      </c>
      <c r="L1122" s="0" t="s">
        <v>7340</v>
      </c>
      <c r="M1122" s="0" t="s">
        <v>7661</v>
      </c>
      <c r="N1122" s="0" t="s">
        <v>7342</v>
      </c>
      <c r="P1122" s="0" t="s">
        <v>229</v>
      </c>
      <c r="Q1122" s="0" t="s">
        <v>7354</v>
      </c>
      <c r="R1122" s="0" t="s">
        <v>7343</v>
      </c>
      <c r="S1122" s="0" t="s">
        <v>7344</v>
      </c>
      <c r="T1122" s="0" t="s">
        <v>58</v>
      </c>
      <c r="V1122" s="0" t="s">
        <v>96</v>
      </c>
      <c r="W1122" s="0" t="s">
        <v>98</v>
      </c>
      <c r="X1122" s="0" t="s">
        <v>7345</v>
      </c>
      <c r="Y1122" s="0" t="s">
        <v>8067</v>
      </c>
      <c r="Z1122" s="0" t="s">
        <v>7863</v>
      </c>
      <c r="AA1122" s="0" t="s">
        <v>8068</v>
      </c>
      <c r="AB1122" s="0" t="s">
        <v>344</v>
      </c>
      <c r="AC1122" s="0" t="s">
        <v>7349</v>
      </c>
      <c r="AE1122" s="0" t="s">
        <v>7864</v>
      </c>
      <c r="AF1122" s="0" t="s">
        <v>7499</v>
      </c>
      <c r="AG1122" s="0" t="s">
        <v>230</v>
      </c>
    </row>
    <row r="1123" customFormat="false" ht="15" hidden="false" customHeight="false" outlineLevel="0" collapsed="false">
      <c r="A1123" s="0" t="s">
        <v>7336</v>
      </c>
      <c r="B1123" s="0" t="s">
        <v>4152</v>
      </c>
      <c r="C1123" s="0" t="s">
        <v>4153</v>
      </c>
      <c r="D1123" s="0" t="s">
        <v>343</v>
      </c>
      <c r="E1123" s="0" t="s">
        <v>4154</v>
      </c>
      <c r="F1123" s="0" t="s">
        <v>4155</v>
      </c>
      <c r="G1123" s="0" t="s">
        <v>148</v>
      </c>
      <c r="H1123" s="0" t="s">
        <v>8069</v>
      </c>
      <c r="I1123" s="0" t="s">
        <v>7338</v>
      </c>
      <c r="J1123" s="0" t="s">
        <v>1602</v>
      </c>
      <c r="K1123" s="0" t="s">
        <v>7339</v>
      </c>
      <c r="L1123" s="0" t="s">
        <v>7340</v>
      </c>
      <c r="M1123" s="0" t="s">
        <v>7661</v>
      </c>
      <c r="N1123" s="0" t="s">
        <v>7342</v>
      </c>
      <c r="P1123" s="0" t="s">
        <v>229</v>
      </c>
      <c r="Q1123" s="0" t="s">
        <v>7354</v>
      </c>
      <c r="R1123" s="0" t="s">
        <v>7343</v>
      </c>
      <c r="S1123" s="0" t="s">
        <v>7344</v>
      </c>
      <c r="T1123" s="0" t="s">
        <v>58</v>
      </c>
      <c r="V1123" s="0" t="s">
        <v>96</v>
      </c>
      <c r="W1123" s="0" t="s">
        <v>98</v>
      </c>
      <c r="X1123" s="0" t="s">
        <v>7345</v>
      </c>
      <c r="Y1123" s="0" t="s">
        <v>8067</v>
      </c>
      <c r="Z1123" s="0" t="s">
        <v>7863</v>
      </c>
      <c r="AA1123" s="0" t="s">
        <v>8068</v>
      </c>
      <c r="AB1123" s="0" t="s">
        <v>344</v>
      </c>
      <c r="AC1123" s="0" t="s">
        <v>7349</v>
      </c>
      <c r="AE1123" s="0" t="s">
        <v>7864</v>
      </c>
      <c r="AF1123" s="0" t="s">
        <v>7499</v>
      </c>
      <c r="AG1123" s="0" t="s">
        <v>230</v>
      </c>
    </row>
    <row r="1124" customFormat="false" ht="15" hidden="false" customHeight="false" outlineLevel="0" collapsed="false">
      <c r="A1124" s="0" t="s">
        <v>7336</v>
      </c>
      <c r="B1124" s="0" t="s">
        <v>4156</v>
      </c>
      <c r="C1124" s="0" t="s">
        <v>4157</v>
      </c>
      <c r="D1124" s="0" t="s">
        <v>343</v>
      </c>
      <c r="E1124" s="0" t="s">
        <v>4158</v>
      </c>
      <c r="F1124" s="0" t="s">
        <v>4159</v>
      </c>
      <c r="G1124" s="0" t="s">
        <v>148</v>
      </c>
      <c r="H1124" s="0" t="s">
        <v>8070</v>
      </c>
      <c r="I1124" s="0" t="s">
        <v>7338</v>
      </c>
      <c r="J1124" s="0" t="s">
        <v>1602</v>
      </c>
      <c r="K1124" s="0" t="s">
        <v>7339</v>
      </c>
      <c r="L1124" s="0" t="s">
        <v>7340</v>
      </c>
      <c r="M1124" s="0" t="s">
        <v>7661</v>
      </c>
      <c r="N1124" s="0" t="s">
        <v>7342</v>
      </c>
      <c r="P1124" s="0" t="s">
        <v>229</v>
      </c>
      <c r="Q1124" s="0" t="s">
        <v>8051</v>
      </c>
      <c r="R1124" s="0" t="s">
        <v>7824</v>
      </c>
      <c r="S1124" s="0" t="s">
        <v>7344</v>
      </c>
      <c r="T1124" s="0" t="s">
        <v>58</v>
      </c>
      <c r="V1124" s="0" t="s">
        <v>55</v>
      </c>
      <c r="W1124" s="0" t="s">
        <v>55</v>
      </c>
      <c r="X1124" s="0" t="s">
        <v>7345</v>
      </c>
      <c r="Y1124" s="0" t="s">
        <v>7667</v>
      </c>
      <c r="Z1124" s="0" t="s">
        <v>7668</v>
      </c>
      <c r="AA1124" s="0" t="s">
        <v>8052</v>
      </c>
      <c r="AB1124" s="0" t="s">
        <v>344</v>
      </c>
      <c r="AC1124" s="0" t="s">
        <v>7349</v>
      </c>
      <c r="AE1124" s="0" t="s">
        <v>7826</v>
      </c>
      <c r="AF1124" s="0" t="s">
        <v>7374</v>
      </c>
      <c r="AG1124" s="0" t="s">
        <v>230</v>
      </c>
    </row>
    <row r="1125" customFormat="false" ht="15" hidden="false" customHeight="false" outlineLevel="0" collapsed="false">
      <c r="A1125" s="0" t="s">
        <v>7336</v>
      </c>
      <c r="B1125" s="0" t="s">
        <v>4160</v>
      </c>
      <c r="C1125" s="0" t="s">
        <v>4161</v>
      </c>
      <c r="D1125" s="0" t="s">
        <v>343</v>
      </c>
      <c r="E1125" s="0" t="s">
        <v>4162</v>
      </c>
      <c r="F1125" s="0" t="s">
        <v>4163</v>
      </c>
      <c r="G1125" s="0" t="s">
        <v>148</v>
      </c>
      <c r="H1125" s="0" t="s">
        <v>8071</v>
      </c>
      <c r="I1125" s="0" t="s">
        <v>7338</v>
      </c>
      <c r="J1125" s="0" t="s">
        <v>1602</v>
      </c>
      <c r="K1125" s="0" t="s">
        <v>7339</v>
      </c>
      <c r="L1125" s="0" t="s">
        <v>7340</v>
      </c>
      <c r="M1125" s="0" t="s">
        <v>7661</v>
      </c>
      <c r="N1125" s="0" t="s">
        <v>7342</v>
      </c>
      <c r="P1125" s="0" t="s">
        <v>229</v>
      </c>
      <c r="Q1125" s="0" t="s">
        <v>8051</v>
      </c>
      <c r="R1125" s="0" t="s">
        <v>7824</v>
      </c>
      <c r="S1125" s="0" t="s">
        <v>7344</v>
      </c>
      <c r="T1125" s="0" t="s">
        <v>58</v>
      </c>
      <c r="V1125" s="0" t="s">
        <v>55</v>
      </c>
      <c r="W1125" s="0" t="s">
        <v>55</v>
      </c>
      <c r="X1125" s="0" t="s">
        <v>7345</v>
      </c>
      <c r="Y1125" s="0" t="s">
        <v>7667</v>
      </c>
      <c r="Z1125" s="0" t="s">
        <v>7668</v>
      </c>
      <c r="AA1125" s="0" t="s">
        <v>8052</v>
      </c>
      <c r="AB1125" s="0" t="s">
        <v>344</v>
      </c>
      <c r="AC1125" s="0" t="s">
        <v>7349</v>
      </c>
      <c r="AE1125" s="0" t="s">
        <v>7826</v>
      </c>
      <c r="AF1125" s="0" t="s">
        <v>7374</v>
      </c>
      <c r="AG1125" s="0" t="s">
        <v>230</v>
      </c>
    </row>
    <row r="1126" customFormat="false" ht="15" hidden="false" customHeight="false" outlineLevel="0" collapsed="false">
      <c r="A1126" s="0" t="s">
        <v>7336</v>
      </c>
      <c r="B1126" s="0" t="s">
        <v>4164</v>
      </c>
      <c r="C1126" s="0" t="s">
        <v>4165</v>
      </c>
      <c r="D1126" s="0" t="s">
        <v>343</v>
      </c>
      <c r="E1126" s="0" t="s">
        <v>4166</v>
      </c>
      <c r="F1126" s="0" t="s">
        <v>4167</v>
      </c>
      <c r="G1126" s="0" t="s">
        <v>152</v>
      </c>
      <c r="H1126" s="0" t="s">
        <v>8072</v>
      </c>
      <c r="I1126" s="0" t="s">
        <v>7338</v>
      </c>
      <c r="J1126" s="0" t="s">
        <v>1602</v>
      </c>
      <c r="K1126" s="0" t="s">
        <v>7339</v>
      </c>
      <c r="L1126" s="0" t="s">
        <v>7340</v>
      </c>
      <c r="M1126" s="0" t="s">
        <v>7661</v>
      </c>
      <c r="N1126" s="0" t="s">
        <v>7342</v>
      </c>
      <c r="P1126" s="0" t="s">
        <v>229</v>
      </c>
      <c r="Q1126" s="0" t="s">
        <v>7354</v>
      </c>
      <c r="R1126" s="0" t="s">
        <v>7343</v>
      </c>
      <c r="S1126" s="0" t="s">
        <v>7344</v>
      </c>
      <c r="T1126" s="0" t="s">
        <v>228</v>
      </c>
      <c r="V1126" s="0" t="s">
        <v>73</v>
      </c>
      <c r="W1126" s="0" t="s">
        <v>75</v>
      </c>
      <c r="X1126" s="0" t="s">
        <v>7345</v>
      </c>
      <c r="Y1126" s="0" t="s">
        <v>7356</v>
      </c>
      <c r="Z1126" s="0" t="s">
        <v>7357</v>
      </c>
      <c r="AA1126" s="0" t="s">
        <v>7358</v>
      </c>
      <c r="AB1126" s="0" t="s">
        <v>344</v>
      </c>
      <c r="AC1126" s="0" t="s">
        <v>7349</v>
      </c>
      <c r="AD1126" s="0" t="s">
        <v>7985</v>
      </c>
      <c r="AE1126" s="0" t="s">
        <v>7986</v>
      </c>
      <c r="AF1126" s="0" t="s">
        <v>7374</v>
      </c>
      <c r="AG1126" s="0" t="s">
        <v>230</v>
      </c>
    </row>
    <row r="1127" customFormat="false" ht="15" hidden="false" customHeight="false" outlineLevel="0" collapsed="false">
      <c r="A1127" s="0" t="s">
        <v>7336</v>
      </c>
      <c r="B1127" s="0" t="s">
        <v>4168</v>
      </c>
      <c r="C1127" s="0" t="s">
        <v>4169</v>
      </c>
      <c r="D1127" s="0" t="s">
        <v>343</v>
      </c>
      <c r="E1127" s="0" t="s">
        <v>4170</v>
      </c>
      <c r="F1127" s="0" t="s">
        <v>4171</v>
      </c>
      <c r="G1127" s="0" t="s">
        <v>152</v>
      </c>
      <c r="H1127" s="0" t="s">
        <v>8073</v>
      </c>
      <c r="I1127" s="0" t="s">
        <v>7338</v>
      </c>
      <c r="J1127" s="0" t="s">
        <v>1602</v>
      </c>
      <c r="K1127" s="0" t="s">
        <v>7339</v>
      </c>
      <c r="L1127" s="0" t="s">
        <v>7340</v>
      </c>
      <c r="M1127" s="0" t="s">
        <v>7661</v>
      </c>
      <c r="N1127" s="0" t="s">
        <v>7342</v>
      </c>
      <c r="P1127" s="0" t="s">
        <v>229</v>
      </c>
      <c r="Q1127" s="0" t="s">
        <v>7354</v>
      </c>
      <c r="R1127" s="0" t="s">
        <v>7343</v>
      </c>
      <c r="S1127" s="0" t="s">
        <v>7344</v>
      </c>
      <c r="T1127" s="0" t="s">
        <v>228</v>
      </c>
      <c r="V1127" s="0" t="s">
        <v>73</v>
      </c>
      <c r="W1127" s="0" t="s">
        <v>75</v>
      </c>
      <c r="X1127" s="0" t="s">
        <v>7345</v>
      </c>
      <c r="Y1127" s="0" t="s">
        <v>7356</v>
      </c>
      <c r="Z1127" s="0" t="s">
        <v>7357</v>
      </c>
      <c r="AA1127" s="0" t="s">
        <v>7358</v>
      </c>
      <c r="AB1127" s="0" t="s">
        <v>344</v>
      </c>
      <c r="AC1127" s="0" t="s">
        <v>7349</v>
      </c>
      <c r="AD1127" s="0" t="s">
        <v>7985</v>
      </c>
      <c r="AE1127" s="0" t="s">
        <v>7986</v>
      </c>
      <c r="AF1127" s="0" t="s">
        <v>7374</v>
      </c>
      <c r="AG1127" s="0" t="s">
        <v>230</v>
      </c>
    </row>
    <row r="1128" customFormat="false" ht="15" hidden="false" customHeight="false" outlineLevel="0" collapsed="false">
      <c r="A1128" s="0" t="s">
        <v>7336</v>
      </c>
      <c r="B1128" s="0" t="s">
        <v>4172</v>
      </c>
      <c r="C1128" s="0" t="s">
        <v>4173</v>
      </c>
      <c r="D1128" s="0" t="s">
        <v>343</v>
      </c>
      <c r="E1128" s="0" t="s">
        <v>4174</v>
      </c>
      <c r="F1128" s="0" t="s">
        <v>4175</v>
      </c>
      <c r="G1128" s="0" t="s">
        <v>152</v>
      </c>
      <c r="H1128" s="0" t="s">
        <v>8074</v>
      </c>
      <c r="I1128" s="0" t="s">
        <v>7338</v>
      </c>
      <c r="J1128" s="0" t="s">
        <v>1602</v>
      </c>
      <c r="K1128" s="0" t="s">
        <v>7339</v>
      </c>
      <c r="L1128" s="0" t="s">
        <v>7340</v>
      </c>
      <c r="M1128" s="0" t="s">
        <v>7661</v>
      </c>
      <c r="N1128" s="0" t="s">
        <v>7342</v>
      </c>
      <c r="P1128" s="0" t="s">
        <v>229</v>
      </c>
      <c r="Q1128" s="0" t="s">
        <v>7354</v>
      </c>
      <c r="R1128" s="0" t="s">
        <v>7343</v>
      </c>
      <c r="S1128" s="0" t="s">
        <v>7344</v>
      </c>
      <c r="T1128" s="0" t="s">
        <v>228</v>
      </c>
      <c r="V1128" s="0" t="s">
        <v>73</v>
      </c>
      <c r="W1128" s="0" t="s">
        <v>75</v>
      </c>
      <c r="X1128" s="0" t="s">
        <v>7345</v>
      </c>
      <c r="Y1128" s="0" t="s">
        <v>7356</v>
      </c>
      <c r="Z1128" s="0" t="s">
        <v>7357</v>
      </c>
      <c r="AA1128" s="0" t="s">
        <v>7358</v>
      </c>
      <c r="AB1128" s="0" t="s">
        <v>344</v>
      </c>
      <c r="AC1128" s="0" t="s">
        <v>7349</v>
      </c>
      <c r="AD1128" s="0" t="s">
        <v>7985</v>
      </c>
      <c r="AE1128" s="0" t="s">
        <v>7986</v>
      </c>
      <c r="AF1128" s="0" t="s">
        <v>7374</v>
      </c>
      <c r="AG1128" s="0" t="s">
        <v>230</v>
      </c>
    </row>
    <row r="1129" customFormat="false" ht="15" hidden="false" customHeight="false" outlineLevel="0" collapsed="false">
      <c r="A1129" s="0" t="s">
        <v>7336</v>
      </c>
      <c r="B1129" s="0" t="s">
        <v>4176</v>
      </c>
      <c r="C1129" s="0" t="s">
        <v>4177</v>
      </c>
      <c r="D1129" s="0" t="s">
        <v>343</v>
      </c>
      <c r="E1129" s="0" t="s">
        <v>4178</v>
      </c>
      <c r="F1129" s="0" t="s">
        <v>4175</v>
      </c>
      <c r="G1129" s="0" t="s">
        <v>152</v>
      </c>
      <c r="H1129" s="0" t="s">
        <v>8074</v>
      </c>
      <c r="I1129" s="0" t="s">
        <v>7338</v>
      </c>
      <c r="J1129" s="0" t="s">
        <v>1602</v>
      </c>
      <c r="K1129" s="0" t="s">
        <v>7339</v>
      </c>
      <c r="L1129" s="0" t="s">
        <v>7340</v>
      </c>
      <c r="M1129" s="0" t="s">
        <v>7661</v>
      </c>
      <c r="N1129" s="0" t="s">
        <v>7342</v>
      </c>
      <c r="P1129" s="0" t="s">
        <v>229</v>
      </c>
      <c r="Q1129" s="0" t="s">
        <v>7354</v>
      </c>
      <c r="R1129" s="0" t="s">
        <v>7343</v>
      </c>
      <c r="S1129" s="0" t="s">
        <v>7344</v>
      </c>
      <c r="T1129" s="0" t="s">
        <v>228</v>
      </c>
      <c r="V1129" s="0" t="s">
        <v>73</v>
      </c>
      <c r="W1129" s="0" t="s">
        <v>75</v>
      </c>
      <c r="X1129" s="0" t="s">
        <v>7345</v>
      </c>
      <c r="Y1129" s="0" t="s">
        <v>7356</v>
      </c>
      <c r="Z1129" s="0" t="s">
        <v>7357</v>
      </c>
      <c r="AA1129" s="0" t="s">
        <v>7358</v>
      </c>
      <c r="AB1129" s="0" t="s">
        <v>344</v>
      </c>
      <c r="AC1129" s="0" t="s">
        <v>7349</v>
      </c>
      <c r="AD1129" s="0" t="s">
        <v>7999</v>
      </c>
      <c r="AE1129" s="0" t="s">
        <v>7986</v>
      </c>
      <c r="AF1129" s="0" t="s">
        <v>7374</v>
      </c>
      <c r="AG1129" s="0" t="s">
        <v>230</v>
      </c>
    </row>
    <row r="1130" customFormat="false" ht="15" hidden="false" customHeight="false" outlineLevel="0" collapsed="false">
      <c r="A1130" s="0" t="s">
        <v>7336</v>
      </c>
      <c r="B1130" s="0" t="s">
        <v>4179</v>
      </c>
      <c r="C1130" s="0" t="s">
        <v>4180</v>
      </c>
      <c r="D1130" s="0" t="s">
        <v>343</v>
      </c>
      <c r="E1130" s="0" t="s">
        <v>4181</v>
      </c>
      <c r="F1130" s="0" t="s">
        <v>4182</v>
      </c>
      <c r="G1130" s="0" t="s">
        <v>152</v>
      </c>
      <c r="H1130" s="0" t="s">
        <v>8075</v>
      </c>
      <c r="I1130" s="0" t="s">
        <v>7338</v>
      </c>
      <c r="J1130" s="0" t="s">
        <v>1602</v>
      </c>
      <c r="K1130" s="0" t="s">
        <v>7339</v>
      </c>
      <c r="L1130" s="0" t="s">
        <v>7340</v>
      </c>
      <c r="M1130" s="0" t="s">
        <v>7661</v>
      </c>
      <c r="N1130" s="0" t="s">
        <v>7342</v>
      </c>
      <c r="P1130" s="0" t="s">
        <v>229</v>
      </c>
      <c r="Q1130" s="0" t="s">
        <v>7354</v>
      </c>
      <c r="R1130" s="0" t="s">
        <v>7343</v>
      </c>
      <c r="S1130" s="0" t="s">
        <v>7344</v>
      </c>
      <c r="T1130" s="0" t="s">
        <v>228</v>
      </c>
      <c r="V1130" s="0" t="s">
        <v>73</v>
      </c>
      <c r="W1130" s="0" t="s">
        <v>75</v>
      </c>
      <c r="X1130" s="0" t="s">
        <v>7345</v>
      </c>
      <c r="Y1130" s="0" t="s">
        <v>7356</v>
      </c>
      <c r="Z1130" s="0" t="s">
        <v>7357</v>
      </c>
      <c r="AA1130" s="0" t="s">
        <v>7358</v>
      </c>
      <c r="AB1130" s="0" t="s">
        <v>344</v>
      </c>
      <c r="AC1130" s="0" t="s">
        <v>7349</v>
      </c>
      <c r="AD1130" s="0" t="s">
        <v>7985</v>
      </c>
      <c r="AE1130" s="0" t="s">
        <v>7986</v>
      </c>
      <c r="AF1130" s="0" t="s">
        <v>7374</v>
      </c>
      <c r="AG1130" s="0" t="s">
        <v>230</v>
      </c>
    </row>
    <row r="1131" customFormat="false" ht="15" hidden="false" customHeight="false" outlineLevel="0" collapsed="false">
      <c r="A1131" s="0" t="s">
        <v>7336</v>
      </c>
      <c r="B1131" s="0" t="s">
        <v>4183</v>
      </c>
      <c r="C1131" s="0" t="s">
        <v>4184</v>
      </c>
      <c r="D1131" s="0" t="s">
        <v>343</v>
      </c>
      <c r="E1131" s="0" t="s">
        <v>4185</v>
      </c>
      <c r="F1131" s="0" t="s">
        <v>4186</v>
      </c>
      <c r="G1131" s="0" t="s">
        <v>152</v>
      </c>
      <c r="H1131" s="0" t="s">
        <v>8076</v>
      </c>
      <c r="I1131" s="0" t="s">
        <v>7338</v>
      </c>
      <c r="J1131" s="0" t="s">
        <v>1602</v>
      </c>
      <c r="K1131" s="0" t="s">
        <v>7339</v>
      </c>
      <c r="L1131" s="0" t="s">
        <v>7340</v>
      </c>
      <c r="M1131" s="0" t="s">
        <v>7661</v>
      </c>
      <c r="N1131" s="0" t="s">
        <v>7342</v>
      </c>
      <c r="P1131" s="0" t="s">
        <v>229</v>
      </c>
      <c r="Q1131" s="0" t="s">
        <v>7354</v>
      </c>
      <c r="R1131" s="0" t="s">
        <v>7343</v>
      </c>
      <c r="S1131" s="0" t="s">
        <v>7344</v>
      </c>
      <c r="T1131" s="0" t="s">
        <v>228</v>
      </c>
      <c r="V1131" s="0" t="s">
        <v>73</v>
      </c>
      <c r="W1131" s="0" t="s">
        <v>75</v>
      </c>
      <c r="X1131" s="0" t="s">
        <v>7345</v>
      </c>
      <c r="Y1131" s="0" t="s">
        <v>7356</v>
      </c>
      <c r="Z1131" s="0" t="s">
        <v>7357</v>
      </c>
      <c r="AA1131" s="0" t="s">
        <v>7358</v>
      </c>
      <c r="AB1131" s="0" t="s">
        <v>344</v>
      </c>
      <c r="AC1131" s="0" t="s">
        <v>7349</v>
      </c>
      <c r="AD1131" s="0" t="s">
        <v>7985</v>
      </c>
      <c r="AE1131" s="0" t="s">
        <v>7986</v>
      </c>
      <c r="AF1131" s="0" t="s">
        <v>7374</v>
      </c>
      <c r="AG1131" s="0" t="s">
        <v>230</v>
      </c>
    </row>
    <row r="1132" customFormat="false" ht="15" hidden="false" customHeight="false" outlineLevel="0" collapsed="false">
      <c r="A1132" s="0" t="s">
        <v>7336</v>
      </c>
      <c r="B1132" s="0" t="s">
        <v>4187</v>
      </c>
      <c r="C1132" s="0" t="s">
        <v>4188</v>
      </c>
      <c r="D1132" s="0" t="s">
        <v>343</v>
      </c>
      <c r="E1132" s="0" t="s">
        <v>4189</v>
      </c>
      <c r="F1132" s="0" t="s">
        <v>4190</v>
      </c>
      <c r="G1132" s="0" t="s">
        <v>152</v>
      </c>
      <c r="H1132" s="0" t="s">
        <v>8077</v>
      </c>
      <c r="I1132" s="0" t="s">
        <v>7338</v>
      </c>
      <c r="J1132" s="0" t="s">
        <v>1602</v>
      </c>
      <c r="K1132" s="0" t="s">
        <v>7339</v>
      </c>
      <c r="L1132" s="0" t="s">
        <v>7340</v>
      </c>
      <c r="M1132" s="0" t="s">
        <v>7661</v>
      </c>
      <c r="N1132" s="0" t="s">
        <v>7342</v>
      </c>
      <c r="P1132" s="0" t="s">
        <v>229</v>
      </c>
      <c r="Q1132" s="0" t="s">
        <v>7354</v>
      </c>
      <c r="R1132" s="0" t="s">
        <v>7343</v>
      </c>
      <c r="S1132" s="0" t="s">
        <v>7344</v>
      </c>
      <c r="T1132" s="0" t="s">
        <v>228</v>
      </c>
      <c r="V1132" s="0" t="s">
        <v>73</v>
      </c>
      <c r="W1132" s="0" t="s">
        <v>75</v>
      </c>
      <c r="X1132" s="0" t="s">
        <v>7345</v>
      </c>
      <c r="Y1132" s="0" t="s">
        <v>7356</v>
      </c>
      <c r="Z1132" s="0" t="s">
        <v>7357</v>
      </c>
      <c r="AA1132" s="0" t="s">
        <v>7358</v>
      </c>
      <c r="AB1132" s="0" t="s">
        <v>344</v>
      </c>
      <c r="AC1132" s="0" t="s">
        <v>7349</v>
      </c>
      <c r="AD1132" s="0" t="s">
        <v>7985</v>
      </c>
      <c r="AE1132" s="0" t="s">
        <v>7986</v>
      </c>
      <c r="AF1132" s="0" t="s">
        <v>7374</v>
      </c>
      <c r="AG1132" s="0" t="s">
        <v>230</v>
      </c>
    </row>
    <row r="1133" customFormat="false" ht="15" hidden="false" customHeight="false" outlineLevel="0" collapsed="false">
      <c r="A1133" s="0" t="s">
        <v>7336</v>
      </c>
      <c r="B1133" s="0" t="s">
        <v>4191</v>
      </c>
      <c r="C1133" s="0" t="s">
        <v>4192</v>
      </c>
      <c r="D1133" s="0" t="s">
        <v>343</v>
      </c>
      <c r="E1133" s="0" t="s">
        <v>4193</v>
      </c>
      <c r="F1133" s="0" t="s">
        <v>4194</v>
      </c>
      <c r="G1133" s="0" t="s">
        <v>152</v>
      </c>
      <c r="H1133" s="0" t="s">
        <v>8078</v>
      </c>
      <c r="I1133" s="0" t="s">
        <v>7338</v>
      </c>
      <c r="J1133" s="0" t="s">
        <v>1602</v>
      </c>
      <c r="K1133" s="0" t="s">
        <v>7339</v>
      </c>
      <c r="L1133" s="0" t="s">
        <v>7340</v>
      </c>
      <c r="M1133" s="0" t="s">
        <v>7661</v>
      </c>
      <c r="N1133" s="0" t="s">
        <v>7342</v>
      </c>
      <c r="P1133" s="0" t="s">
        <v>229</v>
      </c>
      <c r="Q1133" s="0" t="s">
        <v>7354</v>
      </c>
      <c r="R1133" s="0" t="s">
        <v>7343</v>
      </c>
      <c r="S1133" s="0" t="s">
        <v>7344</v>
      </c>
      <c r="T1133" s="0" t="s">
        <v>58</v>
      </c>
      <c r="V1133" s="0" t="s">
        <v>73</v>
      </c>
      <c r="W1133" s="0" t="s">
        <v>78</v>
      </c>
      <c r="X1133" s="0" t="s">
        <v>7345</v>
      </c>
      <c r="Y1133" s="0" t="s">
        <v>7995</v>
      </c>
      <c r="Z1133" s="0" t="s">
        <v>7863</v>
      </c>
      <c r="AA1133" s="0" t="s">
        <v>7996</v>
      </c>
      <c r="AC1133" s="0" t="s">
        <v>7349</v>
      </c>
      <c r="AE1133" s="0" t="s">
        <v>7997</v>
      </c>
      <c r="AF1133" s="0" t="s">
        <v>7499</v>
      </c>
      <c r="AG1133" s="0" t="s">
        <v>230</v>
      </c>
    </row>
    <row r="1134" customFormat="false" ht="15" hidden="false" customHeight="false" outlineLevel="0" collapsed="false">
      <c r="A1134" s="0" t="s">
        <v>7336</v>
      </c>
      <c r="B1134" s="0" t="s">
        <v>4195</v>
      </c>
      <c r="C1134" s="0" t="s">
        <v>4196</v>
      </c>
      <c r="D1134" s="0" t="s">
        <v>343</v>
      </c>
      <c r="E1134" s="0" t="s">
        <v>4197</v>
      </c>
      <c r="F1134" s="0" t="s">
        <v>4198</v>
      </c>
      <c r="G1134" s="0" t="s">
        <v>152</v>
      </c>
      <c r="H1134" s="0" t="s">
        <v>8079</v>
      </c>
      <c r="I1134" s="0" t="s">
        <v>7338</v>
      </c>
      <c r="J1134" s="0" t="s">
        <v>1602</v>
      </c>
      <c r="K1134" s="0" t="s">
        <v>7339</v>
      </c>
      <c r="L1134" s="0" t="s">
        <v>7340</v>
      </c>
      <c r="M1134" s="0" t="s">
        <v>7661</v>
      </c>
      <c r="N1134" s="0" t="s">
        <v>7342</v>
      </c>
      <c r="P1134" s="0" t="s">
        <v>229</v>
      </c>
      <c r="Q1134" s="0" t="s">
        <v>7354</v>
      </c>
      <c r="R1134" s="0" t="s">
        <v>7343</v>
      </c>
      <c r="S1134" s="0" t="s">
        <v>7344</v>
      </c>
      <c r="T1134" s="0" t="s">
        <v>58</v>
      </c>
      <c r="V1134" s="0" t="s">
        <v>73</v>
      </c>
      <c r="W1134" s="0" t="s">
        <v>78</v>
      </c>
      <c r="X1134" s="0" t="s">
        <v>7345</v>
      </c>
      <c r="Y1134" s="0" t="s">
        <v>7995</v>
      </c>
      <c r="Z1134" s="0" t="s">
        <v>7863</v>
      </c>
      <c r="AA1134" s="0" t="s">
        <v>7996</v>
      </c>
      <c r="AC1134" s="0" t="s">
        <v>7349</v>
      </c>
      <c r="AE1134" s="0" t="s">
        <v>7997</v>
      </c>
      <c r="AF1134" s="0" t="s">
        <v>7499</v>
      </c>
      <c r="AG1134" s="0" t="s">
        <v>230</v>
      </c>
    </row>
    <row r="1135" customFormat="false" ht="15" hidden="false" customHeight="false" outlineLevel="0" collapsed="false">
      <c r="A1135" s="0" t="s">
        <v>7336</v>
      </c>
      <c r="B1135" s="0" t="s">
        <v>4199</v>
      </c>
      <c r="C1135" s="0" t="s">
        <v>4200</v>
      </c>
      <c r="D1135" s="0" t="s">
        <v>343</v>
      </c>
      <c r="E1135" s="0" t="s">
        <v>4201</v>
      </c>
      <c r="F1135" s="0" t="s">
        <v>4202</v>
      </c>
      <c r="G1135" s="0" t="s">
        <v>152</v>
      </c>
      <c r="H1135" s="0" t="s">
        <v>8080</v>
      </c>
      <c r="I1135" s="0" t="s">
        <v>7338</v>
      </c>
      <c r="J1135" s="0" t="s">
        <v>1602</v>
      </c>
      <c r="K1135" s="0" t="s">
        <v>7339</v>
      </c>
      <c r="L1135" s="0" t="s">
        <v>7340</v>
      </c>
      <c r="M1135" s="0" t="s">
        <v>7661</v>
      </c>
      <c r="N1135" s="0" t="s">
        <v>7342</v>
      </c>
      <c r="P1135" s="0" t="s">
        <v>229</v>
      </c>
      <c r="Q1135" s="0" t="s">
        <v>7354</v>
      </c>
      <c r="R1135" s="0" t="s">
        <v>7343</v>
      </c>
      <c r="S1135" s="0" t="s">
        <v>7344</v>
      </c>
      <c r="T1135" s="0" t="s">
        <v>58</v>
      </c>
      <c r="V1135" s="0" t="s">
        <v>73</v>
      </c>
      <c r="W1135" s="0" t="s">
        <v>78</v>
      </c>
      <c r="X1135" s="0" t="s">
        <v>7345</v>
      </c>
      <c r="Y1135" s="0" t="s">
        <v>7995</v>
      </c>
      <c r="Z1135" s="0" t="s">
        <v>7863</v>
      </c>
      <c r="AA1135" s="0" t="s">
        <v>7996</v>
      </c>
      <c r="AC1135" s="0" t="s">
        <v>7349</v>
      </c>
      <c r="AE1135" s="0" t="s">
        <v>7997</v>
      </c>
      <c r="AF1135" s="0" t="s">
        <v>7499</v>
      </c>
      <c r="AG1135" s="0" t="s">
        <v>230</v>
      </c>
    </row>
    <row r="1136" customFormat="false" ht="15" hidden="false" customHeight="false" outlineLevel="0" collapsed="false">
      <c r="A1136" s="0" t="s">
        <v>7336</v>
      </c>
      <c r="B1136" s="0" t="s">
        <v>4203</v>
      </c>
      <c r="C1136" s="0" t="s">
        <v>4204</v>
      </c>
      <c r="D1136" s="0" t="s">
        <v>343</v>
      </c>
      <c r="E1136" s="0" t="s">
        <v>4205</v>
      </c>
      <c r="F1136" s="0" t="s">
        <v>4206</v>
      </c>
      <c r="G1136" s="0" t="s">
        <v>152</v>
      </c>
      <c r="H1136" s="0" t="s">
        <v>8081</v>
      </c>
      <c r="I1136" s="0" t="s">
        <v>7338</v>
      </c>
      <c r="J1136" s="0" t="s">
        <v>1602</v>
      </c>
      <c r="K1136" s="0" t="s">
        <v>7339</v>
      </c>
      <c r="L1136" s="0" t="s">
        <v>7340</v>
      </c>
      <c r="M1136" s="0" t="s">
        <v>7661</v>
      </c>
      <c r="N1136" s="0" t="s">
        <v>7342</v>
      </c>
      <c r="P1136" s="0" t="s">
        <v>229</v>
      </c>
      <c r="Q1136" s="0" t="s">
        <v>7354</v>
      </c>
      <c r="R1136" s="0" t="s">
        <v>7343</v>
      </c>
      <c r="S1136" s="0" t="s">
        <v>7344</v>
      </c>
      <c r="T1136" s="0" t="s">
        <v>58</v>
      </c>
      <c r="V1136" s="0" t="s">
        <v>73</v>
      </c>
      <c r="W1136" s="0" t="s">
        <v>78</v>
      </c>
      <c r="X1136" s="0" t="s">
        <v>7345</v>
      </c>
      <c r="Y1136" s="0" t="s">
        <v>7995</v>
      </c>
      <c r="Z1136" s="0" t="s">
        <v>7863</v>
      </c>
      <c r="AA1136" s="0" t="s">
        <v>7996</v>
      </c>
      <c r="AC1136" s="0" t="s">
        <v>7349</v>
      </c>
      <c r="AE1136" s="0" t="s">
        <v>7997</v>
      </c>
      <c r="AF1136" s="0" t="s">
        <v>7499</v>
      </c>
      <c r="AG1136" s="0" t="s">
        <v>230</v>
      </c>
    </row>
    <row r="1137" customFormat="false" ht="15" hidden="false" customHeight="false" outlineLevel="0" collapsed="false">
      <c r="A1137" s="0" t="s">
        <v>7336</v>
      </c>
      <c r="B1137" s="0" t="s">
        <v>4207</v>
      </c>
      <c r="C1137" s="0" t="s">
        <v>4208</v>
      </c>
      <c r="D1137" s="0" t="s">
        <v>1184</v>
      </c>
      <c r="E1137" s="0" t="s">
        <v>4209</v>
      </c>
      <c r="F1137" s="0" t="s">
        <v>4210</v>
      </c>
      <c r="G1137" s="0" t="s">
        <v>124</v>
      </c>
      <c r="H1137" s="0" t="s">
        <v>8082</v>
      </c>
      <c r="I1137" s="0" t="s">
        <v>7338</v>
      </c>
      <c r="J1137" s="0" t="s">
        <v>1602</v>
      </c>
      <c r="K1137" s="0" t="s">
        <v>7339</v>
      </c>
      <c r="L1137" s="0" t="s">
        <v>7340</v>
      </c>
      <c r="M1137" s="0" t="s">
        <v>7661</v>
      </c>
      <c r="N1137" s="0" t="s">
        <v>7342</v>
      </c>
      <c r="P1137" s="0" t="s">
        <v>229</v>
      </c>
      <c r="Q1137" s="0" t="s">
        <v>7354</v>
      </c>
      <c r="R1137" s="0" t="s">
        <v>7435</v>
      </c>
      <c r="S1137" s="0" t="s">
        <v>7344</v>
      </c>
      <c r="T1137" s="0" t="s">
        <v>228</v>
      </c>
      <c r="V1137" s="0" t="s">
        <v>61</v>
      </c>
      <c r="W1137" s="0" t="s">
        <v>63</v>
      </c>
      <c r="X1137" s="0" t="s">
        <v>7355</v>
      </c>
      <c r="Y1137" s="0" t="s">
        <v>7459</v>
      </c>
      <c r="Z1137" s="0" t="s">
        <v>8083</v>
      </c>
      <c r="AA1137" s="0" t="s">
        <v>7592</v>
      </c>
      <c r="AB1137" s="0" t="s">
        <v>344</v>
      </c>
      <c r="AC1137" s="0" t="s">
        <v>7349</v>
      </c>
      <c r="AD1137" s="0" t="s">
        <v>8084</v>
      </c>
      <c r="AE1137" s="0" t="s">
        <v>7462</v>
      </c>
      <c r="AF1137" s="0" t="s">
        <v>7374</v>
      </c>
      <c r="AG1137" s="0" t="s">
        <v>230</v>
      </c>
    </row>
    <row r="1138" customFormat="false" ht="15" hidden="false" customHeight="false" outlineLevel="0" collapsed="false">
      <c r="A1138" s="0" t="s">
        <v>7336</v>
      </c>
      <c r="B1138" s="0" t="s">
        <v>4211</v>
      </c>
      <c r="C1138" s="0" t="s">
        <v>4212</v>
      </c>
      <c r="D1138" s="0" t="s">
        <v>1184</v>
      </c>
      <c r="E1138" s="0" t="s">
        <v>4213</v>
      </c>
      <c r="F1138" s="0" t="s">
        <v>4210</v>
      </c>
      <c r="G1138" s="0" t="s">
        <v>124</v>
      </c>
      <c r="H1138" s="0" t="s">
        <v>8082</v>
      </c>
      <c r="I1138" s="0" t="s">
        <v>7338</v>
      </c>
      <c r="J1138" s="0" t="s">
        <v>1602</v>
      </c>
      <c r="K1138" s="0" t="s">
        <v>7339</v>
      </c>
      <c r="L1138" s="0" t="s">
        <v>7340</v>
      </c>
      <c r="M1138" s="0" t="s">
        <v>7661</v>
      </c>
      <c r="N1138" s="0" t="s">
        <v>7342</v>
      </c>
      <c r="P1138" s="0" t="s">
        <v>229</v>
      </c>
      <c r="Q1138" s="0" t="s">
        <v>7354</v>
      </c>
      <c r="R1138" s="0" t="s">
        <v>7435</v>
      </c>
      <c r="S1138" s="0" t="s">
        <v>7344</v>
      </c>
      <c r="T1138" s="0" t="s">
        <v>228</v>
      </c>
      <c r="V1138" s="0" t="s">
        <v>61</v>
      </c>
      <c r="W1138" s="0" t="s">
        <v>63</v>
      </c>
      <c r="X1138" s="0" t="s">
        <v>7355</v>
      </c>
      <c r="Y1138" s="0" t="s">
        <v>7459</v>
      </c>
      <c r="Z1138" s="0" t="s">
        <v>8062</v>
      </c>
      <c r="AA1138" s="0" t="s">
        <v>7592</v>
      </c>
      <c r="AB1138" s="0" t="s">
        <v>344</v>
      </c>
      <c r="AC1138" s="0" t="s">
        <v>7349</v>
      </c>
      <c r="AD1138" s="0" t="s">
        <v>7715</v>
      </c>
      <c r="AE1138" s="0" t="s">
        <v>8085</v>
      </c>
      <c r="AF1138" s="0" t="s">
        <v>7374</v>
      </c>
      <c r="AG1138" s="0" t="s">
        <v>230</v>
      </c>
    </row>
    <row r="1139" customFormat="false" ht="15" hidden="false" customHeight="false" outlineLevel="0" collapsed="false">
      <c r="A1139" s="0" t="s">
        <v>7336</v>
      </c>
      <c r="B1139" s="0" t="s">
        <v>4214</v>
      </c>
      <c r="C1139" s="0" t="s">
        <v>4215</v>
      </c>
      <c r="D1139" s="0" t="s">
        <v>1184</v>
      </c>
      <c r="E1139" s="0" t="s">
        <v>4216</v>
      </c>
      <c r="F1139" s="0" t="s">
        <v>4217</v>
      </c>
      <c r="G1139" s="0" t="s">
        <v>124</v>
      </c>
      <c r="H1139" s="0" t="s">
        <v>8086</v>
      </c>
      <c r="I1139" s="0" t="s">
        <v>7338</v>
      </c>
      <c r="J1139" s="0" t="s">
        <v>1602</v>
      </c>
      <c r="K1139" s="0" t="s">
        <v>7339</v>
      </c>
      <c r="L1139" s="0" t="s">
        <v>7340</v>
      </c>
      <c r="M1139" s="0" t="s">
        <v>7661</v>
      </c>
      <c r="N1139" s="0" t="s">
        <v>7342</v>
      </c>
      <c r="P1139" s="0" t="s">
        <v>229</v>
      </c>
      <c r="Q1139" s="0" t="s">
        <v>7354</v>
      </c>
      <c r="R1139" s="0" t="s">
        <v>7435</v>
      </c>
      <c r="S1139" s="0" t="s">
        <v>7344</v>
      </c>
      <c r="T1139" s="0" t="s">
        <v>228</v>
      </c>
      <c r="V1139" s="0" t="s">
        <v>61</v>
      </c>
      <c r="W1139" s="0" t="s">
        <v>63</v>
      </c>
      <c r="X1139" s="0" t="s">
        <v>7355</v>
      </c>
      <c r="Y1139" s="0" t="s">
        <v>7459</v>
      </c>
      <c r="Z1139" s="0" t="s">
        <v>8083</v>
      </c>
      <c r="AA1139" s="0" t="s">
        <v>7592</v>
      </c>
      <c r="AB1139" s="0" t="s">
        <v>344</v>
      </c>
      <c r="AC1139" s="0" t="s">
        <v>7349</v>
      </c>
      <c r="AD1139" s="0" t="s">
        <v>8087</v>
      </c>
      <c r="AE1139" s="0" t="s">
        <v>7462</v>
      </c>
      <c r="AF1139" s="0" t="s">
        <v>7374</v>
      </c>
      <c r="AG1139" s="0" t="s">
        <v>230</v>
      </c>
    </row>
    <row r="1140" customFormat="false" ht="15" hidden="false" customHeight="false" outlineLevel="0" collapsed="false">
      <c r="A1140" s="0" t="s">
        <v>7336</v>
      </c>
      <c r="B1140" s="0" t="s">
        <v>4218</v>
      </c>
      <c r="C1140" s="0" t="s">
        <v>4219</v>
      </c>
      <c r="D1140" s="0" t="s">
        <v>1184</v>
      </c>
      <c r="E1140" s="0" t="s">
        <v>4220</v>
      </c>
      <c r="F1140" s="0" t="s">
        <v>4217</v>
      </c>
      <c r="G1140" s="0" t="s">
        <v>124</v>
      </c>
      <c r="H1140" s="0" t="s">
        <v>8086</v>
      </c>
      <c r="I1140" s="0" t="s">
        <v>7338</v>
      </c>
      <c r="J1140" s="0" t="s">
        <v>1602</v>
      </c>
      <c r="K1140" s="0" t="s">
        <v>7339</v>
      </c>
      <c r="L1140" s="0" t="s">
        <v>7340</v>
      </c>
      <c r="M1140" s="0" t="s">
        <v>7661</v>
      </c>
      <c r="N1140" s="0" t="s">
        <v>7342</v>
      </c>
      <c r="P1140" s="0" t="s">
        <v>229</v>
      </c>
      <c r="Q1140" s="0" t="s">
        <v>7354</v>
      </c>
      <c r="R1140" s="0" t="s">
        <v>7435</v>
      </c>
      <c r="S1140" s="0" t="s">
        <v>7344</v>
      </c>
      <c r="T1140" s="0" t="s">
        <v>228</v>
      </c>
      <c r="V1140" s="0" t="s">
        <v>61</v>
      </c>
      <c r="W1140" s="0" t="s">
        <v>63</v>
      </c>
      <c r="X1140" s="0" t="s">
        <v>7355</v>
      </c>
      <c r="Y1140" s="0" t="s">
        <v>7436</v>
      </c>
      <c r="Z1140" s="0" t="s">
        <v>8088</v>
      </c>
      <c r="AA1140" s="0" t="s">
        <v>8089</v>
      </c>
      <c r="AB1140" s="0" t="s">
        <v>4221</v>
      </c>
      <c r="AC1140" s="0" t="s">
        <v>7349</v>
      </c>
      <c r="AD1140" s="0" t="s">
        <v>8090</v>
      </c>
      <c r="AE1140" s="0" t="s">
        <v>8091</v>
      </c>
      <c r="AF1140" s="0" t="s">
        <v>7374</v>
      </c>
      <c r="AG1140" s="0" t="s">
        <v>230</v>
      </c>
    </row>
    <row r="1141" customFormat="false" ht="15" hidden="false" customHeight="false" outlineLevel="0" collapsed="false">
      <c r="A1141" s="0" t="s">
        <v>7336</v>
      </c>
      <c r="B1141" s="0" t="s">
        <v>4222</v>
      </c>
      <c r="C1141" s="0" t="s">
        <v>4223</v>
      </c>
      <c r="D1141" s="0" t="s">
        <v>1184</v>
      </c>
      <c r="E1141" s="0" t="s">
        <v>4224</v>
      </c>
      <c r="F1141" s="0" t="s">
        <v>4217</v>
      </c>
      <c r="G1141" s="0" t="s">
        <v>124</v>
      </c>
      <c r="H1141" s="0" t="s">
        <v>8086</v>
      </c>
      <c r="I1141" s="0" t="s">
        <v>7338</v>
      </c>
      <c r="J1141" s="0" t="s">
        <v>1602</v>
      </c>
      <c r="K1141" s="0" t="s">
        <v>7339</v>
      </c>
      <c r="L1141" s="0" t="s">
        <v>7340</v>
      </c>
      <c r="M1141" s="0" t="s">
        <v>7661</v>
      </c>
      <c r="N1141" s="0" t="s">
        <v>7342</v>
      </c>
      <c r="P1141" s="0" t="s">
        <v>229</v>
      </c>
      <c r="Q1141" s="0" t="s">
        <v>7354</v>
      </c>
      <c r="R1141" s="0" t="s">
        <v>7435</v>
      </c>
      <c r="S1141" s="0" t="s">
        <v>7344</v>
      </c>
      <c r="T1141" s="0" t="s">
        <v>228</v>
      </c>
      <c r="V1141" s="0" t="s">
        <v>61</v>
      </c>
      <c r="W1141" s="0" t="s">
        <v>63</v>
      </c>
      <c r="X1141" s="0" t="s">
        <v>7355</v>
      </c>
      <c r="Y1141" s="0" t="s">
        <v>7459</v>
      </c>
      <c r="Z1141" s="0" t="s">
        <v>8083</v>
      </c>
      <c r="AA1141" s="0" t="s">
        <v>7592</v>
      </c>
      <c r="AB1141" s="0" t="s">
        <v>344</v>
      </c>
      <c r="AC1141" s="0" t="s">
        <v>7349</v>
      </c>
      <c r="AD1141" s="0" t="s">
        <v>8087</v>
      </c>
      <c r="AE1141" s="0" t="s">
        <v>7462</v>
      </c>
      <c r="AF1141" s="0" t="s">
        <v>7374</v>
      </c>
      <c r="AG1141" s="0" t="s">
        <v>230</v>
      </c>
    </row>
    <row r="1142" customFormat="false" ht="15" hidden="false" customHeight="false" outlineLevel="0" collapsed="false">
      <c r="A1142" s="0" t="s">
        <v>7336</v>
      </c>
      <c r="B1142" s="0" t="s">
        <v>4225</v>
      </c>
      <c r="C1142" s="0" t="s">
        <v>4226</v>
      </c>
      <c r="D1142" s="0" t="s">
        <v>1184</v>
      </c>
      <c r="E1142" s="0" t="s">
        <v>4227</v>
      </c>
      <c r="F1142" s="0" t="s">
        <v>4228</v>
      </c>
      <c r="G1142" s="0" t="s">
        <v>124</v>
      </c>
      <c r="H1142" s="0" t="s">
        <v>8092</v>
      </c>
      <c r="I1142" s="0" t="s">
        <v>7338</v>
      </c>
      <c r="J1142" s="0" t="s">
        <v>1602</v>
      </c>
      <c r="K1142" s="0" t="s">
        <v>7339</v>
      </c>
      <c r="L1142" s="0" t="s">
        <v>7340</v>
      </c>
      <c r="M1142" s="0" t="s">
        <v>7661</v>
      </c>
      <c r="N1142" s="0" t="s">
        <v>7342</v>
      </c>
      <c r="P1142" s="0" t="s">
        <v>229</v>
      </c>
      <c r="Q1142" s="0" t="s">
        <v>7354</v>
      </c>
      <c r="R1142" s="0" t="s">
        <v>7435</v>
      </c>
      <c r="S1142" s="0" t="s">
        <v>7344</v>
      </c>
      <c r="T1142" s="0" t="s">
        <v>228</v>
      </c>
      <c r="V1142" s="0" t="s">
        <v>61</v>
      </c>
      <c r="W1142" s="0" t="s">
        <v>63</v>
      </c>
      <c r="X1142" s="0" t="s">
        <v>7355</v>
      </c>
      <c r="Y1142" s="0" t="s">
        <v>7459</v>
      </c>
      <c r="Z1142" s="0" t="s">
        <v>8083</v>
      </c>
      <c r="AA1142" s="0" t="s">
        <v>7592</v>
      </c>
      <c r="AB1142" s="0" t="s">
        <v>344</v>
      </c>
      <c r="AC1142" s="0" t="s">
        <v>7349</v>
      </c>
      <c r="AD1142" s="0" t="s">
        <v>8087</v>
      </c>
      <c r="AE1142" s="0" t="s">
        <v>7462</v>
      </c>
      <c r="AF1142" s="0" t="s">
        <v>7374</v>
      </c>
      <c r="AG1142" s="0" t="s">
        <v>230</v>
      </c>
    </row>
    <row r="1143" customFormat="false" ht="15" hidden="false" customHeight="false" outlineLevel="0" collapsed="false">
      <c r="A1143" s="0" t="s">
        <v>7336</v>
      </c>
      <c r="B1143" s="0" t="s">
        <v>4229</v>
      </c>
      <c r="C1143" s="0" t="s">
        <v>4230</v>
      </c>
      <c r="D1143" s="0" t="s">
        <v>1184</v>
      </c>
      <c r="E1143" s="0" t="s">
        <v>4231</v>
      </c>
      <c r="F1143" s="0" t="s">
        <v>4228</v>
      </c>
      <c r="G1143" s="0" t="s">
        <v>124</v>
      </c>
      <c r="H1143" s="0" t="s">
        <v>8092</v>
      </c>
      <c r="I1143" s="0" t="s">
        <v>7338</v>
      </c>
      <c r="J1143" s="0" t="s">
        <v>1602</v>
      </c>
      <c r="K1143" s="0" t="s">
        <v>7339</v>
      </c>
      <c r="L1143" s="0" t="s">
        <v>7340</v>
      </c>
      <c r="M1143" s="0" t="s">
        <v>7661</v>
      </c>
      <c r="N1143" s="0" t="s">
        <v>7342</v>
      </c>
      <c r="P1143" s="0" t="s">
        <v>229</v>
      </c>
      <c r="Q1143" s="0" t="s">
        <v>7354</v>
      </c>
      <c r="R1143" s="0" t="s">
        <v>7435</v>
      </c>
      <c r="S1143" s="0" t="s">
        <v>7344</v>
      </c>
      <c r="T1143" s="0" t="s">
        <v>228</v>
      </c>
      <c r="V1143" s="0" t="s">
        <v>61</v>
      </c>
      <c r="W1143" s="0" t="s">
        <v>63</v>
      </c>
      <c r="X1143" s="0" t="s">
        <v>7355</v>
      </c>
      <c r="Y1143" s="0" t="s">
        <v>7436</v>
      </c>
      <c r="Z1143" s="0" t="s">
        <v>8088</v>
      </c>
      <c r="AA1143" s="0" t="s">
        <v>8089</v>
      </c>
      <c r="AB1143" s="0" t="s">
        <v>4221</v>
      </c>
      <c r="AC1143" s="0" t="s">
        <v>7349</v>
      </c>
      <c r="AD1143" s="0" t="s">
        <v>8090</v>
      </c>
      <c r="AE1143" s="0" t="s">
        <v>8091</v>
      </c>
      <c r="AF1143" s="0" t="s">
        <v>7374</v>
      </c>
      <c r="AG1143" s="0" t="s">
        <v>230</v>
      </c>
    </row>
    <row r="1144" customFormat="false" ht="15" hidden="false" customHeight="false" outlineLevel="0" collapsed="false">
      <c r="A1144" s="0" t="s">
        <v>7336</v>
      </c>
      <c r="B1144" s="0" t="s">
        <v>4232</v>
      </c>
      <c r="C1144" s="0" t="s">
        <v>4233</v>
      </c>
      <c r="D1144" s="0" t="s">
        <v>1184</v>
      </c>
      <c r="E1144" s="0" t="s">
        <v>4234</v>
      </c>
      <c r="F1144" s="0" t="s">
        <v>4235</v>
      </c>
      <c r="G1144" s="0" t="s">
        <v>124</v>
      </c>
      <c r="H1144" s="0" t="s">
        <v>8093</v>
      </c>
      <c r="I1144" s="0" t="s">
        <v>7338</v>
      </c>
      <c r="J1144" s="0" t="s">
        <v>1602</v>
      </c>
      <c r="K1144" s="0" t="s">
        <v>7339</v>
      </c>
      <c r="L1144" s="0" t="s">
        <v>7340</v>
      </c>
      <c r="M1144" s="0" t="s">
        <v>7661</v>
      </c>
      <c r="N1144" s="0" t="s">
        <v>7342</v>
      </c>
      <c r="P1144" s="0" t="s">
        <v>229</v>
      </c>
      <c r="Q1144" s="0" t="s">
        <v>7354</v>
      </c>
      <c r="R1144" s="0" t="s">
        <v>7435</v>
      </c>
      <c r="S1144" s="0" t="s">
        <v>7344</v>
      </c>
      <c r="T1144" s="0" t="s">
        <v>228</v>
      </c>
      <c r="V1144" s="0" t="s">
        <v>61</v>
      </c>
      <c r="W1144" s="0" t="s">
        <v>63</v>
      </c>
      <c r="X1144" s="0" t="s">
        <v>7355</v>
      </c>
      <c r="Y1144" s="0" t="s">
        <v>7459</v>
      </c>
      <c r="Z1144" s="0" t="s">
        <v>8083</v>
      </c>
      <c r="AA1144" s="0" t="s">
        <v>7592</v>
      </c>
      <c r="AB1144" s="0" t="s">
        <v>344</v>
      </c>
      <c r="AC1144" s="0" t="s">
        <v>7349</v>
      </c>
      <c r="AD1144" s="0" t="s">
        <v>8087</v>
      </c>
      <c r="AE1144" s="0" t="s">
        <v>7462</v>
      </c>
      <c r="AF1144" s="0" t="s">
        <v>7374</v>
      </c>
      <c r="AG1144" s="0" t="s">
        <v>230</v>
      </c>
    </row>
    <row r="1145" customFormat="false" ht="15" hidden="false" customHeight="false" outlineLevel="0" collapsed="false">
      <c r="A1145" s="0" t="s">
        <v>7336</v>
      </c>
      <c r="B1145" s="0" t="s">
        <v>4236</v>
      </c>
      <c r="C1145" s="0" t="s">
        <v>4237</v>
      </c>
      <c r="D1145" s="0" t="s">
        <v>1184</v>
      </c>
      <c r="E1145" s="0" t="s">
        <v>4238</v>
      </c>
      <c r="F1145" s="0" t="s">
        <v>4235</v>
      </c>
      <c r="G1145" s="0" t="s">
        <v>124</v>
      </c>
      <c r="H1145" s="0" t="s">
        <v>8093</v>
      </c>
      <c r="I1145" s="0" t="s">
        <v>7338</v>
      </c>
      <c r="J1145" s="0" t="s">
        <v>1602</v>
      </c>
      <c r="K1145" s="0" t="s">
        <v>7339</v>
      </c>
      <c r="L1145" s="0" t="s">
        <v>7340</v>
      </c>
      <c r="M1145" s="0" t="s">
        <v>7661</v>
      </c>
      <c r="N1145" s="0" t="s">
        <v>7342</v>
      </c>
      <c r="P1145" s="0" t="s">
        <v>229</v>
      </c>
      <c r="Q1145" s="0" t="s">
        <v>7354</v>
      </c>
      <c r="R1145" s="0" t="s">
        <v>7435</v>
      </c>
      <c r="S1145" s="0" t="s">
        <v>7344</v>
      </c>
      <c r="T1145" s="0" t="s">
        <v>228</v>
      </c>
      <c r="V1145" s="0" t="s">
        <v>61</v>
      </c>
      <c r="W1145" s="0" t="s">
        <v>63</v>
      </c>
      <c r="X1145" s="0" t="s">
        <v>7355</v>
      </c>
      <c r="Y1145" s="0" t="s">
        <v>7459</v>
      </c>
      <c r="Z1145" s="0" t="s">
        <v>8062</v>
      </c>
      <c r="AA1145" s="0" t="s">
        <v>7592</v>
      </c>
      <c r="AB1145" s="0" t="s">
        <v>344</v>
      </c>
      <c r="AC1145" s="0" t="s">
        <v>7349</v>
      </c>
      <c r="AD1145" s="0" t="s">
        <v>7715</v>
      </c>
      <c r="AE1145" s="0" t="s">
        <v>8085</v>
      </c>
      <c r="AF1145" s="0" t="s">
        <v>7374</v>
      </c>
      <c r="AG1145" s="0" t="s">
        <v>230</v>
      </c>
    </row>
    <row r="1146" customFormat="false" ht="15" hidden="false" customHeight="false" outlineLevel="0" collapsed="false">
      <c r="A1146" s="0" t="s">
        <v>7336</v>
      </c>
      <c r="B1146" s="0" t="s">
        <v>4239</v>
      </c>
      <c r="C1146" s="0" t="s">
        <v>4240</v>
      </c>
      <c r="D1146" s="0" t="s">
        <v>1184</v>
      </c>
      <c r="E1146" s="0" t="s">
        <v>4241</v>
      </c>
      <c r="F1146" s="0" t="s">
        <v>3249</v>
      </c>
      <c r="G1146" s="0" t="s">
        <v>124</v>
      </c>
      <c r="H1146" s="0" t="s">
        <v>7925</v>
      </c>
      <c r="I1146" s="0" t="s">
        <v>7338</v>
      </c>
      <c r="J1146" s="0" t="s">
        <v>1602</v>
      </c>
      <c r="K1146" s="0" t="s">
        <v>7339</v>
      </c>
      <c r="L1146" s="0" t="s">
        <v>7340</v>
      </c>
      <c r="M1146" s="0" t="s">
        <v>7661</v>
      </c>
      <c r="N1146" s="0" t="s">
        <v>7342</v>
      </c>
      <c r="P1146" s="0" t="s">
        <v>229</v>
      </c>
      <c r="Q1146" s="0" t="s">
        <v>7354</v>
      </c>
      <c r="R1146" s="0" t="s">
        <v>7435</v>
      </c>
      <c r="S1146" s="0" t="s">
        <v>7344</v>
      </c>
      <c r="T1146" s="0" t="s">
        <v>228</v>
      </c>
      <c r="V1146" s="0" t="s">
        <v>61</v>
      </c>
      <c r="W1146" s="0" t="s">
        <v>63</v>
      </c>
      <c r="X1146" s="0" t="s">
        <v>7355</v>
      </c>
      <c r="Y1146" s="0" t="s">
        <v>7459</v>
      </c>
      <c r="Z1146" s="0" t="s">
        <v>8083</v>
      </c>
      <c r="AA1146" s="0" t="s">
        <v>7592</v>
      </c>
      <c r="AB1146" s="0" t="s">
        <v>344</v>
      </c>
      <c r="AC1146" s="0" t="s">
        <v>7349</v>
      </c>
      <c r="AD1146" s="0" t="s">
        <v>8094</v>
      </c>
      <c r="AE1146" s="0" t="s">
        <v>7462</v>
      </c>
      <c r="AF1146" s="0" t="s">
        <v>7374</v>
      </c>
      <c r="AG1146" s="0" t="s">
        <v>230</v>
      </c>
    </row>
    <row r="1147" customFormat="false" ht="15" hidden="false" customHeight="false" outlineLevel="0" collapsed="false">
      <c r="A1147" s="0" t="s">
        <v>7336</v>
      </c>
      <c r="B1147" s="0" t="s">
        <v>4242</v>
      </c>
      <c r="C1147" s="0" t="s">
        <v>4243</v>
      </c>
      <c r="D1147" s="0" t="s">
        <v>1184</v>
      </c>
      <c r="E1147" s="0" t="s">
        <v>4244</v>
      </c>
      <c r="F1147" s="0" t="s">
        <v>4245</v>
      </c>
      <c r="G1147" s="0" t="s">
        <v>124</v>
      </c>
      <c r="H1147" s="0" t="s">
        <v>8095</v>
      </c>
      <c r="I1147" s="0" t="s">
        <v>7338</v>
      </c>
      <c r="J1147" s="0" t="s">
        <v>1602</v>
      </c>
      <c r="K1147" s="0" t="s">
        <v>7339</v>
      </c>
      <c r="L1147" s="0" t="s">
        <v>7340</v>
      </c>
      <c r="M1147" s="0" t="s">
        <v>7661</v>
      </c>
      <c r="N1147" s="0" t="s">
        <v>7342</v>
      </c>
      <c r="P1147" s="0" t="s">
        <v>229</v>
      </c>
      <c r="Q1147" s="0" t="s">
        <v>7354</v>
      </c>
      <c r="R1147" s="0" t="s">
        <v>7435</v>
      </c>
      <c r="S1147" s="0" t="s">
        <v>7344</v>
      </c>
      <c r="T1147" s="0" t="s">
        <v>228</v>
      </c>
      <c r="V1147" s="0" t="s">
        <v>61</v>
      </c>
      <c r="W1147" s="0" t="s">
        <v>63</v>
      </c>
      <c r="X1147" s="0" t="s">
        <v>7355</v>
      </c>
      <c r="Y1147" s="0" t="s">
        <v>7459</v>
      </c>
      <c r="Z1147" s="0" t="s">
        <v>8083</v>
      </c>
      <c r="AA1147" s="0" t="s">
        <v>7592</v>
      </c>
      <c r="AB1147" s="0" t="s">
        <v>344</v>
      </c>
      <c r="AC1147" s="0" t="s">
        <v>7349</v>
      </c>
      <c r="AD1147" s="0" t="s">
        <v>8096</v>
      </c>
      <c r="AE1147" s="0" t="s">
        <v>7462</v>
      </c>
      <c r="AF1147" s="0" t="s">
        <v>7374</v>
      </c>
      <c r="AG1147" s="0" t="s">
        <v>230</v>
      </c>
    </row>
    <row r="1148" customFormat="false" ht="15" hidden="false" customHeight="false" outlineLevel="0" collapsed="false">
      <c r="A1148" s="0" t="s">
        <v>7336</v>
      </c>
      <c r="B1148" s="0" t="s">
        <v>4246</v>
      </c>
      <c r="C1148" s="0" t="s">
        <v>4247</v>
      </c>
      <c r="D1148" s="0" t="s">
        <v>1184</v>
      </c>
      <c r="E1148" s="0" t="s">
        <v>4248</v>
      </c>
      <c r="F1148" s="0" t="s">
        <v>4249</v>
      </c>
      <c r="G1148" s="0" t="s">
        <v>124</v>
      </c>
      <c r="H1148" s="0" t="s">
        <v>8097</v>
      </c>
      <c r="I1148" s="0" t="s">
        <v>7338</v>
      </c>
      <c r="J1148" s="0" t="s">
        <v>1602</v>
      </c>
      <c r="K1148" s="0" t="s">
        <v>7339</v>
      </c>
      <c r="L1148" s="0" t="s">
        <v>7340</v>
      </c>
      <c r="M1148" s="0" t="s">
        <v>7661</v>
      </c>
      <c r="N1148" s="0" t="s">
        <v>7342</v>
      </c>
      <c r="P1148" s="0" t="s">
        <v>229</v>
      </c>
      <c r="Q1148" s="0" t="s">
        <v>7354</v>
      </c>
      <c r="R1148" s="0" t="s">
        <v>7435</v>
      </c>
      <c r="S1148" s="0" t="s">
        <v>7344</v>
      </c>
      <c r="T1148" s="0" t="s">
        <v>228</v>
      </c>
      <c r="V1148" s="0" t="s">
        <v>61</v>
      </c>
      <c r="W1148" s="0" t="s">
        <v>63</v>
      </c>
      <c r="X1148" s="0" t="s">
        <v>7355</v>
      </c>
      <c r="Y1148" s="0" t="s">
        <v>7459</v>
      </c>
      <c r="Z1148" s="0" t="s">
        <v>8083</v>
      </c>
      <c r="AA1148" s="0" t="s">
        <v>7592</v>
      </c>
      <c r="AB1148" s="0" t="s">
        <v>344</v>
      </c>
      <c r="AC1148" s="0" t="s">
        <v>7349</v>
      </c>
      <c r="AD1148" s="0" t="s">
        <v>8096</v>
      </c>
      <c r="AE1148" s="0" t="s">
        <v>7462</v>
      </c>
      <c r="AF1148" s="0" t="s">
        <v>7374</v>
      </c>
      <c r="AG1148" s="0" t="s">
        <v>230</v>
      </c>
    </row>
    <row r="1149" customFormat="false" ht="15" hidden="false" customHeight="false" outlineLevel="0" collapsed="false">
      <c r="A1149" s="0" t="s">
        <v>7336</v>
      </c>
      <c r="B1149" s="0" t="s">
        <v>4250</v>
      </c>
      <c r="C1149" s="0" t="s">
        <v>4251</v>
      </c>
      <c r="D1149" s="0" t="s">
        <v>343</v>
      </c>
      <c r="E1149" s="0" t="s">
        <v>4252</v>
      </c>
      <c r="F1149" s="0" t="s">
        <v>4253</v>
      </c>
      <c r="G1149" s="0" t="s">
        <v>150</v>
      </c>
      <c r="H1149" s="0" t="s">
        <v>8098</v>
      </c>
      <c r="I1149" s="0" t="s">
        <v>7338</v>
      </c>
      <c r="J1149" s="0" t="s">
        <v>1602</v>
      </c>
      <c r="K1149" s="0" t="s">
        <v>7339</v>
      </c>
      <c r="L1149" s="0" t="s">
        <v>7340</v>
      </c>
      <c r="M1149" s="0" t="s">
        <v>7661</v>
      </c>
      <c r="N1149" s="0" t="s">
        <v>7342</v>
      </c>
      <c r="P1149" s="0" t="s">
        <v>229</v>
      </c>
      <c r="Q1149" s="0" t="s">
        <v>7354</v>
      </c>
      <c r="R1149" s="0" t="s">
        <v>7343</v>
      </c>
      <c r="S1149" s="0" t="s">
        <v>7344</v>
      </c>
      <c r="T1149" s="0" t="s">
        <v>681</v>
      </c>
      <c r="V1149" s="0" t="s">
        <v>93</v>
      </c>
      <c r="W1149" s="0" t="s">
        <v>95</v>
      </c>
      <c r="X1149" s="0" t="s">
        <v>7345</v>
      </c>
      <c r="Y1149" s="0" t="s">
        <v>8099</v>
      </c>
      <c r="Z1149" s="0" t="s">
        <v>8100</v>
      </c>
      <c r="AA1149" s="0" t="s">
        <v>8068</v>
      </c>
      <c r="AB1149" s="0" t="s">
        <v>4254</v>
      </c>
      <c r="AC1149" s="0" t="s">
        <v>7349</v>
      </c>
      <c r="AD1149" s="0" t="s">
        <v>7493</v>
      </c>
      <c r="AE1149" s="0" t="s">
        <v>8101</v>
      </c>
      <c r="AF1149" s="0" t="s">
        <v>7374</v>
      </c>
      <c r="AG1149" s="0" t="s">
        <v>230</v>
      </c>
    </row>
    <row r="1150" customFormat="false" ht="15" hidden="false" customHeight="false" outlineLevel="0" collapsed="false">
      <c r="A1150" s="0" t="s">
        <v>7336</v>
      </c>
      <c r="B1150" s="0" t="s">
        <v>4255</v>
      </c>
      <c r="C1150" s="0" t="s">
        <v>4256</v>
      </c>
      <c r="D1150" s="0" t="s">
        <v>343</v>
      </c>
      <c r="E1150" s="0" t="s">
        <v>4257</v>
      </c>
      <c r="F1150" s="0" t="s">
        <v>3947</v>
      </c>
      <c r="G1150" s="0" t="s">
        <v>160</v>
      </c>
      <c r="H1150" s="0" t="s">
        <v>8021</v>
      </c>
      <c r="I1150" s="0" t="s">
        <v>7338</v>
      </c>
      <c r="J1150" s="0" t="s">
        <v>1602</v>
      </c>
      <c r="K1150" s="0" t="s">
        <v>7339</v>
      </c>
      <c r="L1150" s="0" t="s">
        <v>7340</v>
      </c>
      <c r="M1150" s="0" t="s">
        <v>7661</v>
      </c>
      <c r="N1150" s="0" t="s">
        <v>7342</v>
      </c>
      <c r="P1150" s="0" t="s">
        <v>229</v>
      </c>
      <c r="Q1150" s="0" t="s">
        <v>7354</v>
      </c>
      <c r="R1150" s="0" t="s">
        <v>7343</v>
      </c>
      <c r="S1150" s="0" t="s">
        <v>7344</v>
      </c>
      <c r="T1150" s="0" t="s">
        <v>58</v>
      </c>
      <c r="V1150" s="0" t="s">
        <v>73</v>
      </c>
      <c r="W1150" s="0" t="s">
        <v>78</v>
      </c>
      <c r="X1150" s="0" t="s">
        <v>7345</v>
      </c>
      <c r="Y1150" s="0" t="s">
        <v>7995</v>
      </c>
      <c r="Z1150" s="0" t="s">
        <v>7863</v>
      </c>
      <c r="AA1150" s="0" t="s">
        <v>7996</v>
      </c>
      <c r="AC1150" s="0" t="s">
        <v>7349</v>
      </c>
      <c r="AE1150" s="0" t="s">
        <v>7997</v>
      </c>
      <c r="AF1150" s="0" t="s">
        <v>7499</v>
      </c>
      <c r="AG1150" s="0" t="s">
        <v>230</v>
      </c>
    </row>
    <row r="1151" customFormat="false" ht="15" hidden="false" customHeight="false" outlineLevel="0" collapsed="false">
      <c r="A1151" s="0" t="s">
        <v>7336</v>
      </c>
      <c r="B1151" s="0" t="s">
        <v>4258</v>
      </c>
      <c r="C1151" s="0" t="s">
        <v>4259</v>
      </c>
      <c r="D1151" s="0" t="s">
        <v>343</v>
      </c>
      <c r="E1151" s="0" t="s">
        <v>4260</v>
      </c>
      <c r="F1151" s="0" t="s">
        <v>4261</v>
      </c>
      <c r="G1151" s="0" t="s">
        <v>160</v>
      </c>
      <c r="H1151" s="0" t="s">
        <v>8102</v>
      </c>
      <c r="I1151" s="0" t="s">
        <v>7338</v>
      </c>
      <c r="J1151" s="0" t="s">
        <v>1602</v>
      </c>
      <c r="K1151" s="0" t="s">
        <v>7339</v>
      </c>
      <c r="L1151" s="0" t="s">
        <v>7340</v>
      </c>
      <c r="M1151" s="0" t="s">
        <v>7661</v>
      </c>
      <c r="N1151" s="0" t="s">
        <v>7342</v>
      </c>
      <c r="P1151" s="0" t="s">
        <v>229</v>
      </c>
      <c r="Q1151" s="0" t="s">
        <v>7354</v>
      </c>
      <c r="R1151" s="0" t="s">
        <v>7343</v>
      </c>
      <c r="S1151" s="0" t="s">
        <v>7344</v>
      </c>
      <c r="T1151" s="0" t="s">
        <v>228</v>
      </c>
      <c r="V1151" s="0" t="s">
        <v>73</v>
      </c>
      <c r="W1151" s="0" t="s">
        <v>75</v>
      </c>
      <c r="X1151" s="0" t="s">
        <v>7345</v>
      </c>
      <c r="Y1151" s="0" t="s">
        <v>7356</v>
      </c>
      <c r="Z1151" s="0" t="s">
        <v>7357</v>
      </c>
      <c r="AA1151" s="0" t="s">
        <v>7358</v>
      </c>
      <c r="AB1151" s="0" t="s">
        <v>344</v>
      </c>
      <c r="AC1151" s="0" t="s">
        <v>7349</v>
      </c>
      <c r="AD1151" s="0" t="s">
        <v>7394</v>
      </c>
      <c r="AE1151" s="0" t="s">
        <v>7395</v>
      </c>
      <c r="AF1151" s="0" t="s">
        <v>7374</v>
      </c>
      <c r="AG1151" s="0" t="s">
        <v>230</v>
      </c>
    </row>
    <row r="1152" customFormat="false" ht="15" hidden="false" customHeight="false" outlineLevel="0" collapsed="false">
      <c r="A1152" s="0" t="s">
        <v>7336</v>
      </c>
      <c r="B1152" s="0" t="s">
        <v>4262</v>
      </c>
      <c r="C1152" s="0" t="s">
        <v>4263</v>
      </c>
      <c r="D1152" s="0" t="s">
        <v>343</v>
      </c>
      <c r="E1152" s="0" t="s">
        <v>4264</v>
      </c>
      <c r="F1152" s="0" t="s">
        <v>4261</v>
      </c>
      <c r="G1152" s="0" t="s">
        <v>160</v>
      </c>
      <c r="H1152" s="0" t="s">
        <v>8102</v>
      </c>
      <c r="I1152" s="0" t="s">
        <v>7338</v>
      </c>
      <c r="J1152" s="0" t="s">
        <v>1602</v>
      </c>
      <c r="K1152" s="0" t="s">
        <v>7339</v>
      </c>
      <c r="L1152" s="0" t="s">
        <v>7340</v>
      </c>
      <c r="M1152" s="0" t="s">
        <v>7661</v>
      </c>
      <c r="N1152" s="0" t="s">
        <v>7342</v>
      </c>
      <c r="P1152" s="0" t="s">
        <v>229</v>
      </c>
      <c r="Q1152" s="0" t="s">
        <v>7354</v>
      </c>
      <c r="R1152" s="0" t="s">
        <v>7343</v>
      </c>
      <c r="S1152" s="0" t="s">
        <v>7344</v>
      </c>
      <c r="T1152" s="0" t="s">
        <v>228</v>
      </c>
      <c r="V1152" s="0" t="s">
        <v>73</v>
      </c>
      <c r="W1152" s="0" t="s">
        <v>75</v>
      </c>
      <c r="X1152" s="0" t="s">
        <v>7345</v>
      </c>
      <c r="Y1152" s="0" t="s">
        <v>7356</v>
      </c>
      <c r="Z1152" s="0" t="s">
        <v>7357</v>
      </c>
      <c r="AA1152" s="0" t="s">
        <v>7358</v>
      </c>
      <c r="AB1152" s="0" t="s">
        <v>344</v>
      </c>
      <c r="AC1152" s="0" t="s">
        <v>7349</v>
      </c>
      <c r="AD1152" s="0" t="s">
        <v>7999</v>
      </c>
      <c r="AE1152" s="0" t="s">
        <v>7395</v>
      </c>
      <c r="AF1152" s="0" t="s">
        <v>7374</v>
      </c>
      <c r="AG1152" s="0" t="s">
        <v>230</v>
      </c>
    </row>
    <row r="1153" customFormat="false" ht="15" hidden="false" customHeight="false" outlineLevel="0" collapsed="false">
      <c r="A1153" s="0" t="s">
        <v>7336</v>
      </c>
      <c r="B1153" s="0" t="s">
        <v>4265</v>
      </c>
      <c r="C1153" s="0" t="s">
        <v>4266</v>
      </c>
      <c r="D1153" s="0" t="s">
        <v>343</v>
      </c>
      <c r="E1153" s="0" t="s">
        <v>4267</v>
      </c>
      <c r="F1153" s="0" t="s">
        <v>4268</v>
      </c>
      <c r="G1153" s="0" t="s">
        <v>162</v>
      </c>
      <c r="H1153" s="0" t="s">
        <v>8103</v>
      </c>
      <c r="I1153" s="0" t="s">
        <v>7338</v>
      </c>
      <c r="J1153" s="0" t="s">
        <v>1602</v>
      </c>
      <c r="K1153" s="0" t="s">
        <v>7339</v>
      </c>
      <c r="L1153" s="0" t="s">
        <v>7340</v>
      </c>
      <c r="M1153" s="0" t="s">
        <v>7661</v>
      </c>
      <c r="N1153" s="0" t="s">
        <v>7342</v>
      </c>
      <c r="P1153" s="0" t="s">
        <v>229</v>
      </c>
      <c r="Q1153" s="0" t="s">
        <v>7354</v>
      </c>
      <c r="R1153" s="0" t="s">
        <v>7343</v>
      </c>
      <c r="S1153" s="0" t="s">
        <v>7344</v>
      </c>
      <c r="T1153" s="0" t="s">
        <v>228</v>
      </c>
      <c r="V1153" s="0" t="s">
        <v>73</v>
      </c>
      <c r="W1153" s="0" t="s">
        <v>75</v>
      </c>
      <c r="X1153" s="0" t="s">
        <v>7345</v>
      </c>
      <c r="Y1153" s="0" t="s">
        <v>7356</v>
      </c>
      <c r="Z1153" s="0" t="s">
        <v>7357</v>
      </c>
      <c r="AA1153" s="0" t="s">
        <v>7358</v>
      </c>
      <c r="AB1153" s="0" t="s">
        <v>344</v>
      </c>
      <c r="AC1153" s="0" t="s">
        <v>7349</v>
      </c>
      <c r="AD1153" s="0" t="s">
        <v>7394</v>
      </c>
      <c r="AE1153" s="0" t="s">
        <v>7395</v>
      </c>
      <c r="AF1153" s="0" t="s">
        <v>7374</v>
      </c>
      <c r="AG1153" s="0" t="s">
        <v>230</v>
      </c>
    </row>
    <row r="1154" customFormat="false" ht="15" hidden="false" customHeight="false" outlineLevel="0" collapsed="false">
      <c r="A1154" s="0" t="s">
        <v>7336</v>
      </c>
      <c r="B1154" s="0" t="s">
        <v>4269</v>
      </c>
      <c r="C1154" s="0" t="s">
        <v>4270</v>
      </c>
      <c r="D1154" s="0" t="s">
        <v>343</v>
      </c>
      <c r="E1154" s="0" t="s">
        <v>4271</v>
      </c>
      <c r="F1154" s="0" t="s">
        <v>4272</v>
      </c>
      <c r="G1154" s="0" t="s">
        <v>162</v>
      </c>
      <c r="H1154" s="0" t="s">
        <v>8104</v>
      </c>
      <c r="I1154" s="0" t="s">
        <v>7338</v>
      </c>
      <c r="J1154" s="0" t="s">
        <v>1602</v>
      </c>
      <c r="K1154" s="0" t="s">
        <v>7339</v>
      </c>
      <c r="L1154" s="0" t="s">
        <v>7340</v>
      </c>
      <c r="M1154" s="0" t="s">
        <v>7661</v>
      </c>
      <c r="N1154" s="0" t="s">
        <v>7342</v>
      </c>
      <c r="P1154" s="0" t="s">
        <v>229</v>
      </c>
      <c r="Q1154" s="0" t="s">
        <v>7354</v>
      </c>
      <c r="R1154" s="0" t="s">
        <v>7343</v>
      </c>
      <c r="S1154" s="0" t="s">
        <v>7344</v>
      </c>
      <c r="T1154" s="0" t="s">
        <v>228</v>
      </c>
      <c r="V1154" s="0" t="s">
        <v>73</v>
      </c>
      <c r="W1154" s="0" t="s">
        <v>75</v>
      </c>
      <c r="X1154" s="0" t="s">
        <v>7345</v>
      </c>
      <c r="Y1154" s="0" t="s">
        <v>7356</v>
      </c>
      <c r="Z1154" s="0" t="s">
        <v>7357</v>
      </c>
      <c r="AA1154" s="0" t="s">
        <v>7358</v>
      </c>
      <c r="AB1154" s="0" t="s">
        <v>344</v>
      </c>
      <c r="AC1154" s="0" t="s">
        <v>7349</v>
      </c>
      <c r="AD1154" s="0" t="s">
        <v>7394</v>
      </c>
      <c r="AE1154" s="0" t="s">
        <v>7395</v>
      </c>
      <c r="AF1154" s="0" t="s">
        <v>7374</v>
      </c>
      <c r="AG1154" s="0" t="s">
        <v>230</v>
      </c>
    </row>
    <row r="1155" customFormat="false" ht="15" hidden="false" customHeight="false" outlineLevel="0" collapsed="false">
      <c r="A1155" s="0" t="s">
        <v>7336</v>
      </c>
      <c r="B1155" s="0" t="s">
        <v>4273</v>
      </c>
      <c r="C1155" s="0" t="s">
        <v>4274</v>
      </c>
      <c r="D1155" s="0" t="s">
        <v>343</v>
      </c>
      <c r="E1155" s="0" t="s">
        <v>4275</v>
      </c>
      <c r="F1155" s="0" t="s">
        <v>4276</v>
      </c>
      <c r="G1155" s="0" t="s">
        <v>162</v>
      </c>
      <c r="H1155" s="0" t="s">
        <v>8105</v>
      </c>
      <c r="I1155" s="0" t="s">
        <v>7338</v>
      </c>
      <c r="J1155" s="0" t="s">
        <v>1602</v>
      </c>
      <c r="K1155" s="0" t="s">
        <v>7339</v>
      </c>
      <c r="L1155" s="0" t="s">
        <v>7340</v>
      </c>
      <c r="M1155" s="0" t="s">
        <v>7661</v>
      </c>
      <c r="N1155" s="0" t="s">
        <v>7342</v>
      </c>
      <c r="P1155" s="0" t="s">
        <v>229</v>
      </c>
      <c r="Q1155" s="0" t="s">
        <v>7354</v>
      </c>
      <c r="R1155" s="0" t="s">
        <v>7343</v>
      </c>
      <c r="S1155" s="0" t="s">
        <v>7344</v>
      </c>
      <c r="T1155" s="0" t="s">
        <v>228</v>
      </c>
      <c r="V1155" s="0" t="s">
        <v>73</v>
      </c>
      <c r="W1155" s="0" t="s">
        <v>75</v>
      </c>
      <c r="X1155" s="0" t="s">
        <v>7345</v>
      </c>
      <c r="Y1155" s="0" t="s">
        <v>7356</v>
      </c>
      <c r="Z1155" s="0" t="s">
        <v>7357</v>
      </c>
      <c r="AA1155" s="0" t="s">
        <v>7358</v>
      </c>
      <c r="AB1155" s="0" t="s">
        <v>344</v>
      </c>
      <c r="AC1155" s="0" t="s">
        <v>7349</v>
      </c>
      <c r="AD1155" s="0" t="s">
        <v>7394</v>
      </c>
      <c r="AE1155" s="0" t="s">
        <v>7395</v>
      </c>
      <c r="AF1155" s="0" t="s">
        <v>7374</v>
      </c>
      <c r="AG1155" s="0" t="s">
        <v>230</v>
      </c>
    </row>
    <row r="1156" customFormat="false" ht="15" hidden="false" customHeight="false" outlineLevel="0" collapsed="false">
      <c r="A1156" s="0" t="s">
        <v>7336</v>
      </c>
      <c r="B1156" s="0" t="s">
        <v>4277</v>
      </c>
      <c r="C1156" s="0" t="s">
        <v>4278</v>
      </c>
      <c r="D1156" s="0" t="s">
        <v>343</v>
      </c>
      <c r="E1156" s="0" t="s">
        <v>4279</v>
      </c>
      <c r="F1156" s="0" t="s">
        <v>4261</v>
      </c>
      <c r="G1156" s="0" t="s">
        <v>160</v>
      </c>
      <c r="H1156" s="0" t="s">
        <v>8102</v>
      </c>
      <c r="I1156" s="0" t="s">
        <v>7338</v>
      </c>
      <c r="J1156" s="0" t="s">
        <v>1602</v>
      </c>
      <c r="K1156" s="0" t="s">
        <v>7339</v>
      </c>
      <c r="L1156" s="0" t="s">
        <v>7340</v>
      </c>
      <c r="M1156" s="0" t="s">
        <v>7661</v>
      </c>
      <c r="N1156" s="0" t="s">
        <v>7342</v>
      </c>
      <c r="P1156" s="0" t="s">
        <v>229</v>
      </c>
      <c r="Q1156" s="0" t="s">
        <v>7354</v>
      </c>
      <c r="R1156" s="0" t="s">
        <v>7343</v>
      </c>
      <c r="S1156" s="0" t="s">
        <v>7344</v>
      </c>
      <c r="T1156" s="0" t="s">
        <v>58</v>
      </c>
      <c r="V1156" s="0" t="s">
        <v>73</v>
      </c>
      <c r="W1156" s="0" t="s">
        <v>78</v>
      </c>
      <c r="X1156" s="0" t="s">
        <v>7345</v>
      </c>
      <c r="Y1156" s="0" t="s">
        <v>7995</v>
      </c>
      <c r="Z1156" s="0" t="s">
        <v>7863</v>
      </c>
      <c r="AA1156" s="0" t="s">
        <v>7996</v>
      </c>
      <c r="AC1156" s="0" t="s">
        <v>7349</v>
      </c>
      <c r="AE1156" s="0" t="s">
        <v>7997</v>
      </c>
      <c r="AF1156" s="0" t="s">
        <v>7499</v>
      </c>
      <c r="AG1156" s="0" t="s">
        <v>230</v>
      </c>
    </row>
    <row r="1157" customFormat="false" ht="15" hidden="false" customHeight="false" outlineLevel="0" collapsed="false">
      <c r="A1157" s="0" t="s">
        <v>7336</v>
      </c>
      <c r="B1157" s="0" t="s">
        <v>4280</v>
      </c>
      <c r="C1157" s="0" t="s">
        <v>4281</v>
      </c>
      <c r="D1157" s="0" t="s">
        <v>343</v>
      </c>
      <c r="E1157" s="0" t="s">
        <v>4282</v>
      </c>
      <c r="F1157" s="0" t="s">
        <v>4268</v>
      </c>
      <c r="G1157" s="0" t="s">
        <v>162</v>
      </c>
      <c r="H1157" s="0" t="s">
        <v>8103</v>
      </c>
      <c r="I1157" s="0" t="s">
        <v>7338</v>
      </c>
      <c r="J1157" s="0" t="s">
        <v>1602</v>
      </c>
      <c r="K1157" s="0" t="s">
        <v>7339</v>
      </c>
      <c r="L1157" s="0" t="s">
        <v>7340</v>
      </c>
      <c r="M1157" s="0" t="s">
        <v>7661</v>
      </c>
      <c r="N1157" s="0" t="s">
        <v>7342</v>
      </c>
      <c r="P1157" s="0" t="s">
        <v>229</v>
      </c>
      <c r="Q1157" s="0" t="s">
        <v>7354</v>
      </c>
      <c r="R1157" s="0" t="s">
        <v>7343</v>
      </c>
      <c r="S1157" s="0" t="s">
        <v>7344</v>
      </c>
      <c r="T1157" s="0" t="s">
        <v>58</v>
      </c>
      <c r="V1157" s="0" t="s">
        <v>73</v>
      </c>
      <c r="W1157" s="0" t="s">
        <v>78</v>
      </c>
      <c r="X1157" s="0" t="s">
        <v>7345</v>
      </c>
      <c r="Y1157" s="0" t="s">
        <v>7995</v>
      </c>
      <c r="Z1157" s="0" t="s">
        <v>7863</v>
      </c>
      <c r="AA1157" s="0" t="s">
        <v>7996</v>
      </c>
      <c r="AC1157" s="0" t="s">
        <v>7349</v>
      </c>
      <c r="AE1157" s="0" t="s">
        <v>7997</v>
      </c>
      <c r="AF1157" s="0" t="s">
        <v>7499</v>
      </c>
      <c r="AG1157" s="0" t="s">
        <v>230</v>
      </c>
    </row>
    <row r="1158" customFormat="false" ht="15" hidden="false" customHeight="false" outlineLevel="0" collapsed="false">
      <c r="A1158" s="0" t="s">
        <v>7336</v>
      </c>
      <c r="B1158" s="0" t="s">
        <v>4283</v>
      </c>
      <c r="C1158" s="0" t="s">
        <v>4284</v>
      </c>
      <c r="D1158" s="0" t="s">
        <v>343</v>
      </c>
      <c r="E1158" s="0" t="s">
        <v>4285</v>
      </c>
      <c r="F1158" s="0" t="s">
        <v>4286</v>
      </c>
      <c r="G1158" s="0" t="s">
        <v>162</v>
      </c>
      <c r="H1158" s="0" t="s">
        <v>8106</v>
      </c>
      <c r="I1158" s="0" t="s">
        <v>7338</v>
      </c>
      <c r="J1158" s="0" t="s">
        <v>1602</v>
      </c>
      <c r="K1158" s="0" t="s">
        <v>7339</v>
      </c>
      <c r="L1158" s="0" t="s">
        <v>7340</v>
      </c>
      <c r="M1158" s="0" t="s">
        <v>7661</v>
      </c>
      <c r="N1158" s="0" t="s">
        <v>7342</v>
      </c>
      <c r="P1158" s="0" t="s">
        <v>229</v>
      </c>
      <c r="Q1158" s="0" t="s">
        <v>7354</v>
      </c>
      <c r="R1158" s="0" t="s">
        <v>7343</v>
      </c>
      <c r="S1158" s="0" t="s">
        <v>7344</v>
      </c>
      <c r="T1158" s="0" t="s">
        <v>58</v>
      </c>
      <c r="V1158" s="0" t="s">
        <v>73</v>
      </c>
      <c r="W1158" s="0" t="s">
        <v>78</v>
      </c>
      <c r="X1158" s="0" t="s">
        <v>7345</v>
      </c>
      <c r="Y1158" s="0" t="s">
        <v>7995</v>
      </c>
      <c r="Z1158" s="0" t="s">
        <v>7863</v>
      </c>
      <c r="AA1158" s="0" t="s">
        <v>7996</v>
      </c>
      <c r="AC1158" s="0" t="s">
        <v>7349</v>
      </c>
      <c r="AE1158" s="0" t="s">
        <v>7997</v>
      </c>
      <c r="AF1158" s="0" t="s">
        <v>7499</v>
      </c>
      <c r="AG1158" s="0" t="s">
        <v>230</v>
      </c>
    </row>
    <row r="1159" customFormat="false" ht="15" hidden="false" customHeight="false" outlineLevel="0" collapsed="false">
      <c r="A1159" s="0" t="s">
        <v>7336</v>
      </c>
      <c r="B1159" s="0" t="s">
        <v>4287</v>
      </c>
      <c r="C1159" s="0" t="s">
        <v>4288</v>
      </c>
      <c r="D1159" s="0" t="s">
        <v>343</v>
      </c>
      <c r="E1159" s="0" t="s">
        <v>4289</v>
      </c>
      <c r="F1159" s="0" t="s">
        <v>4290</v>
      </c>
      <c r="G1159" s="0" t="s">
        <v>162</v>
      </c>
      <c r="H1159" s="0" t="s">
        <v>8107</v>
      </c>
      <c r="I1159" s="0" t="s">
        <v>7338</v>
      </c>
      <c r="J1159" s="0" t="s">
        <v>1602</v>
      </c>
      <c r="K1159" s="0" t="s">
        <v>7339</v>
      </c>
      <c r="L1159" s="0" t="s">
        <v>7340</v>
      </c>
      <c r="M1159" s="0" t="s">
        <v>7661</v>
      </c>
      <c r="N1159" s="0" t="s">
        <v>7342</v>
      </c>
      <c r="P1159" s="0" t="s">
        <v>229</v>
      </c>
      <c r="Q1159" s="0" t="s">
        <v>7354</v>
      </c>
      <c r="R1159" s="0" t="s">
        <v>7343</v>
      </c>
      <c r="S1159" s="0" t="s">
        <v>7344</v>
      </c>
      <c r="T1159" s="0" t="s">
        <v>58</v>
      </c>
      <c r="V1159" s="0" t="s">
        <v>73</v>
      </c>
      <c r="W1159" s="0" t="s">
        <v>78</v>
      </c>
      <c r="X1159" s="0" t="s">
        <v>7345</v>
      </c>
      <c r="Y1159" s="0" t="s">
        <v>7995</v>
      </c>
      <c r="Z1159" s="0" t="s">
        <v>7863</v>
      </c>
      <c r="AA1159" s="0" t="s">
        <v>7996</v>
      </c>
      <c r="AC1159" s="0" t="s">
        <v>7349</v>
      </c>
      <c r="AE1159" s="0" t="s">
        <v>7997</v>
      </c>
      <c r="AF1159" s="0" t="s">
        <v>7499</v>
      </c>
      <c r="AG1159" s="0" t="s">
        <v>230</v>
      </c>
    </row>
    <row r="1160" customFormat="false" ht="15" hidden="false" customHeight="false" outlineLevel="0" collapsed="false">
      <c r="A1160" s="0" t="s">
        <v>7336</v>
      </c>
      <c r="B1160" s="0" t="s">
        <v>4291</v>
      </c>
      <c r="C1160" s="0" t="s">
        <v>4292</v>
      </c>
      <c r="D1160" s="0" t="s">
        <v>343</v>
      </c>
      <c r="E1160" s="0" t="s">
        <v>4293</v>
      </c>
      <c r="F1160" s="0" t="s">
        <v>4294</v>
      </c>
      <c r="G1160" s="0" t="s">
        <v>164</v>
      </c>
      <c r="H1160" s="0" t="s">
        <v>8108</v>
      </c>
      <c r="I1160" s="0" t="s">
        <v>7338</v>
      </c>
      <c r="J1160" s="0" t="s">
        <v>1602</v>
      </c>
      <c r="K1160" s="0" t="s">
        <v>7339</v>
      </c>
      <c r="L1160" s="0" t="s">
        <v>7340</v>
      </c>
      <c r="M1160" s="0" t="s">
        <v>7661</v>
      </c>
      <c r="N1160" s="0" t="s">
        <v>7342</v>
      </c>
      <c r="P1160" s="0" t="s">
        <v>229</v>
      </c>
      <c r="Q1160" s="0" t="s">
        <v>7354</v>
      </c>
      <c r="R1160" s="0" t="s">
        <v>7343</v>
      </c>
      <c r="S1160" s="0" t="s">
        <v>7344</v>
      </c>
      <c r="T1160" s="0" t="s">
        <v>228</v>
      </c>
      <c r="V1160" s="0" t="s">
        <v>73</v>
      </c>
      <c r="W1160" s="0" t="s">
        <v>75</v>
      </c>
      <c r="X1160" s="0" t="s">
        <v>7345</v>
      </c>
      <c r="Y1160" s="0" t="s">
        <v>7356</v>
      </c>
      <c r="Z1160" s="0" t="s">
        <v>7357</v>
      </c>
      <c r="AA1160" s="0" t="s">
        <v>7358</v>
      </c>
      <c r="AB1160" s="0" t="s">
        <v>344</v>
      </c>
      <c r="AC1160" s="0" t="s">
        <v>7349</v>
      </c>
      <c r="AD1160" s="0" t="s">
        <v>8004</v>
      </c>
      <c r="AE1160" s="0" t="s">
        <v>7986</v>
      </c>
      <c r="AF1160" s="0" t="s">
        <v>7374</v>
      </c>
      <c r="AG1160" s="0" t="s">
        <v>230</v>
      </c>
    </row>
    <row r="1161" customFormat="false" ht="15" hidden="false" customHeight="false" outlineLevel="0" collapsed="false">
      <c r="A1161" s="0" t="s">
        <v>7336</v>
      </c>
      <c r="B1161" s="0" t="s">
        <v>4295</v>
      </c>
      <c r="C1161" s="0" t="s">
        <v>4296</v>
      </c>
      <c r="D1161" s="0" t="s">
        <v>343</v>
      </c>
      <c r="E1161" s="0" t="s">
        <v>4297</v>
      </c>
      <c r="F1161" s="0" t="s">
        <v>4298</v>
      </c>
      <c r="G1161" s="0" t="s">
        <v>164</v>
      </c>
      <c r="H1161" s="0" t="s">
        <v>8109</v>
      </c>
      <c r="I1161" s="0" t="s">
        <v>7338</v>
      </c>
      <c r="J1161" s="0" t="s">
        <v>1602</v>
      </c>
      <c r="K1161" s="0" t="s">
        <v>7339</v>
      </c>
      <c r="L1161" s="0" t="s">
        <v>7340</v>
      </c>
      <c r="M1161" s="0" t="s">
        <v>7661</v>
      </c>
      <c r="N1161" s="0" t="s">
        <v>7342</v>
      </c>
      <c r="P1161" s="0" t="s">
        <v>229</v>
      </c>
      <c r="Q1161" s="0" t="s">
        <v>7354</v>
      </c>
      <c r="R1161" s="0" t="s">
        <v>7343</v>
      </c>
      <c r="S1161" s="0" t="s">
        <v>7344</v>
      </c>
      <c r="T1161" s="0" t="s">
        <v>228</v>
      </c>
      <c r="V1161" s="0" t="s">
        <v>73</v>
      </c>
      <c r="W1161" s="0" t="s">
        <v>75</v>
      </c>
      <c r="X1161" s="0" t="s">
        <v>7345</v>
      </c>
      <c r="Y1161" s="0" t="s">
        <v>7356</v>
      </c>
      <c r="Z1161" s="0" t="s">
        <v>7357</v>
      </c>
      <c r="AA1161" s="0" t="s">
        <v>7358</v>
      </c>
      <c r="AB1161" s="0" t="s">
        <v>344</v>
      </c>
      <c r="AC1161" s="0" t="s">
        <v>7349</v>
      </c>
      <c r="AD1161" s="0" t="s">
        <v>8004</v>
      </c>
      <c r="AE1161" s="0" t="s">
        <v>7986</v>
      </c>
      <c r="AF1161" s="0" t="s">
        <v>7374</v>
      </c>
      <c r="AG1161" s="0" t="s">
        <v>230</v>
      </c>
    </row>
    <row r="1162" customFormat="false" ht="15" hidden="false" customHeight="false" outlineLevel="0" collapsed="false">
      <c r="A1162" s="0" t="s">
        <v>7336</v>
      </c>
      <c r="B1162" s="0" t="s">
        <v>4299</v>
      </c>
      <c r="C1162" s="0" t="s">
        <v>4300</v>
      </c>
      <c r="D1162" s="0" t="s">
        <v>343</v>
      </c>
      <c r="E1162" s="0" t="s">
        <v>4301</v>
      </c>
      <c r="F1162" s="0" t="s">
        <v>4302</v>
      </c>
      <c r="G1162" s="0" t="s">
        <v>164</v>
      </c>
      <c r="H1162" s="0" t="s">
        <v>8110</v>
      </c>
      <c r="I1162" s="0" t="s">
        <v>7338</v>
      </c>
      <c r="J1162" s="0" t="s">
        <v>1602</v>
      </c>
      <c r="K1162" s="0" t="s">
        <v>7339</v>
      </c>
      <c r="L1162" s="0" t="s">
        <v>7340</v>
      </c>
      <c r="M1162" s="0" t="s">
        <v>7661</v>
      </c>
      <c r="N1162" s="0" t="s">
        <v>7342</v>
      </c>
      <c r="P1162" s="0" t="s">
        <v>229</v>
      </c>
      <c r="Q1162" s="0" t="s">
        <v>7354</v>
      </c>
      <c r="R1162" s="0" t="s">
        <v>7343</v>
      </c>
      <c r="S1162" s="0" t="s">
        <v>7344</v>
      </c>
      <c r="T1162" s="0" t="s">
        <v>58</v>
      </c>
      <c r="V1162" s="0" t="s">
        <v>73</v>
      </c>
      <c r="W1162" s="0" t="s">
        <v>78</v>
      </c>
      <c r="X1162" s="0" t="s">
        <v>7345</v>
      </c>
      <c r="Y1162" s="0" t="s">
        <v>7995</v>
      </c>
      <c r="Z1162" s="0" t="s">
        <v>7863</v>
      </c>
      <c r="AA1162" s="0" t="s">
        <v>7996</v>
      </c>
      <c r="AC1162" s="0" t="s">
        <v>7349</v>
      </c>
      <c r="AE1162" s="0" t="s">
        <v>7997</v>
      </c>
      <c r="AF1162" s="0" t="s">
        <v>7499</v>
      </c>
      <c r="AG1162" s="0" t="s">
        <v>230</v>
      </c>
    </row>
    <row r="1163" customFormat="false" ht="15" hidden="false" customHeight="false" outlineLevel="0" collapsed="false">
      <c r="A1163" s="0" t="s">
        <v>7336</v>
      </c>
      <c r="B1163" s="0" t="s">
        <v>4303</v>
      </c>
      <c r="C1163" s="0" t="s">
        <v>4304</v>
      </c>
      <c r="D1163" s="0" t="s">
        <v>343</v>
      </c>
      <c r="E1163" s="0" t="s">
        <v>4305</v>
      </c>
      <c r="F1163" s="0" t="s">
        <v>4306</v>
      </c>
      <c r="G1163" s="0" t="s">
        <v>164</v>
      </c>
      <c r="H1163" s="0" t="s">
        <v>8111</v>
      </c>
      <c r="I1163" s="0" t="s">
        <v>7338</v>
      </c>
      <c r="J1163" s="0" t="s">
        <v>1602</v>
      </c>
      <c r="K1163" s="0" t="s">
        <v>7339</v>
      </c>
      <c r="L1163" s="0" t="s">
        <v>7340</v>
      </c>
      <c r="M1163" s="0" t="s">
        <v>7661</v>
      </c>
      <c r="N1163" s="0" t="s">
        <v>7342</v>
      </c>
      <c r="P1163" s="0" t="s">
        <v>229</v>
      </c>
      <c r="Q1163" s="0" t="s">
        <v>7354</v>
      </c>
      <c r="R1163" s="0" t="s">
        <v>7343</v>
      </c>
      <c r="S1163" s="0" t="s">
        <v>7344</v>
      </c>
      <c r="T1163" s="0" t="s">
        <v>58</v>
      </c>
      <c r="V1163" s="0" t="s">
        <v>73</v>
      </c>
      <c r="W1163" s="0" t="s">
        <v>78</v>
      </c>
      <c r="X1163" s="0" t="s">
        <v>7345</v>
      </c>
      <c r="Y1163" s="0" t="s">
        <v>7995</v>
      </c>
      <c r="Z1163" s="0" t="s">
        <v>7863</v>
      </c>
      <c r="AA1163" s="0" t="s">
        <v>7996</v>
      </c>
      <c r="AC1163" s="0" t="s">
        <v>7349</v>
      </c>
      <c r="AE1163" s="0" t="s">
        <v>7997</v>
      </c>
      <c r="AF1163" s="0" t="s">
        <v>7499</v>
      </c>
      <c r="AG1163" s="0" t="s">
        <v>230</v>
      </c>
    </row>
    <row r="1164" customFormat="false" ht="15" hidden="false" customHeight="false" outlineLevel="0" collapsed="false">
      <c r="A1164" s="0" t="s">
        <v>7336</v>
      </c>
      <c r="B1164" s="0" t="s">
        <v>4307</v>
      </c>
      <c r="C1164" s="0" t="s">
        <v>4308</v>
      </c>
      <c r="D1164" s="0" t="s">
        <v>343</v>
      </c>
      <c r="E1164" s="0" t="s">
        <v>4309</v>
      </c>
      <c r="F1164" s="0" t="s">
        <v>4310</v>
      </c>
      <c r="G1164" s="0" t="s">
        <v>164</v>
      </c>
      <c r="H1164" s="0" t="s">
        <v>8112</v>
      </c>
      <c r="I1164" s="0" t="s">
        <v>7338</v>
      </c>
      <c r="J1164" s="0" t="s">
        <v>1602</v>
      </c>
      <c r="K1164" s="0" t="s">
        <v>7339</v>
      </c>
      <c r="L1164" s="0" t="s">
        <v>7340</v>
      </c>
      <c r="M1164" s="0" t="s">
        <v>7661</v>
      </c>
      <c r="N1164" s="0" t="s">
        <v>7342</v>
      </c>
      <c r="P1164" s="0" t="s">
        <v>229</v>
      </c>
      <c r="Q1164" s="0" t="s">
        <v>7354</v>
      </c>
      <c r="R1164" s="0" t="s">
        <v>7343</v>
      </c>
      <c r="S1164" s="0" t="s">
        <v>7344</v>
      </c>
      <c r="T1164" s="0" t="s">
        <v>58</v>
      </c>
      <c r="V1164" s="0" t="s">
        <v>73</v>
      </c>
      <c r="W1164" s="0" t="s">
        <v>78</v>
      </c>
      <c r="X1164" s="0" t="s">
        <v>7345</v>
      </c>
      <c r="Y1164" s="0" t="s">
        <v>7995</v>
      </c>
      <c r="Z1164" s="0" t="s">
        <v>7863</v>
      </c>
      <c r="AA1164" s="0" t="s">
        <v>7996</v>
      </c>
      <c r="AC1164" s="0" t="s">
        <v>7349</v>
      </c>
      <c r="AE1164" s="0" t="s">
        <v>7997</v>
      </c>
      <c r="AF1164" s="0" t="s">
        <v>7499</v>
      </c>
      <c r="AG1164" s="0" t="s">
        <v>230</v>
      </c>
    </row>
    <row r="1165" customFormat="false" ht="15" hidden="false" customHeight="false" outlineLevel="0" collapsed="false">
      <c r="A1165" s="0" t="s">
        <v>7336</v>
      </c>
      <c r="B1165" s="0" t="s">
        <v>4311</v>
      </c>
      <c r="C1165" s="0" t="s">
        <v>4312</v>
      </c>
      <c r="D1165" s="0" t="s">
        <v>343</v>
      </c>
      <c r="E1165" s="0" t="s">
        <v>4313</v>
      </c>
      <c r="F1165" s="0" t="s">
        <v>4314</v>
      </c>
      <c r="G1165" s="0" t="s">
        <v>164</v>
      </c>
      <c r="H1165" s="0" t="s">
        <v>8113</v>
      </c>
      <c r="I1165" s="0" t="s">
        <v>7338</v>
      </c>
      <c r="J1165" s="0" t="s">
        <v>1602</v>
      </c>
      <c r="K1165" s="0" t="s">
        <v>7339</v>
      </c>
      <c r="L1165" s="0" t="s">
        <v>7340</v>
      </c>
      <c r="M1165" s="0" t="s">
        <v>7661</v>
      </c>
      <c r="N1165" s="0" t="s">
        <v>7342</v>
      </c>
      <c r="P1165" s="0" t="s">
        <v>229</v>
      </c>
      <c r="Q1165" s="0" t="s">
        <v>7354</v>
      </c>
      <c r="R1165" s="0" t="s">
        <v>7343</v>
      </c>
      <c r="S1165" s="0" t="s">
        <v>7344</v>
      </c>
      <c r="T1165" s="0" t="s">
        <v>58</v>
      </c>
      <c r="V1165" s="0" t="s">
        <v>73</v>
      </c>
      <c r="W1165" s="0" t="s">
        <v>78</v>
      </c>
      <c r="X1165" s="0" t="s">
        <v>7345</v>
      </c>
      <c r="Y1165" s="0" t="s">
        <v>7995</v>
      </c>
      <c r="Z1165" s="0" t="s">
        <v>7863</v>
      </c>
      <c r="AA1165" s="0" t="s">
        <v>7996</v>
      </c>
      <c r="AC1165" s="0" t="s">
        <v>7349</v>
      </c>
      <c r="AE1165" s="0" t="s">
        <v>7997</v>
      </c>
      <c r="AF1165" s="0" t="s">
        <v>7499</v>
      </c>
      <c r="AG1165" s="0" t="s">
        <v>230</v>
      </c>
    </row>
    <row r="1166" customFormat="false" ht="15" hidden="false" customHeight="false" outlineLevel="0" collapsed="false">
      <c r="A1166" s="0" t="s">
        <v>7336</v>
      </c>
      <c r="B1166" s="0" t="s">
        <v>4315</v>
      </c>
      <c r="C1166" s="0" t="s">
        <v>4316</v>
      </c>
      <c r="D1166" s="0" t="s">
        <v>343</v>
      </c>
      <c r="E1166" s="0" t="s">
        <v>4317</v>
      </c>
      <c r="F1166" s="0" t="s">
        <v>4318</v>
      </c>
      <c r="G1166" s="0" t="s">
        <v>154</v>
      </c>
      <c r="H1166" s="0" t="s">
        <v>8114</v>
      </c>
      <c r="I1166" s="0" t="s">
        <v>7338</v>
      </c>
      <c r="J1166" s="0" t="s">
        <v>1602</v>
      </c>
      <c r="K1166" s="0" t="s">
        <v>7339</v>
      </c>
      <c r="L1166" s="0" t="s">
        <v>7340</v>
      </c>
      <c r="M1166" s="0" t="s">
        <v>7661</v>
      </c>
      <c r="N1166" s="0" t="s">
        <v>7342</v>
      </c>
      <c r="P1166" s="0" t="s">
        <v>229</v>
      </c>
      <c r="Q1166" s="0" t="s">
        <v>7354</v>
      </c>
      <c r="R1166" s="0" t="s">
        <v>7343</v>
      </c>
      <c r="S1166" s="0" t="s">
        <v>7344</v>
      </c>
      <c r="T1166" s="0" t="s">
        <v>228</v>
      </c>
      <c r="V1166" s="0" t="s">
        <v>34</v>
      </c>
      <c r="W1166" s="0" t="s">
        <v>39</v>
      </c>
      <c r="X1166" s="0" t="s">
        <v>7345</v>
      </c>
      <c r="Y1166" s="0" t="s">
        <v>7346</v>
      </c>
      <c r="Z1166" s="0" t="s">
        <v>7370</v>
      </c>
      <c r="AA1166" s="0" t="s">
        <v>7670</v>
      </c>
      <c r="AB1166" s="0" t="s">
        <v>231</v>
      </c>
      <c r="AC1166" s="0" t="s">
        <v>7349</v>
      </c>
      <c r="AD1166" s="0" t="s">
        <v>8004</v>
      </c>
      <c r="AE1166" s="0" t="s">
        <v>7412</v>
      </c>
      <c r="AF1166" s="0" t="s">
        <v>7374</v>
      </c>
      <c r="AG1166" s="0" t="s">
        <v>230</v>
      </c>
    </row>
    <row r="1167" customFormat="false" ht="15" hidden="false" customHeight="false" outlineLevel="0" collapsed="false">
      <c r="A1167" s="0" t="s">
        <v>7336</v>
      </c>
      <c r="B1167" s="0" t="s">
        <v>4319</v>
      </c>
      <c r="C1167" s="0" t="s">
        <v>4320</v>
      </c>
      <c r="D1167" s="0" t="s">
        <v>343</v>
      </c>
      <c r="E1167" s="0" t="s">
        <v>4321</v>
      </c>
      <c r="F1167" s="0" t="s">
        <v>4322</v>
      </c>
      <c r="G1167" s="0" t="s">
        <v>154</v>
      </c>
      <c r="H1167" s="0" t="s">
        <v>8115</v>
      </c>
      <c r="I1167" s="0" t="s">
        <v>7338</v>
      </c>
      <c r="J1167" s="0" t="s">
        <v>1602</v>
      </c>
      <c r="K1167" s="0" t="s">
        <v>7339</v>
      </c>
      <c r="L1167" s="0" t="s">
        <v>7340</v>
      </c>
      <c r="M1167" s="0" t="s">
        <v>7661</v>
      </c>
      <c r="N1167" s="0" t="s">
        <v>7342</v>
      </c>
      <c r="P1167" s="0" t="s">
        <v>229</v>
      </c>
      <c r="Q1167" s="0" t="s">
        <v>7354</v>
      </c>
      <c r="R1167" s="0" t="s">
        <v>7343</v>
      </c>
      <c r="S1167" s="0" t="s">
        <v>7344</v>
      </c>
      <c r="T1167" s="0" t="s">
        <v>228</v>
      </c>
      <c r="V1167" s="0" t="s">
        <v>34</v>
      </c>
      <c r="W1167" s="0" t="s">
        <v>39</v>
      </c>
      <c r="X1167" s="0" t="s">
        <v>7345</v>
      </c>
      <c r="Y1167" s="0" t="s">
        <v>7346</v>
      </c>
      <c r="Z1167" s="0" t="s">
        <v>7370</v>
      </c>
      <c r="AA1167" s="0" t="s">
        <v>7670</v>
      </c>
      <c r="AB1167" s="0" t="s">
        <v>231</v>
      </c>
      <c r="AC1167" s="0" t="s">
        <v>7349</v>
      </c>
      <c r="AD1167" s="0" t="s">
        <v>8004</v>
      </c>
      <c r="AE1167" s="0" t="s">
        <v>7412</v>
      </c>
      <c r="AF1167" s="0" t="s">
        <v>7374</v>
      </c>
      <c r="AG1167" s="0" t="s">
        <v>230</v>
      </c>
    </row>
    <row r="1168" customFormat="false" ht="15" hidden="false" customHeight="false" outlineLevel="0" collapsed="false">
      <c r="A1168" s="0" t="s">
        <v>7336</v>
      </c>
      <c r="B1168" s="0" t="s">
        <v>4323</v>
      </c>
      <c r="C1168" s="0" t="s">
        <v>4324</v>
      </c>
      <c r="D1168" s="0" t="s">
        <v>343</v>
      </c>
      <c r="E1168" s="0" t="s">
        <v>4325</v>
      </c>
      <c r="F1168" s="0" t="s">
        <v>4326</v>
      </c>
      <c r="G1168" s="0" t="s">
        <v>154</v>
      </c>
      <c r="H1168" s="0" t="s">
        <v>8116</v>
      </c>
      <c r="I1168" s="0" t="s">
        <v>7338</v>
      </c>
      <c r="J1168" s="0" t="s">
        <v>1602</v>
      </c>
      <c r="K1168" s="0" t="s">
        <v>7339</v>
      </c>
      <c r="L1168" s="0" t="s">
        <v>7340</v>
      </c>
      <c r="M1168" s="0" t="s">
        <v>7661</v>
      </c>
      <c r="N1168" s="0" t="s">
        <v>7342</v>
      </c>
      <c r="P1168" s="0" t="s">
        <v>229</v>
      </c>
      <c r="Q1168" s="0" t="s">
        <v>7354</v>
      </c>
      <c r="R1168" s="0" t="s">
        <v>7343</v>
      </c>
      <c r="S1168" s="0" t="s">
        <v>7344</v>
      </c>
      <c r="T1168" s="0" t="s">
        <v>228</v>
      </c>
      <c r="V1168" s="0" t="s">
        <v>34</v>
      </c>
      <c r="W1168" s="0" t="s">
        <v>39</v>
      </c>
      <c r="X1168" s="0" t="s">
        <v>7345</v>
      </c>
      <c r="Y1168" s="0" t="s">
        <v>7346</v>
      </c>
      <c r="Z1168" s="0" t="s">
        <v>7370</v>
      </c>
      <c r="AA1168" s="0" t="s">
        <v>7670</v>
      </c>
      <c r="AB1168" s="0" t="s">
        <v>231</v>
      </c>
      <c r="AC1168" s="0" t="s">
        <v>7349</v>
      </c>
      <c r="AD1168" s="0" t="s">
        <v>8004</v>
      </c>
      <c r="AE1168" s="0" t="s">
        <v>7412</v>
      </c>
      <c r="AF1168" s="0" t="s">
        <v>7374</v>
      </c>
      <c r="AG1168" s="0" t="s">
        <v>230</v>
      </c>
    </row>
    <row r="1169" customFormat="false" ht="15" hidden="false" customHeight="false" outlineLevel="0" collapsed="false">
      <c r="A1169" s="0" t="s">
        <v>7336</v>
      </c>
      <c r="B1169" s="0" t="s">
        <v>4327</v>
      </c>
      <c r="C1169" s="0" t="s">
        <v>4328</v>
      </c>
      <c r="D1169" s="0" t="s">
        <v>343</v>
      </c>
      <c r="E1169" s="0" t="s">
        <v>4329</v>
      </c>
      <c r="F1169" s="0" t="s">
        <v>4330</v>
      </c>
      <c r="G1169" s="0" t="s">
        <v>154</v>
      </c>
      <c r="H1169" s="0" t="s">
        <v>8117</v>
      </c>
      <c r="I1169" s="0" t="s">
        <v>7338</v>
      </c>
      <c r="J1169" s="0" t="s">
        <v>1602</v>
      </c>
      <c r="K1169" s="0" t="s">
        <v>7339</v>
      </c>
      <c r="L1169" s="0" t="s">
        <v>7340</v>
      </c>
      <c r="M1169" s="0" t="s">
        <v>7661</v>
      </c>
      <c r="N1169" s="0" t="s">
        <v>7342</v>
      </c>
      <c r="P1169" s="0" t="s">
        <v>229</v>
      </c>
      <c r="Q1169" s="0" t="s">
        <v>7354</v>
      </c>
      <c r="R1169" s="0" t="s">
        <v>7343</v>
      </c>
      <c r="S1169" s="0" t="s">
        <v>7344</v>
      </c>
      <c r="T1169" s="0" t="s">
        <v>228</v>
      </c>
      <c r="V1169" s="0" t="s">
        <v>34</v>
      </c>
      <c r="W1169" s="0" t="s">
        <v>39</v>
      </c>
      <c r="X1169" s="0" t="s">
        <v>7345</v>
      </c>
      <c r="Y1169" s="0" t="s">
        <v>7346</v>
      </c>
      <c r="Z1169" s="0" t="s">
        <v>7370</v>
      </c>
      <c r="AA1169" s="0" t="s">
        <v>7670</v>
      </c>
      <c r="AB1169" s="0" t="s">
        <v>231</v>
      </c>
      <c r="AC1169" s="0" t="s">
        <v>7349</v>
      </c>
      <c r="AD1169" s="0" t="s">
        <v>8004</v>
      </c>
      <c r="AE1169" s="0" t="s">
        <v>7412</v>
      </c>
      <c r="AF1169" s="0" t="s">
        <v>7374</v>
      </c>
      <c r="AG1169" s="0" t="s">
        <v>230</v>
      </c>
    </row>
    <row r="1170" customFormat="false" ht="15" hidden="false" customHeight="false" outlineLevel="0" collapsed="false">
      <c r="A1170" s="0" t="s">
        <v>7336</v>
      </c>
      <c r="B1170" s="0" t="s">
        <v>4331</v>
      </c>
      <c r="C1170" s="0" t="s">
        <v>4332</v>
      </c>
      <c r="D1170" s="0" t="s">
        <v>343</v>
      </c>
      <c r="E1170" s="0" t="s">
        <v>4333</v>
      </c>
      <c r="F1170" s="0" t="s">
        <v>4334</v>
      </c>
      <c r="G1170" s="0" t="s">
        <v>154</v>
      </c>
      <c r="H1170" s="0" t="s">
        <v>8118</v>
      </c>
      <c r="I1170" s="0" t="s">
        <v>7338</v>
      </c>
      <c r="J1170" s="0" t="s">
        <v>1602</v>
      </c>
      <c r="K1170" s="0" t="s">
        <v>7339</v>
      </c>
      <c r="L1170" s="0" t="s">
        <v>7340</v>
      </c>
      <c r="M1170" s="0" t="s">
        <v>7661</v>
      </c>
      <c r="N1170" s="0" t="s">
        <v>7342</v>
      </c>
      <c r="P1170" s="0" t="s">
        <v>229</v>
      </c>
      <c r="Q1170" s="0" t="s">
        <v>7354</v>
      </c>
      <c r="R1170" s="0" t="s">
        <v>7343</v>
      </c>
      <c r="S1170" s="0" t="s">
        <v>7344</v>
      </c>
      <c r="T1170" s="0" t="s">
        <v>58</v>
      </c>
      <c r="V1170" s="0" t="s">
        <v>61</v>
      </c>
      <c r="W1170" s="0" t="s">
        <v>63</v>
      </c>
      <c r="X1170" s="0" t="s">
        <v>7345</v>
      </c>
      <c r="Y1170" s="0" t="s">
        <v>7949</v>
      </c>
      <c r="Z1170" s="0" t="s">
        <v>7662</v>
      </c>
      <c r="AA1170" s="0" t="s">
        <v>8119</v>
      </c>
      <c r="AB1170" s="0" t="s">
        <v>231</v>
      </c>
      <c r="AC1170" s="0" t="s">
        <v>7349</v>
      </c>
      <c r="AE1170" s="0" t="s">
        <v>8120</v>
      </c>
      <c r="AF1170" s="0" t="s">
        <v>7374</v>
      </c>
      <c r="AG1170" s="0" t="s">
        <v>230</v>
      </c>
    </row>
    <row r="1171" customFormat="false" ht="15" hidden="false" customHeight="false" outlineLevel="0" collapsed="false">
      <c r="A1171" s="0" t="s">
        <v>7336</v>
      </c>
      <c r="B1171" s="0" t="s">
        <v>4335</v>
      </c>
      <c r="C1171" s="0" t="s">
        <v>4336</v>
      </c>
      <c r="D1171" s="0" t="s">
        <v>343</v>
      </c>
      <c r="E1171" s="0" t="s">
        <v>4337</v>
      </c>
      <c r="F1171" s="0" t="s">
        <v>4338</v>
      </c>
      <c r="G1171" s="0" t="s">
        <v>154</v>
      </c>
      <c r="H1171" s="0" t="s">
        <v>8121</v>
      </c>
      <c r="I1171" s="0" t="s">
        <v>7338</v>
      </c>
      <c r="J1171" s="0" t="s">
        <v>1602</v>
      </c>
      <c r="K1171" s="0" t="s">
        <v>7339</v>
      </c>
      <c r="L1171" s="0" t="s">
        <v>7340</v>
      </c>
      <c r="M1171" s="0" t="s">
        <v>7661</v>
      </c>
      <c r="N1171" s="0" t="s">
        <v>7342</v>
      </c>
      <c r="P1171" s="0" t="s">
        <v>229</v>
      </c>
      <c r="Q1171" s="0" t="s">
        <v>7354</v>
      </c>
      <c r="R1171" s="0" t="s">
        <v>7343</v>
      </c>
      <c r="S1171" s="0" t="s">
        <v>7344</v>
      </c>
      <c r="T1171" s="0" t="s">
        <v>58</v>
      </c>
      <c r="V1171" s="0" t="s">
        <v>61</v>
      </c>
      <c r="W1171" s="0" t="s">
        <v>63</v>
      </c>
      <c r="X1171" s="0" t="s">
        <v>7345</v>
      </c>
      <c r="Y1171" s="0" t="s">
        <v>7949</v>
      </c>
      <c r="Z1171" s="0" t="s">
        <v>7662</v>
      </c>
      <c r="AA1171" s="0" t="s">
        <v>8119</v>
      </c>
      <c r="AB1171" s="0" t="s">
        <v>231</v>
      </c>
      <c r="AC1171" s="0" t="s">
        <v>7349</v>
      </c>
      <c r="AE1171" s="0" t="s">
        <v>8120</v>
      </c>
      <c r="AF1171" s="0" t="s">
        <v>7374</v>
      </c>
      <c r="AG1171" s="0" t="s">
        <v>230</v>
      </c>
    </row>
    <row r="1172" customFormat="false" ht="15" hidden="false" customHeight="false" outlineLevel="0" collapsed="false">
      <c r="A1172" s="0" t="s">
        <v>7336</v>
      </c>
      <c r="B1172" s="0" t="s">
        <v>4339</v>
      </c>
      <c r="C1172" s="0" t="s">
        <v>4340</v>
      </c>
      <c r="D1172" s="0" t="s">
        <v>343</v>
      </c>
      <c r="E1172" s="0" t="s">
        <v>4341</v>
      </c>
      <c r="F1172" s="0" t="s">
        <v>4342</v>
      </c>
      <c r="G1172" s="0" t="s">
        <v>154</v>
      </c>
      <c r="H1172" s="0" t="s">
        <v>8122</v>
      </c>
      <c r="I1172" s="0" t="s">
        <v>7338</v>
      </c>
      <c r="J1172" s="0" t="s">
        <v>1602</v>
      </c>
      <c r="K1172" s="0" t="s">
        <v>7339</v>
      </c>
      <c r="L1172" s="0" t="s">
        <v>7340</v>
      </c>
      <c r="M1172" s="0" t="s">
        <v>7661</v>
      </c>
      <c r="N1172" s="0" t="s">
        <v>7342</v>
      </c>
      <c r="P1172" s="0" t="s">
        <v>229</v>
      </c>
      <c r="Q1172" s="0" t="s">
        <v>8051</v>
      </c>
      <c r="R1172" s="0" t="s">
        <v>7824</v>
      </c>
      <c r="S1172" s="0" t="s">
        <v>7344</v>
      </c>
      <c r="T1172" s="0" t="s">
        <v>58</v>
      </c>
      <c r="V1172" s="0" t="s">
        <v>55</v>
      </c>
      <c r="W1172" s="0" t="s">
        <v>55</v>
      </c>
      <c r="X1172" s="0" t="s">
        <v>7345</v>
      </c>
      <c r="Y1172" s="0" t="s">
        <v>7667</v>
      </c>
      <c r="Z1172" s="0" t="s">
        <v>7668</v>
      </c>
      <c r="AA1172" s="0" t="s">
        <v>8052</v>
      </c>
      <c r="AB1172" s="0" t="s">
        <v>4343</v>
      </c>
      <c r="AC1172" s="0" t="s">
        <v>7349</v>
      </c>
      <c r="AE1172" s="0" t="s">
        <v>7826</v>
      </c>
      <c r="AF1172" s="0" t="s">
        <v>7374</v>
      </c>
      <c r="AG1172" s="0" t="s">
        <v>230</v>
      </c>
    </row>
    <row r="1173" customFormat="false" ht="15" hidden="false" customHeight="false" outlineLevel="0" collapsed="false">
      <c r="A1173" s="0" t="s">
        <v>7336</v>
      </c>
      <c r="B1173" s="0" t="s">
        <v>4344</v>
      </c>
      <c r="C1173" s="0" t="s">
        <v>4345</v>
      </c>
      <c r="D1173" s="0" t="s">
        <v>343</v>
      </c>
      <c r="E1173" s="0" t="s">
        <v>4346</v>
      </c>
      <c r="F1173" s="0" t="s">
        <v>4347</v>
      </c>
      <c r="G1173" s="0" t="s">
        <v>154</v>
      </c>
      <c r="H1173" s="0" t="s">
        <v>8123</v>
      </c>
      <c r="I1173" s="0" t="s">
        <v>7338</v>
      </c>
      <c r="J1173" s="0" t="s">
        <v>1602</v>
      </c>
      <c r="K1173" s="0" t="s">
        <v>7339</v>
      </c>
      <c r="L1173" s="0" t="s">
        <v>7340</v>
      </c>
      <c r="M1173" s="0" t="s">
        <v>7661</v>
      </c>
      <c r="N1173" s="0" t="s">
        <v>7342</v>
      </c>
      <c r="P1173" s="0" t="s">
        <v>229</v>
      </c>
      <c r="Q1173" s="0" t="s">
        <v>8051</v>
      </c>
      <c r="R1173" s="0" t="s">
        <v>7824</v>
      </c>
      <c r="S1173" s="0" t="s">
        <v>7344</v>
      </c>
      <c r="T1173" s="0" t="s">
        <v>58</v>
      </c>
      <c r="V1173" s="0" t="s">
        <v>55</v>
      </c>
      <c r="W1173" s="0" t="s">
        <v>55</v>
      </c>
      <c r="X1173" s="0" t="s">
        <v>7345</v>
      </c>
      <c r="Y1173" s="0" t="s">
        <v>7667</v>
      </c>
      <c r="Z1173" s="0" t="s">
        <v>7668</v>
      </c>
      <c r="AA1173" s="0" t="s">
        <v>8052</v>
      </c>
      <c r="AB1173" s="0" t="s">
        <v>4343</v>
      </c>
      <c r="AC1173" s="0" t="s">
        <v>7349</v>
      </c>
      <c r="AE1173" s="0" t="s">
        <v>7826</v>
      </c>
      <c r="AF1173" s="0" t="s">
        <v>7374</v>
      </c>
      <c r="AG1173" s="0" t="s">
        <v>230</v>
      </c>
    </row>
    <row r="1174" customFormat="false" ht="15" hidden="false" customHeight="false" outlineLevel="0" collapsed="false">
      <c r="A1174" s="0" t="s">
        <v>7336</v>
      </c>
      <c r="B1174" s="0" t="s">
        <v>4348</v>
      </c>
      <c r="C1174" s="0" t="s">
        <v>4349</v>
      </c>
      <c r="D1174" s="0" t="s">
        <v>343</v>
      </c>
      <c r="E1174" s="0" t="s">
        <v>4350</v>
      </c>
      <c r="F1174" s="0" t="s">
        <v>4351</v>
      </c>
      <c r="G1174" s="0" t="s">
        <v>150</v>
      </c>
      <c r="H1174" s="0" t="s">
        <v>8124</v>
      </c>
      <c r="I1174" s="0" t="s">
        <v>7338</v>
      </c>
      <c r="J1174" s="0" t="s">
        <v>1602</v>
      </c>
      <c r="K1174" s="0" t="s">
        <v>7339</v>
      </c>
      <c r="L1174" s="0" t="s">
        <v>7340</v>
      </c>
      <c r="M1174" s="0" t="s">
        <v>7661</v>
      </c>
      <c r="N1174" s="0" t="s">
        <v>7342</v>
      </c>
      <c r="P1174" s="0" t="s">
        <v>229</v>
      </c>
      <c r="Q1174" s="0" t="s">
        <v>7354</v>
      </c>
      <c r="R1174" s="0" t="s">
        <v>7343</v>
      </c>
      <c r="S1174" s="0" t="s">
        <v>7344</v>
      </c>
      <c r="T1174" s="0" t="s">
        <v>228</v>
      </c>
      <c r="V1174" s="0" t="s">
        <v>73</v>
      </c>
      <c r="W1174" s="0" t="s">
        <v>75</v>
      </c>
      <c r="X1174" s="0" t="s">
        <v>7345</v>
      </c>
      <c r="Y1174" s="0" t="s">
        <v>7356</v>
      </c>
      <c r="Z1174" s="0" t="s">
        <v>7357</v>
      </c>
      <c r="AA1174" s="0" t="s">
        <v>7358</v>
      </c>
      <c r="AB1174" s="0" t="s">
        <v>344</v>
      </c>
      <c r="AC1174" s="0" t="s">
        <v>7349</v>
      </c>
      <c r="AD1174" s="0" t="s">
        <v>7985</v>
      </c>
      <c r="AE1174" s="0" t="s">
        <v>7986</v>
      </c>
      <c r="AF1174" s="0" t="s">
        <v>7374</v>
      </c>
      <c r="AG1174" s="0" t="s">
        <v>230</v>
      </c>
    </row>
    <row r="1175" customFormat="false" ht="15" hidden="false" customHeight="false" outlineLevel="0" collapsed="false">
      <c r="A1175" s="0" t="s">
        <v>7336</v>
      </c>
      <c r="B1175" s="0" t="s">
        <v>4352</v>
      </c>
      <c r="C1175" s="0" t="s">
        <v>4353</v>
      </c>
      <c r="D1175" s="0" t="s">
        <v>343</v>
      </c>
      <c r="E1175" s="0" t="s">
        <v>4354</v>
      </c>
      <c r="F1175" s="0" t="s">
        <v>4351</v>
      </c>
      <c r="G1175" s="0" t="s">
        <v>150</v>
      </c>
      <c r="H1175" s="0" t="s">
        <v>8124</v>
      </c>
      <c r="I1175" s="0" t="s">
        <v>7338</v>
      </c>
      <c r="J1175" s="0" t="s">
        <v>1602</v>
      </c>
      <c r="K1175" s="0" t="s">
        <v>7339</v>
      </c>
      <c r="L1175" s="0" t="s">
        <v>7340</v>
      </c>
      <c r="M1175" s="0" t="s">
        <v>7661</v>
      </c>
      <c r="N1175" s="0" t="s">
        <v>7342</v>
      </c>
      <c r="P1175" s="0" t="s">
        <v>229</v>
      </c>
      <c r="Q1175" s="0" t="s">
        <v>7354</v>
      </c>
      <c r="R1175" s="0" t="s">
        <v>7343</v>
      </c>
      <c r="S1175" s="0" t="s">
        <v>7344</v>
      </c>
      <c r="T1175" s="0" t="s">
        <v>228</v>
      </c>
      <c r="V1175" s="0" t="s">
        <v>73</v>
      </c>
      <c r="W1175" s="0" t="s">
        <v>75</v>
      </c>
      <c r="X1175" s="0" t="s">
        <v>7345</v>
      </c>
      <c r="Y1175" s="0" t="s">
        <v>7356</v>
      </c>
      <c r="Z1175" s="0" t="s">
        <v>7357</v>
      </c>
      <c r="AA1175" s="0" t="s">
        <v>7358</v>
      </c>
      <c r="AB1175" s="0" t="s">
        <v>344</v>
      </c>
      <c r="AC1175" s="0" t="s">
        <v>7349</v>
      </c>
      <c r="AD1175" s="0" t="s">
        <v>7999</v>
      </c>
      <c r="AE1175" s="0" t="s">
        <v>7986</v>
      </c>
      <c r="AF1175" s="0" t="s">
        <v>7374</v>
      </c>
      <c r="AG1175" s="0" t="s">
        <v>230</v>
      </c>
    </row>
    <row r="1176" customFormat="false" ht="15" hidden="false" customHeight="false" outlineLevel="0" collapsed="false">
      <c r="A1176" s="0" t="s">
        <v>7336</v>
      </c>
      <c r="B1176" s="0" t="s">
        <v>4355</v>
      </c>
      <c r="C1176" s="0" t="s">
        <v>4356</v>
      </c>
      <c r="D1176" s="0" t="s">
        <v>343</v>
      </c>
      <c r="E1176" s="0" t="s">
        <v>4357</v>
      </c>
      <c r="F1176" s="0" t="s">
        <v>4358</v>
      </c>
      <c r="G1176" s="0" t="s">
        <v>150</v>
      </c>
      <c r="H1176" s="0" t="s">
        <v>8125</v>
      </c>
      <c r="I1176" s="0" t="s">
        <v>7338</v>
      </c>
      <c r="J1176" s="0" t="s">
        <v>1602</v>
      </c>
      <c r="K1176" s="0" t="s">
        <v>7339</v>
      </c>
      <c r="L1176" s="0" t="s">
        <v>7340</v>
      </c>
      <c r="M1176" s="0" t="s">
        <v>7661</v>
      </c>
      <c r="N1176" s="0" t="s">
        <v>7342</v>
      </c>
      <c r="P1176" s="0" t="s">
        <v>229</v>
      </c>
      <c r="Q1176" s="0" t="s">
        <v>7354</v>
      </c>
      <c r="R1176" s="0" t="s">
        <v>7343</v>
      </c>
      <c r="S1176" s="0" t="s">
        <v>7344</v>
      </c>
      <c r="T1176" s="0" t="s">
        <v>228</v>
      </c>
      <c r="V1176" s="0" t="s">
        <v>73</v>
      </c>
      <c r="W1176" s="0" t="s">
        <v>75</v>
      </c>
      <c r="X1176" s="0" t="s">
        <v>7345</v>
      </c>
      <c r="Y1176" s="0" t="s">
        <v>7356</v>
      </c>
      <c r="Z1176" s="0" t="s">
        <v>7357</v>
      </c>
      <c r="AA1176" s="0" t="s">
        <v>7358</v>
      </c>
      <c r="AB1176" s="0" t="s">
        <v>344</v>
      </c>
      <c r="AC1176" s="0" t="s">
        <v>7349</v>
      </c>
      <c r="AD1176" s="0" t="s">
        <v>7985</v>
      </c>
      <c r="AE1176" s="0" t="s">
        <v>7986</v>
      </c>
      <c r="AF1176" s="0" t="s">
        <v>7374</v>
      </c>
      <c r="AG1176" s="0" t="s">
        <v>230</v>
      </c>
    </row>
    <row r="1177" customFormat="false" ht="15" hidden="false" customHeight="false" outlineLevel="0" collapsed="false">
      <c r="A1177" s="0" t="s">
        <v>7336</v>
      </c>
      <c r="B1177" s="0" t="s">
        <v>4359</v>
      </c>
      <c r="C1177" s="0" t="s">
        <v>4360</v>
      </c>
      <c r="D1177" s="0" t="s">
        <v>343</v>
      </c>
      <c r="E1177" s="0" t="s">
        <v>4361</v>
      </c>
      <c r="F1177" s="0" t="s">
        <v>4362</v>
      </c>
      <c r="G1177" s="0" t="s">
        <v>150</v>
      </c>
      <c r="H1177" s="0" t="s">
        <v>8126</v>
      </c>
      <c r="I1177" s="0" t="s">
        <v>7338</v>
      </c>
      <c r="J1177" s="0" t="s">
        <v>1602</v>
      </c>
      <c r="K1177" s="0" t="s">
        <v>7339</v>
      </c>
      <c r="L1177" s="0" t="s">
        <v>7340</v>
      </c>
      <c r="M1177" s="0" t="s">
        <v>7661</v>
      </c>
      <c r="N1177" s="0" t="s">
        <v>7342</v>
      </c>
      <c r="P1177" s="0" t="s">
        <v>229</v>
      </c>
      <c r="Q1177" s="0" t="s">
        <v>7354</v>
      </c>
      <c r="R1177" s="0" t="s">
        <v>7343</v>
      </c>
      <c r="S1177" s="0" t="s">
        <v>7344</v>
      </c>
      <c r="T1177" s="0" t="s">
        <v>228</v>
      </c>
      <c r="V1177" s="0" t="s">
        <v>73</v>
      </c>
      <c r="W1177" s="0" t="s">
        <v>75</v>
      </c>
      <c r="X1177" s="0" t="s">
        <v>7345</v>
      </c>
      <c r="Y1177" s="0" t="s">
        <v>7356</v>
      </c>
      <c r="Z1177" s="0" t="s">
        <v>7357</v>
      </c>
      <c r="AA1177" s="0" t="s">
        <v>7358</v>
      </c>
      <c r="AB1177" s="0" t="s">
        <v>344</v>
      </c>
      <c r="AC1177" s="0" t="s">
        <v>7349</v>
      </c>
      <c r="AD1177" s="0" t="s">
        <v>7985</v>
      </c>
      <c r="AE1177" s="0" t="s">
        <v>7986</v>
      </c>
      <c r="AF1177" s="0" t="s">
        <v>7374</v>
      </c>
      <c r="AG1177" s="0" t="s">
        <v>230</v>
      </c>
    </row>
    <row r="1178" customFormat="false" ht="15" hidden="false" customHeight="false" outlineLevel="0" collapsed="false">
      <c r="A1178" s="0" t="s">
        <v>7336</v>
      </c>
      <c r="B1178" s="0" t="s">
        <v>4363</v>
      </c>
      <c r="C1178" s="0" t="s">
        <v>4364</v>
      </c>
      <c r="D1178" s="0" t="s">
        <v>343</v>
      </c>
      <c r="E1178" s="0" t="s">
        <v>4365</v>
      </c>
      <c r="F1178" s="0" t="s">
        <v>4366</v>
      </c>
      <c r="G1178" s="0" t="s">
        <v>150</v>
      </c>
      <c r="H1178" s="0" t="s">
        <v>8127</v>
      </c>
      <c r="I1178" s="0" t="s">
        <v>7338</v>
      </c>
      <c r="J1178" s="0" t="s">
        <v>1602</v>
      </c>
      <c r="K1178" s="0" t="s">
        <v>7339</v>
      </c>
      <c r="L1178" s="0" t="s">
        <v>7340</v>
      </c>
      <c r="M1178" s="0" t="s">
        <v>7661</v>
      </c>
      <c r="N1178" s="0" t="s">
        <v>7342</v>
      </c>
      <c r="P1178" s="0" t="s">
        <v>229</v>
      </c>
      <c r="Q1178" s="0" t="s">
        <v>7354</v>
      </c>
      <c r="R1178" s="0" t="s">
        <v>7343</v>
      </c>
      <c r="S1178" s="0" t="s">
        <v>7344</v>
      </c>
      <c r="T1178" s="0" t="s">
        <v>228</v>
      </c>
      <c r="V1178" s="0" t="s">
        <v>73</v>
      </c>
      <c r="W1178" s="0" t="s">
        <v>75</v>
      </c>
      <c r="X1178" s="0" t="s">
        <v>7345</v>
      </c>
      <c r="Y1178" s="0" t="s">
        <v>7356</v>
      </c>
      <c r="Z1178" s="0" t="s">
        <v>7357</v>
      </c>
      <c r="AA1178" s="0" t="s">
        <v>7358</v>
      </c>
      <c r="AB1178" s="0" t="s">
        <v>344</v>
      </c>
      <c r="AC1178" s="0" t="s">
        <v>7349</v>
      </c>
      <c r="AD1178" s="0" t="s">
        <v>7985</v>
      </c>
      <c r="AE1178" s="0" t="s">
        <v>7986</v>
      </c>
      <c r="AF1178" s="0" t="s">
        <v>7374</v>
      </c>
      <c r="AG1178" s="0" t="s">
        <v>230</v>
      </c>
    </row>
    <row r="1179" customFormat="false" ht="15" hidden="false" customHeight="false" outlineLevel="0" collapsed="false">
      <c r="A1179" s="0" t="s">
        <v>7336</v>
      </c>
      <c r="B1179" s="0" t="s">
        <v>4367</v>
      </c>
      <c r="C1179" s="0" t="s">
        <v>4368</v>
      </c>
      <c r="D1179" s="0" t="s">
        <v>343</v>
      </c>
      <c r="E1179" s="0" t="s">
        <v>4369</v>
      </c>
      <c r="F1179" s="0" t="s">
        <v>4370</v>
      </c>
      <c r="G1179" s="0" t="s">
        <v>150</v>
      </c>
      <c r="H1179" s="0" t="s">
        <v>8128</v>
      </c>
      <c r="I1179" s="0" t="s">
        <v>7338</v>
      </c>
      <c r="J1179" s="0" t="s">
        <v>1602</v>
      </c>
      <c r="K1179" s="0" t="s">
        <v>7339</v>
      </c>
      <c r="L1179" s="0" t="s">
        <v>7340</v>
      </c>
      <c r="M1179" s="0" t="s">
        <v>7661</v>
      </c>
      <c r="N1179" s="0" t="s">
        <v>7342</v>
      </c>
      <c r="P1179" s="0" t="s">
        <v>229</v>
      </c>
      <c r="Q1179" s="0" t="s">
        <v>7354</v>
      </c>
      <c r="R1179" s="0" t="s">
        <v>7343</v>
      </c>
      <c r="S1179" s="0" t="s">
        <v>7344</v>
      </c>
      <c r="T1179" s="0" t="s">
        <v>228</v>
      </c>
      <c r="V1179" s="0" t="s">
        <v>73</v>
      </c>
      <c r="W1179" s="0" t="s">
        <v>75</v>
      </c>
      <c r="X1179" s="0" t="s">
        <v>7345</v>
      </c>
      <c r="Y1179" s="0" t="s">
        <v>7356</v>
      </c>
      <c r="Z1179" s="0" t="s">
        <v>7357</v>
      </c>
      <c r="AA1179" s="0" t="s">
        <v>7358</v>
      </c>
      <c r="AB1179" s="0" t="s">
        <v>344</v>
      </c>
      <c r="AC1179" s="0" t="s">
        <v>7349</v>
      </c>
      <c r="AD1179" s="0" t="s">
        <v>7985</v>
      </c>
      <c r="AE1179" s="0" t="s">
        <v>7986</v>
      </c>
      <c r="AF1179" s="0" t="s">
        <v>7374</v>
      </c>
      <c r="AG1179" s="0" t="s">
        <v>230</v>
      </c>
    </row>
    <row r="1180" customFormat="false" ht="15" hidden="false" customHeight="false" outlineLevel="0" collapsed="false">
      <c r="A1180" s="0" t="s">
        <v>7336</v>
      </c>
      <c r="B1180" s="0" t="s">
        <v>4371</v>
      </c>
      <c r="C1180" s="0" t="s">
        <v>4372</v>
      </c>
      <c r="D1180" s="0" t="s">
        <v>343</v>
      </c>
      <c r="E1180" s="0" t="s">
        <v>4373</v>
      </c>
      <c r="F1180" s="0" t="s">
        <v>4374</v>
      </c>
      <c r="G1180" s="0" t="s">
        <v>150</v>
      </c>
      <c r="H1180" s="0" t="s">
        <v>8129</v>
      </c>
      <c r="I1180" s="0" t="s">
        <v>7338</v>
      </c>
      <c r="J1180" s="0" t="s">
        <v>1602</v>
      </c>
      <c r="K1180" s="0" t="s">
        <v>7339</v>
      </c>
      <c r="L1180" s="0" t="s">
        <v>7340</v>
      </c>
      <c r="M1180" s="0" t="s">
        <v>7661</v>
      </c>
      <c r="N1180" s="0" t="s">
        <v>7342</v>
      </c>
      <c r="P1180" s="0" t="s">
        <v>229</v>
      </c>
      <c r="Q1180" s="0" t="s">
        <v>7354</v>
      </c>
      <c r="R1180" s="0" t="s">
        <v>7343</v>
      </c>
      <c r="S1180" s="0" t="s">
        <v>7344</v>
      </c>
      <c r="T1180" s="0" t="s">
        <v>228</v>
      </c>
      <c r="V1180" s="0" t="s">
        <v>73</v>
      </c>
      <c r="W1180" s="0" t="s">
        <v>75</v>
      </c>
      <c r="X1180" s="0" t="s">
        <v>7345</v>
      </c>
      <c r="Y1180" s="0" t="s">
        <v>7356</v>
      </c>
      <c r="Z1180" s="0" t="s">
        <v>7357</v>
      </c>
      <c r="AA1180" s="0" t="s">
        <v>7358</v>
      </c>
      <c r="AB1180" s="0" t="s">
        <v>344</v>
      </c>
      <c r="AC1180" s="0" t="s">
        <v>7349</v>
      </c>
      <c r="AD1180" s="0" t="s">
        <v>7985</v>
      </c>
      <c r="AE1180" s="0" t="s">
        <v>7986</v>
      </c>
      <c r="AF1180" s="0" t="s">
        <v>7374</v>
      </c>
      <c r="AG1180" s="0" t="s">
        <v>230</v>
      </c>
    </row>
    <row r="1181" customFormat="false" ht="15" hidden="false" customHeight="false" outlineLevel="0" collapsed="false">
      <c r="A1181" s="0" t="s">
        <v>7336</v>
      </c>
      <c r="B1181" s="0" t="s">
        <v>4375</v>
      </c>
      <c r="C1181" s="0" t="s">
        <v>4376</v>
      </c>
      <c r="D1181" s="0" t="s">
        <v>343</v>
      </c>
      <c r="E1181" s="0" t="s">
        <v>4377</v>
      </c>
      <c r="F1181" s="0" t="s">
        <v>4378</v>
      </c>
      <c r="G1181" s="0" t="s">
        <v>150</v>
      </c>
      <c r="H1181" s="0" t="s">
        <v>8130</v>
      </c>
      <c r="I1181" s="0" t="s">
        <v>7338</v>
      </c>
      <c r="J1181" s="0" t="s">
        <v>1602</v>
      </c>
      <c r="K1181" s="0" t="s">
        <v>7339</v>
      </c>
      <c r="L1181" s="0" t="s">
        <v>7340</v>
      </c>
      <c r="M1181" s="0" t="s">
        <v>7661</v>
      </c>
      <c r="N1181" s="0" t="s">
        <v>7342</v>
      </c>
      <c r="P1181" s="0" t="s">
        <v>229</v>
      </c>
      <c r="Q1181" s="0" t="s">
        <v>7354</v>
      </c>
      <c r="R1181" s="0" t="s">
        <v>7343</v>
      </c>
      <c r="S1181" s="0" t="s">
        <v>7344</v>
      </c>
      <c r="T1181" s="0" t="s">
        <v>228</v>
      </c>
      <c r="V1181" s="0" t="s">
        <v>73</v>
      </c>
      <c r="W1181" s="0" t="s">
        <v>75</v>
      </c>
      <c r="X1181" s="0" t="s">
        <v>7345</v>
      </c>
      <c r="Y1181" s="0" t="s">
        <v>7356</v>
      </c>
      <c r="Z1181" s="0" t="s">
        <v>7357</v>
      </c>
      <c r="AA1181" s="0" t="s">
        <v>7358</v>
      </c>
      <c r="AB1181" s="0" t="s">
        <v>344</v>
      </c>
      <c r="AC1181" s="0" t="s">
        <v>7349</v>
      </c>
      <c r="AD1181" s="0" t="s">
        <v>7985</v>
      </c>
      <c r="AE1181" s="0" t="s">
        <v>7986</v>
      </c>
      <c r="AF1181" s="0" t="s">
        <v>7374</v>
      </c>
      <c r="AG1181" s="0" t="s">
        <v>230</v>
      </c>
    </row>
    <row r="1182" customFormat="false" ht="15" hidden="false" customHeight="false" outlineLevel="0" collapsed="false">
      <c r="A1182" s="0" t="s">
        <v>7336</v>
      </c>
      <c r="B1182" s="0" t="s">
        <v>4379</v>
      </c>
      <c r="C1182" s="0" t="s">
        <v>4380</v>
      </c>
      <c r="D1182" s="0" t="s">
        <v>343</v>
      </c>
      <c r="E1182" s="0" t="s">
        <v>4381</v>
      </c>
      <c r="F1182" s="0" t="s">
        <v>4382</v>
      </c>
      <c r="G1182" s="0" t="s">
        <v>150</v>
      </c>
      <c r="H1182" s="0" t="s">
        <v>8131</v>
      </c>
      <c r="I1182" s="0" t="s">
        <v>7338</v>
      </c>
      <c r="J1182" s="0" t="s">
        <v>1602</v>
      </c>
      <c r="K1182" s="0" t="s">
        <v>7339</v>
      </c>
      <c r="L1182" s="0" t="s">
        <v>7340</v>
      </c>
      <c r="M1182" s="0" t="s">
        <v>7661</v>
      </c>
      <c r="N1182" s="0" t="s">
        <v>7342</v>
      </c>
      <c r="P1182" s="0" t="s">
        <v>229</v>
      </c>
      <c r="Q1182" s="0" t="s">
        <v>7354</v>
      </c>
      <c r="R1182" s="0" t="s">
        <v>7343</v>
      </c>
      <c r="S1182" s="0" t="s">
        <v>7344</v>
      </c>
      <c r="T1182" s="0" t="s">
        <v>228</v>
      </c>
      <c r="V1182" s="0" t="s">
        <v>73</v>
      </c>
      <c r="W1182" s="0" t="s">
        <v>75</v>
      </c>
      <c r="X1182" s="0" t="s">
        <v>7345</v>
      </c>
      <c r="Y1182" s="0" t="s">
        <v>7356</v>
      </c>
      <c r="Z1182" s="0" t="s">
        <v>7357</v>
      </c>
      <c r="AA1182" s="0" t="s">
        <v>7358</v>
      </c>
      <c r="AB1182" s="0" t="s">
        <v>344</v>
      </c>
      <c r="AC1182" s="0" t="s">
        <v>7349</v>
      </c>
      <c r="AD1182" s="0" t="s">
        <v>7985</v>
      </c>
      <c r="AE1182" s="0" t="s">
        <v>7986</v>
      </c>
      <c r="AF1182" s="0" t="s">
        <v>7374</v>
      </c>
      <c r="AG1182" s="0" t="s">
        <v>230</v>
      </c>
    </row>
    <row r="1183" customFormat="false" ht="15" hidden="false" customHeight="false" outlineLevel="0" collapsed="false">
      <c r="A1183" s="0" t="s">
        <v>7336</v>
      </c>
      <c r="B1183" s="0" t="s">
        <v>4383</v>
      </c>
      <c r="C1183" s="0" t="s">
        <v>4384</v>
      </c>
      <c r="D1183" s="0" t="s">
        <v>343</v>
      </c>
      <c r="E1183" s="0" t="s">
        <v>4385</v>
      </c>
      <c r="F1183" s="0" t="s">
        <v>4386</v>
      </c>
      <c r="G1183" s="0" t="s">
        <v>150</v>
      </c>
      <c r="H1183" s="0" t="s">
        <v>8132</v>
      </c>
      <c r="I1183" s="0" t="s">
        <v>7338</v>
      </c>
      <c r="J1183" s="0" t="s">
        <v>1602</v>
      </c>
      <c r="K1183" s="0" t="s">
        <v>7339</v>
      </c>
      <c r="L1183" s="0" t="s">
        <v>7340</v>
      </c>
      <c r="M1183" s="0" t="s">
        <v>7661</v>
      </c>
      <c r="N1183" s="0" t="s">
        <v>7342</v>
      </c>
      <c r="P1183" s="0" t="s">
        <v>229</v>
      </c>
      <c r="Q1183" s="0" t="s">
        <v>7354</v>
      </c>
      <c r="R1183" s="0" t="s">
        <v>7343</v>
      </c>
      <c r="S1183" s="0" t="s">
        <v>7344</v>
      </c>
      <c r="T1183" s="0" t="s">
        <v>228</v>
      </c>
      <c r="V1183" s="0" t="s">
        <v>73</v>
      </c>
      <c r="W1183" s="0" t="s">
        <v>75</v>
      </c>
      <c r="X1183" s="0" t="s">
        <v>7345</v>
      </c>
      <c r="Y1183" s="0" t="s">
        <v>7356</v>
      </c>
      <c r="Z1183" s="0" t="s">
        <v>7357</v>
      </c>
      <c r="AA1183" s="0" t="s">
        <v>7358</v>
      </c>
      <c r="AB1183" s="0" t="s">
        <v>344</v>
      </c>
      <c r="AC1183" s="0" t="s">
        <v>7349</v>
      </c>
      <c r="AD1183" s="0" t="s">
        <v>7985</v>
      </c>
      <c r="AE1183" s="0" t="s">
        <v>7986</v>
      </c>
      <c r="AF1183" s="0" t="s">
        <v>7374</v>
      </c>
      <c r="AG1183" s="0" t="s">
        <v>230</v>
      </c>
    </row>
    <row r="1184" customFormat="false" ht="15" hidden="false" customHeight="false" outlineLevel="0" collapsed="false">
      <c r="A1184" s="0" t="s">
        <v>7336</v>
      </c>
      <c r="B1184" s="0" t="s">
        <v>4387</v>
      </c>
      <c r="C1184" s="0" t="s">
        <v>4388</v>
      </c>
      <c r="D1184" s="0" t="s">
        <v>343</v>
      </c>
      <c r="E1184" s="0" t="s">
        <v>4389</v>
      </c>
      <c r="F1184" s="0" t="s">
        <v>4390</v>
      </c>
      <c r="G1184" s="0" t="s">
        <v>150</v>
      </c>
      <c r="H1184" s="0" t="s">
        <v>8133</v>
      </c>
      <c r="I1184" s="0" t="s">
        <v>7338</v>
      </c>
      <c r="J1184" s="0" t="s">
        <v>1602</v>
      </c>
      <c r="K1184" s="0" t="s">
        <v>7339</v>
      </c>
      <c r="L1184" s="0" t="s">
        <v>7340</v>
      </c>
      <c r="M1184" s="0" t="s">
        <v>7661</v>
      </c>
      <c r="N1184" s="0" t="s">
        <v>7342</v>
      </c>
      <c r="P1184" s="0" t="s">
        <v>229</v>
      </c>
      <c r="Q1184" s="0" t="s">
        <v>7354</v>
      </c>
      <c r="R1184" s="0" t="s">
        <v>7343</v>
      </c>
      <c r="S1184" s="0" t="s">
        <v>7344</v>
      </c>
      <c r="T1184" s="0" t="s">
        <v>228</v>
      </c>
      <c r="V1184" s="0" t="s">
        <v>73</v>
      </c>
      <c r="W1184" s="0" t="s">
        <v>75</v>
      </c>
      <c r="X1184" s="0" t="s">
        <v>7345</v>
      </c>
      <c r="Y1184" s="0" t="s">
        <v>7356</v>
      </c>
      <c r="Z1184" s="0" t="s">
        <v>7357</v>
      </c>
      <c r="AA1184" s="0" t="s">
        <v>7358</v>
      </c>
      <c r="AB1184" s="0" t="s">
        <v>344</v>
      </c>
      <c r="AC1184" s="0" t="s">
        <v>7349</v>
      </c>
      <c r="AD1184" s="0" t="s">
        <v>7985</v>
      </c>
      <c r="AE1184" s="0" t="s">
        <v>7986</v>
      </c>
      <c r="AF1184" s="0" t="s">
        <v>7374</v>
      </c>
      <c r="AG1184" s="0" t="s">
        <v>230</v>
      </c>
    </row>
    <row r="1185" customFormat="false" ht="15" hidden="false" customHeight="false" outlineLevel="0" collapsed="false">
      <c r="A1185" s="0" t="s">
        <v>7336</v>
      </c>
      <c r="B1185" s="0" t="s">
        <v>4391</v>
      </c>
      <c r="C1185" s="0" t="s">
        <v>4392</v>
      </c>
      <c r="D1185" s="0" t="s">
        <v>343</v>
      </c>
      <c r="E1185" s="0" t="s">
        <v>4393</v>
      </c>
      <c r="F1185" s="0" t="s">
        <v>4394</v>
      </c>
      <c r="G1185" s="0" t="s">
        <v>150</v>
      </c>
      <c r="H1185" s="0" t="s">
        <v>8134</v>
      </c>
      <c r="I1185" s="0" t="s">
        <v>7338</v>
      </c>
      <c r="J1185" s="0" t="s">
        <v>1602</v>
      </c>
      <c r="K1185" s="0" t="s">
        <v>7339</v>
      </c>
      <c r="L1185" s="0" t="s">
        <v>7340</v>
      </c>
      <c r="M1185" s="0" t="s">
        <v>7661</v>
      </c>
      <c r="N1185" s="0" t="s">
        <v>7342</v>
      </c>
      <c r="P1185" s="0" t="s">
        <v>229</v>
      </c>
      <c r="Q1185" s="0" t="s">
        <v>7354</v>
      </c>
      <c r="R1185" s="0" t="s">
        <v>7343</v>
      </c>
      <c r="S1185" s="0" t="s">
        <v>7344</v>
      </c>
      <c r="T1185" s="0" t="s">
        <v>681</v>
      </c>
      <c r="V1185" s="0" t="s">
        <v>93</v>
      </c>
      <c r="W1185" s="0" t="s">
        <v>95</v>
      </c>
      <c r="X1185" s="0" t="s">
        <v>7345</v>
      </c>
      <c r="Y1185" s="0" t="s">
        <v>8099</v>
      </c>
      <c r="Z1185" s="0" t="s">
        <v>8100</v>
      </c>
      <c r="AA1185" s="0" t="s">
        <v>8068</v>
      </c>
      <c r="AB1185" s="0" t="s">
        <v>4254</v>
      </c>
      <c r="AC1185" s="0" t="s">
        <v>7349</v>
      </c>
      <c r="AD1185" s="0" t="s">
        <v>7493</v>
      </c>
      <c r="AE1185" s="0" t="s">
        <v>8101</v>
      </c>
      <c r="AF1185" s="0" t="s">
        <v>7374</v>
      </c>
      <c r="AG1185" s="0" t="s">
        <v>230</v>
      </c>
    </row>
    <row r="1186" customFormat="false" ht="15" hidden="false" customHeight="false" outlineLevel="0" collapsed="false">
      <c r="A1186" s="0" t="s">
        <v>7336</v>
      </c>
      <c r="B1186" s="0" t="s">
        <v>4395</v>
      </c>
      <c r="C1186" s="0" t="s">
        <v>4396</v>
      </c>
      <c r="D1186" s="0" t="s">
        <v>343</v>
      </c>
      <c r="E1186" s="0" t="s">
        <v>4397</v>
      </c>
      <c r="F1186" s="0" t="s">
        <v>4398</v>
      </c>
      <c r="G1186" s="0" t="s">
        <v>150</v>
      </c>
      <c r="H1186" s="0" t="s">
        <v>8135</v>
      </c>
      <c r="I1186" s="0" t="s">
        <v>7338</v>
      </c>
      <c r="J1186" s="0" t="s">
        <v>1602</v>
      </c>
      <c r="K1186" s="0" t="s">
        <v>7339</v>
      </c>
      <c r="L1186" s="0" t="s">
        <v>7340</v>
      </c>
      <c r="M1186" s="0" t="s">
        <v>7661</v>
      </c>
      <c r="N1186" s="0" t="s">
        <v>7342</v>
      </c>
      <c r="P1186" s="0" t="s">
        <v>229</v>
      </c>
      <c r="Q1186" s="0" t="s">
        <v>7354</v>
      </c>
      <c r="R1186" s="0" t="s">
        <v>7343</v>
      </c>
      <c r="S1186" s="0" t="s">
        <v>7344</v>
      </c>
      <c r="T1186" s="0" t="s">
        <v>681</v>
      </c>
      <c r="V1186" s="0" t="s">
        <v>93</v>
      </c>
      <c r="W1186" s="0" t="s">
        <v>95</v>
      </c>
      <c r="X1186" s="0" t="s">
        <v>7345</v>
      </c>
      <c r="Y1186" s="0" t="s">
        <v>8099</v>
      </c>
      <c r="Z1186" s="0" t="s">
        <v>8100</v>
      </c>
      <c r="AA1186" s="0" t="s">
        <v>8068</v>
      </c>
      <c r="AB1186" s="0" t="s">
        <v>4254</v>
      </c>
      <c r="AC1186" s="0" t="s">
        <v>7349</v>
      </c>
      <c r="AD1186" s="0" t="s">
        <v>7493</v>
      </c>
      <c r="AE1186" s="0" t="s">
        <v>8101</v>
      </c>
      <c r="AF1186" s="0" t="s">
        <v>7374</v>
      </c>
      <c r="AG1186" s="0" t="s">
        <v>230</v>
      </c>
    </row>
    <row r="1187" customFormat="false" ht="15" hidden="false" customHeight="false" outlineLevel="0" collapsed="false">
      <c r="A1187" s="0" t="s">
        <v>7336</v>
      </c>
      <c r="B1187" s="0" t="s">
        <v>4399</v>
      </c>
      <c r="C1187" s="0" t="s">
        <v>4400</v>
      </c>
      <c r="D1187" s="0" t="s">
        <v>343</v>
      </c>
      <c r="E1187" s="0" t="s">
        <v>4401</v>
      </c>
      <c r="F1187" s="0" t="s">
        <v>4402</v>
      </c>
      <c r="G1187" s="0" t="s">
        <v>150</v>
      </c>
      <c r="H1187" s="0" t="s">
        <v>8136</v>
      </c>
      <c r="I1187" s="0" t="s">
        <v>7338</v>
      </c>
      <c r="J1187" s="0" t="s">
        <v>1602</v>
      </c>
      <c r="K1187" s="0" t="s">
        <v>7339</v>
      </c>
      <c r="L1187" s="0" t="s">
        <v>7340</v>
      </c>
      <c r="M1187" s="0" t="s">
        <v>7661</v>
      </c>
      <c r="N1187" s="0" t="s">
        <v>7342</v>
      </c>
      <c r="P1187" s="0" t="s">
        <v>229</v>
      </c>
      <c r="Q1187" s="0" t="s">
        <v>7354</v>
      </c>
      <c r="R1187" s="0" t="s">
        <v>7343</v>
      </c>
      <c r="S1187" s="0" t="s">
        <v>7344</v>
      </c>
      <c r="T1187" s="0" t="s">
        <v>681</v>
      </c>
      <c r="V1187" s="0" t="s">
        <v>93</v>
      </c>
      <c r="W1187" s="0" t="s">
        <v>95</v>
      </c>
      <c r="X1187" s="0" t="s">
        <v>7345</v>
      </c>
      <c r="Y1187" s="0" t="s">
        <v>8099</v>
      </c>
      <c r="Z1187" s="0" t="s">
        <v>8100</v>
      </c>
      <c r="AA1187" s="0" t="s">
        <v>8068</v>
      </c>
      <c r="AB1187" s="0" t="s">
        <v>4254</v>
      </c>
      <c r="AC1187" s="0" t="s">
        <v>7349</v>
      </c>
      <c r="AD1187" s="0" t="s">
        <v>7493</v>
      </c>
      <c r="AE1187" s="0" t="s">
        <v>8101</v>
      </c>
      <c r="AF1187" s="0" t="s">
        <v>7374</v>
      </c>
      <c r="AG1187" s="0" t="s">
        <v>230</v>
      </c>
    </row>
    <row r="1188" customFormat="false" ht="15" hidden="false" customHeight="false" outlineLevel="0" collapsed="false">
      <c r="A1188" s="0" t="s">
        <v>7336</v>
      </c>
      <c r="B1188" s="0" t="s">
        <v>4403</v>
      </c>
      <c r="C1188" s="0" t="s">
        <v>4404</v>
      </c>
      <c r="D1188" s="0" t="s">
        <v>343</v>
      </c>
      <c r="E1188" s="0" t="s">
        <v>4405</v>
      </c>
      <c r="F1188" s="0" t="s">
        <v>4406</v>
      </c>
      <c r="G1188" s="0" t="s">
        <v>150</v>
      </c>
      <c r="H1188" s="0" t="s">
        <v>8137</v>
      </c>
      <c r="I1188" s="0" t="s">
        <v>7338</v>
      </c>
      <c r="J1188" s="0" t="s">
        <v>1602</v>
      </c>
      <c r="K1188" s="0" t="s">
        <v>7339</v>
      </c>
      <c r="L1188" s="0" t="s">
        <v>7340</v>
      </c>
      <c r="M1188" s="0" t="s">
        <v>7661</v>
      </c>
      <c r="N1188" s="0" t="s">
        <v>7342</v>
      </c>
      <c r="P1188" s="0" t="s">
        <v>229</v>
      </c>
      <c r="Q1188" s="0" t="s">
        <v>7354</v>
      </c>
      <c r="R1188" s="0" t="s">
        <v>7343</v>
      </c>
      <c r="S1188" s="0" t="s">
        <v>7344</v>
      </c>
      <c r="T1188" s="0" t="s">
        <v>681</v>
      </c>
      <c r="V1188" s="0" t="s">
        <v>93</v>
      </c>
      <c r="W1188" s="0" t="s">
        <v>95</v>
      </c>
      <c r="X1188" s="0" t="s">
        <v>7345</v>
      </c>
      <c r="Y1188" s="0" t="s">
        <v>8099</v>
      </c>
      <c r="Z1188" s="0" t="s">
        <v>8100</v>
      </c>
      <c r="AA1188" s="0" t="s">
        <v>8068</v>
      </c>
      <c r="AB1188" s="0" t="s">
        <v>4254</v>
      </c>
      <c r="AC1188" s="0" t="s">
        <v>7349</v>
      </c>
      <c r="AD1188" s="0" t="s">
        <v>7493</v>
      </c>
      <c r="AE1188" s="0" t="s">
        <v>8101</v>
      </c>
      <c r="AF1188" s="0" t="s">
        <v>7374</v>
      </c>
      <c r="AG1188" s="0" t="s">
        <v>230</v>
      </c>
    </row>
    <row r="1189" customFormat="false" ht="15" hidden="false" customHeight="false" outlineLevel="0" collapsed="false">
      <c r="A1189" s="0" t="s">
        <v>7336</v>
      </c>
      <c r="B1189" s="0" t="s">
        <v>4407</v>
      </c>
      <c r="C1189" s="0" t="s">
        <v>4408</v>
      </c>
      <c r="D1189" s="0" t="s">
        <v>343</v>
      </c>
      <c r="E1189" s="0" t="s">
        <v>4409</v>
      </c>
      <c r="F1189" s="0" t="s">
        <v>4410</v>
      </c>
      <c r="G1189" s="0" t="s">
        <v>150</v>
      </c>
      <c r="H1189" s="0" t="s">
        <v>8138</v>
      </c>
      <c r="I1189" s="0" t="s">
        <v>7338</v>
      </c>
      <c r="J1189" s="0" t="s">
        <v>1602</v>
      </c>
      <c r="K1189" s="0" t="s">
        <v>7339</v>
      </c>
      <c r="L1189" s="0" t="s">
        <v>7340</v>
      </c>
      <c r="M1189" s="0" t="s">
        <v>7661</v>
      </c>
      <c r="N1189" s="0" t="s">
        <v>7342</v>
      </c>
      <c r="P1189" s="0" t="s">
        <v>229</v>
      </c>
      <c r="Q1189" s="0" t="s">
        <v>7354</v>
      </c>
      <c r="R1189" s="0" t="s">
        <v>7343</v>
      </c>
      <c r="S1189" s="0" t="s">
        <v>7344</v>
      </c>
      <c r="T1189" s="0" t="s">
        <v>681</v>
      </c>
      <c r="V1189" s="0" t="s">
        <v>93</v>
      </c>
      <c r="W1189" s="0" t="s">
        <v>95</v>
      </c>
      <c r="X1189" s="0" t="s">
        <v>7345</v>
      </c>
      <c r="Y1189" s="0" t="s">
        <v>8099</v>
      </c>
      <c r="Z1189" s="0" t="s">
        <v>8100</v>
      </c>
      <c r="AA1189" s="0" t="s">
        <v>8068</v>
      </c>
      <c r="AB1189" s="0" t="s">
        <v>4254</v>
      </c>
      <c r="AC1189" s="0" t="s">
        <v>7349</v>
      </c>
      <c r="AD1189" s="0" t="s">
        <v>7493</v>
      </c>
      <c r="AE1189" s="0" t="s">
        <v>8101</v>
      </c>
      <c r="AF1189" s="0" t="s">
        <v>7374</v>
      </c>
      <c r="AG1189" s="0" t="s">
        <v>230</v>
      </c>
    </row>
    <row r="1190" customFormat="false" ht="15" hidden="false" customHeight="false" outlineLevel="0" collapsed="false">
      <c r="A1190" s="0" t="s">
        <v>7336</v>
      </c>
      <c r="B1190" s="0" t="s">
        <v>4411</v>
      </c>
      <c r="C1190" s="0" t="s">
        <v>4412</v>
      </c>
      <c r="D1190" s="0" t="s">
        <v>259</v>
      </c>
      <c r="E1190" s="0" t="s">
        <v>4413</v>
      </c>
      <c r="F1190" s="0" t="s">
        <v>4414</v>
      </c>
      <c r="G1190" s="0" t="s">
        <v>118</v>
      </c>
      <c r="H1190" s="0" t="s">
        <v>8139</v>
      </c>
      <c r="I1190" s="0" t="s">
        <v>7338</v>
      </c>
      <c r="J1190" s="0" t="s">
        <v>1602</v>
      </c>
      <c r="K1190" s="0" t="s">
        <v>7339</v>
      </c>
      <c r="L1190" s="0" t="s">
        <v>7340</v>
      </c>
      <c r="M1190" s="0" t="s">
        <v>7661</v>
      </c>
      <c r="N1190" s="0" t="s">
        <v>7342</v>
      </c>
      <c r="P1190" s="0" t="s">
        <v>229</v>
      </c>
      <c r="Q1190" s="0" t="s">
        <v>7368</v>
      </c>
      <c r="R1190" s="0" t="s">
        <v>7343</v>
      </c>
      <c r="S1190" s="0" t="s">
        <v>7344</v>
      </c>
      <c r="T1190" s="0" t="s">
        <v>260</v>
      </c>
      <c r="U1190" s="0" t="s">
        <v>7369</v>
      </c>
      <c r="V1190" s="0" t="s">
        <v>34</v>
      </c>
      <c r="W1190" s="0" t="s">
        <v>39</v>
      </c>
      <c r="X1190" s="0" t="s">
        <v>7355</v>
      </c>
      <c r="Y1190" s="0" t="s">
        <v>7346</v>
      </c>
      <c r="Z1190" s="0" t="s">
        <v>7370</v>
      </c>
      <c r="AA1190" s="0" t="s">
        <v>7628</v>
      </c>
      <c r="AB1190" s="0" t="s">
        <v>262</v>
      </c>
      <c r="AC1190" s="0" t="s">
        <v>7349</v>
      </c>
      <c r="AD1190" s="0" t="s">
        <v>7372</v>
      </c>
      <c r="AE1190" s="0" t="s">
        <v>7412</v>
      </c>
      <c r="AF1190" s="0" t="s">
        <v>7374</v>
      </c>
      <c r="AG1190" s="0" t="s">
        <v>230</v>
      </c>
    </row>
    <row r="1191" customFormat="false" ht="15" hidden="false" customHeight="false" outlineLevel="0" collapsed="false">
      <c r="A1191" s="0" t="s">
        <v>7336</v>
      </c>
      <c r="B1191" s="0" t="s">
        <v>4415</v>
      </c>
      <c r="C1191" s="0" t="s">
        <v>4416</v>
      </c>
      <c r="D1191" s="0" t="s">
        <v>2983</v>
      </c>
      <c r="E1191" s="0" t="s">
        <v>4417</v>
      </c>
      <c r="F1191" s="0" t="s">
        <v>4418</v>
      </c>
      <c r="G1191" s="0" t="s">
        <v>130</v>
      </c>
      <c r="H1191" s="0" t="s">
        <v>8140</v>
      </c>
      <c r="I1191" s="0" t="s">
        <v>7338</v>
      </c>
      <c r="J1191" s="0" t="s">
        <v>1602</v>
      </c>
      <c r="K1191" s="0" t="s">
        <v>7339</v>
      </c>
      <c r="L1191" s="0" t="s">
        <v>7340</v>
      </c>
      <c r="M1191" s="0" t="s">
        <v>7661</v>
      </c>
      <c r="N1191" s="0" t="s">
        <v>7342</v>
      </c>
      <c r="P1191" s="0" t="s">
        <v>229</v>
      </c>
      <c r="R1191" s="0" t="s">
        <v>7435</v>
      </c>
      <c r="S1191" s="0" t="s">
        <v>7344</v>
      </c>
      <c r="T1191" s="0" t="s">
        <v>681</v>
      </c>
      <c r="V1191" s="0" t="s">
        <v>61</v>
      </c>
      <c r="W1191" s="0" t="s">
        <v>63</v>
      </c>
      <c r="X1191" s="0" t="s">
        <v>7355</v>
      </c>
      <c r="Y1191" s="0" t="s">
        <v>7459</v>
      </c>
      <c r="Z1191" s="0" t="s">
        <v>8083</v>
      </c>
      <c r="AA1191" s="0" t="s">
        <v>8141</v>
      </c>
      <c r="AB1191" s="0" t="s">
        <v>231</v>
      </c>
      <c r="AC1191" s="0" t="s">
        <v>7349</v>
      </c>
      <c r="AD1191" s="0" t="s">
        <v>8142</v>
      </c>
      <c r="AE1191" s="0" t="s">
        <v>7462</v>
      </c>
      <c r="AF1191" s="0" t="s">
        <v>8143</v>
      </c>
      <c r="AG1191" s="0" t="s">
        <v>3198</v>
      </c>
    </row>
    <row r="1192" customFormat="false" ht="15" hidden="false" customHeight="false" outlineLevel="0" collapsed="false">
      <c r="A1192" s="0" t="s">
        <v>7336</v>
      </c>
      <c r="B1192" s="0" t="s">
        <v>4419</v>
      </c>
      <c r="C1192" s="0" t="s">
        <v>4420</v>
      </c>
      <c r="D1192" s="0" t="s">
        <v>2983</v>
      </c>
      <c r="E1192" s="0" t="s">
        <v>4421</v>
      </c>
      <c r="F1192" s="0" t="s">
        <v>4418</v>
      </c>
      <c r="G1192" s="0" t="s">
        <v>130</v>
      </c>
      <c r="H1192" s="0" t="s">
        <v>8140</v>
      </c>
      <c r="I1192" s="0" t="s">
        <v>7338</v>
      </c>
      <c r="J1192" s="0" t="s">
        <v>1602</v>
      </c>
      <c r="K1192" s="0" t="s">
        <v>7339</v>
      </c>
      <c r="L1192" s="0" t="s">
        <v>7340</v>
      </c>
      <c r="M1192" s="0" t="s">
        <v>7661</v>
      </c>
      <c r="N1192" s="0" t="s">
        <v>7342</v>
      </c>
      <c r="P1192" s="0" t="s">
        <v>229</v>
      </c>
      <c r="R1192" s="0" t="s">
        <v>7435</v>
      </c>
      <c r="S1192" s="0" t="s">
        <v>7344</v>
      </c>
      <c r="T1192" s="0" t="s">
        <v>681</v>
      </c>
      <c r="V1192" s="0" t="s">
        <v>61</v>
      </c>
      <c r="W1192" s="0" t="s">
        <v>63</v>
      </c>
      <c r="X1192" s="0" t="s">
        <v>7355</v>
      </c>
      <c r="Y1192" s="0" t="s">
        <v>7459</v>
      </c>
      <c r="Z1192" s="0" t="s">
        <v>8083</v>
      </c>
      <c r="AA1192" s="0" t="s">
        <v>8141</v>
      </c>
      <c r="AB1192" s="0" t="s">
        <v>231</v>
      </c>
      <c r="AC1192" s="0" t="s">
        <v>7349</v>
      </c>
      <c r="AD1192" s="0" t="s">
        <v>8142</v>
      </c>
      <c r="AE1192" s="0" t="s">
        <v>7462</v>
      </c>
      <c r="AF1192" s="0" t="s">
        <v>8143</v>
      </c>
      <c r="AG1192" s="0" t="s">
        <v>3198</v>
      </c>
    </row>
    <row r="1193" customFormat="false" ht="15" hidden="false" customHeight="false" outlineLevel="0" collapsed="false">
      <c r="A1193" s="0" t="s">
        <v>7336</v>
      </c>
      <c r="B1193" s="0" t="s">
        <v>4422</v>
      </c>
      <c r="C1193" s="0" t="s">
        <v>4423</v>
      </c>
      <c r="D1193" s="0" t="s">
        <v>2983</v>
      </c>
      <c r="E1193" s="0" t="s">
        <v>4424</v>
      </c>
      <c r="F1193" s="0" t="s">
        <v>4425</v>
      </c>
      <c r="G1193" s="0" t="s">
        <v>130</v>
      </c>
      <c r="H1193" s="0" t="s">
        <v>8144</v>
      </c>
      <c r="I1193" s="0" t="s">
        <v>7338</v>
      </c>
      <c r="J1193" s="0" t="s">
        <v>1602</v>
      </c>
      <c r="K1193" s="0" t="s">
        <v>7339</v>
      </c>
      <c r="L1193" s="0" t="s">
        <v>7340</v>
      </c>
      <c r="M1193" s="0" t="s">
        <v>7661</v>
      </c>
      <c r="N1193" s="0" t="s">
        <v>7342</v>
      </c>
      <c r="P1193" s="0" t="s">
        <v>229</v>
      </c>
      <c r="R1193" s="0" t="s">
        <v>7435</v>
      </c>
      <c r="S1193" s="0" t="s">
        <v>7344</v>
      </c>
      <c r="T1193" s="0" t="s">
        <v>681</v>
      </c>
      <c r="V1193" s="0" t="s">
        <v>61</v>
      </c>
      <c r="W1193" s="0" t="s">
        <v>63</v>
      </c>
      <c r="X1193" s="0" t="s">
        <v>7355</v>
      </c>
      <c r="Y1193" s="0" t="s">
        <v>7459</v>
      </c>
      <c r="Z1193" s="0" t="s">
        <v>8083</v>
      </c>
      <c r="AA1193" s="0" t="s">
        <v>8141</v>
      </c>
      <c r="AB1193" s="0" t="s">
        <v>231</v>
      </c>
      <c r="AC1193" s="0" t="s">
        <v>7349</v>
      </c>
      <c r="AD1193" s="0" t="s">
        <v>8142</v>
      </c>
      <c r="AE1193" s="0" t="s">
        <v>7462</v>
      </c>
      <c r="AF1193" s="0" t="s">
        <v>8143</v>
      </c>
      <c r="AG1193" s="0" t="s">
        <v>3198</v>
      </c>
    </row>
    <row r="1194" customFormat="false" ht="15" hidden="false" customHeight="false" outlineLevel="0" collapsed="false">
      <c r="A1194" s="0" t="s">
        <v>7336</v>
      </c>
      <c r="B1194" s="0" t="s">
        <v>4426</v>
      </c>
      <c r="C1194" s="0" t="s">
        <v>4427</v>
      </c>
      <c r="D1194" s="0" t="s">
        <v>2983</v>
      </c>
      <c r="E1194" s="0" t="s">
        <v>4428</v>
      </c>
      <c r="F1194" s="0" t="s">
        <v>4429</v>
      </c>
      <c r="G1194" s="0" t="s">
        <v>130</v>
      </c>
      <c r="H1194" s="0" t="s">
        <v>8145</v>
      </c>
      <c r="I1194" s="0" t="s">
        <v>7338</v>
      </c>
      <c r="J1194" s="0" t="s">
        <v>1602</v>
      </c>
      <c r="K1194" s="0" t="s">
        <v>7339</v>
      </c>
      <c r="L1194" s="0" t="s">
        <v>7340</v>
      </c>
      <c r="M1194" s="0" t="s">
        <v>7661</v>
      </c>
      <c r="N1194" s="0" t="s">
        <v>7342</v>
      </c>
      <c r="P1194" s="0" t="s">
        <v>229</v>
      </c>
      <c r="R1194" s="0" t="s">
        <v>7435</v>
      </c>
      <c r="S1194" s="0" t="s">
        <v>7344</v>
      </c>
      <c r="T1194" s="0" t="s">
        <v>681</v>
      </c>
      <c r="V1194" s="0" t="s">
        <v>61</v>
      </c>
      <c r="W1194" s="0" t="s">
        <v>63</v>
      </c>
      <c r="X1194" s="0" t="s">
        <v>7355</v>
      </c>
      <c r="Y1194" s="0" t="s">
        <v>7459</v>
      </c>
      <c r="Z1194" s="0" t="s">
        <v>8083</v>
      </c>
      <c r="AA1194" s="0" t="s">
        <v>8141</v>
      </c>
      <c r="AB1194" s="0" t="s">
        <v>231</v>
      </c>
      <c r="AC1194" s="0" t="s">
        <v>7349</v>
      </c>
      <c r="AD1194" s="0" t="s">
        <v>8146</v>
      </c>
      <c r="AE1194" s="0" t="s">
        <v>7462</v>
      </c>
      <c r="AF1194" s="0" t="s">
        <v>8143</v>
      </c>
      <c r="AG1194" s="0" t="s">
        <v>3198</v>
      </c>
    </row>
    <row r="1195" customFormat="false" ht="15" hidden="false" customHeight="false" outlineLevel="0" collapsed="false">
      <c r="A1195" s="0" t="s">
        <v>7336</v>
      </c>
      <c r="B1195" s="0" t="s">
        <v>4430</v>
      </c>
      <c r="C1195" s="0" t="s">
        <v>4431</v>
      </c>
      <c r="D1195" s="0" t="s">
        <v>2983</v>
      </c>
      <c r="E1195" s="0" t="s">
        <v>4432</v>
      </c>
      <c r="F1195" s="0" t="s">
        <v>4433</v>
      </c>
      <c r="G1195" s="0" t="s">
        <v>130</v>
      </c>
      <c r="H1195" s="0" t="s">
        <v>8147</v>
      </c>
      <c r="I1195" s="0" t="s">
        <v>7338</v>
      </c>
      <c r="J1195" s="0" t="s">
        <v>1602</v>
      </c>
      <c r="K1195" s="0" t="s">
        <v>7339</v>
      </c>
      <c r="L1195" s="0" t="s">
        <v>7340</v>
      </c>
      <c r="M1195" s="0" t="s">
        <v>7661</v>
      </c>
      <c r="N1195" s="0" t="s">
        <v>7342</v>
      </c>
      <c r="P1195" s="0" t="s">
        <v>229</v>
      </c>
      <c r="R1195" s="0" t="s">
        <v>7435</v>
      </c>
      <c r="S1195" s="0" t="s">
        <v>7344</v>
      </c>
      <c r="T1195" s="0" t="s">
        <v>681</v>
      </c>
      <c r="V1195" s="0" t="s">
        <v>61</v>
      </c>
      <c r="W1195" s="0" t="s">
        <v>63</v>
      </c>
      <c r="X1195" s="0" t="s">
        <v>7355</v>
      </c>
      <c r="Y1195" s="0" t="s">
        <v>7459</v>
      </c>
      <c r="Z1195" s="0" t="s">
        <v>8083</v>
      </c>
      <c r="AA1195" s="0" t="s">
        <v>8141</v>
      </c>
      <c r="AB1195" s="0" t="s">
        <v>231</v>
      </c>
      <c r="AC1195" s="0" t="s">
        <v>7349</v>
      </c>
      <c r="AD1195" s="0" t="s">
        <v>8146</v>
      </c>
      <c r="AE1195" s="0" t="s">
        <v>7462</v>
      </c>
      <c r="AF1195" s="0" t="s">
        <v>8143</v>
      </c>
      <c r="AG1195" s="0" t="s">
        <v>3198</v>
      </c>
    </row>
    <row r="1196" customFormat="false" ht="15" hidden="false" customHeight="false" outlineLevel="0" collapsed="false">
      <c r="A1196" s="0" t="s">
        <v>7336</v>
      </c>
      <c r="B1196" s="0" t="s">
        <v>4434</v>
      </c>
      <c r="C1196" s="0" t="s">
        <v>4435</v>
      </c>
      <c r="D1196" s="0" t="s">
        <v>2983</v>
      </c>
      <c r="E1196" s="0" t="s">
        <v>4436</v>
      </c>
      <c r="F1196" s="0" t="s">
        <v>4437</v>
      </c>
      <c r="G1196" s="0" t="s">
        <v>130</v>
      </c>
      <c r="H1196" s="0" t="s">
        <v>8148</v>
      </c>
      <c r="I1196" s="0" t="s">
        <v>7338</v>
      </c>
      <c r="J1196" s="0" t="s">
        <v>1602</v>
      </c>
      <c r="K1196" s="0" t="s">
        <v>7339</v>
      </c>
      <c r="L1196" s="0" t="s">
        <v>7340</v>
      </c>
      <c r="M1196" s="0" t="s">
        <v>7661</v>
      </c>
      <c r="N1196" s="0" t="s">
        <v>7342</v>
      </c>
      <c r="P1196" s="0" t="s">
        <v>229</v>
      </c>
      <c r="R1196" s="0" t="s">
        <v>7435</v>
      </c>
      <c r="S1196" s="0" t="s">
        <v>7344</v>
      </c>
      <c r="T1196" s="0" t="s">
        <v>681</v>
      </c>
      <c r="V1196" s="0" t="s">
        <v>61</v>
      </c>
      <c r="W1196" s="0" t="s">
        <v>63</v>
      </c>
      <c r="X1196" s="0" t="s">
        <v>7355</v>
      </c>
      <c r="Y1196" s="0" t="s">
        <v>7459</v>
      </c>
      <c r="Z1196" s="0" t="s">
        <v>8083</v>
      </c>
      <c r="AA1196" s="0" t="s">
        <v>8141</v>
      </c>
      <c r="AB1196" s="0" t="s">
        <v>231</v>
      </c>
      <c r="AC1196" s="0" t="s">
        <v>7349</v>
      </c>
      <c r="AD1196" s="0" t="s">
        <v>8146</v>
      </c>
      <c r="AE1196" s="0" t="s">
        <v>7462</v>
      </c>
      <c r="AF1196" s="0" t="s">
        <v>8143</v>
      </c>
      <c r="AG1196" s="0" t="s">
        <v>3198</v>
      </c>
    </row>
    <row r="1197" customFormat="false" ht="15" hidden="false" customHeight="false" outlineLevel="0" collapsed="false">
      <c r="A1197" s="0" t="s">
        <v>7336</v>
      </c>
      <c r="B1197" s="0" t="s">
        <v>4438</v>
      </c>
      <c r="C1197" s="0" t="s">
        <v>4439</v>
      </c>
      <c r="D1197" s="0" t="s">
        <v>2983</v>
      </c>
      <c r="E1197" s="0" t="s">
        <v>4440</v>
      </c>
      <c r="F1197" s="0" t="s">
        <v>4441</v>
      </c>
      <c r="G1197" s="0" t="s">
        <v>130</v>
      </c>
      <c r="H1197" s="0" t="s">
        <v>8149</v>
      </c>
      <c r="I1197" s="0" t="s">
        <v>7338</v>
      </c>
      <c r="J1197" s="0" t="s">
        <v>1602</v>
      </c>
      <c r="K1197" s="0" t="s">
        <v>7339</v>
      </c>
      <c r="L1197" s="0" t="s">
        <v>7340</v>
      </c>
      <c r="M1197" s="0" t="s">
        <v>7661</v>
      </c>
      <c r="N1197" s="0" t="s">
        <v>7342</v>
      </c>
      <c r="P1197" s="0" t="s">
        <v>229</v>
      </c>
      <c r="R1197" s="0" t="s">
        <v>7435</v>
      </c>
      <c r="S1197" s="0" t="s">
        <v>7344</v>
      </c>
      <c r="T1197" s="0" t="s">
        <v>681</v>
      </c>
      <c r="V1197" s="0" t="s">
        <v>61</v>
      </c>
      <c r="W1197" s="0" t="s">
        <v>63</v>
      </c>
      <c r="X1197" s="0" t="s">
        <v>7355</v>
      </c>
      <c r="Y1197" s="0" t="s">
        <v>7459</v>
      </c>
      <c r="Z1197" s="0" t="s">
        <v>8083</v>
      </c>
      <c r="AA1197" s="0" t="s">
        <v>8141</v>
      </c>
      <c r="AB1197" s="0" t="s">
        <v>231</v>
      </c>
      <c r="AC1197" s="0" t="s">
        <v>7349</v>
      </c>
      <c r="AD1197" s="0" t="s">
        <v>8146</v>
      </c>
      <c r="AE1197" s="0" t="s">
        <v>7462</v>
      </c>
      <c r="AF1197" s="0" t="s">
        <v>8143</v>
      </c>
      <c r="AG1197" s="0" t="s">
        <v>3198</v>
      </c>
    </row>
    <row r="1198" customFormat="false" ht="15" hidden="false" customHeight="false" outlineLevel="0" collapsed="false">
      <c r="A1198" s="0" t="s">
        <v>7336</v>
      </c>
      <c r="B1198" s="0" t="s">
        <v>4442</v>
      </c>
      <c r="C1198" s="0" t="s">
        <v>4443</v>
      </c>
      <c r="D1198" s="0" t="s">
        <v>2983</v>
      </c>
      <c r="E1198" s="0" t="s">
        <v>4444</v>
      </c>
      <c r="F1198" s="0" t="s">
        <v>4445</v>
      </c>
      <c r="G1198" s="0" t="s">
        <v>130</v>
      </c>
      <c r="H1198" s="0" t="s">
        <v>8150</v>
      </c>
      <c r="I1198" s="0" t="s">
        <v>7338</v>
      </c>
      <c r="J1198" s="0" t="s">
        <v>1602</v>
      </c>
      <c r="K1198" s="0" t="s">
        <v>7339</v>
      </c>
      <c r="L1198" s="0" t="s">
        <v>7340</v>
      </c>
      <c r="M1198" s="0" t="s">
        <v>7661</v>
      </c>
      <c r="N1198" s="0" t="s">
        <v>7342</v>
      </c>
      <c r="P1198" s="0" t="s">
        <v>229</v>
      </c>
      <c r="R1198" s="0" t="s">
        <v>7435</v>
      </c>
      <c r="S1198" s="0" t="s">
        <v>7344</v>
      </c>
      <c r="T1198" s="0" t="s">
        <v>681</v>
      </c>
      <c r="V1198" s="0" t="s">
        <v>61</v>
      </c>
      <c r="W1198" s="0" t="s">
        <v>63</v>
      </c>
      <c r="X1198" s="0" t="s">
        <v>7355</v>
      </c>
      <c r="Y1198" s="0" t="s">
        <v>7459</v>
      </c>
      <c r="Z1198" s="0" t="s">
        <v>8083</v>
      </c>
      <c r="AA1198" s="0" t="s">
        <v>8141</v>
      </c>
      <c r="AB1198" s="0" t="s">
        <v>231</v>
      </c>
      <c r="AC1198" s="0" t="s">
        <v>7349</v>
      </c>
      <c r="AD1198" s="0" t="s">
        <v>8146</v>
      </c>
      <c r="AE1198" s="0" t="s">
        <v>7462</v>
      </c>
      <c r="AF1198" s="0" t="s">
        <v>8143</v>
      </c>
      <c r="AG1198" s="0" t="s">
        <v>3198</v>
      </c>
    </row>
    <row r="1199" customFormat="false" ht="15" hidden="false" customHeight="false" outlineLevel="0" collapsed="false">
      <c r="A1199" s="0" t="s">
        <v>7336</v>
      </c>
      <c r="B1199" s="0" t="s">
        <v>4446</v>
      </c>
      <c r="C1199" s="0" t="s">
        <v>4447</v>
      </c>
      <c r="D1199" s="0" t="s">
        <v>2983</v>
      </c>
      <c r="E1199" s="0" t="s">
        <v>4448</v>
      </c>
      <c r="F1199" s="0" t="s">
        <v>4449</v>
      </c>
      <c r="G1199" s="0" t="s">
        <v>130</v>
      </c>
      <c r="H1199" s="0" t="s">
        <v>8151</v>
      </c>
      <c r="I1199" s="0" t="s">
        <v>7338</v>
      </c>
      <c r="J1199" s="0" t="s">
        <v>1602</v>
      </c>
      <c r="K1199" s="0" t="s">
        <v>7339</v>
      </c>
      <c r="L1199" s="0" t="s">
        <v>7340</v>
      </c>
      <c r="M1199" s="0" t="s">
        <v>7661</v>
      </c>
      <c r="N1199" s="0" t="s">
        <v>7342</v>
      </c>
      <c r="P1199" s="0" t="s">
        <v>229</v>
      </c>
      <c r="R1199" s="0" t="s">
        <v>7435</v>
      </c>
      <c r="S1199" s="0" t="s">
        <v>7344</v>
      </c>
      <c r="T1199" s="0" t="s">
        <v>681</v>
      </c>
      <c r="V1199" s="0" t="s">
        <v>61</v>
      </c>
      <c r="W1199" s="0" t="s">
        <v>63</v>
      </c>
      <c r="X1199" s="0" t="s">
        <v>7355</v>
      </c>
      <c r="Y1199" s="0" t="s">
        <v>7459</v>
      </c>
      <c r="Z1199" s="0" t="s">
        <v>8083</v>
      </c>
      <c r="AA1199" s="0" t="s">
        <v>8141</v>
      </c>
      <c r="AB1199" s="0" t="s">
        <v>231</v>
      </c>
      <c r="AC1199" s="0" t="s">
        <v>7349</v>
      </c>
      <c r="AD1199" s="0" t="s">
        <v>8146</v>
      </c>
      <c r="AE1199" s="0" t="s">
        <v>7462</v>
      </c>
      <c r="AF1199" s="0" t="s">
        <v>8143</v>
      </c>
      <c r="AG1199" s="0" t="s">
        <v>3198</v>
      </c>
    </row>
    <row r="1200" customFormat="false" ht="15" hidden="false" customHeight="false" outlineLevel="0" collapsed="false">
      <c r="A1200" s="0" t="s">
        <v>7336</v>
      </c>
      <c r="B1200" s="0" t="s">
        <v>4450</v>
      </c>
      <c r="C1200" s="0" t="s">
        <v>4451</v>
      </c>
      <c r="D1200" s="0" t="s">
        <v>2983</v>
      </c>
      <c r="E1200" s="0" t="s">
        <v>4452</v>
      </c>
      <c r="F1200" s="0" t="s">
        <v>4453</v>
      </c>
      <c r="G1200" s="0" t="s">
        <v>130</v>
      </c>
      <c r="H1200" s="0" t="s">
        <v>8152</v>
      </c>
      <c r="I1200" s="0" t="s">
        <v>7338</v>
      </c>
      <c r="J1200" s="0" t="s">
        <v>1602</v>
      </c>
      <c r="K1200" s="0" t="s">
        <v>7339</v>
      </c>
      <c r="L1200" s="0" t="s">
        <v>7340</v>
      </c>
      <c r="M1200" s="0" t="s">
        <v>7661</v>
      </c>
      <c r="N1200" s="0" t="s">
        <v>7342</v>
      </c>
      <c r="P1200" s="0" t="s">
        <v>229</v>
      </c>
      <c r="R1200" s="0" t="s">
        <v>7435</v>
      </c>
      <c r="S1200" s="0" t="s">
        <v>7344</v>
      </c>
      <c r="T1200" s="0" t="s">
        <v>681</v>
      </c>
      <c r="V1200" s="0" t="s">
        <v>61</v>
      </c>
      <c r="W1200" s="0" t="s">
        <v>63</v>
      </c>
      <c r="X1200" s="0" t="s">
        <v>7355</v>
      </c>
      <c r="Y1200" s="0" t="s">
        <v>7459</v>
      </c>
      <c r="Z1200" s="0" t="s">
        <v>8083</v>
      </c>
      <c r="AA1200" s="0" t="s">
        <v>8141</v>
      </c>
      <c r="AB1200" s="0" t="s">
        <v>231</v>
      </c>
      <c r="AC1200" s="0" t="s">
        <v>7349</v>
      </c>
      <c r="AD1200" s="0" t="s">
        <v>8153</v>
      </c>
      <c r="AE1200" s="0" t="s">
        <v>7462</v>
      </c>
      <c r="AF1200" s="0" t="s">
        <v>8143</v>
      </c>
      <c r="AG1200" s="0" t="s">
        <v>3198</v>
      </c>
    </row>
    <row r="1201" customFormat="false" ht="15" hidden="false" customHeight="false" outlineLevel="0" collapsed="false">
      <c r="A1201" s="0" t="s">
        <v>7336</v>
      </c>
      <c r="B1201" s="0" t="s">
        <v>4454</v>
      </c>
      <c r="C1201" s="0" t="s">
        <v>4455</v>
      </c>
      <c r="D1201" s="0" t="s">
        <v>2983</v>
      </c>
      <c r="E1201" s="0" t="s">
        <v>4456</v>
      </c>
      <c r="F1201" s="0" t="s">
        <v>4457</v>
      </c>
      <c r="G1201" s="0" t="s">
        <v>130</v>
      </c>
      <c r="H1201" s="0" t="s">
        <v>8154</v>
      </c>
      <c r="I1201" s="0" t="s">
        <v>7338</v>
      </c>
      <c r="J1201" s="0" t="s">
        <v>1602</v>
      </c>
      <c r="K1201" s="0" t="s">
        <v>7339</v>
      </c>
      <c r="L1201" s="0" t="s">
        <v>7340</v>
      </c>
      <c r="M1201" s="0" t="s">
        <v>7661</v>
      </c>
      <c r="N1201" s="0" t="s">
        <v>7342</v>
      </c>
      <c r="P1201" s="0" t="s">
        <v>229</v>
      </c>
      <c r="R1201" s="0" t="s">
        <v>7435</v>
      </c>
      <c r="S1201" s="0" t="s">
        <v>7344</v>
      </c>
      <c r="T1201" s="0" t="s">
        <v>681</v>
      </c>
      <c r="V1201" s="0" t="s">
        <v>61</v>
      </c>
      <c r="W1201" s="0" t="s">
        <v>63</v>
      </c>
      <c r="X1201" s="0" t="s">
        <v>7355</v>
      </c>
      <c r="Y1201" s="0" t="s">
        <v>7459</v>
      </c>
      <c r="Z1201" s="0" t="s">
        <v>8083</v>
      </c>
      <c r="AA1201" s="0" t="s">
        <v>8141</v>
      </c>
      <c r="AB1201" s="0" t="s">
        <v>231</v>
      </c>
      <c r="AC1201" s="0" t="s">
        <v>7349</v>
      </c>
      <c r="AD1201" s="0" t="s">
        <v>8153</v>
      </c>
      <c r="AE1201" s="0" t="s">
        <v>7462</v>
      </c>
      <c r="AF1201" s="0" t="s">
        <v>8143</v>
      </c>
      <c r="AG1201" s="0" t="s">
        <v>3198</v>
      </c>
    </row>
    <row r="1202" customFormat="false" ht="15" hidden="false" customHeight="false" outlineLevel="0" collapsed="false">
      <c r="A1202" s="0" t="s">
        <v>7336</v>
      </c>
      <c r="B1202" s="0" t="s">
        <v>4458</v>
      </c>
      <c r="C1202" s="0" t="s">
        <v>4459</v>
      </c>
      <c r="D1202" s="0" t="s">
        <v>2983</v>
      </c>
      <c r="E1202" s="0" t="s">
        <v>4460</v>
      </c>
      <c r="F1202" s="0" t="s">
        <v>4461</v>
      </c>
      <c r="G1202" s="0" t="s">
        <v>130</v>
      </c>
      <c r="H1202" s="0" t="s">
        <v>8155</v>
      </c>
      <c r="I1202" s="0" t="s">
        <v>7338</v>
      </c>
      <c r="J1202" s="0" t="s">
        <v>1602</v>
      </c>
      <c r="K1202" s="0" t="s">
        <v>7339</v>
      </c>
      <c r="L1202" s="0" t="s">
        <v>7340</v>
      </c>
      <c r="M1202" s="0" t="s">
        <v>7661</v>
      </c>
      <c r="N1202" s="0" t="s">
        <v>7342</v>
      </c>
      <c r="P1202" s="0" t="s">
        <v>229</v>
      </c>
      <c r="Q1202" s="0" t="s">
        <v>7354</v>
      </c>
      <c r="S1202" s="0" t="s">
        <v>7344</v>
      </c>
      <c r="T1202" s="0" t="s">
        <v>58</v>
      </c>
      <c r="V1202" s="0" t="s">
        <v>55</v>
      </c>
      <c r="W1202" s="0" t="s">
        <v>55</v>
      </c>
      <c r="X1202" s="0" t="s">
        <v>7355</v>
      </c>
      <c r="Z1202" s="0" t="s">
        <v>7493</v>
      </c>
      <c r="AB1202" s="0" t="s">
        <v>231</v>
      </c>
      <c r="AC1202" s="0" t="s">
        <v>7349</v>
      </c>
      <c r="AE1202" s="0" t="s">
        <v>7826</v>
      </c>
      <c r="AF1202" s="0" t="s">
        <v>8156</v>
      </c>
      <c r="AG1202" s="0" t="s">
        <v>230</v>
      </c>
    </row>
    <row r="1203" customFormat="false" ht="15" hidden="false" customHeight="false" outlineLevel="0" collapsed="false">
      <c r="A1203" s="0" t="s">
        <v>7336</v>
      </c>
      <c r="B1203" s="0" t="s">
        <v>4462</v>
      </c>
      <c r="C1203" s="0" t="s">
        <v>4463</v>
      </c>
      <c r="D1203" s="0" t="s">
        <v>2983</v>
      </c>
      <c r="E1203" s="0" t="s">
        <v>4464</v>
      </c>
      <c r="F1203" s="0" t="s">
        <v>4465</v>
      </c>
      <c r="G1203" s="0" t="s">
        <v>130</v>
      </c>
      <c r="H1203" s="0" t="s">
        <v>8157</v>
      </c>
      <c r="I1203" s="0" t="s">
        <v>7338</v>
      </c>
      <c r="J1203" s="0" t="s">
        <v>1602</v>
      </c>
      <c r="K1203" s="0" t="s">
        <v>7339</v>
      </c>
      <c r="L1203" s="0" t="s">
        <v>7340</v>
      </c>
      <c r="M1203" s="0" t="s">
        <v>7661</v>
      </c>
      <c r="N1203" s="0" t="s">
        <v>7342</v>
      </c>
      <c r="P1203" s="0" t="s">
        <v>229</v>
      </c>
      <c r="Q1203" s="0" t="s">
        <v>7354</v>
      </c>
      <c r="S1203" s="0" t="s">
        <v>7344</v>
      </c>
      <c r="T1203" s="0" t="s">
        <v>58</v>
      </c>
      <c r="V1203" s="0" t="s">
        <v>55</v>
      </c>
      <c r="W1203" s="0" t="s">
        <v>55</v>
      </c>
      <c r="X1203" s="0" t="s">
        <v>7355</v>
      </c>
      <c r="Z1203" s="0" t="s">
        <v>7493</v>
      </c>
      <c r="AB1203" s="0" t="s">
        <v>344</v>
      </c>
      <c r="AC1203" s="0" t="s">
        <v>7349</v>
      </c>
      <c r="AE1203" s="0" t="s">
        <v>8158</v>
      </c>
      <c r="AF1203" s="0" t="s">
        <v>7374</v>
      </c>
      <c r="AG1203" s="0" t="s">
        <v>230</v>
      </c>
    </row>
    <row r="1204" customFormat="false" ht="15" hidden="false" customHeight="false" outlineLevel="0" collapsed="false">
      <c r="A1204" s="0" t="s">
        <v>7336</v>
      </c>
      <c r="B1204" s="0" t="s">
        <v>4466</v>
      </c>
      <c r="C1204" s="0" t="s">
        <v>4467</v>
      </c>
      <c r="D1204" s="0" t="s">
        <v>2983</v>
      </c>
      <c r="E1204" s="0" t="s">
        <v>4468</v>
      </c>
      <c r="F1204" s="0" t="s">
        <v>4469</v>
      </c>
      <c r="G1204" s="0" t="s">
        <v>130</v>
      </c>
      <c r="H1204" s="0" t="s">
        <v>8159</v>
      </c>
      <c r="I1204" s="0" t="s">
        <v>7338</v>
      </c>
      <c r="J1204" s="0" t="s">
        <v>1602</v>
      </c>
      <c r="K1204" s="0" t="s">
        <v>7339</v>
      </c>
      <c r="L1204" s="0" t="s">
        <v>7340</v>
      </c>
      <c r="M1204" s="0" t="s">
        <v>7661</v>
      </c>
      <c r="N1204" s="0" t="s">
        <v>7342</v>
      </c>
      <c r="P1204" s="0" t="s">
        <v>229</v>
      </c>
      <c r="Q1204" s="0" t="s">
        <v>7354</v>
      </c>
      <c r="S1204" s="0" t="s">
        <v>7344</v>
      </c>
      <c r="T1204" s="0" t="s">
        <v>58</v>
      </c>
      <c r="V1204" s="0" t="s">
        <v>55</v>
      </c>
      <c r="W1204" s="0" t="s">
        <v>55</v>
      </c>
      <c r="X1204" s="0" t="s">
        <v>7355</v>
      </c>
      <c r="Z1204" s="0" t="s">
        <v>7493</v>
      </c>
      <c r="AB1204" s="0" t="s">
        <v>344</v>
      </c>
      <c r="AC1204" s="0" t="s">
        <v>7349</v>
      </c>
      <c r="AE1204" s="0" t="s">
        <v>8158</v>
      </c>
      <c r="AF1204" s="0" t="s">
        <v>7374</v>
      </c>
      <c r="AG1204" s="0" t="s">
        <v>230</v>
      </c>
    </row>
    <row r="1205" customFormat="false" ht="15" hidden="false" customHeight="false" outlineLevel="0" collapsed="false">
      <c r="A1205" s="0" t="s">
        <v>7336</v>
      </c>
      <c r="B1205" s="0" t="s">
        <v>4470</v>
      </c>
      <c r="C1205" s="0" t="s">
        <v>4471</v>
      </c>
      <c r="D1205" s="0" t="s">
        <v>2983</v>
      </c>
      <c r="E1205" s="0" t="s">
        <v>4472</v>
      </c>
      <c r="F1205" s="0" t="s">
        <v>4473</v>
      </c>
      <c r="G1205" s="0" t="s">
        <v>130</v>
      </c>
      <c r="H1205" s="0" t="s">
        <v>8160</v>
      </c>
      <c r="I1205" s="0" t="s">
        <v>7338</v>
      </c>
      <c r="J1205" s="0" t="s">
        <v>1602</v>
      </c>
      <c r="K1205" s="0" t="s">
        <v>7339</v>
      </c>
      <c r="L1205" s="0" t="s">
        <v>7340</v>
      </c>
      <c r="M1205" s="0" t="s">
        <v>7661</v>
      </c>
      <c r="N1205" s="0" t="s">
        <v>7342</v>
      </c>
      <c r="P1205" s="0" t="s">
        <v>229</v>
      </c>
      <c r="Q1205" s="0" t="s">
        <v>7354</v>
      </c>
      <c r="S1205" s="0" t="s">
        <v>7344</v>
      </c>
      <c r="T1205" s="0" t="s">
        <v>58</v>
      </c>
      <c r="V1205" s="0" t="s">
        <v>55</v>
      </c>
      <c r="W1205" s="0" t="s">
        <v>55</v>
      </c>
      <c r="X1205" s="0" t="s">
        <v>7355</v>
      </c>
      <c r="Z1205" s="0" t="s">
        <v>7493</v>
      </c>
      <c r="AB1205" s="0" t="s">
        <v>344</v>
      </c>
      <c r="AC1205" s="0" t="s">
        <v>7349</v>
      </c>
      <c r="AE1205" s="0" t="s">
        <v>8158</v>
      </c>
      <c r="AF1205" s="0" t="s">
        <v>7374</v>
      </c>
      <c r="AG1205" s="0" t="s">
        <v>230</v>
      </c>
    </row>
    <row r="1206" customFormat="false" ht="15" hidden="false" customHeight="false" outlineLevel="0" collapsed="false">
      <c r="A1206" s="0" t="s">
        <v>7336</v>
      </c>
      <c r="B1206" s="0" t="s">
        <v>4474</v>
      </c>
      <c r="C1206" s="0" t="s">
        <v>4475</v>
      </c>
      <c r="D1206" s="0" t="s">
        <v>2983</v>
      </c>
      <c r="E1206" s="0" t="s">
        <v>4476</v>
      </c>
      <c r="F1206" s="0" t="s">
        <v>4477</v>
      </c>
      <c r="G1206" s="0" t="s">
        <v>130</v>
      </c>
      <c r="H1206" s="0" t="s">
        <v>8161</v>
      </c>
      <c r="I1206" s="0" t="s">
        <v>7338</v>
      </c>
      <c r="J1206" s="0" t="s">
        <v>1602</v>
      </c>
      <c r="K1206" s="0" t="s">
        <v>7339</v>
      </c>
      <c r="L1206" s="0" t="s">
        <v>7340</v>
      </c>
      <c r="M1206" s="0" t="s">
        <v>7661</v>
      </c>
      <c r="N1206" s="0" t="s">
        <v>7342</v>
      </c>
      <c r="P1206" s="0" t="s">
        <v>229</v>
      </c>
      <c r="Q1206" s="0" t="s">
        <v>7354</v>
      </c>
      <c r="S1206" s="0" t="s">
        <v>7344</v>
      </c>
      <c r="T1206" s="0" t="s">
        <v>58</v>
      </c>
      <c r="V1206" s="0" t="s">
        <v>55</v>
      </c>
      <c r="W1206" s="0" t="s">
        <v>55</v>
      </c>
      <c r="X1206" s="0" t="s">
        <v>7355</v>
      </c>
      <c r="Z1206" s="0" t="s">
        <v>7493</v>
      </c>
      <c r="AB1206" s="0" t="s">
        <v>344</v>
      </c>
      <c r="AC1206" s="0" t="s">
        <v>7349</v>
      </c>
      <c r="AE1206" s="0" t="s">
        <v>8158</v>
      </c>
      <c r="AF1206" s="0" t="s">
        <v>7374</v>
      </c>
      <c r="AG1206" s="0" t="s">
        <v>230</v>
      </c>
    </row>
    <row r="1207" customFormat="false" ht="15" hidden="false" customHeight="false" outlineLevel="0" collapsed="false">
      <c r="A1207" s="0" t="s">
        <v>7336</v>
      </c>
      <c r="B1207" s="0" t="s">
        <v>4478</v>
      </c>
      <c r="C1207" s="0" t="s">
        <v>4479</v>
      </c>
      <c r="D1207" s="0" t="s">
        <v>2983</v>
      </c>
      <c r="E1207" s="0" t="s">
        <v>4480</v>
      </c>
      <c r="F1207" s="0" t="s">
        <v>4481</v>
      </c>
      <c r="G1207" s="0" t="s">
        <v>130</v>
      </c>
      <c r="H1207" s="0" t="s">
        <v>8162</v>
      </c>
      <c r="I1207" s="0" t="s">
        <v>7338</v>
      </c>
      <c r="J1207" s="0" t="s">
        <v>1602</v>
      </c>
      <c r="K1207" s="0" t="s">
        <v>7339</v>
      </c>
      <c r="L1207" s="0" t="s">
        <v>7340</v>
      </c>
      <c r="M1207" s="0" t="s">
        <v>7661</v>
      </c>
      <c r="N1207" s="0" t="s">
        <v>7342</v>
      </c>
      <c r="P1207" s="0" t="s">
        <v>229</v>
      </c>
      <c r="Q1207" s="0" t="s">
        <v>7354</v>
      </c>
      <c r="S1207" s="0" t="s">
        <v>7344</v>
      </c>
      <c r="T1207" s="0" t="s">
        <v>58</v>
      </c>
      <c r="V1207" s="0" t="s">
        <v>55</v>
      </c>
      <c r="W1207" s="0" t="s">
        <v>55</v>
      </c>
      <c r="X1207" s="0" t="s">
        <v>7355</v>
      </c>
      <c r="Z1207" s="0" t="s">
        <v>7493</v>
      </c>
      <c r="AB1207" s="0" t="s">
        <v>344</v>
      </c>
      <c r="AC1207" s="0" t="s">
        <v>7349</v>
      </c>
      <c r="AE1207" s="0" t="s">
        <v>8158</v>
      </c>
      <c r="AF1207" s="0" t="s">
        <v>7374</v>
      </c>
      <c r="AG1207" s="0" t="s">
        <v>230</v>
      </c>
    </row>
    <row r="1208" customFormat="false" ht="15" hidden="false" customHeight="false" outlineLevel="0" collapsed="false">
      <c r="A1208" s="0" t="s">
        <v>7336</v>
      </c>
      <c r="B1208" s="0" t="s">
        <v>4482</v>
      </c>
      <c r="C1208" s="0" t="s">
        <v>4483</v>
      </c>
      <c r="D1208" s="0" t="s">
        <v>2983</v>
      </c>
      <c r="E1208" s="0" t="s">
        <v>4484</v>
      </c>
      <c r="F1208" s="0" t="s">
        <v>4485</v>
      </c>
      <c r="G1208" s="0" t="s">
        <v>130</v>
      </c>
      <c r="H1208" s="0" t="s">
        <v>8163</v>
      </c>
      <c r="I1208" s="0" t="s">
        <v>7338</v>
      </c>
      <c r="J1208" s="0" t="s">
        <v>1602</v>
      </c>
      <c r="K1208" s="0" t="s">
        <v>7339</v>
      </c>
      <c r="L1208" s="0" t="s">
        <v>7340</v>
      </c>
      <c r="M1208" s="0" t="s">
        <v>7661</v>
      </c>
      <c r="N1208" s="0" t="s">
        <v>7342</v>
      </c>
      <c r="P1208" s="0" t="s">
        <v>229</v>
      </c>
      <c r="Q1208" s="0" t="s">
        <v>7354</v>
      </c>
      <c r="S1208" s="0" t="s">
        <v>7344</v>
      </c>
      <c r="T1208" s="0" t="s">
        <v>58</v>
      </c>
      <c r="V1208" s="0" t="s">
        <v>55</v>
      </c>
      <c r="W1208" s="0" t="s">
        <v>55</v>
      </c>
      <c r="X1208" s="0" t="s">
        <v>7355</v>
      </c>
      <c r="Z1208" s="0" t="s">
        <v>7493</v>
      </c>
      <c r="AB1208" s="0" t="s">
        <v>344</v>
      </c>
      <c r="AC1208" s="0" t="s">
        <v>7349</v>
      </c>
      <c r="AE1208" s="0" t="s">
        <v>8158</v>
      </c>
      <c r="AF1208" s="0" t="s">
        <v>7374</v>
      </c>
      <c r="AG1208" s="0" t="s">
        <v>230</v>
      </c>
    </row>
    <row r="1209" customFormat="false" ht="15" hidden="false" customHeight="false" outlineLevel="0" collapsed="false">
      <c r="A1209" s="0" t="s">
        <v>7336</v>
      </c>
      <c r="B1209" s="0" t="s">
        <v>4486</v>
      </c>
      <c r="C1209" s="0" t="s">
        <v>4487</v>
      </c>
      <c r="D1209" s="0" t="s">
        <v>2983</v>
      </c>
      <c r="E1209" s="0" t="s">
        <v>4488</v>
      </c>
      <c r="F1209" s="0" t="s">
        <v>4489</v>
      </c>
      <c r="G1209" s="0" t="s">
        <v>130</v>
      </c>
      <c r="H1209" s="0" t="s">
        <v>8164</v>
      </c>
      <c r="I1209" s="0" t="s">
        <v>7338</v>
      </c>
      <c r="J1209" s="0" t="s">
        <v>1602</v>
      </c>
      <c r="K1209" s="0" t="s">
        <v>7339</v>
      </c>
      <c r="L1209" s="0" t="s">
        <v>7340</v>
      </c>
      <c r="M1209" s="0" t="s">
        <v>7661</v>
      </c>
      <c r="N1209" s="0" t="s">
        <v>7342</v>
      </c>
      <c r="P1209" s="0" t="s">
        <v>229</v>
      </c>
      <c r="Q1209" s="0" t="s">
        <v>7354</v>
      </c>
      <c r="S1209" s="0" t="s">
        <v>7344</v>
      </c>
      <c r="T1209" s="0" t="s">
        <v>58</v>
      </c>
      <c r="V1209" s="0" t="s">
        <v>55</v>
      </c>
      <c r="W1209" s="0" t="s">
        <v>55</v>
      </c>
      <c r="X1209" s="0" t="s">
        <v>7355</v>
      </c>
      <c r="Z1209" s="0" t="s">
        <v>7493</v>
      </c>
      <c r="AB1209" s="0" t="s">
        <v>344</v>
      </c>
      <c r="AC1209" s="0" t="s">
        <v>7349</v>
      </c>
      <c r="AE1209" s="0" t="s">
        <v>8158</v>
      </c>
      <c r="AF1209" s="0" t="s">
        <v>7374</v>
      </c>
      <c r="AG1209" s="0" t="s">
        <v>230</v>
      </c>
    </row>
    <row r="1210" customFormat="false" ht="15" hidden="false" customHeight="false" outlineLevel="0" collapsed="false">
      <c r="A1210" s="0" t="s">
        <v>7336</v>
      </c>
      <c r="B1210" s="0" t="s">
        <v>4490</v>
      </c>
      <c r="C1210" s="0" t="s">
        <v>4491</v>
      </c>
      <c r="D1210" s="0" t="s">
        <v>2983</v>
      </c>
      <c r="E1210" s="0" t="s">
        <v>4492</v>
      </c>
      <c r="F1210" s="0" t="s">
        <v>4493</v>
      </c>
      <c r="G1210" s="0" t="s">
        <v>130</v>
      </c>
      <c r="H1210" s="0" t="s">
        <v>8165</v>
      </c>
      <c r="I1210" s="0" t="s">
        <v>7338</v>
      </c>
      <c r="J1210" s="0" t="s">
        <v>1602</v>
      </c>
      <c r="K1210" s="0" t="s">
        <v>7339</v>
      </c>
      <c r="L1210" s="0" t="s">
        <v>7340</v>
      </c>
      <c r="M1210" s="0" t="s">
        <v>7661</v>
      </c>
      <c r="N1210" s="0" t="s">
        <v>7342</v>
      </c>
      <c r="P1210" s="0" t="s">
        <v>229</v>
      </c>
      <c r="Q1210" s="0" t="s">
        <v>7354</v>
      </c>
      <c r="S1210" s="0" t="s">
        <v>7344</v>
      </c>
      <c r="T1210" s="0" t="s">
        <v>58</v>
      </c>
      <c r="V1210" s="0" t="s">
        <v>55</v>
      </c>
      <c r="W1210" s="0" t="s">
        <v>55</v>
      </c>
      <c r="X1210" s="0" t="s">
        <v>7355</v>
      </c>
      <c r="Z1210" s="0" t="s">
        <v>7493</v>
      </c>
      <c r="AB1210" s="0" t="s">
        <v>344</v>
      </c>
      <c r="AC1210" s="0" t="s">
        <v>7349</v>
      </c>
      <c r="AE1210" s="0" t="s">
        <v>8158</v>
      </c>
      <c r="AF1210" s="0" t="s">
        <v>7374</v>
      </c>
      <c r="AG1210" s="0" t="s">
        <v>230</v>
      </c>
    </row>
    <row r="1211" customFormat="false" ht="15" hidden="false" customHeight="false" outlineLevel="0" collapsed="false">
      <c r="A1211" s="0" t="s">
        <v>7336</v>
      </c>
      <c r="B1211" s="0" t="s">
        <v>4494</v>
      </c>
      <c r="C1211" s="0" t="s">
        <v>4495</v>
      </c>
      <c r="D1211" s="0" t="s">
        <v>2983</v>
      </c>
      <c r="E1211" s="0" t="s">
        <v>4496</v>
      </c>
      <c r="F1211" s="0" t="s">
        <v>4497</v>
      </c>
      <c r="G1211" s="0" t="s">
        <v>130</v>
      </c>
      <c r="H1211" s="0" t="s">
        <v>8166</v>
      </c>
      <c r="I1211" s="0" t="s">
        <v>7338</v>
      </c>
      <c r="J1211" s="0" t="s">
        <v>1602</v>
      </c>
      <c r="K1211" s="0" t="s">
        <v>7339</v>
      </c>
      <c r="L1211" s="0" t="s">
        <v>7340</v>
      </c>
      <c r="M1211" s="0" t="s">
        <v>7661</v>
      </c>
      <c r="N1211" s="0" t="s">
        <v>7342</v>
      </c>
      <c r="P1211" s="0" t="s">
        <v>229</v>
      </c>
      <c r="Q1211" s="0" t="s">
        <v>7354</v>
      </c>
      <c r="S1211" s="0" t="s">
        <v>7344</v>
      </c>
      <c r="T1211" s="0" t="s">
        <v>58</v>
      </c>
      <c r="V1211" s="0" t="s">
        <v>55</v>
      </c>
      <c r="W1211" s="0" t="s">
        <v>55</v>
      </c>
      <c r="X1211" s="0" t="s">
        <v>7355</v>
      </c>
      <c r="Z1211" s="0" t="s">
        <v>7493</v>
      </c>
      <c r="AB1211" s="0" t="s">
        <v>344</v>
      </c>
      <c r="AC1211" s="0" t="s">
        <v>7349</v>
      </c>
      <c r="AE1211" s="0" t="s">
        <v>8158</v>
      </c>
      <c r="AF1211" s="0" t="s">
        <v>7374</v>
      </c>
      <c r="AG1211" s="0" t="s">
        <v>230</v>
      </c>
    </row>
    <row r="1212" customFormat="false" ht="15" hidden="false" customHeight="false" outlineLevel="0" collapsed="false">
      <c r="A1212" s="0" t="s">
        <v>7336</v>
      </c>
      <c r="B1212" s="0" t="s">
        <v>4498</v>
      </c>
      <c r="C1212" s="0" t="s">
        <v>4499</v>
      </c>
      <c r="D1212" s="0" t="s">
        <v>2983</v>
      </c>
      <c r="E1212" s="0" t="s">
        <v>4500</v>
      </c>
      <c r="F1212" s="0" t="s">
        <v>4501</v>
      </c>
      <c r="G1212" s="0" t="s">
        <v>130</v>
      </c>
      <c r="H1212" s="0" t="s">
        <v>8167</v>
      </c>
      <c r="I1212" s="0" t="s">
        <v>7338</v>
      </c>
      <c r="J1212" s="0" t="s">
        <v>1602</v>
      </c>
      <c r="K1212" s="0" t="s">
        <v>7339</v>
      </c>
      <c r="L1212" s="0" t="s">
        <v>7340</v>
      </c>
      <c r="M1212" s="0" t="s">
        <v>7661</v>
      </c>
      <c r="N1212" s="0" t="s">
        <v>7342</v>
      </c>
      <c r="P1212" s="0" t="s">
        <v>229</v>
      </c>
      <c r="Q1212" s="0" t="s">
        <v>7354</v>
      </c>
      <c r="S1212" s="0" t="s">
        <v>7344</v>
      </c>
      <c r="T1212" s="0" t="s">
        <v>58</v>
      </c>
      <c r="V1212" s="0" t="s">
        <v>55</v>
      </c>
      <c r="W1212" s="0" t="s">
        <v>55</v>
      </c>
      <c r="X1212" s="0" t="s">
        <v>7355</v>
      </c>
      <c r="Z1212" s="0" t="s">
        <v>7493</v>
      </c>
      <c r="AB1212" s="0" t="s">
        <v>344</v>
      </c>
      <c r="AC1212" s="0" t="s">
        <v>7349</v>
      </c>
      <c r="AE1212" s="0" t="s">
        <v>8158</v>
      </c>
      <c r="AF1212" s="0" t="s">
        <v>7374</v>
      </c>
      <c r="AG1212" s="0" t="s">
        <v>230</v>
      </c>
    </row>
    <row r="1213" customFormat="false" ht="15" hidden="false" customHeight="false" outlineLevel="0" collapsed="false">
      <c r="A1213" s="0" t="s">
        <v>7336</v>
      </c>
      <c r="B1213" s="0" t="s">
        <v>4502</v>
      </c>
      <c r="C1213" s="0" t="s">
        <v>4503</v>
      </c>
      <c r="D1213" s="0" t="s">
        <v>2983</v>
      </c>
      <c r="E1213" s="0" t="s">
        <v>4504</v>
      </c>
      <c r="F1213" s="0" t="s">
        <v>4505</v>
      </c>
      <c r="G1213" s="0" t="s">
        <v>130</v>
      </c>
      <c r="H1213" s="0" t="s">
        <v>8168</v>
      </c>
      <c r="I1213" s="0" t="s">
        <v>7338</v>
      </c>
      <c r="J1213" s="0" t="s">
        <v>1602</v>
      </c>
      <c r="K1213" s="0" t="s">
        <v>7339</v>
      </c>
      <c r="L1213" s="0" t="s">
        <v>7340</v>
      </c>
      <c r="M1213" s="0" t="s">
        <v>7661</v>
      </c>
      <c r="N1213" s="0" t="s">
        <v>7342</v>
      </c>
      <c r="P1213" s="0" t="s">
        <v>229</v>
      </c>
      <c r="Q1213" s="0" t="s">
        <v>7354</v>
      </c>
      <c r="S1213" s="0" t="s">
        <v>7344</v>
      </c>
      <c r="T1213" s="0" t="s">
        <v>58</v>
      </c>
      <c r="V1213" s="0" t="s">
        <v>55</v>
      </c>
      <c r="W1213" s="0" t="s">
        <v>55</v>
      </c>
      <c r="X1213" s="0" t="s">
        <v>7355</v>
      </c>
      <c r="Z1213" s="0" t="s">
        <v>7493</v>
      </c>
      <c r="AB1213" s="0" t="s">
        <v>344</v>
      </c>
      <c r="AC1213" s="0" t="s">
        <v>7349</v>
      </c>
      <c r="AE1213" s="0" t="s">
        <v>8158</v>
      </c>
      <c r="AF1213" s="0" t="s">
        <v>7374</v>
      </c>
      <c r="AG1213" s="0" t="s">
        <v>230</v>
      </c>
    </row>
    <row r="1214" customFormat="false" ht="15" hidden="false" customHeight="false" outlineLevel="0" collapsed="false">
      <c r="A1214" s="0" t="s">
        <v>7336</v>
      </c>
      <c r="B1214" s="0" t="s">
        <v>4506</v>
      </c>
      <c r="C1214" s="0" t="s">
        <v>4507</v>
      </c>
      <c r="D1214" s="0" t="s">
        <v>2983</v>
      </c>
      <c r="E1214" s="0" t="s">
        <v>4508</v>
      </c>
      <c r="F1214" s="0" t="s">
        <v>4509</v>
      </c>
      <c r="G1214" s="0" t="s">
        <v>136</v>
      </c>
      <c r="H1214" s="0" t="s">
        <v>8169</v>
      </c>
      <c r="I1214" s="0" t="s">
        <v>7338</v>
      </c>
      <c r="J1214" s="0" t="s">
        <v>1602</v>
      </c>
      <c r="K1214" s="0" t="s">
        <v>7339</v>
      </c>
      <c r="L1214" s="0" t="s">
        <v>7340</v>
      </c>
      <c r="M1214" s="0" t="s">
        <v>7661</v>
      </c>
      <c r="N1214" s="0" t="s">
        <v>7342</v>
      </c>
      <c r="P1214" s="0" t="s">
        <v>229</v>
      </c>
      <c r="R1214" s="0" t="s">
        <v>7435</v>
      </c>
      <c r="S1214" s="0" t="s">
        <v>7344</v>
      </c>
      <c r="T1214" s="0" t="s">
        <v>681</v>
      </c>
      <c r="V1214" s="0" t="s">
        <v>61</v>
      </c>
      <c r="W1214" s="0" t="s">
        <v>63</v>
      </c>
      <c r="X1214" s="0" t="s">
        <v>7355</v>
      </c>
      <c r="Y1214" s="0" t="s">
        <v>7436</v>
      </c>
      <c r="Z1214" s="0" t="s">
        <v>8088</v>
      </c>
      <c r="AA1214" s="0" t="s">
        <v>8170</v>
      </c>
      <c r="AB1214" s="0" t="s">
        <v>4510</v>
      </c>
      <c r="AC1214" s="0" t="s">
        <v>7349</v>
      </c>
      <c r="AD1214" s="0" t="s">
        <v>8171</v>
      </c>
      <c r="AE1214" s="0" t="s">
        <v>8172</v>
      </c>
      <c r="AF1214" s="0" t="s">
        <v>8143</v>
      </c>
      <c r="AG1214" s="0" t="s">
        <v>3198</v>
      </c>
    </row>
    <row r="1215" customFormat="false" ht="15" hidden="false" customHeight="false" outlineLevel="0" collapsed="false">
      <c r="A1215" s="0" t="s">
        <v>7336</v>
      </c>
      <c r="B1215" s="0" t="s">
        <v>4511</v>
      </c>
      <c r="C1215" s="0" t="s">
        <v>4512</v>
      </c>
      <c r="D1215" s="0" t="s">
        <v>2983</v>
      </c>
      <c r="E1215" s="0" t="s">
        <v>4513</v>
      </c>
      <c r="F1215" s="0" t="s">
        <v>4514</v>
      </c>
      <c r="G1215" s="0" t="s">
        <v>136</v>
      </c>
      <c r="H1215" s="0" t="s">
        <v>8173</v>
      </c>
      <c r="I1215" s="0" t="s">
        <v>7338</v>
      </c>
      <c r="J1215" s="0" t="s">
        <v>1602</v>
      </c>
      <c r="K1215" s="0" t="s">
        <v>7339</v>
      </c>
      <c r="L1215" s="0" t="s">
        <v>7340</v>
      </c>
      <c r="M1215" s="0" t="s">
        <v>7661</v>
      </c>
      <c r="N1215" s="0" t="s">
        <v>7342</v>
      </c>
      <c r="P1215" s="0" t="s">
        <v>229</v>
      </c>
      <c r="R1215" s="0" t="s">
        <v>7435</v>
      </c>
      <c r="S1215" s="0" t="s">
        <v>7344</v>
      </c>
      <c r="T1215" s="0" t="s">
        <v>681</v>
      </c>
      <c r="V1215" s="0" t="s">
        <v>61</v>
      </c>
      <c r="W1215" s="0" t="s">
        <v>63</v>
      </c>
      <c r="X1215" s="0" t="s">
        <v>7355</v>
      </c>
      <c r="Y1215" s="0" t="s">
        <v>7436</v>
      </c>
      <c r="Z1215" s="0" t="s">
        <v>8088</v>
      </c>
      <c r="AA1215" s="0" t="s">
        <v>8170</v>
      </c>
      <c r="AB1215" s="0" t="s">
        <v>4510</v>
      </c>
      <c r="AC1215" s="0" t="s">
        <v>7349</v>
      </c>
      <c r="AD1215" s="0" t="s">
        <v>8171</v>
      </c>
      <c r="AE1215" s="0" t="s">
        <v>8172</v>
      </c>
      <c r="AF1215" s="0" t="s">
        <v>8143</v>
      </c>
      <c r="AG1215" s="0" t="s">
        <v>3198</v>
      </c>
    </row>
    <row r="1216" customFormat="false" ht="15" hidden="false" customHeight="false" outlineLevel="0" collapsed="false">
      <c r="A1216" s="0" t="s">
        <v>7336</v>
      </c>
      <c r="B1216" s="0" t="s">
        <v>4515</v>
      </c>
      <c r="C1216" s="0" t="s">
        <v>4516</v>
      </c>
      <c r="D1216" s="0" t="s">
        <v>2983</v>
      </c>
      <c r="E1216" s="0" t="s">
        <v>4517</v>
      </c>
      <c r="F1216" s="0" t="s">
        <v>4509</v>
      </c>
      <c r="G1216" s="0" t="s">
        <v>136</v>
      </c>
      <c r="H1216" s="0" t="s">
        <v>8169</v>
      </c>
      <c r="I1216" s="0" t="s">
        <v>7338</v>
      </c>
      <c r="J1216" s="0" t="s">
        <v>1602</v>
      </c>
      <c r="K1216" s="0" t="s">
        <v>7339</v>
      </c>
      <c r="L1216" s="0" t="s">
        <v>7340</v>
      </c>
      <c r="M1216" s="0" t="s">
        <v>7661</v>
      </c>
      <c r="N1216" s="0" t="s">
        <v>7342</v>
      </c>
      <c r="P1216" s="0" t="s">
        <v>229</v>
      </c>
      <c r="R1216" s="0" t="s">
        <v>7435</v>
      </c>
      <c r="S1216" s="0" t="s">
        <v>7344</v>
      </c>
      <c r="T1216" s="0" t="s">
        <v>681</v>
      </c>
      <c r="V1216" s="0" t="s">
        <v>61</v>
      </c>
      <c r="W1216" s="0" t="s">
        <v>63</v>
      </c>
      <c r="X1216" s="0" t="s">
        <v>7355</v>
      </c>
      <c r="Y1216" s="0" t="s">
        <v>7459</v>
      </c>
      <c r="Z1216" s="0" t="s">
        <v>8083</v>
      </c>
      <c r="AA1216" s="0" t="s">
        <v>8141</v>
      </c>
      <c r="AB1216" s="0" t="s">
        <v>231</v>
      </c>
      <c r="AC1216" s="0" t="s">
        <v>7349</v>
      </c>
      <c r="AD1216" s="0" t="s">
        <v>8174</v>
      </c>
      <c r="AE1216" s="0" t="s">
        <v>7462</v>
      </c>
      <c r="AF1216" s="0" t="s">
        <v>8143</v>
      </c>
      <c r="AG1216" s="0" t="s">
        <v>3198</v>
      </c>
    </row>
    <row r="1217" customFormat="false" ht="15" hidden="false" customHeight="false" outlineLevel="0" collapsed="false">
      <c r="A1217" s="0" t="s">
        <v>7336</v>
      </c>
      <c r="B1217" s="0" t="s">
        <v>4518</v>
      </c>
      <c r="C1217" s="0" t="s">
        <v>4519</v>
      </c>
      <c r="D1217" s="0" t="s">
        <v>2983</v>
      </c>
      <c r="E1217" s="0" t="s">
        <v>4520</v>
      </c>
      <c r="F1217" s="0" t="s">
        <v>4514</v>
      </c>
      <c r="G1217" s="0" t="s">
        <v>136</v>
      </c>
      <c r="H1217" s="0" t="s">
        <v>8173</v>
      </c>
      <c r="I1217" s="0" t="s">
        <v>7338</v>
      </c>
      <c r="J1217" s="0" t="s">
        <v>1602</v>
      </c>
      <c r="K1217" s="0" t="s">
        <v>7339</v>
      </c>
      <c r="L1217" s="0" t="s">
        <v>7340</v>
      </c>
      <c r="M1217" s="0" t="s">
        <v>7661</v>
      </c>
      <c r="N1217" s="0" t="s">
        <v>7342</v>
      </c>
      <c r="P1217" s="0" t="s">
        <v>229</v>
      </c>
      <c r="R1217" s="0" t="s">
        <v>7435</v>
      </c>
      <c r="S1217" s="0" t="s">
        <v>7344</v>
      </c>
      <c r="T1217" s="0" t="s">
        <v>681</v>
      </c>
      <c r="V1217" s="0" t="s">
        <v>61</v>
      </c>
      <c r="W1217" s="0" t="s">
        <v>63</v>
      </c>
      <c r="X1217" s="0" t="s">
        <v>7355</v>
      </c>
      <c r="Y1217" s="0" t="s">
        <v>7459</v>
      </c>
      <c r="Z1217" s="0" t="s">
        <v>8083</v>
      </c>
      <c r="AA1217" s="0" t="s">
        <v>8141</v>
      </c>
      <c r="AB1217" s="0" t="s">
        <v>231</v>
      </c>
      <c r="AC1217" s="0" t="s">
        <v>7349</v>
      </c>
      <c r="AD1217" s="0" t="s">
        <v>8174</v>
      </c>
      <c r="AE1217" s="0" t="s">
        <v>7462</v>
      </c>
      <c r="AF1217" s="0" t="s">
        <v>8143</v>
      </c>
      <c r="AG1217" s="0" t="s">
        <v>3198</v>
      </c>
    </row>
    <row r="1218" customFormat="false" ht="15" hidden="false" customHeight="false" outlineLevel="0" collapsed="false">
      <c r="A1218" s="0" t="s">
        <v>7336</v>
      </c>
      <c r="B1218" s="0" t="s">
        <v>4521</v>
      </c>
      <c r="C1218" s="0" t="s">
        <v>4522</v>
      </c>
      <c r="D1218" s="0" t="s">
        <v>2983</v>
      </c>
      <c r="E1218" s="0" t="s">
        <v>4523</v>
      </c>
      <c r="F1218" s="0" t="s">
        <v>4509</v>
      </c>
      <c r="G1218" s="0" t="s">
        <v>136</v>
      </c>
      <c r="H1218" s="0" t="s">
        <v>8169</v>
      </c>
      <c r="I1218" s="0" t="s">
        <v>7338</v>
      </c>
      <c r="J1218" s="0" t="s">
        <v>1602</v>
      </c>
      <c r="K1218" s="0" t="s">
        <v>7339</v>
      </c>
      <c r="L1218" s="0" t="s">
        <v>7340</v>
      </c>
      <c r="M1218" s="0" t="s">
        <v>7661</v>
      </c>
      <c r="N1218" s="0" t="s">
        <v>7342</v>
      </c>
      <c r="P1218" s="0" t="s">
        <v>229</v>
      </c>
      <c r="R1218" s="0" t="s">
        <v>7435</v>
      </c>
      <c r="S1218" s="0" t="s">
        <v>7344</v>
      </c>
      <c r="T1218" s="0" t="s">
        <v>681</v>
      </c>
      <c r="V1218" s="0" t="s">
        <v>61</v>
      </c>
      <c r="W1218" s="0" t="s">
        <v>63</v>
      </c>
      <c r="X1218" s="0" t="s">
        <v>7355</v>
      </c>
      <c r="Y1218" s="0" t="s">
        <v>7459</v>
      </c>
      <c r="Z1218" s="0" t="s">
        <v>8083</v>
      </c>
      <c r="AA1218" s="0" t="s">
        <v>8141</v>
      </c>
      <c r="AB1218" s="0" t="s">
        <v>231</v>
      </c>
      <c r="AC1218" s="0" t="s">
        <v>7349</v>
      </c>
      <c r="AD1218" s="0" t="s">
        <v>8174</v>
      </c>
      <c r="AE1218" s="0" t="s">
        <v>7462</v>
      </c>
      <c r="AF1218" s="0" t="s">
        <v>8143</v>
      </c>
      <c r="AG1218" s="0" t="s">
        <v>3198</v>
      </c>
    </row>
    <row r="1219" customFormat="false" ht="15" hidden="false" customHeight="false" outlineLevel="0" collapsed="false">
      <c r="A1219" s="0" t="s">
        <v>7336</v>
      </c>
      <c r="B1219" s="0" t="s">
        <v>4524</v>
      </c>
      <c r="C1219" s="0" t="s">
        <v>4525</v>
      </c>
      <c r="D1219" s="0" t="s">
        <v>2983</v>
      </c>
      <c r="E1219" s="0" t="s">
        <v>4526</v>
      </c>
      <c r="F1219" s="0" t="s">
        <v>4527</v>
      </c>
      <c r="G1219" s="0" t="s">
        <v>136</v>
      </c>
      <c r="H1219" s="0" t="s">
        <v>8175</v>
      </c>
      <c r="I1219" s="0" t="s">
        <v>7338</v>
      </c>
      <c r="J1219" s="0" t="s">
        <v>1602</v>
      </c>
      <c r="K1219" s="0" t="s">
        <v>7339</v>
      </c>
      <c r="L1219" s="0" t="s">
        <v>7340</v>
      </c>
      <c r="M1219" s="0" t="s">
        <v>7661</v>
      </c>
      <c r="N1219" s="0" t="s">
        <v>7342</v>
      </c>
      <c r="P1219" s="0" t="s">
        <v>229</v>
      </c>
      <c r="R1219" s="0" t="s">
        <v>7435</v>
      </c>
      <c r="S1219" s="0" t="s">
        <v>7344</v>
      </c>
      <c r="T1219" s="0" t="s">
        <v>681</v>
      </c>
      <c r="V1219" s="0" t="s">
        <v>61</v>
      </c>
      <c r="W1219" s="0" t="s">
        <v>63</v>
      </c>
      <c r="X1219" s="0" t="s">
        <v>7355</v>
      </c>
      <c r="Y1219" s="0" t="s">
        <v>7459</v>
      </c>
      <c r="Z1219" s="0" t="s">
        <v>8083</v>
      </c>
      <c r="AA1219" s="0" t="s">
        <v>8141</v>
      </c>
      <c r="AB1219" s="0" t="s">
        <v>231</v>
      </c>
      <c r="AC1219" s="0" t="s">
        <v>7349</v>
      </c>
      <c r="AD1219" s="0" t="s">
        <v>8176</v>
      </c>
      <c r="AE1219" s="0" t="s">
        <v>7462</v>
      </c>
      <c r="AF1219" s="0" t="s">
        <v>8143</v>
      </c>
      <c r="AG1219" s="0" t="s">
        <v>3198</v>
      </c>
    </row>
    <row r="1220" customFormat="false" ht="15" hidden="false" customHeight="false" outlineLevel="0" collapsed="false">
      <c r="A1220" s="0" t="s">
        <v>7336</v>
      </c>
      <c r="B1220" s="0" t="s">
        <v>4528</v>
      </c>
      <c r="C1220" s="0" t="s">
        <v>4529</v>
      </c>
      <c r="D1220" s="0" t="s">
        <v>2983</v>
      </c>
      <c r="E1220" s="0" t="s">
        <v>4530</v>
      </c>
      <c r="F1220" s="0" t="s">
        <v>4527</v>
      </c>
      <c r="G1220" s="0" t="s">
        <v>136</v>
      </c>
      <c r="H1220" s="0" t="s">
        <v>8175</v>
      </c>
      <c r="I1220" s="0" t="s">
        <v>7338</v>
      </c>
      <c r="J1220" s="0" t="s">
        <v>1602</v>
      </c>
      <c r="K1220" s="0" t="s">
        <v>7339</v>
      </c>
      <c r="L1220" s="0" t="s">
        <v>7340</v>
      </c>
      <c r="M1220" s="0" t="s">
        <v>7661</v>
      </c>
      <c r="N1220" s="0" t="s">
        <v>7342</v>
      </c>
      <c r="P1220" s="0" t="s">
        <v>229</v>
      </c>
      <c r="R1220" s="0" t="s">
        <v>7435</v>
      </c>
      <c r="S1220" s="0" t="s">
        <v>7344</v>
      </c>
      <c r="T1220" s="0" t="s">
        <v>681</v>
      </c>
      <c r="V1220" s="0" t="s">
        <v>61</v>
      </c>
      <c r="W1220" s="0" t="s">
        <v>63</v>
      </c>
      <c r="X1220" s="0" t="s">
        <v>7355</v>
      </c>
      <c r="Y1220" s="0" t="s">
        <v>7459</v>
      </c>
      <c r="Z1220" s="0" t="s">
        <v>8062</v>
      </c>
      <c r="AA1220" s="0" t="s">
        <v>8141</v>
      </c>
      <c r="AB1220" s="0" t="s">
        <v>231</v>
      </c>
      <c r="AC1220" s="0" t="s">
        <v>7349</v>
      </c>
      <c r="AD1220" s="0" t="s">
        <v>7715</v>
      </c>
      <c r="AE1220" s="0" t="s">
        <v>8085</v>
      </c>
      <c r="AF1220" s="0" t="s">
        <v>8143</v>
      </c>
      <c r="AG1220" s="0" t="s">
        <v>3198</v>
      </c>
    </row>
    <row r="1221" customFormat="false" ht="15" hidden="false" customHeight="false" outlineLevel="0" collapsed="false">
      <c r="A1221" s="0" t="s">
        <v>7336</v>
      </c>
      <c r="B1221" s="0" t="s">
        <v>4531</v>
      </c>
      <c r="C1221" s="0" t="s">
        <v>4532</v>
      </c>
      <c r="D1221" s="0" t="s">
        <v>2983</v>
      </c>
      <c r="E1221" s="0" t="s">
        <v>4533</v>
      </c>
      <c r="F1221" s="0" t="s">
        <v>4534</v>
      </c>
      <c r="G1221" s="0" t="s">
        <v>136</v>
      </c>
      <c r="H1221" s="0" t="s">
        <v>8177</v>
      </c>
      <c r="I1221" s="0" t="s">
        <v>7338</v>
      </c>
      <c r="J1221" s="0" t="s">
        <v>1602</v>
      </c>
      <c r="K1221" s="0" t="s">
        <v>7339</v>
      </c>
      <c r="L1221" s="0" t="s">
        <v>7340</v>
      </c>
      <c r="M1221" s="0" t="s">
        <v>7661</v>
      </c>
      <c r="N1221" s="0" t="s">
        <v>7342</v>
      </c>
      <c r="P1221" s="0" t="s">
        <v>229</v>
      </c>
      <c r="R1221" s="0" t="s">
        <v>7435</v>
      </c>
      <c r="S1221" s="0" t="s">
        <v>7344</v>
      </c>
      <c r="T1221" s="0" t="s">
        <v>681</v>
      </c>
      <c r="V1221" s="0" t="s">
        <v>61</v>
      </c>
      <c r="W1221" s="0" t="s">
        <v>63</v>
      </c>
      <c r="X1221" s="0" t="s">
        <v>7355</v>
      </c>
      <c r="Y1221" s="0" t="s">
        <v>7459</v>
      </c>
      <c r="Z1221" s="0" t="s">
        <v>8083</v>
      </c>
      <c r="AA1221" s="0" t="s">
        <v>8141</v>
      </c>
      <c r="AB1221" s="0" t="s">
        <v>231</v>
      </c>
      <c r="AC1221" s="0" t="s">
        <v>7349</v>
      </c>
      <c r="AD1221" s="0" t="s">
        <v>8176</v>
      </c>
      <c r="AE1221" s="0" t="s">
        <v>7462</v>
      </c>
      <c r="AF1221" s="0" t="s">
        <v>8143</v>
      </c>
      <c r="AG1221" s="0" t="s">
        <v>3198</v>
      </c>
    </row>
    <row r="1222" customFormat="false" ht="15" hidden="false" customHeight="false" outlineLevel="0" collapsed="false">
      <c r="A1222" s="0" t="s">
        <v>7336</v>
      </c>
      <c r="B1222" s="0" t="s">
        <v>4535</v>
      </c>
      <c r="C1222" s="0" t="s">
        <v>4536</v>
      </c>
      <c r="D1222" s="0" t="s">
        <v>2983</v>
      </c>
      <c r="E1222" s="0" t="s">
        <v>4537</v>
      </c>
      <c r="F1222" s="0" t="s">
        <v>4534</v>
      </c>
      <c r="G1222" s="0" t="s">
        <v>136</v>
      </c>
      <c r="H1222" s="0" t="s">
        <v>8177</v>
      </c>
      <c r="I1222" s="0" t="s">
        <v>7338</v>
      </c>
      <c r="J1222" s="0" t="s">
        <v>1602</v>
      </c>
      <c r="K1222" s="0" t="s">
        <v>7339</v>
      </c>
      <c r="L1222" s="0" t="s">
        <v>7340</v>
      </c>
      <c r="M1222" s="0" t="s">
        <v>7661</v>
      </c>
      <c r="N1222" s="0" t="s">
        <v>7342</v>
      </c>
      <c r="P1222" s="0" t="s">
        <v>229</v>
      </c>
      <c r="R1222" s="0" t="s">
        <v>7435</v>
      </c>
      <c r="S1222" s="0" t="s">
        <v>7344</v>
      </c>
      <c r="T1222" s="0" t="s">
        <v>681</v>
      </c>
      <c r="V1222" s="0" t="s">
        <v>61</v>
      </c>
      <c r="W1222" s="0" t="s">
        <v>63</v>
      </c>
      <c r="X1222" s="0" t="s">
        <v>7355</v>
      </c>
      <c r="Y1222" s="0" t="s">
        <v>7459</v>
      </c>
      <c r="Z1222" s="0" t="s">
        <v>8062</v>
      </c>
      <c r="AA1222" s="0" t="s">
        <v>8141</v>
      </c>
      <c r="AB1222" s="0" t="s">
        <v>231</v>
      </c>
      <c r="AC1222" s="0" t="s">
        <v>7349</v>
      </c>
      <c r="AD1222" s="0" t="s">
        <v>7715</v>
      </c>
      <c r="AE1222" s="0" t="s">
        <v>8085</v>
      </c>
      <c r="AF1222" s="0" t="s">
        <v>8143</v>
      </c>
      <c r="AG1222" s="0" t="s">
        <v>3198</v>
      </c>
    </row>
    <row r="1223" customFormat="false" ht="15" hidden="false" customHeight="false" outlineLevel="0" collapsed="false">
      <c r="A1223" s="0" t="s">
        <v>7336</v>
      </c>
      <c r="B1223" s="0" t="s">
        <v>4538</v>
      </c>
      <c r="C1223" s="0" t="s">
        <v>4539</v>
      </c>
      <c r="D1223" s="0" t="s">
        <v>2983</v>
      </c>
      <c r="E1223" s="0" t="s">
        <v>4540</v>
      </c>
      <c r="F1223" s="0" t="s">
        <v>4541</v>
      </c>
      <c r="G1223" s="0" t="s">
        <v>136</v>
      </c>
      <c r="H1223" s="0" t="s">
        <v>8178</v>
      </c>
      <c r="I1223" s="0" t="s">
        <v>7338</v>
      </c>
      <c r="J1223" s="0" t="s">
        <v>1602</v>
      </c>
      <c r="K1223" s="0" t="s">
        <v>7339</v>
      </c>
      <c r="L1223" s="0" t="s">
        <v>7340</v>
      </c>
      <c r="M1223" s="0" t="s">
        <v>7661</v>
      </c>
      <c r="N1223" s="0" t="s">
        <v>7342</v>
      </c>
      <c r="P1223" s="0" t="s">
        <v>229</v>
      </c>
      <c r="R1223" s="0" t="s">
        <v>7435</v>
      </c>
      <c r="S1223" s="0" t="s">
        <v>7344</v>
      </c>
      <c r="T1223" s="0" t="s">
        <v>681</v>
      </c>
      <c r="V1223" s="0" t="s">
        <v>61</v>
      </c>
      <c r="W1223" s="0" t="s">
        <v>63</v>
      </c>
      <c r="X1223" s="0" t="s">
        <v>7355</v>
      </c>
      <c r="Y1223" s="0" t="s">
        <v>7459</v>
      </c>
      <c r="Z1223" s="0" t="s">
        <v>8083</v>
      </c>
      <c r="AA1223" s="0" t="s">
        <v>8141</v>
      </c>
      <c r="AB1223" s="0" t="s">
        <v>231</v>
      </c>
      <c r="AC1223" s="0" t="s">
        <v>7349</v>
      </c>
      <c r="AD1223" s="0" t="s">
        <v>8153</v>
      </c>
      <c r="AE1223" s="0" t="s">
        <v>7462</v>
      </c>
      <c r="AF1223" s="0" t="s">
        <v>8143</v>
      </c>
      <c r="AG1223" s="0" t="s">
        <v>3198</v>
      </c>
    </row>
    <row r="1224" customFormat="false" ht="15" hidden="false" customHeight="false" outlineLevel="0" collapsed="false">
      <c r="A1224" s="0" t="s">
        <v>7336</v>
      </c>
      <c r="B1224" s="0" t="s">
        <v>4542</v>
      </c>
      <c r="C1224" s="0" t="s">
        <v>4543</v>
      </c>
      <c r="D1224" s="0" t="s">
        <v>2983</v>
      </c>
      <c r="E1224" s="0" t="s">
        <v>4544</v>
      </c>
      <c r="F1224" s="0" t="s">
        <v>4545</v>
      </c>
      <c r="G1224" s="0" t="s">
        <v>136</v>
      </c>
      <c r="H1224" s="0" t="s">
        <v>8179</v>
      </c>
      <c r="I1224" s="0" t="s">
        <v>7338</v>
      </c>
      <c r="J1224" s="0" t="s">
        <v>1602</v>
      </c>
      <c r="K1224" s="0" t="s">
        <v>7339</v>
      </c>
      <c r="L1224" s="0" t="s">
        <v>7340</v>
      </c>
      <c r="M1224" s="0" t="s">
        <v>7661</v>
      </c>
      <c r="N1224" s="0" t="s">
        <v>7342</v>
      </c>
      <c r="P1224" s="0" t="s">
        <v>229</v>
      </c>
      <c r="R1224" s="0" t="s">
        <v>7435</v>
      </c>
      <c r="S1224" s="0" t="s">
        <v>7344</v>
      </c>
      <c r="T1224" s="0" t="s">
        <v>681</v>
      </c>
      <c r="V1224" s="0" t="s">
        <v>61</v>
      </c>
      <c r="W1224" s="0" t="s">
        <v>63</v>
      </c>
      <c r="X1224" s="0" t="s">
        <v>7355</v>
      </c>
      <c r="Y1224" s="0" t="s">
        <v>7459</v>
      </c>
      <c r="Z1224" s="0" t="s">
        <v>8083</v>
      </c>
      <c r="AA1224" s="0" t="s">
        <v>8141</v>
      </c>
      <c r="AB1224" s="0" t="s">
        <v>231</v>
      </c>
      <c r="AC1224" s="0" t="s">
        <v>7349</v>
      </c>
      <c r="AD1224" s="0" t="s">
        <v>8153</v>
      </c>
      <c r="AE1224" s="0" t="s">
        <v>7462</v>
      </c>
      <c r="AF1224" s="0" t="s">
        <v>8143</v>
      </c>
      <c r="AG1224" s="0" t="s">
        <v>3198</v>
      </c>
    </row>
    <row r="1225" customFormat="false" ht="15" hidden="false" customHeight="false" outlineLevel="0" collapsed="false">
      <c r="A1225" s="0" t="s">
        <v>7336</v>
      </c>
      <c r="B1225" s="0" t="s">
        <v>4546</v>
      </c>
      <c r="C1225" s="0" t="s">
        <v>4547</v>
      </c>
      <c r="D1225" s="0" t="s">
        <v>2983</v>
      </c>
      <c r="E1225" s="0" t="s">
        <v>4548</v>
      </c>
      <c r="F1225" s="0" t="s">
        <v>4549</v>
      </c>
      <c r="G1225" s="0" t="s">
        <v>136</v>
      </c>
      <c r="H1225" s="0" t="s">
        <v>8180</v>
      </c>
      <c r="I1225" s="0" t="s">
        <v>7338</v>
      </c>
      <c r="J1225" s="0" t="s">
        <v>1602</v>
      </c>
      <c r="K1225" s="0" t="s">
        <v>7339</v>
      </c>
      <c r="L1225" s="0" t="s">
        <v>7340</v>
      </c>
      <c r="M1225" s="0" t="s">
        <v>7661</v>
      </c>
      <c r="N1225" s="0" t="s">
        <v>7342</v>
      </c>
      <c r="P1225" s="0" t="s">
        <v>229</v>
      </c>
      <c r="R1225" s="0" t="s">
        <v>7435</v>
      </c>
      <c r="S1225" s="0" t="s">
        <v>7344</v>
      </c>
      <c r="T1225" s="0" t="s">
        <v>681</v>
      </c>
      <c r="V1225" s="0" t="s">
        <v>61</v>
      </c>
      <c r="W1225" s="0" t="s">
        <v>63</v>
      </c>
      <c r="X1225" s="0" t="s">
        <v>7355</v>
      </c>
      <c r="Y1225" s="0" t="s">
        <v>7459</v>
      </c>
      <c r="Z1225" s="0" t="s">
        <v>8083</v>
      </c>
      <c r="AA1225" s="0" t="s">
        <v>8141</v>
      </c>
      <c r="AB1225" s="0" t="s">
        <v>231</v>
      </c>
      <c r="AC1225" s="0" t="s">
        <v>7349</v>
      </c>
      <c r="AD1225" s="0" t="s">
        <v>8142</v>
      </c>
      <c r="AE1225" s="0" t="s">
        <v>7462</v>
      </c>
      <c r="AF1225" s="0" t="s">
        <v>8143</v>
      </c>
      <c r="AG1225" s="0" t="s">
        <v>3198</v>
      </c>
    </row>
    <row r="1226" customFormat="false" ht="15" hidden="false" customHeight="false" outlineLevel="0" collapsed="false">
      <c r="A1226" s="0" t="s">
        <v>7336</v>
      </c>
      <c r="B1226" s="0" t="s">
        <v>4550</v>
      </c>
      <c r="C1226" s="0" t="s">
        <v>4551</v>
      </c>
      <c r="D1226" s="0" t="s">
        <v>2983</v>
      </c>
      <c r="E1226" s="0" t="s">
        <v>4552</v>
      </c>
      <c r="F1226" s="0" t="s">
        <v>4549</v>
      </c>
      <c r="G1226" s="0" t="s">
        <v>136</v>
      </c>
      <c r="H1226" s="0" t="s">
        <v>8180</v>
      </c>
      <c r="I1226" s="0" t="s">
        <v>7338</v>
      </c>
      <c r="J1226" s="0" t="s">
        <v>1602</v>
      </c>
      <c r="K1226" s="0" t="s">
        <v>7339</v>
      </c>
      <c r="L1226" s="0" t="s">
        <v>7340</v>
      </c>
      <c r="M1226" s="0" t="s">
        <v>7661</v>
      </c>
      <c r="N1226" s="0" t="s">
        <v>7342</v>
      </c>
      <c r="P1226" s="0" t="s">
        <v>229</v>
      </c>
      <c r="R1226" s="0" t="s">
        <v>7435</v>
      </c>
      <c r="S1226" s="0" t="s">
        <v>7344</v>
      </c>
      <c r="T1226" s="0" t="s">
        <v>681</v>
      </c>
      <c r="V1226" s="0" t="s">
        <v>61</v>
      </c>
      <c r="W1226" s="0" t="s">
        <v>63</v>
      </c>
      <c r="X1226" s="0" t="s">
        <v>7355</v>
      </c>
      <c r="Y1226" s="0" t="s">
        <v>7459</v>
      </c>
      <c r="Z1226" s="0" t="s">
        <v>8083</v>
      </c>
      <c r="AA1226" s="0" t="s">
        <v>8141</v>
      </c>
      <c r="AB1226" s="0" t="s">
        <v>231</v>
      </c>
      <c r="AC1226" s="0" t="s">
        <v>7349</v>
      </c>
      <c r="AD1226" s="0" t="s">
        <v>8142</v>
      </c>
      <c r="AE1226" s="0" t="s">
        <v>7462</v>
      </c>
      <c r="AF1226" s="0" t="s">
        <v>8143</v>
      </c>
      <c r="AG1226" s="0" t="s">
        <v>3198</v>
      </c>
    </row>
    <row r="1227" customFormat="false" ht="15" hidden="false" customHeight="false" outlineLevel="0" collapsed="false">
      <c r="A1227" s="0" t="s">
        <v>7336</v>
      </c>
      <c r="B1227" s="0" t="s">
        <v>4553</v>
      </c>
      <c r="C1227" s="0" t="s">
        <v>4554</v>
      </c>
      <c r="D1227" s="0" t="s">
        <v>2983</v>
      </c>
      <c r="E1227" s="0" t="s">
        <v>4555</v>
      </c>
      <c r="F1227" s="0" t="s">
        <v>4556</v>
      </c>
      <c r="G1227" s="0" t="s">
        <v>136</v>
      </c>
      <c r="H1227" s="0" t="s">
        <v>8181</v>
      </c>
      <c r="I1227" s="0" t="s">
        <v>7338</v>
      </c>
      <c r="J1227" s="0" t="s">
        <v>1602</v>
      </c>
      <c r="K1227" s="0" t="s">
        <v>7339</v>
      </c>
      <c r="L1227" s="0" t="s">
        <v>7340</v>
      </c>
      <c r="M1227" s="0" t="s">
        <v>7661</v>
      </c>
      <c r="N1227" s="0" t="s">
        <v>7342</v>
      </c>
      <c r="P1227" s="0" t="s">
        <v>229</v>
      </c>
      <c r="R1227" s="0" t="s">
        <v>7435</v>
      </c>
      <c r="S1227" s="0" t="s">
        <v>7344</v>
      </c>
      <c r="T1227" s="0" t="s">
        <v>681</v>
      </c>
      <c r="V1227" s="0" t="s">
        <v>61</v>
      </c>
      <c r="W1227" s="0" t="s">
        <v>63</v>
      </c>
      <c r="X1227" s="0" t="s">
        <v>7355</v>
      </c>
      <c r="Y1227" s="0" t="s">
        <v>7459</v>
      </c>
      <c r="Z1227" s="0" t="s">
        <v>8083</v>
      </c>
      <c r="AA1227" s="0" t="s">
        <v>8141</v>
      </c>
      <c r="AB1227" s="0" t="s">
        <v>231</v>
      </c>
      <c r="AC1227" s="0" t="s">
        <v>7349</v>
      </c>
      <c r="AD1227" s="0" t="s">
        <v>8142</v>
      </c>
      <c r="AE1227" s="0" t="s">
        <v>7462</v>
      </c>
      <c r="AF1227" s="0" t="s">
        <v>8143</v>
      </c>
      <c r="AG1227" s="0" t="s">
        <v>3198</v>
      </c>
    </row>
    <row r="1228" customFormat="false" ht="15" hidden="false" customHeight="false" outlineLevel="0" collapsed="false">
      <c r="A1228" s="0" t="s">
        <v>7336</v>
      </c>
      <c r="B1228" s="0" t="s">
        <v>4557</v>
      </c>
      <c r="C1228" s="0" t="s">
        <v>4558</v>
      </c>
      <c r="D1228" s="0" t="s">
        <v>2983</v>
      </c>
      <c r="E1228" s="0" t="s">
        <v>4559</v>
      </c>
      <c r="F1228" s="0" t="s">
        <v>4560</v>
      </c>
      <c r="G1228" s="0" t="s">
        <v>136</v>
      </c>
      <c r="H1228" s="0" t="s">
        <v>8182</v>
      </c>
      <c r="I1228" s="0" t="s">
        <v>7338</v>
      </c>
      <c r="J1228" s="0" t="s">
        <v>1602</v>
      </c>
      <c r="K1228" s="0" t="s">
        <v>7339</v>
      </c>
      <c r="L1228" s="0" t="s">
        <v>7340</v>
      </c>
      <c r="M1228" s="0" t="s">
        <v>7661</v>
      </c>
      <c r="N1228" s="0" t="s">
        <v>7342</v>
      </c>
      <c r="P1228" s="0" t="s">
        <v>229</v>
      </c>
      <c r="R1228" s="0" t="s">
        <v>7435</v>
      </c>
      <c r="S1228" s="0" t="s">
        <v>7344</v>
      </c>
      <c r="T1228" s="0" t="s">
        <v>681</v>
      </c>
      <c r="V1228" s="0" t="s">
        <v>61</v>
      </c>
      <c r="W1228" s="0" t="s">
        <v>63</v>
      </c>
      <c r="X1228" s="0" t="s">
        <v>7355</v>
      </c>
      <c r="Y1228" s="0" t="s">
        <v>7459</v>
      </c>
      <c r="Z1228" s="0" t="s">
        <v>8083</v>
      </c>
      <c r="AA1228" s="0" t="s">
        <v>8141</v>
      </c>
      <c r="AB1228" s="0" t="s">
        <v>231</v>
      </c>
      <c r="AC1228" s="0" t="s">
        <v>7349</v>
      </c>
      <c r="AD1228" s="0" t="s">
        <v>8146</v>
      </c>
      <c r="AE1228" s="0" t="s">
        <v>7462</v>
      </c>
      <c r="AF1228" s="0" t="s">
        <v>8143</v>
      </c>
      <c r="AG1228" s="0" t="s">
        <v>3198</v>
      </c>
    </row>
    <row r="1229" customFormat="false" ht="15" hidden="false" customHeight="false" outlineLevel="0" collapsed="false">
      <c r="A1229" s="0" t="s">
        <v>7336</v>
      </c>
      <c r="B1229" s="0" t="s">
        <v>4561</v>
      </c>
      <c r="C1229" s="0" t="s">
        <v>4562</v>
      </c>
      <c r="D1229" s="0" t="s">
        <v>2983</v>
      </c>
      <c r="E1229" s="0" t="s">
        <v>4563</v>
      </c>
      <c r="F1229" s="0" t="s">
        <v>4564</v>
      </c>
      <c r="G1229" s="0" t="s">
        <v>136</v>
      </c>
      <c r="H1229" s="0" t="s">
        <v>8183</v>
      </c>
      <c r="I1229" s="0" t="s">
        <v>7338</v>
      </c>
      <c r="J1229" s="0" t="s">
        <v>1602</v>
      </c>
      <c r="K1229" s="0" t="s">
        <v>7339</v>
      </c>
      <c r="L1229" s="0" t="s">
        <v>7340</v>
      </c>
      <c r="M1229" s="0" t="s">
        <v>7661</v>
      </c>
      <c r="N1229" s="0" t="s">
        <v>7342</v>
      </c>
      <c r="P1229" s="0" t="s">
        <v>229</v>
      </c>
      <c r="R1229" s="0" t="s">
        <v>7435</v>
      </c>
      <c r="S1229" s="0" t="s">
        <v>7344</v>
      </c>
      <c r="T1229" s="0" t="s">
        <v>681</v>
      </c>
      <c r="V1229" s="0" t="s">
        <v>61</v>
      </c>
      <c r="W1229" s="0" t="s">
        <v>63</v>
      </c>
      <c r="X1229" s="0" t="s">
        <v>7355</v>
      </c>
      <c r="Y1229" s="0" t="s">
        <v>7459</v>
      </c>
      <c r="Z1229" s="0" t="s">
        <v>8083</v>
      </c>
      <c r="AA1229" s="0" t="s">
        <v>8141</v>
      </c>
      <c r="AB1229" s="0" t="s">
        <v>231</v>
      </c>
      <c r="AC1229" s="0" t="s">
        <v>7349</v>
      </c>
      <c r="AD1229" s="0" t="s">
        <v>8146</v>
      </c>
      <c r="AE1229" s="0" t="s">
        <v>7462</v>
      </c>
      <c r="AF1229" s="0" t="s">
        <v>8143</v>
      </c>
      <c r="AG1229" s="0" t="s">
        <v>3198</v>
      </c>
    </row>
    <row r="1230" customFormat="false" ht="15" hidden="false" customHeight="false" outlineLevel="0" collapsed="false">
      <c r="A1230" s="0" t="s">
        <v>7336</v>
      </c>
      <c r="B1230" s="0" t="s">
        <v>4565</v>
      </c>
      <c r="C1230" s="0" t="s">
        <v>4566</v>
      </c>
      <c r="D1230" s="0" t="s">
        <v>2983</v>
      </c>
      <c r="E1230" s="0" t="s">
        <v>4567</v>
      </c>
      <c r="F1230" s="0" t="s">
        <v>4568</v>
      </c>
      <c r="G1230" s="0" t="s">
        <v>136</v>
      </c>
      <c r="H1230" s="0" t="s">
        <v>8184</v>
      </c>
      <c r="I1230" s="0" t="s">
        <v>7338</v>
      </c>
      <c r="J1230" s="0" t="s">
        <v>1602</v>
      </c>
      <c r="K1230" s="0" t="s">
        <v>7339</v>
      </c>
      <c r="L1230" s="0" t="s">
        <v>7340</v>
      </c>
      <c r="M1230" s="0" t="s">
        <v>7661</v>
      </c>
      <c r="N1230" s="0" t="s">
        <v>7342</v>
      </c>
      <c r="P1230" s="0" t="s">
        <v>229</v>
      </c>
      <c r="R1230" s="0" t="s">
        <v>7435</v>
      </c>
      <c r="S1230" s="0" t="s">
        <v>7344</v>
      </c>
      <c r="T1230" s="0" t="s">
        <v>681</v>
      </c>
      <c r="V1230" s="0" t="s">
        <v>61</v>
      </c>
      <c r="W1230" s="0" t="s">
        <v>63</v>
      </c>
      <c r="X1230" s="0" t="s">
        <v>7355</v>
      </c>
      <c r="Y1230" s="0" t="s">
        <v>7459</v>
      </c>
      <c r="Z1230" s="0" t="s">
        <v>8083</v>
      </c>
      <c r="AA1230" s="0" t="s">
        <v>8141</v>
      </c>
      <c r="AB1230" s="0" t="s">
        <v>231</v>
      </c>
      <c r="AC1230" s="0" t="s">
        <v>7349</v>
      </c>
      <c r="AD1230" s="0" t="s">
        <v>8146</v>
      </c>
      <c r="AE1230" s="0" t="s">
        <v>7462</v>
      </c>
      <c r="AF1230" s="0" t="s">
        <v>8143</v>
      </c>
      <c r="AG1230" s="0" t="s">
        <v>3198</v>
      </c>
    </row>
    <row r="1231" customFormat="false" ht="15" hidden="false" customHeight="false" outlineLevel="0" collapsed="false">
      <c r="A1231" s="0" t="s">
        <v>7336</v>
      </c>
      <c r="B1231" s="0" t="s">
        <v>4569</v>
      </c>
      <c r="C1231" s="0" t="s">
        <v>4570</v>
      </c>
      <c r="D1231" s="0" t="s">
        <v>2983</v>
      </c>
      <c r="E1231" s="0" t="s">
        <v>4571</v>
      </c>
      <c r="F1231" s="0" t="s">
        <v>4572</v>
      </c>
      <c r="G1231" s="0" t="s">
        <v>130</v>
      </c>
      <c r="H1231" s="0" t="s">
        <v>8185</v>
      </c>
      <c r="I1231" s="0" t="s">
        <v>7338</v>
      </c>
      <c r="J1231" s="0" t="s">
        <v>1602</v>
      </c>
      <c r="K1231" s="0" t="s">
        <v>7339</v>
      </c>
      <c r="L1231" s="0" t="s">
        <v>7340</v>
      </c>
      <c r="M1231" s="0" t="s">
        <v>7661</v>
      </c>
      <c r="N1231" s="0" t="s">
        <v>7342</v>
      </c>
      <c r="P1231" s="0" t="s">
        <v>229</v>
      </c>
      <c r="R1231" s="0" t="s">
        <v>7435</v>
      </c>
      <c r="S1231" s="0" t="s">
        <v>7344</v>
      </c>
      <c r="T1231" s="0" t="s">
        <v>681</v>
      </c>
      <c r="V1231" s="0" t="s">
        <v>61</v>
      </c>
      <c r="W1231" s="0" t="s">
        <v>63</v>
      </c>
      <c r="X1231" s="0" t="s">
        <v>7355</v>
      </c>
      <c r="Y1231" s="0" t="s">
        <v>7459</v>
      </c>
      <c r="Z1231" s="0" t="s">
        <v>8062</v>
      </c>
      <c r="AA1231" s="0" t="s">
        <v>8141</v>
      </c>
      <c r="AB1231" s="0" t="s">
        <v>231</v>
      </c>
      <c r="AC1231" s="0" t="s">
        <v>7349</v>
      </c>
      <c r="AD1231" s="0" t="s">
        <v>7715</v>
      </c>
      <c r="AE1231" s="0" t="s">
        <v>8085</v>
      </c>
      <c r="AF1231" s="0" t="s">
        <v>8143</v>
      </c>
      <c r="AG1231" s="0" t="s">
        <v>3198</v>
      </c>
    </row>
    <row r="1232" customFormat="false" ht="15" hidden="false" customHeight="false" outlineLevel="0" collapsed="false">
      <c r="A1232" s="0" t="s">
        <v>7336</v>
      </c>
      <c r="B1232" s="0" t="s">
        <v>4573</v>
      </c>
      <c r="C1232" s="0" t="s">
        <v>4574</v>
      </c>
      <c r="D1232" s="0" t="s">
        <v>2983</v>
      </c>
      <c r="E1232" s="0" t="s">
        <v>4575</v>
      </c>
      <c r="F1232" s="0" t="s">
        <v>4576</v>
      </c>
      <c r="G1232" s="0" t="s">
        <v>128</v>
      </c>
      <c r="H1232" s="0" t="s">
        <v>8186</v>
      </c>
      <c r="I1232" s="0" t="s">
        <v>7338</v>
      </c>
      <c r="J1232" s="0" t="s">
        <v>1602</v>
      </c>
      <c r="K1232" s="0" t="s">
        <v>7339</v>
      </c>
      <c r="L1232" s="0" t="s">
        <v>7340</v>
      </c>
      <c r="M1232" s="0" t="s">
        <v>7661</v>
      </c>
      <c r="N1232" s="0" t="s">
        <v>7342</v>
      </c>
      <c r="P1232" s="0" t="s">
        <v>229</v>
      </c>
      <c r="R1232" s="0" t="s">
        <v>7435</v>
      </c>
      <c r="S1232" s="0" t="s">
        <v>7344</v>
      </c>
      <c r="T1232" s="0" t="s">
        <v>681</v>
      </c>
      <c r="V1232" s="0" t="s">
        <v>61</v>
      </c>
      <c r="W1232" s="0" t="s">
        <v>63</v>
      </c>
      <c r="X1232" s="0" t="s">
        <v>7355</v>
      </c>
      <c r="Y1232" s="0" t="s">
        <v>7436</v>
      </c>
      <c r="Z1232" s="0" t="s">
        <v>8088</v>
      </c>
      <c r="AA1232" s="0" t="s">
        <v>8170</v>
      </c>
      <c r="AB1232" s="0" t="s">
        <v>4510</v>
      </c>
      <c r="AC1232" s="0" t="s">
        <v>7349</v>
      </c>
      <c r="AD1232" s="0" t="s">
        <v>8171</v>
      </c>
      <c r="AE1232" s="0" t="s">
        <v>8172</v>
      </c>
      <c r="AF1232" s="0" t="s">
        <v>8143</v>
      </c>
      <c r="AG1232" s="0" t="s">
        <v>3198</v>
      </c>
    </row>
    <row r="1233" customFormat="false" ht="15" hidden="false" customHeight="false" outlineLevel="0" collapsed="false">
      <c r="A1233" s="0" t="s">
        <v>7336</v>
      </c>
      <c r="B1233" s="0" t="s">
        <v>4577</v>
      </c>
      <c r="C1233" s="0" t="s">
        <v>4578</v>
      </c>
      <c r="D1233" s="0" t="s">
        <v>2983</v>
      </c>
      <c r="E1233" s="0" t="s">
        <v>4579</v>
      </c>
      <c r="F1233" s="0" t="s">
        <v>4580</v>
      </c>
      <c r="G1233" s="0" t="s">
        <v>128</v>
      </c>
      <c r="H1233" s="0" t="s">
        <v>8187</v>
      </c>
      <c r="I1233" s="0" t="s">
        <v>7338</v>
      </c>
      <c r="J1233" s="0" t="s">
        <v>1602</v>
      </c>
      <c r="K1233" s="0" t="s">
        <v>7339</v>
      </c>
      <c r="L1233" s="0" t="s">
        <v>7340</v>
      </c>
      <c r="M1233" s="0" t="s">
        <v>7661</v>
      </c>
      <c r="N1233" s="0" t="s">
        <v>7342</v>
      </c>
      <c r="P1233" s="0" t="s">
        <v>229</v>
      </c>
      <c r="R1233" s="0" t="s">
        <v>7435</v>
      </c>
      <c r="S1233" s="0" t="s">
        <v>7344</v>
      </c>
      <c r="T1233" s="0" t="s">
        <v>681</v>
      </c>
      <c r="V1233" s="0" t="s">
        <v>61</v>
      </c>
      <c r="W1233" s="0" t="s">
        <v>63</v>
      </c>
      <c r="X1233" s="0" t="s">
        <v>7355</v>
      </c>
      <c r="Y1233" s="0" t="s">
        <v>7436</v>
      </c>
      <c r="Z1233" s="0" t="s">
        <v>8088</v>
      </c>
      <c r="AA1233" s="0" t="s">
        <v>8170</v>
      </c>
      <c r="AB1233" s="0" t="s">
        <v>4510</v>
      </c>
      <c r="AC1233" s="0" t="s">
        <v>7349</v>
      </c>
      <c r="AD1233" s="0" t="s">
        <v>8171</v>
      </c>
      <c r="AE1233" s="0" t="s">
        <v>8172</v>
      </c>
      <c r="AF1233" s="0" t="s">
        <v>8143</v>
      </c>
      <c r="AG1233" s="0" t="s">
        <v>3198</v>
      </c>
    </row>
    <row r="1234" customFormat="false" ht="15" hidden="false" customHeight="false" outlineLevel="0" collapsed="false">
      <c r="A1234" s="0" t="s">
        <v>7336</v>
      </c>
      <c r="B1234" s="0" t="s">
        <v>4581</v>
      </c>
      <c r="C1234" s="0" t="s">
        <v>4582</v>
      </c>
      <c r="D1234" s="0" t="s">
        <v>2983</v>
      </c>
      <c r="E1234" s="0" t="s">
        <v>4583</v>
      </c>
      <c r="F1234" s="0" t="s">
        <v>4576</v>
      </c>
      <c r="G1234" s="0" t="s">
        <v>128</v>
      </c>
      <c r="H1234" s="0" t="s">
        <v>8186</v>
      </c>
      <c r="I1234" s="0" t="s">
        <v>7338</v>
      </c>
      <c r="J1234" s="0" t="s">
        <v>1602</v>
      </c>
      <c r="K1234" s="0" t="s">
        <v>7339</v>
      </c>
      <c r="L1234" s="0" t="s">
        <v>7340</v>
      </c>
      <c r="M1234" s="0" t="s">
        <v>7661</v>
      </c>
      <c r="N1234" s="0" t="s">
        <v>7342</v>
      </c>
      <c r="P1234" s="0" t="s">
        <v>229</v>
      </c>
      <c r="R1234" s="0" t="s">
        <v>7435</v>
      </c>
      <c r="S1234" s="0" t="s">
        <v>7344</v>
      </c>
      <c r="T1234" s="0" t="s">
        <v>681</v>
      </c>
      <c r="V1234" s="0" t="s">
        <v>61</v>
      </c>
      <c r="W1234" s="0" t="s">
        <v>63</v>
      </c>
      <c r="X1234" s="0" t="s">
        <v>7355</v>
      </c>
      <c r="Y1234" s="0" t="s">
        <v>7459</v>
      </c>
      <c r="Z1234" s="0" t="s">
        <v>8083</v>
      </c>
      <c r="AA1234" s="0" t="s">
        <v>8141</v>
      </c>
      <c r="AB1234" s="0" t="s">
        <v>231</v>
      </c>
      <c r="AC1234" s="0" t="s">
        <v>7349</v>
      </c>
      <c r="AD1234" s="0" t="s">
        <v>8174</v>
      </c>
      <c r="AE1234" s="0" t="s">
        <v>7462</v>
      </c>
      <c r="AF1234" s="0" t="s">
        <v>8143</v>
      </c>
      <c r="AG1234" s="0" t="s">
        <v>3198</v>
      </c>
    </row>
    <row r="1235" customFormat="false" ht="15" hidden="false" customHeight="false" outlineLevel="0" collapsed="false">
      <c r="A1235" s="0" t="s">
        <v>7336</v>
      </c>
      <c r="B1235" s="0" t="s">
        <v>4584</v>
      </c>
      <c r="C1235" s="0" t="s">
        <v>4585</v>
      </c>
      <c r="D1235" s="0" t="s">
        <v>2983</v>
      </c>
      <c r="E1235" s="0" t="s">
        <v>4586</v>
      </c>
      <c r="F1235" s="0" t="s">
        <v>4580</v>
      </c>
      <c r="G1235" s="0" t="s">
        <v>128</v>
      </c>
      <c r="H1235" s="0" t="s">
        <v>8187</v>
      </c>
      <c r="I1235" s="0" t="s">
        <v>7338</v>
      </c>
      <c r="J1235" s="0" t="s">
        <v>1602</v>
      </c>
      <c r="K1235" s="0" t="s">
        <v>7339</v>
      </c>
      <c r="L1235" s="0" t="s">
        <v>7340</v>
      </c>
      <c r="M1235" s="0" t="s">
        <v>7661</v>
      </c>
      <c r="N1235" s="0" t="s">
        <v>7342</v>
      </c>
      <c r="P1235" s="0" t="s">
        <v>229</v>
      </c>
      <c r="R1235" s="0" t="s">
        <v>7435</v>
      </c>
      <c r="S1235" s="0" t="s">
        <v>7344</v>
      </c>
      <c r="T1235" s="0" t="s">
        <v>681</v>
      </c>
      <c r="V1235" s="0" t="s">
        <v>61</v>
      </c>
      <c r="W1235" s="0" t="s">
        <v>63</v>
      </c>
      <c r="X1235" s="0" t="s">
        <v>7355</v>
      </c>
      <c r="Y1235" s="0" t="s">
        <v>7459</v>
      </c>
      <c r="Z1235" s="0" t="s">
        <v>8083</v>
      </c>
      <c r="AA1235" s="0" t="s">
        <v>8141</v>
      </c>
      <c r="AB1235" s="0" t="s">
        <v>231</v>
      </c>
      <c r="AC1235" s="0" t="s">
        <v>7349</v>
      </c>
      <c r="AD1235" s="0" t="s">
        <v>8174</v>
      </c>
      <c r="AE1235" s="0" t="s">
        <v>7462</v>
      </c>
      <c r="AF1235" s="0" t="s">
        <v>8143</v>
      </c>
      <c r="AG1235" s="0" t="s">
        <v>3198</v>
      </c>
    </row>
    <row r="1236" customFormat="false" ht="15" hidden="false" customHeight="false" outlineLevel="0" collapsed="false">
      <c r="A1236" s="0" t="s">
        <v>7336</v>
      </c>
      <c r="B1236" s="0" t="s">
        <v>4587</v>
      </c>
      <c r="C1236" s="0" t="s">
        <v>4588</v>
      </c>
      <c r="D1236" s="0" t="s">
        <v>2983</v>
      </c>
      <c r="E1236" s="0" t="s">
        <v>4589</v>
      </c>
      <c r="F1236" s="0" t="s">
        <v>4576</v>
      </c>
      <c r="G1236" s="0" t="s">
        <v>128</v>
      </c>
      <c r="H1236" s="0" t="s">
        <v>8186</v>
      </c>
      <c r="I1236" s="0" t="s">
        <v>7338</v>
      </c>
      <c r="J1236" s="0" t="s">
        <v>1602</v>
      </c>
      <c r="K1236" s="0" t="s">
        <v>7339</v>
      </c>
      <c r="L1236" s="0" t="s">
        <v>7340</v>
      </c>
      <c r="M1236" s="0" t="s">
        <v>7661</v>
      </c>
      <c r="N1236" s="0" t="s">
        <v>7342</v>
      </c>
      <c r="P1236" s="0" t="s">
        <v>229</v>
      </c>
      <c r="R1236" s="0" t="s">
        <v>7435</v>
      </c>
      <c r="S1236" s="0" t="s">
        <v>7344</v>
      </c>
      <c r="T1236" s="0" t="s">
        <v>681</v>
      </c>
      <c r="V1236" s="0" t="s">
        <v>61</v>
      </c>
      <c r="W1236" s="0" t="s">
        <v>63</v>
      </c>
      <c r="X1236" s="0" t="s">
        <v>7355</v>
      </c>
      <c r="Y1236" s="0" t="s">
        <v>7459</v>
      </c>
      <c r="Z1236" s="0" t="s">
        <v>8083</v>
      </c>
      <c r="AA1236" s="0" t="s">
        <v>8141</v>
      </c>
      <c r="AB1236" s="0" t="s">
        <v>231</v>
      </c>
      <c r="AC1236" s="0" t="s">
        <v>7349</v>
      </c>
      <c r="AD1236" s="0" t="s">
        <v>8174</v>
      </c>
      <c r="AE1236" s="0" t="s">
        <v>7462</v>
      </c>
      <c r="AF1236" s="0" t="s">
        <v>8143</v>
      </c>
      <c r="AG1236" s="0" t="s">
        <v>3198</v>
      </c>
    </row>
    <row r="1237" customFormat="false" ht="15" hidden="false" customHeight="false" outlineLevel="0" collapsed="false">
      <c r="A1237" s="0" t="s">
        <v>7336</v>
      </c>
      <c r="B1237" s="0" t="s">
        <v>4590</v>
      </c>
      <c r="C1237" s="0" t="s">
        <v>4591</v>
      </c>
      <c r="D1237" s="0" t="s">
        <v>2983</v>
      </c>
      <c r="E1237" s="0" t="s">
        <v>4592</v>
      </c>
      <c r="F1237" s="0" t="s">
        <v>4593</v>
      </c>
      <c r="G1237" s="0" t="s">
        <v>128</v>
      </c>
      <c r="H1237" s="0" t="s">
        <v>8188</v>
      </c>
      <c r="I1237" s="0" t="s">
        <v>7338</v>
      </c>
      <c r="J1237" s="0" t="s">
        <v>1602</v>
      </c>
      <c r="K1237" s="0" t="s">
        <v>7339</v>
      </c>
      <c r="L1237" s="0" t="s">
        <v>7340</v>
      </c>
      <c r="M1237" s="0" t="s">
        <v>7661</v>
      </c>
      <c r="N1237" s="0" t="s">
        <v>7342</v>
      </c>
      <c r="P1237" s="0" t="s">
        <v>229</v>
      </c>
      <c r="R1237" s="0" t="s">
        <v>7435</v>
      </c>
      <c r="S1237" s="0" t="s">
        <v>7344</v>
      </c>
      <c r="T1237" s="0" t="s">
        <v>681</v>
      </c>
      <c r="V1237" s="0" t="s">
        <v>61</v>
      </c>
      <c r="W1237" s="0" t="s">
        <v>63</v>
      </c>
      <c r="X1237" s="0" t="s">
        <v>7355</v>
      </c>
      <c r="Y1237" s="0" t="s">
        <v>7459</v>
      </c>
      <c r="Z1237" s="0" t="s">
        <v>8083</v>
      </c>
      <c r="AA1237" s="0" t="s">
        <v>8141</v>
      </c>
      <c r="AB1237" s="0" t="s">
        <v>231</v>
      </c>
      <c r="AC1237" s="0" t="s">
        <v>7349</v>
      </c>
      <c r="AD1237" s="0" t="s">
        <v>8176</v>
      </c>
      <c r="AE1237" s="0" t="s">
        <v>7462</v>
      </c>
      <c r="AF1237" s="0" t="s">
        <v>8143</v>
      </c>
      <c r="AG1237" s="0" t="s">
        <v>3198</v>
      </c>
    </row>
    <row r="1238" customFormat="false" ht="15" hidden="false" customHeight="false" outlineLevel="0" collapsed="false">
      <c r="A1238" s="0" t="s">
        <v>7336</v>
      </c>
      <c r="B1238" s="0" t="s">
        <v>4594</v>
      </c>
      <c r="C1238" s="0" t="s">
        <v>4595</v>
      </c>
      <c r="D1238" s="0" t="s">
        <v>2983</v>
      </c>
      <c r="E1238" s="0" t="s">
        <v>4596</v>
      </c>
      <c r="F1238" s="0" t="s">
        <v>4593</v>
      </c>
      <c r="G1238" s="0" t="s">
        <v>128</v>
      </c>
      <c r="H1238" s="0" t="s">
        <v>8188</v>
      </c>
      <c r="I1238" s="0" t="s">
        <v>7338</v>
      </c>
      <c r="J1238" s="0" t="s">
        <v>1602</v>
      </c>
      <c r="K1238" s="0" t="s">
        <v>7339</v>
      </c>
      <c r="L1238" s="0" t="s">
        <v>7340</v>
      </c>
      <c r="M1238" s="0" t="s">
        <v>7661</v>
      </c>
      <c r="N1238" s="0" t="s">
        <v>7342</v>
      </c>
      <c r="P1238" s="0" t="s">
        <v>229</v>
      </c>
      <c r="R1238" s="0" t="s">
        <v>7435</v>
      </c>
      <c r="S1238" s="0" t="s">
        <v>7344</v>
      </c>
      <c r="T1238" s="0" t="s">
        <v>681</v>
      </c>
      <c r="V1238" s="0" t="s">
        <v>61</v>
      </c>
      <c r="W1238" s="0" t="s">
        <v>63</v>
      </c>
      <c r="X1238" s="0" t="s">
        <v>7355</v>
      </c>
      <c r="Y1238" s="0" t="s">
        <v>7459</v>
      </c>
      <c r="Z1238" s="0" t="s">
        <v>8062</v>
      </c>
      <c r="AA1238" s="0" t="s">
        <v>8141</v>
      </c>
      <c r="AB1238" s="0" t="s">
        <v>231</v>
      </c>
      <c r="AC1238" s="0" t="s">
        <v>7349</v>
      </c>
      <c r="AD1238" s="0" t="s">
        <v>7715</v>
      </c>
      <c r="AE1238" s="0" t="s">
        <v>8085</v>
      </c>
      <c r="AF1238" s="0" t="s">
        <v>8143</v>
      </c>
      <c r="AG1238" s="0" t="s">
        <v>3198</v>
      </c>
    </row>
    <row r="1239" customFormat="false" ht="15" hidden="false" customHeight="false" outlineLevel="0" collapsed="false">
      <c r="A1239" s="0" t="s">
        <v>7336</v>
      </c>
      <c r="B1239" s="0" t="s">
        <v>4597</v>
      </c>
      <c r="C1239" s="0" t="s">
        <v>4598</v>
      </c>
      <c r="D1239" s="0" t="s">
        <v>2983</v>
      </c>
      <c r="E1239" s="0" t="s">
        <v>4599</v>
      </c>
      <c r="F1239" s="0" t="s">
        <v>4600</v>
      </c>
      <c r="G1239" s="0" t="s">
        <v>128</v>
      </c>
      <c r="H1239" s="0" t="s">
        <v>8189</v>
      </c>
      <c r="I1239" s="0" t="s">
        <v>7338</v>
      </c>
      <c r="J1239" s="0" t="s">
        <v>1602</v>
      </c>
      <c r="K1239" s="0" t="s">
        <v>7339</v>
      </c>
      <c r="L1239" s="0" t="s">
        <v>7340</v>
      </c>
      <c r="M1239" s="0" t="s">
        <v>7661</v>
      </c>
      <c r="N1239" s="0" t="s">
        <v>7342</v>
      </c>
      <c r="P1239" s="0" t="s">
        <v>229</v>
      </c>
      <c r="R1239" s="0" t="s">
        <v>7435</v>
      </c>
      <c r="S1239" s="0" t="s">
        <v>7344</v>
      </c>
      <c r="T1239" s="0" t="s">
        <v>681</v>
      </c>
      <c r="V1239" s="0" t="s">
        <v>61</v>
      </c>
      <c r="W1239" s="0" t="s">
        <v>63</v>
      </c>
      <c r="X1239" s="0" t="s">
        <v>7355</v>
      </c>
      <c r="Y1239" s="0" t="s">
        <v>7459</v>
      </c>
      <c r="Z1239" s="0" t="s">
        <v>8083</v>
      </c>
      <c r="AA1239" s="0" t="s">
        <v>8141</v>
      </c>
      <c r="AB1239" s="0" t="s">
        <v>231</v>
      </c>
      <c r="AC1239" s="0" t="s">
        <v>7349</v>
      </c>
      <c r="AD1239" s="0" t="s">
        <v>8176</v>
      </c>
      <c r="AE1239" s="0" t="s">
        <v>7462</v>
      </c>
      <c r="AF1239" s="0" t="s">
        <v>8143</v>
      </c>
      <c r="AG1239" s="0" t="s">
        <v>3198</v>
      </c>
    </row>
    <row r="1240" customFormat="false" ht="15" hidden="false" customHeight="false" outlineLevel="0" collapsed="false">
      <c r="A1240" s="0" t="s">
        <v>7336</v>
      </c>
      <c r="B1240" s="0" t="s">
        <v>4601</v>
      </c>
      <c r="C1240" s="0" t="s">
        <v>4602</v>
      </c>
      <c r="D1240" s="0" t="s">
        <v>2983</v>
      </c>
      <c r="E1240" s="0" t="s">
        <v>4603</v>
      </c>
      <c r="F1240" s="0" t="s">
        <v>4600</v>
      </c>
      <c r="G1240" s="0" t="s">
        <v>128</v>
      </c>
      <c r="H1240" s="0" t="s">
        <v>8189</v>
      </c>
      <c r="I1240" s="0" t="s">
        <v>7338</v>
      </c>
      <c r="J1240" s="0" t="s">
        <v>1602</v>
      </c>
      <c r="K1240" s="0" t="s">
        <v>7339</v>
      </c>
      <c r="L1240" s="0" t="s">
        <v>7340</v>
      </c>
      <c r="M1240" s="0" t="s">
        <v>7661</v>
      </c>
      <c r="N1240" s="0" t="s">
        <v>7342</v>
      </c>
      <c r="P1240" s="0" t="s">
        <v>229</v>
      </c>
      <c r="R1240" s="0" t="s">
        <v>7435</v>
      </c>
      <c r="S1240" s="0" t="s">
        <v>7344</v>
      </c>
      <c r="T1240" s="0" t="s">
        <v>681</v>
      </c>
      <c r="V1240" s="0" t="s">
        <v>61</v>
      </c>
      <c r="W1240" s="0" t="s">
        <v>63</v>
      </c>
      <c r="X1240" s="0" t="s">
        <v>7355</v>
      </c>
      <c r="Y1240" s="0" t="s">
        <v>7459</v>
      </c>
      <c r="Z1240" s="0" t="s">
        <v>8062</v>
      </c>
      <c r="AA1240" s="0" t="s">
        <v>8141</v>
      </c>
      <c r="AB1240" s="0" t="s">
        <v>231</v>
      </c>
      <c r="AC1240" s="0" t="s">
        <v>7349</v>
      </c>
      <c r="AD1240" s="0" t="s">
        <v>7715</v>
      </c>
      <c r="AE1240" s="0" t="s">
        <v>8085</v>
      </c>
      <c r="AF1240" s="0" t="s">
        <v>8143</v>
      </c>
      <c r="AG1240" s="0" t="s">
        <v>3198</v>
      </c>
    </row>
    <row r="1241" customFormat="false" ht="15" hidden="false" customHeight="false" outlineLevel="0" collapsed="false">
      <c r="A1241" s="0" t="s">
        <v>7336</v>
      </c>
      <c r="B1241" s="0" t="s">
        <v>4604</v>
      </c>
      <c r="C1241" s="0" t="s">
        <v>4605</v>
      </c>
      <c r="D1241" s="0" t="s">
        <v>2983</v>
      </c>
      <c r="E1241" s="0" t="s">
        <v>4606</v>
      </c>
      <c r="F1241" s="0" t="s">
        <v>4607</v>
      </c>
      <c r="G1241" s="0" t="s">
        <v>128</v>
      </c>
      <c r="H1241" s="0" t="s">
        <v>8190</v>
      </c>
      <c r="I1241" s="0" t="s">
        <v>7338</v>
      </c>
      <c r="J1241" s="0" t="s">
        <v>1602</v>
      </c>
      <c r="K1241" s="0" t="s">
        <v>7339</v>
      </c>
      <c r="L1241" s="0" t="s">
        <v>7340</v>
      </c>
      <c r="M1241" s="0" t="s">
        <v>7661</v>
      </c>
      <c r="N1241" s="0" t="s">
        <v>7342</v>
      </c>
      <c r="P1241" s="0" t="s">
        <v>229</v>
      </c>
      <c r="R1241" s="0" t="s">
        <v>7435</v>
      </c>
      <c r="S1241" s="0" t="s">
        <v>7344</v>
      </c>
      <c r="T1241" s="0" t="s">
        <v>681</v>
      </c>
      <c r="V1241" s="0" t="s">
        <v>61</v>
      </c>
      <c r="W1241" s="0" t="s">
        <v>63</v>
      </c>
      <c r="X1241" s="0" t="s">
        <v>7355</v>
      </c>
      <c r="Y1241" s="0" t="s">
        <v>7459</v>
      </c>
      <c r="Z1241" s="0" t="s">
        <v>8083</v>
      </c>
      <c r="AA1241" s="0" t="s">
        <v>8141</v>
      </c>
      <c r="AB1241" s="0" t="s">
        <v>231</v>
      </c>
      <c r="AC1241" s="0" t="s">
        <v>7349</v>
      </c>
      <c r="AD1241" s="0" t="s">
        <v>8142</v>
      </c>
      <c r="AE1241" s="0" t="s">
        <v>7462</v>
      </c>
      <c r="AF1241" s="0" t="s">
        <v>8143</v>
      </c>
      <c r="AG1241" s="0" t="s">
        <v>3198</v>
      </c>
    </row>
    <row r="1242" customFormat="false" ht="15" hidden="false" customHeight="false" outlineLevel="0" collapsed="false">
      <c r="A1242" s="0" t="s">
        <v>7336</v>
      </c>
      <c r="B1242" s="0" t="s">
        <v>4608</v>
      </c>
      <c r="C1242" s="0" t="s">
        <v>4609</v>
      </c>
      <c r="D1242" s="0" t="s">
        <v>2983</v>
      </c>
      <c r="E1242" s="0" t="s">
        <v>4610</v>
      </c>
      <c r="F1242" s="0" t="s">
        <v>4607</v>
      </c>
      <c r="G1242" s="0" t="s">
        <v>128</v>
      </c>
      <c r="H1242" s="0" t="s">
        <v>8190</v>
      </c>
      <c r="I1242" s="0" t="s">
        <v>7338</v>
      </c>
      <c r="J1242" s="0" t="s">
        <v>1602</v>
      </c>
      <c r="K1242" s="0" t="s">
        <v>7339</v>
      </c>
      <c r="L1242" s="0" t="s">
        <v>7340</v>
      </c>
      <c r="M1242" s="0" t="s">
        <v>7661</v>
      </c>
      <c r="N1242" s="0" t="s">
        <v>7342</v>
      </c>
      <c r="P1242" s="0" t="s">
        <v>229</v>
      </c>
      <c r="R1242" s="0" t="s">
        <v>7435</v>
      </c>
      <c r="S1242" s="0" t="s">
        <v>7344</v>
      </c>
      <c r="T1242" s="0" t="s">
        <v>681</v>
      </c>
      <c r="V1242" s="0" t="s">
        <v>61</v>
      </c>
      <c r="W1242" s="0" t="s">
        <v>63</v>
      </c>
      <c r="X1242" s="0" t="s">
        <v>7355</v>
      </c>
      <c r="Y1242" s="0" t="s">
        <v>7459</v>
      </c>
      <c r="Z1242" s="0" t="s">
        <v>8083</v>
      </c>
      <c r="AA1242" s="0" t="s">
        <v>8141</v>
      </c>
      <c r="AB1242" s="0" t="s">
        <v>231</v>
      </c>
      <c r="AC1242" s="0" t="s">
        <v>7349</v>
      </c>
      <c r="AD1242" s="0" t="s">
        <v>8142</v>
      </c>
      <c r="AE1242" s="0" t="s">
        <v>7462</v>
      </c>
      <c r="AF1242" s="0" t="s">
        <v>8143</v>
      </c>
      <c r="AG1242" s="0" t="s">
        <v>3198</v>
      </c>
    </row>
    <row r="1243" customFormat="false" ht="15" hidden="false" customHeight="false" outlineLevel="0" collapsed="false">
      <c r="A1243" s="0" t="s">
        <v>7336</v>
      </c>
      <c r="B1243" s="0" t="s">
        <v>4611</v>
      </c>
      <c r="C1243" s="0" t="s">
        <v>4612</v>
      </c>
      <c r="D1243" s="0" t="s">
        <v>2983</v>
      </c>
      <c r="E1243" s="0" t="s">
        <v>4613</v>
      </c>
      <c r="F1243" s="0" t="s">
        <v>4614</v>
      </c>
      <c r="G1243" s="0" t="s">
        <v>128</v>
      </c>
      <c r="H1243" s="0" t="s">
        <v>8191</v>
      </c>
      <c r="I1243" s="0" t="s">
        <v>7338</v>
      </c>
      <c r="J1243" s="0" t="s">
        <v>1602</v>
      </c>
      <c r="K1243" s="0" t="s">
        <v>7339</v>
      </c>
      <c r="L1243" s="0" t="s">
        <v>7340</v>
      </c>
      <c r="M1243" s="0" t="s">
        <v>7661</v>
      </c>
      <c r="N1243" s="0" t="s">
        <v>7342</v>
      </c>
      <c r="P1243" s="0" t="s">
        <v>229</v>
      </c>
      <c r="R1243" s="0" t="s">
        <v>7435</v>
      </c>
      <c r="S1243" s="0" t="s">
        <v>7344</v>
      </c>
      <c r="T1243" s="0" t="s">
        <v>681</v>
      </c>
      <c r="V1243" s="0" t="s">
        <v>61</v>
      </c>
      <c r="W1243" s="0" t="s">
        <v>63</v>
      </c>
      <c r="X1243" s="0" t="s">
        <v>7355</v>
      </c>
      <c r="Y1243" s="0" t="s">
        <v>7459</v>
      </c>
      <c r="Z1243" s="0" t="s">
        <v>8083</v>
      </c>
      <c r="AA1243" s="0" t="s">
        <v>8141</v>
      </c>
      <c r="AB1243" s="0" t="s">
        <v>231</v>
      </c>
      <c r="AC1243" s="0" t="s">
        <v>7349</v>
      </c>
      <c r="AD1243" s="0" t="s">
        <v>8142</v>
      </c>
      <c r="AE1243" s="0" t="s">
        <v>7462</v>
      </c>
      <c r="AF1243" s="0" t="s">
        <v>8143</v>
      </c>
      <c r="AG1243" s="0" t="s">
        <v>3198</v>
      </c>
    </row>
    <row r="1244" customFormat="false" ht="15" hidden="false" customHeight="false" outlineLevel="0" collapsed="false">
      <c r="A1244" s="0" t="s">
        <v>7336</v>
      </c>
      <c r="B1244" s="0" t="s">
        <v>4615</v>
      </c>
      <c r="C1244" s="0" t="s">
        <v>4616</v>
      </c>
      <c r="D1244" s="0" t="s">
        <v>2983</v>
      </c>
      <c r="E1244" s="0" t="s">
        <v>4617</v>
      </c>
      <c r="F1244" s="0" t="s">
        <v>4618</v>
      </c>
      <c r="G1244" s="0" t="s">
        <v>128</v>
      </c>
      <c r="H1244" s="0" t="s">
        <v>8192</v>
      </c>
      <c r="I1244" s="0" t="s">
        <v>7338</v>
      </c>
      <c r="J1244" s="0" t="s">
        <v>1602</v>
      </c>
      <c r="K1244" s="0" t="s">
        <v>7339</v>
      </c>
      <c r="L1244" s="0" t="s">
        <v>7340</v>
      </c>
      <c r="M1244" s="0" t="s">
        <v>7661</v>
      </c>
      <c r="N1244" s="0" t="s">
        <v>7342</v>
      </c>
      <c r="P1244" s="0" t="s">
        <v>229</v>
      </c>
      <c r="R1244" s="0" t="s">
        <v>7435</v>
      </c>
      <c r="S1244" s="0" t="s">
        <v>7344</v>
      </c>
      <c r="T1244" s="0" t="s">
        <v>681</v>
      </c>
      <c r="V1244" s="0" t="s">
        <v>61</v>
      </c>
      <c r="W1244" s="0" t="s">
        <v>63</v>
      </c>
      <c r="X1244" s="0" t="s">
        <v>7355</v>
      </c>
      <c r="Y1244" s="0" t="s">
        <v>7459</v>
      </c>
      <c r="Z1244" s="0" t="s">
        <v>8083</v>
      </c>
      <c r="AA1244" s="0" t="s">
        <v>8141</v>
      </c>
      <c r="AB1244" s="0" t="s">
        <v>231</v>
      </c>
      <c r="AC1244" s="0" t="s">
        <v>7349</v>
      </c>
      <c r="AD1244" s="0" t="s">
        <v>8146</v>
      </c>
      <c r="AE1244" s="0" t="s">
        <v>7462</v>
      </c>
      <c r="AF1244" s="0" t="s">
        <v>8143</v>
      </c>
      <c r="AG1244" s="0" t="s">
        <v>3198</v>
      </c>
    </row>
    <row r="1245" customFormat="false" ht="15" hidden="false" customHeight="false" outlineLevel="0" collapsed="false">
      <c r="A1245" s="0" t="s">
        <v>7336</v>
      </c>
      <c r="B1245" s="0" t="s">
        <v>4619</v>
      </c>
      <c r="C1245" s="0" t="s">
        <v>4620</v>
      </c>
      <c r="D1245" s="0" t="s">
        <v>2983</v>
      </c>
      <c r="E1245" s="0" t="s">
        <v>4621</v>
      </c>
      <c r="F1245" s="0" t="s">
        <v>4622</v>
      </c>
      <c r="G1245" s="0" t="s">
        <v>128</v>
      </c>
      <c r="H1245" s="0" t="s">
        <v>8193</v>
      </c>
      <c r="I1245" s="0" t="s">
        <v>7338</v>
      </c>
      <c r="J1245" s="0" t="s">
        <v>1602</v>
      </c>
      <c r="K1245" s="0" t="s">
        <v>7339</v>
      </c>
      <c r="L1245" s="0" t="s">
        <v>7340</v>
      </c>
      <c r="M1245" s="0" t="s">
        <v>7661</v>
      </c>
      <c r="N1245" s="0" t="s">
        <v>7342</v>
      </c>
      <c r="P1245" s="0" t="s">
        <v>229</v>
      </c>
      <c r="R1245" s="0" t="s">
        <v>7435</v>
      </c>
      <c r="S1245" s="0" t="s">
        <v>7344</v>
      </c>
      <c r="T1245" s="0" t="s">
        <v>681</v>
      </c>
      <c r="V1245" s="0" t="s">
        <v>61</v>
      </c>
      <c r="W1245" s="0" t="s">
        <v>63</v>
      </c>
      <c r="X1245" s="0" t="s">
        <v>7355</v>
      </c>
      <c r="Y1245" s="0" t="s">
        <v>7459</v>
      </c>
      <c r="Z1245" s="0" t="s">
        <v>8083</v>
      </c>
      <c r="AA1245" s="0" t="s">
        <v>8141</v>
      </c>
      <c r="AB1245" s="0" t="s">
        <v>231</v>
      </c>
      <c r="AC1245" s="0" t="s">
        <v>7349</v>
      </c>
      <c r="AD1245" s="0" t="s">
        <v>8146</v>
      </c>
      <c r="AE1245" s="0" t="s">
        <v>7462</v>
      </c>
      <c r="AF1245" s="0" t="s">
        <v>8143</v>
      </c>
      <c r="AG1245" s="0" t="s">
        <v>3198</v>
      </c>
    </row>
    <row r="1246" customFormat="false" ht="15" hidden="false" customHeight="false" outlineLevel="0" collapsed="false">
      <c r="A1246" s="0" t="s">
        <v>7336</v>
      </c>
      <c r="B1246" s="0" t="s">
        <v>4623</v>
      </c>
      <c r="C1246" s="0" t="s">
        <v>4624</v>
      </c>
      <c r="D1246" s="0" t="s">
        <v>2983</v>
      </c>
      <c r="E1246" s="0" t="s">
        <v>4625</v>
      </c>
      <c r="F1246" s="0" t="s">
        <v>4626</v>
      </c>
      <c r="G1246" s="0" t="s">
        <v>128</v>
      </c>
      <c r="H1246" s="0" t="s">
        <v>8194</v>
      </c>
      <c r="I1246" s="0" t="s">
        <v>7338</v>
      </c>
      <c r="J1246" s="0" t="s">
        <v>1602</v>
      </c>
      <c r="K1246" s="0" t="s">
        <v>7339</v>
      </c>
      <c r="L1246" s="0" t="s">
        <v>7340</v>
      </c>
      <c r="M1246" s="0" t="s">
        <v>7661</v>
      </c>
      <c r="N1246" s="0" t="s">
        <v>7342</v>
      </c>
      <c r="P1246" s="0" t="s">
        <v>229</v>
      </c>
      <c r="R1246" s="0" t="s">
        <v>7435</v>
      </c>
      <c r="S1246" s="0" t="s">
        <v>7344</v>
      </c>
      <c r="T1246" s="0" t="s">
        <v>681</v>
      </c>
      <c r="V1246" s="0" t="s">
        <v>61</v>
      </c>
      <c r="W1246" s="0" t="s">
        <v>63</v>
      </c>
      <c r="X1246" s="0" t="s">
        <v>7355</v>
      </c>
      <c r="Y1246" s="0" t="s">
        <v>7459</v>
      </c>
      <c r="Z1246" s="0" t="s">
        <v>8083</v>
      </c>
      <c r="AA1246" s="0" t="s">
        <v>8141</v>
      </c>
      <c r="AB1246" s="0" t="s">
        <v>231</v>
      </c>
      <c r="AC1246" s="0" t="s">
        <v>7349</v>
      </c>
      <c r="AD1246" s="0" t="s">
        <v>8146</v>
      </c>
      <c r="AE1246" s="0" t="s">
        <v>7462</v>
      </c>
      <c r="AF1246" s="0" t="s">
        <v>8143</v>
      </c>
      <c r="AG1246" s="0" t="s">
        <v>3198</v>
      </c>
    </row>
    <row r="1247" customFormat="false" ht="15" hidden="false" customHeight="false" outlineLevel="0" collapsed="false">
      <c r="A1247" s="0" t="s">
        <v>7336</v>
      </c>
      <c r="B1247" s="0" t="s">
        <v>4627</v>
      </c>
      <c r="C1247" s="0" t="s">
        <v>4628</v>
      </c>
      <c r="D1247" s="0" t="s">
        <v>2983</v>
      </c>
      <c r="E1247" s="0" t="s">
        <v>4629</v>
      </c>
      <c r="F1247" s="0" t="s">
        <v>4630</v>
      </c>
      <c r="G1247" s="0" t="s">
        <v>128</v>
      </c>
      <c r="H1247" s="0" t="s">
        <v>8195</v>
      </c>
      <c r="I1247" s="0" t="s">
        <v>7338</v>
      </c>
      <c r="J1247" s="0" t="s">
        <v>1602</v>
      </c>
      <c r="K1247" s="0" t="s">
        <v>7339</v>
      </c>
      <c r="L1247" s="0" t="s">
        <v>7340</v>
      </c>
      <c r="M1247" s="0" t="s">
        <v>7661</v>
      </c>
      <c r="N1247" s="0" t="s">
        <v>7342</v>
      </c>
      <c r="P1247" s="0" t="s">
        <v>229</v>
      </c>
      <c r="R1247" s="0" t="s">
        <v>7435</v>
      </c>
      <c r="S1247" s="0" t="s">
        <v>7344</v>
      </c>
      <c r="T1247" s="0" t="s">
        <v>681</v>
      </c>
      <c r="V1247" s="0" t="s">
        <v>61</v>
      </c>
      <c r="W1247" s="0" t="s">
        <v>63</v>
      </c>
      <c r="X1247" s="0" t="s">
        <v>7355</v>
      </c>
      <c r="Y1247" s="0" t="s">
        <v>7459</v>
      </c>
      <c r="Z1247" s="0" t="s">
        <v>8083</v>
      </c>
      <c r="AA1247" s="0" t="s">
        <v>8141</v>
      </c>
      <c r="AB1247" s="0" t="s">
        <v>231</v>
      </c>
      <c r="AC1247" s="0" t="s">
        <v>7349</v>
      </c>
      <c r="AD1247" s="0" t="s">
        <v>8146</v>
      </c>
      <c r="AE1247" s="0" t="s">
        <v>7462</v>
      </c>
      <c r="AF1247" s="0" t="s">
        <v>8143</v>
      </c>
      <c r="AG1247" s="0" t="s">
        <v>3198</v>
      </c>
    </row>
    <row r="1248" customFormat="false" ht="15" hidden="false" customHeight="false" outlineLevel="0" collapsed="false">
      <c r="A1248" s="0" t="s">
        <v>7336</v>
      </c>
      <c r="B1248" s="0" t="s">
        <v>4631</v>
      </c>
      <c r="C1248" s="0" t="s">
        <v>4632</v>
      </c>
      <c r="D1248" s="0" t="s">
        <v>2983</v>
      </c>
      <c r="E1248" s="0" t="s">
        <v>4633</v>
      </c>
      <c r="F1248" s="0" t="s">
        <v>4634</v>
      </c>
      <c r="G1248" s="0" t="s">
        <v>128</v>
      </c>
      <c r="H1248" s="0" t="s">
        <v>8196</v>
      </c>
      <c r="I1248" s="0" t="s">
        <v>7338</v>
      </c>
      <c r="J1248" s="0" t="s">
        <v>1602</v>
      </c>
      <c r="K1248" s="0" t="s">
        <v>7339</v>
      </c>
      <c r="L1248" s="0" t="s">
        <v>7340</v>
      </c>
      <c r="M1248" s="0" t="s">
        <v>7661</v>
      </c>
      <c r="N1248" s="0" t="s">
        <v>7342</v>
      </c>
      <c r="P1248" s="0" t="s">
        <v>229</v>
      </c>
      <c r="R1248" s="0" t="s">
        <v>7435</v>
      </c>
      <c r="S1248" s="0" t="s">
        <v>7344</v>
      </c>
      <c r="T1248" s="0" t="s">
        <v>681</v>
      </c>
      <c r="V1248" s="0" t="s">
        <v>61</v>
      </c>
      <c r="W1248" s="0" t="s">
        <v>63</v>
      </c>
      <c r="X1248" s="0" t="s">
        <v>7355</v>
      </c>
      <c r="Y1248" s="0" t="s">
        <v>7459</v>
      </c>
      <c r="Z1248" s="0" t="s">
        <v>8083</v>
      </c>
      <c r="AA1248" s="0" t="s">
        <v>8141</v>
      </c>
      <c r="AB1248" s="0" t="s">
        <v>231</v>
      </c>
      <c r="AC1248" s="0" t="s">
        <v>7349</v>
      </c>
      <c r="AD1248" s="0" t="s">
        <v>8146</v>
      </c>
      <c r="AE1248" s="0" t="s">
        <v>7462</v>
      </c>
      <c r="AF1248" s="0" t="s">
        <v>8143</v>
      </c>
      <c r="AG1248" s="0" t="s">
        <v>3198</v>
      </c>
    </row>
    <row r="1249" customFormat="false" ht="15" hidden="false" customHeight="false" outlineLevel="0" collapsed="false">
      <c r="A1249" s="0" t="s">
        <v>7336</v>
      </c>
      <c r="B1249" s="0" t="s">
        <v>4635</v>
      </c>
      <c r="C1249" s="0" t="s">
        <v>4636</v>
      </c>
      <c r="D1249" s="0" t="s">
        <v>2983</v>
      </c>
      <c r="E1249" s="0" t="s">
        <v>4637</v>
      </c>
      <c r="F1249" s="0" t="s">
        <v>4638</v>
      </c>
      <c r="G1249" s="0" t="s">
        <v>128</v>
      </c>
      <c r="H1249" s="0" t="s">
        <v>8197</v>
      </c>
      <c r="I1249" s="0" t="s">
        <v>7338</v>
      </c>
      <c r="J1249" s="0" t="s">
        <v>1602</v>
      </c>
      <c r="K1249" s="0" t="s">
        <v>7339</v>
      </c>
      <c r="L1249" s="0" t="s">
        <v>7340</v>
      </c>
      <c r="M1249" s="0" t="s">
        <v>7661</v>
      </c>
      <c r="N1249" s="0" t="s">
        <v>7342</v>
      </c>
      <c r="P1249" s="0" t="s">
        <v>229</v>
      </c>
      <c r="R1249" s="0" t="s">
        <v>7435</v>
      </c>
      <c r="S1249" s="0" t="s">
        <v>7344</v>
      </c>
      <c r="T1249" s="0" t="s">
        <v>681</v>
      </c>
      <c r="V1249" s="0" t="s">
        <v>61</v>
      </c>
      <c r="W1249" s="0" t="s">
        <v>63</v>
      </c>
      <c r="X1249" s="0" t="s">
        <v>7355</v>
      </c>
      <c r="Y1249" s="0" t="s">
        <v>7459</v>
      </c>
      <c r="Z1249" s="0" t="s">
        <v>8083</v>
      </c>
      <c r="AA1249" s="0" t="s">
        <v>8141</v>
      </c>
      <c r="AB1249" s="0" t="s">
        <v>231</v>
      </c>
      <c r="AC1249" s="0" t="s">
        <v>7349</v>
      </c>
      <c r="AD1249" s="0" t="s">
        <v>8146</v>
      </c>
      <c r="AE1249" s="0" t="s">
        <v>7462</v>
      </c>
      <c r="AF1249" s="0" t="s">
        <v>8143</v>
      </c>
      <c r="AG1249" s="0" t="s">
        <v>3198</v>
      </c>
    </row>
    <row r="1250" customFormat="false" ht="15" hidden="false" customHeight="false" outlineLevel="0" collapsed="false">
      <c r="A1250" s="0" t="s">
        <v>7336</v>
      </c>
      <c r="B1250" s="0" t="s">
        <v>4639</v>
      </c>
      <c r="C1250" s="0" t="s">
        <v>4640</v>
      </c>
      <c r="D1250" s="0" t="s">
        <v>2983</v>
      </c>
      <c r="E1250" s="0" t="s">
        <v>4641</v>
      </c>
      <c r="F1250" s="0" t="s">
        <v>4642</v>
      </c>
      <c r="G1250" s="0" t="s">
        <v>128</v>
      </c>
      <c r="H1250" s="0" t="s">
        <v>8198</v>
      </c>
      <c r="I1250" s="0" t="s">
        <v>7338</v>
      </c>
      <c r="J1250" s="0" t="s">
        <v>1602</v>
      </c>
      <c r="K1250" s="0" t="s">
        <v>7339</v>
      </c>
      <c r="L1250" s="0" t="s">
        <v>7340</v>
      </c>
      <c r="M1250" s="0" t="s">
        <v>7661</v>
      </c>
      <c r="N1250" s="0" t="s">
        <v>7342</v>
      </c>
      <c r="P1250" s="0" t="s">
        <v>229</v>
      </c>
      <c r="R1250" s="0" t="s">
        <v>7435</v>
      </c>
      <c r="S1250" s="0" t="s">
        <v>7344</v>
      </c>
      <c r="T1250" s="0" t="s">
        <v>681</v>
      </c>
      <c r="V1250" s="0" t="s">
        <v>61</v>
      </c>
      <c r="W1250" s="0" t="s">
        <v>63</v>
      </c>
      <c r="X1250" s="0" t="s">
        <v>7355</v>
      </c>
      <c r="Y1250" s="0" t="s">
        <v>7459</v>
      </c>
      <c r="Z1250" s="0" t="s">
        <v>8083</v>
      </c>
      <c r="AA1250" s="0" t="s">
        <v>8141</v>
      </c>
      <c r="AB1250" s="0" t="s">
        <v>231</v>
      </c>
      <c r="AC1250" s="0" t="s">
        <v>7349</v>
      </c>
      <c r="AD1250" s="0" t="s">
        <v>8153</v>
      </c>
      <c r="AE1250" s="0" t="s">
        <v>7462</v>
      </c>
      <c r="AF1250" s="0" t="s">
        <v>8143</v>
      </c>
      <c r="AG1250" s="0" t="s">
        <v>3198</v>
      </c>
    </row>
    <row r="1251" customFormat="false" ht="15" hidden="false" customHeight="false" outlineLevel="0" collapsed="false">
      <c r="A1251" s="0" t="s">
        <v>7336</v>
      </c>
      <c r="B1251" s="0" t="s">
        <v>4643</v>
      </c>
      <c r="C1251" s="0" t="s">
        <v>4644</v>
      </c>
      <c r="D1251" s="0" t="s">
        <v>2983</v>
      </c>
      <c r="E1251" s="0" t="s">
        <v>4645</v>
      </c>
      <c r="F1251" s="0" t="s">
        <v>4646</v>
      </c>
      <c r="G1251" s="0" t="s">
        <v>128</v>
      </c>
      <c r="H1251" s="0" t="s">
        <v>8199</v>
      </c>
      <c r="I1251" s="0" t="s">
        <v>7338</v>
      </c>
      <c r="J1251" s="0" t="s">
        <v>1602</v>
      </c>
      <c r="K1251" s="0" t="s">
        <v>7339</v>
      </c>
      <c r="L1251" s="0" t="s">
        <v>7340</v>
      </c>
      <c r="M1251" s="0" t="s">
        <v>7661</v>
      </c>
      <c r="N1251" s="0" t="s">
        <v>7342</v>
      </c>
      <c r="P1251" s="0" t="s">
        <v>229</v>
      </c>
      <c r="R1251" s="0" t="s">
        <v>7435</v>
      </c>
      <c r="S1251" s="0" t="s">
        <v>7344</v>
      </c>
      <c r="T1251" s="0" t="s">
        <v>681</v>
      </c>
      <c r="V1251" s="0" t="s">
        <v>61</v>
      </c>
      <c r="W1251" s="0" t="s">
        <v>63</v>
      </c>
      <c r="X1251" s="0" t="s">
        <v>7355</v>
      </c>
      <c r="Y1251" s="0" t="s">
        <v>7459</v>
      </c>
      <c r="Z1251" s="0" t="s">
        <v>8083</v>
      </c>
      <c r="AA1251" s="0" t="s">
        <v>8141</v>
      </c>
      <c r="AB1251" s="0" t="s">
        <v>231</v>
      </c>
      <c r="AC1251" s="0" t="s">
        <v>7349</v>
      </c>
      <c r="AD1251" s="0" t="s">
        <v>8153</v>
      </c>
      <c r="AE1251" s="0" t="s">
        <v>7462</v>
      </c>
      <c r="AF1251" s="0" t="s">
        <v>8143</v>
      </c>
      <c r="AG1251" s="0" t="s">
        <v>3198</v>
      </c>
    </row>
    <row r="1252" customFormat="false" ht="15" hidden="false" customHeight="false" outlineLevel="0" collapsed="false">
      <c r="A1252" s="0" t="s">
        <v>7336</v>
      </c>
      <c r="B1252" s="0" t="s">
        <v>4647</v>
      </c>
      <c r="C1252" s="0" t="s">
        <v>4648</v>
      </c>
      <c r="D1252" s="0" t="s">
        <v>2983</v>
      </c>
      <c r="E1252" s="0" t="s">
        <v>4649</v>
      </c>
      <c r="F1252" s="0" t="s">
        <v>4650</v>
      </c>
      <c r="G1252" s="0" t="s">
        <v>128</v>
      </c>
      <c r="H1252" s="0" t="s">
        <v>8200</v>
      </c>
      <c r="I1252" s="0" t="s">
        <v>7338</v>
      </c>
      <c r="J1252" s="0" t="s">
        <v>1602</v>
      </c>
      <c r="K1252" s="0" t="s">
        <v>7339</v>
      </c>
      <c r="L1252" s="0" t="s">
        <v>7340</v>
      </c>
      <c r="M1252" s="0" t="s">
        <v>7661</v>
      </c>
      <c r="N1252" s="0" t="s">
        <v>7342</v>
      </c>
      <c r="P1252" s="0" t="s">
        <v>229</v>
      </c>
      <c r="Q1252" s="0" t="s">
        <v>7354</v>
      </c>
      <c r="S1252" s="0" t="s">
        <v>7344</v>
      </c>
      <c r="T1252" s="0" t="s">
        <v>58</v>
      </c>
      <c r="V1252" s="0" t="s">
        <v>55</v>
      </c>
      <c r="W1252" s="0" t="s">
        <v>55</v>
      </c>
      <c r="X1252" s="0" t="s">
        <v>7355</v>
      </c>
      <c r="Z1252" s="0" t="s">
        <v>7493</v>
      </c>
      <c r="AB1252" s="0" t="s">
        <v>231</v>
      </c>
      <c r="AC1252" s="0" t="s">
        <v>7349</v>
      </c>
      <c r="AE1252" s="0" t="s">
        <v>7826</v>
      </c>
      <c r="AF1252" s="0" t="s">
        <v>8156</v>
      </c>
      <c r="AG1252" s="0" t="s">
        <v>230</v>
      </c>
    </row>
    <row r="1253" customFormat="false" ht="15" hidden="false" customHeight="false" outlineLevel="0" collapsed="false">
      <c r="A1253" s="0" t="s">
        <v>7336</v>
      </c>
      <c r="B1253" s="0" t="s">
        <v>4651</v>
      </c>
      <c r="C1253" s="0" t="s">
        <v>4652</v>
      </c>
      <c r="D1253" s="0" t="s">
        <v>2983</v>
      </c>
      <c r="E1253" s="0" t="s">
        <v>4653</v>
      </c>
      <c r="F1253" s="0" t="s">
        <v>4654</v>
      </c>
      <c r="G1253" s="0" t="s">
        <v>128</v>
      </c>
      <c r="H1253" s="0" t="s">
        <v>8201</v>
      </c>
      <c r="I1253" s="0" t="s">
        <v>7338</v>
      </c>
      <c r="J1253" s="0" t="s">
        <v>1602</v>
      </c>
      <c r="K1253" s="0" t="s">
        <v>7339</v>
      </c>
      <c r="L1253" s="0" t="s">
        <v>7340</v>
      </c>
      <c r="M1253" s="0" t="s">
        <v>7661</v>
      </c>
      <c r="N1253" s="0" t="s">
        <v>7342</v>
      </c>
      <c r="P1253" s="0" t="s">
        <v>229</v>
      </c>
      <c r="Q1253" s="0" t="s">
        <v>7354</v>
      </c>
      <c r="S1253" s="0" t="s">
        <v>7344</v>
      </c>
      <c r="T1253" s="0" t="s">
        <v>58</v>
      </c>
      <c r="V1253" s="0" t="s">
        <v>55</v>
      </c>
      <c r="W1253" s="0" t="s">
        <v>55</v>
      </c>
      <c r="X1253" s="0" t="s">
        <v>7355</v>
      </c>
      <c r="Z1253" s="0" t="s">
        <v>7493</v>
      </c>
      <c r="AB1253" s="0" t="s">
        <v>344</v>
      </c>
      <c r="AC1253" s="0" t="s">
        <v>7349</v>
      </c>
      <c r="AE1253" s="0" t="s">
        <v>8158</v>
      </c>
      <c r="AF1253" s="0" t="s">
        <v>7374</v>
      </c>
      <c r="AG1253" s="0" t="s">
        <v>230</v>
      </c>
    </row>
    <row r="1254" customFormat="false" ht="15" hidden="false" customHeight="false" outlineLevel="0" collapsed="false">
      <c r="A1254" s="0" t="s">
        <v>7336</v>
      </c>
      <c r="B1254" s="0" t="s">
        <v>4655</v>
      </c>
      <c r="C1254" s="0" t="s">
        <v>4656</v>
      </c>
      <c r="D1254" s="0" t="s">
        <v>2983</v>
      </c>
      <c r="E1254" s="0" t="s">
        <v>4657</v>
      </c>
      <c r="F1254" s="0" t="s">
        <v>4658</v>
      </c>
      <c r="G1254" s="0" t="s">
        <v>128</v>
      </c>
      <c r="H1254" s="0" t="s">
        <v>8202</v>
      </c>
      <c r="I1254" s="0" t="s">
        <v>7338</v>
      </c>
      <c r="J1254" s="0" t="s">
        <v>1602</v>
      </c>
      <c r="K1254" s="0" t="s">
        <v>7339</v>
      </c>
      <c r="L1254" s="0" t="s">
        <v>7340</v>
      </c>
      <c r="M1254" s="0" t="s">
        <v>7661</v>
      </c>
      <c r="N1254" s="0" t="s">
        <v>7342</v>
      </c>
      <c r="P1254" s="0" t="s">
        <v>229</v>
      </c>
      <c r="Q1254" s="0" t="s">
        <v>7354</v>
      </c>
      <c r="S1254" s="0" t="s">
        <v>7344</v>
      </c>
      <c r="T1254" s="0" t="s">
        <v>58</v>
      </c>
      <c r="V1254" s="0" t="s">
        <v>55</v>
      </c>
      <c r="W1254" s="0" t="s">
        <v>55</v>
      </c>
      <c r="X1254" s="0" t="s">
        <v>7355</v>
      </c>
      <c r="Z1254" s="0" t="s">
        <v>7493</v>
      </c>
      <c r="AB1254" s="0" t="s">
        <v>344</v>
      </c>
      <c r="AC1254" s="0" t="s">
        <v>7349</v>
      </c>
      <c r="AE1254" s="0" t="s">
        <v>8158</v>
      </c>
      <c r="AF1254" s="0" t="s">
        <v>7374</v>
      </c>
      <c r="AG1254" s="0" t="s">
        <v>230</v>
      </c>
    </row>
    <row r="1255" customFormat="false" ht="15" hidden="false" customHeight="false" outlineLevel="0" collapsed="false">
      <c r="A1255" s="0" t="s">
        <v>7336</v>
      </c>
      <c r="B1255" s="0" t="s">
        <v>4659</v>
      </c>
      <c r="C1255" s="0" t="s">
        <v>4660</v>
      </c>
      <c r="D1255" s="0" t="s">
        <v>2983</v>
      </c>
      <c r="E1255" s="0" t="s">
        <v>4661</v>
      </c>
      <c r="F1255" s="0" t="s">
        <v>4662</v>
      </c>
      <c r="G1255" s="0" t="s">
        <v>128</v>
      </c>
      <c r="H1255" s="0" t="s">
        <v>8203</v>
      </c>
      <c r="I1255" s="0" t="s">
        <v>7338</v>
      </c>
      <c r="J1255" s="0" t="s">
        <v>1602</v>
      </c>
      <c r="K1255" s="0" t="s">
        <v>7339</v>
      </c>
      <c r="L1255" s="0" t="s">
        <v>7340</v>
      </c>
      <c r="M1255" s="0" t="s">
        <v>7661</v>
      </c>
      <c r="N1255" s="0" t="s">
        <v>7342</v>
      </c>
      <c r="P1255" s="0" t="s">
        <v>229</v>
      </c>
      <c r="Q1255" s="0" t="s">
        <v>7354</v>
      </c>
      <c r="S1255" s="0" t="s">
        <v>7344</v>
      </c>
      <c r="T1255" s="0" t="s">
        <v>58</v>
      </c>
      <c r="V1255" s="0" t="s">
        <v>55</v>
      </c>
      <c r="W1255" s="0" t="s">
        <v>55</v>
      </c>
      <c r="X1255" s="0" t="s">
        <v>7355</v>
      </c>
      <c r="Z1255" s="0" t="s">
        <v>7493</v>
      </c>
      <c r="AB1255" s="0" t="s">
        <v>344</v>
      </c>
      <c r="AC1255" s="0" t="s">
        <v>7349</v>
      </c>
      <c r="AE1255" s="0" t="s">
        <v>8158</v>
      </c>
      <c r="AF1255" s="0" t="s">
        <v>7374</v>
      </c>
      <c r="AG1255" s="0" t="s">
        <v>230</v>
      </c>
    </row>
    <row r="1256" customFormat="false" ht="15" hidden="false" customHeight="false" outlineLevel="0" collapsed="false">
      <c r="A1256" s="0" t="s">
        <v>7336</v>
      </c>
      <c r="B1256" s="0" t="s">
        <v>4663</v>
      </c>
      <c r="C1256" s="0" t="s">
        <v>4664</v>
      </c>
      <c r="D1256" s="0" t="s">
        <v>2983</v>
      </c>
      <c r="E1256" s="0" t="s">
        <v>4665</v>
      </c>
      <c r="F1256" s="0" t="s">
        <v>4666</v>
      </c>
      <c r="G1256" s="0" t="s">
        <v>128</v>
      </c>
      <c r="H1256" s="0" t="s">
        <v>8204</v>
      </c>
      <c r="I1256" s="0" t="s">
        <v>7338</v>
      </c>
      <c r="J1256" s="0" t="s">
        <v>1602</v>
      </c>
      <c r="K1256" s="0" t="s">
        <v>7339</v>
      </c>
      <c r="L1256" s="0" t="s">
        <v>7340</v>
      </c>
      <c r="M1256" s="0" t="s">
        <v>7661</v>
      </c>
      <c r="N1256" s="0" t="s">
        <v>7342</v>
      </c>
      <c r="P1256" s="0" t="s">
        <v>229</v>
      </c>
      <c r="Q1256" s="0" t="s">
        <v>7354</v>
      </c>
      <c r="S1256" s="0" t="s">
        <v>7344</v>
      </c>
      <c r="T1256" s="0" t="s">
        <v>58</v>
      </c>
      <c r="V1256" s="0" t="s">
        <v>55</v>
      </c>
      <c r="W1256" s="0" t="s">
        <v>55</v>
      </c>
      <c r="X1256" s="0" t="s">
        <v>7355</v>
      </c>
      <c r="Z1256" s="0" t="s">
        <v>7493</v>
      </c>
      <c r="AB1256" s="0" t="s">
        <v>344</v>
      </c>
      <c r="AC1256" s="0" t="s">
        <v>7349</v>
      </c>
      <c r="AE1256" s="0" t="s">
        <v>8158</v>
      </c>
      <c r="AF1256" s="0" t="s">
        <v>7374</v>
      </c>
      <c r="AG1256" s="0" t="s">
        <v>230</v>
      </c>
    </row>
    <row r="1257" customFormat="false" ht="15" hidden="false" customHeight="false" outlineLevel="0" collapsed="false">
      <c r="A1257" s="0" t="s">
        <v>7336</v>
      </c>
      <c r="B1257" s="0" t="s">
        <v>4667</v>
      </c>
      <c r="C1257" s="0" t="s">
        <v>4668</v>
      </c>
      <c r="D1257" s="0" t="s">
        <v>2983</v>
      </c>
      <c r="E1257" s="0" t="s">
        <v>4669</v>
      </c>
      <c r="F1257" s="0" t="s">
        <v>4670</v>
      </c>
      <c r="G1257" s="0" t="s">
        <v>128</v>
      </c>
      <c r="H1257" s="0" t="s">
        <v>8205</v>
      </c>
      <c r="I1257" s="0" t="s">
        <v>7338</v>
      </c>
      <c r="J1257" s="0" t="s">
        <v>1602</v>
      </c>
      <c r="K1257" s="0" t="s">
        <v>7339</v>
      </c>
      <c r="L1257" s="0" t="s">
        <v>7340</v>
      </c>
      <c r="M1257" s="0" t="s">
        <v>7661</v>
      </c>
      <c r="N1257" s="0" t="s">
        <v>7342</v>
      </c>
      <c r="P1257" s="0" t="s">
        <v>229</v>
      </c>
      <c r="Q1257" s="0" t="s">
        <v>7354</v>
      </c>
      <c r="S1257" s="0" t="s">
        <v>7344</v>
      </c>
      <c r="T1257" s="0" t="s">
        <v>58</v>
      </c>
      <c r="V1257" s="0" t="s">
        <v>55</v>
      </c>
      <c r="W1257" s="0" t="s">
        <v>55</v>
      </c>
      <c r="X1257" s="0" t="s">
        <v>7355</v>
      </c>
      <c r="Z1257" s="0" t="s">
        <v>7493</v>
      </c>
      <c r="AB1257" s="0" t="s">
        <v>344</v>
      </c>
      <c r="AC1257" s="0" t="s">
        <v>7349</v>
      </c>
      <c r="AE1257" s="0" t="s">
        <v>8158</v>
      </c>
      <c r="AF1257" s="0" t="s">
        <v>7374</v>
      </c>
      <c r="AG1257" s="0" t="s">
        <v>230</v>
      </c>
    </row>
    <row r="1258" customFormat="false" ht="15" hidden="false" customHeight="false" outlineLevel="0" collapsed="false">
      <c r="A1258" s="0" t="s">
        <v>7336</v>
      </c>
      <c r="B1258" s="0" t="s">
        <v>4671</v>
      </c>
      <c r="C1258" s="0" t="s">
        <v>4672</v>
      </c>
      <c r="D1258" s="0" t="s">
        <v>2983</v>
      </c>
      <c r="E1258" s="0" t="s">
        <v>4673</v>
      </c>
      <c r="F1258" s="0" t="s">
        <v>4674</v>
      </c>
      <c r="G1258" s="0" t="s">
        <v>128</v>
      </c>
      <c r="H1258" s="0" t="s">
        <v>8206</v>
      </c>
      <c r="I1258" s="0" t="s">
        <v>7338</v>
      </c>
      <c r="J1258" s="0" t="s">
        <v>1602</v>
      </c>
      <c r="K1258" s="0" t="s">
        <v>7339</v>
      </c>
      <c r="L1258" s="0" t="s">
        <v>7340</v>
      </c>
      <c r="M1258" s="0" t="s">
        <v>7661</v>
      </c>
      <c r="N1258" s="0" t="s">
        <v>7342</v>
      </c>
      <c r="P1258" s="0" t="s">
        <v>229</v>
      </c>
      <c r="Q1258" s="0" t="s">
        <v>7354</v>
      </c>
      <c r="S1258" s="0" t="s">
        <v>7344</v>
      </c>
      <c r="T1258" s="0" t="s">
        <v>58</v>
      </c>
      <c r="V1258" s="0" t="s">
        <v>55</v>
      </c>
      <c r="W1258" s="0" t="s">
        <v>55</v>
      </c>
      <c r="X1258" s="0" t="s">
        <v>7355</v>
      </c>
      <c r="Z1258" s="0" t="s">
        <v>7493</v>
      </c>
      <c r="AB1258" s="0" t="s">
        <v>344</v>
      </c>
      <c r="AC1258" s="0" t="s">
        <v>7349</v>
      </c>
      <c r="AE1258" s="0" t="s">
        <v>8158</v>
      </c>
      <c r="AF1258" s="0" t="s">
        <v>7374</v>
      </c>
      <c r="AG1258" s="0" t="s">
        <v>230</v>
      </c>
    </row>
    <row r="1259" customFormat="false" ht="15" hidden="false" customHeight="false" outlineLevel="0" collapsed="false">
      <c r="A1259" s="0" t="s">
        <v>7336</v>
      </c>
      <c r="B1259" s="0" t="s">
        <v>4675</v>
      </c>
      <c r="C1259" s="0" t="s">
        <v>4676</v>
      </c>
      <c r="D1259" s="0" t="s">
        <v>2983</v>
      </c>
      <c r="E1259" s="0" t="s">
        <v>4677</v>
      </c>
      <c r="F1259" s="0" t="s">
        <v>4678</v>
      </c>
      <c r="G1259" s="0" t="s">
        <v>128</v>
      </c>
      <c r="H1259" s="0" t="s">
        <v>8207</v>
      </c>
      <c r="I1259" s="0" t="s">
        <v>7338</v>
      </c>
      <c r="J1259" s="0" t="s">
        <v>1602</v>
      </c>
      <c r="K1259" s="0" t="s">
        <v>7339</v>
      </c>
      <c r="L1259" s="0" t="s">
        <v>7340</v>
      </c>
      <c r="M1259" s="0" t="s">
        <v>7661</v>
      </c>
      <c r="N1259" s="0" t="s">
        <v>7342</v>
      </c>
      <c r="P1259" s="0" t="s">
        <v>229</v>
      </c>
      <c r="Q1259" s="0" t="s">
        <v>7354</v>
      </c>
      <c r="S1259" s="0" t="s">
        <v>7344</v>
      </c>
      <c r="T1259" s="0" t="s">
        <v>58</v>
      </c>
      <c r="V1259" s="0" t="s">
        <v>55</v>
      </c>
      <c r="W1259" s="0" t="s">
        <v>55</v>
      </c>
      <c r="X1259" s="0" t="s">
        <v>7355</v>
      </c>
      <c r="Z1259" s="0" t="s">
        <v>7493</v>
      </c>
      <c r="AB1259" s="0" t="s">
        <v>344</v>
      </c>
      <c r="AC1259" s="0" t="s">
        <v>7349</v>
      </c>
      <c r="AE1259" s="0" t="s">
        <v>8158</v>
      </c>
      <c r="AF1259" s="0" t="s">
        <v>7374</v>
      </c>
      <c r="AG1259" s="0" t="s">
        <v>230</v>
      </c>
    </row>
    <row r="1260" customFormat="false" ht="15" hidden="false" customHeight="false" outlineLevel="0" collapsed="false">
      <c r="A1260" s="0" t="s">
        <v>7336</v>
      </c>
      <c r="B1260" s="0" t="s">
        <v>4679</v>
      </c>
      <c r="C1260" s="0" t="s">
        <v>4680</v>
      </c>
      <c r="D1260" s="0" t="s">
        <v>2983</v>
      </c>
      <c r="E1260" s="0" t="s">
        <v>4681</v>
      </c>
      <c r="F1260" s="0" t="s">
        <v>4658</v>
      </c>
      <c r="G1260" s="0" t="s">
        <v>128</v>
      </c>
      <c r="H1260" s="0" t="s">
        <v>8202</v>
      </c>
      <c r="I1260" s="0" t="s">
        <v>7338</v>
      </c>
      <c r="J1260" s="0" t="s">
        <v>1602</v>
      </c>
      <c r="K1260" s="0" t="s">
        <v>7339</v>
      </c>
      <c r="L1260" s="0" t="s">
        <v>7340</v>
      </c>
      <c r="M1260" s="0" t="s">
        <v>7661</v>
      </c>
      <c r="N1260" s="0" t="s">
        <v>7342</v>
      </c>
      <c r="P1260" s="0" t="s">
        <v>229</v>
      </c>
      <c r="Q1260" s="0" t="s">
        <v>7354</v>
      </c>
      <c r="S1260" s="0" t="s">
        <v>7344</v>
      </c>
      <c r="T1260" s="0" t="s">
        <v>58</v>
      </c>
      <c r="V1260" s="0" t="s">
        <v>55</v>
      </c>
      <c r="W1260" s="0" t="s">
        <v>55</v>
      </c>
      <c r="X1260" s="0" t="s">
        <v>7355</v>
      </c>
      <c r="Z1260" s="0" t="s">
        <v>7493</v>
      </c>
      <c r="AB1260" s="0" t="s">
        <v>344</v>
      </c>
      <c r="AC1260" s="0" t="s">
        <v>7349</v>
      </c>
      <c r="AE1260" s="0" t="s">
        <v>8158</v>
      </c>
      <c r="AF1260" s="0" t="s">
        <v>7374</v>
      </c>
      <c r="AG1260" s="0" t="s">
        <v>230</v>
      </c>
    </row>
    <row r="1261" customFormat="false" ht="15" hidden="false" customHeight="false" outlineLevel="0" collapsed="false">
      <c r="A1261" s="0" t="s">
        <v>7336</v>
      </c>
      <c r="B1261" s="0" t="s">
        <v>4682</v>
      </c>
      <c r="C1261" s="0" t="s">
        <v>4683</v>
      </c>
      <c r="D1261" s="0" t="s">
        <v>2983</v>
      </c>
      <c r="E1261" s="0" t="s">
        <v>4684</v>
      </c>
      <c r="F1261" s="0" t="s">
        <v>4662</v>
      </c>
      <c r="G1261" s="0" t="s">
        <v>128</v>
      </c>
      <c r="H1261" s="0" t="s">
        <v>8203</v>
      </c>
      <c r="I1261" s="0" t="s">
        <v>7338</v>
      </c>
      <c r="J1261" s="0" t="s">
        <v>1602</v>
      </c>
      <c r="K1261" s="0" t="s">
        <v>7339</v>
      </c>
      <c r="L1261" s="0" t="s">
        <v>7340</v>
      </c>
      <c r="M1261" s="0" t="s">
        <v>7661</v>
      </c>
      <c r="N1261" s="0" t="s">
        <v>7342</v>
      </c>
      <c r="P1261" s="0" t="s">
        <v>229</v>
      </c>
      <c r="Q1261" s="0" t="s">
        <v>7354</v>
      </c>
      <c r="S1261" s="0" t="s">
        <v>7344</v>
      </c>
      <c r="T1261" s="0" t="s">
        <v>58</v>
      </c>
      <c r="V1261" s="0" t="s">
        <v>55</v>
      </c>
      <c r="W1261" s="0" t="s">
        <v>55</v>
      </c>
      <c r="X1261" s="0" t="s">
        <v>7355</v>
      </c>
      <c r="Z1261" s="0" t="s">
        <v>7493</v>
      </c>
      <c r="AB1261" s="0" t="s">
        <v>344</v>
      </c>
      <c r="AC1261" s="0" t="s">
        <v>7349</v>
      </c>
      <c r="AE1261" s="0" t="s">
        <v>8158</v>
      </c>
      <c r="AF1261" s="0" t="s">
        <v>7374</v>
      </c>
      <c r="AG1261" s="0" t="s">
        <v>230</v>
      </c>
    </row>
    <row r="1262" customFormat="false" ht="15" hidden="false" customHeight="false" outlineLevel="0" collapsed="false">
      <c r="A1262" s="0" t="s">
        <v>7336</v>
      </c>
      <c r="B1262" s="0" t="s">
        <v>4685</v>
      </c>
      <c r="C1262" s="0" t="s">
        <v>4686</v>
      </c>
      <c r="D1262" s="0" t="s">
        <v>2983</v>
      </c>
      <c r="E1262" s="0" t="s">
        <v>4687</v>
      </c>
      <c r="F1262" s="0" t="s">
        <v>4666</v>
      </c>
      <c r="G1262" s="0" t="s">
        <v>128</v>
      </c>
      <c r="H1262" s="0" t="s">
        <v>8204</v>
      </c>
      <c r="I1262" s="0" t="s">
        <v>7338</v>
      </c>
      <c r="J1262" s="0" t="s">
        <v>1602</v>
      </c>
      <c r="K1262" s="0" t="s">
        <v>7339</v>
      </c>
      <c r="L1262" s="0" t="s">
        <v>7340</v>
      </c>
      <c r="M1262" s="0" t="s">
        <v>7661</v>
      </c>
      <c r="N1262" s="0" t="s">
        <v>7342</v>
      </c>
      <c r="P1262" s="0" t="s">
        <v>229</v>
      </c>
      <c r="Q1262" s="0" t="s">
        <v>7354</v>
      </c>
      <c r="S1262" s="0" t="s">
        <v>7344</v>
      </c>
      <c r="T1262" s="0" t="s">
        <v>58</v>
      </c>
      <c r="V1262" s="0" t="s">
        <v>55</v>
      </c>
      <c r="W1262" s="0" t="s">
        <v>55</v>
      </c>
      <c r="X1262" s="0" t="s">
        <v>7355</v>
      </c>
      <c r="Z1262" s="0" t="s">
        <v>7493</v>
      </c>
      <c r="AB1262" s="0" t="s">
        <v>344</v>
      </c>
      <c r="AC1262" s="0" t="s">
        <v>7349</v>
      </c>
      <c r="AE1262" s="0" t="s">
        <v>8158</v>
      </c>
      <c r="AF1262" s="0" t="s">
        <v>7374</v>
      </c>
      <c r="AG1262" s="0" t="s">
        <v>230</v>
      </c>
    </row>
    <row r="1263" customFormat="false" ht="15" hidden="false" customHeight="false" outlineLevel="0" collapsed="false">
      <c r="A1263" s="0" t="s">
        <v>7336</v>
      </c>
      <c r="B1263" s="0" t="s">
        <v>4688</v>
      </c>
      <c r="C1263" s="0" t="s">
        <v>4689</v>
      </c>
      <c r="D1263" s="0" t="s">
        <v>2983</v>
      </c>
      <c r="E1263" s="0" t="s">
        <v>4690</v>
      </c>
      <c r="F1263" s="0" t="s">
        <v>4670</v>
      </c>
      <c r="G1263" s="0" t="s">
        <v>128</v>
      </c>
      <c r="H1263" s="0" t="s">
        <v>8205</v>
      </c>
      <c r="I1263" s="0" t="s">
        <v>7338</v>
      </c>
      <c r="J1263" s="0" t="s">
        <v>1602</v>
      </c>
      <c r="K1263" s="0" t="s">
        <v>7339</v>
      </c>
      <c r="L1263" s="0" t="s">
        <v>7340</v>
      </c>
      <c r="M1263" s="0" t="s">
        <v>7661</v>
      </c>
      <c r="N1263" s="0" t="s">
        <v>7342</v>
      </c>
      <c r="P1263" s="0" t="s">
        <v>229</v>
      </c>
      <c r="Q1263" s="0" t="s">
        <v>7354</v>
      </c>
      <c r="S1263" s="0" t="s">
        <v>7344</v>
      </c>
      <c r="T1263" s="0" t="s">
        <v>58</v>
      </c>
      <c r="V1263" s="0" t="s">
        <v>55</v>
      </c>
      <c r="W1263" s="0" t="s">
        <v>55</v>
      </c>
      <c r="X1263" s="0" t="s">
        <v>7355</v>
      </c>
      <c r="Z1263" s="0" t="s">
        <v>7493</v>
      </c>
      <c r="AB1263" s="0" t="s">
        <v>344</v>
      </c>
      <c r="AC1263" s="0" t="s">
        <v>7349</v>
      </c>
      <c r="AE1263" s="0" t="s">
        <v>8158</v>
      </c>
      <c r="AF1263" s="0" t="s">
        <v>7374</v>
      </c>
      <c r="AG1263" s="0" t="s">
        <v>230</v>
      </c>
    </row>
    <row r="1264" customFormat="false" ht="15" hidden="false" customHeight="false" outlineLevel="0" collapsed="false">
      <c r="A1264" s="0" t="s">
        <v>7336</v>
      </c>
      <c r="B1264" s="0" t="s">
        <v>4691</v>
      </c>
      <c r="C1264" s="0" t="s">
        <v>4692</v>
      </c>
      <c r="D1264" s="0" t="s">
        <v>2983</v>
      </c>
      <c r="E1264" s="0" t="s">
        <v>4693</v>
      </c>
      <c r="F1264" s="0" t="s">
        <v>4694</v>
      </c>
      <c r="G1264" s="0" t="s">
        <v>130</v>
      </c>
      <c r="H1264" s="0" t="s">
        <v>8208</v>
      </c>
      <c r="I1264" s="0" t="s">
        <v>7338</v>
      </c>
      <c r="J1264" s="0" t="s">
        <v>1602</v>
      </c>
      <c r="K1264" s="0" t="s">
        <v>7339</v>
      </c>
      <c r="L1264" s="0" t="s">
        <v>7340</v>
      </c>
      <c r="M1264" s="0" t="s">
        <v>7661</v>
      </c>
      <c r="N1264" s="0" t="s">
        <v>7342</v>
      </c>
      <c r="P1264" s="0" t="s">
        <v>229</v>
      </c>
      <c r="R1264" s="0" t="s">
        <v>7435</v>
      </c>
      <c r="S1264" s="0" t="s">
        <v>7344</v>
      </c>
      <c r="T1264" s="0" t="s">
        <v>681</v>
      </c>
      <c r="V1264" s="0" t="s">
        <v>61</v>
      </c>
      <c r="W1264" s="0" t="s">
        <v>63</v>
      </c>
      <c r="X1264" s="0" t="s">
        <v>7355</v>
      </c>
      <c r="Y1264" s="0" t="s">
        <v>7436</v>
      </c>
      <c r="Z1264" s="0" t="s">
        <v>8088</v>
      </c>
      <c r="AA1264" s="0" t="s">
        <v>8170</v>
      </c>
      <c r="AB1264" s="0" t="s">
        <v>4510</v>
      </c>
      <c r="AC1264" s="0" t="s">
        <v>7349</v>
      </c>
      <c r="AD1264" s="0" t="s">
        <v>8171</v>
      </c>
      <c r="AE1264" s="0" t="s">
        <v>8172</v>
      </c>
      <c r="AF1264" s="0" t="s">
        <v>8143</v>
      </c>
      <c r="AG1264" s="0" t="s">
        <v>3198</v>
      </c>
    </row>
    <row r="1265" customFormat="false" ht="15" hidden="false" customHeight="false" outlineLevel="0" collapsed="false">
      <c r="A1265" s="0" t="s">
        <v>7336</v>
      </c>
      <c r="B1265" s="0" t="s">
        <v>4695</v>
      </c>
      <c r="C1265" s="0" t="s">
        <v>4696</v>
      </c>
      <c r="D1265" s="0" t="s">
        <v>2983</v>
      </c>
      <c r="E1265" s="0" t="s">
        <v>4697</v>
      </c>
      <c r="F1265" s="0" t="s">
        <v>4698</v>
      </c>
      <c r="G1265" s="0" t="s">
        <v>130</v>
      </c>
      <c r="H1265" s="0" t="s">
        <v>8209</v>
      </c>
      <c r="I1265" s="0" t="s">
        <v>7338</v>
      </c>
      <c r="J1265" s="0" t="s">
        <v>1602</v>
      </c>
      <c r="K1265" s="0" t="s">
        <v>7339</v>
      </c>
      <c r="L1265" s="0" t="s">
        <v>7340</v>
      </c>
      <c r="M1265" s="0" t="s">
        <v>7661</v>
      </c>
      <c r="N1265" s="0" t="s">
        <v>7342</v>
      </c>
      <c r="P1265" s="0" t="s">
        <v>229</v>
      </c>
      <c r="R1265" s="0" t="s">
        <v>7435</v>
      </c>
      <c r="S1265" s="0" t="s">
        <v>7344</v>
      </c>
      <c r="T1265" s="0" t="s">
        <v>681</v>
      </c>
      <c r="V1265" s="0" t="s">
        <v>61</v>
      </c>
      <c r="W1265" s="0" t="s">
        <v>63</v>
      </c>
      <c r="X1265" s="0" t="s">
        <v>7355</v>
      </c>
      <c r="Y1265" s="0" t="s">
        <v>7436</v>
      </c>
      <c r="Z1265" s="0" t="s">
        <v>8088</v>
      </c>
      <c r="AA1265" s="0" t="s">
        <v>8170</v>
      </c>
      <c r="AB1265" s="0" t="s">
        <v>4510</v>
      </c>
      <c r="AC1265" s="0" t="s">
        <v>7349</v>
      </c>
      <c r="AD1265" s="0" t="s">
        <v>8171</v>
      </c>
      <c r="AE1265" s="0" t="s">
        <v>8172</v>
      </c>
      <c r="AF1265" s="0" t="s">
        <v>8143</v>
      </c>
      <c r="AG1265" s="0" t="s">
        <v>3198</v>
      </c>
    </row>
    <row r="1266" customFormat="false" ht="15" hidden="false" customHeight="false" outlineLevel="0" collapsed="false">
      <c r="A1266" s="0" t="s">
        <v>7336</v>
      </c>
      <c r="B1266" s="0" t="s">
        <v>4699</v>
      </c>
      <c r="C1266" s="0" t="s">
        <v>4700</v>
      </c>
      <c r="D1266" s="0" t="s">
        <v>2983</v>
      </c>
      <c r="E1266" s="0" t="s">
        <v>4701</v>
      </c>
      <c r="F1266" s="0" t="s">
        <v>4694</v>
      </c>
      <c r="G1266" s="0" t="s">
        <v>130</v>
      </c>
      <c r="H1266" s="0" t="s">
        <v>8208</v>
      </c>
      <c r="I1266" s="0" t="s">
        <v>7338</v>
      </c>
      <c r="J1266" s="0" t="s">
        <v>1602</v>
      </c>
      <c r="K1266" s="0" t="s">
        <v>7339</v>
      </c>
      <c r="L1266" s="0" t="s">
        <v>7340</v>
      </c>
      <c r="M1266" s="0" t="s">
        <v>7661</v>
      </c>
      <c r="N1266" s="0" t="s">
        <v>7342</v>
      </c>
      <c r="P1266" s="0" t="s">
        <v>229</v>
      </c>
      <c r="R1266" s="0" t="s">
        <v>7435</v>
      </c>
      <c r="S1266" s="0" t="s">
        <v>7344</v>
      </c>
      <c r="T1266" s="0" t="s">
        <v>681</v>
      </c>
      <c r="V1266" s="0" t="s">
        <v>61</v>
      </c>
      <c r="W1266" s="0" t="s">
        <v>63</v>
      </c>
      <c r="X1266" s="0" t="s">
        <v>7355</v>
      </c>
      <c r="Y1266" s="0" t="s">
        <v>7459</v>
      </c>
      <c r="Z1266" s="0" t="s">
        <v>8083</v>
      </c>
      <c r="AA1266" s="0" t="s">
        <v>8141</v>
      </c>
      <c r="AB1266" s="0" t="s">
        <v>231</v>
      </c>
      <c r="AC1266" s="0" t="s">
        <v>7349</v>
      </c>
      <c r="AD1266" s="0" t="s">
        <v>8174</v>
      </c>
      <c r="AE1266" s="0" t="s">
        <v>7462</v>
      </c>
      <c r="AF1266" s="0" t="s">
        <v>8143</v>
      </c>
      <c r="AG1266" s="0" t="s">
        <v>3198</v>
      </c>
    </row>
    <row r="1267" customFormat="false" ht="15" hidden="false" customHeight="false" outlineLevel="0" collapsed="false">
      <c r="A1267" s="0" t="s">
        <v>7336</v>
      </c>
      <c r="B1267" s="0" t="s">
        <v>4702</v>
      </c>
      <c r="C1267" s="0" t="s">
        <v>4703</v>
      </c>
      <c r="D1267" s="0" t="s">
        <v>2983</v>
      </c>
      <c r="E1267" s="0" t="s">
        <v>4704</v>
      </c>
      <c r="F1267" s="0" t="s">
        <v>4698</v>
      </c>
      <c r="G1267" s="0" t="s">
        <v>130</v>
      </c>
      <c r="H1267" s="0" t="s">
        <v>8209</v>
      </c>
      <c r="I1267" s="0" t="s">
        <v>7338</v>
      </c>
      <c r="J1267" s="0" t="s">
        <v>1602</v>
      </c>
      <c r="K1267" s="0" t="s">
        <v>7339</v>
      </c>
      <c r="L1267" s="0" t="s">
        <v>7340</v>
      </c>
      <c r="M1267" s="0" t="s">
        <v>7661</v>
      </c>
      <c r="N1267" s="0" t="s">
        <v>7342</v>
      </c>
      <c r="P1267" s="0" t="s">
        <v>229</v>
      </c>
      <c r="R1267" s="0" t="s">
        <v>7435</v>
      </c>
      <c r="S1267" s="0" t="s">
        <v>7344</v>
      </c>
      <c r="T1267" s="0" t="s">
        <v>681</v>
      </c>
      <c r="V1267" s="0" t="s">
        <v>61</v>
      </c>
      <c r="W1267" s="0" t="s">
        <v>63</v>
      </c>
      <c r="X1267" s="0" t="s">
        <v>7355</v>
      </c>
      <c r="Y1267" s="0" t="s">
        <v>7459</v>
      </c>
      <c r="Z1267" s="0" t="s">
        <v>8083</v>
      </c>
      <c r="AA1267" s="0" t="s">
        <v>8141</v>
      </c>
      <c r="AB1267" s="0" t="s">
        <v>231</v>
      </c>
      <c r="AC1267" s="0" t="s">
        <v>7349</v>
      </c>
      <c r="AD1267" s="0" t="s">
        <v>8174</v>
      </c>
      <c r="AE1267" s="0" t="s">
        <v>7462</v>
      </c>
      <c r="AF1267" s="0" t="s">
        <v>8143</v>
      </c>
      <c r="AG1267" s="0" t="s">
        <v>3198</v>
      </c>
    </row>
    <row r="1268" customFormat="false" ht="15" hidden="false" customHeight="false" outlineLevel="0" collapsed="false">
      <c r="A1268" s="0" t="s">
        <v>7336</v>
      </c>
      <c r="B1268" s="0" t="s">
        <v>4705</v>
      </c>
      <c r="C1268" s="0" t="s">
        <v>4706</v>
      </c>
      <c r="D1268" s="0" t="s">
        <v>2983</v>
      </c>
      <c r="E1268" s="0" t="s">
        <v>4707</v>
      </c>
      <c r="F1268" s="0" t="s">
        <v>4694</v>
      </c>
      <c r="G1268" s="0" t="s">
        <v>130</v>
      </c>
      <c r="H1268" s="0" t="s">
        <v>8208</v>
      </c>
      <c r="I1268" s="0" t="s">
        <v>7338</v>
      </c>
      <c r="J1268" s="0" t="s">
        <v>1602</v>
      </c>
      <c r="K1268" s="0" t="s">
        <v>7339</v>
      </c>
      <c r="L1268" s="0" t="s">
        <v>7340</v>
      </c>
      <c r="M1268" s="0" t="s">
        <v>7661</v>
      </c>
      <c r="N1268" s="0" t="s">
        <v>7342</v>
      </c>
      <c r="P1268" s="0" t="s">
        <v>229</v>
      </c>
      <c r="R1268" s="0" t="s">
        <v>7435</v>
      </c>
      <c r="S1268" s="0" t="s">
        <v>7344</v>
      </c>
      <c r="T1268" s="0" t="s">
        <v>681</v>
      </c>
      <c r="V1268" s="0" t="s">
        <v>61</v>
      </c>
      <c r="W1268" s="0" t="s">
        <v>63</v>
      </c>
      <c r="X1268" s="0" t="s">
        <v>7355</v>
      </c>
      <c r="Y1268" s="0" t="s">
        <v>7459</v>
      </c>
      <c r="Z1268" s="0" t="s">
        <v>8083</v>
      </c>
      <c r="AA1268" s="0" t="s">
        <v>8141</v>
      </c>
      <c r="AB1268" s="0" t="s">
        <v>231</v>
      </c>
      <c r="AC1268" s="0" t="s">
        <v>7349</v>
      </c>
      <c r="AD1268" s="0" t="s">
        <v>8174</v>
      </c>
      <c r="AE1268" s="0" t="s">
        <v>7462</v>
      </c>
      <c r="AF1268" s="0" t="s">
        <v>8143</v>
      </c>
      <c r="AG1268" s="0" t="s">
        <v>3198</v>
      </c>
    </row>
    <row r="1269" customFormat="false" ht="15" hidden="false" customHeight="false" outlineLevel="0" collapsed="false">
      <c r="A1269" s="0" t="s">
        <v>7336</v>
      </c>
      <c r="B1269" s="0" t="s">
        <v>4708</v>
      </c>
      <c r="C1269" s="0" t="s">
        <v>4709</v>
      </c>
      <c r="D1269" s="0" t="s">
        <v>2983</v>
      </c>
      <c r="E1269" s="0" t="s">
        <v>4710</v>
      </c>
      <c r="F1269" s="0" t="s">
        <v>4711</v>
      </c>
      <c r="G1269" s="0" t="s">
        <v>130</v>
      </c>
      <c r="H1269" s="0" t="s">
        <v>8210</v>
      </c>
      <c r="I1269" s="0" t="s">
        <v>7338</v>
      </c>
      <c r="J1269" s="0" t="s">
        <v>1602</v>
      </c>
      <c r="K1269" s="0" t="s">
        <v>7339</v>
      </c>
      <c r="L1269" s="0" t="s">
        <v>7340</v>
      </c>
      <c r="M1269" s="0" t="s">
        <v>7661</v>
      </c>
      <c r="N1269" s="0" t="s">
        <v>7342</v>
      </c>
      <c r="P1269" s="0" t="s">
        <v>229</v>
      </c>
      <c r="R1269" s="0" t="s">
        <v>7435</v>
      </c>
      <c r="S1269" s="0" t="s">
        <v>7344</v>
      </c>
      <c r="T1269" s="0" t="s">
        <v>681</v>
      </c>
      <c r="V1269" s="0" t="s">
        <v>61</v>
      </c>
      <c r="W1269" s="0" t="s">
        <v>63</v>
      </c>
      <c r="X1269" s="0" t="s">
        <v>7355</v>
      </c>
      <c r="Y1269" s="0" t="s">
        <v>7459</v>
      </c>
      <c r="Z1269" s="0" t="s">
        <v>8083</v>
      </c>
      <c r="AA1269" s="0" t="s">
        <v>8141</v>
      </c>
      <c r="AB1269" s="0" t="s">
        <v>231</v>
      </c>
      <c r="AC1269" s="0" t="s">
        <v>7349</v>
      </c>
      <c r="AD1269" s="0" t="s">
        <v>8176</v>
      </c>
      <c r="AE1269" s="0" t="s">
        <v>7462</v>
      </c>
      <c r="AF1269" s="0" t="s">
        <v>8143</v>
      </c>
      <c r="AG1269" s="0" t="s">
        <v>3198</v>
      </c>
    </row>
    <row r="1270" customFormat="false" ht="15" hidden="false" customHeight="false" outlineLevel="0" collapsed="false">
      <c r="A1270" s="0" t="s">
        <v>7336</v>
      </c>
      <c r="B1270" s="0" t="s">
        <v>4712</v>
      </c>
      <c r="C1270" s="0" t="s">
        <v>4713</v>
      </c>
      <c r="D1270" s="0" t="s">
        <v>2983</v>
      </c>
      <c r="E1270" s="0" t="s">
        <v>4714</v>
      </c>
      <c r="F1270" s="0" t="s">
        <v>4711</v>
      </c>
      <c r="G1270" s="0" t="s">
        <v>130</v>
      </c>
      <c r="H1270" s="0" t="s">
        <v>8210</v>
      </c>
      <c r="I1270" s="0" t="s">
        <v>7338</v>
      </c>
      <c r="J1270" s="0" t="s">
        <v>1602</v>
      </c>
      <c r="K1270" s="0" t="s">
        <v>7339</v>
      </c>
      <c r="L1270" s="0" t="s">
        <v>7340</v>
      </c>
      <c r="M1270" s="0" t="s">
        <v>7661</v>
      </c>
      <c r="N1270" s="0" t="s">
        <v>7342</v>
      </c>
      <c r="P1270" s="0" t="s">
        <v>229</v>
      </c>
      <c r="R1270" s="0" t="s">
        <v>7435</v>
      </c>
      <c r="S1270" s="0" t="s">
        <v>7344</v>
      </c>
      <c r="T1270" s="0" t="s">
        <v>681</v>
      </c>
      <c r="V1270" s="0" t="s">
        <v>61</v>
      </c>
      <c r="W1270" s="0" t="s">
        <v>63</v>
      </c>
      <c r="X1270" s="0" t="s">
        <v>7355</v>
      </c>
      <c r="Y1270" s="0" t="s">
        <v>7459</v>
      </c>
      <c r="Z1270" s="0" t="s">
        <v>8062</v>
      </c>
      <c r="AA1270" s="0" t="s">
        <v>8141</v>
      </c>
      <c r="AB1270" s="0" t="s">
        <v>231</v>
      </c>
      <c r="AC1270" s="0" t="s">
        <v>7349</v>
      </c>
      <c r="AD1270" s="0" t="s">
        <v>7715</v>
      </c>
      <c r="AE1270" s="0" t="s">
        <v>8085</v>
      </c>
      <c r="AF1270" s="0" t="s">
        <v>8143</v>
      </c>
      <c r="AG1270" s="0" t="s">
        <v>3198</v>
      </c>
    </row>
    <row r="1271" customFormat="false" ht="15" hidden="false" customHeight="false" outlineLevel="0" collapsed="false">
      <c r="A1271" s="0" t="s">
        <v>7336</v>
      </c>
      <c r="B1271" s="0" t="s">
        <v>4715</v>
      </c>
      <c r="C1271" s="0" t="s">
        <v>4716</v>
      </c>
      <c r="D1271" s="0" t="s">
        <v>2983</v>
      </c>
      <c r="E1271" s="0" t="s">
        <v>4717</v>
      </c>
      <c r="F1271" s="0" t="s">
        <v>4572</v>
      </c>
      <c r="G1271" s="0" t="s">
        <v>130</v>
      </c>
      <c r="H1271" s="0" t="s">
        <v>8185</v>
      </c>
      <c r="I1271" s="0" t="s">
        <v>7338</v>
      </c>
      <c r="J1271" s="0" t="s">
        <v>1602</v>
      </c>
      <c r="K1271" s="0" t="s">
        <v>7339</v>
      </c>
      <c r="L1271" s="0" t="s">
        <v>7340</v>
      </c>
      <c r="M1271" s="0" t="s">
        <v>7661</v>
      </c>
      <c r="N1271" s="0" t="s">
        <v>7342</v>
      </c>
      <c r="P1271" s="0" t="s">
        <v>229</v>
      </c>
      <c r="R1271" s="0" t="s">
        <v>7435</v>
      </c>
      <c r="S1271" s="0" t="s">
        <v>7344</v>
      </c>
      <c r="T1271" s="0" t="s">
        <v>681</v>
      </c>
      <c r="V1271" s="0" t="s">
        <v>61</v>
      </c>
      <c r="W1271" s="0" t="s">
        <v>63</v>
      </c>
      <c r="X1271" s="0" t="s">
        <v>7355</v>
      </c>
      <c r="Y1271" s="0" t="s">
        <v>7459</v>
      </c>
      <c r="Z1271" s="0" t="s">
        <v>8083</v>
      </c>
      <c r="AA1271" s="0" t="s">
        <v>8141</v>
      </c>
      <c r="AB1271" s="0" t="s">
        <v>231</v>
      </c>
      <c r="AC1271" s="0" t="s">
        <v>7349</v>
      </c>
      <c r="AD1271" s="0" t="s">
        <v>8176</v>
      </c>
      <c r="AE1271" s="0" t="s">
        <v>7462</v>
      </c>
      <c r="AF1271" s="0" t="s">
        <v>8143</v>
      </c>
      <c r="AG1271" s="0" t="s">
        <v>3198</v>
      </c>
    </row>
    <row r="1272" customFormat="false" ht="15" hidden="false" customHeight="false" outlineLevel="0" collapsed="false">
      <c r="A1272" s="0" t="s">
        <v>7336</v>
      </c>
      <c r="B1272" s="0" t="s">
        <v>4718</v>
      </c>
      <c r="C1272" s="0" t="s">
        <v>4719</v>
      </c>
      <c r="D1272" s="0" t="s">
        <v>259</v>
      </c>
      <c r="E1272" s="0" t="s">
        <v>4720</v>
      </c>
      <c r="F1272" s="0" t="s">
        <v>4721</v>
      </c>
      <c r="G1272" s="0" t="s">
        <v>116</v>
      </c>
      <c r="H1272" s="0" t="s">
        <v>8211</v>
      </c>
      <c r="I1272" s="0" t="s">
        <v>7338</v>
      </c>
      <c r="J1272" s="0" t="s">
        <v>1602</v>
      </c>
      <c r="K1272" s="0" t="s">
        <v>7339</v>
      </c>
      <c r="L1272" s="0" t="s">
        <v>7340</v>
      </c>
      <c r="M1272" s="0" t="s">
        <v>7661</v>
      </c>
      <c r="N1272" s="0" t="s">
        <v>7342</v>
      </c>
      <c r="P1272" s="0" t="s">
        <v>229</v>
      </c>
      <c r="Q1272" s="0" t="s">
        <v>7354</v>
      </c>
      <c r="R1272" s="0" t="s">
        <v>7435</v>
      </c>
      <c r="S1272" s="0" t="s">
        <v>7344</v>
      </c>
      <c r="T1272" s="0" t="s">
        <v>260</v>
      </c>
      <c r="V1272" s="0" t="s">
        <v>61</v>
      </c>
      <c r="W1272" s="0" t="s">
        <v>63</v>
      </c>
      <c r="X1272" s="0" t="s">
        <v>7355</v>
      </c>
      <c r="Y1272" s="0" t="s">
        <v>7459</v>
      </c>
      <c r="Z1272" s="0" t="s">
        <v>7460</v>
      </c>
      <c r="AA1272" s="0" t="s">
        <v>7438</v>
      </c>
      <c r="AB1272" s="0" t="s">
        <v>231</v>
      </c>
      <c r="AC1272" s="0" t="s">
        <v>7349</v>
      </c>
      <c r="AD1272" s="0" t="s">
        <v>7461</v>
      </c>
      <c r="AE1272" s="0" t="s">
        <v>7462</v>
      </c>
      <c r="AF1272" s="0" t="s">
        <v>7374</v>
      </c>
      <c r="AG1272" s="0" t="s">
        <v>230</v>
      </c>
    </row>
    <row r="1273" customFormat="false" ht="15" hidden="false" customHeight="false" outlineLevel="0" collapsed="false">
      <c r="A1273" s="0" t="s">
        <v>7336</v>
      </c>
      <c r="B1273" s="0" t="s">
        <v>4722</v>
      </c>
      <c r="C1273" s="0" t="s">
        <v>4723</v>
      </c>
      <c r="D1273" s="0" t="s">
        <v>259</v>
      </c>
      <c r="E1273" s="0" t="s">
        <v>4724</v>
      </c>
      <c r="F1273" s="0" t="s">
        <v>4721</v>
      </c>
      <c r="G1273" s="0" t="s">
        <v>116</v>
      </c>
      <c r="H1273" s="0" t="s">
        <v>8211</v>
      </c>
      <c r="I1273" s="0" t="s">
        <v>7338</v>
      </c>
      <c r="J1273" s="0" t="s">
        <v>1602</v>
      </c>
      <c r="K1273" s="0" t="s">
        <v>7339</v>
      </c>
      <c r="L1273" s="0" t="s">
        <v>7340</v>
      </c>
      <c r="M1273" s="0" t="s">
        <v>7661</v>
      </c>
      <c r="N1273" s="0" t="s">
        <v>7342</v>
      </c>
      <c r="P1273" s="0" t="s">
        <v>229</v>
      </c>
      <c r="Q1273" s="0" t="s">
        <v>7354</v>
      </c>
      <c r="R1273" s="0" t="s">
        <v>7435</v>
      </c>
      <c r="S1273" s="0" t="s">
        <v>7344</v>
      </c>
      <c r="T1273" s="0" t="s">
        <v>260</v>
      </c>
      <c r="V1273" s="0" t="s">
        <v>61</v>
      </c>
      <c r="W1273" s="0" t="s">
        <v>63</v>
      </c>
      <c r="X1273" s="0" t="s">
        <v>7355</v>
      </c>
      <c r="Y1273" s="0" t="s">
        <v>7459</v>
      </c>
      <c r="Z1273" s="0" t="s">
        <v>7460</v>
      </c>
      <c r="AA1273" s="0" t="s">
        <v>7438</v>
      </c>
      <c r="AB1273" s="0" t="s">
        <v>231</v>
      </c>
      <c r="AC1273" s="0" t="s">
        <v>7349</v>
      </c>
      <c r="AD1273" s="0" t="s">
        <v>7461</v>
      </c>
      <c r="AE1273" s="0" t="s">
        <v>7462</v>
      </c>
      <c r="AF1273" s="0" t="s">
        <v>7374</v>
      </c>
      <c r="AG1273" s="0" t="s">
        <v>230</v>
      </c>
    </row>
    <row r="1274" customFormat="false" ht="15" hidden="false" customHeight="false" outlineLevel="0" collapsed="false">
      <c r="A1274" s="0" t="s">
        <v>7336</v>
      </c>
      <c r="B1274" s="0" t="s">
        <v>4725</v>
      </c>
      <c r="C1274" s="0" t="s">
        <v>4726</v>
      </c>
      <c r="D1274" s="0" t="s">
        <v>259</v>
      </c>
      <c r="E1274" s="0" t="s">
        <v>4727</v>
      </c>
      <c r="F1274" s="0" t="s">
        <v>4728</v>
      </c>
      <c r="G1274" s="0" t="s">
        <v>116</v>
      </c>
      <c r="H1274" s="0" t="s">
        <v>8212</v>
      </c>
      <c r="I1274" s="0" t="s">
        <v>7338</v>
      </c>
      <c r="J1274" s="0" t="s">
        <v>1602</v>
      </c>
      <c r="K1274" s="0" t="s">
        <v>7339</v>
      </c>
      <c r="L1274" s="0" t="s">
        <v>7340</v>
      </c>
      <c r="M1274" s="0" t="s">
        <v>7661</v>
      </c>
      <c r="N1274" s="0" t="s">
        <v>7342</v>
      </c>
      <c r="P1274" s="0" t="s">
        <v>229</v>
      </c>
      <c r="Q1274" s="0" t="s">
        <v>7354</v>
      </c>
      <c r="R1274" s="0" t="s">
        <v>7435</v>
      </c>
      <c r="S1274" s="0" t="s">
        <v>7344</v>
      </c>
      <c r="T1274" s="0" t="s">
        <v>260</v>
      </c>
      <c r="V1274" s="0" t="s">
        <v>61</v>
      </c>
      <c r="W1274" s="0" t="s">
        <v>63</v>
      </c>
      <c r="X1274" s="0" t="s">
        <v>7355</v>
      </c>
      <c r="Y1274" s="0" t="s">
        <v>7459</v>
      </c>
      <c r="Z1274" s="0" t="s">
        <v>7460</v>
      </c>
      <c r="AA1274" s="0" t="s">
        <v>7438</v>
      </c>
      <c r="AB1274" s="0" t="s">
        <v>231</v>
      </c>
      <c r="AC1274" s="0" t="s">
        <v>7349</v>
      </c>
      <c r="AD1274" s="0" t="s">
        <v>7461</v>
      </c>
      <c r="AE1274" s="0" t="s">
        <v>7462</v>
      </c>
      <c r="AF1274" s="0" t="s">
        <v>7374</v>
      </c>
      <c r="AG1274" s="0" t="s">
        <v>230</v>
      </c>
    </row>
    <row r="1275" customFormat="false" ht="15" hidden="false" customHeight="false" outlineLevel="0" collapsed="false">
      <c r="A1275" s="0" t="s">
        <v>7336</v>
      </c>
      <c r="B1275" s="0" t="s">
        <v>4729</v>
      </c>
      <c r="C1275" s="0" t="s">
        <v>4730</v>
      </c>
      <c r="D1275" s="0" t="s">
        <v>259</v>
      </c>
      <c r="E1275" s="0" t="s">
        <v>4731</v>
      </c>
      <c r="F1275" s="0" t="s">
        <v>4732</v>
      </c>
      <c r="G1275" s="0" t="s">
        <v>116</v>
      </c>
      <c r="H1275" s="0" t="s">
        <v>8213</v>
      </c>
      <c r="I1275" s="0" t="s">
        <v>7338</v>
      </c>
      <c r="J1275" s="0" t="s">
        <v>1602</v>
      </c>
      <c r="K1275" s="0" t="s">
        <v>7339</v>
      </c>
      <c r="L1275" s="0" t="s">
        <v>7340</v>
      </c>
      <c r="M1275" s="0" t="s">
        <v>7661</v>
      </c>
      <c r="N1275" s="0" t="s">
        <v>7342</v>
      </c>
      <c r="P1275" s="0" t="s">
        <v>229</v>
      </c>
      <c r="Q1275" s="0" t="s">
        <v>7354</v>
      </c>
      <c r="R1275" s="0" t="s">
        <v>7435</v>
      </c>
      <c r="S1275" s="0" t="s">
        <v>7344</v>
      </c>
      <c r="T1275" s="0" t="s">
        <v>260</v>
      </c>
      <c r="V1275" s="0" t="s">
        <v>61</v>
      </c>
      <c r="W1275" s="0" t="s">
        <v>63</v>
      </c>
      <c r="X1275" s="0" t="s">
        <v>7355</v>
      </c>
      <c r="Y1275" s="0" t="s">
        <v>7459</v>
      </c>
      <c r="Z1275" s="0" t="s">
        <v>7460</v>
      </c>
      <c r="AA1275" s="0" t="s">
        <v>7438</v>
      </c>
      <c r="AB1275" s="0" t="s">
        <v>231</v>
      </c>
      <c r="AC1275" s="0" t="s">
        <v>7349</v>
      </c>
      <c r="AD1275" s="0" t="s">
        <v>7461</v>
      </c>
      <c r="AE1275" s="0" t="s">
        <v>7462</v>
      </c>
      <c r="AF1275" s="0" t="s">
        <v>7374</v>
      </c>
      <c r="AG1275" s="0" t="s">
        <v>230</v>
      </c>
    </row>
    <row r="1276" customFormat="false" ht="15" hidden="false" customHeight="false" outlineLevel="0" collapsed="false">
      <c r="A1276" s="0" t="s">
        <v>7336</v>
      </c>
      <c r="B1276" s="0" t="s">
        <v>4733</v>
      </c>
      <c r="C1276" s="0" t="s">
        <v>4734</v>
      </c>
      <c r="D1276" s="0" t="s">
        <v>259</v>
      </c>
      <c r="E1276" s="0" t="s">
        <v>4735</v>
      </c>
      <c r="F1276" s="0" t="s">
        <v>4736</v>
      </c>
      <c r="G1276" s="0" t="s">
        <v>116</v>
      </c>
      <c r="H1276" s="0" t="s">
        <v>8214</v>
      </c>
      <c r="I1276" s="0" t="s">
        <v>7338</v>
      </c>
      <c r="J1276" s="0" t="s">
        <v>1602</v>
      </c>
      <c r="K1276" s="0" t="s">
        <v>7339</v>
      </c>
      <c r="L1276" s="0" t="s">
        <v>7340</v>
      </c>
      <c r="M1276" s="0" t="s">
        <v>7661</v>
      </c>
      <c r="N1276" s="0" t="s">
        <v>7342</v>
      </c>
      <c r="P1276" s="0" t="s">
        <v>229</v>
      </c>
      <c r="Q1276" s="0" t="s">
        <v>7354</v>
      </c>
      <c r="R1276" s="0" t="s">
        <v>7435</v>
      </c>
      <c r="S1276" s="0" t="s">
        <v>7344</v>
      </c>
      <c r="T1276" s="0" t="s">
        <v>260</v>
      </c>
      <c r="V1276" s="0" t="s">
        <v>61</v>
      </c>
      <c r="W1276" s="0" t="s">
        <v>63</v>
      </c>
      <c r="X1276" s="0" t="s">
        <v>7355</v>
      </c>
      <c r="Y1276" s="0" t="s">
        <v>7459</v>
      </c>
      <c r="Z1276" s="0" t="s">
        <v>7460</v>
      </c>
      <c r="AA1276" s="0" t="s">
        <v>7438</v>
      </c>
      <c r="AB1276" s="0" t="s">
        <v>231</v>
      </c>
      <c r="AC1276" s="0" t="s">
        <v>7349</v>
      </c>
      <c r="AD1276" s="0" t="s">
        <v>7461</v>
      </c>
      <c r="AE1276" s="0" t="s">
        <v>7462</v>
      </c>
      <c r="AF1276" s="0" t="s">
        <v>7374</v>
      </c>
      <c r="AG1276" s="0" t="s">
        <v>230</v>
      </c>
    </row>
    <row r="1277" customFormat="false" ht="15" hidden="false" customHeight="false" outlineLevel="0" collapsed="false">
      <c r="A1277" s="0" t="s">
        <v>7336</v>
      </c>
      <c r="B1277" s="0" t="s">
        <v>4737</v>
      </c>
      <c r="C1277" s="0" t="s">
        <v>4738</v>
      </c>
      <c r="D1277" s="0" t="s">
        <v>259</v>
      </c>
      <c r="E1277" s="0" t="s">
        <v>4739</v>
      </c>
      <c r="F1277" s="0" t="s">
        <v>4740</v>
      </c>
      <c r="G1277" s="0" t="s">
        <v>116</v>
      </c>
      <c r="H1277" s="0" t="s">
        <v>8215</v>
      </c>
      <c r="I1277" s="0" t="s">
        <v>7338</v>
      </c>
      <c r="J1277" s="0" t="s">
        <v>1602</v>
      </c>
      <c r="K1277" s="0" t="s">
        <v>7339</v>
      </c>
      <c r="L1277" s="0" t="s">
        <v>7340</v>
      </c>
      <c r="M1277" s="0" t="s">
        <v>7661</v>
      </c>
      <c r="N1277" s="0" t="s">
        <v>7342</v>
      </c>
      <c r="P1277" s="0" t="s">
        <v>229</v>
      </c>
      <c r="Q1277" s="0" t="s">
        <v>7354</v>
      </c>
      <c r="R1277" s="0" t="s">
        <v>7435</v>
      </c>
      <c r="S1277" s="0" t="s">
        <v>7344</v>
      </c>
      <c r="T1277" s="0" t="s">
        <v>260</v>
      </c>
      <c r="V1277" s="0" t="s">
        <v>61</v>
      </c>
      <c r="W1277" s="0" t="s">
        <v>63</v>
      </c>
      <c r="X1277" s="0" t="s">
        <v>7355</v>
      </c>
      <c r="Y1277" s="0" t="s">
        <v>7459</v>
      </c>
      <c r="Z1277" s="0" t="s">
        <v>7460</v>
      </c>
      <c r="AA1277" s="0" t="s">
        <v>7438</v>
      </c>
      <c r="AB1277" s="0" t="s">
        <v>231</v>
      </c>
      <c r="AC1277" s="0" t="s">
        <v>7349</v>
      </c>
      <c r="AD1277" s="0" t="s">
        <v>7461</v>
      </c>
      <c r="AE1277" s="0" t="s">
        <v>7462</v>
      </c>
      <c r="AF1277" s="0" t="s">
        <v>7374</v>
      </c>
      <c r="AG1277" s="0" t="s">
        <v>230</v>
      </c>
    </row>
    <row r="1278" customFormat="false" ht="15" hidden="false" customHeight="false" outlineLevel="0" collapsed="false">
      <c r="A1278" s="0" t="s">
        <v>7336</v>
      </c>
      <c r="B1278" s="0" t="s">
        <v>4741</v>
      </c>
      <c r="C1278" s="0" t="s">
        <v>4742</v>
      </c>
      <c r="D1278" s="0" t="s">
        <v>259</v>
      </c>
      <c r="E1278" s="0" t="s">
        <v>4743</v>
      </c>
      <c r="F1278" s="0" t="s">
        <v>4744</v>
      </c>
      <c r="G1278" s="0" t="s">
        <v>116</v>
      </c>
      <c r="H1278" s="0" t="s">
        <v>8216</v>
      </c>
      <c r="I1278" s="0" t="s">
        <v>7338</v>
      </c>
      <c r="J1278" s="0" t="s">
        <v>1602</v>
      </c>
      <c r="K1278" s="0" t="s">
        <v>7339</v>
      </c>
      <c r="L1278" s="0" t="s">
        <v>7340</v>
      </c>
      <c r="M1278" s="0" t="s">
        <v>7661</v>
      </c>
      <c r="N1278" s="0" t="s">
        <v>7342</v>
      </c>
      <c r="P1278" s="0" t="s">
        <v>229</v>
      </c>
      <c r="Q1278" s="0" t="s">
        <v>7354</v>
      </c>
      <c r="R1278" s="0" t="s">
        <v>7435</v>
      </c>
      <c r="S1278" s="0" t="s">
        <v>7344</v>
      </c>
      <c r="T1278" s="0" t="s">
        <v>260</v>
      </c>
      <c r="V1278" s="0" t="s">
        <v>61</v>
      </c>
      <c r="W1278" s="0" t="s">
        <v>63</v>
      </c>
      <c r="X1278" s="0" t="s">
        <v>7355</v>
      </c>
      <c r="Y1278" s="0" t="s">
        <v>7459</v>
      </c>
      <c r="Z1278" s="0" t="s">
        <v>7460</v>
      </c>
      <c r="AA1278" s="0" t="s">
        <v>7438</v>
      </c>
      <c r="AB1278" s="0" t="s">
        <v>231</v>
      </c>
      <c r="AC1278" s="0" t="s">
        <v>7349</v>
      </c>
      <c r="AD1278" s="0" t="s">
        <v>7461</v>
      </c>
      <c r="AE1278" s="0" t="s">
        <v>7462</v>
      </c>
      <c r="AF1278" s="0" t="s">
        <v>7374</v>
      </c>
      <c r="AG1278" s="0" t="s">
        <v>230</v>
      </c>
    </row>
    <row r="1279" customFormat="false" ht="15" hidden="false" customHeight="false" outlineLevel="0" collapsed="false">
      <c r="A1279" s="0" t="s">
        <v>7336</v>
      </c>
      <c r="B1279" s="0" t="s">
        <v>4745</v>
      </c>
      <c r="C1279" s="0" t="s">
        <v>4746</v>
      </c>
      <c r="D1279" s="0" t="s">
        <v>259</v>
      </c>
      <c r="E1279" s="0" t="s">
        <v>4747</v>
      </c>
      <c r="F1279" s="0" t="s">
        <v>4748</v>
      </c>
      <c r="G1279" s="0" t="s">
        <v>116</v>
      </c>
      <c r="H1279" s="0" t="s">
        <v>8217</v>
      </c>
      <c r="I1279" s="0" t="s">
        <v>7338</v>
      </c>
      <c r="J1279" s="0" t="s">
        <v>1602</v>
      </c>
      <c r="K1279" s="0" t="s">
        <v>7339</v>
      </c>
      <c r="L1279" s="0" t="s">
        <v>7340</v>
      </c>
      <c r="M1279" s="0" t="s">
        <v>7661</v>
      </c>
      <c r="N1279" s="0" t="s">
        <v>7342</v>
      </c>
      <c r="P1279" s="0" t="s">
        <v>229</v>
      </c>
      <c r="Q1279" s="0" t="s">
        <v>7354</v>
      </c>
      <c r="R1279" s="0" t="s">
        <v>7435</v>
      </c>
      <c r="S1279" s="0" t="s">
        <v>7344</v>
      </c>
      <c r="T1279" s="0" t="s">
        <v>260</v>
      </c>
      <c r="V1279" s="0" t="s">
        <v>61</v>
      </c>
      <c r="W1279" s="0" t="s">
        <v>63</v>
      </c>
      <c r="X1279" s="0" t="s">
        <v>7355</v>
      </c>
      <c r="Y1279" s="0" t="s">
        <v>7459</v>
      </c>
      <c r="Z1279" s="0" t="s">
        <v>7460</v>
      </c>
      <c r="AA1279" s="0" t="s">
        <v>7438</v>
      </c>
      <c r="AB1279" s="0" t="s">
        <v>231</v>
      </c>
      <c r="AC1279" s="0" t="s">
        <v>7349</v>
      </c>
      <c r="AD1279" s="0" t="s">
        <v>7461</v>
      </c>
      <c r="AE1279" s="0" t="s">
        <v>7462</v>
      </c>
      <c r="AF1279" s="0" t="s">
        <v>7374</v>
      </c>
      <c r="AG1279" s="0" t="s">
        <v>230</v>
      </c>
    </row>
    <row r="1280" customFormat="false" ht="15" hidden="false" customHeight="false" outlineLevel="0" collapsed="false">
      <c r="A1280" s="0" t="s">
        <v>7336</v>
      </c>
      <c r="B1280" s="0" t="s">
        <v>4749</v>
      </c>
      <c r="C1280" s="0" t="s">
        <v>4750</v>
      </c>
      <c r="D1280" s="0" t="s">
        <v>259</v>
      </c>
      <c r="E1280" s="0" t="s">
        <v>4751</v>
      </c>
      <c r="F1280" s="0" t="s">
        <v>4752</v>
      </c>
      <c r="G1280" s="0" t="s">
        <v>116</v>
      </c>
      <c r="H1280" s="0" t="s">
        <v>8218</v>
      </c>
      <c r="I1280" s="0" t="s">
        <v>7338</v>
      </c>
      <c r="J1280" s="0" t="s">
        <v>1602</v>
      </c>
      <c r="K1280" s="0" t="s">
        <v>7339</v>
      </c>
      <c r="L1280" s="0" t="s">
        <v>7340</v>
      </c>
      <c r="M1280" s="0" t="s">
        <v>7661</v>
      </c>
      <c r="N1280" s="0" t="s">
        <v>7342</v>
      </c>
      <c r="P1280" s="0" t="s">
        <v>229</v>
      </c>
      <c r="Q1280" s="0" t="s">
        <v>7354</v>
      </c>
      <c r="R1280" s="0" t="s">
        <v>7435</v>
      </c>
      <c r="S1280" s="0" t="s">
        <v>7344</v>
      </c>
      <c r="T1280" s="0" t="s">
        <v>260</v>
      </c>
      <c r="V1280" s="0" t="s">
        <v>61</v>
      </c>
      <c r="W1280" s="0" t="s">
        <v>63</v>
      </c>
      <c r="X1280" s="0" t="s">
        <v>7355</v>
      </c>
      <c r="Y1280" s="0" t="s">
        <v>7459</v>
      </c>
      <c r="Z1280" s="0" t="s">
        <v>7460</v>
      </c>
      <c r="AA1280" s="0" t="s">
        <v>7438</v>
      </c>
      <c r="AB1280" s="0" t="s">
        <v>231</v>
      </c>
      <c r="AC1280" s="0" t="s">
        <v>7349</v>
      </c>
      <c r="AD1280" s="0" t="s">
        <v>7461</v>
      </c>
      <c r="AE1280" s="0" t="s">
        <v>7462</v>
      </c>
      <c r="AF1280" s="0" t="s">
        <v>7374</v>
      </c>
      <c r="AG1280" s="0" t="s">
        <v>230</v>
      </c>
    </row>
    <row r="1281" customFormat="false" ht="15" hidden="false" customHeight="false" outlineLevel="0" collapsed="false">
      <c r="A1281" s="0" t="s">
        <v>7336</v>
      </c>
      <c r="B1281" s="0" t="s">
        <v>4753</v>
      </c>
      <c r="C1281" s="0" t="s">
        <v>4754</v>
      </c>
      <c r="D1281" s="0" t="s">
        <v>259</v>
      </c>
      <c r="E1281" s="0" t="s">
        <v>4755</v>
      </c>
      <c r="F1281" s="0" t="s">
        <v>4756</v>
      </c>
      <c r="G1281" s="0" t="s">
        <v>116</v>
      </c>
      <c r="H1281" s="0" t="s">
        <v>8219</v>
      </c>
      <c r="I1281" s="0" t="s">
        <v>7338</v>
      </c>
      <c r="J1281" s="0" t="s">
        <v>1602</v>
      </c>
      <c r="K1281" s="0" t="s">
        <v>7339</v>
      </c>
      <c r="L1281" s="0" t="s">
        <v>7340</v>
      </c>
      <c r="M1281" s="0" t="s">
        <v>7661</v>
      </c>
      <c r="N1281" s="0" t="s">
        <v>7342</v>
      </c>
      <c r="P1281" s="0" t="s">
        <v>229</v>
      </c>
      <c r="Q1281" s="0" t="s">
        <v>7354</v>
      </c>
      <c r="R1281" s="0" t="s">
        <v>7435</v>
      </c>
      <c r="S1281" s="0" t="s">
        <v>7344</v>
      </c>
      <c r="T1281" s="0" t="s">
        <v>260</v>
      </c>
      <c r="V1281" s="0" t="s">
        <v>61</v>
      </c>
      <c r="W1281" s="0" t="s">
        <v>63</v>
      </c>
      <c r="X1281" s="0" t="s">
        <v>7355</v>
      </c>
      <c r="Y1281" s="0" t="s">
        <v>7459</v>
      </c>
      <c r="Z1281" s="0" t="s">
        <v>7460</v>
      </c>
      <c r="AA1281" s="0" t="s">
        <v>7438</v>
      </c>
      <c r="AB1281" s="0" t="s">
        <v>231</v>
      </c>
      <c r="AC1281" s="0" t="s">
        <v>7349</v>
      </c>
      <c r="AD1281" s="0" t="s">
        <v>7461</v>
      </c>
      <c r="AE1281" s="0" t="s">
        <v>7462</v>
      </c>
      <c r="AF1281" s="0" t="s">
        <v>7374</v>
      </c>
      <c r="AG1281" s="0" t="s">
        <v>230</v>
      </c>
    </row>
    <row r="1282" customFormat="false" ht="15" hidden="false" customHeight="false" outlineLevel="0" collapsed="false">
      <c r="A1282" s="0" t="s">
        <v>7336</v>
      </c>
      <c r="B1282" s="0" t="s">
        <v>4757</v>
      </c>
      <c r="C1282" s="0" t="s">
        <v>4758</v>
      </c>
      <c r="D1282" s="0" t="s">
        <v>259</v>
      </c>
      <c r="E1282" s="0" t="s">
        <v>4759</v>
      </c>
      <c r="F1282" s="0" t="s">
        <v>3193</v>
      </c>
      <c r="G1282" s="0" t="s">
        <v>116</v>
      </c>
      <c r="H1282" s="0" t="s">
        <v>7901</v>
      </c>
      <c r="I1282" s="0" t="s">
        <v>7338</v>
      </c>
      <c r="J1282" s="0" t="s">
        <v>1602</v>
      </c>
      <c r="K1282" s="0" t="s">
        <v>7339</v>
      </c>
      <c r="L1282" s="0" t="s">
        <v>7340</v>
      </c>
      <c r="M1282" s="0" t="s">
        <v>7661</v>
      </c>
      <c r="N1282" s="0" t="s">
        <v>7342</v>
      </c>
      <c r="P1282" s="0" t="s">
        <v>229</v>
      </c>
      <c r="Q1282" s="0" t="s">
        <v>7354</v>
      </c>
      <c r="R1282" s="0" t="s">
        <v>7435</v>
      </c>
      <c r="S1282" s="0" t="s">
        <v>7344</v>
      </c>
      <c r="T1282" s="0" t="s">
        <v>260</v>
      </c>
      <c r="V1282" s="0" t="s">
        <v>61</v>
      </c>
      <c r="W1282" s="0" t="s">
        <v>63</v>
      </c>
      <c r="X1282" s="0" t="s">
        <v>7355</v>
      </c>
      <c r="Y1282" s="0" t="s">
        <v>7459</v>
      </c>
      <c r="Z1282" s="0" t="s">
        <v>7460</v>
      </c>
      <c r="AA1282" s="0" t="s">
        <v>7438</v>
      </c>
      <c r="AB1282" s="0" t="s">
        <v>231</v>
      </c>
      <c r="AC1282" s="0" t="s">
        <v>7349</v>
      </c>
      <c r="AD1282" s="0" t="s">
        <v>7461</v>
      </c>
      <c r="AE1282" s="0" t="s">
        <v>7462</v>
      </c>
      <c r="AF1282" s="0" t="s">
        <v>7374</v>
      </c>
      <c r="AG1282" s="0" t="s">
        <v>230</v>
      </c>
    </row>
    <row r="1283" customFormat="false" ht="15" hidden="false" customHeight="false" outlineLevel="0" collapsed="false">
      <c r="A1283" s="0" t="s">
        <v>7336</v>
      </c>
      <c r="B1283" s="0" t="s">
        <v>4760</v>
      </c>
      <c r="C1283" s="0" t="s">
        <v>4761</v>
      </c>
      <c r="D1283" s="0" t="s">
        <v>259</v>
      </c>
      <c r="E1283" s="0" t="s">
        <v>4762</v>
      </c>
      <c r="F1283" s="0" t="s">
        <v>4763</v>
      </c>
      <c r="G1283" s="0" t="s">
        <v>116</v>
      </c>
      <c r="H1283" s="0" t="s">
        <v>8220</v>
      </c>
      <c r="I1283" s="0" t="s">
        <v>7338</v>
      </c>
      <c r="J1283" s="0" t="s">
        <v>1602</v>
      </c>
      <c r="K1283" s="0" t="s">
        <v>7339</v>
      </c>
      <c r="L1283" s="0" t="s">
        <v>7340</v>
      </c>
      <c r="M1283" s="0" t="s">
        <v>7661</v>
      </c>
      <c r="N1283" s="0" t="s">
        <v>7342</v>
      </c>
      <c r="P1283" s="0" t="s">
        <v>229</v>
      </c>
      <c r="Q1283" s="0" t="s">
        <v>7354</v>
      </c>
      <c r="S1283" s="0" t="s">
        <v>7344</v>
      </c>
      <c r="T1283" s="0" t="s">
        <v>58</v>
      </c>
      <c r="V1283" s="0" t="s">
        <v>55</v>
      </c>
      <c r="W1283" s="0" t="s">
        <v>55</v>
      </c>
      <c r="X1283" s="0" t="s">
        <v>7355</v>
      </c>
      <c r="Z1283" s="0" t="s">
        <v>7493</v>
      </c>
      <c r="AB1283" s="0" t="s">
        <v>344</v>
      </c>
      <c r="AC1283" s="0" t="s">
        <v>7349</v>
      </c>
      <c r="AE1283" s="0" t="s">
        <v>7826</v>
      </c>
      <c r="AF1283" s="0" t="s">
        <v>7374</v>
      </c>
      <c r="AG1283" s="0" t="s">
        <v>230</v>
      </c>
    </row>
    <row r="1284" customFormat="false" ht="15" hidden="false" customHeight="false" outlineLevel="0" collapsed="false">
      <c r="A1284" s="0" t="s">
        <v>7336</v>
      </c>
      <c r="B1284" s="0" t="s">
        <v>4764</v>
      </c>
      <c r="C1284" s="0" t="s">
        <v>4765</v>
      </c>
      <c r="D1284" s="0" t="s">
        <v>259</v>
      </c>
      <c r="E1284" s="0" t="s">
        <v>4766</v>
      </c>
      <c r="F1284" s="0" t="s">
        <v>4767</v>
      </c>
      <c r="G1284" s="0" t="s">
        <v>116</v>
      </c>
      <c r="H1284" s="0" t="s">
        <v>8221</v>
      </c>
      <c r="I1284" s="0" t="s">
        <v>7338</v>
      </c>
      <c r="J1284" s="0" t="s">
        <v>1602</v>
      </c>
      <c r="K1284" s="0" t="s">
        <v>7339</v>
      </c>
      <c r="L1284" s="0" t="s">
        <v>7340</v>
      </c>
      <c r="M1284" s="0" t="s">
        <v>7661</v>
      </c>
      <c r="N1284" s="0" t="s">
        <v>7342</v>
      </c>
      <c r="P1284" s="0" t="s">
        <v>229</v>
      </c>
      <c r="Q1284" s="0" t="s">
        <v>7354</v>
      </c>
      <c r="S1284" s="0" t="s">
        <v>7344</v>
      </c>
      <c r="T1284" s="0" t="s">
        <v>58</v>
      </c>
      <c r="V1284" s="0" t="s">
        <v>55</v>
      </c>
      <c r="W1284" s="0" t="s">
        <v>55</v>
      </c>
      <c r="X1284" s="0" t="s">
        <v>7355</v>
      </c>
      <c r="Z1284" s="0" t="s">
        <v>7493</v>
      </c>
      <c r="AB1284" s="0" t="s">
        <v>344</v>
      </c>
      <c r="AC1284" s="0" t="s">
        <v>7349</v>
      </c>
      <c r="AE1284" s="0" t="s">
        <v>7826</v>
      </c>
      <c r="AF1284" s="0" t="s">
        <v>7374</v>
      </c>
      <c r="AG1284" s="0" t="s">
        <v>230</v>
      </c>
    </row>
    <row r="1285" customFormat="false" ht="15" hidden="false" customHeight="false" outlineLevel="0" collapsed="false">
      <c r="A1285" s="0" t="s">
        <v>7336</v>
      </c>
      <c r="B1285" s="0" t="s">
        <v>4768</v>
      </c>
      <c r="C1285" s="0" t="s">
        <v>4769</v>
      </c>
      <c r="D1285" s="0" t="s">
        <v>259</v>
      </c>
      <c r="E1285" s="0" t="s">
        <v>4770</v>
      </c>
      <c r="F1285" s="0" t="s">
        <v>4771</v>
      </c>
      <c r="G1285" s="0" t="s">
        <v>116</v>
      </c>
      <c r="H1285" s="0" t="s">
        <v>8222</v>
      </c>
      <c r="I1285" s="0" t="s">
        <v>7338</v>
      </c>
      <c r="J1285" s="0" t="s">
        <v>1602</v>
      </c>
      <c r="K1285" s="0" t="s">
        <v>7339</v>
      </c>
      <c r="L1285" s="0" t="s">
        <v>7340</v>
      </c>
      <c r="M1285" s="0" t="s">
        <v>7661</v>
      </c>
      <c r="N1285" s="0" t="s">
        <v>7342</v>
      </c>
      <c r="P1285" s="0" t="s">
        <v>229</v>
      </c>
      <c r="Q1285" s="0" t="s">
        <v>7354</v>
      </c>
      <c r="S1285" s="0" t="s">
        <v>7344</v>
      </c>
      <c r="T1285" s="0" t="s">
        <v>58</v>
      </c>
      <c r="V1285" s="0" t="s">
        <v>55</v>
      </c>
      <c r="W1285" s="0" t="s">
        <v>55</v>
      </c>
      <c r="X1285" s="0" t="s">
        <v>7355</v>
      </c>
      <c r="Z1285" s="0" t="s">
        <v>7493</v>
      </c>
      <c r="AB1285" s="0" t="s">
        <v>344</v>
      </c>
      <c r="AC1285" s="0" t="s">
        <v>7349</v>
      </c>
      <c r="AE1285" s="0" t="s">
        <v>7826</v>
      </c>
      <c r="AF1285" s="0" t="s">
        <v>7374</v>
      </c>
      <c r="AG1285" s="0" t="s">
        <v>230</v>
      </c>
    </row>
    <row r="1286" customFormat="false" ht="15" hidden="false" customHeight="false" outlineLevel="0" collapsed="false">
      <c r="A1286" s="0" t="s">
        <v>7336</v>
      </c>
      <c r="B1286" s="0" t="s">
        <v>4772</v>
      </c>
      <c r="C1286" s="0" t="s">
        <v>4773</v>
      </c>
      <c r="D1286" s="0" t="s">
        <v>259</v>
      </c>
      <c r="E1286" s="0" t="s">
        <v>4774</v>
      </c>
      <c r="F1286" s="0" t="s">
        <v>4775</v>
      </c>
      <c r="G1286" s="0" t="s">
        <v>116</v>
      </c>
      <c r="H1286" s="0" t="s">
        <v>8223</v>
      </c>
      <c r="I1286" s="0" t="s">
        <v>7338</v>
      </c>
      <c r="J1286" s="0" t="s">
        <v>1602</v>
      </c>
      <c r="K1286" s="0" t="s">
        <v>7339</v>
      </c>
      <c r="L1286" s="0" t="s">
        <v>7340</v>
      </c>
      <c r="M1286" s="0" t="s">
        <v>7661</v>
      </c>
      <c r="N1286" s="0" t="s">
        <v>7342</v>
      </c>
      <c r="P1286" s="0" t="s">
        <v>229</v>
      </c>
      <c r="Q1286" s="0" t="s">
        <v>7354</v>
      </c>
      <c r="S1286" s="0" t="s">
        <v>7344</v>
      </c>
      <c r="T1286" s="0" t="s">
        <v>58</v>
      </c>
      <c r="V1286" s="0" t="s">
        <v>55</v>
      </c>
      <c r="W1286" s="0" t="s">
        <v>55</v>
      </c>
      <c r="X1286" s="0" t="s">
        <v>7355</v>
      </c>
      <c r="Z1286" s="0" t="s">
        <v>7493</v>
      </c>
      <c r="AB1286" s="0" t="s">
        <v>344</v>
      </c>
      <c r="AC1286" s="0" t="s">
        <v>7349</v>
      </c>
      <c r="AE1286" s="0" t="s">
        <v>7826</v>
      </c>
      <c r="AF1286" s="0" t="s">
        <v>7374</v>
      </c>
      <c r="AG1286" s="0" t="s">
        <v>230</v>
      </c>
    </row>
    <row r="1287" customFormat="false" ht="15" hidden="false" customHeight="false" outlineLevel="0" collapsed="false">
      <c r="A1287" s="0" t="s">
        <v>7336</v>
      </c>
      <c r="B1287" s="0" t="s">
        <v>4776</v>
      </c>
      <c r="C1287" s="0" t="s">
        <v>4777</v>
      </c>
      <c r="D1287" s="0" t="s">
        <v>259</v>
      </c>
      <c r="E1287" s="0" t="s">
        <v>4778</v>
      </c>
      <c r="F1287" s="0" t="s">
        <v>4779</v>
      </c>
      <c r="G1287" s="0" t="s">
        <v>116</v>
      </c>
      <c r="H1287" s="0" t="s">
        <v>8224</v>
      </c>
      <c r="I1287" s="0" t="s">
        <v>7338</v>
      </c>
      <c r="J1287" s="0" t="s">
        <v>1602</v>
      </c>
      <c r="K1287" s="0" t="s">
        <v>7339</v>
      </c>
      <c r="L1287" s="0" t="s">
        <v>7340</v>
      </c>
      <c r="M1287" s="0" t="s">
        <v>7661</v>
      </c>
      <c r="N1287" s="0" t="s">
        <v>7342</v>
      </c>
      <c r="P1287" s="0" t="s">
        <v>229</v>
      </c>
      <c r="Q1287" s="0" t="s">
        <v>7354</v>
      </c>
      <c r="S1287" s="0" t="s">
        <v>7344</v>
      </c>
      <c r="T1287" s="0" t="s">
        <v>58</v>
      </c>
      <c r="V1287" s="0" t="s">
        <v>55</v>
      </c>
      <c r="W1287" s="0" t="s">
        <v>55</v>
      </c>
      <c r="X1287" s="0" t="s">
        <v>7355</v>
      </c>
      <c r="Z1287" s="0" t="s">
        <v>7493</v>
      </c>
      <c r="AB1287" s="0" t="s">
        <v>344</v>
      </c>
      <c r="AC1287" s="0" t="s">
        <v>7349</v>
      </c>
      <c r="AE1287" s="0" t="s">
        <v>7826</v>
      </c>
      <c r="AF1287" s="0" t="s">
        <v>7374</v>
      </c>
      <c r="AG1287" s="0" t="s">
        <v>230</v>
      </c>
    </row>
    <row r="1288" customFormat="false" ht="15" hidden="false" customHeight="false" outlineLevel="0" collapsed="false">
      <c r="A1288" s="0" t="s">
        <v>7336</v>
      </c>
      <c r="B1288" s="0" t="s">
        <v>4780</v>
      </c>
      <c r="C1288" s="0" t="s">
        <v>4781</v>
      </c>
      <c r="D1288" s="0" t="s">
        <v>259</v>
      </c>
      <c r="E1288" s="0" t="s">
        <v>4782</v>
      </c>
      <c r="F1288" s="0" t="s">
        <v>4783</v>
      </c>
      <c r="G1288" s="0" t="s">
        <v>116</v>
      </c>
      <c r="H1288" s="0" t="s">
        <v>8225</v>
      </c>
      <c r="I1288" s="0" t="s">
        <v>7338</v>
      </c>
      <c r="J1288" s="0" t="s">
        <v>1602</v>
      </c>
      <c r="K1288" s="0" t="s">
        <v>7339</v>
      </c>
      <c r="L1288" s="0" t="s">
        <v>7340</v>
      </c>
      <c r="M1288" s="0" t="s">
        <v>7661</v>
      </c>
      <c r="N1288" s="0" t="s">
        <v>7342</v>
      </c>
      <c r="P1288" s="0" t="s">
        <v>229</v>
      </c>
      <c r="Q1288" s="0" t="s">
        <v>7354</v>
      </c>
      <c r="S1288" s="0" t="s">
        <v>7344</v>
      </c>
      <c r="T1288" s="0" t="s">
        <v>58</v>
      </c>
      <c r="V1288" s="0" t="s">
        <v>55</v>
      </c>
      <c r="W1288" s="0" t="s">
        <v>55</v>
      </c>
      <c r="X1288" s="0" t="s">
        <v>7355</v>
      </c>
      <c r="Z1288" s="0" t="s">
        <v>7493</v>
      </c>
      <c r="AB1288" s="0" t="s">
        <v>344</v>
      </c>
      <c r="AC1288" s="0" t="s">
        <v>7349</v>
      </c>
      <c r="AE1288" s="0" t="s">
        <v>7826</v>
      </c>
      <c r="AF1288" s="0" t="s">
        <v>7374</v>
      </c>
      <c r="AG1288" s="0" t="s">
        <v>230</v>
      </c>
    </row>
    <row r="1289" customFormat="false" ht="15" hidden="false" customHeight="false" outlineLevel="0" collapsed="false">
      <c r="A1289" s="0" t="s">
        <v>7336</v>
      </c>
      <c r="B1289" s="0" t="s">
        <v>4784</v>
      </c>
      <c r="C1289" s="0" t="s">
        <v>4785</v>
      </c>
      <c r="D1289" s="0" t="s">
        <v>259</v>
      </c>
      <c r="E1289" s="0" t="s">
        <v>4786</v>
      </c>
      <c r="F1289" s="0" t="s">
        <v>4787</v>
      </c>
      <c r="G1289" s="0" t="s">
        <v>116</v>
      </c>
      <c r="H1289" s="0" t="s">
        <v>8226</v>
      </c>
      <c r="I1289" s="0" t="s">
        <v>7338</v>
      </c>
      <c r="J1289" s="0" t="s">
        <v>1602</v>
      </c>
      <c r="K1289" s="0" t="s">
        <v>7339</v>
      </c>
      <c r="L1289" s="0" t="s">
        <v>7340</v>
      </c>
      <c r="M1289" s="0" t="s">
        <v>7661</v>
      </c>
      <c r="N1289" s="0" t="s">
        <v>7342</v>
      </c>
      <c r="P1289" s="0" t="s">
        <v>229</v>
      </c>
      <c r="Q1289" s="0" t="s">
        <v>7354</v>
      </c>
      <c r="S1289" s="0" t="s">
        <v>7344</v>
      </c>
      <c r="T1289" s="0" t="s">
        <v>58</v>
      </c>
      <c r="V1289" s="0" t="s">
        <v>55</v>
      </c>
      <c r="W1289" s="0" t="s">
        <v>55</v>
      </c>
      <c r="X1289" s="0" t="s">
        <v>7355</v>
      </c>
      <c r="Z1289" s="0" t="s">
        <v>7493</v>
      </c>
      <c r="AB1289" s="0" t="s">
        <v>344</v>
      </c>
      <c r="AC1289" s="0" t="s">
        <v>7349</v>
      </c>
      <c r="AE1289" s="0" t="s">
        <v>7826</v>
      </c>
      <c r="AF1289" s="0" t="s">
        <v>7374</v>
      </c>
      <c r="AG1289" s="0" t="s">
        <v>230</v>
      </c>
    </row>
    <row r="1290" customFormat="false" ht="15" hidden="false" customHeight="false" outlineLevel="0" collapsed="false">
      <c r="A1290" s="0" t="s">
        <v>7336</v>
      </c>
      <c r="B1290" s="0" t="s">
        <v>4788</v>
      </c>
      <c r="C1290" s="0" t="s">
        <v>4789</v>
      </c>
      <c r="D1290" s="0" t="s">
        <v>259</v>
      </c>
      <c r="E1290" s="0" t="s">
        <v>4790</v>
      </c>
      <c r="F1290" s="0" t="s">
        <v>4791</v>
      </c>
      <c r="G1290" s="0" t="s">
        <v>116</v>
      </c>
      <c r="H1290" s="0" t="s">
        <v>8227</v>
      </c>
      <c r="I1290" s="0" t="s">
        <v>7338</v>
      </c>
      <c r="J1290" s="0" t="s">
        <v>1602</v>
      </c>
      <c r="K1290" s="0" t="s">
        <v>7339</v>
      </c>
      <c r="L1290" s="0" t="s">
        <v>7340</v>
      </c>
      <c r="M1290" s="0" t="s">
        <v>7661</v>
      </c>
      <c r="N1290" s="0" t="s">
        <v>7342</v>
      </c>
      <c r="P1290" s="0" t="s">
        <v>229</v>
      </c>
      <c r="Q1290" s="0" t="s">
        <v>7354</v>
      </c>
      <c r="S1290" s="0" t="s">
        <v>7344</v>
      </c>
      <c r="T1290" s="0" t="s">
        <v>58</v>
      </c>
      <c r="V1290" s="0" t="s">
        <v>55</v>
      </c>
      <c r="W1290" s="0" t="s">
        <v>55</v>
      </c>
      <c r="X1290" s="0" t="s">
        <v>7355</v>
      </c>
      <c r="Z1290" s="0" t="s">
        <v>7493</v>
      </c>
      <c r="AB1290" s="0" t="s">
        <v>344</v>
      </c>
      <c r="AC1290" s="0" t="s">
        <v>7349</v>
      </c>
      <c r="AE1290" s="0" t="s">
        <v>7826</v>
      </c>
      <c r="AF1290" s="0" t="s">
        <v>7374</v>
      </c>
      <c r="AG1290" s="0" t="s">
        <v>230</v>
      </c>
    </row>
    <row r="1291" customFormat="false" ht="15" hidden="false" customHeight="false" outlineLevel="0" collapsed="false">
      <c r="A1291" s="0" t="s">
        <v>7336</v>
      </c>
      <c r="B1291" s="0" t="s">
        <v>4792</v>
      </c>
      <c r="C1291" s="0" t="s">
        <v>4793</v>
      </c>
      <c r="D1291" s="0" t="s">
        <v>259</v>
      </c>
      <c r="E1291" s="0" t="s">
        <v>4794</v>
      </c>
      <c r="F1291" s="0" t="s">
        <v>4795</v>
      </c>
      <c r="G1291" s="0" t="s">
        <v>116</v>
      </c>
      <c r="H1291" s="0" t="s">
        <v>8228</v>
      </c>
      <c r="I1291" s="0" t="s">
        <v>7338</v>
      </c>
      <c r="J1291" s="0" t="s">
        <v>1602</v>
      </c>
      <c r="K1291" s="0" t="s">
        <v>7339</v>
      </c>
      <c r="L1291" s="0" t="s">
        <v>7340</v>
      </c>
      <c r="M1291" s="0" t="s">
        <v>7661</v>
      </c>
      <c r="N1291" s="0" t="s">
        <v>7342</v>
      </c>
      <c r="P1291" s="0" t="s">
        <v>229</v>
      </c>
      <c r="Q1291" s="0" t="s">
        <v>7354</v>
      </c>
      <c r="S1291" s="0" t="s">
        <v>7344</v>
      </c>
      <c r="T1291" s="0" t="s">
        <v>58</v>
      </c>
      <c r="V1291" s="0" t="s">
        <v>55</v>
      </c>
      <c r="W1291" s="0" t="s">
        <v>55</v>
      </c>
      <c r="X1291" s="0" t="s">
        <v>7355</v>
      </c>
      <c r="Z1291" s="0" t="s">
        <v>7493</v>
      </c>
      <c r="AB1291" s="0" t="s">
        <v>344</v>
      </c>
      <c r="AC1291" s="0" t="s">
        <v>7349</v>
      </c>
      <c r="AE1291" s="0" t="s">
        <v>7826</v>
      </c>
      <c r="AF1291" s="0" t="s">
        <v>7374</v>
      </c>
      <c r="AG1291" s="0" t="s">
        <v>230</v>
      </c>
    </row>
    <row r="1292" customFormat="false" ht="15" hidden="false" customHeight="false" outlineLevel="0" collapsed="false">
      <c r="A1292" s="0" t="s">
        <v>7336</v>
      </c>
      <c r="B1292" s="0" t="s">
        <v>4796</v>
      </c>
      <c r="C1292" s="0" t="s">
        <v>4797</v>
      </c>
      <c r="D1292" s="0" t="s">
        <v>259</v>
      </c>
      <c r="E1292" s="0" t="s">
        <v>4798</v>
      </c>
      <c r="F1292" s="0" t="s">
        <v>4799</v>
      </c>
      <c r="G1292" s="0" t="s">
        <v>116</v>
      </c>
      <c r="H1292" s="0" t="s">
        <v>8229</v>
      </c>
      <c r="I1292" s="0" t="s">
        <v>7338</v>
      </c>
      <c r="J1292" s="0" t="s">
        <v>1602</v>
      </c>
      <c r="K1292" s="0" t="s">
        <v>7339</v>
      </c>
      <c r="L1292" s="0" t="s">
        <v>7340</v>
      </c>
      <c r="M1292" s="0" t="s">
        <v>7661</v>
      </c>
      <c r="N1292" s="0" t="s">
        <v>7342</v>
      </c>
      <c r="P1292" s="0" t="s">
        <v>229</v>
      </c>
      <c r="Q1292" s="0" t="s">
        <v>7354</v>
      </c>
      <c r="S1292" s="0" t="s">
        <v>7344</v>
      </c>
      <c r="T1292" s="0" t="s">
        <v>58</v>
      </c>
      <c r="V1292" s="0" t="s">
        <v>55</v>
      </c>
      <c r="W1292" s="0" t="s">
        <v>55</v>
      </c>
      <c r="X1292" s="0" t="s">
        <v>7355</v>
      </c>
      <c r="Z1292" s="0" t="s">
        <v>7493</v>
      </c>
      <c r="AB1292" s="0" t="s">
        <v>344</v>
      </c>
      <c r="AC1292" s="0" t="s">
        <v>7349</v>
      </c>
      <c r="AE1292" s="0" t="s">
        <v>7826</v>
      </c>
      <c r="AF1292" s="0" t="s">
        <v>7374</v>
      </c>
      <c r="AG1292" s="0" t="s">
        <v>230</v>
      </c>
    </row>
    <row r="1293" customFormat="false" ht="15" hidden="false" customHeight="false" outlineLevel="0" collapsed="false">
      <c r="A1293" s="0" t="s">
        <v>7336</v>
      </c>
      <c r="B1293" s="0" t="s">
        <v>4800</v>
      </c>
      <c r="C1293" s="0" t="s">
        <v>4801</v>
      </c>
      <c r="D1293" s="0" t="s">
        <v>259</v>
      </c>
      <c r="E1293" s="0" t="s">
        <v>4802</v>
      </c>
      <c r="F1293" s="0" t="s">
        <v>4803</v>
      </c>
      <c r="G1293" s="0" t="s">
        <v>116</v>
      </c>
      <c r="H1293" s="0" t="s">
        <v>8230</v>
      </c>
      <c r="I1293" s="0" t="s">
        <v>7338</v>
      </c>
      <c r="J1293" s="0" t="s">
        <v>1602</v>
      </c>
      <c r="K1293" s="0" t="s">
        <v>7339</v>
      </c>
      <c r="L1293" s="0" t="s">
        <v>7340</v>
      </c>
      <c r="M1293" s="0" t="s">
        <v>7661</v>
      </c>
      <c r="N1293" s="0" t="s">
        <v>7342</v>
      </c>
      <c r="P1293" s="0" t="s">
        <v>229</v>
      </c>
      <c r="Q1293" s="0" t="s">
        <v>7354</v>
      </c>
      <c r="S1293" s="0" t="s">
        <v>7344</v>
      </c>
      <c r="T1293" s="0" t="s">
        <v>58</v>
      </c>
      <c r="V1293" s="0" t="s">
        <v>55</v>
      </c>
      <c r="W1293" s="0" t="s">
        <v>55</v>
      </c>
      <c r="X1293" s="0" t="s">
        <v>7355</v>
      </c>
      <c r="Z1293" s="0" t="s">
        <v>7493</v>
      </c>
      <c r="AB1293" s="0" t="s">
        <v>344</v>
      </c>
      <c r="AC1293" s="0" t="s">
        <v>7349</v>
      </c>
      <c r="AE1293" s="0" t="s">
        <v>7826</v>
      </c>
      <c r="AF1293" s="0" t="s">
        <v>7374</v>
      </c>
      <c r="AG1293" s="0" t="s">
        <v>230</v>
      </c>
    </row>
    <row r="1294" customFormat="false" ht="15" hidden="false" customHeight="false" outlineLevel="0" collapsed="false">
      <c r="A1294" s="0" t="s">
        <v>7336</v>
      </c>
      <c r="B1294" s="0" t="s">
        <v>4804</v>
      </c>
      <c r="C1294" s="0" t="s">
        <v>4805</v>
      </c>
      <c r="D1294" s="0" t="s">
        <v>259</v>
      </c>
      <c r="E1294" s="0" t="s">
        <v>4806</v>
      </c>
      <c r="F1294" s="0" t="s">
        <v>4807</v>
      </c>
      <c r="G1294" s="0" t="s">
        <v>116</v>
      </c>
      <c r="H1294" s="0" t="s">
        <v>8231</v>
      </c>
      <c r="I1294" s="0" t="s">
        <v>7338</v>
      </c>
      <c r="J1294" s="0" t="s">
        <v>1602</v>
      </c>
      <c r="K1294" s="0" t="s">
        <v>7339</v>
      </c>
      <c r="L1294" s="0" t="s">
        <v>7340</v>
      </c>
      <c r="M1294" s="0" t="s">
        <v>7661</v>
      </c>
      <c r="N1294" s="0" t="s">
        <v>7342</v>
      </c>
      <c r="P1294" s="0" t="s">
        <v>229</v>
      </c>
      <c r="Q1294" s="0" t="s">
        <v>7354</v>
      </c>
      <c r="S1294" s="0" t="s">
        <v>7344</v>
      </c>
      <c r="T1294" s="0" t="s">
        <v>58</v>
      </c>
      <c r="V1294" s="0" t="s">
        <v>55</v>
      </c>
      <c r="W1294" s="0" t="s">
        <v>55</v>
      </c>
      <c r="X1294" s="0" t="s">
        <v>7355</v>
      </c>
      <c r="Z1294" s="0" t="s">
        <v>7493</v>
      </c>
      <c r="AB1294" s="0" t="s">
        <v>344</v>
      </c>
      <c r="AC1294" s="0" t="s">
        <v>7349</v>
      </c>
      <c r="AE1294" s="0" t="s">
        <v>7826</v>
      </c>
      <c r="AF1294" s="0" t="s">
        <v>7374</v>
      </c>
      <c r="AG1294" s="0" t="s">
        <v>230</v>
      </c>
    </row>
    <row r="1295" customFormat="false" ht="15" hidden="false" customHeight="false" outlineLevel="0" collapsed="false">
      <c r="A1295" s="0" t="s">
        <v>7336</v>
      </c>
      <c r="B1295" s="0" t="s">
        <v>4808</v>
      </c>
      <c r="C1295" s="0" t="s">
        <v>4809</v>
      </c>
      <c r="D1295" s="0" t="s">
        <v>259</v>
      </c>
      <c r="E1295" s="0" t="s">
        <v>4810</v>
      </c>
      <c r="F1295" s="0" t="s">
        <v>4811</v>
      </c>
      <c r="G1295" s="0" t="s">
        <v>116</v>
      </c>
      <c r="H1295" s="0" t="s">
        <v>8232</v>
      </c>
      <c r="I1295" s="0" t="s">
        <v>7338</v>
      </c>
      <c r="J1295" s="0" t="s">
        <v>1602</v>
      </c>
      <c r="K1295" s="0" t="s">
        <v>7339</v>
      </c>
      <c r="L1295" s="0" t="s">
        <v>7340</v>
      </c>
      <c r="M1295" s="0" t="s">
        <v>7661</v>
      </c>
      <c r="N1295" s="0" t="s">
        <v>7342</v>
      </c>
      <c r="P1295" s="0" t="s">
        <v>229</v>
      </c>
      <c r="Q1295" s="0" t="s">
        <v>7354</v>
      </c>
      <c r="S1295" s="0" t="s">
        <v>7344</v>
      </c>
      <c r="T1295" s="0" t="s">
        <v>58</v>
      </c>
      <c r="V1295" s="0" t="s">
        <v>55</v>
      </c>
      <c r="W1295" s="0" t="s">
        <v>55</v>
      </c>
      <c r="X1295" s="0" t="s">
        <v>7355</v>
      </c>
      <c r="Z1295" s="0" t="s">
        <v>7493</v>
      </c>
      <c r="AB1295" s="0" t="s">
        <v>344</v>
      </c>
      <c r="AC1295" s="0" t="s">
        <v>7349</v>
      </c>
      <c r="AE1295" s="0" t="s">
        <v>7826</v>
      </c>
      <c r="AF1295" s="0" t="s">
        <v>7374</v>
      </c>
      <c r="AG1295" s="0" t="s">
        <v>230</v>
      </c>
    </row>
    <row r="1296" customFormat="false" ht="15" hidden="false" customHeight="false" outlineLevel="0" collapsed="false">
      <c r="A1296" s="0" t="s">
        <v>7336</v>
      </c>
      <c r="B1296" s="0" t="s">
        <v>4812</v>
      </c>
      <c r="C1296" s="0" t="s">
        <v>4813</v>
      </c>
      <c r="D1296" s="0" t="s">
        <v>259</v>
      </c>
      <c r="E1296" s="0" t="s">
        <v>4814</v>
      </c>
      <c r="F1296" s="0" t="s">
        <v>4815</v>
      </c>
      <c r="G1296" s="0" t="s">
        <v>116</v>
      </c>
      <c r="H1296" s="0" t="s">
        <v>8233</v>
      </c>
      <c r="I1296" s="0" t="s">
        <v>7338</v>
      </c>
      <c r="J1296" s="0" t="s">
        <v>1602</v>
      </c>
      <c r="K1296" s="0" t="s">
        <v>7339</v>
      </c>
      <c r="L1296" s="0" t="s">
        <v>7340</v>
      </c>
      <c r="M1296" s="0" t="s">
        <v>7661</v>
      </c>
      <c r="N1296" s="0" t="s">
        <v>7342</v>
      </c>
      <c r="P1296" s="0" t="s">
        <v>229</v>
      </c>
      <c r="Q1296" s="0" t="s">
        <v>7354</v>
      </c>
      <c r="S1296" s="0" t="s">
        <v>7344</v>
      </c>
      <c r="T1296" s="0" t="s">
        <v>58</v>
      </c>
      <c r="V1296" s="0" t="s">
        <v>55</v>
      </c>
      <c r="W1296" s="0" t="s">
        <v>55</v>
      </c>
      <c r="X1296" s="0" t="s">
        <v>7355</v>
      </c>
      <c r="Z1296" s="0" t="s">
        <v>7493</v>
      </c>
      <c r="AB1296" s="0" t="s">
        <v>344</v>
      </c>
      <c r="AC1296" s="0" t="s">
        <v>7349</v>
      </c>
      <c r="AE1296" s="0" t="s">
        <v>7826</v>
      </c>
      <c r="AF1296" s="0" t="s">
        <v>7374</v>
      </c>
      <c r="AG1296" s="0" t="s">
        <v>230</v>
      </c>
    </row>
    <row r="1297" customFormat="false" ht="15" hidden="false" customHeight="false" outlineLevel="0" collapsed="false">
      <c r="A1297" s="0" t="s">
        <v>7336</v>
      </c>
      <c r="B1297" s="0" t="s">
        <v>4816</v>
      </c>
      <c r="C1297" s="0" t="s">
        <v>4817</v>
      </c>
      <c r="D1297" s="0" t="s">
        <v>259</v>
      </c>
      <c r="E1297" s="0" t="s">
        <v>4818</v>
      </c>
      <c r="F1297" s="0" t="s">
        <v>4819</v>
      </c>
      <c r="G1297" s="0" t="s">
        <v>116</v>
      </c>
      <c r="H1297" s="0" t="s">
        <v>8234</v>
      </c>
      <c r="I1297" s="0" t="s">
        <v>7338</v>
      </c>
      <c r="J1297" s="0" t="s">
        <v>1602</v>
      </c>
      <c r="K1297" s="0" t="s">
        <v>7339</v>
      </c>
      <c r="L1297" s="0" t="s">
        <v>7340</v>
      </c>
      <c r="M1297" s="0" t="s">
        <v>7661</v>
      </c>
      <c r="N1297" s="0" t="s">
        <v>7342</v>
      </c>
      <c r="P1297" s="0" t="s">
        <v>229</v>
      </c>
      <c r="Q1297" s="0" t="s">
        <v>7354</v>
      </c>
      <c r="S1297" s="0" t="s">
        <v>7344</v>
      </c>
      <c r="T1297" s="0" t="s">
        <v>58</v>
      </c>
      <c r="V1297" s="0" t="s">
        <v>55</v>
      </c>
      <c r="W1297" s="0" t="s">
        <v>55</v>
      </c>
      <c r="X1297" s="0" t="s">
        <v>7355</v>
      </c>
      <c r="Z1297" s="0" t="s">
        <v>7493</v>
      </c>
      <c r="AB1297" s="0" t="s">
        <v>344</v>
      </c>
      <c r="AC1297" s="0" t="s">
        <v>7349</v>
      </c>
      <c r="AE1297" s="0" t="s">
        <v>7826</v>
      </c>
      <c r="AF1297" s="0" t="s">
        <v>7374</v>
      </c>
      <c r="AG1297" s="0" t="s">
        <v>230</v>
      </c>
    </row>
    <row r="1298" customFormat="false" ht="15" hidden="false" customHeight="false" outlineLevel="0" collapsed="false">
      <c r="A1298" s="0" t="s">
        <v>7336</v>
      </c>
      <c r="B1298" s="0" t="s">
        <v>4820</v>
      </c>
      <c r="C1298" s="0" t="s">
        <v>4821</v>
      </c>
      <c r="D1298" s="0" t="s">
        <v>259</v>
      </c>
      <c r="E1298" s="0" t="s">
        <v>4822</v>
      </c>
      <c r="F1298" s="0" t="s">
        <v>4823</v>
      </c>
      <c r="G1298" s="0" t="s">
        <v>116</v>
      </c>
      <c r="H1298" s="0" t="s">
        <v>8235</v>
      </c>
      <c r="I1298" s="0" t="s">
        <v>7338</v>
      </c>
      <c r="J1298" s="0" t="s">
        <v>1602</v>
      </c>
      <c r="K1298" s="0" t="s">
        <v>7339</v>
      </c>
      <c r="L1298" s="0" t="s">
        <v>7340</v>
      </c>
      <c r="M1298" s="0" t="s">
        <v>7661</v>
      </c>
      <c r="N1298" s="0" t="s">
        <v>7342</v>
      </c>
      <c r="P1298" s="0" t="s">
        <v>229</v>
      </c>
      <c r="Q1298" s="0" t="s">
        <v>7354</v>
      </c>
      <c r="S1298" s="0" t="s">
        <v>7344</v>
      </c>
      <c r="T1298" s="0" t="s">
        <v>58</v>
      </c>
      <c r="V1298" s="0" t="s">
        <v>55</v>
      </c>
      <c r="W1298" s="0" t="s">
        <v>55</v>
      </c>
      <c r="X1298" s="0" t="s">
        <v>7355</v>
      </c>
      <c r="Z1298" s="0" t="s">
        <v>7493</v>
      </c>
      <c r="AB1298" s="0" t="s">
        <v>344</v>
      </c>
      <c r="AC1298" s="0" t="s">
        <v>7349</v>
      </c>
      <c r="AE1298" s="0" t="s">
        <v>7826</v>
      </c>
      <c r="AF1298" s="0" t="s">
        <v>7374</v>
      </c>
      <c r="AG1298" s="0" t="s">
        <v>230</v>
      </c>
    </row>
    <row r="1299" customFormat="false" ht="15" hidden="false" customHeight="false" outlineLevel="0" collapsed="false">
      <c r="A1299" s="0" t="s">
        <v>7336</v>
      </c>
      <c r="B1299" s="0" t="s">
        <v>4824</v>
      </c>
      <c r="C1299" s="0" t="s">
        <v>4825</v>
      </c>
      <c r="D1299" s="0" t="s">
        <v>259</v>
      </c>
      <c r="E1299" s="0" t="s">
        <v>4826</v>
      </c>
      <c r="F1299" s="0" t="s">
        <v>4827</v>
      </c>
      <c r="G1299" s="0" t="s">
        <v>118</v>
      </c>
      <c r="H1299" s="0" t="s">
        <v>8236</v>
      </c>
      <c r="I1299" s="0" t="s">
        <v>7338</v>
      </c>
      <c r="J1299" s="0" t="s">
        <v>1602</v>
      </c>
      <c r="K1299" s="0" t="s">
        <v>7339</v>
      </c>
      <c r="L1299" s="0" t="s">
        <v>7340</v>
      </c>
      <c r="M1299" s="0" t="s">
        <v>7661</v>
      </c>
      <c r="N1299" s="0" t="s">
        <v>7342</v>
      </c>
      <c r="P1299" s="0" t="s">
        <v>229</v>
      </c>
      <c r="Q1299" s="0" t="s">
        <v>7368</v>
      </c>
      <c r="R1299" s="0" t="s">
        <v>7343</v>
      </c>
      <c r="S1299" s="0" t="s">
        <v>7344</v>
      </c>
      <c r="T1299" s="0" t="s">
        <v>260</v>
      </c>
      <c r="U1299" s="0" t="s">
        <v>7369</v>
      </c>
      <c r="V1299" s="0" t="s">
        <v>34</v>
      </c>
      <c r="W1299" s="0" t="s">
        <v>52</v>
      </c>
      <c r="X1299" s="0" t="s">
        <v>7355</v>
      </c>
      <c r="Y1299" s="0" t="s">
        <v>7346</v>
      </c>
      <c r="Z1299" s="0" t="s">
        <v>7410</v>
      </c>
      <c r="AA1299" s="0" t="s">
        <v>7628</v>
      </c>
      <c r="AB1299" s="0" t="s">
        <v>262</v>
      </c>
      <c r="AC1299" s="0" t="s">
        <v>7349</v>
      </c>
      <c r="AD1299" s="0" t="s">
        <v>7372</v>
      </c>
      <c r="AE1299" s="0" t="s">
        <v>7412</v>
      </c>
      <c r="AF1299" s="0" t="s">
        <v>7374</v>
      </c>
      <c r="AG1299" s="0" t="s">
        <v>230</v>
      </c>
    </row>
    <row r="1300" customFormat="false" ht="15" hidden="false" customHeight="false" outlineLevel="0" collapsed="false">
      <c r="A1300" s="0" t="s">
        <v>7336</v>
      </c>
      <c r="B1300" s="0" t="s">
        <v>4828</v>
      </c>
      <c r="C1300" s="0" t="s">
        <v>4829</v>
      </c>
      <c r="D1300" s="0" t="s">
        <v>259</v>
      </c>
      <c r="E1300" s="0" t="s">
        <v>4830</v>
      </c>
      <c r="F1300" s="0" t="s">
        <v>4827</v>
      </c>
      <c r="G1300" s="0" t="s">
        <v>118</v>
      </c>
      <c r="H1300" s="0" t="s">
        <v>8236</v>
      </c>
      <c r="I1300" s="0" t="s">
        <v>7338</v>
      </c>
      <c r="J1300" s="0" t="s">
        <v>1602</v>
      </c>
      <c r="K1300" s="0" t="s">
        <v>7339</v>
      </c>
      <c r="L1300" s="0" t="s">
        <v>7340</v>
      </c>
      <c r="M1300" s="0" t="s">
        <v>7661</v>
      </c>
      <c r="N1300" s="0" t="s">
        <v>7342</v>
      </c>
      <c r="P1300" s="0" t="s">
        <v>229</v>
      </c>
      <c r="Q1300" s="0" t="s">
        <v>7368</v>
      </c>
      <c r="R1300" s="0" t="s">
        <v>7343</v>
      </c>
      <c r="S1300" s="0" t="s">
        <v>7344</v>
      </c>
      <c r="T1300" s="0" t="s">
        <v>260</v>
      </c>
      <c r="U1300" s="0" t="s">
        <v>7369</v>
      </c>
      <c r="V1300" s="0" t="s">
        <v>34</v>
      </c>
      <c r="W1300" s="0" t="s">
        <v>52</v>
      </c>
      <c r="X1300" s="0" t="s">
        <v>7355</v>
      </c>
      <c r="Y1300" s="0" t="s">
        <v>7346</v>
      </c>
      <c r="Z1300" s="0" t="s">
        <v>7410</v>
      </c>
      <c r="AA1300" s="0" t="s">
        <v>7628</v>
      </c>
      <c r="AB1300" s="0" t="s">
        <v>262</v>
      </c>
      <c r="AC1300" s="0" t="s">
        <v>7349</v>
      </c>
      <c r="AD1300" s="0" t="s">
        <v>7372</v>
      </c>
      <c r="AE1300" s="0" t="s">
        <v>7412</v>
      </c>
      <c r="AF1300" s="0" t="s">
        <v>7374</v>
      </c>
      <c r="AG1300" s="0" t="s">
        <v>230</v>
      </c>
    </row>
    <row r="1301" customFormat="false" ht="15" hidden="false" customHeight="false" outlineLevel="0" collapsed="false">
      <c r="A1301" s="0" t="s">
        <v>7336</v>
      </c>
      <c r="B1301" s="0" t="s">
        <v>4831</v>
      </c>
      <c r="C1301" s="0" t="s">
        <v>4832</v>
      </c>
      <c r="D1301" s="0" t="s">
        <v>259</v>
      </c>
      <c r="E1301" s="0" t="s">
        <v>4833</v>
      </c>
      <c r="F1301" s="0" t="s">
        <v>4827</v>
      </c>
      <c r="G1301" s="0" t="s">
        <v>118</v>
      </c>
      <c r="H1301" s="0" t="s">
        <v>8236</v>
      </c>
      <c r="I1301" s="0" t="s">
        <v>7338</v>
      </c>
      <c r="J1301" s="0" t="s">
        <v>1602</v>
      </c>
      <c r="K1301" s="0" t="s">
        <v>7339</v>
      </c>
      <c r="L1301" s="0" t="s">
        <v>7340</v>
      </c>
      <c r="M1301" s="0" t="s">
        <v>7661</v>
      </c>
      <c r="N1301" s="0" t="s">
        <v>7342</v>
      </c>
      <c r="P1301" s="0" t="s">
        <v>229</v>
      </c>
      <c r="Q1301" s="0" t="s">
        <v>7368</v>
      </c>
      <c r="R1301" s="0" t="s">
        <v>7343</v>
      </c>
      <c r="S1301" s="0" t="s">
        <v>7344</v>
      </c>
      <c r="T1301" s="0" t="s">
        <v>681</v>
      </c>
      <c r="U1301" s="0" t="s">
        <v>7369</v>
      </c>
      <c r="V1301" s="0" t="s">
        <v>34</v>
      </c>
      <c r="W1301" s="0" t="s">
        <v>47</v>
      </c>
      <c r="X1301" s="0" t="s">
        <v>7355</v>
      </c>
      <c r="Y1301" s="0" t="s">
        <v>7495</v>
      </c>
      <c r="Z1301" s="0" t="s">
        <v>7496</v>
      </c>
      <c r="AA1301" s="0" t="s">
        <v>7631</v>
      </c>
      <c r="AC1301" s="0" t="s">
        <v>7349</v>
      </c>
      <c r="AD1301" s="0" t="s">
        <v>8024</v>
      </c>
      <c r="AE1301" s="0" t="s">
        <v>7872</v>
      </c>
      <c r="AF1301" s="0" t="s">
        <v>7499</v>
      </c>
      <c r="AG1301" s="0" t="s">
        <v>3198</v>
      </c>
    </row>
    <row r="1302" customFormat="false" ht="15" hidden="false" customHeight="false" outlineLevel="0" collapsed="false">
      <c r="A1302" s="0" t="s">
        <v>7336</v>
      </c>
      <c r="B1302" s="0" t="s">
        <v>4834</v>
      </c>
      <c r="C1302" s="0" t="s">
        <v>4835</v>
      </c>
      <c r="D1302" s="0" t="s">
        <v>259</v>
      </c>
      <c r="E1302" s="0" t="s">
        <v>4836</v>
      </c>
      <c r="F1302" s="0" t="s">
        <v>4827</v>
      </c>
      <c r="G1302" s="0" t="s">
        <v>118</v>
      </c>
      <c r="H1302" s="0" t="s">
        <v>8236</v>
      </c>
      <c r="I1302" s="0" t="s">
        <v>7338</v>
      </c>
      <c r="J1302" s="0" t="s">
        <v>1602</v>
      </c>
      <c r="K1302" s="0" t="s">
        <v>7339</v>
      </c>
      <c r="L1302" s="0" t="s">
        <v>7340</v>
      </c>
      <c r="M1302" s="0" t="s">
        <v>7661</v>
      </c>
      <c r="N1302" s="0" t="s">
        <v>7342</v>
      </c>
      <c r="P1302" s="0" t="s">
        <v>229</v>
      </c>
      <c r="Q1302" s="0" t="s">
        <v>7354</v>
      </c>
      <c r="S1302" s="0" t="s">
        <v>7344</v>
      </c>
      <c r="T1302" s="0" t="s">
        <v>58</v>
      </c>
      <c r="U1302" s="0" t="s">
        <v>7369</v>
      </c>
      <c r="V1302" s="0" t="s">
        <v>55</v>
      </c>
      <c r="W1302" s="0" t="s">
        <v>55</v>
      </c>
      <c r="X1302" s="0" t="s">
        <v>7355</v>
      </c>
      <c r="Z1302" s="0" t="s">
        <v>7496</v>
      </c>
      <c r="AB1302" s="0" t="s">
        <v>344</v>
      </c>
      <c r="AC1302" s="0" t="s">
        <v>7349</v>
      </c>
      <c r="AE1302" s="0" t="s">
        <v>7826</v>
      </c>
      <c r="AF1302" s="0" t="s">
        <v>7374</v>
      </c>
      <c r="AG1302" s="0" t="s">
        <v>3198</v>
      </c>
    </row>
    <row r="1303" customFormat="false" ht="15" hidden="false" customHeight="false" outlineLevel="0" collapsed="false">
      <c r="A1303" s="0" t="s">
        <v>7336</v>
      </c>
      <c r="B1303" s="0" t="s">
        <v>4837</v>
      </c>
      <c r="C1303" s="0" t="s">
        <v>4838</v>
      </c>
      <c r="D1303" s="0" t="s">
        <v>259</v>
      </c>
      <c r="E1303" s="0" t="s">
        <v>4839</v>
      </c>
      <c r="F1303" s="0" t="s">
        <v>4840</v>
      </c>
      <c r="G1303" s="0" t="s">
        <v>118</v>
      </c>
      <c r="H1303" s="0" t="s">
        <v>8237</v>
      </c>
      <c r="I1303" s="0" t="s">
        <v>7338</v>
      </c>
      <c r="J1303" s="0" t="s">
        <v>1602</v>
      </c>
      <c r="K1303" s="0" t="s">
        <v>7339</v>
      </c>
      <c r="L1303" s="0" t="s">
        <v>7340</v>
      </c>
      <c r="M1303" s="0" t="s">
        <v>7661</v>
      </c>
      <c r="N1303" s="0" t="s">
        <v>7342</v>
      </c>
      <c r="P1303" s="0" t="s">
        <v>229</v>
      </c>
      <c r="Q1303" s="0" t="s">
        <v>7368</v>
      </c>
      <c r="R1303" s="0" t="s">
        <v>7343</v>
      </c>
      <c r="S1303" s="0" t="s">
        <v>7344</v>
      </c>
      <c r="T1303" s="0" t="s">
        <v>260</v>
      </c>
      <c r="U1303" s="0" t="s">
        <v>7369</v>
      </c>
      <c r="V1303" s="0" t="s">
        <v>34</v>
      </c>
      <c r="W1303" s="0" t="s">
        <v>52</v>
      </c>
      <c r="X1303" s="0" t="s">
        <v>7355</v>
      </c>
      <c r="Y1303" s="0" t="s">
        <v>7346</v>
      </c>
      <c r="Z1303" s="0" t="s">
        <v>7410</v>
      </c>
      <c r="AA1303" s="0" t="s">
        <v>7628</v>
      </c>
      <c r="AB1303" s="0" t="s">
        <v>262</v>
      </c>
      <c r="AC1303" s="0" t="s">
        <v>7349</v>
      </c>
      <c r="AD1303" s="0" t="s">
        <v>7372</v>
      </c>
      <c r="AE1303" s="0" t="s">
        <v>7412</v>
      </c>
      <c r="AF1303" s="0" t="s">
        <v>7374</v>
      </c>
      <c r="AG1303" s="0" t="s">
        <v>230</v>
      </c>
    </row>
    <row r="1304" customFormat="false" ht="15" hidden="false" customHeight="false" outlineLevel="0" collapsed="false">
      <c r="A1304" s="0" t="s">
        <v>7336</v>
      </c>
      <c r="B1304" s="0" t="s">
        <v>4841</v>
      </c>
      <c r="C1304" s="0" t="s">
        <v>4842</v>
      </c>
      <c r="D1304" s="0" t="s">
        <v>259</v>
      </c>
      <c r="E1304" s="0" t="s">
        <v>4843</v>
      </c>
      <c r="F1304" s="0" t="s">
        <v>4840</v>
      </c>
      <c r="G1304" s="0" t="s">
        <v>118</v>
      </c>
      <c r="H1304" s="0" t="s">
        <v>8237</v>
      </c>
      <c r="I1304" s="0" t="s">
        <v>7338</v>
      </c>
      <c r="J1304" s="0" t="s">
        <v>1602</v>
      </c>
      <c r="K1304" s="0" t="s">
        <v>7339</v>
      </c>
      <c r="L1304" s="0" t="s">
        <v>7340</v>
      </c>
      <c r="M1304" s="0" t="s">
        <v>7661</v>
      </c>
      <c r="N1304" s="0" t="s">
        <v>7342</v>
      </c>
      <c r="P1304" s="0" t="s">
        <v>229</v>
      </c>
      <c r="Q1304" s="0" t="s">
        <v>7368</v>
      </c>
      <c r="R1304" s="0" t="s">
        <v>7343</v>
      </c>
      <c r="S1304" s="0" t="s">
        <v>7344</v>
      </c>
      <c r="T1304" s="0" t="s">
        <v>260</v>
      </c>
      <c r="U1304" s="0" t="s">
        <v>7369</v>
      </c>
      <c r="V1304" s="0" t="s">
        <v>34</v>
      </c>
      <c r="W1304" s="0" t="s">
        <v>52</v>
      </c>
      <c r="X1304" s="0" t="s">
        <v>7355</v>
      </c>
      <c r="Y1304" s="0" t="s">
        <v>7346</v>
      </c>
      <c r="Z1304" s="0" t="s">
        <v>7410</v>
      </c>
      <c r="AA1304" s="0" t="s">
        <v>7628</v>
      </c>
      <c r="AB1304" s="0" t="s">
        <v>262</v>
      </c>
      <c r="AC1304" s="0" t="s">
        <v>7349</v>
      </c>
      <c r="AD1304" s="0" t="s">
        <v>7372</v>
      </c>
      <c r="AE1304" s="0" t="s">
        <v>7412</v>
      </c>
      <c r="AF1304" s="0" t="s">
        <v>7374</v>
      </c>
      <c r="AG1304" s="0" t="s">
        <v>230</v>
      </c>
    </row>
    <row r="1305" customFormat="false" ht="15" hidden="false" customHeight="false" outlineLevel="0" collapsed="false">
      <c r="A1305" s="0" t="s">
        <v>7336</v>
      </c>
      <c r="B1305" s="0" t="s">
        <v>4844</v>
      </c>
      <c r="C1305" s="0" t="s">
        <v>4845</v>
      </c>
      <c r="D1305" s="0" t="s">
        <v>259</v>
      </c>
      <c r="E1305" s="0" t="s">
        <v>4846</v>
      </c>
      <c r="F1305" s="0" t="s">
        <v>4840</v>
      </c>
      <c r="G1305" s="0" t="s">
        <v>118</v>
      </c>
      <c r="H1305" s="0" t="s">
        <v>8237</v>
      </c>
      <c r="I1305" s="0" t="s">
        <v>7338</v>
      </c>
      <c r="J1305" s="0" t="s">
        <v>1602</v>
      </c>
      <c r="K1305" s="0" t="s">
        <v>7339</v>
      </c>
      <c r="L1305" s="0" t="s">
        <v>7340</v>
      </c>
      <c r="M1305" s="0" t="s">
        <v>7661</v>
      </c>
      <c r="N1305" s="0" t="s">
        <v>7342</v>
      </c>
      <c r="P1305" s="0" t="s">
        <v>229</v>
      </c>
      <c r="Q1305" s="0" t="s">
        <v>7368</v>
      </c>
      <c r="R1305" s="0" t="s">
        <v>7343</v>
      </c>
      <c r="S1305" s="0" t="s">
        <v>7344</v>
      </c>
      <c r="T1305" s="0" t="s">
        <v>681</v>
      </c>
      <c r="U1305" s="0" t="s">
        <v>7369</v>
      </c>
      <c r="V1305" s="0" t="s">
        <v>34</v>
      </c>
      <c r="W1305" s="0" t="s">
        <v>47</v>
      </c>
      <c r="X1305" s="0" t="s">
        <v>7355</v>
      </c>
      <c r="Y1305" s="0" t="s">
        <v>7495</v>
      </c>
      <c r="Z1305" s="0" t="s">
        <v>7496</v>
      </c>
      <c r="AA1305" s="0" t="s">
        <v>7631</v>
      </c>
      <c r="AC1305" s="0" t="s">
        <v>7349</v>
      </c>
      <c r="AD1305" s="0" t="s">
        <v>8024</v>
      </c>
      <c r="AE1305" s="0" t="s">
        <v>7872</v>
      </c>
      <c r="AF1305" s="0" t="s">
        <v>7499</v>
      </c>
      <c r="AG1305" s="0" t="s">
        <v>3198</v>
      </c>
    </row>
    <row r="1306" customFormat="false" ht="15" hidden="false" customHeight="false" outlineLevel="0" collapsed="false">
      <c r="A1306" s="0" t="s">
        <v>7336</v>
      </c>
      <c r="B1306" s="0" t="s">
        <v>4847</v>
      </c>
      <c r="C1306" s="0" t="s">
        <v>4848</v>
      </c>
      <c r="D1306" s="0" t="s">
        <v>259</v>
      </c>
      <c r="E1306" s="0" t="s">
        <v>4849</v>
      </c>
      <c r="F1306" s="0" t="s">
        <v>4840</v>
      </c>
      <c r="G1306" s="0" t="s">
        <v>118</v>
      </c>
      <c r="H1306" s="0" t="s">
        <v>8237</v>
      </c>
      <c r="I1306" s="0" t="s">
        <v>7338</v>
      </c>
      <c r="J1306" s="0" t="s">
        <v>1602</v>
      </c>
      <c r="K1306" s="0" t="s">
        <v>7339</v>
      </c>
      <c r="L1306" s="0" t="s">
        <v>7340</v>
      </c>
      <c r="M1306" s="0" t="s">
        <v>7661</v>
      </c>
      <c r="N1306" s="0" t="s">
        <v>7342</v>
      </c>
      <c r="P1306" s="0" t="s">
        <v>229</v>
      </c>
      <c r="Q1306" s="0" t="s">
        <v>7354</v>
      </c>
      <c r="S1306" s="0" t="s">
        <v>7344</v>
      </c>
      <c r="T1306" s="0" t="s">
        <v>58</v>
      </c>
      <c r="U1306" s="0" t="s">
        <v>7369</v>
      </c>
      <c r="V1306" s="0" t="s">
        <v>55</v>
      </c>
      <c r="W1306" s="0" t="s">
        <v>55</v>
      </c>
      <c r="X1306" s="0" t="s">
        <v>7355</v>
      </c>
      <c r="Z1306" s="0" t="s">
        <v>7496</v>
      </c>
      <c r="AB1306" s="0" t="s">
        <v>344</v>
      </c>
      <c r="AC1306" s="0" t="s">
        <v>7349</v>
      </c>
      <c r="AE1306" s="0" t="s">
        <v>7826</v>
      </c>
      <c r="AF1306" s="0" t="s">
        <v>7374</v>
      </c>
      <c r="AG1306" s="0" t="s">
        <v>3198</v>
      </c>
    </row>
    <row r="1307" customFormat="false" ht="15" hidden="false" customHeight="false" outlineLevel="0" collapsed="false">
      <c r="A1307" s="0" t="s">
        <v>7336</v>
      </c>
      <c r="B1307" s="0" t="s">
        <v>4850</v>
      </c>
      <c r="C1307" s="0" t="s">
        <v>4851</v>
      </c>
      <c r="D1307" s="0" t="s">
        <v>259</v>
      </c>
      <c r="E1307" s="0" t="s">
        <v>4852</v>
      </c>
      <c r="F1307" s="0" t="s">
        <v>4853</v>
      </c>
      <c r="G1307" s="0" t="s">
        <v>118</v>
      </c>
      <c r="H1307" s="0" t="s">
        <v>8238</v>
      </c>
      <c r="I1307" s="0" t="s">
        <v>7338</v>
      </c>
      <c r="J1307" s="0" t="s">
        <v>1602</v>
      </c>
      <c r="K1307" s="0" t="s">
        <v>7339</v>
      </c>
      <c r="L1307" s="0" t="s">
        <v>7340</v>
      </c>
      <c r="M1307" s="0" t="s">
        <v>7661</v>
      </c>
      <c r="N1307" s="0" t="s">
        <v>7342</v>
      </c>
      <c r="P1307" s="0" t="s">
        <v>229</v>
      </c>
      <c r="Q1307" s="0" t="s">
        <v>7368</v>
      </c>
      <c r="R1307" s="0" t="s">
        <v>7343</v>
      </c>
      <c r="S1307" s="0" t="s">
        <v>7344</v>
      </c>
      <c r="T1307" s="0" t="s">
        <v>260</v>
      </c>
      <c r="U1307" s="0" t="s">
        <v>7369</v>
      </c>
      <c r="V1307" s="0" t="s">
        <v>34</v>
      </c>
      <c r="W1307" s="0" t="s">
        <v>39</v>
      </c>
      <c r="X1307" s="0" t="s">
        <v>7355</v>
      </c>
      <c r="Y1307" s="0" t="s">
        <v>7346</v>
      </c>
      <c r="Z1307" s="0" t="s">
        <v>7370</v>
      </c>
      <c r="AA1307" s="0" t="s">
        <v>7628</v>
      </c>
      <c r="AB1307" s="0" t="s">
        <v>262</v>
      </c>
      <c r="AC1307" s="0" t="s">
        <v>7349</v>
      </c>
      <c r="AD1307" s="0" t="s">
        <v>7372</v>
      </c>
      <c r="AE1307" s="0" t="s">
        <v>7412</v>
      </c>
      <c r="AF1307" s="0" t="s">
        <v>7374</v>
      </c>
      <c r="AG1307" s="0" t="s">
        <v>230</v>
      </c>
    </row>
    <row r="1308" customFormat="false" ht="15" hidden="false" customHeight="false" outlineLevel="0" collapsed="false">
      <c r="A1308" s="0" t="s">
        <v>7336</v>
      </c>
      <c r="B1308" s="0" t="s">
        <v>4854</v>
      </c>
      <c r="C1308" s="0" t="s">
        <v>4855</v>
      </c>
      <c r="D1308" s="0" t="s">
        <v>259</v>
      </c>
      <c r="E1308" s="0" t="s">
        <v>4856</v>
      </c>
      <c r="F1308" s="0" t="s">
        <v>4857</v>
      </c>
      <c r="G1308" s="0" t="s">
        <v>118</v>
      </c>
      <c r="H1308" s="0" t="s">
        <v>8239</v>
      </c>
      <c r="I1308" s="0" t="s">
        <v>7338</v>
      </c>
      <c r="J1308" s="0" t="s">
        <v>1602</v>
      </c>
      <c r="K1308" s="0" t="s">
        <v>7339</v>
      </c>
      <c r="L1308" s="0" t="s">
        <v>7340</v>
      </c>
      <c r="M1308" s="0" t="s">
        <v>7661</v>
      </c>
      <c r="N1308" s="0" t="s">
        <v>7342</v>
      </c>
      <c r="P1308" s="0" t="s">
        <v>229</v>
      </c>
      <c r="Q1308" s="0" t="s">
        <v>7368</v>
      </c>
      <c r="R1308" s="0" t="s">
        <v>7343</v>
      </c>
      <c r="S1308" s="0" t="s">
        <v>7344</v>
      </c>
      <c r="T1308" s="0" t="s">
        <v>260</v>
      </c>
      <c r="U1308" s="0" t="s">
        <v>7369</v>
      </c>
      <c r="V1308" s="0" t="s">
        <v>34</v>
      </c>
      <c r="W1308" s="0" t="s">
        <v>39</v>
      </c>
      <c r="X1308" s="0" t="s">
        <v>7355</v>
      </c>
      <c r="Y1308" s="0" t="s">
        <v>7346</v>
      </c>
      <c r="Z1308" s="0" t="s">
        <v>7370</v>
      </c>
      <c r="AA1308" s="0" t="s">
        <v>7628</v>
      </c>
      <c r="AB1308" s="0" t="s">
        <v>262</v>
      </c>
      <c r="AC1308" s="0" t="s">
        <v>7349</v>
      </c>
      <c r="AD1308" s="0" t="s">
        <v>7372</v>
      </c>
      <c r="AE1308" s="0" t="s">
        <v>7412</v>
      </c>
      <c r="AF1308" s="0" t="s">
        <v>7374</v>
      </c>
      <c r="AG1308" s="0" t="s">
        <v>230</v>
      </c>
    </row>
    <row r="1309" customFormat="false" ht="15" hidden="false" customHeight="false" outlineLevel="0" collapsed="false">
      <c r="A1309" s="0" t="s">
        <v>7336</v>
      </c>
      <c r="B1309" s="0" t="s">
        <v>4858</v>
      </c>
      <c r="C1309" s="0" t="s">
        <v>4859</v>
      </c>
      <c r="D1309" s="0" t="s">
        <v>259</v>
      </c>
      <c r="E1309" s="0" t="s">
        <v>4860</v>
      </c>
      <c r="F1309" s="0" t="s">
        <v>3197</v>
      </c>
      <c r="G1309" s="0" t="s">
        <v>118</v>
      </c>
      <c r="H1309" s="0" t="s">
        <v>7902</v>
      </c>
      <c r="I1309" s="0" t="s">
        <v>7338</v>
      </c>
      <c r="J1309" s="0" t="s">
        <v>1602</v>
      </c>
      <c r="K1309" s="0" t="s">
        <v>7339</v>
      </c>
      <c r="L1309" s="0" t="s">
        <v>7340</v>
      </c>
      <c r="M1309" s="0" t="s">
        <v>7661</v>
      </c>
      <c r="N1309" s="0" t="s">
        <v>7342</v>
      </c>
      <c r="P1309" s="0" t="s">
        <v>229</v>
      </c>
      <c r="Q1309" s="0" t="s">
        <v>7368</v>
      </c>
      <c r="R1309" s="0" t="s">
        <v>7343</v>
      </c>
      <c r="S1309" s="0" t="s">
        <v>7344</v>
      </c>
      <c r="T1309" s="0" t="s">
        <v>260</v>
      </c>
      <c r="U1309" s="0" t="s">
        <v>7369</v>
      </c>
      <c r="V1309" s="0" t="s">
        <v>34</v>
      </c>
      <c r="W1309" s="0" t="s">
        <v>39</v>
      </c>
      <c r="X1309" s="0" t="s">
        <v>7355</v>
      </c>
      <c r="Y1309" s="0" t="s">
        <v>7346</v>
      </c>
      <c r="Z1309" s="0" t="s">
        <v>7370</v>
      </c>
      <c r="AA1309" s="0" t="s">
        <v>7628</v>
      </c>
      <c r="AB1309" s="0" t="s">
        <v>262</v>
      </c>
      <c r="AC1309" s="0" t="s">
        <v>7349</v>
      </c>
      <c r="AD1309" s="0" t="s">
        <v>7372</v>
      </c>
      <c r="AE1309" s="0" t="s">
        <v>7412</v>
      </c>
      <c r="AF1309" s="0" t="s">
        <v>7374</v>
      </c>
      <c r="AG1309" s="0" t="s">
        <v>230</v>
      </c>
    </row>
    <row r="1310" customFormat="false" ht="15" hidden="false" customHeight="false" outlineLevel="0" collapsed="false">
      <c r="A1310" s="0" t="s">
        <v>7336</v>
      </c>
      <c r="B1310" s="0" t="s">
        <v>4861</v>
      </c>
      <c r="C1310" s="0" t="s">
        <v>4862</v>
      </c>
      <c r="D1310" s="0" t="s">
        <v>259</v>
      </c>
      <c r="E1310" s="0" t="s">
        <v>4863</v>
      </c>
      <c r="F1310" s="0" t="s">
        <v>4864</v>
      </c>
      <c r="G1310" s="0" t="s">
        <v>118</v>
      </c>
      <c r="H1310" s="0" t="s">
        <v>8240</v>
      </c>
      <c r="I1310" s="0" t="s">
        <v>7338</v>
      </c>
      <c r="J1310" s="0" t="s">
        <v>1602</v>
      </c>
      <c r="K1310" s="0" t="s">
        <v>7339</v>
      </c>
      <c r="L1310" s="0" t="s">
        <v>7340</v>
      </c>
      <c r="M1310" s="0" t="s">
        <v>7661</v>
      </c>
      <c r="N1310" s="0" t="s">
        <v>7342</v>
      </c>
      <c r="P1310" s="0" t="s">
        <v>229</v>
      </c>
      <c r="Q1310" s="0" t="s">
        <v>7368</v>
      </c>
      <c r="R1310" s="0" t="s">
        <v>7343</v>
      </c>
      <c r="S1310" s="0" t="s">
        <v>7344</v>
      </c>
      <c r="T1310" s="0" t="s">
        <v>260</v>
      </c>
      <c r="U1310" s="0" t="s">
        <v>7369</v>
      </c>
      <c r="V1310" s="0" t="s">
        <v>34</v>
      </c>
      <c r="W1310" s="0" t="s">
        <v>39</v>
      </c>
      <c r="X1310" s="0" t="s">
        <v>7355</v>
      </c>
      <c r="Y1310" s="0" t="s">
        <v>7346</v>
      </c>
      <c r="Z1310" s="0" t="s">
        <v>7370</v>
      </c>
      <c r="AA1310" s="0" t="s">
        <v>7628</v>
      </c>
      <c r="AB1310" s="0" t="s">
        <v>262</v>
      </c>
      <c r="AC1310" s="0" t="s">
        <v>7349</v>
      </c>
      <c r="AD1310" s="0" t="s">
        <v>7372</v>
      </c>
      <c r="AE1310" s="0" t="s">
        <v>7412</v>
      </c>
      <c r="AF1310" s="0" t="s">
        <v>7374</v>
      </c>
      <c r="AG1310" s="0" t="s">
        <v>230</v>
      </c>
    </row>
    <row r="1311" customFormat="false" ht="15" hidden="false" customHeight="false" outlineLevel="0" collapsed="false">
      <c r="A1311" s="0" t="s">
        <v>7336</v>
      </c>
      <c r="B1311" s="0" t="s">
        <v>4865</v>
      </c>
      <c r="C1311" s="0" t="s">
        <v>4866</v>
      </c>
      <c r="D1311" s="0" t="s">
        <v>259</v>
      </c>
      <c r="E1311" s="0" t="s">
        <v>4867</v>
      </c>
      <c r="F1311" s="0" t="s">
        <v>4868</v>
      </c>
      <c r="G1311" s="0" t="s">
        <v>118</v>
      </c>
      <c r="H1311" s="0" t="s">
        <v>8241</v>
      </c>
      <c r="I1311" s="0" t="s">
        <v>7338</v>
      </c>
      <c r="J1311" s="0" t="s">
        <v>1602</v>
      </c>
      <c r="K1311" s="0" t="s">
        <v>7339</v>
      </c>
      <c r="L1311" s="0" t="s">
        <v>7340</v>
      </c>
      <c r="M1311" s="0" t="s">
        <v>7661</v>
      </c>
      <c r="N1311" s="0" t="s">
        <v>7342</v>
      </c>
      <c r="P1311" s="0" t="s">
        <v>229</v>
      </c>
      <c r="Q1311" s="0" t="s">
        <v>7368</v>
      </c>
      <c r="R1311" s="0" t="s">
        <v>7343</v>
      </c>
      <c r="S1311" s="0" t="s">
        <v>7344</v>
      </c>
      <c r="T1311" s="0" t="s">
        <v>260</v>
      </c>
      <c r="U1311" s="0" t="s">
        <v>7369</v>
      </c>
      <c r="V1311" s="0" t="s">
        <v>34</v>
      </c>
      <c r="W1311" s="0" t="s">
        <v>39</v>
      </c>
      <c r="X1311" s="0" t="s">
        <v>7355</v>
      </c>
      <c r="Y1311" s="0" t="s">
        <v>7346</v>
      </c>
      <c r="Z1311" s="0" t="s">
        <v>7370</v>
      </c>
      <c r="AA1311" s="0" t="s">
        <v>7628</v>
      </c>
      <c r="AB1311" s="0" t="s">
        <v>262</v>
      </c>
      <c r="AC1311" s="0" t="s">
        <v>7349</v>
      </c>
      <c r="AD1311" s="0" t="s">
        <v>7372</v>
      </c>
      <c r="AE1311" s="0" t="s">
        <v>7412</v>
      </c>
      <c r="AF1311" s="0" t="s">
        <v>7374</v>
      </c>
      <c r="AG1311" s="0" t="s">
        <v>261</v>
      </c>
    </row>
    <row r="1312" customFormat="false" ht="15" hidden="false" customHeight="false" outlineLevel="0" collapsed="false">
      <c r="A1312" s="0" t="s">
        <v>7336</v>
      </c>
      <c r="B1312" s="0" t="s">
        <v>4869</v>
      </c>
      <c r="C1312" s="0" t="s">
        <v>4870</v>
      </c>
      <c r="D1312" s="0" t="s">
        <v>259</v>
      </c>
      <c r="E1312" s="0" t="s">
        <v>4871</v>
      </c>
      <c r="F1312" s="0" t="s">
        <v>4872</v>
      </c>
      <c r="G1312" s="0" t="s">
        <v>116</v>
      </c>
      <c r="H1312" s="0" t="s">
        <v>8242</v>
      </c>
      <c r="I1312" s="0" t="s">
        <v>7338</v>
      </c>
      <c r="J1312" s="0" t="s">
        <v>1602</v>
      </c>
      <c r="K1312" s="0" t="s">
        <v>7339</v>
      </c>
      <c r="L1312" s="0" t="s">
        <v>7340</v>
      </c>
      <c r="M1312" s="0" t="s">
        <v>7661</v>
      </c>
      <c r="N1312" s="0" t="s">
        <v>7342</v>
      </c>
      <c r="P1312" s="0" t="s">
        <v>229</v>
      </c>
      <c r="Q1312" s="0" t="s">
        <v>7354</v>
      </c>
      <c r="R1312" s="0" t="s">
        <v>7435</v>
      </c>
      <c r="S1312" s="0" t="s">
        <v>7344</v>
      </c>
      <c r="T1312" s="0" t="s">
        <v>260</v>
      </c>
      <c r="V1312" s="0" t="s">
        <v>61</v>
      </c>
      <c r="W1312" s="0" t="s">
        <v>63</v>
      </c>
      <c r="X1312" s="0" t="s">
        <v>7355</v>
      </c>
      <c r="Y1312" s="0" t="s">
        <v>7459</v>
      </c>
      <c r="Z1312" s="0" t="s">
        <v>7460</v>
      </c>
      <c r="AA1312" s="0" t="s">
        <v>7438</v>
      </c>
      <c r="AB1312" s="0" t="s">
        <v>231</v>
      </c>
      <c r="AC1312" s="0" t="s">
        <v>7349</v>
      </c>
      <c r="AD1312" s="0" t="s">
        <v>7461</v>
      </c>
      <c r="AE1312" s="0" t="s">
        <v>7462</v>
      </c>
      <c r="AF1312" s="0" t="s">
        <v>7374</v>
      </c>
      <c r="AG1312" s="0" t="s">
        <v>230</v>
      </c>
    </row>
    <row r="1313" customFormat="false" ht="15" hidden="false" customHeight="false" outlineLevel="0" collapsed="false">
      <c r="A1313" s="0" t="s">
        <v>7336</v>
      </c>
      <c r="B1313" s="0" t="s">
        <v>4873</v>
      </c>
      <c r="C1313" s="0" t="s">
        <v>4874</v>
      </c>
      <c r="D1313" s="0" t="s">
        <v>2983</v>
      </c>
      <c r="E1313" s="0" t="s">
        <v>4875</v>
      </c>
      <c r="F1313" s="0" t="s">
        <v>4876</v>
      </c>
      <c r="G1313" s="0" t="s">
        <v>136</v>
      </c>
      <c r="H1313" s="0" t="s">
        <v>8243</v>
      </c>
      <c r="I1313" s="0" t="s">
        <v>7338</v>
      </c>
      <c r="J1313" s="0" t="s">
        <v>1602</v>
      </c>
      <c r="K1313" s="0" t="s">
        <v>7339</v>
      </c>
      <c r="L1313" s="0" t="s">
        <v>7340</v>
      </c>
      <c r="M1313" s="0" t="s">
        <v>7661</v>
      </c>
      <c r="N1313" s="0" t="s">
        <v>7342</v>
      </c>
      <c r="P1313" s="0" t="s">
        <v>229</v>
      </c>
      <c r="R1313" s="0" t="s">
        <v>7435</v>
      </c>
      <c r="S1313" s="0" t="s">
        <v>7344</v>
      </c>
      <c r="T1313" s="0" t="s">
        <v>681</v>
      </c>
      <c r="V1313" s="0" t="s">
        <v>61</v>
      </c>
      <c r="W1313" s="0" t="s">
        <v>63</v>
      </c>
      <c r="X1313" s="0" t="s">
        <v>7355</v>
      </c>
      <c r="Y1313" s="0" t="s">
        <v>7459</v>
      </c>
      <c r="Z1313" s="0" t="s">
        <v>8083</v>
      </c>
      <c r="AA1313" s="0" t="s">
        <v>8141</v>
      </c>
      <c r="AB1313" s="0" t="s">
        <v>231</v>
      </c>
      <c r="AC1313" s="0" t="s">
        <v>7349</v>
      </c>
      <c r="AD1313" s="0" t="s">
        <v>8146</v>
      </c>
      <c r="AE1313" s="0" t="s">
        <v>7462</v>
      </c>
      <c r="AF1313" s="0" t="s">
        <v>8143</v>
      </c>
      <c r="AG1313" s="0" t="s">
        <v>3198</v>
      </c>
    </row>
    <row r="1314" customFormat="false" ht="15" hidden="false" customHeight="false" outlineLevel="0" collapsed="false">
      <c r="A1314" s="0" t="s">
        <v>7336</v>
      </c>
      <c r="B1314" s="0" t="s">
        <v>4877</v>
      </c>
      <c r="C1314" s="0" t="s">
        <v>4878</v>
      </c>
      <c r="D1314" s="0" t="s">
        <v>2983</v>
      </c>
      <c r="E1314" s="0" t="s">
        <v>4879</v>
      </c>
      <c r="F1314" s="0" t="s">
        <v>4880</v>
      </c>
      <c r="G1314" s="0" t="s">
        <v>136</v>
      </c>
      <c r="H1314" s="0" t="s">
        <v>8244</v>
      </c>
      <c r="I1314" s="0" t="s">
        <v>7338</v>
      </c>
      <c r="J1314" s="0" t="s">
        <v>1602</v>
      </c>
      <c r="K1314" s="0" t="s">
        <v>7339</v>
      </c>
      <c r="L1314" s="0" t="s">
        <v>7340</v>
      </c>
      <c r="M1314" s="0" t="s">
        <v>7661</v>
      </c>
      <c r="N1314" s="0" t="s">
        <v>7342</v>
      </c>
      <c r="P1314" s="0" t="s">
        <v>229</v>
      </c>
      <c r="R1314" s="0" t="s">
        <v>7435</v>
      </c>
      <c r="S1314" s="0" t="s">
        <v>7344</v>
      </c>
      <c r="T1314" s="0" t="s">
        <v>681</v>
      </c>
      <c r="V1314" s="0" t="s">
        <v>61</v>
      </c>
      <c r="W1314" s="0" t="s">
        <v>63</v>
      </c>
      <c r="X1314" s="0" t="s">
        <v>7355</v>
      </c>
      <c r="Y1314" s="0" t="s">
        <v>7459</v>
      </c>
      <c r="Z1314" s="0" t="s">
        <v>8083</v>
      </c>
      <c r="AA1314" s="0" t="s">
        <v>8141</v>
      </c>
      <c r="AB1314" s="0" t="s">
        <v>231</v>
      </c>
      <c r="AC1314" s="0" t="s">
        <v>7349</v>
      </c>
      <c r="AD1314" s="0" t="s">
        <v>8146</v>
      </c>
      <c r="AE1314" s="0" t="s">
        <v>7462</v>
      </c>
      <c r="AF1314" s="0" t="s">
        <v>8143</v>
      </c>
      <c r="AG1314" s="0" t="s">
        <v>3198</v>
      </c>
    </row>
    <row r="1315" customFormat="false" ht="15" hidden="false" customHeight="false" outlineLevel="0" collapsed="false">
      <c r="A1315" s="0" t="s">
        <v>7336</v>
      </c>
      <c r="B1315" s="0" t="s">
        <v>4881</v>
      </c>
      <c r="C1315" s="0" t="s">
        <v>4882</v>
      </c>
      <c r="D1315" s="0" t="s">
        <v>2983</v>
      </c>
      <c r="E1315" s="0" t="s">
        <v>4883</v>
      </c>
      <c r="F1315" s="0" t="s">
        <v>4884</v>
      </c>
      <c r="G1315" s="0" t="s">
        <v>136</v>
      </c>
      <c r="H1315" s="0" t="s">
        <v>8245</v>
      </c>
      <c r="I1315" s="0" t="s">
        <v>7338</v>
      </c>
      <c r="J1315" s="0" t="s">
        <v>1602</v>
      </c>
      <c r="K1315" s="0" t="s">
        <v>7339</v>
      </c>
      <c r="L1315" s="0" t="s">
        <v>7340</v>
      </c>
      <c r="M1315" s="0" t="s">
        <v>7661</v>
      </c>
      <c r="N1315" s="0" t="s">
        <v>7342</v>
      </c>
      <c r="P1315" s="0" t="s">
        <v>229</v>
      </c>
      <c r="R1315" s="0" t="s">
        <v>7435</v>
      </c>
      <c r="S1315" s="0" t="s">
        <v>7344</v>
      </c>
      <c r="T1315" s="0" t="s">
        <v>681</v>
      </c>
      <c r="V1315" s="0" t="s">
        <v>61</v>
      </c>
      <c r="W1315" s="0" t="s">
        <v>63</v>
      </c>
      <c r="X1315" s="0" t="s">
        <v>7355</v>
      </c>
      <c r="Y1315" s="0" t="s">
        <v>7459</v>
      </c>
      <c r="Z1315" s="0" t="s">
        <v>8083</v>
      </c>
      <c r="AA1315" s="0" t="s">
        <v>8141</v>
      </c>
      <c r="AB1315" s="0" t="s">
        <v>231</v>
      </c>
      <c r="AC1315" s="0" t="s">
        <v>7349</v>
      </c>
      <c r="AD1315" s="0" t="s">
        <v>8146</v>
      </c>
      <c r="AE1315" s="0" t="s">
        <v>7462</v>
      </c>
      <c r="AF1315" s="0" t="s">
        <v>8143</v>
      </c>
      <c r="AG1315" s="0" t="s">
        <v>3198</v>
      </c>
    </row>
    <row r="1316" customFormat="false" ht="15" hidden="false" customHeight="false" outlineLevel="0" collapsed="false">
      <c r="A1316" s="0" t="s">
        <v>7336</v>
      </c>
      <c r="B1316" s="0" t="s">
        <v>4885</v>
      </c>
      <c r="C1316" s="0" t="s">
        <v>4886</v>
      </c>
      <c r="D1316" s="0" t="s">
        <v>2983</v>
      </c>
      <c r="E1316" s="0" t="s">
        <v>4887</v>
      </c>
      <c r="F1316" s="0" t="s">
        <v>4888</v>
      </c>
      <c r="G1316" s="0" t="s">
        <v>136</v>
      </c>
      <c r="H1316" s="0" t="s">
        <v>8246</v>
      </c>
      <c r="I1316" s="0" t="s">
        <v>7338</v>
      </c>
      <c r="J1316" s="0" t="s">
        <v>1602</v>
      </c>
      <c r="K1316" s="0" t="s">
        <v>7339</v>
      </c>
      <c r="L1316" s="0" t="s">
        <v>7340</v>
      </c>
      <c r="M1316" s="0" t="s">
        <v>7661</v>
      </c>
      <c r="N1316" s="0" t="s">
        <v>7342</v>
      </c>
      <c r="P1316" s="0" t="s">
        <v>229</v>
      </c>
      <c r="R1316" s="0" t="s">
        <v>7435</v>
      </c>
      <c r="S1316" s="0" t="s">
        <v>7344</v>
      </c>
      <c r="T1316" s="0" t="s">
        <v>681</v>
      </c>
      <c r="V1316" s="0" t="s">
        <v>61</v>
      </c>
      <c r="W1316" s="0" t="s">
        <v>63</v>
      </c>
      <c r="X1316" s="0" t="s">
        <v>7355</v>
      </c>
      <c r="Y1316" s="0" t="s">
        <v>7459</v>
      </c>
      <c r="Z1316" s="0" t="s">
        <v>8083</v>
      </c>
      <c r="AA1316" s="0" t="s">
        <v>8141</v>
      </c>
      <c r="AB1316" s="0" t="s">
        <v>231</v>
      </c>
      <c r="AC1316" s="0" t="s">
        <v>7349</v>
      </c>
      <c r="AD1316" s="0" t="s">
        <v>8146</v>
      </c>
      <c r="AE1316" s="0" t="s">
        <v>7462</v>
      </c>
      <c r="AF1316" s="0" t="s">
        <v>8143</v>
      </c>
      <c r="AG1316" s="0" t="s">
        <v>3198</v>
      </c>
    </row>
    <row r="1317" customFormat="false" ht="15" hidden="false" customHeight="false" outlineLevel="0" collapsed="false">
      <c r="A1317" s="0" t="s">
        <v>7336</v>
      </c>
      <c r="B1317" s="0" t="s">
        <v>4889</v>
      </c>
      <c r="C1317" s="0" t="s">
        <v>4890</v>
      </c>
      <c r="D1317" s="0" t="s">
        <v>2983</v>
      </c>
      <c r="E1317" s="0" t="s">
        <v>4891</v>
      </c>
      <c r="F1317" s="0" t="s">
        <v>4892</v>
      </c>
      <c r="G1317" s="0" t="s">
        <v>136</v>
      </c>
      <c r="H1317" s="0" t="s">
        <v>8247</v>
      </c>
      <c r="I1317" s="0" t="s">
        <v>7338</v>
      </c>
      <c r="J1317" s="0" t="s">
        <v>1602</v>
      </c>
      <c r="K1317" s="0" t="s">
        <v>7339</v>
      </c>
      <c r="L1317" s="0" t="s">
        <v>7340</v>
      </c>
      <c r="M1317" s="0" t="s">
        <v>7661</v>
      </c>
      <c r="N1317" s="0" t="s">
        <v>7342</v>
      </c>
      <c r="P1317" s="0" t="s">
        <v>229</v>
      </c>
      <c r="R1317" s="0" t="s">
        <v>7435</v>
      </c>
      <c r="S1317" s="0" t="s">
        <v>7344</v>
      </c>
      <c r="T1317" s="0" t="s">
        <v>681</v>
      </c>
      <c r="V1317" s="0" t="s">
        <v>61</v>
      </c>
      <c r="W1317" s="0" t="s">
        <v>63</v>
      </c>
      <c r="X1317" s="0" t="s">
        <v>7355</v>
      </c>
      <c r="Y1317" s="0" t="s">
        <v>7459</v>
      </c>
      <c r="Z1317" s="0" t="s">
        <v>8083</v>
      </c>
      <c r="AA1317" s="0" t="s">
        <v>8141</v>
      </c>
      <c r="AB1317" s="0" t="s">
        <v>231</v>
      </c>
      <c r="AC1317" s="0" t="s">
        <v>7349</v>
      </c>
      <c r="AD1317" s="0" t="s">
        <v>8146</v>
      </c>
      <c r="AE1317" s="0" t="s">
        <v>7462</v>
      </c>
      <c r="AF1317" s="0" t="s">
        <v>8143</v>
      </c>
      <c r="AG1317" s="0" t="s">
        <v>3198</v>
      </c>
    </row>
    <row r="1318" customFormat="false" ht="15" hidden="false" customHeight="false" outlineLevel="0" collapsed="false">
      <c r="A1318" s="0" t="s">
        <v>7336</v>
      </c>
      <c r="B1318" s="0" t="s">
        <v>4893</v>
      </c>
      <c r="C1318" s="0" t="s">
        <v>4894</v>
      </c>
      <c r="D1318" s="0" t="s">
        <v>2983</v>
      </c>
      <c r="E1318" s="0" t="s">
        <v>4895</v>
      </c>
      <c r="F1318" s="0" t="s">
        <v>4896</v>
      </c>
      <c r="G1318" s="0" t="s">
        <v>136</v>
      </c>
      <c r="H1318" s="0" t="s">
        <v>8248</v>
      </c>
      <c r="I1318" s="0" t="s">
        <v>7338</v>
      </c>
      <c r="J1318" s="0" t="s">
        <v>1602</v>
      </c>
      <c r="K1318" s="0" t="s">
        <v>7339</v>
      </c>
      <c r="L1318" s="0" t="s">
        <v>7340</v>
      </c>
      <c r="M1318" s="0" t="s">
        <v>7661</v>
      </c>
      <c r="N1318" s="0" t="s">
        <v>7342</v>
      </c>
      <c r="P1318" s="0" t="s">
        <v>229</v>
      </c>
      <c r="R1318" s="0" t="s">
        <v>7435</v>
      </c>
      <c r="S1318" s="0" t="s">
        <v>7344</v>
      </c>
      <c r="T1318" s="0" t="s">
        <v>681</v>
      </c>
      <c r="V1318" s="0" t="s">
        <v>61</v>
      </c>
      <c r="W1318" s="0" t="s">
        <v>63</v>
      </c>
      <c r="X1318" s="0" t="s">
        <v>7355</v>
      </c>
      <c r="Y1318" s="0" t="s">
        <v>7459</v>
      </c>
      <c r="Z1318" s="0" t="s">
        <v>8083</v>
      </c>
      <c r="AA1318" s="0" t="s">
        <v>8141</v>
      </c>
      <c r="AB1318" s="0" t="s">
        <v>231</v>
      </c>
      <c r="AC1318" s="0" t="s">
        <v>7349</v>
      </c>
      <c r="AD1318" s="0" t="s">
        <v>8146</v>
      </c>
      <c r="AE1318" s="0" t="s">
        <v>7462</v>
      </c>
      <c r="AF1318" s="0" t="s">
        <v>8143</v>
      </c>
      <c r="AG1318" s="0" t="s">
        <v>3198</v>
      </c>
    </row>
    <row r="1319" customFormat="false" ht="15" hidden="false" customHeight="false" outlineLevel="0" collapsed="false">
      <c r="A1319" s="0" t="s">
        <v>7336</v>
      </c>
      <c r="B1319" s="0" t="s">
        <v>4897</v>
      </c>
      <c r="C1319" s="0" t="s">
        <v>4898</v>
      </c>
      <c r="D1319" s="0" t="s">
        <v>2983</v>
      </c>
      <c r="E1319" s="0" t="s">
        <v>4899</v>
      </c>
      <c r="F1319" s="0" t="s">
        <v>4900</v>
      </c>
      <c r="G1319" s="0" t="s">
        <v>136</v>
      </c>
      <c r="H1319" s="0" t="s">
        <v>8249</v>
      </c>
      <c r="I1319" s="0" t="s">
        <v>7338</v>
      </c>
      <c r="J1319" s="0" t="s">
        <v>1602</v>
      </c>
      <c r="K1319" s="0" t="s">
        <v>7339</v>
      </c>
      <c r="L1319" s="0" t="s">
        <v>7340</v>
      </c>
      <c r="M1319" s="0" t="s">
        <v>7661</v>
      </c>
      <c r="N1319" s="0" t="s">
        <v>7342</v>
      </c>
      <c r="P1319" s="0" t="s">
        <v>229</v>
      </c>
      <c r="R1319" s="0" t="s">
        <v>7435</v>
      </c>
      <c r="S1319" s="0" t="s">
        <v>7344</v>
      </c>
      <c r="T1319" s="0" t="s">
        <v>681</v>
      </c>
      <c r="V1319" s="0" t="s">
        <v>61</v>
      </c>
      <c r="W1319" s="0" t="s">
        <v>63</v>
      </c>
      <c r="X1319" s="0" t="s">
        <v>7355</v>
      </c>
      <c r="Y1319" s="0" t="s">
        <v>7459</v>
      </c>
      <c r="Z1319" s="0" t="s">
        <v>8083</v>
      </c>
      <c r="AA1319" s="0" t="s">
        <v>8141</v>
      </c>
      <c r="AB1319" s="0" t="s">
        <v>231</v>
      </c>
      <c r="AC1319" s="0" t="s">
        <v>7349</v>
      </c>
      <c r="AD1319" s="0" t="s">
        <v>8146</v>
      </c>
      <c r="AE1319" s="0" t="s">
        <v>7462</v>
      </c>
      <c r="AF1319" s="0" t="s">
        <v>8143</v>
      </c>
      <c r="AG1319" s="0" t="s">
        <v>3198</v>
      </c>
    </row>
    <row r="1320" customFormat="false" ht="15" hidden="false" customHeight="false" outlineLevel="0" collapsed="false">
      <c r="A1320" s="0" t="s">
        <v>7336</v>
      </c>
      <c r="B1320" s="0" t="s">
        <v>4901</v>
      </c>
      <c r="C1320" s="0" t="s">
        <v>4902</v>
      </c>
      <c r="D1320" s="0" t="s">
        <v>2983</v>
      </c>
      <c r="E1320" s="0" t="s">
        <v>4903</v>
      </c>
      <c r="F1320" s="0" t="s">
        <v>4904</v>
      </c>
      <c r="G1320" s="0" t="s">
        <v>136</v>
      </c>
      <c r="H1320" s="0" t="s">
        <v>8250</v>
      </c>
      <c r="I1320" s="0" t="s">
        <v>7338</v>
      </c>
      <c r="J1320" s="0" t="s">
        <v>1602</v>
      </c>
      <c r="K1320" s="0" t="s">
        <v>7339</v>
      </c>
      <c r="L1320" s="0" t="s">
        <v>7340</v>
      </c>
      <c r="M1320" s="0" t="s">
        <v>7661</v>
      </c>
      <c r="N1320" s="0" t="s">
        <v>7342</v>
      </c>
      <c r="P1320" s="0" t="s">
        <v>229</v>
      </c>
      <c r="R1320" s="0" t="s">
        <v>7435</v>
      </c>
      <c r="S1320" s="0" t="s">
        <v>7344</v>
      </c>
      <c r="T1320" s="0" t="s">
        <v>681</v>
      </c>
      <c r="V1320" s="0" t="s">
        <v>61</v>
      </c>
      <c r="W1320" s="0" t="s">
        <v>63</v>
      </c>
      <c r="X1320" s="0" t="s">
        <v>7355</v>
      </c>
      <c r="Y1320" s="0" t="s">
        <v>7459</v>
      </c>
      <c r="Z1320" s="0" t="s">
        <v>8083</v>
      </c>
      <c r="AA1320" s="0" t="s">
        <v>8141</v>
      </c>
      <c r="AB1320" s="0" t="s">
        <v>231</v>
      </c>
      <c r="AC1320" s="0" t="s">
        <v>7349</v>
      </c>
      <c r="AD1320" s="0" t="s">
        <v>8146</v>
      </c>
      <c r="AE1320" s="0" t="s">
        <v>7462</v>
      </c>
      <c r="AF1320" s="0" t="s">
        <v>8143</v>
      </c>
      <c r="AG1320" s="0" t="s">
        <v>3198</v>
      </c>
    </row>
    <row r="1321" customFormat="false" ht="15" hidden="false" customHeight="false" outlineLevel="0" collapsed="false">
      <c r="A1321" s="0" t="s">
        <v>7336</v>
      </c>
      <c r="B1321" s="0" t="s">
        <v>4905</v>
      </c>
      <c r="C1321" s="0" t="s">
        <v>4906</v>
      </c>
      <c r="D1321" s="0" t="s">
        <v>2983</v>
      </c>
      <c r="E1321" s="0" t="s">
        <v>4907</v>
      </c>
      <c r="F1321" s="0" t="s">
        <v>4908</v>
      </c>
      <c r="G1321" s="0" t="s">
        <v>136</v>
      </c>
      <c r="H1321" s="0" t="s">
        <v>8251</v>
      </c>
      <c r="I1321" s="0" t="s">
        <v>7338</v>
      </c>
      <c r="J1321" s="0" t="s">
        <v>1602</v>
      </c>
      <c r="K1321" s="0" t="s">
        <v>7339</v>
      </c>
      <c r="L1321" s="0" t="s">
        <v>7340</v>
      </c>
      <c r="M1321" s="0" t="s">
        <v>7661</v>
      </c>
      <c r="N1321" s="0" t="s">
        <v>7342</v>
      </c>
      <c r="P1321" s="0" t="s">
        <v>229</v>
      </c>
      <c r="R1321" s="0" t="s">
        <v>7435</v>
      </c>
      <c r="S1321" s="0" t="s">
        <v>7344</v>
      </c>
      <c r="T1321" s="0" t="s">
        <v>681</v>
      </c>
      <c r="V1321" s="0" t="s">
        <v>61</v>
      </c>
      <c r="W1321" s="0" t="s">
        <v>63</v>
      </c>
      <c r="X1321" s="0" t="s">
        <v>7355</v>
      </c>
      <c r="Y1321" s="0" t="s">
        <v>7459</v>
      </c>
      <c r="Z1321" s="0" t="s">
        <v>8083</v>
      </c>
      <c r="AA1321" s="0" t="s">
        <v>8141</v>
      </c>
      <c r="AB1321" s="0" t="s">
        <v>231</v>
      </c>
      <c r="AC1321" s="0" t="s">
        <v>7349</v>
      </c>
      <c r="AD1321" s="0" t="s">
        <v>8146</v>
      </c>
      <c r="AE1321" s="0" t="s">
        <v>7462</v>
      </c>
      <c r="AF1321" s="0" t="s">
        <v>8143</v>
      </c>
      <c r="AG1321" s="0" t="s">
        <v>3198</v>
      </c>
    </row>
    <row r="1322" customFormat="false" ht="15" hidden="false" customHeight="false" outlineLevel="0" collapsed="false">
      <c r="A1322" s="0" t="s">
        <v>7336</v>
      </c>
      <c r="B1322" s="0" t="s">
        <v>4909</v>
      </c>
      <c r="C1322" s="0" t="s">
        <v>4910</v>
      </c>
      <c r="D1322" s="0" t="s">
        <v>2983</v>
      </c>
      <c r="E1322" s="0" t="s">
        <v>4911</v>
      </c>
      <c r="F1322" s="0" t="s">
        <v>4912</v>
      </c>
      <c r="G1322" s="0" t="s">
        <v>136</v>
      </c>
      <c r="H1322" s="0" t="s">
        <v>8252</v>
      </c>
      <c r="I1322" s="0" t="s">
        <v>7338</v>
      </c>
      <c r="J1322" s="0" t="s">
        <v>1602</v>
      </c>
      <c r="K1322" s="0" t="s">
        <v>7339</v>
      </c>
      <c r="L1322" s="0" t="s">
        <v>7340</v>
      </c>
      <c r="M1322" s="0" t="s">
        <v>7661</v>
      </c>
      <c r="N1322" s="0" t="s">
        <v>7342</v>
      </c>
      <c r="P1322" s="0" t="s">
        <v>229</v>
      </c>
      <c r="Q1322" s="0" t="s">
        <v>7354</v>
      </c>
      <c r="S1322" s="0" t="s">
        <v>7344</v>
      </c>
      <c r="T1322" s="0" t="s">
        <v>58</v>
      </c>
      <c r="V1322" s="0" t="s">
        <v>55</v>
      </c>
      <c r="W1322" s="0" t="s">
        <v>55</v>
      </c>
      <c r="X1322" s="0" t="s">
        <v>7355</v>
      </c>
      <c r="Z1322" s="0" t="s">
        <v>7493</v>
      </c>
      <c r="AB1322" s="0" t="s">
        <v>231</v>
      </c>
      <c r="AC1322" s="0" t="s">
        <v>7349</v>
      </c>
      <c r="AE1322" s="0" t="s">
        <v>7826</v>
      </c>
      <c r="AF1322" s="0" t="s">
        <v>7374</v>
      </c>
      <c r="AG1322" s="0" t="s">
        <v>230</v>
      </c>
    </row>
    <row r="1323" customFormat="false" ht="15" hidden="false" customHeight="false" outlineLevel="0" collapsed="false">
      <c r="A1323" s="0" t="s">
        <v>7336</v>
      </c>
      <c r="B1323" s="0" t="s">
        <v>4913</v>
      </c>
      <c r="C1323" s="0" t="s">
        <v>4914</v>
      </c>
      <c r="D1323" s="0" t="s">
        <v>2983</v>
      </c>
      <c r="E1323" s="0" t="s">
        <v>4915</v>
      </c>
      <c r="F1323" s="0" t="s">
        <v>4916</v>
      </c>
      <c r="G1323" s="0" t="s">
        <v>136</v>
      </c>
      <c r="H1323" s="0" t="s">
        <v>8253</v>
      </c>
      <c r="I1323" s="0" t="s">
        <v>7338</v>
      </c>
      <c r="J1323" s="0" t="s">
        <v>1602</v>
      </c>
      <c r="K1323" s="0" t="s">
        <v>7339</v>
      </c>
      <c r="L1323" s="0" t="s">
        <v>7340</v>
      </c>
      <c r="M1323" s="0" t="s">
        <v>7661</v>
      </c>
      <c r="N1323" s="0" t="s">
        <v>7342</v>
      </c>
      <c r="P1323" s="0" t="s">
        <v>229</v>
      </c>
      <c r="Q1323" s="0" t="s">
        <v>7354</v>
      </c>
      <c r="S1323" s="0" t="s">
        <v>7344</v>
      </c>
      <c r="T1323" s="0" t="s">
        <v>58</v>
      </c>
      <c r="V1323" s="0" t="s">
        <v>55</v>
      </c>
      <c r="W1323" s="0" t="s">
        <v>55</v>
      </c>
      <c r="X1323" s="0" t="s">
        <v>7355</v>
      </c>
      <c r="Z1323" s="0" t="s">
        <v>7493</v>
      </c>
      <c r="AB1323" s="0" t="s">
        <v>344</v>
      </c>
      <c r="AC1323" s="0" t="s">
        <v>7349</v>
      </c>
      <c r="AE1323" s="0" t="s">
        <v>8158</v>
      </c>
      <c r="AF1323" s="0" t="s">
        <v>7374</v>
      </c>
      <c r="AG1323" s="0" t="s">
        <v>230</v>
      </c>
    </row>
    <row r="1324" customFormat="false" ht="15" hidden="false" customHeight="false" outlineLevel="0" collapsed="false">
      <c r="A1324" s="0" t="s">
        <v>7336</v>
      </c>
      <c r="B1324" s="0" t="s">
        <v>4917</v>
      </c>
      <c r="C1324" s="0" t="s">
        <v>4918</v>
      </c>
      <c r="D1324" s="0" t="s">
        <v>2983</v>
      </c>
      <c r="E1324" s="0" t="s">
        <v>4919</v>
      </c>
      <c r="F1324" s="0" t="s">
        <v>4920</v>
      </c>
      <c r="G1324" s="0" t="s">
        <v>136</v>
      </c>
      <c r="H1324" s="0" t="s">
        <v>8254</v>
      </c>
      <c r="I1324" s="0" t="s">
        <v>7338</v>
      </c>
      <c r="J1324" s="0" t="s">
        <v>1602</v>
      </c>
      <c r="K1324" s="0" t="s">
        <v>7339</v>
      </c>
      <c r="L1324" s="0" t="s">
        <v>7340</v>
      </c>
      <c r="M1324" s="0" t="s">
        <v>7661</v>
      </c>
      <c r="N1324" s="0" t="s">
        <v>7342</v>
      </c>
      <c r="P1324" s="0" t="s">
        <v>229</v>
      </c>
      <c r="Q1324" s="0" t="s">
        <v>7354</v>
      </c>
      <c r="S1324" s="0" t="s">
        <v>7344</v>
      </c>
      <c r="T1324" s="0" t="s">
        <v>58</v>
      </c>
      <c r="V1324" s="0" t="s">
        <v>55</v>
      </c>
      <c r="W1324" s="0" t="s">
        <v>55</v>
      </c>
      <c r="X1324" s="0" t="s">
        <v>7355</v>
      </c>
      <c r="Z1324" s="0" t="s">
        <v>7493</v>
      </c>
      <c r="AB1324" s="0" t="s">
        <v>344</v>
      </c>
      <c r="AC1324" s="0" t="s">
        <v>7349</v>
      </c>
      <c r="AE1324" s="0" t="s">
        <v>8158</v>
      </c>
      <c r="AF1324" s="0" t="s">
        <v>7374</v>
      </c>
      <c r="AG1324" s="0" t="s">
        <v>230</v>
      </c>
    </row>
    <row r="1325" customFormat="false" ht="15" hidden="false" customHeight="false" outlineLevel="0" collapsed="false">
      <c r="A1325" s="0" t="s">
        <v>7336</v>
      </c>
      <c r="B1325" s="0" t="s">
        <v>4921</v>
      </c>
      <c r="C1325" s="0" t="s">
        <v>4922</v>
      </c>
      <c r="D1325" s="0" t="s">
        <v>2983</v>
      </c>
      <c r="E1325" s="0" t="s">
        <v>4923</v>
      </c>
      <c r="F1325" s="0" t="s">
        <v>4924</v>
      </c>
      <c r="G1325" s="0" t="s">
        <v>136</v>
      </c>
      <c r="H1325" s="0" t="s">
        <v>8255</v>
      </c>
      <c r="I1325" s="0" t="s">
        <v>7338</v>
      </c>
      <c r="J1325" s="0" t="s">
        <v>1602</v>
      </c>
      <c r="K1325" s="0" t="s">
        <v>7339</v>
      </c>
      <c r="L1325" s="0" t="s">
        <v>7340</v>
      </c>
      <c r="M1325" s="0" t="s">
        <v>7661</v>
      </c>
      <c r="N1325" s="0" t="s">
        <v>7342</v>
      </c>
      <c r="P1325" s="0" t="s">
        <v>229</v>
      </c>
      <c r="Q1325" s="0" t="s">
        <v>7354</v>
      </c>
      <c r="S1325" s="0" t="s">
        <v>7344</v>
      </c>
      <c r="T1325" s="0" t="s">
        <v>58</v>
      </c>
      <c r="V1325" s="0" t="s">
        <v>55</v>
      </c>
      <c r="W1325" s="0" t="s">
        <v>55</v>
      </c>
      <c r="X1325" s="0" t="s">
        <v>7355</v>
      </c>
      <c r="Z1325" s="0" t="s">
        <v>7493</v>
      </c>
      <c r="AB1325" s="0" t="s">
        <v>344</v>
      </c>
      <c r="AC1325" s="0" t="s">
        <v>7349</v>
      </c>
      <c r="AE1325" s="0" t="s">
        <v>8158</v>
      </c>
      <c r="AF1325" s="0" t="s">
        <v>7374</v>
      </c>
      <c r="AG1325" s="0" t="s">
        <v>230</v>
      </c>
    </row>
    <row r="1326" customFormat="false" ht="15" hidden="false" customHeight="false" outlineLevel="0" collapsed="false">
      <c r="A1326" s="0" t="s">
        <v>7336</v>
      </c>
      <c r="B1326" s="0" t="s">
        <v>4925</v>
      </c>
      <c r="C1326" s="0" t="s">
        <v>4926</v>
      </c>
      <c r="D1326" s="0" t="s">
        <v>2983</v>
      </c>
      <c r="E1326" s="0" t="s">
        <v>4927</v>
      </c>
      <c r="F1326" s="0" t="s">
        <v>4928</v>
      </c>
      <c r="G1326" s="0" t="s">
        <v>136</v>
      </c>
      <c r="H1326" s="0" t="s">
        <v>8256</v>
      </c>
      <c r="I1326" s="0" t="s">
        <v>7338</v>
      </c>
      <c r="J1326" s="0" t="s">
        <v>1602</v>
      </c>
      <c r="K1326" s="0" t="s">
        <v>7339</v>
      </c>
      <c r="L1326" s="0" t="s">
        <v>7340</v>
      </c>
      <c r="M1326" s="0" t="s">
        <v>7661</v>
      </c>
      <c r="N1326" s="0" t="s">
        <v>7342</v>
      </c>
      <c r="P1326" s="0" t="s">
        <v>229</v>
      </c>
      <c r="Q1326" s="0" t="s">
        <v>7354</v>
      </c>
      <c r="S1326" s="0" t="s">
        <v>7344</v>
      </c>
      <c r="T1326" s="0" t="s">
        <v>58</v>
      </c>
      <c r="V1326" s="0" t="s">
        <v>55</v>
      </c>
      <c r="W1326" s="0" t="s">
        <v>55</v>
      </c>
      <c r="X1326" s="0" t="s">
        <v>7355</v>
      </c>
      <c r="Z1326" s="0" t="s">
        <v>7493</v>
      </c>
      <c r="AB1326" s="0" t="s">
        <v>344</v>
      </c>
      <c r="AC1326" s="0" t="s">
        <v>7349</v>
      </c>
      <c r="AE1326" s="0" t="s">
        <v>8158</v>
      </c>
      <c r="AF1326" s="0" t="s">
        <v>7374</v>
      </c>
      <c r="AG1326" s="0" t="s">
        <v>230</v>
      </c>
    </row>
    <row r="1327" customFormat="false" ht="15" hidden="false" customHeight="false" outlineLevel="0" collapsed="false">
      <c r="A1327" s="0" t="s">
        <v>7336</v>
      </c>
      <c r="B1327" s="0" t="s">
        <v>4929</v>
      </c>
      <c r="C1327" s="0" t="s">
        <v>4930</v>
      </c>
      <c r="D1327" s="0" t="s">
        <v>2983</v>
      </c>
      <c r="E1327" s="0" t="s">
        <v>4931</v>
      </c>
      <c r="F1327" s="0" t="s">
        <v>4932</v>
      </c>
      <c r="G1327" s="0" t="s">
        <v>136</v>
      </c>
      <c r="H1327" s="0" t="s">
        <v>8257</v>
      </c>
      <c r="I1327" s="0" t="s">
        <v>7338</v>
      </c>
      <c r="J1327" s="0" t="s">
        <v>1602</v>
      </c>
      <c r="K1327" s="0" t="s">
        <v>7339</v>
      </c>
      <c r="L1327" s="0" t="s">
        <v>7340</v>
      </c>
      <c r="M1327" s="0" t="s">
        <v>7661</v>
      </c>
      <c r="N1327" s="0" t="s">
        <v>7342</v>
      </c>
      <c r="P1327" s="0" t="s">
        <v>229</v>
      </c>
      <c r="Q1327" s="0" t="s">
        <v>7354</v>
      </c>
      <c r="S1327" s="0" t="s">
        <v>7344</v>
      </c>
      <c r="T1327" s="0" t="s">
        <v>58</v>
      </c>
      <c r="V1327" s="0" t="s">
        <v>55</v>
      </c>
      <c r="W1327" s="0" t="s">
        <v>55</v>
      </c>
      <c r="X1327" s="0" t="s">
        <v>7355</v>
      </c>
      <c r="Z1327" s="0" t="s">
        <v>7493</v>
      </c>
      <c r="AB1327" s="0" t="s">
        <v>344</v>
      </c>
      <c r="AC1327" s="0" t="s">
        <v>7349</v>
      </c>
      <c r="AE1327" s="0" t="s">
        <v>8158</v>
      </c>
      <c r="AF1327" s="0" t="s">
        <v>7374</v>
      </c>
      <c r="AG1327" s="0" t="s">
        <v>230</v>
      </c>
    </row>
    <row r="1328" customFormat="false" ht="15" hidden="false" customHeight="false" outlineLevel="0" collapsed="false">
      <c r="A1328" s="0" t="s">
        <v>7336</v>
      </c>
      <c r="B1328" s="0" t="s">
        <v>4933</v>
      </c>
      <c r="C1328" s="0" t="s">
        <v>4934</v>
      </c>
      <c r="D1328" s="0" t="s">
        <v>2983</v>
      </c>
      <c r="E1328" s="0" t="s">
        <v>4935</v>
      </c>
      <c r="F1328" s="0" t="s">
        <v>4936</v>
      </c>
      <c r="G1328" s="0" t="s">
        <v>136</v>
      </c>
      <c r="H1328" s="0" t="s">
        <v>8258</v>
      </c>
      <c r="I1328" s="0" t="s">
        <v>7338</v>
      </c>
      <c r="J1328" s="0" t="s">
        <v>1602</v>
      </c>
      <c r="K1328" s="0" t="s">
        <v>7339</v>
      </c>
      <c r="L1328" s="0" t="s">
        <v>7340</v>
      </c>
      <c r="M1328" s="0" t="s">
        <v>7661</v>
      </c>
      <c r="N1328" s="0" t="s">
        <v>7342</v>
      </c>
      <c r="P1328" s="0" t="s">
        <v>229</v>
      </c>
      <c r="Q1328" s="0" t="s">
        <v>7354</v>
      </c>
      <c r="S1328" s="0" t="s">
        <v>7344</v>
      </c>
      <c r="T1328" s="0" t="s">
        <v>58</v>
      </c>
      <c r="V1328" s="0" t="s">
        <v>55</v>
      </c>
      <c r="W1328" s="0" t="s">
        <v>55</v>
      </c>
      <c r="X1328" s="0" t="s">
        <v>7355</v>
      </c>
      <c r="Z1328" s="0" t="s">
        <v>7493</v>
      </c>
      <c r="AB1328" s="0" t="s">
        <v>231</v>
      </c>
      <c r="AC1328" s="0" t="s">
        <v>7349</v>
      </c>
      <c r="AE1328" s="0" t="s">
        <v>7826</v>
      </c>
      <c r="AF1328" s="0" t="s">
        <v>8259</v>
      </c>
      <c r="AG1328" s="0" t="s">
        <v>230</v>
      </c>
    </row>
    <row r="1329" customFormat="false" ht="15" hidden="false" customHeight="false" outlineLevel="0" collapsed="false">
      <c r="A1329" s="0" t="s">
        <v>7336</v>
      </c>
      <c r="B1329" s="0" t="s">
        <v>4937</v>
      </c>
      <c r="C1329" s="0" t="s">
        <v>4938</v>
      </c>
      <c r="D1329" s="0" t="s">
        <v>2983</v>
      </c>
      <c r="E1329" s="0" t="s">
        <v>4939</v>
      </c>
      <c r="F1329" s="0" t="s">
        <v>4940</v>
      </c>
      <c r="G1329" s="0" t="s">
        <v>136</v>
      </c>
      <c r="H1329" s="0" t="s">
        <v>8260</v>
      </c>
      <c r="I1329" s="0" t="s">
        <v>7338</v>
      </c>
      <c r="J1329" s="0" t="s">
        <v>1602</v>
      </c>
      <c r="K1329" s="0" t="s">
        <v>7339</v>
      </c>
      <c r="L1329" s="0" t="s">
        <v>7340</v>
      </c>
      <c r="M1329" s="0" t="s">
        <v>7661</v>
      </c>
      <c r="N1329" s="0" t="s">
        <v>7342</v>
      </c>
      <c r="P1329" s="0" t="s">
        <v>229</v>
      </c>
      <c r="Q1329" s="0" t="s">
        <v>7354</v>
      </c>
      <c r="S1329" s="0" t="s">
        <v>7344</v>
      </c>
      <c r="T1329" s="0" t="s">
        <v>58</v>
      </c>
      <c r="V1329" s="0" t="s">
        <v>55</v>
      </c>
      <c r="W1329" s="0" t="s">
        <v>55</v>
      </c>
      <c r="X1329" s="0" t="s">
        <v>7355</v>
      </c>
      <c r="Z1329" s="0" t="s">
        <v>7493</v>
      </c>
      <c r="AB1329" s="0" t="s">
        <v>344</v>
      </c>
      <c r="AC1329" s="0" t="s">
        <v>7349</v>
      </c>
      <c r="AE1329" s="0" t="s">
        <v>8158</v>
      </c>
      <c r="AF1329" s="0" t="s">
        <v>7374</v>
      </c>
      <c r="AG1329" s="0" t="s">
        <v>230</v>
      </c>
    </row>
    <row r="1330" customFormat="false" ht="15" hidden="false" customHeight="false" outlineLevel="0" collapsed="false">
      <c r="A1330" s="0" t="s">
        <v>7336</v>
      </c>
      <c r="B1330" s="0" t="s">
        <v>4941</v>
      </c>
      <c r="C1330" s="0" t="s">
        <v>4942</v>
      </c>
      <c r="D1330" s="0" t="s">
        <v>2983</v>
      </c>
      <c r="E1330" s="0" t="s">
        <v>4943</v>
      </c>
      <c r="F1330" s="0" t="s">
        <v>4944</v>
      </c>
      <c r="G1330" s="0" t="s">
        <v>136</v>
      </c>
      <c r="H1330" s="0" t="s">
        <v>8261</v>
      </c>
      <c r="I1330" s="0" t="s">
        <v>7338</v>
      </c>
      <c r="J1330" s="0" t="s">
        <v>1602</v>
      </c>
      <c r="K1330" s="0" t="s">
        <v>7339</v>
      </c>
      <c r="L1330" s="0" t="s">
        <v>7340</v>
      </c>
      <c r="M1330" s="0" t="s">
        <v>7661</v>
      </c>
      <c r="N1330" s="0" t="s">
        <v>7342</v>
      </c>
      <c r="P1330" s="0" t="s">
        <v>229</v>
      </c>
      <c r="Q1330" s="0" t="s">
        <v>7354</v>
      </c>
      <c r="S1330" s="0" t="s">
        <v>7344</v>
      </c>
      <c r="T1330" s="0" t="s">
        <v>58</v>
      </c>
      <c r="V1330" s="0" t="s">
        <v>55</v>
      </c>
      <c r="W1330" s="0" t="s">
        <v>55</v>
      </c>
      <c r="X1330" s="0" t="s">
        <v>7355</v>
      </c>
      <c r="Z1330" s="0" t="s">
        <v>7493</v>
      </c>
      <c r="AB1330" s="0" t="s">
        <v>344</v>
      </c>
      <c r="AC1330" s="0" t="s">
        <v>7349</v>
      </c>
      <c r="AE1330" s="0" t="s">
        <v>8158</v>
      </c>
      <c r="AF1330" s="0" t="s">
        <v>7374</v>
      </c>
      <c r="AG1330" s="0" t="s">
        <v>230</v>
      </c>
    </row>
    <row r="1331" customFormat="false" ht="15" hidden="false" customHeight="false" outlineLevel="0" collapsed="false">
      <c r="A1331" s="0" t="s">
        <v>7336</v>
      </c>
      <c r="B1331" s="0" t="s">
        <v>4945</v>
      </c>
      <c r="C1331" s="0" t="s">
        <v>4946</v>
      </c>
      <c r="D1331" s="0" t="s">
        <v>2983</v>
      </c>
      <c r="E1331" s="0" t="s">
        <v>4947</v>
      </c>
      <c r="F1331" s="0" t="s">
        <v>4948</v>
      </c>
      <c r="G1331" s="0" t="s">
        <v>136</v>
      </c>
      <c r="H1331" s="0" t="s">
        <v>8262</v>
      </c>
      <c r="I1331" s="0" t="s">
        <v>7338</v>
      </c>
      <c r="J1331" s="0" t="s">
        <v>1602</v>
      </c>
      <c r="K1331" s="0" t="s">
        <v>7339</v>
      </c>
      <c r="L1331" s="0" t="s">
        <v>7340</v>
      </c>
      <c r="M1331" s="0" t="s">
        <v>7661</v>
      </c>
      <c r="N1331" s="0" t="s">
        <v>7342</v>
      </c>
      <c r="P1331" s="0" t="s">
        <v>229</v>
      </c>
      <c r="Q1331" s="0" t="s">
        <v>7354</v>
      </c>
      <c r="S1331" s="0" t="s">
        <v>7344</v>
      </c>
      <c r="T1331" s="0" t="s">
        <v>58</v>
      </c>
      <c r="V1331" s="0" t="s">
        <v>55</v>
      </c>
      <c r="W1331" s="0" t="s">
        <v>55</v>
      </c>
      <c r="X1331" s="0" t="s">
        <v>7355</v>
      </c>
      <c r="Z1331" s="0" t="s">
        <v>7493</v>
      </c>
      <c r="AB1331" s="0" t="s">
        <v>344</v>
      </c>
      <c r="AC1331" s="0" t="s">
        <v>7349</v>
      </c>
      <c r="AE1331" s="0" t="s">
        <v>8158</v>
      </c>
      <c r="AF1331" s="0" t="s">
        <v>7374</v>
      </c>
      <c r="AG1331" s="0" t="s">
        <v>230</v>
      </c>
    </row>
    <row r="1332" customFormat="false" ht="15" hidden="false" customHeight="false" outlineLevel="0" collapsed="false">
      <c r="A1332" s="0" t="s">
        <v>7336</v>
      </c>
      <c r="B1332" s="0" t="s">
        <v>4949</v>
      </c>
      <c r="C1332" s="0" t="s">
        <v>4950</v>
      </c>
      <c r="D1332" s="0" t="s">
        <v>2983</v>
      </c>
      <c r="E1332" s="0" t="s">
        <v>4951</v>
      </c>
      <c r="F1332" s="0" t="s">
        <v>4952</v>
      </c>
      <c r="G1332" s="0" t="s">
        <v>136</v>
      </c>
      <c r="H1332" s="0" t="s">
        <v>8263</v>
      </c>
      <c r="I1332" s="0" t="s">
        <v>7338</v>
      </c>
      <c r="J1332" s="0" t="s">
        <v>1602</v>
      </c>
      <c r="K1332" s="0" t="s">
        <v>7339</v>
      </c>
      <c r="L1332" s="0" t="s">
        <v>7340</v>
      </c>
      <c r="M1332" s="0" t="s">
        <v>7661</v>
      </c>
      <c r="N1332" s="0" t="s">
        <v>7342</v>
      </c>
      <c r="P1332" s="0" t="s">
        <v>229</v>
      </c>
      <c r="Q1332" s="0" t="s">
        <v>7354</v>
      </c>
      <c r="S1332" s="0" t="s">
        <v>7344</v>
      </c>
      <c r="T1332" s="0" t="s">
        <v>58</v>
      </c>
      <c r="V1332" s="0" t="s">
        <v>55</v>
      </c>
      <c r="W1332" s="0" t="s">
        <v>55</v>
      </c>
      <c r="X1332" s="0" t="s">
        <v>7355</v>
      </c>
      <c r="Z1332" s="0" t="s">
        <v>7493</v>
      </c>
      <c r="AB1332" s="0" t="s">
        <v>344</v>
      </c>
      <c r="AC1332" s="0" t="s">
        <v>7349</v>
      </c>
      <c r="AE1332" s="0" t="s">
        <v>8158</v>
      </c>
      <c r="AF1332" s="0" t="s">
        <v>7374</v>
      </c>
      <c r="AG1332" s="0" t="s">
        <v>230</v>
      </c>
    </row>
    <row r="1333" customFormat="false" ht="15" hidden="false" customHeight="false" outlineLevel="0" collapsed="false">
      <c r="A1333" s="0" t="s">
        <v>7336</v>
      </c>
      <c r="B1333" s="0" t="s">
        <v>4953</v>
      </c>
      <c r="C1333" s="0" t="s">
        <v>4954</v>
      </c>
      <c r="D1333" s="0" t="s">
        <v>2983</v>
      </c>
      <c r="E1333" s="0" t="s">
        <v>4955</v>
      </c>
      <c r="F1333" s="0" t="s">
        <v>4956</v>
      </c>
      <c r="G1333" s="0" t="s">
        <v>136</v>
      </c>
      <c r="H1333" s="0" t="s">
        <v>8264</v>
      </c>
      <c r="I1333" s="0" t="s">
        <v>7338</v>
      </c>
      <c r="J1333" s="0" t="s">
        <v>1602</v>
      </c>
      <c r="K1333" s="0" t="s">
        <v>7339</v>
      </c>
      <c r="L1333" s="0" t="s">
        <v>7340</v>
      </c>
      <c r="M1333" s="0" t="s">
        <v>7661</v>
      </c>
      <c r="N1333" s="0" t="s">
        <v>7342</v>
      </c>
      <c r="P1333" s="0" t="s">
        <v>229</v>
      </c>
      <c r="Q1333" s="0" t="s">
        <v>7354</v>
      </c>
      <c r="S1333" s="0" t="s">
        <v>7344</v>
      </c>
      <c r="T1333" s="0" t="s">
        <v>58</v>
      </c>
      <c r="V1333" s="0" t="s">
        <v>55</v>
      </c>
      <c r="W1333" s="0" t="s">
        <v>55</v>
      </c>
      <c r="X1333" s="0" t="s">
        <v>7355</v>
      </c>
      <c r="Z1333" s="0" t="s">
        <v>7493</v>
      </c>
      <c r="AB1333" s="0" t="s">
        <v>344</v>
      </c>
      <c r="AC1333" s="0" t="s">
        <v>7349</v>
      </c>
      <c r="AE1333" s="0" t="s">
        <v>8158</v>
      </c>
      <c r="AF1333" s="0" t="s">
        <v>7374</v>
      </c>
      <c r="AG1333" s="0" t="s">
        <v>230</v>
      </c>
    </row>
    <row r="1334" customFormat="false" ht="15" hidden="false" customHeight="false" outlineLevel="0" collapsed="false">
      <c r="A1334" s="0" t="s">
        <v>7336</v>
      </c>
      <c r="B1334" s="0" t="s">
        <v>4957</v>
      </c>
      <c r="C1334" s="0" t="s">
        <v>4958</v>
      </c>
      <c r="D1334" s="0" t="s">
        <v>2983</v>
      </c>
      <c r="E1334" s="0" t="s">
        <v>4959</v>
      </c>
      <c r="F1334" s="0" t="s">
        <v>4960</v>
      </c>
      <c r="G1334" s="0" t="s">
        <v>136</v>
      </c>
      <c r="H1334" s="0" t="s">
        <v>8265</v>
      </c>
      <c r="I1334" s="0" t="s">
        <v>7338</v>
      </c>
      <c r="J1334" s="0" t="s">
        <v>1602</v>
      </c>
      <c r="K1334" s="0" t="s">
        <v>7339</v>
      </c>
      <c r="L1334" s="0" t="s">
        <v>7340</v>
      </c>
      <c r="M1334" s="0" t="s">
        <v>7661</v>
      </c>
      <c r="N1334" s="0" t="s">
        <v>7342</v>
      </c>
      <c r="P1334" s="0" t="s">
        <v>229</v>
      </c>
      <c r="Q1334" s="0" t="s">
        <v>7354</v>
      </c>
      <c r="S1334" s="0" t="s">
        <v>7344</v>
      </c>
      <c r="T1334" s="0" t="s">
        <v>58</v>
      </c>
      <c r="V1334" s="0" t="s">
        <v>55</v>
      </c>
      <c r="W1334" s="0" t="s">
        <v>55</v>
      </c>
      <c r="X1334" s="0" t="s">
        <v>7355</v>
      </c>
      <c r="Z1334" s="0" t="s">
        <v>7493</v>
      </c>
      <c r="AB1334" s="0" t="s">
        <v>344</v>
      </c>
      <c r="AC1334" s="0" t="s">
        <v>7349</v>
      </c>
      <c r="AE1334" s="0" t="s">
        <v>8158</v>
      </c>
      <c r="AF1334" s="0" t="s">
        <v>7374</v>
      </c>
      <c r="AG1334" s="0" t="s">
        <v>230</v>
      </c>
    </row>
    <row r="1335" customFormat="false" ht="15" hidden="false" customHeight="false" outlineLevel="0" collapsed="false">
      <c r="A1335" s="0" t="s">
        <v>7336</v>
      </c>
      <c r="B1335" s="0" t="s">
        <v>4961</v>
      </c>
      <c r="C1335" s="0" t="s">
        <v>4962</v>
      </c>
      <c r="D1335" s="0" t="s">
        <v>2983</v>
      </c>
      <c r="E1335" s="0" t="s">
        <v>4963</v>
      </c>
      <c r="F1335" s="0" t="s">
        <v>4964</v>
      </c>
      <c r="G1335" s="0" t="s">
        <v>136</v>
      </c>
      <c r="H1335" s="0" t="s">
        <v>8266</v>
      </c>
      <c r="I1335" s="0" t="s">
        <v>7338</v>
      </c>
      <c r="J1335" s="0" t="s">
        <v>1602</v>
      </c>
      <c r="K1335" s="0" t="s">
        <v>7339</v>
      </c>
      <c r="L1335" s="0" t="s">
        <v>7340</v>
      </c>
      <c r="M1335" s="0" t="s">
        <v>7661</v>
      </c>
      <c r="N1335" s="0" t="s">
        <v>7342</v>
      </c>
      <c r="P1335" s="0" t="s">
        <v>229</v>
      </c>
      <c r="Q1335" s="0" t="s">
        <v>7354</v>
      </c>
      <c r="S1335" s="0" t="s">
        <v>7344</v>
      </c>
      <c r="T1335" s="0" t="s">
        <v>58</v>
      </c>
      <c r="V1335" s="0" t="s">
        <v>55</v>
      </c>
      <c r="W1335" s="0" t="s">
        <v>55</v>
      </c>
      <c r="X1335" s="0" t="s">
        <v>7355</v>
      </c>
      <c r="Z1335" s="0" t="s">
        <v>7493</v>
      </c>
      <c r="AB1335" s="0" t="s">
        <v>344</v>
      </c>
      <c r="AC1335" s="0" t="s">
        <v>7349</v>
      </c>
      <c r="AE1335" s="0" t="s">
        <v>8158</v>
      </c>
      <c r="AF1335" s="0" t="s">
        <v>7374</v>
      </c>
      <c r="AG1335" s="0" t="s">
        <v>230</v>
      </c>
    </row>
    <row r="1336" customFormat="false" ht="15" hidden="false" customHeight="false" outlineLevel="0" collapsed="false">
      <c r="A1336" s="0" t="s">
        <v>7336</v>
      </c>
      <c r="B1336" s="0" t="s">
        <v>4965</v>
      </c>
      <c r="C1336" s="0" t="s">
        <v>4966</v>
      </c>
      <c r="D1336" s="0" t="s">
        <v>2983</v>
      </c>
      <c r="E1336" s="0" t="s">
        <v>4967</v>
      </c>
      <c r="F1336" s="0" t="s">
        <v>4968</v>
      </c>
      <c r="G1336" s="0" t="s">
        <v>136</v>
      </c>
      <c r="H1336" s="0" t="s">
        <v>8267</v>
      </c>
      <c r="I1336" s="0" t="s">
        <v>7338</v>
      </c>
      <c r="J1336" s="0" t="s">
        <v>1602</v>
      </c>
      <c r="K1336" s="0" t="s">
        <v>7339</v>
      </c>
      <c r="L1336" s="0" t="s">
        <v>7340</v>
      </c>
      <c r="M1336" s="0" t="s">
        <v>7661</v>
      </c>
      <c r="N1336" s="0" t="s">
        <v>7342</v>
      </c>
      <c r="P1336" s="0" t="s">
        <v>229</v>
      </c>
      <c r="Q1336" s="0" t="s">
        <v>7354</v>
      </c>
      <c r="S1336" s="0" t="s">
        <v>7344</v>
      </c>
      <c r="T1336" s="0" t="s">
        <v>58</v>
      </c>
      <c r="V1336" s="0" t="s">
        <v>55</v>
      </c>
      <c r="W1336" s="0" t="s">
        <v>55</v>
      </c>
      <c r="X1336" s="0" t="s">
        <v>7355</v>
      </c>
      <c r="Z1336" s="0" t="s">
        <v>7493</v>
      </c>
      <c r="AB1336" s="0" t="s">
        <v>344</v>
      </c>
      <c r="AC1336" s="0" t="s">
        <v>7349</v>
      </c>
      <c r="AE1336" s="0" t="s">
        <v>8158</v>
      </c>
      <c r="AF1336" s="0" t="s">
        <v>7374</v>
      </c>
      <c r="AG1336" s="0" t="s">
        <v>230</v>
      </c>
    </row>
    <row r="1337" customFormat="false" ht="15" hidden="false" customHeight="false" outlineLevel="0" collapsed="false">
      <c r="A1337" s="0" t="s">
        <v>7336</v>
      </c>
      <c r="B1337" s="0" t="s">
        <v>4969</v>
      </c>
      <c r="C1337" s="0" t="s">
        <v>4970</v>
      </c>
      <c r="D1337" s="0" t="s">
        <v>2983</v>
      </c>
      <c r="E1337" s="0" t="s">
        <v>4971</v>
      </c>
      <c r="F1337" s="0" t="s">
        <v>4972</v>
      </c>
      <c r="G1337" s="0" t="s">
        <v>136</v>
      </c>
      <c r="H1337" s="0" t="s">
        <v>8268</v>
      </c>
      <c r="I1337" s="0" t="s">
        <v>7338</v>
      </c>
      <c r="J1337" s="0" t="s">
        <v>1602</v>
      </c>
      <c r="K1337" s="0" t="s">
        <v>7339</v>
      </c>
      <c r="L1337" s="0" t="s">
        <v>7340</v>
      </c>
      <c r="M1337" s="0" t="s">
        <v>7661</v>
      </c>
      <c r="N1337" s="0" t="s">
        <v>7342</v>
      </c>
      <c r="P1337" s="0" t="s">
        <v>229</v>
      </c>
      <c r="Q1337" s="0" t="s">
        <v>7354</v>
      </c>
      <c r="S1337" s="0" t="s">
        <v>7344</v>
      </c>
      <c r="T1337" s="0" t="s">
        <v>58</v>
      </c>
      <c r="V1337" s="0" t="s">
        <v>55</v>
      </c>
      <c r="W1337" s="0" t="s">
        <v>55</v>
      </c>
      <c r="X1337" s="0" t="s">
        <v>7355</v>
      </c>
      <c r="Z1337" s="0" t="s">
        <v>7493</v>
      </c>
      <c r="AB1337" s="0" t="s">
        <v>344</v>
      </c>
      <c r="AC1337" s="0" t="s">
        <v>7349</v>
      </c>
      <c r="AE1337" s="0" t="s">
        <v>8158</v>
      </c>
      <c r="AF1337" s="0" t="s">
        <v>7374</v>
      </c>
      <c r="AG1337" s="0" t="s">
        <v>230</v>
      </c>
    </row>
    <row r="1338" customFormat="false" ht="15" hidden="false" customHeight="false" outlineLevel="0" collapsed="false">
      <c r="A1338" s="0" t="s">
        <v>7336</v>
      </c>
      <c r="B1338" s="0" t="s">
        <v>4973</v>
      </c>
      <c r="C1338" s="0" t="s">
        <v>4974</v>
      </c>
      <c r="D1338" s="0" t="s">
        <v>259</v>
      </c>
      <c r="E1338" s="0" t="s">
        <v>4975</v>
      </c>
      <c r="F1338" s="0" t="s">
        <v>4976</v>
      </c>
      <c r="G1338" s="0" t="s">
        <v>116</v>
      </c>
      <c r="H1338" s="0" t="s">
        <v>8269</v>
      </c>
      <c r="I1338" s="0" t="s">
        <v>7338</v>
      </c>
      <c r="J1338" s="0" t="s">
        <v>1602</v>
      </c>
      <c r="K1338" s="0" t="s">
        <v>7339</v>
      </c>
      <c r="L1338" s="0" t="s">
        <v>7340</v>
      </c>
      <c r="M1338" s="0" t="s">
        <v>7661</v>
      </c>
      <c r="N1338" s="0" t="s">
        <v>7342</v>
      </c>
      <c r="P1338" s="0" t="s">
        <v>229</v>
      </c>
      <c r="Q1338" s="0" t="s">
        <v>7354</v>
      </c>
      <c r="R1338" s="0" t="s">
        <v>7435</v>
      </c>
      <c r="S1338" s="0" t="s">
        <v>7344</v>
      </c>
      <c r="T1338" s="0" t="s">
        <v>260</v>
      </c>
      <c r="V1338" s="0" t="s">
        <v>61</v>
      </c>
      <c r="W1338" s="0" t="s">
        <v>63</v>
      </c>
      <c r="X1338" s="0" t="s">
        <v>7355</v>
      </c>
      <c r="Y1338" s="0" t="s">
        <v>7459</v>
      </c>
      <c r="Z1338" s="0" t="s">
        <v>7460</v>
      </c>
      <c r="AA1338" s="0" t="s">
        <v>7438</v>
      </c>
      <c r="AB1338" s="0" t="s">
        <v>231</v>
      </c>
      <c r="AC1338" s="0" t="s">
        <v>7349</v>
      </c>
      <c r="AD1338" s="0" t="s">
        <v>7461</v>
      </c>
      <c r="AE1338" s="0" t="s">
        <v>7462</v>
      </c>
      <c r="AF1338" s="0" t="s">
        <v>7374</v>
      </c>
      <c r="AG1338" s="0" t="s">
        <v>230</v>
      </c>
    </row>
    <row r="1339" customFormat="false" ht="15" hidden="false" customHeight="false" outlineLevel="0" collapsed="false">
      <c r="A1339" s="0" t="s">
        <v>7336</v>
      </c>
      <c r="B1339" s="0" t="s">
        <v>4977</v>
      </c>
      <c r="C1339" s="0" t="s">
        <v>4978</v>
      </c>
      <c r="D1339" s="0" t="s">
        <v>259</v>
      </c>
      <c r="E1339" s="0" t="s">
        <v>4979</v>
      </c>
      <c r="F1339" s="0" t="s">
        <v>4976</v>
      </c>
      <c r="G1339" s="0" t="s">
        <v>116</v>
      </c>
      <c r="H1339" s="0" t="s">
        <v>8269</v>
      </c>
      <c r="I1339" s="0" t="s">
        <v>7338</v>
      </c>
      <c r="J1339" s="0" t="s">
        <v>1602</v>
      </c>
      <c r="K1339" s="0" t="s">
        <v>7339</v>
      </c>
      <c r="L1339" s="0" t="s">
        <v>7340</v>
      </c>
      <c r="M1339" s="0" t="s">
        <v>7661</v>
      </c>
      <c r="N1339" s="0" t="s">
        <v>7342</v>
      </c>
      <c r="P1339" s="0" t="s">
        <v>229</v>
      </c>
      <c r="Q1339" s="0" t="s">
        <v>7354</v>
      </c>
      <c r="R1339" s="0" t="s">
        <v>7435</v>
      </c>
      <c r="S1339" s="0" t="s">
        <v>7344</v>
      </c>
      <c r="T1339" s="0" t="s">
        <v>260</v>
      </c>
      <c r="V1339" s="0" t="s">
        <v>61</v>
      </c>
      <c r="W1339" s="0" t="s">
        <v>63</v>
      </c>
      <c r="X1339" s="0" t="s">
        <v>7355</v>
      </c>
      <c r="Y1339" s="0" t="s">
        <v>7459</v>
      </c>
      <c r="Z1339" s="0" t="s">
        <v>8270</v>
      </c>
      <c r="AA1339" s="0" t="s">
        <v>7438</v>
      </c>
      <c r="AB1339" s="0" t="s">
        <v>231</v>
      </c>
      <c r="AC1339" s="0" t="s">
        <v>7349</v>
      </c>
      <c r="AD1339" s="0" t="s">
        <v>8271</v>
      </c>
      <c r="AE1339" s="0" t="s">
        <v>8085</v>
      </c>
      <c r="AF1339" s="0" t="s">
        <v>7374</v>
      </c>
      <c r="AG1339" s="0" t="s">
        <v>230</v>
      </c>
    </row>
    <row r="1340" customFormat="false" ht="15" hidden="false" customHeight="false" outlineLevel="0" collapsed="false">
      <c r="A1340" s="0" t="s">
        <v>7336</v>
      </c>
      <c r="B1340" s="0" t="s">
        <v>4980</v>
      </c>
      <c r="C1340" s="0" t="s">
        <v>4981</v>
      </c>
      <c r="D1340" s="0" t="s">
        <v>259</v>
      </c>
      <c r="E1340" s="0" t="s">
        <v>4982</v>
      </c>
      <c r="F1340" s="0" t="s">
        <v>4976</v>
      </c>
      <c r="G1340" s="0" t="s">
        <v>116</v>
      </c>
      <c r="H1340" s="0" t="s">
        <v>8269</v>
      </c>
      <c r="I1340" s="0" t="s">
        <v>7338</v>
      </c>
      <c r="J1340" s="0" t="s">
        <v>1602</v>
      </c>
      <c r="K1340" s="0" t="s">
        <v>7339</v>
      </c>
      <c r="L1340" s="0" t="s">
        <v>7340</v>
      </c>
      <c r="M1340" s="0" t="s">
        <v>7661</v>
      </c>
      <c r="N1340" s="0" t="s">
        <v>7342</v>
      </c>
      <c r="P1340" s="0" t="s">
        <v>229</v>
      </c>
      <c r="Q1340" s="0" t="s">
        <v>7354</v>
      </c>
      <c r="R1340" s="0" t="s">
        <v>7435</v>
      </c>
      <c r="S1340" s="0" t="s">
        <v>7344</v>
      </c>
      <c r="T1340" s="0" t="s">
        <v>260</v>
      </c>
      <c r="V1340" s="0" t="s">
        <v>61</v>
      </c>
      <c r="W1340" s="0" t="s">
        <v>63</v>
      </c>
      <c r="X1340" s="0" t="s">
        <v>7355</v>
      </c>
      <c r="Y1340" s="0" t="s">
        <v>7436</v>
      </c>
      <c r="Z1340" s="0" t="s">
        <v>8088</v>
      </c>
      <c r="AA1340" s="0" t="s">
        <v>8272</v>
      </c>
      <c r="AB1340" s="0" t="s">
        <v>4254</v>
      </c>
      <c r="AC1340" s="0" t="s">
        <v>7349</v>
      </c>
      <c r="AD1340" s="0" t="s">
        <v>8273</v>
      </c>
      <c r="AE1340" s="0" t="s">
        <v>8172</v>
      </c>
      <c r="AF1340" s="0" t="s">
        <v>7374</v>
      </c>
      <c r="AG1340" s="0" t="s">
        <v>230</v>
      </c>
    </row>
    <row r="1341" customFormat="false" ht="15" hidden="false" customHeight="false" outlineLevel="0" collapsed="false">
      <c r="A1341" s="0" t="s">
        <v>7336</v>
      </c>
      <c r="B1341" s="0" t="s">
        <v>4983</v>
      </c>
      <c r="C1341" s="0" t="s">
        <v>4984</v>
      </c>
      <c r="D1341" s="0" t="s">
        <v>259</v>
      </c>
      <c r="E1341" s="0" t="s">
        <v>4985</v>
      </c>
      <c r="F1341" s="0" t="s">
        <v>4976</v>
      </c>
      <c r="G1341" s="0" t="s">
        <v>116</v>
      </c>
      <c r="H1341" s="0" t="s">
        <v>8269</v>
      </c>
      <c r="I1341" s="0" t="s">
        <v>7338</v>
      </c>
      <c r="J1341" s="0" t="s">
        <v>1602</v>
      </c>
      <c r="K1341" s="0" t="s">
        <v>7339</v>
      </c>
      <c r="L1341" s="0" t="s">
        <v>7340</v>
      </c>
      <c r="M1341" s="0" t="s">
        <v>7661</v>
      </c>
      <c r="N1341" s="0" t="s">
        <v>7342</v>
      </c>
      <c r="P1341" s="0" t="s">
        <v>229</v>
      </c>
      <c r="Q1341" s="0" t="s">
        <v>7354</v>
      </c>
      <c r="R1341" s="0" t="s">
        <v>7435</v>
      </c>
      <c r="S1341" s="0" t="s">
        <v>7344</v>
      </c>
      <c r="T1341" s="0" t="s">
        <v>260</v>
      </c>
      <c r="V1341" s="0" t="s">
        <v>61</v>
      </c>
      <c r="W1341" s="0" t="s">
        <v>63</v>
      </c>
      <c r="X1341" s="0" t="s">
        <v>7355</v>
      </c>
      <c r="Y1341" s="0" t="s">
        <v>7436</v>
      </c>
      <c r="Z1341" s="0" t="s">
        <v>8088</v>
      </c>
      <c r="AA1341" s="0" t="s">
        <v>8272</v>
      </c>
      <c r="AB1341" s="0" t="s">
        <v>4254</v>
      </c>
      <c r="AC1341" s="0" t="s">
        <v>7349</v>
      </c>
      <c r="AD1341" s="0" t="s">
        <v>8273</v>
      </c>
      <c r="AE1341" s="0" t="s">
        <v>8172</v>
      </c>
      <c r="AF1341" s="0" t="s">
        <v>7374</v>
      </c>
      <c r="AG1341" s="0" t="s">
        <v>230</v>
      </c>
    </row>
    <row r="1342" customFormat="false" ht="15" hidden="false" customHeight="false" outlineLevel="0" collapsed="false">
      <c r="A1342" s="0" t="s">
        <v>7336</v>
      </c>
      <c r="B1342" s="0" t="s">
        <v>4986</v>
      </c>
      <c r="C1342" s="0" t="s">
        <v>4987</v>
      </c>
      <c r="D1342" s="0" t="s">
        <v>259</v>
      </c>
      <c r="E1342" s="0" t="s">
        <v>4988</v>
      </c>
      <c r="F1342" s="0" t="s">
        <v>4989</v>
      </c>
      <c r="G1342" s="0" t="s">
        <v>116</v>
      </c>
      <c r="H1342" s="0" t="s">
        <v>8274</v>
      </c>
      <c r="I1342" s="0" t="s">
        <v>7338</v>
      </c>
      <c r="J1342" s="0" t="s">
        <v>1602</v>
      </c>
      <c r="K1342" s="0" t="s">
        <v>7339</v>
      </c>
      <c r="L1342" s="0" t="s">
        <v>7340</v>
      </c>
      <c r="M1342" s="0" t="s">
        <v>7661</v>
      </c>
      <c r="N1342" s="0" t="s">
        <v>7342</v>
      </c>
      <c r="P1342" s="0" t="s">
        <v>229</v>
      </c>
      <c r="Q1342" s="0" t="s">
        <v>7354</v>
      </c>
      <c r="R1342" s="0" t="s">
        <v>7435</v>
      </c>
      <c r="S1342" s="0" t="s">
        <v>7344</v>
      </c>
      <c r="T1342" s="0" t="s">
        <v>260</v>
      </c>
      <c r="V1342" s="0" t="s">
        <v>61</v>
      </c>
      <c r="W1342" s="0" t="s">
        <v>63</v>
      </c>
      <c r="X1342" s="0" t="s">
        <v>7355</v>
      </c>
      <c r="Y1342" s="0" t="s">
        <v>7459</v>
      </c>
      <c r="Z1342" s="0" t="s">
        <v>7460</v>
      </c>
      <c r="AA1342" s="0" t="s">
        <v>7438</v>
      </c>
      <c r="AB1342" s="0" t="s">
        <v>231</v>
      </c>
      <c r="AC1342" s="0" t="s">
        <v>7349</v>
      </c>
      <c r="AD1342" s="0" t="s">
        <v>7461</v>
      </c>
      <c r="AE1342" s="0" t="s">
        <v>7462</v>
      </c>
      <c r="AF1342" s="0" t="s">
        <v>7374</v>
      </c>
      <c r="AG1342" s="0" t="s">
        <v>230</v>
      </c>
    </row>
    <row r="1343" customFormat="false" ht="15" hidden="false" customHeight="false" outlineLevel="0" collapsed="false">
      <c r="A1343" s="0" t="s">
        <v>7336</v>
      </c>
      <c r="B1343" s="0" t="s">
        <v>4990</v>
      </c>
      <c r="C1343" s="0" t="s">
        <v>4991</v>
      </c>
      <c r="D1343" s="0" t="s">
        <v>259</v>
      </c>
      <c r="E1343" s="0" t="s">
        <v>4992</v>
      </c>
      <c r="F1343" s="0" t="s">
        <v>4989</v>
      </c>
      <c r="G1343" s="0" t="s">
        <v>116</v>
      </c>
      <c r="H1343" s="0" t="s">
        <v>8274</v>
      </c>
      <c r="I1343" s="0" t="s">
        <v>7338</v>
      </c>
      <c r="J1343" s="0" t="s">
        <v>1602</v>
      </c>
      <c r="K1343" s="0" t="s">
        <v>7339</v>
      </c>
      <c r="L1343" s="0" t="s">
        <v>7340</v>
      </c>
      <c r="M1343" s="0" t="s">
        <v>7661</v>
      </c>
      <c r="N1343" s="0" t="s">
        <v>7342</v>
      </c>
      <c r="P1343" s="0" t="s">
        <v>229</v>
      </c>
      <c r="Q1343" s="0" t="s">
        <v>7354</v>
      </c>
      <c r="R1343" s="0" t="s">
        <v>7435</v>
      </c>
      <c r="S1343" s="0" t="s">
        <v>7344</v>
      </c>
      <c r="T1343" s="0" t="s">
        <v>260</v>
      </c>
      <c r="V1343" s="0" t="s">
        <v>61</v>
      </c>
      <c r="W1343" s="0" t="s">
        <v>63</v>
      </c>
      <c r="X1343" s="0" t="s">
        <v>7355</v>
      </c>
      <c r="Y1343" s="0" t="s">
        <v>7459</v>
      </c>
      <c r="Z1343" s="0" t="s">
        <v>7460</v>
      </c>
      <c r="AA1343" s="0" t="s">
        <v>7438</v>
      </c>
      <c r="AB1343" s="0" t="s">
        <v>231</v>
      </c>
      <c r="AC1343" s="0" t="s">
        <v>7349</v>
      </c>
      <c r="AD1343" s="0" t="s">
        <v>7461</v>
      </c>
      <c r="AE1343" s="0" t="s">
        <v>7462</v>
      </c>
      <c r="AF1343" s="0" t="s">
        <v>7374</v>
      </c>
      <c r="AG1343" s="0" t="s">
        <v>230</v>
      </c>
    </row>
    <row r="1344" customFormat="false" ht="15" hidden="false" customHeight="false" outlineLevel="0" collapsed="false">
      <c r="A1344" s="0" t="s">
        <v>7336</v>
      </c>
      <c r="B1344" s="0" t="s">
        <v>4993</v>
      </c>
      <c r="C1344" s="0" t="s">
        <v>4994</v>
      </c>
      <c r="D1344" s="0" t="s">
        <v>259</v>
      </c>
      <c r="E1344" s="0" t="s">
        <v>4995</v>
      </c>
      <c r="F1344" s="0" t="s">
        <v>4996</v>
      </c>
      <c r="G1344" s="0" t="s">
        <v>116</v>
      </c>
      <c r="H1344" s="0" t="s">
        <v>8275</v>
      </c>
      <c r="I1344" s="0" t="s">
        <v>7338</v>
      </c>
      <c r="J1344" s="0" t="s">
        <v>1602</v>
      </c>
      <c r="K1344" s="0" t="s">
        <v>7339</v>
      </c>
      <c r="L1344" s="0" t="s">
        <v>7340</v>
      </c>
      <c r="M1344" s="0" t="s">
        <v>7661</v>
      </c>
      <c r="N1344" s="0" t="s">
        <v>7342</v>
      </c>
      <c r="P1344" s="0" t="s">
        <v>229</v>
      </c>
      <c r="Q1344" s="0" t="s">
        <v>7354</v>
      </c>
      <c r="R1344" s="0" t="s">
        <v>7435</v>
      </c>
      <c r="S1344" s="0" t="s">
        <v>7344</v>
      </c>
      <c r="T1344" s="0" t="s">
        <v>260</v>
      </c>
      <c r="V1344" s="0" t="s">
        <v>61</v>
      </c>
      <c r="W1344" s="0" t="s">
        <v>63</v>
      </c>
      <c r="X1344" s="0" t="s">
        <v>7355</v>
      </c>
      <c r="Y1344" s="0" t="s">
        <v>7459</v>
      </c>
      <c r="Z1344" s="0" t="s">
        <v>7460</v>
      </c>
      <c r="AA1344" s="0" t="s">
        <v>7438</v>
      </c>
      <c r="AB1344" s="0" t="s">
        <v>231</v>
      </c>
      <c r="AC1344" s="0" t="s">
        <v>7349</v>
      </c>
      <c r="AD1344" s="0" t="s">
        <v>7461</v>
      </c>
      <c r="AE1344" s="0" t="s">
        <v>7462</v>
      </c>
      <c r="AF1344" s="0" t="s">
        <v>7374</v>
      </c>
      <c r="AG1344" s="0" t="s">
        <v>230</v>
      </c>
    </row>
    <row r="1345" customFormat="false" ht="15" hidden="false" customHeight="false" outlineLevel="0" collapsed="false">
      <c r="A1345" s="0" t="s">
        <v>7336</v>
      </c>
      <c r="B1345" s="0" t="s">
        <v>4997</v>
      </c>
      <c r="C1345" s="0" t="s">
        <v>4998</v>
      </c>
      <c r="D1345" s="0" t="s">
        <v>259</v>
      </c>
      <c r="E1345" s="0" t="s">
        <v>4999</v>
      </c>
      <c r="F1345" s="0" t="s">
        <v>5000</v>
      </c>
      <c r="G1345" s="0" t="s">
        <v>116</v>
      </c>
      <c r="H1345" s="0" t="s">
        <v>8276</v>
      </c>
      <c r="I1345" s="0" t="s">
        <v>7338</v>
      </c>
      <c r="J1345" s="0" t="s">
        <v>1602</v>
      </c>
      <c r="K1345" s="0" t="s">
        <v>7339</v>
      </c>
      <c r="L1345" s="0" t="s">
        <v>7340</v>
      </c>
      <c r="M1345" s="0" t="s">
        <v>7661</v>
      </c>
      <c r="N1345" s="0" t="s">
        <v>7342</v>
      </c>
      <c r="P1345" s="0" t="s">
        <v>229</v>
      </c>
      <c r="Q1345" s="0" t="s">
        <v>7354</v>
      </c>
      <c r="R1345" s="0" t="s">
        <v>7435</v>
      </c>
      <c r="S1345" s="0" t="s">
        <v>7344</v>
      </c>
      <c r="T1345" s="0" t="s">
        <v>260</v>
      </c>
      <c r="V1345" s="0" t="s">
        <v>61</v>
      </c>
      <c r="W1345" s="0" t="s">
        <v>63</v>
      </c>
      <c r="X1345" s="0" t="s">
        <v>7355</v>
      </c>
      <c r="Y1345" s="0" t="s">
        <v>7459</v>
      </c>
      <c r="Z1345" s="0" t="s">
        <v>7460</v>
      </c>
      <c r="AA1345" s="0" t="s">
        <v>7438</v>
      </c>
      <c r="AB1345" s="0" t="s">
        <v>231</v>
      </c>
      <c r="AC1345" s="0" t="s">
        <v>7349</v>
      </c>
      <c r="AD1345" s="0" t="s">
        <v>7461</v>
      </c>
      <c r="AE1345" s="0" t="s">
        <v>7462</v>
      </c>
      <c r="AF1345" s="0" t="s">
        <v>7374</v>
      </c>
      <c r="AG1345" s="0" t="s">
        <v>230</v>
      </c>
    </row>
    <row r="1346" customFormat="false" ht="15" hidden="false" customHeight="false" outlineLevel="0" collapsed="false">
      <c r="A1346" s="0" t="s">
        <v>7336</v>
      </c>
      <c r="B1346" s="0" t="s">
        <v>5001</v>
      </c>
      <c r="C1346" s="0" t="s">
        <v>5002</v>
      </c>
      <c r="D1346" s="0" t="s">
        <v>259</v>
      </c>
      <c r="E1346" s="0" t="s">
        <v>5003</v>
      </c>
      <c r="F1346" s="0" t="s">
        <v>5000</v>
      </c>
      <c r="G1346" s="0" t="s">
        <v>116</v>
      </c>
      <c r="H1346" s="0" t="s">
        <v>8276</v>
      </c>
      <c r="I1346" s="0" t="s">
        <v>7338</v>
      </c>
      <c r="J1346" s="0" t="s">
        <v>1602</v>
      </c>
      <c r="K1346" s="0" t="s">
        <v>7339</v>
      </c>
      <c r="L1346" s="0" t="s">
        <v>7340</v>
      </c>
      <c r="M1346" s="0" t="s">
        <v>7661</v>
      </c>
      <c r="N1346" s="0" t="s">
        <v>7342</v>
      </c>
      <c r="P1346" s="0" t="s">
        <v>229</v>
      </c>
      <c r="Q1346" s="0" t="s">
        <v>7354</v>
      </c>
      <c r="R1346" s="0" t="s">
        <v>7435</v>
      </c>
      <c r="S1346" s="0" t="s">
        <v>7344</v>
      </c>
      <c r="T1346" s="0" t="s">
        <v>260</v>
      </c>
      <c r="V1346" s="0" t="s">
        <v>61</v>
      </c>
      <c r="W1346" s="0" t="s">
        <v>63</v>
      </c>
      <c r="X1346" s="0" t="s">
        <v>7355</v>
      </c>
      <c r="Y1346" s="0" t="s">
        <v>7459</v>
      </c>
      <c r="Z1346" s="0" t="s">
        <v>8270</v>
      </c>
      <c r="AA1346" s="0" t="s">
        <v>7438</v>
      </c>
      <c r="AB1346" s="0" t="s">
        <v>231</v>
      </c>
      <c r="AC1346" s="0" t="s">
        <v>7349</v>
      </c>
      <c r="AD1346" s="0" t="s">
        <v>8271</v>
      </c>
      <c r="AE1346" s="0" t="s">
        <v>8085</v>
      </c>
      <c r="AF1346" s="0" t="s">
        <v>7374</v>
      </c>
      <c r="AG1346" s="0" t="s">
        <v>230</v>
      </c>
    </row>
    <row r="1347" customFormat="false" ht="15" hidden="false" customHeight="false" outlineLevel="0" collapsed="false">
      <c r="A1347" s="0" t="s">
        <v>7336</v>
      </c>
      <c r="B1347" s="0" t="s">
        <v>5004</v>
      </c>
      <c r="C1347" s="0" t="s">
        <v>5005</v>
      </c>
      <c r="D1347" s="0" t="s">
        <v>259</v>
      </c>
      <c r="E1347" s="0" t="s">
        <v>5006</v>
      </c>
      <c r="F1347" s="0" t="s">
        <v>3188</v>
      </c>
      <c r="G1347" s="0" t="s">
        <v>116</v>
      </c>
      <c r="H1347" s="0" t="s">
        <v>7898</v>
      </c>
      <c r="I1347" s="0" t="s">
        <v>7338</v>
      </c>
      <c r="J1347" s="0" t="s">
        <v>1602</v>
      </c>
      <c r="K1347" s="0" t="s">
        <v>7339</v>
      </c>
      <c r="L1347" s="0" t="s">
        <v>7340</v>
      </c>
      <c r="M1347" s="0" t="s">
        <v>7661</v>
      </c>
      <c r="N1347" s="0" t="s">
        <v>7342</v>
      </c>
      <c r="P1347" s="0" t="s">
        <v>229</v>
      </c>
      <c r="Q1347" s="0" t="s">
        <v>7354</v>
      </c>
      <c r="R1347" s="0" t="s">
        <v>7435</v>
      </c>
      <c r="S1347" s="0" t="s">
        <v>7344</v>
      </c>
      <c r="T1347" s="0" t="s">
        <v>260</v>
      </c>
      <c r="V1347" s="0" t="s">
        <v>61</v>
      </c>
      <c r="W1347" s="0" t="s">
        <v>63</v>
      </c>
      <c r="X1347" s="0" t="s">
        <v>7355</v>
      </c>
      <c r="Y1347" s="0" t="s">
        <v>7459</v>
      </c>
      <c r="Z1347" s="0" t="s">
        <v>7460</v>
      </c>
      <c r="AA1347" s="0" t="s">
        <v>7438</v>
      </c>
      <c r="AB1347" s="0" t="s">
        <v>231</v>
      </c>
      <c r="AC1347" s="0" t="s">
        <v>7349</v>
      </c>
      <c r="AD1347" s="0" t="s">
        <v>7461</v>
      </c>
      <c r="AE1347" s="0" t="s">
        <v>7462</v>
      </c>
      <c r="AF1347" s="0" t="s">
        <v>7374</v>
      </c>
      <c r="AG1347" s="0" t="s">
        <v>230</v>
      </c>
    </row>
    <row r="1348" customFormat="false" ht="15" hidden="false" customHeight="false" outlineLevel="0" collapsed="false">
      <c r="A1348" s="0" t="s">
        <v>7336</v>
      </c>
      <c r="B1348" s="0" t="s">
        <v>5007</v>
      </c>
      <c r="C1348" s="0" t="s">
        <v>5008</v>
      </c>
      <c r="D1348" s="0" t="s">
        <v>259</v>
      </c>
      <c r="E1348" s="0" t="s">
        <v>5009</v>
      </c>
      <c r="F1348" s="0" t="s">
        <v>5010</v>
      </c>
      <c r="G1348" s="0" t="s">
        <v>116</v>
      </c>
      <c r="H1348" s="0" t="s">
        <v>8277</v>
      </c>
      <c r="I1348" s="0" t="s">
        <v>7338</v>
      </c>
      <c r="J1348" s="0" t="s">
        <v>1602</v>
      </c>
      <c r="K1348" s="0" t="s">
        <v>7339</v>
      </c>
      <c r="L1348" s="0" t="s">
        <v>7340</v>
      </c>
      <c r="M1348" s="0" t="s">
        <v>7661</v>
      </c>
      <c r="N1348" s="0" t="s">
        <v>7342</v>
      </c>
      <c r="P1348" s="0" t="s">
        <v>229</v>
      </c>
      <c r="Q1348" s="0" t="s">
        <v>7354</v>
      </c>
      <c r="R1348" s="0" t="s">
        <v>7435</v>
      </c>
      <c r="S1348" s="0" t="s">
        <v>7344</v>
      </c>
      <c r="T1348" s="0" t="s">
        <v>260</v>
      </c>
      <c r="V1348" s="0" t="s">
        <v>61</v>
      </c>
      <c r="W1348" s="0" t="s">
        <v>63</v>
      </c>
      <c r="X1348" s="0" t="s">
        <v>7355</v>
      </c>
      <c r="Y1348" s="0" t="s">
        <v>7459</v>
      </c>
      <c r="Z1348" s="0" t="s">
        <v>7460</v>
      </c>
      <c r="AA1348" s="0" t="s">
        <v>7438</v>
      </c>
      <c r="AB1348" s="0" t="s">
        <v>231</v>
      </c>
      <c r="AC1348" s="0" t="s">
        <v>7349</v>
      </c>
      <c r="AD1348" s="0" t="s">
        <v>7461</v>
      </c>
      <c r="AE1348" s="0" t="s">
        <v>7462</v>
      </c>
      <c r="AF1348" s="0" t="s">
        <v>7374</v>
      </c>
      <c r="AG1348" s="0" t="s">
        <v>230</v>
      </c>
    </row>
    <row r="1349" customFormat="false" ht="15" hidden="false" customHeight="false" outlineLevel="0" collapsed="false">
      <c r="A1349" s="0" t="s">
        <v>7336</v>
      </c>
      <c r="B1349" s="0" t="s">
        <v>5011</v>
      </c>
      <c r="C1349" s="0" t="s">
        <v>5012</v>
      </c>
      <c r="D1349" s="0" t="s">
        <v>259</v>
      </c>
      <c r="E1349" s="0" t="s">
        <v>5013</v>
      </c>
      <c r="F1349" s="0" t="s">
        <v>5014</v>
      </c>
      <c r="G1349" s="0" t="s">
        <v>116</v>
      </c>
      <c r="H1349" s="0" t="s">
        <v>8278</v>
      </c>
      <c r="I1349" s="0" t="s">
        <v>7338</v>
      </c>
      <c r="J1349" s="0" t="s">
        <v>1602</v>
      </c>
      <c r="K1349" s="0" t="s">
        <v>7339</v>
      </c>
      <c r="L1349" s="0" t="s">
        <v>7340</v>
      </c>
      <c r="M1349" s="0" t="s">
        <v>7661</v>
      </c>
      <c r="N1349" s="0" t="s">
        <v>7342</v>
      </c>
      <c r="P1349" s="0" t="s">
        <v>229</v>
      </c>
      <c r="Q1349" s="0" t="s">
        <v>7354</v>
      </c>
      <c r="R1349" s="0" t="s">
        <v>7435</v>
      </c>
      <c r="S1349" s="0" t="s">
        <v>7344</v>
      </c>
      <c r="T1349" s="0" t="s">
        <v>260</v>
      </c>
      <c r="V1349" s="0" t="s">
        <v>61</v>
      </c>
      <c r="W1349" s="0" t="s">
        <v>63</v>
      </c>
      <c r="X1349" s="0" t="s">
        <v>7355</v>
      </c>
      <c r="Y1349" s="0" t="s">
        <v>7459</v>
      </c>
      <c r="Z1349" s="0" t="s">
        <v>7460</v>
      </c>
      <c r="AA1349" s="0" t="s">
        <v>7438</v>
      </c>
      <c r="AB1349" s="0" t="s">
        <v>231</v>
      </c>
      <c r="AC1349" s="0" t="s">
        <v>7349</v>
      </c>
      <c r="AD1349" s="0" t="s">
        <v>7461</v>
      </c>
      <c r="AE1349" s="0" t="s">
        <v>7462</v>
      </c>
      <c r="AF1349" s="0" t="s">
        <v>7374</v>
      </c>
      <c r="AG1349" s="0" t="s">
        <v>230</v>
      </c>
    </row>
    <row r="1350" customFormat="false" ht="15" hidden="false" customHeight="false" outlineLevel="0" collapsed="false">
      <c r="A1350" s="0" t="s">
        <v>7336</v>
      </c>
      <c r="B1350" s="0" t="s">
        <v>5015</v>
      </c>
      <c r="C1350" s="0" t="s">
        <v>5016</v>
      </c>
      <c r="D1350" s="0" t="s">
        <v>259</v>
      </c>
      <c r="E1350" s="0" t="s">
        <v>5017</v>
      </c>
      <c r="F1350" s="0" t="s">
        <v>5018</v>
      </c>
      <c r="G1350" s="0" t="s">
        <v>116</v>
      </c>
      <c r="H1350" s="0" t="s">
        <v>8279</v>
      </c>
      <c r="I1350" s="0" t="s">
        <v>7338</v>
      </c>
      <c r="J1350" s="0" t="s">
        <v>1602</v>
      </c>
      <c r="K1350" s="0" t="s">
        <v>7339</v>
      </c>
      <c r="L1350" s="0" t="s">
        <v>7340</v>
      </c>
      <c r="M1350" s="0" t="s">
        <v>7661</v>
      </c>
      <c r="N1350" s="0" t="s">
        <v>7342</v>
      </c>
      <c r="P1350" s="0" t="s">
        <v>229</v>
      </c>
      <c r="Q1350" s="0" t="s">
        <v>7354</v>
      </c>
      <c r="R1350" s="0" t="s">
        <v>7435</v>
      </c>
      <c r="S1350" s="0" t="s">
        <v>7344</v>
      </c>
      <c r="T1350" s="0" t="s">
        <v>260</v>
      </c>
      <c r="V1350" s="0" t="s">
        <v>61</v>
      </c>
      <c r="W1350" s="0" t="s">
        <v>63</v>
      </c>
      <c r="X1350" s="0" t="s">
        <v>7355</v>
      </c>
      <c r="Y1350" s="0" t="s">
        <v>7459</v>
      </c>
      <c r="Z1350" s="0" t="s">
        <v>7460</v>
      </c>
      <c r="AA1350" s="0" t="s">
        <v>7438</v>
      </c>
      <c r="AB1350" s="0" t="s">
        <v>231</v>
      </c>
      <c r="AC1350" s="0" t="s">
        <v>7349</v>
      </c>
      <c r="AD1350" s="0" t="s">
        <v>7461</v>
      </c>
      <c r="AE1350" s="0" t="s">
        <v>7462</v>
      </c>
      <c r="AF1350" s="0" t="s">
        <v>7374</v>
      </c>
      <c r="AG1350" s="0" t="s">
        <v>230</v>
      </c>
    </row>
    <row r="1351" customFormat="false" ht="15" hidden="false" customHeight="false" outlineLevel="0" collapsed="false">
      <c r="A1351" s="0" t="s">
        <v>7336</v>
      </c>
      <c r="B1351" s="0" t="s">
        <v>5019</v>
      </c>
      <c r="C1351" s="0" t="s">
        <v>5020</v>
      </c>
      <c r="D1351" s="0" t="s">
        <v>259</v>
      </c>
      <c r="E1351" s="0" t="s">
        <v>5021</v>
      </c>
      <c r="F1351" s="0" t="s">
        <v>5022</v>
      </c>
      <c r="G1351" s="0" t="s">
        <v>116</v>
      </c>
      <c r="H1351" s="0" t="s">
        <v>8280</v>
      </c>
      <c r="I1351" s="0" t="s">
        <v>7338</v>
      </c>
      <c r="J1351" s="0" t="s">
        <v>1602</v>
      </c>
      <c r="K1351" s="0" t="s">
        <v>7339</v>
      </c>
      <c r="L1351" s="0" t="s">
        <v>7340</v>
      </c>
      <c r="M1351" s="0" t="s">
        <v>7661</v>
      </c>
      <c r="N1351" s="0" t="s">
        <v>7342</v>
      </c>
      <c r="P1351" s="0" t="s">
        <v>229</v>
      </c>
      <c r="Q1351" s="0" t="s">
        <v>7354</v>
      </c>
      <c r="R1351" s="0" t="s">
        <v>7435</v>
      </c>
      <c r="S1351" s="0" t="s">
        <v>7344</v>
      </c>
      <c r="T1351" s="0" t="s">
        <v>260</v>
      </c>
      <c r="V1351" s="0" t="s">
        <v>61</v>
      </c>
      <c r="W1351" s="0" t="s">
        <v>63</v>
      </c>
      <c r="X1351" s="0" t="s">
        <v>7355</v>
      </c>
      <c r="Y1351" s="0" t="s">
        <v>7459</v>
      </c>
      <c r="Z1351" s="0" t="s">
        <v>7460</v>
      </c>
      <c r="AA1351" s="0" t="s">
        <v>7438</v>
      </c>
      <c r="AB1351" s="0" t="s">
        <v>231</v>
      </c>
      <c r="AC1351" s="0" t="s">
        <v>7349</v>
      </c>
      <c r="AD1351" s="0" t="s">
        <v>7461</v>
      </c>
      <c r="AE1351" s="0" t="s">
        <v>7462</v>
      </c>
      <c r="AF1351" s="0" t="s">
        <v>7374</v>
      </c>
      <c r="AG1351" s="0" t="s">
        <v>230</v>
      </c>
    </row>
    <row r="1352" customFormat="false" ht="15" hidden="false" customHeight="false" outlineLevel="0" collapsed="false">
      <c r="A1352" s="0" t="s">
        <v>7336</v>
      </c>
      <c r="B1352" s="0" t="s">
        <v>5023</v>
      </c>
      <c r="C1352" s="0" t="s">
        <v>5024</v>
      </c>
      <c r="D1352" s="0" t="s">
        <v>259</v>
      </c>
      <c r="E1352" s="0" t="s">
        <v>5025</v>
      </c>
      <c r="F1352" s="0" t="s">
        <v>5026</v>
      </c>
      <c r="G1352" s="0" t="s">
        <v>116</v>
      </c>
      <c r="H1352" s="0" t="s">
        <v>8281</v>
      </c>
      <c r="I1352" s="0" t="s">
        <v>7338</v>
      </c>
      <c r="J1352" s="0" t="s">
        <v>1602</v>
      </c>
      <c r="K1352" s="0" t="s">
        <v>7339</v>
      </c>
      <c r="L1352" s="0" t="s">
        <v>7340</v>
      </c>
      <c r="M1352" s="0" t="s">
        <v>7661</v>
      </c>
      <c r="N1352" s="0" t="s">
        <v>7342</v>
      </c>
      <c r="P1352" s="0" t="s">
        <v>229</v>
      </c>
      <c r="Q1352" s="0" t="s">
        <v>7354</v>
      </c>
      <c r="R1352" s="0" t="s">
        <v>7435</v>
      </c>
      <c r="S1352" s="0" t="s">
        <v>7344</v>
      </c>
      <c r="T1352" s="0" t="s">
        <v>260</v>
      </c>
      <c r="V1352" s="0" t="s">
        <v>61</v>
      </c>
      <c r="W1352" s="0" t="s">
        <v>63</v>
      </c>
      <c r="X1352" s="0" t="s">
        <v>7355</v>
      </c>
      <c r="Y1352" s="0" t="s">
        <v>7459</v>
      </c>
      <c r="Z1352" s="0" t="s">
        <v>7460</v>
      </c>
      <c r="AA1352" s="0" t="s">
        <v>7438</v>
      </c>
      <c r="AB1352" s="0" t="s">
        <v>231</v>
      </c>
      <c r="AC1352" s="0" t="s">
        <v>7349</v>
      </c>
      <c r="AD1352" s="0" t="s">
        <v>7461</v>
      </c>
      <c r="AE1352" s="0" t="s">
        <v>7462</v>
      </c>
      <c r="AF1352" s="0" t="s">
        <v>7374</v>
      </c>
      <c r="AG1352" s="0" t="s">
        <v>230</v>
      </c>
    </row>
    <row r="1353" customFormat="false" ht="15" hidden="false" customHeight="false" outlineLevel="0" collapsed="false">
      <c r="A1353" s="0" t="s">
        <v>7336</v>
      </c>
      <c r="B1353" s="0" t="s">
        <v>5027</v>
      </c>
      <c r="C1353" s="0" t="s">
        <v>5028</v>
      </c>
      <c r="D1353" s="0" t="s">
        <v>1184</v>
      </c>
      <c r="E1353" s="0" t="s">
        <v>5029</v>
      </c>
      <c r="F1353" s="0" t="s">
        <v>5030</v>
      </c>
      <c r="G1353" s="0" t="s">
        <v>124</v>
      </c>
      <c r="H1353" s="0" t="s">
        <v>8282</v>
      </c>
      <c r="I1353" s="0" t="s">
        <v>7338</v>
      </c>
      <c r="J1353" s="0" t="s">
        <v>1602</v>
      </c>
      <c r="K1353" s="0" t="s">
        <v>7339</v>
      </c>
      <c r="L1353" s="0" t="s">
        <v>7340</v>
      </c>
      <c r="M1353" s="0" t="s">
        <v>7661</v>
      </c>
      <c r="N1353" s="0" t="s">
        <v>7342</v>
      </c>
      <c r="P1353" s="0" t="s">
        <v>229</v>
      </c>
      <c r="Q1353" s="0" t="s">
        <v>7354</v>
      </c>
      <c r="R1353" s="0" t="s">
        <v>7435</v>
      </c>
      <c r="S1353" s="0" t="s">
        <v>7344</v>
      </c>
      <c r="T1353" s="0" t="s">
        <v>228</v>
      </c>
      <c r="V1353" s="0" t="s">
        <v>61</v>
      </c>
      <c r="W1353" s="0" t="s">
        <v>63</v>
      </c>
      <c r="X1353" s="0" t="s">
        <v>7355</v>
      </c>
      <c r="Y1353" s="0" t="s">
        <v>7459</v>
      </c>
      <c r="Z1353" s="0" t="s">
        <v>8083</v>
      </c>
      <c r="AA1353" s="0" t="s">
        <v>7592</v>
      </c>
      <c r="AB1353" s="0" t="s">
        <v>344</v>
      </c>
      <c r="AC1353" s="0" t="s">
        <v>7349</v>
      </c>
      <c r="AD1353" s="0" t="s">
        <v>8096</v>
      </c>
      <c r="AE1353" s="0" t="s">
        <v>7462</v>
      </c>
      <c r="AF1353" s="0" t="s">
        <v>7374</v>
      </c>
      <c r="AG1353" s="0" t="s">
        <v>230</v>
      </c>
    </row>
    <row r="1354" customFormat="false" ht="15" hidden="false" customHeight="false" outlineLevel="0" collapsed="false">
      <c r="A1354" s="0" t="s">
        <v>7336</v>
      </c>
      <c r="B1354" s="0" t="s">
        <v>5031</v>
      </c>
      <c r="C1354" s="0" t="s">
        <v>5032</v>
      </c>
      <c r="D1354" s="0" t="s">
        <v>227</v>
      </c>
      <c r="E1354" s="0" t="s">
        <v>5033</v>
      </c>
      <c r="F1354" s="0" t="s">
        <v>2183</v>
      </c>
      <c r="G1354" s="0" t="s">
        <v>178</v>
      </c>
      <c r="H1354" s="0" t="s">
        <v>7740</v>
      </c>
      <c r="I1354" s="0" t="s">
        <v>7338</v>
      </c>
      <c r="J1354" s="0" t="s">
        <v>1602</v>
      </c>
      <c r="K1354" s="0" t="s">
        <v>7339</v>
      </c>
      <c r="L1354" s="0" t="s">
        <v>7340</v>
      </c>
      <c r="M1354" s="0" t="s">
        <v>7661</v>
      </c>
      <c r="N1354" s="0" t="s">
        <v>7342</v>
      </c>
      <c r="P1354" s="0" t="s">
        <v>229</v>
      </c>
      <c r="Q1354" s="0" t="s">
        <v>7354</v>
      </c>
      <c r="R1354" s="0" t="s">
        <v>7343</v>
      </c>
      <c r="S1354" s="0" t="s">
        <v>7344</v>
      </c>
      <c r="T1354" s="0" t="s">
        <v>681</v>
      </c>
      <c r="V1354" s="0" t="s">
        <v>34</v>
      </c>
      <c r="W1354" s="0" t="s">
        <v>40</v>
      </c>
      <c r="X1354" s="0" t="s">
        <v>7355</v>
      </c>
      <c r="Y1354" s="0" t="s">
        <v>7686</v>
      </c>
      <c r="Z1354" s="0" t="s">
        <v>7355</v>
      </c>
      <c r="AA1354" s="0" t="s">
        <v>7687</v>
      </c>
      <c r="AC1354" s="0" t="s">
        <v>7629</v>
      </c>
      <c r="AD1354" s="0" t="s">
        <v>7688</v>
      </c>
      <c r="AE1354" s="0" t="s">
        <v>7360</v>
      </c>
      <c r="AF1354" s="0" t="s">
        <v>7361</v>
      </c>
      <c r="AG1354" s="0" t="s">
        <v>230</v>
      </c>
    </row>
    <row r="1355" customFormat="false" ht="15" hidden="false" customHeight="false" outlineLevel="0" collapsed="false">
      <c r="A1355" s="0" t="s">
        <v>7336</v>
      </c>
      <c r="B1355" s="0" t="s">
        <v>5034</v>
      </c>
      <c r="C1355" s="0" t="s">
        <v>5035</v>
      </c>
      <c r="D1355" s="0" t="s">
        <v>227</v>
      </c>
      <c r="E1355" s="0" t="s">
        <v>5036</v>
      </c>
      <c r="F1355" s="0" t="s">
        <v>2162</v>
      </c>
      <c r="G1355" s="0" t="s">
        <v>138</v>
      </c>
      <c r="H1355" s="0" t="s">
        <v>7735</v>
      </c>
      <c r="I1355" s="0" t="s">
        <v>7338</v>
      </c>
      <c r="J1355" s="0" t="s">
        <v>1602</v>
      </c>
      <c r="K1355" s="0" t="s">
        <v>7339</v>
      </c>
      <c r="L1355" s="0" t="s">
        <v>7340</v>
      </c>
      <c r="M1355" s="0" t="s">
        <v>7661</v>
      </c>
      <c r="N1355" s="0" t="s">
        <v>7342</v>
      </c>
    </row>
    <row r="1356" customFormat="false" ht="15" hidden="false" customHeight="false" outlineLevel="0" collapsed="false">
      <c r="A1356" s="0" t="s">
        <v>7336</v>
      </c>
      <c r="B1356" s="0" t="s">
        <v>5037</v>
      </c>
      <c r="C1356" s="0" t="s">
        <v>5038</v>
      </c>
      <c r="D1356" s="0" t="s">
        <v>227</v>
      </c>
      <c r="E1356" s="0" t="s">
        <v>5039</v>
      </c>
      <c r="F1356" s="0" t="s">
        <v>2166</v>
      </c>
      <c r="G1356" s="0" t="s">
        <v>138</v>
      </c>
      <c r="H1356" s="0" t="s">
        <v>7736</v>
      </c>
      <c r="I1356" s="0" t="s">
        <v>7338</v>
      </c>
      <c r="J1356" s="0" t="s">
        <v>1602</v>
      </c>
      <c r="K1356" s="0" t="s">
        <v>7339</v>
      </c>
      <c r="L1356" s="0" t="s">
        <v>7340</v>
      </c>
      <c r="M1356" s="0" t="s">
        <v>7661</v>
      </c>
      <c r="N1356" s="0" t="s">
        <v>7342</v>
      </c>
    </row>
    <row r="1357" customFormat="false" ht="15" hidden="false" customHeight="false" outlineLevel="0" collapsed="false">
      <c r="A1357" s="0" t="s">
        <v>7336</v>
      </c>
      <c r="B1357" s="0" t="s">
        <v>5040</v>
      </c>
      <c r="C1357" s="0" t="s">
        <v>5041</v>
      </c>
      <c r="D1357" s="0" t="s">
        <v>227</v>
      </c>
      <c r="E1357" s="0" t="s">
        <v>5042</v>
      </c>
      <c r="F1357" s="0" t="s">
        <v>2170</v>
      </c>
      <c r="G1357" s="0" t="s">
        <v>170</v>
      </c>
      <c r="H1357" s="0" t="s">
        <v>7737</v>
      </c>
      <c r="I1357" s="0" t="s">
        <v>7338</v>
      </c>
      <c r="J1357" s="0" t="s">
        <v>1602</v>
      </c>
      <c r="K1357" s="0" t="s">
        <v>7339</v>
      </c>
      <c r="L1357" s="0" t="s">
        <v>7340</v>
      </c>
      <c r="M1357" s="0" t="s">
        <v>7661</v>
      </c>
      <c r="N1357" s="0" t="s">
        <v>7342</v>
      </c>
      <c r="P1357" s="0" t="s">
        <v>229</v>
      </c>
      <c r="Q1357" s="0" t="s">
        <v>7354</v>
      </c>
      <c r="R1357" s="0" t="s">
        <v>7343</v>
      </c>
      <c r="S1357" s="0" t="s">
        <v>7344</v>
      </c>
      <c r="T1357" s="0" t="s">
        <v>2231</v>
      </c>
      <c r="V1357" s="0" t="s">
        <v>34</v>
      </c>
      <c r="W1357" s="0" t="s">
        <v>40</v>
      </c>
      <c r="X1357" s="0" t="s">
        <v>7355</v>
      </c>
      <c r="Y1357" s="0" t="s">
        <v>7686</v>
      </c>
      <c r="Z1357" s="0" t="s">
        <v>7355</v>
      </c>
      <c r="AA1357" s="0" t="s">
        <v>7687</v>
      </c>
      <c r="AC1357" s="0" t="s">
        <v>7629</v>
      </c>
      <c r="AD1357" s="0" t="s">
        <v>7688</v>
      </c>
      <c r="AE1357" s="0" t="s">
        <v>7360</v>
      </c>
      <c r="AF1357" s="0" t="s">
        <v>7361</v>
      </c>
      <c r="AG1357" s="0" t="s">
        <v>230</v>
      </c>
    </row>
    <row r="1358" customFormat="false" ht="15" hidden="false" customHeight="false" outlineLevel="0" collapsed="false">
      <c r="A1358" s="0" t="s">
        <v>7336</v>
      </c>
      <c r="B1358" s="0" t="s">
        <v>5043</v>
      </c>
      <c r="C1358" s="0" t="s">
        <v>5044</v>
      </c>
      <c r="D1358" s="0" t="s">
        <v>227</v>
      </c>
      <c r="E1358" s="0" t="s">
        <v>5045</v>
      </c>
      <c r="F1358" s="0" t="s">
        <v>2175</v>
      </c>
      <c r="G1358" s="0" t="s">
        <v>170</v>
      </c>
      <c r="H1358" s="0" t="s">
        <v>7738</v>
      </c>
      <c r="I1358" s="0" t="s">
        <v>7338</v>
      </c>
      <c r="J1358" s="0" t="s">
        <v>1602</v>
      </c>
      <c r="K1358" s="0" t="s">
        <v>7339</v>
      </c>
      <c r="L1358" s="0" t="s">
        <v>7340</v>
      </c>
      <c r="M1358" s="0" t="s">
        <v>7661</v>
      </c>
      <c r="N1358" s="0" t="s">
        <v>7342</v>
      </c>
      <c r="P1358" s="0" t="s">
        <v>229</v>
      </c>
      <c r="Q1358" s="0" t="s">
        <v>7354</v>
      </c>
      <c r="R1358" s="0" t="s">
        <v>7343</v>
      </c>
      <c r="S1358" s="0" t="s">
        <v>7344</v>
      </c>
      <c r="T1358" s="0" t="s">
        <v>2231</v>
      </c>
      <c r="V1358" s="0" t="s">
        <v>34</v>
      </c>
      <c r="W1358" s="0" t="s">
        <v>40</v>
      </c>
      <c r="X1358" s="0" t="s">
        <v>7355</v>
      </c>
      <c r="Y1358" s="0" t="s">
        <v>7686</v>
      </c>
      <c r="Z1358" s="0" t="s">
        <v>7355</v>
      </c>
      <c r="AA1358" s="0" t="s">
        <v>7687</v>
      </c>
      <c r="AC1358" s="0" t="s">
        <v>7629</v>
      </c>
      <c r="AD1358" s="0" t="s">
        <v>7688</v>
      </c>
      <c r="AE1358" s="0" t="s">
        <v>7360</v>
      </c>
      <c r="AF1358" s="0" t="s">
        <v>7361</v>
      </c>
      <c r="AG1358" s="0" t="s">
        <v>230</v>
      </c>
    </row>
    <row r="1359" customFormat="false" ht="15" hidden="false" customHeight="false" outlineLevel="0" collapsed="false">
      <c r="A1359" s="0" t="s">
        <v>7336</v>
      </c>
      <c r="B1359" s="0" t="s">
        <v>5046</v>
      </c>
      <c r="C1359" s="0" t="s">
        <v>5047</v>
      </c>
      <c r="D1359" s="0" t="s">
        <v>227</v>
      </c>
      <c r="E1359" s="0" t="s">
        <v>5048</v>
      </c>
      <c r="F1359" s="0" t="s">
        <v>2179</v>
      </c>
      <c r="G1359" s="0" t="s">
        <v>178</v>
      </c>
      <c r="H1359" s="0" t="s">
        <v>7739</v>
      </c>
      <c r="I1359" s="0" t="s">
        <v>7338</v>
      </c>
      <c r="J1359" s="0" t="s">
        <v>1602</v>
      </c>
      <c r="K1359" s="0" t="s">
        <v>7339</v>
      </c>
      <c r="L1359" s="0" t="s">
        <v>7340</v>
      </c>
      <c r="M1359" s="0" t="s">
        <v>7661</v>
      </c>
      <c r="N1359" s="0" t="s">
        <v>7342</v>
      </c>
      <c r="P1359" s="0" t="s">
        <v>229</v>
      </c>
      <c r="Q1359" s="0" t="s">
        <v>7354</v>
      </c>
      <c r="R1359" s="0" t="s">
        <v>7343</v>
      </c>
      <c r="S1359" s="0" t="s">
        <v>7344</v>
      </c>
      <c r="T1359" s="0" t="s">
        <v>681</v>
      </c>
      <c r="V1359" s="0" t="s">
        <v>34</v>
      </c>
      <c r="W1359" s="0" t="s">
        <v>40</v>
      </c>
      <c r="X1359" s="0" t="s">
        <v>7355</v>
      </c>
      <c r="Y1359" s="0" t="s">
        <v>7686</v>
      </c>
      <c r="Z1359" s="0" t="s">
        <v>7355</v>
      </c>
      <c r="AA1359" s="0" t="s">
        <v>7687</v>
      </c>
      <c r="AC1359" s="0" t="s">
        <v>7629</v>
      </c>
      <c r="AD1359" s="0" t="s">
        <v>7688</v>
      </c>
      <c r="AE1359" s="0" t="s">
        <v>7360</v>
      </c>
      <c r="AF1359" s="0" t="s">
        <v>7361</v>
      </c>
      <c r="AG1359" s="0" t="s">
        <v>230</v>
      </c>
    </row>
    <row r="1360" customFormat="false" ht="15" hidden="false" customHeight="false" outlineLevel="0" collapsed="false">
      <c r="A1360" s="0" t="s">
        <v>7336</v>
      </c>
      <c r="B1360" s="0" t="s">
        <v>5049</v>
      </c>
      <c r="C1360" s="0" t="s">
        <v>5050</v>
      </c>
      <c r="D1360" s="0" t="s">
        <v>227</v>
      </c>
      <c r="E1360" s="0" t="s">
        <v>5051</v>
      </c>
      <c r="F1360" s="0" t="s">
        <v>2183</v>
      </c>
      <c r="G1360" s="0" t="s">
        <v>178</v>
      </c>
      <c r="H1360" s="0" t="s">
        <v>7740</v>
      </c>
      <c r="I1360" s="0" t="s">
        <v>7338</v>
      </c>
      <c r="J1360" s="0" t="s">
        <v>1602</v>
      </c>
      <c r="K1360" s="0" t="s">
        <v>7339</v>
      </c>
      <c r="L1360" s="0" t="s">
        <v>7340</v>
      </c>
      <c r="M1360" s="0" t="s">
        <v>7661</v>
      </c>
      <c r="N1360" s="0" t="s">
        <v>7342</v>
      </c>
      <c r="P1360" s="0" t="s">
        <v>229</v>
      </c>
      <c r="Q1360" s="0" t="s">
        <v>7354</v>
      </c>
      <c r="R1360" s="0" t="s">
        <v>7343</v>
      </c>
      <c r="S1360" s="0" t="s">
        <v>7344</v>
      </c>
      <c r="T1360" s="0" t="s">
        <v>2231</v>
      </c>
      <c r="V1360" s="0" t="s">
        <v>34</v>
      </c>
      <c r="W1360" s="0" t="s">
        <v>40</v>
      </c>
      <c r="X1360" s="0" t="s">
        <v>7355</v>
      </c>
      <c r="Y1360" s="0" t="s">
        <v>7686</v>
      </c>
      <c r="Z1360" s="0" t="s">
        <v>7355</v>
      </c>
      <c r="AA1360" s="0" t="s">
        <v>7687</v>
      </c>
      <c r="AC1360" s="0" t="s">
        <v>7629</v>
      </c>
      <c r="AD1360" s="0" t="s">
        <v>7688</v>
      </c>
      <c r="AE1360" s="0" t="s">
        <v>7360</v>
      </c>
      <c r="AF1360" s="0" t="s">
        <v>7361</v>
      </c>
      <c r="AG1360" s="0" t="s">
        <v>230</v>
      </c>
    </row>
    <row r="1361" customFormat="false" ht="15" hidden="false" customHeight="false" outlineLevel="0" collapsed="false">
      <c r="A1361" s="0" t="s">
        <v>7336</v>
      </c>
      <c r="B1361" s="0" t="s">
        <v>5052</v>
      </c>
      <c r="C1361" s="0" t="s">
        <v>5053</v>
      </c>
      <c r="D1361" s="0" t="s">
        <v>227</v>
      </c>
      <c r="E1361" s="0" t="s">
        <v>5054</v>
      </c>
      <c r="F1361" s="0" t="s">
        <v>2337</v>
      </c>
      <c r="G1361" s="0" t="s">
        <v>184</v>
      </c>
      <c r="H1361" s="0" t="s">
        <v>7773</v>
      </c>
      <c r="I1361" s="0" t="s">
        <v>7338</v>
      </c>
      <c r="J1361" s="0" t="s">
        <v>1602</v>
      </c>
      <c r="K1361" s="0" t="s">
        <v>7339</v>
      </c>
      <c r="L1361" s="0" t="s">
        <v>7340</v>
      </c>
      <c r="M1361" s="0" t="s">
        <v>7661</v>
      </c>
      <c r="N1361" s="0" t="s">
        <v>7342</v>
      </c>
      <c r="P1361" s="0" t="s">
        <v>229</v>
      </c>
      <c r="Q1361" s="0" t="s">
        <v>7354</v>
      </c>
      <c r="R1361" s="0" t="s">
        <v>7343</v>
      </c>
      <c r="S1361" s="0" t="s">
        <v>7344</v>
      </c>
      <c r="T1361" s="0" t="s">
        <v>228</v>
      </c>
      <c r="V1361" s="0" t="s">
        <v>34</v>
      </c>
      <c r="W1361" s="0" t="s">
        <v>50</v>
      </c>
      <c r="X1361" s="0" t="s">
        <v>7355</v>
      </c>
      <c r="Z1361" s="0" t="s">
        <v>7662</v>
      </c>
      <c r="AB1361" s="0" t="s">
        <v>1663</v>
      </c>
      <c r="AC1361" s="0" t="s">
        <v>7629</v>
      </c>
      <c r="AD1361" s="0" t="s">
        <v>7665</v>
      </c>
      <c r="AE1361" s="0" t="s">
        <v>7360</v>
      </c>
      <c r="AF1361" s="0" t="s">
        <v>7361</v>
      </c>
      <c r="AG1361" s="0" t="s">
        <v>230</v>
      </c>
    </row>
    <row r="1362" customFormat="false" ht="15" hidden="false" customHeight="false" outlineLevel="0" collapsed="false">
      <c r="A1362" s="0" t="s">
        <v>7336</v>
      </c>
      <c r="B1362" s="0" t="s">
        <v>5055</v>
      </c>
      <c r="C1362" s="0" t="s">
        <v>5056</v>
      </c>
      <c r="D1362" s="0" t="s">
        <v>227</v>
      </c>
      <c r="E1362" s="0" t="s">
        <v>5057</v>
      </c>
      <c r="F1362" s="0" t="s">
        <v>2337</v>
      </c>
      <c r="G1362" s="0" t="s">
        <v>184</v>
      </c>
      <c r="H1362" s="0" t="s">
        <v>7773</v>
      </c>
      <c r="I1362" s="0" t="s">
        <v>7338</v>
      </c>
      <c r="J1362" s="0" t="s">
        <v>1602</v>
      </c>
      <c r="K1362" s="0" t="s">
        <v>7339</v>
      </c>
      <c r="L1362" s="0" t="s">
        <v>7340</v>
      </c>
      <c r="M1362" s="0" t="s">
        <v>7661</v>
      </c>
      <c r="N1362" s="0" t="s">
        <v>7342</v>
      </c>
      <c r="P1362" s="0" t="s">
        <v>229</v>
      </c>
      <c r="Q1362" s="0" t="s">
        <v>7354</v>
      </c>
      <c r="R1362" s="0" t="s">
        <v>7343</v>
      </c>
      <c r="S1362" s="0" t="s">
        <v>7344</v>
      </c>
      <c r="T1362" s="0" t="s">
        <v>228</v>
      </c>
      <c r="V1362" s="0" t="s">
        <v>34</v>
      </c>
      <c r="W1362" s="0" t="s">
        <v>50</v>
      </c>
      <c r="X1362" s="0" t="s">
        <v>7355</v>
      </c>
      <c r="Z1362" s="0" t="s">
        <v>7662</v>
      </c>
      <c r="AB1362" s="0" t="s">
        <v>1663</v>
      </c>
      <c r="AC1362" s="0" t="s">
        <v>7629</v>
      </c>
      <c r="AD1362" s="0" t="s">
        <v>7665</v>
      </c>
      <c r="AE1362" s="0" t="s">
        <v>7360</v>
      </c>
      <c r="AF1362" s="0" t="s">
        <v>7361</v>
      </c>
      <c r="AG1362" s="0" t="s">
        <v>230</v>
      </c>
    </row>
    <row r="1363" customFormat="false" ht="15" hidden="false" customHeight="false" outlineLevel="0" collapsed="false">
      <c r="A1363" s="0" t="s">
        <v>7336</v>
      </c>
      <c r="B1363" s="0" t="s">
        <v>5058</v>
      </c>
      <c r="C1363" s="0" t="s">
        <v>5059</v>
      </c>
      <c r="D1363" s="0" t="s">
        <v>227</v>
      </c>
      <c r="E1363" s="0" t="s">
        <v>5060</v>
      </c>
      <c r="F1363" s="0" t="s">
        <v>2293</v>
      </c>
      <c r="G1363" s="0" t="s">
        <v>184</v>
      </c>
      <c r="H1363" s="0" t="s">
        <v>7762</v>
      </c>
      <c r="I1363" s="0" t="s">
        <v>7338</v>
      </c>
      <c r="J1363" s="0" t="s">
        <v>1602</v>
      </c>
      <c r="K1363" s="0" t="s">
        <v>7339</v>
      </c>
      <c r="L1363" s="0" t="s">
        <v>7340</v>
      </c>
      <c r="M1363" s="0" t="s">
        <v>7661</v>
      </c>
      <c r="N1363" s="0" t="s">
        <v>7342</v>
      </c>
      <c r="P1363" s="0" t="s">
        <v>229</v>
      </c>
      <c r="Q1363" s="0" t="s">
        <v>7354</v>
      </c>
      <c r="R1363" s="0" t="s">
        <v>7343</v>
      </c>
      <c r="S1363" s="0" t="s">
        <v>7344</v>
      </c>
      <c r="T1363" s="0" t="s">
        <v>228</v>
      </c>
      <c r="V1363" s="0" t="s">
        <v>34</v>
      </c>
      <c r="W1363" s="0" t="s">
        <v>50</v>
      </c>
      <c r="X1363" s="0" t="s">
        <v>7355</v>
      </c>
      <c r="Z1363" s="0" t="s">
        <v>7662</v>
      </c>
      <c r="AB1363" s="0" t="s">
        <v>1663</v>
      </c>
      <c r="AC1363" s="0" t="s">
        <v>7629</v>
      </c>
      <c r="AD1363" s="0" t="s">
        <v>7665</v>
      </c>
      <c r="AE1363" s="0" t="s">
        <v>7360</v>
      </c>
      <c r="AF1363" s="0" t="s">
        <v>7361</v>
      </c>
      <c r="AG1363" s="0" t="s">
        <v>230</v>
      </c>
    </row>
    <row r="1364" customFormat="false" ht="15" hidden="false" customHeight="false" outlineLevel="0" collapsed="false">
      <c r="A1364" s="0" t="s">
        <v>7336</v>
      </c>
      <c r="B1364" s="0" t="s">
        <v>5061</v>
      </c>
      <c r="C1364" s="0" t="s">
        <v>5062</v>
      </c>
      <c r="D1364" s="0" t="s">
        <v>227</v>
      </c>
      <c r="E1364" s="0" t="s">
        <v>5063</v>
      </c>
      <c r="F1364" s="0" t="s">
        <v>2293</v>
      </c>
      <c r="G1364" s="0" t="s">
        <v>184</v>
      </c>
      <c r="H1364" s="0" t="s">
        <v>7762</v>
      </c>
      <c r="I1364" s="0" t="s">
        <v>7338</v>
      </c>
      <c r="J1364" s="0" t="s">
        <v>1602</v>
      </c>
      <c r="K1364" s="0" t="s">
        <v>7339</v>
      </c>
      <c r="L1364" s="0" t="s">
        <v>7340</v>
      </c>
      <c r="M1364" s="0" t="s">
        <v>7661</v>
      </c>
      <c r="N1364" s="0" t="s">
        <v>7342</v>
      </c>
      <c r="P1364" s="0" t="s">
        <v>229</v>
      </c>
      <c r="Q1364" s="0" t="s">
        <v>7354</v>
      </c>
      <c r="R1364" s="0" t="s">
        <v>7343</v>
      </c>
      <c r="S1364" s="0" t="s">
        <v>7344</v>
      </c>
      <c r="T1364" s="0" t="s">
        <v>228</v>
      </c>
      <c r="V1364" s="0" t="s">
        <v>34</v>
      </c>
      <c r="W1364" s="0" t="s">
        <v>50</v>
      </c>
      <c r="X1364" s="0" t="s">
        <v>7355</v>
      </c>
      <c r="Z1364" s="0" t="s">
        <v>7662</v>
      </c>
      <c r="AB1364" s="0" t="s">
        <v>1663</v>
      </c>
      <c r="AC1364" s="0" t="s">
        <v>7629</v>
      </c>
      <c r="AD1364" s="0" t="s">
        <v>7665</v>
      </c>
      <c r="AE1364" s="0" t="s">
        <v>7360</v>
      </c>
      <c r="AF1364" s="0" t="s">
        <v>7361</v>
      </c>
      <c r="AG1364" s="0" t="s">
        <v>230</v>
      </c>
    </row>
    <row r="1365" customFormat="false" ht="15" hidden="false" customHeight="false" outlineLevel="0" collapsed="false">
      <c r="A1365" s="0" t="s">
        <v>7336</v>
      </c>
      <c r="B1365" s="0" t="s">
        <v>5064</v>
      </c>
      <c r="C1365" s="0" t="s">
        <v>5065</v>
      </c>
      <c r="D1365" s="0" t="s">
        <v>227</v>
      </c>
      <c r="E1365" s="0" t="s">
        <v>5066</v>
      </c>
      <c r="F1365" s="0" t="s">
        <v>2344</v>
      </c>
      <c r="G1365" s="0" t="s">
        <v>184</v>
      </c>
      <c r="H1365" s="0" t="s">
        <v>7774</v>
      </c>
      <c r="I1365" s="0" t="s">
        <v>7338</v>
      </c>
      <c r="J1365" s="0" t="s">
        <v>1602</v>
      </c>
      <c r="K1365" s="0" t="s">
        <v>7339</v>
      </c>
      <c r="L1365" s="0" t="s">
        <v>7340</v>
      </c>
      <c r="M1365" s="0" t="s">
        <v>7661</v>
      </c>
      <c r="N1365" s="0" t="s">
        <v>7342</v>
      </c>
      <c r="P1365" s="0" t="s">
        <v>229</v>
      </c>
      <c r="Q1365" s="0" t="s">
        <v>7354</v>
      </c>
      <c r="R1365" s="0" t="s">
        <v>7343</v>
      </c>
      <c r="S1365" s="0" t="s">
        <v>7344</v>
      </c>
      <c r="T1365" s="0" t="s">
        <v>228</v>
      </c>
      <c r="V1365" s="0" t="s">
        <v>34</v>
      </c>
      <c r="W1365" s="0" t="s">
        <v>50</v>
      </c>
      <c r="X1365" s="0" t="s">
        <v>7355</v>
      </c>
      <c r="Z1365" s="0" t="s">
        <v>7662</v>
      </c>
      <c r="AB1365" s="0" t="s">
        <v>1663</v>
      </c>
      <c r="AC1365" s="0" t="s">
        <v>7629</v>
      </c>
      <c r="AD1365" s="0" t="s">
        <v>7665</v>
      </c>
      <c r="AE1365" s="0" t="s">
        <v>7360</v>
      </c>
      <c r="AF1365" s="0" t="s">
        <v>7361</v>
      </c>
      <c r="AG1365" s="0" t="s">
        <v>230</v>
      </c>
    </row>
    <row r="1366" customFormat="false" ht="15" hidden="false" customHeight="false" outlineLevel="0" collapsed="false">
      <c r="A1366" s="0" t="s">
        <v>7336</v>
      </c>
      <c r="B1366" s="0" t="s">
        <v>5067</v>
      </c>
      <c r="C1366" s="0" t="s">
        <v>5068</v>
      </c>
      <c r="D1366" s="0" t="s">
        <v>227</v>
      </c>
      <c r="E1366" s="0" t="s">
        <v>5069</v>
      </c>
      <c r="F1366" s="0" t="s">
        <v>2344</v>
      </c>
      <c r="G1366" s="0" t="s">
        <v>184</v>
      </c>
      <c r="H1366" s="0" t="s">
        <v>7774</v>
      </c>
      <c r="I1366" s="0" t="s">
        <v>7338</v>
      </c>
      <c r="J1366" s="0" t="s">
        <v>1602</v>
      </c>
      <c r="K1366" s="0" t="s">
        <v>7339</v>
      </c>
      <c r="L1366" s="0" t="s">
        <v>7340</v>
      </c>
      <c r="M1366" s="0" t="s">
        <v>7661</v>
      </c>
      <c r="N1366" s="0" t="s">
        <v>7342</v>
      </c>
      <c r="P1366" s="0" t="s">
        <v>229</v>
      </c>
      <c r="Q1366" s="0" t="s">
        <v>7354</v>
      </c>
      <c r="R1366" s="0" t="s">
        <v>7343</v>
      </c>
      <c r="S1366" s="0" t="s">
        <v>7344</v>
      </c>
      <c r="T1366" s="0" t="s">
        <v>228</v>
      </c>
      <c r="V1366" s="0" t="s">
        <v>34</v>
      </c>
      <c r="W1366" s="0" t="s">
        <v>50</v>
      </c>
      <c r="X1366" s="0" t="s">
        <v>7355</v>
      </c>
      <c r="Z1366" s="0" t="s">
        <v>7662</v>
      </c>
      <c r="AB1366" s="0" t="s">
        <v>1663</v>
      </c>
      <c r="AC1366" s="0" t="s">
        <v>7629</v>
      </c>
      <c r="AD1366" s="0" t="s">
        <v>7665</v>
      </c>
      <c r="AE1366" s="0" t="s">
        <v>7360</v>
      </c>
      <c r="AF1366" s="0" t="s">
        <v>7361</v>
      </c>
      <c r="AG1366" s="0" t="s">
        <v>230</v>
      </c>
    </row>
    <row r="1367" customFormat="false" ht="15" hidden="false" customHeight="false" outlineLevel="0" collapsed="false">
      <c r="A1367" s="0" t="s">
        <v>7336</v>
      </c>
      <c r="B1367" s="0" t="s">
        <v>5070</v>
      </c>
      <c r="C1367" s="0" t="s">
        <v>5071</v>
      </c>
      <c r="D1367" s="0" t="s">
        <v>227</v>
      </c>
      <c r="E1367" s="0" t="s">
        <v>5072</v>
      </c>
      <c r="F1367" s="0" t="s">
        <v>2145</v>
      </c>
      <c r="G1367" s="0" t="s">
        <v>184</v>
      </c>
      <c r="H1367" s="0" t="s">
        <v>7730</v>
      </c>
      <c r="I1367" s="0" t="s">
        <v>7338</v>
      </c>
      <c r="J1367" s="0" t="s">
        <v>1602</v>
      </c>
      <c r="K1367" s="0" t="s">
        <v>7339</v>
      </c>
      <c r="L1367" s="0" t="s">
        <v>7340</v>
      </c>
      <c r="M1367" s="0" t="s">
        <v>7661</v>
      </c>
      <c r="N1367" s="0" t="s">
        <v>7342</v>
      </c>
      <c r="P1367" s="0" t="s">
        <v>229</v>
      </c>
      <c r="Q1367" s="0" t="s">
        <v>7354</v>
      </c>
      <c r="R1367" s="0" t="s">
        <v>7343</v>
      </c>
      <c r="S1367" s="0" t="s">
        <v>7344</v>
      </c>
      <c r="T1367" s="0" t="s">
        <v>228</v>
      </c>
      <c r="V1367" s="0" t="s">
        <v>34</v>
      </c>
      <c r="W1367" s="0" t="s">
        <v>50</v>
      </c>
      <c r="X1367" s="0" t="s">
        <v>7355</v>
      </c>
      <c r="Z1367" s="0" t="s">
        <v>7662</v>
      </c>
      <c r="AB1367" s="0" t="s">
        <v>1663</v>
      </c>
      <c r="AC1367" s="0" t="s">
        <v>7629</v>
      </c>
      <c r="AD1367" s="0" t="s">
        <v>7665</v>
      </c>
      <c r="AE1367" s="0" t="s">
        <v>7360</v>
      </c>
      <c r="AF1367" s="0" t="s">
        <v>7361</v>
      </c>
      <c r="AG1367" s="0" t="s">
        <v>230</v>
      </c>
    </row>
    <row r="1368" customFormat="false" ht="15" hidden="false" customHeight="false" outlineLevel="0" collapsed="false">
      <c r="A1368" s="0" t="s">
        <v>7336</v>
      </c>
      <c r="B1368" s="0" t="s">
        <v>5073</v>
      </c>
      <c r="C1368" s="0" t="s">
        <v>5074</v>
      </c>
      <c r="D1368" s="0" t="s">
        <v>227</v>
      </c>
      <c r="E1368" s="0" t="s">
        <v>5075</v>
      </c>
      <c r="F1368" s="0" t="s">
        <v>2145</v>
      </c>
      <c r="G1368" s="0" t="s">
        <v>184</v>
      </c>
      <c r="H1368" s="0" t="s">
        <v>7730</v>
      </c>
      <c r="I1368" s="0" t="s">
        <v>7338</v>
      </c>
      <c r="J1368" s="0" t="s">
        <v>1602</v>
      </c>
      <c r="K1368" s="0" t="s">
        <v>7339</v>
      </c>
      <c r="L1368" s="0" t="s">
        <v>7340</v>
      </c>
      <c r="M1368" s="0" t="s">
        <v>7661</v>
      </c>
      <c r="N1368" s="0" t="s">
        <v>7342</v>
      </c>
      <c r="P1368" s="0" t="s">
        <v>229</v>
      </c>
      <c r="Q1368" s="0" t="s">
        <v>7354</v>
      </c>
      <c r="R1368" s="0" t="s">
        <v>7343</v>
      </c>
      <c r="S1368" s="0" t="s">
        <v>7344</v>
      </c>
      <c r="T1368" s="0" t="s">
        <v>228</v>
      </c>
      <c r="V1368" s="0" t="s">
        <v>34</v>
      </c>
      <c r="W1368" s="0" t="s">
        <v>50</v>
      </c>
      <c r="X1368" s="0" t="s">
        <v>7355</v>
      </c>
      <c r="Z1368" s="0" t="s">
        <v>7662</v>
      </c>
      <c r="AB1368" s="0" t="s">
        <v>1663</v>
      </c>
      <c r="AC1368" s="0" t="s">
        <v>7629</v>
      </c>
      <c r="AD1368" s="0" t="s">
        <v>7665</v>
      </c>
      <c r="AE1368" s="0" t="s">
        <v>7360</v>
      </c>
      <c r="AF1368" s="0" t="s">
        <v>7361</v>
      </c>
      <c r="AG1368" s="0" t="s">
        <v>230</v>
      </c>
    </row>
    <row r="1369" customFormat="false" ht="15" hidden="false" customHeight="false" outlineLevel="0" collapsed="false">
      <c r="A1369" s="0" t="s">
        <v>7336</v>
      </c>
      <c r="B1369" s="0" t="s">
        <v>5076</v>
      </c>
      <c r="C1369" s="0" t="s">
        <v>5077</v>
      </c>
      <c r="D1369" s="0" t="s">
        <v>227</v>
      </c>
      <c r="E1369" s="0" t="s">
        <v>5078</v>
      </c>
      <c r="F1369" s="0" t="s">
        <v>2150</v>
      </c>
      <c r="G1369" s="0" t="s">
        <v>184</v>
      </c>
      <c r="H1369" s="0" t="s">
        <v>7732</v>
      </c>
      <c r="I1369" s="0" t="s">
        <v>7338</v>
      </c>
      <c r="J1369" s="0" t="s">
        <v>1602</v>
      </c>
      <c r="K1369" s="0" t="s">
        <v>7339</v>
      </c>
      <c r="L1369" s="0" t="s">
        <v>7340</v>
      </c>
      <c r="M1369" s="0" t="s">
        <v>7661</v>
      </c>
      <c r="N1369" s="0" t="s">
        <v>7342</v>
      </c>
      <c r="P1369" s="0" t="s">
        <v>229</v>
      </c>
      <c r="Q1369" s="0" t="s">
        <v>7354</v>
      </c>
      <c r="R1369" s="0" t="s">
        <v>7343</v>
      </c>
      <c r="S1369" s="0" t="s">
        <v>7344</v>
      </c>
      <c r="T1369" s="0" t="s">
        <v>228</v>
      </c>
      <c r="V1369" s="0" t="s">
        <v>34</v>
      </c>
      <c r="W1369" s="0" t="s">
        <v>37</v>
      </c>
      <c r="X1369" s="0" t="s">
        <v>7355</v>
      </c>
      <c r="Y1369" s="0" t="s">
        <v>7731</v>
      </c>
      <c r="Z1369" s="0" t="s">
        <v>7370</v>
      </c>
      <c r="AA1369" s="0" t="s">
        <v>7670</v>
      </c>
      <c r="AB1369" s="0" t="s">
        <v>231</v>
      </c>
      <c r="AC1369" s="0" t="s">
        <v>7629</v>
      </c>
      <c r="AD1369" s="0" t="s">
        <v>7671</v>
      </c>
      <c r="AE1369" s="0" t="s">
        <v>7360</v>
      </c>
      <c r="AF1369" s="0" t="s">
        <v>7361</v>
      </c>
      <c r="AG1369" s="0" t="s">
        <v>230</v>
      </c>
    </row>
    <row r="1370" customFormat="false" ht="15" hidden="false" customHeight="false" outlineLevel="0" collapsed="false">
      <c r="A1370" s="0" t="s">
        <v>7336</v>
      </c>
      <c r="B1370" s="0" t="s">
        <v>5079</v>
      </c>
      <c r="C1370" s="0" t="s">
        <v>5080</v>
      </c>
      <c r="D1370" s="0" t="s">
        <v>227</v>
      </c>
      <c r="E1370" s="0" t="s">
        <v>5081</v>
      </c>
      <c r="F1370" s="0" t="s">
        <v>2150</v>
      </c>
      <c r="G1370" s="0" t="s">
        <v>184</v>
      </c>
      <c r="H1370" s="0" t="s">
        <v>7732</v>
      </c>
      <c r="I1370" s="0" t="s">
        <v>7338</v>
      </c>
      <c r="J1370" s="0" t="s">
        <v>1602</v>
      </c>
      <c r="K1370" s="0" t="s">
        <v>7339</v>
      </c>
      <c r="L1370" s="0" t="s">
        <v>7340</v>
      </c>
      <c r="M1370" s="0" t="s">
        <v>7661</v>
      </c>
      <c r="N1370" s="0" t="s">
        <v>7342</v>
      </c>
      <c r="P1370" s="0" t="s">
        <v>229</v>
      </c>
      <c r="Q1370" s="0" t="s">
        <v>7354</v>
      </c>
      <c r="R1370" s="0" t="s">
        <v>7343</v>
      </c>
      <c r="S1370" s="0" t="s">
        <v>7344</v>
      </c>
      <c r="T1370" s="0" t="s">
        <v>228</v>
      </c>
      <c r="V1370" s="0" t="s">
        <v>34</v>
      </c>
      <c r="W1370" s="0" t="s">
        <v>37</v>
      </c>
      <c r="X1370" s="0" t="s">
        <v>7355</v>
      </c>
      <c r="Y1370" s="0" t="s">
        <v>7731</v>
      </c>
      <c r="Z1370" s="0" t="s">
        <v>7370</v>
      </c>
      <c r="AA1370" s="0" t="s">
        <v>7670</v>
      </c>
      <c r="AB1370" s="0" t="s">
        <v>231</v>
      </c>
      <c r="AC1370" s="0" t="s">
        <v>7629</v>
      </c>
      <c r="AD1370" s="0" t="s">
        <v>7671</v>
      </c>
      <c r="AE1370" s="0" t="s">
        <v>7360</v>
      </c>
      <c r="AF1370" s="0" t="s">
        <v>7361</v>
      </c>
      <c r="AG1370" s="0" t="s">
        <v>230</v>
      </c>
    </row>
    <row r="1371" customFormat="false" ht="15" hidden="false" customHeight="false" outlineLevel="0" collapsed="false">
      <c r="A1371" s="0" t="s">
        <v>7336</v>
      </c>
      <c r="B1371" s="0" t="s">
        <v>5082</v>
      </c>
      <c r="C1371" s="0" t="s">
        <v>5083</v>
      </c>
      <c r="D1371" s="0" t="s">
        <v>227</v>
      </c>
      <c r="E1371" s="0" t="s">
        <v>5084</v>
      </c>
      <c r="F1371" s="0" t="s">
        <v>2150</v>
      </c>
      <c r="G1371" s="0" t="s">
        <v>184</v>
      </c>
      <c r="H1371" s="0" t="s">
        <v>7732</v>
      </c>
      <c r="I1371" s="0" t="s">
        <v>7338</v>
      </c>
      <c r="J1371" s="0" t="s">
        <v>1602</v>
      </c>
      <c r="K1371" s="0" t="s">
        <v>7339</v>
      </c>
      <c r="L1371" s="0" t="s">
        <v>7340</v>
      </c>
      <c r="M1371" s="0" t="s">
        <v>7661</v>
      </c>
      <c r="N1371" s="0" t="s">
        <v>7342</v>
      </c>
      <c r="P1371" s="0" t="s">
        <v>229</v>
      </c>
      <c r="Q1371" s="0" t="s">
        <v>7354</v>
      </c>
      <c r="R1371" s="0" t="s">
        <v>7343</v>
      </c>
      <c r="S1371" s="0" t="s">
        <v>7344</v>
      </c>
      <c r="T1371" s="0" t="s">
        <v>228</v>
      </c>
      <c r="V1371" s="0" t="s">
        <v>34</v>
      </c>
      <c r="W1371" s="0" t="s">
        <v>37</v>
      </c>
      <c r="X1371" s="0" t="s">
        <v>7355</v>
      </c>
      <c r="Y1371" s="0" t="s">
        <v>7731</v>
      </c>
      <c r="Z1371" s="0" t="s">
        <v>7370</v>
      </c>
      <c r="AA1371" s="0" t="s">
        <v>7670</v>
      </c>
      <c r="AB1371" s="0" t="s">
        <v>231</v>
      </c>
      <c r="AC1371" s="0" t="s">
        <v>7629</v>
      </c>
      <c r="AD1371" s="0" t="s">
        <v>7671</v>
      </c>
      <c r="AE1371" s="0" t="s">
        <v>7360</v>
      </c>
      <c r="AF1371" s="0" t="s">
        <v>7361</v>
      </c>
      <c r="AG1371" s="0" t="s">
        <v>230</v>
      </c>
    </row>
    <row r="1372" customFormat="false" ht="15" hidden="false" customHeight="false" outlineLevel="0" collapsed="false">
      <c r="A1372" s="0" t="s">
        <v>7336</v>
      </c>
      <c r="B1372" s="0" t="s">
        <v>5085</v>
      </c>
      <c r="C1372" s="0" t="s">
        <v>5086</v>
      </c>
      <c r="D1372" s="0" t="s">
        <v>227</v>
      </c>
      <c r="E1372" s="0" t="s">
        <v>5087</v>
      </c>
      <c r="F1372" s="0" t="s">
        <v>2162</v>
      </c>
      <c r="G1372" s="0" t="s">
        <v>138</v>
      </c>
      <c r="H1372" s="0" t="s">
        <v>7735</v>
      </c>
      <c r="I1372" s="0" t="s">
        <v>7338</v>
      </c>
      <c r="J1372" s="0" t="s">
        <v>1602</v>
      </c>
      <c r="K1372" s="0" t="s">
        <v>7339</v>
      </c>
      <c r="L1372" s="0" t="s">
        <v>7340</v>
      </c>
      <c r="M1372" s="0" t="s">
        <v>7661</v>
      </c>
      <c r="N1372" s="0" t="s">
        <v>7342</v>
      </c>
    </row>
    <row r="1373" customFormat="false" ht="15" hidden="false" customHeight="false" outlineLevel="0" collapsed="false">
      <c r="A1373" s="0" t="s">
        <v>7336</v>
      </c>
      <c r="B1373" s="0" t="s">
        <v>5088</v>
      </c>
      <c r="C1373" s="0" t="s">
        <v>5089</v>
      </c>
      <c r="D1373" s="0" t="s">
        <v>227</v>
      </c>
      <c r="E1373" s="0" t="s">
        <v>5090</v>
      </c>
      <c r="F1373" s="0" t="s">
        <v>2166</v>
      </c>
      <c r="G1373" s="0" t="s">
        <v>138</v>
      </c>
      <c r="H1373" s="0" t="s">
        <v>7736</v>
      </c>
      <c r="I1373" s="0" t="s">
        <v>7338</v>
      </c>
      <c r="J1373" s="0" t="s">
        <v>1602</v>
      </c>
      <c r="K1373" s="0" t="s">
        <v>7339</v>
      </c>
      <c r="L1373" s="0" t="s">
        <v>7340</v>
      </c>
      <c r="M1373" s="0" t="s">
        <v>7661</v>
      </c>
      <c r="N1373" s="0" t="s">
        <v>7342</v>
      </c>
    </row>
    <row r="1374" customFormat="false" ht="15" hidden="false" customHeight="false" outlineLevel="0" collapsed="false">
      <c r="A1374" s="0" t="s">
        <v>7336</v>
      </c>
      <c r="B1374" s="0" t="s">
        <v>5091</v>
      </c>
      <c r="C1374" s="0" t="s">
        <v>5092</v>
      </c>
      <c r="D1374" s="0" t="s">
        <v>227</v>
      </c>
      <c r="E1374" s="0" t="s">
        <v>5093</v>
      </c>
      <c r="F1374" s="0" t="s">
        <v>2170</v>
      </c>
      <c r="G1374" s="0" t="s">
        <v>170</v>
      </c>
      <c r="H1374" s="0" t="s">
        <v>7737</v>
      </c>
      <c r="I1374" s="0" t="s">
        <v>7338</v>
      </c>
      <c r="J1374" s="0" t="s">
        <v>1602</v>
      </c>
      <c r="K1374" s="0" t="s">
        <v>7339</v>
      </c>
      <c r="L1374" s="0" t="s">
        <v>7340</v>
      </c>
      <c r="M1374" s="0" t="s">
        <v>7661</v>
      </c>
      <c r="N1374" s="0" t="s">
        <v>7342</v>
      </c>
      <c r="P1374" s="0" t="s">
        <v>229</v>
      </c>
      <c r="Q1374" s="0" t="s">
        <v>7354</v>
      </c>
      <c r="R1374" s="0" t="s">
        <v>7343</v>
      </c>
      <c r="S1374" s="0" t="s">
        <v>7344</v>
      </c>
      <c r="T1374" s="0" t="s">
        <v>228</v>
      </c>
      <c r="V1374" s="0" t="s">
        <v>34</v>
      </c>
      <c r="W1374" s="0" t="s">
        <v>37</v>
      </c>
      <c r="X1374" s="0" t="s">
        <v>7355</v>
      </c>
      <c r="Y1374" s="0" t="s">
        <v>7346</v>
      </c>
      <c r="Z1374" s="0" t="s">
        <v>7370</v>
      </c>
      <c r="AA1374" s="0" t="s">
        <v>7670</v>
      </c>
      <c r="AB1374" s="0" t="s">
        <v>1663</v>
      </c>
      <c r="AC1374" s="0" t="s">
        <v>7629</v>
      </c>
      <c r="AD1374" s="0" t="s">
        <v>7671</v>
      </c>
      <c r="AE1374" s="0" t="s">
        <v>7360</v>
      </c>
      <c r="AF1374" s="0" t="s">
        <v>7361</v>
      </c>
      <c r="AG1374" s="0" t="s">
        <v>230</v>
      </c>
    </row>
    <row r="1375" customFormat="false" ht="15" hidden="false" customHeight="false" outlineLevel="0" collapsed="false">
      <c r="A1375" s="0" t="s">
        <v>7336</v>
      </c>
      <c r="B1375" s="0" t="s">
        <v>5094</v>
      </c>
      <c r="C1375" s="0" t="s">
        <v>5095</v>
      </c>
      <c r="D1375" s="0" t="s">
        <v>227</v>
      </c>
      <c r="E1375" s="0" t="s">
        <v>5096</v>
      </c>
      <c r="F1375" s="0" t="s">
        <v>2175</v>
      </c>
      <c r="G1375" s="0" t="s">
        <v>170</v>
      </c>
      <c r="H1375" s="0" t="s">
        <v>7738</v>
      </c>
      <c r="I1375" s="0" t="s">
        <v>7338</v>
      </c>
      <c r="J1375" s="0" t="s">
        <v>1602</v>
      </c>
      <c r="K1375" s="0" t="s">
        <v>7339</v>
      </c>
      <c r="L1375" s="0" t="s">
        <v>7340</v>
      </c>
      <c r="M1375" s="0" t="s">
        <v>7661</v>
      </c>
      <c r="N1375" s="0" t="s">
        <v>7342</v>
      </c>
      <c r="P1375" s="0" t="s">
        <v>229</v>
      </c>
      <c r="Q1375" s="0" t="s">
        <v>7354</v>
      </c>
      <c r="R1375" s="0" t="s">
        <v>7343</v>
      </c>
      <c r="S1375" s="0" t="s">
        <v>7344</v>
      </c>
      <c r="T1375" s="0" t="s">
        <v>228</v>
      </c>
      <c r="V1375" s="0" t="s">
        <v>34</v>
      </c>
      <c r="W1375" s="0" t="s">
        <v>37</v>
      </c>
      <c r="X1375" s="0" t="s">
        <v>7355</v>
      </c>
      <c r="Y1375" s="0" t="s">
        <v>7346</v>
      </c>
      <c r="Z1375" s="0" t="s">
        <v>7370</v>
      </c>
      <c r="AA1375" s="0" t="s">
        <v>7670</v>
      </c>
      <c r="AB1375" s="0" t="s">
        <v>1663</v>
      </c>
      <c r="AC1375" s="0" t="s">
        <v>7629</v>
      </c>
      <c r="AD1375" s="0" t="s">
        <v>7671</v>
      </c>
      <c r="AE1375" s="0" t="s">
        <v>7360</v>
      </c>
      <c r="AF1375" s="0" t="s">
        <v>7361</v>
      </c>
      <c r="AG1375" s="0" t="s">
        <v>230</v>
      </c>
    </row>
    <row r="1376" customFormat="false" ht="15" hidden="false" customHeight="false" outlineLevel="0" collapsed="false">
      <c r="A1376" s="0" t="s">
        <v>7336</v>
      </c>
      <c r="B1376" s="0" t="s">
        <v>5097</v>
      </c>
      <c r="C1376" s="0" t="s">
        <v>5098</v>
      </c>
      <c r="D1376" s="0" t="s">
        <v>227</v>
      </c>
      <c r="E1376" s="0" t="s">
        <v>5099</v>
      </c>
      <c r="F1376" s="0" t="s">
        <v>2179</v>
      </c>
      <c r="G1376" s="0" t="s">
        <v>178</v>
      </c>
      <c r="H1376" s="0" t="s">
        <v>7739</v>
      </c>
      <c r="I1376" s="0" t="s">
        <v>7338</v>
      </c>
      <c r="J1376" s="0" t="s">
        <v>1602</v>
      </c>
      <c r="K1376" s="0" t="s">
        <v>7339</v>
      </c>
      <c r="L1376" s="0" t="s">
        <v>7340</v>
      </c>
      <c r="M1376" s="0" t="s">
        <v>7661</v>
      </c>
      <c r="N1376" s="0" t="s">
        <v>7342</v>
      </c>
      <c r="P1376" s="0" t="s">
        <v>229</v>
      </c>
      <c r="Q1376" s="0" t="s">
        <v>7354</v>
      </c>
      <c r="R1376" s="0" t="s">
        <v>7343</v>
      </c>
      <c r="S1376" s="0" t="s">
        <v>7344</v>
      </c>
      <c r="T1376" s="0" t="s">
        <v>228</v>
      </c>
      <c r="V1376" s="0" t="s">
        <v>34</v>
      </c>
      <c r="W1376" s="0" t="s">
        <v>37</v>
      </c>
      <c r="X1376" s="0" t="s">
        <v>7355</v>
      </c>
      <c r="Y1376" s="0" t="s">
        <v>7346</v>
      </c>
      <c r="Z1376" s="0" t="s">
        <v>7370</v>
      </c>
      <c r="AA1376" s="0" t="s">
        <v>7670</v>
      </c>
      <c r="AB1376" s="0" t="s">
        <v>1663</v>
      </c>
      <c r="AC1376" s="0" t="s">
        <v>7629</v>
      </c>
      <c r="AD1376" s="0" t="s">
        <v>7671</v>
      </c>
      <c r="AE1376" s="0" t="s">
        <v>7360</v>
      </c>
      <c r="AF1376" s="0" t="s">
        <v>7361</v>
      </c>
      <c r="AG1376" s="0" t="s">
        <v>230</v>
      </c>
    </row>
    <row r="1377" customFormat="false" ht="15" hidden="false" customHeight="false" outlineLevel="0" collapsed="false">
      <c r="A1377" s="0" t="s">
        <v>7336</v>
      </c>
      <c r="B1377" s="0" t="s">
        <v>5100</v>
      </c>
      <c r="C1377" s="0" t="s">
        <v>5101</v>
      </c>
      <c r="D1377" s="0" t="s">
        <v>227</v>
      </c>
      <c r="E1377" s="0" t="s">
        <v>5102</v>
      </c>
      <c r="F1377" s="0" t="s">
        <v>2183</v>
      </c>
      <c r="G1377" s="0" t="s">
        <v>178</v>
      </c>
      <c r="H1377" s="0" t="s">
        <v>7740</v>
      </c>
      <c r="I1377" s="0" t="s">
        <v>7338</v>
      </c>
      <c r="J1377" s="0" t="s">
        <v>1602</v>
      </c>
      <c r="K1377" s="0" t="s">
        <v>7339</v>
      </c>
      <c r="L1377" s="0" t="s">
        <v>7340</v>
      </c>
      <c r="M1377" s="0" t="s">
        <v>7661</v>
      </c>
      <c r="N1377" s="0" t="s">
        <v>7342</v>
      </c>
      <c r="P1377" s="0" t="s">
        <v>229</v>
      </c>
      <c r="Q1377" s="0" t="s">
        <v>7354</v>
      </c>
      <c r="R1377" s="0" t="s">
        <v>7343</v>
      </c>
      <c r="S1377" s="0" t="s">
        <v>7344</v>
      </c>
      <c r="T1377" s="0" t="s">
        <v>228</v>
      </c>
      <c r="V1377" s="0" t="s">
        <v>34</v>
      </c>
      <c r="W1377" s="0" t="s">
        <v>37</v>
      </c>
      <c r="X1377" s="0" t="s">
        <v>7355</v>
      </c>
      <c r="Y1377" s="0" t="s">
        <v>7346</v>
      </c>
      <c r="Z1377" s="0" t="s">
        <v>7370</v>
      </c>
      <c r="AA1377" s="0" t="s">
        <v>7670</v>
      </c>
      <c r="AB1377" s="0" t="s">
        <v>1663</v>
      </c>
      <c r="AC1377" s="0" t="s">
        <v>7629</v>
      </c>
      <c r="AD1377" s="0" t="s">
        <v>7671</v>
      </c>
      <c r="AE1377" s="0" t="s">
        <v>7360</v>
      </c>
      <c r="AF1377" s="0" t="s">
        <v>7361</v>
      </c>
      <c r="AG1377" s="0" t="s">
        <v>230</v>
      </c>
    </row>
    <row r="1378" customFormat="false" ht="15" hidden="false" customHeight="false" outlineLevel="0" collapsed="false">
      <c r="A1378" s="0" t="s">
        <v>7336</v>
      </c>
      <c r="B1378" s="0" t="s">
        <v>5103</v>
      </c>
      <c r="C1378" s="0" t="s">
        <v>5104</v>
      </c>
      <c r="D1378" s="0" t="s">
        <v>227</v>
      </c>
      <c r="E1378" s="0" t="s">
        <v>5105</v>
      </c>
      <c r="F1378" s="0" t="s">
        <v>5106</v>
      </c>
      <c r="G1378" s="0" t="s">
        <v>170</v>
      </c>
      <c r="H1378" s="0" t="s">
        <v>8283</v>
      </c>
      <c r="I1378" s="0" t="s">
        <v>7338</v>
      </c>
      <c r="J1378" s="0" t="s">
        <v>1602</v>
      </c>
      <c r="K1378" s="0" t="s">
        <v>7339</v>
      </c>
      <c r="L1378" s="0" t="s">
        <v>7340</v>
      </c>
      <c r="M1378" s="0" t="s">
        <v>7661</v>
      </c>
      <c r="N1378" s="0" t="s">
        <v>7342</v>
      </c>
      <c r="P1378" s="0" t="s">
        <v>229</v>
      </c>
      <c r="Q1378" s="0" t="s">
        <v>7354</v>
      </c>
      <c r="R1378" s="0" t="s">
        <v>7343</v>
      </c>
      <c r="S1378" s="0" t="s">
        <v>7344</v>
      </c>
      <c r="T1378" s="0" t="s">
        <v>228</v>
      </c>
      <c r="V1378" s="0" t="s">
        <v>34</v>
      </c>
      <c r="W1378" s="0" t="s">
        <v>37</v>
      </c>
      <c r="X1378" s="0" t="s">
        <v>7355</v>
      </c>
      <c r="Y1378" s="0" t="s">
        <v>7346</v>
      </c>
      <c r="Z1378" s="0" t="s">
        <v>7370</v>
      </c>
      <c r="AA1378" s="0" t="s">
        <v>7670</v>
      </c>
      <c r="AB1378" s="0" t="s">
        <v>1663</v>
      </c>
      <c r="AC1378" s="0" t="s">
        <v>7629</v>
      </c>
      <c r="AD1378" s="0" t="s">
        <v>7671</v>
      </c>
      <c r="AE1378" s="0" t="s">
        <v>7360</v>
      </c>
      <c r="AF1378" s="0" t="s">
        <v>7361</v>
      </c>
      <c r="AG1378" s="0" t="s">
        <v>230</v>
      </c>
    </row>
    <row r="1379" customFormat="false" ht="15" hidden="false" customHeight="false" outlineLevel="0" collapsed="false">
      <c r="A1379" s="0" t="s">
        <v>7336</v>
      </c>
      <c r="B1379" s="0" t="s">
        <v>5107</v>
      </c>
      <c r="C1379" s="0" t="s">
        <v>5108</v>
      </c>
      <c r="D1379" s="0" t="s">
        <v>227</v>
      </c>
      <c r="E1379" s="0" t="s">
        <v>5109</v>
      </c>
      <c r="F1379" s="0" t="s">
        <v>5110</v>
      </c>
      <c r="G1379" s="0" t="s">
        <v>178</v>
      </c>
      <c r="H1379" s="0" t="s">
        <v>8284</v>
      </c>
      <c r="I1379" s="0" t="s">
        <v>7338</v>
      </c>
      <c r="J1379" s="0" t="s">
        <v>1602</v>
      </c>
      <c r="K1379" s="0" t="s">
        <v>7339</v>
      </c>
      <c r="L1379" s="0" t="s">
        <v>7340</v>
      </c>
      <c r="M1379" s="0" t="s">
        <v>7661</v>
      </c>
      <c r="N1379" s="0" t="s">
        <v>7342</v>
      </c>
      <c r="P1379" s="0" t="s">
        <v>229</v>
      </c>
      <c r="Q1379" s="0" t="s">
        <v>7354</v>
      </c>
      <c r="R1379" s="0" t="s">
        <v>7343</v>
      </c>
      <c r="S1379" s="0" t="s">
        <v>7344</v>
      </c>
      <c r="T1379" s="0" t="s">
        <v>228</v>
      </c>
      <c r="V1379" s="0" t="s">
        <v>34</v>
      </c>
      <c r="W1379" s="0" t="s">
        <v>37</v>
      </c>
      <c r="X1379" s="0" t="s">
        <v>7355</v>
      </c>
      <c r="Y1379" s="0" t="s">
        <v>7346</v>
      </c>
      <c r="Z1379" s="0" t="s">
        <v>7370</v>
      </c>
      <c r="AA1379" s="0" t="s">
        <v>7670</v>
      </c>
      <c r="AB1379" s="0" t="s">
        <v>1663</v>
      </c>
      <c r="AC1379" s="0" t="s">
        <v>7629</v>
      </c>
      <c r="AD1379" s="0" t="s">
        <v>7671</v>
      </c>
      <c r="AE1379" s="0" t="s">
        <v>7360</v>
      </c>
      <c r="AF1379" s="0" t="s">
        <v>7361</v>
      </c>
      <c r="AG1379" s="0" t="s">
        <v>230</v>
      </c>
    </row>
    <row r="1380" customFormat="false" ht="15" hidden="false" customHeight="false" outlineLevel="0" collapsed="false">
      <c r="A1380" s="0" t="s">
        <v>7336</v>
      </c>
      <c r="B1380" s="0" t="s">
        <v>5111</v>
      </c>
      <c r="C1380" s="0" t="s">
        <v>5112</v>
      </c>
      <c r="D1380" s="0" t="s">
        <v>227</v>
      </c>
      <c r="E1380" s="0" t="s">
        <v>5113</v>
      </c>
      <c r="F1380" s="0" t="s">
        <v>5114</v>
      </c>
      <c r="G1380" s="0" t="s">
        <v>170</v>
      </c>
      <c r="H1380" s="0" t="s">
        <v>8285</v>
      </c>
      <c r="I1380" s="0" t="s">
        <v>7338</v>
      </c>
      <c r="J1380" s="0" t="s">
        <v>1602</v>
      </c>
      <c r="K1380" s="0" t="s">
        <v>7339</v>
      </c>
      <c r="L1380" s="0" t="s">
        <v>7340</v>
      </c>
      <c r="M1380" s="0" t="s">
        <v>7661</v>
      </c>
      <c r="N1380" s="0" t="s">
        <v>7342</v>
      </c>
      <c r="P1380" s="0" t="s">
        <v>229</v>
      </c>
      <c r="Q1380" s="0" t="s">
        <v>7354</v>
      </c>
      <c r="R1380" s="0" t="s">
        <v>7343</v>
      </c>
      <c r="S1380" s="0" t="s">
        <v>7344</v>
      </c>
      <c r="T1380" s="0" t="s">
        <v>228</v>
      </c>
      <c r="V1380" s="0" t="s">
        <v>34</v>
      </c>
      <c r="W1380" s="0" t="s">
        <v>37</v>
      </c>
      <c r="X1380" s="0" t="s">
        <v>7355</v>
      </c>
      <c r="Y1380" s="0" t="s">
        <v>7346</v>
      </c>
      <c r="Z1380" s="0" t="s">
        <v>7370</v>
      </c>
      <c r="AA1380" s="0" t="s">
        <v>7670</v>
      </c>
      <c r="AB1380" s="0" t="s">
        <v>1663</v>
      </c>
      <c r="AC1380" s="0" t="s">
        <v>7629</v>
      </c>
      <c r="AD1380" s="0" t="s">
        <v>7671</v>
      </c>
      <c r="AE1380" s="0" t="s">
        <v>7360</v>
      </c>
      <c r="AF1380" s="0" t="s">
        <v>7361</v>
      </c>
      <c r="AG1380" s="0" t="s">
        <v>230</v>
      </c>
    </row>
    <row r="1381" customFormat="false" ht="15" hidden="false" customHeight="false" outlineLevel="0" collapsed="false">
      <c r="A1381" s="0" t="s">
        <v>7336</v>
      </c>
      <c r="B1381" s="0" t="s">
        <v>5115</v>
      </c>
      <c r="C1381" s="0" t="s">
        <v>5116</v>
      </c>
      <c r="D1381" s="0" t="s">
        <v>227</v>
      </c>
      <c r="E1381" s="0" t="s">
        <v>5117</v>
      </c>
      <c r="F1381" s="0" t="s">
        <v>5118</v>
      </c>
      <c r="G1381" s="0" t="s">
        <v>178</v>
      </c>
      <c r="H1381" s="0" t="s">
        <v>8286</v>
      </c>
      <c r="I1381" s="0" t="s">
        <v>7338</v>
      </c>
      <c r="J1381" s="0" t="s">
        <v>1602</v>
      </c>
      <c r="K1381" s="0" t="s">
        <v>7339</v>
      </c>
      <c r="L1381" s="0" t="s">
        <v>7340</v>
      </c>
      <c r="M1381" s="0" t="s">
        <v>7661</v>
      </c>
      <c r="N1381" s="0" t="s">
        <v>7342</v>
      </c>
      <c r="P1381" s="0" t="s">
        <v>229</v>
      </c>
      <c r="Q1381" s="0" t="s">
        <v>7354</v>
      </c>
      <c r="R1381" s="0" t="s">
        <v>7343</v>
      </c>
      <c r="S1381" s="0" t="s">
        <v>7344</v>
      </c>
      <c r="T1381" s="0" t="s">
        <v>228</v>
      </c>
      <c r="V1381" s="0" t="s">
        <v>34</v>
      </c>
      <c r="W1381" s="0" t="s">
        <v>37</v>
      </c>
      <c r="X1381" s="0" t="s">
        <v>7355</v>
      </c>
      <c r="Y1381" s="0" t="s">
        <v>7346</v>
      </c>
      <c r="Z1381" s="0" t="s">
        <v>7370</v>
      </c>
      <c r="AA1381" s="0" t="s">
        <v>7670</v>
      </c>
      <c r="AB1381" s="0" t="s">
        <v>1663</v>
      </c>
      <c r="AC1381" s="0" t="s">
        <v>7629</v>
      </c>
      <c r="AD1381" s="0" t="s">
        <v>7671</v>
      </c>
      <c r="AE1381" s="0" t="s">
        <v>7360</v>
      </c>
      <c r="AF1381" s="0" t="s">
        <v>7361</v>
      </c>
      <c r="AG1381" s="0" t="s">
        <v>230</v>
      </c>
    </row>
    <row r="1382" customFormat="false" ht="15" hidden="false" customHeight="false" outlineLevel="0" collapsed="false">
      <c r="A1382" s="0" t="s">
        <v>7336</v>
      </c>
      <c r="B1382" s="0" t="s">
        <v>5119</v>
      </c>
      <c r="C1382" s="0" t="s">
        <v>5120</v>
      </c>
      <c r="D1382" s="0" t="s">
        <v>227</v>
      </c>
      <c r="E1382" s="0" t="s">
        <v>5121</v>
      </c>
      <c r="F1382" s="0" t="s">
        <v>5106</v>
      </c>
      <c r="G1382" s="0" t="s">
        <v>170</v>
      </c>
      <c r="H1382" s="0" t="s">
        <v>8283</v>
      </c>
      <c r="I1382" s="0" t="s">
        <v>7338</v>
      </c>
      <c r="J1382" s="0" t="s">
        <v>1602</v>
      </c>
      <c r="K1382" s="0" t="s">
        <v>7339</v>
      </c>
      <c r="L1382" s="0" t="s">
        <v>7340</v>
      </c>
      <c r="M1382" s="0" t="s">
        <v>7661</v>
      </c>
      <c r="N1382" s="0" t="s">
        <v>7342</v>
      </c>
      <c r="P1382" s="0" t="s">
        <v>229</v>
      </c>
      <c r="Q1382" s="0" t="s">
        <v>7354</v>
      </c>
      <c r="R1382" s="0" t="s">
        <v>7343</v>
      </c>
      <c r="S1382" s="0" t="s">
        <v>7344</v>
      </c>
      <c r="T1382" s="0" t="s">
        <v>228</v>
      </c>
      <c r="V1382" s="0" t="s">
        <v>34</v>
      </c>
      <c r="W1382" s="0" t="s">
        <v>37</v>
      </c>
      <c r="X1382" s="0" t="s">
        <v>7355</v>
      </c>
      <c r="Y1382" s="0" t="s">
        <v>7346</v>
      </c>
      <c r="Z1382" s="0" t="s">
        <v>7370</v>
      </c>
      <c r="AA1382" s="0" t="s">
        <v>7670</v>
      </c>
      <c r="AB1382" s="0" t="s">
        <v>1663</v>
      </c>
      <c r="AC1382" s="0" t="s">
        <v>7629</v>
      </c>
      <c r="AD1382" s="0" t="s">
        <v>7671</v>
      </c>
      <c r="AE1382" s="0" t="s">
        <v>7360</v>
      </c>
      <c r="AF1382" s="0" t="s">
        <v>7361</v>
      </c>
      <c r="AG1382" s="0" t="s">
        <v>230</v>
      </c>
    </row>
    <row r="1383" customFormat="false" ht="15" hidden="false" customHeight="false" outlineLevel="0" collapsed="false">
      <c r="A1383" s="0" t="s">
        <v>7336</v>
      </c>
      <c r="B1383" s="0" t="s">
        <v>5122</v>
      </c>
      <c r="C1383" s="0" t="s">
        <v>5123</v>
      </c>
      <c r="D1383" s="0" t="s">
        <v>227</v>
      </c>
      <c r="E1383" s="0" t="s">
        <v>5124</v>
      </c>
      <c r="F1383" s="0" t="s">
        <v>5110</v>
      </c>
      <c r="G1383" s="0" t="s">
        <v>178</v>
      </c>
      <c r="H1383" s="0" t="s">
        <v>8284</v>
      </c>
      <c r="I1383" s="0" t="s">
        <v>7338</v>
      </c>
      <c r="J1383" s="0" t="s">
        <v>1602</v>
      </c>
      <c r="K1383" s="0" t="s">
        <v>7339</v>
      </c>
      <c r="L1383" s="0" t="s">
        <v>7340</v>
      </c>
      <c r="M1383" s="0" t="s">
        <v>7661</v>
      </c>
      <c r="N1383" s="0" t="s">
        <v>7342</v>
      </c>
      <c r="P1383" s="0" t="s">
        <v>229</v>
      </c>
      <c r="Q1383" s="0" t="s">
        <v>7354</v>
      </c>
      <c r="R1383" s="0" t="s">
        <v>7343</v>
      </c>
      <c r="S1383" s="0" t="s">
        <v>7344</v>
      </c>
      <c r="T1383" s="0" t="s">
        <v>228</v>
      </c>
      <c r="V1383" s="0" t="s">
        <v>34</v>
      </c>
      <c r="W1383" s="0" t="s">
        <v>37</v>
      </c>
      <c r="X1383" s="0" t="s">
        <v>7355</v>
      </c>
      <c r="Y1383" s="0" t="s">
        <v>7346</v>
      </c>
      <c r="Z1383" s="0" t="s">
        <v>7370</v>
      </c>
      <c r="AA1383" s="0" t="s">
        <v>7670</v>
      </c>
      <c r="AB1383" s="0" t="s">
        <v>1663</v>
      </c>
      <c r="AC1383" s="0" t="s">
        <v>7629</v>
      </c>
      <c r="AD1383" s="0" t="s">
        <v>7671</v>
      </c>
      <c r="AE1383" s="0" t="s">
        <v>7360</v>
      </c>
      <c r="AF1383" s="0" t="s">
        <v>7361</v>
      </c>
      <c r="AG1383" s="0" t="s">
        <v>230</v>
      </c>
    </row>
    <row r="1384" customFormat="false" ht="15" hidden="false" customHeight="false" outlineLevel="0" collapsed="false">
      <c r="A1384" s="0" t="s">
        <v>7336</v>
      </c>
      <c r="B1384" s="0" t="s">
        <v>5125</v>
      </c>
      <c r="C1384" s="0" t="s">
        <v>5126</v>
      </c>
      <c r="D1384" s="0" t="s">
        <v>227</v>
      </c>
      <c r="E1384" s="0" t="s">
        <v>5127</v>
      </c>
      <c r="F1384" s="0" t="s">
        <v>2313</v>
      </c>
      <c r="G1384" s="0" t="s">
        <v>138</v>
      </c>
      <c r="H1384" s="0" t="s">
        <v>7767</v>
      </c>
      <c r="I1384" s="0" t="s">
        <v>7338</v>
      </c>
      <c r="J1384" s="0" t="s">
        <v>1602</v>
      </c>
      <c r="K1384" s="0" t="s">
        <v>7339</v>
      </c>
      <c r="L1384" s="0" t="s">
        <v>7340</v>
      </c>
      <c r="M1384" s="0" t="s">
        <v>7661</v>
      </c>
      <c r="N1384" s="0" t="s">
        <v>7342</v>
      </c>
    </row>
    <row r="1385" customFormat="false" ht="15" hidden="false" customHeight="false" outlineLevel="0" collapsed="false">
      <c r="A1385" s="0" t="s">
        <v>7336</v>
      </c>
      <c r="B1385" s="0" t="s">
        <v>5128</v>
      </c>
      <c r="C1385" s="0" t="s">
        <v>5129</v>
      </c>
      <c r="D1385" s="0" t="s">
        <v>227</v>
      </c>
      <c r="E1385" s="0" t="s">
        <v>5130</v>
      </c>
      <c r="F1385" s="0" t="s">
        <v>2317</v>
      </c>
      <c r="G1385" s="0" t="s">
        <v>138</v>
      </c>
      <c r="H1385" s="0" t="s">
        <v>7768</v>
      </c>
      <c r="I1385" s="0" t="s">
        <v>7338</v>
      </c>
      <c r="J1385" s="0" t="s">
        <v>1602</v>
      </c>
      <c r="K1385" s="0" t="s">
        <v>7339</v>
      </c>
      <c r="L1385" s="0" t="s">
        <v>7340</v>
      </c>
      <c r="M1385" s="0" t="s">
        <v>7661</v>
      </c>
      <c r="N1385" s="0" t="s">
        <v>7342</v>
      </c>
    </row>
    <row r="1386" customFormat="false" ht="15" hidden="false" customHeight="false" outlineLevel="0" collapsed="false">
      <c r="A1386" s="0" t="s">
        <v>7336</v>
      </c>
      <c r="B1386" s="0" t="s">
        <v>5131</v>
      </c>
      <c r="C1386" s="0" t="s">
        <v>5132</v>
      </c>
      <c r="D1386" s="0" t="s">
        <v>227</v>
      </c>
      <c r="E1386" s="0" t="s">
        <v>5133</v>
      </c>
      <c r="F1386" s="0" t="s">
        <v>2321</v>
      </c>
      <c r="G1386" s="0" t="s">
        <v>170</v>
      </c>
      <c r="H1386" s="0" t="s">
        <v>7769</v>
      </c>
      <c r="I1386" s="0" t="s">
        <v>7338</v>
      </c>
      <c r="J1386" s="0" t="s">
        <v>1602</v>
      </c>
      <c r="K1386" s="0" t="s">
        <v>7339</v>
      </c>
      <c r="L1386" s="0" t="s">
        <v>7340</v>
      </c>
      <c r="M1386" s="0" t="s">
        <v>7661</v>
      </c>
      <c r="N1386" s="0" t="s">
        <v>7342</v>
      </c>
      <c r="P1386" s="0" t="s">
        <v>229</v>
      </c>
      <c r="Q1386" s="0" t="s">
        <v>7354</v>
      </c>
      <c r="R1386" s="0" t="s">
        <v>7343</v>
      </c>
      <c r="S1386" s="0" t="s">
        <v>7344</v>
      </c>
      <c r="T1386" s="0" t="s">
        <v>228</v>
      </c>
      <c r="V1386" s="0" t="s">
        <v>34</v>
      </c>
      <c r="W1386" s="0" t="s">
        <v>37</v>
      </c>
      <c r="X1386" s="0" t="s">
        <v>7355</v>
      </c>
      <c r="Y1386" s="0" t="s">
        <v>7346</v>
      </c>
      <c r="Z1386" s="0" t="s">
        <v>7370</v>
      </c>
      <c r="AA1386" s="0" t="s">
        <v>7670</v>
      </c>
      <c r="AB1386" s="0" t="s">
        <v>1663</v>
      </c>
      <c r="AC1386" s="0" t="s">
        <v>7629</v>
      </c>
      <c r="AD1386" s="0" t="s">
        <v>7671</v>
      </c>
      <c r="AE1386" s="0" t="s">
        <v>7360</v>
      </c>
      <c r="AF1386" s="0" t="s">
        <v>7361</v>
      </c>
      <c r="AG1386" s="0" t="s">
        <v>230</v>
      </c>
    </row>
    <row r="1387" customFormat="false" ht="15" hidden="false" customHeight="false" outlineLevel="0" collapsed="false">
      <c r="A1387" s="0" t="s">
        <v>7336</v>
      </c>
      <c r="B1387" s="0" t="s">
        <v>5134</v>
      </c>
      <c r="C1387" s="0" t="s">
        <v>5135</v>
      </c>
      <c r="D1387" s="0" t="s">
        <v>227</v>
      </c>
      <c r="E1387" s="0" t="s">
        <v>5136</v>
      </c>
      <c r="F1387" s="0" t="s">
        <v>2325</v>
      </c>
      <c r="G1387" s="0" t="s">
        <v>170</v>
      </c>
      <c r="H1387" s="0" t="s">
        <v>7770</v>
      </c>
      <c r="I1387" s="0" t="s">
        <v>7338</v>
      </c>
      <c r="J1387" s="0" t="s">
        <v>1602</v>
      </c>
      <c r="K1387" s="0" t="s">
        <v>7339</v>
      </c>
      <c r="L1387" s="0" t="s">
        <v>7340</v>
      </c>
      <c r="M1387" s="0" t="s">
        <v>7661</v>
      </c>
      <c r="N1387" s="0" t="s">
        <v>7342</v>
      </c>
      <c r="P1387" s="0" t="s">
        <v>229</v>
      </c>
      <c r="Q1387" s="0" t="s">
        <v>7354</v>
      </c>
      <c r="R1387" s="0" t="s">
        <v>7343</v>
      </c>
      <c r="S1387" s="0" t="s">
        <v>7344</v>
      </c>
      <c r="T1387" s="0" t="s">
        <v>228</v>
      </c>
      <c r="V1387" s="0" t="s">
        <v>34</v>
      </c>
      <c r="W1387" s="0" t="s">
        <v>37</v>
      </c>
      <c r="X1387" s="0" t="s">
        <v>7355</v>
      </c>
      <c r="Y1387" s="0" t="s">
        <v>7346</v>
      </c>
      <c r="Z1387" s="0" t="s">
        <v>7370</v>
      </c>
      <c r="AA1387" s="0" t="s">
        <v>7670</v>
      </c>
      <c r="AB1387" s="0" t="s">
        <v>1663</v>
      </c>
      <c r="AC1387" s="0" t="s">
        <v>7629</v>
      </c>
      <c r="AD1387" s="0" t="s">
        <v>7671</v>
      </c>
      <c r="AE1387" s="0" t="s">
        <v>7360</v>
      </c>
      <c r="AF1387" s="0" t="s">
        <v>7361</v>
      </c>
      <c r="AG1387" s="0" t="s">
        <v>230</v>
      </c>
    </row>
    <row r="1388" customFormat="false" ht="15" hidden="false" customHeight="false" outlineLevel="0" collapsed="false">
      <c r="A1388" s="0" t="s">
        <v>7336</v>
      </c>
      <c r="B1388" s="0" t="s">
        <v>5137</v>
      </c>
      <c r="C1388" s="0" t="s">
        <v>5138</v>
      </c>
      <c r="D1388" s="0" t="s">
        <v>227</v>
      </c>
      <c r="E1388" s="0" t="s">
        <v>5139</v>
      </c>
      <c r="F1388" s="0" t="s">
        <v>2329</v>
      </c>
      <c r="G1388" s="0" t="s">
        <v>178</v>
      </c>
      <c r="H1388" s="0" t="s">
        <v>7771</v>
      </c>
      <c r="I1388" s="0" t="s">
        <v>7338</v>
      </c>
      <c r="J1388" s="0" t="s">
        <v>1602</v>
      </c>
      <c r="K1388" s="0" t="s">
        <v>7339</v>
      </c>
      <c r="L1388" s="0" t="s">
        <v>7340</v>
      </c>
      <c r="M1388" s="0" t="s">
        <v>7661</v>
      </c>
      <c r="N1388" s="0" t="s">
        <v>7342</v>
      </c>
      <c r="P1388" s="0" t="s">
        <v>229</v>
      </c>
      <c r="Q1388" s="0" t="s">
        <v>7354</v>
      </c>
      <c r="R1388" s="0" t="s">
        <v>7343</v>
      </c>
      <c r="S1388" s="0" t="s">
        <v>7344</v>
      </c>
      <c r="T1388" s="0" t="s">
        <v>228</v>
      </c>
      <c r="V1388" s="0" t="s">
        <v>34</v>
      </c>
      <c r="W1388" s="0" t="s">
        <v>37</v>
      </c>
      <c r="X1388" s="0" t="s">
        <v>7355</v>
      </c>
      <c r="Y1388" s="0" t="s">
        <v>7346</v>
      </c>
      <c r="Z1388" s="0" t="s">
        <v>7370</v>
      </c>
      <c r="AA1388" s="0" t="s">
        <v>7670</v>
      </c>
      <c r="AB1388" s="0" t="s">
        <v>1663</v>
      </c>
      <c r="AC1388" s="0" t="s">
        <v>7629</v>
      </c>
      <c r="AD1388" s="0" t="s">
        <v>7671</v>
      </c>
      <c r="AE1388" s="0" t="s">
        <v>7360</v>
      </c>
      <c r="AF1388" s="0" t="s">
        <v>7361</v>
      </c>
      <c r="AG1388" s="0" t="s">
        <v>230</v>
      </c>
    </row>
    <row r="1389" customFormat="false" ht="15" hidden="false" customHeight="false" outlineLevel="0" collapsed="false">
      <c r="A1389" s="0" t="s">
        <v>7336</v>
      </c>
      <c r="B1389" s="0" t="s">
        <v>5140</v>
      </c>
      <c r="C1389" s="0" t="s">
        <v>5141</v>
      </c>
      <c r="D1389" s="0" t="s">
        <v>227</v>
      </c>
      <c r="E1389" s="0" t="s">
        <v>5142</v>
      </c>
      <c r="F1389" s="0" t="s">
        <v>2333</v>
      </c>
      <c r="G1389" s="0" t="s">
        <v>178</v>
      </c>
      <c r="H1389" s="0" t="s">
        <v>7772</v>
      </c>
      <c r="I1389" s="0" t="s">
        <v>7338</v>
      </c>
      <c r="J1389" s="0" t="s">
        <v>1602</v>
      </c>
      <c r="K1389" s="0" t="s">
        <v>7339</v>
      </c>
      <c r="L1389" s="0" t="s">
        <v>7340</v>
      </c>
      <c r="M1389" s="0" t="s">
        <v>7661</v>
      </c>
      <c r="N1389" s="0" t="s">
        <v>7342</v>
      </c>
      <c r="P1389" s="0" t="s">
        <v>229</v>
      </c>
      <c r="Q1389" s="0" t="s">
        <v>7354</v>
      </c>
      <c r="R1389" s="0" t="s">
        <v>7343</v>
      </c>
      <c r="S1389" s="0" t="s">
        <v>7344</v>
      </c>
      <c r="T1389" s="0" t="s">
        <v>228</v>
      </c>
      <c r="V1389" s="0" t="s">
        <v>34</v>
      </c>
      <c r="W1389" s="0" t="s">
        <v>37</v>
      </c>
      <c r="X1389" s="0" t="s">
        <v>7355</v>
      </c>
      <c r="Y1389" s="0" t="s">
        <v>7346</v>
      </c>
      <c r="Z1389" s="0" t="s">
        <v>7370</v>
      </c>
      <c r="AA1389" s="0" t="s">
        <v>7670</v>
      </c>
      <c r="AB1389" s="0" t="s">
        <v>1663</v>
      </c>
      <c r="AC1389" s="0" t="s">
        <v>7629</v>
      </c>
      <c r="AD1389" s="0" t="s">
        <v>7671</v>
      </c>
      <c r="AE1389" s="0" t="s">
        <v>7360</v>
      </c>
      <c r="AF1389" s="0" t="s">
        <v>7361</v>
      </c>
      <c r="AG1389" s="0" t="s">
        <v>230</v>
      </c>
    </row>
    <row r="1390" customFormat="false" ht="15" hidden="false" customHeight="false" outlineLevel="0" collapsed="false">
      <c r="A1390" s="0" t="s">
        <v>7336</v>
      </c>
      <c r="B1390" s="0" t="s">
        <v>5143</v>
      </c>
      <c r="C1390" s="0" t="s">
        <v>5144</v>
      </c>
      <c r="D1390" s="0" t="s">
        <v>227</v>
      </c>
      <c r="E1390" s="0" t="s">
        <v>5145</v>
      </c>
      <c r="F1390" s="0" t="s">
        <v>2179</v>
      </c>
      <c r="G1390" s="0" t="s">
        <v>178</v>
      </c>
      <c r="H1390" s="0" t="s">
        <v>7739</v>
      </c>
      <c r="I1390" s="0" t="s">
        <v>7338</v>
      </c>
      <c r="J1390" s="0" t="s">
        <v>1602</v>
      </c>
      <c r="K1390" s="0" t="s">
        <v>7339</v>
      </c>
      <c r="L1390" s="0" t="s">
        <v>7340</v>
      </c>
      <c r="M1390" s="0" t="s">
        <v>7661</v>
      </c>
      <c r="N1390" s="0" t="s">
        <v>7342</v>
      </c>
      <c r="P1390" s="0" t="s">
        <v>229</v>
      </c>
      <c r="Q1390" s="0" t="s">
        <v>7354</v>
      </c>
      <c r="R1390" s="0" t="s">
        <v>7343</v>
      </c>
      <c r="S1390" s="0" t="s">
        <v>7344</v>
      </c>
      <c r="T1390" s="0" t="s">
        <v>228</v>
      </c>
      <c r="V1390" s="0" t="s">
        <v>34</v>
      </c>
      <c r="W1390" s="0" t="s">
        <v>37</v>
      </c>
      <c r="X1390" s="0" t="s">
        <v>7355</v>
      </c>
      <c r="Y1390" s="0" t="s">
        <v>7346</v>
      </c>
      <c r="Z1390" s="0" t="s">
        <v>7370</v>
      </c>
      <c r="AA1390" s="0" t="s">
        <v>7670</v>
      </c>
      <c r="AB1390" s="0" t="s">
        <v>1663</v>
      </c>
      <c r="AC1390" s="0" t="s">
        <v>7629</v>
      </c>
      <c r="AD1390" s="0" t="s">
        <v>7671</v>
      </c>
      <c r="AE1390" s="0" t="s">
        <v>7360</v>
      </c>
      <c r="AF1390" s="0" t="s">
        <v>7361</v>
      </c>
      <c r="AG1390" s="0" t="s">
        <v>230</v>
      </c>
    </row>
    <row r="1391" customFormat="false" ht="15" hidden="false" customHeight="false" outlineLevel="0" collapsed="false">
      <c r="A1391" s="0" t="s">
        <v>7336</v>
      </c>
      <c r="B1391" s="0" t="s">
        <v>5146</v>
      </c>
      <c r="C1391" s="0" t="s">
        <v>5147</v>
      </c>
      <c r="D1391" s="0" t="s">
        <v>227</v>
      </c>
      <c r="E1391" s="0" t="s">
        <v>5148</v>
      </c>
      <c r="F1391" s="0" t="s">
        <v>2183</v>
      </c>
      <c r="G1391" s="0" t="s">
        <v>178</v>
      </c>
      <c r="H1391" s="0" t="s">
        <v>7740</v>
      </c>
      <c r="I1391" s="0" t="s">
        <v>7338</v>
      </c>
      <c r="J1391" s="0" t="s">
        <v>1602</v>
      </c>
      <c r="K1391" s="0" t="s">
        <v>7339</v>
      </c>
      <c r="L1391" s="0" t="s">
        <v>7340</v>
      </c>
      <c r="M1391" s="0" t="s">
        <v>7661</v>
      </c>
      <c r="N1391" s="0" t="s">
        <v>7342</v>
      </c>
      <c r="P1391" s="0" t="s">
        <v>229</v>
      </c>
      <c r="Q1391" s="0" t="s">
        <v>7354</v>
      </c>
      <c r="R1391" s="0" t="s">
        <v>7343</v>
      </c>
      <c r="S1391" s="0" t="s">
        <v>7344</v>
      </c>
      <c r="T1391" s="0" t="s">
        <v>228</v>
      </c>
      <c r="V1391" s="0" t="s">
        <v>34</v>
      </c>
      <c r="W1391" s="0" t="s">
        <v>37</v>
      </c>
      <c r="X1391" s="0" t="s">
        <v>7355</v>
      </c>
      <c r="Y1391" s="0" t="s">
        <v>7346</v>
      </c>
      <c r="Z1391" s="0" t="s">
        <v>7370</v>
      </c>
      <c r="AA1391" s="0" t="s">
        <v>7670</v>
      </c>
      <c r="AB1391" s="0" t="s">
        <v>1663</v>
      </c>
      <c r="AC1391" s="0" t="s">
        <v>7629</v>
      </c>
      <c r="AD1391" s="0" t="s">
        <v>7671</v>
      </c>
      <c r="AE1391" s="0" t="s">
        <v>7360</v>
      </c>
      <c r="AF1391" s="0" t="s">
        <v>7361</v>
      </c>
      <c r="AG1391" s="0" t="s">
        <v>230</v>
      </c>
    </row>
    <row r="1392" customFormat="false" ht="15" hidden="false" customHeight="false" outlineLevel="0" collapsed="false">
      <c r="A1392" s="0" t="s">
        <v>7336</v>
      </c>
      <c r="B1392" s="0" t="s">
        <v>5149</v>
      </c>
      <c r="C1392" s="0" t="s">
        <v>5150</v>
      </c>
      <c r="D1392" s="0" t="s">
        <v>227</v>
      </c>
      <c r="E1392" s="0" t="s">
        <v>5151</v>
      </c>
      <c r="F1392" s="0" t="s">
        <v>2337</v>
      </c>
      <c r="G1392" s="0" t="s">
        <v>184</v>
      </c>
      <c r="H1392" s="0" t="s">
        <v>7773</v>
      </c>
      <c r="I1392" s="0" t="s">
        <v>7338</v>
      </c>
      <c r="J1392" s="0" t="s">
        <v>1602</v>
      </c>
      <c r="K1392" s="0" t="s">
        <v>7339</v>
      </c>
      <c r="L1392" s="0" t="s">
        <v>7340</v>
      </c>
      <c r="M1392" s="0" t="s">
        <v>7661</v>
      </c>
      <c r="N1392" s="0" t="s">
        <v>7342</v>
      </c>
      <c r="P1392" s="0" t="s">
        <v>229</v>
      </c>
      <c r="Q1392" s="0" t="s">
        <v>7354</v>
      </c>
      <c r="R1392" s="0" t="s">
        <v>7343</v>
      </c>
      <c r="S1392" s="0" t="s">
        <v>7344</v>
      </c>
      <c r="T1392" s="0" t="s">
        <v>228</v>
      </c>
      <c r="V1392" s="0" t="s">
        <v>34</v>
      </c>
      <c r="W1392" s="0" t="s">
        <v>37</v>
      </c>
      <c r="X1392" s="0" t="s">
        <v>7355</v>
      </c>
      <c r="Y1392" s="0" t="s">
        <v>7731</v>
      </c>
      <c r="Z1392" s="0" t="s">
        <v>7370</v>
      </c>
      <c r="AA1392" s="0" t="s">
        <v>7670</v>
      </c>
      <c r="AB1392" s="0" t="s">
        <v>231</v>
      </c>
      <c r="AC1392" s="0" t="s">
        <v>7629</v>
      </c>
      <c r="AD1392" s="0" t="s">
        <v>7671</v>
      </c>
      <c r="AE1392" s="0" t="s">
        <v>7360</v>
      </c>
      <c r="AF1392" s="0" t="s">
        <v>7361</v>
      </c>
      <c r="AG1392" s="0" t="s">
        <v>230</v>
      </c>
    </row>
    <row r="1393" customFormat="false" ht="15" hidden="false" customHeight="false" outlineLevel="0" collapsed="false">
      <c r="A1393" s="0" t="s">
        <v>7336</v>
      </c>
      <c r="B1393" s="0" t="s">
        <v>5152</v>
      </c>
      <c r="C1393" s="0" t="s">
        <v>5153</v>
      </c>
      <c r="D1393" s="0" t="s">
        <v>227</v>
      </c>
      <c r="E1393" s="0" t="s">
        <v>5154</v>
      </c>
      <c r="F1393" s="0" t="s">
        <v>2293</v>
      </c>
      <c r="G1393" s="0" t="s">
        <v>184</v>
      </c>
      <c r="H1393" s="0" t="s">
        <v>7762</v>
      </c>
      <c r="I1393" s="0" t="s">
        <v>7338</v>
      </c>
      <c r="J1393" s="0" t="s">
        <v>1602</v>
      </c>
      <c r="K1393" s="0" t="s">
        <v>7339</v>
      </c>
      <c r="L1393" s="0" t="s">
        <v>7340</v>
      </c>
      <c r="M1393" s="0" t="s">
        <v>7661</v>
      </c>
      <c r="N1393" s="0" t="s">
        <v>7342</v>
      </c>
      <c r="P1393" s="0" t="s">
        <v>229</v>
      </c>
      <c r="Q1393" s="0" t="s">
        <v>7354</v>
      </c>
      <c r="R1393" s="0" t="s">
        <v>7343</v>
      </c>
      <c r="S1393" s="0" t="s">
        <v>7344</v>
      </c>
      <c r="T1393" s="0" t="s">
        <v>228</v>
      </c>
      <c r="V1393" s="0" t="s">
        <v>34</v>
      </c>
      <c r="W1393" s="0" t="s">
        <v>37</v>
      </c>
      <c r="X1393" s="0" t="s">
        <v>7355</v>
      </c>
      <c r="Y1393" s="0" t="s">
        <v>7731</v>
      </c>
      <c r="Z1393" s="0" t="s">
        <v>7370</v>
      </c>
      <c r="AA1393" s="0" t="s">
        <v>7670</v>
      </c>
      <c r="AB1393" s="0" t="s">
        <v>231</v>
      </c>
      <c r="AC1393" s="0" t="s">
        <v>7629</v>
      </c>
      <c r="AD1393" s="0" t="s">
        <v>7671</v>
      </c>
      <c r="AE1393" s="0" t="s">
        <v>7360</v>
      </c>
      <c r="AF1393" s="0" t="s">
        <v>7361</v>
      </c>
      <c r="AG1393" s="0" t="s">
        <v>230</v>
      </c>
    </row>
    <row r="1394" customFormat="false" ht="15" hidden="false" customHeight="false" outlineLevel="0" collapsed="false">
      <c r="A1394" s="0" t="s">
        <v>7336</v>
      </c>
      <c r="B1394" s="0" t="s">
        <v>5155</v>
      </c>
      <c r="C1394" s="0" t="s">
        <v>5156</v>
      </c>
      <c r="D1394" s="0" t="s">
        <v>227</v>
      </c>
      <c r="E1394" s="0" t="s">
        <v>5157</v>
      </c>
      <c r="F1394" s="0" t="s">
        <v>2179</v>
      </c>
      <c r="G1394" s="0" t="s">
        <v>178</v>
      </c>
      <c r="H1394" s="0" t="s">
        <v>7739</v>
      </c>
      <c r="I1394" s="0" t="s">
        <v>7338</v>
      </c>
      <c r="J1394" s="0" t="s">
        <v>1602</v>
      </c>
      <c r="K1394" s="0" t="s">
        <v>7339</v>
      </c>
      <c r="L1394" s="0" t="s">
        <v>7340</v>
      </c>
      <c r="M1394" s="0" t="s">
        <v>7661</v>
      </c>
      <c r="N1394" s="0" t="s">
        <v>7342</v>
      </c>
      <c r="P1394" s="0" t="s">
        <v>229</v>
      </c>
      <c r="Q1394" s="0" t="s">
        <v>7354</v>
      </c>
      <c r="R1394" s="0" t="s">
        <v>7343</v>
      </c>
      <c r="S1394" s="0" t="s">
        <v>7344</v>
      </c>
      <c r="T1394" s="0" t="s">
        <v>681</v>
      </c>
      <c r="V1394" s="0" t="s">
        <v>34</v>
      </c>
      <c r="W1394" s="0" t="s">
        <v>40</v>
      </c>
      <c r="X1394" s="0" t="s">
        <v>7355</v>
      </c>
      <c r="Y1394" s="0" t="s">
        <v>7686</v>
      </c>
      <c r="Z1394" s="0" t="s">
        <v>7355</v>
      </c>
      <c r="AA1394" s="0" t="s">
        <v>7687</v>
      </c>
      <c r="AC1394" s="0" t="s">
        <v>7629</v>
      </c>
      <c r="AD1394" s="0" t="s">
        <v>7688</v>
      </c>
      <c r="AE1394" s="0" t="s">
        <v>7360</v>
      </c>
      <c r="AF1394" s="0" t="s">
        <v>7361</v>
      </c>
      <c r="AG1394" s="0" t="s">
        <v>230</v>
      </c>
    </row>
    <row r="1395" customFormat="false" ht="15" hidden="false" customHeight="false" outlineLevel="0" collapsed="false">
      <c r="A1395" s="0" t="s">
        <v>7336</v>
      </c>
      <c r="B1395" s="0" t="s">
        <v>5158</v>
      </c>
      <c r="C1395" s="0" t="s">
        <v>5159</v>
      </c>
      <c r="D1395" s="0" t="s">
        <v>227</v>
      </c>
      <c r="E1395" s="0" t="s">
        <v>5160</v>
      </c>
      <c r="F1395" s="0" t="s">
        <v>5161</v>
      </c>
      <c r="G1395" s="0" t="s">
        <v>182</v>
      </c>
      <c r="H1395" s="0" t="s">
        <v>8287</v>
      </c>
      <c r="I1395" s="0" t="s">
        <v>7338</v>
      </c>
      <c r="J1395" s="0" t="s">
        <v>1602</v>
      </c>
      <c r="K1395" s="0" t="s">
        <v>7339</v>
      </c>
      <c r="L1395" s="0" t="s">
        <v>7340</v>
      </c>
      <c r="M1395" s="0" t="s">
        <v>7661</v>
      </c>
      <c r="N1395" s="0" t="s">
        <v>7342</v>
      </c>
      <c r="P1395" s="0" t="s">
        <v>236</v>
      </c>
      <c r="Q1395" s="0" t="s">
        <v>7354</v>
      </c>
      <c r="R1395" s="0" t="s">
        <v>7343</v>
      </c>
      <c r="S1395" s="0" t="s">
        <v>7344</v>
      </c>
      <c r="T1395" s="0" t="s">
        <v>228</v>
      </c>
      <c r="V1395" s="0" t="s">
        <v>73</v>
      </c>
      <c r="W1395" s="0" t="s">
        <v>77</v>
      </c>
      <c r="X1395" s="0" t="s">
        <v>7355</v>
      </c>
      <c r="Y1395" s="0" t="s">
        <v>7356</v>
      </c>
      <c r="Z1395" s="0" t="s">
        <v>7357</v>
      </c>
      <c r="AA1395" s="0" t="s">
        <v>7358</v>
      </c>
      <c r="AB1395" s="0" t="s">
        <v>237</v>
      </c>
      <c r="AC1395" s="0" t="s">
        <v>7349</v>
      </c>
      <c r="AD1395" s="0" t="s">
        <v>7755</v>
      </c>
      <c r="AE1395" s="0" t="s">
        <v>7360</v>
      </c>
      <c r="AF1395" s="0" t="s">
        <v>7361</v>
      </c>
      <c r="AG1395" s="0" t="s">
        <v>230</v>
      </c>
    </row>
    <row r="1396" customFormat="false" ht="15" hidden="false" customHeight="false" outlineLevel="0" collapsed="false">
      <c r="A1396" s="0" t="s">
        <v>7336</v>
      </c>
      <c r="B1396" s="0" t="s">
        <v>5162</v>
      </c>
      <c r="C1396" s="0" t="s">
        <v>5163</v>
      </c>
      <c r="D1396" s="0" t="s">
        <v>227</v>
      </c>
      <c r="E1396" s="0" t="s">
        <v>5164</v>
      </c>
      <c r="F1396" s="0" t="s">
        <v>5161</v>
      </c>
      <c r="G1396" s="0" t="s">
        <v>182</v>
      </c>
      <c r="H1396" s="0" t="s">
        <v>8287</v>
      </c>
      <c r="I1396" s="0" t="s">
        <v>7338</v>
      </c>
      <c r="J1396" s="0" t="s">
        <v>1602</v>
      </c>
      <c r="K1396" s="0" t="s">
        <v>7339</v>
      </c>
      <c r="L1396" s="0" t="s">
        <v>7340</v>
      </c>
      <c r="M1396" s="0" t="s">
        <v>7661</v>
      </c>
      <c r="N1396" s="0" t="s">
        <v>7342</v>
      </c>
      <c r="P1396" s="0" t="s">
        <v>236</v>
      </c>
      <c r="Q1396" s="0" t="s">
        <v>7354</v>
      </c>
      <c r="R1396" s="0" t="s">
        <v>7343</v>
      </c>
      <c r="S1396" s="0" t="s">
        <v>7344</v>
      </c>
      <c r="T1396" s="0" t="s">
        <v>228</v>
      </c>
      <c r="V1396" s="0" t="s">
        <v>73</v>
      </c>
      <c r="W1396" s="0" t="s">
        <v>77</v>
      </c>
      <c r="X1396" s="0" t="s">
        <v>7355</v>
      </c>
      <c r="Y1396" s="0" t="s">
        <v>7356</v>
      </c>
      <c r="Z1396" s="0" t="s">
        <v>7357</v>
      </c>
      <c r="AA1396" s="0" t="s">
        <v>7358</v>
      </c>
      <c r="AB1396" s="0" t="s">
        <v>237</v>
      </c>
      <c r="AC1396" s="0" t="s">
        <v>7349</v>
      </c>
      <c r="AD1396" s="0" t="s">
        <v>7755</v>
      </c>
      <c r="AE1396" s="0" t="s">
        <v>7360</v>
      </c>
      <c r="AF1396" s="0" t="s">
        <v>7361</v>
      </c>
      <c r="AG1396" s="0" t="s">
        <v>230</v>
      </c>
    </row>
    <row r="1397" customFormat="false" ht="15" hidden="false" customHeight="false" outlineLevel="0" collapsed="false">
      <c r="A1397" s="0" t="s">
        <v>7336</v>
      </c>
      <c r="B1397" s="0" t="s">
        <v>5165</v>
      </c>
      <c r="C1397" s="0" t="s">
        <v>5166</v>
      </c>
      <c r="D1397" s="0" t="s">
        <v>227</v>
      </c>
      <c r="E1397" s="0" t="s">
        <v>5167</v>
      </c>
      <c r="F1397" s="0" t="s">
        <v>2337</v>
      </c>
      <c r="G1397" s="0" t="s">
        <v>184</v>
      </c>
      <c r="H1397" s="0" t="s">
        <v>7773</v>
      </c>
      <c r="I1397" s="0" t="s">
        <v>7338</v>
      </c>
      <c r="J1397" s="0" t="s">
        <v>1602</v>
      </c>
      <c r="K1397" s="0" t="s">
        <v>7339</v>
      </c>
      <c r="L1397" s="0" t="s">
        <v>7340</v>
      </c>
      <c r="M1397" s="0" t="s">
        <v>7661</v>
      </c>
      <c r="N1397" s="0" t="s">
        <v>7342</v>
      </c>
      <c r="P1397" s="0" t="s">
        <v>229</v>
      </c>
      <c r="Q1397" s="0" t="s">
        <v>7354</v>
      </c>
      <c r="R1397" s="0" t="s">
        <v>7343</v>
      </c>
      <c r="S1397" s="0" t="s">
        <v>7344</v>
      </c>
      <c r="T1397" s="0" t="s">
        <v>228</v>
      </c>
      <c r="V1397" s="0" t="s">
        <v>1358</v>
      </c>
      <c r="W1397" s="0" t="s">
        <v>64</v>
      </c>
      <c r="X1397" s="0" t="s">
        <v>7355</v>
      </c>
      <c r="Y1397" s="0" t="s">
        <v>7949</v>
      </c>
      <c r="Z1397" s="0" t="s">
        <v>7662</v>
      </c>
      <c r="AA1397" s="0" t="s">
        <v>8288</v>
      </c>
      <c r="AB1397" s="0" t="s">
        <v>237</v>
      </c>
      <c r="AC1397" s="0" t="s">
        <v>7629</v>
      </c>
      <c r="AD1397" s="0" t="s">
        <v>8289</v>
      </c>
      <c r="AE1397" s="0" t="s">
        <v>7360</v>
      </c>
      <c r="AF1397" s="0" t="s">
        <v>7361</v>
      </c>
      <c r="AG1397" s="0" t="s">
        <v>230</v>
      </c>
    </row>
    <row r="1398" customFormat="false" ht="15" hidden="false" customHeight="false" outlineLevel="0" collapsed="false">
      <c r="A1398" s="0" t="s">
        <v>7336</v>
      </c>
      <c r="B1398" s="0" t="s">
        <v>5168</v>
      </c>
      <c r="C1398" s="0" t="s">
        <v>5169</v>
      </c>
      <c r="D1398" s="0" t="s">
        <v>227</v>
      </c>
      <c r="E1398" s="0" t="s">
        <v>5170</v>
      </c>
      <c r="F1398" s="0" t="s">
        <v>2337</v>
      </c>
      <c r="G1398" s="0" t="s">
        <v>184</v>
      </c>
      <c r="H1398" s="0" t="s">
        <v>7773</v>
      </c>
      <c r="I1398" s="0" t="s">
        <v>7338</v>
      </c>
      <c r="J1398" s="0" t="s">
        <v>1602</v>
      </c>
      <c r="K1398" s="0" t="s">
        <v>7339</v>
      </c>
      <c r="L1398" s="0" t="s">
        <v>7340</v>
      </c>
      <c r="M1398" s="0" t="s">
        <v>7661</v>
      </c>
      <c r="N1398" s="0" t="s">
        <v>7342</v>
      </c>
      <c r="P1398" s="0" t="s">
        <v>229</v>
      </c>
      <c r="Q1398" s="0" t="s">
        <v>7354</v>
      </c>
      <c r="R1398" s="0" t="s">
        <v>7343</v>
      </c>
      <c r="S1398" s="0" t="s">
        <v>7344</v>
      </c>
      <c r="T1398" s="0" t="s">
        <v>228</v>
      </c>
      <c r="V1398" s="0" t="s">
        <v>1358</v>
      </c>
      <c r="W1398" s="0" t="s">
        <v>64</v>
      </c>
      <c r="X1398" s="0" t="s">
        <v>7355</v>
      </c>
      <c r="Y1398" s="0" t="s">
        <v>7949</v>
      </c>
      <c r="Z1398" s="0" t="s">
        <v>7662</v>
      </c>
      <c r="AA1398" s="0" t="s">
        <v>8288</v>
      </c>
      <c r="AB1398" s="0" t="s">
        <v>237</v>
      </c>
      <c r="AC1398" s="0" t="s">
        <v>7629</v>
      </c>
      <c r="AD1398" s="0" t="s">
        <v>7746</v>
      </c>
      <c r="AE1398" s="0" t="s">
        <v>7360</v>
      </c>
      <c r="AF1398" s="0" t="s">
        <v>7361</v>
      </c>
      <c r="AG1398" s="0" t="s">
        <v>230</v>
      </c>
    </row>
    <row r="1399" customFormat="false" ht="15" hidden="false" customHeight="false" outlineLevel="0" collapsed="false">
      <c r="A1399" s="0" t="s">
        <v>7336</v>
      </c>
      <c r="B1399" s="0" t="s">
        <v>5171</v>
      </c>
      <c r="C1399" s="0" t="s">
        <v>5172</v>
      </c>
      <c r="D1399" s="0" t="s">
        <v>227</v>
      </c>
      <c r="E1399" s="0" t="s">
        <v>5173</v>
      </c>
      <c r="F1399" s="0" t="s">
        <v>2293</v>
      </c>
      <c r="G1399" s="0" t="s">
        <v>184</v>
      </c>
      <c r="H1399" s="0" t="s">
        <v>7762</v>
      </c>
      <c r="I1399" s="0" t="s">
        <v>7338</v>
      </c>
      <c r="J1399" s="0" t="s">
        <v>1602</v>
      </c>
      <c r="K1399" s="0" t="s">
        <v>7339</v>
      </c>
      <c r="L1399" s="0" t="s">
        <v>7340</v>
      </c>
      <c r="M1399" s="0" t="s">
        <v>7661</v>
      </c>
      <c r="N1399" s="0" t="s">
        <v>7342</v>
      </c>
      <c r="P1399" s="0" t="s">
        <v>229</v>
      </c>
      <c r="Q1399" s="0" t="s">
        <v>7354</v>
      </c>
      <c r="R1399" s="0" t="s">
        <v>7343</v>
      </c>
      <c r="S1399" s="0" t="s">
        <v>7344</v>
      </c>
      <c r="T1399" s="0" t="s">
        <v>228</v>
      </c>
      <c r="V1399" s="0" t="s">
        <v>1358</v>
      </c>
      <c r="W1399" s="0" t="s">
        <v>64</v>
      </c>
      <c r="X1399" s="0" t="s">
        <v>7355</v>
      </c>
      <c r="Y1399" s="0" t="s">
        <v>7949</v>
      </c>
      <c r="Z1399" s="0" t="s">
        <v>7662</v>
      </c>
      <c r="AA1399" s="0" t="s">
        <v>8288</v>
      </c>
      <c r="AB1399" s="0" t="s">
        <v>237</v>
      </c>
      <c r="AC1399" s="0" t="s">
        <v>7629</v>
      </c>
      <c r="AD1399" s="0" t="s">
        <v>8289</v>
      </c>
      <c r="AE1399" s="0" t="s">
        <v>7360</v>
      </c>
      <c r="AF1399" s="0" t="s">
        <v>7361</v>
      </c>
      <c r="AG1399" s="0" t="s">
        <v>230</v>
      </c>
    </row>
    <row r="1400" customFormat="false" ht="15" hidden="false" customHeight="false" outlineLevel="0" collapsed="false">
      <c r="A1400" s="0" t="s">
        <v>7336</v>
      </c>
      <c r="B1400" s="0" t="s">
        <v>5174</v>
      </c>
      <c r="C1400" s="0" t="s">
        <v>5175</v>
      </c>
      <c r="D1400" s="0" t="s">
        <v>227</v>
      </c>
      <c r="E1400" s="0" t="s">
        <v>5176</v>
      </c>
      <c r="F1400" s="0" t="s">
        <v>2293</v>
      </c>
      <c r="G1400" s="0" t="s">
        <v>184</v>
      </c>
      <c r="H1400" s="0" t="s">
        <v>7762</v>
      </c>
      <c r="I1400" s="0" t="s">
        <v>7338</v>
      </c>
      <c r="J1400" s="0" t="s">
        <v>1602</v>
      </c>
      <c r="K1400" s="0" t="s">
        <v>7339</v>
      </c>
      <c r="L1400" s="0" t="s">
        <v>7340</v>
      </c>
      <c r="M1400" s="0" t="s">
        <v>7661</v>
      </c>
      <c r="N1400" s="0" t="s">
        <v>7342</v>
      </c>
      <c r="P1400" s="0" t="s">
        <v>229</v>
      </c>
      <c r="Q1400" s="0" t="s">
        <v>7354</v>
      </c>
      <c r="R1400" s="0" t="s">
        <v>7343</v>
      </c>
      <c r="S1400" s="0" t="s">
        <v>7344</v>
      </c>
      <c r="T1400" s="0" t="s">
        <v>228</v>
      </c>
      <c r="V1400" s="0" t="s">
        <v>1358</v>
      </c>
      <c r="W1400" s="0" t="s">
        <v>64</v>
      </c>
      <c r="X1400" s="0" t="s">
        <v>7355</v>
      </c>
      <c r="Y1400" s="0" t="s">
        <v>7949</v>
      </c>
      <c r="Z1400" s="0" t="s">
        <v>7662</v>
      </c>
      <c r="AA1400" s="0" t="s">
        <v>8288</v>
      </c>
      <c r="AB1400" s="0" t="s">
        <v>237</v>
      </c>
      <c r="AC1400" s="0" t="s">
        <v>7629</v>
      </c>
      <c r="AD1400" s="0" t="s">
        <v>7746</v>
      </c>
      <c r="AE1400" s="0" t="s">
        <v>7360</v>
      </c>
      <c r="AF1400" s="0" t="s">
        <v>7361</v>
      </c>
      <c r="AG1400" s="0" t="s">
        <v>230</v>
      </c>
    </row>
    <row r="1401" customFormat="false" ht="15" hidden="false" customHeight="false" outlineLevel="0" collapsed="false">
      <c r="A1401" s="0" t="s">
        <v>7336</v>
      </c>
      <c r="B1401" s="0" t="s">
        <v>5177</v>
      </c>
      <c r="C1401" s="0" t="s">
        <v>5178</v>
      </c>
      <c r="D1401" s="0" t="s">
        <v>227</v>
      </c>
      <c r="E1401" s="0" t="s">
        <v>5179</v>
      </c>
      <c r="F1401" s="0" t="s">
        <v>2344</v>
      </c>
      <c r="G1401" s="0" t="s">
        <v>184</v>
      </c>
      <c r="H1401" s="0" t="s">
        <v>7774</v>
      </c>
      <c r="I1401" s="0" t="s">
        <v>7338</v>
      </c>
      <c r="J1401" s="0" t="s">
        <v>1602</v>
      </c>
      <c r="K1401" s="0" t="s">
        <v>7339</v>
      </c>
      <c r="L1401" s="0" t="s">
        <v>7340</v>
      </c>
      <c r="M1401" s="0" t="s">
        <v>7661</v>
      </c>
      <c r="N1401" s="0" t="s">
        <v>7342</v>
      </c>
      <c r="P1401" s="0" t="s">
        <v>229</v>
      </c>
      <c r="Q1401" s="0" t="s">
        <v>7354</v>
      </c>
      <c r="R1401" s="0" t="s">
        <v>7343</v>
      </c>
      <c r="S1401" s="0" t="s">
        <v>7344</v>
      </c>
      <c r="T1401" s="0" t="s">
        <v>228</v>
      </c>
      <c r="V1401" s="0" t="s">
        <v>1358</v>
      </c>
      <c r="W1401" s="0" t="s">
        <v>64</v>
      </c>
      <c r="X1401" s="0" t="s">
        <v>7355</v>
      </c>
      <c r="Y1401" s="0" t="s">
        <v>7949</v>
      </c>
      <c r="Z1401" s="0" t="s">
        <v>7662</v>
      </c>
      <c r="AA1401" s="0" t="s">
        <v>8288</v>
      </c>
      <c r="AB1401" s="0" t="s">
        <v>237</v>
      </c>
      <c r="AC1401" s="0" t="s">
        <v>7629</v>
      </c>
      <c r="AD1401" s="0" t="s">
        <v>8289</v>
      </c>
      <c r="AE1401" s="0" t="s">
        <v>7360</v>
      </c>
      <c r="AF1401" s="0" t="s">
        <v>7361</v>
      </c>
      <c r="AG1401" s="0" t="s">
        <v>230</v>
      </c>
    </row>
    <row r="1402" customFormat="false" ht="15" hidden="false" customHeight="false" outlineLevel="0" collapsed="false">
      <c r="A1402" s="0" t="s">
        <v>7336</v>
      </c>
      <c r="B1402" s="0" t="s">
        <v>5180</v>
      </c>
      <c r="C1402" s="0" t="s">
        <v>5181</v>
      </c>
      <c r="D1402" s="0" t="s">
        <v>227</v>
      </c>
      <c r="E1402" s="0" t="s">
        <v>5182</v>
      </c>
      <c r="F1402" s="0" t="s">
        <v>2344</v>
      </c>
      <c r="G1402" s="0" t="s">
        <v>184</v>
      </c>
      <c r="H1402" s="0" t="s">
        <v>7774</v>
      </c>
      <c r="I1402" s="0" t="s">
        <v>7338</v>
      </c>
      <c r="J1402" s="0" t="s">
        <v>1602</v>
      </c>
      <c r="K1402" s="0" t="s">
        <v>7339</v>
      </c>
      <c r="L1402" s="0" t="s">
        <v>7340</v>
      </c>
      <c r="M1402" s="0" t="s">
        <v>7661</v>
      </c>
      <c r="N1402" s="0" t="s">
        <v>7342</v>
      </c>
      <c r="P1402" s="0" t="s">
        <v>229</v>
      </c>
      <c r="Q1402" s="0" t="s">
        <v>7354</v>
      </c>
      <c r="R1402" s="0" t="s">
        <v>7343</v>
      </c>
      <c r="S1402" s="0" t="s">
        <v>7344</v>
      </c>
      <c r="T1402" s="0" t="s">
        <v>228</v>
      </c>
      <c r="V1402" s="0" t="s">
        <v>1358</v>
      </c>
      <c r="W1402" s="0" t="s">
        <v>64</v>
      </c>
      <c r="X1402" s="0" t="s">
        <v>7355</v>
      </c>
      <c r="Y1402" s="0" t="s">
        <v>7949</v>
      </c>
      <c r="Z1402" s="0" t="s">
        <v>7662</v>
      </c>
      <c r="AA1402" s="0" t="s">
        <v>8288</v>
      </c>
      <c r="AB1402" s="0" t="s">
        <v>237</v>
      </c>
      <c r="AC1402" s="0" t="s">
        <v>7629</v>
      </c>
      <c r="AD1402" s="0" t="s">
        <v>7746</v>
      </c>
      <c r="AE1402" s="0" t="s">
        <v>7360</v>
      </c>
      <c r="AF1402" s="0" t="s">
        <v>7361</v>
      </c>
      <c r="AG1402" s="0" t="s">
        <v>230</v>
      </c>
    </row>
    <row r="1403" customFormat="false" ht="15" hidden="false" customHeight="false" outlineLevel="0" collapsed="false">
      <c r="A1403" s="0" t="s">
        <v>7336</v>
      </c>
      <c r="B1403" s="0" t="s">
        <v>5183</v>
      </c>
      <c r="C1403" s="0" t="s">
        <v>5184</v>
      </c>
      <c r="D1403" s="0" t="s">
        <v>227</v>
      </c>
      <c r="E1403" s="0" t="s">
        <v>5185</v>
      </c>
      <c r="F1403" s="0" t="s">
        <v>2145</v>
      </c>
      <c r="G1403" s="0" t="s">
        <v>184</v>
      </c>
      <c r="H1403" s="0" t="s">
        <v>7730</v>
      </c>
      <c r="I1403" s="0" t="s">
        <v>7338</v>
      </c>
      <c r="J1403" s="0" t="s">
        <v>1602</v>
      </c>
      <c r="K1403" s="0" t="s">
        <v>7339</v>
      </c>
      <c r="L1403" s="0" t="s">
        <v>7340</v>
      </c>
      <c r="M1403" s="0" t="s">
        <v>7661</v>
      </c>
      <c r="N1403" s="0" t="s">
        <v>7342</v>
      </c>
      <c r="P1403" s="0" t="s">
        <v>229</v>
      </c>
      <c r="Q1403" s="0" t="s">
        <v>7354</v>
      </c>
      <c r="R1403" s="0" t="s">
        <v>7343</v>
      </c>
      <c r="S1403" s="0" t="s">
        <v>7344</v>
      </c>
      <c r="T1403" s="0" t="s">
        <v>228</v>
      </c>
      <c r="V1403" s="0" t="s">
        <v>1358</v>
      </c>
      <c r="W1403" s="0" t="s">
        <v>64</v>
      </c>
      <c r="X1403" s="0" t="s">
        <v>7355</v>
      </c>
      <c r="Y1403" s="0" t="s">
        <v>7949</v>
      </c>
      <c r="Z1403" s="0" t="s">
        <v>7662</v>
      </c>
      <c r="AA1403" s="0" t="s">
        <v>8288</v>
      </c>
      <c r="AB1403" s="0" t="s">
        <v>237</v>
      </c>
      <c r="AC1403" s="0" t="s">
        <v>7629</v>
      </c>
      <c r="AD1403" s="0" t="s">
        <v>8289</v>
      </c>
      <c r="AE1403" s="0" t="s">
        <v>7360</v>
      </c>
      <c r="AF1403" s="0" t="s">
        <v>7361</v>
      </c>
      <c r="AG1403" s="0" t="s">
        <v>230</v>
      </c>
    </row>
    <row r="1404" customFormat="false" ht="15" hidden="false" customHeight="false" outlineLevel="0" collapsed="false">
      <c r="A1404" s="0" t="s">
        <v>7336</v>
      </c>
      <c r="B1404" s="0" t="s">
        <v>5186</v>
      </c>
      <c r="C1404" s="0" t="s">
        <v>5187</v>
      </c>
      <c r="D1404" s="0" t="s">
        <v>227</v>
      </c>
      <c r="E1404" s="0" t="s">
        <v>5188</v>
      </c>
      <c r="F1404" s="0" t="s">
        <v>2145</v>
      </c>
      <c r="G1404" s="0" t="s">
        <v>184</v>
      </c>
      <c r="H1404" s="0" t="s">
        <v>7730</v>
      </c>
      <c r="I1404" s="0" t="s">
        <v>7338</v>
      </c>
      <c r="J1404" s="0" t="s">
        <v>1602</v>
      </c>
      <c r="K1404" s="0" t="s">
        <v>7339</v>
      </c>
      <c r="L1404" s="0" t="s">
        <v>7340</v>
      </c>
      <c r="M1404" s="0" t="s">
        <v>7661</v>
      </c>
      <c r="N1404" s="0" t="s">
        <v>7342</v>
      </c>
      <c r="P1404" s="0" t="s">
        <v>229</v>
      </c>
      <c r="Q1404" s="0" t="s">
        <v>7354</v>
      </c>
      <c r="R1404" s="0" t="s">
        <v>7343</v>
      </c>
      <c r="S1404" s="0" t="s">
        <v>7344</v>
      </c>
      <c r="T1404" s="0" t="s">
        <v>228</v>
      </c>
      <c r="V1404" s="0" t="s">
        <v>1358</v>
      </c>
      <c r="W1404" s="0" t="s">
        <v>64</v>
      </c>
      <c r="X1404" s="0" t="s">
        <v>7355</v>
      </c>
      <c r="Y1404" s="0" t="s">
        <v>7949</v>
      </c>
      <c r="Z1404" s="0" t="s">
        <v>7662</v>
      </c>
      <c r="AA1404" s="0" t="s">
        <v>8288</v>
      </c>
      <c r="AB1404" s="0" t="s">
        <v>237</v>
      </c>
      <c r="AC1404" s="0" t="s">
        <v>7629</v>
      </c>
      <c r="AD1404" s="0" t="s">
        <v>7746</v>
      </c>
      <c r="AE1404" s="0" t="s">
        <v>7360</v>
      </c>
      <c r="AF1404" s="0" t="s">
        <v>7361</v>
      </c>
      <c r="AG1404" s="0" t="s">
        <v>230</v>
      </c>
    </row>
    <row r="1405" customFormat="false" ht="15" hidden="false" customHeight="false" outlineLevel="0" collapsed="false">
      <c r="A1405" s="0" t="s">
        <v>7336</v>
      </c>
      <c r="B1405" s="0" t="s">
        <v>5189</v>
      </c>
      <c r="C1405" s="0" t="s">
        <v>5190</v>
      </c>
      <c r="D1405" s="0" t="s">
        <v>227</v>
      </c>
      <c r="E1405" s="0" t="s">
        <v>5191</v>
      </c>
      <c r="F1405" s="0" t="s">
        <v>5192</v>
      </c>
      <c r="G1405" s="0" t="s">
        <v>176</v>
      </c>
      <c r="H1405" s="0" t="s">
        <v>8290</v>
      </c>
      <c r="I1405" s="0" t="s">
        <v>7338</v>
      </c>
      <c r="J1405" s="0" t="s">
        <v>1602</v>
      </c>
      <c r="K1405" s="0" t="s">
        <v>7339</v>
      </c>
      <c r="L1405" s="0" t="s">
        <v>7340</v>
      </c>
      <c r="M1405" s="0" t="s">
        <v>7661</v>
      </c>
      <c r="N1405" s="0" t="s">
        <v>7342</v>
      </c>
    </row>
    <row r="1406" customFormat="false" ht="15" hidden="false" customHeight="false" outlineLevel="0" collapsed="false">
      <c r="A1406" s="0" t="s">
        <v>7336</v>
      </c>
      <c r="B1406" s="0" t="s">
        <v>5193</v>
      </c>
      <c r="C1406" s="0" t="s">
        <v>5194</v>
      </c>
      <c r="D1406" s="0" t="s">
        <v>227</v>
      </c>
      <c r="E1406" s="0" t="s">
        <v>5195</v>
      </c>
      <c r="F1406" s="0" t="s">
        <v>5196</v>
      </c>
      <c r="G1406" s="0" t="s">
        <v>176</v>
      </c>
      <c r="H1406" s="0" t="s">
        <v>8291</v>
      </c>
      <c r="I1406" s="0" t="s">
        <v>7338</v>
      </c>
      <c r="J1406" s="0" t="s">
        <v>1602</v>
      </c>
      <c r="K1406" s="0" t="s">
        <v>7339</v>
      </c>
      <c r="L1406" s="0" t="s">
        <v>7340</v>
      </c>
      <c r="M1406" s="0" t="s">
        <v>7661</v>
      </c>
      <c r="N1406" s="0" t="s">
        <v>7342</v>
      </c>
    </row>
    <row r="1407" customFormat="false" ht="15" hidden="false" customHeight="false" outlineLevel="0" collapsed="false">
      <c r="A1407" s="0" t="s">
        <v>7336</v>
      </c>
      <c r="B1407" s="0" t="s">
        <v>5197</v>
      </c>
      <c r="C1407" s="0" t="s">
        <v>5198</v>
      </c>
      <c r="D1407" s="0" t="s">
        <v>227</v>
      </c>
      <c r="E1407" s="0" t="s">
        <v>5199</v>
      </c>
      <c r="F1407" s="0" t="s">
        <v>2313</v>
      </c>
      <c r="G1407" s="0" t="s">
        <v>138</v>
      </c>
      <c r="H1407" s="0" t="s">
        <v>7767</v>
      </c>
      <c r="I1407" s="0" t="s">
        <v>7338</v>
      </c>
      <c r="J1407" s="0" t="s">
        <v>1602</v>
      </c>
      <c r="K1407" s="0" t="s">
        <v>7339</v>
      </c>
      <c r="L1407" s="0" t="s">
        <v>7340</v>
      </c>
      <c r="M1407" s="0" t="s">
        <v>7661</v>
      </c>
      <c r="N1407" s="0" t="s">
        <v>7342</v>
      </c>
    </row>
    <row r="1408" customFormat="false" ht="15" hidden="false" customHeight="false" outlineLevel="0" collapsed="false">
      <c r="A1408" s="0" t="s">
        <v>7336</v>
      </c>
      <c r="B1408" s="0" t="s">
        <v>5200</v>
      </c>
      <c r="C1408" s="0" t="s">
        <v>5201</v>
      </c>
      <c r="D1408" s="0" t="s">
        <v>227</v>
      </c>
      <c r="E1408" s="0" t="s">
        <v>5202</v>
      </c>
      <c r="F1408" s="0" t="s">
        <v>2317</v>
      </c>
      <c r="G1408" s="0" t="s">
        <v>138</v>
      </c>
      <c r="H1408" s="0" t="s">
        <v>7768</v>
      </c>
      <c r="I1408" s="0" t="s">
        <v>7338</v>
      </c>
      <c r="J1408" s="0" t="s">
        <v>1602</v>
      </c>
      <c r="K1408" s="0" t="s">
        <v>7339</v>
      </c>
      <c r="L1408" s="0" t="s">
        <v>7340</v>
      </c>
      <c r="M1408" s="0" t="s">
        <v>7661</v>
      </c>
      <c r="N1408" s="0" t="s">
        <v>7342</v>
      </c>
    </row>
    <row r="1409" customFormat="false" ht="15" hidden="false" customHeight="false" outlineLevel="0" collapsed="false">
      <c r="A1409" s="0" t="s">
        <v>7336</v>
      </c>
      <c r="B1409" s="0" t="s">
        <v>5203</v>
      </c>
      <c r="C1409" s="0" t="s">
        <v>5204</v>
      </c>
      <c r="D1409" s="0" t="s">
        <v>227</v>
      </c>
      <c r="E1409" s="0" t="s">
        <v>5205</v>
      </c>
      <c r="F1409" s="0" t="s">
        <v>2321</v>
      </c>
      <c r="G1409" s="0" t="s">
        <v>170</v>
      </c>
      <c r="H1409" s="0" t="s">
        <v>7769</v>
      </c>
      <c r="I1409" s="0" t="s">
        <v>7338</v>
      </c>
      <c r="J1409" s="0" t="s">
        <v>1602</v>
      </c>
      <c r="K1409" s="0" t="s">
        <v>7339</v>
      </c>
      <c r="L1409" s="0" t="s">
        <v>7340</v>
      </c>
      <c r="M1409" s="0" t="s">
        <v>7661</v>
      </c>
      <c r="N1409" s="0" t="s">
        <v>7342</v>
      </c>
      <c r="P1409" s="0" t="s">
        <v>229</v>
      </c>
      <c r="Q1409" s="0" t="s">
        <v>7354</v>
      </c>
      <c r="R1409" s="0" t="s">
        <v>7343</v>
      </c>
      <c r="S1409" s="0" t="s">
        <v>7344</v>
      </c>
      <c r="T1409" s="0" t="s">
        <v>2231</v>
      </c>
      <c r="V1409" s="0" t="s">
        <v>34</v>
      </c>
      <c r="W1409" s="0" t="s">
        <v>40</v>
      </c>
      <c r="X1409" s="0" t="s">
        <v>7355</v>
      </c>
      <c r="Y1409" s="0" t="s">
        <v>7686</v>
      </c>
      <c r="Z1409" s="0" t="s">
        <v>7355</v>
      </c>
      <c r="AA1409" s="0" t="s">
        <v>7687</v>
      </c>
      <c r="AC1409" s="0" t="s">
        <v>7629</v>
      </c>
      <c r="AD1409" s="0" t="s">
        <v>7688</v>
      </c>
      <c r="AE1409" s="0" t="s">
        <v>7360</v>
      </c>
      <c r="AF1409" s="0" t="s">
        <v>7361</v>
      </c>
      <c r="AG1409" s="0" t="s">
        <v>230</v>
      </c>
    </row>
    <row r="1410" customFormat="false" ht="15" hidden="false" customHeight="false" outlineLevel="0" collapsed="false">
      <c r="A1410" s="0" t="s">
        <v>7336</v>
      </c>
      <c r="B1410" s="0" t="s">
        <v>5206</v>
      </c>
      <c r="C1410" s="0" t="s">
        <v>5207</v>
      </c>
      <c r="D1410" s="0" t="s">
        <v>227</v>
      </c>
      <c r="E1410" s="0" t="s">
        <v>5208</v>
      </c>
      <c r="F1410" s="0" t="s">
        <v>2325</v>
      </c>
      <c r="G1410" s="0" t="s">
        <v>170</v>
      </c>
      <c r="H1410" s="0" t="s">
        <v>7770</v>
      </c>
      <c r="I1410" s="0" t="s">
        <v>7338</v>
      </c>
      <c r="J1410" s="0" t="s">
        <v>1602</v>
      </c>
      <c r="K1410" s="0" t="s">
        <v>7339</v>
      </c>
      <c r="L1410" s="0" t="s">
        <v>7340</v>
      </c>
      <c r="M1410" s="0" t="s">
        <v>7661</v>
      </c>
      <c r="N1410" s="0" t="s">
        <v>7342</v>
      </c>
      <c r="P1410" s="0" t="s">
        <v>229</v>
      </c>
      <c r="Q1410" s="0" t="s">
        <v>7354</v>
      </c>
      <c r="R1410" s="0" t="s">
        <v>7343</v>
      </c>
      <c r="S1410" s="0" t="s">
        <v>7344</v>
      </c>
      <c r="T1410" s="0" t="s">
        <v>2231</v>
      </c>
      <c r="V1410" s="0" t="s">
        <v>34</v>
      </c>
      <c r="W1410" s="0" t="s">
        <v>40</v>
      </c>
      <c r="X1410" s="0" t="s">
        <v>7355</v>
      </c>
      <c r="Y1410" s="0" t="s">
        <v>7686</v>
      </c>
      <c r="Z1410" s="0" t="s">
        <v>7355</v>
      </c>
      <c r="AA1410" s="0" t="s">
        <v>7687</v>
      </c>
      <c r="AC1410" s="0" t="s">
        <v>7629</v>
      </c>
      <c r="AD1410" s="0" t="s">
        <v>7688</v>
      </c>
      <c r="AE1410" s="0" t="s">
        <v>7360</v>
      </c>
      <c r="AF1410" s="0" t="s">
        <v>7361</v>
      </c>
      <c r="AG1410" s="0" t="s">
        <v>230</v>
      </c>
    </row>
    <row r="1411" customFormat="false" ht="15" hidden="false" customHeight="false" outlineLevel="0" collapsed="false">
      <c r="A1411" s="0" t="s">
        <v>7336</v>
      </c>
      <c r="B1411" s="0" t="s">
        <v>5209</v>
      </c>
      <c r="C1411" s="0" t="s">
        <v>5210</v>
      </c>
      <c r="D1411" s="0" t="s">
        <v>227</v>
      </c>
      <c r="E1411" s="0" t="s">
        <v>5211</v>
      </c>
      <c r="F1411" s="0" t="s">
        <v>2329</v>
      </c>
      <c r="G1411" s="0" t="s">
        <v>178</v>
      </c>
      <c r="H1411" s="0" t="s">
        <v>7771</v>
      </c>
      <c r="I1411" s="0" t="s">
        <v>7338</v>
      </c>
      <c r="J1411" s="0" t="s">
        <v>1602</v>
      </c>
      <c r="K1411" s="0" t="s">
        <v>7339</v>
      </c>
      <c r="L1411" s="0" t="s">
        <v>7340</v>
      </c>
      <c r="M1411" s="0" t="s">
        <v>7661</v>
      </c>
      <c r="N1411" s="0" t="s">
        <v>7342</v>
      </c>
      <c r="P1411" s="0" t="s">
        <v>229</v>
      </c>
      <c r="Q1411" s="0" t="s">
        <v>7354</v>
      </c>
      <c r="R1411" s="0" t="s">
        <v>7343</v>
      </c>
      <c r="S1411" s="0" t="s">
        <v>7344</v>
      </c>
      <c r="T1411" s="0" t="s">
        <v>681</v>
      </c>
      <c r="V1411" s="0" t="s">
        <v>34</v>
      </c>
      <c r="W1411" s="0" t="s">
        <v>40</v>
      </c>
      <c r="X1411" s="0" t="s">
        <v>7355</v>
      </c>
      <c r="Y1411" s="0" t="s">
        <v>7686</v>
      </c>
      <c r="Z1411" s="0" t="s">
        <v>7355</v>
      </c>
      <c r="AA1411" s="0" t="s">
        <v>7687</v>
      </c>
      <c r="AC1411" s="0" t="s">
        <v>7629</v>
      </c>
      <c r="AD1411" s="0" t="s">
        <v>7688</v>
      </c>
      <c r="AE1411" s="0" t="s">
        <v>7360</v>
      </c>
      <c r="AF1411" s="0" t="s">
        <v>7361</v>
      </c>
      <c r="AG1411" s="0" t="s">
        <v>230</v>
      </c>
    </row>
    <row r="1412" customFormat="false" ht="15" hidden="false" customHeight="false" outlineLevel="0" collapsed="false">
      <c r="A1412" s="0" t="s">
        <v>7336</v>
      </c>
      <c r="B1412" s="0" t="s">
        <v>5212</v>
      </c>
      <c r="C1412" s="0" t="s">
        <v>5213</v>
      </c>
      <c r="D1412" s="0" t="s">
        <v>227</v>
      </c>
      <c r="E1412" s="0" t="s">
        <v>5214</v>
      </c>
      <c r="F1412" s="0" t="s">
        <v>2333</v>
      </c>
      <c r="G1412" s="0" t="s">
        <v>178</v>
      </c>
      <c r="H1412" s="0" t="s">
        <v>7772</v>
      </c>
      <c r="I1412" s="0" t="s">
        <v>7338</v>
      </c>
      <c r="J1412" s="0" t="s">
        <v>1602</v>
      </c>
      <c r="K1412" s="0" t="s">
        <v>7339</v>
      </c>
      <c r="L1412" s="0" t="s">
        <v>7340</v>
      </c>
      <c r="M1412" s="0" t="s">
        <v>7661</v>
      </c>
      <c r="N1412" s="0" t="s">
        <v>7342</v>
      </c>
      <c r="P1412" s="0" t="s">
        <v>229</v>
      </c>
      <c r="Q1412" s="0" t="s">
        <v>7354</v>
      </c>
      <c r="R1412" s="0" t="s">
        <v>7343</v>
      </c>
      <c r="S1412" s="0" t="s">
        <v>7344</v>
      </c>
      <c r="T1412" s="0" t="s">
        <v>681</v>
      </c>
      <c r="V1412" s="0" t="s">
        <v>34</v>
      </c>
      <c r="W1412" s="0" t="s">
        <v>40</v>
      </c>
      <c r="X1412" s="0" t="s">
        <v>7355</v>
      </c>
      <c r="Y1412" s="0" t="s">
        <v>7686</v>
      </c>
      <c r="Z1412" s="0" t="s">
        <v>7355</v>
      </c>
      <c r="AA1412" s="0" t="s">
        <v>7687</v>
      </c>
      <c r="AC1412" s="0" t="s">
        <v>7629</v>
      </c>
      <c r="AD1412" s="0" t="s">
        <v>7688</v>
      </c>
      <c r="AE1412" s="0" t="s">
        <v>7360</v>
      </c>
      <c r="AF1412" s="0" t="s">
        <v>7361</v>
      </c>
      <c r="AG1412" s="0" t="s">
        <v>230</v>
      </c>
    </row>
    <row r="1413" customFormat="false" ht="15" hidden="false" customHeight="false" outlineLevel="0" collapsed="false">
      <c r="A1413" s="0" t="s">
        <v>7336</v>
      </c>
      <c r="B1413" s="0" t="s">
        <v>5215</v>
      </c>
      <c r="C1413" s="0" t="s">
        <v>5216</v>
      </c>
      <c r="D1413" s="0" t="s">
        <v>227</v>
      </c>
      <c r="E1413" s="0" t="s">
        <v>5217</v>
      </c>
      <c r="F1413" s="0" t="s">
        <v>2337</v>
      </c>
      <c r="G1413" s="0" t="s">
        <v>184</v>
      </c>
      <c r="H1413" s="0" t="s">
        <v>7773</v>
      </c>
      <c r="I1413" s="0" t="s">
        <v>7338</v>
      </c>
      <c r="J1413" s="0" t="s">
        <v>1602</v>
      </c>
      <c r="K1413" s="0" t="s">
        <v>7339</v>
      </c>
      <c r="L1413" s="0" t="s">
        <v>7340</v>
      </c>
      <c r="M1413" s="0" t="s">
        <v>7661</v>
      </c>
      <c r="N1413" s="0" t="s">
        <v>7342</v>
      </c>
      <c r="P1413" s="0" t="s">
        <v>229</v>
      </c>
      <c r="Q1413" s="0" t="s">
        <v>7354</v>
      </c>
      <c r="R1413" s="0" t="s">
        <v>7343</v>
      </c>
      <c r="S1413" s="0" t="s">
        <v>7344</v>
      </c>
      <c r="T1413" s="0" t="s">
        <v>228</v>
      </c>
      <c r="V1413" s="0" t="s">
        <v>34</v>
      </c>
      <c r="W1413" s="0" t="s">
        <v>40</v>
      </c>
      <c r="X1413" s="0" t="s">
        <v>7355</v>
      </c>
      <c r="Y1413" s="0" t="s">
        <v>7686</v>
      </c>
      <c r="Z1413" s="0" t="s">
        <v>7355</v>
      </c>
      <c r="AA1413" s="0" t="s">
        <v>7687</v>
      </c>
      <c r="AB1413" s="0" t="s">
        <v>1825</v>
      </c>
      <c r="AC1413" s="0" t="s">
        <v>7629</v>
      </c>
      <c r="AD1413" s="0" t="s">
        <v>7688</v>
      </c>
      <c r="AE1413" s="0" t="s">
        <v>7360</v>
      </c>
      <c r="AF1413" s="0" t="s">
        <v>7361</v>
      </c>
      <c r="AG1413" s="0" t="s">
        <v>230</v>
      </c>
    </row>
    <row r="1414" customFormat="false" ht="15" hidden="false" customHeight="false" outlineLevel="0" collapsed="false">
      <c r="A1414" s="0" t="s">
        <v>7336</v>
      </c>
      <c r="B1414" s="0" t="s">
        <v>5218</v>
      </c>
      <c r="C1414" s="0" t="s">
        <v>5219</v>
      </c>
      <c r="D1414" s="0" t="s">
        <v>227</v>
      </c>
      <c r="E1414" s="0" t="s">
        <v>5220</v>
      </c>
      <c r="F1414" s="0" t="s">
        <v>2293</v>
      </c>
      <c r="G1414" s="0" t="s">
        <v>184</v>
      </c>
      <c r="H1414" s="0" t="s">
        <v>7762</v>
      </c>
      <c r="I1414" s="0" t="s">
        <v>7338</v>
      </c>
      <c r="J1414" s="0" t="s">
        <v>1602</v>
      </c>
      <c r="K1414" s="0" t="s">
        <v>7339</v>
      </c>
      <c r="L1414" s="0" t="s">
        <v>7340</v>
      </c>
      <c r="M1414" s="0" t="s">
        <v>7661</v>
      </c>
      <c r="N1414" s="0" t="s">
        <v>7342</v>
      </c>
      <c r="P1414" s="0" t="s">
        <v>229</v>
      </c>
      <c r="Q1414" s="0" t="s">
        <v>7354</v>
      </c>
      <c r="R1414" s="0" t="s">
        <v>7343</v>
      </c>
      <c r="S1414" s="0" t="s">
        <v>7344</v>
      </c>
      <c r="T1414" s="0" t="s">
        <v>228</v>
      </c>
      <c r="V1414" s="0" t="s">
        <v>34</v>
      </c>
      <c r="W1414" s="0" t="s">
        <v>40</v>
      </c>
      <c r="X1414" s="0" t="s">
        <v>7355</v>
      </c>
      <c r="Y1414" s="0" t="s">
        <v>7686</v>
      </c>
      <c r="Z1414" s="0" t="s">
        <v>7355</v>
      </c>
      <c r="AA1414" s="0" t="s">
        <v>7687</v>
      </c>
      <c r="AB1414" s="0" t="s">
        <v>1825</v>
      </c>
      <c r="AC1414" s="0" t="s">
        <v>7629</v>
      </c>
      <c r="AD1414" s="0" t="s">
        <v>7688</v>
      </c>
      <c r="AE1414" s="0" t="s">
        <v>7360</v>
      </c>
      <c r="AF1414" s="0" t="s">
        <v>7361</v>
      </c>
      <c r="AG1414" s="0" t="s">
        <v>230</v>
      </c>
    </row>
    <row r="1415" customFormat="false" ht="15" hidden="false" customHeight="false" outlineLevel="0" collapsed="false">
      <c r="A1415" s="0" t="s">
        <v>7336</v>
      </c>
      <c r="B1415" s="0" t="s">
        <v>5221</v>
      </c>
      <c r="C1415" s="0" t="s">
        <v>5222</v>
      </c>
      <c r="D1415" s="0" t="s">
        <v>227</v>
      </c>
      <c r="E1415" s="0" t="s">
        <v>5223</v>
      </c>
      <c r="F1415" s="0" t="s">
        <v>2344</v>
      </c>
      <c r="G1415" s="0" t="s">
        <v>184</v>
      </c>
      <c r="H1415" s="0" t="s">
        <v>7774</v>
      </c>
      <c r="I1415" s="0" t="s">
        <v>7338</v>
      </c>
      <c r="J1415" s="0" t="s">
        <v>1602</v>
      </c>
      <c r="K1415" s="0" t="s">
        <v>7339</v>
      </c>
      <c r="L1415" s="0" t="s">
        <v>7340</v>
      </c>
      <c r="M1415" s="0" t="s">
        <v>7661</v>
      </c>
      <c r="N1415" s="0" t="s">
        <v>7342</v>
      </c>
      <c r="P1415" s="0" t="s">
        <v>229</v>
      </c>
      <c r="Q1415" s="0" t="s">
        <v>7354</v>
      </c>
      <c r="R1415" s="0" t="s">
        <v>7343</v>
      </c>
      <c r="S1415" s="0" t="s">
        <v>7344</v>
      </c>
      <c r="T1415" s="0" t="s">
        <v>228</v>
      </c>
      <c r="V1415" s="0" t="s">
        <v>34</v>
      </c>
      <c r="W1415" s="0" t="s">
        <v>40</v>
      </c>
      <c r="X1415" s="0" t="s">
        <v>7355</v>
      </c>
      <c r="Y1415" s="0" t="s">
        <v>7686</v>
      </c>
      <c r="Z1415" s="0" t="s">
        <v>7355</v>
      </c>
      <c r="AA1415" s="0" t="s">
        <v>7687</v>
      </c>
      <c r="AB1415" s="0" t="s">
        <v>1825</v>
      </c>
      <c r="AC1415" s="0" t="s">
        <v>7629</v>
      </c>
      <c r="AD1415" s="0" t="s">
        <v>7688</v>
      </c>
      <c r="AE1415" s="0" t="s">
        <v>7360</v>
      </c>
      <c r="AF1415" s="0" t="s">
        <v>7361</v>
      </c>
      <c r="AG1415" s="0" t="s">
        <v>230</v>
      </c>
    </row>
    <row r="1416" customFormat="false" ht="15" hidden="false" customHeight="false" outlineLevel="0" collapsed="false">
      <c r="A1416" s="0" t="s">
        <v>7336</v>
      </c>
      <c r="B1416" s="0" t="s">
        <v>5224</v>
      </c>
      <c r="C1416" s="0" t="s">
        <v>5225</v>
      </c>
      <c r="D1416" s="0" t="s">
        <v>227</v>
      </c>
      <c r="E1416" s="0" t="s">
        <v>5226</v>
      </c>
      <c r="F1416" s="0" t="s">
        <v>2145</v>
      </c>
      <c r="G1416" s="0" t="s">
        <v>184</v>
      </c>
      <c r="H1416" s="0" t="s">
        <v>7730</v>
      </c>
      <c r="I1416" s="0" t="s">
        <v>7338</v>
      </c>
      <c r="J1416" s="0" t="s">
        <v>1602</v>
      </c>
      <c r="K1416" s="0" t="s">
        <v>7339</v>
      </c>
      <c r="L1416" s="0" t="s">
        <v>7340</v>
      </c>
      <c r="M1416" s="0" t="s">
        <v>7661</v>
      </c>
      <c r="N1416" s="0" t="s">
        <v>7342</v>
      </c>
      <c r="P1416" s="0" t="s">
        <v>229</v>
      </c>
      <c r="Q1416" s="0" t="s">
        <v>7354</v>
      </c>
      <c r="R1416" s="0" t="s">
        <v>7343</v>
      </c>
      <c r="S1416" s="0" t="s">
        <v>7344</v>
      </c>
      <c r="T1416" s="0" t="s">
        <v>228</v>
      </c>
      <c r="V1416" s="0" t="s">
        <v>34</v>
      </c>
      <c r="W1416" s="0" t="s">
        <v>40</v>
      </c>
      <c r="X1416" s="0" t="s">
        <v>7355</v>
      </c>
      <c r="Y1416" s="0" t="s">
        <v>7686</v>
      </c>
      <c r="Z1416" s="0" t="s">
        <v>7355</v>
      </c>
      <c r="AA1416" s="0" t="s">
        <v>7687</v>
      </c>
      <c r="AB1416" s="0" t="s">
        <v>1825</v>
      </c>
      <c r="AC1416" s="0" t="s">
        <v>7629</v>
      </c>
      <c r="AD1416" s="0" t="s">
        <v>7688</v>
      </c>
      <c r="AE1416" s="0" t="s">
        <v>7360</v>
      </c>
      <c r="AF1416" s="0" t="s">
        <v>7361</v>
      </c>
      <c r="AG1416" s="0" t="s">
        <v>230</v>
      </c>
    </row>
    <row r="1417" customFormat="false" ht="15" hidden="false" customHeight="false" outlineLevel="0" collapsed="false">
      <c r="A1417" s="0" t="s">
        <v>7336</v>
      </c>
      <c r="B1417" s="0" t="s">
        <v>5227</v>
      </c>
      <c r="C1417" s="0" t="s">
        <v>5228</v>
      </c>
      <c r="D1417" s="0" t="s">
        <v>227</v>
      </c>
      <c r="E1417" s="0" t="s">
        <v>5229</v>
      </c>
      <c r="F1417" s="0" t="s">
        <v>2150</v>
      </c>
      <c r="G1417" s="0" t="s">
        <v>184</v>
      </c>
      <c r="H1417" s="0" t="s">
        <v>7732</v>
      </c>
      <c r="I1417" s="0" t="s">
        <v>7338</v>
      </c>
      <c r="J1417" s="0" t="s">
        <v>1602</v>
      </c>
      <c r="K1417" s="0" t="s">
        <v>7339</v>
      </c>
      <c r="L1417" s="0" t="s">
        <v>7340</v>
      </c>
      <c r="M1417" s="0" t="s">
        <v>7661</v>
      </c>
      <c r="N1417" s="0" t="s">
        <v>7342</v>
      </c>
      <c r="P1417" s="0" t="s">
        <v>229</v>
      </c>
      <c r="Q1417" s="0" t="s">
        <v>7354</v>
      </c>
      <c r="R1417" s="0" t="s">
        <v>7343</v>
      </c>
      <c r="S1417" s="0" t="s">
        <v>7344</v>
      </c>
      <c r="T1417" s="0" t="s">
        <v>228</v>
      </c>
      <c r="V1417" s="0" t="s">
        <v>34</v>
      </c>
      <c r="W1417" s="0" t="s">
        <v>40</v>
      </c>
      <c r="X1417" s="0" t="s">
        <v>7355</v>
      </c>
      <c r="Y1417" s="0" t="s">
        <v>7686</v>
      </c>
      <c r="Z1417" s="0" t="s">
        <v>7355</v>
      </c>
      <c r="AA1417" s="0" t="s">
        <v>7687</v>
      </c>
      <c r="AB1417" s="0" t="s">
        <v>1825</v>
      </c>
      <c r="AC1417" s="0" t="s">
        <v>7629</v>
      </c>
      <c r="AD1417" s="0" t="s">
        <v>7688</v>
      </c>
      <c r="AE1417" s="0" t="s">
        <v>7360</v>
      </c>
      <c r="AF1417" s="0" t="s">
        <v>7361</v>
      </c>
      <c r="AG1417" s="0" t="s">
        <v>230</v>
      </c>
    </row>
    <row r="1418" customFormat="false" ht="15" hidden="false" customHeight="false" outlineLevel="0" collapsed="false">
      <c r="A1418" s="0" t="s">
        <v>7336</v>
      </c>
      <c r="B1418" s="0" t="s">
        <v>5230</v>
      </c>
      <c r="C1418" s="0" t="s">
        <v>5231</v>
      </c>
      <c r="D1418" s="0" t="s">
        <v>227</v>
      </c>
      <c r="E1418" s="0" t="s">
        <v>5232</v>
      </c>
      <c r="F1418" s="0" t="s">
        <v>2154</v>
      </c>
      <c r="G1418" s="0" t="s">
        <v>184</v>
      </c>
      <c r="H1418" s="0" t="s">
        <v>7733</v>
      </c>
      <c r="I1418" s="0" t="s">
        <v>7338</v>
      </c>
      <c r="J1418" s="0" t="s">
        <v>1602</v>
      </c>
      <c r="K1418" s="0" t="s">
        <v>7339</v>
      </c>
      <c r="L1418" s="0" t="s">
        <v>7340</v>
      </c>
      <c r="M1418" s="0" t="s">
        <v>7661</v>
      </c>
      <c r="N1418" s="0" t="s">
        <v>7342</v>
      </c>
      <c r="P1418" s="0" t="s">
        <v>229</v>
      </c>
      <c r="Q1418" s="0" t="s">
        <v>7354</v>
      </c>
      <c r="R1418" s="0" t="s">
        <v>7343</v>
      </c>
      <c r="S1418" s="0" t="s">
        <v>7344</v>
      </c>
      <c r="T1418" s="0" t="s">
        <v>228</v>
      </c>
      <c r="V1418" s="0" t="s">
        <v>34</v>
      </c>
      <c r="W1418" s="0" t="s">
        <v>40</v>
      </c>
      <c r="X1418" s="0" t="s">
        <v>7355</v>
      </c>
      <c r="Y1418" s="0" t="s">
        <v>7686</v>
      </c>
      <c r="Z1418" s="0" t="s">
        <v>7355</v>
      </c>
      <c r="AA1418" s="0" t="s">
        <v>7687</v>
      </c>
      <c r="AB1418" s="0" t="s">
        <v>1825</v>
      </c>
      <c r="AC1418" s="0" t="s">
        <v>7629</v>
      </c>
      <c r="AD1418" s="0" t="s">
        <v>7688</v>
      </c>
      <c r="AE1418" s="0" t="s">
        <v>7360</v>
      </c>
      <c r="AF1418" s="0" t="s">
        <v>7361</v>
      </c>
      <c r="AG1418" s="0" t="s">
        <v>230</v>
      </c>
    </row>
    <row r="1419" customFormat="false" ht="15" hidden="false" customHeight="false" outlineLevel="0" collapsed="false">
      <c r="A1419" s="0" t="s">
        <v>7336</v>
      </c>
      <c r="B1419" s="0" t="s">
        <v>5233</v>
      </c>
      <c r="C1419" s="0" t="s">
        <v>5234</v>
      </c>
      <c r="D1419" s="0" t="s">
        <v>227</v>
      </c>
      <c r="E1419" s="0" t="s">
        <v>5235</v>
      </c>
      <c r="F1419" s="0" t="s">
        <v>2372</v>
      </c>
      <c r="G1419" s="0" t="s">
        <v>184</v>
      </c>
      <c r="H1419" s="0" t="s">
        <v>7775</v>
      </c>
      <c r="I1419" s="0" t="s">
        <v>7338</v>
      </c>
      <c r="J1419" s="0" t="s">
        <v>1602</v>
      </c>
      <c r="K1419" s="0" t="s">
        <v>7339</v>
      </c>
      <c r="L1419" s="0" t="s">
        <v>7340</v>
      </c>
      <c r="M1419" s="0" t="s">
        <v>7661</v>
      </c>
      <c r="N1419" s="0" t="s">
        <v>7342</v>
      </c>
      <c r="P1419" s="0" t="s">
        <v>229</v>
      </c>
      <c r="Q1419" s="0" t="s">
        <v>7354</v>
      </c>
      <c r="R1419" s="0" t="s">
        <v>7343</v>
      </c>
      <c r="S1419" s="0" t="s">
        <v>7344</v>
      </c>
      <c r="T1419" s="0" t="s">
        <v>228</v>
      </c>
      <c r="V1419" s="0" t="s">
        <v>34</v>
      </c>
      <c r="W1419" s="0" t="s">
        <v>40</v>
      </c>
      <c r="X1419" s="0" t="s">
        <v>7355</v>
      </c>
      <c r="Y1419" s="0" t="s">
        <v>7686</v>
      </c>
      <c r="Z1419" s="0" t="s">
        <v>7355</v>
      </c>
      <c r="AA1419" s="0" t="s">
        <v>7687</v>
      </c>
      <c r="AB1419" s="0" t="s">
        <v>1825</v>
      </c>
      <c r="AC1419" s="0" t="s">
        <v>7629</v>
      </c>
      <c r="AD1419" s="0" t="s">
        <v>7688</v>
      </c>
      <c r="AE1419" s="0" t="s">
        <v>7360</v>
      </c>
      <c r="AF1419" s="0" t="s">
        <v>7361</v>
      </c>
      <c r="AG1419" s="0" t="s">
        <v>230</v>
      </c>
    </row>
    <row r="1420" customFormat="false" ht="15" hidden="false" customHeight="false" outlineLevel="0" collapsed="false">
      <c r="A1420" s="0" t="s">
        <v>7336</v>
      </c>
      <c r="B1420" s="0" t="s">
        <v>5236</v>
      </c>
      <c r="C1420" s="0" t="s">
        <v>5237</v>
      </c>
      <c r="D1420" s="0" t="s">
        <v>227</v>
      </c>
      <c r="E1420" s="0" t="s">
        <v>5238</v>
      </c>
      <c r="F1420" s="0" t="s">
        <v>2158</v>
      </c>
      <c r="G1420" s="0" t="s">
        <v>184</v>
      </c>
      <c r="H1420" s="0" t="s">
        <v>7734</v>
      </c>
      <c r="I1420" s="0" t="s">
        <v>7338</v>
      </c>
      <c r="J1420" s="0" t="s">
        <v>1602</v>
      </c>
      <c r="K1420" s="0" t="s">
        <v>7339</v>
      </c>
      <c r="L1420" s="0" t="s">
        <v>7340</v>
      </c>
      <c r="M1420" s="0" t="s">
        <v>7661</v>
      </c>
      <c r="N1420" s="0" t="s">
        <v>7342</v>
      </c>
      <c r="P1420" s="0" t="s">
        <v>229</v>
      </c>
      <c r="Q1420" s="0" t="s">
        <v>7354</v>
      </c>
      <c r="R1420" s="0" t="s">
        <v>7343</v>
      </c>
      <c r="S1420" s="0" t="s">
        <v>7344</v>
      </c>
      <c r="T1420" s="0" t="s">
        <v>228</v>
      </c>
      <c r="V1420" s="0" t="s">
        <v>34</v>
      </c>
      <c r="W1420" s="0" t="s">
        <v>40</v>
      </c>
      <c r="X1420" s="0" t="s">
        <v>7355</v>
      </c>
      <c r="Y1420" s="0" t="s">
        <v>7686</v>
      </c>
      <c r="Z1420" s="0" t="s">
        <v>7355</v>
      </c>
      <c r="AA1420" s="0" t="s">
        <v>7687</v>
      </c>
      <c r="AB1420" s="0" t="s">
        <v>1825</v>
      </c>
      <c r="AC1420" s="0" t="s">
        <v>7629</v>
      </c>
      <c r="AD1420" s="0" t="s">
        <v>7688</v>
      </c>
      <c r="AE1420" s="0" t="s">
        <v>7360</v>
      </c>
      <c r="AF1420" s="0" t="s">
        <v>7361</v>
      </c>
      <c r="AG1420" s="0" t="s">
        <v>230</v>
      </c>
    </row>
    <row r="1421" customFormat="false" ht="15" hidden="false" customHeight="false" outlineLevel="0" collapsed="false">
      <c r="A1421" s="0" t="s">
        <v>7336</v>
      </c>
      <c r="B1421" s="0" t="s">
        <v>5239</v>
      </c>
      <c r="C1421" s="0" t="s">
        <v>5240</v>
      </c>
      <c r="D1421" s="0" t="s">
        <v>227</v>
      </c>
      <c r="E1421" s="0" t="s">
        <v>5241</v>
      </c>
      <c r="F1421" s="0" t="s">
        <v>2344</v>
      </c>
      <c r="G1421" s="0" t="s">
        <v>184</v>
      </c>
      <c r="H1421" s="0" t="s">
        <v>7774</v>
      </c>
      <c r="I1421" s="0" t="s">
        <v>7338</v>
      </c>
      <c r="J1421" s="0" t="s">
        <v>1602</v>
      </c>
      <c r="K1421" s="0" t="s">
        <v>7339</v>
      </c>
      <c r="L1421" s="0" t="s">
        <v>7340</v>
      </c>
      <c r="M1421" s="0" t="s">
        <v>7661</v>
      </c>
      <c r="N1421" s="0" t="s">
        <v>7342</v>
      </c>
      <c r="P1421" s="0" t="s">
        <v>229</v>
      </c>
      <c r="Q1421" s="0" t="s">
        <v>7354</v>
      </c>
      <c r="R1421" s="0" t="s">
        <v>7343</v>
      </c>
      <c r="S1421" s="0" t="s">
        <v>7344</v>
      </c>
      <c r="T1421" s="0" t="s">
        <v>228</v>
      </c>
      <c r="V1421" s="0" t="s">
        <v>34</v>
      </c>
      <c r="W1421" s="0" t="s">
        <v>40</v>
      </c>
      <c r="X1421" s="0" t="s">
        <v>7355</v>
      </c>
      <c r="Y1421" s="0" t="s">
        <v>7686</v>
      </c>
      <c r="Z1421" s="0" t="s">
        <v>7355</v>
      </c>
      <c r="AA1421" s="0" t="s">
        <v>7687</v>
      </c>
      <c r="AB1421" s="0" t="s">
        <v>1825</v>
      </c>
      <c r="AC1421" s="0" t="s">
        <v>7629</v>
      </c>
      <c r="AD1421" s="0" t="s">
        <v>7688</v>
      </c>
      <c r="AE1421" s="0" t="s">
        <v>7360</v>
      </c>
      <c r="AF1421" s="0" t="s">
        <v>7361</v>
      </c>
      <c r="AG1421" s="0" t="s">
        <v>230</v>
      </c>
    </row>
    <row r="1422" customFormat="false" ht="15" hidden="false" customHeight="false" outlineLevel="0" collapsed="false">
      <c r="A1422" s="0" t="s">
        <v>7336</v>
      </c>
      <c r="B1422" s="0" t="s">
        <v>5242</v>
      </c>
      <c r="C1422" s="0" t="s">
        <v>5243</v>
      </c>
      <c r="D1422" s="0" t="s">
        <v>227</v>
      </c>
      <c r="E1422" s="0" t="s">
        <v>5244</v>
      </c>
      <c r="F1422" s="0" t="s">
        <v>2372</v>
      </c>
      <c r="G1422" s="0" t="s">
        <v>184</v>
      </c>
      <c r="H1422" s="0" t="s">
        <v>7775</v>
      </c>
      <c r="I1422" s="0" t="s">
        <v>7338</v>
      </c>
      <c r="J1422" s="0" t="s">
        <v>1602</v>
      </c>
      <c r="K1422" s="0" t="s">
        <v>7339</v>
      </c>
      <c r="L1422" s="0" t="s">
        <v>7340</v>
      </c>
      <c r="M1422" s="0" t="s">
        <v>7661</v>
      </c>
      <c r="N1422" s="0" t="s">
        <v>7342</v>
      </c>
      <c r="P1422" s="0" t="s">
        <v>229</v>
      </c>
      <c r="Q1422" s="0" t="s">
        <v>7354</v>
      </c>
      <c r="R1422" s="0" t="s">
        <v>7343</v>
      </c>
      <c r="S1422" s="0" t="s">
        <v>7344</v>
      </c>
      <c r="T1422" s="0" t="s">
        <v>228</v>
      </c>
      <c r="V1422" s="0" t="s">
        <v>34</v>
      </c>
      <c r="W1422" s="0" t="s">
        <v>40</v>
      </c>
      <c r="X1422" s="0" t="s">
        <v>7355</v>
      </c>
      <c r="Y1422" s="0" t="s">
        <v>7686</v>
      </c>
      <c r="Z1422" s="0" t="s">
        <v>7355</v>
      </c>
      <c r="AA1422" s="0" t="s">
        <v>7687</v>
      </c>
      <c r="AB1422" s="0" t="s">
        <v>1825</v>
      </c>
      <c r="AC1422" s="0" t="s">
        <v>7629</v>
      </c>
      <c r="AD1422" s="0" t="s">
        <v>7688</v>
      </c>
      <c r="AE1422" s="0" t="s">
        <v>7360</v>
      </c>
      <c r="AF1422" s="0" t="s">
        <v>7361</v>
      </c>
      <c r="AG1422" s="0" t="s">
        <v>230</v>
      </c>
    </row>
    <row r="1423" customFormat="false" ht="15" hidden="false" customHeight="false" outlineLevel="0" collapsed="false">
      <c r="A1423" s="0" t="s">
        <v>7336</v>
      </c>
      <c r="B1423" s="0" t="s">
        <v>5245</v>
      </c>
      <c r="C1423" s="0" t="s">
        <v>5246</v>
      </c>
      <c r="D1423" s="0" t="s">
        <v>227</v>
      </c>
      <c r="E1423" s="0" t="s">
        <v>5247</v>
      </c>
      <c r="F1423" s="0" t="s">
        <v>2337</v>
      </c>
      <c r="G1423" s="0" t="s">
        <v>184</v>
      </c>
      <c r="H1423" s="0" t="s">
        <v>7773</v>
      </c>
      <c r="I1423" s="0" t="s">
        <v>7338</v>
      </c>
      <c r="J1423" s="0" t="s">
        <v>1602</v>
      </c>
      <c r="K1423" s="0" t="s">
        <v>7339</v>
      </c>
      <c r="L1423" s="0" t="s">
        <v>7340</v>
      </c>
      <c r="M1423" s="0" t="s">
        <v>7661</v>
      </c>
      <c r="N1423" s="0" t="s">
        <v>7342</v>
      </c>
      <c r="P1423" s="0" t="s">
        <v>229</v>
      </c>
      <c r="Q1423" s="0" t="s">
        <v>7354</v>
      </c>
      <c r="R1423" s="0" t="s">
        <v>7343</v>
      </c>
      <c r="S1423" s="0" t="s">
        <v>7344</v>
      </c>
      <c r="T1423" s="0" t="s">
        <v>228</v>
      </c>
      <c r="V1423" s="0" t="s">
        <v>34</v>
      </c>
      <c r="W1423" s="0" t="s">
        <v>40</v>
      </c>
      <c r="X1423" s="0" t="s">
        <v>7355</v>
      </c>
      <c r="Y1423" s="0" t="s">
        <v>7686</v>
      </c>
      <c r="Z1423" s="0" t="s">
        <v>7355</v>
      </c>
      <c r="AA1423" s="0" t="s">
        <v>7687</v>
      </c>
      <c r="AB1423" s="0" t="s">
        <v>1825</v>
      </c>
      <c r="AC1423" s="0" t="s">
        <v>7629</v>
      </c>
      <c r="AD1423" s="0" t="s">
        <v>7688</v>
      </c>
      <c r="AE1423" s="0" t="s">
        <v>7360</v>
      </c>
      <c r="AF1423" s="0" t="s">
        <v>7361</v>
      </c>
      <c r="AG1423" s="0" t="s">
        <v>230</v>
      </c>
    </row>
    <row r="1424" customFormat="false" ht="15" hidden="false" customHeight="false" outlineLevel="0" collapsed="false">
      <c r="A1424" s="0" t="s">
        <v>7336</v>
      </c>
      <c r="B1424" s="0" t="s">
        <v>5248</v>
      </c>
      <c r="C1424" s="0" t="s">
        <v>5249</v>
      </c>
      <c r="D1424" s="0" t="s">
        <v>227</v>
      </c>
      <c r="E1424" s="0" t="s">
        <v>5250</v>
      </c>
      <c r="F1424" s="0" t="s">
        <v>2293</v>
      </c>
      <c r="G1424" s="0" t="s">
        <v>184</v>
      </c>
      <c r="H1424" s="0" t="s">
        <v>7762</v>
      </c>
      <c r="I1424" s="0" t="s">
        <v>7338</v>
      </c>
      <c r="J1424" s="0" t="s">
        <v>1602</v>
      </c>
      <c r="K1424" s="0" t="s">
        <v>7339</v>
      </c>
      <c r="L1424" s="0" t="s">
        <v>7340</v>
      </c>
      <c r="M1424" s="0" t="s">
        <v>7661</v>
      </c>
      <c r="N1424" s="0" t="s">
        <v>7342</v>
      </c>
      <c r="P1424" s="0" t="s">
        <v>229</v>
      </c>
      <c r="Q1424" s="0" t="s">
        <v>7354</v>
      </c>
      <c r="R1424" s="0" t="s">
        <v>7343</v>
      </c>
      <c r="S1424" s="0" t="s">
        <v>7344</v>
      </c>
      <c r="T1424" s="0" t="s">
        <v>228</v>
      </c>
      <c r="V1424" s="0" t="s">
        <v>34</v>
      </c>
      <c r="W1424" s="0" t="s">
        <v>40</v>
      </c>
      <c r="X1424" s="0" t="s">
        <v>7355</v>
      </c>
      <c r="Y1424" s="0" t="s">
        <v>7686</v>
      </c>
      <c r="Z1424" s="0" t="s">
        <v>7355</v>
      </c>
      <c r="AA1424" s="0" t="s">
        <v>7687</v>
      </c>
      <c r="AB1424" s="0" t="s">
        <v>1825</v>
      </c>
      <c r="AC1424" s="0" t="s">
        <v>7629</v>
      </c>
      <c r="AD1424" s="0" t="s">
        <v>7688</v>
      </c>
      <c r="AE1424" s="0" t="s">
        <v>7360</v>
      </c>
      <c r="AF1424" s="0" t="s">
        <v>7361</v>
      </c>
      <c r="AG1424" s="0" t="s">
        <v>230</v>
      </c>
    </row>
    <row r="1425" customFormat="false" ht="15" hidden="false" customHeight="false" outlineLevel="0" collapsed="false">
      <c r="A1425" s="0" t="s">
        <v>7336</v>
      </c>
      <c r="B1425" s="0" t="s">
        <v>5251</v>
      </c>
      <c r="C1425" s="0" t="s">
        <v>5252</v>
      </c>
      <c r="D1425" s="0" t="s">
        <v>227</v>
      </c>
      <c r="E1425" s="0" t="s">
        <v>5253</v>
      </c>
      <c r="F1425" s="0" t="s">
        <v>2145</v>
      </c>
      <c r="G1425" s="0" t="s">
        <v>184</v>
      </c>
      <c r="H1425" s="0" t="s">
        <v>7730</v>
      </c>
      <c r="I1425" s="0" t="s">
        <v>7338</v>
      </c>
      <c r="J1425" s="0" t="s">
        <v>1602</v>
      </c>
      <c r="K1425" s="0" t="s">
        <v>7339</v>
      </c>
      <c r="L1425" s="0" t="s">
        <v>7340</v>
      </c>
      <c r="M1425" s="0" t="s">
        <v>7661</v>
      </c>
      <c r="N1425" s="0" t="s">
        <v>7342</v>
      </c>
      <c r="P1425" s="0" t="s">
        <v>229</v>
      </c>
      <c r="Q1425" s="0" t="s">
        <v>7354</v>
      </c>
      <c r="R1425" s="0" t="s">
        <v>7343</v>
      </c>
      <c r="S1425" s="0" t="s">
        <v>7344</v>
      </c>
      <c r="T1425" s="0" t="s">
        <v>228</v>
      </c>
      <c r="V1425" s="0" t="s">
        <v>34</v>
      </c>
      <c r="W1425" s="0" t="s">
        <v>40</v>
      </c>
      <c r="X1425" s="0" t="s">
        <v>7355</v>
      </c>
      <c r="Y1425" s="0" t="s">
        <v>7686</v>
      </c>
      <c r="Z1425" s="0" t="s">
        <v>7355</v>
      </c>
      <c r="AA1425" s="0" t="s">
        <v>7687</v>
      </c>
      <c r="AB1425" s="0" t="s">
        <v>1825</v>
      </c>
      <c r="AC1425" s="0" t="s">
        <v>7629</v>
      </c>
      <c r="AD1425" s="0" t="s">
        <v>7688</v>
      </c>
      <c r="AE1425" s="0" t="s">
        <v>7360</v>
      </c>
      <c r="AF1425" s="0" t="s">
        <v>7361</v>
      </c>
      <c r="AG1425" s="0" t="s">
        <v>230</v>
      </c>
    </row>
    <row r="1426" customFormat="false" ht="15" hidden="false" customHeight="false" outlineLevel="0" collapsed="false">
      <c r="A1426" s="0" t="s">
        <v>7336</v>
      </c>
      <c r="B1426" s="0" t="s">
        <v>5254</v>
      </c>
      <c r="C1426" s="0" t="s">
        <v>5255</v>
      </c>
      <c r="D1426" s="0" t="s">
        <v>227</v>
      </c>
      <c r="E1426" s="0" t="s">
        <v>5256</v>
      </c>
      <c r="F1426" s="0" t="s">
        <v>2150</v>
      </c>
      <c r="G1426" s="0" t="s">
        <v>184</v>
      </c>
      <c r="H1426" s="0" t="s">
        <v>7732</v>
      </c>
      <c r="I1426" s="0" t="s">
        <v>7338</v>
      </c>
      <c r="J1426" s="0" t="s">
        <v>1602</v>
      </c>
      <c r="K1426" s="0" t="s">
        <v>7339</v>
      </c>
      <c r="L1426" s="0" t="s">
        <v>7340</v>
      </c>
      <c r="M1426" s="0" t="s">
        <v>7661</v>
      </c>
      <c r="N1426" s="0" t="s">
        <v>7342</v>
      </c>
      <c r="P1426" s="0" t="s">
        <v>229</v>
      </c>
      <c r="Q1426" s="0" t="s">
        <v>7354</v>
      </c>
      <c r="R1426" s="0" t="s">
        <v>7343</v>
      </c>
      <c r="S1426" s="0" t="s">
        <v>7344</v>
      </c>
      <c r="T1426" s="0" t="s">
        <v>228</v>
      </c>
      <c r="V1426" s="0" t="s">
        <v>34</v>
      </c>
      <c r="W1426" s="0" t="s">
        <v>40</v>
      </c>
      <c r="X1426" s="0" t="s">
        <v>7355</v>
      </c>
      <c r="Y1426" s="0" t="s">
        <v>7686</v>
      </c>
      <c r="Z1426" s="0" t="s">
        <v>7355</v>
      </c>
      <c r="AA1426" s="0" t="s">
        <v>7687</v>
      </c>
      <c r="AB1426" s="0" t="s">
        <v>1825</v>
      </c>
      <c r="AC1426" s="0" t="s">
        <v>7629</v>
      </c>
      <c r="AD1426" s="0" t="s">
        <v>7688</v>
      </c>
      <c r="AE1426" s="0" t="s">
        <v>7360</v>
      </c>
      <c r="AF1426" s="0" t="s">
        <v>7361</v>
      </c>
      <c r="AG1426" s="0" t="s">
        <v>230</v>
      </c>
    </row>
    <row r="1427" customFormat="false" ht="15" hidden="false" customHeight="false" outlineLevel="0" collapsed="false">
      <c r="A1427" s="0" t="s">
        <v>7336</v>
      </c>
      <c r="B1427" s="0" t="s">
        <v>5257</v>
      </c>
      <c r="C1427" s="0" t="s">
        <v>5258</v>
      </c>
      <c r="D1427" s="0" t="s">
        <v>227</v>
      </c>
      <c r="E1427" s="0" t="s">
        <v>5259</v>
      </c>
      <c r="F1427" s="0" t="s">
        <v>2154</v>
      </c>
      <c r="G1427" s="0" t="s">
        <v>184</v>
      </c>
      <c r="H1427" s="0" t="s">
        <v>7733</v>
      </c>
      <c r="I1427" s="0" t="s">
        <v>7338</v>
      </c>
      <c r="J1427" s="0" t="s">
        <v>1602</v>
      </c>
      <c r="K1427" s="0" t="s">
        <v>7339</v>
      </c>
      <c r="L1427" s="0" t="s">
        <v>7340</v>
      </c>
      <c r="M1427" s="0" t="s">
        <v>7661</v>
      </c>
      <c r="N1427" s="0" t="s">
        <v>7342</v>
      </c>
      <c r="P1427" s="0" t="s">
        <v>229</v>
      </c>
      <c r="Q1427" s="0" t="s">
        <v>7354</v>
      </c>
      <c r="R1427" s="0" t="s">
        <v>7343</v>
      </c>
      <c r="S1427" s="0" t="s">
        <v>7344</v>
      </c>
      <c r="T1427" s="0" t="s">
        <v>228</v>
      </c>
      <c r="V1427" s="0" t="s">
        <v>34</v>
      </c>
      <c r="W1427" s="0" t="s">
        <v>40</v>
      </c>
      <c r="X1427" s="0" t="s">
        <v>7355</v>
      </c>
      <c r="Y1427" s="0" t="s">
        <v>7686</v>
      </c>
      <c r="Z1427" s="0" t="s">
        <v>7355</v>
      </c>
      <c r="AA1427" s="0" t="s">
        <v>7687</v>
      </c>
      <c r="AB1427" s="0" t="s">
        <v>1825</v>
      </c>
      <c r="AC1427" s="0" t="s">
        <v>7629</v>
      </c>
      <c r="AD1427" s="0" t="s">
        <v>7688</v>
      </c>
      <c r="AE1427" s="0" t="s">
        <v>7360</v>
      </c>
      <c r="AF1427" s="0" t="s">
        <v>7361</v>
      </c>
      <c r="AG1427" s="0" t="s">
        <v>230</v>
      </c>
    </row>
    <row r="1428" customFormat="false" ht="15" hidden="false" customHeight="false" outlineLevel="0" collapsed="false">
      <c r="A1428" s="0" t="s">
        <v>7336</v>
      </c>
      <c r="B1428" s="0" t="s">
        <v>5260</v>
      </c>
      <c r="C1428" s="0" t="s">
        <v>5261</v>
      </c>
      <c r="D1428" s="0" t="s">
        <v>227</v>
      </c>
      <c r="E1428" s="0" t="s">
        <v>5262</v>
      </c>
      <c r="F1428" s="0" t="s">
        <v>2158</v>
      </c>
      <c r="G1428" s="0" t="s">
        <v>184</v>
      </c>
      <c r="H1428" s="0" t="s">
        <v>7734</v>
      </c>
      <c r="I1428" s="0" t="s">
        <v>7338</v>
      </c>
      <c r="J1428" s="0" t="s">
        <v>1602</v>
      </c>
      <c r="K1428" s="0" t="s">
        <v>7339</v>
      </c>
      <c r="L1428" s="0" t="s">
        <v>7340</v>
      </c>
      <c r="M1428" s="0" t="s">
        <v>7661</v>
      </c>
      <c r="N1428" s="0" t="s">
        <v>7342</v>
      </c>
      <c r="P1428" s="0" t="s">
        <v>229</v>
      </c>
      <c r="Q1428" s="0" t="s">
        <v>7354</v>
      </c>
      <c r="R1428" s="0" t="s">
        <v>7343</v>
      </c>
      <c r="S1428" s="0" t="s">
        <v>7344</v>
      </c>
      <c r="T1428" s="0" t="s">
        <v>228</v>
      </c>
      <c r="V1428" s="0" t="s">
        <v>34</v>
      </c>
      <c r="W1428" s="0" t="s">
        <v>40</v>
      </c>
      <c r="X1428" s="0" t="s">
        <v>7355</v>
      </c>
      <c r="Y1428" s="0" t="s">
        <v>7686</v>
      </c>
      <c r="Z1428" s="0" t="s">
        <v>7355</v>
      </c>
      <c r="AA1428" s="0" t="s">
        <v>7687</v>
      </c>
      <c r="AB1428" s="0" t="s">
        <v>1825</v>
      </c>
      <c r="AC1428" s="0" t="s">
        <v>7629</v>
      </c>
      <c r="AD1428" s="0" t="s">
        <v>7688</v>
      </c>
      <c r="AE1428" s="0" t="s">
        <v>7360</v>
      </c>
      <c r="AF1428" s="0" t="s">
        <v>7361</v>
      </c>
      <c r="AG1428" s="0" t="s">
        <v>230</v>
      </c>
    </row>
    <row r="1429" customFormat="false" ht="15" hidden="false" customHeight="false" outlineLevel="0" collapsed="false">
      <c r="A1429" s="0" t="s">
        <v>7336</v>
      </c>
      <c r="B1429" s="0" t="s">
        <v>5263</v>
      </c>
      <c r="C1429" s="0" t="s">
        <v>5264</v>
      </c>
      <c r="D1429" s="0" t="s">
        <v>227</v>
      </c>
      <c r="E1429" s="0" t="s">
        <v>5265</v>
      </c>
      <c r="F1429" s="0" t="s">
        <v>2179</v>
      </c>
      <c r="G1429" s="0" t="s">
        <v>178</v>
      </c>
      <c r="H1429" s="0" t="s">
        <v>7739</v>
      </c>
      <c r="I1429" s="0" t="s">
        <v>7338</v>
      </c>
      <c r="J1429" s="0" t="s">
        <v>1602</v>
      </c>
      <c r="K1429" s="0" t="s">
        <v>7339</v>
      </c>
      <c r="L1429" s="0" t="s">
        <v>7340</v>
      </c>
      <c r="M1429" s="0" t="s">
        <v>7661</v>
      </c>
      <c r="N1429" s="0" t="s">
        <v>7342</v>
      </c>
      <c r="P1429" s="0" t="s">
        <v>229</v>
      </c>
      <c r="Q1429" s="0" t="s">
        <v>7354</v>
      </c>
      <c r="R1429" s="0" t="s">
        <v>7343</v>
      </c>
      <c r="S1429" s="0" t="s">
        <v>7344</v>
      </c>
      <c r="T1429" s="0" t="s">
        <v>681</v>
      </c>
      <c r="V1429" s="0" t="s">
        <v>34</v>
      </c>
      <c r="W1429" s="0" t="s">
        <v>40</v>
      </c>
      <c r="X1429" s="0" t="s">
        <v>7355</v>
      </c>
      <c r="Y1429" s="0" t="s">
        <v>7686</v>
      </c>
      <c r="Z1429" s="0" t="s">
        <v>7355</v>
      </c>
      <c r="AA1429" s="0" t="s">
        <v>7687</v>
      </c>
      <c r="AC1429" s="0" t="s">
        <v>7629</v>
      </c>
      <c r="AD1429" s="0" t="s">
        <v>7688</v>
      </c>
      <c r="AE1429" s="0" t="s">
        <v>7360</v>
      </c>
      <c r="AF1429" s="0" t="s">
        <v>7361</v>
      </c>
      <c r="AG1429" s="0" t="s">
        <v>230</v>
      </c>
    </row>
    <row r="1430" customFormat="false" ht="15" hidden="false" customHeight="false" outlineLevel="0" collapsed="false">
      <c r="A1430" s="0" t="s">
        <v>7336</v>
      </c>
      <c r="B1430" s="0" t="s">
        <v>5266</v>
      </c>
      <c r="C1430" s="0" t="s">
        <v>5267</v>
      </c>
      <c r="D1430" s="0" t="s">
        <v>227</v>
      </c>
      <c r="E1430" s="0" t="s">
        <v>5268</v>
      </c>
      <c r="F1430" s="0" t="s">
        <v>2162</v>
      </c>
      <c r="G1430" s="0" t="s">
        <v>138</v>
      </c>
      <c r="H1430" s="0" t="s">
        <v>7735</v>
      </c>
      <c r="I1430" s="0" t="s">
        <v>7338</v>
      </c>
      <c r="J1430" s="0" t="s">
        <v>1602</v>
      </c>
      <c r="K1430" s="0" t="s">
        <v>7339</v>
      </c>
      <c r="L1430" s="0" t="s">
        <v>7340</v>
      </c>
      <c r="M1430" s="0" t="s">
        <v>7661</v>
      </c>
      <c r="N1430" s="0" t="s">
        <v>7342</v>
      </c>
    </row>
    <row r="1431" customFormat="false" ht="15" hidden="false" customHeight="false" outlineLevel="0" collapsed="false">
      <c r="A1431" s="0" t="s">
        <v>7336</v>
      </c>
      <c r="B1431" s="0" t="s">
        <v>5269</v>
      </c>
      <c r="C1431" s="0" t="s">
        <v>5270</v>
      </c>
      <c r="D1431" s="0" t="s">
        <v>227</v>
      </c>
      <c r="E1431" s="0" t="s">
        <v>5271</v>
      </c>
      <c r="F1431" s="0" t="s">
        <v>2162</v>
      </c>
      <c r="G1431" s="0" t="s">
        <v>138</v>
      </c>
      <c r="H1431" s="0" t="s">
        <v>7735</v>
      </c>
      <c r="I1431" s="0" t="s">
        <v>7338</v>
      </c>
      <c r="J1431" s="0" t="s">
        <v>1602</v>
      </c>
      <c r="K1431" s="0" t="s">
        <v>7339</v>
      </c>
      <c r="L1431" s="0" t="s">
        <v>7340</v>
      </c>
      <c r="M1431" s="0" t="s">
        <v>7661</v>
      </c>
      <c r="N1431" s="0" t="s">
        <v>7342</v>
      </c>
    </row>
    <row r="1432" customFormat="false" ht="15" hidden="false" customHeight="false" outlineLevel="0" collapsed="false">
      <c r="A1432" s="0" t="s">
        <v>7336</v>
      </c>
      <c r="B1432" s="0" t="s">
        <v>5272</v>
      </c>
      <c r="C1432" s="0" t="s">
        <v>5273</v>
      </c>
      <c r="D1432" s="0" t="s">
        <v>227</v>
      </c>
      <c r="E1432" s="0" t="s">
        <v>5274</v>
      </c>
      <c r="F1432" s="0" t="s">
        <v>2166</v>
      </c>
      <c r="G1432" s="0" t="s">
        <v>138</v>
      </c>
      <c r="H1432" s="0" t="s">
        <v>7736</v>
      </c>
      <c r="I1432" s="0" t="s">
        <v>7338</v>
      </c>
      <c r="J1432" s="0" t="s">
        <v>1602</v>
      </c>
      <c r="K1432" s="0" t="s">
        <v>7339</v>
      </c>
      <c r="L1432" s="0" t="s">
        <v>7340</v>
      </c>
      <c r="M1432" s="0" t="s">
        <v>7661</v>
      </c>
      <c r="N1432" s="0" t="s">
        <v>7342</v>
      </c>
    </row>
    <row r="1433" customFormat="false" ht="15" hidden="false" customHeight="false" outlineLevel="0" collapsed="false">
      <c r="A1433" s="0" t="s">
        <v>7336</v>
      </c>
      <c r="B1433" s="0" t="s">
        <v>5275</v>
      </c>
      <c r="C1433" s="0" t="s">
        <v>5276</v>
      </c>
      <c r="D1433" s="0" t="s">
        <v>227</v>
      </c>
      <c r="E1433" s="0" t="s">
        <v>5277</v>
      </c>
      <c r="F1433" s="0" t="s">
        <v>2170</v>
      </c>
      <c r="G1433" s="0" t="s">
        <v>170</v>
      </c>
      <c r="H1433" s="0" t="s">
        <v>7737</v>
      </c>
      <c r="I1433" s="0" t="s">
        <v>7338</v>
      </c>
      <c r="J1433" s="0" t="s">
        <v>1602</v>
      </c>
      <c r="K1433" s="0" t="s">
        <v>7339</v>
      </c>
      <c r="L1433" s="0" t="s">
        <v>7340</v>
      </c>
      <c r="M1433" s="0" t="s">
        <v>7661</v>
      </c>
      <c r="N1433" s="0" t="s">
        <v>7342</v>
      </c>
      <c r="P1433" s="0" t="s">
        <v>229</v>
      </c>
      <c r="Q1433" s="0" t="s">
        <v>7354</v>
      </c>
      <c r="R1433" s="0" t="s">
        <v>7343</v>
      </c>
      <c r="S1433" s="0" t="s">
        <v>7344</v>
      </c>
      <c r="T1433" s="0" t="s">
        <v>2231</v>
      </c>
      <c r="V1433" s="0" t="s">
        <v>34</v>
      </c>
      <c r="W1433" s="0" t="s">
        <v>40</v>
      </c>
      <c r="X1433" s="0" t="s">
        <v>7355</v>
      </c>
      <c r="Y1433" s="0" t="s">
        <v>7686</v>
      </c>
      <c r="Z1433" s="0" t="s">
        <v>7355</v>
      </c>
      <c r="AA1433" s="0" t="s">
        <v>7687</v>
      </c>
      <c r="AC1433" s="0" t="s">
        <v>7629</v>
      </c>
      <c r="AD1433" s="0" t="s">
        <v>7688</v>
      </c>
      <c r="AE1433" s="0" t="s">
        <v>7360</v>
      </c>
      <c r="AF1433" s="0" t="s">
        <v>7361</v>
      </c>
      <c r="AG1433" s="0" t="s">
        <v>230</v>
      </c>
    </row>
    <row r="1434" customFormat="false" ht="15" hidden="false" customHeight="false" outlineLevel="0" collapsed="false">
      <c r="A1434" s="0" t="s">
        <v>7336</v>
      </c>
      <c r="B1434" s="0" t="s">
        <v>5278</v>
      </c>
      <c r="C1434" s="0" t="s">
        <v>5279</v>
      </c>
      <c r="D1434" s="0" t="s">
        <v>227</v>
      </c>
      <c r="E1434" s="0" t="s">
        <v>5280</v>
      </c>
      <c r="F1434" s="0" t="s">
        <v>2175</v>
      </c>
      <c r="G1434" s="0" t="s">
        <v>170</v>
      </c>
      <c r="H1434" s="0" t="s">
        <v>7738</v>
      </c>
      <c r="I1434" s="0" t="s">
        <v>7338</v>
      </c>
      <c r="J1434" s="0" t="s">
        <v>1602</v>
      </c>
      <c r="K1434" s="0" t="s">
        <v>7339</v>
      </c>
      <c r="L1434" s="0" t="s">
        <v>7340</v>
      </c>
      <c r="M1434" s="0" t="s">
        <v>7661</v>
      </c>
      <c r="N1434" s="0" t="s">
        <v>7342</v>
      </c>
      <c r="P1434" s="0" t="s">
        <v>229</v>
      </c>
      <c r="Q1434" s="0" t="s">
        <v>7354</v>
      </c>
      <c r="R1434" s="0" t="s">
        <v>7343</v>
      </c>
      <c r="S1434" s="0" t="s">
        <v>7344</v>
      </c>
      <c r="T1434" s="0" t="s">
        <v>2231</v>
      </c>
      <c r="V1434" s="0" t="s">
        <v>34</v>
      </c>
      <c r="W1434" s="0" t="s">
        <v>40</v>
      </c>
      <c r="X1434" s="0" t="s">
        <v>7355</v>
      </c>
      <c r="Y1434" s="0" t="s">
        <v>7686</v>
      </c>
      <c r="Z1434" s="0" t="s">
        <v>7355</v>
      </c>
      <c r="AA1434" s="0" t="s">
        <v>7687</v>
      </c>
      <c r="AC1434" s="0" t="s">
        <v>7629</v>
      </c>
      <c r="AD1434" s="0" t="s">
        <v>7688</v>
      </c>
      <c r="AE1434" s="0" t="s">
        <v>7360</v>
      </c>
      <c r="AF1434" s="0" t="s">
        <v>7361</v>
      </c>
      <c r="AG1434" s="0" t="s">
        <v>230</v>
      </c>
    </row>
    <row r="1435" customFormat="false" ht="15" hidden="false" customHeight="false" outlineLevel="0" collapsed="false">
      <c r="A1435" s="0" t="s">
        <v>7336</v>
      </c>
      <c r="B1435" s="0" t="s">
        <v>5281</v>
      </c>
      <c r="C1435" s="0" t="s">
        <v>5282</v>
      </c>
      <c r="D1435" s="0" t="s">
        <v>227</v>
      </c>
      <c r="E1435" s="0" t="s">
        <v>5283</v>
      </c>
      <c r="F1435" s="0" t="s">
        <v>2170</v>
      </c>
      <c r="G1435" s="0" t="s">
        <v>170</v>
      </c>
      <c r="H1435" s="0" t="s">
        <v>7737</v>
      </c>
      <c r="I1435" s="0" t="s">
        <v>7338</v>
      </c>
      <c r="J1435" s="0" t="s">
        <v>1602</v>
      </c>
      <c r="K1435" s="0" t="s">
        <v>7339</v>
      </c>
      <c r="L1435" s="0" t="s">
        <v>7340</v>
      </c>
      <c r="M1435" s="0" t="s">
        <v>7661</v>
      </c>
      <c r="N1435" s="0" t="s">
        <v>7342</v>
      </c>
      <c r="P1435" s="0" t="s">
        <v>229</v>
      </c>
      <c r="Q1435" s="0" t="s">
        <v>7354</v>
      </c>
      <c r="R1435" s="0" t="s">
        <v>7343</v>
      </c>
      <c r="S1435" s="0" t="s">
        <v>7344</v>
      </c>
      <c r="T1435" s="0" t="s">
        <v>228</v>
      </c>
      <c r="V1435" s="0" t="s">
        <v>34</v>
      </c>
      <c r="W1435" s="0" t="s">
        <v>37</v>
      </c>
      <c r="X1435" s="0" t="s">
        <v>7355</v>
      </c>
      <c r="Y1435" s="0" t="s">
        <v>7346</v>
      </c>
      <c r="Z1435" s="0" t="s">
        <v>7370</v>
      </c>
      <c r="AA1435" s="0" t="s">
        <v>7670</v>
      </c>
      <c r="AB1435" s="0" t="s">
        <v>1663</v>
      </c>
      <c r="AC1435" s="0" t="s">
        <v>7629</v>
      </c>
      <c r="AD1435" s="0" t="s">
        <v>7671</v>
      </c>
      <c r="AE1435" s="0" t="s">
        <v>7360</v>
      </c>
      <c r="AF1435" s="0" t="s">
        <v>7361</v>
      </c>
      <c r="AG1435" s="0" t="s">
        <v>230</v>
      </c>
    </row>
    <row r="1436" customFormat="false" ht="15" hidden="false" customHeight="false" outlineLevel="0" collapsed="false">
      <c r="A1436" s="0" t="s">
        <v>7336</v>
      </c>
      <c r="B1436" s="0" t="s">
        <v>5284</v>
      </c>
      <c r="C1436" s="0" t="s">
        <v>5285</v>
      </c>
      <c r="D1436" s="0" t="s">
        <v>227</v>
      </c>
      <c r="E1436" s="0" t="s">
        <v>5286</v>
      </c>
      <c r="F1436" s="0" t="s">
        <v>2179</v>
      </c>
      <c r="G1436" s="0" t="s">
        <v>178</v>
      </c>
      <c r="H1436" s="0" t="s">
        <v>7739</v>
      </c>
      <c r="I1436" s="0" t="s">
        <v>7338</v>
      </c>
      <c r="J1436" s="0" t="s">
        <v>1602</v>
      </c>
      <c r="K1436" s="0" t="s">
        <v>7339</v>
      </c>
      <c r="L1436" s="0" t="s">
        <v>7340</v>
      </c>
      <c r="M1436" s="0" t="s">
        <v>7661</v>
      </c>
      <c r="N1436" s="0" t="s">
        <v>7342</v>
      </c>
      <c r="P1436" s="0" t="s">
        <v>229</v>
      </c>
      <c r="Q1436" s="0" t="s">
        <v>7354</v>
      </c>
      <c r="R1436" s="0" t="s">
        <v>7343</v>
      </c>
      <c r="S1436" s="0" t="s">
        <v>7344</v>
      </c>
      <c r="T1436" s="0" t="s">
        <v>228</v>
      </c>
      <c r="V1436" s="0" t="s">
        <v>34</v>
      </c>
      <c r="W1436" s="0" t="s">
        <v>37</v>
      </c>
      <c r="X1436" s="0" t="s">
        <v>7355</v>
      </c>
      <c r="Y1436" s="0" t="s">
        <v>7346</v>
      </c>
      <c r="Z1436" s="0" t="s">
        <v>7370</v>
      </c>
      <c r="AA1436" s="0" t="s">
        <v>7670</v>
      </c>
      <c r="AB1436" s="0" t="s">
        <v>1663</v>
      </c>
      <c r="AC1436" s="0" t="s">
        <v>7629</v>
      </c>
      <c r="AD1436" s="0" t="s">
        <v>7671</v>
      </c>
      <c r="AE1436" s="0" t="s">
        <v>7360</v>
      </c>
      <c r="AF1436" s="0" t="s">
        <v>7361</v>
      </c>
      <c r="AG1436" s="0" t="s">
        <v>230</v>
      </c>
    </row>
    <row r="1437" customFormat="false" ht="15" hidden="false" customHeight="false" outlineLevel="0" collapsed="false">
      <c r="A1437" s="0" t="s">
        <v>7336</v>
      </c>
      <c r="B1437" s="0" t="s">
        <v>5287</v>
      </c>
      <c r="C1437" s="0" t="s">
        <v>5288</v>
      </c>
      <c r="D1437" s="0" t="s">
        <v>227</v>
      </c>
      <c r="E1437" s="0" t="s">
        <v>5289</v>
      </c>
      <c r="F1437" s="0" t="s">
        <v>2183</v>
      </c>
      <c r="G1437" s="0" t="s">
        <v>178</v>
      </c>
      <c r="H1437" s="0" t="s">
        <v>7740</v>
      </c>
      <c r="I1437" s="0" t="s">
        <v>7338</v>
      </c>
      <c r="J1437" s="0" t="s">
        <v>1602</v>
      </c>
      <c r="K1437" s="0" t="s">
        <v>7339</v>
      </c>
      <c r="L1437" s="0" t="s">
        <v>7340</v>
      </c>
      <c r="M1437" s="0" t="s">
        <v>7661</v>
      </c>
      <c r="N1437" s="0" t="s">
        <v>7342</v>
      </c>
      <c r="P1437" s="0" t="s">
        <v>229</v>
      </c>
      <c r="Q1437" s="0" t="s">
        <v>7354</v>
      </c>
      <c r="R1437" s="0" t="s">
        <v>7343</v>
      </c>
      <c r="S1437" s="0" t="s">
        <v>7344</v>
      </c>
      <c r="T1437" s="0" t="s">
        <v>228</v>
      </c>
      <c r="V1437" s="0" t="s">
        <v>34</v>
      </c>
      <c r="W1437" s="0" t="s">
        <v>37</v>
      </c>
      <c r="X1437" s="0" t="s">
        <v>7355</v>
      </c>
      <c r="Y1437" s="0" t="s">
        <v>7346</v>
      </c>
      <c r="Z1437" s="0" t="s">
        <v>7370</v>
      </c>
      <c r="AA1437" s="0" t="s">
        <v>7670</v>
      </c>
      <c r="AB1437" s="0" t="s">
        <v>1663</v>
      </c>
      <c r="AC1437" s="0" t="s">
        <v>7629</v>
      </c>
      <c r="AD1437" s="0" t="s">
        <v>7671</v>
      </c>
      <c r="AE1437" s="0" t="s">
        <v>7360</v>
      </c>
      <c r="AF1437" s="0" t="s">
        <v>7361</v>
      </c>
      <c r="AG1437" s="0" t="s">
        <v>230</v>
      </c>
    </row>
    <row r="1438" customFormat="false" ht="15" hidden="false" customHeight="false" outlineLevel="0" collapsed="false">
      <c r="A1438" s="0" t="s">
        <v>7336</v>
      </c>
      <c r="B1438" s="0" t="s">
        <v>5290</v>
      </c>
      <c r="C1438" s="0" t="s">
        <v>5291</v>
      </c>
      <c r="D1438" s="0" t="s">
        <v>227</v>
      </c>
      <c r="E1438" s="0" t="s">
        <v>5292</v>
      </c>
      <c r="F1438" s="0" t="s">
        <v>2179</v>
      </c>
      <c r="G1438" s="0" t="s">
        <v>178</v>
      </c>
      <c r="H1438" s="0" t="s">
        <v>7739</v>
      </c>
      <c r="I1438" s="0" t="s">
        <v>7338</v>
      </c>
      <c r="J1438" s="0" t="s">
        <v>1602</v>
      </c>
      <c r="K1438" s="0" t="s">
        <v>7339</v>
      </c>
      <c r="L1438" s="0" t="s">
        <v>7340</v>
      </c>
      <c r="M1438" s="0" t="s">
        <v>7661</v>
      </c>
      <c r="N1438" s="0" t="s">
        <v>7342</v>
      </c>
      <c r="P1438" s="0" t="s">
        <v>229</v>
      </c>
      <c r="Q1438" s="0" t="s">
        <v>7354</v>
      </c>
      <c r="R1438" s="0" t="s">
        <v>7343</v>
      </c>
      <c r="S1438" s="0" t="s">
        <v>7344</v>
      </c>
      <c r="T1438" s="0" t="s">
        <v>228</v>
      </c>
      <c r="V1438" s="0" t="s">
        <v>34</v>
      </c>
      <c r="W1438" s="0" t="s">
        <v>37</v>
      </c>
      <c r="X1438" s="0" t="s">
        <v>7355</v>
      </c>
      <c r="Y1438" s="0" t="s">
        <v>7346</v>
      </c>
      <c r="Z1438" s="0" t="s">
        <v>7370</v>
      </c>
      <c r="AA1438" s="0" t="s">
        <v>7670</v>
      </c>
      <c r="AB1438" s="0" t="s">
        <v>1663</v>
      </c>
      <c r="AC1438" s="0" t="s">
        <v>7629</v>
      </c>
      <c r="AD1438" s="0" t="s">
        <v>7671</v>
      </c>
      <c r="AE1438" s="0" t="s">
        <v>7360</v>
      </c>
      <c r="AF1438" s="0" t="s">
        <v>7361</v>
      </c>
      <c r="AG1438" s="0" t="s">
        <v>230</v>
      </c>
    </row>
    <row r="1439" customFormat="false" ht="15" hidden="false" customHeight="false" outlineLevel="0" collapsed="false">
      <c r="A1439" s="0" t="s">
        <v>7336</v>
      </c>
      <c r="B1439" s="0" t="s">
        <v>5293</v>
      </c>
      <c r="C1439" s="0" t="s">
        <v>4316</v>
      </c>
      <c r="D1439" s="0" t="s">
        <v>227</v>
      </c>
      <c r="E1439" s="0" t="s">
        <v>4317</v>
      </c>
      <c r="F1439" s="0" t="s">
        <v>2179</v>
      </c>
      <c r="G1439" s="0" t="s">
        <v>178</v>
      </c>
      <c r="H1439" s="0" t="s">
        <v>7739</v>
      </c>
      <c r="I1439" s="0" t="s">
        <v>7338</v>
      </c>
      <c r="J1439" s="0" t="s">
        <v>1602</v>
      </c>
      <c r="K1439" s="0" t="s">
        <v>7339</v>
      </c>
      <c r="L1439" s="0" t="s">
        <v>7340</v>
      </c>
      <c r="M1439" s="0" t="s">
        <v>7661</v>
      </c>
      <c r="N1439" s="0" t="s">
        <v>7342</v>
      </c>
      <c r="P1439" s="0" t="s">
        <v>229</v>
      </c>
      <c r="Q1439" s="0" t="s">
        <v>7354</v>
      </c>
      <c r="R1439" s="0" t="s">
        <v>7343</v>
      </c>
      <c r="S1439" s="0" t="s">
        <v>7344</v>
      </c>
      <c r="T1439" s="0" t="s">
        <v>228</v>
      </c>
      <c r="V1439" s="0" t="s">
        <v>34</v>
      </c>
      <c r="W1439" s="0" t="s">
        <v>37</v>
      </c>
      <c r="X1439" s="0" t="s">
        <v>7355</v>
      </c>
      <c r="Y1439" s="0" t="s">
        <v>7346</v>
      </c>
      <c r="Z1439" s="0" t="s">
        <v>7370</v>
      </c>
      <c r="AA1439" s="0" t="s">
        <v>7670</v>
      </c>
      <c r="AB1439" s="0" t="s">
        <v>1663</v>
      </c>
      <c r="AC1439" s="0" t="s">
        <v>7629</v>
      </c>
      <c r="AD1439" s="0" t="s">
        <v>7671</v>
      </c>
      <c r="AE1439" s="0" t="s">
        <v>7360</v>
      </c>
      <c r="AF1439" s="0" t="s">
        <v>7361</v>
      </c>
      <c r="AG1439" s="0" t="s">
        <v>230</v>
      </c>
    </row>
    <row r="1440" customFormat="false" ht="15" hidden="false" customHeight="false" outlineLevel="0" collapsed="false">
      <c r="A1440" s="0" t="s">
        <v>7336</v>
      </c>
      <c r="B1440" s="0" t="s">
        <v>5294</v>
      </c>
      <c r="C1440" s="0" t="s">
        <v>4320</v>
      </c>
      <c r="D1440" s="0" t="s">
        <v>227</v>
      </c>
      <c r="E1440" s="0" t="s">
        <v>4321</v>
      </c>
      <c r="F1440" s="0" t="s">
        <v>2183</v>
      </c>
      <c r="G1440" s="0" t="s">
        <v>178</v>
      </c>
      <c r="H1440" s="0" t="s">
        <v>7740</v>
      </c>
      <c r="I1440" s="0" t="s">
        <v>7338</v>
      </c>
      <c r="J1440" s="0" t="s">
        <v>1602</v>
      </c>
      <c r="K1440" s="0" t="s">
        <v>7339</v>
      </c>
      <c r="L1440" s="0" t="s">
        <v>7340</v>
      </c>
      <c r="M1440" s="0" t="s">
        <v>7661</v>
      </c>
      <c r="N1440" s="0" t="s">
        <v>7342</v>
      </c>
      <c r="P1440" s="0" t="s">
        <v>229</v>
      </c>
      <c r="Q1440" s="0" t="s">
        <v>7354</v>
      </c>
      <c r="R1440" s="0" t="s">
        <v>7343</v>
      </c>
      <c r="S1440" s="0" t="s">
        <v>7344</v>
      </c>
      <c r="T1440" s="0" t="s">
        <v>228</v>
      </c>
      <c r="V1440" s="0" t="s">
        <v>34</v>
      </c>
      <c r="W1440" s="0" t="s">
        <v>37</v>
      </c>
      <c r="X1440" s="0" t="s">
        <v>7355</v>
      </c>
      <c r="Y1440" s="0" t="s">
        <v>7346</v>
      </c>
      <c r="Z1440" s="0" t="s">
        <v>7370</v>
      </c>
      <c r="AA1440" s="0" t="s">
        <v>7670</v>
      </c>
      <c r="AB1440" s="0" t="s">
        <v>1663</v>
      </c>
      <c r="AC1440" s="0" t="s">
        <v>7629</v>
      </c>
      <c r="AD1440" s="0" t="s">
        <v>7671</v>
      </c>
      <c r="AE1440" s="0" t="s">
        <v>7360</v>
      </c>
      <c r="AF1440" s="0" t="s">
        <v>7361</v>
      </c>
      <c r="AG1440" s="0" t="s">
        <v>230</v>
      </c>
    </row>
    <row r="1441" customFormat="false" ht="15" hidden="false" customHeight="false" outlineLevel="0" collapsed="false">
      <c r="A1441" s="0" t="s">
        <v>7336</v>
      </c>
      <c r="B1441" s="0" t="s">
        <v>5295</v>
      </c>
      <c r="C1441" s="0" t="s">
        <v>5296</v>
      </c>
      <c r="D1441" s="0" t="s">
        <v>227</v>
      </c>
      <c r="E1441" s="0" t="s">
        <v>5297</v>
      </c>
      <c r="F1441" s="0" t="s">
        <v>2162</v>
      </c>
      <c r="G1441" s="0" t="s">
        <v>138</v>
      </c>
      <c r="H1441" s="0" t="s">
        <v>7735</v>
      </c>
      <c r="I1441" s="0" t="s">
        <v>7338</v>
      </c>
      <c r="J1441" s="0" t="s">
        <v>1602</v>
      </c>
      <c r="K1441" s="0" t="s">
        <v>7339</v>
      </c>
      <c r="L1441" s="0" t="s">
        <v>7340</v>
      </c>
      <c r="M1441" s="0" t="s">
        <v>7661</v>
      </c>
      <c r="N1441" s="0" t="s">
        <v>7342</v>
      </c>
    </row>
    <row r="1442" customFormat="false" ht="15" hidden="false" customHeight="false" outlineLevel="0" collapsed="false">
      <c r="A1442" s="0" t="s">
        <v>7336</v>
      </c>
      <c r="B1442" s="0" t="s">
        <v>5298</v>
      </c>
      <c r="C1442" s="0" t="s">
        <v>5299</v>
      </c>
      <c r="D1442" s="0" t="s">
        <v>227</v>
      </c>
      <c r="E1442" s="0" t="s">
        <v>5300</v>
      </c>
      <c r="F1442" s="0" t="s">
        <v>2166</v>
      </c>
      <c r="G1442" s="0" t="s">
        <v>138</v>
      </c>
      <c r="H1442" s="0" t="s">
        <v>7736</v>
      </c>
      <c r="I1442" s="0" t="s">
        <v>7338</v>
      </c>
      <c r="J1442" s="0" t="s">
        <v>1602</v>
      </c>
      <c r="K1442" s="0" t="s">
        <v>7339</v>
      </c>
      <c r="L1442" s="0" t="s">
        <v>7340</v>
      </c>
      <c r="M1442" s="0" t="s">
        <v>7661</v>
      </c>
      <c r="N1442" s="0" t="s">
        <v>7342</v>
      </c>
    </row>
    <row r="1443" customFormat="false" ht="15" hidden="false" customHeight="false" outlineLevel="0" collapsed="false">
      <c r="A1443" s="0" t="s">
        <v>7336</v>
      </c>
      <c r="B1443" s="0" t="s">
        <v>5301</v>
      </c>
      <c r="C1443" s="0" t="s">
        <v>5302</v>
      </c>
      <c r="D1443" s="0" t="s">
        <v>227</v>
      </c>
      <c r="E1443" s="0" t="s">
        <v>5303</v>
      </c>
      <c r="F1443" s="0" t="s">
        <v>2170</v>
      </c>
      <c r="G1443" s="0" t="s">
        <v>170</v>
      </c>
      <c r="H1443" s="0" t="s">
        <v>7737</v>
      </c>
      <c r="I1443" s="0" t="s">
        <v>7338</v>
      </c>
      <c r="J1443" s="0" t="s">
        <v>1602</v>
      </c>
      <c r="K1443" s="0" t="s">
        <v>7339</v>
      </c>
      <c r="L1443" s="0" t="s">
        <v>7340</v>
      </c>
      <c r="M1443" s="0" t="s">
        <v>7661</v>
      </c>
      <c r="N1443" s="0" t="s">
        <v>7342</v>
      </c>
      <c r="P1443" s="0" t="s">
        <v>229</v>
      </c>
      <c r="Q1443" s="0" t="s">
        <v>7354</v>
      </c>
      <c r="R1443" s="0" t="s">
        <v>7343</v>
      </c>
      <c r="S1443" s="0" t="s">
        <v>7344</v>
      </c>
      <c r="T1443" s="0" t="s">
        <v>228</v>
      </c>
      <c r="V1443" s="0" t="s">
        <v>34</v>
      </c>
      <c r="W1443" s="0" t="s">
        <v>37</v>
      </c>
      <c r="X1443" s="0" t="s">
        <v>7355</v>
      </c>
      <c r="Y1443" s="0" t="s">
        <v>7346</v>
      </c>
      <c r="Z1443" s="0" t="s">
        <v>7370</v>
      </c>
      <c r="AA1443" s="0" t="s">
        <v>7670</v>
      </c>
      <c r="AB1443" s="0" t="s">
        <v>1663</v>
      </c>
      <c r="AC1443" s="0" t="s">
        <v>7629</v>
      </c>
      <c r="AD1443" s="0" t="s">
        <v>7671</v>
      </c>
      <c r="AE1443" s="0" t="s">
        <v>7360</v>
      </c>
      <c r="AF1443" s="0" t="s">
        <v>7361</v>
      </c>
      <c r="AG1443" s="0" t="s">
        <v>230</v>
      </c>
    </row>
    <row r="1444" customFormat="false" ht="15" hidden="false" customHeight="false" outlineLevel="0" collapsed="false">
      <c r="A1444" s="0" t="s">
        <v>7336</v>
      </c>
      <c r="B1444" s="0" t="s">
        <v>5304</v>
      </c>
      <c r="C1444" s="0" t="s">
        <v>5305</v>
      </c>
      <c r="D1444" s="0" t="s">
        <v>227</v>
      </c>
      <c r="E1444" s="0" t="s">
        <v>5306</v>
      </c>
      <c r="F1444" s="0" t="s">
        <v>2175</v>
      </c>
      <c r="G1444" s="0" t="s">
        <v>170</v>
      </c>
      <c r="H1444" s="0" t="s">
        <v>7738</v>
      </c>
      <c r="I1444" s="0" t="s">
        <v>7338</v>
      </c>
      <c r="J1444" s="0" t="s">
        <v>1602</v>
      </c>
      <c r="K1444" s="0" t="s">
        <v>7339</v>
      </c>
      <c r="L1444" s="0" t="s">
        <v>7340</v>
      </c>
      <c r="M1444" s="0" t="s">
        <v>7661</v>
      </c>
      <c r="N1444" s="0" t="s">
        <v>7342</v>
      </c>
      <c r="P1444" s="0" t="s">
        <v>229</v>
      </c>
      <c r="Q1444" s="0" t="s">
        <v>7354</v>
      </c>
      <c r="R1444" s="0" t="s">
        <v>7343</v>
      </c>
      <c r="S1444" s="0" t="s">
        <v>7344</v>
      </c>
      <c r="T1444" s="0" t="s">
        <v>228</v>
      </c>
      <c r="V1444" s="0" t="s">
        <v>34</v>
      </c>
      <c r="W1444" s="0" t="s">
        <v>37</v>
      </c>
      <c r="X1444" s="0" t="s">
        <v>7355</v>
      </c>
      <c r="Y1444" s="0" t="s">
        <v>7346</v>
      </c>
      <c r="Z1444" s="0" t="s">
        <v>7370</v>
      </c>
      <c r="AA1444" s="0" t="s">
        <v>7670</v>
      </c>
      <c r="AB1444" s="0" t="s">
        <v>1663</v>
      </c>
      <c r="AC1444" s="0" t="s">
        <v>7629</v>
      </c>
      <c r="AD1444" s="0" t="s">
        <v>7671</v>
      </c>
      <c r="AE1444" s="0" t="s">
        <v>7360</v>
      </c>
      <c r="AF1444" s="0" t="s">
        <v>7361</v>
      </c>
      <c r="AG1444" s="0" t="s">
        <v>230</v>
      </c>
    </row>
    <row r="1445" customFormat="false" ht="15" hidden="false" customHeight="false" outlineLevel="0" collapsed="false">
      <c r="A1445" s="0" t="s">
        <v>7336</v>
      </c>
      <c r="B1445" s="0" t="s">
        <v>5307</v>
      </c>
      <c r="C1445" s="0" t="s">
        <v>5308</v>
      </c>
      <c r="D1445" s="0" t="s">
        <v>227</v>
      </c>
      <c r="E1445" s="0" t="s">
        <v>5309</v>
      </c>
      <c r="F1445" s="0" t="s">
        <v>2170</v>
      </c>
      <c r="G1445" s="0" t="s">
        <v>170</v>
      </c>
      <c r="H1445" s="0" t="s">
        <v>7737</v>
      </c>
      <c r="I1445" s="0" t="s">
        <v>7338</v>
      </c>
      <c r="J1445" s="0" t="s">
        <v>1602</v>
      </c>
      <c r="K1445" s="0" t="s">
        <v>7339</v>
      </c>
      <c r="L1445" s="0" t="s">
        <v>7340</v>
      </c>
      <c r="M1445" s="0" t="s">
        <v>7661</v>
      </c>
      <c r="N1445" s="0" t="s">
        <v>7342</v>
      </c>
      <c r="P1445" s="0" t="s">
        <v>229</v>
      </c>
      <c r="Q1445" s="0" t="s">
        <v>7354</v>
      </c>
      <c r="R1445" s="0" t="s">
        <v>7343</v>
      </c>
      <c r="S1445" s="0" t="s">
        <v>7344</v>
      </c>
      <c r="T1445" s="0" t="s">
        <v>228</v>
      </c>
      <c r="V1445" s="0" t="s">
        <v>34</v>
      </c>
      <c r="W1445" s="0" t="s">
        <v>37</v>
      </c>
      <c r="X1445" s="0" t="s">
        <v>7355</v>
      </c>
      <c r="Y1445" s="0" t="s">
        <v>7346</v>
      </c>
      <c r="Z1445" s="0" t="s">
        <v>7370</v>
      </c>
      <c r="AA1445" s="0" t="s">
        <v>7670</v>
      </c>
      <c r="AB1445" s="0" t="s">
        <v>1663</v>
      </c>
      <c r="AC1445" s="0" t="s">
        <v>7629</v>
      </c>
      <c r="AD1445" s="0" t="s">
        <v>7671</v>
      </c>
      <c r="AE1445" s="0" t="s">
        <v>7360</v>
      </c>
      <c r="AF1445" s="0" t="s">
        <v>7361</v>
      </c>
      <c r="AG1445" s="0" t="s">
        <v>230</v>
      </c>
    </row>
    <row r="1446" customFormat="false" ht="15" hidden="false" customHeight="false" outlineLevel="0" collapsed="false">
      <c r="A1446" s="0" t="s">
        <v>7336</v>
      </c>
      <c r="B1446" s="0" t="s">
        <v>5310</v>
      </c>
      <c r="C1446" s="0" t="s">
        <v>5311</v>
      </c>
      <c r="D1446" s="0" t="s">
        <v>227</v>
      </c>
      <c r="E1446" s="0" t="s">
        <v>5312</v>
      </c>
      <c r="F1446" s="0" t="s">
        <v>2175</v>
      </c>
      <c r="G1446" s="0" t="s">
        <v>170</v>
      </c>
      <c r="H1446" s="0" t="s">
        <v>7738</v>
      </c>
      <c r="I1446" s="0" t="s">
        <v>7338</v>
      </c>
      <c r="J1446" s="0" t="s">
        <v>1602</v>
      </c>
      <c r="K1446" s="0" t="s">
        <v>7339</v>
      </c>
      <c r="L1446" s="0" t="s">
        <v>7340</v>
      </c>
      <c r="M1446" s="0" t="s">
        <v>7661</v>
      </c>
      <c r="N1446" s="0" t="s">
        <v>7342</v>
      </c>
      <c r="P1446" s="0" t="s">
        <v>229</v>
      </c>
      <c r="Q1446" s="0" t="s">
        <v>7354</v>
      </c>
      <c r="R1446" s="0" t="s">
        <v>7343</v>
      </c>
      <c r="S1446" s="0" t="s">
        <v>7344</v>
      </c>
      <c r="T1446" s="0" t="s">
        <v>228</v>
      </c>
      <c r="V1446" s="0" t="s">
        <v>34</v>
      </c>
      <c r="W1446" s="0" t="s">
        <v>37</v>
      </c>
      <c r="X1446" s="0" t="s">
        <v>7355</v>
      </c>
      <c r="Y1446" s="0" t="s">
        <v>7346</v>
      </c>
      <c r="Z1446" s="0" t="s">
        <v>7370</v>
      </c>
      <c r="AA1446" s="0" t="s">
        <v>7670</v>
      </c>
      <c r="AB1446" s="0" t="s">
        <v>1663</v>
      </c>
      <c r="AC1446" s="0" t="s">
        <v>7629</v>
      </c>
      <c r="AD1446" s="0" t="s">
        <v>7671</v>
      </c>
      <c r="AE1446" s="0" t="s">
        <v>7360</v>
      </c>
      <c r="AF1446" s="0" t="s">
        <v>7361</v>
      </c>
      <c r="AG1446" s="0" t="s">
        <v>230</v>
      </c>
    </row>
    <row r="1447" customFormat="false" ht="15" hidden="false" customHeight="false" outlineLevel="0" collapsed="false">
      <c r="A1447" s="0" t="s">
        <v>7336</v>
      </c>
      <c r="B1447" s="0" t="s">
        <v>5313</v>
      </c>
      <c r="C1447" s="0" t="s">
        <v>5314</v>
      </c>
      <c r="D1447" s="0" t="s">
        <v>227</v>
      </c>
      <c r="E1447" s="0" t="s">
        <v>5315</v>
      </c>
      <c r="F1447" s="0" t="s">
        <v>2179</v>
      </c>
      <c r="G1447" s="0" t="s">
        <v>178</v>
      </c>
      <c r="H1447" s="0" t="s">
        <v>7739</v>
      </c>
      <c r="I1447" s="0" t="s">
        <v>7338</v>
      </c>
      <c r="J1447" s="0" t="s">
        <v>1602</v>
      </c>
      <c r="K1447" s="0" t="s">
        <v>7339</v>
      </c>
      <c r="L1447" s="0" t="s">
        <v>7340</v>
      </c>
      <c r="M1447" s="0" t="s">
        <v>7661</v>
      </c>
      <c r="N1447" s="0" t="s">
        <v>7342</v>
      </c>
      <c r="P1447" s="0" t="s">
        <v>229</v>
      </c>
      <c r="Q1447" s="0" t="s">
        <v>7354</v>
      </c>
      <c r="R1447" s="0" t="s">
        <v>7343</v>
      </c>
      <c r="S1447" s="0" t="s">
        <v>7344</v>
      </c>
      <c r="T1447" s="0" t="s">
        <v>228</v>
      </c>
      <c r="V1447" s="0" t="s">
        <v>34</v>
      </c>
      <c r="W1447" s="0" t="s">
        <v>37</v>
      </c>
      <c r="X1447" s="0" t="s">
        <v>7355</v>
      </c>
      <c r="Y1447" s="0" t="s">
        <v>7346</v>
      </c>
      <c r="Z1447" s="0" t="s">
        <v>7370</v>
      </c>
      <c r="AA1447" s="0" t="s">
        <v>7670</v>
      </c>
      <c r="AB1447" s="0" t="s">
        <v>1663</v>
      </c>
      <c r="AC1447" s="0" t="s">
        <v>7629</v>
      </c>
      <c r="AD1447" s="0" t="s">
        <v>7671</v>
      </c>
      <c r="AE1447" s="0" t="s">
        <v>7360</v>
      </c>
      <c r="AF1447" s="0" t="s">
        <v>7361</v>
      </c>
      <c r="AG1447" s="0" t="s">
        <v>230</v>
      </c>
    </row>
    <row r="1448" customFormat="false" ht="15" hidden="false" customHeight="false" outlineLevel="0" collapsed="false">
      <c r="A1448" s="0" t="s">
        <v>7336</v>
      </c>
      <c r="B1448" s="0" t="s">
        <v>5316</v>
      </c>
      <c r="C1448" s="0" t="s">
        <v>5317</v>
      </c>
      <c r="D1448" s="0" t="s">
        <v>227</v>
      </c>
      <c r="E1448" s="0" t="s">
        <v>5318</v>
      </c>
      <c r="F1448" s="0" t="s">
        <v>2183</v>
      </c>
      <c r="G1448" s="0" t="s">
        <v>178</v>
      </c>
      <c r="H1448" s="0" t="s">
        <v>7740</v>
      </c>
      <c r="I1448" s="0" t="s">
        <v>7338</v>
      </c>
      <c r="J1448" s="0" t="s">
        <v>1602</v>
      </c>
      <c r="K1448" s="0" t="s">
        <v>7339</v>
      </c>
      <c r="L1448" s="0" t="s">
        <v>7340</v>
      </c>
      <c r="M1448" s="0" t="s">
        <v>7661</v>
      </c>
      <c r="N1448" s="0" t="s">
        <v>7342</v>
      </c>
      <c r="P1448" s="0" t="s">
        <v>229</v>
      </c>
      <c r="Q1448" s="0" t="s">
        <v>7354</v>
      </c>
      <c r="R1448" s="0" t="s">
        <v>7343</v>
      </c>
      <c r="S1448" s="0" t="s">
        <v>7344</v>
      </c>
      <c r="T1448" s="0" t="s">
        <v>228</v>
      </c>
      <c r="V1448" s="0" t="s">
        <v>34</v>
      </c>
      <c r="W1448" s="0" t="s">
        <v>37</v>
      </c>
      <c r="X1448" s="0" t="s">
        <v>7355</v>
      </c>
      <c r="Y1448" s="0" t="s">
        <v>7346</v>
      </c>
      <c r="Z1448" s="0" t="s">
        <v>7370</v>
      </c>
      <c r="AA1448" s="0" t="s">
        <v>7670</v>
      </c>
      <c r="AB1448" s="0" t="s">
        <v>1663</v>
      </c>
      <c r="AC1448" s="0" t="s">
        <v>7629</v>
      </c>
      <c r="AD1448" s="0" t="s">
        <v>7671</v>
      </c>
      <c r="AE1448" s="0" t="s">
        <v>7360</v>
      </c>
      <c r="AF1448" s="0" t="s">
        <v>7361</v>
      </c>
      <c r="AG1448" s="0" t="s">
        <v>230</v>
      </c>
    </row>
    <row r="1449" customFormat="false" ht="15" hidden="false" customHeight="false" outlineLevel="0" collapsed="false">
      <c r="A1449" s="0" t="s">
        <v>7336</v>
      </c>
      <c r="B1449" s="0" t="s">
        <v>5319</v>
      </c>
      <c r="C1449" s="0" t="s">
        <v>5320</v>
      </c>
      <c r="D1449" s="0" t="s">
        <v>227</v>
      </c>
      <c r="E1449" s="0" t="s">
        <v>5321</v>
      </c>
      <c r="F1449" s="0" t="s">
        <v>2179</v>
      </c>
      <c r="G1449" s="0" t="s">
        <v>178</v>
      </c>
      <c r="H1449" s="0" t="s">
        <v>7739</v>
      </c>
      <c r="I1449" s="0" t="s">
        <v>7338</v>
      </c>
      <c r="J1449" s="0" t="s">
        <v>1602</v>
      </c>
      <c r="K1449" s="0" t="s">
        <v>7339</v>
      </c>
      <c r="L1449" s="0" t="s">
        <v>7340</v>
      </c>
      <c r="M1449" s="0" t="s">
        <v>7661</v>
      </c>
      <c r="N1449" s="0" t="s">
        <v>7342</v>
      </c>
      <c r="P1449" s="0" t="s">
        <v>229</v>
      </c>
      <c r="Q1449" s="0" t="s">
        <v>7354</v>
      </c>
      <c r="R1449" s="0" t="s">
        <v>7343</v>
      </c>
      <c r="S1449" s="0" t="s">
        <v>7344</v>
      </c>
      <c r="T1449" s="0" t="s">
        <v>228</v>
      </c>
      <c r="V1449" s="0" t="s">
        <v>34</v>
      </c>
      <c r="W1449" s="0" t="s">
        <v>37</v>
      </c>
      <c r="X1449" s="0" t="s">
        <v>7355</v>
      </c>
      <c r="Y1449" s="0" t="s">
        <v>7346</v>
      </c>
      <c r="Z1449" s="0" t="s">
        <v>7370</v>
      </c>
      <c r="AA1449" s="0" t="s">
        <v>7670</v>
      </c>
      <c r="AB1449" s="0" t="s">
        <v>1663</v>
      </c>
      <c r="AC1449" s="0" t="s">
        <v>7629</v>
      </c>
      <c r="AD1449" s="0" t="s">
        <v>7671</v>
      </c>
      <c r="AE1449" s="0" t="s">
        <v>7360</v>
      </c>
      <c r="AF1449" s="0" t="s">
        <v>7361</v>
      </c>
      <c r="AG1449" s="0" t="s">
        <v>230</v>
      </c>
    </row>
    <row r="1450" customFormat="false" ht="15" hidden="false" customHeight="false" outlineLevel="0" collapsed="false">
      <c r="A1450" s="0" t="s">
        <v>7336</v>
      </c>
      <c r="B1450" s="0" t="s">
        <v>5322</v>
      </c>
      <c r="C1450" s="0" t="s">
        <v>5323</v>
      </c>
      <c r="D1450" s="0" t="s">
        <v>227</v>
      </c>
      <c r="E1450" s="0" t="s">
        <v>5324</v>
      </c>
      <c r="F1450" s="0" t="s">
        <v>2183</v>
      </c>
      <c r="G1450" s="0" t="s">
        <v>178</v>
      </c>
      <c r="H1450" s="0" t="s">
        <v>7740</v>
      </c>
      <c r="I1450" s="0" t="s">
        <v>7338</v>
      </c>
      <c r="J1450" s="0" t="s">
        <v>1602</v>
      </c>
      <c r="K1450" s="0" t="s">
        <v>7339</v>
      </c>
      <c r="L1450" s="0" t="s">
        <v>7340</v>
      </c>
      <c r="M1450" s="0" t="s">
        <v>7661</v>
      </c>
      <c r="N1450" s="0" t="s">
        <v>7342</v>
      </c>
      <c r="P1450" s="0" t="s">
        <v>229</v>
      </c>
      <c r="Q1450" s="0" t="s">
        <v>7354</v>
      </c>
      <c r="R1450" s="0" t="s">
        <v>7343</v>
      </c>
      <c r="S1450" s="0" t="s">
        <v>7344</v>
      </c>
      <c r="T1450" s="0" t="s">
        <v>228</v>
      </c>
      <c r="V1450" s="0" t="s">
        <v>34</v>
      </c>
      <c r="W1450" s="0" t="s">
        <v>37</v>
      </c>
      <c r="X1450" s="0" t="s">
        <v>7355</v>
      </c>
      <c r="Y1450" s="0" t="s">
        <v>7346</v>
      </c>
      <c r="Z1450" s="0" t="s">
        <v>7370</v>
      </c>
      <c r="AA1450" s="0" t="s">
        <v>7670</v>
      </c>
      <c r="AB1450" s="0" t="s">
        <v>1663</v>
      </c>
      <c r="AC1450" s="0" t="s">
        <v>7629</v>
      </c>
      <c r="AD1450" s="0" t="s">
        <v>7671</v>
      </c>
      <c r="AE1450" s="0" t="s">
        <v>7360</v>
      </c>
      <c r="AF1450" s="0" t="s">
        <v>7361</v>
      </c>
      <c r="AG1450" s="0" t="s">
        <v>230</v>
      </c>
    </row>
    <row r="1451" customFormat="false" ht="15" hidden="false" customHeight="false" outlineLevel="0" collapsed="false">
      <c r="A1451" s="0" t="s">
        <v>7336</v>
      </c>
      <c r="B1451" s="0" t="s">
        <v>5325</v>
      </c>
      <c r="C1451" s="0" t="s">
        <v>5326</v>
      </c>
      <c r="D1451" s="0" t="s">
        <v>227</v>
      </c>
      <c r="E1451" s="0" t="s">
        <v>5327</v>
      </c>
      <c r="F1451" s="0" t="s">
        <v>5192</v>
      </c>
      <c r="G1451" s="0" t="s">
        <v>176</v>
      </c>
      <c r="H1451" s="0" t="s">
        <v>8290</v>
      </c>
      <c r="I1451" s="0" t="s">
        <v>7338</v>
      </c>
      <c r="J1451" s="0" t="s">
        <v>1602</v>
      </c>
      <c r="K1451" s="0" t="s">
        <v>7339</v>
      </c>
      <c r="L1451" s="0" t="s">
        <v>7340</v>
      </c>
      <c r="M1451" s="0" t="s">
        <v>7661</v>
      </c>
      <c r="N1451" s="0" t="s">
        <v>7342</v>
      </c>
    </row>
    <row r="1452" customFormat="false" ht="15" hidden="false" customHeight="false" outlineLevel="0" collapsed="false">
      <c r="A1452" s="0" t="s">
        <v>7336</v>
      </c>
      <c r="B1452" s="0" t="s">
        <v>5328</v>
      </c>
      <c r="C1452" s="0" t="s">
        <v>5329</v>
      </c>
      <c r="D1452" s="0" t="s">
        <v>227</v>
      </c>
      <c r="E1452" s="0" t="s">
        <v>5330</v>
      </c>
      <c r="F1452" s="0" t="s">
        <v>5192</v>
      </c>
      <c r="G1452" s="0" t="s">
        <v>176</v>
      </c>
      <c r="H1452" s="0" t="s">
        <v>8290</v>
      </c>
      <c r="I1452" s="0" t="s">
        <v>7338</v>
      </c>
      <c r="J1452" s="0" t="s">
        <v>1602</v>
      </c>
      <c r="K1452" s="0" t="s">
        <v>7339</v>
      </c>
      <c r="L1452" s="0" t="s">
        <v>7340</v>
      </c>
      <c r="M1452" s="0" t="s">
        <v>7661</v>
      </c>
      <c r="N1452" s="0" t="s">
        <v>7342</v>
      </c>
    </row>
    <row r="1453" customFormat="false" ht="15" hidden="false" customHeight="false" outlineLevel="0" collapsed="false">
      <c r="A1453" s="0" t="s">
        <v>7336</v>
      </c>
      <c r="B1453" s="0" t="s">
        <v>5331</v>
      </c>
      <c r="C1453" s="0" t="s">
        <v>5332</v>
      </c>
      <c r="D1453" s="0" t="s">
        <v>227</v>
      </c>
      <c r="E1453" s="0" t="s">
        <v>5333</v>
      </c>
      <c r="F1453" s="0" t="s">
        <v>5192</v>
      </c>
      <c r="G1453" s="0" t="s">
        <v>176</v>
      </c>
      <c r="H1453" s="0" t="s">
        <v>8290</v>
      </c>
      <c r="I1453" s="0" t="s">
        <v>7338</v>
      </c>
      <c r="J1453" s="0" t="s">
        <v>1602</v>
      </c>
      <c r="K1453" s="0" t="s">
        <v>7339</v>
      </c>
      <c r="L1453" s="0" t="s">
        <v>7340</v>
      </c>
      <c r="M1453" s="0" t="s">
        <v>7661</v>
      </c>
      <c r="N1453" s="0" t="s">
        <v>7342</v>
      </c>
    </row>
    <row r="1454" customFormat="false" ht="15" hidden="false" customHeight="false" outlineLevel="0" collapsed="false">
      <c r="A1454" s="0" t="s">
        <v>7336</v>
      </c>
      <c r="B1454" s="0" t="s">
        <v>5334</v>
      </c>
      <c r="C1454" s="0" t="s">
        <v>5335</v>
      </c>
      <c r="D1454" s="0" t="s">
        <v>227</v>
      </c>
      <c r="E1454" s="0" t="s">
        <v>5336</v>
      </c>
      <c r="F1454" s="0" t="s">
        <v>5192</v>
      </c>
      <c r="G1454" s="0" t="s">
        <v>176</v>
      </c>
      <c r="H1454" s="0" t="s">
        <v>8290</v>
      </c>
      <c r="I1454" s="0" t="s">
        <v>7338</v>
      </c>
      <c r="J1454" s="0" t="s">
        <v>1602</v>
      </c>
      <c r="K1454" s="0" t="s">
        <v>7339</v>
      </c>
      <c r="L1454" s="0" t="s">
        <v>7340</v>
      </c>
      <c r="M1454" s="0" t="s">
        <v>7661</v>
      </c>
      <c r="N1454" s="0" t="s">
        <v>7342</v>
      </c>
    </row>
    <row r="1455" customFormat="false" ht="15" hidden="false" customHeight="false" outlineLevel="0" collapsed="false">
      <c r="A1455" s="0" t="s">
        <v>7336</v>
      </c>
      <c r="B1455" s="0" t="s">
        <v>5337</v>
      </c>
      <c r="C1455" s="0" t="s">
        <v>5338</v>
      </c>
      <c r="D1455" s="0" t="s">
        <v>227</v>
      </c>
      <c r="E1455" s="0" t="s">
        <v>5339</v>
      </c>
      <c r="F1455" s="0" t="s">
        <v>5192</v>
      </c>
      <c r="G1455" s="0" t="s">
        <v>176</v>
      </c>
      <c r="H1455" s="0" t="s">
        <v>8290</v>
      </c>
      <c r="I1455" s="0" t="s">
        <v>7338</v>
      </c>
      <c r="J1455" s="0" t="s">
        <v>1602</v>
      </c>
      <c r="K1455" s="0" t="s">
        <v>7339</v>
      </c>
      <c r="L1455" s="0" t="s">
        <v>7340</v>
      </c>
      <c r="M1455" s="0" t="s">
        <v>7661</v>
      </c>
      <c r="N1455" s="0" t="s">
        <v>7342</v>
      </c>
    </row>
    <row r="1456" customFormat="false" ht="15" hidden="false" customHeight="false" outlineLevel="0" collapsed="false">
      <c r="A1456" s="0" t="s">
        <v>7336</v>
      </c>
      <c r="B1456" s="0" t="s">
        <v>5340</v>
      </c>
      <c r="C1456" s="0" t="s">
        <v>5341</v>
      </c>
      <c r="D1456" s="0" t="s">
        <v>227</v>
      </c>
      <c r="E1456" s="0" t="s">
        <v>5342</v>
      </c>
      <c r="F1456" s="0" t="s">
        <v>5192</v>
      </c>
      <c r="G1456" s="0" t="s">
        <v>176</v>
      </c>
      <c r="H1456" s="0" t="s">
        <v>8290</v>
      </c>
      <c r="I1456" s="0" t="s">
        <v>7338</v>
      </c>
      <c r="J1456" s="0" t="s">
        <v>1602</v>
      </c>
      <c r="K1456" s="0" t="s">
        <v>7339</v>
      </c>
      <c r="L1456" s="0" t="s">
        <v>7340</v>
      </c>
      <c r="M1456" s="0" t="s">
        <v>7661</v>
      </c>
      <c r="N1456" s="0" t="s">
        <v>7342</v>
      </c>
    </row>
    <row r="1457" customFormat="false" ht="15" hidden="false" customHeight="false" outlineLevel="0" collapsed="false">
      <c r="A1457" s="0" t="s">
        <v>7336</v>
      </c>
      <c r="B1457" s="0" t="s">
        <v>5343</v>
      </c>
      <c r="C1457" s="0" t="s">
        <v>5344</v>
      </c>
      <c r="D1457" s="0" t="s">
        <v>227</v>
      </c>
      <c r="E1457" s="0" t="s">
        <v>5345</v>
      </c>
      <c r="F1457" s="0" t="s">
        <v>5196</v>
      </c>
      <c r="G1457" s="0" t="s">
        <v>176</v>
      </c>
      <c r="H1457" s="0" t="s">
        <v>8291</v>
      </c>
      <c r="I1457" s="0" t="s">
        <v>7338</v>
      </c>
      <c r="J1457" s="0" t="s">
        <v>1602</v>
      </c>
      <c r="K1457" s="0" t="s">
        <v>7339</v>
      </c>
      <c r="L1457" s="0" t="s">
        <v>7340</v>
      </c>
      <c r="M1457" s="0" t="s">
        <v>7661</v>
      </c>
      <c r="N1457" s="0" t="s">
        <v>7342</v>
      </c>
    </row>
    <row r="1458" customFormat="false" ht="15" hidden="false" customHeight="false" outlineLevel="0" collapsed="false">
      <c r="A1458" s="0" t="s">
        <v>7336</v>
      </c>
      <c r="B1458" s="0" t="s">
        <v>5346</v>
      </c>
      <c r="C1458" s="0" t="s">
        <v>5347</v>
      </c>
      <c r="D1458" s="0" t="s">
        <v>227</v>
      </c>
      <c r="E1458" s="0" t="s">
        <v>5348</v>
      </c>
      <c r="F1458" s="0" t="s">
        <v>5196</v>
      </c>
      <c r="G1458" s="0" t="s">
        <v>176</v>
      </c>
      <c r="H1458" s="0" t="s">
        <v>8291</v>
      </c>
      <c r="I1458" s="0" t="s">
        <v>7338</v>
      </c>
      <c r="J1458" s="0" t="s">
        <v>1602</v>
      </c>
      <c r="K1458" s="0" t="s">
        <v>7339</v>
      </c>
      <c r="L1458" s="0" t="s">
        <v>7340</v>
      </c>
      <c r="M1458" s="0" t="s">
        <v>7661</v>
      </c>
      <c r="N1458" s="0" t="s">
        <v>7342</v>
      </c>
    </row>
    <row r="1459" customFormat="false" ht="15" hidden="false" customHeight="false" outlineLevel="0" collapsed="false">
      <c r="A1459" s="0" t="s">
        <v>7336</v>
      </c>
      <c r="B1459" s="0" t="s">
        <v>5349</v>
      </c>
      <c r="C1459" s="0" t="s">
        <v>5350</v>
      </c>
      <c r="D1459" s="0" t="s">
        <v>227</v>
      </c>
      <c r="E1459" s="0" t="s">
        <v>5351</v>
      </c>
      <c r="F1459" s="0" t="s">
        <v>5196</v>
      </c>
      <c r="G1459" s="0" t="s">
        <v>176</v>
      </c>
      <c r="H1459" s="0" t="s">
        <v>8291</v>
      </c>
      <c r="I1459" s="0" t="s">
        <v>7338</v>
      </c>
      <c r="J1459" s="0" t="s">
        <v>1602</v>
      </c>
      <c r="K1459" s="0" t="s">
        <v>7339</v>
      </c>
      <c r="L1459" s="0" t="s">
        <v>7340</v>
      </c>
      <c r="M1459" s="0" t="s">
        <v>7661</v>
      </c>
      <c r="N1459" s="0" t="s">
        <v>7342</v>
      </c>
    </row>
    <row r="1460" customFormat="false" ht="15" hidden="false" customHeight="false" outlineLevel="0" collapsed="false">
      <c r="A1460" s="0" t="s">
        <v>7336</v>
      </c>
      <c r="B1460" s="0" t="s">
        <v>5352</v>
      </c>
      <c r="C1460" s="0" t="s">
        <v>5353</v>
      </c>
      <c r="D1460" s="0" t="s">
        <v>227</v>
      </c>
      <c r="E1460" s="0" t="s">
        <v>5354</v>
      </c>
      <c r="F1460" s="0" t="s">
        <v>5196</v>
      </c>
      <c r="G1460" s="0" t="s">
        <v>176</v>
      </c>
      <c r="H1460" s="0" t="s">
        <v>8291</v>
      </c>
      <c r="I1460" s="0" t="s">
        <v>7338</v>
      </c>
      <c r="J1460" s="0" t="s">
        <v>1602</v>
      </c>
      <c r="K1460" s="0" t="s">
        <v>7339</v>
      </c>
      <c r="L1460" s="0" t="s">
        <v>7340</v>
      </c>
      <c r="M1460" s="0" t="s">
        <v>7661</v>
      </c>
      <c r="N1460" s="0" t="s">
        <v>7342</v>
      </c>
    </row>
    <row r="1461" customFormat="false" ht="15" hidden="false" customHeight="false" outlineLevel="0" collapsed="false">
      <c r="A1461" s="0" t="s">
        <v>7336</v>
      </c>
      <c r="B1461" s="0" t="s">
        <v>5355</v>
      </c>
      <c r="C1461" s="0" t="s">
        <v>5356</v>
      </c>
      <c r="D1461" s="0" t="s">
        <v>227</v>
      </c>
      <c r="E1461" s="0" t="s">
        <v>5357</v>
      </c>
      <c r="F1461" s="0" t="s">
        <v>2313</v>
      </c>
      <c r="G1461" s="0" t="s">
        <v>138</v>
      </c>
      <c r="H1461" s="0" t="s">
        <v>7767</v>
      </c>
      <c r="I1461" s="0" t="s">
        <v>7338</v>
      </c>
      <c r="J1461" s="0" t="s">
        <v>1602</v>
      </c>
      <c r="K1461" s="0" t="s">
        <v>7339</v>
      </c>
      <c r="L1461" s="0" t="s">
        <v>7340</v>
      </c>
      <c r="M1461" s="0" t="s">
        <v>7661</v>
      </c>
      <c r="N1461" s="0" t="s">
        <v>7342</v>
      </c>
    </row>
    <row r="1462" customFormat="false" ht="15" hidden="false" customHeight="false" outlineLevel="0" collapsed="false">
      <c r="A1462" s="0" t="s">
        <v>7336</v>
      </c>
      <c r="B1462" s="0" t="s">
        <v>5358</v>
      </c>
      <c r="C1462" s="0" t="s">
        <v>5359</v>
      </c>
      <c r="D1462" s="0" t="s">
        <v>227</v>
      </c>
      <c r="E1462" s="0" t="s">
        <v>5360</v>
      </c>
      <c r="F1462" s="0" t="s">
        <v>2317</v>
      </c>
      <c r="G1462" s="0" t="s">
        <v>138</v>
      </c>
      <c r="H1462" s="0" t="s">
        <v>7768</v>
      </c>
      <c r="I1462" s="0" t="s">
        <v>7338</v>
      </c>
      <c r="J1462" s="0" t="s">
        <v>1602</v>
      </c>
      <c r="K1462" s="0" t="s">
        <v>7339</v>
      </c>
      <c r="L1462" s="0" t="s">
        <v>7340</v>
      </c>
      <c r="M1462" s="0" t="s">
        <v>7661</v>
      </c>
      <c r="N1462" s="0" t="s">
        <v>7342</v>
      </c>
    </row>
    <row r="1463" customFormat="false" ht="15" hidden="false" customHeight="false" outlineLevel="0" collapsed="false">
      <c r="A1463" s="0" t="s">
        <v>7336</v>
      </c>
      <c r="B1463" s="0" t="s">
        <v>5361</v>
      </c>
      <c r="C1463" s="0" t="s">
        <v>5362</v>
      </c>
      <c r="D1463" s="0" t="s">
        <v>227</v>
      </c>
      <c r="E1463" s="0" t="s">
        <v>5363</v>
      </c>
      <c r="F1463" s="0" t="s">
        <v>2321</v>
      </c>
      <c r="G1463" s="0" t="s">
        <v>170</v>
      </c>
      <c r="H1463" s="0" t="s">
        <v>7769</v>
      </c>
      <c r="I1463" s="0" t="s">
        <v>7338</v>
      </c>
      <c r="J1463" s="0" t="s">
        <v>1602</v>
      </c>
      <c r="K1463" s="0" t="s">
        <v>7339</v>
      </c>
      <c r="L1463" s="0" t="s">
        <v>7340</v>
      </c>
      <c r="M1463" s="0" t="s">
        <v>7661</v>
      </c>
      <c r="N1463" s="0" t="s">
        <v>7342</v>
      </c>
      <c r="P1463" s="0" t="s">
        <v>229</v>
      </c>
      <c r="Q1463" s="0" t="s">
        <v>7354</v>
      </c>
      <c r="R1463" s="0" t="s">
        <v>7343</v>
      </c>
      <c r="S1463" s="0" t="s">
        <v>7344</v>
      </c>
      <c r="T1463" s="0" t="s">
        <v>228</v>
      </c>
      <c r="V1463" s="0" t="s">
        <v>34</v>
      </c>
      <c r="W1463" s="0" t="s">
        <v>43</v>
      </c>
      <c r="X1463" s="0" t="s">
        <v>7355</v>
      </c>
      <c r="Y1463" s="0" t="s">
        <v>7346</v>
      </c>
      <c r="Z1463" s="0" t="s">
        <v>7370</v>
      </c>
      <c r="AA1463" s="0" t="s">
        <v>7670</v>
      </c>
      <c r="AB1463" s="0" t="s">
        <v>1663</v>
      </c>
      <c r="AC1463" s="0" t="s">
        <v>7629</v>
      </c>
      <c r="AD1463" s="0" t="s">
        <v>7681</v>
      </c>
      <c r="AE1463" s="0" t="s">
        <v>7360</v>
      </c>
      <c r="AF1463" s="0" t="s">
        <v>7361</v>
      </c>
      <c r="AG1463" s="0" t="s">
        <v>230</v>
      </c>
    </row>
    <row r="1464" customFormat="false" ht="15" hidden="false" customHeight="false" outlineLevel="0" collapsed="false">
      <c r="A1464" s="0" t="s">
        <v>7336</v>
      </c>
      <c r="B1464" s="0" t="s">
        <v>5364</v>
      </c>
      <c r="C1464" s="0" t="s">
        <v>5365</v>
      </c>
      <c r="D1464" s="0" t="s">
        <v>227</v>
      </c>
      <c r="E1464" s="0" t="s">
        <v>5366</v>
      </c>
      <c r="F1464" s="0" t="s">
        <v>2325</v>
      </c>
      <c r="G1464" s="0" t="s">
        <v>170</v>
      </c>
      <c r="H1464" s="0" t="s">
        <v>7770</v>
      </c>
      <c r="I1464" s="0" t="s">
        <v>7338</v>
      </c>
      <c r="J1464" s="0" t="s">
        <v>1602</v>
      </c>
      <c r="K1464" s="0" t="s">
        <v>7339</v>
      </c>
      <c r="L1464" s="0" t="s">
        <v>7340</v>
      </c>
      <c r="M1464" s="0" t="s">
        <v>7661</v>
      </c>
      <c r="N1464" s="0" t="s">
        <v>7342</v>
      </c>
      <c r="P1464" s="0" t="s">
        <v>229</v>
      </c>
      <c r="Q1464" s="0" t="s">
        <v>7354</v>
      </c>
      <c r="R1464" s="0" t="s">
        <v>7343</v>
      </c>
      <c r="S1464" s="0" t="s">
        <v>7344</v>
      </c>
      <c r="T1464" s="0" t="s">
        <v>228</v>
      </c>
      <c r="V1464" s="0" t="s">
        <v>34</v>
      </c>
      <c r="W1464" s="0" t="s">
        <v>43</v>
      </c>
      <c r="X1464" s="0" t="s">
        <v>7355</v>
      </c>
      <c r="Y1464" s="0" t="s">
        <v>7346</v>
      </c>
      <c r="Z1464" s="0" t="s">
        <v>7370</v>
      </c>
      <c r="AA1464" s="0" t="s">
        <v>7670</v>
      </c>
      <c r="AB1464" s="0" t="s">
        <v>1663</v>
      </c>
      <c r="AC1464" s="0" t="s">
        <v>7629</v>
      </c>
      <c r="AD1464" s="0" t="s">
        <v>7681</v>
      </c>
      <c r="AE1464" s="0" t="s">
        <v>7360</v>
      </c>
      <c r="AF1464" s="0" t="s">
        <v>7361</v>
      </c>
      <c r="AG1464" s="0" t="s">
        <v>230</v>
      </c>
    </row>
    <row r="1465" customFormat="false" ht="15" hidden="false" customHeight="false" outlineLevel="0" collapsed="false">
      <c r="A1465" s="0" t="s">
        <v>7336</v>
      </c>
      <c r="B1465" s="0" t="s">
        <v>5367</v>
      </c>
      <c r="C1465" s="0" t="s">
        <v>5368</v>
      </c>
      <c r="D1465" s="0" t="s">
        <v>227</v>
      </c>
      <c r="E1465" s="0" t="s">
        <v>5369</v>
      </c>
      <c r="F1465" s="0" t="s">
        <v>2329</v>
      </c>
      <c r="G1465" s="0" t="s">
        <v>178</v>
      </c>
      <c r="H1465" s="0" t="s">
        <v>7771</v>
      </c>
      <c r="I1465" s="0" t="s">
        <v>7338</v>
      </c>
      <c r="J1465" s="0" t="s">
        <v>1602</v>
      </c>
      <c r="K1465" s="0" t="s">
        <v>7339</v>
      </c>
      <c r="L1465" s="0" t="s">
        <v>7340</v>
      </c>
      <c r="M1465" s="0" t="s">
        <v>7661</v>
      </c>
      <c r="N1465" s="0" t="s">
        <v>7342</v>
      </c>
      <c r="P1465" s="0" t="s">
        <v>229</v>
      </c>
      <c r="Q1465" s="0" t="s">
        <v>7354</v>
      </c>
      <c r="R1465" s="0" t="s">
        <v>7343</v>
      </c>
      <c r="S1465" s="0" t="s">
        <v>7344</v>
      </c>
      <c r="T1465" s="0" t="s">
        <v>228</v>
      </c>
      <c r="V1465" s="0" t="s">
        <v>34</v>
      </c>
      <c r="W1465" s="0" t="s">
        <v>43</v>
      </c>
      <c r="X1465" s="0" t="s">
        <v>7355</v>
      </c>
      <c r="Y1465" s="0" t="s">
        <v>7346</v>
      </c>
      <c r="Z1465" s="0" t="s">
        <v>7370</v>
      </c>
      <c r="AA1465" s="0" t="s">
        <v>7670</v>
      </c>
      <c r="AB1465" s="0" t="s">
        <v>1663</v>
      </c>
      <c r="AC1465" s="0" t="s">
        <v>7629</v>
      </c>
      <c r="AD1465" s="0" t="s">
        <v>7681</v>
      </c>
      <c r="AE1465" s="0" t="s">
        <v>7360</v>
      </c>
      <c r="AF1465" s="0" t="s">
        <v>7361</v>
      </c>
      <c r="AG1465" s="0" t="s">
        <v>230</v>
      </c>
    </row>
    <row r="1466" customFormat="false" ht="15" hidden="false" customHeight="false" outlineLevel="0" collapsed="false">
      <c r="A1466" s="0" t="s">
        <v>7336</v>
      </c>
      <c r="B1466" s="0" t="s">
        <v>5370</v>
      </c>
      <c r="C1466" s="0" t="s">
        <v>5371</v>
      </c>
      <c r="D1466" s="0" t="s">
        <v>227</v>
      </c>
      <c r="E1466" s="0" t="s">
        <v>5372</v>
      </c>
      <c r="F1466" s="0" t="s">
        <v>2333</v>
      </c>
      <c r="G1466" s="0" t="s">
        <v>178</v>
      </c>
      <c r="H1466" s="0" t="s">
        <v>7772</v>
      </c>
      <c r="I1466" s="0" t="s">
        <v>7338</v>
      </c>
      <c r="J1466" s="0" t="s">
        <v>1602</v>
      </c>
      <c r="K1466" s="0" t="s">
        <v>7339</v>
      </c>
      <c r="L1466" s="0" t="s">
        <v>7340</v>
      </c>
      <c r="M1466" s="0" t="s">
        <v>7661</v>
      </c>
      <c r="N1466" s="0" t="s">
        <v>7342</v>
      </c>
      <c r="P1466" s="0" t="s">
        <v>229</v>
      </c>
      <c r="Q1466" s="0" t="s">
        <v>7354</v>
      </c>
      <c r="R1466" s="0" t="s">
        <v>7343</v>
      </c>
      <c r="S1466" s="0" t="s">
        <v>7344</v>
      </c>
      <c r="T1466" s="0" t="s">
        <v>228</v>
      </c>
      <c r="V1466" s="0" t="s">
        <v>34</v>
      </c>
      <c r="W1466" s="0" t="s">
        <v>43</v>
      </c>
      <c r="X1466" s="0" t="s">
        <v>7355</v>
      </c>
      <c r="Y1466" s="0" t="s">
        <v>7346</v>
      </c>
      <c r="Z1466" s="0" t="s">
        <v>7370</v>
      </c>
      <c r="AA1466" s="0" t="s">
        <v>7670</v>
      </c>
      <c r="AB1466" s="0" t="s">
        <v>1663</v>
      </c>
      <c r="AC1466" s="0" t="s">
        <v>7629</v>
      </c>
      <c r="AD1466" s="0" t="s">
        <v>7681</v>
      </c>
      <c r="AE1466" s="0" t="s">
        <v>7360</v>
      </c>
      <c r="AF1466" s="0" t="s">
        <v>7361</v>
      </c>
      <c r="AG1466" s="0" t="s">
        <v>230</v>
      </c>
    </row>
    <row r="1467" customFormat="false" ht="15" hidden="false" customHeight="false" outlineLevel="0" collapsed="false">
      <c r="A1467" s="0" t="s">
        <v>7336</v>
      </c>
      <c r="B1467" s="0" t="s">
        <v>5373</v>
      </c>
      <c r="C1467" s="0" t="s">
        <v>5374</v>
      </c>
      <c r="D1467" s="0" t="s">
        <v>227</v>
      </c>
      <c r="E1467" s="0" t="s">
        <v>5375</v>
      </c>
      <c r="F1467" s="0" t="s">
        <v>5376</v>
      </c>
      <c r="G1467" s="0" t="s">
        <v>182</v>
      </c>
      <c r="H1467" s="0" t="s">
        <v>8292</v>
      </c>
      <c r="I1467" s="0" t="s">
        <v>7338</v>
      </c>
      <c r="J1467" s="0" t="s">
        <v>1602</v>
      </c>
      <c r="K1467" s="0" t="s">
        <v>7339</v>
      </c>
      <c r="L1467" s="0" t="s">
        <v>7340</v>
      </c>
      <c r="M1467" s="0" t="s">
        <v>7661</v>
      </c>
      <c r="N1467" s="0" t="s">
        <v>7342</v>
      </c>
    </row>
    <row r="1468" customFormat="false" ht="15" hidden="false" customHeight="false" outlineLevel="0" collapsed="false">
      <c r="A1468" s="0" t="s">
        <v>7336</v>
      </c>
      <c r="B1468" s="0" t="s">
        <v>5377</v>
      </c>
      <c r="C1468" s="0" t="s">
        <v>5378</v>
      </c>
      <c r="D1468" s="0" t="s">
        <v>227</v>
      </c>
      <c r="E1468" s="0" t="s">
        <v>5379</v>
      </c>
      <c r="F1468" s="0" t="s">
        <v>5380</v>
      </c>
      <c r="G1468" s="0" t="s">
        <v>168</v>
      </c>
      <c r="H1468" s="0" t="s">
        <v>8293</v>
      </c>
      <c r="I1468" s="0" t="s">
        <v>7338</v>
      </c>
      <c r="J1468" s="0" t="s">
        <v>1602</v>
      </c>
      <c r="K1468" s="0" t="s">
        <v>7339</v>
      </c>
      <c r="L1468" s="0" t="s">
        <v>7340</v>
      </c>
      <c r="M1468" s="0" t="s">
        <v>7661</v>
      </c>
      <c r="N1468" s="0" t="s">
        <v>7342</v>
      </c>
      <c r="P1468" s="0" t="s">
        <v>229</v>
      </c>
      <c r="Q1468" s="0" t="s">
        <v>7354</v>
      </c>
      <c r="R1468" s="0" t="s">
        <v>7343</v>
      </c>
      <c r="S1468" s="0" t="s">
        <v>7344</v>
      </c>
      <c r="T1468" s="0" t="s">
        <v>58</v>
      </c>
      <c r="V1468" s="0" t="s">
        <v>55</v>
      </c>
      <c r="W1468" s="0" t="s">
        <v>57</v>
      </c>
      <c r="X1468" s="0" t="s">
        <v>7355</v>
      </c>
      <c r="Y1468" s="0" t="s">
        <v>7667</v>
      </c>
      <c r="Z1468" s="0" t="s">
        <v>7668</v>
      </c>
      <c r="AA1468" s="0" t="s">
        <v>7669</v>
      </c>
      <c r="AB1468" s="0" t="s">
        <v>237</v>
      </c>
      <c r="AC1468" s="0" t="s">
        <v>7629</v>
      </c>
      <c r="AD1468" s="0" t="s">
        <v>682</v>
      </c>
      <c r="AE1468" s="0" t="s">
        <v>7360</v>
      </c>
      <c r="AF1468" s="0" t="s">
        <v>7361</v>
      </c>
      <c r="AG1468" s="0" t="s">
        <v>230</v>
      </c>
    </row>
    <row r="1469" customFormat="false" ht="15" hidden="false" customHeight="false" outlineLevel="0" collapsed="false">
      <c r="A1469" s="0" t="s">
        <v>7336</v>
      </c>
      <c r="B1469" s="0" t="s">
        <v>5381</v>
      </c>
      <c r="C1469" s="0" t="s">
        <v>5382</v>
      </c>
      <c r="D1469" s="0" t="s">
        <v>227</v>
      </c>
      <c r="E1469" s="0" t="s">
        <v>5383</v>
      </c>
      <c r="F1469" s="0" t="s">
        <v>5384</v>
      </c>
      <c r="G1469" s="0" t="s">
        <v>168</v>
      </c>
      <c r="H1469" s="0" t="s">
        <v>8294</v>
      </c>
      <c r="I1469" s="0" t="s">
        <v>7338</v>
      </c>
      <c r="J1469" s="0" t="s">
        <v>1602</v>
      </c>
      <c r="K1469" s="0" t="s">
        <v>7339</v>
      </c>
      <c r="L1469" s="0" t="s">
        <v>7340</v>
      </c>
      <c r="M1469" s="0" t="s">
        <v>7661</v>
      </c>
      <c r="N1469" s="0" t="s">
        <v>7342</v>
      </c>
      <c r="P1469" s="0" t="s">
        <v>229</v>
      </c>
      <c r="Q1469" s="0" t="s">
        <v>7354</v>
      </c>
      <c r="R1469" s="0" t="s">
        <v>7343</v>
      </c>
      <c r="S1469" s="0" t="s">
        <v>7344</v>
      </c>
      <c r="T1469" s="0" t="s">
        <v>58</v>
      </c>
      <c r="V1469" s="0" t="s">
        <v>55</v>
      </c>
      <c r="W1469" s="0" t="s">
        <v>57</v>
      </c>
      <c r="X1469" s="0" t="s">
        <v>7355</v>
      </c>
      <c r="Y1469" s="0" t="s">
        <v>7667</v>
      </c>
      <c r="Z1469" s="0" t="s">
        <v>7668</v>
      </c>
      <c r="AA1469" s="0" t="s">
        <v>7669</v>
      </c>
      <c r="AB1469" s="0" t="s">
        <v>237</v>
      </c>
      <c r="AC1469" s="0" t="s">
        <v>7629</v>
      </c>
      <c r="AD1469" s="0" t="s">
        <v>682</v>
      </c>
      <c r="AE1469" s="0" t="s">
        <v>7360</v>
      </c>
      <c r="AF1469" s="0" t="s">
        <v>7361</v>
      </c>
      <c r="AG1469" s="0" t="s">
        <v>230</v>
      </c>
    </row>
    <row r="1470" customFormat="false" ht="15" hidden="false" customHeight="false" outlineLevel="0" collapsed="false">
      <c r="A1470" s="0" t="s">
        <v>7336</v>
      </c>
      <c r="B1470" s="0" t="s">
        <v>5385</v>
      </c>
      <c r="C1470" s="0" t="s">
        <v>5386</v>
      </c>
      <c r="D1470" s="0" t="s">
        <v>227</v>
      </c>
      <c r="E1470" s="0" t="s">
        <v>5387</v>
      </c>
      <c r="F1470" s="0" t="s">
        <v>5388</v>
      </c>
      <c r="G1470" s="0" t="s">
        <v>138</v>
      </c>
      <c r="H1470" s="0" t="s">
        <v>8295</v>
      </c>
      <c r="I1470" s="0" t="s">
        <v>7338</v>
      </c>
      <c r="J1470" s="0" t="s">
        <v>1602</v>
      </c>
      <c r="K1470" s="0" t="s">
        <v>7339</v>
      </c>
      <c r="L1470" s="0" t="s">
        <v>7340</v>
      </c>
      <c r="M1470" s="0" t="s">
        <v>7661</v>
      </c>
      <c r="N1470" s="0" t="s">
        <v>7342</v>
      </c>
    </row>
    <row r="1471" customFormat="false" ht="15" hidden="false" customHeight="false" outlineLevel="0" collapsed="false">
      <c r="A1471" s="0" t="s">
        <v>7336</v>
      </c>
      <c r="B1471" s="0" t="s">
        <v>5389</v>
      </c>
      <c r="C1471" s="0" t="s">
        <v>5390</v>
      </c>
      <c r="D1471" s="0" t="s">
        <v>227</v>
      </c>
      <c r="E1471" s="0" t="s">
        <v>5391</v>
      </c>
      <c r="F1471" s="0" t="s">
        <v>5392</v>
      </c>
      <c r="G1471" s="0" t="s">
        <v>170</v>
      </c>
      <c r="H1471" s="0" t="s">
        <v>8296</v>
      </c>
      <c r="I1471" s="0" t="s">
        <v>7338</v>
      </c>
      <c r="J1471" s="0" t="s">
        <v>1602</v>
      </c>
      <c r="K1471" s="0" t="s">
        <v>7339</v>
      </c>
      <c r="L1471" s="0" t="s">
        <v>7340</v>
      </c>
      <c r="M1471" s="0" t="s">
        <v>7661</v>
      </c>
      <c r="N1471" s="0" t="s">
        <v>7342</v>
      </c>
      <c r="P1471" s="0" t="s">
        <v>229</v>
      </c>
      <c r="Q1471" s="0" t="s">
        <v>7354</v>
      </c>
      <c r="R1471" s="0" t="s">
        <v>7343</v>
      </c>
      <c r="S1471" s="0" t="s">
        <v>7344</v>
      </c>
      <c r="T1471" s="0" t="s">
        <v>2171</v>
      </c>
      <c r="V1471" s="0" t="s">
        <v>55</v>
      </c>
      <c r="W1471" s="0" t="s">
        <v>57</v>
      </c>
      <c r="X1471" s="0" t="s">
        <v>7355</v>
      </c>
      <c r="Y1471" s="0" t="s">
        <v>7667</v>
      </c>
      <c r="Z1471" s="0" t="s">
        <v>7668</v>
      </c>
      <c r="AA1471" s="0" t="s">
        <v>7669</v>
      </c>
      <c r="AB1471" s="0" t="s">
        <v>237</v>
      </c>
      <c r="AC1471" s="0" t="s">
        <v>7629</v>
      </c>
      <c r="AD1471" s="0" t="s">
        <v>682</v>
      </c>
      <c r="AE1471" s="0" t="s">
        <v>7360</v>
      </c>
      <c r="AF1471" s="0" t="s">
        <v>7361</v>
      </c>
      <c r="AG1471" s="0" t="s">
        <v>230</v>
      </c>
    </row>
    <row r="1472" customFormat="false" ht="15" hidden="false" customHeight="false" outlineLevel="0" collapsed="false">
      <c r="A1472" s="0" t="s">
        <v>7336</v>
      </c>
      <c r="B1472" s="0" t="s">
        <v>5393</v>
      </c>
      <c r="C1472" s="0" t="s">
        <v>5394</v>
      </c>
      <c r="D1472" s="0" t="s">
        <v>227</v>
      </c>
      <c r="E1472" s="0" t="s">
        <v>5395</v>
      </c>
      <c r="F1472" s="0" t="s">
        <v>5396</v>
      </c>
      <c r="G1472" s="0" t="s">
        <v>170</v>
      </c>
      <c r="H1472" s="0" t="s">
        <v>8297</v>
      </c>
      <c r="I1472" s="0" t="s">
        <v>7338</v>
      </c>
      <c r="J1472" s="0" t="s">
        <v>1602</v>
      </c>
      <c r="K1472" s="0" t="s">
        <v>7339</v>
      </c>
      <c r="L1472" s="0" t="s">
        <v>7340</v>
      </c>
      <c r="M1472" s="0" t="s">
        <v>7661</v>
      </c>
      <c r="N1472" s="0" t="s">
        <v>7342</v>
      </c>
      <c r="P1472" s="0" t="s">
        <v>229</v>
      </c>
      <c r="Q1472" s="0" t="s">
        <v>7354</v>
      </c>
      <c r="R1472" s="0" t="s">
        <v>7343</v>
      </c>
      <c r="S1472" s="0" t="s">
        <v>7344</v>
      </c>
      <c r="T1472" s="0" t="s">
        <v>2171</v>
      </c>
      <c r="V1472" s="0" t="s">
        <v>55</v>
      </c>
      <c r="W1472" s="0" t="s">
        <v>57</v>
      </c>
      <c r="X1472" s="0" t="s">
        <v>7355</v>
      </c>
      <c r="Y1472" s="0" t="s">
        <v>7667</v>
      </c>
      <c r="Z1472" s="0" t="s">
        <v>7668</v>
      </c>
      <c r="AA1472" s="0" t="s">
        <v>7669</v>
      </c>
      <c r="AB1472" s="0" t="s">
        <v>237</v>
      </c>
      <c r="AC1472" s="0" t="s">
        <v>7629</v>
      </c>
      <c r="AD1472" s="0" t="s">
        <v>682</v>
      </c>
      <c r="AE1472" s="0" t="s">
        <v>7360</v>
      </c>
      <c r="AF1472" s="0" t="s">
        <v>7361</v>
      </c>
      <c r="AG1472" s="0" t="s">
        <v>230</v>
      </c>
    </row>
    <row r="1473" customFormat="false" ht="15" hidden="false" customHeight="false" outlineLevel="0" collapsed="false">
      <c r="A1473" s="0" t="s">
        <v>7336</v>
      </c>
      <c r="B1473" s="0" t="s">
        <v>5397</v>
      </c>
      <c r="C1473" s="0" t="s">
        <v>5398</v>
      </c>
      <c r="D1473" s="0" t="s">
        <v>227</v>
      </c>
      <c r="E1473" s="0" t="s">
        <v>5399</v>
      </c>
      <c r="F1473" s="0" t="s">
        <v>5400</v>
      </c>
      <c r="G1473" s="0" t="s">
        <v>178</v>
      </c>
      <c r="H1473" s="0" t="s">
        <v>8298</v>
      </c>
      <c r="I1473" s="0" t="s">
        <v>7338</v>
      </c>
      <c r="J1473" s="0" t="s">
        <v>1602</v>
      </c>
      <c r="K1473" s="0" t="s">
        <v>7339</v>
      </c>
      <c r="L1473" s="0" t="s">
        <v>7340</v>
      </c>
      <c r="M1473" s="0" t="s">
        <v>7661</v>
      </c>
      <c r="N1473" s="0" t="s">
        <v>7342</v>
      </c>
      <c r="P1473" s="0" t="s">
        <v>229</v>
      </c>
      <c r="Q1473" s="0" t="s">
        <v>7354</v>
      </c>
      <c r="R1473" s="0" t="s">
        <v>7343</v>
      </c>
      <c r="S1473" s="0" t="s">
        <v>7344</v>
      </c>
      <c r="T1473" s="0" t="s">
        <v>2171</v>
      </c>
      <c r="V1473" s="0" t="s">
        <v>55</v>
      </c>
      <c r="W1473" s="0" t="s">
        <v>57</v>
      </c>
      <c r="X1473" s="0" t="s">
        <v>7355</v>
      </c>
      <c r="Y1473" s="0" t="s">
        <v>7667</v>
      </c>
      <c r="Z1473" s="0" t="s">
        <v>7668</v>
      </c>
      <c r="AA1473" s="0" t="s">
        <v>7669</v>
      </c>
      <c r="AB1473" s="0" t="s">
        <v>237</v>
      </c>
      <c r="AC1473" s="0" t="s">
        <v>7629</v>
      </c>
      <c r="AD1473" s="0" t="s">
        <v>682</v>
      </c>
      <c r="AE1473" s="0" t="s">
        <v>7360</v>
      </c>
      <c r="AF1473" s="0" t="s">
        <v>7361</v>
      </c>
      <c r="AG1473" s="0" t="s">
        <v>230</v>
      </c>
    </row>
    <row r="1474" customFormat="false" ht="15" hidden="false" customHeight="false" outlineLevel="0" collapsed="false">
      <c r="A1474" s="0" t="s">
        <v>7336</v>
      </c>
      <c r="B1474" s="0" t="s">
        <v>5401</v>
      </c>
      <c r="C1474" s="0" t="s">
        <v>5402</v>
      </c>
      <c r="D1474" s="0" t="s">
        <v>227</v>
      </c>
      <c r="E1474" s="0" t="s">
        <v>5403</v>
      </c>
      <c r="F1474" s="0" t="s">
        <v>5404</v>
      </c>
      <c r="G1474" s="0" t="s">
        <v>178</v>
      </c>
      <c r="H1474" s="0" t="s">
        <v>8299</v>
      </c>
      <c r="I1474" s="0" t="s">
        <v>7338</v>
      </c>
      <c r="J1474" s="0" t="s">
        <v>1602</v>
      </c>
      <c r="K1474" s="0" t="s">
        <v>7339</v>
      </c>
      <c r="L1474" s="0" t="s">
        <v>7340</v>
      </c>
      <c r="M1474" s="0" t="s">
        <v>7661</v>
      </c>
      <c r="N1474" s="0" t="s">
        <v>7342</v>
      </c>
      <c r="P1474" s="0" t="s">
        <v>229</v>
      </c>
      <c r="Q1474" s="0" t="s">
        <v>7354</v>
      </c>
      <c r="R1474" s="0" t="s">
        <v>7343</v>
      </c>
      <c r="S1474" s="0" t="s">
        <v>7344</v>
      </c>
      <c r="T1474" s="0" t="s">
        <v>2171</v>
      </c>
      <c r="V1474" s="0" t="s">
        <v>55</v>
      </c>
      <c r="W1474" s="0" t="s">
        <v>57</v>
      </c>
      <c r="X1474" s="0" t="s">
        <v>7355</v>
      </c>
      <c r="Y1474" s="0" t="s">
        <v>7667</v>
      </c>
      <c r="Z1474" s="0" t="s">
        <v>7668</v>
      </c>
      <c r="AA1474" s="0" t="s">
        <v>7669</v>
      </c>
      <c r="AB1474" s="0" t="s">
        <v>237</v>
      </c>
      <c r="AC1474" s="0" t="s">
        <v>7629</v>
      </c>
      <c r="AD1474" s="0" t="s">
        <v>682</v>
      </c>
      <c r="AE1474" s="0" t="s">
        <v>7360</v>
      </c>
      <c r="AF1474" s="0" t="s">
        <v>7361</v>
      </c>
      <c r="AG1474" s="0" t="s">
        <v>230</v>
      </c>
    </row>
    <row r="1475" customFormat="false" ht="15" hidden="false" customHeight="false" outlineLevel="0" collapsed="false">
      <c r="A1475" s="0" t="s">
        <v>7336</v>
      </c>
      <c r="B1475" s="0" t="s">
        <v>5405</v>
      </c>
      <c r="C1475" s="0" t="s">
        <v>5406</v>
      </c>
      <c r="D1475" s="0" t="s">
        <v>227</v>
      </c>
      <c r="E1475" s="0" t="s">
        <v>5407</v>
      </c>
      <c r="F1475" s="0" t="s">
        <v>2175</v>
      </c>
      <c r="G1475" s="0" t="s">
        <v>170</v>
      </c>
      <c r="H1475" s="0" t="s">
        <v>7738</v>
      </c>
      <c r="I1475" s="0" t="s">
        <v>7338</v>
      </c>
      <c r="J1475" s="0" t="s">
        <v>1602</v>
      </c>
      <c r="K1475" s="0" t="s">
        <v>7339</v>
      </c>
      <c r="L1475" s="0" t="s">
        <v>7340</v>
      </c>
      <c r="M1475" s="0" t="s">
        <v>7661</v>
      </c>
      <c r="N1475" s="0" t="s">
        <v>7342</v>
      </c>
      <c r="P1475" s="0" t="s">
        <v>229</v>
      </c>
      <c r="Q1475" s="0" t="s">
        <v>7354</v>
      </c>
      <c r="R1475" s="0" t="s">
        <v>7343</v>
      </c>
      <c r="S1475" s="0" t="s">
        <v>7344</v>
      </c>
      <c r="T1475" s="0" t="s">
        <v>228</v>
      </c>
      <c r="V1475" s="0" t="s">
        <v>34</v>
      </c>
      <c r="W1475" s="0" t="s">
        <v>37</v>
      </c>
      <c r="X1475" s="0" t="s">
        <v>7355</v>
      </c>
      <c r="Y1475" s="0" t="s">
        <v>7346</v>
      </c>
      <c r="Z1475" s="0" t="s">
        <v>7370</v>
      </c>
      <c r="AA1475" s="0" t="s">
        <v>7670</v>
      </c>
      <c r="AB1475" s="0" t="s">
        <v>1663</v>
      </c>
      <c r="AC1475" s="0" t="s">
        <v>7629</v>
      </c>
      <c r="AD1475" s="0" t="s">
        <v>7671</v>
      </c>
      <c r="AE1475" s="0" t="s">
        <v>7360</v>
      </c>
      <c r="AF1475" s="0" t="s">
        <v>7361</v>
      </c>
      <c r="AG1475" s="0" t="s">
        <v>230</v>
      </c>
    </row>
    <row r="1476" customFormat="false" ht="15" hidden="false" customHeight="false" outlineLevel="0" collapsed="false">
      <c r="A1476" s="0" t="s">
        <v>7336</v>
      </c>
      <c r="B1476" s="0" t="s">
        <v>5408</v>
      </c>
      <c r="C1476" s="0" t="s">
        <v>5409</v>
      </c>
      <c r="D1476" s="0" t="s">
        <v>227</v>
      </c>
      <c r="E1476" s="0" t="s">
        <v>5410</v>
      </c>
      <c r="F1476" s="0" t="s">
        <v>2344</v>
      </c>
      <c r="G1476" s="0" t="s">
        <v>184</v>
      </c>
      <c r="H1476" s="0" t="s">
        <v>7774</v>
      </c>
      <c r="I1476" s="0" t="s">
        <v>7338</v>
      </c>
      <c r="J1476" s="0" t="s">
        <v>1602</v>
      </c>
      <c r="K1476" s="0" t="s">
        <v>7339</v>
      </c>
      <c r="L1476" s="0" t="s">
        <v>7340</v>
      </c>
      <c r="M1476" s="0" t="s">
        <v>7661</v>
      </c>
      <c r="N1476" s="0" t="s">
        <v>7342</v>
      </c>
      <c r="P1476" s="0" t="s">
        <v>229</v>
      </c>
      <c r="Q1476" s="0" t="s">
        <v>7354</v>
      </c>
      <c r="R1476" s="0" t="s">
        <v>7343</v>
      </c>
      <c r="S1476" s="0" t="s">
        <v>7344</v>
      </c>
      <c r="T1476" s="0" t="s">
        <v>228</v>
      </c>
      <c r="V1476" s="0" t="s">
        <v>34</v>
      </c>
      <c r="W1476" s="0" t="s">
        <v>37</v>
      </c>
      <c r="X1476" s="0" t="s">
        <v>7355</v>
      </c>
      <c r="Y1476" s="0" t="s">
        <v>7731</v>
      </c>
      <c r="Z1476" s="0" t="s">
        <v>7370</v>
      </c>
      <c r="AA1476" s="0" t="s">
        <v>7670</v>
      </c>
      <c r="AB1476" s="0" t="s">
        <v>231</v>
      </c>
      <c r="AC1476" s="0" t="s">
        <v>7629</v>
      </c>
      <c r="AD1476" s="0" t="s">
        <v>7671</v>
      </c>
      <c r="AE1476" s="0" t="s">
        <v>7360</v>
      </c>
      <c r="AF1476" s="0" t="s">
        <v>7361</v>
      </c>
      <c r="AG1476" s="0" t="s">
        <v>230</v>
      </c>
    </row>
    <row r="1477" customFormat="false" ht="15" hidden="false" customHeight="false" outlineLevel="0" collapsed="false">
      <c r="A1477" s="0" t="s">
        <v>7336</v>
      </c>
      <c r="B1477" s="0" t="s">
        <v>5411</v>
      </c>
      <c r="C1477" s="0" t="s">
        <v>5412</v>
      </c>
      <c r="D1477" s="0" t="s">
        <v>227</v>
      </c>
      <c r="E1477" s="0" t="s">
        <v>5413</v>
      </c>
      <c r="F1477" s="0" t="s">
        <v>2145</v>
      </c>
      <c r="G1477" s="0" t="s">
        <v>184</v>
      </c>
      <c r="H1477" s="0" t="s">
        <v>7730</v>
      </c>
      <c r="I1477" s="0" t="s">
        <v>7338</v>
      </c>
      <c r="J1477" s="0" t="s">
        <v>1602</v>
      </c>
      <c r="K1477" s="0" t="s">
        <v>7339</v>
      </c>
      <c r="L1477" s="0" t="s">
        <v>7340</v>
      </c>
      <c r="M1477" s="0" t="s">
        <v>7661</v>
      </c>
      <c r="N1477" s="0" t="s">
        <v>7342</v>
      </c>
      <c r="P1477" s="0" t="s">
        <v>229</v>
      </c>
      <c r="Q1477" s="0" t="s">
        <v>7354</v>
      </c>
      <c r="R1477" s="0" t="s">
        <v>7343</v>
      </c>
      <c r="S1477" s="0" t="s">
        <v>7344</v>
      </c>
      <c r="T1477" s="0" t="s">
        <v>228</v>
      </c>
      <c r="V1477" s="0" t="s">
        <v>34</v>
      </c>
      <c r="W1477" s="0" t="s">
        <v>37</v>
      </c>
      <c r="X1477" s="0" t="s">
        <v>7355</v>
      </c>
      <c r="Y1477" s="0" t="s">
        <v>7731</v>
      </c>
      <c r="Z1477" s="0" t="s">
        <v>7370</v>
      </c>
      <c r="AA1477" s="0" t="s">
        <v>7670</v>
      </c>
      <c r="AB1477" s="0" t="s">
        <v>231</v>
      </c>
      <c r="AC1477" s="0" t="s">
        <v>7629</v>
      </c>
      <c r="AD1477" s="0" t="s">
        <v>7671</v>
      </c>
      <c r="AE1477" s="0" t="s">
        <v>7360</v>
      </c>
      <c r="AF1477" s="0" t="s">
        <v>7361</v>
      </c>
      <c r="AG1477" s="0" t="s">
        <v>230</v>
      </c>
    </row>
    <row r="1478" customFormat="false" ht="15" hidden="false" customHeight="false" outlineLevel="0" collapsed="false">
      <c r="A1478" s="0" t="s">
        <v>7336</v>
      </c>
      <c r="B1478" s="0" t="s">
        <v>5414</v>
      </c>
      <c r="C1478" s="0" t="s">
        <v>5415</v>
      </c>
      <c r="D1478" s="0" t="s">
        <v>227</v>
      </c>
      <c r="E1478" s="0" t="s">
        <v>5416</v>
      </c>
      <c r="F1478" s="0" t="s">
        <v>2337</v>
      </c>
      <c r="G1478" s="0" t="s">
        <v>184</v>
      </c>
      <c r="H1478" s="0" t="s">
        <v>7773</v>
      </c>
      <c r="I1478" s="0" t="s">
        <v>7338</v>
      </c>
      <c r="J1478" s="0" t="s">
        <v>1602</v>
      </c>
      <c r="K1478" s="0" t="s">
        <v>7339</v>
      </c>
      <c r="L1478" s="0" t="s">
        <v>7340</v>
      </c>
      <c r="M1478" s="0" t="s">
        <v>7661</v>
      </c>
      <c r="N1478" s="0" t="s">
        <v>7342</v>
      </c>
      <c r="P1478" s="0" t="s">
        <v>229</v>
      </c>
      <c r="Q1478" s="0" t="s">
        <v>7354</v>
      </c>
      <c r="R1478" s="0" t="s">
        <v>7343</v>
      </c>
      <c r="S1478" s="0" t="s">
        <v>7344</v>
      </c>
      <c r="T1478" s="0" t="s">
        <v>228</v>
      </c>
      <c r="V1478" s="0" t="s">
        <v>34</v>
      </c>
      <c r="W1478" s="0" t="s">
        <v>37</v>
      </c>
      <c r="X1478" s="0" t="s">
        <v>7355</v>
      </c>
      <c r="Y1478" s="0" t="s">
        <v>7731</v>
      </c>
      <c r="Z1478" s="0" t="s">
        <v>7370</v>
      </c>
      <c r="AA1478" s="0" t="s">
        <v>7670</v>
      </c>
      <c r="AB1478" s="0" t="s">
        <v>231</v>
      </c>
      <c r="AC1478" s="0" t="s">
        <v>7629</v>
      </c>
      <c r="AD1478" s="0" t="s">
        <v>7671</v>
      </c>
      <c r="AE1478" s="0" t="s">
        <v>7360</v>
      </c>
      <c r="AF1478" s="0" t="s">
        <v>7361</v>
      </c>
      <c r="AG1478" s="0" t="s">
        <v>230</v>
      </c>
    </row>
    <row r="1479" customFormat="false" ht="15" hidden="false" customHeight="false" outlineLevel="0" collapsed="false">
      <c r="A1479" s="0" t="s">
        <v>7336</v>
      </c>
      <c r="B1479" s="0" t="s">
        <v>5417</v>
      </c>
      <c r="C1479" s="0" t="s">
        <v>5418</v>
      </c>
      <c r="D1479" s="0" t="s">
        <v>227</v>
      </c>
      <c r="E1479" s="0" t="s">
        <v>5419</v>
      </c>
      <c r="F1479" s="0" t="s">
        <v>2154</v>
      </c>
      <c r="G1479" s="0" t="s">
        <v>184</v>
      </c>
      <c r="H1479" s="0" t="s">
        <v>7733</v>
      </c>
      <c r="I1479" s="0" t="s">
        <v>7338</v>
      </c>
      <c r="J1479" s="0" t="s">
        <v>1602</v>
      </c>
      <c r="K1479" s="0" t="s">
        <v>7339</v>
      </c>
      <c r="L1479" s="0" t="s">
        <v>7340</v>
      </c>
      <c r="M1479" s="0" t="s">
        <v>7661</v>
      </c>
      <c r="N1479" s="0" t="s">
        <v>7342</v>
      </c>
      <c r="P1479" s="0" t="s">
        <v>229</v>
      </c>
      <c r="Q1479" s="0" t="s">
        <v>7354</v>
      </c>
      <c r="R1479" s="0" t="s">
        <v>7343</v>
      </c>
      <c r="S1479" s="0" t="s">
        <v>7344</v>
      </c>
      <c r="T1479" s="0" t="s">
        <v>228</v>
      </c>
      <c r="V1479" s="0" t="s">
        <v>34</v>
      </c>
      <c r="W1479" s="0" t="s">
        <v>37</v>
      </c>
      <c r="X1479" s="0" t="s">
        <v>7355</v>
      </c>
      <c r="Y1479" s="0" t="s">
        <v>7731</v>
      </c>
      <c r="Z1479" s="0" t="s">
        <v>7370</v>
      </c>
      <c r="AA1479" s="0" t="s">
        <v>7670</v>
      </c>
      <c r="AB1479" s="0" t="s">
        <v>231</v>
      </c>
      <c r="AC1479" s="0" t="s">
        <v>7629</v>
      </c>
      <c r="AD1479" s="0" t="s">
        <v>7671</v>
      </c>
      <c r="AE1479" s="0" t="s">
        <v>7360</v>
      </c>
      <c r="AF1479" s="0" t="s">
        <v>7361</v>
      </c>
      <c r="AG1479" s="0" t="s">
        <v>230</v>
      </c>
    </row>
    <row r="1480" customFormat="false" ht="15" hidden="false" customHeight="false" outlineLevel="0" collapsed="false">
      <c r="A1480" s="0" t="s">
        <v>7336</v>
      </c>
      <c r="B1480" s="0" t="s">
        <v>5420</v>
      </c>
      <c r="C1480" s="0" t="s">
        <v>5421</v>
      </c>
      <c r="D1480" s="0" t="s">
        <v>227</v>
      </c>
      <c r="E1480" s="0" t="s">
        <v>5422</v>
      </c>
      <c r="F1480" s="0" t="s">
        <v>2337</v>
      </c>
      <c r="G1480" s="0" t="s">
        <v>184</v>
      </c>
      <c r="H1480" s="0" t="s">
        <v>7773</v>
      </c>
      <c r="I1480" s="0" t="s">
        <v>7338</v>
      </c>
      <c r="J1480" s="0" t="s">
        <v>1602</v>
      </c>
      <c r="K1480" s="0" t="s">
        <v>7339</v>
      </c>
      <c r="L1480" s="0" t="s">
        <v>7340</v>
      </c>
      <c r="M1480" s="0" t="s">
        <v>7661</v>
      </c>
      <c r="N1480" s="0" t="s">
        <v>7342</v>
      </c>
      <c r="P1480" s="0" t="s">
        <v>229</v>
      </c>
      <c r="Q1480" s="0" t="s">
        <v>7354</v>
      </c>
      <c r="R1480" s="0" t="s">
        <v>7343</v>
      </c>
      <c r="S1480" s="0" t="s">
        <v>7344</v>
      </c>
      <c r="T1480" s="0" t="s">
        <v>228</v>
      </c>
      <c r="V1480" s="0" t="s">
        <v>34</v>
      </c>
      <c r="W1480" s="0" t="s">
        <v>37</v>
      </c>
      <c r="X1480" s="0" t="s">
        <v>7355</v>
      </c>
      <c r="Y1480" s="0" t="s">
        <v>7731</v>
      </c>
      <c r="Z1480" s="0" t="s">
        <v>7370</v>
      </c>
      <c r="AA1480" s="0" t="s">
        <v>7670</v>
      </c>
      <c r="AB1480" s="0" t="s">
        <v>231</v>
      </c>
      <c r="AC1480" s="0" t="s">
        <v>7629</v>
      </c>
      <c r="AD1480" s="0" t="s">
        <v>7671</v>
      </c>
      <c r="AE1480" s="0" t="s">
        <v>7360</v>
      </c>
      <c r="AF1480" s="0" t="s">
        <v>7361</v>
      </c>
      <c r="AG1480" s="0" t="s">
        <v>230</v>
      </c>
    </row>
    <row r="1481" customFormat="false" ht="15" hidden="false" customHeight="false" outlineLevel="0" collapsed="false">
      <c r="A1481" s="0" t="s">
        <v>7336</v>
      </c>
      <c r="B1481" s="0" t="s">
        <v>5423</v>
      </c>
      <c r="C1481" s="0" t="s">
        <v>5424</v>
      </c>
      <c r="D1481" s="0" t="s">
        <v>227</v>
      </c>
      <c r="E1481" s="0" t="s">
        <v>5425</v>
      </c>
      <c r="F1481" s="0" t="s">
        <v>2154</v>
      </c>
      <c r="G1481" s="0" t="s">
        <v>184</v>
      </c>
      <c r="H1481" s="0" t="s">
        <v>7733</v>
      </c>
      <c r="I1481" s="0" t="s">
        <v>7338</v>
      </c>
      <c r="J1481" s="0" t="s">
        <v>1602</v>
      </c>
      <c r="K1481" s="0" t="s">
        <v>7339</v>
      </c>
      <c r="L1481" s="0" t="s">
        <v>7340</v>
      </c>
      <c r="M1481" s="0" t="s">
        <v>7661</v>
      </c>
      <c r="N1481" s="0" t="s">
        <v>7342</v>
      </c>
      <c r="P1481" s="0" t="s">
        <v>229</v>
      </c>
      <c r="Q1481" s="0" t="s">
        <v>7354</v>
      </c>
      <c r="R1481" s="0" t="s">
        <v>7343</v>
      </c>
      <c r="S1481" s="0" t="s">
        <v>7344</v>
      </c>
      <c r="T1481" s="0" t="s">
        <v>228</v>
      </c>
      <c r="V1481" s="0" t="s">
        <v>34</v>
      </c>
      <c r="W1481" s="0" t="s">
        <v>37</v>
      </c>
      <c r="X1481" s="0" t="s">
        <v>7355</v>
      </c>
      <c r="Y1481" s="0" t="s">
        <v>7731</v>
      </c>
      <c r="Z1481" s="0" t="s">
        <v>7370</v>
      </c>
      <c r="AA1481" s="0" t="s">
        <v>7670</v>
      </c>
      <c r="AB1481" s="0" t="s">
        <v>231</v>
      </c>
      <c r="AC1481" s="0" t="s">
        <v>7629</v>
      </c>
      <c r="AD1481" s="0" t="s">
        <v>7671</v>
      </c>
      <c r="AE1481" s="0" t="s">
        <v>7360</v>
      </c>
      <c r="AF1481" s="0" t="s">
        <v>7361</v>
      </c>
      <c r="AG1481" s="0" t="s">
        <v>230</v>
      </c>
    </row>
    <row r="1482" customFormat="false" ht="15" hidden="false" customHeight="false" outlineLevel="0" collapsed="false">
      <c r="A1482" s="0" t="s">
        <v>7336</v>
      </c>
      <c r="B1482" s="0" t="s">
        <v>5426</v>
      </c>
      <c r="C1482" s="0" t="s">
        <v>5427</v>
      </c>
      <c r="D1482" s="0" t="s">
        <v>227</v>
      </c>
      <c r="E1482" s="0" t="s">
        <v>5428</v>
      </c>
      <c r="F1482" s="0" t="s">
        <v>2150</v>
      </c>
      <c r="G1482" s="0" t="s">
        <v>184</v>
      </c>
      <c r="H1482" s="0" t="s">
        <v>7732</v>
      </c>
      <c r="I1482" s="0" t="s">
        <v>7338</v>
      </c>
      <c r="J1482" s="0" t="s">
        <v>1602</v>
      </c>
      <c r="K1482" s="0" t="s">
        <v>7339</v>
      </c>
      <c r="L1482" s="0" t="s">
        <v>7340</v>
      </c>
      <c r="M1482" s="0" t="s">
        <v>7661</v>
      </c>
      <c r="N1482" s="0" t="s">
        <v>7342</v>
      </c>
      <c r="P1482" s="0" t="s">
        <v>229</v>
      </c>
      <c r="Q1482" s="0" t="s">
        <v>7354</v>
      </c>
      <c r="R1482" s="0" t="s">
        <v>7343</v>
      </c>
      <c r="S1482" s="0" t="s">
        <v>7344</v>
      </c>
      <c r="T1482" s="0" t="s">
        <v>228</v>
      </c>
      <c r="V1482" s="0" t="s">
        <v>34</v>
      </c>
      <c r="W1482" s="0" t="s">
        <v>37</v>
      </c>
      <c r="X1482" s="0" t="s">
        <v>7355</v>
      </c>
      <c r="Y1482" s="0" t="s">
        <v>7731</v>
      </c>
      <c r="Z1482" s="0" t="s">
        <v>7370</v>
      </c>
      <c r="AA1482" s="0" t="s">
        <v>7670</v>
      </c>
      <c r="AB1482" s="0" t="s">
        <v>231</v>
      </c>
      <c r="AC1482" s="0" t="s">
        <v>7629</v>
      </c>
      <c r="AD1482" s="0" t="s">
        <v>7671</v>
      </c>
      <c r="AE1482" s="0" t="s">
        <v>7360</v>
      </c>
      <c r="AF1482" s="0" t="s">
        <v>7361</v>
      </c>
      <c r="AG1482" s="0" t="s">
        <v>230</v>
      </c>
    </row>
    <row r="1483" customFormat="false" ht="15" hidden="false" customHeight="false" outlineLevel="0" collapsed="false">
      <c r="A1483" s="0" t="s">
        <v>7336</v>
      </c>
      <c r="B1483" s="0" t="s">
        <v>5429</v>
      </c>
      <c r="C1483" s="0" t="s">
        <v>5430</v>
      </c>
      <c r="D1483" s="0" t="s">
        <v>227</v>
      </c>
      <c r="E1483" s="0" t="s">
        <v>5431</v>
      </c>
      <c r="F1483" s="0" t="s">
        <v>2154</v>
      </c>
      <c r="G1483" s="0" t="s">
        <v>184</v>
      </c>
      <c r="H1483" s="0" t="s">
        <v>7733</v>
      </c>
      <c r="I1483" s="0" t="s">
        <v>7338</v>
      </c>
      <c r="J1483" s="0" t="s">
        <v>1602</v>
      </c>
      <c r="K1483" s="0" t="s">
        <v>7339</v>
      </c>
      <c r="L1483" s="0" t="s">
        <v>7340</v>
      </c>
      <c r="M1483" s="0" t="s">
        <v>7661</v>
      </c>
      <c r="N1483" s="0" t="s">
        <v>7342</v>
      </c>
      <c r="P1483" s="0" t="s">
        <v>229</v>
      </c>
      <c r="Q1483" s="0" t="s">
        <v>7354</v>
      </c>
      <c r="R1483" s="0" t="s">
        <v>7343</v>
      </c>
      <c r="S1483" s="0" t="s">
        <v>7344</v>
      </c>
      <c r="T1483" s="0" t="s">
        <v>228</v>
      </c>
      <c r="V1483" s="0" t="s">
        <v>34</v>
      </c>
      <c r="W1483" s="0" t="s">
        <v>37</v>
      </c>
      <c r="X1483" s="0" t="s">
        <v>7355</v>
      </c>
      <c r="Y1483" s="0" t="s">
        <v>7731</v>
      </c>
      <c r="Z1483" s="0" t="s">
        <v>7370</v>
      </c>
      <c r="AA1483" s="0" t="s">
        <v>7670</v>
      </c>
      <c r="AB1483" s="0" t="s">
        <v>231</v>
      </c>
      <c r="AC1483" s="0" t="s">
        <v>7629</v>
      </c>
      <c r="AD1483" s="0" t="s">
        <v>7671</v>
      </c>
      <c r="AE1483" s="0" t="s">
        <v>7360</v>
      </c>
      <c r="AF1483" s="0" t="s">
        <v>7361</v>
      </c>
      <c r="AG1483" s="0" t="s">
        <v>230</v>
      </c>
    </row>
    <row r="1484" customFormat="false" ht="15" hidden="false" customHeight="false" outlineLevel="0" collapsed="false">
      <c r="A1484" s="0" t="s">
        <v>7336</v>
      </c>
      <c r="B1484" s="0" t="s">
        <v>5432</v>
      </c>
      <c r="C1484" s="0" t="s">
        <v>5433</v>
      </c>
      <c r="D1484" s="0" t="s">
        <v>227</v>
      </c>
      <c r="E1484" s="0" t="s">
        <v>5434</v>
      </c>
      <c r="F1484" s="0" t="s">
        <v>2372</v>
      </c>
      <c r="G1484" s="0" t="s">
        <v>184</v>
      </c>
      <c r="H1484" s="0" t="s">
        <v>7775</v>
      </c>
      <c r="I1484" s="0" t="s">
        <v>7338</v>
      </c>
      <c r="J1484" s="0" t="s">
        <v>1602</v>
      </c>
      <c r="K1484" s="0" t="s">
        <v>7339</v>
      </c>
      <c r="L1484" s="0" t="s">
        <v>7340</v>
      </c>
      <c r="M1484" s="0" t="s">
        <v>7661</v>
      </c>
      <c r="N1484" s="0" t="s">
        <v>7342</v>
      </c>
      <c r="P1484" s="0" t="s">
        <v>229</v>
      </c>
      <c r="Q1484" s="0" t="s">
        <v>7354</v>
      </c>
      <c r="R1484" s="0" t="s">
        <v>7343</v>
      </c>
      <c r="S1484" s="0" t="s">
        <v>7344</v>
      </c>
      <c r="T1484" s="0" t="s">
        <v>228</v>
      </c>
      <c r="V1484" s="0" t="s">
        <v>34</v>
      </c>
      <c r="W1484" s="0" t="s">
        <v>37</v>
      </c>
      <c r="X1484" s="0" t="s">
        <v>7355</v>
      </c>
      <c r="Y1484" s="0" t="s">
        <v>7731</v>
      </c>
      <c r="Z1484" s="0" t="s">
        <v>7370</v>
      </c>
      <c r="AA1484" s="0" t="s">
        <v>7670</v>
      </c>
      <c r="AB1484" s="0" t="s">
        <v>231</v>
      </c>
      <c r="AC1484" s="0" t="s">
        <v>7629</v>
      </c>
      <c r="AD1484" s="0" t="s">
        <v>7671</v>
      </c>
      <c r="AE1484" s="0" t="s">
        <v>7360</v>
      </c>
      <c r="AF1484" s="0" t="s">
        <v>7361</v>
      </c>
      <c r="AG1484" s="0" t="s">
        <v>230</v>
      </c>
    </row>
    <row r="1485" customFormat="false" ht="15" hidden="false" customHeight="false" outlineLevel="0" collapsed="false">
      <c r="A1485" s="0" t="s">
        <v>7336</v>
      </c>
      <c r="B1485" s="0" t="s">
        <v>5435</v>
      </c>
      <c r="C1485" s="0" t="s">
        <v>5436</v>
      </c>
      <c r="D1485" s="0" t="s">
        <v>227</v>
      </c>
      <c r="E1485" s="0" t="s">
        <v>5437</v>
      </c>
      <c r="F1485" s="0" t="s">
        <v>2158</v>
      </c>
      <c r="G1485" s="0" t="s">
        <v>184</v>
      </c>
      <c r="H1485" s="0" t="s">
        <v>7734</v>
      </c>
      <c r="I1485" s="0" t="s">
        <v>7338</v>
      </c>
      <c r="J1485" s="0" t="s">
        <v>1602</v>
      </c>
      <c r="K1485" s="0" t="s">
        <v>7339</v>
      </c>
      <c r="L1485" s="0" t="s">
        <v>7340</v>
      </c>
      <c r="M1485" s="0" t="s">
        <v>7661</v>
      </c>
      <c r="N1485" s="0" t="s">
        <v>7342</v>
      </c>
      <c r="P1485" s="0" t="s">
        <v>229</v>
      </c>
      <c r="Q1485" s="0" t="s">
        <v>7354</v>
      </c>
      <c r="R1485" s="0" t="s">
        <v>7343</v>
      </c>
      <c r="S1485" s="0" t="s">
        <v>7344</v>
      </c>
      <c r="T1485" s="0" t="s">
        <v>228</v>
      </c>
      <c r="V1485" s="0" t="s">
        <v>34</v>
      </c>
      <c r="W1485" s="0" t="s">
        <v>37</v>
      </c>
      <c r="X1485" s="0" t="s">
        <v>7355</v>
      </c>
      <c r="Y1485" s="0" t="s">
        <v>7731</v>
      </c>
      <c r="Z1485" s="0" t="s">
        <v>7370</v>
      </c>
      <c r="AA1485" s="0" t="s">
        <v>7670</v>
      </c>
      <c r="AB1485" s="0" t="s">
        <v>231</v>
      </c>
      <c r="AC1485" s="0" t="s">
        <v>7629</v>
      </c>
      <c r="AD1485" s="0" t="s">
        <v>7671</v>
      </c>
      <c r="AE1485" s="0" t="s">
        <v>7360</v>
      </c>
      <c r="AF1485" s="0" t="s">
        <v>7361</v>
      </c>
      <c r="AG1485" s="0" t="s">
        <v>230</v>
      </c>
    </row>
    <row r="1486" customFormat="false" ht="15" hidden="false" customHeight="false" outlineLevel="0" collapsed="false">
      <c r="A1486" s="0" t="s">
        <v>7336</v>
      </c>
      <c r="B1486" s="0" t="s">
        <v>5438</v>
      </c>
      <c r="C1486" s="0" t="s">
        <v>5439</v>
      </c>
      <c r="D1486" s="0" t="s">
        <v>227</v>
      </c>
      <c r="E1486" s="0" t="s">
        <v>5440</v>
      </c>
      <c r="F1486" s="0" t="s">
        <v>2337</v>
      </c>
      <c r="G1486" s="0" t="s">
        <v>184</v>
      </c>
      <c r="H1486" s="0" t="s">
        <v>7773</v>
      </c>
      <c r="I1486" s="0" t="s">
        <v>7338</v>
      </c>
      <c r="J1486" s="0" t="s">
        <v>1602</v>
      </c>
      <c r="K1486" s="0" t="s">
        <v>7339</v>
      </c>
      <c r="L1486" s="0" t="s">
        <v>7340</v>
      </c>
      <c r="M1486" s="0" t="s">
        <v>7661</v>
      </c>
      <c r="N1486" s="0" t="s">
        <v>7342</v>
      </c>
      <c r="P1486" s="0" t="s">
        <v>229</v>
      </c>
      <c r="Q1486" s="0" t="s">
        <v>7354</v>
      </c>
      <c r="R1486" s="0" t="s">
        <v>7343</v>
      </c>
      <c r="S1486" s="0" t="s">
        <v>7344</v>
      </c>
      <c r="T1486" s="0" t="s">
        <v>228</v>
      </c>
      <c r="V1486" s="0" t="s">
        <v>34</v>
      </c>
      <c r="W1486" s="0" t="s">
        <v>37</v>
      </c>
      <c r="X1486" s="0" t="s">
        <v>7355</v>
      </c>
      <c r="Y1486" s="0" t="s">
        <v>7731</v>
      </c>
      <c r="Z1486" s="0" t="s">
        <v>7370</v>
      </c>
      <c r="AA1486" s="0" t="s">
        <v>7670</v>
      </c>
      <c r="AB1486" s="0" t="s">
        <v>231</v>
      </c>
      <c r="AC1486" s="0" t="s">
        <v>7629</v>
      </c>
      <c r="AD1486" s="0" t="s">
        <v>7671</v>
      </c>
      <c r="AE1486" s="0" t="s">
        <v>7360</v>
      </c>
      <c r="AF1486" s="0" t="s">
        <v>7361</v>
      </c>
      <c r="AG1486" s="0" t="s">
        <v>230</v>
      </c>
    </row>
    <row r="1487" customFormat="false" ht="15" hidden="false" customHeight="false" outlineLevel="0" collapsed="false">
      <c r="A1487" s="0" t="s">
        <v>7336</v>
      </c>
      <c r="B1487" s="0" t="s">
        <v>5441</v>
      </c>
      <c r="C1487" s="0" t="s">
        <v>5442</v>
      </c>
      <c r="D1487" s="0" t="s">
        <v>227</v>
      </c>
      <c r="E1487" s="0" t="s">
        <v>5443</v>
      </c>
      <c r="F1487" s="0" t="s">
        <v>2293</v>
      </c>
      <c r="G1487" s="0" t="s">
        <v>184</v>
      </c>
      <c r="H1487" s="0" t="s">
        <v>7762</v>
      </c>
      <c r="I1487" s="0" t="s">
        <v>7338</v>
      </c>
      <c r="J1487" s="0" t="s">
        <v>1602</v>
      </c>
      <c r="K1487" s="0" t="s">
        <v>7339</v>
      </c>
      <c r="L1487" s="0" t="s">
        <v>7340</v>
      </c>
      <c r="M1487" s="0" t="s">
        <v>7661</v>
      </c>
      <c r="N1487" s="0" t="s">
        <v>7342</v>
      </c>
      <c r="P1487" s="0" t="s">
        <v>229</v>
      </c>
      <c r="Q1487" s="0" t="s">
        <v>7354</v>
      </c>
      <c r="R1487" s="0" t="s">
        <v>7343</v>
      </c>
      <c r="S1487" s="0" t="s">
        <v>7344</v>
      </c>
      <c r="T1487" s="0" t="s">
        <v>228</v>
      </c>
      <c r="V1487" s="0" t="s">
        <v>34</v>
      </c>
      <c r="W1487" s="0" t="s">
        <v>37</v>
      </c>
      <c r="X1487" s="0" t="s">
        <v>7355</v>
      </c>
      <c r="Y1487" s="0" t="s">
        <v>7731</v>
      </c>
      <c r="Z1487" s="0" t="s">
        <v>7370</v>
      </c>
      <c r="AA1487" s="0" t="s">
        <v>7670</v>
      </c>
      <c r="AB1487" s="0" t="s">
        <v>231</v>
      </c>
      <c r="AC1487" s="0" t="s">
        <v>7629</v>
      </c>
      <c r="AD1487" s="0" t="s">
        <v>7671</v>
      </c>
      <c r="AE1487" s="0" t="s">
        <v>7360</v>
      </c>
      <c r="AF1487" s="0" t="s">
        <v>7361</v>
      </c>
      <c r="AG1487" s="0" t="s">
        <v>230</v>
      </c>
    </row>
    <row r="1488" customFormat="false" ht="15" hidden="false" customHeight="false" outlineLevel="0" collapsed="false">
      <c r="A1488" s="0" t="s">
        <v>7336</v>
      </c>
      <c r="B1488" s="0" t="s">
        <v>5444</v>
      </c>
      <c r="C1488" s="0" t="s">
        <v>5445</v>
      </c>
      <c r="D1488" s="0" t="s">
        <v>227</v>
      </c>
      <c r="E1488" s="0" t="s">
        <v>5446</v>
      </c>
      <c r="F1488" s="0" t="s">
        <v>2344</v>
      </c>
      <c r="G1488" s="0" t="s">
        <v>184</v>
      </c>
      <c r="H1488" s="0" t="s">
        <v>7774</v>
      </c>
      <c r="I1488" s="0" t="s">
        <v>7338</v>
      </c>
      <c r="J1488" s="0" t="s">
        <v>1602</v>
      </c>
      <c r="K1488" s="0" t="s">
        <v>7339</v>
      </c>
      <c r="L1488" s="0" t="s">
        <v>7340</v>
      </c>
      <c r="M1488" s="0" t="s">
        <v>7661</v>
      </c>
      <c r="N1488" s="0" t="s">
        <v>7342</v>
      </c>
      <c r="P1488" s="0" t="s">
        <v>229</v>
      </c>
      <c r="Q1488" s="0" t="s">
        <v>7354</v>
      </c>
      <c r="R1488" s="0" t="s">
        <v>7343</v>
      </c>
      <c r="S1488" s="0" t="s">
        <v>7344</v>
      </c>
      <c r="T1488" s="0" t="s">
        <v>228</v>
      </c>
      <c r="V1488" s="0" t="s">
        <v>34</v>
      </c>
      <c r="W1488" s="0" t="s">
        <v>37</v>
      </c>
      <c r="X1488" s="0" t="s">
        <v>7355</v>
      </c>
      <c r="Y1488" s="0" t="s">
        <v>7731</v>
      </c>
      <c r="Z1488" s="0" t="s">
        <v>7370</v>
      </c>
      <c r="AA1488" s="0" t="s">
        <v>7670</v>
      </c>
      <c r="AB1488" s="0" t="s">
        <v>231</v>
      </c>
      <c r="AC1488" s="0" t="s">
        <v>7629</v>
      </c>
      <c r="AD1488" s="0" t="s">
        <v>7671</v>
      </c>
      <c r="AE1488" s="0" t="s">
        <v>7360</v>
      </c>
      <c r="AF1488" s="0" t="s">
        <v>7361</v>
      </c>
      <c r="AG1488" s="0" t="s">
        <v>230</v>
      </c>
    </row>
    <row r="1489" customFormat="false" ht="15" hidden="false" customHeight="false" outlineLevel="0" collapsed="false">
      <c r="A1489" s="0" t="s">
        <v>7336</v>
      </c>
      <c r="B1489" s="0" t="s">
        <v>5447</v>
      </c>
      <c r="C1489" s="0" t="s">
        <v>5448</v>
      </c>
      <c r="D1489" s="0" t="s">
        <v>227</v>
      </c>
      <c r="E1489" s="0" t="s">
        <v>5449</v>
      </c>
      <c r="F1489" s="0" t="s">
        <v>2145</v>
      </c>
      <c r="G1489" s="0" t="s">
        <v>184</v>
      </c>
      <c r="H1489" s="0" t="s">
        <v>7730</v>
      </c>
      <c r="I1489" s="0" t="s">
        <v>7338</v>
      </c>
      <c r="J1489" s="0" t="s">
        <v>1602</v>
      </c>
      <c r="K1489" s="0" t="s">
        <v>7339</v>
      </c>
      <c r="L1489" s="0" t="s">
        <v>7340</v>
      </c>
      <c r="M1489" s="0" t="s">
        <v>7661</v>
      </c>
      <c r="N1489" s="0" t="s">
        <v>7342</v>
      </c>
      <c r="P1489" s="0" t="s">
        <v>229</v>
      </c>
      <c r="Q1489" s="0" t="s">
        <v>7354</v>
      </c>
      <c r="R1489" s="0" t="s">
        <v>7343</v>
      </c>
      <c r="S1489" s="0" t="s">
        <v>7344</v>
      </c>
      <c r="T1489" s="0" t="s">
        <v>228</v>
      </c>
      <c r="V1489" s="0" t="s">
        <v>34</v>
      </c>
      <c r="W1489" s="0" t="s">
        <v>37</v>
      </c>
      <c r="X1489" s="0" t="s">
        <v>7355</v>
      </c>
      <c r="Y1489" s="0" t="s">
        <v>7731</v>
      </c>
      <c r="Z1489" s="0" t="s">
        <v>7370</v>
      </c>
      <c r="AA1489" s="0" t="s">
        <v>7670</v>
      </c>
      <c r="AB1489" s="0" t="s">
        <v>231</v>
      </c>
      <c r="AC1489" s="0" t="s">
        <v>7629</v>
      </c>
      <c r="AD1489" s="0" t="s">
        <v>7671</v>
      </c>
      <c r="AE1489" s="0" t="s">
        <v>7360</v>
      </c>
      <c r="AF1489" s="0" t="s">
        <v>7361</v>
      </c>
      <c r="AG1489" s="0" t="s">
        <v>230</v>
      </c>
    </row>
    <row r="1490" customFormat="false" ht="15" hidden="false" customHeight="false" outlineLevel="0" collapsed="false">
      <c r="A1490" s="0" t="s">
        <v>7336</v>
      </c>
      <c r="B1490" s="0" t="s">
        <v>5450</v>
      </c>
      <c r="C1490" s="0" t="s">
        <v>5451</v>
      </c>
      <c r="D1490" s="0" t="s">
        <v>227</v>
      </c>
      <c r="E1490" s="0" t="s">
        <v>5452</v>
      </c>
      <c r="F1490" s="0" t="s">
        <v>2337</v>
      </c>
      <c r="G1490" s="0" t="s">
        <v>184</v>
      </c>
      <c r="H1490" s="0" t="s">
        <v>7773</v>
      </c>
      <c r="I1490" s="0" t="s">
        <v>7338</v>
      </c>
      <c r="J1490" s="0" t="s">
        <v>1602</v>
      </c>
      <c r="K1490" s="0" t="s">
        <v>7339</v>
      </c>
      <c r="L1490" s="0" t="s">
        <v>7340</v>
      </c>
      <c r="M1490" s="0" t="s">
        <v>7661</v>
      </c>
      <c r="N1490" s="0" t="s">
        <v>7342</v>
      </c>
      <c r="P1490" s="0" t="s">
        <v>229</v>
      </c>
      <c r="Q1490" s="0" t="s">
        <v>7354</v>
      </c>
      <c r="R1490" s="0" t="s">
        <v>7343</v>
      </c>
      <c r="S1490" s="0" t="s">
        <v>7344</v>
      </c>
      <c r="T1490" s="0" t="s">
        <v>228</v>
      </c>
      <c r="V1490" s="0" t="s">
        <v>34</v>
      </c>
      <c r="W1490" s="0" t="s">
        <v>37</v>
      </c>
      <c r="X1490" s="0" t="s">
        <v>7355</v>
      </c>
      <c r="Y1490" s="0" t="s">
        <v>7731</v>
      </c>
      <c r="Z1490" s="0" t="s">
        <v>7370</v>
      </c>
      <c r="AA1490" s="0" t="s">
        <v>7670</v>
      </c>
      <c r="AB1490" s="0" t="s">
        <v>231</v>
      </c>
      <c r="AC1490" s="0" t="s">
        <v>7629</v>
      </c>
      <c r="AD1490" s="0" t="s">
        <v>7671</v>
      </c>
      <c r="AE1490" s="0" t="s">
        <v>7360</v>
      </c>
      <c r="AF1490" s="0" t="s">
        <v>7361</v>
      </c>
      <c r="AG1490" s="0" t="s">
        <v>230</v>
      </c>
    </row>
    <row r="1491" customFormat="false" ht="15" hidden="false" customHeight="false" outlineLevel="0" collapsed="false">
      <c r="A1491" s="0" t="s">
        <v>7336</v>
      </c>
      <c r="B1491" s="0" t="s">
        <v>5453</v>
      </c>
      <c r="C1491" s="0" t="s">
        <v>5454</v>
      </c>
      <c r="D1491" s="0" t="s">
        <v>227</v>
      </c>
      <c r="E1491" s="0" t="s">
        <v>5455</v>
      </c>
      <c r="F1491" s="0" t="s">
        <v>2293</v>
      </c>
      <c r="G1491" s="0" t="s">
        <v>184</v>
      </c>
      <c r="H1491" s="0" t="s">
        <v>7762</v>
      </c>
      <c r="I1491" s="0" t="s">
        <v>7338</v>
      </c>
      <c r="J1491" s="0" t="s">
        <v>1602</v>
      </c>
      <c r="K1491" s="0" t="s">
        <v>7339</v>
      </c>
      <c r="L1491" s="0" t="s">
        <v>7340</v>
      </c>
      <c r="M1491" s="0" t="s">
        <v>7661</v>
      </c>
      <c r="N1491" s="0" t="s">
        <v>7342</v>
      </c>
      <c r="P1491" s="0" t="s">
        <v>229</v>
      </c>
      <c r="Q1491" s="0" t="s">
        <v>7354</v>
      </c>
      <c r="R1491" s="0" t="s">
        <v>7343</v>
      </c>
      <c r="S1491" s="0" t="s">
        <v>7344</v>
      </c>
      <c r="T1491" s="0" t="s">
        <v>228</v>
      </c>
      <c r="V1491" s="0" t="s">
        <v>34</v>
      </c>
      <c r="W1491" s="0" t="s">
        <v>37</v>
      </c>
      <c r="X1491" s="0" t="s">
        <v>7355</v>
      </c>
      <c r="Y1491" s="0" t="s">
        <v>7731</v>
      </c>
      <c r="Z1491" s="0" t="s">
        <v>7370</v>
      </c>
      <c r="AA1491" s="0" t="s">
        <v>7670</v>
      </c>
      <c r="AB1491" s="0" t="s">
        <v>231</v>
      </c>
      <c r="AC1491" s="0" t="s">
        <v>7629</v>
      </c>
      <c r="AD1491" s="0" t="s">
        <v>7671</v>
      </c>
      <c r="AE1491" s="0" t="s">
        <v>7360</v>
      </c>
      <c r="AF1491" s="0" t="s">
        <v>7361</v>
      </c>
      <c r="AG1491" s="0" t="s">
        <v>230</v>
      </c>
    </row>
    <row r="1492" customFormat="false" ht="15" hidden="false" customHeight="false" outlineLevel="0" collapsed="false">
      <c r="A1492" s="0" t="s">
        <v>7336</v>
      </c>
      <c r="B1492" s="0" t="s">
        <v>5456</v>
      </c>
      <c r="C1492" s="0" t="s">
        <v>5457</v>
      </c>
      <c r="D1492" s="0" t="s">
        <v>227</v>
      </c>
      <c r="E1492" s="0" t="s">
        <v>5458</v>
      </c>
      <c r="F1492" s="0" t="s">
        <v>2344</v>
      </c>
      <c r="G1492" s="0" t="s">
        <v>184</v>
      </c>
      <c r="H1492" s="0" t="s">
        <v>7774</v>
      </c>
      <c r="I1492" s="0" t="s">
        <v>7338</v>
      </c>
      <c r="J1492" s="0" t="s">
        <v>1602</v>
      </c>
      <c r="K1492" s="0" t="s">
        <v>7339</v>
      </c>
      <c r="L1492" s="0" t="s">
        <v>7340</v>
      </c>
      <c r="M1492" s="0" t="s">
        <v>7661</v>
      </c>
      <c r="N1492" s="0" t="s">
        <v>7342</v>
      </c>
      <c r="P1492" s="0" t="s">
        <v>229</v>
      </c>
      <c r="Q1492" s="0" t="s">
        <v>7354</v>
      </c>
      <c r="R1492" s="0" t="s">
        <v>7343</v>
      </c>
      <c r="S1492" s="0" t="s">
        <v>7344</v>
      </c>
      <c r="T1492" s="0" t="s">
        <v>228</v>
      </c>
      <c r="V1492" s="0" t="s">
        <v>34</v>
      </c>
      <c r="W1492" s="0" t="s">
        <v>37</v>
      </c>
      <c r="X1492" s="0" t="s">
        <v>7355</v>
      </c>
      <c r="Y1492" s="0" t="s">
        <v>7731</v>
      </c>
      <c r="Z1492" s="0" t="s">
        <v>7370</v>
      </c>
      <c r="AA1492" s="0" t="s">
        <v>7670</v>
      </c>
      <c r="AB1492" s="0" t="s">
        <v>231</v>
      </c>
      <c r="AC1492" s="0" t="s">
        <v>7629</v>
      </c>
      <c r="AD1492" s="0" t="s">
        <v>7671</v>
      </c>
      <c r="AE1492" s="0" t="s">
        <v>7360</v>
      </c>
      <c r="AF1492" s="0" t="s">
        <v>7361</v>
      </c>
      <c r="AG1492" s="0" t="s">
        <v>230</v>
      </c>
    </row>
    <row r="1493" customFormat="false" ht="15" hidden="false" customHeight="false" outlineLevel="0" collapsed="false">
      <c r="A1493" s="0" t="s">
        <v>7336</v>
      </c>
      <c r="B1493" s="0" t="s">
        <v>5459</v>
      </c>
      <c r="C1493" s="0" t="s">
        <v>5460</v>
      </c>
      <c r="D1493" s="0" t="s">
        <v>227</v>
      </c>
      <c r="E1493" s="0" t="s">
        <v>5461</v>
      </c>
      <c r="F1493" s="0" t="s">
        <v>2145</v>
      </c>
      <c r="G1493" s="0" t="s">
        <v>184</v>
      </c>
      <c r="H1493" s="0" t="s">
        <v>7730</v>
      </c>
      <c r="I1493" s="0" t="s">
        <v>7338</v>
      </c>
      <c r="J1493" s="0" t="s">
        <v>1602</v>
      </c>
      <c r="K1493" s="0" t="s">
        <v>7339</v>
      </c>
      <c r="L1493" s="0" t="s">
        <v>7340</v>
      </c>
      <c r="M1493" s="0" t="s">
        <v>7661</v>
      </c>
      <c r="N1493" s="0" t="s">
        <v>7342</v>
      </c>
      <c r="P1493" s="0" t="s">
        <v>229</v>
      </c>
      <c r="Q1493" s="0" t="s">
        <v>7354</v>
      </c>
      <c r="R1493" s="0" t="s">
        <v>7343</v>
      </c>
      <c r="S1493" s="0" t="s">
        <v>7344</v>
      </c>
      <c r="T1493" s="0" t="s">
        <v>228</v>
      </c>
      <c r="V1493" s="0" t="s">
        <v>34</v>
      </c>
      <c r="W1493" s="0" t="s">
        <v>37</v>
      </c>
      <c r="X1493" s="0" t="s">
        <v>7355</v>
      </c>
      <c r="Y1493" s="0" t="s">
        <v>7731</v>
      </c>
      <c r="Z1493" s="0" t="s">
        <v>7370</v>
      </c>
      <c r="AA1493" s="0" t="s">
        <v>7670</v>
      </c>
      <c r="AB1493" s="0" t="s">
        <v>231</v>
      </c>
      <c r="AC1493" s="0" t="s">
        <v>7629</v>
      </c>
      <c r="AD1493" s="0" t="s">
        <v>7671</v>
      </c>
      <c r="AE1493" s="0" t="s">
        <v>7360</v>
      </c>
      <c r="AF1493" s="0" t="s">
        <v>7361</v>
      </c>
      <c r="AG1493" s="0" t="s">
        <v>230</v>
      </c>
    </row>
    <row r="1494" customFormat="false" ht="15" hidden="false" customHeight="false" outlineLevel="0" collapsed="false">
      <c r="A1494" s="0" t="s">
        <v>7336</v>
      </c>
      <c r="B1494" s="0" t="s">
        <v>5462</v>
      </c>
      <c r="C1494" s="0" t="s">
        <v>5463</v>
      </c>
      <c r="D1494" s="0" t="s">
        <v>227</v>
      </c>
      <c r="E1494" s="0" t="s">
        <v>5464</v>
      </c>
      <c r="F1494" s="0" t="s">
        <v>2150</v>
      </c>
      <c r="G1494" s="0" t="s">
        <v>184</v>
      </c>
      <c r="H1494" s="0" t="s">
        <v>7732</v>
      </c>
      <c r="I1494" s="0" t="s">
        <v>7338</v>
      </c>
      <c r="J1494" s="0" t="s">
        <v>1602</v>
      </c>
      <c r="K1494" s="0" t="s">
        <v>7339</v>
      </c>
      <c r="L1494" s="0" t="s">
        <v>7340</v>
      </c>
      <c r="M1494" s="0" t="s">
        <v>7661</v>
      </c>
      <c r="N1494" s="0" t="s">
        <v>7342</v>
      </c>
      <c r="P1494" s="0" t="s">
        <v>229</v>
      </c>
      <c r="Q1494" s="0" t="s">
        <v>7354</v>
      </c>
      <c r="R1494" s="0" t="s">
        <v>7343</v>
      </c>
      <c r="S1494" s="0" t="s">
        <v>7344</v>
      </c>
      <c r="T1494" s="0" t="s">
        <v>228</v>
      </c>
      <c r="V1494" s="0" t="s">
        <v>34</v>
      </c>
      <c r="W1494" s="0" t="s">
        <v>37</v>
      </c>
      <c r="X1494" s="0" t="s">
        <v>7355</v>
      </c>
      <c r="Y1494" s="0" t="s">
        <v>7731</v>
      </c>
      <c r="Z1494" s="0" t="s">
        <v>7370</v>
      </c>
      <c r="AA1494" s="0" t="s">
        <v>7670</v>
      </c>
      <c r="AB1494" s="0" t="s">
        <v>231</v>
      </c>
      <c r="AC1494" s="0" t="s">
        <v>7629</v>
      </c>
      <c r="AD1494" s="0" t="s">
        <v>7671</v>
      </c>
      <c r="AE1494" s="0" t="s">
        <v>7360</v>
      </c>
      <c r="AF1494" s="0" t="s">
        <v>7361</v>
      </c>
      <c r="AG1494" s="0" t="s">
        <v>230</v>
      </c>
    </row>
    <row r="1495" customFormat="false" ht="15" hidden="false" customHeight="false" outlineLevel="0" collapsed="false">
      <c r="A1495" s="0" t="s">
        <v>7336</v>
      </c>
      <c r="B1495" s="0" t="s">
        <v>5465</v>
      </c>
      <c r="C1495" s="0" t="s">
        <v>5466</v>
      </c>
      <c r="D1495" s="0" t="s">
        <v>227</v>
      </c>
      <c r="E1495" s="0" t="s">
        <v>5467</v>
      </c>
      <c r="F1495" s="0" t="s">
        <v>2154</v>
      </c>
      <c r="G1495" s="0" t="s">
        <v>184</v>
      </c>
      <c r="H1495" s="0" t="s">
        <v>7733</v>
      </c>
      <c r="I1495" s="0" t="s">
        <v>7338</v>
      </c>
      <c r="J1495" s="0" t="s">
        <v>1602</v>
      </c>
      <c r="K1495" s="0" t="s">
        <v>7339</v>
      </c>
      <c r="L1495" s="0" t="s">
        <v>7340</v>
      </c>
      <c r="M1495" s="0" t="s">
        <v>7661</v>
      </c>
      <c r="N1495" s="0" t="s">
        <v>7342</v>
      </c>
      <c r="P1495" s="0" t="s">
        <v>229</v>
      </c>
      <c r="Q1495" s="0" t="s">
        <v>7354</v>
      </c>
      <c r="R1495" s="0" t="s">
        <v>7343</v>
      </c>
      <c r="S1495" s="0" t="s">
        <v>7344</v>
      </c>
      <c r="T1495" s="0" t="s">
        <v>228</v>
      </c>
      <c r="V1495" s="0" t="s">
        <v>34</v>
      </c>
      <c r="W1495" s="0" t="s">
        <v>37</v>
      </c>
      <c r="X1495" s="0" t="s">
        <v>7355</v>
      </c>
      <c r="Y1495" s="0" t="s">
        <v>7731</v>
      </c>
      <c r="Z1495" s="0" t="s">
        <v>7370</v>
      </c>
      <c r="AA1495" s="0" t="s">
        <v>7670</v>
      </c>
      <c r="AB1495" s="0" t="s">
        <v>231</v>
      </c>
      <c r="AC1495" s="0" t="s">
        <v>7629</v>
      </c>
      <c r="AD1495" s="0" t="s">
        <v>7671</v>
      </c>
      <c r="AE1495" s="0" t="s">
        <v>7360</v>
      </c>
      <c r="AF1495" s="0" t="s">
        <v>7361</v>
      </c>
      <c r="AG1495" s="0" t="s">
        <v>230</v>
      </c>
    </row>
    <row r="1496" customFormat="false" ht="15" hidden="false" customHeight="false" outlineLevel="0" collapsed="false">
      <c r="A1496" s="0" t="s">
        <v>7336</v>
      </c>
      <c r="B1496" s="0" t="s">
        <v>5468</v>
      </c>
      <c r="C1496" s="0" t="s">
        <v>5469</v>
      </c>
      <c r="D1496" s="0" t="s">
        <v>227</v>
      </c>
      <c r="E1496" s="0" t="s">
        <v>5470</v>
      </c>
      <c r="F1496" s="0" t="s">
        <v>2372</v>
      </c>
      <c r="G1496" s="0" t="s">
        <v>184</v>
      </c>
      <c r="H1496" s="0" t="s">
        <v>7775</v>
      </c>
      <c r="I1496" s="0" t="s">
        <v>7338</v>
      </c>
      <c r="J1496" s="0" t="s">
        <v>1602</v>
      </c>
      <c r="K1496" s="0" t="s">
        <v>7339</v>
      </c>
      <c r="L1496" s="0" t="s">
        <v>7340</v>
      </c>
      <c r="M1496" s="0" t="s">
        <v>7661</v>
      </c>
      <c r="N1496" s="0" t="s">
        <v>7342</v>
      </c>
      <c r="P1496" s="0" t="s">
        <v>229</v>
      </c>
      <c r="Q1496" s="0" t="s">
        <v>7354</v>
      </c>
      <c r="R1496" s="0" t="s">
        <v>7343</v>
      </c>
      <c r="S1496" s="0" t="s">
        <v>7344</v>
      </c>
      <c r="T1496" s="0" t="s">
        <v>228</v>
      </c>
      <c r="V1496" s="0" t="s">
        <v>34</v>
      </c>
      <c r="W1496" s="0" t="s">
        <v>37</v>
      </c>
      <c r="X1496" s="0" t="s">
        <v>7355</v>
      </c>
      <c r="Y1496" s="0" t="s">
        <v>7731</v>
      </c>
      <c r="Z1496" s="0" t="s">
        <v>7370</v>
      </c>
      <c r="AA1496" s="0" t="s">
        <v>7670</v>
      </c>
      <c r="AB1496" s="0" t="s">
        <v>231</v>
      </c>
      <c r="AC1496" s="0" t="s">
        <v>7629</v>
      </c>
      <c r="AD1496" s="0" t="s">
        <v>7671</v>
      </c>
      <c r="AE1496" s="0" t="s">
        <v>7360</v>
      </c>
      <c r="AF1496" s="0" t="s">
        <v>7361</v>
      </c>
      <c r="AG1496" s="0" t="s">
        <v>230</v>
      </c>
    </row>
    <row r="1497" customFormat="false" ht="15" hidden="false" customHeight="false" outlineLevel="0" collapsed="false">
      <c r="A1497" s="0" t="s">
        <v>7336</v>
      </c>
      <c r="B1497" s="0" t="s">
        <v>5471</v>
      </c>
      <c r="C1497" s="0" t="s">
        <v>5472</v>
      </c>
      <c r="D1497" s="0" t="s">
        <v>227</v>
      </c>
      <c r="E1497" s="0" t="s">
        <v>5473</v>
      </c>
      <c r="F1497" s="0" t="s">
        <v>2158</v>
      </c>
      <c r="G1497" s="0" t="s">
        <v>184</v>
      </c>
      <c r="H1497" s="0" t="s">
        <v>7734</v>
      </c>
      <c r="I1497" s="0" t="s">
        <v>7338</v>
      </c>
      <c r="J1497" s="0" t="s">
        <v>1602</v>
      </c>
      <c r="K1497" s="0" t="s">
        <v>7339</v>
      </c>
      <c r="L1497" s="0" t="s">
        <v>7340</v>
      </c>
      <c r="M1497" s="0" t="s">
        <v>7661</v>
      </c>
      <c r="N1497" s="0" t="s">
        <v>7342</v>
      </c>
      <c r="P1497" s="0" t="s">
        <v>229</v>
      </c>
      <c r="Q1497" s="0" t="s">
        <v>7354</v>
      </c>
      <c r="R1497" s="0" t="s">
        <v>7343</v>
      </c>
      <c r="S1497" s="0" t="s">
        <v>7344</v>
      </c>
      <c r="T1497" s="0" t="s">
        <v>228</v>
      </c>
      <c r="V1497" s="0" t="s">
        <v>34</v>
      </c>
      <c r="W1497" s="0" t="s">
        <v>37</v>
      </c>
      <c r="X1497" s="0" t="s">
        <v>7355</v>
      </c>
      <c r="Y1497" s="0" t="s">
        <v>7731</v>
      </c>
      <c r="Z1497" s="0" t="s">
        <v>7370</v>
      </c>
      <c r="AA1497" s="0" t="s">
        <v>7670</v>
      </c>
      <c r="AB1497" s="0" t="s">
        <v>231</v>
      </c>
      <c r="AC1497" s="0" t="s">
        <v>7629</v>
      </c>
      <c r="AD1497" s="0" t="s">
        <v>7671</v>
      </c>
      <c r="AE1497" s="0" t="s">
        <v>7360</v>
      </c>
      <c r="AF1497" s="0" t="s">
        <v>7361</v>
      </c>
      <c r="AG1497" s="0" t="s">
        <v>230</v>
      </c>
    </row>
    <row r="1498" customFormat="false" ht="15" hidden="false" customHeight="false" outlineLevel="0" collapsed="false">
      <c r="A1498" s="0" t="s">
        <v>7336</v>
      </c>
      <c r="B1498" s="0" t="s">
        <v>5474</v>
      </c>
      <c r="C1498" s="0" t="s">
        <v>5475</v>
      </c>
      <c r="D1498" s="0" t="s">
        <v>227</v>
      </c>
      <c r="E1498" s="0" t="s">
        <v>5476</v>
      </c>
      <c r="F1498" s="0" t="s">
        <v>2337</v>
      </c>
      <c r="G1498" s="0" t="s">
        <v>184</v>
      </c>
      <c r="H1498" s="0" t="s">
        <v>7773</v>
      </c>
      <c r="I1498" s="0" t="s">
        <v>7338</v>
      </c>
      <c r="J1498" s="0" t="s">
        <v>1602</v>
      </c>
      <c r="K1498" s="0" t="s">
        <v>7339</v>
      </c>
      <c r="L1498" s="0" t="s">
        <v>7340</v>
      </c>
      <c r="M1498" s="0" t="s">
        <v>7661</v>
      </c>
      <c r="N1498" s="0" t="s">
        <v>7342</v>
      </c>
      <c r="P1498" s="0" t="s">
        <v>229</v>
      </c>
      <c r="Q1498" s="0" t="s">
        <v>7354</v>
      </c>
      <c r="R1498" s="0" t="s">
        <v>7343</v>
      </c>
      <c r="S1498" s="0" t="s">
        <v>7344</v>
      </c>
      <c r="T1498" s="0" t="s">
        <v>228</v>
      </c>
      <c r="V1498" s="0" t="s">
        <v>34</v>
      </c>
      <c r="W1498" s="0" t="s">
        <v>37</v>
      </c>
      <c r="X1498" s="0" t="s">
        <v>7355</v>
      </c>
      <c r="Y1498" s="0" t="s">
        <v>7731</v>
      </c>
      <c r="Z1498" s="0" t="s">
        <v>7370</v>
      </c>
      <c r="AA1498" s="0" t="s">
        <v>7670</v>
      </c>
      <c r="AB1498" s="0" t="s">
        <v>231</v>
      </c>
      <c r="AC1498" s="0" t="s">
        <v>7629</v>
      </c>
      <c r="AD1498" s="0" t="s">
        <v>7671</v>
      </c>
      <c r="AE1498" s="0" t="s">
        <v>7360</v>
      </c>
      <c r="AF1498" s="0" t="s">
        <v>7361</v>
      </c>
      <c r="AG1498" s="0" t="s">
        <v>230</v>
      </c>
    </row>
    <row r="1499" customFormat="false" ht="15" hidden="false" customHeight="false" outlineLevel="0" collapsed="false">
      <c r="A1499" s="0" t="s">
        <v>7336</v>
      </c>
      <c r="B1499" s="0" t="s">
        <v>5477</v>
      </c>
      <c r="C1499" s="0" t="s">
        <v>5478</v>
      </c>
      <c r="D1499" s="0" t="s">
        <v>227</v>
      </c>
      <c r="E1499" s="0" t="s">
        <v>5479</v>
      </c>
      <c r="F1499" s="0" t="s">
        <v>2293</v>
      </c>
      <c r="G1499" s="0" t="s">
        <v>184</v>
      </c>
      <c r="H1499" s="0" t="s">
        <v>7762</v>
      </c>
      <c r="I1499" s="0" t="s">
        <v>7338</v>
      </c>
      <c r="J1499" s="0" t="s">
        <v>1602</v>
      </c>
      <c r="K1499" s="0" t="s">
        <v>7339</v>
      </c>
      <c r="L1499" s="0" t="s">
        <v>7340</v>
      </c>
      <c r="M1499" s="0" t="s">
        <v>7661</v>
      </c>
      <c r="N1499" s="0" t="s">
        <v>7342</v>
      </c>
      <c r="P1499" s="0" t="s">
        <v>229</v>
      </c>
      <c r="Q1499" s="0" t="s">
        <v>7354</v>
      </c>
      <c r="R1499" s="0" t="s">
        <v>7343</v>
      </c>
      <c r="S1499" s="0" t="s">
        <v>7344</v>
      </c>
      <c r="T1499" s="0" t="s">
        <v>228</v>
      </c>
      <c r="V1499" s="0" t="s">
        <v>34</v>
      </c>
      <c r="W1499" s="0" t="s">
        <v>37</v>
      </c>
      <c r="X1499" s="0" t="s">
        <v>7355</v>
      </c>
      <c r="Y1499" s="0" t="s">
        <v>7731</v>
      </c>
      <c r="Z1499" s="0" t="s">
        <v>7370</v>
      </c>
      <c r="AA1499" s="0" t="s">
        <v>7670</v>
      </c>
      <c r="AB1499" s="0" t="s">
        <v>231</v>
      </c>
      <c r="AC1499" s="0" t="s">
        <v>7629</v>
      </c>
      <c r="AD1499" s="0" t="s">
        <v>7671</v>
      </c>
      <c r="AE1499" s="0" t="s">
        <v>7360</v>
      </c>
      <c r="AF1499" s="0" t="s">
        <v>7361</v>
      </c>
      <c r="AG1499" s="0" t="s">
        <v>230</v>
      </c>
    </row>
    <row r="1500" customFormat="false" ht="15" hidden="false" customHeight="false" outlineLevel="0" collapsed="false">
      <c r="A1500" s="0" t="s">
        <v>7336</v>
      </c>
      <c r="B1500" s="0" t="s">
        <v>5480</v>
      </c>
      <c r="C1500" s="0" t="s">
        <v>5481</v>
      </c>
      <c r="D1500" s="0" t="s">
        <v>227</v>
      </c>
      <c r="E1500" s="0" t="s">
        <v>5482</v>
      </c>
      <c r="F1500" s="0" t="s">
        <v>2344</v>
      </c>
      <c r="G1500" s="0" t="s">
        <v>184</v>
      </c>
      <c r="H1500" s="0" t="s">
        <v>7774</v>
      </c>
      <c r="I1500" s="0" t="s">
        <v>7338</v>
      </c>
      <c r="J1500" s="0" t="s">
        <v>1602</v>
      </c>
      <c r="K1500" s="0" t="s">
        <v>7339</v>
      </c>
      <c r="L1500" s="0" t="s">
        <v>7340</v>
      </c>
      <c r="M1500" s="0" t="s">
        <v>7661</v>
      </c>
      <c r="N1500" s="0" t="s">
        <v>7342</v>
      </c>
      <c r="P1500" s="0" t="s">
        <v>229</v>
      </c>
      <c r="Q1500" s="0" t="s">
        <v>7354</v>
      </c>
      <c r="R1500" s="0" t="s">
        <v>7343</v>
      </c>
      <c r="S1500" s="0" t="s">
        <v>7344</v>
      </c>
      <c r="T1500" s="0" t="s">
        <v>228</v>
      </c>
      <c r="V1500" s="0" t="s">
        <v>34</v>
      </c>
      <c r="W1500" s="0" t="s">
        <v>37</v>
      </c>
      <c r="X1500" s="0" t="s">
        <v>7355</v>
      </c>
      <c r="Y1500" s="0" t="s">
        <v>7731</v>
      </c>
      <c r="Z1500" s="0" t="s">
        <v>7370</v>
      </c>
      <c r="AA1500" s="0" t="s">
        <v>7670</v>
      </c>
      <c r="AB1500" s="0" t="s">
        <v>231</v>
      </c>
      <c r="AC1500" s="0" t="s">
        <v>7629</v>
      </c>
      <c r="AD1500" s="0" t="s">
        <v>7671</v>
      </c>
      <c r="AE1500" s="0" t="s">
        <v>7360</v>
      </c>
      <c r="AF1500" s="0" t="s">
        <v>7361</v>
      </c>
      <c r="AG1500" s="0" t="s">
        <v>230</v>
      </c>
    </row>
    <row r="1501" customFormat="false" ht="15" hidden="false" customHeight="false" outlineLevel="0" collapsed="false">
      <c r="A1501" s="0" t="s">
        <v>7336</v>
      </c>
      <c r="B1501" s="0" t="s">
        <v>5483</v>
      </c>
      <c r="C1501" s="0" t="s">
        <v>5484</v>
      </c>
      <c r="D1501" s="0" t="s">
        <v>227</v>
      </c>
      <c r="E1501" s="0" t="s">
        <v>5485</v>
      </c>
      <c r="F1501" s="0" t="s">
        <v>2145</v>
      </c>
      <c r="G1501" s="0" t="s">
        <v>184</v>
      </c>
      <c r="H1501" s="0" t="s">
        <v>7730</v>
      </c>
      <c r="I1501" s="0" t="s">
        <v>7338</v>
      </c>
      <c r="J1501" s="0" t="s">
        <v>1602</v>
      </c>
      <c r="K1501" s="0" t="s">
        <v>7339</v>
      </c>
      <c r="L1501" s="0" t="s">
        <v>7340</v>
      </c>
      <c r="M1501" s="0" t="s">
        <v>7661</v>
      </c>
      <c r="N1501" s="0" t="s">
        <v>7342</v>
      </c>
      <c r="P1501" s="0" t="s">
        <v>229</v>
      </c>
      <c r="Q1501" s="0" t="s">
        <v>7354</v>
      </c>
      <c r="R1501" s="0" t="s">
        <v>7343</v>
      </c>
      <c r="S1501" s="0" t="s">
        <v>7344</v>
      </c>
      <c r="T1501" s="0" t="s">
        <v>228</v>
      </c>
      <c r="V1501" s="0" t="s">
        <v>34</v>
      </c>
      <c r="W1501" s="0" t="s">
        <v>37</v>
      </c>
      <c r="X1501" s="0" t="s">
        <v>7355</v>
      </c>
      <c r="Y1501" s="0" t="s">
        <v>7731</v>
      </c>
      <c r="Z1501" s="0" t="s">
        <v>7370</v>
      </c>
      <c r="AA1501" s="0" t="s">
        <v>7670</v>
      </c>
      <c r="AB1501" s="0" t="s">
        <v>231</v>
      </c>
      <c r="AC1501" s="0" t="s">
        <v>7629</v>
      </c>
      <c r="AD1501" s="0" t="s">
        <v>7671</v>
      </c>
      <c r="AE1501" s="0" t="s">
        <v>7360</v>
      </c>
      <c r="AF1501" s="0" t="s">
        <v>7361</v>
      </c>
      <c r="AG1501" s="0" t="s">
        <v>230</v>
      </c>
    </row>
    <row r="1502" customFormat="false" ht="15" hidden="false" customHeight="false" outlineLevel="0" collapsed="false">
      <c r="A1502" s="0" t="s">
        <v>7336</v>
      </c>
      <c r="B1502" s="0" t="s">
        <v>5486</v>
      </c>
      <c r="C1502" s="0" t="s">
        <v>5487</v>
      </c>
      <c r="D1502" s="0" t="s">
        <v>227</v>
      </c>
      <c r="E1502" s="0" t="s">
        <v>5488</v>
      </c>
      <c r="F1502" s="0" t="s">
        <v>2154</v>
      </c>
      <c r="G1502" s="0" t="s">
        <v>184</v>
      </c>
      <c r="H1502" s="0" t="s">
        <v>7733</v>
      </c>
      <c r="I1502" s="0" t="s">
        <v>7338</v>
      </c>
      <c r="J1502" s="0" t="s">
        <v>1602</v>
      </c>
      <c r="K1502" s="0" t="s">
        <v>7339</v>
      </c>
      <c r="L1502" s="0" t="s">
        <v>7340</v>
      </c>
      <c r="M1502" s="0" t="s">
        <v>7661</v>
      </c>
      <c r="N1502" s="0" t="s">
        <v>7342</v>
      </c>
      <c r="P1502" s="0" t="s">
        <v>229</v>
      </c>
      <c r="Q1502" s="0" t="s">
        <v>7354</v>
      </c>
      <c r="R1502" s="0" t="s">
        <v>7343</v>
      </c>
      <c r="S1502" s="0" t="s">
        <v>7344</v>
      </c>
      <c r="T1502" s="0" t="s">
        <v>228</v>
      </c>
      <c r="V1502" s="0" t="s">
        <v>34</v>
      </c>
      <c r="W1502" s="0" t="s">
        <v>37</v>
      </c>
      <c r="X1502" s="0" t="s">
        <v>7355</v>
      </c>
      <c r="Y1502" s="0" t="s">
        <v>7731</v>
      </c>
      <c r="Z1502" s="0" t="s">
        <v>7370</v>
      </c>
      <c r="AA1502" s="0" t="s">
        <v>7670</v>
      </c>
      <c r="AB1502" s="0" t="s">
        <v>231</v>
      </c>
      <c r="AC1502" s="0" t="s">
        <v>7629</v>
      </c>
      <c r="AD1502" s="0" t="s">
        <v>7671</v>
      </c>
      <c r="AE1502" s="0" t="s">
        <v>7360</v>
      </c>
      <c r="AF1502" s="0" t="s">
        <v>7361</v>
      </c>
      <c r="AG1502" s="0" t="s">
        <v>230</v>
      </c>
    </row>
    <row r="1503" customFormat="false" ht="15" hidden="false" customHeight="false" outlineLevel="0" collapsed="false">
      <c r="A1503" s="0" t="s">
        <v>7336</v>
      </c>
      <c r="B1503" s="0" t="s">
        <v>5489</v>
      </c>
      <c r="C1503" s="0" t="s">
        <v>5490</v>
      </c>
      <c r="D1503" s="0" t="s">
        <v>227</v>
      </c>
      <c r="E1503" s="0" t="s">
        <v>5491</v>
      </c>
      <c r="F1503" s="0" t="s">
        <v>2372</v>
      </c>
      <c r="G1503" s="0" t="s">
        <v>184</v>
      </c>
      <c r="H1503" s="0" t="s">
        <v>7775</v>
      </c>
      <c r="I1503" s="0" t="s">
        <v>7338</v>
      </c>
      <c r="J1503" s="0" t="s">
        <v>1602</v>
      </c>
      <c r="K1503" s="0" t="s">
        <v>7339</v>
      </c>
      <c r="L1503" s="0" t="s">
        <v>7340</v>
      </c>
      <c r="M1503" s="0" t="s">
        <v>7661</v>
      </c>
      <c r="N1503" s="0" t="s">
        <v>7342</v>
      </c>
      <c r="P1503" s="0" t="s">
        <v>229</v>
      </c>
      <c r="Q1503" s="0" t="s">
        <v>7354</v>
      </c>
      <c r="R1503" s="0" t="s">
        <v>7343</v>
      </c>
      <c r="S1503" s="0" t="s">
        <v>7344</v>
      </c>
      <c r="T1503" s="0" t="s">
        <v>228</v>
      </c>
      <c r="V1503" s="0" t="s">
        <v>34</v>
      </c>
      <c r="W1503" s="0" t="s">
        <v>37</v>
      </c>
      <c r="X1503" s="0" t="s">
        <v>7355</v>
      </c>
      <c r="Y1503" s="0" t="s">
        <v>7731</v>
      </c>
      <c r="Z1503" s="0" t="s">
        <v>7370</v>
      </c>
      <c r="AA1503" s="0" t="s">
        <v>7670</v>
      </c>
      <c r="AB1503" s="0" t="s">
        <v>231</v>
      </c>
      <c r="AC1503" s="0" t="s">
        <v>7629</v>
      </c>
      <c r="AD1503" s="0" t="s">
        <v>7671</v>
      </c>
      <c r="AE1503" s="0" t="s">
        <v>7360</v>
      </c>
      <c r="AF1503" s="0" t="s">
        <v>7361</v>
      </c>
      <c r="AG1503" s="0" t="s">
        <v>230</v>
      </c>
    </row>
    <row r="1504" customFormat="false" ht="15" hidden="false" customHeight="false" outlineLevel="0" collapsed="false">
      <c r="A1504" s="0" t="s">
        <v>7336</v>
      </c>
      <c r="B1504" s="0" t="s">
        <v>5492</v>
      </c>
      <c r="C1504" s="0" t="s">
        <v>5493</v>
      </c>
      <c r="D1504" s="0" t="s">
        <v>227</v>
      </c>
      <c r="E1504" s="0" t="s">
        <v>5494</v>
      </c>
      <c r="F1504" s="0" t="s">
        <v>2158</v>
      </c>
      <c r="G1504" s="0" t="s">
        <v>184</v>
      </c>
      <c r="H1504" s="0" t="s">
        <v>7734</v>
      </c>
      <c r="I1504" s="0" t="s">
        <v>7338</v>
      </c>
      <c r="J1504" s="0" t="s">
        <v>1602</v>
      </c>
      <c r="K1504" s="0" t="s">
        <v>7339</v>
      </c>
      <c r="L1504" s="0" t="s">
        <v>7340</v>
      </c>
      <c r="M1504" s="0" t="s">
        <v>7661</v>
      </c>
      <c r="N1504" s="0" t="s">
        <v>7342</v>
      </c>
      <c r="P1504" s="0" t="s">
        <v>229</v>
      </c>
      <c r="Q1504" s="0" t="s">
        <v>7354</v>
      </c>
      <c r="R1504" s="0" t="s">
        <v>7343</v>
      </c>
      <c r="S1504" s="0" t="s">
        <v>7344</v>
      </c>
      <c r="T1504" s="0" t="s">
        <v>228</v>
      </c>
      <c r="V1504" s="0" t="s">
        <v>34</v>
      </c>
      <c r="W1504" s="0" t="s">
        <v>37</v>
      </c>
      <c r="X1504" s="0" t="s">
        <v>7355</v>
      </c>
      <c r="Y1504" s="0" t="s">
        <v>7731</v>
      </c>
      <c r="Z1504" s="0" t="s">
        <v>7370</v>
      </c>
      <c r="AA1504" s="0" t="s">
        <v>7670</v>
      </c>
      <c r="AB1504" s="0" t="s">
        <v>231</v>
      </c>
      <c r="AC1504" s="0" t="s">
        <v>7629</v>
      </c>
      <c r="AD1504" s="0" t="s">
        <v>7671</v>
      </c>
      <c r="AE1504" s="0" t="s">
        <v>7360</v>
      </c>
      <c r="AF1504" s="0" t="s">
        <v>7361</v>
      </c>
      <c r="AG1504" s="0" t="s">
        <v>230</v>
      </c>
    </row>
    <row r="1505" customFormat="false" ht="15" hidden="false" customHeight="false" outlineLevel="0" collapsed="false">
      <c r="A1505" s="0" t="s">
        <v>7336</v>
      </c>
      <c r="B1505" s="0" t="s">
        <v>5495</v>
      </c>
      <c r="C1505" s="0" t="s">
        <v>5496</v>
      </c>
      <c r="D1505" s="0" t="s">
        <v>227</v>
      </c>
      <c r="E1505" s="0" t="s">
        <v>5497</v>
      </c>
      <c r="F1505" s="0" t="s">
        <v>2337</v>
      </c>
      <c r="G1505" s="0" t="s">
        <v>184</v>
      </c>
      <c r="H1505" s="0" t="s">
        <v>7773</v>
      </c>
      <c r="I1505" s="0" t="s">
        <v>7338</v>
      </c>
      <c r="J1505" s="0" t="s">
        <v>1602</v>
      </c>
      <c r="K1505" s="0" t="s">
        <v>7339</v>
      </c>
      <c r="L1505" s="0" t="s">
        <v>7340</v>
      </c>
      <c r="M1505" s="0" t="s">
        <v>7661</v>
      </c>
      <c r="N1505" s="0" t="s">
        <v>7342</v>
      </c>
      <c r="P1505" s="0" t="s">
        <v>229</v>
      </c>
      <c r="Q1505" s="0" t="s">
        <v>7354</v>
      </c>
      <c r="R1505" s="0" t="s">
        <v>7343</v>
      </c>
      <c r="S1505" s="0" t="s">
        <v>7344</v>
      </c>
      <c r="T1505" s="0" t="s">
        <v>228</v>
      </c>
      <c r="V1505" s="0" t="s">
        <v>34</v>
      </c>
      <c r="W1505" s="0" t="s">
        <v>37</v>
      </c>
      <c r="X1505" s="0" t="s">
        <v>7355</v>
      </c>
      <c r="Y1505" s="0" t="s">
        <v>7731</v>
      </c>
      <c r="Z1505" s="0" t="s">
        <v>7370</v>
      </c>
      <c r="AA1505" s="0" t="s">
        <v>7670</v>
      </c>
      <c r="AB1505" s="0" t="s">
        <v>231</v>
      </c>
      <c r="AC1505" s="0" t="s">
        <v>7629</v>
      </c>
      <c r="AD1505" s="0" t="s">
        <v>7671</v>
      </c>
      <c r="AE1505" s="0" t="s">
        <v>7360</v>
      </c>
      <c r="AF1505" s="0" t="s">
        <v>7361</v>
      </c>
      <c r="AG1505" s="0" t="s">
        <v>230</v>
      </c>
    </row>
    <row r="1506" customFormat="false" ht="15" hidden="false" customHeight="false" outlineLevel="0" collapsed="false">
      <c r="A1506" s="0" t="s">
        <v>7336</v>
      </c>
      <c r="B1506" s="0" t="s">
        <v>5498</v>
      </c>
      <c r="C1506" s="0" t="s">
        <v>5499</v>
      </c>
      <c r="D1506" s="0" t="s">
        <v>227</v>
      </c>
      <c r="E1506" s="0" t="s">
        <v>5500</v>
      </c>
      <c r="F1506" s="0" t="s">
        <v>2293</v>
      </c>
      <c r="G1506" s="0" t="s">
        <v>184</v>
      </c>
      <c r="H1506" s="0" t="s">
        <v>7762</v>
      </c>
      <c r="I1506" s="0" t="s">
        <v>7338</v>
      </c>
      <c r="J1506" s="0" t="s">
        <v>1602</v>
      </c>
      <c r="K1506" s="0" t="s">
        <v>7339</v>
      </c>
      <c r="L1506" s="0" t="s">
        <v>7340</v>
      </c>
      <c r="M1506" s="0" t="s">
        <v>7661</v>
      </c>
      <c r="N1506" s="0" t="s">
        <v>7342</v>
      </c>
      <c r="P1506" s="0" t="s">
        <v>229</v>
      </c>
      <c r="Q1506" s="0" t="s">
        <v>7354</v>
      </c>
      <c r="R1506" s="0" t="s">
        <v>7343</v>
      </c>
      <c r="S1506" s="0" t="s">
        <v>7344</v>
      </c>
      <c r="T1506" s="0" t="s">
        <v>228</v>
      </c>
      <c r="V1506" s="0" t="s">
        <v>34</v>
      </c>
      <c r="W1506" s="0" t="s">
        <v>37</v>
      </c>
      <c r="X1506" s="0" t="s">
        <v>7355</v>
      </c>
      <c r="Y1506" s="0" t="s">
        <v>7731</v>
      </c>
      <c r="Z1506" s="0" t="s">
        <v>7370</v>
      </c>
      <c r="AA1506" s="0" t="s">
        <v>7670</v>
      </c>
      <c r="AB1506" s="0" t="s">
        <v>231</v>
      </c>
      <c r="AC1506" s="0" t="s">
        <v>7629</v>
      </c>
      <c r="AD1506" s="0" t="s">
        <v>7671</v>
      </c>
      <c r="AE1506" s="0" t="s">
        <v>7360</v>
      </c>
      <c r="AF1506" s="0" t="s">
        <v>7361</v>
      </c>
      <c r="AG1506" s="0" t="s">
        <v>230</v>
      </c>
    </row>
    <row r="1507" customFormat="false" ht="15" hidden="false" customHeight="false" outlineLevel="0" collapsed="false">
      <c r="A1507" s="0" t="s">
        <v>7336</v>
      </c>
      <c r="B1507" s="0" t="s">
        <v>5501</v>
      </c>
      <c r="C1507" s="0" t="s">
        <v>5502</v>
      </c>
      <c r="D1507" s="0" t="s">
        <v>227</v>
      </c>
      <c r="E1507" s="0" t="s">
        <v>5503</v>
      </c>
      <c r="F1507" s="0" t="s">
        <v>2145</v>
      </c>
      <c r="G1507" s="0" t="s">
        <v>184</v>
      </c>
      <c r="H1507" s="0" t="s">
        <v>7730</v>
      </c>
      <c r="I1507" s="0" t="s">
        <v>7338</v>
      </c>
      <c r="J1507" s="0" t="s">
        <v>1602</v>
      </c>
      <c r="K1507" s="0" t="s">
        <v>7339</v>
      </c>
      <c r="L1507" s="0" t="s">
        <v>7340</v>
      </c>
      <c r="M1507" s="0" t="s">
        <v>7661</v>
      </c>
      <c r="N1507" s="0" t="s">
        <v>7342</v>
      </c>
      <c r="P1507" s="0" t="s">
        <v>229</v>
      </c>
      <c r="Q1507" s="0" t="s">
        <v>7354</v>
      </c>
      <c r="R1507" s="0" t="s">
        <v>7343</v>
      </c>
      <c r="S1507" s="0" t="s">
        <v>7344</v>
      </c>
      <c r="T1507" s="0" t="s">
        <v>228</v>
      </c>
      <c r="V1507" s="0" t="s">
        <v>34</v>
      </c>
      <c r="W1507" s="0" t="s">
        <v>37</v>
      </c>
      <c r="X1507" s="0" t="s">
        <v>7355</v>
      </c>
      <c r="Y1507" s="0" t="s">
        <v>7731</v>
      </c>
      <c r="Z1507" s="0" t="s">
        <v>7370</v>
      </c>
      <c r="AA1507" s="0" t="s">
        <v>7670</v>
      </c>
      <c r="AB1507" s="0" t="s">
        <v>231</v>
      </c>
      <c r="AC1507" s="0" t="s">
        <v>7629</v>
      </c>
      <c r="AD1507" s="0" t="s">
        <v>7671</v>
      </c>
      <c r="AE1507" s="0" t="s">
        <v>7360</v>
      </c>
      <c r="AF1507" s="0" t="s">
        <v>7361</v>
      </c>
      <c r="AG1507" s="0" t="s">
        <v>230</v>
      </c>
    </row>
    <row r="1508" customFormat="false" ht="15" hidden="false" customHeight="false" outlineLevel="0" collapsed="false">
      <c r="A1508" s="0" t="s">
        <v>7336</v>
      </c>
      <c r="B1508" s="0" t="s">
        <v>5504</v>
      </c>
      <c r="C1508" s="0" t="s">
        <v>5505</v>
      </c>
      <c r="D1508" s="0" t="s">
        <v>227</v>
      </c>
      <c r="E1508" s="0" t="s">
        <v>5506</v>
      </c>
      <c r="F1508" s="0" t="s">
        <v>2154</v>
      </c>
      <c r="G1508" s="0" t="s">
        <v>184</v>
      </c>
      <c r="H1508" s="0" t="s">
        <v>7733</v>
      </c>
      <c r="I1508" s="0" t="s">
        <v>7338</v>
      </c>
      <c r="J1508" s="0" t="s">
        <v>1602</v>
      </c>
      <c r="K1508" s="0" t="s">
        <v>7339</v>
      </c>
      <c r="L1508" s="0" t="s">
        <v>7340</v>
      </c>
      <c r="M1508" s="0" t="s">
        <v>7661</v>
      </c>
      <c r="N1508" s="0" t="s">
        <v>7342</v>
      </c>
      <c r="P1508" s="0" t="s">
        <v>229</v>
      </c>
      <c r="Q1508" s="0" t="s">
        <v>7354</v>
      </c>
      <c r="R1508" s="0" t="s">
        <v>7343</v>
      </c>
      <c r="S1508" s="0" t="s">
        <v>7344</v>
      </c>
      <c r="T1508" s="0" t="s">
        <v>228</v>
      </c>
      <c r="V1508" s="0" t="s">
        <v>34</v>
      </c>
      <c r="W1508" s="0" t="s">
        <v>37</v>
      </c>
      <c r="X1508" s="0" t="s">
        <v>7355</v>
      </c>
      <c r="Y1508" s="0" t="s">
        <v>7731</v>
      </c>
      <c r="Z1508" s="0" t="s">
        <v>7370</v>
      </c>
      <c r="AA1508" s="0" t="s">
        <v>7670</v>
      </c>
      <c r="AB1508" s="0" t="s">
        <v>231</v>
      </c>
      <c r="AC1508" s="0" t="s">
        <v>7629</v>
      </c>
      <c r="AD1508" s="0" t="s">
        <v>7671</v>
      </c>
      <c r="AE1508" s="0" t="s">
        <v>7360</v>
      </c>
      <c r="AF1508" s="0" t="s">
        <v>7361</v>
      </c>
      <c r="AG1508" s="0" t="s">
        <v>230</v>
      </c>
    </row>
    <row r="1509" customFormat="false" ht="15" hidden="false" customHeight="false" outlineLevel="0" collapsed="false">
      <c r="A1509" s="0" t="s">
        <v>7336</v>
      </c>
      <c r="B1509" s="0" t="s">
        <v>5507</v>
      </c>
      <c r="C1509" s="0" t="s">
        <v>5508</v>
      </c>
      <c r="D1509" s="0" t="s">
        <v>227</v>
      </c>
      <c r="E1509" s="0" t="s">
        <v>5509</v>
      </c>
      <c r="F1509" s="0" t="s">
        <v>2158</v>
      </c>
      <c r="G1509" s="0" t="s">
        <v>184</v>
      </c>
      <c r="H1509" s="0" t="s">
        <v>7734</v>
      </c>
      <c r="I1509" s="0" t="s">
        <v>7338</v>
      </c>
      <c r="J1509" s="0" t="s">
        <v>1602</v>
      </c>
      <c r="K1509" s="0" t="s">
        <v>7339</v>
      </c>
      <c r="L1509" s="0" t="s">
        <v>7340</v>
      </c>
      <c r="M1509" s="0" t="s">
        <v>7661</v>
      </c>
      <c r="N1509" s="0" t="s">
        <v>7342</v>
      </c>
      <c r="P1509" s="0" t="s">
        <v>229</v>
      </c>
      <c r="Q1509" s="0" t="s">
        <v>7354</v>
      </c>
      <c r="R1509" s="0" t="s">
        <v>7343</v>
      </c>
      <c r="S1509" s="0" t="s">
        <v>7344</v>
      </c>
      <c r="T1509" s="0" t="s">
        <v>228</v>
      </c>
      <c r="V1509" s="0" t="s">
        <v>34</v>
      </c>
      <c r="W1509" s="0" t="s">
        <v>37</v>
      </c>
      <c r="X1509" s="0" t="s">
        <v>7355</v>
      </c>
      <c r="Y1509" s="0" t="s">
        <v>7731</v>
      </c>
      <c r="Z1509" s="0" t="s">
        <v>7370</v>
      </c>
      <c r="AA1509" s="0" t="s">
        <v>7670</v>
      </c>
      <c r="AB1509" s="0" t="s">
        <v>231</v>
      </c>
      <c r="AC1509" s="0" t="s">
        <v>7629</v>
      </c>
      <c r="AD1509" s="0" t="s">
        <v>7671</v>
      </c>
      <c r="AE1509" s="0" t="s">
        <v>7360</v>
      </c>
      <c r="AF1509" s="0" t="s">
        <v>7361</v>
      </c>
      <c r="AG1509" s="0" t="s">
        <v>230</v>
      </c>
    </row>
    <row r="1510" customFormat="false" ht="15" hidden="false" customHeight="false" outlineLevel="0" collapsed="false">
      <c r="A1510" s="0" t="s">
        <v>7336</v>
      </c>
      <c r="B1510" s="0" t="s">
        <v>5510</v>
      </c>
      <c r="C1510" s="0" t="s">
        <v>5511</v>
      </c>
      <c r="D1510" s="0" t="s">
        <v>227</v>
      </c>
      <c r="E1510" s="0" t="s">
        <v>5512</v>
      </c>
      <c r="F1510" s="0" t="s">
        <v>2179</v>
      </c>
      <c r="G1510" s="0" t="s">
        <v>178</v>
      </c>
      <c r="H1510" s="0" t="s">
        <v>7739</v>
      </c>
      <c r="I1510" s="0" t="s">
        <v>7338</v>
      </c>
      <c r="J1510" s="0" t="s">
        <v>1602</v>
      </c>
      <c r="K1510" s="0" t="s">
        <v>7339</v>
      </c>
      <c r="L1510" s="0" t="s">
        <v>7340</v>
      </c>
      <c r="M1510" s="0" t="s">
        <v>7661</v>
      </c>
      <c r="N1510" s="0" t="s">
        <v>7342</v>
      </c>
      <c r="P1510" s="0" t="s">
        <v>229</v>
      </c>
      <c r="Q1510" s="0" t="s">
        <v>7354</v>
      </c>
      <c r="R1510" s="0" t="s">
        <v>7343</v>
      </c>
      <c r="S1510" s="0" t="s">
        <v>7344</v>
      </c>
      <c r="T1510" s="0" t="s">
        <v>228</v>
      </c>
      <c r="V1510" s="0" t="s">
        <v>34</v>
      </c>
      <c r="W1510" s="0" t="s">
        <v>37</v>
      </c>
      <c r="X1510" s="0" t="s">
        <v>7355</v>
      </c>
      <c r="Y1510" s="0" t="s">
        <v>7346</v>
      </c>
      <c r="Z1510" s="0" t="s">
        <v>7370</v>
      </c>
      <c r="AA1510" s="0" t="s">
        <v>7670</v>
      </c>
      <c r="AB1510" s="0" t="s">
        <v>1663</v>
      </c>
      <c r="AC1510" s="0" t="s">
        <v>7629</v>
      </c>
      <c r="AD1510" s="0" t="s">
        <v>7671</v>
      </c>
      <c r="AE1510" s="0" t="s">
        <v>7360</v>
      </c>
      <c r="AF1510" s="0" t="s">
        <v>7361</v>
      </c>
      <c r="AG1510" s="0" t="s">
        <v>230</v>
      </c>
    </row>
    <row r="1511" customFormat="false" ht="15" hidden="false" customHeight="false" outlineLevel="0" collapsed="false">
      <c r="A1511" s="0" t="s">
        <v>7336</v>
      </c>
      <c r="B1511" s="0" t="s">
        <v>5513</v>
      </c>
      <c r="C1511" s="0" t="s">
        <v>5514</v>
      </c>
      <c r="D1511" s="0" t="s">
        <v>227</v>
      </c>
      <c r="E1511" s="0" t="s">
        <v>5515</v>
      </c>
      <c r="F1511" s="0" t="s">
        <v>2162</v>
      </c>
      <c r="G1511" s="0" t="s">
        <v>138</v>
      </c>
      <c r="H1511" s="0" t="s">
        <v>7735</v>
      </c>
      <c r="I1511" s="0" t="s">
        <v>7338</v>
      </c>
      <c r="J1511" s="0" t="s">
        <v>1602</v>
      </c>
      <c r="K1511" s="0" t="s">
        <v>7339</v>
      </c>
      <c r="L1511" s="0" t="s">
        <v>7340</v>
      </c>
      <c r="M1511" s="0" t="s">
        <v>7661</v>
      </c>
      <c r="N1511" s="0" t="s">
        <v>7342</v>
      </c>
    </row>
    <row r="1512" customFormat="false" ht="15" hidden="false" customHeight="false" outlineLevel="0" collapsed="false">
      <c r="A1512" s="0" t="s">
        <v>7336</v>
      </c>
      <c r="B1512" s="0" t="s">
        <v>5516</v>
      </c>
      <c r="C1512" s="0" t="s">
        <v>5517</v>
      </c>
      <c r="D1512" s="0" t="s">
        <v>227</v>
      </c>
      <c r="E1512" s="0" t="s">
        <v>5518</v>
      </c>
      <c r="F1512" s="0" t="s">
        <v>2162</v>
      </c>
      <c r="G1512" s="0" t="s">
        <v>138</v>
      </c>
      <c r="H1512" s="0" t="s">
        <v>7735</v>
      </c>
      <c r="I1512" s="0" t="s">
        <v>7338</v>
      </c>
      <c r="J1512" s="0" t="s">
        <v>1602</v>
      </c>
      <c r="K1512" s="0" t="s">
        <v>7339</v>
      </c>
      <c r="L1512" s="0" t="s">
        <v>7340</v>
      </c>
      <c r="M1512" s="0" t="s">
        <v>7661</v>
      </c>
      <c r="N1512" s="0" t="s">
        <v>7342</v>
      </c>
    </row>
    <row r="1513" customFormat="false" ht="15" hidden="false" customHeight="false" outlineLevel="0" collapsed="false">
      <c r="A1513" s="0" t="s">
        <v>7336</v>
      </c>
      <c r="B1513" s="0" t="s">
        <v>5519</v>
      </c>
      <c r="C1513" s="0" t="s">
        <v>5520</v>
      </c>
      <c r="D1513" s="0" t="s">
        <v>227</v>
      </c>
      <c r="E1513" s="0" t="s">
        <v>5521</v>
      </c>
      <c r="F1513" s="0" t="s">
        <v>2166</v>
      </c>
      <c r="G1513" s="0" t="s">
        <v>138</v>
      </c>
      <c r="H1513" s="0" t="s">
        <v>7736</v>
      </c>
      <c r="I1513" s="0" t="s">
        <v>7338</v>
      </c>
      <c r="J1513" s="0" t="s">
        <v>1602</v>
      </c>
      <c r="K1513" s="0" t="s">
        <v>7339</v>
      </c>
      <c r="L1513" s="0" t="s">
        <v>7340</v>
      </c>
      <c r="M1513" s="0" t="s">
        <v>7661</v>
      </c>
      <c r="N1513" s="0" t="s">
        <v>7342</v>
      </c>
    </row>
    <row r="1514" customFormat="false" ht="15" hidden="false" customHeight="false" outlineLevel="0" collapsed="false">
      <c r="A1514" s="0" t="s">
        <v>7336</v>
      </c>
      <c r="B1514" s="0" t="s">
        <v>5522</v>
      </c>
      <c r="C1514" s="0" t="s">
        <v>5523</v>
      </c>
      <c r="D1514" s="0" t="s">
        <v>227</v>
      </c>
      <c r="E1514" s="0" t="s">
        <v>5524</v>
      </c>
      <c r="F1514" s="0" t="s">
        <v>2162</v>
      </c>
      <c r="G1514" s="0" t="s">
        <v>138</v>
      </c>
      <c r="H1514" s="0" t="s">
        <v>7735</v>
      </c>
      <c r="I1514" s="0" t="s">
        <v>7338</v>
      </c>
      <c r="J1514" s="0" t="s">
        <v>1602</v>
      </c>
      <c r="K1514" s="0" t="s">
        <v>7339</v>
      </c>
      <c r="L1514" s="0" t="s">
        <v>7340</v>
      </c>
      <c r="M1514" s="0" t="s">
        <v>7661</v>
      </c>
      <c r="N1514" s="0" t="s">
        <v>7342</v>
      </c>
    </row>
    <row r="1515" customFormat="false" ht="15" hidden="false" customHeight="false" outlineLevel="0" collapsed="false">
      <c r="A1515" s="0" t="s">
        <v>7336</v>
      </c>
      <c r="B1515" s="0" t="s">
        <v>5525</v>
      </c>
      <c r="C1515" s="0" t="s">
        <v>5526</v>
      </c>
      <c r="D1515" s="0" t="s">
        <v>227</v>
      </c>
      <c r="E1515" s="0" t="s">
        <v>5527</v>
      </c>
      <c r="F1515" s="0" t="s">
        <v>2170</v>
      </c>
      <c r="G1515" s="0" t="s">
        <v>170</v>
      </c>
      <c r="H1515" s="0" t="s">
        <v>7737</v>
      </c>
      <c r="I1515" s="0" t="s">
        <v>7338</v>
      </c>
      <c r="J1515" s="0" t="s">
        <v>1602</v>
      </c>
      <c r="K1515" s="0" t="s">
        <v>7339</v>
      </c>
      <c r="L1515" s="0" t="s">
        <v>7340</v>
      </c>
      <c r="M1515" s="0" t="s">
        <v>7661</v>
      </c>
      <c r="N1515" s="0" t="s">
        <v>7342</v>
      </c>
      <c r="P1515" s="0" t="s">
        <v>229</v>
      </c>
      <c r="Q1515" s="0" t="s">
        <v>7354</v>
      </c>
      <c r="R1515" s="0" t="s">
        <v>7343</v>
      </c>
      <c r="S1515" s="0" t="s">
        <v>7344</v>
      </c>
      <c r="T1515" s="0" t="s">
        <v>228</v>
      </c>
      <c r="V1515" s="0" t="s">
        <v>34</v>
      </c>
      <c r="W1515" s="0" t="s">
        <v>37</v>
      </c>
      <c r="X1515" s="0" t="s">
        <v>7355</v>
      </c>
      <c r="Y1515" s="0" t="s">
        <v>7346</v>
      </c>
      <c r="Z1515" s="0" t="s">
        <v>7370</v>
      </c>
      <c r="AA1515" s="0" t="s">
        <v>7670</v>
      </c>
      <c r="AB1515" s="0" t="s">
        <v>1663</v>
      </c>
      <c r="AC1515" s="0" t="s">
        <v>7629</v>
      </c>
      <c r="AD1515" s="0" t="s">
        <v>7671</v>
      </c>
      <c r="AE1515" s="0" t="s">
        <v>7360</v>
      </c>
      <c r="AF1515" s="0" t="s">
        <v>7361</v>
      </c>
      <c r="AG1515" s="0" t="s">
        <v>230</v>
      </c>
    </row>
    <row r="1516" customFormat="false" ht="15" hidden="false" customHeight="false" outlineLevel="0" collapsed="false">
      <c r="A1516" s="0" t="s">
        <v>7336</v>
      </c>
      <c r="B1516" s="0" t="s">
        <v>5528</v>
      </c>
      <c r="C1516" s="0" t="s">
        <v>5529</v>
      </c>
      <c r="D1516" s="0" t="s">
        <v>227</v>
      </c>
      <c r="E1516" s="0" t="s">
        <v>5530</v>
      </c>
      <c r="F1516" s="0" t="s">
        <v>5376</v>
      </c>
      <c r="G1516" s="0" t="s">
        <v>182</v>
      </c>
      <c r="H1516" s="0" t="s">
        <v>8292</v>
      </c>
      <c r="I1516" s="0" t="s">
        <v>7338</v>
      </c>
      <c r="J1516" s="0" t="s">
        <v>1602</v>
      </c>
      <c r="K1516" s="0" t="s">
        <v>7339</v>
      </c>
      <c r="L1516" s="0" t="s">
        <v>7340</v>
      </c>
      <c r="M1516" s="0" t="s">
        <v>7661</v>
      </c>
      <c r="N1516" s="0" t="s">
        <v>7342</v>
      </c>
      <c r="P1516" s="0" t="s">
        <v>236</v>
      </c>
      <c r="Q1516" s="0" t="s">
        <v>7354</v>
      </c>
      <c r="R1516" s="0" t="s">
        <v>7343</v>
      </c>
      <c r="S1516" s="0" t="s">
        <v>7344</v>
      </c>
      <c r="T1516" s="0" t="s">
        <v>228</v>
      </c>
      <c r="V1516" s="0" t="s">
        <v>73</v>
      </c>
      <c r="W1516" s="0" t="s">
        <v>77</v>
      </c>
      <c r="X1516" s="0" t="s">
        <v>7355</v>
      </c>
      <c r="Y1516" s="0" t="s">
        <v>7356</v>
      </c>
      <c r="Z1516" s="0" t="s">
        <v>7357</v>
      </c>
      <c r="AA1516" s="0" t="s">
        <v>7358</v>
      </c>
      <c r="AB1516" s="0" t="s">
        <v>237</v>
      </c>
      <c r="AC1516" s="0" t="s">
        <v>7349</v>
      </c>
      <c r="AD1516" s="0" t="s">
        <v>7755</v>
      </c>
      <c r="AE1516" s="0" t="s">
        <v>7360</v>
      </c>
      <c r="AF1516" s="0" t="s">
        <v>7361</v>
      </c>
      <c r="AG1516" s="0" t="s">
        <v>230</v>
      </c>
    </row>
    <row r="1517" customFormat="false" ht="15" hidden="false" customHeight="false" outlineLevel="0" collapsed="false">
      <c r="A1517" s="0" t="s">
        <v>7336</v>
      </c>
      <c r="B1517" s="0" t="s">
        <v>5531</v>
      </c>
      <c r="C1517" s="0" t="s">
        <v>5532</v>
      </c>
      <c r="D1517" s="0" t="s">
        <v>1184</v>
      </c>
      <c r="E1517" s="0" t="s">
        <v>5533</v>
      </c>
      <c r="F1517" s="0" t="s">
        <v>5534</v>
      </c>
      <c r="G1517" s="0" t="s">
        <v>126</v>
      </c>
      <c r="H1517" s="0" t="s">
        <v>8300</v>
      </c>
      <c r="I1517" s="0" t="s">
        <v>7338</v>
      </c>
      <c r="J1517" s="0" t="s">
        <v>1602</v>
      </c>
      <c r="K1517" s="0" t="s">
        <v>7339</v>
      </c>
      <c r="L1517" s="0" t="s">
        <v>7340</v>
      </c>
      <c r="M1517" s="0" t="s">
        <v>7661</v>
      </c>
      <c r="N1517" s="0" t="s">
        <v>7342</v>
      </c>
      <c r="P1517" s="0" t="s">
        <v>229</v>
      </c>
      <c r="Q1517" s="0" t="s">
        <v>7354</v>
      </c>
      <c r="S1517" s="0" t="s">
        <v>7344</v>
      </c>
      <c r="T1517" s="0" t="s">
        <v>58</v>
      </c>
      <c r="V1517" s="0" t="s">
        <v>55</v>
      </c>
      <c r="W1517" s="0" t="s">
        <v>55</v>
      </c>
      <c r="X1517" s="0" t="s">
        <v>7355</v>
      </c>
      <c r="Z1517" s="0" t="s">
        <v>7493</v>
      </c>
      <c r="AB1517" s="0" t="s">
        <v>344</v>
      </c>
      <c r="AC1517" s="0" t="s">
        <v>7349</v>
      </c>
      <c r="AE1517" s="0" t="s">
        <v>7826</v>
      </c>
      <c r="AF1517" s="0" t="s">
        <v>7374</v>
      </c>
      <c r="AG1517" s="0" t="s">
        <v>230</v>
      </c>
    </row>
    <row r="1518" customFormat="false" ht="15" hidden="false" customHeight="false" outlineLevel="0" collapsed="false">
      <c r="A1518" s="0" t="s">
        <v>7336</v>
      </c>
      <c r="B1518" s="0" t="s">
        <v>5535</v>
      </c>
      <c r="C1518" s="0" t="s">
        <v>5536</v>
      </c>
      <c r="D1518" s="0" t="s">
        <v>1184</v>
      </c>
      <c r="E1518" s="0" t="s">
        <v>5537</v>
      </c>
      <c r="F1518" s="0" t="s">
        <v>5538</v>
      </c>
      <c r="G1518" s="0" t="s">
        <v>126</v>
      </c>
      <c r="H1518" s="0" t="s">
        <v>8301</v>
      </c>
      <c r="I1518" s="0" t="s">
        <v>7338</v>
      </c>
      <c r="J1518" s="0" t="s">
        <v>1602</v>
      </c>
      <c r="K1518" s="0" t="s">
        <v>7339</v>
      </c>
      <c r="L1518" s="0" t="s">
        <v>7340</v>
      </c>
      <c r="M1518" s="0" t="s">
        <v>7661</v>
      </c>
      <c r="N1518" s="0" t="s">
        <v>7342</v>
      </c>
      <c r="P1518" s="0" t="s">
        <v>229</v>
      </c>
      <c r="Q1518" s="0" t="s">
        <v>7354</v>
      </c>
      <c r="S1518" s="0" t="s">
        <v>7344</v>
      </c>
      <c r="T1518" s="0" t="s">
        <v>58</v>
      </c>
      <c r="V1518" s="0" t="s">
        <v>55</v>
      </c>
      <c r="W1518" s="0" t="s">
        <v>55</v>
      </c>
      <c r="X1518" s="0" t="s">
        <v>7355</v>
      </c>
      <c r="Z1518" s="0" t="s">
        <v>7493</v>
      </c>
      <c r="AB1518" s="0" t="s">
        <v>344</v>
      </c>
      <c r="AC1518" s="0" t="s">
        <v>7349</v>
      </c>
      <c r="AE1518" s="0" t="s">
        <v>7826</v>
      </c>
      <c r="AF1518" s="0" t="s">
        <v>7374</v>
      </c>
      <c r="AG1518" s="0" t="s">
        <v>230</v>
      </c>
    </row>
    <row r="1519" customFormat="false" ht="15" hidden="false" customHeight="false" outlineLevel="0" collapsed="false">
      <c r="A1519" s="0" t="s">
        <v>7336</v>
      </c>
      <c r="B1519" s="0" t="s">
        <v>5539</v>
      </c>
      <c r="C1519" s="0" t="s">
        <v>5540</v>
      </c>
      <c r="D1519" s="0" t="s">
        <v>1184</v>
      </c>
      <c r="E1519" s="0" t="s">
        <v>5541</v>
      </c>
      <c r="F1519" s="0" t="s">
        <v>5542</v>
      </c>
      <c r="G1519" s="0" t="s">
        <v>126</v>
      </c>
      <c r="H1519" s="0" t="s">
        <v>8302</v>
      </c>
      <c r="I1519" s="0" t="s">
        <v>7338</v>
      </c>
      <c r="J1519" s="0" t="s">
        <v>1602</v>
      </c>
      <c r="K1519" s="0" t="s">
        <v>7339</v>
      </c>
      <c r="L1519" s="0" t="s">
        <v>7340</v>
      </c>
      <c r="M1519" s="0" t="s">
        <v>7661</v>
      </c>
      <c r="N1519" s="0" t="s">
        <v>7342</v>
      </c>
      <c r="P1519" s="0" t="s">
        <v>229</v>
      </c>
      <c r="Q1519" s="0" t="s">
        <v>7354</v>
      </c>
      <c r="S1519" s="0" t="s">
        <v>7344</v>
      </c>
      <c r="T1519" s="0" t="s">
        <v>58</v>
      </c>
      <c r="V1519" s="0" t="s">
        <v>55</v>
      </c>
      <c r="W1519" s="0" t="s">
        <v>55</v>
      </c>
      <c r="X1519" s="0" t="s">
        <v>7355</v>
      </c>
      <c r="Z1519" s="0" t="s">
        <v>7493</v>
      </c>
      <c r="AB1519" s="0" t="s">
        <v>344</v>
      </c>
      <c r="AC1519" s="0" t="s">
        <v>7349</v>
      </c>
      <c r="AE1519" s="0" t="s">
        <v>7826</v>
      </c>
      <c r="AF1519" s="0" t="s">
        <v>7374</v>
      </c>
      <c r="AG1519" s="0" t="s">
        <v>230</v>
      </c>
    </row>
    <row r="1520" customFormat="false" ht="15" hidden="false" customHeight="false" outlineLevel="0" collapsed="false">
      <c r="A1520" s="0" t="s">
        <v>7336</v>
      </c>
      <c r="B1520" s="0" t="s">
        <v>5543</v>
      </c>
      <c r="C1520" s="0" t="s">
        <v>5544</v>
      </c>
      <c r="D1520" s="0" t="s">
        <v>1184</v>
      </c>
      <c r="E1520" s="0" t="s">
        <v>5545</v>
      </c>
      <c r="F1520" s="0" t="s">
        <v>5546</v>
      </c>
      <c r="G1520" s="0" t="s">
        <v>126</v>
      </c>
      <c r="H1520" s="0" t="s">
        <v>8303</v>
      </c>
      <c r="I1520" s="0" t="s">
        <v>7338</v>
      </c>
      <c r="J1520" s="0" t="s">
        <v>1602</v>
      </c>
      <c r="K1520" s="0" t="s">
        <v>7339</v>
      </c>
      <c r="L1520" s="0" t="s">
        <v>7340</v>
      </c>
      <c r="M1520" s="0" t="s">
        <v>7661</v>
      </c>
      <c r="N1520" s="0" t="s">
        <v>7342</v>
      </c>
      <c r="P1520" s="0" t="s">
        <v>229</v>
      </c>
      <c r="Q1520" s="0" t="s">
        <v>7354</v>
      </c>
      <c r="S1520" s="0" t="s">
        <v>7344</v>
      </c>
      <c r="T1520" s="0" t="s">
        <v>58</v>
      </c>
      <c r="V1520" s="0" t="s">
        <v>55</v>
      </c>
      <c r="W1520" s="0" t="s">
        <v>55</v>
      </c>
      <c r="X1520" s="0" t="s">
        <v>7355</v>
      </c>
      <c r="Z1520" s="0" t="s">
        <v>7493</v>
      </c>
      <c r="AB1520" s="0" t="s">
        <v>344</v>
      </c>
      <c r="AC1520" s="0" t="s">
        <v>7349</v>
      </c>
      <c r="AE1520" s="0" t="s">
        <v>7826</v>
      </c>
      <c r="AF1520" s="0" t="s">
        <v>7374</v>
      </c>
      <c r="AG1520" s="0" t="s">
        <v>230</v>
      </c>
    </row>
    <row r="1521" customFormat="false" ht="15" hidden="false" customHeight="false" outlineLevel="0" collapsed="false">
      <c r="A1521" s="0" t="s">
        <v>7336</v>
      </c>
      <c r="B1521" s="0" t="s">
        <v>5547</v>
      </c>
      <c r="C1521" s="0" t="s">
        <v>5548</v>
      </c>
      <c r="D1521" s="0" t="s">
        <v>1184</v>
      </c>
      <c r="E1521" s="0" t="s">
        <v>5549</v>
      </c>
      <c r="F1521" s="0" t="s">
        <v>5550</v>
      </c>
      <c r="G1521" s="0" t="s">
        <v>126</v>
      </c>
      <c r="H1521" s="0" t="s">
        <v>8304</v>
      </c>
      <c r="I1521" s="0" t="s">
        <v>7338</v>
      </c>
      <c r="J1521" s="0" t="s">
        <v>1602</v>
      </c>
      <c r="K1521" s="0" t="s">
        <v>7339</v>
      </c>
      <c r="L1521" s="0" t="s">
        <v>7340</v>
      </c>
      <c r="M1521" s="0" t="s">
        <v>7661</v>
      </c>
      <c r="N1521" s="0" t="s">
        <v>7342</v>
      </c>
      <c r="P1521" s="0" t="s">
        <v>229</v>
      </c>
      <c r="Q1521" s="0" t="s">
        <v>7354</v>
      </c>
      <c r="S1521" s="0" t="s">
        <v>7344</v>
      </c>
      <c r="T1521" s="0" t="s">
        <v>58</v>
      </c>
      <c r="V1521" s="0" t="s">
        <v>55</v>
      </c>
      <c r="W1521" s="0" t="s">
        <v>55</v>
      </c>
      <c r="X1521" s="0" t="s">
        <v>7355</v>
      </c>
      <c r="Z1521" s="0" t="s">
        <v>7493</v>
      </c>
      <c r="AB1521" s="0" t="s">
        <v>344</v>
      </c>
      <c r="AC1521" s="0" t="s">
        <v>7349</v>
      </c>
      <c r="AE1521" s="0" t="s">
        <v>7826</v>
      </c>
      <c r="AF1521" s="0" t="s">
        <v>7374</v>
      </c>
      <c r="AG1521" s="0" t="s">
        <v>230</v>
      </c>
    </row>
    <row r="1522" customFormat="false" ht="15" hidden="false" customHeight="false" outlineLevel="0" collapsed="false">
      <c r="A1522" s="0" t="s">
        <v>7336</v>
      </c>
      <c r="B1522" s="0" t="s">
        <v>5551</v>
      </c>
      <c r="C1522" s="0" t="s">
        <v>5552</v>
      </c>
      <c r="D1522" s="0" t="s">
        <v>1184</v>
      </c>
      <c r="E1522" s="0" t="s">
        <v>5553</v>
      </c>
      <c r="F1522" s="0" t="s">
        <v>5554</v>
      </c>
      <c r="G1522" s="0" t="s">
        <v>126</v>
      </c>
      <c r="H1522" s="0" t="s">
        <v>8305</v>
      </c>
      <c r="I1522" s="0" t="s">
        <v>7338</v>
      </c>
      <c r="J1522" s="0" t="s">
        <v>1602</v>
      </c>
      <c r="K1522" s="0" t="s">
        <v>7339</v>
      </c>
      <c r="L1522" s="0" t="s">
        <v>7340</v>
      </c>
      <c r="M1522" s="0" t="s">
        <v>7661</v>
      </c>
      <c r="N1522" s="0" t="s">
        <v>7342</v>
      </c>
      <c r="P1522" s="0" t="s">
        <v>229</v>
      </c>
      <c r="Q1522" s="0" t="s">
        <v>7354</v>
      </c>
      <c r="S1522" s="0" t="s">
        <v>7344</v>
      </c>
      <c r="T1522" s="0" t="s">
        <v>58</v>
      </c>
      <c r="V1522" s="0" t="s">
        <v>55</v>
      </c>
      <c r="W1522" s="0" t="s">
        <v>55</v>
      </c>
      <c r="X1522" s="0" t="s">
        <v>7355</v>
      </c>
      <c r="Z1522" s="0" t="s">
        <v>7493</v>
      </c>
      <c r="AB1522" s="0" t="s">
        <v>344</v>
      </c>
      <c r="AC1522" s="0" t="s">
        <v>7349</v>
      </c>
      <c r="AE1522" s="0" t="s">
        <v>7826</v>
      </c>
      <c r="AF1522" s="0" t="s">
        <v>7374</v>
      </c>
      <c r="AG1522" s="0" t="s">
        <v>230</v>
      </c>
    </row>
    <row r="1523" customFormat="false" ht="15" hidden="false" customHeight="false" outlineLevel="0" collapsed="false">
      <c r="A1523" s="0" t="s">
        <v>7336</v>
      </c>
      <c r="B1523" s="0" t="s">
        <v>5555</v>
      </c>
      <c r="C1523" s="0" t="s">
        <v>5556</v>
      </c>
      <c r="D1523" s="0" t="s">
        <v>1184</v>
      </c>
      <c r="E1523" s="0" t="s">
        <v>5557</v>
      </c>
      <c r="F1523" s="0" t="s">
        <v>5558</v>
      </c>
      <c r="G1523" s="0" t="s">
        <v>126</v>
      </c>
      <c r="H1523" s="0" t="s">
        <v>8306</v>
      </c>
      <c r="I1523" s="0" t="s">
        <v>7338</v>
      </c>
      <c r="J1523" s="0" t="s">
        <v>1602</v>
      </c>
      <c r="K1523" s="0" t="s">
        <v>7339</v>
      </c>
      <c r="L1523" s="0" t="s">
        <v>7340</v>
      </c>
      <c r="M1523" s="0" t="s">
        <v>7661</v>
      </c>
      <c r="N1523" s="0" t="s">
        <v>7342</v>
      </c>
      <c r="P1523" s="0" t="s">
        <v>229</v>
      </c>
      <c r="Q1523" s="0" t="s">
        <v>7354</v>
      </c>
      <c r="S1523" s="0" t="s">
        <v>7344</v>
      </c>
      <c r="T1523" s="0" t="s">
        <v>58</v>
      </c>
      <c r="V1523" s="0" t="s">
        <v>55</v>
      </c>
      <c r="W1523" s="0" t="s">
        <v>55</v>
      </c>
      <c r="X1523" s="0" t="s">
        <v>7355</v>
      </c>
      <c r="Z1523" s="0" t="s">
        <v>7493</v>
      </c>
      <c r="AB1523" s="0" t="s">
        <v>344</v>
      </c>
      <c r="AC1523" s="0" t="s">
        <v>7349</v>
      </c>
      <c r="AE1523" s="0" t="s">
        <v>7826</v>
      </c>
      <c r="AF1523" s="0" t="s">
        <v>7374</v>
      </c>
      <c r="AG1523" s="0" t="s">
        <v>230</v>
      </c>
    </row>
    <row r="1524" customFormat="false" ht="15" hidden="false" customHeight="false" outlineLevel="0" collapsed="false">
      <c r="A1524" s="0" t="s">
        <v>7336</v>
      </c>
      <c r="B1524" s="0" t="s">
        <v>5559</v>
      </c>
      <c r="C1524" s="0" t="s">
        <v>5560</v>
      </c>
      <c r="D1524" s="0" t="s">
        <v>1184</v>
      </c>
      <c r="E1524" s="0" t="s">
        <v>5561</v>
      </c>
      <c r="F1524" s="0" t="s">
        <v>5562</v>
      </c>
      <c r="G1524" s="0" t="s">
        <v>126</v>
      </c>
      <c r="H1524" s="0" t="s">
        <v>8307</v>
      </c>
      <c r="I1524" s="0" t="s">
        <v>7338</v>
      </c>
      <c r="J1524" s="0" t="s">
        <v>1602</v>
      </c>
      <c r="K1524" s="0" t="s">
        <v>7339</v>
      </c>
      <c r="L1524" s="0" t="s">
        <v>7340</v>
      </c>
      <c r="M1524" s="0" t="s">
        <v>7661</v>
      </c>
      <c r="N1524" s="0" t="s">
        <v>7342</v>
      </c>
      <c r="P1524" s="0" t="s">
        <v>229</v>
      </c>
      <c r="Q1524" s="0" t="s">
        <v>7354</v>
      </c>
      <c r="S1524" s="0" t="s">
        <v>7344</v>
      </c>
      <c r="T1524" s="0" t="s">
        <v>58</v>
      </c>
      <c r="V1524" s="0" t="s">
        <v>55</v>
      </c>
      <c r="W1524" s="0" t="s">
        <v>55</v>
      </c>
      <c r="X1524" s="0" t="s">
        <v>7355</v>
      </c>
      <c r="Z1524" s="0" t="s">
        <v>7493</v>
      </c>
      <c r="AB1524" s="0" t="s">
        <v>344</v>
      </c>
      <c r="AC1524" s="0" t="s">
        <v>7349</v>
      </c>
      <c r="AE1524" s="0" t="s">
        <v>7826</v>
      </c>
      <c r="AF1524" s="0" t="s">
        <v>7374</v>
      </c>
      <c r="AG1524" s="0" t="s">
        <v>230</v>
      </c>
    </row>
    <row r="1525" customFormat="false" ht="15" hidden="false" customHeight="false" outlineLevel="0" collapsed="false">
      <c r="A1525" s="0" t="s">
        <v>7336</v>
      </c>
      <c r="B1525" s="0" t="s">
        <v>5563</v>
      </c>
      <c r="C1525" s="0" t="s">
        <v>5564</v>
      </c>
      <c r="D1525" s="0" t="s">
        <v>1184</v>
      </c>
      <c r="E1525" s="0" t="s">
        <v>5565</v>
      </c>
      <c r="F1525" s="0" t="s">
        <v>5566</v>
      </c>
      <c r="G1525" s="0" t="s">
        <v>126</v>
      </c>
      <c r="H1525" s="0" t="s">
        <v>8308</v>
      </c>
      <c r="I1525" s="0" t="s">
        <v>7338</v>
      </c>
      <c r="J1525" s="0" t="s">
        <v>1602</v>
      </c>
      <c r="K1525" s="0" t="s">
        <v>7339</v>
      </c>
      <c r="L1525" s="0" t="s">
        <v>7340</v>
      </c>
      <c r="M1525" s="0" t="s">
        <v>7661</v>
      </c>
      <c r="N1525" s="0" t="s">
        <v>7342</v>
      </c>
      <c r="P1525" s="0" t="s">
        <v>229</v>
      </c>
      <c r="Q1525" s="0" t="s">
        <v>7354</v>
      </c>
      <c r="S1525" s="0" t="s">
        <v>7344</v>
      </c>
      <c r="T1525" s="0" t="s">
        <v>58</v>
      </c>
      <c r="V1525" s="0" t="s">
        <v>55</v>
      </c>
      <c r="W1525" s="0" t="s">
        <v>55</v>
      </c>
      <c r="X1525" s="0" t="s">
        <v>7355</v>
      </c>
      <c r="Z1525" s="0" t="s">
        <v>7493</v>
      </c>
      <c r="AB1525" s="0" t="s">
        <v>344</v>
      </c>
      <c r="AC1525" s="0" t="s">
        <v>7349</v>
      </c>
      <c r="AE1525" s="0" t="s">
        <v>7826</v>
      </c>
      <c r="AF1525" s="0" t="s">
        <v>7374</v>
      </c>
      <c r="AG1525" s="0" t="s">
        <v>230</v>
      </c>
    </row>
    <row r="1526" customFormat="false" ht="15" hidden="false" customHeight="false" outlineLevel="0" collapsed="false">
      <c r="A1526" s="0" t="s">
        <v>7336</v>
      </c>
      <c r="B1526" s="0" t="s">
        <v>5567</v>
      </c>
      <c r="C1526" s="0" t="s">
        <v>5568</v>
      </c>
      <c r="D1526" s="0" t="s">
        <v>1184</v>
      </c>
      <c r="E1526" s="0" t="s">
        <v>5569</v>
      </c>
      <c r="F1526" s="0" t="s">
        <v>5570</v>
      </c>
      <c r="G1526" s="0" t="s">
        <v>126</v>
      </c>
      <c r="H1526" s="0" t="s">
        <v>8309</v>
      </c>
      <c r="I1526" s="0" t="s">
        <v>7338</v>
      </c>
      <c r="J1526" s="0" t="s">
        <v>1602</v>
      </c>
      <c r="K1526" s="0" t="s">
        <v>7339</v>
      </c>
      <c r="L1526" s="0" t="s">
        <v>7340</v>
      </c>
      <c r="M1526" s="0" t="s">
        <v>7661</v>
      </c>
      <c r="N1526" s="0" t="s">
        <v>7342</v>
      </c>
      <c r="P1526" s="0" t="s">
        <v>229</v>
      </c>
      <c r="Q1526" s="0" t="s">
        <v>7354</v>
      </c>
      <c r="S1526" s="0" t="s">
        <v>7344</v>
      </c>
      <c r="T1526" s="0" t="s">
        <v>58</v>
      </c>
      <c r="V1526" s="0" t="s">
        <v>55</v>
      </c>
      <c r="W1526" s="0" t="s">
        <v>55</v>
      </c>
      <c r="X1526" s="0" t="s">
        <v>7355</v>
      </c>
      <c r="Z1526" s="0" t="s">
        <v>7493</v>
      </c>
      <c r="AB1526" s="0" t="s">
        <v>344</v>
      </c>
      <c r="AC1526" s="0" t="s">
        <v>7349</v>
      </c>
      <c r="AE1526" s="0" t="s">
        <v>7826</v>
      </c>
      <c r="AF1526" s="0" t="s">
        <v>7374</v>
      </c>
      <c r="AG1526" s="0" t="s">
        <v>230</v>
      </c>
    </row>
    <row r="1527" customFormat="false" ht="15" hidden="false" customHeight="false" outlineLevel="0" collapsed="false">
      <c r="A1527" s="0" t="s">
        <v>7336</v>
      </c>
      <c r="B1527" s="0" t="s">
        <v>5571</v>
      </c>
      <c r="C1527" s="0" t="s">
        <v>5572</v>
      </c>
      <c r="D1527" s="0" t="s">
        <v>1184</v>
      </c>
      <c r="E1527" s="0" t="s">
        <v>5573</v>
      </c>
      <c r="F1527" s="0" t="s">
        <v>5574</v>
      </c>
      <c r="G1527" s="0" t="s">
        <v>122</v>
      </c>
      <c r="H1527" s="0" t="s">
        <v>8310</v>
      </c>
      <c r="I1527" s="0" t="s">
        <v>7338</v>
      </c>
      <c r="J1527" s="0" t="s">
        <v>1602</v>
      </c>
      <c r="K1527" s="0" t="s">
        <v>7339</v>
      </c>
      <c r="L1527" s="0" t="s">
        <v>7340</v>
      </c>
      <c r="M1527" s="0" t="s">
        <v>7661</v>
      </c>
      <c r="N1527" s="0" t="s">
        <v>7342</v>
      </c>
      <c r="P1527" s="0" t="s">
        <v>229</v>
      </c>
      <c r="Q1527" s="0" t="s">
        <v>7354</v>
      </c>
      <c r="R1527" s="0" t="s">
        <v>7435</v>
      </c>
      <c r="S1527" s="0" t="s">
        <v>7344</v>
      </c>
      <c r="T1527" s="0" t="s">
        <v>228</v>
      </c>
      <c r="V1527" s="0" t="s">
        <v>61</v>
      </c>
      <c r="W1527" s="0" t="s">
        <v>63</v>
      </c>
      <c r="X1527" s="0" t="s">
        <v>7355</v>
      </c>
      <c r="Y1527" s="0" t="s">
        <v>7459</v>
      </c>
      <c r="Z1527" s="0" t="s">
        <v>8062</v>
      </c>
      <c r="AA1527" s="0" t="s">
        <v>7592</v>
      </c>
      <c r="AB1527" s="0" t="s">
        <v>344</v>
      </c>
      <c r="AC1527" s="0" t="s">
        <v>7349</v>
      </c>
      <c r="AD1527" s="0" t="s">
        <v>7715</v>
      </c>
      <c r="AE1527" s="0" t="s">
        <v>8085</v>
      </c>
      <c r="AF1527" s="0" t="s">
        <v>7374</v>
      </c>
      <c r="AG1527" s="0" t="s">
        <v>230</v>
      </c>
    </row>
    <row r="1528" customFormat="false" ht="15" hidden="false" customHeight="false" outlineLevel="0" collapsed="false">
      <c r="A1528" s="0" t="s">
        <v>7336</v>
      </c>
      <c r="B1528" s="0" t="s">
        <v>5575</v>
      </c>
      <c r="C1528" s="0" t="s">
        <v>5576</v>
      </c>
      <c r="D1528" s="0" t="s">
        <v>1184</v>
      </c>
      <c r="E1528" s="0" t="s">
        <v>5577</v>
      </c>
      <c r="F1528" s="0" t="s">
        <v>5574</v>
      </c>
      <c r="G1528" s="0" t="s">
        <v>122</v>
      </c>
      <c r="H1528" s="0" t="s">
        <v>8310</v>
      </c>
      <c r="I1528" s="0" t="s">
        <v>7338</v>
      </c>
      <c r="J1528" s="0" t="s">
        <v>1602</v>
      </c>
      <c r="K1528" s="0" t="s">
        <v>7339</v>
      </c>
      <c r="L1528" s="0" t="s">
        <v>7340</v>
      </c>
      <c r="M1528" s="0" t="s">
        <v>7661</v>
      </c>
      <c r="N1528" s="0" t="s">
        <v>7342</v>
      </c>
      <c r="P1528" s="0" t="s">
        <v>229</v>
      </c>
      <c r="Q1528" s="0" t="s">
        <v>7354</v>
      </c>
      <c r="R1528" s="0" t="s">
        <v>7435</v>
      </c>
      <c r="S1528" s="0" t="s">
        <v>7344</v>
      </c>
      <c r="T1528" s="0" t="s">
        <v>228</v>
      </c>
      <c r="V1528" s="0" t="s">
        <v>61</v>
      </c>
      <c r="W1528" s="0" t="s">
        <v>63</v>
      </c>
      <c r="X1528" s="0" t="s">
        <v>7355</v>
      </c>
      <c r="Y1528" s="0" t="s">
        <v>7459</v>
      </c>
      <c r="Z1528" s="0" t="s">
        <v>8083</v>
      </c>
      <c r="AA1528" s="0" t="s">
        <v>7592</v>
      </c>
      <c r="AB1528" s="0" t="s">
        <v>344</v>
      </c>
      <c r="AC1528" s="0" t="s">
        <v>7349</v>
      </c>
      <c r="AD1528" s="0" t="s">
        <v>8311</v>
      </c>
      <c r="AE1528" s="0" t="s">
        <v>7462</v>
      </c>
      <c r="AF1528" s="0" t="s">
        <v>7374</v>
      </c>
      <c r="AG1528" s="0" t="s">
        <v>230</v>
      </c>
    </row>
    <row r="1529" customFormat="false" ht="15" hidden="false" customHeight="false" outlineLevel="0" collapsed="false">
      <c r="A1529" s="0" t="s">
        <v>7336</v>
      </c>
      <c r="B1529" s="0" t="s">
        <v>5578</v>
      </c>
      <c r="C1529" s="0" t="s">
        <v>5579</v>
      </c>
      <c r="D1529" s="0" t="s">
        <v>1184</v>
      </c>
      <c r="E1529" s="0" t="s">
        <v>5580</v>
      </c>
      <c r="F1529" s="0" t="s">
        <v>5581</v>
      </c>
      <c r="G1529" s="0" t="s">
        <v>122</v>
      </c>
      <c r="H1529" s="0" t="s">
        <v>8312</v>
      </c>
      <c r="I1529" s="0" t="s">
        <v>7338</v>
      </c>
      <c r="J1529" s="0" t="s">
        <v>1602</v>
      </c>
      <c r="K1529" s="0" t="s">
        <v>7339</v>
      </c>
      <c r="L1529" s="0" t="s">
        <v>7340</v>
      </c>
      <c r="M1529" s="0" t="s">
        <v>7661</v>
      </c>
      <c r="N1529" s="0" t="s">
        <v>7342</v>
      </c>
      <c r="P1529" s="0" t="s">
        <v>229</v>
      </c>
      <c r="Q1529" s="0" t="s">
        <v>7354</v>
      </c>
      <c r="R1529" s="0" t="s">
        <v>7435</v>
      </c>
      <c r="S1529" s="0" t="s">
        <v>7344</v>
      </c>
      <c r="T1529" s="0" t="s">
        <v>228</v>
      </c>
      <c r="V1529" s="0" t="s">
        <v>61</v>
      </c>
      <c r="W1529" s="0" t="s">
        <v>63</v>
      </c>
      <c r="X1529" s="0" t="s">
        <v>7355</v>
      </c>
      <c r="Y1529" s="0" t="s">
        <v>7459</v>
      </c>
      <c r="Z1529" s="0" t="s">
        <v>8083</v>
      </c>
      <c r="AA1529" s="0" t="s">
        <v>7592</v>
      </c>
      <c r="AB1529" s="0" t="s">
        <v>344</v>
      </c>
      <c r="AC1529" s="0" t="s">
        <v>7349</v>
      </c>
      <c r="AD1529" s="0" t="s">
        <v>8313</v>
      </c>
      <c r="AE1529" s="0" t="s">
        <v>7462</v>
      </c>
      <c r="AF1529" s="0" t="s">
        <v>7374</v>
      </c>
      <c r="AG1529" s="0" t="s">
        <v>230</v>
      </c>
    </row>
    <row r="1530" customFormat="false" ht="15" hidden="false" customHeight="false" outlineLevel="0" collapsed="false">
      <c r="A1530" s="0" t="s">
        <v>7336</v>
      </c>
      <c r="B1530" s="0" t="s">
        <v>5582</v>
      </c>
      <c r="C1530" s="0" t="s">
        <v>5583</v>
      </c>
      <c r="D1530" s="0" t="s">
        <v>1184</v>
      </c>
      <c r="E1530" s="0" t="s">
        <v>5584</v>
      </c>
      <c r="F1530" s="0" t="s">
        <v>5581</v>
      </c>
      <c r="G1530" s="0" t="s">
        <v>122</v>
      </c>
      <c r="H1530" s="0" t="s">
        <v>8312</v>
      </c>
      <c r="I1530" s="0" t="s">
        <v>7338</v>
      </c>
      <c r="J1530" s="0" t="s">
        <v>1602</v>
      </c>
      <c r="K1530" s="0" t="s">
        <v>7339</v>
      </c>
      <c r="L1530" s="0" t="s">
        <v>7340</v>
      </c>
      <c r="M1530" s="0" t="s">
        <v>7661</v>
      </c>
      <c r="N1530" s="0" t="s">
        <v>7342</v>
      </c>
      <c r="P1530" s="0" t="s">
        <v>229</v>
      </c>
      <c r="Q1530" s="0" t="s">
        <v>7354</v>
      </c>
      <c r="R1530" s="0" t="s">
        <v>7435</v>
      </c>
      <c r="S1530" s="0" t="s">
        <v>7344</v>
      </c>
      <c r="T1530" s="0" t="s">
        <v>228</v>
      </c>
      <c r="V1530" s="0" t="s">
        <v>61</v>
      </c>
      <c r="W1530" s="0" t="s">
        <v>63</v>
      </c>
      <c r="X1530" s="0" t="s">
        <v>7355</v>
      </c>
      <c r="Y1530" s="0" t="s">
        <v>7436</v>
      </c>
      <c r="Z1530" s="0" t="s">
        <v>8088</v>
      </c>
      <c r="AA1530" s="0" t="s">
        <v>8089</v>
      </c>
      <c r="AB1530" s="0" t="s">
        <v>4221</v>
      </c>
      <c r="AC1530" s="0" t="s">
        <v>7349</v>
      </c>
      <c r="AD1530" s="0" t="s">
        <v>8090</v>
      </c>
      <c r="AE1530" s="0" t="s">
        <v>8091</v>
      </c>
      <c r="AF1530" s="0" t="s">
        <v>7374</v>
      </c>
      <c r="AG1530" s="0" t="s">
        <v>230</v>
      </c>
    </row>
    <row r="1531" customFormat="false" ht="15" hidden="false" customHeight="false" outlineLevel="0" collapsed="false">
      <c r="A1531" s="0" t="s">
        <v>7336</v>
      </c>
      <c r="B1531" s="0" t="s">
        <v>5585</v>
      </c>
      <c r="C1531" s="0" t="s">
        <v>5586</v>
      </c>
      <c r="D1531" s="0" t="s">
        <v>1184</v>
      </c>
      <c r="E1531" s="0" t="s">
        <v>5587</v>
      </c>
      <c r="F1531" s="0" t="s">
        <v>5581</v>
      </c>
      <c r="G1531" s="0" t="s">
        <v>122</v>
      </c>
      <c r="H1531" s="0" t="s">
        <v>8312</v>
      </c>
      <c r="I1531" s="0" t="s">
        <v>7338</v>
      </c>
      <c r="J1531" s="0" t="s">
        <v>1602</v>
      </c>
      <c r="K1531" s="0" t="s">
        <v>7339</v>
      </c>
      <c r="L1531" s="0" t="s">
        <v>7340</v>
      </c>
      <c r="M1531" s="0" t="s">
        <v>7661</v>
      </c>
      <c r="N1531" s="0" t="s">
        <v>7342</v>
      </c>
      <c r="P1531" s="0" t="s">
        <v>229</v>
      </c>
      <c r="Q1531" s="0" t="s">
        <v>7354</v>
      </c>
      <c r="R1531" s="0" t="s">
        <v>7435</v>
      </c>
      <c r="S1531" s="0" t="s">
        <v>7344</v>
      </c>
      <c r="T1531" s="0" t="s">
        <v>228</v>
      </c>
      <c r="V1531" s="0" t="s">
        <v>61</v>
      </c>
      <c r="W1531" s="0" t="s">
        <v>63</v>
      </c>
      <c r="X1531" s="0" t="s">
        <v>7355</v>
      </c>
      <c r="Y1531" s="0" t="s">
        <v>7436</v>
      </c>
      <c r="Z1531" s="0" t="s">
        <v>8088</v>
      </c>
      <c r="AA1531" s="0" t="s">
        <v>8089</v>
      </c>
      <c r="AB1531" s="0" t="s">
        <v>4221</v>
      </c>
      <c r="AC1531" s="0" t="s">
        <v>7349</v>
      </c>
      <c r="AD1531" s="0" t="s">
        <v>8090</v>
      </c>
      <c r="AE1531" s="0" t="s">
        <v>8091</v>
      </c>
      <c r="AF1531" s="0" t="s">
        <v>7374</v>
      </c>
      <c r="AG1531" s="0" t="s">
        <v>230</v>
      </c>
    </row>
    <row r="1532" customFormat="false" ht="15" hidden="false" customHeight="false" outlineLevel="0" collapsed="false">
      <c r="A1532" s="0" t="s">
        <v>7336</v>
      </c>
      <c r="B1532" s="0" t="s">
        <v>5588</v>
      </c>
      <c r="C1532" s="0" t="s">
        <v>5589</v>
      </c>
      <c r="D1532" s="0" t="s">
        <v>1184</v>
      </c>
      <c r="E1532" s="0" t="s">
        <v>5590</v>
      </c>
      <c r="F1532" s="0" t="s">
        <v>5581</v>
      </c>
      <c r="G1532" s="0" t="s">
        <v>122</v>
      </c>
      <c r="H1532" s="0" t="s">
        <v>8312</v>
      </c>
      <c r="I1532" s="0" t="s">
        <v>7338</v>
      </c>
      <c r="J1532" s="0" t="s">
        <v>1602</v>
      </c>
      <c r="K1532" s="0" t="s">
        <v>7339</v>
      </c>
      <c r="L1532" s="0" t="s">
        <v>7340</v>
      </c>
      <c r="M1532" s="0" t="s">
        <v>7661</v>
      </c>
      <c r="N1532" s="0" t="s">
        <v>7342</v>
      </c>
      <c r="P1532" s="0" t="s">
        <v>229</v>
      </c>
      <c r="Q1532" s="0" t="s">
        <v>7354</v>
      </c>
      <c r="R1532" s="0" t="s">
        <v>7435</v>
      </c>
      <c r="S1532" s="0" t="s">
        <v>7344</v>
      </c>
      <c r="T1532" s="0" t="s">
        <v>228</v>
      </c>
      <c r="V1532" s="0" t="s">
        <v>61</v>
      </c>
      <c r="W1532" s="0" t="s">
        <v>63</v>
      </c>
      <c r="X1532" s="0" t="s">
        <v>7355</v>
      </c>
      <c r="Y1532" s="0" t="s">
        <v>7459</v>
      </c>
      <c r="Z1532" s="0" t="s">
        <v>8083</v>
      </c>
      <c r="AA1532" s="0" t="s">
        <v>7592</v>
      </c>
      <c r="AB1532" s="0" t="s">
        <v>344</v>
      </c>
      <c r="AC1532" s="0" t="s">
        <v>7349</v>
      </c>
      <c r="AD1532" s="0" t="s">
        <v>8313</v>
      </c>
      <c r="AE1532" s="0" t="s">
        <v>7462</v>
      </c>
      <c r="AF1532" s="0" t="s">
        <v>7374</v>
      </c>
      <c r="AG1532" s="0" t="s">
        <v>230</v>
      </c>
    </row>
    <row r="1533" customFormat="false" ht="15" hidden="false" customHeight="false" outlineLevel="0" collapsed="false">
      <c r="A1533" s="0" t="s">
        <v>7336</v>
      </c>
      <c r="B1533" s="0" t="s">
        <v>5591</v>
      </c>
      <c r="C1533" s="0" t="s">
        <v>5592</v>
      </c>
      <c r="D1533" s="0" t="s">
        <v>1184</v>
      </c>
      <c r="E1533" s="0" t="s">
        <v>5593</v>
      </c>
      <c r="F1533" s="0" t="s">
        <v>5594</v>
      </c>
      <c r="G1533" s="0" t="s">
        <v>122</v>
      </c>
      <c r="H1533" s="0" t="s">
        <v>8314</v>
      </c>
      <c r="I1533" s="0" t="s">
        <v>7338</v>
      </c>
      <c r="J1533" s="0" t="s">
        <v>1602</v>
      </c>
      <c r="K1533" s="0" t="s">
        <v>7339</v>
      </c>
      <c r="L1533" s="0" t="s">
        <v>7340</v>
      </c>
      <c r="M1533" s="0" t="s">
        <v>7661</v>
      </c>
      <c r="N1533" s="0" t="s">
        <v>7342</v>
      </c>
      <c r="P1533" s="0" t="s">
        <v>229</v>
      </c>
      <c r="Q1533" s="0" t="s">
        <v>7354</v>
      </c>
      <c r="R1533" s="0" t="s">
        <v>7435</v>
      </c>
      <c r="S1533" s="0" t="s">
        <v>7344</v>
      </c>
      <c r="T1533" s="0" t="s">
        <v>228</v>
      </c>
      <c r="V1533" s="0" t="s">
        <v>61</v>
      </c>
      <c r="W1533" s="0" t="s">
        <v>63</v>
      </c>
      <c r="X1533" s="0" t="s">
        <v>7355</v>
      </c>
      <c r="Y1533" s="0" t="s">
        <v>7459</v>
      </c>
      <c r="Z1533" s="0" t="s">
        <v>8083</v>
      </c>
      <c r="AA1533" s="0" t="s">
        <v>7592</v>
      </c>
      <c r="AB1533" s="0" t="s">
        <v>344</v>
      </c>
      <c r="AC1533" s="0" t="s">
        <v>7349</v>
      </c>
      <c r="AD1533" s="0" t="s">
        <v>8313</v>
      </c>
      <c r="AE1533" s="0" t="s">
        <v>7462</v>
      </c>
      <c r="AF1533" s="0" t="s">
        <v>7374</v>
      </c>
      <c r="AG1533" s="0" t="s">
        <v>230</v>
      </c>
    </row>
    <row r="1534" customFormat="false" ht="15" hidden="false" customHeight="false" outlineLevel="0" collapsed="false">
      <c r="A1534" s="0" t="s">
        <v>7336</v>
      </c>
      <c r="B1534" s="0" t="s">
        <v>5595</v>
      </c>
      <c r="C1534" s="0" t="s">
        <v>5596</v>
      </c>
      <c r="D1534" s="0" t="s">
        <v>1184</v>
      </c>
      <c r="E1534" s="0" t="s">
        <v>5597</v>
      </c>
      <c r="F1534" s="0" t="s">
        <v>5594</v>
      </c>
      <c r="G1534" s="0" t="s">
        <v>122</v>
      </c>
      <c r="H1534" s="0" t="s">
        <v>8314</v>
      </c>
      <c r="I1534" s="0" t="s">
        <v>7338</v>
      </c>
      <c r="J1534" s="0" t="s">
        <v>1602</v>
      </c>
      <c r="K1534" s="0" t="s">
        <v>7339</v>
      </c>
      <c r="L1534" s="0" t="s">
        <v>7340</v>
      </c>
      <c r="M1534" s="0" t="s">
        <v>7661</v>
      </c>
      <c r="N1534" s="0" t="s">
        <v>7342</v>
      </c>
      <c r="P1534" s="0" t="s">
        <v>229</v>
      </c>
      <c r="Q1534" s="0" t="s">
        <v>7354</v>
      </c>
      <c r="R1534" s="0" t="s">
        <v>7435</v>
      </c>
      <c r="S1534" s="0" t="s">
        <v>7344</v>
      </c>
      <c r="T1534" s="0" t="s">
        <v>228</v>
      </c>
      <c r="V1534" s="0" t="s">
        <v>61</v>
      </c>
      <c r="W1534" s="0" t="s">
        <v>63</v>
      </c>
      <c r="X1534" s="0" t="s">
        <v>7355</v>
      </c>
      <c r="Y1534" s="0" t="s">
        <v>7436</v>
      </c>
      <c r="Z1534" s="0" t="s">
        <v>8088</v>
      </c>
      <c r="AA1534" s="0" t="s">
        <v>8089</v>
      </c>
      <c r="AB1534" s="0" t="s">
        <v>4221</v>
      </c>
      <c r="AC1534" s="0" t="s">
        <v>7349</v>
      </c>
      <c r="AD1534" s="0" t="s">
        <v>8090</v>
      </c>
      <c r="AE1534" s="0" t="s">
        <v>8091</v>
      </c>
      <c r="AF1534" s="0" t="s">
        <v>7374</v>
      </c>
      <c r="AG1534" s="0" t="s">
        <v>230</v>
      </c>
    </row>
    <row r="1535" customFormat="false" ht="15" hidden="false" customHeight="false" outlineLevel="0" collapsed="false">
      <c r="A1535" s="0" t="s">
        <v>7336</v>
      </c>
      <c r="B1535" s="0" t="s">
        <v>5598</v>
      </c>
      <c r="C1535" s="0" t="s">
        <v>5599</v>
      </c>
      <c r="D1535" s="0" t="s">
        <v>1184</v>
      </c>
      <c r="E1535" s="0" t="s">
        <v>5600</v>
      </c>
      <c r="F1535" s="0" t="s">
        <v>5594</v>
      </c>
      <c r="G1535" s="0" t="s">
        <v>122</v>
      </c>
      <c r="H1535" s="0" t="s">
        <v>8314</v>
      </c>
      <c r="I1535" s="0" t="s">
        <v>7338</v>
      </c>
      <c r="J1535" s="0" t="s">
        <v>1602</v>
      </c>
      <c r="K1535" s="0" t="s">
        <v>7339</v>
      </c>
      <c r="L1535" s="0" t="s">
        <v>7340</v>
      </c>
      <c r="M1535" s="0" t="s">
        <v>7661</v>
      </c>
      <c r="N1535" s="0" t="s">
        <v>7342</v>
      </c>
      <c r="P1535" s="0" t="s">
        <v>229</v>
      </c>
      <c r="Q1535" s="0" t="s">
        <v>7354</v>
      </c>
      <c r="R1535" s="0" t="s">
        <v>7435</v>
      </c>
      <c r="S1535" s="0" t="s">
        <v>7344</v>
      </c>
      <c r="T1535" s="0" t="s">
        <v>228</v>
      </c>
      <c r="V1535" s="0" t="s">
        <v>61</v>
      </c>
      <c r="W1535" s="0" t="s">
        <v>63</v>
      </c>
      <c r="X1535" s="0" t="s">
        <v>7355</v>
      </c>
      <c r="Y1535" s="0" t="s">
        <v>7436</v>
      </c>
      <c r="Z1535" s="0" t="s">
        <v>8088</v>
      </c>
      <c r="AA1535" s="0" t="s">
        <v>8089</v>
      </c>
      <c r="AB1535" s="0" t="s">
        <v>4221</v>
      </c>
      <c r="AC1535" s="0" t="s">
        <v>7349</v>
      </c>
      <c r="AD1535" s="0" t="s">
        <v>8090</v>
      </c>
      <c r="AE1535" s="0" t="s">
        <v>8091</v>
      </c>
      <c r="AF1535" s="0" t="s">
        <v>7374</v>
      </c>
      <c r="AG1535" s="0" t="s">
        <v>230</v>
      </c>
    </row>
    <row r="1536" customFormat="false" ht="15" hidden="false" customHeight="false" outlineLevel="0" collapsed="false">
      <c r="A1536" s="0" t="s">
        <v>7336</v>
      </c>
      <c r="B1536" s="0" t="s">
        <v>5601</v>
      </c>
      <c r="C1536" s="0" t="s">
        <v>5602</v>
      </c>
      <c r="D1536" s="0" t="s">
        <v>1184</v>
      </c>
      <c r="E1536" s="0" t="s">
        <v>5603</v>
      </c>
      <c r="F1536" s="0" t="s">
        <v>5604</v>
      </c>
      <c r="G1536" s="0" t="s">
        <v>122</v>
      </c>
      <c r="H1536" s="0" t="s">
        <v>8315</v>
      </c>
      <c r="I1536" s="0" t="s">
        <v>7338</v>
      </c>
      <c r="J1536" s="0" t="s">
        <v>1602</v>
      </c>
      <c r="K1536" s="0" t="s">
        <v>7339</v>
      </c>
      <c r="L1536" s="0" t="s">
        <v>7340</v>
      </c>
      <c r="M1536" s="0" t="s">
        <v>7661</v>
      </c>
      <c r="N1536" s="0" t="s">
        <v>7342</v>
      </c>
      <c r="P1536" s="0" t="s">
        <v>229</v>
      </c>
      <c r="Q1536" s="0" t="s">
        <v>7354</v>
      </c>
      <c r="R1536" s="0" t="s">
        <v>7435</v>
      </c>
      <c r="S1536" s="0" t="s">
        <v>7344</v>
      </c>
      <c r="T1536" s="0" t="s">
        <v>228</v>
      </c>
      <c r="V1536" s="0" t="s">
        <v>61</v>
      </c>
      <c r="W1536" s="0" t="s">
        <v>63</v>
      </c>
      <c r="X1536" s="0" t="s">
        <v>7355</v>
      </c>
      <c r="Y1536" s="0" t="s">
        <v>7459</v>
      </c>
      <c r="Z1536" s="0" t="s">
        <v>8062</v>
      </c>
      <c r="AA1536" s="0" t="s">
        <v>7592</v>
      </c>
      <c r="AB1536" s="0" t="s">
        <v>344</v>
      </c>
      <c r="AC1536" s="0" t="s">
        <v>7349</v>
      </c>
      <c r="AD1536" s="0" t="s">
        <v>7715</v>
      </c>
      <c r="AE1536" s="0" t="s">
        <v>7462</v>
      </c>
      <c r="AF1536" s="0" t="s">
        <v>7374</v>
      </c>
      <c r="AG1536" s="0" t="s">
        <v>230</v>
      </c>
    </row>
    <row r="1537" customFormat="false" ht="15" hidden="false" customHeight="false" outlineLevel="0" collapsed="false">
      <c r="A1537" s="0" t="s">
        <v>7336</v>
      </c>
      <c r="B1537" s="0" t="s">
        <v>5605</v>
      </c>
      <c r="C1537" s="0" t="s">
        <v>5606</v>
      </c>
      <c r="D1537" s="0" t="s">
        <v>1184</v>
      </c>
      <c r="E1537" s="0" t="s">
        <v>5607</v>
      </c>
      <c r="F1537" s="0" t="s">
        <v>5604</v>
      </c>
      <c r="G1537" s="0" t="s">
        <v>122</v>
      </c>
      <c r="H1537" s="0" t="s">
        <v>8315</v>
      </c>
      <c r="I1537" s="0" t="s">
        <v>7338</v>
      </c>
      <c r="J1537" s="0" t="s">
        <v>1602</v>
      </c>
      <c r="K1537" s="0" t="s">
        <v>7339</v>
      </c>
      <c r="L1537" s="0" t="s">
        <v>7340</v>
      </c>
      <c r="M1537" s="0" t="s">
        <v>7661</v>
      </c>
      <c r="N1537" s="0" t="s">
        <v>7342</v>
      </c>
      <c r="P1537" s="0" t="s">
        <v>229</v>
      </c>
      <c r="Q1537" s="0" t="s">
        <v>7354</v>
      </c>
      <c r="R1537" s="0" t="s">
        <v>7435</v>
      </c>
      <c r="S1537" s="0" t="s">
        <v>7344</v>
      </c>
      <c r="T1537" s="0" t="s">
        <v>228</v>
      </c>
      <c r="V1537" s="0" t="s">
        <v>61</v>
      </c>
      <c r="W1537" s="0" t="s">
        <v>63</v>
      </c>
      <c r="X1537" s="0" t="s">
        <v>7355</v>
      </c>
      <c r="Y1537" s="0" t="s">
        <v>7459</v>
      </c>
      <c r="Z1537" s="0" t="s">
        <v>8083</v>
      </c>
      <c r="AA1537" s="0" t="s">
        <v>7592</v>
      </c>
      <c r="AB1537" s="0" t="s">
        <v>344</v>
      </c>
      <c r="AC1537" s="0" t="s">
        <v>7349</v>
      </c>
      <c r="AD1537" s="0" t="s">
        <v>8311</v>
      </c>
      <c r="AE1537" s="0" t="s">
        <v>7462</v>
      </c>
      <c r="AF1537" s="0" t="s">
        <v>7374</v>
      </c>
      <c r="AG1537" s="0" t="s">
        <v>230</v>
      </c>
    </row>
    <row r="1538" customFormat="false" ht="15" hidden="false" customHeight="false" outlineLevel="0" collapsed="false">
      <c r="A1538" s="0" t="s">
        <v>7336</v>
      </c>
      <c r="B1538" s="0" t="s">
        <v>5608</v>
      </c>
      <c r="C1538" s="0" t="s">
        <v>5609</v>
      </c>
      <c r="D1538" s="0" t="s">
        <v>1184</v>
      </c>
      <c r="E1538" s="0" t="s">
        <v>5610</v>
      </c>
      <c r="F1538" s="0" t="s">
        <v>3241</v>
      </c>
      <c r="G1538" s="0" t="s">
        <v>122</v>
      </c>
      <c r="H1538" s="0" t="s">
        <v>7918</v>
      </c>
      <c r="I1538" s="0" t="s">
        <v>7338</v>
      </c>
      <c r="J1538" s="0" t="s">
        <v>1602</v>
      </c>
      <c r="K1538" s="0" t="s">
        <v>7339</v>
      </c>
      <c r="L1538" s="0" t="s">
        <v>7340</v>
      </c>
      <c r="M1538" s="0" t="s">
        <v>7661</v>
      </c>
      <c r="N1538" s="0" t="s">
        <v>7342</v>
      </c>
      <c r="P1538" s="0" t="s">
        <v>229</v>
      </c>
      <c r="Q1538" s="0" t="s">
        <v>7354</v>
      </c>
      <c r="R1538" s="0" t="s">
        <v>7435</v>
      </c>
      <c r="S1538" s="0" t="s">
        <v>7344</v>
      </c>
      <c r="T1538" s="0" t="s">
        <v>228</v>
      </c>
      <c r="V1538" s="0" t="s">
        <v>61</v>
      </c>
      <c r="W1538" s="0" t="s">
        <v>63</v>
      </c>
      <c r="X1538" s="0" t="s">
        <v>7355</v>
      </c>
      <c r="Y1538" s="0" t="s">
        <v>7459</v>
      </c>
      <c r="Z1538" s="0" t="s">
        <v>8083</v>
      </c>
      <c r="AA1538" s="0" t="s">
        <v>7592</v>
      </c>
      <c r="AB1538" s="0" t="s">
        <v>344</v>
      </c>
      <c r="AC1538" s="0" t="s">
        <v>7349</v>
      </c>
      <c r="AD1538" s="0" t="s">
        <v>8316</v>
      </c>
      <c r="AE1538" s="0" t="s">
        <v>7462</v>
      </c>
      <c r="AF1538" s="0" t="s">
        <v>7374</v>
      </c>
      <c r="AG1538" s="0" t="s">
        <v>230</v>
      </c>
    </row>
    <row r="1539" customFormat="false" ht="15" hidden="false" customHeight="false" outlineLevel="0" collapsed="false">
      <c r="A1539" s="0" t="s">
        <v>7336</v>
      </c>
      <c r="B1539" s="0" t="s">
        <v>5611</v>
      </c>
      <c r="C1539" s="0" t="s">
        <v>5612</v>
      </c>
      <c r="D1539" s="0" t="s">
        <v>1184</v>
      </c>
      <c r="E1539" s="0" t="s">
        <v>5613</v>
      </c>
      <c r="F1539" s="0" t="s">
        <v>5614</v>
      </c>
      <c r="G1539" s="0" t="s">
        <v>122</v>
      </c>
      <c r="H1539" s="0" t="s">
        <v>8317</v>
      </c>
      <c r="I1539" s="0" t="s">
        <v>7338</v>
      </c>
      <c r="J1539" s="0" t="s">
        <v>1602</v>
      </c>
      <c r="K1539" s="0" t="s">
        <v>7339</v>
      </c>
      <c r="L1539" s="0" t="s">
        <v>7340</v>
      </c>
      <c r="M1539" s="0" t="s">
        <v>7661</v>
      </c>
      <c r="N1539" s="0" t="s">
        <v>7342</v>
      </c>
      <c r="P1539" s="0" t="s">
        <v>229</v>
      </c>
      <c r="Q1539" s="0" t="s">
        <v>7354</v>
      </c>
      <c r="R1539" s="0" t="s">
        <v>7435</v>
      </c>
      <c r="S1539" s="0" t="s">
        <v>7344</v>
      </c>
      <c r="T1539" s="0" t="s">
        <v>228</v>
      </c>
      <c r="V1539" s="0" t="s">
        <v>61</v>
      </c>
      <c r="W1539" s="0" t="s">
        <v>63</v>
      </c>
      <c r="X1539" s="0" t="s">
        <v>7355</v>
      </c>
      <c r="Y1539" s="0" t="s">
        <v>7459</v>
      </c>
      <c r="Z1539" s="0" t="s">
        <v>8083</v>
      </c>
      <c r="AA1539" s="0" t="s">
        <v>7592</v>
      </c>
      <c r="AB1539" s="0" t="s">
        <v>344</v>
      </c>
      <c r="AC1539" s="0" t="s">
        <v>7349</v>
      </c>
      <c r="AD1539" s="0" t="s">
        <v>8318</v>
      </c>
      <c r="AE1539" s="0" t="s">
        <v>7462</v>
      </c>
      <c r="AF1539" s="0" t="s">
        <v>7374</v>
      </c>
      <c r="AG1539" s="0" t="s">
        <v>230</v>
      </c>
    </row>
    <row r="1540" customFormat="false" ht="15" hidden="false" customHeight="false" outlineLevel="0" collapsed="false">
      <c r="A1540" s="0" t="s">
        <v>7336</v>
      </c>
      <c r="B1540" s="0" t="s">
        <v>5615</v>
      </c>
      <c r="C1540" s="0" t="s">
        <v>5616</v>
      </c>
      <c r="D1540" s="0" t="s">
        <v>1184</v>
      </c>
      <c r="E1540" s="0" t="s">
        <v>5617</v>
      </c>
      <c r="F1540" s="0" t="s">
        <v>5618</v>
      </c>
      <c r="G1540" s="0" t="s">
        <v>122</v>
      </c>
      <c r="H1540" s="0" t="s">
        <v>8319</v>
      </c>
      <c r="I1540" s="0" t="s">
        <v>7338</v>
      </c>
      <c r="J1540" s="0" t="s">
        <v>1602</v>
      </c>
      <c r="K1540" s="0" t="s">
        <v>7339</v>
      </c>
      <c r="L1540" s="0" t="s">
        <v>7340</v>
      </c>
      <c r="M1540" s="0" t="s">
        <v>7661</v>
      </c>
      <c r="N1540" s="0" t="s">
        <v>7342</v>
      </c>
      <c r="P1540" s="0" t="s">
        <v>229</v>
      </c>
      <c r="Q1540" s="0" t="s">
        <v>7354</v>
      </c>
      <c r="R1540" s="0" t="s">
        <v>7435</v>
      </c>
      <c r="S1540" s="0" t="s">
        <v>7344</v>
      </c>
      <c r="T1540" s="0" t="s">
        <v>228</v>
      </c>
      <c r="V1540" s="0" t="s">
        <v>61</v>
      </c>
      <c r="W1540" s="0" t="s">
        <v>63</v>
      </c>
      <c r="X1540" s="0" t="s">
        <v>7355</v>
      </c>
      <c r="Y1540" s="0" t="s">
        <v>7459</v>
      </c>
      <c r="Z1540" s="0" t="s">
        <v>8083</v>
      </c>
      <c r="AA1540" s="0" t="s">
        <v>7592</v>
      </c>
      <c r="AB1540" s="0" t="s">
        <v>344</v>
      </c>
      <c r="AC1540" s="0" t="s">
        <v>7349</v>
      </c>
      <c r="AD1540" s="0" t="s">
        <v>8318</v>
      </c>
      <c r="AE1540" s="0" t="s">
        <v>7462</v>
      </c>
      <c r="AF1540" s="0" t="s">
        <v>7374</v>
      </c>
      <c r="AG1540" s="0" t="s">
        <v>230</v>
      </c>
    </row>
    <row r="1541" customFormat="false" ht="15" hidden="false" customHeight="false" outlineLevel="0" collapsed="false">
      <c r="A1541" s="0" t="s">
        <v>7336</v>
      </c>
      <c r="B1541" s="0" t="s">
        <v>5619</v>
      </c>
      <c r="C1541" s="0" t="s">
        <v>5620</v>
      </c>
      <c r="D1541" s="0" t="s">
        <v>1184</v>
      </c>
      <c r="E1541" s="0" t="s">
        <v>5621</v>
      </c>
      <c r="F1541" s="0" t="s">
        <v>5622</v>
      </c>
      <c r="G1541" s="0" t="s">
        <v>122</v>
      </c>
      <c r="H1541" s="0" t="s">
        <v>8320</v>
      </c>
      <c r="I1541" s="0" t="s">
        <v>7338</v>
      </c>
      <c r="J1541" s="0" t="s">
        <v>1602</v>
      </c>
      <c r="K1541" s="0" t="s">
        <v>7339</v>
      </c>
      <c r="L1541" s="0" t="s">
        <v>7340</v>
      </c>
      <c r="M1541" s="0" t="s">
        <v>7661</v>
      </c>
      <c r="N1541" s="0" t="s">
        <v>7342</v>
      </c>
      <c r="P1541" s="0" t="s">
        <v>229</v>
      </c>
      <c r="Q1541" s="0" t="s">
        <v>7354</v>
      </c>
      <c r="R1541" s="0" t="s">
        <v>7435</v>
      </c>
      <c r="S1541" s="0" t="s">
        <v>7344</v>
      </c>
      <c r="T1541" s="0" t="s">
        <v>228</v>
      </c>
      <c r="V1541" s="0" t="s">
        <v>61</v>
      </c>
      <c r="W1541" s="0" t="s">
        <v>63</v>
      </c>
      <c r="X1541" s="0" t="s">
        <v>7355</v>
      </c>
      <c r="Y1541" s="0" t="s">
        <v>7459</v>
      </c>
      <c r="Z1541" s="0" t="s">
        <v>8083</v>
      </c>
      <c r="AA1541" s="0" t="s">
        <v>7592</v>
      </c>
      <c r="AB1541" s="0" t="s">
        <v>344</v>
      </c>
      <c r="AC1541" s="0" t="s">
        <v>7349</v>
      </c>
      <c r="AD1541" s="0" t="s">
        <v>8318</v>
      </c>
      <c r="AE1541" s="0" t="s">
        <v>7462</v>
      </c>
      <c r="AF1541" s="0" t="s">
        <v>7374</v>
      </c>
      <c r="AG1541" s="0" t="s">
        <v>230</v>
      </c>
    </row>
    <row r="1542" customFormat="false" ht="15" hidden="false" customHeight="false" outlineLevel="0" collapsed="false">
      <c r="A1542" s="0" t="s">
        <v>7336</v>
      </c>
      <c r="B1542" s="0" t="s">
        <v>5623</v>
      </c>
      <c r="C1542" s="0" t="s">
        <v>5624</v>
      </c>
      <c r="D1542" s="0" t="s">
        <v>1184</v>
      </c>
      <c r="E1542" s="0" t="s">
        <v>5625</v>
      </c>
      <c r="F1542" s="0" t="s">
        <v>5626</v>
      </c>
      <c r="G1542" s="0" t="s">
        <v>122</v>
      </c>
      <c r="H1542" s="0" t="s">
        <v>8321</v>
      </c>
      <c r="I1542" s="0" t="s">
        <v>7338</v>
      </c>
      <c r="J1542" s="0" t="s">
        <v>1602</v>
      </c>
      <c r="K1542" s="0" t="s">
        <v>7339</v>
      </c>
      <c r="L1542" s="0" t="s">
        <v>7340</v>
      </c>
      <c r="M1542" s="0" t="s">
        <v>7661</v>
      </c>
      <c r="N1542" s="0" t="s">
        <v>7342</v>
      </c>
      <c r="P1542" s="0" t="s">
        <v>229</v>
      </c>
      <c r="Q1542" s="0" t="s">
        <v>7354</v>
      </c>
      <c r="R1542" s="0" t="s">
        <v>7435</v>
      </c>
      <c r="S1542" s="0" t="s">
        <v>7344</v>
      </c>
      <c r="T1542" s="0" t="s">
        <v>228</v>
      </c>
      <c r="V1542" s="0" t="s">
        <v>61</v>
      </c>
      <c r="W1542" s="0" t="s">
        <v>63</v>
      </c>
      <c r="X1542" s="0" t="s">
        <v>7355</v>
      </c>
      <c r="Y1542" s="0" t="s">
        <v>7459</v>
      </c>
      <c r="Z1542" s="0" t="s">
        <v>8083</v>
      </c>
      <c r="AA1542" s="0" t="s">
        <v>7592</v>
      </c>
      <c r="AB1542" s="0" t="s">
        <v>344</v>
      </c>
      <c r="AC1542" s="0" t="s">
        <v>7349</v>
      </c>
      <c r="AD1542" s="0" t="s">
        <v>8318</v>
      </c>
      <c r="AE1542" s="0" t="s">
        <v>7462</v>
      </c>
      <c r="AF1542" s="0" t="s">
        <v>7374</v>
      </c>
      <c r="AG1542" s="0" t="s">
        <v>230</v>
      </c>
    </row>
    <row r="1543" customFormat="false" ht="15" hidden="false" customHeight="false" outlineLevel="0" collapsed="false">
      <c r="A1543" s="0" t="s">
        <v>7336</v>
      </c>
      <c r="B1543" s="0" t="s">
        <v>5627</v>
      </c>
      <c r="C1543" s="0" t="s">
        <v>5628</v>
      </c>
      <c r="D1543" s="0" t="s">
        <v>1184</v>
      </c>
      <c r="E1543" s="0" t="s">
        <v>5629</v>
      </c>
      <c r="F1543" s="0" t="s">
        <v>5630</v>
      </c>
      <c r="G1543" s="0" t="s">
        <v>122</v>
      </c>
      <c r="H1543" s="0" t="s">
        <v>8322</v>
      </c>
      <c r="I1543" s="0" t="s">
        <v>7338</v>
      </c>
      <c r="J1543" s="0" t="s">
        <v>1602</v>
      </c>
      <c r="K1543" s="0" t="s">
        <v>7339</v>
      </c>
      <c r="L1543" s="0" t="s">
        <v>7340</v>
      </c>
      <c r="M1543" s="0" t="s">
        <v>7661</v>
      </c>
      <c r="N1543" s="0" t="s">
        <v>7342</v>
      </c>
      <c r="P1543" s="0" t="s">
        <v>229</v>
      </c>
      <c r="Q1543" s="0" t="s">
        <v>7354</v>
      </c>
      <c r="R1543" s="0" t="s">
        <v>7435</v>
      </c>
      <c r="S1543" s="0" t="s">
        <v>7344</v>
      </c>
      <c r="T1543" s="0" t="s">
        <v>228</v>
      </c>
      <c r="V1543" s="0" t="s">
        <v>61</v>
      </c>
      <c r="W1543" s="0" t="s">
        <v>63</v>
      </c>
      <c r="X1543" s="0" t="s">
        <v>7355</v>
      </c>
      <c r="Y1543" s="0" t="s">
        <v>7459</v>
      </c>
      <c r="Z1543" s="0" t="s">
        <v>8083</v>
      </c>
      <c r="AA1543" s="0" t="s">
        <v>7592</v>
      </c>
      <c r="AB1543" s="0" t="s">
        <v>344</v>
      </c>
      <c r="AC1543" s="0" t="s">
        <v>7349</v>
      </c>
      <c r="AD1543" s="0" t="s">
        <v>8323</v>
      </c>
      <c r="AE1543" s="0" t="s">
        <v>7462</v>
      </c>
      <c r="AF1543" s="0" t="s">
        <v>7374</v>
      </c>
      <c r="AG1543" s="0" t="s">
        <v>230</v>
      </c>
    </row>
    <row r="1544" customFormat="false" ht="15" hidden="false" customHeight="false" outlineLevel="0" collapsed="false">
      <c r="A1544" s="0" t="s">
        <v>7336</v>
      </c>
      <c r="B1544" s="0" t="s">
        <v>5631</v>
      </c>
      <c r="C1544" s="0" t="s">
        <v>5632</v>
      </c>
      <c r="D1544" s="0" t="s">
        <v>1184</v>
      </c>
      <c r="E1544" s="0" t="s">
        <v>5633</v>
      </c>
      <c r="F1544" s="0" t="s">
        <v>5630</v>
      </c>
      <c r="G1544" s="0" t="s">
        <v>122</v>
      </c>
      <c r="H1544" s="0" t="s">
        <v>8322</v>
      </c>
      <c r="I1544" s="0" t="s">
        <v>7338</v>
      </c>
      <c r="J1544" s="0" t="s">
        <v>1602</v>
      </c>
      <c r="K1544" s="0" t="s">
        <v>7339</v>
      </c>
      <c r="L1544" s="0" t="s">
        <v>7340</v>
      </c>
      <c r="M1544" s="0" t="s">
        <v>7661</v>
      </c>
      <c r="N1544" s="0" t="s">
        <v>7342</v>
      </c>
      <c r="P1544" s="0" t="s">
        <v>229</v>
      </c>
      <c r="Q1544" s="0" t="s">
        <v>7354</v>
      </c>
      <c r="R1544" s="0" t="s">
        <v>7435</v>
      </c>
      <c r="S1544" s="0" t="s">
        <v>7344</v>
      </c>
      <c r="T1544" s="0" t="s">
        <v>228</v>
      </c>
      <c r="V1544" s="0" t="s">
        <v>61</v>
      </c>
      <c r="W1544" s="0" t="s">
        <v>63</v>
      </c>
      <c r="X1544" s="0" t="s">
        <v>7355</v>
      </c>
      <c r="Y1544" s="0" t="s">
        <v>7459</v>
      </c>
      <c r="Z1544" s="0" t="s">
        <v>8083</v>
      </c>
      <c r="AA1544" s="0" t="s">
        <v>7592</v>
      </c>
      <c r="AB1544" s="0" t="s">
        <v>344</v>
      </c>
      <c r="AC1544" s="0" t="s">
        <v>7349</v>
      </c>
      <c r="AD1544" s="0" t="s">
        <v>8323</v>
      </c>
      <c r="AE1544" s="0" t="s">
        <v>7462</v>
      </c>
      <c r="AF1544" s="0" t="s">
        <v>7374</v>
      </c>
      <c r="AG1544" s="0" t="s">
        <v>230</v>
      </c>
    </row>
    <row r="1545" customFormat="false" ht="15" hidden="false" customHeight="false" outlineLevel="0" collapsed="false">
      <c r="A1545" s="0" t="s">
        <v>7336</v>
      </c>
      <c r="B1545" s="0" t="s">
        <v>5634</v>
      </c>
      <c r="C1545" s="0" t="s">
        <v>5635</v>
      </c>
      <c r="D1545" s="0" t="s">
        <v>1184</v>
      </c>
      <c r="E1545" s="0" t="s">
        <v>5636</v>
      </c>
      <c r="F1545" s="0" t="s">
        <v>5637</v>
      </c>
      <c r="G1545" s="0" t="s">
        <v>122</v>
      </c>
      <c r="H1545" s="0" t="s">
        <v>8324</v>
      </c>
      <c r="I1545" s="0" t="s">
        <v>7338</v>
      </c>
      <c r="J1545" s="0" t="s">
        <v>1602</v>
      </c>
      <c r="K1545" s="0" t="s">
        <v>7339</v>
      </c>
      <c r="L1545" s="0" t="s">
        <v>7340</v>
      </c>
      <c r="M1545" s="0" t="s">
        <v>7661</v>
      </c>
      <c r="N1545" s="0" t="s">
        <v>7342</v>
      </c>
      <c r="P1545" s="0" t="s">
        <v>229</v>
      </c>
      <c r="Q1545" s="0" t="s">
        <v>7354</v>
      </c>
      <c r="R1545" s="0" t="s">
        <v>7435</v>
      </c>
      <c r="S1545" s="0" t="s">
        <v>7344</v>
      </c>
      <c r="T1545" s="0" t="s">
        <v>228</v>
      </c>
      <c r="V1545" s="0" t="s">
        <v>61</v>
      </c>
      <c r="W1545" s="0" t="s">
        <v>63</v>
      </c>
      <c r="X1545" s="0" t="s">
        <v>7355</v>
      </c>
      <c r="Y1545" s="0" t="s">
        <v>7459</v>
      </c>
      <c r="Z1545" s="0" t="s">
        <v>8083</v>
      </c>
      <c r="AA1545" s="0" t="s">
        <v>7592</v>
      </c>
      <c r="AB1545" s="0" t="s">
        <v>344</v>
      </c>
      <c r="AC1545" s="0" t="s">
        <v>7349</v>
      </c>
      <c r="AD1545" s="0" t="s">
        <v>8323</v>
      </c>
      <c r="AE1545" s="0" t="s">
        <v>7462</v>
      </c>
      <c r="AF1545" s="0" t="s">
        <v>7374</v>
      </c>
      <c r="AG1545" s="0" t="s">
        <v>230</v>
      </c>
    </row>
    <row r="1546" customFormat="false" ht="15" hidden="false" customHeight="false" outlineLevel="0" collapsed="false">
      <c r="A1546" s="0" t="s">
        <v>7336</v>
      </c>
      <c r="B1546" s="0" t="s">
        <v>5638</v>
      </c>
      <c r="C1546" s="0" t="s">
        <v>5639</v>
      </c>
      <c r="D1546" s="0" t="s">
        <v>1184</v>
      </c>
      <c r="E1546" s="0" t="s">
        <v>5640</v>
      </c>
      <c r="F1546" s="0" t="s">
        <v>5641</v>
      </c>
      <c r="G1546" s="0" t="s">
        <v>122</v>
      </c>
      <c r="H1546" s="0" t="s">
        <v>8325</v>
      </c>
      <c r="I1546" s="0" t="s">
        <v>7338</v>
      </c>
      <c r="J1546" s="0" t="s">
        <v>1602</v>
      </c>
      <c r="K1546" s="0" t="s">
        <v>7339</v>
      </c>
      <c r="L1546" s="0" t="s">
        <v>7340</v>
      </c>
      <c r="M1546" s="0" t="s">
        <v>7661</v>
      </c>
      <c r="N1546" s="0" t="s">
        <v>7342</v>
      </c>
      <c r="P1546" s="0" t="s">
        <v>229</v>
      </c>
      <c r="Q1546" s="0" t="s">
        <v>7354</v>
      </c>
      <c r="R1546" s="0" t="s">
        <v>7435</v>
      </c>
      <c r="S1546" s="0" t="s">
        <v>7344</v>
      </c>
      <c r="T1546" s="0" t="s">
        <v>228</v>
      </c>
      <c r="V1546" s="0" t="s">
        <v>61</v>
      </c>
      <c r="W1546" s="0" t="s">
        <v>63</v>
      </c>
      <c r="X1546" s="0" t="s">
        <v>7355</v>
      </c>
      <c r="Y1546" s="0" t="s">
        <v>7459</v>
      </c>
      <c r="Z1546" s="0" t="s">
        <v>8083</v>
      </c>
      <c r="AA1546" s="0" t="s">
        <v>7592</v>
      </c>
      <c r="AB1546" s="0" t="s">
        <v>344</v>
      </c>
      <c r="AC1546" s="0" t="s">
        <v>7349</v>
      </c>
      <c r="AD1546" s="0" t="s">
        <v>8318</v>
      </c>
      <c r="AE1546" s="0" t="s">
        <v>7462</v>
      </c>
      <c r="AF1546" s="0" t="s">
        <v>7374</v>
      </c>
      <c r="AG1546" s="0" t="s">
        <v>230</v>
      </c>
    </row>
    <row r="1547" customFormat="false" ht="15" hidden="false" customHeight="false" outlineLevel="0" collapsed="false">
      <c r="A1547" s="0" t="s">
        <v>7336</v>
      </c>
      <c r="B1547" s="0" t="s">
        <v>5642</v>
      </c>
      <c r="C1547" s="0" t="s">
        <v>5643</v>
      </c>
      <c r="D1547" s="0" t="s">
        <v>1184</v>
      </c>
      <c r="E1547" s="0" t="s">
        <v>5644</v>
      </c>
      <c r="F1547" s="0" t="s">
        <v>5645</v>
      </c>
      <c r="G1547" s="0" t="s">
        <v>122</v>
      </c>
      <c r="H1547" s="0" t="s">
        <v>8326</v>
      </c>
      <c r="I1547" s="0" t="s">
        <v>7338</v>
      </c>
      <c r="J1547" s="0" t="s">
        <v>1602</v>
      </c>
      <c r="K1547" s="0" t="s">
        <v>7339</v>
      </c>
      <c r="L1547" s="0" t="s">
        <v>7340</v>
      </c>
      <c r="M1547" s="0" t="s">
        <v>7661</v>
      </c>
      <c r="N1547" s="0" t="s">
        <v>7342</v>
      </c>
      <c r="P1547" s="0" t="s">
        <v>229</v>
      </c>
      <c r="Q1547" s="0" t="s">
        <v>7354</v>
      </c>
      <c r="R1547" s="0" t="s">
        <v>7435</v>
      </c>
      <c r="S1547" s="0" t="s">
        <v>7344</v>
      </c>
      <c r="T1547" s="0" t="s">
        <v>228</v>
      </c>
      <c r="V1547" s="0" t="s">
        <v>61</v>
      </c>
      <c r="W1547" s="0" t="s">
        <v>63</v>
      </c>
      <c r="X1547" s="0" t="s">
        <v>7355</v>
      </c>
      <c r="Y1547" s="0" t="s">
        <v>7459</v>
      </c>
      <c r="Z1547" s="0" t="s">
        <v>8083</v>
      </c>
      <c r="AA1547" s="0" t="s">
        <v>7592</v>
      </c>
      <c r="AB1547" s="0" t="s">
        <v>344</v>
      </c>
      <c r="AC1547" s="0" t="s">
        <v>7349</v>
      </c>
      <c r="AD1547" s="0" t="s">
        <v>8318</v>
      </c>
      <c r="AE1547" s="0" t="s">
        <v>7462</v>
      </c>
      <c r="AF1547" s="0" t="s">
        <v>7374</v>
      </c>
      <c r="AG1547" s="0" t="s">
        <v>230</v>
      </c>
    </row>
    <row r="1548" customFormat="false" ht="15" hidden="false" customHeight="false" outlineLevel="0" collapsed="false">
      <c r="A1548" s="0" t="s">
        <v>7336</v>
      </c>
      <c r="B1548" s="0" t="s">
        <v>5646</v>
      </c>
      <c r="C1548" s="0" t="s">
        <v>5647</v>
      </c>
      <c r="D1548" s="0" t="s">
        <v>1184</v>
      </c>
      <c r="E1548" s="0" t="s">
        <v>5648</v>
      </c>
      <c r="F1548" s="0" t="s">
        <v>5649</v>
      </c>
      <c r="G1548" s="0" t="s">
        <v>122</v>
      </c>
      <c r="H1548" s="0" t="s">
        <v>8327</v>
      </c>
      <c r="I1548" s="0" t="s">
        <v>7338</v>
      </c>
      <c r="J1548" s="0" t="s">
        <v>1602</v>
      </c>
      <c r="K1548" s="0" t="s">
        <v>7339</v>
      </c>
      <c r="L1548" s="0" t="s">
        <v>7340</v>
      </c>
      <c r="M1548" s="0" t="s">
        <v>7661</v>
      </c>
      <c r="N1548" s="0" t="s">
        <v>7342</v>
      </c>
      <c r="P1548" s="0" t="s">
        <v>229</v>
      </c>
      <c r="Q1548" s="0" t="s">
        <v>7354</v>
      </c>
      <c r="R1548" s="0" t="s">
        <v>7435</v>
      </c>
      <c r="S1548" s="0" t="s">
        <v>7344</v>
      </c>
      <c r="T1548" s="0" t="s">
        <v>228</v>
      </c>
      <c r="V1548" s="0" t="s">
        <v>61</v>
      </c>
      <c r="W1548" s="0" t="s">
        <v>63</v>
      </c>
      <c r="X1548" s="0" t="s">
        <v>7355</v>
      </c>
      <c r="Y1548" s="0" t="s">
        <v>7459</v>
      </c>
      <c r="Z1548" s="0" t="s">
        <v>8083</v>
      </c>
      <c r="AA1548" s="0" t="s">
        <v>7592</v>
      </c>
      <c r="AB1548" s="0" t="s">
        <v>344</v>
      </c>
      <c r="AC1548" s="0" t="s">
        <v>7349</v>
      </c>
      <c r="AD1548" s="0" t="s">
        <v>8318</v>
      </c>
      <c r="AE1548" s="0" t="s">
        <v>7462</v>
      </c>
      <c r="AF1548" s="0" t="s">
        <v>7374</v>
      </c>
      <c r="AG1548" s="0" t="s">
        <v>230</v>
      </c>
    </row>
    <row r="1549" customFormat="false" ht="15" hidden="false" customHeight="false" outlineLevel="0" collapsed="false">
      <c r="A1549" s="0" t="s">
        <v>7336</v>
      </c>
      <c r="B1549" s="0" t="s">
        <v>5650</v>
      </c>
      <c r="C1549" s="0" t="s">
        <v>5651</v>
      </c>
      <c r="D1549" s="0" t="s">
        <v>1184</v>
      </c>
      <c r="E1549" s="0" t="s">
        <v>5652</v>
      </c>
      <c r="F1549" s="0" t="s">
        <v>5653</v>
      </c>
      <c r="G1549" s="0" t="s">
        <v>122</v>
      </c>
      <c r="H1549" s="0" t="s">
        <v>8328</v>
      </c>
      <c r="I1549" s="0" t="s">
        <v>7338</v>
      </c>
      <c r="J1549" s="0" t="s">
        <v>1602</v>
      </c>
      <c r="K1549" s="0" t="s">
        <v>7339</v>
      </c>
      <c r="L1549" s="0" t="s">
        <v>7340</v>
      </c>
      <c r="M1549" s="0" t="s">
        <v>7661</v>
      </c>
      <c r="N1549" s="0" t="s">
        <v>7342</v>
      </c>
      <c r="P1549" s="0" t="s">
        <v>229</v>
      </c>
      <c r="Q1549" s="0" t="s">
        <v>7354</v>
      </c>
      <c r="R1549" s="0" t="s">
        <v>7435</v>
      </c>
      <c r="S1549" s="0" t="s">
        <v>7344</v>
      </c>
      <c r="T1549" s="0" t="s">
        <v>228</v>
      </c>
      <c r="V1549" s="0" t="s">
        <v>61</v>
      </c>
      <c r="W1549" s="0" t="s">
        <v>63</v>
      </c>
      <c r="X1549" s="0" t="s">
        <v>7355</v>
      </c>
      <c r="Y1549" s="0" t="s">
        <v>7459</v>
      </c>
      <c r="Z1549" s="0" t="s">
        <v>8083</v>
      </c>
      <c r="AA1549" s="0" t="s">
        <v>7592</v>
      </c>
      <c r="AB1549" s="0" t="s">
        <v>344</v>
      </c>
      <c r="AC1549" s="0" t="s">
        <v>7349</v>
      </c>
      <c r="AD1549" s="0" t="s">
        <v>8318</v>
      </c>
      <c r="AE1549" s="0" t="s">
        <v>7462</v>
      </c>
      <c r="AF1549" s="0" t="s">
        <v>7374</v>
      </c>
      <c r="AG1549" s="0" t="s">
        <v>230</v>
      </c>
    </row>
    <row r="1550" customFormat="false" ht="15" hidden="false" customHeight="false" outlineLevel="0" collapsed="false">
      <c r="A1550" s="0" t="s">
        <v>7336</v>
      </c>
      <c r="B1550" s="0" t="s">
        <v>5654</v>
      </c>
      <c r="C1550" s="0" t="s">
        <v>5655</v>
      </c>
      <c r="D1550" s="0" t="s">
        <v>1184</v>
      </c>
      <c r="E1550" s="0" t="s">
        <v>5656</v>
      </c>
      <c r="F1550" s="0" t="s">
        <v>3245</v>
      </c>
      <c r="G1550" s="0" t="s">
        <v>122</v>
      </c>
      <c r="H1550" s="0" t="s">
        <v>7924</v>
      </c>
      <c r="I1550" s="0" t="s">
        <v>7338</v>
      </c>
      <c r="J1550" s="0" t="s">
        <v>1602</v>
      </c>
      <c r="K1550" s="0" t="s">
        <v>7339</v>
      </c>
      <c r="L1550" s="0" t="s">
        <v>7340</v>
      </c>
      <c r="M1550" s="0" t="s">
        <v>7661</v>
      </c>
      <c r="N1550" s="0" t="s">
        <v>7342</v>
      </c>
      <c r="P1550" s="0" t="s">
        <v>229</v>
      </c>
      <c r="Q1550" s="0" t="s">
        <v>7354</v>
      </c>
      <c r="R1550" s="0" t="s">
        <v>7435</v>
      </c>
      <c r="S1550" s="0" t="s">
        <v>7344</v>
      </c>
      <c r="T1550" s="0" t="s">
        <v>228</v>
      </c>
      <c r="V1550" s="0" t="s">
        <v>61</v>
      </c>
      <c r="W1550" s="0" t="s">
        <v>63</v>
      </c>
      <c r="X1550" s="0" t="s">
        <v>7355</v>
      </c>
      <c r="Y1550" s="0" t="s">
        <v>7459</v>
      </c>
      <c r="Z1550" s="0" t="s">
        <v>8083</v>
      </c>
      <c r="AA1550" s="0" t="s">
        <v>7592</v>
      </c>
      <c r="AB1550" s="0" t="s">
        <v>344</v>
      </c>
      <c r="AC1550" s="0" t="s">
        <v>7349</v>
      </c>
      <c r="AD1550" s="0" t="s">
        <v>8316</v>
      </c>
      <c r="AE1550" s="0" t="s">
        <v>7462</v>
      </c>
      <c r="AF1550" s="0" t="s">
        <v>7374</v>
      </c>
      <c r="AG1550" s="0" t="s">
        <v>230</v>
      </c>
    </row>
    <row r="1551" customFormat="false" ht="15" hidden="false" customHeight="false" outlineLevel="0" collapsed="false">
      <c r="A1551" s="0" t="s">
        <v>7336</v>
      </c>
      <c r="B1551" s="0" t="s">
        <v>5657</v>
      </c>
      <c r="C1551" s="0" t="s">
        <v>5658</v>
      </c>
      <c r="D1551" s="0" t="s">
        <v>1184</v>
      </c>
      <c r="E1551" s="0" t="s">
        <v>5659</v>
      </c>
      <c r="F1551" s="0" t="s">
        <v>5660</v>
      </c>
      <c r="G1551" s="0" t="s">
        <v>122</v>
      </c>
      <c r="H1551" s="0" t="s">
        <v>8329</v>
      </c>
      <c r="I1551" s="0" t="s">
        <v>7338</v>
      </c>
      <c r="J1551" s="0" t="s">
        <v>1602</v>
      </c>
      <c r="K1551" s="0" t="s">
        <v>7339</v>
      </c>
      <c r="L1551" s="0" t="s">
        <v>7340</v>
      </c>
      <c r="M1551" s="0" t="s">
        <v>7661</v>
      </c>
      <c r="N1551" s="0" t="s">
        <v>7342</v>
      </c>
      <c r="P1551" s="0" t="s">
        <v>229</v>
      </c>
      <c r="Q1551" s="0" t="s">
        <v>7354</v>
      </c>
      <c r="S1551" s="0" t="s">
        <v>7344</v>
      </c>
      <c r="T1551" s="0" t="s">
        <v>58</v>
      </c>
      <c r="V1551" s="0" t="s">
        <v>55</v>
      </c>
      <c r="W1551" s="0" t="s">
        <v>55</v>
      </c>
      <c r="X1551" s="0" t="s">
        <v>7355</v>
      </c>
      <c r="Z1551" s="0" t="s">
        <v>7493</v>
      </c>
      <c r="AB1551" s="0" t="s">
        <v>344</v>
      </c>
      <c r="AC1551" s="0" t="s">
        <v>7349</v>
      </c>
      <c r="AE1551" s="0" t="s">
        <v>7826</v>
      </c>
      <c r="AF1551" s="0" t="s">
        <v>7374</v>
      </c>
      <c r="AG1551" s="0" t="s">
        <v>230</v>
      </c>
    </row>
    <row r="1552" customFormat="false" ht="15" hidden="false" customHeight="false" outlineLevel="0" collapsed="false">
      <c r="A1552" s="0" t="s">
        <v>7336</v>
      </c>
      <c r="B1552" s="0" t="s">
        <v>5661</v>
      </c>
      <c r="C1552" s="0" t="s">
        <v>5662</v>
      </c>
      <c r="D1552" s="0" t="s">
        <v>1184</v>
      </c>
      <c r="E1552" s="0" t="s">
        <v>5663</v>
      </c>
      <c r="F1552" s="0" t="s">
        <v>5664</v>
      </c>
      <c r="G1552" s="0" t="s">
        <v>122</v>
      </c>
      <c r="H1552" s="0" t="s">
        <v>8330</v>
      </c>
      <c r="I1552" s="0" t="s">
        <v>7338</v>
      </c>
      <c r="J1552" s="0" t="s">
        <v>1602</v>
      </c>
      <c r="K1552" s="0" t="s">
        <v>7339</v>
      </c>
      <c r="L1552" s="0" t="s">
        <v>7340</v>
      </c>
      <c r="M1552" s="0" t="s">
        <v>7661</v>
      </c>
      <c r="N1552" s="0" t="s">
        <v>7342</v>
      </c>
      <c r="P1552" s="0" t="s">
        <v>229</v>
      </c>
      <c r="Q1552" s="0" t="s">
        <v>7354</v>
      </c>
      <c r="S1552" s="0" t="s">
        <v>7344</v>
      </c>
      <c r="T1552" s="0" t="s">
        <v>58</v>
      </c>
      <c r="V1552" s="0" t="s">
        <v>55</v>
      </c>
      <c r="W1552" s="0" t="s">
        <v>55</v>
      </c>
      <c r="X1552" s="0" t="s">
        <v>7355</v>
      </c>
      <c r="Z1552" s="0" t="s">
        <v>7493</v>
      </c>
      <c r="AB1552" s="0" t="s">
        <v>344</v>
      </c>
      <c r="AC1552" s="0" t="s">
        <v>7349</v>
      </c>
      <c r="AE1552" s="0" t="s">
        <v>7826</v>
      </c>
      <c r="AF1552" s="0" t="s">
        <v>7374</v>
      </c>
      <c r="AG1552" s="0" t="s">
        <v>230</v>
      </c>
    </row>
    <row r="1553" customFormat="false" ht="15" hidden="false" customHeight="false" outlineLevel="0" collapsed="false">
      <c r="A1553" s="0" t="s">
        <v>7336</v>
      </c>
      <c r="B1553" s="0" t="s">
        <v>5665</v>
      </c>
      <c r="C1553" s="0" t="s">
        <v>5666</v>
      </c>
      <c r="D1553" s="0" t="s">
        <v>1184</v>
      </c>
      <c r="E1553" s="0" t="s">
        <v>5667</v>
      </c>
      <c r="F1553" s="0" t="s">
        <v>5668</v>
      </c>
      <c r="G1553" s="0" t="s">
        <v>122</v>
      </c>
      <c r="H1553" s="0" t="s">
        <v>8331</v>
      </c>
      <c r="I1553" s="0" t="s">
        <v>7338</v>
      </c>
      <c r="J1553" s="0" t="s">
        <v>1602</v>
      </c>
      <c r="K1553" s="0" t="s">
        <v>7339</v>
      </c>
      <c r="L1553" s="0" t="s">
        <v>7340</v>
      </c>
      <c r="M1553" s="0" t="s">
        <v>7661</v>
      </c>
      <c r="N1553" s="0" t="s">
        <v>7342</v>
      </c>
      <c r="P1553" s="0" t="s">
        <v>229</v>
      </c>
      <c r="Q1553" s="0" t="s">
        <v>7354</v>
      </c>
      <c r="S1553" s="0" t="s">
        <v>7344</v>
      </c>
      <c r="T1553" s="0" t="s">
        <v>58</v>
      </c>
      <c r="V1553" s="0" t="s">
        <v>55</v>
      </c>
      <c r="W1553" s="0" t="s">
        <v>55</v>
      </c>
      <c r="X1553" s="0" t="s">
        <v>7355</v>
      </c>
      <c r="Z1553" s="0" t="s">
        <v>7493</v>
      </c>
      <c r="AB1553" s="0" t="s">
        <v>344</v>
      </c>
      <c r="AC1553" s="0" t="s">
        <v>7349</v>
      </c>
      <c r="AE1553" s="0" t="s">
        <v>7826</v>
      </c>
      <c r="AF1553" s="0" t="s">
        <v>7374</v>
      </c>
      <c r="AG1553" s="0" t="s">
        <v>230</v>
      </c>
    </row>
    <row r="1554" customFormat="false" ht="15" hidden="false" customHeight="false" outlineLevel="0" collapsed="false">
      <c r="A1554" s="0" t="s">
        <v>7336</v>
      </c>
      <c r="B1554" s="0" t="s">
        <v>5669</v>
      </c>
      <c r="C1554" s="0" t="s">
        <v>5670</v>
      </c>
      <c r="D1554" s="0" t="s">
        <v>1184</v>
      </c>
      <c r="E1554" s="0" t="s">
        <v>5671</v>
      </c>
      <c r="F1554" s="0" t="s">
        <v>5672</v>
      </c>
      <c r="G1554" s="0" t="s">
        <v>122</v>
      </c>
      <c r="H1554" s="0" t="s">
        <v>8332</v>
      </c>
      <c r="I1554" s="0" t="s">
        <v>7338</v>
      </c>
      <c r="J1554" s="0" t="s">
        <v>1602</v>
      </c>
      <c r="K1554" s="0" t="s">
        <v>7339</v>
      </c>
      <c r="L1554" s="0" t="s">
        <v>7340</v>
      </c>
      <c r="M1554" s="0" t="s">
        <v>7661</v>
      </c>
      <c r="N1554" s="0" t="s">
        <v>7342</v>
      </c>
      <c r="P1554" s="0" t="s">
        <v>229</v>
      </c>
      <c r="Q1554" s="0" t="s">
        <v>7354</v>
      </c>
      <c r="S1554" s="0" t="s">
        <v>7344</v>
      </c>
      <c r="T1554" s="0" t="s">
        <v>58</v>
      </c>
      <c r="V1554" s="0" t="s">
        <v>55</v>
      </c>
      <c r="W1554" s="0" t="s">
        <v>55</v>
      </c>
      <c r="X1554" s="0" t="s">
        <v>7355</v>
      </c>
      <c r="Z1554" s="0" t="s">
        <v>7493</v>
      </c>
      <c r="AB1554" s="0" t="s">
        <v>344</v>
      </c>
      <c r="AC1554" s="0" t="s">
        <v>7349</v>
      </c>
      <c r="AE1554" s="0" t="s">
        <v>7826</v>
      </c>
      <c r="AF1554" s="0" t="s">
        <v>7374</v>
      </c>
      <c r="AG1554" s="0" t="s">
        <v>230</v>
      </c>
    </row>
    <row r="1555" customFormat="false" ht="15" hidden="false" customHeight="false" outlineLevel="0" collapsed="false">
      <c r="A1555" s="0" t="s">
        <v>7336</v>
      </c>
      <c r="B1555" s="0" t="s">
        <v>5673</v>
      </c>
      <c r="C1555" s="0" t="s">
        <v>5674</v>
      </c>
      <c r="D1555" s="0" t="s">
        <v>1184</v>
      </c>
      <c r="E1555" s="0" t="s">
        <v>5675</v>
      </c>
      <c r="F1555" s="0" t="s">
        <v>5676</v>
      </c>
      <c r="G1555" s="0" t="s">
        <v>122</v>
      </c>
      <c r="H1555" s="0" t="s">
        <v>8333</v>
      </c>
      <c r="I1555" s="0" t="s">
        <v>7338</v>
      </c>
      <c r="J1555" s="0" t="s">
        <v>1602</v>
      </c>
      <c r="K1555" s="0" t="s">
        <v>7339</v>
      </c>
      <c r="L1555" s="0" t="s">
        <v>7340</v>
      </c>
      <c r="M1555" s="0" t="s">
        <v>7661</v>
      </c>
      <c r="N1555" s="0" t="s">
        <v>7342</v>
      </c>
      <c r="P1555" s="0" t="s">
        <v>229</v>
      </c>
      <c r="Q1555" s="0" t="s">
        <v>7354</v>
      </c>
      <c r="S1555" s="0" t="s">
        <v>7344</v>
      </c>
      <c r="T1555" s="0" t="s">
        <v>58</v>
      </c>
      <c r="V1555" s="0" t="s">
        <v>55</v>
      </c>
      <c r="W1555" s="0" t="s">
        <v>55</v>
      </c>
      <c r="X1555" s="0" t="s">
        <v>7355</v>
      </c>
      <c r="Z1555" s="0" t="s">
        <v>7493</v>
      </c>
      <c r="AB1555" s="0" t="s">
        <v>344</v>
      </c>
      <c r="AC1555" s="0" t="s">
        <v>7349</v>
      </c>
      <c r="AE1555" s="0" t="s">
        <v>7826</v>
      </c>
      <c r="AF1555" s="0" t="s">
        <v>7374</v>
      </c>
      <c r="AG1555" s="0" t="s">
        <v>230</v>
      </c>
    </row>
    <row r="1556" customFormat="false" ht="15" hidden="false" customHeight="false" outlineLevel="0" collapsed="false">
      <c r="A1556" s="0" t="s">
        <v>7336</v>
      </c>
      <c r="B1556" s="0" t="s">
        <v>5677</v>
      </c>
      <c r="C1556" s="0" t="s">
        <v>5678</v>
      </c>
      <c r="D1556" s="0" t="s">
        <v>1184</v>
      </c>
      <c r="E1556" s="0" t="s">
        <v>5679</v>
      </c>
      <c r="F1556" s="0" t="s">
        <v>5680</v>
      </c>
      <c r="G1556" s="0" t="s">
        <v>122</v>
      </c>
      <c r="H1556" s="0" t="s">
        <v>8334</v>
      </c>
      <c r="I1556" s="0" t="s">
        <v>7338</v>
      </c>
      <c r="J1556" s="0" t="s">
        <v>1602</v>
      </c>
      <c r="K1556" s="0" t="s">
        <v>7339</v>
      </c>
      <c r="L1556" s="0" t="s">
        <v>7340</v>
      </c>
      <c r="M1556" s="0" t="s">
        <v>7661</v>
      </c>
      <c r="N1556" s="0" t="s">
        <v>7342</v>
      </c>
      <c r="P1556" s="0" t="s">
        <v>229</v>
      </c>
      <c r="Q1556" s="0" t="s">
        <v>7354</v>
      </c>
      <c r="S1556" s="0" t="s">
        <v>7344</v>
      </c>
      <c r="T1556" s="0" t="s">
        <v>58</v>
      </c>
      <c r="V1556" s="0" t="s">
        <v>55</v>
      </c>
      <c r="W1556" s="0" t="s">
        <v>55</v>
      </c>
      <c r="X1556" s="0" t="s">
        <v>7355</v>
      </c>
      <c r="Z1556" s="0" t="s">
        <v>7493</v>
      </c>
      <c r="AB1556" s="0" t="s">
        <v>344</v>
      </c>
      <c r="AC1556" s="0" t="s">
        <v>7349</v>
      </c>
      <c r="AE1556" s="0" t="s">
        <v>7826</v>
      </c>
      <c r="AF1556" s="0" t="s">
        <v>7374</v>
      </c>
      <c r="AG1556" s="0" t="s">
        <v>230</v>
      </c>
    </row>
    <row r="1557" customFormat="false" ht="15" hidden="false" customHeight="false" outlineLevel="0" collapsed="false">
      <c r="A1557" s="0" t="s">
        <v>7336</v>
      </c>
      <c r="B1557" s="0" t="s">
        <v>5681</v>
      </c>
      <c r="C1557" s="0" t="s">
        <v>5682</v>
      </c>
      <c r="D1557" s="0" t="s">
        <v>1184</v>
      </c>
      <c r="E1557" s="0" t="s">
        <v>5683</v>
      </c>
      <c r="F1557" s="0" t="s">
        <v>5684</v>
      </c>
      <c r="G1557" s="0" t="s">
        <v>126</v>
      </c>
      <c r="H1557" s="0" t="s">
        <v>8335</v>
      </c>
      <c r="I1557" s="0" t="s">
        <v>7338</v>
      </c>
      <c r="J1557" s="0" t="s">
        <v>1602</v>
      </c>
      <c r="K1557" s="0" t="s">
        <v>7339</v>
      </c>
      <c r="L1557" s="0" t="s">
        <v>7340</v>
      </c>
      <c r="M1557" s="0" t="s">
        <v>7661</v>
      </c>
      <c r="N1557" s="0" t="s">
        <v>7342</v>
      </c>
      <c r="P1557" s="0" t="s">
        <v>229</v>
      </c>
      <c r="Q1557" s="0" t="s">
        <v>7354</v>
      </c>
      <c r="S1557" s="0" t="s">
        <v>7344</v>
      </c>
      <c r="T1557" s="0" t="s">
        <v>58</v>
      </c>
      <c r="V1557" s="0" t="s">
        <v>55</v>
      </c>
      <c r="W1557" s="0" t="s">
        <v>55</v>
      </c>
      <c r="X1557" s="0" t="s">
        <v>7355</v>
      </c>
      <c r="Z1557" s="0" t="s">
        <v>7493</v>
      </c>
      <c r="AB1557" s="0" t="s">
        <v>344</v>
      </c>
      <c r="AC1557" s="0" t="s">
        <v>7349</v>
      </c>
      <c r="AE1557" s="0" t="s">
        <v>7826</v>
      </c>
      <c r="AF1557" s="0" t="s">
        <v>7374</v>
      </c>
      <c r="AG1557" s="0" t="s">
        <v>230</v>
      </c>
    </row>
    <row r="1558" customFormat="false" ht="15" hidden="false" customHeight="false" outlineLevel="0" collapsed="false">
      <c r="A1558" s="0" t="s">
        <v>7336</v>
      </c>
      <c r="B1558" s="0" t="s">
        <v>5685</v>
      </c>
      <c r="C1558" s="0" t="s">
        <v>5686</v>
      </c>
      <c r="D1558" s="0" t="s">
        <v>1184</v>
      </c>
      <c r="E1558" s="0" t="s">
        <v>5687</v>
      </c>
      <c r="F1558" s="0" t="s">
        <v>5688</v>
      </c>
      <c r="G1558" s="0" t="s">
        <v>124</v>
      </c>
      <c r="H1558" s="0" t="s">
        <v>8336</v>
      </c>
      <c r="I1558" s="0" t="s">
        <v>7338</v>
      </c>
      <c r="J1558" s="0" t="s">
        <v>1602</v>
      </c>
      <c r="K1558" s="0" t="s">
        <v>7339</v>
      </c>
      <c r="L1558" s="0" t="s">
        <v>7340</v>
      </c>
      <c r="M1558" s="0" t="s">
        <v>7661</v>
      </c>
      <c r="N1558" s="0" t="s">
        <v>7342</v>
      </c>
      <c r="P1558" s="0" t="s">
        <v>229</v>
      </c>
      <c r="Q1558" s="0" t="s">
        <v>7354</v>
      </c>
      <c r="R1558" s="0" t="s">
        <v>7435</v>
      </c>
      <c r="S1558" s="0" t="s">
        <v>7344</v>
      </c>
      <c r="T1558" s="0" t="s">
        <v>228</v>
      </c>
      <c r="V1558" s="0" t="s">
        <v>61</v>
      </c>
      <c r="W1558" s="0" t="s">
        <v>63</v>
      </c>
      <c r="X1558" s="0" t="s">
        <v>7355</v>
      </c>
      <c r="Y1558" s="0" t="s">
        <v>7459</v>
      </c>
      <c r="Z1558" s="0" t="s">
        <v>8083</v>
      </c>
      <c r="AA1558" s="0" t="s">
        <v>7592</v>
      </c>
      <c r="AB1558" s="0" t="s">
        <v>344</v>
      </c>
      <c r="AC1558" s="0" t="s">
        <v>7349</v>
      </c>
      <c r="AD1558" s="0" t="s">
        <v>8087</v>
      </c>
      <c r="AE1558" s="0" t="s">
        <v>7462</v>
      </c>
      <c r="AF1558" s="0" t="s">
        <v>7374</v>
      </c>
      <c r="AG1558" s="0" t="s">
        <v>230</v>
      </c>
    </row>
    <row r="1559" customFormat="false" ht="15" hidden="false" customHeight="false" outlineLevel="0" collapsed="false">
      <c r="A1559" s="0" t="s">
        <v>7336</v>
      </c>
      <c r="B1559" s="0" t="s">
        <v>5689</v>
      </c>
      <c r="C1559" s="0" t="s">
        <v>5690</v>
      </c>
      <c r="D1559" s="0" t="s">
        <v>1184</v>
      </c>
      <c r="E1559" s="0" t="s">
        <v>5691</v>
      </c>
      <c r="F1559" s="0" t="s">
        <v>5688</v>
      </c>
      <c r="G1559" s="0" t="s">
        <v>124</v>
      </c>
      <c r="H1559" s="0" t="s">
        <v>8336</v>
      </c>
      <c r="I1559" s="0" t="s">
        <v>7338</v>
      </c>
      <c r="J1559" s="0" t="s">
        <v>1602</v>
      </c>
      <c r="K1559" s="0" t="s">
        <v>7339</v>
      </c>
      <c r="L1559" s="0" t="s">
        <v>7340</v>
      </c>
      <c r="M1559" s="0" t="s">
        <v>7661</v>
      </c>
      <c r="N1559" s="0" t="s">
        <v>7342</v>
      </c>
      <c r="P1559" s="0" t="s">
        <v>229</v>
      </c>
      <c r="Q1559" s="0" t="s">
        <v>7354</v>
      </c>
      <c r="R1559" s="0" t="s">
        <v>7435</v>
      </c>
      <c r="S1559" s="0" t="s">
        <v>7344</v>
      </c>
      <c r="T1559" s="0" t="s">
        <v>228</v>
      </c>
      <c r="V1559" s="0" t="s">
        <v>61</v>
      </c>
      <c r="W1559" s="0" t="s">
        <v>63</v>
      </c>
      <c r="X1559" s="0" t="s">
        <v>7355</v>
      </c>
      <c r="Y1559" s="0" t="s">
        <v>7459</v>
      </c>
      <c r="Z1559" s="0" t="s">
        <v>8083</v>
      </c>
      <c r="AA1559" s="0" t="s">
        <v>7592</v>
      </c>
      <c r="AB1559" s="0" t="s">
        <v>344</v>
      </c>
      <c r="AC1559" s="0" t="s">
        <v>7349</v>
      </c>
      <c r="AD1559" s="0" t="s">
        <v>8087</v>
      </c>
      <c r="AE1559" s="0" t="s">
        <v>7462</v>
      </c>
      <c r="AF1559" s="0" t="s">
        <v>7374</v>
      </c>
      <c r="AG1559" s="0" t="s">
        <v>230</v>
      </c>
    </row>
    <row r="1560" customFormat="false" ht="15" hidden="false" customHeight="false" outlineLevel="0" collapsed="false">
      <c r="A1560" s="0" t="s">
        <v>7336</v>
      </c>
      <c r="B1560" s="0" t="s">
        <v>5692</v>
      </c>
      <c r="C1560" s="0" t="s">
        <v>5693</v>
      </c>
      <c r="D1560" s="0" t="s">
        <v>1184</v>
      </c>
      <c r="E1560" s="0" t="s">
        <v>5694</v>
      </c>
      <c r="F1560" s="0" t="s">
        <v>5695</v>
      </c>
      <c r="G1560" s="0" t="s">
        <v>124</v>
      </c>
      <c r="H1560" s="0" t="s">
        <v>8337</v>
      </c>
      <c r="I1560" s="0" t="s">
        <v>7338</v>
      </c>
      <c r="J1560" s="0" t="s">
        <v>1602</v>
      </c>
      <c r="K1560" s="0" t="s">
        <v>7339</v>
      </c>
      <c r="L1560" s="0" t="s">
        <v>7340</v>
      </c>
      <c r="M1560" s="0" t="s">
        <v>7661</v>
      </c>
      <c r="N1560" s="0" t="s">
        <v>7342</v>
      </c>
      <c r="P1560" s="0" t="s">
        <v>229</v>
      </c>
      <c r="Q1560" s="0" t="s">
        <v>7354</v>
      </c>
      <c r="R1560" s="0" t="s">
        <v>7435</v>
      </c>
      <c r="S1560" s="0" t="s">
        <v>7344</v>
      </c>
      <c r="T1560" s="0" t="s">
        <v>228</v>
      </c>
      <c r="V1560" s="0" t="s">
        <v>61</v>
      </c>
      <c r="W1560" s="0" t="s">
        <v>63</v>
      </c>
      <c r="X1560" s="0" t="s">
        <v>7355</v>
      </c>
      <c r="Y1560" s="0" t="s">
        <v>7459</v>
      </c>
      <c r="Z1560" s="0" t="s">
        <v>8083</v>
      </c>
      <c r="AA1560" s="0" t="s">
        <v>7592</v>
      </c>
      <c r="AB1560" s="0" t="s">
        <v>344</v>
      </c>
      <c r="AC1560" s="0" t="s">
        <v>7349</v>
      </c>
      <c r="AD1560" s="0" t="s">
        <v>8087</v>
      </c>
      <c r="AE1560" s="0" t="s">
        <v>7462</v>
      </c>
      <c r="AF1560" s="0" t="s">
        <v>7374</v>
      </c>
      <c r="AG1560" s="0" t="s">
        <v>230</v>
      </c>
    </row>
    <row r="1561" customFormat="false" ht="15" hidden="false" customHeight="false" outlineLevel="0" collapsed="false">
      <c r="A1561" s="0" t="s">
        <v>7336</v>
      </c>
      <c r="B1561" s="0" t="s">
        <v>5696</v>
      </c>
      <c r="C1561" s="0" t="s">
        <v>5697</v>
      </c>
      <c r="D1561" s="0" t="s">
        <v>1184</v>
      </c>
      <c r="E1561" s="0" t="s">
        <v>5698</v>
      </c>
      <c r="F1561" s="0" t="s">
        <v>5699</v>
      </c>
      <c r="G1561" s="0" t="s">
        <v>124</v>
      </c>
      <c r="H1561" s="0" t="s">
        <v>8338</v>
      </c>
      <c r="I1561" s="0" t="s">
        <v>7338</v>
      </c>
      <c r="J1561" s="0" t="s">
        <v>1602</v>
      </c>
      <c r="K1561" s="0" t="s">
        <v>7339</v>
      </c>
      <c r="L1561" s="0" t="s">
        <v>7340</v>
      </c>
      <c r="M1561" s="0" t="s">
        <v>7661</v>
      </c>
      <c r="N1561" s="0" t="s">
        <v>7342</v>
      </c>
      <c r="P1561" s="0" t="s">
        <v>229</v>
      </c>
      <c r="Q1561" s="0" t="s">
        <v>7354</v>
      </c>
      <c r="R1561" s="0" t="s">
        <v>7435</v>
      </c>
      <c r="S1561" s="0" t="s">
        <v>7344</v>
      </c>
      <c r="T1561" s="0" t="s">
        <v>228</v>
      </c>
      <c r="V1561" s="0" t="s">
        <v>61</v>
      </c>
      <c r="W1561" s="0" t="s">
        <v>63</v>
      </c>
      <c r="X1561" s="0" t="s">
        <v>7355</v>
      </c>
      <c r="Y1561" s="0" t="s">
        <v>7459</v>
      </c>
      <c r="Z1561" s="0" t="s">
        <v>8083</v>
      </c>
      <c r="AA1561" s="0" t="s">
        <v>7592</v>
      </c>
      <c r="AB1561" s="0" t="s">
        <v>344</v>
      </c>
      <c r="AC1561" s="0" t="s">
        <v>7349</v>
      </c>
      <c r="AD1561" s="0" t="s">
        <v>8096</v>
      </c>
      <c r="AE1561" s="0" t="s">
        <v>7462</v>
      </c>
      <c r="AF1561" s="0" t="s">
        <v>7374</v>
      </c>
      <c r="AG1561" s="0" t="s">
        <v>230</v>
      </c>
    </row>
    <row r="1562" customFormat="false" ht="15" hidden="false" customHeight="false" outlineLevel="0" collapsed="false">
      <c r="A1562" s="0" t="s">
        <v>7336</v>
      </c>
      <c r="B1562" s="0" t="s">
        <v>5700</v>
      </c>
      <c r="C1562" s="0" t="s">
        <v>5701</v>
      </c>
      <c r="D1562" s="0" t="s">
        <v>1184</v>
      </c>
      <c r="E1562" s="0" t="s">
        <v>5702</v>
      </c>
      <c r="F1562" s="0" t="s">
        <v>5703</v>
      </c>
      <c r="G1562" s="0" t="s">
        <v>124</v>
      </c>
      <c r="H1562" s="0" t="s">
        <v>8339</v>
      </c>
      <c r="I1562" s="0" t="s">
        <v>7338</v>
      </c>
      <c r="J1562" s="0" t="s">
        <v>1602</v>
      </c>
      <c r="K1562" s="0" t="s">
        <v>7339</v>
      </c>
      <c r="L1562" s="0" t="s">
        <v>7340</v>
      </c>
      <c r="M1562" s="0" t="s">
        <v>7661</v>
      </c>
      <c r="N1562" s="0" t="s">
        <v>7342</v>
      </c>
      <c r="P1562" s="0" t="s">
        <v>229</v>
      </c>
      <c r="Q1562" s="0" t="s">
        <v>7354</v>
      </c>
      <c r="R1562" s="0" t="s">
        <v>7435</v>
      </c>
      <c r="S1562" s="0" t="s">
        <v>7344</v>
      </c>
      <c r="T1562" s="0" t="s">
        <v>228</v>
      </c>
      <c r="V1562" s="0" t="s">
        <v>61</v>
      </c>
      <c r="W1562" s="0" t="s">
        <v>63</v>
      </c>
      <c r="X1562" s="0" t="s">
        <v>7355</v>
      </c>
      <c r="Y1562" s="0" t="s">
        <v>7459</v>
      </c>
      <c r="Z1562" s="0" t="s">
        <v>8083</v>
      </c>
      <c r="AA1562" s="0" t="s">
        <v>7592</v>
      </c>
      <c r="AB1562" s="0" t="s">
        <v>344</v>
      </c>
      <c r="AC1562" s="0" t="s">
        <v>7349</v>
      </c>
      <c r="AD1562" s="0" t="s">
        <v>8096</v>
      </c>
      <c r="AE1562" s="0" t="s">
        <v>7462</v>
      </c>
      <c r="AF1562" s="0" t="s">
        <v>7374</v>
      </c>
      <c r="AG1562" s="0" t="s">
        <v>230</v>
      </c>
    </row>
    <row r="1563" customFormat="false" ht="15" hidden="false" customHeight="false" outlineLevel="0" collapsed="false">
      <c r="A1563" s="0" t="s">
        <v>7336</v>
      </c>
      <c r="B1563" s="0" t="s">
        <v>5704</v>
      </c>
      <c r="C1563" s="0" t="s">
        <v>5705</v>
      </c>
      <c r="D1563" s="0" t="s">
        <v>1184</v>
      </c>
      <c r="E1563" s="0" t="s">
        <v>5706</v>
      </c>
      <c r="F1563" s="0" t="s">
        <v>5707</v>
      </c>
      <c r="G1563" s="0" t="s">
        <v>124</v>
      </c>
      <c r="H1563" s="0" t="s">
        <v>8340</v>
      </c>
      <c r="I1563" s="0" t="s">
        <v>7338</v>
      </c>
      <c r="J1563" s="0" t="s">
        <v>1602</v>
      </c>
      <c r="K1563" s="0" t="s">
        <v>7339</v>
      </c>
      <c r="L1563" s="0" t="s">
        <v>7340</v>
      </c>
      <c r="M1563" s="0" t="s">
        <v>7661</v>
      </c>
      <c r="N1563" s="0" t="s">
        <v>7342</v>
      </c>
      <c r="P1563" s="0" t="s">
        <v>229</v>
      </c>
      <c r="Q1563" s="0" t="s">
        <v>7354</v>
      </c>
      <c r="R1563" s="0" t="s">
        <v>7435</v>
      </c>
      <c r="S1563" s="0" t="s">
        <v>7344</v>
      </c>
      <c r="T1563" s="0" t="s">
        <v>228</v>
      </c>
      <c r="V1563" s="0" t="s">
        <v>61</v>
      </c>
      <c r="W1563" s="0" t="s">
        <v>63</v>
      </c>
      <c r="X1563" s="0" t="s">
        <v>7355</v>
      </c>
      <c r="Y1563" s="0" t="s">
        <v>7459</v>
      </c>
      <c r="Z1563" s="0" t="s">
        <v>8083</v>
      </c>
      <c r="AA1563" s="0" t="s">
        <v>7592</v>
      </c>
      <c r="AB1563" s="0" t="s">
        <v>344</v>
      </c>
      <c r="AC1563" s="0" t="s">
        <v>7349</v>
      </c>
      <c r="AD1563" s="0" t="s">
        <v>8096</v>
      </c>
      <c r="AE1563" s="0" t="s">
        <v>7462</v>
      </c>
      <c r="AF1563" s="0" t="s">
        <v>7374</v>
      </c>
      <c r="AG1563" s="0" t="s">
        <v>230</v>
      </c>
    </row>
    <row r="1564" customFormat="false" ht="15" hidden="false" customHeight="false" outlineLevel="0" collapsed="false">
      <c r="A1564" s="0" t="s">
        <v>7336</v>
      </c>
      <c r="B1564" s="0" t="s">
        <v>5708</v>
      </c>
      <c r="C1564" s="0" t="s">
        <v>5709</v>
      </c>
      <c r="D1564" s="0" t="s">
        <v>1184</v>
      </c>
      <c r="E1564" s="0" t="s">
        <v>5710</v>
      </c>
      <c r="F1564" s="0" t="s">
        <v>3253</v>
      </c>
      <c r="G1564" s="0" t="s">
        <v>124</v>
      </c>
      <c r="H1564" s="0" t="s">
        <v>7926</v>
      </c>
      <c r="I1564" s="0" t="s">
        <v>7338</v>
      </c>
      <c r="J1564" s="0" t="s">
        <v>1602</v>
      </c>
      <c r="K1564" s="0" t="s">
        <v>7339</v>
      </c>
      <c r="L1564" s="0" t="s">
        <v>7340</v>
      </c>
      <c r="M1564" s="0" t="s">
        <v>7661</v>
      </c>
      <c r="N1564" s="0" t="s">
        <v>7342</v>
      </c>
      <c r="P1564" s="0" t="s">
        <v>229</v>
      </c>
      <c r="Q1564" s="0" t="s">
        <v>7354</v>
      </c>
      <c r="R1564" s="0" t="s">
        <v>7435</v>
      </c>
      <c r="S1564" s="0" t="s">
        <v>7344</v>
      </c>
      <c r="T1564" s="0" t="s">
        <v>228</v>
      </c>
      <c r="V1564" s="0" t="s">
        <v>61</v>
      </c>
      <c r="W1564" s="0" t="s">
        <v>63</v>
      </c>
      <c r="X1564" s="0" t="s">
        <v>7355</v>
      </c>
      <c r="Y1564" s="0" t="s">
        <v>7459</v>
      </c>
      <c r="Z1564" s="0" t="s">
        <v>8083</v>
      </c>
      <c r="AA1564" s="0" t="s">
        <v>7592</v>
      </c>
      <c r="AB1564" s="0" t="s">
        <v>344</v>
      </c>
      <c r="AC1564" s="0" t="s">
        <v>7349</v>
      </c>
      <c r="AD1564" s="0" t="s">
        <v>8094</v>
      </c>
      <c r="AE1564" s="0" t="s">
        <v>7462</v>
      </c>
      <c r="AF1564" s="0" t="s">
        <v>7374</v>
      </c>
      <c r="AG1564" s="0" t="s">
        <v>230</v>
      </c>
    </row>
    <row r="1565" customFormat="false" ht="15" hidden="false" customHeight="false" outlineLevel="0" collapsed="false">
      <c r="A1565" s="0" t="s">
        <v>7336</v>
      </c>
      <c r="B1565" s="0" t="s">
        <v>5711</v>
      </c>
      <c r="C1565" s="0" t="s">
        <v>5712</v>
      </c>
      <c r="D1565" s="0" t="s">
        <v>1184</v>
      </c>
      <c r="E1565" s="0" t="s">
        <v>5713</v>
      </c>
      <c r="F1565" s="0" t="s">
        <v>5714</v>
      </c>
      <c r="G1565" s="0" t="s">
        <v>124</v>
      </c>
      <c r="H1565" s="0" t="s">
        <v>8341</v>
      </c>
      <c r="I1565" s="0" t="s">
        <v>7338</v>
      </c>
      <c r="J1565" s="0" t="s">
        <v>1602</v>
      </c>
      <c r="K1565" s="0" t="s">
        <v>7339</v>
      </c>
      <c r="L1565" s="0" t="s">
        <v>7340</v>
      </c>
      <c r="M1565" s="0" t="s">
        <v>7661</v>
      </c>
      <c r="N1565" s="0" t="s">
        <v>7342</v>
      </c>
      <c r="P1565" s="0" t="s">
        <v>229</v>
      </c>
      <c r="Q1565" s="0" t="s">
        <v>7354</v>
      </c>
      <c r="S1565" s="0" t="s">
        <v>7344</v>
      </c>
      <c r="T1565" s="0" t="s">
        <v>58</v>
      </c>
      <c r="V1565" s="0" t="s">
        <v>55</v>
      </c>
      <c r="W1565" s="0" t="s">
        <v>55</v>
      </c>
      <c r="X1565" s="0" t="s">
        <v>7355</v>
      </c>
      <c r="Z1565" s="0" t="s">
        <v>7493</v>
      </c>
      <c r="AB1565" s="0" t="s">
        <v>344</v>
      </c>
      <c r="AC1565" s="0" t="s">
        <v>7349</v>
      </c>
      <c r="AE1565" s="0" t="s">
        <v>7826</v>
      </c>
      <c r="AF1565" s="0" t="s">
        <v>7374</v>
      </c>
      <c r="AG1565" s="0" t="s">
        <v>230</v>
      </c>
    </row>
    <row r="1566" customFormat="false" ht="15" hidden="false" customHeight="false" outlineLevel="0" collapsed="false">
      <c r="A1566" s="0" t="s">
        <v>7336</v>
      </c>
      <c r="B1566" s="0" t="s">
        <v>5715</v>
      </c>
      <c r="C1566" s="0" t="s">
        <v>5716</v>
      </c>
      <c r="D1566" s="0" t="s">
        <v>1184</v>
      </c>
      <c r="E1566" s="0" t="s">
        <v>5717</v>
      </c>
      <c r="F1566" s="0" t="s">
        <v>5718</v>
      </c>
      <c r="G1566" s="0" t="s">
        <v>124</v>
      </c>
      <c r="H1566" s="0" t="s">
        <v>8342</v>
      </c>
      <c r="I1566" s="0" t="s">
        <v>7338</v>
      </c>
      <c r="J1566" s="0" t="s">
        <v>1602</v>
      </c>
      <c r="K1566" s="0" t="s">
        <v>7339</v>
      </c>
      <c r="L1566" s="0" t="s">
        <v>7340</v>
      </c>
      <c r="M1566" s="0" t="s">
        <v>7661</v>
      </c>
      <c r="N1566" s="0" t="s">
        <v>7342</v>
      </c>
      <c r="P1566" s="0" t="s">
        <v>229</v>
      </c>
      <c r="Q1566" s="0" t="s">
        <v>7354</v>
      </c>
      <c r="S1566" s="0" t="s">
        <v>7344</v>
      </c>
      <c r="T1566" s="0" t="s">
        <v>58</v>
      </c>
      <c r="V1566" s="0" t="s">
        <v>55</v>
      </c>
      <c r="W1566" s="0" t="s">
        <v>55</v>
      </c>
      <c r="X1566" s="0" t="s">
        <v>7355</v>
      </c>
      <c r="Z1566" s="0" t="s">
        <v>7493</v>
      </c>
      <c r="AB1566" s="0" t="s">
        <v>344</v>
      </c>
      <c r="AC1566" s="0" t="s">
        <v>7349</v>
      </c>
      <c r="AE1566" s="0" t="s">
        <v>7826</v>
      </c>
      <c r="AF1566" s="0" t="s">
        <v>7374</v>
      </c>
      <c r="AG1566" s="0" t="s">
        <v>230</v>
      </c>
    </row>
    <row r="1567" customFormat="false" ht="15" hidden="false" customHeight="false" outlineLevel="0" collapsed="false">
      <c r="A1567" s="0" t="s">
        <v>7336</v>
      </c>
      <c r="B1567" s="0" t="s">
        <v>5719</v>
      </c>
      <c r="C1567" s="0" t="s">
        <v>5720</v>
      </c>
      <c r="D1567" s="0" t="s">
        <v>1184</v>
      </c>
      <c r="E1567" s="0" t="s">
        <v>5721</v>
      </c>
      <c r="F1567" s="0" t="s">
        <v>5722</v>
      </c>
      <c r="G1567" s="0" t="s">
        <v>124</v>
      </c>
      <c r="H1567" s="0" t="s">
        <v>8343</v>
      </c>
      <c r="I1567" s="0" t="s">
        <v>7338</v>
      </c>
      <c r="J1567" s="0" t="s">
        <v>1602</v>
      </c>
      <c r="K1567" s="0" t="s">
        <v>7339</v>
      </c>
      <c r="L1567" s="0" t="s">
        <v>7340</v>
      </c>
      <c r="M1567" s="0" t="s">
        <v>7661</v>
      </c>
      <c r="N1567" s="0" t="s">
        <v>7342</v>
      </c>
      <c r="P1567" s="0" t="s">
        <v>229</v>
      </c>
      <c r="Q1567" s="0" t="s">
        <v>7354</v>
      </c>
      <c r="S1567" s="0" t="s">
        <v>7344</v>
      </c>
      <c r="T1567" s="0" t="s">
        <v>58</v>
      </c>
      <c r="V1567" s="0" t="s">
        <v>55</v>
      </c>
      <c r="W1567" s="0" t="s">
        <v>55</v>
      </c>
      <c r="X1567" s="0" t="s">
        <v>7355</v>
      </c>
      <c r="Z1567" s="0" t="s">
        <v>7493</v>
      </c>
      <c r="AB1567" s="0" t="s">
        <v>344</v>
      </c>
      <c r="AC1567" s="0" t="s">
        <v>7349</v>
      </c>
      <c r="AE1567" s="0" t="s">
        <v>7826</v>
      </c>
      <c r="AF1567" s="0" t="s">
        <v>7374</v>
      </c>
      <c r="AG1567" s="0" t="s">
        <v>230</v>
      </c>
    </row>
    <row r="1568" customFormat="false" ht="15" hidden="false" customHeight="false" outlineLevel="0" collapsed="false">
      <c r="A1568" s="0" t="s">
        <v>7336</v>
      </c>
      <c r="B1568" s="0" t="s">
        <v>5723</v>
      </c>
      <c r="C1568" s="0" t="s">
        <v>5724</v>
      </c>
      <c r="D1568" s="0" t="s">
        <v>1184</v>
      </c>
      <c r="E1568" s="0" t="s">
        <v>5725</v>
      </c>
      <c r="F1568" s="0" t="s">
        <v>5726</v>
      </c>
      <c r="G1568" s="0" t="s">
        <v>124</v>
      </c>
      <c r="H1568" s="0" t="s">
        <v>8344</v>
      </c>
      <c r="I1568" s="0" t="s">
        <v>7338</v>
      </c>
      <c r="J1568" s="0" t="s">
        <v>1602</v>
      </c>
      <c r="K1568" s="0" t="s">
        <v>7339</v>
      </c>
      <c r="L1568" s="0" t="s">
        <v>7340</v>
      </c>
      <c r="M1568" s="0" t="s">
        <v>7661</v>
      </c>
      <c r="N1568" s="0" t="s">
        <v>7342</v>
      </c>
      <c r="P1568" s="0" t="s">
        <v>229</v>
      </c>
      <c r="Q1568" s="0" t="s">
        <v>7354</v>
      </c>
      <c r="S1568" s="0" t="s">
        <v>7344</v>
      </c>
      <c r="T1568" s="0" t="s">
        <v>58</v>
      </c>
      <c r="V1568" s="0" t="s">
        <v>55</v>
      </c>
      <c r="W1568" s="0" t="s">
        <v>55</v>
      </c>
      <c r="X1568" s="0" t="s">
        <v>7355</v>
      </c>
      <c r="Z1568" s="0" t="s">
        <v>7493</v>
      </c>
      <c r="AB1568" s="0" t="s">
        <v>344</v>
      </c>
      <c r="AC1568" s="0" t="s">
        <v>7349</v>
      </c>
      <c r="AE1568" s="0" t="s">
        <v>7826</v>
      </c>
      <c r="AF1568" s="0" t="s">
        <v>7374</v>
      </c>
      <c r="AG1568" s="0" t="s">
        <v>230</v>
      </c>
    </row>
    <row r="1569" customFormat="false" ht="15" hidden="false" customHeight="false" outlineLevel="0" collapsed="false">
      <c r="A1569" s="0" t="s">
        <v>7336</v>
      </c>
      <c r="B1569" s="0" t="s">
        <v>5727</v>
      </c>
      <c r="C1569" s="0" t="s">
        <v>5728</v>
      </c>
      <c r="D1569" s="0" t="s">
        <v>1184</v>
      </c>
      <c r="E1569" s="0" t="s">
        <v>5729</v>
      </c>
      <c r="F1569" s="0" t="s">
        <v>5730</v>
      </c>
      <c r="G1569" s="0" t="s">
        <v>124</v>
      </c>
      <c r="H1569" s="0" t="s">
        <v>8345</v>
      </c>
      <c r="I1569" s="0" t="s">
        <v>7338</v>
      </c>
      <c r="J1569" s="0" t="s">
        <v>1602</v>
      </c>
      <c r="K1569" s="0" t="s">
        <v>7339</v>
      </c>
      <c r="L1569" s="0" t="s">
        <v>7340</v>
      </c>
      <c r="M1569" s="0" t="s">
        <v>7661</v>
      </c>
      <c r="N1569" s="0" t="s">
        <v>7342</v>
      </c>
      <c r="P1569" s="0" t="s">
        <v>229</v>
      </c>
      <c r="Q1569" s="0" t="s">
        <v>7354</v>
      </c>
      <c r="S1569" s="0" t="s">
        <v>7344</v>
      </c>
      <c r="T1569" s="0" t="s">
        <v>58</v>
      </c>
      <c r="V1569" s="0" t="s">
        <v>55</v>
      </c>
      <c r="W1569" s="0" t="s">
        <v>55</v>
      </c>
      <c r="X1569" s="0" t="s">
        <v>7355</v>
      </c>
      <c r="Z1569" s="0" t="s">
        <v>7493</v>
      </c>
      <c r="AB1569" s="0" t="s">
        <v>344</v>
      </c>
      <c r="AC1569" s="0" t="s">
        <v>7349</v>
      </c>
      <c r="AE1569" s="0" t="s">
        <v>7826</v>
      </c>
      <c r="AF1569" s="0" t="s">
        <v>7374</v>
      </c>
      <c r="AG1569" s="0" t="s">
        <v>230</v>
      </c>
    </row>
    <row r="1570" customFormat="false" ht="15" hidden="false" customHeight="false" outlineLevel="0" collapsed="false">
      <c r="A1570" s="0" t="s">
        <v>7336</v>
      </c>
      <c r="B1570" s="0" t="s">
        <v>5731</v>
      </c>
      <c r="C1570" s="0" t="s">
        <v>5732</v>
      </c>
      <c r="D1570" s="0" t="s">
        <v>1184</v>
      </c>
      <c r="E1570" s="0" t="s">
        <v>5733</v>
      </c>
      <c r="F1570" s="0" t="s">
        <v>5734</v>
      </c>
      <c r="G1570" s="0" t="s">
        <v>124</v>
      </c>
      <c r="H1570" s="0" t="s">
        <v>8346</v>
      </c>
      <c r="I1570" s="0" t="s">
        <v>7338</v>
      </c>
      <c r="J1570" s="0" t="s">
        <v>1602</v>
      </c>
      <c r="K1570" s="0" t="s">
        <v>7339</v>
      </c>
      <c r="L1570" s="0" t="s">
        <v>7340</v>
      </c>
      <c r="M1570" s="0" t="s">
        <v>7661</v>
      </c>
      <c r="N1570" s="0" t="s">
        <v>7342</v>
      </c>
      <c r="P1570" s="0" t="s">
        <v>229</v>
      </c>
      <c r="Q1570" s="0" t="s">
        <v>7354</v>
      </c>
      <c r="S1570" s="0" t="s">
        <v>7344</v>
      </c>
      <c r="T1570" s="0" t="s">
        <v>58</v>
      </c>
      <c r="V1570" s="0" t="s">
        <v>55</v>
      </c>
      <c r="W1570" s="0" t="s">
        <v>55</v>
      </c>
      <c r="X1570" s="0" t="s">
        <v>7355</v>
      </c>
      <c r="Z1570" s="0" t="s">
        <v>7493</v>
      </c>
      <c r="AB1570" s="0" t="s">
        <v>344</v>
      </c>
      <c r="AC1570" s="0" t="s">
        <v>7349</v>
      </c>
      <c r="AE1570" s="0" t="s">
        <v>7826</v>
      </c>
      <c r="AF1570" s="0" t="s">
        <v>7374</v>
      </c>
      <c r="AG1570" s="0" t="s">
        <v>230</v>
      </c>
    </row>
    <row r="1571" customFormat="false" ht="15" hidden="false" customHeight="false" outlineLevel="0" collapsed="false">
      <c r="A1571" s="0" t="s">
        <v>7336</v>
      </c>
      <c r="B1571" s="0" t="s">
        <v>5735</v>
      </c>
      <c r="C1571" s="0" t="s">
        <v>5736</v>
      </c>
      <c r="D1571" s="0" t="s">
        <v>1184</v>
      </c>
      <c r="E1571" s="0" t="s">
        <v>5737</v>
      </c>
      <c r="F1571" s="0" t="s">
        <v>5738</v>
      </c>
      <c r="G1571" s="0" t="s">
        <v>124</v>
      </c>
      <c r="H1571" s="0" t="s">
        <v>8347</v>
      </c>
      <c r="I1571" s="0" t="s">
        <v>7338</v>
      </c>
      <c r="J1571" s="0" t="s">
        <v>1602</v>
      </c>
      <c r="K1571" s="0" t="s">
        <v>7339</v>
      </c>
      <c r="L1571" s="0" t="s">
        <v>7340</v>
      </c>
      <c r="M1571" s="0" t="s">
        <v>7661</v>
      </c>
      <c r="N1571" s="0" t="s">
        <v>7342</v>
      </c>
      <c r="P1571" s="0" t="s">
        <v>229</v>
      </c>
      <c r="Q1571" s="0" t="s">
        <v>7354</v>
      </c>
      <c r="S1571" s="0" t="s">
        <v>7344</v>
      </c>
      <c r="T1571" s="0" t="s">
        <v>58</v>
      </c>
      <c r="V1571" s="0" t="s">
        <v>55</v>
      </c>
      <c r="W1571" s="0" t="s">
        <v>55</v>
      </c>
      <c r="X1571" s="0" t="s">
        <v>7355</v>
      </c>
      <c r="Z1571" s="0" t="s">
        <v>7493</v>
      </c>
      <c r="AB1571" s="0" t="s">
        <v>344</v>
      </c>
      <c r="AC1571" s="0" t="s">
        <v>7349</v>
      </c>
      <c r="AE1571" s="0" t="s">
        <v>7826</v>
      </c>
      <c r="AF1571" s="0" t="s">
        <v>7374</v>
      </c>
      <c r="AG1571" s="0" t="s">
        <v>230</v>
      </c>
    </row>
    <row r="1572" customFormat="false" ht="15" hidden="false" customHeight="false" outlineLevel="0" collapsed="false">
      <c r="A1572" s="0" t="s">
        <v>7336</v>
      </c>
      <c r="B1572" s="0" t="s">
        <v>5739</v>
      </c>
      <c r="C1572" s="0" t="s">
        <v>5740</v>
      </c>
      <c r="D1572" s="0" t="s">
        <v>1184</v>
      </c>
      <c r="E1572" s="0" t="s">
        <v>5741</v>
      </c>
      <c r="F1572" s="0" t="s">
        <v>5742</v>
      </c>
      <c r="G1572" s="0" t="s">
        <v>124</v>
      </c>
      <c r="H1572" s="0" t="s">
        <v>8348</v>
      </c>
      <c r="I1572" s="0" t="s">
        <v>7338</v>
      </c>
      <c r="J1572" s="0" t="s">
        <v>1602</v>
      </c>
      <c r="K1572" s="0" t="s">
        <v>7339</v>
      </c>
      <c r="L1572" s="0" t="s">
        <v>7340</v>
      </c>
      <c r="M1572" s="0" t="s">
        <v>7661</v>
      </c>
      <c r="N1572" s="0" t="s">
        <v>7342</v>
      </c>
      <c r="P1572" s="0" t="s">
        <v>229</v>
      </c>
      <c r="Q1572" s="0" t="s">
        <v>7354</v>
      </c>
      <c r="S1572" s="0" t="s">
        <v>7344</v>
      </c>
      <c r="T1572" s="0" t="s">
        <v>58</v>
      </c>
      <c r="V1572" s="0" t="s">
        <v>55</v>
      </c>
      <c r="W1572" s="0" t="s">
        <v>55</v>
      </c>
      <c r="X1572" s="0" t="s">
        <v>7355</v>
      </c>
      <c r="Z1572" s="0" t="s">
        <v>7493</v>
      </c>
      <c r="AB1572" s="0" t="s">
        <v>344</v>
      </c>
      <c r="AC1572" s="0" t="s">
        <v>7349</v>
      </c>
      <c r="AE1572" s="0" t="s">
        <v>7826</v>
      </c>
      <c r="AF1572" s="0" t="s">
        <v>7374</v>
      </c>
      <c r="AG1572" s="0" t="s">
        <v>230</v>
      </c>
    </row>
    <row r="1573" customFormat="false" ht="15" hidden="false" customHeight="false" outlineLevel="0" collapsed="false">
      <c r="A1573" s="0" t="s">
        <v>7336</v>
      </c>
      <c r="B1573" s="0" t="s">
        <v>5743</v>
      </c>
      <c r="C1573" s="0" t="s">
        <v>5744</v>
      </c>
      <c r="D1573" s="0" t="s">
        <v>1184</v>
      </c>
      <c r="E1573" s="0" t="s">
        <v>5745</v>
      </c>
      <c r="F1573" s="0" t="s">
        <v>5746</v>
      </c>
      <c r="G1573" s="0" t="s">
        <v>124</v>
      </c>
      <c r="H1573" s="0" t="s">
        <v>8349</v>
      </c>
      <c r="I1573" s="0" t="s">
        <v>7338</v>
      </c>
      <c r="J1573" s="0" t="s">
        <v>1602</v>
      </c>
      <c r="K1573" s="0" t="s">
        <v>7339</v>
      </c>
      <c r="L1573" s="0" t="s">
        <v>7340</v>
      </c>
      <c r="M1573" s="0" t="s">
        <v>7661</v>
      </c>
      <c r="N1573" s="0" t="s">
        <v>7342</v>
      </c>
      <c r="P1573" s="0" t="s">
        <v>229</v>
      </c>
      <c r="Q1573" s="0" t="s">
        <v>7354</v>
      </c>
      <c r="S1573" s="0" t="s">
        <v>7344</v>
      </c>
      <c r="T1573" s="0" t="s">
        <v>58</v>
      </c>
      <c r="V1573" s="0" t="s">
        <v>55</v>
      </c>
      <c r="W1573" s="0" t="s">
        <v>55</v>
      </c>
      <c r="X1573" s="0" t="s">
        <v>7355</v>
      </c>
      <c r="Z1573" s="0" t="s">
        <v>7493</v>
      </c>
      <c r="AB1573" s="0" t="s">
        <v>344</v>
      </c>
      <c r="AC1573" s="0" t="s">
        <v>7349</v>
      </c>
      <c r="AE1573" s="0" t="s">
        <v>7826</v>
      </c>
      <c r="AF1573" s="0" t="s">
        <v>7374</v>
      </c>
      <c r="AG1573" s="0" t="s">
        <v>230</v>
      </c>
    </row>
    <row r="1574" customFormat="false" ht="15" hidden="false" customHeight="false" outlineLevel="0" collapsed="false">
      <c r="A1574" s="0" t="s">
        <v>7336</v>
      </c>
      <c r="B1574" s="0" t="s">
        <v>5747</v>
      </c>
      <c r="C1574" s="0" t="s">
        <v>5748</v>
      </c>
      <c r="D1574" s="0" t="s">
        <v>1184</v>
      </c>
      <c r="E1574" s="0" t="s">
        <v>5749</v>
      </c>
      <c r="F1574" s="0" t="s">
        <v>5750</v>
      </c>
      <c r="G1574" s="0" t="s">
        <v>124</v>
      </c>
      <c r="H1574" s="0" t="s">
        <v>8350</v>
      </c>
      <c r="I1574" s="0" t="s">
        <v>7338</v>
      </c>
      <c r="J1574" s="0" t="s">
        <v>1602</v>
      </c>
      <c r="K1574" s="0" t="s">
        <v>7339</v>
      </c>
      <c r="L1574" s="0" t="s">
        <v>7340</v>
      </c>
      <c r="M1574" s="0" t="s">
        <v>7661</v>
      </c>
      <c r="N1574" s="0" t="s">
        <v>7342</v>
      </c>
      <c r="P1574" s="0" t="s">
        <v>229</v>
      </c>
      <c r="Q1574" s="0" t="s">
        <v>7354</v>
      </c>
      <c r="S1574" s="0" t="s">
        <v>7344</v>
      </c>
      <c r="T1574" s="0" t="s">
        <v>58</v>
      </c>
      <c r="V1574" s="0" t="s">
        <v>55</v>
      </c>
      <c r="W1574" s="0" t="s">
        <v>55</v>
      </c>
      <c r="X1574" s="0" t="s">
        <v>7355</v>
      </c>
      <c r="Z1574" s="0" t="s">
        <v>7493</v>
      </c>
      <c r="AB1574" s="0" t="s">
        <v>344</v>
      </c>
      <c r="AC1574" s="0" t="s">
        <v>7349</v>
      </c>
      <c r="AE1574" s="0" t="s">
        <v>7826</v>
      </c>
      <c r="AF1574" s="0" t="s">
        <v>7374</v>
      </c>
      <c r="AG1574" s="0" t="s">
        <v>230</v>
      </c>
    </row>
    <row r="1575" customFormat="false" ht="15" hidden="false" customHeight="false" outlineLevel="0" collapsed="false">
      <c r="A1575" s="0" t="s">
        <v>7336</v>
      </c>
      <c r="B1575" s="0" t="s">
        <v>5751</v>
      </c>
      <c r="C1575" s="0" t="s">
        <v>5752</v>
      </c>
      <c r="D1575" s="0" t="s">
        <v>1184</v>
      </c>
      <c r="E1575" s="0" t="s">
        <v>5753</v>
      </c>
      <c r="F1575" s="0" t="s">
        <v>5754</v>
      </c>
      <c r="G1575" s="0" t="s">
        <v>124</v>
      </c>
      <c r="H1575" s="0" t="s">
        <v>8351</v>
      </c>
      <c r="I1575" s="0" t="s">
        <v>7338</v>
      </c>
      <c r="J1575" s="0" t="s">
        <v>1602</v>
      </c>
      <c r="K1575" s="0" t="s">
        <v>7339</v>
      </c>
      <c r="L1575" s="0" t="s">
        <v>7340</v>
      </c>
      <c r="M1575" s="0" t="s">
        <v>7661</v>
      </c>
      <c r="N1575" s="0" t="s">
        <v>7342</v>
      </c>
      <c r="P1575" s="0" t="s">
        <v>229</v>
      </c>
      <c r="Q1575" s="0" t="s">
        <v>7354</v>
      </c>
      <c r="S1575" s="0" t="s">
        <v>7344</v>
      </c>
      <c r="T1575" s="0" t="s">
        <v>58</v>
      </c>
      <c r="V1575" s="0" t="s">
        <v>55</v>
      </c>
      <c r="W1575" s="0" t="s">
        <v>55</v>
      </c>
      <c r="X1575" s="0" t="s">
        <v>7355</v>
      </c>
      <c r="Z1575" s="0" t="s">
        <v>7493</v>
      </c>
      <c r="AB1575" s="0" t="s">
        <v>344</v>
      </c>
      <c r="AC1575" s="0" t="s">
        <v>7349</v>
      </c>
      <c r="AE1575" s="0" t="s">
        <v>7826</v>
      </c>
      <c r="AF1575" s="0" t="s">
        <v>7374</v>
      </c>
      <c r="AG1575" s="0" t="s">
        <v>230</v>
      </c>
    </row>
    <row r="1576" customFormat="false" ht="15" hidden="false" customHeight="false" outlineLevel="0" collapsed="false">
      <c r="A1576" s="0" t="s">
        <v>7336</v>
      </c>
      <c r="B1576" s="0" t="s">
        <v>5755</v>
      </c>
      <c r="C1576" s="0" t="s">
        <v>5756</v>
      </c>
      <c r="D1576" s="0" t="s">
        <v>1184</v>
      </c>
      <c r="E1576" s="0" t="s">
        <v>5757</v>
      </c>
      <c r="F1576" s="0" t="s">
        <v>5758</v>
      </c>
      <c r="G1576" s="0" t="s">
        <v>124</v>
      </c>
      <c r="H1576" s="0" t="s">
        <v>8352</v>
      </c>
      <c r="I1576" s="0" t="s">
        <v>7338</v>
      </c>
      <c r="J1576" s="0" t="s">
        <v>1602</v>
      </c>
      <c r="K1576" s="0" t="s">
        <v>7339</v>
      </c>
      <c r="L1576" s="0" t="s">
        <v>7340</v>
      </c>
      <c r="M1576" s="0" t="s">
        <v>7661</v>
      </c>
      <c r="N1576" s="0" t="s">
        <v>7342</v>
      </c>
      <c r="P1576" s="0" t="s">
        <v>229</v>
      </c>
      <c r="Q1576" s="0" t="s">
        <v>7354</v>
      </c>
      <c r="S1576" s="0" t="s">
        <v>7344</v>
      </c>
      <c r="T1576" s="0" t="s">
        <v>58</v>
      </c>
      <c r="V1576" s="0" t="s">
        <v>55</v>
      </c>
      <c r="W1576" s="0" t="s">
        <v>55</v>
      </c>
      <c r="X1576" s="0" t="s">
        <v>7355</v>
      </c>
      <c r="Z1576" s="0" t="s">
        <v>7493</v>
      </c>
      <c r="AB1576" s="0" t="s">
        <v>344</v>
      </c>
      <c r="AC1576" s="0" t="s">
        <v>7349</v>
      </c>
      <c r="AE1576" s="0" t="s">
        <v>7826</v>
      </c>
      <c r="AF1576" s="0" t="s">
        <v>7374</v>
      </c>
      <c r="AG1576" s="0" t="s">
        <v>230</v>
      </c>
    </row>
    <row r="1577" customFormat="false" ht="15" hidden="false" customHeight="false" outlineLevel="0" collapsed="false">
      <c r="A1577" s="0" t="s">
        <v>7336</v>
      </c>
      <c r="B1577" s="0" t="s">
        <v>5759</v>
      </c>
      <c r="C1577" s="0" t="s">
        <v>5760</v>
      </c>
      <c r="D1577" s="0" t="s">
        <v>1184</v>
      </c>
      <c r="E1577" s="0" t="s">
        <v>5761</v>
      </c>
      <c r="F1577" s="0" t="s">
        <v>5762</v>
      </c>
      <c r="G1577" s="0" t="s">
        <v>126</v>
      </c>
      <c r="H1577" s="0" t="s">
        <v>8353</v>
      </c>
      <c r="I1577" s="0" t="s">
        <v>7338</v>
      </c>
      <c r="J1577" s="0" t="s">
        <v>1602</v>
      </c>
      <c r="K1577" s="0" t="s">
        <v>7339</v>
      </c>
      <c r="L1577" s="0" t="s">
        <v>7340</v>
      </c>
      <c r="M1577" s="0" t="s">
        <v>7661</v>
      </c>
      <c r="N1577" s="0" t="s">
        <v>7342</v>
      </c>
      <c r="P1577" s="0" t="s">
        <v>229</v>
      </c>
      <c r="Q1577" s="0" t="s">
        <v>7354</v>
      </c>
      <c r="R1577" s="0" t="s">
        <v>7435</v>
      </c>
      <c r="S1577" s="0" t="s">
        <v>7344</v>
      </c>
      <c r="T1577" s="0" t="s">
        <v>228</v>
      </c>
      <c r="V1577" s="0" t="s">
        <v>61</v>
      </c>
      <c r="W1577" s="0" t="s">
        <v>63</v>
      </c>
      <c r="X1577" s="0" t="s">
        <v>7355</v>
      </c>
      <c r="Y1577" s="0" t="s">
        <v>7459</v>
      </c>
      <c r="Z1577" s="0" t="s">
        <v>8083</v>
      </c>
      <c r="AA1577" s="0" t="s">
        <v>7592</v>
      </c>
      <c r="AB1577" s="0" t="s">
        <v>344</v>
      </c>
      <c r="AC1577" s="0" t="s">
        <v>7349</v>
      </c>
      <c r="AD1577" s="0" t="s">
        <v>8084</v>
      </c>
      <c r="AE1577" s="0" t="s">
        <v>7462</v>
      </c>
      <c r="AF1577" s="0" t="s">
        <v>7374</v>
      </c>
      <c r="AG1577" s="0" t="s">
        <v>230</v>
      </c>
    </row>
    <row r="1578" customFormat="false" ht="15" hidden="false" customHeight="false" outlineLevel="0" collapsed="false">
      <c r="A1578" s="0" t="s">
        <v>7336</v>
      </c>
      <c r="B1578" s="0" t="s">
        <v>5763</v>
      </c>
      <c r="C1578" s="0" t="s">
        <v>5764</v>
      </c>
      <c r="D1578" s="0" t="s">
        <v>1184</v>
      </c>
      <c r="E1578" s="0" t="s">
        <v>5765</v>
      </c>
      <c r="F1578" s="0" t="s">
        <v>5762</v>
      </c>
      <c r="G1578" s="0" t="s">
        <v>126</v>
      </c>
      <c r="H1578" s="0" t="s">
        <v>8353</v>
      </c>
      <c r="I1578" s="0" t="s">
        <v>7338</v>
      </c>
      <c r="J1578" s="0" t="s">
        <v>1602</v>
      </c>
      <c r="K1578" s="0" t="s">
        <v>7339</v>
      </c>
      <c r="L1578" s="0" t="s">
        <v>7340</v>
      </c>
      <c r="M1578" s="0" t="s">
        <v>7661</v>
      </c>
      <c r="N1578" s="0" t="s">
        <v>7342</v>
      </c>
      <c r="P1578" s="0" t="s">
        <v>229</v>
      </c>
      <c r="Q1578" s="0" t="s">
        <v>7354</v>
      </c>
      <c r="R1578" s="0" t="s">
        <v>7435</v>
      </c>
      <c r="S1578" s="0" t="s">
        <v>7344</v>
      </c>
      <c r="T1578" s="0" t="s">
        <v>228</v>
      </c>
      <c r="V1578" s="0" t="s">
        <v>61</v>
      </c>
      <c r="W1578" s="0" t="s">
        <v>63</v>
      </c>
      <c r="X1578" s="0" t="s">
        <v>7355</v>
      </c>
      <c r="Y1578" s="0" t="s">
        <v>7459</v>
      </c>
      <c r="Z1578" s="0" t="s">
        <v>8062</v>
      </c>
      <c r="AA1578" s="0" t="s">
        <v>7592</v>
      </c>
      <c r="AB1578" s="0" t="s">
        <v>344</v>
      </c>
      <c r="AC1578" s="0" t="s">
        <v>7349</v>
      </c>
      <c r="AD1578" s="0" t="s">
        <v>7715</v>
      </c>
      <c r="AE1578" s="0" t="s">
        <v>8085</v>
      </c>
      <c r="AF1578" s="0" t="s">
        <v>7374</v>
      </c>
      <c r="AG1578" s="0" t="s">
        <v>230</v>
      </c>
    </row>
    <row r="1579" customFormat="false" ht="15" hidden="false" customHeight="false" outlineLevel="0" collapsed="false">
      <c r="A1579" s="0" t="s">
        <v>7336</v>
      </c>
      <c r="B1579" s="0" t="s">
        <v>5766</v>
      </c>
      <c r="C1579" s="0" t="s">
        <v>5767</v>
      </c>
      <c r="D1579" s="0" t="s">
        <v>1184</v>
      </c>
      <c r="E1579" s="0" t="s">
        <v>5768</v>
      </c>
      <c r="F1579" s="0" t="s">
        <v>5769</v>
      </c>
      <c r="G1579" s="0" t="s">
        <v>126</v>
      </c>
      <c r="H1579" s="0" t="s">
        <v>8354</v>
      </c>
      <c r="I1579" s="0" t="s">
        <v>7338</v>
      </c>
      <c r="J1579" s="0" t="s">
        <v>1602</v>
      </c>
      <c r="K1579" s="0" t="s">
        <v>7339</v>
      </c>
      <c r="L1579" s="0" t="s">
        <v>7340</v>
      </c>
      <c r="M1579" s="0" t="s">
        <v>7661</v>
      </c>
      <c r="N1579" s="0" t="s">
        <v>7342</v>
      </c>
      <c r="P1579" s="0" t="s">
        <v>229</v>
      </c>
      <c r="Q1579" s="0" t="s">
        <v>7354</v>
      </c>
      <c r="R1579" s="0" t="s">
        <v>7435</v>
      </c>
      <c r="S1579" s="0" t="s">
        <v>7344</v>
      </c>
      <c r="T1579" s="0" t="s">
        <v>228</v>
      </c>
      <c r="V1579" s="0" t="s">
        <v>61</v>
      </c>
      <c r="W1579" s="0" t="s">
        <v>63</v>
      </c>
      <c r="X1579" s="0" t="s">
        <v>7355</v>
      </c>
      <c r="Y1579" s="0" t="s">
        <v>7459</v>
      </c>
      <c r="Z1579" s="0" t="s">
        <v>8083</v>
      </c>
      <c r="AA1579" s="0" t="s">
        <v>7592</v>
      </c>
      <c r="AB1579" s="0" t="s">
        <v>344</v>
      </c>
      <c r="AC1579" s="0" t="s">
        <v>7349</v>
      </c>
      <c r="AD1579" s="0" t="s">
        <v>8087</v>
      </c>
      <c r="AE1579" s="0" t="s">
        <v>7462</v>
      </c>
      <c r="AF1579" s="0" t="s">
        <v>7374</v>
      </c>
      <c r="AG1579" s="0" t="s">
        <v>230</v>
      </c>
    </row>
    <row r="1580" customFormat="false" ht="15" hidden="false" customHeight="false" outlineLevel="0" collapsed="false">
      <c r="A1580" s="0" t="s">
        <v>7336</v>
      </c>
      <c r="B1580" s="0" t="s">
        <v>5770</v>
      </c>
      <c r="C1580" s="0" t="s">
        <v>5771</v>
      </c>
      <c r="D1580" s="0" t="s">
        <v>1184</v>
      </c>
      <c r="E1580" s="0" t="s">
        <v>5772</v>
      </c>
      <c r="F1580" s="0" t="s">
        <v>5769</v>
      </c>
      <c r="G1580" s="0" t="s">
        <v>126</v>
      </c>
      <c r="H1580" s="0" t="s">
        <v>8354</v>
      </c>
      <c r="I1580" s="0" t="s">
        <v>7338</v>
      </c>
      <c r="J1580" s="0" t="s">
        <v>1602</v>
      </c>
      <c r="K1580" s="0" t="s">
        <v>7339</v>
      </c>
      <c r="L1580" s="0" t="s">
        <v>7340</v>
      </c>
      <c r="M1580" s="0" t="s">
        <v>7661</v>
      </c>
      <c r="N1580" s="0" t="s">
        <v>7342</v>
      </c>
      <c r="P1580" s="0" t="s">
        <v>229</v>
      </c>
      <c r="Q1580" s="0" t="s">
        <v>7354</v>
      </c>
      <c r="R1580" s="0" t="s">
        <v>7435</v>
      </c>
      <c r="S1580" s="0" t="s">
        <v>7344</v>
      </c>
      <c r="T1580" s="0" t="s">
        <v>228</v>
      </c>
      <c r="V1580" s="0" t="s">
        <v>61</v>
      </c>
      <c r="W1580" s="0" t="s">
        <v>63</v>
      </c>
      <c r="X1580" s="0" t="s">
        <v>7355</v>
      </c>
      <c r="Y1580" s="0" t="s">
        <v>7436</v>
      </c>
      <c r="Z1580" s="0" t="s">
        <v>8088</v>
      </c>
      <c r="AA1580" s="0" t="s">
        <v>8089</v>
      </c>
      <c r="AB1580" s="0" t="s">
        <v>4221</v>
      </c>
      <c r="AC1580" s="0" t="s">
        <v>7349</v>
      </c>
      <c r="AD1580" s="0" t="s">
        <v>8090</v>
      </c>
      <c r="AE1580" s="0" t="s">
        <v>7462</v>
      </c>
      <c r="AF1580" s="0" t="s">
        <v>7374</v>
      </c>
      <c r="AG1580" s="0" t="s">
        <v>230</v>
      </c>
    </row>
    <row r="1581" customFormat="false" ht="15" hidden="false" customHeight="false" outlineLevel="0" collapsed="false">
      <c r="A1581" s="0" t="s">
        <v>7336</v>
      </c>
      <c r="B1581" s="0" t="s">
        <v>5773</v>
      </c>
      <c r="C1581" s="0" t="s">
        <v>5774</v>
      </c>
      <c r="D1581" s="0" t="s">
        <v>1184</v>
      </c>
      <c r="E1581" s="0" t="s">
        <v>5775</v>
      </c>
      <c r="F1581" s="0" t="s">
        <v>5769</v>
      </c>
      <c r="G1581" s="0" t="s">
        <v>126</v>
      </c>
      <c r="H1581" s="0" t="s">
        <v>8354</v>
      </c>
      <c r="I1581" s="0" t="s">
        <v>7338</v>
      </c>
      <c r="J1581" s="0" t="s">
        <v>1602</v>
      </c>
      <c r="K1581" s="0" t="s">
        <v>7339</v>
      </c>
      <c r="L1581" s="0" t="s">
        <v>7340</v>
      </c>
      <c r="M1581" s="0" t="s">
        <v>7661</v>
      </c>
      <c r="N1581" s="0" t="s">
        <v>7342</v>
      </c>
      <c r="P1581" s="0" t="s">
        <v>229</v>
      </c>
      <c r="Q1581" s="0" t="s">
        <v>7354</v>
      </c>
      <c r="R1581" s="0" t="s">
        <v>7435</v>
      </c>
      <c r="S1581" s="0" t="s">
        <v>7344</v>
      </c>
      <c r="T1581" s="0" t="s">
        <v>228</v>
      </c>
      <c r="V1581" s="0" t="s">
        <v>61</v>
      </c>
      <c r="W1581" s="0" t="s">
        <v>63</v>
      </c>
      <c r="X1581" s="0" t="s">
        <v>7355</v>
      </c>
      <c r="Y1581" s="0" t="s">
        <v>7459</v>
      </c>
      <c r="Z1581" s="0" t="s">
        <v>8083</v>
      </c>
      <c r="AA1581" s="0" t="s">
        <v>7592</v>
      </c>
      <c r="AB1581" s="0" t="s">
        <v>344</v>
      </c>
      <c r="AC1581" s="0" t="s">
        <v>7349</v>
      </c>
      <c r="AD1581" s="0" t="s">
        <v>8087</v>
      </c>
      <c r="AE1581" s="0" t="s">
        <v>7462</v>
      </c>
      <c r="AF1581" s="0" t="s">
        <v>7374</v>
      </c>
      <c r="AG1581" s="0" t="s">
        <v>230</v>
      </c>
    </row>
    <row r="1582" customFormat="false" ht="15" hidden="false" customHeight="false" outlineLevel="0" collapsed="false">
      <c r="A1582" s="0" t="s">
        <v>7336</v>
      </c>
      <c r="B1582" s="0" t="s">
        <v>5776</v>
      </c>
      <c r="C1582" s="0" t="s">
        <v>5777</v>
      </c>
      <c r="D1582" s="0" t="s">
        <v>1184</v>
      </c>
      <c r="E1582" s="0" t="s">
        <v>5778</v>
      </c>
      <c r="F1582" s="0" t="s">
        <v>5779</v>
      </c>
      <c r="G1582" s="0" t="s">
        <v>126</v>
      </c>
      <c r="H1582" s="0" t="s">
        <v>8355</v>
      </c>
      <c r="I1582" s="0" t="s">
        <v>7338</v>
      </c>
      <c r="J1582" s="0" t="s">
        <v>1602</v>
      </c>
      <c r="K1582" s="0" t="s">
        <v>7339</v>
      </c>
      <c r="L1582" s="0" t="s">
        <v>7340</v>
      </c>
      <c r="M1582" s="0" t="s">
        <v>7661</v>
      </c>
      <c r="N1582" s="0" t="s">
        <v>7342</v>
      </c>
      <c r="P1582" s="0" t="s">
        <v>229</v>
      </c>
      <c r="Q1582" s="0" t="s">
        <v>7354</v>
      </c>
      <c r="R1582" s="0" t="s">
        <v>7435</v>
      </c>
      <c r="S1582" s="0" t="s">
        <v>7344</v>
      </c>
      <c r="T1582" s="0" t="s">
        <v>228</v>
      </c>
      <c r="V1582" s="0" t="s">
        <v>61</v>
      </c>
      <c r="W1582" s="0" t="s">
        <v>63</v>
      </c>
      <c r="X1582" s="0" t="s">
        <v>7355</v>
      </c>
      <c r="Y1582" s="0" t="s">
        <v>7459</v>
      </c>
      <c r="Z1582" s="0" t="s">
        <v>8083</v>
      </c>
      <c r="AA1582" s="0" t="s">
        <v>7592</v>
      </c>
      <c r="AB1582" s="0" t="s">
        <v>344</v>
      </c>
      <c r="AC1582" s="0" t="s">
        <v>7349</v>
      </c>
      <c r="AD1582" s="0" t="s">
        <v>8087</v>
      </c>
      <c r="AE1582" s="0" t="s">
        <v>7462</v>
      </c>
      <c r="AF1582" s="0" t="s">
        <v>7374</v>
      </c>
      <c r="AG1582" s="0" t="s">
        <v>230</v>
      </c>
    </row>
    <row r="1583" customFormat="false" ht="15" hidden="false" customHeight="false" outlineLevel="0" collapsed="false">
      <c r="A1583" s="0" t="s">
        <v>7336</v>
      </c>
      <c r="B1583" s="0" t="s">
        <v>5780</v>
      </c>
      <c r="C1583" s="0" t="s">
        <v>5781</v>
      </c>
      <c r="D1583" s="0" t="s">
        <v>1184</v>
      </c>
      <c r="E1583" s="0" t="s">
        <v>5782</v>
      </c>
      <c r="F1583" s="0" t="s">
        <v>5779</v>
      </c>
      <c r="G1583" s="0" t="s">
        <v>126</v>
      </c>
      <c r="H1583" s="0" t="s">
        <v>8355</v>
      </c>
      <c r="I1583" s="0" t="s">
        <v>7338</v>
      </c>
      <c r="J1583" s="0" t="s">
        <v>1602</v>
      </c>
      <c r="K1583" s="0" t="s">
        <v>7339</v>
      </c>
      <c r="L1583" s="0" t="s">
        <v>7340</v>
      </c>
      <c r="M1583" s="0" t="s">
        <v>7661</v>
      </c>
      <c r="N1583" s="0" t="s">
        <v>7342</v>
      </c>
      <c r="P1583" s="0" t="s">
        <v>229</v>
      </c>
      <c r="Q1583" s="0" t="s">
        <v>7354</v>
      </c>
      <c r="R1583" s="0" t="s">
        <v>7435</v>
      </c>
      <c r="S1583" s="0" t="s">
        <v>7344</v>
      </c>
      <c r="T1583" s="0" t="s">
        <v>228</v>
      </c>
      <c r="V1583" s="0" t="s">
        <v>61</v>
      </c>
      <c r="W1583" s="0" t="s">
        <v>63</v>
      </c>
      <c r="X1583" s="0" t="s">
        <v>7355</v>
      </c>
      <c r="Y1583" s="0" t="s">
        <v>7436</v>
      </c>
      <c r="Z1583" s="0" t="s">
        <v>8088</v>
      </c>
      <c r="AA1583" s="0" t="s">
        <v>8089</v>
      </c>
      <c r="AB1583" s="0" t="s">
        <v>4221</v>
      </c>
      <c r="AC1583" s="0" t="s">
        <v>7349</v>
      </c>
      <c r="AD1583" s="0" t="s">
        <v>8090</v>
      </c>
      <c r="AE1583" s="0" t="s">
        <v>7462</v>
      </c>
      <c r="AF1583" s="0" t="s">
        <v>7374</v>
      </c>
      <c r="AG1583" s="0" t="s">
        <v>230</v>
      </c>
    </row>
    <row r="1584" customFormat="false" ht="15" hidden="false" customHeight="false" outlineLevel="0" collapsed="false">
      <c r="A1584" s="0" t="s">
        <v>7336</v>
      </c>
      <c r="B1584" s="0" t="s">
        <v>5783</v>
      </c>
      <c r="C1584" s="0" t="s">
        <v>5784</v>
      </c>
      <c r="D1584" s="0" t="s">
        <v>1184</v>
      </c>
      <c r="E1584" s="0" t="s">
        <v>5785</v>
      </c>
      <c r="F1584" s="0" t="s">
        <v>5786</v>
      </c>
      <c r="G1584" s="0" t="s">
        <v>126</v>
      </c>
      <c r="H1584" s="0" t="s">
        <v>8356</v>
      </c>
      <c r="I1584" s="0" t="s">
        <v>7338</v>
      </c>
      <c r="J1584" s="0" t="s">
        <v>1602</v>
      </c>
      <c r="K1584" s="0" t="s">
        <v>7339</v>
      </c>
      <c r="L1584" s="0" t="s">
        <v>7340</v>
      </c>
      <c r="M1584" s="0" t="s">
        <v>7661</v>
      </c>
      <c r="N1584" s="0" t="s">
        <v>7342</v>
      </c>
      <c r="P1584" s="0" t="s">
        <v>229</v>
      </c>
      <c r="Q1584" s="0" t="s">
        <v>7354</v>
      </c>
      <c r="R1584" s="0" t="s">
        <v>7435</v>
      </c>
      <c r="S1584" s="0" t="s">
        <v>7344</v>
      </c>
      <c r="T1584" s="0" t="s">
        <v>228</v>
      </c>
      <c r="V1584" s="0" t="s">
        <v>61</v>
      </c>
      <c r="W1584" s="0" t="s">
        <v>63</v>
      </c>
      <c r="X1584" s="0" t="s">
        <v>7355</v>
      </c>
      <c r="Y1584" s="0" t="s">
        <v>7459</v>
      </c>
      <c r="Z1584" s="0" t="s">
        <v>8083</v>
      </c>
      <c r="AA1584" s="0" t="s">
        <v>7592</v>
      </c>
      <c r="AB1584" s="0" t="s">
        <v>344</v>
      </c>
      <c r="AC1584" s="0" t="s">
        <v>7349</v>
      </c>
      <c r="AD1584" s="0" t="s">
        <v>8087</v>
      </c>
      <c r="AE1584" s="0" t="s">
        <v>7462</v>
      </c>
      <c r="AF1584" s="0" t="s">
        <v>7374</v>
      </c>
      <c r="AG1584" s="0" t="s">
        <v>230</v>
      </c>
    </row>
    <row r="1585" customFormat="false" ht="15" hidden="false" customHeight="false" outlineLevel="0" collapsed="false">
      <c r="A1585" s="0" t="s">
        <v>7336</v>
      </c>
      <c r="B1585" s="0" t="s">
        <v>5787</v>
      </c>
      <c r="C1585" s="0" t="s">
        <v>5788</v>
      </c>
      <c r="D1585" s="0" t="s">
        <v>1184</v>
      </c>
      <c r="E1585" s="0" t="s">
        <v>5789</v>
      </c>
      <c r="F1585" s="0" t="s">
        <v>5786</v>
      </c>
      <c r="G1585" s="0" t="s">
        <v>126</v>
      </c>
      <c r="H1585" s="0" t="s">
        <v>8356</v>
      </c>
      <c r="I1585" s="0" t="s">
        <v>7338</v>
      </c>
      <c r="J1585" s="0" t="s">
        <v>1602</v>
      </c>
      <c r="K1585" s="0" t="s">
        <v>7339</v>
      </c>
      <c r="L1585" s="0" t="s">
        <v>7340</v>
      </c>
      <c r="M1585" s="0" t="s">
        <v>7661</v>
      </c>
      <c r="N1585" s="0" t="s">
        <v>7342</v>
      </c>
      <c r="P1585" s="0" t="s">
        <v>229</v>
      </c>
      <c r="Q1585" s="0" t="s">
        <v>7354</v>
      </c>
      <c r="R1585" s="0" t="s">
        <v>7435</v>
      </c>
      <c r="S1585" s="0" t="s">
        <v>7344</v>
      </c>
      <c r="T1585" s="0" t="s">
        <v>228</v>
      </c>
      <c r="V1585" s="0" t="s">
        <v>61</v>
      </c>
      <c r="W1585" s="0" t="s">
        <v>63</v>
      </c>
      <c r="X1585" s="0" t="s">
        <v>7355</v>
      </c>
      <c r="Y1585" s="0" t="s">
        <v>7459</v>
      </c>
      <c r="Z1585" s="0" t="s">
        <v>8062</v>
      </c>
      <c r="AA1585" s="0" t="s">
        <v>7592</v>
      </c>
      <c r="AB1585" s="0" t="s">
        <v>344</v>
      </c>
      <c r="AC1585" s="0" t="s">
        <v>7349</v>
      </c>
      <c r="AD1585" s="0" t="s">
        <v>7715</v>
      </c>
      <c r="AE1585" s="0" t="s">
        <v>8085</v>
      </c>
      <c r="AF1585" s="0" t="s">
        <v>7374</v>
      </c>
      <c r="AG1585" s="0" t="s">
        <v>230</v>
      </c>
    </row>
    <row r="1586" customFormat="false" ht="15" hidden="false" customHeight="false" outlineLevel="0" collapsed="false">
      <c r="A1586" s="0" t="s">
        <v>7336</v>
      </c>
      <c r="B1586" s="0" t="s">
        <v>5790</v>
      </c>
      <c r="C1586" s="0" t="s">
        <v>5791</v>
      </c>
      <c r="D1586" s="0" t="s">
        <v>1184</v>
      </c>
      <c r="E1586" s="0" t="s">
        <v>5792</v>
      </c>
      <c r="F1586" s="0" t="s">
        <v>3257</v>
      </c>
      <c r="G1586" s="0" t="s">
        <v>126</v>
      </c>
      <c r="H1586" s="0" t="s">
        <v>7927</v>
      </c>
      <c r="I1586" s="0" t="s">
        <v>7338</v>
      </c>
      <c r="J1586" s="0" t="s">
        <v>1602</v>
      </c>
      <c r="K1586" s="0" t="s">
        <v>7339</v>
      </c>
      <c r="L1586" s="0" t="s">
        <v>7340</v>
      </c>
      <c r="M1586" s="0" t="s">
        <v>7661</v>
      </c>
      <c r="N1586" s="0" t="s">
        <v>7342</v>
      </c>
      <c r="P1586" s="0" t="s">
        <v>229</v>
      </c>
      <c r="Q1586" s="0" t="s">
        <v>7354</v>
      </c>
      <c r="R1586" s="0" t="s">
        <v>7435</v>
      </c>
      <c r="S1586" s="0" t="s">
        <v>7344</v>
      </c>
      <c r="T1586" s="0" t="s">
        <v>228</v>
      </c>
      <c r="V1586" s="0" t="s">
        <v>61</v>
      </c>
      <c r="W1586" s="0" t="s">
        <v>63</v>
      </c>
      <c r="X1586" s="0" t="s">
        <v>7355</v>
      </c>
      <c r="Y1586" s="0" t="s">
        <v>7459</v>
      </c>
      <c r="Z1586" s="0" t="s">
        <v>8083</v>
      </c>
      <c r="AA1586" s="0" t="s">
        <v>7592</v>
      </c>
      <c r="AB1586" s="0" t="s">
        <v>344</v>
      </c>
      <c r="AC1586" s="0" t="s">
        <v>7349</v>
      </c>
      <c r="AD1586" s="0" t="s">
        <v>8094</v>
      </c>
      <c r="AE1586" s="0" t="s">
        <v>7462</v>
      </c>
      <c r="AF1586" s="0" t="s">
        <v>7374</v>
      </c>
      <c r="AG1586" s="0" t="s">
        <v>230</v>
      </c>
    </row>
    <row r="1587" customFormat="false" ht="15" hidden="false" customHeight="false" outlineLevel="0" collapsed="false">
      <c r="A1587" s="0" t="s">
        <v>7336</v>
      </c>
      <c r="B1587" s="0" t="s">
        <v>5793</v>
      </c>
      <c r="C1587" s="0" t="s">
        <v>5794</v>
      </c>
      <c r="D1587" s="0" t="s">
        <v>1184</v>
      </c>
      <c r="E1587" s="0" t="s">
        <v>5795</v>
      </c>
      <c r="F1587" s="0" t="s">
        <v>5796</v>
      </c>
      <c r="G1587" s="0" t="s">
        <v>126</v>
      </c>
      <c r="H1587" s="0" t="s">
        <v>8357</v>
      </c>
      <c r="I1587" s="0" t="s">
        <v>7338</v>
      </c>
      <c r="J1587" s="0" t="s">
        <v>1602</v>
      </c>
      <c r="K1587" s="0" t="s">
        <v>7339</v>
      </c>
      <c r="L1587" s="0" t="s">
        <v>7340</v>
      </c>
      <c r="M1587" s="0" t="s">
        <v>7661</v>
      </c>
      <c r="N1587" s="0" t="s">
        <v>7342</v>
      </c>
      <c r="P1587" s="0" t="s">
        <v>229</v>
      </c>
      <c r="Q1587" s="0" t="s">
        <v>7354</v>
      </c>
      <c r="R1587" s="0" t="s">
        <v>7435</v>
      </c>
      <c r="S1587" s="0" t="s">
        <v>7344</v>
      </c>
      <c r="T1587" s="0" t="s">
        <v>228</v>
      </c>
      <c r="V1587" s="0" t="s">
        <v>61</v>
      </c>
      <c r="W1587" s="0" t="s">
        <v>63</v>
      </c>
      <c r="X1587" s="0" t="s">
        <v>7355</v>
      </c>
      <c r="Y1587" s="0" t="s">
        <v>7459</v>
      </c>
      <c r="Z1587" s="0" t="s">
        <v>8083</v>
      </c>
      <c r="AA1587" s="0" t="s">
        <v>7592</v>
      </c>
      <c r="AB1587" s="0" t="s">
        <v>344</v>
      </c>
      <c r="AC1587" s="0" t="s">
        <v>7349</v>
      </c>
      <c r="AD1587" s="0" t="s">
        <v>8096</v>
      </c>
      <c r="AE1587" s="0" t="s">
        <v>7462</v>
      </c>
      <c r="AF1587" s="0" t="s">
        <v>7374</v>
      </c>
      <c r="AG1587" s="0" t="s">
        <v>230</v>
      </c>
    </row>
    <row r="1588" customFormat="false" ht="15" hidden="false" customHeight="false" outlineLevel="0" collapsed="false">
      <c r="A1588" s="0" t="s">
        <v>7336</v>
      </c>
      <c r="B1588" s="0" t="s">
        <v>5797</v>
      </c>
      <c r="C1588" s="0" t="s">
        <v>5798</v>
      </c>
      <c r="D1588" s="0" t="s">
        <v>1184</v>
      </c>
      <c r="E1588" s="0" t="s">
        <v>5799</v>
      </c>
      <c r="F1588" s="0" t="s">
        <v>5800</v>
      </c>
      <c r="G1588" s="0" t="s">
        <v>126</v>
      </c>
      <c r="H1588" s="0" t="s">
        <v>8358</v>
      </c>
      <c r="I1588" s="0" t="s">
        <v>7338</v>
      </c>
      <c r="J1588" s="0" t="s">
        <v>1602</v>
      </c>
      <c r="K1588" s="0" t="s">
        <v>7339</v>
      </c>
      <c r="L1588" s="0" t="s">
        <v>7340</v>
      </c>
      <c r="M1588" s="0" t="s">
        <v>7661</v>
      </c>
      <c r="N1588" s="0" t="s">
        <v>7342</v>
      </c>
      <c r="P1588" s="0" t="s">
        <v>229</v>
      </c>
      <c r="Q1588" s="0" t="s">
        <v>7354</v>
      </c>
      <c r="R1588" s="0" t="s">
        <v>7435</v>
      </c>
      <c r="S1588" s="0" t="s">
        <v>7344</v>
      </c>
      <c r="T1588" s="0" t="s">
        <v>228</v>
      </c>
      <c r="V1588" s="0" t="s">
        <v>61</v>
      </c>
      <c r="W1588" s="0" t="s">
        <v>63</v>
      </c>
      <c r="X1588" s="0" t="s">
        <v>7355</v>
      </c>
      <c r="Y1588" s="0" t="s">
        <v>7459</v>
      </c>
      <c r="Z1588" s="0" t="s">
        <v>8083</v>
      </c>
      <c r="AA1588" s="0" t="s">
        <v>7592</v>
      </c>
      <c r="AB1588" s="0" t="s">
        <v>344</v>
      </c>
      <c r="AC1588" s="0" t="s">
        <v>7349</v>
      </c>
      <c r="AD1588" s="0" t="s">
        <v>8096</v>
      </c>
      <c r="AE1588" s="0" t="s">
        <v>7462</v>
      </c>
      <c r="AF1588" s="0" t="s">
        <v>7374</v>
      </c>
      <c r="AG1588" s="0" t="s">
        <v>230</v>
      </c>
    </row>
    <row r="1589" customFormat="false" ht="15" hidden="false" customHeight="false" outlineLevel="0" collapsed="false">
      <c r="A1589" s="0" t="s">
        <v>7336</v>
      </c>
      <c r="B1589" s="0" t="s">
        <v>5801</v>
      </c>
      <c r="C1589" s="0" t="s">
        <v>5802</v>
      </c>
      <c r="D1589" s="0" t="s">
        <v>1184</v>
      </c>
      <c r="E1589" s="0" t="s">
        <v>5803</v>
      </c>
      <c r="F1589" s="0" t="s">
        <v>5804</v>
      </c>
      <c r="G1589" s="0" t="s">
        <v>126</v>
      </c>
      <c r="H1589" s="0" t="s">
        <v>8359</v>
      </c>
      <c r="I1589" s="0" t="s">
        <v>7338</v>
      </c>
      <c r="J1589" s="0" t="s">
        <v>1602</v>
      </c>
      <c r="K1589" s="0" t="s">
        <v>7339</v>
      </c>
      <c r="L1589" s="0" t="s">
        <v>7340</v>
      </c>
      <c r="M1589" s="0" t="s">
        <v>7661</v>
      </c>
      <c r="N1589" s="0" t="s">
        <v>7342</v>
      </c>
      <c r="P1589" s="0" t="s">
        <v>229</v>
      </c>
      <c r="Q1589" s="0" t="s">
        <v>7354</v>
      </c>
      <c r="R1589" s="0" t="s">
        <v>7435</v>
      </c>
      <c r="S1589" s="0" t="s">
        <v>7344</v>
      </c>
      <c r="T1589" s="0" t="s">
        <v>228</v>
      </c>
      <c r="V1589" s="0" t="s">
        <v>61</v>
      </c>
      <c r="W1589" s="0" t="s">
        <v>63</v>
      </c>
      <c r="X1589" s="0" t="s">
        <v>7355</v>
      </c>
      <c r="Y1589" s="0" t="s">
        <v>7459</v>
      </c>
      <c r="Z1589" s="0" t="s">
        <v>8083</v>
      </c>
      <c r="AA1589" s="0" t="s">
        <v>7592</v>
      </c>
      <c r="AB1589" s="0" t="s">
        <v>344</v>
      </c>
      <c r="AC1589" s="0" t="s">
        <v>7349</v>
      </c>
      <c r="AD1589" s="0" t="s">
        <v>8096</v>
      </c>
      <c r="AE1589" s="0" t="s">
        <v>7462</v>
      </c>
      <c r="AF1589" s="0" t="s">
        <v>7374</v>
      </c>
      <c r="AG1589" s="0" t="s">
        <v>230</v>
      </c>
    </row>
    <row r="1590" customFormat="false" ht="15" hidden="false" customHeight="false" outlineLevel="0" collapsed="false">
      <c r="A1590" s="0" t="s">
        <v>7336</v>
      </c>
      <c r="B1590" s="0" t="s">
        <v>5805</v>
      </c>
      <c r="C1590" s="0" t="s">
        <v>5806</v>
      </c>
      <c r="D1590" s="0" t="s">
        <v>1184</v>
      </c>
      <c r="E1590" s="0" t="s">
        <v>5807</v>
      </c>
      <c r="F1590" s="0" t="s">
        <v>5808</v>
      </c>
      <c r="G1590" s="0" t="s">
        <v>126</v>
      </c>
      <c r="H1590" s="0" t="s">
        <v>8360</v>
      </c>
      <c r="I1590" s="0" t="s">
        <v>7338</v>
      </c>
      <c r="J1590" s="0" t="s">
        <v>1602</v>
      </c>
      <c r="K1590" s="0" t="s">
        <v>7339</v>
      </c>
      <c r="L1590" s="0" t="s">
        <v>7340</v>
      </c>
      <c r="M1590" s="0" t="s">
        <v>7661</v>
      </c>
      <c r="N1590" s="0" t="s">
        <v>7342</v>
      </c>
      <c r="P1590" s="0" t="s">
        <v>229</v>
      </c>
      <c r="Q1590" s="0" t="s">
        <v>7354</v>
      </c>
      <c r="R1590" s="0" t="s">
        <v>7435</v>
      </c>
      <c r="S1590" s="0" t="s">
        <v>7344</v>
      </c>
      <c r="T1590" s="0" t="s">
        <v>228</v>
      </c>
      <c r="V1590" s="0" t="s">
        <v>61</v>
      </c>
      <c r="W1590" s="0" t="s">
        <v>63</v>
      </c>
      <c r="X1590" s="0" t="s">
        <v>7355</v>
      </c>
      <c r="Y1590" s="0" t="s">
        <v>7459</v>
      </c>
      <c r="Z1590" s="0" t="s">
        <v>8083</v>
      </c>
      <c r="AA1590" s="0" t="s">
        <v>7592</v>
      </c>
      <c r="AB1590" s="0" t="s">
        <v>344</v>
      </c>
      <c r="AC1590" s="0" t="s">
        <v>7349</v>
      </c>
      <c r="AD1590" s="0" t="s">
        <v>8087</v>
      </c>
      <c r="AE1590" s="0" t="s">
        <v>7462</v>
      </c>
      <c r="AF1590" s="0" t="s">
        <v>7374</v>
      </c>
      <c r="AG1590" s="0" t="s">
        <v>230</v>
      </c>
    </row>
    <row r="1591" customFormat="false" ht="15" hidden="false" customHeight="false" outlineLevel="0" collapsed="false">
      <c r="A1591" s="0" t="s">
        <v>7336</v>
      </c>
      <c r="B1591" s="0" t="s">
        <v>5809</v>
      </c>
      <c r="C1591" s="0" t="s">
        <v>5810</v>
      </c>
      <c r="D1591" s="0" t="s">
        <v>1184</v>
      </c>
      <c r="E1591" s="0" t="s">
        <v>5811</v>
      </c>
      <c r="F1591" s="0" t="s">
        <v>5808</v>
      </c>
      <c r="G1591" s="0" t="s">
        <v>126</v>
      </c>
      <c r="H1591" s="0" t="s">
        <v>8360</v>
      </c>
      <c r="I1591" s="0" t="s">
        <v>7338</v>
      </c>
      <c r="J1591" s="0" t="s">
        <v>1602</v>
      </c>
      <c r="K1591" s="0" t="s">
        <v>7339</v>
      </c>
      <c r="L1591" s="0" t="s">
        <v>7340</v>
      </c>
      <c r="M1591" s="0" t="s">
        <v>7661</v>
      </c>
      <c r="N1591" s="0" t="s">
        <v>7342</v>
      </c>
      <c r="P1591" s="0" t="s">
        <v>229</v>
      </c>
      <c r="Q1591" s="0" t="s">
        <v>7354</v>
      </c>
      <c r="R1591" s="0" t="s">
        <v>7435</v>
      </c>
      <c r="S1591" s="0" t="s">
        <v>7344</v>
      </c>
      <c r="T1591" s="0" t="s">
        <v>228</v>
      </c>
      <c r="V1591" s="0" t="s">
        <v>61</v>
      </c>
      <c r="W1591" s="0" t="s">
        <v>63</v>
      </c>
      <c r="X1591" s="0" t="s">
        <v>7355</v>
      </c>
      <c r="Y1591" s="0" t="s">
        <v>7459</v>
      </c>
      <c r="Z1591" s="0" t="s">
        <v>8083</v>
      </c>
      <c r="AA1591" s="0" t="s">
        <v>7592</v>
      </c>
      <c r="AB1591" s="0" t="s">
        <v>344</v>
      </c>
      <c r="AC1591" s="0" t="s">
        <v>7349</v>
      </c>
      <c r="AD1591" s="0" t="s">
        <v>8087</v>
      </c>
      <c r="AE1591" s="0" t="s">
        <v>7462</v>
      </c>
      <c r="AF1591" s="0" t="s">
        <v>7374</v>
      </c>
      <c r="AG1591" s="0" t="s">
        <v>230</v>
      </c>
    </row>
    <row r="1592" customFormat="false" ht="15" hidden="false" customHeight="false" outlineLevel="0" collapsed="false">
      <c r="A1592" s="0" t="s">
        <v>7336</v>
      </c>
      <c r="B1592" s="0" t="s">
        <v>5812</v>
      </c>
      <c r="C1592" s="0" t="s">
        <v>5813</v>
      </c>
      <c r="D1592" s="0" t="s">
        <v>1184</v>
      </c>
      <c r="E1592" s="0" t="s">
        <v>5814</v>
      </c>
      <c r="F1592" s="0" t="s">
        <v>5815</v>
      </c>
      <c r="G1592" s="0" t="s">
        <v>126</v>
      </c>
      <c r="H1592" s="0" t="s">
        <v>8361</v>
      </c>
      <c r="I1592" s="0" t="s">
        <v>7338</v>
      </c>
      <c r="J1592" s="0" t="s">
        <v>1602</v>
      </c>
      <c r="K1592" s="0" t="s">
        <v>7339</v>
      </c>
      <c r="L1592" s="0" t="s">
        <v>7340</v>
      </c>
      <c r="M1592" s="0" t="s">
        <v>7661</v>
      </c>
      <c r="N1592" s="0" t="s">
        <v>7342</v>
      </c>
      <c r="P1592" s="0" t="s">
        <v>229</v>
      </c>
      <c r="Q1592" s="0" t="s">
        <v>7354</v>
      </c>
      <c r="R1592" s="0" t="s">
        <v>7435</v>
      </c>
      <c r="S1592" s="0" t="s">
        <v>7344</v>
      </c>
      <c r="T1592" s="0" t="s">
        <v>228</v>
      </c>
      <c r="V1592" s="0" t="s">
        <v>61</v>
      </c>
      <c r="W1592" s="0" t="s">
        <v>63</v>
      </c>
      <c r="X1592" s="0" t="s">
        <v>7355</v>
      </c>
      <c r="Y1592" s="0" t="s">
        <v>7459</v>
      </c>
      <c r="Z1592" s="0" t="s">
        <v>8083</v>
      </c>
      <c r="AA1592" s="0" t="s">
        <v>7592</v>
      </c>
      <c r="AB1592" s="0" t="s">
        <v>344</v>
      </c>
      <c r="AC1592" s="0" t="s">
        <v>7349</v>
      </c>
      <c r="AD1592" s="0" t="s">
        <v>8087</v>
      </c>
      <c r="AE1592" s="0" t="s">
        <v>7462</v>
      </c>
      <c r="AF1592" s="0" t="s">
        <v>7374</v>
      </c>
      <c r="AG1592" s="0" t="s">
        <v>230</v>
      </c>
    </row>
    <row r="1593" customFormat="false" ht="15" hidden="false" customHeight="false" outlineLevel="0" collapsed="false">
      <c r="A1593" s="0" t="s">
        <v>7336</v>
      </c>
      <c r="B1593" s="0" t="s">
        <v>5816</v>
      </c>
      <c r="C1593" s="0" t="s">
        <v>5817</v>
      </c>
      <c r="D1593" s="0" t="s">
        <v>1184</v>
      </c>
      <c r="E1593" s="0" t="s">
        <v>5818</v>
      </c>
      <c r="F1593" s="0" t="s">
        <v>5819</v>
      </c>
      <c r="G1593" s="0" t="s">
        <v>126</v>
      </c>
      <c r="H1593" s="0" t="s">
        <v>8362</v>
      </c>
      <c r="I1593" s="0" t="s">
        <v>7338</v>
      </c>
      <c r="J1593" s="0" t="s">
        <v>1602</v>
      </c>
      <c r="K1593" s="0" t="s">
        <v>7339</v>
      </c>
      <c r="L1593" s="0" t="s">
        <v>7340</v>
      </c>
      <c r="M1593" s="0" t="s">
        <v>7661</v>
      </c>
      <c r="N1593" s="0" t="s">
        <v>7342</v>
      </c>
      <c r="P1593" s="0" t="s">
        <v>229</v>
      </c>
      <c r="Q1593" s="0" t="s">
        <v>7354</v>
      </c>
      <c r="R1593" s="0" t="s">
        <v>7435</v>
      </c>
      <c r="S1593" s="0" t="s">
        <v>7344</v>
      </c>
      <c r="T1593" s="0" t="s">
        <v>228</v>
      </c>
      <c r="V1593" s="0" t="s">
        <v>61</v>
      </c>
      <c r="W1593" s="0" t="s">
        <v>63</v>
      </c>
      <c r="X1593" s="0" t="s">
        <v>7355</v>
      </c>
      <c r="Y1593" s="0" t="s">
        <v>7459</v>
      </c>
      <c r="Z1593" s="0" t="s">
        <v>8083</v>
      </c>
      <c r="AA1593" s="0" t="s">
        <v>7592</v>
      </c>
      <c r="AB1593" s="0" t="s">
        <v>344</v>
      </c>
      <c r="AC1593" s="0" t="s">
        <v>7349</v>
      </c>
      <c r="AD1593" s="0" t="s">
        <v>8096</v>
      </c>
      <c r="AE1593" s="0" t="s">
        <v>7462</v>
      </c>
      <c r="AF1593" s="0" t="s">
        <v>7374</v>
      </c>
      <c r="AG1593" s="0" t="s">
        <v>230</v>
      </c>
    </row>
    <row r="1594" customFormat="false" ht="15" hidden="false" customHeight="false" outlineLevel="0" collapsed="false">
      <c r="A1594" s="0" t="s">
        <v>7336</v>
      </c>
      <c r="B1594" s="0" t="s">
        <v>5820</v>
      </c>
      <c r="C1594" s="0" t="s">
        <v>5821</v>
      </c>
      <c r="D1594" s="0" t="s">
        <v>1184</v>
      </c>
      <c r="E1594" s="0" t="s">
        <v>5822</v>
      </c>
      <c r="F1594" s="0" t="s">
        <v>5823</v>
      </c>
      <c r="G1594" s="0" t="s">
        <v>126</v>
      </c>
      <c r="H1594" s="0" t="s">
        <v>8363</v>
      </c>
      <c r="I1594" s="0" t="s">
        <v>7338</v>
      </c>
      <c r="J1594" s="0" t="s">
        <v>1602</v>
      </c>
      <c r="K1594" s="0" t="s">
        <v>7339</v>
      </c>
      <c r="L1594" s="0" t="s">
        <v>7340</v>
      </c>
      <c r="M1594" s="0" t="s">
        <v>7661</v>
      </c>
      <c r="N1594" s="0" t="s">
        <v>7342</v>
      </c>
      <c r="P1594" s="0" t="s">
        <v>229</v>
      </c>
      <c r="Q1594" s="0" t="s">
        <v>7354</v>
      </c>
      <c r="R1594" s="0" t="s">
        <v>7435</v>
      </c>
      <c r="S1594" s="0" t="s">
        <v>7344</v>
      </c>
      <c r="T1594" s="0" t="s">
        <v>228</v>
      </c>
      <c r="V1594" s="0" t="s">
        <v>61</v>
      </c>
      <c r="W1594" s="0" t="s">
        <v>63</v>
      </c>
      <c r="X1594" s="0" t="s">
        <v>7355</v>
      </c>
      <c r="Y1594" s="0" t="s">
        <v>7459</v>
      </c>
      <c r="Z1594" s="0" t="s">
        <v>8083</v>
      </c>
      <c r="AA1594" s="0" t="s">
        <v>7592</v>
      </c>
      <c r="AB1594" s="0" t="s">
        <v>344</v>
      </c>
      <c r="AC1594" s="0" t="s">
        <v>7349</v>
      </c>
      <c r="AD1594" s="0" t="s">
        <v>8096</v>
      </c>
      <c r="AE1594" s="0" t="s">
        <v>7462</v>
      </c>
      <c r="AF1594" s="0" t="s">
        <v>7374</v>
      </c>
      <c r="AG1594" s="0" t="s">
        <v>230</v>
      </c>
    </row>
    <row r="1595" customFormat="false" ht="15" hidden="false" customHeight="false" outlineLevel="0" collapsed="false">
      <c r="A1595" s="0" t="s">
        <v>7336</v>
      </c>
      <c r="B1595" s="0" t="s">
        <v>5824</v>
      </c>
      <c r="C1595" s="0" t="s">
        <v>5825</v>
      </c>
      <c r="D1595" s="0" t="s">
        <v>1184</v>
      </c>
      <c r="E1595" s="0" t="s">
        <v>5826</v>
      </c>
      <c r="F1595" s="0" t="s">
        <v>5827</v>
      </c>
      <c r="G1595" s="0" t="s">
        <v>126</v>
      </c>
      <c r="H1595" s="0" t="s">
        <v>8364</v>
      </c>
      <c r="I1595" s="0" t="s">
        <v>7338</v>
      </c>
      <c r="J1595" s="0" t="s">
        <v>1602</v>
      </c>
      <c r="K1595" s="0" t="s">
        <v>7339</v>
      </c>
      <c r="L1595" s="0" t="s">
        <v>7340</v>
      </c>
      <c r="M1595" s="0" t="s">
        <v>7661</v>
      </c>
      <c r="N1595" s="0" t="s">
        <v>7342</v>
      </c>
      <c r="P1595" s="0" t="s">
        <v>229</v>
      </c>
      <c r="Q1595" s="0" t="s">
        <v>7354</v>
      </c>
      <c r="R1595" s="0" t="s">
        <v>7435</v>
      </c>
      <c r="S1595" s="0" t="s">
        <v>7344</v>
      </c>
      <c r="T1595" s="0" t="s">
        <v>228</v>
      </c>
      <c r="V1595" s="0" t="s">
        <v>61</v>
      </c>
      <c r="W1595" s="0" t="s">
        <v>63</v>
      </c>
      <c r="X1595" s="0" t="s">
        <v>7355</v>
      </c>
      <c r="Y1595" s="0" t="s">
        <v>7459</v>
      </c>
      <c r="Z1595" s="0" t="s">
        <v>8083</v>
      </c>
      <c r="AA1595" s="0" t="s">
        <v>7592</v>
      </c>
      <c r="AB1595" s="0" t="s">
        <v>344</v>
      </c>
      <c r="AC1595" s="0" t="s">
        <v>7349</v>
      </c>
      <c r="AD1595" s="0" t="s">
        <v>8096</v>
      </c>
      <c r="AE1595" s="0" t="s">
        <v>7462</v>
      </c>
      <c r="AF1595" s="0" t="s">
        <v>7374</v>
      </c>
      <c r="AG1595" s="0" t="s">
        <v>230</v>
      </c>
    </row>
    <row r="1596" customFormat="false" ht="15" hidden="false" customHeight="false" outlineLevel="0" collapsed="false">
      <c r="A1596" s="0" t="s">
        <v>7336</v>
      </c>
      <c r="B1596" s="0" t="s">
        <v>5828</v>
      </c>
      <c r="C1596" s="0" t="s">
        <v>5829</v>
      </c>
      <c r="D1596" s="0" t="s">
        <v>1184</v>
      </c>
      <c r="E1596" s="0" t="s">
        <v>5830</v>
      </c>
      <c r="F1596" s="0" t="s">
        <v>3261</v>
      </c>
      <c r="G1596" s="0" t="s">
        <v>126</v>
      </c>
      <c r="H1596" s="0" t="s">
        <v>7928</v>
      </c>
      <c r="I1596" s="0" t="s">
        <v>7338</v>
      </c>
      <c r="J1596" s="0" t="s">
        <v>1602</v>
      </c>
      <c r="K1596" s="0" t="s">
        <v>7339</v>
      </c>
      <c r="L1596" s="0" t="s">
        <v>7340</v>
      </c>
      <c r="M1596" s="0" t="s">
        <v>7661</v>
      </c>
      <c r="N1596" s="0" t="s">
        <v>7342</v>
      </c>
      <c r="P1596" s="0" t="s">
        <v>229</v>
      </c>
      <c r="Q1596" s="0" t="s">
        <v>7354</v>
      </c>
      <c r="R1596" s="0" t="s">
        <v>7435</v>
      </c>
      <c r="S1596" s="0" t="s">
        <v>7344</v>
      </c>
      <c r="T1596" s="0" t="s">
        <v>228</v>
      </c>
      <c r="V1596" s="0" t="s">
        <v>61</v>
      </c>
      <c r="W1596" s="0" t="s">
        <v>63</v>
      </c>
      <c r="X1596" s="0" t="s">
        <v>7355</v>
      </c>
      <c r="Y1596" s="0" t="s">
        <v>7459</v>
      </c>
      <c r="Z1596" s="0" t="s">
        <v>8083</v>
      </c>
      <c r="AA1596" s="0" t="s">
        <v>7592</v>
      </c>
      <c r="AB1596" s="0" t="s">
        <v>344</v>
      </c>
      <c r="AC1596" s="0" t="s">
        <v>7349</v>
      </c>
      <c r="AD1596" s="0" t="s">
        <v>8094</v>
      </c>
      <c r="AE1596" s="0" t="s">
        <v>7462</v>
      </c>
      <c r="AF1596" s="0" t="s">
        <v>7374</v>
      </c>
      <c r="AG1596" s="0" t="s">
        <v>230</v>
      </c>
    </row>
    <row r="1597" customFormat="false" ht="15" hidden="false" customHeight="false" outlineLevel="0" collapsed="false">
      <c r="A1597" s="0" t="s">
        <v>7336</v>
      </c>
      <c r="B1597" s="0" t="s">
        <v>5831</v>
      </c>
      <c r="C1597" s="0" t="s">
        <v>5832</v>
      </c>
      <c r="D1597" s="0" t="s">
        <v>1184</v>
      </c>
      <c r="E1597" s="0" t="s">
        <v>5833</v>
      </c>
      <c r="F1597" s="0" t="s">
        <v>5834</v>
      </c>
      <c r="G1597" s="0" t="s">
        <v>126</v>
      </c>
      <c r="H1597" s="0" t="s">
        <v>8365</v>
      </c>
      <c r="I1597" s="0" t="s">
        <v>7338</v>
      </c>
      <c r="J1597" s="0" t="s">
        <v>1602</v>
      </c>
      <c r="K1597" s="0" t="s">
        <v>7339</v>
      </c>
      <c r="L1597" s="0" t="s">
        <v>7340</v>
      </c>
      <c r="M1597" s="0" t="s">
        <v>7661</v>
      </c>
      <c r="N1597" s="0" t="s">
        <v>7342</v>
      </c>
      <c r="P1597" s="0" t="s">
        <v>229</v>
      </c>
      <c r="Q1597" s="0" t="s">
        <v>7354</v>
      </c>
      <c r="S1597" s="0" t="s">
        <v>7344</v>
      </c>
      <c r="T1597" s="0" t="s">
        <v>58</v>
      </c>
      <c r="V1597" s="0" t="s">
        <v>55</v>
      </c>
      <c r="W1597" s="0" t="s">
        <v>55</v>
      </c>
      <c r="X1597" s="0" t="s">
        <v>7355</v>
      </c>
      <c r="Z1597" s="0" t="s">
        <v>7493</v>
      </c>
      <c r="AB1597" s="0" t="s">
        <v>344</v>
      </c>
      <c r="AC1597" s="0" t="s">
        <v>7349</v>
      </c>
      <c r="AE1597" s="0" t="s">
        <v>7826</v>
      </c>
      <c r="AF1597" s="0" t="s">
        <v>7374</v>
      </c>
      <c r="AG1597" s="0" t="s">
        <v>230</v>
      </c>
    </row>
    <row r="1598" customFormat="false" ht="15" hidden="false" customHeight="false" outlineLevel="0" collapsed="false">
      <c r="A1598" s="0" t="s">
        <v>7336</v>
      </c>
      <c r="B1598" s="0" t="s">
        <v>5835</v>
      </c>
      <c r="C1598" s="0" t="s">
        <v>5836</v>
      </c>
      <c r="D1598" s="0" t="s">
        <v>2983</v>
      </c>
      <c r="E1598" s="0" t="s">
        <v>5837</v>
      </c>
      <c r="F1598" s="0" t="s">
        <v>5838</v>
      </c>
      <c r="G1598" s="0" t="s">
        <v>132</v>
      </c>
      <c r="H1598" s="0" t="s">
        <v>8366</v>
      </c>
      <c r="I1598" s="0" t="s">
        <v>7338</v>
      </c>
      <c r="J1598" s="0" t="s">
        <v>1602</v>
      </c>
      <c r="K1598" s="0" t="s">
        <v>7339</v>
      </c>
      <c r="L1598" s="0" t="s">
        <v>7340</v>
      </c>
      <c r="M1598" s="0" t="s">
        <v>7661</v>
      </c>
      <c r="N1598" s="0" t="s">
        <v>7342</v>
      </c>
      <c r="P1598" s="0" t="s">
        <v>229</v>
      </c>
      <c r="Q1598" s="0" t="s">
        <v>7354</v>
      </c>
      <c r="R1598" s="0" t="s">
        <v>8367</v>
      </c>
      <c r="S1598" s="0" t="s">
        <v>7344</v>
      </c>
      <c r="T1598" s="0" t="s">
        <v>228</v>
      </c>
      <c r="V1598" s="0" t="s">
        <v>55</v>
      </c>
      <c r="W1598" s="0" t="s">
        <v>55</v>
      </c>
      <c r="X1598" s="0" t="s">
        <v>7355</v>
      </c>
      <c r="Y1598" s="0" t="s">
        <v>7667</v>
      </c>
      <c r="Z1598" s="0" t="s">
        <v>8270</v>
      </c>
      <c r="AA1598" s="0" t="s">
        <v>8368</v>
      </c>
      <c r="AB1598" s="0" t="s">
        <v>4510</v>
      </c>
      <c r="AC1598" s="0" t="s">
        <v>7930</v>
      </c>
      <c r="AD1598" s="0" t="s">
        <v>8369</v>
      </c>
      <c r="AE1598" s="0" t="s">
        <v>7916</v>
      </c>
      <c r="AF1598" s="0" t="s">
        <v>7374</v>
      </c>
      <c r="AG1598" s="0" t="s">
        <v>230</v>
      </c>
    </row>
    <row r="1599" customFormat="false" ht="15" hidden="false" customHeight="false" outlineLevel="0" collapsed="false">
      <c r="A1599" s="0" t="s">
        <v>7336</v>
      </c>
      <c r="B1599" s="0" t="s">
        <v>5839</v>
      </c>
      <c r="C1599" s="0" t="s">
        <v>5840</v>
      </c>
      <c r="D1599" s="0" t="s">
        <v>2983</v>
      </c>
      <c r="E1599" s="0" t="s">
        <v>5841</v>
      </c>
      <c r="F1599" s="0" t="s">
        <v>3265</v>
      </c>
      <c r="G1599" s="0" t="s">
        <v>134</v>
      </c>
      <c r="H1599" s="0" t="s">
        <v>7929</v>
      </c>
      <c r="I1599" s="0" t="s">
        <v>7338</v>
      </c>
      <c r="J1599" s="0" t="s">
        <v>1602</v>
      </c>
      <c r="K1599" s="0" t="s">
        <v>7339</v>
      </c>
      <c r="L1599" s="0" t="s">
        <v>7340</v>
      </c>
      <c r="M1599" s="0" t="s">
        <v>7661</v>
      </c>
      <c r="N1599" s="0" t="s">
        <v>7342</v>
      </c>
      <c r="P1599" s="0" t="s">
        <v>229</v>
      </c>
      <c r="Q1599" s="0" t="s">
        <v>7354</v>
      </c>
      <c r="R1599" s="0" t="s">
        <v>8367</v>
      </c>
      <c r="S1599" s="0" t="s">
        <v>7344</v>
      </c>
      <c r="T1599" s="0" t="s">
        <v>228</v>
      </c>
      <c r="V1599" s="0" t="s">
        <v>55</v>
      </c>
      <c r="W1599" s="0" t="s">
        <v>55</v>
      </c>
      <c r="X1599" s="0" t="s">
        <v>7355</v>
      </c>
      <c r="Y1599" s="0" t="s">
        <v>7667</v>
      </c>
      <c r="Z1599" s="0" t="s">
        <v>8270</v>
      </c>
      <c r="AA1599" s="0" t="s">
        <v>8368</v>
      </c>
      <c r="AB1599" s="0" t="s">
        <v>4510</v>
      </c>
      <c r="AC1599" s="0" t="s">
        <v>7930</v>
      </c>
      <c r="AD1599" s="0" t="s">
        <v>8370</v>
      </c>
      <c r="AE1599" s="0" t="s">
        <v>7916</v>
      </c>
      <c r="AF1599" s="0" t="s">
        <v>7374</v>
      </c>
      <c r="AG1599" s="0" t="s">
        <v>230</v>
      </c>
    </row>
    <row r="1600" customFormat="false" ht="15" hidden="false" customHeight="false" outlineLevel="0" collapsed="false">
      <c r="A1600" s="0" t="s">
        <v>7336</v>
      </c>
      <c r="B1600" s="0" t="s">
        <v>5842</v>
      </c>
      <c r="C1600" s="0" t="s">
        <v>5843</v>
      </c>
      <c r="D1600" s="0" t="s">
        <v>2983</v>
      </c>
      <c r="E1600" s="0" t="s">
        <v>5844</v>
      </c>
      <c r="F1600" s="0" t="s">
        <v>3269</v>
      </c>
      <c r="G1600" s="0" t="s">
        <v>134</v>
      </c>
      <c r="H1600" s="0" t="s">
        <v>7932</v>
      </c>
      <c r="I1600" s="0" t="s">
        <v>7338</v>
      </c>
      <c r="J1600" s="0" t="s">
        <v>1602</v>
      </c>
      <c r="K1600" s="0" t="s">
        <v>7339</v>
      </c>
      <c r="L1600" s="0" t="s">
        <v>7340</v>
      </c>
      <c r="M1600" s="0" t="s">
        <v>7661</v>
      </c>
      <c r="N1600" s="0" t="s">
        <v>7342</v>
      </c>
      <c r="P1600" s="0" t="s">
        <v>229</v>
      </c>
      <c r="Q1600" s="0" t="s">
        <v>7354</v>
      </c>
      <c r="R1600" s="0" t="s">
        <v>8367</v>
      </c>
      <c r="S1600" s="0" t="s">
        <v>7344</v>
      </c>
      <c r="T1600" s="0" t="s">
        <v>228</v>
      </c>
      <c r="V1600" s="0" t="s">
        <v>55</v>
      </c>
      <c r="W1600" s="0" t="s">
        <v>55</v>
      </c>
      <c r="X1600" s="0" t="s">
        <v>7355</v>
      </c>
      <c r="Y1600" s="0" t="s">
        <v>7667</v>
      </c>
      <c r="Z1600" s="0" t="s">
        <v>8270</v>
      </c>
      <c r="AA1600" s="0" t="s">
        <v>8368</v>
      </c>
      <c r="AB1600" s="0" t="s">
        <v>4510</v>
      </c>
      <c r="AC1600" s="0" t="s">
        <v>7930</v>
      </c>
      <c r="AD1600" s="0" t="s">
        <v>8370</v>
      </c>
      <c r="AE1600" s="0" t="s">
        <v>7916</v>
      </c>
      <c r="AF1600" s="0" t="s">
        <v>7374</v>
      </c>
      <c r="AG1600" s="0" t="s">
        <v>230</v>
      </c>
    </row>
    <row r="1601" customFormat="false" ht="15" hidden="false" customHeight="false" outlineLevel="0" collapsed="false">
      <c r="A1601" s="0" t="s">
        <v>7336</v>
      </c>
      <c r="B1601" s="0" t="s">
        <v>5845</v>
      </c>
      <c r="C1601" s="0" t="s">
        <v>5846</v>
      </c>
      <c r="D1601" s="0" t="s">
        <v>227</v>
      </c>
      <c r="E1601" s="0" t="s">
        <v>5847</v>
      </c>
      <c r="F1601" s="0" t="s">
        <v>5848</v>
      </c>
      <c r="G1601" s="0" t="s">
        <v>180</v>
      </c>
      <c r="H1601" s="0" t="s">
        <v>8371</v>
      </c>
      <c r="I1601" s="0" t="s">
        <v>7338</v>
      </c>
      <c r="J1601" s="0" t="s">
        <v>1602</v>
      </c>
      <c r="K1601" s="0" t="s">
        <v>7339</v>
      </c>
      <c r="L1601" s="0" t="s">
        <v>7340</v>
      </c>
      <c r="M1601" s="0" t="s">
        <v>7661</v>
      </c>
      <c r="N1601" s="0" t="s">
        <v>7342</v>
      </c>
      <c r="P1601" s="0" t="s">
        <v>229</v>
      </c>
      <c r="Q1601" s="0" t="s">
        <v>7354</v>
      </c>
      <c r="R1601" s="0" t="s">
        <v>7343</v>
      </c>
      <c r="S1601" s="0" t="s">
        <v>7344</v>
      </c>
      <c r="T1601" s="0" t="s">
        <v>228</v>
      </c>
      <c r="V1601" s="0" t="s">
        <v>73</v>
      </c>
      <c r="W1601" s="0" t="s">
        <v>76</v>
      </c>
      <c r="X1601" s="0" t="s">
        <v>7355</v>
      </c>
      <c r="Y1601" s="0" t="s">
        <v>7356</v>
      </c>
      <c r="Z1601" s="0" t="s">
        <v>7357</v>
      </c>
      <c r="AA1601" s="0" t="s">
        <v>7358</v>
      </c>
      <c r="AB1601" s="0" t="s">
        <v>237</v>
      </c>
      <c r="AC1601" s="0" t="s">
        <v>7629</v>
      </c>
      <c r="AD1601" s="0" t="s">
        <v>7359</v>
      </c>
      <c r="AE1601" s="0" t="s">
        <v>7360</v>
      </c>
      <c r="AF1601" s="0" t="s">
        <v>7361</v>
      </c>
      <c r="AG1601" s="0" t="s">
        <v>230</v>
      </c>
    </row>
    <row r="1602" customFormat="false" ht="15" hidden="false" customHeight="false" outlineLevel="0" collapsed="false">
      <c r="A1602" s="0" t="s">
        <v>7336</v>
      </c>
      <c r="B1602" s="0" t="s">
        <v>5849</v>
      </c>
      <c r="C1602" s="0" t="s">
        <v>5850</v>
      </c>
      <c r="D1602" s="0" t="s">
        <v>227</v>
      </c>
      <c r="E1602" s="0" t="s">
        <v>5851</v>
      </c>
      <c r="F1602" s="0" t="s">
        <v>5848</v>
      </c>
      <c r="G1602" s="0" t="s">
        <v>180</v>
      </c>
      <c r="H1602" s="0" t="s">
        <v>8371</v>
      </c>
      <c r="I1602" s="0" t="s">
        <v>7338</v>
      </c>
      <c r="J1602" s="0" t="s">
        <v>1602</v>
      </c>
      <c r="K1602" s="0" t="s">
        <v>7339</v>
      </c>
      <c r="L1602" s="0" t="s">
        <v>7340</v>
      </c>
      <c r="M1602" s="0" t="s">
        <v>7661</v>
      </c>
      <c r="N1602" s="0" t="s">
        <v>7342</v>
      </c>
      <c r="P1602" s="0" t="s">
        <v>229</v>
      </c>
      <c r="Q1602" s="0" t="s">
        <v>7354</v>
      </c>
      <c r="R1602" s="0" t="s">
        <v>7343</v>
      </c>
      <c r="S1602" s="0" t="s">
        <v>7344</v>
      </c>
      <c r="T1602" s="0" t="s">
        <v>228</v>
      </c>
      <c r="V1602" s="0" t="s">
        <v>73</v>
      </c>
      <c r="W1602" s="0" t="s">
        <v>76</v>
      </c>
      <c r="X1602" s="0" t="s">
        <v>7355</v>
      </c>
      <c r="Y1602" s="0" t="s">
        <v>7356</v>
      </c>
      <c r="Z1602" s="0" t="s">
        <v>7357</v>
      </c>
      <c r="AA1602" s="0" t="s">
        <v>7358</v>
      </c>
      <c r="AB1602" s="0" t="s">
        <v>237</v>
      </c>
      <c r="AC1602" s="0" t="s">
        <v>7629</v>
      </c>
      <c r="AD1602" s="0" t="s">
        <v>7359</v>
      </c>
      <c r="AE1602" s="0" t="s">
        <v>7360</v>
      </c>
      <c r="AF1602" s="0" t="s">
        <v>7361</v>
      </c>
      <c r="AG1602" s="0" t="s">
        <v>230</v>
      </c>
    </row>
    <row r="1603" customFormat="false" ht="15" hidden="false" customHeight="false" outlineLevel="0" collapsed="false">
      <c r="A1603" s="0" t="s">
        <v>7336</v>
      </c>
      <c r="B1603" s="0" t="s">
        <v>5852</v>
      </c>
      <c r="C1603" s="0" t="s">
        <v>5853</v>
      </c>
      <c r="D1603" s="0" t="s">
        <v>227</v>
      </c>
      <c r="E1603" s="0" t="s">
        <v>5854</v>
      </c>
      <c r="F1603" s="0" t="s">
        <v>5855</v>
      </c>
      <c r="G1603" s="0" t="s">
        <v>180</v>
      </c>
      <c r="H1603" s="0" t="s">
        <v>8372</v>
      </c>
      <c r="I1603" s="0" t="s">
        <v>7338</v>
      </c>
      <c r="J1603" s="0" t="s">
        <v>1602</v>
      </c>
      <c r="K1603" s="0" t="s">
        <v>7339</v>
      </c>
      <c r="L1603" s="0" t="s">
        <v>7340</v>
      </c>
      <c r="M1603" s="0" t="s">
        <v>7661</v>
      </c>
      <c r="N1603" s="0" t="s">
        <v>7342</v>
      </c>
      <c r="P1603" s="0" t="s">
        <v>229</v>
      </c>
      <c r="Q1603" s="0" t="s">
        <v>7354</v>
      </c>
      <c r="R1603" s="0" t="s">
        <v>7343</v>
      </c>
      <c r="S1603" s="0" t="s">
        <v>7344</v>
      </c>
      <c r="T1603" s="0" t="s">
        <v>228</v>
      </c>
      <c r="V1603" s="0" t="s">
        <v>73</v>
      </c>
      <c r="W1603" s="0" t="s">
        <v>76</v>
      </c>
      <c r="X1603" s="0" t="s">
        <v>7355</v>
      </c>
      <c r="Y1603" s="0" t="s">
        <v>7356</v>
      </c>
      <c r="Z1603" s="0" t="s">
        <v>7357</v>
      </c>
      <c r="AA1603" s="0" t="s">
        <v>7358</v>
      </c>
      <c r="AB1603" s="0" t="s">
        <v>237</v>
      </c>
      <c r="AC1603" s="0" t="s">
        <v>7629</v>
      </c>
      <c r="AD1603" s="0" t="s">
        <v>7359</v>
      </c>
      <c r="AE1603" s="0" t="s">
        <v>7360</v>
      </c>
      <c r="AF1603" s="0" t="s">
        <v>7361</v>
      </c>
      <c r="AG1603" s="0" t="s">
        <v>230</v>
      </c>
    </row>
    <row r="1604" customFormat="false" ht="15" hidden="false" customHeight="false" outlineLevel="0" collapsed="false">
      <c r="A1604" s="0" t="s">
        <v>7336</v>
      </c>
      <c r="B1604" s="0" t="s">
        <v>5856</v>
      </c>
      <c r="C1604" s="0" t="s">
        <v>5857</v>
      </c>
      <c r="D1604" s="0" t="s">
        <v>227</v>
      </c>
      <c r="E1604" s="0" t="s">
        <v>5858</v>
      </c>
      <c r="F1604" s="0" t="s">
        <v>5859</v>
      </c>
      <c r="G1604" s="0" t="s">
        <v>180</v>
      </c>
      <c r="H1604" s="0" t="s">
        <v>8373</v>
      </c>
      <c r="I1604" s="0" t="s">
        <v>7338</v>
      </c>
      <c r="J1604" s="0" t="s">
        <v>1602</v>
      </c>
      <c r="K1604" s="0" t="s">
        <v>7339</v>
      </c>
      <c r="L1604" s="0" t="s">
        <v>7340</v>
      </c>
      <c r="M1604" s="0" t="s">
        <v>7661</v>
      </c>
      <c r="N1604" s="0" t="s">
        <v>7342</v>
      </c>
      <c r="P1604" s="0" t="s">
        <v>229</v>
      </c>
      <c r="Q1604" s="0" t="s">
        <v>7354</v>
      </c>
      <c r="R1604" s="0" t="s">
        <v>7343</v>
      </c>
      <c r="S1604" s="0" t="s">
        <v>7344</v>
      </c>
      <c r="T1604" s="0" t="s">
        <v>228</v>
      </c>
      <c r="V1604" s="0" t="s">
        <v>73</v>
      </c>
      <c r="W1604" s="0" t="s">
        <v>76</v>
      </c>
      <c r="X1604" s="0" t="s">
        <v>7355</v>
      </c>
      <c r="Y1604" s="0" t="s">
        <v>7356</v>
      </c>
      <c r="Z1604" s="0" t="s">
        <v>7357</v>
      </c>
      <c r="AA1604" s="0" t="s">
        <v>7358</v>
      </c>
      <c r="AB1604" s="0" t="s">
        <v>237</v>
      </c>
      <c r="AC1604" s="0" t="s">
        <v>7629</v>
      </c>
      <c r="AD1604" s="0" t="s">
        <v>7359</v>
      </c>
      <c r="AE1604" s="0" t="s">
        <v>7360</v>
      </c>
      <c r="AF1604" s="0" t="s">
        <v>7361</v>
      </c>
      <c r="AG1604" s="0" t="s">
        <v>230</v>
      </c>
    </row>
    <row r="1605" customFormat="false" ht="15" hidden="false" customHeight="false" outlineLevel="0" collapsed="false">
      <c r="A1605" s="0" t="s">
        <v>7336</v>
      </c>
      <c r="B1605" s="0" t="s">
        <v>5860</v>
      </c>
      <c r="C1605" s="0" t="s">
        <v>5861</v>
      </c>
      <c r="D1605" s="0" t="s">
        <v>227</v>
      </c>
      <c r="E1605" s="0" t="s">
        <v>5862</v>
      </c>
      <c r="F1605" s="0" t="s">
        <v>2288</v>
      </c>
      <c r="G1605" s="0" t="s">
        <v>168</v>
      </c>
      <c r="H1605" s="0" t="s">
        <v>7759</v>
      </c>
      <c r="I1605" s="0" t="s">
        <v>7338</v>
      </c>
      <c r="J1605" s="0" t="s">
        <v>1602</v>
      </c>
      <c r="K1605" s="0" t="s">
        <v>7339</v>
      </c>
      <c r="L1605" s="0" t="s">
        <v>7340</v>
      </c>
      <c r="M1605" s="0" t="s">
        <v>7661</v>
      </c>
      <c r="N1605" s="0" t="s">
        <v>7342</v>
      </c>
      <c r="P1605" s="0" t="s">
        <v>229</v>
      </c>
      <c r="Q1605" s="0" t="s">
        <v>7354</v>
      </c>
      <c r="R1605" s="0" t="s">
        <v>7343</v>
      </c>
      <c r="S1605" s="0" t="s">
        <v>7344</v>
      </c>
      <c r="T1605" s="0" t="s">
        <v>228</v>
      </c>
      <c r="V1605" s="0" t="s">
        <v>73</v>
      </c>
      <c r="W1605" s="0" t="s">
        <v>76</v>
      </c>
      <c r="X1605" s="0" t="s">
        <v>7355</v>
      </c>
      <c r="Y1605" s="0" t="s">
        <v>7760</v>
      </c>
      <c r="Z1605" s="0" t="s">
        <v>7357</v>
      </c>
      <c r="AA1605" s="0" t="s">
        <v>7358</v>
      </c>
      <c r="AB1605" s="0" t="s">
        <v>237</v>
      </c>
      <c r="AC1605" s="0" t="s">
        <v>7629</v>
      </c>
      <c r="AD1605" s="0" t="s">
        <v>7359</v>
      </c>
      <c r="AE1605" s="0" t="s">
        <v>7360</v>
      </c>
      <c r="AF1605" s="0" t="s">
        <v>7361</v>
      </c>
      <c r="AG1605" s="0" t="s">
        <v>230</v>
      </c>
    </row>
    <row r="1606" customFormat="false" ht="15" hidden="false" customHeight="false" outlineLevel="0" collapsed="false">
      <c r="A1606" s="0" t="s">
        <v>7336</v>
      </c>
      <c r="B1606" s="0" t="s">
        <v>5863</v>
      </c>
      <c r="C1606" s="0" t="s">
        <v>5864</v>
      </c>
      <c r="D1606" s="0" t="s">
        <v>227</v>
      </c>
      <c r="E1606" s="0" t="s">
        <v>5865</v>
      </c>
      <c r="F1606" s="0" t="s">
        <v>5866</v>
      </c>
      <c r="G1606" s="0" t="s">
        <v>168</v>
      </c>
      <c r="H1606" s="0" t="s">
        <v>8374</v>
      </c>
      <c r="I1606" s="0" t="s">
        <v>7338</v>
      </c>
      <c r="J1606" s="0" t="s">
        <v>1602</v>
      </c>
      <c r="K1606" s="0" t="s">
        <v>7339</v>
      </c>
      <c r="L1606" s="0" t="s">
        <v>7340</v>
      </c>
      <c r="M1606" s="0" t="s">
        <v>7661</v>
      </c>
      <c r="N1606" s="0" t="s">
        <v>7342</v>
      </c>
      <c r="P1606" s="0" t="s">
        <v>229</v>
      </c>
      <c r="Q1606" s="0" t="s">
        <v>7354</v>
      </c>
      <c r="R1606" s="0" t="s">
        <v>7343</v>
      </c>
      <c r="S1606" s="0" t="s">
        <v>7344</v>
      </c>
      <c r="T1606" s="0" t="s">
        <v>228</v>
      </c>
      <c r="V1606" s="0" t="s">
        <v>73</v>
      </c>
      <c r="W1606" s="0" t="s">
        <v>76</v>
      </c>
      <c r="X1606" s="0" t="s">
        <v>7355</v>
      </c>
      <c r="Y1606" s="0" t="s">
        <v>7760</v>
      </c>
      <c r="Z1606" s="0" t="s">
        <v>7357</v>
      </c>
      <c r="AA1606" s="0" t="s">
        <v>7358</v>
      </c>
      <c r="AB1606" s="0" t="s">
        <v>237</v>
      </c>
      <c r="AC1606" s="0" t="s">
        <v>7629</v>
      </c>
      <c r="AD1606" s="0" t="s">
        <v>7359</v>
      </c>
      <c r="AE1606" s="0" t="s">
        <v>7360</v>
      </c>
      <c r="AF1606" s="0" t="s">
        <v>7361</v>
      </c>
      <c r="AG1606" s="0" t="s">
        <v>230</v>
      </c>
    </row>
    <row r="1607" customFormat="false" ht="15" hidden="false" customHeight="false" outlineLevel="0" collapsed="false">
      <c r="A1607" s="0" t="s">
        <v>7336</v>
      </c>
      <c r="B1607" s="0" t="s">
        <v>5867</v>
      </c>
      <c r="C1607" s="0" t="s">
        <v>5868</v>
      </c>
      <c r="D1607" s="0" t="s">
        <v>227</v>
      </c>
      <c r="E1607" s="0" t="s">
        <v>5869</v>
      </c>
      <c r="F1607" s="0" t="s">
        <v>2187</v>
      </c>
      <c r="G1607" s="0" t="s">
        <v>184</v>
      </c>
      <c r="H1607" s="0" t="s">
        <v>7741</v>
      </c>
      <c r="I1607" s="0" t="s">
        <v>7338</v>
      </c>
      <c r="J1607" s="0" t="s">
        <v>1602</v>
      </c>
      <c r="K1607" s="0" t="s">
        <v>7339</v>
      </c>
      <c r="L1607" s="0" t="s">
        <v>7340</v>
      </c>
      <c r="M1607" s="0" t="s">
        <v>7661</v>
      </c>
      <c r="N1607" s="0" t="s">
        <v>7342</v>
      </c>
      <c r="P1607" s="0" t="s">
        <v>229</v>
      </c>
      <c r="Q1607" s="0" t="s">
        <v>7354</v>
      </c>
      <c r="R1607" s="0" t="s">
        <v>7343</v>
      </c>
      <c r="S1607" s="0" t="s">
        <v>7344</v>
      </c>
      <c r="T1607" s="0" t="s">
        <v>228</v>
      </c>
      <c r="V1607" s="0" t="s">
        <v>73</v>
      </c>
      <c r="W1607" s="0" t="s">
        <v>76</v>
      </c>
      <c r="X1607" s="0" t="s">
        <v>7355</v>
      </c>
      <c r="Y1607" s="0" t="s">
        <v>7760</v>
      </c>
      <c r="Z1607" s="0" t="s">
        <v>7357</v>
      </c>
      <c r="AA1607" s="0" t="s">
        <v>7358</v>
      </c>
      <c r="AB1607" s="0" t="s">
        <v>344</v>
      </c>
      <c r="AC1607" s="0" t="s">
        <v>7629</v>
      </c>
      <c r="AD1607" s="0" t="s">
        <v>7359</v>
      </c>
      <c r="AE1607" s="0" t="s">
        <v>7360</v>
      </c>
      <c r="AF1607" s="0" t="s">
        <v>7361</v>
      </c>
      <c r="AG1607" s="0" t="s">
        <v>230</v>
      </c>
    </row>
    <row r="1608" customFormat="false" ht="15" hidden="false" customHeight="false" outlineLevel="0" collapsed="false">
      <c r="A1608" s="0" t="s">
        <v>7336</v>
      </c>
      <c r="B1608" s="0" t="s">
        <v>5870</v>
      </c>
      <c r="C1608" s="0" t="s">
        <v>5871</v>
      </c>
      <c r="D1608" s="0" t="s">
        <v>227</v>
      </c>
      <c r="E1608" s="0" t="s">
        <v>5872</v>
      </c>
      <c r="F1608" s="0" t="s">
        <v>2187</v>
      </c>
      <c r="G1608" s="0" t="s">
        <v>184</v>
      </c>
      <c r="H1608" s="0" t="s">
        <v>7741</v>
      </c>
      <c r="I1608" s="0" t="s">
        <v>7338</v>
      </c>
      <c r="J1608" s="0" t="s">
        <v>1602</v>
      </c>
      <c r="K1608" s="0" t="s">
        <v>7339</v>
      </c>
      <c r="L1608" s="0" t="s">
        <v>7340</v>
      </c>
      <c r="M1608" s="0" t="s">
        <v>7661</v>
      </c>
      <c r="N1608" s="0" t="s">
        <v>7342</v>
      </c>
      <c r="P1608" s="0" t="s">
        <v>229</v>
      </c>
      <c r="Q1608" s="0" t="s">
        <v>7354</v>
      </c>
      <c r="R1608" s="0" t="s">
        <v>7343</v>
      </c>
      <c r="S1608" s="0" t="s">
        <v>7344</v>
      </c>
      <c r="T1608" s="0" t="s">
        <v>228</v>
      </c>
      <c r="V1608" s="0" t="s">
        <v>73</v>
      </c>
      <c r="W1608" s="0" t="s">
        <v>76</v>
      </c>
      <c r="X1608" s="0" t="s">
        <v>7355</v>
      </c>
      <c r="Y1608" s="0" t="s">
        <v>7760</v>
      </c>
      <c r="Z1608" s="0" t="s">
        <v>7357</v>
      </c>
      <c r="AA1608" s="0" t="s">
        <v>7358</v>
      </c>
      <c r="AB1608" s="0" t="s">
        <v>344</v>
      </c>
      <c r="AC1608" s="0" t="s">
        <v>7629</v>
      </c>
      <c r="AD1608" s="0" t="s">
        <v>7359</v>
      </c>
      <c r="AE1608" s="0" t="s">
        <v>7360</v>
      </c>
      <c r="AF1608" s="0" t="s">
        <v>7361</v>
      </c>
      <c r="AG1608" s="0" t="s">
        <v>230</v>
      </c>
    </row>
    <row r="1609" customFormat="false" ht="15" hidden="false" customHeight="false" outlineLevel="0" collapsed="false">
      <c r="A1609" s="0" t="s">
        <v>7336</v>
      </c>
      <c r="B1609" s="0" t="s">
        <v>5873</v>
      </c>
      <c r="C1609" s="0" t="s">
        <v>5874</v>
      </c>
      <c r="D1609" s="0" t="s">
        <v>227</v>
      </c>
      <c r="E1609" s="0" t="s">
        <v>5875</v>
      </c>
      <c r="F1609" s="0" t="s">
        <v>2194</v>
      </c>
      <c r="G1609" s="0" t="s">
        <v>184</v>
      </c>
      <c r="H1609" s="0" t="s">
        <v>7742</v>
      </c>
      <c r="I1609" s="0" t="s">
        <v>7338</v>
      </c>
      <c r="J1609" s="0" t="s">
        <v>1602</v>
      </c>
      <c r="K1609" s="0" t="s">
        <v>7339</v>
      </c>
      <c r="L1609" s="0" t="s">
        <v>7340</v>
      </c>
      <c r="M1609" s="0" t="s">
        <v>7661</v>
      </c>
      <c r="N1609" s="0" t="s">
        <v>7342</v>
      </c>
      <c r="P1609" s="0" t="s">
        <v>229</v>
      </c>
      <c r="Q1609" s="0" t="s">
        <v>7354</v>
      </c>
      <c r="R1609" s="0" t="s">
        <v>7343</v>
      </c>
      <c r="S1609" s="0" t="s">
        <v>7344</v>
      </c>
      <c r="T1609" s="0" t="s">
        <v>228</v>
      </c>
      <c r="V1609" s="0" t="s">
        <v>73</v>
      </c>
      <c r="W1609" s="0" t="s">
        <v>76</v>
      </c>
      <c r="X1609" s="0" t="s">
        <v>7355</v>
      </c>
      <c r="Y1609" s="0" t="s">
        <v>7760</v>
      </c>
      <c r="Z1609" s="0" t="s">
        <v>7357</v>
      </c>
      <c r="AA1609" s="0" t="s">
        <v>7358</v>
      </c>
      <c r="AB1609" s="0" t="s">
        <v>344</v>
      </c>
      <c r="AC1609" s="0" t="s">
        <v>7629</v>
      </c>
      <c r="AD1609" s="0" t="s">
        <v>7359</v>
      </c>
      <c r="AE1609" s="0" t="s">
        <v>7360</v>
      </c>
      <c r="AF1609" s="0" t="s">
        <v>7361</v>
      </c>
      <c r="AG1609" s="0" t="s">
        <v>230</v>
      </c>
    </row>
    <row r="1610" customFormat="false" ht="15" hidden="false" customHeight="false" outlineLevel="0" collapsed="false">
      <c r="A1610" s="0" t="s">
        <v>7336</v>
      </c>
      <c r="B1610" s="0" t="s">
        <v>5876</v>
      </c>
      <c r="C1610" s="0" t="s">
        <v>5877</v>
      </c>
      <c r="D1610" s="0" t="s">
        <v>227</v>
      </c>
      <c r="E1610" s="0" t="s">
        <v>5878</v>
      </c>
      <c r="F1610" s="0" t="s">
        <v>2187</v>
      </c>
      <c r="G1610" s="0" t="s">
        <v>184</v>
      </c>
      <c r="H1610" s="0" t="s">
        <v>7741</v>
      </c>
      <c r="I1610" s="0" t="s">
        <v>7338</v>
      </c>
      <c r="J1610" s="0" t="s">
        <v>1602</v>
      </c>
      <c r="K1610" s="0" t="s">
        <v>7339</v>
      </c>
      <c r="L1610" s="0" t="s">
        <v>7340</v>
      </c>
      <c r="M1610" s="0" t="s">
        <v>7661</v>
      </c>
      <c r="N1610" s="0" t="s">
        <v>7342</v>
      </c>
      <c r="P1610" s="0" t="s">
        <v>229</v>
      </c>
      <c r="Q1610" s="0" t="s">
        <v>7354</v>
      </c>
      <c r="R1610" s="0" t="s">
        <v>7343</v>
      </c>
      <c r="S1610" s="0" t="s">
        <v>7344</v>
      </c>
      <c r="T1610" s="0" t="s">
        <v>228</v>
      </c>
      <c r="V1610" s="0" t="s">
        <v>73</v>
      </c>
      <c r="W1610" s="0" t="s">
        <v>76</v>
      </c>
      <c r="X1610" s="0" t="s">
        <v>7355</v>
      </c>
      <c r="Y1610" s="0" t="s">
        <v>7760</v>
      </c>
      <c r="Z1610" s="0" t="s">
        <v>7357</v>
      </c>
      <c r="AA1610" s="0" t="s">
        <v>7358</v>
      </c>
      <c r="AB1610" s="0" t="s">
        <v>344</v>
      </c>
      <c r="AC1610" s="0" t="s">
        <v>7629</v>
      </c>
      <c r="AD1610" s="0" t="s">
        <v>7359</v>
      </c>
      <c r="AE1610" s="0" t="s">
        <v>7360</v>
      </c>
      <c r="AF1610" s="0" t="s">
        <v>7361</v>
      </c>
      <c r="AG1610" s="0" t="s">
        <v>230</v>
      </c>
    </row>
    <row r="1611" customFormat="false" ht="15" hidden="false" customHeight="false" outlineLevel="0" collapsed="false">
      <c r="A1611" s="0" t="s">
        <v>7336</v>
      </c>
      <c r="B1611" s="0" t="s">
        <v>5879</v>
      </c>
      <c r="C1611" s="0" t="s">
        <v>5880</v>
      </c>
      <c r="D1611" s="0" t="s">
        <v>227</v>
      </c>
      <c r="E1611" s="0" t="s">
        <v>5881</v>
      </c>
      <c r="F1611" s="0" t="s">
        <v>5848</v>
      </c>
      <c r="G1611" s="0" t="s">
        <v>180</v>
      </c>
      <c r="H1611" s="0" t="s">
        <v>8371</v>
      </c>
      <c r="I1611" s="0" t="s">
        <v>7338</v>
      </c>
      <c r="J1611" s="0" t="s">
        <v>1602</v>
      </c>
      <c r="K1611" s="0" t="s">
        <v>7339</v>
      </c>
      <c r="L1611" s="0" t="s">
        <v>7340</v>
      </c>
      <c r="M1611" s="0" t="s">
        <v>7661</v>
      </c>
      <c r="N1611" s="0" t="s">
        <v>7342</v>
      </c>
      <c r="P1611" s="0" t="s">
        <v>229</v>
      </c>
      <c r="Q1611" s="0" t="s">
        <v>7354</v>
      </c>
      <c r="R1611" s="0" t="s">
        <v>7343</v>
      </c>
      <c r="S1611" s="0" t="s">
        <v>7344</v>
      </c>
      <c r="T1611" s="0" t="s">
        <v>228</v>
      </c>
      <c r="V1611" s="0" t="s">
        <v>73</v>
      </c>
      <c r="W1611" s="0" t="s">
        <v>76</v>
      </c>
      <c r="X1611" s="0" t="s">
        <v>7355</v>
      </c>
      <c r="Y1611" s="0" t="s">
        <v>7356</v>
      </c>
      <c r="Z1611" s="0" t="s">
        <v>7357</v>
      </c>
      <c r="AA1611" s="0" t="s">
        <v>7358</v>
      </c>
      <c r="AB1611" s="0" t="s">
        <v>237</v>
      </c>
      <c r="AC1611" s="0" t="s">
        <v>7629</v>
      </c>
      <c r="AD1611" s="0" t="s">
        <v>7359</v>
      </c>
      <c r="AE1611" s="0" t="s">
        <v>7360</v>
      </c>
      <c r="AF1611" s="0" t="s">
        <v>7361</v>
      </c>
      <c r="AG1611" s="0" t="s">
        <v>230</v>
      </c>
    </row>
    <row r="1612" customFormat="false" ht="15" hidden="false" customHeight="false" outlineLevel="0" collapsed="false">
      <c r="A1612" s="0" t="s">
        <v>7336</v>
      </c>
      <c r="B1612" s="0" t="s">
        <v>5882</v>
      </c>
      <c r="C1612" s="0" t="s">
        <v>5883</v>
      </c>
      <c r="D1612" s="0" t="s">
        <v>227</v>
      </c>
      <c r="E1612" s="0" t="s">
        <v>5884</v>
      </c>
      <c r="F1612" s="0" t="s">
        <v>2187</v>
      </c>
      <c r="G1612" s="0" t="s">
        <v>184</v>
      </c>
      <c r="H1612" s="0" t="s">
        <v>7741</v>
      </c>
      <c r="I1612" s="0" t="s">
        <v>7338</v>
      </c>
      <c r="J1612" s="0" t="s">
        <v>1602</v>
      </c>
      <c r="K1612" s="0" t="s">
        <v>7339</v>
      </c>
      <c r="L1612" s="0" t="s">
        <v>7340</v>
      </c>
      <c r="M1612" s="0" t="s">
        <v>7661</v>
      </c>
      <c r="N1612" s="0" t="s">
        <v>7342</v>
      </c>
      <c r="P1612" s="0" t="s">
        <v>229</v>
      </c>
      <c r="Q1612" s="0" t="s">
        <v>7354</v>
      </c>
      <c r="R1612" s="0" t="s">
        <v>7343</v>
      </c>
      <c r="S1612" s="0" t="s">
        <v>7344</v>
      </c>
      <c r="T1612" s="0" t="s">
        <v>228</v>
      </c>
      <c r="V1612" s="0" t="s">
        <v>73</v>
      </c>
      <c r="W1612" s="0" t="s">
        <v>76</v>
      </c>
      <c r="X1612" s="0" t="s">
        <v>7355</v>
      </c>
      <c r="Y1612" s="0" t="s">
        <v>7760</v>
      </c>
      <c r="Z1612" s="0" t="s">
        <v>7357</v>
      </c>
      <c r="AA1612" s="0" t="s">
        <v>7358</v>
      </c>
      <c r="AB1612" s="0" t="s">
        <v>344</v>
      </c>
      <c r="AC1612" s="0" t="s">
        <v>7629</v>
      </c>
      <c r="AD1612" s="0" t="s">
        <v>7359</v>
      </c>
      <c r="AE1612" s="0" t="s">
        <v>7360</v>
      </c>
      <c r="AF1612" s="0" t="s">
        <v>7361</v>
      </c>
      <c r="AG1612" s="0" t="s">
        <v>230</v>
      </c>
    </row>
    <row r="1613" customFormat="false" ht="15" hidden="false" customHeight="false" outlineLevel="0" collapsed="false">
      <c r="A1613" s="0" t="s">
        <v>7336</v>
      </c>
      <c r="B1613" s="0" t="s">
        <v>5885</v>
      </c>
      <c r="C1613" s="0" t="s">
        <v>5886</v>
      </c>
      <c r="D1613" s="0" t="s">
        <v>227</v>
      </c>
      <c r="E1613" s="0" t="s">
        <v>5887</v>
      </c>
      <c r="F1613" s="0" t="s">
        <v>2194</v>
      </c>
      <c r="G1613" s="0" t="s">
        <v>184</v>
      </c>
      <c r="H1613" s="0" t="s">
        <v>7742</v>
      </c>
      <c r="I1613" s="0" t="s">
        <v>7338</v>
      </c>
      <c r="J1613" s="0" t="s">
        <v>1602</v>
      </c>
      <c r="K1613" s="0" t="s">
        <v>7339</v>
      </c>
      <c r="L1613" s="0" t="s">
        <v>7340</v>
      </c>
      <c r="M1613" s="0" t="s">
        <v>7661</v>
      </c>
      <c r="N1613" s="0" t="s">
        <v>7342</v>
      </c>
      <c r="P1613" s="0" t="s">
        <v>229</v>
      </c>
      <c r="Q1613" s="0" t="s">
        <v>7354</v>
      </c>
      <c r="R1613" s="0" t="s">
        <v>7343</v>
      </c>
      <c r="S1613" s="0" t="s">
        <v>7344</v>
      </c>
      <c r="T1613" s="0" t="s">
        <v>228</v>
      </c>
      <c r="V1613" s="0" t="s">
        <v>73</v>
      </c>
      <c r="W1613" s="0" t="s">
        <v>76</v>
      </c>
      <c r="X1613" s="0" t="s">
        <v>7355</v>
      </c>
      <c r="Y1613" s="0" t="s">
        <v>7760</v>
      </c>
      <c r="Z1613" s="0" t="s">
        <v>7357</v>
      </c>
      <c r="AA1613" s="0" t="s">
        <v>7358</v>
      </c>
      <c r="AB1613" s="0" t="s">
        <v>344</v>
      </c>
      <c r="AC1613" s="0" t="s">
        <v>7629</v>
      </c>
      <c r="AD1613" s="0" t="s">
        <v>7359</v>
      </c>
      <c r="AE1613" s="0" t="s">
        <v>7360</v>
      </c>
      <c r="AF1613" s="0" t="s">
        <v>7361</v>
      </c>
      <c r="AG1613" s="0" t="s">
        <v>230</v>
      </c>
    </row>
    <row r="1614" customFormat="false" ht="15" hidden="false" customHeight="false" outlineLevel="0" collapsed="false">
      <c r="A1614" s="0" t="s">
        <v>7336</v>
      </c>
      <c r="B1614" s="0" t="s">
        <v>5888</v>
      </c>
      <c r="C1614" s="0" t="s">
        <v>5889</v>
      </c>
      <c r="D1614" s="0" t="s">
        <v>227</v>
      </c>
      <c r="E1614" s="0" t="s">
        <v>5890</v>
      </c>
      <c r="F1614" s="0" t="s">
        <v>2187</v>
      </c>
      <c r="G1614" s="0" t="s">
        <v>184</v>
      </c>
      <c r="H1614" s="0" t="s">
        <v>7741</v>
      </c>
      <c r="I1614" s="0" t="s">
        <v>7338</v>
      </c>
      <c r="J1614" s="0" t="s">
        <v>1602</v>
      </c>
      <c r="K1614" s="0" t="s">
        <v>7339</v>
      </c>
      <c r="L1614" s="0" t="s">
        <v>7340</v>
      </c>
      <c r="M1614" s="0" t="s">
        <v>7661</v>
      </c>
      <c r="N1614" s="0" t="s">
        <v>7342</v>
      </c>
      <c r="P1614" s="0" t="s">
        <v>229</v>
      </c>
      <c r="Q1614" s="0" t="s">
        <v>7354</v>
      </c>
      <c r="R1614" s="0" t="s">
        <v>7343</v>
      </c>
      <c r="S1614" s="0" t="s">
        <v>7344</v>
      </c>
      <c r="T1614" s="0" t="s">
        <v>228</v>
      </c>
      <c r="V1614" s="0" t="s">
        <v>73</v>
      </c>
      <c r="W1614" s="0" t="s">
        <v>76</v>
      </c>
      <c r="X1614" s="0" t="s">
        <v>7355</v>
      </c>
      <c r="Y1614" s="0" t="s">
        <v>7760</v>
      </c>
      <c r="Z1614" s="0" t="s">
        <v>7357</v>
      </c>
      <c r="AA1614" s="0" t="s">
        <v>7358</v>
      </c>
      <c r="AB1614" s="0" t="s">
        <v>344</v>
      </c>
      <c r="AC1614" s="0" t="s">
        <v>7629</v>
      </c>
      <c r="AD1614" s="0" t="s">
        <v>7359</v>
      </c>
      <c r="AE1614" s="0" t="s">
        <v>7360</v>
      </c>
      <c r="AF1614" s="0" t="s">
        <v>7361</v>
      </c>
      <c r="AG1614" s="0" t="s">
        <v>230</v>
      </c>
    </row>
    <row r="1615" customFormat="false" ht="15" hidden="false" customHeight="false" outlineLevel="0" collapsed="false">
      <c r="A1615" s="0" t="s">
        <v>7336</v>
      </c>
      <c r="B1615" s="0" t="s">
        <v>5891</v>
      </c>
      <c r="C1615" s="0" t="s">
        <v>5892</v>
      </c>
      <c r="D1615" s="0" t="s">
        <v>227</v>
      </c>
      <c r="E1615" s="0" t="s">
        <v>5893</v>
      </c>
      <c r="F1615" s="0" t="s">
        <v>2194</v>
      </c>
      <c r="G1615" s="0" t="s">
        <v>184</v>
      </c>
      <c r="H1615" s="0" t="s">
        <v>7742</v>
      </c>
      <c r="I1615" s="0" t="s">
        <v>7338</v>
      </c>
      <c r="J1615" s="0" t="s">
        <v>1602</v>
      </c>
      <c r="K1615" s="0" t="s">
        <v>7339</v>
      </c>
      <c r="L1615" s="0" t="s">
        <v>7340</v>
      </c>
      <c r="M1615" s="0" t="s">
        <v>7661</v>
      </c>
      <c r="N1615" s="0" t="s">
        <v>7342</v>
      </c>
      <c r="P1615" s="0" t="s">
        <v>229</v>
      </c>
      <c r="Q1615" s="0" t="s">
        <v>7354</v>
      </c>
      <c r="R1615" s="0" t="s">
        <v>7343</v>
      </c>
      <c r="S1615" s="0" t="s">
        <v>7344</v>
      </c>
      <c r="T1615" s="0" t="s">
        <v>228</v>
      </c>
      <c r="V1615" s="0" t="s">
        <v>73</v>
      </c>
      <c r="W1615" s="0" t="s">
        <v>76</v>
      </c>
      <c r="X1615" s="0" t="s">
        <v>7355</v>
      </c>
      <c r="Y1615" s="0" t="s">
        <v>7760</v>
      </c>
      <c r="Z1615" s="0" t="s">
        <v>7357</v>
      </c>
      <c r="AA1615" s="0" t="s">
        <v>7358</v>
      </c>
      <c r="AB1615" s="0" t="s">
        <v>344</v>
      </c>
      <c r="AC1615" s="0" t="s">
        <v>7629</v>
      </c>
      <c r="AD1615" s="0" t="s">
        <v>7359</v>
      </c>
      <c r="AE1615" s="0" t="s">
        <v>7360</v>
      </c>
      <c r="AF1615" s="0" t="s">
        <v>7361</v>
      </c>
      <c r="AG1615" s="0" t="s">
        <v>230</v>
      </c>
    </row>
    <row r="1616" customFormat="false" ht="15" hidden="false" customHeight="false" outlineLevel="0" collapsed="false">
      <c r="A1616" s="0" t="s">
        <v>7336</v>
      </c>
      <c r="B1616" s="0" t="s">
        <v>5894</v>
      </c>
      <c r="C1616" s="0" t="s">
        <v>5895</v>
      </c>
      <c r="D1616" s="0" t="s">
        <v>227</v>
      </c>
      <c r="E1616" s="0" t="s">
        <v>5896</v>
      </c>
      <c r="F1616" s="0" t="s">
        <v>2187</v>
      </c>
      <c r="G1616" s="0" t="s">
        <v>184</v>
      </c>
      <c r="H1616" s="0" t="s">
        <v>7741</v>
      </c>
      <c r="I1616" s="0" t="s">
        <v>7338</v>
      </c>
      <c r="J1616" s="0" t="s">
        <v>1602</v>
      </c>
      <c r="K1616" s="0" t="s">
        <v>7339</v>
      </c>
      <c r="L1616" s="0" t="s">
        <v>7340</v>
      </c>
      <c r="M1616" s="0" t="s">
        <v>7661</v>
      </c>
      <c r="N1616" s="0" t="s">
        <v>7342</v>
      </c>
      <c r="P1616" s="0" t="s">
        <v>229</v>
      </c>
      <c r="Q1616" s="0" t="s">
        <v>7354</v>
      </c>
      <c r="R1616" s="0" t="s">
        <v>7343</v>
      </c>
      <c r="S1616" s="0" t="s">
        <v>7344</v>
      </c>
      <c r="T1616" s="0" t="s">
        <v>228</v>
      </c>
      <c r="V1616" s="0" t="s">
        <v>73</v>
      </c>
      <c r="W1616" s="0" t="s">
        <v>76</v>
      </c>
      <c r="X1616" s="0" t="s">
        <v>7355</v>
      </c>
      <c r="Y1616" s="0" t="s">
        <v>7760</v>
      </c>
      <c r="Z1616" s="0" t="s">
        <v>7357</v>
      </c>
      <c r="AA1616" s="0" t="s">
        <v>7358</v>
      </c>
      <c r="AB1616" s="0" t="s">
        <v>344</v>
      </c>
      <c r="AC1616" s="0" t="s">
        <v>7629</v>
      </c>
      <c r="AD1616" s="0" t="s">
        <v>7359</v>
      </c>
      <c r="AE1616" s="0" t="s">
        <v>7360</v>
      </c>
      <c r="AF1616" s="0" t="s">
        <v>7361</v>
      </c>
      <c r="AG1616" s="0" t="s">
        <v>230</v>
      </c>
    </row>
    <row r="1617" customFormat="false" ht="15" hidden="false" customHeight="false" outlineLevel="0" collapsed="false">
      <c r="A1617" s="0" t="s">
        <v>7336</v>
      </c>
      <c r="B1617" s="0" t="s">
        <v>5897</v>
      </c>
      <c r="C1617" s="0" t="s">
        <v>5898</v>
      </c>
      <c r="D1617" s="0" t="s">
        <v>227</v>
      </c>
      <c r="E1617" s="0" t="s">
        <v>5899</v>
      </c>
      <c r="F1617" s="0" t="s">
        <v>2194</v>
      </c>
      <c r="G1617" s="0" t="s">
        <v>184</v>
      </c>
      <c r="H1617" s="0" t="s">
        <v>7742</v>
      </c>
      <c r="I1617" s="0" t="s">
        <v>7338</v>
      </c>
      <c r="J1617" s="0" t="s">
        <v>1602</v>
      </c>
      <c r="K1617" s="0" t="s">
        <v>7339</v>
      </c>
      <c r="L1617" s="0" t="s">
        <v>7340</v>
      </c>
      <c r="M1617" s="0" t="s">
        <v>7661</v>
      </c>
      <c r="N1617" s="0" t="s">
        <v>7342</v>
      </c>
      <c r="P1617" s="0" t="s">
        <v>229</v>
      </c>
      <c r="Q1617" s="0" t="s">
        <v>7354</v>
      </c>
      <c r="R1617" s="0" t="s">
        <v>7343</v>
      </c>
      <c r="S1617" s="0" t="s">
        <v>7344</v>
      </c>
      <c r="T1617" s="0" t="s">
        <v>228</v>
      </c>
      <c r="V1617" s="0" t="s">
        <v>73</v>
      </c>
      <c r="W1617" s="0" t="s">
        <v>76</v>
      </c>
      <c r="X1617" s="0" t="s">
        <v>7355</v>
      </c>
      <c r="Y1617" s="0" t="s">
        <v>7760</v>
      </c>
      <c r="Z1617" s="0" t="s">
        <v>7357</v>
      </c>
      <c r="AA1617" s="0" t="s">
        <v>7358</v>
      </c>
      <c r="AB1617" s="0" t="s">
        <v>344</v>
      </c>
      <c r="AC1617" s="0" t="s">
        <v>7629</v>
      </c>
      <c r="AD1617" s="0" t="s">
        <v>7359</v>
      </c>
      <c r="AE1617" s="0" t="s">
        <v>7360</v>
      </c>
      <c r="AF1617" s="0" t="s">
        <v>7361</v>
      </c>
      <c r="AG1617" s="0" t="s">
        <v>230</v>
      </c>
    </row>
    <row r="1618" customFormat="false" ht="15" hidden="false" customHeight="false" outlineLevel="0" collapsed="false">
      <c r="A1618" s="0" t="s">
        <v>7336</v>
      </c>
      <c r="B1618" s="0" t="s">
        <v>5900</v>
      </c>
      <c r="C1618" s="0" t="s">
        <v>5901</v>
      </c>
      <c r="D1618" s="0" t="s">
        <v>227</v>
      </c>
      <c r="E1618" s="0" t="s">
        <v>5902</v>
      </c>
      <c r="F1618" s="0" t="s">
        <v>2187</v>
      </c>
      <c r="G1618" s="0" t="s">
        <v>184</v>
      </c>
      <c r="H1618" s="0" t="s">
        <v>7741</v>
      </c>
      <c r="I1618" s="0" t="s">
        <v>7338</v>
      </c>
      <c r="J1618" s="0" t="s">
        <v>1602</v>
      </c>
      <c r="K1618" s="0" t="s">
        <v>7339</v>
      </c>
      <c r="L1618" s="0" t="s">
        <v>7340</v>
      </c>
      <c r="M1618" s="0" t="s">
        <v>7661</v>
      </c>
      <c r="N1618" s="0" t="s">
        <v>7342</v>
      </c>
      <c r="P1618" s="0" t="s">
        <v>229</v>
      </c>
      <c r="Q1618" s="0" t="s">
        <v>7354</v>
      </c>
      <c r="R1618" s="0" t="s">
        <v>7343</v>
      </c>
      <c r="S1618" s="0" t="s">
        <v>7344</v>
      </c>
      <c r="T1618" s="0" t="s">
        <v>228</v>
      </c>
      <c r="V1618" s="0" t="s">
        <v>73</v>
      </c>
      <c r="W1618" s="0" t="s">
        <v>76</v>
      </c>
      <c r="X1618" s="0" t="s">
        <v>7355</v>
      </c>
      <c r="Y1618" s="0" t="s">
        <v>7760</v>
      </c>
      <c r="Z1618" s="0" t="s">
        <v>7357</v>
      </c>
      <c r="AA1618" s="0" t="s">
        <v>7358</v>
      </c>
      <c r="AB1618" s="0" t="s">
        <v>344</v>
      </c>
      <c r="AC1618" s="0" t="s">
        <v>7629</v>
      </c>
      <c r="AD1618" s="0" t="s">
        <v>7359</v>
      </c>
      <c r="AE1618" s="0" t="s">
        <v>7360</v>
      </c>
      <c r="AF1618" s="0" t="s">
        <v>7361</v>
      </c>
      <c r="AG1618" s="0" t="s">
        <v>230</v>
      </c>
    </row>
    <row r="1619" customFormat="false" ht="15" hidden="false" customHeight="false" outlineLevel="0" collapsed="false">
      <c r="A1619" s="0" t="s">
        <v>7336</v>
      </c>
      <c r="B1619" s="0" t="s">
        <v>5903</v>
      </c>
      <c r="C1619" s="0" t="s">
        <v>5904</v>
      </c>
      <c r="D1619" s="0" t="s">
        <v>227</v>
      </c>
      <c r="E1619" s="0" t="s">
        <v>5905</v>
      </c>
      <c r="F1619" s="0" t="s">
        <v>2194</v>
      </c>
      <c r="G1619" s="0" t="s">
        <v>184</v>
      </c>
      <c r="H1619" s="0" t="s">
        <v>7742</v>
      </c>
      <c r="I1619" s="0" t="s">
        <v>7338</v>
      </c>
      <c r="J1619" s="0" t="s">
        <v>1602</v>
      </c>
      <c r="K1619" s="0" t="s">
        <v>7339</v>
      </c>
      <c r="L1619" s="0" t="s">
        <v>7340</v>
      </c>
      <c r="M1619" s="0" t="s">
        <v>7661</v>
      </c>
      <c r="N1619" s="0" t="s">
        <v>7342</v>
      </c>
      <c r="P1619" s="0" t="s">
        <v>229</v>
      </c>
      <c r="Q1619" s="0" t="s">
        <v>7354</v>
      </c>
      <c r="R1619" s="0" t="s">
        <v>7343</v>
      </c>
      <c r="S1619" s="0" t="s">
        <v>7344</v>
      </c>
      <c r="T1619" s="0" t="s">
        <v>228</v>
      </c>
      <c r="V1619" s="0" t="s">
        <v>73</v>
      </c>
      <c r="W1619" s="0" t="s">
        <v>76</v>
      </c>
      <c r="X1619" s="0" t="s">
        <v>7355</v>
      </c>
      <c r="Y1619" s="0" t="s">
        <v>7760</v>
      </c>
      <c r="Z1619" s="0" t="s">
        <v>7357</v>
      </c>
      <c r="AA1619" s="0" t="s">
        <v>7358</v>
      </c>
      <c r="AB1619" s="0" t="s">
        <v>344</v>
      </c>
      <c r="AC1619" s="0" t="s">
        <v>7629</v>
      </c>
      <c r="AD1619" s="0" t="s">
        <v>7359</v>
      </c>
      <c r="AE1619" s="0" t="s">
        <v>7360</v>
      </c>
      <c r="AF1619" s="0" t="s">
        <v>7361</v>
      </c>
      <c r="AG1619" s="0" t="s">
        <v>230</v>
      </c>
    </row>
    <row r="1620" customFormat="false" ht="15" hidden="false" customHeight="false" outlineLevel="0" collapsed="false">
      <c r="A1620" s="0" t="s">
        <v>7336</v>
      </c>
      <c r="B1620" s="0" t="s">
        <v>5906</v>
      </c>
      <c r="C1620" s="0" t="s">
        <v>5907</v>
      </c>
      <c r="D1620" s="0" t="s">
        <v>227</v>
      </c>
      <c r="E1620" s="0" t="s">
        <v>5908</v>
      </c>
      <c r="F1620" s="0" t="s">
        <v>5855</v>
      </c>
      <c r="G1620" s="0" t="s">
        <v>180</v>
      </c>
      <c r="H1620" s="0" t="s">
        <v>8372</v>
      </c>
      <c r="I1620" s="0" t="s">
        <v>7338</v>
      </c>
      <c r="J1620" s="0" t="s">
        <v>1602</v>
      </c>
      <c r="K1620" s="0" t="s">
        <v>7339</v>
      </c>
      <c r="L1620" s="0" t="s">
        <v>7340</v>
      </c>
      <c r="M1620" s="0" t="s">
        <v>7661</v>
      </c>
      <c r="N1620" s="0" t="s">
        <v>7342</v>
      </c>
      <c r="P1620" s="0" t="s">
        <v>229</v>
      </c>
      <c r="Q1620" s="0" t="s">
        <v>7354</v>
      </c>
      <c r="R1620" s="0" t="s">
        <v>7343</v>
      </c>
      <c r="S1620" s="0" t="s">
        <v>7344</v>
      </c>
      <c r="T1620" s="0" t="s">
        <v>228</v>
      </c>
      <c r="V1620" s="0" t="s">
        <v>73</v>
      </c>
      <c r="W1620" s="0" t="s">
        <v>80</v>
      </c>
      <c r="X1620" s="0" t="s">
        <v>7355</v>
      </c>
      <c r="Y1620" s="0" t="s">
        <v>7356</v>
      </c>
      <c r="Z1620" s="0" t="s">
        <v>7357</v>
      </c>
      <c r="AA1620" s="0" t="s">
        <v>7358</v>
      </c>
      <c r="AB1620" s="0" t="s">
        <v>237</v>
      </c>
      <c r="AC1620" s="0" t="s">
        <v>7629</v>
      </c>
      <c r="AD1620" s="0" t="s">
        <v>7755</v>
      </c>
      <c r="AE1620" s="0" t="s">
        <v>7360</v>
      </c>
      <c r="AF1620" s="0" t="s">
        <v>7361</v>
      </c>
      <c r="AG1620" s="0" t="s">
        <v>230</v>
      </c>
    </row>
    <row r="1621" customFormat="false" ht="15" hidden="false" customHeight="false" outlineLevel="0" collapsed="false">
      <c r="A1621" s="0" t="s">
        <v>7336</v>
      </c>
      <c r="B1621" s="0" t="s">
        <v>5909</v>
      </c>
      <c r="C1621" s="0" t="s">
        <v>5910</v>
      </c>
      <c r="D1621" s="0" t="s">
        <v>227</v>
      </c>
      <c r="E1621" s="0" t="s">
        <v>5911</v>
      </c>
      <c r="F1621" s="0" t="s">
        <v>5859</v>
      </c>
      <c r="G1621" s="0" t="s">
        <v>180</v>
      </c>
      <c r="H1621" s="0" t="s">
        <v>8373</v>
      </c>
      <c r="I1621" s="0" t="s">
        <v>7338</v>
      </c>
      <c r="J1621" s="0" t="s">
        <v>1602</v>
      </c>
      <c r="K1621" s="0" t="s">
        <v>7339</v>
      </c>
      <c r="L1621" s="0" t="s">
        <v>7340</v>
      </c>
      <c r="M1621" s="0" t="s">
        <v>7661</v>
      </c>
      <c r="N1621" s="0" t="s">
        <v>7342</v>
      </c>
      <c r="P1621" s="0" t="s">
        <v>229</v>
      </c>
      <c r="Q1621" s="0" t="s">
        <v>7354</v>
      </c>
      <c r="R1621" s="0" t="s">
        <v>7343</v>
      </c>
      <c r="S1621" s="0" t="s">
        <v>7344</v>
      </c>
      <c r="T1621" s="0" t="s">
        <v>228</v>
      </c>
      <c r="V1621" s="0" t="s">
        <v>73</v>
      </c>
      <c r="W1621" s="0" t="s">
        <v>80</v>
      </c>
      <c r="X1621" s="0" t="s">
        <v>7355</v>
      </c>
      <c r="Y1621" s="0" t="s">
        <v>7356</v>
      </c>
      <c r="Z1621" s="0" t="s">
        <v>7357</v>
      </c>
      <c r="AA1621" s="0" t="s">
        <v>7358</v>
      </c>
      <c r="AB1621" s="0" t="s">
        <v>237</v>
      </c>
      <c r="AC1621" s="0" t="s">
        <v>7629</v>
      </c>
      <c r="AD1621" s="0" t="s">
        <v>7755</v>
      </c>
      <c r="AE1621" s="0" t="s">
        <v>7360</v>
      </c>
      <c r="AF1621" s="0" t="s">
        <v>7361</v>
      </c>
      <c r="AG1621" s="0" t="s">
        <v>230</v>
      </c>
    </row>
    <row r="1622" customFormat="false" ht="15" hidden="false" customHeight="false" outlineLevel="0" collapsed="false">
      <c r="A1622" s="0" t="s">
        <v>7336</v>
      </c>
      <c r="B1622" s="0" t="s">
        <v>5912</v>
      </c>
      <c r="C1622" s="0" t="s">
        <v>5913</v>
      </c>
      <c r="D1622" s="0" t="s">
        <v>227</v>
      </c>
      <c r="E1622" s="0" t="s">
        <v>5914</v>
      </c>
      <c r="F1622" s="0" t="s">
        <v>2187</v>
      </c>
      <c r="G1622" s="0" t="s">
        <v>184</v>
      </c>
      <c r="H1622" s="0" t="s">
        <v>7741</v>
      </c>
      <c r="I1622" s="0" t="s">
        <v>7338</v>
      </c>
      <c r="J1622" s="0" t="s">
        <v>1602</v>
      </c>
      <c r="K1622" s="0" t="s">
        <v>7339</v>
      </c>
      <c r="L1622" s="0" t="s">
        <v>7340</v>
      </c>
      <c r="M1622" s="0" t="s">
        <v>7661</v>
      </c>
      <c r="N1622" s="0" t="s">
        <v>7342</v>
      </c>
      <c r="P1622" s="0" t="s">
        <v>229</v>
      </c>
      <c r="Q1622" s="0" t="s">
        <v>7354</v>
      </c>
      <c r="R1622" s="0" t="s">
        <v>7343</v>
      </c>
      <c r="S1622" s="0" t="s">
        <v>7344</v>
      </c>
      <c r="T1622" s="0" t="s">
        <v>228</v>
      </c>
      <c r="V1622" s="0" t="s">
        <v>73</v>
      </c>
      <c r="W1622" s="0" t="s">
        <v>76</v>
      </c>
      <c r="X1622" s="0" t="s">
        <v>7355</v>
      </c>
      <c r="Y1622" s="0" t="s">
        <v>7760</v>
      </c>
      <c r="Z1622" s="0" t="s">
        <v>7357</v>
      </c>
      <c r="AA1622" s="0" t="s">
        <v>7358</v>
      </c>
      <c r="AB1622" s="0" t="s">
        <v>344</v>
      </c>
      <c r="AC1622" s="0" t="s">
        <v>7629</v>
      </c>
      <c r="AD1622" s="0" t="s">
        <v>7359</v>
      </c>
      <c r="AE1622" s="0" t="s">
        <v>7360</v>
      </c>
      <c r="AF1622" s="0" t="s">
        <v>7361</v>
      </c>
      <c r="AG1622" s="0" t="s">
        <v>230</v>
      </c>
    </row>
    <row r="1623" customFormat="false" ht="15" hidden="false" customHeight="false" outlineLevel="0" collapsed="false">
      <c r="A1623" s="0" t="s">
        <v>7336</v>
      </c>
      <c r="B1623" s="0" t="s">
        <v>5915</v>
      </c>
      <c r="C1623" s="0" t="s">
        <v>5916</v>
      </c>
      <c r="D1623" s="0" t="s">
        <v>227</v>
      </c>
      <c r="E1623" s="0" t="s">
        <v>5917</v>
      </c>
      <c r="F1623" s="0" t="s">
        <v>2194</v>
      </c>
      <c r="G1623" s="0" t="s">
        <v>184</v>
      </c>
      <c r="H1623" s="0" t="s">
        <v>7742</v>
      </c>
      <c r="I1623" s="0" t="s">
        <v>7338</v>
      </c>
      <c r="J1623" s="0" t="s">
        <v>1602</v>
      </c>
      <c r="K1623" s="0" t="s">
        <v>7339</v>
      </c>
      <c r="L1623" s="0" t="s">
        <v>7340</v>
      </c>
      <c r="M1623" s="0" t="s">
        <v>7661</v>
      </c>
      <c r="N1623" s="0" t="s">
        <v>7342</v>
      </c>
      <c r="P1623" s="0" t="s">
        <v>229</v>
      </c>
      <c r="Q1623" s="0" t="s">
        <v>7354</v>
      </c>
      <c r="R1623" s="0" t="s">
        <v>7343</v>
      </c>
      <c r="S1623" s="0" t="s">
        <v>7344</v>
      </c>
      <c r="T1623" s="0" t="s">
        <v>228</v>
      </c>
      <c r="V1623" s="0" t="s">
        <v>73</v>
      </c>
      <c r="W1623" s="0" t="s">
        <v>76</v>
      </c>
      <c r="X1623" s="0" t="s">
        <v>7355</v>
      </c>
      <c r="Y1623" s="0" t="s">
        <v>7760</v>
      </c>
      <c r="Z1623" s="0" t="s">
        <v>7357</v>
      </c>
      <c r="AA1623" s="0" t="s">
        <v>7358</v>
      </c>
      <c r="AB1623" s="0" t="s">
        <v>344</v>
      </c>
      <c r="AC1623" s="0" t="s">
        <v>7629</v>
      </c>
      <c r="AD1623" s="0" t="s">
        <v>7359</v>
      </c>
      <c r="AE1623" s="0" t="s">
        <v>7360</v>
      </c>
      <c r="AF1623" s="0" t="s">
        <v>7361</v>
      </c>
      <c r="AG1623" s="0" t="s">
        <v>230</v>
      </c>
    </row>
    <row r="1624" customFormat="false" ht="15" hidden="false" customHeight="false" outlineLevel="0" collapsed="false">
      <c r="A1624" s="0" t="s">
        <v>7336</v>
      </c>
      <c r="B1624" s="0" t="s">
        <v>5918</v>
      </c>
      <c r="C1624" s="0" t="s">
        <v>5919</v>
      </c>
      <c r="D1624" s="0" t="s">
        <v>227</v>
      </c>
      <c r="E1624" s="0" t="s">
        <v>5920</v>
      </c>
      <c r="F1624" s="0" t="s">
        <v>2187</v>
      </c>
      <c r="G1624" s="0" t="s">
        <v>184</v>
      </c>
      <c r="H1624" s="0" t="s">
        <v>7741</v>
      </c>
      <c r="I1624" s="0" t="s">
        <v>7338</v>
      </c>
      <c r="J1624" s="0" t="s">
        <v>1602</v>
      </c>
      <c r="K1624" s="0" t="s">
        <v>7339</v>
      </c>
      <c r="L1624" s="0" t="s">
        <v>7340</v>
      </c>
      <c r="M1624" s="0" t="s">
        <v>7661</v>
      </c>
      <c r="N1624" s="0" t="s">
        <v>7342</v>
      </c>
      <c r="P1624" s="0" t="s">
        <v>229</v>
      </c>
      <c r="Q1624" s="0" t="s">
        <v>7354</v>
      </c>
      <c r="R1624" s="0" t="s">
        <v>7343</v>
      </c>
      <c r="S1624" s="0" t="s">
        <v>7344</v>
      </c>
      <c r="T1624" s="0" t="s">
        <v>228</v>
      </c>
      <c r="V1624" s="0" t="s">
        <v>73</v>
      </c>
      <c r="W1624" s="0" t="s">
        <v>76</v>
      </c>
      <c r="X1624" s="0" t="s">
        <v>7355</v>
      </c>
      <c r="Y1624" s="0" t="s">
        <v>7760</v>
      </c>
      <c r="Z1624" s="0" t="s">
        <v>7357</v>
      </c>
      <c r="AA1624" s="0" t="s">
        <v>7358</v>
      </c>
      <c r="AB1624" s="0" t="s">
        <v>344</v>
      </c>
      <c r="AC1624" s="0" t="s">
        <v>7629</v>
      </c>
      <c r="AD1624" s="0" t="s">
        <v>7359</v>
      </c>
      <c r="AE1624" s="0" t="s">
        <v>7360</v>
      </c>
      <c r="AF1624" s="0" t="s">
        <v>7361</v>
      </c>
      <c r="AG1624" s="0" t="s">
        <v>230</v>
      </c>
    </row>
    <row r="1625" customFormat="false" ht="15" hidden="false" customHeight="false" outlineLevel="0" collapsed="false">
      <c r="A1625" s="0" t="s">
        <v>7336</v>
      </c>
      <c r="B1625" s="0" t="s">
        <v>5921</v>
      </c>
      <c r="C1625" s="0" t="s">
        <v>5922</v>
      </c>
      <c r="D1625" s="0" t="s">
        <v>227</v>
      </c>
      <c r="E1625" s="0" t="s">
        <v>5923</v>
      </c>
      <c r="F1625" s="0" t="s">
        <v>2194</v>
      </c>
      <c r="G1625" s="0" t="s">
        <v>184</v>
      </c>
      <c r="H1625" s="0" t="s">
        <v>7742</v>
      </c>
      <c r="I1625" s="0" t="s">
        <v>7338</v>
      </c>
      <c r="J1625" s="0" t="s">
        <v>1602</v>
      </c>
      <c r="K1625" s="0" t="s">
        <v>7339</v>
      </c>
      <c r="L1625" s="0" t="s">
        <v>7340</v>
      </c>
      <c r="M1625" s="0" t="s">
        <v>7661</v>
      </c>
      <c r="N1625" s="0" t="s">
        <v>7342</v>
      </c>
      <c r="P1625" s="0" t="s">
        <v>229</v>
      </c>
      <c r="Q1625" s="0" t="s">
        <v>7354</v>
      </c>
      <c r="R1625" s="0" t="s">
        <v>7343</v>
      </c>
      <c r="S1625" s="0" t="s">
        <v>7344</v>
      </c>
      <c r="T1625" s="0" t="s">
        <v>228</v>
      </c>
      <c r="V1625" s="0" t="s">
        <v>73</v>
      </c>
      <c r="W1625" s="0" t="s">
        <v>76</v>
      </c>
      <c r="X1625" s="0" t="s">
        <v>7355</v>
      </c>
      <c r="Y1625" s="0" t="s">
        <v>7760</v>
      </c>
      <c r="Z1625" s="0" t="s">
        <v>7357</v>
      </c>
      <c r="AA1625" s="0" t="s">
        <v>7358</v>
      </c>
      <c r="AB1625" s="0" t="s">
        <v>344</v>
      </c>
      <c r="AC1625" s="0" t="s">
        <v>7629</v>
      </c>
      <c r="AD1625" s="0" t="s">
        <v>7359</v>
      </c>
      <c r="AE1625" s="0" t="s">
        <v>7360</v>
      </c>
      <c r="AF1625" s="0" t="s">
        <v>7361</v>
      </c>
      <c r="AG1625" s="0" t="s">
        <v>230</v>
      </c>
    </row>
    <row r="1626" customFormat="false" ht="15" hidden="false" customHeight="false" outlineLevel="0" collapsed="false">
      <c r="A1626" s="0" t="s">
        <v>7336</v>
      </c>
      <c r="B1626" s="0" t="s">
        <v>5924</v>
      </c>
      <c r="C1626" s="0" t="s">
        <v>5925</v>
      </c>
      <c r="D1626" s="0" t="s">
        <v>227</v>
      </c>
      <c r="E1626" s="0" t="s">
        <v>5926</v>
      </c>
      <c r="F1626" s="0" t="s">
        <v>2187</v>
      </c>
      <c r="G1626" s="0" t="s">
        <v>184</v>
      </c>
      <c r="H1626" s="0" t="s">
        <v>7741</v>
      </c>
      <c r="I1626" s="0" t="s">
        <v>7338</v>
      </c>
      <c r="J1626" s="0" t="s">
        <v>1602</v>
      </c>
      <c r="K1626" s="0" t="s">
        <v>7339</v>
      </c>
      <c r="L1626" s="0" t="s">
        <v>7340</v>
      </c>
      <c r="M1626" s="0" t="s">
        <v>7661</v>
      </c>
      <c r="N1626" s="0" t="s">
        <v>7342</v>
      </c>
      <c r="P1626" s="0" t="s">
        <v>229</v>
      </c>
      <c r="Q1626" s="0" t="s">
        <v>7354</v>
      </c>
      <c r="R1626" s="0" t="s">
        <v>7343</v>
      </c>
      <c r="S1626" s="0" t="s">
        <v>7344</v>
      </c>
      <c r="T1626" s="0" t="s">
        <v>228</v>
      </c>
      <c r="V1626" s="0" t="s">
        <v>73</v>
      </c>
      <c r="W1626" s="0" t="s">
        <v>76</v>
      </c>
      <c r="X1626" s="0" t="s">
        <v>7355</v>
      </c>
      <c r="Y1626" s="0" t="s">
        <v>7760</v>
      </c>
      <c r="Z1626" s="0" t="s">
        <v>7357</v>
      </c>
      <c r="AA1626" s="0" t="s">
        <v>7358</v>
      </c>
      <c r="AB1626" s="0" t="s">
        <v>344</v>
      </c>
      <c r="AC1626" s="0" t="s">
        <v>7629</v>
      </c>
      <c r="AD1626" s="0" t="s">
        <v>7359</v>
      </c>
      <c r="AE1626" s="0" t="s">
        <v>7360</v>
      </c>
      <c r="AF1626" s="0" t="s">
        <v>7361</v>
      </c>
      <c r="AG1626" s="0" t="s">
        <v>230</v>
      </c>
    </row>
    <row r="1627" customFormat="false" ht="15" hidden="false" customHeight="false" outlineLevel="0" collapsed="false">
      <c r="A1627" s="0" t="s">
        <v>7336</v>
      </c>
      <c r="B1627" s="0" t="s">
        <v>5927</v>
      </c>
      <c r="C1627" s="0" t="s">
        <v>5928</v>
      </c>
      <c r="D1627" s="0" t="s">
        <v>227</v>
      </c>
      <c r="E1627" s="0" t="s">
        <v>5929</v>
      </c>
      <c r="F1627" s="0" t="s">
        <v>2194</v>
      </c>
      <c r="G1627" s="0" t="s">
        <v>184</v>
      </c>
      <c r="H1627" s="0" t="s">
        <v>7742</v>
      </c>
      <c r="I1627" s="0" t="s">
        <v>7338</v>
      </c>
      <c r="J1627" s="0" t="s">
        <v>1602</v>
      </c>
      <c r="K1627" s="0" t="s">
        <v>7339</v>
      </c>
      <c r="L1627" s="0" t="s">
        <v>7340</v>
      </c>
      <c r="M1627" s="0" t="s">
        <v>7661</v>
      </c>
      <c r="N1627" s="0" t="s">
        <v>7342</v>
      </c>
      <c r="P1627" s="0" t="s">
        <v>229</v>
      </c>
      <c r="Q1627" s="0" t="s">
        <v>7354</v>
      </c>
      <c r="R1627" s="0" t="s">
        <v>7343</v>
      </c>
      <c r="S1627" s="0" t="s">
        <v>7344</v>
      </c>
      <c r="T1627" s="0" t="s">
        <v>228</v>
      </c>
      <c r="V1627" s="0" t="s">
        <v>73</v>
      </c>
      <c r="W1627" s="0" t="s">
        <v>76</v>
      </c>
      <c r="X1627" s="0" t="s">
        <v>7355</v>
      </c>
      <c r="Y1627" s="0" t="s">
        <v>7760</v>
      </c>
      <c r="Z1627" s="0" t="s">
        <v>7357</v>
      </c>
      <c r="AA1627" s="0" t="s">
        <v>7358</v>
      </c>
      <c r="AB1627" s="0" t="s">
        <v>344</v>
      </c>
      <c r="AC1627" s="0" t="s">
        <v>7629</v>
      </c>
      <c r="AD1627" s="0" t="s">
        <v>7359</v>
      </c>
      <c r="AE1627" s="0" t="s">
        <v>7360</v>
      </c>
      <c r="AF1627" s="0" t="s">
        <v>7361</v>
      </c>
      <c r="AG1627" s="0" t="s">
        <v>230</v>
      </c>
    </row>
    <row r="1628" customFormat="false" ht="15" hidden="false" customHeight="false" outlineLevel="0" collapsed="false">
      <c r="A1628" s="0" t="s">
        <v>7336</v>
      </c>
      <c r="B1628" s="0" t="s">
        <v>5930</v>
      </c>
      <c r="C1628" s="0" t="s">
        <v>5931</v>
      </c>
      <c r="D1628" s="0" t="s">
        <v>227</v>
      </c>
      <c r="E1628" s="0" t="s">
        <v>5932</v>
      </c>
      <c r="F1628" s="0" t="s">
        <v>2187</v>
      </c>
      <c r="G1628" s="0" t="s">
        <v>184</v>
      </c>
      <c r="H1628" s="0" t="s">
        <v>7741</v>
      </c>
      <c r="I1628" s="0" t="s">
        <v>7338</v>
      </c>
      <c r="J1628" s="0" t="s">
        <v>1602</v>
      </c>
      <c r="K1628" s="0" t="s">
        <v>7339</v>
      </c>
      <c r="L1628" s="0" t="s">
        <v>7340</v>
      </c>
      <c r="M1628" s="0" t="s">
        <v>7661</v>
      </c>
      <c r="N1628" s="0" t="s">
        <v>7342</v>
      </c>
      <c r="P1628" s="0" t="s">
        <v>229</v>
      </c>
      <c r="Q1628" s="0" t="s">
        <v>7354</v>
      </c>
      <c r="R1628" s="0" t="s">
        <v>7343</v>
      </c>
      <c r="S1628" s="0" t="s">
        <v>7344</v>
      </c>
      <c r="T1628" s="0" t="s">
        <v>228</v>
      </c>
      <c r="V1628" s="0" t="s">
        <v>73</v>
      </c>
      <c r="W1628" s="0" t="s">
        <v>76</v>
      </c>
      <c r="X1628" s="0" t="s">
        <v>7355</v>
      </c>
      <c r="Y1628" s="0" t="s">
        <v>7760</v>
      </c>
      <c r="Z1628" s="0" t="s">
        <v>7357</v>
      </c>
      <c r="AA1628" s="0" t="s">
        <v>7358</v>
      </c>
      <c r="AB1628" s="0" t="s">
        <v>344</v>
      </c>
      <c r="AC1628" s="0" t="s">
        <v>7629</v>
      </c>
      <c r="AD1628" s="0" t="s">
        <v>7359</v>
      </c>
      <c r="AE1628" s="0" t="s">
        <v>7360</v>
      </c>
      <c r="AF1628" s="0" t="s">
        <v>7361</v>
      </c>
      <c r="AG1628" s="0" t="s">
        <v>230</v>
      </c>
    </row>
    <row r="1629" customFormat="false" ht="15" hidden="false" customHeight="false" outlineLevel="0" collapsed="false">
      <c r="A1629" s="0" t="s">
        <v>7336</v>
      </c>
      <c r="B1629" s="0" t="s">
        <v>5933</v>
      </c>
      <c r="C1629" s="0" t="s">
        <v>5934</v>
      </c>
      <c r="D1629" s="0" t="s">
        <v>227</v>
      </c>
      <c r="E1629" s="0" t="s">
        <v>5935</v>
      </c>
      <c r="F1629" s="0" t="s">
        <v>2194</v>
      </c>
      <c r="G1629" s="0" t="s">
        <v>184</v>
      </c>
      <c r="H1629" s="0" t="s">
        <v>7742</v>
      </c>
      <c r="I1629" s="0" t="s">
        <v>7338</v>
      </c>
      <c r="J1629" s="0" t="s">
        <v>1602</v>
      </c>
      <c r="K1629" s="0" t="s">
        <v>7339</v>
      </c>
      <c r="L1629" s="0" t="s">
        <v>7340</v>
      </c>
      <c r="M1629" s="0" t="s">
        <v>7661</v>
      </c>
      <c r="N1629" s="0" t="s">
        <v>7342</v>
      </c>
      <c r="P1629" s="0" t="s">
        <v>229</v>
      </c>
      <c r="Q1629" s="0" t="s">
        <v>7354</v>
      </c>
      <c r="R1629" s="0" t="s">
        <v>7343</v>
      </c>
      <c r="S1629" s="0" t="s">
        <v>7344</v>
      </c>
      <c r="T1629" s="0" t="s">
        <v>228</v>
      </c>
      <c r="V1629" s="0" t="s">
        <v>73</v>
      </c>
      <c r="W1629" s="0" t="s">
        <v>76</v>
      </c>
      <c r="X1629" s="0" t="s">
        <v>7355</v>
      </c>
      <c r="Y1629" s="0" t="s">
        <v>7760</v>
      </c>
      <c r="Z1629" s="0" t="s">
        <v>7357</v>
      </c>
      <c r="AA1629" s="0" t="s">
        <v>7358</v>
      </c>
      <c r="AB1629" s="0" t="s">
        <v>344</v>
      </c>
      <c r="AC1629" s="0" t="s">
        <v>7629</v>
      </c>
      <c r="AD1629" s="0" t="s">
        <v>7359</v>
      </c>
      <c r="AE1629" s="0" t="s">
        <v>7360</v>
      </c>
      <c r="AF1629" s="0" t="s">
        <v>7361</v>
      </c>
      <c r="AG1629" s="0" t="s">
        <v>230</v>
      </c>
    </row>
    <row r="1630" customFormat="false" ht="15" hidden="false" customHeight="false" outlineLevel="0" collapsed="false">
      <c r="A1630" s="0" t="s">
        <v>7336</v>
      </c>
      <c r="B1630" s="0" t="s">
        <v>5936</v>
      </c>
      <c r="C1630" s="0" t="s">
        <v>5937</v>
      </c>
      <c r="D1630" s="0" t="s">
        <v>227</v>
      </c>
      <c r="E1630" s="0" t="s">
        <v>5938</v>
      </c>
      <c r="F1630" s="0" t="s">
        <v>2288</v>
      </c>
      <c r="G1630" s="0" t="s">
        <v>168</v>
      </c>
      <c r="H1630" s="0" t="s">
        <v>7759</v>
      </c>
      <c r="I1630" s="0" t="s">
        <v>7338</v>
      </c>
      <c r="J1630" s="0" t="s">
        <v>1602</v>
      </c>
      <c r="K1630" s="0" t="s">
        <v>7339</v>
      </c>
      <c r="L1630" s="0" t="s">
        <v>7340</v>
      </c>
      <c r="M1630" s="0" t="s">
        <v>7661</v>
      </c>
      <c r="N1630" s="0" t="s">
        <v>7342</v>
      </c>
      <c r="P1630" s="0" t="s">
        <v>229</v>
      </c>
      <c r="Q1630" s="0" t="s">
        <v>7354</v>
      </c>
      <c r="R1630" s="0" t="s">
        <v>7343</v>
      </c>
      <c r="S1630" s="0" t="s">
        <v>7344</v>
      </c>
      <c r="T1630" s="0" t="s">
        <v>228</v>
      </c>
      <c r="V1630" s="0" t="s">
        <v>73</v>
      </c>
      <c r="W1630" s="0" t="s">
        <v>79</v>
      </c>
      <c r="X1630" s="0" t="s">
        <v>7355</v>
      </c>
      <c r="Y1630" s="0" t="s">
        <v>7760</v>
      </c>
      <c r="Z1630" s="0" t="s">
        <v>7357</v>
      </c>
      <c r="AA1630" s="0" t="s">
        <v>7358</v>
      </c>
      <c r="AB1630" s="0" t="s">
        <v>237</v>
      </c>
      <c r="AC1630" s="0" t="s">
        <v>7629</v>
      </c>
      <c r="AD1630" s="0" t="s">
        <v>7755</v>
      </c>
      <c r="AE1630" s="0" t="s">
        <v>7360</v>
      </c>
      <c r="AF1630" s="0" t="s">
        <v>7361</v>
      </c>
      <c r="AG1630" s="0" t="s">
        <v>230</v>
      </c>
    </row>
    <row r="1631" customFormat="false" ht="15" hidden="false" customHeight="false" outlineLevel="0" collapsed="false">
      <c r="A1631" s="0" t="s">
        <v>7336</v>
      </c>
      <c r="B1631" s="0" t="s">
        <v>5939</v>
      </c>
      <c r="C1631" s="0" t="s">
        <v>5940</v>
      </c>
      <c r="D1631" s="0" t="s">
        <v>227</v>
      </c>
      <c r="E1631" s="0" t="s">
        <v>5941</v>
      </c>
      <c r="F1631" s="0" t="s">
        <v>2288</v>
      </c>
      <c r="G1631" s="0" t="s">
        <v>168</v>
      </c>
      <c r="H1631" s="0" t="s">
        <v>7759</v>
      </c>
      <c r="I1631" s="0" t="s">
        <v>7338</v>
      </c>
      <c r="J1631" s="0" t="s">
        <v>1602</v>
      </c>
      <c r="K1631" s="0" t="s">
        <v>7339</v>
      </c>
      <c r="L1631" s="0" t="s">
        <v>7340</v>
      </c>
      <c r="M1631" s="0" t="s">
        <v>7661</v>
      </c>
      <c r="N1631" s="0" t="s">
        <v>7342</v>
      </c>
      <c r="P1631" s="0" t="s">
        <v>229</v>
      </c>
      <c r="Q1631" s="0" t="s">
        <v>7354</v>
      </c>
      <c r="R1631" s="0" t="s">
        <v>7343</v>
      </c>
      <c r="S1631" s="0" t="s">
        <v>7344</v>
      </c>
      <c r="T1631" s="0" t="s">
        <v>228</v>
      </c>
      <c r="V1631" s="0" t="s">
        <v>73</v>
      </c>
      <c r="W1631" s="0" t="s">
        <v>79</v>
      </c>
      <c r="X1631" s="0" t="s">
        <v>7355</v>
      </c>
      <c r="Y1631" s="0" t="s">
        <v>7760</v>
      </c>
      <c r="Z1631" s="0" t="s">
        <v>7357</v>
      </c>
      <c r="AA1631" s="0" t="s">
        <v>7358</v>
      </c>
      <c r="AB1631" s="0" t="s">
        <v>237</v>
      </c>
      <c r="AC1631" s="0" t="s">
        <v>7629</v>
      </c>
      <c r="AD1631" s="0" t="s">
        <v>7755</v>
      </c>
      <c r="AE1631" s="0" t="s">
        <v>7360</v>
      </c>
      <c r="AF1631" s="0" t="s">
        <v>7361</v>
      </c>
      <c r="AG1631" s="0" t="s">
        <v>230</v>
      </c>
    </row>
    <row r="1632" customFormat="false" ht="15" hidden="false" customHeight="false" outlineLevel="0" collapsed="false">
      <c r="A1632" s="0" t="s">
        <v>7336</v>
      </c>
      <c r="B1632" s="0" t="s">
        <v>5942</v>
      </c>
      <c r="C1632" s="0" t="s">
        <v>5943</v>
      </c>
      <c r="D1632" s="0" t="s">
        <v>227</v>
      </c>
      <c r="E1632" s="0" t="s">
        <v>5944</v>
      </c>
      <c r="F1632" s="0" t="s">
        <v>2288</v>
      </c>
      <c r="G1632" s="0" t="s">
        <v>168</v>
      </c>
      <c r="H1632" s="0" t="s">
        <v>7759</v>
      </c>
      <c r="I1632" s="0" t="s">
        <v>7338</v>
      </c>
      <c r="J1632" s="0" t="s">
        <v>1602</v>
      </c>
      <c r="K1632" s="0" t="s">
        <v>7339</v>
      </c>
      <c r="L1632" s="0" t="s">
        <v>7340</v>
      </c>
      <c r="M1632" s="0" t="s">
        <v>7661</v>
      </c>
      <c r="N1632" s="0" t="s">
        <v>7342</v>
      </c>
      <c r="P1632" s="0" t="s">
        <v>229</v>
      </c>
      <c r="Q1632" s="0" t="s">
        <v>7354</v>
      </c>
      <c r="R1632" s="0" t="s">
        <v>7343</v>
      </c>
      <c r="S1632" s="0" t="s">
        <v>7344</v>
      </c>
      <c r="T1632" s="0" t="s">
        <v>228</v>
      </c>
      <c r="V1632" s="0" t="s">
        <v>73</v>
      </c>
      <c r="W1632" s="0" t="s">
        <v>79</v>
      </c>
      <c r="X1632" s="0" t="s">
        <v>7355</v>
      </c>
      <c r="Y1632" s="0" t="s">
        <v>7760</v>
      </c>
      <c r="Z1632" s="0" t="s">
        <v>7357</v>
      </c>
      <c r="AA1632" s="0" t="s">
        <v>7358</v>
      </c>
      <c r="AB1632" s="0" t="s">
        <v>237</v>
      </c>
      <c r="AC1632" s="0" t="s">
        <v>7629</v>
      </c>
      <c r="AD1632" s="0" t="s">
        <v>7755</v>
      </c>
      <c r="AE1632" s="0" t="s">
        <v>7360</v>
      </c>
      <c r="AF1632" s="0" t="s">
        <v>7361</v>
      </c>
      <c r="AG1632" s="0" t="s">
        <v>230</v>
      </c>
    </row>
    <row r="1633" customFormat="false" ht="15" hidden="false" customHeight="false" outlineLevel="0" collapsed="false">
      <c r="A1633" s="0" t="s">
        <v>7336</v>
      </c>
      <c r="B1633" s="0" t="s">
        <v>5945</v>
      </c>
      <c r="C1633" s="0" t="s">
        <v>5946</v>
      </c>
      <c r="D1633" s="0" t="s">
        <v>227</v>
      </c>
      <c r="E1633" s="0" t="s">
        <v>5947</v>
      </c>
      <c r="F1633" s="0" t="s">
        <v>2288</v>
      </c>
      <c r="G1633" s="0" t="s">
        <v>168</v>
      </c>
      <c r="H1633" s="0" t="s">
        <v>7759</v>
      </c>
      <c r="I1633" s="0" t="s">
        <v>7338</v>
      </c>
      <c r="J1633" s="0" t="s">
        <v>1602</v>
      </c>
      <c r="K1633" s="0" t="s">
        <v>7339</v>
      </c>
      <c r="L1633" s="0" t="s">
        <v>7340</v>
      </c>
      <c r="M1633" s="0" t="s">
        <v>7661</v>
      </c>
      <c r="N1633" s="0" t="s">
        <v>7342</v>
      </c>
      <c r="P1633" s="0" t="s">
        <v>229</v>
      </c>
      <c r="Q1633" s="0" t="s">
        <v>7354</v>
      </c>
      <c r="R1633" s="0" t="s">
        <v>7343</v>
      </c>
      <c r="S1633" s="0" t="s">
        <v>7344</v>
      </c>
      <c r="T1633" s="0" t="s">
        <v>228</v>
      </c>
      <c r="V1633" s="0" t="s">
        <v>73</v>
      </c>
      <c r="W1633" s="0" t="s">
        <v>79</v>
      </c>
      <c r="X1633" s="0" t="s">
        <v>7355</v>
      </c>
      <c r="Y1633" s="0" t="s">
        <v>7760</v>
      </c>
      <c r="Z1633" s="0" t="s">
        <v>7357</v>
      </c>
      <c r="AA1633" s="0" t="s">
        <v>7358</v>
      </c>
      <c r="AB1633" s="0" t="s">
        <v>237</v>
      </c>
      <c r="AC1633" s="0" t="s">
        <v>7629</v>
      </c>
      <c r="AD1633" s="0" t="s">
        <v>7755</v>
      </c>
      <c r="AE1633" s="0" t="s">
        <v>7360</v>
      </c>
      <c r="AF1633" s="0" t="s">
        <v>7361</v>
      </c>
      <c r="AG1633" s="0" t="s">
        <v>230</v>
      </c>
    </row>
    <row r="1634" customFormat="false" ht="15" hidden="false" customHeight="false" outlineLevel="0" collapsed="false">
      <c r="A1634" s="0" t="s">
        <v>7336</v>
      </c>
      <c r="B1634" s="0" t="s">
        <v>5948</v>
      </c>
      <c r="C1634" s="0" t="s">
        <v>5949</v>
      </c>
      <c r="D1634" s="0" t="s">
        <v>227</v>
      </c>
      <c r="E1634" s="0" t="s">
        <v>5950</v>
      </c>
      <c r="F1634" s="0" t="s">
        <v>5866</v>
      </c>
      <c r="G1634" s="0" t="s">
        <v>168</v>
      </c>
      <c r="H1634" s="0" t="s">
        <v>8374</v>
      </c>
      <c r="I1634" s="0" t="s">
        <v>7338</v>
      </c>
      <c r="J1634" s="0" t="s">
        <v>1602</v>
      </c>
      <c r="K1634" s="0" t="s">
        <v>7339</v>
      </c>
      <c r="L1634" s="0" t="s">
        <v>7340</v>
      </c>
      <c r="M1634" s="0" t="s">
        <v>7661</v>
      </c>
      <c r="N1634" s="0" t="s">
        <v>7342</v>
      </c>
      <c r="P1634" s="0" t="s">
        <v>229</v>
      </c>
      <c r="Q1634" s="0" t="s">
        <v>7354</v>
      </c>
      <c r="R1634" s="0" t="s">
        <v>7343</v>
      </c>
      <c r="S1634" s="0" t="s">
        <v>7344</v>
      </c>
      <c r="T1634" s="0" t="s">
        <v>228</v>
      </c>
      <c r="V1634" s="0" t="s">
        <v>73</v>
      </c>
      <c r="W1634" s="0" t="s">
        <v>79</v>
      </c>
      <c r="X1634" s="0" t="s">
        <v>7355</v>
      </c>
      <c r="Y1634" s="0" t="s">
        <v>7760</v>
      </c>
      <c r="Z1634" s="0" t="s">
        <v>7357</v>
      </c>
      <c r="AA1634" s="0" t="s">
        <v>7358</v>
      </c>
      <c r="AB1634" s="0" t="s">
        <v>237</v>
      </c>
      <c r="AC1634" s="0" t="s">
        <v>7629</v>
      </c>
      <c r="AD1634" s="0" t="s">
        <v>7755</v>
      </c>
      <c r="AE1634" s="0" t="s">
        <v>7360</v>
      </c>
      <c r="AF1634" s="0" t="s">
        <v>7361</v>
      </c>
      <c r="AG1634" s="0" t="s">
        <v>230</v>
      </c>
    </row>
    <row r="1635" customFormat="false" ht="15" hidden="false" customHeight="false" outlineLevel="0" collapsed="false">
      <c r="A1635" s="0" t="s">
        <v>7336</v>
      </c>
      <c r="B1635" s="0" t="s">
        <v>5951</v>
      </c>
      <c r="C1635" s="0" t="s">
        <v>5952</v>
      </c>
      <c r="D1635" s="0" t="s">
        <v>227</v>
      </c>
      <c r="E1635" s="0" t="s">
        <v>5953</v>
      </c>
      <c r="F1635" s="0" t="s">
        <v>5866</v>
      </c>
      <c r="G1635" s="0" t="s">
        <v>168</v>
      </c>
      <c r="H1635" s="0" t="s">
        <v>8374</v>
      </c>
      <c r="I1635" s="0" t="s">
        <v>7338</v>
      </c>
      <c r="J1635" s="0" t="s">
        <v>1602</v>
      </c>
      <c r="K1635" s="0" t="s">
        <v>7339</v>
      </c>
      <c r="L1635" s="0" t="s">
        <v>7340</v>
      </c>
      <c r="M1635" s="0" t="s">
        <v>7661</v>
      </c>
      <c r="N1635" s="0" t="s">
        <v>7342</v>
      </c>
      <c r="P1635" s="0" t="s">
        <v>229</v>
      </c>
      <c r="Q1635" s="0" t="s">
        <v>7354</v>
      </c>
      <c r="R1635" s="0" t="s">
        <v>7343</v>
      </c>
      <c r="S1635" s="0" t="s">
        <v>7344</v>
      </c>
      <c r="T1635" s="0" t="s">
        <v>228</v>
      </c>
      <c r="V1635" s="0" t="s">
        <v>73</v>
      </c>
      <c r="W1635" s="0" t="s">
        <v>79</v>
      </c>
      <c r="X1635" s="0" t="s">
        <v>7355</v>
      </c>
      <c r="Y1635" s="0" t="s">
        <v>7760</v>
      </c>
      <c r="Z1635" s="0" t="s">
        <v>7357</v>
      </c>
      <c r="AA1635" s="0" t="s">
        <v>7358</v>
      </c>
      <c r="AB1635" s="0" t="s">
        <v>237</v>
      </c>
      <c r="AC1635" s="0" t="s">
        <v>7629</v>
      </c>
      <c r="AD1635" s="0" t="s">
        <v>7755</v>
      </c>
      <c r="AE1635" s="0" t="s">
        <v>7360</v>
      </c>
      <c r="AF1635" s="0" t="s">
        <v>7361</v>
      </c>
      <c r="AG1635" s="0" t="s">
        <v>230</v>
      </c>
    </row>
    <row r="1636" customFormat="false" ht="15" hidden="false" customHeight="false" outlineLevel="0" collapsed="false">
      <c r="A1636" s="0" t="s">
        <v>7336</v>
      </c>
      <c r="B1636" s="0" t="s">
        <v>5954</v>
      </c>
      <c r="C1636" s="0" t="s">
        <v>5955</v>
      </c>
      <c r="D1636" s="0" t="s">
        <v>227</v>
      </c>
      <c r="E1636" s="0" t="s">
        <v>5956</v>
      </c>
      <c r="F1636" s="0" t="s">
        <v>5866</v>
      </c>
      <c r="G1636" s="0" t="s">
        <v>168</v>
      </c>
      <c r="H1636" s="0" t="s">
        <v>8374</v>
      </c>
      <c r="I1636" s="0" t="s">
        <v>7338</v>
      </c>
      <c r="J1636" s="0" t="s">
        <v>1602</v>
      </c>
      <c r="K1636" s="0" t="s">
        <v>7339</v>
      </c>
      <c r="L1636" s="0" t="s">
        <v>7340</v>
      </c>
      <c r="M1636" s="0" t="s">
        <v>7661</v>
      </c>
      <c r="N1636" s="0" t="s">
        <v>7342</v>
      </c>
      <c r="P1636" s="0" t="s">
        <v>229</v>
      </c>
      <c r="Q1636" s="0" t="s">
        <v>7354</v>
      </c>
      <c r="R1636" s="0" t="s">
        <v>7343</v>
      </c>
      <c r="S1636" s="0" t="s">
        <v>7344</v>
      </c>
      <c r="T1636" s="0" t="s">
        <v>228</v>
      </c>
      <c r="V1636" s="0" t="s">
        <v>73</v>
      </c>
      <c r="W1636" s="0" t="s">
        <v>79</v>
      </c>
      <c r="X1636" s="0" t="s">
        <v>7355</v>
      </c>
      <c r="Y1636" s="0" t="s">
        <v>7760</v>
      </c>
      <c r="Z1636" s="0" t="s">
        <v>7357</v>
      </c>
      <c r="AA1636" s="0" t="s">
        <v>7358</v>
      </c>
      <c r="AB1636" s="0" t="s">
        <v>237</v>
      </c>
      <c r="AC1636" s="0" t="s">
        <v>7629</v>
      </c>
      <c r="AD1636" s="0" t="s">
        <v>7755</v>
      </c>
      <c r="AE1636" s="0" t="s">
        <v>7360</v>
      </c>
      <c r="AF1636" s="0" t="s">
        <v>7361</v>
      </c>
      <c r="AG1636" s="0" t="s">
        <v>230</v>
      </c>
    </row>
    <row r="1637" customFormat="false" ht="15" hidden="false" customHeight="false" outlineLevel="0" collapsed="false">
      <c r="A1637" s="0" t="s">
        <v>7336</v>
      </c>
      <c r="B1637" s="0" t="s">
        <v>5957</v>
      </c>
      <c r="C1637" s="0" t="s">
        <v>5958</v>
      </c>
      <c r="D1637" s="0" t="s">
        <v>227</v>
      </c>
      <c r="E1637" s="0" t="s">
        <v>5959</v>
      </c>
      <c r="F1637" s="0" t="s">
        <v>5866</v>
      </c>
      <c r="G1637" s="0" t="s">
        <v>168</v>
      </c>
      <c r="H1637" s="0" t="s">
        <v>8374</v>
      </c>
      <c r="I1637" s="0" t="s">
        <v>7338</v>
      </c>
      <c r="J1637" s="0" t="s">
        <v>1602</v>
      </c>
      <c r="K1637" s="0" t="s">
        <v>7339</v>
      </c>
      <c r="L1637" s="0" t="s">
        <v>7340</v>
      </c>
      <c r="M1637" s="0" t="s">
        <v>7661</v>
      </c>
      <c r="N1637" s="0" t="s">
        <v>7342</v>
      </c>
      <c r="P1637" s="0" t="s">
        <v>229</v>
      </c>
      <c r="Q1637" s="0" t="s">
        <v>7354</v>
      </c>
      <c r="R1637" s="0" t="s">
        <v>7343</v>
      </c>
      <c r="S1637" s="0" t="s">
        <v>7344</v>
      </c>
      <c r="T1637" s="0" t="s">
        <v>228</v>
      </c>
      <c r="V1637" s="0" t="s">
        <v>73</v>
      </c>
      <c r="W1637" s="0" t="s">
        <v>79</v>
      </c>
      <c r="X1637" s="0" t="s">
        <v>7355</v>
      </c>
      <c r="Y1637" s="0" t="s">
        <v>7760</v>
      </c>
      <c r="Z1637" s="0" t="s">
        <v>7357</v>
      </c>
      <c r="AA1637" s="0" t="s">
        <v>7358</v>
      </c>
      <c r="AB1637" s="0" t="s">
        <v>237</v>
      </c>
      <c r="AC1637" s="0" t="s">
        <v>7629</v>
      </c>
      <c r="AD1637" s="0" t="s">
        <v>7755</v>
      </c>
      <c r="AE1637" s="0" t="s">
        <v>7360</v>
      </c>
      <c r="AF1637" s="0" t="s">
        <v>7361</v>
      </c>
      <c r="AG1637" s="0" t="s">
        <v>230</v>
      </c>
    </row>
    <row r="1638" customFormat="false" ht="15" hidden="false" customHeight="false" outlineLevel="0" collapsed="false">
      <c r="A1638" s="0" t="s">
        <v>7336</v>
      </c>
      <c r="B1638" s="0" t="s">
        <v>5960</v>
      </c>
      <c r="C1638" s="0" t="s">
        <v>5961</v>
      </c>
      <c r="D1638" s="0" t="s">
        <v>2983</v>
      </c>
      <c r="E1638" s="0" t="s">
        <v>5962</v>
      </c>
      <c r="F1638" s="0" t="s">
        <v>5963</v>
      </c>
      <c r="G1638" s="0" t="s">
        <v>132</v>
      </c>
      <c r="H1638" s="0" t="s">
        <v>8375</v>
      </c>
      <c r="I1638" s="0" t="s">
        <v>7338</v>
      </c>
      <c r="J1638" s="0" t="s">
        <v>1602</v>
      </c>
      <c r="K1638" s="0" t="s">
        <v>7339</v>
      </c>
      <c r="L1638" s="0" t="s">
        <v>7340</v>
      </c>
      <c r="M1638" s="0" t="s">
        <v>7661</v>
      </c>
      <c r="N1638" s="0" t="s">
        <v>7342</v>
      </c>
      <c r="P1638" s="0" t="s">
        <v>229</v>
      </c>
      <c r="Q1638" s="0" t="s">
        <v>7354</v>
      </c>
      <c r="R1638" s="0" t="s">
        <v>8367</v>
      </c>
      <c r="S1638" s="0" t="s">
        <v>7344</v>
      </c>
      <c r="T1638" s="0" t="s">
        <v>228</v>
      </c>
      <c r="V1638" s="0" t="s">
        <v>55</v>
      </c>
      <c r="W1638" s="0" t="s">
        <v>55</v>
      </c>
      <c r="X1638" s="0" t="s">
        <v>7355</v>
      </c>
      <c r="Y1638" s="0" t="s">
        <v>7667</v>
      </c>
      <c r="Z1638" s="0" t="s">
        <v>8270</v>
      </c>
      <c r="AA1638" s="0" t="s">
        <v>8368</v>
      </c>
      <c r="AB1638" s="0" t="s">
        <v>4510</v>
      </c>
      <c r="AC1638" s="0" t="s">
        <v>7930</v>
      </c>
      <c r="AD1638" s="0" t="s">
        <v>8369</v>
      </c>
      <c r="AE1638" s="0" t="s">
        <v>7916</v>
      </c>
      <c r="AF1638" s="0" t="s">
        <v>7374</v>
      </c>
      <c r="AG1638" s="0" t="s">
        <v>230</v>
      </c>
    </row>
    <row r="1639" customFormat="false" ht="15" hidden="false" customHeight="false" outlineLevel="0" collapsed="false">
      <c r="A1639" s="0" t="s">
        <v>7336</v>
      </c>
      <c r="B1639" s="0" t="s">
        <v>5964</v>
      </c>
      <c r="C1639" s="0" t="s">
        <v>5965</v>
      </c>
      <c r="D1639" s="0" t="s">
        <v>1184</v>
      </c>
      <c r="E1639" s="0" t="s">
        <v>5966</v>
      </c>
      <c r="F1639" s="0" t="s">
        <v>5967</v>
      </c>
      <c r="G1639" s="0" t="s">
        <v>122</v>
      </c>
      <c r="H1639" s="0" t="s">
        <v>8376</v>
      </c>
      <c r="I1639" s="0" t="s">
        <v>7338</v>
      </c>
      <c r="J1639" s="0" t="s">
        <v>1602</v>
      </c>
      <c r="K1639" s="0" t="s">
        <v>7339</v>
      </c>
      <c r="L1639" s="0" t="s">
        <v>7340</v>
      </c>
      <c r="M1639" s="0" t="s">
        <v>7661</v>
      </c>
      <c r="N1639" s="0" t="s">
        <v>7342</v>
      </c>
      <c r="P1639" s="0" t="s">
        <v>229</v>
      </c>
      <c r="Q1639" s="0" t="s">
        <v>7354</v>
      </c>
      <c r="S1639" s="0" t="s">
        <v>7344</v>
      </c>
      <c r="T1639" s="0" t="s">
        <v>58</v>
      </c>
      <c r="V1639" s="0" t="s">
        <v>55</v>
      </c>
      <c r="W1639" s="0" t="s">
        <v>55</v>
      </c>
      <c r="X1639" s="0" t="s">
        <v>7355</v>
      </c>
      <c r="Z1639" s="0" t="s">
        <v>7493</v>
      </c>
      <c r="AB1639" s="0" t="s">
        <v>344</v>
      </c>
      <c r="AC1639" s="0" t="s">
        <v>7349</v>
      </c>
      <c r="AE1639" s="0" t="s">
        <v>7826</v>
      </c>
      <c r="AF1639" s="0" t="s">
        <v>7374</v>
      </c>
      <c r="AG1639" s="0" t="s">
        <v>230</v>
      </c>
    </row>
    <row r="1640" customFormat="false" ht="15" hidden="false" customHeight="false" outlineLevel="0" collapsed="false">
      <c r="A1640" s="0" t="s">
        <v>7336</v>
      </c>
      <c r="B1640" s="0" t="s">
        <v>5968</v>
      </c>
      <c r="C1640" s="0" t="s">
        <v>5969</v>
      </c>
      <c r="D1640" s="0" t="s">
        <v>1184</v>
      </c>
      <c r="E1640" s="0" t="s">
        <v>5970</v>
      </c>
      <c r="F1640" s="0" t="s">
        <v>5971</v>
      </c>
      <c r="G1640" s="0" t="s">
        <v>122</v>
      </c>
      <c r="H1640" s="0" t="s">
        <v>8377</v>
      </c>
      <c r="I1640" s="0" t="s">
        <v>7338</v>
      </c>
      <c r="J1640" s="0" t="s">
        <v>1602</v>
      </c>
      <c r="K1640" s="0" t="s">
        <v>7339</v>
      </c>
      <c r="L1640" s="0" t="s">
        <v>7340</v>
      </c>
      <c r="M1640" s="0" t="s">
        <v>7661</v>
      </c>
      <c r="N1640" s="0" t="s">
        <v>7342</v>
      </c>
      <c r="P1640" s="0" t="s">
        <v>229</v>
      </c>
      <c r="Q1640" s="0" t="s">
        <v>7354</v>
      </c>
      <c r="S1640" s="0" t="s">
        <v>7344</v>
      </c>
      <c r="T1640" s="0" t="s">
        <v>58</v>
      </c>
      <c r="V1640" s="0" t="s">
        <v>55</v>
      </c>
      <c r="W1640" s="0" t="s">
        <v>55</v>
      </c>
      <c r="X1640" s="0" t="s">
        <v>7355</v>
      </c>
      <c r="Z1640" s="0" t="s">
        <v>7493</v>
      </c>
      <c r="AB1640" s="0" t="s">
        <v>344</v>
      </c>
      <c r="AC1640" s="0" t="s">
        <v>7349</v>
      </c>
      <c r="AE1640" s="0" t="s">
        <v>7826</v>
      </c>
      <c r="AF1640" s="0" t="s">
        <v>7374</v>
      </c>
      <c r="AG1640" s="0" t="s">
        <v>230</v>
      </c>
    </row>
    <row r="1641" customFormat="false" ht="15" hidden="false" customHeight="false" outlineLevel="0" collapsed="false">
      <c r="A1641" s="0" t="s">
        <v>7336</v>
      </c>
      <c r="B1641" s="0" t="s">
        <v>5972</v>
      </c>
      <c r="C1641" s="0" t="s">
        <v>5973</v>
      </c>
      <c r="D1641" s="0" t="s">
        <v>1184</v>
      </c>
      <c r="E1641" s="0" t="s">
        <v>5974</v>
      </c>
      <c r="F1641" s="0" t="s">
        <v>5975</v>
      </c>
      <c r="G1641" s="0" t="s">
        <v>122</v>
      </c>
      <c r="H1641" s="0" t="s">
        <v>8378</v>
      </c>
      <c r="I1641" s="0" t="s">
        <v>7338</v>
      </c>
      <c r="J1641" s="0" t="s">
        <v>1602</v>
      </c>
      <c r="K1641" s="0" t="s">
        <v>7339</v>
      </c>
      <c r="L1641" s="0" t="s">
        <v>7340</v>
      </c>
      <c r="M1641" s="0" t="s">
        <v>7661</v>
      </c>
      <c r="N1641" s="0" t="s">
        <v>7342</v>
      </c>
      <c r="P1641" s="0" t="s">
        <v>229</v>
      </c>
      <c r="Q1641" s="0" t="s">
        <v>7354</v>
      </c>
      <c r="S1641" s="0" t="s">
        <v>7344</v>
      </c>
      <c r="T1641" s="0" t="s">
        <v>58</v>
      </c>
      <c r="V1641" s="0" t="s">
        <v>55</v>
      </c>
      <c r="W1641" s="0" t="s">
        <v>55</v>
      </c>
      <c r="X1641" s="0" t="s">
        <v>7355</v>
      </c>
      <c r="Z1641" s="0" t="s">
        <v>7493</v>
      </c>
      <c r="AB1641" s="0" t="s">
        <v>344</v>
      </c>
      <c r="AC1641" s="0" t="s">
        <v>7349</v>
      </c>
      <c r="AE1641" s="0" t="s">
        <v>7826</v>
      </c>
      <c r="AF1641" s="0" t="s">
        <v>7374</v>
      </c>
      <c r="AG1641" s="0" t="s">
        <v>230</v>
      </c>
    </row>
    <row r="1642" customFormat="false" ht="15" hidden="false" customHeight="false" outlineLevel="0" collapsed="false">
      <c r="A1642" s="0" t="s">
        <v>7336</v>
      </c>
      <c r="B1642" s="0" t="s">
        <v>5976</v>
      </c>
      <c r="C1642" s="0" t="s">
        <v>5977</v>
      </c>
      <c r="D1642" s="0" t="s">
        <v>1184</v>
      </c>
      <c r="E1642" s="0" t="s">
        <v>5978</v>
      </c>
      <c r="F1642" s="0" t="s">
        <v>5979</v>
      </c>
      <c r="G1642" s="0" t="s">
        <v>122</v>
      </c>
      <c r="H1642" s="0" t="s">
        <v>8379</v>
      </c>
      <c r="I1642" s="0" t="s">
        <v>7338</v>
      </c>
      <c r="J1642" s="0" t="s">
        <v>1602</v>
      </c>
      <c r="K1642" s="0" t="s">
        <v>7339</v>
      </c>
      <c r="L1642" s="0" t="s">
        <v>7340</v>
      </c>
      <c r="M1642" s="0" t="s">
        <v>7661</v>
      </c>
      <c r="N1642" s="0" t="s">
        <v>7342</v>
      </c>
      <c r="P1642" s="0" t="s">
        <v>229</v>
      </c>
      <c r="Q1642" s="0" t="s">
        <v>7354</v>
      </c>
      <c r="S1642" s="0" t="s">
        <v>7344</v>
      </c>
      <c r="T1642" s="0" t="s">
        <v>58</v>
      </c>
      <c r="V1642" s="0" t="s">
        <v>55</v>
      </c>
      <c r="W1642" s="0" t="s">
        <v>55</v>
      </c>
      <c r="X1642" s="0" t="s">
        <v>7355</v>
      </c>
      <c r="Z1642" s="0" t="s">
        <v>7493</v>
      </c>
      <c r="AB1642" s="0" t="s">
        <v>344</v>
      </c>
      <c r="AC1642" s="0" t="s">
        <v>7349</v>
      </c>
      <c r="AE1642" s="0" t="s">
        <v>7826</v>
      </c>
      <c r="AF1642" s="0" t="s">
        <v>7374</v>
      </c>
      <c r="AG1642" s="0" t="s">
        <v>230</v>
      </c>
    </row>
    <row r="1643" customFormat="false" ht="15" hidden="false" customHeight="false" outlineLevel="0" collapsed="false">
      <c r="A1643" s="0" t="s">
        <v>7336</v>
      </c>
      <c r="B1643" s="0" t="s">
        <v>5980</v>
      </c>
      <c r="C1643" s="0" t="s">
        <v>5981</v>
      </c>
      <c r="D1643" s="0" t="s">
        <v>1184</v>
      </c>
      <c r="E1643" s="0" t="s">
        <v>5982</v>
      </c>
      <c r="F1643" s="0" t="s">
        <v>5983</v>
      </c>
      <c r="G1643" s="0" t="s">
        <v>122</v>
      </c>
      <c r="H1643" s="0" t="s">
        <v>8380</v>
      </c>
      <c r="I1643" s="0" t="s">
        <v>7338</v>
      </c>
      <c r="J1643" s="0" t="s">
        <v>1602</v>
      </c>
      <c r="K1643" s="0" t="s">
        <v>7339</v>
      </c>
      <c r="L1643" s="0" t="s">
        <v>7340</v>
      </c>
      <c r="M1643" s="0" t="s">
        <v>7661</v>
      </c>
      <c r="N1643" s="0" t="s">
        <v>7342</v>
      </c>
      <c r="P1643" s="0" t="s">
        <v>229</v>
      </c>
      <c r="Q1643" s="0" t="s">
        <v>7354</v>
      </c>
      <c r="S1643" s="0" t="s">
        <v>7344</v>
      </c>
      <c r="T1643" s="0" t="s">
        <v>58</v>
      </c>
      <c r="V1643" s="0" t="s">
        <v>55</v>
      </c>
      <c r="W1643" s="0" t="s">
        <v>55</v>
      </c>
      <c r="X1643" s="0" t="s">
        <v>7355</v>
      </c>
      <c r="Z1643" s="0" t="s">
        <v>7493</v>
      </c>
      <c r="AB1643" s="0" t="s">
        <v>344</v>
      </c>
      <c r="AC1643" s="0" t="s">
        <v>7349</v>
      </c>
      <c r="AE1643" s="0" t="s">
        <v>7826</v>
      </c>
      <c r="AF1643" s="0" t="s">
        <v>7374</v>
      </c>
      <c r="AG1643" s="0" t="s">
        <v>230</v>
      </c>
    </row>
    <row r="1644" customFormat="false" ht="15" hidden="false" customHeight="false" outlineLevel="0" collapsed="false">
      <c r="A1644" s="0" t="s">
        <v>7336</v>
      </c>
      <c r="B1644" s="0" t="s">
        <v>5984</v>
      </c>
      <c r="C1644" s="0" t="s">
        <v>5985</v>
      </c>
      <c r="D1644" s="0" t="s">
        <v>1184</v>
      </c>
      <c r="E1644" s="0" t="s">
        <v>5986</v>
      </c>
      <c r="F1644" s="0" t="s">
        <v>5987</v>
      </c>
      <c r="G1644" s="0" t="s">
        <v>122</v>
      </c>
      <c r="H1644" s="0" t="s">
        <v>8381</v>
      </c>
      <c r="I1644" s="0" t="s">
        <v>7338</v>
      </c>
      <c r="J1644" s="0" t="s">
        <v>1602</v>
      </c>
      <c r="K1644" s="0" t="s">
        <v>7339</v>
      </c>
      <c r="L1644" s="0" t="s">
        <v>7340</v>
      </c>
      <c r="M1644" s="0" t="s">
        <v>7661</v>
      </c>
      <c r="N1644" s="0" t="s">
        <v>7342</v>
      </c>
      <c r="P1644" s="0" t="s">
        <v>229</v>
      </c>
      <c r="Q1644" s="0" t="s">
        <v>7354</v>
      </c>
      <c r="S1644" s="0" t="s">
        <v>7344</v>
      </c>
      <c r="T1644" s="0" t="s">
        <v>58</v>
      </c>
      <c r="V1644" s="0" t="s">
        <v>55</v>
      </c>
      <c r="W1644" s="0" t="s">
        <v>55</v>
      </c>
      <c r="X1644" s="0" t="s">
        <v>7355</v>
      </c>
      <c r="Z1644" s="0" t="s">
        <v>7493</v>
      </c>
      <c r="AB1644" s="0" t="s">
        <v>344</v>
      </c>
      <c r="AC1644" s="0" t="s">
        <v>7349</v>
      </c>
      <c r="AE1644" s="0" t="s">
        <v>7826</v>
      </c>
      <c r="AF1644" s="0" t="s">
        <v>7374</v>
      </c>
      <c r="AG1644" s="0" t="s">
        <v>230</v>
      </c>
    </row>
    <row r="1645" customFormat="false" ht="15" hidden="false" customHeight="false" outlineLevel="0" collapsed="false">
      <c r="A1645" s="0" t="s">
        <v>7336</v>
      </c>
      <c r="B1645" s="0" t="s">
        <v>5988</v>
      </c>
      <c r="C1645" s="0" t="s">
        <v>5989</v>
      </c>
      <c r="D1645" s="0" t="s">
        <v>1184</v>
      </c>
      <c r="E1645" s="0" t="s">
        <v>5990</v>
      </c>
      <c r="F1645" s="0" t="s">
        <v>5991</v>
      </c>
      <c r="G1645" s="0" t="s">
        <v>120</v>
      </c>
      <c r="H1645" s="0" t="s">
        <v>8382</v>
      </c>
      <c r="I1645" s="0" t="s">
        <v>7338</v>
      </c>
      <c r="J1645" s="0" t="s">
        <v>1602</v>
      </c>
      <c r="K1645" s="0" t="s">
        <v>7339</v>
      </c>
      <c r="L1645" s="0" t="s">
        <v>7340</v>
      </c>
      <c r="M1645" s="0" t="s">
        <v>7661</v>
      </c>
      <c r="N1645" s="0" t="s">
        <v>7342</v>
      </c>
      <c r="P1645" s="0" t="s">
        <v>229</v>
      </c>
      <c r="Q1645" s="0" t="s">
        <v>7354</v>
      </c>
      <c r="R1645" s="0" t="s">
        <v>7343</v>
      </c>
      <c r="S1645" s="0" t="s">
        <v>7344</v>
      </c>
      <c r="T1645" s="0" t="s">
        <v>228</v>
      </c>
      <c r="V1645" s="0" t="s">
        <v>34</v>
      </c>
      <c r="W1645" s="0" t="s">
        <v>52</v>
      </c>
      <c r="X1645" s="0" t="s">
        <v>7355</v>
      </c>
      <c r="Y1645" s="0" t="s">
        <v>7346</v>
      </c>
      <c r="Z1645" s="0" t="s">
        <v>7410</v>
      </c>
      <c r="AA1645" s="0" t="s">
        <v>8383</v>
      </c>
      <c r="AB1645" s="0" t="s">
        <v>262</v>
      </c>
      <c r="AC1645" s="0" t="s">
        <v>7349</v>
      </c>
      <c r="AD1645" s="0" t="s">
        <v>8384</v>
      </c>
      <c r="AE1645" s="0" t="s">
        <v>7412</v>
      </c>
      <c r="AF1645" s="0" t="s">
        <v>7374</v>
      </c>
      <c r="AG1645" s="0" t="s">
        <v>230</v>
      </c>
    </row>
    <row r="1646" customFormat="false" ht="15" hidden="false" customHeight="false" outlineLevel="0" collapsed="false">
      <c r="A1646" s="0" t="s">
        <v>7336</v>
      </c>
      <c r="B1646" s="0" t="s">
        <v>5992</v>
      </c>
      <c r="C1646" s="0" t="s">
        <v>5993</v>
      </c>
      <c r="D1646" s="0" t="s">
        <v>1184</v>
      </c>
      <c r="E1646" s="0" t="s">
        <v>5994</v>
      </c>
      <c r="F1646" s="0" t="s">
        <v>5991</v>
      </c>
      <c r="G1646" s="0" t="s">
        <v>120</v>
      </c>
      <c r="H1646" s="0" t="s">
        <v>8382</v>
      </c>
      <c r="I1646" s="0" t="s">
        <v>7338</v>
      </c>
      <c r="J1646" s="0" t="s">
        <v>1602</v>
      </c>
      <c r="K1646" s="0" t="s">
        <v>7339</v>
      </c>
      <c r="L1646" s="0" t="s">
        <v>7340</v>
      </c>
      <c r="M1646" s="0" t="s">
        <v>7661</v>
      </c>
      <c r="N1646" s="0" t="s">
        <v>7342</v>
      </c>
      <c r="P1646" s="0" t="s">
        <v>229</v>
      </c>
      <c r="Q1646" s="0" t="s">
        <v>7354</v>
      </c>
      <c r="R1646" s="0" t="s">
        <v>7343</v>
      </c>
      <c r="S1646" s="0" t="s">
        <v>7344</v>
      </c>
      <c r="T1646" s="0" t="s">
        <v>228</v>
      </c>
      <c r="V1646" s="0" t="s">
        <v>34</v>
      </c>
      <c r="W1646" s="0" t="s">
        <v>39</v>
      </c>
      <c r="X1646" s="0" t="s">
        <v>7355</v>
      </c>
      <c r="Y1646" s="0" t="s">
        <v>7346</v>
      </c>
      <c r="Z1646" s="0" t="s">
        <v>7370</v>
      </c>
      <c r="AA1646" s="0" t="s">
        <v>8383</v>
      </c>
      <c r="AB1646" s="0" t="s">
        <v>262</v>
      </c>
      <c r="AC1646" s="0" t="s">
        <v>7349</v>
      </c>
      <c r="AD1646" s="0" t="s">
        <v>8385</v>
      </c>
      <c r="AE1646" s="0" t="s">
        <v>7412</v>
      </c>
      <c r="AF1646" s="0" t="s">
        <v>7374</v>
      </c>
      <c r="AG1646" s="0" t="s">
        <v>230</v>
      </c>
    </row>
    <row r="1647" customFormat="false" ht="15" hidden="false" customHeight="false" outlineLevel="0" collapsed="false">
      <c r="A1647" s="0" t="s">
        <v>7336</v>
      </c>
      <c r="B1647" s="0" t="s">
        <v>5995</v>
      </c>
      <c r="C1647" s="0" t="s">
        <v>5996</v>
      </c>
      <c r="D1647" s="0" t="s">
        <v>1184</v>
      </c>
      <c r="E1647" s="0" t="s">
        <v>5997</v>
      </c>
      <c r="F1647" s="0" t="s">
        <v>5991</v>
      </c>
      <c r="G1647" s="0" t="s">
        <v>120</v>
      </c>
      <c r="H1647" s="0" t="s">
        <v>8382</v>
      </c>
      <c r="I1647" s="0" t="s">
        <v>7338</v>
      </c>
      <c r="J1647" s="0" t="s">
        <v>1602</v>
      </c>
      <c r="K1647" s="0" t="s">
        <v>7339</v>
      </c>
      <c r="L1647" s="0" t="s">
        <v>7340</v>
      </c>
      <c r="M1647" s="0" t="s">
        <v>7661</v>
      </c>
      <c r="N1647" s="0" t="s">
        <v>7342</v>
      </c>
      <c r="P1647" s="0" t="s">
        <v>229</v>
      </c>
      <c r="Q1647" s="0" t="s">
        <v>7354</v>
      </c>
      <c r="R1647" s="0" t="s">
        <v>7343</v>
      </c>
      <c r="S1647" s="0" t="s">
        <v>7344</v>
      </c>
      <c r="T1647" s="0" t="s">
        <v>58</v>
      </c>
      <c r="V1647" s="0" t="s">
        <v>55</v>
      </c>
      <c r="W1647" s="0" t="s">
        <v>55</v>
      </c>
      <c r="X1647" s="0" t="s">
        <v>7355</v>
      </c>
      <c r="Z1647" s="0" t="s">
        <v>7493</v>
      </c>
      <c r="AB1647" s="0" t="s">
        <v>344</v>
      </c>
      <c r="AC1647" s="0" t="s">
        <v>7349</v>
      </c>
      <c r="AE1647" s="0" t="s">
        <v>7826</v>
      </c>
      <c r="AF1647" s="0" t="s">
        <v>7374</v>
      </c>
      <c r="AG1647" s="0" t="s">
        <v>230</v>
      </c>
    </row>
    <row r="1648" customFormat="false" ht="15" hidden="false" customHeight="false" outlineLevel="0" collapsed="false">
      <c r="A1648" s="0" t="s">
        <v>7336</v>
      </c>
      <c r="B1648" s="0" t="s">
        <v>5998</v>
      </c>
      <c r="C1648" s="0" t="s">
        <v>5999</v>
      </c>
      <c r="D1648" s="0" t="s">
        <v>1184</v>
      </c>
      <c r="E1648" s="0" t="s">
        <v>6000</v>
      </c>
      <c r="F1648" s="0" t="s">
        <v>5991</v>
      </c>
      <c r="G1648" s="0" t="s">
        <v>120</v>
      </c>
      <c r="H1648" s="0" t="s">
        <v>8382</v>
      </c>
      <c r="I1648" s="0" t="s">
        <v>7338</v>
      </c>
      <c r="J1648" s="0" t="s">
        <v>1602</v>
      </c>
      <c r="K1648" s="0" t="s">
        <v>7339</v>
      </c>
      <c r="L1648" s="0" t="s">
        <v>7340</v>
      </c>
      <c r="M1648" s="0" t="s">
        <v>7661</v>
      </c>
      <c r="N1648" s="0" t="s">
        <v>7342</v>
      </c>
      <c r="P1648" s="0" t="s">
        <v>229</v>
      </c>
      <c r="Q1648" s="0" t="s">
        <v>7354</v>
      </c>
      <c r="R1648" s="0" t="s">
        <v>7343</v>
      </c>
      <c r="S1648" s="0" t="s">
        <v>7344</v>
      </c>
      <c r="T1648" s="0" t="s">
        <v>681</v>
      </c>
      <c r="V1648" s="0" t="s">
        <v>34</v>
      </c>
      <c r="W1648" s="0" t="s">
        <v>47</v>
      </c>
      <c r="X1648" s="0" t="s">
        <v>7355</v>
      </c>
      <c r="Y1648" s="0" t="s">
        <v>7495</v>
      </c>
      <c r="Z1648" s="0" t="s">
        <v>7496</v>
      </c>
      <c r="AA1648" s="0" t="s">
        <v>7497</v>
      </c>
      <c r="AC1648" s="0" t="s">
        <v>7349</v>
      </c>
      <c r="AD1648" s="0" t="s">
        <v>7498</v>
      </c>
      <c r="AE1648" s="0" t="s">
        <v>7872</v>
      </c>
      <c r="AF1648" s="0" t="s">
        <v>7499</v>
      </c>
      <c r="AG1648" s="0" t="s">
        <v>230</v>
      </c>
    </row>
    <row r="1649" customFormat="false" ht="15" hidden="false" customHeight="false" outlineLevel="0" collapsed="false">
      <c r="A1649" s="0" t="s">
        <v>7336</v>
      </c>
      <c r="B1649" s="0" t="s">
        <v>6001</v>
      </c>
      <c r="C1649" s="0" t="s">
        <v>6002</v>
      </c>
      <c r="D1649" s="0" t="s">
        <v>1184</v>
      </c>
      <c r="E1649" s="0" t="s">
        <v>6003</v>
      </c>
      <c r="F1649" s="0" t="s">
        <v>6004</v>
      </c>
      <c r="G1649" s="0" t="s">
        <v>120</v>
      </c>
      <c r="H1649" s="0" t="s">
        <v>8386</v>
      </c>
      <c r="I1649" s="0" t="s">
        <v>7338</v>
      </c>
      <c r="J1649" s="0" t="s">
        <v>1602</v>
      </c>
      <c r="K1649" s="0" t="s">
        <v>7339</v>
      </c>
      <c r="L1649" s="0" t="s">
        <v>7340</v>
      </c>
      <c r="M1649" s="0" t="s">
        <v>7661</v>
      </c>
      <c r="N1649" s="0" t="s">
        <v>7342</v>
      </c>
      <c r="P1649" s="0" t="s">
        <v>229</v>
      </c>
      <c r="Q1649" s="0" t="s">
        <v>7354</v>
      </c>
      <c r="R1649" s="0" t="s">
        <v>7343</v>
      </c>
      <c r="S1649" s="0" t="s">
        <v>7344</v>
      </c>
      <c r="T1649" s="0" t="s">
        <v>228</v>
      </c>
      <c r="V1649" s="0" t="s">
        <v>34</v>
      </c>
      <c r="W1649" s="0" t="s">
        <v>52</v>
      </c>
      <c r="X1649" s="0" t="s">
        <v>7355</v>
      </c>
      <c r="Y1649" s="0" t="s">
        <v>7346</v>
      </c>
      <c r="Z1649" s="0" t="s">
        <v>7410</v>
      </c>
      <c r="AA1649" s="0" t="s">
        <v>8383</v>
      </c>
      <c r="AB1649" s="0" t="s">
        <v>262</v>
      </c>
      <c r="AC1649" s="0" t="s">
        <v>7349</v>
      </c>
      <c r="AD1649" s="0" t="s">
        <v>8384</v>
      </c>
      <c r="AE1649" s="0" t="s">
        <v>7412</v>
      </c>
      <c r="AF1649" s="0" t="s">
        <v>7374</v>
      </c>
      <c r="AG1649" s="0" t="s">
        <v>230</v>
      </c>
    </row>
    <row r="1650" customFormat="false" ht="15" hidden="false" customHeight="false" outlineLevel="0" collapsed="false">
      <c r="A1650" s="0" t="s">
        <v>7336</v>
      </c>
      <c r="B1650" s="0" t="s">
        <v>6005</v>
      </c>
      <c r="C1650" s="0" t="s">
        <v>6006</v>
      </c>
      <c r="D1650" s="0" t="s">
        <v>1184</v>
      </c>
      <c r="E1650" s="0" t="s">
        <v>6007</v>
      </c>
      <c r="F1650" s="0" t="s">
        <v>6004</v>
      </c>
      <c r="G1650" s="0" t="s">
        <v>120</v>
      </c>
      <c r="H1650" s="0" t="s">
        <v>8386</v>
      </c>
      <c r="I1650" s="0" t="s">
        <v>7338</v>
      </c>
      <c r="J1650" s="0" t="s">
        <v>1602</v>
      </c>
      <c r="K1650" s="0" t="s">
        <v>7339</v>
      </c>
      <c r="L1650" s="0" t="s">
        <v>7340</v>
      </c>
      <c r="M1650" s="0" t="s">
        <v>7661</v>
      </c>
      <c r="N1650" s="0" t="s">
        <v>7342</v>
      </c>
      <c r="P1650" s="0" t="s">
        <v>229</v>
      </c>
      <c r="Q1650" s="0" t="s">
        <v>7354</v>
      </c>
      <c r="R1650" s="0" t="s">
        <v>7343</v>
      </c>
      <c r="S1650" s="0" t="s">
        <v>7344</v>
      </c>
      <c r="T1650" s="0" t="s">
        <v>228</v>
      </c>
      <c r="V1650" s="0" t="s">
        <v>34</v>
      </c>
      <c r="W1650" s="0" t="s">
        <v>39</v>
      </c>
      <c r="X1650" s="0" t="s">
        <v>7355</v>
      </c>
      <c r="Y1650" s="0" t="s">
        <v>7346</v>
      </c>
      <c r="Z1650" s="0" t="s">
        <v>7370</v>
      </c>
      <c r="AA1650" s="0" t="s">
        <v>8383</v>
      </c>
      <c r="AB1650" s="0" t="s">
        <v>262</v>
      </c>
      <c r="AC1650" s="0" t="s">
        <v>7349</v>
      </c>
      <c r="AD1650" s="0" t="s">
        <v>8385</v>
      </c>
      <c r="AE1650" s="0" t="s">
        <v>7412</v>
      </c>
      <c r="AF1650" s="0" t="s">
        <v>7374</v>
      </c>
      <c r="AG1650" s="0" t="s">
        <v>230</v>
      </c>
    </row>
    <row r="1651" customFormat="false" ht="15" hidden="false" customHeight="false" outlineLevel="0" collapsed="false">
      <c r="A1651" s="0" t="s">
        <v>7336</v>
      </c>
      <c r="B1651" s="0" t="s">
        <v>6008</v>
      </c>
      <c r="C1651" s="0" t="s">
        <v>6009</v>
      </c>
      <c r="D1651" s="0" t="s">
        <v>1184</v>
      </c>
      <c r="E1651" s="0" t="s">
        <v>6010</v>
      </c>
      <c r="F1651" s="0" t="s">
        <v>6004</v>
      </c>
      <c r="G1651" s="0" t="s">
        <v>120</v>
      </c>
      <c r="H1651" s="0" t="s">
        <v>8386</v>
      </c>
      <c r="I1651" s="0" t="s">
        <v>7338</v>
      </c>
      <c r="J1651" s="0" t="s">
        <v>1602</v>
      </c>
      <c r="K1651" s="0" t="s">
        <v>7339</v>
      </c>
      <c r="L1651" s="0" t="s">
        <v>7340</v>
      </c>
      <c r="M1651" s="0" t="s">
        <v>7661</v>
      </c>
      <c r="N1651" s="0" t="s">
        <v>7342</v>
      </c>
      <c r="P1651" s="0" t="s">
        <v>229</v>
      </c>
      <c r="Q1651" s="0" t="s">
        <v>7354</v>
      </c>
      <c r="R1651" s="0" t="s">
        <v>7343</v>
      </c>
      <c r="S1651" s="0" t="s">
        <v>7344</v>
      </c>
      <c r="T1651" s="0" t="s">
        <v>58</v>
      </c>
      <c r="V1651" s="0" t="s">
        <v>55</v>
      </c>
      <c r="W1651" s="0" t="s">
        <v>55</v>
      </c>
      <c r="X1651" s="0" t="s">
        <v>7355</v>
      </c>
      <c r="Z1651" s="0" t="s">
        <v>7493</v>
      </c>
      <c r="AB1651" s="0" t="s">
        <v>344</v>
      </c>
      <c r="AC1651" s="0" t="s">
        <v>7349</v>
      </c>
      <c r="AE1651" s="0" t="s">
        <v>7826</v>
      </c>
      <c r="AF1651" s="0" t="s">
        <v>7374</v>
      </c>
      <c r="AG1651" s="0" t="s">
        <v>230</v>
      </c>
    </row>
    <row r="1652" customFormat="false" ht="15" hidden="false" customHeight="false" outlineLevel="0" collapsed="false">
      <c r="A1652" s="0" t="s">
        <v>7336</v>
      </c>
      <c r="B1652" s="0" t="s">
        <v>6011</v>
      </c>
      <c r="C1652" s="0" t="s">
        <v>6012</v>
      </c>
      <c r="D1652" s="0" t="s">
        <v>1184</v>
      </c>
      <c r="E1652" s="0" t="s">
        <v>6013</v>
      </c>
      <c r="F1652" s="0" t="s">
        <v>6004</v>
      </c>
      <c r="G1652" s="0" t="s">
        <v>120</v>
      </c>
      <c r="H1652" s="0" t="s">
        <v>8386</v>
      </c>
      <c r="I1652" s="0" t="s">
        <v>7338</v>
      </c>
      <c r="J1652" s="0" t="s">
        <v>1602</v>
      </c>
      <c r="K1652" s="0" t="s">
        <v>7339</v>
      </c>
      <c r="L1652" s="0" t="s">
        <v>7340</v>
      </c>
      <c r="M1652" s="0" t="s">
        <v>7661</v>
      </c>
      <c r="N1652" s="0" t="s">
        <v>7342</v>
      </c>
      <c r="P1652" s="0" t="s">
        <v>229</v>
      </c>
      <c r="Q1652" s="0" t="s">
        <v>7354</v>
      </c>
      <c r="R1652" s="0" t="s">
        <v>7343</v>
      </c>
      <c r="S1652" s="0" t="s">
        <v>7344</v>
      </c>
      <c r="T1652" s="0" t="s">
        <v>681</v>
      </c>
      <c r="V1652" s="0" t="s">
        <v>34</v>
      </c>
      <c r="W1652" s="0" t="s">
        <v>47</v>
      </c>
      <c r="X1652" s="0" t="s">
        <v>7355</v>
      </c>
      <c r="Y1652" s="0" t="s">
        <v>7495</v>
      </c>
      <c r="Z1652" s="0" t="s">
        <v>7496</v>
      </c>
      <c r="AA1652" s="0" t="s">
        <v>7497</v>
      </c>
      <c r="AC1652" s="0" t="s">
        <v>7349</v>
      </c>
      <c r="AD1652" s="0" t="s">
        <v>7498</v>
      </c>
      <c r="AE1652" s="0" t="s">
        <v>7872</v>
      </c>
      <c r="AF1652" s="0" t="s">
        <v>7499</v>
      </c>
      <c r="AG1652" s="0" t="s">
        <v>230</v>
      </c>
    </row>
    <row r="1653" customFormat="false" ht="15" hidden="false" customHeight="false" outlineLevel="0" collapsed="false">
      <c r="A1653" s="0" t="s">
        <v>7336</v>
      </c>
      <c r="B1653" s="0" t="s">
        <v>6014</v>
      </c>
      <c r="C1653" s="0" t="s">
        <v>6015</v>
      </c>
      <c r="D1653" s="0" t="s">
        <v>1184</v>
      </c>
      <c r="E1653" s="0" t="s">
        <v>6016</v>
      </c>
      <c r="F1653" s="0" t="s">
        <v>6017</v>
      </c>
      <c r="G1653" s="0" t="s">
        <v>120</v>
      </c>
      <c r="H1653" s="0" t="s">
        <v>8387</v>
      </c>
      <c r="I1653" s="0" t="s">
        <v>7338</v>
      </c>
      <c r="J1653" s="0" t="s">
        <v>1602</v>
      </c>
      <c r="K1653" s="0" t="s">
        <v>7339</v>
      </c>
      <c r="L1653" s="0" t="s">
        <v>7340</v>
      </c>
      <c r="M1653" s="0" t="s">
        <v>7661</v>
      </c>
      <c r="N1653" s="0" t="s">
        <v>7342</v>
      </c>
      <c r="P1653" s="0" t="s">
        <v>229</v>
      </c>
      <c r="Q1653" s="0" t="s">
        <v>7354</v>
      </c>
      <c r="R1653" s="0" t="s">
        <v>7343</v>
      </c>
      <c r="S1653" s="0" t="s">
        <v>7344</v>
      </c>
      <c r="T1653" s="0" t="s">
        <v>228</v>
      </c>
      <c r="V1653" s="0" t="s">
        <v>34</v>
      </c>
      <c r="W1653" s="0" t="s">
        <v>39</v>
      </c>
      <c r="X1653" s="0" t="s">
        <v>7355</v>
      </c>
      <c r="Y1653" s="0" t="s">
        <v>7346</v>
      </c>
      <c r="Z1653" s="0" t="s">
        <v>7370</v>
      </c>
      <c r="AA1653" s="0" t="s">
        <v>8383</v>
      </c>
      <c r="AB1653" s="0" t="s">
        <v>262</v>
      </c>
      <c r="AC1653" s="0" t="s">
        <v>7349</v>
      </c>
      <c r="AD1653" s="0" t="s">
        <v>8388</v>
      </c>
      <c r="AE1653" s="0" t="s">
        <v>7412</v>
      </c>
      <c r="AF1653" s="0" t="s">
        <v>7374</v>
      </c>
      <c r="AG1653" s="0" t="s">
        <v>230</v>
      </c>
    </row>
    <row r="1654" customFormat="false" ht="15" hidden="false" customHeight="false" outlineLevel="0" collapsed="false">
      <c r="A1654" s="0" t="s">
        <v>7336</v>
      </c>
      <c r="B1654" s="0" t="s">
        <v>6018</v>
      </c>
      <c r="C1654" s="0" t="s">
        <v>6019</v>
      </c>
      <c r="D1654" s="0" t="s">
        <v>1184</v>
      </c>
      <c r="E1654" s="0" t="s">
        <v>6020</v>
      </c>
      <c r="F1654" s="0" t="s">
        <v>6021</v>
      </c>
      <c r="G1654" s="0" t="s">
        <v>120</v>
      </c>
      <c r="H1654" s="0" t="s">
        <v>8389</v>
      </c>
      <c r="I1654" s="0" t="s">
        <v>7338</v>
      </c>
      <c r="J1654" s="0" t="s">
        <v>1602</v>
      </c>
      <c r="K1654" s="0" t="s">
        <v>7339</v>
      </c>
      <c r="L1654" s="0" t="s">
        <v>7340</v>
      </c>
      <c r="M1654" s="0" t="s">
        <v>7661</v>
      </c>
      <c r="N1654" s="0" t="s">
        <v>7342</v>
      </c>
      <c r="P1654" s="0" t="s">
        <v>229</v>
      </c>
      <c r="Q1654" s="0" t="s">
        <v>7354</v>
      </c>
      <c r="R1654" s="0" t="s">
        <v>7343</v>
      </c>
      <c r="S1654" s="0" t="s">
        <v>7344</v>
      </c>
      <c r="T1654" s="0" t="s">
        <v>228</v>
      </c>
      <c r="V1654" s="0" t="s">
        <v>34</v>
      </c>
      <c r="W1654" s="0" t="s">
        <v>39</v>
      </c>
      <c r="X1654" s="0" t="s">
        <v>7355</v>
      </c>
      <c r="Y1654" s="0" t="s">
        <v>7346</v>
      </c>
      <c r="Z1654" s="0" t="s">
        <v>7370</v>
      </c>
      <c r="AA1654" s="0" t="s">
        <v>8383</v>
      </c>
      <c r="AB1654" s="0" t="s">
        <v>262</v>
      </c>
      <c r="AC1654" s="0" t="s">
        <v>7349</v>
      </c>
      <c r="AD1654" s="0" t="s">
        <v>8388</v>
      </c>
      <c r="AE1654" s="0" t="s">
        <v>7412</v>
      </c>
      <c r="AF1654" s="0" t="s">
        <v>7374</v>
      </c>
      <c r="AG1654" s="0" t="s">
        <v>230</v>
      </c>
    </row>
    <row r="1655" customFormat="false" ht="15" hidden="false" customHeight="false" outlineLevel="0" collapsed="false">
      <c r="A1655" s="0" t="s">
        <v>7336</v>
      </c>
      <c r="B1655" s="0" t="s">
        <v>6022</v>
      </c>
      <c r="C1655" s="0" t="s">
        <v>6023</v>
      </c>
      <c r="D1655" s="0" t="s">
        <v>1184</v>
      </c>
      <c r="E1655" s="0" t="s">
        <v>6024</v>
      </c>
      <c r="F1655" s="0" t="s">
        <v>3227</v>
      </c>
      <c r="G1655" s="0" t="s">
        <v>120</v>
      </c>
      <c r="H1655" s="0" t="s">
        <v>7909</v>
      </c>
      <c r="I1655" s="0" t="s">
        <v>7338</v>
      </c>
      <c r="J1655" s="0" t="s">
        <v>1602</v>
      </c>
      <c r="K1655" s="0" t="s">
        <v>7339</v>
      </c>
      <c r="L1655" s="0" t="s">
        <v>7340</v>
      </c>
      <c r="M1655" s="0" t="s">
        <v>7661</v>
      </c>
      <c r="N1655" s="0" t="s">
        <v>7342</v>
      </c>
      <c r="P1655" s="0" t="s">
        <v>229</v>
      </c>
      <c r="Q1655" s="0" t="s">
        <v>7354</v>
      </c>
      <c r="R1655" s="0" t="s">
        <v>7343</v>
      </c>
      <c r="S1655" s="0" t="s">
        <v>7344</v>
      </c>
      <c r="T1655" s="0" t="s">
        <v>228</v>
      </c>
      <c r="V1655" s="0" t="s">
        <v>34</v>
      </c>
      <c r="W1655" s="0" t="s">
        <v>39</v>
      </c>
      <c r="X1655" s="0" t="s">
        <v>7355</v>
      </c>
      <c r="Y1655" s="0" t="s">
        <v>7346</v>
      </c>
      <c r="Z1655" s="0" t="s">
        <v>7370</v>
      </c>
      <c r="AA1655" s="0" t="s">
        <v>8383</v>
      </c>
      <c r="AB1655" s="0" t="s">
        <v>262</v>
      </c>
      <c r="AC1655" s="0" t="s">
        <v>7349</v>
      </c>
      <c r="AD1655" s="0" t="s">
        <v>8385</v>
      </c>
      <c r="AE1655" s="0" t="s">
        <v>7412</v>
      </c>
      <c r="AF1655" s="0" t="s">
        <v>7374</v>
      </c>
      <c r="AG1655" s="0" t="s">
        <v>230</v>
      </c>
    </row>
    <row r="1656" customFormat="false" ht="15" hidden="false" customHeight="false" outlineLevel="0" collapsed="false">
      <c r="A1656" s="0" t="s">
        <v>7336</v>
      </c>
      <c r="B1656" s="0" t="s">
        <v>6025</v>
      </c>
      <c r="C1656" s="0" t="s">
        <v>6026</v>
      </c>
      <c r="D1656" s="0" t="s">
        <v>1184</v>
      </c>
      <c r="E1656" s="0" t="s">
        <v>6027</v>
      </c>
      <c r="F1656" s="0" t="s">
        <v>6028</v>
      </c>
      <c r="G1656" s="0" t="s">
        <v>120</v>
      </c>
      <c r="H1656" s="0" t="s">
        <v>8390</v>
      </c>
      <c r="I1656" s="0" t="s">
        <v>7338</v>
      </c>
      <c r="J1656" s="0" t="s">
        <v>1602</v>
      </c>
      <c r="K1656" s="0" t="s">
        <v>7339</v>
      </c>
      <c r="L1656" s="0" t="s">
        <v>7340</v>
      </c>
      <c r="M1656" s="0" t="s">
        <v>7661</v>
      </c>
      <c r="N1656" s="0" t="s">
        <v>7342</v>
      </c>
      <c r="P1656" s="0" t="s">
        <v>229</v>
      </c>
      <c r="Q1656" s="0" t="s">
        <v>7354</v>
      </c>
      <c r="R1656" s="0" t="s">
        <v>7343</v>
      </c>
      <c r="S1656" s="0" t="s">
        <v>7344</v>
      </c>
      <c r="T1656" s="0" t="s">
        <v>228</v>
      </c>
      <c r="V1656" s="0" t="s">
        <v>34</v>
      </c>
      <c r="W1656" s="0" t="s">
        <v>39</v>
      </c>
      <c r="X1656" s="0" t="s">
        <v>7355</v>
      </c>
      <c r="Y1656" s="0" t="s">
        <v>7346</v>
      </c>
      <c r="Z1656" s="0" t="s">
        <v>7370</v>
      </c>
      <c r="AA1656" s="0" t="s">
        <v>8383</v>
      </c>
      <c r="AB1656" s="0" t="s">
        <v>262</v>
      </c>
      <c r="AC1656" s="0" t="s">
        <v>7349</v>
      </c>
      <c r="AD1656" s="0" t="s">
        <v>8385</v>
      </c>
      <c r="AE1656" s="0" t="s">
        <v>7412</v>
      </c>
      <c r="AF1656" s="0" t="s">
        <v>7374</v>
      </c>
      <c r="AG1656" s="0" t="s">
        <v>230</v>
      </c>
    </row>
    <row r="1657" customFormat="false" ht="15" hidden="false" customHeight="false" outlineLevel="0" collapsed="false">
      <c r="A1657" s="0" t="s">
        <v>7336</v>
      </c>
      <c r="B1657" s="0" t="s">
        <v>6029</v>
      </c>
      <c r="C1657" s="0" t="s">
        <v>6030</v>
      </c>
      <c r="D1657" s="0" t="s">
        <v>1184</v>
      </c>
      <c r="E1657" s="0" t="s">
        <v>6031</v>
      </c>
      <c r="F1657" s="0" t="s">
        <v>6028</v>
      </c>
      <c r="G1657" s="0" t="s">
        <v>120</v>
      </c>
      <c r="H1657" s="0" t="s">
        <v>8390</v>
      </c>
      <c r="I1657" s="0" t="s">
        <v>7338</v>
      </c>
      <c r="J1657" s="0" t="s">
        <v>1602</v>
      </c>
      <c r="K1657" s="0" t="s">
        <v>7339</v>
      </c>
      <c r="L1657" s="0" t="s">
        <v>7340</v>
      </c>
      <c r="M1657" s="0" t="s">
        <v>7661</v>
      </c>
      <c r="N1657" s="0" t="s">
        <v>7342</v>
      </c>
      <c r="P1657" s="0" t="s">
        <v>229</v>
      </c>
      <c r="Q1657" s="0" t="s">
        <v>7354</v>
      </c>
      <c r="R1657" s="0" t="s">
        <v>7343</v>
      </c>
      <c r="S1657" s="0" t="s">
        <v>7344</v>
      </c>
      <c r="T1657" s="0" t="s">
        <v>58</v>
      </c>
      <c r="V1657" s="0" t="s">
        <v>55</v>
      </c>
      <c r="W1657" s="0" t="s">
        <v>55</v>
      </c>
      <c r="X1657" s="0" t="s">
        <v>7355</v>
      </c>
      <c r="Z1657" s="0" t="s">
        <v>7493</v>
      </c>
      <c r="AB1657" s="0" t="s">
        <v>344</v>
      </c>
      <c r="AC1657" s="0" t="s">
        <v>7349</v>
      </c>
      <c r="AE1657" s="0" t="s">
        <v>7826</v>
      </c>
      <c r="AF1657" s="0" t="s">
        <v>7374</v>
      </c>
      <c r="AG1657" s="0" t="s">
        <v>230</v>
      </c>
    </row>
    <row r="1658" customFormat="false" ht="15" hidden="false" customHeight="false" outlineLevel="0" collapsed="false">
      <c r="A1658" s="0" t="s">
        <v>7336</v>
      </c>
      <c r="B1658" s="0" t="s">
        <v>6032</v>
      </c>
      <c r="C1658" s="0" t="s">
        <v>6033</v>
      </c>
      <c r="D1658" s="0" t="s">
        <v>1184</v>
      </c>
      <c r="E1658" s="0" t="s">
        <v>6034</v>
      </c>
      <c r="F1658" s="0" t="s">
        <v>6028</v>
      </c>
      <c r="G1658" s="0" t="s">
        <v>120</v>
      </c>
      <c r="H1658" s="0" t="s">
        <v>8390</v>
      </c>
      <c r="I1658" s="0" t="s">
        <v>7338</v>
      </c>
      <c r="J1658" s="0" t="s">
        <v>1602</v>
      </c>
      <c r="K1658" s="0" t="s">
        <v>7339</v>
      </c>
      <c r="L1658" s="0" t="s">
        <v>7340</v>
      </c>
      <c r="M1658" s="0" t="s">
        <v>7661</v>
      </c>
      <c r="N1658" s="0" t="s">
        <v>7342</v>
      </c>
      <c r="P1658" s="0" t="s">
        <v>229</v>
      </c>
      <c r="Q1658" s="0" t="s">
        <v>7354</v>
      </c>
      <c r="R1658" s="0" t="s">
        <v>7343</v>
      </c>
      <c r="S1658" s="0" t="s">
        <v>7344</v>
      </c>
      <c r="T1658" s="0" t="s">
        <v>681</v>
      </c>
      <c r="V1658" s="0" t="s">
        <v>34</v>
      </c>
      <c r="W1658" s="0" t="s">
        <v>47</v>
      </c>
      <c r="X1658" s="0" t="s">
        <v>7355</v>
      </c>
      <c r="Y1658" s="0" t="s">
        <v>7495</v>
      </c>
      <c r="Z1658" s="0" t="s">
        <v>7496</v>
      </c>
      <c r="AA1658" s="0" t="s">
        <v>7497</v>
      </c>
      <c r="AC1658" s="0" t="s">
        <v>7349</v>
      </c>
      <c r="AD1658" s="0" t="s">
        <v>7498</v>
      </c>
      <c r="AE1658" s="0" t="s">
        <v>7872</v>
      </c>
      <c r="AF1658" s="0" t="s">
        <v>7499</v>
      </c>
      <c r="AG1658" s="0" t="s">
        <v>230</v>
      </c>
    </row>
    <row r="1659" customFormat="false" ht="15" hidden="false" customHeight="false" outlineLevel="0" collapsed="false">
      <c r="A1659" s="0" t="s">
        <v>7336</v>
      </c>
      <c r="B1659" s="0" t="s">
        <v>6035</v>
      </c>
      <c r="C1659" s="0" t="s">
        <v>6036</v>
      </c>
      <c r="D1659" s="0" t="s">
        <v>2983</v>
      </c>
      <c r="E1659" s="0" t="s">
        <v>6037</v>
      </c>
      <c r="F1659" s="0" t="s">
        <v>4545</v>
      </c>
      <c r="G1659" s="0" t="s">
        <v>136</v>
      </c>
      <c r="H1659" s="0" t="s">
        <v>8179</v>
      </c>
      <c r="I1659" s="0" t="s">
        <v>7338</v>
      </c>
      <c r="J1659" s="0" t="s">
        <v>1602</v>
      </c>
      <c r="K1659" s="0" t="s">
        <v>7339</v>
      </c>
      <c r="L1659" s="0" t="s">
        <v>7340</v>
      </c>
      <c r="M1659" s="0" t="s">
        <v>7661</v>
      </c>
      <c r="N1659" s="0" t="s">
        <v>7342</v>
      </c>
      <c r="P1659" s="0" t="s">
        <v>229</v>
      </c>
      <c r="Q1659" s="0" t="s">
        <v>7354</v>
      </c>
      <c r="R1659" s="0" t="s">
        <v>7343</v>
      </c>
      <c r="S1659" s="0" t="s">
        <v>7344</v>
      </c>
      <c r="T1659" s="0" t="s">
        <v>681</v>
      </c>
      <c r="V1659" s="0" t="s">
        <v>73</v>
      </c>
      <c r="W1659" s="0" t="s">
        <v>81</v>
      </c>
      <c r="X1659" s="0" t="s">
        <v>7355</v>
      </c>
      <c r="Y1659" s="0" t="s">
        <v>8391</v>
      </c>
      <c r="Z1659" s="0" t="s">
        <v>8392</v>
      </c>
      <c r="AA1659" s="0" t="s">
        <v>8393</v>
      </c>
      <c r="AB1659" s="0" t="s">
        <v>344</v>
      </c>
      <c r="AC1659" s="0" t="s">
        <v>7930</v>
      </c>
      <c r="AD1659" s="0" t="s">
        <v>8370</v>
      </c>
      <c r="AE1659" s="0" t="s">
        <v>8394</v>
      </c>
      <c r="AF1659" s="0" t="s">
        <v>8143</v>
      </c>
      <c r="AG1659" s="0" t="s">
        <v>3198</v>
      </c>
    </row>
    <row r="1660" customFormat="false" ht="15" hidden="false" customHeight="false" outlineLevel="0" collapsed="false">
      <c r="A1660" s="0" t="s">
        <v>7336</v>
      </c>
      <c r="B1660" s="0" t="s">
        <v>6038</v>
      </c>
      <c r="C1660" s="0" t="s">
        <v>6039</v>
      </c>
      <c r="D1660" s="0" t="s">
        <v>2983</v>
      </c>
      <c r="E1660" s="0" t="s">
        <v>6040</v>
      </c>
      <c r="F1660" s="0" t="s">
        <v>4541</v>
      </c>
      <c r="G1660" s="0" t="s">
        <v>136</v>
      </c>
      <c r="H1660" s="0" t="s">
        <v>8178</v>
      </c>
      <c r="I1660" s="0" t="s">
        <v>7338</v>
      </c>
      <c r="J1660" s="0" t="s">
        <v>1602</v>
      </c>
      <c r="K1660" s="0" t="s">
        <v>7339</v>
      </c>
      <c r="L1660" s="0" t="s">
        <v>7340</v>
      </c>
      <c r="M1660" s="0" t="s">
        <v>7661</v>
      </c>
      <c r="N1660" s="0" t="s">
        <v>7342</v>
      </c>
      <c r="P1660" s="0" t="s">
        <v>229</v>
      </c>
      <c r="Q1660" s="0" t="s">
        <v>7354</v>
      </c>
      <c r="R1660" s="0" t="s">
        <v>7343</v>
      </c>
      <c r="S1660" s="0" t="s">
        <v>7344</v>
      </c>
      <c r="T1660" s="0" t="s">
        <v>681</v>
      </c>
      <c r="V1660" s="0" t="s">
        <v>73</v>
      </c>
      <c r="W1660" s="0" t="s">
        <v>81</v>
      </c>
      <c r="X1660" s="0" t="s">
        <v>7355</v>
      </c>
      <c r="Y1660" s="0" t="s">
        <v>8391</v>
      </c>
      <c r="Z1660" s="0" t="s">
        <v>8392</v>
      </c>
      <c r="AA1660" s="0" t="s">
        <v>8393</v>
      </c>
      <c r="AB1660" s="0" t="s">
        <v>344</v>
      </c>
      <c r="AC1660" s="0" t="s">
        <v>7930</v>
      </c>
      <c r="AD1660" s="0" t="s">
        <v>8370</v>
      </c>
      <c r="AE1660" s="0" t="s">
        <v>8394</v>
      </c>
      <c r="AF1660" s="0" t="s">
        <v>8143</v>
      </c>
      <c r="AG1660" s="0" t="s">
        <v>3198</v>
      </c>
    </row>
    <row r="1661" customFormat="false" ht="15" hidden="false" customHeight="false" outlineLevel="0" collapsed="false">
      <c r="A1661" s="0" t="s">
        <v>7336</v>
      </c>
      <c r="B1661" s="0" t="s">
        <v>6041</v>
      </c>
      <c r="C1661" s="0" t="s">
        <v>6042</v>
      </c>
      <c r="D1661" s="0" t="s">
        <v>2983</v>
      </c>
      <c r="E1661" s="0" t="s">
        <v>6043</v>
      </c>
      <c r="F1661" s="0" t="s">
        <v>4457</v>
      </c>
      <c r="G1661" s="0" t="s">
        <v>130</v>
      </c>
      <c r="H1661" s="0" t="s">
        <v>8154</v>
      </c>
      <c r="I1661" s="0" t="s">
        <v>7338</v>
      </c>
      <c r="J1661" s="0" t="s">
        <v>1602</v>
      </c>
      <c r="K1661" s="0" t="s">
        <v>7339</v>
      </c>
      <c r="L1661" s="0" t="s">
        <v>7340</v>
      </c>
      <c r="M1661" s="0" t="s">
        <v>7661</v>
      </c>
      <c r="N1661" s="0" t="s">
        <v>7342</v>
      </c>
      <c r="P1661" s="0" t="s">
        <v>229</v>
      </c>
      <c r="Q1661" s="0" t="s">
        <v>7354</v>
      </c>
      <c r="R1661" s="0" t="s">
        <v>7343</v>
      </c>
      <c r="S1661" s="0" t="s">
        <v>7344</v>
      </c>
      <c r="T1661" s="0" t="s">
        <v>681</v>
      </c>
      <c r="V1661" s="0" t="s">
        <v>73</v>
      </c>
      <c r="W1661" s="0" t="s">
        <v>81</v>
      </c>
      <c r="X1661" s="0" t="s">
        <v>7355</v>
      </c>
      <c r="Y1661" s="0" t="s">
        <v>8391</v>
      </c>
      <c r="Z1661" s="0" t="s">
        <v>8392</v>
      </c>
      <c r="AA1661" s="0" t="s">
        <v>8393</v>
      </c>
      <c r="AB1661" s="0" t="s">
        <v>344</v>
      </c>
      <c r="AC1661" s="0" t="s">
        <v>7930</v>
      </c>
      <c r="AD1661" s="0" t="s">
        <v>8370</v>
      </c>
      <c r="AE1661" s="0" t="s">
        <v>8394</v>
      </c>
      <c r="AF1661" s="0" t="s">
        <v>8143</v>
      </c>
      <c r="AG1661" s="0" t="s">
        <v>3198</v>
      </c>
    </row>
    <row r="1662" customFormat="false" ht="15" hidden="false" customHeight="false" outlineLevel="0" collapsed="false">
      <c r="A1662" s="0" t="s">
        <v>7336</v>
      </c>
      <c r="B1662" s="0" t="s">
        <v>6044</v>
      </c>
      <c r="C1662" s="0" t="s">
        <v>6045</v>
      </c>
      <c r="D1662" s="0" t="s">
        <v>2983</v>
      </c>
      <c r="E1662" s="0" t="s">
        <v>6046</v>
      </c>
      <c r="F1662" s="0" t="s">
        <v>4453</v>
      </c>
      <c r="G1662" s="0" t="s">
        <v>130</v>
      </c>
      <c r="H1662" s="0" t="s">
        <v>8152</v>
      </c>
      <c r="I1662" s="0" t="s">
        <v>7338</v>
      </c>
      <c r="J1662" s="0" t="s">
        <v>1602</v>
      </c>
      <c r="K1662" s="0" t="s">
        <v>7339</v>
      </c>
      <c r="L1662" s="0" t="s">
        <v>7340</v>
      </c>
      <c r="M1662" s="0" t="s">
        <v>7661</v>
      </c>
      <c r="N1662" s="0" t="s">
        <v>7342</v>
      </c>
      <c r="P1662" s="0" t="s">
        <v>229</v>
      </c>
      <c r="Q1662" s="0" t="s">
        <v>7354</v>
      </c>
      <c r="R1662" s="0" t="s">
        <v>7343</v>
      </c>
      <c r="S1662" s="0" t="s">
        <v>7344</v>
      </c>
      <c r="T1662" s="0" t="s">
        <v>681</v>
      </c>
      <c r="V1662" s="0" t="s">
        <v>73</v>
      </c>
      <c r="W1662" s="0" t="s">
        <v>81</v>
      </c>
      <c r="X1662" s="0" t="s">
        <v>7355</v>
      </c>
      <c r="Y1662" s="0" t="s">
        <v>8391</v>
      </c>
      <c r="Z1662" s="0" t="s">
        <v>8392</v>
      </c>
      <c r="AA1662" s="0" t="s">
        <v>8393</v>
      </c>
      <c r="AB1662" s="0" t="s">
        <v>344</v>
      </c>
      <c r="AC1662" s="0" t="s">
        <v>7930</v>
      </c>
      <c r="AD1662" s="0" t="s">
        <v>8370</v>
      </c>
      <c r="AE1662" s="0" t="s">
        <v>8394</v>
      </c>
      <c r="AF1662" s="0" t="s">
        <v>8143</v>
      </c>
      <c r="AG1662" s="0" t="s">
        <v>3198</v>
      </c>
    </row>
    <row r="1663" customFormat="false" ht="15" hidden="false" customHeight="false" outlineLevel="0" collapsed="false">
      <c r="A1663" s="0" t="s">
        <v>7336</v>
      </c>
      <c r="B1663" s="0" t="s">
        <v>6047</v>
      </c>
      <c r="C1663" s="0" t="s">
        <v>6048</v>
      </c>
      <c r="D1663" s="0" t="s">
        <v>2983</v>
      </c>
      <c r="E1663" s="0" t="s">
        <v>6049</v>
      </c>
      <c r="F1663" s="0" t="s">
        <v>4646</v>
      </c>
      <c r="G1663" s="0" t="s">
        <v>128</v>
      </c>
      <c r="H1663" s="0" t="s">
        <v>8199</v>
      </c>
      <c r="I1663" s="0" t="s">
        <v>7338</v>
      </c>
      <c r="J1663" s="0" t="s">
        <v>1602</v>
      </c>
      <c r="K1663" s="0" t="s">
        <v>7339</v>
      </c>
      <c r="L1663" s="0" t="s">
        <v>7340</v>
      </c>
      <c r="M1663" s="0" t="s">
        <v>7661</v>
      </c>
      <c r="N1663" s="0" t="s">
        <v>7342</v>
      </c>
      <c r="P1663" s="0" t="s">
        <v>229</v>
      </c>
      <c r="Q1663" s="0" t="s">
        <v>7354</v>
      </c>
      <c r="R1663" s="0" t="s">
        <v>7343</v>
      </c>
      <c r="S1663" s="0" t="s">
        <v>7344</v>
      </c>
      <c r="T1663" s="0" t="s">
        <v>681</v>
      </c>
      <c r="V1663" s="0" t="s">
        <v>73</v>
      </c>
      <c r="W1663" s="0" t="s">
        <v>81</v>
      </c>
      <c r="X1663" s="0" t="s">
        <v>7355</v>
      </c>
      <c r="Y1663" s="0" t="s">
        <v>8391</v>
      </c>
      <c r="Z1663" s="0" t="s">
        <v>8392</v>
      </c>
      <c r="AA1663" s="0" t="s">
        <v>8393</v>
      </c>
      <c r="AB1663" s="0" t="s">
        <v>344</v>
      </c>
      <c r="AC1663" s="0" t="s">
        <v>7930</v>
      </c>
      <c r="AD1663" s="0" t="s">
        <v>8370</v>
      </c>
      <c r="AE1663" s="0" t="s">
        <v>8394</v>
      </c>
      <c r="AF1663" s="0" t="s">
        <v>8143</v>
      </c>
      <c r="AG1663" s="0" t="s">
        <v>3198</v>
      </c>
    </row>
    <row r="1664" customFormat="false" ht="15" hidden="false" customHeight="false" outlineLevel="0" collapsed="false">
      <c r="A1664" s="0" t="s">
        <v>7336</v>
      </c>
      <c r="B1664" s="0" t="s">
        <v>6050</v>
      </c>
      <c r="C1664" s="0" t="s">
        <v>6051</v>
      </c>
      <c r="D1664" s="0" t="s">
        <v>2983</v>
      </c>
      <c r="E1664" s="0" t="s">
        <v>6052</v>
      </c>
      <c r="F1664" s="0" t="s">
        <v>4642</v>
      </c>
      <c r="G1664" s="0" t="s">
        <v>128</v>
      </c>
      <c r="H1664" s="0" t="s">
        <v>8198</v>
      </c>
      <c r="I1664" s="0" t="s">
        <v>7338</v>
      </c>
      <c r="J1664" s="0" t="s">
        <v>1602</v>
      </c>
      <c r="K1664" s="0" t="s">
        <v>7339</v>
      </c>
      <c r="L1664" s="0" t="s">
        <v>7340</v>
      </c>
      <c r="M1664" s="0" t="s">
        <v>7661</v>
      </c>
      <c r="N1664" s="0" t="s">
        <v>7342</v>
      </c>
      <c r="P1664" s="0" t="s">
        <v>229</v>
      </c>
      <c r="Q1664" s="0" t="s">
        <v>7354</v>
      </c>
      <c r="R1664" s="0" t="s">
        <v>7343</v>
      </c>
      <c r="S1664" s="0" t="s">
        <v>7344</v>
      </c>
      <c r="T1664" s="0" t="s">
        <v>681</v>
      </c>
      <c r="V1664" s="0" t="s">
        <v>73</v>
      </c>
      <c r="W1664" s="0" t="s">
        <v>81</v>
      </c>
      <c r="X1664" s="0" t="s">
        <v>7355</v>
      </c>
      <c r="Y1664" s="0" t="s">
        <v>8391</v>
      </c>
      <c r="Z1664" s="0" t="s">
        <v>8392</v>
      </c>
      <c r="AA1664" s="0" t="s">
        <v>8393</v>
      </c>
      <c r="AB1664" s="0" t="s">
        <v>344</v>
      </c>
      <c r="AC1664" s="0" t="s">
        <v>7930</v>
      </c>
      <c r="AD1664" s="0" t="s">
        <v>8370</v>
      </c>
      <c r="AE1664" s="0" t="s">
        <v>8394</v>
      </c>
      <c r="AF1664" s="0" t="s">
        <v>8143</v>
      </c>
      <c r="AG1664" s="0" t="s">
        <v>3198</v>
      </c>
    </row>
    <row r="1665" customFormat="false" ht="15" hidden="false" customHeight="false" outlineLevel="0" collapsed="false">
      <c r="A1665" s="0" t="s">
        <v>7336</v>
      </c>
      <c r="B1665" s="0" t="s">
        <v>6053</v>
      </c>
      <c r="C1665" s="0" t="s">
        <v>6054</v>
      </c>
      <c r="D1665" s="0" t="s">
        <v>1184</v>
      </c>
      <c r="E1665" s="0" t="s">
        <v>6055</v>
      </c>
      <c r="F1665" s="0" t="s">
        <v>6056</v>
      </c>
      <c r="G1665" s="0" t="s">
        <v>120</v>
      </c>
      <c r="H1665" s="0" t="s">
        <v>8395</v>
      </c>
      <c r="I1665" s="0" t="s">
        <v>7338</v>
      </c>
      <c r="J1665" s="0" t="s">
        <v>1602</v>
      </c>
      <c r="K1665" s="0" t="s">
        <v>7339</v>
      </c>
      <c r="L1665" s="0" t="s">
        <v>7340</v>
      </c>
      <c r="M1665" s="0" t="s">
        <v>7661</v>
      </c>
      <c r="N1665" s="0" t="s">
        <v>7342</v>
      </c>
      <c r="P1665" s="0" t="s">
        <v>229</v>
      </c>
      <c r="Q1665" s="0" t="s">
        <v>7354</v>
      </c>
      <c r="S1665" s="0" t="s">
        <v>7344</v>
      </c>
      <c r="T1665" s="0" t="s">
        <v>58</v>
      </c>
      <c r="V1665" s="0" t="s">
        <v>55</v>
      </c>
      <c r="W1665" s="0" t="s">
        <v>55</v>
      </c>
      <c r="X1665" s="0" t="s">
        <v>7355</v>
      </c>
      <c r="Z1665" s="0" t="s">
        <v>7493</v>
      </c>
      <c r="AB1665" s="0" t="s">
        <v>344</v>
      </c>
      <c r="AC1665" s="0" t="s">
        <v>7349</v>
      </c>
      <c r="AE1665" s="0" t="s">
        <v>7826</v>
      </c>
      <c r="AF1665" s="0" t="s">
        <v>7374</v>
      </c>
      <c r="AG1665" s="0" t="s">
        <v>230</v>
      </c>
    </row>
    <row r="1666" customFormat="false" ht="15" hidden="false" customHeight="false" outlineLevel="0" collapsed="false">
      <c r="A1666" s="0" t="s">
        <v>7336</v>
      </c>
      <c r="B1666" s="0" t="s">
        <v>6057</v>
      </c>
      <c r="C1666" s="0" t="s">
        <v>6058</v>
      </c>
      <c r="D1666" s="0" t="s">
        <v>1184</v>
      </c>
      <c r="E1666" s="0" t="s">
        <v>6059</v>
      </c>
      <c r="F1666" s="0" t="s">
        <v>6060</v>
      </c>
      <c r="G1666" s="0" t="s">
        <v>120</v>
      </c>
      <c r="H1666" s="0" t="s">
        <v>8396</v>
      </c>
      <c r="I1666" s="0" t="s">
        <v>7338</v>
      </c>
      <c r="J1666" s="0" t="s">
        <v>1602</v>
      </c>
      <c r="K1666" s="0" t="s">
        <v>7339</v>
      </c>
      <c r="L1666" s="0" t="s">
        <v>7340</v>
      </c>
      <c r="M1666" s="0" t="s">
        <v>7661</v>
      </c>
      <c r="N1666" s="0" t="s">
        <v>7342</v>
      </c>
      <c r="P1666" s="0" t="s">
        <v>229</v>
      </c>
      <c r="Q1666" s="0" t="s">
        <v>7354</v>
      </c>
      <c r="S1666" s="0" t="s">
        <v>7344</v>
      </c>
      <c r="T1666" s="0" t="s">
        <v>58</v>
      </c>
      <c r="V1666" s="0" t="s">
        <v>55</v>
      </c>
      <c r="W1666" s="0" t="s">
        <v>55</v>
      </c>
      <c r="X1666" s="0" t="s">
        <v>7355</v>
      </c>
      <c r="Z1666" s="0" t="s">
        <v>7493</v>
      </c>
      <c r="AB1666" s="0" t="s">
        <v>344</v>
      </c>
      <c r="AC1666" s="0" t="s">
        <v>7349</v>
      </c>
      <c r="AE1666" s="0" t="s">
        <v>7826</v>
      </c>
      <c r="AF1666" s="0" t="s">
        <v>7374</v>
      </c>
      <c r="AG1666" s="0" t="s">
        <v>230</v>
      </c>
    </row>
    <row r="1667" customFormat="false" ht="15" hidden="false" customHeight="false" outlineLevel="0" collapsed="false">
      <c r="A1667" s="0" t="s">
        <v>7336</v>
      </c>
      <c r="B1667" s="0" t="s">
        <v>6061</v>
      </c>
      <c r="C1667" s="0" t="s">
        <v>6062</v>
      </c>
      <c r="D1667" s="0" t="s">
        <v>1184</v>
      </c>
      <c r="E1667" s="0" t="s">
        <v>6063</v>
      </c>
      <c r="F1667" s="0" t="s">
        <v>6064</v>
      </c>
      <c r="G1667" s="0" t="s">
        <v>120</v>
      </c>
      <c r="H1667" s="0" t="s">
        <v>8397</v>
      </c>
      <c r="I1667" s="0" t="s">
        <v>7338</v>
      </c>
      <c r="J1667" s="0" t="s">
        <v>1602</v>
      </c>
      <c r="K1667" s="0" t="s">
        <v>7339</v>
      </c>
      <c r="L1667" s="0" t="s">
        <v>7340</v>
      </c>
      <c r="M1667" s="0" t="s">
        <v>7661</v>
      </c>
      <c r="N1667" s="0" t="s">
        <v>7342</v>
      </c>
      <c r="P1667" s="0" t="s">
        <v>229</v>
      </c>
      <c r="Q1667" s="0" t="s">
        <v>7354</v>
      </c>
      <c r="S1667" s="0" t="s">
        <v>7344</v>
      </c>
      <c r="T1667" s="0" t="s">
        <v>58</v>
      </c>
      <c r="V1667" s="0" t="s">
        <v>55</v>
      </c>
      <c r="W1667" s="0" t="s">
        <v>55</v>
      </c>
      <c r="X1667" s="0" t="s">
        <v>7355</v>
      </c>
      <c r="Z1667" s="0" t="s">
        <v>7493</v>
      </c>
      <c r="AB1667" s="0" t="s">
        <v>344</v>
      </c>
      <c r="AC1667" s="0" t="s">
        <v>7349</v>
      </c>
      <c r="AE1667" s="0" t="s">
        <v>7826</v>
      </c>
      <c r="AF1667" s="0" t="s">
        <v>7374</v>
      </c>
      <c r="AG1667" s="0" t="s">
        <v>230</v>
      </c>
    </row>
    <row r="1668" customFormat="false" ht="15" hidden="false" customHeight="false" outlineLevel="0" collapsed="false">
      <c r="A1668" s="0" t="s">
        <v>7336</v>
      </c>
      <c r="B1668" s="0" t="s">
        <v>6065</v>
      </c>
      <c r="C1668" s="0" t="s">
        <v>6066</v>
      </c>
      <c r="D1668" s="0" t="s">
        <v>1184</v>
      </c>
      <c r="E1668" s="0" t="s">
        <v>6067</v>
      </c>
      <c r="F1668" s="0" t="s">
        <v>6068</v>
      </c>
      <c r="G1668" s="0" t="s">
        <v>120</v>
      </c>
      <c r="H1668" s="0" t="s">
        <v>8398</v>
      </c>
      <c r="I1668" s="0" t="s">
        <v>7338</v>
      </c>
      <c r="J1668" s="0" t="s">
        <v>1602</v>
      </c>
      <c r="K1668" s="0" t="s">
        <v>7339</v>
      </c>
      <c r="L1668" s="0" t="s">
        <v>7340</v>
      </c>
      <c r="M1668" s="0" t="s">
        <v>7661</v>
      </c>
      <c r="N1668" s="0" t="s">
        <v>7342</v>
      </c>
      <c r="P1668" s="0" t="s">
        <v>229</v>
      </c>
      <c r="Q1668" s="0" t="s">
        <v>7354</v>
      </c>
      <c r="S1668" s="0" t="s">
        <v>7344</v>
      </c>
      <c r="T1668" s="0" t="s">
        <v>58</v>
      </c>
      <c r="V1668" s="0" t="s">
        <v>55</v>
      </c>
      <c r="W1668" s="0" t="s">
        <v>55</v>
      </c>
      <c r="X1668" s="0" t="s">
        <v>7355</v>
      </c>
      <c r="Z1668" s="0" t="s">
        <v>7493</v>
      </c>
      <c r="AB1668" s="0" t="s">
        <v>344</v>
      </c>
      <c r="AC1668" s="0" t="s">
        <v>7349</v>
      </c>
      <c r="AE1668" s="0" t="s">
        <v>7826</v>
      </c>
      <c r="AF1668" s="0" t="s">
        <v>7374</v>
      </c>
      <c r="AG1668" s="0" t="s">
        <v>230</v>
      </c>
    </row>
    <row r="1669" customFormat="false" ht="15" hidden="false" customHeight="false" outlineLevel="0" collapsed="false">
      <c r="A1669" s="0" t="s">
        <v>7336</v>
      </c>
      <c r="B1669" s="0" t="s">
        <v>6069</v>
      </c>
      <c r="C1669" s="0" t="s">
        <v>6070</v>
      </c>
      <c r="D1669" s="0" t="s">
        <v>1184</v>
      </c>
      <c r="E1669" s="0" t="s">
        <v>6071</v>
      </c>
      <c r="F1669" s="0" t="s">
        <v>6072</v>
      </c>
      <c r="G1669" s="0" t="s">
        <v>120</v>
      </c>
      <c r="H1669" s="0" t="s">
        <v>8399</v>
      </c>
      <c r="I1669" s="0" t="s">
        <v>7338</v>
      </c>
      <c r="J1669" s="0" t="s">
        <v>1602</v>
      </c>
      <c r="K1669" s="0" t="s">
        <v>7339</v>
      </c>
      <c r="L1669" s="0" t="s">
        <v>7340</v>
      </c>
      <c r="M1669" s="0" t="s">
        <v>7661</v>
      </c>
      <c r="N1669" s="0" t="s">
        <v>7342</v>
      </c>
      <c r="P1669" s="0" t="s">
        <v>229</v>
      </c>
      <c r="Q1669" s="0" t="s">
        <v>7354</v>
      </c>
      <c r="S1669" s="0" t="s">
        <v>7344</v>
      </c>
      <c r="T1669" s="0" t="s">
        <v>58</v>
      </c>
      <c r="V1669" s="0" t="s">
        <v>55</v>
      </c>
      <c r="W1669" s="0" t="s">
        <v>55</v>
      </c>
      <c r="X1669" s="0" t="s">
        <v>7355</v>
      </c>
      <c r="Z1669" s="0" t="s">
        <v>7493</v>
      </c>
      <c r="AB1669" s="0" t="s">
        <v>344</v>
      </c>
      <c r="AC1669" s="0" t="s">
        <v>7349</v>
      </c>
      <c r="AE1669" s="0" t="s">
        <v>7826</v>
      </c>
      <c r="AF1669" s="0" t="s">
        <v>7374</v>
      </c>
      <c r="AG1669" s="0" t="s">
        <v>230</v>
      </c>
    </row>
    <row r="1670" customFormat="false" ht="15" hidden="false" customHeight="false" outlineLevel="0" collapsed="false">
      <c r="A1670" s="0" t="s">
        <v>7336</v>
      </c>
      <c r="B1670" s="0" t="s">
        <v>6073</v>
      </c>
      <c r="C1670" s="0" t="s">
        <v>6074</v>
      </c>
      <c r="D1670" s="0" t="s">
        <v>1184</v>
      </c>
      <c r="E1670" s="0" t="s">
        <v>6075</v>
      </c>
      <c r="F1670" s="0" t="s">
        <v>6076</v>
      </c>
      <c r="G1670" s="0" t="s">
        <v>120</v>
      </c>
      <c r="H1670" s="0" t="s">
        <v>8400</v>
      </c>
      <c r="I1670" s="0" t="s">
        <v>7338</v>
      </c>
      <c r="J1670" s="0" t="s">
        <v>1602</v>
      </c>
      <c r="K1670" s="0" t="s">
        <v>7339</v>
      </c>
      <c r="L1670" s="0" t="s">
        <v>7340</v>
      </c>
      <c r="M1670" s="0" t="s">
        <v>7661</v>
      </c>
      <c r="N1670" s="0" t="s">
        <v>7342</v>
      </c>
      <c r="P1670" s="0" t="s">
        <v>229</v>
      </c>
      <c r="Q1670" s="0" t="s">
        <v>7354</v>
      </c>
      <c r="S1670" s="0" t="s">
        <v>7344</v>
      </c>
      <c r="T1670" s="0" t="s">
        <v>58</v>
      </c>
      <c r="V1670" s="0" t="s">
        <v>55</v>
      </c>
      <c r="W1670" s="0" t="s">
        <v>55</v>
      </c>
      <c r="X1670" s="0" t="s">
        <v>7355</v>
      </c>
      <c r="Z1670" s="0" t="s">
        <v>7493</v>
      </c>
      <c r="AB1670" s="0" t="s">
        <v>344</v>
      </c>
      <c r="AC1670" s="0" t="s">
        <v>7349</v>
      </c>
      <c r="AE1670" s="0" t="s">
        <v>7826</v>
      </c>
      <c r="AF1670" s="0" t="s">
        <v>7374</v>
      </c>
      <c r="AG1670" s="0" t="s">
        <v>230</v>
      </c>
    </row>
    <row r="1671" customFormat="false" ht="15" hidden="false" customHeight="false" outlineLevel="0" collapsed="false">
      <c r="A1671" s="0" t="s">
        <v>7336</v>
      </c>
      <c r="B1671" s="0" t="s">
        <v>6077</v>
      </c>
      <c r="C1671" s="0" t="s">
        <v>6078</v>
      </c>
      <c r="D1671" s="0" t="s">
        <v>1184</v>
      </c>
      <c r="E1671" s="0" t="s">
        <v>6079</v>
      </c>
      <c r="F1671" s="0" t="s">
        <v>6080</v>
      </c>
      <c r="G1671" s="0" t="s">
        <v>120</v>
      </c>
      <c r="H1671" s="0" t="s">
        <v>8401</v>
      </c>
      <c r="I1671" s="0" t="s">
        <v>7338</v>
      </c>
      <c r="J1671" s="0" t="s">
        <v>1602</v>
      </c>
      <c r="K1671" s="0" t="s">
        <v>7339</v>
      </c>
      <c r="L1671" s="0" t="s">
        <v>7340</v>
      </c>
      <c r="M1671" s="0" t="s">
        <v>7661</v>
      </c>
      <c r="N1671" s="0" t="s">
        <v>7342</v>
      </c>
      <c r="P1671" s="0" t="s">
        <v>229</v>
      </c>
      <c r="Q1671" s="0" t="s">
        <v>7354</v>
      </c>
      <c r="R1671" s="0" t="s">
        <v>7343</v>
      </c>
      <c r="S1671" s="0" t="s">
        <v>7344</v>
      </c>
      <c r="T1671" s="0" t="s">
        <v>228</v>
      </c>
      <c r="V1671" s="0" t="s">
        <v>34</v>
      </c>
      <c r="W1671" s="0" t="s">
        <v>39</v>
      </c>
      <c r="X1671" s="0" t="s">
        <v>7355</v>
      </c>
      <c r="Y1671" s="0" t="s">
        <v>7346</v>
      </c>
      <c r="Z1671" s="0" t="s">
        <v>7370</v>
      </c>
      <c r="AA1671" s="0" t="s">
        <v>8383</v>
      </c>
      <c r="AB1671" s="0" t="s">
        <v>262</v>
      </c>
      <c r="AC1671" s="0" t="s">
        <v>7349</v>
      </c>
      <c r="AD1671" s="0" t="s">
        <v>8388</v>
      </c>
      <c r="AE1671" s="0" t="s">
        <v>7412</v>
      </c>
      <c r="AF1671" s="0" t="s">
        <v>7374</v>
      </c>
      <c r="AG1671" s="0" t="s">
        <v>230</v>
      </c>
    </row>
    <row r="1672" customFormat="false" ht="15" hidden="false" customHeight="false" outlineLevel="0" collapsed="false">
      <c r="A1672" s="0" t="s">
        <v>7336</v>
      </c>
      <c r="B1672" s="0" t="s">
        <v>6081</v>
      </c>
      <c r="C1672" s="0" t="s">
        <v>6082</v>
      </c>
      <c r="D1672" s="0" t="s">
        <v>1184</v>
      </c>
      <c r="E1672" s="0" t="s">
        <v>6083</v>
      </c>
      <c r="F1672" s="0" t="s">
        <v>6084</v>
      </c>
      <c r="G1672" s="0" t="s">
        <v>120</v>
      </c>
      <c r="H1672" s="0" t="s">
        <v>8402</v>
      </c>
      <c r="I1672" s="0" t="s">
        <v>7338</v>
      </c>
      <c r="J1672" s="0" t="s">
        <v>1602</v>
      </c>
      <c r="K1672" s="0" t="s">
        <v>7339</v>
      </c>
      <c r="L1672" s="0" t="s">
        <v>7340</v>
      </c>
      <c r="M1672" s="0" t="s">
        <v>7661</v>
      </c>
      <c r="N1672" s="0" t="s">
        <v>7342</v>
      </c>
      <c r="P1672" s="0" t="s">
        <v>229</v>
      </c>
      <c r="Q1672" s="0" t="s">
        <v>7354</v>
      </c>
      <c r="R1672" s="0" t="s">
        <v>7343</v>
      </c>
      <c r="S1672" s="0" t="s">
        <v>7344</v>
      </c>
      <c r="T1672" s="0" t="s">
        <v>681</v>
      </c>
      <c r="V1672" s="0" t="s">
        <v>34</v>
      </c>
      <c r="W1672" s="0" t="s">
        <v>47</v>
      </c>
      <c r="X1672" s="0" t="s">
        <v>7355</v>
      </c>
      <c r="Y1672" s="0" t="s">
        <v>7495</v>
      </c>
      <c r="Z1672" s="0" t="s">
        <v>7496</v>
      </c>
      <c r="AA1672" s="0" t="s">
        <v>7497</v>
      </c>
      <c r="AC1672" s="0" t="s">
        <v>7349</v>
      </c>
      <c r="AD1672" s="0" t="s">
        <v>7498</v>
      </c>
      <c r="AE1672" s="0" t="s">
        <v>7872</v>
      </c>
      <c r="AF1672" s="0" t="s">
        <v>7499</v>
      </c>
      <c r="AG1672" s="0" t="s">
        <v>230</v>
      </c>
    </row>
    <row r="1673" customFormat="false" ht="15" hidden="false" customHeight="false" outlineLevel="0" collapsed="false">
      <c r="A1673" s="0" t="s">
        <v>7336</v>
      </c>
      <c r="B1673" s="0" t="s">
        <v>6085</v>
      </c>
      <c r="C1673" s="0" t="s">
        <v>6086</v>
      </c>
      <c r="D1673" s="0" t="s">
        <v>1184</v>
      </c>
      <c r="E1673" s="0" t="s">
        <v>6087</v>
      </c>
      <c r="F1673" s="0" t="s">
        <v>6084</v>
      </c>
      <c r="G1673" s="0" t="s">
        <v>120</v>
      </c>
      <c r="H1673" s="0" t="s">
        <v>8402</v>
      </c>
      <c r="I1673" s="0" t="s">
        <v>7338</v>
      </c>
      <c r="J1673" s="0" t="s">
        <v>1602</v>
      </c>
      <c r="K1673" s="0" t="s">
        <v>7339</v>
      </c>
      <c r="L1673" s="0" t="s">
        <v>7340</v>
      </c>
      <c r="M1673" s="0" t="s">
        <v>7661</v>
      </c>
      <c r="N1673" s="0" t="s">
        <v>7342</v>
      </c>
      <c r="P1673" s="0" t="s">
        <v>229</v>
      </c>
      <c r="Q1673" s="0" t="s">
        <v>7354</v>
      </c>
      <c r="R1673" s="0" t="s">
        <v>7343</v>
      </c>
      <c r="S1673" s="0" t="s">
        <v>7344</v>
      </c>
      <c r="T1673" s="0" t="s">
        <v>228</v>
      </c>
      <c r="V1673" s="0" t="s">
        <v>34</v>
      </c>
      <c r="W1673" s="0" t="s">
        <v>39</v>
      </c>
      <c r="X1673" s="0" t="s">
        <v>7355</v>
      </c>
      <c r="Y1673" s="0" t="s">
        <v>7346</v>
      </c>
      <c r="Z1673" s="0" t="s">
        <v>7370</v>
      </c>
      <c r="AA1673" s="0" t="s">
        <v>8383</v>
      </c>
      <c r="AB1673" s="0" t="s">
        <v>262</v>
      </c>
      <c r="AC1673" s="0" t="s">
        <v>7349</v>
      </c>
      <c r="AD1673" s="0" t="s">
        <v>8388</v>
      </c>
      <c r="AE1673" s="0" t="s">
        <v>7412</v>
      </c>
      <c r="AF1673" s="0" t="s">
        <v>7374</v>
      </c>
      <c r="AG1673" s="0" t="s">
        <v>230</v>
      </c>
    </row>
    <row r="1674" customFormat="false" ht="15" hidden="false" customHeight="false" outlineLevel="0" collapsed="false">
      <c r="A1674" s="0" t="s">
        <v>7336</v>
      </c>
      <c r="B1674" s="0" t="s">
        <v>6088</v>
      </c>
      <c r="C1674" s="0" t="s">
        <v>6089</v>
      </c>
      <c r="D1674" s="0" t="s">
        <v>1184</v>
      </c>
      <c r="E1674" s="0" t="s">
        <v>6090</v>
      </c>
      <c r="F1674" s="0" t="s">
        <v>3234</v>
      </c>
      <c r="G1674" s="0" t="s">
        <v>120</v>
      </c>
      <c r="H1674" s="0" t="s">
        <v>7917</v>
      </c>
      <c r="I1674" s="0" t="s">
        <v>7338</v>
      </c>
      <c r="J1674" s="0" t="s">
        <v>1602</v>
      </c>
      <c r="K1674" s="0" t="s">
        <v>7339</v>
      </c>
      <c r="L1674" s="0" t="s">
        <v>7340</v>
      </c>
      <c r="M1674" s="0" t="s">
        <v>7661</v>
      </c>
      <c r="N1674" s="0" t="s">
        <v>7342</v>
      </c>
      <c r="P1674" s="0" t="s">
        <v>229</v>
      </c>
      <c r="Q1674" s="0" t="s">
        <v>7354</v>
      </c>
      <c r="R1674" s="0" t="s">
        <v>7343</v>
      </c>
      <c r="S1674" s="0" t="s">
        <v>7344</v>
      </c>
      <c r="T1674" s="0" t="s">
        <v>228</v>
      </c>
      <c r="V1674" s="0" t="s">
        <v>34</v>
      </c>
      <c r="W1674" s="0" t="s">
        <v>39</v>
      </c>
      <c r="X1674" s="0" t="s">
        <v>7355</v>
      </c>
      <c r="Y1674" s="0" t="s">
        <v>7346</v>
      </c>
      <c r="Z1674" s="0" t="s">
        <v>7370</v>
      </c>
      <c r="AA1674" s="0" t="s">
        <v>8383</v>
      </c>
      <c r="AB1674" s="0" t="s">
        <v>262</v>
      </c>
      <c r="AC1674" s="0" t="s">
        <v>7349</v>
      </c>
      <c r="AD1674" s="0" t="s">
        <v>8385</v>
      </c>
      <c r="AE1674" s="0" t="s">
        <v>7412</v>
      </c>
      <c r="AF1674" s="0" t="s">
        <v>7374</v>
      </c>
      <c r="AG1674" s="0" t="s">
        <v>230</v>
      </c>
    </row>
    <row r="1675" customFormat="false" ht="15" hidden="false" customHeight="false" outlineLevel="0" collapsed="false">
      <c r="A1675" s="0" t="s">
        <v>7336</v>
      </c>
      <c r="B1675" s="0" t="s">
        <v>6091</v>
      </c>
      <c r="C1675" s="0" t="s">
        <v>6092</v>
      </c>
      <c r="D1675" s="0" t="s">
        <v>1184</v>
      </c>
      <c r="E1675" s="0" t="s">
        <v>6093</v>
      </c>
      <c r="F1675" s="0" t="s">
        <v>6094</v>
      </c>
      <c r="G1675" s="0" t="s">
        <v>120</v>
      </c>
      <c r="H1675" s="0" t="s">
        <v>8403</v>
      </c>
      <c r="I1675" s="0" t="s">
        <v>7338</v>
      </c>
      <c r="J1675" s="0" t="s">
        <v>1602</v>
      </c>
      <c r="K1675" s="0" t="s">
        <v>7339</v>
      </c>
      <c r="L1675" s="0" t="s">
        <v>7340</v>
      </c>
      <c r="M1675" s="0" t="s">
        <v>7661</v>
      </c>
      <c r="N1675" s="0" t="s">
        <v>7342</v>
      </c>
      <c r="P1675" s="0" t="s">
        <v>229</v>
      </c>
      <c r="Q1675" s="0" t="s">
        <v>7354</v>
      </c>
      <c r="R1675" s="0" t="s">
        <v>7343</v>
      </c>
      <c r="S1675" s="0" t="s">
        <v>7344</v>
      </c>
      <c r="T1675" s="0" t="s">
        <v>681</v>
      </c>
      <c r="V1675" s="0" t="s">
        <v>34</v>
      </c>
      <c r="W1675" s="0" t="s">
        <v>47</v>
      </c>
      <c r="X1675" s="0" t="s">
        <v>7355</v>
      </c>
      <c r="Y1675" s="0" t="s">
        <v>7495</v>
      </c>
      <c r="Z1675" s="0" t="s">
        <v>7496</v>
      </c>
      <c r="AA1675" s="0" t="s">
        <v>7497</v>
      </c>
      <c r="AC1675" s="0" t="s">
        <v>7349</v>
      </c>
      <c r="AD1675" s="0" t="s">
        <v>7498</v>
      </c>
      <c r="AE1675" s="0" t="s">
        <v>7872</v>
      </c>
      <c r="AF1675" s="0" t="s">
        <v>7499</v>
      </c>
      <c r="AG1675" s="0" t="s">
        <v>230</v>
      </c>
    </row>
    <row r="1676" customFormat="false" ht="15" hidden="false" customHeight="false" outlineLevel="0" collapsed="false">
      <c r="A1676" s="0" t="s">
        <v>7336</v>
      </c>
      <c r="B1676" s="0" t="s">
        <v>6095</v>
      </c>
      <c r="C1676" s="0" t="s">
        <v>6096</v>
      </c>
      <c r="D1676" s="0" t="s">
        <v>1184</v>
      </c>
      <c r="E1676" s="0" t="s">
        <v>6097</v>
      </c>
      <c r="F1676" s="0" t="s">
        <v>6094</v>
      </c>
      <c r="G1676" s="0" t="s">
        <v>120</v>
      </c>
      <c r="H1676" s="0" t="s">
        <v>8403</v>
      </c>
      <c r="I1676" s="0" t="s">
        <v>7338</v>
      </c>
      <c r="J1676" s="0" t="s">
        <v>1602</v>
      </c>
      <c r="K1676" s="0" t="s">
        <v>7339</v>
      </c>
      <c r="L1676" s="0" t="s">
        <v>7340</v>
      </c>
      <c r="M1676" s="0" t="s">
        <v>7661</v>
      </c>
      <c r="N1676" s="0" t="s">
        <v>7342</v>
      </c>
      <c r="P1676" s="0" t="s">
        <v>229</v>
      </c>
      <c r="Q1676" s="0" t="s">
        <v>7354</v>
      </c>
      <c r="R1676" s="0" t="s">
        <v>7343</v>
      </c>
      <c r="S1676" s="0" t="s">
        <v>7344</v>
      </c>
      <c r="T1676" s="0" t="s">
        <v>58</v>
      </c>
      <c r="V1676" s="0" t="s">
        <v>55</v>
      </c>
      <c r="W1676" s="0" t="s">
        <v>55</v>
      </c>
      <c r="X1676" s="0" t="s">
        <v>7355</v>
      </c>
      <c r="Z1676" s="0" t="s">
        <v>7493</v>
      </c>
      <c r="AB1676" s="0" t="s">
        <v>344</v>
      </c>
      <c r="AC1676" s="0" t="s">
        <v>7349</v>
      </c>
      <c r="AE1676" s="0" t="s">
        <v>7826</v>
      </c>
      <c r="AF1676" s="0" t="s">
        <v>7374</v>
      </c>
      <c r="AG1676" s="0" t="s">
        <v>230</v>
      </c>
    </row>
    <row r="1677" customFormat="false" ht="15" hidden="false" customHeight="false" outlineLevel="0" collapsed="false">
      <c r="A1677" s="0" t="s">
        <v>7336</v>
      </c>
      <c r="B1677" s="0" t="s">
        <v>6098</v>
      </c>
      <c r="C1677" s="0" t="s">
        <v>6099</v>
      </c>
      <c r="D1677" s="0" t="s">
        <v>1184</v>
      </c>
      <c r="E1677" s="0" t="s">
        <v>6100</v>
      </c>
      <c r="F1677" s="0" t="s">
        <v>6094</v>
      </c>
      <c r="G1677" s="0" t="s">
        <v>120</v>
      </c>
      <c r="H1677" s="0" t="s">
        <v>8403</v>
      </c>
      <c r="I1677" s="0" t="s">
        <v>7338</v>
      </c>
      <c r="J1677" s="0" t="s">
        <v>1602</v>
      </c>
      <c r="K1677" s="0" t="s">
        <v>7339</v>
      </c>
      <c r="L1677" s="0" t="s">
        <v>7340</v>
      </c>
      <c r="M1677" s="0" t="s">
        <v>7661</v>
      </c>
      <c r="N1677" s="0" t="s">
        <v>7342</v>
      </c>
      <c r="P1677" s="0" t="s">
        <v>229</v>
      </c>
      <c r="Q1677" s="0" t="s">
        <v>7354</v>
      </c>
      <c r="R1677" s="0" t="s">
        <v>7343</v>
      </c>
      <c r="S1677" s="0" t="s">
        <v>7344</v>
      </c>
      <c r="T1677" s="0" t="s">
        <v>228</v>
      </c>
      <c r="V1677" s="0" t="s">
        <v>34</v>
      </c>
      <c r="W1677" s="0" t="s">
        <v>39</v>
      </c>
      <c r="X1677" s="0" t="s">
        <v>7355</v>
      </c>
      <c r="Y1677" s="0" t="s">
        <v>7346</v>
      </c>
      <c r="Z1677" s="0" t="s">
        <v>7370</v>
      </c>
      <c r="AA1677" s="0" t="s">
        <v>8383</v>
      </c>
      <c r="AB1677" s="0" t="s">
        <v>262</v>
      </c>
      <c r="AC1677" s="0" t="s">
        <v>7349</v>
      </c>
      <c r="AD1677" s="0" t="s">
        <v>8385</v>
      </c>
      <c r="AE1677" s="0" t="s">
        <v>7412</v>
      </c>
      <c r="AF1677" s="0" t="s">
        <v>7374</v>
      </c>
      <c r="AG1677" s="0" t="s">
        <v>230</v>
      </c>
    </row>
    <row r="1678" customFormat="false" ht="15" hidden="false" customHeight="false" outlineLevel="0" collapsed="false">
      <c r="A1678" s="0" t="s">
        <v>7336</v>
      </c>
      <c r="B1678" s="0" t="s">
        <v>6101</v>
      </c>
      <c r="C1678" s="0" t="s">
        <v>6102</v>
      </c>
      <c r="D1678" s="0" t="s">
        <v>1184</v>
      </c>
      <c r="E1678" s="0" t="s">
        <v>6103</v>
      </c>
      <c r="F1678" s="0" t="s">
        <v>6028</v>
      </c>
      <c r="G1678" s="0" t="s">
        <v>120</v>
      </c>
      <c r="H1678" s="0" t="s">
        <v>8390</v>
      </c>
      <c r="I1678" s="0" t="s">
        <v>7338</v>
      </c>
      <c r="J1678" s="0" t="s">
        <v>1602</v>
      </c>
      <c r="K1678" s="0" t="s">
        <v>7339</v>
      </c>
      <c r="L1678" s="0" t="s">
        <v>7340</v>
      </c>
      <c r="M1678" s="0" t="s">
        <v>7661</v>
      </c>
      <c r="N1678" s="0" t="s">
        <v>7342</v>
      </c>
      <c r="P1678" s="0" t="s">
        <v>229</v>
      </c>
      <c r="Q1678" s="0" t="s">
        <v>7354</v>
      </c>
      <c r="R1678" s="0" t="s">
        <v>7343</v>
      </c>
      <c r="S1678" s="0" t="s">
        <v>7344</v>
      </c>
      <c r="T1678" s="0" t="s">
        <v>228</v>
      </c>
      <c r="V1678" s="0" t="s">
        <v>34</v>
      </c>
      <c r="W1678" s="0" t="s">
        <v>39</v>
      </c>
      <c r="X1678" s="0" t="s">
        <v>7355</v>
      </c>
      <c r="Y1678" s="0" t="s">
        <v>7346</v>
      </c>
      <c r="Z1678" s="0" t="s">
        <v>7370</v>
      </c>
      <c r="AA1678" s="0" t="s">
        <v>8383</v>
      </c>
      <c r="AB1678" s="0" t="s">
        <v>262</v>
      </c>
      <c r="AC1678" s="0" t="s">
        <v>7349</v>
      </c>
      <c r="AD1678" s="0" t="s">
        <v>8385</v>
      </c>
      <c r="AE1678" s="0" t="s">
        <v>7412</v>
      </c>
      <c r="AF1678" s="0" t="s">
        <v>7374</v>
      </c>
      <c r="AG1678" s="0" t="s">
        <v>230</v>
      </c>
    </row>
    <row r="1679" customFormat="false" ht="15" hidden="false" customHeight="false" outlineLevel="0" collapsed="false">
      <c r="A1679" s="0" t="s">
        <v>7336</v>
      </c>
      <c r="B1679" s="0" t="s">
        <v>6104</v>
      </c>
      <c r="C1679" s="0" t="s">
        <v>6105</v>
      </c>
      <c r="D1679" s="0" t="s">
        <v>1184</v>
      </c>
      <c r="E1679" s="0" t="s">
        <v>6106</v>
      </c>
      <c r="F1679" s="0" t="s">
        <v>6107</v>
      </c>
      <c r="G1679" s="0" t="s">
        <v>120</v>
      </c>
      <c r="H1679" s="0" t="s">
        <v>8404</v>
      </c>
      <c r="I1679" s="0" t="s">
        <v>7338</v>
      </c>
      <c r="J1679" s="0" t="s">
        <v>6108</v>
      </c>
      <c r="K1679" s="0" t="s">
        <v>7339</v>
      </c>
      <c r="L1679" s="0" t="s">
        <v>7340</v>
      </c>
      <c r="M1679" s="0" t="s">
        <v>8405</v>
      </c>
      <c r="N1679" s="0" t="s">
        <v>7342</v>
      </c>
      <c r="P1679" s="0" t="s">
        <v>229</v>
      </c>
      <c r="Q1679" s="0" t="s">
        <v>7354</v>
      </c>
      <c r="R1679" s="0" t="s">
        <v>7343</v>
      </c>
      <c r="S1679" s="0" t="s">
        <v>7344</v>
      </c>
      <c r="T1679" s="0" t="s">
        <v>228</v>
      </c>
      <c r="V1679" s="0" t="s">
        <v>34</v>
      </c>
      <c r="W1679" s="0" t="s">
        <v>44</v>
      </c>
      <c r="X1679" s="0" t="s">
        <v>7355</v>
      </c>
      <c r="Y1679" s="0" t="s">
        <v>7409</v>
      </c>
      <c r="Z1679" s="0" t="s">
        <v>7410</v>
      </c>
      <c r="AA1679" s="0" t="s">
        <v>8406</v>
      </c>
      <c r="AB1679" s="0" t="s">
        <v>262</v>
      </c>
      <c r="AC1679" s="0" t="s">
        <v>7349</v>
      </c>
      <c r="AD1679" s="0" t="s">
        <v>8407</v>
      </c>
      <c r="AE1679" s="0" t="s">
        <v>7412</v>
      </c>
      <c r="AF1679" s="0" t="s">
        <v>7374</v>
      </c>
      <c r="AG1679" s="0" t="s">
        <v>230</v>
      </c>
    </row>
    <row r="1680" customFormat="false" ht="15" hidden="false" customHeight="false" outlineLevel="0" collapsed="false">
      <c r="A1680" s="0" t="s">
        <v>7336</v>
      </c>
      <c r="B1680" s="0" t="s">
        <v>6109</v>
      </c>
      <c r="C1680" s="0" t="s">
        <v>6110</v>
      </c>
      <c r="D1680" s="0" t="s">
        <v>1184</v>
      </c>
      <c r="E1680" s="0" t="s">
        <v>6111</v>
      </c>
      <c r="F1680" s="0" t="s">
        <v>6112</v>
      </c>
      <c r="G1680" s="0" t="s">
        <v>120</v>
      </c>
      <c r="H1680" s="0" t="s">
        <v>8408</v>
      </c>
      <c r="I1680" s="0" t="s">
        <v>7338</v>
      </c>
      <c r="J1680" s="0" t="s">
        <v>6108</v>
      </c>
      <c r="K1680" s="0" t="s">
        <v>7339</v>
      </c>
      <c r="L1680" s="0" t="s">
        <v>7340</v>
      </c>
      <c r="M1680" s="0" t="s">
        <v>8405</v>
      </c>
      <c r="N1680" s="0" t="s">
        <v>7342</v>
      </c>
      <c r="P1680" s="0" t="s">
        <v>229</v>
      </c>
      <c r="Q1680" s="0" t="s">
        <v>7354</v>
      </c>
      <c r="R1680" s="0" t="s">
        <v>7343</v>
      </c>
      <c r="S1680" s="0" t="s">
        <v>7344</v>
      </c>
      <c r="T1680" s="0" t="s">
        <v>228</v>
      </c>
      <c r="V1680" s="0" t="s">
        <v>34</v>
      </c>
      <c r="W1680" s="0" t="s">
        <v>44</v>
      </c>
      <c r="X1680" s="0" t="s">
        <v>7355</v>
      </c>
      <c r="Y1680" s="0" t="s">
        <v>7409</v>
      </c>
      <c r="Z1680" s="0" t="s">
        <v>7410</v>
      </c>
      <c r="AA1680" s="0" t="s">
        <v>8406</v>
      </c>
      <c r="AB1680" s="0" t="s">
        <v>262</v>
      </c>
      <c r="AC1680" s="0" t="s">
        <v>7349</v>
      </c>
      <c r="AD1680" s="0" t="s">
        <v>8407</v>
      </c>
      <c r="AE1680" s="0" t="s">
        <v>7412</v>
      </c>
      <c r="AF1680" s="0" t="s">
        <v>7374</v>
      </c>
      <c r="AG1680" s="0" t="s">
        <v>230</v>
      </c>
    </row>
    <row r="1681" customFormat="false" ht="15" hidden="false" customHeight="false" outlineLevel="0" collapsed="false">
      <c r="A1681" s="0" t="s">
        <v>7336</v>
      </c>
      <c r="B1681" s="0" t="s">
        <v>6113</v>
      </c>
      <c r="C1681" s="0" t="s">
        <v>6114</v>
      </c>
      <c r="D1681" s="0" t="s">
        <v>1184</v>
      </c>
      <c r="E1681" s="0" t="s">
        <v>6115</v>
      </c>
      <c r="F1681" s="0" t="s">
        <v>6116</v>
      </c>
      <c r="G1681" s="0" t="s">
        <v>120</v>
      </c>
      <c r="H1681" s="0" t="s">
        <v>8409</v>
      </c>
      <c r="I1681" s="0" t="s">
        <v>7338</v>
      </c>
      <c r="J1681" s="0" t="s">
        <v>6108</v>
      </c>
      <c r="K1681" s="0" t="s">
        <v>7339</v>
      </c>
      <c r="L1681" s="0" t="s">
        <v>7340</v>
      </c>
      <c r="M1681" s="0" t="s">
        <v>8405</v>
      </c>
      <c r="N1681" s="0" t="s">
        <v>7342</v>
      </c>
      <c r="P1681" s="0" t="s">
        <v>229</v>
      </c>
      <c r="Q1681" s="0" t="s">
        <v>7354</v>
      </c>
      <c r="R1681" s="0" t="s">
        <v>7343</v>
      </c>
      <c r="S1681" s="0" t="s">
        <v>7344</v>
      </c>
      <c r="T1681" s="0" t="s">
        <v>228</v>
      </c>
      <c r="V1681" s="0" t="s">
        <v>34</v>
      </c>
      <c r="W1681" s="0" t="s">
        <v>44</v>
      </c>
      <c r="X1681" s="0" t="s">
        <v>7355</v>
      </c>
      <c r="Y1681" s="0" t="s">
        <v>7409</v>
      </c>
      <c r="Z1681" s="0" t="s">
        <v>7410</v>
      </c>
      <c r="AA1681" s="0" t="s">
        <v>8406</v>
      </c>
      <c r="AB1681" s="0" t="s">
        <v>262</v>
      </c>
      <c r="AC1681" s="0" t="s">
        <v>7349</v>
      </c>
      <c r="AD1681" s="0" t="s">
        <v>8407</v>
      </c>
      <c r="AE1681" s="0" t="s">
        <v>7412</v>
      </c>
      <c r="AF1681" s="0" t="s">
        <v>7374</v>
      </c>
      <c r="AG1681" s="0" t="s">
        <v>230</v>
      </c>
    </row>
    <row r="1682" customFormat="false" ht="15" hidden="false" customHeight="false" outlineLevel="0" collapsed="false">
      <c r="A1682" s="0" t="s">
        <v>7336</v>
      </c>
      <c r="B1682" s="0" t="s">
        <v>6117</v>
      </c>
      <c r="C1682" s="0" t="s">
        <v>6118</v>
      </c>
      <c r="D1682" s="0" t="s">
        <v>1184</v>
      </c>
      <c r="E1682" s="0" t="s">
        <v>6119</v>
      </c>
      <c r="F1682" s="0" t="s">
        <v>6120</v>
      </c>
      <c r="G1682" s="0" t="s">
        <v>6121</v>
      </c>
      <c r="H1682" s="0" t="s">
        <v>8410</v>
      </c>
      <c r="I1682" s="0" t="s">
        <v>7338</v>
      </c>
      <c r="J1682" s="0" t="s">
        <v>6122</v>
      </c>
      <c r="K1682" s="0" t="s">
        <v>7339</v>
      </c>
      <c r="L1682" s="0" t="s">
        <v>7340</v>
      </c>
      <c r="M1682" s="0" t="s">
        <v>8411</v>
      </c>
      <c r="N1682" s="0" t="s">
        <v>7342</v>
      </c>
      <c r="P1682" s="0" t="s">
        <v>229</v>
      </c>
      <c r="Q1682" s="0" t="s">
        <v>7354</v>
      </c>
      <c r="R1682" s="0" t="s">
        <v>7343</v>
      </c>
      <c r="S1682" s="0" t="s">
        <v>7344</v>
      </c>
      <c r="T1682" s="0" t="s">
        <v>228</v>
      </c>
      <c r="V1682" s="0" t="s">
        <v>34</v>
      </c>
      <c r="W1682" s="0" t="s">
        <v>44</v>
      </c>
      <c r="X1682" s="0" t="s">
        <v>7355</v>
      </c>
      <c r="Y1682" s="0" t="s">
        <v>7409</v>
      </c>
      <c r="Z1682" s="0" t="s">
        <v>7410</v>
      </c>
      <c r="AA1682" s="0" t="s">
        <v>8406</v>
      </c>
      <c r="AB1682" s="0" t="s">
        <v>262</v>
      </c>
      <c r="AC1682" s="0" t="s">
        <v>7349</v>
      </c>
      <c r="AD1682" s="0" t="s">
        <v>8407</v>
      </c>
      <c r="AE1682" s="0" t="s">
        <v>7412</v>
      </c>
      <c r="AF1682" s="0" t="s">
        <v>7374</v>
      </c>
      <c r="AG1682" s="0" t="s">
        <v>230</v>
      </c>
    </row>
    <row r="1683" customFormat="false" ht="15" hidden="false" customHeight="false" outlineLevel="0" collapsed="false">
      <c r="A1683" s="0" t="s">
        <v>7336</v>
      </c>
      <c r="B1683" s="0" t="s">
        <v>6123</v>
      </c>
      <c r="C1683" s="0" t="s">
        <v>6124</v>
      </c>
      <c r="D1683" s="0" t="s">
        <v>1184</v>
      </c>
      <c r="E1683" s="0" t="s">
        <v>6125</v>
      </c>
      <c r="F1683" s="0" t="s">
        <v>6126</v>
      </c>
      <c r="G1683" s="0" t="s">
        <v>6121</v>
      </c>
      <c r="H1683" s="0" t="s">
        <v>8412</v>
      </c>
      <c r="I1683" s="0" t="s">
        <v>7338</v>
      </c>
      <c r="J1683" s="0" t="s">
        <v>6122</v>
      </c>
      <c r="K1683" s="0" t="s">
        <v>7339</v>
      </c>
      <c r="L1683" s="0" t="s">
        <v>7340</v>
      </c>
      <c r="M1683" s="0" t="s">
        <v>8411</v>
      </c>
      <c r="N1683" s="0" t="s">
        <v>7342</v>
      </c>
      <c r="P1683" s="0" t="s">
        <v>229</v>
      </c>
      <c r="Q1683" s="0" t="s">
        <v>7354</v>
      </c>
      <c r="R1683" s="0" t="s">
        <v>7343</v>
      </c>
      <c r="S1683" s="0" t="s">
        <v>7344</v>
      </c>
      <c r="T1683" s="0" t="s">
        <v>228</v>
      </c>
      <c r="V1683" s="0" t="s">
        <v>34</v>
      </c>
      <c r="W1683" s="0" t="s">
        <v>44</v>
      </c>
      <c r="X1683" s="0" t="s">
        <v>7355</v>
      </c>
      <c r="Y1683" s="0" t="s">
        <v>7409</v>
      </c>
      <c r="Z1683" s="0" t="s">
        <v>7410</v>
      </c>
      <c r="AA1683" s="0" t="s">
        <v>8406</v>
      </c>
      <c r="AB1683" s="0" t="s">
        <v>262</v>
      </c>
      <c r="AC1683" s="0" t="s">
        <v>7349</v>
      </c>
      <c r="AD1683" s="0" t="s">
        <v>8407</v>
      </c>
      <c r="AE1683" s="0" t="s">
        <v>7412</v>
      </c>
      <c r="AF1683" s="0" t="s">
        <v>7374</v>
      </c>
      <c r="AG1683" s="0" t="s">
        <v>230</v>
      </c>
    </row>
    <row r="1684" customFormat="false" ht="15" hidden="false" customHeight="false" outlineLevel="0" collapsed="false">
      <c r="A1684" s="0" t="s">
        <v>7336</v>
      </c>
      <c r="B1684" s="0" t="s">
        <v>6127</v>
      </c>
      <c r="C1684" s="0" t="s">
        <v>6128</v>
      </c>
      <c r="D1684" s="0" t="s">
        <v>1184</v>
      </c>
      <c r="E1684" s="0" t="s">
        <v>6129</v>
      </c>
      <c r="F1684" s="0" t="s">
        <v>6130</v>
      </c>
      <c r="G1684" s="0" t="s">
        <v>122</v>
      </c>
      <c r="H1684" s="0" t="s">
        <v>8413</v>
      </c>
      <c r="I1684" s="0" t="s">
        <v>7338</v>
      </c>
      <c r="J1684" s="0" t="s">
        <v>6131</v>
      </c>
      <c r="K1684" s="0" t="s">
        <v>7339</v>
      </c>
      <c r="L1684" s="0" t="s">
        <v>7340</v>
      </c>
      <c r="M1684" s="0" t="s">
        <v>8414</v>
      </c>
      <c r="N1684" s="0" t="s">
        <v>7342</v>
      </c>
      <c r="P1684" s="0" t="s">
        <v>229</v>
      </c>
      <c r="Q1684" s="0" t="s">
        <v>7354</v>
      </c>
      <c r="R1684" s="0" t="s">
        <v>7435</v>
      </c>
      <c r="S1684" s="0" t="s">
        <v>7344</v>
      </c>
      <c r="T1684" s="0" t="s">
        <v>228</v>
      </c>
      <c r="V1684" s="0" t="s">
        <v>61</v>
      </c>
      <c r="W1684" s="0" t="s">
        <v>63</v>
      </c>
      <c r="X1684" s="0" t="s">
        <v>7355</v>
      </c>
      <c r="Y1684" s="0" t="s">
        <v>7459</v>
      </c>
      <c r="Z1684" s="0" t="s">
        <v>7591</v>
      </c>
      <c r="AA1684" s="0" t="s">
        <v>7592</v>
      </c>
      <c r="AB1684" s="0" t="s">
        <v>344</v>
      </c>
      <c r="AC1684" s="0" t="s">
        <v>7349</v>
      </c>
      <c r="AD1684" s="0" t="s">
        <v>8415</v>
      </c>
      <c r="AE1684" s="0" t="s">
        <v>7440</v>
      </c>
      <c r="AF1684" s="0" t="s">
        <v>7374</v>
      </c>
      <c r="AG1684" s="0" t="s">
        <v>230</v>
      </c>
    </row>
    <row r="1685" customFormat="false" ht="15" hidden="false" customHeight="false" outlineLevel="0" collapsed="false">
      <c r="A1685" s="0" t="s">
        <v>7336</v>
      </c>
      <c r="B1685" s="0" t="s">
        <v>6132</v>
      </c>
      <c r="C1685" s="0" t="s">
        <v>6133</v>
      </c>
      <c r="D1685" s="0" t="s">
        <v>1184</v>
      </c>
      <c r="E1685" s="0" t="s">
        <v>6134</v>
      </c>
      <c r="F1685" s="0" t="s">
        <v>6135</v>
      </c>
      <c r="G1685" s="0" t="s">
        <v>122</v>
      </c>
      <c r="H1685" s="0" t="s">
        <v>8416</v>
      </c>
      <c r="I1685" s="0" t="s">
        <v>7338</v>
      </c>
      <c r="J1685" s="0" t="s">
        <v>6131</v>
      </c>
      <c r="K1685" s="0" t="s">
        <v>7339</v>
      </c>
      <c r="L1685" s="0" t="s">
        <v>7340</v>
      </c>
      <c r="M1685" s="0" t="s">
        <v>8414</v>
      </c>
      <c r="N1685" s="0" t="s">
        <v>7342</v>
      </c>
      <c r="P1685" s="0" t="s">
        <v>229</v>
      </c>
      <c r="Q1685" s="0" t="s">
        <v>7354</v>
      </c>
      <c r="R1685" s="0" t="s">
        <v>7435</v>
      </c>
      <c r="S1685" s="0" t="s">
        <v>7344</v>
      </c>
      <c r="T1685" s="0" t="s">
        <v>228</v>
      </c>
      <c r="V1685" s="0" t="s">
        <v>61</v>
      </c>
      <c r="W1685" s="0" t="s">
        <v>63</v>
      </c>
      <c r="X1685" s="0" t="s">
        <v>7355</v>
      </c>
      <c r="Y1685" s="0" t="s">
        <v>7459</v>
      </c>
      <c r="Z1685" s="0" t="s">
        <v>7591</v>
      </c>
      <c r="AA1685" s="0" t="s">
        <v>7592</v>
      </c>
      <c r="AB1685" s="0" t="s">
        <v>344</v>
      </c>
      <c r="AC1685" s="0" t="s">
        <v>7349</v>
      </c>
      <c r="AD1685" s="0" t="s">
        <v>8415</v>
      </c>
      <c r="AE1685" s="0" t="s">
        <v>7440</v>
      </c>
      <c r="AF1685" s="0" t="s">
        <v>7374</v>
      </c>
      <c r="AG1685" s="0" t="s">
        <v>230</v>
      </c>
    </row>
    <row r="1686" customFormat="false" ht="15" hidden="false" customHeight="false" outlineLevel="0" collapsed="false">
      <c r="A1686" s="0" t="s">
        <v>7336</v>
      </c>
      <c r="B1686" s="0" t="s">
        <v>6136</v>
      </c>
      <c r="C1686" s="0" t="s">
        <v>6137</v>
      </c>
      <c r="D1686" s="0" t="s">
        <v>1184</v>
      </c>
      <c r="E1686" s="0" t="s">
        <v>6138</v>
      </c>
      <c r="F1686" s="0" t="s">
        <v>6139</v>
      </c>
      <c r="G1686" s="0" t="s">
        <v>122</v>
      </c>
      <c r="H1686" s="0" t="s">
        <v>8417</v>
      </c>
      <c r="I1686" s="0" t="s">
        <v>7338</v>
      </c>
      <c r="J1686" s="0" t="s">
        <v>6131</v>
      </c>
      <c r="K1686" s="0" t="s">
        <v>7339</v>
      </c>
      <c r="L1686" s="0" t="s">
        <v>7340</v>
      </c>
      <c r="M1686" s="0" t="s">
        <v>8414</v>
      </c>
      <c r="N1686" s="0" t="s">
        <v>7342</v>
      </c>
      <c r="P1686" s="0" t="s">
        <v>229</v>
      </c>
      <c r="Q1686" s="0" t="s">
        <v>7354</v>
      </c>
      <c r="R1686" s="0" t="s">
        <v>7435</v>
      </c>
      <c r="S1686" s="0" t="s">
        <v>7344</v>
      </c>
      <c r="T1686" s="0" t="s">
        <v>228</v>
      </c>
      <c r="V1686" s="0" t="s">
        <v>61</v>
      </c>
      <c r="W1686" s="0" t="s">
        <v>63</v>
      </c>
      <c r="X1686" s="0" t="s">
        <v>7355</v>
      </c>
      <c r="Y1686" s="0" t="s">
        <v>7459</v>
      </c>
      <c r="Z1686" s="0" t="s">
        <v>7591</v>
      </c>
      <c r="AA1686" s="0" t="s">
        <v>7592</v>
      </c>
      <c r="AB1686" s="0" t="s">
        <v>344</v>
      </c>
      <c r="AC1686" s="0" t="s">
        <v>7349</v>
      </c>
      <c r="AD1686" s="0" t="s">
        <v>8415</v>
      </c>
      <c r="AE1686" s="0" t="s">
        <v>7440</v>
      </c>
      <c r="AF1686" s="0" t="s">
        <v>7374</v>
      </c>
      <c r="AG1686" s="0" t="s">
        <v>230</v>
      </c>
    </row>
    <row r="1687" customFormat="false" ht="15" hidden="false" customHeight="false" outlineLevel="0" collapsed="false">
      <c r="A1687" s="0" t="s">
        <v>7336</v>
      </c>
      <c r="B1687" s="0" t="s">
        <v>6140</v>
      </c>
      <c r="C1687" s="0" t="s">
        <v>6141</v>
      </c>
      <c r="D1687" s="0" t="s">
        <v>1184</v>
      </c>
      <c r="E1687" s="0" t="s">
        <v>6142</v>
      </c>
      <c r="F1687" s="0" t="s">
        <v>6143</v>
      </c>
      <c r="G1687" s="0" t="s">
        <v>122</v>
      </c>
      <c r="H1687" s="0" t="s">
        <v>8418</v>
      </c>
      <c r="I1687" s="0" t="s">
        <v>7338</v>
      </c>
      <c r="J1687" s="0" t="s">
        <v>6131</v>
      </c>
      <c r="K1687" s="0" t="s">
        <v>7339</v>
      </c>
      <c r="L1687" s="0" t="s">
        <v>7340</v>
      </c>
      <c r="M1687" s="0" t="s">
        <v>8414</v>
      </c>
      <c r="N1687" s="0" t="s">
        <v>7342</v>
      </c>
      <c r="P1687" s="0" t="s">
        <v>229</v>
      </c>
      <c r="Q1687" s="0" t="s">
        <v>7354</v>
      </c>
      <c r="R1687" s="0" t="s">
        <v>7435</v>
      </c>
      <c r="S1687" s="0" t="s">
        <v>7344</v>
      </c>
      <c r="T1687" s="0" t="s">
        <v>228</v>
      </c>
      <c r="V1687" s="0" t="s">
        <v>61</v>
      </c>
      <c r="W1687" s="0" t="s">
        <v>63</v>
      </c>
      <c r="X1687" s="0" t="s">
        <v>7355</v>
      </c>
      <c r="Y1687" s="0" t="s">
        <v>7459</v>
      </c>
      <c r="Z1687" s="0" t="s">
        <v>7591</v>
      </c>
      <c r="AA1687" s="0" t="s">
        <v>7592</v>
      </c>
      <c r="AB1687" s="0" t="s">
        <v>344</v>
      </c>
      <c r="AC1687" s="0" t="s">
        <v>7349</v>
      </c>
      <c r="AD1687" s="0" t="s">
        <v>8415</v>
      </c>
      <c r="AE1687" s="0" t="s">
        <v>7440</v>
      </c>
      <c r="AF1687" s="0" t="s">
        <v>7374</v>
      </c>
      <c r="AG1687" s="0" t="s">
        <v>230</v>
      </c>
    </row>
    <row r="1688" customFormat="false" ht="15" hidden="false" customHeight="false" outlineLevel="0" collapsed="false">
      <c r="A1688" s="0" t="s">
        <v>7336</v>
      </c>
      <c r="B1688" s="0" t="s">
        <v>6144</v>
      </c>
      <c r="C1688" s="0" t="s">
        <v>6145</v>
      </c>
      <c r="D1688" s="0" t="s">
        <v>1184</v>
      </c>
      <c r="E1688" s="0" t="s">
        <v>6146</v>
      </c>
      <c r="F1688" s="0" t="s">
        <v>6147</v>
      </c>
      <c r="G1688" s="0" t="s">
        <v>122</v>
      </c>
      <c r="H1688" s="0" t="s">
        <v>8419</v>
      </c>
      <c r="I1688" s="0" t="s">
        <v>7338</v>
      </c>
      <c r="J1688" s="0" t="s">
        <v>6131</v>
      </c>
      <c r="K1688" s="0" t="s">
        <v>7339</v>
      </c>
      <c r="L1688" s="0" t="s">
        <v>7340</v>
      </c>
      <c r="M1688" s="0" t="s">
        <v>8414</v>
      </c>
      <c r="N1688" s="0" t="s">
        <v>7342</v>
      </c>
      <c r="P1688" s="0" t="s">
        <v>229</v>
      </c>
      <c r="Q1688" s="0" t="s">
        <v>7354</v>
      </c>
      <c r="R1688" s="0" t="s">
        <v>7435</v>
      </c>
      <c r="S1688" s="0" t="s">
        <v>7344</v>
      </c>
      <c r="T1688" s="0" t="s">
        <v>228</v>
      </c>
      <c r="V1688" s="0" t="s">
        <v>61</v>
      </c>
      <c r="W1688" s="0" t="s">
        <v>63</v>
      </c>
      <c r="X1688" s="0" t="s">
        <v>7355</v>
      </c>
      <c r="Y1688" s="0" t="s">
        <v>7459</v>
      </c>
      <c r="Z1688" s="0" t="s">
        <v>7591</v>
      </c>
      <c r="AA1688" s="0" t="s">
        <v>7592</v>
      </c>
      <c r="AB1688" s="0" t="s">
        <v>344</v>
      </c>
      <c r="AC1688" s="0" t="s">
        <v>7349</v>
      </c>
      <c r="AD1688" s="0" t="s">
        <v>8415</v>
      </c>
      <c r="AE1688" s="0" t="s">
        <v>7440</v>
      </c>
      <c r="AF1688" s="0" t="s">
        <v>7374</v>
      </c>
      <c r="AG1688" s="0" t="s">
        <v>230</v>
      </c>
    </row>
    <row r="1689" customFormat="false" ht="15" hidden="false" customHeight="false" outlineLevel="0" collapsed="false">
      <c r="A1689" s="0" t="s">
        <v>7336</v>
      </c>
      <c r="B1689" s="0" t="s">
        <v>6148</v>
      </c>
      <c r="C1689" s="0" t="s">
        <v>6149</v>
      </c>
      <c r="D1689" s="0" t="s">
        <v>1184</v>
      </c>
      <c r="E1689" s="0" t="s">
        <v>6150</v>
      </c>
      <c r="F1689" s="0" t="s">
        <v>6151</v>
      </c>
      <c r="G1689" s="0" t="s">
        <v>122</v>
      </c>
      <c r="H1689" s="0" t="s">
        <v>8420</v>
      </c>
      <c r="I1689" s="0" t="s">
        <v>7338</v>
      </c>
      <c r="J1689" s="0" t="s">
        <v>6131</v>
      </c>
      <c r="K1689" s="0" t="s">
        <v>7339</v>
      </c>
      <c r="L1689" s="0" t="s">
        <v>7340</v>
      </c>
      <c r="M1689" s="0" t="s">
        <v>8414</v>
      </c>
      <c r="N1689" s="0" t="s">
        <v>7342</v>
      </c>
      <c r="P1689" s="0" t="s">
        <v>229</v>
      </c>
      <c r="Q1689" s="0" t="s">
        <v>7354</v>
      </c>
      <c r="R1689" s="0" t="s">
        <v>7435</v>
      </c>
      <c r="S1689" s="0" t="s">
        <v>7344</v>
      </c>
      <c r="T1689" s="0" t="s">
        <v>228</v>
      </c>
      <c r="V1689" s="0" t="s">
        <v>61</v>
      </c>
      <c r="W1689" s="0" t="s">
        <v>63</v>
      </c>
      <c r="X1689" s="0" t="s">
        <v>7355</v>
      </c>
      <c r="Y1689" s="0" t="s">
        <v>7459</v>
      </c>
      <c r="Z1689" s="0" t="s">
        <v>7591</v>
      </c>
      <c r="AA1689" s="0" t="s">
        <v>7592</v>
      </c>
      <c r="AB1689" s="0" t="s">
        <v>344</v>
      </c>
      <c r="AC1689" s="0" t="s">
        <v>7349</v>
      </c>
      <c r="AD1689" s="0" t="s">
        <v>8415</v>
      </c>
      <c r="AE1689" s="0" t="s">
        <v>7440</v>
      </c>
      <c r="AF1689" s="0" t="s">
        <v>7374</v>
      </c>
      <c r="AG1689" s="0" t="s">
        <v>230</v>
      </c>
    </row>
    <row r="1690" customFormat="false" ht="15" hidden="false" customHeight="false" outlineLevel="0" collapsed="false">
      <c r="A1690" s="0" t="s">
        <v>7336</v>
      </c>
      <c r="B1690" s="0" t="s">
        <v>6152</v>
      </c>
      <c r="C1690" s="0" t="s">
        <v>6153</v>
      </c>
      <c r="D1690" s="0" t="s">
        <v>1184</v>
      </c>
      <c r="E1690" s="0" t="s">
        <v>6154</v>
      </c>
      <c r="F1690" s="0" t="s">
        <v>6155</v>
      </c>
      <c r="G1690" s="0" t="s">
        <v>122</v>
      </c>
      <c r="H1690" s="0" t="s">
        <v>8421</v>
      </c>
      <c r="I1690" s="0" t="s">
        <v>7338</v>
      </c>
      <c r="J1690" s="0" t="s">
        <v>6131</v>
      </c>
      <c r="K1690" s="0" t="s">
        <v>7339</v>
      </c>
      <c r="L1690" s="0" t="s">
        <v>7340</v>
      </c>
      <c r="M1690" s="0" t="s">
        <v>8414</v>
      </c>
      <c r="N1690" s="0" t="s">
        <v>7342</v>
      </c>
      <c r="P1690" s="0" t="s">
        <v>229</v>
      </c>
      <c r="Q1690" s="0" t="s">
        <v>7354</v>
      </c>
      <c r="R1690" s="0" t="s">
        <v>7435</v>
      </c>
      <c r="S1690" s="0" t="s">
        <v>7344</v>
      </c>
      <c r="T1690" s="0" t="s">
        <v>228</v>
      </c>
      <c r="V1690" s="0" t="s">
        <v>61</v>
      </c>
      <c r="W1690" s="0" t="s">
        <v>63</v>
      </c>
      <c r="X1690" s="0" t="s">
        <v>7355</v>
      </c>
      <c r="Y1690" s="0" t="s">
        <v>7459</v>
      </c>
      <c r="Z1690" s="0" t="s">
        <v>7591</v>
      </c>
      <c r="AA1690" s="0" t="s">
        <v>7592</v>
      </c>
      <c r="AB1690" s="0" t="s">
        <v>344</v>
      </c>
      <c r="AC1690" s="0" t="s">
        <v>7349</v>
      </c>
      <c r="AD1690" s="0" t="s">
        <v>8415</v>
      </c>
      <c r="AE1690" s="0" t="s">
        <v>7440</v>
      </c>
      <c r="AF1690" s="0" t="s">
        <v>7374</v>
      </c>
      <c r="AG1690" s="0" t="s">
        <v>230</v>
      </c>
    </row>
    <row r="1691" customFormat="false" ht="15" hidden="false" customHeight="false" outlineLevel="0" collapsed="false">
      <c r="A1691" s="0" t="s">
        <v>7336</v>
      </c>
      <c r="B1691" s="0" t="s">
        <v>6156</v>
      </c>
      <c r="C1691" s="0" t="s">
        <v>6157</v>
      </c>
      <c r="D1691" s="0" t="s">
        <v>1184</v>
      </c>
      <c r="E1691" s="0" t="s">
        <v>6158</v>
      </c>
      <c r="F1691" s="0" t="s">
        <v>6159</v>
      </c>
      <c r="G1691" s="0" t="s">
        <v>122</v>
      </c>
      <c r="H1691" s="0" t="s">
        <v>8422</v>
      </c>
      <c r="I1691" s="0" t="s">
        <v>7338</v>
      </c>
      <c r="J1691" s="0" t="s">
        <v>6131</v>
      </c>
      <c r="K1691" s="0" t="s">
        <v>7339</v>
      </c>
      <c r="L1691" s="0" t="s">
        <v>7340</v>
      </c>
      <c r="M1691" s="0" t="s">
        <v>8414</v>
      </c>
      <c r="N1691" s="0" t="s">
        <v>7342</v>
      </c>
      <c r="P1691" s="0" t="s">
        <v>229</v>
      </c>
      <c r="Q1691" s="0" t="s">
        <v>7354</v>
      </c>
      <c r="R1691" s="0" t="s">
        <v>7435</v>
      </c>
      <c r="S1691" s="0" t="s">
        <v>7344</v>
      </c>
      <c r="T1691" s="0" t="s">
        <v>228</v>
      </c>
      <c r="V1691" s="0" t="s">
        <v>61</v>
      </c>
      <c r="W1691" s="0" t="s">
        <v>63</v>
      </c>
      <c r="X1691" s="0" t="s">
        <v>7355</v>
      </c>
      <c r="Y1691" s="0" t="s">
        <v>7459</v>
      </c>
      <c r="Z1691" s="0" t="s">
        <v>7591</v>
      </c>
      <c r="AA1691" s="0" t="s">
        <v>7592</v>
      </c>
      <c r="AB1691" s="0" t="s">
        <v>344</v>
      </c>
      <c r="AC1691" s="0" t="s">
        <v>7349</v>
      </c>
      <c r="AD1691" s="0" t="s">
        <v>8415</v>
      </c>
      <c r="AE1691" s="0" t="s">
        <v>7440</v>
      </c>
      <c r="AF1691" s="0" t="s">
        <v>7374</v>
      </c>
      <c r="AG1691" s="0" t="s">
        <v>230</v>
      </c>
    </row>
    <row r="1692" customFormat="false" ht="15" hidden="false" customHeight="false" outlineLevel="0" collapsed="false">
      <c r="A1692" s="0" t="s">
        <v>7336</v>
      </c>
      <c r="B1692" s="0" t="s">
        <v>6160</v>
      </c>
      <c r="C1692" s="0" t="s">
        <v>6161</v>
      </c>
      <c r="D1692" s="0" t="s">
        <v>1184</v>
      </c>
      <c r="E1692" s="0" t="s">
        <v>6162</v>
      </c>
      <c r="F1692" s="0" t="s">
        <v>6163</v>
      </c>
      <c r="G1692" s="0" t="s">
        <v>122</v>
      </c>
      <c r="H1692" s="0" t="s">
        <v>8423</v>
      </c>
      <c r="I1692" s="0" t="s">
        <v>7338</v>
      </c>
      <c r="J1692" s="0" t="s">
        <v>6131</v>
      </c>
      <c r="K1692" s="0" t="s">
        <v>7339</v>
      </c>
      <c r="L1692" s="0" t="s">
        <v>7340</v>
      </c>
      <c r="M1692" s="0" t="s">
        <v>8414</v>
      </c>
      <c r="N1692" s="0" t="s">
        <v>7342</v>
      </c>
      <c r="P1692" s="0" t="s">
        <v>229</v>
      </c>
      <c r="Q1692" s="0" t="s">
        <v>7354</v>
      </c>
      <c r="R1692" s="0" t="s">
        <v>7435</v>
      </c>
      <c r="S1692" s="0" t="s">
        <v>7344</v>
      </c>
      <c r="T1692" s="0" t="s">
        <v>228</v>
      </c>
      <c r="V1692" s="0" t="s">
        <v>61</v>
      </c>
      <c r="W1692" s="0" t="s">
        <v>63</v>
      </c>
      <c r="X1692" s="0" t="s">
        <v>7355</v>
      </c>
      <c r="Y1692" s="0" t="s">
        <v>7459</v>
      </c>
      <c r="Z1692" s="0" t="s">
        <v>7591</v>
      </c>
      <c r="AA1692" s="0" t="s">
        <v>7592</v>
      </c>
      <c r="AB1692" s="0" t="s">
        <v>344</v>
      </c>
      <c r="AC1692" s="0" t="s">
        <v>7349</v>
      </c>
      <c r="AD1692" s="0" t="s">
        <v>7604</v>
      </c>
      <c r="AE1692" s="0" t="s">
        <v>7440</v>
      </c>
      <c r="AF1692" s="0" t="s">
        <v>7374</v>
      </c>
      <c r="AG1692" s="0" t="s">
        <v>230</v>
      </c>
    </row>
    <row r="1693" customFormat="false" ht="15" hidden="false" customHeight="false" outlineLevel="0" collapsed="false">
      <c r="A1693" s="0" t="s">
        <v>7336</v>
      </c>
      <c r="B1693" s="0" t="s">
        <v>6164</v>
      </c>
      <c r="C1693" s="0" t="s">
        <v>6165</v>
      </c>
      <c r="D1693" s="0" t="s">
        <v>1184</v>
      </c>
      <c r="E1693" s="0" t="s">
        <v>6166</v>
      </c>
      <c r="F1693" s="0" t="s">
        <v>6163</v>
      </c>
      <c r="G1693" s="0" t="s">
        <v>122</v>
      </c>
      <c r="H1693" s="0" t="s">
        <v>8423</v>
      </c>
      <c r="I1693" s="0" t="s">
        <v>7338</v>
      </c>
      <c r="J1693" s="0" t="s">
        <v>6131</v>
      </c>
      <c r="K1693" s="0" t="s">
        <v>7339</v>
      </c>
      <c r="L1693" s="0" t="s">
        <v>7340</v>
      </c>
      <c r="M1693" s="0" t="s">
        <v>8414</v>
      </c>
      <c r="N1693" s="0" t="s">
        <v>7342</v>
      </c>
      <c r="P1693" s="0" t="s">
        <v>229</v>
      </c>
      <c r="Q1693" s="0" t="s">
        <v>7354</v>
      </c>
      <c r="R1693" s="0" t="s">
        <v>7435</v>
      </c>
      <c r="S1693" s="0" t="s">
        <v>7344</v>
      </c>
      <c r="T1693" s="0" t="s">
        <v>228</v>
      </c>
      <c r="V1693" s="0" t="s">
        <v>61</v>
      </c>
      <c r="W1693" s="0" t="s">
        <v>63</v>
      </c>
      <c r="X1693" s="0" t="s">
        <v>7355</v>
      </c>
      <c r="Y1693" s="0" t="s">
        <v>7459</v>
      </c>
      <c r="Z1693" s="0" t="s">
        <v>7591</v>
      </c>
      <c r="AA1693" s="0" t="s">
        <v>7592</v>
      </c>
      <c r="AB1693" s="0" t="s">
        <v>344</v>
      </c>
      <c r="AC1693" s="0" t="s">
        <v>7349</v>
      </c>
      <c r="AD1693" s="0" t="s">
        <v>8424</v>
      </c>
      <c r="AE1693" s="0" t="s">
        <v>7440</v>
      </c>
      <c r="AF1693" s="0" t="s">
        <v>7374</v>
      </c>
      <c r="AG1693" s="0" t="s">
        <v>230</v>
      </c>
    </row>
    <row r="1694" customFormat="false" ht="15" hidden="false" customHeight="false" outlineLevel="0" collapsed="false">
      <c r="A1694" s="0" t="s">
        <v>7336</v>
      </c>
      <c r="B1694" s="0" t="s">
        <v>6167</v>
      </c>
      <c r="C1694" s="0" t="s">
        <v>6168</v>
      </c>
      <c r="D1694" s="0" t="s">
        <v>1184</v>
      </c>
      <c r="E1694" s="0" t="s">
        <v>6169</v>
      </c>
      <c r="F1694" s="0" t="s">
        <v>6170</v>
      </c>
      <c r="G1694" s="0" t="s">
        <v>122</v>
      </c>
      <c r="H1694" s="0" t="s">
        <v>8425</v>
      </c>
      <c r="I1694" s="0" t="s">
        <v>7338</v>
      </c>
      <c r="J1694" s="0" t="s">
        <v>6131</v>
      </c>
      <c r="K1694" s="0" t="s">
        <v>7339</v>
      </c>
      <c r="L1694" s="0" t="s">
        <v>7340</v>
      </c>
      <c r="M1694" s="0" t="s">
        <v>8414</v>
      </c>
      <c r="N1694" s="0" t="s">
        <v>7342</v>
      </c>
      <c r="P1694" s="0" t="s">
        <v>229</v>
      </c>
      <c r="Q1694" s="0" t="s">
        <v>7354</v>
      </c>
      <c r="R1694" s="0" t="s">
        <v>7435</v>
      </c>
      <c r="S1694" s="0" t="s">
        <v>7344</v>
      </c>
      <c r="T1694" s="0" t="s">
        <v>228</v>
      </c>
      <c r="V1694" s="0" t="s">
        <v>61</v>
      </c>
      <c r="W1694" s="0" t="s">
        <v>63</v>
      </c>
      <c r="X1694" s="0" t="s">
        <v>7355</v>
      </c>
      <c r="Y1694" s="0" t="s">
        <v>7459</v>
      </c>
      <c r="Z1694" s="0" t="s">
        <v>7591</v>
      </c>
      <c r="AA1694" s="0" t="s">
        <v>7592</v>
      </c>
      <c r="AB1694" s="0" t="s">
        <v>344</v>
      </c>
      <c r="AC1694" s="0" t="s">
        <v>7349</v>
      </c>
      <c r="AD1694" s="0" t="s">
        <v>7604</v>
      </c>
      <c r="AE1694" s="0" t="s">
        <v>7440</v>
      </c>
      <c r="AF1694" s="0" t="s">
        <v>7374</v>
      </c>
      <c r="AG1694" s="0" t="s">
        <v>230</v>
      </c>
    </row>
    <row r="1695" customFormat="false" ht="15" hidden="false" customHeight="false" outlineLevel="0" collapsed="false">
      <c r="A1695" s="0" t="s">
        <v>7336</v>
      </c>
      <c r="B1695" s="0" t="s">
        <v>6171</v>
      </c>
      <c r="C1695" s="0" t="s">
        <v>6172</v>
      </c>
      <c r="D1695" s="0" t="s">
        <v>1184</v>
      </c>
      <c r="E1695" s="0" t="s">
        <v>6173</v>
      </c>
      <c r="F1695" s="0" t="s">
        <v>6170</v>
      </c>
      <c r="G1695" s="0" t="s">
        <v>122</v>
      </c>
      <c r="H1695" s="0" t="s">
        <v>8425</v>
      </c>
      <c r="I1695" s="0" t="s">
        <v>7338</v>
      </c>
      <c r="J1695" s="0" t="s">
        <v>6131</v>
      </c>
      <c r="K1695" s="0" t="s">
        <v>7339</v>
      </c>
      <c r="L1695" s="0" t="s">
        <v>7340</v>
      </c>
      <c r="M1695" s="0" t="s">
        <v>8414</v>
      </c>
      <c r="N1695" s="0" t="s">
        <v>7342</v>
      </c>
      <c r="P1695" s="0" t="s">
        <v>229</v>
      </c>
      <c r="Q1695" s="0" t="s">
        <v>7354</v>
      </c>
      <c r="R1695" s="0" t="s">
        <v>7435</v>
      </c>
      <c r="S1695" s="0" t="s">
        <v>7344</v>
      </c>
      <c r="T1695" s="0" t="s">
        <v>228</v>
      </c>
      <c r="V1695" s="0" t="s">
        <v>61</v>
      </c>
      <c r="W1695" s="0" t="s">
        <v>63</v>
      </c>
      <c r="X1695" s="0" t="s">
        <v>7355</v>
      </c>
      <c r="Y1695" s="0" t="s">
        <v>7459</v>
      </c>
      <c r="Z1695" s="0" t="s">
        <v>7591</v>
      </c>
      <c r="AA1695" s="0" t="s">
        <v>7592</v>
      </c>
      <c r="AB1695" s="0" t="s">
        <v>344</v>
      </c>
      <c r="AC1695" s="0" t="s">
        <v>7349</v>
      </c>
      <c r="AD1695" s="0" t="s">
        <v>8424</v>
      </c>
      <c r="AE1695" s="0" t="s">
        <v>7440</v>
      </c>
      <c r="AF1695" s="0" t="s">
        <v>7374</v>
      </c>
      <c r="AG1695" s="0" t="s">
        <v>230</v>
      </c>
    </row>
    <row r="1696" customFormat="false" ht="15" hidden="false" customHeight="false" outlineLevel="0" collapsed="false">
      <c r="A1696" s="0" t="s">
        <v>7336</v>
      </c>
      <c r="B1696" s="0" t="s">
        <v>6174</v>
      </c>
      <c r="C1696" s="0" t="s">
        <v>6175</v>
      </c>
      <c r="D1696" s="0" t="s">
        <v>1184</v>
      </c>
      <c r="E1696" s="0" t="s">
        <v>6176</v>
      </c>
      <c r="F1696" s="0" t="s">
        <v>6177</v>
      </c>
      <c r="G1696" s="0" t="s">
        <v>122</v>
      </c>
      <c r="H1696" s="0" t="s">
        <v>8426</v>
      </c>
      <c r="I1696" s="0" t="s">
        <v>7338</v>
      </c>
      <c r="J1696" s="0" t="s">
        <v>6131</v>
      </c>
      <c r="K1696" s="0" t="s">
        <v>7339</v>
      </c>
      <c r="L1696" s="0" t="s">
        <v>7340</v>
      </c>
      <c r="M1696" s="0" t="s">
        <v>8414</v>
      </c>
      <c r="N1696" s="0" t="s">
        <v>7342</v>
      </c>
      <c r="P1696" s="0" t="s">
        <v>229</v>
      </c>
      <c r="Q1696" s="0" t="s">
        <v>7354</v>
      </c>
      <c r="R1696" s="0" t="s">
        <v>7435</v>
      </c>
      <c r="S1696" s="0" t="s">
        <v>7344</v>
      </c>
      <c r="T1696" s="0" t="s">
        <v>228</v>
      </c>
      <c r="V1696" s="0" t="s">
        <v>61</v>
      </c>
      <c r="W1696" s="0" t="s">
        <v>63</v>
      </c>
      <c r="X1696" s="0" t="s">
        <v>7355</v>
      </c>
      <c r="Y1696" s="0" t="s">
        <v>7459</v>
      </c>
      <c r="Z1696" s="0" t="s">
        <v>7591</v>
      </c>
      <c r="AA1696" s="0" t="s">
        <v>7592</v>
      </c>
      <c r="AB1696" s="0" t="s">
        <v>344</v>
      </c>
      <c r="AC1696" s="0" t="s">
        <v>7349</v>
      </c>
      <c r="AD1696" s="0" t="s">
        <v>7604</v>
      </c>
      <c r="AE1696" s="0" t="s">
        <v>7440</v>
      </c>
      <c r="AF1696" s="0" t="s">
        <v>7374</v>
      </c>
      <c r="AG1696" s="0" t="s">
        <v>230</v>
      </c>
    </row>
    <row r="1697" customFormat="false" ht="15" hidden="false" customHeight="false" outlineLevel="0" collapsed="false">
      <c r="A1697" s="0" t="s">
        <v>7336</v>
      </c>
      <c r="B1697" s="0" t="s">
        <v>6178</v>
      </c>
      <c r="C1697" s="0" t="s">
        <v>6179</v>
      </c>
      <c r="D1697" s="0" t="s">
        <v>1184</v>
      </c>
      <c r="E1697" s="0" t="s">
        <v>6180</v>
      </c>
      <c r="F1697" s="0" t="s">
        <v>6177</v>
      </c>
      <c r="G1697" s="0" t="s">
        <v>122</v>
      </c>
      <c r="H1697" s="0" t="s">
        <v>8426</v>
      </c>
      <c r="I1697" s="0" t="s">
        <v>7338</v>
      </c>
      <c r="J1697" s="0" t="s">
        <v>6131</v>
      </c>
      <c r="K1697" s="0" t="s">
        <v>7339</v>
      </c>
      <c r="L1697" s="0" t="s">
        <v>7340</v>
      </c>
      <c r="M1697" s="0" t="s">
        <v>8414</v>
      </c>
      <c r="N1697" s="0" t="s">
        <v>7342</v>
      </c>
      <c r="P1697" s="0" t="s">
        <v>229</v>
      </c>
      <c r="Q1697" s="0" t="s">
        <v>7354</v>
      </c>
      <c r="R1697" s="0" t="s">
        <v>7435</v>
      </c>
      <c r="S1697" s="0" t="s">
        <v>7344</v>
      </c>
      <c r="T1697" s="0" t="s">
        <v>228</v>
      </c>
      <c r="V1697" s="0" t="s">
        <v>61</v>
      </c>
      <c r="W1697" s="0" t="s">
        <v>63</v>
      </c>
      <c r="X1697" s="0" t="s">
        <v>7355</v>
      </c>
      <c r="Y1697" s="0" t="s">
        <v>7459</v>
      </c>
      <c r="Z1697" s="0" t="s">
        <v>7591</v>
      </c>
      <c r="AA1697" s="0" t="s">
        <v>7592</v>
      </c>
      <c r="AB1697" s="0" t="s">
        <v>344</v>
      </c>
      <c r="AC1697" s="0" t="s">
        <v>7349</v>
      </c>
      <c r="AD1697" s="0" t="s">
        <v>8424</v>
      </c>
      <c r="AE1697" s="0" t="s">
        <v>7440</v>
      </c>
      <c r="AF1697" s="0" t="s">
        <v>7374</v>
      </c>
      <c r="AG1697" s="0" t="s">
        <v>230</v>
      </c>
    </row>
    <row r="1698" customFormat="false" ht="15" hidden="false" customHeight="false" outlineLevel="0" collapsed="false">
      <c r="A1698" s="0" t="s">
        <v>7336</v>
      </c>
      <c r="B1698" s="0" t="s">
        <v>6181</v>
      </c>
      <c r="C1698" s="0" t="s">
        <v>6182</v>
      </c>
      <c r="D1698" s="0" t="s">
        <v>1184</v>
      </c>
      <c r="E1698" s="0" t="s">
        <v>6183</v>
      </c>
      <c r="F1698" s="0" t="s">
        <v>6184</v>
      </c>
      <c r="G1698" s="0" t="s">
        <v>122</v>
      </c>
      <c r="H1698" s="0" t="s">
        <v>8427</v>
      </c>
      <c r="I1698" s="0" t="s">
        <v>7338</v>
      </c>
      <c r="J1698" s="0" t="s">
        <v>6131</v>
      </c>
      <c r="K1698" s="0" t="s">
        <v>7339</v>
      </c>
      <c r="L1698" s="0" t="s">
        <v>7340</v>
      </c>
      <c r="M1698" s="0" t="s">
        <v>8414</v>
      </c>
      <c r="N1698" s="0" t="s">
        <v>7342</v>
      </c>
      <c r="P1698" s="0" t="s">
        <v>229</v>
      </c>
      <c r="Q1698" s="0" t="s">
        <v>7354</v>
      </c>
      <c r="R1698" s="0" t="s">
        <v>7435</v>
      </c>
      <c r="S1698" s="0" t="s">
        <v>7344</v>
      </c>
      <c r="T1698" s="0" t="s">
        <v>228</v>
      </c>
      <c r="V1698" s="0" t="s">
        <v>61</v>
      </c>
      <c r="W1698" s="0" t="s">
        <v>63</v>
      </c>
      <c r="X1698" s="0" t="s">
        <v>7355</v>
      </c>
      <c r="Y1698" s="0" t="s">
        <v>7459</v>
      </c>
      <c r="Z1698" s="0" t="s">
        <v>7591</v>
      </c>
      <c r="AA1698" s="0" t="s">
        <v>7592</v>
      </c>
      <c r="AB1698" s="0" t="s">
        <v>344</v>
      </c>
      <c r="AC1698" s="0" t="s">
        <v>7349</v>
      </c>
      <c r="AD1698" s="0" t="s">
        <v>8424</v>
      </c>
      <c r="AE1698" s="0" t="s">
        <v>7440</v>
      </c>
      <c r="AF1698" s="0" t="s">
        <v>7374</v>
      </c>
      <c r="AG1698" s="0" t="s">
        <v>230</v>
      </c>
    </row>
    <row r="1699" customFormat="false" ht="15" hidden="false" customHeight="false" outlineLevel="0" collapsed="false">
      <c r="A1699" s="0" t="s">
        <v>7336</v>
      </c>
      <c r="B1699" s="0" t="s">
        <v>6185</v>
      </c>
      <c r="C1699" s="0" t="s">
        <v>6186</v>
      </c>
      <c r="D1699" s="0" t="s">
        <v>1184</v>
      </c>
      <c r="E1699" s="0" t="s">
        <v>6187</v>
      </c>
      <c r="F1699" s="0" t="s">
        <v>6184</v>
      </c>
      <c r="G1699" s="0" t="s">
        <v>122</v>
      </c>
      <c r="H1699" s="0" t="s">
        <v>8427</v>
      </c>
      <c r="I1699" s="0" t="s">
        <v>7338</v>
      </c>
      <c r="J1699" s="0" t="s">
        <v>6131</v>
      </c>
      <c r="K1699" s="0" t="s">
        <v>7339</v>
      </c>
      <c r="L1699" s="0" t="s">
        <v>7340</v>
      </c>
      <c r="M1699" s="0" t="s">
        <v>8414</v>
      </c>
      <c r="N1699" s="0" t="s">
        <v>7342</v>
      </c>
      <c r="P1699" s="0" t="s">
        <v>229</v>
      </c>
      <c r="Q1699" s="0" t="s">
        <v>7354</v>
      </c>
      <c r="R1699" s="0" t="s">
        <v>7435</v>
      </c>
      <c r="S1699" s="0" t="s">
        <v>7344</v>
      </c>
      <c r="T1699" s="0" t="s">
        <v>228</v>
      </c>
      <c r="V1699" s="0" t="s">
        <v>61</v>
      </c>
      <c r="W1699" s="0" t="s">
        <v>63</v>
      </c>
      <c r="X1699" s="0" t="s">
        <v>7355</v>
      </c>
      <c r="Y1699" s="0" t="s">
        <v>7459</v>
      </c>
      <c r="Z1699" s="0" t="s">
        <v>7591</v>
      </c>
      <c r="AA1699" s="0" t="s">
        <v>7592</v>
      </c>
      <c r="AB1699" s="0" t="s">
        <v>344</v>
      </c>
      <c r="AC1699" s="0" t="s">
        <v>7349</v>
      </c>
      <c r="AD1699" s="0" t="s">
        <v>7604</v>
      </c>
      <c r="AE1699" s="0" t="s">
        <v>7440</v>
      </c>
      <c r="AF1699" s="0" t="s">
        <v>7374</v>
      </c>
      <c r="AG1699" s="0" t="s">
        <v>230</v>
      </c>
    </row>
    <row r="1700" customFormat="false" ht="15" hidden="false" customHeight="false" outlineLevel="0" collapsed="false">
      <c r="A1700" s="0" t="s">
        <v>7336</v>
      </c>
      <c r="B1700" s="0" t="s">
        <v>6188</v>
      </c>
      <c r="C1700" s="0" t="s">
        <v>6189</v>
      </c>
      <c r="D1700" s="0" t="s">
        <v>1184</v>
      </c>
      <c r="E1700" s="0" t="s">
        <v>6190</v>
      </c>
      <c r="F1700" s="0" t="s">
        <v>6191</v>
      </c>
      <c r="G1700" s="0" t="s">
        <v>122</v>
      </c>
      <c r="H1700" s="0" t="s">
        <v>8428</v>
      </c>
      <c r="I1700" s="0" t="s">
        <v>7338</v>
      </c>
      <c r="J1700" s="0" t="s">
        <v>6131</v>
      </c>
      <c r="K1700" s="0" t="s">
        <v>7339</v>
      </c>
      <c r="L1700" s="0" t="s">
        <v>7340</v>
      </c>
      <c r="M1700" s="0" t="s">
        <v>8414</v>
      </c>
      <c r="N1700" s="0" t="s">
        <v>7342</v>
      </c>
      <c r="P1700" s="0" t="s">
        <v>229</v>
      </c>
      <c r="Q1700" s="0" t="s">
        <v>7354</v>
      </c>
      <c r="R1700" s="0" t="s">
        <v>7435</v>
      </c>
      <c r="S1700" s="0" t="s">
        <v>7344</v>
      </c>
      <c r="T1700" s="0" t="s">
        <v>228</v>
      </c>
      <c r="V1700" s="0" t="s">
        <v>61</v>
      </c>
      <c r="W1700" s="0" t="s">
        <v>63</v>
      </c>
      <c r="X1700" s="0" t="s">
        <v>7355</v>
      </c>
      <c r="Y1700" s="0" t="s">
        <v>7459</v>
      </c>
      <c r="Z1700" s="0" t="s">
        <v>7591</v>
      </c>
      <c r="AA1700" s="0" t="s">
        <v>7592</v>
      </c>
      <c r="AB1700" s="0" t="s">
        <v>344</v>
      </c>
      <c r="AC1700" s="0" t="s">
        <v>7349</v>
      </c>
      <c r="AD1700" s="0" t="s">
        <v>8424</v>
      </c>
      <c r="AE1700" s="0" t="s">
        <v>7440</v>
      </c>
      <c r="AF1700" s="0" t="s">
        <v>7374</v>
      </c>
      <c r="AG1700" s="0" t="s">
        <v>230</v>
      </c>
    </row>
    <row r="1701" customFormat="false" ht="15" hidden="false" customHeight="false" outlineLevel="0" collapsed="false">
      <c r="A1701" s="0" t="s">
        <v>7336</v>
      </c>
      <c r="B1701" s="0" t="s">
        <v>6192</v>
      </c>
      <c r="C1701" s="0" t="s">
        <v>6193</v>
      </c>
      <c r="D1701" s="0" t="s">
        <v>1184</v>
      </c>
      <c r="E1701" s="0" t="s">
        <v>6194</v>
      </c>
      <c r="F1701" s="0" t="s">
        <v>6191</v>
      </c>
      <c r="G1701" s="0" t="s">
        <v>122</v>
      </c>
      <c r="H1701" s="0" t="s">
        <v>8428</v>
      </c>
      <c r="I1701" s="0" t="s">
        <v>7338</v>
      </c>
      <c r="J1701" s="0" t="s">
        <v>6131</v>
      </c>
      <c r="K1701" s="0" t="s">
        <v>7339</v>
      </c>
      <c r="L1701" s="0" t="s">
        <v>7340</v>
      </c>
      <c r="M1701" s="0" t="s">
        <v>8414</v>
      </c>
      <c r="N1701" s="0" t="s">
        <v>7342</v>
      </c>
      <c r="P1701" s="0" t="s">
        <v>229</v>
      </c>
      <c r="Q1701" s="0" t="s">
        <v>7354</v>
      </c>
      <c r="R1701" s="0" t="s">
        <v>7435</v>
      </c>
      <c r="S1701" s="0" t="s">
        <v>7344</v>
      </c>
      <c r="T1701" s="0" t="s">
        <v>228</v>
      </c>
      <c r="V1701" s="0" t="s">
        <v>61</v>
      </c>
      <c r="W1701" s="0" t="s">
        <v>63</v>
      </c>
      <c r="X1701" s="0" t="s">
        <v>7355</v>
      </c>
      <c r="Y1701" s="0" t="s">
        <v>7459</v>
      </c>
      <c r="Z1701" s="0" t="s">
        <v>7591</v>
      </c>
      <c r="AA1701" s="0" t="s">
        <v>7592</v>
      </c>
      <c r="AB1701" s="0" t="s">
        <v>344</v>
      </c>
      <c r="AC1701" s="0" t="s">
        <v>7349</v>
      </c>
      <c r="AD1701" s="0" t="s">
        <v>7604</v>
      </c>
      <c r="AE1701" s="0" t="s">
        <v>7440</v>
      </c>
      <c r="AF1701" s="0" t="s">
        <v>7374</v>
      </c>
      <c r="AG1701" s="0" t="s">
        <v>230</v>
      </c>
    </row>
    <row r="1702" customFormat="false" ht="15" hidden="false" customHeight="false" outlineLevel="0" collapsed="false">
      <c r="A1702" s="0" t="s">
        <v>7336</v>
      </c>
      <c r="B1702" s="0" t="s">
        <v>6195</v>
      </c>
      <c r="C1702" s="0" t="s">
        <v>6196</v>
      </c>
      <c r="D1702" s="0" t="s">
        <v>1184</v>
      </c>
      <c r="E1702" s="0" t="s">
        <v>6197</v>
      </c>
      <c r="F1702" s="0" t="s">
        <v>6198</v>
      </c>
      <c r="G1702" s="0" t="s">
        <v>122</v>
      </c>
      <c r="H1702" s="0" t="s">
        <v>8429</v>
      </c>
      <c r="I1702" s="0" t="s">
        <v>7338</v>
      </c>
      <c r="J1702" s="0" t="s">
        <v>6131</v>
      </c>
      <c r="K1702" s="0" t="s">
        <v>7339</v>
      </c>
      <c r="L1702" s="0" t="s">
        <v>7340</v>
      </c>
      <c r="M1702" s="0" t="s">
        <v>8414</v>
      </c>
      <c r="N1702" s="0" t="s">
        <v>7342</v>
      </c>
      <c r="P1702" s="0" t="s">
        <v>229</v>
      </c>
      <c r="Q1702" s="0" t="s">
        <v>7354</v>
      </c>
      <c r="R1702" s="0" t="s">
        <v>7435</v>
      </c>
      <c r="S1702" s="0" t="s">
        <v>7344</v>
      </c>
      <c r="T1702" s="0" t="s">
        <v>228</v>
      </c>
      <c r="V1702" s="0" t="s">
        <v>61</v>
      </c>
      <c r="W1702" s="0" t="s">
        <v>63</v>
      </c>
      <c r="X1702" s="0" t="s">
        <v>7355</v>
      </c>
      <c r="Y1702" s="0" t="s">
        <v>7459</v>
      </c>
      <c r="Z1702" s="0" t="s">
        <v>7591</v>
      </c>
      <c r="AA1702" s="0" t="s">
        <v>7592</v>
      </c>
      <c r="AB1702" s="0" t="s">
        <v>344</v>
      </c>
      <c r="AC1702" s="0" t="s">
        <v>7349</v>
      </c>
      <c r="AD1702" s="0" t="s">
        <v>8424</v>
      </c>
      <c r="AE1702" s="0" t="s">
        <v>7440</v>
      </c>
      <c r="AF1702" s="0" t="s">
        <v>7374</v>
      </c>
      <c r="AG1702" s="0" t="s">
        <v>230</v>
      </c>
    </row>
    <row r="1703" customFormat="false" ht="15" hidden="false" customHeight="false" outlineLevel="0" collapsed="false">
      <c r="A1703" s="0" t="s">
        <v>7336</v>
      </c>
      <c r="B1703" s="0" t="s">
        <v>6199</v>
      </c>
      <c r="C1703" s="0" t="s">
        <v>6200</v>
      </c>
      <c r="D1703" s="0" t="s">
        <v>1184</v>
      </c>
      <c r="E1703" s="0" t="s">
        <v>6201</v>
      </c>
      <c r="F1703" s="0" t="s">
        <v>6198</v>
      </c>
      <c r="G1703" s="0" t="s">
        <v>122</v>
      </c>
      <c r="H1703" s="0" t="s">
        <v>8429</v>
      </c>
      <c r="I1703" s="0" t="s">
        <v>7338</v>
      </c>
      <c r="J1703" s="0" t="s">
        <v>6131</v>
      </c>
      <c r="K1703" s="0" t="s">
        <v>7339</v>
      </c>
      <c r="L1703" s="0" t="s">
        <v>7340</v>
      </c>
      <c r="M1703" s="0" t="s">
        <v>8414</v>
      </c>
      <c r="N1703" s="0" t="s">
        <v>7342</v>
      </c>
      <c r="P1703" s="0" t="s">
        <v>229</v>
      </c>
      <c r="Q1703" s="0" t="s">
        <v>7354</v>
      </c>
      <c r="R1703" s="0" t="s">
        <v>7435</v>
      </c>
      <c r="S1703" s="0" t="s">
        <v>7344</v>
      </c>
      <c r="T1703" s="0" t="s">
        <v>228</v>
      </c>
      <c r="V1703" s="0" t="s">
        <v>61</v>
      </c>
      <c r="W1703" s="0" t="s">
        <v>63</v>
      </c>
      <c r="X1703" s="0" t="s">
        <v>7355</v>
      </c>
      <c r="Y1703" s="0" t="s">
        <v>7459</v>
      </c>
      <c r="Z1703" s="0" t="s">
        <v>7591</v>
      </c>
      <c r="AA1703" s="0" t="s">
        <v>7592</v>
      </c>
      <c r="AB1703" s="0" t="s">
        <v>344</v>
      </c>
      <c r="AC1703" s="0" t="s">
        <v>7349</v>
      </c>
      <c r="AD1703" s="0" t="s">
        <v>7604</v>
      </c>
      <c r="AE1703" s="0" t="s">
        <v>7440</v>
      </c>
      <c r="AF1703" s="0" t="s">
        <v>7374</v>
      </c>
      <c r="AG1703" s="0" t="s">
        <v>230</v>
      </c>
    </row>
    <row r="1704" customFormat="false" ht="15" hidden="false" customHeight="false" outlineLevel="0" collapsed="false">
      <c r="A1704" s="0" t="s">
        <v>7336</v>
      </c>
      <c r="B1704" s="0" t="s">
        <v>6202</v>
      </c>
      <c r="C1704" s="0" t="s">
        <v>6203</v>
      </c>
      <c r="D1704" s="0" t="s">
        <v>1184</v>
      </c>
      <c r="E1704" s="0" t="s">
        <v>6204</v>
      </c>
      <c r="F1704" s="0" t="s">
        <v>6205</v>
      </c>
      <c r="G1704" s="0" t="s">
        <v>122</v>
      </c>
      <c r="H1704" s="0" t="s">
        <v>8430</v>
      </c>
      <c r="I1704" s="0" t="s">
        <v>7338</v>
      </c>
      <c r="J1704" s="0" t="s">
        <v>6131</v>
      </c>
      <c r="K1704" s="0" t="s">
        <v>7339</v>
      </c>
      <c r="L1704" s="0" t="s">
        <v>7340</v>
      </c>
      <c r="M1704" s="0" t="s">
        <v>8414</v>
      </c>
      <c r="N1704" s="0" t="s">
        <v>7342</v>
      </c>
      <c r="P1704" s="0" t="s">
        <v>229</v>
      </c>
      <c r="Q1704" s="0" t="s">
        <v>7354</v>
      </c>
      <c r="R1704" s="0" t="s">
        <v>7435</v>
      </c>
      <c r="S1704" s="0" t="s">
        <v>7344</v>
      </c>
      <c r="T1704" s="0" t="s">
        <v>228</v>
      </c>
      <c r="V1704" s="0" t="s">
        <v>61</v>
      </c>
      <c r="W1704" s="0" t="s">
        <v>63</v>
      </c>
      <c r="X1704" s="0" t="s">
        <v>7355</v>
      </c>
      <c r="Y1704" s="0" t="s">
        <v>7459</v>
      </c>
      <c r="Z1704" s="0" t="s">
        <v>7591</v>
      </c>
      <c r="AA1704" s="0" t="s">
        <v>7592</v>
      </c>
      <c r="AB1704" s="0" t="s">
        <v>344</v>
      </c>
      <c r="AC1704" s="0" t="s">
        <v>7349</v>
      </c>
      <c r="AD1704" s="0" t="s">
        <v>8424</v>
      </c>
      <c r="AE1704" s="0" t="s">
        <v>7440</v>
      </c>
      <c r="AF1704" s="0" t="s">
        <v>7374</v>
      </c>
      <c r="AG1704" s="0" t="s">
        <v>230</v>
      </c>
    </row>
    <row r="1705" customFormat="false" ht="15" hidden="false" customHeight="false" outlineLevel="0" collapsed="false">
      <c r="A1705" s="0" t="s">
        <v>7336</v>
      </c>
      <c r="B1705" s="0" t="s">
        <v>6206</v>
      </c>
      <c r="C1705" s="0" t="s">
        <v>6207</v>
      </c>
      <c r="D1705" s="0" t="s">
        <v>1184</v>
      </c>
      <c r="E1705" s="0" t="s">
        <v>6208</v>
      </c>
      <c r="F1705" s="0" t="s">
        <v>6205</v>
      </c>
      <c r="G1705" s="0" t="s">
        <v>122</v>
      </c>
      <c r="H1705" s="0" t="s">
        <v>8430</v>
      </c>
      <c r="I1705" s="0" t="s">
        <v>7338</v>
      </c>
      <c r="J1705" s="0" t="s">
        <v>6131</v>
      </c>
      <c r="K1705" s="0" t="s">
        <v>7339</v>
      </c>
      <c r="L1705" s="0" t="s">
        <v>7340</v>
      </c>
      <c r="M1705" s="0" t="s">
        <v>8414</v>
      </c>
      <c r="N1705" s="0" t="s">
        <v>7342</v>
      </c>
      <c r="P1705" s="0" t="s">
        <v>229</v>
      </c>
      <c r="Q1705" s="0" t="s">
        <v>7354</v>
      </c>
      <c r="R1705" s="0" t="s">
        <v>7435</v>
      </c>
      <c r="S1705" s="0" t="s">
        <v>7344</v>
      </c>
      <c r="T1705" s="0" t="s">
        <v>228</v>
      </c>
      <c r="V1705" s="0" t="s">
        <v>61</v>
      </c>
      <c r="W1705" s="0" t="s">
        <v>63</v>
      </c>
      <c r="X1705" s="0" t="s">
        <v>7355</v>
      </c>
      <c r="Y1705" s="0" t="s">
        <v>7459</v>
      </c>
      <c r="Z1705" s="0" t="s">
        <v>7591</v>
      </c>
      <c r="AA1705" s="0" t="s">
        <v>7592</v>
      </c>
      <c r="AB1705" s="0" t="s">
        <v>344</v>
      </c>
      <c r="AC1705" s="0" t="s">
        <v>7349</v>
      </c>
      <c r="AD1705" s="0" t="s">
        <v>7604</v>
      </c>
      <c r="AE1705" s="0" t="s">
        <v>7440</v>
      </c>
      <c r="AF1705" s="0" t="s">
        <v>7374</v>
      </c>
      <c r="AG1705" s="0" t="s">
        <v>230</v>
      </c>
    </row>
    <row r="1706" customFormat="false" ht="15" hidden="false" customHeight="false" outlineLevel="0" collapsed="false">
      <c r="A1706" s="0" t="s">
        <v>7336</v>
      </c>
      <c r="B1706" s="0" t="s">
        <v>6209</v>
      </c>
      <c r="C1706" s="0" t="s">
        <v>6210</v>
      </c>
      <c r="D1706" s="0" t="s">
        <v>1184</v>
      </c>
      <c r="E1706" s="0" t="s">
        <v>6211</v>
      </c>
      <c r="F1706" s="0" t="s">
        <v>6212</v>
      </c>
      <c r="G1706" s="0" t="s">
        <v>122</v>
      </c>
      <c r="H1706" s="0" t="s">
        <v>8431</v>
      </c>
      <c r="I1706" s="0" t="s">
        <v>7338</v>
      </c>
      <c r="J1706" s="0" t="s">
        <v>6131</v>
      </c>
      <c r="K1706" s="0" t="s">
        <v>7339</v>
      </c>
      <c r="L1706" s="0" t="s">
        <v>7340</v>
      </c>
      <c r="M1706" s="0" t="s">
        <v>8414</v>
      </c>
      <c r="N1706" s="0" t="s">
        <v>7342</v>
      </c>
      <c r="P1706" s="0" t="s">
        <v>229</v>
      </c>
      <c r="Q1706" s="0" t="s">
        <v>7354</v>
      </c>
      <c r="R1706" s="0" t="s">
        <v>7435</v>
      </c>
      <c r="S1706" s="0" t="s">
        <v>7344</v>
      </c>
      <c r="T1706" s="0" t="s">
        <v>228</v>
      </c>
      <c r="V1706" s="0" t="s">
        <v>61</v>
      </c>
      <c r="W1706" s="0" t="s">
        <v>63</v>
      </c>
      <c r="X1706" s="0" t="s">
        <v>7355</v>
      </c>
      <c r="Y1706" s="0" t="s">
        <v>7459</v>
      </c>
      <c r="Z1706" s="0" t="s">
        <v>7591</v>
      </c>
      <c r="AA1706" s="0" t="s">
        <v>7592</v>
      </c>
      <c r="AB1706" s="0" t="s">
        <v>344</v>
      </c>
      <c r="AC1706" s="0" t="s">
        <v>7349</v>
      </c>
      <c r="AD1706" s="0" t="s">
        <v>8424</v>
      </c>
      <c r="AE1706" s="0" t="s">
        <v>7440</v>
      </c>
      <c r="AF1706" s="0" t="s">
        <v>7374</v>
      </c>
      <c r="AG1706" s="0" t="s">
        <v>230</v>
      </c>
    </row>
    <row r="1707" customFormat="false" ht="15" hidden="false" customHeight="false" outlineLevel="0" collapsed="false">
      <c r="A1707" s="0" t="s">
        <v>7336</v>
      </c>
      <c r="B1707" s="0" t="s">
        <v>6213</v>
      </c>
      <c r="C1707" s="0" t="s">
        <v>6214</v>
      </c>
      <c r="D1707" s="0" t="s">
        <v>1184</v>
      </c>
      <c r="E1707" s="0" t="s">
        <v>6215</v>
      </c>
      <c r="F1707" s="0" t="s">
        <v>6212</v>
      </c>
      <c r="G1707" s="0" t="s">
        <v>122</v>
      </c>
      <c r="H1707" s="0" t="s">
        <v>8431</v>
      </c>
      <c r="I1707" s="0" t="s">
        <v>7338</v>
      </c>
      <c r="J1707" s="0" t="s">
        <v>6131</v>
      </c>
      <c r="K1707" s="0" t="s">
        <v>7339</v>
      </c>
      <c r="L1707" s="0" t="s">
        <v>7340</v>
      </c>
      <c r="M1707" s="0" t="s">
        <v>8414</v>
      </c>
      <c r="N1707" s="0" t="s">
        <v>7342</v>
      </c>
      <c r="P1707" s="0" t="s">
        <v>229</v>
      </c>
      <c r="Q1707" s="0" t="s">
        <v>7354</v>
      </c>
      <c r="R1707" s="0" t="s">
        <v>7435</v>
      </c>
      <c r="S1707" s="0" t="s">
        <v>7344</v>
      </c>
      <c r="T1707" s="0" t="s">
        <v>228</v>
      </c>
      <c r="V1707" s="0" t="s">
        <v>61</v>
      </c>
      <c r="W1707" s="0" t="s">
        <v>63</v>
      </c>
      <c r="X1707" s="0" t="s">
        <v>7355</v>
      </c>
      <c r="Y1707" s="0" t="s">
        <v>7459</v>
      </c>
      <c r="Z1707" s="0" t="s">
        <v>7591</v>
      </c>
      <c r="AA1707" s="0" t="s">
        <v>7592</v>
      </c>
      <c r="AB1707" s="0" t="s">
        <v>344</v>
      </c>
      <c r="AC1707" s="0" t="s">
        <v>7349</v>
      </c>
      <c r="AD1707" s="0" t="s">
        <v>7604</v>
      </c>
      <c r="AE1707" s="0" t="s">
        <v>7440</v>
      </c>
      <c r="AF1707" s="0" t="s">
        <v>7374</v>
      </c>
      <c r="AG1707" s="0" t="s">
        <v>230</v>
      </c>
    </row>
    <row r="1708" customFormat="false" ht="15" hidden="false" customHeight="false" outlineLevel="0" collapsed="false">
      <c r="A1708" s="0" t="s">
        <v>7336</v>
      </c>
      <c r="B1708" s="0" t="s">
        <v>6216</v>
      </c>
      <c r="C1708" s="0" t="s">
        <v>6217</v>
      </c>
      <c r="D1708" s="0" t="s">
        <v>1184</v>
      </c>
      <c r="E1708" s="0" t="s">
        <v>6218</v>
      </c>
      <c r="F1708" s="0" t="s">
        <v>6219</v>
      </c>
      <c r="G1708" s="0" t="s">
        <v>122</v>
      </c>
      <c r="H1708" s="0" t="s">
        <v>8432</v>
      </c>
      <c r="I1708" s="0" t="s">
        <v>7338</v>
      </c>
      <c r="J1708" s="0" t="s">
        <v>6131</v>
      </c>
      <c r="K1708" s="0" t="s">
        <v>7339</v>
      </c>
      <c r="L1708" s="0" t="s">
        <v>7340</v>
      </c>
      <c r="M1708" s="0" t="s">
        <v>8414</v>
      </c>
      <c r="N1708" s="0" t="s">
        <v>7342</v>
      </c>
      <c r="P1708" s="0" t="s">
        <v>229</v>
      </c>
      <c r="Q1708" s="0" t="s">
        <v>7354</v>
      </c>
      <c r="R1708" s="0" t="s">
        <v>7435</v>
      </c>
      <c r="S1708" s="0" t="s">
        <v>7344</v>
      </c>
      <c r="T1708" s="0" t="s">
        <v>228</v>
      </c>
      <c r="V1708" s="0" t="s">
        <v>61</v>
      </c>
      <c r="W1708" s="0" t="s">
        <v>63</v>
      </c>
      <c r="X1708" s="0" t="s">
        <v>7355</v>
      </c>
      <c r="Y1708" s="0" t="s">
        <v>7459</v>
      </c>
      <c r="Z1708" s="0" t="s">
        <v>7591</v>
      </c>
      <c r="AA1708" s="0" t="s">
        <v>7592</v>
      </c>
      <c r="AB1708" s="0" t="s">
        <v>344</v>
      </c>
      <c r="AC1708" s="0" t="s">
        <v>7349</v>
      </c>
      <c r="AD1708" s="0" t="s">
        <v>8424</v>
      </c>
      <c r="AE1708" s="0" t="s">
        <v>7440</v>
      </c>
      <c r="AF1708" s="0" t="s">
        <v>7374</v>
      </c>
      <c r="AG1708" s="0" t="s">
        <v>230</v>
      </c>
    </row>
    <row r="1709" customFormat="false" ht="15" hidden="false" customHeight="false" outlineLevel="0" collapsed="false">
      <c r="A1709" s="0" t="s">
        <v>7336</v>
      </c>
      <c r="B1709" s="0" t="s">
        <v>6220</v>
      </c>
      <c r="C1709" s="0" t="s">
        <v>6221</v>
      </c>
      <c r="D1709" s="0" t="s">
        <v>1184</v>
      </c>
      <c r="E1709" s="0" t="s">
        <v>6222</v>
      </c>
      <c r="F1709" s="0" t="s">
        <v>6219</v>
      </c>
      <c r="G1709" s="0" t="s">
        <v>122</v>
      </c>
      <c r="H1709" s="0" t="s">
        <v>8432</v>
      </c>
      <c r="I1709" s="0" t="s">
        <v>7338</v>
      </c>
      <c r="J1709" s="0" t="s">
        <v>6131</v>
      </c>
      <c r="K1709" s="0" t="s">
        <v>7339</v>
      </c>
      <c r="L1709" s="0" t="s">
        <v>7340</v>
      </c>
      <c r="M1709" s="0" t="s">
        <v>8414</v>
      </c>
      <c r="N1709" s="0" t="s">
        <v>7342</v>
      </c>
      <c r="P1709" s="0" t="s">
        <v>229</v>
      </c>
      <c r="Q1709" s="0" t="s">
        <v>7354</v>
      </c>
      <c r="R1709" s="0" t="s">
        <v>7435</v>
      </c>
      <c r="S1709" s="0" t="s">
        <v>7344</v>
      </c>
      <c r="T1709" s="0" t="s">
        <v>228</v>
      </c>
      <c r="V1709" s="0" t="s">
        <v>61</v>
      </c>
      <c r="W1709" s="0" t="s">
        <v>63</v>
      </c>
      <c r="X1709" s="0" t="s">
        <v>7355</v>
      </c>
      <c r="Y1709" s="0" t="s">
        <v>7459</v>
      </c>
      <c r="Z1709" s="0" t="s">
        <v>7591</v>
      </c>
      <c r="AA1709" s="0" t="s">
        <v>7592</v>
      </c>
      <c r="AB1709" s="0" t="s">
        <v>344</v>
      </c>
      <c r="AC1709" s="0" t="s">
        <v>7349</v>
      </c>
      <c r="AD1709" s="0" t="s">
        <v>7604</v>
      </c>
      <c r="AE1709" s="0" t="s">
        <v>7440</v>
      </c>
      <c r="AF1709" s="0" t="s">
        <v>7374</v>
      </c>
      <c r="AG1709" s="0" t="s">
        <v>230</v>
      </c>
    </row>
    <row r="1710" customFormat="false" ht="15" hidden="false" customHeight="false" outlineLevel="0" collapsed="false">
      <c r="A1710" s="0" t="s">
        <v>7336</v>
      </c>
      <c r="B1710" s="0" t="s">
        <v>6223</v>
      </c>
      <c r="C1710" s="0" t="s">
        <v>6224</v>
      </c>
      <c r="D1710" s="0" t="s">
        <v>1184</v>
      </c>
      <c r="E1710" s="0" t="s">
        <v>6225</v>
      </c>
      <c r="F1710" s="0" t="s">
        <v>6226</v>
      </c>
      <c r="G1710" s="0" t="s">
        <v>122</v>
      </c>
      <c r="H1710" s="0" t="s">
        <v>8433</v>
      </c>
      <c r="I1710" s="0" t="s">
        <v>7338</v>
      </c>
      <c r="J1710" s="0" t="s">
        <v>6131</v>
      </c>
      <c r="K1710" s="0" t="s">
        <v>7339</v>
      </c>
      <c r="L1710" s="0" t="s">
        <v>7340</v>
      </c>
      <c r="M1710" s="0" t="s">
        <v>8414</v>
      </c>
      <c r="N1710" s="0" t="s">
        <v>7342</v>
      </c>
      <c r="P1710" s="0" t="s">
        <v>229</v>
      </c>
      <c r="Q1710" s="0" t="s">
        <v>7354</v>
      </c>
      <c r="R1710" s="0" t="s">
        <v>7435</v>
      </c>
      <c r="S1710" s="0" t="s">
        <v>7344</v>
      </c>
      <c r="T1710" s="0" t="s">
        <v>228</v>
      </c>
      <c r="V1710" s="0" t="s">
        <v>61</v>
      </c>
      <c r="W1710" s="0" t="s">
        <v>63</v>
      </c>
      <c r="X1710" s="0" t="s">
        <v>7355</v>
      </c>
      <c r="Y1710" s="0" t="s">
        <v>7459</v>
      </c>
      <c r="Z1710" s="0" t="s">
        <v>7591</v>
      </c>
      <c r="AA1710" s="0" t="s">
        <v>7592</v>
      </c>
      <c r="AB1710" s="0" t="s">
        <v>344</v>
      </c>
      <c r="AC1710" s="0" t="s">
        <v>7349</v>
      </c>
      <c r="AD1710" s="0" t="s">
        <v>8424</v>
      </c>
      <c r="AE1710" s="0" t="s">
        <v>7440</v>
      </c>
      <c r="AF1710" s="0" t="s">
        <v>7374</v>
      </c>
      <c r="AG1710" s="0" t="s">
        <v>230</v>
      </c>
    </row>
    <row r="1711" customFormat="false" ht="15" hidden="false" customHeight="false" outlineLevel="0" collapsed="false">
      <c r="A1711" s="0" t="s">
        <v>7336</v>
      </c>
      <c r="B1711" s="0" t="s">
        <v>6227</v>
      </c>
      <c r="C1711" s="0" t="s">
        <v>6228</v>
      </c>
      <c r="D1711" s="0" t="s">
        <v>1184</v>
      </c>
      <c r="E1711" s="0" t="s">
        <v>6229</v>
      </c>
      <c r="F1711" s="0" t="s">
        <v>6226</v>
      </c>
      <c r="G1711" s="0" t="s">
        <v>122</v>
      </c>
      <c r="H1711" s="0" t="s">
        <v>8433</v>
      </c>
      <c r="I1711" s="0" t="s">
        <v>7338</v>
      </c>
      <c r="J1711" s="0" t="s">
        <v>6131</v>
      </c>
      <c r="K1711" s="0" t="s">
        <v>7339</v>
      </c>
      <c r="L1711" s="0" t="s">
        <v>7340</v>
      </c>
      <c r="M1711" s="0" t="s">
        <v>8414</v>
      </c>
      <c r="N1711" s="0" t="s">
        <v>7342</v>
      </c>
      <c r="P1711" s="0" t="s">
        <v>229</v>
      </c>
      <c r="Q1711" s="0" t="s">
        <v>7354</v>
      </c>
      <c r="R1711" s="0" t="s">
        <v>7435</v>
      </c>
      <c r="S1711" s="0" t="s">
        <v>7344</v>
      </c>
      <c r="T1711" s="0" t="s">
        <v>228</v>
      </c>
      <c r="V1711" s="0" t="s">
        <v>61</v>
      </c>
      <c r="W1711" s="0" t="s">
        <v>63</v>
      </c>
      <c r="X1711" s="0" t="s">
        <v>7355</v>
      </c>
      <c r="Y1711" s="0" t="s">
        <v>7459</v>
      </c>
      <c r="Z1711" s="0" t="s">
        <v>7591</v>
      </c>
      <c r="AA1711" s="0" t="s">
        <v>7592</v>
      </c>
      <c r="AB1711" s="0" t="s">
        <v>344</v>
      </c>
      <c r="AC1711" s="0" t="s">
        <v>7349</v>
      </c>
      <c r="AD1711" s="0" t="s">
        <v>7604</v>
      </c>
      <c r="AE1711" s="0" t="s">
        <v>7440</v>
      </c>
      <c r="AF1711" s="0" t="s">
        <v>7374</v>
      </c>
      <c r="AG1711" s="0" t="s">
        <v>230</v>
      </c>
    </row>
    <row r="1712" customFormat="false" ht="15" hidden="false" customHeight="false" outlineLevel="0" collapsed="false">
      <c r="A1712" s="0" t="s">
        <v>7336</v>
      </c>
      <c r="B1712" s="0" t="s">
        <v>6230</v>
      </c>
      <c r="C1712" s="0" t="s">
        <v>6231</v>
      </c>
      <c r="D1712" s="0" t="s">
        <v>2983</v>
      </c>
      <c r="E1712" s="0" t="s">
        <v>6232</v>
      </c>
      <c r="F1712" s="0" t="s">
        <v>6233</v>
      </c>
      <c r="G1712" s="0" t="s">
        <v>128</v>
      </c>
      <c r="H1712" s="0" t="s">
        <v>8434</v>
      </c>
      <c r="I1712" s="0" t="s">
        <v>7338</v>
      </c>
      <c r="J1712" s="0" t="s">
        <v>6234</v>
      </c>
      <c r="K1712" s="0" t="s">
        <v>7339</v>
      </c>
      <c r="L1712" s="0" t="s">
        <v>7340</v>
      </c>
      <c r="M1712" s="0" t="s">
        <v>8435</v>
      </c>
      <c r="N1712" s="0" t="s">
        <v>7342</v>
      </c>
      <c r="P1712" s="0" t="s">
        <v>229</v>
      </c>
      <c r="R1712" s="0" t="s">
        <v>7435</v>
      </c>
      <c r="S1712" s="0" t="s">
        <v>7344</v>
      </c>
      <c r="T1712" s="0" t="s">
        <v>681</v>
      </c>
      <c r="V1712" s="0" t="s">
        <v>61</v>
      </c>
      <c r="W1712" s="0" t="s">
        <v>63</v>
      </c>
      <c r="X1712" s="0" t="s">
        <v>7355</v>
      </c>
      <c r="Y1712" s="0" t="s">
        <v>7459</v>
      </c>
      <c r="Z1712" s="0" t="s">
        <v>7591</v>
      </c>
      <c r="AA1712" s="0" t="s">
        <v>8141</v>
      </c>
      <c r="AB1712" s="0" t="s">
        <v>231</v>
      </c>
      <c r="AC1712" s="0" t="s">
        <v>7349</v>
      </c>
      <c r="AD1712" s="0" t="s">
        <v>8436</v>
      </c>
      <c r="AE1712" s="0" t="s">
        <v>7440</v>
      </c>
      <c r="AF1712" s="0" t="s">
        <v>8143</v>
      </c>
      <c r="AG1712" s="0" t="s">
        <v>3198</v>
      </c>
    </row>
    <row r="1713" customFormat="false" ht="15" hidden="false" customHeight="false" outlineLevel="0" collapsed="false">
      <c r="A1713" s="0" t="s">
        <v>7336</v>
      </c>
      <c r="B1713" s="0" t="s">
        <v>6235</v>
      </c>
      <c r="C1713" s="0" t="s">
        <v>6236</v>
      </c>
      <c r="D1713" s="0" t="s">
        <v>2983</v>
      </c>
      <c r="E1713" s="0" t="s">
        <v>6237</v>
      </c>
      <c r="F1713" s="0" t="s">
        <v>6238</v>
      </c>
      <c r="G1713" s="0" t="s">
        <v>128</v>
      </c>
      <c r="H1713" s="0" t="s">
        <v>8437</v>
      </c>
      <c r="I1713" s="0" t="s">
        <v>7338</v>
      </c>
      <c r="J1713" s="0" t="s">
        <v>6234</v>
      </c>
      <c r="K1713" s="0" t="s">
        <v>7339</v>
      </c>
      <c r="L1713" s="0" t="s">
        <v>7340</v>
      </c>
      <c r="M1713" s="0" t="s">
        <v>8435</v>
      </c>
      <c r="N1713" s="0" t="s">
        <v>7342</v>
      </c>
      <c r="P1713" s="0" t="s">
        <v>229</v>
      </c>
      <c r="R1713" s="0" t="s">
        <v>7435</v>
      </c>
      <c r="S1713" s="0" t="s">
        <v>7344</v>
      </c>
      <c r="T1713" s="0" t="s">
        <v>681</v>
      </c>
      <c r="V1713" s="0" t="s">
        <v>61</v>
      </c>
      <c r="W1713" s="0" t="s">
        <v>63</v>
      </c>
      <c r="X1713" s="0" t="s">
        <v>7355</v>
      </c>
      <c r="Y1713" s="0" t="s">
        <v>7459</v>
      </c>
      <c r="Z1713" s="0" t="s">
        <v>7591</v>
      </c>
      <c r="AA1713" s="0" t="s">
        <v>8141</v>
      </c>
      <c r="AB1713" s="0" t="s">
        <v>231</v>
      </c>
      <c r="AC1713" s="0" t="s">
        <v>7349</v>
      </c>
      <c r="AD1713" s="0" t="s">
        <v>8436</v>
      </c>
      <c r="AE1713" s="0" t="s">
        <v>7440</v>
      </c>
      <c r="AF1713" s="0" t="s">
        <v>8143</v>
      </c>
      <c r="AG1713" s="0" t="s">
        <v>3198</v>
      </c>
    </row>
    <row r="1714" customFormat="false" ht="15" hidden="false" customHeight="false" outlineLevel="0" collapsed="false">
      <c r="A1714" s="0" t="s">
        <v>7336</v>
      </c>
      <c r="B1714" s="0" t="s">
        <v>6239</v>
      </c>
      <c r="C1714" s="0" t="s">
        <v>6240</v>
      </c>
      <c r="D1714" s="0" t="s">
        <v>2983</v>
      </c>
      <c r="E1714" s="0" t="s">
        <v>6241</v>
      </c>
      <c r="F1714" s="0" t="s">
        <v>6242</v>
      </c>
      <c r="G1714" s="0" t="s">
        <v>128</v>
      </c>
      <c r="H1714" s="0" t="s">
        <v>8438</v>
      </c>
      <c r="I1714" s="0" t="s">
        <v>7338</v>
      </c>
      <c r="J1714" s="0" t="s">
        <v>6234</v>
      </c>
      <c r="K1714" s="0" t="s">
        <v>7339</v>
      </c>
      <c r="L1714" s="0" t="s">
        <v>7340</v>
      </c>
      <c r="M1714" s="0" t="s">
        <v>8435</v>
      </c>
      <c r="N1714" s="0" t="s">
        <v>7342</v>
      </c>
      <c r="P1714" s="0" t="s">
        <v>229</v>
      </c>
      <c r="R1714" s="0" t="s">
        <v>7435</v>
      </c>
      <c r="S1714" s="0" t="s">
        <v>7344</v>
      </c>
      <c r="T1714" s="0" t="s">
        <v>681</v>
      </c>
      <c r="V1714" s="0" t="s">
        <v>61</v>
      </c>
      <c r="W1714" s="0" t="s">
        <v>63</v>
      </c>
      <c r="X1714" s="0" t="s">
        <v>7355</v>
      </c>
      <c r="Y1714" s="0" t="s">
        <v>7459</v>
      </c>
      <c r="Z1714" s="0" t="s">
        <v>7591</v>
      </c>
      <c r="AA1714" s="0" t="s">
        <v>8141</v>
      </c>
      <c r="AB1714" s="0" t="s">
        <v>231</v>
      </c>
      <c r="AC1714" s="0" t="s">
        <v>7349</v>
      </c>
      <c r="AD1714" s="0" t="s">
        <v>8436</v>
      </c>
      <c r="AE1714" s="0" t="s">
        <v>7440</v>
      </c>
      <c r="AF1714" s="0" t="s">
        <v>8143</v>
      </c>
      <c r="AG1714" s="0" t="s">
        <v>3198</v>
      </c>
    </row>
    <row r="1715" customFormat="false" ht="15" hidden="false" customHeight="false" outlineLevel="0" collapsed="false">
      <c r="A1715" s="0" t="s">
        <v>7336</v>
      </c>
      <c r="B1715" s="0" t="s">
        <v>6243</v>
      </c>
      <c r="C1715" s="0" t="s">
        <v>6244</v>
      </c>
      <c r="D1715" s="0" t="s">
        <v>2983</v>
      </c>
      <c r="E1715" s="0" t="s">
        <v>6245</v>
      </c>
      <c r="F1715" s="0" t="s">
        <v>6246</v>
      </c>
      <c r="G1715" s="0" t="s">
        <v>128</v>
      </c>
      <c r="H1715" s="0" t="s">
        <v>8439</v>
      </c>
      <c r="I1715" s="0" t="s">
        <v>7338</v>
      </c>
      <c r="J1715" s="0" t="s">
        <v>6234</v>
      </c>
      <c r="K1715" s="0" t="s">
        <v>7339</v>
      </c>
      <c r="L1715" s="0" t="s">
        <v>7340</v>
      </c>
      <c r="M1715" s="0" t="s">
        <v>8435</v>
      </c>
      <c r="N1715" s="0" t="s">
        <v>7342</v>
      </c>
      <c r="P1715" s="0" t="s">
        <v>229</v>
      </c>
      <c r="R1715" s="0" t="s">
        <v>7435</v>
      </c>
      <c r="S1715" s="0" t="s">
        <v>7344</v>
      </c>
      <c r="T1715" s="0" t="s">
        <v>681</v>
      </c>
      <c r="V1715" s="0" t="s">
        <v>61</v>
      </c>
      <c r="W1715" s="0" t="s">
        <v>63</v>
      </c>
      <c r="X1715" s="0" t="s">
        <v>7355</v>
      </c>
      <c r="Y1715" s="0" t="s">
        <v>7459</v>
      </c>
      <c r="Z1715" s="0" t="s">
        <v>7591</v>
      </c>
      <c r="AA1715" s="0" t="s">
        <v>8141</v>
      </c>
      <c r="AB1715" s="0" t="s">
        <v>231</v>
      </c>
      <c r="AC1715" s="0" t="s">
        <v>7349</v>
      </c>
      <c r="AD1715" s="0" t="s">
        <v>8436</v>
      </c>
      <c r="AE1715" s="0" t="s">
        <v>7440</v>
      </c>
      <c r="AF1715" s="0" t="s">
        <v>8143</v>
      </c>
      <c r="AG1715" s="0" t="s">
        <v>3198</v>
      </c>
    </row>
    <row r="1716" customFormat="false" ht="15" hidden="false" customHeight="false" outlineLevel="0" collapsed="false">
      <c r="A1716" s="0" t="s">
        <v>7336</v>
      </c>
      <c r="B1716" s="0" t="s">
        <v>6247</v>
      </c>
      <c r="C1716" s="0" t="s">
        <v>6248</v>
      </c>
      <c r="D1716" s="0" t="s">
        <v>2983</v>
      </c>
      <c r="E1716" s="0" t="s">
        <v>6249</v>
      </c>
      <c r="F1716" s="0" t="s">
        <v>6250</v>
      </c>
      <c r="G1716" s="0" t="s">
        <v>128</v>
      </c>
      <c r="H1716" s="0" t="s">
        <v>8440</v>
      </c>
      <c r="I1716" s="0" t="s">
        <v>7338</v>
      </c>
      <c r="J1716" s="0" t="s">
        <v>6234</v>
      </c>
      <c r="K1716" s="0" t="s">
        <v>7339</v>
      </c>
      <c r="L1716" s="0" t="s">
        <v>7340</v>
      </c>
      <c r="M1716" s="0" t="s">
        <v>8435</v>
      </c>
      <c r="N1716" s="0" t="s">
        <v>7342</v>
      </c>
      <c r="P1716" s="0" t="s">
        <v>229</v>
      </c>
      <c r="R1716" s="0" t="s">
        <v>7435</v>
      </c>
      <c r="S1716" s="0" t="s">
        <v>7344</v>
      </c>
      <c r="T1716" s="0" t="s">
        <v>681</v>
      </c>
      <c r="V1716" s="0" t="s">
        <v>61</v>
      </c>
      <c r="W1716" s="0" t="s">
        <v>63</v>
      </c>
      <c r="X1716" s="0" t="s">
        <v>7355</v>
      </c>
      <c r="Y1716" s="0" t="s">
        <v>7459</v>
      </c>
      <c r="Z1716" s="0" t="s">
        <v>7591</v>
      </c>
      <c r="AA1716" s="0" t="s">
        <v>8141</v>
      </c>
      <c r="AB1716" s="0" t="s">
        <v>231</v>
      </c>
      <c r="AC1716" s="0" t="s">
        <v>7349</v>
      </c>
      <c r="AD1716" s="0" t="s">
        <v>8436</v>
      </c>
      <c r="AE1716" s="0" t="s">
        <v>7440</v>
      </c>
      <c r="AF1716" s="0" t="s">
        <v>8143</v>
      </c>
      <c r="AG1716" s="0" t="s">
        <v>3198</v>
      </c>
    </row>
    <row r="1717" customFormat="false" ht="15" hidden="false" customHeight="false" outlineLevel="0" collapsed="false">
      <c r="A1717" s="0" t="s">
        <v>7336</v>
      </c>
      <c r="B1717" s="0" t="s">
        <v>6251</v>
      </c>
      <c r="C1717" s="0" t="s">
        <v>6252</v>
      </c>
      <c r="D1717" s="0" t="s">
        <v>2983</v>
      </c>
      <c r="E1717" s="0" t="s">
        <v>6253</v>
      </c>
      <c r="F1717" s="0" t="s">
        <v>6254</v>
      </c>
      <c r="G1717" s="0" t="s">
        <v>128</v>
      </c>
      <c r="H1717" s="0" t="s">
        <v>8441</v>
      </c>
      <c r="I1717" s="0" t="s">
        <v>7338</v>
      </c>
      <c r="J1717" s="0" t="s">
        <v>6234</v>
      </c>
      <c r="K1717" s="0" t="s">
        <v>7339</v>
      </c>
      <c r="L1717" s="0" t="s">
        <v>7340</v>
      </c>
      <c r="M1717" s="0" t="s">
        <v>8435</v>
      </c>
      <c r="N1717" s="0" t="s">
        <v>7342</v>
      </c>
      <c r="P1717" s="0" t="s">
        <v>229</v>
      </c>
      <c r="R1717" s="0" t="s">
        <v>7435</v>
      </c>
      <c r="S1717" s="0" t="s">
        <v>7344</v>
      </c>
      <c r="T1717" s="0" t="s">
        <v>681</v>
      </c>
      <c r="V1717" s="0" t="s">
        <v>61</v>
      </c>
      <c r="W1717" s="0" t="s">
        <v>63</v>
      </c>
      <c r="X1717" s="0" t="s">
        <v>7355</v>
      </c>
      <c r="Y1717" s="0" t="s">
        <v>7459</v>
      </c>
      <c r="Z1717" s="0" t="s">
        <v>7591</v>
      </c>
      <c r="AA1717" s="0" t="s">
        <v>8141</v>
      </c>
      <c r="AB1717" s="0" t="s">
        <v>231</v>
      </c>
      <c r="AC1717" s="0" t="s">
        <v>7349</v>
      </c>
      <c r="AD1717" s="0" t="s">
        <v>8436</v>
      </c>
      <c r="AE1717" s="0" t="s">
        <v>7440</v>
      </c>
      <c r="AF1717" s="0" t="s">
        <v>8143</v>
      </c>
      <c r="AG1717" s="0" t="s">
        <v>3198</v>
      </c>
    </row>
    <row r="1718" customFormat="false" ht="15" hidden="false" customHeight="false" outlineLevel="0" collapsed="false">
      <c r="A1718" s="0" t="s">
        <v>7336</v>
      </c>
      <c r="B1718" s="0" t="s">
        <v>6255</v>
      </c>
      <c r="C1718" s="0" t="s">
        <v>6256</v>
      </c>
      <c r="D1718" s="0" t="s">
        <v>2983</v>
      </c>
      <c r="E1718" s="0" t="s">
        <v>6257</v>
      </c>
      <c r="F1718" s="0" t="s">
        <v>6258</v>
      </c>
      <c r="G1718" s="0" t="s">
        <v>128</v>
      </c>
      <c r="H1718" s="0" t="s">
        <v>8442</v>
      </c>
      <c r="I1718" s="0" t="s">
        <v>7338</v>
      </c>
      <c r="J1718" s="0" t="s">
        <v>6234</v>
      </c>
      <c r="K1718" s="0" t="s">
        <v>7339</v>
      </c>
      <c r="L1718" s="0" t="s">
        <v>7340</v>
      </c>
      <c r="M1718" s="0" t="s">
        <v>8435</v>
      </c>
      <c r="N1718" s="0" t="s">
        <v>7342</v>
      </c>
      <c r="P1718" s="0" t="s">
        <v>229</v>
      </c>
      <c r="R1718" s="0" t="s">
        <v>7435</v>
      </c>
      <c r="S1718" s="0" t="s">
        <v>7344</v>
      </c>
      <c r="T1718" s="0" t="s">
        <v>681</v>
      </c>
      <c r="V1718" s="0" t="s">
        <v>61</v>
      </c>
      <c r="W1718" s="0" t="s">
        <v>63</v>
      </c>
      <c r="X1718" s="0" t="s">
        <v>7355</v>
      </c>
      <c r="Y1718" s="0" t="s">
        <v>7459</v>
      </c>
      <c r="Z1718" s="0" t="s">
        <v>7591</v>
      </c>
      <c r="AA1718" s="0" t="s">
        <v>8141</v>
      </c>
      <c r="AB1718" s="0" t="s">
        <v>231</v>
      </c>
      <c r="AC1718" s="0" t="s">
        <v>7349</v>
      </c>
      <c r="AD1718" s="0" t="s">
        <v>8436</v>
      </c>
      <c r="AE1718" s="0" t="s">
        <v>7440</v>
      </c>
      <c r="AF1718" s="0" t="s">
        <v>8143</v>
      </c>
      <c r="AG1718" s="0" t="s">
        <v>3198</v>
      </c>
    </row>
    <row r="1719" customFormat="false" ht="15" hidden="false" customHeight="false" outlineLevel="0" collapsed="false">
      <c r="A1719" s="0" t="s">
        <v>7336</v>
      </c>
      <c r="B1719" s="0" t="s">
        <v>6259</v>
      </c>
      <c r="C1719" s="0" t="s">
        <v>6260</v>
      </c>
      <c r="D1719" s="0" t="s">
        <v>2983</v>
      </c>
      <c r="E1719" s="0" t="s">
        <v>6261</v>
      </c>
      <c r="F1719" s="0" t="s">
        <v>6262</v>
      </c>
      <c r="G1719" s="0" t="s">
        <v>128</v>
      </c>
      <c r="H1719" s="0" t="s">
        <v>8443</v>
      </c>
      <c r="I1719" s="0" t="s">
        <v>7338</v>
      </c>
      <c r="J1719" s="0" t="s">
        <v>6234</v>
      </c>
      <c r="K1719" s="0" t="s">
        <v>7339</v>
      </c>
      <c r="L1719" s="0" t="s">
        <v>7340</v>
      </c>
      <c r="M1719" s="0" t="s">
        <v>8435</v>
      </c>
      <c r="N1719" s="0" t="s">
        <v>7342</v>
      </c>
      <c r="P1719" s="0" t="s">
        <v>229</v>
      </c>
      <c r="R1719" s="0" t="s">
        <v>7435</v>
      </c>
      <c r="S1719" s="0" t="s">
        <v>7344</v>
      </c>
      <c r="T1719" s="0" t="s">
        <v>681</v>
      </c>
      <c r="V1719" s="0" t="s">
        <v>61</v>
      </c>
      <c r="W1719" s="0" t="s">
        <v>63</v>
      </c>
      <c r="X1719" s="0" t="s">
        <v>7355</v>
      </c>
      <c r="Y1719" s="0" t="s">
        <v>7459</v>
      </c>
      <c r="Z1719" s="0" t="s">
        <v>7591</v>
      </c>
      <c r="AA1719" s="0" t="s">
        <v>8141</v>
      </c>
      <c r="AB1719" s="0" t="s">
        <v>231</v>
      </c>
      <c r="AC1719" s="0" t="s">
        <v>7349</v>
      </c>
      <c r="AD1719" s="0" t="s">
        <v>8436</v>
      </c>
      <c r="AE1719" s="0" t="s">
        <v>7440</v>
      </c>
      <c r="AF1719" s="0" t="s">
        <v>8143</v>
      </c>
      <c r="AG1719" s="0" t="s">
        <v>3198</v>
      </c>
    </row>
    <row r="1720" customFormat="false" ht="15" hidden="false" customHeight="false" outlineLevel="0" collapsed="false">
      <c r="A1720" s="0" t="s">
        <v>7336</v>
      </c>
      <c r="B1720" s="0" t="s">
        <v>6263</v>
      </c>
      <c r="C1720" s="0" t="s">
        <v>6264</v>
      </c>
      <c r="D1720" s="0" t="s">
        <v>2983</v>
      </c>
      <c r="E1720" s="0" t="s">
        <v>6265</v>
      </c>
      <c r="F1720" s="0" t="s">
        <v>6233</v>
      </c>
      <c r="G1720" s="0" t="s">
        <v>128</v>
      </c>
      <c r="H1720" s="0" t="s">
        <v>8434</v>
      </c>
      <c r="I1720" s="0" t="s">
        <v>7338</v>
      </c>
      <c r="J1720" s="0" t="s">
        <v>6234</v>
      </c>
      <c r="K1720" s="0" t="s">
        <v>7339</v>
      </c>
      <c r="L1720" s="0" t="s">
        <v>7340</v>
      </c>
      <c r="M1720" s="0" t="s">
        <v>8435</v>
      </c>
      <c r="N1720" s="0" t="s">
        <v>7342</v>
      </c>
      <c r="P1720" s="0" t="s">
        <v>229</v>
      </c>
      <c r="R1720" s="0" t="s">
        <v>7435</v>
      </c>
      <c r="S1720" s="0" t="s">
        <v>7344</v>
      </c>
      <c r="T1720" s="0" t="s">
        <v>681</v>
      </c>
      <c r="V1720" s="0" t="s">
        <v>61</v>
      </c>
      <c r="W1720" s="0" t="s">
        <v>63</v>
      </c>
      <c r="X1720" s="0" t="s">
        <v>7355</v>
      </c>
      <c r="Y1720" s="0" t="s">
        <v>7459</v>
      </c>
      <c r="Z1720" s="0" t="s">
        <v>7591</v>
      </c>
      <c r="AA1720" s="0" t="s">
        <v>8141</v>
      </c>
      <c r="AB1720" s="0" t="s">
        <v>231</v>
      </c>
      <c r="AC1720" s="0" t="s">
        <v>7349</v>
      </c>
      <c r="AD1720" s="0" t="s">
        <v>8436</v>
      </c>
      <c r="AE1720" s="0" t="s">
        <v>7440</v>
      </c>
      <c r="AF1720" s="0" t="s">
        <v>8143</v>
      </c>
      <c r="AG1720" s="0" t="s">
        <v>3198</v>
      </c>
    </row>
    <row r="1721" customFormat="false" ht="15" hidden="false" customHeight="false" outlineLevel="0" collapsed="false">
      <c r="A1721" s="0" t="s">
        <v>7336</v>
      </c>
      <c r="B1721" s="0" t="s">
        <v>6266</v>
      </c>
      <c r="C1721" s="0" t="s">
        <v>6267</v>
      </c>
      <c r="D1721" s="0" t="s">
        <v>2983</v>
      </c>
      <c r="E1721" s="0" t="s">
        <v>6268</v>
      </c>
      <c r="F1721" s="0" t="s">
        <v>6238</v>
      </c>
      <c r="G1721" s="0" t="s">
        <v>128</v>
      </c>
      <c r="H1721" s="0" t="s">
        <v>8437</v>
      </c>
      <c r="I1721" s="0" t="s">
        <v>7338</v>
      </c>
      <c r="J1721" s="0" t="s">
        <v>6234</v>
      </c>
      <c r="K1721" s="0" t="s">
        <v>7339</v>
      </c>
      <c r="L1721" s="0" t="s">
        <v>7340</v>
      </c>
      <c r="M1721" s="0" t="s">
        <v>8435</v>
      </c>
      <c r="N1721" s="0" t="s">
        <v>7342</v>
      </c>
      <c r="P1721" s="0" t="s">
        <v>229</v>
      </c>
      <c r="R1721" s="0" t="s">
        <v>7435</v>
      </c>
      <c r="S1721" s="0" t="s">
        <v>7344</v>
      </c>
      <c r="T1721" s="0" t="s">
        <v>681</v>
      </c>
      <c r="V1721" s="0" t="s">
        <v>61</v>
      </c>
      <c r="W1721" s="0" t="s">
        <v>63</v>
      </c>
      <c r="X1721" s="0" t="s">
        <v>7355</v>
      </c>
      <c r="Y1721" s="0" t="s">
        <v>7459</v>
      </c>
      <c r="Z1721" s="0" t="s">
        <v>7591</v>
      </c>
      <c r="AA1721" s="0" t="s">
        <v>8141</v>
      </c>
      <c r="AB1721" s="0" t="s">
        <v>231</v>
      </c>
      <c r="AC1721" s="0" t="s">
        <v>7349</v>
      </c>
      <c r="AD1721" s="0" t="s">
        <v>8436</v>
      </c>
      <c r="AE1721" s="0" t="s">
        <v>7440</v>
      </c>
      <c r="AF1721" s="0" t="s">
        <v>8143</v>
      </c>
      <c r="AG1721" s="0" t="s">
        <v>3198</v>
      </c>
    </row>
    <row r="1722" customFormat="false" ht="15" hidden="false" customHeight="false" outlineLevel="0" collapsed="false">
      <c r="A1722" s="0" t="s">
        <v>7336</v>
      </c>
      <c r="B1722" s="0" t="s">
        <v>6269</v>
      </c>
      <c r="C1722" s="0" t="s">
        <v>6270</v>
      </c>
      <c r="D1722" s="0" t="s">
        <v>2983</v>
      </c>
      <c r="E1722" s="0" t="s">
        <v>6271</v>
      </c>
      <c r="F1722" s="0" t="s">
        <v>6242</v>
      </c>
      <c r="G1722" s="0" t="s">
        <v>128</v>
      </c>
      <c r="H1722" s="0" t="s">
        <v>8438</v>
      </c>
      <c r="I1722" s="0" t="s">
        <v>7338</v>
      </c>
      <c r="J1722" s="0" t="s">
        <v>6234</v>
      </c>
      <c r="K1722" s="0" t="s">
        <v>7339</v>
      </c>
      <c r="L1722" s="0" t="s">
        <v>7340</v>
      </c>
      <c r="M1722" s="0" t="s">
        <v>8435</v>
      </c>
      <c r="N1722" s="0" t="s">
        <v>7342</v>
      </c>
      <c r="P1722" s="0" t="s">
        <v>229</v>
      </c>
      <c r="R1722" s="0" t="s">
        <v>7435</v>
      </c>
      <c r="S1722" s="0" t="s">
        <v>7344</v>
      </c>
      <c r="T1722" s="0" t="s">
        <v>681</v>
      </c>
      <c r="V1722" s="0" t="s">
        <v>61</v>
      </c>
      <c r="W1722" s="0" t="s">
        <v>63</v>
      </c>
      <c r="X1722" s="0" t="s">
        <v>7355</v>
      </c>
      <c r="Y1722" s="0" t="s">
        <v>7459</v>
      </c>
      <c r="Z1722" s="0" t="s">
        <v>7591</v>
      </c>
      <c r="AA1722" s="0" t="s">
        <v>8141</v>
      </c>
      <c r="AB1722" s="0" t="s">
        <v>231</v>
      </c>
      <c r="AC1722" s="0" t="s">
        <v>7349</v>
      </c>
      <c r="AD1722" s="0" t="s">
        <v>8436</v>
      </c>
      <c r="AE1722" s="0" t="s">
        <v>7440</v>
      </c>
      <c r="AF1722" s="0" t="s">
        <v>8143</v>
      </c>
      <c r="AG1722" s="0" t="s">
        <v>3198</v>
      </c>
    </row>
    <row r="1723" customFormat="false" ht="15" hidden="false" customHeight="false" outlineLevel="0" collapsed="false">
      <c r="A1723" s="0" t="s">
        <v>7336</v>
      </c>
      <c r="B1723" s="0" t="s">
        <v>6272</v>
      </c>
      <c r="C1723" s="0" t="s">
        <v>6273</v>
      </c>
      <c r="D1723" s="0" t="s">
        <v>2983</v>
      </c>
      <c r="E1723" s="0" t="s">
        <v>6274</v>
      </c>
      <c r="F1723" s="0" t="s">
        <v>6246</v>
      </c>
      <c r="G1723" s="0" t="s">
        <v>128</v>
      </c>
      <c r="H1723" s="0" t="s">
        <v>8439</v>
      </c>
      <c r="I1723" s="0" t="s">
        <v>7338</v>
      </c>
      <c r="J1723" s="0" t="s">
        <v>6234</v>
      </c>
      <c r="K1723" s="0" t="s">
        <v>7339</v>
      </c>
      <c r="L1723" s="0" t="s">
        <v>7340</v>
      </c>
      <c r="M1723" s="0" t="s">
        <v>8435</v>
      </c>
      <c r="N1723" s="0" t="s">
        <v>7342</v>
      </c>
      <c r="P1723" s="0" t="s">
        <v>229</v>
      </c>
      <c r="R1723" s="0" t="s">
        <v>7435</v>
      </c>
      <c r="S1723" s="0" t="s">
        <v>7344</v>
      </c>
      <c r="T1723" s="0" t="s">
        <v>681</v>
      </c>
      <c r="V1723" s="0" t="s">
        <v>61</v>
      </c>
      <c r="W1723" s="0" t="s">
        <v>63</v>
      </c>
      <c r="X1723" s="0" t="s">
        <v>7355</v>
      </c>
      <c r="Y1723" s="0" t="s">
        <v>7459</v>
      </c>
      <c r="Z1723" s="0" t="s">
        <v>7591</v>
      </c>
      <c r="AA1723" s="0" t="s">
        <v>8141</v>
      </c>
      <c r="AB1723" s="0" t="s">
        <v>231</v>
      </c>
      <c r="AC1723" s="0" t="s">
        <v>7349</v>
      </c>
      <c r="AD1723" s="0" t="s">
        <v>8436</v>
      </c>
      <c r="AE1723" s="0" t="s">
        <v>7440</v>
      </c>
      <c r="AF1723" s="0" t="s">
        <v>8143</v>
      </c>
      <c r="AG1723" s="0" t="s">
        <v>3198</v>
      </c>
    </row>
    <row r="1724" customFormat="false" ht="15" hidden="false" customHeight="false" outlineLevel="0" collapsed="false">
      <c r="A1724" s="0" t="s">
        <v>7336</v>
      </c>
      <c r="B1724" s="0" t="s">
        <v>6275</v>
      </c>
      <c r="C1724" s="0" t="s">
        <v>6276</v>
      </c>
      <c r="D1724" s="0" t="s">
        <v>2983</v>
      </c>
      <c r="E1724" s="0" t="s">
        <v>6277</v>
      </c>
      <c r="F1724" s="0" t="s">
        <v>6250</v>
      </c>
      <c r="G1724" s="0" t="s">
        <v>128</v>
      </c>
      <c r="H1724" s="0" t="s">
        <v>8440</v>
      </c>
      <c r="I1724" s="0" t="s">
        <v>7338</v>
      </c>
      <c r="J1724" s="0" t="s">
        <v>6234</v>
      </c>
      <c r="K1724" s="0" t="s">
        <v>7339</v>
      </c>
      <c r="L1724" s="0" t="s">
        <v>7340</v>
      </c>
      <c r="M1724" s="0" t="s">
        <v>8435</v>
      </c>
      <c r="N1724" s="0" t="s">
        <v>7342</v>
      </c>
      <c r="P1724" s="0" t="s">
        <v>229</v>
      </c>
      <c r="R1724" s="0" t="s">
        <v>7435</v>
      </c>
      <c r="S1724" s="0" t="s">
        <v>7344</v>
      </c>
      <c r="T1724" s="0" t="s">
        <v>681</v>
      </c>
      <c r="V1724" s="0" t="s">
        <v>61</v>
      </c>
      <c r="W1724" s="0" t="s">
        <v>63</v>
      </c>
      <c r="X1724" s="0" t="s">
        <v>7355</v>
      </c>
      <c r="Y1724" s="0" t="s">
        <v>7459</v>
      </c>
      <c r="Z1724" s="0" t="s">
        <v>7591</v>
      </c>
      <c r="AA1724" s="0" t="s">
        <v>8141</v>
      </c>
      <c r="AB1724" s="0" t="s">
        <v>231</v>
      </c>
      <c r="AC1724" s="0" t="s">
        <v>7349</v>
      </c>
      <c r="AD1724" s="0" t="s">
        <v>8436</v>
      </c>
      <c r="AE1724" s="0" t="s">
        <v>7440</v>
      </c>
      <c r="AF1724" s="0" t="s">
        <v>8143</v>
      </c>
      <c r="AG1724" s="0" t="s">
        <v>3198</v>
      </c>
    </row>
    <row r="1725" customFormat="false" ht="15" hidden="false" customHeight="false" outlineLevel="0" collapsed="false">
      <c r="A1725" s="0" t="s">
        <v>7336</v>
      </c>
      <c r="B1725" s="0" t="s">
        <v>6278</v>
      </c>
      <c r="C1725" s="0" t="s">
        <v>6279</v>
      </c>
      <c r="D1725" s="0" t="s">
        <v>2983</v>
      </c>
      <c r="E1725" s="0" t="s">
        <v>6280</v>
      </c>
      <c r="F1725" s="0" t="s">
        <v>6254</v>
      </c>
      <c r="G1725" s="0" t="s">
        <v>128</v>
      </c>
      <c r="H1725" s="0" t="s">
        <v>8441</v>
      </c>
      <c r="I1725" s="0" t="s">
        <v>7338</v>
      </c>
      <c r="J1725" s="0" t="s">
        <v>6234</v>
      </c>
      <c r="K1725" s="0" t="s">
        <v>7339</v>
      </c>
      <c r="L1725" s="0" t="s">
        <v>7340</v>
      </c>
      <c r="M1725" s="0" t="s">
        <v>8435</v>
      </c>
      <c r="N1725" s="0" t="s">
        <v>7342</v>
      </c>
      <c r="P1725" s="0" t="s">
        <v>229</v>
      </c>
      <c r="R1725" s="0" t="s">
        <v>7435</v>
      </c>
      <c r="S1725" s="0" t="s">
        <v>7344</v>
      </c>
      <c r="T1725" s="0" t="s">
        <v>681</v>
      </c>
      <c r="V1725" s="0" t="s">
        <v>61</v>
      </c>
      <c r="W1725" s="0" t="s">
        <v>63</v>
      </c>
      <c r="X1725" s="0" t="s">
        <v>7355</v>
      </c>
      <c r="Y1725" s="0" t="s">
        <v>7459</v>
      </c>
      <c r="Z1725" s="0" t="s">
        <v>7591</v>
      </c>
      <c r="AA1725" s="0" t="s">
        <v>8141</v>
      </c>
      <c r="AB1725" s="0" t="s">
        <v>231</v>
      </c>
      <c r="AC1725" s="0" t="s">
        <v>7349</v>
      </c>
      <c r="AD1725" s="0" t="s">
        <v>8436</v>
      </c>
      <c r="AE1725" s="0" t="s">
        <v>7440</v>
      </c>
      <c r="AF1725" s="0" t="s">
        <v>8143</v>
      </c>
      <c r="AG1725" s="0" t="s">
        <v>3198</v>
      </c>
    </row>
    <row r="1726" customFormat="false" ht="15" hidden="false" customHeight="false" outlineLevel="0" collapsed="false">
      <c r="A1726" s="0" t="s">
        <v>7336</v>
      </c>
      <c r="B1726" s="0" t="s">
        <v>6281</v>
      </c>
      <c r="C1726" s="0" t="s">
        <v>6282</v>
      </c>
      <c r="D1726" s="0" t="s">
        <v>2983</v>
      </c>
      <c r="E1726" s="0" t="s">
        <v>6283</v>
      </c>
      <c r="F1726" s="0" t="s">
        <v>6284</v>
      </c>
      <c r="G1726" s="0" t="s">
        <v>128</v>
      </c>
      <c r="H1726" s="0" t="s">
        <v>8444</v>
      </c>
      <c r="I1726" s="0" t="s">
        <v>7338</v>
      </c>
      <c r="J1726" s="0" t="s">
        <v>6234</v>
      </c>
      <c r="K1726" s="0" t="s">
        <v>7339</v>
      </c>
      <c r="L1726" s="0" t="s">
        <v>7340</v>
      </c>
      <c r="M1726" s="0" t="s">
        <v>8435</v>
      </c>
      <c r="N1726" s="0" t="s">
        <v>7342</v>
      </c>
      <c r="P1726" s="0" t="s">
        <v>229</v>
      </c>
      <c r="R1726" s="0" t="s">
        <v>7435</v>
      </c>
      <c r="S1726" s="0" t="s">
        <v>7344</v>
      </c>
      <c r="T1726" s="0" t="s">
        <v>681</v>
      </c>
      <c r="V1726" s="0" t="s">
        <v>61</v>
      </c>
      <c r="W1726" s="0" t="s">
        <v>63</v>
      </c>
      <c r="X1726" s="0" t="s">
        <v>7355</v>
      </c>
      <c r="Y1726" s="0" t="s">
        <v>7459</v>
      </c>
      <c r="Z1726" s="0" t="s">
        <v>7591</v>
      </c>
      <c r="AA1726" s="0" t="s">
        <v>8141</v>
      </c>
      <c r="AB1726" s="0" t="s">
        <v>231</v>
      </c>
      <c r="AC1726" s="0" t="s">
        <v>7349</v>
      </c>
      <c r="AD1726" s="0" t="s">
        <v>8445</v>
      </c>
      <c r="AE1726" s="0" t="s">
        <v>7440</v>
      </c>
      <c r="AF1726" s="0" t="s">
        <v>8143</v>
      </c>
      <c r="AG1726" s="0" t="s">
        <v>3198</v>
      </c>
    </row>
    <row r="1727" customFormat="false" ht="15" hidden="false" customHeight="false" outlineLevel="0" collapsed="false">
      <c r="A1727" s="0" t="s">
        <v>7336</v>
      </c>
      <c r="B1727" s="0" t="s">
        <v>6285</v>
      </c>
      <c r="C1727" s="0" t="s">
        <v>6286</v>
      </c>
      <c r="D1727" s="0" t="s">
        <v>2983</v>
      </c>
      <c r="E1727" s="0" t="s">
        <v>6287</v>
      </c>
      <c r="F1727" s="0" t="s">
        <v>6284</v>
      </c>
      <c r="G1727" s="0" t="s">
        <v>128</v>
      </c>
      <c r="H1727" s="0" t="s">
        <v>8444</v>
      </c>
      <c r="I1727" s="0" t="s">
        <v>7338</v>
      </c>
      <c r="J1727" s="0" t="s">
        <v>6234</v>
      </c>
      <c r="K1727" s="0" t="s">
        <v>7339</v>
      </c>
      <c r="L1727" s="0" t="s">
        <v>7340</v>
      </c>
      <c r="M1727" s="0" t="s">
        <v>8435</v>
      </c>
      <c r="N1727" s="0" t="s">
        <v>7342</v>
      </c>
      <c r="P1727" s="0" t="s">
        <v>229</v>
      </c>
      <c r="R1727" s="0" t="s">
        <v>7435</v>
      </c>
      <c r="S1727" s="0" t="s">
        <v>7344</v>
      </c>
      <c r="T1727" s="0" t="s">
        <v>681</v>
      </c>
      <c r="V1727" s="0" t="s">
        <v>61</v>
      </c>
      <c r="W1727" s="0" t="s">
        <v>63</v>
      </c>
      <c r="X1727" s="0" t="s">
        <v>7355</v>
      </c>
      <c r="Y1727" s="0" t="s">
        <v>7459</v>
      </c>
      <c r="Z1727" s="0" t="s">
        <v>7591</v>
      </c>
      <c r="AA1727" s="0" t="s">
        <v>8141</v>
      </c>
      <c r="AB1727" s="0" t="s">
        <v>231</v>
      </c>
      <c r="AC1727" s="0" t="s">
        <v>7349</v>
      </c>
      <c r="AD1727" s="0" t="s">
        <v>7604</v>
      </c>
      <c r="AE1727" s="0" t="s">
        <v>7440</v>
      </c>
      <c r="AF1727" s="0" t="s">
        <v>8143</v>
      </c>
      <c r="AG1727" s="0" t="s">
        <v>3198</v>
      </c>
    </row>
    <row r="1728" customFormat="false" ht="15" hidden="false" customHeight="false" outlineLevel="0" collapsed="false">
      <c r="A1728" s="0" t="s">
        <v>7336</v>
      </c>
      <c r="B1728" s="0" t="s">
        <v>6288</v>
      </c>
      <c r="C1728" s="0" t="s">
        <v>6289</v>
      </c>
      <c r="D1728" s="0" t="s">
        <v>2983</v>
      </c>
      <c r="E1728" s="0" t="s">
        <v>6290</v>
      </c>
      <c r="F1728" s="0" t="s">
        <v>6291</v>
      </c>
      <c r="G1728" s="0" t="s">
        <v>128</v>
      </c>
      <c r="H1728" s="0" t="s">
        <v>8446</v>
      </c>
      <c r="I1728" s="0" t="s">
        <v>7338</v>
      </c>
      <c r="J1728" s="0" t="s">
        <v>6234</v>
      </c>
      <c r="K1728" s="0" t="s">
        <v>7339</v>
      </c>
      <c r="L1728" s="0" t="s">
        <v>7340</v>
      </c>
      <c r="M1728" s="0" t="s">
        <v>8435</v>
      </c>
      <c r="N1728" s="0" t="s">
        <v>7342</v>
      </c>
      <c r="P1728" s="0" t="s">
        <v>229</v>
      </c>
      <c r="R1728" s="0" t="s">
        <v>7435</v>
      </c>
      <c r="S1728" s="0" t="s">
        <v>7344</v>
      </c>
      <c r="T1728" s="0" t="s">
        <v>681</v>
      </c>
      <c r="V1728" s="0" t="s">
        <v>61</v>
      </c>
      <c r="W1728" s="0" t="s">
        <v>63</v>
      </c>
      <c r="X1728" s="0" t="s">
        <v>7355</v>
      </c>
      <c r="Y1728" s="0" t="s">
        <v>7459</v>
      </c>
      <c r="Z1728" s="0" t="s">
        <v>7591</v>
      </c>
      <c r="AA1728" s="0" t="s">
        <v>8141</v>
      </c>
      <c r="AB1728" s="0" t="s">
        <v>231</v>
      </c>
      <c r="AC1728" s="0" t="s">
        <v>7349</v>
      </c>
      <c r="AD1728" s="0" t="s">
        <v>8445</v>
      </c>
      <c r="AE1728" s="0" t="s">
        <v>7440</v>
      </c>
      <c r="AF1728" s="0" t="s">
        <v>8143</v>
      </c>
      <c r="AG1728" s="0" t="s">
        <v>3198</v>
      </c>
    </row>
    <row r="1729" customFormat="false" ht="15" hidden="false" customHeight="false" outlineLevel="0" collapsed="false">
      <c r="A1729" s="0" t="s">
        <v>7336</v>
      </c>
      <c r="B1729" s="0" t="s">
        <v>6292</v>
      </c>
      <c r="C1729" s="0" t="s">
        <v>6293</v>
      </c>
      <c r="D1729" s="0" t="s">
        <v>2983</v>
      </c>
      <c r="E1729" s="0" t="s">
        <v>6294</v>
      </c>
      <c r="F1729" s="0" t="s">
        <v>6291</v>
      </c>
      <c r="G1729" s="0" t="s">
        <v>128</v>
      </c>
      <c r="H1729" s="0" t="s">
        <v>8446</v>
      </c>
      <c r="I1729" s="0" t="s">
        <v>7338</v>
      </c>
      <c r="J1729" s="0" t="s">
        <v>6234</v>
      </c>
      <c r="K1729" s="0" t="s">
        <v>7339</v>
      </c>
      <c r="L1729" s="0" t="s">
        <v>7340</v>
      </c>
      <c r="M1729" s="0" t="s">
        <v>8435</v>
      </c>
      <c r="N1729" s="0" t="s">
        <v>7342</v>
      </c>
      <c r="P1729" s="0" t="s">
        <v>229</v>
      </c>
      <c r="R1729" s="0" t="s">
        <v>7435</v>
      </c>
      <c r="S1729" s="0" t="s">
        <v>7344</v>
      </c>
      <c r="T1729" s="0" t="s">
        <v>681</v>
      </c>
      <c r="V1729" s="0" t="s">
        <v>61</v>
      </c>
      <c r="W1729" s="0" t="s">
        <v>63</v>
      </c>
      <c r="X1729" s="0" t="s">
        <v>7355</v>
      </c>
      <c r="Y1729" s="0" t="s">
        <v>7459</v>
      </c>
      <c r="Z1729" s="0" t="s">
        <v>7591</v>
      </c>
      <c r="AA1729" s="0" t="s">
        <v>8141</v>
      </c>
      <c r="AB1729" s="0" t="s">
        <v>231</v>
      </c>
      <c r="AC1729" s="0" t="s">
        <v>7349</v>
      </c>
      <c r="AD1729" s="0" t="s">
        <v>7604</v>
      </c>
      <c r="AE1729" s="0" t="s">
        <v>7440</v>
      </c>
      <c r="AF1729" s="0" t="s">
        <v>8143</v>
      </c>
      <c r="AG1729" s="0" t="s">
        <v>3198</v>
      </c>
    </row>
    <row r="1730" customFormat="false" ht="15" hidden="false" customHeight="false" outlineLevel="0" collapsed="false">
      <c r="A1730" s="0" t="s">
        <v>7336</v>
      </c>
      <c r="B1730" s="0" t="s">
        <v>6295</v>
      </c>
      <c r="C1730" s="0" t="s">
        <v>6296</v>
      </c>
      <c r="D1730" s="0" t="s">
        <v>2983</v>
      </c>
      <c r="E1730" s="0" t="s">
        <v>6297</v>
      </c>
      <c r="F1730" s="0" t="s">
        <v>6298</v>
      </c>
      <c r="G1730" s="0" t="s">
        <v>130</v>
      </c>
      <c r="H1730" s="0" t="s">
        <v>8447</v>
      </c>
      <c r="I1730" s="0" t="s">
        <v>7338</v>
      </c>
      <c r="J1730" s="0" t="s">
        <v>6299</v>
      </c>
      <c r="K1730" s="0" t="s">
        <v>7339</v>
      </c>
      <c r="L1730" s="0" t="s">
        <v>7340</v>
      </c>
      <c r="M1730" s="0" t="s">
        <v>8448</v>
      </c>
      <c r="N1730" s="0" t="s">
        <v>7342</v>
      </c>
      <c r="P1730" s="0" t="s">
        <v>229</v>
      </c>
      <c r="R1730" s="0" t="s">
        <v>7435</v>
      </c>
      <c r="S1730" s="0" t="s">
        <v>7344</v>
      </c>
      <c r="T1730" s="0" t="s">
        <v>681</v>
      </c>
      <c r="V1730" s="0" t="s">
        <v>61</v>
      </c>
      <c r="W1730" s="0" t="s">
        <v>63</v>
      </c>
      <c r="X1730" s="0" t="s">
        <v>7355</v>
      </c>
      <c r="Y1730" s="0" t="s">
        <v>7459</v>
      </c>
      <c r="Z1730" s="0" t="s">
        <v>7591</v>
      </c>
      <c r="AA1730" s="0" t="s">
        <v>8141</v>
      </c>
      <c r="AB1730" s="0" t="s">
        <v>231</v>
      </c>
      <c r="AC1730" s="0" t="s">
        <v>7349</v>
      </c>
      <c r="AD1730" s="0" t="s">
        <v>8445</v>
      </c>
      <c r="AE1730" s="0" t="s">
        <v>7440</v>
      </c>
      <c r="AF1730" s="0" t="s">
        <v>8143</v>
      </c>
      <c r="AG1730" s="0" t="s">
        <v>3198</v>
      </c>
    </row>
    <row r="1731" customFormat="false" ht="15" hidden="false" customHeight="false" outlineLevel="0" collapsed="false">
      <c r="A1731" s="0" t="s">
        <v>7336</v>
      </c>
      <c r="B1731" s="0" t="s">
        <v>6300</v>
      </c>
      <c r="C1731" s="0" t="s">
        <v>6301</v>
      </c>
      <c r="D1731" s="0" t="s">
        <v>2983</v>
      </c>
      <c r="E1731" s="0" t="s">
        <v>6302</v>
      </c>
      <c r="F1731" s="0" t="s">
        <v>6303</v>
      </c>
      <c r="G1731" s="0" t="s">
        <v>130</v>
      </c>
      <c r="H1731" s="0" t="s">
        <v>8449</v>
      </c>
      <c r="I1731" s="0" t="s">
        <v>7338</v>
      </c>
      <c r="J1731" s="0" t="s">
        <v>6299</v>
      </c>
      <c r="K1731" s="0" t="s">
        <v>7339</v>
      </c>
      <c r="L1731" s="0" t="s">
        <v>7340</v>
      </c>
      <c r="M1731" s="0" t="s">
        <v>8448</v>
      </c>
      <c r="N1731" s="0" t="s">
        <v>7342</v>
      </c>
      <c r="P1731" s="0" t="s">
        <v>229</v>
      </c>
      <c r="R1731" s="0" t="s">
        <v>7435</v>
      </c>
      <c r="S1731" s="0" t="s">
        <v>7344</v>
      </c>
      <c r="T1731" s="0" t="s">
        <v>681</v>
      </c>
      <c r="V1731" s="0" t="s">
        <v>61</v>
      </c>
      <c r="W1731" s="0" t="s">
        <v>63</v>
      </c>
      <c r="X1731" s="0" t="s">
        <v>7355</v>
      </c>
      <c r="Y1731" s="0" t="s">
        <v>7459</v>
      </c>
      <c r="Z1731" s="0" t="s">
        <v>7591</v>
      </c>
      <c r="AA1731" s="0" t="s">
        <v>8141</v>
      </c>
      <c r="AB1731" s="0" t="s">
        <v>231</v>
      </c>
      <c r="AC1731" s="0" t="s">
        <v>7349</v>
      </c>
      <c r="AD1731" s="0" t="s">
        <v>8436</v>
      </c>
      <c r="AE1731" s="0" t="s">
        <v>7440</v>
      </c>
      <c r="AF1731" s="0" t="s">
        <v>8143</v>
      </c>
      <c r="AG1731" s="0" t="s">
        <v>3198</v>
      </c>
    </row>
    <row r="1732" customFormat="false" ht="15" hidden="false" customHeight="false" outlineLevel="0" collapsed="false">
      <c r="A1732" s="0" t="s">
        <v>7336</v>
      </c>
      <c r="B1732" s="0" t="s">
        <v>6304</v>
      </c>
      <c r="C1732" s="0" t="s">
        <v>6305</v>
      </c>
      <c r="D1732" s="0" t="s">
        <v>2983</v>
      </c>
      <c r="E1732" s="0" t="s">
        <v>6306</v>
      </c>
      <c r="F1732" s="0" t="s">
        <v>6307</v>
      </c>
      <c r="G1732" s="0" t="s">
        <v>130</v>
      </c>
      <c r="H1732" s="0" t="s">
        <v>8450</v>
      </c>
      <c r="I1732" s="0" t="s">
        <v>7338</v>
      </c>
      <c r="J1732" s="0" t="s">
        <v>6299</v>
      </c>
      <c r="K1732" s="0" t="s">
        <v>7339</v>
      </c>
      <c r="L1732" s="0" t="s">
        <v>7340</v>
      </c>
      <c r="M1732" s="0" t="s">
        <v>8448</v>
      </c>
      <c r="N1732" s="0" t="s">
        <v>7342</v>
      </c>
      <c r="P1732" s="0" t="s">
        <v>229</v>
      </c>
      <c r="R1732" s="0" t="s">
        <v>7435</v>
      </c>
      <c r="S1732" s="0" t="s">
        <v>7344</v>
      </c>
      <c r="T1732" s="0" t="s">
        <v>681</v>
      </c>
      <c r="V1732" s="0" t="s">
        <v>61</v>
      </c>
      <c r="W1732" s="0" t="s">
        <v>63</v>
      </c>
      <c r="X1732" s="0" t="s">
        <v>7355</v>
      </c>
      <c r="Y1732" s="0" t="s">
        <v>7459</v>
      </c>
      <c r="Z1732" s="0" t="s">
        <v>7591</v>
      </c>
      <c r="AA1732" s="0" t="s">
        <v>8141</v>
      </c>
      <c r="AB1732" s="0" t="s">
        <v>231</v>
      </c>
      <c r="AC1732" s="0" t="s">
        <v>7349</v>
      </c>
      <c r="AD1732" s="0" t="s">
        <v>8436</v>
      </c>
      <c r="AE1732" s="0" t="s">
        <v>7440</v>
      </c>
      <c r="AF1732" s="0" t="s">
        <v>8143</v>
      </c>
      <c r="AG1732" s="0" t="s">
        <v>3198</v>
      </c>
    </row>
    <row r="1733" customFormat="false" ht="15" hidden="false" customHeight="false" outlineLevel="0" collapsed="false">
      <c r="A1733" s="0" t="s">
        <v>7336</v>
      </c>
      <c r="B1733" s="0" t="s">
        <v>6308</v>
      </c>
      <c r="C1733" s="0" t="s">
        <v>6309</v>
      </c>
      <c r="D1733" s="0" t="s">
        <v>2983</v>
      </c>
      <c r="E1733" s="0" t="s">
        <v>6310</v>
      </c>
      <c r="F1733" s="0" t="s">
        <v>6311</v>
      </c>
      <c r="G1733" s="0" t="s">
        <v>130</v>
      </c>
      <c r="H1733" s="0" t="s">
        <v>8451</v>
      </c>
      <c r="I1733" s="0" t="s">
        <v>7338</v>
      </c>
      <c r="J1733" s="0" t="s">
        <v>6299</v>
      </c>
      <c r="K1733" s="0" t="s">
        <v>7339</v>
      </c>
      <c r="L1733" s="0" t="s">
        <v>7340</v>
      </c>
      <c r="M1733" s="0" t="s">
        <v>8448</v>
      </c>
      <c r="N1733" s="0" t="s">
        <v>7342</v>
      </c>
      <c r="P1733" s="0" t="s">
        <v>229</v>
      </c>
      <c r="R1733" s="0" t="s">
        <v>7435</v>
      </c>
      <c r="S1733" s="0" t="s">
        <v>7344</v>
      </c>
      <c r="T1733" s="0" t="s">
        <v>681</v>
      </c>
      <c r="V1733" s="0" t="s">
        <v>61</v>
      </c>
      <c r="W1733" s="0" t="s">
        <v>63</v>
      </c>
      <c r="X1733" s="0" t="s">
        <v>7355</v>
      </c>
      <c r="Y1733" s="0" t="s">
        <v>7459</v>
      </c>
      <c r="Z1733" s="0" t="s">
        <v>7591</v>
      </c>
      <c r="AA1733" s="0" t="s">
        <v>8141</v>
      </c>
      <c r="AB1733" s="0" t="s">
        <v>231</v>
      </c>
      <c r="AC1733" s="0" t="s">
        <v>7349</v>
      </c>
      <c r="AD1733" s="0" t="s">
        <v>8436</v>
      </c>
      <c r="AE1733" s="0" t="s">
        <v>7440</v>
      </c>
      <c r="AF1733" s="0" t="s">
        <v>8143</v>
      </c>
      <c r="AG1733" s="0" t="s">
        <v>3198</v>
      </c>
    </row>
    <row r="1734" customFormat="false" ht="15" hidden="false" customHeight="false" outlineLevel="0" collapsed="false">
      <c r="A1734" s="0" t="s">
        <v>7336</v>
      </c>
      <c r="B1734" s="0" t="s">
        <v>6312</v>
      </c>
      <c r="C1734" s="0" t="s">
        <v>6313</v>
      </c>
      <c r="D1734" s="0" t="s">
        <v>2983</v>
      </c>
      <c r="E1734" s="0" t="s">
        <v>6314</v>
      </c>
      <c r="F1734" s="0" t="s">
        <v>6315</v>
      </c>
      <c r="G1734" s="0" t="s">
        <v>130</v>
      </c>
      <c r="H1734" s="0" t="s">
        <v>8452</v>
      </c>
      <c r="I1734" s="0" t="s">
        <v>7338</v>
      </c>
      <c r="J1734" s="0" t="s">
        <v>6299</v>
      </c>
      <c r="K1734" s="0" t="s">
        <v>7339</v>
      </c>
      <c r="L1734" s="0" t="s">
        <v>7340</v>
      </c>
      <c r="M1734" s="0" t="s">
        <v>8448</v>
      </c>
      <c r="N1734" s="0" t="s">
        <v>7342</v>
      </c>
      <c r="P1734" s="0" t="s">
        <v>229</v>
      </c>
      <c r="R1734" s="0" t="s">
        <v>7435</v>
      </c>
      <c r="S1734" s="0" t="s">
        <v>7344</v>
      </c>
      <c r="T1734" s="0" t="s">
        <v>681</v>
      </c>
      <c r="V1734" s="0" t="s">
        <v>61</v>
      </c>
      <c r="W1734" s="0" t="s">
        <v>63</v>
      </c>
      <c r="X1734" s="0" t="s">
        <v>7355</v>
      </c>
      <c r="Y1734" s="0" t="s">
        <v>7459</v>
      </c>
      <c r="Z1734" s="0" t="s">
        <v>7591</v>
      </c>
      <c r="AA1734" s="0" t="s">
        <v>8141</v>
      </c>
      <c r="AB1734" s="0" t="s">
        <v>231</v>
      </c>
      <c r="AC1734" s="0" t="s">
        <v>7349</v>
      </c>
      <c r="AD1734" s="0" t="s">
        <v>8436</v>
      </c>
      <c r="AE1734" s="0" t="s">
        <v>7440</v>
      </c>
      <c r="AF1734" s="0" t="s">
        <v>8143</v>
      </c>
      <c r="AG1734" s="0" t="s">
        <v>3198</v>
      </c>
    </row>
    <row r="1735" customFormat="false" ht="15" hidden="false" customHeight="false" outlineLevel="0" collapsed="false">
      <c r="A1735" s="0" t="s">
        <v>7336</v>
      </c>
      <c r="B1735" s="0" t="s">
        <v>6316</v>
      </c>
      <c r="C1735" s="0" t="s">
        <v>6317</v>
      </c>
      <c r="D1735" s="0" t="s">
        <v>2983</v>
      </c>
      <c r="E1735" s="0" t="s">
        <v>6318</v>
      </c>
      <c r="F1735" s="0" t="s">
        <v>6319</v>
      </c>
      <c r="G1735" s="0" t="s">
        <v>130</v>
      </c>
      <c r="H1735" s="0" t="s">
        <v>8453</v>
      </c>
      <c r="I1735" s="0" t="s">
        <v>7338</v>
      </c>
      <c r="J1735" s="0" t="s">
        <v>6299</v>
      </c>
      <c r="K1735" s="0" t="s">
        <v>7339</v>
      </c>
      <c r="L1735" s="0" t="s">
        <v>7340</v>
      </c>
      <c r="M1735" s="0" t="s">
        <v>8448</v>
      </c>
      <c r="N1735" s="0" t="s">
        <v>7342</v>
      </c>
      <c r="P1735" s="0" t="s">
        <v>229</v>
      </c>
      <c r="R1735" s="0" t="s">
        <v>7435</v>
      </c>
      <c r="S1735" s="0" t="s">
        <v>7344</v>
      </c>
      <c r="T1735" s="0" t="s">
        <v>681</v>
      </c>
      <c r="V1735" s="0" t="s">
        <v>61</v>
      </c>
      <c r="W1735" s="0" t="s">
        <v>63</v>
      </c>
      <c r="X1735" s="0" t="s">
        <v>7355</v>
      </c>
      <c r="Y1735" s="0" t="s">
        <v>7459</v>
      </c>
      <c r="Z1735" s="0" t="s">
        <v>7591</v>
      </c>
      <c r="AA1735" s="0" t="s">
        <v>8141</v>
      </c>
      <c r="AB1735" s="0" t="s">
        <v>231</v>
      </c>
      <c r="AC1735" s="0" t="s">
        <v>7349</v>
      </c>
      <c r="AD1735" s="0" t="s">
        <v>8436</v>
      </c>
      <c r="AE1735" s="0" t="s">
        <v>7440</v>
      </c>
      <c r="AF1735" s="0" t="s">
        <v>8143</v>
      </c>
      <c r="AG1735" s="0" t="s">
        <v>3198</v>
      </c>
    </row>
    <row r="1736" customFormat="false" ht="15" hidden="false" customHeight="false" outlineLevel="0" collapsed="false">
      <c r="A1736" s="0" t="s">
        <v>7336</v>
      </c>
      <c r="B1736" s="0" t="s">
        <v>6320</v>
      </c>
      <c r="C1736" s="0" t="s">
        <v>6321</v>
      </c>
      <c r="D1736" s="0" t="s">
        <v>2983</v>
      </c>
      <c r="E1736" s="0" t="s">
        <v>6322</v>
      </c>
      <c r="F1736" s="0" t="s">
        <v>6323</v>
      </c>
      <c r="G1736" s="0" t="s">
        <v>130</v>
      </c>
      <c r="H1736" s="0" t="s">
        <v>8454</v>
      </c>
      <c r="I1736" s="0" t="s">
        <v>7338</v>
      </c>
      <c r="J1736" s="0" t="s">
        <v>6299</v>
      </c>
      <c r="K1736" s="0" t="s">
        <v>7339</v>
      </c>
      <c r="L1736" s="0" t="s">
        <v>7340</v>
      </c>
      <c r="M1736" s="0" t="s">
        <v>8448</v>
      </c>
      <c r="N1736" s="0" t="s">
        <v>7342</v>
      </c>
      <c r="P1736" s="0" t="s">
        <v>229</v>
      </c>
      <c r="R1736" s="0" t="s">
        <v>7435</v>
      </c>
      <c r="S1736" s="0" t="s">
        <v>7344</v>
      </c>
      <c r="T1736" s="0" t="s">
        <v>681</v>
      </c>
      <c r="V1736" s="0" t="s">
        <v>61</v>
      </c>
      <c r="W1736" s="0" t="s">
        <v>63</v>
      </c>
      <c r="X1736" s="0" t="s">
        <v>7355</v>
      </c>
      <c r="Y1736" s="0" t="s">
        <v>7459</v>
      </c>
      <c r="Z1736" s="0" t="s">
        <v>7591</v>
      </c>
      <c r="AA1736" s="0" t="s">
        <v>8141</v>
      </c>
      <c r="AB1736" s="0" t="s">
        <v>231</v>
      </c>
      <c r="AC1736" s="0" t="s">
        <v>7349</v>
      </c>
      <c r="AD1736" s="0" t="s">
        <v>8436</v>
      </c>
      <c r="AE1736" s="0" t="s">
        <v>7440</v>
      </c>
      <c r="AF1736" s="0" t="s">
        <v>8143</v>
      </c>
      <c r="AG1736" s="0" t="s">
        <v>3198</v>
      </c>
    </row>
    <row r="1737" customFormat="false" ht="15" hidden="false" customHeight="false" outlineLevel="0" collapsed="false">
      <c r="A1737" s="0" t="s">
        <v>7336</v>
      </c>
      <c r="B1737" s="0" t="s">
        <v>6324</v>
      </c>
      <c r="C1737" s="0" t="s">
        <v>6325</v>
      </c>
      <c r="D1737" s="0" t="s">
        <v>2983</v>
      </c>
      <c r="E1737" s="0" t="s">
        <v>6326</v>
      </c>
      <c r="F1737" s="0" t="s">
        <v>6327</v>
      </c>
      <c r="G1737" s="0" t="s">
        <v>130</v>
      </c>
      <c r="H1737" s="0" t="s">
        <v>8455</v>
      </c>
      <c r="I1737" s="0" t="s">
        <v>7338</v>
      </c>
      <c r="J1737" s="0" t="s">
        <v>6299</v>
      </c>
      <c r="K1737" s="0" t="s">
        <v>7339</v>
      </c>
      <c r="L1737" s="0" t="s">
        <v>7340</v>
      </c>
      <c r="M1737" s="0" t="s">
        <v>8448</v>
      </c>
      <c r="N1737" s="0" t="s">
        <v>7342</v>
      </c>
      <c r="P1737" s="0" t="s">
        <v>229</v>
      </c>
      <c r="R1737" s="0" t="s">
        <v>7435</v>
      </c>
      <c r="S1737" s="0" t="s">
        <v>7344</v>
      </c>
      <c r="T1737" s="0" t="s">
        <v>681</v>
      </c>
      <c r="V1737" s="0" t="s">
        <v>61</v>
      </c>
      <c r="W1737" s="0" t="s">
        <v>63</v>
      </c>
      <c r="X1737" s="0" t="s">
        <v>7355</v>
      </c>
      <c r="Y1737" s="0" t="s">
        <v>7459</v>
      </c>
      <c r="Z1737" s="0" t="s">
        <v>7591</v>
      </c>
      <c r="AA1737" s="0" t="s">
        <v>8141</v>
      </c>
      <c r="AB1737" s="0" t="s">
        <v>231</v>
      </c>
      <c r="AC1737" s="0" t="s">
        <v>7349</v>
      </c>
      <c r="AD1737" s="0" t="s">
        <v>8436</v>
      </c>
      <c r="AE1737" s="0" t="s">
        <v>7440</v>
      </c>
      <c r="AF1737" s="0" t="s">
        <v>8143</v>
      </c>
      <c r="AG1737" s="0" t="s">
        <v>3198</v>
      </c>
    </row>
    <row r="1738" customFormat="false" ht="15" hidden="false" customHeight="false" outlineLevel="0" collapsed="false">
      <c r="A1738" s="0" t="s">
        <v>7336</v>
      </c>
      <c r="B1738" s="0" t="s">
        <v>6328</v>
      </c>
      <c r="C1738" s="0" t="s">
        <v>6329</v>
      </c>
      <c r="D1738" s="0" t="s">
        <v>2983</v>
      </c>
      <c r="E1738" s="0" t="s">
        <v>6330</v>
      </c>
      <c r="F1738" s="0" t="s">
        <v>6331</v>
      </c>
      <c r="G1738" s="0" t="s">
        <v>130</v>
      </c>
      <c r="H1738" s="0" t="s">
        <v>8456</v>
      </c>
      <c r="I1738" s="0" t="s">
        <v>7338</v>
      </c>
      <c r="J1738" s="0" t="s">
        <v>6299</v>
      </c>
      <c r="K1738" s="0" t="s">
        <v>7339</v>
      </c>
      <c r="L1738" s="0" t="s">
        <v>7340</v>
      </c>
      <c r="M1738" s="0" t="s">
        <v>8448</v>
      </c>
      <c r="N1738" s="0" t="s">
        <v>7342</v>
      </c>
      <c r="P1738" s="0" t="s">
        <v>229</v>
      </c>
      <c r="R1738" s="0" t="s">
        <v>7435</v>
      </c>
      <c r="S1738" s="0" t="s">
        <v>7344</v>
      </c>
      <c r="T1738" s="0" t="s">
        <v>681</v>
      </c>
      <c r="V1738" s="0" t="s">
        <v>61</v>
      </c>
      <c r="W1738" s="0" t="s">
        <v>63</v>
      </c>
      <c r="X1738" s="0" t="s">
        <v>7355</v>
      </c>
      <c r="Y1738" s="0" t="s">
        <v>7459</v>
      </c>
      <c r="Z1738" s="0" t="s">
        <v>7591</v>
      </c>
      <c r="AA1738" s="0" t="s">
        <v>8141</v>
      </c>
      <c r="AB1738" s="0" t="s">
        <v>231</v>
      </c>
      <c r="AC1738" s="0" t="s">
        <v>7349</v>
      </c>
      <c r="AD1738" s="0" t="s">
        <v>8436</v>
      </c>
      <c r="AE1738" s="0" t="s">
        <v>7440</v>
      </c>
      <c r="AF1738" s="0" t="s">
        <v>8143</v>
      </c>
      <c r="AG1738" s="0" t="s">
        <v>3198</v>
      </c>
    </row>
    <row r="1739" customFormat="false" ht="15" hidden="false" customHeight="false" outlineLevel="0" collapsed="false">
      <c r="A1739" s="0" t="s">
        <v>7336</v>
      </c>
      <c r="B1739" s="0" t="s">
        <v>6332</v>
      </c>
      <c r="C1739" s="0" t="s">
        <v>6333</v>
      </c>
      <c r="D1739" s="0" t="s">
        <v>2983</v>
      </c>
      <c r="E1739" s="0" t="s">
        <v>6334</v>
      </c>
      <c r="F1739" s="0" t="s">
        <v>6335</v>
      </c>
      <c r="G1739" s="0" t="s">
        <v>130</v>
      </c>
      <c r="H1739" s="0" t="s">
        <v>8457</v>
      </c>
      <c r="I1739" s="0" t="s">
        <v>7338</v>
      </c>
      <c r="J1739" s="0" t="s">
        <v>6299</v>
      </c>
      <c r="K1739" s="0" t="s">
        <v>7339</v>
      </c>
      <c r="L1739" s="0" t="s">
        <v>7340</v>
      </c>
      <c r="M1739" s="0" t="s">
        <v>8448</v>
      </c>
      <c r="N1739" s="0" t="s">
        <v>7342</v>
      </c>
      <c r="P1739" s="0" t="s">
        <v>229</v>
      </c>
      <c r="R1739" s="0" t="s">
        <v>7435</v>
      </c>
      <c r="S1739" s="0" t="s">
        <v>7344</v>
      </c>
      <c r="T1739" s="0" t="s">
        <v>681</v>
      </c>
      <c r="V1739" s="0" t="s">
        <v>61</v>
      </c>
      <c r="W1739" s="0" t="s">
        <v>63</v>
      </c>
      <c r="X1739" s="0" t="s">
        <v>7355</v>
      </c>
      <c r="Y1739" s="0" t="s">
        <v>7459</v>
      </c>
      <c r="Z1739" s="0" t="s">
        <v>7591</v>
      </c>
      <c r="AA1739" s="0" t="s">
        <v>8141</v>
      </c>
      <c r="AB1739" s="0" t="s">
        <v>231</v>
      </c>
      <c r="AC1739" s="0" t="s">
        <v>7349</v>
      </c>
      <c r="AD1739" s="0" t="s">
        <v>8445</v>
      </c>
      <c r="AE1739" s="0" t="s">
        <v>7440</v>
      </c>
      <c r="AF1739" s="0" t="s">
        <v>8143</v>
      </c>
      <c r="AG1739" s="0" t="s">
        <v>3198</v>
      </c>
    </row>
    <row r="1740" customFormat="false" ht="15" hidden="false" customHeight="false" outlineLevel="0" collapsed="false">
      <c r="A1740" s="0" t="s">
        <v>7336</v>
      </c>
      <c r="B1740" s="0" t="s">
        <v>6336</v>
      </c>
      <c r="C1740" s="0" t="s">
        <v>6337</v>
      </c>
      <c r="D1740" s="0" t="s">
        <v>2983</v>
      </c>
      <c r="E1740" s="0" t="s">
        <v>6338</v>
      </c>
      <c r="F1740" s="0" t="s">
        <v>6335</v>
      </c>
      <c r="G1740" s="0" t="s">
        <v>130</v>
      </c>
      <c r="H1740" s="0" t="s">
        <v>8457</v>
      </c>
      <c r="I1740" s="0" t="s">
        <v>7338</v>
      </c>
      <c r="J1740" s="0" t="s">
        <v>6299</v>
      </c>
      <c r="K1740" s="0" t="s">
        <v>7339</v>
      </c>
      <c r="L1740" s="0" t="s">
        <v>7340</v>
      </c>
      <c r="M1740" s="0" t="s">
        <v>8448</v>
      </c>
      <c r="N1740" s="0" t="s">
        <v>7342</v>
      </c>
      <c r="P1740" s="0" t="s">
        <v>229</v>
      </c>
      <c r="R1740" s="0" t="s">
        <v>7435</v>
      </c>
      <c r="S1740" s="0" t="s">
        <v>7344</v>
      </c>
      <c r="T1740" s="0" t="s">
        <v>681</v>
      </c>
      <c r="V1740" s="0" t="s">
        <v>61</v>
      </c>
      <c r="W1740" s="0" t="s">
        <v>63</v>
      </c>
      <c r="X1740" s="0" t="s">
        <v>7355</v>
      </c>
      <c r="Y1740" s="0" t="s">
        <v>7459</v>
      </c>
      <c r="Z1740" s="0" t="s">
        <v>7591</v>
      </c>
      <c r="AA1740" s="0" t="s">
        <v>8141</v>
      </c>
      <c r="AB1740" s="0" t="s">
        <v>231</v>
      </c>
      <c r="AC1740" s="0" t="s">
        <v>7349</v>
      </c>
      <c r="AD1740" s="0" t="s">
        <v>7604</v>
      </c>
      <c r="AE1740" s="0" t="s">
        <v>7440</v>
      </c>
      <c r="AF1740" s="0" t="s">
        <v>8143</v>
      </c>
      <c r="AG1740" s="0" t="s">
        <v>3198</v>
      </c>
    </row>
    <row r="1741" customFormat="false" ht="15" hidden="false" customHeight="false" outlineLevel="0" collapsed="false">
      <c r="A1741" s="0" t="s">
        <v>7336</v>
      </c>
      <c r="B1741" s="0" t="s">
        <v>6339</v>
      </c>
      <c r="C1741" s="0" t="s">
        <v>6340</v>
      </c>
      <c r="D1741" s="0" t="s">
        <v>2983</v>
      </c>
      <c r="E1741" s="0" t="s">
        <v>6341</v>
      </c>
      <c r="F1741" s="0" t="s">
        <v>6298</v>
      </c>
      <c r="G1741" s="0" t="s">
        <v>130</v>
      </c>
      <c r="H1741" s="0" t="s">
        <v>8447</v>
      </c>
      <c r="I1741" s="0" t="s">
        <v>7338</v>
      </c>
      <c r="J1741" s="0" t="s">
        <v>6299</v>
      </c>
      <c r="K1741" s="0" t="s">
        <v>7339</v>
      </c>
      <c r="L1741" s="0" t="s">
        <v>7340</v>
      </c>
      <c r="M1741" s="0" t="s">
        <v>8448</v>
      </c>
      <c r="N1741" s="0" t="s">
        <v>7342</v>
      </c>
      <c r="P1741" s="0" t="s">
        <v>229</v>
      </c>
      <c r="R1741" s="0" t="s">
        <v>7435</v>
      </c>
      <c r="S1741" s="0" t="s">
        <v>7344</v>
      </c>
      <c r="T1741" s="0" t="s">
        <v>681</v>
      </c>
      <c r="V1741" s="0" t="s">
        <v>61</v>
      </c>
      <c r="W1741" s="0" t="s">
        <v>63</v>
      </c>
      <c r="X1741" s="0" t="s">
        <v>7355</v>
      </c>
      <c r="Y1741" s="0" t="s">
        <v>7459</v>
      </c>
      <c r="Z1741" s="0" t="s">
        <v>7591</v>
      </c>
      <c r="AA1741" s="0" t="s">
        <v>8141</v>
      </c>
      <c r="AB1741" s="0" t="s">
        <v>231</v>
      </c>
      <c r="AC1741" s="0" t="s">
        <v>7349</v>
      </c>
      <c r="AD1741" s="0" t="s">
        <v>8445</v>
      </c>
      <c r="AE1741" s="0" t="s">
        <v>7440</v>
      </c>
      <c r="AF1741" s="0" t="s">
        <v>8143</v>
      </c>
      <c r="AG1741" s="0" t="s">
        <v>3198</v>
      </c>
    </row>
    <row r="1742" customFormat="false" ht="15" hidden="false" customHeight="false" outlineLevel="0" collapsed="false">
      <c r="A1742" s="0" t="s">
        <v>7336</v>
      </c>
      <c r="B1742" s="0" t="s">
        <v>6342</v>
      </c>
      <c r="C1742" s="0" t="s">
        <v>6343</v>
      </c>
      <c r="D1742" s="0" t="s">
        <v>2983</v>
      </c>
      <c r="E1742" s="0" t="s">
        <v>6344</v>
      </c>
      <c r="F1742" s="0" t="s">
        <v>6298</v>
      </c>
      <c r="G1742" s="0" t="s">
        <v>130</v>
      </c>
      <c r="H1742" s="0" t="s">
        <v>8447</v>
      </c>
      <c r="I1742" s="0" t="s">
        <v>7338</v>
      </c>
      <c r="J1742" s="0" t="s">
        <v>6299</v>
      </c>
      <c r="K1742" s="0" t="s">
        <v>7339</v>
      </c>
      <c r="L1742" s="0" t="s">
        <v>7340</v>
      </c>
      <c r="M1742" s="0" t="s">
        <v>8448</v>
      </c>
      <c r="N1742" s="0" t="s">
        <v>7342</v>
      </c>
      <c r="P1742" s="0" t="s">
        <v>229</v>
      </c>
      <c r="R1742" s="0" t="s">
        <v>7435</v>
      </c>
      <c r="S1742" s="0" t="s">
        <v>7344</v>
      </c>
      <c r="T1742" s="0" t="s">
        <v>681</v>
      </c>
      <c r="V1742" s="0" t="s">
        <v>61</v>
      </c>
      <c r="W1742" s="0" t="s">
        <v>63</v>
      </c>
      <c r="X1742" s="0" t="s">
        <v>7355</v>
      </c>
      <c r="Y1742" s="0" t="s">
        <v>7459</v>
      </c>
      <c r="Z1742" s="0" t="s">
        <v>7591</v>
      </c>
      <c r="AA1742" s="0" t="s">
        <v>8141</v>
      </c>
      <c r="AB1742" s="0" t="s">
        <v>231</v>
      </c>
      <c r="AC1742" s="0" t="s">
        <v>7349</v>
      </c>
      <c r="AD1742" s="0" t="s">
        <v>7604</v>
      </c>
      <c r="AE1742" s="0" t="s">
        <v>7440</v>
      </c>
      <c r="AF1742" s="0" t="s">
        <v>8143</v>
      </c>
      <c r="AG1742" s="0" t="s">
        <v>3198</v>
      </c>
    </row>
    <row r="1743" customFormat="false" ht="15" hidden="false" customHeight="false" outlineLevel="0" collapsed="false">
      <c r="A1743" s="0" t="s">
        <v>7336</v>
      </c>
      <c r="B1743" s="0" t="s">
        <v>6345</v>
      </c>
      <c r="C1743" s="0" t="s">
        <v>6346</v>
      </c>
      <c r="D1743" s="0" t="s">
        <v>2983</v>
      </c>
      <c r="E1743" s="0" t="s">
        <v>6347</v>
      </c>
      <c r="F1743" s="0" t="s">
        <v>6348</v>
      </c>
      <c r="G1743" s="0" t="s">
        <v>134</v>
      </c>
      <c r="H1743" s="0" t="s">
        <v>8458</v>
      </c>
      <c r="I1743" s="0" t="s">
        <v>7338</v>
      </c>
      <c r="J1743" s="0" t="s">
        <v>6349</v>
      </c>
      <c r="K1743" s="0" t="s">
        <v>7339</v>
      </c>
      <c r="L1743" s="0" t="s">
        <v>7340</v>
      </c>
      <c r="M1743" s="0" t="s">
        <v>8459</v>
      </c>
      <c r="N1743" s="0" t="s">
        <v>7342</v>
      </c>
      <c r="P1743" s="0" t="s">
        <v>229</v>
      </c>
      <c r="R1743" s="0" t="s">
        <v>7343</v>
      </c>
      <c r="S1743" s="0" t="s">
        <v>7344</v>
      </c>
      <c r="T1743" s="0" t="s">
        <v>228</v>
      </c>
      <c r="V1743" s="0" t="s">
        <v>34</v>
      </c>
      <c r="W1743" s="0" t="s">
        <v>44</v>
      </c>
      <c r="X1743" s="0" t="s">
        <v>7355</v>
      </c>
      <c r="Y1743" s="0" t="s">
        <v>7409</v>
      </c>
      <c r="Z1743" s="0" t="s">
        <v>7370</v>
      </c>
      <c r="AA1743" s="0" t="s">
        <v>7504</v>
      </c>
      <c r="AB1743" s="0" t="s">
        <v>231</v>
      </c>
      <c r="AC1743" s="0" t="s">
        <v>7349</v>
      </c>
      <c r="AD1743" s="0" t="s">
        <v>8407</v>
      </c>
      <c r="AE1743" s="0" t="s">
        <v>7412</v>
      </c>
      <c r="AF1743" s="0" t="s">
        <v>7374</v>
      </c>
      <c r="AG1743" s="0" t="s">
        <v>230</v>
      </c>
    </row>
    <row r="1744" customFormat="false" ht="15" hidden="false" customHeight="false" outlineLevel="0" collapsed="false">
      <c r="A1744" s="0" t="s">
        <v>7336</v>
      </c>
      <c r="B1744" s="0" t="s">
        <v>6350</v>
      </c>
      <c r="C1744" s="0" t="s">
        <v>6351</v>
      </c>
      <c r="D1744" s="0" t="s">
        <v>2983</v>
      </c>
      <c r="E1744" s="0" t="s">
        <v>6352</v>
      </c>
      <c r="F1744" s="0" t="s">
        <v>6353</v>
      </c>
      <c r="G1744" s="0" t="s">
        <v>134</v>
      </c>
      <c r="H1744" s="0" t="s">
        <v>8460</v>
      </c>
      <c r="I1744" s="0" t="s">
        <v>7338</v>
      </c>
      <c r="J1744" s="0" t="s">
        <v>6349</v>
      </c>
      <c r="K1744" s="0" t="s">
        <v>7339</v>
      </c>
      <c r="L1744" s="0" t="s">
        <v>7340</v>
      </c>
      <c r="M1744" s="0" t="s">
        <v>8459</v>
      </c>
      <c r="N1744" s="0" t="s">
        <v>7342</v>
      </c>
      <c r="P1744" s="0" t="s">
        <v>229</v>
      </c>
      <c r="R1744" s="0" t="s">
        <v>7343</v>
      </c>
      <c r="S1744" s="0" t="s">
        <v>7344</v>
      </c>
      <c r="T1744" s="0" t="s">
        <v>228</v>
      </c>
      <c r="V1744" s="0" t="s">
        <v>34</v>
      </c>
      <c r="W1744" s="0" t="s">
        <v>44</v>
      </c>
      <c r="X1744" s="0" t="s">
        <v>7355</v>
      </c>
      <c r="Y1744" s="0" t="s">
        <v>7409</v>
      </c>
      <c r="Z1744" s="0" t="s">
        <v>7370</v>
      </c>
      <c r="AA1744" s="0" t="s">
        <v>7504</v>
      </c>
      <c r="AB1744" s="0" t="s">
        <v>231</v>
      </c>
      <c r="AC1744" s="0" t="s">
        <v>7349</v>
      </c>
      <c r="AD1744" s="0" t="s">
        <v>8407</v>
      </c>
      <c r="AE1744" s="0" t="s">
        <v>7412</v>
      </c>
      <c r="AF1744" s="0" t="s">
        <v>7374</v>
      </c>
      <c r="AG1744" s="0" t="s">
        <v>230</v>
      </c>
    </row>
    <row r="1745" customFormat="false" ht="15" hidden="false" customHeight="false" outlineLevel="0" collapsed="false">
      <c r="A1745" s="0" t="s">
        <v>7336</v>
      </c>
      <c r="B1745" s="0" t="s">
        <v>6354</v>
      </c>
      <c r="C1745" s="0" t="s">
        <v>6355</v>
      </c>
      <c r="D1745" s="0" t="s">
        <v>2983</v>
      </c>
      <c r="E1745" s="0" t="s">
        <v>6356</v>
      </c>
      <c r="F1745" s="0" t="s">
        <v>6357</v>
      </c>
      <c r="G1745" s="0" t="s">
        <v>134</v>
      </c>
      <c r="H1745" s="0" t="s">
        <v>8461</v>
      </c>
      <c r="I1745" s="0" t="s">
        <v>7338</v>
      </c>
      <c r="J1745" s="0" t="s">
        <v>6349</v>
      </c>
      <c r="K1745" s="0" t="s">
        <v>7339</v>
      </c>
      <c r="L1745" s="0" t="s">
        <v>7340</v>
      </c>
      <c r="M1745" s="0" t="s">
        <v>8459</v>
      </c>
      <c r="N1745" s="0" t="s">
        <v>7342</v>
      </c>
      <c r="P1745" s="0" t="s">
        <v>229</v>
      </c>
      <c r="R1745" s="0" t="s">
        <v>7343</v>
      </c>
      <c r="S1745" s="0" t="s">
        <v>7344</v>
      </c>
      <c r="T1745" s="0" t="s">
        <v>228</v>
      </c>
      <c r="V1745" s="0" t="s">
        <v>34</v>
      </c>
      <c r="W1745" s="0" t="s">
        <v>44</v>
      </c>
      <c r="X1745" s="0" t="s">
        <v>7355</v>
      </c>
      <c r="Y1745" s="0" t="s">
        <v>7409</v>
      </c>
      <c r="Z1745" s="0" t="s">
        <v>7370</v>
      </c>
      <c r="AA1745" s="0" t="s">
        <v>7504</v>
      </c>
      <c r="AB1745" s="0" t="s">
        <v>231</v>
      </c>
      <c r="AC1745" s="0" t="s">
        <v>7349</v>
      </c>
      <c r="AD1745" s="0" t="s">
        <v>8407</v>
      </c>
      <c r="AE1745" s="0" t="s">
        <v>7412</v>
      </c>
      <c r="AF1745" s="0" t="s">
        <v>7374</v>
      </c>
      <c r="AG1745" s="0" t="s">
        <v>230</v>
      </c>
    </row>
    <row r="1746" customFormat="false" ht="15" hidden="false" customHeight="false" outlineLevel="0" collapsed="false">
      <c r="A1746" s="0" t="s">
        <v>7336</v>
      </c>
      <c r="B1746" s="0" t="s">
        <v>6358</v>
      </c>
      <c r="C1746" s="0" t="s">
        <v>6359</v>
      </c>
      <c r="D1746" s="0" t="s">
        <v>2983</v>
      </c>
      <c r="E1746" s="0" t="s">
        <v>6360</v>
      </c>
      <c r="F1746" s="0" t="s">
        <v>6361</v>
      </c>
      <c r="G1746" s="0" t="s">
        <v>134</v>
      </c>
      <c r="H1746" s="0" t="s">
        <v>8462</v>
      </c>
      <c r="I1746" s="0" t="s">
        <v>7338</v>
      </c>
      <c r="J1746" s="0" t="s">
        <v>6349</v>
      </c>
      <c r="K1746" s="0" t="s">
        <v>7339</v>
      </c>
      <c r="L1746" s="0" t="s">
        <v>7340</v>
      </c>
      <c r="M1746" s="0" t="s">
        <v>8459</v>
      </c>
      <c r="N1746" s="0" t="s">
        <v>7342</v>
      </c>
      <c r="P1746" s="0" t="s">
        <v>229</v>
      </c>
      <c r="R1746" s="0" t="s">
        <v>7343</v>
      </c>
      <c r="S1746" s="0" t="s">
        <v>7344</v>
      </c>
      <c r="T1746" s="0" t="s">
        <v>228</v>
      </c>
      <c r="V1746" s="0" t="s">
        <v>34</v>
      </c>
      <c r="W1746" s="0" t="s">
        <v>44</v>
      </c>
      <c r="X1746" s="0" t="s">
        <v>7355</v>
      </c>
      <c r="Y1746" s="0" t="s">
        <v>7409</v>
      </c>
      <c r="Z1746" s="0" t="s">
        <v>7370</v>
      </c>
      <c r="AA1746" s="0" t="s">
        <v>7504</v>
      </c>
      <c r="AB1746" s="0" t="s">
        <v>231</v>
      </c>
      <c r="AC1746" s="0" t="s">
        <v>7349</v>
      </c>
      <c r="AD1746" s="0" t="s">
        <v>8407</v>
      </c>
      <c r="AE1746" s="0" t="s">
        <v>7412</v>
      </c>
      <c r="AF1746" s="0" t="s">
        <v>7374</v>
      </c>
      <c r="AG1746" s="0" t="s">
        <v>230</v>
      </c>
    </row>
    <row r="1747" customFormat="false" ht="15" hidden="false" customHeight="false" outlineLevel="0" collapsed="false">
      <c r="A1747" s="0" t="s">
        <v>7336</v>
      </c>
      <c r="B1747" s="0" t="s">
        <v>6362</v>
      </c>
      <c r="C1747" s="0" t="s">
        <v>6363</v>
      </c>
      <c r="D1747" s="0" t="s">
        <v>2983</v>
      </c>
      <c r="E1747" s="0" t="s">
        <v>6364</v>
      </c>
      <c r="F1747" s="0" t="s">
        <v>6365</v>
      </c>
      <c r="G1747" s="0" t="s">
        <v>134</v>
      </c>
      <c r="H1747" s="0" t="s">
        <v>8463</v>
      </c>
      <c r="I1747" s="0" t="s">
        <v>7338</v>
      </c>
      <c r="J1747" s="0" t="s">
        <v>6349</v>
      </c>
      <c r="K1747" s="0" t="s">
        <v>7339</v>
      </c>
      <c r="L1747" s="0" t="s">
        <v>7340</v>
      </c>
      <c r="M1747" s="0" t="s">
        <v>8459</v>
      </c>
      <c r="N1747" s="0" t="s">
        <v>7342</v>
      </c>
      <c r="P1747" s="0" t="s">
        <v>229</v>
      </c>
      <c r="R1747" s="0" t="s">
        <v>7343</v>
      </c>
      <c r="S1747" s="0" t="s">
        <v>7344</v>
      </c>
      <c r="T1747" s="0" t="s">
        <v>228</v>
      </c>
      <c r="V1747" s="0" t="s">
        <v>34</v>
      </c>
      <c r="W1747" s="0" t="s">
        <v>44</v>
      </c>
      <c r="X1747" s="0" t="s">
        <v>7355</v>
      </c>
      <c r="Y1747" s="0" t="s">
        <v>7409</v>
      </c>
      <c r="Z1747" s="0" t="s">
        <v>7370</v>
      </c>
      <c r="AA1747" s="0" t="s">
        <v>7504</v>
      </c>
      <c r="AB1747" s="0" t="s">
        <v>231</v>
      </c>
      <c r="AC1747" s="0" t="s">
        <v>7349</v>
      </c>
      <c r="AD1747" s="0" t="s">
        <v>8407</v>
      </c>
      <c r="AE1747" s="0" t="s">
        <v>7412</v>
      </c>
      <c r="AF1747" s="0" t="s">
        <v>7374</v>
      </c>
      <c r="AG1747" s="0" t="s">
        <v>230</v>
      </c>
    </row>
    <row r="1748" customFormat="false" ht="15" hidden="false" customHeight="false" outlineLevel="0" collapsed="false">
      <c r="A1748" s="0" t="s">
        <v>7336</v>
      </c>
      <c r="B1748" s="0" t="s">
        <v>6366</v>
      </c>
      <c r="C1748" s="0" t="s">
        <v>6367</v>
      </c>
      <c r="D1748" s="0" t="s">
        <v>2983</v>
      </c>
      <c r="E1748" s="0" t="s">
        <v>6368</v>
      </c>
      <c r="F1748" s="0" t="s">
        <v>6369</v>
      </c>
      <c r="G1748" s="0" t="s">
        <v>134</v>
      </c>
      <c r="H1748" s="0" t="s">
        <v>8464</v>
      </c>
      <c r="I1748" s="0" t="s">
        <v>7338</v>
      </c>
      <c r="J1748" s="0" t="s">
        <v>6349</v>
      </c>
      <c r="K1748" s="0" t="s">
        <v>7339</v>
      </c>
      <c r="L1748" s="0" t="s">
        <v>7340</v>
      </c>
      <c r="M1748" s="0" t="s">
        <v>8459</v>
      </c>
      <c r="N1748" s="0" t="s">
        <v>7342</v>
      </c>
      <c r="P1748" s="0" t="s">
        <v>229</v>
      </c>
      <c r="R1748" s="0" t="s">
        <v>7343</v>
      </c>
      <c r="S1748" s="0" t="s">
        <v>7344</v>
      </c>
      <c r="T1748" s="0" t="s">
        <v>228</v>
      </c>
      <c r="V1748" s="0" t="s">
        <v>34</v>
      </c>
      <c r="W1748" s="0" t="s">
        <v>44</v>
      </c>
      <c r="X1748" s="0" t="s">
        <v>7355</v>
      </c>
      <c r="Y1748" s="0" t="s">
        <v>7409</v>
      </c>
      <c r="Z1748" s="0" t="s">
        <v>7370</v>
      </c>
      <c r="AA1748" s="0" t="s">
        <v>7504</v>
      </c>
      <c r="AB1748" s="0" t="s">
        <v>231</v>
      </c>
      <c r="AC1748" s="0" t="s">
        <v>7349</v>
      </c>
      <c r="AD1748" s="0" t="s">
        <v>8407</v>
      </c>
      <c r="AE1748" s="0" t="s">
        <v>7412</v>
      </c>
      <c r="AF1748" s="0" t="s">
        <v>7374</v>
      </c>
      <c r="AG1748" s="0" t="s">
        <v>6370</v>
      </c>
    </row>
    <row r="1749" customFormat="false" ht="15" hidden="false" customHeight="false" outlineLevel="0" collapsed="false">
      <c r="A1749" s="0" t="s">
        <v>7336</v>
      </c>
      <c r="B1749" s="0" t="s">
        <v>6371</v>
      </c>
      <c r="C1749" s="0" t="s">
        <v>6372</v>
      </c>
      <c r="D1749" s="0" t="s">
        <v>2431</v>
      </c>
      <c r="E1749" s="0" t="s">
        <v>6373</v>
      </c>
      <c r="F1749" s="0" t="s">
        <v>6374</v>
      </c>
      <c r="G1749" s="0" t="s">
        <v>111</v>
      </c>
      <c r="H1749" s="0" t="s">
        <v>8465</v>
      </c>
      <c r="I1749" s="0" t="s">
        <v>7338</v>
      </c>
      <c r="J1749" s="0" t="s">
        <v>6375</v>
      </c>
      <c r="K1749" s="0" t="s">
        <v>7339</v>
      </c>
      <c r="L1749" s="0" t="s">
        <v>7340</v>
      </c>
      <c r="M1749" s="0" t="s">
        <v>7777</v>
      </c>
      <c r="N1749" s="0" t="s">
        <v>7342</v>
      </c>
      <c r="P1749" s="0" t="s">
        <v>229</v>
      </c>
      <c r="R1749" s="0" t="s">
        <v>7343</v>
      </c>
      <c r="S1749" s="0" t="s">
        <v>7344</v>
      </c>
      <c r="T1749" s="0" t="s">
        <v>681</v>
      </c>
      <c r="V1749" s="0" t="s">
        <v>34</v>
      </c>
      <c r="W1749" s="0" t="s">
        <v>36</v>
      </c>
      <c r="Y1749" s="0" t="s">
        <v>7495</v>
      </c>
      <c r="Z1749" s="0" t="s">
        <v>7496</v>
      </c>
      <c r="AA1749" s="0" t="s">
        <v>7497</v>
      </c>
      <c r="AB1749" s="0" t="s">
        <v>682</v>
      </c>
      <c r="AC1749" s="0" t="s">
        <v>7349</v>
      </c>
      <c r="AD1749" s="0" t="s">
        <v>7498</v>
      </c>
      <c r="AE1749" s="0" t="s">
        <v>7778</v>
      </c>
      <c r="AF1749" s="0" t="s">
        <v>7499</v>
      </c>
      <c r="AG1749" s="0" t="s">
        <v>230</v>
      </c>
    </row>
    <row r="1750" customFormat="false" ht="15" hidden="false" customHeight="false" outlineLevel="0" collapsed="false">
      <c r="A1750" s="0" t="s">
        <v>7336</v>
      </c>
      <c r="B1750" s="0" t="s">
        <v>6376</v>
      </c>
      <c r="C1750" s="0" t="s">
        <v>6377</v>
      </c>
      <c r="D1750" s="0" t="s">
        <v>2431</v>
      </c>
      <c r="E1750" s="0" t="s">
        <v>6378</v>
      </c>
      <c r="F1750" s="0" t="s">
        <v>6374</v>
      </c>
      <c r="G1750" s="0" t="s">
        <v>111</v>
      </c>
      <c r="H1750" s="0" t="s">
        <v>8465</v>
      </c>
      <c r="I1750" s="0" t="s">
        <v>7338</v>
      </c>
      <c r="J1750" s="0" t="s">
        <v>6375</v>
      </c>
      <c r="K1750" s="0" t="s">
        <v>7339</v>
      </c>
      <c r="L1750" s="0" t="s">
        <v>7340</v>
      </c>
      <c r="M1750" s="0" t="s">
        <v>7777</v>
      </c>
      <c r="N1750" s="0" t="s">
        <v>7342</v>
      </c>
      <c r="P1750" s="0" t="s">
        <v>229</v>
      </c>
      <c r="R1750" s="0" t="s">
        <v>7343</v>
      </c>
      <c r="S1750" s="0" t="s">
        <v>7344</v>
      </c>
      <c r="T1750" s="0" t="s">
        <v>681</v>
      </c>
      <c r="V1750" s="0" t="s">
        <v>34</v>
      </c>
      <c r="W1750" s="0" t="s">
        <v>36</v>
      </c>
      <c r="Y1750" s="0" t="s">
        <v>7495</v>
      </c>
      <c r="Z1750" s="0" t="s">
        <v>7496</v>
      </c>
      <c r="AA1750" s="0" t="s">
        <v>7497</v>
      </c>
      <c r="AB1750" s="0" t="s">
        <v>682</v>
      </c>
      <c r="AC1750" s="0" t="s">
        <v>7349</v>
      </c>
      <c r="AD1750" s="0" t="s">
        <v>7498</v>
      </c>
      <c r="AE1750" s="0" t="s">
        <v>7797</v>
      </c>
      <c r="AF1750" s="0" t="s">
        <v>7499</v>
      </c>
      <c r="AG1750" s="0" t="s">
        <v>230</v>
      </c>
    </row>
    <row r="1751" customFormat="false" ht="15" hidden="false" customHeight="false" outlineLevel="0" collapsed="false">
      <c r="A1751" s="0" t="s">
        <v>7336</v>
      </c>
      <c r="B1751" s="0" t="s">
        <v>6379</v>
      </c>
      <c r="C1751" s="0" t="s">
        <v>6380</v>
      </c>
      <c r="D1751" s="0" t="s">
        <v>2431</v>
      </c>
      <c r="E1751" s="0" t="s">
        <v>6381</v>
      </c>
      <c r="F1751" s="0" t="s">
        <v>6382</v>
      </c>
      <c r="G1751" s="0" t="s">
        <v>111</v>
      </c>
      <c r="H1751" s="0" t="s">
        <v>8466</v>
      </c>
      <c r="I1751" s="0" t="s">
        <v>7338</v>
      </c>
      <c r="J1751" s="0" t="s">
        <v>6375</v>
      </c>
      <c r="K1751" s="0" t="s">
        <v>7339</v>
      </c>
      <c r="L1751" s="0" t="s">
        <v>7340</v>
      </c>
      <c r="M1751" s="0" t="s">
        <v>7777</v>
      </c>
      <c r="N1751" s="0" t="s">
        <v>7342</v>
      </c>
      <c r="P1751" s="0" t="s">
        <v>229</v>
      </c>
      <c r="R1751" s="0" t="s">
        <v>7343</v>
      </c>
      <c r="S1751" s="0" t="s">
        <v>7344</v>
      </c>
      <c r="T1751" s="0" t="s">
        <v>228</v>
      </c>
      <c r="V1751" s="0" t="s">
        <v>34</v>
      </c>
      <c r="W1751" s="0" t="s">
        <v>38</v>
      </c>
      <c r="X1751" s="0" t="s">
        <v>7345</v>
      </c>
      <c r="Y1751" s="0" t="s">
        <v>7409</v>
      </c>
      <c r="Z1751" s="0" t="s">
        <v>7370</v>
      </c>
      <c r="AA1751" s="0" t="s">
        <v>7504</v>
      </c>
      <c r="AB1751" s="0" t="s">
        <v>231</v>
      </c>
      <c r="AC1751" s="0" t="s">
        <v>7349</v>
      </c>
      <c r="AD1751" s="0" t="s">
        <v>7505</v>
      </c>
      <c r="AE1751" s="0" t="s">
        <v>301</v>
      </c>
      <c r="AF1751" s="0" t="s">
        <v>7374</v>
      </c>
      <c r="AG1751" s="0" t="s">
        <v>230</v>
      </c>
    </row>
    <row r="1752" customFormat="false" ht="15" hidden="false" customHeight="false" outlineLevel="0" collapsed="false">
      <c r="A1752" s="0" t="s">
        <v>7336</v>
      </c>
      <c r="B1752" s="0" t="s">
        <v>6383</v>
      </c>
      <c r="C1752" s="0" t="s">
        <v>6384</v>
      </c>
      <c r="D1752" s="0" t="s">
        <v>2431</v>
      </c>
      <c r="E1752" s="0" t="s">
        <v>6385</v>
      </c>
      <c r="F1752" s="0" t="s">
        <v>6382</v>
      </c>
      <c r="G1752" s="0" t="s">
        <v>111</v>
      </c>
      <c r="H1752" s="0" t="s">
        <v>8466</v>
      </c>
      <c r="I1752" s="0" t="s">
        <v>7338</v>
      </c>
      <c r="J1752" s="0" t="s">
        <v>6375</v>
      </c>
      <c r="K1752" s="0" t="s">
        <v>7339</v>
      </c>
      <c r="L1752" s="0" t="s">
        <v>7340</v>
      </c>
      <c r="M1752" s="0" t="s">
        <v>7777</v>
      </c>
      <c r="N1752" s="0" t="s">
        <v>7342</v>
      </c>
      <c r="P1752" s="0" t="s">
        <v>229</v>
      </c>
      <c r="R1752" s="0" t="s">
        <v>7343</v>
      </c>
      <c r="S1752" s="0" t="s">
        <v>7344</v>
      </c>
      <c r="T1752" s="0" t="s">
        <v>681</v>
      </c>
      <c r="V1752" s="0" t="s">
        <v>34</v>
      </c>
      <c r="W1752" s="0" t="s">
        <v>36</v>
      </c>
      <c r="Y1752" s="0" t="s">
        <v>7495</v>
      </c>
      <c r="Z1752" s="0" t="s">
        <v>7496</v>
      </c>
      <c r="AA1752" s="0" t="s">
        <v>7497</v>
      </c>
      <c r="AB1752" s="0" t="s">
        <v>682</v>
      </c>
      <c r="AC1752" s="0" t="s">
        <v>7349</v>
      </c>
      <c r="AD1752" s="0" t="s">
        <v>7498</v>
      </c>
      <c r="AE1752" s="0" t="s">
        <v>7778</v>
      </c>
      <c r="AF1752" s="0" t="s">
        <v>7499</v>
      </c>
      <c r="AG1752" s="0" t="s">
        <v>230</v>
      </c>
    </row>
    <row r="1753" customFormat="false" ht="15" hidden="false" customHeight="false" outlineLevel="0" collapsed="false">
      <c r="A1753" s="0" t="s">
        <v>7336</v>
      </c>
      <c r="B1753" s="0" t="s">
        <v>6386</v>
      </c>
      <c r="C1753" s="0" t="s">
        <v>6387</v>
      </c>
      <c r="D1753" s="0" t="s">
        <v>2431</v>
      </c>
      <c r="E1753" s="0" t="s">
        <v>6388</v>
      </c>
      <c r="F1753" s="0" t="s">
        <v>6389</v>
      </c>
      <c r="G1753" s="0" t="s">
        <v>111</v>
      </c>
      <c r="H1753" s="0" t="s">
        <v>8467</v>
      </c>
      <c r="I1753" s="0" t="s">
        <v>7338</v>
      </c>
      <c r="J1753" s="0" t="s">
        <v>6375</v>
      </c>
      <c r="K1753" s="0" t="s">
        <v>7339</v>
      </c>
      <c r="L1753" s="0" t="s">
        <v>7340</v>
      </c>
      <c r="M1753" s="0" t="s">
        <v>7777</v>
      </c>
      <c r="N1753" s="0" t="s">
        <v>7342</v>
      </c>
      <c r="P1753" s="0" t="s">
        <v>229</v>
      </c>
      <c r="R1753" s="0" t="s">
        <v>7343</v>
      </c>
      <c r="S1753" s="0" t="s">
        <v>7344</v>
      </c>
      <c r="T1753" s="0" t="s">
        <v>228</v>
      </c>
      <c r="V1753" s="0" t="s">
        <v>34</v>
      </c>
      <c r="W1753" s="0" t="s">
        <v>38</v>
      </c>
      <c r="X1753" s="0" t="s">
        <v>7345</v>
      </c>
      <c r="Y1753" s="0" t="s">
        <v>7409</v>
      </c>
      <c r="Z1753" s="0" t="s">
        <v>7370</v>
      </c>
      <c r="AA1753" s="0" t="s">
        <v>7504</v>
      </c>
      <c r="AB1753" s="0" t="s">
        <v>231</v>
      </c>
      <c r="AC1753" s="0" t="s">
        <v>7349</v>
      </c>
      <c r="AD1753" s="0" t="s">
        <v>7505</v>
      </c>
      <c r="AE1753" s="0" t="s">
        <v>301</v>
      </c>
      <c r="AF1753" s="0" t="s">
        <v>7374</v>
      </c>
      <c r="AG1753" s="0" t="s">
        <v>230</v>
      </c>
    </row>
    <row r="1754" customFormat="false" ht="15" hidden="false" customHeight="false" outlineLevel="0" collapsed="false">
      <c r="A1754" s="0" t="s">
        <v>7336</v>
      </c>
      <c r="B1754" s="0" t="s">
        <v>6390</v>
      </c>
      <c r="C1754" s="0" t="s">
        <v>6391</v>
      </c>
      <c r="D1754" s="0" t="s">
        <v>2431</v>
      </c>
      <c r="E1754" s="0" t="s">
        <v>6392</v>
      </c>
      <c r="F1754" s="0" t="s">
        <v>6389</v>
      </c>
      <c r="G1754" s="0" t="s">
        <v>111</v>
      </c>
      <c r="H1754" s="0" t="s">
        <v>8467</v>
      </c>
      <c r="I1754" s="0" t="s">
        <v>7338</v>
      </c>
      <c r="J1754" s="0" t="s">
        <v>6375</v>
      </c>
      <c r="K1754" s="0" t="s">
        <v>7339</v>
      </c>
      <c r="L1754" s="0" t="s">
        <v>7340</v>
      </c>
      <c r="M1754" s="0" t="s">
        <v>7777</v>
      </c>
      <c r="N1754" s="0" t="s">
        <v>7342</v>
      </c>
      <c r="P1754" s="0" t="s">
        <v>229</v>
      </c>
      <c r="R1754" s="0" t="s">
        <v>7343</v>
      </c>
      <c r="S1754" s="0" t="s">
        <v>7344</v>
      </c>
      <c r="T1754" s="0" t="s">
        <v>681</v>
      </c>
      <c r="V1754" s="0" t="s">
        <v>34</v>
      </c>
      <c r="W1754" s="0" t="s">
        <v>36</v>
      </c>
      <c r="Y1754" s="0" t="s">
        <v>7495</v>
      </c>
      <c r="Z1754" s="0" t="s">
        <v>7496</v>
      </c>
      <c r="AA1754" s="0" t="s">
        <v>7497</v>
      </c>
      <c r="AB1754" s="0" t="s">
        <v>682</v>
      </c>
      <c r="AC1754" s="0" t="s">
        <v>7349</v>
      </c>
      <c r="AD1754" s="0" t="s">
        <v>7498</v>
      </c>
      <c r="AE1754" s="0" t="s">
        <v>7778</v>
      </c>
      <c r="AF1754" s="0" t="s">
        <v>7499</v>
      </c>
      <c r="AG1754" s="0" t="s">
        <v>230</v>
      </c>
    </row>
    <row r="1755" customFormat="false" ht="15" hidden="false" customHeight="false" outlineLevel="0" collapsed="false">
      <c r="A1755" s="0" t="s">
        <v>7336</v>
      </c>
      <c r="B1755" s="0" t="s">
        <v>6393</v>
      </c>
      <c r="C1755" s="0" t="s">
        <v>6394</v>
      </c>
      <c r="D1755" s="0" t="s">
        <v>2431</v>
      </c>
      <c r="E1755" s="0" t="s">
        <v>6395</v>
      </c>
      <c r="F1755" s="0" t="s">
        <v>6396</v>
      </c>
      <c r="G1755" s="0" t="s">
        <v>111</v>
      </c>
      <c r="H1755" s="0" t="s">
        <v>8468</v>
      </c>
      <c r="I1755" s="0" t="s">
        <v>7338</v>
      </c>
      <c r="J1755" s="0" t="s">
        <v>6375</v>
      </c>
      <c r="K1755" s="0" t="s">
        <v>7339</v>
      </c>
      <c r="L1755" s="0" t="s">
        <v>7340</v>
      </c>
      <c r="M1755" s="0" t="s">
        <v>7777</v>
      </c>
      <c r="N1755" s="0" t="s">
        <v>7342</v>
      </c>
      <c r="P1755" s="0" t="s">
        <v>229</v>
      </c>
      <c r="R1755" s="0" t="s">
        <v>7343</v>
      </c>
      <c r="S1755" s="0" t="s">
        <v>7344</v>
      </c>
      <c r="T1755" s="0" t="s">
        <v>228</v>
      </c>
      <c r="V1755" s="0" t="s">
        <v>34</v>
      </c>
      <c r="W1755" s="0" t="s">
        <v>38</v>
      </c>
      <c r="X1755" s="0" t="s">
        <v>7345</v>
      </c>
      <c r="Y1755" s="0" t="s">
        <v>7409</v>
      </c>
      <c r="Z1755" s="0" t="s">
        <v>7370</v>
      </c>
      <c r="AA1755" s="0" t="s">
        <v>7504</v>
      </c>
      <c r="AB1755" s="0" t="s">
        <v>231</v>
      </c>
      <c r="AC1755" s="0" t="s">
        <v>7349</v>
      </c>
      <c r="AD1755" s="0" t="s">
        <v>7505</v>
      </c>
      <c r="AE1755" s="0" t="s">
        <v>301</v>
      </c>
      <c r="AF1755" s="0" t="s">
        <v>7374</v>
      </c>
      <c r="AG1755" s="0" t="s">
        <v>230</v>
      </c>
    </row>
    <row r="1756" customFormat="false" ht="15" hidden="false" customHeight="false" outlineLevel="0" collapsed="false">
      <c r="A1756" s="0" t="s">
        <v>7336</v>
      </c>
      <c r="B1756" s="0" t="s">
        <v>6397</v>
      </c>
      <c r="C1756" s="0" t="s">
        <v>6398</v>
      </c>
      <c r="D1756" s="0" t="s">
        <v>2431</v>
      </c>
      <c r="E1756" s="0" t="s">
        <v>6399</v>
      </c>
      <c r="F1756" s="0" t="s">
        <v>6396</v>
      </c>
      <c r="G1756" s="0" t="s">
        <v>111</v>
      </c>
      <c r="H1756" s="0" t="s">
        <v>8468</v>
      </c>
      <c r="I1756" s="0" t="s">
        <v>7338</v>
      </c>
      <c r="J1756" s="0" t="s">
        <v>6375</v>
      </c>
      <c r="K1756" s="0" t="s">
        <v>7339</v>
      </c>
      <c r="L1756" s="0" t="s">
        <v>7340</v>
      </c>
      <c r="M1756" s="0" t="s">
        <v>7777</v>
      </c>
      <c r="N1756" s="0" t="s">
        <v>7342</v>
      </c>
      <c r="P1756" s="0" t="s">
        <v>229</v>
      </c>
      <c r="R1756" s="0" t="s">
        <v>7343</v>
      </c>
      <c r="S1756" s="0" t="s">
        <v>7344</v>
      </c>
      <c r="T1756" s="0" t="s">
        <v>681</v>
      </c>
      <c r="V1756" s="0" t="s">
        <v>34</v>
      </c>
      <c r="W1756" s="0" t="s">
        <v>36</v>
      </c>
      <c r="Y1756" s="0" t="s">
        <v>7495</v>
      </c>
      <c r="Z1756" s="0" t="s">
        <v>7496</v>
      </c>
      <c r="AA1756" s="0" t="s">
        <v>7497</v>
      </c>
      <c r="AB1756" s="0" t="s">
        <v>682</v>
      </c>
      <c r="AC1756" s="0" t="s">
        <v>7349</v>
      </c>
      <c r="AD1756" s="0" t="s">
        <v>7498</v>
      </c>
      <c r="AE1756" s="0" t="s">
        <v>7778</v>
      </c>
      <c r="AF1756" s="0" t="s">
        <v>7499</v>
      </c>
      <c r="AG1756" s="0" t="s">
        <v>230</v>
      </c>
    </row>
    <row r="1757" customFormat="false" ht="15" hidden="false" customHeight="false" outlineLevel="0" collapsed="false">
      <c r="A1757" s="0" t="s">
        <v>7336</v>
      </c>
      <c r="B1757" s="0" t="s">
        <v>6400</v>
      </c>
      <c r="C1757" s="0" t="s">
        <v>6401</v>
      </c>
      <c r="D1757" s="0" t="s">
        <v>2431</v>
      </c>
      <c r="E1757" s="0" t="s">
        <v>6402</v>
      </c>
      <c r="F1757" s="0" t="s">
        <v>6403</v>
      </c>
      <c r="G1757" s="0" t="s">
        <v>111</v>
      </c>
      <c r="H1757" s="0" t="s">
        <v>8469</v>
      </c>
      <c r="I1757" s="0" t="s">
        <v>7338</v>
      </c>
      <c r="J1757" s="0" t="s">
        <v>6375</v>
      </c>
      <c r="K1757" s="0" t="s">
        <v>7339</v>
      </c>
      <c r="L1757" s="0" t="s">
        <v>7340</v>
      </c>
      <c r="M1757" s="0" t="s">
        <v>7777</v>
      </c>
      <c r="N1757" s="0" t="s">
        <v>7342</v>
      </c>
      <c r="P1757" s="0" t="s">
        <v>229</v>
      </c>
      <c r="R1757" s="0" t="s">
        <v>7343</v>
      </c>
      <c r="S1757" s="0" t="s">
        <v>7344</v>
      </c>
      <c r="T1757" s="0" t="s">
        <v>228</v>
      </c>
      <c r="V1757" s="0" t="s">
        <v>34</v>
      </c>
      <c r="W1757" s="0" t="s">
        <v>38</v>
      </c>
      <c r="X1757" s="0" t="s">
        <v>7345</v>
      </c>
      <c r="Y1757" s="0" t="s">
        <v>7409</v>
      </c>
      <c r="Z1757" s="0" t="s">
        <v>7370</v>
      </c>
      <c r="AA1757" s="0" t="s">
        <v>7504</v>
      </c>
      <c r="AB1757" s="0" t="s">
        <v>231</v>
      </c>
      <c r="AC1757" s="0" t="s">
        <v>7349</v>
      </c>
      <c r="AD1757" s="0" t="s">
        <v>7505</v>
      </c>
      <c r="AE1757" s="0" t="s">
        <v>301</v>
      </c>
      <c r="AF1757" s="0" t="s">
        <v>7374</v>
      </c>
      <c r="AG1757" s="0" t="s">
        <v>230</v>
      </c>
    </row>
    <row r="1758" customFormat="false" ht="15" hidden="false" customHeight="false" outlineLevel="0" collapsed="false">
      <c r="A1758" s="0" t="s">
        <v>7336</v>
      </c>
      <c r="B1758" s="0" t="s">
        <v>6404</v>
      </c>
      <c r="C1758" s="0" t="s">
        <v>6405</v>
      </c>
      <c r="D1758" s="0" t="s">
        <v>2431</v>
      </c>
      <c r="E1758" s="0" t="s">
        <v>6406</v>
      </c>
      <c r="F1758" s="0" t="s">
        <v>6403</v>
      </c>
      <c r="G1758" s="0" t="s">
        <v>111</v>
      </c>
      <c r="H1758" s="0" t="s">
        <v>8469</v>
      </c>
      <c r="I1758" s="0" t="s">
        <v>7338</v>
      </c>
      <c r="J1758" s="0" t="s">
        <v>6375</v>
      </c>
      <c r="K1758" s="0" t="s">
        <v>7339</v>
      </c>
      <c r="L1758" s="0" t="s">
        <v>7340</v>
      </c>
      <c r="M1758" s="0" t="s">
        <v>7777</v>
      </c>
      <c r="N1758" s="0" t="s">
        <v>7342</v>
      </c>
      <c r="P1758" s="0" t="s">
        <v>229</v>
      </c>
      <c r="R1758" s="0" t="s">
        <v>7343</v>
      </c>
      <c r="S1758" s="0" t="s">
        <v>7344</v>
      </c>
      <c r="T1758" s="0" t="s">
        <v>681</v>
      </c>
      <c r="V1758" s="0" t="s">
        <v>34</v>
      </c>
      <c r="W1758" s="0" t="s">
        <v>36</v>
      </c>
      <c r="Y1758" s="0" t="s">
        <v>7495</v>
      </c>
      <c r="Z1758" s="0" t="s">
        <v>7496</v>
      </c>
      <c r="AA1758" s="0" t="s">
        <v>7497</v>
      </c>
      <c r="AB1758" s="0" t="s">
        <v>682</v>
      </c>
      <c r="AC1758" s="0" t="s">
        <v>7349</v>
      </c>
      <c r="AD1758" s="0" t="s">
        <v>7498</v>
      </c>
      <c r="AE1758" s="0" t="s">
        <v>7778</v>
      </c>
      <c r="AF1758" s="0" t="s">
        <v>7499</v>
      </c>
      <c r="AG1758" s="0" t="s">
        <v>230</v>
      </c>
    </row>
    <row r="1759" customFormat="false" ht="15" hidden="false" customHeight="false" outlineLevel="0" collapsed="false">
      <c r="A1759" s="0" t="s">
        <v>7336</v>
      </c>
      <c r="B1759" s="0" t="s">
        <v>6407</v>
      </c>
      <c r="C1759" s="0" t="s">
        <v>6408</v>
      </c>
      <c r="D1759" s="0" t="s">
        <v>2431</v>
      </c>
      <c r="E1759" s="0" t="s">
        <v>6409</v>
      </c>
      <c r="F1759" s="0" t="s">
        <v>6403</v>
      </c>
      <c r="G1759" s="0" t="s">
        <v>111</v>
      </c>
      <c r="H1759" s="0" t="s">
        <v>8469</v>
      </c>
      <c r="I1759" s="0" t="s">
        <v>7338</v>
      </c>
      <c r="J1759" s="0" t="s">
        <v>6375</v>
      </c>
      <c r="K1759" s="0" t="s">
        <v>7339</v>
      </c>
      <c r="L1759" s="0" t="s">
        <v>7340</v>
      </c>
      <c r="M1759" s="0" t="s">
        <v>7777</v>
      </c>
      <c r="N1759" s="0" t="s">
        <v>7342</v>
      </c>
      <c r="P1759" s="0" t="s">
        <v>229</v>
      </c>
      <c r="R1759" s="0" t="s">
        <v>7343</v>
      </c>
      <c r="S1759" s="0" t="s">
        <v>7344</v>
      </c>
      <c r="T1759" s="0" t="s">
        <v>681</v>
      </c>
      <c r="V1759" s="0" t="s">
        <v>34</v>
      </c>
      <c r="W1759" s="0" t="s">
        <v>36</v>
      </c>
      <c r="Y1759" s="0" t="s">
        <v>7495</v>
      </c>
      <c r="Z1759" s="0" t="s">
        <v>7496</v>
      </c>
      <c r="AA1759" s="0" t="s">
        <v>7497</v>
      </c>
      <c r="AB1759" s="0" t="s">
        <v>682</v>
      </c>
      <c r="AC1759" s="0" t="s">
        <v>7349</v>
      </c>
      <c r="AD1759" s="0" t="s">
        <v>7498</v>
      </c>
      <c r="AE1759" s="0" t="s">
        <v>7797</v>
      </c>
      <c r="AF1759" s="0" t="s">
        <v>7499</v>
      </c>
      <c r="AG1759" s="0" t="s">
        <v>230</v>
      </c>
    </row>
    <row r="1760" customFormat="false" ht="15" hidden="false" customHeight="false" outlineLevel="0" collapsed="false">
      <c r="A1760" s="0" t="s">
        <v>7336</v>
      </c>
      <c r="B1760" s="0" t="s">
        <v>6410</v>
      </c>
      <c r="C1760" s="0" t="s">
        <v>6411</v>
      </c>
      <c r="D1760" s="0" t="s">
        <v>2431</v>
      </c>
      <c r="E1760" s="0" t="s">
        <v>6412</v>
      </c>
      <c r="F1760" s="0" t="s">
        <v>6413</v>
      </c>
      <c r="G1760" s="0" t="s">
        <v>111</v>
      </c>
      <c r="H1760" s="0" t="s">
        <v>8470</v>
      </c>
      <c r="I1760" s="0" t="s">
        <v>7338</v>
      </c>
      <c r="J1760" s="0" t="s">
        <v>6375</v>
      </c>
      <c r="K1760" s="0" t="s">
        <v>7339</v>
      </c>
      <c r="L1760" s="0" t="s">
        <v>7340</v>
      </c>
      <c r="M1760" s="0" t="s">
        <v>7777</v>
      </c>
      <c r="N1760" s="0" t="s">
        <v>7342</v>
      </c>
      <c r="P1760" s="0" t="s">
        <v>229</v>
      </c>
      <c r="R1760" s="0" t="s">
        <v>7343</v>
      </c>
      <c r="S1760" s="0" t="s">
        <v>7344</v>
      </c>
      <c r="T1760" s="0" t="s">
        <v>228</v>
      </c>
      <c r="V1760" s="0" t="s">
        <v>34</v>
      </c>
      <c r="W1760" s="0" t="s">
        <v>36</v>
      </c>
      <c r="X1760" s="0" t="s">
        <v>7345</v>
      </c>
      <c r="Y1760" s="0" t="s">
        <v>7409</v>
      </c>
      <c r="Z1760" s="0" t="s">
        <v>7370</v>
      </c>
      <c r="AA1760" s="0" t="s">
        <v>7504</v>
      </c>
      <c r="AB1760" s="0" t="s">
        <v>231</v>
      </c>
      <c r="AC1760" s="0" t="s">
        <v>7349</v>
      </c>
      <c r="AD1760" s="0" t="s">
        <v>7505</v>
      </c>
      <c r="AE1760" s="0" t="s">
        <v>7779</v>
      </c>
      <c r="AF1760" s="0" t="s">
        <v>7374</v>
      </c>
      <c r="AG1760" s="0" t="s">
        <v>230</v>
      </c>
    </row>
    <row r="1761" customFormat="false" ht="15" hidden="false" customHeight="false" outlineLevel="0" collapsed="false">
      <c r="A1761" s="0" t="s">
        <v>7336</v>
      </c>
      <c r="B1761" s="0" t="s">
        <v>6414</v>
      </c>
      <c r="C1761" s="0" t="s">
        <v>6415</v>
      </c>
      <c r="D1761" s="0" t="s">
        <v>2431</v>
      </c>
      <c r="E1761" s="0" t="s">
        <v>6416</v>
      </c>
      <c r="F1761" s="0" t="s">
        <v>6413</v>
      </c>
      <c r="G1761" s="0" t="s">
        <v>111</v>
      </c>
      <c r="H1761" s="0" t="s">
        <v>8470</v>
      </c>
      <c r="I1761" s="0" t="s">
        <v>7338</v>
      </c>
      <c r="J1761" s="0" t="s">
        <v>6375</v>
      </c>
      <c r="K1761" s="0" t="s">
        <v>7339</v>
      </c>
      <c r="L1761" s="0" t="s">
        <v>7340</v>
      </c>
      <c r="M1761" s="0" t="s">
        <v>7777</v>
      </c>
      <c r="N1761" s="0" t="s">
        <v>7342</v>
      </c>
      <c r="P1761" s="0" t="s">
        <v>229</v>
      </c>
      <c r="R1761" s="0" t="s">
        <v>7343</v>
      </c>
      <c r="S1761" s="0" t="s">
        <v>7344</v>
      </c>
      <c r="T1761" s="0" t="s">
        <v>681</v>
      </c>
      <c r="V1761" s="0" t="s">
        <v>34</v>
      </c>
      <c r="W1761" s="0" t="s">
        <v>36</v>
      </c>
      <c r="Y1761" s="0" t="s">
        <v>7495</v>
      </c>
      <c r="Z1761" s="0" t="s">
        <v>7496</v>
      </c>
      <c r="AA1761" s="0" t="s">
        <v>7497</v>
      </c>
      <c r="AB1761" s="0" t="s">
        <v>682</v>
      </c>
      <c r="AC1761" s="0" t="s">
        <v>7349</v>
      </c>
      <c r="AD1761" s="0" t="s">
        <v>7498</v>
      </c>
      <c r="AE1761" s="0" t="s">
        <v>7778</v>
      </c>
      <c r="AF1761" s="0" t="s">
        <v>7499</v>
      </c>
      <c r="AG1761" s="0" t="s">
        <v>230</v>
      </c>
    </row>
    <row r="1762" customFormat="false" ht="15" hidden="false" customHeight="false" outlineLevel="0" collapsed="false">
      <c r="A1762" s="0" t="s">
        <v>7336</v>
      </c>
      <c r="B1762" s="0" t="s">
        <v>6417</v>
      </c>
      <c r="C1762" s="0" t="s">
        <v>6418</v>
      </c>
      <c r="D1762" s="0" t="s">
        <v>2431</v>
      </c>
      <c r="E1762" s="0" t="s">
        <v>6419</v>
      </c>
      <c r="F1762" s="0" t="s">
        <v>6374</v>
      </c>
      <c r="G1762" s="0" t="s">
        <v>111</v>
      </c>
      <c r="H1762" s="0" t="s">
        <v>8465</v>
      </c>
      <c r="I1762" s="0" t="s">
        <v>7338</v>
      </c>
      <c r="J1762" s="0" t="s">
        <v>6375</v>
      </c>
      <c r="K1762" s="0" t="s">
        <v>7339</v>
      </c>
      <c r="L1762" s="0" t="s">
        <v>7340</v>
      </c>
      <c r="M1762" s="0" t="s">
        <v>7777</v>
      </c>
      <c r="N1762" s="0" t="s">
        <v>7342</v>
      </c>
      <c r="P1762" s="0" t="s">
        <v>229</v>
      </c>
      <c r="R1762" s="0" t="s">
        <v>7343</v>
      </c>
      <c r="S1762" s="0" t="s">
        <v>7344</v>
      </c>
      <c r="T1762" s="0" t="s">
        <v>228</v>
      </c>
      <c r="V1762" s="0" t="s">
        <v>34</v>
      </c>
      <c r="W1762" s="0" t="s">
        <v>38</v>
      </c>
      <c r="X1762" s="0" t="s">
        <v>7345</v>
      </c>
      <c r="Y1762" s="0" t="s">
        <v>7409</v>
      </c>
      <c r="Z1762" s="0" t="s">
        <v>7370</v>
      </c>
      <c r="AA1762" s="0" t="s">
        <v>7504</v>
      </c>
      <c r="AB1762" s="0" t="s">
        <v>231</v>
      </c>
      <c r="AC1762" s="0" t="s">
        <v>7349</v>
      </c>
      <c r="AD1762" s="0" t="s">
        <v>7505</v>
      </c>
      <c r="AE1762" s="0" t="s">
        <v>301</v>
      </c>
      <c r="AF1762" s="0" t="s">
        <v>7374</v>
      </c>
      <c r="AG1762" s="0" t="s">
        <v>230</v>
      </c>
    </row>
    <row r="1763" customFormat="false" ht="15" hidden="false" customHeight="false" outlineLevel="0" collapsed="false">
      <c r="A1763" s="0" t="s">
        <v>7336</v>
      </c>
      <c r="B1763" s="0" t="s">
        <v>6420</v>
      </c>
      <c r="C1763" s="0" t="s">
        <v>6421</v>
      </c>
      <c r="D1763" s="0" t="s">
        <v>2431</v>
      </c>
      <c r="E1763" s="0" t="s">
        <v>6422</v>
      </c>
      <c r="F1763" s="0" t="s">
        <v>6423</v>
      </c>
      <c r="G1763" s="0" t="s">
        <v>111</v>
      </c>
      <c r="H1763" s="0" t="s">
        <v>8471</v>
      </c>
      <c r="I1763" s="0" t="s">
        <v>7338</v>
      </c>
      <c r="J1763" s="0" t="s">
        <v>6375</v>
      </c>
      <c r="K1763" s="0" t="s">
        <v>7339</v>
      </c>
      <c r="L1763" s="0" t="s">
        <v>7340</v>
      </c>
      <c r="M1763" s="0" t="s">
        <v>7777</v>
      </c>
      <c r="N1763" s="0" t="s">
        <v>7342</v>
      </c>
      <c r="P1763" s="0" t="s">
        <v>229</v>
      </c>
      <c r="R1763" s="0" t="s">
        <v>7343</v>
      </c>
      <c r="S1763" s="0" t="s">
        <v>7344</v>
      </c>
      <c r="T1763" s="0" t="s">
        <v>681</v>
      </c>
      <c r="V1763" s="0" t="s">
        <v>34</v>
      </c>
      <c r="W1763" s="0" t="s">
        <v>36</v>
      </c>
      <c r="Y1763" s="0" t="s">
        <v>7495</v>
      </c>
      <c r="Z1763" s="0" t="s">
        <v>7496</v>
      </c>
      <c r="AA1763" s="0" t="s">
        <v>7497</v>
      </c>
      <c r="AB1763" s="0" t="s">
        <v>682</v>
      </c>
      <c r="AC1763" s="0" t="s">
        <v>7349</v>
      </c>
      <c r="AD1763" s="0" t="s">
        <v>7498</v>
      </c>
      <c r="AE1763" s="0" t="s">
        <v>7778</v>
      </c>
      <c r="AF1763" s="0" t="s">
        <v>7499</v>
      </c>
      <c r="AG1763" s="0" t="s">
        <v>230</v>
      </c>
    </row>
    <row r="1764" customFormat="false" ht="15" hidden="false" customHeight="false" outlineLevel="0" collapsed="false">
      <c r="A1764" s="0" t="s">
        <v>7336</v>
      </c>
      <c r="B1764" s="0" t="s">
        <v>6424</v>
      </c>
      <c r="C1764" s="0" t="s">
        <v>6425</v>
      </c>
      <c r="D1764" s="0" t="s">
        <v>2431</v>
      </c>
      <c r="E1764" s="0" t="s">
        <v>6426</v>
      </c>
      <c r="F1764" s="0" t="s">
        <v>6423</v>
      </c>
      <c r="G1764" s="0" t="s">
        <v>111</v>
      </c>
      <c r="H1764" s="0" t="s">
        <v>8471</v>
      </c>
      <c r="I1764" s="0" t="s">
        <v>7338</v>
      </c>
      <c r="J1764" s="0" t="s">
        <v>6375</v>
      </c>
      <c r="K1764" s="0" t="s">
        <v>7339</v>
      </c>
      <c r="L1764" s="0" t="s">
        <v>7340</v>
      </c>
      <c r="M1764" s="0" t="s">
        <v>7777</v>
      </c>
      <c r="N1764" s="0" t="s">
        <v>7342</v>
      </c>
      <c r="P1764" s="0" t="s">
        <v>229</v>
      </c>
      <c r="R1764" s="0" t="s">
        <v>7343</v>
      </c>
      <c r="S1764" s="0" t="s">
        <v>7344</v>
      </c>
      <c r="T1764" s="0" t="s">
        <v>681</v>
      </c>
      <c r="V1764" s="0" t="s">
        <v>34</v>
      </c>
      <c r="W1764" s="0" t="s">
        <v>36</v>
      </c>
      <c r="Y1764" s="0" t="s">
        <v>7495</v>
      </c>
      <c r="Z1764" s="0" t="s">
        <v>7496</v>
      </c>
      <c r="AA1764" s="0" t="s">
        <v>7497</v>
      </c>
      <c r="AB1764" s="0" t="s">
        <v>682</v>
      </c>
      <c r="AC1764" s="0" t="s">
        <v>7349</v>
      </c>
      <c r="AD1764" s="0" t="s">
        <v>7498</v>
      </c>
      <c r="AE1764" s="0" t="s">
        <v>40</v>
      </c>
      <c r="AF1764" s="0" t="s">
        <v>7499</v>
      </c>
      <c r="AG1764" s="0" t="s">
        <v>230</v>
      </c>
    </row>
    <row r="1765" customFormat="false" ht="15" hidden="false" customHeight="false" outlineLevel="0" collapsed="false">
      <c r="A1765" s="0" t="s">
        <v>7336</v>
      </c>
      <c r="B1765" s="0" t="s">
        <v>6427</v>
      </c>
      <c r="C1765" s="0" t="s">
        <v>6428</v>
      </c>
      <c r="D1765" s="0" t="s">
        <v>2431</v>
      </c>
      <c r="E1765" s="0" t="s">
        <v>6429</v>
      </c>
      <c r="F1765" s="0" t="s">
        <v>6423</v>
      </c>
      <c r="G1765" s="0" t="s">
        <v>111</v>
      </c>
      <c r="H1765" s="0" t="s">
        <v>8471</v>
      </c>
      <c r="I1765" s="0" t="s">
        <v>7338</v>
      </c>
      <c r="J1765" s="0" t="s">
        <v>6375</v>
      </c>
      <c r="K1765" s="0" t="s">
        <v>7339</v>
      </c>
      <c r="L1765" s="0" t="s">
        <v>7340</v>
      </c>
      <c r="M1765" s="0" t="s">
        <v>7777</v>
      </c>
      <c r="N1765" s="0" t="s">
        <v>7342</v>
      </c>
      <c r="P1765" s="0" t="s">
        <v>229</v>
      </c>
      <c r="R1765" s="0" t="s">
        <v>7343</v>
      </c>
      <c r="S1765" s="0" t="s">
        <v>7344</v>
      </c>
      <c r="T1765" s="0" t="s">
        <v>228</v>
      </c>
      <c r="V1765" s="0" t="s">
        <v>34</v>
      </c>
      <c r="W1765" s="0" t="s">
        <v>38</v>
      </c>
      <c r="X1765" s="0" t="s">
        <v>7345</v>
      </c>
      <c r="Y1765" s="0" t="s">
        <v>7409</v>
      </c>
      <c r="Z1765" s="0" t="s">
        <v>7370</v>
      </c>
      <c r="AA1765" s="0" t="s">
        <v>7504</v>
      </c>
      <c r="AB1765" s="0" t="s">
        <v>231</v>
      </c>
      <c r="AC1765" s="0" t="s">
        <v>7349</v>
      </c>
      <c r="AD1765" s="0" t="s">
        <v>7505</v>
      </c>
      <c r="AE1765" s="0" t="s">
        <v>301</v>
      </c>
      <c r="AF1765" s="0" t="s">
        <v>7374</v>
      </c>
      <c r="AG1765" s="0" t="s">
        <v>230</v>
      </c>
    </row>
    <row r="1766" customFormat="false" ht="15" hidden="false" customHeight="false" outlineLevel="0" collapsed="false">
      <c r="A1766" s="0" t="s">
        <v>7336</v>
      </c>
      <c r="B1766" s="0" t="s">
        <v>6430</v>
      </c>
      <c r="C1766" s="0" t="s">
        <v>6431</v>
      </c>
      <c r="D1766" s="0" t="s">
        <v>2431</v>
      </c>
      <c r="E1766" s="0" t="s">
        <v>6432</v>
      </c>
      <c r="F1766" s="0" t="s">
        <v>6433</v>
      </c>
      <c r="G1766" s="0" t="s">
        <v>111</v>
      </c>
      <c r="H1766" s="0" t="s">
        <v>8472</v>
      </c>
      <c r="I1766" s="0" t="s">
        <v>7338</v>
      </c>
      <c r="J1766" s="0" t="s">
        <v>6375</v>
      </c>
      <c r="K1766" s="0" t="s">
        <v>7339</v>
      </c>
      <c r="L1766" s="0" t="s">
        <v>7340</v>
      </c>
      <c r="M1766" s="0" t="s">
        <v>7777</v>
      </c>
      <c r="N1766" s="0" t="s">
        <v>7342</v>
      </c>
      <c r="P1766" s="0" t="s">
        <v>229</v>
      </c>
      <c r="R1766" s="0" t="s">
        <v>7343</v>
      </c>
      <c r="S1766" s="0" t="s">
        <v>7344</v>
      </c>
      <c r="T1766" s="0" t="s">
        <v>681</v>
      </c>
      <c r="V1766" s="0" t="s">
        <v>34</v>
      </c>
      <c r="W1766" s="0" t="s">
        <v>36</v>
      </c>
      <c r="Y1766" s="0" t="s">
        <v>7495</v>
      </c>
      <c r="Z1766" s="0" t="s">
        <v>7496</v>
      </c>
      <c r="AA1766" s="0" t="s">
        <v>7497</v>
      </c>
      <c r="AB1766" s="0" t="s">
        <v>682</v>
      </c>
      <c r="AC1766" s="0" t="s">
        <v>7349</v>
      </c>
      <c r="AD1766" s="0" t="s">
        <v>7498</v>
      </c>
      <c r="AE1766" s="0" t="s">
        <v>7778</v>
      </c>
      <c r="AF1766" s="0" t="s">
        <v>7499</v>
      </c>
      <c r="AG1766" s="0" t="s">
        <v>230</v>
      </c>
    </row>
    <row r="1767" customFormat="false" ht="15" hidden="false" customHeight="false" outlineLevel="0" collapsed="false">
      <c r="A1767" s="0" t="s">
        <v>7336</v>
      </c>
      <c r="B1767" s="0" t="s">
        <v>6434</v>
      </c>
      <c r="C1767" s="0" t="s">
        <v>6435</v>
      </c>
      <c r="D1767" s="0" t="s">
        <v>2431</v>
      </c>
      <c r="E1767" s="0" t="s">
        <v>6436</v>
      </c>
      <c r="F1767" s="0" t="s">
        <v>6433</v>
      </c>
      <c r="G1767" s="0" t="s">
        <v>111</v>
      </c>
      <c r="H1767" s="0" t="s">
        <v>8472</v>
      </c>
      <c r="I1767" s="0" t="s">
        <v>7338</v>
      </c>
      <c r="J1767" s="0" t="s">
        <v>6375</v>
      </c>
      <c r="K1767" s="0" t="s">
        <v>7339</v>
      </c>
      <c r="L1767" s="0" t="s">
        <v>7340</v>
      </c>
      <c r="M1767" s="0" t="s">
        <v>7777</v>
      </c>
      <c r="N1767" s="0" t="s">
        <v>7342</v>
      </c>
      <c r="P1767" s="0" t="s">
        <v>229</v>
      </c>
      <c r="R1767" s="0" t="s">
        <v>7343</v>
      </c>
      <c r="S1767" s="0" t="s">
        <v>7344</v>
      </c>
      <c r="T1767" s="0" t="s">
        <v>228</v>
      </c>
      <c r="V1767" s="0" t="s">
        <v>34</v>
      </c>
      <c r="W1767" s="0" t="s">
        <v>38</v>
      </c>
      <c r="X1767" s="0" t="s">
        <v>7345</v>
      </c>
      <c r="Y1767" s="0" t="s">
        <v>7409</v>
      </c>
      <c r="Z1767" s="0" t="s">
        <v>7370</v>
      </c>
      <c r="AA1767" s="0" t="s">
        <v>7504</v>
      </c>
      <c r="AB1767" s="0" t="s">
        <v>231</v>
      </c>
      <c r="AC1767" s="0" t="s">
        <v>7349</v>
      </c>
      <c r="AD1767" s="0" t="s">
        <v>7505</v>
      </c>
      <c r="AE1767" s="0" t="s">
        <v>301</v>
      </c>
      <c r="AF1767" s="0" t="s">
        <v>7374</v>
      </c>
      <c r="AG1767" s="0" t="s">
        <v>230</v>
      </c>
    </row>
    <row r="1768" customFormat="false" ht="15" hidden="false" customHeight="false" outlineLevel="0" collapsed="false">
      <c r="A1768" s="0" t="s">
        <v>7336</v>
      </c>
      <c r="B1768" s="0" t="s">
        <v>6437</v>
      </c>
      <c r="C1768" s="0" t="s">
        <v>6438</v>
      </c>
      <c r="D1768" s="0" t="s">
        <v>2431</v>
      </c>
      <c r="E1768" s="0" t="s">
        <v>6439</v>
      </c>
      <c r="F1768" s="0" t="s">
        <v>6440</v>
      </c>
      <c r="G1768" s="0" t="s">
        <v>111</v>
      </c>
      <c r="H1768" s="0" t="s">
        <v>8473</v>
      </c>
      <c r="I1768" s="0" t="s">
        <v>7338</v>
      </c>
      <c r="J1768" s="0" t="s">
        <v>6375</v>
      </c>
      <c r="K1768" s="0" t="s">
        <v>7339</v>
      </c>
      <c r="L1768" s="0" t="s">
        <v>7340</v>
      </c>
      <c r="M1768" s="0" t="s">
        <v>7777</v>
      </c>
      <c r="N1768" s="0" t="s">
        <v>7342</v>
      </c>
      <c r="P1768" s="0" t="s">
        <v>229</v>
      </c>
      <c r="R1768" s="0" t="s">
        <v>7343</v>
      </c>
      <c r="S1768" s="0" t="s">
        <v>7344</v>
      </c>
      <c r="T1768" s="0" t="s">
        <v>681</v>
      </c>
      <c r="V1768" s="0" t="s">
        <v>34</v>
      </c>
      <c r="W1768" s="0" t="s">
        <v>36</v>
      </c>
      <c r="Y1768" s="0" t="s">
        <v>7495</v>
      </c>
      <c r="Z1768" s="0" t="s">
        <v>7496</v>
      </c>
      <c r="AA1768" s="0" t="s">
        <v>7497</v>
      </c>
      <c r="AB1768" s="0" t="s">
        <v>682</v>
      </c>
      <c r="AC1768" s="0" t="s">
        <v>7349</v>
      </c>
      <c r="AD1768" s="0" t="s">
        <v>7498</v>
      </c>
      <c r="AE1768" s="0" t="s">
        <v>7778</v>
      </c>
      <c r="AF1768" s="0" t="s">
        <v>7499</v>
      </c>
      <c r="AG1768" s="0" t="s">
        <v>230</v>
      </c>
    </row>
    <row r="1769" customFormat="false" ht="15" hidden="false" customHeight="false" outlineLevel="0" collapsed="false">
      <c r="A1769" s="0" t="s">
        <v>7336</v>
      </c>
      <c r="B1769" s="0" t="s">
        <v>6441</v>
      </c>
      <c r="C1769" s="0" t="s">
        <v>6442</v>
      </c>
      <c r="D1769" s="0" t="s">
        <v>2431</v>
      </c>
      <c r="E1769" s="0" t="s">
        <v>6443</v>
      </c>
      <c r="F1769" s="0" t="s">
        <v>6440</v>
      </c>
      <c r="G1769" s="0" t="s">
        <v>111</v>
      </c>
      <c r="H1769" s="0" t="s">
        <v>8473</v>
      </c>
      <c r="I1769" s="0" t="s">
        <v>7338</v>
      </c>
      <c r="J1769" s="0" t="s">
        <v>6375</v>
      </c>
      <c r="K1769" s="0" t="s">
        <v>7339</v>
      </c>
      <c r="L1769" s="0" t="s">
        <v>7340</v>
      </c>
      <c r="M1769" s="0" t="s">
        <v>7777</v>
      </c>
      <c r="N1769" s="0" t="s">
        <v>7342</v>
      </c>
      <c r="P1769" s="0" t="s">
        <v>229</v>
      </c>
      <c r="R1769" s="0" t="s">
        <v>7343</v>
      </c>
      <c r="S1769" s="0" t="s">
        <v>7344</v>
      </c>
      <c r="T1769" s="0" t="s">
        <v>228</v>
      </c>
      <c r="V1769" s="0" t="s">
        <v>34</v>
      </c>
      <c r="W1769" s="0" t="s">
        <v>38</v>
      </c>
      <c r="X1769" s="0" t="s">
        <v>7345</v>
      </c>
      <c r="Y1769" s="0" t="s">
        <v>7409</v>
      </c>
      <c r="Z1769" s="0" t="s">
        <v>7370</v>
      </c>
      <c r="AA1769" s="0" t="s">
        <v>7504</v>
      </c>
      <c r="AB1769" s="0" t="s">
        <v>231</v>
      </c>
      <c r="AC1769" s="0" t="s">
        <v>7349</v>
      </c>
      <c r="AD1769" s="0" t="s">
        <v>7505</v>
      </c>
      <c r="AE1769" s="0" t="s">
        <v>301</v>
      </c>
      <c r="AF1769" s="0" t="s">
        <v>7374</v>
      </c>
      <c r="AG1769" s="0" t="s">
        <v>230</v>
      </c>
    </row>
    <row r="1770" customFormat="false" ht="15" hidden="false" customHeight="false" outlineLevel="0" collapsed="false">
      <c r="A1770" s="0" t="s">
        <v>7336</v>
      </c>
      <c r="B1770" s="0" t="s">
        <v>6444</v>
      </c>
      <c r="C1770" s="0" t="s">
        <v>6445</v>
      </c>
      <c r="D1770" s="0" t="s">
        <v>2431</v>
      </c>
      <c r="E1770" s="0" t="s">
        <v>6446</v>
      </c>
      <c r="F1770" s="0" t="s">
        <v>6447</v>
      </c>
      <c r="G1770" s="0" t="s">
        <v>111</v>
      </c>
      <c r="H1770" s="0" t="s">
        <v>8474</v>
      </c>
      <c r="I1770" s="0" t="s">
        <v>7338</v>
      </c>
      <c r="J1770" s="0" t="s">
        <v>6375</v>
      </c>
      <c r="K1770" s="0" t="s">
        <v>7339</v>
      </c>
      <c r="L1770" s="0" t="s">
        <v>7340</v>
      </c>
      <c r="M1770" s="0" t="s">
        <v>7777</v>
      </c>
      <c r="N1770" s="0" t="s">
        <v>7342</v>
      </c>
      <c r="P1770" s="0" t="s">
        <v>229</v>
      </c>
      <c r="R1770" s="0" t="s">
        <v>7343</v>
      </c>
      <c r="S1770" s="0" t="s">
        <v>7344</v>
      </c>
      <c r="T1770" s="0" t="s">
        <v>681</v>
      </c>
      <c r="V1770" s="0" t="s">
        <v>34</v>
      </c>
      <c r="W1770" s="0" t="s">
        <v>36</v>
      </c>
      <c r="Y1770" s="0" t="s">
        <v>7495</v>
      </c>
      <c r="Z1770" s="0" t="s">
        <v>7496</v>
      </c>
      <c r="AA1770" s="0" t="s">
        <v>7497</v>
      </c>
      <c r="AB1770" s="0" t="s">
        <v>682</v>
      </c>
      <c r="AC1770" s="0" t="s">
        <v>7349</v>
      </c>
      <c r="AD1770" s="0" t="s">
        <v>7498</v>
      </c>
      <c r="AE1770" s="0" t="s">
        <v>7797</v>
      </c>
      <c r="AF1770" s="0" t="s">
        <v>7499</v>
      </c>
      <c r="AG1770" s="0" t="s">
        <v>230</v>
      </c>
    </row>
    <row r="1771" customFormat="false" ht="15" hidden="false" customHeight="false" outlineLevel="0" collapsed="false">
      <c r="A1771" s="0" t="s">
        <v>7336</v>
      </c>
      <c r="B1771" s="0" t="s">
        <v>6448</v>
      </c>
      <c r="C1771" s="0" t="s">
        <v>6449</v>
      </c>
      <c r="D1771" s="0" t="s">
        <v>2431</v>
      </c>
      <c r="E1771" s="0" t="s">
        <v>6450</v>
      </c>
      <c r="F1771" s="0" t="s">
        <v>6447</v>
      </c>
      <c r="G1771" s="0" t="s">
        <v>111</v>
      </c>
      <c r="H1771" s="0" t="s">
        <v>8474</v>
      </c>
      <c r="I1771" s="0" t="s">
        <v>7338</v>
      </c>
      <c r="J1771" s="0" t="s">
        <v>6375</v>
      </c>
      <c r="K1771" s="0" t="s">
        <v>7339</v>
      </c>
      <c r="L1771" s="0" t="s">
        <v>7340</v>
      </c>
      <c r="M1771" s="0" t="s">
        <v>7777</v>
      </c>
      <c r="N1771" s="0" t="s">
        <v>7342</v>
      </c>
      <c r="P1771" s="0" t="s">
        <v>229</v>
      </c>
      <c r="R1771" s="0" t="s">
        <v>7343</v>
      </c>
      <c r="S1771" s="0" t="s">
        <v>7344</v>
      </c>
      <c r="T1771" s="0" t="s">
        <v>681</v>
      </c>
      <c r="V1771" s="0" t="s">
        <v>34</v>
      </c>
      <c r="W1771" s="0" t="s">
        <v>36</v>
      </c>
      <c r="Y1771" s="0" t="s">
        <v>7495</v>
      </c>
      <c r="Z1771" s="0" t="s">
        <v>7496</v>
      </c>
      <c r="AA1771" s="0" t="s">
        <v>7497</v>
      </c>
      <c r="AB1771" s="0" t="s">
        <v>682</v>
      </c>
      <c r="AC1771" s="0" t="s">
        <v>7349</v>
      </c>
      <c r="AD1771" s="0" t="s">
        <v>7498</v>
      </c>
      <c r="AE1771" s="0" t="s">
        <v>7778</v>
      </c>
      <c r="AF1771" s="0" t="s">
        <v>7499</v>
      </c>
      <c r="AG1771" s="0" t="s">
        <v>230</v>
      </c>
    </row>
    <row r="1772" customFormat="false" ht="15" hidden="false" customHeight="false" outlineLevel="0" collapsed="false">
      <c r="A1772" s="0" t="s">
        <v>7336</v>
      </c>
      <c r="B1772" s="0" t="s">
        <v>6451</v>
      </c>
      <c r="C1772" s="0" t="s">
        <v>6452</v>
      </c>
      <c r="D1772" s="0" t="s">
        <v>2431</v>
      </c>
      <c r="E1772" s="0" t="s">
        <v>6453</v>
      </c>
      <c r="F1772" s="0" t="s">
        <v>6447</v>
      </c>
      <c r="G1772" s="0" t="s">
        <v>111</v>
      </c>
      <c r="H1772" s="0" t="s">
        <v>8474</v>
      </c>
      <c r="I1772" s="0" t="s">
        <v>7338</v>
      </c>
      <c r="J1772" s="0" t="s">
        <v>6375</v>
      </c>
      <c r="K1772" s="0" t="s">
        <v>7339</v>
      </c>
      <c r="L1772" s="0" t="s">
        <v>7340</v>
      </c>
      <c r="M1772" s="0" t="s">
        <v>7777</v>
      </c>
      <c r="N1772" s="0" t="s">
        <v>7342</v>
      </c>
      <c r="P1772" s="0" t="s">
        <v>229</v>
      </c>
      <c r="R1772" s="0" t="s">
        <v>7343</v>
      </c>
      <c r="S1772" s="0" t="s">
        <v>7344</v>
      </c>
      <c r="T1772" s="0" t="s">
        <v>228</v>
      </c>
      <c r="V1772" s="0" t="s">
        <v>34</v>
      </c>
      <c r="W1772" s="0" t="s">
        <v>38</v>
      </c>
      <c r="X1772" s="0" t="s">
        <v>7345</v>
      </c>
      <c r="Y1772" s="0" t="s">
        <v>7409</v>
      </c>
      <c r="Z1772" s="0" t="s">
        <v>7370</v>
      </c>
      <c r="AA1772" s="0" t="s">
        <v>7504</v>
      </c>
      <c r="AB1772" s="0" t="s">
        <v>231</v>
      </c>
      <c r="AC1772" s="0" t="s">
        <v>7349</v>
      </c>
      <c r="AD1772" s="0" t="s">
        <v>7505</v>
      </c>
      <c r="AE1772" s="0" t="s">
        <v>301</v>
      </c>
      <c r="AF1772" s="0" t="s">
        <v>7374</v>
      </c>
      <c r="AG1772" s="0" t="s">
        <v>230</v>
      </c>
    </row>
    <row r="1773" customFormat="false" ht="15" hidden="false" customHeight="false" outlineLevel="0" collapsed="false">
      <c r="A1773" s="0" t="s">
        <v>7336</v>
      </c>
      <c r="B1773" s="0" t="s">
        <v>6454</v>
      </c>
      <c r="C1773" s="0" t="s">
        <v>6455</v>
      </c>
      <c r="D1773" s="0" t="s">
        <v>2431</v>
      </c>
      <c r="E1773" s="0" t="s">
        <v>6456</v>
      </c>
      <c r="F1773" s="0" t="s">
        <v>6457</v>
      </c>
      <c r="G1773" s="0" t="s">
        <v>111</v>
      </c>
      <c r="H1773" s="0" t="s">
        <v>8475</v>
      </c>
      <c r="I1773" s="0" t="s">
        <v>7338</v>
      </c>
      <c r="J1773" s="0" t="s">
        <v>6375</v>
      </c>
      <c r="K1773" s="0" t="s">
        <v>7339</v>
      </c>
      <c r="L1773" s="0" t="s">
        <v>7340</v>
      </c>
      <c r="M1773" s="0" t="s">
        <v>7777</v>
      </c>
      <c r="N1773" s="0" t="s">
        <v>7342</v>
      </c>
      <c r="P1773" s="0" t="s">
        <v>229</v>
      </c>
      <c r="R1773" s="0" t="s">
        <v>7343</v>
      </c>
      <c r="S1773" s="0" t="s">
        <v>7344</v>
      </c>
      <c r="T1773" s="0" t="s">
        <v>681</v>
      </c>
      <c r="V1773" s="0" t="s">
        <v>34</v>
      </c>
      <c r="W1773" s="0" t="s">
        <v>36</v>
      </c>
      <c r="Y1773" s="0" t="s">
        <v>7495</v>
      </c>
      <c r="Z1773" s="0" t="s">
        <v>7496</v>
      </c>
      <c r="AA1773" s="0" t="s">
        <v>7497</v>
      </c>
      <c r="AB1773" s="0" t="s">
        <v>682</v>
      </c>
      <c r="AC1773" s="0" t="s">
        <v>7349</v>
      </c>
      <c r="AD1773" s="0" t="s">
        <v>7498</v>
      </c>
      <c r="AE1773" s="0" t="s">
        <v>7778</v>
      </c>
      <c r="AF1773" s="0" t="s">
        <v>7499</v>
      </c>
      <c r="AG1773" s="0" t="s">
        <v>230</v>
      </c>
    </row>
    <row r="1774" customFormat="false" ht="15" hidden="false" customHeight="false" outlineLevel="0" collapsed="false">
      <c r="A1774" s="0" t="s">
        <v>7336</v>
      </c>
      <c r="B1774" s="0" t="s">
        <v>6458</v>
      </c>
      <c r="C1774" s="0" t="s">
        <v>6459</v>
      </c>
      <c r="D1774" s="0" t="s">
        <v>2431</v>
      </c>
      <c r="E1774" s="0" t="s">
        <v>6460</v>
      </c>
      <c r="F1774" s="0" t="s">
        <v>6457</v>
      </c>
      <c r="G1774" s="0" t="s">
        <v>111</v>
      </c>
      <c r="H1774" s="0" t="s">
        <v>8475</v>
      </c>
      <c r="I1774" s="0" t="s">
        <v>7338</v>
      </c>
      <c r="J1774" s="0" t="s">
        <v>6375</v>
      </c>
      <c r="K1774" s="0" t="s">
        <v>7339</v>
      </c>
      <c r="L1774" s="0" t="s">
        <v>7340</v>
      </c>
      <c r="M1774" s="0" t="s">
        <v>7777</v>
      </c>
      <c r="N1774" s="0" t="s">
        <v>7342</v>
      </c>
      <c r="P1774" s="0" t="s">
        <v>229</v>
      </c>
      <c r="R1774" s="0" t="s">
        <v>7343</v>
      </c>
      <c r="S1774" s="0" t="s">
        <v>7344</v>
      </c>
      <c r="T1774" s="0" t="s">
        <v>228</v>
      </c>
      <c r="V1774" s="0" t="s">
        <v>34</v>
      </c>
      <c r="W1774" s="0" t="s">
        <v>38</v>
      </c>
      <c r="X1774" s="0" t="s">
        <v>7345</v>
      </c>
      <c r="Y1774" s="0" t="s">
        <v>7409</v>
      </c>
      <c r="Z1774" s="0" t="s">
        <v>7370</v>
      </c>
      <c r="AA1774" s="0" t="s">
        <v>7504</v>
      </c>
      <c r="AB1774" s="0" t="s">
        <v>231</v>
      </c>
      <c r="AC1774" s="0" t="s">
        <v>7349</v>
      </c>
      <c r="AD1774" s="0" t="s">
        <v>7505</v>
      </c>
      <c r="AE1774" s="0" t="s">
        <v>301</v>
      </c>
      <c r="AF1774" s="0" t="s">
        <v>7374</v>
      </c>
      <c r="AG1774" s="0" t="s">
        <v>230</v>
      </c>
    </row>
    <row r="1775" customFormat="false" ht="15" hidden="false" customHeight="false" outlineLevel="0" collapsed="false">
      <c r="A1775" s="0" t="s">
        <v>7336</v>
      </c>
      <c r="B1775" s="0" t="s">
        <v>6461</v>
      </c>
      <c r="C1775" s="0" t="s">
        <v>6462</v>
      </c>
      <c r="D1775" s="0" t="s">
        <v>2431</v>
      </c>
      <c r="E1775" s="0" t="s">
        <v>6463</v>
      </c>
      <c r="F1775" s="0" t="s">
        <v>6413</v>
      </c>
      <c r="G1775" s="0" t="s">
        <v>111</v>
      </c>
      <c r="H1775" s="0" t="s">
        <v>8470</v>
      </c>
      <c r="I1775" s="0" t="s">
        <v>7338</v>
      </c>
      <c r="J1775" s="0" t="s">
        <v>6375</v>
      </c>
      <c r="K1775" s="0" t="s">
        <v>7339</v>
      </c>
      <c r="L1775" s="0" t="s">
        <v>7340</v>
      </c>
      <c r="M1775" s="0" t="s">
        <v>7777</v>
      </c>
      <c r="N1775" s="0" t="s">
        <v>7342</v>
      </c>
      <c r="P1775" s="0" t="s">
        <v>229</v>
      </c>
      <c r="Q1775" s="0" t="s">
        <v>7354</v>
      </c>
      <c r="R1775" s="0" t="s">
        <v>7343</v>
      </c>
      <c r="S1775" s="0" t="s">
        <v>7344</v>
      </c>
      <c r="T1775" s="0" t="s">
        <v>681</v>
      </c>
      <c r="V1775" s="0" t="s">
        <v>90</v>
      </c>
      <c r="W1775" s="0" t="s">
        <v>92</v>
      </c>
      <c r="X1775" s="0" t="s">
        <v>7355</v>
      </c>
      <c r="Y1775" s="0" t="s">
        <v>7756</v>
      </c>
      <c r="Z1775" s="0" t="s">
        <v>8476</v>
      </c>
      <c r="AA1775" s="0" t="s">
        <v>8477</v>
      </c>
      <c r="AB1775" s="0" t="s">
        <v>4254</v>
      </c>
      <c r="AC1775" s="0" t="s">
        <v>7349</v>
      </c>
      <c r="AD1775" s="0" t="s">
        <v>8478</v>
      </c>
      <c r="AE1775" s="0" t="s">
        <v>92</v>
      </c>
      <c r="AF1775" s="0" t="s">
        <v>7374</v>
      </c>
      <c r="AG1775" s="0" t="s">
        <v>230</v>
      </c>
    </row>
    <row r="1776" customFormat="false" ht="15" hidden="false" customHeight="false" outlineLevel="0" collapsed="false">
      <c r="A1776" s="0" t="s">
        <v>7336</v>
      </c>
      <c r="B1776" s="0" t="s">
        <v>6464</v>
      </c>
      <c r="C1776" s="0" t="s">
        <v>6465</v>
      </c>
      <c r="D1776" s="0" t="s">
        <v>2431</v>
      </c>
      <c r="E1776" s="0" t="s">
        <v>6466</v>
      </c>
      <c r="F1776" s="0" t="s">
        <v>6467</v>
      </c>
      <c r="G1776" s="0" t="s">
        <v>111</v>
      </c>
      <c r="H1776" s="0" t="s">
        <v>8479</v>
      </c>
      <c r="I1776" s="0" t="s">
        <v>7338</v>
      </c>
      <c r="J1776" s="0" t="s">
        <v>6375</v>
      </c>
      <c r="K1776" s="0" t="s">
        <v>7339</v>
      </c>
      <c r="L1776" s="0" t="s">
        <v>7340</v>
      </c>
      <c r="M1776" s="0" t="s">
        <v>7777</v>
      </c>
      <c r="N1776" s="0" t="s">
        <v>7342</v>
      </c>
      <c r="P1776" s="0" t="s">
        <v>229</v>
      </c>
      <c r="R1776" s="0" t="s">
        <v>7343</v>
      </c>
      <c r="S1776" s="0" t="s">
        <v>7344</v>
      </c>
      <c r="T1776" s="0" t="s">
        <v>681</v>
      </c>
      <c r="V1776" s="0" t="s">
        <v>34</v>
      </c>
      <c r="W1776" s="0" t="s">
        <v>36</v>
      </c>
      <c r="Y1776" s="0" t="s">
        <v>7495</v>
      </c>
      <c r="Z1776" s="0" t="s">
        <v>7496</v>
      </c>
      <c r="AA1776" s="0" t="s">
        <v>7497</v>
      </c>
      <c r="AB1776" s="0" t="s">
        <v>682</v>
      </c>
      <c r="AC1776" s="0" t="s">
        <v>7349</v>
      </c>
      <c r="AD1776" s="0" t="s">
        <v>7498</v>
      </c>
      <c r="AE1776" s="0" t="s">
        <v>7778</v>
      </c>
      <c r="AF1776" s="0" t="s">
        <v>7499</v>
      </c>
      <c r="AG1776" s="0" t="s">
        <v>230</v>
      </c>
    </row>
    <row r="1777" customFormat="false" ht="15" hidden="false" customHeight="false" outlineLevel="0" collapsed="false">
      <c r="A1777" s="0" t="s">
        <v>7336</v>
      </c>
      <c r="B1777" s="0" t="s">
        <v>6468</v>
      </c>
      <c r="C1777" s="0" t="s">
        <v>6469</v>
      </c>
      <c r="D1777" s="0" t="s">
        <v>2431</v>
      </c>
      <c r="E1777" s="0" t="s">
        <v>6470</v>
      </c>
      <c r="F1777" s="0" t="s">
        <v>6467</v>
      </c>
      <c r="G1777" s="0" t="s">
        <v>111</v>
      </c>
      <c r="H1777" s="0" t="s">
        <v>8479</v>
      </c>
      <c r="I1777" s="0" t="s">
        <v>7338</v>
      </c>
      <c r="J1777" s="0" t="s">
        <v>6375</v>
      </c>
      <c r="K1777" s="0" t="s">
        <v>7339</v>
      </c>
      <c r="L1777" s="0" t="s">
        <v>7340</v>
      </c>
      <c r="M1777" s="0" t="s">
        <v>7777</v>
      </c>
      <c r="N1777" s="0" t="s">
        <v>7342</v>
      </c>
      <c r="P1777" s="0" t="s">
        <v>229</v>
      </c>
      <c r="R1777" s="0" t="s">
        <v>7343</v>
      </c>
      <c r="S1777" s="0" t="s">
        <v>7344</v>
      </c>
      <c r="T1777" s="0" t="s">
        <v>228</v>
      </c>
      <c r="V1777" s="0" t="s">
        <v>34</v>
      </c>
      <c r="W1777" s="0" t="s">
        <v>38</v>
      </c>
      <c r="X1777" s="0" t="s">
        <v>7345</v>
      </c>
      <c r="Y1777" s="0" t="s">
        <v>7409</v>
      </c>
      <c r="Z1777" s="0" t="s">
        <v>7370</v>
      </c>
      <c r="AA1777" s="0" t="s">
        <v>7504</v>
      </c>
      <c r="AB1777" s="0" t="s">
        <v>231</v>
      </c>
      <c r="AC1777" s="0" t="s">
        <v>7349</v>
      </c>
      <c r="AD1777" s="0" t="s">
        <v>7505</v>
      </c>
      <c r="AE1777" s="0" t="s">
        <v>301</v>
      </c>
      <c r="AF1777" s="0" t="s">
        <v>7374</v>
      </c>
      <c r="AG1777" s="0" t="s">
        <v>230</v>
      </c>
    </row>
    <row r="1778" customFormat="false" ht="15" hidden="false" customHeight="false" outlineLevel="0" collapsed="false">
      <c r="A1778" s="0" t="s">
        <v>7336</v>
      </c>
      <c r="B1778" s="0" t="s">
        <v>6471</v>
      </c>
      <c r="C1778" s="0" t="s">
        <v>6472</v>
      </c>
      <c r="D1778" s="0" t="s">
        <v>2431</v>
      </c>
      <c r="E1778" s="0" t="s">
        <v>6473</v>
      </c>
      <c r="F1778" s="0" t="s">
        <v>6474</v>
      </c>
      <c r="G1778" s="0" t="s">
        <v>111</v>
      </c>
      <c r="H1778" s="0" t="s">
        <v>8480</v>
      </c>
      <c r="I1778" s="0" t="s">
        <v>7338</v>
      </c>
      <c r="J1778" s="0" t="s">
        <v>6375</v>
      </c>
      <c r="K1778" s="0" t="s">
        <v>7339</v>
      </c>
      <c r="L1778" s="0" t="s">
        <v>7340</v>
      </c>
      <c r="M1778" s="0" t="s">
        <v>7777</v>
      </c>
      <c r="N1778" s="0" t="s">
        <v>7342</v>
      </c>
      <c r="P1778" s="0" t="s">
        <v>229</v>
      </c>
      <c r="R1778" s="0" t="s">
        <v>7343</v>
      </c>
      <c r="S1778" s="0" t="s">
        <v>7344</v>
      </c>
      <c r="T1778" s="0" t="s">
        <v>681</v>
      </c>
      <c r="V1778" s="0" t="s">
        <v>34</v>
      </c>
      <c r="W1778" s="0" t="s">
        <v>36</v>
      </c>
      <c r="Y1778" s="0" t="s">
        <v>7495</v>
      </c>
      <c r="Z1778" s="0" t="s">
        <v>7496</v>
      </c>
      <c r="AA1778" s="0" t="s">
        <v>7497</v>
      </c>
      <c r="AB1778" s="0" t="s">
        <v>682</v>
      </c>
      <c r="AC1778" s="0" t="s">
        <v>7349</v>
      </c>
      <c r="AD1778" s="0" t="s">
        <v>7498</v>
      </c>
      <c r="AE1778" s="0" t="s">
        <v>7778</v>
      </c>
      <c r="AF1778" s="0" t="s">
        <v>7499</v>
      </c>
      <c r="AG1778" s="0" t="s">
        <v>230</v>
      </c>
    </row>
    <row r="1779" customFormat="false" ht="15" hidden="false" customHeight="false" outlineLevel="0" collapsed="false">
      <c r="A1779" s="0" t="s">
        <v>7336</v>
      </c>
      <c r="B1779" s="0" t="s">
        <v>6475</v>
      </c>
      <c r="C1779" s="0" t="s">
        <v>6476</v>
      </c>
      <c r="D1779" s="0" t="s">
        <v>2431</v>
      </c>
      <c r="E1779" s="0" t="s">
        <v>6477</v>
      </c>
      <c r="F1779" s="0" t="s">
        <v>6474</v>
      </c>
      <c r="G1779" s="0" t="s">
        <v>111</v>
      </c>
      <c r="H1779" s="0" t="s">
        <v>8480</v>
      </c>
      <c r="I1779" s="0" t="s">
        <v>7338</v>
      </c>
      <c r="J1779" s="0" t="s">
        <v>6375</v>
      </c>
      <c r="K1779" s="0" t="s">
        <v>7339</v>
      </c>
      <c r="L1779" s="0" t="s">
        <v>7340</v>
      </c>
      <c r="M1779" s="0" t="s">
        <v>7777</v>
      </c>
      <c r="N1779" s="0" t="s">
        <v>7342</v>
      </c>
      <c r="P1779" s="0" t="s">
        <v>229</v>
      </c>
      <c r="R1779" s="0" t="s">
        <v>7343</v>
      </c>
      <c r="S1779" s="0" t="s">
        <v>7344</v>
      </c>
      <c r="T1779" s="0" t="s">
        <v>228</v>
      </c>
      <c r="V1779" s="0" t="s">
        <v>34</v>
      </c>
      <c r="W1779" s="0" t="s">
        <v>38</v>
      </c>
      <c r="X1779" s="0" t="s">
        <v>7345</v>
      </c>
      <c r="Y1779" s="0" t="s">
        <v>7409</v>
      </c>
      <c r="Z1779" s="0" t="s">
        <v>7370</v>
      </c>
      <c r="AA1779" s="0" t="s">
        <v>7504</v>
      </c>
      <c r="AB1779" s="0" t="s">
        <v>231</v>
      </c>
      <c r="AC1779" s="0" t="s">
        <v>7349</v>
      </c>
      <c r="AD1779" s="0" t="s">
        <v>7505</v>
      </c>
      <c r="AE1779" s="0" t="s">
        <v>301</v>
      </c>
      <c r="AF1779" s="0" t="s">
        <v>7374</v>
      </c>
      <c r="AG1779" s="0" t="s">
        <v>230</v>
      </c>
    </row>
    <row r="1780" customFormat="false" ht="15" hidden="false" customHeight="false" outlineLevel="0" collapsed="false">
      <c r="A1780" s="0" t="s">
        <v>7336</v>
      </c>
      <c r="B1780" s="0" t="s">
        <v>6478</v>
      </c>
      <c r="C1780" s="0" t="s">
        <v>6479</v>
      </c>
      <c r="D1780" s="0" t="s">
        <v>2431</v>
      </c>
      <c r="E1780" s="0" t="s">
        <v>6480</v>
      </c>
      <c r="F1780" s="0" t="s">
        <v>6481</v>
      </c>
      <c r="G1780" s="0" t="s">
        <v>111</v>
      </c>
      <c r="H1780" s="0" t="s">
        <v>8481</v>
      </c>
      <c r="I1780" s="0" t="s">
        <v>7338</v>
      </c>
      <c r="J1780" s="0" t="s">
        <v>6375</v>
      </c>
      <c r="K1780" s="0" t="s">
        <v>7339</v>
      </c>
      <c r="L1780" s="0" t="s">
        <v>7340</v>
      </c>
      <c r="M1780" s="0" t="s">
        <v>7777</v>
      </c>
      <c r="N1780" s="0" t="s">
        <v>7342</v>
      </c>
      <c r="P1780" s="0" t="s">
        <v>229</v>
      </c>
      <c r="R1780" s="0" t="s">
        <v>7343</v>
      </c>
      <c r="S1780" s="0" t="s">
        <v>7344</v>
      </c>
      <c r="T1780" s="0" t="s">
        <v>681</v>
      </c>
      <c r="V1780" s="0" t="s">
        <v>34</v>
      </c>
      <c r="W1780" s="0" t="s">
        <v>36</v>
      </c>
      <c r="Y1780" s="0" t="s">
        <v>7495</v>
      </c>
      <c r="Z1780" s="0" t="s">
        <v>7496</v>
      </c>
      <c r="AA1780" s="0" t="s">
        <v>7497</v>
      </c>
      <c r="AB1780" s="0" t="s">
        <v>682</v>
      </c>
      <c r="AC1780" s="0" t="s">
        <v>7349</v>
      </c>
      <c r="AD1780" s="0" t="s">
        <v>7498</v>
      </c>
      <c r="AE1780" s="0" t="s">
        <v>7778</v>
      </c>
      <c r="AF1780" s="0" t="s">
        <v>7499</v>
      </c>
      <c r="AG1780" s="0" t="s">
        <v>230</v>
      </c>
    </row>
    <row r="1781" customFormat="false" ht="15" hidden="false" customHeight="false" outlineLevel="0" collapsed="false">
      <c r="A1781" s="0" t="s">
        <v>7336</v>
      </c>
      <c r="B1781" s="0" t="s">
        <v>6482</v>
      </c>
      <c r="C1781" s="0" t="s">
        <v>6483</v>
      </c>
      <c r="D1781" s="0" t="s">
        <v>2431</v>
      </c>
      <c r="E1781" s="0" t="s">
        <v>6484</v>
      </c>
      <c r="F1781" s="0" t="s">
        <v>6481</v>
      </c>
      <c r="G1781" s="0" t="s">
        <v>111</v>
      </c>
      <c r="H1781" s="0" t="s">
        <v>8481</v>
      </c>
      <c r="I1781" s="0" t="s">
        <v>7338</v>
      </c>
      <c r="J1781" s="0" t="s">
        <v>6375</v>
      </c>
      <c r="K1781" s="0" t="s">
        <v>7339</v>
      </c>
      <c r="L1781" s="0" t="s">
        <v>7340</v>
      </c>
      <c r="M1781" s="0" t="s">
        <v>7777</v>
      </c>
      <c r="N1781" s="0" t="s">
        <v>7342</v>
      </c>
      <c r="P1781" s="0" t="s">
        <v>229</v>
      </c>
      <c r="R1781" s="0" t="s">
        <v>7343</v>
      </c>
      <c r="S1781" s="0" t="s">
        <v>7344</v>
      </c>
      <c r="T1781" s="0" t="s">
        <v>228</v>
      </c>
      <c r="V1781" s="0" t="s">
        <v>34</v>
      </c>
      <c r="W1781" s="0" t="s">
        <v>38</v>
      </c>
      <c r="X1781" s="0" t="s">
        <v>7345</v>
      </c>
      <c r="Y1781" s="0" t="s">
        <v>7409</v>
      </c>
      <c r="Z1781" s="0" t="s">
        <v>7370</v>
      </c>
      <c r="AA1781" s="0" t="s">
        <v>7504</v>
      </c>
      <c r="AB1781" s="0" t="s">
        <v>231</v>
      </c>
      <c r="AC1781" s="0" t="s">
        <v>7349</v>
      </c>
      <c r="AD1781" s="0" t="s">
        <v>7505</v>
      </c>
      <c r="AE1781" s="0" t="s">
        <v>301</v>
      </c>
      <c r="AF1781" s="0" t="s">
        <v>7374</v>
      </c>
      <c r="AG1781" s="0" t="s">
        <v>230</v>
      </c>
    </row>
    <row r="1782" customFormat="false" ht="15" hidden="false" customHeight="false" outlineLevel="0" collapsed="false">
      <c r="A1782" s="0" t="s">
        <v>7336</v>
      </c>
      <c r="B1782" s="0" t="s">
        <v>6485</v>
      </c>
      <c r="C1782" s="0" t="s">
        <v>6486</v>
      </c>
      <c r="D1782" s="0" t="s">
        <v>2431</v>
      </c>
      <c r="E1782" s="0" t="s">
        <v>6487</v>
      </c>
      <c r="F1782" s="0" t="s">
        <v>6488</v>
      </c>
      <c r="G1782" s="0" t="s">
        <v>111</v>
      </c>
      <c r="H1782" s="0" t="s">
        <v>8482</v>
      </c>
      <c r="I1782" s="0" t="s">
        <v>7338</v>
      </c>
      <c r="J1782" s="0" t="s">
        <v>6375</v>
      </c>
      <c r="K1782" s="0" t="s">
        <v>7339</v>
      </c>
      <c r="L1782" s="0" t="s">
        <v>7340</v>
      </c>
      <c r="M1782" s="0" t="s">
        <v>7777</v>
      </c>
      <c r="N1782" s="0" t="s">
        <v>7342</v>
      </c>
      <c r="P1782" s="0" t="s">
        <v>229</v>
      </c>
      <c r="R1782" s="0" t="s">
        <v>7343</v>
      </c>
      <c r="S1782" s="0" t="s">
        <v>7344</v>
      </c>
      <c r="T1782" s="0" t="s">
        <v>681</v>
      </c>
      <c r="V1782" s="0" t="s">
        <v>34</v>
      </c>
      <c r="W1782" s="0" t="s">
        <v>36</v>
      </c>
      <c r="Y1782" s="0" t="s">
        <v>7495</v>
      </c>
      <c r="Z1782" s="0" t="s">
        <v>7496</v>
      </c>
      <c r="AA1782" s="0" t="s">
        <v>7497</v>
      </c>
      <c r="AB1782" s="0" t="s">
        <v>682</v>
      </c>
      <c r="AC1782" s="0" t="s">
        <v>7349</v>
      </c>
      <c r="AD1782" s="0" t="s">
        <v>7498</v>
      </c>
      <c r="AE1782" s="0" t="s">
        <v>7778</v>
      </c>
      <c r="AF1782" s="0" t="s">
        <v>7499</v>
      </c>
      <c r="AG1782" s="0" t="s">
        <v>230</v>
      </c>
    </row>
    <row r="1783" customFormat="false" ht="15" hidden="false" customHeight="false" outlineLevel="0" collapsed="false">
      <c r="A1783" s="0" t="s">
        <v>7336</v>
      </c>
      <c r="B1783" s="0" t="s">
        <v>6489</v>
      </c>
      <c r="C1783" s="0" t="s">
        <v>6490</v>
      </c>
      <c r="D1783" s="0" t="s">
        <v>2431</v>
      </c>
      <c r="E1783" s="0" t="s">
        <v>6491</v>
      </c>
      <c r="F1783" s="0" t="s">
        <v>6488</v>
      </c>
      <c r="G1783" s="0" t="s">
        <v>111</v>
      </c>
      <c r="H1783" s="0" t="s">
        <v>8482</v>
      </c>
      <c r="I1783" s="0" t="s">
        <v>7338</v>
      </c>
      <c r="J1783" s="0" t="s">
        <v>6375</v>
      </c>
      <c r="K1783" s="0" t="s">
        <v>7339</v>
      </c>
      <c r="L1783" s="0" t="s">
        <v>7340</v>
      </c>
      <c r="M1783" s="0" t="s">
        <v>7777</v>
      </c>
      <c r="N1783" s="0" t="s">
        <v>7342</v>
      </c>
      <c r="P1783" s="0" t="s">
        <v>229</v>
      </c>
      <c r="R1783" s="0" t="s">
        <v>7343</v>
      </c>
      <c r="S1783" s="0" t="s">
        <v>7344</v>
      </c>
      <c r="T1783" s="0" t="s">
        <v>228</v>
      </c>
      <c r="V1783" s="0" t="s">
        <v>34</v>
      </c>
      <c r="W1783" s="0" t="s">
        <v>38</v>
      </c>
      <c r="X1783" s="0" t="s">
        <v>7345</v>
      </c>
      <c r="Y1783" s="0" t="s">
        <v>7409</v>
      </c>
      <c r="Z1783" s="0" t="s">
        <v>7370</v>
      </c>
      <c r="AA1783" s="0" t="s">
        <v>7504</v>
      </c>
      <c r="AB1783" s="0" t="s">
        <v>231</v>
      </c>
      <c r="AC1783" s="0" t="s">
        <v>7349</v>
      </c>
      <c r="AD1783" s="0" t="s">
        <v>7505</v>
      </c>
      <c r="AE1783" s="0" t="s">
        <v>301</v>
      </c>
      <c r="AF1783" s="0" t="s">
        <v>7374</v>
      </c>
      <c r="AG1783" s="0" t="s">
        <v>230</v>
      </c>
    </row>
    <row r="1784" customFormat="false" ht="15" hidden="false" customHeight="false" outlineLevel="0" collapsed="false">
      <c r="A1784" s="0" t="s">
        <v>7336</v>
      </c>
      <c r="B1784" s="0" t="s">
        <v>6492</v>
      </c>
      <c r="C1784" s="0" t="s">
        <v>6493</v>
      </c>
      <c r="D1784" s="0" t="s">
        <v>2431</v>
      </c>
      <c r="E1784" s="0" t="s">
        <v>6494</v>
      </c>
      <c r="F1784" s="0" t="s">
        <v>6495</v>
      </c>
      <c r="G1784" s="0" t="s">
        <v>111</v>
      </c>
      <c r="H1784" s="0" t="s">
        <v>8483</v>
      </c>
      <c r="I1784" s="0" t="s">
        <v>7338</v>
      </c>
      <c r="J1784" s="0" t="s">
        <v>6375</v>
      </c>
      <c r="K1784" s="0" t="s">
        <v>7339</v>
      </c>
      <c r="L1784" s="0" t="s">
        <v>7340</v>
      </c>
      <c r="M1784" s="0" t="s">
        <v>7777</v>
      </c>
      <c r="N1784" s="0" t="s">
        <v>7342</v>
      </c>
      <c r="P1784" s="0" t="s">
        <v>229</v>
      </c>
      <c r="R1784" s="0" t="s">
        <v>7343</v>
      </c>
      <c r="S1784" s="0" t="s">
        <v>7344</v>
      </c>
      <c r="T1784" s="0" t="s">
        <v>681</v>
      </c>
      <c r="V1784" s="0" t="s">
        <v>34</v>
      </c>
      <c r="W1784" s="0" t="s">
        <v>36</v>
      </c>
      <c r="Y1784" s="0" t="s">
        <v>7495</v>
      </c>
      <c r="Z1784" s="0" t="s">
        <v>7496</v>
      </c>
      <c r="AA1784" s="0" t="s">
        <v>7497</v>
      </c>
      <c r="AB1784" s="0" t="s">
        <v>682</v>
      </c>
      <c r="AC1784" s="0" t="s">
        <v>7349</v>
      </c>
      <c r="AD1784" s="0" t="s">
        <v>7498</v>
      </c>
      <c r="AE1784" s="0" t="s">
        <v>7778</v>
      </c>
      <c r="AF1784" s="0" t="s">
        <v>7499</v>
      </c>
      <c r="AG1784" s="0" t="s">
        <v>230</v>
      </c>
    </row>
    <row r="1785" customFormat="false" ht="15" hidden="false" customHeight="false" outlineLevel="0" collapsed="false">
      <c r="A1785" s="0" t="s">
        <v>7336</v>
      </c>
      <c r="B1785" s="0" t="s">
        <v>6496</v>
      </c>
      <c r="C1785" s="0" t="s">
        <v>6497</v>
      </c>
      <c r="D1785" s="0" t="s">
        <v>2431</v>
      </c>
      <c r="E1785" s="0" t="s">
        <v>6498</v>
      </c>
      <c r="F1785" s="0" t="s">
        <v>6495</v>
      </c>
      <c r="G1785" s="0" t="s">
        <v>111</v>
      </c>
      <c r="H1785" s="0" t="s">
        <v>8483</v>
      </c>
      <c r="I1785" s="0" t="s">
        <v>7338</v>
      </c>
      <c r="J1785" s="0" t="s">
        <v>6375</v>
      </c>
      <c r="K1785" s="0" t="s">
        <v>7339</v>
      </c>
      <c r="L1785" s="0" t="s">
        <v>7340</v>
      </c>
      <c r="M1785" s="0" t="s">
        <v>7777</v>
      </c>
      <c r="N1785" s="0" t="s">
        <v>7342</v>
      </c>
      <c r="P1785" s="0" t="s">
        <v>229</v>
      </c>
      <c r="R1785" s="0" t="s">
        <v>7343</v>
      </c>
      <c r="S1785" s="0" t="s">
        <v>7344</v>
      </c>
      <c r="T1785" s="0" t="s">
        <v>228</v>
      </c>
      <c r="V1785" s="0" t="s">
        <v>34</v>
      </c>
      <c r="W1785" s="0" t="s">
        <v>38</v>
      </c>
      <c r="X1785" s="0" t="s">
        <v>7345</v>
      </c>
      <c r="Y1785" s="0" t="s">
        <v>7409</v>
      </c>
      <c r="Z1785" s="0" t="s">
        <v>7370</v>
      </c>
      <c r="AA1785" s="0" t="s">
        <v>7504</v>
      </c>
      <c r="AB1785" s="0" t="s">
        <v>231</v>
      </c>
      <c r="AC1785" s="0" t="s">
        <v>7349</v>
      </c>
      <c r="AD1785" s="0" t="s">
        <v>7505</v>
      </c>
      <c r="AE1785" s="0" t="s">
        <v>301</v>
      </c>
      <c r="AF1785" s="0" t="s">
        <v>7374</v>
      </c>
      <c r="AG1785" s="0" t="s">
        <v>230</v>
      </c>
    </row>
    <row r="1786" customFormat="false" ht="15" hidden="false" customHeight="false" outlineLevel="0" collapsed="false">
      <c r="A1786" s="0" t="s">
        <v>7336</v>
      </c>
      <c r="B1786" s="0" t="s">
        <v>6499</v>
      </c>
      <c r="C1786" s="0" t="s">
        <v>6500</v>
      </c>
      <c r="D1786" s="0" t="s">
        <v>2431</v>
      </c>
      <c r="E1786" s="0" t="s">
        <v>6501</v>
      </c>
      <c r="F1786" s="0" t="s">
        <v>6502</v>
      </c>
      <c r="G1786" s="0" t="s">
        <v>111</v>
      </c>
      <c r="H1786" s="0" t="s">
        <v>8484</v>
      </c>
      <c r="I1786" s="0" t="s">
        <v>7338</v>
      </c>
      <c r="J1786" s="0" t="s">
        <v>6375</v>
      </c>
      <c r="K1786" s="0" t="s">
        <v>7339</v>
      </c>
      <c r="L1786" s="0" t="s">
        <v>7340</v>
      </c>
      <c r="M1786" s="0" t="s">
        <v>7777</v>
      </c>
      <c r="N1786" s="0" t="s">
        <v>7342</v>
      </c>
      <c r="P1786" s="0" t="s">
        <v>229</v>
      </c>
      <c r="R1786" s="0" t="s">
        <v>7343</v>
      </c>
      <c r="S1786" s="0" t="s">
        <v>7344</v>
      </c>
      <c r="T1786" s="0" t="s">
        <v>681</v>
      </c>
      <c r="V1786" s="0" t="s">
        <v>34</v>
      </c>
      <c r="W1786" s="0" t="s">
        <v>36</v>
      </c>
      <c r="Y1786" s="0" t="s">
        <v>7495</v>
      </c>
      <c r="Z1786" s="0" t="s">
        <v>7496</v>
      </c>
      <c r="AA1786" s="0" t="s">
        <v>7497</v>
      </c>
      <c r="AB1786" s="0" t="s">
        <v>682</v>
      </c>
      <c r="AC1786" s="0" t="s">
        <v>7349</v>
      </c>
      <c r="AD1786" s="0" t="s">
        <v>7498</v>
      </c>
      <c r="AE1786" s="0" t="s">
        <v>7778</v>
      </c>
      <c r="AF1786" s="0" t="s">
        <v>7499</v>
      </c>
      <c r="AG1786" s="0" t="s">
        <v>230</v>
      </c>
    </row>
    <row r="1787" customFormat="false" ht="15" hidden="false" customHeight="false" outlineLevel="0" collapsed="false">
      <c r="A1787" s="0" t="s">
        <v>7336</v>
      </c>
      <c r="B1787" s="0" t="s">
        <v>6503</v>
      </c>
      <c r="C1787" s="0" t="s">
        <v>6504</v>
      </c>
      <c r="D1787" s="0" t="s">
        <v>2431</v>
      </c>
      <c r="E1787" s="0" t="s">
        <v>6505</v>
      </c>
      <c r="F1787" s="0" t="s">
        <v>6502</v>
      </c>
      <c r="G1787" s="0" t="s">
        <v>111</v>
      </c>
      <c r="H1787" s="0" t="s">
        <v>8484</v>
      </c>
      <c r="I1787" s="0" t="s">
        <v>7338</v>
      </c>
      <c r="J1787" s="0" t="s">
        <v>6375</v>
      </c>
      <c r="K1787" s="0" t="s">
        <v>7339</v>
      </c>
      <c r="L1787" s="0" t="s">
        <v>7340</v>
      </c>
      <c r="M1787" s="0" t="s">
        <v>7777</v>
      </c>
      <c r="N1787" s="0" t="s">
        <v>7342</v>
      </c>
      <c r="P1787" s="0" t="s">
        <v>229</v>
      </c>
      <c r="R1787" s="0" t="s">
        <v>7343</v>
      </c>
      <c r="S1787" s="0" t="s">
        <v>7344</v>
      </c>
      <c r="T1787" s="0" t="s">
        <v>228</v>
      </c>
      <c r="V1787" s="0" t="s">
        <v>34</v>
      </c>
      <c r="W1787" s="0" t="s">
        <v>38</v>
      </c>
      <c r="X1787" s="0" t="s">
        <v>7345</v>
      </c>
      <c r="Y1787" s="0" t="s">
        <v>7409</v>
      </c>
      <c r="Z1787" s="0" t="s">
        <v>7370</v>
      </c>
      <c r="AA1787" s="0" t="s">
        <v>7504</v>
      </c>
      <c r="AB1787" s="0" t="s">
        <v>231</v>
      </c>
      <c r="AC1787" s="0" t="s">
        <v>7349</v>
      </c>
      <c r="AD1787" s="0" t="s">
        <v>7505</v>
      </c>
      <c r="AE1787" s="0" t="s">
        <v>301</v>
      </c>
      <c r="AF1787" s="0" t="s">
        <v>7374</v>
      </c>
      <c r="AG1787" s="0" t="s">
        <v>230</v>
      </c>
    </row>
    <row r="1788" customFormat="false" ht="15" hidden="false" customHeight="false" outlineLevel="0" collapsed="false">
      <c r="A1788" s="0" t="s">
        <v>7336</v>
      </c>
      <c r="B1788" s="0" t="s">
        <v>6506</v>
      </c>
      <c r="C1788" s="0" t="s">
        <v>6507</v>
      </c>
      <c r="D1788" s="0" t="s">
        <v>2431</v>
      </c>
      <c r="E1788" s="0" t="s">
        <v>6508</v>
      </c>
      <c r="F1788" s="0" t="s">
        <v>6509</v>
      </c>
      <c r="G1788" s="0" t="s">
        <v>111</v>
      </c>
      <c r="H1788" s="0" t="s">
        <v>8485</v>
      </c>
      <c r="I1788" s="0" t="s">
        <v>7338</v>
      </c>
      <c r="J1788" s="0" t="s">
        <v>6375</v>
      </c>
      <c r="K1788" s="0" t="s">
        <v>7339</v>
      </c>
      <c r="L1788" s="0" t="s">
        <v>7340</v>
      </c>
      <c r="M1788" s="0" t="s">
        <v>7777</v>
      </c>
      <c r="N1788" s="0" t="s">
        <v>7342</v>
      </c>
      <c r="P1788" s="0" t="s">
        <v>229</v>
      </c>
      <c r="R1788" s="0" t="s">
        <v>7343</v>
      </c>
      <c r="S1788" s="0" t="s">
        <v>7344</v>
      </c>
      <c r="T1788" s="0" t="s">
        <v>681</v>
      </c>
      <c r="V1788" s="0" t="s">
        <v>34</v>
      </c>
      <c r="W1788" s="0" t="s">
        <v>36</v>
      </c>
      <c r="Y1788" s="0" t="s">
        <v>7495</v>
      </c>
      <c r="Z1788" s="0" t="s">
        <v>7496</v>
      </c>
      <c r="AA1788" s="0" t="s">
        <v>7497</v>
      </c>
      <c r="AB1788" s="0" t="s">
        <v>682</v>
      </c>
      <c r="AC1788" s="0" t="s">
        <v>7349</v>
      </c>
      <c r="AD1788" s="0" t="s">
        <v>7498</v>
      </c>
      <c r="AE1788" s="0" t="s">
        <v>7778</v>
      </c>
      <c r="AF1788" s="0" t="s">
        <v>7499</v>
      </c>
      <c r="AG1788" s="0" t="s">
        <v>230</v>
      </c>
    </row>
    <row r="1789" customFormat="false" ht="15" hidden="false" customHeight="false" outlineLevel="0" collapsed="false">
      <c r="A1789" s="0" t="s">
        <v>7336</v>
      </c>
      <c r="B1789" s="0" t="s">
        <v>6510</v>
      </c>
      <c r="C1789" s="0" t="s">
        <v>6511</v>
      </c>
      <c r="D1789" s="0" t="s">
        <v>2431</v>
      </c>
      <c r="E1789" s="0" t="s">
        <v>6512</v>
      </c>
      <c r="F1789" s="0" t="s">
        <v>6509</v>
      </c>
      <c r="G1789" s="0" t="s">
        <v>111</v>
      </c>
      <c r="H1789" s="0" t="s">
        <v>8485</v>
      </c>
      <c r="I1789" s="0" t="s">
        <v>7338</v>
      </c>
      <c r="J1789" s="0" t="s">
        <v>6375</v>
      </c>
      <c r="K1789" s="0" t="s">
        <v>7339</v>
      </c>
      <c r="L1789" s="0" t="s">
        <v>7340</v>
      </c>
      <c r="M1789" s="0" t="s">
        <v>7777</v>
      </c>
      <c r="N1789" s="0" t="s">
        <v>7342</v>
      </c>
      <c r="P1789" s="0" t="s">
        <v>229</v>
      </c>
      <c r="R1789" s="0" t="s">
        <v>7343</v>
      </c>
      <c r="S1789" s="0" t="s">
        <v>7344</v>
      </c>
      <c r="T1789" s="0" t="s">
        <v>228</v>
      </c>
      <c r="V1789" s="0" t="s">
        <v>34</v>
      </c>
      <c r="W1789" s="0" t="s">
        <v>38</v>
      </c>
      <c r="X1789" s="0" t="s">
        <v>7345</v>
      </c>
      <c r="Y1789" s="0" t="s">
        <v>7409</v>
      </c>
      <c r="Z1789" s="0" t="s">
        <v>7370</v>
      </c>
      <c r="AA1789" s="0" t="s">
        <v>7504</v>
      </c>
      <c r="AB1789" s="0" t="s">
        <v>231</v>
      </c>
      <c r="AC1789" s="0" t="s">
        <v>7349</v>
      </c>
      <c r="AD1789" s="0" t="s">
        <v>7505</v>
      </c>
      <c r="AE1789" s="0" t="s">
        <v>301</v>
      </c>
      <c r="AF1789" s="0" t="s">
        <v>7374</v>
      </c>
      <c r="AG1789" s="0" t="s">
        <v>230</v>
      </c>
    </row>
    <row r="1790" customFormat="false" ht="15" hidden="false" customHeight="false" outlineLevel="0" collapsed="false">
      <c r="A1790" s="0" t="s">
        <v>7336</v>
      </c>
      <c r="B1790" s="0" t="s">
        <v>6513</v>
      </c>
      <c r="C1790" s="0" t="s">
        <v>6514</v>
      </c>
      <c r="D1790" s="0" t="s">
        <v>2431</v>
      </c>
      <c r="E1790" s="0" t="s">
        <v>6515</v>
      </c>
      <c r="F1790" s="0" t="s">
        <v>6516</v>
      </c>
      <c r="G1790" s="0" t="s">
        <v>111</v>
      </c>
      <c r="H1790" s="0" t="s">
        <v>8486</v>
      </c>
      <c r="I1790" s="0" t="s">
        <v>7338</v>
      </c>
      <c r="J1790" s="0" t="s">
        <v>6375</v>
      </c>
      <c r="K1790" s="0" t="s">
        <v>7339</v>
      </c>
      <c r="L1790" s="0" t="s">
        <v>7340</v>
      </c>
      <c r="M1790" s="0" t="s">
        <v>7777</v>
      </c>
      <c r="N1790" s="0" t="s">
        <v>7342</v>
      </c>
      <c r="P1790" s="0" t="s">
        <v>229</v>
      </c>
      <c r="R1790" s="0" t="s">
        <v>7343</v>
      </c>
      <c r="S1790" s="0" t="s">
        <v>7344</v>
      </c>
      <c r="T1790" s="0" t="s">
        <v>681</v>
      </c>
      <c r="V1790" s="0" t="s">
        <v>34</v>
      </c>
      <c r="W1790" s="0" t="s">
        <v>36</v>
      </c>
      <c r="Y1790" s="0" t="s">
        <v>7495</v>
      </c>
      <c r="Z1790" s="0" t="s">
        <v>7496</v>
      </c>
      <c r="AA1790" s="0" t="s">
        <v>7497</v>
      </c>
      <c r="AB1790" s="0" t="s">
        <v>682</v>
      </c>
      <c r="AC1790" s="0" t="s">
        <v>7349</v>
      </c>
      <c r="AD1790" s="0" t="s">
        <v>7498</v>
      </c>
      <c r="AE1790" s="0" t="s">
        <v>7778</v>
      </c>
      <c r="AF1790" s="0" t="s">
        <v>7499</v>
      </c>
      <c r="AG1790" s="0" t="s">
        <v>230</v>
      </c>
    </row>
    <row r="1791" customFormat="false" ht="15" hidden="false" customHeight="false" outlineLevel="0" collapsed="false">
      <c r="A1791" s="0" t="s">
        <v>7336</v>
      </c>
      <c r="B1791" s="0" t="s">
        <v>6517</v>
      </c>
      <c r="C1791" s="0" t="s">
        <v>6518</v>
      </c>
      <c r="D1791" s="0" t="s">
        <v>2431</v>
      </c>
      <c r="E1791" s="0" t="s">
        <v>6519</v>
      </c>
      <c r="F1791" s="0" t="s">
        <v>6516</v>
      </c>
      <c r="G1791" s="0" t="s">
        <v>111</v>
      </c>
      <c r="H1791" s="0" t="s">
        <v>8486</v>
      </c>
      <c r="I1791" s="0" t="s">
        <v>7338</v>
      </c>
      <c r="J1791" s="0" t="s">
        <v>6375</v>
      </c>
      <c r="K1791" s="0" t="s">
        <v>7339</v>
      </c>
      <c r="L1791" s="0" t="s">
        <v>7340</v>
      </c>
      <c r="M1791" s="0" t="s">
        <v>7777</v>
      </c>
      <c r="N1791" s="0" t="s">
        <v>7342</v>
      </c>
      <c r="P1791" s="0" t="s">
        <v>229</v>
      </c>
      <c r="R1791" s="0" t="s">
        <v>7343</v>
      </c>
      <c r="S1791" s="0" t="s">
        <v>7344</v>
      </c>
      <c r="T1791" s="0" t="s">
        <v>681</v>
      </c>
      <c r="V1791" s="0" t="s">
        <v>34</v>
      </c>
      <c r="W1791" s="0" t="s">
        <v>36</v>
      </c>
      <c r="Y1791" s="0" t="s">
        <v>7495</v>
      </c>
      <c r="Z1791" s="0" t="s">
        <v>7496</v>
      </c>
      <c r="AA1791" s="0" t="s">
        <v>7497</v>
      </c>
      <c r="AB1791" s="0" t="s">
        <v>682</v>
      </c>
      <c r="AC1791" s="0" t="s">
        <v>7349</v>
      </c>
      <c r="AD1791" s="0" t="s">
        <v>7498</v>
      </c>
      <c r="AE1791" s="0" t="s">
        <v>7797</v>
      </c>
      <c r="AF1791" s="0" t="s">
        <v>7499</v>
      </c>
      <c r="AG1791" s="0" t="s">
        <v>230</v>
      </c>
    </row>
    <row r="1792" customFormat="false" ht="15" hidden="false" customHeight="false" outlineLevel="0" collapsed="false">
      <c r="A1792" s="0" t="s">
        <v>7336</v>
      </c>
      <c r="B1792" s="0" t="s">
        <v>6520</v>
      </c>
      <c r="C1792" s="0" t="s">
        <v>6521</v>
      </c>
      <c r="D1792" s="0" t="s">
        <v>2431</v>
      </c>
      <c r="E1792" s="0" t="s">
        <v>6522</v>
      </c>
      <c r="F1792" s="0" t="s">
        <v>6516</v>
      </c>
      <c r="G1792" s="0" t="s">
        <v>111</v>
      </c>
      <c r="H1792" s="0" t="s">
        <v>8486</v>
      </c>
      <c r="I1792" s="0" t="s">
        <v>7338</v>
      </c>
      <c r="J1792" s="0" t="s">
        <v>6375</v>
      </c>
      <c r="K1792" s="0" t="s">
        <v>7339</v>
      </c>
      <c r="L1792" s="0" t="s">
        <v>7340</v>
      </c>
      <c r="M1792" s="0" t="s">
        <v>7777</v>
      </c>
      <c r="N1792" s="0" t="s">
        <v>7342</v>
      </c>
      <c r="P1792" s="0" t="s">
        <v>229</v>
      </c>
      <c r="R1792" s="0" t="s">
        <v>7343</v>
      </c>
      <c r="S1792" s="0" t="s">
        <v>7344</v>
      </c>
      <c r="T1792" s="0" t="s">
        <v>228</v>
      </c>
      <c r="V1792" s="0" t="s">
        <v>34</v>
      </c>
      <c r="W1792" s="0" t="s">
        <v>38</v>
      </c>
      <c r="X1792" s="0" t="s">
        <v>7345</v>
      </c>
      <c r="Y1792" s="0" t="s">
        <v>7409</v>
      </c>
      <c r="Z1792" s="0" t="s">
        <v>7370</v>
      </c>
      <c r="AA1792" s="0" t="s">
        <v>7504</v>
      </c>
      <c r="AB1792" s="0" t="s">
        <v>231</v>
      </c>
      <c r="AC1792" s="0" t="s">
        <v>7349</v>
      </c>
      <c r="AD1792" s="0" t="s">
        <v>7505</v>
      </c>
      <c r="AE1792" s="0" t="s">
        <v>301</v>
      </c>
      <c r="AF1792" s="0" t="s">
        <v>7374</v>
      </c>
      <c r="AG1792" s="0" t="s">
        <v>230</v>
      </c>
    </row>
    <row r="1793" customFormat="false" ht="15" hidden="false" customHeight="false" outlineLevel="0" collapsed="false">
      <c r="A1793" s="0" t="s">
        <v>7336</v>
      </c>
      <c r="B1793" s="0" t="s">
        <v>6523</v>
      </c>
      <c r="C1793" s="0" t="s">
        <v>6524</v>
      </c>
      <c r="D1793" s="0" t="s">
        <v>2431</v>
      </c>
      <c r="E1793" s="0" t="s">
        <v>6525</v>
      </c>
      <c r="F1793" s="0" t="s">
        <v>6526</v>
      </c>
      <c r="G1793" s="0" t="s">
        <v>111</v>
      </c>
      <c r="H1793" s="0" t="s">
        <v>8487</v>
      </c>
      <c r="I1793" s="0" t="s">
        <v>7338</v>
      </c>
      <c r="J1793" s="0" t="s">
        <v>6375</v>
      </c>
      <c r="K1793" s="0" t="s">
        <v>7339</v>
      </c>
      <c r="L1793" s="0" t="s">
        <v>7340</v>
      </c>
      <c r="M1793" s="0" t="s">
        <v>7777</v>
      </c>
      <c r="N1793" s="0" t="s">
        <v>7342</v>
      </c>
      <c r="P1793" s="0" t="s">
        <v>229</v>
      </c>
      <c r="Q1793" s="0" t="s">
        <v>7354</v>
      </c>
      <c r="R1793" s="0" t="s">
        <v>7343</v>
      </c>
      <c r="S1793" s="0" t="s">
        <v>7344</v>
      </c>
      <c r="T1793" s="0" t="s">
        <v>681</v>
      </c>
      <c r="V1793" s="0" t="s">
        <v>90</v>
      </c>
      <c r="W1793" s="0" t="s">
        <v>92</v>
      </c>
      <c r="X1793" s="0" t="s">
        <v>7355</v>
      </c>
      <c r="Y1793" s="0" t="s">
        <v>7756</v>
      </c>
      <c r="Z1793" s="0" t="s">
        <v>8476</v>
      </c>
      <c r="AA1793" s="0" t="s">
        <v>8477</v>
      </c>
      <c r="AB1793" s="0" t="s">
        <v>4254</v>
      </c>
      <c r="AC1793" s="0" t="s">
        <v>7349</v>
      </c>
      <c r="AD1793" s="0" t="s">
        <v>8478</v>
      </c>
      <c r="AE1793" s="0" t="s">
        <v>92</v>
      </c>
      <c r="AF1793" s="0" t="s">
        <v>7374</v>
      </c>
      <c r="AG1793" s="0" t="s">
        <v>230</v>
      </c>
    </row>
    <row r="1794" customFormat="false" ht="15" hidden="false" customHeight="false" outlineLevel="0" collapsed="false">
      <c r="A1794" s="0" t="s">
        <v>7336</v>
      </c>
      <c r="B1794" s="0" t="s">
        <v>6527</v>
      </c>
      <c r="C1794" s="0" t="s">
        <v>6528</v>
      </c>
      <c r="D1794" s="0" t="s">
        <v>2431</v>
      </c>
      <c r="E1794" s="0" t="s">
        <v>6529</v>
      </c>
      <c r="F1794" s="0" t="s">
        <v>6526</v>
      </c>
      <c r="G1794" s="0" t="s">
        <v>111</v>
      </c>
      <c r="H1794" s="0" t="s">
        <v>8487</v>
      </c>
      <c r="I1794" s="0" t="s">
        <v>7338</v>
      </c>
      <c r="J1794" s="0" t="s">
        <v>6375</v>
      </c>
      <c r="K1794" s="0" t="s">
        <v>7339</v>
      </c>
      <c r="L1794" s="0" t="s">
        <v>7340</v>
      </c>
      <c r="M1794" s="0" t="s">
        <v>7777</v>
      </c>
      <c r="N1794" s="0" t="s">
        <v>7342</v>
      </c>
      <c r="P1794" s="0" t="s">
        <v>229</v>
      </c>
      <c r="R1794" s="0" t="s">
        <v>7343</v>
      </c>
      <c r="S1794" s="0" t="s">
        <v>7344</v>
      </c>
      <c r="T1794" s="0" t="s">
        <v>681</v>
      </c>
      <c r="V1794" s="0" t="s">
        <v>34</v>
      </c>
      <c r="W1794" s="0" t="s">
        <v>36</v>
      </c>
      <c r="Y1794" s="0" t="s">
        <v>7495</v>
      </c>
      <c r="Z1794" s="0" t="s">
        <v>7496</v>
      </c>
      <c r="AA1794" s="0" t="s">
        <v>7497</v>
      </c>
      <c r="AB1794" s="0" t="s">
        <v>682</v>
      </c>
      <c r="AC1794" s="0" t="s">
        <v>7349</v>
      </c>
      <c r="AD1794" s="0" t="s">
        <v>7498</v>
      </c>
      <c r="AE1794" s="0" t="s">
        <v>7797</v>
      </c>
      <c r="AF1794" s="0" t="s">
        <v>7499</v>
      </c>
      <c r="AG1794" s="0" t="s">
        <v>230</v>
      </c>
    </row>
    <row r="1795" customFormat="false" ht="15" hidden="false" customHeight="false" outlineLevel="0" collapsed="false">
      <c r="A1795" s="0" t="s">
        <v>7336</v>
      </c>
      <c r="B1795" s="0" t="s">
        <v>6530</v>
      </c>
      <c r="C1795" s="0" t="s">
        <v>6531</v>
      </c>
      <c r="D1795" s="0" t="s">
        <v>2431</v>
      </c>
      <c r="E1795" s="0" t="s">
        <v>6532</v>
      </c>
      <c r="F1795" s="0" t="s">
        <v>6526</v>
      </c>
      <c r="G1795" s="0" t="s">
        <v>111</v>
      </c>
      <c r="H1795" s="0" t="s">
        <v>8487</v>
      </c>
      <c r="I1795" s="0" t="s">
        <v>7338</v>
      </c>
      <c r="J1795" s="0" t="s">
        <v>6375</v>
      </c>
      <c r="K1795" s="0" t="s">
        <v>7339</v>
      </c>
      <c r="L1795" s="0" t="s">
        <v>7340</v>
      </c>
      <c r="M1795" s="0" t="s">
        <v>7777</v>
      </c>
      <c r="N1795" s="0" t="s">
        <v>7342</v>
      </c>
      <c r="P1795" s="0" t="s">
        <v>229</v>
      </c>
      <c r="R1795" s="0" t="s">
        <v>7343</v>
      </c>
      <c r="S1795" s="0" t="s">
        <v>7344</v>
      </c>
      <c r="T1795" s="0" t="s">
        <v>228</v>
      </c>
      <c r="V1795" s="0" t="s">
        <v>34</v>
      </c>
      <c r="W1795" s="0" t="s">
        <v>36</v>
      </c>
      <c r="Y1795" s="0" t="s">
        <v>7409</v>
      </c>
      <c r="Z1795" s="0" t="s">
        <v>7370</v>
      </c>
      <c r="AA1795" s="0" t="s">
        <v>7504</v>
      </c>
      <c r="AB1795" s="0" t="s">
        <v>231</v>
      </c>
      <c r="AC1795" s="0" t="s">
        <v>7349</v>
      </c>
      <c r="AD1795" s="0" t="s">
        <v>7505</v>
      </c>
      <c r="AE1795" s="0" t="s">
        <v>7779</v>
      </c>
      <c r="AF1795" s="0" t="s">
        <v>7374</v>
      </c>
      <c r="AG1795" s="0" t="s">
        <v>230</v>
      </c>
    </row>
    <row r="1796" customFormat="false" ht="15" hidden="false" customHeight="false" outlineLevel="0" collapsed="false">
      <c r="A1796" s="0" t="s">
        <v>7336</v>
      </c>
      <c r="B1796" s="0" t="s">
        <v>6533</v>
      </c>
      <c r="C1796" s="0" t="s">
        <v>6534</v>
      </c>
      <c r="D1796" s="0" t="s">
        <v>2431</v>
      </c>
      <c r="E1796" s="0" t="s">
        <v>6535</v>
      </c>
      <c r="F1796" s="0" t="s">
        <v>6536</v>
      </c>
      <c r="G1796" s="0" t="s">
        <v>111</v>
      </c>
      <c r="H1796" s="0" t="s">
        <v>8488</v>
      </c>
      <c r="I1796" s="0" t="s">
        <v>7338</v>
      </c>
      <c r="J1796" s="0" t="s">
        <v>6375</v>
      </c>
      <c r="K1796" s="0" t="s">
        <v>7339</v>
      </c>
      <c r="L1796" s="0" t="s">
        <v>7340</v>
      </c>
      <c r="M1796" s="0" t="s">
        <v>7777</v>
      </c>
      <c r="N1796" s="0" t="s">
        <v>7342</v>
      </c>
      <c r="P1796" s="0" t="s">
        <v>229</v>
      </c>
      <c r="Q1796" s="0" t="s">
        <v>7354</v>
      </c>
      <c r="R1796" s="0" t="s">
        <v>7343</v>
      </c>
      <c r="S1796" s="0" t="s">
        <v>7344</v>
      </c>
      <c r="T1796" s="0" t="s">
        <v>681</v>
      </c>
      <c r="V1796" s="0" t="s">
        <v>90</v>
      </c>
      <c r="W1796" s="0" t="s">
        <v>92</v>
      </c>
      <c r="X1796" s="0" t="s">
        <v>7355</v>
      </c>
      <c r="Y1796" s="0" t="s">
        <v>7756</v>
      </c>
      <c r="Z1796" s="0" t="s">
        <v>8476</v>
      </c>
      <c r="AA1796" s="0" t="s">
        <v>8477</v>
      </c>
      <c r="AB1796" s="0" t="s">
        <v>4254</v>
      </c>
      <c r="AC1796" s="0" t="s">
        <v>7349</v>
      </c>
      <c r="AD1796" s="0" t="s">
        <v>8478</v>
      </c>
      <c r="AE1796" s="0" t="s">
        <v>92</v>
      </c>
      <c r="AF1796" s="0" t="s">
        <v>7374</v>
      </c>
      <c r="AG1796" s="0" t="s">
        <v>230</v>
      </c>
    </row>
    <row r="1797" customFormat="false" ht="15" hidden="false" customHeight="false" outlineLevel="0" collapsed="false">
      <c r="A1797" s="0" t="s">
        <v>7336</v>
      </c>
      <c r="B1797" s="0" t="s">
        <v>6537</v>
      </c>
      <c r="C1797" s="0" t="s">
        <v>6538</v>
      </c>
      <c r="D1797" s="0" t="s">
        <v>2431</v>
      </c>
      <c r="E1797" s="0" t="s">
        <v>6539</v>
      </c>
      <c r="F1797" s="0" t="s">
        <v>6536</v>
      </c>
      <c r="G1797" s="0" t="s">
        <v>111</v>
      </c>
      <c r="H1797" s="0" t="s">
        <v>8488</v>
      </c>
      <c r="I1797" s="0" t="s">
        <v>7338</v>
      </c>
      <c r="J1797" s="0" t="s">
        <v>6375</v>
      </c>
      <c r="K1797" s="0" t="s">
        <v>7339</v>
      </c>
      <c r="L1797" s="0" t="s">
        <v>7340</v>
      </c>
      <c r="M1797" s="0" t="s">
        <v>7777</v>
      </c>
      <c r="N1797" s="0" t="s">
        <v>7342</v>
      </c>
      <c r="P1797" s="0" t="s">
        <v>229</v>
      </c>
      <c r="R1797" s="0" t="s">
        <v>7343</v>
      </c>
      <c r="S1797" s="0" t="s">
        <v>7344</v>
      </c>
      <c r="T1797" s="0" t="s">
        <v>681</v>
      </c>
      <c r="V1797" s="0" t="s">
        <v>34</v>
      </c>
      <c r="W1797" s="0" t="s">
        <v>36</v>
      </c>
      <c r="Y1797" s="0" t="s">
        <v>7495</v>
      </c>
      <c r="Z1797" s="0" t="s">
        <v>7496</v>
      </c>
      <c r="AA1797" s="0" t="s">
        <v>7497</v>
      </c>
      <c r="AB1797" s="0" t="s">
        <v>682</v>
      </c>
      <c r="AC1797" s="0" t="s">
        <v>7349</v>
      </c>
      <c r="AD1797" s="0" t="s">
        <v>7498</v>
      </c>
      <c r="AE1797" s="0" t="s">
        <v>7797</v>
      </c>
      <c r="AF1797" s="0" t="s">
        <v>7499</v>
      </c>
      <c r="AG1797" s="0" t="s">
        <v>230</v>
      </c>
    </row>
    <row r="1798" customFormat="false" ht="15" hidden="false" customHeight="false" outlineLevel="0" collapsed="false">
      <c r="A1798" s="0" t="s">
        <v>7336</v>
      </c>
      <c r="B1798" s="0" t="s">
        <v>6540</v>
      </c>
      <c r="C1798" s="0" t="s">
        <v>6541</v>
      </c>
      <c r="D1798" s="0" t="s">
        <v>2431</v>
      </c>
      <c r="E1798" s="0" t="s">
        <v>6542</v>
      </c>
      <c r="F1798" s="0" t="s">
        <v>6536</v>
      </c>
      <c r="G1798" s="0" t="s">
        <v>111</v>
      </c>
      <c r="H1798" s="0" t="s">
        <v>8488</v>
      </c>
      <c r="I1798" s="0" t="s">
        <v>7338</v>
      </c>
      <c r="J1798" s="0" t="s">
        <v>6375</v>
      </c>
      <c r="K1798" s="0" t="s">
        <v>7339</v>
      </c>
      <c r="L1798" s="0" t="s">
        <v>7340</v>
      </c>
      <c r="M1798" s="0" t="s">
        <v>7777</v>
      </c>
      <c r="N1798" s="0" t="s">
        <v>7342</v>
      </c>
      <c r="P1798" s="0" t="s">
        <v>229</v>
      </c>
      <c r="R1798" s="0" t="s">
        <v>7343</v>
      </c>
      <c r="S1798" s="0" t="s">
        <v>7344</v>
      </c>
      <c r="T1798" s="0" t="s">
        <v>228</v>
      </c>
      <c r="V1798" s="0" t="s">
        <v>34</v>
      </c>
      <c r="W1798" s="0" t="s">
        <v>36</v>
      </c>
      <c r="Y1798" s="0" t="s">
        <v>7409</v>
      </c>
      <c r="Z1798" s="0" t="s">
        <v>7370</v>
      </c>
      <c r="AA1798" s="0" t="s">
        <v>7504</v>
      </c>
      <c r="AB1798" s="0" t="s">
        <v>231</v>
      </c>
      <c r="AC1798" s="0" t="s">
        <v>7349</v>
      </c>
      <c r="AD1798" s="0" t="s">
        <v>7505</v>
      </c>
      <c r="AE1798" s="0" t="s">
        <v>7779</v>
      </c>
      <c r="AF1798" s="0" t="s">
        <v>7374</v>
      </c>
      <c r="AG1798" s="0" t="s">
        <v>230</v>
      </c>
    </row>
    <row r="1799" customFormat="false" ht="15" hidden="false" customHeight="false" outlineLevel="0" collapsed="false">
      <c r="A1799" s="0" t="s">
        <v>7336</v>
      </c>
      <c r="B1799" s="0" t="s">
        <v>6543</v>
      </c>
      <c r="C1799" s="0" t="s">
        <v>6544</v>
      </c>
      <c r="D1799" s="0" t="s">
        <v>2431</v>
      </c>
      <c r="E1799" s="0" t="s">
        <v>6545</v>
      </c>
      <c r="F1799" s="0" t="s">
        <v>6546</v>
      </c>
      <c r="G1799" s="0" t="s">
        <v>111</v>
      </c>
      <c r="H1799" s="0" t="s">
        <v>8489</v>
      </c>
      <c r="I1799" s="0" t="s">
        <v>7338</v>
      </c>
      <c r="J1799" s="0" t="s">
        <v>6375</v>
      </c>
      <c r="K1799" s="0" t="s">
        <v>7339</v>
      </c>
      <c r="L1799" s="0" t="s">
        <v>7340</v>
      </c>
      <c r="M1799" s="0" t="s">
        <v>7777</v>
      </c>
      <c r="N1799" s="0" t="s">
        <v>7342</v>
      </c>
      <c r="P1799" s="0" t="s">
        <v>229</v>
      </c>
      <c r="Q1799" s="0" t="s">
        <v>7354</v>
      </c>
      <c r="R1799" s="0" t="s">
        <v>7343</v>
      </c>
      <c r="S1799" s="0" t="s">
        <v>7344</v>
      </c>
      <c r="T1799" s="0" t="s">
        <v>681</v>
      </c>
      <c r="V1799" s="0" t="s">
        <v>90</v>
      </c>
      <c r="W1799" s="0" t="s">
        <v>92</v>
      </c>
      <c r="X1799" s="0" t="s">
        <v>7355</v>
      </c>
      <c r="Y1799" s="0" t="s">
        <v>7756</v>
      </c>
      <c r="Z1799" s="0" t="s">
        <v>8476</v>
      </c>
      <c r="AA1799" s="0" t="s">
        <v>8477</v>
      </c>
      <c r="AB1799" s="0" t="s">
        <v>4254</v>
      </c>
      <c r="AC1799" s="0" t="s">
        <v>7349</v>
      </c>
      <c r="AD1799" s="0" t="s">
        <v>8478</v>
      </c>
      <c r="AE1799" s="0" t="s">
        <v>92</v>
      </c>
      <c r="AF1799" s="0" t="s">
        <v>7374</v>
      </c>
      <c r="AG1799" s="0" t="s">
        <v>230</v>
      </c>
    </row>
    <row r="1800" customFormat="false" ht="15" hidden="false" customHeight="false" outlineLevel="0" collapsed="false">
      <c r="A1800" s="0" t="s">
        <v>7336</v>
      </c>
      <c r="B1800" s="0" t="s">
        <v>6547</v>
      </c>
      <c r="C1800" s="0" t="s">
        <v>6548</v>
      </c>
      <c r="D1800" s="0" t="s">
        <v>2431</v>
      </c>
      <c r="E1800" s="0" t="s">
        <v>6549</v>
      </c>
      <c r="F1800" s="0" t="s">
        <v>6546</v>
      </c>
      <c r="G1800" s="0" t="s">
        <v>111</v>
      </c>
      <c r="H1800" s="0" t="s">
        <v>8489</v>
      </c>
      <c r="I1800" s="0" t="s">
        <v>7338</v>
      </c>
      <c r="J1800" s="0" t="s">
        <v>6375</v>
      </c>
      <c r="K1800" s="0" t="s">
        <v>7339</v>
      </c>
      <c r="L1800" s="0" t="s">
        <v>7340</v>
      </c>
      <c r="M1800" s="0" t="s">
        <v>7777</v>
      </c>
      <c r="N1800" s="0" t="s">
        <v>7342</v>
      </c>
      <c r="P1800" s="0" t="s">
        <v>229</v>
      </c>
      <c r="R1800" s="0" t="s">
        <v>7343</v>
      </c>
      <c r="S1800" s="0" t="s">
        <v>7344</v>
      </c>
      <c r="T1800" s="0" t="s">
        <v>681</v>
      </c>
      <c r="V1800" s="0" t="s">
        <v>34</v>
      </c>
      <c r="W1800" s="0" t="s">
        <v>36</v>
      </c>
      <c r="Y1800" s="0" t="s">
        <v>7495</v>
      </c>
      <c r="Z1800" s="0" t="s">
        <v>7496</v>
      </c>
      <c r="AA1800" s="0" t="s">
        <v>7497</v>
      </c>
      <c r="AB1800" s="0" t="s">
        <v>682</v>
      </c>
      <c r="AC1800" s="0" t="s">
        <v>7349</v>
      </c>
      <c r="AD1800" s="0" t="s">
        <v>7498</v>
      </c>
      <c r="AE1800" s="0" t="s">
        <v>7778</v>
      </c>
      <c r="AF1800" s="0" t="s">
        <v>7499</v>
      </c>
      <c r="AG1800" s="0" t="s">
        <v>230</v>
      </c>
    </row>
    <row r="1801" customFormat="false" ht="15" hidden="false" customHeight="false" outlineLevel="0" collapsed="false">
      <c r="A1801" s="0" t="s">
        <v>7336</v>
      </c>
      <c r="B1801" s="0" t="s">
        <v>6550</v>
      </c>
      <c r="C1801" s="0" t="s">
        <v>6551</v>
      </c>
      <c r="D1801" s="0" t="s">
        <v>2431</v>
      </c>
      <c r="E1801" s="0" t="s">
        <v>6552</v>
      </c>
      <c r="F1801" s="0" t="s">
        <v>6546</v>
      </c>
      <c r="G1801" s="0" t="s">
        <v>111</v>
      </c>
      <c r="H1801" s="0" t="s">
        <v>8489</v>
      </c>
      <c r="I1801" s="0" t="s">
        <v>7338</v>
      </c>
      <c r="J1801" s="0" t="s">
        <v>6375</v>
      </c>
      <c r="K1801" s="0" t="s">
        <v>7339</v>
      </c>
      <c r="L1801" s="0" t="s">
        <v>7340</v>
      </c>
      <c r="M1801" s="0" t="s">
        <v>7777</v>
      </c>
      <c r="N1801" s="0" t="s">
        <v>7342</v>
      </c>
      <c r="P1801" s="0" t="s">
        <v>229</v>
      </c>
      <c r="R1801" s="0" t="s">
        <v>7343</v>
      </c>
      <c r="S1801" s="0" t="s">
        <v>7344</v>
      </c>
      <c r="T1801" s="0" t="s">
        <v>228</v>
      </c>
      <c r="V1801" s="0" t="s">
        <v>34</v>
      </c>
      <c r="W1801" s="0" t="s">
        <v>36</v>
      </c>
      <c r="Y1801" s="0" t="s">
        <v>7409</v>
      </c>
      <c r="Z1801" s="0" t="s">
        <v>7370</v>
      </c>
      <c r="AA1801" s="0" t="s">
        <v>7504</v>
      </c>
      <c r="AB1801" s="0" t="s">
        <v>231</v>
      </c>
      <c r="AC1801" s="0" t="s">
        <v>7349</v>
      </c>
      <c r="AD1801" s="0" t="s">
        <v>7505</v>
      </c>
      <c r="AE1801" s="0" t="s">
        <v>7779</v>
      </c>
      <c r="AF1801" s="0" t="s">
        <v>7374</v>
      </c>
      <c r="AG1801" s="0" t="s">
        <v>230</v>
      </c>
    </row>
    <row r="1802" customFormat="false" ht="15" hidden="false" customHeight="false" outlineLevel="0" collapsed="false">
      <c r="A1802" s="0" t="s">
        <v>7336</v>
      </c>
      <c r="B1802" s="0" t="s">
        <v>6553</v>
      </c>
      <c r="C1802" s="0" t="s">
        <v>6554</v>
      </c>
      <c r="D1802" s="0" t="s">
        <v>2431</v>
      </c>
      <c r="E1802" s="0" t="s">
        <v>6555</v>
      </c>
      <c r="F1802" s="0" t="s">
        <v>6556</v>
      </c>
      <c r="G1802" s="0" t="s">
        <v>109</v>
      </c>
      <c r="H1802" s="0" t="s">
        <v>8490</v>
      </c>
      <c r="I1802" s="0" t="s">
        <v>7338</v>
      </c>
      <c r="J1802" s="0" t="s">
        <v>6557</v>
      </c>
      <c r="K1802" s="0" t="s">
        <v>7339</v>
      </c>
      <c r="L1802" s="0" t="s">
        <v>7340</v>
      </c>
      <c r="M1802" s="0" t="s">
        <v>8491</v>
      </c>
      <c r="N1802" s="0" t="s">
        <v>7342</v>
      </c>
      <c r="P1802" s="0" t="s">
        <v>229</v>
      </c>
      <c r="R1802" s="0" t="s">
        <v>7343</v>
      </c>
      <c r="S1802" s="0" t="s">
        <v>7344</v>
      </c>
      <c r="T1802" s="0" t="s">
        <v>228</v>
      </c>
      <c r="V1802" s="0" t="s">
        <v>34</v>
      </c>
      <c r="W1802" s="0" t="s">
        <v>38</v>
      </c>
      <c r="X1802" s="0" t="s">
        <v>7345</v>
      </c>
      <c r="Y1802" s="0" t="s">
        <v>7409</v>
      </c>
      <c r="Z1802" s="0" t="s">
        <v>7370</v>
      </c>
      <c r="AA1802" s="0" t="s">
        <v>7504</v>
      </c>
      <c r="AB1802" s="0" t="s">
        <v>231</v>
      </c>
      <c r="AC1802" s="0" t="s">
        <v>7349</v>
      </c>
      <c r="AD1802" s="0" t="s">
        <v>7505</v>
      </c>
      <c r="AE1802" s="0" t="s">
        <v>301</v>
      </c>
      <c r="AF1802" s="0" t="s">
        <v>7374</v>
      </c>
      <c r="AG1802" s="0" t="s">
        <v>230</v>
      </c>
    </row>
    <row r="1803" customFormat="false" ht="15" hidden="false" customHeight="false" outlineLevel="0" collapsed="false">
      <c r="A1803" s="0" t="s">
        <v>7336</v>
      </c>
      <c r="B1803" s="0" t="s">
        <v>6558</v>
      </c>
      <c r="C1803" s="0" t="s">
        <v>6559</v>
      </c>
      <c r="D1803" s="0" t="s">
        <v>2431</v>
      </c>
      <c r="E1803" s="0" t="s">
        <v>6560</v>
      </c>
      <c r="F1803" s="0" t="s">
        <v>6556</v>
      </c>
      <c r="G1803" s="0" t="s">
        <v>109</v>
      </c>
      <c r="H1803" s="0" t="s">
        <v>8490</v>
      </c>
      <c r="I1803" s="0" t="s">
        <v>7338</v>
      </c>
      <c r="J1803" s="0" t="s">
        <v>6557</v>
      </c>
      <c r="K1803" s="0" t="s">
        <v>7339</v>
      </c>
      <c r="L1803" s="0" t="s">
        <v>7340</v>
      </c>
      <c r="M1803" s="0" t="s">
        <v>8491</v>
      </c>
      <c r="N1803" s="0" t="s">
        <v>7342</v>
      </c>
      <c r="P1803" s="0" t="s">
        <v>229</v>
      </c>
      <c r="R1803" s="0" t="s">
        <v>7343</v>
      </c>
      <c r="S1803" s="0" t="s">
        <v>7344</v>
      </c>
      <c r="T1803" s="0" t="s">
        <v>681</v>
      </c>
      <c r="V1803" s="0" t="s">
        <v>34</v>
      </c>
      <c r="W1803" s="0" t="s">
        <v>36</v>
      </c>
      <c r="Y1803" s="0" t="s">
        <v>7495</v>
      </c>
      <c r="Z1803" s="0" t="s">
        <v>7496</v>
      </c>
      <c r="AA1803" s="0" t="s">
        <v>7497</v>
      </c>
      <c r="AB1803" s="0" t="s">
        <v>682</v>
      </c>
      <c r="AC1803" s="0" t="s">
        <v>7349</v>
      </c>
      <c r="AD1803" s="0" t="s">
        <v>7498</v>
      </c>
      <c r="AE1803" s="0" t="s">
        <v>7778</v>
      </c>
      <c r="AF1803" s="0" t="s">
        <v>7499</v>
      </c>
      <c r="AG1803" s="0" t="s">
        <v>230</v>
      </c>
    </row>
    <row r="1804" customFormat="false" ht="15" hidden="false" customHeight="false" outlineLevel="0" collapsed="false">
      <c r="A1804" s="0" t="s">
        <v>7336</v>
      </c>
      <c r="B1804" s="0" t="s">
        <v>6561</v>
      </c>
      <c r="C1804" s="0" t="s">
        <v>6562</v>
      </c>
      <c r="D1804" s="0" t="s">
        <v>2431</v>
      </c>
      <c r="E1804" s="0" t="s">
        <v>6563</v>
      </c>
      <c r="F1804" s="0" t="s">
        <v>6564</v>
      </c>
      <c r="G1804" s="0" t="s">
        <v>109</v>
      </c>
      <c r="H1804" s="0" t="s">
        <v>8492</v>
      </c>
      <c r="I1804" s="0" t="s">
        <v>7338</v>
      </c>
      <c r="J1804" s="0" t="s">
        <v>6557</v>
      </c>
      <c r="K1804" s="0" t="s">
        <v>7339</v>
      </c>
      <c r="L1804" s="0" t="s">
        <v>7340</v>
      </c>
      <c r="M1804" s="0" t="s">
        <v>8491</v>
      </c>
      <c r="N1804" s="0" t="s">
        <v>7342</v>
      </c>
      <c r="P1804" s="0" t="s">
        <v>229</v>
      </c>
      <c r="R1804" s="0" t="s">
        <v>7343</v>
      </c>
      <c r="S1804" s="0" t="s">
        <v>7344</v>
      </c>
      <c r="T1804" s="0" t="s">
        <v>228</v>
      </c>
      <c r="V1804" s="0" t="s">
        <v>34</v>
      </c>
      <c r="W1804" s="0" t="s">
        <v>38</v>
      </c>
      <c r="X1804" s="0" t="s">
        <v>7345</v>
      </c>
      <c r="Y1804" s="0" t="s">
        <v>7409</v>
      </c>
      <c r="Z1804" s="0" t="s">
        <v>7370</v>
      </c>
      <c r="AA1804" s="0" t="s">
        <v>7504</v>
      </c>
      <c r="AB1804" s="0" t="s">
        <v>231</v>
      </c>
      <c r="AC1804" s="0" t="s">
        <v>7349</v>
      </c>
      <c r="AD1804" s="0" t="s">
        <v>7505</v>
      </c>
      <c r="AE1804" s="0" t="s">
        <v>301</v>
      </c>
      <c r="AF1804" s="0" t="s">
        <v>7374</v>
      </c>
      <c r="AG1804" s="0" t="s">
        <v>230</v>
      </c>
    </row>
    <row r="1805" customFormat="false" ht="15" hidden="false" customHeight="false" outlineLevel="0" collapsed="false">
      <c r="A1805" s="0" t="s">
        <v>7336</v>
      </c>
      <c r="B1805" s="0" t="s">
        <v>6565</v>
      </c>
      <c r="C1805" s="0" t="s">
        <v>6566</v>
      </c>
      <c r="D1805" s="0" t="s">
        <v>2431</v>
      </c>
      <c r="E1805" s="0" t="s">
        <v>6567</v>
      </c>
      <c r="F1805" s="0" t="s">
        <v>6564</v>
      </c>
      <c r="G1805" s="0" t="s">
        <v>109</v>
      </c>
      <c r="H1805" s="0" t="s">
        <v>8492</v>
      </c>
      <c r="I1805" s="0" t="s">
        <v>7338</v>
      </c>
      <c r="J1805" s="0" t="s">
        <v>6557</v>
      </c>
      <c r="K1805" s="0" t="s">
        <v>7339</v>
      </c>
      <c r="L1805" s="0" t="s">
        <v>7340</v>
      </c>
      <c r="M1805" s="0" t="s">
        <v>8491</v>
      </c>
      <c r="N1805" s="0" t="s">
        <v>7342</v>
      </c>
      <c r="P1805" s="0" t="s">
        <v>229</v>
      </c>
      <c r="R1805" s="0" t="s">
        <v>7343</v>
      </c>
      <c r="S1805" s="0" t="s">
        <v>7344</v>
      </c>
      <c r="T1805" s="0" t="s">
        <v>681</v>
      </c>
      <c r="V1805" s="0" t="s">
        <v>34</v>
      </c>
      <c r="W1805" s="0" t="s">
        <v>36</v>
      </c>
      <c r="Y1805" s="0" t="s">
        <v>7495</v>
      </c>
      <c r="Z1805" s="0" t="s">
        <v>7496</v>
      </c>
      <c r="AA1805" s="0" t="s">
        <v>7497</v>
      </c>
      <c r="AB1805" s="0" t="s">
        <v>682</v>
      </c>
      <c r="AC1805" s="0" t="s">
        <v>7349</v>
      </c>
      <c r="AD1805" s="0" t="s">
        <v>7498</v>
      </c>
      <c r="AE1805" s="0" t="s">
        <v>7778</v>
      </c>
      <c r="AF1805" s="0" t="s">
        <v>7499</v>
      </c>
      <c r="AG1805" s="0" t="s">
        <v>230</v>
      </c>
    </row>
    <row r="1806" customFormat="false" ht="15" hidden="false" customHeight="false" outlineLevel="0" collapsed="false">
      <c r="A1806" s="0" t="s">
        <v>7336</v>
      </c>
      <c r="B1806" s="0" t="s">
        <v>6568</v>
      </c>
      <c r="C1806" s="0" t="s">
        <v>6569</v>
      </c>
      <c r="D1806" s="0" t="s">
        <v>2431</v>
      </c>
      <c r="E1806" s="0" t="s">
        <v>6570</v>
      </c>
      <c r="F1806" s="0" t="s">
        <v>6571</v>
      </c>
      <c r="G1806" s="0" t="s">
        <v>109</v>
      </c>
      <c r="H1806" s="0" t="s">
        <v>8493</v>
      </c>
      <c r="I1806" s="0" t="s">
        <v>7338</v>
      </c>
      <c r="J1806" s="0" t="s">
        <v>6557</v>
      </c>
      <c r="K1806" s="0" t="s">
        <v>7339</v>
      </c>
      <c r="L1806" s="0" t="s">
        <v>7340</v>
      </c>
      <c r="M1806" s="0" t="s">
        <v>8491</v>
      </c>
      <c r="N1806" s="0" t="s">
        <v>7342</v>
      </c>
      <c r="P1806" s="0" t="s">
        <v>229</v>
      </c>
      <c r="R1806" s="0" t="s">
        <v>7343</v>
      </c>
      <c r="S1806" s="0" t="s">
        <v>7344</v>
      </c>
      <c r="T1806" s="0" t="s">
        <v>228</v>
      </c>
      <c r="V1806" s="0" t="s">
        <v>34</v>
      </c>
      <c r="W1806" s="0" t="s">
        <v>38</v>
      </c>
      <c r="X1806" s="0" t="s">
        <v>7345</v>
      </c>
      <c r="Y1806" s="0" t="s">
        <v>7409</v>
      </c>
      <c r="Z1806" s="0" t="s">
        <v>7370</v>
      </c>
      <c r="AA1806" s="0" t="s">
        <v>7504</v>
      </c>
      <c r="AB1806" s="0" t="s">
        <v>231</v>
      </c>
      <c r="AC1806" s="0" t="s">
        <v>7349</v>
      </c>
      <c r="AD1806" s="0" t="s">
        <v>7505</v>
      </c>
      <c r="AE1806" s="0" t="s">
        <v>301</v>
      </c>
      <c r="AF1806" s="0" t="s">
        <v>7374</v>
      </c>
      <c r="AG1806" s="0" t="s">
        <v>230</v>
      </c>
    </row>
    <row r="1807" customFormat="false" ht="15" hidden="false" customHeight="false" outlineLevel="0" collapsed="false">
      <c r="A1807" s="0" t="s">
        <v>7336</v>
      </c>
      <c r="B1807" s="0" t="s">
        <v>6572</v>
      </c>
      <c r="C1807" s="0" t="s">
        <v>6573</v>
      </c>
      <c r="D1807" s="0" t="s">
        <v>2431</v>
      </c>
      <c r="E1807" s="0" t="s">
        <v>6574</v>
      </c>
      <c r="F1807" s="0" t="s">
        <v>6571</v>
      </c>
      <c r="G1807" s="0" t="s">
        <v>109</v>
      </c>
      <c r="H1807" s="0" t="s">
        <v>8493</v>
      </c>
      <c r="I1807" s="0" t="s">
        <v>7338</v>
      </c>
      <c r="J1807" s="0" t="s">
        <v>6557</v>
      </c>
      <c r="K1807" s="0" t="s">
        <v>7339</v>
      </c>
      <c r="L1807" s="0" t="s">
        <v>7340</v>
      </c>
      <c r="M1807" s="0" t="s">
        <v>8491</v>
      </c>
      <c r="N1807" s="0" t="s">
        <v>7342</v>
      </c>
      <c r="P1807" s="0" t="s">
        <v>229</v>
      </c>
      <c r="R1807" s="0" t="s">
        <v>7343</v>
      </c>
      <c r="S1807" s="0" t="s">
        <v>7344</v>
      </c>
      <c r="T1807" s="0" t="s">
        <v>681</v>
      </c>
      <c r="V1807" s="0" t="s">
        <v>34</v>
      </c>
      <c r="W1807" s="0" t="s">
        <v>36</v>
      </c>
      <c r="Y1807" s="0" t="s">
        <v>7495</v>
      </c>
      <c r="Z1807" s="0" t="s">
        <v>7496</v>
      </c>
      <c r="AA1807" s="0" t="s">
        <v>7497</v>
      </c>
      <c r="AB1807" s="0" t="s">
        <v>682</v>
      </c>
      <c r="AC1807" s="0" t="s">
        <v>7349</v>
      </c>
      <c r="AD1807" s="0" t="s">
        <v>7498</v>
      </c>
      <c r="AE1807" s="0" t="s">
        <v>7778</v>
      </c>
      <c r="AF1807" s="0" t="s">
        <v>7499</v>
      </c>
      <c r="AG1807" s="0" t="s">
        <v>230</v>
      </c>
    </row>
    <row r="1808" customFormat="false" ht="15" hidden="false" customHeight="false" outlineLevel="0" collapsed="false">
      <c r="A1808" s="0" t="s">
        <v>7336</v>
      </c>
      <c r="B1808" s="0" t="s">
        <v>6575</v>
      </c>
      <c r="C1808" s="0" t="s">
        <v>6576</v>
      </c>
      <c r="D1808" s="0" t="s">
        <v>2431</v>
      </c>
      <c r="E1808" s="0" t="s">
        <v>6577</v>
      </c>
      <c r="F1808" s="0" t="s">
        <v>6578</v>
      </c>
      <c r="G1808" s="0" t="s">
        <v>109</v>
      </c>
      <c r="H1808" s="0" t="s">
        <v>8494</v>
      </c>
      <c r="I1808" s="0" t="s">
        <v>7338</v>
      </c>
      <c r="J1808" s="0" t="s">
        <v>6557</v>
      </c>
      <c r="K1808" s="0" t="s">
        <v>7339</v>
      </c>
      <c r="L1808" s="0" t="s">
        <v>7340</v>
      </c>
      <c r="M1808" s="0" t="s">
        <v>8491</v>
      </c>
      <c r="N1808" s="0" t="s">
        <v>7342</v>
      </c>
      <c r="P1808" s="0" t="s">
        <v>229</v>
      </c>
      <c r="R1808" s="0" t="s">
        <v>7343</v>
      </c>
      <c r="S1808" s="0" t="s">
        <v>7344</v>
      </c>
      <c r="T1808" s="0" t="s">
        <v>228</v>
      </c>
      <c r="V1808" s="0" t="s">
        <v>34</v>
      </c>
      <c r="W1808" s="0" t="s">
        <v>38</v>
      </c>
      <c r="X1808" s="0" t="s">
        <v>7345</v>
      </c>
      <c r="Y1808" s="0" t="s">
        <v>7409</v>
      </c>
      <c r="Z1808" s="0" t="s">
        <v>7370</v>
      </c>
      <c r="AA1808" s="0" t="s">
        <v>7504</v>
      </c>
      <c r="AB1808" s="0" t="s">
        <v>231</v>
      </c>
      <c r="AC1808" s="0" t="s">
        <v>7349</v>
      </c>
      <c r="AD1808" s="0" t="s">
        <v>7505</v>
      </c>
      <c r="AE1808" s="0" t="s">
        <v>301</v>
      </c>
      <c r="AF1808" s="0" t="s">
        <v>7374</v>
      </c>
      <c r="AG1808" s="0" t="s">
        <v>230</v>
      </c>
    </row>
    <row r="1809" customFormat="false" ht="15" hidden="false" customHeight="false" outlineLevel="0" collapsed="false">
      <c r="A1809" s="0" t="s">
        <v>7336</v>
      </c>
      <c r="B1809" s="0" t="s">
        <v>6579</v>
      </c>
      <c r="C1809" s="0" t="s">
        <v>6580</v>
      </c>
      <c r="D1809" s="0" t="s">
        <v>2431</v>
      </c>
      <c r="E1809" s="0" t="s">
        <v>6581</v>
      </c>
      <c r="F1809" s="0" t="s">
        <v>6578</v>
      </c>
      <c r="G1809" s="0" t="s">
        <v>109</v>
      </c>
      <c r="H1809" s="0" t="s">
        <v>8494</v>
      </c>
      <c r="I1809" s="0" t="s">
        <v>7338</v>
      </c>
      <c r="J1809" s="0" t="s">
        <v>6557</v>
      </c>
      <c r="K1809" s="0" t="s">
        <v>7339</v>
      </c>
      <c r="L1809" s="0" t="s">
        <v>7340</v>
      </c>
      <c r="M1809" s="0" t="s">
        <v>8491</v>
      </c>
      <c r="N1809" s="0" t="s">
        <v>7342</v>
      </c>
      <c r="P1809" s="0" t="s">
        <v>229</v>
      </c>
      <c r="R1809" s="0" t="s">
        <v>7343</v>
      </c>
      <c r="S1809" s="0" t="s">
        <v>7344</v>
      </c>
      <c r="T1809" s="0" t="s">
        <v>681</v>
      </c>
      <c r="V1809" s="0" t="s">
        <v>34</v>
      </c>
      <c r="W1809" s="0" t="s">
        <v>36</v>
      </c>
      <c r="Y1809" s="0" t="s">
        <v>7495</v>
      </c>
      <c r="Z1809" s="0" t="s">
        <v>7496</v>
      </c>
      <c r="AA1809" s="0" t="s">
        <v>7497</v>
      </c>
      <c r="AB1809" s="0" t="s">
        <v>682</v>
      </c>
      <c r="AC1809" s="0" t="s">
        <v>7349</v>
      </c>
      <c r="AD1809" s="0" t="s">
        <v>7498</v>
      </c>
      <c r="AE1809" s="0" t="s">
        <v>7778</v>
      </c>
      <c r="AF1809" s="0" t="s">
        <v>7499</v>
      </c>
      <c r="AG1809" s="0" t="s">
        <v>230</v>
      </c>
    </row>
    <row r="1810" customFormat="false" ht="15" hidden="false" customHeight="false" outlineLevel="0" collapsed="false">
      <c r="A1810" s="0" t="s">
        <v>7336</v>
      </c>
      <c r="B1810" s="0" t="s">
        <v>6582</v>
      </c>
      <c r="C1810" s="0" t="s">
        <v>6583</v>
      </c>
      <c r="D1810" s="0" t="s">
        <v>2431</v>
      </c>
      <c r="E1810" s="0" t="s">
        <v>6584</v>
      </c>
      <c r="F1810" s="0" t="s">
        <v>6578</v>
      </c>
      <c r="G1810" s="0" t="s">
        <v>109</v>
      </c>
      <c r="H1810" s="0" t="s">
        <v>8494</v>
      </c>
      <c r="I1810" s="0" t="s">
        <v>7338</v>
      </c>
      <c r="J1810" s="0" t="s">
        <v>6557</v>
      </c>
      <c r="K1810" s="0" t="s">
        <v>7339</v>
      </c>
      <c r="L1810" s="0" t="s">
        <v>7340</v>
      </c>
      <c r="M1810" s="0" t="s">
        <v>8491</v>
      </c>
      <c r="N1810" s="0" t="s">
        <v>7342</v>
      </c>
      <c r="P1810" s="0" t="s">
        <v>229</v>
      </c>
      <c r="R1810" s="0" t="s">
        <v>7343</v>
      </c>
      <c r="S1810" s="0" t="s">
        <v>7344</v>
      </c>
      <c r="T1810" s="0" t="s">
        <v>681</v>
      </c>
      <c r="V1810" s="0" t="s">
        <v>34</v>
      </c>
      <c r="W1810" s="0" t="s">
        <v>36</v>
      </c>
      <c r="Y1810" s="0" t="s">
        <v>7495</v>
      </c>
      <c r="Z1810" s="0" t="s">
        <v>7496</v>
      </c>
      <c r="AA1810" s="0" t="s">
        <v>7497</v>
      </c>
      <c r="AB1810" s="0" t="s">
        <v>682</v>
      </c>
      <c r="AC1810" s="0" t="s">
        <v>7349</v>
      </c>
      <c r="AD1810" s="0" t="s">
        <v>7498</v>
      </c>
      <c r="AE1810" s="0" t="s">
        <v>7797</v>
      </c>
      <c r="AF1810" s="0" t="s">
        <v>7499</v>
      </c>
      <c r="AG1810" s="0" t="s">
        <v>230</v>
      </c>
    </row>
    <row r="1811" customFormat="false" ht="15" hidden="false" customHeight="false" outlineLevel="0" collapsed="false">
      <c r="A1811" s="0" t="s">
        <v>7336</v>
      </c>
      <c r="B1811" s="0" t="s">
        <v>6585</v>
      </c>
      <c r="C1811" s="0" t="s">
        <v>6586</v>
      </c>
      <c r="D1811" s="0" t="s">
        <v>2431</v>
      </c>
      <c r="E1811" s="0" t="s">
        <v>6587</v>
      </c>
      <c r="F1811" s="0" t="s">
        <v>6588</v>
      </c>
      <c r="G1811" s="0" t="s">
        <v>109</v>
      </c>
      <c r="H1811" s="0" t="s">
        <v>8495</v>
      </c>
      <c r="I1811" s="0" t="s">
        <v>7338</v>
      </c>
      <c r="J1811" s="0" t="s">
        <v>6557</v>
      </c>
      <c r="K1811" s="0" t="s">
        <v>7339</v>
      </c>
      <c r="L1811" s="0" t="s">
        <v>7340</v>
      </c>
      <c r="M1811" s="0" t="s">
        <v>8491</v>
      </c>
      <c r="N1811" s="0" t="s">
        <v>7342</v>
      </c>
      <c r="P1811" s="0" t="s">
        <v>229</v>
      </c>
      <c r="R1811" s="0" t="s">
        <v>7343</v>
      </c>
      <c r="S1811" s="0" t="s">
        <v>7344</v>
      </c>
      <c r="T1811" s="0" t="s">
        <v>228</v>
      </c>
      <c r="V1811" s="0" t="s">
        <v>34</v>
      </c>
      <c r="W1811" s="0" t="s">
        <v>36</v>
      </c>
      <c r="X1811" s="0" t="s">
        <v>7345</v>
      </c>
      <c r="Y1811" s="0" t="s">
        <v>7409</v>
      </c>
      <c r="Z1811" s="0" t="s">
        <v>7370</v>
      </c>
      <c r="AA1811" s="0" t="s">
        <v>7504</v>
      </c>
      <c r="AB1811" s="0" t="s">
        <v>231</v>
      </c>
      <c r="AC1811" s="0" t="s">
        <v>7349</v>
      </c>
      <c r="AD1811" s="0" t="s">
        <v>7505</v>
      </c>
      <c r="AE1811" s="0" t="s">
        <v>7779</v>
      </c>
      <c r="AF1811" s="0" t="s">
        <v>7374</v>
      </c>
      <c r="AG1811" s="0" t="s">
        <v>230</v>
      </c>
    </row>
    <row r="1812" customFormat="false" ht="15" hidden="false" customHeight="false" outlineLevel="0" collapsed="false">
      <c r="A1812" s="0" t="s">
        <v>7336</v>
      </c>
      <c r="B1812" s="0" t="s">
        <v>6589</v>
      </c>
      <c r="C1812" s="0" t="s">
        <v>6590</v>
      </c>
      <c r="D1812" s="0" t="s">
        <v>2431</v>
      </c>
      <c r="E1812" s="0" t="s">
        <v>6591</v>
      </c>
      <c r="F1812" s="0" t="s">
        <v>6588</v>
      </c>
      <c r="G1812" s="0" t="s">
        <v>109</v>
      </c>
      <c r="H1812" s="0" t="s">
        <v>8495</v>
      </c>
      <c r="I1812" s="0" t="s">
        <v>7338</v>
      </c>
      <c r="J1812" s="0" t="s">
        <v>6557</v>
      </c>
      <c r="K1812" s="0" t="s">
        <v>7339</v>
      </c>
      <c r="L1812" s="0" t="s">
        <v>7340</v>
      </c>
      <c r="M1812" s="0" t="s">
        <v>8491</v>
      </c>
      <c r="N1812" s="0" t="s">
        <v>7342</v>
      </c>
      <c r="P1812" s="0" t="s">
        <v>229</v>
      </c>
      <c r="R1812" s="0" t="s">
        <v>7343</v>
      </c>
      <c r="S1812" s="0" t="s">
        <v>7344</v>
      </c>
      <c r="T1812" s="0" t="s">
        <v>681</v>
      </c>
      <c r="V1812" s="0" t="s">
        <v>34</v>
      </c>
      <c r="W1812" s="0" t="s">
        <v>36</v>
      </c>
      <c r="Y1812" s="0" t="s">
        <v>7495</v>
      </c>
      <c r="Z1812" s="0" t="s">
        <v>7496</v>
      </c>
      <c r="AA1812" s="0" t="s">
        <v>7497</v>
      </c>
      <c r="AB1812" s="0" t="s">
        <v>682</v>
      </c>
      <c r="AC1812" s="0" t="s">
        <v>7349</v>
      </c>
      <c r="AD1812" s="0" t="s">
        <v>7498</v>
      </c>
      <c r="AE1812" s="0" t="s">
        <v>7778</v>
      </c>
      <c r="AF1812" s="0" t="s">
        <v>7499</v>
      </c>
      <c r="AG1812" s="0" t="s">
        <v>230</v>
      </c>
    </row>
    <row r="1813" customFormat="false" ht="15" hidden="false" customHeight="false" outlineLevel="0" collapsed="false">
      <c r="A1813" s="0" t="s">
        <v>7336</v>
      </c>
      <c r="B1813" s="0" t="s">
        <v>6592</v>
      </c>
      <c r="C1813" s="0" t="s">
        <v>6593</v>
      </c>
      <c r="D1813" s="0" t="s">
        <v>2431</v>
      </c>
      <c r="E1813" s="0" t="s">
        <v>6594</v>
      </c>
      <c r="F1813" s="0" t="s">
        <v>6588</v>
      </c>
      <c r="G1813" s="0" t="s">
        <v>109</v>
      </c>
      <c r="H1813" s="0" t="s">
        <v>8495</v>
      </c>
      <c r="I1813" s="0" t="s">
        <v>7338</v>
      </c>
      <c r="J1813" s="0" t="s">
        <v>6557</v>
      </c>
      <c r="K1813" s="0" t="s">
        <v>7339</v>
      </c>
      <c r="L1813" s="0" t="s">
        <v>7340</v>
      </c>
      <c r="M1813" s="0" t="s">
        <v>8491</v>
      </c>
      <c r="N1813" s="0" t="s">
        <v>7342</v>
      </c>
      <c r="P1813" s="0" t="s">
        <v>229</v>
      </c>
      <c r="Q1813" s="0" t="s">
        <v>7354</v>
      </c>
      <c r="R1813" s="0" t="s">
        <v>7343</v>
      </c>
      <c r="S1813" s="0" t="s">
        <v>7344</v>
      </c>
      <c r="T1813" s="0" t="s">
        <v>681</v>
      </c>
      <c r="V1813" s="0" t="s">
        <v>90</v>
      </c>
      <c r="W1813" s="0" t="s">
        <v>92</v>
      </c>
      <c r="X1813" s="0" t="s">
        <v>7355</v>
      </c>
      <c r="Y1813" s="0" t="s">
        <v>7756</v>
      </c>
      <c r="Z1813" s="0" t="s">
        <v>8476</v>
      </c>
      <c r="AA1813" s="0" t="s">
        <v>8477</v>
      </c>
      <c r="AB1813" s="0" t="s">
        <v>4254</v>
      </c>
      <c r="AC1813" s="0" t="s">
        <v>7349</v>
      </c>
      <c r="AD1813" s="0" t="s">
        <v>8478</v>
      </c>
      <c r="AE1813" s="0" t="s">
        <v>92</v>
      </c>
      <c r="AF1813" s="0" t="s">
        <v>7374</v>
      </c>
      <c r="AG1813" s="0" t="s">
        <v>230</v>
      </c>
    </row>
    <row r="1814" customFormat="false" ht="15" hidden="false" customHeight="false" outlineLevel="0" collapsed="false">
      <c r="A1814" s="0" t="s">
        <v>7336</v>
      </c>
      <c r="B1814" s="0" t="s">
        <v>6595</v>
      </c>
      <c r="C1814" s="0" t="s">
        <v>6596</v>
      </c>
      <c r="D1814" s="0" t="s">
        <v>2431</v>
      </c>
      <c r="E1814" s="0" t="s">
        <v>6597</v>
      </c>
      <c r="F1814" s="0" t="s">
        <v>6598</v>
      </c>
      <c r="G1814" s="0" t="s">
        <v>109</v>
      </c>
      <c r="H1814" s="0" t="s">
        <v>8496</v>
      </c>
      <c r="I1814" s="0" t="s">
        <v>7338</v>
      </c>
      <c r="J1814" s="0" t="s">
        <v>6557</v>
      </c>
      <c r="K1814" s="0" t="s">
        <v>7339</v>
      </c>
      <c r="L1814" s="0" t="s">
        <v>7340</v>
      </c>
      <c r="M1814" s="0" t="s">
        <v>8491</v>
      </c>
      <c r="N1814" s="0" t="s">
        <v>7342</v>
      </c>
      <c r="P1814" s="0" t="s">
        <v>229</v>
      </c>
      <c r="R1814" s="0" t="s">
        <v>7343</v>
      </c>
      <c r="S1814" s="0" t="s">
        <v>7344</v>
      </c>
      <c r="T1814" s="0" t="s">
        <v>228</v>
      </c>
      <c r="V1814" s="0" t="s">
        <v>34</v>
      </c>
      <c r="W1814" s="0" t="s">
        <v>36</v>
      </c>
      <c r="Y1814" s="0" t="s">
        <v>7409</v>
      </c>
      <c r="Z1814" s="0" t="s">
        <v>7370</v>
      </c>
      <c r="AA1814" s="0" t="s">
        <v>7504</v>
      </c>
      <c r="AB1814" s="0" t="s">
        <v>231</v>
      </c>
      <c r="AC1814" s="0" t="s">
        <v>7349</v>
      </c>
      <c r="AD1814" s="0" t="s">
        <v>7505</v>
      </c>
      <c r="AE1814" s="0" t="s">
        <v>7779</v>
      </c>
      <c r="AF1814" s="0" t="s">
        <v>7374</v>
      </c>
      <c r="AG1814" s="0" t="s">
        <v>230</v>
      </c>
    </row>
    <row r="1815" customFormat="false" ht="15" hidden="false" customHeight="false" outlineLevel="0" collapsed="false">
      <c r="A1815" s="0" t="s">
        <v>7336</v>
      </c>
      <c r="B1815" s="0" t="s">
        <v>6599</v>
      </c>
      <c r="C1815" s="0" t="s">
        <v>6600</v>
      </c>
      <c r="D1815" s="0" t="s">
        <v>2431</v>
      </c>
      <c r="E1815" s="0" t="s">
        <v>6601</v>
      </c>
      <c r="F1815" s="0" t="s">
        <v>6598</v>
      </c>
      <c r="G1815" s="0" t="s">
        <v>109</v>
      </c>
      <c r="H1815" s="0" t="s">
        <v>8496</v>
      </c>
      <c r="I1815" s="0" t="s">
        <v>7338</v>
      </c>
      <c r="J1815" s="0" t="s">
        <v>6557</v>
      </c>
      <c r="K1815" s="0" t="s">
        <v>7339</v>
      </c>
      <c r="L1815" s="0" t="s">
        <v>7340</v>
      </c>
      <c r="M1815" s="0" t="s">
        <v>8491</v>
      </c>
      <c r="N1815" s="0" t="s">
        <v>7342</v>
      </c>
      <c r="P1815" s="0" t="s">
        <v>229</v>
      </c>
      <c r="R1815" s="0" t="s">
        <v>7343</v>
      </c>
      <c r="S1815" s="0" t="s">
        <v>7344</v>
      </c>
      <c r="T1815" s="0" t="s">
        <v>681</v>
      </c>
      <c r="V1815" s="0" t="s">
        <v>34</v>
      </c>
      <c r="W1815" s="0" t="s">
        <v>36</v>
      </c>
      <c r="Y1815" s="0" t="s">
        <v>7495</v>
      </c>
      <c r="Z1815" s="0" t="s">
        <v>7496</v>
      </c>
      <c r="AA1815" s="0" t="s">
        <v>7497</v>
      </c>
      <c r="AB1815" s="0" t="s">
        <v>682</v>
      </c>
      <c r="AC1815" s="0" t="s">
        <v>7349</v>
      </c>
      <c r="AD1815" s="0" t="s">
        <v>7498</v>
      </c>
      <c r="AE1815" s="0" t="s">
        <v>7778</v>
      </c>
      <c r="AF1815" s="0" t="s">
        <v>7499</v>
      </c>
      <c r="AG1815" s="0" t="s">
        <v>230</v>
      </c>
    </row>
    <row r="1816" customFormat="false" ht="15" hidden="false" customHeight="false" outlineLevel="0" collapsed="false">
      <c r="A1816" s="0" t="s">
        <v>7336</v>
      </c>
      <c r="B1816" s="0" t="s">
        <v>6602</v>
      </c>
      <c r="C1816" s="0" t="s">
        <v>6603</v>
      </c>
      <c r="D1816" s="0" t="s">
        <v>2431</v>
      </c>
      <c r="E1816" s="0" t="s">
        <v>6604</v>
      </c>
      <c r="F1816" s="0" t="s">
        <v>6605</v>
      </c>
      <c r="G1816" s="0" t="s">
        <v>109</v>
      </c>
      <c r="H1816" s="0" t="s">
        <v>8497</v>
      </c>
      <c r="I1816" s="0" t="s">
        <v>7338</v>
      </c>
      <c r="J1816" s="0" t="s">
        <v>6557</v>
      </c>
      <c r="K1816" s="0" t="s">
        <v>7339</v>
      </c>
      <c r="L1816" s="0" t="s">
        <v>7340</v>
      </c>
      <c r="M1816" s="0" t="s">
        <v>8491</v>
      </c>
      <c r="N1816" s="0" t="s">
        <v>7342</v>
      </c>
      <c r="P1816" s="0" t="s">
        <v>229</v>
      </c>
      <c r="R1816" s="0" t="s">
        <v>7343</v>
      </c>
      <c r="S1816" s="0" t="s">
        <v>7344</v>
      </c>
      <c r="T1816" s="0" t="s">
        <v>681</v>
      </c>
      <c r="V1816" s="0" t="s">
        <v>34</v>
      </c>
      <c r="W1816" s="0" t="s">
        <v>36</v>
      </c>
      <c r="Y1816" s="0" t="s">
        <v>7495</v>
      </c>
      <c r="Z1816" s="0" t="s">
        <v>7496</v>
      </c>
      <c r="AA1816" s="0" t="s">
        <v>7497</v>
      </c>
      <c r="AB1816" s="0" t="s">
        <v>682</v>
      </c>
      <c r="AC1816" s="0" t="s">
        <v>7349</v>
      </c>
      <c r="AD1816" s="0" t="s">
        <v>7498</v>
      </c>
      <c r="AE1816" s="0" t="s">
        <v>7797</v>
      </c>
      <c r="AF1816" s="0" t="s">
        <v>7499</v>
      </c>
      <c r="AG1816" s="0" t="s">
        <v>230</v>
      </c>
    </row>
    <row r="1817" customFormat="false" ht="15" hidden="false" customHeight="false" outlineLevel="0" collapsed="false">
      <c r="A1817" s="0" t="s">
        <v>7336</v>
      </c>
      <c r="B1817" s="0" t="s">
        <v>6606</v>
      </c>
      <c r="C1817" s="0" t="s">
        <v>6607</v>
      </c>
      <c r="D1817" s="0" t="s">
        <v>2431</v>
      </c>
      <c r="E1817" s="0" t="s">
        <v>6608</v>
      </c>
      <c r="F1817" s="0" t="s">
        <v>6605</v>
      </c>
      <c r="G1817" s="0" t="s">
        <v>109</v>
      </c>
      <c r="H1817" s="0" t="s">
        <v>8497</v>
      </c>
      <c r="I1817" s="0" t="s">
        <v>7338</v>
      </c>
      <c r="J1817" s="0" t="s">
        <v>6557</v>
      </c>
      <c r="K1817" s="0" t="s">
        <v>7339</v>
      </c>
      <c r="L1817" s="0" t="s">
        <v>7340</v>
      </c>
      <c r="M1817" s="0" t="s">
        <v>8491</v>
      </c>
      <c r="N1817" s="0" t="s">
        <v>7342</v>
      </c>
      <c r="P1817" s="0" t="s">
        <v>229</v>
      </c>
      <c r="R1817" s="0" t="s">
        <v>7343</v>
      </c>
      <c r="S1817" s="0" t="s">
        <v>7344</v>
      </c>
      <c r="T1817" s="0" t="s">
        <v>681</v>
      </c>
      <c r="V1817" s="0" t="s">
        <v>34</v>
      </c>
      <c r="W1817" s="0" t="s">
        <v>36</v>
      </c>
      <c r="Y1817" s="0" t="s">
        <v>7495</v>
      </c>
      <c r="Z1817" s="0" t="s">
        <v>7496</v>
      </c>
      <c r="AA1817" s="0" t="s">
        <v>7497</v>
      </c>
      <c r="AB1817" s="0" t="s">
        <v>682</v>
      </c>
      <c r="AC1817" s="0" t="s">
        <v>7349</v>
      </c>
      <c r="AD1817" s="0" t="s">
        <v>7498</v>
      </c>
      <c r="AE1817" s="0" t="s">
        <v>7778</v>
      </c>
      <c r="AF1817" s="0" t="s">
        <v>7499</v>
      </c>
      <c r="AG1817" s="0" t="s">
        <v>230</v>
      </c>
    </row>
    <row r="1818" customFormat="false" ht="15" hidden="false" customHeight="false" outlineLevel="0" collapsed="false">
      <c r="A1818" s="0" t="s">
        <v>7336</v>
      </c>
      <c r="B1818" s="0" t="s">
        <v>6609</v>
      </c>
      <c r="C1818" s="0" t="s">
        <v>6610</v>
      </c>
      <c r="D1818" s="0" t="s">
        <v>2431</v>
      </c>
      <c r="E1818" s="0" t="s">
        <v>6611</v>
      </c>
      <c r="F1818" s="0" t="s">
        <v>6605</v>
      </c>
      <c r="G1818" s="0" t="s">
        <v>109</v>
      </c>
      <c r="H1818" s="0" t="s">
        <v>8497</v>
      </c>
      <c r="I1818" s="0" t="s">
        <v>7338</v>
      </c>
      <c r="J1818" s="0" t="s">
        <v>6557</v>
      </c>
      <c r="K1818" s="0" t="s">
        <v>7339</v>
      </c>
      <c r="L1818" s="0" t="s">
        <v>7340</v>
      </c>
      <c r="M1818" s="0" t="s">
        <v>8491</v>
      </c>
      <c r="N1818" s="0" t="s">
        <v>7342</v>
      </c>
      <c r="P1818" s="0" t="s">
        <v>229</v>
      </c>
      <c r="R1818" s="0" t="s">
        <v>7343</v>
      </c>
      <c r="S1818" s="0" t="s">
        <v>7344</v>
      </c>
      <c r="T1818" s="0" t="s">
        <v>228</v>
      </c>
      <c r="V1818" s="0" t="s">
        <v>34</v>
      </c>
      <c r="W1818" s="0" t="s">
        <v>38</v>
      </c>
      <c r="X1818" s="0" t="s">
        <v>7345</v>
      </c>
      <c r="Y1818" s="0" t="s">
        <v>7409</v>
      </c>
      <c r="Z1818" s="0" t="s">
        <v>7370</v>
      </c>
      <c r="AA1818" s="0" t="s">
        <v>7504</v>
      </c>
      <c r="AB1818" s="0" t="s">
        <v>231</v>
      </c>
      <c r="AC1818" s="0" t="s">
        <v>7349</v>
      </c>
      <c r="AD1818" s="0" t="s">
        <v>7505</v>
      </c>
      <c r="AE1818" s="0" t="s">
        <v>301</v>
      </c>
      <c r="AF1818" s="0" t="s">
        <v>7374</v>
      </c>
      <c r="AG1818" s="0" t="s">
        <v>230</v>
      </c>
    </row>
    <row r="1819" customFormat="false" ht="15" hidden="false" customHeight="false" outlineLevel="0" collapsed="false">
      <c r="A1819" s="0" t="s">
        <v>7336</v>
      </c>
      <c r="B1819" s="0" t="s">
        <v>6612</v>
      </c>
      <c r="C1819" s="0" t="s">
        <v>6613</v>
      </c>
      <c r="D1819" s="0" t="s">
        <v>2431</v>
      </c>
      <c r="E1819" s="0" t="s">
        <v>6614</v>
      </c>
      <c r="F1819" s="0" t="s">
        <v>6615</v>
      </c>
      <c r="G1819" s="0" t="s">
        <v>109</v>
      </c>
      <c r="H1819" s="0" t="s">
        <v>8498</v>
      </c>
      <c r="I1819" s="0" t="s">
        <v>7338</v>
      </c>
      <c r="J1819" s="0" t="s">
        <v>6557</v>
      </c>
      <c r="K1819" s="0" t="s">
        <v>7339</v>
      </c>
      <c r="L1819" s="0" t="s">
        <v>7340</v>
      </c>
      <c r="M1819" s="0" t="s">
        <v>8491</v>
      </c>
      <c r="N1819" s="0" t="s">
        <v>7342</v>
      </c>
      <c r="P1819" s="0" t="s">
        <v>229</v>
      </c>
      <c r="R1819" s="0" t="s">
        <v>7343</v>
      </c>
      <c r="S1819" s="0" t="s">
        <v>7344</v>
      </c>
      <c r="T1819" s="0" t="s">
        <v>681</v>
      </c>
      <c r="V1819" s="0" t="s">
        <v>34</v>
      </c>
      <c r="W1819" s="0" t="s">
        <v>36</v>
      </c>
      <c r="Y1819" s="0" t="s">
        <v>7495</v>
      </c>
      <c r="Z1819" s="0" t="s">
        <v>7496</v>
      </c>
      <c r="AA1819" s="0" t="s">
        <v>7497</v>
      </c>
      <c r="AB1819" s="0" t="s">
        <v>682</v>
      </c>
      <c r="AC1819" s="0" t="s">
        <v>7349</v>
      </c>
      <c r="AD1819" s="0" t="s">
        <v>7498</v>
      </c>
      <c r="AE1819" s="0" t="s">
        <v>7778</v>
      </c>
      <c r="AF1819" s="0" t="s">
        <v>7499</v>
      </c>
      <c r="AG1819" s="0" t="s">
        <v>230</v>
      </c>
    </row>
    <row r="1820" customFormat="false" ht="15" hidden="false" customHeight="false" outlineLevel="0" collapsed="false">
      <c r="A1820" s="0" t="s">
        <v>7336</v>
      </c>
      <c r="B1820" s="0" t="s">
        <v>6616</v>
      </c>
      <c r="C1820" s="0" t="s">
        <v>6617</v>
      </c>
      <c r="D1820" s="0" t="s">
        <v>2431</v>
      </c>
      <c r="E1820" s="0" t="s">
        <v>6618</v>
      </c>
      <c r="F1820" s="0" t="s">
        <v>6615</v>
      </c>
      <c r="G1820" s="0" t="s">
        <v>109</v>
      </c>
      <c r="H1820" s="0" t="s">
        <v>8498</v>
      </c>
      <c r="I1820" s="0" t="s">
        <v>7338</v>
      </c>
      <c r="J1820" s="0" t="s">
        <v>6557</v>
      </c>
      <c r="K1820" s="0" t="s">
        <v>7339</v>
      </c>
      <c r="L1820" s="0" t="s">
        <v>7340</v>
      </c>
      <c r="M1820" s="0" t="s">
        <v>8491</v>
      </c>
      <c r="N1820" s="0" t="s">
        <v>7342</v>
      </c>
      <c r="P1820" s="0" t="s">
        <v>229</v>
      </c>
      <c r="R1820" s="0" t="s">
        <v>7343</v>
      </c>
      <c r="S1820" s="0" t="s">
        <v>7344</v>
      </c>
      <c r="T1820" s="0" t="s">
        <v>681</v>
      </c>
      <c r="V1820" s="0" t="s">
        <v>34</v>
      </c>
      <c r="W1820" s="0" t="s">
        <v>36</v>
      </c>
      <c r="Y1820" s="0" t="s">
        <v>7495</v>
      </c>
      <c r="Z1820" s="0" t="s">
        <v>7496</v>
      </c>
      <c r="AA1820" s="0" t="s">
        <v>7497</v>
      </c>
      <c r="AB1820" s="0" t="s">
        <v>682</v>
      </c>
      <c r="AC1820" s="0" t="s">
        <v>7349</v>
      </c>
      <c r="AD1820" s="0" t="s">
        <v>7498</v>
      </c>
      <c r="AE1820" s="0" t="s">
        <v>40</v>
      </c>
      <c r="AF1820" s="0" t="s">
        <v>7499</v>
      </c>
      <c r="AG1820" s="0" t="s">
        <v>230</v>
      </c>
    </row>
    <row r="1821" customFormat="false" ht="15" hidden="false" customHeight="false" outlineLevel="0" collapsed="false">
      <c r="A1821" s="0" t="s">
        <v>7336</v>
      </c>
      <c r="B1821" s="0" t="s">
        <v>6619</v>
      </c>
      <c r="C1821" s="0" t="s">
        <v>6620</v>
      </c>
      <c r="D1821" s="0" t="s">
        <v>2431</v>
      </c>
      <c r="E1821" s="0" t="s">
        <v>6621</v>
      </c>
      <c r="F1821" s="0" t="s">
        <v>6615</v>
      </c>
      <c r="G1821" s="0" t="s">
        <v>109</v>
      </c>
      <c r="H1821" s="0" t="s">
        <v>8498</v>
      </c>
      <c r="I1821" s="0" t="s">
        <v>7338</v>
      </c>
      <c r="J1821" s="0" t="s">
        <v>6557</v>
      </c>
      <c r="K1821" s="0" t="s">
        <v>7339</v>
      </c>
      <c r="L1821" s="0" t="s">
        <v>7340</v>
      </c>
      <c r="M1821" s="0" t="s">
        <v>8491</v>
      </c>
      <c r="N1821" s="0" t="s">
        <v>7342</v>
      </c>
      <c r="P1821" s="0" t="s">
        <v>229</v>
      </c>
      <c r="R1821" s="0" t="s">
        <v>7343</v>
      </c>
      <c r="S1821" s="0" t="s">
        <v>7344</v>
      </c>
      <c r="T1821" s="0" t="s">
        <v>228</v>
      </c>
      <c r="V1821" s="0" t="s">
        <v>34</v>
      </c>
      <c r="W1821" s="0" t="s">
        <v>38</v>
      </c>
      <c r="X1821" s="0" t="s">
        <v>7345</v>
      </c>
      <c r="Y1821" s="0" t="s">
        <v>7409</v>
      </c>
      <c r="Z1821" s="0" t="s">
        <v>7370</v>
      </c>
      <c r="AA1821" s="0" t="s">
        <v>7504</v>
      </c>
      <c r="AB1821" s="0" t="s">
        <v>231</v>
      </c>
      <c r="AC1821" s="0" t="s">
        <v>7349</v>
      </c>
      <c r="AD1821" s="0" t="s">
        <v>7505</v>
      </c>
      <c r="AE1821" s="0" t="s">
        <v>301</v>
      </c>
      <c r="AF1821" s="0" t="s">
        <v>7374</v>
      </c>
      <c r="AG1821" s="0" t="s">
        <v>230</v>
      </c>
    </row>
    <row r="1822" customFormat="false" ht="15" hidden="false" customHeight="false" outlineLevel="0" collapsed="false">
      <c r="A1822" s="0" t="s">
        <v>7336</v>
      </c>
      <c r="B1822" s="0" t="s">
        <v>6622</v>
      </c>
      <c r="C1822" s="0" t="s">
        <v>6623</v>
      </c>
      <c r="D1822" s="0" t="s">
        <v>2431</v>
      </c>
      <c r="E1822" s="0" t="s">
        <v>6624</v>
      </c>
      <c r="F1822" s="0" t="s">
        <v>6625</v>
      </c>
      <c r="G1822" s="0" t="s">
        <v>109</v>
      </c>
      <c r="H1822" s="0" t="s">
        <v>8499</v>
      </c>
      <c r="I1822" s="0" t="s">
        <v>7338</v>
      </c>
      <c r="J1822" s="0" t="s">
        <v>6557</v>
      </c>
      <c r="K1822" s="0" t="s">
        <v>7339</v>
      </c>
      <c r="L1822" s="0" t="s">
        <v>7340</v>
      </c>
      <c r="M1822" s="0" t="s">
        <v>8491</v>
      </c>
      <c r="N1822" s="0" t="s">
        <v>7342</v>
      </c>
      <c r="P1822" s="0" t="s">
        <v>229</v>
      </c>
      <c r="R1822" s="0" t="s">
        <v>7343</v>
      </c>
      <c r="S1822" s="0" t="s">
        <v>7344</v>
      </c>
      <c r="T1822" s="0" t="s">
        <v>681</v>
      </c>
      <c r="V1822" s="0" t="s">
        <v>34</v>
      </c>
      <c r="W1822" s="0" t="s">
        <v>36</v>
      </c>
      <c r="Y1822" s="0" t="s">
        <v>7495</v>
      </c>
      <c r="Z1822" s="0" t="s">
        <v>7496</v>
      </c>
      <c r="AA1822" s="0" t="s">
        <v>7497</v>
      </c>
      <c r="AB1822" s="0" t="s">
        <v>682</v>
      </c>
      <c r="AC1822" s="0" t="s">
        <v>7349</v>
      </c>
      <c r="AD1822" s="0" t="s">
        <v>7498</v>
      </c>
      <c r="AE1822" s="0" t="s">
        <v>7778</v>
      </c>
      <c r="AF1822" s="0" t="s">
        <v>7499</v>
      </c>
      <c r="AG1822" s="0" t="s">
        <v>230</v>
      </c>
    </row>
    <row r="1823" customFormat="false" ht="15" hidden="false" customHeight="false" outlineLevel="0" collapsed="false">
      <c r="A1823" s="0" t="s">
        <v>7336</v>
      </c>
      <c r="B1823" s="0" t="s">
        <v>6626</v>
      </c>
      <c r="C1823" s="0" t="s">
        <v>6627</v>
      </c>
      <c r="D1823" s="0" t="s">
        <v>2431</v>
      </c>
      <c r="E1823" s="0" t="s">
        <v>6628</v>
      </c>
      <c r="F1823" s="0" t="s">
        <v>6625</v>
      </c>
      <c r="G1823" s="0" t="s">
        <v>109</v>
      </c>
      <c r="H1823" s="0" t="s">
        <v>8499</v>
      </c>
      <c r="I1823" s="0" t="s">
        <v>7338</v>
      </c>
      <c r="J1823" s="0" t="s">
        <v>6557</v>
      </c>
      <c r="K1823" s="0" t="s">
        <v>7339</v>
      </c>
      <c r="L1823" s="0" t="s">
        <v>7340</v>
      </c>
      <c r="M1823" s="0" t="s">
        <v>8491</v>
      </c>
      <c r="N1823" s="0" t="s">
        <v>7342</v>
      </c>
      <c r="P1823" s="0" t="s">
        <v>229</v>
      </c>
      <c r="R1823" s="0" t="s">
        <v>7343</v>
      </c>
      <c r="S1823" s="0" t="s">
        <v>7344</v>
      </c>
      <c r="T1823" s="0" t="s">
        <v>228</v>
      </c>
      <c r="V1823" s="0" t="s">
        <v>34</v>
      </c>
      <c r="W1823" s="0" t="s">
        <v>38</v>
      </c>
      <c r="X1823" s="0" t="s">
        <v>7345</v>
      </c>
      <c r="Y1823" s="0" t="s">
        <v>7409</v>
      </c>
      <c r="Z1823" s="0" t="s">
        <v>7370</v>
      </c>
      <c r="AA1823" s="0" t="s">
        <v>7504</v>
      </c>
      <c r="AB1823" s="0" t="s">
        <v>231</v>
      </c>
      <c r="AC1823" s="0" t="s">
        <v>7349</v>
      </c>
      <c r="AD1823" s="0" t="s">
        <v>7505</v>
      </c>
      <c r="AE1823" s="0" t="s">
        <v>301</v>
      </c>
      <c r="AF1823" s="0" t="s">
        <v>7374</v>
      </c>
      <c r="AG1823" s="0" t="s">
        <v>230</v>
      </c>
    </row>
    <row r="1824" customFormat="false" ht="15" hidden="false" customHeight="false" outlineLevel="0" collapsed="false">
      <c r="A1824" s="0" t="s">
        <v>7336</v>
      </c>
      <c r="B1824" s="0" t="s">
        <v>6629</v>
      </c>
      <c r="C1824" s="0" t="s">
        <v>6630</v>
      </c>
      <c r="D1824" s="0" t="s">
        <v>2431</v>
      </c>
      <c r="E1824" s="0" t="s">
        <v>6631</v>
      </c>
      <c r="F1824" s="0" t="s">
        <v>6632</v>
      </c>
      <c r="G1824" s="0" t="s">
        <v>109</v>
      </c>
      <c r="H1824" s="0" t="s">
        <v>8500</v>
      </c>
      <c r="I1824" s="0" t="s">
        <v>7338</v>
      </c>
      <c r="J1824" s="0" t="s">
        <v>6557</v>
      </c>
      <c r="K1824" s="0" t="s">
        <v>7339</v>
      </c>
      <c r="L1824" s="0" t="s">
        <v>7340</v>
      </c>
      <c r="M1824" s="0" t="s">
        <v>8491</v>
      </c>
      <c r="N1824" s="0" t="s">
        <v>7342</v>
      </c>
      <c r="P1824" s="0" t="s">
        <v>229</v>
      </c>
      <c r="R1824" s="0" t="s">
        <v>7343</v>
      </c>
      <c r="S1824" s="0" t="s">
        <v>7344</v>
      </c>
      <c r="T1824" s="0" t="s">
        <v>681</v>
      </c>
      <c r="V1824" s="0" t="s">
        <v>34</v>
      </c>
      <c r="W1824" s="0" t="s">
        <v>36</v>
      </c>
      <c r="Y1824" s="0" t="s">
        <v>7495</v>
      </c>
      <c r="Z1824" s="0" t="s">
        <v>7496</v>
      </c>
      <c r="AA1824" s="0" t="s">
        <v>7497</v>
      </c>
      <c r="AB1824" s="0" t="s">
        <v>682</v>
      </c>
      <c r="AC1824" s="0" t="s">
        <v>7349</v>
      </c>
      <c r="AD1824" s="0" t="s">
        <v>7498</v>
      </c>
      <c r="AE1824" s="0" t="s">
        <v>7778</v>
      </c>
      <c r="AF1824" s="0" t="s">
        <v>7499</v>
      </c>
      <c r="AG1824" s="0" t="s">
        <v>230</v>
      </c>
    </row>
    <row r="1825" customFormat="false" ht="15" hidden="false" customHeight="false" outlineLevel="0" collapsed="false">
      <c r="A1825" s="0" t="s">
        <v>7336</v>
      </c>
      <c r="B1825" s="0" t="s">
        <v>6633</v>
      </c>
      <c r="C1825" s="0" t="s">
        <v>6634</v>
      </c>
      <c r="D1825" s="0" t="s">
        <v>2431</v>
      </c>
      <c r="E1825" s="0" t="s">
        <v>6635</v>
      </c>
      <c r="F1825" s="0" t="s">
        <v>6632</v>
      </c>
      <c r="G1825" s="0" t="s">
        <v>109</v>
      </c>
      <c r="H1825" s="0" t="s">
        <v>8500</v>
      </c>
      <c r="I1825" s="0" t="s">
        <v>7338</v>
      </c>
      <c r="J1825" s="0" t="s">
        <v>6557</v>
      </c>
      <c r="K1825" s="0" t="s">
        <v>7339</v>
      </c>
      <c r="L1825" s="0" t="s">
        <v>7340</v>
      </c>
      <c r="M1825" s="0" t="s">
        <v>8491</v>
      </c>
      <c r="N1825" s="0" t="s">
        <v>7342</v>
      </c>
      <c r="P1825" s="0" t="s">
        <v>229</v>
      </c>
      <c r="R1825" s="0" t="s">
        <v>7343</v>
      </c>
      <c r="S1825" s="0" t="s">
        <v>7344</v>
      </c>
      <c r="T1825" s="0" t="s">
        <v>228</v>
      </c>
      <c r="V1825" s="0" t="s">
        <v>34</v>
      </c>
      <c r="W1825" s="0" t="s">
        <v>38</v>
      </c>
      <c r="X1825" s="0" t="s">
        <v>7345</v>
      </c>
      <c r="Y1825" s="0" t="s">
        <v>7409</v>
      </c>
      <c r="Z1825" s="0" t="s">
        <v>7370</v>
      </c>
      <c r="AA1825" s="0" t="s">
        <v>7504</v>
      </c>
      <c r="AB1825" s="0" t="s">
        <v>231</v>
      </c>
      <c r="AC1825" s="0" t="s">
        <v>7349</v>
      </c>
      <c r="AD1825" s="0" t="s">
        <v>7505</v>
      </c>
      <c r="AE1825" s="0" t="s">
        <v>301</v>
      </c>
      <c r="AF1825" s="0" t="s">
        <v>7374</v>
      </c>
      <c r="AG1825" s="0" t="s">
        <v>230</v>
      </c>
    </row>
    <row r="1826" customFormat="false" ht="15" hidden="false" customHeight="false" outlineLevel="0" collapsed="false">
      <c r="A1826" s="0" t="s">
        <v>7336</v>
      </c>
      <c r="B1826" s="0" t="s">
        <v>6636</v>
      </c>
      <c r="C1826" s="0" t="s">
        <v>6637</v>
      </c>
      <c r="D1826" s="0" t="s">
        <v>2431</v>
      </c>
      <c r="E1826" s="0" t="s">
        <v>6638</v>
      </c>
      <c r="F1826" s="0" t="s">
        <v>6639</v>
      </c>
      <c r="G1826" s="0" t="s">
        <v>109</v>
      </c>
      <c r="H1826" s="0" t="s">
        <v>8501</v>
      </c>
      <c r="I1826" s="0" t="s">
        <v>7338</v>
      </c>
      <c r="J1826" s="0" t="s">
        <v>6557</v>
      </c>
      <c r="K1826" s="0" t="s">
        <v>7339</v>
      </c>
      <c r="L1826" s="0" t="s">
        <v>7340</v>
      </c>
      <c r="M1826" s="0" t="s">
        <v>8491</v>
      </c>
      <c r="N1826" s="0" t="s">
        <v>7342</v>
      </c>
      <c r="P1826" s="0" t="s">
        <v>229</v>
      </c>
      <c r="R1826" s="0" t="s">
        <v>7343</v>
      </c>
      <c r="S1826" s="0" t="s">
        <v>7344</v>
      </c>
      <c r="T1826" s="0" t="s">
        <v>681</v>
      </c>
      <c r="V1826" s="0" t="s">
        <v>34</v>
      </c>
      <c r="W1826" s="0" t="s">
        <v>36</v>
      </c>
      <c r="Y1826" s="0" t="s">
        <v>7495</v>
      </c>
      <c r="Z1826" s="0" t="s">
        <v>7496</v>
      </c>
      <c r="AA1826" s="0" t="s">
        <v>7497</v>
      </c>
      <c r="AB1826" s="0" t="s">
        <v>682</v>
      </c>
      <c r="AC1826" s="0" t="s">
        <v>7349</v>
      </c>
      <c r="AD1826" s="0" t="s">
        <v>7498</v>
      </c>
      <c r="AE1826" s="0" t="s">
        <v>7797</v>
      </c>
      <c r="AF1826" s="0" t="s">
        <v>7499</v>
      </c>
      <c r="AG1826" s="0" t="s">
        <v>230</v>
      </c>
    </row>
    <row r="1827" customFormat="false" ht="15" hidden="false" customHeight="false" outlineLevel="0" collapsed="false">
      <c r="A1827" s="0" t="s">
        <v>7336</v>
      </c>
      <c r="B1827" s="0" t="s">
        <v>6640</v>
      </c>
      <c r="C1827" s="0" t="s">
        <v>6641</v>
      </c>
      <c r="D1827" s="0" t="s">
        <v>2431</v>
      </c>
      <c r="E1827" s="0" t="s">
        <v>6642</v>
      </c>
      <c r="F1827" s="0" t="s">
        <v>6639</v>
      </c>
      <c r="G1827" s="0" t="s">
        <v>109</v>
      </c>
      <c r="H1827" s="0" t="s">
        <v>8501</v>
      </c>
      <c r="I1827" s="0" t="s">
        <v>7338</v>
      </c>
      <c r="J1827" s="0" t="s">
        <v>6557</v>
      </c>
      <c r="K1827" s="0" t="s">
        <v>7339</v>
      </c>
      <c r="L1827" s="0" t="s">
        <v>7340</v>
      </c>
      <c r="M1827" s="0" t="s">
        <v>8491</v>
      </c>
      <c r="N1827" s="0" t="s">
        <v>7342</v>
      </c>
      <c r="P1827" s="0" t="s">
        <v>229</v>
      </c>
      <c r="R1827" s="0" t="s">
        <v>7343</v>
      </c>
      <c r="S1827" s="0" t="s">
        <v>7344</v>
      </c>
      <c r="T1827" s="0" t="s">
        <v>681</v>
      </c>
      <c r="V1827" s="0" t="s">
        <v>34</v>
      </c>
      <c r="W1827" s="0" t="s">
        <v>36</v>
      </c>
      <c r="Y1827" s="0" t="s">
        <v>7495</v>
      </c>
      <c r="Z1827" s="0" t="s">
        <v>7496</v>
      </c>
      <c r="AA1827" s="0" t="s">
        <v>7497</v>
      </c>
      <c r="AB1827" s="0" t="s">
        <v>682</v>
      </c>
      <c r="AC1827" s="0" t="s">
        <v>7349</v>
      </c>
      <c r="AD1827" s="0" t="s">
        <v>7498</v>
      </c>
      <c r="AE1827" s="0" t="s">
        <v>7778</v>
      </c>
      <c r="AF1827" s="0" t="s">
        <v>7499</v>
      </c>
      <c r="AG1827" s="0" t="s">
        <v>230</v>
      </c>
    </row>
    <row r="1828" customFormat="false" ht="15" hidden="false" customHeight="false" outlineLevel="0" collapsed="false">
      <c r="A1828" s="0" t="s">
        <v>7336</v>
      </c>
      <c r="B1828" s="0" t="s">
        <v>6643</v>
      </c>
      <c r="C1828" s="0" t="s">
        <v>6644</v>
      </c>
      <c r="D1828" s="0" t="s">
        <v>2431</v>
      </c>
      <c r="E1828" s="0" t="s">
        <v>6453</v>
      </c>
      <c r="F1828" s="0" t="s">
        <v>6639</v>
      </c>
      <c r="G1828" s="0" t="s">
        <v>109</v>
      </c>
      <c r="H1828" s="0" t="s">
        <v>8501</v>
      </c>
      <c r="I1828" s="0" t="s">
        <v>7338</v>
      </c>
      <c r="J1828" s="0" t="s">
        <v>6557</v>
      </c>
      <c r="K1828" s="0" t="s">
        <v>7339</v>
      </c>
      <c r="L1828" s="0" t="s">
        <v>7340</v>
      </c>
      <c r="M1828" s="0" t="s">
        <v>8491</v>
      </c>
      <c r="N1828" s="0" t="s">
        <v>7342</v>
      </c>
      <c r="P1828" s="0" t="s">
        <v>229</v>
      </c>
      <c r="R1828" s="0" t="s">
        <v>7343</v>
      </c>
      <c r="S1828" s="0" t="s">
        <v>7344</v>
      </c>
      <c r="T1828" s="0" t="s">
        <v>228</v>
      </c>
      <c r="V1828" s="0" t="s">
        <v>34</v>
      </c>
      <c r="W1828" s="0" t="s">
        <v>38</v>
      </c>
      <c r="X1828" s="0" t="s">
        <v>7345</v>
      </c>
      <c r="Y1828" s="0" t="s">
        <v>7409</v>
      </c>
      <c r="Z1828" s="0" t="s">
        <v>7370</v>
      </c>
      <c r="AA1828" s="0" t="s">
        <v>7504</v>
      </c>
      <c r="AB1828" s="0" t="s">
        <v>231</v>
      </c>
      <c r="AC1828" s="0" t="s">
        <v>7349</v>
      </c>
      <c r="AD1828" s="0" t="s">
        <v>7505</v>
      </c>
      <c r="AE1828" s="0" t="s">
        <v>301</v>
      </c>
      <c r="AF1828" s="0" t="s">
        <v>7374</v>
      </c>
      <c r="AG1828" s="0" t="s">
        <v>230</v>
      </c>
    </row>
    <row r="1829" customFormat="false" ht="15" hidden="false" customHeight="false" outlineLevel="0" collapsed="false">
      <c r="A1829" s="0" t="s">
        <v>7336</v>
      </c>
      <c r="B1829" s="0" t="s">
        <v>6645</v>
      </c>
      <c r="C1829" s="0" t="s">
        <v>6646</v>
      </c>
      <c r="D1829" s="0" t="s">
        <v>2431</v>
      </c>
      <c r="E1829" s="0" t="s">
        <v>6647</v>
      </c>
      <c r="F1829" s="0" t="s">
        <v>6648</v>
      </c>
      <c r="G1829" s="0" t="s">
        <v>109</v>
      </c>
      <c r="H1829" s="0" t="s">
        <v>8502</v>
      </c>
      <c r="I1829" s="0" t="s">
        <v>7338</v>
      </c>
      <c r="J1829" s="0" t="s">
        <v>6557</v>
      </c>
      <c r="K1829" s="0" t="s">
        <v>7339</v>
      </c>
      <c r="L1829" s="0" t="s">
        <v>7340</v>
      </c>
      <c r="M1829" s="0" t="s">
        <v>8491</v>
      </c>
      <c r="N1829" s="0" t="s">
        <v>7342</v>
      </c>
      <c r="P1829" s="0" t="s">
        <v>229</v>
      </c>
      <c r="R1829" s="0" t="s">
        <v>7343</v>
      </c>
      <c r="S1829" s="0" t="s">
        <v>7344</v>
      </c>
      <c r="T1829" s="0" t="s">
        <v>681</v>
      </c>
      <c r="V1829" s="0" t="s">
        <v>34</v>
      </c>
      <c r="W1829" s="0" t="s">
        <v>36</v>
      </c>
      <c r="Y1829" s="0" t="s">
        <v>7495</v>
      </c>
      <c r="Z1829" s="0" t="s">
        <v>7496</v>
      </c>
      <c r="AA1829" s="0" t="s">
        <v>7497</v>
      </c>
      <c r="AB1829" s="0" t="s">
        <v>682</v>
      </c>
      <c r="AC1829" s="0" t="s">
        <v>7349</v>
      </c>
      <c r="AD1829" s="0" t="s">
        <v>7498</v>
      </c>
      <c r="AE1829" s="0" t="s">
        <v>7778</v>
      </c>
      <c r="AF1829" s="0" t="s">
        <v>7499</v>
      </c>
      <c r="AG1829" s="0" t="s">
        <v>230</v>
      </c>
    </row>
    <row r="1830" customFormat="false" ht="15" hidden="false" customHeight="false" outlineLevel="0" collapsed="false">
      <c r="A1830" s="0" t="s">
        <v>7336</v>
      </c>
      <c r="B1830" s="0" t="s">
        <v>6649</v>
      </c>
      <c r="C1830" s="0" t="s">
        <v>6650</v>
      </c>
      <c r="D1830" s="0" t="s">
        <v>2431</v>
      </c>
      <c r="E1830" s="0" t="s">
        <v>6651</v>
      </c>
      <c r="F1830" s="0" t="s">
        <v>6648</v>
      </c>
      <c r="G1830" s="0" t="s">
        <v>109</v>
      </c>
      <c r="H1830" s="0" t="s">
        <v>8502</v>
      </c>
      <c r="I1830" s="0" t="s">
        <v>7338</v>
      </c>
      <c r="J1830" s="0" t="s">
        <v>6557</v>
      </c>
      <c r="K1830" s="0" t="s">
        <v>7339</v>
      </c>
      <c r="L1830" s="0" t="s">
        <v>7340</v>
      </c>
      <c r="M1830" s="0" t="s">
        <v>8491</v>
      </c>
      <c r="N1830" s="0" t="s">
        <v>7342</v>
      </c>
      <c r="P1830" s="0" t="s">
        <v>229</v>
      </c>
      <c r="R1830" s="0" t="s">
        <v>7343</v>
      </c>
      <c r="S1830" s="0" t="s">
        <v>7344</v>
      </c>
      <c r="T1830" s="0" t="s">
        <v>228</v>
      </c>
      <c r="V1830" s="0" t="s">
        <v>34</v>
      </c>
      <c r="W1830" s="0" t="s">
        <v>38</v>
      </c>
      <c r="X1830" s="0" t="s">
        <v>7345</v>
      </c>
      <c r="Y1830" s="0" t="s">
        <v>7409</v>
      </c>
      <c r="Z1830" s="0" t="s">
        <v>7370</v>
      </c>
      <c r="AA1830" s="0" t="s">
        <v>7504</v>
      </c>
      <c r="AB1830" s="0" t="s">
        <v>231</v>
      </c>
      <c r="AC1830" s="0" t="s">
        <v>7349</v>
      </c>
      <c r="AD1830" s="0" t="s">
        <v>7505</v>
      </c>
      <c r="AE1830" s="0" t="s">
        <v>301</v>
      </c>
      <c r="AF1830" s="0" t="s">
        <v>7374</v>
      </c>
      <c r="AG1830" s="0" t="s">
        <v>230</v>
      </c>
    </row>
    <row r="1831" customFormat="false" ht="15" hidden="false" customHeight="false" outlineLevel="0" collapsed="false">
      <c r="A1831" s="0" t="s">
        <v>7336</v>
      </c>
      <c r="B1831" s="0" t="s">
        <v>6652</v>
      </c>
      <c r="C1831" s="0" t="s">
        <v>6653</v>
      </c>
      <c r="D1831" s="0" t="s">
        <v>2431</v>
      </c>
      <c r="E1831" s="0" t="s">
        <v>6654</v>
      </c>
      <c r="F1831" s="0" t="s">
        <v>6655</v>
      </c>
      <c r="G1831" s="0" t="s">
        <v>109</v>
      </c>
      <c r="H1831" s="0" t="s">
        <v>8503</v>
      </c>
      <c r="I1831" s="0" t="s">
        <v>7338</v>
      </c>
      <c r="J1831" s="0" t="s">
        <v>6557</v>
      </c>
      <c r="K1831" s="0" t="s">
        <v>7339</v>
      </c>
      <c r="L1831" s="0" t="s">
        <v>7340</v>
      </c>
      <c r="M1831" s="0" t="s">
        <v>8491</v>
      </c>
      <c r="N1831" s="0" t="s">
        <v>7342</v>
      </c>
      <c r="P1831" s="0" t="s">
        <v>229</v>
      </c>
      <c r="R1831" s="0" t="s">
        <v>7343</v>
      </c>
      <c r="S1831" s="0" t="s">
        <v>7344</v>
      </c>
      <c r="T1831" s="0" t="s">
        <v>681</v>
      </c>
      <c r="V1831" s="0" t="s">
        <v>34</v>
      </c>
      <c r="W1831" s="0" t="s">
        <v>36</v>
      </c>
      <c r="Y1831" s="0" t="s">
        <v>7495</v>
      </c>
      <c r="Z1831" s="0" t="s">
        <v>7496</v>
      </c>
      <c r="AA1831" s="0" t="s">
        <v>7497</v>
      </c>
      <c r="AB1831" s="0" t="s">
        <v>682</v>
      </c>
      <c r="AC1831" s="0" t="s">
        <v>7349</v>
      </c>
      <c r="AD1831" s="0" t="s">
        <v>7498</v>
      </c>
      <c r="AE1831" s="0" t="s">
        <v>7778</v>
      </c>
      <c r="AF1831" s="0" t="s">
        <v>7499</v>
      </c>
      <c r="AG1831" s="0" t="s">
        <v>230</v>
      </c>
    </row>
    <row r="1832" customFormat="false" ht="15" hidden="false" customHeight="false" outlineLevel="0" collapsed="false">
      <c r="A1832" s="0" t="s">
        <v>7336</v>
      </c>
      <c r="B1832" s="0" t="s">
        <v>6656</v>
      </c>
      <c r="C1832" s="0" t="s">
        <v>6657</v>
      </c>
      <c r="D1832" s="0" t="s">
        <v>2431</v>
      </c>
      <c r="E1832" s="0" t="s">
        <v>6658</v>
      </c>
      <c r="F1832" s="0" t="s">
        <v>6655</v>
      </c>
      <c r="G1832" s="0" t="s">
        <v>109</v>
      </c>
      <c r="H1832" s="0" t="s">
        <v>8503</v>
      </c>
      <c r="I1832" s="0" t="s">
        <v>7338</v>
      </c>
      <c r="J1832" s="0" t="s">
        <v>6557</v>
      </c>
      <c r="K1832" s="0" t="s">
        <v>7339</v>
      </c>
      <c r="L1832" s="0" t="s">
        <v>7340</v>
      </c>
      <c r="M1832" s="0" t="s">
        <v>8491</v>
      </c>
      <c r="N1832" s="0" t="s">
        <v>7342</v>
      </c>
      <c r="P1832" s="0" t="s">
        <v>229</v>
      </c>
      <c r="R1832" s="0" t="s">
        <v>7343</v>
      </c>
      <c r="S1832" s="0" t="s">
        <v>7344</v>
      </c>
      <c r="T1832" s="0" t="s">
        <v>228</v>
      </c>
      <c r="V1832" s="0" t="s">
        <v>34</v>
      </c>
      <c r="W1832" s="0" t="s">
        <v>38</v>
      </c>
      <c r="X1832" s="0" t="s">
        <v>7345</v>
      </c>
      <c r="Y1832" s="0" t="s">
        <v>7409</v>
      </c>
      <c r="Z1832" s="0" t="s">
        <v>7370</v>
      </c>
      <c r="AA1832" s="0" t="s">
        <v>7504</v>
      </c>
      <c r="AB1832" s="0" t="s">
        <v>231</v>
      </c>
      <c r="AC1832" s="0" t="s">
        <v>7349</v>
      </c>
      <c r="AD1832" s="0" t="s">
        <v>7505</v>
      </c>
      <c r="AE1832" s="0" t="s">
        <v>301</v>
      </c>
      <c r="AF1832" s="0" t="s">
        <v>7374</v>
      </c>
      <c r="AG1832" s="0" t="s">
        <v>230</v>
      </c>
    </row>
    <row r="1833" customFormat="false" ht="15" hidden="false" customHeight="false" outlineLevel="0" collapsed="false">
      <c r="A1833" s="0" t="s">
        <v>7336</v>
      </c>
      <c r="B1833" s="0" t="s">
        <v>6659</v>
      </c>
      <c r="C1833" s="0" t="s">
        <v>6660</v>
      </c>
      <c r="D1833" s="0" t="s">
        <v>2431</v>
      </c>
      <c r="E1833" s="0" t="s">
        <v>6661</v>
      </c>
      <c r="F1833" s="0" t="s">
        <v>6655</v>
      </c>
      <c r="G1833" s="0" t="s">
        <v>109</v>
      </c>
      <c r="H1833" s="0" t="s">
        <v>8503</v>
      </c>
      <c r="I1833" s="0" t="s">
        <v>7338</v>
      </c>
      <c r="J1833" s="0" t="s">
        <v>6557</v>
      </c>
      <c r="K1833" s="0" t="s">
        <v>7339</v>
      </c>
      <c r="L1833" s="0" t="s">
        <v>7340</v>
      </c>
      <c r="M1833" s="0" t="s">
        <v>8491</v>
      </c>
      <c r="N1833" s="0" t="s">
        <v>7342</v>
      </c>
      <c r="P1833" s="0" t="s">
        <v>229</v>
      </c>
      <c r="R1833" s="0" t="s">
        <v>7343</v>
      </c>
      <c r="S1833" s="0" t="s">
        <v>7344</v>
      </c>
      <c r="T1833" s="0" t="s">
        <v>681</v>
      </c>
      <c r="V1833" s="0" t="s">
        <v>34</v>
      </c>
      <c r="W1833" s="0" t="s">
        <v>36</v>
      </c>
      <c r="Y1833" s="0" t="s">
        <v>7495</v>
      </c>
      <c r="Z1833" s="0" t="s">
        <v>7496</v>
      </c>
      <c r="AA1833" s="0" t="s">
        <v>7497</v>
      </c>
      <c r="AB1833" s="0" t="s">
        <v>682</v>
      </c>
      <c r="AC1833" s="0" t="s">
        <v>7349</v>
      </c>
      <c r="AD1833" s="0" t="s">
        <v>7498</v>
      </c>
      <c r="AE1833" s="0" t="s">
        <v>7797</v>
      </c>
      <c r="AF1833" s="0" t="s">
        <v>7499</v>
      </c>
      <c r="AG1833" s="0" t="s">
        <v>230</v>
      </c>
    </row>
    <row r="1834" customFormat="false" ht="15" hidden="false" customHeight="false" outlineLevel="0" collapsed="false">
      <c r="A1834" s="0" t="s">
        <v>7336</v>
      </c>
      <c r="B1834" s="0" t="s">
        <v>6662</v>
      </c>
      <c r="C1834" s="0" t="s">
        <v>6663</v>
      </c>
      <c r="D1834" s="0" t="s">
        <v>2431</v>
      </c>
      <c r="E1834" s="0" t="s">
        <v>6664</v>
      </c>
      <c r="F1834" s="0" t="s">
        <v>6665</v>
      </c>
      <c r="G1834" s="0" t="s">
        <v>109</v>
      </c>
      <c r="H1834" s="0" t="s">
        <v>8504</v>
      </c>
      <c r="I1834" s="0" t="s">
        <v>7338</v>
      </c>
      <c r="J1834" s="0" t="s">
        <v>6557</v>
      </c>
      <c r="K1834" s="0" t="s">
        <v>7339</v>
      </c>
      <c r="L1834" s="0" t="s">
        <v>7340</v>
      </c>
      <c r="M1834" s="0" t="s">
        <v>8491</v>
      </c>
      <c r="N1834" s="0" t="s">
        <v>7342</v>
      </c>
      <c r="P1834" s="0" t="s">
        <v>229</v>
      </c>
      <c r="R1834" s="0" t="s">
        <v>7343</v>
      </c>
      <c r="S1834" s="0" t="s">
        <v>7344</v>
      </c>
      <c r="T1834" s="0" t="s">
        <v>681</v>
      </c>
      <c r="V1834" s="0" t="s">
        <v>34</v>
      </c>
      <c r="W1834" s="0" t="s">
        <v>36</v>
      </c>
      <c r="Y1834" s="0" t="s">
        <v>7495</v>
      </c>
      <c r="Z1834" s="0" t="s">
        <v>7496</v>
      </c>
      <c r="AA1834" s="0" t="s">
        <v>7497</v>
      </c>
      <c r="AB1834" s="0" t="s">
        <v>682</v>
      </c>
      <c r="AC1834" s="0" t="s">
        <v>7349</v>
      </c>
      <c r="AD1834" s="0" t="s">
        <v>7498</v>
      </c>
      <c r="AE1834" s="0" t="s">
        <v>7778</v>
      </c>
      <c r="AF1834" s="0" t="s">
        <v>7499</v>
      </c>
      <c r="AG1834" s="0" t="s">
        <v>230</v>
      </c>
    </row>
    <row r="1835" customFormat="false" ht="15" hidden="false" customHeight="false" outlineLevel="0" collapsed="false">
      <c r="A1835" s="0" t="s">
        <v>7336</v>
      </c>
      <c r="B1835" s="0" t="s">
        <v>6666</v>
      </c>
      <c r="C1835" s="0" t="s">
        <v>6667</v>
      </c>
      <c r="D1835" s="0" t="s">
        <v>2431</v>
      </c>
      <c r="E1835" s="0" t="s">
        <v>6668</v>
      </c>
      <c r="F1835" s="0" t="s">
        <v>6665</v>
      </c>
      <c r="G1835" s="0" t="s">
        <v>109</v>
      </c>
      <c r="H1835" s="0" t="s">
        <v>8504</v>
      </c>
      <c r="I1835" s="0" t="s">
        <v>7338</v>
      </c>
      <c r="J1835" s="0" t="s">
        <v>6557</v>
      </c>
      <c r="K1835" s="0" t="s">
        <v>7339</v>
      </c>
      <c r="L1835" s="0" t="s">
        <v>7340</v>
      </c>
      <c r="M1835" s="0" t="s">
        <v>8491</v>
      </c>
      <c r="N1835" s="0" t="s">
        <v>7342</v>
      </c>
      <c r="P1835" s="0" t="s">
        <v>229</v>
      </c>
      <c r="R1835" s="0" t="s">
        <v>7343</v>
      </c>
      <c r="S1835" s="0" t="s">
        <v>7344</v>
      </c>
      <c r="T1835" s="0" t="s">
        <v>228</v>
      </c>
      <c r="V1835" s="0" t="s">
        <v>34</v>
      </c>
      <c r="W1835" s="0" t="s">
        <v>38</v>
      </c>
      <c r="X1835" s="0" t="s">
        <v>7345</v>
      </c>
      <c r="Y1835" s="0" t="s">
        <v>7409</v>
      </c>
      <c r="Z1835" s="0" t="s">
        <v>7370</v>
      </c>
      <c r="AA1835" s="0" t="s">
        <v>7504</v>
      </c>
      <c r="AB1835" s="0" t="s">
        <v>231</v>
      </c>
      <c r="AC1835" s="0" t="s">
        <v>7349</v>
      </c>
      <c r="AD1835" s="0" t="s">
        <v>7505</v>
      </c>
      <c r="AE1835" s="0" t="s">
        <v>301</v>
      </c>
      <c r="AF1835" s="0" t="s">
        <v>7374</v>
      </c>
      <c r="AG1835" s="0" t="s">
        <v>230</v>
      </c>
    </row>
    <row r="1836" customFormat="false" ht="15" hidden="false" customHeight="false" outlineLevel="0" collapsed="false">
      <c r="A1836" s="0" t="s">
        <v>7336</v>
      </c>
      <c r="B1836" s="0" t="s">
        <v>6669</v>
      </c>
      <c r="C1836" s="0" t="s">
        <v>6670</v>
      </c>
      <c r="D1836" s="0" t="s">
        <v>2431</v>
      </c>
      <c r="E1836" s="0" t="s">
        <v>6671</v>
      </c>
      <c r="F1836" s="0" t="s">
        <v>6672</v>
      </c>
      <c r="G1836" s="0" t="s">
        <v>109</v>
      </c>
      <c r="H1836" s="0" t="s">
        <v>8505</v>
      </c>
      <c r="I1836" s="0" t="s">
        <v>7338</v>
      </c>
      <c r="J1836" s="0" t="s">
        <v>6557</v>
      </c>
      <c r="K1836" s="0" t="s">
        <v>7339</v>
      </c>
      <c r="L1836" s="0" t="s">
        <v>7340</v>
      </c>
      <c r="M1836" s="0" t="s">
        <v>8491</v>
      </c>
      <c r="N1836" s="0" t="s">
        <v>7342</v>
      </c>
      <c r="P1836" s="0" t="s">
        <v>229</v>
      </c>
      <c r="R1836" s="0" t="s">
        <v>7343</v>
      </c>
      <c r="S1836" s="0" t="s">
        <v>7344</v>
      </c>
      <c r="T1836" s="0" t="s">
        <v>681</v>
      </c>
      <c r="V1836" s="0" t="s">
        <v>34</v>
      </c>
      <c r="W1836" s="0" t="s">
        <v>36</v>
      </c>
      <c r="Y1836" s="0" t="s">
        <v>7495</v>
      </c>
      <c r="Z1836" s="0" t="s">
        <v>7496</v>
      </c>
      <c r="AA1836" s="0" t="s">
        <v>7497</v>
      </c>
      <c r="AB1836" s="0" t="s">
        <v>682</v>
      </c>
      <c r="AC1836" s="0" t="s">
        <v>7349</v>
      </c>
      <c r="AD1836" s="0" t="s">
        <v>7498</v>
      </c>
      <c r="AE1836" s="0" t="s">
        <v>7778</v>
      </c>
      <c r="AF1836" s="0" t="s">
        <v>7499</v>
      </c>
      <c r="AG1836" s="0" t="s">
        <v>230</v>
      </c>
    </row>
    <row r="1837" customFormat="false" ht="15" hidden="false" customHeight="false" outlineLevel="0" collapsed="false">
      <c r="A1837" s="0" t="s">
        <v>7336</v>
      </c>
      <c r="B1837" s="0" t="s">
        <v>6673</v>
      </c>
      <c r="C1837" s="0" t="s">
        <v>6674</v>
      </c>
      <c r="D1837" s="0" t="s">
        <v>2431</v>
      </c>
      <c r="E1837" s="0" t="s">
        <v>6675</v>
      </c>
      <c r="F1837" s="0" t="s">
        <v>6672</v>
      </c>
      <c r="G1837" s="0" t="s">
        <v>109</v>
      </c>
      <c r="H1837" s="0" t="s">
        <v>8505</v>
      </c>
      <c r="I1837" s="0" t="s">
        <v>7338</v>
      </c>
      <c r="J1837" s="0" t="s">
        <v>6557</v>
      </c>
      <c r="K1837" s="0" t="s">
        <v>7339</v>
      </c>
      <c r="L1837" s="0" t="s">
        <v>7340</v>
      </c>
      <c r="M1837" s="0" t="s">
        <v>8491</v>
      </c>
      <c r="N1837" s="0" t="s">
        <v>7342</v>
      </c>
      <c r="P1837" s="0" t="s">
        <v>229</v>
      </c>
      <c r="R1837" s="0" t="s">
        <v>7343</v>
      </c>
      <c r="S1837" s="0" t="s">
        <v>7344</v>
      </c>
      <c r="T1837" s="0" t="s">
        <v>228</v>
      </c>
      <c r="V1837" s="0" t="s">
        <v>34</v>
      </c>
      <c r="W1837" s="0" t="s">
        <v>38</v>
      </c>
      <c r="X1837" s="0" t="s">
        <v>7345</v>
      </c>
      <c r="Y1837" s="0" t="s">
        <v>7409</v>
      </c>
      <c r="Z1837" s="0" t="s">
        <v>7370</v>
      </c>
      <c r="AA1837" s="0" t="s">
        <v>7504</v>
      </c>
      <c r="AB1837" s="0" t="s">
        <v>231</v>
      </c>
      <c r="AC1837" s="0" t="s">
        <v>7349</v>
      </c>
      <c r="AD1837" s="0" t="s">
        <v>7505</v>
      </c>
      <c r="AE1837" s="0" t="s">
        <v>301</v>
      </c>
      <c r="AF1837" s="0" t="s">
        <v>7374</v>
      </c>
      <c r="AG1837" s="0" t="s">
        <v>230</v>
      </c>
    </row>
    <row r="1838" customFormat="false" ht="15" hidden="false" customHeight="false" outlineLevel="0" collapsed="false">
      <c r="A1838" s="0" t="s">
        <v>7336</v>
      </c>
      <c r="B1838" s="0" t="s">
        <v>6676</v>
      </c>
      <c r="C1838" s="0" t="s">
        <v>6677</v>
      </c>
      <c r="D1838" s="0" t="s">
        <v>2431</v>
      </c>
      <c r="E1838" s="0" t="s">
        <v>6678</v>
      </c>
      <c r="F1838" s="0" t="s">
        <v>6679</v>
      </c>
      <c r="G1838" s="0" t="s">
        <v>109</v>
      </c>
      <c r="H1838" s="0" t="s">
        <v>8506</v>
      </c>
      <c r="I1838" s="0" t="s">
        <v>7338</v>
      </c>
      <c r="J1838" s="0" t="s">
        <v>6557</v>
      </c>
      <c r="K1838" s="0" t="s">
        <v>7339</v>
      </c>
      <c r="L1838" s="0" t="s">
        <v>7340</v>
      </c>
      <c r="M1838" s="0" t="s">
        <v>8491</v>
      </c>
      <c r="N1838" s="0" t="s">
        <v>7342</v>
      </c>
      <c r="P1838" s="0" t="s">
        <v>229</v>
      </c>
      <c r="R1838" s="0" t="s">
        <v>7343</v>
      </c>
      <c r="S1838" s="0" t="s">
        <v>7344</v>
      </c>
      <c r="T1838" s="0" t="s">
        <v>681</v>
      </c>
      <c r="V1838" s="0" t="s">
        <v>34</v>
      </c>
      <c r="W1838" s="0" t="s">
        <v>36</v>
      </c>
      <c r="Y1838" s="0" t="s">
        <v>7495</v>
      </c>
      <c r="Z1838" s="0" t="s">
        <v>7496</v>
      </c>
      <c r="AA1838" s="0" t="s">
        <v>7497</v>
      </c>
      <c r="AB1838" s="0" t="s">
        <v>682</v>
      </c>
      <c r="AC1838" s="0" t="s">
        <v>7349</v>
      </c>
      <c r="AD1838" s="0" t="s">
        <v>7498</v>
      </c>
      <c r="AE1838" s="0" t="s">
        <v>7778</v>
      </c>
      <c r="AF1838" s="0" t="s">
        <v>7499</v>
      </c>
      <c r="AG1838" s="0" t="s">
        <v>230</v>
      </c>
    </row>
    <row r="1839" customFormat="false" ht="15" hidden="false" customHeight="false" outlineLevel="0" collapsed="false">
      <c r="A1839" s="0" t="s">
        <v>7336</v>
      </c>
      <c r="B1839" s="0" t="s">
        <v>6680</v>
      </c>
      <c r="C1839" s="0" t="s">
        <v>6681</v>
      </c>
      <c r="D1839" s="0" t="s">
        <v>2431</v>
      </c>
      <c r="E1839" s="0" t="s">
        <v>6682</v>
      </c>
      <c r="F1839" s="0" t="s">
        <v>6679</v>
      </c>
      <c r="G1839" s="0" t="s">
        <v>109</v>
      </c>
      <c r="H1839" s="0" t="s">
        <v>8506</v>
      </c>
      <c r="I1839" s="0" t="s">
        <v>7338</v>
      </c>
      <c r="J1839" s="0" t="s">
        <v>6557</v>
      </c>
      <c r="K1839" s="0" t="s">
        <v>7339</v>
      </c>
      <c r="L1839" s="0" t="s">
        <v>7340</v>
      </c>
      <c r="M1839" s="0" t="s">
        <v>8491</v>
      </c>
      <c r="N1839" s="0" t="s">
        <v>7342</v>
      </c>
      <c r="P1839" s="0" t="s">
        <v>229</v>
      </c>
      <c r="R1839" s="0" t="s">
        <v>7343</v>
      </c>
      <c r="S1839" s="0" t="s">
        <v>7344</v>
      </c>
      <c r="T1839" s="0" t="s">
        <v>228</v>
      </c>
      <c r="V1839" s="0" t="s">
        <v>34</v>
      </c>
      <c r="W1839" s="0" t="s">
        <v>38</v>
      </c>
      <c r="X1839" s="0" t="s">
        <v>7345</v>
      </c>
      <c r="Y1839" s="0" t="s">
        <v>7409</v>
      </c>
      <c r="Z1839" s="0" t="s">
        <v>7370</v>
      </c>
      <c r="AA1839" s="0" t="s">
        <v>7504</v>
      </c>
      <c r="AB1839" s="0" t="s">
        <v>231</v>
      </c>
      <c r="AC1839" s="0" t="s">
        <v>7349</v>
      </c>
      <c r="AD1839" s="0" t="s">
        <v>7505</v>
      </c>
      <c r="AE1839" s="0" t="s">
        <v>301</v>
      </c>
      <c r="AF1839" s="0" t="s">
        <v>7374</v>
      </c>
      <c r="AG1839" s="0" t="s">
        <v>230</v>
      </c>
    </row>
    <row r="1840" customFormat="false" ht="15" hidden="false" customHeight="false" outlineLevel="0" collapsed="false">
      <c r="A1840" s="0" t="s">
        <v>7336</v>
      </c>
      <c r="B1840" s="0" t="s">
        <v>6683</v>
      </c>
      <c r="C1840" s="0" t="s">
        <v>6684</v>
      </c>
      <c r="D1840" s="0" t="s">
        <v>2431</v>
      </c>
      <c r="E1840" s="0" t="s">
        <v>6685</v>
      </c>
      <c r="F1840" s="0" t="s">
        <v>6686</v>
      </c>
      <c r="G1840" s="0" t="s">
        <v>109</v>
      </c>
      <c r="H1840" s="0" t="s">
        <v>8507</v>
      </c>
      <c r="I1840" s="0" t="s">
        <v>7338</v>
      </c>
      <c r="J1840" s="0" t="s">
        <v>6557</v>
      </c>
      <c r="K1840" s="0" t="s">
        <v>7339</v>
      </c>
      <c r="L1840" s="0" t="s">
        <v>7340</v>
      </c>
      <c r="M1840" s="0" t="s">
        <v>8491</v>
      </c>
      <c r="N1840" s="0" t="s">
        <v>7342</v>
      </c>
      <c r="P1840" s="0" t="s">
        <v>229</v>
      </c>
      <c r="R1840" s="0" t="s">
        <v>7343</v>
      </c>
      <c r="S1840" s="0" t="s">
        <v>7344</v>
      </c>
      <c r="T1840" s="0" t="s">
        <v>681</v>
      </c>
      <c r="V1840" s="0" t="s">
        <v>34</v>
      </c>
      <c r="W1840" s="0" t="s">
        <v>36</v>
      </c>
      <c r="Y1840" s="0" t="s">
        <v>7495</v>
      </c>
      <c r="Z1840" s="0" t="s">
        <v>7496</v>
      </c>
      <c r="AA1840" s="0" t="s">
        <v>7497</v>
      </c>
      <c r="AB1840" s="0" t="s">
        <v>682</v>
      </c>
      <c r="AC1840" s="0" t="s">
        <v>7349</v>
      </c>
      <c r="AD1840" s="0" t="s">
        <v>7498</v>
      </c>
      <c r="AE1840" s="0" t="s">
        <v>40</v>
      </c>
      <c r="AF1840" s="0" t="s">
        <v>7499</v>
      </c>
      <c r="AG1840" s="0" t="s">
        <v>230</v>
      </c>
    </row>
    <row r="1841" customFormat="false" ht="15" hidden="false" customHeight="false" outlineLevel="0" collapsed="false">
      <c r="A1841" s="0" t="s">
        <v>7336</v>
      </c>
      <c r="B1841" s="0" t="s">
        <v>6687</v>
      </c>
      <c r="C1841" s="0" t="s">
        <v>6688</v>
      </c>
      <c r="D1841" s="0" t="s">
        <v>2431</v>
      </c>
      <c r="E1841" s="0" t="s">
        <v>6689</v>
      </c>
      <c r="F1841" s="0" t="s">
        <v>6686</v>
      </c>
      <c r="G1841" s="0" t="s">
        <v>109</v>
      </c>
      <c r="H1841" s="0" t="s">
        <v>8507</v>
      </c>
      <c r="I1841" s="0" t="s">
        <v>7338</v>
      </c>
      <c r="J1841" s="0" t="s">
        <v>6557</v>
      </c>
      <c r="K1841" s="0" t="s">
        <v>7339</v>
      </c>
      <c r="L1841" s="0" t="s">
        <v>7340</v>
      </c>
      <c r="M1841" s="0" t="s">
        <v>8491</v>
      </c>
      <c r="N1841" s="0" t="s">
        <v>7342</v>
      </c>
      <c r="P1841" s="0" t="s">
        <v>229</v>
      </c>
      <c r="R1841" s="0" t="s">
        <v>7343</v>
      </c>
      <c r="S1841" s="0" t="s">
        <v>7344</v>
      </c>
      <c r="T1841" s="0" t="s">
        <v>681</v>
      </c>
      <c r="V1841" s="0" t="s">
        <v>34</v>
      </c>
      <c r="W1841" s="0" t="s">
        <v>36</v>
      </c>
      <c r="Y1841" s="0" t="s">
        <v>7495</v>
      </c>
      <c r="Z1841" s="0" t="s">
        <v>7496</v>
      </c>
      <c r="AA1841" s="0" t="s">
        <v>7497</v>
      </c>
      <c r="AB1841" s="0" t="s">
        <v>682</v>
      </c>
      <c r="AC1841" s="0" t="s">
        <v>7349</v>
      </c>
      <c r="AD1841" s="0" t="s">
        <v>7498</v>
      </c>
      <c r="AE1841" s="0" t="s">
        <v>7797</v>
      </c>
      <c r="AF1841" s="0" t="s">
        <v>7499</v>
      </c>
      <c r="AG1841" s="0" t="s">
        <v>230</v>
      </c>
    </row>
    <row r="1842" customFormat="false" ht="15" hidden="false" customHeight="false" outlineLevel="0" collapsed="false">
      <c r="A1842" s="0" t="s">
        <v>7336</v>
      </c>
      <c r="B1842" s="0" t="s">
        <v>6690</v>
      </c>
      <c r="C1842" s="0" t="s">
        <v>6691</v>
      </c>
      <c r="D1842" s="0" t="s">
        <v>2431</v>
      </c>
      <c r="E1842" s="0" t="s">
        <v>6692</v>
      </c>
      <c r="F1842" s="0" t="s">
        <v>6686</v>
      </c>
      <c r="G1842" s="0" t="s">
        <v>109</v>
      </c>
      <c r="H1842" s="0" t="s">
        <v>8507</v>
      </c>
      <c r="I1842" s="0" t="s">
        <v>7338</v>
      </c>
      <c r="J1842" s="0" t="s">
        <v>6557</v>
      </c>
      <c r="K1842" s="0" t="s">
        <v>7339</v>
      </c>
      <c r="L1842" s="0" t="s">
        <v>7340</v>
      </c>
      <c r="M1842" s="0" t="s">
        <v>8491</v>
      </c>
      <c r="N1842" s="0" t="s">
        <v>7342</v>
      </c>
      <c r="P1842" s="0" t="s">
        <v>229</v>
      </c>
      <c r="R1842" s="0" t="s">
        <v>7343</v>
      </c>
      <c r="S1842" s="0" t="s">
        <v>7344</v>
      </c>
      <c r="T1842" s="0" t="s">
        <v>681</v>
      </c>
      <c r="V1842" s="0" t="s">
        <v>34</v>
      </c>
      <c r="W1842" s="0" t="s">
        <v>36</v>
      </c>
      <c r="Y1842" s="0" t="s">
        <v>7495</v>
      </c>
      <c r="Z1842" s="0" t="s">
        <v>7496</v>
      </c>
      <c r="AA1842" s="0" t="s">
        <v>7497</v>
      </c>
      <c r="AB1842" s="0" t="s">
        <v>682</v>
      </c>
      <c r="AC1842" s="0" t="s">
        <v>7349</v>
      </c>
      <c r="AD1842" s="0" t="s">
        <v>7498</v>
      </c>
      <c r="AE1842" s="0" t="s">
        <v>7778</v>
      </c>
      <c r="AF1842" s="0" t="s">
        <v>7499</v>
      </c>
      <c r="AG1842" s="0" t="s">
        <v>230</v>
      </c>
    </row>
    <row r="1843" customFormat="false" ht="15" hidden="false" customHeight="false" outlineLevel="0" collapsed="false">
      <c r="A1843" s="0" t="s">
        <v>7336</v>
      </c>
      <c r="B1843" s="0" t="s">
        <v>6693</v>
      </c>
      <c r="C1843" s="0" t="s">
        <v>6694</v>
      </c>
      <c r="D1843" s="0" t="s">
        <v>2431</v>
      </c>
      <c r="E1843" s="0" t="s">
        <v>6695</v>
      </c>
      <c r="F1843" s="0" t="s">
        <v>6686</v>
      </c>
      <c r="G1843" s="0" t="s">
        <v>109</v>
      </c>
      <c r="H1843" s="0" t="s">
        <v>8507</v>
      </c>
      <c r="I1843" s="0" t="s">
        <v>7338</v>
      </c>
      <c r="J1843" s="0" t="s">
        <v>6557</v>
      </c>
      <c r="K1843" s="0" t="s">
        <v>7339</v>
      </c>
      <c r="L1843" s="0" t="s">
        <v>7340</v>
      </c>
      <c r="M1843" s="0" t="s">
        <v>8491</v>
      </c>
      <c r="N1843" s="0" t="s">
        <v>7342</v>
      </c>
      <c r="P1843" s="0" t="s">
        <v>229</v>
      </c>
      <c r="R1843" s="0" t="s">
        <v>7343</v>
      </c>
      <c r="S1843" s="0" t="s">
        <v>7344</v>
      </c>
      <c r="T1843" s="0" t="s">
        <v>228</v>
      </c>
      <c r="V1843" s="0" t="s">
        <v>34</v>
      </c>
      <c r="W1843" s="0" t="s">
        <v>38</v>
      </c>
      <c r="X1843" s="0" t="s">
        <v>7345</v>
      </c>
      <c r="Y1843" s="0" t="s">
        <v>7409</v>
      </c>
      <c r="Z1843" s="0" t="s">
        <v>7370</v>
      </c>
      <c r="AA1843" s="0" t="s">
        <v>7504</v>
      </c>
      <c r="AB1843" s="0" t="s">
        <v>231</v>
      </c>
      <c r="AC1843" s="0" t="s">
        <v>7349</v>
      </c>
      <c r="AD1843" s="0" t="s">
        <v>7505</v>
      </c>
      <c r="AE1843" s="0" t="s">
        <v>301</v>
      </c>
      <c r="AF1843" s="0" t="s">
        <v>7374</v>
      </c>
      <c r="AG1843" s="0" t="s">
        <v>230</v>
      </c>
    </row>
    <row r="1844" customFormat="false" ht="15" hidden="false" customHeight="false" outlineLevel="0" collapsed="false">
      <c r="A1844" s="0" t="s">
        <v>7336</v>
      </c>
      <c r="B1844" s="0" t="s">
        <v>6696</v>
      </c>
      <c r="C1844" s="0" t="s">
        <v>6697</v>
      </c>
      <c r="D1844" s="0" t="s">
        <v>2431</v>
      </c>
      <c r="E1844" s="0" t="s">
        <v>6698</v>
      </c>
      <c r="F1844" s="0" t="s">
        <v>6699</v>
      </c>
      <c r="G1844" s="0" t="s">
        <v>109</v>
      </c>
      <c r="H1844" s="0" t="s">
        <v>8508</v>
      </c>
      <c r="I1844" s="0" t="s">
        <v>7338</v>
      </c>
      <c r="J1844" s="0" t="s">
        <v>6557</v>
      </c>
      <c r="K1844" s="0" t="s">
        <v>7339</v>
      </c>
      <c r="L1844" s="0" t="s">
        <v>7340</v>
      </c>
      <c r="M1844" s="0" t="s">
        <v>8491</v>
      </c>
      <c r="N1844" s="0" t="s">
        <v>7342</v>
      </c>
      <c r="P1844" s="0" t="s">
        <v>229</v>
      </c>
      <c r="R1844" s="0" t="s">
        <v>7343</v>
      </c>
      <c r="S1844" s="0" t="s">
        <v>7344</v>
      </c>
      <c r="T1844" s="0" t="s">
        <v>681</v>
      </c>
      <c r="V1844" s="0" t="s">
        <v>34</v>
      </c>
      <c r="W1844" s="0" t="s">
        <v>36</v>
      </c>
      <c r="Y1844" s="0" t="s">
        <v>7495</v>
      </c>
      <c r="Z1844" s="0" t="s">
        <v>7496</v>
      </c>
      <c r="AA1844" s="0" t="s">
        <v>7497</v>
      </c>
      <c r="AB1844" s="0" t="s">
        <v>682</v>
      </c>
      <c r="AC1844" s="0" t="s">
        <v>7349</v>
      </c>
      <c r="AD1844" s="0" t="s">
        <v>7498</v>
      </c>
      <c r="AE1844" s="0" t="s">
        <v>7778</v>
      </c>
      <c r="AF1844" s="0" t="s">
        <v>7499</v>
      </c>
      <c r="AG1844" s="0" t="s">
        <v>230</v>
      </c>
    </row>
    <row r="1845" customFormat="false" ht="15" hidden="false" customHeight="false" outlineLevel="0" collapsed="false">
      <c r="A1845" s="0" t="s">
        <v>7336</v>
      </c>
      <c r="B1845" s="0" t="s">
        <v>6700</v>
      </c>
      <c r="C1845" s="0" t="s">
        <v>6701</v>
      </c>
      <c r="D1845" s="0" t="s">
        <v>2431</v>
      </c>
      <c r="E1845" s="0" t="s">
        <v>6702</v>
      </c>
      <c r="F1845" s="0" t="s">
        <v>6699</v>
      </c>
      <c r="G1845" s="0" t="s">
        <v>109</v>
      </c>
      <c r="H1845" s="0" t="s">
        <v>8508</v>
      </c>
      <c r="I1845" s="0" t="s">
        <v>7338</v>
      </c>
      <c r="J1845" s="0" t="s">
        <v>6557</v>
      </c>
      <c r="K1845" s="0" t="s">
        <v>7339</v>
      </c>
      <c r="L1845" s="0" t="s">
        <v>7340</v>
      </c>
      <c r="M1845" s="0" t="s">
        <v>8491</v>
      </c>
      <c r="N1845" s="0" t="s">
        <v>7342</v>
      </c>
      <c r="P1845" s="0" t="s">
        <v>229</v>
      </c>
      <c r="R1845" s="0" t="s">
        <v>7343</v>
      </c>
      <c r="S1845" s="0" t="s">
        <v>7344</v>
      </c>
      <c r="T1845" s="0" t="s">
        <v>228</v>
      </c>
      <c r="V1845" s="0" t="s">
        <v>34</v>
      </c>
      <c r="W1845" s="0" t="s">
        <v>38</v>
      </c>
      <c r="X1845" s="0" t="s">
        <v>7345</v>
      </c>
      <c r="Y1845" s="0" t="s">
        <v>7409</v>
      </c>
      <c r="Z1845" s="0" t="s">
        <v>7370</v>
      </c>
      <c r="AA1845" s="0" t="s">
        <v>7504</v>
      </c>
      <c r="AB1845" s="0" t="s">
        <v>231</v>
      </c>
      <c r="AC1845" s="0" t="s">
        <v>7349</v>
      </c>
      <c r="AD1845" s="0" t="s">
        <v>7505</v>
      </c>
      <c r="AE1845" s="0" t="s">
        <v>301</v>
      </c>
      <c r="AF1845" s="0" t="s">
        <v>7374</v>
      </c>
      <c r="AG1845" s="0" t="s">
        <v>230</v>
      </c>
    </row>
    <row r="1846" customFormat="false" ht="15" hidden="false" customHeight="false" outlineLevel="0" collapsed="false">
      <c r="A1846" s="0" t="s">
        <v>7336</v>
      </c>
      <c r="B1846" s="0" t="s">
        <v>6703</v>
      </c>
      <c r="C1846" s="0" t="s">
        <v>6704</v>
      </c>
      <c r="D1846" s="0" t="s">
        <v>2431</v>
      </c>
      <c r="E1846" s="0" t="s">
        <v>6705</v>
      </c>
      <c r="F1846" s="0" t="s">
        <v>6706</v>
      </c>
      <c r="G1846" s="0" t="s">
        <v>109</v>
      </c>
      <c r="H1846" s="0" t="s">
        <v>8509</v>
      </c>
      <c r="I1846" s="0" t="s">
        <v>7338</v>
      </c>
      <c r="J1846" s="0" t="s">
        <v>6557</v>
      </c>
      <c r="K1846" s="0" t="s">
        <v>7339</v>
      </c>
      <c r="L1846" s="0" t="s">
        <v>7340</v>
      </c>
      <c r="M1846" s="0" t="s">
        <v>8491</v>
      </c>
      <c r="N1846" s="0" t="s">
        <v>7342</v>
      </c>
      <c r="P1846" s="0" t="s">
        <v>229</v>
      </c>
      <c r="R1846" s="0" t="s">
        <v>7343</v>
      </c>
      <c r="S1846" s="0" t="s">
        <v>7344</v>
      </c>
      <c r="T1846" s="0" t="s">
        <v>681</v>
      </c>
      <c r="V1846" s="0" t="s">
        <v>34</v>
      </c>
      <c r="W1846" s="0" t="s">
        <v>36</v>
      </c>
      <c r="Y1846" s="0" t="s">
        <v>7495</v>
      </c>
      <c r="Z1846" s="0" t="s">
        <v>7496</v>
      </c>
      <c r="AA1846" s="0" t="s">
        <v>7497</v>
      </c>
      <c r="AB1846" s="0" t="s">
        <v>682</v>
      </c>
      <c r="AC1846" s="0" t="s">
        <v>7349</v>
      </c>
      <c r="AD1846" s="0" t="s">
        <v>7498</v>
      </c>
      <c r="AE1846" s="0" t="s">
        <v>7778</v>
      </c>
      <c r="AF1846" s="0" t="s">
        <v>7499</v>
      </c>
      <c r="AG1846" s="0" t="s">
        <v>230</v>
      </c>
    </row>
    <row r="1847" customFormat="false" ht="15" hidden="false" customHeight="false" outlineLevel="0" collapsed="false">
      <c r="A1847" s="0" t="s">
        <v>7336</v>
      </c>
      <c r="B1847" s="0" t="s">
        <v>6707</v>
      </c>
      <c r="C1847" s="0" t="s">
        <v>6708</v>
      </c>
      <c r="D1847" s="0" t="s">
        <v>2431</v>
      </c>
      <c r="E1847" s="0" t="s">
        <v>6709</v>
      </c>
      <c r="F1847" s="0" t="s">
        <v>6706</v>
      </c>
      <c r="G1847" s="0" t="s">
        <v>109</v>
      </c>
      <c r="H1847" s="0" t="s">
        <v>8509</v>
      </c>
      <c r="I1847" s="0" t="s">
        <v>7338</v>
      </c>
      <c r="J1847" s="0" t="s">
        <v>6557</v>
      </c>
      <c r="K1847" s="0" t="s">
        <v>7339</v>
      </c>
      <c r="L1847" s="0" t="s">
        <v>7340</v>
      </c>
      <c r="M1847" s="0" t="s">
        <v>8491</v>
      </c>
      <c r="N1847" s="0" t="s">
        <v>7342</v>
      </c>
      <c r="P1847" s="0" t="s">
        <v>229</v>
      </c>
      <c r="R1847" s="0" t="s">
        <v>7343</v>
      </c>
      <c r="S1847" s="0" t="s">
        <v>7344</v>
      </c>
      <c r="T1847" s="0" t="s">
        <v>228</v>
      </c>
      <c r="V1847" s="0" t="s">
        <v>34</v>
      </c>
      <c r="W1847" s="0" t="s">
        <v>38</v>
      </c>
      <c r="X1847" s="0" t="s">
        <v>7345</v>
      </c>
      <c r="Y1847" s="0" t="s">
        <v>7409</v>
      </c>
      <c r="Z1847" s="0" t="s">
        <v>7370</v>
      </c>
      <c r="AA1847" s="0" t="s">
        <v>7504</v>
      </c>
      <c r="AB1847" s="0" t="s">
        <v>231</v>
      </c>
      <c r="AC1847" s="0" t="s">
        <v>7349</v>
      </c>
      <c r="AD1847" s="0" t="s">
        <v>7505</v>
      </c>
      <c r="AE1847" s="0" t="s">
        <v>301</v>
      </c>
      <c r="AF1847" s="0" t="s">
        <v>7374</v>
      </c>
      <c r="AG1847" s="0" t="s">
        <v>230</v>
      </c>
    </row>
    <row r="1848" customFormat="false" ht="15" hidden="false" customHeight="false" outlineLevel="0" collapsed="false">
      <c r="A1848" s="0" t="s">
        <v>7336</v>
      </c>
      <c r="B1848" s="0" t="s">
        <v>6710</v>
      </c>
      <c r="C1848" s="0" t="s">
        <v>6711</v>
      </c>
      <c r="D1848" s="0" t="s">
        <v>2431</v>
      </c>
      <c r="E1848" s="0" t="s">
        <v>6712</v>
      </c>
      <c r="F1848" s="0" t="s">
        <v>6713</v>
      </c>
      <c r="G1848" s="0" t="s">
        <v>109</v>
      </c>
      <c r="H1848" s="0" t="s">
        <v>8510</v>
      </c>
      <c r="I1848" s="0" t="s">
        <v>7338</v>
      </c>
      <c r="J1848" s="0" t="s">
        <v>6557</v>
      </c>
      <c r="K1848" s="0" t="s">
        <v>7339</v>
      </c>
      <c r="L1848" s="0" t="s">
        <v>7340</v>
      </c>
      <c r="M1848" s="0" t="s">
        <v>8491</v>
      </c>
      <c r="N1848" s="0" t="s">
        <v>7342</v>
      </c>
      <c r="P1848" s="0" t="s">
        <v>229</v>
      </c>
      <c r="R1848" s="0" t="s">
        <v>7343</v>
      </c>
      <c r="S1848" s="0" t="s">
        <v>7344</v>
      </c>
      <c r="T1848" s="0" t="s">
        <v>681</v>
      </c>
      <c r="V1848" s="0" t="s">
        <v>34</v>
      </c>
      <c r="W1848" s="0" t="s">
        <v>36</v>
      </c>
      <c r="Y1848" s="0" t="s">
        <v>7495</v>
      </c>
      <c r="Z1848" s="0" t="s">
        <v>7496</v>
      </c>
      <c r="AA1848" s="0" t="s">
        <v>7497</v>
      </c>
      <c r="AB1848" s="0" t="s">
        <v>682</v>
      </c>
      <c r="AC1848" s="0" t="s">
        <v>7349</v>
      </c>
      <c r="AD1848" s="0" t="s">
        <v>7498</v>
      </c>
      <c r="AE1848" s="0" t="s">
        <v>7778</v>
      </c>
      <c r="AF1848" s="0" t="s">
        <v>7499</v>
      </c>
      <c r="AG1848" s="0" t="s">
        <v>230</v>
      </c>
    </row>
    <row r="1849" customFormat="false" ht="15" hidden="false" customHeight="false" outlineLevel="0" collapsed="false">
      <c r="A1849" s="0" t="s">
        <v>7336</v>
      </c>
      <c r="B1849" s="0" t="s">
        <v>6714</v>
      </c>
      <c r="C1849" s="0" t="s">
        <v>6715</v>
      </c>
      <c r="D1849" s="0" t="s">
        <v>2431</v>
      </c>
      <c r="E1849" s="0" t="s">
        <v>6716</v>
      </c>
      <c r="F1849" s="0" t="s">
        <v>6713</v>
      </c>
      <c r="G1849" s="0" t="s">
        <v>109</v>
      </c>
      <c r="H1849" s="0" t="s">
        <v>8510</v>
      </c>
      <c r="I1849" s="0" t="s">
        <v>7338</v>
      </c>
      <c r="J1849" s="0" t="s">
        <v>6557</v>
      </c>
      <c r="K1849" s="0" t="s">
        <v>7339</v>
      </c>
      <c r="L1849" s="0" t="s">
        <v>7340</v>
      </c>
      <c r="M1849" s="0" t="s">
        <v>8491</v>
      </c>
      <c r="N1849" s="0" t="s">
        <v>7342</v>
      </c>
      <c r="P1849" s="0" t="s">
        <v>229</v>
      </c>
      <c r="R1849" s="0" t="s">
        <v>7343</v>
      </c>
      <c r="S1849" s="0" t="s">
        <v>7344</v>
      </c>
      <c r="T1849" s="0" t="s">
        <v>228</v>
      </c>
      <c r="V1849" s="0" t="s">
        <v>34</v>
      </c>
      <c r="W1849" s="0" t="s">
        <v>38</v>
      </c>
      <c r="X1849" s="0" t="s">
        <v>7345</v>
      </c>
      <c r="Y1849" s="0" t="s">
        <v>7409</v>
      </c>
      <c r="Z1849" s="0" t="s">
        <v>7370</v>
      </c>
      <c r="AA1849" s="0" t="s">
        <v>7504</v>
      </c>
      <c r="AB1849" s="0" t="s">
        <v>231</v>
      </c>
      <c r="AC1849" s="0" t="s">
        <v>7349</v>
      </c>
      <c r="AD1849" s="0" t="s">
        <v>7505</v>
      </c>
      <c r="AE1849" s="0" t="s">
        <v>301</v>
      </c>
      <c r="AF1849" s="0" t="s">
        <v>7374</v>
      </c>
      <c r="AG1849" s="0" t="s">
        <v>230</v>
      </c>
    </row>
    <row r="1850" customFormat="false" ht="15" hidden="false" customHeight="false" outlineLevel="0" collapsed="false">
      <c r="A1850" s="0" t="s">
        <v>7336</v>
      </c>
      <c r="B1850" s="0" t="s">
        <v>6717</v>
      </c>
      <c r="C1850" s="0" t="s">
        <v>6718</v>
      </c>
      <c r="D1850" s="0" t="s">
        <v>2431</v>
      </c>
      <c r="E1850" s="0" t="s">
        <v>6719</v>
      </c>
      <c r="F1850" s="0" t="s">
        <v>6720</v>
      </c>
      <c r="G1850" s="0" t="s">
        <v>109</v>
      </c>
      <c r="H1850" s="0" t="s">
        <v>8511</v>
      </c>
      <c r="I1850" s="0" t="s">
        <v>7338</v>
      </c>
      <c r="J1850" s="0" t="s">
        <v>6557</v>
      </c>
      <c r="K1850" s="0" t="s">
        <v>7339</v>
      </c>
      <c r="L1850" s="0" t="s">
        <v>7340</v>
      </c>
      <c r="M1850" s="0" t="s">
        <v>8491</v>
      </c>
      <c r="N1850" s="0" t="s">
        <v>7342</v>
      </c>
      <c r="P1850" s="0" t="s">
        <v>229</v>
      </c>
      <c r="R1850" s="0" t="s">
        <v>7343</v>
      </c>
      <c r="S1850" s="0" t="s">
        <v>7344</v>
      </c>
      <c r="T1850" s="0" t="s">
        <v>681</v>
      </c>
      <c r="V1850" s="0" t="s">
        <v>34</v>
      </c>
      <c r="W1850" s="0" t="s">
        <v>36</v>
      </c>
      <c r="Y1850" s="0" t="s">
        <v>7495</v>
      </c>
      <c r="Z1850" s="0" t="s">
        <v>7496</v>
      </c>
      <c r="AA1850" s="0" t="s">
        <v>7497</v>
      </c>
      <c r="AB1850" s="0" t="s">
        <v>682</v>
      </c>
      <c r="AC1850" s="0" t="s">
        <v>7349</v>
      </c>
      <c r="AD1850" s="0" t="s">
        <v>7498</v>
      </c>
      <c r="AE1850" s="0" t="s">
        <v>7778</v>
      </c>
      <c r="AF1850" s="0" t="s">
        <v>7499</v>
      </c>
      <c r="AG1850" s="0" t="s">
        <v>230</v>
      </c>
    </row>
    <row r="1851" customFormat="false" ht="15" hidden="false" customHeight="false" outlineLevel="0" collapsed="false">
      <c r="A1851" s="0" t="s">
        <v>7336</v>
      </c>
      <c r="B1851" s="0" t="s">
        <v>6721</v>
      </c>
      <c r="C1851" s="0" t="s">
        <v>6722</v>
      </c>
      <c r="D1851" s="0" t="s">
        <v>2431</v>
      </c>
      <c r="E1851" s="0" t="s">
        <v>6723</v>
      </c>
      <c r="F1851" s="0" t="s">
        <v>6720</v>
      </c>
      <c r="G1851" s="0" t="s">
        <v>109</v>
      </c>
      <c r="H1851" s="0" t="s">
        <v>8511</v>
      </c>
      <c r="I1851" s="0" t="s">
        <v>7338</v>
      </c>
      <c r="J1851" s="0" t="s">
        <v>6557</v>
      </c>
      <c r="K1851" s="0" t="s">
        <v>7339</v>
      </c>
      <c r="L1851" s="0" t="s">
        <v>7340</v>
      </c>
      <c r="M1851" s="0" t="s">
        <v>8491</v>
      </c>
      <c r="N1851" s="0" t="s">
        <v>7342</v>
      </c>
      <c r="P1851" s="0" t="s">
        <v>229</v>
      </c>
      <c r="R1851" s="0" t="s">
        <v>7343</v>
      </c>
      <c r="S1851" s="0" t="s">
        <v>7344</v>
      </c>
      <c r="T1851" s="0" t="s">
        <v>681</v>
      </c>
      <c r="V1851" s="0" t="s">
        <v>34</v>
      </c>
      <c r="W1851" s="0" t="s">
        <v>36</v>
      </c>
      <c r="Y1851" s="0" t="s">
        <v>7495</v>
      </c>
      <c r="Z1851" s="0" t="s">
        <v>7496</v>
      </c>
      <c r="AA1851" s="0" t="s">
        <v>7497</v>
      </c>
      <c r="AB1851" s="0" t="s">
        <v>682</v>
      </c>
      <c r="AC1851" s="0" t="s">
        <v>7349</v>
      </c>
      <c r="AD1851" s="0" t="s">
        <v>7498</v>
      </c>
      <c r="AE1851" s="0" t="s">
        <v>7797</v>
      </c>
      <c r="AF1851" s="0" t="s">
        <v>7499</v>
      </c>
      <c r="AG1851" s="0" t="s">
        <v>230</v>
      </c>
    </row>
    <row r="1852" customFormat="false" ht="15" hidden="false" customHeight="false" outlineLevel="0" collapsed="false">
      <c r="A1852" s="0" t="s">
        <v>7336</v>
      </c>
      <c r="B1852" s="0" t="s">
        <v>6724</v>
      </c>
      <c r="C1852" s="0" t="s">
        <v>6725</v>
      </c>
      <c r="D1852" s="0" t="s">
        <v>2431</v>
      </c>
      <c r="E1852" s="0" t="s">
        <v>6726</v>
      </c>
      <c r="F1852" s="0" t="s">
        <v>6720</v>
      </c>
      <c r="G1852" s="0" t="s">
        <v>109</v>
      </c>
      <c r="H1852" s="0" t="s">
        <v>8511</v>
      </c>
      <c r="I1852" s="0" t="s">
        <v>7338</v>
      </c>
      <c r="J1852" s="0" t="s">
        <v>6557</v>
      </c>
      <c r="K1852" s="0" t="s">
        <v>7339</v>
      </c>
      <c r="L1852" s="0" t="s">
        <v>7340</v>
      </c>
      <c r="M1852" s="0" t="s">
        <v>8491</v>
      </c>
      <c r="N1852" s="0" t="s">
        <v>7342</v>
      </c>
      <c r="P1852" s="0" t="s">
        <v>229</v>
      </c>
      <c r="R1852" s="0" t="s">
        <v>7343</v>
      </c>
      <c r="S1852" s="0" t="s">
        <v>7344</v>
      </c>
      <c r="T1852" s="0" t="s">
        <v>228</v>
      </c>
      <c r="V1852" s="0" t="s">
        <v>34</v>
      </c>
      <c r="W1852" s="0" t="s">
        <v>38</v>
      </c>
      <c r="X1852" s="0" t="s">
        <v>7345</v>
      </c>
      <c r="Y1852" s="0" t="s">
        <v>7409</v>
      </c>
      <c r="Z1852" s="0" t="s">
        <v>7370</v>
      </c>
      <c r="AA1852" s="0" t="s">
        <v>7504</v>
      </c>
      <c r="AB1852" s="0" t="s">
        <v>231</v>
      </c>
      <c r="AC1852" s="0" t="s">
        <v>7349</v>
      </c>
      <c r="AD1852" s="0" t="s">
        <v>7505</v>
      </c>
      <c r="AE1852" s="0" t="s">
        <v>301</v>
      </c>
      <c r="AF1852" s="0" t="s">
        <v>7374</v>
      </c>
      <c r="AG1852" s="0" t="s">
        <v>230</v>
      </c>
    </row>
    <row r="1853" customFormat="false" ht="15" hidden="false" customHeight="false" outlineLevel="0" collapsed="false">
      <c r="A1853" s="0" t="s">
        <v>7336</v>
      </c>
      <c r="B1853" s="0" t="s">
        <v>6727</v>
      </c>
      <c r="C1853" s="0" t="s">
        <v>6728</v>
      </c>
      <c r="D1853" s="0" t="s">
        <v>2431</v>
      </c>
      <c r="E1853" s="0" t="s">
        <v>6729</v>
      </c>
      <c r="F1853" s="0" t="s">
        <v>6730</v>
      </c>
      <c r="G1853" s="0" t="s">
        <v>109</v>
      </c>
      <c r="H1853" s="0" t="s">
        <v>8512</v>
      </c>
      <c r="I1853" s="0" t="s">
        <v>7338</v>
      </c>
      <c r="J1853" s="0" t="s">
        <v>6557</v>
      </c>
      <c r="K1853" s="0" t="s">
        <v>7339</v>
      </c>
      <c r="L1853" s="0" t="s">
        <v>7340</v>
      </c>
      <c r="M1853" s="0" t="s">
        <v>8491</v>
      </c>
      <c r="N1853" s="0" t="s">
        <v>7342</v>
      </c>
      <c r="P1853" s="0" t="s">
        <v>229</v>
      </c>
      <c r="Q1853" s="0" t="s">
        <v>7354</v>
      </c>
      <c r="R1853" s="0" t="s">
        <v>7343</v>
      </c>
      <c r="S1853" s="0" t="s">
        <v>7344</v>
      </c>
      <c r="T1853" s="0" t="s">
        <v>681</v>
      </c>
      <c r="V1853" s="0" t="s">
        <v>90</v>
      </c>
      <c r="W1853" s="0" t="s">
        <v>92</v>
      </c>
      <c r="X1853" s="0" t="s">
        <v>7355</v>
      </c>
      <c r="Y1853" s="0" t="s">
        <v>7756</v>
      </c>
      <c r="Z1853" s="0" t="s">
        <v>8476</v>
      </c>
      <c r="AA1853" s="0" t="s">
        <v>8477</v>
      </c>
      <c r="AB1853" s="0" t="s">
        <v>4254</v>
      </c>
      <c r="AC1853" s="0" t="s">
        <v>7349</v>
      </c>
      <c r="AD1853" s="0" t="s">
        <v>8478</v>
      </c>
      <c r="AE1853" s="0" t="s">
        <v>92</v>
      </c>
      <c r="AF1853" s="0" t="s">
        <v>7374</v>
      </c>
      <c r="AG1853" s="0" t="s">
        <v>230</v>
      </c>
    </row>
    <row r="1854" customFormat="false" ht="15" hidden="false" customHeight="false" outlineLevel="0" collapsed="false">
      <c r="A1854" s="0" t="s">
        <v>7336</v>
      </c>
      <c r="B1854" s="0" t="s">
        <v>6731</v>
      </c>
      <c r="C1854" s="0" t="s">
        <v>6732</v>
      </c>
      <c r="D1854" s="0" t="s">
        <v>2431</v>
      </c>
      <c r="E1854" s="0" t="s">
        <v>6733</v>
      </c>
      <c r="F1854" s="0" t="s">
        <v>6730</v>
      </c>
      <c r="G1854" s="0" t="s">
        <v>109</v>
      </c>
      <c r="H1854" s="0" t="s">
        <v>8512</v>
      </c>
      <c r="I1854" s="0" t="s">
        <v>7338</v>
      </c>
      <c r="J1854" s="0" t="s">
        <v>6557</v>
      </c>
      <c r="K1854" s="0" t="s">
        <v>7339</v>
      </c>
      <c r="L1854" s="0" t="s">
        <v>7340</v>
      </c>
      <c r="M1854" s="0" t="s">
        <v>8491</v>
      </c>
      <c r="N1854" s="0" t="s">
        <v>7342</v>
      </c>
      <c r="P1854" s="0" t="s">
        <v>229</v>
      </c>
      <c r="R1854" s="0" t="s">
        <v>7343</v>
      </c>
      <c r="S1854" s="0" t="s">
        <v>7344</v>
      </c>
      <c r="T1854" s="0" t="s">
        <v>681</v>
      </c>
      <c r="V1854" s="0" t="s">
        <v>34</v>
      </c>
      <c r="W1854" s="0" t="s">
        <v>36</v>
      </c>
      <c r="Y1854" s="0" t="s">
        <v>7495</v>
      </c>
      <c r="Z1854" s="0" t="s">
        <v>7496</v>
      </c>
      <c r="AA1854" s="0" t="s">
        <v>7497</v>
      </c>
      <c r="AB1854" s="0" t="s">
        <v>682</v>
      </c>
      <c r="AC1854" s="0" t="s">
        <v>7349</v>
      </c>
      <c r="AD1854" s="0" t="s">
        <v>7498</v>
      </c>
      <c r="AE1854" s="0" t="s">
        <v>7778</v>
      </c>
      <c r="AF1854" s="0" t="s">
        <v>7499</v>
      </c>
      <c r="AG1854" s="0" t="s">
        <v>230</v>
      </c>
    </row>
    <row r="1855" customFormat="false" ht="15" hidden="false" customHeight="false" outlineLevel="0" collapsed="false">
      <c r="A1855" s="0" t="s">
        <v>7336</v>
      </c>
      <c r="B1855" s="0" t="s">
        <v>6734</v>
      </c>
      <c r="C1855" s="0" t="s">
        <v>6735</v>
      </c>
      <c r="D1855" s="0" t="s">
        <v>2431</v>
      </c>
      <c r="E1855" s="0" t="s">
        <v>6736</v>
      </c>
      <c r="F1855" s="0" t="s">
        <v>6730</v>
      </c>
      <c r="G1855" s="0" t="s">
        <v>109</v>
      </c>
      <c r="H1855" s="0" t="s">
        <v>8512</v>
      </c>
      <c r="I1855" s="0" t="s">
        <v>7338</v>
      </c>
      <c r="J1855" s="0" t="s">
        <v>6557</v>
      </c>
      <c r="K1855" s="0" t="s">
        <v>7339</v>
      </c>
      <c r="L1855" s="0" t="s">
        <v>7340</v>
      </c>
      <c r="M1855" s="0" t="s">
        <v>8491</v>
      </c>
      <c r="N1855" s="0" t="s">
        <v>7342</v>
      </c>
      <c r="P1855" s="0" t="s">
        <v>229</v>
      </c>
      <c r="R1855" s="0" t="s">
        <v>7343</v>
      </c>
      <c r="S1855" s="0" t="s">
        <v>7344</v>
      </c>
      <c r="T1855" s="0" t="s">
        <v>228</v>
      </c>
      <c r="V1855" s="0" t="s">
        <v>34</v>
      </c>
      <c r="W1855" s="0" t="s">
        <v>36</v>
      </c>
      <c r="Y1855" s="0" t="s">
        <v>7409</v>
      </c>
      <c r="Z1855" s="0" t="s">
        <v>7370</v>
      </c>
      <c r="AA1855" s="0" t="s">
        <v>7504</v>
      </c>
      <c r="AB1855" s="0" t="s">
        <v>231</v>
      </c>
      <c r="AC1855" s="0" t="s">
        <v>7349</v>
      </c>
      <c r="AD1855" s="0" t="s">
        <v>7505</v>
      </c>
      <c r="AE1855" s="0" t="s">
        <v>7779</v>
      </c>
      <c r="AF1855" s="0" t="s">
        <v>7374</v>
      </c>
      <c r="AG1855" s="0" t="s">
        <v>230</v>
      </c>
    </row>
    <row r="1856" customFormat="false" ht="15" hidden="false" customHeight="false" outlineLevel="0" collapsed="false">
      <c r="A1856" s="0" t="s">
        <v>7336</v>
      </c>
      <c r="B1856" s="0" t="s">
        <v>6737</v>
      </c>
      <c r="C1856" s="0" t="s">
        <v>6738</v>
      </c>
      <c r="D1856" s="0" t="s">
        <v>2431</v>
      </c>
      <c r="E1856" s="0" t="s">
        <v>6739</v>
      </c>
      <c r="F1856" s="0" t="s">
        <v>6740</v>
      </c>
      <c r="G1856" s="0" t="s">
        <v>109</v>
      </c>
      <c r="H1856" s="0" t="s">
        <v>8513</v>
      </c>
      <c r="I1856" s="0" t="s">
        <v>7338</v>
      </c>
      <c r="J1856" s="0" t="s">
        <v>6557</v>
      </c>
      <c r="K1856" s="0" t="s">
        <v>7339</v>
      </c>
      <c r="L1856" s="0" t="s">
        <v>7340</v>
      </c>
      <c r="M1856" s="0" t="s">
        <v>8491</v>
      </c>
      <c r="N1856" s="0" t="s">
        <v>7342</v>
      </c>
      <c r="P1856" s="0" t="s">
        <v>229</v>
      </c>
      <c r="Q1856" s="0" t="s">
        <v>7354</v>
      </c>
      <c r="R1856" s="0" t="s">
        <v>7343</v>
      </c>
      <c r="S1856" s="0" t="s">
        <v>7344</v>
      </c>
      <c r="T1856" s="0" t="s">
        <v>681</v>
      </c>
      <c r="V1856" s="0" t="s">
        <v>90</v>
      </c>
      <c r="W1856" s="0" t="s">
        <v>92</v>
      </c>
      <c r="X1856" s="0" t="s">
        <v>7355</v>
      </c>
      <c r="Y1856" s="0" t="s">
        <v>7756</v>
      </c>
      <c r="Z1856" s="0" t="s">
        <v>8476</v>
      </c>
      <c r="AA1856" s="0" t="s">
        <v>8477</v>
      </c>
      <c r="AB1856" s="0" t="s">
        <v>4254</v>
      </c>
      <c r="AC1856" s="0" t="s">
        <v>7349</v>
      </c>
      <c r="AD1856" s="0" t="s">
        <v>8478</v>
      </c>
      <c r="AE1856" s="0" t="s">
        <v>92</v>
      </c>
      <c r="AF1856" s="0" t="s">
        <v>7374</v>
      </c>
      <c r="AG1856" s="0" t="s">
        <v>230</v>
      </c>
    </row>
    <row r="1857" customFormat="false" ht="15" hidden="false" customHeight="false" outlineLevel="0" collapsed="false">
      <c r="A1857" s="0" t="s">
        <v>7336</v>
      </c>
      <c r="B1857" s="0" t="s">
        <v>6741</v>
      </c>
      <c r="C1857" s="0" t="s">
        <v>6742</v>
      </c>
      <c r="D1857" s="0" t="s">
        <v>2431</v>
      </c>
      <c r="E1857" s="0" t="s">
        <v>6743</v>
      </c>
      <c r="F1857" s="0" t="s">
        <v>6740</v>
      </c>
      <c r="G1857" s="0" t="s">
        <v>109</v>
      </c>
      <c r="H1857" s="0" t="s">
        <v>8513</v>
      </c>
      <c r="I1857" s="0" t="s">
        <v>7338</v>
      </c>
      <c r="J1857" s="0" t="s">
        <v>6557</v>
      </c>
      <c r="K1857" s="0" t="s">
        <v>7339</v>
      </c>
      <c r="L1857" s="0" t="s">
        <v>7340</v>
      </c>
      <c r="M1857" s="0" t="s">
        <v>8491</v>
      </c>
      <c r="N1857" s="0" t="s">
        <v>7342</v>
      </c>
      <c r="P1857" s="0" t="s">
        <v>229</v>
      </c>
      <c r="R1857" s="0" t="s">
        <v>7343</v>
      </c>
      <c r="S1857" s="0" t="s">
        <v>7344</v>
      </c>
      <c r="T1857" s="0" t="s">
        <v>681</v>
      </c>
      <c r="V1857" s="0" t="s">
        <v>34</v>
      </c>
      <c r="W1857" s="0" t="s">
        <v>36</v>
      </c>
      <c r="Y1857" s="0" t="s">
        <v>7495</v>
      </c>
      <c r="Z1857" s="0" t="s">
        <v>7496</v>
      </c>
      <c r="AA1857" s="0" t="s">
        <v>7497</v>
      </c>
      <c r="AB1857" s="0" t="s">
        <v>682</v>
      </c>
      <c r="AC1857" s="0" t="s">
        <v>7349</v>
      </c>
      <c r="AD1857" s="0" t="s">
        <v>7498</v>
      </c>
      <c r="AE1857" s="0" t="s">
        <v>7778</v>
      </c>
      <c r="AF1857" s="0" t="s">
        <v>7499</v>
      </c>
      <c r="AG1857" s="0" t="s">
        <v>230</v>
      </c>
    </row>
    <row r="1858" customFormat="false" ht="15" hidden="false" customHeight="false" outlineLevel="0" collapsed="false">
      <c r="A1858" s="0" t="s">
        <v>7336</v>
      </c>
      <c r="B1858" s="0" t="s">
        <v>6744</v>
      </c>
      <c r="C1858" s="0" t="s">
        <v>6745</v>
      </c>
      <c r="D1858" s="0" t="s">
        <v>2431</v>
      </c>
      <c r="E1858" s="0" t="s">
        <v>6746</v>
      </c>
      <c r="F1858" s="0" t="s">
        <v>6740</v>
      </c>
      <c r="G1858" s="0" t="s">
        <v>109</v>
      </c>
      <c r="H1858" s="0" t="s">
        <v>8513</v>
      </c>
      <c r="I1858" s="0" t="s">
        <v>7338</v>
      </c>
      <c r="J1858" s="0" t="s">
        <v>6557</v>
      </c>
      <c r="K1858" s="0" t="s">
        <v>7339</v>
      </c>
      <c r="L1858" s="0" t="s">
        <v>7340</v>
      </c>
      <c r="M1858" s="0" t="s">
        <v>8491</v>
      </c>
      <c r="N1858" s="0" t="s">
        <v>7342</v>
      </c>
      <c r="P1858" s="0" t="s">
        <v>229</v>
      </c>
      <c r="R1858" s="0" t="s">
        <v>7343</v>
      </c>
      <c r="S1858" s="0" t="s">
        <v>7344</v>
      </c>
      <c r="T1858" s="0" t="s">
        <v>228</v>
      </c>
      <c r="V1858" s="0" t="s">
        <v>34</v>
      </c>
      <c r="W1858" s="0" t="s">
        <v>36</v>
      </c>
      <c r="Y1858" s="0" t="s">
        <v>7409</v>
      </c>
      <c r="Z1858" s="0" t="s">
        <v>7370</v>
      </c>
      <c r="AA1858" s="0" t="s">
        <v>7504</v>
      </c>
      <c r="AB1858" s="0" t="s">
        <v>231</v>
      </c>
      <c r="AC1858" s="0" t="s">
        <v>7349</v>
      </c>
      <c r="AD1858" s="0" t="s">
        <v>7505</v>
      </c>
      <c r="AE1858" s="0" t="s">
        <v>7779</v>
      </c>
      <c r="AF1858" s="0" t="s">
        <v>7374</v>
      </c>
      <c r="AG1858" s="0" t="s">
        <v>230</v>
      </c>
    </row>
    <row r="1859" customFormat="false" ht="15" hidden="false" customHeight="false" outlineLevel="0" collapsed="false">
      <c r="A1859" s="0" t="s">
        <v>7336</v>
      </c>
      <c r="B1859" s="0" t="s">
        <v>6747</v>
      </c>
      <c r="C1859" s="0" t="s">
        <v>6748</v>
      </c>
      <c r="D1859" s="0" t="s">
        <v>2431</v>
      </c>
      <c r="E1859" s="0" t="s">
        <v>6749</v>
      </c>
      <c r="F1859" s="0" t="s">
        <v>6598</v>
      </c>
      <c r="G1859" s="0" t="s">
        <v>109</v>
      </c>
      <c r="H1859" s="0" t="s">
        <v>8496</v>
      </c>
      <c r="I1859" s="0" t="s">
        <v>7338</v>
      </c>
      <c r="J1859" s="0" t="s">
        <v>6557</v>
      </c>
      <c r="K1859" s="0" t="s">
        <v>7339</v>
      </c>
      <c r="L1859" s="0" t="s">
        <v>7340</v>
      </c>
      <c r="M1859" s="0" t="s">
        <v>8491</v>
      </c>
      <c r="N1859" s="0" t="s">
        <v>7342</v>
      </c>
      <c r="P1859" s="0" t="s">
        <v>229</v>
      </c>
      <c r="Q1859" s="0" t="s">
        <v>7354</v>
      </c>
      <c r="R1859" s="0" t="s">
        <v>7343</v>
      </c>
      <c r="S1859" s="0" t="s">
        <v>7344</v>
      </c>
      <c r="T1859" s="0" t="s">
        <v>681</v>
      </c>
      <c r="V1859" s="0" t="s">
        <v>90</v>
      </c>
      <c r="W1859" s="0" t="s">
        <v>92</v>
      </c>
      <c r="X1859" s="0" t="s">
        <v>7355</v>
      </c>
      <c r="Y1859" s="0" t="s">
        <v>7756</v>
      </c>
      <c r="Z1859" s="0" t="s">
        <v>8476</v>
      </c>
      <c r="AA1859" s="0" t="s">
        <v>8477</v>
      </c>
      <c r="AB1859" s="0" t="s">
        <v>4254</v>
      </c>
      <c r="AC1859" s="0" t="s">
        <v>7349</v>
      </c>
      <c r="AD1859" s="0" t="s">
        <v>8478</v>
      </c>
      <c r="AE1859" s="0" t="s">
        <v>92</v>
      </c>
      <c r="AF1859" s="0" t="s">
        <v>7374</v>
      </c>
      <c r="AG1859" s="0" t="s">
        <v>230</v>
      </c>
    </row>
    <row r="1860" customFormat="false" ht="15" hidden="false" customHeight="false" outlineLevel="0" collapsed="false">
      <c r="A1860" s="0" t="s">
        <v>7336</v>
      </c>
      <c r="B1860" s="0" t="s">
        <v>6750</v>
      </c>
      <c r="C1860" s="0" t="s">
        <v>6751</v>
      </c>
      <c r="D1860" s="0" t="s">
        <v>227</v>
      </c>
      <c r="E1860" s="0" t="s">
        <v>6752</v>
      </c>
      <c r="F1860" s="0" t="s">
        <v>6753</v>
      </c>
      <c r="G1860" s="0" t="s">
        <v>176</v>
      </c>
      <c r="H1860" s="0" t="s">
        <v>8514</v>
      </c>
      <c r="I1860" s="0" t="s">
        <v>7338</v>
      </c>
      <c r="J1860" s="0" t="s">
        <v>6754</v>
      </c>
      <c r="K1860" s="0" t="s">
        <v>7339</v>
      </c>
      <c r="L1860" s="0" t="s">
        <v>7340</v>
      </c>
      <c r="M1860" s="0" t="s">
        <v>7341</v>
      </c>
      <c r="N1860" s="0" t="s">
        <v>7342</v>
      </c>
    </row>
    <row r="1861" customFormat="false" ht="15" hidden="false" customHeight="false" outlineLevel="0" collapsed="false">
      <c r="A1861" s="0" t="s">
        <v>7336</v>
      </c>
      <c r="B1861" s="0" t="s">
        <v>6755</v>
      </c>
      <c r="C1861" s="0" t="s">
        <v>6756</v>
      </c>
      <c r="D1861" s="0" t="s">
        <v>227</v>
      </c>
      <c r="E1861" s="0" t="s">
        <v>6757</v>
      </c>
      <c r="F1861" s="0" t="s">
        <v>6758</v>
      </c>
      <c r="G1861" s="0" t="s">
        <v>176</v>
      </c>
      <c r="H1861" s="0" t="s">
        <v>8515</v>
      </c>
      <c r="I1861" s="0" t="s">
        <v>7338</v>
      </c>
      <c r="J1861" s="0" t="s">
        <v>6754</v>
      </c>
      <c r="K1861" s="0" t="s">
        <v>7339</v>
      </c>
      <c r="L1861" s="0" t="s">
        <v>7340</v>
      </c>
      <c r="M1861" s="0" t="s">
        <v>7341</v>
      </c>
      <c r="N1861" s="0" t="s">
        <v>7342</v>
      </c>
    </row>
    <row r="1862" customFormat="false" ht="15" hidden="false" customHeight="false" outlineLevel="0" collapsed="false">
      <c r="A1862" s="0" t="s">
        <v>7336</v>
      </c>
      <c r="B1862" s="0" t="s">
        <v>6759</v>
      </c>
      <c r="C1862" s="0" t="s">
        <v>6760</v>
      </c>
      <c r="D1862" s="0" t="s">
        <v>227</v>
      </c>
      <c r="E1862" s="0" t="s">
        <v>6761</v>
      </c>
      <c r="F1862" s="0" t="s">
        <v>6762</v>
      </c>
      <c r="G1862" s="0" t="s">
        <v>176</v>
      </c>
      <c r="H1862" s="0" t="s">
        <v>8516</v>
      </c>
      <c r="I1862" s="0" t="s">
        <v>7338</v>
      </c>
      <c r="J1862" s="0" t="s">
        <v>6754</v>
      </c>
      <c r="K1862" s="0" t="s">
        <v>7339</v>
      </c>
      <c r="L1862" s="0" t="s">
        <v>7340</v>
      </c>
      <c r="M1862" s="0" t="s">
        <v>7341</v>
      </c>
      <c r="N1862" s="0" t="s">
        <v>7342</v>
      </c>
    </row>
    <row r="1863" customFormat="false" ht="15" hidden="false" customHeight="false" outlineLevel="0" collapsed="false">
      <c r="A1863" s="0" t="s">
        <v>7336</v>
      </c>
      <c r="B1863" s="0" t="s">
        <v>6763</v>
      </c>
      <c r="C1863" s="0" t="s">
        <v>6764</v>
      </c>
      <c r="D1863" s="0" t="s">
        <v>227</v>
      </c>
      <c r="E1863" s="0" t="s">
        <v>6765</v>
      </c>
      <c r="F1863" s="0" t="s">
        <v>6766</v>
      </c>
      <c r="G1863" s="0" t="s">
        <v>176</v>
      </c>
      <c r="H1863" s="0" t="s">
        <v>8517</v>
      </c>
      <c r="I1863" s="0" t="s">
        <v>7338</v>
      </c>
      <c r="J1863" s="0" t="s">
        <v>6754</v>
      </c>
      <c r="K1863" s="0" t="s">
        <v>7339</v>
      </c>
      <c r="L1863" s="0" t="s">
        <v>7340</v>
      </c>
      <c r="M1863" s="0" t="s">
        <v>7341</v>
      </c>
      <c r="N1863" s="0" t="s">
        <v>7342</v>
      </c>
    </row>
    <row r="1864" customFormat="false" ht="15" hidden="false" customHeight="false" outlineLevel="0" collapsed="false">
      <c r="A1864" s="0" t="s">
        <v>7336</v>
      </c>
      <c r="B1864" s="0" t="s">
        <v>6767</v>
      </c>
      <c r="C1864" s="0" t="s">
        <v>6768</v>
      </c>
      <c r="D1864" s="0" t="s">
        <v>227</v>
      </c>
      <c r="E1864" s="0" t="s">
        <v>6769</v>
      </c>
      <c r="F1864" s="0" t="s">
        <v>6770</v>
      </c>
      <c r="G1864" s="0" t="s">
        <v>176</v>
      </c>
      <c r="H1864" s="0" t="s">
        <v>8518</v>
      </c>
      <c r="I1864" s="0" t="s">
        <v>7338</v>
      </c>
      <c r="J1864" s="0" t="s">
        <v>6754</v>
      </c>
      <c r="K1864" s="0" t="s">
        <v>7339</v>
      </c>
      <c r="L1864" s="0" t="s">
        <v>7340</v>
      </c>
      <c r="M1864" s="0" t="s">
        <v>7341</v>
      </c>
      <c r="N1864" s="0" t="s">
        <v>7342</v>
      </c>
    </row>
    <row r="1865" customFormat="false" ht="15" hidden="false" customHeight="false" outlineLevel="0" collapsed="false">
      <c r="A1865" s="0" t="s">
        <v>7336</v>
      </c>
      <c r="B1865" s="0" t="s">
        <v>6771</v>
      </c>
      <c r="C1865" s="0" t="s">
        <v>6772</v>
      </c>
      <c r="D1865" s="0" t="s">
        <v>227</v>
      </c>
      <c r="E1865" s="0" t="s">
        <v>6773</v>
      </c>
      <c r="F1865" s="0" t="s">
        <v>6774</v>
      </c>
      <c r="G1865" s="0" t="s">
        <v>176</v>
      </c>
      <c r="H1865" s="0" t="s">
        <v>8519</v>
      </c>
      <c r="I1865" s="0" t="s">
        <v>7338</v>
      </c>
      <c r="J1865" s="0" t="s">
        <v>6754</v>
      </c>
      <c r="K1865" s="0" t="s">
        <v>7339</v>
      </c>
      <c r="L1865" s="0" t="s">
        <v>7340</v>
      </c>
      <c r="M1865" s="0" t="s">
        <v>7341</v>
      </c>
      <c r="N1865" s="0" t="s">
        <v>7342</v>
      </c>
    </row>
    <row r="1866" customFormat="false" ht="15" hidden="false" customHeight="false" outlineLevel="0" collapsed="false">
      <c r="A1866" s="0" t="s">
        <v>7336</v>
      </c>
      <c r="B1866" s="0" t="s">
        <v>6775</v>
      </c>
      <c r="C1866" s="0" t="s">
        <v>6776</v>
      </c>
      <c r="D1866" s="0" t="s">
        <v>227</v>
      </c>
      <c r="E1866" s="0" t="s">
        <v>6777</v>
      </c>
      <c r="F1866" s="0" t="s">
        <v>6778</v>
      </c>
      <c r="G1866" s="0" t="s">
        <v>182</v>
      </c>
      <c r="H1866" s="0" t="s">
        <v>8520</v>
      </c>
      <c r="I1866" s="0" t="s">
        <v>7338</v>
      </c>
      <c r="J1866" s="0" t="s">
        <v>6754</v>
      </c>
      <c r="K1866" s="0" t="s">
        <v>7339</v>
      </c>
      <c r="L1866" s="0" t="s">
        <v>7340</v>
      </c>
      <c r="M1866" s="0" t="s">
        <v>7341</v>
      </c>
      <c r="N1866" s="0" t="s">
        <v>7342</v>
      </c>
    </row>
    <row r="1867" customFormat="false" ht="15" hidden="false" customHeight="false" outlineLevel="0" collapsed="false">
      <c r="A1867" s="0" t="s">
        <v>7336</v>
      </c>
      <c r="B1867" s="0" t="s">
        <v>6779</v>
      </c>
      <c r="C1867" s="0" t="s">
        <v>6780</v>
      </c>
      <c r="D1867" s="0" t="s">
        <v>227</v>
      </c>
      <c r="E1867" s="0" t="s">
        <v>6781</v>
      </c>
      <c r="F1867" s="0" t="s">
        <v>6782</v>
      </c>
      <c r="G1867" s="0" t="s">
        <v>182</v>
      </c>
      <c r="H1867" s="0" t="s">
        <v>8521</v>
      </c>
      <c r="I1867" s="0" t="s">
        <v>7338</v>
      </c>
      <c r="J1867" s="0" t="s">
        <v>6754</v>
      </c>
      <c r="K1867" s="0" t="s">
        <v>7339</v>
      </c>
      <c r="L1867" s="0" t="s">
        <v>7340</v>
      </c>
      <c r="M1867" s="0" t="s">
        <v>7341</v>
      </c>
      <c r="N1867" s="0" t="s">
        <v>7342</v>
      </c>
    </row>
    <row r="1868" customFormat="false" ht="15" hidden="false" customHeight="false" outlineLevel="0" collapsed="false">
      <c r="A1868" s="0" t="s">
        <v>7336</v>
      </c>
      <c r="B1868" s="0" t="s">
        <v>6783</v>
      </c>
      <c r="C1868" s="0" t="s">
        <v>6784</v>
      </c>
      <c r="D1868" s="0" t="s">
        <v>227</v>
      </c>
      <c r="E1868" s="0" t="s">
        <v>6785</v>
      </c>
      <c r="F1868" s="0" t="s">
        <v>6786</v>
      </c>
      <c r="G1868" s="0" t="s">
        <v>182</v>
      </c>
      <c r="H1868" s="0" t="s">
        <v>8522</v>
      </c>
      <c r="I1868" s="0" t="s">
        <v>7338</v>
      </c>
      <c r="J1868" s="0" t="s">
        <v>6754</v>
      </c>
      <c r="K1868" s="0" t="s">
        <v>7339</v>
      </c>
      <c r="L1868" s="0" t="s">
        <v>7340</v>
      </c>
      <c r="M1868" s="0" t="s">
        <v>7341</v>
      </c>
      <c r="N1868" s="0" t="s">
        <v>7342</v>
      </c>
    </row>
    <row r="1869" customFormat="false" ht="15" hidden="false" customHeight="false" outlineLevel="0" collapsed="false">
      <c r="A1869" s="0" t="s">
        <v>7336</v>
      </c>
      <c r="B1869" s="0" t="s">
        <v>6787</v>
      </c>
      <c r="C1869" s="0" t="s">
        <v>6788</v>
      </c>
      <c r="D1869" s="0" t="s">
        <v>227</v>
      </c>
      <c r="E1869" s="0" t="s">
        <v>6789</v>
      </c>
      <c r="F1869" s="0" t="s">
        <v>6790</v>
      </c>
      <c r="G1869" s="0" t="s">
        <v>182</v>
      </c>
      <c r="H1869" s="0" t="s">
        <v>8523</v>
      </c>
      <c r="I1869" s="0" t="s">
        <v>7338</v>
      </c>
      <c r="J1869" s="0" t="s">
        <v>6754</v>
      </c>
      <c r="K1869" s="0" t="s">
        <v>7339</v>
      </c>
      <c r="L1869" s="0" t="s">
        <v>7340</v>
      </c>
      <c r="M1869" s="0" t="s">
        <v>7341</v>
      </c>
      <c r="N1869" s="0" t="s">
        <v>7342</v>
      </c>
    </row>
    <row r="1870" customFormat="false" ht="15" hidden="false" customHeight="false" outlineLevel="0" collapsed="false">
      <c r="A1870" s="0" t="s">
        <v>7336</v>
      </c>
      <c r="B1870" s="0" t="s">
        <v>6791</v>
      </c>
      <c r="C1870" s="0" t="s">
        <v>6792</v>
      </c>
      <c r="D1870" s="0" t="s">
        <v>227</v>
      </c>
      <c r="E1870" s="0" t="s">
        <v>6793</v>
      </c>
      <c r="F1870" s="0" t="s">
        <v>6794</v>
      </c>
      <c r="G1870" s="0" t="s">
        <v>182</v>
      </c>
      <c r="H1870" s="0" t="s">
        <v>8524</v>
      </c>
      <c r="I1870" s="0" t="s">
        <v>7338</v>
      </c>
      <c r="J1870" s="0" t="s">
        <v>6754</v>
      </c>
      <c r="K1870" s="0" t="s">
        <v>7339</v>
      </c>
      <c r="L1870" s="0" t="s">
        <v>7340</v>
      </c>
      <c r="M1870" s="0" t="s">
        <v>7341</v>
      </c>
      <c r="N1870" s="0" t="s">
        <v>7342</v>
      </c>
    </row>
    <row r="1871" customFormat="false" ht="15" hidden="false" customHeight="false" outlineLevel="0" collapsed="false">
      <c r="A1871" s="0" t="s">
        <v>7336</v>
      </c>
      <c r="B1871" s="0" t="s">
        <v>6795</v>
      </c>
      <c r="C1871" s="0" t="s">
        <v>6796</v>
      </c>
      <c r="D1871" s="0" t="s">
        <v>2983</v>
      </c>
      <c r="E1871" s="0" t="s">
        <v>6797</v>
      </c>
      <c r="F1871" s="0" t="s">
        <v>6798</v>
      </c>
      <c r="G1871" s="0" t="s">
        <v>136</v>
      </c>
      <c r="H1871" s="0" t="s">
        <v>8525</v>
      </c>
      <c r="I1871" s="0" t="s">
        <v>7338</v>
      </c>
      <c r="J1871" s="0" t="s">
        <v>6799</v>
      </c>
      <c r="K1871" s="0" t="s">
        <v>7339</v>
      </c>
      <c r="L1871" s="0" t="s">
        <v>7340</v>
      </c>
      <c r="M1871" s="0" t="s">
        <v>8526</v>
      </c>
      <c r="N1871" s="0" t="s">
        <v>7342</v>
      </c>
      <c r="P1871" s="0" t="s">
        <v>229</v>
      </c>
      <c r="R1871" s="0" t="s">
        <v>7435</v>
      </c>
      <c r="S1871" s="0" t="s">
        <v>7344</v>
      </c>
      <c r="T1871" s="0" t="s">
        <v>681</v>
      </c>
      <c r="V1871" s="0" t="s">
        <v>61</v>
      </c>
      <c r="W1871" s="0" t="s">
        <v>63</v>
      </c>
      <c r="X1871" s="0" t="s">
        <v>7355</v>
      </c>
      <c r="Y1871" s="0" t="s">
        <v>7459</v>
      </c>
      <c r="Z1871" s="0" t="s">
        <v>7591</v>
      </c>
      <c r="AA1871" s="0" t="s">
        <v>8141</v>
      </c>
      <c r="AB1871" s="0" t="s">
        <v>231</v>
      </c>
      <c r="AC1871" s="0" t="s">
        <v>7349</v>
      </c>
      <c r="AD1871" s="0" t="s">
        <v>7604</v>
      </c>
      <c r="AE1871" s="0" t="s">
        <v>7440</v>
      </c>
      <c r="AF1871" s="0" t="s">
        <v>8143</v>
      </c>
      <c r="AG1871" s="0" t="s">
        <v>3198</v>
      </c>
    </row>
    <row r="1872" customFormat="false" ht="15" hidden="false" customHeight="false" outlineLevel="0" collapsed="false">
      <c r="A1872" s="0" t="s">
        <v>7336</v>
      </c>
      <c r="B1872" s="0" t="s">
        <v>6800</v>
      </c>
      <c r="C1872" s="0" t="s">
        <v>6801</v>
      </c>
      <c r="D1872" s="0" t="s">
        <v>2983</v>
      </c>
      <c r="E1872" s="0" t="s">
        <v>6802</v>
      </c>
      <c r="F1872" s="0" t="s">
        <v>6798</v>
      </c>
      <c r="G1872" s="0" t="s">
        <v>136</v>
      </c>
      <c r="H1872" s="0" t="s">
        <v>8525</v>
      </c>
      <c r="I1872" s="0" t="s">
        <v>7338</v>
      </c>
      <c r="J1872" s="0" t="s">
        <v>6799</v>
      </c>
      <c r="K1872" s="0" t="s">
        <v>7339</v>
      </c>
      <c r="L1872" s="0" t="s">
        <v>7340</v>
      </c>
      <c r="M1872" s="0" t="s">
        <v>8526</v>
      </c>
      <c r="N1872" s="0" t="s">
        <v>7342</v>
      </c>
      <c r="P1872" s="0" t="s">
        <v>229</v>
      </c>
      <c r="R1872" s="0" t="s">
        <v>7435</v>
      </c>
      <c r="S1872" s="0" t="s">
        <v>7344</v>
      </c>
      <c r="T1872" s="0" t="s">
        <v>681</v>
      </c>
      <c r="V1872" s="0" t="s">
        <v>61</v>
      </c>
      <c r="W1872" s="0" t="s">
        <v>63</v>
      </c>
      <c r="X1872" s="0" t="s">
        <v>7355</v>
      </c>
      <c r="Y1872" s="0" t="s">
        <v>7459</v>
      </c>
      <c r="Z1872" s="0" t="s">
        <v>7591</v>
      </c>
      <c r="AA1872" s="0" t="s">
        <v>8141</v>
      </c>
      <c r="AB1872" s="0" t="s">
        <v>231</v>
      </c>
      <c r="AC1872" s="0" t="s">
        <v>7349</v>
      </c>
      <c r="AD1872" s="0" t="s">
        <v>8445</v>
      </c>
      <c r="AE1872" s="0" t="s">
        <v>7440</v>
      </c>
      <c r="AF1872" s="0" t="s">
        <v>8143</v>
      </c>
      <c r="AG1872" s="0" t="s">
        <v>3198</v>
      </c>
    </row>
    <row r="1873" customFormat="false" ht="15" hidden="false" customHeight="false" outlineLevel="0" collapsed="false">
      <c r="A1873" s="0" t="s">
        <v>7336</v>
      </c>
      <c r="B1873" s="0" t="s">
        <v>6803</v>
      </c>
      <c r="C1873" s="0" t="s">
        <v>6804</v>
      </c>
      <c r="D1873" s="0" t="s">
        <v>2983</v>
      </c>
      <c r="E1873" s="0" t="s">
        <v>6805</v>
      </c>
      <c r="F1873" s="0" t="s">
        <v>6806</v>
      </c>
      <c r="G1873" s="0" t="s">
        <v>136</v>
      </c>
      <c r="H1873" s="0" t="s">
        <v>8527</v>
      </c>
      <c r="I1873" s="0" t="s">
        <v>7338</v>
      </c>
      <c r="J1873" s="0" t="s">
        <v>6799</v>
      </c>
      <c r="K1873" s="0" t="s">
        <v>7339</v>
      </c>
      <c r="L1873" s="0" t="s">
        <v>7340</v>
      </c>
      <c r="M1873" s="0" t="s">
        <v>8526</v>
      </c>
      <c r="N1873" s="0" t="s">
        <v>7342</v>
      </c>
      <c r="P1873" s="0" t="s">
        <v>229</v>
      </c>
      <c r="R1873" s="0" t="s">
        <v>7435</v>
      </c>
      <c r="S1873" s="0" t="s">
        <v>7344</v>
      </c>
      <c r="T1873" s="0" t="s">
        <v>681</v>
      </c>
      <c r="V1873" s="0" t="s">
        <v>61</v>
      </c>
      <c r="W1873" s="0" t="s">
        <v>63</v>
      </c>
      <c r="X1873" s="0" t="s">
        <v>7355</v>
      </c>
      <c r="Y1873" s="0" t="s">
        <v>7459</v>
      </c>
      <c r="Z1873" s="0" t="s">
        <v>7591</v>
      </c>
      <c r="AA1873" s="0" t="s">
        <v>8141</v>
      </c>
      <c r="AB1873" s="0" t="s">
        <v>231</v>
      </c>
      <c r="AC1873" s="0" t="s">
        <v>7349</v>
      </c>
      <c r="AD1873" s="0" t="s">
        <v>7604</v>
      </c>
      <c r="AE1873" s="0" t="s">
        <v>7440</v>
      </c>
      <c r="AF1873" s="0" t="s">
        <v>8143</v>
      </c>
      <c r="AG1873" s="0" t="s">
        <v>3198</v>
      </c>
    </row>
    <row r="1874" customFormat="false" ht="15" hidden="false" customHeight="false" outlineLevel="0" collapsed="false">
      <c r="A1874" s="0" t="s">
        <v>7336</v>
      </c>
      <c r="B1874" s="0" t="s">
        <v>6807</v>
      </c>
      <c r="C1874" s="0" t="s">
        <v>6808</v>
      </c>
      <c r="D1874" s="0" t="s">
        <v>2983</v>
      </c>
      <c r="E1874" s="0" t="s">
        <v>6809</v>
      </c>
      <c r="F1874" s="0" t="s">
        <v>6806</v>
      </c>
      <c r="G1874" s="0" t="s">
        <v>136</v>
      </c>
      <c r="H1874" s="0" t="s">
        <v>8527</v>
      </c>
      <c r="I1874" s="0" t="s">
        <v>7338</v>
      </c>
      <c r="J1874" s="0" t="s">
        <v>6799</v>
      </c>
      <c r="K1874" s="0" t="s">
        <v>7339</v>
      </c>
      <c r="L1874" s="0" t="s">
        <v>7340</v>
      </c>
      <c r="M1874" s="0" t="s">
        <v>8526</v>
      </c>
      <c r="N1874" s="0" t="s">
        <v>7342</v>
      </c>
      <c r="P1874" s="0" t="s">
        <v>229</v>
      </c>
      <c r="R1874" s="0" t="s">
        <v>7435</v>
      </c>
      <c r="S1874" s="0" t="s">
        <v>7344</v>
      </c>
      <c r="T1874" s="0" t="s">
        <v>681</v>
      </c>
      <c r="V1874" s="0" t="s">
        <v>61</v>
      </c>
      <c r="W1874" s="0" t="s">
        <v>63</v>
      </c>
      <c r="X1874" s="0" t="s">
        <v>7355</v>
      </c>
      <c r="Y1874" s="0" t="s">
        <v>7459</v>
      </c>
      <c r="Z1874" s="0" t="s">
        <v>7591</v>
      </c>
      <c r="AA1874" s="0" t="s">
        <v>8141</v>
      </c>
      <c r="AB1874" s="0" t="s">
        <v>231</v>
      </c>
      <c r="AC1874" s="0" t="s">
        <v>7349</v>
      </c>
      <c r="AD1874" s="0" t="s">
        <v>8445</v>
      </c>
      <c r="AE1874" s="0" t="s">
        <v>7440</v>
      </c>
      <c r="AF1874" s="0" t="s">
        <v>8143</v>
      </c>
      <c r="AG1874" s="0" t="s">
        <v>3198</v>
      </c>
    </row>
    <row r="1875" customFormat="false" ht="15" hidden="false" customHeight="false" outlineLevel="0" collapsed="false">
      <c r="A1875" s="0" t="s">
        <v>7336</v>
      </c>
      <c r="B1875" s="0" t="s">
        <v>6810</v>
      </c>
      <c r="C1875" s="0" t="s">
        <v>6811</v>
      </c>
      <c r="D1875" s="0" t="s">
        <v>2983</v>
      </c>
      <c r="E1875" s="0" t="s">
        <v>6812</v>
      </c>
      <c r="F1875" s="0" t="s">
        <v>6813</v>
      </c>
      <c r="G1875" s="0" t="s">
        <v>136</v>
      </c>
      <c r="H1875" s="0" t="s">
        <v>8528</v>
      </c>
      <c r="I1875" s="0" t="s">
        <v>7338</v>
      </c>
      <c r="J1875" s="0" t="s">
        <v>6799</v>
      </c>
      <c r="K1875" s="0" t="s">
        <v>7339</v>
      </c>
      <c r="L1875" s="0" t="s">
        <v>7340</v>
      </c>
      <c r="M1875" s="0" t="s">
        <v>8526</v>
      </c>
      <c r="N1875" s="0" t="s">
        <v>7342</v>
      </c>
      <c r="P1875" s="0" t="s">
        <v>229</v>
      </c>
      <c r="R1875" s="0" t="s">
        <v>7435</v>
      </c>
      <c r="S1875" s="0" t="s">
        <v>7344</v>
      </c>
      <c r="T1875" s="0" t="s">
        <v>681</v>
      </c>
      <c r="V1875" s="0" t="s">
        <v>61</v>
      </c>
      <c r="W1875" s="0" t="s">
        <v>63</v>
      </c>
      <c r="X1875" s="0" t="s">
        <v>7355</v>
      </c>
      <c r="Y1875" s="0" t="s">
        <v>7459</v>
      </c>
      <c r="Z1875" s="0" t="s">
        <v>8083</v>
      </c>
      <c r="AA1875" s="0" t="s">
        <v>8141</v>
      </c>
      <c r="AB1875" s="0" t="s">
        <v>231</v>
      </c>
      <c r="AC1875" s="0" t="s">
        <v>7349</v>
      </c>
      <c r="AD1875" s="0" t="s">
        <v>8176</v>
      </c>
      <c r="AE1875" s="0" t="s">
        <v>7462</v>
      </c>
      <c r="AF1875" s="0" t="s">
        <v>8143</v>
      </c>
      <c r="AG1875" s="0" t="s">
        <v>3198</v>
      </c>
    </row>
    <row r="1876" customFormat="false" ht="15" hidden="false" customHeight="false" outlineLevel="0" collapsed="false">
      <c r="A1876" s="0" t="s">
        <v>7336</v>
      </c>
      <c r="B1876" s="0" t="s">
        <v>6814</v>
      </c>
      <c r="C1876" s="0" t="s">
        <v>6815</v>
      </c>
      <c r="D1876" s="0" t="s">
        <v>2983</v>
      </c>
      <c r="E1876" s="0" t="s">
        <v>6816</v>
      </c>
      <c r="F1876" s="0" t="s">
        <v>6813</v>
      </c>
      <c r="G1876" s="0" t="s">
        <v>136</v>
      </c>
      <c r="H1876" s="0" t="s">
        <v>8528</v>
      </c>
      <c r="I1876" s="0" t="s">
        <v>7338</v>
      </c>
      <c r="J1876" s="0" t="s">
        <v>6799</v>
      </c>
      <c r="K1876" s="0" t="s">
        <v>7339</v>
      </c>
      <c r="L1876" s="0" t="s">
        <v>7340</v>
      </c>
      <c r="M1876" s="0" t="s">
        <v>8526</v>
      </c>
      <c r="N1876" s="0" t="s">
        <v>7342</v>
      </c>
      <c r="P1876" s="0" t="s">
        <v>229</v>
      </c>
      <c r="Q1876" s="0" t="s">
        <v>7354</v>
      </c>
      <c r="R1876" s="0" t="s">
        <v>7435</v>
      </c>
      <c r="S1876" s="0" t="s">
        <v>7344</v>
      </c>
      <c r="T1876" s="0" t="s">
        <v>681</v>
      </c>
      <c r="V1876" s="0" t="s">
        <v>61</v>
      </c>
      <c r="W1876" s="0" t="s">
        <v>63</v>
      </c>
      <c r="X1876" s="0" t="s">
        <v>7355</v>
      </c>
      <c r="Y1876" s="0" t="s">
        <v>7459</v>
      </c>
      <c r="Z1876" s="0" t="s">
        <v>8083</v>
      </c>
      <c r="AA1876" s="0" t="s">
        <v>7592</v>
      </c>
      <c r="AB1876" s="0" t="s">
        <v>231</v>
      </c>
      <c r="AC1876" s="0" t="s">
        <v>7349</v>
      </c>
      <c r="AD1876" s="0" t="s">
        <v>8529</v>
      </c>
      <c r="AE1876" s="0" t="s">
        <v>7462</v>
      </c>
      <c r="AF1876" s="0" t="s">
        <v>8143</v>
      </c>
      <c r="AG1876" s="0" t="s">
        <v>3198</v>
      </c>
    </row>
    <row r="1877" customFormat="false" ht="15" hidden="false" customHeight="false" outlineLevel="0" collapsed="false">
      <c r="A1877" s="0" t="s">
        <v>7336</v>
      </c>
      <c r="B1877" s="0" t="s">
        <v>6817</v>
      </c>
      <c r="C1877" s="0" t="s">
        <v>6818</v>
      </c>
      <c r="D1877" s="0" t="s">
        <v>2983</v>
      </c>
      <c r="E1877" s="0" t="s">
        <v>6819</v>
      </c>
      <c r="F1877" s="0" t="s">
        <v>6813</v>
      </c>
      <c r="G1877" s="0" t="s">
        <v>136</v>
      </c>
      <c r="H1877" s="0" t="s">
        <v>8528</v>
      </c>
      <c r="I1877" s="0" t="s">
        <v>7338</v>
      </c>
      <c r="J1877" s="0" t="s">
        <v>6799</v>
      </c>
      <c r="K1877" s="0" t="s">
        <v>7339</v>
      </c>
      <c r="L1877" s="0" t="s">
        <v>7340</v>
      </c>
      <c r="M1877" s="0" t="s">
        <v>8526</v>
      </c>
      <c r="N1877" s="0" t="s">
        <v>7342</v>
      </c>
      <c r="P1877" s="0" t="s">
        <v>229</v>
      </c>
      <c r="Q1877" s="0" t="s">
        <v>7354</v>
      </c>
      <c r="R1877" s="0" t="s">
        <v>7435</v>
      </c>
      <c r="S1877" s="0" t="s">
        <v>7344</v>
      </c>
      <c r="T1877" s="0" t="s">
        <v>681</v>
      </c>
      <c r="V1877" s="0" t="s">
        <v>61</v>
      </c>
      <c r="W1877" s="0" t="s">
        <v>63</v>
      </c>
      <c r="X1877" s="0" t="s">
        <v>7355</v>
      </c>
      <c r="Y1877" s="0" t="s">
        <v>7459</v>
      </c>
      <c r="Z1877" s="0" t="s">
        <v>8392</v>
      </c>
      <c r="AA1877" s="0" t="s">
        <v>7592</v>
      </c>
      <c r="AB1877" s="0" t="s">
        <v>231</v>
      </c>
      <c r="AC1877" s="0" t="s">
        <v>7349</v>
      </c>
      <c r="AD1877" s="0" t="s">
        <v>8530</v>
      </c>
      <c r="AE1877" s="0" t="s">
        <v>7440</v>
      </c>
      <c r="AF1877" s="0" t="s">
        <v>8143</v>
      </c>
      <c r="AG1877" s="0" t="s">
        <v>3198</v>
      </c>
    </row>
    <row r="1878" customFormat="false" ht="15" hidden="false" customHeight="false" outlineLevel="0" collapsed="false">
      <c r="A1878" s="0" t="s">
        <v>7336</v>
      </c>
      <c r="B1878" s="0" t="s">
        <v>6820</v>
      </c>
      <c r="C1878" s="0" t="s">
        <v>6821</v>
      </c>
      <c r="D1878" s="0" t="s">
        <v>227</v>
      </c>
      <c r="E1878" s="0" t="s">
        <v>6822</v>
      </c>
      <c r="F1878" s="0" t="s">
        <v>6823</v>
      </c>
      <c r="G1878" s="0" t="s">
        <v>174</v>
      </c>
      <c r="H1878" s="0" t="s">
        <v>8531</v>
      </c>
      <c r="I1878" s="0" t="s">
        <v>7338</v>
      </c>
      <c r="J1878" s="0" t="s">
        <v>6824</v>
      </c>
      <c r="K1878" s="0" t="s">
        <v>7339</v>
      </c>
      <c r="L1878" s="0" t="s">
        <v>7340</v>
      </c>
      <c r="M1878" s="0" t="s">
        <v>7661</v>
      </c>
      <c r="N1878" s="0" t="s">
        <v>7342</v>
      </c>
      <c r="P1878" s="0" t="s">
        <v>229</v>
      </c>
      <c r="Q1878" s="0" t="s">
        <v>7354</v>
      </c>
      <c r="R1878" s="0" t="s">
        <v>7343</v>
      </c>
      <c r="S1878" s="0" t="s">
        <v>7344</v>
      </c>
      <c r="T1878" s="0" t="s">
        <v>228</v>
      </c>
      <c r="V1878" s="0" t="s">
        <v>73</v>
      </c>
      <c r="W1878" s="0" t="s">
        <v>76</v>
      </c>
      <c r="X1878" s="0" t="s">
        <v>7355</v>
      </c>
      <c r="Y1878" s="0" t="s">
        <v>7356</v>
      </c>
      <c r="Z1878" s="0" t="s">
        <v>7357</v>
      </c>
      <c r="AA1878" s="0" t="s">
        <v>7358</v>
      </c>
      <c r="AB1878" s="0" t="s">
        <v>344</v>
      </c>
      <c r="AC1878" s="0" t="s">
        <v>7629</v>
      </c>
      <c r="AD1878" s="0" t="s">
        <v>7761</v>
      </c>
      <c r="AE1878" s="0" t="s">
        <v>7360</v>
      </c>
      <c r="AF1878" s="0" t="s">
        <v>7361</v>
      </c>
      <c r="AG1878" s="0" t="s">
        <v>230</v>
      </c>
    </row>
    <row r="1879" customFormat="false" ht="15" hidden="false" customHeight="false" outlineLevel="0" collapsed="false">
      <c r="A1879" s="0" t="s">
        <v>7336</v>
      </c>
      <c r="B1879" s="0" t="s">
        <v>6825</v>
      </c>
      <c r="C1879" s="0" t="s">
        <v>6826</v>
      </c>
      <c r="D1879" s="0" t="s">
        <v>227</v>
      </c>
      <c r="E1879" s="0" t="s">
        <v>6827</v>
      </c>
      <c r="F1879" s="0" t="s">
        <v>6828</v>
      </c>
      <c r="G1879" s="0" t="s">
        <v>174</v>
      </c>
      <c r="H1879" s="0" t="s">
        <v>8532</v>
      </c>
      <c r="I1879" s="0" t="s">
        <v>7338</v>
      </c>
      <c r="J1879" s="0" t="s">
        <v>6824</v>
      </c>
      <c r="K1879" s="0" t="s">
        <v>7339</v>
      </c>
      <c r="L1879" s="0" t="s">
        <v>7340</v>
      </c>
      <c r="M1879" s="0" t="s">
        <v>7661</v>
      </c>
      <c r="N1879" s="0" t="s">
        <v>7342</v>
      </c>
      <c r="P1879" s="0" t="s">
        <v>229</v>
      </c>
      <c r="Q1879" s="0" t="s">
        <v>7354</v>
      </c>
      <c r="R1879" s="0" t="s">
        <v>7343</v>
      </c>
      <c r="S1879" s="0" t="s">
        <v>7344</v>
      </c>
      <c r="T1879" s="0" t="s">
        <v>228</v>
      </c>
      <c r="V1879" s="0" t="s">
        <v>73</v>
      </c>
      <c r="W1879" s="0" t="s">
        <v>76</v>
      </c>
      <c r="X1879" s="0" t="s">
        <v>7355</v>
      </c>
      <c r="Y1879" s="0" t="s">
        <v>7356</v>
      </c>
      <c r="Z1879" s="0" t="s">
        <v>7357</v>
      </c>
      <c r="AA1879" s="0" t="s">
        <v>7358</v>
      </c>
      <c r="AB1879" s="0" t="s">
        <v>344</v>
      </c>
      <c r="AC1879" s="0" t="s">
        <v>7629</v>
      </c>
      <c r="AD1879" s="0" t="s">
        <v>7761</v>
      </c>
      <c r="AE1879" s="0" t="s">
        <v>7360</v>
      </c>
      <c r="AF1879" s="0" t="s">
        <v>7361</v>
      </c>
      <c r="AG1879" s="0" t="s">
        <v>230</v>
      </c>
    </row>
    <row r="1880" customFormat="false" ht="15" hidden="false" customHeight="false" outlineLevel="0" collapsed="false">
      <c r="A1880" s="0" t="s">
        <v>7336</v>
      </c>
      <c r="B1880" s="0" t="s">
        <v>6829</v>
      </c>
      <c r="C1880" s="0" t="s">
        <v>6830</v>
      </c>
      <c r="D1880" s="0" t="s">
        <v>227</v>
      </c>
      <c r="E1880" s="0" t="s">
        <v>6831</v>
      </c>
      <c r="F1880" s="0" t="s">
        <v>6832</v>
      </c>
      <c r="G1880" s="0" t="s">
        <v>174</v>
      </c>
      <c r="H1880" s="0" t="s">
        <v>8533</v>
      </c>
      <c r="I1880" s="0" t="s">
        <v>7338</v>
      </c>
      <c r="J1880" s="0" t="s">
        <v>6824</v>
      </c>
      <c r="K1880" s="0" t="s">
        <v>7339</v>
      </c>
      <c r="L1880" s="0" t="s">
        <v>7340</v>
      </c>
      <c r="M1880" s="0" t="s">
        <v>7661</v>
      </c>
      <c r="N1880" s="0" t="s">
        <v>7342</v>
      </c>
      <c r="P1880" s="0" t="s">
        <v>229</v>
      </c>
      <c r="Q1880" s="0" t="s">
        <v>7354</v>
      </c>
      <c r="R1880" s="0" t="s">
        <v>7343</v>
      </c>
      <c r="S1880" s="0" t="s">
        <v>7344</v>
      </c>
      <c r="T1880" s="0" t="s">
        <v>228</v>
      </c>
      <c r="V1880" s="0" t="s">
        <v>73</v>
      </c>
      <c r="W1880" s="0" t="s">
        <v>76</v>
      </c>
      <c r="X1880" s="0" t="s">
        <v>7355</v>
      </c>
      <c r="Y1880" s="0" t="s">
        <v>7356</v>
      </c>
      <c r="Z1880" s="0" t="s">
        <v>7357</v>
      </c>
      <c r="AA1880" s="0" t="s">
        <v>7358</v>
      </c>
      <c r="AB1880" s="0" t="s">
        <v>344</v>
      </c>
      <c r="AC1880" s="0" t="s">
        <v>7629</v>
      </c>
      <c r="AD1880" s="0" t="s">
        <v>7761</v>
      </c>
      <c r="AE1880" s="0" t="s">
        <v>7360</v>
      </c>
      <c r="AF1880" s="0" t="s">
        <v>7361</v>
      </c>
      <c r="AG1880" s="0" t="s">
        <v>230</v>
      </c>
    </row>
    <row r="1881" customFormat="false" ht="15" hidden="false" customHeight="false" outlineLevel="0" collapsed="false">
      <c r="A1881" s="0" t="s">
        <v>7336</v>
      </c>
      <c r="B1881" s="0" t="s">
        <v>6833</v>
      </c>
      <c r="C1881" s="0" t="s">
        <v>6834</v>
      </c>
      <c r="D1881" s="0" t="s">
        <v>227</v>
      </c>
      <c r="E1881" s="0" t="s">
        <v>6835</v>
      </c>
      <c r="F1881" s="0" t="s">
        <v>6836</v>
      </c>
      <c r="G1881" s="0" t="s">
        <v>174</v>
      </c>
      <c r="H1881" s="0" t="s">
        <v>8534</v>
      </c>
      <c r="I1881" s="0" t="s">
        <v>7338</v>
      </c>
      <c r="J1881" s="0" t="s">
        <v>6824</v>
      </c>
      <c r="K1881" s="0" t="s">
        <v>7339</v>
      </c>
      <c r="L1881" s="0" t="s">
        <v>7340</v>
      </c>
      <c r="M1881" s="0" t="s">
        <v>7661</v>
      </c>
      <c r="N1881" s="0" t="s">
        <v>7342</v>
      </c>
      <c r="P1881" s="0" t="s">
        <v>229</v>
      </c>
      <c r="Q1881" s="0" t="s">
        <v>7354</v>
      </c>
      <c r="R1881" s="0" t="s">
        <v>7343</v>
      </c>
      <c r="S1881" s="0" t="s">
        <v>7344</v>
      </c>
      <c r="T1881" s="0" t="s">
        <v>228</v>
      </c>
      <c r="V1881" s="0" t="s">
        <v>73</v>
      </c>
      <c r="W1881" s="0" t="s">
        <v>76</v>
      </c>
      <c r="X1881" s="0" t="s">
        <v>7355</v>
      </c>
      <c r="Y1881" s="0" t="s">
        <v>7356</v>
      </c>
      <c r="Z1881" s="0" t="s">
        <v>7357</v>
      </c>
      <c r="AA1881" s="0" t="s">
        <v>7358</v>
      </c>
      <c r="AB1881" s="0" t="s">
        <v>344</v>
      </c>
      <c r="AC1881" s="0" t="s">
        <v>7629</v>
      </c>
      <c r="AD1881" s="0" t="s">
        <v>7761</v>
      </c>
      <c r="AE1881" s="0" t="s">
        <v>7360</v>
      </c>
      <c r="AF1881" s="0" t="s">
        <v>7361</v>
      </c>
      <c r="AG1881" s="0" t="s">
        <v>230</v>
      </c>
    </row>
    <row r="1882" customFormat="false" ht="15" hidden="false" customHeight="false" outlineLevel="0" collapsed="false">
      <c r="A1882" s="0" t="s">
        <v>7336</v>
      </c>
      <c r="B1882" s="0" t="s">
        <v>6837</v>
      </c>
      <c r="C1882" s="0" t="s">
        <v>6838</v>
      </c>
      <c r="D1882" s="0" t="s">
        <v>227</v>
      </c>
      <c r="E1882" s="0" t="s">
        <v>6839</v>
      </c>
      <c r="F1882" s="0" t="s">
        <v>6840</v>
      </c>
      <c r="G1882" s="0" t="s">
        <v>174</v>
      </c>
      <c r="H1882" s="0" t="s">
        <v>8535</v>
      </c>
      <c r="I1882" s="0" t="s">
        <v>7338</v>
      </c>
      <c r="J1882" s="0" t="s">
        <v>6824</v>
      </c>
      <c r="K1882" s="0" t="s">
        <v>7339</v>
      </c>
      <c r="L1882" s="0" t="s">
        <v>7340</v>
      </c>
      <c r="M1882" s="0" t="s">
        <v>7661</v>
      </c>
      <c r="N1882" s="0" t="s">
        <v>7342</v>
      </c>
      <c r="P1882" s="0" t="s">
        <v>229</v>
      </c>
      <c r="Q1882" s="0" t="s">
        <v>7354</v>
      </c>
      <c r="R1882" s="0" t="s">
        <v>7343</v>
      </c>
      <c r="S1882" s="0" t="s">
        <v>7344</v>
      </c>
      <c r="T1882" s="0" t="s">
        <v>228</v>
      </c>
      <c r="V1882" s="0" t="s">
        <v>73</v>
      </c>
      <c r="W1882" s="0" t="s">
        <v>76</v>
      </c>
      <c r="X1882" s="0" t="s">
        <v>7355</v>
      </c>
      <c r="Y1882" s="0" t="s">
        <v>7356</v>
      </c>
      <c r="Z1882" s="0" t="s">
        <v>7357</v>
      </c>
      <c r="AA1882" s="0" t="s">
        <v>7358</v>
      </c>
      <c r="AB1882" s="0" t="s">
        <v>344</v>
      </c>
      <c r="AC1882" s="0" t="s">
        <v>7629</v>
      </c>
      <c r="AD1882" s="0" t="s">
        <v>7761</v>
      </c>
      <c r="AE1882" s="0" t="s">
        <v>7360</v>
      </c>
      <c r="AF1882" s="0" t="s">
        <v>7361</v>
      </c>
      <c r="AG1882" s="0" t="s">
        <v>230</v>
      </c>
    </row>
    <row r="1883" customFormat="false" ht="15" hidden="false" customHeight="false" outlineLevel="0" collapsed="false">
      <c r="A1883" s="0" t="s">
        <v>7336</v>
      </c>
      <c r="B1883" s="0" t="s">
        <v>6841</v>
      </c>
      <c r="C1883" s="0" t="s">
        <v>6842</v>
      </c>
      <c r="D1883" s="0" t="s">
        <v>300</v>
      </c>
      <c r="E1883" s="0" t="s">
        <v>6843</v>
      </c>
      <c r="F1883" s="0" t="s">
        <v>6844</v>
      </c>
      <c r="G1883" s="0" t="s">
        <v>6845</v>
      </c>
      <c r="H1883" s="0" t="s">
        <v>8536</v>
      </c>
      <c r="I1883" s="0" t="s">
        <v>7338</v>
      </c>
      <c r="J1883" s="0" t="s">
        <v>6846</v>
      </c>
      <c r="K1883" s="0" t="s">
        <v>7339</v>
      </c>
      <c r="L1883" s="0" t="s">
        <v>7340</v>
      </c>
      <c r="M1883" s="0" t="s">
        <v>8537</v>
      </c>
      <c r="N1883" s="0" t="s">
        <v>7342</v>
      </c>
      <c r="O1883" s="0" t="s">
        <v>7360</v>
      </c>
      <c r="P1883" s="0" t="s">
        <v>236</v>
      </c>
      <c r="Q1883" s="0" t="s">
        <v>7354</v>
      </c>
      <c r="R1883" s="0" t="s">
        <v>7343</v>
      </c>
      <c r="S1883" s="0" t="s">
        <v>7344</v>
      </c>
      <c r="T1883" s="0" t="s">
        <v>260</v>
      </c>
      <c r="U1883" s="0" t="s">
        <v>7369</v>
      </c>
      <c r="V1883" s="0" t="s">
        <v>34</v>
      </c>
      <c r="W1883" s="0" t="s">
        <v>53</v>
      </c>
      <c r="X1883" s="0" t="s">
        <v>7355</v>
      </c>
      <c r="Y1883" s="0" t="s">
        <v>7346</v>
      </c>
      <c r="Z1883" s="0" t="s">
        <v>7370</v>
      </c>
      <c r="AA1883" s="0" t="s">
        <v>7385</v>
      </c>
      <c r="AB1883" s="0" t="s">
        <v>262</v>
      </c>
      <c r="AC1883" s="0" t="s">
        <v>7629</v>
      </c>
      <c r="AD1883" s="0" t="s">
        <v>260</v>
      </c>
      <c r="AE1883" s="0" t="s">
        <v>681</v>
      </c>
      <c r="AG1883" s="0" t="s">
        <v>230</v>
      </c>
    </row>
    <row r="1884" customFormat="false" ht="15" hidden="false" customHeight="false" outlineLevel="0" collapsed="false">
      <c r="A1884" s="0" t="s">
        <v>7336</v>
      </c>
      <c r="B1884" s="0" t="s">
        <v>6847</v>
      </c>
      <c r="C1884" s="0" t="s">
        <v>6848</v>
      </c>
      <c r="D1884" s="0" t="s">
        <v>300</v>
      </c>
      <c r="E1884" s="0" t="s">
        <v>6849</v>
      </c>
      <c r="F1884" s="0" t="s">
        <v>6850</v>
      </c>
      <c r="G1884" s="0" t="s">
        <v>6845</v>
      </c>
      <c r="H1884" s="0" t="s">
        <v>8538</v>
      </c>
      <c r="I1884" s="0" t="s">
        <v>7338</v>
      </c>
      <c r="J1884" s="0" t="s">
        <v>6846</v>
      </c>
      <c r="K1884" s="0" t="s">
        <v>7339</v>
      </c>
      <c r="L1884" s="0" t="s">
        <v>7340</v>
      </c>
      <c r="M1884" s="0" t="s">
        <v>8537</v>
      </c>
      <c r="N1884" s="0" t="s">
        <v>7342</v>
      </c>
      <c r="O1884" s="0" t="s">
        <v>7360</v>
      </c>
      <c r="P1884" s="0" t="s">
        <v>236</v>
      </c>
      <c r="Q1884" s="0" t="s">
        <v>7354</v>
      </c>
      <c r="R1884" s="0" t="s">
        <v>7343</v>
      </c>
      <c r="S1884" s="0" t="s">
        <v>7344</v>
      </c>
      <c r="T1884" s="0" t="s">
        <v>260</v>
      </c>
      <c r="U1884" s="0" t="s">
        <v>7369</v>
      </c>
      <c r="V1884" s="0" t="s">
        <v>34</v>
      </c>
      <c r="W1884" s="0" t="s">
        <v>53</v>
      </c>
      <c r="X1884" s="0" t="s">
        <v>7355</v>
      </c>
      <c r="Y1884" s="0" t="s">
        <v>7346</v>
      </c>
      <c r="Z1884" s="0" t="s">
        <v>7370</v>
      </c>
      <c r="AA1884" s="0" t="s">
        <v>7385</v>
      </c>
      <c r="AB1884" s="0" t="s">
        <v>262</v>
      </c>
      <c r="AC1884" s="0" t="s">
        <v>7629</v>
      </c>
      <c r="AD1884" s="0" t="s">
        <v>260</v>
      </c>
      <c r="AE1884" s="0" t="s">
        <v>681</v>
      </c>
      <c r="AG1884" s="0" t="s">
        <v>230</v>
      </c>
    </row>
    <row r="1885" customFormat="false" ht="15" hidden="false" customHeight="false" outlineLevel="0" collapsed="false">
      <c r="A1885" s="0" t="s">
        <v>7336</v>
      </c>
      <c r="B1885" s="0" t="s">
        <v>6851</v>
      </c>
      <c r="C1885" s="0" t="s">
        <v>6852</v>
      </c>
      <c r="D1885" s="0" t="s">
        <v>300</v>
      </c>
      <c r="E1885" s="0" t="s">
        <v>6853</v>
      </c>
      <c r="F1885" s="0" t="s">
        <v>6844</v>
      </c>
      <c r="G1885" s="0" t="s">
        <v>6845</v>
      </c>
      <c r="H1885" s="0" t="s">
        <v>8536</v>
      </c>
      <c r="I1885" s="0" t="s">
        <v>7338</v>
      </c>
      <c r="J1885" s="0" t="s">
        <v>6846</v>
      </c>
      <c r="K1885" s="0" t="s">
        <v>7339</v>
      </c>
      <c r="L1885" s="0" t="s">
        <v>7340</v>
      </c>
      <c r="M1885" s="0" t="s">
        <v>8537</v>
      </c>
      <c r="N1885" s="0" t="s">
        <v>7342</v>
      </c>
      <c r="O1885" s="0" t="s">
        <v>7360</v>
      </c>
      <c r="P1885" s="0" t="s">
        <v>236</v>
      </c>
      <c r="Q1885" s="0" t="s">
        <v>7834</v>
      </c>
      <c r="S1885" s="0" t="s">
        <v>7344</v>
      </c>
      <c r="T1885" s="0" t="s">
        <v>2842</v>
      </c>
      <c r="V1885" s="0" t="s">
        <v>55</v>
      </c>
      <c r="W1885" s="0" t="s">
        <v>2146</v>
      </c>
      <c r="X1885" s="0" t="s">
        <v>7355</v>
      </c>
      <c r="Y1885" s="0" t="s">
        <v>7667</v>
      </c>
      <c r="Z1885" s="0" t="s">
        <v>7493</v>
      </c>
      <c r="AA1885" s="0" t="s">
        <v>7831</v>
      </c>
      <c r="AB1885" s="0" t="s">
        <v>344</v>
      </c>
      <c r="AC1885" s="0" t="s">
        <v>7629</v>
      </c>
      <c r="AD1885" s="0" t="s">
        <v>58</v>
      </c>
      <c r="AE1885" s="0" t="s">
        <v>2842</v>
      </c>
      <c r="AG1885" s="0" t="s">
        <v>230</v>
      </c>
    </row>
    <row r="1886" customFormat="false" ht="15" hidden="false" customHeight="false" outlineLevel="0" collapsed="false">
      <c r="A1886" s="0" t="s">
        <v>7336</v>
      </c>
      <c r="B1886" s="0" t="s">
        <v>6854</v>
      </c>
      <c r="C1886" s="0" t="s">
        <v>6855</v>
      </c>
      <c r="D1886" s="0" t="s">
        <v>300</v>
      </c>
      <c r="E1886" s="0" t="s">
        <v>6856</v>
      </c>
      <c r="F1886" s="0" t="s">
        <v>6850</v>
      </c>
      <c r="G1886" s="0" t="s">
        <v>6845</v>
      </c>
      <c r="H1886" s="0" t="s">
        <v>8538</v>
      </c>
      <c r="I1886" s="0" t="s">
        <v>7338</v>
      </c>
      <c r="J1886" s="0" t="s">
        <v>6846</v>
      </c>
      <c r="K1886" s="0" t="s">
        <v>7339</v>
      </c>
      <c r="L1886" s="0" t="s">
        <v>7340</v>
      </c>
      <c r="M1886" s="0" t="s">
        <v>8537</v>
      </c>
      <c r="N1886" s="0" t="s">
        <v>7342</v>
      </c>
      <c r="O1886" s="0" t="s">
        <v>7360</v>
      </c>
      <c r="P1886" s="0" t="s">
        <v>236</v>
      </c>
      <c r="Q1886" s="0" t="s">
        <v>7834</v>
      </c>
      <c r="S1886" s="0" t="s">
        <v>7344</v>
      </c>
      <c r="T1886" s="0" t="s">
        <v>2842</v>
      </c>
      <c r="V1886" s="0" t="s">
        <v>55</v>
      </c>
      <c r="W1886" s="0" t="s">
        <v>2146</v>
      </c>
      <c r="X1886" s="0" t="s">
        <v>7355</v>
      </c>
      <c r="Y1886" s="0" t="s">
        <v>7667</v>
      </c>
      <c r="Z1886" s="0" t="s">
        <v>7493</v>
      </c>
      <c r="AA1886" s="0" t="s">
        <v>7831</v>
      </c>
      <c r="AB1886" s="0" t="s">
        <v>344</v>
      </c>
      <c r="AC1886" s="0" t="s">
        <v>7629</v>
      </c>
      <c r="AD1886" s="0" t="s">
        <v>58</v>
      </c>
      <c r="AE1886" s="0" t="s">
        <v>2842</v>
      </c>
      <c r="AG1886" s="0" t="s">
        <v>230</v>
      </c>
    </row>
    <row r="1887" customFormat="false" ht="15" hidden="false" customHeight="false" outlineLevel="0" collapsed="false">
      <c r="A1887" s="0" t="s">
        <v>7336</v>
      </c>
      <c r="B1887" s="0" t="s">
        <v>6857</v>
      </c>
      <c r="C1887" s="0" t="s">
        <v>6858</v>
      </c>
      <c r="D1887" s="0" t="s">
        <v>300</v>
      </c>
      <c r="E1887" s="0" t="s">
        <v>6859</v>
      </c>
      <c r="F1887" s="0" t="s">
        <v>6860</v>
      </c>
      <c r="G1887" s="0" t="s">
        <v>6861</v>
      </c>
      <c r="H1887" s="0" t="s">
        <v>8539</v>
      </c>
      <c r="I1887" s="0" t="s">
        <v>7338</v>
      </c>
      <c r="J1887" s="0" t="s">
        <v>6862</v>
      </c>
      <c r="K1887" s="0" t="s">
        <v>7339</v>
      </c>
      <c r="L1887" s="0" t="s">
        <v>7340</v>
      </c>
      <c r="M1887" s="0" t="s">
        <v>8537</v>
      </c>
      <c r="N1887" s="0" t="s">
        <v>7342</v>
      </c>
      <c r="O1887" s="0" t="s">
        <v>7360</v>
      </c>
      <c r="P1887" s="0" t="s">
        <v>236</v>
      </c>
      <c r="Q1887" s="0" t="s">
        <v>7354</v>
      </c>
      <c r="R1887" s="0" t="s">
        <v>7343</v>
      </c>
      <c r="S1887" s="0" t="s">
        <v>7344</v>
      </c>
      <c r="T1887" s="0" t="s">
        <v>260</v>
      </c>
      <c r="U1887" s="0" t="s">
        <v>7369</v>
      </c>
      <c r="V1887" s="0" t="s">
        <v>34</v>
      </c>
      <c r="W1887" s="0" t="s">
        <v>53</v>
      </c>
      <c r="X1887" s="0" t="s">
        <v>7355</v>
      </c>
      <c r="Y1887" s="0" t="s">
        <v>7346</v>
      </c>
      <c r="Z1887" s="0" t="s">
        <v>7370</v>
      </c>
      <c r="AA1887" s="0" t="s">
        <v>7385</v>
      </c>
      <c r="AB1887" s="0" t="s">
        <v>262</v>
      </c>
      <c r="AC1887" s="0" t="s">
        <v>7629</v>
      </c>
      <c r="AD1887" s="0" t="s">
        <v>260</v>
      </c>
      <c r="AE1887" s="0" t="s">
        <v>681</v>
      </c>
      <c r="AG1887" s="0" t="s">
        <v>230</v>
      </c>
    </row>
    <row r="1888" customFormat="false" ht="15" hidden="false" customHeight="false" outlineLevel="0" collapsed="false">
      <c r="A1888" s="0" t="s">
        <v>7336</v>
      </c>
      <c r="B1888" s="0" t="s">
        <v>6863</v>
      </c>
      <c r="C1888" s="0" t="s">
        <v>6864</v>
      </c>
      <c r="D1888" s="0" t="s">
        <v>300</v>
      </c>
      <c r="E1888" s="0" t="s">
        <v>6865</v>
      </c>
      <c r="F1888" s="0" t="s">
        <v>6866</v>
      </c>
      <c r="G1888" s="0" t="s">
        <v>6861</v>
      </c>
      <c r="H1888" s="0" t="s">
        <v>8540</v>
      </c>
      <c r="I1888" s="0" t="s">
        <v>7338</v>
      </c>
      <c r="J1888" s="0" t="s">
        <v>6862</v>
      </c>
      <c r="K1888" s="0" t="s">
        <v>7339</v>
      </c>
      <c r="L1888" s="0" t="s">
        <v>7340</v>
      </c>
      <c r="M1888" s="0" t="s">
        <v>8537</v>
      </c>
      <c r="N1888" s="0" t="s">
        <v>7342</v>
      </c>
      <c r="O1888" s="0" t="s">
        <v>7360</v>
      </c>
      <c r="P1888" s="0" t="s">
        <v>236</v>
      </c>
      <c r="Q1888" s="0" t="s">
        <v>7354</v>
      </c>
      <c r="R1888" s="0" t="s">
        <v>7343</v>
      </c>
      <c r="S1888" s="0" t="s">
        <v>7344</v>
      </c>
      <c r="T1888" s="0" t="s">
        <v>260</v>
      </c>
      <c r="U1888" s="0" t="s">
        <v>7369</v>
      </c>
      <c r="V1888" s="0" t="s">
        <v>34</v>
      </c>
      <c r="W1888" s="0" t="s">
        <v>53</v>
      </c>
      <c r="X1888" s="0" t="s">
        <v>7355</v>
      </c>
      <c r="Y1888" s="0" t="s">
        <v>7346</v>
      </c>
      <c r="Z1888" s="0" t="s">
        <v>7370</v>
      </c>
      <c r="AA1888" s="0" t="s">
        <v>7385</v>
      </c>
      <c r="AB1888" s="0" t="s">
        <v>262</v>
      </c>
      <c r="AC1888" s="0" t="s">
        <v>7629</v>
      </c>
      <c r="AD1888" s="0" t="s">
        <v>260</v>
      </c>
      <c r="AE1888" s="0" t="s">
        <v>681</v>
      </c>
      <c r="AG1888" s="0" t="s">
        <v>230</v>
      </c>
    </row>
    <row r="1889" customFormat="false" ht="15" hidden="false" customHeight="false" outlineLevel="0" collapsed="false">
      <c r="A1889" s="0" t="s">
        <v>7336</v>
      </c>
      <c r="B1889" s="0" t="s">
        <v>6867</v>
      </c>
      <c r="C1889" s="0" t="s">
        <v>6868</v>
      </c>
      <c r="D1889" s="0" t="s">
        <v>300</v>
      </c>
      <c r="E1889" s="0" t="s">
        <v>6869</v>
      </c>
      <c r="F1889" s="0" t="s">
        <v>6860</v>
      </c>
      <c r="G1889" s="0" t="s">
        <v>6861</v>
      </c>
      <c r="H1889" s="0" t="s">
        <v>8539</v>
      </c>
      <c r="I1889" s="0" t="s">
        <v>7338</v>
      </c>
      <c r="J1889" s="0" t="s">
        <v>6862</v>
      </c>
      <c r="K1889" s="0" t="s">
        <v>7339</v>
      </c>
      <c r="L1889" s="0" t="s">
        <v>7340</v>
      </c>
      <c r="M1889" s="0" t="s">
        <v>8537</v>
      </c>
      <c r="N1889" s="0" t="s">
        <v>7342</v>
      </c>
      <c r="O1889" s="0" t="s">
        <v>7360</v>
      </c>
      <c r="P1889" s="0" t="s">
        <v>236</v>
      </c>
      <c r="Q1889" s="0" t="s">
        <v>7834</v>
      </c>
      <c r="S1889" s="0" t="s">
        <v>7344</v>
      </c>
      <c r="T1889" s="0" t="s">
        <v>2842</v>
      </c>
      <c r="V1889" s="0" t="s">
        <v>55</v>
      </c>
      <c r="W1889" s="0" t="s">
        <v>2146</v>
      </c>
      <c r="X1889" s="0" t="s">
        <v>7355</v>
      </c>
      <c r="Y1889" s="0" t="s">
        <v>7667</v>
      </c>
      <c r="Z1889" s="0" t="s">
        <v>7493</v>
      </c>
      <c r="AA1889" s="0" t="s">
        <v>7831</v>
      </c>
      <c r="AB1889" s="0" t="s">
        <v>344</v>
      </c>
      <c r="AC1889" s="0" t="s">
        <v>7629</v>
      </c>
      <c r="AD1889" s="0" t="s">
        <v>58</v>
      </c>
      <c r="AE1889" s="0" t="s">
        <v>2842</v>
      </c>
      <c r="AG1889" s="0" t="s">
        <v>230</v>
      </c>
    </row>
    <row r="1890" customFormat="false" ht="15" hidden="false" customHeight="false" outlineLevel="0" collapsed="false">
      <c r="A1890" s="0" t="s">
        <v>7336</v>
      </c>
      <c r="B1890" s="0" t="s">
        <v>6870</v>
      </c>
      <c r="C1890" s="0" t="s">
        <v>6871</v>
      </c>
      <c r="D1890" s="0" t="s">
        <v>300</v>
      </c>
      <c r="E1890" s="0" t="s">
        <v>6872</v>
      </c>
      <c r="F1890" s="0" t="s">
        <v>6866</v>
      </c>
      <c r="G1890" s="0" t="s">
        <v>6861</v>
      </c>
      <c r="H1890" s="0" t="s">
        <v>8540</v>
      </c>
      <c r="I1890" s="0" t="s">
        <v>7338</v>
      </c>
      <c r="J1890" s="0" t="s">
        <v>6862</v>
      </c>
      <c r="K1890" s="0" t="s">
        <v>7339</v>
      </c>
      <c r="L1890" s="0" t="s">
        <v>7340</v>
      </c>
      <c r="M1890" s="0" t="s">
        <v>8537</v>
      </c>
      <c r="N1890" s="0" t="s">
        <v>7342</v>
      </c>
      <c r="O1890" s="0" t="s">
        <v>7360</v>
      </c>
      <c r="P1890" s="0" t="s">
        <v>236</v>
      </c>
      <c r="Q1890" s="0" t="s">
        <v>7834</v>
      </c>
      <c r="S1890" s="0" t="s">
        <v>7344</v>
      </c>
      <c r="T1890" s="0" t="s">
        <v>2842</v>
      </c>
      <c r="V1890" s="0" t="s">
        <v>55</v>
      </c>
      <c r="W1890" s="0" t="s">
        <v>2146</v>
      </c>
      <c r="X1890" s="0" t="s">
        <v>7355</v>
      </c>
      <c r="Y1890" s="0" t="s">
        <v>7667</v>
      </c>
      <c r="Z1890" s="0" t="s">
        <v>7493</v>
      </c>
      <c r="AA1890" s="0" t="s">
        <v>7831</v>
      </c>
      <c r="AB1890" s="0" t="s">
        <v>344</v>
      </c>
      <c r="AC1890" s="0" t="s">
        <v>7629</v>
      </c>
      <c r="AD1890" s="0" t="s">
        <v>58</v>
      </c>
      <c r="AE1890" s="0" t="s">
        <v>2842</v>
      </c>
      <c r="AG1890" s="0" t="s">
        <v>230</v>
      </c>
    </row>
    <row r="1891" customFormat="false" ht="15" hidden="false" customHeight="false" outlineLevel="0" collapsed="false">
      <c r="A1891" s="0" t="s">
        <v>7336</v>
      </c>
      <c r="B1891" s="0" t="s">
        <v>6873</v>
      </c>
      <c r="C1891" s="0" t="s">
        <v>6874</v>
      </c>
      <c r="D1891" s="0" t="s">
        <v>343</v>
      </c>
      <c r="E1891" s="0" t="s">
        <v>6875</v>
      </c>
      <c r="F1891" s="0" t="s">
        <v>6876</v>
      </c>
      <c r="G1891" s="0" t="s">
        <v>150</v>
      </c>
      <c r="H1891" s="0" t="s">
        <v>8541</v>
      </c>
      <c r="I1891" s="0" t="s">
        <v>7338</v>
      </c>
      <c r="J1891" s="0" t="s">
        <v>6877</v>
      </c>
      <c r="K1891" s="0" t="s">
        <v>7339</v>
      </c>
      <c r="L1891" s="0" t="s">
        <v>7340</v>
      </c>
      <c r="M1891" s="0" t="s">
        <v>7464</v>
      </c>
      <c r="N1891" s="0" t="s">
        <v>7342</v>
      </c>
      <c r="P1891" s="0" t="s">
        <v>229</v>
      </c>
      <c r="Q1891" s="0" t="s">
        <v>7354</v>
      </c>
      <c r="R1891" s="0" t="s">
        <v>7343</v>
      </c>
      <c r="S1891" s="0" t="s">
        <v>7344</v>
      </c>
      <c r="T1891" s="0" t="s">
        <v>228</v>
      </c>
      <c r="V1891" s="0" t="s">
        <v>73</v>
      </c>
      <c r="W1891" s="0" t="s">
        <v>75</v>
      </c>
      <c r="X1891" s="0" t="s">
        <v>7345</v>
      </c>
      <c r="Y1891" s="0" t="s">
        <v>7356</v>
      </c>
      <c r="Z1891" s="0" t="s">
        <v>7357</v>
      </c>
      <c r="AA1891" s="0" t="s">
        <v>7358</v>
      </c>
      <c r="AB1891" s="0" t="s">
        <v>344</v>
      </c>
      <c r="AC1891" s="0" t="s">
        <v>7349</v>
      </c>
      <c r="AD1891" s="0" t="s">
        <v>8542</v>
      </c>
      <c r="AE1891" s="0" t="s">
        <v>7395</v>
      </c>
      <c r="AF1891" s="0" t="s">
        <v>7374</v>
      </c>
      <c r="AG1891" s="0" t="s">
        <v>230</v>
      </c>
    </row>
    <row r="1892" customFormat="false" ht="15" hidden="false" customHeight="false" outlineLevel="0" collapsed="false">
      <c r="A1892" s="0" t="s">
        <v>7336</v>
      </c>
      <c r="B1892" s="0" t="s">
        <v>6878</v>
      </c>
      <c r="C1892" s="0" t="s">
        <v>6879</v>
      </c>
      <c r="D1892" s="0" t="s">
        <v>343</v>
      </c>
      <c r="E1892" s="0" t="s">
        <v>6880</v>
      </c>
      <c r="F1892" s="0" t="s">
        <v>6881</v>
      </c>
      <c r="G1892" s="0" t="s">
        <v>150</v>
      </c>
      <c r="H1892" s="0" t="s">
        <v>8543</v>
      </c>
      <c r="I1892" s="0" t="s">
        <v>7338</v>
      </c>
      <c r="J1892" s="0" t="s">
        <v>6877</v>
      </c>
      <c r="K1892" s="0" t="s">
        <v>7339</v>
      </c>
      <c r="L1892" s="0" t="s">
        <v>7340</v>
      </c>
      <c r="M1892" s="0" t="s">
        <v>7464</v>
      </c>
      <c r="N1892" s="0" t="s">
        <v>7342</v>
      </c>
      <c r="P1892" s="0" t="s">
        <v>229</v>
      </c>
      <c r="Q1892" s="0" t="s">
        <v>7354</v>
      </c>
      <c r="R1892" s="0" t="s">
        <v>7343</v>
      </c>
      <c r="S1892" s="0" t="s">
        <v>7344</v>
      </c>
      <c r="T1892" s="0" t="s">
        <v>228</v>
      </c>
      <c r="V1892" s="0" t="s">
        <v>73</v>
      </c>
      <c r="W1892" s="0" t="s">
        <v>75</v>
      </c>
      <c r="X1892" s="0" t="s">
        <v>7345</v>
      </c>
      <c r="Y1892" s="0" t="s">
        <v>7356</v>
      </c>
      <c r="Z1892" s="0" t="s">
        <v>7357</v>
      </c>
      <c r="AA1892" s="0" t="s">
        <v>7358</v>
      </c>
      <c r="AB1892" s="0" t="s">
        <v>344</v>
      </c>
      <c r="AC1892" s="0" t="s">
        <v>7349</v>
      </c>
      <c r="AD1892" s="0" t="s">
        <v>8542</v>
      </c>
      <c r="AE1892" s="0" t="s">
        <v>7395</v>
      </c>
      <c r="AF1892" s="0" t="s">
        <v>7374</v>
      </c>
      <c r="AG1892" s="0" t="s">
        <v>230</v>
      </c>
    </row>
    <row r="1893" customFormat="false" ht="15" hidden="false" customHeight="false" outlineLevel="0" collapsed="false">
      <c r="A1893" s="0" t="s">
        <v>7336</v>
      </c>
      <c r="B1893" s="0" t="s">
        <v>6882</v>
      </c>
      <c r="C1893" s="0" t="s">
        <v>6883</v>
      </c>
      <c r="D1893" s="0" t="s">
        <v>343</v>
      </c>
      <c r="E1893" s="0" t="s">
        <v>6884</v>
      </c>
      <c r="F1893" s="0" t="s">
        <v>6885</v>
      </c>
      <c r="G1893" s="0" t="s">
        <v>150</v>
      </c>
      <c r="H1893" s="0" t="s">
        <v>8544</v>
      </c>
      <c r="I1893" s="0" t="s">
        <v>7338</v>
      </c>
      <c r="J1893" s="0" t="s">
        <v>6877</v>
      </c>
      <c r="K1893" s="0" t="s">
        <v>7339</v>
      </c>
      <c r="L1893" s="0" t="s">
        <v>7340</v>
      </c>
      <c r="M1893" s="0" t="s">
        <v>7464</v>
      </c>
      <c r="N1893" s="0" t="s">
        <v>7342</v>
      </c>
      <c r="P1893" s="0" t="s">
        <v>229</v>
      </c>
      <c r="Q1893" s="0" t="s">
        <v>7354</v>
      </c>
      <c r="R1893" s="0" t="s">
        <v>7343</v>
      </c>
      <c r="S1893" s="0" t="s">
        <v>7344</v>
      </c>
      <c r="T1893" s="0" t="s">
        <v>228</v>
      </c>
      <c r="V1893" s="0" t="s">
        <v>73</v>
      </c>
      <c r="W1893" s="0" t="s">
        <v>75</v>
      </c>
      <c r="X1893" s="0" t="s">
        <v>7345</v>
      </c>
      <c r="Y1893" s="0" t="s">
        <v>7356</v>
      </c>
      <c r="Z1893" s="0" t="s">
        <v>7357</v>
      </c>
      <c r="AA1893" s="0" t="s">
        <v>7358</v>
      </c>
      <c r="AB1893" s="0" t="s">
        <v>344</v>
      </c>
      <c r="AC1893" s="0" t="s">
        <v>7349</v>
      </c>
      <c r="AD1893" s="0" t="s">
        <v>8542</v>
      </c>
      <c r="AE1893" s="0" t="s">
        <v>7395</v>
      </c>
      <c r="AF1893" s="0" t="s">
        <v>7374</v>
      </c>
      <c r="AG1893" s="0" t="s">
        <v>230</v>
      </c>
    </row>
    <row r="1894" customFormat="false" ht="15" hidden="false" customHeight="false" outlineLevel="0" collapsed="false">
      <c r="A1894" s="0" t="s">
        <v>7336</v>
      </c>
      <c r="B1894" s="0" t="s">
        <v>6886</v>
      </c>
      <c r="C1894" s="0" t="s">
        <v>6887</v>
      </c>
      <c r="D1894" s="0" t="s">
        <v>343</v>
      </c>
      <c r="E1894" s="0" t="s">
        <v>6888</v>
      </c>
      <c r="F1894" s="0" t="s">
        <v>6889</v>
      </c>
      <c r="G1894" s="0" t="s">
        <v>150</v>
      </c>
      <c r="H1894" s="0" t="s">
        <v>8545</v>
      </c>
      <c r="I1894" s="0" t="s">
        <v>7338</v>
      </c>
      <c r="J1894" s="0" t="s">
        <v>6877</v>
      </c>
      <c r="K1894" s="0" t="s">
        <v>7339</v>
      </c>
      <c r="L1894" s="0" t="s">
        <v>7340</v>
      </c>
      <c r="M1894" s="0" t="s">
        <v>7464</v>
      </c>
      <c r="N1894" s="0" t="s">
        <v>7342</v>
      </c>
      <c r="P1894" s="0" t="s">
        <v>229</v>
      </c>
      <c r="Q1894" s="0" t="s">
        <v>7354</v>
      </c>
      <c r="R1894" s="0" t="s">
        <v>7343</v>
      </c>
      <c r="S1894" s="0" t="s">
        <v>7344</v>
      </c>
      <c r="T1894" s="0" t="s">
        <v>228</v>
      </c>
      <c r="V1894" s="0" t="s">
        <v>73</v>
      </c>
      <c r="W1894" s="0" t="s">
        <v>75</v>
      </c>
      <c r="X1894" s="0" t="s">
        <v>7345</v>
      </c>
      <c r="Y1894" s="0" t="s">
        <v>7356</v>
      </c>
      <c r="Z1894" s="0" t="s">
        <v>7357</v>
      </c>
      <c r="AA1894" s="0" t="s">
        <v>7358</v>
      </c>
      <c r="AB1894" s="0" t="s">
        <v>344</v>
      </c>
      <c r="AC1894" s="0" t="s">
        <v>7349</v>
      </c>
      <c r="AD1894" s="0" t="s">
        <v>8542</v>
      </c>
      <c r="AE1894" s="0" t="s">
        <v>7395</v>
      </c>
      <c r="AF1894" s="0" t="s">
        <v>7374</v>
      </c>
      <c r="AG1894" s="0" t="s">
        <v>230</v>
      </c>
    </row>
    <row r="1895" customFormat="false" ht="15" hidden="false" customHeight="false" outlineLevel="0" collapsed="false">
      <c r="A1895" s="0" t="s">
        <v>7336</v>
      </c>
      <c r="B1895" s="0" t="s">
        <v>6890</v>
      </c>
      <c r="C1895" s="0" t="s">
        <v>6891</v>
      </c>
      <c r="D1895" s="0" t="s">
        <v>343</v>
      </c>
      <c r="E1895" s="0" t="s">
        <v>6892</v>
      </c>
      <c r="F1895" s="0" t="s">
        <v>6893</v>
      </c>
      <c r="G1895" s="0" t="s">
        <v>150</v>
      </c>
      <c r="H1895" s="0" t="s">
        <v>8546</v>
      </c>
      <c r="I1895" s="0" t="s">
        <v>7338</v>
      </c>
      <c r="J1895" s="0" t="s">
        <v>6877</v>
      </c>
      <c r="K1895" s="0" t="s">
        <v>7339</v>
      </c>
      <c r="L1895" s="0" t="s">
        <v>7340</v>
      </c>
      <c r="M1895" s="0" t="s">
        <v>7464</v>
      </c>
      <c r="N1895" s="0" t="s">
        <v>7342</v>
      </c>
      <c r="P1895" s="0" t="s">
        <v>229</v>
      </c>
      <c r="Q1895" s="0" t="s">
        <v>7354</v>
      </c>
      <c r="R1895" s="0" t="s">
        <v>7343</v>
      </c>
      <c r="S1895" s="0" t="s">
        <v>7344</v>
      </c>
      <c r="T1895" s="0" t="s">
        <v>228</v>
      </c>
      <c r="V1895" s="0" t="s">
        <v>73</v>
      </c>
      <c r="W1895" s="0" t="s">
        <v>75</v>
      </c>
      <c r="X1895" s="0" t="s">
        <v>7345</v>
      </c>
      <c r="Y1895" s="0" t="s">
        <v>7356</v>
      </c>
      <c r="Z1895" s="0" t="s">
        <v>7357</v>
      </c>
      <c r="AA1895" s="0" t="s">
        <v>7358</v>
      </c>
      <c r="AB1895" s="0" t="s">
        <v>344</v>
      </c>
      <c r="AC1895" s="0" t="s">
        <v>7349</v>
      </c>
      <c r="AD1895" s="0" t="s">
        <v>8542</v>
      </c>
      <c r="AE1895" s="0" t="s">
        <v>7395</v>
      </c>
      <c r="AF1895" s="0" t="s">
        <v>7374</v>
      </c>
      <c r="AG1895" s="0" t="s">
        <v>230</v>
      </c>
    </row>
    <row r="1896" customFormat="false" ht="15" hidden="false" customHeight="false" outlineLevel="0" collapsed="false">
      <c r="A1896" s="0" t="s">
        <v>7336</v>
      </c>
      <c r="B1896" s="0" t="s">
        <v>6894</v>
      </c>
      <c r="C1896" s="0" t="s">
        <v>6895</v>
      </c>
      <c r="D1896" s="0" t="s">
        <v>343</v>
      </c>
      <c r="E1896" s="0" t="s">
        <v>6896</v>
      </c>
      <c r="F1896" s="0" t="s">
        <v>6897</v>
      </c>
      <c r="G1896" s="0" t="s">
        <v>150</v>
      </c>
      <c r="H1896" s="0" t="s">
        <v>8547</v>
      </c>
      <c r="I1896" s="0" t="s">
        <v>7338</v>
      </c>
      <c r="J1896" s="0" t="s">
        <v>6877</v>
      </c>
      <c r="K1896" s="0" t="s">
        <v>7339</v>
      </c>
      <c r="L1896" s="0" t="s">
        <v>7340</v>
      </c>
      <c r="M1896" s="0" t="s">
        <v>7464</v>
      </c>
      <c r="N1896" s="0" t="s">
        <v>7342</v>
      </c>
      <c r="P1896" s="0" t="s">
        <v>229</v>
      </c>
      <c r="Q1896" s="0" t="s">
        <v>7354</v>
      </c>
      <c r="R1896" s="0" t="s">
        <v>7343</v>
      </c>
      <c r="S1896" s="0" t="s">
        <v>7344</v>
      </c>
      <c r="T1896" s="0" t="s">
        <v>228</v>
      </c>
      <c r="V1896" s="0" t="s">
        <v>73</v>
      </c>
      <c r="W1896" s="0" t="s">
        <v>75</v>
      </c>
      <c r="X1896" s="0" t="s">
        <v>7345</v>
      </c>
      <c r="Y1896" s="0" t="s">
        <v>7356</v>
      </c>
      <c r="Z1896" s="0" t="s">
        <v>7357</v>
      </c>
      <c r="AA1896" s="0" t="s">
        <v>7358</v>
      </c>
      <c r="AB1896" s="0" t="s">
        <v>344</v>
      </c>
      <c r="AC1896" s="0" t="s">
        <v>7349</v>
      </c>
      <c r="AD1896" s="0" t="s">
        <v>8542</v>
      </c>
      <c r="AE1896" s="0" t="s">
        <v>7395</v>
      </c>
      <c r="AF1896" s="0" t="s">
        <v>7374</v>
      </c>
      <c r="AG1896" s="0" t="s">
        <v>230</v>
      </c>
    </row>
    <row r="1897" customFormat="false" ht="15" hidden="false" customHeight="false" outlineLevel="0" collapsed="false">
      <c r="A1897" s="0" t="s">
        <v>7336</v>
      </c>
      <c r="B1897" s="0" t="s">
        <v>6898</v>
      </c>
      <c r="C1897" s="0" t="s">
        <v>6899</v>
      </c>
      <c r="D1897" s="0" t="s">
        <v>343</v>
      </c>
      <c r="E1897" s="0" t="s">
        <v>6900</v>
      </c>
      <c r="F1897" s="0" t="s">
        <v>6901</v>
      </c>
      <c r="G1897" s="0" t="s">
        <v>150</v>
      </c>
      <c r="H1897" s="0" t="s">
        <v>8548</v>
      </c>
      <c r="I1897" s="0" t="s">
        <v>7338</v>
      </c>
      <c r="J1897" s="0" t="s">
        <v>6877</v>
      </c>
      <c r="K1897" s="0" t="s">
        <v>7339</v>
      </c>
      <c r="L1897" s="0" t="s">
        <v>7340</v>
      </c>
      <c r="M1897" s="0" t="s">
        <v>7464</v>
      </c>
      <c r="N1897" s="0" t="s">
        <v>7342</v>
      </c>
      <c r="P1897" s="0" t="s">
        <v>229</v>
      </c>
      <c r="Q1897" s="0" t="s">
        <v>7354</v>
      </c>
      <c r="R1897" s="0" t="s">
        <v>7343</v>
      </c>
      <c r="S1897" s="0" t="s">
        <v>7344</v>
      </c>
      <c r="T1897" s="0" t="s">
        <v>228</v>
      </c>
      <c r="V1897" s="0" t="s">
        <v>73</v>
      </c>
      <c r="W1897" s="0" t="s">
        <v>75</v>
      </c>
      <c r="X1897" s="0" t="s">
        <v>7345</v>
      </c>
      <c r="Y1897" s="0" t="s">
        <v>7356</v>
      </c>
      <c r="Z1897" s="0" t="s">
        <v>7357</v>
      </c>
      <c r="AA1897" s="0" t="s">
        <v>7358</v>
      </c>
      <c r="AB1897" s="0" t="s">
        <v>344</v>
      </c>
      <c r="AC1897" s="0" t="s">
        <v>7349</v>
      </c>
      <c r="AD1897" s="0" t="s">
        <v>8542</v>
      </c>
      <c r="AE1897" s="0" t="s">
        <v>7395</v>
      </c>
      <c r="AF1897" s="0" t="s">
        <v>7374</v>
      </c>
      <c r="AG1897" s="0" t="s">
        <v>230</v>
      </c>
    </row>
    <row r="1898" customFormat="false" ht="15" hidden="false" customHeight="false" outlineLevel="0" collapsed="false">
      <c r="A1898" s="0" t="s">
        <v>7336</v>
      </c>
      <c r="B1898" s="0" t="s">
        <v>6902</v>
      </c>
      <c r="C1898" s="0" t="s">
        <v>6903</v>
      </c>
      <c r="D1898" s="0" t="s">
        <v>343</v>
      </c>
      <c r="E1898" s="0" t="s">
        <v>6904</v>
      </c>
      <c r="F1898" s="0" t="s">
        <v>6905</v>
      </c>
      <c r="G1898" s="0" t="s">
        <v>150</v>
      </c>
      <c r="H1898" s="0" t="s">
        <v>8549</v>
      </c>
      <c r="I1898" s="0" t="s">
        <v>7338</v>
      </c>
      <c r="J1898" s="0" t="s">
        <v>6877</v>
      </c>
      <c r="K1898" s="0" t="s">
        <v>7339</v>
      </c>
      <c r="L1898" s="0" t="s">
        <v>7340</v>
      </c>
      <c r="M1898" s="0" t="s">
        <v>7464</v>
      </c>
      <c r="N1898" s="0" t="s">
        <v>7342</v>
      </c>
      <c r="P1898" s="0" t="s">
        <v>229</v>
      </c>
      <c r="Q1898" s="0" t="s">
        <v>7354</v>
      </c>
      <c r="R1898" s="0" t="s">
        <v>7343</v>
      </c>
      <c r="S1898" s="0" t="s">
        <v>7344</v>
      </c>
      <c r="T1898" s="0" t="s">
        <v>228</v>
      </c>
      <c r="V1898" s="0" t="s">
        <v>73</v>
      </c>
      <c r="W1898" s="0" t="s">
        <v>75</v>
      </c>
      <c r="X1898" s="0" t="s">
        <v>7345</v>
      </c>
      <c r="Y1898" s="0" t="s">
        <v>7356</v>
      </c>
      <c r="Z1898" s="0" t="s">
        <v>7357</v>
      </c>
      <c r="AA1898" s="0" t="s">
        <v>7358</v>
      </c>
      <c r="AB1898" s="0" t="s">
        <v>344</v>
      </c>
      <c r="AC1898" s="0" t="s">
        <v>7349</v>
      </c>
      <c r="AD1898" s="0" t="s">
        <v>8542</v>
      </c>
      <c r="AE1898" s="0" t="s">
        <v>7395</v>
      </c>
      <c r="AF1898" s="0" t="s">
        <v>7374</v>
      </c>
      <c r="AG1898" s="0" t="s">
        <v>230</v>
      </c>
    </row>
    <row r="1899" customFormat="false" ht="15" hidden="false" customHeight="false" outlineLevel="0" collapsed="false">
      <c r="A1899" s="0" t="s">
        <v>7336</v>
      </c>
      <c r="B1899" s="0" t="s">
        <v>6906</v>
      </c>
      <c r="C1899" s="0" t="s">
        <v>6907</v>
      </c>
      <c r="D1899" s="0" t="s">
        <v>343</v>
      </c>
      <c r="E1899" s="0" t="s">
        <v>6908</v>
      </c>
      <c r="F1899" s="0" t="s">
        <v>6909</v>
      </c>
      <c r="G1899" s="0" t="s">
        <v>150</v>
      </c>
      <c r="H1899" s="0" t="s">
        <v>8550</v>
      </c>
      <c r="I1899" s="0" t="s">
        <v>7338</v>
      </c>
      <c r="J1899" s="0" t="s">
        <v>6877</v>
      </c>
      <c r="K1899" s="0" t="s">
        <v>7339</v>
      </c>
      <c r="L1899" s="0" t="s">
        <v>7340</v>
      </c>
      <c r="M1899" s="0" t="s">
        <v>7464</v>
      </c>
      <c r="N1899" s="0" t="s">
        <v>7342</v>
      </c>
      <c r="P1899" s="0" t="s">
        <v>229</v>
      </c>
      <c r="Q1899" s="0" t="s">
        <v>7354</v>
      </c>
      <c r="R1899" s="0" t="s">
        <v>7343</v>
      </c>
      <c r="S1899" s="0" t="s">
        <v>7344</v>
      </c>
      <c r="T1899" s="0" t="s">
        <v>228</v>
      </c>
      <c r="V1899" s="0" t="s">
        <v>73</v>
      </c>
      <c r="W1899" s="0" t="s">
        <v>75</v>
      </c>
      <c r="X1899" s="0" t="s">
        <v>7345</v>
      </c>
      <c r="Y1899" s="0" t="s">
        <v>7356</v>
      </c>
      <c r="Z1899" s="0" t="s">
        <v>7357</v>
      </c>
      <c r="AA1899" s="0" t="s">
        <v>7358</v>
      </c>
      <c r="AB1899" s="0" t="s">
        <v>344</v>
      </c>
      <c r="AC1899" s="0" t="s">
        <v>7349</v>
      </c>
      <c r="AD1899" s="0" t="s">
        <v>8542</v>
      </c>
      <c r="AE1899" s="0" t="s">
        <v>7395</v>
      </c>
      <c r="AF1899" s="0" t="s">
        <v>7374</v>
      </c>
      <c r="AG1899" s="0" t="s">
        <v>230</v>
      </c>
    </row>
    <row r="1900" customFormat="false" ht="15" hidden="false" customHeight="false" outlineLevel="0" collapsed="false">
      <c r="A1900" s="0" t="s">
        <v>7336</v>
      </c>
      <c r="B1900" s="0" t="s">
        <v>6910</v>
      </c>
      <c r="C1900" s="0" t="s">
        <v>6911</v>
      </c>
      <c r="D1900" s="0" t="s">
        <v>343</v>
      </c>
      <c r="E1900" s="0" t="s">
        <v>6912</v>
      </c>
      <c r="F1900" s="0" t="s">
        <v>6913</v>
      </c>
      <c r="G1900" s="0" t="s">
        <v>150</v>
      </c>
      <c r="H1900" s="0" t="s">
        <v>8551</v>
      </c>
      <c r="I1900" s="0" t="s">
        <v>7338</v>
      </c>
      <c r="J1900" s="0" t="s">
        <v>6877</v>
      </c>
      <c r="K1900" s="0" t="s">
        <v>7339</v>
      </c>
      <c r="L1900" s="0" t="s">
        <v>7340</v>
      </c>
      <c r="M1900" s="0" t="s">
        <v>7464</v>
      </c>
      <c r="N1900" s="0" t="s">
        <v>7342</v>
      </c>
      <c r="P1900" s="0" t="s">
        <v>229</v>
      </c>
      <c r="Q1900" s="0" t="s">
        <v>7354</v>
      </c>
      <c r="R1900" s="0" t="s">
        <v>7343</v>
      </c>
      <c r="S1900" s="0" t="s">
        <v>7344</v>
      </c>
      <c r="T1900" s="0" t="s">
        <v>228</v>
      </c>
      <c r="V1900" s="0" t="s">
        <v>73</v>
      </c>
      <c r="W1900" s="0" t="s">
        <v>75</v>
      </c>
      <c r="X1900" s="0" t="s">
        <v>7345</v>
      </c>
      <c r="Y1900" s="0" t="s">
        <v>7356</v>
      </c>
      <c r="Z1900" s="0" t="s">
        <v>7357</v>
      </c>
      <c r="AA1900" s="0" t="s">
        <v>7358</v>
      </c>
      <c r="AB1900" s="0" t="s">
        <v>344</v>
      </c>
      <c r="AC1900" s="0" t="s">
        <v>7349</v>
      </c>
      <c r="AD1900" s="0" t="s">
        <v>8542</v>
      </c>
      <c r="AE1900" s="0" t="s">
        <v>7395</v>
      </c>
      <c r="AF1900" s="0" t="s">
        <v>7374</v>
      </c>
      <c r="AG1900" s="0" t="s">
        <v>230</v>
      </c>
    </row>
    <row r="1901" customFormat="false" ht="15" hidden="false" customHeight="false" outlineLevel="0" collapsed="false">
      <c r="A1901" s="0" t="s">
        <v>7336</v>
      </c>
      <c r="B1901" s="0" t="s">
        <v>6914</v>
      </c>
      <c r="C1901" s="0" t="s">
        <v>6915</v>
      </c>
      <c r="D1901" s="0" t="s">
        <v>300</v>
      </c>
      <c r="E1901" s="0" t="s">
        <v>6916</v>
      </c>
      <c r="F1901" s="0" t="s">
        <v>6917</v>
      </c>
      <c r="G1901" s="0" t="s">
        <v>142</v>
      </c>
      <c r="H1901" s="0" t="s">
        <v>8552</v>
      </c>
      <c r="I1901" s="0" t="s">
        <v>7338</v>
      </c>
      <c r="J1901" s="0" t="s">
        <v>6918</v>
      </c>
      <c r="K1901" s="0" t="s">
        <v>7339</v>
      </c>
      <c r="L1901" s="0" t="s">
        <v>7340</v>
      </c>
      <c r="M1901" s="0" t="s">
        <v>8537</v>
      </c>
      <c r="N1901" s="0" t="s">
        <v>7342</v>
      </c>
      <c r="O1901" s="0" t="s">
        <v>7360</v>
      </c>
      <c r="P1901" s="0" t="s">
        <v>236</v>
      </c>
      <c r="Q1901" s="0" t="s">
        <v>7834</v>
      </c>
      <c r="S1901" s="0" t="s">
        <v>7344</v>
      </c>
      <c r="T1901" s="0" t="s">
        <v>2842</v>
      </c>
      <c r="V1901" s="0" t="s">
        <v>55</v>
      </c>
      <c r="W1901" s="0" t="s">
        <v>2146</v>
      </c>
      <c r="X1901" s="0" t="s">
        <v>7355</v>
      </c>
      <c r="Y1901" s="0" t="s">
        <v>7667</v>
      </c>
      <c r="Z1901" s="0" t="s">
        <v>7493</v>
      </c>
      <c r="AA1901" s="0" t="s">
        <v>7831</v>
      </c>
      <c r="AB1901" s="0" t="s">
        <v>344</v>
      </c>
      <c r="AC1901" s="0" t="s">
        <v>7629</v>
      </c>
      <c r="AD1901" s="0" t="s">
        <v>58</v>
      </c>
      <c r="AE1901" s="0" t="s">
        <v>2842</v>
      </c>
      <c r="AG1901" s="0" t="s">
        <v>230</v>
      </c>
    </row>
    <row r="1902" customFormat="false" ht="15" hidden="false" customHeight="false" outlineLevel="0" collapsed="false">
      <c r="A1902" s="0" t="s">
        <v>7336</v>
      </c>
      <c r="B1902" s="0" t="s">
        <v>6919</v>
      </c>
      <c r="C1902" s="0" t="s">
        <v>6920</v>
      </c>
      <c r="D1902" s="0" t="s">
        <v>300</v>
      </c>
      <c r="E1902" s="0" t="s">
        <v>6921</v>
      </c>
      <c r="F1902" s="0" t="s">
        <v>6917</v>
      </c>
      <c r="G1902" s="0" t="s">
        <v>142</v>
      </c>
      <c r="H1902" s="0" t="s">
        <v>8552</v>
      </c>
      <c r="I1902" s="0" t="s">
        <v>7338</v>
      </c>
      <c r="J1902" s="0" t="s">
        <v>6918</v>
      </c>
      <c r="K1902" s="0" t="s">
        <v>7339</v>
      </c>
      <c r="L1902" s="0" t="s">
        <v>7340</v>
      </c>
      <c r="M1902" s="0" t="s">
        <v>8537</v>
      </c>
      <c r="N1902" s="0" t="s">
        <v>7342</v>
      </c>
      <c r="O1902" s="0" t="s">
        <v>7360</v>
      </c>
      <c r="P1902" s="0" t="s">
        <v>236</v>
      </c>
      <c r="Q1902" s="0" t="s">
        <v>7354</v>
      </c>
      <c r="R1902" s="0" t="s">
        <v>7343</v>
      </c>
      <c r="S1902" s="0" t="s">
        <v>7344</v>
      </c>
      <c r="T1902" s="0" t="s">
        <v>260</v>
      </c>
      <c r="U1902" s="0" t="s">
        <v>7369</v>
      </c>
      <c r="V1902" s="0" t="s">
        <v>34</v>
      </c>
      <c r="W1902" s="0" t="s">
        <v>53</v>
      </c>
      <c r="X1902" s="0" t="s">
        <v>7355</v>
      </c>
      <c r="Y1902" s="0" t="s">
        <v>7346</v>
      </c>
      <c r="Z1902" s="0" t="s">
        <v>7370</v>
      </c>
      <c r="AA1902" s="0" t="s">
        <v>7385</v>
      </c>
      <c r="AB1902" s="0" t="s">
        <v>262</v>
      </c>
      <c r="AC1902" s="0" t="s">
        <v>7629</v>
      </c>
      <c r="AD1902" s="0" t="s">
        <v>260</v>
      </c>
      <c r="AE1902" s="0" t="s">
        <v>681</v>
      </c>
      <c r="AG1902" s="0" t="s">
        <v>230</v>
      </c>
    </row>
    <row r="1903" customFormat="false" ht="15" hidden="false" customHeight="false" outlineLevel="0" collapsed="false">
      <c r="A1903" s="0" t="s">
        <v>7336</v>
      </c>
      <c r="B1903" s="0" t="s">
        <v>6922</v>
      </c>
      <c r="C1903" s="0" t="s">
        <v>6923</v>
      </c>
      <c r="D1903" s="0" t="s">
        <v>300</v>
      </c>
      <c r="E1903" s="0" t="s">
        <v>6924</v>
      </c>
      <c r="F1903" s="0" t="s">
        <v>6925</v>
      </c>
      <c r="G1903" s="0" t="s">
        <v>142</v>
      </c>
      <c r="H1903" s="0" t="s">
        <v>8553</v>
      </c>
      <c r="I1903" s="0" t="s">
        <v>7338</v>
      </c>
      <c r="J1903" s="0" t="s">
        <v>6918</v>
      </c>
      <c r="K1903" s="0" t="s">
        <v>7339</v>
      </c>
      <c r="L1903" s="0" t="s">
        <v>7340</v>
      </c>
      <c r="M1903" s="0" t="s">
        <v>8537</v>
      </c>
      <c r="N1903" s="0" t="s">
        <v>7342</v>
      </c>
      <c r="O1903" s="0" t="s">
        <v>7360</v>
      </c>
      <c r="P1903" s="0" t="s">
        <v>236</v>
      </c>
      <c r="Q1903" s="0" t="s">
        <v>7354</v>
      </c>
      <c r="R1903" s="0" t="s">
        <v>7343</v>
      </c>
      <c r="S1903" s="0" t="s">
        <v>7344</v>
      </c>
      <c r="T1903" s="0" t="s">
        <v>260</v>
      </c>
      <c r="U1903" s="0" t="s">
        <v>7369</v>
      </c>
      <c r="V1903" s="0" t="s">
        <v>34</v>
      </c>
      <c r="W1903" s="0" t="s">
        <v>53</v>
      </c>
      <c r="X1903" s="0" t="s">
        <v>7355</v>
      </c>
      <c r="Y1903" s="0" t="s">
        <v>7346</v>
      </c>
      <c r="Z1903" s="0" t="s">
        <v>7370</v>
      </c>
      <c r="AA1903" s="0" t="s">
        <v>7385</v>
      </c>
      <c r="AB1903" s="0" t="s">
        <v>262</v>
      </c>
      <c r="AC1903" s="0" t="s">
        <v>7629</v>
      </c>
      <c r="AD1903" s="0" t="s">
        <v>260</v>
      </c>
      <c r="AE1903" s="0" t="s">
        <v>681</v>
      </c>
      <c r="AG1903" s="0" t="s">
        <v>230</v>
      </c>
    </row>
    <row r="1904" customFormat="false" ht="15" hidden="false" customHeight="false" outlineLevel="0" collapsed="false">
      <c r="A1904" s="0" t="s">
        <v>7336</v>
      </c>
      <c r="B1904" s="0" t="s">
        <v>6926</v>
      </c>
      <c r="C1904" s="0" t="s">
        <v>6927</v>
      </c>
      <c r="D1904" s="0" t="s">
        <v>300</v>
      </c>
      <c r="E1904" s="0" t="s">
        <v>6928</v>
      </c>
      <c r="F1904" s="0" t="s">
        <v>6925</v>
      </c>
      <c r="G1904" s="0" t="s">
        <v>142</v>
      </c>
      <c r="H1904" s="0" t="s">
        <v>8553</v>
      </c>
      <c r="I1904" s="0" t="s">
        <v>7338</v>
      </c>
      <c r="J1904" s="0" t="s">
        <v>6918</v>
      </c>
      <c r="K1904" s="0" t="s">
        <v>7339</v>
      </c>
      <c r="L1904" s="0" t="s">
        <v>7340</v>
      </c>
      <c r="M1904" s="0" t="s">
        <v>8537</v>
      </c>
      <c r="N1904" s="0" t="s">
        <v>7342</v>
      </c>
      <c r="O1904" s="0" t="s">
        <v>7360</v>
      </c>
      <c r="P1904" s="0" t="s">
        <v>236</v>
      </c>
      <c r="Q1904" s="0" t="s">
        <v>7834</v>
      </c>
      <c r="S1904" s="0" t="s">
        <v>7344</v>
      </c>
      <c r="T1904" s="0" t="s">
        <v>2842</v>
      </c>
      <c r="V1904" s="0" t="s">
        <v>55</v>
      </c>
      <c r="W1904" s="0" t="s">
        <v>2146</v>
      </c>
      <c r="X1904" s="0" t="s">
        <v>7355</v>
      </c>
      <c r="Y1904" s="0" t="s">
        <v>7667</v>
      </c>
      <c r="Z1904" s="0" t="s">
        <v>7493</v>
      </c>
      <c r="AA1904" s="0" t="s">
        <v>7831</v>
      </c>
      <c r="AB1904" s="0" t="s">
        <v>344</v>
      </c>
      <c r="AC1904" s="0" t="s">
        <v>7629</v>
      </c>
      <c r="AD1904" s="0" t="s">
        <v>58</v>
      </c>
      <c r="AE1904" s="0" t="s">
        <v>2842</v>
      </c>
      <c r="AG1904" s="0" t="s">
        <v>230</v>
      </c>
    </row>
    <row r="1905" customFormat="false" ht="15" hidden="false" customHeight="false" outlineLevel="0" collapsed="false">
      <c r="A1905" s="0" t="s">
        <v>7336</v>
      </c>
      <c r="B1905" s="0" t="s">
        <v>6929</v>
      </c>
      <c r="C1905" s="0" t="s">
        <v>6930</v>
      </c>
      <c r="D1905" s="0" t="s">
        <v>227</v>
      </c>
      <c r="E1905" s="0" t="s">
        <v>6931</v>
      </c>
      <c r="F1905" s="0" t="s">
        <v>6932</v>
      </c>
      <c r="G1905" s="0" t="s">
        <v>6933</v>
      </c>
      <c r="H1905" s="0" t="s">
        <v>8554</v>
      </c>
      <c r="I1905" s="0" t="s">
        <v>7338</v>
      </c>
      <c r="J1905" s="0" t="s">
        <v>6934</v>
      </c>
      <c r="K1905" s="0" t="s">
        <v>7339</v>
      </c>
      <c r="L1905" s="0" t="s">
        <v>7340</v>
      </c>
      <c r="M1905" s="0" t="s">
        <v>7341</v>
      </c>
      <c r="N1905" s="0" t="s">
        <v>7342</v>
      </c>
      <c r="P1905" s="0" t="s">
        <v>229</v>
      </c>
      <c r="Q1905" s="0" t="s">
        <v>7354</v>
      </c>
      <c r="R1905" s="0" t="s">
        <v>7343</v>
      </c>
      <c r="S1905" s="0" t="s">
        <v>7344</v>
      </c>
      <c r="T1905" s="0" t="s">
        <v>228</v>
      </c>
      <c r="V1905" s="0" t="s">
        <v>34</v>
      </c>
      <c r="W1905" s="0" t="s">
        <v>41</v>
      </c>
      <c r="X1905" s="0" t="s">
        <v>7355</v>
      </c>
      <c r="Y1905" s="0" t="s">
        <v>7409</v>
      </c>
      <c r="Z1905" s="0" t="s">
        <v>7410</v>
      </c>
      <c r="AA1905" s="0" t="s">
        <v>7411</v>
      </c>
      <c r="AB1905" s="0" t="s">
        <v>1663</v>
      </c>
      <c r="AC1905" s="0" t="s">
        <v>7629</v>
      </c>
      <c r="AD1905" s="0" t="s">
        <v>7692</v>
      </c>
      <c r="AE1905" s="0" t="s">
        <v>7360</v>
      </c>
      <c r="AF1905" s="0" t="s">
        <v>7361</v>
      </c>
      <c r="AG1905" s="0" t="s">
        <v>230</v>
      </c>
    </row>
    <row r="1906" customFormat="false" ht="15" hidden="false" customHeight="false" outlineLevel="0" collapsed="false">
      <c r="A1906" s="0" t="s">
        <v>7336</v>
      </c>
      <c r="B1906" s="0" t="s">
        <v>6935</v>
      </c>
      <c r="C1906" s="0" t="s">
        <v>6936</v>
      </c>
      <c r="D1906" s="0" t="s">
        <v>227</v>
      </c>
      <c r="E1906" s="0" t="s">
        <v>6937</v>
      </c>
      <c r="F1906" s="0" t="s">
        <v>6938</v>
      </c>
      <c r="G1906" s="0" t="s">
        <v>6933</v>
      </c>
      <c r="H1906" s="0" t="s">
        <v>8555</v>
      </c>
      <c r="I1906" s="0" t="s">
        <v>7338</v>
      </c>
      <c r="J1906" s="0" t="s">
        <v>6934</v>
      </c>
      <c r="K1906" s="0" t="s">
        <v>7339</v>
      </c>
      <c r="L1906" s="0" t="s">
        <v>7340</v>
      </c>
      <c r="M1906" s="0" t="s">
        <v>7341</v>
      </c>
      <c r="N1906" s="0" t="s">
        <v>7342</v>
      </c>
      <c r="P1906" s="0" t="s">
        <v>229</v>
      </c>
      <c r="Q1906" s="0" t="s">
        <v>7354</v>
      </c>
      <c r="R1906" s="0" t="s">
        <v>7343</v>
      </c>
      <c r="S1906" s="0" t="s">
        <v>7344</v>
      </c>
      <c r="T1906" s="0" t="s">
        <v>228</v>
      </c>
      <c r="V1906" s="0" t="s">
        <v>34</v>
      </c>
      <c r="W1906" s="0" t="s">
        <v>41</v>
      </c>
      <c r="X1906" s="0" t="s">
        <v>7355</v>
      </c>
      <c r="Y1906" s="0" t="s">
        <v>7409</v>
      </c>
      <c r="Z1906" s="0" t="s">
        <v>7410</v>
      </c>
      <c r="AA1906" s="0" t="s">
        <v>7411</v>
      </c>
      <c r="AB1906" s="0" t="s">
        <v>1663</v>
      </c>
      <c r="AC1906" s="0" t="s">
        <v>7629</v>
      </c>
      <c r="AD1906" s="0" t="s">
        <v>7692</v>
      </c>
      <c r="AE1906" s="0" t="s">
        <v>7360</v>
      </c>
      <c r="AF1906" s="0" t="s">
        <v>7361</v>
      </c>
      <c r="AG1906" s="0" t="s">
        <v>230</v>
      </c>
    </row>
    <row r="1907" customFormat="false" ht="15" hidden="false" customHeight="false" outlineLevel="0" collapsed="false">
      <c r="A1907" s="0" t="s">
        <v>7336</v>
      </c>
      <c r="B1907" s="0" t="s">
        <v>6939</v>
      </c>
      <c r="C1907" s="0" t="s">
        <v>6940</v>
      </c>
      <c r="D1907" s="0" t="s">
        <v>227</v>
      </c>
      <c r="E1907" s="0" t="s">
        <v>6941</v>
      </c>
      <c r="F1907" s="0" t="s">
        <v>6942</v>
      </c>
      <c r="G1907" s="0" t="s">
        <v>6933</v>
      </c>
      <c r="H1907" s="0" t="s">
        <v>8556</v>
      </c>
      <c r="I1907" s="0" t="s">
        <v>7338</v>
      </c>
      <c r="J1907" s="0" t="s">
        <v>6934</v>
      </c>
      <c r="K1907" s="0" t="s">
        <v>7339</v>
      </c>
      <c r="L1907" s="0" t="s">
        <v>7340</v>
      </c>
      <c r="M1907" s="0" t="s">
        <v>7341</v>
      </c>
      <c r="N1907" s="0" t="s">
        <v>7342</v>
      </c>
      <c r="P1907" s="0" t="s">
        <v>229</v>
      </c>
      <c r="Q1907" s="0" t="s">
        <v>7354</v>
      </c>
      <c r="R1907" s="0" t="s">
        <v>7343</v>
      </c>
      <c r="S1907" s="0" t="s">
        <v>7344</v>
      </c>
      <c r="T1907" s="0" t="s">
        <v>228</v>
      </c>
      <c r="V1907" s="0" t="s">
        <v>34</v>
      </c>
      <c r="W1907" s="0" t="s">
        <v>41</v>
      </c>
      <c r="X1907" s="0" t="s">
        <v>7355</v>
      </c>
      <c r="Y1907" s="0" t="s">
        <v>7409</v>
      </c>
      <c r="Z1907" s="0" t="s">
        <v>7410</v>
      </c>
      <c r="AA1907" s="0" t="s">
        <v>7411</v>
      </c>
      <c r="AB1907" s="0" t="s">
        <v>1663</v>
      </c>
      <c r="AC1907" s="0" t="s">
        <v>7629</v>
      </c>
      <c r="AD1907" s="0" t="s">
        <v>7692</v>
      </c>
      <c r="AE1907" s="0" t="s">
        <v>7360</v>
      </c>
      <c r="AF1907" s="0" t="s">
        <v>7361</v>
      </c>
      <c r="AG1907" s="0" t="s">
        <v>230</v>
      </c>
    </row>
    <row r="1908" customFormat="false" ht="15" hidden="false" customHeight="false" outlineLevel="0" collapsed="false">
      <c r="A1908" s="0" t="s">
        <v>7336</v>
      </c>
      <c r="B1908" s="0" t="s">
        <v>6943</v>
      </c>
      <c r="C1908" s="0" t="s">
        <v>6944</v>
      </c>
      <c r="D1908" s="0" t="s">
        <v>227</v>
      </c>
      <c r="E1908" s="0" t="s">
        <v>6945</v>
      </c>
      <c r="F1908" s="0" t="s">
        <v>6946</v>
      </c>
      <c r="G1908" s="0" t="s">
        <v>6933</v>
      </c>
      <c r="H1908" s="0" t="s">
        <v>8557</v>
      </c>
      <c r="I1908" s="0" t="s">
        <v>7338</v>
      </c>
      <c r="J1908" s="0" t="s">
        <v>6934</v>
      </c>
      <c r="K1908" s="0" t="s">
        <v>7339</v>
      </c>
      <c r="L1908" s="0" t="s">
        <v>7340</v>
      </c>
      <c r="M1908" s="0" t="s">
        <v>7341</v>
      </c>
      <c r="N1908" s="0" t="s">
        <v>7342</v>
      </c>
      <c r="P1908" s="0" t="s">
        <v>229</v>
      </c>
      <c r="Q1908" s="0" t="s">
        <v>7354</v>
      </c>
      <c r="R1908" s="0" t="s">
        <v>7343</v>
      </c>
      <c r="S1908" s="0" t="s">
        <v>7344</v>
      </c>
      <c r="T1908" s="0" t="s">
        <v>228</v>
      </c>
      <c r="V1908" s="0" t="s">
        <v>34</v>
      </c>
      <c r="W1908" s="0" t="s">
        <v>41</v>
      </c>
      <c r="X1908" s="0" t="s">
        <v>7355</v>
      </c>
      <c r="Y1908" s="0" t="s">
        <v>7409</v>
      </c>
      <c r="Z1908" s="0" t="s">
        <v>7410</v>
      </c>
      <c r="AA1908" s="0" t="s">
        <v>7411</v>
      </c>
      <c r="AB1908" s="0" t="s">
        <v>1663</v>
      </c>
      <c r="AC1908" s="0" t="s">
        <v>7629</v>
      </c>
      <c r="AD1908" s="0" t="s">
        <v>7692</v>
      </c>
      <c r="AE1908" s="0" t="s">
        <v>7360</v>
      </c>
      <c r="AF1908" s="0" t="s">
        <v>7361</v>
      </c>
      <c r="AG1908" s="0" t="s">
        <v>230</v>
      </c>
    </row>
    <row r="1909" customFormat="false" ht="15" hidden="false" customHeight="false" outlineLevel="0" collapsed="false">
      <c r="A1909" s="0" t="s">
        <v>7336</v>
      </c>
      <c r="B1909" s="0" t="s">
        <v>6947</v>
      </c>
      <c r="C1909" s="0" t="s">
        <v>6948</v>
      </c>
      <c r="D1909" s="0" t="s">
        <v>227</v>
      </c>
      <c r="E1909" s="0" t="s">
        <v>6949</v>
      </c>
      <c r="F1909" s="0" t="s">
        <v>6950</v>
      </c>
      <c r="G1909" s="0" t="s">
        <v>6933</v>
      </c>
      <c r="H1909" s="0" t="s">
        <v>8558</v>
      </c>
      <c r="I1909" s="0" t="s">
        <v>7338</v>
      </c>
      <c r="J1909" s="0" t="s">
        <v>6934</v>
      </c>
      <c r="K1909" s="0" t="s">
        <v>7339</v>
      </c>
      <c r="L1909" s="0" t="s">
        <v>7340</v>
      </c>
      <c r="M1909" s="0" t="s">
        <v>7341</v>
      </c>
      <c r="N1909" s="0" t="s">
        <v>7342</v>
      </c>
      <c r="P1909" s="0" t="s">
        <v>229</v>
      </c>
      <c r="Q1909" s="0" t="s">
        <v>7354</v>
      </c>
      <c r="R1909" s="0" t="s">
        <v>7343</v>
      </c>
      <c r="S1909" s="0" t="s">
        <v>7344</v>
      </c>
      <c r="T1909" s="0" t="s">
        <v>228</v>
      </c>
      <c r="V1909" s="0" t="s">
        <v>34</v>
      </c>
      <c r="W1909" s="0" t="s">
        <v>41</v>
      </c>
      <c r="X1909" s="0" t="s">
        <v>7355</v>
      </c>
      <c r="Y1909" s="0" t="s">
        <v>7409</v>
      </c>
      <c r="Z1909" s="0" t="s">
        <v>7410</v>
      </c>
      <c r="AA1909" s="0" t="s">
        <v>7411</v>
      </c>
      <c r="AB1909" s="0" t="s">
        <v>1663</v>
      </c>
      <c r="AC1909" s="0" t="s">
        <v>7629</v>
      </c>
      <c r="AD1909" s="0" t="s">
        <v>7692</v>
      </c>
      <c r="AE1909" s="0" t="s">
        <v>7360</v>
      </c>
      <c r="AF1909" s="0" t="s">
        <v>7361</v>
      </c>
      <c r="AG1909" s="0" t="s">
        <v>230</v>
      </c>
    </row>
    <row r="1910" customFormat="false" ht="15" hidden="false" customHeight="false" outlineLevel="0" collapsed="false">
      <c r="A1910" s="0" t="s">
        <v>7336</v>
      </c>
      <c r="B1910" s="0" t="s">
        <v>6951</v>
      </c>
      <c r="C1910" s="0" t="s">
        <v>6952</v>
      </c>
      <c r="D1910" s="0" t="s">
        <v>227</v>
      </c>
      <c r="E1910" s="0" t="s">
        <v>6953</v>
      </c>
      <c r="F1910" s="0" t="s">
        <v>6954</v>
      </c>
      <c r="G1910" s="0" t="s">
        <v>6933</v>
      </c>
      <c r="H1910" s="0" t="s">
        <v>8559</v>
      </c>
      <c r="I1910" s="0" t="s">
        <v>7338</v>
      </c>
      <c r="J1910" s="0" t="s">
        <v>6934</v>
      </c>
      <c r="K1910" s="0" t="s">
        <v>7339</v>
      </c>
      <c r="L1910" s="0" t="s">
        <v>7340</v>
      </c>
      <c r="M1910" s="0" t="s">
        <v>7341</v>
      </c>
      <c r="N1910" s="0" t="s">
        <v>7342</v>
      </c>
      <c r="P1910" s="0" t="s">
        <v>229</v>
      </c>
      <c r="Q1910" s="0" t="s">
        <v>7354</v>
      </c>
      <c r="R1910" s="0" t="s">
        <v>7343</v>
      </c>
      <c r="S1910" s="0" t="s">
        <v>7344</v>
      </c>
      <c r="T1910" s="0" t="s">
        <v>228</v>
      </c>
      <c r="V1910" s="0" t="s">
        <v>34</v>
      </c>
      <c r="W1910" s="0" t="s">
        <v>41</v>
      </c>
      <c r="X1910" s="0" t="s">
        <v>7355</v>
      </c>
      <c r="Y1910" s="0" t="s">
        <v>7409</v>
      </c>
      <c r="Z1910" s="0" t="s">
        <v>7410</v>
      </c>
      <c r="AA1910" s="0" t="s">
        <v>7411</v>
      </c>
      <c r="AB1910" s="0" t="s">
        <v>1663</v>
      </c>
      <c r="AC1910" s="0" t="s">
        <v>7629</v>
      </c>
      <c r="AD1910" s="0" t="s">
        <v>7692</v>
      </c>
      <c r="AE1910" s="0" t="s">
        <v>7360</v>
      </c>
      <c r="AF1910" s="0" t="s">
        <v>7361</v>
      </c>
      <c r="AG1910" s="0" t="s">
        <v>230</v>
      </c>
    </row>
    <row r="1911" customFormat="false" ht="15" hidden="false" customHeight="false" outlineLevel="0" collapsed="false">
      <c r="A1911" s="0" t="s">
        <v>7336</v>
      </c>
      <c r="B1911" s="0" t="s">
        <v>6955</v>
      </c>
      <c r="C1911" s="0" t="s">
        <v>6956</v>
      </c>
      <c r="D1911" s="0" t="s">
        <v>227</v>
      </c>
      <c r="E1911" s="0" t="s">
        <v>6957</v>
      </c>
      <c r="F1911" s="0" t="s">
        <v>6958</v>
      </c>
      <c r="G1911" s="0" t="s">
        <v>6933</v>
      </c>
      <c r="H1911" s="0" t="s">
        <v>8560</v>
      </c>
      <c r="I1911" s="0" t="s">
        <v>7338</v>
      </c>
      <c r="J1911" s="0" t="s">
        <v>6934</v>
      </c>
      <c r="K1911" s="0" t="s">
        <v>7339</v>
      </c>
      <c r="L1911" s="0" t="s">
        <v>7340</v>
      </c>
      <c r="M1911" s="0" t="s">
        <v>7341</v>
      </c>
      <c r="N1911" s="0" t="s">
        <v>7342</v>
      </c>
      <c r="P1911" s="0" t="s">
        <v>229</v>
      </c>
      <c r="Q1911" s="0" t="s">
        <v>7354</v>
      </c>
      <c r="R1911" s="0" t="s">
        <v>7343</v>
      </c>
      <c r="S1911" s="0" t="s">
        <v>7344</v>
      </c>
      <c r="T1911" s="0" t="s">
        <v>228</v>
      </c>
      <c r="V1911" s="0" t="s">
        <v>34</v>
      </c>
      <c r="W1911" s="0" t="s">
        <v>41</v>
      </c>
      <c r="X1911" s="0" t="s">
        <v>7355</v>
      </c>
      <c r="Y1911" s="0" t="s">
        <v>7409</v>
      </c>
      <c r="Z1911" s="0" t="s">
        <v>7410</v>
      </c>
      <c r="AA1911" s="0" t="s">
        <v>7411</v>
      </c>
      <c r="AB1911" s="0" t="s">
        <v>1663</v>
      </c>
      <c r="AC1911" s="0" t="s">
        <v>7629</v>
      </c>
      <c r="AD1911" s="0" t="s">
        <v>7692</v>
      </c>
      <c r="AE1911" s="0" t="s">
        <v>7360</v>
      </c>
      <c r="AF1911" s="0" t="s">
        <v>7361</v>
      </c>
      <c r="AG1911" s="0" t="s">
        <v>230</v>
      </c>
    </row>
    <row r="1912" customFormat="false" ht="15" hidden="false" customHeight="false" outlineLevel="0" collapsed="false">
      <c r="A1912" s="0" t="s">
        <v>7336</v>
      </c>
      <c r="B1912" s="0" t="s">
        <v>6959</v>
      </c>
      <c r="C1912" s="0" t="s">
        <v>6960</v>
      </c>
      <c r="D1912" s="0" t="s">
        <v>227</v>
      </c>
      <c r="E1912" s="0" t="s">
        <v>6961</v>
      </c>
      <c r="F1912" s="0" t="s">
        <v>6962</v>
      </c>
      <c r="G1912" s="0" t="s">
        <v>6933</v>
      </c>
      <c r="H1912" s="0" t="s">
        <v>8561</v>
      </c>
      <c r="I1912" s="0" t="s">
        <v>7338</v>
      </c>
      <c r="J1912" s="0" t="s">
        <v>6934</v>
      </c>
      <c r="K1912" s="0" t="s">
        <v>7339</v>
      </c>
      <c r="L1912" s="0" t="s">
        <v>7340</v>
      </c>
      <c r="M1912" s="0" t="s">
        <v>7341</v>
      </c>
      <c r="N1912" s="0" t="s">
        <v>7342</v>
      </c>
      <c r="P1912" s="0" t="s">
        <v>229</v>
      </c>
      <c r="Q1912" s="0" t="s">
        <v>7354</v>
      </c>
      <c r="R1912" s="0" t="s">
        <v>7343</v>
      </c>
      <c r="S1912" s="0" t="s">
        <v>7344</v>
      </c>
      <c r="T1912" s="0" t="s">
        <v>228</v>
      </c>
      <c r="V1912" s="0" t="s">
        <v>34</v>
      </c>
      <c r="W1912" s="0" t="s">
        <v>41</v>
      </c>
      <c r="X1912" s="0" t="s">
        <v>7355</v>
      </c>
      <c r="Y1912" s="0" t="s">
        <v>7409</v>
      </c>
      <c r="Z1912" s="0" t="s">
        <v>7410</v>
      </c>
      <c r="AA1912" s="0" t="s">
        <v>7411</v>
      </c>
      <c r="AB1912" s="0" t="s">
        <v>1663</v>
      </c>
      <c r="AC1912" s="0" t="s">
        <v>7629</v>
      </c>
      <c r="AD1912" s="0" t="s">
        <v>7692</v>
      </c>
      <c r="AE1912" s="0" t="s">
        <v>7360</v>
      </c>
      <c r="AF1912" s="0" t="s">
        <v>7361</v>
      </c>
      <c r="AG1912" s="0" t="s">
        <v>230</v>
      </c>
    </row>
    <row r="1913" customFormat="false" ht="15" hidden="false" customHeight="false" outlineLevel="0" collapsed="false">
      <c r="A1913" s="0" t="s">
        <v>7336</v>
      </c>
      <c r="B1913" s="0" t="s">
        <v>6963</v>
      </c>
      <c r="C1913" s="0" t="s">
        <v>6964</v>
      </c>
      <c r="D1913" s="0" t="s">
        <v>227</v>
      </c>
      <c r="E1913" s="0" t="s">
        <v>6965</v>
      </c>
      <c r="F1913" s="0" t="s">
        <v>6966</v>
      </c>
      <c r="G1913" s="0" t="s">
        <v>6933</v>
      </c>
      <c r="H1913" s="0" t="s">
        <v>8562</v>
      </c>
      <c r="I1913" s="0" t="s">
        <v>7338</v>
      </c>
      <c r="J1913" s="0" t="s">
        <v>6934</v>
      </c>
      <c r="K1913" s="0" t="s">
        <v>7339</v>
      </c>
      <c r="L1913" s="0" t="s">
        <v>7340</v>
      </c>
      <c r="M1913" s="0" t="s">
        <v>7341</v>
      </c>
      <c r="N1913" s="0" t="s">
        <v>7342</v>
      </c>
      <c r="P1913" s="0" t="s">
        <v>229</v>
      </c>
      <c r="Q1913" s="0" t="s">
        <v>7354</v>
      </c>
      <c r="R1913" s="0" t="s">
        <v>7343</v>
      </c>
      <c r="S1913" s="0" t="s">
        <v>7344</v>
      </c>
      <c r="T1913" s="0" t="s">
        <v>228</v>
      </c>
      <c r="V1913" s="0" t="s">
        <v>34</v>
      </c>
      <c r="W1913" s="0" t="s">
        <v>41</v>
      </c>
      <c r="X1913" s="0" t="s">
        <v>7355</v>
      </c>
      <c r="Y1913" s="0" t="s">
        <v>7409</v>
      </c>
      <c r="Z1913" s="0" t="s">
        <v>7410</v>
      </c>
      <c r="AA1913" s="0" t="s">
        <v>7411</v>
      </c>
      <c r="AB1913" s="0" t="s">
        <v>1663</v>
      </c>
      <c r="AC1913" s="0" t="s">
        <v>7629</v>
      </c>
      <c r="AD1913" s="0" t="s">
        <v>7692</v>
      </c>
      <c r="AE1913" s="0" t="s">
        <v>7360</v>
      </c>
      <c r="AF1913" s="0" t="s">
        <v>7361</v>
      </c>
      <c r="AG1913" s="0" t="s">
        <v>230</v>
      </c>
    </row>
    <row r="1914" customFormat="false" ht="15" hidden="false" customHeight="false" outlineLevel="0" collapsed="false">
      <c r="A1914" s="0" t="s">
        <v>7336</v>
      </c>
      <c r="B1914" s="0" t="s">
        <v>6967</v>
      </c>
      <c r="C1914" s="0" t="s">
        <v>6968</v>
      </c>
      <c r="D1914" s="0" t="s">
        <v>227</v>
      </c>
      <c r="E1914" s="0" t="s">
        <v>6969</v>
      </c>
      <c r="F1914" s="0" t="s">
        <v>6970</v>
      </c>
      <c r="G1914" s="0" t="s">
        <v>6933</v>
      </c>
      <c r="H1914" s="0" t="s">
        <v>8563</v>
      </c>
      <c r="I1914" s="0" t="s">
        <v>7338</v>
      </c>
      <c r="J1914" s="0" t="s">
        <v>6934</v>
      </c>
      <c r="K1914" s="0" t="s">
        <v>7339</v>
      </c>
      <c r="L1914" s="0" t="s">
        <v>7340</v>
      </c>
      <c r="M1914" s="0" t="s">
        <v>7341</v>
      </c>
      <c r="N1914" s="0" t="s">
        <v>7342</v>
      </c>
      <c r="P1914" s="0" t="s">
        <v>229</v>
      </c>
      <c r="Q1914" s="0" t="s">
        <v>7354</v>
      </c>
      <c r="R1914" s="0" t="s">
        <v>7343</v>
      </c>
      <c r="S1914" s="0" t="s">
        <v>7344</v>
      </c>
      <c r="T1914" s="0" t="s">
        <v>228</v>
      </c>
      <c r="V1914" s="0" t="s">
        <v>34</v>
      </c>
      <c r="W1914" s="0" t="s">
        <v>41</v>
      </c>
      <c r="X1914" s="0" t="s">
        <v>7355</v>
      </c>
      <c r="Y1914" s="0" t="s">
        <v>7409</v>
      </c>
      <c r="Z1914" s="0" t="s">
        <v>7410</v>
      </c>
      <c r="AA1914" s="0" t="s">
        <v>7411</v>
      </c>
      <c r="AB1914" s="0" t="s">
        <v>1663</v>
      </c>
      <c r="AC1914" s="0" t="s">
        <v>7629</v>
      </c>
      <c r="AD1914" s="0" t="s">
        <v>7692</v>
      </c>
      <c r="AE1914" s="0" t="s">
        <v>7360</v>
      </c>
      <c r="AF1914" s="0" t="s">
        <v>7361</v>
      </c>
      <c r="AG1914" s="0" t="s">
        <v>230</v>
      </c>
    </row>
    <row r="1915" customFormat="false" ht="15" hidden="false" customHeight="false" outlineLevel="0" collapsed="false">
      <c r="A1915" s="0" t="s">
        <v>7336</v>
      </c>
      <c r="B1915" s="0" t="s">
        <v>6971</v>
      </c>
      <c r="C1915" s="0" t="s">
        <v>6972</v>
      </c>
      <c r="D1915" s="0" t="s">
        <v>227</v>
      </c>
      <c r="E1915" s="0" t="s">
        <v>6973</v>
      </c>
      <c r="F1915" s="0" t="s">
        <v>6974</v>
      </c>
      <c r="G1915" s="0" t="s">
        <v>6933</v>
      </c>
      <c r="H1915" s="0" t="s">
        <v>8564</v>
      </c>
      <c r="I1915" s="0" t="s">
        <v>7338</v>
      </c>
      <c r="J1915" s="0" t="s">
        <v>6934</v>
      </c>
      <c r="K1915" s="0" t="s">
        <v>7339</v>
      </c>
      <c r="L1915" s="0" t="s">
        <v>7340</v>
      </c>
      <c r="M1915" s="0" t="s">
        <v>7341</v>
      </c>
      <c r="N1915" s="0" t="s">
        <v>7342</v>
      </c>
      <c r="P1915" s="0" t="s">
        <v>229</v>
      </c>
      <c r="Q1915" s="0" t="s">
        <v>7354</v>
      </c>
      <c r="R1915" s="0" t="s">
        <v>7343</v>
      </c>
      <c r="S1915" s="0" t="s">
        <v>7344</v>
      </c>
      <c r="T1915" s="0" t="s">
        <v>228</v>
      </c>
      <c r="V1915" s="0" t="s">
        <v>34</v>
      </c>
      <c r="W1915" s="0" t="s">
        <v>41</v>
      </c>
      <c r="X1915" s="0" t="s">
        <v>7355</v>
      </c>
      <c r="Y1915" s="0" t="s">
        <v>7409</v>
      </c>
      <c r="Z1915" s="0" t="s">
        <v>7410</v>
      </c>
      <c r="AA1915" s="0" t="s">
        <v>7411</v>
      </c>
      <c r="AB1915" s="0" t="s">
        <v>1663</v>
      </c>
      <c r="AC1915" s="0" t="s">
        <v>7629</v>
      </c>
      <c r="AD1915" s="0" t="s">
        <v>7692</v>
      </c>
      <c r="AE1915" s="0" t="s">
        <v>7360</v>
      </c>
      <c r="AF1915" s="0" t="s">
        <v>7361</v>
      </c>
      <c r="AG1915" s="0" t="s">
        <v>230</v>
      </c>
    </row>
    <row r="1916" customFormat="false" ht="15" hidden="false" customHeight="false" outlineLevel="0" collapsed="false">
      <c r="A1916" s="0" t="s">
        <v>7336</v>
      </c>
      <c r="B1916" s="0" t="s">
        <v>6975</v>
      </c>
      <c r="C1916" s="0" t="s">
        <v>6976</v>
      </c>
      <c r="D1916" s="0" t="s">
        <v>227</v>
      </c>
      <c r="E1916" s="0" t="s">
        <v>6977</v>
      </c>
      <c r="F1916" s="0" t="s">
        <v>6978</v>
      </c>
      <c r="G1916" s="0" t="s">
        <v>178</v>
      </c>
      <c r="H1916" s="0" t="s">
        <v>8565</v>
      </c>
      <c r="I1916" s="0" t="s">
        <v>7338</v>
      </c>
      <c r="J1916" s="0" t="s">
        <v>6934</v>
      </c>
      <c r="K1916" s="0" t="s">
        <v>7339</v>
      </c>
      <c r="L1916" s="0" t="s">
        <v>7340</v>
      </c>
      <c r="M1916" s="0" t="s">
        <v>7341</v>
      </c>
      <c r="N1916" s="0" t="s">
        <v>7342</v>
      </c>
      <c r="P1916" s="0" t="s">
        <v>229</v>
      </c>
      <c r="Q1916" s="0" t="s">
        <v>7354</v>
      </c>
      <c r="R1916" s="0" t="s">
        <v>7343</v>
      </c>
      <c r="S1916" s="0" t="s">
        <v>7344</v>
      </c>
      <c r="T1916" s="0" t="s">
        <v>228</v>
      </c>
      <c r="V1916" s="0" t="s">
        <v>34</v>
      </c>
      <c r="W1916" s="0" t="s">
        <v>41</v>
      </c>
      <c r="X1916" s="0" t="s">
        <v>7355</v>
      </c>
      <c r="Y1916" s="0" t="s">
        <v>7409</v>
      </c>
      <c r="Z1916" s="0" t="s">
        <v>7410</v>
      </c>
      <c r="AA1916" s="0" t="s">
        <v>7411</v>
      </c>
      <c r="AB1916" s="0" t="s">
        <v>1663</v>
      </c>
      <c r="AC1916" s="0" t="s">
        <v>7629</v>
      </c>
      <c r="AD1916" s="0" t="s">
        <v>7692</v>
      </c>
      <c r="AE1916" s="0" t="s">
        <v>7360</v>
      </c>
      <c r="AF1916" s="0" t="s">
        <v>7361</v>
      </c>
      <c r="AG1916" s="0" t="s">
        <v>230</v>
      </c>
    </row>
    <row r="1917" customFormat="false" ht="15" hidden="false" customHeight="false" outlineLevel="0" collapsed="false">
      <c r="A1917" s="0" t="s">
        <v>7336</v>
      </c>
      <c r="B1917" s="0" t="s">
        <v>6979</v>
      </c>
      <c r="C1917" s="0" t="s">
        <v>6980</v>
      </c>
      <c r="D1917" s="0" t="s">
        <v>227</v>
      </c>
      <c r="E1917" s="0" t="s">
        <v>6981</v>
      </c>
      <c r="F1917" s="0" t="s">
        <v>6982</v>
      </c>
      <c r="G1917" s="0" t="s">
        <v>178</v>
      </c>
      <c r="H1917" s="0" t="s">
        <v>8566</v>
      </c>
      <c r="I1917" s="0" t="s">
        <v>7338</v>
      </c>
      <c r="J1917" s="0" t="s">
        <v>6934</v>
      </c>
      <c r="K1917" s="0" t="s">
        <v>7339</v>
      </c>
      <c r="L1917" s="0" t="s">
        <v>7340</v>
      </c>
      <c r="M1917" s="0" t="s">
        <v>7341</v>
      </c>
      <c r="N1917" s="0" t="s">
        <v>7342</v>
      </c>
      <c r="P1917" s="0" t="s">
        <v>229</v>
      </c>
      <c r="Q1917" s="0" t="s">
        <v>7354</v>
      </c>
      <c r="R1917" s="0" t="s">
        <v>7343</v>
      </c>
      <c r="S1917" s="0" t="s">
        <v>7344</v>
      </c>
      <c r="T1917" s="0" t="s">
        <v>228</v>
      </c>
      <c r="V1917" s="0" t="s">
        <v>34</v>
      </c>
      <c r="W1917" s="0" t="s">
        <v>41</v>
      </c>
      <c r="X1917" s="0" t="s">
        <v>7355</v>
      </c>
      <c r="Y1917" s="0" t="s">
        <v>7409</v>
      </c>
      <c r="Z1917" s="0" t="s">
        <v>7410</v>
      </c>
      <c r="AA1917" s="0" t="s">
        <v>7411</v>
      </c>
      <c r="AB1917" s="0" t="s">
        <v>1663</v>
      </c>
      <c r="AC1917" s="0" t="s">
        <v>7629</v>
      </c>
      <c r="AD1917" s="0" t="s">
        <v>7692</v>
      </c>
      <c r="AE1917" s="0" t="s">
        <v>7360</v>
      </c>
      <c r="AF1917" s="0" t="s">
        <v>7361</v>
      </c>
      <c r="AG1917" s="0" t="s">
        <v>230</v>
      </c>
    </row>
    <row r="1918" customFormat="false" ht="15" hidden="false" customHeight="false" outlineLevel="0" collapsed="false">
      <c r="A1918" s="0" t="s">
        <v>7336</v>
      </c>
      <c r="B1918" s="0" t="s">
        <v>6983</v>
      </c>
      <c r="C1918" s="0" t="s">
        <v>6984</v>
      </c>
      <c r="D1918" s="0" t="s">
        <v>227</v>
      </c>
      <c r="E1918" s="0" t="s">
        <v>6985</v>
      </c>
      <c r="F1918" s="0" t="s">
        <v>6986</v>
      </c>
      <c r="G1918" s="0" t="s">
        <v>178</v>
      </c>
      <c r="H1918" s="0" t="s">
        <v>8567</v>
      </c>
      <c r="I1918" s="0" t="s">
        <v>7338</v>
      </c>
      <c r="J1918" s="0" t="s">
        <v>6934</v>
      </c>
      <c r="K1918" s="0" t="s">
        <v>7339</v>
      </c>
      <c r="L1918" s="0" t="s">
        <v>7340</v>
      </c>
      <c r="M1918" s="0" t="s">
        <v>7341</v>
      </c>
      <c r="N1918" s="0" t="s">
        <v>7342</v>
      </c>
      <c r="P1918" s="0" t="s">
        <v>229</v>
      </c>
      <c r="Q1918" s="0" t="s">
        <v>7354</v>
      </c>
      <c r="R1918" s="0" t="s">
        <v>7343</v>
      </c>
      <c r="S1918" s="0" t="s">
        <v>7344</v>
      </c>
      <c r="T1918" s="0" t="s">
        <v>228</v>
      </c>
      <c r="V1918" s="0" t="s">
        <v>34</v>
      </c>
      <c r="W1918" s="0" t="s">
        <v>41</v>
      </c>
      <c r="X1918" s="0" t="s">
        <v>7355</v>
      </c>
      <c r="Y1918" s="0" t="s">
        <v>7409</v>
      </c>
      <c r="Z1918" s="0" t="s">
        <v>7410</v>
      </c>
      <c r="AA1918" s="0" t="s">
        <v>7411</v>
      </c>
      <c r="AB1918" s="0" t="s">
        <v>1663</v>
      </c>
      <c r="AC1918" s="0" t="s">
        <v>7629</v>
      </c>
      <c r="AD1918" s="0" t="s">
        <v>7692</v>
      </c>
      <c r="AE1918" s="0" t="s">
        <v>7360</v>
      </c>
      <c r="AF1918" s="0" t="s">
        <v>7361</v>
      </c>
      <c r="AG1918" s="0" t="s">
        <v>230</v>
      </c>
    </row>
    <row r="1919" customFormat="false" ht="15" hidden="false" customHeight="false" outlineLevel="0" collapsed="false">
      <c r="A1919" s="0" t="s">
        <v>7336</v>
      </c>
      <c r="B1919" s="0" t="s">
        <v>6987</v>
      </c>
      <c r="C1919" s="0" t="s">
        <v>6988</v>
      </c>
      <c r="D1919" s="0" t="s">
        <v>227</v>
      </c>
      <c r="E1919" s="0" t="s">
        <v>6989</v>
      </c>
      <c r="F1919" s="0" t="s">
        <v>6990</v>
      </c>
      <c r="G1919" s="0" t="s">
        <v>6933</v>
      </c>
      <c r="H1919" s="0" t="s">
        <v>8568</v>
      </c>
      <c r="I1919" s="0" t="s">
        <v>7338</v>
      </c>
      <c r="J1919" s="0" t="s">
        <v>6934</v>
      </c>
      <c r="K1919" s="0" t="s">
        <v>7339</v>
      </c>
      <c r="L1919" s="0" t="s">
        <v>7340</v>
      </c>
      <c r="M1919" s="0" t="s">
        <v>7341</v>
      </c>
      <c r="N1919" s="0" t="s">
        <v>7342</v>
      </c>
      <c r="P1919" s="0" t="s">
        <v>229</v>
      </c>
      <c r="Q1919" s="0" t="s">
        <v>7354</v>
      </c>
      <c r="R1919" s="0" t="s">
        <v>7343</v>
      </c>
      <c r="S1919" s="0" t="s">
        <v>7344</v>
      </c>
      <c r="T1919" s="0" t="s">
        <v>228</v>
      </c>
      <c r="V1919" s="0" t="s">
        <v>34</v>
      </c>
      <c r="W1919" s="0" t="s">
        <v>41</v>
      </c>
      <c r="X1919" s="0" t="s">
        <v>7355</v>
      </c>
      <c r="Y1919" s="0" t="s">
        <v>7409</v>
      </c>
      <c r="Z1919" s="0" t="s">
        <v>7410</v>
      </c>
      <c r="AA1919" s="0" t="s">
        <v>7411</v>
      </c>
      <c r="AB1919" s="0" t="s">
        <v>1663</v>
      </c>
      <c r="AC1919" s="0" t="s">
        <v>7629</v>
      </c>
      <c r="AD1919" s="0" t="s">
        <v>7692</v>
      </c>
      <c r="AE1919" s="0" t="s">
        <v>7360</v>
      </c>
      <c r="AF1919" s="0" t="s">
        <v>7361</v>
      </c>
      <c r="AG1919" s="0" t="s">
        <v>230</v>
      </c>
    </row>
    <row r="1920" customFormat="false" ht="15" hidden="false" customHeight="false" outlineLevel="0" collapsed="false">
      <c r="A1920" s="0" t="s">
        <v>7336</v>
      </c>
      <c r="B1920" s="0" t="s">
        <v>6991</v>
      </c>
      <c r="C1920" s="0" t="s">
        <v>6992</v>
      </c>
      <c r="D1920" s="0" t="s">
        <v>227</v>
      </c>
      <c r="E1920" s="0" t="s">
        <v>6993</v>
      </c>
      <c r="F1920" s="0" t="s">
        <v>6994</v>
      </c>
      <c r="G1920" s="0" t="s">
        <v>6933</v>
      </c>
      <c r="H1920" s="0" t="s">
        <v>8569</v>
      </c>
      <c r="I1920" s="0" t="s">
        <v>7338</v>
      </c>
      <c r="J1920" s="0" t="s">
        <v>6934</v>
      </c>
      <c r="K1920" s="0" t="s">
        <v>7339</v>
      </c>
      <c r="L1920" s="0" t="s">
        <v>7340</v>
      </c>
      <c r="M1920" s="0" t="s">
        <v>7341</v>
      </c>
      <c r="N1920" s="0" t="s">
        <v>7342</v>
      </c>
      <c r="P1920" s="0" t="s">
        <v>229</v>
      </c>
      <c r="Q1920" s="0" t="s">
        <v>7354</v>
      </c>
      <c r="R1920" s="0" t="s">
        <v>7343</v>
      </c>
      <c r="S1920" s="0" t="s">
        <v>7344</v>
      </c>
      <c r="T1920" s="0" t="s">
        <v>228</v>
      </c>
      <c r="V1920" s="0" t="s">
        <v>34</v>
      </c>
      <c r="W1920" s="0" t="s">
        <v>41</v>
      </c>
      <c r="X1920" s="0" t="s">
        <v>7355</v>
      </c>
      <c r="Y1920" s="0" t="s">
        <v>7409</v>
      </c>
      <c r="Z1920" s="0" t="s">
        <v>7410</v>
      </c>
      <c r="AA1920" s="0" t="s">
        <v>7411</v>
      </c>
      <c r="AB1920" s="0" t="s">
        <v>1663</v>
      </c>
      <c r="AC1920" s="0" t="s">
        <v>7629</v>
      </c>
      <c r="AD1920" s="0" t="s">
        <v>7692</v>
      </c>
      <c r="AE1920" s="0" t="s">
        <v>7360</v>
      </c>
      <c r="AF1920" s="0" t="s">
        <v>7361</v>
      </c>
      <c r="AG1920" s="0" t="s">
        <v>230</v>
      </c>
    </row>
    <row r="1921" customFormat="false" ht="15" hidden="false" customHeight="false" outlineLevel="0" collapsed="false">
      <c r="A1921" s="0" t="s">
        <v>7336</v>
      </c>
      <c r="B1921" s="0" t="s">
        <v>6995</v>
      </c>
      <c r="C1921" s="0" t="s">
        <v>6996</v>
      </c>
      <c r="D1921" s="0" t="s">
        <v>227</v>
      </c>
      <c r="E1921" s="0" t="s">
        <v>6997</v>
      </c>
      <c r="F1921" s="0" t="s">
        <v>6998</v>
      </c>
      <c r="G1921" s="0" t="s">
        <v>6933</v>
      </c>
      <c r="H1921" s="0" t="s">
        <v>8570</v>
      </c>
      <c r="I1921" s="0" t="s">
        <v>7338</v>
      </c>
      <c r="J1921" s="0" t="s">
        <v>6934</v>
      </c>
      <c r="K1921" s="0" t="s">
        <v>7339</v>
      </c>
      <c r="L1921" s="0" t="s">
        <v>7340</v>
      </c>
      <c r="M1921" s="0" t="s">
        <v>7341</v>
      </c>
      <c r="N1921" s="0" t="s">
        <v>7342</v>
      </c>
      <c r="P1921" s="0" t="s">
        <v>229</v>
      </c>
      <c r="Q1921" s="0" t="s">
        <v>7354</v>
      </c>
      <c r="R1921" s="0" t="s">
        <v>7343</v>
      </c>
      <c r="S1921" s="0" t="s">
        <v>7344</v>
      </c>
      <c r="T1921" s="0" t="s">
        <v>228</v>
      </c>
      <c r="V1921" s="0" t="s">
        <v>34</v>
      </c>
      <c r="W1921" s="0" t="s">
        <v>41</v>
      </c>
      <c r="X1921" s="0" t="s">
        <v>7355</v>
      </c>
      <c r="Y1921" s="0" t="s">
        <v>7409</v>
      </c>
      <c r="Z1921" s="0" t="s">
        <v>7410</v>
      </c>
      <c r="AA1921" s="0" t="s">
        <v>7411</v>
      </c>
      <c r="AB1921" s="0" t="s">
        <v>1663</v>
      </c>
      <c r="AC1921" s="0" t="s">
        <v>7629</v>
      </c>
      <c r="AD1921" s="0" t="s">
        <v>7692</v>
      </c>
      <c r="AE1921" s="0" t="s">
        <v>7360</v>
      </c>
      <c r="AF1921" s="0" t="s">
        <v>7361</v>
      </c>
      <c r="AG1921" s="0" t="s">
        <v>230</v>
      </c>
    </row>
    <row r="1922" customFormat="false" ht="15" hidden="false" customHeight="false" outlineLevel="0" collapsed="false">
      <c r="A1922" s="0" t="s">
        <v>7336</v>
      </c>
      <c r="B1922" s="0" t="s">
        <v>6999</v>
      </c>
      <c r="C1922" s="0" t="s">
        <v>7000</v>
      </c>
      <c r="D1922" s="0" t="s">
        <v>227</v>
      </c>
      <c r="E1922" s="0" t="s">
        <v>7001</v>
      </c>
      <c r="F1922" s="0" t="s">
        <v>7002</v>
      </c>
      <c r="G1922" s="0" t="s">
        <v>6933</v>
      </c>
      <c r="H1922" s="0" t="s">
        <v>8571</v>
      </c>
      <c r="I1922" s="0" t="s">
        <v>7338</v>
      </c>
      <c r="J1922" s="0" t="s">
        <v>6934</v>
      </c>
      <c r="K1922" s="0" t="s">
        <v>7339</v>
      </c>
      <c r="L1922" s="0" t="s">
        <v>7340</v>
      </c>
      <c r="M1922" s="0" t="s">
        <v>7341</v>
      </c>
      <c r="N1922" s="0" t="s">
        <v>7342</v>
      </c>
      <c r="P1922" s="0" t="s">
        <v>229</v>
      </c>
      <c r="Q1922" s="0" t="s">
        <v>7354</v>
      </c>
      <c r="R1922" s="0" t="s">
        <v>7343</v>
      </c>
      <c r="S1922" s="0" t="s">
        <v>7344</v>
      </c>
      <c r="T1922" s="0" t="s">
        <v>228</v>
      </c>
      <c r="V1922" s="0" t="s">
        <v>34</v>
      </c>
      <c r="W1922" s="0" t="s">
        <v>41</v>
      </c>
      <c r="X1922" s="0" t="s">
        <v>7355</v>
      </c>
      <c r="Y1922" s="0" t="s">
        <v>7409</v>
      </c>
      <c r="Z1922" s="0" t="s">
        <v>7410</v>
      </c>
      <c r="AA1922" s="0" t="s">
        <v>7411</v>
      </c>
      <c r="AB1922" s="0" t="s">
        <v>1663</v>
      </c>
      <c r="AC1922" s="0" t="s">
        <v>7629</v>
      </c>
      <c r="AD1922" s="0" t="s">
        <v>7692</v>
      </c>
      <c r="AE1922" s="0" t="s">
        <v>7360</v>
      </c>
      <c r="AF1922" s="0" t="s">
        <v>7361</v>
      </c>
      <c r="AG1922" s="0" t="s">
        <v>230</v>
      </c>
    </row>
    <row r="1923" customFormat="false" ht="15" hidden="false" customHeight="false" outlineLevel="0" collapsed="false">
      <c r="A1923" s="0" t="s">
        <v>7336</v>
      </c>
      <c r="B1923" s="0" t="s">
        <v>7003</v>
      </c>
      <c r="C1923" s="0" t="s">
        <v>7004</v>
      </c>
      <c r="D1923" s="0" t="s">
        <v>227</v>
      </c>
      <c r="E1923" s="0" t="s">
        <v>7005</v>
      </c>
      <c r="F1923" s="0" t="s">
        <v>7006</v>
      </c>
      <c r="G1923" s="0" t="s">
        <v>6933</v>
      </c>
      <c r="H1923" s="0" t="s">
        <v>8572</v>
      </c>
      <c r="I1923" s="0" t="s">
        <v>7338</v>
      </c>
      <c r="J1923" s="0" t="s">
        <v>6934</v>
      </c>
      <c r="K1923" s="0" t="s">
        <v>7339</v>
      </c>
      <c r="L1923" s="0" t="s">
        <v>7340</v>
      </c>
      <c r="M1923" s="0" t="s">
        <v>7341</v>
      </c>
      <c r="N1923" s="0" t="s">
        <v>7342</v>
      </c>
      <c r="P1923" s="0" t="s">
        <v>229</v>
      </c>
      <c r="Q1923" s="0" t="s">
        <v>7354</v>
      </c>
      <c r="R1923" s="0" t="s">
        <v>7343</v>
      </c>
      <c r="S1923" s="0" t="s">
        <v>7344</v>
      </c>
      <c r="T1923" s="0" t="s">
        <v>228</v>
      </c>
      <c r="V1923" s="0" t="s">
        <v>34</v>
      </c>
      <c r="W1923" s="0" t="s">
        <v>41</v>
      </c>
      <c r="X1923" s="0" t="s">
        <v>7355</v>
      </c>
      <c r="Y1923" s="0" t="s">
        <v>7409</v>
      </c>
      <c r="Z1923" s="0" t="s">
        <v>7410</v>
      </c>
      <c r="AA1923" s="0" t="s">
        <v>7411</v>
      </c>
      <c r="AB1923" s="0" t="s">
        <v>1663</v>
      </c>
      <c r="AC1923" s="0" t="s">
        <v>7629</v>
      </c>
      <c r="AD1923" s="0" t="s">
        <v>7692</v>
      </c>
      <c r="AE1923" s="0" t="s">
        <v>7360</v>
      </c>
      <c r="AF1923" s="0" t="s">
        <v>7361</v>
      </c>
      <c r="AG1923" s="0" t="s">
        <v>230</v>
      </c>
    </row>
    <row r="1924" customFormat="false" ht="15" hidden="false" customHeight="false" outlineLevel="0" collapsed="false">
      <c r="A1924" s="0" t="s">
        <v>7336</v>
      </c>
      <c r="B1924" s="0" t="s">
        <v>7007</v>
      </c>
      <c r="C1924" s="0" t="s">
        <v>7008</v>
      </c>
      <c r="D1924" s="0" t="s">
        <v>227</v>
      </c>
      <c r="E1924" s="0" t="s">
        <v>7009</v>
      </c>
      <c r="F1924" s="0" t="s">
        <v>7010</v>
      </c>
      <c r="G1924" s="0" t="s">
        <v>6933</v>
      </c>
      <c r="H1924" s="0" t="s">
        <v>8573</v>
      </c>
      <c r="I1924" s="0" t="s">
        <v>7338</v>
      </c>
      <c r="J1924" s="0" t="s">
        <v>6934</v>
      </c>
      <c r="K1924" s="0" t="s">
        <v>7339</v>
      </c>
      <c r="L1924" s="0" t="s">
        <v>7340</v>
      </c>
      <c r="M1924" s="0" t="s">
        <v>7341</v>
      </c>
      <c r="N1924" s="0" t="s">
        <v>7342</v>
      </c>
      <c r="P1924" s="0" t="s">
        <v>229</v>
      </c>
      <c r="Q1924" s="0" t="s">
        <v>7354</v>
      </c>
      <c r="R1924" s="0" t="s">
        <v>7343</v>
      </c>
      <c r="S1924" s="0" t="s">
        <v>7344</v>
      </c>
      <c r="T1924" s="0" t="s">
        <v>228</v>
      </c>
      <c r="V1924" s="0" t="s">
        <v>34</v>
      </c>
      <c r="W1924" s="0" t="s">
        <v>41</v>
      </c>
      <c r="X1924" s="0" t="s">
        <v>7355</v>
      </c>
      <c r="Y1924" s="0" t="s">
        <v>7409</v>
      </c>
      <c r="Z1924" s="0" t="s">
        <v>7410</v>
      </c>
      <c r="AA1924" s="0" t="s">
        <v>7411</v>
      </c>
      <c r="AB1924" s="0" t="s">
        <v>1663</v>
      </c>
      <c r="AC1924" s="0" t="s">
        <v>7629</v>
      </c>
      <c r="AD1924" s="0" t="s">
        <v>7692</v>
      </c>
      <c r="AE1924" s="0" t="s">
        <v>7360</v>
      </c>
      <c r="AF1924" s="0" t="s">
        <v>7361</v>
      </c>
      <c r="AG1924" s="0" t="s">
        <v>230</v>
      </c>
    </row>
    <row r="1925" customFormat="false" ht="15" hidden="false" customHeight="false" outlineLevel="0" collapsed="false">
      <c r="A1925" s="0" t="s">
        <v>7336</v>
      </c>
      <c r="B1925" s="0" t="s">
        <v>7011</v>
      </c>
      <c r="C1925" s="0" t="s">
        <v>7012</v>
      </c>
      <c r="D1925" s="0" t="s">
        <v>227</v>
      </c>
      <c r="E1925" s="0" t="s">
        <v>7013</v>
      </c>
      <c r="F1925" s="0" t="s">
        <v>7014</v>
      </c>
      <c r="G1925" s="0" t="s">
        <v>6933</v>
      </c>
      <c r="H1925" s="0" t="s">
        <v>8574</v>
      </c>
      <c r="I1925" s="0" t="s">
        <v>7338</v>
      </c>
      <c r="J1925" s="0" t="s">
        <v>6934</v>
      </c>
      <c r="K1925" s="0" t="s">
        <v>7339</v>
      </c>
      <c r="L1925" s="0" t="s">
        <v>7340</v>
      </c>
      <c r="M1925" s="0" t="s">
        <v>7341</v>
      </c>
      <c r="N1925" s="0" t="s">
        <v>7342</v>
      </c>
      <c r="P1925" s="0" t="s">
        <v>229</v>
      </c>
      <c r="Q1925" s="0" t="s">
        <v>7354</v>
      </c>
      <c r="R1925" s="0" t="s">
        <v>7343</v>
      </c>
      <c r="S1925" s="0" t="s">
        <v>7344</v>
      </c>
      <c r="T1925" s="0" t="s">
        <v>228</v>
      </c>
      <c r="V1925" s="0" t="s">
        <v>34</v>
      </c>
      <c r="W1925" s="0" t="s">
        <v>41</v>
      </c>
      <c r="X1925" s="0" t="s">
        <v>7355</v>
      </c>
      <c r="Y1925" s="0" t="s">
        <v>7409</v>
      </c>
      <c r="Z1925" s="0" t="s">
        <v>7410</v>
      </c>
      <c r="AA1925" s="0" t="s">
        <v>7411</v>
      </c>
      <c r="AB1925" s="0" t="s">
        <v>1663</v>
      </c>
      <c r="AC1925" s="0" t="s">
        <v>7629</v>
      </c>
      <c r="AD1925" s="0" t="s">
        <v>7692</v>
      </c>
      <c r="AE1925" s="0" t="s">
        <v>7360</v>
      </c>
      <c r="AF1925" s="0" t="s">
        <v>7361</v>
      </c>
      <c r="AG1925" s="0" t="s">
        <v>230</v>
      </c>
    </row>
    <row r="1926" customFormat="false" ht="15" hidden="false" customHeight="false" outlineLevel="0" collapsed="false">
      <c r="A1926" s="0" t="s">
        <v>7336</v>
      </c>
      <c r="B1926" s="0" t="s">
        <v>7015</v>
      </c>
      <c r="C1926" s="0" t="s">
        <v>7016</v>
      </c>
      <c r="D1926" s="0" t="s">
        <v>227</v>
      </c>
      <c r="E1926" s="0" t="s">
        <v>7017</v>
      </c>
      <c r="F1926" s="0" t="s">
        <v>7018</v>
      </c>
      <c r="G1926" s="0" t="s">
        <v>6933</v>
      </c>
      <c r="H1926" s="0" t="s">
        <v>8575</v>
      </c>
      <c r="I1926" s="0" t="s">
        <v>7338</v>
      </c>
      <c r="J1926" s="0" t="s">
        <v>6934</v>
      </c>
      <c r="K1926" s="0" t="s">
        <v>7339</v>
      </c>
      <c r="L1926" s="0" t="s">
        <v>7340</v>
      </c>
      <c r="M1926" s="0" t="s">
        <v>7341</v>
      </c>
      <c r="N1926" s="0" t="s">
        <v>7342</v>
      </c>
      <c r="P1926" s="0" t="s">
        <v>229</v>
      </c>
      <c r="Q1926" s="0" t="s">
        <v>7354</v>
      </c>
      <c r="R1926" s="0" t="s">
        <v>7343</v>
      </c>
      <c r="S1926" s="0" t="s">
        <v>7344</v>
      </c>
      <c r="T1926" s="0" t="s">
        <v>228</v>
      </c>
      <c r="V1926" s="0" t="s">
        <v>34</v>
      </c>
      <c r="W1926" s="0" t="s">
        <v>41</v>
      </c>
      <c r="X1926" s="0" t="s">
        <v>7355</v>
      </c>
      <c r="Y1926" s="0" t="s">
        <v>7409</v>
      </c>
      <c r="Z1926" s="0" t="s">
        <v>7410</v>
      </c>
      <c r="AA1926" s="0" t="s">
        <v>7411</v>
      </c>
      <c r="AB1926" s="0" t="s">
        <v>1663</v>
      </c>
      <c r="AC1926" s="0" t="s">
        <v>7629</v>
      </c>
      <c r="AD1926" s="0" t="s">
        <v>7692</v>
      </c>
      <c r="AE1926" s="0" t="s">
        <v>7360</v>
      </c>
      <c r="AF1926" s="0" t="s">
        <v>7361</v>
      </c>
      <c r="AG1926" s="0" t="s">
        <v>230</v>
      </c>
    </row>
    <row r="1927" customFormat="false" ht="15" hidden="false" customHeight="false" outlineLevel="0" collapsed="false">
      <c r="A1927" s="0" t="s">
        <v>7336</v>
      </c>
      <c r="B1927" s="0" t="s">
        <v>7019</v>
      </c>
      <c r="C1927" s="0" t="s">
        <v>7020</v>
      </c>
      <c r="D1927" s="0" t="s">
        <v>227</v>
      </c>
      <c r="E1927" s="0" t="s">
        <v>7021</v>
      </c>
      <c r="F1927" s="0" t="s">
        <v>7022</v>
      </c>
      <c r="G1927" s="0" t="s">
        <v>6933</v>
      </c>
      <c r="H1927" s="0" t="s">
        <v>8576</v>
      </c>
      <c r="I1927" s="0" t="s">
        <v>7338</v>
      </c>
      <c r="J1927" s="0" t="s">
        <v>6934</v>
      </c>
      <c r="K1927" s="0" t="s">
        <v>7339</v>
      </c>
      <c r="L1927" s="0" t="s">
        <v>7340</v>
      </c>
      <c r="M1927" s="0" t="s">
        <v>7341</v>
      </c>
      <c r="N1927" s="0" t="s">
        <v>7342</v>
      </c>
      <c r="P1927" s="0" t="s">
        <v>229</v>
      </c>
      <c r="Q1927" s="0" t="s">
        <v>7354</v>
      </c>
      <c r="R1927" s="0" t="s">
        <v>7343</v>
      </c>
      <c r="S1927" s="0" t="s">
        <v>7344</v>
      </c>
      <c r="T1927" s="0" t="s">
        <v>228</v>
      </c>
      <c r="V1927" s="0" t="s">
        <v>34</v>
      </c>
      <c r="W1927" s="0" t="s">
        <v>41</v>
      </c>
      <c r="X1927" s="0" t="s">
        <v>7355</v>
      </c>
      <c r="Y1927" s="0" t="s">
        <v>7409</v>
      </c>
      <c r="Z1927" s="0" t="s">
        <v>7410</v>
      </c>
      <c r="AA1927" s="0" t="s">
        <v>7411</v>
      </c>
      <c r="AB1927" s="0" t="s">
        <v>1663</v>
      </c>
      <c r="AC1927" s="0" t="s">
        <v>7629</v>
      </c>
      <c r="AD1927" s="0" t="s">
        <v>7692</v>
      </c>
      <c r="AE1927" s="0" t="s">
        <v>7360</v>
      </c>
      <c r="AF1927" s="0" t="s">
        <v>7361</v>
      </c>
      <c r="AG1927" s="0" t="s">
        <v>230</v>
      </c>
    </row>
    <row r="1928" customFormat="false" ht="15" hidden="false" customHeight="false" outlineLevel="0" collapsed="false">
      <c r="A1928" s="0" t="s">
        <v>7336</v>
      </c>
      <c r="B1928" s="0" t="s">
        <v>7023</v>
      </c>
      <c r="C1928" s="0" t="s">
        <v>7024</v>
      </c>
      <c r="D1928" s="0" t="s">
        <v>227</v>
      </c>
      <c r="E1928" s="0" t="s">
        <v>7025</v>
      </c>
      <c r="F1928" s="0" t="s">
        <v>7026</v>
      </c>
      <c r="G1928" s="0" t="s">
        <v>170</v>
      </c>
      <c r="H1928" s="0" t="s">
        <v>8577</v>
      </c>
      <c r="I1928" s="0" t="s">
        <v>7338</v>
      </c>
      <c r="J1928" s="0" t="s">
        <v>6934</v>
      </c>
      <c r="K1928" s="0" t="s">
        <v>7339</v>
      </c>
      <c r="L1928" s="0" t="s">
        <v>7340</v>
      </c>
      <c r="M1928" s="0" t="s">
        <v>7341</v>
      </c>
      <c r="N1928" s="0" t="s">
        <v>7342</v>
      </c>
      <c r="P1928" s="0" t="s">
        <v>229</v>
      </c>
      <c r="Q1928" s="0" t="s">
        <v>7354</v>
      </c>
      <c r="R1928" s="0" t="s">
        <v>7343</v>
      </c>
      <c r="S1928" s="0" t="s">
        <v>7344</v>
      </c>
      <c r="T1928" s="0" t="s">
        <v>228</v>
      </c>
      <c r="V1928" s="0" t="s">
        <v>34</v>
      </c>
      <c r="W1928" s="0" t="s">
        <v>54</v>
      </c>
      <c r="X1928" s="0" t="s">
        <v>7355</v>
      </c>
      <c r="Y1928" s="0" t="s">
        <v>7409</v>
      </c>
      <c r="Z1928" s="0" t="s">
        <v>7410</v>
      </c>
      <c r="AA1928" s="0" t="s">
        <v>7411</v>
      </c>
      <c r="AB1928" s="0" t="s">
        <v>1663</v>
      </c>
      <c r="AC1928" s="0" t="s">
        <v>7629</v>
      </c>
      <c r="AD1928" s="0" t="s">
        <v>7692</v>
      </c>
      <c r="AE1928" s="0" t="s">
        <v>7360</v>
      </c>
      <c r="AF1928" s="0" t="s">
        <v>7361</v>
      </c>
      <c r="AG1928" s="0" t="s">
        <v>230</v>
      </c>
    </row>
    <row r="1929" customFormat="false" ht="15" hidden="false" customHeight="false" outlineLevel="0" collapsed="false">
      <c r="A1929" s="0" t="s">
        <v>7336</v>
      </c>
      <c r="B1929" s="0" t="s">
        <v>7027</v>
      </c>
      <c r="C1929" s="0" t="s">
        <v>7028</v>
      </c>
      <c r="D1929" s="0" t="s">
        <v>227</v>
      </c>
      <c r="E1929" s="0" t="s">
        <v>7029</v>
      </c>
      <c r="F1929" s="0" t="s">
        <v>7030</v>
      </c>
      <c r="G1929" s="0" t="s">
        <v>170</v>
      </c>
      <c r="H1929" s="0" t="s">
        <v>8578</v>
      </c>
      <c r="I1929" s="0" t="s">
        <v>7338</v>
      </c>
      <c r="J1929" s="0" t="s">
        <v>6934</v>
      </c>
      <c r="K1929" s="0" t="s">
        <v>7339</v>
      </c>
      <c r="L1929" s="0" t="s">
        <v>7340</v>
      </c>
      <c r="M1929" s="0" t="s">
        <v>7341</v>
      </c>
      <c r="N1929" s="0" t="s">
        <v>7342</v>
      </c>
      <c r="P1929" s="0" t="s">
        <v>229</v>
      </c>
      <c r="Q1929" s="0" t="s">
        <v>7354</v>
      </c>
      <c r="R1929" s="0" t="s">
        <v>7343</v>
      </c>
      <c r="S1929" s="0" t="s">
        <v>7344</v>
      </c>
      <c r="T1929" s="0" t="s">
        <v>228</v>
      </c>
      <c r="V1929" s="0" t="s">
        <v>34</v>
      </c>
      <c r="W1929" s="0" t="s">
        <v>54</v>
      </c>
      <c r="X1929" s="0" t="s">
        <v>7355</v>
      </c>
      <c r="Y1929" s="0" t="s">
        <v>7409</v>
      </c>
      <c r="Z1929" s="0" t="s">
        <v>7410</v>
      </c>
      <c r="AA1929" s="0" t="s">
        <v>7411</v>
      </c>
      <c r="AB1929" s="0" t="s">
        <v>1663</v>
      </c>
      <c r="AC1929" s="0" t="s">
        <v>7629</v>
      </c>
      <c r="AD1929" s="0" t="s">
        <v>7692</v>
      </c>
      <c r="AE1929" s="0" t="s">
        <v>7360</v>
      </c>
      <c r="AF1929" s="0" t="s">
        <v>7361</v>
      </c>
      <c r="AG1929" s="0" t="s">
        <v>230</v>
      </c>
    </row>
    <row r="1930" customFormat="false" ht="15" hidden="false" customHeight="false" outlineLevel="0" collapsed="false">
      <c r="A1930" s="0" t="s">
        <v>7336</v>
      </c>
      <c r="B1930" s="0" t="s">
        <v>7031</v>
      </c>
      <c r="C1930" s="0" t="s">
        <v>7032</v>
      </c>
      <c r="D1930" s="0" t="s">
        <v>227</v>
      </c>
      <c r="E1930" s="0" t="s">
        <v>7033</v>
      </c>
      <c r="F1930" s="0" t="s">
        <v>7034</v>
      </c>
      <c r="G1930" s="0" t="s">
        <v>170</v>
      </c>
      <c r="H1930" s="0" t="s">
        <v>8579</v>
      </c>
      <c r="I1930" s="0" t="s">
        <v>7338</v>
      </c>
      <c r="J1930" s="0" t="s">
        <v>6934</v>
      </c>
      <c r="K1930" s="0" t="s">
        <v>7339</v>
      </c>
      <c r="L1930" s="0" t="s">
        <v>7340</v>
      </c>
      <c r="M1930" s="0" t="s">
        <v>7341</v>
      </c>
      <c r="N1930" s="0" t="s">
        <v>7342</v>
      </c>
      <c r="P1930" s="0" t="s">
        <v>229</v>
      </c>
      <c r="Q1930" s="0" t="s">
        <v>7354</v>
      </c>
      <c r="R1930" s="0" t="s">
        <v>7343</v>
      </c>
      <c r="S1930" s="0" t="s">
        <v>7344</v>
      </c>
      <c r="T1930" s="0" t="s">
        <v>228</v>
      </c>
      <c r="V1930" s="0" t="s">
        <v>34</v>
      </c>
      <c r="W1930" s="0" t="s">
        <v>54</v>
      </c>
      <c r="X1930" s="0" t="s">
        <v>7355</v>
      </c>
      <c r="Y1930" s="0" t="s">
        <v>7409</v>
      </c>
      <c r="Z1930" s="0" t="s">
        <v>7410</v>
      </c>
      <c r="AA1930" s="0" t="s">
        <v>7411</v>
      </c>
      <c r="AB1930" s="0" t="s">
        <v>1663</v>
      </c>
      <c r="AC1930" s="0" t="s">
        <v>7629</v>
      </c>
      <c r="AD1930" s="0" t="s">
        <v>7692</v>
      </c>
      <c r="AE1930" s="0" t="s">
        <v>7360</v>
      </c>
      <c r="AF1930" s="0" t="s">
        <v>7361</v>
      </c>
      <c r="AG1930" s="0" t="s">
        <v>230</v>
      </c>
    </row>
    <row r="1931" customFormat="false" ht="15" hidden="false" customHeight="false" outlineLevel="0" collapsed="false">
      <c r="A1931" s="0" t="s">
        <v>7336</v>
      </c>
      <c r="B1931" s="0" t="s">
        <v>7035</v>
      </c>
      <c r="C1931" s="0" t="s">
        <v>7036</v>
      </c>
      <c r="D1931" s="0" t="s">
        <v>227</v>
      </c>
      <c r="E1931" s="0" t="s">
        <v>7037</v>
      </c>
      <c r="F1931" s="0" t="s">
        <v>7038</v>
      </c>
      <c r="G1931" s="0" t="s">
        <v>170</v>
      </c>
      <c r="H1931" s="0" t="s">
        <v>8580</v>
      </c>
      <c r="I1931" s="0" t="s">
        <v>7338</v>
      </c>
      <c r="J1931" s="0" t="s">
        <v>6934</v>
      </c>
      <c r="K1931" s="0" t="s">
        <v>7339</v>
      </c>
      <c r="L1931" s="0" t="s">
        <v>7340</v>
      </c>
      <c r="M1931" s="0" t="s">
        <v>7341</v>
      </c>
      <c r="N1931" s="0" t="s">
        <v>7342</v>
      </c>
      <c r="P1931" s="0" t="s">
        <v>229</v>
      </c>
      <c r="Q1931" s="0" t="s">
        <v>7354</v>
      </c>
      <c r="R1931" s="0" t="s">
        <v>7343</v>
      </c>
      <c r="S1931" s="0" t="s">
        <v>7344</v>
      </c>
      <c r="T1931" s="0" t="s">
        <v>228</v>
      </c>
      <c r="V1931" s="0" t="s">
        <v>34</v>
      </c>
      <c r="W1931" s="0" t="s">
        <v>54</v>
      </c>
      <c r="X1931" s="0" t="s">
        <v>7355</v>
      </c>
      <c r="Y1931" s="0" t="s">
        <v>7409</v>
      </c>
      <c r="Z1931" s="0" t="s">
        <v>7410</v>
      </c>
      <c r="AA1931" s="0" t="s">
        <v>7411</v>
      </c>
      <c r="AB1931" s="0" t="s">
        <v>1663</v>
      </c>
      <c r="AC1931" s="0" t="s">
        <v>7629</v>
      </c>
      <c r="AD1931" s="0" t="s">
        <v>7692</v>
      </c>
      <c r="AE1931" s="0" t="s">
        <v>7360</v>
      </c>
      <c r="AF1931" s="0" t="s">
        <v>7361</v>
      </c>
      <c r="AG1931" s="0" t="s">
        <v>230</v>
      </c>
    </row>
    <row r="1932" customFormat="false" ht="15" hidden="false" customHeight="false" outlineLevel="0" collapsed="false">
      <c r="A1932" s="0" t="s">
        <v>7336</v>
      </c>
      <c r="B1932" s="0" t="s">
        <v>7039</v>
      </c>
      <c r="C1932" s="0" t="s">
        <v>7040</v>
      </c>
      <c r="D1932" s="0" t="s">
        <v>227</v>
      </c>
      <c r="E1932" s="0" t="s">
        <v>7041</v>
      </c>
      <c r="F1932" s="0" t="s">
        <v>7042</v>
      </c>
      <c r="G1932" s="0" t="s">
        <v>170</v>
      </c>
      <c r="H1932" s="0" t="s">
        <v>8581</v>
      </c>
      <c r="I1932" s="0" t="s">
        <v>7338</v>
      </c>
      <c r="J1932" s="0" t="s">
        <v>6934</v>
      </c>
      <c r="K1932" s="0" t="s">
        <v>7339</v>
      </c>
      <c r="L1932" s="0" t="s">
        <v>7340</v>
      </c>
      <c r="M1932" s="0" t="s">
        <v>7341</v>
      </c>
      <c r="N1932" s="0" t="s">
        <v>7342</v>
      </c>
      <c r="P1932" s="0" t="s">
        <v>229</v>
      </c>
      <c r="Q1932" s="0" t="s">
        <v>7354</v>
      </c>
      <c r="R1932" s="0" t="s">
        <v>7343</v>
      </c>
      <c r="S1932" s="0" t="s">
        <v>7344</v>
      </c>
      <c r="T1932" s="0" t="s">
        <v>228</v>
      </c>
      <c r="V1932" s="0" t="s">
        <v>34</v>
      </c>
      <c r="W1932" s="0" t="s">
        <v>54</v>
      </c>
      <c r="X1932" s="0" t="s">
        <v>7355</v>
      </c>
      <c r="Y1932" s="0" t="s">
        <v>7409</v>
      </c>
      <c r="Z1932" s="0" t="s">
        <v>7410</v>
      </c>
      <c r="AA1932" s="0" t="s">
        <v>7411</v>
      </c>
      <c r="AB1932" s="0" t="s">
        <v>1663</v>
      </c>
      <c r="AC1932" s="0" t="s">
        <v>7629</v>
      </c>
      <c r="AD1932" s="0" t="s">
        <v>7692</v>
      </c>
      <c r="AE1932" s="0" t="s">
        <v>7360</v>
      </c>
      <c r="AF1932" s="0" t="s">
        <v>7361</v>
      </c>
      <c r="AG1932" s="0" t="s">
        <v>230</v>
      </c>
    </row>
    <row r="1933" customFormat="false" ht="15" hidden="false" customHeight="false" outlineLevel="0" collapsed="false">
      <c r="A1933" s="0" t="s">
        <v>7336</v>
      </c>
      <c r="B1933" s="0" t="s">
        <v>7043</v>
      </c>
      <c r="C1933" s="0" t="s">
        <v>7044</v>
      </c>
      <c r="D1933" s="0" t="s">
        <v>227</v>
      </c>
      <c r="E1933" s="0" t="s">
        <v>7045</v>
      </c>
      <c r="F1933" s="0" t="s">
        <v>7046</v>
      </c>
      <c r="G1933" s="0" t="s">
        <v>178</v>
      </c>
      <c r="H1933" s="0" t="s">
        <v>8582</v>
      </c>
      <c r="I1933" s="0" t="s">
        <v>7338</v>
      </c>
      <c r="J1933" s="0" t="s">
        <v>6934</v>
      </c>
      <c r="K1933" s="0" t="s">
        <v>7339</v>
      </c>
      <c r="L1933" s="0" t="s">
        <v>7340</v>
      </c>
      <c r="M1933" s="0" t="s">
        <v>7341</v>
      </c>
      <c r="N1933" s="0" t="s">
        <v>7342</v>
      </c>
      <c r="P1933" s="0" t="s">
        <v>229</v>
      </c>
      <c r="Q1933" s="0" t="s">
        <v>7354</v>
      </c>
      <c r="R1933" s="0" t="s">
        <v>7343</v>
      </c>
      <c r="S1933" s="0" t="s">
        <v>7344</v>
      </c>
      <c r="T1933" s="0" t="s">
        <v>228</v>
      </c>
      <c r="V1933" s="0" t="s">
        <v>34</v>
      </c>
      <c r="W1933" s="0" t="s">
        <v>41</v>
      </c>
      <c r="X1933" s="0" t="s">
        <v>7355</v>
      </c>
      <c r="Y1933" s="0" t="s">
        <v>7409</v>
      </c>
      <c r="Z1933" s="0" t="s">
        <v>7410</v>
      </c>
      <c r="AA1933" s="0" t="s">
        <v>7411</v>
      </c>
      <c r="AB1933" s="0" t="s">
        <v>1663</v>
      </c>
      <c r="AC1933" s="0" t="s">
        <v>7629</v>
      </c>
      <c r="AD1933" s="0" t="s">
        <v>7692</v>
      </c>
      <c r="AE1933" s="0" t="s">
        <v>7360</v>
      </c>
      <c r="AF1933" s="0" t="s">
        <v>7361</v>
      </c>
      <c r="AG1933" s="0" t="s">
        <v>230</v>
      </c>
    </row>
    <row r="1934" customFormat="false" ht="15" hidden="false" customHeight="false" outlineLevel="0" collapsed="false">
      <c r="A1934" s="0" t="s">
        <v>7336</v>
      </c>
      <c r="B1934" s="0" t="s">
        <v>7047</v>
      </c>
      <c r="C1934" s="0" t="s">
        <v>7048</v>
      </c>
      <c r="D1934" s="0" t="s">
        <v>227</v>
      </c>
      <c r="E1934" s="0" t="s">
        <v>7049</v>
      </c>
      <c r="F1934" s="0" t="s">
        <v>7050</v>
      </c>
      <c r="G1934" s="0" t="s">
        <v>180</v>
      </c>
      <c r="H1934" s="0" t="s">
        <v>8583</v>
      </c>
      <c r="I1934" s="0" t="s">
        <v>7338</v>
      </c>
      <c r="J1934" s="0" t="s">
        <v>6934</v>
      </c>
      <c r="K1934" s="0" t="s">
        <v>7339</v>
      </c>
      <c r="L1934" s="0" t="s">
        <v>7340</v>
      </c>
      <c r="M1934" s="0" t="s">
        <v>7341</v>
      </c>
      <c r="N1934" s="0" t="s">
        <v>7342</v>
      </c>
      <c r="P1934" s="0" t="s">
        <v>229</v>
      </c>
      <c r="Q1934" s="0" t="s">
        <v>7354</v>
      </c>
      <c r="R1934" s="0" t="s">
        <v>7343</v>
      </c>
      <c r="S1934" s="0" t="s">
        <v>7344</v>
      </c>
      <c r="T1934" s="0" t="s">
        <v>228</v>
      </c>
      <c r="V1934" s="0" t="s">
        <v>73</v>
      </c>
      <c r="W1934" s="0" t="s">
        <v>77</v>
      </c>
      <c r="X1934" s="0" t="s">
        <v>7355</v>
      </c>
      <c r="Y1934" s="0" t="s">
        <v>7356</v>
      </c>
      <c r="Z1934" s="0" t="s">
        <v>7357</v>
      </c>
      <c r="AA1934" s="0" t="s">
        <v>7358</v>
      </c>
      <c r="AB1934" s="0" t="s">
        <v>237</v>
      </c>
      <c r="AC1934" s="0" t="s">
        <v>7629</v>
      </c>
      <c r="AD1934" s="0" t="s">
        <v>8584</v>
      </c>
      <c r="AE1934" s="0" t="s">
        <v>7360</v>
      </c>
      <c r="AF1934" s="0" t="s">
        <v>7361</v>
      </c>
      <c r="AG1934" s="0" t="s">
        <v>230</v>
      </c>
    </row>
    <row r="1935" customFormat="false" ht="15" hidden="false" customHeight="false" outlineLevel="0" collapsed="false">
      <c r="A1935" s="0" t="s">
        <v>7336</v>
      </c>
      <c r="B1935" s="0" t="s">
        <v>7051</v>
      </c>
      <c r="C1935" s="0" t="s">
        <v>7052</v>
      </c>
      <c r="D1935" s="0" t="s">
        <v>227</v>
      </c>
      <c r="E1935" s="0" t="s">
        <v>7053</v>
      </c>
      <c r="F1935" s="0" t="s">
        <v>7054</v>
      </c>
      <c r="G1935" s="0" t="s">
        <v>180</v>
      </c>
      <c r="H1935" s="0" t="s">
        <v>8585</v>
      </c>
      <c r="I1935" s="0" t="s">
        <v>7338</v>
      </c>
      <c r="J1935" s="0" t="s">
        <v>6934</v>
      </c>
      <c r="K1935" s="0" t="s">
        <v>7339</v>
      </c>
      <c r="L1935" s="0" t="s">
        <v>7340</v>
      </c>
      <c r="M1935" s="0" t="s">
        <v>7341</v>
      </c>
      <c r="N1935" s="0" t="s">
        <v>7342</v>
      </c>
      <c r="P1935" s="0" t="s">
        <v>229</v>
      </c>
      <c r="Q1935" s="0" t="s">
        <v>7354</v>
      </c>
      <c r="R1935" s="0" t="s">
        <v>7343</v>
      </c>
      <c r="S1935" s="0" t="s">
        <v>7344</v>
      </c>
      <c r="T1935" s="0" t="s">
        <v>228</v>
      </c>
      <c r="V1935" s="0" t="s">
        <v>73</v>
      </c>
      <c r="W1935" s="0" t="s">
        <v>77</v>
      </c>
      <c r="X1935" s="0" t="s">
        <v>7355</v>
      </c>
      <c r="Y1935" s="0" t="s">
        <v>7356</v>
      </c>
      <c r="Z1935" s="0" t="s">
        <v>7357</v>
      </c>
      <c r="AA1935" s="0" t="s">
        <v>7358</v>
      </c>
      <c r="AB1935" s="0" t="s">
        <v>237</v>
      </c>
      <c r="AC1935" s="0" t="s">
        <v>7629</v>
      </c>
      <c r="AD1935" s="0" t="s">
        <v>8584</v>
      </c>
      <c r="AE1935" s="0" t="s">
        <v>7360</v>
      </c>
      <c r="AF1935" s="0" t="s">
        <v>7361</v>
      </c>
      <c r="AG1935" s="0" t="s">
        <v>230</v>
      </c>
    </row>
    <row r="1936" customFormat="false" ht="15" hidden="false" customHeight="false" outlineLevel="0" collapsed="false">
      <c r="A1936" s="0" t="s">
        <v>7336</v>
      </c>
      <c r="B1936" s="0" t="s">
        <v>7055</v>
      </c>
      <c r="C1936" s="0" t="s">
        <v>7056</v>
      </c>
      <c r="D1936" s="0" t="s">
        <v>227</v>
      </c>
      <c r="E1936" s="0" t="s">
        <v>7057</v>
      </c>
      <c r="F1936" s="0" t="s">
        <v>7058</v>
      </c>
      <c r="G1936" s="0" t="s">
        <v>180</v>
      </c>
      <c r="H1936" s="0" t="s">
        <v>8586</v>
      </c>
      <c r="I1936" s="0" t="s">
        <v>7338</v>
      </c>
      <c r="J1936" s="0" t="s">
        <v>6934</v>
      </c>
      <c r="K1936" s="0" t="s">
        <v>7339</v>
      </c>
      <c r="L1936" s="0" t="s">
        <v>7340</v>
      </c>
      <c r="M1936" s="0" t="s">
        <v>7341</v>
      </c>
      <c r="N1936" s="0" t="s">
        <v>7342</v>
      </c>
      <c r="P1936" s="0" t="s">
        <v>229</v>
      </c>
      <c r="Q1936" s="0" t="s">
        <v>7354</v>
      </c>
      <c r="R1936" s="0" t="s">
        <v>7343</v>
      </c>
      <c r="S1936" s="0" t="s">
        <v>7344</v>
      </c>
      <c r="T1936" s="0" t="s">
        <v>228</v>
      </c>
      <c r="V1936" s="0" t="s">
        <v>73</v>
      </c>
      <c r="W1936" s="0" t="s">
        <v>77</v>
      </c>
      <c r="X1936" s="0" t="s">
        <v>7355</v>
      </c>
      <c r="Y1936" s="0" t="s">
        <v>7356</v>
      </c>
      <c r="Z1936" s="0" t="s">
        <v>7357</v>
      </c>
      <c r="AA1936" s="0" t="s">
        <v>7358</v>
      </c>
      <c r="AB1936" s="0" t="s">
        <v>237</v>
      </c>
      <c r="AC1936" s="0" t="s">
        <v>7629</v>
      </c>
      <c r="AD1936" s="0" t="s">
        <v>8584</v>
      </c>
      <c r="AE1936" s="0" t="s">
        <v>7360</v>
      </c>
      <c r="AF1936" s="0" t="s">
        <v>7361</v>
      </c>
      <c r="AG1936" s="0" t="s">
        <v>230</v>
      </c>
    </row>
    <row r="1937" customFormat="false" ht="15" hidden="false" customHeight="false" outlineLevel="0" collapsed="false">
      <c r="A1937" s="0" t="s">
        <v>7336</v>
      </c>
      <c r="B1937" s="0" t="s">
        <v>7059</v>
      </c>
      <c r="C1937" s="0" t="s">
        <v>7060</v>
      </c>
      <c r="D1937" s="0" t="s">
        <v>227</v>
      </c>
      <c r="E1937" s="0" t="s">
        <v>7061</v>
      </c>
      <c r="F1937" s="0" t="s">
        <v>7062</v>
      </c>
      <c r="G1937" s="0" t="s">
        <v>180</v>
      </c>
      <c r="H1937" s="0" t="s">
        <v>8587</v>
      </c>
      <c r="I1937" s="0" t="s">
        <v>7338</v>
      </c>
      <c r="J1937" s="0" t="s">
        <v>6934</v>
      </c>
      <c r="K1937" s="0" t="s">
        <v>7339</v>
      </c>
      <c r="L1937" s="0" t="s">
        <v>7340</v>
      </c>
      <c r="M1937" s="0" t="s">
        <v>7341</v>
      </c>
      <c r="N1937" s="0" t="s">
        <v>7342</v>
      </c>
      <c r="P1937" s="0" t="s">
        <v>229</v>
      </c>
      <c r="Q1937" s="0" t="s">
        <v>7354</v>
      </c>
      <c r="R1937" s="0" t="s">
        <v>7343</v>
      </c>
      <c r="S1937" s="0" t="s">
        <v>7344</v>
      </c>
      <c r="T1937" s="0" t="s">
        <v>228</v>
      </c>
      <c r="V1937" s="0" t="s">
        <v>73</v>
      </c>
      <c r="W1937" s="0" t="s">
        <v>77</v>
      </c>
      <c r="X1937" s="0" t="s">
        <v>7355</v>
      </c>
      <c r="Y1937" s="0" t="s">
        <v>7356</v>
      </c>
      <c r="Z1937" s="0" t="s">
        <v>7357</v>
      </c>
      <c r="AA1937" s="0" t="s">
        <v>7358</v>
      </c>
      <c r="AB1937" s="0" t="s">
        <v>237</v>
      </c>
      <c r="AC1937" s="0" t="s">
        <v>7629</v>
      </c>
      <c r="AD1937" s="0" t="s">
        <v>8584</v>
      </c>
      <c r="AE1937" s="0" t="s">
        <v>7360</v>
      </c>
      <c r="AF1937" s="0" t="s">
        <v>7361</v>
      </c>
      <c r="AG1937" s="0" t="s">
        <v>230</v>
      </c>
    </row>
    <row r="1938" customFormat="false" ht="15" hidden="false" customHeight="false" outlineLevel="0" collapsed="false">
      <c r="A1938" s="0" t="s">
        <v>7336</v>
      </c>
      <c r="B1938" s="0" t="s">
        <v>7063</v>
      </c>
      <c r="C1938" s="0" t="s">
        <v>7064</v>
      </c>
      <c r="D1938" s="0" t="s">
        <v>227</v>
      </c>
      <c r="E1938" s="0" t="s">
        <v>7065</v>
      </c>
      <c r="F1938" s="0" t="s">
        <v>7066</v>
      </c>
      <c r="G1938" s="0" t="s">
        <v>180</v>
      </c>
      <c r="H1938" s="0" t="s">
        <v>8588</v>
      </c>
      <c r="I1938" s="0" t="s">
        <v>7338</v>
      </c>
      <c r="J1938" s="0" t="s">
        <v>6934</v>
      </c>
      <c r="K1938" s="0" t="s">
        <v>7339</v>
      </c>
      <c r="L1938" s="0" t="s">
        <v>7340</v>
      </c>
      <c r="M1938" s="0" t="s">
        <v>7341</v>
      </c>
      <c r="N1938" s="0" t="s">
        <v>7342</v>
      </c>
      <c r="P1938" s="0" t="s">
        <v>229</v>
      </c>
      <c r="Q1938" s="0" t="s">
        <v>7354</v>
      </c>
      <c r="R1938" s="0" t="s">
        <v>7343</v>
      </c>
      <c r="S1938" s="0" t="s">
        <v>7344</v>
      </c>
      <c r="T1938" s="0" t="s">
        <v>228</v>
      </c>
      <c r="V1938" s="0" t="s">
        <v>73</v>
      </c>
      <c r="W1938" s="0" t="s">
        <v>77</v>
      </c>
      <c r="X1938" s="0" t="s">
        <v>7355</v>
      </c>
      <c r="Y1938" s="0" t="s">
        <v>7356</v>
      </c>
      <c r="Z1938" s="0" t="s">
        <v>7357</v>
      </c>
      <c r="AA1938" s="0" t="s">
        <v>7358</v>
      </c>
      <c r="AB1938" s="0" t="s">
        <v>237</v>
      </c>
      <c r="AC1938" s="0" t="s">
        <v>7629</v>
      </c>
      <c r="AD1938" s="0" t="s">
        <v>8584</v>
      </c>
      <c r="AE1938" s="0" t="s">
        <v>7360</v>
      </c>
      <c r="AF1938" s="0" t="s">
        <v>7361</v>
      </c>
      <c r="AG1938" s="0" t="s">
        <v>230</v>
      </c>
    </row>
    <row r="1939" customFormat="false" ht="15" hidden="false" customHeight="false" outlineLevel="0" collapsed="false">
      <c r="A1939" s="0" t="s">
        <v>7336</v>
      </c>
      <c r="B1939" s="0" t="s">
        <v>7067</v>
      </c>
      <c r="C1939" s="0" t="s">
        <v>7068</v>
      </c>
      <c r="D1939" s="0" t="s">
        <v>227</v>
      </c>
      <c r="E1939" s="0" t="s">
        <v>7069</v>
      </c>
      <c r="F1939" s="0" t="s">
        <v>7070</v>
      </c>
      <c r="G1939" s="0" t="s">
        <v>180</v>
      </c>
      <c r="H1939" s="0" t="s">
        <v>8589</v>
      </c>
      <c r="I1939" s="0" t="s">
        <v>7338</v>
      </c>
      <c r="J1939" s="0" t="s">
        <v>6934</v>
      </c>
      <c r="K1939" s="0" t="s">
        <v>7339</v>
      </c>
      <c r="L1939" s="0" t="s">
        <v>7340</v>
      </c>
      <c r="M1939" s="0" t="s">
        <v>7341</v>
      </c>
      <c r="N1939" s="0" t="s">
        <v>7342</v>
      </c>
      <c r="P1939" s="0" t="s">
        <v>229</v>
      </c>
      <c r="Q1939" s="0" t="s">
        <v>7354</v>
      </c>
      <c r="R1939" s="0" t="s">
        <v>7343</v>
      </c>
      <c r="S1939" s="0" t="s">
        <v>7344</v>
      </c>
      <c r="T1939" s="0" t="s">
        <v>228</v>
      </c>
      <c r="V1939" s="0" t="s">
        <v>73</v>
      </c>
      <c r="W1939" s="0" t="s">
        <v>77</v>
      </c>
      <c r="X1939" s="0" t="s">
        <v>7355</v>
      </c>
      <c r="Y1939" s="0" t="s">
        <v>7356</v>
      </c>
      <c r="Z1939" s="0" t="s">
        <v>7357</v>
      </c>
      <c r="AA1939" s="0" t="s">
        <v>7358</v>
      </c>
      <c r="AB1939" s="0" t="s">
        <v>237</v>
      </c>
      <c r="AC1939" s="0" t="s">
        <v>7629</v>
      </c>
      <c r="AD1939" s="0" t="s">
        <v>8584</v>
      </c>
      <c r="AE1939" s="0" t="s">
        <v>7360</v>
      </c>
      <c r="AF1939" s="0" t="s">
        <v>7361</v>
      </c>
      <c r="AG1939" s="0" t="s">
        <v>230</v>
      </c>
    </row>
    <row r="1940" customFormat="false" ht="15" hidden="false" customHeight="false" outlineLevel="0" collapsed="false">
      <c r="A1940" s="0" t="s">
        <v>7336</v>
      </c>
      <c r="B1940" s="0" t="s">
        <v>7071</v>
      </c>
      <c r="C1940" s="0" t="s">
        <v>7072</v>
      </c>
      <c r="D1940" s="0" t="s">
        <v>227</v>
      </c>
      <c r="E1940" s="0" t="s">
        <v>7073</v>
      </c>
      <c r="F1940" s="0" t="s">
        <v>7074</v>
      </c>
      <c r="G1940" s="0" t="s">
        <v>180</v>
      </c>
      <c r="H1940" s="0" t="s">
        <v>8590</v>
      </c>
      <c r="I1940" s="0" t="s">
        <v>7338</v>
      </c>
      <c r="J1940" s="0" t="s">
        <v>6934</v>
      </c>
      <c r="K1940" s="0" t="s">
        <v>7339</v>
      </c>
      <c r="L1940" s="0" t="s">
        <v>7340</v>
      </c>
      <c r="M1940" s="0" t="s">
        <v>7341</v>
      </c>
      <c r="N1940" s="0" t="s">
        <v>7342</v>
      </c>
      <c r="P1940" s="0" t="s">
        <v>229</v>
      </c>
      <c r="Q1940" s="0" t="s">
        <v>7354</v>
      </c>
      <c r="R1940" s="0" t="s">
        <v>7343</v>
      </c>
      <c r="S1940" s="0" t="s">
        <v>7344</v>
      </c>
      <c r="T1940" s="0" t="s">
        <v>228</v>
      </c>
      <c r="V1940" s="0" t="s">
        <v>73</v>
      </c>
      <c r="W1940" s="0" t="s">
        <v>77</v>
      </c>
      <c r="X1940" s="0" t="s">
        <v>7355</v>
      </c>
      <c r="Y1940" s="0" t="s">
        <v>7356</v>
      </c>
      <c r="Z1940" s="0" t="s">
        <v>7357</v>
      </c>
      <c r="AA1940" s="0" t="s">
        <v>7358</v>
      </c>
      <c r="AB1940" s="0" t="s">
        <v>237</v>
      </c>
      <c r="AC1940" s="0" t="s">
        <v>7629</v>
      </c>
      <c r="AD1940" s="0" t="s">
        <v>8584</v>
      </c>
      <c r="AE1940" s="0" t="s">
        <v>7360</v>
      </c>
      <c r="AF1940" s="0" t="s">
        <v>7361</v>
      </c>
      <c r="AG1940" s="0" t="s">
        <v>230</v>
      </c>
    </row>
    <row r="1941" customFormat="false" ht="15" hidden="false" customHeight="false" outlineLevel="0" collapsed="false">
      <c r="A1941" s="0" t="s">
        <v>7336</v>
      </c>
      <c r="B1941" s="0" t="s">
        <v>7075</v>
      </c>
      <c r="C1941" s="0" t="s">
        <v>7076</v>
      </c>
      <c r="D1941" s="0" t="s">
        <v>227</v>
      </c>
      <c r="E1941" s="0" t="s">
        <v>7077</v>
      </c>
      <c r="F1941" s="0" t="s">
        <v>7078</v>
      </c>
      <c r="G1941" s="0" t="s">
        <v>180</v>
      </c>
      <c r="H1941" s="0" t="s">
        <v>8591</v>
      </c>
      <c r="I1941" s="0" t="s">
        <v>7338</v>
      </c>
      <c r="J1941" s="0" t="s">
        <v>6934</v>
      </c>
      <c r="K1941" s="0" t="s">
        <v>7339</v>
      </c>
      <c r="L1941" s="0" t="s">
        <v>7340</v>
      </c>
      <c r="M1941" s="0" t="s">
        <v>7341</v>
      </c>
      <c r="N1941" s="0" t="s">
        <v>7342</v>
      </c>
      <c r="P1941" s="0" t="s">
        <v>229</v>
      </c>
      <c r="Q1941" s="0" t="s">
        <v>7354</v>
      </c>
      <c r="R1941" s="0" t="s">
        <v>7343</v>
      </c>
      <c r="S1941" s="0" t="s">
        <v>7344</v>
      </c>
      <c r="T1941" s="0" t="s">
        <v>228</v>
      </c>
      <c r="V1941" s="0" t="s">
        <v>73</v>
      </c>
      <c r="W1941" s="0" t="s">
        <v>77</v>
      </c>
      <c r="X1941" s="0" t="s">
        <v>7355</v>
      </c>
      <c r="Y1941" s="0" t="s">
        <v>7356</v>
      </c>
      <c r="Z1941" s="0" t="s">
        <v>7357</v>
      </c>
      <c r="AA1941" s="0" t="s">
        <v>7358</v>
      </c>
      <c r="AB1941" s="0" t="s">
        <v>237</v>
      </c>
      <c r="AC1941" s="0" t="s">
        <v>7629</v>
      </c>
      <c r="AD1941" s="0" t="s">
        <v>8584</v>
      </c>
      <c r="AE1941" s="0" t="s">
        <v>7360</v>
      </c>
      <c r="AF1941" s="0" t="s">
        <v>7361</v>
      </c>
      <c r="AG1941" s="0" t="s">
        <v>230</v>
      </c>
    </row>
    <row r="1942" customFormat="false" ht="15" hidden="false" customHeight="false" outlineLevel="0" collapsed="false">
      <c r="A1942" s="0" t="s">
        <v>7336</v>
      </c>
      <c r="B1942" s="0" t="s">
        <v>7079</v>
      </c>
      <c r="C1942" s="0" t="s">
        <v>7080</v>
      </c>
      <c r="D1942" s="0" t="s">
        <v>227</v>
      </c>
      <c r="E1942" s="0" t="s">
        <v>7081</v>
      </c>
      <c r="F1942" s="0" t="s">
        <v>7082</v>
      </c>
      <c r="G1942" s="0" t="s">
        <v>180</v>
      </c>
      <c r="H1942" s="0" t="s">
        <v>8592</v>
      </c>
      <c r="I1942" s="0" t="s">
        <v>7338</v>
      </c>
      <c r="J1942" s="0" t="s">
        <v>6934</v>
      </c>
      <c r="K1942" s="0" t="s">
        <v>7339</v>
      </c>
      <c r="L1942" s="0" t="s">
        <v>7340</v>
      </c>
      <c r="M1942" s="0" t="s">
        <v>7341</v>
      </c>
      <c r="N1942" s="0" t="s">
        <v>7342</v>
      </c>
      <c r="P1942" s="0" t="s">
        <v>229</v>
      </c>
      <c r="Q1942" s="0" t="s">
        <v>7354</v>
      </c>
      <c r="R1942" s="0" t="s">
        <v>7343</v>
      </c>
      <c r="S1942" s="0" t="s">
        <v>7344</v>
      </c>
      <c r="T1942" s="0" t="s">
        <v>228</v>
      </c>
      <c r="V1942" s="0" t="s">
        <v>73</v>
      </c>
      <c r="W1942" s="0" t="s">
        <v>77</v>
      </c>
      <c r="X1942" s="0" t="s">
        <v>7355</v>
      </c>
      <c r="Y1942" s="0" t="s">
        <v>7356</v>
      </c>
      <c r="Z1942" s="0" t="s">
        <v>7357</v>
      </c>
      <c r="AA1942" s="0" t="s">
        <v>7358</v>
      </c>
      <c r="AB1942" s="0" t="s">
        <v>237</v>
      </c>
      <c r="AC1942" s="0" t="s">
        <v>7629</v>
      </c>
      <c r="AD1942" s="0" t="s">
        <v>8584</v>
      </c>
      <c r="AE1942" s="0" t="s">
        <v>7360</v>
      </c>
      <c r="AF1942" s="0" t="s">
        <v>7361</v>
      </c>
      <c r="AG1942" s="0" t="s">
        <v>230</v>
      </c>
    </row>
    <row r="1943" customFormat="false" ht="15" hidden="false" customHeight="false" outlineLevel="0" collapsed="false">
      <c r="A1943" s="0" t="s">
        <v>7336</v>
      </c>
      <c r="B1943" s="0" t="s">
        <v>7083</v>
      </c>
      <c r="C1943" s="0" t="s">
        <v>7084</v>
      </c>
      <c r="D1943" s="0" t="s">
        <v>227</v>
      </c>
      <c r="E1943" s="0" t="s">
        <v>7085</v>
      </c>
      <c r="F1943" s="0" t="s">
        <v>7086</v>
      </c>
      <c r="G1943" s="0" t="s">
        <v>180</v>
      </c>
      <c r="H1943" s="0" t="s">
        <v>8593</v>
      </c>
      <c r="I1943" s="0" t="s">
        <v>7338</v>
      </c>
      <c r="J1943" s="0" t="s">
        <v>6934</v>
      </c>
      <c r="K1943" s="0" t="s">
        <v>7339</v>
      </c>
      <c r="L1943" s="0" t="s">
        <v>7340</v>
      </c>
      <c r="M1943" s="0" t="s">
        <v>7341</v>
      </c>
      <c r="N1943" s="0" t="s">
        <v>7342</v>
      </c>
      <c r="P1943" s="0" t="s">
        <v>229</v>
      </c>
      <c r="Q1943" s="0" t="s">
        <v>7354</v>
      </c>
      <c r="R1943" s="0" t="s">
        <v>7343</v>
      </c>
      <c r="S1943" s="0" t="s">
        <v>7344</v>
      </c>
      <c r="T1943" s="0" t="s">
        <v>228</v>
      </c>
      <c r="V1943" s="0" t="s">
        <v>73</v>
      </c>
      <c r="W1943" s="0" t="s">
        <v>77</v>
      </c>
      <c r="X1943" s="0" t="s">
        <v>7355</v>
      </c>
      <c r="Y1943" s="0" t="s">
        <v>7356</v>
      </c>
      <c r="Z1943" s="0" t="s">
        <v>7357</v>
      </c>
      <c r="AA1943" s="0" t="s">
        <v>7358</v>
      </c>
      <c r="AB1943" s="0" t="s">
        <v>237</v>
      </c>
      <c r="AC1943" s="0" t="s">
        <v>7629</v>
      </c>
      <c r="AD1943" s="0" t="s">
        <v>8584</v>
      </c>
      <c r="AE1943" s="0" t="s">
        <v>7360</v>
      </c>
      <c r="AF1943" s="0" t="s">
        <v>7361</v>
      </c>
      <c r="AG1943" s="0" t="s">
        <v>230</v>
      </c>
    </row>
    <row r="1944" customFormat="false" ht="15" hidden="false" customHeight="false" outlineLevel="0" collapsed="false">
      <c r="A1944" s="0" t="s">
        <v>7336</v>
      </c>
      <c r="B1944" s="0" t="s">
        <v>7087</v>
      </c>
      <c r="C1944" s="0" t="s">
        <v>7088</v>
      </c>
      <c r="D1944" s="0" t="s">
        <v>227</v>
      </c>
      <c r="E1944" s="0" t="s">
        <v>7089</v>
      </c>
      <c r="F1944" s="0" t="s">
        <v>7090</v>
      </c>
      <c r="G1944" s="0" t="s">
        <v>180</v>
      </c>
      <c r="H1944" s="0" t="s">
        <v>8594</v>
      </c>
      <c r="I1944" s="0" t="s">
        <v>7338</v>
      </c>
      <c r="J1944" s="0" t="s">
        <v>6934</v>
      </c>
      <c r="K1944" s="0" t="s">
        <v>7339</v>
      </c>
      <c r="L1944" s="0" t="s">
        <v>7340</v>
      </c>
      <c r="M1944" s="0" t="s">
        <v>7341</v>
      </c>
      <c r="N1944" s="0" t="s">
        <v>7342</v>
      </c>
      <c r="P1944" s="0" t="s">
        <v>229</v>
      </c>
      <c r="Q1944" s="0" t="s">
        <v>7354</v>
      </c>
      <c r="R1944" s="0" t="s">
        <v>7343</v>
      </c>
      <c r="S1944" s="0" t="s">
        <v>7344</v>
      </c>
      <c r="T1944" s="0" t="s">
        <v>228</v>
      </c>
      <c r="V1944" s="0" t="s">
        <v>73</v>
      </c>
      <c r="W1944" s="0" t="s">
        <v>77</v>
      </c>
      <c r="X1944" s="0" t="s">
        <v>7355</v>
      </c>
      <c r="Y1944" s="0" t="s">
        <v>7356</v>
      </c>
      <c r="Z1944" s="0" t="s">
        <v>7357</v>
      </c>
      <c r="AA1944" s="0" t="s">
        <v>7358</v>
      </c>
      <c r="AB1944" s="0" t="s">
        <v>237</v>
      </c>
      <c r="AC1944" s="0" t="s">
        <v>7629</v>
      </c>
      <c r="AD1944" s="0" t="s">
        <v>8584</v>
      </c>
      <c r="AE1944" s="0" t="s">
        <v>7360</v>
      </c>
      <c r="AF1944" s="0" t="s">
        <v>7361</v>
      </c>
      <c r="AG1944" s="0" t="s">
        <v>230</v>
      </c>
    </row>
    <row r="1945" customFormat="false" ht="15" hidden="false" customHeight="false" outlineLevel="0" collapsed="false">
      <c r="A1945" s="0" t="s">
        <v>7336</v>
      </c>
      <c r="B1945" s="0" t="s">
        <v>7091</v>
      </c>
      <c r="C1945" s="0" t="s">
        <v>7092</v>
      </c>
      <c r="D1945" s="0" t="s">
        <v>227</v>
      </c>
      <c r="E1945" s="0" t="s">
        <v>7093</v>
      </c>
      <c r="F1945" s="0" t="s">
        <v>7094</v>
      </c>
      <c r="G1945" s="0" t="s">
        <v>180</v>
      </c>
      <c r="H1945" s="0" t="s">
        <v>8595</v>
      </c>
      <c r="I1945" s="0" t="s">
        <v>7338</v>
      </c>
      <c r="J1945" s="0" t="s">
        <v>6934</v>
      </c>
      <c r="K1945" s="0" t="s">
        <v>7339</v>
      </c>
      <c r="L1945" s="0" t="s">
        <v>7340</v>
      </c>
      <c r="M1945" s="0" t="s">
        <v>7341</v>
      </c>
      <c r="N1945" s="0" t="s">
        <v>7342</v>
      </c>
      <c r="P1945" s="0" t="s">
        <v>229</v>
      </c>
      <c r="Q1945" s="0" t="s">
        <v>7354</v>
      </c>
      <c r="R1945" s="0" t="s">
        <v>7343</v>
      </c>
      <c r="S1945" s="0" t="s">
        <v>7344</v>
      </c>
      <c r="T1945" s="0" t="s">
        <v>228</v>
      </c>
      <c r="V1945" s="0" t="s">
        <v>73</v>
      </c>
      <c r="W1945" s="0" t="s">
        <v>77</v>
      </c>
      <c r="X1945" s="0" t="s">
        <v>7355</v>
      </c>
      <c r="Y1945" s="0" t="s">
        <v>7356</v>
      </c>
      <c r="Z1945" s="0" t="s">
        <v>7357</v>
      </c>
      <c r="AA1945" s="0" t="s">
        <v>7358</v>
      </c>
      <c r="AB1945" s="0" t="s">
        <v>237</v>
      </c>
      <c r="AC1945" s="0" t="s">
        <v>7629</v>
      </c>
      <c r="AD1945" s="0" t="s">
        <v>8584</v>
      </c>
      <c r="AE1945" s="0" t="s">
        <v>7360</v>
      </c>
      <c r="AF1945" s="0" t="s">
        <v>7361</v>
      </c>
      <c r="AG1945" s="0" t="s">
        <v>230</v>
      </c>
    </row>
    <row r="1946" customFormat="false" ht="15" hidden="false" customHeight="false" outlineLevel="0" collapsed="false">
      <c r="A1946" s="0" t="s">
        <v>7336</v>
      </c>
      <c r="B1946" s="0" t="s">
        <v>7095</v>
      </c>
      <c r="C1946" s="0" t="s">
        <v>7096</v>
      </c>
      <c r="D1946" s="0" t="s">
        <v>227</v>
      </c>
      <c r="E1946" s="0" t="s">
        <v>7097</v>
      </c>
      <c r="F1946" s="0" t="s">
        <v>7098</v>
      </c>
      <c r="G1946" s="0" t="s">
        <v>180</v>
      </c>
      <c r="H1946" s="0" t="s">
        <v>8596</v>
      </c>
      <c r="I1946" s="0" t="s">
        <v>7338</v>
      </c>
      <c r="J1946" s="0" t="s">
        <v>6934</v>
      </c>
      <c r="K1946" s="0" t="s">
        <v>7339</v>
      </c>
      <c r="L1946" s="0" t="s">
        <v>7340</v>
      </c>
      <c r="M1946" s="0" t="s">
        <v>7341</v>
      </c>
      <c r="N1946" s="0" t="s">
        <v>7342</v>
      </c>
      <c r="P1946" s="0" t="s">
        <v>229</v>
      </c>
      <c r="Q1946" s="0" t="s">
        <v>7354</v>
      </c>
      <c r="R1946" s="0" t="s">
        <v>7343</v>
      </c>
      <c r="S1946" s="0" t="s">
        <v>7344</v>
      </c>
      <c r="T1946" s="0" t="s">
        <v>228</v>
      </c>
      <c r="V1946" s="0" t="s">
        <v>73</v>
      </c>
      <c r="W1946" s="0" t="s">
        <v>77</v>
      </c>
      <c r="X1946" s="0" t="s">
        <v>7355</v>
      </c>
      <c r="Y1946" s="0" t="s">
        <v>7356</v>
      </c>
      <c r="Z1946" s="0" t="s">
        <v>7357</v>
      </c>
      <c r="AA1946" s="0" t="s">
        <v>7358</v>
      </c>
      <c r="AB1946" s="0" t="s">
        <v>237</v>
      </c>
      <c r="AC1946" s="0" t="s">
        <v>7629</v>
      </c>
      <c r="AD1946" s="0" t="s">
        <v>8584</v>
      </c>
      <c r="AE1946" s="0" t="s">
        <v>7360</v>
      </c>
      <c r="AF1946" s="0" t="s">
        <v>7361</v>
      </c>
      <c r="AG1946" s="0" t="s">
        <v>230</v>
      </c>
    </row>
    <row r="1947" customFormat="false" ht="15" hidden="false" customHeight="false" outlineLevel="0" collapsed="false">
      <c r="A1947" s="0" t="s">
        <v>7336</v>
      </c>
      <c r="B1947" s="0" t="s">
        <v>7099</v>
      </c>
      <c r="C1947" s="0" t="s">
        <v>7100</v>
      </c>
      <c r="D1947" s="0" t="s">
        <v>227</v>
      </c>
      <c r="E1947" s="0" t="s">
        <v>7101</v>
      </c>
      <c r="F1947" s="0" t="s">
        <v>7102</v>
      </c>
      <c r="G1947" s="0" t="s">
        <v>180</v>
      </c>
      <c r="H1947" s="0" t="s">
        <v>8597</v>
      </c>
      <c r="I1947" s="0" t="s">
        <v>7338</v>
      </c>
      <c r="J1947" s="0" t="s">
        <v>6934</v>
      </c>
      <c r="K1947" s="0" t="s">
        <v>7339</v>
      </c>
      <c r="L1947" s="0" t="s">
        <v>7340</v>
      </c>
      <c r="M1947" s="0" t="s">
        <v>7341</v>
      </c>
      <c r="N1947" s="0" t="s">
        <v>7342</v>
      </c>
      <c r="P1947" s="0" t="s">
        <v>229</v>
      </c>
      <c r="Q1947" s="0" t="s">
        <v>7354</v>
      </c>
      <c r="R1947" s="0" t="s">
        <v>7343</v>
      </c>
      <c r="S1947" s="0" t="s">
        <v>7344</v>
      </c>
      <c r="T1947" s="0" t="s">
        <v>228</v>
      </c>
      <c r="V1947" s="0" t="s">
        <v>73</v>
      </c>
      <c r="W1947" s="0" t="s">
        <v>77</v>
      </c>
      <c r="X1947" s="0" t="s">
        <v>7355</v>
      </c>
      <c r="Y1947" s="0" t="s">
        <v>7356</v>
      </c>
      <c r="Z1947" s="0" t="s">
        <v>7357</v>
      </c>
      <c r="AA1947" s="0" t="s">
        <v>7358</v>
      </c>
      <c r="AB1947" s="0" t="s">
        <v>237</v>
      </c>
      <c r="AC1947" s="0" t="s">
        <v>7629</v>
      </c>
      <c r="AD1947" s="0" t="s">
        <v>8584</v>
      </c>
      <c r="AE1947" s="0" t="s">
        <v>7360</v>
      </c>
      <c r="AF1947" s="0" t="s">
        <v>7361</v>
      </c>
      <c r="AG1947" s="0" t="s">
        <v>230</v>
      </c>
    </row>
    <row r="1948" customFormat="false" ht="15" hidden="false" customHeight="false" outlineLevel="0" collapsed="false">
      <c r="A1948" s="0" t="s">
        <v>7336</v>
      </c>
      <c r="B1948" s="0" t="s">
        <v>7103</v>
      </c>
      <c r="C1948" s="0" t="s">
        <v>7104</v>
      </c>
      <c r="D1948" s="0" t="s">
        <v>227</v>
      </c>
      <c r="E1948" s="0" t="s">
        <v>7105</v>
      </c>
      <c r="F1948" s="0" t="s">
        <v>7106</v>
      </c>
      <c r="G1948" s="0" t="s">
        <v>180</v>
      </c>
      <c r="H1948" s="0" t="s">
        <v>8598</v>
      </c>
      <c r="I1948" s="0" t="s">
        <v>7338</v>
      </c>
      <c r="J1948" s="0" t="s">
        <v>6934</v>
      </c>
      <c r="K1948" s="0" t="s">
        <v>7339</v>
      </c>
      <c r="L1948" s="0" t="s">
        <v>7340</v>
      </c>
      <c r="M1948" s="0" t="s">
        <v>7341</v>
      </c>
      <c r="N1948" s="0" t="s">
        <v>7342</v>
      </c>
      <c r="P1948" s="0" t="s">
        <v>229</v>
      </c>
      <c r="Q1948" s="0" t="s">
        <v>7354</v>
      </c>
      <c r="R1948" s="0" t="s">
        <v>7343</v>
      </c>
      <c r="S1948" s="0" t="s">
        <v>7344</v>
      </c>
      <c r="T1948" s="0" t="s">
        <v>228</v>
      </c>
      <c r="V1948" s="0" t="s">
        <v>73</v>
      </c>
      <c r="W1948" s="0" t="s">
        <v>77</v>
      </c>
      <c r="X1948" s="0" t="s">
        <v>7355</v>
      </c>
      <c r="Y1948" s="0" t="s">
        <v>7356</v>
      </c>
      <c r="Z1948" s="0" t="s">
        <v>7357</v>
      </c>
      <c r="AA1948" s="0" t="s">
        <v>7358</v>
      </c>
      <c r="AB1948" s="0" t="s">
        <v>237</v>
      </c>
      <c r="AC1948" s="0" t="s">
        <v>7629</v>
      </c>
      <c r="AD1948" s="0" t="s">
        <v>8584</v>
      </c>
      <c r="AE1948" s="0" t="s">
        <v>7360</v>
      </c>
      <c r="AF1948" s="0" t="s">
        <v>7361</v>
      </c>
      <c r="AG1948" s="0" t="s">
        <v>230</v>
      </c>
    </row>
    <row r="1949" customFormat="false" ht="15" hidden="false" customHeight="false" outlineLevel="0" collapsed="false">
      <c r="A1949" s="0" t="s">
        <v>7336</v>
      </c>
      <c r="B1949" s="0" t="s">
        <v>7107</v>
      </c>
      <c r="C1949" s="0" t="s">
        <v>7108</v>
      </c>
      <c r="D1949" s="0" t="s">
        <v>227</v>
      </c>
      <c r="E1949" s="0" t="s">
        <v>7109</v>
      </c>
      <c r="F1949" s="0" t="s">
        <v>7110</v>
      </c>
      <c r="G1949" s="0" t="s">
        <v>180</v>
      </c>
      <c r="H1949" s="0" t="s">
        <v>8599</v>
      </c>
      <c r="I1949" s="0" t="s">
        <v>7338</v>
      </c>
      <c r="J1949" s="0" t="s">
        <v>6934</v>
      </c>
      <c r="K1949" s="0" t="s">
        <v>7339</v>
      </c>
      <c r="L1949" s="0" t="s">
        <v>7340</v>
      </c>
      <c r="M1949" s="0" t="s">
        <v>7341</v>
      </c>
      <c r="N1949" s="0" t="s">
        <v>7342</v>
      </c>
      <c r="P1949" s="0" t="s">
        <v>229</v>
      </c>
      <c r="Q1949" s="0" t="s">
        <v>7354</v>
      </c>
      <c r="R1949" s="0" t="s">
        <v>7343</v>
      </c>
      <c r="S1949" s="0" t="s">
        <v>7344</v>
      </c>
      <c r="T1949" s="0" t="s">
        <v>228</v>
      </c>
      <c r="V1949" s="0" t="s">
        <v>73</v>
      </c>
      <c r="W1949" s="0" t="s">
        <v>77</v>
      </c>
      <c r="X1949" s="0" t="s">
        <v>7355</v>
      </c>
      <c r="Y1949" s="0" t="s">
        <v>7356</v>
      </c>
      <c r="Z1949" s="0" t="s">
        <v>7357</v>
      </c>
      <c r="AA1949" s="0" t="s">
        <v>7358</v>
      </c>
      <c r="AB1949" s="0" t="s">
        <v>237</v>
      </c>
      <c r="AC1949" s="0" t="s">
        <v>7629</v>
      </c>
      <c r="AD1949" s="0" t="s">
        <v>8584</v>
      </c>
      <c r="AE1949" s="0" t="s">
        <v>7360</v>
      </c>
      <c r="AF1949" s="0" t="s">
        <v>7361</v>
      </c>
      <c r="AG1949" s="0" t="s">
        <v>230</v>
      </c>
    </row>
    <row r="1950" customFormat="false" ht="15" hidden="false" customHeight="false" outlineLevel="0" collapsed="false">
      <c r="A1950" s="0" t="s">
        <v>7336</v>
      </c>
      <c r="B1950" s="0" t="s">
        <v>7111</v>
      </c>
      <c r="C1950" s="0" t="s">
        <v>7112</v>
      </c>
      <c r="D1950" s="0" t="s">
        <v>227</v>
      </c>
      <c r="E1950" s="0" t="s">
        <v>7113</v>
      </c>
      <c r="F1950" s="0" t="s">
        <v>7114</v>
      </c>
      <c r="G1950" s="0" t="s">
        <v>180</v>
      </c>
      <c r="H1950" s="0" t="s">
        <v>8600</v>
      </c>
      <c r="I1950" s="0" t="s">
        <v>7338</v>
      </c>
      <c r="J1950" s="0" t="s">
        <v>6934</v>
      </c>
      <c r="K1950" s="0" t="s">
        <v>7339</v>
      </c>
      <c r="L1950" s="0" t="s">
        <v>7340</v>
      </c>
      <c r="M1950" s="0" t="s">
        <v>7341</v>
      </c>
      <c r="N1950" s="0" t="s">
        <v>7342</v>
      </c>
      <c r="P1950" s="0" t="s">
        <v>229</v>
      </c>
      <c r="Q1950" s="0" t="s">
        <v>7354</v>
      </c>
      <c r="R1950" s="0" t="s">
        <v>7343</v>
      </c>
      <c r="S1950" s="0" t="s">
        <v>7344</v>
      </c>
      <c r="T1950" s="0" t="s">
        <v>228</v>
      </c>
      <c r="V1950" s="0" t="s">
        <v>73</v>
      </c>
      <c r="W1950" s="0" t="s">
        <v>77</v>
      </c>
      <c r="X1950" s="0" t="s">
        <v>7355</v>
      </c>
      <c r="Y1950" s="0" t="s">
        <v>7356</v>
      </c>
      <c r="Z1950" s="0" t="s">
        <v>7357</v>
      </c>
      <c r="AA1950" s="0" t="s">
        <v>7358</v>
      </c>
      <c r="AB1950" s="0" t="s">
        <v>237</v>
      </c>
      <c r="AC1950" s="0" t="s">
        <v>7629</v>
      </c>
      <c r="AD1950" s="0" t="s">
        <v>8584</v>
      </c>
      <c r="AE1950" s="0" t="s">
        <v>7360</v>
      </c>
      <c r="AF1950" s="0" t="s">
        <v>7361</v>
      </c>
      <c r="AG1950" s="0" t="s">
        <v>230</v>
      </c>
    </row>
    <row r="1951" customFormat="false" ht="15" hidden="false" customHeight="false" outlineLevel="0" collapsed="false">
      <c r="A1951" s="0" t="s">
        <v>7336</v>
      </c>
      <c r="B1951" s="0" t="s">
        <v>7115</v>
      </c>
      <c r="C1951" s="0" t="s">
        <v>7116</v>
      </c>
      <c r="D1951" s="0" t="s">
        <v>227</v>
      </c>
      <c r="E1951" s="0" t="s">
        <v>7117</v>
      </c>
      <c r="F1951" s="0" t="s">
        <v>6982</v>
      </c>
      <c r="G1951" s="0" t="s">
        <v>178</v>
      </c>
      <c r="H1951" s="0" t="s">
        <v>8566</v>
      </c>
      <c r="I1951" s="0" t="s">
        <v>7338</v>
      </c>
      <c r="J1951" s="0" t="s">
        <v>6934</v>
      </c>
      <c r="K1951" s="0" t="s">
        <v>7339</v>
      </c>
      <c r="L1951" s="0" t="s">
        <v>7340</v>
      </c>
      <c r="M1951" s="0" t="s">
        <v>7341</v>
      </c>
      <c r="N1951" s="0" t="s">
        <v>7342</v>
      </c>
      <c r="P1951" s="0" t="s">
        <v>229</v>
      </c>
      <c r="Q1951" s="0" t="s">
        <v>7354</v>
      </c>
      <c r="R1951" s="0" t="s">
        <v>7343</v>
      </c>
      <c r="S1951" s="0" t="s">
        <v>7344</v>
      </c>
      <c r="T1951" s="0" t="s">
        <v>681</v>
      </c>
      <c r="V1951" s="0" t="s">
        <v>34</v>
      </c>
      <c r="W1951" s="0" t="s">
        <v>40</v>
      </c>
      <c r="X1951" s="0" t="s">
        <v>7355</v>
      </c>
      <c r="Y1951" s="0" t="s">
        <v>7686</v>
      </c>
      <c r="Z1951" s="0" t="s">
        <v>7355</v>
      </c>
      <c r="AA1951" s="0" t="s">
        <v>7687</v>
      </c>
      <c r="AC1951" s="0" t="s">
        <v>7629</v>
      </c>
      <c r="AD1951" s="0" t="s">
        <v>7688</v>
      </c>
      <c r="AE1951" s="0" t="s">
        <v>7360</v>
      </c>
      <c r="AF1951" s="0" t="s">
        <v>7361</v>
      </c>
      <c r="AG1951" s="0" t="s">
        <v>230</v>
      </c>
    </row>
    <row r="1952" customFormat="false" ht="15" hidden="false" customHeight="false" outlineLevel="0" collapsed="false">
      <c r="A1952" s="0" t="s">
        <v>7336</v>
      </c>
      <c r="B1952" s="0" t="s">
        <v>7118</v>
      </c>
      <c r="C1952" s="0" t="s">
        <v>7119</v>
      </c>
      <c r="D1952" s="0" t="s">
        <v>227</v>
      </c>
      <c r="E1952" s="0" t="s">
        <v>7120</v>
      </c>
      <c r="F1952" s="0" t="s">
        <v>6978</v>
      </c>
      <c r="G1952" s="0" t="s">
        <v>178</v>
      </c>
      <c r="H1952" s="0" t="s">
        <v>8565</v>
      </c>
      <c r="I1952" s="0" t="s">
        <v>7338</v>
      </c>
      <c r="J1952" s="0" t="s">
        <v>6934</v>
      </c>
      <c r="K1952" s="0" t="s">
        <v>7339</v>
      </c>
      <c r="L1952" s="0" t="s">
        <v>7340</v>
      </c>
      <c r="M1952" s="0" t="s">
        <v>7341</v>
      </c>
      <c r="N1952" s="0" t="s">
        <v>7342</v>
      </c>
      <c r="P1952" s="0" t="s">
        <v>229</v>
      </c>
      <c r="Q1952" s="0" t="s">
        <v>7354</v>
      </c>
      <c r="R1952" s="0" t="s">
        <v>7343</v>
      </c>
      <c r="S1952" s="0" t="s">
        <v>7344</v>
      </c>
      <c r="T1952" s="0" t="s">
        <v>681</v>
      </c>
      <c r="V1952" s="0" t="s">
        <v>34</v>
      </c>
      <c r="W1952" s="0" t="s">
        <v>40</v>
      </c>
      <c r="X1952" s="0" t="s">
        <v>7355</v>
      </c>
      <c r="Y1952" s="0" t="s">
        <v>7686</v>
      </c>
      <c r="Z1952" s="0" t="s">
        <v>7355</v>
      </c>
      <c r="AA1952" s="0" t="s">
        <v>7687</v>
      </c>
      <c r="AC1952" s="0" t="s">
        <v>7629</v>
      </c>
      <c r="AD1952" s="0" t="s">
        <v>7688</v>
      </c>
      <c r="AE1952" s="0" t="s">
        <v>7360</v>
      </c>
      <c r="AF1952" s="0" t="s">
        <v>7361</v>
      </c>
      <c r="AG1952" s="0" t="s">
        <v>230</v>
      </c>
    </row>
    <row r="1953" customFormat="false" ht="15" hidden="false" customHeight="false" outlineLevel="0" collapsed="false">
      <c r="A1953" s="0" t="s">
        <v>7336</v>
      </c>
      <c r="B1953" s="0" t="s">
        <v>7121</v>
      </c>
      <c r="C1953" s="0" t="s">
        <v>7122</v>
      </c>
      <c r="D1953" s="0" t="s">
        <v>227</v>
      </c>
      <c r="E1953" s="0" t="s">
        <v>7123</v>
      </c>
      <c r="F1953" s="0" t="s">
        <v>6970</v>
      </c>
      <c r="G1953" s="0" t="s">
        <v>6933</v>
      </c>
      <c r="H1953" s="0" t="s">
        <v>8563</v>
      </c>
      <c r="I1953" s="0" t="s">
        <v>7338</v>
      </c>
      <c r="J1953" s="0" t="s">
        <v>6934</v>
      </c>
      <c r="K1953" s="0" t="s">
        <v>7339</v>
      </c>
      <c r="L1953" s="0" t="s">
        <v>7340</v>
      </c>
      <c r="M1953" s="0" t="s">
        <v>7341</v>
      </c>
      <c r="N1953" s="0" t="s">
        <v>7342</v>
      </c>
      <c r="P1953" s="0" t="s">
        <v>229</v>
      </c>
      <c r="Q1953" s="0" t="s">
        <v>7354</v>
      </c>
      <c r="R1953" s="0" t="s">
        <v>7343</v>
      </c>
      <c r="S1953" s="0" t="s">
        <v>7344</v>
      </c>
      <c r="T1953" s="0" t="s">
        <v>2231</v>
      </c>
      <c r="V1953" s="0" t="s">
        <v>34</v>
      </c>
      <c r="W1953" s="0" t="s">
        <v>40</v>
      </c>
      <c r="X1953" s="0" t="s">
        <v>7355</v>
      </c>
      <c r="Y1953" s="0" t="s">
        <v>7686</v>
      </c>
      <c r="Z1953" s="0" t="s">
        <v>7355</v>
      </c>
      <c r="AA1953" s="0" t="s">
        <v>7687</v>
      </c>
      <c r="AC1953" s="0" t="s">
        <v>7629</v>
      </c>
      <c r="AD1953" s="0" t="s">
        <v>7688</v>
      </c>
      <c r="AE1953" s="0" t="s">
        <v>7360</v>
      </c>
      <c r="AF1953" s="0" t="s">
        <v>7361</v>
      </c>
      <c r="AG1953" s="0" t="s">
        <v>230</v>
      </c>
    </row>
    <row r="1954" customFormat="false" ht="15" hidden="false" customHeight="false" outlineLevel="0" collapsed="false">
      <c r="A1954" s="0" t="s">
        <v>7336</v>
      </c>
      <c r="B1954" s="0" t="s">
        <v>7124</v>
      </c>
      <c r="C1954" s="0" t="s">
        <v>7125</v>
      </c>
      <c r="D1954" s="0" t="s">
        <v>227</v>
      </c>
      <c r="E1954" s="0" t="s">
        <v>7126</v>
      </c>
      <c r="F1954" s="0" t="s">
        <v>6966</v>
      </c>
      <c r="G1954" s="0" t="s">
        <v>6933</v>
      </c>
      <c r="H1954" s="0" t="s">
        <v>8562</v>
      </c>
      <c r="I1954" s="0" t="s">
        <v>7338</v>
      </c>
      <c r="J1954" s="0" t="s">
        <v>6934</v>
      </c>
      <c r="K1954" s="0" t="s">
        <v>7339</v>
      </c>
      <c r="L1954" s="0" t="s">
        <v>7340</v>
      </c>
      <c r="M1954" s="0" t="s">
        <v>7341</v>
      </c>
      <c r="N1954" s="0" t="s">
        <v>7342</v>
      </c>
      <c r="P1954" s="0" t="s">
        <v>229</v>
      </c>
      <c r="Q1954" s="0" t="s">
        <v>7354</v>
      </c>
      <c r="R1954" s="0" t="s">
        <v>7343</v>
      </c>
      <c r="S1954" s="0" t="s">
        <v>7344</v>
      </c>
      <c r="T1954" s="0" t="s">
        <v>2231</v>
      </c>
      <c r="V1954" s="0" t="s">
        <v>34</v>
      </c>
      <c r="W1954" s="0" t="s">
        <v>40</v>
      </c>
      <c r="X1954" s="0" t="s">
        <v>7355</v>
      </c>
      <c r="Y1954" s="0" t="s">
        <v>7686</v>
      </c>
      <c r="Z1954" s="0" t="s">
        <v>7355</v>
      </c>
      <c r="AA1954" s="0" t="s">
        <v>7687</v>
      </c>
      <c r="AC1954" s="0" t="s">
        <v>7629</v>
      </c>
      <c r="AD1954" s="0" t="s">
        <v>7688</v>
      </c>
      <c r="AE1954" s="0" t="s">
        <v>7360</v>
      </c>
      <c r="AF1954" s="0" t="s">
        <v>7361</v>
      </c>
      <c r="AG1954" s="0" t="s">
        <v>230</v>
      </c>
    </row>
    <row r="1955" customFormat="false" ht="15" hidden="false" customHeight="false" outlineLevel="0" collapsed="false">
      <c r="A1955" s="0" t="s">
        <v>7336</v>
      </c>
      <c r="B1955" s="0" t="s">
        <v>7127</v>
      </c>
      <c r="C1955" s="0" t="s">
        <v>7128</v>
      </c>
      <c r="D1955" s="0" t="s">
        <v>227</v>
      </c>
      <c r="E1955" s="0" t="s">
        <v>7129</v>
      </c>
      <c r="F1955" s="0" t="s">
        <v>7130</v>
      </c>
      <c r="G1955" s="0" t="s">
        <v>178</v>
      </c>
      <c r="H1955" s="0" t="s">
        <v>8601</v>
      </c>
      <c r="I1955" s="0" t="s">
        <v>7338</v>
      </c>
      <c r="J1955" s="0" t="s">
        <v>6934</v>
      </c>
      <c r="K1955" s="0" t="s">
        <v>7339</v>
      </c>
      <c r="L1955" s="0" t="s">
        <v>7340</v>
      </c>
      <c r="M1955" s="0" t="s">
        <v>7341</v>
      </c>
      <c r="N1955" s="0" t="s">
        <v>7342</v>
      </c>
      <c r="P1955" s="0" t="s">
        <v>229</v>
      </c>
      <c r="Q1955" s="0" t="s">
        <v>7354</v>
      </c>
      <c r="R1955" s="0" t="s">
        <v>7343</v>
      </c>
      <c r="S1955" s="0" t="s">
        <v>7344</v>
      </c>
      <c r="T1955" s="0" t="s">
        <v>228</v>
      </c>
      <c r="V1955" s="0" t="s">
        <v>34</v>
      </c>
      <c r="W1955" s="0" t="s">
        <v>41</v>
      </c>
      <c r="X1955" s="0" t="s">
        <v>7355</v>
      </c>
      <c r="Y1955" s="0" t="s">
        <v>7409</v>
      </c>
      <c r="Z1955" s="0" t="s">
        <v>7410</v>
      </c>
      <c r="AA1955" s="0" t="s">
        <v>7411</v>
      </c>
      <c r="AB1955" s="0" t="s">
        <v>1663</v>
      </c>
      <c r="AC1955" s="0" t="s">
        <v>7629</v>
      </c>
      <c r="AD1955" s="0" t="s">
        <v>7692</v>
      </c>
      <c r="AE1955" s="0" t="s">
        <v>7360</v>
      </c>
      <c r="AF1955" s="0" t="s">
        <v>7361</v>
      </c>
      <c r="AG1955" s="0" t="s">
        <v>230</v>
      </c>
    </row>
    <row r="1956" customFormat="false" ht="15" hidden="false" customHeight="false" outlineLevel="0" collapsed="false">
      <c r="A1956" s="0" t="s">
        <v>7336</v>
      </c>
      <c r="B1956" s="0" t="s">
        <v>7131</v>
      </c>
      <c r="C1956" s="0" t="s">
        <v>7132</v>
      </c>
      <c r="D1956" s="0" t="s">
        <v>227</v>
      </c>
      <c r="E1956" s="0" t="s">
        <v>7133</v>
      </c>
      <c r="F1956" s="0" t="s">
        <v>7134</v>
      </c>
      <c r="G1956" s="0" t="s">
        <v>178</v>
      </c>
      <c r="H1956" s="0" t="s">
        <v>8602</v>
      </c>
      <c r="I1956" s="0" t="s">
        <v>7338</v>
      </c>
      <c r="J1956" s="0" t="s">
        <v>6934</v>
      </c>
      <c r="K1956" s="0" t="s">
        <v>7339</v>
      </c>
      <c r="L1956" s="0" t="s">
        <v>7340</v>
      </c>
      <c r="M1956" s="0" t="s">
        <v>7341</v>
      </c>
      <c r="N1956" s="0" t="s">
        <v>7342</v>
      </c>
      <c r="P1956" s="0" t="s">
        <v>229</v>
      </c>
      <c r="Q1956" s="0" t="s">
        <v>7354</v>
      </c>
      <c r="R1956" s="0" t="s">
        <v>7343</v>
      </c>
      <c r="S1956" s="0" t="s">
        <v>7344</v>
      </c>
      <c r="T1956" s="0" t="s">
        <v>228</v>
      </c>
      <c r="V1956" s="0" t="s">
        <v>34</v>
      </c>
      <c r="W1956" s="0" t="s">
        <v>41</v>
      </c>
      <c r="X1956" s="0" t="s">
        <v>7355</v>
      </c>
      <c r="Y1956" s="0" t="s">
        <v>7409</v>
      </c>
      <c r="Z1956" s="0" t="s">
        <v>7410</v>
      </c>
      <c r="AA1956" s="0" t="s">
        <v>7411</v>
      </c>
      <c r="AB1956" s="0" t="s">
        <v>1663</v>
      </c>
      <c r="AC1956" s="0" t="s">
        <v>7629</v>
      </c>
      <c r="AD1956" s="0" t="s">
        <v>7692</v>
      </c>
      <c r="AE1956" s="0" t="s">
        <v>7360</v>
      </c>
      <c r="AF1956" s="0" t="s">
        <v>7361</v>
      </c>
      <c r="AG1956" s="0" t="s">
        <v>230</v>
      </c>
    </row>
    <row r="1957" customFormat="false" ht="15" hidden="false" customHeight="false" outlineLevel="0" collapsed="false">
      <c r="A1957" s="0" t="s">
        <v>7336</v>
      </c>
      <c r="B1957" s="0" t="s">
        <v>7135</v>
      </c>
      <c r="C1957" s="0" t="s">
        <v>7136</v>
      </c>
      <c r="D1957" s="0" t="s">
        <v>227</v>
      </c>
      <c r="E1957" s="0" t="s">
        <v>7137</v>
      </c>
      <c r="F1957" s="0" t="s">
        <v>7138</v>
      </c>
      <c r="G1957" s="0" t="s">
        <v>178</v>
      </c>
      <c r="H1957" s="0" t="s">
        <v>8603</v>
      </c>
      <c r="I1957" s="0" t="s">
        <v>7338</v>
      </c>
      <c r="J1957" s="0" t="s">
        <v>6934</v>
      </c>
      <c r="K1957" s="0" t="s">
        <v>7339</v>
      </c>
      <c r="L1957" s="0" t="s">
        <v>7340</v>
      </c>
      <c r="M1957" s="0" t="s">
        <v>7341</v>
      </c>
      <c r="N1957" s="0" t="s">
        <v>7342</v>
      </c>
      <c r="P1957" s="0" t="s">
        <v>229</v>
      </c>
      <c r="Q1957" s="0" t="s">
        <v>7354</v>
      </c>
      <c r="R1957" s="0" t="s">
        <v>7343</v>
      </c>
      <c r="S1957" s="0" t="s">
        <v>7344</v>
      </c>
      <c r="T1957" s="0" t="s">
        <v>228</v>
      </c>
      <c r="V1957" s="0" t="s">
        <v>34</v>
      </c>
      <c r="W1957" s="0" t="s">
        <v>41</v>
      </c>
      <c r="X1957" s="0" t="s">
        <v>7355</v>
      </c>
      <c r="Y1957" s="0" t="s">
        <v>7409</v>
      </c>
      <c r="Z1957" s="0" t="s">
        <v>7410</v>
      </c>
      <c r="AA1957" s="0" t="s">
        <v>7411</v>
      </c>
      <c r="AB1957" s="0" t="s">
        <v>1663</v>
      </c>
      <c r="AC1957" s="0" t="s">
        <v>7629</v>
      </c>
      <c r="AD1957" s="0" t="s">
        <v>7692</v>
      </c>
      <c r="AE1957" s="0" t="s">
        <v>7360</v>
      </c>
      <c r="AF1957" s="0" t="s">
        <v>7361</v>
      </c>
      <c r="AG1957" s="0" t="s">
        <v>230</v>
      </c>
    </row>
    <row r="1958" customFormat="false" ht="15" hidden="false" customHeight="false" outlineLevel="0" collapsed="false">
      <c r="A1958" s="0" t="s">
        <v>7336</v>
      </c>
      <c r="B1958" s="0" t="s">
        <v>7139</v>
      </c>
      <c r="C1958" s="0" t="s">
        <v>7140</v>
      </c>
      <c r="D1958" s="0" t="s">
        <v>227</v>
      </c>
      <c r="E1958" s="0" t="s">
        <v>7141</v>
      </c>
      <c r="F1958" s="0" t="s">
        <v>7142</v>
      </c>
      <c r="G1958" s="0" t="s">
        <v>178</v>
      </c>
      <c r="H1958" s="0" t="s">
        <v>8604</v>
      </c>
      <c r="I1958" s="0" t="s">
        <v>7338</v>
      </c>
      <c r="J1958" s="0" t="s">
        <v>6934</v>
      </c>
      <c r="K1958" s="0" t="s">
        <v>7339</v>
      </c>
      <c r="L1958" s="0" t="s">
        <v>7340</v>
      </c>
      <c r="M1958" s="0" t="s">
        <v>7341</v>
      </c>
      <c r="N1958" s="0" t="s">
        <v>7342</v>
      </c>
      <c r="P1958" s="0" t="s">
        <v>229</v>
      </c>
      <c r="Q1958" s="0" t="s">
        <v>7354</v>
      </c>
      <c r="R1958" s="0" t="s">
        <v>7343</v>
      </c>
      <c r="S1958" s="0" t="s">
        <v>7344</v>
      </c>
      <c r="T1958" s="0" t="s">
        <v>228</v>
      </c>
      <c r="V1958" s="0" t="s">
        <v>34</v>
      </c>
      <c r="W1958" s="0" t="s">
        <v>41</v>
      </c>
      <c r="X1958" s="0" t="s">
        <v>7355</v>
      </c>
      <c r="Y1958" s="0" t="s">
        <v>7409</v>
      </c>
      <c r="Z1958" s="0" t="s">
        <v>7410</v>
      </c>
      <c r="AA1958" s="0" t="s">
        <v>7411</v>
      </c>
      <c r="AB1958" s="0" t="s">
        <v>1663</v>
      </c>
      <c r="AC1958" s="0" t="s">
        <v>7629</v>
      </c>
      <c r="AD1958" s="0" t="s">
        <v>7692</v>
      </c>
      <c r="AE1958" s="0" t="s">
        <v>7360</v>
      </c>
      <c r="AF1958" s="0" t="s">
        <v>7361</v>
      </c>
      <c r="AG1958" s="0" t="s">
        <v>230</v>
      </c>
    </row>
    <row r="1959" customFormat="false" ht="15" hidden="false" customHeight="false" outlineLevel="0" collapsed="false">
      <c r="A1959" s="0" t="s">
        <v>7336</v>
      </c>
      <c r="B1959" s="0" t="s">
        <v>7143</v>
      </c>
      <c r="C1959" s="0" t="s">
        <v>7144</v>
      </c>
      <c r="D1959" s="0" t="s">
        <v>227</v>
      </c>
      <c r="E1959" s="0" t="s">
        <v>7145</v>
      </c>
      <c r="F1959" s="0" t="s">
        <v>7146</v>
      </c>
      <c r="G1959" s="0" t="s">
        <v>178</v>
      </c>
      <c r="H1959" s="0" t="s">
        <v>8605</v>
      </c>
      <c r="I1959" s="0" t="s">
        <v>7338</v>
      </c>
      <c r="J1959" s="0" t="s">
        <v>6934</v>
      </c>
      <c r="K1959" s="0" t="s">
        <v>7339</v>
      </c>
      <c r="L1959" s="0" t="s">
        <v>7340</v>
      </c>
      <c r="M1959" s="0" t="s">
        <v>7341</v>
      </c>
      <c r="N1959" s="0" t="s">
        <v>7342</v>
      </c>
      <c r="P1959" s="0" t="s">
        <v>229</v>
      </c>
      <c r="Q1959" s="0" t="s">
        <v>7354</v>
      </c>
      <c r="R1959" s="0" t="s">
        <v>7343</v>
      </c>
      <c r="S1959" s="0" t="s">
        <v>7344</v>
      </c>
      <c r="T1959" s="0" t="s">
        <v>228</v>
      </c>
      <c r="V1959" s="0" t="s">
        <v>34</v>
      </c>
      <c r="W1959" s="0" t="s">
        <v>41</v>
      </c>
      <c r="X1959" s="0" t="s">
        <v>7355</v>
      </c>
      <c r="Y1959" s="0" t="s">
        <v>7409</v>
      </c>
      <c r="Z1959" s="0" t="s">
        <v>7410</v>
      </c>
      <c r="AA1959" s="0" t="s">
        <v>7411</v>
      </c>
      <c r="AB1959" s="0" t="s">
        <v>1663</v>
      </c>
      <c r="AC1959" s="0" t="s">
        <v>7629</v>
      </c>
      <c r="AD1959" s="0" t="s">
        <v>7692</v>
      </c>
      <c r="AE1959" s="0" t="s">
        <v>7360</v>
      </c>
      <c r="AF1959" s="0" t="s">
        <v>7361</v>
      </c>
      <c r="AG1959" s="0" t="s">
        <v>230</v>
      </c>
    </row>
    <row r="1960" customFormat="false" ht="15" hidden="false" customHeight="false" outlineLevel="0" collapsed="false">
      <c r="A1960" s="0" t="s">
        <v>7336</v>
      </c>
      <c r="B1960" s="0" t="s">
        <v>7147</v>
      </c>
      <c r="C1960" s="0" t="s">
        <v>7148</v>
      </c>
      <c r="D1960" s="0" t="s">
        <v>227</v>
      </c>
      <c r="E1960" s="0" t="s">
        <v>7149</v>
      </c>
      <c r="F1960" s="0" t="s">
        <v>7150</v>
      </c>
      <c r="G1960" s="0" t="s">
        <v>178</v>
      </c>
      <c r="H1960" s="0" t="s">
        <v>8606</v>
      </c>
      <c r="I1960" s="0" t="s">
        <v>7338</v>
      </c>
      <c r="J1960" s="0" t="s">
        <v>6934</v>
      </c>
      <c r="K1960" s="0" t="s">
        <v>7339</v>
      </c>
      <c r="L1960" s="0" t="s">
        <v>7340</v>
      </c>
      <c r="M1960" s="0" t="s">
        <v>7341</v>
      </c>
      <c r="N1960" s="0" t="s">
        <v>7342</v>
      </c>
      <c r="P1960" s="0" t="s">
        <v>229</v>
      </c>
      <c r="Q1960" s="0" t="s">
        <v>7354</v>
      </c>
      <c r="R1960" s="0" t="s">
        <v>7343</v>
      </c>
      <c r="S1960" s="0" t="s">
        <v>7344</v>
      </c>
      <c r="T1960" s="0" t="s">
        <v>228</v>
      </c>
      <c r="V1960" s="0" t="s">
        <v>34</v>
      </c>
      <c r="W1960" s="0" t="s">
        <v>41</v>
      </c>
      <c r="X1960" s="0" t="s">
        <v>7355</v>
      </c>
      <c r="Y1960" s="0" t="s">
        <v>7409</v>
      </c>
      <c r="Z1960" s="0" t="s">
        <v>7410</v>
      </c>
      <c r="AA1960" s="0" t="s">
        <v>7411</v>
      </c>
      <c r="AB1960" s="0" t="s">
        <v>1663</v>
      </c>
      <c r="AC1960" s="0" t="s">
        <v>7629</v>
      </c>
      <c r="AD1960" s="0" t="s">
        <v>7692</v>
      </c>
      <c r="AE1960" s="0" t="s">
        <v>7360</v>
      </c>
      <c r="AF1960" s="0" t="s">
        <v>7361</v>
      </c>
      <c r="AG1960" s="0" t="s">
        <v>230</v>
      </c>
    </row>
    <row r="1961" customFormat="false" ht="15" hidden="false" customHeight="false" outlineLevel="0" collapsed="false">
      <c r="A1961" s="0" t="s">
        <v>7336</v>
      </c>
      <c r="B1961" s="0" t="s">
        <v>7151</v>
      </c>
      <c r="C1961" s="0" t="s">
        <v>7152</v>
      </c>
      <c r="D1961" s="0" t="s">
        <v>227</v>
      </c>
      <c r="E1961" s="0" t="s">
        <v>7153</v>
      </c>
      <c r="F1961" s="0" t="s">
        <v>7154</v>
      </c>
      <c r="G1961" s="0" t="s">
        <v>178</v>
      </c>
      <c r="H1961" s="0" t="s">
        <v>8607</v>
      </c>
      <c r="I1961" s="0" t="s">
        <v>7338</v>
      </c>
      <c r="J1961" s="0" t="s">
        <v>6934</v>
      </c>
      <c r="K1961" s="0" t="s">
        <v>7339</v>
      </c>
      <c r="L1961" s="0" t="s">
        <v>7340</v>
      </c>
      <c r="M1961" s="0" t="s">
        <v>7341</v>
      </c>
      <c r="N1961" s="0" t="s">
        <v>7342</v>
      </c>
      <c r="P1961" s="0" t="s">
        <v>229</v>
      </c>
      <c r="Q1961" s="0" t="s">
        <v>7354</v>
      </c>
      <c r="R1961" s="0" t="s">
        <v>7343</v>
      </c>
      <c r="S1961" s="0" t="s">
        <v>7344</v>
      </c>
      <c r="T1961" s="0" t="s">
        <v>228</v>
      </c>
      <c r="V1961" s="0" t="s">
        <v>34</v>
      </c>
      <c r="W1961" s="0" t="s">
        <v>41</v>
      </c>
      <c r="X1961" s="0" t="s">
        <v>7355</v>
      </c>
      <c r="Y1961" s="0" t="s">
        <v>7409</v>
      </c>
      <c r="Z1961" s="0" t="s">
        <v>7410</v>
      </c>
      <c r="AA1961" s="0" t="s">
        <v>7411</v>
      </c>
      <c r="AB1961" s="0" t="s">
        <v>1663</v>
      </c>
      <c r="AC1961" s="0" t="s">
        <v>7629</v>
      </c>
      <c r="AD1961" s="0" t="s">
        <v>7692</v>
      </c>
      <c r="AE1961" s="0" t="s">
        <v>7360</v>
      </c>
      <c r="AF1961" s="0" t="s">
        <v>7361</v>
      </c>
      <c r="AG1961" s="0" t="s">
        <v>230</v>
      </c>
    </row>
  </sheetData>
  <autoFilter ref="A1:AG19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2026-10-15T18:46:23Z</dcterms:created>
  <dc:creator>openpyxl</dc:creator>
  <dc:description/>
  <dc:language>en-US</dc:language>
  <cp:lastModifiedBy/>
  <dcterms:modified xsi:type="dcterms:W3CDTF">2026-10-15T18:46:46Z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